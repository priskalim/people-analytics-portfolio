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f84208dbaa6df11/ESTUDOS/Currículos/Portifólio/Business case/Base/"/>
    </mc:Choice>
  </mc:AlternateContent>
  <xr:revisionPtr revIDLastSave="2419" documentId="11_C940434C526ED8CEEB3B98154B5DCE3A874C250E" xr6:coauthVersionLast="47" xr6:coauthVersionMax="47" xr10:uidLastSave="{BA4D550F-890D-4D53-A82F-F9179D949CBF}"/>
  <bookViews>
    <workbookView xWindow="-108" yWindow="-108" windowWidth="23256" windowHeight="12456" activeTab="2" xr2:uid="{00000000-000D-0000-FFFF-FFFF00000000}"/>
  </bookViews>
  <sheets>
    <sheet name="Colaboradores" sheetId="1" r:id="rId1"/>
    <sheet name="Absenteismo" sheetId="2" r:id="rId2"/>
    <sheet name="Planilha1" sheetId="3" r:id="rId3"/>
  </sheets>
  <definedNames>
    <definedName name="_xlnm._FilterDatabase" localSheetId="1" hidden="1">Absenteismo!$A$1:$Q$6820</definedName>
    <definedName name="_xlnm._FilterDatabase" localSheetId="0" hidden="1">Colaboradores!$A$1:$W$1201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3" l="1"/>
  <c r="F21" i="3"/>
  <c r="D21" i="3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2" i="2"/>
  <c r="L6800" i="2"/>
  <c r="M6800" i="2"/>
  <c r="N6800" i="2"/>
  <c r="P6800" i="2"/>
  <c r="L6801" i="2"/>
  <c r="M6801" i="2"/>
  <c r="N6801" i="2"/>
  <c r="P6801" i="2"/>
  <c r="L6802" i="2"/>
  <c r="M6802" i="2"/>
  <c r="N6802" i="2"/>
  <c r="P6802" i="2"/>
  <c r="L6803" i="2"/>
  <c r="M6803" i="2"/>
  <c r="N6803" i="2"/>
  <c r="P6803" i="2"/>
  <c r="L6804" i="2"/>
  <c r="M6804" i="2"/>
  <c r="N6804" i="2"/>
  <c r="P6804" i="2"/>
  <c r="L6805" i="2"/>
  <c r="M6805" i="2"/>
  <c r="N6805" i="2"/>
  <c r="P6805" i="2"/>
  <c r="L6806" i="2"/>
  <c r="M6806" i="2"/>
  <c r="N6806" i="2"/>
  <c r="P6806" i="2"/>
  <c r="L6807" i="2"/>
  <c r="M6807" i="2"/>
  <c r="N6807" i="2"/>
  <c r="P6807" i="2"/>
  <c r="L6808" i="2"/>
  <c r="M6808" i="2"/>
  <c r="N6808" i="2"/>
  <c r="P6808" i="2"/>
  <c r="L6809" i="2"/>
  <c r="M6809" i="2"/>
  <c r="N6809" i="2"/>
  <c r="P6809" i="2"/>
  <c r="L6810" i="2"/>
  <c r="M6810" i="2"/>
  <c r="N6810" i="2"/>
  <c r="P6810" i="2"/>
  <c r="L6811" i="2"/>
  <c r="M6811" i="2"/>
  <c r="N6811" i="2"/>
  <c r="P6811" i="2"/>
  <c r="L6812" i="2"/>
  <c r="M6812" i="2"/>
  <c r="N6812" i="2"/>
  <c r="P6812" i="2"/>
  <c r="L6813" i="2"/>
  <c r="M6813" i="2"/>
  <c r="N6813" i="2"/>
  <c r="P6813" i="2"/>
  <c r="L6814" i="2"/>
  <c r="M6814" i="2"/>
  <c r="N6814" i="2"/>
  <c r="P6814" i="2"/>
  <c r="L6815" i="2"/>
  <c r="M6815" i="2"/>
  <c r="N6815" i="2"/>
  <c r="P6815" i="2"/>
  <c r="L6816" i="2"/>
  <c r="M6816" i="2"/>
  <c r="N6816" i="2"/>
  <c r="P6816" i="2"/>
  <c r="L6817" i="2"/>
  <c r="M6817" i="2"/>
  <c r="N6817" i="2"/>
  <c r="P6817" i="2"/>
  <c r="L6818" i="2"/>
  <c r="M6818" i="2"/>
  <c r="N6818" i="2"/>
  <c r="P6818" i="2"/>
  <c r="L6819" i="2"/>
  <c r="M6819" i="2"/>
  <c r="N6819" i="2"/>
  <c r="P6819" i="2"/>
  <c r="L6820" i="2"/>
  <c r="M6820" i="2"/>
  <c r="N6820" i="2"/>
  <c r="P6820" i="2"/>
  <c r="L6634" i="2"/>
  <c r="M6634" i="2"/>
  <c r="N6634" i="2"/>
  <c r="P6634" i="2"/>
  <c r="L6635" i="2"/>
  <c r="M6635" i="2"/>
  <c r="N6635" i="2"/>
  <c r="P6635" i="2"/>
  <c r="L6636" i="2"/>
  <c r="M6636" i="2"/>
  <c r="N6636" i="2"/>
  <c r="P6636" i="2"/>
  <c r="L6637" i="2"/>
  <c r="M6637" i="2"/>
  <c r="N6637" i="2"/>
  <c r="P6637" i="2"/>
  <c r="L6638" i="2"/>
  <c r="M6638" i="2"/>
  <c r="N6638" i="2"/>
  <c r="P6638" i="2"/>
  <c r="L6639" i="2"/>
  <c r="M6639" i="2"/>
  <c r="N6639" i="2"/>
  <c r="P6639" i="2"/>
  <c r="L6640" i="2"/>
  <c r="M6640" i="2"/>
  <c r="N6640" i="2"/>
  <c r="P6640" i="2"/>
  <c r="L6641" i="2"/>
  <c r="M6641" i="2"/>
  <c r="N6641" i="2"/>
  <c r="P6641" i="2"/>
  <c r="L6642" i="2"/>
  <c r="M6642" i="2"/>
  <c r="N6642" i="2"/>
  <c r="P6642" i="2"/>
  <c r="L6643" i="2"/>
  <c r="M6643" i="2"/>
  <c r="N6643" i="2"/>
  <c r="P6643" i="2"/>
  <c r="L6644" i="2"/>
  <c r="M6644" i="2"/>
  <c r="N6644" i="2"/>
  <c r="P6644" i="2"/>
  <c r="L6645" i="2"/>
  <c r="M6645" i="2"/>
  <c r="N6645" i="2"/>
  <c r="P6645" i="2"/>
  <c r="L6646" i="2"/>
  <c r="M6646" i="2"/>
  <c r="N6646" i="2"/>
  <c r="P6646" i="2"/>
  <c r="L6647" i="2"/>
  <c r="M6647" i="2"/>
  <c r="N6647" i="2"/>
  <c r="P6647" i="2"/>
  <c r="L6648" i="2"/>
  <c r="M6648" i="2"/>
  <c r="N6648" i="2"/>
  <c r="P6648" i="2"/>
  <c r="L6649" i="2"/>
  <c r="M6649" i="2"/>
  <c r="N6649" i="2"/>
  <c r="P6649" i="2"/>
  <c r="L6650" i="2"/>
  <c r="M6650" i="2"/>
  <c r="N6650" i="2"/>
  <c r="P6650" i="2"/>
  <c r="L6651" i="2"/>
  <c r="M6651" i="2"/>
  <c r="N6651" i="2"/>
  <c r="P6651" i="2"/>
  <c r="L6652" i="2"/>
  <c r="M6652" i="2"/>
  <c r="N6652" i="2"/>
  <c r="P6652" i="2"/>
  <c r="L6653" i="2"/>
  <c r="M6653" i="2"/>
  <c r="N6653" i="2"/>
  <c r="P6653" i="2"/>
  <c r="L6654" i="2"/>
  <c r="M6654" i="2"/>
  <c r="N6654" i="2"/>
  <c r="P6654" i="2"/>
  <c r="L6655" i="2"/>
  <c r="M6655" i="2"/>
  <c r="N6655" i="2"/>
  <c r="P6655" i="2"/>
  <c r="L6656" i="2"/>
  <c r="M6656" i="2"/>
  <c r="N6656" i="2"/>
  <c r="P6656" i="2"/>
  <c r="L6657" i="2"/>
  <c r="M6657" i="2"/>
  <c r="N6657" i="2"/>
  <c r="P6657" i="2"/>
  <c r="L6658" i="2"/>
  <c r="M6658" i="2"/>
  <c r="N6658" i="2"/>
  <c r="P6658" i="2"/>
  <c r="L6659" i="2"/>
  <c r="M6659" i="2"/>
  <c r="N6659" i="2"/>
  <c r="P6659" i="2"/>
  <c r="L6660" i="2"/>
  <c r="M6660" i="2"/>
  <c r="N6660" i="2"/>
  <c r="P6660" i="2"/>
  <c r="L6661" i="2"/>
  <c r="M6661" i="2"/>
  <c r="N6661" i="2"/>
  <c r="P6661" i="2"/>
  <c r="L6662" i="2"/>
  <c r="M6662" i="2"/>
  <c r="N6662" i="2"/>
  <c r="P6662" i="2"/>
  <c r="L6663" i="2"/>
  <c r="M6663" i="2"/>
  <c r="N6663" i="2"/>
  <c r="P6663" i="2"/>
  <c r="L6664" i="2"/>
  <c r="M6664" i="2"/>
  <c r="N6664" i="2"/>
  <c r="P6664" i="2"/>
  <c r="L6665" i="2"/>
  <c r="M6665" i="2"/>
  <c r="N6665" i="2"/>
  <c r="P6665" i="2"/>
  <c r="L6666" i="2"/>
  <c r="M6666" i="2"/>
  <c r="N6666" i="2"/>
  <c r="P6666" i="2"/>
  <c r="L6667" i="2"/>
  <c r="M6667" i="2"/>
  <c r="N6667" i="2"/>
  <c r="P6667" i="2"/>
  <c r="L6668" i="2"/>
  <c r="M6668" i="2"/>
  <c r="N6668" i="2"/>
  <c r="P6668" i="2"/>
  <c r="L6669" i="2"/>
  <c r="M6669" i="2"/>
  <c r="N6669" i="2"/>
  <c r="P6669" i="2"/>
  <c r="L6670" i="2"/>
  <c r="M6670" i="2"/>
  <c r="N6670" i="2"/>
  <c r="P6670" i="2"/>
  <c r="L6671" i="2"/>
  <c r="M6671" i="2"/>
  <c r="N6671" i="2"/>
  <c r="P6671" i="2"/>
  <c r="L6672" i="2"/>
  <c r="M6672" i="2"/>
  <c r="N6672" i="2"/>
  <c r="P6672" i="2"/>
  <c r="L6673" i="2"/>
  <c r="M6673" i="2"/>
  <c r="N6673" i="2"/>
  <c r="P6673" i="2"/>
  <c r="L6674" i="2"/>
  <c r="M6674" i="2"/>
  <c r="N6674" i="2"/>
  <c r="P6674" i="2"/>
  <c r="L6675" i="2"/>
  <c r="M6675" i="2"/>
  <c r="N6675" i="2"/>
  <c r="P6675" i="2"/>
  <c r="L6676" i="2"/>
  <c r="M6676" i="2"/>
  <c r="N6676" i="2"/>
  <c r="P6676" i="2"/>
  <c r="L6677" i="2"/>
  <c r="M6677" i="2"/>
  <c r="N6677" i="2"/>
  <c r="P6677" i="2"/>
  <c r="L6678" i="2"/>
  <c r="M6678" i="2"/>
  <c r="N6678" i="2"/>
  <c r="P6678" i="2"/>
  <c r="L6679" i="2"/>
  <c r="M6679" i="2"/>
  <c r="N6679" i="2"/>
  <c r="P6679" i="2"/>
  <c r="L6680" i="2"/>
  <c r="M6680" i="2"/>
  <c r="N6680" i="2"/>
  <c r="P6680" i="2"/>
  <c r="L6681" i="2"/>
  <c r="M6681" i="2"/>
  <c r="N6681" i="2"/>
  <c r="P6681" i="2"/>
  <c r="L6682" i="2"/>
  <c r="M6682" i="2"/>
  <c r="N6682" i="2"/>
  <c r="P6682" i="2"/>
  <c r="L6683" i="2"/>
  <c r="M6683" i="2"/>
  <c r="N6683" i="2"/>
  <c r="P6683" i="2"/>
  <c r="L6684" i="2"/>
  <c r="M6684" i="2"/>
  <c r="N6684" i="2"/>
  <c r="P6684" i="2"/>
  <c r="L6685" i="2"/>
  <c r="M6685" i="2"/>
  <c r="N6685" i="2"/>
  <c r="P6685" i="2"/>
  <c r="L6686" i="2"/>
  <c r="M6686" i="2"/>
  <c r="N6686" i="2"/>
  <c r="P6686" i="2"/>
  <c r="L6687" i="2"/>
  <c r="M6687" i="2"/>
  <c r="N6687" i="2"/>
  <c r="P6687" i="2"/>
  <c r="L6688" i="2"/>
  <c r="M6688" i="2"/>
  <c r="N6688" i="2"/>
  <c r="P6688" i="2"/>
  <c r="L6689" i="2"/>
  <c r="M6689" i="2"/>
  <c r="N6689" i="2"/>
  <c r="P6689" i="2"/>
  <c r="L6690" i="2"/>
  <c r="M6690" i="2"/>
  <c r="N6690" i="2"/>
  <c r="P6690" i="2"/>
  <c r="L6691" i="2"/>
  <c r="M6691" i="2"/>
  <c r="N6691" i="2"/>
  <c r="P6691" i="2"/>
  <c r="L6692" i="2"/>
  <c r="M6692" i="2"/>
  <c r="N6692" i="2"/>
  <c r="P6692" i="2"/>
  <c r="L6693" i="2"/>
  <c r="M6693" i="2"/>
  <c r="N6693" i="2"/>
  <c r="P6693" i="2"/>
  <c r="L6694" i="2"/>
  <c r="M6694" i="2"/>
  <c r="N6694" i="2"/>
  <c r="P6694" i="2"/>
  <c r="L6695" i="2"/>
  <c r="M6695" i="2"/>
  <c r="N6695" i="2"/>
  <c r="P6695" i="2"/>
  <c r="L6696" i="2"/>
  <c r="M6696" i="2"/>
  <c r="N6696" i="2"/>
  <c r="P6696" i="2"/>
  <c r="L6697" i="2"/>
  <c r="M6697" i="2"/>
  <c r="N6697" i="2"/>
  <c r="P6697" i="2"/>
  <c r="L6698" i="2"/>
  <c r="M6698" i="2"/>
  <c r="N6698" i="2"/>
  <c r="P6698" i="2"/>
  <c r="L6699" i="2"/>
  <c r="M6699" i="2"/>
  <c r="N6699" i="2"/>
  <c r="P6699" i="2"/>
  <c r="L6700" i="2"/>
  <c r="M6700" i="2"/>
  <c r="N6700" i="2"/>
  <c r="P6700" i="2"/>
  <c r="L6701" i="2"/>
  <c r="M6701" i="2"/>
  <c r="N6701" i="2"/>
  <c r="P6701" i="2"/>
  <c r="L6702" i="2"/>
  <c r="M6702" i="2"/>
  <c r="N6702" i="2"/>
  <c r="P6702" i="2"/>
  <c r="L6703" i="2"/>
  <c r="M6703" i="2"/>
  <c r="N6703" i="2"/>
  <c r="P6703" i="2"/>
  <c r="L6704" i="2"/>
  <c r="M6704" i="2"/>
  <c r="N6704" i="2"/>
  <c r="P6704" i="2"/>
  <c r="L6705" i="2"/>
  <c r="M6705" i="2"/>
  <c r="N6705" i="2"/>
  <c r="P6705" i="2"/>
  <c r="L6706" i="2"/>
  <c r="M6706" i="2"/>
  <c r="N6706" i="2"/>
  <c r="P6706" i="2"/>
  <c r="L6707" i="2"/>
  <c r="M6707" i="2"/>
  <c r="N6707" i="2"/>
  <c r="P6707" i="2"/>
  <c r="L6708" i="2"/>
  <c r="M6708" i="2"/>
  <c r="N6708" i="2"/>
  <c r="P6708" i="2"/>
  <c r="L6709" i="2"/>
  <c r="M6709" i="2"/>
  <c r="N6709" i="2"/>
  <c r="P6709" i="2"/>
  <c r="L6710" i="2"/>
  <c r="M6710" i="2"/>
  <c r="N6710" i="2"/>
  <c r="P6710" i="2"/>
  <c r="L6711" i="2"/>
  <c r="M6711" i="2"/>
  <c r="N6711" i="2"/>
  <c r="P6711" i="2"/>
  <c r="L6712" i="2"/>
  <c r="M6712" i="2"/>
  <c r="N6712" i="2"/>
  <c r="P6712" i="2"/>
  <c r="L6713" i="2"/>
  <c r="M6713" i="2"/>
  <c r="N6713" i="2"/>
  <c r="P6713" i="2"/>
  <c r="L6714" i="2"/>
  <c r="M6714" i="2"/>
  <c r="N6714" i="2"/>
  <c r="P6714" i="2"/>
  <c r="L6715" i="2"/>
  <c r="M6715" i="2"/>
  <c r="N6715" i="2"/>
  <c r="P6715" i="2"/>
  <c r="L6716" i="2"/>
  <c r="M6716" i="2"/>
  <c r="N6716" i="2"/>
  <c r="P6716" i="2"/>
  <c r="L6717" i="2"/>
  <c r="M6717" i="2"/>
  <c r="N6717" i="2"/>
  <c r="P6717" i="2"/>
  <c r="L6718" i="2"/>
  <c r="M6718" i="2"/>
  <c r="N6718" i="2"/>
  <c r="P6718" i="2"/>
  <c r="L6719" i="2"/>
  <c r="M6719" i="2"/>
  <c r="N6719" i="2"/>
  <c r="P6719" i="2"/>
  <c r="L6720" i="2"/>
  <c r="M6720" i="2"/>
  <c r="N6720" i="2"/>
  <c r="P6720" i="2"/>
  <c r="L6721" i="2"/>
  <c r="M6721" i="2"/>
  <c r="N6721" i="2"/>
  <c r="P6721" i="2"/>
  <c r="L6722" i="2"/>
  <c r="M6722" i="2"/>
  <c r="N6722" i="2"/>
  <c r="P6722" i="2"/>
  <c r="L6723" i="2"/>
  <c r="M6723" i="2"/>
  <c r="N6723" i="2"/>
  <c r="P6723" i="2"/>
  <c r="L6724" i="2"/>
  <c r="M6724" i="2"/>
  <c r="N6724" i="2"/>
  <c r="P6724" i="2"/>
  <c r="L6725" i="2"/>
  <c r="M6725" i="2"/>
  <c r="N6725" i="2"/>
  <c r="P6725" i="2"/>
  <c r="L6726" i="2"/>
  <c r="M6726" i="2"/>
  <c r="N6726" i="2"/>
  <c r="P6726" i="2"/>
  <c r="L6727" i="2"/>
  <c r="M6727" i="2"/>
  <c r="N6727" i="2"/>
  <c r="P6727" i="2"/>
  <c r="L6728" i="2"/>
  <c r="M6728" i="2"/>
  <c r="N6728" i="2"/>
  <c r="P6728" i="2"/>
  <c r="L6729" i="2"/>
  <c r="M6729" i="2"/>
  <c r="N6729" i="2"/>
  <c r="P6729" i="2"/>
  <c r="L6730" i="2"/>
  <c r="M6730" i="2"/>
  <c r="N6730" i="2"/>
  <c r="P6730" i="2"/>
  <c r="L6731" i="2"/>
  <c r="M6731" i="2"/>
  <c r="N6731" i="2"/>
  <c r="P6731" i="2"/>
  <c r="L6732" i="2"/>
  <c r="M6732" i="2"/>
  <c r="N6732" i="2"/>
  <c r="P6732" i="2"/>
  <c r="L6733" i="2"/>
  <c r="M6733" i="2"/>
  <c r="N6733" i="2"/>
  <c r="P6733" i="2"/>
  <c r="L6734" i="2"/>
  <c r="M6734" i="2"/>
  <c r="N6734" i="2"/>
  <c r="P6734" i="2"/>
  <c r="L6735" i="2"/>
  <c r="M6735" i="2"/>
  <c r="N6735" i="2"/>
  <c r="P6735" i="2"/>
  <c r="L6736" i="2"/>
  <c r="M6736" i="2"/>
  <c r="N6736" i="2"/>
  <c r="P6736" i="2"/>
  <c r="L6737" i="2"/>
  <c r="M6737" i="2"/>
  <c r="N6737" i="2"/>
  <c r="P6737" i="2"/>
  <c r="L6738" i="2"/>
  <c r="M6738" i="2"/>
  <c r="N6738" i="2"/>
  <c r="P6738" i="2"/>
  <c r="L6739" i="2"/>
  <c r="M6739" i="2"/>
  <c r="N6739" i="2"/>
  <c r="P6739" i="2"/>
  <c r="L6740" i="2"/>
  <c r="M6740" i="2"/>
  <c r="N6740" i="2"/>
  <c r="P6740" i="2"/>
  <c r="L6741" i="2"/>
  <c r="M6741" i="2"/>
  <c r="N6741" i="2"/>
  <c r="P6741" i="2"/>
  <c r="L6742" i="2"/>
  <c r="M6742" i="2"/>
  <c r="N6742" i="2"/>
  <c r="P6742" i="2"/>
  <c r="L6743" i="2"/>
  <c r="M6743" i="2"/>
  <c r="N6743" i="2"/>
  <c r="P6743" i="2"/>
  <c r="L6744" i="2"/>
  <c r="M6744" i="2"/>
  <c r="N6744" i="2"/>
  <c r="P6744" i="2"/>
  <c r="L6745" i="2"/>
  <c r="M6745" i="2"/>
  <c r="N6745" i="2"/>
  <c r="P6745" i="2"/>
  <c r="L6746" i="2"/>
  <c r="M6746" i="2"/>
  <c r="N6746" i="2"/>
  <c r="P6746" i="2"/>
  <c r="L6747" i="2"/>
  <c r="M6747" i="2"/>
  <c r="N6747" i="2"/>
  <c r="P6747" i="2"/>
  <c r="L6748" i="2"/>
  <c r="M6748" i="2"/>
  <c r="N6748" i="2"/>
  <c r="P6748" i="2"/>
  <c r="L6749" i="2"/>
  <c r="M6749" i="2"/>
  <c r="N6749" i="2"/>
  <c r="P6749" i="2"/>
  <c r="L6750" i="2"/>
  <c r="M6750" i="2"/>
  <c r="N6750" i="2"/>
  <c r="P6750" i="2"/>
  <c r="L6751" i="2"/>
  <c r="M6751" i="2"/>
  <c r="N6751" i="2"/>
  <c r="P6751" i="2"/>
  <c r="L6752" i="2"/>
  <c r="M6752" i="2"/>
  <c r="N6752" i="2"/>
  <c r="P6752" i="2"/>
  <c r="L6753" i="2"/>
  <c r="M6753" i="2"/>
  <c r="N6753" i="2"/>
  <c r="P6753" i="2"/>
  <c r="L6754" i="2"/>
  <c r="M6754" i="2"/>
  <c r="N6754" i="2"/>
  <c r="P6754" i="2"/>
  <c r="L6755" i="2"/>
  <c r="M6755" i="2"/>
  <c r="N6755" i="2"/>
  <c r="P6755" i="2"/>
  <c r="L6756" i="2"/>
  <c r="M6756" i="2"/>
  <c r="N6756" i="2"/>
  <c r="P6756" i="2"/>
  <c r="L6757" i="2"/>
  <c r="M6757" i="2"/>
  <c r="N6757" i="2"/>
  <c r="P6757" i="2"/>
  <c r="L6758" i="2"/>
  <c r="M6758" i="2"/>
  <c r="N6758" i="2"/>
  <c r="P6758" i="2"/>
  <c r="L6759" i="2"/>
  <c r="M6759" i="2"/>
  <c r="N6759" i="2"/>
  <c r="P6759" i="2"/>
  <c r="L6760" i="2"/>
  <c r="M6760" i="2"/>
  <c r="N6760" i="2"/>
  <c r="P6760" i="2"/>
  <c r="L6761" i="2"/>
  <c r="M6761" i="2"/>
  <c r="N6761" i="2"/>
  <c r="P6761" i="2"/>
  <c r="L6762" i="2"/>
  <c r="M6762" i="2"/>
  <c r="N6762" i="2"/>
  <c r="P6762" i="2"/>
  <c r="L6763" i="2"/>
  <c r="M6763" i="2"/>
  <c r="N6763" i="2"/>
  <c r="P6763" i="2"/>
  <c r="L6764" i="2"/>
  <c r="M6764" i="2"/>
  <c r="N6764" i="2"/>
  <c r="P6764" i="2"/>
  <c r="L6765" i="2"/>
  <c r="M6765" i="2"/>
  <c r="N6765" i="2"/>
  <c r="P6765" i="2"/>
  <c r="L6766" i="2"/>
  <c r="M6766" i="2"/>
  <c r="N6766" i="2"/>
  <c r="P6766" i="2"/>
  <c r="L6767" i="2"/>
  <c r="M6767" i="2"/>
  <c r="N6767" i="2"/>
  <c r="P6767" i="2"/>
  <c r="L6768" i="2"/>
  <c r="M6768" i="2"/>
  <c r="N6768" i="2"/>
  <c r="P6768" i="2"/>
  <c r="L6769" i="2"/>
  <c r="M6769" i="2"/>
  <c r="N6769" i="2"/>
  <c r="P6769" i="2"/>
  <c r="L6770" i="2"/>
  <c r="M6770" i="2"/>
  <c r="N6770" i="2"/>
  <c r="P6770" i="2"/>
  <c r="L6771" i="2"/>
  <c r="M6771" i="2"/>
  <c r="N6771" i="2"/>
  <c r="P6771" i="2"/>
  <c r="L6772" i="2"/>
  <c r="M6772" i="2"/>
  <c r="N6772" i="2"/>
  <c r="P6772" i="2"/>
  <c r="L6773" i="2"/>
  <c r="M6773" i="2"/>
  <c r="N6773" i="2"/>
  <c r="P6773" i="2"/>
  <c r="L6774" i="2"/>
  <c r="M6774" i="2"/>
  <c r="N6774" i="2"/>
  <c r="P6774" i="2"/>
  <c r="L6775" i="2"/>
  <c r="M6775" i="2"/>
  <c r="N6775" i="2"/>
  <c r="P6775" i="2"/>
  <c r="L6776" i="2"/>
  <c r="M6776" i="2"/>
  <c r="N6776" i="2"/>
  <c r="P6776" i="2"/>
  <c r="L6777" i="2"/>
  <c r="M6777" i="2"/>
  <c r="N6777" i="2"/>
  <c r="P6777" i="2"/>
  <c r="L6778" i="2"/>
  <c r="M6778" i="2"/>
  <c r="N6778" i="2"/>
  <c r="P6778" i="2"/>
  <c r="L6779" i="2"/>
  <c r="M6779" i="2"/>
  <c r="N6779" i="2"/>
  <c r="P6779" i="2"/>
  <c r="L6780" i="2"/>
  <c r="M6780" i="2"/>
  <c r="N6780" i="2"/>
  <c r="P6780" i="2"/>
  <c r="L6781" i="2"/>
  <c r="M6781" i="2"/>
  <c r="N6781" i="2"/>
  <c r="P6781" i="2"/>
  <c r="L6782" i="2"/>
  <c r="M6782" i="2"/>
  <c r="N6782" i="2"/>
  <c r="P6782" i="2"/>
  <c r="L6783" i="2"/>
  <c r="M6783" i="2"/>
  <c r="N6783" i="2"/>
  <c r="P6783" i="2"/>
  <c r="L6784" i="2"/>
  <c r="M6784" i="2"/>
  <c r="N6784" i="2"/>
  <c r="P6784" i="2"/>
  <c r="L6785" i="2"/>
  <c r="M6785" i="2"/>
  <c r="N6785" i="2"/>
  <c r="P6785" i="2"/>
  <c r="L6786" i="2"/>
  <c r="M6786" i="2"/>
  <c r="N6786" i="2"/>
  <c r="P6786" i="2"/>
  <c r="L6787" i="2"/>
  <c r="M6787" i="2"/>
  <c r="N6787" i="2"/>
  <c r="P6787" i="2"/>
  <c r="L6788" i="2"/>
  <c r="M6788" i="2"/>
  <c r="N6788" i="2"/>
  <c r="P6788" i="2"/>
  <c r="L6789" i="2"/>
  <c r="M6789" i="2"/>
  <c r="N6789" i="2"/>
  <c r="P6789" i="2"/>
  <c r="L6790" i="2"/>
  <c r="M6790" i="2"/>
  <c r="N6790" i="2"/>
  <c r="P6790" i="2"/>
  <c r="L6791" i="2"/>
  <c r="M6791" i="2"/>
  <c r="N6791" i="2"/>
  <c r="P6791" i="2"/>
  <c r="L6792" i="2"/>
  <c r="M6792" i="2"/>
  <c r="N6792" i="2"/>
  <c r="P6792" i="2"/>
  <c r="L6793" i="2"/>
  <c r="M6793" i="2"/>
  <c r="N6793" i="2"/>
  <c r="P6793" i="2"/>
  <c r="L6794" i="2"/>
  <c r="M6794" i="2"/>
  <c r="N6794" i="2"/>
  <c r="P6794" i="2"/>
  <c r="L6795" i="2"/>
  <c r="M6795" i="2"/>
  <c r="N6795" i="2"/>
  <c r="P6795" i="2"/>
  <c r="L6796" i="2"/>
  <c r="M6796" i="2"/>
  <c r="N6796" i="2"/>
  <c r="P6796" i="2"/>
  <c r="L6797" i="2"/>
  <c r="M6797" i="2"/>
  <c r="N6797" i="2"/>
  <c r="P6797" i="2"/>
  <c r="L6590" i="2"/>
  <c r="M6590" i="2"/>
  <c r="N6590" i="2"/>
  <c r="P6590" i="2"/>
  <c r="L6591" i="2"/>
  <c r="M6591" i="2"/>
  <c r="N6591" i="2"/>
  <c r="P6591" i="2"/>
  <c r="L6592" i="2"/>
  <c r="M6592" i="2"/>
  <c r="N6592" i="2"/>
  <c r="P6592" i="2"/>
  <c r="L6593" i="2"/>
  <c r="M6593" i="2"/>
  <c r="N6593" i="2"/>
  <c r="P6593" i="2"/>
  <c r="L6594" i="2"/>
  <c r="M6594" i="2"/>
  <c r="N6594" i="2"/>
  <c r="P6594" i="2"/>
  <c r="L6595" i="2"/>
  <c r="M6595" i="2"/>
  <c r="N6595" i="2"/>
  <c r="P6595" i="2"/>
  <c r="L6596" i="2"/>
  <c r="M6596" i="2"/>
  <c r="N6596" i="2"/>
  <c r="P6596" i="2"/>
  <c r="L6597" i="2"/>
  <c r="M6597" i="2"/>
  <c r="N6597" i="2"/>
  <c r="P6597" i="2"/>
  <c r="L6598" i="2"/>
  <c r="M6598" i="2"/>
  <c r="N6598" i="2"/>
  <c r="P6598" i="2"/>
  <c r="L6599" i="2"/>
  <c r="M6599" i="2"/>
  <c r="N6599" i="2"/>
  <c r="P6599" i="2"/>
  <c r="L6600" i="2"/>
  <c r="M6600" i="2"/>
  <c r="N6600" i="2"/>
  <c r="P6600" i="2"/>
  <c r="L6601" i="2"/>
  <c r="M6601" i="2"/>
  <c r="N6601" i="2"/>
  <c r="P6601" i="2"/>
  <c r="L6602" i="2"/>
  <c r="M6602" i="2"/>
  <c r="N6602" i="2"/>
  <c r="P6602" i="2"/>
  <c r="L6603" i="2"/>
  <c r="M6603" i="2"/>
  <c r="N6603" i="2"/>
  <c r="P6603" i="2"/>
  <c r="L6604" i="2"/>
  <c r="M6604" i="2"/>
  <c r="N6604" i="2"/>
  <c r="P6604" i="2"/>
  <c r="L6605" i="2"/>
  <c r="M6605" i="2"/>
  <c r="N6605" i="2"/>
  <c r="P6605" i="2"/>
  <c r="L6606" i="2"/>
  <c r="M6606" i="2"/>
  <c r="N6606" i="2"/>
  <c r="P6606" i="2"/>
  <c r="L6607" i="2"/>
  <c r="M6607" i="2"/>
  <c r="N6607" i="2"/>
  <c r="P6607" i="2"/>
  <c r="L6608" i="2"/>
  <c r="M6608" i="2"/>
  <c r="N6608" i="2"/>
  <c r="P6608" i="2"/>
  <c r="L6609" i="2"/>
  <c r="M6609" i="2"/>
  <c r="N6609" i="2"/>
  <c r="P6609" i="2"/>
  <c r="L6610" i="2"/>
  <c r="M6610" i="2"/>
  <c r="N6610" i="2"/>
  <c r="P6610" i="2"/>
  <c r="L6611" i="2"/>
  <c r="M6611" i="2"/>
  <c r="N6611" i="2"/>
  <c r="P6611" i="2"/>
  <c r="L6612" i="2"/>
  <c r="M6612" i="2"/>
  <c r="N6612" i="2"/>
  <c r="P6612" i="2"/>
  <c r="L6613" i="2"/>
  <c r="M6613" i="2"/>
  <c r="N6613" i="2"/>
  <c r="P6613" i="2"/>
  <c r="L6614" i="2"/>
  <c r="M6614" i="2"/>
  <c r="N6614" i="2"/>
  <c r="P6614" i="2"/>
  <c r="L6615" i="2"/>
  <c r="M6615" i="2"/>
  <c r="N6615" i="2"/>
  <c r="P6615" i="2"/>
  <c r="L6616" i="2"/>
  <c r="M6616" i="2"/>
  <c r="N6616" i="2"/>
  <c r="P6616" i="2"/>
  <c r="L6617" i="2"/>
  <c r="M6617" i="2"/>
  <c r="N6617" i="2"/>
  <c r="P6617" i="2"/>
  <c r="L6618" i="2"/>
  <c r="M6618" i="2"/>
  <c r="N6618" i="2"/>
  <c r="P6618" i="2"/>
  <c r="L6619" i="2"/>
  <c r="M6619" i="2"/>
  <c r="N6619" i="2"/>
  <c r="P6619" i="2"/>
  <c r="L6620" i="2"/>
  <c r="M6620" i="2"/>
  <c r="N6620" i="2"/>
  <c r="P6620" i="2"/>
  <c r="L6621" i="2"/>
  <c r="M6621" i="2"/>
  <c r="N6621" i="2"/>
  <c r="P6621" i="2"/>
  <c r="L6622" i="2"/>
  <c r="M6622" i="2"/>
  <c r="N6622" i="2"/>
  <c r="P6622" i="2"/>
  <c r="L6623" i="2"/>
  <c r="M6623" i="2"/>
  <c r="N6623" i="2"/>
  <c r="P6623" i="2"/>
  <c r="L6624" i="2"/>
  <c r="M6624" i="2"/>
  <c r="N6624" i="2"/>
  <c r="P6624" i="2"/>
  <c r="L6625" i="2"/>
  <c r="M6625" i="2"/>
  <c r="N6625" i="2"/>
  <c r="P6625" i="2"/>
  <c r="L6626" i="2"/>
  <c r="M6626" i="2"/>
  <c r="N6626" i="2"/>
  <c r="P6626" i="2"/>
  <c r="L6627" i="2"/>
  <c r="M6627" i="2"/>
  <c r="N6627" i="2"/>
  <c r="P6627" i="2"/>
  <c r="L6628" i="2"/>
  <c r="M6628" i="2"/>
  <c r="N6628" i="2"/>
  <c r="P6628" i="2"/>
  <c r="L6629" i="2"/>
  <c r="M6629" i="2"/>
  <c r="N6629" i="2"/>
  <c r="P6629" i="2"/>
  <c r="L6630" i="2"/>
  <c r="M6630" i="2"/>
  <c r="N6630" i="2"/>
  <c r="P6630" i="2"/>
  <c r="L6631" i="2"/>
  <c r="M6631" i="2"/>
  <c r="N6631" i="2"/>
  <c r="P6631" i="2"/>
  <c r="P6633" i="2"/>
  <c r="N6633" i="2"/>
  <c r="M6633" i="2"/>
  <c r="L6633" i="2"/>
  <c r="P6798" i="2"/>
  <c r="N6798" i="2"/>
  <c r="M6798" i="2"/>
  <c r="L6798" i="2"/>
  <c r="P6589" i="2"/>
  <c r="N6589" i="2"/>
  <c r="M6589" i="2"/>
  <c r="L6589" i="2"/>
  <c r="L6632" i="2"/>
  <c r="M6632" i="2"/>
  <c r="N6632" i="2"/>
  <c r="P6632" i="2"/>
  <c r="L6799" i="2"/>
  <c r="M6799" i="2"/>
  <c r="N6799" i="2"/>
  <c r="P6799" i="2"/>
  <c r="L6588" i="2"/>
  <c r="M6588" i="2"/>
  <c r="N6588" i="2"/>
  <c r="P6588" i="2"/>
  <c r="L6396" i="2"/>
  <c r="M6396" i="2"/>
  <c r="N6396" i="2"/>
  <c r="P6396" i="2"/>
  <c r="L6397" i="2"/>
  <c r="M6397" i="2"/>
  <c r="N6397" i="2"/>
  <c r="P6397" i="2"/>
  <c r="L6398" i="2"/>
  <c r="M6398" i="2"/>
  <c r="N6398" i="2"/>
  <c r="P6398" i="2"/>
  <c r="L6399" i="2"/>
  <c r="M6399" i="2"/>
  <c r="N6399" i="2"/>
  <c r="P6399" i="2"/>
  <c r="L6400" i="2"/>
  <c r="M6400" i="2"/>
  <c r="N6400" i="2"/>
  <c r="P6400" i="2"/>
  <c r="L6401" i="2"/>
  <c r="M6401" i="2"/>
  <c r="N6401" i="2"/>
  <c r="P6401" i="2"/>
  <c r="L6402" i="2"/>
  <c r="M6402" i="2"/>
  <c r="N6402" i="2"/>
  <c r="P6402" i="2"/>
  <c r="L6403" i="2"/>
  <c r="M6403" i="2"/>
  <c r="N6403" i="2"/>
  <c r="P6403" i="2"/>
  <c r="L6404" i="2"/>
  <c r="M6404" i="2"/>
  <c r="N6404" i="2"/>
  <c r="P6404" i="2"/>
  <c r="L6405" i="2"/>
  <c r="M6405" i="2"/>
  <c r="N6405" i="2"/>
  <c r="P6405" i="2"/>
  <c r="L6406" i="2"/>
  <c r="M6406" i="2"/>
  <c r="N6406" i="2"/>
  <c r="P6406" i="2"/>
  <c r="L6407" i="2"/>
  <c r="M6407" i="2"/>
  <c r="N6407" i="2"/>
  <c r="P6407" i="2"/>
  <c r="L6408" i="2"/>
  <c r="M6408" i="2"/>
  <c r="N6408" i="2"/>
  <c r="P6408" i="2"/>
  <c r="L6409" i="2"/>
  <c r="M6409" i="2"/>
  <c r="N6409" i="2"/>
  <c r="P6409" i="2"/>
  <c r="L6410" i="2"/>
  <c r="M6410" i="2"/>
  <c r="N6410" i="2"/>
  <c r="P6410" i="2"/>
  <c r="L6411" i="2"/>
  <c r="M6411" i="2"/>
  <c r="N6411" i="2"/>
  <c r="P6411" i="2"/>
  <c r="L6412" i="2"/>
  <c r="M6412" i="2"/>
  <c r="N6412" i="2"/>
  <c r="P6412" i="2"/>
  <c r="L6413" i="2"/>
  <c r="M6413" i="2"/>
  <c r="N6413" i="2"/>
  <c r="P6413" i="2"/>
  <c r="L6414" i="2"/>
  <c r="M6414" i="2"/>
  <c r="N6414" i="2"/>
  <c r="P6414" i="2"/>
  <c r="L6415" i="2"/>
  <c r="M6415" i="2"/>
  <c r="N6415" i="2"/>
  <c r="P6415" i="2"/>
  <c r="L6416" i="2"/>
  <c r="M6416" i="2"/>
  <c r="N6416" i="2"/>
  <c r="P6416" i="2"/>
  <c r="L6417" i="2"/>
  <c r="M6417" i="2"/>
  <c r="N6417" i="2"/>
  <c r="P6417" i="2"/>
  <c r="L6418" i="2"/>
  <c r="M6418" i="2"/>
  <c r="N6418" i="2"/>
  <c r="P6418" i="2"/>
  <c r="L6419" i="2"/>
  <c r="M6419" i="2"/>
  <c r="N6419" i="2"/>
  <c r="P6419" i="2"/>
  <c r="L6420" i="2"/>
  <c r="M6420" i="2"/>
  <c r="N6420" i="2"/>
  <c r="P6420" i="2"/>
  <c r="L6421" i="2"/>
  <c r="M6421" i="2"/>
  <c r="N6421" i="2"/>
  <c r="P6421" i="2"/>
  <c r="L6422" i="2"/>
  <c r="M6422" i="2"/>
  <c r="N6422" i="2"/>
  <c r="P6422" i="2"/>
  <c r="L6423" i="2"/>
  <c r="M6423" i="2"/>
  <c r="N6423" i="2"/>
  <c r="P6423" i="2"/>
  <c r="L6424" i="2"/>
  <c r="M6424" i="2"/>
  <c r="N6424" i="2"/>
  <c r="P6424" i="2"/>
  <c r="L6425" i="2"/>
  <c r="M6425" i="2"/>
  <c r="N6425" i="2"/>
  <c r="P6425" i="2"/>
  <c r="L6426" i="2"/>
  <c r="M6426" i="2"/>
  <c r="N6426" i="2"/>
  <c r="P6426" i="2"/>
  <c r="L6427" i="2"/>
  <c r="M6427" i="2"/>
  <c r="N6427" i="2"/>
  <c r="P6427" i="2"/>
  <c r="L6428" i="2"/>
  <c r="M6428" i="2"/>
  <c r="N6428" i="2"/>
  <c r="P6428" i="2"/>
  <c r="L6429" i="2"/>
  <c r="M6429" i="2"/>
  <c r="N6429" i="2"/>
  <c r="P6429" i="2"/>
  <c r="L6430" i="2"/>
  <c r="M6430" i="2"/>
  <c r="N6430" i="2"/>
  <c r="P6430" i="2"/>
  <c r="L6431" i="2"/>
  <c r="M6431" i="2"/>
  <c r="N6431" i="2"/>
  <c r="P6431" i="2"/>
  <c r="L6432" i="2"/>
  <c r="M6432" i="2"/>
  <c r="N6432" i="2"/>
  <c r="P6432" i="2"/>
  <c r="L6433" i="2"/>
  <c r="M6433" i="2"/>
  <c r="N6433" i="2"/>
  <c r="P6433" i="2"/>
  <c r="L6434" i="2"/>
  <c r="M6434" i="2"/>
  <c r="N6434" i="2"/>
  <c r="P6434" i="2"/>
  <c r="L6435" i="2"/>
  <c r="M6435" i="2"/>
  <c r="N6435" i="2"/>
  <c r="P6435" i="2"/>
  <c r="L6436" i="2"/>
  <c r="M6436" i="2"/>
  <c r="N6436" i="2"/>
  <c r="P6436" i="2"/>
  <c r="L6437" i="2"/>
  <c r="M6437" i="2"/>
  <c r="N6437" i="2"/>
  <c r="P6437" i="2"/>
  <c r="L6438" i="2"/>
  <c r="M6438" i="2"/>
  <c r="N6438" i="2"/>
  <c r="P6438" i="2"/>
  <c r="L6439" i="2"/>
  <c r="M6439" i="2"/>
  <c r="N6439" i="2"/>
  <c r="P6439" i="2"/>
  <c r="L6440" i="2"/>
  <c r="M6440" i="2"/>
  <c r="N6440" i="2"/>
  <c r="P6440" i="2"/>
  <c r="L6441" i="2"/>
  <c r="M6441" i="2"/>
  <c r="N6441" i="2"/>
  <c r="P6441" i="2"/>
  <c r="L6442" i="2"/>
  <c r="M6442" i="2"/>
  <c r="N6442" i="2"/>
  <c r="P6442" i="2"/>
  <c r="L6443" i="2"/>
  <c r="M6443" i="2"/>
  <c r="N6443" i="2"/>
  <c r="P6443" i="2"/>
  <c r="L6444" i="2"/>
  <c r="M6444" i="2"/>
  <c r="N6444" i="2"/>
  <c r="P6444" i="2"/>
  <c r="L6445" i="2"/>
  <c r="M6445" i="2"/>
  <c r="N6445" i="2"/>
  <c r="P6445" i="2"/>
  <c r="L6446" i="2"/>
  <c r="M6446" i="2"/>
  <c r="N6446" i="2"/>
  <c r="P6446" i="2"/>
  <c r="L6447" i="2"/>
  <c r="M6447" i="2"/>
  <c r="N6447" i="2"/>
  <c r="P6447" i="2"/>
  <c r="L6448" i="2"/>
  <c r="M6448" i="2"/>
  <c r="N6448" i="2"/>
  <c r="P6448" i="2"/>
  <c r="L6449" i="2"/>
  <c r="M6449" i="2"/>
  <c r="N6449" i="2"/>
  <c r="P6449" i="2"/>
  <c r="L6450" i="2"/>
  <c r="M6450" i="2"/>
  <c r="N6450" i="2"/>
  <c r="P6450" i="2"/>
  <c r="L6451" i="2"/>
  <c r="M6451" i="2"/>
  <c r="N6451" i="2"/>
  <c r="P6451" i="2"/>
  <c r="L6452" i="2"/>
  <c r="M6452" i="2"/>
  <c r="N6452" i="2"/>
  <c r="P6452" i="2"/>
  <c r="L6453" i="2"/>
  <c r="M6453" i="2"/>
  <c r="N6453" i="2"/>
  <c r="P6453" i="2"/>
  <c r="L6454" i="2"/>
  <c r="M6454" i="2"/>
  <c r="N6454" i="2"/>
  <c r="P6454" i="2"/>
  <c r="L6455" i="2"/>
  <c r="M6455" i="2"/>
  <c r="N6455" i="2"/>
  <c r="P6455" i="2"/>
  <c r="L6456" i="2"/>
  <c r="M6456" i="2"/>
  <c r="N6456" i="2"/>
  <c r="P6456" i="2"/>
  <c r="L6457" i="2"/>
  <c r="M6457" i="2"/>
  <c r="N6457" i="2"/>
  <c r="P6457" i="2"/>
  <c r="L6458" i="2"/>
  <c r="M6458" i="2"/>
  <c r="N6458" i="2"/>
  <c r="P6458" i="2"/>
  <c r="L6459" i="2"/>
  <c r="M6459" i="2"/>
  <c r="N6459" i="2"/>
  <c r="P6459" i="2"/>
  <c r="L6460" i="2"/>
  <c r="M6460" i="2"/>
  <c r="N6460" i="2"/>
  <c r="P6460" i="2"/>
  <c r="L6461" i="2"/>
  <c r="M6461" i="2"/>
  <c r="N6461" i="2"/>
  <c r="P6461" i="2"/>
  <c r="L6462" i="2"/>
  <c r="M6462" i="2"/>
  <c r="N6462" i="2"/>
  <c r="P6462" i="2"/>
  <c r="L6463" i="2"/>
  <c r="M6463" i="2"/>
  <c r="N6463" i="2"/>
  <c r="P6463" i="2"/>
  <c r="L6464" i="2"/>
  <c r="M6464" i="2"/>
  <c r="N6464" i="2"/>
  <c r="P6464" i="2"/>
  <c r="L6465" i="2"/>
  <c r="M6465" i="2"/>
  <c r="N6465" i="2"/>
  <c r="P6465" i="2"/>
  <c r="L6466" i="2"/>
  <c r="M6466" i="2"/>
  <c r="N6466" i="2"/>
  <c r="P6466" i="2"/>
  <c r="L6467" i="2"/>
  <c r="M6467" i="2"/>
  <c r="N6467" i="2"/>
  <c r="P6467" i="2"/>
  <c r="L6468" i="2"/>
  <c r="M6468" i="2"/>
  <c r="N6468" i="2"/>
  <c r="P6468" i="2"/>
  <c r="L6469" i="2"/>
  <c r="M6469" i="2"/>
  <c r="N6469" i="2"/>
  <c r="P6469" i="2"/>
  <c r="L6470" i="2"/>
  <c r="M6470" i="2"/>
  <c r="N6470" i="2"/>
  <c r="P6470" i="2"/>
  <c r="L6471" i="2"/>
  <c r="M6471" i="2"/>
  <c r="N6471" i="2"/>
  <c r="P6471" i="2"/>
  <c r="L6472" i="2"/>
  <c r="M6472" i="2"/>
  <c r="N6472" i="2"/>
  <c r="P6472" i="2"/>
  <c r="L6473" i="2"/>
  <c r="M6473" i="2"/>
  <c r="N6473" i="2"/>
  <c r="P6473" i="2"/>
  <c r="L6474" i="2"/>
  <c r="M6474" i="2"/>
  <c r="N6474" i="2"/>
  <c r="P6474" i="2"/>
  <c r="L6475" i="2"/>
  <c r="M6475" i="2"/>
  <c r="N6475" i="2"/>
  <c r="P6475" i="2"/>
  <c r="L6476" i="2"/>
  <c r="M6476" i="2"/>
  <c r="N6476" i="2"/>
  <c r="P6476" i="2"/>
  <c r="L6477" i="2"/>
  <c r="M6477" i="2"/>
  <c r="N6477" i="2"/>
  <c r="P6477" i="2"/>
  <c r="L6478" i="2"/>
  <c r="M6478" i="2"/>
  <c r="N6478" i="2"/>
  <c r="P6478" i="2"/>
  <c r="L6479" i="2"/>
  <c r="M6479" i="2"/>
  <c r="N6479" i="2"/>
  <c r="P6479" i="2"/>
  <c r="L6480" i="2"/>
  <c r="M6480" i="2"/>
  <c r="N6480" i="2"/>
  <c r="P6480" i="2"/>
  <c r="L6481" i="2"/>
  <c r="M6481" i="2"/>
  <c r="N6481" i="2"/>
  <c r="P6481" i="2"/>
  <c r="L6482" i="2"/>
  <c r="M6482" i="2"/>
  <c r="N6482" i="2"/>
  <c r="P6482" i="2"/>
  <c r="L6483" i="2"/>
  <c r="M6483" i="2"/>
  <c r="N6483" i="2"/>
  <c r="P6483" i="2"/>
  <c r="L6484" i="2"/>
  <c r="M6484" i="2"/>
  <c r="N6484" i="2"/>
  <c r="P6484" i="2"/>
  <c r="L6485" i="2"/>
  <c r="M6485" i="2"/>
  <c r="N6485" i="2"/>
  <c r="P6485" i="2"/>
  <c r="L6486" i="2"/>
  <c r="M6486" i="2"/>
  <c r="N6486" i="2"/>
  <c r="P6486" i="2"/>
  <c r="L6487" i="2"/>
  <c r="M6487" i="2"/>
  <c r="N6487" i="2"/>
  <c r="P6487" i="2"/>
  <c r="L6488" i="2"/>
  <c r="M6488" i="2"/>
  <c r="N6488" i="2"/>
  <c r="P6488" i="2"/>
  <c r="L6489" i="2"/>
  <c r="M6489" i="2"/>
  <c r="N6489" i="2"/>
  <c r="P6489" i="2"/>
  <c r="L6490" i="2"/>
  <c r="M6490" i="2"/>
  <c r="N6490" i="2"/>
  <c r="P6490" i="2"/>
  <c r="L6491" i="2"/>
  <c r="M6491" i="2"/>
  <c r="N6491" i="2"/>
  <c r="P6491" i="2"/>
  <c r="L6492" i="2"/>
  <c r="M6492" i="2"/>
  <c r="N6492" i="2"/>
  <c r="P6492" i="2"/>
  <c r="L6493" i="2"/>
  <c r="M6493" i="2"/>
  <c r="N6493" i="2"/>
  <c r="P6493" i="2"/>
  <c r="L6494" i="2"/>
  <c r="M6494" i="2"/>
  <c r="N6494" i="2"/>
  <c r="P6494" i="2"/>
  <c r="L6495" i="2"/>
  <c r="M6495" i="2"/>
  <c r="N6495" i="2"/>
  <c r="P6495" i="2"/>
  <c r="L6496" i="2"/>
  <c r="M6496" i="2"/>
  <c r="N6496" i="2"/>
  <c r="P6496" i="2"/>
  <c r="L6497" i="2"/>
  <c r="M6497" i="2"/>
  <c r="N6497" i="2"/>
  <c r="P6497" i="2"/>
  <c r="L6498" i="2"/>
  <c r="M6498" i="2"/>
  <c r="N6498" i="2"/>
  <c r="P6498" i="2"/>
  <c r="L6499" i="2"/>
  <c r="M6499" i="2"/>
  <c r="N6499" i="2"/>
  <c r="P6499" i="2"/>
  <c r="L6500" i="2"/>
  <c r="M6500" i="2"/>
  <c r="N6500" i="2"/>
  <c r="P6500" i="2"/>
  <c r="L6501" i="2"/>
  <c r="M6501" i="2"/>
  <c r="N6501" i="2"/>
  <c r="P6501" i="2"/>
  <c r="L6502" i="2"/>
  <c r="M6502" i="2"/>
  <c r="N6502" i="2"/>
  <c r="P6502" i="2"/>
  <c r="L6503" i="2"/>
  <c r="M6503" i="2"/>
  <c r="N6503" i="2"/>
  <c r="P6503" i="2"/>
  <c r="L6504" i="2"/>
  <c r="M6504" i="2"/>
  <c r="N6504" i="2"/>
  <c r="P6504" i="2"/>
  <c r="L6505" i="2"/>
  <c r="M6505" i="2"/>
  <c r="N6505" i="2"/>
  <c r="P6505" i="2"/>
  <c r="L6506" i="2"/>
  <c r="M6506" i="2"/>
  <c r="N6506" i="2"/>
  <c r="P6506" i="2"/>
  <c r="L6507" i="2"/>
  <c r="M6507" i="2"/>
  <c r="N6507" i="2"/>
  <c r="P6507" i="2"/>
  <c r="L6508" i="2"/>
  <c r="M6508" i="2"/>
  <c r="N6508" i="2"/>
  <c r="P6508" i="2"/>
  <c r="L6509" i="2"/>
  <c r="M6509" i="2"/>
  <c r="N6509" i="2"/>
  <c r="P6509" i="2"/>
  <c r="L6510" i="2"/>
  <c r="M6510" i="2"/>
  <c r="N6510" i="2"/>
  <c r="P6510" i="2"/>
  <c r="L6511" i="2"/>
  <c r="M6511" i="2"/>
  <c r="N6511" i="2"/>
  <c r="P6511" i="2"/>
  <c r="L6512" i="2"/>
  <c r="M6512" i="2"/>
  <c r="N6512" i="2"/>
  <c r="P6512" i="2"/>
  <c r="L6513" i="2"/>
  <c r="M6513" i="2"/>
  <c r="N6513" i="2"/>
  <c r="P6513" i="2"/>
  <c r="L6514" i="2"/>
  <c r="M6514" i="2"/>
  <c r="N6514" i="2"/>
  <c r="P6514" i="2"/>
  <c r="L6515" i="2"/>
  <c r="M6515" i="2"/>
  <c r="N6515" i="2"/>
  <c r="P6515" i="2"/>
  <c r="L6516" i="2"/>
  <c r="M6516" i="2"/>
  <c r="N6516" i="2"/>
  <c r="P6516" i="2"/>
  <c r="L6517" i="2"/>
  <c r="M6517" i="2"/>
  <c r="N6517" i="2"/>
  <c r="P6517" i="2"/>
  <c r="L6518" i="2"/>
  <c r="M6518" i="2"/>
  <c r="N6518" i="2"/>
  <c r="P6518" i="2"/>
  <c r="L6519" i="2"/>
  <c r="M6519" i="2"/>
  <c r="N6519" i="2"/>
  <c r="P6519" i="2"/>
  <c r="L6520" i="2"/>
  <c r="M6520" i="2"/>
  <c r="N6520" i="2"/>
  <c r="P6520" i="2"/>
  <c r="L6521" i="2"/>
  <c r="M6521" i="2"/>
  <c r="N6521" i="2"/>
  <c r="P6521" i="2"/>
  <c r="L6522" i="2"/>
  <c r="M6522" i="2"/>
  <c r="N6522" i="2"/>
  <c r="P6522" i="2"/>
  <c r="L6523" i="2"/>
  <c r="M6523" i="2"/>
  <c r="N6523" i="2"/>
  <c r="P6523" i="2"/>
  <c r="L6524" i="2"/>
  <c r="M6524" i="2"/>
  <c r="N6524" i="2"/>
  <c r="P6524" i="2"/>
  <c r="L6525" i="2"/>
  <c r="M6525" i="2"/>
  <c r="N6525" i="2"/>
  <c r="P6525" i="2"/>
  <c r="L6526" i="2"/>
  <c r="M6526" i="2"/>
  <c r="N6526" i="2"/>
  <c r="P6526" i="2"/>
  <c r="L6527" i="2"/>
  <c r="M6527" i="2"/>
  <c r="N6527" i="2"/>
  <c r="P6527" i="2"/>
  <c r="L6528" i="2"/>
  <c r="M6528" i="2"/>
  <c r="N6528" i="2"/>
  <c r="P6528" i="2"/>
  <c r="L6529" i="2"/>
  <c r="M6529" i="2"/>
  <c r="N6529" i="2"/>
  <c r="P6529" i="2"/>
  <c r="L6530" i="2"/>
  <c r="M6530" i="2"/>
  <c r="N6530" i="2"/>
  <c r="P6530" i="2"/>
  <c r="L6531" i="2"/>
  <c r="M6531" i="2"/>
  <c r="N6531" i="2"/>
  <c r="P6531" i="2"/>
  <c r="L6532" i="2"/>
  <c r="M6532" i="2"/>
  <c r="N6532" i="2"/>
  <c r="P6532" i="2"/>
  <c r="L6533" i="2"/>
  <c r="M6533" i="2"/>
  <c r="N6533" i="2"/>
  <c r="P6533" i="2"/>
  <c r="L6534" i="2"/>
  <c r="M6534" i="2"/>
  <c r="N6534" i="2"/>
  <c r="P6534" i="2"/>
  <c r="L6535" i="2"/>
  <c r="M6535" i="2"/>
  <c r="N6535" i="2"/>
  <c r="P6535" i="2"/>
  <c r="L6536" i="2"/>
  <c r="M6536" i="2"/>
  <c r="N6536" i="2"/>
  <c r="P6536" i="2"/>
  <c r="L6537" i="2"/>
  <c r="M6537" i="2"/>
  <c r="N6537" i="2"/>
  <c r="P6537" i="2"/>
  <c r="L6538" i="2"/>
  <c r="M6538" i="2"/>
  <c r="N6538" i="2"/>
  <c r="P6538" i="2"/>
  <c r="L6539" i="2"/>
  <c r="M6539" i="2"/>
  <c r="N6539" i="2"/>
  <c r="P6539" i="2"/>
  <c r="L6540" i="2"/>
  <c r="M6540" i="2"/>
  <c r="N6540" i="2"/>
  <c r="P6540" i="2"/>
  <c r="L6541" i="2"/>
  <c r="M6541" i="2"/>
  <c r="N6541" i="2"/>
  <c r="P6541" i="2"/>
  <c r="L6542" i="2"/>
  <c r="M6542" i="2"/>
  <c r="N6542" i="2"/>
  <c r="P6542" i="2"/>
  <c r="L6543" i="2"/>
  <c r="M6543" i="2"/>
  <c r="N6543" i="2"/>
  <c r="P6543" i="2"/>
  <c r="L6544" i="2"/>
  <c r="M6544" i="2"/>
  <c r="N6544" i="2"/>
  <c r="P6544" i="2"/>
  <c r="L6545" i="2"/>
  <c r="M6545" i="2"/>
  <c r="N6545" i="2"/>
  <c r="P6545" i="2"/>
  <c r="L6546" i="2"/>
  <c r="M6546" i="2"/>
  <c r="N6546" i="2"/>
  <c r="P6546" i="2"/>
  <c r="L6547" i="2"/>
  <c r="M6547" i="2"/>
  <c r="N6547" i="2"/>
  <c r="P6547" i="2"/>
  <c r="L6548" i="2"/>
  <c r="M6548" i="2"/>
  <c r="N6548" i="2"/>
  <c r="P6548" i="2"/>
  <c r="L6549" i="2"/>
  <c r="M6549" i="2"/>
  <c r="N6549" i="2"/>
  <c r="P6549" i="2"/>
  <c r="L6550" i="2"/>
  <c r="M6550" i="2"/>
  <c r="N6550" i="2"/>
  <c r="P6550" i="2"/>
  <c r="L6551" i="2"/>
  <c r="M6551" i="2"/>
  <c r="N6551" i="2"/>
  <c r="P6551" i="2"/>
  <c r="L6552" i="2"/>
  <c r="M6552" i="2"/>
  <c r="N6552" i="2"/>
  <c r="P6552" i="2"/>
  <c r="L6553" i="2"/>
  <c r="M6553" i="2"/>
  <c r="N6553" i="2"/>
  <c r="P6553" i="2"/>
  <c r="L6554" i="2"/>
  <c r="M6554" i="2"/>
  <c r="N6554" i="2"/>
  <c r="P6554" i="2"/>
  <c r="L6555" i="2"/>
  <c r="M6555" i="2"/>
  <c r="N6555" i="2"/>
  <c r="P6555" i="2"/>
  <c r="L6556" i="2"/>
  <c r="M6556" i="2"/>
  <c r="N6556" i="2"/>
  <c r="P6556" i="2"/>
  <c r="L6557" i="2"/>
  <c r="M6557" i="2"/>
  <c r="N6557" i="2"/>
  <c r="P6557" i="2"/>
  <c r="L6558" i="2"/>
  <c r="M6558" i="2"/>
  <c r="N6558" i="2"/>
  <c r="P6558" i="2"/>
  <c r="L6559" i="2"/>
  <c r="M6559" i="2"/>
  <c r="N6559" i="2"/>
  <c r="P6559" i="2"/>
  <c r="L6560" i="2"/>
  <c r="M6560" i="2"/>
  <c r="N6560" i="2"/>
  <c r="P6560" i="2"/>
  <c r="L6561" i="2"/>
  <c r="M6561" i="2"/>
  <c r="N6561" i="2"/>
  <c r="P6561" i="2"/>
  <c r="L6562" i="2"/>
  <c r="M6562" i="2"/>
  <c r="N6562" i="2"/>
  <c r="P6562" i="2"/>
  <c r="L6563" i="2"/>
  <c r="M6563" i="2"/>
  <c r="N6563" i="2"/>
  <c r="P6563" i="2"/>
  <c r="L6564" i="2"/>
  <c r="M6564" i="2"/>
  <c r="N6564" i="2"/>
  <c r="P6564" i="2"/>
  <c r="L6565" i="2"/>
  <c r="M6565" i="2"/>
  <c r="N6565" i="2"/>
  <c r="P6565" i="2"/>
  <c r="L6566" i="2"/>
  <c r="M6566" i="2"/>
  <c r="N6566" i="2"/>
  <c r="P6566" i="2"/>
  <c r="L6567" i="2"/>
  <c r="M6567" i="2"/>
  <c r="N6567" i="2"/>
  <c r="P6567" i="2"/>
  <c r="L6568" i="2"/>
  <c r="M6568" i="2"/>
  <c r="N6568" i="2"/>
  <c r="P6568" i="2"/>
  <c r="L6569" i="2"/>
  <c r="M6569" i="2"/>
  <c r="N6569" i="2"/>
  <c r="P6569" i="2"/>
  <c r="L6570" i="2"/>
  <c r="M6570" i="2"/>
  <c r="N6570" i="2"/>
  <c r="P6570" i="2"/>
  <c r="L6571" i="2"/>
  <c r="M6571" i="2"/>
  <c r="N6571" i="2"/>
  <c r="P6571" i="2"/>
  <c r="L6572" i="2"/>
  <c r="M6572" i="2"/>
  <c r="N6572" i="2"/>
  <c r="P6572" i="2"/>
  <c r="L6573" i="2"/>
  <c r="M6573" i="2"/>
  <c r="N6573" i="2"/>
  <c r="P6573" i="2"/>
  <c r="L6574" i="2"/>
  <c r="M6574" i="2"/>
  <c r="N6574" i="2"/>
  <c r="P6574" i="2"/>
  <c r="L6575" i="2"/>
  <c r="M6575" i="2"/>
  <c r="N6575" i="2"/>
  <c r="P6575" i="2"/>
  <c r="L6576" i="2"/>
  <c r="M6576" i="2"/>
  <c r="N6576" i="2"/>
  <c r="P6576" i="2"/>
  <c r="L6577" i="2"/>
  <c r="M6577" i="2"/>
  <c r="N6577" i="2"/>
  <c r="P6577" i="2"/>
  <c r="L6578" i="2"/>
  <c r="M6578" i="2"/>
  <c r="N6578" i="2"/>
  <c r="P6578" i="2"/>
  <c r="L6579" i="2"/>
  <c r="M6579" i="2"/>
  <c r="N6579" i="2"/>
  <c r="P6579" i="2"/>
  <c r="L6580" i="2"/>
  <c r="M6580" i="2"/>
  <c r="N6580" i="2"/>
  <c r="P6580" i="2"/>
  <c r="L6581" i="2"/>
  <c r="M6581" i="2"/>
  <c r="N6581" i="2"/>
  <c r="P6581" i="2"/>
  <c r="L6582" i="2"/>
  <c r="M6582" i="2"/>
  <c r="N6582" i="2"/>
  <c r="P6582" i="2"/>
  <c r="L6583" i="2"/>
  <c r="M6583" i="2"/>
  <c r="N6583" i="2"/>
  <c r="P6583" i="2"/>
  <c r="L6584" i="2"/>
  <c r="M6584" i="2"/>
  <c r="N6584" i="2"/>
  <c r="P6584" i="2"/>
  <c r="L6585" i="2"/>
  <c r="M6585" i="2"/>
  <c r="N6585" i="2"/>
  <c r="P6585" i="2"/>
  <c r="L6586" i="2"/>
  <c r="M6586" i="2"/>
  <c r="N6586" i="2"/>
  <c r="P6586" i="2"/>
  <c r="L6587" i="2"/>
  <c r="M6587" i="2"/>
  <c r="N6587" i="2"/>
  <c r="P6587" i="2"/>
  <c r="L6395" i="2"/>
  <c r="M6395" i="2"/>
  <c r="N6395" i="2"/>
  <c r="P6395" i="2"/>
  <c r="L6394" i="2"/>
  <c r="M6394" i="2"/>
  <c r="N6394" i="2"/>
  <c r="P6394" i="2"/>
  <c r="L6379" i="2"/>
  <c r="M6379" i="2"/>
  <c r="N6379" i="2"/>
  <c r="P6379" i="2"/>
  <c r="L6380" i="2"/>
  <c r="M6380" i="2"/>
  <c r="N6380" i="2"/>
  <c r="P6380" i="2"/>
  <c r="L6381" i="2"/>
  <c r="M6381" i="2"/>
  <c r="N6381" i="2"/>
  <c r="P6381" i="2"/>
  <c r="L6382" i="2"/>
  <c r="M6382" i="2"/>
  <c r="N6382" i="2"/>
  <c r="P6382" i="2"/>
  <c r="L6383" i="2"/>
  <c r="M6383" i="2"/>
  <c r="N6383" i="2"/>
  <c r="P6383" i="2"/>
  <c r="L6384" i="2"/>
  <c r="M6384" i="2"/>
  <c r="N6384" i="2"/>
  <c r="P6384" i="2"/>
  <c r="L6385" i="2"/>
  <c r="M6385" i="2"/>
  <c r="N6385" i="2"/>
  <c r="P6385" i="2"/>
  <c r="L6386" i="2"/>
  <c r="M6386" i="2"/>
  <c r="N6386" i="2"/>
  <c r="P6386" i="2"/>
  <c r="L6387" i="2"/>
  <c r="M6387" i="2"/>
  <c r="N6387" i="2"/>
  <c r="P6387" i="2"/>
  <c r="L6388" i="2"/>
  <c r="M6388" i="2"/>
  <c r="N6388" i="2"/>
  <c r="P6388" i="2"/>
  <c r="L6389" i="2"/>
  <c r="M6389" i="2"/>
  <c r="N6389" i="2"/>
  <c r="P6389" i="2"/>
  <c r="L6390" i="2"/>
  <c r="M6390" i="2"/>
  <c r="N6390" i="2"/>
  <c r="P6390" i="2"/>
  <c r="L6391" i="2"/>
  <c r="M6391" i="2"/>
  <c r="N6391" i="2"/>
  <c r="P6391" i="2"/>
  <c r="L6392" i="2"/>
  <c r="M6392" i="2"/>
  <c r="N6392" i="2"/>
  <c r="P6392" i="2"/>
  <c r="L6393" i="2"/>
  <c r="M6393" i="2"/>
  <c r="N6393" i="2"/>
  <c r="P6393" i="2"/>
  <c r="L6378" i="2"/>
  <c r="M6378" i="2"/>
  <c r="N6378" i="2"/>
  <c r="P6378" i="2"/>
  <c r="L6377" i="2"/>
  <c r="M6377" i="2"/>
  <c r="N6377" i="2"/>
  <c r="P6377" i="2"/>
  <c r="L6094" i="2"/>
  <c r="M6094" i="2"/>
  <c r="N6094" i="2"/>
  <c r="P6094" i="2"/>
  <c r="L6095" i="2"/>
  <c r="M6095" i="2"/>
  <c r="N6095" i="2"/>
  <c r="P6095" i="2"/>
  <c r="L6096" i="2"/>
  <c r="M6096" i="2"/>
  <c r="N6096" i="2"/>
  <c r="P6096" i="2"/>
  <c r="L6097" i="2"/>
  <c r="M6097" i="2"/>
  <c r="N6097" i="2"/>
  <c r="P6097" i="2"/>
  <c r="L6098" i="2"/>
  <c r="M6098" i="2"/>
  <c r="N6098" i="2"/>
  <c r="P6098" i="2"/>
  <c r="L6099" i="2"/>
  <c r="M6099" i="2"/>
  <c r="N6099" i="2"/>
  <c r="P6099" i="2"/>
  <c r="L6100" i="2"/>
  <c r="M6100" i="2"/>
  <c r="N6100" i="2"/>
  <c r="P6100" i="2"/>
  <c r="L6101" i="2"/>
  <c r="M6101" i="2"/>
  <c r="N6101" i="2"/>
  <c r="P6101" i="2"/>
  <c r="L6102" i="2"/>
  <c r="M6102" i="2"/>
  <c r="N6102" i="2"/>
  <c r="P6102" i="2"/>
  <c r="L6103" i="2"/>
  <c r="M6103" i="2"/>
  <c r="N6103" i="2"/>
  <c r="P6103" i="2"/>
  <c r="L6104" i="2"/>
  <c r="M6104" i="2"/>
  <c r="N6104" i="2"/>
  <c r="P6104" i="2"/>
  <c r="L6105" i="2"/>
  <c r="M6105" i="2"/>
  <c r="N6105" i="2"/>
  <c r="P6105" i="2"/>
  <c r="L6106" i="2"/>
  <c r="M6106" i="2"/>
  <c r="N6106" i="2"/>
  <c r="P6106" i="2"/>
  <c r="L6107" i="2"/>
  <c r="M6107" i="2"/>
  <c r="N6107" i="2"/>
  <c r="P6107" i="2"/>
  <c r="L6108" i="2"/>
  <c r="M6108" i="2"/>
  <c r="N6108" i="2"/>
  <c r="P6108" i="2"/>
  <c r="L6109" i="2"/>
  <c r="M6109" i="2"/>
  <c r="N6109" i="2"/>
  <c r="P6109" i="2"/>
  <c r="L6110" i="2"/>
  <c r="M6110" i="2"/>
  <c r="N6110" i="2"/>
  <c r="P6110" i="2"/>
  <c r="L6111" i="2"/>
  <c r="M6111" i="2"/>
  <c r="N6111" i="2"/>
  <c r="P6111" i="2"/>
  <c r="L6112" i="2"/>
  <c r="M6112" i="2"/>
  <c r="N6112" i="2"/>
  <c r="P6112" i="2"/>
  <c r="L6113" i="2"/>
  <c r="M6113" i="2"/>
  <c r="N6113" i="2"/>
  <c r="P6113" i="2"/>
  <c r="L6114" i="2"/>
  <c r="M6114" i="2"/>
  <c r="N6114" i="2"/>
  <c r="P6114" i="2"/>
  <c r="L6115" i="2"/>
  <c r="M6115" i="2"/>
  <c r="N6115" i="2"/>
  <c r="P6115" i="2"/>
  <c r="L6116" i="2"/>
  <c r="M6116" i="2"/>
  <c r="N6116" i="2"/>
  <c r="P6116" i="2"/>
  <c r="L6117" i="2"/>
  <c r="M6117" i="2"/>
  <c r="N6117" i="2"/>
  <c r="P6117" i="2"/>
  <c r="L6118" i="2"/>
  <c r="M6118" i="2"/>
  <c r="N6118" i="2"/>
  <c r="P6118" i="2"/>
  <c r="L6119" i="2"/>
  <c r="M6119" i="2"/>
  <c r="N6119" i="2"/>
  <c r="P6119" i="2"/>
  <c r="L6120" i="2"/>
  <c r="M6120" i="2"/>
  <c r="N6120" i="2"/>
  <c r="P6120" i="2"/>
  <c r="L6121" i="2"/>
  <c r="M6121" i="2"/>
  <c r="N6121" i="2"/>
  <c r="P6121" i="2"/>
  <c r="L6122" i="2"/>
  <c r="M6122" i="2"/>
  <c r="N6122" i="2"/>
  <c r="P6122" i="2"/>
  <c r="L6123" i="2"/>
  <c r="M6123" i="2"/>
  <c r="N6123" i="2"/>
  <c r="P6123" i="2"/>
  <c r="L6124" i="2"/>
  <c r="M6124" i="2"/>
  <c r="N6124" i="2"/>
  <c r="P6124" i="2"/>
  <c r="L6125" i="2"/>
  <c r="M6125" i="2"/>
  <c r="N6125" i="2"/>
  <c r="P6125" i="2"/>
  <c r="L6126" i="2"/>
  <c r="M6126" i="2"/>
  <c r="N6126" i="2"/>
  <c r="P6126" i="2"/>
  <c r="L6127" i="2"/>
  <c r="M6127" i="2"/>
  <c r="N6127" i="2"/>
  <c r="P6127" i="2"/>
  <c r="L6128" i="2"/>
  <c r="M6128" i="2"/>
  <c r="N6128" i="2"/>
  <c r="P6128" i="2"/>
  <c r="L6129" i="2"/>
  <c r="M6129" i="2"/>
  <c r="N6129" i="2"/>
  <c r="P6129" i="2"/>
  <c r="L6130" i="2"/>
  <c r="M6130" i="2"/>
  <c r="N6130" i="2"/>
  <c r="P6130" i="2"/>
  <c r="L6131" i="2"/>
  <c r="M6131" i="2"/>
  <c r="N6131" i="2"/>
  <c r="P6131" i="2"/>
  <c r="L6132" i="2"/>
  <c r="M6132" i="2"/>
  <c r="N6132" i="2"/>
  <c r="P6132" i="2"/>
  <c r="L6133" i="2"/>
  <c r="M6133" i="2"/>
  <c r="N6133" i="2"/>
  <c r="P6133" i="2"/>
  <c r="L6134" i="2"/>
  <c r="M6134" i="2"/>
  <c r="N6134" i="2"/>
  <c r="P6134" i="2"/>
  <c r="L6135" i="2"/>
  <c r="M6135" i="2"/>
  <c r="N6135" i="2"/>
  <c r="P6135" i="2"/>
  <c r="L6136" i="2"/>
  <c r="M6136" i="2"/>
  <c r="N6136" i="2"/>
  <c r="P6136" i="2"/>
  <c r="L6137" i="2"/>
  <c r="M6137" i="2"/>
  <c r="N6137" i="2"/>
  <c r="P6137" i="2"/>
  <c r="L6138" i="2"/>
  <c r="M6138" i="2"/>
  <c r="N6138" i="2"/>
  <c r="P6138" i="2"/>
  <c r="L6139" i="2"/>
  <c r="M6139" i="2"/>
  <c r="N6139" i="2"/>
  <c r="P6139" i="2"/>
  <c r="L6140" i="2"/>
  <c r="M6140" i="2"/>
  <c r="N6140" i="2"/>
  <c r="P6140" i="2"/>
  <c r="L6141" i="2"/>
  <c r="M6141" i="2"/>
  <c r="N6141" i="2"/>
  <c r="P6141" i="2"/>
  <c r="L6142" i="2"/>
  <c r="M6142" i="2"/>
  <c r="N6142" i="2"/>
  <c r="P6142" i="2"/>
  <c r="L6143" i="2"/>
  <c r="M6143" i="2"/>
  <c r="N6143" i="2"/>
  <c r="P6143" i="2"/>
  <c r="L6144" i="2"/>
  <c r="M6144" i="2"/>
  <c r="N6144" i="2"/>
  <c r="P6144" i="2"/>
  <c r="L6145" i="2"/>
  <c r="M6145" i="2"/>
  <c r="N6145" i="2"/>
  <c r="P6145" i="2"/>
  <c r="L6146" i="2"/>
  <c r="M6146" i="2"/>
  <c r="N6146" i="2"/>
  <c r="P6146" i="2"/>
  <c r="L6147" i="2"/>
  <c r="M6147" i="2"/>
  <c r="N6147" i="2"/>
  <c r="P6147" i="2"/>
  <c r="L6148" i="2"/>
  <c r="M6148" i="2"/>
  <c r="N6148" i="2"/>
  <c r="P6148" i="2"/>
  <c r="L6149" i="2"/>
  <c r="M6149" i="2"/>
  <c r="N6149" i="2"/>
  <c r="P6149" i="2"/>
  <c r="L6150" i="2"/>
  <c r="M6150" i="2"/>
  <c r="N6150" i="2"/>
  <c r="P6150" i="2"/>
  <c r="L6151" i="2"/>
  <c r="M6151" i="2"/>
  <c r="N6151" i="2"/>
  <c r="P6151" i="2"/>
  <c r="L6152" i="2"/>
  <c r="M6152" i="2"/>
  <c r="N6152" i="2"/>
  <c r="P6152" i="2"/>
  <c r="L6153" i="2"/>
  <c r="M6153" i="2"/>
  <c r="N6153" i="2"/>
  <c r="P6153" i="2"/>
  <c r="L6154" i="2"/>
  <c r="M6154" i="2"/>
  <c r="N6154" i="2"/>
  <c r="P6154" i="2"/>
  <c r="L6155" i="2"/>
  <c r="M6155" i="2"/>
  <c r="N6155" i="2"/>
  <c r="P6155" i="2"/>
  <c r="L6156" i="2"/>
  <c r="M6156" i="2"/>
  <c r="N6156" i="2"/>
  <c r="P6156" i="2"/>
  <c r="L6157" i="2"/>
  <c r="M6157" i="2"/>
  <c r="N6157" i="2"/>
  <c r="P6157" i="2"/>
  <c r="L6158" i="2"/>
  <c r="M6158" i="2"/>
  <c r="N6158" i="2"/>
  <c r="P6158" i="2"/>
  <c r="L6159" i="2"/>
  <c r="M6159" i="2"/>
  <c r="N6159" i="2"/>
  <c r="P6159" i="2"/>
  <c r="L6160" i="2"/>
  <c r="M6160" i="2"/>
  <c r="N6160" i="2"/>
  <c r="P6160" i="2"/>
  <c r="L6161" i="2"/>
  <c r="M6161" i="2"/>
  <c r="N6161" i="2"/>
  <c r="P6161" i="2"/>
  <c r="L6162" i="2"/>
  <c r="M6162" i="2"/>
  <c r="N6162" i="2"/>
  <c r="P6162" i="2"/>
  <c r="L6163" i="2"/>
  <c r="M6163" i="2"/>
  <c r="N6163" i="2"/>
  <c r="P6163" i="2"/>
  <c r="L6164" i="2"/>
  <c r="M6164" i="2"/>
  <c r="N6164" i="2"/>
  <c r="P6164" i="2"/>
  <c r="L6165" i="2"/>
  <c r="M6165" i="2"/>
  <c r="N6165" i="2"/>
  <c r="P6165" i="2"/>
  <c r="L6166" i="2"/>
  <c r="M6166" i="2"/>
  <c r="N6166" i="2"/>
  <c r="P6166" i="2"/>
  <c r="L6167" i="2"/>
  <c r="M6167" i="2"/>
  <c r="N6167" i="2"/>
  <c r="P6167" i="2"/>
  <c r="L6168" i="2"/>
  <c r="M6168" i="2"/>
  <c r="N6168" i="2"/>
  <c r="P6168" i="2"/>
  <c r="L6169" i="2"/>
  <c r="M6169" i="2"/>
  <c r="N6169" i="2"/>
  <c r="P6169" i="2"/>
  <c r="L6170" i="2"/>
  <c r="M6170" i="2"/>
  <c r="N6170" i="2"/>
  <c r="P6170" i="2"/>
  <c r="L6171" i="2"/>
  <c r="M6171" i="2"/>
  <c r="N6171" i="2"/>
  <c r="P6171" i="2"/>
  <c r="L6172" i="2"/>
  <c r="M6172" i="2"/>
  <c r="N6172" i="2"/>
  <c r="P6172" i="2"/>
  <c r="L6173" i="2"/>
  <c r="M6173" i="2"/>
  <c r="N6173" i="2"/>
  <c r="P6173" i="2"/>
  <c r="L6174" i="2"/>
  <c r="M6174" i="2"/>
  <c r="N6174" i="2"/>
  <c r="P6174" i="2"/>
  <c r="L6175" i="2"/>
  <c r="M6175" i="2"/>
  <c r="N6175" i="2"/>
  <c r="P6175" i="2"/>
  <c r="L6176" i="2"/>
  <c r="M6176" i="2"/>
  <c r="N6176" i="2"/>
  <c r="P6176" i="2"/>
  <c r="L6177" i="2"/>
  <c r="M6177" i="2"/>
  <c r="N6177" i="2"/>
  <c r="P6177" i="2"/>
  <c r="L6178" i="2"/>
  <c r="M6178" i="2"/>
  <c r="N6178" i="2"/>
  <c r="P6178" i="2"/>
  <c r="L6179" i="2"/>
  <c r="M6179" i="2"/>
  <c r="N6179" i="2"/>
  <c r="P6179" i="2"/>
  <c r="L6180" i="2"/>
  <c r="M6180" i="2"/>
  <c r="N6180" i="2"/>
  <c r="P6180" i="2"/>
  <c r="L6181" i="2"/>
  <c r="M6181" i="2"/>
  <c r="N6181" i="2"/>
  <c r="P6181" i="2"/>
  <c r="L6182" i="2"/>
  <c r="M6182" i="2"/>
  <c r="N6182" i="2"/>
  <c r="P6182" i="2"/>
  <c r="L6183" i="2"/>
  <c r="M6183" i="2"/>
  <c r="N6183" i="2"/>
  <c r="P6183" i="2"/>
  <c r="L6184" i="2"/>
  <c r="M6184" i="2"/>
  <c r="N6184" i="2"/>
  <c r="P6184" i="2"/>
  <c r="L6185" i="2"/>
  <c r="M6185" i="2"/>
  <c r="N6185" i="2"/>
  <c r="P6185" i="2"/>
  <c r="L6186" i="2"/>
  <c r="M6186" i="2"/>
  <c r="N6186" i="2"/>
  <c r="P6186" i="2"/>
  <c r="L6187" i="2"/>
  <c r="M6187" i="2"/>
  <c r="N6187" i="2"/>
  <c r="P6187" i="2"/>
  <c r="L6188" i="2"/>
  <c r="M6188" i="2"/>
  <c r="N6188" i="2"/>
  <c r="P6188" i="2"/>
  <c r="L6189" i="2"/>
  <c r="M6189" i="2"/>
  <c r="N6189" i="2"/>
  <c r="P6189" i="2"/>
  <c r="L6190" i="2"/>
  <c r="M6190" i="2"/>
  <c r="N6190" i="2"/>
  <c r="P6190" i="2"/>
  <c r="L6191" i="2"/>
  <c r="M6191" i="2"/>
  <c r="N6191" i="2"/>
  <c r="P6191" i="2"/>
  <c r="L6192" i="2"/>
  <c r="M6192" i="2"/>
  <c r="N6192" i="2"/>
  <c r="P6192" i="2"/>
  <c r="L6193" i="2"/>
  <c r="M6193" i="2"/>
  <c r="N6193" i="2"/>
  <c r="P6193" i="2"/>
  <c r="L6194" i="2"/>
  <c r="M6194" i="2"/>
  <c r="N6194" i="2"/>
  <c r="P6194" i="2"/>
  <c r="L6195" i="2"/>
  <c r="M6195" i="2"/>
  <c r="N6195" i="2"/>
  <c r="P6195" i="2"/>
  <c r="L6196" i="2"/>
  <c r="M6196" i="2"/>
  <c r="N6196" i="2"/>
  <c r="P6196" i="2"/>
  <c r="L6197" i="2"/>
  <c r="M6197" i="2"/>
  <c r="N6197" i="2"/>
  <c r="P6197" i="2"/>
  <c r="L6198" i="2"/>
  <c r="M6198" i="2"/>
  <c r="N6198" i="2"/>
  <c r="P6198" i="2"/>
  <c r="L6199" i="2"/>
  <c r="M6199" i="2"/>
  <c r="N6199" i="2"/>
  <c r="P6199" i="2"/>
  <c r="L6200" i="2"/>
  <c r="M6200" i="2"/>
  <c r="N6200" i="2"/>
  <c r="P6200" i="2"/>
  <c r="L6201" i="2"/>
  <c r="M6201" i="2"/>
  <c r="N6201" i="2"/>
  <c r="P6201" i="2"/>
  <c r="L6202" i="2"/>
  <c r="M6202" i="2"/>
  <c r="N6202" i="2"/>
  <c r="P6202" i="2"/>
  <c r="L6203" i="2"/>
  <c r="M6203" i="2"/>
  <c r="N6203" i="2"/>
  <c r="P6203" i="2"/>
  <c r="L6204" i="2"/>
  <c r="M6204" i="2"/>
  <c r="N6204" i="2"/>
  <c r="P6204" i="2"/>
  <c r="L6205" i="2"/>
  <c r="M6205" i="2"/>
  <c r="N6205" i="2"/>
  <c r="P6205" i="2"/>
  <c r="L6206" i="2"/>
  <c r="M6206" i="2"/>
  <c r="N6206" i="2"/>
  <c r="P6206" i="2"/>
  <c r="L6207" i="2"/>
  <c r="M6207" i="2"/>
  <c r="N6207" i="2"/>
  <c r="P6207" i="2"/>
  <c r="L6208" i="2"/>
  <c r="M6208" i="2"/>
  <c r="N6208" i="2"/>
  <c r="P6208" i="2"/>
  <c r="L6209" i="2"/>
  <c r="M6209" i="2"/>
  <c r="N6209" i="2"/>
  <c r="P6209" i="2"/>
  <c r="L6210" i="2"/>
  <c r="M6210" i="2"/>
  <c r="N6210" i="2"/>
  <c r="P6210" i="2"/>
  <c r="L6211" i="2"/>
  <c r="M6211" i="2"/>
  <c r="N6211" i="2"/>
  <c r="P6211" i="2"/>
  <c r="L6212" i="2"/>
  <c r="M6212" i="2"/>
  <c r="N6212" i="2"/>
  <c r="P6212" i="2"/>
  <c r="L6213" i="2"/>
  <c r="M6213" i="2"/>
  <c r="N6213" i="2"/>
  <c r="P6213" i="2"/>
  <c r="L6214" i="2"/>
  <c r="M6214" i="2"/>
  <c r="N6214" i="2"/>
  <c r="P6214" i="2"/>
  <c r="L6215" i="2"/>
  <c r="M6215" i="2"/>
  <c r="N6215" i="2"/>
  <c r="P6215" i="2"/>
  <c r="L6216" i="2"/>
  <c r="M6216" i="2"/>
  <c r="N6216" i="2"/>
  <c r="P6216" i="2"/>
  <c r="L6217" i="2"/>
  <c r="M6217" i="2"/>
  <c r="N6217" i="2"/>
  <c r="P6217" i="2"/>
  <c r="L6218" i="2"/>
  <c r="M6218" i="2"/>
  <c r="N6218" i="2"/>
  <c r="P6218" i="2"/>
  <c r="L6219" i="2"/>
  <c r="M6219" i="2"/>
  <c r="N6219" i="2"/>
  <c r="P6219" i="2"/>
  <c r="L6220" i="2"/>
  <c r="M6220" i="2"/>
  <c r="N6220" i="2"/>
  <c r="P6220" i="2"/>
  <c r="L6221" i="2"/>
  <c r="M6221" i="2"/>
  <c r="N6221" i="2"/>
  <c r="P6221" i="2"/>
  <c r="L6222" i="2"/>
  <c r="M6222" i="2"/>
  <c r="N6222" i="2"/>
  <c r="P6222" i="2"/>
  <c r="L6223" i="2"/>
  <c r="M6223" i="2"/>
  <c r="N6223" i="2"/>
  <c r="P6223" i="2"/>
  <c r="L6224" i="2"/>
  <c r="M6224" i="2"/>
  <c r="N6224" i="2"/>
  <c r="P6224" i="2"/>
  <c r="L6225" i="2"/>
  <c r="M6225" i="2"/>
  <c r="N6225" i="2"/>
  <c r="P6225" i="2"/>
  <c r="L6226" i="2"/>
  <c r="M6226" i="2"/>
  <c r="N6226" i="2"/>
  <c r="P6226" i="2"/>
  <c r="L6227" i="2"/>
  <c r="M6227" i="2"/>
  <c r="N6227" i="2"/>
  <c r="P6227" i="2"/>
  <c r="L6228" i="2"/>
  <c r="M6228" i="2"/>
  <c r="N6228" i="2"/>
  <c r="P6228" i="2"/>
  <c r="L6229" i="2"/>
  <c r="M6229" i="2"/>
  <c r="N6229" i="2"/>
  <c r="P6229" i="2"/>
  <c r="L6230" i="2"/>
  <c r="M6230" i="2"/>
  <c r="N6230" i="2"/>
  <c r="P6230" i="2"/>
  <c r="L6231" i="2"/>
  <c r="M6231" i="2"/>
  <c r="N6231" i="2"/>
  <c r="P6231" i="2"/>
  <c r="L6232" i="2"/>
  <c r="M6232" i="2"/>
  <c r="N6232" i="2"/>
  <c r="P6232" i="2"/>
  <c r="L6233" i="2"/>
  <c r="M6233" i="2"/>
  <c r="N6233" i="2"/>
  <c r="P6233" i="2"/>
  <c r="L6234" i="2"/>
  <c r="M6234" i="2"/>
  <c r="N6234" i="2"/>
  <c r="P6234" i="2"/>
  <c r="L6235" i="2"/>
  <c r="M6235" i="2"/>
  <c r="N6235" i="2"/>
  <c r="P6235" i="2"/>
  <c r="L6236" i="2"/>
  <c r="M6236" i="2"/>
  <c r="N6236" i="2"/>
  <c r="P6236" i="2"/>
  <c r="L6237" i="2"/>
  <c r="M6237" i="2"/>
  <c r="N6237" i="2"/>
  <c r="P6237" i="2"/>
  <c r="L6238" i="2"/>
  <c r="M6238" i="2"/>
  <c r="N6238" i="2"/>
  <c r="P6238" i="2"/>
  <c r="L6239" i="2"/>
  <c r="M6239" i="2"/>
  <c r="N6239" i="2"/>
  <c r="P6239" i="2"/>
  <c r="L6240" i="2"/>
  <c r="M6240" i="2"/>
  <c r="N6240" i="2"/>
  <c r="P6240" i="2"/>
  <c r="L6241" i="2"/>
  <c r="M6241" i="2"/>
  <c r="N6241" i="2"/>
  <c r="P6241" i="2"/>
  <c r="L6242" i="2"/>
  <c r="M6242" i="2"/>
  <c r="N6242" i="2"/>
  <c r="P6242" i="2"/>
  <c r="L6243" i="2"/>
  <c r="M6243" i="2"/>
  <c r="N6243" i="2"/>
  <c r="P6243" i="2"/>
  <c r="L6244" i="2"/>
  <c r="M6244" i="2"/>
  <c r="N6244" i="2"/>
  <c r="P6244" i="2"/>
  <c r="L6245" i="2"/>
  <c r="M6245" i="2"/>
  <c r="N6245" i="2"/>
  <c r="P6245" i="2"/>
  <c r="L6246" i="2"/>
  <c r="M6246" i="2"/>
  <c r="N6246" i="2"/>
  <c r="P6246" i="2"/>
  <c r="L6247" i="2"/>
  <c r="M6247" i="2"/>
  <c r="N6247" i="2"/>
  <c r="P6247" i="2"/>
  <c r="L6248" i="2"/>
  <c r="M6248" i="2"/>
  <c r="N6248" i="2"/>
  <c r="P6248" i="2"/>
  <c r="L6249" i="2"/>
  <c r="M6249" i="2"/>
  <c r="N6249" i="2"/>
  <c r="P6249" i="2"/>
  <c r="L6250" i="2"/>
  <c r="M6250" i="2"/>
  <c r="N6250" i="2"/>
  <c r="P6250" i="2"/>
  <c r="L6251" i="2"/>
  <c r="M6251" i="2"/>
  <c r="N6251" i="2"/>
  <c r="P6251" i="2"/>
  <c r="L6252" i="2"/>
  <c r="M6252" i="2"/>
  <c r="N6252" i="2"/>
  <c r="P6252" i="2"/>
  <c r="L6253" i="2"/>
  <c r="M6253" i="2"/>
  <c r="N6253" i="2"/>
  <c r="P6253" i="2"/>
  <c r="L6254" i="2"/>
  <c r="M6254" i="2"/>
  <c r="N6254" i="2"/>
  <c r="P6254" i="2"/>
  <c r="L6255" i="2"/>
  <c r="M6255" i="2"/>
  <c r="N6255" i="2"/>
  <c r="P6255" i="2"/>
  <c r="L6256" i="2"/>
  <c r="M6256" i="2"/>
  <c r="N6256" i="2"/>
  <c r="P6256" i="2"/>
  <c r="L6257" i="2"/>
  <c r="M6257" i="2"/>
  <c r="N6257" i="2"/>
  <c r="P6257" i="2"/>
  <c r="L6258" i="2"/>
  <c r="M6258" i="2"/>
  <c r="N6258" i="2"/>
  <c r="P6258" i="2"/>
  <c r="L6259" i="2"/>
  <c r="M6259" i="2"/>
  <c r="N6259" i="2"/>
  <c r="P6259" i="2"/>
  <c r="L6260" i="2"/>
  <c r="M6260" i="2"/>
  <c r="N6260" i="2"/>
  <c r="P6260" i="2"/>
  <c r="L6261" i="2"/>
  <c r="M6261" i="2"/>
  <c r="N6261" i="2"/>
  <c r="P6261" i="2"/>
  <c r="L6262" i="2"/>
  <c r="M6262" i="2"/>
  <c r="N6262" i="2"/>
  <c r="P6262" i="2"/>
  <c r="L6263" i="2"/>
  <c r="M6263" i="2"/>
  <c r="N6263" i="2"/>
  <c r="P6263" i="2"/>
  <c r="L6264" i="2"/>
  <c r="M6264" i="2"/>
  <c r="N6264" i="2"/>
  <c r="P6264" i="2"/>
  <c r="L6265" i="2"/>
  <c r="M6265" i="2"/>
  <c r="N6265" i="2"/>
  <c r="P6265" i="2"/>
  <c r="L6266" i="2"/>
  <c r="M6266" i="2"/>
  <c r="N6266" i="2"/>
  <c r="P6266" i="2"/>
  <c r="L6267" i="2"/>
  <c r="M6267" i="2"/>
  <c r="N6267" i="2"/>
  <c r="P6267" i="2"/>
  <c r="L6268" i="2"/>
  <c r="M6268" i="2"/>
  <c r="N6268" i="2"/>
  <c r="P6268" i="2"/>
  <c r="L6269" i="2"/>
  <c r="M6269" i="2"/>
  <c r="N6269" i="2"/>
  <c r="P6269" i="2"/>
  <c r="L6270" i="2"/>
  <c r="M6270" i="2"/>
  <c r="N6270" i="2"/>
  <c r="P6270" i="2"/>
  <c r="L6271" i="2"/>
  <c r="M6271" i="2"/>
  <c r="N6271" i="2"/>
  <c r="P6271" i="2"/>
  <c r="L6272" i="2"/>
  <c r="M6272" i="2"/>
  <c r="N6272" i="2"/>
  <c r="P6272" i="2"/>
  <c r="L6273" i="2"/>
  <c r="M6273" i="2"/>
  <c r="N6273" i="2"/>
  <c r="P6273" i="2"/>
  <c r="L6274" i="2"/>
  <c r="M6274" i="2"/>
  <c r="N6274" i="2"/>
  <c r="P6274" i="2"/>
  <c r="L6275" i="2"/>
  <c r="M6275" i="2"/>
  <c r="N6275" i="2"/>
  <c r="P6275" i="2"/>
  <c r="L6276" i="2"/>
  <c r="M6276" i="2"/>
  <c r="N6276" i="2"/>
  <c r="P6276" i="2"/>
  <c r="L6277" i="2"/>
  <c r="M6277" i="2"/>
  <c r="N6277" i="2"/>
  <c r="P6277" i="2"/>
  <c r="L6278" i="2"/>
  <c r="M6278" i="2"/>
  <c r="N6278" i="2"/>
  <c r="P6278" i="2"/>
  <c r="L6279" i="2"/>
  <c r="M6279" i="2"/>
  <c r="N6279" i="2"/>
  <c r="P6279" i="2"/>
  <c r="L6280" i="2"/>
  <c r="M6280" i="2"/>
  <c r="N6280" i="2"/>
  <c r="P6280" i="2"/>
  <c r="L6281" i="2"/>
  <c r="M6281" i="2"/>
  <c r="N6281" i="2"/>
  <c r="P6281" i="2"/>
  <c r="L6282" i="2"/>
  <c r="M6282" i="2"/>
  <c r="N6282" i="2"/>
  <c r="P6282" i="2"/>
  <c r="L6283" i="2"/>
  <c r="M6283" i="2"/>
  <c r="N6283" i="2"/>
  <c r="P6283" i="2"/>
  <c r="L6284" i="2"/>
  <c r="M6284" i="2"/>
  <c r="N6284" i="2"/>
  <c r="P6284" i="2"/>
  <c r="L6285" i="2"/>
  <c r="M6285" i="2"/>
  <c r="N6285" i="2"/>
  <c r="P6285" i="2"/>
  <c r="L6286" i="2"/>
  <c r="M6286" i="2"/>
  <c r="N6286" i="2"/>
  <c r="P6286" i="2"/>
  <c r="L6287" i="2"/>
  <c r="M6287" i="2"/>
  <c r="N6287" i="2"/>
  <c r="P6287" i="2"/>
  <c r="L6288" i="2"/>
  <c r="M6288" i="2"/>
  <c r="N6288" i="2"/>
  <c r="P6288" i="2"/>
  <c r="L6289" i="2"/>
  <c r="M6289" i="2"/>
  <c r="N6289" i="2"/>
  <c r="P6289" i="2"/>
  <c r="L6290" i="2"/>
  <c r="M6290" i="2"/>
  <c r="N6290" i="2"/>
  <c r="P6290" i="2"/>
  <c r="L6291" i="2"/>
  <c r="M6291" i="2"/>
  <c r="N6291" i="2"/>
  <c r="P6291" i="2"/>
  <c r="L6292" i="2"/>
  <c r="M6292" i="2"/>
  <c r="N6292" i="2"/>
  <c r="P6292" i="2"/>
  <c r="L6293" i="2"/>
  <c r="M6293" i="2"/>
  <c r="N6293" i="2"/>
  <c r="P6293" i="2"/>
  <c r="L6294" i="2"/>
  <c r="M6294" i="2"/>
  <c r="N6294" i="2"/>
  <c r="P6294" i="2"/>
  <c r="L6295" i="2"/>
  <c r="M6295" i="2"/>
  <c r="N6295" i="2"/>
  <c r="P6295" i="2"/>
  <c r="L6296" i="2"/>
  <c r="M6296" i="2"/>
  <c r="N6296" i="2"/>
  <c r="P6296" i="2"/>
  <c r="L6297" i="2"/>
  <c r="M6297" i="2"/>
  <c r="N6297" i="2"/>
  <c r="P6297" i="2"/>
  <c r="L6298" i="2"/>
  <c r="M6298" i="2"/>
  <c r="N6298" i="2"/>
  <c r="P6298" i="2"/>
  <c r="L6299" i="2"/>
  <c r="M6299" i="2"/>
  <c r="N6299" i="2"/>
  <c r="P6299" i="2"/>
  <c r="L6300" i="2"/>
  <c r="M6300" i="2"/>
  <c r="N6300" i="2"/>
  <c r="P6300" i="2"/>
  <c r="L6301" i="2"/>
  <c r="M6301" i="2"/>
  <c r="N6301" i="2"/>
  <c r="P6301" i="2"/>
  <c r="L6302" i="2"/>
  <c r="M6302" i="2"/>
  <c r="N6302" i="2"/>
  <c r="P6302" i="2"/>
  <c r="L6303" i="2"/>
  <c r="M6303" i="2"/>
  <c r="N6303" i="2"/>
  <c r="P6303" i="2"/>
  <c r="L6304" i="2"/>
  <c r="M6304" i="2"/>
  <c r="N6304" i="2"/>
  <c r="P6304" i="2"/>
  <c r="L6305" i="2"/>
  <c r="M6305" i="2"/>
  <c r="N6305" i="2"/>
  <c r="P6305" i="2"/>
  <c r="L6306" i="2"/>
  <c r="M6306" i="2"/>
  <c r="N6306" i="2"/>
  <c r="P6306" i="2"/>
  <c r="L6307" i="2"/>
  <c r="M6307" i="2"/>
  <c r="N6307" i="2"/>
  <c r="P6307" i="2"/>
  <c r="L6308" i="2"/>
  <c r="M6308" i="2"/>
  <c r="N6308" i="2"/>
  <c r="P6308" i="2"/>
  <c r="L6309" i="2"/>
  <c r="M6309" i="2"/>
  <c r="N6309" i="2"/>
  <c r="P6309" i="2"/>
  <c r="L6310" i="2"/>
  <c r="M6310" i="2"/>
  <c r="N6310" i="2"/>
  <c r="P6310" i="2"/>
  <c r="L6311" i="2"/>
  <c r="M6311" i="2"/>
  <c r="N6311" i="2"/>
  <c r="P6311" i="2"/>
  <c r="L6312" i="2"/>
  <c r="M6312" i="2"/>
  <c r="N6312" i="2"/>
  <c r="P6312" i="2"/>
  <c r="L6313" i="2"/>
  <c r="M6313" i="2"/>
  <c r="N6313" i="2"/>
  <c r="P6313" i="2"/>
  <c r="L6314" i="2"/>
  <c r="M6314" i="2"/>
  <c r="N6314" i="2"/>
  <c r="P6314" i="2"/>
  <c r="L6315" i="2"/>
  <c r="M6315" i="2"/>
  <c r="N6315" i="2"/>
  <c r="P6315" i="2"/>
  <c r="L6316" i="2"/>
  <c r="M6316" i="2"/>
  <c r="N6316" i="2"/>
  <c r="P6316" i="2"/>
  <c r="L6317" i="2"/>
  <c r="M6317" i="2"/>
  <c r="N6317" i="2"/>
  <c r="P6317" i="2"/>
  <c r="L6318" i="2"/>
  <c r="M6318" i="2"/>
  <c r="N6318" i="2"/>
  <c r="P6318" i="2"/>
  <c r="L6319" i="2"/>
  <c r="M6319" i="2"/>
  <c r="N6319" i="2"/>
  <c r="P6319" i="2"/>
  <c r="L6320" i="2"/>
  <c r="M6320" i="2"/>
  <c r="N6320" i="2"/>
  <c r="P6320" i="2"/>
  <c r="L6321" i="2"/>
  <c r="M6321" i="2"/>
  <c r="N6321" i="2"/>
  <c r="P6321" i="2"/>
  <c r="L6322" i="2"/>
  <c r="M6322" i="2"/>
  <c r="N6322" i="2"/>
  <c r="P6322" i="2"/>
  <c r="L6323" i="2"/>
  <c r="M6323" i="2"/>
  <c r="N6323" i="2"/>
  <c r="P6323" i="2"/>
  <c r="L6324" i="2"/>
  <c r="M6324" i="2"/>
  <c r="N6324" i="2"/>
  <c r="P6324" i="2"/>
  <c r="L6325" i="2"/>
  <c r="M6325" i="2"/>
  <c r="N6325" i="2"/>
  <c r="P6325" i="2"/>
  <c r="L6326" i="2"/>
  <c r="M6326" i="2"/>
  <c r="N6326" i="2"/>
  <c r="P6326" i="2"/>
  <c r="L6327" i="2"/>
  <c r="M6327" i="2"/>
  <c r="N6327" i="2"/>
  <c r="P6327" i="2"/>
  <c r="L6328" i="2"/>
  <c r="M6328" i="2"/>
  <c r="N6328" i="2"/>
  <c r="P6328" i="2"/>
  <c r="L6329" i="2"/>
  <c r="M6329" i="2"/>
  <c r="N6329" i="2"/>
  <c r="P6329" i="2"/>
  <c r="L6330" i="2"/>
  <c r="M6330" i="2"/>
  <c r="N6330" i="2"/>
  <c r="P6330" i="2"/>
  <c r="L6331" i="2"/>
  <c r="M6331" i="2"/>
  <c r="N6331" i="2"/>
  <c r="P6331" i="2"/>
  <c r="L6332" i="2"/>
  <c r="M6332" i="2"/>
  <c r="N6332" i="2"/>
  <c r="P6332" i="2"/>
  <c r="L6333" i="2"/>
  <c r="M6333" i="2"/>
  <c r="N6333" i="2"/>
  <c r="P6333" i="2"/>
  <c r="L6334" i="2"/>
  <c r="M6334" i="2"/>
  <c r="N6334" i="2"/>
  <c r="P6334" i="2"/>
  <c r="L6335" i="2"/>
  <c r="M6335" i="2"/>
  <c r="N6335" i="2"/>
  <c r="P6335" i="2"/>
  <c r="L6336" i="2"/>
  <c r="M6336" i="2"/>
  <c r="N6336" i="2"/>
  <c r="P6336" i="2"/>
  <c r="L6337" i="2"/>
  <c r="M6337" i="2"/>
  <c r="N6337" i="2"/>
  <c r="P6337" i="2"/>
  <c r="L6338" i="2"/>
  <c r="M6338" i="2"/>
  <c r="N6338" i="2"/>
  <c r="P6338" i="2"/>
  <c r="L6339" i="2"/>
  <c r="M6339" i="2"/>
  <c r="N6339" i="2"/>
  <c r="P6339" i="2"/>
  <c r="L6340" i="2"/>
  <c r="M6340" i="2"/>
  <c r="N6340" i="2"/>
  <c r="P6340" i="2"/>
  <c r="L6341" i="2"/>
  <c r="M6341" i="2"/>
  <c r="N6341" i="2"/>
  <c r="P6341" i="2"/>
  <c r="L6342" i="2"/>
  <c r="M6342" i="2"/>
  <c r="N6342" i="2"/>
  <c r="P6342" i="2"/>
  <c r="L6343" i="2"/>
  <c r="M6343" i="2"/>
  <c r="N6343" i="2"/>
  <c r="P6343" i="2"/>
  <c r="L6344" i="2"/>
  <c r="M6344" i="2"/>
  <c r="N6344" i="2"/>
  <c r="P6344" i="2"/>
  <c r="L6345" i="2"/>
  <c r="M6345" i="2"/>
  <c r="N6345" i="2"/>
  <c r="P6345" i="2"/>
  <c r="L6346" i="2"/>
  <c r="M6346" i="2"/>
  <c r="N6346" i="2"/>
  <c r="P6346" i="2"/>
  <c r="L6347" i="2"/>
  <c r="M6347" i="2"/>
  <c r="N6347" i="2"/>
  <c r="P6347" i="2"/>
  <c r="L6348" i="2"/>
  <c r="M6348" i="2"/>
  <c r="N6348" i="2"/>
  <c r="P6348" i="2"/>
  <c r="L6349" i="2"/>
  <c r="M6349" i="2"/>
  <c r="N6349" i="2"/>
  <c r="P6349" i="2"/>
  <c r="L6350" i="2"/>
  <c r="M6350" i="2"/>
  <c r="N6350" i="2"/>
  <c r="P6350" i="2"/>
  <c r="L6351" i="2"/>
  <c r="M6351" i="2"/>
  <c r="N6351" i="2"/>
  <c r="P6351" i="2"/>
  <c r="L6352" i="2"/>
  <c r="M6352" i="2"/>
  <c r="N6352" i="2"/>
  <c r="P6352" i="2"/>
  <c r="L6353" i="2"/>
  <c r="M6353" i="2"/>
  <c r="N6353" i="2"/>
  <c r="P6353" i="2"/>
  <c r="L6354" i="2"/>
  <c r="M6354" i="2"/>
  <c r="N6354" i="2"/>
  <c r="P6354" i="2"/>
  <c r="L6355" i="2"/>
  <c r="M6355" i="2"/>
  <c r="N6355" i="2"/>
  <c r="P6355" i="2"/>
  <c r="L6356" i="2"/>
  <c r="M6356" i="2"/>
  <c r="N6356" i="2"/>
  <c r="P6356" i="2"/>
  <c r="L6357" i="2"/>
  <c r="M6357" i="2"/>
  <c r="N6357" i="2"/>
  <c r="P6357" i="2"/>
  <c r="L6358" i="2"/>
  <c r="M6358" i="2"/>
  <c r="N6358" i="2"/>
  <c r="P6358" i="2"/>
  <c r="L6359" i="2"/>
  <c r="M6359" i="2"/>
  <c r="N6359" i="2"/>
  <c r="P6359" i="2"/>
  <c r="L6360" i="2"/>
  <c r="M6360" i="2"/>
  <c r="N6360" i="2"/>
  <c r="P6360" i="2"/>
  <c r="L6361" i="2"/>
  <c r="M6361" i="2"/>
  <c r="N6361" i="2"/>
  <c r="P6361" i="2"/>
  <c r="L6362" i="2"/>
  <c r="M6362" i="2"/>
  <c r="N6362" i="2"/>
  <c r="P6362" i="2"/>
  <c r="L6363" i="2"/>
  <c r="M6363" i="2"/>
  <c r="N6363" i="2"/>
  <c r="P6363" i="2"/>
  <c r="L6364" i="2"/>
  <c r="M6364" i="2"/>
  <c r="N6364" i="2"/>
  <c r="P6364" i="2"/>
  <c r="L6365" i="2"/>
  <c r="M6365" i="2"/>
  <c r="N6365" i="2"/>
  <c r="P6365" i="2"/>
  <c r="L6366" i="2"/>
  <c r="M6366" i="2"/>
  <c r="N6366" i="2"/>
  <c r="P6366" i="2"/>
  <c r="L6367" i="2"/>
  <c r="M6367" i="2"/>
  <c r="N6367" i="2"/>
  <c r="P6367" i="2"/>
  <c r="L6368" i="2"/>
  <c r="M6368" i="2"/>
  <c r="N6368" i="2"/>
  <c r="P6368" i="2"/>
  <c r="L6369" i="2"/>
  <c r="M6369" i="2"/>
  <c r="N6369" i="2"/>
  <c r="P6369" i="2"/>
  <c r="L6370" i="2"/>
  <c r="M6370" i="2"/>
  <c r="N6370" i="2"/>
  <c r="P6370" i="2"/>
  <c r="L6371" i="2"/>
  <c r="M6371" i="2"/>
  <c r="N6371" i="2"/>
  <c r="P6371" i="2"/>
  <c r="L6372" i="2"/>
  <c r="M6372" i="2"/>
  <c r="N6372" i="2"/>
  <c r="P6372" i="2"/>
  <c r="L6373" i="2"/>
  <c r="M6373" i="2"/>
  <c r="N6373" i="2"/>
  <c r="P6373" i="2"/>
  <c r="L6374" i="2"/>
  <c r="M6374" i="2"/>
  <c r="N6374" i="2"/>
  <c r="P6374" i="2"/>
  <c r="L6375" i="2"/>
  <c r="M6375" i="2"/>
  <c r="N6375" i="2"/>
  <c r="P6375" i="2"/>
  <c r="L6376" i="2"/>
  <c r="M6376" i="2"/>
  <c r="N6376" i="2"/>
  <c r="P6376" i="2"/>
  <c r="L5979" i="2"/>
  <c r="M5979" i="2"/>
  <c r="N5979" i="2"/>
  <c r="P5979" i="2"/>
  <c r="L5980" i="2"/>
  <c r="M5980" i="2"/>
  <c r="N5980" i="2"/>
  <c r="P5980" i="2"/>
  <c r="L5981" i="2"/>
  <c r="M5981" i="2"/>
  <c r="N5981" i="2"/>
  <c r="P5981" i="2"/>
  <c r="L5982" i="2"/>
  <c r="M5982" i="2"/>
  <c r="N5982" i="2"/>
  <c r="P5982" i="2"/>
  <c r="L5983" i="2"/>
  <c r="M5983" i="2"/>
  <c r="N5983" i="2"/>
  <c r="P5983" i="2"/>
  <c r="L5984" i="2"/>
  <c r="M5984" i="2"/>
  <c r="N5984" i="2"/>
  <c r="P5984" i="2"/>
  <c r="L5985" i="2"/>
  <c r="M5985" i="2"/>
  <c r="N5985" i="2"/>
  <c r="P5985" i="2"/>
  <c r="L5986" i="2"/>
  <c r="M5986" i="2"/>
  <c r="N5986" i="2"/>
  <c r="P5986" i="2"/>
  <c r="L5987" i="2"/>
  <c r="M5987" i="2"/>
  <c r="N5987" i="2"/>
  <c r="P5987" i="2"/>
  <c r="L5988" i="2"/>
  <c r="M5988" i="2"/>
  <c r="N5988" i="2"/>
  <c r="P5988" i="2"/>
  <c r="L5989" i="2"/>
  <c r="M5989" i="2"/>
  <c r="N5989" i="2"/>
  <c r="P5989" i="2"/>
  <c r="L5990" i="2"/>
  <c r="M5990" i="2"/>
  <c r="N5990" i="2"/>
  <c r="P5990" i="2"/>
  <c r="L5991" i="2"/>
  <c r="M5991" i="2"/>
  <c r="N5991" i="2"/>
  <c r="P5991" i="2"/>
  <c r="L5992" i="2"/>
  <c r="M5992" i="2"/>
  <c r="N5992" i="2"/>
  <c r="P5992" i="2"/>
  <c r="L5993" i="2"/>
  <c r="M5993" i="2"/>
  <c r="N5993" i="2"/>
  <c r="P5993" i="2"/>
  <c r="L5994" i="2"/>
  <c r="M5994" i="2"/>
  <c r="N5994" i="2"/>
  <c r="P5994" i="2"/>
  <c r="L5995" i="2"/>
  <c r="M5995" i="2"/>
  <c r="N5995" i="2"/>
  <c r="P5995" i="2"/>
  <c r="L5996" i="2"/>
  <c r="M5996" i="2"/>
  <c r="N5996" i="2"/>
  <c r="P5996" i="2"/>
  <c r="L5997" i="2"/>
  <c r="M5997" i="2"/>
  <c r="N5997" i="2"/>
  <c r="P5997" i="2"/>
  <c r="L5998" i="2"/>
  <c r="M5998" i="2"/>
  <c r="N5998" i="2"/>
  <c r="P5998" i="2"/>
  <c r="L5999" i="2"/>
  <c r="M5999" i="2"/>
  <c r="N5999" i="2"/>
  <c r="P5999" i="2"/>
  <c r="L6000" i="2"/>
  <c r="M6000" i="2"/>
  <c r="N6000" i="2"/>
  <c r="P6000" i="2"/>
  <c r="L6001" i="2"/>
  <c r="M6001" i="2"/>
  <c r="N6001" i="2"/>
  <c r="P6001" i="2"/>
  <c r="L6002" i="2"/>
  <c r="M6002" i="2"/>
  <c r="N6002" i="2"/>
  <c r="P6002" i="2"/>
  <c r="L6003" i="2"/>
  <c r="M6003" i="2"/>
  <c r="N6003" i="2"/>
  <c r="P6003" i="2"/>
  <c r="L6004" i="2"/>
  <c r="M6004" i="2"/>
  <c r="N6004" i="2"/>
  <c r="P6004" i="2"/>
  <c r="L6005" i="2"/>
  <c r="M6005" i="2"/>
  <c r="N6005" i="2"/>
  <c r="P6005" i="2"/>
  <c r="L6006" i="2"/>
  <c r="M6006" i="2"/>
  <c r="N6006" i="2"/>
  <c r="P6006" i="2"/>
  <c r="L6007" i="2"/>
  <c r="M6007" i="2"/>
  <c r="N6007" i="2"/>
  <c r="P6007" i="2"/>
  <c r="L6008" i="2"/>
  <c r="M6008" i="2"/>
  <c r="N6008" i="2"/>
  <c r="P6008" i="2"/>
  <c r="L6009" i="2"/>
  <c r="M6009" i="2"/>
  <c r="N6009" i="2"/>
  <c r="P6009" i="2"/>
  <c r="L6010" i="2"/>
  <c r="M6010" i="2"/>
  <c r="N6010" i="2"/>
  <c r="P6010" i="2"/>
  <c r="L6011" i="2"/>
  <c r="M6011" i="2"/>
  <c r="N6011" i="2"/>
  <c r="P6011" i="2"/>
  <c r="L6012" i="2"/>
  <c r="M6012" i="2"/>
  <c r="N6012" i="2"/>
  <c r="P6012" i="2"/>
  <c r="L6013" i="2"/>
  <c r="M6013" i="2"/>
  <c r="N6013" i="2"/>
  <c r="P6013" i="2"/>
  <c r="L6014" i="2"/>
  <c r="M6014" i="2"/>
  <c r="N6014" i="2"/>
  <c r="P6014" i="2"/>
  <c r="L6015" i="2"/>
  <c r="M6015" i="2"/>
  <c r="N6015" i="2"/>
  <c r="P6015" i="2"/>
  <c r="L6016" i="2"/>
  <c r="M6016" i="2"/>
  <c r="N6016" i="2"/>
  <c r="P6016" i="2"/>
  <c r="L6017" i="2"/>
  <c r="M6017" i="2"/>
  <c r="N6017" i="2"/>
  <c r="P6017" i="2"/>
  <c r="L6018" i="2"/>
  <c r="M6018" i="2"/>
  <c r="N6018" i="2"/>
  <c r="P6018" i="2"/>
  <c r="L6019" i="2"/>
  <c r="M6019" i="2"/>
  <c r="N6019" i="2"/>
  <c r="P6019" i="2"/>
  <c r="L6020" i="2"/>
  <c r="M6020" i="2"/>
  <c r="N6020" i="2"/>
  <c r="P6020" i="2"/>
  <c r="L6021" i="2"/>
  <c r="M6021" i="2"/>
  <c r="N6021" i="2"/>
  <c r="P6021" i="2"/>
  <c r="L6022" i="2"/>
  <c r="M6022" i="2"/>
  <c r="N6022" i="2"/>
  <c r="P6022" i="2"/>
  <c r="L6023" i="2"/>
  <c r="M6023" i="2"/>
  <c r="N6023" i="2"/>
  <c r="P6023" i="2"/>
  <c r="L6024" i="2"/>
  <c r="M6024" i="2"/>
  <c r="N6024" i="2"/>
  <c r="P6024" i="2"/>
  <c r="L6025" i="2"/>
  <c r="M6025" i="2"/>
  <c r="N6025" i="2"/>
  <c r="P6025" i="2"/>
  <c r="L6026" i="2"/>
  <c r="M6026" i="2"/>
  <c r="N6026" i="2"/>
  <c r="P6026" i="2"/>
  <c r="L6027" i="2"/>
  <c r="M6027" i="2"/>
  <c r="N6027" i="2"/>
  <c r="P6027" i="2"/>
  <c r="L6028" i="2"/>
  <c r="M6028" i="2"/>
  <c r="N6028" i="2"/>
  <c r="P6028" i="2"/>
  <c r="L6029" i="2"/>
  <c r="M6029" i="2"/>
  <c r="N6029" i="2"/>
  <c r="P6029" i="2"/>
  <c r="L6030" i="2"/>
  <c r="M6030" i="2"/>
  <c r="N6030" i="2"/>
  <c r="P6030" i="2"/>
  <c r="L6031" i="2"/>
  <c r="M6031" i="2"/>
  <c r="N6031" i="2"/>
  <c r="P6031" i="2"/>
  <c r="L6032" i="2"/>
  <c r="M6032" i="2"/>
  <c r="N6032" i="2"/>
  <c r="P6032" i="2"/>
  <c r="L6033" i="2"/>
  <c r="M6033" i="2"/>
  <c r="N6033" i="2"/>
  <c r="P6033" i="2"/>
  <c r="L6034" i="2"/>
  <c r="M6034" i="2"/>
  <c r="N6034" i="2"/>
  <c r="P6034" i="2"/>
  <c r="L6035" i="2"/>
  <c r="M6035" i="2"/>
  <c r="N6035" i="2"/>
  <c r="P6035" i="2"/>
  <c r="L6036" i="2"/>
  <c r="M6036" i="2"/>
  <c r="N6036" i="2"/>
  <c r="P6036" i="2"/>
  <c r="L6037" i="2"/>
  <c r="M6037" i="2"/>
  <c r="N6037" i="2"/>
  <c r="P6037" i="2"/>
  <c r="L6038" i="2"/>
  <c r="M6038" i="2"/>
  <c r="N6038" i="2"/>
  <c r="P6038" i="2"/>
  <c r="L6039" i="2"/>
  <c r="M6039" i="2"/>
  <c r="N6039" i="2"/>
  <c r="P6039" i="2"/>
  <c r="L6040" i="2"/>
  <c r="M6040" i="2"/>
  <c r="N6040" i="2"/>
  <c r="P6040" i="2"/>
  <c r="L6041" i="2"/>
  <c r="M6041" i="2"/>
  <c r="N6041" i="2"/>
  <c r="P6041" i="2"/>
  <c r="L6042" i="2"/>
  <c r="M6042" i="2"/>
  <c r="N6042" i="2"/>
  <c r="P6042" i="2"/>
  <c r="L6043" i="2"/>
  <c r="M6043" i="2"/>
  <c r="N6043" i="2"/>
  <c r="P6043" i="2"/>
  <c r="L6044" i="2"/>
  <c r="M6044" i="2"/>
  <c r="N6044" i="2"/>
  <c r="P6044" i="2"/>
  <c r="L6045" i="2"/>
  <c r="M6045" i="2"/>
  <c r="N6045" i="2"/>
  <c r="P6045" i="2"/>
  <c r="L6046" i="2"/>
  <c r="M6046" i="2"/>
  <c r="N6046" i="2"/>
  <c r="P6046" i="2"/>
  <c r="L6047" i="2"/>
  <c r="M6047" i="2"/>
  <c r="N6047" i="2"/>
  <c r="P6047" i="2"/>
  <c r="L6048" i="2"/>
  <c r="M6048" i="2"/>
  <c r="N6048" i="2"/>
  <c r="P6048" i="2"/>
  <c r="L6049" i="2"/>
  <c r="M6049" i="2"/>
  <c r="N6049" i="2"/>
  <c r="P6049" i="2"/>
  <c r="L6050" i="2"/>
  <c r="M6050" i="2"/>
  <c r="N6050" i="2"/>
  <c r="P6050" i="2"/>
  <c r="L6051" i="2"/>
  <c r="M6051" i="2"/>
  <c r="N6051" i="2"/>
  <c r="P6051" i="2"/>
  <c r="L6052" i="2"/>
  <c r="M6052" i="2"/>
  <c r="N6052" i="2"/>
  <c r="P6052" i="2"/>
  <c r="L6053" i="2"/>
  <c r="M6053" i="2"/>
  <c r="N6053" i="2"/>
  <c r="P6053" i="2"/>
  <c r="L6054" i="2"/>
  <c r="M6054" i="2"/>
  <c r="N6054" i="2"/>
  <c r="P6054" i="2"/>
  <c r="L6055" i="2"/>
  <c r="M6055" i="2"/>
  <c r="N6055" i="2"/>
  <c r="P6055" i="2"/>
  <c r="L6056" i="2"/>
  <c r="M6056" i="2"/>
  <c r="N6056" i="2"/>
  <c r="P6056" i="2"/>
  <c r="L6057" i="2"/>
  <c r="M6057" i="2"/>
  <c r="N6057" i="2"/>
  <c r="P6057" i="2"/>
  <c r="L6058" i="2"/>
  <c r="M6058" i="2"/>
  <c r="N6058" i="2"/>
  <c r="P6058" i="2"/>
  <c r="L6059" i="2"/>
  <c r="M6059" i="2"/>
  <c r="N6059" i="2"/>
  <c r="P6059" i="2"/>
  <c r="L6060" i="2"/>
  <c r="M6060" i="2"/>
  <c r="N6060" i="2"/>
  <c r="P6060" i="2"/>
  <c r="L6061" i="2"/>
  <c r="M6061" i="2"/>
  <c r="N6061" i="2"/>
  <c r="P6061" i="2"/>
  <c r="L6062" i="2"/>
  <c r="M6062" i="2"/>
  <c r="N6062" i="2"/>
  <c r="P6062" i="2"/>
  <c r="L6063" i="2"/>
  <c r="M6063" i="2"/>
  <c r="N6063" i="2"/>
  <c r="P6063" i="2"/>
  <c r="L6064" i="2"/>
  <c r="M6064" i="2"/>
  <c r="N6064" i="2"/>
  <c r="P6064" i="2"/>
  <c r="L6065" i="2"/>
  <c r="M6065" i="2"/>
  <c r="N6065" i="2"/>
  <c r="P6065" i="2"/>
  <c r="L6066" i="2"/>
  <c r="M6066" i="2"/>
  <c r="N6066" i="2"/>
  <c r="P6066" i="2"/>
  <c r="L6067" i="2"/>
  <c r="M6067" i="2"/>
  <c r="N6067" i="2"/>
  <c r="P6067" i="2"/>
  <c r="L6068" i="2"/>
  <c r="M6068" i="2"/>
  <c r="N6068" i="2"/>
  <c r="P6068" i="2"/>
  <c r="L6069" i="2"/>
  <c r="M6069" i="2"/>
  <c r="N6069" i="2"/>
  <c r="P6069" i="2"/>
  <c r="L6070" i="2"/>
  <c r="M6070" i="2"/>
  <c r="N6070" i="2"/>
  <c r="P6070" i="2"/>
  <c r="L6071" i="2"/>
  <c r="M6071" i="2"/>
  <c r="N6071" i="2"/>
  <c r="P6071" i="2"/>
  <c r="L6072" i="2"/>
  <c r="M6072" i="2"/>
  <c r="N6072" i="2"/>
  <c r="P6072" i="2"/>
  <c r="L6073" i="2"/>
  <c r="M6073" i="2"/>
  <c r="N6073" i="2"/>
  <c r="P6073" i="2"/>
  <c r="L6074" i="2"/>
  <c r="M6074" i="2"/>
  <c r="N6074" i="2"/>
  <c r="P6074" i="2"/>
  <c r="L6075" i="2"/>
  <c r="M6075" i="2"/>
  <c r="N6075" i="2"/>
  <c r="P6075" i="2"/>
  <c r="L6076" i="2"/>
  <c r="M6076" i="2"/>
  <c r="N6076" i="2"/>
  <c r="P6076" i="2"/>
  <c r="L6077" i="2"/>
  <c r="M6077" i="2"/>
  <c r="N6077" i="2"/>
  <c r="P6077" i="2"/>
  <c r="L6078" i="2"/>
  <c r="M6078" i="2"/>
  <c r="N6078" i="2"/>
  <c r="P6078" i="2"/>
  <c r="L6079" i="2"/>
  <c r="M6079" i="2"/>
  <c r="N6079" i="2"/>
  <c r="P6079" i="2"/>
  <c r="L6080" i="2"/>
  <c r="M6080" i="2"/>
  <c r="N6080" i="2"/>
  <c r="P6080" i="2"/>
  <c r="L6081" i="2"/>
  <c r="M6081" i="2"/>
  <c r="N6081" i="2"/>
  <c r="P6081" i="2"/>
  <c r="L6082" i="2"/>
  <c r="M6082" i="2"/>
  <c r="N6082" i="2"/>
  <c r="P6082" i="2"/>
  <c r="L6083" i="2"/>
  <c r="M6083" i="2"/>
  <c r="N6083" i="2"/>
  <c r="P6083" i="2"/>
  <c r="L6084" i="2"/>
  <c r="M6084" i="2"/>
  <c r="N6084" i="2"/>
  <c r="P6084" i="2"/>
  <c r="L6085" i="2"/>
  <c r="M6085" i="2"/>
  <c r="N6085" i="2"/>
  <c r="P6085" i="2"/>
  <c r="L6086" i="2"/>
  <c r="M6086" i="2"/>
  <c r="N6086" i="2"/>
  <c r="P6086" i="2"/>
  <c r="L6087" i="2"/>
  <c r="M6087" i="2"/>
  <c r="N6087" i="2"/>
  <c r="P6087" i="2"/>
  <c r="L6088" i="2"/>
  <c r="M6088" i="2"/>
  <c r="N6088" i="2"/>
  <c r="P6088" i="2"/>
  <c r="L6089" i="2"/>
  <c r="M6089" i="2"/>
  <c r="N6089" i="2"/>
  <c r="P6089" i="2"/>
  <c r="L6090" i="2"/>
  <c r="M6090" i="2"/>
  <c r="N6090" i="2"/>
  <c r="P6090" i="2"/>
  <c r="L6091" i="2"/>
  <c r="M6091" i="2"/>
  <c r="N6091" i="2"/>
  <c r="P6091" i="2"/>
  <c r="L6092" i="2"/>
  <c r="M6092" i="2"/>
  <c r="N6092" i="2"/>
  <c r="P6092" i="2"/>
  <c r="L6093" i="2"/>
  <c r="M6093" i="2"/>
  <c r="N6093" i="2"/>
  <c r="P6093" i="2"/>
  <c r="L5978" i="2"/>
  <c r="M5978" i="2"/>
  <c r="N5978" i="2"/>
  <c r="P5978" i="2"/>
  <c r="P5977" i="2"/>
  <c r="N5977" i="2"/>
  <c r="M5977" i="2"/>
  <c r="L5977" i="2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2" i="1"/>
  <c r="E16" i="3"/>
  <c r="F16" i="3"/>
  <c r="D16" i="3"/>
  <c r="D24" i="3" s="1"/>
  <c r="L5947" i="2"/>
  <c r="M5947" i="2"/>
  <c r="N5947" i="2"/>
  <c r="P5947" i="2"/>
  <c r="L5948" i="2"/>
  <c r="M5948" i="2"/>
  <c r="N5948" i="2"/>
  <c r="P5948" i="2"/>
  <c r="L5949" i="2"/>
  <c r="M5949" i="2"/>
  <c r="N5949" i="2"/>
  <c r="P5949" i="2"/>
  <c r="L5950" i="2"/>
  <c r="M5950" i="2"/>
  <c r="N5950" i="2"/>
  <c r="P5950" i="2"/>
  <c r="L5951" i="2"/>
  <c r="M5951" i="2"/>
  <c r="N5951" i="2"/>
  <c r="P5951" i="2"/>
  <c r="L5952" i="2"/>
  <c r="M5952" i="2"/>
  <c r="N5952" i="2"/>
  <c r="P5952" i="2"/>
  <c r="L5953" i="2"/>
  <c r="M5953" i="2"/>
  <c r="N5953" i="2"/>
  <c r="P5953" i="2"/>
  <c r="L5954" i="2"/>
  <c r="M5954" i="2"/>
  <c r="N5954" i="2"/>
  <c r="P5954" i="2"/>
  <c r="L5955" i="2"/>
  <c r="M5955" i="2"/>
  <c r="N5955" i="2"/>
  <c r="P5955" i="2"/>
  <c r="L5956" i="2"/>
  <c r="M5956" i="2"/>
  <c r="N5956" i="2"/>
  <c r="P5956" i="2"/>
  <c r="L5957" i="2"/>
  <c r="M5957" i="2"/>
  <c r="N5957" i="2"/>
  <c r="P5957" i="2"/>
  <c r="L5958" i="2"/>
  <c r="M5958" i="2"/>
  <c r="N5958" i="2"/>
  <c r="P5958" i="2"/>
  <c r="L5959" i="2"/>
  <c r="M5959" i="2"/>
  <c r="N5959" i="2"/>
  <c r="P5959" i="2"/>
  <c r="L5960" i="2"/>
  <c r="M5960" i="2"/>
  <c r="N5960" i="2"/>
  <c r="P5960" i="2"/>
  <c r="L5961" i="2"/>
  <c r="M5961" i="2"/>
  <c r="N5961" i="2"/>
  <c r="P5961" i="2"/>
  <c r="L5962" i="2"/>
  <c r="M5962" i="2"/>
  <c r="N5962" i="2"/>
  <c r="P5962" i="2"/>
  <c r="L5963" i="2"/>
  <c r="M5963" i="2"/>
  <c r="N5963" i="2"/>
  <c r="P5963" i="2"/>
  <c r="L5964" i="2"/>
  <c r="M5964" i="2"/>
  <c r="N5964" i="2"/>
  <c r="P5964" i="2"/>
  <c r="L5965" i="2"/>
  <c r="M5965" i="2"/>
  <c r="N5965" i="2"/>
  <c r="P5965" i="2"/>
  <c r="L5966" i="2"/>
  <c r="M5966" i="2"/>
  <c r="N5966" i="2"/>
  <c r="P5966" i="2"/>
  <c r="L5967" i="2"/>
  <c r="M5967" i="2"/>
  <c r="N5967" i="2"/>
  <c r="P5967" i="2"/>
  <c r="L5968" i="2"/>
  <c r="M5968" i="2"/>
  <c r="N5968" i="2"/>
  <c r="P5968" i="2"/>
  <c r="L5969" i="2"/>
  <c r="M5969" i="2"/>
  <c r="N5969" i="2"/>
  <c r="P5969" i="2"/>
  <c r="L5970" i="2"/>
  <c r="M5970" i="2"/>
  <c r="N5970" i="2"/>
  <c r="P5970" i="2"/>
  <c r="L5971" i="2"/>
  <c r="M5971" i="2"/>
  <c r="N5971" i="2"/>
  <c r="P5971" i="2"/>
  <c r="L5972" i="2"/>
  <c r="M5972" i="2"/>
  <c r="N5972" i="2"/>
  <c r="P5972" i="2"/>
  <c r="L5973" i="2"/>
  <c r="M5973" i="2"/>
  <c r="N5973" i="2"/>
  <c r="P5973" i="2"/>
  <c r="L5974" i="2"/>
  <c r="M5974" i="2"/>
  <c r="N5974" i="2"/>
  <c r="P5974" i="2"/>
  <c r="L5975" i="2"/>
  <c r="M5975" i="2"/>
  <c r="N5975" i="2"/>
  <c r="P5975" i="2"/>
  <c r="L5976" i="2"/>
  <c r="M5976" i="2"/>
  <c r="N5976" i="2"/>
  <c r="P5976" i="2"/>
  <c r="L5826" i="2"/>
  <c r="M5826" i="2"/>
  <c r="N5826" i="2"/>
  <c r="P5826" i="2"/>
  <c r="L5827" i="2"/>
  <c r="M5827" i="2"/>
  <c r="N5827" i="2"/>
  <c r="P5827" i="2"/>
  <c r="L5828" i="2"/>
  <c r="M5828" i="2"/>
  <c r="N5828" i="2"/>
  <c r="P5828" i="2"/>
  <c r="L5829" i="2"/>
  <c r="M5829" i="2"/>
  <c r="N5829" i="2"/>
  <c r="P5829" i="2"/>
  <c r="L5830" i="2"/>
  <c r="M5830" i="2"/>
  <c r="N5830" i="2"/>
  <c r="P5830" i="2"/>
  <c r="L5831" i="2"/>
  <c r="M5831" i="2"/>
  <c r="N5831" i="2"/>
  <c r="P5831" i="2"/>
  <c r="L5832" i="2"/>
  <c r="M5832" i="2"/>
  <c r="N5832" i="2"/>
  <c r="P5832" i="2"/>
  <c r="L5833" i="2"/>
  <c r="M5833" i="2"/>
  <c r="N5833" i="2"/>
  <c r="P5833" i="2"/>
  <c r="L5834" i="2"/>
  <c r="M5834" i="2"/>
  <c r="N5834" i="2"/>
  <c r="P5834" i="2"/>
  <c r="L5835" i="2"/>
  <c r="M5835" i="2"/>
  <c r="N5835" i="2"/>
  <c r="P5835" i="2"/>
  <c r="L5836" i="2"/>
  <c r="M5836" i="2"/>
  <c r="N5836" i="2"/>
  <c r="P5836" i="2"/>
  <c r="L5837" i="2"/>
  <c r="M5837" i="2"/>
  <c r="N5837" i="2"/>
  <c r="P5837" i="2"/>
  <c r="L5838" i="2"/>
  <c r="M5838" i="2"/>
  <c r="N5838" i="2"/>
  <c r="P5838" i="2"/>
  <c r="L5839" i="2"/>
  <c r="M5839" i="2"/>
  <c r="N5839" i="2"/>
  <c r="P5839" i="2"/>
  <c r="L5840" i="2"/>
  <c r="M5840" i="2"/>
  <c r="N5840" i="2"/>
  <c r="P5840" i="2"/>
  <c r="L5841" i="2"/>
  <c r="M5841" i="2"/>
  <c r="N5841" i="2"/>
  <c r="P5841" i="2"/>
  <c r="L5842" i="2"/>
  <c r="M5842" i="2"/>
  <c r="N5842" i="2"/>
  <c r="P5842" i="2"/>
  <c r="L5843" i="2"/>
  <c r="M5843" i="2"/>
  <c r="N5843" i="2"/>
  <c r="P5843" i="2"/>
  <c r="L5844" i="2"/>
  <c r="M5844" i="2"/>
  <c r="N5844" i="2"/>
  <c r="P5844" i="2"/>
  <c r="L5845" i="2"/>
  <c r="M5845" i="2"/>
  <c r="N5845" i="2"/>
  <c r="P5845" i="2"/>
  <c r="L5846" i="2"/>
  <c r="M5846" i="2"/>
  <c r="N5846" i="2"/>
  <c r="P5846" i="2"/>
  <c r="L5847" i="2"/>
  <c r="M5847" i="2"/>
  <c r="N5847" i="2"/>
  <c r="P5847" i="2"/>
  <c r="L5848" i="2"/>
  <c r="M5848" i="2"/>
  <c r="N5848" i="2"/>
  <c r="P5848" i="2"/>
  <c r="L5849" i="2"/>
  <c r="M5849" i="2"/>
  <c r="N5849" i="2"/>
  <c r="P5849" i="2"/>
  <c r="L5850" i="2"/>
  <c r="M5850" i="2"/>
  <c r="N5850" i="2"/>
  <c r="P5850" i="2"/>
  <c r="L5851" i="2"/>
  <c r="M5851" i="2"/>
  <c r="N5851" i="2"/>
  <c r="P5851" i="2"/>
  <c r="L5852" i="2"/>
  <c r="M5852" i="2"/>
  <c r="N5852" i="2"/>
  <c r="P5852" i="2"/>
  <c r="L5853" i="2"/>
  <c r="M5853" i="2"/>
  <c r="N5853" i="2"/>
  <c r="P5853" i="2"/>
  <c r="L5854" i="2"/>
  <c r="M5854" i="2"/>
  <c r="N5854" i="2"/>
  <c r="P5854" i="2"/>
  <c r="L5855" i="2"/>
  <c r="M5855" i="2"/>
  <c r="N5855" i="2"/>
  <c r="P5855" i="2"/>
  <c r="L5856" i="2"/>
  <c r="M5856" i="2"/>
  <c r="N5856" i="2"/>
  <c r="P5856" i="2"/>
  <c r="L5857" i="2"/>
  <c r="M5857" i="2"/>
  <c r="N5857" i="2"/>
  <c r="P5857" i="2"/>
  <c r="L5858" i="2"/>
  <c r="M5858" i="2"/>
  <c r="N5858" i="2"/>
  <c r="P5858" i="2"/>
  <c r="L5859" i="2"/>
  <c r="M5859" i="2"/>
  <c r="N5859" i="2"/>
  <c r="P5859" i="2"/>
  <c r="L5860" i="2"/>
  <c r="M5860" i="2"/>
  <c r="N5860" i="2"/>
  <c r="P5860" i="2"/>
  <c r="L5861" i="2"/>
  <c r="M5861" i="2"/>
  <c r="N5861" i="2"/>
  <c r="P5861" i="2"/>
  <c r="L5862" i="2"/>
  <c r="M5862" i="2"/>
  <c r="N5862" i="2"/>
  <c r="P5862" i="2"/>
  <c r="L5863" i="2"/>
  <c r="M5863" i="2"/>
  <c r="N5863" i="2"/>
  <c r="P5863" i="2"/>
  <c r="L5864" i="2"/>
  <c r="M5864" i="2"/>
  <c r="N5864" i="2"/>
  <c r="P5864" i="2"/>
  <c r="L5865" i="2"/>
  <c r="M5865" i="2"/>
  <c r="N5865" i="2"/>
  <c r="P5865" i="2"/>
  <c r="L5866" i="2"/>
  <c r="M5866" i="2"/>
  <c r="N5866" i="2"/>
  <c r="P5866" i="2"/>
  <c r="L5867" i="2"/>
  <c r="M5867" i="2"/>
  <c r="N5867" i="2"/>
  <c r="P5867" i="2"/>
  <c r="L5868" i="2"/>
  <c r="M5868" i="2"/>
  <c r="N5868" i="2"/>
  <c r="P5868" i="2"/>
  <c r="L5869" i="2"/>
  <c r="M5869" i="2"/>
  <c r="N5869" i="2"/>
  <c r="P5869" i="2"/>
  <c r="L5870" i="2"/>
  <c r="M5870" i="2"/>
  <c r="N5870" i="2"/>
  <c r="P5870" i="2"/>
  <c r="L5871" i="2"/>
  <c r="M5871" i="2"/>
  <c r="N5871" i="2"/>
  <c r="P5871" i="2"/>
  <c r="L5872" i="2"/>
  <c r="M5872" i="2"/>
  <c r="N5872" i="2"/>
  <c r="P5872" i="2"/>
  <c r="L5873" i="2"/>
  <c r="M5873" i="2"/>
  <c r="N5873" i="2"/>
  <c r="P5873" i="2"/>
  <c r="L5874" i="2"/>
  <c r="M5874" i="2"/>
  <c r="N5874" i="2"/>
  <c r="P5874" i="2"/>
  <c r="L5875" i="2"/>
  <c r="M5875" i="2"/>
  <c r="N5875" i="2"/>
  <c r="P5875" i="2"/>
  <c r="L5876" i="2"/>
  <c r="M5876" i="2"/>
  <c r="N5876" i="2"/>
  <c r="P5876" i="2"/>
  <c r="L5877" i="2"/>
  <c r="M5877" i="2"/>
  <c r="N5877" i="2"/>
  <c r="P5877" i="2"/>
  <c r="L5878" i="2"/>
  <c r="M5878" i="2"/>
  <c r="N5878" i="2"/>
  <c r="P5878" i="2"/>
  <c r="L5879" i="2"/>
  <c r="M5879" i="2"/>
  <c r="N5879" i="2"/>
  <c r="P5879" i="2"/>
  <c r="L5880" i="2"/>
  <c r="M5880" i="2"/>
  <c r="N5880" i="2"/>
  <c r="P5880" i="2"/>
  <c r="L5881" i="2"/>
  <c r="M5881" i="2"/>
  <c r="N5881" i="2"/>
  <c r="P5881" i="2"/>
  <c r="L5882" i="2"/>
  <c r="M5882" i="2"/>
  <c r="N5882" i="2"/>
  <c r="P5882" i="2"/>
  <c r="L5883" i="2"/>
  <c r="M5883" i="2"/>
  <c r="N5883" i="2"/>
  <c r="P5883" i="2"/>
  <c r="L5884" i="2"/>
  <c r="M5884" i="2"/>
  <c r="N5884" i="2"/>
  <c r="P5884" i="2"/>
  <c r="L5885" i="2"/>
  <c r="M5885" i="2"/>
  <c r="N5885" i="2"/>
  <c r="P5885" i="2"/>
  <c r="L5886" i="2"/>
  <c r="M5886" i="2"/>
  <c r="N5886" i="2"/>
  <c r="P5886" i="2"/>
  <c r="L5887" i="2"/>
  <c r="M5887" i="2"/>
  <c r="N5887" i="2"/>
  <c r="P5887" i="2"/>
  <c r="L5888" i="2"/>
  <c r="M5888" i="2"/>
  <c r="N5888" i="2"/>
  <c r="P5888" i="2"/>
  <c r="L5889" i="2"/>
  <c r="M5889" i="2"/>
  <c r="N5889" i="2"/>
  <c r="P5889" i="2"/>
  <c r="L5890" i="2"/>
  <c r="M5890" i="2"/>
  <c r="N5890" i="2"/>
  <c r="P5890" i="2"/>
  <c r="L5891" i="2"/>
  <c r="M5891" i="2"/>
  <c r="N5891" i="2"/>
  <c r="P5891" i="2"/>
  <c r="L5892" i="2"/>
  <c r="M5892" i="2"/>
  <c r="N5892" i="2"/>
  <c r="P5892" i="2"/>
  <c r="L5893" i="2"/>
  <c r="M5893" i="2"/>
  <c r="N5893" i="2"/>
  <c r="P5893" i="2"/>
  <c r="L5894" i="2"/>
  <c r="M5894" i="2"/>
  <c r="N5894" i="2"/>
  <c r="P5894" i="2"/>
  <c r="L5895" i="2"/>
  <c r="M5895" i="2"/>
  <c r="N5895" i="2"/>
  <c r="P5895" i="2"/>
  <c r="L5896" i="2"/>
  <c r="M5896" i="2"/>
  <c r="N5896" i="2"/>
  <c r="P5896" i="2"/>
  <c r="L5897" i="2"/>
  <c r="M5897" i="2"/>
  <c r="N5897" i="2"/>
  <c r="P5897" i="2"/>
  <c r="L5898" i="2"/>
  <c r="M5898" i="2"/>
  <c r="N5898" i="2"/>
  <c r="P5898" i="2"/>
  <c r="L5899" i="2"/>
  <c r="M5899" i="2"/>
  <c r="N5899" i="2"/>
  <c r="P5899" i="2"/>
  <c r="L5900" i="2"/>
  <c r="M5900" i="2"/>
  <c r="N5900" i="2"/>
  <c r="P5900" i="2"/>
  <c r="L5901" i="2"/>
  <c r="M5901" i="2"/>
  <c r="N5901" i="2"/>
  <c r="P5901" i="2"/>
  <c r="L5902" i="2"/>
  <c r="M5902" i="2"/>
  <c r="N5902" i="2"/>
  <c r="P5902" i="2"/>
  <c r="L5903" i="2"/>
  <c r="M5903" i="2"/>
  <c r="N5903" i="2"/>
  <c r="P5903" i="2"/>
  <c r="L5904" i="2"/>
  <c r="M5904" i="2"/>
  <c r="N5904" i="2"/>
  <c r="P5904" i="2"/>
  <c r="L5905" i="2"/>
  <c r="M5905" i="2"/>
  <c r="N5905" i="2"/>
  <c r="P5905" i="2"/>
  <c r="L5906" i="2"/>
  <c r="M5906" i="2"/>
  <c r="N5906" i="2"/>
  <c r="P5906" i="2"/>
  <c r="L5907" i="2"/>
  <c r="M5907" i="2"/>
  <c r="N5907" i="2"/>
  <c r="P5907" i="2"/>
  <c r="L5908" i="2"/>
  <c r="M5908" i="2"/>
  <c r="N5908" i="2"/>
  <c r="P5908" i="2"/>
  <c r="L5909" i="2"/>
  <c r="M5909" i="2"/>
  <c r="N5909" i="2"/>
  <c r="P5909" i="2"/>
  <c r="L5910" i="2"/>
  <c r="M5910" i="2"/>
  <c r="N5910" i="2"/>
  <c r="P5910" i="2"/>
  <c r="L5911" i="2"/>
  <c r="M5911" i="2"/>
  <c r="N5911" i="2"/>
  <c r="P5911" i="2"/>
  <c r="L5912" i="2"/>
  <c r="M5912" i="2"/>
  <c r="N5912" i="2"/>
  <c r="P5912" i="2"/>
  <c r="L5913" i="2"/>
  <c r="M5913" i="2"/>
  <c r="N5913" i="2"/>
  <c r="P5913" i="2"/>
  <c r="L5914" i="2"/>
  <c r="M5914" i="2"/>
  <c r="N5914" i="2"/>
  <c r="P5914" i="2"/>
  <c r="L5915" i="2"/>
  <c r="M5915" i="2"/>
  <c r="N5915" i="2"/>
  <c r="P5915" i="2"/>
  <c r="L5916" i="2"/>
  <c r="M5916" i="2"/>
  <c r="N5916" i="2"/>
  <c r="P5916" i="2"/>
  <c r="L5917" i="2"/>
  <c r="M5917" i="2"/>
  <c r="N5917" i="2"/>
  <c r="P5917" i="2"/>
  <c r="L5918" i="2"/>
  <c r="M5918" i="2"/>
  <c r="N5918" i="2"/>
  <c r="P5918" i="2"/>
  <c r="L5919" i="2"/>
  <c r="M5919" i="2"/>
  <c r="N5919" i="2"/>
  <c r="P5919" i="2"/>
  <c r="L5920" i="2"/>
  <c r="M5920" i="2"/>
  <c r="N5920" i="2"/>
  <c r="P5920" i="2"/>
  <c r="L5921" i="2"/>
  <c r="M5921" i="2"/>
  <c r="N5921" i="2"/>
  <c r="P5921" i="2"/>
  <c r="L5922" i="2"/>
  <c r="M5922" i="2"/>
  <c r="N5922" i="2"/>
  <c r="P5922" i="2"/>
  <c r="L5923" i="2"/>
  <c r="M5923" i="2"/>
  <c r="N5923" i="2"/>
  <c r="P5923" i="2"/>
  <c r="L5924" i="2"/>
  <c r="M5924" i="2"/>
  <c r="N5924" i="2"/>
  <c r="P5924" i="2"/>
  <c r="L5925" i="2"/>
  <c r="M5925" i="2"/>
  <c r="N5925" i="2"/>
  <c r="P5925" i="2"/>
  <c r="L5926" i="2"/>
  <c r="M5926" i="2"/>
  <c r="N5926" i="2"/>
  <c r="P5926" i="2"/>
  <c r="L5927" i="2"/>
  <c r="M5927" i="2"/>
  <c r="N5927" i="2"/>
  <c r="P5927" i="2"/>
  <c r="L5928" i="2"/>
  <c r="M5928" i="2"/>
  <c r="N5928" i="2"/>
  <c r="P5928" i="2"/>
  <c r="L5929" i="2"/>
  <c r="M5929" i="2"/>
  <c r="N5929" i="2"/>
  <c r="P5929" i="2"/>
  <c r="L5930" i="2"/>
  <c r="M5930" i="2"/>
  <c r="N5930" i="2"/>
  <c r="P5930" i="2"/>
  <c r="L5931" i="2"/>
  <c r="M5931" i="2"/>
  <c r="N5931" i="2"/>
  <c r="P5931" i="2"/>
  <c r="L5932" i="2"/>
  <c r="M5932" i="2"/>
  <c r="N5932" i="2"/>
  <c r="P5932" i="2"/>
  <c r="L5933" i="2"/>
  <c r="M5933" i="2"/>
  <c r="N5933" i="2"/>
  <c r="P5933" i="2"/>
  <c r="L5934" i="2"/>
  <c r="M5934" i="2"/>
  <c r="N5934" i="2"/>
  <c r="P5934" i="2"/>
  <c r="L5935" i="2"/>
  <c r="M5935" i="2"/>
  <c r="N5935" i="2"/>
  <c r="P5935" i="2"/>
  <c r="L5936" i="2"/>
  <c r="M5936" i="2"/>
  <c r="N5936" i="2"/>
  <c r="P5936" i="2"/>
  <c r="L5937" i="2"/>
  <c r="M5937" i="2"/>
  <c r="N5937" i="2"/>
  <c r="P5937" i="2"/>
  <c r="L5938" i="2"/>
  <c r="M5938" i="2"/>
  <c r="N5938" i="2"/>
  <c r="P5938" i="2"/>
  <c r="L5939" i="2"/>
  <c r="M5939" i="2"/>
  <c r="N5939" i="2"/>
  <c r="P5939" i="2"/>
  <c r="L5940" i="2"/>
  <c r="M5940" i="2"/>
  <c r="N5940" i="2"/>
  <c r="P5940" i="2"/>
  <c r="L5941" i="2"/>
  <c r="M5941" i="2"/>
  <c r="N5941" i="2"/>
  <c r="P5941" i="2"/>
  <c r="L5942" i="2"/>
  <c r="M5942" i="2"/>
  <c r="N5942" i="2"/>
  <c r="P5942" i="2"/>
  <c r="L5943" i="2"/>
  <c r="M5943" i="2"/>
  <c r="N5943" i="2"/>
  <c r="P5943" i="2"/>
  <c r="L5944" i="2"/>
  <c r="M5944" i="2"/>
  <c r="N5944" i="2"/>
  <c r="P5944" i="2"/>
  <c r="L5945" i="2"/>
  <c r="M5945" i="2"/>
  <c r="N5945" i="2"/>
  <c r="P5945" i="2"/>
  <c r="L5946" i="2"/>
  <c r="M5946" i="2"/>
  <c r="N5946" i="2"/>
  <c r="P5946" i="2"/>
  <c r="P5825" i="2"/>
  <c r="N5825" i="2"/>
  <c r="M5825" i="2"/>
  <c r="L5825" i="2"/>
  <c r="L5824" i="2"/>
  <c r="M5824" i="2"/>
  <c r="N5824" i="2"/>
  <c r="P5824" i="2"/>
  <c r="L5616" i="2"/>
  <c r="M5616" i="2"/>
  <c r="N5616" i="2"/>
  <c r="P5616" i="2"/>
  <c r="L5617" i="2"/>
  <c r="M5617" i="2"/>
  <c r="N5617" i="2"/>
  <c r="P5617" i="2"/>
  <c r="L5618" i="2"/>
  <c r="M5618" i="2"/>
  <c r="N5618" i="2"/>
  <c r="P5618" i="2"/>
  <c r="L5619" i="2"/>
  <c r="M5619" i="2"/>
  <c r="N5619" i="2"/>
  <c r="P5619" i="2"/>
  <c r="L5620" i="2"/>
  <c r="M5620" i="2"/>
  <c r="N5620" i="2"/>
  <c r="P5620" i="2"/>
  <c r="L5621" i="2"/>
  <c r="M5621" i="2"/>
  <c r="N5621" i="2"/>
  <c r="P5621" i="2"/>
  <c r="L5622" i="2"/>
  <c r="M5622" i="2"/>
  <c r="N5622" i="2"/>
  <c r="P5622" i="2"/>
  <c r="L5623" i="2"/>
  <c r="M5623" i="2"/>
  <c r="N5623" i="2"/>
  <c r="P5623" i="2"/>
  <c r="L5624" i="2"/>
  <c r="M5624" i="2"/>
  <c r="N5624" i="2"/>
  <c r="P5624" i="2"/>
  <c r="L5625" i="2"/>
  <c r="M5625" i="2"/>
  <c r="N5625" i="2"/>
  <c r="P5625" i="2"/>
  <c r="L5626" i="2"/>
  <c r="M5626" i="2"/>
  <c r="N5626" i="2"/>
  <c r="P5626" i="2"/>
  <c r="L5627" i="2"/>
  <c r="M5627" i="2"/>
  <c r="N5627" i="2"/>
  <c r="P5627" i="2"/>
  <c r="L5628" i="2"/>
  <c r="M5628" i="2"/>
  <c r="N5628" i="2"/>
  <c r="P5628" i="2"/>
  <c r="L5629" i="2"/>
  <c r="M5629" i="2"/>
  <c r="N5629" i="2"/>
  <c r="P5629" i="2"/>
  <c r="L5630" i="2"/>
  <c r="M5630" i="2"/>
  <c r="N5630" i="2"/>
  <c r="P5630" i="2"/>
  <c r="L5631" i="2"/>
  <c r="M5631" i="2"/>
  <c r="N5631" i="2"/>
  <c r="P5631" i="2"/>
  <c r="L5632" i="2"/>
  <c r="M5632" i="2"/>
  <c r="N5632" i="2"/>
  <c r="P5632" i="2"/>
  <c r="L5633" i="2"/>
  <c r="M5633" i="2"/>
  <c r="N5633" i="2"/>
  <c r="P5633" i="2"/>
  <c r="L5634" i="2"/>
  <c r="M5634" i="2"/>
  <c r="N5634" i="2"/>
  <c r="P5634" i="2"/>
  <c r="L5635" i="2"/>
  <c r="M5635" i="2"/>
  <c r="N5635" i="2"/>
  <c r="P5635" i="2"/>
  <c r="L5636" i="2"/>
  <c r="M5636" i="2"/>
  <c r="N5636" i="2"/>
  <c r="P5636" i="2"/>
  <c r="L5637" i="2"/>
  <c r="M5637" i="2"/>
  <c r="N5637" i="2"/>
  <c r="P5637" i="2"/>
  <c r="L5638" i="2"/>
  <c r="M5638" i="2"/>
  <c r="N5638" i="2"/>
  <c r="P5638" i="2"/>
  <c r="L5639" i="2"/>
  <c r="M5639" i="2"/>
  <c r="N5639" i="2"/>
  <c r="P5639" i="2"/>
  <c r="L5640" i="2"/>
  <c r="M5640" i="2"/>
  <c r="N5640" i="2"/>
  <c r="P5640" i="2"/>
  <c r="L5641" i="2"/>
  <c r="M5641" i="2"/>
  <c r="N5641" i="2"/>
  <c r="P5641" i="2"/>
  <c r="L5642" i="2"/>
  <c r="M5642" i="2"/>
  <c r="N5642" i="2"/>
  <c r="P5642" i="2"/>
  <c r="L5643" i="2"/>
  <c r="M5643" i="2"/>
  <c r="N5643" i="2"/>
  <c r="P5643" i="2"/>
  <c r="L5644" i="2"/>
  <c r="M5644" i="2"/>
  <c r="N5644" i="2"/>
  <c r="P5644" i="2"/>
  <c r="L5645" i="2"/>
  <c r="M5645" i="2"/>
  <c r="N5645" i="2"/>
  <c r="P5645" i="2"/>
  <c r="L5646" i="2"/>
  <c r="M5646" i="2"/>
  <c r="N5646" i="2"/>
  <c r="P5646" i="2"/>
  <c r="L5647" i="2"/>
  <c r="M5647" i="2"/>
  <c r="N5647" i="2"/>
  <c r="P5647" i="2"/>
  <c r="L5648" i="2"/>
  <c r="M5648" i="2"/>
  <c r="N5648" i="2"/>
  <c r="P5648" i="2"/>
  <c r="L5649" i="2"/>
  <c r="M5649" i="2"/>
  <c r="N5649" i="2"/>
  <c r="P5649" i="2"/>
  <c r="L5650" i="2"/>
  <c r="M5650" i="2"/>
  <c r="N5650" i="2"/>
  <c r="P5650" i="2"/>
  <c r="L5651" i="2"/>
  <c r="M5651" i="2"/>
  <c r="N5651" i="2"/>
  <c r="P5651" i="2"/>
  <c r="L5652" i="2"/>
  <c r="M5652" i="2"/>
  <c r="N5652" i="2"/>
  <c r="P5652" i="2"/>
  <c r="L5653" i="2"/>
  <c r="M5653" i="2"/>
  <c r="N5653" i="2"/>
  <c r="P5653" i="2"/>
  <c r="L5654" i="2"/>
  <c r="M5654" i="2"/>
  <c r="N5654" i="2"/>
  <c r="P5654" i="2"/>
  <c r="L5655" i="2"/>
  <c r="M5655" i="2"/>
  <c r="N5655" i="2"/>
  <c r="P5655" i="2"/>
  <c r="L5656" i="2"/>
  <c r="M5656" i="2"/>
  <c r="N5656" i="2"/>
  <c r="P5656" i="2"/>
  <c r="L5657" i="2"/>
  <c r="M5657" i="2"/>
  <c r="N5657" i="2"/>
  <c r="P5657" i="2"/>
  <c r="L5658" i="2"/>
  <c r="M5658" i="2"/>
  <c r="N5658" i="2"/>
  <c r="P5658" i="2"/>
  <c r="L5659" i="2"/>
  <c r="M5659" i="2"/>
  <c r="N5659" i="2"/>
  <c r="P5659" i="2"/>
  <c r="L5660" i="2"/>
  <c r="M5660" i="2"/>
  <c r="N5660" i="2"/>
  <c r="P5660" i="2"/>
  <c r="L5661" i="2"/>
  <c r="M5661" i="2"/>
  <c r="N5661" i="2"/>
  <c r="P5661" i="2"/>
  <c r="L5662" i="2"/>
  <c r="M5662" i="2"/>
  <c r="N5662" i="2"/>
  <c r="P5662" i="2"/>
  <c r="L5663" i="2"/>
  <c r="M5663" i="2"/>
  <c r="N5663" i="2"/>
  <c r="P5663" i="2"/>
  <c r="L5664" i="2"/>
  <c r="M5664" i="2"/>
  <c r="N5664" i="2"/>
  <c r="P5664" i="2"/>
  <c r="L5665" i="2"/>
  <c r="M5665" i="2"/>
  <c r="N5665" i="2"/>
  <c r="P5665" i="2"/>
  <c r="L5666" i="2"/>
  <c r="M5666" i="2"/>
  <c r="N5666" i="2"/>
  <c r="P5666" i="2"/>
  <c r="L5667" i="2"/>
  <c r="M5667" i="2"/>
  <c r="N5667" i="2"/>
  <c r="P5667" i="2"/>
  <c r="L5668" i="2"/>
  <c r="M5668" i="2"/>
  <c r="N5668" i="2"/>
  <c r="P5668" i="2"/>
  <c r="L5669" i="2"/>
  <c r="M5669" i="2"/>
  <c r="N5669" i="2"/>
  <c r="P5669" i="2"/>
  <c r="L5670" i="2"/>
  <c r="M5670" i="2"/>
  <c r="N5670" i="2"/>
  <c r="P5670" i="2"/>
  <c r="L5671" i="2"/>
  <c r="M5671" i="2"/>
  <c r="N5671" i="2"/>
  <c r="P5671" i="2"/>
  <c r="L5672" i="2"/>
  <c r="M5672" i="2"/>
  <c r="N5672" i="2"/>
  <c r="P5672" i="2"/>
  <c r="L5673" i="2"/>
  <c r="M5673" i="2"/>
  <c r="N5673" i="2"/>
  <c r="P5673" i="2"/>
  <c r="L5674" i="2"/>
  <c r="M5674" i="2"/>
  <c r="N5674" i="2"/>
  <c r="P5674" i="2"/>
  <c r="L5675" i="2"/>
  <c r="M5675" i="2"/>
  <c r="N5675" i="2"/>
  <c r="P5675" i="2"/>
  <c r="L5676" i="2"/>
  <c r="M5676" i="2"/>
  <c r="N5676" i="2"/>
  <c r="P5676" i="2"/>
  <c r="L5677" i="2"/>
  <c r="M5677" i="2"/>
  <c r="N5677" i="2"/>
  <c r="P5677" i="2"/>
  <c r="L5678" i="2"/>
  <c r="M5678" i="2"/>
  <c r="N5678" i="2"/>
  <c r="P5678" i="2"/>
  <c r="L5679" i="2"/>
  <c r="M5679" i="2"/>
  <c r="N5679" i="2"/>
  <c r="P5679" i="2"/>
  <c r="L5680" i="2"/>
  <c r="M5680" i="2"/>
  <c r="N5680" i="2"/>
  <c r="P5680" i="2"/>
  <c r="L5681" i="2"/>
  <c r="M5681" i="2"/>
  <c r="N5681" i="2"/>
  <c r="P5681" i="2"/>
  <c r="L5682" i="2"/>
  <c r="M5682" i="2"/>
  <c r="N5682" i="2"/>
  <c r="P5682" i="2"/>
  <c r="L5683" i="2"/>
  <c r="M5683" i="2"/>
  <c r="N5683" i="2"/>
  <c r="P5683" i="2"/>
  <c r="L5684" i="2"/>
  <c r="M5684" i="2"/>
  <c r="N5684" i="2"/>
  <c r="P5684" i="2"/>
  <c r="L5685" i="2"/>
  <c r="M5685" i="2"/>
  <c r="N5685" i="2"/>
  <c r="P5685" i="2"/>
  <c r="L5686" i="2"/>
  <c r="M5686" i="2"/>
  <c r="N5686" i="2"/>
  <c r="P5686" i="2"/>
  <c r="L5687" i="2"/>
  <c r="M5687" i="2"/>
  <c r="N5687" i="2"/>
  <c r="P5687" i="2"/>
  <c r="L5688" i="2"/>
  <c r="M5688" i="2"/>
  <c r="N5688" i="2"/>
  <c r="P5688" i="2"/>
  <c r="L5689" i="2"/>
  <c r="M5689" i="2"/>
  <c r="N5689" i="2"/>
  <c r="P5689" i="2"/>
  <c r="L5690" i="2"/>
  <c r="M5690" i="2"/>
  <c r="N5690" i="2"/>
  <c r="P5690" i="2"/>
  <c r="L5691" i="2"/>
  <c r="M5691" i="2"/>
  <c r="N5691" i="2"/>
  <c r="P5691" i="2"/>
  <c r="L5692" i="2"/>
  <c r="M5692" i="2"/>
  <c r="N5692" i="2"/>
  <c r="P5692" i="2"/>
  <c r="L5693" i="2"/>
  <c r="M5693" i="2"/>
  <c r="N5693" i="2"/>
  <c r="P5693" i="2"/>
  <c r="L5694" i="2"/>
  <c r="M5694" i="2"/>
  <c r="N5694" i="2"/>
  <c r="P5694" i="2"/>
  <c r="L5695" i="2"/>
  <c r="M5695" i="2"/>
  <c r="N5695" i="2"/>
  <c r="P5695" i="2"/>
  <c r="L5696" i="2"/>
  <c r="M5696" i="2"/>
  <c r="N5696" i="2"/>
  <c r="P5696" i="2"/>
  <c r="L5697" i="2"/>
  <c r="M5697" i="2"/>
  <c r="N5697" i="2"/>
  <c r="P5697" i="2"/>
  <c r="L5698" i="2"/>
  <c r="M5698" i="2"/>
  <c r="N5698" i="2"/>
  <c r="P5698" i="2"/>
  <c r="L5699" i="2"/>
  <c r="M5699" i="2"/>
  <c r="N5699" i="2"/>
  <c r="P5699" i="2"/>
  <c r="L5700" i="2"/>
  <c r="M5700" i="2"/>
  <c r="N5700" i="2"/>
  <c r="P5700" i="2"/>
  <c r="L5701" i="2"/>
  <c r="M5701" i="2"/>
  <c r="N5701" i="2"/>
  <c r="P5701" i="2"/>
  <c r="L5702" i="2"/>
  <c r="M5702" i="2"/>
  <c r="N5702" i="2"/>
  <c r="P5702" i="2"/>
  <c r="L5703" i="2"/>
  <c r="M5703" i="2"/>
  <c r="N5703" i="2"/>
  <c r="P5703" i="2"/>
  <c r="L5704" i="2"/>
  <c r="M5704" i="2"/>
  <c r="N5704" i="2"/>
  <c r="P5704" i="2"/>
  <c r="L5705" i="2"/>
  <c r="M5705" i="2"/>
  <c r="N5705" i="2"/>
  <c r="P5705" i="2"/>
  <c r="L5706" i="2"/>
  <c r="M5706" i="2"/>
  <c r="N5706" i="2"/>
  <c r="P5706" i="2"/>
  <c r="L5707" i="2"/>
  <c r="M5707" i="2"/>
  <c r="N5707" i="2"/>
  <c r="P5707" i="2"/>
  <c r="L5708" i="2"/>
  <c r="M5708" i="2"/>
  <c r="N5708" i="2"/>
  <c r="P5708" i="2"/>
  <c r="L5709" i="2"/>
  <c r="M5709" i="2"/>
  <c r="N5709" i="2"/>
  <c r="P5709" i="2"/>
  <c r="L5710" i="2"/>
  <c r="M5710" i="2"/>
  <c r="N5710" i="2"/>
  <c r="P5710" i="2"/>
  <c r="L5711" i="2"/>
  <c r="M5711" i="2"/>
  <c r="N5711" i="2"/>
  <c r="P5711" i="2"/>
  <c r="L5712" i="2"/>
  <c r="M5712" i="2"/>
  <c r="N5712" i="2"/>
  <c r="P5712" i="2"/>
  <c r="L5713" i="2"/>
  <c r="M5713" i="2"/>
  <c r="N5713" i="2"/>
  <c r="P5713" i="2"/>
  <c r="L5714" i="2"/>
  <c r="M5714" i="2"/>
  <c r="N5714" i="2"/>
  <c r="P5714" i="2"/>
  <c r="L5715" i="2"/>
  <c r="M5715" i="2"/>
  <c r="N5715" i="2"/>
  <c r="P5715" i="2"/>
  <c r="L5716" i="2"/>
  <c r="M5716" i="2"/>
  <c r="N5716" i="2"/>
  <c r="P5716" i="2"/>
  <c r="L5717" i="2"/>
  <c r="M5717" i="2"/>
  <c r="N5717" i="2"/>
  <c r="P5717" i="2"/>
  <c r="L5718" i="2"/>
  <c r="M5718" i="2"/>
  <c r="N5718" i="2"/>
  <c r="P5718" i="2"/>
  <c r="L5719" i="2"/>
  <c r="M5719" i="2"/>
  <c r="N5719" i="2"/>
  <c r="P5719" i="2"/>
  <c r="L5720" i="2"/>
  <c r="M5720" i="2"/>
  <c r="N5720" i="2"/>
  <c r="P5720" i="2"/>
  <c r="L5721" i="2"/>
  <c r="M5721" i="2"/>
  <c r="N5721" i="2"/>
  <c r="P5721" i="2"/>
  <c r="L5722" i="2"/>
  <c r="M5722" i="2"/>
  <c r="N5722" i="2"/>
  <c r="P5722" i="2"/>
  <c r="L5723" i="2"/>
  <c r="M5723" i="2"/>
  <c r="N5723" i="2"/>
  <c r="P5723" i="2"/>
  <c r="L5724" i="2"/>
  <c r="M5724" i="2"/>
  <c r="N5724" i="2"/>
  <c r="P5724" i="2"/>
  <c r="L5725" i="2"/>
  <c r="M5725" i="2"/>
  <c r="N5725" i="2"/>
  <c r="P5725" i="2"/>
  <c r="L5726" i="2"/>
  <c r="M5726" i="2"/>
  <c r="N5726" i="2"/>
  <c r="P5726" i="2"/>
  <c r="L5727" i="2"/>
  <c r="M5727" i="2"/>
  <c r="N5727" i="2"/>
  <c r="P5727" i="2"/>
  <c r="L5728" i="2"/>
  <c r="M5728" i="2"/>
  <c r="N5728" i="2"/>
  <c r="P5728" i="2"/>
  <c r="L5729" i="2"/>
  <c r="M5729" i="2"/>
  <c r="N5729" i="2"/>
  <c r="P5729" i="2"/>
  <c r="L5730" i="2"/>
  <c r="M5730" i="2"/>
  <c r="N5730" i="2"/>
  <c r="P5730" i="2"/>
  <c r="L5731" i="2"/>
  <c r="M5731" i="2"/>
  <c r="N5731" i="2"/>
  <c r="P5731" i="2"/>
  <c r="L5732" i="2"/>
  <c r="M5732" i="2"/>
  <c r="N5732" i="2"/>
  <c r="P5732" i="2"/>
  <c r="L5733" i="2"/>
  <c r="M5733" i="2"/>
  <c r="N5733" i="2"/>
  <c r="P5733" i="2"/>
  <c r="L5734" i="2"/>
  <c r="M5734" i="2"/>
  <c r="N5734" i="2"/>
  <c r="P5734" i="2"/>
  <c r="L5735" i="2"/>
  <c r="M5735" i="2"/>
  <c r="N5735" i="2"/>
  <c r="P5735" i="2"/>
  <c r="L5736" i="2"/>
  <c r="M5736" i="2"/>
  <c r="N5736" i="2"/>
  <c r="P5736" i="2"/>
  <c r="L5737" i="2"/>
  <c r="M5737" i="2"/>
  <c r="N5737" i="2"/>
  <c r="P5737" i="2"/>
  <c r="L5738" i="2"/>
  <c r="M5738" i="2"/>
  <c r="N5738" i="2"/>
  <c r="P5738" i="2"/>
  <c r="L5739" i="2"/>
  <c r="M5739" i="2"/>
  <c r="N5739" i="2"/>
  <c r="P5739" i="2"/>
  <c r="L5740" i="2"/>
  <c r="M5740" i="2"/>
  <c r="N5740" i="2"/>
  <c r="P5740" i="2"/>
  <c r="L5741" i="2"/>
  <c r="M5741" i="2"/>
  <c r="N5741" i="2"/>
  <c r="P5741" i="2"/>
  <c r="L5742" i="2"/>
  <c r="M5742" i="2"/>
  <c r="N5742" i="2"/>
  <c r="P5742" i="2"/>
  <c r="L5743" i="2"/>
  <c r="M5743" i="2"/>
  <c r="N5743" i="2"/>
  <c r="P5743" i="2"/>
  <c r="L5744" i="2"/>
  <c r="M5744" i="2"/>
  <c r="N5744" i="2"/>
  <c r="P5744" i="2"/>
  <c r="L5745" i="2"/>
  <c r="M5745" i="2"/>
  <c r="N5745" i="2"/>
  <c r="P5745" i="2"/>
  <c r="L5746" i="2"/>
  <c r="M5746" i="2"/>
  <c r="N5746" i="2"/>
  <c r="P5746" i="2"/>
  <c r="L5747" i="2"/>
  <c r="M5747" i="2"/>
  <c r="N5747" i="2"/>
  <c r="P5747" i="2"/>
  <c r="L5748" i="2"/>
  <c r="M5748" i="2"/>
  <c r="N5748" i="2"/>
  <c r="P5748" i="2"/>
  <c r="L5749" i="2"/>
  <c r="M5749" i="2"/>
  <c r="N5749" i="2"/>
  <c r="P5749" i="2"/>
  <c r="L5750" i="2"/>
  <c r="M5750" i="2"/>
  <c r="N5750" i="2"/>
  <c r="P5750" i="2"/>
  <c r="L5751" i="2"/>
  <c r="M5751" i="2"/>
  <c r="N5751" i="2"/>
  <c r="P5751" i="2"/>
  <c r="L5752" i="2"/>
  <c r="M5752" i="2"/>
  <c r="N5752" i="2"/>
  <c r="P5752" i="2"/>
  <c r="L5753" i="2"/>
  <c r="M5753" i="2"/>
  <c r="N5753" i="2"/>
  <c r="P5753" i="2"/>
  <c r="L5754" i="2"/>
  <c r="M5754" i="2"/>
  <c r="N5754" i="2"/>
  <c r="P5754" i="2"/>
  <c r="L5755" i="2"/>
  <c r="M5755" i="2"/>
  <c r="N5755" i="2"/>
  <c r="P5755" i="2"/>
  <c r="L5756" i="2"/>
  <c r="M5756" i="2"/>
  <c r="N5756" i="2"/>
  <c r="P5756" i="2"/>
  <c r="L5757" i="2"/>
  <c r="M5757" i="2"/>
  <c r="N5757" i="2"/>
  <c r="P5757" i="2"/>
  <c r="L5758" i="2"/>
  <c r="M5758" i="2"/>
  <c r="N5758" i="2"/>
  <c r="P5758" i="2"/>
  <c r="L5759" i="2"/>
  <c r="M5759" i="2"/>
  <c r="N5759" i="2"/>
  <c r="P5759" i="2"/>
  <c r="L5760" i="2"/>
  <c r="M5760" i="2"/>
  <c r="N5760" i="2"/>
  <c r="P5760" i="2"/>
  <c r="L5761" i="2"/>
  <c r="M5761" i="2"/>
  <c r="N5761" i="2"/>
  <c r="P5761" i="2"/>
  <c r="L5762" i="2"/>
  <c r="M5762" i="2"/>
  <c r="N5762" i="2"/>
  <c r="P5762" i="2"/>
  <c r="L5763" i="2"/>
  <c r="M5763" i="2"/>
  <c r="N5763" i="2"/>
  <c r="P5763" i="2"/>
  <c r="L5764" i="2"/>
  <c r="M5764" i="2"/>
  <c r="N5764" i="2"/>
  <c r="P5764" i="2"/>
  <c r="L5765" i="2"/>
  <c r="M5765" i="2"/>
  <c r="N5765" i="2"/>
  <c r="P5765" i="2"/>
  <c r="L5766" i="2"/>
  <c r="M5766" i="2"/>
  <c r="N5766" i="2"/>
  <c r="P5766" i="2"/>
  <c r="L5767" i="2"/>
  <c r="M5767" i="2"/>
  <c r="N5767" i="2"/>
  <c r="P5767" i="2"/>
  <c r="L5768" i="2"/>
  <c r="M5768" i="2"/>
  <c r="N5768" i="2"/>
  <c r="P5768" i="2"/>
  <c r="L5769" i="2"/>
  <c r="M5769" i="2"/>
  <c r="N5769" i="2"/>
  <c r="P5769" i="2"/>
  <c r="L5770" i="2"/>
  <c r="M5770" i="2"/>
  <c r="N5770" i="2"/>
  <c r="P5770" i="2"/>
  <c r="L5771" i="2"/>
  <c r="M5771" i="2"/>
  <c r="N5771" i="2"/>
  <c r="P5771" i="2"/>
  <c r="L5772" i="2"/>
  <c r="M5772" i="2"/>
  <c r="N5772" i="2"/>
  <c r="P5772" i="2"/>
  <c r="L5773" i="2"/>
  <c r="M5773" i="2"/>
  <c r="N5773" i="2"/>
  <c r="P5773" i="2"/>
  <c r="L5774" i="2"/>
  <c r="M5774" i="2"/>
  <c r="N5774" i="2"/>
  <c r="P5774" i="2"/>
  <c r="L5775" i="2"/>
  <c r="M5775" i="2"/>
  <c r="N5775" i="2"/>
  <c r="P5775" i="2"/>
  <c r="L5776" i="2"/>
  <c r="M5776" i="2"/>
  <c r="N5776" i="2"/>
  <c r="P5776" i="2"/>
  <c r="L5777" i="2"/>
  <c r="M5777" i="2"/>
  <c r="N5777" i="2"/>
  <c r="P5777" i="2"/>
  <c r="L5778" i="2"/>
  <c r="M5778" i="2"/>
  <c r="N5778" i="2"/>
  <c r="P5778" i="2"/>
  <c r="L5779" i="2"/>
  <c r="M5779" i="2"/>
  <c r="N5779" i="2"/>
  <c r="P5779" i="2"/>
  <c r="L5780" i="2"/>
  <c r="M5780" i="2"/>
  <c r="N5780" i="2"/>
  <c r="P5780" i="2"/>
  <c r="L5781" i="2"/>
  <c r="M5781" i="2"/>
  <c r="N5781" i="2"/>
  <c r="P5781" i="2"/>
  <c r="L5782" i="2"/>
  <c r="M5782" i="2"/>
  <c r="N5782" i="2"/>
  <c r="P5782" i="2"/>
  <c r="L5783" i="2"/>
  <c r="M5783" i="2"/>
  <c r="N5783" i="2"/>
  <c r="P5783" i="2"/>
  <c r="L5784" i="2"/>
  <c r="M5784" i="2"/>
  <c r="N5784" i="2"/>
  <c r="P5784" i="2"/>
  <c r="L5785" i="2"/>
  <c r="M5785" i="2"/>
  <c r="N5785" i="2"/>
  <c r="P5785" i="2"/>
  <c r="L5786" i="2"/>
  <c r="M5786" i="2"/>
  <c r="N5786" i="2"/>
  <c r="P5786" i="2"/>
  <c r="L5787" i="2"/>
  <c r="M5787" i="2"/>
  <c r="N5787" i="2"/>
  <c r="P5787" i="2"/>
  <c r="L5788" i="2"/>
  <c r="M5788" i="2"/>
  <c r="N5788" i="2"/>
  <c r="P5788" i="2"/>
  <c r="L5789" i="2"/>
  <c r="M5789" i="2"/>
  <c r="N5789" i="2"/>
  <c r="P5789" i="2"/>
  <c r="L5790" i="2"/>
  <c r="M5790" i="2"/>
  <c r="N5790" i="2"/>
  <c r="P5790" i="2"/>
  <c r="L5791" i="2"/>
  <c r="M5791" i="2"/>
  <c r="N5791" i="2"/>
  <c r="P5791" i="2"/>
  <c r="L5792" i="2"/>
  <c r="M5792" i="2"/>
  <c r="N5792" i="2"/>
  <c r="P5792" i="2"/>
  <c r="L5793" i="2"/>
  <c r="M5793" i="2"/>
  <c r="N5793" i="2"/>
  <c r="P5793" i="2"/>
  <c r="L5794" i="2"/>
  <c r="M5794" i="2"/>
  <c r="N5794" i="2"/>
  <c r="P5794" i="2"/>
  <c r="L5795" i="2"/>
  <c r="M5795" i="2"/>
  <c r="N5795" i="2"/>
  <c r="P5795" i="2"/>
  <c r="L5796" i="2"/>
  <c r="M5796" i="2"/>
  <c r="N5796" i="2"/>
  <c r="P5796" i="2"/>
  <c r="L5797" i="2"/>
  <c r="M5797" i="2"/>
  <c r="N5797" i="2"/>
  <c r="P5797" i="2"/>
  <c r="L5798" i="2"/>
  <c r="M5798" i="2"/>
  <c r="N5798" i="2"/>
  <c r="P5798" i="2"/>
  <c r="L5799" i="2"/>
  <c r="M5799" i="2"/>
  <c r="N5799" i="2"/>
  <c r="P5799" i="2"/>
  <c r="L5800" i="2"/>
  <c r="M5800" i="2"/>
  <c r="N5800" i="2"/>
  <c r="P5800" i="2"/>
  <c r="L5801" i="2"/>
  <c r="M5801" i="2"/>
  <c r="N5801" i="2"/>
  <c r="P5801" i="2"/>
  <c r="L5802" i="2"/>
  <c r="M5802" i="2"/>
  <c r="N5802" i="2"/>
  <c r="P5802" i="2"/>
  <c r="L5803" i="2"/>
  <c r="M5803" i="2"/>
  <c r="N5803" i="2"/>
  <c r="P5803" i="2"/>
  <c r="L5804" i="2"/>
  <c r="M5804" i="2"/>
  <c r="N5804" i="2"/>
  <c r="P5804" i="2"/>
  <c r="L5805" i="2"/>
  <c r="M5805" i="2"/>
  <c r="N5805" i="2"/>
  <c r="P5805" i="2"/>
  <c r="L5806" i="2"/>
  <c r="M5806" i="2"/>
  <c r="N5806" i="2"/>
  <c r="P5806" i="2"/>
  <c r="L5807" i="2"/>
  <c r="M5807" i="2"/>
  <c r="N5807" i="2"/>
  <c r="P5807" i="2"/>
  <c r="L5808" i="2"/>
  <c r="M5808" i="2"/>
  <c r="N5808" i="2"/>
  <c r="P5808" i="2"/>
  <c r="L5809" i="2"/>
  <c r="M5809" i="2"/>
  <c r="N5809" i="2"/>
  <c r="P5809" i="2"/>
  <c r="L5810" i="2"/>
  <c r="M5810" i="2"/>
  <c r="N5810" i="2"/>
  <c r="P5810" i="2"/>
  <c r="L5811" i="2"/>
  <c r="M5811" i="2"/>
  <c r="N5811" i="2"/>
  <c r="P5811" i="2"/>
  <c r="L5812" i="2"/>
  <c r="M5812" i="2"/>
  <c r="N5812" i="2"/>
  <c r="P5812" i="2"/>
  <c r="L5813" i="2"/>
  <c r="M5813" i="2"/>
  <c r="N5813" i="2"/>
  <c r="P5813" i="2"/>
  <c r="L5814" i="2"/>
  <c r="M5814" i="2"/>
  <c r="N5814" i="2"/>
  <c r="P5814" i="2"/>
  <c r="L5815" i="2"/>
  <c r="M5815" i="2"/>
  <c r="N5815" i="2"/>
  <c r="P5815" i="2"/>
  <c r="L5816" i="2"/>
  <c r="M5816" i="2"/>
  <c r="N5816" i="2"/>
  <c r="P5816" i="2"/>
  <c r="L5817" i="2"/>
  <c r="M5817" i="2"/>
  <c r="N5817" i="2"/>
  <c r="P5817" i="2"/>
  <c r="L5818" i="2"/>
  <c r="M5818" i="2"/>
  <c r="N5818" i="2"/>
  <c r="P5818" i="2"/>
  <c r="L5819" i="2"/>
  <c r="M5819" i="2"/>
  <c r="N5819" i="2"/>
  <c r="P5819" i="2"/>
  <c r="L5820" i="2"/>
  <c r="M5820" i="2"/>
  <c r="N5820" i="2"/>
  <c r="P5820" i="2"/>
  <c r="L5821" i="2"/>
  <c r="M5821" i="2"/>
  <c r="N5821" i="2"/>
  <c r="P5821" i="2"/>
  <c r="L5822" i="2"/>
  <c r="M5822" i="2"/>
  <c r="N5822" i="2"/>
  <c r="P5822" i="2"/>
  <c r="L5823" i="2"/>
  <c r="M5823" i="2"/>
  <c r="N5823" i="2"/>
  <c r="P5823" i="2"/>
  <c r="L5615" i="2"/>
  <c r="M5615" i="2"/>
  <c r="N5615" i="2"/>
  <c r="P5615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5348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541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2" i="2"/>
  <c r="L5553" i="2"/>
  <c r="M5553" i="2"/>
  <c r="N5553" i="2"/>
  <c r="L5554" i="2"/>
  <c r="M5554" i="2"/>
  <c r="N5554" i="2"/>
  <c r="L5555" i="2"/>
  <c r="M5555" i="2"/>
  <c r="N5555" i="2"/>
  <c r="L5556" i="2"/>
  <c r="M5556" i="2"/>
  <c r="N5556" i="2"/>
  <c r="L5557" i="2"/>
  <c r="M5557" i="2"/>
  <c r="N5557" i="2"/>
  <c r="L5558" i="2"/>
  <c r="M5558" i="2"/>
  <c r="N5558" i="2"/>
  <c r="L5559" i="2"/>
  <c r="M5559" i="2"/>
  <c r="N5559" i="2"/>
  <c r="L5560" i="2"/>
  <c r="M5560" i="2"/>
  <c r="N5560" i="2"/>
  <c r="L5561" i="2"/>
  <c r="M5561" i="2"/>
  <c r="N5561" i="2"/>
  <c r="L5562" i="2"/>
  <c r="M5562" i="2"/>
  <c r="N5562" i="2"/>
  <c r="L5563" i="2"/>
  <c r="M5563" i="2"/>
  <c r="N5563" i="2"/>
  <c r="L5564" i="2"/>
  <c r="M5564" i="2"/>
  <c r="N5564" i="2"/>
  <c r="L5565" i="2"/>
  <c r="M5565" i="2"/>
  <c r="N5565" i="2"/>
  <c r="L5566" i="2"/>
  <c r="M5566" i="2"/>
  <c r="N5566" i="2"/>
  <c r="L5567" i="2"/>
  <c r="M5567" i="2"/>
  <c r="N5567" i="2"/>
  <c r="L5568" i="2"/>
  <c r="M5568" i="2"/>
  <c r="N5568" i="2"/>
  <c r="L5569" i="2"/>
  <c r="M5569" i="2"/>
  <c r="N5569" i="2"/>
  <c r="L5570" i="2"/>
  <c r="M5570" i="2"/>
  <c r="N5570" i="2"/>
  <c r="L5571" i="2"/>
  <c r="M5571" i="2"/>
  <c r="N5571" i="2"/>
  <c r="L5572" i="2"/>
  <c r="M5572" i="2"/>
  <c r="N5572" i="2"/>
  <c r="L5573" i="2"/>
  <c r="M5573" i="2"/>
  <c r="N5573" i="2"/>
  <c r="L5574" i="2"/>
  <c r="M5574" i="2"/>
  <c r="N5574" i="2"/>
  <c r="L5575" i="2"/>
  <c r="M5575" i="2"/>
  <c r="N5575" i="2"/>
  <c r="L5576" i="2"/>
  <c r="M5576" i="2"/>
  <c r="N5576" i="2"/>
  <c r="L5577" i="2"/>
  <c r="M5577" i="2"/>
  <c r="N5577" i="2"/>
  <c r="L5578" i="2"/>
  <c r="M5578" i="2"/>
  <c r="N5578" i="2"/>
  <c r="L5579" i="2"/>
  <c r="M5579" i="2"/>
  <c r="N5579" i="2"/>
  <c r="L5580" i="2"/>
  <c r="M5580" i="2"/>
  <c r="N5580" i="2"/>
  <c r="L5581" i="2"/>
  <c r="M5581" i="2"/>
  <c r="N5581" i="2"/>
  <c r="L5582" i="2"/>
  <c r="M5582" i="2"/>
  <c r="N5582" i="2"/>
  <c r="L5583" i="2"/>
  <c r="M5583" i="2"/>
  <c r="N5583" i="2"/>
  <c r="L5584" i="2"/>
  <c r="M5584" i="2"/>
  <c r="N5584" i="2"/>
  <c r="L5585" i="2"/>
  <c r="M5585" i="2"/>
  <c r="N5585" i="2"/>
  <c r="L5586" i="2"/>
  <c r="M5586" i="2"/>
  <c r="N5586" i="2"/>
  <c r="L5587" i="2"/>
  <c r="M5587" i="2"/>
  <c r="N5587" i="2"/>
  <c r="L5588" i="2"/>
  <c r="M5588" i="2"/>
  <c r="N5588" i="2"/>
  <c r="L5589" i="2"/>
  <c r="M5589" i="2"/>
  <c r="N5589" i="2"/>
  <c r="L5590" i="2"/>
  <c r="M5590" i="2"/>
  <c r="N5590" i="2"/>
  <c r="L5591" i="2"/>
  <c r="M5591" i="2"/>
  <c r="N5591" i="2"/>
  <c r="L5592" i="2"/>
  <c r="M5592" i="2"/>
  <c r="N5592" i="2"/>
  <c r="L5593" i="2"/>
  <c r="M5593" i="2"/>
  <c r="N5593" i="2"/>
  <c r="L5594" i="2"/>
  <c r="M5594" i="2"/>
  <c r="N5594" i="2"/>
  <c r="L5595" i="2"/>
  <c r="M5595" i="2"/>
  <c r="N5595" i="2"/>
  <c r="L5596" i="2"/>
  <c r="M5596" i="2"/>
  <c r="N5596" i="2"/>
  <c r="L5597" i="2"/>
  <c r="M5597" i="2"/>
  <c r="N5597" i="2"/>
  <c r="L5598" i="2"/>
  <c r="M5598" i="2"/>
  <c r="N5598" i="2"/>
  <c r="L5599" i="2"/>
  <c r="M5599" i="2"/>
  <c r="N5599" i="2"/>
  <c r="L5600" i="2"/>
  <c r="M5600" i="2"/>
  <c r="N5600" i="2"/>
  <c r="L5601" i="2"/>
  <c r="M5601" i="2"/>
  <c r="N5601" i="2"/>
  <c r="L5602" i="2"/>
  <c r="M5602" i="2"/>
  <c r="N5602" i="2"/>
  <c r="L5603" i="2"/>
  <c r="M5603" i="2"/>
  <c r="N5603" i="2"/>
  <c r="L5604" i="2"/>
  <c r="M5604" i="2"/>
  <c r="N5604" i="2"/>
  <c r="L5605" i="2"/>
  <c r="M5605" i="2"/>
  <c r="N5605" i="2"/>
  <c r="L5606" i="2"/>
  <c r="M5606" i="2"/>
  <c r="N5606" i="2"/>
  <c r="L5607" i="2"/>
  <c r="M5607" i="2"/>
  <c r="N5607" i="2"/>
  <c r="L5608" i="2"/>
  <c r="M5608" i="2"/>
  <c r="N5608" i="2"/>
  <c r="L5609" i="2"/>
  <c r="M5609" i="2"/>
  <c r="N5609" i="2"/>
  <c r="L5610" i="2"/>
  <c r="M5610" i="2"/>
  <c r="N5610" i="2"/>
  <c r="L5611" i="2"/>
  <c r="M5611" i="2"/>
  <c r="N5611" i="2"/>
  <c r="L5612" i="2"/>
  <c r="M5612" i="2"/>
  <c r="N5612" i="2"/>
  <c r="L5613" i="2"/>
  <c r="M5613" i="2"/>
  <c r="N5613" i="2"/>
  <c r="L5614" i="2"/>
  <c r="M5614" i="2"/>
  <c r="N5614" i="2"/>
  <c r="N5552" i="2"/>
  <c r="M5552" i="2"/>
  <c r="L5552" i="2"/>
  <c r="L5551" i="2"/>
  <c r="M5551" i="2"/>
  <c r="N5551" i="2"/>
  <c r="N197" i="2"/>
  <c r="L1267" i="2"/>
  <c r="M1267" i="2"/>
  <c r="N1267" i="2"/>
  <c r="L1268" i="2"/>
  <c r="M1268" i="2"/>
  <c r="N1268" i="2"/>
  <c r="L1269" i="2"/>
  <c r="M1269" i="2"/>
  <c r="N1269" i="2"/>
  <c r="L1270" i="2"/>
  <c r="M1270" i="2"/>
  <c r="N1270" i="2"/>
  <c r="L1271" i="2"/>
  <c r="M1271" i="2"/>
  <c r="N1271" i="2"/>
  <c r="L1272" i="2"/>
  <c r="M1272" i="2"/>
  <c r="N1272" i="2"/>
  <c r="L1273" i="2"/>
  <c r="M1273" i="2"/>
  <c r="N1273" i="2"/>
  <c r="L1274" i="2"/>
  <c r="M1274" i="2"/>
  <c r="N1274" i="2"/>
  <c r="L1275" i="2"/>
  <c r="M1275" i="2"/>
  <c r="N1275" i="2"/>
  <c r="L1276" i="2"/>
  <c r="M1276" i="2"/>
  <c r="N1276" i="2"/>
  <c r="L1277" i="2"/>
  <c r="M1277" i="2"/>
  <c r="N1277" i="2"/>
  <c r="L1278" i="2"/>
  <c r="M1278" i="2"/>
  <c r="N1278" i="2"/>
  <c r="L1279" i="2"/>
  <c r="M1279" i="2"/>
  <c r="N1279" i="2"/>
  <c r="L1280" i="2"/>
  <c r="M1280" i="2"/>
  <c r="N1280" i="2"/>
  <c r="L1281" i="2"/>
  <c r="M1281" i="2"/>
  <c r="N1281" i="2"/>
  <c r="L1282" i="2"/>
  <c r="M1282" i="2"/>
  <c r="N1282" i="2"/>
  <c r="L1283" i="2"/>
  <c r="M1283" i="2"/>
  <c r="N1283" i="2"/>
  <c r="L1284" i="2"/>
  <c r="M1284" i="2"/>
  <c r="N1284" i="2"/>
  <c r="L1285" i="2"/>
  <c r="M1285" i="2"/>
  <c r="N1285" i="2"/>
  <c r="L1286" i="2"/>
  <c r="M1286" i="2"/>
  <c r="N1286" i="2"/>
  <c r="L1287" i="2"/>
  <c r="M1287" i="2"/>
  <c r="N1287" i="2"/>
  <c r="L1288" i="2"/>
  <c r="M1288" i="2"/>
  <c r="N1288" i="2"/>
  <c r="L1289" i="2"/>
  <c r="M1289" i="2"/>
  <c r="N1289" i="2"/>
  <c r="L1290" i="2"/>
  <c r="M1290" i="2"/>
  <c r="N1290" i="2"/>
  <c r="L1291" i="2"/>
  <c r="M1291" i="2"/>
  <c r="N1291" i="2"/>
  <c r="L1292" i="2"/>
  <c r="M1292" i="2"/>
  <c r="N1292" i="2"/>
  <c r="L1293" i="2"/>
  <c r="M1293" i="2"/>
  <c r="N1293" i="2"/>
  <c r="L1294" i="2"/>
  <c r="M1294" i="2"/>
  <c r="N1294" i="2"/>
  <c r="L1295" i="2"/>
  <c r="M1295" i="2"/>
  <c r="N1295" i="2"/>
  <c r="L1296" i="2"/>
  <c r="M1296" i="2"/>
  <c r="N1296" i="2"/>
  <c r="L1686" i="2"/>
  <c r="M1686" i="2"/>
  <c r="N1686" i="2"/>
  <c r="L1687" i="2"/>
  <c r="M1687" i="2"/>
  <c r="N1687" i="2"/>
  <c r="L1688" i="2"/>
  <c r="M1688" i="2"/>
  <c r="N1688" i="2"/>
  <c r="L1689" i="2"/>
  <c r="M1689" i="2"/>
  <c r="N1689" i="2"/>
  <c r="L1690" i="2"/>
  <c r="M1690" i="2"/>
  <c r="N1690" i="2"/>
  <c r="L1691" i="2"/>
  <c r="M1691" i="2"/>
  <c r="N1691" i="2"/>
  <c r="L1692" i="2"/>
  <c r="M1692" i="2"/>
  <c r="N1692" i="2"/>
  <c r="L1693" i="2"/>
  <c r="M1693" i="2"/>
  <c r="N1693" i="2"/>
  <c r="L1694" i="2"/>
  <c r="M1694" i="2"/>
  <c r="N1694" i="2"/>
  <c r="L1695" i="2"/>
  <c r="M1695" i="2"/>
  <c r="N1695" i="2"/>
  <c r="L1696" i="2"/>
  <c r="M1696" i="2"/>
  <c r="N1696" i="2"/>
  <c r="L4103" i="2"/>
  <c r="M4103" i="2"/>
  <c r="N4103" i="2"/>
  <c r="L4104" i="2"/>
  <c r="M4104" i="2"/>
  <c r="N4104" i="2"/>
  <c r="L4105" i="2"/>
  <c r="M4105" i="2"/>
  <c r="N4105" i="2"/>
  <c r="L4106" i="2"/>
  <c r="M4106" i="2"/>
  <c r="N4106" i="2"/>
  <c r="L4107" i="2"/>
  <c r="M4107" i="2"/>
  <c r="N4107" i="2"/>
  <c r="L4108" i="2"/>
  <c r="M4108" i="2"/>
  <c r="N4108" i="2"/>
  <c r="L4109" i="2"/>
  <c r="M4109" i="2"/>
  <c r="N4109" i="2"/>
  <c r="L4110" i="2"/>
  <c r="M4110" i="2"/>
  <c r="N4110" i="2"/>
  <c r="L4111" i="2"/>
  <c r="M4111" i="2"/>
  <c r="N4111" i="2"/>
  <c r="L4112" i="2"/>
  <c r="M4112" i="2"/>
  <c r="N4112" i="2"/>
  <c r="L4113" i="2"/>
  <c r="M4113" i="2"/>
  <c r="N4113" i="2"/>
  <c r="N4632" i="2"/>
  <c r="M4632" i="2"/>
  <c r="L4632" i="2"/>
  <c r="N4631" i="2"/>
  <c r="M4631" i="2"/>
  <c r="L4631" i="2"/>
  <c r="N4630" i="2"/>
  <c r="M4630" i="2"/>
  <c r="L4630" i="2"/>
  <c r="N4629" i="2"/>
  <c r="M4629" i="2"/>
  <c r="L4629" i="2"/>
  <c r="N4628" i="2"/>
  <c r="M4628" i="2"/>
  <c r="L4628" i="2"/>
  <c r="N4627" i="2"/>
  <c r="M4627" i="2"/>
  <c r="L4627" i="2"/>
  <c r="N4626" i="2"/>
  <c r="M4626" i="2"/>
  <c r="L4626" i="2"/>
  <c r="L4625" i="2"/>
  <c r="M4625" i="2"/>
  <c r="N4625" i="2"/>
  <c r="L1033" i="2"/>
  <c r="M1033" i="2"/>
  <c r="N1033" i="2"/>
  <c r="L1032" i="2"/>
  <c r="M1032" i="2"/>
  <c r="N1032" i="2"/>
  <c r="L1031" i="2"/>
  <c r="M1031" i="2"/>
  <c r="N1031" i="2"/>
  <c r="L1030" i="2"/>
  <c r="M1030" i="2"/>
  <c r="N1030" i="2"/>
  <c r="N4890" i="2"/>
  <c r="M4890" i="2"/>
  <c r="L4890" i="2"/>
  <c r="N4889" i="2"/>
  <c r="M4889" i="2"/>
  <c r="L4889" i="2"/>
  <c r="N4888" i="2"/>
  <c r="M4888" i="2"/>
  <c r="L4888" i="2"/>
  <c r="N4887" i="2"/>
  <c r="M4887" i="2"/>
  <c r="L4887" i="2"/>
  <c r="N4886" i="2"/>
  <c r="M4886" i="2"/>
  <c r="L4886" i="2"/>
  <c r="N4885" i="2"/>
  <c r="M4885" i="2"/>
  <c r="L4885" i="2"/>
  <c r="N4884" i="2"/>
  <c r="M4884" i="2"/>
  <c r="L4884" i="2"/>
  <c r="N4883" i="2"/>
  <c r="M4883" i="2"/>
  <c r="L4883" i="2"/>
  <c r="N4882" i="2"/>
  <c r="M4882" i="2"/>
  <c r="L4882" i="2"/>
  <c r="N4881" i="2"/>
  <c r="M4881" i="2"/>
  <c r="L4881" i="2"/>
  <c r="N4880" i="2"/>
  <c r="M4880" i="2"/>
  <c r="L4880" i="2"/>
  <c r="N4879" i="2"/>
  <c r="M4879" i="2"/>
  <c r="L4879" i="2"/>
  <c r="N4878" i="2"/>
  <c r="M4878" i="2"/>
  <c r="L4878" i="2"/>
  <c r="N4877" i="2"/>
  <c r="M4877" i="2"/>
  <c r="L4877" i="2"/>
  <c r="N4876" i="2"/>
  <c r="M4876" i="2"/>
  <c r="L4876" i="2"/>
  <c r="N4875" i="2"/>
  <c r="M4875" i="2"/>
  <c r="L4875" i="2"/>
  <c r="N4874" i="2"/>
  <c r="M4874" i="2"/>
  <c r="L4874" i="2"/>
  <c r="N4873" i="2"/>
  <c r="M4873" i="2"/>
  <c r="L4873" i="2"/>
  <c r="N4872" i="2"/>
  <c r="M4872" i="2"/>
  <c r="L4872" i="2"/>
  <c r="N4871" i="2"/>
  <c r="M4871" i="2"/>
  <c r="L4871" i="2"/>
  <c r="N4870" i="2"/>
  <c r="M4870" i="2"/>
  <c r="L4870" i="2"/>
  <c r="N4869" i="2"/>
  <c r="M4869" i="2"/>
  <c r="L4869" i="2"/>
  <c r="N4868" i="2"/>
  <c r="M4868" i="2"/>
  <c r="L4868" i="2"/>
  <c r="N4867" i="2"/>
  <c r="M4867" i="2"/>
  <c r="L4867" i="2"/>
  <c r="N4866" i="2"/>
  <c r="M4866" i="2"/>
  <c r="L4866" i="2"/>
  <c r="N4865" i="2"/>
  <c r="M4865" i="2"/>
  <c r="L4865" i="2"/>
  <c r="N4864" i="2"/>
  <c r="M4864" i="2"/>
  <c r="L4864" i="2"/>
  <c r="N4863" i="2"/>
  <c r="M4863" i="2"/>
  <c r="L4863" i="2"/>
  <c r="N4862" i="2"/>
  <c r="M4862" i="2"/>
  <c r="L4862" i="2"/>
  <c r="N4861" i="2"/>
  <c r="M4861" i="2"/>
  <c r="L4861" i="2"/>
  <c r="N4860" i="2"/>
  <c r="M4860" i="2"/>
  <c r="L4860" i="2"/>
  <c r="L821" i="2"/>
  <c r="M821" i="2"/>
  <c r="N821" i="2"/>
  <c r="L822" i="2"/>
  <c r="M822" i="2"/>
  <c r="N822" i="2"/>
  <c r="L823" i="2"/>
  <c r="M823" i="2"/>
  <c r="N823" i="2"/>
  <c r="L824" i="2"/>
  <c r="M824" i="2"/>
  <c r="N824" i="2"/>
  <c r="L811" i="2"/>
  <c r="M811" i="2"/>
  <c r="N811" i="2"/>
  <c r="L812" i="2"/>
  <c r="M812" i="2"/>
  <c r="N812" i="2"/>
  <c r="L813" i="2"/>
  <c r="M813" i="2"/>
  <c r="N813" i="2"/>
  <c r="L814" i="2"/>
  <c r="M814" i="2"/>
  <c r="N814" i="2"/>
  <c r="L815" i="2"/>
  <c r="M815" i="2"/>
  <c r="N815" i="2"/>
  <c r="L816" i="2"/>
  <c r="M816" i="2"/>
  <c r="N816" i="2"/>
  <c r="L817" i="2"/>
  <c r="M817" i="2"/>
  <c r="N817" i="2"/>
  <c r="L818" i="2"/>
  <c r="M818" i="2"/>
  <c r="N818" i="2"/>
  <c r="L819" i="2"/>
  <c r="M819" i="2"/>
  <c r="N819" i="2"/>
  <c r="L820" i="2"/>
  <c r="M820" i="2"/>
  <c r="N820" i="2"/>
  <c r="L796" i="2"/>
  <c r="M796" i="2"/>
  <c r="N796" i="2"/>
  <c r="L797" i="2"/>
  <c r="M797" i="2"/>
  <c r="N797" i="2"/>
  <c r="L798" i="2"/>
  <c r="M798" i="2"/>
  <c r="N798" i="2"/>
  <c r="L799" i="2"/>
  <c r="M799" i="2"/>
  <c r="N799" i="2"/>
  <c r="L800" i="2"/>
  <c r="M800" i="2"/>
  <c r="N800" i="2"/>
  <c r="L801" i="2"/>
  <c r="M801" i="2"/>
  <c r="N801" i="2"/>
  <c r="L802" i="2"/>
  <c r="M802" i="2"/>
  <c r="N802" i="2"/>
  <c r="L803" i="2"/>
  <c r="M803" i="2"/>
  <c r="N803" i="2"/>
  <c r="L804" i="2"/>
  <c r="M804" i="2"/>
  <c r="N804" i="2"/>
  <c r="L805" i="2"/>
  <c r="M805" i="2"/>
  <c r="N805" i="2"/>
  <c r="L806" i="2"/>
  <c r="M806" i="2"/>
  <c r="N806" i="2"/>
  <c r="L807" i="2"/>
  <c r="M807" i="2"/>
  <c r="N807" i="2"/>
  <c r="L808" i="2"/>
  <c r="M808" i="2"/>
  <c r="N808" i="2"/>
  <c r="L809" i="2"/>
  <c r="M809" i="2"/>
  <c r="N809" i="2"/>
  <c r="L810" i="2"/>
  <c r="M810" i="2"/>
  <c r="N810" i="2"/>
  <c r="N795" i="2"/>
  <c r="M795" i="2"/>
  <c r="L795" i="2"/>
  <c r="L794" i="2"/>
  <c r="M794" i="2"/>
  <c r="N794" i="2"/>
  <c r="N3293" i="2"/>
  <c r="M4772" i="2"/>
  <c r="N4801" i="2"/>
  <c r="L4604" i="2"/>
  <c r="M5502" i="2"/>
  <c r="L3918" i="2"/>
  <c r="N2089" i="2"/>
  <c r="L2629" i="2"/>
  <c r="N3920" i="2"/>
  <c r="L4076" i="2"/>
  <c r="N3684" i="2"/>
  <c r="M2104" i="2"/>
  <c r="L2308" i="2"/>
  <c r="N2390" i="2"/>
  <c r="N872" i="2"/>
  <c r="L2470" i="2"/>
  <c r="N3922" i="2"/>
  <c r="N4294" i="2"/>
  <c r="N5073" i="2"/>
  <c r="N5410" i="2"/>
  <c r="N1231" i="2"/>
  <c r="N2404" i="2"/>
  <c r="N4779" i="2"/>
  <c r="N5251" i="2"/>
  <c r="M3920" i="2"/>
  <c r="L3920" i="2"/>
  <c r="N4267" i="2"/>
  <c r="M4267" i="2"/>
  <c r="L4267" i="2"/>
  <c r="L1414" i="2"/>
  <c r="L5502" i="2"/>
  <c r="L2399" i="2"/>
  <c r="N3843" i="2"/>
  <c r="M3843" i="2"/>
  <c r="L3843" i="2"/>
  <c r="N4772" i="2"/>
  <c r="L4772" i="2"/>
  <c r="L2566" i="2"/>
  <c r="L1200" i="2"/>
  <c r="N5068" i="2"/>
  <c r="M5068" i="2"/>
  <c r="N5005" i="2"/>
  <c r="M5005" i="2"/>
  <c r="L5005" i="2"/>
  <c r="N2024" i="2"/>
  <c r="L2024" i="2"/>
  <c r="M4779" i="2"/>
  <c r="L4779" i="2"/>
  <c r="L5410" i="2"/>
  <c r="L2432" i="2"/>
  <c r="L2390" i="2"/>
  <c r="N2104" i="2"/>
  <c r="L3684" i="2"/>
  <c r="N839" i="2"/>
  <c r="M839" i="2"/>
  <c r="L839" i="2"/>
  <c r="N838" i="2"/>
  <c r="M838" i="2"/>
  <c r="L838" i="2"/>
  <c r="O3784" i="2"/>
  <c r="O2173" i="2"/>
  <c r="O3188" i="2"/>
  <c r="O3588" i="2"/>
  <c r="O1789" i="2"/>
  <c r="O2668" i="2"/>
  <c r="O3967" i="2"/>
  <c r="O4091" i="2"/>
  <c r="O3049" i="2"/>
  <c r="O3384" i="2"/>
  <c r="O1899" i="2"/>
  <c r="O2812" i="2"/>
  <c r="O3116" i="2"/>
  <c r="O3621" i="2"/>
  <c r="O1364" i="2"/>
  <c r="O3189" i="2"/>
  <c r="O3887" i="2"/>
  <c r="O1712" i="2"/>
  <c r="O1934" i="2"/>
  <c r="O2072" i="2"/>
  <c r="O2412" i="2"/>
  <c r="O1415" i="2"/>
  <c r="O2660" i="2"/>
  <c r="O2663" i="2"/>
  <c r="O3369" i="2"/>
  <c r="O970" i="2"/>
  <c r="O3632" i="2"/>
  <c r="O3978" i="2"/>
  <c r="O1849" i="2"/>
  <c r="O3370" i="2"/>
  <c r="O1111" i="2"/>
  <c r="O1112" i="2"/>
  <c r="O2269" i="2"/>
  <c r="O2949" i="2"/>
  <c r="O2960" i="2"/>
  <c r="O3541" i="2"/>
  <c r="O3973" i="2"/>
  <c r="O4130" i="2"/>
  <c r="O827" i="2"/>
  <c r="O4002" i="2"/>
  <c r="O1261" i="2"/>
  <c r="O1951" i="2"/>
  <c r="O2413" i="2"/>
  <c r="O1416" i="2"/>
  <c r="O2174" i="2"/>
  <c r="O2612" i="2"/>
  <c r="O3326" i="2"/>
  <c r="O1154" i="2"/>
  <c r="O1452" i="2"/>
  <c r="O2175" i="2"/>
  <c r="O3117" i="2"/>
  <c r="O4024" i="2"/>
  <c r="O3168" i="2"/>
  <c r="O3466" i="2"/>
  <c r="O3687" i="2"/>
  <c r="O1550" i="2"/>
  <c r="O1619" i="2"/>
  <c r="O2112" i="2"/>
  <c r="O3515" i="2"/>
  <c r="O3689" i="2"/>
  <c r="O1581" i="2"/>
  <c r="O3488" i="2"/>
  <c r="O1527" i="2"/>
  <c r="O2197" i="2"/>
  <c r="O5306" i="2"/>
  <c r="O4203" i="2"/>
  <c r="O2727" i="2"/>
  <c r="O2263" i="2"/>
  <c r="O2607" i="2"/>
  <c r="O3298" i="2"/>
  <c r="O3604" i="2"/>
  <c r="O1126" i="2"/>
  <c r="O1779" i="2"/>
  <c r="O2933" i="2"/>
  <c r="O3169" i="2"/>
  <c r="O3955" i="2"/>
  <c r="O957" i="2"/>
  <c r="O1097" i="2"/>
  <c r="O1515" i="2"/>
  <c r="O2345" i="2"/>
  <c r="O2521" i="2"/>
  <c r="O4092" i="2"/>
  <c r="O1320" i="2"/>
  <c r="O3304" i="2"/>
  <c r="O983" i="2"/>
  <c r="O1730" i="2"/>
  <c r="O3028" i="2"/>
  <c r="O3310" i="2"/>
  <c r="O1190" i="2"/>
  <c r="O3605" i="2"/>
  <c r="O1574" i="2"/>
  <c r="O1850" i="2"/>
  <c r="O1996" i="2"/>
  <c r="O2711" i="2"/>
  <c r="O2728" i="2"/>
  <c r="O2955" i="2"/>
  <c r="O3346" i="2"/>
  <c r="O2613" i="2"/>
  <c r="O2712" i="2"/>
  <c r="O3928" i="2"/>
  <c r="O4131" i="2"/>
  <c r="O1213" i="2"/>
  <c r="O3305" i="2"/>
  <c r="O3352" i="2"/>
  <c r="O3719" i="2"/>
  <c r="O1631" i="2"/>
  <c r="O1749" i="2"/>
  <c r="O2036" i="2"/>
  <c r="O2667" i="2"/>
  <c r="O3173" i="2"/>
  <c r="O3190" i="2"/>
  <c r="O3336" i="2"/>
  <c r="O3984" i="2"/>
  <c r="O998" i="2"/>
  <c r="O1219" i="2"/>
  <c r="O2000" i="2"/>
  <c r="O2961" i="2"/>
  <c r="O3461" i="2"/>
  <c r="O3516" i="2"/>
  <c r="O2123" i="2"/>
  <c r="O2647" i="2"/>
  <c r="O3337" i="2"/>
  <c r="O1127" i="2"/>
  <c r="O3065" i="2"/>
  <c r="O4039" i="2"/>
  <c r="O2459" i="2"/>
  <c r="O1155" i="2"/>
  <c r="O1787" i="2"/>
  <c r="O3164" i="2"/>
  <c r="O1620" i="2"/>
  <c r="O1533" i="2"/>
  <c r="O1731" i="2"/>
  <c r="O2684" i="2"/>
  <c r="O2988" i="2"/>
  <c r="O3850" i="2"/>
  <c r="O3007" i="2"/>
  <c r="O3027" i="2"/>
  <c r="O1034" i="2"/>
  <c r="O1235" i="2"/>
  <c r="O1516" i="2"/>
  <c r="O1598" i="2"/>
  <c r="O1818" i="2"/>
  <c r="O2176" i="2"/>
  <c r="O2346" i="2"/>
  <c r="O2662" i="2"/>
  <c r="O3200" i="2"/>
  <c r="O3996" i="2"/>
  <c r="O971" i="2"/>
  <c r="O1632" i="2"/>
  <c r="O2001" i="2"/>
  <c r="O2488" i="2"/>
  <c r="O2828" i="2"/>
  <c r="O1308" i="2"/>
  <c r="O1920" i="2"/>
  <c r="O3582" i="2"/>
  <c r="O4187" i="2"/>
  <c r="O1994" i="2"/>
  <c r="O2739" i="2"/>
  <c r="O3358" i="2"/>
  <c r="O1790" i="2"/>
  <c r="O3201" i="2"/>
  <c r="O3550" i="2"/>
  <c r="O2037" i="2"/>
  <c r="O2670" i="2"/>
  <c r="O1191" i="2"/>
  <c r="O1851" i="2"/>
  <c r="O2691" i="2"/>
  <c r="O3233" i="2"/>
  <c r="O3359" i="2"/>
  <c r="O3979" i="2"/>
  <c r="O5398" i="2"/>
  <c r="O2692" i="2"/>
  <c r="O4040" i="2"/>
  <c r="O1732" i="2"/>
  <c r="O2240" i="2"/>
  <c r="O2567" i="2"/>
  <c r="O3132" i="2"/>
  <c r="O3489" i="2"/>
  <c r="O1309" i="2"/>
  <c r="O1995" i="2"/>
  <c r="O3673" i="2"/>
  <c r="O3923" i="2"/>
  <c r="O2902" i="2"/>
  <c r="O2973" i="2"/>
  <c r="O3482" i="2"/>
  <c r="O4119" i="2"/>
  <c r="O1079" i="2"/>
  <c r="O1207" i="2"/>
  <c r="O1376" i="2"/>
  <c r="O2002" i="2"/>
  <c r="O2661" i="2"/>
  <c r="O3718" i="2"/>
  <c r="O1556" i="2"/>
  <c r="O2270" i="2"/>
  <c r="O2935" i="2"/>
  <c r="O1567" i="2"/>
  <c r="O2937" i="2"/>
  <c r="O1997" i="2"/>
  <c r="O2589" i="2"/>
  <c r="O3468" i="2"/>
  <c r="O4102" i="2"/>
  <c r="O1935" i="2"/>
  <c r="O3014" i="2"/>
  <c r="O3033" i="2"/>
  <c r="O4204" i="2"/>
  <c r="O1399" i="2"/>
  <c r="O2522" i="2"/>
  <c r="O2758" i="2"/>
  <c r="O2789" i="2"/>
  <c r="O3396" i="2"/>
  <c r="O3788" i="2"/>
  <c r="O1236" i="2"/>
  <c r="O1337" i="2"/>
  <c r="O2799" i="2"/>
  <c r="O3133" i="2"/>
  <c r="O3147" i="2"/>
  <c r="O960" i="2"/>
  <c r="O3170" i="2"/>
  <c r="O3490" i="2"/>
  <c r="O1753" i="2"/>
  <c r="O3118" i="2"/>
  <c r="O1470" i="2"/>
  <c r="O1535" i="2"/>
  <c r="O2119" i="2"/>
  <c r="O1528" i="2"/>
  <c r="O2142" i="2"/>
  <c r="O2931" i="2"/>
  <c r="O3375" i="2"/>
  <c r="O3742" i="2"/>
  <c r="O3904" i="2"/>
  <c r="O1201" i="2"/>
  <c r="O2713" i="2"/>
  <c r="O4120" i="2"/>
  <c r="O5367" i="2"/>
  <c r="O1697" i="2"/>
  <c r="O3071" i="2"/>
  <c r="O4224" i="2"/>
  <c r="O1523" i="2"/>
  <c r="O3008" i="2"/>
  <c r="O3347" i="2"/>
  <c r="O1568" i="2"/>
  <c r="O2038" i="2"/>
  <c r="O2685" i="2"/>
  <c r="O2938" i="2"/>
  <c r="O4098" i="2"/>
  <c r="O1128" i="2"/>
  <c r="O2759" i="2"/>
  <c r="O3174" i="2"/>
  <c r="O972" i="2"/>
  <c r="O1035" i="2"/>
  <c r="O1893" i="2"/>
  <c r="O3175" i="2"/>
  <c r="O1220" i="2"/>
  <c r="O1529" i="2"/>
  <c r="O3492" i="2"/>
  <c r="O1953" i="2"/>
  <c r="O2967" i="2"/>
  <c r="O3493" i="2"/>
  <c r="O3583" i="2"/>
  <c r="O3686" i="2"/>
  <c r="O973" i="2"/>
  <c r="O2271" i="2"/>
  <c r="O2568" i="2"/>
  <c r="O3551" i="2"/>
  <c r="O4229" i="2"/>
  <c r="O1750" i="2"/>
  <c r="O2760" i="2"/>
  <c r="O5307" i="2"/>
  <c r="O1453" i="2"/>
  <c r="O2989" i="2"/>
  <c r="O4007" i="2"/>
  <c r="O1338" i="2"/>
  <c r="O3671" i="2"/>
  <c r="O939" i="2"/>
  <c r="O1321" i="2"/>
  <c r="O1698" i="2"/>
  <c r="O2990" i="2"/>
  <c r="O4228" i="2"/>
  <c r="O5308" i="2"/>
  <c r="O2686" i="2"/>
  <c r="O2829" i="2"/>
  <c r="O3376" i="2"/>
  <c r="O3584" i="2"/>
  <c r="O2073" i="2"/>
  <c r="O3905" i="2"/>
  <c r="O3974" i="2"/>
  <c r="O1356" i="2"/>
  <c r="O1517" i="2"/>
  <c r="O1536" i="2"/>
  <c r="O2030" i="2"/>
  <c r="O2198" i="2"/>
  <c r="O2209" i="2"/>
  <c r="O2968" i="2"/>
  <c r="O3635" i="2"/>
  <c r="O1110" i="2"/>
  <c r="O1471" i="2"/>
  <c r="O2532" i="2"/>
  <c r="O5328" i="2"/>
  <c r="O1386" i="2"/>
  <c r="O1713" i="2"/>
  <c r="O2241" i="2"/>
  <c r="O3371" i="2"/>
  <c r="O3483" i="2"/>
  <c r="O3860" i="2"/>
  <c r="O982" i="2"/>
  <c r="O1754" i="2"/>
  <c r="O1894" i="2"/>
  <c r="O1904" i="2"/>
  <c r="O2821" i="2"/>
  <c r="O2203" i="2"/>
  <c r="O3202" i="2"/>
  <c r="O3906" i="2"/>
  <c r="O1363" i="2"/>
  <c r="O2740" i="2"/>
  <c r="O1539" i="2"/>
  <c r="O1755" i="2"/>
  <c r="O2356" i="2"/>
  <c r="O3685" i="2"/>
  <c r="O940" i="2"/>
  <c r="O1208" i="2"/>
  <c r="O1322" i="2"/>
  <c r="O3148" i="2"/>
  <c r="O3353" i="2"/>
  <c r="O1214" i="2"/>
  <c r="O1895" i="2"/>
  <c r="O2125" i="2"/>
  <c r="O3306" i="2"/>
  <c r="O3968" i="2"/>
  <c r="O4140" i="2"/>
  <c r="O2614" i="2"/>
  <c r="O2991" i="2"/>
  <c r="O1080" i="2"/>
  <c r="O1215" i="2"/>
  <c r="O3861" i="2"/>
  <c r="O5342" i="2"/>
  <c r="O829" i="2"/>
  <c r="O1362" i="2"/>
  <c r="O3311" i="2"/>
  <c r="O1777" i="2"/>
  <c r="O2296" i="2"/>
  <c r="O2355" i="2"/>
  <c r="O2674" i="2"/>
  <c r="O2796" i="2"/>
  <c r="O3717" i="2"/>
  <c r="O3985" i="2"/>
  <c r="O4097" i="2"/>
  <c r="O4188" i="2"/>
  <c r="O1472" i="2"/>
  <c r="O1819" i="2"/>
  <c r="O3312" i="2"/>
  <c r="O3743" i="2"/>
  <c r="O1521" i="2"/>
  <c r="O3744" i="2"/>
  <c r="O1733" i="2"/>
  <c r="O2113" i="2"/>
  <c r="O3969" i="2"/>
  <c r="O5343" i="2"/>
  <c r="O5352" i="2"/>
  <c r="O5368" i="2"/>
  <c r="O1633" i="2"/>
  <c r="O3232" i="2"/>
  <c r="O3924" i="2"/>
  <c r="O2675" i="2"/>
  <c r="O2714" i="2"/>
  <c r="O3956" i="2"/>
  <c r="O4189" i="2"/>
  <c r="O1701" i="2"/>
  <c r="O3609" i="2"/>
  <c r="O1580" i="2"/>
  <c r="O1621" i="2"/>
  <c r="O2648" i="2"/>
  <c r="O3885" i="2"/>
  <c r="O1759" i="2"/>
  <c r="O2114" i="2"/>
  <c r="O3467" i="2"/>
  <c r="O1963" i="2"/>
  <c r="O2003" i="2"/>
  <c r="O2348" i="2"/>
  <c r="O3313" i="2"/>
  <c r="O2004" i="2"/>
  <c r="O2939" i="2"/>
  <c r="O3172" i="2"/>
  <c r="O1530" i="2"/>
  <c r="O1613" i="2"/>
  <c r="O1998" i="2"/>
  <c r="O2140" i="2"/>
  <c r="O3034" i="2"/>
  <c r="O3126" i="2"/>
  <c r="O3997" i="2"/>
  <c r="O1760" i="2"/>
  <c r="O2121" i="2"/>
  <c r="O3260" i="2"/>
  <c r="O1945" i="2"/>
  <c r="O2118" i="2"/>
  <c r="O2790" i="2"/>
  <c r="O3626" i="2"/>
  <c r="O962" i="2"/>
  <c r="O1634" i="2"/>
  <c r="O3975" i="2"/>
  <c r="O5344" i="2"/>
  <c r="O1232" i="2"/>
  <c r="O1699" i="2"/>
  <c r="O1820" i="2"/>
  <c r="O2143" i="2"/>
  <c r="O2676" i="2"/>
  <c r="O3073" i="2"/>
  <c r="O3165" i="2"/>
  <c r="O3203" i="2"/>
  <c r="O3354" i="2"/>
  <c r="O3374" i="2"/>
  <c r="O3552" i="2"/>
  <c r="O4025" i="2"/>
  <c r="O1579" i="2"/>
  <c r="O2649" i="2"/>
  <c r="O4051" i="2"/>
  <c r="O2590" i="2"/>
  <c r="O2810" i="2"/>
  <c r="O3540" i="2"/>
  <c r="O1531" i="2"/>
  <c r="O1751" i="2"/>
  <c r="O2730" i="2"/>
  <c r="O2956" i="2"/>
  <c r="O4052" i="2"/>
  <c r="O984" i="2"/>
  <c r="O997" i="2"/>
  <c r="O3327" i="2"/>
  <c r="O3589" i="2"/>
  <c r="O3998" i="2"/>
  <c r="O1081" i="2"/>
  <c r="O3469" i="2"/>
  <c r="O4053" i="2"/>
  <c r="O1541" i="2"/>
  <c r="O5353" i="2"/>
  <c r="O1233" i="2"/>
  <c r="O1614" i="2"/>
  <c r="O1821" i="2"/>
  <c r="O3745" i="2"/>
  <c r="O4054" i="2"/>
  <c r="O5309" i="2"/>
  <c r="O1708" i="2"/>
  <c r="O2606" i="2"/>
  <c r="O1553" i="2"/>
  <c r="O1615" i="2"/>
  <c r="O2664" i="2"/>
  <c r="O3470" i="2"/>
  <c r="O4004" i="2"/>
  <c r="O1138" i="2"/>
  <c r="O1202" i="2"/>
  <c r="O1542" i="2"/>
  <c r="O1786" i="2"/>
  <c r="O3066" i="2"/>
  <c r="O3167" i="2"/>
  <c r="O3234" i="2"/>
  <c r="O3357" i="2"/>
  <c r="O3517" i="2"/>
  <c r="O3789" i="2"/>
  <c r="O1323" i="2"/>
  <c r="O1616" i="2"/>
  <c r="O2122" i="2"/>
  <c r="O2199" i="2"/>
  <c r="O2882" i="2"/>
  <c r="O974" i="2"/>
  <c r="O1234" i="2"/>
  <c r="O1498" i="2"/>
  <c r="O1921" i="2"/>
  <c r="O1946" i="2"/>
  <c r="O2297" i="2"/>
  <c r="O3970" i="2"/>
  <c r="O4227" i="2"/>
  <c r="O1262" i="2"/>
  <c r="O3585" i="2"/>
  <c r="O1522" i="2"/>
  <c r="O1780" i="2"/>
  <c r="O2731" i="2"/>
  <c r="O3606" i="2"/>
  <c r="O2120" i="2"/>
  <c r="O3050" i="2"/>
  <c r="O3149" i="2"/>
  <c r="O1964" i="2"/>
  <c r="O2298" i="2"/>
  <c r="O2450" i="2"/>
  <c r="O3929" i="2"/>
  <c r="O1205" i="2"/>
  <c r="O1130" i="2"/>
  <c r="O1203" i="2"/>
  <c r="O2031" i="2"/>
  <c r="O2904" i="2"/>
  <c r="O1400" i="2"/>
  <c r="O1761" i="2"/>
  <c r="O1082" i="2"/>
  <c r="O1947" i="2"/>
  <c r="O1900" i="2"/>
  <c r="O3930" i="2"/>
  <c r="O4041" i="2"/>
  <c r="O3051" i="2"/>
  <c r="O3423" i="2"/>
  <c r="O3786" i="2"/>
  <c r="O4000" i="2"/>
  <c r="O5290" i="2"/>
  <c r="O2032" i="2"/>
  <c r="O3150" i="2"/>
  <c r="O1592" i="2"/>
  <c r="O2299" i="2"/>
  <c r="O2732" i="2"/>
  <c r="O3348" i="2"/>
  <c r="O3586" i="2"/>
  <c r="O4156" i="2"/>
  <c r="O2569" i="2"/>
  <c r="O3624" i="2"/>
  <c r="O4205" i="2"/>
  <c r="O2210" i="2"/>
  <c r="O2940" i="2"/>
  <c r="O3052" i="2"/>
  <c r="O1387" i="2"/>
  <c r="O1398" i="2"/>
  <c r="O4093" i="2"/>
  <c r="O2808" i="2"/>
  <c r="O3261" i="2"/>
  <c r="O4232" i="2"/>
  <c r="O1098" i="2"/>
  <c r="O1161" i="2"/>
  <c r="O2446" i="2"/>
  <c r="O3424" i="2"/>
  <c r="O1162" i="2"/>
  <c r="O1339" i="2"/>
  <c r="O3314" i="2"/>
  <c r="O3634" i="2"/>
  <c r="O4158" i="2"/>
  <c r="O1557" i="2"/>
  <c r="O2011" i="2"/>
  <c r="O3814" i="2"/>
  <c r="O1109" i="2"/>
  <c r="O2042" i="2"/>
  <c r="O2992" i="2"/>
  <c r="O3425" i="2"/>
  <c r="O1543" i="2"/>
  <c r="O3518" i="2"/>
  <c r="O3519" i="2"/>
  <c r="O1578" i="2"/>
  <c r="O1601" i="2"/>
  <c r="O2013" i="2"/>
  <c r="O2033" i="2"/>
  <c r="O1388" i="2"/>
  <c r="O1907" i="2"/>
  <c r="O4132" i="2"/>
  <c r="O1952" i="2"/>
  <c r="O1954" i="2"/>
  <c r="O3536" i="2"/>
  <c r="O1822" i="2"/>
  <c r="O2264" i="2"/>
  <c r="O3688" i="2"/>
  <c r="O958" i="2"/>
  <c r="O1901" i="2"/>
  <c r="O2245" i="2"/>
  <c r="O2284" i="2"/>
  <c r="O3036" i="2"/>
  <c r="O3484" i="2"/>
  <c r="O2144" i="2"/>
  <c r="O1365" i="2"/>
  <c r="O1503" i="2"/>
  <c r="O2957" i="2"/>
  <c r="O3115" i="2"/>
  <c r="O3385" i="2"/>
  <c r="O975" i="2"/>
  <c r="O1195" i="2"/>
  <c r="O1420" i="2"/>
  <c r="O1999" i="2"/>
  <c r="O2741" i="2"/>
  <c r="O4029" i="2"/>
  <c r="O5301" i="2"/>
  <c r="O2742" i="2"/>
  <c r="O3553" i="2"/>
  <c r="O5399" i="2"/>
  <c r="O5369" i="2"/>
  <c r="O2414" i="2"/>
  <c r="O2608" i="2"/>
  <c r="O2285" i="2"/>
  <c r="O3191" i="2"/>
  <c r="O1896" i="2"/>
  <c r="O2043" i="2"/>
  <c r="O3397" i="2"/>
  <c r="O3774" i="2"/>
  <c r="O4099" i="2"/>
  <c r="O1702" i="2"/>
  <c r="O1778" i="2"/>
  <c r="O2489" i="2"/>
  <c r="O2490" i="2"/>
  <c r="O2591" i="2"/>
  <c r="O3670" i="2"/>
  <c r="O1206" i="2"/>
  <c r="O1534" i="2"/>
  <c r="O2609" i="2"/>
  <c r="O3386" i="2"/>
  <c r="O4157" i="2"/>
  <c r="O1139" i="2"/>
  <c r="O2813" i="2"/>
  <c r="O3456" i="2"/>
  <c r="O1922" i="2"/>
  <c r="O1966" i="2"/>
  <c r="O3864" i="2"/>
  <c r="O1577" i="2"/>
  <c r="O2015" i="2"/>
  <c r="O2615" i="2"/>
  <c r="O2616" i="2"/>
  <c r="O2883" i="2"/>
  <c r="O3851" i="2"/>
  <c r="O2811" i="2"/>
  <c r="O3076" i="2"/>
  <c r="O3329" i="2"/>
  <c r="O4121" i="2"/>
  <c r="O1099" i="2"/>
  <c r="O920" i="2"/>
  <c r="O1377" i="2"/>
  <c r="O1389" i="2"/>
  <c r="O3328" i="2"/>
  <c r="O2535" i="2"/>
  <c r="O2795" i="2"/>
  <c r="O3072" i="2"/>
  <c r="O4006" i="2"/>
  <c r="O1937" i="2"/>
  <c r="O1552" i="2"/>
  <c r="O1357" i="2"/>
  <c r="O921" i="2"/>
  <c r="O1897" i="2"/>
  <c r="O2044" i="2"/>
  <c r="O3464" i="2"/>
  <c r="O4206" i="2"/>
  <c r="O1622" i="2"/>
  <c r="O2265" i="2"/>
  <c r="O2524" i="2"/>
  <c r="O2962" i="2"/>
  <c r="O3360" i="2"/>
  <c r="O1558" i="2"/>
  <c r="O1781" i="2"/>
  <c r="O2246" i="2"/>
  <c r="O3067" i="2"/>
  <c r="O3862" i="2"/>
  <c r="O2141" i="2"/>
  <c r="O3128" i="2"/>
  <c r="O3377" i="2"/>
  <c r="O2617" i="2"/>
  <c r="O2729" i="2"/>
  <c r="O3074" i="2"/>
  <c r="O1454" i="2"/>
  <c r="O1643" i="2"/>
  <c r="O4230" i="2"/>
  <c r="O1504" i="2"/>
  <c r="O2976" i="2"/>
  <c r="O3330" i="2"/>
  <c r="O5295" i="2"/>
  <c r="O5310" i="2"/>
  <c r="O2978" i="2"/>
  <c r="O3308" i="2"/>
  <c r="O1221" i="2"/>
  <c r="O1559" i="2"/>
  <c r="O1156" i="2"/>
  <c r="O1569" i="2"/>
  <c r="O2286" i="2"/>
  <c r="O2798" i="2"/>
  <c r="O3166" i="2"/>
  <c r="O1114" i="2"/>
  <c r="O1216" i="2"/>
  <c r="O1505" i="2"/>
  <c r="O3206" i="2"/>
  <c r="O3398" i="2"/>
  <c r="O2287" i="2"/>
  <c r="O3130" i="2"/>
  <c r="O3399" i="2"/>
  <c r="O3590" i="2"/>
  <c r="O1637" i="2"/>
  <c r="O2200" i="2"/>
  <c r="O3192" i="2"/>
  <c r="O3400" i="2"/>
  <c r="O4134" i="2"/>
  <c r="O3204" i="2"/>
  <c r="O3983" i="2"/>
  <c r="O1756" i="2"/>
  <c r="O2115" i="2"/>
  <c r="O3463" i="2"/>
  <c r="O1576" i="2"/>
  <c r="O2844" i="2"/>
  <c r="O2953" i="2"/>
  <c r="O5302" i="2"/>
  <c r="O1638" i="2"/>
  <c r="O3863" i="2"/>
  <c r="O1703" i="2"/>
  <c r="O2650" i="2"/>
  <c r="O4043" i="2"/>
  <c r="O1537" i="2"/>
  <c r="O2039" i="2"/>
  <c r="O2247" i="2"/>
  <c r="O2958" i="2"/>
  <c r="O4044" i="2"/>
  <c r="O5303" i="2"/>
  <c r="O2415" i="2"/>
  <c r="O1264" i="2"/>
  <c r="O1473" i="2"/>
  <c r="O1540" i="2"/>
  <c r="O1949" i="2"/>
  <c r="O2792" i="2"/>
  <c r="O2971" i="2"/>
  <c r="O3299" i="2"/>
  <c r="O1037" i="2"/>
  <c r="O1776" i="2"/>
  <c r="O2536" i="2"/>
  <c r="O3855" i="2"/>
  <c r="O1222" i="2"/>
  <c r="O1358" i="2"/>
  <c r="O4005" i="2"/>
  <c r="O1593" i="2"/>
  <c r="O1594" i="2"/>
  <c r="O2491" i="2"/>
  <c r="O3120" i="2"/>
  <c r="O1217" i="2"/>
  <c r="O1600" i="2"/>
  <c r="O941" i="2"/>
  <c r="O1902" i="2"/>
  <c r="O3542" i="2"/>
  <c r="O1583" i="2"/>
  <c r="O3349" i="2"/>
  <c r="O1584" i="2"/>
  <c r="O1752" i="2"/>
  <c r="O1757" i="2"/>
  <c r="O2416" i="2"/>
  <c r="O1211" i="2"/>
  <c r="O1310" i="2"/>
  <c r="O1390" i="2"/>
  <c r="O1560" i="2"/>
  <c r="O2845" i="2"/>
  <c r="O1923" i="2"/>
  <c r="O2301" i="2"/>
  <c r="O1391" i="2"/>
  <c r="O1418" i="2"/>
  <c r="O1501" i="2"/>
  <c r="O2124" i="2"/>
  <c r="O3331" i="2"/>
  <c r="O5372" i="2"/>
  <c r="O3075" i="2"/>
  <c r="O2213" i="2"/>
  <c r="O3009" i="2"/>
  <c r="O3535" i="2"/>
  <c r="O1936" i="2"/>
  <c r="O5292" i="2"/>
  <c r="O1311" i="2"/>
  <c r="O1451" i="2"/>
  <c r="O1704" i="2"/>
  <c r="O1854" i="2"/>
  <c r="O2145" i="2"/>
  <c r="O2715" i="2"/>
  <c r="O2846" i="2"/>
  <c r="O3390" i="2"/>
  <c r="O1474" i="2"/>
  <c r="O3131" i="2"/>
  <c r="O3957" i="2"/>
  <c r="O4141" i="2"/>
  <c r="O5311" i="2"/>
  <c r="O2358" i="2"/>
  <c r="O2847" i="2"/>
  <c r="O4135" i="2"/>
  <c r="O1367" i="2"/>
  <c r="O1644" i="2"/>
  <c r="O2116" i="2"/>
  <c r="O2201" i="2"/>
  <c r="O2744" i="2"/>
  <c r="O3177" i="2"/>
  <c r="O1100" i="2"/>
  <c r="O1340" i="2"/>
  <c r="O1707" i="2"/>
  <c r="O1898" i="2"/>
  <c r="O1164" i="2"/>
  <c r="O1924" i="2"/>
  <c r="O1967" i="2"/>
  <c r="O942" i="2"/>
  <c r="O2797" i="2"/>
  <c r="O4142" i="2"/>
  <c r="O4160" i="2"/>
  <c r="O1101" i="2"/>
  <c r="O2347" i="2"/>
  <c r="O2534" i="2"/>
  <c r="O2932" i="2"/>
  <c r="O2975" i="2"/>
  <c r="O3037" i="2"/>
  <c r="O3491" i="2"/>
  <c r="O4095" i="2"/>
  <c r="O5402" i="2"/>
  <c r="O961" i="2"/>
  <c r="O3903" i="2"/>
  <c r="O3625" i="2"/>
  <c r="O4143" i="2"/>
  <c r="O1165" i="2"/>
  <c r="O1575" i="2"/>
  <c r="O3378" i="2"/>
  <c r="O3986" i="2"/>
  <c r="O3031" i="2"/>
  <c r="O3554" i="2"/>
  <c r="O3775" i="2"/>
  <c r="O1265" i="2"/>
  <c r="O2239" i="2"/>
  <c r="O2673" i="2"/>
  <c r="O2669" i="2"/>
  <c r="O2884" i="2"/>
  <c r="O3235" i="2"/>
  <c r="O3457" i="2"/>
  <c r="O3817" i="2"/>
  <c r="O1359" i="2"/>
  <c r="O2993" i="2"/>
  <c r="O3888" i="2"/>
  <c r="O4026" i="2"/>
  <c r="O2211" i="2"/>
  <c r="O4042" i="2"/>
  <c r="O985" i="2"/>
  <c r="O2651" i="2"/>
  <c r="O2677" i="2"/>
  <c r="O3053" i="2"/>
  <c r="O4207" i="2"/>
  <c r="O5345" i="2"/>
  <c r="O1502" i="2"/>
  <c r="O1711" i="2"/>
  <c r="O3958" i="2"/>
  <c r="O3982" i="2"/>
  <c r="O1705" i="2"/>
  <c r="O1933" i="2"/>
  <c r="O3907" i="2"/>
  <c r="O1193" i="2"/>
  <c r="O3038" i="2"/>
  <c r="O3544" i="2"/>
  <c r="O828" i="2"/>
  <c r="O1715" i="2"/>
  <c r="O3379" i="2"/>
  <c r="O1475" i="2"/>
  <c r="O1906" i="2"/>
  <c r="O3636" i="2"/>
  <c r="O1163" i="2"/>
  <c r="O3816" i="2"/>
  <c r="O4231" i="2"/>
  <c r="O830" i="2"/>
  <c r="O1039" i="2"/>
  <c r="O2074" i="2"/>
  <c r="O3205" i="2"/>
  <c r="O3485" i="2"/>
  <c r="O3462" i="2"/>
  <c r="O3722" i="2"/>
  <c r="O1554" i="2"/>
  <c r="O3926" i="2"/>
  <c r="O1378" i="2"/>
  <c r="O1852" i="2"/>
  <c r="O1573" i="2"/>
  <c r="O2885" i="2"/>
  <c r="O3459" i="2"/>
  <c r="O1379" i="2"/>
  <c r="O2357" i="2"/>
  <c r="O2905" i="2"/>
  <c r="O3931" i="2"/>
  <c r="O3134" i="2"/>
  <c r="O2592" i="2"/>
  <c r="O2906" i="2"/>
  <c r="O3776" i="2"/>
  <c r="O1084" i="2"/>
  <c r="O1159" i="2"/>
  <c r="O2671" i="2"/>
  <c r="O1518" i="2"/>
  <c r="O1617" i="2"/>
  <c r="O1710" i="2"/>
  <c r="O1905" i="2"/>
  <c r="O3013" i="2"/>
  <c r="O3460" i="2"/>
  <c r="O1551" i="2"/>
  <c r="O2665" i="2"/>
  <c r="O3959" i="2"/>
  <c r="O1791" i="2"/>
  <c r="O3300" i="2"/>
  <c r="O3672" i="2"/>
  <c r="O1239" i="2"/>
  <c r="O1266" i="2"/>
  <c r="O1639" i="2"/>
  <c r="O3301" i="2"/>
  <c r="O3631" i="2"/>
  <c r="O943" i="2"/>
  <c r="O2652" i="2"/>
  <c r="O2977" i="2"/>
  <c r="O3176" i="2"/>
  <c r="O3981" i="2"/>
  <c r="O4055" i="2"/>
  <c r="O5291" i="2"/>
  <c r="O1366" i="2"/>
  <c r="O1519" i="2"/>
  <c r="O2349" i="2"/>
  <c r="O2761" i="2"/>
  <c r="O3721" i="2"/>
  <c r="O3720" i="2"/>
  <c r="O5403" i="2"/>
  <c r="O2687" i="2"/>
  <c r="O3545" i="2"/>
  <c r="O1450" i="2"/>
  <c r="O1758" i="2"/>
  <c r="O3387" i="2"/>
  <c r="O1312" i="2"/>
  <c r="O2272" i="2"/>
  <c r="O3472" i="2"/>
  <c r="O2848" i="2"/>
  <c r="O3010" i="2"/>
  <c r="O3302" i="2"/>
  <c r="O3818" i="2"/>
  <c r="O3151" i="2"/>
  <c r="O3303" i="2"/>
  <c r="O3999" i="2"/>
  <c r="O2610" i="2"/>
  <c r="O3032" i="2"/>
  <c r="O3852" i="2"/>
  <c r="O4161" i="2"/>
  <c r="O4190" i="2"/>
  <c r="O1499" i="2"/>
  <c r="O3209" i="2"/>
  <c r="O3262" i="2"/>
  <c r="O5354" i="2"/>
  <c r="O922" i="2"/>
  <c r="O1595" i="2"/>
  <c r="O1624" i="2"/>
  <c r="O2117" i="2"/>
  <c r="O1360" i="2"/>
  <c r="O1524" i="2"/>
  <c r="O2391" i="2"/>
  <c r="O2462" i="2"/>
  <c r="O2963" i="2"/>
  <c r="O2974" i="2"/>
  <c r="O3971" i="2"/>
  <c r="O2040" i="2"/>
  <c r="O3534" i="2"/>
  <c r="O4001" i="2"/>
  <c r="O1640" i="2"/>
  <c r="O1641" i="2"/>
  <c r="O2448" i="2"/>
  <c r="O1204" i="2"/>
  <c r="O2288" i="2"/>
  <c r="O2445" i="2"/>
  <c r="O3068" i="2"/>
  <c r="O3889" i="2"/>
  <c r="O1538" i="2"/>
  <c r="O2045" i="2"/>
  <c r="O2690" i="2"/>
  <c r="O3135" i="2"/>
  <c r="O2688" i="2"/>
  <c r="O2793" i="2"/>
  <c r="O3675" i="2"/>
  <c r="O1561" i="2"/>
  <c r="O2463" i="2"/>
  <c r="O3591" i="2"/>
  <c r="O3746" i="2"/>
  <c r="O5293" i="2"/>
  <c r="O1140" i="2"/>
  <c r="O1192" i="2"/>
  <c r="O2809" i="2"/>
  <c r="O3054" i="2"/>
  <c r="O3069" i="2"/>
  <c r="O5304" i="2"/>
  <c r="O5305" i="2"/>
  <c r="O2965" i="2"/>
  <c r="O3777" i="2"/>
  <c r="O4123" i="2"/>
  <c r="O2941" i="2"/>
  <c r="O2969" i="2"/>
  <c r="O3633" i="2"/>
  <c r="O1324" i="2"/>
  <c r="O2849" i="2"/>
  <c r="O2954" i="2"/>
  <c r="O3538" i="2"/>
  <c r="O3927" i="2"/>
  <c r="O4159" i="2"/>
  <c r="O1794" i="2"/>
  <c r="O826" i="2"/>
  <c r="O1925" i="2"/>
  <c r="O2077" i="2"/>
  <c r="O2887" i="2"/>
  <c r="O2970" i="2"/>
  <c r="O5356" i="2"/>
  <c r="O1212" i="2"/>
  <c r="O3934" i="2"/>
  <c r="O1129" i="2"/>
  <c r="O1141" i="2"/>
  <c r="O1714" i="2"/>
  <c r="O2392" i="2"/>
  <c r="O2966" i="2"/>
  <c r="O3487" i="2"/>
  <c r="O923" i="2"/>
  <c r="O1223" i="2"/>
  <c r="O2693" i="2"/>
  <c r="O3263" i="2"/>
  <c r="O3976" i="2"/>
  <c r="O1734" i="2"/>
  <c r="O1938" i="2"/>
  <c r="O2248" i="2"/>
  <c r="O3537" i="2"/>
  <c r="O4027" i="2"/>
  <c r="O1194" i="2"/>
  <c r="O1909" i="2"/>
  <c r="O2800" i="2"/>
  <c r="O3119" i="2"/>
  <c r="O3356" i="2"/>
  <c r="O4124" i="2"/>
  <c r="O4225" i="2"/>
  <c r="O1965" i="2"/>
  <c r="O2743" i="2"/>
  <c r="O2794" i="2"/>
  <c r="O3427" i="2"/>
  <c r="O5370" i="2"/>
  <c r="O1209" i="2"/>
  <c r="O1506" i="2"/>
  <c r="O2047" i="2"/>
  <c r="O2593" i="2"/>
  <c r="O5346" i="2"/>
  <c r="O1237" i="2"/>
  <c r="O2289" i="2"/>
  <c r="O2572" i="2"/>
  <c r="O1361" i="2"/>
  <c r="O2014" i="2"/>
  <c r="O3391" i="2"/>
  <c r="O3587" i="2"/>
  <c r="O3690" i="2"/>
  <c r="O2830" i="2"/>
  <c r="O1142" i="2"/>
  <c r="O1507" i="2"/>
  <c r="O1582" i="2"/>
  <c r="O2950" i="2"/>
  <c r="O1525" i="2"/>
  <c r="O2076" i="2"/>
  <c r="O3623" i="2"/>
  <c r="O2492" i="2"/>
  <c r="O2611" i="2"/>
  <c r="O3539" i="2"/>
  <c r="O1210" i="2"/>
  <c r="O1325" i="2"/>
  <c r="O3987" i="2"/>
  <c r="O4122" i="2"/>
  <c r="O1160" i="2"/>
  <c r="O2300" i="2"/>
  <c r="O1263" i="2"/>
  <c r="O1341" i="2"/>
  <c r="O1602" i="2"/>
  <c r="O3388" i="2"/>
  <c r="O1218" i="2"/>
  <c r="O3207" i="2"/>
  <c r="O3886" i="2"/>
  <c r="O2243" i="2"/>
  <c r="O2831" i="2"/>
  <c r="O3592" i="2"/>
  <c r="O3747" i="2"/>
  <c r="O1083" i="2"/>
  <c r="O1706" i="2"/>
  <c r="O1950" i="2"/>
  <c r="O2460" i="2"/>
  <c r="O2464" i="2"/>
  <c r="O3392" i="2"/>
  <c r="O1570" i="2"/>
  <c r="O1955" i="2"/>
  <c r="O2689" i="2"/>
  <c r="O3890" i="2"/>
  <c r="O1143" i="2"/>
  <c r="O1645" i="2"/>
  <c r="O2012" i="2"/>
  <c r="O3543" i="2"/>
  <c r="O3674" i="2"/>
  <c r="O2034" i="2"/>
  <c r="O3389" i="2"/>
  <c r="O2147" i="2"/>
  <c r="O2934" i="2"/>
  <c r="O3011" i="2"/>
  <c r="O3361" i="2"/>
  <c r="O3428" i="2"/>
  <c r="O1596" i="2"/>
  <c r="O1603" i="2"/>
  <c r="O2075" i="2"/>
  <c r="O3372" i="2"/>
  <c r="O3401" i="2"/>
  <c r="O924" i="2"/>
  <c r="O2344" i="2"/>
  <c r="O3208" i="2"/>
  <c r="O3315" i="2"/>
  <c r="O3908" i="2"/>
  <c r="O3972" i="2"/>
  <c r="O996" i="2"/>
  <c r="O1571" i="2"/>
  <c r="O2716" i="2"/>
  <c r="O3340" i="2"/>
  <c r="O1102" i="2"/>
  <c r="O1763" i="2"/>
  <c r="O2242" i="2"/>
  <c r="O1526" i="2"/>
  <c r="O987" i="2"/>
  <c r="O1764" i="2"/>
  <c r="O2525" i="2"/>
  <c r="O1038" i="2"/>
  <c r="O2570" i="2"/>
  <c r="O2886" i="2"/>
  <c r="O3193" i="2"/>
  <c r="O3264" i="2"/>
  <c r="O5294" i="2"/>
  <c r="O1532" i="2"/>
  <c r="O1618" i="2"/>
  <c r="O1948" i="2"/>
  <c r="O1956" i="2"/>
  <c r="O3029" i="2"/>
  <c r="O3035" i="2"/>
  <c r="O1238" i="2"/>
  <c r="O1903" i="2"/>
  <c r="O2833" i="2"/>
  <c r="O2951" i="2"/>
  <c r="O3426" i="2"/>
  <c r="O925" i="2"/>
  <c r="O1520" i="2"/>
  <c r="O1716" i="2"/>
  <c r="O1908" i="2"/>
  <c r="O2666" i="2"/>
  <c r="O3015" i="2"/>
  <c r="O3309" i="2"/>
  <c r="O1853" i="2"/>
  <c r="O2249" i="2"/>
  <c r="O3853" i="2"/>
  <c r="O1375" i="2"/>
  <c r="O1419" i="2"/>
  <c r="O2273" i="2"/>
  <c r="O3455" i="2"/>
  <c r="O4094" i="2"/>
  <c r="O1313" i="2"/>
  <c r="O2046" i="2"/>
  <c r="O3393" i="2"/>
  <c r="O5355" i="2"/>
  <c r="O1342" i="2"/>
  <c r="O3171" i="2"/>
  <c r="O3932" i="2"/>
  <c r="O5371" i="2"/>
  <c r="O1036" i="2"/>
  <c r="O1572" i="2"/>
  <c r="O2146" i="2"/>
  <c r="O2571" i="2"/>
  <c r="O3520" i="2"/>
  <c r="O2672" i="2"/>
  <c r="O2936" i="2"/>
  <c r="O3265" i="2"/>
  <c r="O3338" i="2"/>
  <c r="O4101" i="2"/>
  <c r="O1224" i="2"/>
  <c r="O2035" i="2"/>
  <c r="O2202" i="2"/>
  <c r="O2461" i="2"/>
  <c r="O3373" i="2"/>
  <c r="O3925" i="2"/>
  <c r="O3960" i="2"/>
  <c r="O1636" i="2"/>
  <c r="O2244" i="2"/>
  <c r="O3465" i="2"/>
  <c r="O4133" i="2"/>
  <c r="O1455" i="2"/>
  <c r="O2447" i="2"/>
  <c r="O1157" i="2"/>
  <c r="O2212" i="2"/>
  <c r="O4100" i="2"/>
  <c r="O1623" i="2"/>
  <c r="O1788" i="2"/>
  <c r="O3778" i="2"/>
  <c r="O3070" i="2"/>
  <c r="O3988" i="2"/>
  <c r="O5357" i="2"/>
  <c r="O2964" i="2"/>
  <c r="O3933" i="2"/>
  <c r="O1508" i="2"/>
  <c r="O3607" i="2"/>
  <c r="O4056" i="2"/>
  <c r="O831" i="2"/>
  <c r="O1500" i="2"/>
  <c r="O1597" i="2"/>
  <c r="O2417" i="2"/>
  <c r="O2903" i="2"/>
  <c r="O5347" i="2"/>
  <c r="O1599" i="2"/>
  <c r="O3127" i="2"/>
  <c r="O3350" i="2"/>
  <c r="O1380" i="2"/>
  <c r="O1709" i="2"/>
  <c r="O2533" i="2"/>
  <c r="O2537" i="2"/>
  <c r="O2942" i="2"/>
  <c r="O1635" i="2"/>
  <c r="O3779" i="2"/>
  <c r="O3980" i="2"/>
  <c r="O4028" i="2"/>
  <c r="O1717" i="2"/>
  <c r="O2354" i="2"/>
  <c r="O2359" i="2"/>
  <c r="O2832" i="2"/>
  <c r="O2907" i="2"/>
  <c r="O2959" i="2"/>
  <c r="O3394" i="2"/>
  <c r="O3854" i="2"/>
  <c r="O4144" i="2"/>
  <c r="O2449" i="2"/>
  <c r="O1113" i="2"/>
  <c r="O2041" i="2"/>
  <c r="O3339" i="2"/>
  <c r="O4003" i="2"/>
  <c r="O4096" i="2"/>
  <c r="O3622" i="2"/>
  <c r="O4191" i="2"/>
  <c r="O1792" i="2"/>
  <c r="O2526" i="2"/>
  <c r="O3136" i="2"/>
  <c r="O2177" i="2"/>
  <c r="O2266" i="2"/>
  <c r="O3030" i="2"/>
  <c r="O5400" i="2"/>
  <c r="O2267" i="2"/>
  <c r="O3458" i="2"/>
  <c r="O3555" i="2"/>
  <c r="O3815" i="2"/>
  <c r="O5401" i="2"/>
  <c r="O959" i="2"/>
  <c r="O1646" i="2"/>
  <c r="O2791" i="2"/>
  <c r="O3351" i="2"/>
  <c r="O3608" i="2"/>
  <c r="O1647" i="2"/>
  <c r="O3486" i="2"/>
  <c r="O1417" i="2"/>
  <c r="O1735" i="2"/>
  <c r="O1762" i="2"/>
  <c r="O3307" i="2"/>
  <c r="O1158" i="2"/>
  <c r="O1823" i="2"/>
  <c r="O2523" i="2"/>
  <c r="O3395" i="2"/>
  <c r="O3989" i="2"/>
  <c r="O4226" i="2"/>
  <c r="O1793" i="2"/>
  <c r="O2268" i="2"/>
  <c r="O2274" i="2"/>
  <c r="O3355" i="2"/>
  <c r="O3977" i="2"/>
  <c r="O1555" i="2"/>
  <c r="O1700" i="2"/>
  <c r="O2972" i="2"/>
  <c r="O3787" i="2"/>
  <c r="O944" i="2"/>
  <c r="O986" i="2"/>
  <c r="O2493" i="2"/>
  <c r="O3129" i="2"/>
  <c r="O3785" i="2"/>
  <c r="O1648" i="2"/>
  <c r="O2250" i="2"/>
  <c r="O3012" i="2"/>
  <c r="O3471" i="2"/>
  <c r="O3610" i="2"/>
  <c r="O4192" i="2"/>
  <c r="O4208" i="2"/>
  <c r="O1642" i="2"/>
  <c r="O2005" i="2"/>
  <c r="O2952" i="2"/>
  <c r="O3362" i="2"/>
  <c r="O2172" i="2"/>
  <c r="T564" i="1"/>
  <c r="U564" i="1"/>
  <c r="V564" i="1"/>
  <c r="T698" i="1"/>
  <c r="U698" i="1"/>
  <c r="V698" i="1"/>
  <c r="T1079" i="1"/>
  <c r="U1079" i="1"/>
  <c r="V1079" i="1"/>
  <c r="T846" i="1"/>
  <c r="U846" i="1"/>
  <c r="V846" i="1"/>
  <c r="T847" i="1"/>
  <c r="U847" i="1"/>
  <c r="V847" i="1"/>
  <c r="T1024" i="1"/>
  <c r="U1024" i="1"/>
  <c r="V1024" i="1"/>
  <c r="T166" i="1"/>
  <c r="U166" i="1"/>
  <c r="V166" i="1"/>
  <c r="T944" i="1"/>
  <c r="U944" i="1"/>
  <c r="V944" i="1"/>
  <c r="T1025" i="1"/>
  <c r="U1025" i="1"/>
  <c r="V1025" i="1"/>
  <c r="T812" i="1"/>
  <c r="U812" i="1"/>
  <c r="V812" i="1"/>
  <c r="T8" i="1"/>
  <c r="U8" i="1"/>
  <c r="V8" i="1"/>
  <c r="T848" i="1"/>
  <c r="U848" i="1"/>
  <c r="V848" i="1"/>
  <c r="T1026" i="1"/>
  <c r="U1026" i="1"/>
  <c r="V1026" i="1"/>
  <c r="T779" i="1"/>
  <c r="U779" i="1"/>
  <c r="V779" i="1"/>
  <c r="T34" i="1"/>
  <c r="U34" i="1"/>
  <c r="V34" i="1"/>
  <c r="T649" i="1"/>
  <c r="U649" i="1"/>
  <c r="V649" i="1"/>
  <c r="T1080" i="1"/>
  <c r="U1080" i="1"/>
  <c r="V1080" i="1"/>
  <c r="T884" i="1"/>
  <c r="U884" i="1"/>
  <c r="V884" i="1"/>
  <c r="T35" i="1"/>
  <c r="U35" i="1"/>
  <c r="V35" i="1"/>
  <c r="T849" i="1"/>
  <c r="U849" i="1"/>
  <c r="V849" i="1"/>
  <c r="T618" i="1"/>
  <c r="U618" i="1"/>
  <c r="V618" i="1"/>
  <c r="T284" i="1"/>
  <c r="U284" i="1"/>
  <c r="V284" i="1"/>
  <c r="T459" i="1"/>
  <c r="U459" i="1"/>
  <c r="V459" i="1"/>
  <c r="T1027" i="1"/>
  <c r="U1027" i="1"/>
  <c r="V1027" i="1"/>
  <c r="T980" i="1"/>
  <c r="U980" i="1"/>
  <c r="V980" i="1"/>
  <c r="T82" i="1"/>
  <c r="U82" i="1"/>
  <c r="V82" i="1"/>
  <c r="T850" i="1"/>
  <c r="U850" i="1"/>
  <c r="V850" i="1"/>
  <c r="T1188" i="1"/>
  <c r="U1188" i="1"/>
  <c r="V1188" i="1"/>
  <c r="T1166" i="1"/>
  <c r="U1166" i="1"/>
  <c r="V1166" i="1"/>
  <c r="T167" i="1"/>
  <c r="U167" i="1"/>
  <c r="V167" i="1"/>
  <c r="T502" i="1"/>
  <c r="U502" i="1"/>
  <c r="V502" i="1"/>
  <c r="T1028" i="1"/>
  <c r="U1028" i="1"/>
  <c r="V1028" i="1"/>
  <c r="T433" i="1"/>
  <c r="U433" i="1"/>
  <c r="V433" i="1"/>
  <c r="T825" i="1"/>
  <c r="U825" i="1"/>
  <c r="V825" i="1"/>
  <c r="T239" i="1"/>
  <c r="U239" i="1"/>
  <c r="V239" i="1"/>
  <c r="T902" i="1"/>
  <c r="U902" i="1"/>
  <c r="V902" i="1"/>
  <c r="T699" i="1"/>
  <c r="U699" i="1"/>
  <c r="V699" i="1"/>
  <c r="T215" i="1"/>
  <c r="U215" i="1"/>
  <c r="V215" i="1"/>
  <c r="T168" i="1"/>
  <c r="U168" i="1"/>
  <c r="V168" i="1"/>
  <c r="T1146" i="1"/>
  <c r="U1146" i="1"/>
  <c r="V1146" i="1"/>
  <c r="T826" i="1"/>
  <c r="U826" i="1"/>
  <c r="V826" i="1"/>
  <c r="T903" i="1"/>
  <c r="U903" i="1"/>
  <c r="V903" i="1"/>
  <c r="T565" i="1"/>
  <c r="U565" i="1"/>
  <c r="V565" i="1"/>
  <c r="T945" i="1"/>
  <c r="U945" i="1"/>
  <c r="V945" i="1"/>
  <c r="T1065" i="1"/>
  <c r="U1065" i="1"/>
  <c r="V1065" i="1"/>
  <c r="T83" i="1"/>
  <c r="U83" i="1"/>
  <c r="V83" i="1"/>
  <c r="T780" i="1"/>
  <c r="U780" i="1"/>
  <c r="V780" i="1"/>
  <c r="T532" i="1"/>
  <c r="U532" i="1"/>
  <c r="V532" i="1"/>
  <c r="T588" i="1"/>
  <c r="U588" i="1"/>
  <c r="V588" i="1"/>
  <c r="T1081" i="1"/>
  <c r="U1081" i="1"/>
  <c r="V1081" i="1"/>
  <c r="T397" i="1"/>
  <c r="U397" i="1"/>
  <c r="V397" i="1"/>
  <c r="T216" i="1"/>
  <c r="U216" i="1"/>
  <c r="V216" i="1"/>
  <c r="T285" i="1"/>
  <c r="U285" i="1"/>
  <c r="V285" i="1"/>
  <c r="T589" i="1"/>
  <c r="U589" i="1"/>
  <c r="V589" i="1"/>
  <c r="T650" i="1"/>
  <c r="U650" i="1"/>
  <c r="V650" i="1"/>
  <c r="T286" i="1"/>
  <c r="U286" i="1"/>
  <c r="V286" i="1"/>
  <c r="T287" i="1"/>
  <c r="U287" i="1"/>
  <c r="V287" i="1"/>
  <c r="T169" i="1"/>
  <c r="U169" i="1"/>
  <c r="V169" i="1"/>
  <c r="T1189" i="1"/>
  <c r="U1189" i="1"/>
  <c r="V1189" i="1"/>
  <c r="T619" i="1"/>
  <c r="U619" i="1"/>
  <c r="V619" i="1"/>
  <c r="T1082" i="1"/>
  <c r="U1082" i="1"/>
  <c r="V1082" i="1"/>
  <c r="T590" i="1"/>
  <c r="U590" i="1"/>
  <c r="V590" i="1"/>
  <c r="T24" i="1"/>
  <c r="U24" i="1"/>
  <c r="V24" i="1"/>
  <c r="T240" i="1"/>
  <c r="U240" i="1"/>
  <c r="V240" i="1"/>
  <c r="T1167" i="1"/>
  <c r="U1167" i="1"/>
  <c r="V1167" i="1"/>
  <c r="T946" i="1"/>
  <c r="U946" i="1"/>
  <c r="V946" i="1"/>
  <c r="T170" i="1"/>
  <c r="U170" i="1"/>
  <c r="V170" i="1"/>
  <c r="T735" i="1"/>
  <c r="U735" i="1"/>
  <c r="V735" i="1"/>
  <c r="T241" i="1"/>
  <c r="U241" i="1"/>
  <c r="V241" i="1"/>
  <c r="T533" i="1"/>
  <c r="U533" i="1"/>
  <c r="V533" i="1"/>
  <c r="T460" i="1"/>
  <c r="U460" i="1"/>
  <c r="V460" i="1"/>
  <c r="T1147" i="1"/>
  <c r="U1147" i="1"/>
  <c r="V1147" i="1"/>
  <c r="T461" i="1"/>
  <c r="U461" i="1"/>
  <c r="V461" i="1"/>
  <c r="T927" i="1"/>
  <c r="U927" i="1"/>
  <c r="V927" i="1"/>
  <c r="T928" i="1"/>
  <c r="U928" i="1"/>
  <c r="V928" i="1"/>
  <c r="T736" i="1"/>
  <c r="U736" i="1"/>
  <c r="V736" i="1"/>
  <c r="T851" i="1"/>
  <c r="U851" i="1"/>
  <c r="V851" i="1"/>
  <c r="T25" i="1"/>
  <c r="U25" i="1"/>
  <c r="V25" i="1"/>
  <c r="T651" i="1"/>
  <c r="U651" i="1"/>
  <c r="V651" i="1"/>
  <c r="T813" i="1"/>
  <c r="U813" i="1"/>
  <c r="V813" i="1"/>
  <c r="T700" i="1"/>
  <c r="U700" i="1"/>
  <c r="V700" i="1"/>
  <c r="T84" i="1"/>
  <c r="U84" i="1"/>
  <c r="V84" i="1"/>
  <c r="T36" i="1"/>
  <c r="U36" i="1"/>
  <c r="V36" i="1"/>
  <c r="T1083" i="1"/>
  <c r="U1083" i="1"/>
  <c r="V1083" i="1"/>
  <c r="T672" i="1"/>
  <c r="U672" i="1"/>
  <c r="V672" i="1"/>
  <c r="T376" i="1"/>
  <c r="U376" i="1"/>
  <c r="V376" i="1"/>
  <c r="T503" i="1"/>
  <c r="U503" i="1"/>
  <c r="V503" i="1"/>
  <c r="T1084" i="1"/>
  <c r="U1084" i="1"/>
  <c r="V1084" i="1"/>
  <c r="T37" i="1"/>
  <c r="U37" i="1"/>
  <c r="V37" i="1"/>
  <c r="T981" i="1"/>
  <c r="U981" i="1"/>
  <c r="V981" i="1"/>
  <c r="T288" i="1"/>
  <c r="U288" i="1"/>
  <c r="V288" i="1"/>
  <c r="T133" i="1"/>
  <c r="U133" i="1"/>
  <c r="V133" i="1"/>
  <c r="T398" i="1"/>
  <c r="U398" i="1"/>
  <c r="V398" i="1"/>
  <c r="T38" i="1"/>
  <c r="U38" i="1"/>
  <c r="V38" i="1"/>
  <c r="T134" i="1"/>
  <c r="U134" i="1"/>
  <c r="V134" i="1"/>
  <c r="T852" i="1"/>
  <c r="U852" i="1"/>
  <c r="V852" i="1"/>
  <c r="T885" i="1"/>
  <c r="U885" i="1"/>
  <c r="V885" i="1"/>
  <c r="T242" i="1"/>
  <c r="U242" i="1"/>
  <c r="V242" i="1"/>
  <c r="T337" i="1"/>
  <c r="U337" i="1"/>
  <c r="V337" i="1"/>
  <c r="T737" i="1"/>
  <c r="U737" i="1"/>
  <c r="V737" i="1"/>
  <c r="T1085" i="1"/>
  <c r="U1085" i="1"/>
  <c r="V1085" i="1"/>
  <c r="T243" i="1"/>
  <c r="U243" i="1"/>
  <c r="V243" i="1"/>
  <c r="T995" i="1"/>
  <c r="U995" i="1"/>
  <c r="V995" i="1"/>
  <c r="T1121" i="1"/>
  <c r="U1121" i="1"/>
  <c r="V1121" i="1"/>
  <c r="T1086" i="1"/>
  <c r="U1086" i="1"/>
  <c r="V1086" i="1"/>
  <c r="T652" i="1"/>
  <c r="U652" i="1"/>
  <c r="V652" i="1"/>
  <c r="T338" i="1"/>
  <c r="U338" i="1"/>
  <c r="V338" i="1"/>
  <c r="T434" i="1"/>
  <c r="U434" i="1"/>
  <c r="V434" i="1"/>
  <c r="T738" i="1"/>
  <c r="U738" i="1"/>
  <c r="V738" i="1"/>
  <c r="T1066" i="1"/>
  <c r="U1066" i="1"/>
  <c r="V1066" i="1"/>
  <c r="T1168" i="1"/>
  <c r="U1168" i="1"/>
  <c r="V1168" i="1"/>
  <c r="T620" i="1"/>
  <c r="U620" i="1"/>
  <c r="V620" i="1"/>
  <c r="T217" i="1"/>
  <c r="U217" i="1"/>
  <c r="V217" i="1"/>
  <c r="T39" i="1"/>
  <c r="U39" i="1"/>
  <c r="V39" i="1"/>
  <c r="T534" i="1"/>
  <c r="U534" i="1"/>
  <c r="V534" i="1"/>
  <c r="T947" i="1"/>
  <c r="U947" i="1"/>
  <c r="V947" i="1"/>
  <c r="T289" i="1"/>
  <c r="U289" i="1"/>
  <c r="V289" i="1"/>
  <c r="T827" i="1"/>
  <c r="U827" i="1"/>
  <c r="V827" i="1"/>
  <c r="T399" i="1"/>
  <c r="U399" i="1"/>
  <c r="V399" i="1"/>
  <c r="T377" i="1"/>
  <c r="U377" i="1"/>
  <c r="V377" i="1"/>
  <c r="T1029" i="1"/>
  <c r="U1029" i="1"/>
  <c r="V1029" i="1"/>
  <c r="T535" i="1"/>
  <c r="U535" i="1"/>
  <c r="V535" i="1"/>
  <c r="T886" i="1"/>
  <c r="U886" i="1"/>
  <c r="V886" i="1"/>
  <c r="T244" i="1"/>
  <c r="U244" i="1"/>
  <c r="V244" i="1"/>
  <c r="T1148" i="1"/>
  <c r="U1148" i="1"/>
  <c r="V1148" i="1"/>
  <c r="T290" i="1"/>
  <c r="U290" i="1"/>
  <c r="V290" i="1"/>
  <c r="T904" i="1"/>
  <c r="U904" i="1"/>
  <c r="V904" i="1"/>
  <c r="T378" i="1"/>
  <c r="U378" i="1"/>
  <c r="V378" i="1"/>
  <c r="T1030" i="1"/>
  <c r="U1030" i="1"/>
  <c r="V1030" i="1"/>
  <c r="T905" i="1"/>
  <c r="U905" i="1"/>
  <c r="V905" i="1"/>
  <c r="T17" i="1"/>
  <c r="U17" i="1"/>
  <c r="V17" i="1"/>
  <c r="T291" i="1"/>
  <c r="U291" i="1"/>
  <c r="V291" i="1"/>
  <c r="T40" i="1"/>
  <c r="U40" i="1"/>
  <c r="V40" i="1"/>
  <c r="T462" i="1"/>
  <c r="U462" i="1"/>
  <c r="V462" i="1"/>
  <c r="T536" i="1"/>
  <c r="U536" i="1"/>
  <c r="V536" i="1"/>
  <c r="T400" i="1"/>
  <c r="U400" i="1"/>
  <c r="V400" i="1"/>
  <c r="T781" i="1"/>
  <c r="U781" i="1"/>
  <c r="V781" i="1"/>
  <c r="T401" i="1"/>
  <c r="U401" i="1"/>
  <c r="V401" i="1"/>
  <c r="T948" i="1"/>
  <c r="U948" i="1"/>
  <c r="V948" i="1"/>
  <c r="T85" i="1"/>
  <c r="U85" i="1"/>
  <c r="V85" i="1"/>
  <c r="T1169" i="1"/>
  <c r="U1169" i="1"/>
  <c r="V1169" i="1"/>
  <c r="T996" i="1"/>
  <c r="U996" i="1"/>
  <c r="V996" i="1"/>
  <c r="T463" i="1"/>
  <c r="U463" i="1"/>
  <c r="V463" i="1"/>
  <c r="T1087" i="1"/>
  <c r="U1087" i="1"/>
  <c r="V1087" i="1"/>
  <c r="T1122" i="1"/>
  <c r="U1122" i="1"/>
  <c r="V1122" i="1"/>
  <c r="T86" i="1"/>
  <c r="U86" i="1"/>
  <c r="V86" i="1"/>
  <c r="T292" i="1"/>
  <c r="U292" i="1"/>
  <c r="V292" i="1"/>
  <c r="T566" i="1"/>
  <c r="U566" i="1"/>
  <c r="V566" i="1"/>
  <c r="T135" i="1"/>
  <c r="U135" i="1"/>
  <c r="V135" i="1"/>
  <c r="T339" i="1"/>
  <c r="U339" i="1"/>
  <c r="V339" i="1"/>
  <c r="T739" i="1"/>
  <c r="U739" i="1"/>
  <c r="V739" i="1"/>
  <c r="T1088" i="1"/>
  <c r="U1088" i="1"/>
  <c r="V1088" i="1"/>
  <c r="T136" i="1"/>
  <c r="U136" i="1"/>
  <c r="V136" i="1"/>
  <c r="T171" i="1"/>
  <c r="U171" i="1"/>
  <c r="V171" i="1"/>
  <c r="T340" i="1"/>
  <c r="U340" i="1"/>
  <c r="V340" i="1"/>
  <c r="T87" i="1"/>
  <c r="U87" i="1"/>
  <c r="V87" i="1"/>
  <c r="T1190" i="1"/>
  <c r="U1190" i="1"/>
  <c r="V1190" i="1"/>
  <c r="T1123" i="1"/>
  <c r="U1123" i="1"/>
  <c r="V1123" i="1"/>
  <c r="T887" i="1"/>
  <c r="U887" i="1"/>
  <c r="V887" i="1"/>
  <c r="T949" i="1"/>
  <c r="U949" i="1"/>
  <c r="V949" i="1"/>
  <c r="T1031" i="1"/>
  <c r="U1031" i="1"/>
  <c r="V1031" i="1"/>
  <c r="T26" i="1"/>
  <c r="U26" i="1"/>
  <c r="V26" i="1"/>
  <c r="T245" i="1"/>
  <c r="U245" i="1"/>
  <c r="V245" i="1"/>
  <c r="T567" i="1"/>
  <c r="U567" i="1"/>
  <c r="V567" i="1"/>
  <c r="T504" i="1"/>
  <c r="U504" i="1"/>
  <c r="V504" i="1"/>
  <c r="T853" i="1"/>
  <c r="U853" i="1"/>
  <c r="V853" i="1"/>
  <c r="T41" i="1"/>
  <c r="U41" i="1"/>
  <c r="V41" i="1"/>
  <c r="T621" i="1"/>
  <c r="U621" i="1"/>
  <c r="V621" i="1"/>
  <c r="T673" i="1"/>
  <c r="U673" i="1"/>
  <c r="V673" i="1"/>
  <c r="T622" i="1"/>
  <c r="U622" i="1"/>
  <c r="V622" i="1"/>
  <c r="T246" i="1"/>
  <c r="U246" i="1"/>
  <c r="V246" i="1"/>
  <c r="T950" i="1"/>
  <c r="U950" i="1"/>
  <c r="V950" i="1"/>
  <c r="T88" i="1"/>
  <c r="U88" i="1"/>
  <c r="V88" i="1"/>
  <c r="T982" i="1"/>
  <c r="U982" i="1"/>
  <c r="V982" i="1"/>
  <c r="T89" i="1"/>
  <c r="U89" i="1"/>
  <c r="V89" i="1"/>
  <c r="T740" i="1"/>
  <c r="U740" i="1"/>
  <c r="V740" i="1"/>
  <c r="T1067" i="1"/>
  <c r="U1067" i="1"/>
  <c r="V1067" i="1"/>
  <c r="T402" i="1"/>
  <c r="U402" i="1"/>
  <c r="V402" i="1"/>
  <c r="T464" i="1"/>
  <c r="U464" i="1"/>
  <c r="V464" i="1"/>
  <c r="T1124" i="1"/>
  <c r="U1124" i="1"/>
  <c r="V1124" i="1"/>
  <c r="T906" i="1"/>
  <c r="U906" i="1"/>
  <c r="V906" i="1"/>
  <c r="T172" i="1"/>
  <c r="U172" i="1"/>
  <c r="V172" i="1"/>
  <c r="T537" i="1"/>
  <c r="U537" i="1"/>
  <c r="V537" i="1"/>
  <c r="T42" i="1"/>
  <c r="U42" i="1"/>
  <c r="V42" i="1"/>
  <c r="T782" i="1"/>
  <c r="U782" i="1"/>
  <c r="V782" i="1"/>
  <c r="T701" i="1"/>
  <c r="U701" i="1"/>
  <c r="V701" i="1"/>
  <c r="T43" i="1"/>
  <c r="U43" i="1"/>
  <c r="V43" i="1"/>
  <c r="T702" i="1"/>
  <c r="U702" i="1"/>
  <c r="V702" i="1"/>
  <c r="T293" i="1"/>
  <c r="U293" i="1"/>
  <c r="V293" i="1"/>
  <c r="T854" i="1"/>
  <c r="U854" i="1"/>
  <c r="V854" i="1"/>
  <c r="T591" i="1"/>
  <c r="U591" i="1"/>
  <c r="V591" i="1"/>
  <c r="T90" i="1"/>
  <c r="U90" i="1"/>
  <c r="V90" i="1"/>
  <c r="T173" i="1"/>
  <c r="U173" i="1"/>
  <c r="V173" i="1"/>
  <c r="T294" i="1"/>
  <c r="U294" i="1"/>
  <c r="V294" i="1"/>
  <c r="T674" i="1"/>
  <c r="U674" i="1"/>
  <c r="V674" i="1"/>
  <c r="T907" i="1"/>
  <c r="U907" i="1"/>
  <c r="V907" i="1"/>
  <c r="T703" i="1"/>
  <c r="U703" i="1"/>
  <c r="V703" i="1"/>
  <c r="T623" i="1"/>
  <c r="U623" i="1"/>
  <c r="V623" i="1"/>
  <c r="T675" i="1"/>
  <c r="U675" i="1"/>
  <c r="V675" i="1"/>
  <c r="T568" i="1"/>
  <c r="U568" i="1"/>
  <c r="V568" i="1"/>
  <c r="T704" i="1"/>
  <c r="U704" i="1"/>
  <c r="V704" i="1"/>
  <c r="T1089" i="1"/>
  <c r="U1089" i="1"/>
  <c r="V1089" i="1"/>
  <c r="T855" i="1"/>
  <c r="U855" i="1"/>
  <c r="V855" i="1"/>
  <c r="T856" i="1"/>
  <c r="U856" i="1"/>
  <c r="V856" i="1"/>
  <c r="T1032" i="1"/>
  <c r="U1032" i="1"/>
  <c r="V1032" i="1"/>
  <c r="T174" i="1"/>
  <c r="U174" i="1"/>
  <c r="V174" i="1"/>
  <c r="T951" i="1"/>
  <c r="U951" i="1"/>
  <c r="V951" i="1"/>
  <c r="T1033" i="1"/>
  <c r="U1033" i="1"/>
  <c r="V1033" i="1"/>
  <c r="T814" i="1"/>
  <c r="U814" i="1"/>
  <c r="V814" i="1"/>
  <c r="T9" i="1"/>
  <c r="U9" i="1"/>
  <c r="V9" i="1"/>
  <c r="T783" i="1"/>
  <c r="U783" i="1"/>
  <c r="V783" i="1"/>
  <c r="T44" i="1"/>
  <c r="U44" i="1"/>
  <c r="V44" i="1"/>
  <c r="T653" i="1"/>
  <c r="U653" i="1"/>
  <c r="V653" i="1"/>
  <c r="T1090" i="1"/>
  <c r="U1090" i="1"/>
  <c r="V1090" i="1"/>
  <c r="T45" i="1"/>
  <c r="U45" i="1"/>
  <c r="V45" i="1"/>
  <c r="T624" i="1"/>
  <c r="U624" i="1"/>
  <c r="V624" i="1"/>
  <c r="T295" i="1"/>
  <c r="U295" i="1"/>
  <c r="V295" i="1"/>
  <c r="T465" i="1"/>
  <c r="U465" i="1"/>
  <c r="V465" i="1"/>
  <c r="T1034" i="1"/>
  <c r="U1034" i="1"/>
  <c r="V1034" i="1"/>
  <c r="T91" i="1"/>
  <c r="U91" i="1"/>
  <c r="V91" i="1"/>
  <c r="T857" i="1"/>
  <c r="U857" i="1"/>
  <c r="V857" i="1"/>
  <c r="T1191" i="1"/>
  <c r="U1191" i="1"/>
  <c r="V1191" i="1"/>
  <c r="T1170" i="1"/>
  <c r="U1170" i="1"/>
  <c r="V1170" i="1"/>
  <c r="T175" i="1"/>
  <c r="U175" i="1"/>
  <c r="V175" i="1"/>
  <c r="T505" i="1"/>
  <c r="U505" i="1"/>
  <c r="V505" i="1"/>
  <c r="T1035" i="1"/>
  <c r="U1035" i="1"/>
  <c r="V1035" i="1"/>
  <c r="T435" i="1"/>
  <c r="U435" i="1"/>
  <c r="V435" i="1"/>
  <c r="T828" i="1"/>
  <c r="U828" i="1"/>
  <c r="V828" i="1"/>
  <c r="T247" i="1"/>
  <c r="U247" i="1"/>
  <c r="V247" i="1"/>
  <c r="T908" i="1"/>
  <c r="U908" i="1"/>
  <c r="V908" i="1"/>
  <c r="T218" i="1"/>
  <c r="U218" i="1"/>
  <c r="V218" i="1"/>
  <c r="T176" i="1"/>
  <c r="U176" i="1"/>
  <c r="V176" i="1"/>
  <c r="T829" i="1"/>
  <c r="U829" i="1"/>
  <c r="V829" i="1"/>
  <c r="T909" i="1"/>
  <c r="U909" i="1"/>
  <c r="V909" i="1"/>
  <c r="T569" i="1"/>
  <c r="U569" i="1"/>
  <c r="V569" i="1"/>
  <c r="T952" i="1"/>
  <c r="U952" i="1"/>
  <c r="V952" i="1"/>
  <c r="T1068" i="1"/>
  <c r="U1068" i="1"/>
  <c r="V1068" i="1"/>
  <c r="T92" i="1"/>
  <c r="U92" i="1"/>
  <c r="V92" i="1"/>
  <c r="T784" i="1"/>
  <c r="U784" i="1"/>
  <c r="V784" i="1"/>
  <c r="T592" i="1"/>
  <c r="U592" i="1"/>
  <c r="V592" i="1"/>
  <c r="T1091" i="1"/>
  <c r="U1091" i="1"/>
  <c r="V1091" i="1"/>
  <c r="T403" i="1"/>
  <c r="U403" i="1"/>
  <c r="V403" i="1"/>
  <c r="T219" i="1"/>
  <c r="U219" i="1"/>
  <c r="V219" i="1"/>
  <c r="T296" i="1"/>
  <c r="U296" i="1"/>
  <c r="V296" i="1"/>
  <c r="T593" i="1"/>
  <c r="U593" i="1"/>
  <c r="V593" i="1"/>
  <c r="T654" i="1"/>
  <c r="U654" i="1"/>
  <c r="V654" i="1"/>
  <c r="T297" i="1"/>
  <c r="U297" i="1"/>
  <c r="V297" i="1"/>
  <c r="T177" i="1"/>
  <c r="U177" i="1"/>
  <c r="V177" i="1"/>
  <c r="T1192" i="1"/>
  <c r="U1192" i="1"/>
  <c r="V1192" i="1"/>
  <c r="T625" i="1"/>
  <c r="U625" i="1"/>
  <c r="V625" i="1"/>
  <c r="T1092" i="1"/>
  <c r="U1092" i="1"/>
  <c r="V1092" i="1"/>
  <c r="T594" i="1"/>
  <c r="U594" i="1"/>
  <c r="V594" i="1"/>
  <c r="T248" i="1"/>
  <c r="U248" i="1"/>
  <c r="V248" i="1"/>
  <c r="T953" i="1"/>
  <c r="U953" i="1"/>
  <c r="V953" i="1"/>
  <c r="T178" i="1"/>
  <c r="U178" i="1"/>
  <c r="V178" i="1"/>
  <c r="T741" i="1"/>
  <c r="U741" i="1"/>
  <c r="V741" i="1"/>
  <c r="T249" i="1"/>
  <c r="U249" i="1"/>
  <c r="V249" i="1"/>
  <c r="T538" i="1"/>
  <c r="U538" i="1"/>
  <c r="V538" i="1"/>
  <c r="T466" i="1"/>
  <c r="U466" i="1"/>
  <c r="V466" i="1"/>
  <c r="T1149" i="1"/>
  <c r="U1149" i="1"/>
  <c r="V1149" i="1"/>
  <c r="T467" i="1"/>
  <c r="U467" i="1"/>
  <c r="V467" i="1"/>
  <c r="T929" i="1"/>
  <c r="U929" i="1"/>
  <c r="V929" i="1"/>
  <c r="T930" i="1"/>
  <c r="U930" i="1"/>
  <c r="V930" i="1"/>
  <c r="T742" i="1"/>
  <c r="U742" i="1"/>
  <c r="V742" i="1"/>
  <c r="T858" i="1"/>
  <c r="U858" i="1"/>
  <c r="V858" i="1"/>
  <c r="T27" i="1"/>
  <c r="U27" i="1"/>
  <c r="V27" i="1"/>
  <c r="T655" i="1"/>
  <c r="U655" i="1"/>
  <c r="V655" i="1"/>
  <c r="T815" i="1"/>
  <c r="U815" i="1"/>
  <c r="V815" i="1"/>
  <c r="T705" i="1"/>
  <c r="U705" i="1"/>
  <c r="V705" i="1"/>
  <c r="T93" i="1"/>
  <c r="U93" i="1"/>
  <c r="V93" i="1"/>
  <c r="T46" i="1"/>
  <c r="U46" i="1"/>
  <c r="V46" i="1"/>
  <c r="T1093" i="1"/>
  <c r="U1093" i="1"/>
  <c r="V1093" i="1"/>
  <c r="T676" i="1"/>
  <c r="U676" i="1"/>
  <c r="V676" i="1"/>
  <c r="T379" i="1"/>
  <c r="U379" i="1"/>
  <c r="V379" i="1"/>
  <c r="T506" i="1"/>
  <c r="U506" i="1"/>
  <c r="V506" i="1"/>
  <c r="T1094" i="1"/>
  <c r="U1094" i="1"/>
  <c r="V1094" i="1"/>
  <c r="T47" i="1"/>
  <c r="U47" i="1"/>
  <c r="V47" i="1"/>
  <c r="T983" i="1"/>
  <c r="U983" i="1"/>
  <c r="V983" i="1"/>
  <c r="T298" i="1"/>
  <c r="U298" i="1"/>
  <c r="V298" i="1"/>
  <c r="T137" i="1"/>
  <c r="U137" i="1"/>
  <c r="V137" i="1"/>
  <c r="T404" i="1"/>
  <c r="U404" i="1"/>
  <c r="V404" i="1"/>
  <c r="T48" i="1"/>
  <c r="U48" i="1"/>
  <c r="V48" i="1"/>
  <c r="T138" i="1"/>
  <c r="U138" i="1"/>
  <c r="V138" i="1"/>
  <c r="T859" i="1"/>
  <c r="U859" i="1"/>
  <c r="V859" i="1"/>
  <c r="T888" i="1"/>
  <c r="U888" i="1"/>
  <c r="V888" i="1"/>
  <c r="T250" i="1"/>
  <c r="U250" i="1"/>
  <c r="V250" i="1"/>
  <c r="T341" i="1"/>
  <c r="U341" i="1"/>
  <c r="V341" i="1"/>
  <c r="T743" i="1"/>
  <c r="U743" i="1"/>
  <c r="V743" i="1"/>
  <c r="T1095" i="1"/>
  <c r="U1095" i="1"/>
  <c r="V1095" i="1"/>
  <c r="T251" i="1"/>
  <c r="U251" i="1"/>
  <c r="V251" i="1"/>
  <c r="T997" i="1"/>
  <c r="U997" i="1"/>
  <c r="V997" i="1"/>
  <c r="T1125" i="1"/>
  <c r="U1125" i="1"/>
  <c r="V1125" i="1"/>
  <c r="T1096" i="1"/>
  <c r="U1096" i="1"/>
  <c r="V1096" i="1"/>
  <c r="T656" i="1"/>
  <c r="U656" i="1"/>
  <c r="V656" i="1"/>
  <c r="T342" i="1"/>
  <c r="U342" i="1"/>
  <c r="V342" i="1"/>
  <c r="T436" i="1"/>
  <c r="U436" i="1"/>
  <c r="V436" i="1"/>
  <c r="T744" i="1"/>
  <c r="U744" i="1"/>
  <c r="V744" i="1"/>
  <c r="T1069" i="1"/>
  <c r="U1069" i="1"/>
  <c r="V1069" i="1"/>
  <c r="T1171" i="1"/>
  <c r="U1171" i="1"/>
  <c r="V1171" i="1"/>
  <c r="T626" i="1"/>
  <c r="U626" i="1"/>
  <c r="V626" i="1"/>
  <c r="T220" i="1"/>
  <c r="U220" i="1"/>
  <c r="V220" i="1"/>
  <c r="T49" i="1"/>
  <c r="U49" i="1"/>
  <c r="V49" i="1"/>
  <c r="T539" i="1"/>
  <c r="U539" i="1"/>
  <c r="V539" i="1"/>
  <c r="T954" i="1"/>
  <c r="U954" i="1"/>
  <c r="V954" i="1"/>
  <c r="T299" i="1"/>
  <c r="U299" i="1"/>
  <c r="V299" i="1"/>
  <c r="T830" i="1"/>
  <c r="U830" i="1"/>
  <c r="V830" i="1"/>
  <c r="T405" i="1"/>
  <c r="U405" i="1"/>
  <c r="V405" i="1"/>
  <c r="T380" i="1"/>
  <c r="U380" i="1"/>
  <c r="V380" i="1"/>
  <c r="T1036" i="1"/>
  <c r="U1036" i="1"/>
  <c r="V1036" i="1"/>
  <c r="T540" i="1"/>
  <c r="U540" i="1"/>
  <c r="V540" i="1"/>
  <c r="T889" i="1"/>
  <c r="U889" i="1"/>
  <c r="V889" i="1"/>
  <c r="T252" i="1"/>
  <c r="U252" i="1"/>
  <c r="V252" i="1"/>
  <c r="T1150" i="1"/>
  <c r="U1150" i="1"/>
  <c r="V1150" i="1"/>
  <c r="T300" i="1"/>
  <c r="U300" i="1"/>
  <c r="V300" i="1"/>
  <c r="T910" i="1"/>
  <c r="U910" i="1"/>
  <c r="V910" i="1"/>
  <c r="T381" i="1"/>
  <c r="U381" i="1"/>
  <c r="V381" i="1"/>
  <c r="T1037" i="1"/>
  <c r="U1037" i="1"/>
  <c r="V1037" i="1"/>
  <c r="T911" i="1"/>
  <c r="U911" i="1"/>
  <c r="V911" i="1"/>
  <c r="T18" i="1"/>
  <c r="U18" i="1"/>
  <c r="V18" i="1"/>
  <c r="T301" i="1"/>
  <c r="U301" i="1"/>
  <c r="V301" i="1"/>
  <c r="T50" i="1"/>
  <c r="U50" i="1"/>
  <c r="V50" i="1"/>
  <c r="T468" i="1"/>
  <c r="U468" i="1"/>
  <c r="V468" i="1"/>
  <c r="T541" i="1"/>
  <c r="U541" i="1"/>
  <c r="V541" i="1"/>
  <c r="T406" i="1"/>
  <c r="U406" i="1"/>
  <c r="V406" i="1"/>
  <c r="T785" i="1"/>
  <c r="U785" i="1"/>
  <c r="V785" i="1"/>
  <c r="T407" i="1"/>
  <c r="U407" i="1"/>
  <c r="V407" i="1"/>
  <c r="T955" i="1"/>
  <c r="U955" i="1"/>
  <c r="V955" i="1"/>
  <c r="T94" i="1"/>
  <c r="U94" i="1"/>
  <c r="V94" i="1"/>
  <c r="T1172" i="1"/>
  <c r="U1172" i="1"/>
  <c r="V1172" i="1"/>
  <c r="T998" i="1"/>
  <c r="U998" i="1"/>
  <c r="V998" i="1"/>
  <c r="T469" i="1"/>
  <c r="U469" i="1"/>
  <c r="V469" i="1"/>
  <c r="T1097" i="1"/>
  <c r="U1097" i="1"/>
  <c r="V1097" i="1"/>
  <c r="T1126" i="1"/>
  <c r="U1126" i="1"/>
  <c r="V1126" i="1"/>
  <c r="T95" i="1"/>
  <c r="U95" i="1"/>
  <c r="V95" i="1"/>
  <c r="T302" i="1"/>
  <c r="U302" i="1"/>
  <c r="V302" i="1"/>
  <c r="T570" i="1"/>
  <c r="U570" i="1"/>
  <c r="V570" i="1"/>
  <c r="T139" i="1"/>
  <c r="U139" i="1"/>
  <c r="V139" i="1"/>
  <c r="T343" i="1"/>
  <c r="U343" i="1"/>
  <c r="V343" i="1"/>
  <c r="T745" i="1"/>
  <c r="U745" i="1"/>
  <c r="V745" i="1"/>
  <c r="T1098" i="1"/>
  <c r="U1098" i="1"/>
  <c r="V1098" i="1"/>
  <c r="T140" i="1"/>
  <c r="U140" i="1"/>
  <c r="V140" i="1"/>
  <c r="T179" i="1"/>
  <c r="U179" i="1"/>
  <c r="V179" i="1"/>
  <c r="T344" i="1"/>
  <c r="U344" i="1"/>
  <c r="V344" i="1"/>
  <c r="T96" i="1"/>
  <c r="U96" i="1"/>
  <c r="V96" i="1"/>
  <c r="T1193" i="1"/>
  <c r="U1193" i="1"/>
  <c r="V1193" i="1"/>
  <c r="T1127" i="1"/>
  <c r="U1127" i="1"/>
  <c r="V1127" i="1"/>
  <c r="T890" i="1"/>
  <c r="U890" i="1"/>
  <c r="V890" i="1"/>
  <c r="T956" i="1"/>
  <c r="U956" i="1"/>
  <c r="V956" i="1"/>
  <c r="T1038" i="1"/>
  <c r="U1038" i="1"/>
  <c r="V1038" i="1"/>
  <c r="T28" i="1"/>
  <c r="U28" i="1"/>
  <c r="V28" i="1"/>
  <c r="T253" i="1"/>
  <c r="U253" i="1"/>
  <c r="V253" i="1"/>
  <c r="T571" i="1"/>
  <c r="U571" i="1"/>
  <c r="V571" i="1"/>
  <c r="T507" i="1"/>
  <c r="U507" i="1"/>
  <c r="V507" i="1"/>
  <c r="T860" i="1"/>
  <c r="U860" i="1"/>
  <c r="V860" i="1"/>
  <c r="T51" i="1"/>
  <c r="U51" i="1"/>
  <c r="V51" i="1"/>
  <c r="T627" i="1"/>
  <c r="U627" i="1"/>
  <c r="V627" i="1"/>
  <c r="T677" i="1"/>
  <c r="U677" i="1"/>
  <c r="V677" i="1"/>
  <c r="T628" i="1"/>
  <c r="U628" i="1"/>
  <c r="V628" i="1"/>
  <c r="T254" i="1"/>
  <c r="U254" i="1"/>
  <c r="V254" i="1"/>
  <c r="T957" i="1"/>
  <c r="U957" i="1"/>
  <c r="V957" i="1"/>
  <c r="T97" i="1"/>
  <c r="U97" i="1"/>
  <c r="V97" i="1"/>
  <c r="T984" i="1"/>
  <c r="U984" i="1"/>
  <c r="V984" i="1"/>
  <c r="T98" i="1"/>
  <c r="U98" i="1"/>
  <c r="V98" i="1"/>
  <c r="T746" i="1"/>
  <c r="U746" i="1"/>
  <c r="V746" i="1"/>
  <c r="T1070" i="1"/>
  <c r="U1070" i="1"/>
  <c r="V1070" i="1"/>
  <c r="T408" i="1"/>
  <c r="U408" i="1"/>
  <c r="V408" i="1"/>
  <c r="T470" i="1"/>
  <c r="U470" i="1"/>
  <c r="V470" i="1"/>
  <c r="T1128" i="1"/>
  <c r="U1128" i="1"/>
  <c r="V1128" i="1"/>
  <c r="T912" i="1"/>
  <c r="U912" i="1"/>
  <c r="V912" i="1"/>
  <c r="T180" i="1"/>
  <c r="U180" i="1"/>
  <c r="V180" i="1"/>
  <c r="T542" i="1"/>
  <c r="U542" i="1"/>
  <c r="V542" i="1"/>
  <c r="T52" i="1"/>
  <c r="U52" i="1"/>
  <c r="V52" i="1"/>
  <c r="T786" i="1"/>
  <c r="U786" i="1"/>
  <c r="V786" i="1"/>
  <c r="T706" i="1"/>
  <c r="U706" i="1"/>
  <c r="V706" i="1"/>
  <c r="T53" i="1"/>
  <c r="U53" i="1"/>
  <c r="V53" i="1"/>
  <c r="T707" i="1"/>
  <c r="U707" i="1"/>
  <c r="V707" i="1"/>
  <c r="T303" i="1"/>
  <c r="U303" i="1"/>
  <c r="V303" i="1"/>
  <c r="T861" i="1"/>
  <c r="U861" i="1"/>
  <c r="V861" i="1"/>
  <c r="T595" i="1"/>
  <c r="U595" i="1"/>
  <c r="V595" i="1"/>
  <c r="T99" i="1"/>
  <c r="U99" i="1"/>
  <c r="V99" i="1"/>
  <c r="T181" i="1"/>
  <c r="U181" i="1"/>
  <c r="V181" i="1"/>
  <c r="T345" i="1"/>
  <c r="U345" i="1"/>
  <c r="V345" i="1"/>
  <c r="T304" i="1"/>
  <c r="U304" i="1"/>
  <c r="V304" i="1"/>
  <c r="T678" i="1"/>
  <c r="U678" i="1"/>
  <c r="V678" i="1"/>
  <c r="T182" i="1"/>
  <c r="U182" i="1"/>
  <c r="V182" i="1"/>
  <c r="T999" i="1"/>
  <c r="U999" i="1"/>
  <c r="V999" i="1"/>
  <c r="T913" i="1"/>
  <c r="U913" i="1"/>
  <c r="V913" i="1"/>
  <c r="T708" i="1"/>
  <c r="U708" i="1"/>
  <c r="V708" i="1"/>
  <c r="T629" i="1"/>
  <c r="U629" i="1"/>
  <c r="V629" i="1"/>
  <c r="T679" i="1"/>
  <c r="U679" i="1"/>
  <c r="V679" i="1"/>
  <c r="T141" i="1"/>
  <c r="U141" i="1"/>
  <c r="V141" i="1"/>
  <c r="T572" i="1"/>
  <c r="U572" i="1"/>
  <c r="V572" i="1"/>
  <c r="T709" i="1"/>
  <c r="U709" i="1"/>
  <c r="V709" i="1"/>
  <c r="T787" i="1"/>
  <c r="U787" i="1"/>
  <c r="V787" i="1"/>
  <c r="T1099" i="1"/>
  <c r="U1099" i="1"/>
  <c r="V1099" i="1"/>
  <c r="T862" i="1"/>
  <c r="U862" i="1"/>
  <c r="V862" i="1"/>
  <c r="T863" i="1"/>
  <c r="U863" i="1"/>
  <c r="V863" i="1"/>
  <c r="T1039" i="1"/>
  <c r="U1039" i="1"/>
  <c r="V1039" i="1"/>
  <c r="T183" i="1"/>
  <c r="U183" i="1"/>
  <c r="V183" i="1"/>
  <c r="T958" i="1"/>
  <c r="U958" i="1"/>
  <c r="V958" i="1"/>
  <c r="T1040" i="1"/>
  <c r="U1040" i="1"/>
  <c r="V1040" i="1"/>
  <c r="T816" i="1"/>
  <c r="U816" i="1"/>
  <c r="V816" i="1"/>
  <c r="T10" i="1"/>
  <c r="U10" i="1"/>
  <c r="V10" i="1"/>
  <c r="T864" i="1"/>
  <c r="U864" i="1"/>
  <c r="V864" i="1"/>
  <c r="T788" i="1"/>
  <c r="U788" i="1"/>
  <c r="V788" i="1"/>
  <c r="T54" i="1"/>
  <c r="U54" i="1"/>
  <c r="V54" i="1"/>
  <c r="T657" i="1"/>
  <c r="U657" i="1"/>
  <c r="V657" i="1"/>
  <c r="T1100" i="1"/>
  <c r="U1100" i="1"/>
  <c r="V1100" i="1"/>
  <c r="T55" i="1"/>
  <c r="U55" i="1"/>
  <c r="V55" i="1"/>
  <c r="T630" i="1"/>
  <c r="U630" i="1"/>
  <c r="V630" i="1"/>
  <c r="T305" i="1"/>
  <c r="U305" i="1"/>
  <c r="V305" i="1"/>
  <c r="T471" i="1"/>
  <c r="U471" i="1"/>
  <c r="V471" i="1"/>
  <c r="T1041" i="1"/>
  <c r="U1041" i="1"/>
  <c r="V1041" i="1"/>
  <c r="T100" i="1"/>
  <c r="U100" i="1"/>
  <c r="V100" i="1"/>
  <c r="T865" i="1"/>
  <c r="U865" i="1"/>
  <c r="V865" i="1"/>
  <c r="T1194" i="1"/>
  <c r="U1194" i="1"/>
  <c r="V1194" i="1"/>
  <c r="T1173" i="1"/>
  <c r="U1173" i="1"/>
  <c r="V1173" i="1"/>
  <c r="T184" i="1"/>
  <c r="U184" i="1"/>
  <c r="V184" i="1"/>
  <c r="T508" i="1"/>
  <c r="U508" i="1"/>
  <c r="V508" i="1"/>
  <c r="T1042" i="1"/>
  <c r="U1042" i="1"/>
  <c r="V1042" i="1"/>
  <c r="T437" i="1"/>
  <c r="U437" i="1"/>
  <c r="V437" i="1"/>
  <c r="T831" i="1"/>
  <c r="U831" i="1"/>
  <c r="V831" i="1"/>
  <c r="T255" i="1"/>
  <c r="U255" i="1"/>
  <c r="V255" i="1"/>
  <c r="T914" i="1"/>
  <c r="U914" i="1"/>
  <c r="V914" i="1"/>
  <c r="T221" i="1"/>
  <c r="U221" i="1"/>
  <c r="V221" i="1"/>
  <c r="T185" i="1"/>
  <c r="U185" i="1"/>
  <c r="V185" i="1"/>
  <c r="T832" i="1"/>
  <c r="U832" i="1"/>
  <c r="V832" i="1"/>
  <c r="T915" i="1"/>
  <c r="U915" i="1"/>
  <c r="V915" i="1"/>
  <c r="T573" i="1"/>
  <c r="U573" i="1"/>
  <c r="V573" i="1"/>
  <c r="T959" i="1"/>
  <c r="U959" i="1"/>
  <c r="V959" i="1"/>
  <c r="T1071" i="1"/>
  <c r="U1071" i="1"/>
  <c r="V1071" i="1"/>
  <c r="T101" i="1"/>
  <c r="U101" i="1"/>
  <c r="V101" i="1"/>
  <c r="T789" i="1"/>
  <c r="U789" i="1"/>
  <c r="V789" i="1"/>
  <c r="T596" i="1"/>
  <c r="U596" i="1"/>
  <c r="V596" i="1"/>
  <c r="T1101" i="1"/>
  <c r="U1101" i="1"/>
  <c r="V1101" i="1"/>
  <c r="T409" i="1"/>
  <c r="U409" i="1"/>
  <c r="V409" i="1"/>
  <c r="T222" i="1"/>
  <c r="U222" i="1"/>
  <c r="V222" i="1"/>
  <c r="T306" i="1"/>
  <c r="U306" i="1"/>
  <c r="V306" i="1"/>
  <c r="T597" i="1"/>
  <c r="U597" i="1"/>
  <c r="V597" i="1"/>
  <c r="T658" i="1"/>
  <c r="U658" i="1"/>
  <c r="V658" i="1"/>
  <c r="T307" i="1"/>
  <c r="U307" i="1"/>
  <c r="V307" i="1"/>
  <c r="T186" i="1"/>
  <c r="U186" i="1"/>
  <c r="V186" i="1"/>
  <c r="T1195" i="1"/>
  <c r="U1195" i="1"/>
  <c r="V1195" i="1"/>
  <c r="T631" i="1"/>
  <c r="U631" i="1"/>
  <c r="V631" i="1"/>
  <c r="T1102" i="1"/>
  <c r="U1102" i="1"/>
  <c r="V1102" i="1"/>
  <c r="T598" i="1"/>
  <c r="U598" i="1"/>
  <c r="V598" i="1"/>
  <c r="T256" i="1"/>
  <c r="U256" i="1"/>
  <c r="V256" i="1"/>
  <c r="T960" i="1"/>
  <c r="U960" i="1"/>
  <c r="V960" i="1"/>
  <c r="T187" i="1"/>
  <c r="U187" i="1"/>
  <c r="V187" i="1"/>
  <c r="T747" i="1"/>
  <c r="U747" i="1"/>
  <c r="V747" i="1"/>
  <c r="T257" i="1"/>
  <c r="U257" i="1"/>
  <c r="V257" i="1"/>
  <c r="T543" i="1"/>
  <c r="U543" i="1"/>
  <c r="V543" i="1"/>
  <c r="T472" i="1"/>
  <c r="U472" i="1"/>
  <c r="V472" i="1"/>
  <c r="T1151" i="1"/>
  <c r="U1151" i="1"/>
  <c r="V1151" i="1"/>
  <c r="T473" i="1"/>
  <c r="U473" i="1"/>
  <c r="V473" i="1"/>
  <c r="T931" i="1"/>
  <c r="U931" i="1"/>
  <c r="V931" i="1"/>
  <c r="T932" i="1"/>
  <c r="U932" i="1"/>
  <c r="V932" i="1"/>
  <c r="T748" i="1"/>
  <c r="U748" i="1"/>
  <c r="V748" i="1"/>
  <c r="T866" i="1"/>
  <c r="U866" i="1"/>
  <c r="V866" i="1"/>
  <c r="T29" i="1"/>
  <c r="U29" i="1"/>
  <c r="V29" i="1"/>
  <c r="T659" i="1"/>
  <c r="U659" i="1"/>
  <c r="V659" i="1"/>
  <c r="T817" i="1"/>
  <c r="U817" i="1"/>
  <c r="V817" i="1"/>
  <c r="T710" i="1"/>
  <c r="U710" i="1"/>
  <c r="V710" i="1"/>
  <c r="T102" i="1"/>
  <c r="U102" i="1"/>
  <c r="V102" i="1"/>
  <c r="T56" i="1"/>
  <c r="U56" i="1"/>
  <c r="V56" i="1"/>
  <c r="T1103" i="1"/>
  <c r="U1103" i="1"/>
  <c r="V1103" i="1"/>
  <c r="T680" i="1"/>
  <c r="U680" i="1"/>
  <c r="V680" i="1"/>
  <c r="T382" i="1"/>
  <c r="U382" i="1"/>
  <c r="V382" i="1"/>
  <c r="T509" i="1"/>
  <c r="U509" i="1"/>
  <c r="V509" i="1"/>
  <c r="T1104" i="1"/>
  <c r="U1104" i="1"/>
  <c r="V1104" i="1"/>
  <c r="T57" i="1"/>
  <c r="U57" i="1"/>
  <c r="V57" i="1"/>
  <c r="T985" i="1"/>
  <c r="U985" i="1"/>
  <c r="V985" i="1"/>
  <c r="T308" i="1"/>
  <c r="U308" i="1"/>
  <c r="V308" i="1"/>
  <c r="T142" i="1"/>
  <c r="U142" i="1"/>
  <c r="V142" i="1"/>
  <c r="T410" i="1"/>
  <c r="U410" i="1"/>
  <c r="V410" i="1"/>
  <c r="T58" i="1"/>
  <c r="U58" i="1"/>
  <c r="V58" i="1"/>
  <c r="T143" i="1"/>
  <c r="U143" i="1"/>
  <c r="V143" i="1"/>
  <c r="T867" i="1"/>
  <c r="U867" i="1"/>
  <c r="V867" i="1"/>
  <c r="T891" i="1"/>
  <c r="U891" i="1"/>
  <c r="V891" i="1"/>
  <c r="T258" i="1"/>
  <c r="U258" i="1"/>
  <c r="V258" i="1"/>
  <c r="T346" i="1"/>
  <c r="U346" i="1"/>
  <c r="V346" i="1"/>
  <c r="T749" i="1"/>
  <c r="U749" i="1"/>
  <c r="V749" i="1"/>
  <c r="T1105" i="1"/>
  <c r="U1105" i="1"/>
  <c r="V1105" i="1"/>
  <c r="T259" i="1"/>
  <c r="U259" i="1"/>
  <c r="V259" i="1"/>
  <c r="T1000" i="1"/>
  <c r="U1000" i="1"/>
  <c r="V1000" i="1"/>
  <c r="T1129" i="1"/>
  <c r="U1129" i="1"/>
  <c r="V1129" i="1"/>
  <c r="T1106" i="1"/>
  <c r="U1106" i="1"/>
  <c r="V1106" i="1"/>
  <c r="T660" i="1"/>
  <c r="U660" i="1"/>
  <c r="V660" i="1"/>
  <c r="T347" i="1"/>
  <c r="U347" i="1"/>
  <c r="V347" i="1"/>
  <c r="T438" i="1"/>
  <c r="U438" i="1"/>
  <c r="V438" i="1"/>
  <c r="T750" i="1"/>
  <c r="U750" i="1"/>
  <c r="V750" i="1"/>
  <c r="T1072" i="1"/>
  <c r="U1072" i="1"/>
  <c r="V1072" i="1"/>
  <c r="T1174" i="1"/>
  <c r="U1174" i="1"/>
  <c r="V1174" i="1"/>
  <c r="T632" i="1"/>
  <c r="U632" i="1"/>
  <c r="V632" i="1"/>
  <c r="T223" i="1"/>
  <c r="U223" i="1"/>
  <c r="V223" i="1"/>
  <c r="T59" i="1"/>
  <c r="U59" i="1"/>
  <c r="V59" i="1"/>
  <c r="T544" i="1"/>
  <c r="U544" i="1"/>
  <c r="V544" i="1"/>
  <c r="T961" i="1"/>
  <c r="U961" i="1"/>
  <c r="V961" i="1"/>
  <c r="T309" i="1"/>
  <c r="U309" i="1"/>
  <c r="V309" i="1"/>
  <c r="T833" i="1"/>
  <c r="U833" i="1"/>
  <c r="V833" i="1"/>
  <c r="T411" i="1"/>
  <c r="U411" i="1"/>
  <c r="V411" i="1"/>
  <c r="T383" i="1"/>
  <c r="U383" i="1"/>
  <c r="V383" i="1"/>
  <c r="T1043" i="1"/>
  <c r="U1043" i="1"/>
  <c r="V1043" i="1"/>
  <c r="T545" i="1"/>
  <c r="U545" i="1"/>
  <c r="V545" i="1"/>
  <c r="T892" i="1"/>
  <c r="U892" i="1"/>
  <c r="V892" i="1"/>
  <c r="T260" i="1"/>
  <c r="U260" i="1"/>
  <c r="V260" i="1"/>
  <c r="T1152" i="1"/>
  <c r="U1152" i="1"/>
  <c r="V1152" i="1"/>
  <c r="T310" i="1"/>
  <c r="U310" i="1"/>
  <c r="V310" i="1"/>
  <c r="T916" i="1"/>
  <c r="U916" i="1"/>
  <c r="V916" i="1"/>
  <c r="T384" i="1"/>
  <c r="U384" i="1"/>
  <c r="V384" i="1"/>
  <c r="T1044" i="1"/>
  <c r="U1044" i="1"/>
  <c r="V1044" i="1"/>
  <c r="T917" i="1"/>
  <c r="U917" i="1"/>
  <c r="V917" i="1"/>
  <c r="T19" i="1"/>
  <c r="U19" i="1"/>
  <c r="V19" i="1"/>
  <c r="T311" i="1"/>
  <c r="U311" i="1"/>
  <c r="V311" i="1"/>
  <c r="T60" i="1"/>
  <c r="U60" i="1"/>
  <c r="V60" i="1"/>
  <c r="T474" i="1"/>
  <c r="U474" i="1"/>
  <c r="V474" i="1"/>
  <c r="T546" i="1"/>
  <c r="U546" i="1"/>
  <c r="V546" i="1"/>
  <c r="T412" i="1"/>
  <c r="U412" i="1"/>
  <c r="V412" i="1"/>
  <c r="T790" i="1"/>
  <c r="U790" i="1"/>
  <c r="V790" i="1"/>
  <c r="T413" i="1"/>
  <c r="U413" i="1"/>
  <c r="V413" i="1"/>
  <c r="T962" i="1"/>
  <c r="U962" i="1"/>
  <c r="V962" i="1"/>
  <c r="T103" i="1"/>
  <c r="U103" i="1"/>
  <c r="V103" i="1"/>
  <c r="T1175" i="1"/>
  <c r="U1175" i="1"/>
  <c r="V1175" i="1"/>
  <c r="T1001" i="1"/>
  <c r="U1001" i="1"/>
  <c r="V1001" i="1"/>
  <c r="T475" i="1"/>
  <c r="U475" i="1"/>
  <c r="V475" i="1"/>
  <c r="T1107" i="1"/>
  <c r="U1107" i="1"/>
  <c r="V1107" i="1"/>
  <c r="T1130" i="1"/>
  <c r="U1130" i="1"/>
  <c r="V1130" i="1"/>
  <c r="T104" i="1"/>
  <c r="U104" i="1"/>
  <c r="V104" i="1"/>
  <c r="T312" i="1"/>
  <c r="U312" i="1"/>
  <c r="V312" i="1"/>
  <c r="T574" i="1"/>
  <c r="U574" i="1"/>
  <c r="V574" i="1"/>
  <c r="T144" i="1"/>
  <c r="U144" i="1"/>
  <c r="V144" i="1"/>
  <c r="T348" i="1"/>
  <c r="U348" i="1"/>
  <c r="V348" i="1"/>
  <c r="T751" i="1"/>
  <c r="U751" i="1"/>
  <c r="V751" i="1"/>
  <c r="T1108" i="1"/>
  <c r="U1108" i="1"/>
  <c r="V1108" i="1"/>
  <c r="T145" i="1"/>
  <c r="U145" i="1"/>
  <c r="V145" i="1"/>
  <c r="T188" i="1"/>
  <c r="U188" i="1"/>
  <c r="V188" i="1"/>
  <c r="T349" i="1"/>
  <c r="U349" i="1"/>
  <c r="V349" i="1"/>
  <c r="T105" i="1"/>
  <c r="U105" i="1"/>
  <c r="V105" i="1"/>
  <c r="T1196" i="1"/>
  <c r="U1196" i="1"/>
  <c r="V1196" i="1"/>
  <c r="T1131" i="1"/>
  <c r="U1131" i="1"/>
  <c r="V1131" i="1"/>
  <c r="T893" i="1"/>
  <c r="U893" i="1"/>
  <c r="V893" i="1"/>
  <c r="T963" i="1"/>
  <c r="U963" i="1"/>
  <c r="V963" i="1"/>
  <c r="T1045" i="1"/>
  <c r="U1045" i="1"/>
  <c r="V1045" i="1"/>
  <c r="T30" i="1"/>
  <c r="U30" i="1"/>
  <c r="V30" i="1"/>
  <c r="T261" i="1"/>
  <c r="U261" i="1"/>
  <c r="V261" i="1"/>
  <c r="T575" i="1"/>
  <c r="U575" i="1"/>
  <c r="V575" i="1"/>
  <c r="T510" i="1"/>
  <c r="U510" i="1"/>
  <c r="V510" i="1"/>
  <c r="T868" i="1"/>
  <c r="U868" i="1"/>
  <c r="V868" i="1"/>
  <c r="T61" i="1"/>
  <c r="U61" i="1"/>
  <c r="V61" i="1"/>
  <c r="T633" i="1"/>
  <c r="U633" i="1"/>
  <c r="V633" i="1"/>
  <c r="T681" i="1"/>
  <c r="U681" i="1"/>
  <c r="V681" i="1"/>
  <c r="T634" i="1"/>
  <c r="U634" i="1"/>
  <c r="V634" i="1"/>
  <c r="T262" i="1"/>
  <c r="U262" i="1"/>
  <c r="V262" i="1"/>
  <c r="T964" i="1"/>
  <c r="U964" i="1"/>
  <c r="V964" i="1"/>
  <c r="T106" i="1"/>
  <c r="U106" i="1"/>
  <c r="V106" i="1"/>
  <c r="T986" i="1"/>
  <c r="U986" i="1"/>
  <c r="V986" i="1"/>
  <c r="T107" i="1"/>
  <c r="U107" i="1"/>
  <c r="V107" i="1"/>
  <c r="T752" i="1"/>
  <c r="U752" i="1"/>
  <c r="V752" i="1"/>
  <c r="T1073" i="1"/>
  <c r="U1073" i="1"/>
  <c r="V1073" i="1"/>
  <c r="T414" i="1"/>
  <c r="U414" i="1"/>
  <c r="V414" i="1"/>
  <c r="T476" i="1"/>
  <c r="U476" i="1"/>
  <c r="V476" i="1"/>
  <c r="T1132" i="1"/>
  <c r="U1132" i="1"/>
  <c r="V1132" i="1"/>
  <c r="T918" i="1"/>
  <c r="U918" i="1"/>
  <c r="V918" i="1"/>
  <c r="T189" i="1"/>
  <c r="U189" i="1"/>
  <c r="V189" i="1"/>
  <c r="T547" i="1"/>
  <c r="U547" i="1"/>
  <c r="V547" i="1"/>
  <c r="T62" i="1"/>
  <c r="U62" i="1"/>
  <c r="V62" i="1"/>
  <c r="T791" i="1"/>
  <c r="U791" i="1"/>
  <c r="V791" i="1"/>
  <c r="T711" i="1"/>
  <c r="U711" i="1"/>
  <c r="V711" i="1"/>
  <c r="T63" i="1"/>
  <c r="U63" i="1"/>
  <c r="V63" i="1"/>
  <c r="T712" i="1"/>
  <c r="U712" i="1"/>
  <c r="V712" i="1"/>
  <c r="T313" i="1"/>
  <c r="U313" i="1"/>
  <c r="V313" i="1"/>
  <c r="T869" i="1"/>
  <c r="U869" i="1"/>
  <c r="V869" i="1"/>
  <c r="T599" i="1"/>
  <c r="U599" i="1"/>
  <c r="V599" i="1"/>
  <c r="T108" i="1"/>
  <c r="U108" i="1"/>
  <c r="V108" i="1"/>
  <c r="T146" i="1"/>
  <c r="U146" i="1"/>
  <c r="V146" i="1"/>
  <c r="T190" i="1"/>
  <c r="U190" i="1"/>
  <c r="V190" i="1"/>
  <c r="T1109" i="1"/>
  <c r="U1109" i="1"/>
  <c r="V1109" i="1"/>
  <c r="T792" i="1"/>
  <c r="U792" i="1"/>
  <c r="V792" i="1"/>
  <c r="T191" i="1"/>
  <c r="U191" i="1"/>
  <c r="V191" i="1"/>
  <c r="T350" i="1"/>
  <c r="U350" i="1"/>
  <c r="V350" i="1"/>
  <c r="T314" i="1"/>
  <c r="U314" i="1"/>
  <c r="V314" i="1"/>
  <c r="T548" i="1"/>
  <c r="U548" i="1"/>
  <c r="V548" i="1"/>
  <c r="T682" i="1"/>
  <c r="U682" i="1"/>
  <c r="V682" i="1"/>
  <c r="T1002" i="1"/>
  <c r="U1002" i="1"/>
  <c r="V1002" i="1"/>
  <c r="T919" i="1"/>
  <c r="U919" i="1"/>
  <c r="V919" i="1"/>
  <c r="T713" i="1"/>
  <c r="U713" i="1"/>
  <c r="V713" i="1"/>
  <c r="T635" i="1"/>
  <c r="U635" i="1"/>
  <c r="V635" i="1"/>
  <c r="T683" i="1"/>
  <c r="U683" i="1"/>
  <c r="V683" i="1"/>
  <c r="T576" i="1"/>
  <c r="U576" i="1"/>
  <c r="V576" i="1"/>
  <c r="T714" i="1"/>
  <c r="U714" i="1"/>
  <c r="V714" i="1"/>
  <c r="T1110" i="1"/>
  <c r="U1110" i="1"/>
  <c r="V1110" i="1"/>
  <c r="T870" i="1"/>
  <c r="U870" i="1"/>
  <c r="V870" i="1"/>
  <c r="T871" i="1"/>
  <c r="U871" i="1"/>
  <c r="V871" i="1"/>
  <c r="T1046" i="1"/>
  <c r="U1046" i="1"/>
  <c r="V1046" i="1"/>
  <c r="T192" i="1"/>
  <c r="U192" i="1"/>
  <c r="V192" i="1"/>
  <c r="T965" i="1"/>
  <c r="U965" i="1"/>
  <c r="V965" i="1"/>
  <c r="T1047" i="1"/>
  <c r="U1047" i="1"/>
  <c r="V1047" i="1"/>
  <c r="T818" i="1"/>
  <c r="U818" i="1"/>
  <c r="V818" i="1"/>
  <c r="T11" i="1"/>
  <c r="U11" i="1"/>
  <c r="V11" i="1"/>
  <c r="T793" i="1"/>
  <c r="U793" i="1"/>
  <c r="V793" i="1"/>
  <c r="T64" i="1"/>
  <c r="U64" i="1"/>
  <c r="V64" i="1"/>
  <c r="T661" i="1"/>
  <c r="U661" i="1"/>
  <c r="V661" i="1"/>
  <c r="T1111" i="1"/>
  <c r="U1111" i="1"/>
  <c r="V1111" i="1"/>
  <c r="T65" i="1"/>
  <c r="U65" i="1"/>
  <c r="V65" i="1"/>
  <c r="T636" i="1"/>
  <c r="U636" i="1"/>
  <c r="V636" i="1"/>
  <c r="T315" i="1"/>
  <c r="U315" i="1"/>
  <c r="V315" i="1"/>
  <c r="T477" i="1"/>
  <c r="U477" i="1"/>
  <c r="V477" i="1"/>
  <c r="T1048" i="1"/>
  <c r="U1048" i="1"/>
  <c r="V1048" i="1"/>
  <c r="T109" i="1"/>
  <c r="U109" i="1"/>
  <c r="V109" i="1"/>
  <c r="T872" i="1"/>
  <c r="U872" i="1"/>
  <c r="V872" i="1"/>
  <c r="T1197" i="1"/>
  <c r="U1197" i="1"/>
  <c r="V1197" i="1"/>
  <c r="T1176" i="1"/>
  <c r="U1176" i="1"/>
  <c r="V1176" i="1"/>
  <c r="T193" i="1"/>
  <c r="U193" i="1"/>
  <c r="V193" i="1"/>
  <c r="T511" i="1"/>
  <c r="U511" i="1"/>
  <c r="V511" i="1"/>
  <c r="T1049" i="1"/>
  <c r="U1049" i="1"/>
  <c r="V1049" i="1"/>
  <c r="T439" i="1"/>
  <c r="U439" i="1"/>
  <c r="V439" i="1"/>
  <c r="T834" i="1"/>
  <c r="U834" i="1"/>
  <c r="V834" i="1"/>
  <c r="T263" i="1"/>
  <c r="U263" i="1"/>
  <c r="V263" i="1"/>
  <c r="T920" i="1"/>
  <c r="U920" i="1"/>
  <c r="V920" i="1"/>
  <c r="T224" i="1"/>
  <c r="U224" i="1"/>
  <c r="V224" i="1"/>
  <c r="T194" i="1"/>
  <c r="U194" i="1"/>
  <c r="V194" i="1"/>
  <c r="T835" i="1"/>
  <c r="U835" i="1"/>
  <c r="V835" i="1"/>
  <c r="T921" i="1"/>
  <c r="U921" i="1"/>
  <c r="V921" i="1"/>
  <c r="T577" i="1"/>
  <c r="U577" i="1"/>
  <c r="V577" i="1"/>
  <c r="T966" i="1"/>
  <c r="U966" i="1"/>
  <c r="V966" i="1"/>
  <c r="T1074" i="1"/>
  <c r="U1074" i="1"/>
  <c r="V1074" i="1"/>
  <c r="T110" i="1"/>
  <c r="U110" i="1"/>
  <c r="V110" i="1"/>
  <c r="T794" i="1"/>
  <c r="U794" i="1"/>
  <c r="V794" i="1"/>
  <c r="T600" i="1"/>
  <c r="U600" i="1"/>
  <c r="V600" i="1"/>
  <c r="T1112" i="1"/>
  <c r="U1112" i="1"/>
  <c r="V1112" i="1"/>
  <c r="T415" i="1"/>
  <c r="U415" i="1"/>
  <c r="V415" i="1"/>
  <c r="T225" i="1"/>
  <c r="U225" i="1"/>
  <c r="V225" i="1"/>
  <c r="T316" i="1"/>
  <c r="U316" i="1"/>
  <c r="V316" i="1"/>
  <c r="T601" i="1"/>
  <c r="U601" i="1"/>
  <c r="V601" i="1"/>
  <c r="T662" i="1"/>
  <c r="U662" i="1"/>
  <c r="V662" i="1"/>
  <c r="T317" i="1"/>
  <c r="U317" i="1"/>
  <c r="V317" i="1"/>
  <c r="T195" i="1"/>
  <c r="U195" i="1"/>
  <c r="V195" i="1"/>
  <c r="T1198" i="1"/>
  <c r="U1198" i="1"/>
  <c r="V1198" i="1"/>
  <c r="T637" i="1"/>
  <c r="U637" i="1"/>
  <c r="V637" i="1"/>
  <c r="T1113" i="1"/>
  <c r="U1113" i="1"/>
  <c r="V1113" i="1"/>
  <c r="T602" i="1"/>
  <c r="U602" i="1"/>
  <c r="V602" i="1"/>
  <c r="T264" i="1"/>
  <c r="U264" i="1"/>
  <c r="V264" i="1"/>
  <c r="T967" i="1"/>
  <c r="U967" i="1"/>
  <c r="V967" i="1"/>
  <c r="T196" i="1"/>
  <c r="U196" i="1"/>
  <c r="V196" i="1"/>
  <c r="T753" i="1"/>
  <c r="U753" i="1"/>
  <c r="V753" i="1"/>
  <c r="T265" i="1"/>
  <c r="U265" i="1"/>
  <c r="V265" i="1"/>
  <c r="T549" i="1"/>
  <c r="U549" i="1"/>
  <c r="V549" i="1"/>
  <c r="T478" i="1"/>
  <c r="U478" i="1"/>
  <c r="V478" i="1"/>
  <c r="T1153" i="1"/>
  <c r="U1153" i="1"/>
  <c r="V1153" i="1"/>
  <c r="T479" i="1"/>
  <c r="U479" i="1"/>
  <c r="V479" i="1"/>
  <c r="T933" i="1"/>
  <c r="U933" i="1"/>
  <c r="V933" i="1"/>
  <c r="T934" i="1"/>
  <c r="U934" i="1"/>
  <c r="V934" i="1"/>
  <c r="T754" i="1"/>
  <c r="U754" i="1"/>
  <c r="V754" i="1"/>
  <c r="T873" i="1"/>
  <c r="U873" i="1"/>
  <c r="V873" i="1"/>
  <c r="T31" i="1"/>
  <c r="U31" i="1"/>
  <c r="V31" i="1"/>
  <c r="T663" i="1"/>
  <c r="U663" i="1"/>
  <c r="V663" i="1"/>
  <c r="T819" i="1"/>
  <c r="U819" i="1"/>
  <c r="V819" i="1"/>
  <c r="T715" i="1"/>
  <c r="U715" i="1"/>
  <c r="V715" i="1"/>
  <c r="T111" i="1"/>
  <c r="U111" i="1"/>
  <c r="V111" i="1"/>
  <c r="T66" i="1"/>
  <c r="U66" i="1"/>
  <c r="V66" i="1"/>
  <c r="T1114" i="1"/>
  <c r="U1114" i="1"/>
  <c r="V1114" i="1"/>
  <c r="T684" i="1"/>
  <c r="U684" i="1"/>
  <c r="V684" i="1"/>
  <c r="T385" i="1"/>
  <c r="U385" i="1"/>
  <c r="V385" i="1"/>
  <c r="T512" i="1"/>
  <c r="U512" i="1"/>
  <c r="V512" i="1"/>
  <c r="T1115" i="1"/>
  <c r="U1115" i="1"/>
  <c r="V1115" i="1"/>
  <c r="T67" i="1"/>
  <c r="U67" i="1"/>
  <c r="V67" i="1"/>
  <c r="T987" i="1"/>
  <c r="U987" i="1"/>
  <c r="V987" i="1"/>
  <c r="T318" i="1"/>
  <c r="U318" i="1"/>
  <c r="V318" i="1"/>
  <c r="T147" i="1"/>
  <c r="U147" i="1"/>
  <c r="V147" i="1"/>
  <c r="T416" i="1"/>
  <c r="U416" i="1"/>
  <c r="V416" i="1"/>
  <c r="T68" i="1"/>
  <c r="U68" i="1"/>
  <c r="V68" i="1"/>
  <c r="T148" i="1"/>
  <c r="U148" i="1"/>
  <c r="V148" i="1"/>
  <c r="T874" i="1"/>
  <c r="U874" i="1"/>
  <c r="V874" i="1"/>
  <c r="T894" i="1"/>
  <c r="U894" i="1"/>
  <c r="V894" i="1"/>
  <c r="T266" i="1"/>
  <c r="U266" i="1"/>
  <c r="V266" i="1"/>
  <c r="T351" i="1"/>
  <c r="U351" i="1"/>
  <c r="V351" i="1"/>
  <c r="T755" i="1"/>
  <c r="U755" i="1"/>
  <c r="V755" i="1"/>
  <c r="T1116" i="1"/>
  <c r="U1116" i="1"/>
  <c r="V1116" i="1"/>
  <c r="T267" i="1"/>
  <c r="U267" i="1"/>
  <c r="V267" i="1"/>
  <c r="T1003" i="1"/>
  <c r="U1003" i="1"/>
  <c r="V1003" i="1"/>
  <c r="T1133" i="1"/>
  <c r="U1133" i="1"/>
  <c r="V1133" i="1"/>
  <c r="T1117" i="1"/>
  <c r="U1117" i="1"/>
  <c r="V1117" i="1"/>
  <c r="T664" i="1"/>
  <c r="U664" i="1"/>
  <c r="V664" i="1"/>
  <c r="T352" i="1"/>
  <c r="U352" i="1"/>
  <c r="V352" i="1"/>
  <c r="T440" i="1"/>
  <c r="U440" i="1"/>
  <c r="V440" i="1"/>
  <c r="T756" i="1"/>
  <c r="U756" i="1"/>
  <c r="V756" i="1"/>
  <c r="T1075" i="1"/>
  <c r="U1075" i="1"/>
  <c r="V1075" i="1"/>
  <c r="T1177" i="1"/>
  <c r="U1177" i="1"/>
  <c r="V1177" i="1"/>
  <c r="T638" i="1"/>
  <c r="U638" i="1"/>
  <c r="V638" i="1"/>
  <c r="T226" i="1"/>
  <c r="U226" i="1"/>
  <c r="V226" i="1"/>
  <c r="T69" i="1"/>
  <c r="U69" i="1"/>
  <c r="V69" i="1"/>
  <c r="T550" i="1"/>
  <c r="U550" i="1"/>
  <c r="V550" i="1"/>
  <c r="T968" i="1"/>
  <c r="U968" i="1"/>
  <c r="V968" i="1"/>
  <c r="T319" i="1"/>
  <c r="U319" i="1"/>
  <c r="V319" i="1"/>
  <c r="T836" i="1"/>
  <c r="U836" i="1"/>
  <c r="V836" i="1"/>
  <c r="T417" i="1"/>
  <c r="U417" i="1"/>
  <c r="V417" i="1"/>
  <c r="T386" i="1"/>
  <c r="U386" i="1"/>
  <c r="V386" i="1"/>
  <c r="T1050" i="1"/>
  <c r="U1050" i="1"/>
  <c r="V1050" i="1"/>
  <c r="T551" i="1"/>
  <c r="U551" i="1"/>
  <c r="V551" i="1"/>
  <c r="T895" i="1"/>
  <c r="U895" i="1"/>
  <c r="V895" i="1"/>
  <c r="T268" i="1"/>
  <c r="U268" i="1"/>
  <c r="V268" i="1"/>
  <c r="T1154" i="1"/>
  <c r="U1154" i="1"/>
  <c r="V1154" i="1"/>
  <c r="T320" i="1"/>
  <c r="U320" i="1"/>
  <c r="V320" i="1"/>
  <c r="T922" i="1"/>
  <c r="U922" i="1"/>
  <c r="V922" i="1"/>
  <c r="T387" i="1"/>
  <c r="U387" i="1"/>
  <c r="V387" i="1"/>
  <c r="T1051" i="1"/>
  <c r="U1051" i="1"/>
  <c r="V1051" i="1"/>
  <c r="T923" i="1"/>
  <c r="U923" i="1"/>
  <c r="V923" i="1"/>
  <c r="T20" i="1"/>
  <c r="U20" i="1"/>
  <c r="V20" i="1"/>
  <c r="T321" i="1"/>
  <c r="U321" i="1"/>
  <c r="V321" i="1"/>
  <c r="T70" i="1"/>
  <c r="U70" i="1"/>
  <c r="V70" i="1"/>
  <c r="T480" i="1"/>
  <c r="U480" i="1"/>
  <c r="V480" i="1"/>
  <c r="T552" i="1"/>
  <c r="U552" i="1"/>
  <c r="V552" i="1"/>
  <c r="T418" i="1"/>
  <c r="U418" i="1"/>
  <c r="V418" i="1"/>
  <c r="T795" i="1"/>
  <c r="U795" i="1"/>
  <c r="V795" i="1"/>
  <c r="T419" i="1"/>
  <c r="U419" i="1"/>
  <c r="V419" i="1"/>
  <c r="T969" i="1"/>
  <c r="U969" i="1"/>
  <c r="V969" i="1"/>
  <c r="T112" i="1"/>
  <c r="U112" i="1"/>
  <c r="V112" i="1"/>
  <c r="T1178" i="1"/>
  <c r="U1178" i="1"/>
  <c r="V1178" i="1"/>
  <c r="T1004" i="1"/>
  <c r="U1004" i="1"/>
  <c r="V1004" i="1"/>
  <c r="T481" i="1"/>
  <c r="U481" i="1"/>
  <c r="V481" i="1"/>
  <c r="T1118" i="1"/>
  <c r="U1118" i="1"/>
  <c r="V1118" i="1"/>
  <c r="T1134" i="1"/>
  <c r="U1134" i="1"/>
  <c r="V1134" i="1"/>
  <c r="T113" i="1"/>
  <c r="U113" i="1"/>
  <c r="V113" i="1"/>
  <c r="T322" i="1"/>
  <c r="U322" i="1"/>
  <c r="V322" i="1"/>
  <c r="T578" i="1"/>
  <c r="U578" i="1"/>
  <c r="V578" i="1"/>
  <c r="T149" i="1"/>
  <c r="U149" i="1"/>
  <c r="V149" i="1"/>
  <c r="T353" i="1"/>
  <c r="U353" i="1"/>
  <c r="V353" i="1"/>
  <c r="T757" i="1"/>
  <c r="U757" i="1"/>
  <c r="V757" i="1"/>
  <c r="T1119" i="1"/>
  <c r="U1119" i="1"/>
  <c r="V1119" i="1"/>
  <c r="T150" i="1"/>
  <c r="U150" i="1"/>
  <c r="V150" i="1"/>
  <c r="T197" i="1"/>
  <c r="U197" i="1"/>
  <c r="V197" i="1"/>
  <c r="T354" i="1"/>
  <c r="U354" i="1"/>
  <c r="V354" i="1"/>
  <c r="T114" i="1"/>
  <c r="U114" i="1"/>
  <c r="V114" i="1"/>
  <c r="T1199" i="1"/>
  <c r="U1199" i="1"/>
  <c r="V1199" i="1"/>
  <c r="T1135" i="1"/>
  <c r="U1135" i="1"/>
  <c r="V1135" i="1"/>
  <c r="T896" i="1"/>
  <c r="U896" i="1"/>
  <c r="V896" i="1"/>
  <c r="T970" i="1"/>
  <c r="U970" i="1"/>
  <c r="V970" i="1"/>
  <c r="T1052" i="1"/>
  <c r="U1052" i="1"/>
  <c r="V1052" i="1"/>
  <c r="T32" i="1"/>
  <c r="U32" i="1"/>
  <c r="V32" i="1"/>
  <c r="T269" i="1"/>
  <c r="U269" i="1"/>
  <c r="V269" i="1"/>
  <c r="T579" i="1"/>
  <c r="U579" i="1"/>
  <c r="V579" i="1"/>
  <c r="T513" i="1"/>
  <c r="U513" i="1"/>
  <c r="V513" i="1"/>
  <c r="T875" i="1"/>
  <c r="U875" i="1"/>
  <c r="V875" i="1"/>
  <c r="T71" i="1"/>
  <c r="U71" i="1"/>
  <c r="V71" i="1"/>
  <c r="T639" i="1"/>
  <c r="U639" i="1"/>
  <c r="V639" i="1"/>
  <c r="T685" i="1"/>
  <c r="U685" i="1"/>
  <c r="V685" i="1"/>
  <c r="T640" i="1"/>
  <c r="U640" i="1"/>
  <c r="V640" i="1"/>
  <c r="T270" i="1"/>
  <c r="U270" i="1"/>
  <c r="V270" i="1"/>
  <c r="T971" i="1"/>
  <c r="U971" i="1"/>
  <c r="V971" i="1"/>
  <c r="T115" i="1"/>
  <c r="U115" i="1"/>
  <c r="V115" i="1"/>
  <c r="T988" i="1"/>
  <c r="U988" i="1"/>
  <c r="V988" i="1"/>
  <c r="T116" i="1"/>
  <c r="U116" i="1"/>
  <c r="V116" i="1"/>
  <c r="T758" i="1"/>
  <c r="U758" i="1"/>
  <c r="V758" i="1"/>
  <c r="T1076" i="1"/>
  <c r="U1076" i="1"/>
  <c r="V1076" i="1"/>
  <c r="T420" i="1"/>
  <c r="U420" i="1"/>
  <c r="V420" i="1"/>
  <c r="T796" i="1"/>
  <c r="U796" i="1"/>
  <c r="V796" i="1"/>
  <c r="T482" i="1"/>
  <c r="U482" i="1"/>
  <c r="V482" i="1"/>
  <c r="T271" i="1"/>
  <c r="U271" i="1"/>
  <c r="V271" i="1"/>
  <c r="T1136" i="1"/>
  <c r="U1136" i="1"/>
  <c r="V1136" i="1"/>
  <c r="T924" i="1"/>
  <c r="U924" i="1"/>
  <c r="V924" i="1"/>
  <c r="T716" i="1"/>
  <c r="U716" i="1"/>
  <c r="V716" i="1"/>
  <c r="T198" i="1"/>
  <c r="U198" i="1"/>
  <c r="V198" i="1"/>
  <c r="T553" i="1"/>
  <c r="U553" i="1"/>
  <c r="V553" i="1"/>
  <c r="T72" i="1"/>
  <c r="U72" i="1"/>
  <c r="V72" i="1"/>
  <c r="T580" i="1"/>
  <c r="U580" i="1"/>
  <c r="V580" i="1"/>
  <c r="T797" i="1"/>
  <c r="U797" i="1"/>
  <c r="V797" i="1"/>
  <c r="T717" i="1"/>
  <c r="U717" i="1"/>
  <c r="V717" i="1"/>
  <c r="T21" i="1"/>
  <c r="U21" i="1"/>
  <c r="V21" i="1"/>
  <c r="T73" i="1"/>
  <c r="U73" i="1"/>
  <c r="V73" i="1"/>
  <c r="T718" i="1"/>
  <c r="U718" i="1"/>
  <c r="V718" i="1"/>
  <c r="T483" i="1"/>
  <c r="U483" i="1"/>
  <c r="V483" i="1"/>
  <c r="T323" i="1"/>
  <c r="U323" i="1"/>
  <c r="V323" i="1"/>
  <c r="T876" i="1"/>
  <c r="U876" i="1"/>
  <c r="V876" i="1"/>
  <c r="T603" i="1"/>
  <c r="U603" i="1"/>
  <c r="V603" i="1"/>
  <c r="T1179" i="1"/>
  <c r="U1179" i="1"/>
  <c r="V1179" i="1"/>
  <c r="T151" i="1"/>
  <c r="U151" i="1"/>
  <c r="V151" i="1"/>
  <c r="T897" i="1"/>
  <c r="U897" i="1"/>
  <c r="V897" i="1"/>
  <c r="T117" i="1"/>
  <c r="U117" i="1"/>
  <c r="V117" i="1"/>
  <c r="T152" i="1"/>
  <c r="U152" i="1"/>
  <c r="V152" i="1"/>
  <c r="T199" i="1"/>
  <c r="U199" i="1"/>
  <c r="V199" i="1"/>
  <c r="T1120" i="1"/>
  <c r="U1120" i="1"/>
  <c r="V1120" i="1"/>
  <c r="T355" i="1"/>
  <c r="U355" i="1"/>
  <c r="V355" i="1"/>
  <c r="T798" i="1"/>
  <c r="U798" i="1"/>
  <c r="V798" i="1"/>
  <c r="T200" i="1"/>
  <c r="U200" i="1"/>
  <c r="V200" i="1"/>
  <c r="T514" i="1"/>
  <c r="U514" i="1"/>
  <c r="V514" i="1"/>
  <c r="T356" i="1"/>
  <c r="U356" i="1"/>
  <c r="V356" i="1"/>
  <c r="T324" i="1"/>
  <c r="U324" i="1"/>
  <c r="V324" i="1"/>
  <c r="T686" i="1"/>
  <c r="U686" i="1"/>
  <c r="V686" i="1"/>
  <c r="T925" i="1"/>
  <c r="U925" i="1"/>
  <c r="V925" i="1"/>
  <c r="T719" i="1"/>
  <c r="U719" i="1"/>
  <c r="V719" i="1"/>
  <c r="T641" i="1"/>
  <c r="U641" i="1"/>
  <c r="V641" i="1"/>
  <c r="T687" i="1"/>
  <c r="U687" i="1"/>
  <c r="V687" i="1"/>
  <c r="T759" i="1"/>
  <c r="U759" i="1"/>
  <c r="V759" i="1"/>
  <c r="T1200" i="1"/>
  <c r="U1200" i="1"/>
  <c r="V1200" i="1"/>
  <c r="T642" i="1"/>
  <c r="U642" i="1"/>
  <c r="V642" i="1"/>
  <c r="T357" i="1"/>
  <c r="U357" i="1"/>
  <c r="V357" i="1"/>
  <c r="T515" i="1"/>
  <c r="U515" i="1"/>
  <c r="V515" i="1"/>
  <c r="T118" i="1"/>
  <c r="U118" i="1"/>
  <c r="V118" i="1"/>
  <c r="T201" i="1"/>
  <c r="U201" i="1"/>
  <c r="V201" i="1"/>
  <c r="T837" i="1"/>
  <c r="U837" i="1"/>
  <c r="V837" i="1"/>
  <c r="T484" i="1"/>
  <c r="U484" i="1"/>
  <c r="V484" i="1"/>
  <c r="T1155" i="1"/>
  <c r="U1155" i="1"/>
  <c r="V1155" i="1"/>
  <c r="T1201" i="1"/>
  <c r="U1201" i="1"/>
  <c r="V1201" i="1"/>
  <c r="T153" i="1"/>
  <c r="U153" i="1"/>
  <c r="V153" i="1"/>
  <c r="T1180" i="1"/>
  <c r="U1180" i="1"/>
  <c r="V1180" i="1"/>
  <c r="T926" i="1"/>
  <c r="U926" i="1"/>
  <c r="V926" i="1"/>
  <c r="T799" i="1"/>
  <c r="U799" i="1"/>
  <c r="V799" i="1"/>
  <c r="T441" i="1"/>
  <c r="U441" i="1"/>
  <c r="V441" i="1"/>
  <c r="T877" i="1"/>
  <c r="U877" i="1"/>
  <c r="V877" i="1"/>
  <c r="T421" i="1"/>
  <c r="U421" i="1"/>
  <c r="V421" i="1"/>
  <c r="T1053" i="1"/>
  <c r="U1053" i="1"/>
  <c r="V1053" i="1"/>
  <c r="T516" i="1"/>
  <c r="U516" i="1"/>
  <c r="V516" i="1"/>
  <c r="T898" i="1"/>
  <c r="U898" i="1"/>
  <c r="V898" i="1"/>
  <c r="T202" i="1"/>
  <c r="U202" i="1"/>
  <c r="V202" i="1"/>
  <c r="T878" i="1"/>
  <c r="U878" i="1"/>
  <c r="V878" i="1"/>
  <c r="T517" i="1"/>
  <c r="U517" i="1"/>
  <c r="V517" i="1"/>
  <c r="T989" i="1"/>
  <c r="U989" i="1"/>
  <c r="V989" i="1"/>
  <c r="T1077" i="1"/>
  <c r="U1077" i="1"/>
  <c r="V1077" i="1"/>
  <c r="T1005" i="1"/>
  <c r="U1005" i="1"/>
  <c r="V1005" i="1"/>
  <c r="T720" i="1"/>
  <c r="U720" i="1"/>
  <c r="V720" i="1"/>
  <c r="T1156" i="1"/>
  <c r="U1156" i="1"/>
  <c r="V1156" i="1"/>
  <c r="T1054" i="1"/>
  <c r="U1054" i="1"/>
  <c r="V1054" i="1"/>
  <c r="T388" i="1"/>
  <c r="U388" i="1"/>
  <c r="V388" i="1"/>
  <c r="T643" i="1"/>
  <c r="U643" i="1"/>
  <c r="V643" i="1"/>
  <c r="T12" i="1"/>
  <c r="U12" i="1"/>
  <c r="V12" i="1"/>
  <c r="T554" i="1"/>
  <c r="U554" i="1"/>
  <c r="V554" i="1"/>
  <c r="T325" i="1"/>
  <c r="U325" i="1"/>
  <c r="V325" i="1"/>
  <c r="T644" i="1"/>
  <c r="U644" i="1"/>
  <c r="V644" i="1"/>
  <c r="T972" i="1"/>
  <c r="U972" i="1"/>
  <c r="V972" i="1"/>
  <c r="T820" i="1"/>
  <c r="U820" i="1"/>
  <c r="V820" i="1"/>
  <c r="T973" i="1"/>
  <c r="U973" i="1"/>
  <c r="V973" i="1"/>
  <c r="T326" i="1"/>
  <c r="U326" i="1"/>
  <c r="V326" i="1"/>
  <c r="T1055" i="1"/>
  <c r="U1055" i="1"/>
  <c r="V1055" i="1"/>
  <c r="T518" i="1"/>
  <c r="U518" i="1"/>
  <c r="V518" i="1"/>
  <c r="T33" i="1"/>
  <c r="U33" i="1"/>
  <c r="V33" i="1"/>
  <c r="T688" i="1"/>
  <c r="U688" i="1"/>
  <c r="V688" i="1"/>
  <c r="T1056" i="1"/>
  <c r="U1056" i="1"/>
  <c r="V1056" i="1"/>
  <c r="T1181" i="1"/>
  <c r="U1181" i="1"/>
  <c r="V1181" i="1"/>
  <c r="T1057" i="1"/>
  <c r="U1057" i="1"/>
  <c r="V1057" i="1"/>
  <c r="T203" i="1"/>
  <c r="U203" i="1"/>
  <c r="V203" i="1"/>
  <c r="T1078" i="1"/>
  <c r="U1078" i="1"/>
  <c r="V1078" i="1"/>
  <c r="T1182" i="1"/>
  <c r="U1182" i="1"/>
  <c r="V1182" i="1"/>
  <c r="T327" i="1"/>
  <c r="U327" i="1"/>
  <c r="V327" i="1"/>
  <c r="T645" i="1"/>
  <c r="U645" i="1"/>
  <c r="V645" i="1"/>
  <c r="T227" i="1"/>
  <c r="U227" i="1"/>
  <c r="V227" i="1"/>
  <c r="T119" i="1"/>
  <c r="U119" i="1"/>
  <c r="V119" i="1"/>
  <c r="T389" i="1"/>
  <c r="U389" i="1"/>
  <c r="V389" i="1"/>
  <c r="T1157" i="1"/>
  <c r="U1157" i="1"/>
  <c r="V1157" i="1"/>
  <c r="T800" i="1"/>
  <c r="U800" i="1"/>
  <c r="V800" i="1"/>
  <c r="T1183" i="1"/>
  <c r="U1183" i="1"/>
  <c r="V1183" i="1"/>
  <c r="T760" i="1"/>
  <c r="U760" i="1"/>
  <c r="V760" i="1"/>
  <c r="T604" i="1"/>
  <c r="U604" i="1"/>
  <c r="V604" i="1"/>
  <c r="T974" i="1"/>
  <c r="U974" i="1"/>
  <c r="V974" i="1"/>
  <c r="T555" i="1"/>
  <c r="U555" i="1"/>
  <c r="V555" i="1"/>
  <c r="T689" i="1"/>
  <c r="U689" i="1"/>
  <c r="V689" i="1"/>
  <c r="T761" i="1"/>
  <c r="U761" i="1"/>
  <c r="V761" i="1"/>
  <c r="T762" i="1"/>
  <c r="U762" i="1"/>
  <c r="V762" i="1"/>
  <c r="T390" i="1"/>
  <c r="U390" i="1"/>
  <c r="V390" i="1"/>
  <c r="T821" i="1"/>
  <c r="U821" i="1"/>
  <c r="V821" i="1"/>
  <c r="T204" i="1"/>
  <c r="U204" i="1"/>
  <c r="V204" i="1"/>
  <c r="T422" i="1"/>
  <c r="U422" i="1"/>
  <c r="V422" i="1"/>
  <c r="T1137" i="1"/>
  <c r="U1137" i="1"/>
  <c r="V1137" i="1"/>
  <c r="T581" i="1"/>
  <c r="U581" i="1"/>
  <c r="V581" i="1"/>
  <c r="T990" i="1"/>
  <c r="U990" i="1"/>
  <c r="V990" i="1"/>
  <c r="T358" i="1"/>
  <c r="U358" i="1"/>
  <c r="V358" i="1"/>
  <c r="T13" i="1"/>
  <c r="U13" i="1"/>
  <c r="V13" i="1"/>
  <c r="T485" i="1"/>
  <c r="U485" i="1"/>
  <c r="V485" i="1"/>
  <c r="T1158" i="1"/>
  <c r="U1158" i="1"/>
  <c r="V1158" i="1"/>
  <c r="T665" i="1"/>
  <c r="U665" i="1"/>
  <c r="V665" i="1"/>
  <c r="T605" i="1"/>
  <c r="U605" i="1"/>
  <c r="V605" i="1"/>
  <c r="T359" i="1"/>
  <c r="U359" i="1"/>
  <c r="V359" i="1"/>
  <c r="T1058" i="1"/>
  <c r="U1058" i="1"/>
  <c r="V1058" i="1"/>
  <c r="T801" i="1"/>
  <c r="U801" i="1"/>
  <c r="V801" i="1"/>
  <c r="T802" i="1"/>
  <c r="U802" i="1"/>
  <c r="V802" i="1"/>
  <c r="T822" i="1"/>
  <c r="U822" i="1"/>
  <c r="V822" i="1"/>
  <c r="T120" i="1"/>
  <c r="U120" i="1"/>
  <c r="V120" i="1"/>
  <c r="T1159" i="1"/>
  <c r="U1159" i="1"/>
  <c r="V1159" i="1"/>
  <c r="T519" i="1"/>
  <c r="U519" i="1"/>
  <c r="V519" i="1"/>
  <c r="T721" i="1"/>
  <c r="U721" i="1"/>
  <c r="V721" i="1"/>
  <c r="T556" i="1"/>
  <c r="U556" i="1"/>
  <c r="V556" i="1"/>
  <c r="T228" i="1"/>
  <c r="U228" i="1"/>
  <c r="V228" i="1"/>
  <c r="T121" i="1"/>
  <c r="U121" i="1"/>
  <c r="V121" i="1"/>
  <c r="T557" i="1"/>
  <c r="U557" i="1"/>
  <c r="V557" i="1"/>
  <c r="T205" i="1"/>
  <c r="U205" i="1"/>
  <c r="V205" i="1"/>
  <c r="T838" i="1"/>
  <c r="U838" i="1"/>
  <c r="V838" i="1"/>
  <c r="T1006" i="1"/>
  <c r="U1006" i="1"/>
  <c r="V1006" i="1"/>
  <c r="T486" i="1"/>
  <c r="U486" i="1"/>
  <c r="V486" i="1"/>
  <c r="T130" i="1"/>
  <c r="U130" i="1"/>
  <c r="V130" i="1"/>
  <c r="T1164" i="1"/>
  <c r="U1164" i="1"/>
  <c r="V1164" i="1"/>
  <c r="T899" i="1"/>
  <c r="U899" i="1"/>
  <c r="V899" i="1"/>
  <c r="T764" i="1"/>
  <c r="U764" i="1"/>
  <c r="V764" i="1"/>
  <c r="T427" i="1"/>
  <c r="U427" i="1"/>
  <c r="V427" i="1"/>
  <c r="T392" i="1"/>
  <c r="U392" i="1"/>
  <c r="V392" i="1"/>
  <c r="T495" i="1"/>
  <c r="U495" i="1"/>
  <c r="V495" i="1"/>
  <c r="T164" i="1"/>
  <c r="U164" i="1"/>
  <c r="V164" i="1"/>
  <c r="T488" i="1"/>
  <c r="U488" i="1"/>
  <c r="V488" i="1"/>
  <c r="T1062" i="1"/>
  <c r="U1062" i="1"/>
  <c r="V1062" i="1"/>
  <c r="T994" i="1"/>
  <c r="U994" i="1"/>
  <c r="V994" i="1"/>
  <c r="T1008" i="1"/>
  <c r="U1008" i="1"/>
  <c r="V1008" i="1"/>
  <c r="T369" i="1"/>
  <c r="U369" i="1"/>
  <c r="V369" i="1"/>
  <c r="T617" i="1"/>
  <c r="U617" i="1"/>
  <c r="V617" i="1"/>
  <c r="T6" i="1"/>
  <c r="U6" i="1"/>
  <c r="V6" i="1"/>
  <c r="T276" i="1"/>
  <c r="U276" i="1"/>
  <c r="V276" i="1"/>
  <c r="T610" i="1"/>
  <c r="U610" i="1"/>
  <c r="V610" i="1"/>
  <c r="T943" i="1"/>
  <c r="U943" i="1"/>
  <c r="V943" i="1"/>
  <c r="T803" i="1"/>
  <c r="U803" i="1"/>
  <c r="V803" i="1"/>
  <c r="T935" i="1"/>
  <c r="U935" i="1"/>
  <c r="V935" i="1"/>
  <c r="T1007" i="1"/>
  <c r="U1007" i="1"/>
  <c r="V1007" i="1"/>
  <c r="T498" i="1"/>
  <c r="U498" i="1"/>
  <c r="V498" i="1"/>
  <c r="T669" i="1"/>
  <c r="U669" i="1"/>
  <c r="V669" i="1"/>
  <c r="T1021" i="1"/>
  <c r="U1021" i="1"/>
  <c r="V1021" i="1"/>
  <c r="T1022" i="1"/>
  <c r="U1022" i="1"/>
  <c r="V1022" i="1"/>
  <c r="T160" i="1"/>
  <c r="U160" i="1"/>
  <c r="V160" i="1"/>
  <c r="T1061" i="1"/>
  <c r="U1061" i="1"/>
  <c r="V1061" i="1"/>
  <c r="T431" i="1"/>
  <c r="U431" i="1"/>
  <c r="V431" i="1"/>
  <c r="T281" i="1"/>
  <c r="U281" i="1"/>
  <c r="V281" i="1"/>
  <c r="T615" i="1"/>
  <c r="U615" i="1"/>
  <c r="V615" i="1"/>
  <c r="T214" i="1"/>
  <c r="U214" i="1"/>
  <c r="V214" i="1"/>
  <c r="T74" i="1"/>
  <c r="U74" i="1"/>
  <c r="V74" i="1"/>
  <c r="T364" i="1"/>
  <c r="U364" i="1"/>
  <c r="V364" i="1"/>
  <c r="T209" i="1"/>
  <c r="U209" i="1"/>
  <c r="V209" i="1"/>
  <c r="T771" i="1"/>
  <c r="U771" i="1"/>
  <c r="V771" i="1"/>
  <c r="T283" i="1"/>
  <c r="U283" i="1"/>
  <c r="V283" i="1"/>
  <c r="T731" i="1"/>
  <c r="U731" i="1"/>
  <c r="V731" i="1"/>
  <c r="T587" i="1"/>
  <c r="U587" i="1"/>
  <c r="V587" i="1"/>
  <c r="T938" i="1"/>
  <c r="U938" i="1"/>
  <c r="V938" i="1"/>
  <c r="T522" i="1"/>
  <c r="U522" i="1"/>
  <c r="V522" i="1"/>
  <c r="T667" i="1"/>
  <c r="U667" i="1"/>
  <c r="V667" i="1"/>
  <c r="T722" i="1"/>
  <c r="U722" i="1"/>
  <c r="V722" i="1"/>
  <c r="T732" i="1"/>
  <c r="U732" i="1"/>
  <c r="V732" i="1"/>
  <c r="T368" i="1"/>
  <c r="U368" i="1"/>
  <c r="V368" i="1"/>
  <c r="T808" i="1"/>
  <c r="U808" i="1"/>
  <c r="V808" i="1"/>
  <c r="T165" i="1"/>
  <c r="U165" i="1"/>
  <c r="V165" i="1"/>
  <c r="T396" i="1"/>
  <c r="U396" i="1"/>
  <c r="V396" i="1"/>
  <c r="T211" i="1"/>
  <c r="U211" i="1"/>
  <c r="V211" i="1"/>
  <c r="T558" i="1"/>
  <c r="U558" i="1"/>
  <c r="V558" i="1"/>
  <c r="T979" i="1"/>
  <c r="U979" i="1"/>
  <c r="V979" i="1"/>
  <c r="T335" i="1"/>
  <c r="U335" i="1"/>
  <c r="V335" i="1"/>
  <c r="T4" i="1"/>
  <c r="U4" i="1"/>
  <c r="V4" i="1"/>
  <c r="T453" i="1"/>
  <c r="U453" i="1"/>
  <c r="V453" i="1"/>
  <c r="T1142" i="1"/>
  <c r="U1142" i="1"/>
  <c r="V1142" i="1"/>
  <c r="T648" i="1"/>
  <c r="U648" i="1"/>
  <c r="V648" i="1"/>
  <c r="T583" i="1"/>
  <c r="U583" i="1"/>
  <c r="V583" i="1"/>
  <c r="T334" i="1"/>
  <c r="U334" i="1"/>
  <c r="V334" i="1"/>
  <c r="T1014" i="1"/>
  <c r="U1014" i="1"/>
  <c r="V1014" i="1"/>
  <c r="T770" i="1"/>
  <c r="U770" i="1"/>
  <c r="V770" i="1"/>
  <c r="T776" i="1"/>
  <c r="U776" i="1"/>
  <c r="V776" i="1"/>
  <c r="T806" i="1"/>
  <c r="U806" i="1"/>
  <c r="V806" i="1"/>
  <c r="T76" i="1"/>
  <c r="U76" i="1"/>
  <c r="V76" i="1"/>
  <c r="T1140" i="1"/>
  <c r="U1140" i="1"/>
  <c r="V1140" i="1"/>
  <c r="T499" i="1"/>
  <c r="U499" i="1"/>
  <c r="V499" i="1"/>
  <c r="T457" i="1"/>
  <c r="U457" i="1"/>
  <c r="V457" i="1"/>
  <c r="T362" i="1"/>
  <c r="U362" i="1"/>
  <c r="V362" i="1"/>
  <c r="T236" i="1"/>
  <c r="U236" i="1"/>
  <c r="V236" i="1"/>
  <c r="T122" i="1"/>
  <c r="U122" i="1"/>
  <c r="V122" i="1"/>
  <c r="T734" i="1"/>
  <c r="U734" i="1"/>
  <c r="V734" i="1"/>
  <c r="T458" i="1"/>
  <c r="U458" i="1"/>
  <c r="V458" i="1"/>
  <c r="T528" i="1"/>
  <c r="U528" i="1"/>
  <c r="V528" i="1"/>
  <c r="T611" i="1"/>
  <c r="U611" i="1"/>
  <c r="V611" i="1"/>
  <c r="T423" i="1"/>
  <c r="U423" i="1"/>
  <c r="V423" i="1"/>
  <c r="T843" i="1"/>
  <c r="U843" i="1"/>
  <c r="V843" i="1"/>
  <c r="T692" i="1"/>
  <c r="U692" i="1"/>
  <c r="V692" i="1"/>
  <c r="T525" i="1"/>
  <c r="U525" i="1"/>
  <c r="V525" i="1"/>
  <c r="T212" i="1"/>
  <c r="U212" i="1"/>
  <c r="V212" i="1"/>
  <c r="T766" i="1"/>
  <c r="U766" i="1"/>
  <c r="V766" i="1"/>
  <c r="T238" i="1"/>
  <c r="U238" i="1"/>
  <c r="V238" i="1"/>
  <c r="T694" i="1"/>
  <c r="U694" i="1"/>
  <c r="V694" i="1"/>
  <c r="T560" i="1"/>
  <c r="U560" i="1"/>
  <c r="V560" i="1"/>
  <c r="T14" i="1"/>
  <c r="U14" i="1"/>
  <c r="V14" i="1"/>
  <c r="T452" i="1"/>
  <c r="U452" i="1"/>
  <c r="V452" i="1"/>
  <c r="T496" i="1"/>
  <c r="U496" i="1"/>
  <c r="V496" i="1"/>
  <c r="T132" i="1"/>
  <c r="U132" i="1"/>
  <c r="V132" i="1"/>
  <c r="T881" i="1"/>
  <c r="U881" i="1"/>
  <c r="V881" i="1"/>
  <c r="T128" i="1"/>
  <c r="U128" i="1"/>
  <c r="V128" i="1"/>
  <c r="T157" i="1"/>
  <c r="U157" i="1"/>
  <c r="V157" i="1"/>
  <c r="T1141" i="1"/>
  <c r="U1141" i="1"/>
  <c r="V1141" i="1"/>
  <c r="T329" i="1"/>
  <c r="U329" i="1"/>
  <c r="V329" i="1"/>
  <c r="T768" i="1"/>
  <c r="U768" i="1"/>
  <c r="V768" i="1"/>
  <c r="T490" i="1"/>
  <c r="U490" i="1"/>
  <c r="V490" i="1"/>
  <c r="T333" i="1"/>
  <c r="U333" i="1"/>
  <c r="V333" i="1"/>
  <c r="T75" i="1"/>
  <c r="U75" i="1"/>
  <c r="V75" i="1"/>
  <c r="T531" i="1"/>
  <c r="U531" i="1"/>
  <c r="V531" i="1"/>
  <c r="T162" i="1"/>
  <c r="U162" i="1"/>
  <c r="V162" i="1"/>
  <c r="T823" i="1"/>
  <c r="U823" i="1"/>
  <c r="V823" i="1"/>
  <c r="T991" i="1"/>
  <c r="U991" i="1"/>
  <c r="V991" i="1"/>
  <c r="T455" i="1"/>
  <c r="U455" i="1"/>
  <c r="V455" i="1"/>
  <c r="T274" i="1"/>
  <c r="U274" i="1"/>
  <c r="V274" i="1"/>
  <c r="T1185" i="1"/>
  <c r="U1185" i="1"/>
  <c r="V1185" i="1"/>
  <c r="T126" i="1"/>
  <c r="U126" i="1"/>
  <c r="V126" i="1"/>
  <c r="T1162" i="1"/>
  <c r="U1162" i="1"/>
  <c r="V1162" i="1"/>
  <c r="T901" i="1"/>
  <c r="U901" i="1"/>
  <c r="V901" i="1"/>
  <c r="T775" i="1"/>
  <c r="U775" i="1"/>
  <c r="V775" i="1"/>
  <c r="T426" i="1"/>
  <c r="U426" i="1"/>
  <c r="V426" i="1"/>
  <c r="T845" i="1"/>
  <c r="U845" i="1"/>
  <c r="V845" i="1"/>
  <c r="T393" i="1"/>
  <c r="U393" i="1"/>
  <c r="V393" i="1"/>
  <c r="T1012" i="1"/>
  <c r="U1012" i="1"/>
  <c r="V1012" i="1"/>
  <c r="T492" i="1"/>
  <c r="U492" i="1"/>
  <c r="V492" i="1"/>
  <c r="T879" i="1"/>
  <c r="U879" i="1"/>
  <c r="V879" i="1"/>
  <c r="T163" i="1"/>
  <c r="U163" i="1"/>
  <c r="V163" i="1"/>
  <c r="T844" i="1"/>
  <c r="U844" i="1"/>
  <c r="V844" i="1"/>
  <c r="T487" i="1"/>
  <c r="U487" i="1"/>
  <c r="V487" i="1"/>
  <c r="T976" i="1"/>
  <c r="U976" i="1"/>
  <c r="V976" i="1"/>
  <c r="T1064" i="1"/>
  <c r="U1064" i="1"/>
  <c r="V1064" i="1"/>
  <c r="T993" i="1"/>
  <c r="U993" i="1"/>
  <c r="V993" i="1"/>
  <c r="T695" i="1"/>
  <c r="U695" i="1"/>
  <c r="V695" i="1"/>
  <c r="T1143" i="1"/>
  <c r="U1143" i="1"/>
  <c r="V1143" i="1"/>
  <c r="T1023" i="1"/>
  <c r="U1023" i="1"/>
  <c r="V1023" i="1"/>
  <c r="T367" i="1"/>
  <c r="U367" i="1"/>
  <c r="V367" i="1"/>
  <c r="T616" i="1"/>
  <c r="U616" i="1"/>
  <c r="V616" i="1"/>
  <c r="T3" i="1"/>
  <c r="U3" i="1"/>
  <c r="V3" i="1"/>
  <c r="T529" i="1"/>
  <c r="U529" i="1"/>
  <c r="V529" i="1"/>
  <c r="T278" i="1"/>
  <c r="U278" i="1"/>
  <c r="V278" i="1"/>
  <c r="T607" i="1"/>
  <c r="U607" i="1"/>
  <c r="V607" i="1"/>
  <c r="T940" i="1"/>
  <c r="U940" i="1"/>
  <c r="V940" i="1"/>
  <c r="T809" i="1"/>
  <c r="U809" i="1"/>
  <c r="V809" i="1"/>
  <c r="T936" i="1"/>
  <c r="U936" i="1"/>
  <c r="V936" i="1"/>
  <c r="T273" i="1"/>
  <c r="U273" i="1"/>
  <c r="V273" i="1"/>
  <c r="T1017" i="1"/>
  <c r="U1017" i="1"/>
  <c r="V1017" i="1"/>
  <c r="T489" i="1"/>
  <c r="U489" i="1"/>
  <c r="V489" i="1"/>
  <c r="T23" i="1"/>
  <c r="U23" i="1"/>
  <c r="V23" i="1"/>
  <c r="T671" i="1"/>
  <c r="U671" i="1"/>
  <c r="V671" i="1"/>
  <c r="T1018" i="1"/>
  <c r="U1018" i="1"/>
  <c r="V1018" i="1"/>
  <c r="T1160" i="1"/>
  <c r="U1160" i="1"/>
  <c r="V1160" i="1"/>
  <c r="T1016" i="1"/>
  <c r="U1016" i="1"/>
  <c r="V1016" i="1"/>
  <c r="T161" i="1"/>
  <c r="U161" i="1"/>
  <c r="V161" i="1"/>
  <c r="T1063" i="1"/>
  <c r="U1063" i="1"/>
  <c r="V1063" i="1"/>
  <c r="T361" i="1"/>
  <c r="U361" i="1"/>
  <c r="V361" i="1"/>
  <c r="T279" i="1"/>
  <c r="U279" i="1"/>
  <c r="V279" i="1"/>
  <c r="T608" i="1"/>
  <c r="U608" i="1"/>
  <c r="V608" i="1"/>
  <c r="T213" i="1"/>
  <c r="U213" i="1"/>
  <c r="V213" i="1"/>
  <c r="T78" i="1"/>
  <c r="U78" i="1"/>
  <c r="V78" i="1"/>
  <c r="T373" i="1"/>
  <c r="U373" i="1"/>
  <c r="V373" i="1"/>
  <c r="T233" i="1"/>
  <c r="U233" i="1"/>
  <c r="V233" i="1"/>
  <c r="T765" i="1"/>
  <c r="U765" i="1"/>
  <c r="V765" i="1"/>
  <c r="T208" i="1"/>
  <c r="U208" i="1"/>
  <c r="V208" i="1"/>
  <c r="T727" i="1"/>
  <c r="U727" i="1"/>
  <c r="V727" i="1"/>
  <c r="T585" i="1"/>
  <c r="U585" i="1"/>
  <c r="V585" i="1"/>
  <c r="T937" i="1"/>
  <c r="U937" i="1"/>
  <c r="V937" i="1"/>
  <c r="T530" i="1"/>
  <c r="U530" i="1"/>
  <c r="V530" i="1"/>
  <c r="T666" i="1"/>
  <c r="U666" i="1"/>
  <c r="V666" i="1"/>
  <c r="T733" i="1"/>
  <c r="U733" i="1"/>
  <c r="V733" i="1"/>
  <c r="T729" i="1"/>
  <c r="U729" i="1"/>
  <c r="V729" i="1"/>
  <c r="T372" i="1"/>
  <c r="U372" i="1"/>
  <c r="V372" i="1"/>
  <c r="T805" i="1"/>
  <c r="U805" i="1"/>
  <c r="V805" i="1"/>
  <c r="T156" i="1"/>
  <c r="U156" i="1"/>
  <c r="V156" i="1"/>
  <c r="T394" i="1"/>
  <c r="U394" i="1"/>
  <c r="V394" i="1"/>
  <c r="T234" i="1"/>
  <c r="U234" i="1"/>
  <c r="V234" i="1"/>
  <c r="T563" i="1"/>
  <c r="U563" i="1"/>
  <c r="V563" i="1"/>
  <c r="T975" i="1"/>
  <c r="U975" i="1"/>
  <c r="V975" i="1"/>
  <c r="T330" i="1"/>
  <c r="U330" i="1"/>
  <c r="V330" i="1"/>
  <c r="T7" i="1"/>
  <c r="U7" i="1"/>
  <c r="V7" i="1"/>
  <c r="T447" i="1"/>
  <c r="U447" i="1"/>
  <c r="V447" i="1"/>
  <c r="T272" i="1"/>
  <c r="U272" i="1"/>
  <c r="V272" i="1"/>
  <c r="T646" i="1"/>
  <c r="U646" i="1"/>
  <c r="V646" i="1"/>
  <c r="T584" i="1"/>
  <c r="U584" i="1"/>
  <c r="V584" i="1"/>
  <c r="T336" i="1"/>
  <c r="U336" i="1"/>
  <c r="V336" i="1"/>
  <c r="T1009" i="1"/>
  <c r="U1009" i="1"/>
  <c r="V1009" i="1"/>
  <c r="T778" i="1"/>
  <c r="U778" i="1"/>
  <c r="V778" i="1"/>
  <c r="T767" i="1"/>
  <c r="U767" i="1"/>
  <c r="V767" i="1"/>
  <c r="T810" i="1"/>
  <c r="U810" i="1"/>
  <c r="V810" i="1"/>
  <c r="T77" i="1"/>
  <c r="U77" i="1"/>
  <c r="V77" i="1"/>
  <c r="T1138" i="1"/>
  <c r="U1138" i="1"/>
  <c r="V1138" i="1"/>
  <c r="T494" i="1"/>
  <c r="U494" i="1"/>
  <c r="V494" i="1"/>
  <c r="T446" i="1"/>
  <c r="U446" i="1"/>
  <c r="V446" i="1"/>
  <c r="T374" i="1"/>
  <c r="U374" i="1"/>
  <c r="V374" i="1"/>
  <c r="T231" i="1"/>
  <c r="U231" i="1"/>
  <c r="V231" i="1"/>
  <c r="T131" i="1"/>
  <c r="U131" i="1"/>
  <c r="V131" i="1"/>
  <c r="T726" i="1"/>
  <c r="U726" i="1"/>
  <c r="V726" i="1"/>
  <c r="T451" i="1"/>
  <c r="U451" i="1"/>
  <c r="V451" i="1"/>
  <c r="T445" i="1"/>
  <c r="U445" i="1"/>
  <c r="V445" i="1"/>
  <c r="T612" i="1"/>
  <c r="U612" i="1"/>
  <c r="V612" i="1"/>
  <c r="T424" i="1"/>
  <c r="U424" i="1"/>
  <c r="V424" i="1"/>
  <c r="T841" i="1"/>
  <c r="U841" i="1"/>
  <c r="V841" i="1"/>
  <c r="T693" i="1"/>
  <c r="U693" i="1"/>
  <c r="V693" i="1"/>
  <c r="T524" i="1"/>
  <c r="U524" i="1"/>
  <c r="V524" i="1"/>
  <c r="T207" i="1"/>
  <c r="U207" i="1"/>
  <c r="V207" i="1"/>
  <c r="T772" i="1"/>
  <c r="U772" i="1"/>
  <c r="V772" i="1"/>
  <c r="T232" i="1"/>
  <c r="U232" i="1"/>
  <c r="V232" i="1"/>
  <c r="T697" i="1"/>
  <c r="U697" i="1"/>
  <c r="V697" i="1"/>
  <c r="T561" i="1"/>
  <c r="U561" i="1"/>
  <c r="V561" i="1"/>
  <c r="T15" i="1"/>
  <c r="U15" i="1"/>
  <c r="V15" i="1"/>
  <c r="T450" i="1"/>
  <c r="U450" i="1"/>
  <c r="V450" i="1"/>
  <c r="T523" i="1"/>
  <c r="U523" i="1"/>
  <c r="V523" i="1"/>
  <c r="T129" i="1"/>
  <c r="U129" i="1"/>
  <c r="V129" i="1"/>
  <c r="T882" i="1"/>
  <c r="U882" i="1"/>
  <c r="V882" i="1"/>
  <c r="T127" i="1"/>
  <c r="U127" i="1"/>
  <c r="V127" i="1"/>
  <c r="T154" i="1"/>
  <c r="U154" i="1"/>
  <c r="V154" i="1"/>
  <c r="T429" i="1"/>
  <c r="U429" i="1"/>
  <c r="V429" i="1"/>
  <c r="T332" i="1"/>
  <c r="U332" i="1"/>
  <c r="V332" i="1"/>
  <c r="T769" i="1"/>
  <c r="U769" i="1"/>
  <c r="V769" i="1"/>
  <c r="T497" i="1"/>
  <c r="U497" i="1"/>
  <c r="V497" i="1"/>
  <c r="T81" i="1"/>
  <c r="U81" i="1"/>
  <c r="V81" i="1"/>
  <c r="T520" i="1"/>
  <c r="U520" i="1"/>
  <c r="V520" i="1"/>
  <c r="T824" i="1"/>
  <c r="U824" i="1"/>
  <c r="V824" i="1"/>
  <c r="T442" i="1"/>
  <c r="U442" i="1"/>
  <c r="V442" i="1"/>
  <c r="T1139" i="1"/>
  <c r="U1139" i="1"/>
  <c r="V1139" i="1"/>
  <c r="T1186" i="1"/>
  <c r="U1186" i="1"/>
  <c r="V1186" i="1"/>
  <c r="T1165" i="1"/>
  <c r="U1165" i="1"/>
  <c r="V1165" i="1"/>
  <c r="T900" i="1"/>
  <c r="U900" i="1"/>
  <c r="V900" i="1"/>
  <c r="T425" i="1"/>
  <c r="U425" i="1"/>
  <c r="V425" i="1"/>
  <c r="T395" i="1"/>
  <c r="U395" i="1"/>
  <c r="V395" i="1"/>
  <c r="T1020" i="1"/>
  <c r="U1020" i="1"/>
  <c r="V1020" i="1"/>
  <c r="T500" i="1"/>
  <c r="U500" i="1"/>
  <c r="V500" i="1"/>
  <c r="T880" i="1"/>
  <c r="U880" i="1"/>
  <c r="V880" i="1"/>
  <c r="T158" i="1"/>
  <c r="U158" i="1"/>
  <c r="V158" i="1"/>
  <c r="T839" i="1"/>
  <c r="U839" i="1"/>
  <c r="V839" i="1"/>
  <c r="T501" i="1"/>
  <c r="U501" i="1"/>
  <c r="V501" i="1"/>
  <c r="T977" i="1"/>
  <c r="U977" i="1"/>
  <c r="V977" i="1"/>
  <c r="T1060" i="1"/>
  <c r="U1060" i="1"/>
  <c r="V1060" i="1"/>
  <c r="T992" i="1"/>
  <c r="U992" i="1"/>
  <c r="V992" i="1"/>
  <c r="T696" i="1"/>
  <c r="U696" i="1"/>
  <c r="V696" i="1"/>
  <c r="T1144" i="1"/>
  <c r="U1144" i="1"/>
  <c r="V1144" i="1"/>
  <c r="T1011" i="1"/>
  <c r="U1011" i="1"/>
  <c r="V1011" i="1"/>
  <c r="T375" i="1"/>
  <c r="U375" i="1"/>
  <c r="V375" i="1"/>
  <c r="T614" i="1"/>
  <c r="U614" i="1"/>
  <c r="V614" i="1"/>
  <c r="T5" i="1"/>
  <c r="U5" i="1"/>
  <c r="V5" i="1"/>
  <c r="T521" i="1"/>
  <c r="U521" i="1"/>
  <c r="V521" i="1"/>
  <c r="T282" i="1"/>
  <c r="U282" i="1"/>
  <c r="V282" i="1"/>
  <c r="T609" i="1"/>
  <c r="U609" i="1"/>
  <c r="V609" i="1"/>
  <c r="T942" i="1"/>
  <c r="U942" i="1"/>
  <c r="V942" i="1"/>
  <c r="T807" i="1"/>
  <c r="U807" i="1"/>
  <c r="V807" i="1"/>
  <c r="T939" i="1"/>
  <c r="U939" i="1"/>
  <c r="V939" i="1"/>
  <c r="T280" i="1"/>
  <c r="U280" i="1"/>
  <c r="V280" i="1"/>
  <c r="T1019" i="1"/>
  <c r="U1019" i="1"/>
  <c r="V1019" i="1"/>
  <c r="T493" i="1"/>
  <c r="U493" i="1"/>
  <c r="V493" i="1"/>
  <c r="T22" i="1"/>
  <c r="U22" i="1"/>
  <c r="V22" i="1"/>
  <c r="T670" i="1"/>
  <c r="U670" i="1"/>
  <c r="V670" i="1"/>
  <c r="T1015" i="1"/>
  <c r="U1015" i="1"/>
  <c r="V1015" i="1"/>
  <c r="T1163" i="1"/>
  <c r="U1163" i="1"/>
  <c r="V1163" i="1"/>
  <c r="T1013" i="1"/>
  <c r="U1013" i="1"/>
  <c r="V1013" i="1"/>
  <c r="T159" i="1"/>
  <c r="U159" i="1"/>
  <c r="V159" i="1"/>
  <c r="T1059" i="1"/>
  <c r="U1059" i="1"/>
  <c r="V1059" i="1"/>
  <c r="T229" i="1"/>
  <c r="U229" i="1"/>
  <c r="V229" i="1"/>
  <c r="T277" i="1"/>
  <c r="U277" i="1"/>
  <c r="V277" i="1"/>
  <c r="T613" i="1"/>
  <c r="U613" i="1"/>
  <c r="V613" i="1"/>
  <c r="T206" i="1"/>
  <c r="U206" i="1"/>
  <c r="V206" i="1"/>
  <c r="T80" i="1"/>
  <c r="U80" i="1"/>
  <c r="V80" i="1"/>
  <c r="T363" i="1"/>
  <c r="U363" i="1"/>
  <c r="V363" i="1"/>
  <c r="T365" i="1"/>
  <c r="U365" i="1"/>
  <c r="V365" i="1"/>
  <c r="T763" i="1"/>
  <c r="U763" i="1"/>
  <c r="V763" i="1"/>
  <c r="T428" i="1"/>
  <c r="U428" i="1"/>
  <c r="V428" i="1"/>
  <c r="T730" i="1"/>
  <c r="U730" i="1"/>
  <c r="V730" i="1"/>
  <c r="T586" i="1"/>
  <c r="U586" i="1"/>
  <c r="V586" i="1"/>
  <c r="T941" i="1"/>
  <c r="U941" i="1"/>
  <c r="V941" i="1"/>
  <c r="T527" i="1"/>
  <c r="U527" i="1"/>
  <c r="V527" i="1"/>
  <c r="T668" i="1"/>
  <c r="U668" i="1"/>
  <c r="V668" i="1"/>
  <c r="T725" i="1"/>
  <c r="U725" i="1"/>
  <c r="V725" i="1"/>
  <c r="T724" i="1"/>
  <c r="U724" i="1"/>
  <c r="V724" i="1"/>
  <c r="T371" i="1"/>
  <c r="U371" i="1"/>
  <c r="V371" i="1"/>
  <c r="T804" i="1"/>
  <c r="U804" i="1"/>
  <c r="V804" i="1"/>
  <c r="T155" i="1"/>
  <c r="U155" i="1"/>
  <c r="V155" i="1"/>
  <c r="T391" i="1"/>
  <c r="U391" i="1"/>
  <c r="V391" i="1"/>
  <c r="T275" i="1"/>
  <c r="U275" i="1"/>
  <c r="V275" i="1"/>
  <c r="T562" i="1"/>
  <c r="U562" i="1"/>
  <c r="V562" i="1"/>
  <c r="T978" i="1"/>
  <c r="U978" i="1"/>
  <c r="V978" i="1"/>
  <c r="T328" i="1"/>
  <c r="U328" i="1"/>
  <c r="V328" i="1"/>
  <c r="T2" i="1"/>
  <c r="U2" i="1"/>
  <c r="V2" i="1"/>
  <c r="T449" i="1"/>
  <c r="U449" i="1"/>
  <c r="V449" i="1"/>
  <c r="T366" i="1"/>
  <c r="U366" i="1"/>
  <c r="V366" i="1"/>
  <c r="T647" i="1"/>
  <c r="U647" i="1"/>
  <c r="V647" i="1"/>
  <c r="T582" i="1"/>
  <c r="U582" i="1"/>
  <c r="V582" i="1"/>
  <c r="T331" i="1"/>
  <c r="U331" i="1"/>
  <c r="V331" i="1"/>
  <c r="T1010" i="1"/>
  <c r="U1010" i="1"/>
  <c r="V1010" i="1"/>
  <c r="T773" i="1"/>
  <c r="U773" i="1"/>
  <c r="V773" i="1"/>
  <c r="T777" i="1"/>
  <c r="U777" i="1"/>
  <c r="V777" i="1"/>
  <c r="T811" i="1"/>
  <c r="U811" i="1"/>
  <c r="V811" i="1"/>
  <c r="T79" i="1"/>
  <c r="U79" i="1"/>
  <c r="V79" i="1"/>
  <c r="T1145" i="1"/>
  <c r="U1145" i="1"/>
  <c r="V1145" i="1"/>
  <c r="T491" i="1"/>
  <c r="U491" i="1"/>
  <c r="V491" i="1"/>
  <c r="T448" i="1"/>
  <c r="U448" i="1"/>
  <c r="V448" i="1"/>
  <c r="T360" i="1"/>
  <c r="U360" i="1"/>
  <c r="V360" i="1"/>
  <c r="T230" i="1"/>
  <c r="U230" i="1"/>
  <c r="V230" i="1"/>
  <c r="T125" i="1"/>
  <c r="U125" i="1"/>
  <c r="V125" i="1"/>
  <c r="T728" i="1"/>
  <c r="U728" i="1"/>
  <c r="V728" i="1"/>
  <c r="T456" i="1"/>
  <c r="U456" i="1"/>
  <c r="V456" i="1"/>
  <c r="T430" i="1"/>
  <c r="U430" i="1"/>
  <c r="V430" i="1"/>
  <c r="T840" i="1"/>
  <c r="U840" i="1"/>
  <c r="V840" i="1"/>
  <c r="T690" i="1"/>
  <c r="U690" i="1"/>
  <c r="V690" i="1"/>
  <c r="T526" i="1"/>
  <c r="U526" i="1"/>
  <c r="V526" i="1"/>
  <c r="T210" i="1"/>
  <c r="U210" i="1"/>
  <c r="V210" i="1"/>
  <c r="T774" i="1"/>
  <c r="U774" i="1"/>
  <c r="V774" i="1"/>
  <c r="T235" i="1"/>
  <c r="U235" i="1"/>
  <c r="V235" i="1"/>
  <c r="T691" i="1"/>
  <c r="U691" i="1"/>
  <c r="V691" i="1"/>
  <c r="T559" i="1"/>
  <c r="U559" i="1"/>
  <c r="V559" i="1"/>
  <c r="T16" i="1"/>
  <c r="U16" i="1"/>
  <c r="V16" i="1"/>
  <c r="T454" i="1"/>
  <c r="U454" i="1"/>
  <c r="V454" i="1"/>
  <c r="T1161" i="1"/>
  <c r="U1161" i="1"/>
  <c r="V1161" i="1"/>
  <c r="T123" i="1"/>
  <c r="U123" i="1"/>
  <c r="V123" i="1"/>
  <c r="T883" i="1"/>
  <c r="U883" i="1"/>
  <c r="V883" i="1"/>
  <c r="T444" i="1"/>
  <c r="U444" i="1"/>
  <c r="V444" i="1"/>
  <c r="T370" i="1"/>
  <c r="U370" i="1"/>
  <c r="V370" i="1"/>
  <c r="T237" i="1"/>
  <c r="U237" i="1"/>
  <c r="V237" i="1"/>
  <c r="T124" i="1"/>
  <c r="U124" i="1"/>
  <c r="V124" i="1"/>
  <c r="T723" i="1"/>
  <c r="U723" i="1"/>
  <c r="V723" i="1"/>
  <c r="T443" i="1"/>
  <c r="U443" i="1"/>
  <c r="V443" i="1"/>
  <c r="T1184" i="1"/>
  <c r="U1184" i="1"/>
  <c r="V1184" i="1"/>
  <c r="T606" i="1"/>
  <c r="U606" i="1"/>
  <c r="V606" i="1"/>
  <c r="T432" i="1"/>
  <c r="U432" i="1"/>
  <c r="V432" i="1"/>
  <c r="T842" i="1"/>
  <c r="U842" i="1"/>
  <c r="V842" i="1"/>
  <c r="V1187" i="1"/>
  <c r="U1187" i="1"/>
  <c r="T1187" i="1"/>
  <c r="N948" i="2"/>
  <c r="N985" i="2"/>
  <c r="N997" i="2"/>
  <c r="N1001" i="2"/>
  <c r="N1015" i="2"/>
  <c r="M1054" i="2"/>
  <c r="N1088" i="2"/>
  <c r="N1100" i="2"/>
  <c r="L1119" i="2"/>
  <c r="L1148" i="2"/>
  <c r="L1161" i="2"/>
  <c r="N1181" i="2"/>
  <c r="L1223" i="2"/>
  <c r="L1234" i="2"/>
  <c r="N1327" i="2"/>
  <c r="N1337" i="2"/>
  <c r="N1346" i="2"/>
  <c r="L1471" i="2"/>
  <c r="L1547" i="2"/>
  <c r="M1564" i="2"/>
  <c r="M1570" i="2"/>
  <c r="N1599" i="2"/>
  <c r="L1627" i="2"/>
  <c r="M1650" i="2"/>
  <c r="N395" i="2"/>
  <c r="L1724" i="2"/>
  <c r="N1770" i="2"/>
  <c r="L1822" i="2"/>
  <c r="L1900" i="2"/>
  <c r="N1910" i="2"/>
  <c r="N1963" i="2"/>
  <c r="L2008" i="2"/>
  <c r="M2029" i="2"/>
  <c r="N2032" i="2"/>
  <c r="M2080" i="2"/>
  <c r="L2126" i="2"/>
  <c r="L2258" i="2"/>
  <c r="N2275" i="2"/>
  <c r="M2287" i="2"/>
  <c r="M2366" i="2"/>
  <c r="L451" i="2"/>
  <c r="L2397" i="2"/>
  <c r="L2405" i="2"/>
  <c r="M2420" i="2"/>
  <c r="N2437" i="2"/>
  <c r="N2492" i="2"/>
  <c r="N469" i="2"/>
  <c r="L2571" i="2"/>
  <c r="N2595" i="2"/>
  <c r="N2657" i="2"/>
  <c r="M2664" i="2"/>
  <c r="M2673" i="2"/>
  <c r="L2693" i="2"/>
  <c r="M2715" i="2"/>
  <c r="L2747" i="2"/>
  <c r="L2775" i="2"/>
  <c r="M2841" i="2"/>
  <c r="N2875" i="2"/>
  <c r="M2935" i="2"/>
  <c r="M2946" i="2"/>
  <c r="M2964" i="2"/>
  <c r="N3012" i="2"/>
  <c r="L491" i="2"/>
  <c r="M3050" i="2"/>
  <c r="L497" i="2"/>
  <c r="M509" i="2"/>
  <c r="M3117" i="2"/>
  <c r="N3132" i="2"/>
  <c r="N3143" i="2"/>
  <c r="M3167" i="2"/>
  <c r="N3224" i="2"/>
  <c r="L3240" i="2"/>
  <c r="L3259" i="2"/>
  <c r="N3268" i="2"/>
  <c r="M3273" i="2"/>
  <c r="M529" i="2"/>
  <c r="N533" i="2"/>
  <c r="L3320" i="2"/>
  <c r="L3330" i="2"/>
  <c r="L3353" i="2"/>
  <c r="L3360" i="2"/>
  <c r="M3368" i="2"/>
  <c r="L3410" i="2"/>
  <c r="M3433" i="2"/>
  <c r="N3462" i="2"/>
  <c r="L3480" i="2"/>
  <c r="L3499" i="2"/>
  <c r="N3512" i="2"/>
  <c r="M3524" i="2"/>
  <c r="M3531" i="2"/>
  <c r="M3534" i="2"/>
  <c r="N3556" i="2"/>
  <c r="L3587" i="2"/>
  <c r="N3603" i="2"/>
  <c r="N3611" i="2"/>
  <c r="N3638" i="2"/>
  <c r="M3660" i="2"/>
  <c r="L3705" i="2"/>
  <c r="L3761" i="2"/>
  <c r="M3791" i="2"/>
  <c r="L3807" i="2"/>
  <c r="L3811" i="2"/>
  <c r="N3826" i="2"/>
  <c r="M3838" i="2"/>
  <c r="N3879" i="2"/>
  <c r="N3930" i="2"/>
  <c r="L645" i="2"/>
  <c r="L3975" i="2"/>
  <c r="N4016" i="2"/>
  <c r="N659" i="2"/>
  <c r="M4045" i="2"/>
  <c r="N4087" i="2"/>
  <c r="M683" i="2"/>
  <c r="N4147" i="2"/>
  <c r="L4158" i="2"/>
  <c r="N4162" i="2"/>
  <c r="M4218" i="2"/>
  <c r="N4252" i="2"/>
  <c r="N4276" i="2"/>
  <c r="N718" i="2"/>
  <c r="N4305" i="2"/>
  <c r="L4341" i="2"/>
  <c r="M4344" i="2"/>
  <c r="L4374" i="2"/>
  <c r="L4390" i="2"/>
  <c r="N754" i="2"/>
  <c r="M760" i="2"/>
  <c r="N4436" i="2"/>
  <c r="L4461" i="2"/>
  <c r="N4487" i="2"/>
  <c r="L4490" i="2"/>
  <c r="L4528" i="2"/>
  <c r="N4542" i="2"/>
  <c r="L4544" i="2"/>
  <c r="L4606" i="2"/>
  <c r="M4614" i="2"/>
  <c r="N4636" i="2"/>
  <c r="L4666" i="2"/>
  <c r="M4682" i="2"/>
  <c r="N4702" i="2"/>
  <c r="N4734" i="2"/>
  <c r="M4757" i="2"/>
  <c r="L4761" i="2"/>
  <c r="N4766" i="2"/>
  <c r="N4770" i="2"/>
  <c r="N4813" i="2"/>
  <c r="M4826" i="2"/>
  <c r="N4836" i="2"/>
  <c r="N4844" i="2"/>
  <c r="L4905" i="2"/>
  <c r="N4930" i="2"/>
  <c r="N4947" i="2"/>
  <c r="N4986" i="2"/>
  <c r="L113" i="2"/>
  <c r="N5029" i="2"/>
  <c r="N5053" i="2"/>
  <c r="N5067" i="2"/>
  <c r="N5078" i="2"/>
  <c r="N5096" i="2"/>
  <c r="L160" i="2"/>
  <c r="M5130" i="2"/>
  <c r="L5140" i="2"/>
  <c r="M5164" i="2"/>
  <c r="N5182" i="2"/>
  <c r="N191" i="2"/>
  <c r="L5234" i="2"/>
  <c r="L5244" i="2"/>
  <c r="L5256" i="2"/>
  <c r="L209" i="2"/>
  <c r="M5286" i="2"/>
  <c r="N5319" i="2"/>
  <c r="M5328" i="2"/>
  <c r="N5348" i="2"/>
  <c r="M5356" i="2"/>
  <c r="N5406" i="2"/>
  <c r="N5428" i="2"/>
  <c r="M5433" i="2"/>
  <c r="N239" i="2"/>
  <c r="M242" i="2"/>
  <c r="L5471" i="2"/>
  <c r="M5475" i="2"/>
  <c r="M5514" i="2"/>
  <c r="N5532" i="2"/>
  <c r="L5549" i="2"/>
  <c r="N5548" i="2"/>
  <c r="M5548" i="2"/>
  <c r="L5548" i="2"/>
  <c r="N5432" i="2"/>
  <c r="M5432" i="2"/>
  <c r="L5432" i="2"/>
  <c r="N5421" i="2"/>
  <c r="M5421" i="2"/>
  <c r="L5421" i="2"/>
  <c r="N5409" i="2"/>
  <c r="M5409" i="2"/>
  <c r="L5409" i="2"/>
  <c r="N5369" i="2"/>
  <c r="M5369" i="2"/>
  <c r="L5369" i="2"/>
  <c r="N5328" i="2"/>
  <c r="L5328" i="2"/>
  <c r="N5310" i="2"/>
  <c r="M5310" i="2"/>
  <c r="L5310" i="2"/>
  <c r="N5303" i="2"/>
  <c r="M5303" i="2"/>
  <c r="L5303" i="2"/>
  <c r="N5295" i="2"/>
  <c r="M5295" i="2"/>
  <c r="L5295" i="2"/>
  <c r="L5286" i="2"/>
  <c r="N5280" i="2"/>
  <c r="M5280" i="2"/>
  <c r="L5280" i="2"/>
  <c r="N5240" i="2"/>
  <c r="M5240" i="2"/>
  <c r="L5240" i="2"/>
  <c r="N5236" i="2"/>
  <c r="M5236" i="2"/>
  <c r="L5236" i="2"/>
  <c r="N186" i="2"/>
  <c r="M186" i="2"/>
  <c r="L186" i="2"/>
  <c r="N172" i="2"/>
  <c r="M172" i="2"/>
  <c r="L172" i="2"/>
  <c r="N5133" i="2"/>
  <c r="M5133" i="2"/>
  <c r="L5133" i="2"/>
  <c r="N4946" i="2"/>
  <c r="M4946" i="2"/>
  <c r="L4946" i="2"/>
  <c r="N4919" i="2"/>
  <c r="M4919" i="2"/>
  <c r="L4919" i="2"/>
  <c r="N4846" i="2"/>
  <c r="M4846" i="2"/>
  <c r="L4846" i="2"/>
  <c r="N4822" i="2"/>
  <c r="M4822" i="2"/>
  <c r="L4822" i="2"/>
  <c r="N4794" i="2"/>
  <c r="M4794" i="2"/>
  <c r="L4794" i="2"/>
  <c r="N4768" i="2"/>
  <c r="M4768" i="2"/>
  <c r="L4768" i="2"/>
  <c r="N50" i="2"/>
  <c r="M50" i="2"/>
  <c r="L50" i="2"/>
  <c r="N4708" i="2"/>
  <c r="M4708" i="2"/>
  <c r="L4708" i="2"/>
  <c r="N4704" i="2"/>
  <c r="M4704" i="2"/>
  <c r="L4704" i="2"/>
  <c r="N4646" i="2"/>
  <c r="M4646" i="2"/>
  <c r="L4646" i="2"/>
  <c r="N4639" i="2"/>
  <c r="M4639" i="2"/>
  <c r="L4639" i="2"/>
  <c r="N4598" i="2"/>
  <c r="M4598" i="2"/>
  <c r="L4598" i="2"/>
  <c r="N4577" i="2"/>
  <c r="M4577" i="2"/>
  <c r="L4577" i="2"/>
  <c r="N4512" i="2"/>
  <c r="M4512" i="2"/>
  <c r="L4512" i="2"/>
  <c r="N778" i="2"/>
  <c r="M778" i="2"/>
  <c r="L778" i="2"/>
  <c r="N4446" i="2"/>
  <c r="M4446" i="2"/>
  <c r="L4446" i="2"/>
  <c r="N758" i="2"/>
  <c r="M758" i="2"/>
  <c r="L758" i="2"/>
  <c r="N4405" i="2"/>
  <c r="M4405" i="2"/>
  <c r="L4405" i="2"/>
  <c r="N4342" i="2"/>
  <c r="M4342" i="2"/>
  <c r="L4342" i="2"/>
  <c r="N4320" i="2"/>
  <c r="M4320" i="2"/>
  <c r="L4320" i="2"/>
  <c r="N4274" i="2"/>
  <c r="M4274" i="2"/>
  <c r="L4274" i="2"/>
  <c r="N4227" i="2"/>
  <c r="M4227" i="2"/>
  <c r="L4227" i="2"/>
  <c r="N4208" i="2"/>
  <c r="M4208" i="2"/>
  <c r="L4208" i="2"/>
  <c r="N4157" i="2"/>
  <c r="M4157" i="2"/>
  <c r="L4157" i="2"/>
  <c r="N4132" i="2"/>
  <c r="M4132" i="2"/>
  <c r="L4132" i="2"/>
  <c r="N4123" i="2"/>
  <c r="M4123" i="2"/>
  <c r="L4123" i="2"/>
  <c r="N4099" i="2"/>
  <c r="M4099" i="2"/>
  <c r="L4099" i="2"/>
  <c r="N671" i="2"/>
  <c r="M671" i="2"/>
  <c r="L671" i="2"/>
  <c r="N4004" i="2"/>
  <c r="M4004" i="2"/>
  <c r="L4004" i="2"/>
  <c r="N4000" i="2"/>
  <c r="M4000" i="2"/>
  <c r="L4000" i="2"/>
  <c r="N3988" i="2"/>
  <c r="M3988" i="2"/>
  <c r="L3988" i="2"/>
  <c r="N3974" i="2"/>
  <c r="M3974" i="2"/>
  <c r="L3974" i="2"/>
  <c r="N3934" i="2"/>
  <c r="M3934" i="2"/>
  <c r="L3934" i="2"/>
  <c r="N3923" i="2"/>
  <c r="M3923" i="2"/>
  <c r="L3923" i="2"/>
  <c r="N3885" i="2"/>
  <c r="M3885" i="2"/>
  <c r="L3885" i="2"/>
  <c r="N3855" i="2"/>
  <c r="M3855" i="2"/>
  <c r="L3855" i="2"/>
  <c r="N3818" i="2"/>
  <c r="M3818" i="2"/>
  <c r="L3818" i="2"/>
  <c r="N3583" i="2"/>
  <c r="M3583" i="2"/>
  <c r="L3583" i="2"/>
  <c r="N3539" i="2"/>
  <c r="M3539" i="2"/>
  <c r="L3539" i="2"/>
  <c r="N3520" i="2"/>
  <c r="M3520" i="2"/>
  <c r="L3520" i="2"/>
  <c r="N3486" i="2"/>
  <c r="M3486" i="2"/>
  <c r="L3486" i="2"/>
  <c r="N3464" i="2"/>
  <c r="M3464" i="2"/>
  <c r="L3464" i="2"/>
  <c r="N3460" i="2"/>
  <c r="M3460" i="2"/>
  <c r="L3460" i="2"/>
  <c r="N3391" i="2"/>
  <c r="M3391" i="2"/>
  <c r="L3391" i="2"/>
  <c r="N3359" i="2"/>
  <c r="M3359" i="2"/>
  <c r="L3359" i="2"/>
  <c r="N3354" i="2"/>
  <c r="M3354" i="2"/>
  <c r="L3354" i="2"/>
  <c r="N3331" i="2"/>
  <c r="M3331" i="2"/>
  <c r="L3331" i="2"/>
  <c r="N3304" i="2"/>
  <c r="M3304" i="2"/>
  <c r="L3304" i="2"/>
  <c r="N3233" i="2"/>
  <c r="M3233" i="2"/>
  <c r="L3233" i="2"/>
  <c r="N3188" i="2"/>
  <c r="M3188" i="2"/>
  <c r="L3188" i="2"/>
  <c r="N3164" i="2"/>
  <c r="M3164" i="2"/>
  <c r="L3164" i="2"/>
  <c r="N3075" i="2"/>
  <c r="M3075" i="2"/>
  <c r="L3075" i="2"/>
  <c r="N3034" i="2"/>
  <c r="M3034" i="2"/>
  <c r="L3034" i="2"/>
  <c r="N3010" i="2"/>
  <c r="M3010" i="2"/>
  <c r="L3010" i="2"/>
  <c r="N2991" i="2"/>
  <c r="M2991" i="2"/>
  <c r="L2991" i="2"/>
  <c r="N2973" i="2"/>
  <c r="M2973" i="2"/>
  <c r="L2973" i="2"/>
  <c r="N2966" i="2"/>
  <c r="M2966" i="2"/>
  <c r="L2966" i="2"/>
  <c r="N2949" i="2"/>
  <c r="M2949" i="2"/>
  <c r="L2949" i="2"/>
  <c r="N2936" i="2"/>
  <c r="M2936" i="2"/>
  <c r="L2936" i="2"/>
  <c r="N2905" i="2"/>
  <c r="M2905" i="2"/>
  <c r="L2905" i="2"/>
  <c r="N2849" i="2"/>
  <c r="M2849" i="2"/>
  <c r="L2849" i="2"/>
  <c r="N2810" i="2"/>
  <c r="M2810" i="2"/>
  <c r="L2810" i="2"/>
  <c r="N2800" i="2"/>
  <c r="M2800" i="2"/>
  <c r="L2800" i="2"/>
  <c r="N2690" i="2"/>
  <c r="M2690" i="2"/>
  <c r="L2690" i="2"/>
  <c r="N2684" i="2"/>
  <c r="M2684" i="2"/>
  <c r="L2684" i="2"/>
  <c r="N2663" i="2"/>
  <c r="M2663" i="2"/>
  <c r="L2663" i="2"/>
  <c r="N2616" i="2"/>
  <c r="M2616" i="2"/>
  <c r="L2616" i="2"/>
  <c r="N2609" i="2"/>
  <c r="M2609" i="2"/>
  <c r="L2609" i="2"/>
  <c r="N2572" i="2"/>
  <c r="M2572" i="2"/>
  <c r="L2572" i="2"/>
  <c r="N2521" i="2"/>
  <c r="M2521" i="2"/>
  <c r="L2521" i="2"/>
  <c r="N2491" i="2"/>
  <c r="M2491" i="2"/>
  <c r="L2491" i="2"/>
  <c r="N2271" i="2"/>
  <c r="M2271" i="2"/>
  <c r="L2271" i="2"/>
  <c r="N2243" i="2"/>
  <c r="M2243" i="2"/>
  <c r="L2243" i="2"/>
  <c r="N2201" i="2"/>
  <c r="M2201" i="2"/>
  <c r="L2201" i="2"/>
  <c r="N2177" i="2"/>
  <c r="M2177" i="2"/>
  <c r="L2177" i="2"/>
  <c r="N2140" i="2"/>
  <c r="M2140" i="2"/>
  <c r="L2140" i="2"/>
  <c r="N2114" i="2"/>
  <c r="M2114" i="2"/>
  <c r="L2114" i="2"/>
  <c r="N2039" i="2"/>
  <c r="M2039" i="2"/>
  <c r="L2039" i="2"/>
  <c r="N2035" i="2"/>
  <c r="M2035" i="2"/>
  <c r="L2035" i="2"/>
  <c r="N1966" i="2"/>
  <c r="M1966" i="2"/>
  <c r="L1966" i="2"/>
  <c r="N1956" i="2"/>
  <c r="M1956" i="2"/>
  <c r="L1956" i="2"/>
  <c r="N1922" i="2"/>
  <c r="M1922" i="2"/>
  <c r="L1922" i="2"/>
  <c r="N1901" i="2"/>
  <c r="M1901" i="2"/>
  <c r="L1901" i="2"/>
  <c r="N1821" i="2"/>
  <c r="M1821" i="2"/>
  <c r="L1821" i="2"/>
  <c r="N1777" i="2"/>
  <c r="M1777" i="2"/>
  <c r="L1777" i="2"/>
  <c r="N1717" i="2"/>
  <c r="M1717" i="2"/>
  <c r="L1717" i="2"/>
  <c r="N1705" i="2"/>
  <c r="M1705" i="2"/>
  <c r="L1705" i="2"/>
  <c r="N1641" i="2"/>
  <c r="M1641" i="2"/>
  <c r="L1641" i="2"/>
  <c r="N1622" i="2"/>
  <c r="M1622" i="2"/>
  <c r="L1622" i="2"/>
  <c r="N1598" i="2"/>
  <c r="M1598" i="2"/>
  <c r="L1598" i="2"/>
  <c r="N1580" i="2"/>
  <c r="M1580" i="2"/>
  <c r="L1580" i="2"/>
  <c r="N1567" i="2"/>
  <c r="M1567" i="2"/>
  <c r="L1567" i="2"/>
  <c r="N1555" i="2"/>
  <c r="M1555" i="2"/>
  <c r="L1555" i="2"/>
  <c r="N1540" i="2"/>
  <c r="M1540" i="2"/>
  <c r="L1540" i="2"/>
  <c r="N1532" i="2"/>
  <c r="M1532" i="2"/>
  <c r="L1532" i="2"/>
  <c r="N1515" i="2"/>
  <c r="M1515" i="2"/>
  <c r="L1515" i="2"/>
  <c r="N1500" i="2"/>
  <c r="M1500" i="2"/>
  <c r="L1500" i="2"/>
  <c r="N1472" i="2"/>
  <c r="M1472" i="2"/>
  <c r="L1472" i="2"/>
  <c r="N1416" i="2"/>
  <c r="M1416" i="2"/>
  <c r="L1416" i="2"/>
  <c r="N1386" i="2"/>
  <c r="M1386" i="2"/>
  <c r="L1386" i="2"/>
  <c r="N1376" i="2"/>
  <c r="M1376" i="2"/>
  <c r="L1376" i="2"/>
  <c r="N1364" i="2"/>
  <c r="M1364" i="2"/>
  <c r="L1364" i="2"/>
  <c r="N1340" i="2"/>
  <c r="M1340" i="2"/>
  <c r="L1340" i="2"/>
  <c r="N1239" i="2"/>
  <c r="M1239" i="2"/>
  <c r="L1239" i="2"/>
  <c r="N1232" i="2"/>
  <c r="M1232" i="2"/>
  <c r="L1232" i="2"/>
  <c r="N1221" i="2"/>
  <c r="M1221" i="2"/>
  <c r="L1221" i="2"/>
  <c r="N1208" i="2"/>
  <c r="M1208" i="2"/>
  <c r="L1208" i="2"/>
  <c r="N1163" i="2"/>
  <c r="M1163" i="2"/>
  <c r="L1163" i="2"/>
  <c r="N1158" i="2"/>
  <c r="M1158" i="2"/>
  <c r="L1158" i="2"/>
  <c r="N1128" i="2"/>
  <c r="M1128" i="2"/>
  <c r="L1128" i="2"/>
  <c r="N1097" i="2"/>
  <c r="M1097" i="2"/>
  <c r="L1097" i="2"/>
  <c r="N1079" i="2"/>
  <c r="M1079" i="2"/>
  <c r="L1079" i="2"/>
  <c r="N998" i="2"/>
  <c r="M998" i="2"/>
  <c r="L998" i="2"/>
  <c r="N984" i="2"/>
  <c r="M984" i="2"/>
  <c r="L984" i="2"/>
  <c r="N827" i="2"/>
  <c r="M827" i="2"/>
  <c r="L827" i="2"/>
  <c r="N5541" i="2"/>
  <c r="M5541" i="2"/>
  <c r="L5541" i="2"/>
  <c r="N5533" i="2"/>
  <c r="M5533" i="2"/>
  <c r="L5533" i="2"/>
  <c r="N5524" i="2"/>
  <c r="M5524" i="2"/>
  <c r="L5524" i="2"/>
  <c r="N265" i="2"/>
  <c r="M265" i="2"/>
  <c r="L265" i="2"/>
  <c r="N5484" i="2"/>
  <c r="M5484" i="2"/>
  <c r="L5484" i="2"/>
  <c r="N245" i="2"/>
  <c r="M245" i="2"/>
  <c r="L245" i="2"/>
  <c r="N5456" i="2"/>
  <c r="M5456" i="2"/>
  <c r="L5456" i="2"/>
  <c r="N5448" i="2"/>
  <c r="M5448" i="2"/>
  <c r="L5448" i="2"/>
  <c r="N5439" i="2"/>
  <c r="M5439" i="2"/>
  <c r="L5439" i="2"/>
  <c r="N5385" i="2"/>
  <c r="M5385" i="2"/>
  <c r="L5385" i="2"/>
  <c r="N5338" i="2"/>
  <c r="M5338" i="2"/>
  <c r="L5338" i="2"/>
  <c r="N5330" i="2"/>
  <c r="M5330" i="2"/>
  <c r="L5330" i="2"/>
  <c r="N5318" i="2"/>
  <c r="M5318" i="2"/>
  <c r="L5318" i="2"/>
  <c r="N5267" i="2"/>
  <c r="M5267" i="2"/>
  <c r="L5267" i="2"/>
  <c r="N5254" i="2"/>
  <c r="M5254" i="2"/>
  <c r="L5254" i="2"/>
  <c r="N5242" i="2"/>
  <c r="M5242" i="2"/>
  <c r="L5242" i="2"/>
  <c r="N5224" i="2"/>
  <c r="M5224" i="2"/>
  <c r="L5224" i="2"/>
  <c r="N5216" i="2"/>
  <c r="M5216" i="2"/>
  <c r="L5216" i="2"/>
  <c r="N5193" i="2"/>
  <c r="M5193" i="2"/>
  <c r="L5193" i="2"/>
  <c r="N5185" i="2"/>
  <c r="M5185" i="2"/>
  <c r="L5185" i="2"/>
  <c r="N5167" i="2"/>
  <c r="M5167" i="2"/>
  <c r="L5167" i="2"/>
  <c r="N5154" i="2"/>
  <c r="M5154" i="2"/>
  <c r="L5154" i="2"/>
  <c r="N5149" i="2"/>
  <c r="M5149" i="2"/>
  <c r="L5149" i="2"/>
  <c r="N5142" i="2"/>
  <c r="M5142" i="2"/>
  <c r="L5142" i="2"/>
  <c r="N5125" i="2"/>
  <c r="M5125" i="2"/>
  <c r="L5125" i="2"/>
  <c r="N5119" i="2"/>
  <c r="M5119" i="2"/>
  <c r="L5119" i="2"/>
  <c r="N5107" i="2"/>
  <c r="M5107" i="2"/>
  <c r="L5107" i="2"/>
  <c r="N5095" i="2"/>
  <c r="M5095" i="2"/>
  <c r="L5095" i="2"/>
  <c r="N147" i="2"/>
  <c r="M147" i="2"/>
  <c r="L147" i="2"/>
  <c r="N5074" i="2"/>
  <c r="M5074" i="2"/>
  <c r="L5074" i="2"/>
  <c r="N139" i="2"/>
  <c r="M139" i="2"/>
  <c r="L139" i="2"/>
  <c r="N5054" i="2"/>
  <c r="M5054" i="2"/>
  <c r="L5054" i="2"/>
  <c r="N5041" i="2"/>
  <c r="M5041" i="2"/>
  <c r="L5041" i="2"/>
  <c r="N125" i="2"/>
  <c r="M125" i="2"/>
  <c r="L125" i="2"/>
  <c r="N5022" i="2"/>
  <c r="M5022" i="2"/>
  <c r="L5022" i="2"/>
  <c r="N5015" i="2"/>
  <c r="M5015" i="2"/>
  <c r="L5015" i="2"/>
  <c r="N117" i="2"/>
  <c r="M117" i="2"/>
  <c r="L117" i="2"/>
  <c r="N112" i="2"/>
  <c r="M112" i="2"/>
  <c r="L112" i="2"/>
  <c r="N4977" i="2"/>
  <c r="M4977" i="2"/>
  <c r="L4977" i="2"/>
  <c r="N4965" i="2"/>
  <c r="M4965" i="2"/>
  <c r="L4965" i="2"/>
  <c r="N100" i="2"/>
  <c r="M100" i="2"/>
  <c r="L100" i="2"/>
  <c r="N4935" i="2"/>
  <c r="M4935" i="2"/>
  <c r="L4935" i="2"/>
  <c r="N4929" i="2"/>
  <c r="M4929" i="2"/>
  <c r="L4929" i="2"/>
  <c r="N4904" i="2"/>
  <c r="M4904" i="2"/>
  <c r="L4904" i="2"/>
  <c r="N4898" i="2"/>
  <c r="M4898" i="2"/>
  <c r="L4898" i="2"/>
  <c r="N4856" i="2"/>
  <c r="M4856" i="2"/>
  <c r="L4856" i="2"/>
  <c r="N72" i="2"/>
  <c r="M72" i="2"/>
  <c r="L72" i="2"/>
  <c r="N4814" i="2"/>
  <c r="M4814" i="2"/>
  <c r="L4814" i="2"/>
  <c r="N4803" i="2"/>
  <c r="M4803" i="2"/>
  <c r="L4803" i="2"/>
  <c r="N54" i="2"/>
  <c r="M54" i="2"/>
  <c r="L54" i="2"/>
  <c r="N4744" i="2"/>
  <c r="M4744" i="2"/>
  <c r="L4744" i="2"/>
  <c r="N30" i="2"/>
  <c r="M30" i="2"/>
  <c r="L30" i="2"/>
  <c r="N4723" i="2"/>
  <c r="M4723" i="2"/>
  <c r="L4723" i="2"/>
  <c r="N4681" i="2"/>
  <c r="M4681" i="2"/>
  <c r="L4681" i="2"/>
  <c r="N7" i="2"/>
  <c r="M7" i="2"/>
  <c r="L7" i="2"/>
  <c r="N4659" i="2"/>
  <c r="M4659" i="2"/>
  <c r="L4659" i="2"/>
  <c r="N4618" i="2"/>
  <c r="M4618" i="2"/>
  <c r="L4618" i="2"/>
  <c r="N4585" i="2"/>
  <c r="M4585" i="2"/>
  <c r="L4585" i="2"/>
  <c r="N4556" i="2"/>
  <c r="M4556" i="2"/>
  <c r="L4556" i="2"/>
  <c r="N4538" i="2"/>
  <c r="M4538" i="2"/>
  <c r="L4538" i="2"/>
  <c r="N4527" i="2"/>
  <c r="M4527" i="2"/>
  <c r="L4527" i="2"/>
  <c r="N4517" i="2"/>
  <c r="M4517" i="2"/>
  <c r="L4517" i="2"/>
  <c r="N4501" i="2"/>
  <c r="M4501" i="2"/>
  <c r="L4501" i="2"/>
  <c r="N784" i="2"/>
  <c r="M784" i="2"/>
  <c r="L784" i="2"/>
  <c r="N4475" i="2"/>
  <c r="M4475" i="2"/>
  <c r="L4475" i="2"/>
  <c r="N4459" i="2"/>
  <c r="M4459" i="2"/>
  <c r="L4459" i="2"/>
  <c r="N4433" i="2"/>
  <c r="M4433" i="2"/>
  <c r="L4433" i="2"/>
  <c r="N4425" i="2"/>
  <c r="M4425" i="2"/>
  <c r="L4425" i="2"/>
  <c r="N4396" i="2"/>
  <c r="M4396" i="2"/>
  <c r="L4396" i="2"/>
  <c r="N4381" i="2"/>
  <c r="M4381" i="2"/>
  <c r="L4381" i="2"/>
  <c r="N4362" i="2"/>
  <c r="M4362" i="2"/>
  <c r="L4362" i="2"/>
  <c r="N4343" i="2"/>
  <c r="M4343" i="2"/>
  <c r="L4343" i="2"/>
  <c r="N4327" i="2"/>
  <c r="M4327" i="2"/>
  <c r="L4327" i="2"/>
  <c r="N4306" i="2"/>
  <c r="M4306" i="2"/>
  <c r="L4306" i="2"/>
  <c r="N4293" i="2"/>
  <c r="M4293" i="2"/>
  <c r="L4293" i="2"/>
  <c r="N4264" i="2"/>
  <c r="M4264" i="2"/>
  <c r="L4264" i="2"/>
  <c r="N4253" i="2"/>
  <c r="M4253" i="2"/>
  <c r="L4253" i="2"/>
  <c r="N4238" i="2"/>
  <c r="M4238" i="2"/>
  <c r="L4238" i="2"/>
  <c r="N4215" i="2"/>
  <c r="M4215" i="2"/>
  <c r="L4215" i="2"/>
  <c r="N4193" i="2"/>
  <c r="M4193" i="2"/>
  <c r="L4193" i="2"/>
  <c r="N4185" i="2"/>
  <c r="M4185" i="2"/>
  <c r="L4185" i="2"/>
  <c r="N4169" i="2"/>
  <c r="M4169" i="2"/>
  <c r="L4169" i="2"/>
  <c r="N4146" i="2"/>
  <c r="M4146" i="2"/>
  <c r="L4146" i="2"/>
  <c r="N689" i="2"/>
  <c r="M689" i="2"/>
  <c r="L689" i="2"/>
  <c r="N4085" i="2"/>
  <c r="M4085" i="2"/>
  <c r="L4085" i="2"/>
  <c r="N666" i="2"/>
  <c r="M666" i="2"/>
  <c r="L666" i="2"/>
  <c r="N4037" i="2"/>
  <c r="M4037" i="2"/>
  <c r="L4037" i="2"/>
  <c r="N4033" i="2"/>
  <c r="M4033" i="2"/>
  <c r="L4033" i="2"/>
  <c r="N4013" i="2"/>
  <c r="M4013" i="2"/>
  <c r="L4013" i="2"/>
  <c r="N3964" i="2"/>
  <c r="M3964" i="2"/>
  <c r="L3964" i="2"/>
  <c r="N3946" i="2"/>
  <c r="M3946" i="2"/>
  <c r="L3946" i="2"/>
  <c r="N3936" i="2"/>
  <c r="M3936" i="2"/>
  <c r="L3936" i="2"/>
  <c r="N3910" i="2"/>
  <c r="M3910" i="2"/>
  <c r="L3910" i="2"/>
  <c r="N3902" i="2"/>
  <c r="M3902" i="2"/>
  <c r="L3902" i="2"/>
  <c r="N635" i="2"/>
  <c r="M635" i="2"/>
  <c r="L635" i="2"/>
  <c r="N3867" i="2"/>
  <c r="M3867" i="2"/>
  <c r="L3867" i="2"/>
  <c r="N3845" i="2"/>
  <c r="M3845" i="2"/>
  <c r="L3845" i="2"/>
  <c r="N3831" i="2"/>
  <c r="M3831" i="2"/>
  <c r="L3831" i="2"/>
  <c r="N3825" i="2"/>
  <c r="M3825" i="2"/>
  <c r="L3825" i="2"/>
  <c r="N3821" i="2"/>
  <c r="M3821" i="2"/>
  <c r="L3821" i="2"/>
  <c r="N3805" i="2"/>
  <c r="M3805" i="2"/>
  <c r="L3805" i="2"/>
  <c r="N3790" i="2"/>
  <c r="M3790" i="2"/>
  <c r="L3790" i="2"/>
  <c r="N3780" i="2"/>
  <c r="M3780" i="2"/>
  <c r="L3780" i="2"/>
  <c r="N3768" i="2"/>
  <c r="M3768" i="2"/>
  <c r="L3768" i="2"/>
  <c r="N617" i="2"/>
  <c r="M617" i="2"/>
  <c r="L617" i="2"/>
  <c r="N3749" i="2"/>
  <c r="M3749" i="2"/>
  <c r="L3749" i="2"/>
  <c r="N3740" i="2"/>
  <c r="M3740" i="2"/>
  <c r="L3740" i="2"/>
  <c r="N3725" i="2"/>
  <c r="M3725" i="2"/>
  <c r="L3725" i="2"/>
  <c r="N3713" i="2"/>
  <c r="M3713" i="2"/>
  <c r="L3713" i="2"/>
  <c r="N3698" i="2"/>
  <c r="M3698" i="2"/>
  <c r="L3698" i="2"/>
  <c r="N3695" i="2"/>
  <c r="M3695" i="2"/>
  <c r="L3695" i="2"/>
  <c r="N3679" i="2"/>
  <c r="M3679" i="2"/>
  <c r="L3679" i="2"/>
  <c r="N3665" i="2"/>
  <c r="M3665" i="2"/>
  <c r="L3665" i="2"/>
  <c r="N3651" i="2"/>
  <c r="M3651" i="2"/>
  <c r="L3651" i="2"/>
  <c r="N3642" i="2"/>
  <c r="M3642" i="2"/>
  <c r="L3642" i="2"/>
  <c r="N592" i="2"/>
  <c r="M592" i="2"/>
  <c r="L592" i="2"/>
  <c r="N3600" i="2"/>
  <c r="M3600" i="2"/>
  <c r="L3600" i="2"/>
  <c r="N3594" i="2"/>
  <c r="M3594" i="2"/>
  <c r="L3594" i="2"/>
  <c r="N3569" i="2"/>
  <c r="M3569" i="2"/>
  <c r="L3569" i="2"/>
  <c r="N3560" i="2"/>
  <c r="M3560" i="2"/>
  <c r="L3560" i="2"/>
  <c r="N3546" i="2"/>
  <c r="M3546" i="2"/>
  <c r="L3546" i="2"/>
  <c r="N3526" i="2"/>
  <c r="M3526" i="2"/>
  <c r="L3526" i="2"/>
  <c r="N3505" i="2"/>
  <c r="M3505" i="2"/>
  <c r="L3505" i="2"/>
  <c r="N3496" i="2"/>
  <c r="M3496" i="2"/>
  <c r="L3496" i="2"/>
  <c r="N3477" i="2"/>
  <c r="M3477" i="2"/>
  <c r="L3477" i="2"/>
  <c r="N3448" i="2"/>
  <c r="M3448" i="2"/>
  <c r="L3448" i="2"/>
  <c r="N3431" i="2"/>
  <c r="M3431" i="2"/>
  <c r="L3431" i="2"/>
  <c r="N3418" i="2"/>
  <c r="M3418" i="2"/>
  <c r="L3418" i="2"/>
  <c r="N3409" i="2"/>
  <c r="M3409" i="2"/>
  <c r="L3409" i="2"/>
  <c r="N550" i="2"/>
  <c r="M550" i="2"/>
  <c r="L550" i="2"/>
  <c r="N3367" i="2"/>
  <c r="M3367" i="2"/>
  <c r="L3367" i="2"/>
  <c r="N3343" i="2"/>
  <c r="M3343" i="2"/>
  <c r="L3343" i="2"/>
  <c r="N3319" i="2"/>
  <c r="M3319" i="2"/>
  <c r="L3319" i="2"/>
  <c r="N3288" i="2"/>
  <c r="M3288" i="2"/>
  <c r="L3288" i="2"/>
  <c r="N3270" i="2"/>
  <c r="M3270" i="2"/>
  <c r="L3270" i="2"/>
  <c r="N3252" i="2"/>
  <c r="M3252" i="2"/>
  <c r="L3252" i="2"/>
  <c r="N3236" i="2"/>
  <c r="M3236" i="2"/>
  <c r="L3236" i="2"/>
  <c r="N3221" i="2"/>
  <c r="M3221" i="2"/>
  <c r="L3221" i="2"/>
  <c r="N3214" i="2"/>
  <c r="M3214" i="2"/>
  <c r="L3214" i="2"/>
  <c r="N3199" i="2"/>
  <c r="M3199" i="2"/>
  <c r="L3199" i="2"/>
  <c r="N519" i="2"/>
  <c r="M519" i="2"/>
  <c r="L519" i="2"/>
  <c r="N3156" i="2"/>
  <c r="M3156" i="2"/>
  <c r="L3156" i="2"/>
  <c r="N517" i="2"/>
  <c r="M517" i="2"/>
  <c r="L517" i="2"/>
  <c r="N3122" i="2"/>
  <c r="M3122" i="2"/>
  <c r="L3122" i="2"/>
  <c r="N3111" i="2"/>
  <c r="M3111" i="2"/>
  <c r="L3111" i="2"/>
  <c r="N3100" i="2"/>
  <c r="M3100" i="2"/>
  <c r="L3100" i="2"/>
  <c r="N3085" i="2"/>
  <c r="M3085" i="2"/>
  <c r="L3085" i="2"/>
  <c r="N3063" i="2"/>
  <c r="M3063" i="2"/>
  <c r="L3063" i="2"/>
  <c r="N3060" i="2"/>
  <c r="M3060" i="2"/>
  <c r="L3060" i="2"/>
  <c r="N3048" i="2"/>
  <c r="M3048" i="2"/>
  <c r="L3048" i="2"/>
  <c r="N3017" i="2"/>
  <c r="M3017" i="2"/>
  <c r="L3017" i="2"/>
  <c r="N2916" i="2"/>
  <c r="M2916" i="2"/>
  <c r="L2916" i="2"/>
  <c r="N2892" i="2"/>
  <c r="M2892" i="2"/>
  <c r="L2892" i="2"/>
  <c r="N2878" i="2"/>
  <c r="M2878" i="2"/>
  <c r="L2878" i="2"/>
  <c r="N2860" i="2"/>
  <c r="M2860" i="2"/>
  <c r="L2860" i="2"/>
  <c r="N2835" i="2"/>
  <c r="M2835" i="2"/>
  <c r="L2835" i="2"/>
  <c r="N2826" i="2"/>
  <c r="M2826" i="2"/>
  <c r="L2826" i="2"/>
  <c r="N2778" i="2"/>
  <c r="M2778" i="2"/>
  <c r="L2778" i="2"/>
  <c r="N2746" i="2"/>
  <c r="M2746" i="2"/>
  <c r="L2746" i="2"/>
  <c r="N2722" i="2"/>
  <c r="M2722" i="2"/>
  <c r="L2722" i="2"/>
  <c r="N479" i="2"/>
  <c r="M479" i="2"/>
  <c r="L479" i="2"/>
  <c r="N2700" i="2"/>
  <c r="M2700" i="2"/>
  <c r="L2700" i="2"/>
  <c r="N2654" i="2"/>
  <c r="M2654" i="2"/>
  <c r="L2654" i="2"/>
  <c r="N2637" i="2"/>
  <c r="M2637" i="2"/>
  <c r="L2637" i="2"/>
  <c r="N2620" i="2"/>
  <c r="M2620" i="2"/>
  <c r="L2620" i="2"/>
  <c r="N2597" i="2"/>
  <c r="M2597" i="2"/>
  <c r="L2597" i="2"/>
  <c r="N2583" i="2"/>
  <c r="M2583" i="2"/>
  <c r="L2583" i="2"/>
  <c r="N2558" i="2"/>
  <c r="M2558" i="2"/>
  <c r="L2558" i="2"/>
  <c r="N2541" i="2"/>
  <c r="M2541" i="2"/>
  <c r="L2541" i="2"/>
  <c r="N2516" i="2"/>
  <c r="M2516" i="2"/>
  <c r="L2516" i="2"/>
  <c r="N471" i="2"/>
  <c r="M471" i="2"/>
  <c r="L471" i="2"/>
  <c r="N2500" i="2"/>
  <c r="M2500" i="2"/>
  <c r="L2500" i="2"/>
  <c r="N2495" i="2"/>
  <c r="M2495" i="2"/>
  <c r="L2495" i="2"/>
  <c r="N2477" i="2"/>
  <c r="M2477" i="2"/>
  <c r="L2477" i="2"/>
  <c r="N2466" i="2"/>
  <c r="M2466" i="2"/>
  <c r="L2466" i="2"/>
  <c r="N2456" i="2"/>
  <c r="M2456" i="2"/>
  <c r="L2456" i="2"/>
  <c r="N2441" i="2"/>
  <c r="M2441" i="2"/>
  <c r="L2441" i="2"/>
  <c r="N2429" i="2"/>
  <c r="M2429" i="2"/>
  <c r="L2429" i="2"/>
  <c r="N2419" i="2"/>
  <c r="M2419" i="2"/>
  <c r="L2419" i="2"/>
  <c r="N2410" i="2"/>
  <c r="M2410" i="2"/>
  <c r="L2410" i="2"/>
  <c r="N2398" i="2"/>
  <c r="M2398" i="2"/>
  <c r="L2398" i="2"/>
  <c r="N2386" i="2"/>
  <c r="M2386" i="2"/>
  <c r="L2386" i="2"/>
  <c r="N2369" i="2"/>
  <c r="M2369" i="2"/>
  <c r="L2369" i="2"/>
  <c r="N2362" i="2"/>
  <c r="M2362" i="2"/>
  <c r="L2362" i="2"/>
  <c r="N2351" i="2"/>
  <c r="M2351" i="2"/>
  <c r="L2351" i="2"/>
  <c r="N2338" i="2"/>
  <c r="M2338" i="2"/>
  <c r="L2338" i="2"/>
  <c r="N2319" i="2"/>
  <c r="M2319" i="2"/>
  <c r="L2319" i="2"/>
  <c r="N2304" i="2"/>
  <c r="M2304" i="2"/>
  <c r="L2304" i="2"/>
  <c r="N2294" i="2"/>
  <c r="M2294" i="2"/>
  <c r="L2294" i="2"/>
  <c r="N2283" i="2"/>
  <c r="M2283" i="2"/>
  <c r="L2283" i="2"/>
  <c r="N2261" i="2"/>
  <c r="M2261" i="2"/>
  <c r="L2261" i="2"/>
  <c r="N2255" i="2"/>
  <c r="M2255" i="2"/>
  <c r="L2255" i="2"/>
  <c r="N2229" i="2"/>
  <c r="M2229" i="2"/>
  <c r="L2229" i="2"/>
  <c r="N2216" i="2"/>
  <c r="M2216" i="2"/>
  <c r="L2216" i="2"/>
  <c r="N2207" i="2"/>
  <c r="M2207" i="2"/>
  <c r="L2207" i="2"/>
  <c r="N2184" i="2"/>
  <c r="M2184" i="2"/>
  <c r="L2184" i="2"/>
  <c r="N2160" i="2"/>
  <c r="M2160" i="2"/>
  <c r="L2160" i="2"/>
  <c r="N2152" i="2"/>
  <c r="M2152" i="2"/>
  <c r="L2152" i="2"/>
  <c r="N2127" i="2"/>
  <c r="M2127" i="2"/>
  <c r="L2127" i="2"/>
  <c r="N2100" i="2"/>
  <c r="M2100" i="2"/>
  <c r="L2100" i="2"/>
  <c r="N2078" i="2"/>
  <c r="M2078" i="2"/>
  <c r="L2078" i="2"/>
  <c r="N2066" i="2"/>
  <c r="M2066" i="2"/>
  <c r="L2066" i="2"/>
  <c r="N2058" i="2"/>
  <c r="M2058" i="2"/>
  <c r="L2058" i="2"/>
  <c r="N2010" i="2"/>
  <c r="M2010" i="2"/>
  <c r="L2010" i="2"/>
  <c r="N1991" i="2"/>
  <c r="M1991" i="2"/>
  <c r="L1991" i="2"/>
  <c r="N1977" i="2"/>
  <c r="M1977" i="2"/>
  <c r="L1977" i="2"/>
  <c r="N1939" i="2"/>
  <c r="M1939" i="2"/>
  <c r="L1939" i="2"/>
  <c r="N1912" i="2"/>
  <c r="M1912" i="2"/>
  <c r="L1912" i="2"/>
  <c r="N1881" i="2"/>
  <c r="M1881" i="2"/>
  <c r="L1881" i="2"/>
  <c r="N1855" i="2"/>
  <c r="M1855" i="2"/>
  <c r="L1855" i="2"/>
  <c r="N1838" i="2"/>
  <c r="M1838" i="2"/>
  <c r="L1838" i="2"/>
  <c r="N1828" i="2"/>
  <c r="M1828" i="2"/>
  <c r="L1828" i="2"/>
  <c r="N1811" i="2"/>
  <c r="M1811" i="2"/>
  <c r="L1811" i="2"/>
  <c r="N1800" i="2"/>
  <c r="M1800" i="2"/>
  <c r="L1800" i="2"/>
  <c r="N1783" i="2"/>
  <c r="M1783" i="2"/>
  <c r="L1783" i="2"/>
  <c r="N1768" i="2"/>
  <c r="M1768" i="2"/>
  <c r="L1768" i="2"/>
  <c r="N1738" i="2"/>
  <c r="M1738" i="2"/>
  <c r="L1738" i="2"/>
  <c r="N1726" i="2"/>
  <c r="M1726" i="2"/>
  <c r="L1726" i="2"/>
  <c r="N1685" i="2"/>
  <c r="M1685" i="2"/>
  <c r="L1685" i="2"/>
  <c r="N1664" i="2"/>
  <c r="M1664" i="2"/>
  <c r="L1664" i="2"/>
  <c r="N1651" i="2"/>
  <c r="M1651" i="2"/>
  <c r="L1651" i="2"/>
  <c r="N1625" i="2"/>
  <c r="M1625" i="2"/>
  <c r="L1625" i="2"/>
  <c r="N1610" i="2"/>
  <c r="M1610" i="2"/>
  <c r="L1610" i="2"/>
  <c r="N1484" i="2"/>
  <c r="M1484" i="2"/>
  <c r="L1484" i="2"/>
  <c r="N1460" i="2"/>
  <c r="M1460" i="2"/>
  <c r="L1460" i="2"/>
  <c r="N1448" i="2"/>
  <c r="M1448" i="2"/>
  <c r="L1448" i="2"/>
  <c r="N1427" i="2"/>
  <c r="M1427" i="2"/>
  <c r="L1427" i="2"/>
  <c r="N1406" i="2"/>
  <c r="M1406" i="2"/>
  <c r="L1406" i="2"/>
  <c r="N1394" i="2"/>
  <c r="M1394" i="2"/>
  <c r="L1394" i="2"/>
  <c r="N1343" i="2"/>
  <c r="M1343" i="2"/>
  <c r="L1343" i="2"/>
  <c r="N367" i="2"/>
  <c r="M367" i="2"/>
  <c r="L367" i="2"/>
  <c r="N1298" i="2"/>
  <c r="M1298" i="2"/>
  <c r="L1298" i="2"/>
  <c r="N1249" i="2"/>
  <c r="M1249" i="2"/>
  <c r="L1249" i="2"/>
  <c r="N1198" i="2"/>
  <c r="M1198" i="2"/>
  <c r="L1198" i="2"/>
  <c r="N1180" i="2"/>
  <c r="M1180" i="2"/>
  <c r="L1180" i="2"/>
  <c r="N1170" i="2"/>
  <c r="M1170" i="2"/>
  <c r="L1170" i="2"/>
  <c r="N1145" i="2"/>
  <c r="M1145" i="2"/>
  <c r="L1145" i="2"/>
  <c r="N1134" i="2"/>
  <c r="M1134" i="2"/>
  <c r="L1134" i="2"/>
  <c r="N1116" i="2"/>
  <c r="M1116" i="2"/>
  <c r="L1116" i="2"/>
  <c r="N1090" i="2"/>
  <c r="M1090" i="2"/>
  <c r="L1090" i="2"/>
  <c r="N1068" i="2"/>
  <c r="M1068" i="2"/>
  <c r="L1068" i="2"/>
  <c r="N1061" i="2"/>
  <c r="M1061" i="2"/>
  <c r="L1061" i="2"/>
  <c r="N1046" i="2"/>
  <c r="M1046" i="2"/>
  <c r="L1046" i="2"/>
  <c r="N1019" i="2"/>
  <c r="M1019" i="2"/>
  <c r="L1019" i="2"/>
  <c r="N1012" i="2"/>
  <c r="M1012" i="2"/>
  <c r="L1012" i="2"/>
  <c r="N1003" i="2"/>
  <c r="M1003" i="2"/>
  <c r="L1003" i="2"/>
  <c r="N966" i="2"/>
  <c r="M966" i="2"/>
  <c r="L966" i="2"/>
  <c r="N947" i="2"/>
  <c r="M947" i="2"/>
  <c r="L947" i="2"/>
  <c r="N933" i="2"/>
  <c r="M933" i="2"/>
  <c r="L933" i="2"/>
  <c r="N927" i="2"/>
  <c r="M927" i="2"/>
  <c r="L927" i="2"/>
  <c r="N911" i="2"/>
  <c r="M911" i="2"/>
  <c r="L911" i="2"/>
  <c r="N907" i="2"/>
  <c r="M907" i="2"/>
  <c r="L907" i="2"/>
  <c r="N882" i="2"/>
  <c r="M882" i="2"/>
  <c r="L882" i="2"/>
  <c r="N331" i="2"/>
  <c r="M331" i="2"/>
  <c r="L331" i="2"/>
  <c r="N848" i="2"/>
  <c r="M848" i="2"/>
  <c r="L848" i="2"/>
  <c r="N836" i="2"/>
  <c r="M836" i="2"/>
  <c r="L836" i="2"/>
  <c r="N5546" i="2"/>
  <c r="M5546" i="2"/>
  <c r="L5546" i="2"/>
  <c r="N234" i="2"/>
  <c r="M234" i="2"/>
  <c r="L234" i="2"/>
  <c r="N5417" i="2"/>
  <c r="M5417" i="2"/>
  <c r="L5417" i="2"/>
  <c r="N5408" i="2"/>
  <c r="M5408" i="2"/>
  <c r="L5408" i="2"/>
  <c r="N5368" i="2"/>
  <c r="M5368" i="2"/>
  <c r="L5368" i="2"/>
  <c r="N5311" i="2"/>
  <c r="M5311" i="2"/>
  <c r="L5311" i="2"/>
  <c r="N5294" i="2"/>
  <c r="M5294" i="2"/>
  <c r="L5294" i="2"/>
  <c r="N5283" i="2"/>
  <c r="M5283" i="2"/>
  <c r="L5283" i="2"/>
  <c r="N5239" i="2"/>
  <c r="M5239" i="2"/>
  <c r="L5239" i="2"/>
  <c r="N5231" i="2"/>
  <c r="M5231" i="2"/>
  <c r="L5231" i="2"/>
  <c r="N5206" i="2"/>
  <c r="M5206" i="2"/>
  <c r="L5206" i="2"/>
  <c r="N5169" i="2"/>
  <c r="M5169" i="2"/>
  <c r="L5169" i="2"/>
  <c r="N5138" i="2"/>
  <c r="M5138" i="2"/>
  <c r="L5138" i="2"/>
  <c r="N96" i="2"/>
  <c r="M96" i="2"/>
  <c r="L96" i="2"/>
  <c r="N88" i="2"/>
  <c r="M88" i="2"/>
  <c r="L88" i="2"/>
  <c r="N4847" i="2"/>
  <c r="M4847" i="2"/>
  <c r="L4847" i="2"/>
  <c r="N4825" i="2"/>
  <c r="M4825" i="2"/>
  <c r="L4825" i="2"/>
  <c r="N4793" i="2"/>
  <c r="M4793" i="2"/>
  <c r="L4793" i="2"/>
  <c r="N4767" i="2"/>
  <c r="M4767" i="2"/>
  <c r="L4767" i="2"/>
  <c r="N4765" i="2"/>
  <c r="M4765" i="2"/>
  <c r="L4765" i="2"/>
  <c r="N23" i="2"/>
  <c r="M23" i="2"/>
  <c r="L23" i="2"/>
  <c r="N4705" i="2"/>
  <c r="M4705" i="2"/>
  <c r="L4705" i="2"/>
  <c r="N4649" i="2"/>
  <c r="M4649" i="2"/>
  <c r="L4649" i="2"/>
  <c r="N4634" i="2"/>
  <c r="M4634" i="2"/>
  <c r="L4634" i="2"/>
  <c r="N4594" i="2"/>
  <c r="M4594" i="2"/>
  <c r="L4594" i="2"/>
  <c r="N4573" i="2"/>
  <c r="M4573" i="2"/>
  <c r="L4573" i="2"/>
  <c r="N4509" i="2"/>
  <c r="M4509" i="2"/>
  <c r="L4509" i="2"/>
  <c r="N281" i="2"/>
  <c r="M281" i="2"/>
  <c r="L281" i="2"/>
  <c r="N4444" i="2"/>
  <c r="M4444" i="2"/>
  <c r="L4444" i="2"/>
  <c r="N4415" i="2"/>
  <c r="M4415" i="2"/>
  <c r="L4415" i="2"/>
  <c r="N4404" i="2"/>
  <c r="M4404" i="2"/>
  <c r="L4404" i="2"/>
  <c r="N4355" i="2"/>
  <c r="M4355" i="2"/>
  <c r="L4355" i="2"/>
  <c r="N4319" i="2"/>
  <c r="M4319" i="2"/>
  <c r="L4319" i="2"/>
  <c r="N714" i="2"/>
  <c r="M714" i="2"/>
  <c r="L714" i="2"/>
  <c r="N4225" i="2"/>
  <c r="M4225" i="2"/>
  <c r="L4225" i="2"/>
  <c r="N4207" i="2"/>
  <c r="M4207" i="2"/>
  <c r="L4207" i="2"/>
  <c r="N4161" i="2"/>
  <c r="M4161" i="2"/>
  <c r="L4161" i="2"/>
  <c r="N4134" i="2"/>
  <c r="M4134" i="2"/>
  <c r="L4134" i="2"/>
  <c r="N4121" i="2"/>
  <c r="M4121" i="2"/>
  <c r="L4121" i="2"/>
  <c r="N4098" i="2"/>
  <c r="M4098" i="2"/>
  <c r="L4098" i="2"/>
  <c r="N4068" i="2"/>
  <c r="M4068" i="2"/>
  <c r="L4068" i="2"/>
  <c r="N4006" i="2"/>
  <c r="M4006" i="2"/>
  <c r="L4006" i="2"/>
  <c r="N4001" i="2"/>
  <c r="M4001" i="2"/>
  <c r="L4001" i="2"/>
  <c r="N3985" i="2"/>
  <c r="M3985" i="2"/>
  <c r="L3985" i="2"/>
  <c r="N3977" i="2"/>
  <c r="M3977" i="2"/>
  <c r="L3977" i="2"/>
  <c r="N3931" i="2"/>
  <c r="M3931" i="2"/>
  <c r="L3931" i="2"/>
  <c r="N3928" i="2"/>
  <c r="M3928" i="2"/>
  <c r="L3928" i="2"/>
  <c r="N3886" i="2"/>
  <c r="M3886" i="2"/>
  <c r="L3886" i="2"/>
  <c r="N3850" i="2"/>
  <c r="M3850" i="2"/>
  <c r="L3850" i="2"/>
  <c r="N3816" i="2"/>
  <c r="M3816" i="2"/>
  <c r="L3816" i="2"/>
  <c r="N3584" i="2"/>
  <c r="M3584" i="2"/>
  <c r="L3584" i="2"/>
  <c r="N3535" i="2"/>
  <c r="M3535" i="2"/>
  <c r="L3535" i="2"/>
  <c r="N3515" i="2"/>
  <c r="M3515" i="2"/>
  <c r="L3515" i="2"/>
  <c r="N3485" i="2"/>
  <c r="M3485" i="2"/>
  <c r="L3485" i="2"/>
  <c r="N3461" i="2"/>
  <c r="M3461" i="2"/>
  <c r="L3461" i="2"/>
  <c r="N3457" i="2"/>
  <c r="M3457" i="2"/>
  <c r="L3457" i="2"/>
  <c r="N3394" i="2"/>
  <c r="M3394" i="2"/>
  <c r="L3394" i="2"/>
  <c r="N3361" i="2"/>
  <c r="M3361" i="2"/>
  <c r="L3361" i="2"/>
  <c r="N3352" i="2"/>
  <c r="M3352" i="2"/>
  <c r="L3352" i="2"/>
  <c r="N3328" i="2"/>
  <c r="M3328" i="2"/>
  <c r="L3328" i="2"/>
  <c r="N3305" i="2"/>
  <c r="M3305" i="2"/>
  <c r="L3305" i="2"/>
  <c r="N3190" i="2"/>
  <c r="M3190" i="2"/>
  <c r="L3190" i="2"/>
  <c r="N3165" i="2"/>
  <c r="M3165" i="2"/>
  <c r="L3165" i="2"/>
  <c r="N3133" i="2"/>
  <c r="M3133" i="2"/>
  <c r="L3133" i="2"/>
  <c r="N3074" i="2"/>
  <c r="M3074" i="2"/>
  <c r="L3074" i="2"/>
  <c r="N3035" i="2"/>
  <c r="M3035" i="2"/>
  <c r="L3035" i="2"/>
  <c r="N3008" i="2"/>
  <c r="M3008" i="2"/>
  <c r="L3008" i="2"/>
  <c r="N2992" i="2"/>
  <c r="M2992" i="2"/>
  <c r="L2992" i="2"/>
  <c r="N2978" i="2"/>
  <c r="M2978" i="2"/>
  <c r="L2978" i="2"/>
  <c r="N2962" i="2"/>
  <c r="M2962" i="2"/>
  <c r="L2962" i="2"/>
  <c r="N2953" i="2"/>
  <c r="M2953" i="2"/>
  <c r="L2953" i="2"/>
  <c r="N2931" i="2"/>
  <c r="M2931" i="2"/>
  <c r="L2931" i="2"/>
  <c r="N2902" i="2"/>
  <c r="M2902" i="2"/>
  <c r="L2902" i="2"/>
  <c r="N2848" i="2"/>
  <c r="M2848" i="2"/>
  <c r="L2848" i="2"/>
  <c r="N2809" i="2"/>
  <c r="M2809" i="2"/>
  <c r="L2809" i="2"/>
  <c r="N2798" i="2"/>
  <c r="M2798" i="2"/>
  <c r="L2798" i="2"/>
  <c r="N2761" i="2"/>
  <c r="M2761" i="2"/>
  <c r="L2761" i="2"/>
  <c r="N2689" i="2"/>
  <c r="M2689" i="2"/>
  <c r="L2689" i="2"/>
  <c r="N2676" i="2"/>
  <c r="M2676" i="2"/>
  <c r="L2676" i="2"/>
  <c r="N2665" i="2"/>
  <c r="M2665" i="2"/>
  <c r="L2665" i="2"/>
  <c r="N2615" i="2"/>
  <c r="M2615" i="2"/>
  <c r="L2615" i="2"/>
  <c r="N2606" i="2"/>
  <c r="M2606" i="2"/>
  <c r="L2606" i="2"/>
  <c r="N2570" i="2"/>
  <c r="M2570" i="2"/>
  <c r="L2570" i="2"/>
  <c r="N2525" i="2"/>
  <c r="M2525" i="2"/>
  <c r="L2525" i="2"/>
  <c r="N2488" i="2"/>
  <c r="M2488" i="2"/>
  <c r="L2488" i="2"/>
  <c r="N2270" i="2"/>
  <c r="M2270" i="2"/>
  <c r="L2270" i="2"/>
  <c r="N2240" i="2"/>
  <c r="M2240" i="2"/>
  <c r="L2240" i="2"/>
  <c r="N2202" i="2"/>
  <c r="M2202" i="2"/>
  <c r="L2202" i="2"/>
  <c r="N2176" i="2"/>
  <c r="M2176" i="2"/>
  <c r="L2176" i="2"/>
  <c r="N2118" i="2"/>
  <c r="M2118" i="2"/>
  <c r="L2118" i="2"/>
  <c r="N2117" i="2"/>
  <c r="M2117" i="2"/>
  <c r="L2117" i="2"/>
  <c r="N2041" i="2"/>
  <c r="M2041" i="2"/>
  <c r="L2041" i="2"/>
  <c r="N2033" i="2"/>
  <c r="M2033" i="2"/>
  <c r="L2033" i="2"/>
  <c r="N1967" i="2"/>
  <c r="M1967" i="2"/>
  <c r="L1967" i="2"/>
  <c r="N1953" i="2"/>
  <c r="M1953" i="2"/>
  <c r="L1953" i="2"/>
  <c r="N1923" i="2"/>
  <c r="M1923" i="2"/>
  <c r="L1923" i="2"/>
  <c r="N1903" i="2"/>
  <c r="M1903" i="2"/>
  <c r="L1903" i="2"/>
  <c r="N1818" i="2"/>
  <c r="M1818" i="2"/>
  <c r="L1818" i="2"/>
  <c r="N1776" i="2"/>
  <c r="M1776" i="2"/>
  <c r="L1776" i="2"/>
  <c r="N1751" i="2"/>
  <c r="M1751" i="2"/>
  <c r="L1751" i="2"/>
  <c r="N1712" i="2"/>
  <c r="M1712" i="2"/>
  <c r="L1712" i="2"/>
  <c r="N1702" i="2"/>
  <c r="M1702" i="2"/>
  <c r="L1702" i="2"/>
  <c r="N1642" i="2"/>
  <c r="M1642" i="2"/>
  <c r="L1642" i="2"/>
  <c r="N1621" i="2"/>
  <c r="M1621" i="2"/>
  <c r="L1621" i="2"/>
  <c r="N1603" i="2"/>
  <c r="M1603" i="2"/>
  <c r="L1603" i="2"/>
  <c r="N1579" i="2"/>
  <c r="M1579" i="2"/>
  <c r="L1579" i="2"/>
  <c r="N1568" i="2"/>
  <c r="M1568" i="2"/>
  <c r="L1568" i="2"/>
  <c r="N1550" i="2"/>
  <c r="M1550" i="2"/>
  <c r="L1550" i="2"/>
  <c r="N1538" i="2"/>
  <c r="M1538" i="2"/>
  <c r="L1538" i="2"/>
  <c r="N1529" i="2"/>
  <c r="M1529" i="2"/>
  <c r="L1529" i="2"/>
  <c r="N1518" i="2"/>
  <c r="M1518" i="2"/>
  <c r="L1518" i="2"/>
  <c r="N1474" i="2"/>
  <c r="M1474" i="2"/>
  <c r="L1474" i="2"/>
  <c r="N1419" i="2"/>
  <c r="M1419" i="2"/>
  <c r="L1419" i="2"/>
  <c r="N1391" i="2"/>
  <c r="M1391" i="2"/>
  <c r="L1391" i="2"/>
  <c r="N1379" i="2"/>
  <c r="M1379" i="2"/>
  <c r="L1379" i="2"/>
  <c r="N1365" i="2"/>
  <c r="M1365" i="2"/>
  <c r="L1365" i="2"/>
  <c r="N1341" i="2"/>
  <c r="M1341" i="2"/>
  <c r="L1341" i="2"/>
  <c r="N1238" i="2"/>
  <c r="M1238" i="2"/>
  <c r="L1238" i="2"/>
  <c r="N1220" i="2"/>
  <c r="M1220" i="2"/>
  <c r="L1220" i="2"/>
  <c r="N1207" i="2"/>
  <c r="M1207" i="2"/>
  <c r="L1207" i="2"/>
  <c r="N1164" i="2"/>
  <c r="M1164" i="2"/>
  <c r="L1164" i="2"/>
  <c r="N1156" i="2"/>
  <c r="M1156" i="2"/>
  <c r="L1156" i="2"/>
  <c r="N1129" i="2"/>
  <c r="M1129" i="2"/>
  <c r="L1129" i="2"/>
  <c r="N1102" i="2"/>
  <c r="M1102" i="2"/>
  <c r="L1102" i="2"/>
  <c r="N1083" i="2"/>
  <c r="M1083" i="2"/>
  <c r="L1083" i="2"/>
  <c r="N996" i="2"/>
  <c r="M996" i="2"/>
  <c r="L996" i="2"/>
  <c r="N986" i="2"/>
  <c r="M986" i="2"/>
  <c r="L986" i="2"/>
  <c r="N829" i="2"/>
  <c r="M829" i="2"/>
  <c r="L829" i="2"/>
  <c r="N5544" i="2"/>
  <c r="M5544" i="2"/>
  <c r="L5544" i="2"/>
  <c r="N5534" i="2"/>
  <c r="M5534" i="2"/>
  <c r="L5534" i="2"/>
  <c r="N5523" i="2"/>
  <c r="M5523" i="2"/>
  <c r="L5523" i="2"/>
  <c r="N5515" i="2"/>
  <c r="M5515" i="2"/>
  <c r="L5515" i="2"/>
  <c r="N254" i="2"/>
  <c r="M254" i="2"/>
  <c r="L254" i="2"/>
  <c r="N5469" i="2"/>
  <c r="M5469" i="2"/>
  <c r="L5469" i="2"/>
  <c r="N5457" i="2"/>
  <c r="M5457" i="2"/>
  <c r="L5457" i="2"/>
  <c r="N5445" i="2"/>
  <c r="M5445" i="2"/>
  <c r="L5445" i="2"/>
  <c r="N5437" i="2"/>
  <c r="M5437" i="2"/>
  <c r="L5437" i="2"/>
  <c r="N5390" i="2"/>
  <c r="M5390" i="2"/>
  <c r="L5390" i="2"/>
  <c r="N5361" i="2"/>
  <c r="M5361" i="2"/>
  <c r="L5361" i="2"/>
  <c r="N5340" i="2"/>
  <c r="M5340" i="2"/>
  <c r="L5340" i="2"/>
  <c r="N5331" i="2"/>
  <c r="M5331" i="2"/>
  <c r="L5331" i="2"/>
  <c r="N223" i="2"/>
  <c r="M223" i="2"/>
  <c r="L223" i="2"/>
  <c r="N5271" i="2"/>
  <c r="M5271" i="2"/>
  <c r="L5271" i="2"/>
  <c r="N5255" i="2"/>
  <c r="M5255" i="2"/>
  <c r="L5255" i="2"/>
  <c r="N5243" i="2"/>
  <c r="M5243" i="2"/>
  <c r="L5243" i="2"/>
  <c r="N5221" i="2"/>
  <c r="M5221" i="2"/>
  <c r="L5221" i="2"/>
  <c r="N5212" i="2"/>
  <c r="M5212" i="2"/>
  <c r="L5212" i="2"/>
  <c r="N5197" i="2"/>
  <c r="M5197" i="2"/>
  <c r="L5197" i="2"/>
  <c r="N5187" i="2"/>
  <c r="M5187" i="2"/>
  <c r="L5187" i="2"/>
  <c r="N5168" i="2"/>
  <c r="M5168" i="2"/>
  <c r="L5168" i="2"/>
  <c r="N5156" i="2"/>
  <c r="M5156" i="2"/>
  <c r="L5156" i="2"/>
  <c r="N5145" i="2"/>
  <c r="M5145" i="2"/>
  <c r="L5145" i="2"/>
  <c r="N5144" i="2"/>
  <c r="M5144" i="2"/>
  <c r="L5144" i="2"/>
  <c r="N5124" i="2"/>
  <c r="M5124" i="2"/>
  <c r="L5124" i="2"/>
  <c r="N5118" i="2"/>
  <c r="M5118" i="2"/>
  <c r="L5118" i="2"/>
  <c r="N5106" i="2"/>
  <c r="M5106" i="2"/>
  <c r="L5106" i="2"/>
  <c r="N5099" i="2"/>
  <c r="M5099" i="2"/>
  <c r="L5099" i="2"/>
  <c r="N5089" i="2"/>
  <c r="M5089" i="2"/>
  <c r="L5089" i="2"/>
  <c r="N5076" i="2"/>
  <c r="M5076" i="2"/>
  <c r="L5076" i="2"/>
  <c r="N5065" i="2"/>
  <c r="M5065" i="2"/>
  <c r="L5065" i="2"/>
  <c r="N135" i="2"/>
  <c r="M135" i="2"/>
  <c r="L135" i="2"/>
  <c r="N5046" i="2"/>
  <c r="M5046" i="2"/>
  <c r="L5046" i="2"/>
  <c r="N5028" i="2"/>
  <c r="M5028" i="2"/>
  <c r="L5028" i="2"/>
  <c r="N5024" i="2"/>
  <c r="M5024" i="2"/>
  <c r="L5024" i="2"/>
  <c r="N5003" i="2"/>
  <c r="M5003" i="2"/>
  <c r="L5003" i="2"/>
  <c r="N4984" i="2"/>
  <c r="M4984" i="2"/>
  <c r="L4984" i="2"/>
  <c r="N106" i="2"/>
  <c r="M106" i="2"/>
  <c r="L106" i="2"/>
  <c r="N4969" i="2"/>
  <c r="M4969" i="2"/>
  <c r="L4969" i="2"/>
  <c r="N4955" i="2"/>
  <c r="M4955" i="2"/>
  <c r="L4955" i="2"/>
  <c r="N4938" i="2"/>
  <c r="M4938" i="2"/>
  <c r="L4938" i="2"/>
  <c r="N92" i="2"/>
  <c r="M92" i="2"/>
  <c r="L92" i="2"/>
  <c r="N4907" i="2"/>
  <c r="M4907" i="2"/>
  <c r="L4907" i="2"/>
  <c r="N84" i="2"/>
  <c r="M84" i="2"/>
  <c r="L84" i="2"/>
  <c r="N4858" i="2"/>
  <c r="M4858" i="2"/>
  <c r="L4858" i="2"/>
  <c r="N4835" i="2"/>
  <c r="M4835" i="2"/>
  <c r="L4835" i="2"/>
  <c r="N4816" i="2"/>
  <c r="M4816" i="2"/>
  <c r="L4816" i="2"/>
  <c r="N63" i="2"/>
  <c r="M63" i="2"/>
  <c r="L63" i="2"/>
  <c r="N4784" i="2"/>
  <c r="M4784" i="2"/>
  <c r="L4784" i="2"/>
  <c r="N4755" i="2"/>
  <c r="M4755" i="2"/>
  <c r="L4755" i="2"/>
  <c r="N4745" i="2"/>
  <c r="M4745" i="2"/>
  <c r="L4745" i="2"/>
  <c r="N4736" i="2"/>
  <c r="M4736" i="2"/>
  <c r="L4736" i="2"/>
  <c r="N4722" i="2"/>
  <c r="M4722" i="2"/>
  <c r="L4722" i="2"/>
  <c r="N28" i="2"/>
  <c r="N4680" i="2"/>
  <c r="M4680" i="2"/>
  <c r="L4680" i="2"/>
  <c r="N4667" i="2"/>
  <c r="M4667" i="2"/>
  <c r="L4667" i="2"/>
  <c r="N4655" i="2"/>
  <c r="M4655" i="2"/>
  <c r="L4655" i="2"/>
  <c r="N2" i="2"/>
  <c r="M2" i="2"/>
  <c r="L2" i="2"/>
  <c r="N4583" i="2"/>
  <c r="M4583" i="2"/>
  <c r="L4583" i="2"/>
  <c r="N4559" i="2"/>
  <c r="M4559" i="2"/>
  <c r="L4559" i="2"/>
  <c r="N4539" i="2"/>
  <c r="M4539" i="2"/>
  <c r="L4539" i="2"/>
  <c r="N4525" i="2"/>
  <c r="M4525" i="2"/>
  <c r="L4525" i="2"/>
  <c r="N4515" i="2"/>
  <c r="M4515" i="2"/>
  <c r="L4515" i="2"/>
  <c r="N4502" i="2"/>
  <c r="M4502" i="2"/>
  <c r="L4502" i="2"/>
  <c r="N4491" i="2"/>
  <c r="M4491" i="2"/>
  <c r="L4491" i="2"/>
  <c r="N4477" i="2"/>
  <c r="M4477" i="2"/>
  <c r="L4477" i="2"/>
  <c r="N4462" i="2"/>
  <c r="M4462" i="2"/>
  <c r="L4462" i="2"/>
  <c r="N4437" i="2"/>
  <c r="M4437" i="2"/>
  <c r="L4437" i="2"/>
  <c r="N4423" i="2"/>
  <c r="M4423" i="2"/>
  <c r="L4423" i="2"/>
  <c r="N4393" i="2"/>
  <c r="M4393" i="2"/>
  <c r="L4393" i="2"/>
  <c r="N4378" i="2"/>
  <c r="M4378" i="2"/>
  <c r="L4378" i="2"/>
  <c r="N743" i="2"/>
  <c r="M743" i="2"/>
  <c r="L743" i="2"/>
  <c r="N735" i="2"/>
  <c r="M735" i="2"/>
  <c r="L735" i="2"/>
  <c r="N4329" i="2"/>
  <c r="M4329" i="2"/>
  <c r="L4329" i="2"/>
  <c r="N4301" i="2"/>
  <c r="M4301" i="2"/>
  <c r="L4301" i="2"/>
  <c r="N4289" i="2"/>
  <c r="M4289" i="2"/>
  <c r="L4289" i="2"/>
  <c r="N4265" i="2"/>
  <c r="M4265" i="2"/>
  <c r="L4265" i="2"/>
  <c r="N4251" i="2"/>
  <c r="M4251" i="2"/>
  <c r="L4251" i="2"/>
  <c r="N4242" i="2"/>
  <c r="M4242" i="2"/>
  <c r="L4242" i="2"/>
  <c r="N4217" i="2"/>
  <c r="M4217" i="2"/>
  <c r="L4217" i="2"/>
  <c r="L702" i="2"/>
  <c r="N4197" i="2"/>
  <c r="M4197" i="2"/>
  <c r="L4197" i="2"/>
  <c r="N4184" i="2"/>
  <c r="M4184" i="2"/>
  <c r="L4184" i="2"/>
  <c r="N4172" i="2"/>
  <c r="M4172" i="2"/>
  <c r="L4172" i="2"/>
  <c r="N4149" i="2"/>
  <c r="M4149" i="2"/>
  <c r="L4149" i="2"/>
  <c r="N4138" i="2"/>
  <c r="M4138" i="2"/>
  <c r="L4138" i="2"/>
  <c r="N4084" i="2"/>
  <c r="M4084" i="2"/>
  <c r="L4084" i="2"/>
  <c r="N4058" i="2"/>
  <c r="M4058" i="2"/>
  <c r="L4058" i="2"/>
  <c r="N4034" i="2"/>
  <c r="M4034" i="2"/>
  <c r="L4034" i="2"/>
  <c r="N4031" i="2"/>
  <c r="M4031" i="2"/>
  <c r="L4031" i="2"/>
  <c r="N656" i="2"/>
  <c r="M656" i="2"/>
  <c r="L656" i="2"/>
  <c r="N3961" i="2"/>
  <c r="M3961" i="2"/>
  <c r="L3961" i="2"/>
  <c r="N3948" i="2"/>
  <c r="M3948" i="2"/>
  <c r="L3948" i="2"/>
  <c r="N3938" i="2"/>
  <c r="M3938" i="2"/>
  <c r="L3938" i="2"/>
  <c r="N3914" i="2"/>
  <c r="M3914" i="2"/>
  <c r="L3914" i="2"/>
  <c r="N3901" i="2"/>
  <c r="M3901" i="2"/>
  <c r="L3901" i="2"/>
  <c r="N636" i="2"/>
  <c r="M636" i="2"/>
  <c r="L636" i="2"/>
  <c r="N3868" i="2"/>
  <c r="M3868" i="2"/>
  <c r="L3868" i="2"/>
  <c r="N3847" i="2"/>
  <c r="M3847" i="2"/>
  <c r="L3847" i="2"/>
  <c r="N3836" i="2"/>
  <c r="M3836" i="2"/>
  <c r="L3836" i="2"/>
  <c r="N3830" i="2"/>
  <c r="M3830" i="2"/>
  <c r="L3830" i="2"/>
  <c r="N3820" i="2"/>
  <c r="M3820" i="2"/>
  <c r="L3820" i="2"/>
  <c r="N3803" i="2"/>
  <c r="M3803" i="2"/>
  <c r="L3803" i="2"/>
  <c r="N3794" i="2"/>
  <c r="M3794" i="2"/>
  <c r="L3794" i="2"/>
  <c r="N3783" i="2"/>
  <c r="M3783" i="2"/>
  <c r="L3783" i="2"/>
  <c r="N3771" i="2"/>
  <c r="M3771" i="2"/>
  <c r="L3771" i="2"/>
  <c r="N3760" i="2"/>
  <c r="M3760" i="2"/>
  <c r="L3760" i="2"/>
  <c r="N3750" i="2"/>
  <c r="M3750" i="2"/>
  <c r="L3750" i="2"/>
  <c r="N3737" i="2"/>
  <c r="M3737" i="2"/>
  <c r="L3737" i="2"/>
  <c r="N3727" i="2"/>
  <c r="M3727" i="2"/>
  <c r="L3727" i="2"/>
  <c r="N3716" i="2"/>
  <c r="M3716" i="2"/>
  <c r="L3716" i="2"/>
  <c r="N3697" i="2"/>
  <c r="M3697" i="2"/>
  <c r="L3697" i="2"/>
  <c r="N3692" i="2"/>
  <c r="M3692" i="2"/>
  <c r="L3692" i="2"/>
  <c r="N3681" i="2"/>
  <c r="M3681" i="2"/>
  <c r="L3681" i="2"/>
  <c r="N3668" i="2"/>
  <c r="M3668" i="2"/>
  <c r="L3668" i="2"/>
  <c r="N598" i="2"/>
  <c r="M598" i="2"/>
  <c r="L598" i="2"/>
  <c r="N3640" i="2"/>
  <c r="M3640" i="2"/>
  <c r="L3640" i="2"/>
  <c r="N3628" i="2"/>
  <c r="M3628" i="2"/>
  <c r="L3628" i="2"/>
  <c r="N3620" i="2"/>
  <c r="M3620" i="2"/>
  <c r="L3620" i="2"/>
  <c r="N589" i="2"/>
  <c r="M589" i="2"/>
  <c r="L589" i="2"/>
  <c r="N587" i="2"/>
  <c r="M587" i="2"/>
  <c r="L587" i="2"/>
  <c r="N3574" i="2"/>
  <c r="M3574" i="2"/>
  <c r="L3574" i="2"/>
  <c r="N3558" i="2"/>
  <c r="M3558" i="2"/>
  <c r="L3558" i="2"/>
  <c r="N583" i="2"/>
  <c r="M583" i="2"/>
  <c r="L583" i="2"/>
  <c r="N3528" i="2"/>
  <c r="M3528" i="2"/>
  <c r="L3528" i="2"/>
  <c r="N3494" i="2"/>
  <c r="M3494" i="2"/>
  <c r="L3494" i="2"/>
  <c r="N3475" i="2"/>
  <c r="M3475" i="2"/>
  <c r="L3475" i="2"/>
  <c r="N3447" i="2"/>
  <c r="M3447" i="2"/>
  <c r="L3447" i="2"/>
  <c r="N3432" i="2"/>
  <c r="M3432" i="2"/>
  <c r="L3432" i="2"/>
  <c r="N557" i="2"/>
  <c r="M557" i="2"/>
  <c r="L557" i="2"/>
  <c r="N3408" i="2"/>
  <c r="M3408" i="2"/>
  <c r="L3408" i="2"/>
  <c r="N3381" i="2"/>
  <c r="M3381" i="2"/>
  <c r="L3381" i="2"/>
  <c r="N3363" i="2"/>
  <c r="M3363" i="2"/>
  <c r="L3363" i="2"/>
  <c r="N3342" i="2"/>
  <c r="M3342" i="2"/>
  <c r="L3342" i="2"/>
  <c r="N3317" i="2"/>
  <c r="M3317" i="2"/>
  <c r="L3317" i="2"/>
  <c r="N3289" i="2"/>
  <c r="M3289" i="2"/>
  <c r="L3289" i="2"/>
  <c r="N527" i="2"/>
  <c r="M527" i="2"/>
  <c r="L527" i="2"/>
  <c r="N3247" i="2"/>
  <c r="M3247" i="2"/>
  <c r="L3247" i="2"/>
  <c r="N525" i="2"/>
  <c r="M525" i="2"/>
  <c r="L525" i="2"/>
  <c r="N3222" i="2"/>
  <c r="M3222" i="2"/>
  <c r="L3222" i="2"/>
  <c r="N3210" i="2"/>
  <c r="M3210" i="2"/>
  <c r="L3210" i="2"/>
  <c r="N3195" i="2"/>
  <c r="M3195" i="2"/>
  <c r="L3195" i="2"/>
  <c r="N3180" i="2"/>
  <c r="M3180" i="2"/>
  <c r="L3180" i="2"/>
  <c r="N3154" i="2"/>
  <c r="M3154" i="2"/>
  <c r="L3154" i="2"/>
  <c r="N3146" i="2"/>
  <c r="M3146" i="2"/>
  <c r="L3146" i="2"/>
  <c r="N3125" i="2"/>
  <c r="M3125" i="2"/>
  <c r="L3125" i="2"/>
  <c r="N3112" i="2"/>
  <c r="M3112" i="2"/>
  <c r="L3112" i="2"/>
  <c r="N3098" i="2"/>
  <c r="M3098" i="2"/>
  <c r="L3098" i="2"/>
  <c r="N3086" i="2"/>
  <c r="M3086" i="2"/>
  <c r="L3086" i="2"/>
  <c r="N3061" i="2"/>
  <c r="M3061" i="2"/>
  <c r="L3061" i="2"/>
  <c r="N3055" i="2"/>
  <c r="M3055" i="2"/>
  <c r="L3055" i="2"/>
  <c r="N3044" i="2"/>
  <c r="M3044" i="2"/>
  <c r="L3044" i="2"/>
  <c r="N3016" i="2"/>
  <c r="M3016" i="2"/>
  <c r="L3016" i="2"/>
  <c r="N2914" i="2"/>
  <c r="M2914" i="2"/>
  <c r="L2914" i="2"/>
  <c r="N2890" i="2"/>
  <c r="M2890" i="2"/>
  <c r="L2890" i="2"/>
  <c r="N2880" i="2"/>
  <c r="M2880" i="2"/>
  <c r="L2880" i="2"/>
  <c r="N2857" i="2"/>
  <c r="M2857" i="2"/>
  <c r="L2857" i="2"/>
  <c r="N2837" i="2"/>
  <c r="M2837" i="2"/>
  <c r="L2837" i="2"/>
  <c r="N2824" i="2"/>
  <c r="M2824" i="2"/>
  <c r="L2824" i="2"/>
  <c r="N2780" i="2"/>
  <c r="M2780" i="2"/>
  <c r="L2780" i="2"/>
  <c r="N2748" i="2"/>
  <c r="M2748" i="2"/>
  <c r="L2748" i="2"/>
  <c r="N2725" i="2"/>
  <c r="M2725" i="2"/>
  <c r="L2725" i="2"/>
  <c r="N2719" i="2"/>
  <c r="M2719" i="2"/>
  <c r="L2719" i="2"/>
  <c r="N2702" i="2"/>
  <c r="M2702" i="2"/>
  <c r="L2702" i="2"/>
  <c r="N2653" i="2"/>
  <c r="M2653" i="2"/>
  <c r="L2653" i="2"/>
  <c r="N2635" i="2"/>
  <c r="M2635" i="2"/>
  <c r="L2635" i="2"/>
  <c r="N2619" i="2"/>
  <c r="M2619" i="2"/>
  <c r="L2619" i="2"/>
  <c r="N2594" i="2"/>
  <c r="M2594" i="2"/>
  <c r="L2594" i="2"/>
  <c r="N2584" i="2"/>
  <c r="M2584" i="2"/>
  <c r="L2584" i="2"/>
  <c r="N2556" i="2"/>
  <c r="M2556" i="2"/>
  <c r="L2556" i="2"/>
  <c r="N2547" i="2"/>
  <c r="N2542" i="2"/>
  <c r="M2542" i="2"/>
  <c r="L2542" i="2"/>
  <c r="N2515" i="2"/>
  <c r="M2515" i="2"/>
  <c r="L2515" i="2"/>
  <c r="N2510" i="2"/>
  <c r="M2510" i="2"/>
  <c r="L2510" i="2"/>
  <c r="N2503" i="2"/>
  <c r="M2503" i="2"/>
  <c r="L2503" i="2"/>
  <c r="N2498" i="2"/>
  <c r="M2498" i="2"/>
  <c r="L2498" i="2"/>
  <c r="N2480" i="2"/>
  <c r="M2480" i="2"/>
  <c r="L2480" i="2"/>
  <c r="N2467" i="2"/>
  <c r="M2467" i="2"/>
  <c r="L2467" i="2"/>
  <c r="N2453" i="2"/>
  <c r="M2453" i="2"/>
  <c r="L2453" i="2"/>
  <c r="N2440" i="2"/>
  <c r="M2440" i="2"/>
  <c r="L2440" i="2"/>
  <c r="N2421" i="2"/>
  <c r="M2421" i="2"/>
  <c r="L2421" i="2"/>
  <c r="N2408" i="2"/>
  <c r="M2408" i="2"/>
  <c r="L2408" i="2"/>
  <c r="N2393" i="2"/>
  <c r="M2393" i="2"/>
  <c r="L2393" i="2"/>
  <c r="N2384" i="2"/>
  <c r="M2384" i="2"/>
  <c r="L2384" i="2"/>
  <c r="N2367" i="2"/>
  <c r="M2367" i="2"/>
  <c r="L2367" i="2"/>
  <c r="N2364" i="2"/>
  <c r="M2364" i="2"/>
  <c r="L2364" i="2"/>
  <c r="N443" i="2"/>
  <c r="M443" i="2"/>
  <c r="L443" i="2"/>
  <c r="N2340" i="2"/>
  <c r="M2340" i="2"/>
  <c r="L2340" i="2"/>
  <c r="N2317" i="2"/>
  <c r="M2317" i="2"/>
  <c r="L2317" i="2"/>
  <c r="N2305" i="2"/>
  <c r="M2305" i="2"/>
  <c r="L2305" i="2"/>
  <c r="N2291" i="2"/>
  <c r="M2291" i="2"/>
  <c r="L2291" i="2"/>
  <c r="N2260" i="2"/>
  <c r="M2260" i="2"/>
  <c r="L2260" i="2"/>
  <c r="N2254" i="2"/>
  <c r="M2254" i="2"/>
  <c r="L2254" i="2"/>
  <c r="N2224" i="2"/>
  <c r="M2224" i="2"/>
  <c r="L2224" i="2"/>
  <c r="N2214" i="2"/>
  <c r="M2214" i="2"/>
  <c r="L2214" i="2"/>
  <c r="N2205" i="2"/>
  <c r="M2205" i="2"/>
  <c r="L2205" i="2"/>
  <c r="N2186" i="2"/>
  <c r="M2186" i="2"/>
  <c r="L2186" i="2"/>
  <c r="N2159" i="2"/>
  <c r="M2159" i="2"/>
  <c r="L2159" i="2"/>
  <c r="N2148" i="2"/>
  <c r="M2148" i="2"/>
  <c r="L2148" i="2"/>
  <c r="N2129" i="2"/>
  <c r="M2129" i="2"/>
  <c r="L2129" i="2"/>
  <c r="N2101" i="2"/>
  <c r="M2101" i="2"/>
  <c r="L2101" i="2"/>
  <c r="N2079" i="2"/>
  <c r="M2079" i="2"/>
  <c r="L2079" i="2"/>
  <c r="N2069" i="2"/>
  <c r="M2069" i="2"/>
  <c r="L2069" i="2"/>
  <c r="N2055" i="2"/>
  <c r="M2055" i="2"/>
  <c r="L2055" i="2"/>
  <c r="N419" i="2"/>
  <c r="M419" i="2"/>
  <c r="L419" i="2"/>
  <c r="N1992" i="2"/>
  <c r="M1992" i="2"/>
  <c r="L1992" i="2"/>
  <c r="N1978" i="2"/>
  <c r="M1978" i="2"/>
  <c r="L1978" i="2"/>
  <c r="N1941" i="2"/>
  <c r="M1941" i="2"/>
  <c r="L1941" i="2"/>
  <c r="N1915" i="2"/>
  <c r="N414" i="2"/>
  <c r="M414" i="2"/>
  <c r="L414" i="2"/>
  <c r="N1880" i="2"/>
  <c r="M1880" i="2"/>
  <c r="L1880" i="2"/>
  <c r="N1856" i="2"/>
  <c r="M1856" i="2"/>
  <c r="L1856" i="2"/>
  <c r="N1839" i="2"/>
  <c r="M1839" i="2"/>
  <c r="L1839" i="2"/>
  <c r="N1829" i="2"/>
  <c r="M1829" i="2"/>
  <c r="L1829" i="2"/>
  <c r="N1809" i="2"/>
  <c r="M1809" i="2"/>
  <c r="L1809" i="2"/>
  <c r="N1798" i="2"/>
  <c r="M1798" i="2"/>
  <c r="L1798" i="2"/>
  <c r="N1785" i="2"/>
  <c r="M1785" i="2"/>
  <c r="L1785" i="2"/>
  <c r="N1769" i="2"/>
  <c r="M1769" i="2"/>
  <c r="L1769" i="2"/>
  <c r="N1737" i="2"/>
  <c r="M1737" i="2"/>
  <c r="L1737" i="2"/>
  <c r="N1727" i="2"/>
  <c r="M1727" i="2"/>
  <c r="L1727" i="2"/>
  <c r="N1719" i="2"/>
  <c r="N1682" i="2"/>
  <c r="M1682" i="2"/>
  <c r="L1682" i="2"/>
  <c r="N1665" i="2"/>
  <c r="M1665" i="2"/>
  <c r="L1665" i="2"/>
  <c r="N1653" i="2"/>
  <c r="M1653" i="2"/>
  <c r="L1653" i="2"/>
  <c r="N1629" i="2"/>
  <c r="M1629" i="2"/>
  <c r="L1629" i="2"/>
  <c r="N385" i="2"/>
  <c r="M385" i="2"/>
  <c r="L385" i="2"/>
  <c r="N1489" i="2"/>
  <c r="M1489" i="2"/>
  <c r="L1489" i="2"/>
  <c r="N1461" i="2"/>
  <c r="M1461" i="2"/>
  <c r="L1461" i="2"/>
  <c r="N1446" i="2"/>
  <c r="M1446" i="2"/>
  <c r="L1446" i="2"/>
  <c r="N1439" i="2"/>
  <c r="N1429" i="2"/>
  <c r="M1429" i="2"/>
  <c r="L1429" i="2"/>
  <c r="N1404" i="2"/>
  <c r="M1404" i="2"/>
  <c r="L1404" i="2"/>
  <c r="N1395" i="2"/>
  <c r="M1395" i="2"/>
  <c r="L1395" i="2"/>
  <c r="N1344" i="2"/>
  <c r="M1344" i="2"/>
  <c r="L1344" i="2"/>
  <c r="N1329" i="2"/>
  <c r="M1329" i="2"/>
  <c r="L1329" i="2"/>
  <c r="N1306" i="2"/>
  <c r="M1306" i="2"/>
  <c r="L1306" i="2"/>
  <c r="N1302" i="2"/>
  <c r="M1302" i="2"/>
  <c r="L1302" i="2"/>
  <c r="N1250" i="2"/>
  <c r="M1250" i="2"/>
  <c r="L1250" i="2"/>
  <c r="N1197" i="2"/>
  <c r="M1197" i="2"/>
  <c r="L1197" i="2"/>
  <c r="N1178" i="2"/>
  <c r="M1178" i="2"/>
  <c r="L1178" i="2"/>
  <c r="M1176" i="2"/>
  <c r="N1168" i="2"/>
  <c r="M1168" i="2"/>
  <c r="L1168" i="2"/>
  <c r="N1146" i="2"/>
  <c r="M1146" i="2"/>
  <c r="L1146" i="2"/>
  <c r="N1135" i="2"/>
  <c r="M1135" i="2"/>
  <c r="L1135" i="2"/>
  <c r="N1118" i="2"/>
  <c r="M1118" i="2"/>
  <c r="L1118" i="2"/>
  <c r="N1093" i="2"/>
  <c r="N1089" i="2"/>
  <c r="M1089" i="2"/>
  <c r="L1089" i="2"/>
  <c r="M1074" i="2"/>
  <c r="N351" i="2"/>
  <c r="M351" i="2"/>
  <c r="L351" i="2"/>
  <c r="N1058" i="2"/>
  <c r="M1058" i="2"/>
  <c r="L1058" i="2"/>
  <c r="N1045" i="2"/>
  <c r="M1045" i="2"/>
  <c r="L1045" i="2"/>
  <c r="N1020" i="2"/>
  <c r="M1020" i="2"/>
  <c r="L1020" i="2"/>
  <c r="N1014" i="2"/>
  <c r="M1014" i="2"/>
  <c r="L1014" i="2"/>
  <c r="N1004" i="2"/>
  <c r="M1004" i="2"/>
  <c r="L1004" i="2"/>
  <c r="N968" i="2"/>
  <c r="M968" i="2"/>
  <c r="L968" i="2"/>
  <c r="N945" i="2"/>
  <c r="M945" i="2"/>
  <c r="L945" i="2"/>
  <c r="N934" i="2"/>
  <c r="M934" i="2"/>
  <c r="L934" i="2"/>
  <c r="N930" i="2"/>
  <c r="M930" i="2"/>
  <c r="L930" i="2"/>
  <c r="N913" i="2"/>
  <c r="M913" i="2"/>
  <c r="L913" i="2"/>
  <c r="N905" i="2"/>
  <c r="M905" i="2"/>
  <c r="L905" i="2"/>
  <c r="N879" i="2"/>
  <c r="M879" i="2"/>
  <c r="L879" i="2"/>
  <c r="N864" i="2"/>
  <c r="M864" i="2"/>
  <c r="L864" i="2"/>
  <c r="N850" i="2"/>
  <c r="M850" i="2"/>
  <c r="L850" i="2"/>
  <c r="N834" i="2"/>
  <c r="M834" i="2"/>
  <c r="L834" i="2"/>
  <c r="N5547" i="2"/>
  <c r="M5547" i="2"/>
  <c r="L5547" i="2"/>
  <c r="N5430" i="2"/>
  <c r="M5430" i="2"/>
  <c r="L5430" i="2"/>
  <c r="N5419" i="2"/>
  <c r="M5419" i="2"/>
  <c r="L5419" i="2"/>
  <c r="N5404" i="2"/>
  <c r="M5404" i="2"/>
  <c r="L5404" i="2"/>
  <c r="N5367" i="2"/>
  <c r="M5367" i="2"/>
  <c r="L5367" i="2"/>
  <c r="N5306" i="2"/>
  <c r="M5306" i="2"/>
  <c r="L5306" i="2"/>
  <c r="N5302" i="2"/>
  <c r="M5302" i="2"/>
  <c r="L5302" i="2"/>
  <c r="N5290" i="2"/>
  <c r="M5290" i="2"/>
  <c r="L5290" i="2"/>
  <c r="N5282" i="2"/>
  <c r="M5282" i="2"/>
  <c r="L5282" i="2"/>
  <c r="L5274" i="2"/>
  <c r="N201" i="2"/>
  <c r="M201" i="2"/>
  <c r="L201" i="2"/>
  <c r="N5232" i="2"/>
  <c r="M5232" i="2"/>
  <c r="L5232" i="2"/>
  <c r="N5220" i="2"/>
  <c r="N5205" i="2"/>
  <c r="M5205" i="2"/>
  <c r="L5205" i="2"/>
  <c r="N171" i="2"/>
  <c r="M171" i="2"/>
  <c r="L171" i="2"/>
  <c r="N5135" i="2"/>
  <c r="M5135" i="2"/>
  <c r="L5135" i="2"/>
  <c r="L5017" i="2"/>
  <c r="L5009" i="2"/>
  <c r="N4948" i="2"/>
  <c r="M4948" i="2"/>
  <c r="L4948" i="2"/>
  <c r="N4920" i="2"/>
  <c r="M4920" i="2"/>
  <c r="L4920" i="2"/>
  <c r="N4848" i="2"/>
  <c r="M4848" i="2"/>
  <c r="L4848" i="2"/>
  <c r="N4824" i="2"/>
  <c r="M4824" i="2"/>
  <c r="L4824" i="2"/>
  <c r="N4791" i="2"/>
  <c r="M4791" i="2"/>
  <c r="L4791" i="2"/>
  <c r="N4771" i="2"/>
  <c r="M4771" i="2"/>
  <c r="L4771" i="2"/>
  <c r="N4764" i="2"/>
  <c r="M4764" i="2"/>
  <c r="L4764" i="2"/>
  <c r="N4706" i="2"/>
  <c r="M4706" i="2"/>
  <c r="L4706" i="2"/>
  <c r="N4703" i="2"/>
  <c r="M4703" i="2"/>
  <c r="L4703" i="2"/>
  <c r="N4" i="2"/>
  <c r="M4" i="2"/>
  <c r="L4" i="2"/>
  <c r="N4633" i="2"/>
  <c r="M4633" i="2"/>
  <c r="L4633" i="2"/>
  <c r="N4593" i="2"/>
  <c r="M4593" i="2"/>
  <c r="L4593" i="2"/>
  <c r="N4576" i="2"/>
  <c r="M4576" i="2"/>
  <c r="L4576" i="2"/>
  <c r="N4514" i="2"/>
  <c r="M4514" i="2"/>
  <c r="L4514" i="2"/>
  <c r="N782" i="2"/>
  <c r="N4472" i="2"/>
  <c r="M4472" i="2"/>
  <c r="L4472" i="2"/>
  <c r="N768" i="2"/>
  <c r="M768" i="2"/>
  <c r="L768" i="2"/>
  <c r="N4412" i="2"/>
  <c r="M4412" i="2"/>
  <c r="L4412" i="2"/>
  <c r="N4403" i="2"/>
  <c r="M4403" i="2"/>
  <c r="L4403" i="2"/>
  <c r="N4354" i="2"/>
  <c r="M4354" i="2"/>
  <c r="L4354" i="2"/>
  <c r="M4349" i="2"/>
  <c r="N4338" i="2"/>
  <c r="M4338" i="2"/>
  <c r="L4338" i="2"/>
  <c r="N727" i="2"/>
  <c r="M727" i="2"/>
  <c r="L727" i="2"/>
  <c r="N4278" i="2"/>
  <c r="M4278" i="2"/>
  <c r="L4278" i="2"/>
  <c r="N4203" i="2"/>
  <c r="M4203" i="2"/>
  <c r="L4203" i="2"/>
  <c r="N4156" i="2"/>
  <c r="M4156" i="2"/>
  <c r="L4156" i="2"/>
  <c r="N4135" i="2"/>
  <c r="M4135" i="2"/>
  <c r="L4135" i="2"/>
  <c r="N4122" i="2"/>
  <c r="M4122" i="2"/>
  <c r="L4122" i="2"/>
  <c r="N4097" i="2"/>
  <c r="M4097" i="2"/>
  <c r="L4097" i="2"/>
  <c r="N4066" i="2"/>
  <c r="M4066" i="2"/>
  <c r="L4066" i="2"/>
  <c r="N4007" i="2"/>
  <c r="M4007" i="2"/>
  <c r="L4007" i="2"/>
  <c r="N3999" i="2"/>
  <c r="M3999" i="2"/>
  <c r="L3999" i="2"/>
  <c r="N3986" i="2"/>
  <c r="M3986" i="2"/>
  <c r="L3986" i="2"/>
  <c r="N3932" i="2"/>
  <c r="M3932" i="2"/>
  <c r="L3932" i="2"/>
  <c r="N3926" i="2"/>
  <c r="M3926" i="2"/>
  <c r="L3926" i="2"/>
  <c r="N3888" i="2"/>
  <c r="M3888" i="2"/>
  <c r="L3888" i="2"/>
  <c r="N3854" i="2"/>
  <c r="M3854" i="2"/>
  <c r="L3854" i="2"/>
  <c r="N3817" i="2"/>
  <c r="M3817" i="2"/>
  <c r="L3817" i="2"/>
  <c r="M3673" i="2"/>
  <c r="L3590" i="2"/>
  <c r="N3582" i="2"/>
  <c r="M3582" i="2"/>
  <c r="L3582" i="2"/>
  <c r="N3538" i="2"/>
  <c r="M3538" i="2"/>
  <c r="L3538" i="2"/>
  <c r="N3516" i="2"/>
  <c r="M3516" i="2"/>
  <c r="L3516" i="2"/>
  <c r="L3489" i="2"/>
  <c r="N3482" i="2"/>
  <c r="M3482" i="2"/>
  <c r="L3482" i="2"/>
  <c r="N3466" i="2"/>
  <c r="M3466" i="2"/>
  <c r="L3466" i="2"/>
  <c r="N3459" i="2"/>
  <c r="M3459" i="2"/>
  <c r="L3459" i="2"/>
  <c r="N3427" i="2"/>
  <c r="N3390" i="2"/>
  <c r="M3390" i="2"/>
  <c r="L3390" i="2"/>
  <c r="L3375" i="2"/>
  <c r="M3369" i="2"/>
  <c r="N3358" i="2"/>
  <c r="M3358" i="2"/>
  <c r="L3358" i="2"/>
  <c r="N3355" i="2"/>
  <c r="M3355" i="2"/>
  <c r="L3355" i="2"/>
  <c r="N3329" i="2"/>
  <c r="M3329" i="2"/>
  <c r="L3329" i="2"/>
  <c r="N3308" i="2"/>
  <c r="M3308" i="2"/>
  <c r="L3308" i="2"/>
  <c r="N3260" i="2"/>
  <c r="N3232" i="2"/>
  <c r="M3232" i="2"/>
  <c r="L3232" i="2"/>
  <c r="N3205" i="2"/>
  <c r="N3189" i="2"/>
  <c r="M3189" i="2"/>
  <c r="L3189" i="2"/>
  <c r="L3151" i="2"/>
  <c r="N3134" i="2"/>
  <c r="M3134" i="2"/>
  <c r="L3134" i="2"/>
  <c r="N3071" i="2"/>
  <c r="M3071" i="2"/>
  <c r="L3071" i="2"/>
  <c r="N3037" i="2"/>
  <c r="M3037" i="2"/>
  <c r="L3037" i="2"/>
  <c r="N3007" i="2"/>
  <c r="M3007" i="2"/>
  <c r="L3007" i="2"/>
  <c r="N2990" i="2"/>
  <c r="M2990" i="2"/>
  <c r="L2990" i="2"/>
  <c r="N2975" i="2"/>
  <c r="M2975" i="2"/>
  <c r="L2975" i="2"/>
  <c r="N2961" i="2"/>
  <c r="M2961" i="2"/>
  <c r="L2961" i="2"/>
  <c r="N2951" i="2"/>
  <c r="M2951" i="2"/>
  <c r="L2951" i="2"/>
  <c r="N2933" i="2"/>
  <c r="M2933" i="2"/>
  <c r="L2933" i="2"/>
  <c r="N2906" i="2"/>
  <c r="M2906" i="2"/>
  <c r="L2906" i="2"/>
  <c r="N2847" i="2"/>
  <c r="M2847" i="2"/>
  <c r="L2847" i="2"/>
  <c r="N2821" i="2"/>
  <c r="M2821" i="2"/>
  <c r="L2821" i="2"/>
  <c r="N2811" i="2"/>
  <c r="M2811" i="2"/>
  <c r="L2811" i="2"/>
  <c r="N2796" i="2"/>
  <c r="M2796" i="2"/>
  <c r="L2796" i="2"/>
  <c r="N2793" i="2"/>
  <c r="N2760" i="2"/>
  <c r="M2760" i="2"/>
  <c r="L2760" i="2"/>
  <c r="L2715" i="2"/>
  <c r="N2691" i="2"/>
  <c r="M2691" i="2"/>
  <c r="L2691" i="2"/>
  <c r="N2688" i="2"/>
  <c r="M2688" i="2"/>
  <c r="L2688" i="2"/>
  <c r="N2674" i="2"/>
  <c r="M2674" i="2"/>
  <c r="L2674" i="2"/>
  <c r="N2673" i="2"/>
  <c r="N2662" i="2"/>
  <c r="M2662" i="2"/>
  <c r="L2662" i="2"/>
  <c r="N2612" i="2"/>
  <c r="M2612" i="2"/>
  <c r="L2612" i="2"/>
  <c r="N2611" i="2"/>
  <c r="M2611" i="2"/>
  <c r="L2611" i="2"/>
  <c r="N2592" i="2"/>
  <c r="M2592" i="2"/>
  <c r="L2592" i="2"/>
  <c r="N2568" i="2"/>
  <c r="M2568" i="2"/>
  <c r="L2568" i="2"/>
  <c r="N2534" i="2"/>
  <c r="M2534" i="2"/>
  <c r="L2534" i="2"/>
  <c r="N2522" i="2"/>
  <c r="M2522" i="2"/>
  <c r="L2522" i="2"/>
  <c r="N2493" i="2"/>
  <c r="M2493" i="2"/>
  <c r="L2493" i="2"/>
  <c r="N2463" i="2"/>
  <c r="M2463" i="2"/>
  <c r="L2463" i="2"/>
  <c r="N2448" i="2"/>
  <c r="M2448" i="2"/>
  <c r="L2448" i="2"/>
  <c r="N2415" i="2"/>
  <c r="M2415" i="2"/>
  <c r="L2415" i="2"/>
  <c r="N2392" i="2"/>
  <c r="M2392" i="2"/>
  <c r="L2392" i="2"/>
  <c r="N2358" i="2"/>
  <c r="M2358" i="2"/>
  <c r="L2358" i="2"/>
  <c r="N2349" i="2"/>
  <c r="M2349" i="2"/>
  <c r="L2349" i="2"/>
  <c r="N2296" i="2"/>
  <c r="M2296" i="2"/>
  <c r="L2296" i="2"/>
  <c r="N2288" i="2"/>
  <c r="M2288" i="2"/>
  <c r="L2288" i="2"/>
  <c r="N2273" i="2"/>
  <c r="M2273" i="2"/>
  <c r="L2273" i="2"/>
  <c r="N2268" i="2"/>
  <c r="M2268" i="2"/>
  <c r="L2268" i="2"/>
  <c r="N2250" i="2"/>
  <c r="M2250" i="2"/>
  <c r="L2250" i="2"/>
  <c r="N2239" i="2"/>
  <c r="M2239" i="2"/>
  <c r="L2239" i="2"/>
  <c r="N2200" i="2"/>
  <c r="M2200" i="2"/>
  <c r="L2200" i="2"/>
  <c r="N2175" i="2"/>
  <c r="M2175" i="2"/>
  <c r="L2175" i="2"/>
  <c r="N2145" i="2"/>
  <c r="M2145" i="2"/>
  <c r="L2145" i="2"/>
  <c r="N2125" i="2"/>
  <c r="M2125" i="2"/>
  <c r="L2125" i="2"/>
  <c r="N2115" i="2"/>
  <c r="M2115" i="2"/>
  <c r="L2115" i="2"/>
  <c r="N2073" i="2"/>
  <c r="M2073" i="2"/>
  <c r="L2073" i="2"/>
  <c r="N2046" i="2"/>
  <c r="M2046" i="2"/>
  <c r="L2046" i="2"/>
  <c r="N2036" i="2"/>
  <c r="M2036" i="2"/>
  <c r="L2036" i="2"/>
  <c r="N2030" i="2"/>
  <c r="M2030" i="2"/>
  <c r="L2030" i="2"/>
  <c r="N2015" i="2"/>
  <c r="M2015" i="2"/>
  <c r="L2015" i="2"/>
  <c r="N2005" i="2"/>
  <c r="M2005" i="2"/>
  <c r="L2005" i="2"/>
  <c r="N1995" i="2"/>
  <c r="M1995" i="2"/>
  <c r="L1995" i="2"/>
  <c r="N1965" i="2"/>
  <c r="M1965" i="2"/>
  <c r="L1965" i="2"/>
  <c r="N1951" i="2"/>
  <c r="M1951" i="2"/>
  <c r="L1951" i="2"/>
  <c r="N1950" i="2"/>
  <c r="M1950" i="2"/>
  <c r="L1950" i="2"/>
  <c r="N1936" i="2"/>
  <c r="M1936" i="2"/>
  <c r="L1936" i="2"/>
  <c r="N1925" i="2"/>
  <c r="M1925" i="2"/>
  <c r="L1925" i="2"/>
  <c r="N1908" i="2"/>
  <c r="M1908" i="2"/>
  <c r="L1908" i="2"/>
  <c r="N1898" i="2"/>
  <c r="M1898" i="2"/>
  <c r="L1898" i="2"/>
  <c r="N1850" i="2"/>
  <c r="M1850" i="2"/>
  <c r="L1850" i="2"/>
  <c r="N1820" i="2"/>
  <c r="M1820" i="2"/>
  <c r="L1820" i="2"/>
  <c r="N1791" i="2"/>
  <c r="M1791" i="2"/>
  <c r="L1791" i="2"/>
  <c r="N1786" i="2"/>
  <c r="M1786" i="2"/>
  <c r="L1786" i="2"/>
  <c r="N1778" i="2"/>
  <c r="M1778" i="2"/>
  <c r="L1778" i="2"/>
  <c r="N1761" i="2"/>
  <c r="M1761" i="2"/>
  <c r="L1761" i="2"/>
  <c r="N1754" i="2"/>
  <c r="M1754" i="2"/>
  <c r="L1754" i="2"/>
  <c r="N1752" i="2"/>
  <c r="M1752" i="2"/>
  <c r="L1752" i="2"/>
  <c r="N1735" i="2"/>
  <c r="M1735" i="2"/>
  <c r="L1735" i="2"/>
  <c r="N1716" i="2"/>
  <c r="M1716" i="2"/>
  <c r="L1716" i="2"/>
  <c r="N1709" i="2"/>
  <c r="M1709" i="2"/>
  <c r="L1709" i="2"/>
  <c r="N1701" i="2"/>
  <c r="M1701" i="2"/>
  <c r="L1701" i="2"/>
  <c r="N1700" i="2"/>
  <c r="M1700" i="2"/>
  <c r="L1700" i="2"/>
  <c r="N1644" i="2"/>
  <c r="M1644" i="2"/>
  <c r="L1644" i="2"/>
  <c r="N1637" i="2"/>
  <c r="M1637" i="2"/>
  <c r="L1637" i="2"/>
  <c r="N1635" i="2"/>
  <c r="M1635" i="2"/>
  <c r="L1635" i="2"/>
  <c r="N1624" i="2"/>
  <c r="M1624" i="2"/>
  <c r="L1624" i="2"/>
  <c r="N1618" i="2"/>
  <c r="M1618" i="2"/>
  <c r="L1618" i="2"/>
  <c r="N1602" i="2"/>
  <c r="M1602" i="2"/>
  <c r="L1602" i="2"/>
  <c r="N1595" i="2"/>
  <c r="M1595" i="2"/>
  <c r="L1595" i="2"/>
  <c r="N1583" i="2"/>
  <c r="M1583" i="2"/>
  <c r="L1583" i="2"/>
  <c r="N1575" i="2"/>
  <c r="M1575" i="2"/>
  <c r="L1575" i="2"/>
  <c r="N1569" i="2"/>
  <c r="M1569" i="2"/>
  <c r="L1569" i="2"/>
  <c r="N1558" i="2"/>
  <c r="M1558" i="2"/>
  <c r="L1558" i="2"/>
  <c r="N1552" i="2"/>
  <c r="M1552" i="2"/>
  <c r="L1552" i="2"/>
  <c r="N1543" i="2"/>
  <c r="M1543" i="2"/>
  <c r="L1543" i="2"/>
  <c r="N1535" i="2"/>
  <c r="M1535" i="2"/>
  <c r="L1535" i="2"/>
  <c r="N1530" i="2"/>
  <c r="M1530" i="2"/>
  <c r="L1530" i="2"/>
  <c r="N1525" i="2"/>
  <c r="M1525" i="2"/>
  <c r="L1525" i="2"/>
  <c r="N1517" i="2"/>
  <c r="M1517" i="2"/>
  <c r="L1517" i="2"/>
  <c r="N1504" i="2"/>
  <c r="M1504" i="2"/>
  <c r="L1504" i="2"/>
  <c r="N1502" i="2"/>
  <c r="M1502" i="2"/>
  <c r="L1502" i="2"/>
  <c r="N1475" i="2"/>
  <c r="M1475" i="2"/>
  <c r="L1475" i="2"/>
  <c r="N1452" i="2"/>
  <c r="M1452" i="2"/>
  <c r="L1452" i="2"/>
  <c r="N1420" i="2"/>
  <c r="M1420" i="2"/>
  <c r="L1420" i="2"/>
  <c r="N1400" i="2"/>
  <c r="M1400" i="2"/>
  <c r="L1400" i="2"/>
  <c r="N1389" i="2"/>
  <c r="M1389" i="2"/>
  <c r="L1389" i="2"/>
  <c r="N1380" i="2"/>
  <c r="M1380" i="2"/>
  <c r="L1380" i="2"/>
  <c r="N1367" i="2"/>
  <c r="M1367" i="2"/>
  <c r="L1367" i="2"/>
  <c r="N1361" i="2"/>
  <c r="M1361" i="2"/>
  <c r="L1361" i="2"/>
  <c r="N1338" i="2"/>
  <c r="M1338" i="2"/>
  <c r="L1338" i="2"/>
  <c r="N1320" i="2"/>
  <c r="M1320" i="2"/>
  <c r="L1320" i="2"/>
  <c r="N1311" i="2"/>
  <c r="M1311" i="2"/>
  <c r="L1311" i="2"/>
  <c r="N1265" i="2"/>
  <c r="M1265" i="2"/>
  <c r="L1265" i="2"/>
  <c r="N1236" i="2"/>
  <c r="M1236" i="2"/>
  <c r="L1236" i="2"/>
  <c r="N1219" i="2"/>
  <c r="M1219" i="2"/>
  <c r="L1219" i="2"/>
  <c r="N1215" i="2"/>
  <c r="M1215" i="2"/>
  <c r="L1215" i="2"/>
  <c r="N1211" i="2"/>
  <c r="M1211" i="2"/>
  <c r="L1211" i="2"/>
  <c r="N1202" i="2"/>
  <c r="M1202" i="2"/>
  <c r="L1202" i="2"/>
  <c r="N1191" i="2"/>
  <c r="M1191" i="2"/>
  <c r="L1191" i="2"/>
  <c r="N1162" i="2"/>
  <c r="M1162" i="2"/>
  <c r="L1162" i="2"/>
  <c r="N1157" i="2"/>
  <c r="M1157" i="2"/>
  <c r="L1157" i="2"/>
  <c r="N1141" i="2"/>
  <c r="M1141" i="2"/>
  <c r="L1141" i="2"/>
  <c r="N1110" i="2"/>
  <c r="M1110" i="2"/>
  <c r="L1110" i="2"/>
  <c r="N1098" i="2"/>
  <c r="M1098" i="2"/>
  <c r="L1098" i="2"/>
  <c r="N1080" i="2"/>
  <c r="M1080" i="2"/>
  <c r="L1080" i="2"/>
  <c r="N1034" i="2"/>
  <c r="M1034" i="2"/>
  <c r="L1034" i="2"/>
  <c r="N982" i="2"/>
  <c r="M982" i="2"/>
  <c r="L982" i="2"/>
  <c r="N973" i="2"/>
  <c r="M973" i="2"/>
  <c r="L973" i="2"/>
  <c r="N959" i="2"/>
  <c r="M959" i="2"/>
  <c r="L959" i="2"/>
  <c r="N941" i="2"/>
  <c r="M941" i="2"/>
  <c r="L941" i="2"/>
  <c r="N923" i="2"/>
  <c r="M923" i="2"/>
  <c r="L923" i="2"/>
  <c r="N826" i="2"/>
  <c r="M826" i="2"/>
  <c r="L826" i="2"/>
  <c r="N5543" i="2"/>
  <c r="M5543" i="2"/>
  <c r="L5543" i="2"/>
  <c r="N275" i="2"/>
  <c r="M275" i="2"/>
  <c r="L275" i="2"/>
  <c r="N5521" i="2"/>
  <c r="M5521" i="2"/>
  <c r="L5521" i="2"/>
  <c r="L5517" i="2"/>
  <c r="N5512" i="2"/>
  <c r="M5512" i="2"/>
  <c r="L5512" i="2"/>
  <c r="M5501" i="2"/>
  <c r="N5470" i="2"/>
  <c r="M5470" i="2"/>
  <c r="L5470" i="2"/>
  <c r="N5458" i="2"/>
  <c r="M5458" i="2"/>
  <c r="L5458" i="2"/>
  <c r="L242" i="2"/>
  <c r="N5447" i="2"/>
  <c r="M5447" i="2"/>
  <c r="L5447" i="2"/>
  <c r="N5435" i="2"/>
  <c r="M5435" i="2"/>
  <c r="L5435" i="2"/>
  <c r="N5386" i="2"/>
  <c r="M5386" i="2"/>
  <c r="L5386" i="2"/>
  <c r="N227" i="2"/>
  <c r="M227" i="2"/>
  <c r="L227" i="2"/>
  <c r="N5337" i="2"/>
  <c r="M5337" i="2"/>
  <c r="L5337" i="2"/>
  <c r="N5333" i="2"/>
  <c r="M5333" i="2"/>
  <c r="L5333" i="2"/>
  <c r="N5317" i="2"/>
  <c r="M5317" i="2"/>
  <c r="L5317" i="2"/>
  <c r="N221" i="2"/>
  <c r="N5270" i="2"/>
  <c r="M5270" i="2"/>
  <c r="L5270" i="2"/>
  <c r="N209" i="2"/>
  <c r="M209" i="2"/>
  <c r="N5253" i="2"/>
  <c r="M5253" i="2"/>
  <c r="L5253" i="2"/>
  <c r="N5246" i="2"/>
  <c r="M5246" i="2"/>
  <c r="L5246" i="2"/>
  <c r="M5230" i="2"/>
  <c r="N198" i="2"/>
  <c r="N5213" i="2"/>
  <c r="M5213" i="2"/>
  <c r="L5213" i="2"/>
  <c r="N5194" i="2"/>
  <c r="M5194" i="2"/>
  <c r="L5194" i="2"/>
  <c r="N5186" i="2"/>
  <c r="M5186" i="2"/>
  <c r="L5186" i="2"/>
  <c r="N5166" i="2"/>
  <c r="M5166" i="2"/>
  <c r="L5166" i="2"/>
  <c r="N5153" i="2"/>
  <c r="M5153" i="2"/>
  <c r="L5153" i="2"/>
  <c r="N5148" i="2"/>
  <c r="M5148" i="2"/>
  <c r="L5148" i="2"/>
  <c r="N5139" i="2"/>
  <c r="M5139" i="2"/>
  <c r="L5139" i="2"/>
  <c r="N5130" i="2"/>
  <c r="N5126" i="2"/>
  <c r="M5126" i="2"/>
  <c r="L5126" i="2"/>
  <c r="N5114" i="2"/>
  <c r="M5114" i="2"/>
  <c r="L5114" i="2"/>
  <c r="N5104" i="2"/>
  <c r="M5104" i="2"/>
  <c r="L5104" i="2"/>
  <c r="N151" i="2"/>
  <c r="M151" i="2"/>
  <c r="L151" i="2"/>
  <c r="N5087" i="2"/>
  <c r="M5087" i="2"/>
  <c r="L5087" i="2"/>
  <c r="N5075" i="2"/>
  <c r="M5075" i="2"/>
  <c r="L5075" i="2"/>
  <c r="N5064" i="2"/>
  <c r="M5064" i="2"/>
  <c r="L5064" i="2"/>
  <c r="N5052" i="2"/>
  <c r="M5052" i="2"/>
  <c r="L5052" i="2"/>
  <c r="N5042" i="2"/>
  <c r="M5042" i="2"/>
  <c r="L5042" i="2"/>
  <c r="N5030" i="2"/>
  <c r="M5030" i="2"/>
  <c r="L5030" i="2"/>
  <c r="N121" i="2"/>
  <c r="M121" i="2"/>
  <c r="L121" i="2"/>
  <c r="N5013" i="2"/>
  <c r="M5013" i="2"/>
  <c r="L5013" i="2"/>
  <c r="N5000" i="2"/>
  <c r="M5000" i="2"/>
  <c r="L5000" i="2"/>
  <c r="N4987" i="2"/>
  <c r="M4987" i="2"/>
  <c r="L4987" i="2"/>
  <c r="N4979" i="2"/>
  <c r="M4979" i="2"/>
  <c r="L4979" i="2"/>
  <c r="N4966" i="2"/>
  <c r="M4966" i="2"/>
  <c r="L4966" i="2"/>
  <c r="N4957" i="2"/>
  <c r="M4957" i="2"/>
  <c r="L4957" i="2"/>
  <c r="M4953" i="2"/>
  <c r="N4936" i="2"/>
  <c r="M4936" i="2"/>
  <c r="L4936" i="2"/>
  <c r="N4928" i="2"/>
  <c r="M4928" i="2"/>
  <c r="L4928" i="2"/>
  <c r="N4908" i="2"/>
  <c r="M4908" i="2"/>
  <c r="L4908" i="2"/>
  <c r="N4897" i="2"/>
  <c r="M4897" i="2"/>
  <c r="L4897" i="2"/>
  <c r="N4859" i="2"/>
  <c r="M4859" i="2"/>
  <c r="L4859" i="2"/>
  <c r="N4833" i="2"/>
  <c r="M4833" i="2"/>
  <c r="L4833" i="2"/>
  <c r="N4815" i="2"/>
  <c r="M4815" i="2"/>
  <c r="L4815" i="2"/>
  <c r="N4809" i="2"/>
  <c r="N62" i="2"/>
  <c r="M62" i="2"/>
  <c r="L62" i="2"/>
  <c r="N4781" i="2"/>
  <c r="M4781" i="2"/>
  <c r="L4781" i="2"/>
  <c r="N4753" i="2"/>
  <c r="M4753" i="2"/>
  <c r="L4753" i="2"/>
  <c r="N4742" i="2"/>
  <c r="M4742" i="2"/>
  <c r="L4742" i="2"/>
  <c r="N31" i="2"/>
  <c r="M31" i="2"/>
  <c r="L31" i="2"/>
  <c r="N4721" i="2"/>
  <c r="M4721" i="2"/>
  <c r="L4721" i="2"/>
  <c r="M4715" i="2"/>
  <c r="N14" i="2"/>
  <c r="M14" i="2"/>
  <c r="L14" i="2"/>
  <c r="N325" i="2"/>
  <c r="M325" i="2"/>
  <c r="L325" i="2"/>
  <c r="N4657" i="2"/>
  <c r="M4657" i="2"/>
  <c r="L4657" i="2"/>
  <c r="N4616" i="2"/>
  <c r="M4616" i="2"/>
  <c r="L4616" i="2"/>
  <c r="N4584" i="2"/>
  <c r="M4584" i="2"/>
  <c r="L4584" i="2"/>
  <c r="N4561" i="2"/>
  <c r="M4561" i="2"/>
  <c r="L4561" i="2"/>
  <c r="N4541" i="2"/>
  <c r="M4541" i="2"/>
  <c r="L4541" i="2"/>
  <c r="N4524" i="2"/>
  <c r="M4524" i="2"/>
  <c r="L4524" i="2"/>
  <c r="N788" i="2"/>
  <c r="M788" i="2"/>
  <c r="L788" i="2"/>
  <c r="N4497" i="2"/>
  <c r="M4497" i="2"/>
  <c r="L4497" i="2"/>
  <c r="N4488" i="2"/>
  <c r="M4488" i="2"/>
  <c r="L4488" i="2"/>
  <c r="N780" i="2"/>
  <c r="M780" i="2"/>
  <c r="L780" i="2"/>
  <c r="N4460" i="2"/>
  <c r="M4460" i="2"/>
  <c r="L4460" i="2"/>
  <c r="L4441" i="2"/>
  <c r="N4434" i="2"/>
  <c r="M4434" i="2"/>
  <c r="L4434" i="2"/>
  <c r="N761" i="2"/>
  <c r="M761" i="2"/>
  <c r="L761" i="2"/>
  <c r="N4422" i="2"/>
  <c r="N4394" i="2"/>
  <c r="M4394" i="2"/>
  <c r="L4394" i="2"/>
  <c r="N746" i="2"/>
  <c r="M746" i="2"/>
  <c r="L746" i="2"/>
  <c r="N742" i="2"/>
  <c r="M742" i="2"/>
  <c r="L742" i="2"/>
  <c r="N734" i="2"/>
  <c r="M734" i="2"/>
  <c r="L734" i="2"/>
  <c r="N732" i="2"/>
  <c r="M732" i="2"/>
  <c r="L732" i="2"/>
  <c r="N4302" i="2"/>
  <c r="M4302" i="2"/>
  <c r="L4302" i="2"/>
  <c r="N4292" i="2"/>
  <c r="M4292" i="2"/>
  <c r="L4292" i="2"/>
  <c r="N4263" i="2"/>
  <c r="M4263" i="2"/>
  <c r="L4263" i="2"/>
  <c r="N4250" i="2"/>
  <c r="M4250" i="2"/>
  <c r="L4250" i="2"/>
  <c r="N4239" i="2"/>
  <c r="M4239" i="2"/>
  <c r="L4239" i="2"/>
  <c r="N4214" i="2"/>
  <c r="M4214" i="2"/>
  <c r="L4214" i="2"/>
  <c r="L4209" i="2"/>
  <c r="M4202" i="2"/>
  <c r="N4195" i="2"/>
  <c r="M4195" i="2"/>
  <c r="L4195" i="2"/>
  <c r="N4167" i="2"/>
  <c r="M4167" i="2"/>
  <c r="L4167" i="2"/>
  <c r="M4152" i="2"/>
  <c r="N4150" i="2"/>
  <c r="M4150" i="2"/>
  <c r="L4150" i="2"/>
  <c r="N4137" i="2"/>
  <c r="M4137" i="2"/>
  <c r="L4137" i="2"/>
  <c r="M4087" i="2"/>
  <c r="L4087" i="2"/>
  <c r="N677" i="2"/>
  <c r="M677" i="2"/>
  <c r="L677" i="2"/>
  <c r="N4057" i="2"/>
  <c r="M4057" i="2"/>
  <c r="L4057" i="2"/>
  <c r="N4036" i="2"/>
  <c r="M4036" i="2"/>
  <c r="L4036" i="2"/>
  <c r="N660" i="2"/>
  <c r="M660" i="2"/>
  <c r="L660" i="2"/>
  <c r="M4023" i="2"/>
  <c r="N4015" i="2"/>
  <c r="M4015" i="2"/>
  <c r="L4015" i="2"/>
  <c r="N3962" i="2"/>
  <c r="M3962" i="2"/>
  <c r="L3962" i="2"/>
  <c r="N3949" i="2"/>
  <c r="M3949" i="2"/>
  <c r="L3949" i="2"/>
  <c r="N643" i="2"/>
  <c r="N3937" i="2"/>
  <c r="M3937" i="2"/>
  <c r="L3937" i="2"/>
  <c r="N3911" i="2"/>
  <c r="M3911" i="2"/>
  <c r="L3911" i="2"/>
  <c r="N3897" i="2"/>
  <c r="M3897" i="2"/>
  <c r="L3897" i="2"/>
  <c r="N3893" i="2"/>
  <c r="N3878" i="2"/>
  <c r="M3878" i="2"/>
  <c r="L3878" i="2"/>
  <c r="N633" i="2"/>
  <c r="M633" i="2"/>
  <c r="L633" i="2"/>
  <c r="N3849" i="2"/>
  <c r="M3849" i="2"/>
  <c r="L3849" i="2"/>
  <c r="N3835" i="2"/>
  <c r="M3835" i="2"/>
  <c r="L3835" i="2"/>
  <c r="N3829" i="2"/>
  <c r="M3829" i="2"/>
  <c r="L3829" i="2"/>
  <c r="N3822" i="2"/>
  <c r="M3822" i="2"/>
  <c r="L3822" i="2"/>
  <c r="N3811" i="2"/>
  <c r="M3811" i="2"/>
  <c r="N3806" i="2"/>
  <c r="M3806" i="2"/>
  <c r="L3806" i="2"/>
  <c r="N3793" i="2"/>
  <c r="M3793" i="2"/>
  <c r="L3793" i="2"/>
  <c r="N624" i="2"/>
  <c r="M624" i="2"/>
  <c r="L624" i="2"/>
  <c r="N3770" i="2"/>
  <c r="M3770" i="2"/>
  <c r="L3770" i="2"/>
  <c r="M3767" i="2"/>
  <c r="N3762" i="2"/>
  <c r="M3762" i="2"/>
  <c r="L3762" i="2"/>
  <c r="N615" i="2"/>
  <c r="M615" i="2"/>
  <c r="L615" i="2"/>
  <c r="N3736" i="2"/>
  <c r="M3736" i="2"/>
  <c r="L3736" i="2"/>
  <c r="N3731" i="2"/>
  <c r="N3723" i="2"/>
  <c r="M3723" i="2"/>
  <c r="L3723" i="2"/>
  <c r="N3711" i="2"/>
  <c r="M3711" i="2"/>
  <c r="L3711" i="2"/>
  <c r="L3701" i="2"/>
  <c r="N609" i="2"/>
  <c r="M609" i="2"/>
  <c r="L609" i="2"/>
  <c r="N3691" i="2"/>
  <c r="M3691" i="2"/>
  <c r="L3691" i="2"/>
  <c r="N3677" i="2"/>
  <c r="M3677" i="2"/>
  <c r="L3677" i="2"/>
  <c r="N3667" i="2"/>
  <c r="M3667" i="2"/>
  <c r="L3667" i="2"/>
  <c r="M3659" i="2"/>
  <c r="N597" i="2"/>
  <c r="M597" i="2"/>
  <c r="L597" i="2"/>
  <c r="N3641" i="2"/>
  <c r="M3641" i="2"/>
  <c r="L3641" i="2"/>
  <c r="N595" i="2"/>
  <c r="M595" i="2"/>
  <c r="L595" i="2"/>
  <c r="N3617" i="2"/>
  <c r="M3617" i="2"/>
  <c r="L3617" i="2"/>
  <c r="N3599" i="2"/>
  <c r="M3599" i="2"/>
  <c r="L3599" i="2"/>
  <c r="N3596" i="2"/>
  <c r="M3596" i="2"/>
  <c r="L3596" i="2"/>
  <c r="N3571" i="2"/>
  <c r="M3571" i="2"/>
  <c r="L3571" i="2"/>
  <c r="N3559" i="2"/>
  <c r="M3559" i="2"/>
  <c r="L3559" i="2"/>
  <c r="N584" i="2"/>
  <c r="M584" i="2"/>
  <c r="L584" i="2"/>
  <c r="N3527" i="2"/>
  <c r="M3527" i="2"/>
  <c r="L3527" i="2"/>
  <c r="M576" i="2"/>
  <c r="N3506" i="2"/>
  <c r="M3506" i="2"/>
  <c r="L3506" i="2"/>
  <c r="N3498" i="2"/>
  <c r="M3498" i="2"/>
  <c r="L3498" i="2"/>
  <c r="N3476" i="2"/>
  <c r="M3476" i="2"/>
  <c r="L3476" i="2"/>
  <c r="N3450" i="2"/>
  <c r="M3450" i="2"/>
  <c r="L3450" i="2"/>
  <c r="N3430" i="2"/>
  <c r="M3430" i="2"/>
  <c r="L3430" i="2"/>
  <c r="N3422" i="2"/>
  <c r="M3422" i="2"/>
  <c r="L3422" i="2"/>
  <c r="N555" i="2"/>
  <c r="M555" i="2"/>
  <c r="L555" i="2"/>
  <c r="N549" i="2"/>
  <c r="M549" i="2"/>
  <c r="L549" i="2"/>
  <c r="N3365" i="2"/>
  <c r="M3365" i="2"/>
  <c r="L3365" i="2"/>
  <c r="N547" i="2"/>
  <c r="M547" i="2"/>
  <c r="L547" i="2"/>
  <c r="N539" i="2"/>
  <c r="M539" i="2"/>
  <c r="L539" i="2"/>
  <c r="N3291" i="2"/>
  <c r="M3291" i="2"/>
  <c r="L3291" i="2"/>
  <c r="N3269" i="2"/>
  <c r="M3269" i="2"/>
  <c r="L3269" i="2"/>
  <c r="N3251" i="2"/>
  <c r="M3251" i="2"/>
  <c r="L3251" i="2"/>
  <c r="N3238" i="2"/>
  <c r="M3238" i="2"/>
  <c r="L3238" i="2"/>
  <c r="N3223" i="2"/>
  <c r="M3223" i="2"/>
  <c r="L3223" i="2"/>
  <c r="M3219" i="2"/>
  <c r="N3212" i="2"/>
  <c r="M3212" i="2"/>
  <c r="L3212" i="2"/>
  <c r="N3198" i="2"/>
  <c r="M3198" i="2"/>
  <c r="L3198" i="2"/>
  <c r="N3181" i="2"/>
  <c r="M3181" i="2"/>
  <c r="L3181" i="2"/>
  <c r="N3152" i="2"/>
  <c r="M3152" i="2"/>
  <c r="L3152" i="2"/>
  <c r="N3144" i="2"/>
  <c r="M3144" i="2"/>
  <c r="L3144" i="2"/>
  <c r="N515" i="2"/>
  <c r="N513" i="2"/>
  <c r="M513" i="2"/>
  <c r="L513" i="2"/>
  <c r="N502" i="2"/>
  <c r="M502" i="2"/>
  <c r="L502" i="2"/>
  <c r="N497" i="2"/>
  <c r="N3083" i="2"/>
  <c r="M3083" i="2"/>
  <c r="L3083" i="2"/>
  <c r="N3059" i="2"/>
  <c r="M3059" i="2"/>
  <c r="L3059" i="2"/>
  <c r="N493" i="2"/>
  <c r="M493" i="2"/>
  <c r="L493" i="2"/>
  <c r="N3018" i="2"/>
  <c r="M3018" i="2"/>
  <c r="L3018" i="2"/>
  <c r="N2918" i="2"/>
  <c r="M2918" i="2"/>
  <c r="L2918" i="2"/>
  <c r="N2893" i="2"/>
  <c r="M2893" i="2"/>
  <c r="L2893" i="2"/>
  <c r="N2876" i="2"/>
  <c r="M2876" i="2"/>
  <c r="L2876" i="2"/>
  <c r="N2869" i="2"/>
  <c r="M2865" i="2"/>
  <c r="N2856" i="2"/>
  <c r="M2856" i="2"/>
  <c r="L2856" i="2"/>
  <c r="N2836" i="2"/>
  <c r="M2836" i="2"/>
  <c r="L2836" i="2"/>
  <c r="N2827" i="2"/>
  <c r="M2827" i="2"/>
  <c r="L2827" i="2"/>
  <c r="N2776" i="2"/>
  <c r="M2776" i="2"/>
  <c r="L2776" i="2"/>
  <c r="N2769" i="2"/>
  <c r="L2762" i="2"/>
  <c r="L2753" i="2"/>
  <c r="N2750" i="2"/>
  <c r="M2750" i="2"/>
  <c r="L2750" i="2"/>
  <c r="N2721" i="2"/>
  <c r="M2721" i="2"/>
  <c r="L2721" i="2"/>
  <c r="N2720" i="2"/>
  <c r="M2720" i="2"/>
  <c r="L2720" i="2"/>
  <c r="N2699" i="2"/>
  <c r="M2699" i="2"/>
  <c r="L2699" i="2"/>
  <c r="N2658" i="2"/>
  <c r="M2658" i="2"/>
  <c r="L2658" i="2"/>
  <c r="M2642" i="2"/>
  <c r="N2633" i="2"/>
  <c r="M2633" i="2"/>
  <c r="L2633" i="2"/>
  <c r="N2618" i="2"/>
  <c r="M2618" i="2"/>
  <c r="L2618" i="2"/>
  <c r="N2600" i="2"/>
  <c r="M2600" i="2"/>
  <c r="L2600" i="2"/>
  <c r="N2596" i="2"/>
  <c r="M2596" i="2"/>
  <c r="L2596" i="2"/>
  <c r="N2587" i="2"/>
  <c r="M2587" i="2"/>
  <c r="L2587" i="2"/>
  <c r="N2574" i="2"/>
  <c r="M2574" i="2"/>
  <c r="L2574" i="2"/>
  <c r="N2560" i="2"/>
  <c r="M2560" i="2"/>
  <c r="L2560" i="2"/>
  <c r="N2553" i="2"/>
  <c r="M2553" i="2"/>
  <c r="L2553" i="2"/>
  <c r="N2546" i="2"/>
  <c r="M2546" i="2"/>
  <c r="L2546" i="2"/>
  <c r="N2538" i="2"/>
  <c r="M2538" i="2"/>
  <c r="L2538" i="2"/>
  <c r="N475" i="2"/>
  <c r="M475" i="2"/>
  <c r="L475" i="2"/>
  <c r="N2519" i="2"/>
  <c r="M2519" i="2"/>
  <c r="L2519" i="2"/>
  <c r="N2512" i="2"/>
  <c r="M2512" i="2"/>
  <c r="L2512" i="2"/>
  <c r="N2509" i="2"/>
  <c r="M2509" i="2"/>
  <c r="L2509" i="2"/>
  <c r="N2499" i="2"/>
  <c r="M2499" i="2"/>
  <c r="L2499" i="2"/>
  <c r="N2496" i="2"/>
  <c r="M2496" i="2"/>
  <c r="L2496" i="2"/>
  <c r="N2487" i="2"/>
  <c r="M2487" i="2"/>
  <c r="L2487" i="2"/>
  <c r="N2478" i="2"/>
  <c r="M2478" i="2"/>
  <c r="L2478" i="2"/>
  <c r="N2474" i="2"/>
  <c r="M2474" i="2"/>
  <c r="L2474" i="2"/>
  <c r="N2465" i="2"/>
  <c r="M2465" i="2"/>
  <c r="L2465" i="2"/>
  <c r="N2454" i="2"/>
  <c r="M2454" i="2"/>
  <c r="L2454" i="2"/>
  <c r="N2438" i="2"/>
  <c r="M2438" i="2"/>
  <c r="L2438" i="2"/>
  <c r="N2436" i="2"/>
  <c r="M2436" i="2"/>
  <c r="L2436" i="2"/>
  <c r="N2431" i="2"/>
  <c r="M2431" i="2"/>
  <c r="L2431" i="2"/>
  <c r="N459" i="2"/>
  <c r="M459" i="2"/>
  <c r="L459" i="2"/>
  <c r="N457" i="2"/>
  <c r="M457" i="2"/>
  <c r="L457" i="2"/>
  <c r="N2409" i="2"/>
  <c r="M2409" i="2"/>
  <c r="L2409" i="2"/>
  <c r="N2403" i="2"/>
  <c r="M2403" i="2"/>
  <c r="L2403" i="2"/>
  <c r="N2395" i="2"/>
  <c r="M2395" i="2"/>
  <c r="L2395" i="2"/>
  <c r="N2385" i="2"/>
  <c r="M2385" i="2"/>
  <c r="L2385" i="2"/>
  <c r="N2379" i="2"/>
  <c r="M2379" i="2"/>
  <c r="L2379" i="2"/>
  <c r="N2376" i="2"/>
  <c r="M2376" i="2"/>
  <c r="L2376" i="2"/>
  <c r="N2368" i="2"/>
  <c r="M2368" i="2"/>
  <c r="L2368" i="2"/>
  <c r="N2365" i="2"/>
  <c r="M2365" i="2"/>
  <c r="L2365" i="2"/>
  <c r="N2350" i="2"/>
  <c r="M2350" i="2"/>
  <c r="L2350" i="2"/>
  <c r="N2339" i="2"/>
  <c r="M2339" i="2"/>
  <c r="L2339" i="2"/>
  <c r="N2332" i="2"/>
  <c r="M2332" i="2"/>
  <c r="L2332" i="2"/>
  <c r="N441" i="2"/>
  <c r="M441" i="2"/>
  <c r="L441" i="2"/>
  <c r="N2316" i="2"/>
  <c r="M2316" i="2"/>
  <c r="L2316" i="2"/>
  <c r="N2309" i="2"/>
  <c r="M2309" i="2"/>
  <c r="L2309" i="2"/>
  <c r="N439" i="2"/>
  <c r="M439" i="2"/>
  <c r="L439" i="2"/>
  <c r="N2293" i="2"/>
  <c r="M2293" i="2"/>
  <c r="L2293" i="2"/>
  <c r="N2282" i="2"/>
  <c r="M2282" i="2"/>
  <c r="L2282" i="2"/>
  <c r="N2278" i="2"/>
  <c r="M2278" i="2"/>
  <c r="L2278" i="2"/>
  <c r="N2259" i="2"/>
  <c r="M2259" i="2"/>
  <c r="L2259" i="2"/>
  <c r="N2252" i="2"/>
  <c r="M2252" i="2"/>
  <c r="L2252" i="2"/>
  <c r="N2234" i="2"/>
  <c r="M2234" i="2"/>
  <c r="L2234" i="2"/>
  <c r="N2227" i="2"/>
  <c r="M2227" i="2"/>
  <c r="L2227" i="2"/>
  <c r="N2220" i="2"/>
  <c r="M2220" i="2"/>
  <c r="L2220" i="2"/>
  <c r="N2219" i="2"/>
  <c r="M2219" i="2"/>
  <c r="L2219" i="2"/>
  <c r="N2206" i="2"/>
  <c r="M2206" i="2"/>
  <c r="L2206" i="2"/>
  <c r="N2192" i="2"/>
  <c r="M2192" i="2"/>
  <c r="L2192" i="2"/>
  <c r="N2187" i="2"/>
  <c r="M2187" i="2"/>
  <c r="L2187" i="2"/>
  <c r="N2180" i="2"/>
  <c r="M2180" i="2"/>
  <c r="L2180" i="2"/>
  <c r="N2168" i="2"/>
  <c r="M2168" i="2"/>
  <c r="L2168" i="2"/>
  <c r="N2161" i="2"/>
  <c r="M2161" i="2"/>
  <c r="L2161" i="2"/>
  <c r="N2153" i="2"/>
  <c r="M2153" i="2"/>
  <c r="L2153" i="2"/>
  <c r="N2150" i="2"/>
  <c r="M2150" i="2"/>
  <c r="L2150" i="2"/>
  <c r="N2139" i="2"/>
  <c r="M2139" i="2"/>
  <c r="L2139" i="2"/>
  <c r="N2128" i="2"/>
  <c r="M2128" i="2"/>
  <c r="L2128" i="2"/>
  <c r="N2108" i="2"/>
  <c r="M2108" i="2"/>
  <c r="L2108" i="2"/>
  <c r="N2102" i="2"/>
  <c r="M2102" i="2"/>
  <c r="L2102" i="2"/>
  <c r="N2095" i="2"/>
  <c r="M2095" i="2"/>
  <c r="L2095" i="2"/>
  <c r="N2086" i="2"/>
  <c r="M2086" i="2"/>
  <c r="L2086" i="2"/>
  <c r="N2082" i="2"/>
  <c r="M2082" i="2"/>
  <c r="L2082" i="2"/>
  <c r="N2067" i="2"/>
  <c r="M2067" i="2"/>
  <c r="L2067" i="2"/>
  <c r="N2064" i="2"/>
  <c r="M2064" i="2"/>
  <c r="L2064" i="2"/>
  <c r="N2054" i="2"/>
  <c r="M2054" i="2"/>
  <c r="L2054" i="2"/>
  <c r="N2053" i="2"/>
  <c r="M2053" i="2"/>
  <c r="L2053" i="2"/>
  <c r="N2026" i="2"/>
  <c r="M2026" i="2"/>
  <c r="L2026" i="2"/>
  <c r="N2016" i="2"/>
  <c r="M2016" i="2"/>
  <c r="L2016" i="2"/>
  <c r="N2007" i="2"/>
  <c r="M2007" i="2"/>
  <c r="L2007" i="2"/>
  <c r="N1988" i="2"/>
  <c r="M1988" i="2"/>
  <c r="L1988" i="2"/>
  <c r="N1981" i="2"/>
  <c r="M1981" i="2"/>
  <c r="L1981" i="2"/>
  <c r="N1973" i="2"/>
  <c r="M1973" i="2"/>
  <c r="L1973" i="2"/>
  <c r="N1968" i="2"/>
  <c r="M1968" i="2"/>
  <c r="L1968" i="2"/>
  <c r="N1962" i="2"/>
  <c r="M1962" i="2"/>
  <c r="L1962" i="2"/>
  <c r="N1943" i="2"/>
  <c r="M1943" i="2"/>
  <c r="L1943" i="2"/>
  <c r="N1928" i="2"/>
  <c r="M1928" i="2"/>
  <c r="L1928" i="2"/>
  <c r="N1918" i="2"/>
  <c r="M1918" i="2"/>
  <c r="L1918" i="2"/>
  <c r="N1913" i="2"/>
  <c r="M1913" i="2"/>
  <c r="L1913" i="2"/>
  <c r="N1888" i="2"/>
  <c r="M1888" i="2"/>
  <c r="L1888" i="2"/>
  <c r="N1885" i="2"/>
  <c r="M1885" i="2"/>
  <c r="L1885" i="2"/>
  <c r="N1875" i="2"/>
  <c r="M1875" i="2"/>
  <c r="L1875" i="2"/>
  <c r="N1870" i="2"/>
  <c r="M1870" i="2"/>
  <c r="L1870" i="2"/>
  <c r="N411" i="2"/>
  <c r="M411" i="2"/>
  <c r="L411" i="2"/>
  <c r="N1857" i="2"/>
  <c r="M1857" i="2"/>
  <c r="L1857" i="2"/>
  <c r="N1847" i="2"/>
  <c r="M1847" i="2"/>
  <c r="L1847" i="2"/>
  <c r="N1837" i="2"/>
  <c r="M1837" i="2"/>
  <c r="L1837" i="2"/>
  <c r="N1831" i="2"/>
  <c r="M1831" i="2"/>
  <c r="L1831" i="2"/>
  <c r="N1824" i="2"/>
  <c r="M1824" i="2"/>
  <c r="L1824" i="2"/>
  <c r="N1812" i="2"/>
  <c r="M1812" i="2"/>
  <c r="L1812" i="2"/>
  <c r="N1807" i="2"/>
  <c r="M1807" i="2"/>
  <c r="L1807" i="2"/>
  <c r="N1806" i="2"/>
  <c r="M1806" i="2"/>
  <c r="L1806" i="2"/>
  <c r="N1796" i="2"/>
  <c r="M1796" i="2"/>
  <c r="L1796" i="2"/>
  <c r="N405" i="2"/>
  <c r="M405" i="2"/>
  <c r="L405" i="2"/>
  <c r="N1772" i="2"/>
  <c r="M1772" i="2"/>
  <c r="L1772" i="2"/>
  <c r="N1766" i="2"/>
  <c r="M1766" i="2"/>
  <c r="L1766" i="2"/>
  <c r="N1746" i="2"/>
  <c r="M1746" i="2"/>
  <c r="L1746" i="2"/>
  <c r="N1736" i="2"/>
  <c r="M1736" i="2"/>
  <c r="L1736" i="2"/>
  <c r="N1725" i="2"/>
  <c r="M1725" i="2"/>
  <c r="L1725" i="2"/>
  <c r="N1720" i="2"/>
  <c r="M1720" i="2"/>
  <c r="L1720" i="2"/>
  <c r="N1681" i="2"/>
  <c r="M1681" i="2"/>
  <c r="L1681" i="2"/>
  <c r="N1680" i="2"/>
  <c r="M1680" i="2"/>
  <c r="L1680" i="2"/>
  <c r="N1672" i="2"/>
  <c r="M1672" i="2"/>
  <c r="L1672" i="2"/>
  <c r="N1660" i="2"/>
  <c r="M1660" i="2"/>
  <c r="L1660" i="2"/>
  <c r="N1655" i="2"/>
  <c r="M1655" i="2"/>
  <c r="L1655" i="2"/>
  <c r="N389" i="2"/>
  <c r="M389" i="2"/>
  <c r="L389" i="2"/>
  <c r="N1630" i="2"/>
  <c r="M1630" i="2"/>
  <c r="L1630" i="2"/>
  <c r="N1611" i="2"/>
  <c r="M1611" i="2"/>
  <c r="L1611" i="2"/>
  <c r="N381" i="2"/>
  <c r="M381" i="2"/>
  <c r="L381" i="2"/>
  <c r="N1586" i="2"/>
  <c r="M1586" i="2"/>
  <c r="L1586" i="2"/>
  <c r="N1565" i="2"/>
  <c r="M1565" i="2"/>
  <c r="L1565" i="2"/>
  <c r="N1544" i="2"/>
  <c r="M1544" i="2"/>
  <c r="L1544" i="2"/>
  <c r="N1510" i="2"/>
  <c r="M1510" i="2"/>
  <c r="L1510" i="2"/>
  <c r="N1493" i="2"/>
  <c r="M1493" i="2"/>
  <c r="L1493" i="2"/>
  <c r="N1487" i="2"/>
  <c r="M1487" i="2"/>
  <c r="L1487" i="2"/>
  <c r="N1480" i="2"/>
  <c r="M1480" i="2"/>
  <c r="L1480" i="2"/>
  <c r="N1467" i="2"/>
  <c r="M1467" i="2"/>
  <c r="L1467" i="2"/>
  <c r="N1458" i="2"/>
  <c r="M1458" i="2"/>
  <c r="L1458" i="2"/>
  <c r="N1445" i="2"/>
  <c r="M1445" i="2"/>
  <c r="L1445" i="2"/>
  <c r="N1441" i="2"/>
  <c r="M1441" i="2"/>
  <c r="L1441" i="2"/>
  <c r="N1434" i="2"/>
  <c r="M1434" i="2"/>
  <c r="L1434" i="2"/>
  <c r="N1424" i="2"/>
  <c r="M1424" i="2"/>
  <c r="L1424" i="2"/>
  <c r="N1408" i="2"/>
  <c r="M1408" i="2"/>
  <c r="L1408" i="2"/>
  <c r="N1401" i="2"/>
  <c r="M1401" i="2"/>
  <c r="L1401" i="2"/>
  <c r="N1392" i="2"/>
  <c r="M1392" i="2"/>
  <c r="L1392" i="2"/>
  <c r="N1384" i="2"/>
  <c r="M1384" i="2"/>
  <c r="L1384" i="2"/>
  <c r="N1371" i="2"/>
  <c r="M1371" i="2"/>
  <c r="L1371" i="2"/>
  <c r="N1350" i="2"/>
  <c r="M1350" i="2"/>
  <c r="L1350" i="2"/>
  <c r="N1345" i="2"/>
  <c r="M1345" i="2"/>
  <c r="L1345" i="2"/>
  <c r="N1330" i="2"/>
  <c r="M1330" i="2"/>
  <c r="L1330" i="2"/>
  <c r="N1328" i="2"/>
  <c r="M1328" i="2"/>
  <c r="L1328" i="2"/>
  <c r="N1316" i="2"/>
  <c r="M1316" i="2"/>
  <c r="L1316" i="2"/>
  <c r="N1303" i="2"/>
  <c r="M1303" i="2"/>
  <c r="L1303" i="2"/>
  <c r="N1299" i="2"/>
  <c r="M1299" i="2"/>
  <c r="L1299" i="2"/>
  <c r="N1260" i="2"/>
  <c r="M1260" i="2"/>
  <c r="L1260" i="2"/>
  <c r="N1248" i="2"/>
  <c r="M1248" i="2"/>
  <c r="L1248" i="2"/>
  <c r="N1245" i="2"/>
  <c r="M1245" i="2"/>
  <c r="L1245" i="2"/>
  <c r="N1226" i="2"/>
  <c r="M1226" i="2"/>
  <c r="L1226" i="2"/>
  <c r="N1199" i="2"/>
  <c r="M1199" i="2"/>
  <c r="L1199" i="2"/>
  <c r="N1187" i="2"/>
  <c r="M1187" i="2"/>
  <c r="L1187" i="2"/>
  <c r="N1182" i="2"/>
  <c r="M1182" i="2"/>
  <c r="L1182" i="2"/>
  <c r="N1177" i="2"/>
  <c r="M1177" i="2"/>
  <c r="L1177" i="2"/>
  <c r="N1171" i="2"/>
  <c r="M1171" i="2"/>
  <c r="L1171" i="2"/>
  <c r="N1151" i="2"/>
  <c r="M1151" i="2"/>
  <c r="L1151" i="2"/>
  <c r="N1149" i="2"/>
  <c r="M1149" i="2"/>
  <c r="L1149" i="2"/>
  <c r="N1131" i="2"/>
  <c r="M1131" i="2"/>
  <c r="L1131" i="2"/>
  <c r="N1123" i="2"/>
  <c r="M1123" i="2"/>
  <c r="L1123" i="2"/>
  <c r="N1117" i="2"/>
  <c r="M1117" i="2"/>
  <c r="L1117" i="2"/>
  <c r="N1105" i="2"/>
  <c r="M1105" i="2"/>
  <c r="L1105" i="2"/>
  <c r="N1092" i="2"/>
  <c r="M1092" i="2"/>
  <c r="L1092" i="2"/>
  <c r="N1086" i="2"/>
  <c r="M1086" i="2"/>
  <c r="L1086" i="2"/>
  <c r="N1071" i="2"/>
  <c r="M1071" i="2"/>
  <c r="L1071" i="2"/>
  <c r="N1069" i="2"/>
  <c r="M1069" i="2"/>
  <c r="L1069" i="2"/>
  <c r="N1062" i="2"/>
  <c r="M1062" i="2"/>
  <c r="L1062" i="2"/>
  <c r="N1052" i="2"/>
  <c r="M1052" i="2"/>
  <c r="L1052" i="2"/>
  <c r="N1048" i="2"/>
  <c r="M1048" i="2"/>
  <c r="L1048" i="2"/>
  <c r="N1041" i="2"/>
  <c r="M1041" i="2"/>
  <c r="L1041" i="2"/>
  <c r="N1026" i="2"/>
  <c r="M1026" i="2"/>
  <c r="L1026" i="2"/>
  <c r="N1017" i="2"/>
  <c r="M1017" i="2"/>
  <c r="L1017" i="2"/>
  <c r="N1011" i="2"/>
  <c r="M1011" i="2"/>
  <c r="L1011" i="2"/>
  <c r="N1010" i="2"/>
  <c r="M1010" i="2"/>
  <c r="L1010" i="2"/>
  <c r="N999" i="2"/>
  <c r="M999" i="2"/>
  <c r="L999" i="2"/>
  <c r="N344" i="2"/>
  <c r="M344" i="2"/>
  <c r="L344" i="2"/>
  <c r="N976" i="2"/>
  <c r="M976" i="2"/>
  <c r="L976" i="2"/>
  <c r="N963" i="2"/>
  <c r="M963" i="2"/>
  <c r="L963" i="2"/>
  <c r="N953" i="2"/>
  <c r="M953" i="2"/>
  <c r="L953" i="2"/>
  <c r="N337" i="2"/>
  <c r="M337" i="2"/>
  <c r="L337" i="2"/>
  <c r="N932" i="2"/>
  <c r="M932" i="2"/>
  <c r="L932" i="2"/>
  <c r="N928" i="2"/>
  <c r="M928" i="2"/>
  <c r="L928" i="2"/>
  <c r="N910" i="2"/>
  <c r="M910" i="2"/>
  <c r="L910" i="2"/>
  <c r="N908" i="2"/>
  <c r="M908" i="2"/>
  <c r="L908" i="2"/>
  <c r="N897" i="2"/>
  <c r="M897" i="2"/>
  <c r="L897" i="2"/>
  <c r="N887" i="2"/>
  <c r="M887" i="2"/>
  <c r="L887" i="2"/>
  <c r="N883" i="2"/>
  <c r="M883" i="2"/>
  <c r="L883" i="2"/>
  <c r="N876" i="2"/>
  <c r="M876" i="2"/>
  <c r="L876" i="2"/>
  <c r="N870" i="2"/>
  <c r="M870" i="2"/>
  <c r="L870" i="2"/>
  <c r="N332" i="2"/>
  <c r="M332" i="2"/>
  <c r="L332" i="2"/>
  <c r="N862" i="2"/>
  <c r="M862" i="2"/>
  <c r="L862" i="2"/>
  <c r="N846" i="2"/>
  <c r="M846" i="2"/>
  <c r="L846" i="2"/>
  <c r="N843" i="2"/>
  <c r="M843" i="2"/>
  <c r="L843" i="2"/>
  <c r="N837" i="2"/>
  <c r="M837" i="2"/>
  <c r="L837" i="2"/>
  <c r="N279" i="2"/>
  <c r="M279" i="2"/>
  <c r="L279" i="2"/>
  <c r="N5431" i="2"/>
  <c r="M5431" i="2"/>
  <c r="L5431" i="2"/>
  <c r="N5416" i="2"/>
  <c r="M5416" i="2"/>
  <c r="L5416" i="2"/>
  <c r="N5407" i="2"/>
  <c r="M5407" i="2"/>
  <c r="L5407" i="2"/>
  <c r="N5398" i="2"/>
  <c r="M5398" i="2"/>
  <c r="L5398" i="2"/>
  <c r="N5372" i="2"/>
  <c r="M5372" i="2"/>
  <c r="L5372" i="2"/>
  <c r="N5357" i="2"/>
  <c r="M5357" i="2"/>
  <c r="L5357" i="2"/>
  <c r="N5344" i="2"/>
  <c r="M5344" i="2"/>
  <c r="L5344" i="2"/>
  <c r="N5307" i="2"/>
  <c r="M5307" i="2"/>
  <c r="L5307" i="2"/>
  <c r="N5301" i="2"/>
  <c r="M5301" i="2"/>
  <c r="L5301" i="2"/>
  <c r="N5292" i="2"/>
  <c r="M5292" i="2"/>
  <c r="L5292" i="2"/>
  <c r="N5285" i="2"/>
  <c r="M5285" i="2"/>
  <c r="L5285" i="2"/>
  <c r="N5279" i="2"/>
  <c r="M5279" i="2"/>
  <c r="L5279" i="2"/>
  <c r="N5276" i="2"/>
  <c r="M5276" i="2"/>
  <c r="L5276" i="2"/>
  <c r="N5264" i="2"/>
  <c r="M5264" i="2"/>
  <c r="L5264" i="2"/>
  <c r="N5238" i="2"/>
  <c r="M5238" i="2"/>
  <c r="L5238" i="2"/>
  <c r="N5233" i="2"/>
  <c r="M5233" i="2"/>
  <c r="L5233" i="2"/>
  <c r="N5219" i="2"/>
  <c r="M5219" i="2"/>
  <c r="L5219" i="2"/>
  <c r="N185" i="2"/>
  <c r="M185" i="2"/>
  <c r="L185" i="2"/>
  <c r="N5180" i="2"/>
  <c r="M5180" i="2"/>
  <c r="L5180" i="2"/>
  <c r="N5170" i="2"/>
  <c r="M5170" i="2"/>
  <c r="L5170" i="2"/>
  <c r="N5134" i="2"/>
  <c r="M5134" i="2"/>
  <c r="L5134" i="2"/>
  <c r="N5109" i="2"/>
  <c r="M5109" i="2"/>
  <c r="L5109" i="2"/>
  <c r="N5100" i="2"/>
  <c r="M5100" i="2"/>
  <c r="L5100" i="2"/>
  <c r="N5070" i="2"/>
  <c r="M5070" i="2"/>
  <c r="L5070" i="2"/>
  <c r="N5048" i="2"/>
  <c r="M5048" i="2"/>
  <c r="L5048" i="2"/>
  <c r="N5019" i="2"/>
  <c r="M5019" i="2"/>
  <c r="L5019" i="2"/>
  <c r="N5011" i="2"/>
  <c r="M5011" i="2"/>
  <c r="L5011" i="2"/>
  <c r="N4970" i="2"/>
  <c r="M4970" i="2"/>
  <c r="L4970" i="2"/>
  <c r="N102" i="2"/>
  <c r="M102" i="2"/>
  <c r="L102" i="2"/>
  <c r="N4944" i="2"/>
  <c r="M4944" i="2"/>
  <c r="L4944" i="2"/>
  <c r="N4942" i="2"/>
  <c r="M4942" i="2"/>
  <c r="L4942" i="2"/>
  <c r="N4923" i="2"/>
  <c r="M4923" i="2"/>
  <c r="L4923" i="2"/>
  <c r="N4917" i="2"/>
  <c r="M4917" i="2"/>
  <c r="L4917" i="2"/>
  <c r="N80" i="2"/>
  <c r="M80" i="2"/>
  <c r="L80" i="2"/>
  <c r="N76" i="2"/>
  <c r="M76" i="2"/>
  <c r="L76" i="2"/>
  <c r="N74" i="2"/>
  <c r="M74" i="2"/>
  <c r="L74" i="2"/>
  <c r="N70" i="2"/>
  <c r="M70" i="2"/>
  <c r="L70" i="2"/>
  <c r="N4796" i="2"/>
  <c r="M4796" i="2"/>
  <c r="L4796" i="2"/>
  <c r="N4790" i="2"/>
  <c r="M4790" i="2"/>
  <c r="L4790" i="2"/>
  <c r="N4777" i="2"/>
  <c r="M4777" i="2"/>
  <c r="L4777" i="2"/>
  <c r="N51" i="2"/>
  <c r="M51" i="2"/>
  <c r="L51" i="2"/>
  <c r="N4713" i="2"/>
  <c r="M4713" i="2"/>
  <c r="L4713" i="2"/>
  <c r="N4707" i="2"/>
  <c r="M4707" i="2"/>
  <c r="L4707" i="2"/>
  <c r="N20" i="2"/>
  <c r="M20" i="2"/>
  <c r="L20" i="2"/>
  <c r="N4689" i="2"/>
  <c r="M4689" i="2"/>
  <c r="L4689" i="2"/>
  <c r="N4676" i="2"/>
  <c r="M4676" i="2"/>
  <c r="L4676" i="2"/>
  <c r="N4672" i="2"/>
  <c r="M4672" i="2"/>
  <c r="L4672" i="2"/>
  <c r="N4645" i="2"/>
  <c r="M4645" i="2"/>
  <c r="L4645" i="2"/>
  <c r="N4635" i="2"/>
  <c r="M4635" i="2"/>
  <c r="L4635" i="2"/>
  <c r="N4620" i="2"/>
  <c r="M4620" i="2"/>
  <c r="L4620" i="2"/>
  <c r="N4609" i="2"/>
  <c r="M4609" i="2"/>
  <c r="L4609" i="2"/>
  <c r="N4597" i="2"/>
  <c r="M4597" i="2"/>
  <c r="L4597" i="2"/>
  <c r="N4579" i="2"/>
  <c r="M4579" i="2"/>
  <c r="L4579" i="2"/>
  <c r="N4575" i="2"/>
  <c r="M4575" i="2"/>
  <c r="L4575" i="2"/>
  <c r="N4571" i="2"/>
  <c r="M4571" i="2"/>
  <c r="L4571" i="2"/>
  <c r="N4535" i="2"/>
  <c r="M4535" i="2"/>
  <c r="L4535" i="2"/>
  <c r="N4513" i="2"/>
  <c r="M4513" i="2"/>
  <c r="L4513" i="2"/>
  <c r="N4484" i="2"/>
  <c r="M4484" i="2"/>
  <c r="L4484" i="2"/>
  <c r="N4482" i="2"/>
  <c r="M4482" i="2"/>
  <c r="L4482" i="2"/>
  <c r="N4469" i="2"/>
  <c r="M4469" i="2"/>
  <c r="L4469" i="2"/>
  <c r="N4456" i="2"/>
  <c r="M4456" i="2"/>
  <c r="L4456" i="2"/>
  <c r="N4450" i="2"/>
  <c r="M4450" i="2"/>
  <c r="L4450" i="2"/>
  <c r="N4443" i="2"/>
  <c r="M4443" i="2"/>
  <c r="L4443" i="2"/>
  <c r="N4428" i="2"/>
  <c r="M4428" i="2"/>
  <c r="L4428" i="2"/>
  <c r="N4416" i="2"/>
  <c r="M4416" i="2"/>
  <c r="L4416" i="2"/>
  <c r="N4411" i="2"/>
  <c r="M4411" i="2"/>
  <c r="L4411" i="2"/>
  <c r="N4402" i="2"/>
  <c r="M4402" i="2"/>
  <c r="L4402" i="2"/>
  <c r="N4399" i="2"/>
  <c r="M4399" i="2"/>
  <c r="L4399" i="2"/>
  <c r="N4361" i="2"/>
  <c r="M4361" i="2"/>
  <c r="L4361" i="2"/>
  <c r="N4352" i="2"/>
  <c r="M4352" i="2"/>
  <c r="L4352" i="2"/>
  <c r="N4347" i="2"/>
  <c r="M4347" i="2"/>
  <c r="L4347" i="2"/>
  <c r="N4340" i="2"/>
  <c r="M4340" i="2"/>
  <c r="L4340" i="2"/>
  <c r="N4336" i="2"/>
  <c r="M4336" i="2"/>
  <c r="L4336" i="2"/>
  <c r="N728" i="2"/>
  <c r="M728" i="2"/>
  <c r="L728" i="2"/>
  <c r="N4317" i="2"/>
  <c r="M4317" i="2"/>
  <c r="L4317" i="2"/>
  <c r="N4298" i="2"/>
  <c r="M4298" i="2"/>
  <c r="L4298" i="2"/>
  <c r="N4275" i="2"/>
  <c r="M4275" i="2"/>
  <c r="L4275" i="2"/>
  <c r="N4257" i="2"/>
  <c r="M4257" i="2"/>
  <c r="L4257" i="2"/>
  <c r="N4229" i="2"/>
  <c r="M4229" i="2"/>
  <c r="L4229" i="2"/>
  <c r="N4226" i="2"/>
  <c r="M4226" i="2"/>
  <c r="L4226" i="2"/>
  <c r="N4205" i="2"/>
  <c r="M4205" i="2"/>
  <c r="L4205" i="2"/>
  <c r="N4190" i="2"/>
  <c r="M4190" i="2"/>
  <c r="L4190" i="2"/>
  <c r="N4160" i="2"/>
  <c r="M4160" i="2"/>
  <c r="L4160" i="2"/>
  <c r="N4140" i="2"/>
  <c r="M4140" i="2"/>
  <c r="L4140" i="2"/>
  <c r="N4130" i="2"/>
  <c r="M4130" i="2"/>
  <c r="L4130" i="2"/>
  <c r="N4119" i="2"/>
  <c r="M4119" i="2"/>
  <c r="L4119" i="2"/>
  <c r="N4100" i="2"/>
  <c r="M4100" i="2"/>
  <c r="L4100" i="2"/>
  <c r="N4093" i="2"/>
  <c r="M4093" i="2"/>
  <c r="L4093" i="2"/>
  <c r="N4067" i="2"/>
  <c r="M4067" i="2"/>
  <c r="L4067" i="2"/>
  <c r="N4051" i="2"/>
  <c r="M4051" i="2"/>
  <c r="L4051" i="2"/>
  <c r="N4043" i="2"/>
  <c r="M4043" i="2"/>
  <c r="L4043" i="2"/>
  <c r="N4027" i="2"/>
  <c r="M4027" i="2"/>
  <c r="L4027" i="2"/>
  <c r="N4003" i="2"/>
  <c r="M4003" i="2"/>
  <c r="L4003" i="2"/>
  <c r="N3998" i="2"/>
  <c r="M3998" i="2"/>
  <c r="L3998" i="2"/>
  <c r="N3989" i="2"/>
  <c r="M3989" i="2"/>
  <c r="L3989" i="2"/>
  <c r="N3980" i="2"/>
  <c r="M3980" i="2"/>
  <c r="L3980" i="2"/>
  <c r="N3976" i="2"/>
  <c r="M3976" i="2"/>
  <c r="L3976" i="2"/>
  <c r="N3971" i="2"/>
  <c r="M3971" i="2"/>
  <c r="L3971" i="2"/>
  <c r="N3959" i="2"/>
  <c r="M3959" i="2"/>
  <c r="L3959" i="2"/>
  <c r="N3933" i="2"/>
  <c r="M3933" i="2"/>
  <c r="L3933" i="2"/>
  <c r="N3924" i="2"/>
  <c r="M3924" i="2"/>
  <c r="L3924" i="2"/>
  <c r="N3907" i="2"/>
  <c r="M3907" i="2"/>
  <c r="L3907" i="2"/>
  <c r="N3890" i="2"/>
  <c r="M3890" i="2"/>
  <c r="L3890" i="2"/>
  <c r="N3852" i="2"/>
  <c r="M3852" i="2"/>
  <c r="L3852" i="2"/>
  <c r="N3815" i="2"/>
  <c r="M3815" i="2"/>
  <c r="L3815" i="2"/>
  <c r="N3789" i="2"/>
  <c r="M3789" i="2"/>
  <c r="L3789" i="2"/>
  <c r="N3779" i="2"/>
  <c r="M3779" i="2"/>
  <c r="L3779" i="2"/>
  <c r="N3747" i="2"/>
  <c r="M3747" i="2"/>
  <c r="L3747" i="2"/>
  <c r="N3717" i="2"/>
  <c r="M3717" i="2"/>
  <c r="L3717" i="2"/>
  <c r="N3686" i="2"/>
  <c r="M3686" i="2"/>
  <c r="L3686" i="2"/>
  <c r="N3670" i="2"/>
  <c r="M3670" i="2"/>
  <c r="L3670" i="2"/>
  <c r="N3635" i="2"/>
  <c r="M3635" i="2"/>
  <c r="L3635" i="2"/>
  <c r="N3622" i="2"/>
  <c r="M3622" i="2"/>
  <c r="L3622" i="2"/>
  <c r="N3610" i="2"/>
  <c r="M3610" i="2"/>
  <c r="L3610" i="2"/>
  <c r="N3608" i="2"/>
  <c r="M3608" i="2"/>
  <c r="L3608" i="2"/>
  <c r="N3591" i="2"/>
  <c r="M3591" i="2"/>
  <c r="L3591" i="2"/>
  <c r="N3585" i="2"/>
  <c r="M3585" i="2"/>
  <c r="L3585" i="2"/>
  <c r="N3554" i="2"/>
  <c r="M3554" i="2"/>
  <c r="L3554" i="2"/>
  <c r="N3543" i="2"/>
  <c r="M3543" i="2"/>
  <c r="L3543" i="2"/>
  <c r="N3536" i="2"/>
  <c r="M3536" i="2"/>
  <c r="L3536" i="2"/>
  <c r="N3517" i="2"/>
  <c r="M3517" i="2"/>
  <c r="L3517" i="2"/>
  <c r="N3493" i="2"/>
  <c r="M3493" i="2"/>
  <c r="L3493" i="2"/>
  <c r="N3487" i="2"/>
  <c r="M3487" i="2"/>
  <c r="L3487" i="2"/>
  <c r="N3470" i="2"/>
  <c r="M3470" i="2"/>
  <c r="L3470" i="2"/>
  <c r="N3463" i="2"/>
  <c r="M3463" i="2"/>
  <c r="L3463" i="2"/>
  <c r="N3455" i="2"/>
  <c r="M3455" i="2"/>
  <c r="L3455" i="2"/>
  <c r="N3423" i="2"/>
  <c r="M3423" i="2"/>
  <c r="L3423" i="2"/>
  <c r="N3398" i="2"/>
  <c r="M3398" i="2"/>
  <c r="L3398" i="2"/>
  <c r="N3392" i="2"/>
  <c r="M3392" i="2"/>
  <c r="L3392" i="2"/>
  <c r="N3385" i="2"/>
  <c r="M3385" i="2"/>
  <c r="L3385" i="2"/>
  <c r="N3377" i="2"/>
  <c r="M3377" i="2"/>
  <c r="L3377" i="2"/>
  <c r="N3371" i="2"/>
  <c r="M3371" i="2"/>
  <c r="L3371" i="2"/>
  <c r="N3362" i="2"/>
  <c r="M3362" i="2"/>
  <c r="L3362" i="2"/>
  <c r="N3356" i="2"/>
  <c r="M3356" i="2"/>
  <c r="L3356" i="2"/>
  <c r="N3348" i="2"/>
  <c r="M3348" i="2"/>
  <c r="L3348" i="2"/>
  <c r="N3340" i="2"/>
  <c r="M3340" i="2"/>
  <c r="L3340" i="2"/>
  <c r="N3327" i="2"/>
  <c r="M3327" i="2"/>
  <c r="L3327" i="2"/>
  <c r="N3312" i="2"/>
  <c r="M3312" i="2"/>
  <c r="L3312" i="2"/>
  <c r="N3306" i="2"/>
  <c r="M3306" i="2"/>
  <c r="L3306" i="2"/>
  <c r="N3301" i="2"/>
  <c r="M3301" i="2"/>
  <c r="L3301" i="2"/>
  <c r="N3265" i="2"/>
  <c r="M3265" i="2"/>
  <c r="L3265" i="2"/>
  <c r="N3191" i="2"/>
  <c r="M3191" i="2"/>
  <c r="L3191" i="2"/>
  <c r="N3174" i="2"/>
  <c r="M3174" i="2"/>
  <c r="L3174" i="2"/>
  <c r="N3170" i="2"/>
  <c r="M3170" i="2"/>
  <c r="L3170" i="2"/>
  <c r="N3135" i="2"/>
  <c r="M3135" i="2"/>
  <c r="L3135" i="2"/>
  <c r="N3130" i="2"/>
  <c r="M3130" i="2"/>
  <c r="L3130" i="2"/>
  <c r="N3120" i="2"/>
  <c r="M3120" i="2"/>
  <c r="L3120" i="2"/>
  <c r="N3073" i="2"/>
  <c r="M3073" i="2"/>
  <c r="L3073" i="2"/>
  <c r="N3069" i="2"/>
  <c r="M3069" i="2"/>
  <c r="L3069" i="2"/>
  <c r="N3053" i="2"/>
  <c r="M3053" i="2"/>
  <c r="L3053" i="2"/>
  <c r="N3036" i="2"/>
  <c r="M3036" i="2"/>
  <c r="L3036" i="2"/>
  <c r="N3028" i="2"/>
  <c r="M3028" i="2"/>
  <c r="L3028" i="2"/>
  <c r="N3015" i="2"/>
  <c r="M3015" i="2"/>
  <c r="L3015" i="2"/>
  <c r="N3009" i="2"/>
  <c r="M3009" i="2"/>
  <c r="L3009" i="2"/>
  <c r="N2988" i="2"/>
  <c r="M2988" i="2"/>
  <c r="L2988" i="2"/>
  <c r="N2974" i="2"/>
  <c r="M2974" i="2"/>
  <c r="L2974" i="2"/>
  <c r="N2968" i="2"/>
  <c r="M2968" i="2"/>
  <c r="L2968" i="2"/>
  <c r="N2965" i="2"/>
  <c r="M2965" i="2"/>
  <c r="L2965" i="2"/>
  <c r="N2959" i="2"/>
  <c r="M2959" i="2"/>
  <c r="L2959" i="2"/>
  <c r="N2952" i="2"/>
  <c r="M2952" i="2"/>
  <c r="L2952" i="2"/>
  <c r="N2941" i="2"/>
  <c r="M2941" i="2"/>
  <c r="L2941" i="2"/>
  <c r="N2934" i="2"/>
  <c r="M2934" i="2"/>
  <c r="L2934" i="2"/>
  <c r="N2907" i="2"/>
  <c r="M2907" i="2"/>
  <c r="L2907" i="2"/>
  <c r="N2887" i="2"/>
  <c r="M2887" i="2"/>
  <c r="L2887" i="2"/>
  <c r="N2844" i="2"/>
  <c r="M2844" i="2"/>
  <c r="L2844" i="2"/>
  <c r="N2830" i="2"/>
  <c r="M2830" i="2"/>
  <c r="L2830" i="2"/>
  <c r="N2813" i="2"/>
  <c r="M2813" i="2"/>
  <c r="L2813" i="2"/>
  <c r="N2799" i="2"/>
  <c r="M2799" i="2"/>
  <c r="L2799" i="2"/>
  <c r="N2794" i="2"/>
  <c r="M2794" i="2"/>
  <c r="L2794" i="2"/>
  <c r="N2758" i="2"/>
  <c r="M2758" i="2"/>
  <c r="L2758" i="2"/>
  <c r="N2740" i="2"/>
  <c r="M2740" i="2"/>
  <c r="L2740" i="2"/>
  <c r="N2727" i="2"/>
  <c r="M2727" i="2"/>
  <c r="L2727" i="2"/>
  <c r="N2716" i="2"/>
  <c r="M2716" i="2"/>
  <c r="L2716" i="2"/>
  <c r="N2692" i="2"/>
  <c r="M2692" i="2"/>
  <c r="L2692" i="2"/>
  <c r="N2685" i="2"/>
  <c r="M2685" i="2"/>
  <c r="L2685" i="2"/>
  <c r="N2671" i="2"/>
  <c r="M2671" i="2"/>
  <c r="L2671" i="2"/>
  <c r="N2667" i="2"/>
  <c r="M2667" i="2"/>
  <c r="L2667" i="2"/>
  <c r="N2652" i="2"/>
  <c r="M2652" i="2"/>
  <c r="L2652" i="2"/>
  <c r="N2613" i="2"/>
  <c r="M2613" i="2"/>
  <c r="L2613" i="2"/>
  <c r="N2607" i="2"/>
  <c r="M2607" i="2"/>
  <c r="L2607" i="2"/>
  <c r="N2590" i="2"/>
  <c r="M2590" i="2"/>
  <c r="L2590" i="2"/>
  <c r="N2569" i="2"/>
  <c r="M2569" i="2"/>
  <c r="L2569" i="2"/>
  <c r="N2532" i="2"/>
  <c r="M2532" i="2"/>
  <c r="L2532" i="2"/>
  <c r="N2523" i="2"/>
  <c r="M2523" i="2"/>
  <c r="L2523" i="2"/>
  <c r="N2490" i="2"/>
  <c r="M2490" i="2"/>
  <c r="L2490" i="2"/>
  <c r="N2459" i="2"/>
  <c r="M2459" i="2"/>
  <c r="L2459" i="2"/>
  <c r="N2449" i="2"/>
  <c r="M2449" i="2"/>
  <c r="L2449" i="2"/>
  <c r="N2414" i="2"/>
  <c r="M2414" i="2"/>
  <c r="L2414" i="2"/>
  <c r="N2355" i="2"/>
  <c r="M2355" i="2"/>
  <c r="L2355" i="2"/>
  <c r="N2348" i="2"/>
  <c r="M2348" i="2"/>
  <c r="L2348" i="2"/>
  <c r="N2297" i="2"/>
  <c r="M2297" i="2"/>
  <c r="L2297" i="2"/>
  <c r="N2286" i="2"/>
  <c r="M2286" i="2"/>
  <c r="L2286" i="2"/>
  <c r="N2269" i="2"/>
  <c r="M2269" i="2"/>
  <c r="L2269" i="2"/>
  <c r="N2265" i="2"/>
  <c r="M2265" i="2"/>
  <c r="L2265" i="2"/>
  <c r="N2246" i="2"/>
  <c r="M2246" i="2"/>
  <c r="L2246" i="2"/>
  <c r="N2244" i="2"/>
  <c r="M2244" i="2"/>
  <c r="L2244" i="2"/>
  <c r="N2213" i="2"/>
  <c r="M2213" i="2"/>
  <c r="L2213" i="2"/>
  <c r="N2198" i="2"/>
  <c r="M2198" i="2"/>
  <c r="L2198" i="2"/>
  <c r="N2174" i="2"/>
  <c r="M2174" i="2"/>
  <c r="L2174" i="2"/>
  <c r="N2144" i="2"/>
  <c r="M2144" i="2"/>
  <c r="L2144" i="2"/>
  <c r="N2123" i="2"/>
  <c r="M2123" i="2"/>
  <c r="L2123" i="2"/>
  <c r="N2119" i="2"/>
  <c r="M2119" i="2"/>
  <c r="L2119" i="2"/>
  <c r="N2112" i="2"/>
  <c r="M2112" i="2"/>
  <c r="L2112" i="2"/>
  <c r="N2077" i="2"/>
  <c r="M2077" i="2"/>
  <c r="L2077" i="2"/>
  <c r="N2044" i="2"/>
  <c r="M2044" i="2"/>
  <c r="L2044" i="2"/>
  <c r="N2038" i="2"/>
  <c r="M2038" i="2"/>
  <c r="L2038" i="2"/>
  <c r="N2031" i="2"/>
  <c r="M2031" i="2"/>
  <c r="L2031" i="2"/>
  <c r="N2014" i="2"/>
  <c r="M2014" i="2"/>
  <c r="L2014" i="2"/>
  <c r="N2001" i="2"/>
  <c r="M2001" i="2"/>
  <c r="L2001" i="2"/>
  <c r="N1994" i="2"/>
  <c r="M1994" i="2"/>
  <c r="L1994" i="2"/>
  <c r="N1955" i="2"/>
  <c r="M1955" i="2"/>
  <c r="L1955" i="2"/>
  <c r="N1945" i="2"/>
  <c r="M1945" i="2"/>
  <c r="L1945" i="2"/>
  <c r="N1935" i="2"/>
  <c r="M1935" i="2"/>
  <c r="L1935" i="2"/>
  <c r="N1924" i="2"/>
  <c r="M1924" i="2"/>
  <c r="L1924" i="2"/>
  <c r="N1904" i="2"/>
  <c r="M1904" i="2"/>
  <c r="L1904" i="2"/>
  <c r="N1899" i="2"/>
  <c r="M1899" i="2"/>
  <c r="L1899" i="2"/>
  <c r="N1893" i="2"/>
  <c r="M1893" i="2"/>
  <c r="L1893" i="2"/>
  <c r="N1852" i="2"/>
  <c r="M1852" i="2"/>
  <c r="L1852" i="2"/>
  <c r="N1819" i="2"/>
  <c r="M1819" i="2"/>
  <c r="L1819" i="2"/>
  <c r="N1793" i="2"/>
  <c r="M1793" i="2"/>
  <c r="L1793" i="2"/>
  <c r="N1779" i="2"/>
  <c r="M1779" i="2"/>
  <c r="L1779" i="2"/>
  <c r="N1762" i="2"/>
  <c r="M1762" i="2"/>
  <c r="L1762" i="2"/>
  <c r="N1755" i="2"/>
  <c r="M1755" i="2"/>
  <c r="L1755" i="2"/>
  <c r="N1732" i="2"/>
  <c r="M1732" i="2"/>
  <c r="L1732" i="2"/>
  <c r="N1713" i="2"/>
  <c r="M1713" i="2"/>
  <c r="L1713" i="2"/>
  <c r="N1706" i="2"/>
  <c r="M1706" i="2"/>
  <c r="L1706" i="2"/>
  <c r="N1697" i="2"/>
  <c r="M1697" i="2"/>
  <c r="L1697" i="2"/>
  <c r="N1648" i="2"/>
  <c r="M1648" i="2"/>
  <c r="L1648" i="2"/>
  <c r="N1640" i="2"/>
  <c r="M1640" i="2"/>
  <c r="L1640" i="2"/>
  <c r="N1636" i="2"/>
  <c r="M1636" i="2"/>
  <c r="L1636" i="2"/>
  <c r="N1619" i="2"/>
  <c r="M1619" i="2"/>
  <c r="L1619" i="2"/>
  <c r="N1617" i="2"/>
  <c r="M1617" i="2"/>
  <c r="L1617" i="2"/>
  <c r="N1600" i="2"/>
  <c r="M1600" i="2"/>
  <c r="L1600" i="2"/>
  <c r="N1594" i="2"/>
  <c r="M1594" i="2"/>
  <c r="L1594" i="2"/>
  <c r="N1581" i="2"/>
  <c r="M1581" i="2"/>
  <c r="L1581" i="2"/>
  <c r="N1573" i="2"/>
  <c r="M1573" i="2"/>
  <c r="L1573" i="2"/>
  <c r="N1571" i="2"/>
  <c r="M1571" i="2"/>
  <c r="L1571" i="2"/>
  <c r="N1557" i="2"/>
  <c r="M1557" i="2"/>
  <c r="L1557" i="2"/>
  <c r="N1551" i="2"/>
  <c r="M1551" i="2"/>
  <c r="L1551" i="2"/>
  <c r="N1542" i="2"/>
  <c r="M1542" i="2"/>
  <c r="L1542" i="2"/>
  <c r="N1533" i="2"/>
  <c r="M1533" i="2"/>
  <c r="L1533" i="2"/>
  <c r="N1527" i="2"/>
  <c r="M1527" i="2"/>
  <c r="L1527" i="2"/>
  <c r="N1523" i="2"/>
  <c r="M1523" i="2"/>
  <c r="L1523" i="2"/>
  <c r="N1519" i="2"/>
  <c r="M1519" i="2"/>
  <c r="L1519" i="2"/>
  <c r="N1503" i="2"/>
  <c r="M1503" i="2"/>
  <c r="L1503" i="2"/>
  <c r="N1498" i="2"/>
  <c r="M1498" i="2"/>
  <c r="L1498" i="2"/>
  <c r="N1473" i="2"/>
  <c r="M1473" i="2"/>
  <c r="L1473" i="2"/>
  <c r="N1450" i="2"/>
  <c r="M1450" i="2"/>
  <c r="L1450" i="2"/>
  <c r="N1415" i="2"/>
  <c r="M1415" i="2"/>
  <c r="L1415" i="2"/>
  <c r="N1390" i="2"/>
  <c r="M1390" i="2"/>
  <c r="L1390" i="2"/>
  <c r="N1377" i="2"/>
  <c r="M1377" i="2"/>
  <c r="L1377" i="2"/>
  <c r="N1362" i="2"/>
  <c r="M1362" i="2"/>
  <c r="L1362" i="2"/>
  <c r="N1358" i="2"/>
  <c r="M1358" i="2"/>
  <c r="L1358" i="2"/>
  <c r="N1339" i="2"/>
  <c r="M1339" i="2"/>
  <c r="L1339" i="2"/>
  <c r="N1322" i="2"/>
  <c r="M1322" i="2"/>
  <c r="L1322" i="2"/>
  <c r="N1308" i="2"/>
  <c r="M1308" i="2"/>
  <c r="L1308" i="2"/>
  <c r="N1266" i="2"/>
  <c r="M1266" i="2"/>
  <c r="L1266" i="2"/>
  <c r="N1233" i="2"/>
  <c r="M1233" i="2"/>
  <c r="L1233" i="2"/>
  <c r="N1222" i="2"/>
  <c r="M1222" i="2"/>
  <c r="L1222" i="2"/>
  <c r="N1214" i="2"/>
  <c r="M1214" i="2"/>
  <c r="L1214" i="2"/>
  <c r="N1209" i="2"/>
  <c r="M1209" i="2"/>
  <c r="L1209" i="2"/>
  <c r="N1203" i="2"/>
  <c r="M1203" i="2"/>
  <c r="L1203" i="2"/>
  <c r="N1195" i="2"/>
  <c r="M1195" i="2"/>
  <c r="L1195" i="2"/>
  <c r="N1165" i="2"/>
  <c r="M1165" i="2"/>
  <c r="L1165" i="2"/>
  <c r="N1154" i="2"/>
  <c r="M1154" i="2"/>
  <c r="L1154" i="2"/>
  <c r="N1139" i="2"/>
  <c r="M1139" i="2"/>
  <c r="L1139" i="2"/>
  <c r="N1127" i="2"/>
  <c r="M1127" i="2"/>
  <c r="L1127" i="2"/>
  <c r="N1112" i="2"/>
  <c r="M1112" i="2"/>
  <c r="L1112" i="2"/>
  <c r="N1101" i="2"/>
  <c r="M1101" i="2"/>
  <c r="L1101" i="2"/>
  <c r="N1082" i="2"/>
  <c r="M1082" i="2"/>
  <c r="L1082" i="2"/>
  <c r="N1035" i="2"/>
  <c r="M1035" i="2"/>
  <c r="L1035" i="2"/>
  <c r="N983" i="2"/>
  <c r="M983" i="2"/>
  <c r="L983" i="2"/>
  <c r="N971" i="2"/>
  <c r="M971" i="2"/>
  <c r="L971" i="2"/>
  <c r="N960" i="2"/>
  <c r="M960" i="2"/>
  <c r="L960" i="2"/>
  <c r="N944" i="2"/>
  <c r="M944" i="2"/>
  <c r="L944" i="2"/>
  <c r="N921" i="2"/>
  <c r="M921" i="2"/>
  <c r="L921" i="2"/>
  <c r="N830" i="2"/>
  <c r="M830" i="2"/>
  <c r="L830" i="2"/>
  <c r="N5542" i="2"/>
  <c r="M5542" i="2"/>
  <c r="L5542" i="2"/>
  <c r="N5537" i="2"/>
  <c r="M5537" i="2"/>
  <c r="L5537" i="2"/>
  <c r="N5530" i="2"/>
  <c r="M5530" i="2"/>
  <c r="L5530" i="2"/>
  <c r="N5522" i="2"/>
  <c r="M5522" i="2"/>
  <c r="L5522" i="2"/>
  <c r="N5518" i="2"/>
  <c r="M5518" i="2"/>
  <c r="L5518" i="2"/>
  <c r="N5513" i="2"/>
  <c r="M5513" i="2"/>
  <c r="L5513" i="2"/>
  <c r="N5511" i="2"/>
  <c r="M5511" i="2"/>
  <c r="L5511" i="2"/>
  <c r="N5504" i="2"/>
  <c r="M5504" i="2"/>
  <c r="L5504" i="2"/>
  <c r="N5498" i="2"/>
  <c r="M5498" i="2"/>
  <c r="L5498" i="2"/>
  <c r="N5495" i="2"/>
  <c r="M5495" i="2"/>
  <c r="L5495" i="2"/>
  <c r="N5485" i="2"/>
  <c r="M5485" i="2"/>
  <c r="L5485" i="2"/>
  <c r="N253" i="2"/>
  <c r="M253" i="2"/>
  <c r="L253" i="2"/>
  <c r="N5480" i="2"/>
  <c r="M5480" i="2"/>
  <c r="L5480" i="2"/>
  <c r="N5472" i="2"/>
  <c r="M5472" i="2"/>
  <c r="L5472" i="2"/>
  <c r="N5464" i="2"/>
  <c r="M5464" i="2"/>
  <c r="L5464" i="2"/>
  <c r="N5459" i="2"/>
  <c r="M5459" i="2"/>
  <c r="L5459" i="2"/>
  <c r="N5452" i="2"/>
  <c r="M5452" i="2"/>
  <c r="L5452" i="2"/>
  <c r="N5446" i="2"/>
  <c r="M5446" i="2"/>
  <c r="L5446" i="2"/>
  <c r="N5443" i="2"/>
  <c r="M5443" i="2"/>
  <c r="L5443" i="2"/>
  <c r="N5436" i="2"/>
  <c r="M5436" i="2"/>
  <c r="L5436" i="2"/>
  <c r="N5425" i="2"/>
  <c r="M5425" i="2"/>
  <c r="L5425" i="2"/>
  <c r="N5413" i="2"/>
  <c r="M5413" i="2"/>
  <c r="L5413" i="2"/>
  <c r="N5395" i="2"/>
  <c r="M5395" i="2"/>
  <c r="L5395" i="2"/>
  <c r="N5388" i="2"/>
  <c r="M5388" i="2"/>
  <c r="L5388" i="2"/>
  <c r="N5380" i="2"/>
  <c r="M5380" i="2"/>
  <c r="L5380" i="2"/>
  <c r="N5373" i="2"/>
  <c r="M5373" i="2"/>
  <c r="L5373" i="2"/>
  <c r="N5366" i="2"/>
  <c r="M5366" i="2"/>
  <c r="L5366" i="2"/>
  <c r="N5360" i="2"/>
  <c r="M5360" i="2"/>
  <c r="L5360" i="2"/>
  <c r="N5350" i="2"/>
  <c r="M5350" i="2"/>
  <c r="L5350" i="2"/>
  <c r="N5341" i="2"/>
  <c r="M5341" i="2"/>
  <c r="L5341" i="2"/>
  <c r="N5329" i="2"/>
  <c r="M5329" i="2"/>
  <c r="L5329" i="2"/>
  <c r="N5326" i="2"/>
  <c r="M5326" i="2"/>
  <c r="L5326" i="2"/>
  <c r="N5320" i="2"/>
  <c r="M5320" i="2"/>
  <c r="L5320" i="2"/>
  <c r="N5315" i="2"/>
  <c r="M5315" i="2"/>
  <c r="L5315" i="2"/>
  <c r="N5297" i="2"/>
  <c r="M5297" i="2"/>
  <c r="L5297" i="2"/>
  <c r="N5269" i="2"/>
  <c r="M5269" i="2"/>
  <c r="L5269" i="2"/>
  <c r="N5260" i="2"/>
  <c r="M5260" i="2"/>
  <c r="L5260" i="2"/>
  <c r="N5257" i="2"/>
  <c r="M5257" i="2"/>
  <c r="L5257" i="2"/>
  <c r="N5247" i="2"/>
  <c r="M5247" i="2"/>
  <c r="L5247" i="2"/>
  <c r="N203" i="2"/>
  <c r="M203" i="2"/>
  <c r="L203" i="2"/>
  <c r="N5227" i="2"/>
  <c r="M5227" i="2"/>
  <c r="L5227" i="2"/>
  <c r="N5222" i="2"/>
  <c r="M5222" i="2"/>
  <c r="L5222" i="2"/>
  <c r="N5215" i="2"/>
  <c r="M5215" i="2"/>
  <c r="L5215" i="2"/>
  <c r="N189" i="2"/>
  <c r="M189" i="2"/>
  <c r="L189" i="2"/>
  <c r="N182" i="2"/>
  <c r="M182" i="2"/>
  <c r="L182" i="2"/>
  <c r="N5195" i="2"/>
  <c r="M5195" i="2"/>
  <c r="L5195" i="2"/>
  <c r="N179" i="2"/>
  <c r="M179" i="2"/>
  <c r="L179" i="2"/>
  <c r="N5184" i="2"/>
  <c r="M5184" i="2"/>
  <c r="L5184" i="2"/>
  <c r="N5163" i="2"/>
  <c r="M5163" i="2"/>
  <c r="L5163" i="2"/>
  <c r="N5161" i="2"/>
  <c r="M5161" i="2"/>
  <c r="L5161" i="2"/>
  <c r="N5151" i="2"/>
  <c r="M5151" i="2"/>
  <c r="L5151" i="2"/>
  <c r="N5146" i="2"/>
  <c r="M5146" i="2"/>
  <c r="L5146" i="2"/>
  <c r="N5143" i="2"/>
  <c r="M5143" i="2"/>
  <c r="L5143" i="2"/>
  <c r="N165" i="2"/>
  <c r="M165" i="2"/>
  <c r="L165" i="2"/>
  <c r="N163" i="2"/>
  <c r="M163" i="2"/>
  <c r="L163" i="2"/>
  <c r="N5123" i="2"/>
  <c r="M5123" i="2"/>
  <c r="L5123" i="2"/>
  <c r="N5117" i="2"/>
  <c r="M5117" i="2"/>
  <c r="L5117" i="2"/>
  <c r="N157" i="2"/>
  <c r="M157" i="2"/>
  <c r="L157" i="2"/>
  <c r="N5097" i="2"/>
  <c r="M5097" i="2"/>
  <c r="L5097" i="2"/>
  <c r="N5093" i="2"/>
  <c r="M5093" i="2"/>
  <c r="L5093" i="2"/>
  <c r="N5088" i="2"/>
  <c r="M5088" i="2"/>
  <c r="L5088" i="2"/>
  <c r="N5080" i="2"/>
  <c r="M5080" i="2"/>
  <c r="L5080" i="2"/>
  <c r="N5077" i="2"/>
  <c r="M5077" i="2"/>
  <c r="L5077" i="2"/>
  <c r="N5066" i="2"/>
  <c r="M5066" i="2"/>
  <c r="L5066" i="2"/>
  <c r="N5060" i="2"/>
  <c r="M5060" i="2"/>
  <c r="L5060" i="2"/>
  <c r="N136" i="2"/>
  <c r="M136" i="2"/>
  <c r="L136" i="2"/>
  <c r="N5045" i="2"/>
  <c r="M5045" i="2"/>
  <c r="L5045" i="2"/>
  <c r="N5038" i="2"/>
  <c r="M5038" i="2"/>
  <c r="L5038" i="2"/>
  <c r="N128" i="2"/>
  <c r="M128" i="2"/>
  <c r="L128" i="2"/>
  <c r="N5026" i="2"/>
  <c r="M5026" i="2"/>
  <c r="L5026" i="2"/>
  <c r="N122" i="2"/>
  <c r="M122" i="2"/>
  <c r="L122" i="2"/>
  <c r="N5012" i="2"/>
  <c r="M5012" i="2"/>
  <c r="L5012" i="2"/>
  <c r="N5001" i="2"/>
  <c r="M5001" i="2"/>
  <c r="L5001" i="2"/>
  <c r="N4998" i="2"/>
  <c r="M4998" i="2"/>
  <c r="L4998" i="2"/>
  <c r="N4992" i="2"/>
  <c r="M4992" i="2"/>
  <c r="L4992" i="2"/>
  <c r="N4980" i="2"/>
  <c r="M4980" i="2"/>
  <c r="L4980" i="2"/>
  <c r="N4976" i="2"/>
  <c r="M4976" i="2"/>
  <c r="L4976" i="2"/>
  <c r="N4958" i="2"/>
  <c r="M4958" i="2"/>
  <c r="L4958" i="2"/>
  <c r="N4952" i="2"/>
  <c r="M4952" i="2"/>
  <c r="L4952" i="2"/>
  <c r="N4934" i="2"/>
  <c r="M4934" i="2"/>
  <c r="L4934" i="2"/>
  <c r="N4931" i="2"/>
  <c r="M4931" i="2"/>
  <c r="L4931" i="2"/>
  <c r="N4911" i="2"/>
  <c r="M4911" i="2"/>
  <c r="L4911" i="2"/>
  <c r="N4906" i="2"/>
  <c r="M4906" i="2"/>
  <c r="L4906" i="2"/>
  <c r="N4902" i="2"/>
  <c r="M4902" i="2"/>
  <c r="L4902" i="2"/>
  <c r="N82" i="2"/>
  <c r="M82" i="2"/>
  <c r="L82" i="2"/>
  <c r="N4857" i="2"/>
  <c r="M4857" i="2"/>
  <c r="L4857" i="2"/>
  <c r="N4843" i="2"/>
  <c r="M4843" i="2"/>
  <c r="L4843" i="2"/>
  <c r="N4837" i="2"/>
  <c r="M4837" i="2"/>
  <c r="L4837" i="2"/>
  <c r="N4828" i="2"/>
  <c r="M4828" i="2"/>
  <c r="L4828" i="2"/>
  <c r="N4817" i="2"/>
  <c r="M4817" i="2"/>
  <c r="L4817" i="2"/>
  <c r="N4812" i="2"/>
  <c r="M4812" i="2"/>
  <c r="L4812" i="2"/>
  <c r="N4810" i="2"/>
  <c r="M4810" i="2"/>
  <c r="L4810" i="2"/>
  <c r="N4802" i="2"/>
  <c r="M4802" i="2"/>
  <c r="L4802" i="2"/>
  <c r="N4786" i="2"/>
  <c r="M4786" i="2"/>
  <c r="L4786" i="2"/>
  <c r="N4780" i="2"/>
  <c r="M4780" i="2"/>
  <c r="L4780" i="2"/>
  <c r="N4760" i="2"/>
  <c r="M4760" i="2"/>
  <c r="L4760" i="2"/>
  <c r="N4754" i="2"/>
  <c r="M4754" i="2"/>
  <c r="L4754" i="2"/>
  <c r="N44" i="2"/>
  <c r="M44" i="2"/>
  <c r="L44" i="2"/>
  <c r="N4748" i="2"/>
  <c r="M4748" i="2"/>
  <c r="L4748" i="2"/>
  <c r="N4741" i="2"/>
  <c r="M4741" i="2"/>
  <c r="L4741" i="2"/>
  <c r="N4735" i="2"/>
  <c r="M4735" i="2"/>
  <c r="L4735" i="2"/>
  <c r="N4727" i="2"/>
  <c r="M4727" i="2"/>
  <c r="L4727" i="2"/>
  <c r="N4724" i="2"/>
  <c r="M4724" i="2"/>
  <c r="L4724" i="2"/>
  <c r="N4714" i="2"/>
  <c r="M4714" i="2"/>
  <c r="L4714" i="2"/>
  <c r="N4697" i="2"/>
  <c r="M4697" i="2"/>
  <c r="L4697" i="2"/>
  <c r="N4693" i="2"/>
  <c r="M4693" i="2"/>
  <c r="L4693" i="2"/>
  <c r="N4684" i="2"/>
  <c r="M4684" i="2"/>
  <c r="L4684" i="2"/>
  <c r="N4668" i="2"/>
  <c r="M4668" i="2"/>
  <c r="L4668" i="2"/>
  <c r="N4664" i="2"/>
  <c r="M4664" i="2"/>
  <c r="L4664" i="2"/>
  <c r="N4660" i="2"/>
  <c r="M4660" i="2"/>
  <c r="L4660" i="2"/>
  <c r="N4654" i="2"/>
  <c r="M4654" i="2"/>
  <c r="L4654" i="2"/>
  <c r="N4644" i="2"/>
  <c r="M4644" i="2"/>
  <c r="L4644" i="2"/>
  <c r="N4617" i="2"/>
  <c r="M4617" i="2"/>
  <c r="L4617" i="2"/>
  <c r="N4599" i="2"/>
  <c r="M4599" i="2"/>
  <c r="L4599" i="2"/>
  <c r="N4589" i="2"/>
  <c r="M4589" i="2"/>
  <c r="L4589" i="2"/>
  <c r="N4586" i="2"/>
  <c r="M4586" i="2"/>
  <c r="L4586" i="2"/>
  <c r="N4563" i="2"/>
  <c r="M4563" i="2"/>
  <c r="L4563" i="2"/>
  <c r="N4558" i="2"/>
  <c r="M4558" i="2"/>
  <c r="L4558" i="2"/>
  <c r="N4555" i="2"/>
  <c r="M4555" i="2"/>
  <c r="L4555" i="2"/>
  <c r="N298" i="2"/>
  <c r="M298" i="2"/>
  <c r="L298" i="2"/>
  <c r="N4545" i="2"/>
  <c r="M4545" i="2"/>
  <c r="L4545" i="2"/>
  <c r="N4537" i="2"/>
  <c r="M4537" i="2"/>
  <c r="L4537" i="2"/>
  <c r="N4531" i="2"/>
  <c r="M4531" i="2"/>
  <c r="L4531" i="2"/>
  <c r="N4529" i="2"/>
  <c r="M4529" i="2"/>
  <c r="L4529" i="2"/>
  <c r="N4521" i="2"/>
  <c r="M4521" i="2"/>
  <c r="L4521" i="2"/>
  <c r="N4518" i="2"/>
  <c r="M4518" i="2"/>
  <c r="L4518" i="2"/>
  <c r="N4505" i="2"/>
  <c r="M4505" i="2"/>
  <c r="L4505" i="2"/>
  <c r="N4498" i="2"/>
  <c r="M4498" i="2"/>
  <c r="L4498" i="2"/>
  <c r="N4496" i="2"/>
  <c r="M4496" i="2"/>
  <c r="L4496" i="2"/>
  <c r="N285" i="2"/>
  <c r="M285" i="2"/>
  <c r="L285" i="2"/>
  <c r="N4476" i="2"/>
  <c r="M4476" i="2"/>
  <c r="L4476" i="2"/>
  <c r="N4465" i="2"/>
  <c r="M4465" i="2"/>
  <c r="L4465" i="2"/>
  <c r="N774" i="2"/>
  <c r="M774" i="2"/>
  <c r="L774" i="2"/>
  <c r="N4440" i="2"/>
  <c r="M4440" i="2"/>
  <c r="L4440" i="2"/>
  <c r="N764" i="2"/>
  <c r="M764" i="2"/>
  <c r="L764" i="2"/>
  <c r="N4426" i="2"/>
  <c r="M4426" i="2"/>
  <c r="L4426" i="2"/>
  <c r="N4417" i="2"/>
  <c r="M4417" i="2"/>
  <c r="L4417" i="2"/>
  <c r="N4395" i="2"/>
  <c r="M4395" i="2"/>
  <c r="L4395" i="2"/>
  <c r="N4391" i="2"/>
  <c r="M4391" i="2"/>
  <c r="L4391" i="2"/>
  <c r="N4383" i="2"/>
  <c r="M4383" i="2"/>
  <c r="L4383" i="2"/>
  <c r="N4382" i="2"/>
  <c r="M4382" i="2"/>
  <c r="L4382" i="2"/>
  <c r="N4375" i="2"/>
  <c r="M4375" i="2"/>
  <c r="L4375" i="2"/>
  <c r="N4371" i="2"/>
  <c r="M4371" i="2"/>
  <c r="L4371" i="2"/>
  <c r="N4364" i="2"/>
  <c r="M4364" i="2"/>
  <c r="L4364" i="2"/>
  <c r="N4346" i="2"/>
  <c r="M4346" i="2"/>
  <c r="L4346" i="2"/>
  <c r="N4328" i="2"/>
  <c r="M4328" i="2"/>
  <c r="L4328" i="2"/>
  <c r="N4326" i="2"/>
  <c r="M4326" i="2"/>
  <c r="L4326" i="2"/>
  <c r="N4310" i="2"/>
  <c r="M4310" i="2"/>
  <c r="L4310" i="2"/>
  <c r="N4303" i="2"/>
  <c r="M4303" i="2"/>
  <c r="L4303" i="2"/>
  <c r="N4288" i="2"/>
  <c r="M4288" i="2"/>
  <c r="L4288" i="2"/>
  <c r="N4282" i="2"/>
  <c r="M4282" i="2"/>
  <c r="L4282" i="2"/>
  <c r="N716" i="2"/>
  <c r="M716" i="2"/>
  <c r="L716" i="2"/>
  <c r="N712" i="2"/>
  <c r="M712" i="2"/>
  <c r="L712" i="2"/>
  <c r="N4268" i="2"/>
  <c r="M4268" i="2"/>
  <c r="L4268" i="2"/>
  <c r="N4254" i="2"/>
  <c r="M4254" i="2"/>
  <c r="L4254" i="2"/>
  <c r="N4241" i="2"/>
  <c r="M4241" i="2"/>
  <c r="L4241" i="2"/>
  <c r="N4235" i="2"/>
  <c r="M4235" i="2"/>
  <c r="L4235" i="2"/>
  <c r="N4223" i="2"/>
  <c r="M4223" i="2"/>
  <c r="L4223" i="2"/>
  <c r="N4216" i="2"/>
  <c r="M4216" i="2"/>
  <c r="L4216" i="2"/>
  <c r="N706" i="2"/>
  <c r="M706" i="2"/>
  <c r="L706" i="2"/>
  <c r="N4199" i="2"/>
  <c r="M4199" i="2"/>
  <c r="L4199" i="2"/>
  <c r="N4198" i="2"/>
  <c r="M4198" i="2"/>
  <c r="L4198" i="2"/>
  <c r="N4186" i="2"/>
  <c r="M4186" i="2"/>
  <c r="L4186" i="2"/>
  <c r="N4177" i="2"/>
  <c r="M4177" i="2"/>
  <c r="L4177" i="2"/>
  <c r="N696" i="2"/>
  <c r="M696" i="2"/>
  <c r="L696" i="2"/>
  <c r="N4171" i="2"/>
  <c r="M4171" i="2"/>
  <c r="L4171" i="2"/>
  <c r="N4164" i="2"/>
  <c r="M4164" i="2"/>
  <c r="L4164" i="2"/>
  <c r="N4153" i="2"/>
  <c r="M4153" i="2"/>
  <c r="L4153" i="2"/>
  <c r="N4145" i="2"/>
  <c r="M4145" i="2"/>
  <c r="L4145" i="2"/>
  <c r="N4136" i="2"/>
  <c r="M4136" i="2"/>
  <c r="L4136" i="2"/>
  <c r="N4128" i="2"/>
  <c r="M4128" i="2"/>
  <c r="L4128" i="2"/>
  <c r="N4117" i="2"/>
  <c r="M4117" i="2"/>
  <c r="L4117" i="2"/>
  <c r="N4088" i="2"/>
  <c r="M4088" i="2"/>
  <c r="L4088" i="2"/>
  <c r="N678" i="2"/>
  <c r="M678" i="2"/>
  <c r="L678" i="2"/>
  <c r="N4081" i="2"/>
  <c r="M4081" i="2"/>
  <c r="L4081" i="2"/>
  <c r="N4075" i="2"/>
  <c r="M4075" i="2"/>
  <c r="L4075" i="2"/>
  <c r="N4062" i="2"/>
  <c r="M4062" i="2"/>
  <c r="L4062" i="2"/>
  <c r="N4050" i="2"/>
  <c r="M4050" i="2"/>
  <c r="L4050" i="2"/>
  <c r="N4035" i="2"/>
  <c r="M4035" i="2"/>
  <c r="L4035" i="2"/>
  <c r="N4030" i="2"/>
  <c r="M4030" i="2"/>
  <c r="L4030" i="2"/>
  <c r="N4018" i="2"/>
  <c r="M4018" i="2"/>
  <c r="L4018" i="2"/>
  <c r="N655" i="2"/>
  <c r="M655" i="2"/>
  <c r="L655" i="2"/>
  <c r="N4012" i="2"/>
  <c r="M4012" i="2"/>
  <c r="L4012" i="2"/>
  <c r="N3990" i="2"/>
  <c r="M3990" i="2"/>
  <c r="L3990" i="2"/>
  <c r="N3963" i="2"/>
  <c r="M3963" i="2"/>
  <c r="L3963" i="2"/>
  <c r="N3954" i="2"/>
  <c r="M3954" i="2"/>
  <c r="L3954" i="2"/>
  <c r="N3947" i="2"/>
  <c r="M3947" i="2"/>
  <c r="L3947" i="2"/>
  <c r="N3941" i="2"/>
  <c r="M3941" i="2"/>
  <c r="L3941" i="2"/>
  <c r="N3940" i="2"/>
  <c r="M3940" i="2"/>
  <c r="L3940" i="2"/>
  <c r="N3921" i="2"/>
  <c r="M3921" i="2"/>
  <c r="L3921" i="2"/>
  <c r="N3913" i="2"/>
  <c r="M3913" i="2"/>
  <c r="L3913" i="2"/>
  <c r="N3899" i="2"/>
  <c r="M3899" i="2"/>
  <c r="L3899" i="2"/>
  <c r="N3892" i="2"/>
  <c r="M3892" i="2"/>
  <c r="L3892" i="2"/>
  <c r="N639" i="2"/>
  <c r="M639" i="2"/>
  <c r="L639" i="2"/>
  <c r="N3880" i="2"/>
  <c r="M3880" i="2"/>
  <c r="L3880" i="2"/>
  <c r="N3871" i="2"/>
  <c r="M3871" i="2"/>
  <c r="L3871" i="2"/>
  <c r="N3865" i="2"/>
  <c r="M3865" i="2"/>
  <c r="L3865" i="2"/>
  <c r="N3858" i="2"/>
  <c r="M3858" i="2"/>
  <c r="L3858" i="2"/>
  <c r="N3844" i="2"/>
  <c r="M3844" i="2"/>
  <c r="L3844" i="2"/>
  <c r="N3840" i="2"/>
  <c r="M3840" i="2"/>
  <c r="L3840" i="2"/>
  <c r="N3833" i="2"/>
  <c r="M3833" i="2"/>
  <c r="L3833" i="2"/>
  <c r="N3827" i="2"/>
  <c r="M3827" i="2"/>
  <c r="L3827" i="2"/>
  <c r="N3824" i="2"/>
  <c r="M3824" i="2"/>
  <c r="L3824" i="2"/>
  <c r="N3809" i="2"/>
  <c r="M3809" i="2"/>
  <c r="L3809" i="2"/>
  <c r="N627" i="2"/>
  <c r="M627" i="2"/>
  <c r="L627" i="2"/>
  <c r="N3800" i="2"/>
  <c r="M3800" i="2"/>
  <c r="L3800" i="2"/>
  <c r="N3792" i="2"/>
  <c r="M3792" i="2"/>
  <c r="L3792" i="2"/>
  <c r="N3781" i="2"/>
  <c r="M3781" i="2"/>
  <c r="L3781" i="2"/>
  <c r="N3772" i="2"/>
  <c r="M3772" i="2"/>
  <c r="L3772" i="2"/>
  <c r="N3764" i="2"/>
  <c r="M3764" i="2"/>
  <c r="L3764" i="2"/>
  <c r="N3759" i="2"/>
  <c r="M3759" i="2"/>
  <c r="L3759" i="2"/>
  <c r="N3753" i="2"/>
  <c r="M3753" i="2"/>
  <c r="L3753" i="2"/>
  <c r="N3751" i="2"/>
  <c r="M3751" i="2"/>
  <c r="L3751" i="2"/>
  <c r="N3735" i="2"/>
  <c r="M3735" i="2"/>
  <c r="L3735" i="2"/>
  <c r="N3729" i="2"/>
  <c r="M3729" i="2"/>
  <c r="L3729" i="2"/>
  <c r="N3724" i="2"/>
  <c r="M3724" i="2"/>
  <c r="L3724" i="2"/>
  <c r="N3715" i="2"/>
  <c r="M3715" i="2"/>
  <c r="L3715" i="2"/>
  <c r="N3707" i="2"/>
  <c r="M3707" i="2"/>
  <c r="L3707" i="2"/>
  <c r="N3703" i="2"/>
  <c r="M3703" i="2"/>
  <c r="L3703" i="2"/>
  <c r="N3700" i="2"/>
  <c r="M3700" i="2"/>
  <c r="L3700" i="2"/>
  <c r="N3694" i="2"/>
  <c r="M3694" i="2"/>
  <c r="L3694" i="2"/>
  <c r="N3678" i="2"/>
  <c r="M3678" i="2"/>
  <c r="L3678" i="2"/>
  <c r="N3666" i="2"/>
  <c r="M3666" i="2"/>
  <c r="L3666" i="2"/>
  <c r="N3661" i="2"/>
  <c r="M3661" i="2"/>
  <c r="L3661" i="2"/>
  <c r="N3656" i="2"/>
  <c r="M3656" i="2"/>
  <c r="L3656" i="2"/>
  <c r="N599" i="2"/>
  <c r="M599" i="2"/>
  <c r="L599" i="2"/>
  <c r="N3647" i="2"/>
  <c r="M3647" i="2"/>
  <c r="L3647" i="2"/>
  <c r="N3637" i="2"/>
  <c r="M3637" i="2"/>
  <c r="L3637" i="2"/>
  <c r="N3629" i="2"/>
  <c r="M3629" i="2"/>
  <c r="L3629" i="2"/>
  <c r="N3619" i="2"/>
  <c r="M3619" i="2"/>
  <c r="L3619" i="2"/>
  <c r="N3613" i="2"/>
  <c r="M3613" i="2"/>
  <c r="L3613" i="2"/>
  <c r="N3601" i="2"/>
  <c r="M3601" i="2"/>
  <c r="L3601" i="2"/>
  <c r="N3593" i="2"/>
  <c r="M3593" i="2"/>
  <c r="L3593" i="2"/>
  <c r="N3579" i="2"/>
  <c r="M3579" i="2"/>
  <c r="L3579" i="2"/>
  <c r="N3572" i="2"/>
  <c r="M3572" i="2"/>
  <c r="L3572" i="2"/>
  <c r="N3567" i="2"/>
  <c r="M3567" i="2"/>
  <c r="L3567" i="2"/>
  <c r="N3561" i="2"/>
  <c r="M3561" i="2"/>
  <c r="L3561" i="2"/>
  <c r="N3549" i="2"/>
  <c r="M3549" i="2"/>
  <c r="L3549" i="2"/>
  <c r="N3533" i="2"/>
  <c r="M3533" i="2"/>
  <c r="L3533" i="2"/>
  <c r="N3525" i="2"/>
  <c r="M3525" i="2"/>
  <c r="L3525" i="2"/>
  <c r="N3513" i="2"/>
  <c r="M3513" i="2"/>
  <c r="L3513" i="2"/>
  <c r="N573" i="2"/>
  <c r="M573" i="2"/>
  <c r="L573" i="2"/>
  <c r="N3503" i="2"/>
  <c r="M3503" i="2"/>
  <c r="L3503" i="2"/>
  <c r="N3497" i="2"/>
  <c r="M3497" i="2"/>
  <c r="L3497" i="2"/>
  <c r="N3478" i="2"/>
  <c r="M3478" i="2"/>
  <c r="L3478" i="2"/>
  <c r="N565" i="2"/>
  <c r="M565" i="2"/>
  <c r="L565" i="2"/>
  <c r="N561" i="2"/>
  <c r="M561" i="2"/>
  <c r="L561" i="2"/>
  <c r="N3441" i="2"/>
  <c r="M3441" i="2"/>
  <c r="L3441" i="2"/>
  <c r="N559" i="2"/>
  <c r="M559" i="2"/>
  <c r="L559" i="2"/>
  <c r="N3429" i="2"/>
  <c r="M3429" i="2"/>
  <c r="L3429" i="2"/>
  <c r="N3421" i="2"/>
  <c r="M3421" i="2"/>
  <c r="L3421" i="2"/>
  <c r="N3417" i="2"/>
  <c r="M3417" i="2"/>
  <c r="L3417" i="2"/>
  <c r="N3411" i="2"/>
  <c r="M3411" i="2"/>
  <c r="L3411" i="2"/>
  <c r="N3406" i="2"/>
  <c r="M3406" i="2"/>
  <c r="L3406" i="2"/>
  <c r="N3383" i="2"/>
  <c r="M3383" i="2"/>
  <c r="L3383" i="2"/>
  <c r="N3364" i="2"/>
  <c r="M3364" i="2"/>
  <c r="L3364" i="2"/>
  <c r="N3345" i="2"/>
  <c r="M3345" i="2"/>
  <c r="L3345" i="2"/>
  <c r="N3333" i="2"/>
  <c r="M3333" i="2"/>
  <c r="L3333" i="2"/>
  <c r="N3325" i="2"/>
  <c r="M3325" i="2"/>
  <c r="L3325" i="2"/>
  <c r="N3316" i="2"/>
  <c r="M3316" i="2"/>
  <c r="L3316" i="2"/>
  <c r="N3297" i="2"/>
  <c r="M3297" i="2"/>
  <c r="L3297" i="2"/>
  <c r="N3292" i="2"/>
  <c r="M3292" i="2"/>
  <c r="L3292" i="2"/>
  <c r="N3284" i="2"/>
  <c r="M3284" i="2"/>
  <c r="L3284" i="2"/>
  <c r="N3280" i="2"/>
  <c r="M3280" i="2"/>
  <c r="L3280" i="2"/>
  <c r="N3271" i="2"/>
  <c r="M3271" i="2"/>
  <c r="L3271" i="2"/>
  <c r="N3267" i="2"/>
  <c r="M3267" i="2"/>
  <c r="L3267" i="2"/>
  <c r="N3254" i="2"/>
  <c r="M3254" i="2"/>
  <c r="L3254" i="2"/>
  <c r="N3250" i="2"/>
  <c r="M3250" i="2"/>
  <c r="L3250" i="2"/>
  <c r="N3245" i="2"/>
  <c r="M3245" i="2"/>
  <c r="L3245" i="2"/>
  <c r="N3237" i="2"/>
  <c r="M3237" i="2"/>
  <c r="L3237" i="2"/>
  <c r="N3228" i="2"/>
  <c r="M3228" i="2"/>
  <c r="L3228" i="2"/>
  <c r="N523" i="2"/>
  <c r="M523" i="2"/>
  <c r="L523" i="2"/>
  <c r="N3215" i="2"/>
  <c r="M3215" i="2"/>
  <c r="L3215" i="2"/>
  <c r="N521" i="2"/>
  <c r="M521" i="2"/>
  <c r="L521" i="2"/>
  <c r="N3196" i="2"/>
  <c r="M3196" i="2"/>
  <c r="L3196" i="2"/>
  <c r="N3185" i="2"/>
  <c r="M3185" i="2"/>
  <c r="L3185" i="2"/>
  <c r="N3179" i="2"/>
  <c r="M3179" i="2"/>
  <c r="L3179" i="2"/>
  <c r="N3159" i="2"/>
  <c r="M3159" i="2"/>
  <c r="L3159" i="2"/>
  <c r="N3157" i="2"/>
  <c r="M3157" i="2"/>
  <c r="L3157" i="2"/>
  <c r="N3145" i="2"/>
  <c r="M3145" i="2"/>
  <c r="L3145" i="2"/>
  <c r="N3138" i="2"/>
  <c r="M3138" i="2"/>
  <c r="L3138" i="2"/>
  <c r="N3123" i="2"/>
  <c r="M3123" i="2"/>
  <c r="L3123" i="2"/>
  <c r="N3113" i="2"/>
  <c r="M3113" i="2"/>
  <c r="L3113" i="2"/>
  <c r="N3107" i="2"/>
  <c r="M3107" i="2"/>
  <c r="L3107" i="2"/>
  <c r="N3103" i="2"/>
  <c r="M3103" i="2"/>
  <c r="L3103" i="2"/>
  <c r="N501" i="2"/>
  <c r="M501" i="2"/>
  <c r="L501" i="2"/>
  <c r="N3095" i="2"/>
  <c r="M3095" i="2"/>
  <c r="L3095" i="2"/>
  <c r="N3090" i="2"/>
  <c r="M3090" i="2"/>
  <c r="L3090" i="2"/>
  <c r="N3084" i="2"/>
  <c r="M3084" i="2"/>
  <c r="L3084" i="2"/>
  <c r="N495" i="2"/>
  <c r="M495" i="2"/>
  <c r="L495" i="2"/>
  <c r="N3058" i="2"/>
  <c r="M3058" i="2"/>
  <c r="L3058" i="2"/>
  <c r="N3047" i="2"/>
  <c r="M3047" i="2"/>
  <c r="L3047" i="2"/>
  <c r="N3040" i="2"/>
  <c r="M3040" i="2"/>
  <c r="L3040" i="2"/>
  <c r="N3021" i="2"/>
  <c r="M3021" i="2"/>
  <c r="L3021" i="2"/>
  <c r="N3005" i="2"/>
  <c r="M3005" i="2"/>
  <c r="L3005" i="2"/>
  <c r="N2994" i="2"/>
  <c r="M2994" i="2"/>
  <c r="L2994" i="2"/>
  <c r="N2981" i="2"/>
  <c r="M2981" i="2"/>
  <c r="L2981" i="2"/>
  <c r="N2945" i="2"/>
  <c r="M2945" i="2"/>
  <c r="L2945" i="2"/>
  <c r="N2923" i="2"/>
  <c r="M2923" i="2"/>
  <c r="L2923" i="2"/>
  <c r="N2915" i="2"/>
  <c r="M2915" i="2"/>
  <c r="L2915" i="2"/>
  <c r="N2910" i="2"/>
  <c r="M2910" i="2"/>
  <c r="L2910" i="2"/>
  <c r="N2900" i="2"/>
  <c r="M2900" i="2"/>
  <c r="L2900" i="2"/>
  <c r="N2889" i="2"/>
  <c r="M2889" i="2"/>
  <c r="L2889" i="2"/>
  <c r="N2879" i="2"/>
  <c r="M2879" i="2"/>
  <c r="L2879" i="2"/>
  <c r="N2871" i="2"/>
  <c r="M2871" i="2"/>
  <c r="L2871" i="2"/>
  <c r="N487" i="2"/>
  <c r="M487" i="2"/>
  <c r="L487" i="2"/>
  <c r="N2861" i="2"/>
  <c r="M2861" i="2"/>
  <c r="L2861" i="2"/>
  <c r="N2851" i="2"/>
  <c r="M2851" i="2"/>
  <c r="L2851" i="2"/>
  <c r="N2840" i="2"/>
  <c r="M2840" i="2"/>
  <c r="L2840" i="2"/>
  <c r="N485" i="2"/>
  <c r="M485" i="2"/>
  <c r="L485" i="2"/>
  <c r="N2823" i="2"/>
  <c r="M2823" i="2"/>
  <c r="L2823" i="2"/>
  <c r="N2816" i="2"/>
  <c r="M2816" i="2"/>
  <c r="L2816" i="2"/>
  <c r="N2805" i="2"/>
  <c r="M2805" i="2"/>
  <c r="L2805" i="2"/>
  <c r="N2783" i="2"/>
  <c r="M2783" i="2"/>
  <c r="L2783" i="2"/>
  <c r="N2779" i="2"/>
  <c r="M2779" i="2"/>
  <c r="L2779" i="2"/>
  <c r="N2773" i="2"/>
  <c r="M2773" i="2"/>
  <c r="L2773" i="2"/>
  <c r="N2764" i="2"/>
  <c r="M2764" i="2"/>
  <c r="L2764" i="2"/>
  <c r="N2755" i="2"/>
  <c r="M2755" i="2"/>
  <c r="L2755" i="2"/>
  <c r="N2745" i="2"/>
  <c r="M2745" i="2"/>
  <c r="L2745" i="2"/>
  <c r="N2735" i="2"/>
  <c r="M2735" i="2"/>
  <c r="L2735" i="2"/>
  <c r="N2723" i="2"/>
  <c r="M2723" i="2"/>
  <c r="L2723" i="2"/>
  <c r="N2717" i="2"/>
  <c r="M2717" i="2"/>
  <c r="L2717" i="2"/>
  <c r="N2709" i="2"/>
  <c r="M2709" i="2"/>
  <c r="L2709" i="2"/>
  <c r="N2701" i="2"/>
  <c r="M2701" i="2"/>
  <c r="L2701" i="2"/>
  <c r="N2696" i="2"/>
  <c r="M2696" i="2"/>
  <c r="L2696" i="2"/>
  <c r="N2680" i="2"/>
  <c r="M2680" i="2"/>
  <c r="L2680" i="2"/>
  <c r="N2655" i="2"/>
  <c r="M2655" i="2"/>
  <c r="L2655" i="2"/>
  <c r="N2643" i="2"/>
  <c r="M2643" i="2"/>
  <c r="L2643" i="2"/>
  <c r="N2636" i="2"/>
  <c r="M2636" i="2"/>
  <c r="L2636" i="2"/>
  <c r="N2631" i="2"/>
  <c r="M2631" i="2"/>
  <c r="L2631" i="2"/>
  <c r="N2623" i="2"/>
  <c r="M2623" i="2"/>
  <c r="L2623" i="2"/>
  <c r="N2604" i="2"/>
  <c r="M2604" i="2"/>
  <c r="L2604" i="2"/>
  <c r="N2598" i="2"/>
  <c r="M2598" i="2"/>
  <c r="L2598" i="2"/>
  <c r="N2582" i="2"/>
  <c r="M2582" i="2"/>
  <c r="L2582" i="2"/>
  <c r="N2578" i="2"/>
  <c r="M2578" i="2"/>
  <c r="L2578" i="2"/>
  <c r="N2562" i="2"/>
  <c r="M2562" i="2"/>
  <c r="L2562" i="2"/>
  <c r="N2555" i="2"/>
  <c r="M2555" i="2"/>
  <c r="L2555" i="2"/>
  <c r="N2545" i="2"/>
  <c r="M2545" i="2"/>
  <c r="L2545" i="2"/>
  <c r="N2540" i="2"/>
  <c r="M2540" i="2"/>
  <c r="L2540" i="2"/>
  <c r="N2531" i="2"/>
  <c r="M2531" i="2"/>
  <c r="L2531" i="2"/>
  <c r="N2518" i="2"/>
  <c r="M2518" i="2"/>
  <c r="L2518" i="2"/>
  <c r="N2508" i="2"/>
  <c r="M2508" i="2"/>
  <c r="L2508" i="2"/>
  <c r="N2504" i="2"/>
  <c r="M2504" i="2"/>
  <c r="L2504" i="2"/>
  <c r="N2497" i="2"/>
  <c r="M2497" i="2"/>
  <c r="L2497" i="2"/>
  <c r="N2485" i="2"/>
  <c r="M2485" i="2"/>
  <c r="L2485" i="2"/>
  <c r="N467" i="2"/>
  <c r="M467" i="2"/>
  <c r="L467" i="2"/>
  <c r="N2472" i="2"/>
  <c r="M2472" i="2"/>
  <c r="L2472" i="2"/>
  <c r="N2468" i="2"/>
  <c r="M2468" i="2"/>
  <c r="L2468" i="2"/>
  <c r="N2455" i="2"/>
  <c r="M2455" i="2"/>
  <c r="L2455" i="2"/>
  <c r="N2439" i="2"/>
  <c r="M2439" i="2"/>
  <c r="L2439" i="2"/>
  <c r="N2435" i="2"/>
  <c r="M2435" i="2"/>
  <c r="L2435" i="2"/>
  <c r="N2430" i="2"/>
  <c r="M2430" i="2"/>
  <c r="L2430" i="2"/>
  <c r="N2424" i="2"/>
  <c r="M2424" i="2"/>
  <c r="L2424" i="2"/>
  <c r="N2422" i="2"/>
  <c r="M2422" i="2"/>
  <c r="L2422" i="2"/>
  <c r="N2407" i="2"/>
  <c r="M2407" i="2"/>
  <c r="L2407" i="2"/>
  <c r="N454" i="2"/>
  <c r="M454" i="2"/>
  <c r="L454" i="2"/>
  <c r="N2396" i="2"/>
  <c r="M2396" i="2"/>
  <c r="L2396" i="2"/>
  <c r="N2388" i="2"/>
  <c r="M2388" i="2"/>
  <c r="L2388" i="2"/>
  <c r="N2378" i="2"/>
  <c r="M2378" i="2"/>
  <c r="L2378" i="2"/>
  <c r="N449" i="2"/>
  <c r="M449" i="2"/>
  <c r="L449" i="2"/>
  <c r="N447" i="2"/>
  <c r="M447" i="2"/>
  <c r="L447" i="2"/>
  <c r="N2360" i="2"/>
  <c r="M2360" i="2"/>
  <c r="L2360" i="2"/>
  <c r="N2341" i="2"/>
  <c r="M2341" i="2"/>
  <c r="L2341" i="2"/>
  <c r="N2330" i="2"/>
  <c r="M2330" i="2"/>
  <c r="L2330" i="2"/>
  <c r="N2323" i="2"/>
  <c r="M2323" i="2"/>
  <c r="L2323" i="2"/>
  <c r="N2320" i="2"/>
  <c r="M2320" i="2"/>
  <c r="L2320" i="2"/>
  <c r="N2313" i="2"/>
  <c r="M2313" i="2"/>
  <c r="L2313" i="2"/>
  <c r="N2303" i="2"/>
  <c r="M2303" i="2"/>
  <c r="L2303" i="2"/>
  <c r="N2292" i="2"/>
  <c r="M2292" i="2"/>
  <c r="L2292" i="2"/>
  <c r="N2281" i="2"/>
  <c r="M2281" i="2"/>
  <c r="L2281" i="2"/>
  <c r="N2277" i="2"/>
  <c r="M2277" i="2"/>
  <c r="L2277" i="2"/>
  <c r="N2256" i="2"/>
  <c r="M2256" i="2"/>
  <c r="L2256" i="2"/>
  <c r="N433" i="2"/>
  <c r="M433" i="2"/>
  <c r="L433" i="2"/>
  <c r="N2233" i="2"/>
  <c r="M2233" i="2"/>
  <c r="L2233" i="2"/>
  <c r="N2225" i="2"/>
  <c r="M2225" i="2"/>
  <c r="L2225" i="2"/>
  <c r="N2218" i="2"/>
  <c r="M2218" i="2"/>
  <c r="L2218" i="2"/>
  <c r="N429" i="2"/>
  <c r="M429" i="2"/>
  <c r="L429" i="2"/>
  <c r="N2191" i="2"/>
  <c r="M2191" i="2"/>
  <c r="L2191" i="2"/>
  <c r="N2185" i="2"/>
  <c r="M2185" i="2"/>
  <c r="L2185" i="2"/>
  <c r="N2181" i="2"/>
  <c r="M2181" i="2"/>
  <c r="L2181" i="2"/>
  <c r="N2166" i="2"/>
  <c r="M2166" i="2"/>
  <c r="L2166" i="2"/>
  <c r="N427" i="2"/>
  <c r="M427" i="2"/>
  <c r="L427" i="2"/>
  <c r="N2157" i="2"/>
  <c r="M2157" i="2"/>
  <c r="L2157" i="2"/>
  <c r="N2149" i="2"/>
  <c r="M2149" i="2"/>
  <c r="L2149" i="2"/>
  <c r="N2135" i="2"/>
  <c r="M2135" i="2"/>
  <c r="L2135" i="2"/>
  <c r="N2130" i="2"/>
  <c r="M2130" i="2"/>
  <c r="L2130" i="2"/>
  <c r="N2105" i="2"/>
  <c r="M2105" i="2"/>
  <c r="L2105" i="2"/>
  <c r="N2103" i="2"/>
  <c r="M2103" i="2"/>
  <c r="L2103" i="2"/>
  <c r="N2093" i="2"/>
  <c r="M2093" i="2"/>
  <c r="L2093" i="2"/>
  <c r="N2087" i="2"/>
  <c r="M2087" i="2"/>
  <c r="L2087" i="2"/>
  <c r="N423" i="2"/>
  <c r="M423" i="2"/>
  <c r="L423" i="2"/>
  <c r="N2068" i="2"/>
  <c r="M2068" i="2"/>
  <c r="L2068" i="2"/>
  <c r="N2060" i="2"/>
  <c r="M2060" i="2"/>
  <c r="L2060" i="2"/>
  <c r="N2057" i="2"/>
  <c r="M2057" i="2"/>
  <c r="L2057" i="2"/>
  <c r="N2050" i="2"/>
  <c r="M2050" i="2"/>
  <c r="L2050" i="2"/>
  <c r="N2028" i="2"/>
  <c r="M2028" i="2"/>
  <c r="L2028" i="2"/>
  <c r="N2019" i="2"/>
  <c r="M2019" i="2"/>
  <c r="L2019" i="2"/>
  <c r="N2009" i="2"/>
  <c r="M2009" i="2"/>
  <c r="L2009" i="2"/>
  <c r="N1990" i="2"/>
  <c r="M1990" i="2"/>
  <c r="L1990" i="2"/>
  <c r="N1980" i="2"/>
  <c r="M1980" i="2"/>
  <c r="L1980" i="2"/>
  <c r="N1975" i="2"/>
  <c r="M1975" i="2"/>
  <c r="L1975" i="2"/>
  <c r="N1970" i="2"/>
  <c r="M1970" i="2"/>
  <c r="L1970" i="2"/>
  <c r="N1958" i="2"/>
  <c r="M1958" i="2"/>
  <c r="L1958" i="2"/>
  <c r="N1944" i="2"/>
  <c r="M1944" i="2"/>
  <c r="L1944" i="2"/>
  <c r="N1931" i="2"/>
  <c r="M1931" i="2"/>
  <c r="L1931" i="2"/>
  <c r="N1919" i="2"/>
  <c r="M1919" i="2"/>
  <c r="L1919" i="2"/>
  <c r="N1911" i="2"/>
  <c r="M1911" i="2"/>
  <c r="L1911" i="2"/>
  <c r="N1889" i="2"/>
  <c r="M1889" i="2"/>
  <c r="L1889" i="2"/>
  <c r="N1884" i="2"/>
  <c r="M1884" i="2"/>
  <c r="L1884" i="2"/>
  <c r="N1876" i="2"/>
  <c r="M1876" i="2"/>
  <c r="L1876" i="2"/>
  <c r="N1869" i="2"/>
  <c r="M1869" i="2"/>
  <c r="L1869" i="2"/>
  <c r="N1861" i="2"/>
  <c r="M1861" i="2"/>
  <c r="L1861" i="2"/>
  <c r="N1858" i="2"/>
  <c r="M1858" i="2"/>
  <c r="L1858" i="2"/>
  <c r="N1844" i="2"/>
  <c r="M1844" i="2"/>
  <c r="L1844" i="2"/>
  <c r="N1840" i="2"/>
  <c r="M1840" i="2"/>
  <c r="L1840" i="2"/>
  <c r="N1830" i="2"/>
  <c r="M1830" i="2"/>
  <c r="L1830" i="2"/>
  <c r="N1826" i="2"/>
  <c r="M1826" i="2"/>
  <c r="L1826" i="2"/>
  <c r="N1816" i="2"/>
  <c r="M1816" i="2"/>
  <c r="L1816" i="2"/>
  <c r="N1805" i="2"/>
  <c r="M1805" i="2"/>
  <c r="L1805" i="2"/>
  <c r="N1799" i="2"/>
  <c r="M1799" i="2"/>
  <c r="L1799" i="2"/>
  <c r="N1782" i="2"/>
  <c r="M1782" i="2"/>
  <c r="L1782" i="2"/>
  <c r="N1774" i="2"/>
  <c r="M1774" i="2"/>
  <c r="L1774" i="2"/>
  <c r="N1765" i="2"/>
  <c r="M1765" i="2"/>
  <c r="L1765" i="2"/>
  <c r="N1745" i="2"/>
  <c r="M1745" i="2"/>
  <c r="L1745" i="2"/>
  <c r="N1740" i="2"/>
  <c r="M1740" i="2"/>
  <c r="L1740" i="2"/>
  <c r="N1728" i="2"/>
  <c r="M1728" i="2"/>
  <c r="L1728" i="2"/>
  <c r="N399" i="2"/>
  <c r="M399" i="2"/>
  <c r="L399" i="2"/>
  <c r="N1683" i="2"/>
  <c r="M1683" i="2"/>
  <c r="L1683" i="2"/>
  <c r="N1679" i="2"/>
  <c r="M1679" i="2"/>
  <c r="L1679" i="2"/>
  <c r="N1670" i="2"/>
  <c r="M1670" i="2"/>
  <c r="L1670" i="2"/>
  <c r="N1666" i="2"/>
  <c r="M1666" i="2"/>
  <c r="L1666" i="2"/>
  <c r="N1661" i="2"/>
  <c r="M1661" i="2"/>
  <c r="L1661" i="2"/>
  <c r="N1658" i="2"/>
  <c r="M1658" i="2"/>
  <c r="L1658" i="2"/>
  <c r="N1652" i="2"/>
  <c r="M1652" i="2"/>
  <c r="L1652" i="2"/>
  <c r="N1628" i="2"/>
  <c r="M1628" i="2"/>
  <c r="L1628" i="2"/>
  <c r="N1612" i="2"/>
  <c r="M1612" i="2"/>
  <c r="L1612" i="2"/>
  <c r="N1605" i="2"/>
  <c r="M1605" i="2"/>
  <c r="L1605" i="2"/>
  <c r="N1585" i="2"/>
  <c r="M1585" i="2"/>
  <c r="L1585" i="2"/>
  <c r="N379" i="2"/>
  <c r="M379" i="2"/>
  <c r="L379" i="2"/>
  <c r="N1548" i="2"/>
  <c r="M1548" i="2"/>
  <c r="L1548" i="2"/>
  <c r="N1491" i="2"/>
  <c r="M1491" i="2"/>
  <c r="L1491" i="2"/>
  <c r="N1486" i="2"/>
  <c r="M1486" i="2"/>
  <c r="L1486" i="2"/>
  <c r="N1481" i="2"/>
  <c r="M1481" i="2"/>
  <c r="L1481" i="2"/>
  <c r="N1465" i="2"/>
  <c r="M1465" i="2"/>
  <c r="L1465" i="2"/>
  <c r="N1459" i="2"/>
  <c r="M1459" i="2"/>
  <c r="L1459" i="2"/>
  <c r="N1444" i="2"/>
  <c r="M1444" i="2"/>
  <c r="L1444" i="2"/>
  <c r="N1442" i="2"/>
  <c r="M1442" i="2"/>
  <c r="L1442" i="2"/>
  <c r="N1436" i="2"/>
  <c r="M1436" i="2"/>
  <c r="L1436" i="2"/>
  <c r="N1428" i="2"/>
  <c r="M1428" i="2"/>
  <c r="L1428" i="2"/>
  <c r="N1423" i="2"/>
  <c r="M1423" i="2"/>
  <c r="L1423" i="2"/>
  <c r="N1411" i="2"/>
  <c r="M1411" i="2"/>
  <c r="L1411" i="2"/>
  <c r="N1405" i="2"/>
  <c r="M1405" i="2"/>
  <c r="L1405" i="2"/>
  <c r="N1396" i="2"/>
  <c r="M1396" i="2"/>
  <c r="L1396" i="2"/>
  <c r="N1385" i="2"/>
  <c r="M1385" i="2"/>
  <c r="L1385" i="2"/>
  <c r="N1372" i="2"/>
  <c r="M1372" i="2"/>
  <c r="L1372" i="2"/>
  <c r="N1354" i="2"/>
  <c r="M1354" i="2"/>
  <c r="L1354" i="2"/>
  <c r="N1347" i="2"/>
  <c r="M1347" i="2"/>
  <c r="L1347" i="2"/>
  <c r="N1333" i="2"/>
  <c r="M1333" i="2"/>
  <c r="L1333" i="2"/>
  <c r="N1326" i="2"/>
  <c r="M1326" i="2"/>
  <c r="L1326" i="2"/>
  <c r="N1315" i="2"/>
  <c r="M1315" i="2"/>
  <c r="L1315" i="2"/>
  <c r="N1297" i="2"/>
  <c r="M1297" i="2"/>
  <c r="L1297" i="2"/>
  <c r="N1257" i="2"/>
  <c r="M1257" i="2"/>
  <c r="L1257" i="2"/>
  <c r="N1247" i="2"/>
  <c r="M1247" i="2"/>
  <c r="L1247" i="2"/>
  <c r="N1240" i="2"/>
  <c r="M1240" i="2"/>
  <c r="L1240" i="2"/>
  <c r="N1228" i="2"/>
  <c r="M1228" i="2"/>
  <c r="L1228" i="2"/>
  <c r="N1196" i="2"/>
  <c r="M1196" i="2"/>
  <c r="L1196" i="2"/>
  <c r="N1185" i="2"/>
  <c r="M1185" i="2"/>
  <c r="L1185" i="2"/>
  <c r="N1179" i="2"/>
  <c r="M1179" i="2"/>
  <c r="L1179" i="2"/>
  <c r="N1175" i="2"/>
  <c r="M1175" i="2"/>
  <c r="L1175" i="2"/>
  <c r="N1169" i="2"/>
  <c r="M1169" i="2"/>
  <c r="L1169" i="2"/>
  <c r="N1152" i="2"/>
  <c r="M1152" i="2"/>
  <c r="L1152" i="2"/>
  <c r="N1144" i="2"/>
  <c r="M1144" i="2"/>
  <c r="L1144" i="2"/>
  <c r="N1133" i="2"/>
  <c r="M1133" i="2"/>
  <c r="L1133" i="2"/>
  <c r="N1124" i="2"/>
  <c r="M1124" i="2"/>
  <c r="L1124" i="2"/>
  <c r="N1120" i="2"/>
  <c r="M1120" i="2"/>
  <c r="L1120" i="2"/>
  <c r="N1108" i="2"/>
  <c r="M1108" i="2"/>
  <c r="L1108" i="2"/>
  <c r="N1096" i="2"/>
  <c r="M1096" i="2"/>
  <c r="L1096" i="2"/>
  <c r="N1085" i="2"/>
  <c r="M1085" i="2"/>
  <c r="L1085" i="2"/>
  <c r="N1075" i="2"/>
  <c r="M1075" i="2"/>
  <c r="L1075" i="2"/>
  <c r="N1067" i="2"/>
  <c r="M1067" i="2"/>
  <c r="L1067" i="2"/>
  <c r="N1060" i="2"/>
  <c r="M1060" i="2"/>
  <c r="L1060" i="2"/>
  <c r="N1055" i="2"/>
  <c r="M1055" i="2"/>
  <c r="L1055" i="2"/>
  <c r="N1047" i="2"/>
  <c r="M1047" i="2"/>
  <c r="L1047" i="2"/>
  <c r="N1040" i="2"/>
  <c r="M1040" i="2"/>
  <c r="L1040" i="2"/>
  <c r="N1021" i="2"/>
  <c r="M1021" i="2"/>
  <c r="L1021" i="2"/>
  <c r="N1016" i="2"/>
  <c r="M1016" i="2"/>
  <c r="L1016" i="2"/>
  <c r="N1005" i="2"/>
  <c r="M1005" i="2"/>
  <c r="L1005" i="2"/>
  <c r="N1002" i="2"/>
  <c r="M1002" i="2"/>
  <c r="L1002" i="2"/>
  <c r="N994" i="2"/>
  <c r="M994" i="2"/>
  <c r="L994" i="2"/>
  <c r="N989" i="2"/>
  <c r="M989" i="2"/>
  <c r="L989" i="2"/>
  <c r="N339" i="2"/>
  <c r="M339" i="2"/>
  <c r="L339" i="2"/>
  <c r="N965" i="2"/>
  <c r="M965" i="2"/>
  <c r="L965" i="2"/>
  <c r="N952" i="2"/>
  <c r="M952" i="2"/>
  <c r="L952" i="2"/>
  <c r="N949" i="2"/>
  <c r="M949" i="2"/>
  <c r="L949" i="2"/>
  <c r="N936" i="2"/>
  <c r="M936" i="2"/>
  <c r="L936" i="2"/>
  <c r="N929" i="2"/>
  <c r="M929" i="2"/>
  <c r="L929" i="2"/>
  <c r="N912" i="2"/>
  <c r="M912" i="2"/>
  <c r="L912" i="2"/>
  <c r="N909" i="2"/>
  <c r="M909" i="2"/>
  <c r="L909" i="2"/>
  <c r="N899" i="2"/>
  <c r="M899" i="2"/>
  <c r="L899" i="2"/>
  <c r="N885" i="2"/>
  <c r="M885" i="2"/>
  <c r="L885" i="2"/>
  <c r="N881" i="2"/>
  <c r="M881" i="2"/>
  <c r="L881" i="2"/>
  <c r="N875" i="2"/>
  <c r="M875" i="2"/>
  <c r="L875" i="2"/>
  <c r="N868" i="2"/>
  <c r="M868" i="2"/>
  <c r="L868" i="2"/>
  <c r="N865" i="2"/>
  <c r="M865" i="2"/>
  <c r="L865" i="2"/>
  <c r="N861" i="2"/>
  <c r="M861" i="2"/>
  <c r="L861" i="2"/>
  <c r="N849" i="2"/>
  <c r="M849" i="2"/>
  <c r="L849" i="2"/>
  <c r="N842" i="2"/>
  <c r="M842" i="2"/>
  <c r="L842" i="2"/>
  <c r="N835" i="2"/>
  <c r="M835" i="2"/>
  <c r="L835" i="2"/>
  <c r="N5550" i="2"/>
  <c r="M5550" i="2"/>
  <c r="L5550" i="2"/>
  <c r="N233" i="2"/>
  <c r="M233" i="2"/>
  <c r="L233" i="2"/>
  <c r="N5418" i="2"/>
  <c r="M5418" i="2"/>
  <c r="L5418" i="2"/>
  <c r="N5405" i="2"/>
  <c r="M5405" i="2"/>
  <c r="L5405" i="2"/>
  <c r="N5400" i="2"/>
  <c r="M5400" i="2"/>
  <c r="L5400" i="2"/>
  <c r="N5370" i="2"/>
  <c r="M5370" i="2"/>
  <c r="L5370" i="2"/>
  <c r="N5355" i="2"/>
  <c r="M5355" i="2"/>
  <c r="L5355" i="2"/>
  <c r="N5342" i="2"/>
  <c r="M5342" i="2"/>
  <c r="L5342" i="2"/>
  <c r="N5309" i="2"/>
  <c r="M5309" i="2"/>
  <c r="L5309" i="2"/>
  <c r="N5305" i="2"/>
  <c r="M5305" i="2"/>
  <c r="L5305" i="2"/>
  <c r="N5291" i="2"/>
  <c r="M5291" i="2"/>
  <c r="L5291" i="2"/>
  <c r="N5289" i="2"/>
  <c r="M5289" i="2"/>
  <c r="L5289" i="2"/>
  <c r="N5278" i="2"/>
  <c r="M5278" i="2"/>
  <c r="L5278" i="2"/>
  <c r="N5275" i="2"/>
  <c r="M5275" i="2"/>
  <c r="L5275" i="2"/>
  <c r="N5265" i="2"/>
  <c r="M5265" i="2"/>
  <c r="L5265" i="2"/>
  <c r="N5237" i="2"/>
  <c r="M5237" i="2"/>
  <c r="L5237" i="2"/>
  <c r="N5235" i="2"/>
  <c r="M5235" i="2"/>
  <c r="L5235" i="2"/>
  <c r="N193" i="2"/>
  <c r="M193" i="2"/>
  <c r="L193" i="2"/>
  <c r="N5203" i="2"/>
  <c r="M5203" i="2"/>
  <c r="L5203" i="2"/>
  <c r="N177" i="2"/>
  <c r="M177" i="2"/>
  <c r="L177" i="2"/>
  <c r="N5171" i="2"/>
  <c r="M5171" i="2"/>
  <c r="L5171" i="2"/>
  <c r="N5136" i="2"/>
  <c r="M5136" i="2"/>
  <c r="L5136" i="2"/>
  <c r="N5110" i="2"/>
  <c r="M5110" i="2"/>
  <c r="L5110" i="2"/>
  <c r="N5103" i="2"/>
  <c r="M5103" i="2"/>
  <c r="L5103" i="2"/>
  <c r="N5072" i="2"/>
  <c r="M5072" i="2"/>
  <c r="L5072" i="2"/>
  <c r="N5050" i="2"/>
  <c r="M5050" i="2"/>
  <c r="L5050" i="2"/>
  <c r="N5021" i="2"/>
  <c r="M5021" i="2"/>
  <c r="L5021" i="2"/>
  <c r="N5007" i="2"/>
  <c r="M5007" i="2"/>
  <c r="L5007" i="2"/>
  <c r="N4971" i="2"/>
  <c r="M4971" i="2"/>
  <c r="L4971" i="2"/>
  <c r="N4964" i="2"/>
  <c r="M4964" i="2"/>
  <c r="L4964" i="2"/>
  <c r="N4945" i="2"/>
  <c r="M4945" i="2"/>
  <c r="L4945" i="2"/>
  <c r="N4939" i="2"/>
  <c r="M4939" i="2"/>
  <c r="L4939" i="2"/>
  <c r="N90" i="2"/>
  <c r="M90" i="2"/>
  <c r="L90" i="2"/>
  <c r="N4918" i="2"/>
  <c r="M4918" i="2"/>
  <c r="L4918" i="2"/>
  <c r="N4891" i="2"/>
  <c r="M4891" i="2"/>
  <c r="L4891" i="2"/>
  <c r="N77" i="2"/>
  <c r="M77" i="2"/>
  <c r="L77" i="2"/>
  <c r="N4845" i="2"/>
  <c r="M4845" i="2"/>
  <c r="L4845" i="2"/>
  <c r="N4823" i="2"/>
  <c r="M4823" i="2"/>
  <c r="L4823" i="2"/>
  <c r="N4797" i="2"/>
  <c r="M4797" i="2"/>
  <c r="L4797" i="2"/>
  <c r="N4792" i="2"/>
  <c r="M4792" i="2"/>
  <c r="L4792" i="2"/>
  <c r="N4773" i="2"/>
  <c r="M4773" i="2"/>
  <c r="L4773" i="2"/>
  <c r="N4769" i="2"/>
  <c r="M4769" i="2"/>
  <c r="L4769" i="2"/>
  <c r="N4763" i="2"/>
  <c r="M4763" i="2"/>
  <c r="L4763" i="2"/>
  <c r="N4739" i="2"/>
  <c r="M4739" i="2"/>
  <c r="L4739" i="2"/>
  <c r="N4712" i="2"/>
  <c r="M4712" i="2"/>
  <c r="L4712" i="2"/>
  <c r="N24" i="2"/>
  <c r="M24" i="2"/>
  <c r="L24" i="2"/>
  <c r="N4686" i="2"/>
  <c r="M4686" i="2"/>
  <c r="L4686" i="2"/>
  <c r="N4673" i="2"/>
  <c r="M4673" i="2"/>
  <c r="L4673" i="2"/>
  <c r="N4670" i="2"/>
  <c r="M4670" i="2"/>
  <c r="L4670" i="2"/>
  <c r="N4647" i="2"/>
  <c r="M4647" i="2"/>
  <c r="L4647" i="2"/>
  <c r="N4637" i="2"/>
  <c r="M4637" i="2"/>
  <c r="L4637" i="2"/>
  <c r="N4621" i="2"/>
  <c r="M4621" i="2"/>
  <c r="L4621" i="2"/>
  <c r="N4605" i="2"/>
  <c r="M4605" i="2"/>
  <c r="L4605" i="2"/>
  <c r="N4596" i="2"/>
  <c r="M4596" i="2"/>
  <c r="L4596" i="2"/>
  <c r="N4581" i="2"/>
  <c r="M4581" i="2"/>
  <c r="L4581" i="2"/>
  <c r="N309" i="2"/>
  <c r="M309" i="2"/>
  <c r="L309" i="2"/>
  <c r="N4568" i="2"/>
  <c r="M4568" i="2"/>
  <c r="L4568" i="2"/>
  <c r="N4533" i="2"/>
  <c r="M4533" i="2"/>
  <c r="L4533" i="2"/>
  <c r="N4511" i="2"/>
  <c r="M4511" i="2"/>
  <c r="L4511" i="2"/>
  <c r="N4486" i="2"/>
  <c r="M4486" i="2"/>
  <c r="L4486" i="2"/>
  <c r="N4481" i="2"/>
  <c r="M4481" i="2"/>
  <c r="L4481" i="2"/>
  <c r="N4470" i="2"/>
  <c r="M4470" i="2"/>
  <c r="L4470" i="2"/>
  <c r="N4451" i="2"/>
  <c r="M4451" i="2"/>
  <c r="L4451" i="2"/>
  <c r="N770" i="2"/>
  <c r="M770" i="2"/>
  <c r="L770" i="2"/>
  <c r="N4430" i="2"/>
  <c r="M4430" i="2"/>
  <c r="L4430" i="2"/>
  <c r="N4414" i="2"/>
  <c r="M4414" i="2"/>
  <c r="L4414" i="2"/>
  <c r="N4409" i="2"/>
  <c r="M4409" i="2"/>
  <c r="L4409" i="2"/>
  <c r="N4406" i="2"/>
  <c r="M4406" i="2"/>
  <c r="L4406" i="2"/>
  <c r="N4398" i="2"/>
  <c r="M4398" i="2"/>
  <c r="L4398" i="2"/>
  <c r="N4359" i="2"/>
  <c r="M4359" i="2"/>
  <c r="L4359" i="2"/>
  <c r="N4353" i="2"/>
  <c r="M4353" i="2"/>
  <c r="L4353" i="2"/>
  <c r="N4350" i="2"/>
  <c r="M4350" i="2"/>
  <c r="L4350" i="2"/>
  <c r="N4339" i="2"/>
  <c r="M4339" i="2"/>
  <c r="L4339" i="2"/>
  <c r="N4335" i="2"/>
  <c r="M4335" i="2"/>
  <c r="L4335" i="2"/>
  <c r="N4321" i="2"/>
  <c r="M4321" i="2"/>
  <c r="L4321" i="2"/>
  <c r="N4314" i="2"/>
  <c r="M4314" i="2"/>
  <c r="L4314" i="2"/>
  <c r="N4297" i="2"/>
  <c r="M4297" i="2"/>
  <c r="L4297" i="2"/>
  <c r="N4277" i="2"/>
  <c r="M4277" i="2"/>
  <c r="L4277" i="2"/>
  <c r="N4261" i="2"/>
  <c r="M4261" i="2"/>
  <c r="L4261" i="2"/>
  <c r="N4228" i="2"/>
  <c r="M4228" i="2"/>
  <c r="L4228" i="2"/>
  <c r="N4224" i="2"/>
  <c r="M4224" i="2"/>
  <c r="L4224" i="2"/>
  <c r="N4204" i="2"/>
  <c r="M4204" i="2"/>
  <c r="L4204" i="2"/>
  <c r="N4189" i="2"/>
  <c r="M4189" i="2"/>
  <c r="L4189" i="2"/>
  <c r="N4159" i="2"/>
  <c r="M4159" i="2"/>
  <c r="L4159" i="2"/>
  <c r="N4131" i="2"/>
  <c r="M4131" i="2"/>
  <c r="L4131" i="2"/>
  <c r="N4120" i="2"/>
  <c r="M4120" i="2"/>
  <c r="L4120" i="2"/>
  <c r="N4102" i="2"/>
  <c r="M4102" i="2"/>
  <c r="L4102" i="2"/>
  <c r="N4095" i="2"/>
  <c r="M4095" i="2"/>
  <c r="L4095" i="2"/>
  <c r="N4070" i="2"/>
  <c r="M4070" i="2"/>
  <c r="L4070" i="2"/>
  <c r="N4055" i="2"/>
  <c r="M4055" i="2"/>
  <c r="L4055" i="2"/>
  <c r="N4041" i="2"/>
  <c r="M4041" i="2"/>
  <c r="L4041" i="2"/>
  <c r="N4029" i="2"/>
  <c r="M4029" i="2"/>
  <c r="L4029" i="2"/>
  <c r="N4005" i="2"/>
  <c r="M4005" i="2"/>
  <c r="L4005" i="2"/>
  <c r="N3996" i="2"/>
  <c r="M3996" i="2"/>
  <c r="L3996" i="2"/>
  <c r="N3987" i="2"/>
  <c r="M3987" i="2"/>
  <c r="L3987" i="2"/>
  <c r="N3979" i="2"/>
  <c r="M3979" i="2"/>
  <c r="L3979" i="2"/>
  <c r="N3973" i="2"/>
  <c r="M3973" i="2"/>
  <c r="L3973" i="2"/>
  <c r="N3972" i="2"/>
  <c r="M3972" i="2"/>
  <c r="L3972" i="2"/>
  <c r="N3955" i="2"/>
  <c r="M3955" i="2"/>
  <c r="L3955" i="2"/>
  <c r="N3929" i="2"/>
  <c r="M3929" i="2"/>
  <c r="L3929" i="2"/>
  <c r="N3925" i="2"/>
  <c r="M3925" i="2"/>
  <c r="L3925" i="2"/>
  <c r="N3908" i="2"/>
  <c r="M3908" i="2"/>
  <c r="L3908" i="2"/>
  <c r="N3889" i="2"/>
  <c r="M3889" i="2"/>
  <c r="L3889" i="2"/>
  <c r="N3861" i="2"/>
  <c r="M3861" i="2"/>
  <c r="L3861" i="2"/>
  <c r="N3851" i="2"/>
  <c r="M3851" i="2"/>
  <c r="L3851" i="2"/>
  <c r="N3814" i="2"/>
  <c r="M3814" i="2"/>
  <c r="L3814" i="2"/>
  <c r="N3786" i="2"/>
  <c r="M3786" i="2"/>
  <c r="L3786" i="2"/>
  <c r="N3776" i="2"/>
  <c r="M3776" i="2"/>
  <c r="L3776" i="2"/>
  <c r="N3745" i="2"/>
  <c r="M3745" i="2"/>
  <c r="L3745" i="2"/>
  <c r="N3721" i="2"/>
  <c r="M3721" i="2"/>
  <c r="L3721" i="2"/>
  <c r="N3689" i="2"/>
  <c r="M3689" i="2"/>
  <c r="L3689" i="2"/>
  <c r="N3675" i="2"/>
  <c r="M3675" i="2"/>
  <c r="L3675" i="2"/>
  <c r="N3631" i="2"/>
  <c r="M3631" i="2"/>
  <c r="L3631" i="2"/>
  <c r="N3621" i="2"/>
  <c r="M3621" i="2"/>
  <c r="L3621" i="2"/>
  <c r="N3609" i="2"/>
  <c r="M3609" i="2"/>
  <c r="L3609" i="2"/>
  <c r="N3589" i="2"/>
  <c r="M3589" i="2"/>
  <c r="L3589" i="2"/>
  <c r="N3586" i="2"/>
  <c r="M3586" i="2"/>
  <c r="L3586" i="2"/>
  <c r="N3555" i="2"/>
  <c r="M3555" i="2"/>
  <c r="L3555" i="2"/>
  <c r="N3542" i="2"/>
  <c r="M3542" i="2"/>
  <c r="L3542" i="2"/>
  <c r="N3537" i="2"/>
  <c r="M3537" i="2"/>
  <c r="L3537" i="2"/>
  <c r="N3519" i="2"/>
  <c r="M3519" i="2"/>
  <c r="L3519" i="2"/>
  <c r="N3491" i="2"/>
  <c r="M3491" i="2"/>
  <c r="L3491" i="2"/>
  <c r="N3483" i="2"/>
  <c r="M3483" i="2"/>
  <c r="L3483" i="2"/>
  <c r="N3468" i="2"/>
  <c r="M3468" i="2"/>
  <c r="L3468" i="2"/>
  <c r="N3465" i="2"/>
  <c r="M3465" i="2"/>
  <c r="L3465" i="2"/>
  <c r="N3458" i="2"/>
  <c r="M3458" i="2"/>
  <c r="L3458" i="2"/>
  <c r="N3424" i="2"/>
  <c r="M3424" i="2"/>
  <c r="L3424" i="2"/>
  <c r="N3401" i="2"/>
  <c r="M3401" i="2"/>
  <c r="L3401" i="2"/>
  <c r="N3395" i="2"/>
  <c r="M3395" i="2"/>
  <c r="L3395" i="2"/>
  <c r="N3389" i="2"/>
  <c r="M3389" i="2"/>
  <c r="L3389" i="2"/>
  <c r="N3376" i="2"/>
  <c r="M3376" i="2"/>
  <c r="L3376" i="2"/>
  <c r="N3373" i="2"/>
  <c r="M3373" i="2"/>
  <c r="L3373" i="2"/>
  <c r="N3357" i="2"/>
  <c r="M3357" i="2"/>
  <c r="L3357" i="2"/>
  <c r="N3350" i="2"/>
  <c r="M3350" i="2"/>
  <c r="L3350" i="2"/>
  <c r="N3339" i="2"/>
  <c r="M3339" i="2"/>
  <c r="L3339" i="2"/>
  <c r="N3326" i="2"/>
  <c r="M3326" i="2"/>
  <c r="L3326" i="2"/>
  <c r="N3310" i="2"/>
  <c r="M3310" i="2"/>
  <c r="L3310" i="2"/>
  <c r="N3309" i="2"/>
  <c r="M3309" i="2"/>
  <c r="L3309" i="2"/>
  <c r="N3298" i="2"/>
  <c r="M3298" i="2"/>
  <c r="L3298" i="2"/>
  <c r="N3264" i="2"/>
  <c r="M3264" i="2"/>
  <c r="L3264" i="2"/>
  <c r="N3234" i="2"/>
  <c r="M3234" i="2"/>
  <c r="L3234" i="2"/>
  <c r="N3209" i="2"/>
  <c r="M3209" i="2"/>
  <c r="L3209" i="2"/>
  <c r="N3200" i="2"/>
  <c r="M3200" i="2"/>
  <c r="L3200" i="2"/>
  <c r="N3193" i="2"/>
  <c r="M3193" i="2"/>
  <c r="L3193" i="2"/>
  <c r="N3173" i="2"/>
  <c r="M3173" i="2"/>
  <c r="L3173" i="2"/>
  <c r="N3168" i="2"/>
  <c r="M3168" i="2"/>
  <c r="L3168" i="2"/>
  <c r="N3166" i="2"/>
  <c r="M3166" i="2"/>
  <c r="L3166" i="2"/>
  <c r="N3148" i="2"/>
  <c r="M3148" i="2"/>
  <c r="L3148" i="2"/>
  <c r="N3136" i="2"/>
  <c r="M3136" i="2"/>
  <c r="L3136" i="2"/>
  <c r="N3131" i="2"/>
  <c r="M3131" i="2"/>
  <c r="L3131" i="2"/>
  <c r="N3119" i="2"/>
  <c r="M3119" i="2"/>
  <c r="L3119" i="2"/>
  <c r="N3076" i="2"/>
  <c r="M3076" i="2"/>
  <c r="L3076" i="2"/>
  <c r="N3068" i="2"/>
  <c r="M3068" i="2"/>
  <c r="L3068" i="2"/>
  <c r="N3054" i="2"/>
  <c r="M3054" i="2"/>
  <c r="L3054" i="2"/>
  <c r="N3038" i="2"/>
  <c r="M3038" i="2"/>
  <c r="L3038" i="2"/>
  <c r="N3032" i="2"/>
  <c r="M3032" i="2"/>
  <c r="L3032" i="2"/>
  <c r="N3011" i="2"/>
  <c r="M3011" i="2"/>
  <c r="L3011" i="2"/>
  <c r="N2993" i="2"/>
  <c r="M2993" i="2"/>
  <c r="L2993" i="2"/>
  <c r="N2976" i="2"/>
  <c r="M2976" i="2"/>
  <c r="L2976" i="2"/>
  <c r="N2971" i="2"/>
  <c r="M2971" i="2"/>
  <c r="L2971" i="2"/>
  <c r="N2963" i="2"/>
  <c r="M2963" i="2"/>
  <c r="L2963" i="2"/>
  <c r="N2955" i="2"/>
  <c r="M2955" i="2"/>
  <c r="L2955" i="2"/>
  <c r="N2950" i="2"/>
  <c r="M2950" i="2"/>
  <c r="L2950" i="2"/>
  <c r="N2939" i="2"/>
  <c r="M2939" i="2"/>
  <c r="L2939" i="2"/>
  <c r="N2932" i="2"/>
  <c r="M2932" i="2"/>
  <c r="L2932" i="2"/>
  <c r="N2903" i="2"/>
  <c r="M2903" i="2"/>
  <c r="L2903" i="2"/>
  <c r="N2882" i="2"/>
  <c r="M2882" i="2"/>
  <c r="L2882" i="2"/>
  <c r="N2846" i="2"/>
  <c r="M2846" i="2"/>
  <c r="L2846" i="2"/>
  <c r="N2833" i="2"/>
  <c r="M2833" i="2"/>
  <c r="L2833" i="2"/>
  <c r="N2808" i="2"/>
  <c r="M2808" i="2"/>
  <c r="L2808" i="2"/>
  <c r="N2795" i="2"/>
  <c r="M2795" i="2"/>
  <c r="L2795" i="2"/>
  <c r="N2790" i="2"/>
  <c r="M2790" i="2"/>
  <c r="L2790" i="2"/>
  <c r="N2759" i="2"/>
  <c r="M2759" i="2"/>
  <c r="L2759" i="2"/>
  <c r="N2744" i="2"/>
  <c r="M2744" i="2"/>
  <c r="L2744" i="2"/>
  <c r="N2728" i="2"/>
  <c r="M2728" i="2"/>
  <c r="L2728" i="2"/>
  <c r="N2711" i="2"/>
  <c r="M2711" i="2"/>
  <c r="L2711" i="2"/>
  <c r="N2687" i="2"/>
  <c r="M2687" i="2"/>
  <c r="L2687" i="2"/>
  <c r="N2675" i="2"/>
  <c r="M2675" i="2"/>
  <c r="L2675" i="2"/>
  <c r="N2670" i="2"/>
  <c r="M2670" i="2"/>
  <c r="L2670" i="2"/>
  <c r="N2666" i="2"/>
  <c r="M2666" i="2"/>
  <c r="L2666" i="2"/>
  <c r="N2647" i="2"/>
  <c r="M2647" i="2"/>
  <c r="L2647" i="2"/>
  <c r="N2614" i="2"/>
  <c r="M2614" i="2"/>
  <c r="L2614" i="2"/>
  <c r="N2610" i="2"/>
  <c r="M2610" i="2"/>
  <c r="L2610" i="2"/>
  <c r="N2589" i="2"/>
  <c r="M2589" i="2"/>
  <c r="L2589" i="2"/>
  <c r="N2567" i="2"/>
  <c r="M2567" i="2"/>
  <c r="L2567" i="2"/>
  <c r="N2533" i="2"/>
  <c r="M2533" i="2"/>
  <c r="L2533" i="2"/>
  <c r="N2526" i="2"/>
  <c r="M2526" i="2"/>
  <c r="L2526" i="2"/>
  <c r="N2489" i="2"/>
  <c r="M2489" i="2"/>
  <c r="L2489" i="2"/>
  <c r="N2461" i="2"/>
  <c r="M2461" i="2"/>
  <c r="L2461" i="2"/>
  <c r="N2450" i="2"/>
  <c r="M2450" i="2"/>
  <c r="L2450" i="2"/>
  <c r="N2416" i="2"/>
  <c r="M2416" i="2"/>
  <c r="L2416" i="2"/>
  <c r="N2356" i="2"/>
  <c r="M2356" i="2"/>
  <c r="L2356" i="2"/>
  <c r="N2344" i="2"/>
  <c r="M2344" i="2"/>
  <c r="L2344" i="2"/>
  <c r="N2299" i="2"/>
  <c r="M2299" i="2"/>
  <c r="L2299" i="2"/>
  <c r="N2289" i="2"/>
  <c r="M2289" i="2"/>
  <c r="L2289" i="2"/>
  <c r="N2274" i="2"/>
  <c r="M2274" i="2"/>
  <c r="L2274" i="2"/>
  <c r="N2266" i="2"/>
  <c r="M2266" i="2"/>
  <c r="L2266" i="2"/>
  <c r="N2245" i="2"/>
  <c r="M2245" i="2"/>
  <c r="L2245" i="2"/>
  <c r="N2242" i="2"/>
  <c r="M2242" i="2"/>
  <c r="L2242" i="2"/>
  <c r="N2212" i="2"/>
  <c r="M2212" i="2"/>
  <c r="L2212" i="2"/>
  <c r="N2199" i="2"/>
  <c r="M2199" i="2"/>
  <c r="L2199" i="2"/>
  <c r="N2173" i="2"/>
  <c r="M2173" i="2"/>
  <c r="L2173" i="2"/>
  <c r="N2142" i="2"/>
  <c r="M2142" i="2"/>
  <c r="L2142" i="2"/>
  <c r="N2141" i="2"/>
  <c r="M2141" i="2"/>
  <c r="L2141" i="2"/>
  <c r="N2121" i="2"/>
  <c r="M2121" i="2"/>
  <c r="L2121" i="2"/>
  <c r="N2116" i="2"/>
  <c r="M2116" i="2"/>
  <c r="L2116" i="2"/>
  <c r="N2074" i="2"/>
  <c r="M2074" i="2"/>
  <c r="L2074" i="2"/>
  <c r="N2045" i="2"/>
  <c r="M2045" i="2"/>
  <c r="L2045" i="2"/>
  <c r="N2037" i="2"/>
  <c r="M2037" i="2"/>
  <c r="L2037" i="2"/>
  <c r="N2034" i="2"/>
  <c r="M2034" i="2"/>
  <c r="L2034" i="2"/>
  <c r="N2013" i="2"/>
  <c r="M2013" i="2"/>
  <c r="L2013" i="2"/>
  <c r="N2004" i="2"/>
  <c r="M2004" i="2"/>
  <c r="L2004" i="2"/>
  <c r="N1997" i="2"/>
  <c r="M1997" i="2"/>
  <c r="L1997" i="2"/>
  <c r="N1964" i="2"/>
  <c r="M1964" i="2"/>
  <c r="L1964" i="2"/>
  <c r="N1954" i="2"/>
  <c r="M1954" i="2"/>
  <c r="L1954" i="2"/>
  <c r="N1947" i="2"/>
  <c r="M1947" i="2"/>
  <c r="L1947" i="2"/>
  <c r="N1938" i="2"/>
  <c r="M1938" i="2"/>
  <c r="L1938" i="2"/>
  <c r="N1921" i="2"/>
  <c r="M1921" i="2"/>
  <c r="L1921" i="2"/>
  <c r="N1909" i="2"/>
  <c r="M1909" i="2"/>
  <c r="L1909" i="2"/>
  <c r="N1902" i="2"/>
  <c r="M1902" i="2"/>
  <c r="L1902" i="2"/>
  <c r="N1897" i="2"/>
  <c r="M1897" i="2"/>
  <c r="L1897" i="2"/>
  <c r="N1851" i="2"/>
  <c r="M1851" i="2"/>
  <c r="L1851" i="2"/>
  <c r="N1823" i="2"/>
  <c r="M1823" i="2"/>
  <c r="L1823" i="2"/>
  <c r="N1792" i="2"/>
  <c r="M1792" i="2"/>
  <c r="L1792" i="2"/>
  <c r="N1780" i="2"/>
  <c r="M1780" i="2"/>
  <c r="L1780" i="2"/>
  <c r="N1759" i="2"/>
  <c r="M1759" i="2"/>
  <c r="L1759" i="2"/>
  <c r="N1753" i="2"/>
  <c r="M1753" i="2"/>
  <c r="L1753" i="2"/>
  <c r="N1750" i="2"/>
  <c r="M1750" i="2"/>
  <c r="L1750" i="2"/>
  <c r="N1734" i="2"/>
  <c r="M1734" i="2"/>
  <c r="L1734" i="2"/>
  <c r="N1715" i="2"/>
  <c r="M1715" i="2"/>
  <c r="L1715" i="2"/>
  <c r="N1707" i="2"/>
  <c r="M1707" i="2"/>
  <c r="L1707" i="2"/>
  <c r="N1704" i="2"/>
  <c r="M1704" i="2"/>
  <c r="L1704" i="2"/>
  <c r="N1643" i="2"/>
  <c r="M1643" i="2"/>
  <c r="L1643" i="2"/>
  <c r="N1639" i="2"/>
  <c r="M1639" i="2"/>
  <c r="L1639" i="2"/>
  <c r="N1632" i="2"/>
  <c r="M1632" i="2"/>
  <c r="L1632" i="2"/>
  <c r="N1623" i="2"/>
  <c r="M1623" i="2"/>
  <c r="L1623" i="2"/>
  <c r="N1616" i="2"/>
  <c r="M1616" i="2"/>
  <c r="L1616" i="2"/>
  <c r="N1601" i="2"/>
  <c r="M1601" i="2"/>
  <c r="L1601" i="2"/>
  <c r="N1593" i="2"/>
  <c r="M1593" i="2"/>
  <c r="L1593" i="2"/>
  <c r="N1584" i="2"/>
  <c r="M1584" i="2"/>
  <c r="L1584" i="2"/>
  <c r="N1578" i="2"/>
  <c r="M1578" i="2"/>
  <c r="L1578" i="2"/>
  <c r="N1572" i="2"/>
  <c r="M1572" i="2"/>
  <c r="L1572" i="2"/>
  <c r="N1559" i="2"/>
  <c r="M1559" i="2"/>
  <c r="L1559" i="2"/>
  <c r="N1554" i="2"/>
  <c r="M1554" i="2"/>
  <c r="L1554" i="2"/>
  <c r="N1539" i="2"/>
  <c r="M1539" i="2"/>
  <c r="L1539" i="2"/>
  <c r="N1528" i="2"/>
  <c r="M1528" i="2"/>
  <c r="L1528" i="2"/>
  <c r="N1524" i="2"/>
  <c r="M1524" i="2"/>
  <c r="L1524" i="2"/>
  <c r="N1516" i="2"/>
  <c r="M1516" i="2"/>
  <c r="L1516" i="2"/>
  <c r="N1506" i="2"/>
  <c r="M1506" i="2"/>
  <c r="L1506" i="2"/>
  <c r="N1501" i="2"/>
  <c r="M1501" i="2"/>
  <c r="L1501" i="2"/>
  <c r="N1470" i="2"/>
  <c r="M1470" i="2"/>
  <c r="L1470" i="2"/>
  <c r="N1455" i="2"/>
  <c r="M1455" i="2"/>
  <c r="L1455" i="2"/>
  <c r="N1417" i="2"/>
  <c r="M1417" i="2"/>
  <c r="L1417" i="2"/>
  <c r="N1399" i="2"/>
  <c r="M1399" i="2"/>
  <c r="L1399" i="2"/>
  <c r="N1388" i="2"/>
  <c r="M1388" i="2"/>
  <c r="L1388" i="2"/>
  <c r="N1378" i="2"/>
  <c r="M1378" i="2"/>
  <c r="L1378" i="2"/>
  <c r="N1366" i="2"/>
  <c r="M1366" i="2"/>
  <c r="L1366" i="2"/>
  <c r="N1357" i="2"/>
  <c r="M1357" i="2"/>
  <c r="L1357" i="2"/>
  <c r="N1342" i="2"/>
  <c r="M1342" i="2"/>
  <c r="L1342" i="2"/>
  <c r="N1325" i="2"/>
  <c r="M1325" i="2"/>
  <c r="L1325" i="2"/>
  <c r="N1310" i="2"/>
  <c r="M1310" i="2"/>
  <c r="L1310" i="2"/>
  <c r="N1262" i="2"/>
  <c r="M1262" i="2"/>
  <c r="L1262" i="2"/>
  <c r="N1235" i="2"/>
  <c r="M1235" i="2"/>
  <c r="L1235" i="2"/>
  <c r="N1224" i="2"/>
  <c r="M1224" i="2"/>
  <c r="L1224" i="2"/>
  <c r="N1217" i="2"/>
  <c r="M1217" i="2"/>
  <c r="L1217" i="2"/>
  <c r="N1212" i="2"/>
  <c r="M1212" i="2"/>
  <c r="L1212" i="2"/>
  <c r="N1205" i="2"/>
  <c r="M1205" i="2"/>
  <c r="L1205" i="2"/>
  <c r="N1192" i="2"/>
  <c r="M1192" i="2"/>
  <c r="L1192" i="2"/>
  <c r="N1160" i="2"/>
  <c r="M1160" i="2"/>
  <c r="L1160" i="2"/>
  <c r="N1155" i="2"/>
  <c r="M1155" i="2"/>
  <c r="L1155" i="2"/>
  <c r="N1140" i="2"/>
  <c r="M1140" i="2"/>
  <c r="L1140" i="2"/>
  <c r="N1126" i="2"/>
  <c r="M1126" i="2"/>
  <c r="L1126" i="2"/>
  <c r="N1113" i="2"/>
  <c r="M1113" i="2"/>
  <c r="L1113" i="2"/>
  <c r="N1099" i="2"/>
  <c r="M1099" i="2"/>
  <c r="L1099" i="2"/>
  <c r="N1081" i="2"/>
  <c r="M1081" i="2"/>
  <c r="L1081" i="2"/>
  <c r="N1038" i="2"/>
  <c r="M1038" i="2"/>
  <c r="L1038" i="2"/>
  <c r="N987" i="2"/>
  <c r="M987" i="2"/>
  <c r="L987" i="2"/>
  <c r="N970" i="2"/>
  <c r="M970" i="2"/>
  <c r="L970" i="2"/>
  <c r="N961" i="2"/>
  <c r="M961" i="2"/>
  <c r="L961" i="2"/>
  <c r="N940" i="2"/>
  <c r="M940" i="2"/>
  <c r="L940" i="2"/>
  <c r="N920" i="2"/>
  <c r="M920" i="2"/>
  <c r="L920" i="2"/>
  <c r="N828" i="2"/>
  <c r="M828" i="2"/>
  <c r="L828" i="2"/>
  <c r="N5540" i="2"/>
  <c r="M5540" i="2"/>
  <c r="L5540" i="2"/>
  <c r="N5538" i="2"/>
  <c r="M5538" i="2"/>
  <c r="L5538" i="2"/>
  <c r="N5531" i="2"/>
  <c r="M5531" i="2"/>
  <c r="L5531" i="2"/>
  <c r="N271" i="2"/>
  <c r="M271" i="2"/>
  <c r="L271" i="2"/>
  <c r="N5525" i="2"/>
  <c r="M5525" i="2"/>
  <c r="L5525" i="2"/>
  <c r="N5519" i="2"/>
  <c r="M5519" i="2"/>
  <c r="L5519" i="2"/>
  <c r="N5516" i="2"/>
  <c r="M5516" i="2"/>
  <c r="L5516" i="2"/>
  <c r="N262" i="2"/>
  <c r="M262" i="2"/>
  <c r="L262" i="2"/>
  <c r="N5505" i="2"/>
  <c r="M5505" i="2"/>
  <c r="L5505" i="2"/>
  <c r="N5500" i="2"/>
  <c r="M5500" i="2"/>
  <c r="L5500" i="2"/>
  <c r="N257" i="2"/>
  <c r="M257" i="2"/>
  <c r="L257" i="2"/>
  <c r="N5486" i="2"/>
  <c r="M5486" i="2"/>
  <c r="L5486" i="2"/>
  <c r="N5483" i="2"/>
  <c r="M5483" i="2"/>
  <c r="L5483" i="2"/>
  <c r="N5481" i="2"/>
  <c r="M5481" i="2"/>
  <c r="L5481" i="2"/>
  <c r="N247" i="2"/>
  <c r="M247" i="2"/>
  <c r="L247" i="2"/>
  <c r="N5468" i="2"/>
  <c r="M5468" i="2"/>
  <c r="L5468" i="2"/>
  <c r="N5463" i="2"/>
  <c r="M5463" i="2"/>
  <c r="L5463" i="2"/>
  <c r="N5455" i="2"/>
  <c r="M5455" i="2"/>
  <c r="L5455" i="2"/>
  <c r="N5453" i="2"/>
  <c r="M5453" i="2"/>
  <c r="L5453" i="2"/>
  <c r="N5449" i="2"/>
  <c r="M5449" i="2"/>
  <c r="L5449" i="2"/>
  <c r="N5440" i="2"/>
  <c r="M5440" i="2"/>
  <c r="L5440" i="2"/>
  <c r="N5424" i="2"/>
  <c r="M5424" i="2"/>
  <c r="L5424" i="2"/>
  <c r="N5412" i="2"/>
  <c r="M5412" i="2"/>
  <c r="L5412" i="2"/>
  <c r="N5394" i="2"/>
  <c r="M5394" i="2"/>
  <c r="L5394" i="2"/>
  <c r="N5389" i="2"/>
  <c r="M5389" i="2"/>
  <c r="L5389" i="2"/>
  <c r="N5379" i="2"/>
  <c r="M5379" i="2"/>
  <c r="L5379" i="2"/>
  <c r="N5378" i="2"/>
  <c r="M5378" i="2"/>
  <c r="L5378" i="2"/>
  <c r="N5365" i="2"/>
  <c r="M5365" i="2"/>
  <c r="L5365" i="2"/>
  <c r="N5359" i="2"/>
  <c r="M5359" i="2"/>
  <c r="L5359" i="2"/>
  <c r="N5349" i="2"/>
  <c r="M5349" i="2"/>
  <c r="L5349" i="2"/>
  <c r="N5336" i="2"/>
  <c r="M5336" i="2"/>
  <c r="L5336" i="2"/>
  <c r="N5332" i="2"/>
  <c r="M5332" i="2"/>
  <c r="L5332" i="2"/>
  <c r="N5325" i="2"/>
  <c r="M5325" i="2"/>
  <c r="L5325" i="2"/>
  <c r="N5321" i="2"/>
  <c r="M5321" i="2"/>
  <c r="L5321" i="2"/>
  <c r="N5312" i="2"/>
  <c r="M5312" i="2"/>
  <c r="L5312" i="2"/>
  <c r="N5298" i="2"/>
  <c r="M5298" i="2"/>
  <c r="L5298" i="2"/>
  <c r="N215" i="2"/>
  <c r="M215" i="2"/>
  <c r="L215" i="2"/>
  <c r="N5261" i="2"/>
  <c r="M5261" i="2"/>
  <c r="L5261" i="2"/>
  <c r="N5252" i="2"/>
  <c r="M5252" i="2"/>
  <c r="L5252" i="2"/>
  <c r="N205" i="2"/>
  <c r="M205" i="2"/>
  <c r="L205" i="2"/>
  <c r="N5245" i="2"/>
  <c r="M5245" i="2"/>
  <c r="L5245" i="2"/>
  <c r="N5229" i="2"/>
  <c r="M5229" i="2"/>
  <c r="L5229" i="2"/>
  <c r="N5214" i="2"/>
  <c r="M5214" i="2"/>
  <c r="L5214" i="2"/>
  <c r="N5207" i="2"/>
  <c r="M5207" i="2"/>
  <c r="L5207" i="2"/>
  <c r="N5200" i="2"/>
  <c r="M5200" i="2"/>
  <c r="L5200" i="2"/>
  <c r="N5198" i="2"/>
  <c r="M5198" i="2"/>
  <c r="L5198" i="2"/>
  <c r="N5188" i="2"/>
  <c r="M5188" i="2"/>
  <c r="L5188" i="2"/>
  <c r="N5183" i="2"/>
  <c r="M5183" i="2"/>
  <c r="L5183" i="2"/>
  <c r="N5174" i="2"/>
  <c r="M5174" i="2"/>
  <c r="L5174" i="2"/>
  <c r="N5165" i="2"/>
  <c r="M5165" i="2"/>
  <c r="L5165" i="2"/>
  <c r="N5157" i="2"/>
  <c r="M5157" i="2"/>
  <c r="L5157" i="2"/>
  <c r="N5152" i="2"/>
  <c r="M5152" i="2"/>
  <c r="L5152" i="2"/>
  <c r="N5147" i="2"/>
  <c r="M5147" i="2"/>
  <c r="L5147" i="2"/>
  <c r="N5141" i="2"/>
  <c r="M5141" i="2"/>
  <c r="L5141" i="2"/>
  <c r="N5132" i="2"/>
  <c r="M5132" i="2"/>
  <c r="L5132" i="2"/>
  <c r="N5127" i="2"/>
  <c r="M5127" i="2"/>
  <c r="L5127" i="2"/>
  <c r="N159" i="2"/>
  <c r="M159" i="2"/>
  <c r="L159" i="2"/>
  <c r="N5116" i="2"/>
  <c r="M5116" i="2"/>
  <c r="L5116" i="2"/>
  <c r="N5098" i="2"/>
  <c r="M5098" i="2"/>
  <c r="L5098" i="2"/>
  <c r="N5092" i="2"/>
  <c r="M5092" i="2"/>
  <c r="L5092" i="2"/>
  <c r="N5086" i="2"/>
  <c r="M5086" i="2"/>
  <c r="L5086" i="2"/>
  <c r="N5079" i="2"/>
  <c r="M5079" i="2"/>
  <c r="L5079" i="2"/>
  <c r="N145" i="2"/>
  <c r="M145" i="2"/>
  <c r="L145" i="2"/>
  <c r="N5063" i="2"/>
  <c r="M5063" i="2"/>
  <c r="L5063" i="2"/>
  <c r="N5059" i="2"/>
  <c r="M5059" i="2"/>
  <c r="L5059" i="2"/>
  <c r="N5055" i="2"/>
  <c r="M5055" i="2"/>
  <c r="L5055" i="2"/>
  <c r="N5043" i="2"/>
  <c r="M5043" i="2"/>
  <c r="L5043" i="2"/>
  <c r="N5037" i="2"/>
  <c r="M5037" i="2"/>
  <c r="L5037" i="2"/>
  <c r="N127" i="2"/>
  <c r="M127" i="2"/>
  <c r="L127" i="2"/>
  <c r="N5027" i="2"/>
  <c r="M5027" i="2"/>
  <c r="L5027" i="2"/>
  <c r="N5025" i="2"/>
  <c r="M5025" i="2"/>
  <c r="L5025" i="2"/>
  <c r="N119" i="2"/>
  <c r="M119" i="2"/>
  <c r="L119" i="2"/>
  <c r="N5002" i="2"/>
  <c r="M5002" i="2"/>
  <c r="L5002" i="2"/>
  <c r="N4995" i="2"/>
  <c r="M4995" i="2"/>
  <c r="L4995" i="2"/>
  <c r="N4989" i="2"/>
  <c r="M4989" i="2"/>
  <c r="L4989" i="2"/>
  <c r="N4985" i="2"/>
  <c r="M4985" i="2"/>
  <c r="L4985" i="2"/>
  <c r="N4982" i="2"/>
  <c r="M4982" i="2"/>
  <c r="L4982" i="2"/>
  <c r="N4975" i="2"/>
  <c r="M4975" i="2"/>
  <c r="L4975" i="2"/>
  <c r="N4968" i="2"/>
  <c r="M4968" i="2"/>
  <c r="L4968" i="2"/>
  <c r="N4956" i="2"/>
  <c r="M4956" i="2"/>
  <c r="L4956" i="2"/>
  <c r="N98" i="2"/>
  <c r="M98" i="2"/>
  <c r="L98" i="2"/>
  <c r="N4933" i="2"/>
  <c r="M4933" i="2"/>
  <c r="L4933" i="2"/>
  <c r="N4932" i="2"/>
  <c r="M4932" i="2"/>
  <c r="L4932" i="2"/>
  <c r="N4915" i="2"/>
  <c r="M4915" i="2"/>
  <c r="L4915" i="2"/>
  <c r="N4903" i="2"/>
  <c r="M4903" i="2"/>
  <c r="L4903" i="2"/>
  <c r="N4896" i="2"/>
  <c r="M4896" i="2"/>
  <c r="L4896" i="2"/>
  <c r="N4854" i="2"/>
  <c r="M4854" i="2"/>
  <c r="L4854" i="2"/>
  <c r="N4839" i="2"/>
  <c r="M4839" i="2"/>
  <c r="L4839" i="2"/>
  <c r="N4834" i="2"/>
  <c r="M4834" i="2"/>
  <c r="L4834" i="2"/>
  <c r="N4827" i="2"/>
  <c r="M4827" i="2"/>
  <c r="L4827" i="2"/>
  <c r="N4818" i="2"/>
  <c r="M4818" i="2"/>
  <c r="L4818" i="2"/>
  <c r="N4811" i="2"/>
  <c r="M4811" i="2"/>
  <c r="L4811" i="2"/>
  <c r="N4806" i="2"/>
  <c r="M4806" i="2"/>
  <c r="L4806" i="2"/>
  <c r="N4804" i="2"/>
  <c r="M4804" i="2"/>
  <c r="L4804" i="2"/>
  <c r="N56" i="2"/>
  <c r="M56" i="2"/>
  <c r="L56" i="2"/>
  <c r="N4782" i="2"/>
  <c r="M4782" i="2"/>
  <c r="L4782" i="2"/>
  <c r="N48" i="2"/>
  <c r="M48" i="2"/>
  <c r="L48" i="2"/>
  <c r="N4756" i="2"/>
  <c r="M4756" i="2"/>
  <c r="L4756" i="2"/>
  <c r="N4751" i="2"/>
  <c r="M4751" i="2"/>
  <c r="L4751" i="2"/>
  <c r="N4749" i="2"/>
  <c r="M4749" i="2"/>
  <c r="L4749" i="2"/>
  <c r="N4743" i="2"/>
  <c r="M4743" i="2"/>
  <c r="L4743" i="2"/>
  <c r="N4733" i="2"/>
  <c r="M4733" i="2"/>
  <c r="L4733" i="2"/>
  <c r="N4731" i="2"/>
  <c r="M4731" i="2"/>
  <c r="L4731" i="2"/>
  <c r="N4719" i="2"/>
  <c r="M4719" i="2"/>
  <c r="L4719" i="2"/>
  <c r="N4716" i="2"/>
  <c r="M4716" i="2"/>
  <c r="L4716" i="2"/>
  <c r="N4701" i="2"/>
  <c r="M4701" i="2"/>
  <c r="L4701" i="2"/>
  <c r="N4695" i="2"/>
  <c r="M4695" i="2"/>
  <c r="L4695" i="2"/>
  <c r="N4683" i="2"/>
  <c r="M4683" i="2"/>
  <c r="L4683" i="2"/>
  <c r="N4669" i="2"/>
  <c r="M4669" i="2"/>
  <c r="L4669" i="2"/>
  <c r="N4663" i="2"/>
  <c r="M4663" i="2"/>
  <c r="L4663" i="2"/>
  <c r="N4656" i="2"/>
  <c r="M4656" i="2"/>
  <c r="L4656" i="2"/>
  <c r="N4652" i="2"/>
  <c r="M4652" i="2"/>
  <c r="L4652" i="2"/>
  <c r="N4643" i="2"/>
  <c r="M4643" i="2"/>
  <c r="L4643" i="2"/>
  <c r="N4615" i="2"/>
  <c r="M4615" i="2"/>
  <c r="L4615" i="2"/>
  <c r="N4603" i="2"/>
  <c r="M4603" i="2"/>
  <c r="L4603" i="2"/>
  <c r="N4591" i="2"/>
  <c r="M4591" i="2"/>
  <c r="L4591" i="2"/>
  <c r="N313" i="2"/>
  <c r="M313" i="2"/>
  <c r="L313" i="2"/>
  <c r="N4565" i="2"/>
  <c r="M4565" i="2"/>
  <c r="L4565" i="2"/>
  <c r="N4560" i="2"/>
  <c r="M4560" i="2"/>
  <c r="L4560" i="2"/>
  <c r="N303" i="2"/>
  <c r="M303" i="2"/>
  <c r="L303" i="2"/>
  <c r="N297" i="2"/>
  <c r="M297" i="2"/>
  <c r="L297" i="2"/>
  <c r="N295" i="2"/>
  <c r="M295" i="2"/>
  <c r="L295" i="2"/>
  <c r="N4540" i="2"/>
  <c r="M4540" i="2"/>
  <c r="L4540" i="2"/>
  <c r="N792" i="2"/>
  <c r="M792" i="2"/>
  <c r="L792" i="2"/>
  <c r="N4526" i="2"/>
  <c r="M4526" i="2"/>
  <c r="L4526" i="2"/>
  <c r="N4522" i="2"/>
  <c r="M4522" i="2"/>
  <c r="L4522" i="2"/>
  <c r="N4516" i="2"/>
  <c r="M4516" i="2"/>
  <c r="L4516" i="2"/>
  <c r="N4507" i="2"/>
  <c r="M4507" i="2"/>
  <c r="L4507" i="2"/>
  <c r="N4499" i="2"/>
  <c r="M4499" i="2"/>
  <c r="L4499" i="2"/>
  <c r="N786" i="2"/>
  <c r="M786" i="2"/>
  <c r="L786" i="2"/>
  <c r="N4489" i="2"/>
  <c r="M4489" i="2"/>
  <c r="L4489" i="2"/>
  <c r="N4473" i="2"/>
  <c r="M4473" i="2"/>
  <c r="L4473" i="2"/>
  <c r="N776" i="2"/>
  <c r="M776" i="2"/>
  <c r="L776" i="2"/>
  <c r="N4458" i="2"/>
  <c r="M4458" i="2"/>
  <c r="L4458" i="2"/>
  <c r="N4439" i="2"/>
  <c r="M4439" i="2"/>
  <c r="L4439" i="2"/>
  <c r="N4435" i="2"/>
  <c r="M4435" i="2"/>
  <c r="L4435" i="2"/>
  <c r="N4424" i="2"/>
  <c r="M4424" i="2"/>
  <c r="L4424" i="2"/>
  <c r="N4420" i="2"/>
  <c r="M4420" i="2"/>
  <c r="L4420" i="2"/>
  <c r="N4389" i="2"/>
  <c r="M4389" i="2"/>
  <c r="L4389" i="2"/>
  <c r="N4384" i="2"/>
  <c r="M4384" i="2"/>
  <c r="L4384" i="2"/>
  <c r="N4380" i="2"/>
  <c r="M4380" i="2"/>
  <c r="L4380" i="2"/>
  <c r="N4377" i="2"/>
  <c r="M4377" i="2"/>
  <c r="L4377" i="2"/>
  <c r="N4367" i="2"/>
  <c r="M4367" i="2"/>
  <c r="L4367" i="2"/>
  <c r="N4365" i="2"/>
  <c r="M4365" i="2"/>
  <c r="L4365" i="2"/>
  <c r="N4345" i="2"/>
  <c r="M4345" i="2"/>
  <c r="L4345" i="2"/>
  <c r="N4330" i="2"/>
  <c r="M4330" i="2"/>
  <c r="L4330" i="2"/>
  <c r="N4322" i="2"/>
  <c r="M4322" i="2"/>
  <c r="L4322" i="2"/>
  <c r="N4309" i="2"/>
  <c r="M4309" i="2"/>
  <c r="L4309" i="2"/>
  <c r="N4304" i="2"/>
  <c r="M4304" i="2"/>
  <c r="L4304" i="2"/>
  <c r="N4291" i="2"/>
  <c r="M4291" i="2"/>
  <c r="L4291" i="2"/>
  <c r="N4286" i="2"/>
  <c r="M4286" i="2"/>
  <c r="L4286" i="2"/>
  <c r="N4280" i="2"/>
  <c r="M4280" i="2"/>
  <c r="L4280" i="2"/>
  <c r="N4272" i="2"/>
  <c r="M4272" i="2"/>
  <c r="L4272" i="2"/>
  <c r="N4262" i="2"/>
  <c r="M4262" i="2"/>
  <c r="L4262" i="2"/>
  <c r="N4255" i="2"/>
  <c r="M4255" i="2"/>
  <c r="L4255" i="2"/>
  <c r="N4246" i="2"/>
  <c r="M4246" i="2"/>
  <c r="L4246" i="2"/>
  <c r="N4240" i="2"/>
  <c r="M4240" i="2"/>
  <c r="L4240" i="2"/>
  <c r="N4234" i="2"/>
  <c r="M4234" i="2"/>
  <c r="L4234" i="2"/>
  <c r="N4213" i="2"/>
  <c r="M4213" i="2"/>
  <c r="L4213" i="2"/>
  <c r="N4211" i="2"/>
  <c r="M4211" i="2"/>
  <c r="L4211" i="2"/>
  <c r="N4200" i="2"/>
  <c r="M4200" i="2"/>
  <c r="L4200" i="2"/>
  <c r="N4196" i="2"/>
  <c r="M4196" i="2"/>
  <c r="L4196" i="2"/>
  <c r="N4182" i="2"/>
  <c r="M4182" i="2"/>
  <c r="L4182" i="2"/>
  <c r="N4178" i="2"/>
  <c r="M4178" i="2"/>
  <c r="L4178" i="2"/>
  <c r="N4174" i="2"/>
  <c r="M4174" i="2"/>
  <c r="L4174" i="2"/>
  <c r="N4170" i="2"/>
  <c r="M4170" i="2"/>
  <c r="L4170" i="2"/>
  <c r="N692" i="2"/>
  <c r="M692" i="2"/>
  <c r="L692" i="2"/>
  <c r="N690" i="2"/>
  <c r="M690" i="2"/>
  <c r="L690" i="2"/>
  <c r="N4148" i="2"/>
  <c r="M4148" i="2"/>
  <c r="L4148" i="2"/>
  <c r="N686" i="2"/>
  <c r="M686" i="2"/>
  <c r="L686" i="2"/>
  <c r="N4114" i="2"/>
  <c r="M4114" i="2"/>
  <c r="L4114" i="2"/>
  <c r="N4086" i="2"/>
  <c r="M4086" i="2"/>
  <c r="L4086" i="2"/>
  <c r="N4083" i="2"/>
  <c r="M4083" i="2"/>
  <c r="L4083" i="2"/>
  <c r="N4079" i="2"/>
  <c r="M4079" i="2"/>
  <c r="L4079" i="2"/>
  <c r="N4073" i="2"/>
  <c r="M4073" i="2"/>
  <c r="L4073" i="2"/>
  <c r="N4065" i="2"/>
  <c r="M4065" i="2"/>
  <c r="L4065" i="2"/>
  <c r="N4059" i="2"/>
  <c r="M4059" i="2"/>
  <c r="L4059" i="2"/>
  <c r="N4049" i="2"/>
  <c r="M4049" i="2"/>
  <c r="L4049" i="2"/>
  <c r="N663" i="2"/>
  <c r="M663" i="2"/>
  <c r="L663" i="2"/>
  <c r="N4032" i="2"/>
  <c r="M4032" i="2"/>
  <c r="L4032" i="2"/>
  <c r="N4021" i="2"/>
  <c r="M4021" i="2"/>
  <c r="L4021" i="2"/>
  <c r="N4014" i="2"/>
  <c r="M4014" i="2"/>
  <c r="L4014" i="2"/>
  <c r="N4011" i="2"/>
  <c r="M4011" i="2"/>
  <c r="L4011" i="2"/>
  <c r="N651" i="2"/>
  <c r="M651" i="2"/>
  <c r="L651" i="2"/>
  <c r="N3966" i="2"/>
  <c r="M3966" i="2"/>
  <c r="L3966" i="2"/>
  <c r="N3952" i="2"/>
  <c r="M3952" i="2"/>
  <c r="L3952" i="2"/>
  <c r="N3950" i="2"/>
  <c r="M3950" i="2"/>
  <c r="L3950" i="2"/>
  <c r="N3943" i="2"/>
  <c r="M3943" i="2"/>
  <c r="L3943" i="2"/>
  <c r="N3939" i="2"/>
  <c r="M3939" i="2"/>
  <c r="L3939" i="2"/>
  <c r="N641" i="2"/>
  <c r="M641" i="2"/>
  <c r="L641" i="2"/>
  <c r="N3912" i="2"/>
  <c r="M3912" i="2"/>
  <c r="L3912" i="2"/>
  <c r="N3898" i="2"/>
  <c r="M3898" i="2"/>
  <c r="L3898" i="2"/>
  <c r="N3896" i="2"/>
  <c r="M3896" i="2"/>
  <c r="L3896" i="2"/>
  <c r="N3884" i="2"/>
  <c r="M3884" i="2"/>
  <c r="L3884" i="2"/>
  <c r="N3877" i="2"/>
  <c r="M3877" i="2"/>
  <c r="L3877" i="2"/>
  <c r="N3870" i="2"/>
  <c r="M3870" i="2"/>
  <c r="L3870" i="2"/>
  <c r="N3869" i="2"/>
  <c r="M3869" i="2"/>
  <c r="L3869" i="2"/>
  <c r="N3859" i="2"/>
  <c r="M3859" i="2"/>
  <c r="L3859" i="2"/>
  <c r="N3846" i="2"/>
  <c r="M3846" i="2"/>
  <c r="L3846" i="2"/>
  <c r="N3841" i="2"/>
  <c r="M3841" i="2"/>
  <c r="L3841" i="2"/>
  <c r="N3834" i="2"/>
  <c r="M3834" i="2"/>
  <c r="L3834" i="2"/>
  <c r="N3828" i="2"/>
  <c r="M3828" i="2"/>
  <c r="L3828" i="2"/>
  <c r="N3823" i="2"/>
  <c r="M3823" i="2"/>
  <c r="L3823" i="2"/>
  <c r="N3812" i="2"/>
  <c r="M3812" i="2"/>
  <c r="L3812" i="2"/>
  <c r="N3804" i="2"/>
  <c r="M3804" i="2"/>
  <c r="L3804" i="2"/>
  <c r="N3802" i="2"/>
  <c r="M3802" i="2"/>
  <c r="L3802" i="2"/>
  <c r="N3795" i="2"/>
  <c r="M3795" i="2"/>
  <c r="L3795" i="2"/>
  <c r="N3782" i="2"/>
  <c r="M3782" i="2"/>
  <c r="L3782" i="2"/>
  <c r="N3769" i="2"/>
  <c r="M3769" i="2"/>
  <c r="L3769" i="2"/>
  <c r="N3763" i="2"/>
  <c r="M3763" i="2"/>
  <c r="L3763" i="2"/>
  <c r="N618" i="2"/>
  <c r="M618" i="2"/>
  <c r="L618" i="2"/>
  <c r="N3756" i="2"/>
  <c r="M3756" i="2"/>
  <c r="L3756" i="2"/>
  <c r="N3752" i="2"/>
  <c r="M3752" i="2"/>
  <c r="L3752" i="2"/>
  <c r="N3739" i="2"/>
  <c r="M3739" i="2"/>
  <c r="L3739" i="2"/>
  <c r="N3730" i="2"/>
  <c r="M3730" i="2"/>
  <c r="L3730" i="2"/>
  <c r="N3728" i="2"/>
  <c r="M3728" i="2"/>
  <c r="L3728" i="2"/>
  <c r="N3712" i="2"/>
  <c r="M3712" i="2"/>
  <c r="L3712" i="2"/>
  <c r="N3710" i="2"/>
  <c r="M3710" i="2"/>
  <c r="L3710" i="2"/>
  <c r="N3702" i="2"/>
  <c r="M3702" i="2"/>
  <c r="L3702" i="2"/>
  <c r="N3699" i="2"/>
  <c r="M3699" i="2"/>
  <c r="L3699" i="2"/>
  <c r="N607" i="2"/>
  <c r="M607" i="2"/>
  <c r="L607" i="2"/>
  <c r="N3680" i="2"/>
  <c r="M3680" i="2"/>
  <c r="L3680" i="2"/>
  <c r="N3663" i="2"/>
  <c r="M3663" i="2"/>
  <c r="L3663" i="2"/>
  <c r="N3662" i="2"/>
  <c r="M3662" i="2"/>
  <c r="L3662" i="2"/>
  <c r="N3654" i="2"/>
  <c r="M3654" i="2"/>
  <c r="L3654" i="2"/>
  <c r="N3652" i="2"/>
  <c r="M3652" i="2"/>
  <c r="L3652" i="2"/>
  <c r="N3645" i="2"/>
  <c r="M3645" i="2"/>
  <c r="L3645" i="2"/>
  <c r="N3639" i="2"/>
  <c r="M3639" i="2"/>
  <c r="L3639" i="2"/>
  <c r="N3627" i="2"/>
  <c r="M3627" i="2"/>
  <c r="L3627" i="2"/>
  <c r="N3618" i="2"/>
  <c r="M3618" i="2"/>
  <c r="L3618" i="2"/>
  <c r="N3614" i="2"/>
  <c r="M3614" i="2"/>
  <c r="L3614" i="2"/>
  <c r="N3602" i="2"/>
  <c r="M3602" i="2"/>
  <c r="L3602" i="2"/>
  <c r="N3597" i="2"/>
  <c r="M3597" i="2"/>
  <c r="L3597" i="2"/>
  <c r="N3578" i="2"/>
  <c r="M3578" i="2"/>
  <c r="L3578" i="2"/>
  <c r="N3573" i="2"/>
  <c r="M3573" i="2"/>
  <c r="L3573" i="2"/>
  <c r="N3566" i="2"/>
  <c r="M3566" i="2"/>
  <c r="L3566" i="2"/>
  <c r="N3557" i="2"/>
  <c r="M3557" i="2"/>
  <c r="L3557" i="2"/>
  <c r="N3548" i="2"/>
  <c r="M3548" i="2"/>
  <c r="L3548" i="2"/>
  <c r="N581" i="2"/>
  <c r="M581" i="2"/>
  <c r="L581" i="2"/>
  <c r="N579" i="2"/>
  <c r="M579" i="2"/>
  <c r="L579" i="2"/>
  <c r="N3522" i="2"/>
  <c r="M3522" i="2"/>
  <c r="L3522" i="2"/>
  <c r="N3514" i="2"/>
  <c r="M3514" i="2"/>
  <c r="L3514" i="2"/>
  <c r="N3508" i="2"/>
  <c r="M3508" i="2"/>
  <c r="L3508" i="2"/>
  <c r="N3501" i="2"/>
  <c r="M3501" i="2"/>
  <c r="L3501" i="2"/>
  <c r="N3495" i="2"/>
  <c r="M3495" i="2"/>
  <c r="L3495" i="2"/>
  <c r="N3473" i="2"/>
  <c r="M3473" i="2"/>
  <c r="L3473" i="2"/>
  <c r="N3451" i="2"/>
  <c r="M3451" i="2"/>
  <c r="L3451" i="2"/>
  <c r="N3449" i="2"/>
  <c r="M3449" i="2"/>
  <c r="L3449" i="2"/>
  <c r="N3442" i="2"/>
  <c r="M3442" i="2"/>
  <c r="L3442" i="2"/>
  <c r="N3438" i="2"/>
  <c r="M3438" i="2"/>
  <c r="L3438" i="2"/>
  <c r="N3434" i="2"/>
  <c r="M3434" i="2"/>
  <c r="L3434" i="2"/>
  <c r="N3420" i="2"/>
  <c r="M3420" i="2"/>
  <c r="L3420" i="2"/>
  <c r="N3416" i="2"/>
  <c r="M3416" i="2"/>
  <c r="L3416" i="2"/>
  <c r="N3407" i="2"/>
  <c r="M3407" i="2"/>
  <c r="L3407" i="2"/>
  <c r="N3403" i="2"/>
  <c r="M3403" i="2"/>
  <c r="L3403" i="2"/>
  <c r="N3382" i="2"/>
  <c r="M3382" i="2"/>
  <c r="L3382" i="2"/>
  <c r="N3366" i="2"/>
  <c r="M3366" i="2"/>
  <c r="L3366" i="2"/>
  <c r="N3341" i="2"/>
  <c r="M3341" i="2"/>
  <c r="L3341" i="2"/>
  <c r="N543" i="2"/>
  <c r="M543" i="2"/>
  <c r="L543" i="2"/>
  <c r="N3322" i="2"/>
  <c r="M3322" i="2"/>
  <c r="L3322" i="2"/>
  <c r="N540" i="2"/>
  <c r="M540" i="2"/>
  <c r="L540" i="2"/>
  <c r="N536" i="2"/>
  <c r="M536" i="2"/>
  <c r="L536" i="2"/>
  <c r="N3290" i="2"/>
  <c r="M3290" i="2"/>
  <c r="L3290" i="2"/>
  <c r="N3283" i="2"/>
  <c r="M3283" i="2"/>
  <c r="L3283" i="2"/>
  <c r="N3281" i="2"/>
  <c r="M3281" i="2"/>
  <c r="L3281" i="2"/>
  <c r="N3275" i="2"/>
  <c r="M3275" i="2"/>
  <c r="L3275" i="2"/>
  <c r="N3266" i="2"/>
  <c r="M3266" i="2"/>
  <c r="L3266" i="2"/>
  <c r="N3258" i="2"/>
  <c r="M3258" i="2"/>
  <c r="L3258" i="2"/>
  <c r="N3248" i="2"/>
  <c r="M3248" i="2"/>
  <c r="L3248" i="2"/>
  <c r="N3241" i="2"/>
  <c r="M3241" i="2"/>
  <c r="L3241" i="2"/>
  <c r="N3239" i="2"/>
  <c r="M3239" i="2"/>
  <c r="L3239" i="2"/>
  <c r="N3226" i="2"/>
  <c r="M3226" i="2"/>
  <c r="L3226" i="2"/>
  <c r="N3225" i="2"/>
  <c r="M3225" i="2"/>
  <c r="L3225" i="2"/>
  <c r="N3220" i="2"/>
  <c r="M3220" i="2"/>
  <c r="L3220" i="2"/>
  <c r="N3213" i="2"/>
  <c r="M3213" i="2"/>
  <c r="L3213" i="2"/>
  <c r="N3197" i="2"/>
  <c r="M3197" i="2"/>
  <c r="L3197" i="2"/>
  <c r="N3187" i="2"/>
  <c r="M3187" i="2"/>
  <c r="L3187" i="2"/>
  <c r="N3178" i="2"/>
  <c r="M3178" i="2"/>
  <c r="L3178" i="2"/>
  <c r="N3158" i="2"/>
  <c r="M3158" i="2"/>
  <c r="L3158" i="2"/>
  <c r="N3153" i="2"/>
  <c r="M3153" i="2"/>
  <c r="L3153" i="2"/>
  <c r="N3142" i="2"/>
  <c r="M3142" i="2"/>
  <c r="L3142" i="2"/>
  <c r="N3140" i="2"/>
  <c r="M3140" i="2"/>
  <c r="L3140" i="2"/>
  <c r="N3121" i="2"/>
  <c r="M3121" i="2"/>
  <c r="L3121" i="2"/>
  <c r="N3110" i="2"/>
  <c r="M3110" i="2"/>
  <c r="L3110" i="2"/>
  <c r="N507" i="2"/>
  <c r="M507" i="2"/>
  <c r="L507" i="2"/>
  <c r="N3102" i="2"/>
  <c r="M3102" i="2"/>
  <c r="L3102" i="2"/>
  <c r="N3099" i="2"/>
  <c r="M3099" i="2"/>
  <c r="L3099" i="2"/>
  <c r="N3093" i="2"/>
  <c r="M3093" i="2"/>
  <c r="L3093" i="2"/>
  <c r="N498" i="2"/>
  <c r="M498" i="2"/>
  <c r="L498" i="2"/>
  <c r="N3087" i="2"/>
  <c r="M3087" i="2"/>
  <c r="L3087" i="2"/>
  <c r="N3079" i="2"/>
  <c r="M3079" i="2"/>
  <c r="L3079" i="2"/>
  <c r="N3064" i="2"/>
  <c r="M3064" i="2"/>
  <c r="L3064" i="2"/>
  <c r="N3056" i="2"/>
  <c r="M3056" i="2"/>
  <c r="L3056" i="2"/>
  <c r="N3045" i="2"/>
  <c r="M3045" i="2"/>
  <c r="L3045" i="2"/>
  <c r="N3043" i="2"/>
  <c r="M3043" i="2"/>
  <c r="L3043" i="2"/>
  <c r="N3025" i="2"/>
  <c r="M3025" i="2"/>
  <c r="L3025" i="2"/>
  <c r="N3020" i="2"/>
  <c r="M3020" i="2"/>
  <c r="L3020" i="2"/>
  <c r="N3002" i="2"/>
  <c r="M3002" i="2"/>
  <c r="L3002" i="2"/>
  <c r="N2996" i="2"/>
  <c r="M2996" i="2"/>
  <c r="L2996" i="2"/>
  <c r="N2984" i="2"/>
  <c r="M2984" i="2"/>
  <c r="L2984" i="2"/>
  <c r="N2943" i="2"/>
  <c r="M2943" i="2"/>
  <c r="L2943" i="2"/>
  <c r="N2928" i="2"/>
  <c r="M2928" i="2"/>
  <c r="L2928" i="2"/>
  <c r="N2917" i="2"/>
  <c r="M2917" i="2"/>
  <c r="L2917" i="2"/>
  <c r="N489" i="2"/>
  <c r="M489" i="2"/>
  <c r="L489" i="2"/>
  <c r="N2898" i="2"/>
  <c r="M2898" i="2"/>
  <c r="L2898" i="2"/>
  <c r="N2888" i="2"/>
  <c r="M2888" i="2"/>
  <c r="L2888" i="2"/>
  <c r="N2877" i="2"/>
  <c r="M2877" i="2"/>
  <c r="L2877" i="2"/>
  <c r="N2872" i="2"/>
  <c r="M2872" i="2"/>
  <c r="L2872" i="2"/>
  <c r="N2863" i="2"/>
  <c r="M2863" i="2"/>
  <c r="L2863" i="2"/>
  <c r="N2859" i="2"/>
  <c r="M2859" i="2"/>
  <c r="L2859" i="2"/>
  <c r="N2853" i="2"/>
  <c r="M2853" i="2"/>
  <c r="L2853" i="2"/>
  <c r="N2843" i="2"/>
  <c r="M2843" i="2"/>
  <c r="L2843" i="2"/>
  <c r="N2825" i="2"/>
  <c r="M2825" i="2"/>
  <c r="L2825" i="2"/>
  <c r="N2814" i="2"/>
  <c r="M2814" i="2"/>
  <c r="L2814" i="2"/>
  <c r="N2806" i="2"/>
  <c r="M2806" i="2"/>
  <c r="L2806" i="2"/>
  <c r="N2784" i="2"/>
  <c r="M2784" i="2"/>
  <c r="L2784" i="2"/>
  <c r="N2777" i="2"/>
  <c r="M2777" i="2"/>
  <c r="L2777" i="2"/>
  <c r="N2770" i="2"/>
  <c r="M2770" i="2"/>
  <c r="L2770" i="2"/>
  <c r="N2765" i="2"/>
  <c r="M2765" i="2"/>
  <c r="L2765" i="2"/>
  <c r="N2754" i="2"/>
  <c r="M2754" i="2"/>
  <c r="L2754" i="2"/>
  <c r="N2749" i="2"/>
  <c r="M2749" i="2"/>
  <c r="L2749" i="2"/>
  <c r="N2737" i="2"/>
  <c r="M2737" i="2"/>
  <c r="L2737" i="2"/>
  <c r="N2726" i="2"/>
  <c r="M2726" i="2"/>
  <c r="L2726" i="2"/>
  <c r="N480" i="2"/>
  <c r="M480" i="2"/>
  <c r="L480" i="2"/>
  <c r="N2708" i="2"/>
  <c r="M2708" i="2"/>
  <c r="L2708" i="2"/>
  <c r="N2703" i="2"/>
  <c r="M2703" i="2"/>
  <c r="L2703" i="2"/>
  <c r="N477" i="2"/>
  <c r="M477" i="2"/>
  <c r="L477" i="2"/>
  <c r="N2682" i="2"/>
  <c r="M2682" i="2"/>
  <c r="L2682" i="2"/>
  <c r="N2656" i="2"/>
  <c r="M2656" i="2"/>
  <c r="L2656" i="2"/>
  <c r="N2640" i="2"/>
  <c r="M2640" i="2"/>
  <c r="L2640" i="2"/>
  <c r="N2638" i="2"/>
  <c r="M2638" i="2"/>
  <c r="L2638" i="2"/>
  <c r="N2628" i="2"/>
  <c r="M2628" i="2"/>
  <c r="L2628" i="2"/>
  <c r="N2622" i="2"/>
  <c r="M2622" i="2"/>
  <c r="L2622" i="2"/>
  <c r="N2603" i="2"/>
  <c r="M2603" i="2"/>
  <c r="L2603" i="2"/>
  <c r="N2586" i="2"/>
  <c r="M2586" i="2"/>
  <c r="L2586" i="2"/>
  <c r="N2577" i="2"/>
  <c r="M2577" i="2"/>
  <c r="L2577" i="2"/>
  <c r="N2564" i="2"/>
  <c r="M2564" i="2"/>
  <c r="L2564" i="2"/>
  <c r="N2557" i="2"/>
  <c r="M2557" i="2"/>
  <c r="L2557" i="2"/>
  <c r="N2550" i="2"/>
  <c r="M2550" i="2"/>
  <c r="L2550" i="2"/>
  <c r="N2539" i="2"/>
  <c r="M2539" i="2"/>
  <c r="L2539" i="2"/>
  <c r="N2527" i="2"/>
  <c r="M2527" i="2"/>
  <c r="L2527" i="2"/>
  <c r="N2520" i="2"/>
  <c r="M2520" i="2"/>
  <c r="L2520" i="2"/>
  <c r="N2513" i="2"/>
  <c r="M2513" i="2"/>
  <c r="L2513" i="2"/>
  <c r="N2511" i="2"/>
  <c r="M2511" i="2"/>
  <c r="L2511" i="2"/>
  <c r="N2502" i="2"/>
  <c r="M2502" i="2"/>
  <c r="L2502" i="2"/>
  <c r="N2494" i="2"/>
  <c r="M2494" i="2"/>
  <c r="L2494" i="2"/>
  <c r="N2483" i="2"/>
  <c r="M2483" i="2"/>
  <c r="L2483" i="2"/>
  <c r="N2479" i="2"/>
  <c r="M2479" i="2"/>
  <c r="L2479" i="2"/>
  <c r="N2475" i="2"/>
  <c r="M2475" i="2"/>
  <c r="L2475" i="2"/>
  <c r="N2469" i="2"/>
  <c r="M2469" i="2"/>
  <c r="L2469" i="2"/>
  <c r="N2452" i="2"/>
  <c r="M2452" i="2"/>
  <c r="L2452" i="2"/>
  <c r="N2442" i="2"/>
  <c r="M2442" i="2"/>
  <c r="L2442" i="2"/>
  <c r="N2433" i="2"/>
  <c r="M2433" i="2"/>
  <c r="L2433" i="2"/>
  <c r="N2427" i="2"/>
  <c r="M2427" i="2"/>
  <c r="L2427" i="2"/>
  <c r="N460" i="2"/>
  <c r="M460" i="2"/>
  <c r="L460" i="2"/>
  <c r="N2418" i="2"/>
  <c r="M2418" i="2"/>
  <c r="L2418" i="2"/>
  <c r="N2406" i="2"/>
  <c r="M2406" i="2"/>
  <c r="L2406" i="2"/>
  <c r="N2400" i="2"/>
  <c r="M2400" i="2"/>
  <c r="L2400" i="2"/>
  <c r="N2394" i="2"/>
  <c r="M2394" i="2"/>
  <c r="L2394" i="2"/>
  <c r="N2387" i="2"/>
  <c r="M2387" i="2"/>
  <c r="L2387" i="2"/>
  <c r="N2381" i="2"/>
  <c r="M2381" i="2"/>
  <c r="L2381" i="2"/>
  <c r="N2372" i="2"/>
  <c r="M2372" i="2"/>
  <c r="L2372" i="2"/>
  <c r="N2370" i="2"/>
  <c r="M2370" i="2"/>
  <c r="L2370" i="2"/>
  <c r="N2363" i="2"/>
  <c r="M2363" i="2"/>
  <c r="L2363" i="2"/>
  <c r="N2352" i="2"/>
  <c r="M2352" i="2"/>
  <c r="L2352" i="2"/>
  <c r="N2342" i="2"/>
  <c r="M2342" i="2"/>
  <c r="L2342" i="2"/>
  <c r="N2328" i="2"/>
  <c r="M2328" i="2"/>
  <c r="L2328" i="2"/>
  <c r="N2325" i="2"/>
  <c r="M2325" i="2"/>
  <c r="L2325" i="2"/>
  <c r="N2318" i="2"/>
  <c r="M2318" i="2"/>
  <c r="L2318" i="2"/>
  <c r="N2312" i="2"/>
  <c r="M2312" i="2"/>
  <c r="L2312" i="2"/>
  <c r="N2302" i="2"/>
  <c r="M2302" i="2"/>
  <c r="L2302" i="2"/>
  <c r="N2290" i="2"/>
  <c r="M2290" i="2"/>
  <c r="L2290" i="2"/>
  <c r="N2280" i="2"/>
  <c r="M2280" i="2"/>
  <c r="L2280" i="2"/>
  <c r="N435" i="2"/>
  <c r="M435" i="2"/>
  <c r="L435" i="2"/>
  <c r="N2257" i="2"/>
  <c r="M2257" i="2"/>
  <c r="L2257" i="2"/>
  <c r="N2251" i="2"/>
  <c r="M2251" i="2"/>
  <c r="L2251" i="2"/>
  <c r="N2235" i="2"/>
  <c r="M2235" i="2"/>
  <c r="L2235" i="2"/>
  <c r="N2226" i="2"/>
  <c r="M2226" i="2"/>
  <c r="L2226" i="2"/>
  <c r="N431" i="2"/>
  <c r="M431" i="2"/>
  <c r="L431" i="2"/>
  <c r="N2217" i="2"/>
  <c r="M2217" i="2"/>
  <c r="L2217" i="2"/>
  <c r="N2204" i="2"/>
  <c r="M2204" i="2"/>
  <c r="L2204" i="2"/>
  <c r="N2190" i="2"/>
  <c r="M2190" i="2"/>
  <c r="L2190" i="2"/>
  <c r="N2189" i="2"/>
  <c r="M2189" i="2"/>
  <c r="L2189" i="2"/>
  <c r="N2182" i="2"/>
  <c r="M2182" i="2"/>
  <c r="L2182" i="2"/>
  <c r="N2169" i="2"/>
  <c r="M2169" i="2"/>
  <c r="L2169" i="2"/>
  <c r="N2163" i="2"/>
  <c r="M2163" i="2"/>
  <c r="L2163" i="2"/>
  <c r="N2154" i="2"/>
  <c r="M2154" i="2"/>
  <c r="L2154" i="2"/>
  <c r="N425" i="2"/>
  <c r="M425" i="2"/>
  <c r="L425" i="2"/>
  <c r="N2136" i="2"/>
  <c r="M2136" i="2"/>
  <c r="L2136" i="2"/>
  <c r="N2131" i="2"/>
  <c r="M2131" i="2"/>
  <c r="L2131" i="2"/>
  <c r="N2106" i="2"/>
  <c r="M2106" i="2"/>
  <c r="L2106" i="2"/>
  <c r="N2099" i="2"/>
  <c r="M2099" i="2"/>
  <c r="L2099" i="2"/>
  <c r="N2096" i="2"/>
  <c r="M2096" i="2"/>
  <c r="L2096" i="2"/>
  <c r="N2085" i="2"/>
  <c r="M2085" i="2"/>
  <c r="L2085" i="2"/>
  <c r="N2081" i="2"/>
  <c r="M2081" i="2"/>
  <c r="L2081" i="2"/>
  <c r="N2071" i="2"/>
  <c r="M2071" i="2"/>
  <c r="L2071" i="2"/>
  <c r="N2063" i="2"/>
  <c r="M2063" i="2"/>
  <c r="L2063" i="2"/>
  <c r="N2059" i="2"/>
  <c r="M2059" i="2"/>
  <c r="L2059" i="2"/>
  <c r="N2052" i="2"/>
  <c r="M2052" i="2"/>
  <c r="L2052" i="2"/>
  <c r="N2027" i="2"/>
  <c r="M2027" i="2"/>
  <c r="L2027" i="2"/>
  <c r="N2017" i="2"/>
  <c r="M2017" i="2"/>
  <c r="L2017" i="2"/>
  <c r="N2006" i="2"/>
  <c r="M2006" i="2"/>
  <c r="L2006" i="2"/>
  <c r="N1989" i="2"/>
  <c r="M1989" i="2"/>
  <c r="L1989" i="2"/>
  <c r="N1982" i="2"/>
  <c r="M1982" i="2"/>
  <c r="L1982" i="2"/>
  <c r="N1976" i="2"/>
  <c r="M1976" i="2"/>
  <c r="L1976" i="2"/>
  <c r="N1972" i="2"/>
  <c r="M1972" i="2"/>
  <c r="L1972" i="2"/>
  <c r="N1957" i="2"/>
  <c r="M1957" i="2"/>
  <c r="L1957" i="2"/>
  <c r="N1940" i="2"/>
  <c r="M1940" i="2"/>
  <c r="L1940" i="2"/>
  <c r="N1929" i="2"/>
  <c r="M1929" i="2"/>
  <c r="L1929" i="2"/>
  <c r="N1914" i="2"/>
  <c r="M1914" i="2"/>
  <c r="L1914" i="2"/>
  <c r="N413" i="2"/>
  <c r="M413" i="2"/>
  <c r="L413" i="2"/>
  <c r="N1887" i="2"/>
  <c r="M1887" i="2"/>
  <c r="L1887" i="2"/>
  <c r="N1882" i="2"/>
  <c r="M1882" i="2"/>
  <c r="L1882" i="2"/>
  <c r="N1874" i="2"/>
  <c r="M1874" i="2"/>
  <c r="L1874" i="2"/>
  <c r="N1871" i="2"/>
  <c r="M1871" i="2"/>
  <c r="L1871" i="2"/>
  <c r="N1863" i="2"/>
  <c r="M1863" i="2"/>
  <c r="L1863" i="2"/>
  <c r="N1859" i="2"/>
  <c r="M1859" i="2"/>
  <c r="L1859" i="2"/>
  <c r="N1843" i="2"/>
  <c r="M1843" i="2"/>
  <c r="L1843" i="2"/>
  <c r="N1841" i="2"/>
  <c r="M1841" i="2"/>
  <c r="L1841" i="2"/>
  <c r="N1835" i="2"/>
  <c r="M1835" i="2"/>
  <c r="L1835" i="2"/>
  <c r="N1825" i="2"/>
  <c r="M1825" i="2"/>
  <c r="L1825" i="2"/>
  <c r="N1815" i="2"/>
  <c r="M1815" i="2"/>
  <c r="L1815" i="2"/>
  <c r="N1810" i="2"/>
  <c r="M1810" i="2"/>
  <c r="L1810" i="2"/>
  <c r="N1803" i="2"/>
  <c r="M1803" i="2"/>
  <c r="L1803" i="2"/>
  <c r="N1795" i="2"/>
  <c r="M1795" i="2"/>
  <c r="L1795" i="2"/>
  <c r="N1784" i="2"/>
  <c r="M1784" i="2"/>
  <c r="L1784" i="2"/>
  <c r="N1771" i="2"/>
  <c r="M1771" i="2"/>
  <c r="L1771" i="2"/>
  <c r="N1767" i="2"/>
  <c r="M1767" i="2"/>
  <c r="L1767" i="2"/>
  <c r="N1748" i="2"/>
  <c r="M1748" i="2"/>
  <c r="L1748" i="2"/>
  <c r="N401" i="2"/>
  <c r="M401" i="2"/>
  <c r="L401" i="2"/>
  <c r="N1723" i="2"/>
  <c r="M1723" i="2"/>
  <c r="L1723" i="2"/>
  <c r="N1718" i="2"/>
  <c r="M1718" i="2"/>
  <c r="L1718" i="2"/>
  <c r="N397" i="2"/>
  <c r="M397" i="2"/>
  <c r="L397" i="2"/>
  <c r="N1677" i="2"/>
  <c r="M1677" i="2"/>
  <c r="L1677" i="2"/>
  <c r="N1673" i="2"/>
  <c r="M1673" i="2"/>
  <c r="L1673" i="2"/>
  <c r="N1667" i="2"/>
  <c r="M1667" i="2"/>
  <c r="L1667" i="2"/>
  <c r="N1662" i="2"/>
  <c r="M1662" i="2"/>
  <c r="L1662" i="2"/>
  <c r="N1656" i="2"/>
  <c r="M1656" i="2"/>
  <c r="L1656" i="2"/>
  <c r="N1649" i="2"/>
  <c r="M1649" i="2"/>
  <c r="L1649" i="2"/>
  <c r="N1626" i="2"/>
  <c r="M1626" i="2"/>
  <c r="L1626" i="2"/>
  <c r="N1609" i="2"/>
  <c r="M1609" i="2"/>
  <c r="L1609" i="2"/>
  <c r="N1607" i="2"/>
  <c r="M1607" i="2"/>
  <c r="L1607" i="2"/>
  <c r="N1587" i="2"/>
  <c r="M1587" i="2"/>
  <c r="L1587" i="2"/>
  <c r="N1562" i="2"/>
  <c r="M1562" i="2"/>
  <c r="L1562" i="2"/>
  <c r="N1546" i="2"/>
  <c r="M1546" i="2"/>
  <c r="L1546" i="2"/>
  <c r="N1513" i="2"/>
  <c r="M1513" i="2"/>
  <c r="L1513" i="2"/>
  <c r="N1495" i="2"/>
  <c r="M1495" i="2"/>
  <c r="L1495" i="2"/>
  <c r="N1488" i="2"/>
  <c r="M1488" i="2"/>
  <c r="L1488" i="2"/>
  <c r="N1477" i="2"/>
  <c r="M1477" i="2"/>
  <c r="L1477" i="2"/>
  <c r="N1468" i="2"/>
  <c r="M1468" i="2"/>
  <c r="L1468" i="2"/>
  <c r="N1456" i="2"/>
  <c r="M1456" i="2"/>
  <c r="L1456" i="2"/>
  <c r="N1447" i="2"/>
  <c r="M1447" i="2"/>
  <c r="L1447" i="2"/>
  <c r="N1443" i="2"/>
  <c r="M1443" i="2"/>
  <c r="L1443" i="2"/>
  <c r="N1437" i="2"/>
  <c r="M1437" i="2"/>
  <c r="L1437" i="2"/>
  <c r="N1430" i="2"/>
  <c r="M1430" i="2"/>
  <c r="L1430" i="2"/>
  <c r="N1425" i="2"/>
  <c r="M1425" i="2"/>
  <c r="L1425" i="2"/>
  <c r="N1412" i="2"/>
  <c r="M1412" i="2"/>
  <c r="L1412" i="2"/>
  <c r="N1403" i="2"/>
  <c r="M1403" i="2"/>
  <c r="L1403" i="2"/>
  <c r="N1397" i="2"/>
  <c r="M1397" i="2"/>
  <c r="L1397" i="2"/>
  <c r="N1381" i="2"/>
  <c r="M1381" i="2"/>
  <c r="L1381" i="2"/>
  <c r="N1369" i="2"/>
  <c r="M1369" i="2"/>
  <c r="L1369" i="2"/>
  <c r="N1355" i="2"/>
  <c r="M1355" i="2"/>
  <c r="L1355" i="2"/>
  <c r="N1348" i="2"/>
  <c r="M1348" i="2"/>
  <c r="L1348" i="2"/>
  <c r="N1331" i="2"/>
  <c r="M1331" i="2"/>
  <c r="L1331" i="2"/>
  <c r="N368" i="2"/>
  <c r="M368" i="2"/>
  <c r="L368" i="2"/>
  <c r="N1314" i="2"/>
  <c r="M1314" i="2"/>
  <c r="L1314" i="2"/>
  <c r="N1304" i="2"/>
  <c r="M1304" i="2"/>
  <c r="L1304" i="2"/>
  <c r="N1301" i="2"/>
  <c r="M1301" i="2"/>
  <c r="L1301" i="2"/>
  <c r="N1258" i="2"/>
  <c r="M1258" i="2"/>
  <c r="L1258" i="2"/>
  <c r="N1251" i="2"/>
  <c r="M1251" i="2"/>
  <c r="L1251" i="2"/>
  <c r="N1242" i="2"/>
  <c r="M1242" i="2"/>
  <c r="L1242" i="2"/>
  <c r="N1225" i="2"/>
  <c r="M1225" i="2"/>
  <c r="L1225" i="2"/>
  <c r="N364" i="2"/>
  <c r="M364" i="2"/>
  <c r="L364" i="2"/>
  <c r="N1186" i="2"/>
  <c r="M1186" i="2"/>
  <c r="L1186" i="2"/>
  <c r="N361" i="2"/>
  <c r="M361" i="2"/>
  <c r="L361" i="2"/>
  <c r="N1173" i="2"/>
  <c r="M1173" i="2"/>
  <c r="L1173" i="2"/>
  <c r="N1166" i="2"/>
  <c r="M1166" i="2"/>
  <c r="L1166" i="2"/>
  <c r="N1150" i="2"/>
  <c r="M1150" i="2"/>
  <c r="L1150" i="2"/>
  <c r="N1147" i="2"/>
  <c r="M1147" i="2"/>
  <c r="L1147" i="2"/>
  <c r="N1132" i="2"/>
  <c r="M1132" i="2"/>
  <c r="L1132" i="2"/>
  <c r="N355" i="2"/>
  <c r="M355" i="2"/>
  <c r="L355" i="2"/>
  <c r="N1115" i="2"/>
  <c r="M1115" i="2"/>
  <c r="L1115" i="2"/>
  <c r="N1107" i="2"/>
  <c r="M1107" i="2"/>
  <c r="L1107" i="2"/>
  <c r="N1094" i="2"/>
  <c r="M1094" i="2"/>
  <c r="L1094" i="2"/>
  <c r="N1087" i="2"/>
  <c r="M1087" i="2"/>
  <c r="L1087" i="2"/>
  <c r="N1076" i="2"/>
  <c r="M1076" i="2"/>
  <c r="L1076" i="2"/>
  <c r="N352" i="2"/>
  <c r="M352" i="2"/>
  <c r="L352" i="2"/>
  <c r="N1059" i="2"/>
  <c r="M1059" i="2"/>
  <c r="L1059" i="2"/>
  <c r="N1056" i="2"/>
  <c r="M1056" i="2"/>
  <c r="L1056" i="2"/>
  <c r="N1044" i="2"/>
  <c r="M1044" i="2"/>
  <c r="L1044" i="2"/>
  <c r="N1042" i="2"/>
  <c r="M1042" i="2"/>
  <c r="L1042" i="2"/>
  <c r="N1023" i="2"/>
  <c r="M1023" i="2"/>
  <c r="L1023" i="2"/>
  <c r="N1022" i="2"/>
  <c r="M1022" i="2"/>
  <c r="L1022" i="2"/>
  <c r="N1013" i="2"/>
  <c r="M1013" i="2"/>
  <c r="L1013" i="2"/>
  <c r="N1007" i="2"/>
  <c r="M1007" i="2"/>
  <c r="L1007" i="2"/>
  <c r="N1000" i="2"/>
  <c r="M1000" i="2"/>
  <c r="L1000" i="2"/>
  <c r="N995" i="2"/>
  <c r="M995" i="2"/>
  <c r="L995" i="2"/>
  <c r="N341" i="2"/>
  <c r="M341" i="2"/>
  <c r="L341" i="2"/>
  <c r="N978" i="2"/>
  <c r="M978" i="2"/>
  <c r="L978" i="2"/>
  <c r="N967" i="2"/>
  <c r="M967" i="2"/>
  <c r="L967" i="2"/>
  <c r="N956" i="2"/>
  <c r="M956" i="2"/>
  <c r="L956" i="2"/>
  <c r="N946" i="2"/>
  <c r="M946" i="2"/>
  <c r="L946" i="2"/>
  <c r="N935" i="2"/>
  <c r="M935" i="2"/>
  <c r="L935" i="2"/>
  <c r="N931" i="2"/>
  <c r="M931" i="2"/>
  <c r="L931" i="2"/>
  <c r="N915" i="2"/>
  <c r="M915" i="2"/>
  <c r="L915" i="2"/>
  <c r="N904" i="2"/>
  <c r="M904" i="2"/>
  <c r="L904" i="2"/>
  <c r="N900" i="2"/>
  <c r="M900" i="2"/>
  <c r="L900" i="2"/>
  <c r="N890" i="2"/>
  <c r="M890" i="2"/>
  <c r="L890" i="2"/>
  <c r="N884" i="2"/>
  <c r="M884" i="2"/>
  <c r="L884" i="2"/>
  <c r="N874" i="2"/>
  <c r="M874" i="2"/>
  <c r="L874" i="2"/>
  <c r="N869" i="2"/>
  <c r="M869" i="2"/>
  <c r="L869" i="2"/>
  <c r="N863" i="2"/>
  <c r="M863" i="2"/>
  <c r="L863" i="2"/>
  <c r="N858" i="2"/>
  <c r="M858" i="2"/>
  <c r="L858" i="2"/>
  <c r="N851" i="2"/>
  <c r="M851" i="2"/>
  <c r="L851" i="2"/>
  <c r="N840" i="2"/>
  <c r="M840" i="2"/>
  <c r="L840" i="2"/>
  <c r="N833" i="2"/>
  <c r="M833" i="2"/>
  <c r="L833" i="2"/>
  <c r="N5401" i="2"/>
  <c r="M5401" i="2"/>
  <c r="L5401" i="2"/>
  <c r="N5352" i="2"/>
  <c r="M5352" i="2"/>
  <c r="L5352" i="2"/>
  <c r="N5347" i="2"/>
  <c r="M5347" i="2"/>
  <c r="L5347" i="2"/>
  <c r="N5288" i="2"/>
  <c r="M5288" i="2"/>
  <c r="L5288" i="2"/>
  <c r="N217" i="2"/>
  <c r="M217" i="2"/>
  <c r="L217" i="2"/>
  <c r="N211" i="2"/>
  <c r="M211" i="2"/>
  <c r="L211" i="2"/>
  <c r="N5217" i="2"/>
  <c r="M5217" i="2"/>
  <c r="L5217" i="2"/>
  <c r="N5178" i="2"/>
  <c r="M5178" i="2"/>
  <c r="L5178" i="2"/>
  <c r="N5137" i="2"/>
  <c r="N5113" i="2"/>
  <c r="M5113" i="2"/>
  <c r="L5113" i="2"/>
  <c r="N153" i="2"/>
  <c r="M153" i="2"/>
  <c r="L153" i="2"/>
  <c r="N141" i="2"/>
  <c r="M141" i="2"/>
  <c r="L141" i="2"/>
  <c r="N5051" i="2"/>
  <c r="M5051" i="2"/>
  <c r="L5051" i="2"/>
  <c r="N5016" i="2"/>
  <c r="M5016" i="2"/>
  <c r="L5016" i="2"/>
  <c r="N5010" i="2"/>
  <c r="M5010" i="2"/>
  <c r="L5010" i="2"/>
  <c r="N104" i="2"/>
  <c r="M104" i="2"/>
  <c r="L104" i="2"/>
  <c r="N4961" i="2"/>
  <c r="M4961" i="2"/>
  <c r="L4961" i="2"/>
  <c r="N4943" i="2"/>
  <c r="M4943" i="2"/>
  <c r="L4943" i="2"/>
  <c r="N4924" i="2"/>
  <c r="M4924" i="2"/>
  <c r="L4924" i="2"/>
  <c r="L4921" i="2"/>
  <c r="N4893" i="2"/>
  <c r="M4893" i="2"/>
  <c r="L4893" i="2"/>
  <c r="N4850" i="2"/>
  <c r="M4850" i="2"/>
  <c r="L4850" i="2"/>
  <c r="N4795" i="2"/>
  <c r="M4795" i="2"/>
  <c r="L4795" i="2"/>
  <c r="N4775" i="2"/>
  <c r="M4775" i="2"/>
  <c r="L4775" i="2"/>
  <c r="N34" i="2"/>
  <c r="M34" i="2"/>
  <c r="L34" i="2"/>
  <c r="N4685" i="2"/>
  <c r="M4685" i="2"/>
  <c r="L4685" i="2"/>
  <c r="N4677" i="2"/>
  <c r="M4677" i="2"/>
  <c r="L4677" i="2"/>
  <c r="N11" i="2"/>
  <c r="M11" i="2"/>
  <c r="L11" i="2"/>
  <c r="N4623" i="2"/>
  <c r="M4623" i="2"/>
  <c r="L4623" i="2"/>
  <c r="N4608" i="2"/>
  <c r="M4608" i="2"/>
  <c r="L4608" i="2"/>
  <c r="N4582" i="2"/>
  <c r="M4582" i="2"/>
  <c r="L4582" i="2"/>
  <c r="N307" i="2"/>
  <c r="M307" i="2"/>
  <c r="L307" i="2"/>
  <c r="N4536" i="2"/>
  <c r="M4536" i="2"/>
  <c r="L4536" i="2"/>
  <c r="N4485" i="2"/>
  <c r="M4485" i="2"/>
  <c r="L4485" i="2"/>
  <c r="N4478" i="2"/>
  <c r="M4478" i="2"/>
  <c r="L4478" i="2"/>
  <c r="N4453" i="2"/>
  <c r="M4453" i="2"/>
  <c r="L4453" i="2"/>
  <c r="N4448" i="2"/>
  <c r="M4448" i="2"/>
  <c r="L4448" i="2"/>
  <c r="N4429" i="2"/>
  <c r="M4429" i="2"/>
  <c r="L4429" i="2"/>
  <c r="N4410" i="2"/>
  <c r="M4410" i="2"/>
  <c r="L4410" i="2"/>
  <c r="N4401" i="2"/>
  <c r="M4401" i="2"/>
  <c r="L4401" i="2"/>
  <c r="N4360" i="2"/>
  <c r="M4360" i="2"/>
  <c r="L4360" i="2"/>
  <c r="N738" i="2"/>
  <c r="M738" i="2"/>
  <c r="L738" i="2"/>
  <c r="N4333" i="2"/>
  <c r="M4333" i="2"/>
  <c r="L4333" i="2"/>
  <c r="N4315" i="2"/>
  <c r="M4315" i="2"/>
  <c r="L4315" i="2"/>
  <c r="N4299" i="2"/>
  <c r="M4299" i="2"/>
  <c r="L4299" i="2"/>
  <c r="N4258" i="2"/>
  <c r="M4258" i="2"/>
  <c r="L4258" i="2"/>
  <c r="N4231" i="2"/>
  <c r="M4231" i="2"/>
  <c r="L4231" i="2"/>
  <c r="N4192" i="2"/>
  <c r="M4192" i="2"/>
  <c r="L4192" i="2"/>
  <c r="N4141" i="2"/>
  <c r="M4141" i="2"/>
  <c r="L4141" i="2"/>
  <c r="N4094" i="2"/>
  <c r="M4094" i="2"/>
  <c r="L4094" i="2"/>
  <c r="N4069" i="2"/>
  <c r="N4054" i="2"/>
  <c r="M4054" i="2"/>
  <c r="L4054" i="2"/>
  <c r="N4042" i="2"/>
  <c r="M4042" i="2"/>
  <c r="L4042" i="2"/>
  <c r="N4026" i="2"/>
  <c r="M4026" i="2"/>
  <c r="L4026" i="2"/>
  <c r="N3981" i="2"/>
  <c r="M3981" i="2"/>
  <c r="L3981" i="2"/>
  <c r="N3969" i="2"/>
  <c r="M3969" i="2"/>
  <c r="L3969" i="2"/>
  <c r="N3958" i="2"/>
  <c r="M3958" i="2"/>
  <c r="L3958" i="2"/>
  <c r="M3927" i="2"/>
  <c r="N3903" i="2"/>
  <c r="M3903" i="2"/>
  <c r="L3903" i="2"/>
  <c r="N3863" i="2"/>
  <c r="M3863" i="2"/>
  <c r="L3863" i="2"/>
  <c r="N3787" i="2"/>
  <c r="M3787" i="2"/>
  <c r="L3787" i="2"/>
  <c r="N3777" i="2"/>
  <c r="M3777" i="2"/>
  <c r="L3777" i="2"/>
  <c r="N3746" i="2"/>
  <c r="M3746" i="2"/>
  <c r="L3746" i="2"/>
  <c r="N3718" i="2"/>
  <c r="M3718" i="2"/>
  <c r="L3718" i="2"/>
  <c r="N3688" i="2"/>
  <c r="M3688" i="2"/>
  <c r="L3688" i="2"/>
  <c r="N3672" i="2"/>
  <c r="M3672" i="2"/>
  <c r="L3672" i="2"/>
  <c r="N3634" i="2"/>
  <c r="M3634" i="2"/>
  <c r="L3634" i="2"/>
  <c r="N3623" i="2"/>
  <c r="M3623" i="2"/>
  <c r="L3623" i="2"/>
  <c r="N3606" i="2"/>
  <c r="M3606" i="2"/>
  <c r="L3606" i="2"/>
  <c r="N3592" i="2"/>
  <c r="M3592" i="2"/>
  <c r="L3592" i="2"/>
  <c r="N3552" i="2"/>
  <c r="M3552" i="2"/>
  <c r="L3552" i="2"/>
  <c r="N3545" i="2"/>
  <c r="M3545" i="2"/>
  <c r="L3545" i="2"/>
  <c r="N3492" i="2"/>
  <c r="M3492" i="2"/>
  <c r="L3492" i="2"/>
  <c r="N3469" i="2"/>
  <c r="M3469" i="2"/>
  <c r="L3469" i="2"/>
  <c r="N3428" i="2"/>
  <c r="M3428" i="2"/>
  <c r="L3428" i="2"/>
  <c r="N3396" i="2"/>
  <c r="M3396" i="2"/>
  <c r="L3396" i="2"/>
  <c r="N3384" i="2"/>
  <c r="M3384" i="2"/>
  <c r="L3384" i="2"/>
  <c r="N3370" i="2"/>
  <c r="M3370" i="2"/>
  <c r="L3370" i="2"/>
  <c r="M3360" i="2"/>
  <c r="N3351" i="2"/>
  <c r="M3351" i="2"/>
  <c r="L3351" i="2"/>
  <c r="N3336" i="2"/>
  <c r="M3336" i="2"/>
  <c r="L3336" i="2"/>
  <c r="M3330" i="2"/>
  <c r="N3313" i="2"/>
  <c r="M3313" i="2"/>
  <c r="L3313" i="2"/>
  <c r="N3300" i="2"/>
  <c r="M3300" i="2"/>
  <c r="L3300" i="2"/>
  <c r="N3261" i="2"/>
  <c r="M3261" i="2"/>
  <c r="L3261" i="2"/>
  <c r="N3207" i="2"/>
  <c r="M3207" i="2"/>
  <c r="L3207" i="2"/>
  <c r="N3201" i="2"/>
  <c r="M3201" i="2"/>
  <c r="L3201" i="2"/>
  <c r="N3172" i="2"/>
  <c r="M3172" i="2"/>
  <c r="L3172" i="2"/>
  <c r="N3171" i="2"/>
  <c r="M3171" i="2"/>
  <c r="L3171" i="2"/>
  <c r="N3147" i="2"/>
  <c r="M3147" i="2"/>
  <c r="L3147" i="2"/>
  <c r="N3129" i="2"/>
  <c r="M3129" i="2"/>
  <c r="L3129" i="2"/>
  <c r="N3118" i="2"/>
  <c r="M3118" i="2"/>
  <c r="L3118" i="2"/>
  <c r="N3065" i="2"/>
  <c r="M3065" i="2"/>
  <c r="L3065" i="2"/>
  <c r="N3049" i="2"/>
  <c r="M3049" i="2"/>
  <c r="L3049" i="2"/>
  <c r="N3030" i="2"/>
  <c r="M3030" i="2"/>
  <c r="L3030" i="2"/>
  <c r="N2967" i="2"/>
  <c r="M2967" i="2"/>
  <c r="L2967" i="2"/>
  <c r="N2960" i="2"/>
  <c r="M2960" i="2"/>
  <c r="L2960" i="2"/>
  <c r="N2942" i="2"/>
  <c r="M2942" i="2"/>
  <c r="L2942" i="2"/>
  <c r="N2885" i="2"/>
  <c r="M2885" i="2"/>
  <c r="L2885" i="2"/>
  <c r="N2829" i="2"/>
  <c r="M2829" i="2"/>
  <c r="L2829" i="2"/>
  <c r="N2792" i="2"/>
  <c r="M2792" i="2"/>
  <c r="L2792" i="2"/>
  <c r="N2741" i="2"/>
  <c r="M2741" i="2"/>
  <c r="L2741" i="2"/>
  <c r="N2729" i="2"/>
  <c r="M2729" i="2"/>
  <c r="L2729" i="2"/>
  <c r="N2714" i="2"/>
  <c r="M2714" i="2"/>
  <c r="L2714" i="2"/>
  <c r="N2668" i="2"/>
  <c r="M2668" i="2"/>
  <c r="L2668" i="2"/>
  <c r="N2650" i="2"/>
  <c r="M2650" i="2"/>
  <c r="L2650" i="2"/>
  <c r="N2593" i="2"/>
  <c r="M2593" i="2"/>
  <c r="L2593" i="2"/>
  <c r="N2535" i="2"/>
  <c r="M2535" i="2"/>
  <c r="L2535" i="2"/>
  <c r="N2460" i="2"/>
  <c r="M2460" i="2"/>
  <c r="L2460" i="2"/>
  <c r="N2446" i="2"/>
  <c r="M2446" i="2"/>
  <c r="L2446" i="2"/>
  <c r="N2417" i="2"/>
  <c r="M2417" i="2"/>
  <c r="L2417" i="2"/>
  <c r="N2354" i="2"/>
  <c r="M2354" i="2"/>
  <c r="L2354" i="2"/>
  <c r="N2345" i="2"/>
  <c r="M2345" i="2"/>
  <c r="L2345" i="2"/>
  <c r="N2300" i="2"/>
  <c r="M2300" i="2"/>
  <c r="L2300" i="2"/>
  <c r="N2285" i="2"/>
  <c r="M2285" i="2"/>
  <c r="L2285" i="2"/>
  <c r="N2264" i="2"/>
  <c r="M2264" i="2"/>
  <c r="L2264" i="2"/>
  <c r="N2248" i="2"/>
  <c r="M2248" i="2"/>
  <c r="L2248" i="2"/>
  <c r="N2209" i="2"/>
  <c r="M2209" i="2"/>
  <c r="L2209" i="2"/>
  <c r="N2203" i="2"/>
  <c r="M2203" i="2"/>
  <c r="L2203" i="2"/>
  <c r="N2143" i="2"/>
  <c r="M2143" i="2"/>
  <c r="L2143" i="2"/>
  <c r="N2120" i="2"/>
  <c r="M2120" i="2"/>
  <c r="L2120" i="2"/>
  <c r="N2075" i="2"/>
  <c r="M2075" i="2"/>
  <c r="L2075" i="2"/>
  <c r="N2042" i="2"/>
  <c r="M2042" i="2"/>
  <c r="L2042" i="2"/>
  <c r="N2000" i="2"/>
  <c r="M2000" i="2"/>
  <c r="L2000" i="2"/>
  <c r="N1996" i="2"/>
  <c r="M1996" i="2"/>
  <c r="L1996" i="2"/>
  <c r="N1949" i="2"/>
  <c r="M1949" i="2"/>
  <c r="L1949" i="2"/>
  <c r="N1937" i="2"/>
  <c r="M1937" i="2"/>
  <c r="L1937" i="2"/>
  <c r="N1907" i="2"/>
  <c r="M1907" i="2"/>
  <c r="L1907" i="2"/>
  <c r="N1894" i="2"/>
  <c r="M1894" i="2"/>
  <c r="L1894" i="2"/>
  <c r="N1854" i="2"/>
  <c r="M1854" i="2"/>
  <c r="L1854" i="2"/>
  <c r="N1822" i="2"/>
  <c r="N1789" i="2"/>
  <c r="M1789" i="2"/>
  <c r="L1789" i="2"/>
  <c r="N1787" i="2"/>
  <c r="M1787" i="2"/>
  <c r="L1787" i="2"/>
  <c r="N1763" i="2"/>
  <c r="M1763" i="2"/>
  <c r="L1763" i="2"/>
  <c r="N1758" i="2"/>
  <c r="M1758" i="2"/>
  <c r="L1758" i="2"/>
  <c r="N1730" i="2"/>
  <c r="M1730" i="2"/>
  <c r="L1730" i="2"/>
  <c r="N1711" i="2"/>
  <c r="M1711" i="2"/>
  <c r="L1711" i="2"/>
  <c r="N1699" i="2"/>
  <c r="M1699" i="2"/>
  <c r="L1699" i="2"/>
  <c r="N1646" i="2"/>
  <c r="M1646" i="2"/>
  <c r="L1646" i="2"/>
  <c r="N1631" i="2"/>
  <c r="M1631" i="2"/>
  <c r="L1631" i="2"/>
  <c r="N1615" i="2"/>
  <c r="M1615" i="2"/>
  <c r="L1615" i="2"/>
  <c r="N1596" i="2"/>
  <c r="M1596" i="2"/>
  <c r="L1596" i="2"/>
  <c r="N1577" i="2"/>
  <c r="M1577" i="2"/>
  <c r="L1577" i="2"/>
  <c r="N1556" i="2"/>
  <c r="M1556" i="2"/>
  <c r="L1556" i="2"/>
  <c r="N1536" i="2"/>
  <c r="M1536" i="2"/>
  <c r="L1536" i="2"/>
  <c r="N1521" i="2"/>
  <c r="M1521" i="2"/>
  <c r="L1521" i="2"/>
  <c r="N1508" i="2"/>
  <c r="M1508" i="2"/>
  <c r="L1508" i="2"/>
  <c r="N1454" i="2"/>
  <c r="M1454" i="2"/>
  <c r="L1454" i="2"/>
  <c r="N1398" i="2"/>
  <c r="M1398" i="2"/>
  <c r="L1398" i="2"/>
  <c r="N1356" i="2"/>
  <c r="M1356" i="2"/>
  <c r="L1356" i="2"/>
  <c r="N1323" i="2"/>
  <c r="M1323" i="2"/>
  <c r="L1323" i="2"/>
  <c r="N1309" i="2"/>
  <c r="M1309" i="2"/>
  <c r="L1309" i="2"/>
  <c r="N1263" i="2"/>
  <c r="M1263" i="2"/>
  <c r="L1263" i="2"/>
  <c r="L1237" i="2"/>
  <c r="N1213" i="2"/>
  <c r="M1213" i="2"/>
  <c r="L1213" i="2"/>
  <c r="N1204" i="2"/>
  <c r="M1204" i="2"/>
  <c r="L1204" i="2"/>
  <c r="N1194" i="2"/>
  <c r="M1194" i="2"/>
  <c r="L1194" i="2"/>
  <c r="N1138" i="2"/>
  <c r="M1138" i="2"/>
  <c r="L1138" i="2"/>
  <c r="N1109" i="2"/>
  <c r="M1109" i="2"/>
  <c r="L1109" i="2"/>
  <c r="N1037" i="2"/>
  <c r="M1037" i="2"/>
  <c r="L1037" i="2"/>
  <c r="N972" i="2"/>
  <c r="M972" i="2"/>
  <c r="L972" i="2"/>
  <c r="N962" i="2"/>
  <c r="M962" i="2"/>
  <c r="L962" i="2"/>
  <c r="N939" i="2"/>
  <c r="M939" i="2"/>
  <c r="L939" i="2"/>
  <c r="N922" i="2"/>
  <c r="M922" i="2"/>
  <c r="L922" i="2"/>
  <c r="N5539" i="2"/>
  <c r="M5539" i="2"/>
  <c r="L5539" i="2"/>
  <c r="N5527" i="2"/>
  <c r="M5527" i="2"/>
  <c r="L5527" i="2"/>
  <c r="N268" i="2"/>
  <c r="M268" i="2"/>
  <c r="L268" i="2"/>
  <c r="N5510" i="2"/>
  <c r="M5510" i="2"/>
  <c r="L5510" i="2"/>
  <c r="N5507" i="2"/>
  <c r="M5507" i="2"/>
  <c r="L5507" i="2"/>
  <c r="N5497" i="2"/>
  <c r="M5497" i="2"/>
  <c r="L5497" i="2"/>
  <c r="N5496" i="2"/>
  <c r="M5496" i="2"/>
  <c r="L5496" i="2"/>
  <c r="N5490" i="2"/>
  <c r="M5490" i="2"/>
  <c r="L5490" i="2"/>
  <c r="N5479" i="2"/>
  <c r="M5479" i="2"/>
  <c r="L5479" i="2"/>
  <c r="N248" i="2"/>
  <c r="M248" i="2"/>
  <c r="L248" i="2"/>
  <c r="N5466" i="2"/>
  <c r="M5466" i="2"/>
  <c r="L5466" i="2"/>
  <c r="N5451" i="2"/>
  <c r="M5451" i="2"/>
  <c r="L5451" i="2"/>
  <c r="N5442" i="2"/>
  <c r="M5442" i="2"/>
  <c r="L5442" i="2"/>
  <c r="N5427" i="2"/>
  <c r="M5427" i="2"/>
  <c r="L5427" i="2"/>
  <c r="N5411" i="2"/>
  <c r="M5411" i="2"/>
  <c r="L5411" i="2"/>
  <c r="N5397" i="2"/>
  <c r="M5397" i="2"/>
  <c r="L5397" i="2"/>
  <c r="N5383" i="2"/>
  <c r="M5383" i="2"/>
  <c r="L5383" i="2"/>
  <c r="N5377" i="2"/>
  <c r="M5377" i="2"/>
  <c r="L5377" i="2"/>
  <c r="N5364" i="2"/>
  <c r="M5364" i="2"/>
  <c r="L5364" i="2"/>
  <c r="N225" i="2"/>
  <c r="M225" i="2"/>
  <c r="L225" i="2"/>
  <c r="N5323" i="2"/>
  <c r="M5323" i="2"/>
  <c r="L5323" i="2"/>
  <c r="M5319" i="2"/>
  <c r="N5314" i="2"/>
  <c r="M5314" i="2"/>
  <c r="L5314" i="2"/>
  <c r="N5299" i="2"/>
  <c r="M5299" i="2"/>
  <c r="L5299" i="2"/>
  <c r="N5259" i="2"/>
  <c r="M5259" i="2"/>
  <c r="L5259" i="2"/>
  <c r="N5249" i="2"/>
  <c r="M5249" i="2"/>
  <c r="L5249" i="2"/>
  <c r="N5225" i="2"/>
  <c r="M5225" i="2"/>
  <c r="L5225" i="2"/>
  <c r="L191" i="2"/>
  <c r="N5210" i="2"/>
  <c r="M5210" i="2"/>
  <c r="L5210" i="2"/>
  <c r="N5199" i="2"/>
  <c r="M5199" i="2"/>
  <c r="L5199" i="2"/>
  <c r="N5192" i="2"/>
  <c r="M5192" i="2"/>
  <c r="L5192" i="2"/>
  <c r="N175" i="2"/>
  <c r="M175" i="2"/>
  <c r="L175" i="2"/>
  <c r="N5162" i="2"/>
  <c r="M5162" i="2"/>
  <c r="L5162" i="2"/>
  <c r="N5129" i="2"/>
  <c r="M5129" i="2"/>
  <c r="L5129" i="2"/>
  <c r="N5121" i="2"/>
  <c r="M5121" i="2"/>
  <c r="L5121" i="2"/>
  <c r="N149" i="2"/>
  <c r="M149" i="2"/>
  <c r="L149" i="2"/>
  <c r="N5081" i="2"/>
  <c r="M5081" i="2"/>
  <c r="L5081" i="2"/>
  <c r="M5067" i="2"/>
  <c r="N5056" i="2"/>
  <c r="M5056" i="2"/>
  <c r="L5056" i="2"/>
  <c r="N5035" i="2"/>
  <c r="M5035" i="2"/>
  <c r="L5035" i="2"/>
  <c r="N5033" i="2"/>
  <c r="M5033" i="2"/>
  <c r="L5033" i="2"/>
  <c r="N114" i="2"/>
  <c r="M114" i="2"/>
  <c r="L114" i="2"/>
  <c r="N4990" i="2"/>
  <c r="M4990" i="2"/>
  <c r="L4990" i="2"/>
  <c r="N4983" i="2"/>
  <c r="M4983" i="2"/>
  <c r="L4983" i="2"/>
  <c r="N4949" i="2"/>
  <c r="M4949" i="2"/>
  <c r="L4949" i="2"/>
  <c r="N4913" i="2"/>
  <c r="M4913" i="2"/>
  <c r="L4913" i="2"/>
  <c r="N4900" i="2"/>
  <c r="M4900" i="2"/>
  <c r="L4900" i="2"/>
  <c r="N4841" i="2"/>
  <c r="M4841" i="2"/>
  <c r="L4841" i="2"/>
  <c r="N4831" i="2"/>
  <c r="M4831" i="2"/>
  <c r="L4831" i="2"/>
  <c r="N4819" i="2"/>
  <c r="M4819" i="2"/>
  <c r="L4819" i="2"/>
  <c r="N66" i="2"/>
  <c r="M66" i="2"/>
  <c r="L66" i="2"/>
  <c r="N57" i="2"/>
  <c r="M57" i="2"/>
  <c r="L57" i="2"/>
  <c r="N4758" i="2"/>
  <c r="M4758" i="2"/>
  <c r="L4758" i="2"/>
  <c r="N4752" i="2"/>
  <c r="M4752" i="2"/>
  <c r="L4752" i="2"/>
  <c r="N37" i="2"/>
  <c r="M37" i="2"/>
  <c r="L37" i="2"/>
  <c r="N4728" i="2"/>
  <c r="M4728" i="2"/>
  <c r="L4728" i="2"/>
  <c r="N4717" i="2"/>
  <c r="M4717" i="2"/>
  <c r="L4717" i="2"/>
  <c r="N4699" i="2"/>
  <c r="M4699" i="2"/>
  <c r="L4699" i="2"/>
  <c r="N17" i="2"/>
  <c r="M17" i="2"/>
  <c r="L17" i="2"/>
  <c r="N4682" i="2"/>
  <c r="N4661" i="2"/>
  <c r="M4661" i="2"/>
  <c r="L4661" i="2"/>
  <c r="N4653" i="2"/>
  <c r="M4653" i="2"/>
  <c r="L4653" i="2"/>
  <c r="N4640" i="2"/>
  <c r="M4640" i="2"/>
  <c r="L4640" i="2"/>
  <c r="N4600" i="2"/>
  <c r="M4600" i="2"/>
  <c r="L4600" i="2"/>
  <c r="N4590" i="2"/>
  <c r="M4590" i="2"/>
  <c r="L4590" i="2"/>
  <c r="N4566" i="2"/>
  <c r="M4566" i="2"/>
  <c r="L4566" i="2"/>
  <c r="N4552" i="2"/>
  <c r="M4552" i="2"/>
  <c r="L4552" i="2"/>
  <c r="N4550" i="2"/>
  <c r="M4550" i="2"/>
  <c r="L4550" i="2"/>
  <c r="N4546" i="2"/>
  <c r="M4546" i="2"/>
  <c r="L4546" i="2"/>
  <c r="N4530" i="2"/>
  <c r="M4530" i="2"/>
  <c r="L4530" i="2"/>
  <c r="N790" i="2"/>
  <c r="M790" i="2"/>
  <c r="L790" i="2"/>
  <c r="N4504" i="2"/>
  <c r="M4504" i="2"/>
  <c r="L4504" i="2"/>
  <c r="N4493" i="2"/>
  <c r="M4493" i="2"/>
  <c r="L4493" i="2"/>
  <c r="N4466" i="2"/>
  <c r="M4466" i="2"/>
  <c r="L4466" i="2"/>
  <c r="M4461" i="2"/>
  <c r="N4438" i="2"/>
  <c r="M4438" i="2"/>
  <c r="L4438" i="2"/>
  <c r="N4419" i="2"/>
  <c r="M4419" i="2"/>
  <c r="L4419" i="2"/>
  <c r="N4388" i="2"/>
  <c r="M4388" i="2"/>
  <c r="L4388" i="2"/>
  <c r="N4376" i="2"/>
  <c r="M4376" i="2"/>
  <c r="L4376" i="2"/>
  <c r="N4366" i="2"/>
  <c r="M4366" i="2"/>
  <c r="L4366" i="2"/>
  <c r="N4324" i="2"/>
  <c r="M4324" i="2"/>
  <c r="L4324" i="2"/>
  <c r="N4307" i="2"/>
  <c r="M4307" i="2"/>
  <c r="L4307" i="2"/>
  <c r="N4284" i="2"/>
  <c r="M4284" i="2"/>
  <c r="L4284" i="2"/>
  <c r="N4279" i="2"/>
  <c r="M4279" i="2"/>
  <c r="L4279" i="2"/>
  <c r="N4273" i="2"/>
  <c r="M4273" i="2"/>
  <c r="L4273" i="2"/>
  <c r="N4249" i="2"/>
  <c r="M4249" i="2"/>
  <c r="L4249" i="2"/>
  <c r="N4233" i="2"/>
  <c r="M4233" i="2"/>
  <c r="L4233" i="2"/>
  <c r="N4219" i="2"/>
  <c r="M4219" i="2"/>
  <c r="L4219" i="2"/>
  <c r="N4210" i="2"/>
  <c r="M4210" i="2"/>
  <c r="L4210" i="2"/>
  <c r="N703" i="2"/>
  <c r="M703" i="2"/>
  <c r="L703" i="2"/>
  <c r="N700" i="2"/>
  <c r="M700" i="2"/>
  <c r="L700" i="2"/>
  <c r="N694" i="2"/>
  <c r="M694" i="2"/>
  <c r="L694" i="2"/>
  <c r="N4166" i="2"/>
  <c r="M4166" i="2"/>
  <c r="L4166" i="2"/>
  <c r="N4155" i="2"/>
  <c r="M4155" i="2"/>
  <c r="L4155" i="2"/>
  <c r="N4126" i="2"/>
  <c r="M4126" i="2"/>
  <c r="L4126" i="2"/>
  <c r="N4116" i="2"/>
  <c r="M4116" i="2"/>
  <c r="L4116" i="2"/>
  <c r="N4089" i="2"/>
  <c r="M4089" i="2"/>
  <c r="L4089" i="2"/>
  <c r="N673" i="2"/>
  <c r="M673" i="2"/>
  <c r="L673" i="2"/>
  <c r="N4074" i="2"/>
  <c r="M4074" i="2"/>
  <c r="L4074" i="2"/>
  <c r="N4063" i="2"/>
  <c r="M4063" i="2"/>
  <c r="L4063" i="2"/>
  <c r="N4047" i="2"/>
  <c r="M4047" i="2"/>
  <c r="L4047" i="2"/>
  <c r="N4019" i="2"/>
  <c r="M4019" i="2"/>
  <c r="L4019" i="2"/>
  <c r="N653" i="2"/>
  <c r="M653" i="2"/>
  <c r="L653" i="2"/>
  <c r="N3991" i="2"/>
  <c r="M3991" i="2"/>
  <c r="L3991" i="2"/>
  <c r="N648" i="2"/>
  <c r="M648" i="2"/>
  <c r="L648" i="2"/>
  <c r="N3945" i="2"/>
  <c r="M3945" i="2"/>
  <c r="L3945" i="2"/>
  <c r="N3916" i="2"/>
  <c r="M3916" i="2"/>
  <c r="L3916" i="2"/>
  <c r="N3891" i="2"/>
  <c r="M3891" i="2"/>
  <c r="L3891" i="2"/>
  <c r="N3882" i="2"/>
  <c r="M3882" i="2"/>
  <c r="L3882" i="2"/>
  <c r="N3874" i="2"/>
  <c r="M3874" i="2"/>
  <c r="L3874" i="2"/>
  <c r="N3856" i="2"/>
  <c r="M3856" i="2"/>
  <c r="L3856" i="2"/>
  <c r="N3848" i="2"/>
  <c r="N3842" i="2"/>
  <c r="M3842" i="2"/>
  <c r="L3842" i="2"/>
  <c r="N3799" i="2"/>
  <c r="M3799" i="2"/>
  <c r="L3799" i="2"/>
  <c r="N3766" i="2"/>
  <c r="M3766" i="2"/>
  <c r="L3766" i="2"/>
  <c r="N3758" i="2"/>
  <c r="M3758" i="2"/>
  <c r="L3758" i="2"/>
  <c r="N3732" i="2"/>
  <c r="M3732" i="2"/>
  <c r="L3732" i="2"/>
  <c r="N613" i="2"/>
  <c r="M613" i="2"/>
  <c r="L613" i="2"/>
  <c r="N3706" i="2"/>
  <c r="M3706" i="2"/>
  <c r="L3706" i="2"/>
  <c r="N3657" i="2"/>
  <c r="M3657" i="2"/>
  <c r="L3657" i="2"/>
  <c r="N3653" i="2"/>
  <c r="M3653" i="2"/>
  <c r="L3653" i="2"/>
  <c r="N3643" i="2"/>
  <c r="M3643" i="2"/>
  <c r="L3643" i="2"/>
  <c r="N3616" i="2"/>
  <c r="M3616" i="2"/>
  <c r="L3616" i="2"/>
  <c r="N3580" i="2"/>
  <c r="M3580" i="2"/>
  <c r="L3580" i="2"/>
  <c r="N3563" i="2"/>
  <c r="M3563" i="2"/>
  <c r="L3563" i="2"/>
  <c r="N3532" i="2"/>
  <c r="M3532" i="2"/>
  <c r="L3532" i="2"/>
  <c r="N3523" i="2"/>
  <c r="M3523" i="2"/>
  <c r="L3523" i="2"/>
  <c r="N3510" i="2"/>
  <c r="M3510" i="2"/>
  <c r="L3510" i="2"/>
  <c r="N571" i="2"/>
  <c r="M571" i="2"/>
  <c r="L571" i="2"/>
  <c r="N3481" i="2"/>
  <c r="M3481" i="2"/>
  <c r="L3481" i="2"/>
  <c r="N3454" i="2"/>
  <c r="M3454" i="2"/>
  <c r="L3454" i="2"/>
  <c r="N3443" i="2"/>
  <c r="M3443" i="2"/>
  <c r="L3443" i="2"/>
  <c r="N3436" i="2"/>
  <c r="M3436" i="2"/>
  <c r="L3436" i="2"/>
  <c r="N3414" i="2"/>
  <c r="M3414" i="2"/>
  <c r="L3414" i="2"/>
  <c r="N3405" i="2"/>
  <c r="M3405" i="2"/>
  <c r="L3405" i="2"/>
  <c r="N3335" i="2"/>
  <c r="M3335" i="2"/>
  <c r="L3335" i="2"/>
  <c r="N3323" i="2"/>
  <c r="M3323" i="2"/>
  <c r="L3323" i="2"/>
  <c r="N535" i="2"/>
  <c r="M535" i="2"/>
  <c r="L535" i="2"/>
  <c r="M533" i="2"/>
  <c r="N3286" i="2"/>
  <c r="M3286" i="2"/>
  <c r="L3286" i="2"/>
  <c r="N3277" i="2"/>
  <c r="M3277" i="2"/>
  <c r="L3277" i="2"/>
  <c r="N3272" i="2"/>
  <c r="M3272" i="2"/>
  <c r="L3272" i="2"/>
  <c r="L3268" i="2"/>
  <c r="N3257" i="2"/>
  <c r="M3257" i="2"/>
  <c r="L3257" i="2"/>
  <c r="N3244" i="2"/>
  <c r="M3244" i="2"/>
  <c r="L3244" i="2"/>
  <c r="N3231" i="2"/>
  <c r="M3231" i="2"/>
  <c r="L3231" i="2"/>
  <c r="N3216" i="2"/>
  <c r="M3216" i="2"/>
  <c r="L3216" i="2"/>
  <c r="N3186" i="2"/>
  <c r="M3186" i="2"/>
  <c r="L3186" i="2"/>
  <c r="N3160" i="2"/>
  <c r="M3160" i="2"/>
  <c r="L3160" i="2"/>
  <c r="N3137" i="2"/>
  <c r="M3137" i="2"/>
  <c r="L3137" i="2"/>
  <c r="N508" i="2"/>
  <c r="M508" i="2"/>
  <c r="L508" i="2"/>
  <c r="N505" i="2"/>
  <c r="M505" i="2"/>
  <c r="L505" i="2"/>
  <c r="N3097" i="2"/>
  <c r="M3097" i="2"/>
  <c r="L3097" i="2"/>
  <c r="N3089" i="2"/>
  <c r="M3089" i="2"/>
  <c r="L3089" i="2"/>
  <c r="N3077" i="2"/>
  <c r="M3077" i="2"/>
  <c r="L3077" i="2"/>
  <c r="N3041" i="2"/>
  <c r="M3041" i="2"/>
  <c r="L3041" i="2"/>
  <c r="N3022" i="2"/>
  <c r="M3022" i="2"/>
  <c r="L3022" i="2"/>
  <c r="N3003" i="2"/>
  <c r="M3003" i="2"/>
  <c r="L3003" i="2"/>
  <c r="N2997" i="2"/>
  <c r="M2997" i="2"/>
  <c r="L2997" i="2"/>
  <c r="N2980" i="2"/>
  <c r="M2980" i="2"/>
  <c r="L2980" i="2"/>
  <c r="N2944" i="2"/>
  <c r="M2944" i="2"/>
  <c r="L2944" i="2"/>
  <c r="N2927" i="2"/>
  <c r="M2927" i="2"/>
  <c r="L2927" i="2"/>
  <c r="N2912" i="2"/>
  <c r="M2912" i="2"/>
  <c r="L2912" i="2"/>
  <c r="N2896" i="2"/>
  <c r="M2896" i="2"/>
  <c r="L2896" i="2"/>
  <c r="N2867" i="2"/>
  <c r="M2867" i="2"/>
  <c r="L2867" i="2"/>
  <c r="N2854" i="2"/>
  <c r="M2854" i="2"/>
  <c r="L2854" i="2"/>
  <c r="N2839" i="2"/>
  <c r="M2839" i="2"/>
  <c r="L2839" i="2"/>
  <c r="N2819" i="2"/>
  <c r="M2819" i="2"/>
  <c r="L2819" i="2"/>
  <c r="N2803" i="2"/>
  <c r="M2803" i="2"/>
  <c r="L2803" i="2"/>
  <c r="N2782" i="2"/>
  <c r="M2782" i="2"/>
  <c r="L2782" i="2"/>
  <c r="N2772" i="2"/>
  <c r="M2772" i="2"/>
  <c r="L2772" i="2"/>
  <c r="N2766" i="2"/>
  <c r="M2766" i="2"/>
  <c r="L2766" i="2"/>
  <c r="N2752" i="2"/>
  <c r="M2752" i="2"/>
  <c r="L2752" i="2"/>
  <c r="N2733" i="2"/>
  <c r="M2733" i="2"/>
  <c r="L2733" i="2"/>
  <c r="N2710" i="2"/>
  <c r="M2710" i="2"/>
  <c r="L2710" i="2"/>
  <c r="N2697" i="2"/>
  <c r="M2697" i="2"/>
  <c r="L2697" i="2"/>
  <c r="N2678" i="2"/>
  <c r="M2678" i="2"/>
  <c r="L2678" i="2"/>
  <c r="N2639" i="2"/>
  <c r="M2639" i="2"/>
  <c r="L2639" i="2"/>
  <c r="N2625" i="2"/>
  <c r="M2625" i="2"/>
  <c r="L2625" i="2"/>
  <c r="M2621" i="2"/>
  <c r="N2602" i="2"/>
  <c r="M2602" i="2"/>
  <c r="L2602" i="2"/>
  <c r="N2575" i="2"/>
  <c r="M2575" i="2"/>
  <c r="L2575" i="2"/>
  <c r="N2561" i="2"/>
  <c r="M2561" i="2"/>
  <c r="L2561" i="2"/>
  <c r="N2548" i="2"/>
  <c r="M2548" i="2"/>
  <c r="L2548" i="2"/>
  <c r="N2528" i="2"/>
  <c r="M2528" i="2"/>
  <c r="L2528" i="2"/>
  <c r="N473" i="2"/>
  <c r="M473" i="2"/>
  <c r="L473" i="2"/>
  <c r="M469" i="2"/>
  <c r="N2484" i="2"/>
  <c r="M2484" i="2"/>
  <c r="L2484" i="2"/>
  <c r="N2473" i="2"/>
  <c r="M2473" i="2"/>
  <c r="L2473" i="2"/>
  <c r="M2437" i="2"/>
  <c r="N463" i="2"/>
  <c r="M463" i="2"/>
  <c r="L463" i="2"/>
  <c r="N2426" i="2"/>
  <c r="M2426" i="2"/>
  <c r="L2426" i="2"/>
  <c r="N2401" i="2"/>
  <c r="M2401" i="2"/>
  <c r="L2401" i="2"/>
  <c r="N2377" i="2"/>
  <c r="M2377" i="2"/>
  <c r="L2377" i="2"/>
  <c r="N2374" i="2"/>
  <c r="M2374" i="2"/>
  <c r="L2374" i="2"/>
  <c r="N2329" i="2"/>
  <c r="M2329" i="2"/>
  <c r="L2329" i="2"/>
  <c r="N2324" i="2"/>
  <c r="M2324" i="2"/>
  <c r="L2324" i="2"/>
  <c r="N2314" i="2"/>
  <c r="M2314" i="2"/>
  <c r="L2314" i="2"/>
  <c r="N2279" i="2"/>
  <c r="M2279" i="2"/>
  <c r="L2279" i="2"/>
  <c r="N2232" i="2"/>
  <c r="M2232" i="2"/>
  <c r="L2232" i="2"/>
  <c r="N2223" i="2"/>
  <c r="M2223" i="2"/>
  <c r="L2223" i="2"/>
  <c r="N2195" i="2"/>
  <c r="M2195" i="2"/>
  <c r="L2195" i="2"/>
  <c r="N2178" i="2"/>
  <c r="M2178" i="2"/>
  <c r="L2178" i="2"/>
  <c r="N2167" i="2"/>
  <c r="M2167" i="2"/>
  <c r="L2167" i="2"/>
  <c r="N2155" i="2"/>
  <c r="M2155" i="2"/>
  <c r="L2155" i="2"/>
  <c r="N2134" i="2"/>
  <c r="M2134" i="2"/>
  <c r="L2134" i="2"/>
  <c r="M2126" i="2"/>
  <c r="N2110" i="2"/>
  <c r="M2110" i="2"/>
  <c r="L2110" i="2"/>
  <c r="N2094" i="2"/>
  <c r="M2094" i="2"/>
  <c r="L2094" i="2"/>
  <c r="N2088" i="2"/>
  <c r="M2088" i="2"/>
  <c r="L2088" i="2"/>
  <c r="N2065" i="2"/>
  <c r="M2065" i="2"/>
  <c r="L2065" i="2"/>
  <c r="N2049" i="2"/>
  <c r="M2049" i="2"/>
  <c r="L2049" i="2"/>
  <c r="N421" i="2"/>
  <c r="M421" i="2"/>
  <c r="L421" i="2"/>
  <c r="N2020" i="2"/>
  <c r="M2020" i="2"/>
  <c r="L2020" i="2"/>
  <c r="N1983" i="2"/>
  <c r="M1983" i="2"/>
  <c r="L1983" i="2"/>
  <c r="M1974" i="2"/>
  <c r="N1971" i="2"/>
  <c r="M1971" i="2"/>
  <c r="L1971" i="2"/>
  <c r="N1960" i="2"/>
  <c r="M1960" i="2"/>
  <c r="L1960" i="2"/>
  <c r="N1926" i="2"/>
  <c r="M1926" i="2"/>
  <c r="L1926" i="2"/>
  <c r="N1916" i="2"/>
  <c r="M1916" i="2"/>
  <c r="L1916" i="2"/>
  <c r="N1891" i="2"/>
  <c r="M1891" i="2"/>
  <c r="L1891" i="2"/>
  <c r="N1879" i="2"/>
  <c r="M1879" i="2"/>
  <c r="L1879" i="2"/>
  <c r="N1867" i="2"/>
  <c r="M1867" i="2"/>
  <c r="L1867" i="2"/>
  <c r="N1864" i="2"/>
  <c r="M1864" i="2"/>
  <c r="L1864" i="2"/>
  <c r="N1842" i="2"/>
  <c r="M1842" i="2"/>
  <c r="L1842" i="2"/>
  <c r="N1832" i="2"/>
  <c r="M1832" i="2"/>
  <c r="L1832" i="2"/>
  <c r="N1817" i="2"/>
  <c r="M1817" i="2"/>
  <c r="L1817" i="2"/>
  <c r="N407" i="2"/>
  <c r="M407" i="2"/>
  <c r="L407" i="2"/>
  <c r="N1773" i="2"/>
  <c r="M1773" i="2"/>
  <c r="L1773" i="2"/>
  <c r="N1743" i="2"/>
  <c r="M1743" i="2"/>
  <c r="L1743" i="2"/>
  <c r="N1721" i="2"/>
  <c r="M1721" i="2"/>
  <c r="L1721" i="2"/>
  <c r="N1675" i="2"/>
  <c r="M1675" i="2"/>
  <c r="L1675" i="2"/>
  <c r="N1668" i="2"/>
  <c r="M1668" i="2"/>
  <c r="L1668" i="2"/>
  <c r="N1663" i="2"/>
  <c r="M1663" i="2"/>
  <c r="L1663" i="2"/>
  <c r="N1657" i="2"/>
  <c r="M1657" i="2"/>
  <c r="L1657" i="2"/>
  <c r="N382" i="2"/>
  <c r="M382" i="2"/>
  <c r="L382" i="2"/>
  <c r="N1589" i="2"/>
  <c r="M1589" i="2"/>
  <c r="L1589" i="2"/>
  <c r="N1563" i="2"/>
  <c r="M1563" i="2"/>
  <c r="L1563" i="2"/>
  <c r="N1549" i="2"/>
  <c r="M1549" i="2"/>
  <c r="L1549" i="2"/>
  <c r="N1509" i="2"/>
  <c r="M1509" i="2"/>
  <c r="L1509" i="2"/>
  <c r="N1494" i="2"/>
  <c r="M1494" i="2"/>
  <c r="L1494" i="2"/>
  <c r="N1479" i="2"/>
  <c r="M1479" i="2"/>
  <c r="L1479" i="2"/>
  <c r="N1469" i="2"/>
  <c r="M1469" i="2"/>
  <c r="L1469" i="2"/>
  <c r="N377" i="2"/>
  <c r="M377" i="2"/>
  <c r="L377" i="2"/>
  <c r="N1432" i="2"/>
  <c r="M1432" i="2"/>
  <c r="L1432" i="2"/>
  <c r="N375" i="2"/>
  <c r="M375" i="2"/>
  <c r="L375" i="2"/>
  <c r="N1409" i="2"/>
  <c r="M1409" i="2"/>
  <c r="L1409" i="2"/>
  <c r="N373" i="2"/>
  <c r="M373" i="2"/>
  <c r="L373" i="2"/>
  <c r="N1368" i="2"/>
  <c r="M1368" i="2"/>
  <c r="L1368" i="2"/>
  <c r="N1352" i="2"/>
  <c r="M1352" i="2"/>
  <c r="L1352" i="2"/>
  <c r="N1332" i="2"/>
  <c r="M1332" i="2"/>
  <c r="L1332" i="2"/>
  <c r="N1319" i="2"/>
  <c r="M1319" i="2"/>
  <c r="L1319" i="2"/>
  <c r="N1255" i="2"/>
  <c r="M1255" i="2"/>
  <c r="L1255" i="2"/>
  <c r="N1243" i="2"/>
  <c r="M1243" i="2"/>
  <c r="L1243" i="2"/>
  <c r="N1227" i="2"/>
  <c r="M1227" i="2"/>
  <c r="L1227" i="2"/>
  <c r="N1188" i="2"/>
  <c r="M1188" i="2"/>
  <c r="L1188" i="2"/>
  <c r="N1172" i="2"/>
  <c r="M1172" i="2"/>
  <c r="L1172" i="2"/>
  <c r="N359" i="2"/>
  <c r="M359" i="2"/>
  <c r="L359" i="2"/>
  <c r="N356" i="2"/>
  <c r="M356" i="2"/>
  <c r="L356" i="2"/>
  <c r="N1119" i="2"/>
  <c r="N1106" i="2"/>
  <c r="M1106" i="2"/>
  <c r="L1106" i="2"/>
  <c r="N1091" i="2"/>
  <c r="M1091" i="2"/>
  <c r="L1091" i="2"/>
  <c r="N1073" i="2"/>
  <c r="M1073" i="2"/>
  <c r="L1073" i="2"/>
  <c r="N1051" i="2"/>
  <c r="M1051" i="2"/>
  <c r="L1051" i="2"/>
  <c r="N348" i="2"/>
  <c r="M348" i="2"/>
  <c r="L348" i="2"/>
  <c r="N1024" i="2"/>
  <c r="M1024" i="2"/>
  <c r="L1024" i="2"/>
  <c r="M1015" i="2"/>
  <c r="N1009" i="2"/>
  <c r="M1009" i="2"/>
  <c r="L1009" i="2"/>
  <c r="N993" i="2"/>
  <c r="M993" i="2"/>
  <c r="L993" i="2"/>
  <c r="N990" i="2"/>
  <c r="M990" i="2"/>
  <c r="L990" i="2"/>
  <c r="N979" i="2"/>
  <c r="M979" i="2"/>
  <c r="L979" i="2"/>
  <c r="N954" i="2"/>
  <c r="M954" i="2"/>
  <c r="L954" i="2"/>
  <c r="N898" i="2"/>
  <c r="M898" i="2"/>
  <c r="L898" i="2"/>
  <c r="N886" i="2"/>
  <c r="M886" i="2"/>
  <c r="L886" i="2"/>
  <c r="N873" i="2"/>
  <c r="M873" i="2"/>
  <c r="L873" i="2"/>
  <c r="N871" i="2"/>
  <c r="M871" i="2"/>
  <c r="L871" i="2"/>
  <c r="N860" i="2"/>
  <c r="M860" i="2"/>
  <c r="L860" i="2"/>
  <c r="N844" i="2"/>
  <c r="M844" i="2"/>
  <c r="L844" i="2"/>
  <c r="D23" i="3" l="1"/>
  <c r="F23" i="3"/>
  <c r="E20" i="3"/>
  <c r="F20" i="3" s="1"/>
  <c r="F24" i="3" s="1"/>
  <c r="L198" i="2"/>
  <c r="M198" i="2"/>
  <c r="L197" i="2"/>
  <c r="M197" i="2"/>
  <c r="L2132" i="2"/>
  <c r="M4294" i="2"/>
  <c r="L2164" i="2"/>
  <c r="M2024" i="2"/>
  <c r="M2566" i="2"/>
  <c r="M2399" i="2"/>
  <c r="M4572" i="2"/>
  <c r="M4613" i="2"/>
  <c r="L4638" i="2"/>
  <c r="L3293" i="2"/>
  <c r="N2432" i="2"/>
  <c r="N4572" i="2"/>
  <c r="M4638" i="2"/>
  <c r="L1230" i="2"/>
  <c r="N4638" i="2"/>
  <c r="N4613" i="2"/>
  <c r="M2432" i="2"/>
  <c r="M1230" i="2"/>
  <c r="M1414" i="2"/>
  <c r="N1230" i="2"/>
  <c r="L1873" i="2"/>
  <c r="M3995" i="2"/>
  <c r="N3995" i="2"/>
  <c r="M3684" i="2"/>
  <c r="L4294" i="2"/>
  <c r="L4572" i="2"/>
  <c r="M3293" i="2"/>
  <c r="M2132" i="2"/>
  <c r="N1414" i="2"/>
  <c r="L2659" i="2"/>
  <c r="L4801" i="2"/>
  <c r="M5073" i="2"/>
  <c r="M2629" i="2"/>
  <c r="M2308" i="2"/>
  <c r="N2566" i="2"/>
  <c r="N5502" i="2"/>
  <c r="N2629" i="2"/>
  <c r="N2308" i="2"/>
  <c r="L5429" i="2"/>
  <c r="L2208" i="2"/>
  <c r="L5068" i="2"/>
  <c r="L4244" i="2"/>
  <c r="L5335" i="2"/>
  <c r="L3995" i="2"/>
  <c r="N2132" i="2"/>
  <c r="M992" i="2"/>
  <c r="L3922" i="2"/>
  <c r="M5429" i="2"/>
  <c r="M2208" i="2"/>
  <c r="M4244" i="2"/>
  <c r="M5335" i="2"/>
  <c r="L2089" i="2"/>
  <c r="L2630" i="2"/>
  <c r="L2104" i="2"/>
  <c r="M3922" i="2"/>
  <c r="M2788" i="2"/>
  <c r="N5429" i="2"/>
  <c r="N2208" i="2"/>
  <c r="N4244" i="2"/>
  <c r="N5335" i="2"/>
  <c r="M2089" i="2"/>
  <c r="M2630" i="2"/>
  <c r="M2164" i="2"/>
  <c r="N2164" i="2"/>
  <c r="L5251" i="2"/>
  <c r="L5073" i="2"/>
  <c r="M5251" i="2"/>
  <c r="M2659" i="2"/>
  <c r="M4801" i="2"/>
  <c r="M2470" i="2"/>
  <c r="N2659" i="2"/>
  <c r="N2470" i="2"/>
  <c r="L4613" i="2"/>
  <c r="L2404" i="2"/>
  <c r="N2630" i="2"/>
  <c r="N992" i="2"/>
  <c r="L3287" i="2"/>
  <c r="L4287" i="2"/>
  <c r="N3287" i="2"/>
  <c r="L4853" i="2"/>
  <c r="M1873" i="2"/>
  <c r="M4287" i="2"/>
  <c r="M4604" i="2"/>
  <c r="M3918" i="2"/>
  <c r="M4076" i="2"/>
  <c r="M4853" i="2"/>
  <c r="N1873" i="2"/>
  <c r="N4287" i="2"/>
  <c r="N4604" i="2"/>
  <c r="N3918" i="2"/>
  <c r="N4076" i="2"/>
  <c r="M3287" i="2"/>
  <c r="L2788" i="2"/>
  <c r="N4853" i="2"/>
  <c r="L4922" i="2"/>
  <c r="L5202" i="2"/>
  <c r="L4300" i="2"/>
  <c r="L2375" i="2"/>
  <c r="M4922" i="2"/>
  <c r="M5202" i="2"/>
  <c r="M1200" i="2"/>
  <c r="M4300" i="2"/>
  <c r="M2375" i="2"/>
  <c r="N4922" i="2"/>
  <c r="M2404" i="2"/>
  <c r="N5202" i="2"/>
  <c r="N1200" i="2"/>
  <c r="N4300" i="2"/>
  <c r="N2399" i="2"/>
  <c r="N2375" i="2"/>
  <c r="L992" i="2"/>
  <c r="N2788" i="2"/>
  <c r="M2390" i="2"/>
  <c r="M872" i="2"/>
  <c r="M5410" i="2"/>
  <c r="M1231" i="2"/>
  <c r="L5434" i="2"/>
  <c r="L981" i="2"/>
  <c r="L3741" i="2"/>
  <c r="L2262" i="2"/>
  <c r="L5062" i="2"/>
  <c r="L1886" i="2"/>
  <c r="L1866" i="2"/>
  <c r="L5422" i="2"/>
  <c r="L872" i="2"/>
  <c r="L1231" i="2"/>
  <c r="M5434" i="2"/>
  <c r="M981" i="2"/>
  <c r="M3741" i="2"/>
  <c r="M2262" i="2"/>
  <c r="M5062" i="2"/>
  <c r="M1886" i="2"/>
  <c r="M1866" i="2"/>
  <c r="M5422" i="2"/>
  <c r="N5434" i="2"/>
  <c r="N981" i="2"/>
  <c r="N3741" i="2"/>
  <c r="N2262" i="2"/>
  <c r="N5062" i="2"/>
  <c r="N1886" i="2"/>
  <c r="N1866" i="2"/>
  <c r="N5422" i="2"/>
  <c r="L1327" i="2"/>
  <c r="L1346" i="2"/>
  <c r="N1627" i="2"/>
  <c r="N2366" i="2"/>
  <c r="L4252" i="2"/>
  <c r="N4905" i="2"/>
  <c r="L5096" i="2"/>
  <c r="M5140" i="2"/>
  <c r="L985" i="2"/>
  <c r="N1223" i="2"/>
  <c r="M3975" i="2"/>
  <c r="M4341" i="2"/>
  <c r="L754" i="2"/>
  <c r="L4636" i="2"/>
  <c r="L4702" i="2"/>
  <c r="L5406" i="2"/>
  <c r="L1181" i="2"/>
  <c r="M1327" i="2"/>
  <c r="M1346" i="2"/>
  <c r="L1910" i="2"/>
  <c r="M3499" i="2"/>
  <c r="L3524" i="2"/>
  <c r="L3879" i="2"/>
  <c r="M4252" i="2"/>
  <c r="L4682" i="2"/>
  <c r="M5096" i="2"/>
  <c r="N5140" i="2"/>
  <c r="L239" i="2"/>
  <c r="M985" i="2"/>
  <c r="M1234" i="2"/>
  <c r="L1337" i="2"/>
  <c r="L3012" i="2"/>
  <c r="M3353" i="2"/>
  <c r="N3975" i="2"/>
  <c r="N4341" i="2"/>
  <c r="M754" i="2"/>
  <c r="M4636" i="2"/>
  <c r="M4702" i="2"/>
  <c r="L4947" i="2"/>
  <c r="M5406" i="2"/>
  <c r="L1015" i="2"/>
  <c r="M1119" i="2"/>
  <c r="M1181" i="2"/>
  <c r="M1910" i="2"/>
  <c r="L2437" i="2"/>
  <c r="L469" i="2"/>
  <c r="L533" i="2"/>
  <c r="N3499" i="2"/>
  <c r="N3524" i="2"/>
  <c r="M3879" i="2"/>
  <c r="L5067" i="2"/>
  <c r="L5319" i="2"/>
  <c r="M239" i="2"/>
  <c r="N1234" i="2"/>
  <c r="M1337" i="2"/>
  <c r="M1822" i="2"/>
  <c r="M3012" i="2"/>
  <c r="N3353" i="2"/>
  <c r="M4947" i="2"/>
  <c r="N5526" i="2"/>
  <c r="L5526" i="2"/>
  <c r="M5526" i="2"/>
  <c r="N5482" i="2"/>
  <c r="M5482" i="2"/>
  <c r="L5482" i="2"/>
  <c r="N5433" i="2"/>
  <c r="L5433" i="2"/>
  <c r="N5358" i="2"/>
  <c r="L5358" i="2"/>
  <c r="M5358" i="2"/>
  <c r="M5308" i="2"/>
  <c r="N5308" i="2"/>
  <c r="L5308" i="2"/>
  <c r="M5281" i="2"/>
  <c r="L5281" i="2"/>
  <c r="N5281" i="2"/>
  <c r="N5223" i="2"/>
  <c r="L5223" i="2"/>
  <c r="M5223" i="2"/>
  <c r="M5172" i="2"/>
  <c r="L5172" i="2"/>
  <c r="N5172" i="2"/>
  <c r="M5137" i="2"/>
  <c r="L5137" i="2"/>
  <c r="N5085" i="2"/>
  <c r="L5085" i="2"/>
  <c r="M5085" i="2"/>
  <c r="N5044" i="2"/>
  <c r="M5044" i="2"/>
  <c r="N5004" i="2"/>
  <c r="M5004" i="2"/>
  <c r="L5004" i="2"/>
  <c r="N4967" i="2"/>
  <c r="M4967" i="2"/>
  <c r="L4967" i="2"/>
  <c r="N4937" i="2"/>
  <c r="M4937" i="2"/>
  <c r="L4937" i="2"/>
  <c r="N4855" i="2"/>
  <c r="M4855" i="2"/>
  <c r="L4855" i="2"/>
  <c r="N4805" i="2"/>
  <c r="L4805" i="2"/>
  <c r="M4805" i="2"/>
  <c r="L4746" i="2"/>
  <c r="N4746" i="2"/>
  <c r="M4746" i="2"/>
  <c r="N4595" i="2"/>
  <c r="L4595" i="2"/>
  <c r="M4595" i="2"/>
  <c r="M4528" i="2"/>
  <c r="N4528" i="2"/>
  <c r="L4305" i="2"/>
  <c r="M4305" i="2"/>
  <c r="N562" i="2"/>
  <c r="M562" i="2"/>
  <c r="L562" i="2"/>
  <c r="L5509" i="2"/>
  <c r="N5509" i="2"/>
  <c r="M5509" i="2"/>
  <c r="N5179" i="2"/>
  <c r="M5179" i="2"/>
  <c r="L5179" i="2"/>
  <c r="M154" i="2"/>
  <c r="L154" i="2"/>
  <c r="N154" i="2"/>
  <c r="N5058" i="2"/>
  <c r="M5058" i="2"/>
  <c r="L5058" i="2"/>
  <c r="N5008" i="2"/>
  <c r="M5008" i="2"/>
  <c r="L5008" i="2"/>
  <c r="N4925" i="2"/>
  <c r="M4925" i="2"/>
  <c r="L4925" i="2"/>
  <c r="N4830" i="2"/>
  <c r="M4830" i="2"/>
  <c r="L4830" i="2"/>
  <c r="N4718" i="2"/>
  <c r="M4718" i="2"/>
  <c r="L4718" i="2"/>
  <c r="M327" i="2"/>
  <c r="L327" i="2"/>
  <c r="N327" i="2"/>
  <c r="N304" i="2"/>
  <c r="L304" i="2"/>
  <c r="M304" i="2"/>
  <c r="N4421" i="2"/>
  <c r="M4421" i="2"/>
  <c r="L4421" i="2"/>
  <c r="N4357" i="2"/>
  <c r="M4357" i="2"/>
  <c r="L4357" i="2"/>
  <c r="N4313" i="2"/>
  <c r="M4313" i="2"/>
  <c r="L4313" i="2"/>
  <c r="N4271" i="2"/>
  <c r="L4271" i="2"/>
  <c r="M4271" i="2"/>
  <c r="L4220" i="2"/>
  <c r="M4220" i="2"/>
  <c r="N4220" i="2"/>
  <c r="M4163" i="2"/>
  <c r="N4163" i="2"/>
  <c r="L4163" i="2"/>
  <c r="L685" i="2"/>
  <c r="N685" i="2"/>
  <c r="M685" i="2"/>
  <c r="N4053" i="2"/>
  <c r="L4053" i="2"/>
  <c r="M4053" i="2"/>
  <c r="N4008" i="2"/>
  <c r="M4008" i="2"/>
  <c r="L4008" i="2"/>
  <c r="N3978" i="2"/>
  <c r="L3978" i="2"/>
  <c r="M3978" i="2"/>
  <c r="M3917" i="2"/>
  <c r="L3917" i="2"/>
  <c r="N3917" i="2"/>
  <c r="N3857" i="2"/>
  <c r="M3857" i="2"/>
  <c r="L3857" i="2"/>
  <c r="N3801" i="2"/>
  <c r="M3801" i="2"/>
  <c r="L3801" i="2"/>
  <c r="L3655" i="2"/>
  <c r="M3655" i="2"/>
  <c r="N3655" i="2"/>
  <c r="N3263" i="2"/>
  <c r="M3263" i="2"/>
  <c r="L3263" i="2"/>
  <c r="M2405" i="2"/>
  <c r="N5488" i="2"/>
  <c r="M5488" i="2"/>
  <c r="L5488" i="2"/>
  <c r="M4674" i="2"/>
  <c r="L4674" i="2"/>
  <c r="N4674" i="2"/>
  <c r="M4813" i="2"/>
  <c r="N5371" i="2"/>
  <c r="M5371" i="2"/>
  <c r="L5371" i="2"/>
  <c r="N5339" i="2"/>
  <c r="M5339" i="2"/>
  <c r="L5339" i="2"/>
  <c r="N5334" i="2"/>
  <c r="M5334" i="2"/>
  <c r="L5334" i="2"/>
  <c r="N5268" i="2"/>
  <c r="M5268" i="2"/>
  <c r="L5268" i="2"/>
  <c r="N5244" i="2"/>
  <c r="M5244" i="2"/>
  <c r="N5234" i="2"/>
  <c r="M5234" i="2"/>
  <c r="M5204" i="2"/>
  <c r="L5204" i="2"/>
  <c r="N169" i="2"/>
  <c r="M169" i="2"/>
  <c r="L169" i="2"/>
  <c r="N5128" i="2"/>
  <c r="M5128" i="2"/>
  <c r="L5128" i="2"/>
  <c r="M5014" i="2"/>
  <c r="N5014" i="2"/>
  <c r="N4959" i="2"/>
  <c r="M4959" i="2"/>
  <c r="L4959" i="2"/>
  <c r="M4836" i="2"/>
  <c r="L4836" i="2"/>
  <c r="N6" i="2"/>
  <c r="L6" i="2"/>
  <c r="M6" i="2"/>
  <c r="M4574" i="2"/>
  <c r="L4574" i="2"/>
  <c r="N4574" i="2"/>
  <c r="L4500" i="2"/>
  <c r="N4500" i="2"/>
  <c r="M4500" i="2"/>
  <c r="N4445" i="2"/>
  <c r="M4445" i="2"/>
  <c r="L4445" i="2"/>
  <c r="L4379" i="2"/>
  <c r="N4379" i="2"/>
  <c r="M4379" i="2"/>
  <c r="N4356" i="2"/>
  <c r="M4356" i="2"/>
  <c r="N4290" i="2"/>
  <c r="M4290" i="2"/>
  <c r="L4290" i="2"/>
  <c r="N4266" i="2"/>
  <c r="M4266" i="2"/>
  <c r="L4266" i="2"/>
  <c r="N4194" i="2"/>
  <c r="M4194" i="2"/>
  <c r="L4194" i="2"/>
  <c r="N4158" i="2"/>
  <c r="M4158" i="2"/>
  <c r="L4139" i="2"/>
  <c r="N4139" i="2"/>
  <c r="M4139" i="2"/>
  <c r="L4101" i="2"/>
  <c r="N4101" i="2"/>
  <c r="M4101" i="2"/>
  <c r="N665" i="2"/>
  <c r="M665" i="2"/>
  <c r="L665" i="2"/>
  <c r="L4038" i="2"/>
  <c r="N4038" i="2"/>
  <c r="M4038" i="2"/>
  <c r="M4002" i="2"/>
  <c r="L4002" i="2"/>
  <c r="N3909" i="2"/>
  <c r="L3909" i="2"/>
  <c r="N3853" i="2"/>
  <c r="M3853" i="2"/>
  <c r="L3853" i="2"/>
  <c r="N3714" i="2"/>
  <c r="M3714" i="2"/>
  <c r="L3714" i="2"/>
  <c r="N3693" i="2"/>
  <c r="M3693" i="2"/>
  <c r="L3693" i="2"/>
  <c r="N3664" i="2"/>
  <c r="M3664" i="2"/>
  <c r="L3664" i="2"/>
  <c r="L3650" i="2"/>
  <c r="N3650" i="2"/>
  <c r="M3650" i="2"/>
  <c r="L3547" i="2"/>
  <c r="N3547" i="2"/>
  <c r="M3547" i="2"/>
  <c r="N3518" i="2"/>
  <c r="M3518" i="2"/>
  <c r="L3518" i="2"/>
  <c r="M3462" i="2"/>
  <c r="L3462" i="2"/>
  <c r="N3344" i="2"/>
  <c r="L3344" i="2"/>
  <c r="M3344" i="2"/>
  <c r="N3211" i="2"/>
  <c r="L3211" i="2"/>
  <c r="M3211" i="2"/>
  <c r="N3192" i="2"/>
  <c r="L3192" i="2"/>
  <c r="M3192" i="2"/>
  <c r="L3167" i="2"/>
  <c r="N3167" i="2"/>
  <c r="L3155" i="2"/>
  <c r="N3155" i="2"/>
  <c r="M3155" i="2"/>
  <c r="L3124" i="2"/>
  <c r="N3124" i="2"/>
  <c r="M3124" i="2"/>
  <c r="L3101" i="2"/>
  <c r="N3101" i="2"/>
  <c r="M3101" i="2"/>
  <c r="N3072" i="2"/>
  <c r="M3072" i="2"/>
  <c r="L3072" i="2"/>
  <c r="N3057" i="2"/>
  <c r="L3057" i="2"/>
  <c r="M3057" i="2"/>
  <c r="N3033" i="2"/>
  <c r="M3033" i="2"/>
  <c r="L3033" i="2"/>
  <c r="N2989" i="2"/>
  <c r="M2989" i="2"/>
  <c r="L2989" i="2"/>
  <c r="L2954" i="2"/>
  <c r="M2954" i="2"/>
  <c r="N2954" i="2"/>
  <c r="N2919" i="2"/>
  <c r="L2919" i="2"/>
  <c r="M2919" i="2"/>
  <c r="N2845" i="2"/>
  <c r="M2845" i="2"/>
  <c r="L2845" i="2"/>
  <c r="N2747" i="2"/>
  <c r="M2747" i="2"/>
  <c r="L2724" i="2"/>
  <c r="N2724" i="2"/>
  <c r="M2724" i="2"/>
  <c r="N2677" i="2"/>
  <c r="M2677" i="2"/>
  <c r="L2677" i="2"/>
  <c r="L2617" i="2"/>
  <c r="N2617" i="2"/>
  <c r="M2617" i="2"/>
  <c r="N2585" i="2"/>
  <c r="L2585" i="2"/>
  <c r="M2585" i="2"/>
  <c r="N2543" i="2"/>
  <c r="M2543" i="2"/>
  <c r="N2517" i="2"/>
  <c r="L2517" i="2"/>
  <c r="L2428" i="2"/>
  <c r="N2428" i="2"/>
  <c r="M2428" i="2"/>
  <c r="N2361" i="2"/>
  <c r="L2361" i="2"/>
  <c r="M2361" i="2"/>
  <c r="L2306" i="2"/>
  <c r="N2306" i="2"/>
  <c r="M2306" i="2"/>
  <c r="N2228" i="2"/>
  <c r="M2228" i="2"/>
  <c r="L2228" i="2"/>
  <c r="N2197" i="2"/>
  <c r="M2197" i="2"/>
  <c r="L2197" i="2"/>
  <c r="N1993" i="2"/>
  <c r="M1993" i="2"/>
  <c r="L1993" i="2"/>
  <c r="N1952" i="2"/>
  <c r="M1952" i="2"/>
  <c r="L1952" i="2"/>
  <c r="N1883" i="2"/>
  <c r="L1883" i="2"/>
  <c r="M1883" i="2"/>
  <c r="N1827" i="2"/>
  <c r="M1827" i="2"/>
  <c r="L1827" i="2"/>
  <c r="N1797" i="2"/>
  <c r="M1797" i="2"/>
  <c r="L1797" i="2"/>
  <c r="N1781" i="2"/>
  <c r="M1781" i="2"/>
  <c r="L1781" i="2"/>
  <c r="M1739" i="2"/>
  <c r="N1739" i="2"/>
  <c r="N1714" i="2"/>
  <c r="M1714" i="2"/>
  <c r="L1714" i="2"/>
  <c r="N1684" i="2"/>
  <c r="M1684" i="2"/>
  <c r="L1684" i="2"/>
  <c r="N1650" i="2"/>
  <c r="L1650" i="2"/>
  <c r="M1620" i="2"/>
  <c r="L1620" i="2"/>
  <c r="N1620" i="2"/>
  <c r="N1553" i="2"/>
  <c r="L1553" i="2"/>
  <c r="M1553" i="2"/>
  <c r="N1418" i="2"/>
  <c r="M1418" i="2"/>
  <c r="L1418" i="2"/>
  <c r="N1393" i="2"/>
  <c r="L1393" i="2"/>
  <c r="M1393" i="2"/>
  <c r="M1363" i="2"/>
  <c r="L1363" i="2"/>
  <c r="N1237" i="2"/>
  <c r="M1237" i="2"/>
  <c r="L363" i="2"/>
  <c r="N363" i="2"/>
  <c r="M363" i="2"/>
  <c r="N1130" i="2"/>
  <c r="M1130" i="2"/>
  <c r="L1130" i="2"/>
  <c r="L1070" i="2"/>
  <c r="N1070" i="2"/>
  <c r="M1070" i="2"/>
  <c r="L964" i="2"/>
  <c r="M964" i="2"/>
  <c r="N964" i="2"/>
  <c r="N937" i="2"/>
  <c r="M937" i="2"/>
  <c r="L937" i="2"/>
  <c r="L832" i="2"/>
  <c r="N832" i="2"/>
  <c r="M3410" i="2"/>
  <c r="L5044" i="2"/>
  <c r="M1471" i="2"/>
  <c r="N3330" i="2"/>
  <c r="N267" i="2"/>
  <c r="M267" i="2"/>
  <c r="L267" i="2"/>
  <c r="N4569" i="2"/>
  <c r="M4569" i="2"/>
  <c r="L4569" i="2"/>
  <c r="L4826" i="2"/>
  <c r="N5536" i="2"/>
  <c r="M5536" i="2"/>
  <c r="L5536" i="2"/>
  <c r="M5503" i="2"/>
  <c r="L5503" i="2"/>
  <c r="N5503" i="2"/>
  <c r="L5473" i="2"/>
  <c r="N5473" i="2"/>
  <c r="M5473" i="2"/>
  <c r="L5444" i="2"/>
  <c r="M5444" i="2"/>
  <c r="N5444" i="2"/>
  <c r="N5354" i="2"/>
  <c r="L5354" i="2"/>
  <c r="M5354" i="2"/>
  <c r="M5208" i="2"/>
  <c r="N5208" i="2"/>
  <c r="L5208" i="2"/>
  <c r="L4688" i="2"/>
  <c r="N4688" i="2"/>
  <c r="M4688" i="2"/>
  <c r="M3872" i="2"/>
  <c r="N3872" i="2"/>
  <c r="L3872" i="2"/>
  <c r="L2492" i="2"/>
  <c r="M1088" i="2"/>
  <c r="M2008" i="2"/>
  <c r="L2964" i="2"/>
  <c r="L948" i="2"/>
  <c r="L395" i="2"/>
  <c r="N3534" i="2"/>
  <c r="L4331" i="2"/>
  <c r="N4331" i="2"/>
  <c r="M4331" i="2"/>
  <c r="N5403" i="2"/>
  <c r="L5403" i="2"/>
  <c r="M5403" i="2"/>
  <c r="L287" i="2"/>
  <c r="M287" i="2"/>
  <c r="N287" i="2"/>
  <c r="M2875" i="2"/>
  <c r="N1363" i="2"/>
  <c r="N3587" i="2"/>
  <c r="N3240" i="2"/>
  <c r="M1599" i="2"/>
  <c r="L2032" i="2"/>
  <c r="M2492" i="2"/>
  <c r="M4844" i="2"/>
  <c r="M2397" i="2"/>
  <c r="L3224" i="2"/>
  <c r="L3556" i="2"/>
  <c r="M5532" i="2"/>
  <c r="L5532" i="2"/>
  <c r="N5471" i="2"/>
  <c r="M5471" i="2"/>
  <c r="N5460" i="2"/>
  <c r="L5460" i="2"/>
  <c r="M5460" i="2"/>
  <c r="N5438" i="2"/>
  <c r="M5438" i="2"/>
  <c r="L5438" i="2"/>
  <c r="N60" i="2"/>
  <c r="M60" i="2"/>
  <c r="L60" i="2"/>
  <c r="M4766" i="2"/>
  <c r="L4766" i="2"/>
  <c r="N4648" i="2"/>
  <c r="M4648" i="2"/>
  <c r="L4648" i="2"/>
  <c r="L4519" i="2"/>
  <c r="N4519" i="2"/>
  <c r="M4519" i="2"/>
  <c r="N4490" i="2"/>
  <c r="M4490" i="2"/>
  <c r="L4474" i="2"/>
  <c r="M4474" i="2"/>
  <c r="N4474" i="2"/>
  <c r="N4363" i="2"/>
  <c r="M4363" i="2"/>
  <c r="L4363" i="2"/>
  <c r="N4344" i="2"/>
  <c r="L4344" i="2"/>
  <c r="M726" i="2"/>
  <c r="N726" i="2"/>
  <c r="L726" i="2"/>
  <c r="M4206" i="2"/>
  <c r="L4206" i="2"/>
  <c r="N4133" i="2"/>
  <c r="L4133" i="2"/>
  <c r="M4133" i="2"/>
  <c r="N3997" i="2"/>
  <c r="L3997" i="2"/>
  <c r="M3997" i="2"/>
  <c r="N3984" i="2"/>
  <c r="M3984" i="2"/>
  <c r="L3984" i="2"/>
  <c r="N3900" i="2"/>
  <c r="L3900" i="2"/>
  <c r="M3900" i="2"/>
  <c r="L3866" i="2"/>
  <c r="N3866" i="2"/>
  <c r="M3866" i="2"/>
  <c r="L3848" i="2"/>
  <c r="M3848" i="2"/>
  <c r="N623" i="2"/>
  <c r="M623" i="2"/>
  <c r="L623" i="2"/>
  <c r="N3761" i="2"/>
  <c r="M3761" i="2"/>
  <c r="L3748" i="2"/>
  <c r="M3748" i="2"/>
  <c r="N3748" i="2"/>
  <c r="L591" i="2"/>
  <c r="N591" i="2"/>
  <c r="N3507" i="2"/>
  <c r="M3507" i="2"/>
  <c r="N3484" i="2"/>
  <c r="L3484" i="2"/>
  <c r="M3484" i="2"/>
  <c r="M3456" i="2"/>
  <c r="N3456" i="2"/>
  <c r="L3456" i="2"/>
  <c r="N3419" i="2"/>
  <c r="L3419" i="2"/>
  <c r="M3419" i="2"/>
  <c r="N3393" i="2"/>
  <c r="M3393" i="2"/>
  <c r="N3307" i="2"/>
  <c r="M3307" i="2"/>
  <c r="L3307" i="2"/>
  <c r="N3249" i="2"/>
  <c r="M3249" i="2"/>
  <c r="M3194" i="2"/>
  <c r="L3194" i="2"/>
  <c r="N3194" i="2"/>
  <c r="N3082" i="2"/>
  <c r="L3082" i="2"/>
  <c r="M3082" i="2"/>
  <c r="M3062" i="2"/>
  <c r="L3062" i="2"/>
  <c r="N3046" i="2"/>
  <c r="M3046" i="2"/>
  <c r="N3019" i="2"/>
  <c r="L3019" i="2"/>
  <c r="M3019" i="2"/>
  <c r="N2935" i="2"/>
  <c r="L2935" i="2"/>
  <c r="N2834" i="2"/>
  <c r="L2834" i="2"/>
  <c r="M2834" i="2"/>
  <c r="N2812" i="2"/>
  <c r="M2812" i="2"/>
  <c r="L2812" i="2"/>
  <c r="L2686" i="2"/>
  <c r="N2686" i="2"/>
  <c r="M2686" i="2"/>
  <c r="L2664" i="2"/>
  <c r="N2664" i="2"/>
  <c r="N2634" i="2"/>
  <c r="M2634" i="2"/>
  <c r="L2634" i="2"/>
  <c r="N2608" i="2"/>
  <c r="M2608" i="2"/>
  <c r="L2608" i="2"/>
  <c r="N2571" i="2"/>
  <c r="M2571" i="2"/>
  <c r="L2507" i="2"/>
  <c r="N2507" i="2"/>
  <c r="M2507" i="2"/>
  <c r="L465" i="2"/>
  <c r="M465" i="2"/>
  <c r="N444" i="2"/>
  <c r="M444" i="2"/>
  <c r="L444" i="2"/>
  <c r="N437" i="2"/>
  <c r="M437" i="2"/>
  <c r="L437" i="2"/>
  <c r="L2253" i="2"/>
  <c r="N2253" i="2"/>
  <c r="M2253" i="2"/>
  <c r="N2172" i="2"/>
  <c r="M2172" i="2"/>
  <c r="L2172" i="2"/>
  <c r="N2151" i="2"/>
  <c r="M2151" i="2"/>
  <c r="L2151" i="2"/>
  <c r="M2098" i="2"/>
  <c r="L2098" i="2"/>
  <c r="N2098" i="2"/>
  <c r="N2070" i="2"/>
  <c r="M2070" i="2"/>
  <c r="L2070" i="2"/>
  <c r="N2056" i="2"/>
  <c r="L2056" i="2"/>
  <c r="M2056" i="2"/>
  <c r="L1974" i="2"/>
  <c r="N1974" i="2"/>
  <c r="N1942" i="2"/>
  <c r="L1942" i="2"/>
  <c r="M1942" i="2"/>
  <c r="N1920" i="2"/>
  <c r="L1920" i="2"/>
  <c r="M1920" i="2"/>
  <c r="L409" i="2"/>
  <c r="N409" i="2"/>
  <c r="M409" i="2"/>
  <c r="L1836" i="2"/>
  <c r="M1836" i="2"/>
  <c r="N1808" i="2"/>
  <c r="M1808" i="2"/>
  <c r="L1808" i="2"/>
  <c r="L1770" i="2"/>
  <c r="M1770" i="2"/>
  <c r="N1749" i="2"/>
  <c r="M1749" i="2"/>
  <c r="L1749" i="2"/>
  <c r="N1703" i="2"/>
  <c r="M1703" i="2"/>
  <c r="L1703" i="2"/>
  <c r="N1638" i="2"/>
  <c r="L1638" i="2"/>
  <c r="M1638" i="2"/>
  <c r="L1582" i="2"/>
  <c r="N1582" i="2"/>
  <c r="M1582" i="2"/>
  <c r="N1541" i="2"/>
  <c r="M1541" i="2"/>
  <c r="N1520" i="2"/>
  <c r="M1520" i="2"/>
  <c r="L1520" i="2"/>
  <c r="N1499" i="2"/>
  <c r="L1499" i="2"/>
  <c r="N1457" i="2"/>
  <c r="M1457" i="2"/>
  <c r="L1457" i="2"/>
  <c r="N1426" i="2"/>
  <c r="M1426" i="2"/>
  <c r="L1426" i="2"/>
  <c r="N1402" i="2"/>
  <c r="M1402" i="2"/>
  <c r="L1402" i="2"/>
  <c r="N1387" i="2"/>
  <c r="M1387" i="2"/>
  <c r="L1387" i="2"/>
  <c r="M1305" i="2"/>
  <c r="N1305" i="2"/>
  <c r="L1252" i="2"/>
  <c r="N1252" i="2"/>
  <c r="M1252" i="2"/>
  <c r="L1167" i="2"/>
  <c r="M1167" i="2"/>
  <c r="N1159" i="2"/>
  <c r="M1159" i="2"/>
  <c r="L1159" i="2"/>
  <c r="N1136" i="2"/>
  <c r="M1136" i="2"/>
  <c r="L1136" i="2"/>
  <c r="N1049" i="2"/>
  <c r="M1049" i="2"/>
  <c r="N914" i="2"/>
  <c r="M914" i="2"/>
  <c r="L914" i="2"/>
  <c r="N906" i="2"/>
  <c r="M906" i="2"/>
  <c r="L906" i="2"/>
  <c r="N880" i="2"/>
  <c r="M880" i="2"/>
  <c r="L880" i="2"/>
  <c r="N831" i="2"/>
  <c r="M831" i="2"/>
  <c r="L831" i="2"/>
  <c r="N2126" i="2"/>
  <c r="N4461" i="2"/>
  <c r="L5014" i="2"/>
  <c r="L5182" i="2"/>
  <c r="L1541" i="2"/>
  <c r="N5535" i="2"/>
  <c r="M5535" i="2"/>
  <c r="L5535" i="2"/>
  <c r="N5487" i="2"/>
  <c r="L5487" i="2"/>
  <c r="M5487" i="2"/>
  <c r="N5474" i="2"/>
  <c r="L5474" i="2"/>
  <c r="M5474" i="2"/>
  <c r="N241" i="2"/>
  <c r="M241" i="2"/>
  <c r="L241" i="2"/>
  <c r="N231" i="2"/>
  <c r="M231" i="2"/>
  <c r="L231" i="2"/>
  <c r="N5393" i="2"/>
  <c r="M5393" i="2"/>
  <c r="L5393" i="2"/>
  <c r="M5375" i="2"/>
  <c r="N5375" i="2"/>
  <c r="L5375" i="2"/>
  <c r="N5356" i="2"/>
  <c r="L5356" i="2"/>
  <c r="L5351" i="2"/>
  <c r="N5351" i="2"/>
  <c r="M5351" i="2"/>
  <c r="N5346" i="2"/>
  <c r="M5346" i="2"/>
  <c r="L5346" i="2"/>
  <c r="M5324" i="2"/>
  <c r="L5324" i="2"/>
  <c r="N5324" i="2"/>
  <c r="L219" i="2"/>
  <c r="M219" i="2"/>
  <c r="N219" i="2"/>
  <c r="N5273" i="2"/>
  <c r="M5273" i="2"/>
  <c r="L5273" i="2"/>
  <c r="L5258" i="2"/>
  <c r="M5258" i="2"/>
  <c r="N5258" i="2"/>
  <c r="N194" i="2"/>
  <c r="M194" i="2"/>
  <c r="L194" i="2"/>
  <c r="N181" i="2"/>
  <c r="M181" i="2"/>
  <c r="L181" i="2"/>
  <c r="N5175" i="2"/>
  <c r="M5175" i="2"/>
  <c r="L5175" i="2"/>
  <c r="N5160" i="2"/>
  <c r="M5160" i="2"/>
  <c r="L5160" i="2"/>
  <c r="N5122" i="2"/>
  <c r="L5122" i="2"/>
  <c r="M5122" i="2"/>
  <c r="N5084" i="2"/>
  <c r="L5084" i="2"/>
  <c r="M5084" i="2"/>
  <c r="N131" i="2"/>
  <c r="M131" i="2"/>
  <c r="L131" i="2"/>
  <c r="L4997" i="2"/>
  <c r="N4997" i="2"/>
  <c r="M4997" i="2"/>
  <c r="N4981" i="2"/>
  <c r="M4981" i="2"/>
  <c r="L4981" i="2"/>
  <c r="N4972" i="2"/>
  <c r="M4972" i="2"/>
  <c r="L4972" i="2"/>
  <c r="N4950" i="2"/>
  <c r="M4950" i="2"/>
  <c r="L4950" i="2"/>
  <c r="N4851" i="2"/>
  <c r="M4851" i="2"/>
  <c r="L4851" i="2"/>
  <c r="L4842" i="2"/>
  <c r="N4842" i="2"/>
  <c r="M4842" i="2"/>
  <c r="N4807" i="2"/>
  <c r="L4807" i="2"/>
  <c r="M4807" i="2"/>
  <c r="N4788" i="2"/>
  <c r="M4788" i="2"/>
  <c r="L4788" i="2"/>
  <c r="N4762" i="2"/>
  <c r="M4762" i="2"/>
  <c r="L4762" i="2"/>
  <c r="M38" i="2"/>
  <c r="N38" i="2"/>
  <c r="L38" i="2"/>
  <c r="L4740" i="2"/>
  <c r="N4740" i="2"/>
  <c r="M4740" i="2"/>
  <c r="N4709" i="2"/>
  <c r="M4709" i="2"/>
  <c r="L4709" i="2"/>
  <c r="N4700" i="2"/>
  <c r="M4700" i="2"/>
  <c r="L4700" i="2"/>
  <c r="N4687" i="2"/>
  <c r="M4687" i="2"/>
  <c r="L4687" i="2"/>
  <c r="L323" i="2"/>
  <c r="M323" i="2"/>
  <c r="N323" i="2"/>
  <c r="N4624" i="2"/>
  <c r="M4624" i="2"/>
  <c r="L4624" i="2"/>
  <c r="N4601" i="2"/>
  <c r="M4601" i="2"/>
  <c r="L4601" i="2"/>
  <c r="N4578" i="2"/>
  <c r="M4578" i="2"/>
  <c r="L4578" i="2"/>
  <c r="N299" i="2"/>
  <c r="M299" i="2"/>
  <c r="L299" i="2"/>
  <c r="N293" i="2"/>
  <c r="M293" i="2"/>
  <c r="L293" i="2"/>
  <c r="L4520" i="2"/>
  <c r="N4520" i="2"/>
  <c r="M4520" i="2"/>
  <c r="N4508" i="2"/>
  <c r="M4508" i="2"/>
  <c r="L4508" i="2"/>
  <c r="N283" i="2"/>
  <c r="M283" i="2"/>
  <c r="L283" i="2"/>
  <c r="M4467" i="2"/>
  <c r="L4467" i="2"/>
  <c r="N4467" i="2"/>
  <c r="M4447" i="2"/>
  <c r="L4447" i="2"/>
  <c r="N4447" i="2"/>
  <c r="L4432" i="2"/>
  <c r="N4432" i="2"/>
  <c r="M4432" i="2"/>
  <c r="L752" i="2"/>
  <c r="N752" i="2"/>
  <c r="M752" i="2"/>
  <c r="N4386" i="2"/>
  <c r="M4386" i="2"/>
  <c r="L4386" i="2"/>
  <c r="N4370" i="2"/>
  <c r="M4370" i="2"/>
  <c r="L4370" i="2"/>
  <c r="N4325" i="2"/>
  <c r="M4325" i="2"/>
  <c r="L4325" i="2"/>
  <c r="N4296" i="2"/>
  <c r="M4296" i="2"/>
  <c r="L4296" i="2"/>
  <c r="M4283" i="2"/>
  <c r="L4283" i="2"/>
  <c r="N4283" i="2"/>
  <c r="N4256" i="2"/>
  <c r="M4256" i="2"/>
  <c r="L4256" i="2"/>
  <c r="N4236" i="2"/>
  <c r="M4236" i="2"/>
  <c r="L4236" i="2"/>
  <c r="N707" i="2"/>
  <c r="L707" i="2"/>
  <c r="M707" i="2"/>
  <c r="N4191" i="2"/>
  <c r="M4191" i="2"/>
  <c r="L4191" i="2"/>
  <c r="L695" i="2"/>
  <c r="N695" i="2"/>
  <c r="M695" i="2"/>
  <c r="N4092" i="2"/>
  <c r="M4092" i="2"/>
  <c r="L4092" i="2"/>
  <c r="L4080" i="2"/>
  <c r="N4080" i="2"/>
  <c r="M4080" i="2"/>
  <c r="N4064" i="2"/>
  <c r="M4064" i="2"/>
  <c r="L4064" i="2"/>
  <c r="N4040" i="2"/>
  <c r="M4040" i="2"/>
  <c r="L4040" i="2"/>
  <c r="N4024" i="2"/>
  <c r="M4024" i="2"/>
  <c r="L4024" i="2"/>
  <c r="L3994" i="2"/>
  <c r="N3994" i="2"/>
  <c r="M3994" i="2"/>
  <c r="N3967" i="2"/>
  <c r="M3967" i="2"/>
  <c r="L3967" i="2"/>
  <c r="L3953" i="2"/>
  <c r="M3953" i="2"/>
  <c r="N3953" i="2"/>
  <c r="N3895" i="2"/>
  <c r="L3895" i="2"/>
  <c r="M3895" i="2"/>
  <c r="N3873" i="2"/>
  <c r="M3873" i="2"/>
  <c r="L3873" i="2"/>
  <c r="L3788" i="2"/>
  <c r="N3788" i="2"/>
  <c r="M3788" i="2"/>
  <c r="N3765" i="2"/>
  <c r="M3765" i="2"/>
  <c r="L3765" i="2"/>
  <c r="N3742" i="2"/>
  <c r="M3742" i="2"/>
  <c r="L3742" i="2"/>
  <c r="N3734" i="2"/>
  <c r="M3734" i="2"/>
  <c r="L3734" i="2"/>
  <c r="N3708" i="2"/>
  <c r="L3708" i="2"/>
  <c r="M3708" i="2"/>
  <c r="L3671" i="2"/>
  <c r="N3671" i="2"/>
  <c r="M3671" i="2"/>
  <c r="L3646" i="2"/>
  <c r="N3646" i="2"/>
  <c r="M3646" i="2"/>
  <c r="M3612" i="2"/>
  <c r="L3612" i="2"/>
  <c r="N3612" i="2"/>
  <c r="N3576" i="2"/>
  <c r="M3576" i="2"/>
  <c r="L3576" i="2"/>
  <c r="N3553" i="2"/>
  <c r="M3553" i="2"/>
  <c r="L3553" i="2"/>
  <c r="L575" i="2"/>
  <c r="N575" i="2"/>
  <c r="M575" i="2"/>
  <c r="N3500" i="2"/>
  <c r="M3500" i="2"/>
  <c r="L3500" i="2"/>
  <c r="M569" i="2"/>
  <c r="N569" i="2"/>
  <c r="L569" i="2"/>
  <c r="N3437" i="2"/>
  <c r="M3437" i="2"/>
  <c r="L3437" i="2"/>
  <c r="L3413" i="2"/>
  <c r="N3413" i="2"/>
  <c r="M3413" i="2"/>
  <c r="N3397" i="2"/>
  <c r="M3397" i="2"/>
  <c r="L3397" i="2"/>
  <c r="N3386" i="2"/>
  <c r="M3386" i="2"/>
  <c r="L3386" i="2"/>
  <c r="L3372" i="2"/>
  <c r="N3372" i="2"/>
  <c r="M3372" i="2"/>
  <c r="L3346" i="2"/>
  <c r="M3346" i="2"/>
  <c r="N3346" i="2"/>
  <c r="L3334" i="2"/>
  <c r="N3334" i="2"/>
  <c r="M3334" i="2"/>
  <c r="N3315" i="2"/>
  <c r="L3315" i="2"/>
  <c r="M3315" i="2"/>
  <c r="L3294" i="2"/>
  <c r="N3294" i="2"/>
  <c r="M3294" i="2"/>
  <c r="L3282" i="2"/>
  <c r="N3282" i="2"/>
  <c r="M3282" i="2"/>
  <c r="M3255" i="2"/>
  <c r="L3255" i="2"/>
  <c r="N3255" i="2"/>
  <c r="N3204" i="2"/>
  <c r="M3204" i="2"/>
  <c r="L3204" i="2"/>
  <c r="L3183" i="2"/>
  <c r="M3183" i="2"/>
  <c r="N3183" i="2"/>
  <c r="L3150" i="2"/>
  <c r="N3150" i="2"/>
  <c r="M3150" i="2"/>
  <c r="N3127" i="2"/>
  <c r="M3127" i="2"/>
  <c r="L3127" i="2"/>
  <c r="L3109" i="2"/>
  <c r="N3109" i="2"/>
  <c r="M3109" i="2"/>
  <c r="L3094" i="2"/>
  <c r="N3094" i="2"/>
  <c r="M3094" i="2"/>
  <c r="L3080" i="2"/>
  <c r="M3080" i="2"/>
  <c r="N3080" i="2"/>
  <c r="N3039" i="2"/>
  <c r="M3039" i="2"/>
  <c r="L3039" i="2"/>
  <c r="M3023" i="2"/>
  <c r="N3023" i="2"/>
  <c r="L3023" i="2"/>
  <c r="L2998" i="2"/>
  <c r="M2998" i="2"/>
  <c r="N2998" i="2"/>
  <c r="N2970" i="2"/>
  <c r="L2970" i="2"/>
  <c r="M2970" i="2"/>
  <c r="N2947" i="2"/>
  <c r="M2947" i="2"/>
  <c r="L2947" i="2"/>
  <c r="M2924" i="2"/>
  <c r="N2924" i="2"/>
  <c r="L2924" i="2"/>
  <c r="N2908" i="2"/>
  <c r="M2908" i="2"/>
  <c r="L2908" i="2"/>
  <c r="N2884" i="2"/>
  <c r="M2884" i="2"/>
  <c r="L2884" i="2"/>
  <c r="L2850" i="2"/>
  <c r="M2850" i="2"/>
  <c r="N2850" i="2"/>
  <c r="N2804" i="2"/>
  <c r="M2804" i="2"/>
  <c r="L2804" i="2"/>
  <c r="L2786" i="2"/>
  <c r="N2786" i="2"/>
  <c r="M2786" i="2"/>
  <c r="N2763" i="2"/>
  <c r="M2763" i="2"/>
  <c r="L2763" i="2"/>
  <c r="N2743" i="2"/>
  <c r="L2743" i="2"/>
  <c r="M2743" i="2"/>
  <c r="N2732" i="2"/>
  <c r="M2732" i="2"/>
  <c r="L2732" i="2"/>
  <c r="N2712" i="2"/>
  <c r="M2712" i="2"/>
  <c r="L2712" i="2"/>
  <c r="N2695" i="2"/>
  <c r="M2695" i="2"/>
  <c r="L2695" i="2"/>
  <c r="N2660" i="2"/>
  <c r="M2660" i="2"/>
  <c r="L2660" i="2"/>
  <c r="M2641" i="2"/>
  <c r="N2641" i="2"/>
  <c r="L2641" i="2"/>
  <c r="N2601" i="2"/>
  <c r="L2601" i="2"/>
  <c r="M2601" i="2"/>
  <c r="L2573" i="2"/>
  <c r="N2573" i="2"/>
  <c r="M2573" i="2"/>
  <c r="L2549" i="2"/>
  <c r="M2549" i="2"/>
  <c r="N2549" i="2"/>
  <c r="N2529" i="2"/>
  <c r="M2529" i="2"/>
  <c r="L2529" i="2"/>
  <c r="M2482" i="2"/>
  <c r="L2482" i="2"/>
  <c r="N2482" i="2"/>
  <c r="N2464" i="2"/>
  <c r="M2464" i="2"/>
  <c r="L2464" i="2"/>
  <c r="M2413" i="2"/>
  <c r="L2413" i="2"/>
  <c r="N2413" i="2"/>
  <c r="L2402" i="2"/>
  <c r="M2402" i="2"/>
  <c r="N2402" i="2"/>
  <c r="N2382" i="2"/>
  <c r="M2382" i="2"/>
  <c r="L2382" i="2"/>
  <c r="L2347" i="2"/>
  <c r="N2347" i="2"/>
  <c r="M2347" i="2"/>
  <c r="L2326" i="2"/>
  <c r="N2326" i="2"/>
  <c r="M2326" i="2"/>
  <c r="M2276" i="2"/>
  <c r="L2276" i="2"/>
  <c r="N2276" i="2"/>
  <c r="L2236" i="2"/>
  <c r="M2236" i="2"/>
  <c r="N2236" i="2"/>
  <c r="N2210" i="2"/>
  <c r="M2210" i="2"/>
  <c r="L2210" i="2"/>
  <c r="L2183" i="2"/>
  <c r="N2183" i="2"/>
  <c r="M2183" i="2"/>
  <c r="L2156" i="2"/>
  <c r="M2156" i="2"/>
  <c r="N2156" i="2"/>
  <c r="N2137" i="2"/>
  <c r="M2137" i="2"/>
  <c r="L2137" i="2"/>
  <c r="N2091" i="2"/>
  <c r="M2091" i="2"/>
  <c r="L2091" i="2"/>
  <c r="L2072" i="2"/>
  <c r="N2072" i="2"/>
  <c r="M2072" i="2"/>
  <c r="L2048" i="2"/>
  <c r="M2048" i="2"/>
  <c r="N2048" i="2"/>
  <c r="L2021" i="2"/>
  <c r="M2021" i="2"/>
  <c r="N2021" i="2"/>
  <c r="L2003" i="2"/>
  <c r="N2003" i="2"/>
  <c r="M2003" i="2"/>
  <c r="L1985" i="2"/>
  <c r="N1985" i="2"/>
  <c r="M1985" i="2"/>
  <c r="L1961" i="2"/>
  <c r="N1961" i="2"/>
  <c r="M1961" i="2"/>
  <c r="N1933" i="2"/>
  <c r="M1933" i="2"/>
  <c r="L1933" i="2"/>
  <c r="N1917" i="2"/>
  <c r="L1917" i="2"/>
  <c r="M1917" i="2"/>
  <c r="N1895" i="2"/>
  <c r="M1895" i="2"/>
  <c r="L1895" i="2"/>
  <c r="L1877" i="2"/>
  <c r="N1877" i="2"/>
  <c r="M1877" i="2"/>
  <c r="M1862" i="2"/>
  <c r="L1862" i="2"/>
  <c r="N1862" i="2"/>
  <c r="N1845" i="2"/>
  <c r="L1845" i="2"/>
  <c r="M1845" i="2"/>
  <c r="L1802" i="2"/>
  <c r="M1802" i="2"/>
  <c r="N1802" i="2"/>
  <c r="N1775" i="2"/>
  <c r="M1775" i="2"/>
  <c r="L1775" i="2"/>
  <c r="N1756" i="2"/>
  <c r="M1756" i="2"/>
  <c r="L1756" i="2"/>
  <c r="N1731" i="2"/>
  <c r="M1731" i="2"/>
  <c r="L1731" i="2"/>
  <c r="N1708" i="2"/>
  <c r="M1708" i="2"/>
  <c r="L1708" i="2"/>
  <c r="M1676" i="2"/>
  <c r="N1676" i="2"/>
  <c r="L1676" i="2"/>
  <c r="M393" i="2"/>
  <c r="N393" i="2"/>
  <c r="L393" i="2"/>
  <c r="M1645" i="2"/>
  <c r="L1645" i="2"/>
  <c r="N1645" i="2"/>
  <c r="L1606" i="2"/>
  <c r="M1606" i="2"/>
  <c r="N1606" i="2"/>
  <c r="N1590" i="2"/>
  <c r="M1590" i="2"/>
  <c r="L1590" i="2"/>
  <c r="M1560" i="2"/>
  <c r="L1560" i="2"/>
  <c r="N1560" i="2"/>
  <c r="N1537" i="2"/>
  <c r="M1537" i="2"/>
  <c r="L1537" i="2"/>
  <c r="N1512" i="2"/>
  <c r="M1512" i="2"/>
  <c r="L1512" i="2"/>
  <c r="N1490" i="2"/>
  <c r="M1490" i="2"/>
  <c r="L1490" i="2"/>
  <c r="N1440" i="2"/>
  <c r="M1440" i="2"/>
  <c r="L1440" i="2"/>
  <c r="L1421" i="2"/>
  <c r="N1421" i="2"/>
  <c r="M1421" i="2"/>
  <c r="L1373" i="2"/>
  <c r="M1373" i="2"/>
  <c r="N1373" i="2"/>
  <c r="L1351" i="2"/>
  <c r="N1351" i="2"/>
  <c r="M1351" i="2"/>
  <c r="N1321" i="2"/>
  <c r="M1321" i="2"/>
  <c r="L1321" i="2"/>
  <c r="L1313" i="2"/>
  <c r="N1313" i="2"/>
  <c r="M1313" i="2"/>
  <c r="L1264" i="2"/>
  <c r="M1264" i="2"/>
  <c r="N1264" i="2"/>
  <c r="N1244" i="2"/>
  <c r="M1244" i="2"/>
  <c r="L1244" i="2"/>
  <c r="N1206" i="2"/>
  <c r="M1206" i="2"/>
  <c r="L1206" i="2"/>
  <c r="M1184" i="2"/>
  <c r="N1184" i="2"/>
  <c r="L1184" i="2"/>
  <c r="M1153" i="2"/>
  <c r="N1153" i="2"/>
  <c r="L1153" i="2"/>
  <c r="N1103" i="2"/>
  <c r="L1103" i="2"/>
  <c r="M1103" i="2"/>
  <c r="N1095" i="2"/>
  <c r="M1095" i="2"/>
  <c r="L1095" i="2"/>
  <c r="L1072" i="2"/>
  <c r="M1072" i="2"/>
  <c r="N1072" i="2"/>
  <c r="N1053" i="2"/>
  <c r="M1053" i="2"/>
  <c r="L1053" i="2"/>
  <c r="N1043" i="2"/>
  <c r="M1043" i="2"/>
  <c r="L1043" i="2"/>
  <c r="N957" i="2"/>
  <c r="M957" i="2"/>
  <c r="L957" i="2"/>
  <c r="N942" i="2"/>
  <c r="L942" i="2"/>
  <c r="M942" i="2"/>
  <c r="N889" i="2"/>
  <c r="L889" i="2"/>
  <c r="M889" i="2"/>
  <c r="N877" i="2"/>
  <c r="M877" i="2"/>
  <c r="L877" i="2"/>
  <c r="M329" i="2"/>
  <c r="N329" i="2"/>
  <c r="L329" i="2"/>
  <c r="L2875" i="2"/>
  <c r="L3046" i="2"/>
  <c r="N3410" i="2"/>
  <c r="L3638" i="2"/>
  <c r="N1471" i="2"/>
  <c r="M3587" i="2"/>
  <c r="M3930" i="2"/>
  <c r="L4356" i="2"/>
  <c r="M5520" i="2"/>
  <c r="L5520" i="2"/>
  <c r="N5520" i="2"/>
  <c r="M259" i="2"/>
  <c r="L259" i="2"/>
  <c r="N259" i="2"/>
  <c r="M5477" i="2"/>
  <c r="L5477" i="2"/>
  <c r="N5477" i="2"/>
  <c r="L5454" i="2"/>
  <c r="N5454" i="2"/>
  <c r="M5454" i="2"/>
  <c r="N5415" i="2"/>
  <c r="L5415" i="2"/>
  <c r="M5415" i="2"/>
  <c r="N5381" i="2"/>
  <c r="L5381" i="2"/>
  <c r="M5381" i="2"/>
  <c r="N229" i="2"/>
  <c r="M229" i="2"/>
  <c r="L229" i="2"/>
  <c r="L5345" i="2"/>
  <c r="N5345" i="2"/>
  <c r="M5345" i="2"/>
  <c r="M5313" i="2"/>
  <c r="L5313" i="2"/>
  <c r="N5313" i="2"/>
  <c r="N5300" i="2"/>
  <c r="L5300" i="2"/>
  <c r="M5300" i="2"/>
  <c r="N5284" i="2"/>
  <c r="M5284" i="2"/>
  <c r="L5284" i="2"/>
  <c r="L212" i="2"/>
  <c r="N212" i="2"/>
  <c r="M212" i="2"/>
  <c r="M5248" i="2"/>
  <c r="L5248" i="2"/>
  <c r="N5248" i="2"/>
  <c r="L5218" i="2"/>
  <c r="N5218" i="2"/>
  <c r="M5218" i="2"/>
  <c r="M5189" i="2"/>
  <c r="N5189" i="2"/>
  <c r="L5189" i="2"/>
  <c r="N5173" i="2"/>
  <c r="M5173" i="2"/>
  <c r="L5173" i="2"/>
  <c r="M5158" i="2"/>
  <c r="L5158" i="2"/>
  <c r="N5158" i="2"/>
  <c r="N5131" i="2"/>
  <c r="M5131" i="2"/>
  <c r="L5131" i="2"/>
  <c r="M5111" i="2"/>
  <c r="L5111" i="2"/>
  <c r="N5111" i="2"/>
  <c r="M5094" i="2"/>
  <c r="L5094" i="2"/>
  <c r="N5094" i="2"/>
  <c r="N5071" i="2"/>
  <c r="M5071" i="2"/>
  <c r="L5071" i="2"/>
  <c r="L5057" i="2"/>
  <c r="N5057" i="2"/>
  <c r="M5057" i="2"/>
  <c r="M5049" i="2"/>
  <c r="L5049" i="2"/>
  <c r="N5049" i="2"/>
  <c r="N5034" i="2"/>
  <c r="L5034" i="2"/>
  <c r="M5034" i="2"/>
  <c r="N5018" i="2"/>
  <c r="L5018" i="2"/>
  <c r="M5018" i="2"/>
  <c r="M4996" i="2"/>
  <c r="N4996" i="2"/>
  <c r="L4996" i="2"/>
  <c r="M108" i="2"/>
  <c r="N108" i="2"/>
  <c r="L108" i="2"/>
  <c r="N4974" i="2"/>
  <c r="M4974" i="2"/>
  <c r="L4974" i="2"/>
  <c r="M4951" i="2"/>
  <c r="L4951" i="2"/>
  <c r="N4951" i="2"/>
  <c r="M4910" i="2"/>
  <c r="N4910" i="2"/>
  <c r="L4910" i="2"/>
  <c r="M4892" i="2"/>
  <c r="L4892" i="2"/>
  <c r="N4892" i="2"/>
  <c r="M4832" i="2"/>
  <c r="L4832" i="2"/>
  <c r="N4832" i="2"/>
  <c r="M4808" i="2"/>
  <c r="L4808" i="2"/>
  <c r="N4808" i="2"/>
  <c r="M4789" i="2"/>
  <c r="L4789" i="2"/>
  <c r="N4789" i="2"/>
  <c r="M43" i="2"/>
  <c r="N43" i="2"/>
  <c r="L43" i="2"/>
  <c r="N4737" i="2"/>
  <c r="M4737" i="2"/>
  <c r="M28" i="2"/>
  <c r="L28" i="2"/>
  <c r="M4694" i="2"/>
  <c r="L4694" i="2"/>
  <c r="N4694" i="2"/>
  <c r="M4662" i="2"/>
  <c r="L4662" i="2"/>
  <c r="N4662" i="2"/>
  <c r="L4642" i="2"/>
  <c r="M4642" i="2"/>
  <c r="N4642" i="2"/>
  <c r="N4607" i="2"/>
  <c r="M4607" i="2"/>
  <c r="L4607" i="2"/>
  <c r="N4592" i="2"/>
  <c r="M4592" i="2"/>
  <c r="L4592" i="2"/>
  <c r="M4567" i="2"/>
  <c r="N4567" i="2"/>
  <c r="L4567" i="2"/>
  <c r="L4554" i="2"/>
  <c r="N4554" i="2"/>
  <c r="M4554" i="2"/>
  <c r="N4548" i="2"/>
  <c r="L4548" i="2"/>
  <c r="M4548" i="2"/>
  <c r="M289" i="2"/>
  <c r="L289" i="2"/>
  <c r="N289" i="2"/>
  <c r="M4503" i="2"/>
  <c r="L4503" i="2"/>
  <c r="N4503" i="2"/>
  <c r="M4483" i="2"/>
  <c r="L4483" i="2"/>
  <c r="N4483" i="2"/>
  <c r="M4452" i="2"/>
  <c r="N4452" i="2"/>
  <c r="L4452" i="2"/>
  <c r="N766" i="2"/>
  <c r="L766" i="2"/>
  <c r="M766" i="2"/>
  <c r="N4418" i="2"/>
  <c r="M4418" i="2"/>
  <c r="L4418" i="2"/>
  <c r="N4400" i="2"/>
  <c r="M4400" i="2"/>
  <c r="L4400" i="2"/>
  <c r="N748" i="2"/>
  <c r="L748" i="2"/>
  <c r="M748" i="2"/>
  <c r="N4369" i="2"/>
  <c r="M4369" i="2"/>
  <c r="L4369" i="2"/>
  <c r="N4348" i="2"/>
  <c r="M4348" i="2"/>
  <c r="L4348" i="2"/>
  <c r="N4337" i="2"/>
  <c r="M4337" i="2"/>
  <c r="L4337" i="2"/>
  <c r="N4316" i="2"/>
  <c r="M4316" i="2"/>
  <c r="L4316" i="2"/>
  <c r="N724" i="2"/>
  <c r="M724" i="2"/>
  <c r="L724" i="2"/>
  <c r="N4285" i="2"/>
  <c r="L4285" i="2"/>
  <c r="M4285" i="2"/>
  <c r="N4269" i="2"/>
  <c r="M4269" i="2"/>
  <c r="L4269" i="2"/>
  <c r="N4247" i="2"/>
  <c r="L4247" i="2"/>
  <c r="M4247" i="2"/>
  <c r="N4232" i="2"/>
  <c r="L4232" i="2"/>
  <c r="M4232" i="2"/>
  <c r="N4212" i="2"/>
  <c r="M4212" i="2"/>
  <c r="L4212" i="2"/>
  <c r="L4188" i="2"/>
  <c r="M4188" i="2"/>
  <c r="N4188" i="2"/>
  <c r="N4176" i="2"/>
  <c r="L4176" i="2"/>
  <c r="M4176" i="2"/>
  <c r="M4154" i="2"/>
  <c r="L4154" i="2"/>
  <c r="N4154" i="2"/>
  <c r="N4144" i="2"/>
  <c r="L4144" i="2"/>
  <c r="M4144" i="2"/>
  <c r="N4125" i="2"/>
  <c r="M4125" i="2"/>
  <c r="L4125" i="2"/>
  <c r="N4096" i="2"/>
  <c r="M4096" i="2"/>
  <c r="L4096" i="2"/>
  <c r="N674" i="2"/>
  <c r="M674" i="2"/>
  <c r="L674" i="2"/>
  <c r="M669" i="2"/>
  <c r="N669" i="2"/>
  <c r="L669" i="2"/>
  <c r="M4046" i="2"/>
  <c r="N4046" i="2"/>
  <c r="L4046" i="2"/>
  <c r="M4022" i="2"/>
  <c r="L4022" i="2"/>
  <c r="N4022" i="2"/>
  <c r="M3992" i="2"/>
  <c r="N3992" i="2"/>
  <c r="L3992" i="2"/>
  <c r="N3983" i="2"/>
  <c r="M3983" i="2"/>
  <c r="L3983" i="2"/>
  <c r="N3960" i="2"/>
  <c r="M3960" i="2"/>
  <c r="L3960" i="2"/>
  <c r="M3942" i="2"/>
  <c r="L3942" i="2"/>
  <c r="N3942" i="2"/>
  <c r="N3905" i="2"/>
  <c r="M3905" i="2"/>
  <c r="L3905" i="2"/>
  <c r="M3881" i="2"/>
  <c r="L3881" i="2"/>
  <c r="N3881" i="2"/>
  <c r="N629" i="2"/>
  <c r="M629" i="2"/>
  <c r="L629" i="2"/>
  <c r="L3839" i="2"/>
  <c r="M3839" i="2"/>
  <c r="N3839" i="2"/>
  <c r="L3813" i="2"/>
  <c r="N3813" i="2"/>
  <c r="M3813" i="2"/>
  <c r="N3785" i="2"/>
  <c r="M3785" i="2"/>
  <c r="L3785" i="2"/>
  <c r="L621" i="2"/>
  <c r="M621" i="2"/>
  <c r="N621" i="2"/>
  <c r="L3755" i="2"/>
  <c r="N3755" i="2"/>
  <c r="M3755" i="2"/>
  <c r="N3722" i="2"/>
  <c r="M3722" i="2"/>
  <c r="L3722" i="2"/>
  <c r="N3705" i="2"/>
  <c r="M3705" i="2"/>
  <c r="M3690" i="2"/>
  <c r="N3690" i="2"/>
  <c r="L3690" i="2"/>
  <c r="N3660" i="2"/>
  <c r="L3660" i="2"/>
  <c r="N3648" i="2"/>
  <c r="M3648" i="2"/>
  <c r="L3648" i="2"/>
  <c r="N3632" i="2"/>
  <c r="L3632" i="2"/>
  <c r="M3632" i="2"/>
  <c r="M3625" i="2"/>
  <c r="L3625" i="2"/>
  <c r="N3625" i="2"/>
  <c r="N3607" i="2"/>
  <c r="M3607" i="2"/>
  <c r="L3607" i="2"/>
  <c r="N3588" i="2"/>
  <c r="L3588" i="2"/>
  <c r="M3588" i="2"/>
  <c r="N3562" i="2"/>
  <c r="M3562" i="2"/>
  <c r="L3562" i="2"/>
  <c r="N3541" i="2"/>
  <c r="L3541" i="2"/>
  <c r="M3541" i="2"/>
  <c r="N3531" i="2"/>
  <c r="L3531" i="2"/>
  <c r="L3511" i="2"/>
  <c r="N3511" i="2"/>
  <c r="M3511" i="2"/>
  <c r="N3488" i="2"/>
  <c r="M3488" i="2"/>
  <c r="L3488" i="2"/>
  <c r="L3467" i="2"/>
  <c r="N3467" i="2"/>
  <c r="M3467" i="2"/>
  <c r="L3453" i="2"/>
  <c r="N3453" i="2"/>
  <c r="M3453" i="2"/>
  <c r="M3439" i="2"/>
  <c r="L3439" i="2"/>
  <c r="N3439" i="2"/>
  <c r="N3415" i="2"/>
  <c r="M3415" i="2"/>
  <c r="L3415" i="2"/>
  <c r="N3400" i="2"/>
  <c r="M3400" i="2"/>
  <c r="L3400" i="2"/>
  <c r="N3379" i="2"/>
  <c r="L3379" i="2"/>
  <c r="M3379" i="2"/>
  <c r="N3337" i="2"/>
  <c r="M3337" i="2"/>
  <c r="L3337" i="2"/>
  <c r="L3321" i="2"/>
  <c r="M3321" i="2"/>
  <c r="N3321" i="2"/>
  <c r="N3311" i="2"/>
  <c r="M3311" i="2"/>
  <c r="L3311" i="2"/>
  <c r="N3299" i="2"/>
  <c r="L3299" i="2"/>
  <c r="M3299" i="2"/>
  <c r="N530" i="2"/>
  <c r="L530" i="2"/>
  <c r="M530" i="2"/>
  <c r="N3276" i="2"/>
  <c r="M3276" i="2"/>
  <c r="L3276" i="2"/>
  <c r="L3256" i="2"/>
  <c r="M3256" i="2"/>
  <c r="N3256" i="2"/>
  <c r="L3218" i="2"/>
  <c r="N3218" i="2"/>
  <c r="M3218" i="2"/>
  <c r="N3203" i="2"/>
  <c r="L3203" i="2"/>
  <c r="M3203" i="2"/>
  <c r="L3184" i="2"/>
  <c r="M3184" i="2"/>
  <c r="N3184" i="2"/>
  <c r="M3169" i="2"/>
  <c r="L3169" i="2"/>
  <c r="N3169" i="2"/>
  <c r="L3149" i="2"/>
  <c r="M3149" i="2"/>
  <c r="N3149" i="2"/>
  <c r="L3128" i="2"/>
  <c r="N3128" i="2"/>
  <c r="M3128" i="2"/>
  <c r="N3108" i="2"/>
  <c r="M3108" i="2"/>
  <c r="L3108" i="2"/>
  <c r="N3096" i="2"/>
  <c r="L3096" i="2"/>
  <c r="M3096" i="2"/>
  <c r="N3081" i="2"/>
  <c r="L3081" i="2"/>
  <c r="M3081" i="2"/>
  <c r="N3042" i="2"/>
  <c r="L3042" i="2"/>
  <c r="M3042" i="2"/>
  <c r="L3001" i="2"/>
  <c r="N3001" i="2"/>
  <c r="M3001" i="2"/>
  <c r="N2983" i="2"/>
  <c r="M2983" i="2"/>
  <c r="L2983" i="2"/>
  <c r="M2957" i="2"/>
  <c r="N2957" i="2"/>
  <c r="L2957" i="2"/>
  <c r="N2938" i="2"/>
  <c r="M2938" i="2"/>
  <c r="L2938" i="2"/>
  <c r="M2909" i="2"/>
  <c r="N2909" i="2"/>
  <c r="L2909" i="2"/>
  <c r="M2886" i="2"/>
  <c r="L2886" i="2"/>
  <c r="N2886" i="2"/>
  <c r="M2864" i="2"/>
  <c r="N2864" i="2"/>
  <c r="L2864" i="2"/>
  <c r="M2838" i="2"/>
  <c r="L2838" i="2"/>
  <c r="N2838" i="2"/>
  <c r="M2828" i="2"/>
  <c r="L2828" i="2"/>
  <c r="N2828" i="2"/>
  <c r="L2818" i="2"/>
  <c r="M2818" i="2"/>
  <c r="N2818" i="2"/>
  <c r="M2789" i="2"/>
  <c r="N2789" i="2"/>
  <c r="L2789" i="2"/>
  <c r="L2767" i="2"/>
  <c r="M2767" i="2"/>
  <c r="N2767" i="2"/>
  <c r="N2731" i="2"/>
  <c r="L2731" i="2"/>
  <c r="M2731" i="2"/>
  <c r="M2713" i="2"/>
  <c r="N2713" i="2"/>
  <c r="L2713" i="2"/>
  <c r="L2694" i="2"/>
  <c r="N2694" i="2"/>
  <c r="M2694" i="2"/>
  <c r="L2683" i="2"/>
  <c r="N2683" i="2"/>
  <c r="M2683" i="2"/>
  <c r="M2672" i="2"/>
  <c r="N2672" i="2"/>
  <c r="L2672" i="2"/>
  <c r="N2651" i="2"/>
  <c r="M2651" i="2"/>
  <c r="L2651" i="2"/>
  <c r="L2627" i="2"/>
  <c r="N2627" i="2"/>
  <c r="M2627" i="2"/>
  <c r="N2565" i="2"/>
  <c r="M2565" i="2"/>
  <c r="L2565" i="2"/>
  <c r="M2537" i="2"/>
  <c r="N2537" i="2"/>
  <c r="L2537" i="2"/>
  <c r="L2471" i="2"/>
  <c r="N2471" i="2"/>
  <c r="M2471" i="2"/>
  <c r="L2447" i="2"/>
  <c r="N2447" i="2"/>
  <c r="M2447" i="2"/>
  <c r="L2423" i="2"/>
  <c r="N2423" i="2"/>
  <c r="M2423" i="2"/>
  <c r="N2331" i="2"/>
  <c r="M2331" i="2"/>
  <c r="L2331" i="2"/>
  <c r="L1001" i="2"/>
  <c r="L3143" i="2"/>
  <c r="M3240" i="2"/>
  <c r="L3507" i="2"/>
  <c r="M3603" i="2"/>
  <c r="M5053" i="2"/>
  <c r="M5256" i="2"/>
  <c r="M1100" i="2"/>
  <c r="N4826" i="2"/>
  <c r="M832" i="2"/>
  <c r="M1001" i="2"/>
  <c r="L1305" i="2"/>
  <c r="M3143" i="2"/>
  <c r="N5256" i="2"/>
  <c r="L3534" i="2"/>
  <c r="M5549" i="2"/>
  <c r="L760" i="2"/>
  <c r="L4986" i="2"/>
  <c r="L5029" i="2"/>
  <c r="L1963" i="2"/>
  <c r="M2032" i="2"/>
  <c r="N5549" i="2"/>
  <c r="M948" i="2"/>
  <c r="N1167" i="2"/>
  <c r="L3826" i="2"/>
  <c r="N760" i="2"/>
  <c r="M4986" i="2"/>
  <c r="N5164" i="2"/>
  <c r="L997" i="2"/>
  <c r="N2964" i="2"/>
  <c r="L3132" i="2"/>
  <c r="L4770" i="2"/>
  <c r="L1049" i="2"/>
  <c r="M1148" i="2"/>
  <c r="L1739" i="2"/>
  <c r="L2366" i="2"/>
  <c r="N2397" i="2"/>
  <c r="M3224" i="2"/>
  <c r="M3556" i="2"/>
  <c r="M591" i="2"/>
  <c r="M3807" i="2"/>
  <c r="M3826" i="2"/>
  <c r="M645" i="2"/>
  <c r="L4436" i="2"/>
  <c r="M997" i="2"/>
  <c r="M3132" i="2"/>
  <c r="M4770" i="2"/>
  <c r="N5204" i="2"/>
  <c r="N277" i="2"/>
  <c r="M277" i="2"/>
  <c r="L277" i="2"/>
  <c r="L5420" i="2"/>
  <c r="N5420" i="2"/>
  <c r="M5420" i="2"/>
  <c r="N5387" i="2"/>
  <c r="M5387" i="2"/>
  <c r="L5387" i="2"/>
  <c r="N5304" i="2"/>
  <c r="M5304" i="2"/>
  <c r="L5304" i="2"/>
  <c r="N5293" i="2"/>
  <c r="M5293" i="2"/>
  <c r="L5293" i="2"/>
  <c r="L5241" i="2"/>
  <c r="N5241" i="2"/>
  <c r="M5241" i="2"/>
  <c r="N5196" i="2"/>
  <c r="M5196" i="2"/>
  <c r="L5196" i="2"/>
  <c r="N5155" i="2"/>
  <c r="M5155" i="2"/>
  <c r="L5155" i="2"/>
  <c r="N5115" i="2"/>
  <c r="M5115" i="2"/>
  <c r="L5115" i="2"/>
  <c r="L5105" i="2"/>
  <c r="N5105" i="2"/>
  <c r="M5105" i="2"/>
  <c r="N5023" i="2"/>
  <c r="M5023" i="2"/>
  <c r="L5023" i="2"/>
  <c r="N4978" i="2"/>
  <c r="M4978" i="2"/>
  <c r="L4978" i="2"/>
  <c r="M4930" i="2"/>
  <c r="L4930" i="2"/>
  <c r="N4921" i="2"/>
  <c r="M4921" i="2"/>
  <c r="M83" i="2"/>
  <c r="L83" i="2"/>
  <c r="N83" i="2"/>
  <c r="L4783" i="2"/>
  <c r="N4783" i="2"/>
  <c r="M4783" i="2"/>
  <c r="N4757" i="2"/>
  <c r="L4757" i="2"/>
  <c r="L4720" i="2"/>
  <c r="N4720" i="2"/>
  <c r="M4720" i="2"/>
  <c r="L22" i="2"/>
  <c r="M22" i="2"/>
  <c r="N22" i="2"/>
  <c r="N4658" i="2"/>
  <c r="M4658" i="2"/>
  <c r="L4658" i="2"/>
  <c r="N4614" i="2"/>
  <c r="L4614" i="2"/>
  <c r="N4587" i="2"/>
  <c r="L4587" i="2"/>
  <c r="M4587" i="2"/>
  <c r="L4557" i="2"/>
  <c r="N4557" i="2"/>
  <c r="M4557" i="2"/>
  <c r="L4542" i="2"/>
  <c r="M4542" i="2"/>
  <c r="N4510" i="2"/>
  <c r="L4510" i="2"/>
  <c r="M4510" i="2"/>
  <c r="L4471" i="2"/>
  <c r="N4471" i="2"/>
  <c r="M4471" i="2"/>
  <c r="N4413" i="2"/>
  <c r="M4413" i="2"/>
  <c r="L4413" i="2"/>
  <c r="N750" i="2"/>
  <c r="L750" i="2"/>
  <c r="M750" i="2"/>
  <c r="M4276" i="2"/>
  <c r="L4276" i="2"/>
  <c r="L4243" i="2"/>
  <c r="N4243" i="2"/>
  <c r="M4243" i="2"/>
  <c r="L4218" i="2"/>
  <c r="N4218" i="2"/>
  <c r="L4183" i="2"/>
  <c r="N4183" i="2"/>
  <c r="M4183" i="2"/>
  <c r="N4168" i="2"/>
  <c r="M4168" i="2"/>
  <c r="L4168" i="2"/>
  <c r="M4147" i="2"/>
  <c r="L4147" i="2"/>
  <c r="N4124" i="2"/>
  <c r="M4124" i="2"/>
  <c r="L4124" i="2"/>
  <c r="L4082" i="2"/>
  <c r="N4082" i="2"/>
  <c r="M4082" i="2"/>
  <c r="M4069" i="2"/>
  <c r="L4069" i="2"/>
  <c r="M659" i="2"/>
  <c r="L659" i="2"/>
  <c r="N3965" i="2"/>
  <c r="M3965" i="2"/>
  <c r="L3965" i="2"/>
  <c r="N3935" i="2"/>
  <c r="M3935" i="2"/>
  <c r="L3935" i="2"/>
  <c r="N3927" i="2"/>
  <c r="L3927" i="2"/>
  <c r="M3887" i="2"/>
  <c r="L3887" i="2"/>
  <c r="N3887" i="2"/>
  <c r="N3832" i="2"/>
  <c r="M3832" i="2"/>
  <c r="L3832" i="2"/>
  <c r="L3819" i="2"/>
  <c r="N3819" i="2"/>
  <c r="M3819" i="2"/>
  <c r="N3791" i="2"/>
  <c r="L3791" i="2"/>
  <c r="L3773" i="2"/>
  <c r="M3773" i="2"/>
  <c r="N3773" i="2"/>
  <c r="N3738" i="2"/>
  <c r="M3738" i="2"/>
  <c r="L3738" i="2"/>
  <c r="L3726" i="2"/>
  <c r="N3726" i="2"/>
  <c r="M3726" i="2"/>
  <c r="N610" i="2"/>
  <c r="L610" i="2"/>
  <c r="M610" i="2"/>
  <c r="L3676" i="2"/>
  <c r="M3676" i="2"/>
  <c r="N3676" i="2"/>
  <c r="L3630" i="2"/>
  <c r="N3630" i="2"/>
  <c r="M3630" i="2"/>
  <c r="N3595" i="2"/>
  <c r="M3595" i="2"/>
  <c r="L3595" i="2"/>
  <c r="N3570" i="2"/>
  <c r="L3570" i="2"/>
  <c r="M3570" i="2"/>
  <c r="N3474" i="2"/>
  <c r="L3474" i="2"/>
  <c r="M3474" i="2"/>
  <c r="L3433" i="2"/>
  <c r="N3433" i="2"/>
  <c r="N3380" i="2"/>
  <c r="M3380" i="2"/>
  <c r="L3380" i="2"/>
  <c r="L3368" i="2"/>
  <c r="N3368" i="2"/>
  <c r="L3318" i="2"/>
  <c r="N3318" i="2"/>
  <c r="M3318" i="2"/>
  <c r="N3235" i="2"/>
  <c r="M3235" i="2"/>
  <c r="L3235" i="2"/>
  <c r="N3182" i="2"/>
  <c r="L3182" i="2"/>
  <c r="N3114" i="2"/>
  <c r="L3114" i="2"/>
  <c r="M3114" i="2"/>
  <c r="M2977" i="2"/>
  <c r="L2977" i="2"/>
  <c r="N2977" i="2"/>
  <c r="N2904" i="2"/>
  <c r="M2904" i="2"/>
  <c r="L2904" i="2"/>
  <c r="N2891" i="2"/>
  <c r="L2891" i="2"/>
  <c r="M2891" i="2"/>
  <c r="N2858" i="2"/>
  <c r="M2858" i="2"/>
  <c r="L2858" i="2"/>
  <c r="N2822" i="2"/>
  <c r="L2822" i="2"/>
  <c r="M2822" i="2"/>
  <c r="M2797" i="2"/>
  <c r="L2797" i="2"/>
  <c r="N2797" i="2"/>
  <c r="N2775" i="2"/>
  <c r="M2775" i="2"/>
  <c r="N2718" i="2"/>
  <c r="M2718" i="2"/>
  <c r="L2718" i="2"/>
  <c r="L2704" i="2"/>
  <c r="N2704" i="2"/>
  <c r="M2704" i="2"/>
  <c r="L2657" i="2"/>
  <c r="M2657" i="2"/>
  <c r="L2621" i="2"/>
  <c r="N2621" i="2"/>
  <c r="L2595" i="2"/>
  <c r="M2595" i="2"/>
  <c r="L2554" i="2"/>
  <c r="N2554" i="2"/>
  <c r="M2554" i="2"/>
  <c r="M2524" i="2"/>
  <c r="L2524" i="2"/>
  <c r="N2524" i="2"/>
  <c r="N2501" i="2"/>
  <c r="L2501" i="2"/>
  <c r="M2501" i="2"/>
  <c r="N2481" i="2"/>
  <c r="L2481" i="2"/>
  <c r="M2481" i="2"/>
  <c r="N2451" i="2"/>
  <c r="M2451" i="2"/>
  <c r="L2451" i="2"/>
  <c r="N2420" i="2"/>
  <c r="L2420" i="2"/>
  <c r="L2337" i="2"/>
  <c r="N2337" i="2"/>
  <c r="M2337" i="2"/>
  <c r="N2295" i="2"/>
  <c r="L2295" i="2"/>
  <c r="M2295" i="2"/>
  <c r="N2272" i="2"/>
  <c r="M2272" i="2"/>
  <c r="L2272" i="2"/>
  <c r="N2241" i="2"/>
  <c r="M2241" i="2"/>
  <c r="L2241" i="2"/>
  <c r="N2215" i="2"/>
  <c r="M2215" i="2"/>
  <c r="L2215" i="2"/>
  <c r="N2188" i="2"/>
  <c r="L2188" i="2"/>
  <c r="M2188" i="2"/>
  <c r="L2162" i="2"/>
  <c r="M2162" i="2"/>
  <c r="N2113" i="2"/>
  <c r="M2113" i="2"/>
  <c r="L2113" i="2"/>
  <c r="N2080" i="2"/>
  <c r="L2080" i="2"/>
  <c r="M2040" i="2"/>
  <c r="N2040" i="2"/>
  <c r="L2040" i="2"/>
  <c r="N1900" i="2"/>
  <c r="M1900" i="2"/>
  <c r="N386" i="2"/>
  <c r="L386" i="2"/>
  <c r="M386" i="2"/>
  <c r="L1531" i="2"/>
  <c r="N1531" i="2"/>
  <c r="M1531" i="2"/>
  <c r="N1485" i="2"/>
  <c r="M1485" i="2"/>
  <c r="L1485" i="2"/>
  <c r="N1375" i="2"/>
  <c r="M1375" i="2"/>
  <c r="L1375" i="2"/>
  <c r="L1300" i="2"/>
  <c r="N1300" i="2"/>
  <c r="M1300" i="2"/>
  <c r="N1210" i="2"/>
  <c r="M1210" i="2"/>
  <c r="L1210" i="2"/>
  <c r="N1161" i="2"/>
  <c r="M1161" i="2"/>
  <c r="N1084" i="2"/>
  <c r="L1084" i="2"/>
  <c r="M1084" i="2"/>
  <c r="N1063" i="2"/>
  <c r="M1063" i="2"/>
  <c r="L1063" i="2"/>
  <c r="N1018" i="2"/>
  <c r="L1018" i="2"/>
  <c r="M1018" i="2"/>
  <c r="L926" i="2"/>
  <c r="N926" i="2"/>
  <c r="M926" i="2"/>
  <c r="N866" i="2"/>
  <c r="M866" i="2"/>
  <c r="N847" i="2"/>
  <c r="M847" i="2"/>
  <c r="L847" i="2"/>
  <c r="N465" i="2"/>
  <c r="M3268" i="2"/>
  <c r="L5078" i="2"/>
  <c r="M191" i="2"/>
  <c r="M2693" i="2"/>
  <c r="N3360" i="2"/>
  <c r="L3393" i="2"/>
  <c r="L3930" i="2"/>
  <c r="N272" i="2"/>
  <c r="M272" i="2"/>
  <c r="L272" i="2"/>
  <c r="N5499" i="2"/>
  <c r="L5499" i="2"/>
  <c r="M5499" i="2"/>
  <c r="N5493" i="2"/>
  <c r="L5493" i="2"/>
  <c r="M5493" i="2"/>
  <c r="N5478" i="2"/>
  <c r="M5478" i="2"/>
  <c r="L5478" i="2"/>
  <c r="N5465" i="2"/>
  <c r="M5465" i="2"/>
  <c r="L5465" i="2"/>
  <c r="N5441" i="2"/>
  <c r="L5441" i="2"/>
  <c r="M5441" i="2"/>
  <c r="N5423" i="2"/>
  <c r="M5423" i="2"/>
  <c r="L5423" i="2"/>
  <c r="N5402" i="2"/>
  <c r="M5402" i="2"/>
  <c r="L5402" i="2"/>
  <c r="N5384" i="2"/>
  <c r="M5384" i="2"/>
  <c r="L5384" i="2"/>
  <c r="N5362" i="2"/>
  <c r="M5362" i="2"/>
  <c r="L5362" i="2"/>
  <c r="L5316" i="2"/>
  <c r="N5316" i="2"/>
  <c r="M5316" i="2"/>
  <c r="N5266" i="2"/>
  <c r="M5266" i="2"/>
  <c r="L5266" i="2"/>
  <c r="M206" i="2"/>
  <c r="N206" i="2"/>
  <c r="L206" i="2"/>
  <c r="N5228" i="2"/>
  <c r="M5228" i="2"/>
  <c r="L5228" i="2"/>
  <c r="N5209" i="2"/>
  <c r="L5209" i="2"/>
  <c r="M5209" i="2"/>
  <c r="M5190" i="2"/>
  <c r="N5190" i="2"/>
  <c r="L5190" i="2"/>
  <c r="M166" i="2"/>
  <c r="N166" i="2"/>
  <c r="L166" i="2"/>
  <c r="N5108" i="2"/>
  <c r="M5108" i="2"/>
  <c r="L5108" i="2"/>
  <c r="N5091" i="2"/>
  <c r="M5091" i="2"/>
  <c r="L5091" i="2"/>
  <c r="N142" i="2"/>
  <c r="M142" i="2"/>
  <c r="L142" i="2"/>
  <c r="M133" i="2"/>
  <c r="L133" i="2"/>
  <c r="N133" i="2"/>
  <c r="N5032" i="2"/>
  <c r="M5032" i="2"/>
  <c r="L5032" i="2"/>
  <c r="M5020" i="2"/>
  <c r="L5020" i="2"/>
  <c r="N5020" i="2"/>
  <c r="N4993" i="2"/>
  <c r="L4993" i="2"/>
  <c r="M4993" i="2"/>
  <c r="L4960" i="2"/>
  <c r="N4960" i="2"/>
  <c r="M4960" i="2"/>
  <c r="L4941" i="2"/>
  <c r="N4941" i="2"/>
  <c r="M4941" i="2"/>
  <c r="N4912" i="2"/>
  <c r="L4912" i="2"/>
  <c r="M4912" i="2"/>
  <c r="N4895" i="2"/>
  <c r="M4895" i="2"/>
  <c r="L4895" i="2"/>
  <c r="L4821" i="2"/>
  <c r="N4821" i="2"/>
  <c r="M4821" i="2"/>
  <c r="N4800" i="2"/>
  <c r="L4800" i="2"/>
  <c r="M4800" i="2"/>
  <c r="L4778" i="2"/>
  <c r="N4778" i="2"/>
  <c r="M4778" i="2"/>
  <c r="L4750" i="2"/>
  <c r="N4750" i="2"/>
  <c r="M4750" i="2"/>
  <c r="L4726" i="2"/>
  <c r="M4726" i="2"/>
  <c r="N4726" i="2"/>
  <c r="N4692" i="2"/>
  <c r="M4692" i="2"/>
  <c r="L4692" i="2"/>
  <c r="N4678" i="2"/>
  <c r="M4678" i="2"/>
  <c r="L4678" i="2"/>
  <c r="N4665" i="2"/>
  <c r="M4665" i="2"/>
  <c r="L4665" i="2"/>
  <c r="N321" i="2"/>
  <c r="M321" i="2"/>
  <c r="L321" i="2"/>
  <c r="N4610" i="2"/>
  <c r="M4610" i="2"/>
  <c r="L4610" i="2"/>
  <c r="N4588" i="2"/>
  <c r="L4588" i="2"/>
  <c r="M4588" i="2"/>
  <c r="N4564" i="2"/>
  <c r="M4564" i="2"/>
  <c r="L4564" i="2"/>
  <c r="L4547" i="2"/>
  <c r="M4547" i="2"/>
  <c r="N4547" i="2"/>
  <c r="N4532" i="2"/>
  <c r="M4532" i="2"/>
  <c r="L4532" i="2"/>
  <c r="N4494" i="2"/>
  <c r="M4494" i="2"/>
  <c r="L4494" i="2"/>
  <c r="N4479" i="2"/>
  <c r="M4479" i="2"/>
  <c r="L4479" i="2"/>
  <c r="N4455" i="2"/>
  <c r="M4455" i="2"/>
  <c r="L4455" i="2"/>
  <c r="N4442" i="2"/>
  <c r="M4442" i="2"/>
  <c r="L4442" i="2"/>
  <c r="L756" i="2"/>
  <c r="N756" i="2"/>
  <c r="M756" i="2"/>
  <c r="L4387" i="2"/>
  <c r="N4387" i="2"/>
  <c r="M4387" i="2"/>
  <c r="L4372" i="2"/>
  <c r="N4372" i="2"/>
  <c r="M4372" i="2"/>
  <c r="N4351" i="2"/>
  <c r="L4351" i="2"/>
  <c r="M4351" i="2"/>
  <c r="M4332" i="2"/>
  <c r="L4332" i="2"/>
  <c r="N4332" i="2"/>
  <c r="N4311" i="2"/>
  <c r="M4311" i="2"/>
  <c r="L4311" i="2"/>
  <c r="N719" i="2"/>
  <c r="L719" i="2"/>
  <c r="M719" i="2"/>
  <c r="M4245" i="2"/>
  <c r="N4245" i="2"/>
  <c r="L4245" i="2"/>
  <c r="M4201" i="2"/>
  <c r="L4201" i="2"/>
  <c r="N4201" i="2"/>
  <c r="N4179" i="2"/>
  <c r="M4179" i="2"/>
  <c r="L4179" i="2"/>
  <c r="N4151" i="2"/>
  <c r="M4151" i="2"/>
  <c r="L4151" i="2"/>
  <c r="N4143" i="2"/>
  <c r="M4143" i="2"/>
  <c r="L4143" i="2"/>
  <c r="L4115" i="2"/>
  <c r="N4115" i="2"/>
  <c r="M4115" i="2"/>
  <c r="N4090" i="2"/>
  <c r="M4090" i="2"/>
  <c r="L4090" i="2"/>
  <c r="L4072" i="2"/>
  <c r="N4072" i="2"/>
  <c r="M4072" i="2"/>
  <c r="L4048" i="2"/>
  <c r="N4048" i="2"/>
  <c r="M4048" i="2"/>
  <c r="N4020" i="2"/>
  <c r="M4020" i="2"/>
  <c r="L4020" i="2"/>
  <c r="N3957" i="2"/>
  <c r="M3957" i="2"/>
  <c r="L3957" i="2"/>
  <c r="N3944" i="2"/>
  <c r="M3944" i="2"/>
  <c r="L3944" i="2"/>
  <c r="N3906" i="2"/>
  <c r="M3906" i="2"/>
  <c r="L3906" i="2"/>
  <c r="M3883" i="2"/>
  <c r="L3883" i="2"/>
  <c r="N3883" i="2"/>
  <c r="L3862" i="2"/>
  <c r="N3862" i="2"/>
  <c r="M3862" i="2"/>
  <c r="L3837" i="2"/>
  <c r="N3837" i="2"/>
  <c r="M3837" i="2"/>
  <c r="M3810" i="2"/>
  <c r="L3810" i="2"/>
  <c r="N3810" i="2"/>
  <c r="N3778" i="2"/>
  <c r="L3778" i="2"/>
  <c r="M3778" i="2"/>
  <c r="N3757" i="2"/>
  <c r="M3757" i="2"/>
  <c r="L3757" i="2"/>
  <c r="N3719" i="2"/>
  <c r="M3719" i="2"/>
  <c r="L3719" i="2"/>
  <c r="N3704" i="2"/>
  <c r="M3704" i="2"/>
  <c r="L3704" i="2"/>
  <c r="N3685" i="2"/>
  <c r="M3685" i="2"/>
  <c r="L3685" i="2"/>
  <c r="L3658" i="2"/>
  <c r="N3658" i="2"/>
  <c r="M3658" i="2"/>
  <c r="N3636" i="2"/>
  <c r="M3636" i="2"/>
  <c r="L3636" i="2"/>
  <c r="N3624" i="2"/>
  <c r="M3624" i="2"/>
  <c r="L3624" i="2"/>
  <c r="N3605" i="2"/>
  <c r="L3605" i="2"/>
  <c r="M3605" i="2"/>
  <c r="L3564" i="2"/>
  <c r="N3564" i="2"/>
  <c r="M3564" i="2"/>
  <c r="L3544" i="2"/>
  <c r="N3544" i="2"/>
  <c r="M3544" i="2"/>
  <c r="L3530" i="2"/>
  <c r="N3530" i="2"/>
  <c r="M3530" i="2"/>
  <c r="N3509" i="2"/>
  <c r="L3509" i="2"/>
  <c r="M3509" i="2"/>
  <c r="L3490" i="2"/>
  <c r="N3490" i="2"/>
  <c r="M3490" i="2"/>
  <c r="N3472" i="2"/>
  <c r="M3472" i="2"/>
  <c r="L3472" i="2"/>
  <c r="M566" i="2"/>
  <c r="L566" i="2"/>
  <c r="N566" i="2"/>
  <c r="L3444" i="2"/>
  <c r="N3444" i="2"/>
  <c r="M3444" i="2"/>
  <c r="N3425" i="2"/>
  <c r="M3425" i="2"/>
  <c r="L3425" i="2"/>
  <c r="N553" i="2"/>
  <c r="M553" i="2"/>
  <c r="L553" i="2"/>
  <c r="L3378" i="2"/>
  <c r="N3378" i="2"/>
  <c r="M3378" i="2"/>
  <c r="L3338" i="2"/>
  <c r="N3338" i="2"/>
  <c r="M3338" i="2"/>
  <c r="N3324" i="2"/>
  <c r="M3324" i="2"/>
  <c r="L3324" i="2"/>
  <c r="N3302" i="2"/>
  <c r="M3302" i="2"/>
  <c r="L3302" i="2"/>
  <c r="L3285" i="2"/>
  <c r="N3285" i="2"/>
  <c r="M3285" i="2"/>
  <c r="L3274" i="2"/>
  <c r="N3274" i="2"/>
  <c r="M3274" i="2"/>
  <c r="N3243" i="2"/>
  <c r="M3243" i="2"/>
  <c r="L3243" i="2"/>
  <c r="L3230" i="2"/>
  <c r="N3230" i="2"/>
  <c r="M3230" i="2"/>
  <c r="N3217" i="2"/>
  <c r="M3217" i="2"/>
  <c r="L3217" i="2"/>
  <c r="N3206" i="2"/>
  <c r="M3206" i="2"/>
  <c r="L3206" i="2"/>
  <c r="M3176" i="2"/>
  <c r="L3176" i="2"/>
  <c r="N3176" i="2"/>
  <c r="N3161" i="2"/>
  <c r="M3161" i="2"/>
  <c r="L3161" i="2"/>
  <c r="N3141" i="2"/>
  <c r="M3141" i="2"/>
  <c r="L3141" i="2"/>
  <c r="M3115" i="2"/>
  <c r="L3115" i="2"/>
  <c r="N3115" i="2"/>
  <c r="N3104" i="2"/>
  <c r="M3104" i="2"/>
  <c r="L3104" i="2"/>
  <c r="M3091" i="2"/>
  <c r="N3091" i="2"/>
  <c r="L3091" i="2"/>
  <c r="N3070" i="2"/>
  <c r="M3070" i="2"/>
  <c r="L3070" i="2"/>
  <c r="N3052" i="2"/>
  <c r="M3052" i="2"/>
  <c r="L3052" i="2"/>
  <c r="M3027" i="2"/>
  <c r="L3027" i="2"/>
  <c r="N3027" i="2"/>
  <c r="N3014" i="2"/>
  <c r="M3014" i="2"/>
  <c r="L3014" i="2"/>
  <c r="M3004" i="2"/>
  <c r="N3004" i="2"/>
  <c r="L3004" i="2"/>
  <c r="N2979" i="2"/>
  <c r="L2979" i="2"/>
  <c r="M2979" i="2"/>
  <c r="M2958" i="2"/>
  <c r="L2958" i="2"/>
  <c r="N2958" i="2"/>
  <c r="N2937" i="2"/>
  <c r="M2937" i="2"/>
  <c r="L2937" i="2"/>
  <c r="N2901" i="2"/>
  <c r="M2901" i="2"/>
  <c r="L2901" i="2"/>
  <c r="N2870" i="2"/>
  <c r="L2870" i="2"/>
  <c r="M2870" i="2"/>
  <c r="M2866" i="2"/>
  <c r="L2866" i="2"/>
  <c r="N2866" i="2"/>
  <c r="N2842" i="2"/>
  <c r="M2842" i="2"/>
  <c r="L2842" i="2"/>
  <c r="N2832" i="2"/>
  <c r="M2832" i="2"/>
  <c r="L2832" i="2"/>
  <c r="N2817" i="2"/>
  <c r="L2817" i="2"/>
  <c r="M2817" i="2"/>
  <c r="N2791" i="2"/>
  <c r="M2791" i="2"/>
  <c r="L2791" i="2"/>
  <c r="N2771" i="2"/>
  <c r="M2771" i="2"/>
  <c r="L2771" i="2"/>
  <c r="L2757" i="2"/>
  <c r="N2757" i="2"/>
  <c r="M2757" i="2"/>
  <c r="N2734" i="2"/>
  <c r="M2734" i="2"/>
  <c r="L2734" i="2"/>
  <c r="N2707" i="2"/>
  <c r="L2707" i="2"/>
  <c r="M2707" i="2"/>
  <c r="N2679" i="2"/>
  <c r="L2679" i="2"/>
  <c r="M2679" i="2"/>
  <c r="N2669" i="2"/>
  <c r="M2669" i="2"/>
  <c r="L2669" i="2"/>
  <c r="N2649" i="2"/>
  <c r="M2649" i="2"/>
  <c r="L2649" i="2"/>
  <c r="N2626" i="2"/>
  <c r="M2626" i="2"/>
  <c r="L2626" i="2"/>
  <c r="N2591" i="2"/>
  <c r="M2591" i="2"/>
  <c r="L2591" i="2"/>
  <c r="N2563" i="2"/>
  <c r="M2563" i="2"/>
  <c r="L2563" i="2"/>
  <c r="N2536" i="2"/>
  <c r="M2536" i="2"/>
  <c r="L2536" i="2"/>
  <c r="M2476" i="2"/>
  <c r="L2476" i="2"/>
  <c r="N2476" i="2"/>
  <c r="N2445" i="2"/>
  <c r="M2445" i="2"/>
  <c r="L2445" i="2"/>
  <c r="M2425" i="2"/>
  <c r="N2425" i="2"/>
  <c r="L2425" i="2"/>
  <c r="L2391" i="2"/>
  <c r="M2391" i="2"/>
  <c r="N2391" i="2"/>
  <c r="L2373" i="2"/>
  <c r="N2373" i="2"/>
  <c r="M2373" i="2"/>
  <c r="N2357" i="2"/>
  <c r="M2357" i="2"/>
  <c r="L2357" i="2"/>
  <c r="N2327" i="2"/>
  <c r="M2327" i="2"/>
  <c r="L2327" i="2"/>
  <c r="M2310" i="2"/>
  <c r="L2310" i="2"/>
  <c r="N2310" i="2"/>
  <c r="N2301" i="2"/>
  <c r="M2301" i="2"/>
  <c r="L2301" i="2"/>
  <c r="N2284" i="2"/>
  <c r="M2284" i="2"/>
  <c r="L2284" i="2"/>
  <c r="N2267" i="2"/>
  <c r="M2267" i="2"/>
  <c r="L2267" i="2"/>
  <c r="N2247" i="2"/>
  <c r="M2247" i="2"/>
  <c r="L2247" i="2"/>
  <c r="M2222" i="2"/>
  <c r="N2222" i="2"/>
  <c r="L2222" i="2"/>
  <c r="M2194" i="2"/>
  <c r="L2194" i="2"/>
  <c r="N2194" i="2"/>
  <c r="N2171" i="2"/>
  <c r="L2171" i="2"/>
  <c r="M2171" i="2"/>
  <c r="L2146" i="2"/>
  <c r="M2146" i="2"/>
  <c r="N2146" i="2"/>
  <c r="L2124" i="2"/>
  <c r="M2124" i="2"/>
  <c r="N2124" i="2"/>
  <c r="L2107" i="2"/>
  <c r="M2107" i="2"/>
  <c r="N2107" i="2"/>
  <c r="N2084" i="2"/>
  <c r="L2084" i="2"/>
  <c r="M2084" i="2"/>
  <c r="N2062" i="2"/>
  <c r="L2062" i="2"/>
  <c r="M2062" i="2"/>
  <c r="L2043" i="2"/>
  <c r="N2043" i="2"/>
  <c r="M2043" i="2"/>
  <c r="N2025" i="2"/>
  <c r="L2025" i="2"/>
  <c r="M2025" i="2"/>
  <c r="M2012" i="2"/>
  <c r="L2012" i="2"/>
  <c r="N2012" i="2"/>
  <c r="N1999" i="2"/>
  <c r="M1999" i="2"/>
  <c r="L1999" i="2"/>
  <c r="L417" i="2"/>
  <c r="M417" i="2"/>
  <c r="N417" i="2"/>
  <c r="M1946" i="2"/>
  <c r="L1946" i="2"/>
  <c r="N1946" i="2"/>
  <c r="M1930" i="2"/>
  <c r="L1930" i="2"/>
  <c r="N1930" i="2"/>
  <c r="N1905" i="2"/>
  <c r="M1905" i="2"/>
  <c r="L1905" i="2"/>
  <c r="M1890" i="2"/>
  <c r="L1890" i="2"/>
  <c r="N1890" i="2"/>
  <c r="N1872" i="2"/>
  <c r="M1872" i="2"/>
  <c r="L1872" i="2"/>
  <c r="N1853" i="2"/>
  <c r="L1853" i="2"/>
  <c r="M1853" i="2"/>
  <c r="N1833" i="2"/>
  <c r="M1833" i="2"/>
  <c r="L1833" i="2"/>
  <c r="N1814" i="2"/>
  <c r="L1814" i="2"/>
  <c r="M1814" i="2"/>
  <c r="N1790" i="2"/>
  <c r="M1790" i="2"/>
  <c r="L1790" i="2"/>
  <c r="N1760" i="2"/>
  <c r="M1760" i="2"/>
  <c r="L1760" i="2"/>
  <c r="L1744" i="2"/>
  <c r="M1744" i="2"/>
  <c r="N1744" i="2"/>
  <c r="L1722" i="2"/>
  <c r="N1722" i="2"/>
  <c r="M1722" i="2"/>
  <c r="N1698" i="2"/>
  <c r="M1698" i="2"/>
  <c r="L1698" i="2"/>
  <c r="N1669" i="2"/>
  <c r="M1669" i="2"/>
  <c r="L1669" i="2"/>
  <c r="N1654" i="2"/>
  <c r="L1654" i="2"/>
  <c r="M1654" i="2"/>
  <c r="N1633" i="2"/>
  <c r="M1633" i="2"/>
  <c r="L1633" i="2"/>
  <c r="M1613" i="2"/>
  <c r="L1613" i="2"/>
  <c r="N1613" i="2"/>
  <c r="M1597" i="2"/>
  <c r="L1597" i="2"/>
  <c r="N1597" i="2"/>
  <c r="M1574" i="2"/>
  <c r="L1574" i="2"/>
  <c r="N1574" i="2"/>
  <c r="L1564" i="2"/>
  <c r="N1564" i="2"/>
  <c r="L1545" i="2"/>
  <c r="N1545" i="2"/>
  <c r="M1545" i="2"/>
  <c r="N1526" i="2"/>
  <c r="M1526" i="2"/>
  <c r="L1526" i="2"/>
  <c r="L1507" i="2"/>
  <c r="M1507" i="2"/>
  <c r="N1507" i="2"/>
  <c r="N1476" i="2"/>
  <c r="L1476" i="2"/>
  <c r="M1476" i="2"/>
  <c r="N1453" i="2"/>
  <c r="M1453" i="2"/>
  <c r="L1453" i="2"/>
  <c r="N1435" i="2"/>
  <c r="L1435" i="2"/>
  <c r="M1435" i="2"/>
  <c r="N1413" i="2"/>
  <c r="L1413" i="2"/>
  <c r="M1413" i="2"/>
  <c r="M1383" i="2"/>
  <c r="N1383" i="2"/>
  <c r="L1383" i="2"/>
  <c r="N1360" i="2"/>
  <c r="L1360" i="2"/>
  <c r="M1360" i="2"/>
  <c r="L1334" i="2"/>
  <c r="M1334" i="2"/>
  <c r="N1334" i="2"/>
  <c r="N1317" i="2"/>
  <c r="M1317" i="2"/>
  <c r="L1317" i="2"/>
  <c r="N1256" i="2"/>
  <c r="M1256" i="2"/>
  <c r="L1256" i="2"/>
  <c r="L1218" i="2"/>
  <c r="N1218" i="2"/>
  <c r="M1218" i="2"/>
  <c r="N1193" i="2"/>
  <c r="M1193" i="2"/>
  <c r="L1193" i="2"/>
  <c r="L1174" i="2"/>
  <c r="N1174" i="2"/>
  <c r="M1174" i="2"/>
  <c r="N1142" i="2"/>
  <c r="M1142" i="2"/>
  <c r="L1142" i="2"/>
  <c r="N1122" i="2"/>
  <c r="M1122" i="2"/>
  <c r="L1122" i="2"/>
  <c r="L1111" i="2"/>
  <c r="M1111" i="2"/>
  <c r="N1111" i="2"/>
  <c r="N1039" i="2"/>
  <c r="L1039" i="2"/>
  <c r="M1039" i="2"/>
  <c r="N1027" i="2"/>
  <c r="M1027" i="2"/>
  <c r="L1027" i="2"/>
  <c r="M1008" i="2"/>
  <c r="N1008" i="2"/>
  <c r="L1008" i="2"/>
  <c r="N991" i="2"/>
  <c r="L991" i="2"/>
  <c r="M991" i="2"/>
  <c r="L980" i="2"/>
  <c r="N980" i="2"/>
  <c r="M980" i="2"/>
  <c r="N975" i="2"/>
  <c r="M975" i="2"/>
  <c r="L975" i="2"/>
  <c r="N955" i="2"/>
  <c r="L955" i="2"/>
  <c r="M955" i="2"/>
  <c r="L924" i="2"/>
  <c r="N924" i="2"/>
  <c r="M924" i="2"/>
  <c r="L901" i="2"/>
  <c r="M901" i="2"/>
  <c r="N901" i="2"/>
  <c r="M867" i="2"/>
  <c r="L867" i="2"/>
  <c r="N867" i="2"/>
  <c r="L841" i="2"/>
  <c r="N841" i="2"/>
  <c r="M841" i="2"/>
  <c r="N825" i="2"/>
  <c r="M825" i="2"/>
  <c r="L825" i="2"/>
  <c r="L3603" i="2"/>
  <c r="L4813" i="2"/>
  <c r="L5053" i="2"/>
  <c r="M5078" i="2"/>
  <c r="M5182" i="2"/>
  <c r="L5514" i="2"/>
  <c r="L1100" i="2"/>
  <c r="N2693" i="2"/>
  <c r="N4002" i="2"/>
  <c r="N5286" i="2"/>
  <c r="N5528" i="2"/>
  <c r="M5528" i="2"/>
  <c r="L5528" i="2"/>
  <c r="N5508" i="2"/>
  <c r="M5508" i="2"/>
  <c r="L5508" i="2"/>
  <c r="M5492" i="2"/>
  <c r="L5492" i="2"/>
  <c r="N5492" i="2"/>
  <c r="M5462" i="2"/>
  <c r="L5462" i="2"/>
  <c r="N5462" i="2"/>
  <c r="N5426" i="2"/>
  <c r="L5426" i="2"/>
  <c r="M5426" i="2"/>
  <c r="M5392" i="2"/>
  <c r="N5392" i="2"/>
  <c r="L5392" i="2"/>
  <c r="M5376" i="2"/>
  <c r="N5376" i="2"/>
  <c r="L5376" i="2"/>
  <c r="M5327" i="2"/>
  <c r="L5327" i="2"/>
  <c r="N5327" i="2"/>
  <c r="N5277" i="2"/>
  <c r="L5277" i="2"/>
  <c r="M5277" i="2"/>
  <c r="N5262" i="2"/>
  <c r="M5262" i="2"/>
  <c r="L5262" i="2"/>
  <c r="M5226" i="2"/>
  <c r="L5226" i="2"/>
  <c r="N5226" i="2"/>
  <c r="M5177" i="2"/>
  <c r="L5177" i="2"/>
  <c r="N5177" i="2"/>
  <c r="M5120" i="2"/>
  <c r="L5120" i="2"/>
  <c r="N5120" i="2"/>
  <c r="N5102" i="2"/>
  <c r="M5102" i="2"/>
  <c r="L5102" i="2"/>
  <c r="N5082" i="2"/>
  <c r="M5082" i="2"/>
  <c r="L5082" i="2"/>
  <c r="N5036" i="2"/>
  <c r="M5036" i="2"/>
  <c r="L5036" i="2"/>
  <c r="N5006" i="2"/>
  <c r="M5006" i="2"/>
  <c r="L5006" i="2"/>
  <c r="N4994" i="2"/>
  <c r="L4994" i="2"/>
  <c r="M4994" i="2"/>
  <c r="N4963" i="2"/>
  <c r="L4963" i="2"/>
  <c r="M4963" i="2"/>
  <c r="N94" i="2"/>
  <c r="L94" i="2"/>
  <c r="M94" i="2"/>
  <c r="N4927" i="2"/>
  <c r="L4927" i="2"/>
  <c r="M4927" i="2"/>
  <c r="N4901" i="2"/>
  <c r="M4901" i="2"/>
  <c r="L4901" i="2"/>
  <c r="M4852" i="2"/>
  <c r="L4852" i="2"/>
  <c r="N4852" i="2"/>
  <c r="M4838" i="2"/>
  <c r="L4838" i="2"/>
  <c r="N4838" i="2"/>
  <c r="M4820" i="2"/>
  <c r="L4820" i="2"/>
  <c r="N4820" i="2"/>
  <c r="M4799" i="2"/>
  <c r="L4799" i="2"/>
  <c r="N4799" i="2"/>
  <c r="N4774" i="2"/>
  <c r="M4774" i="2"/>
  <c r="L4774" i="2"/>
  <c r="M4759" i="2"/>
  <c r="L4759" i="2"/>
  <c r="N4759" i="2"/>
  <c r="N4747" i="2"/>
  <c r="M4747" i="2"/>
  <c r="L4747" i="2"/>
  <c r="M4730" i="2"/>
  <c r="N4730" i="2"/>
  <c r="L4730" i="2"/>
  <c r="M4710" i="2"/>
  <c r="L4710" i="2"/>
  <c r="N4710" i="2"/>
  <c r="M4698" i="2"/>
  <c r="L4698" i="2"/>
  <c r="N4698" i="2"/>
  <c r="N4671" i="2"/>
  <c r="M4671" i="2"/>
  <c r="L4671" i="2"/>
  <c r="N4651" i="2"/>
  <c r="L4651" i="2"/>
  <c r="M4651" i="2"/>
  <c r="L4622" i="2"/>
  <c r="N4622" i="2"/>
  <c r="M4622" i="2"/>
  <c r="M317" i="2"/>
  <c r="L317" i="2"/>
  <c r="N317" i="2"/>
  <c r="N311" i="2"/>
  <c r="L311" i="2"/>
  <c r="M311" i="2"/>
  <c r="L4562" i="2"/>
  <c r="N4562" i="2"/>
  <c r="M4562" i="2"/>
  <c r="M4549" i="2"/>
  <c r="L4549" i="2"/>
  <c r="N4549" i="2"/>
  <c r="L4495" i="2"/>
  <c r="M4495" i="2"/>
  <c r="N4495" i="2"/>
  <c r="M4480" i="2"/>
  <c r="L4480" i="2"/>
  <c r="N4480" i="2"/>
  <c r="M4464" i="2"/>
  <c r="L4464" i="2"/>
  <c r="N4464" i="2"/>
  <c r="N4449" i="2"/>
  <c r="L4449" i="2"/>
  <c r="M4449" i="2"/>
  <c r="N4427" i="2"/>
  <c r="L4427" i="2"/>
  <c r="M4427" i="2"/>
  <c r="M4407" i="2"/>
  <c r="L4407" i="2"/>
  <c r="N4407" i="2"/>
  <c r="M4392" i="2"/>
  <c r="L4392" i="2"/>
  <c r="N4392" i="2"/>
  <c r="M4373" i="2"/>
  <c r="L4373" i="2"/>
  <c r="N4373" i="2"/>
  <c r="N4358" i="2"/>
  <c r="M4358" i="2"/>
  <c r="L4358" i="2"/>
  <c r="N4323" i="2"/>
  <c r="L4323" i="2"/>
  <c r="M4323" i="2"/>
  <c r="L4312" i="2"/>
  <c r="N4312" i="2"/>
  <c r="M4312" i="2"/>
  <c r="N717" i="2"/>
  <c r="L717" i="2"/>
  <c r="M717" i="2"/>
  <c r="N4260" i="2"/>
  <c r="L4260" i="2"/>
  <c r="M4260" i="2"/>
  <c r="L4237" i="2"/>
  <c r="N4237" i="2"/>
  <c r="M4237" i="2"/>
  <c r="N4222" i="2"/>
  <c r="L4222" i="2"/>
  <c r="M4222" i="2"/>
  <c r="N702" i="2"/>
  <c r="M702" i="2"/>
  <c r="N4180" i="2"/>
  <c r="M4180" i="2"/>
  <c r="L4180" i="2"/>
  <c r="N4165" i="2"/>
  <c r="M4165" i="2"/>
  <c r="L4165" i="2"/>
  <c r="N4118" i="2"/>
  <c r="L4118" i="2"/>
  <c r="M4118" i="2"/>
  <c r="N681" i="2"/>
  <c r="L681" i="2"/>
  <c r="M681" i="2"/>
  <c r="M4077" i="2"/>
  <c r="N4077" i="2"/>
  <c r="L4077" i="2"/>
  <c r="N4052" i="2"/>
  <c r="L4052" i="2"/>
  <c r="M4052" i="2"/>
  <c r="N4039" i="2"/>
  <c r="M4039" i="2"/>
  <c r="L4039" i="2"/>
  <c r="N4025" i="2"/>
  <c r="M4025" i="2"/>
  <c r="L4025" i="2"/>
  <c r="N4009" i="2"/>
  <c r="M4009" i="2"/>
  <c r="L4009" i="2"/>
  <c r="L3968" i="2"/>
  <c r="N3968" i="2"/>
  <c r="M3968" i="2"/>
  <c r="N3951" i="2"/>
  <c r="M3951" i="2"/>
  <c r="L3951" i="2"/>
  <c r="M3915" i="2"/>
  <c r="L3915" i="2"/>
  <c r="M3894" i="2"/>
  <c r="N3894" i="2"/>
  <c r="L3894" i="2"/>
  <c r="N3860" i="2"/>
  <c r="M3860" i="2"/>
  <c r="L3860" i="2"/>
  <c r="L3798" i="2"/>
  <c r="M3798" i="2"/>
  <c r="N3798" i="2"/>
  <c r="M3774" i="2"/>
  <c r="L3774" i="2"/>
  <c r="N3774" i="2"/>
  <c r="L3744" i="2"/>
  <c r="N3744" i="2"/>
  <c r="M3744" i="2"/>
  <c r="L3733" i="2"/>
  <c r="M3733" i="2"/>
  <c r="N3733" i="2"/>
  <c r="N3709" i="2"/>
  <c r="M3709" i="2"/>
  <c r="L3709" i="2"/>
  <c r="L3674" i="2"/>
  <c r="M3674" i="2"/>
  <c r="N3674" i="2"/>
  <c r="N604" i="2"/>
  <c r="M604" i="2"/>
  <c r="L604" i="2"/>
  <c r="L3615" i="2"/>
  <c r="N3615" i="2"/>
  <c r="M3615" i="2"/>
  <c r="N3577" i="2"/>
  <c r="L3577" i="2"/>
  <c r="M3577" i="2"/>
  <c r="M3550" i="2"/>
  <c r="L3550" i="2"/>
  <c r="N3550" i="2"/>
  <c r="N3521" i="2"/>
  <c r="L3521" i="2"/>
  <c r="M3521" i="2"/>
  <c r="L3502" i="2"/>
  <c r="N3502" i="2"/>
  <c r="M3502" i="2"/>
  <c r="L3479" i="2"/>
  <c r="M3479" i="2"/>
  <c r="N3479" i="2"/>
  <c r="N3446" i="2"/>
  <c r="L3446" i="2"/>
  <c r="M3446" i="2"/>
  <c r="L3426" i="2"/>
  <c r="N3426" i="2"/>
  <c r="M3426" i="2"/>
  <c r="N3402" i="2"/>
  <c r="M3402" i="2"/>
  <c r="L3402" i="2"/>
  <c r="L3387" i="2"/>
  <c r="M3387" i="2"/>
  <c r="N3387" i="2"/>
  <c r="N3374" i="2"/>
  <c r="M3374" i="2"/>
  <c r="L3374" i="2"/>
  <c r="N3349" i="2"/>
  <c r="M3349" i="2"/>
  <c r="L3349" i="2"/>
  <c r="N544" i="2"/>
  <c r="L544" i="2"/>
  <c r="M544" i="2"/>
  <c r="N3295" i="2"/>
  <c r="M3295" i="2"/>
  <c r="L3295" i="2"/>
  <c r="L3278" i="2"/>
  <c r="N3278" i="2"/>
  <c r="M3278" i="2"/>
  <c r="M3262" i="2"/>
  <c r="L3262" i="2"/>
  <c r="N3262" i="2"/>
  <c r="N3246" i="2"/>
  <c r="M3246" i="2"/>
  <c r="L3246" i="2"/>
  <c r="N3229" i="2"/>
  <c r="M3229" i="2"/>
  <c r="L3229" i="2"/>
  <c r="M3208" i="2"/>
  <c r="N3208" i="2"/>
  <c r="L3208" i="2"/>
  <c r="N3177" i="2"/>
  <c r="M3177" i="2"/>
  <c r="L3177" i="2"/>
  <c r="N3162" i="2"/>
  <c r="M3162" i="2"/>
  <c r="L3162" i="2"/>
  <c r="N3139" i="2"/>
  <c r="M3139" i="2"/>
  <c r="L3139" i="2"/>
  <c r="N3116" i="2"/>
  <c r="L3116" i="2"/>
  <c r="M3116" i="2"/>
  <c r="L3106" i="2"/>
  <c r="N3106" i="2"/>
  <c r="M3106" i="2"/>
  <c r="N3088" i="2"/>
  <c r="L3088" i="2"/>
  <c r="M3088" i="2"/>
  <c r="N3067" i="2"/>
  <c r="M3067" i="2"/>
  <c r="L3067" i="2"/>
  <c r="N3051" i="2"/>
  <c r="M3051" i="2"/>
  <c r="L3051" i="2"/>
  <c r="M3029" i="2"/>
  <c r="N3029" i="2"/>
  <c r="L3029" i="2"/>
  <c r="L3024" i="2"/>
  <c r="N3024" i="2"/>
  <c r="M3024" i="2"/>
  <c r="N2999" i="2"/>
  <c r="M2999" i="2"/>
  <c r="L2999" i="2"/>
  <c r="L2969" i="2"/>
  <c r="N2969" i="2"/>
  <c r="M2969" i="2"/>
  <c r="N2946" i="2"/>
  <c r="L2946" i="2"/>
  <c r="L2926" i="2"/>
  <c r="M2926" i="2"/>
  <c r="N2926" i="2"/>
  <c r="M2899" i="2"/>
  <c r="N2899" i="2"/>
  <c r="L2899" i="2"/>
  <c r="M2868" i="2"/>
  <c r="L2868" i="2"/>
  <c r="N2868" i="2"/>
  <c r="N2852" i="2"/>
  <c r="M2852" i="2"/>
  <c r="L2852" i="2"/>
  <c r="L2802" i="2"/>
  <c r="M2802" i="2"/>
  <c r="N2802" i="2"/>
  <c r="N483" i="2"/>
  <c r="M483" i="2"/>
  <c r="L483" i="2"/>
  <c r="L2768" i="2"/>
  <c r="N2768" i="2"/>
  <c r="M2768" i="2"/>
  <c r="N2756" i="2"/>
  <c r="L2756" i="2"/>
  <c r="M2756" i="2"/>
  <c r="M2739" i="2"/>
  <c r="L2739" i="2"/>
  <c r="N2739" i="2"/>
  <c r="L2738" i="2"/>
  <c r="N2738" i="2"/>
  <c r="M2738" i="2"/>
  <c r="N2705" i="2"/>
  <c r="L2705" i="2"/>
  <c r="M2705" i="2"/>
  <c r="L2644" i="2"/>
  <c r="N2644" i="2"/>
  <c r="M2644" i="2"/>
  <c r="N2599" i="2"/>
  <c r="M2599" i="2"/>
  <c r="L2599" i="2"/>
  <c r="N2576" i="2"/>
  <c r="L2576" i="2"/>
  <c r="M2576" i="2"/>
  <c r="L2547" i="2"/>
  <c r="M2547" i="2"/>
  <c r="N2530" i="2"/>
  <c r="M2530" i="2"/>
  <c r="L2530" i="2"/>
  <c r="L2486" i="2"/>
  <c r="N2486" i="2"/>
  <c r="M2486" i="2"/>
  <c r="L2462" i="2"/>
  <c r="N2462" i="2"/>
  <c r="M2462" i="2"/>
  <c r="L2434" i="2"/>
  <c r="N2434" i="2"/>
  <c r="M2434" i="2"/>
  <c r="N2412" i="2"/>
  <c r="M2412" i="2"/>
  <c r="L2412" i="2"/>
  <c r="N453" i="2"/>
  <c r="L453" i="2"/>
  <c r="M453" i="2"/>
  <c r="L2380" i="2"/>
  <c r="N2380" i="2"/>
  <c r="M2380" i="2"/>
  <c r="N2371" i="2"/>
  <c r="L2371" i="2"/>
  <c r="M2371" i="2"/>
  <c r="N2359" i="2"/>
  <c r="M2359" i="2"/>
  <c r="L2359" i="2"/>
  <c r="L1088" i="2"/>
  <c r="N2405" i="2"/>
  <c r="M3638" i="2"/>
  <c r="N5514" i="2"/>
  <c r="M1499" i="2"/>
  <c r="L1599" i="2"/>
  <c r="N4206" i="2"/>
  <c r="N3915" i="2"/>
  <c r="M451" i="2"/>
  <c r="L2543" i="2"/>
  <c r="L4016" i="2"/>
  <c r="L4844" i="2"/>
  <c r="M1724" i="2"/>
  <c r="N2008" i="2"/>
  <c r="M2258" i="2"/>
  <c r="N451" i="2"/>
  <c r="M4016" i="2"/>
  <c r="L4734" i="2"/>
  <c r="L5164" i="2"/>
  <c r="L1570" i="2"/>
  <c r="M395" i="2"/>
  <c r="N1724" i="2"/>
  <c r="N1836" i="2"/>
  <c r="N2258" i="2"/>
  <c r="N3062" i="2"/>
  <c r="M3909" i="2"/>
  <c r="M4734" i="2"/>
  <c r="M5029" i="2"/>
  <c r="N1570" i="2"/>
  <c r="M1963" i="2"/>
  <c r="L866" i="2"/>
  <c r="N1148" i="2"/>
  <c r="M1627" i="2"/>
  <c r="N2162" i="2"/>
  <c r="M2517" i="2"/>
  <c r="M3182" i="2"/>
  <c r="L3249" i="2"/>
  <c r="N3807" i="2"/>
  <c r="N645" i="2"/>
  <c r="M4436" i="2"/>
  <c r="M4905" i="2"/>
  <c r="M1223" i="2"/>
  <c r="L4737" i="2"/>
  <c r="L2673" i="2"/>
  <c r="N2715" i="2"/>
  <c r="L4973" i="2"/>
  <c r="N4973" i="2"/>
  <c r="M4973" i="2"/>
  <c r="N242" i="2"/>
  <c r="N2346" i="2"/>
  <c r="M2346" i="2"/>
  <c r="L2346" i="2"/>
  <c r="M2311" i="2"/>
  <c r="N2311" i="2"/>
  <c r="L2311" i="2"/>
  <c r="N2298" i="2"/>
  <c r="M2298" i="2"/>
  <c r="L2298" i="2"/>
  <c r="N2287" i="2"/>
  <c r="L2287" i="2"/>
  <c r="M2263" i="2"/>
  <c r="L2263" i="2"/>
  <c r="N2263" i="2"/>
  <c r="N2249" i="2"/>
  <c r="M2249" i="2"/>
  <c r="L2249" i="2"/>
  <c r="M2221" i="2"/>
  <c r="L2221" i="2"/>
  <c r="M2193" i="2"/>
  <c r="N2193" i="2"/>
  <c r="L2193" i="2"/>
  <c r="N2170" i="2"/>
  <c r="M2170" i="2"/>
  <c r="L2170" i="2"/>
  <c r="N2147" i="2"/>
  <c r="M2147" i="2"/>
  <c r="L2147" i="2"/>
  <c r="N2122" i="2"/>
  <c r="L2122" i="2"/>
  <c r="M2122" i="2"/>
  <c r="N2109" i="2"/>
  <c r="M2109" i="2"/>
  <c r="L2109" i="2"/>
  <c r="L2083" i="2"/>
  <c r="N2083" i="2"/>
  <c r="M2083" i="2"/>
  <c r="L2061" i="2"/>
  <c r="N2061" i="2"/>
  <c r="M2061" i="2"/>
  <c r="L2047" i="2"/>
  <c r="N2047" i="2"/>
  <c r="M2047" i="2"/>
  <c r="L2029" i="2"/>
  <c r="N2029" i="2"/>
  <c r="N2011" i="2"/>
  <c r="M2011" i="2"/>
  <c r="L2011" i="2"/>
  <c r="L1998" i="2"/>
  <c r="N1998" i="2"/>
  <c r="L1969" i="2"/>
  <c r="N1969" i="2"/>
  <c r="M1969" i="2"/>
  <c r="N1948" i="2"/>
  <c r="L1948" i="2"/>
  <c r="M1948" i="2"/>
  <c r="N1927" i="2"/>
  <c r="M1927" i="2"/>
  <c r="L1927" i="2"/>
  <c r="N1906" i="2"/>
  <c r="M1906" i="2"/>
  <c r="L1906" i="2"/>
  <c r="M1892" i="2"/>
  <c r="N1892" i="2"/>
  <c r="L1892" i="2"/>
  <c r="L1868" i="2"/>
  <c r="N1868" i="2"/>
  <c r="M1868" i="2"/>
  <c r="M1849" i="2"/>
  <c r="L1849" i="2"/>
  <c r="N1849" i="2"/>
  <c r="L1834" i="2"/>
  <c r="M1834" i="2"/>
  <c r="N1834" i="2"/>
  <c r="M1813" i="2"/>
  <c r="N1813" i="2"/>
  <c r="L1813" i="2"/>
  <c r="M1794" i="2"/>
  <c r="L1794" i="2"/>
  <c r="N1794" i="2"/>
  <c r="N1764" i="2"/>
  <c r="M1764" i="2"/>
  <c r="L1764" i="2"/>
  <c r="N1747" i="2"/>
  <c r="M1747" i="2"/>
  <c r="L1747" i="2"/>
  <c r="L1719" i="2"/>
  <c r="M1719" i="2"/>
  <c r="L1671" i="2"/>
  <c r="N1671" i="2"/>
  <c r="M1671" i="2"/>
  <c r="L391" i="2"/>
  <c r="N391" i="2"/>
  <c r="M391" i="2"/>
  <c r="N1634" i="2"/>
  <c r="M1634" i="2"/>
  <c r="L1634" i="2"/>
  <c r="N1614" i="2"/>
  <c r="M1614" i="2"/>
  <c r="L1614" i="2"/>
  <c r="M1592" i="2"/>
  <c r="L1592" i="2"/>
  <c r="N1592" i="2"/>
  <c r="N1576" i="2"/>
  <c r="M1576" i="2"/>
  <c r="L1576" i="2"/>
  <c r="N1566" i="2"/>
  <c r="M1566" i="2"/>
  <c r="L1566" i="2"/>
  <c r="M1547" i="2"/>
  <c r="N1547" i="2"/>
  <c r="N1522" i="2"/>
  <c r="M1522" i="2"/>
  <c r="L1522" i="2"/>
  <c r="N1505" i="2"/>
  <c r="M1505" i="2"/>
  <c r="L1505" i="2"/>
  <c r="L1478" i="2"/>
  <c r="N1478" i="2"/>
  <c r="M1478" i="2"/>
  <c r="M1451" i="2"/>
  <c r="L1451" i="2"/>
  <c r="N1451" i="2"/>
  <c r="M1433" i="2"/>
  <c r="N1433" i="2"/>
  <c r="L1433" i="2"/>
  <c r="M1410" i="2"/>
  <c r="L1410" i="2"/>
  <c r="N1410" i="2"/>
  <c r="N1382" i="2"/>
  <c r="L1382" i="2"/>
  <c r="M1382" i="2"/>
  <c r="M1359" i="2"/>
  <c r="L1359" i="2"/>
  <c r="N1359" i="2"/>
  <c r="N371" i="2"/>
  <c r="M371" i="2"/>
  <c r="L371" i="2"/>
  <c r="L1318" i="2"/>
  <c r="M1318" i="2"/>
  <c r="L1259" i="2"/>
  <c r="N1259" i="2"/>
  <c r="M1259" i="2"/>
  <c r="L1229" i="2"/>
  <c r="N1229" i="2"/>
  <c r="M1229" i="2"/>
  <c r="N1216" i="2"/>
  <c r="M1216" i="2"/>
  <c r="L1216" i="2"/>
  <c r="N1190" i="2"/>
  <c r="M1190" i="2"/>
  <c r="L1190" i="2"/>
  <c r="N1176" i="2"/>
  <c r="L1176" i="2"/>
  <c r="N1143" i="2"/>
  <c r="M1143" i="2"/>
  <c r="L1143" i="2"/>
  <c r="L1125" i="2"/>
  <c r="N1125" i="2"/>
  <c r="M1125" i="2"/>
  <c r="M1114" i="2"/>
  <c r="L1114" i="2"/>
  <c r="N1114" i="2"/>
  <c r="N1054" i="2"/>
  <c r="L1054" i="2"/>
  <c r="N347" i="2"/>
  <c r="L347" i="2"/>
  <c r="M347" i="2"/>
  <c r="N1036" i="2"/>
  <c r="M1036" i="2"/>
  <c r="L1036" i="2"/>
  <c r="N1025" i="2"/>
  <c r="L1025" i="2"/>
  <c r="M1025" i="2"/>
  <c r="L1006" i="2"/>
  <c r="N1006" i="2"/>
  <c r="M1006" i="2"/>
  <c r="M988" i="2"/>
  <c r="N988" i="2"/>
  <c r="L988" i="2"/>
  <c r="M977" i="2"/>
  <c r="L977" i="2"/>
  <c r="N977" i="2"/>
  <c r="M974" i="2"/>
  <c r="L974" i="2"/>
  <c r="N974" i="2"/>
  <c r="N958" i="2"/>
  <c r="M958" i="2"/>
  <c r="L958" i="2"/>
  <c r="N951" i="2"/>
  <c r="M951" i="2"/>
  <c r="L951" i="2"/>
  <c r="M925" i="2"/>
  <c r="L925" i="2"/>
  <c r="N925" i="2"/>
  <c r="N902" i="2"/>
  <c r="M902" i="2"/>
  <c r="L902" i="2"/>
  <c r="M878" i="2"/>
  <c r="N878" i="2"/>
  <c r="L878" i="2"/>
  <c r="L859" i="2"/>
  <c r="N859" i="2"/>
  <c r="M859" i="2"/>
  <c r="N5517" i="2"/>
  <c r="M5517" i="2"/>
  <c r="M5506" i="2"/>
  <c r="N5506" i="2"/>
  <c r="L5506" i="2"/>
  <c r="M5489" i="2"/>
  <c r="N5489" i="2"/>
  <c r="L5489" i="2"/>
  <c r="L5475" i="2"/>
  <c r="N5475" i="2"/>
  <c r="N5461" i="2"/>
  <c r="L5461" i="2"/>
  <c r="M5461" i="2"/>
  <c r="N5414" i="2"/>
  <c r="L5414" i="2"/>
  <c r="M5414" i="2"/>
  <c r="L5396" i="2"/>
  <c r="M5396" i="2"/>
  <c r="N5396" i="2"/>
  <c r="N5374" i="2"/>
  <c r="M5374" i="2"/>
  <c r="L5374" i="2"/>
  <c r="N5353" i="2"/>
  <c r="M5353" i="2"/>
  <c r="L5353" i="2"/>
  <c r="M5343" i="2"/>
  <c r="L5343" i="2"/>
  <c r="N5343" i="2"/>
  <c r="M221" i="2"/>
  <c r="L221" i="2"/>
  <c r="N5274" i="2"/>
  <c r="M5274" i="2"/>
  <c r="L5263" i="2"/>
  <c r="N5263" i="2"/>
  <c r="M5263" i="2"/>
  <c r="N5250" i="2"/>
  <c r="L5250" i="2"/>
  <c r="M5250" i="2"/>
  <c r="L5220" i="2"/>
  <c r="M5220" i="2"/>
  <c r="N5201" i="2"/>
  <c r="M5201" i="2"/>
  <c r="L5201" i="2"/>
  <c r="L5181" i="2"/>
  <c r="M5181" i="2"/>
  <c r="N5181" i="2"/>
  <c r="N160" i="2"/>
  <c r="M160" i="2"/>
  <c r="N5101" i="2"/>
  <c r="M5101" i="2"/>
  <c r="L5101" i="2"/>
  <c r="M5083" i="2"/>
  <c r="N5083" i="2"/>
  <c r="L5083" i="2"/>
  <c r="L5047" i="2"/>
  <c r="N5047" i="2"/>
  <c r="M5047" i="2"/>
  <c r="N5031" i="2"/>
  <c r="M5031" i="2"/>
  <c r="L5031" i="2"/>
  <c r="N5017" i="2"/>
  <c r="M5017" i="2"/>
  <c r="N113" i="2"/>
  <c r="M113" i="2"/>
  <c r="N4962" i="2"/>
  <c r="M4962" i="2"/>
  <c r="L4962" i="2"/>
  <c r="M4940" i="2"/>
  <c r="L4940" i="2"/>
  <c r="N4940" i="2"/>
  <c r="N4926" i="2"/>
  <c r="M4926" i="2"/>
  <c r="L4926" i="2"/>
  <c r="M4899" i="2"/>
  <c r="L4899" i="2"/>
  <c r="N4899" i="2"/>
  <c r="L4849" i="2"/>
  <c r="M4849" i="2"/>
  <c r="N4849" i="2"/>
  <c r="L4840" i="2"/>
  <c r="N4840" i="2"/>
  <c r="M4840" i="2"/>
  <c r="N68" i="2"/>
  <c r="L68" i="2"/>
  <c r="M68" i="2"/>
  <c r="L4798" i="2"/>
  <c r="N4798" i="2"/>
  <c r="M4798" i="2"/>
  <c r="N36" i="2"/>
  <c r="L36" i="2"/>
  <c r="M36" i="2"/>
  <c r="L4729" i="2"/>
  <c r="M4729" i="2"/>
  <c r="L4711" i="2"/>
  <c r="N4711" i="2"/>
  <c r="M4711" i="2"/>
  <c r="L4696" i="2"/>
  <c r="N4696" i="2"/>
  <c r="M4696" i="2"/>
  <c r="N4690" i="2"/>
  <c r="M4690" i="2"/>
  <c r="L4690" i="2"/>
  <c r="N10" i="2"/>
  <c r="M10" i="2"/>
  <c r="L10" i="2"/>
  <c r="M4650" i="2"/>
  <c r="N4650" i="2"/>
  <c r="L319" i="2"/>
  <c r="N319" i="2"/>
  <c r="M319" i="2"/>
  <c r="N4602" i="2"/>
  <c r="M4602" i="2"/>
  <c r="L4602" i="2"/>
  <c r="L4580" i="2"/>
  <c r="M4580" i="2"/>
  <c r="N4580" i="2"/>
  <c r="N4551" i="2"/>
  <c r="L4551" i="2"/>
  <c r="M4551" i="2"/>
  <c r="N4534" i="2"/>
  <c r="M4534" i="2"/>
  <c r="L4534" i="2"/>
  <c r="L4523" i="2"/>
  <c r="N4523" i="2"/>
  <c r="M4506" i="2"/>
  <c r="N4506" i="2"/>
  <c r="L4506" i="2"/>
  <c r="M4487" i="2"/>
  <c r="L4487" i="2"/>
  <c r="N4454" i="2"/>
  <c r="M4454" i="2"/>
  <c r="L4454" i="2"/>
  <c r="N4441" i="2"/>
  <c r="M4441" i="2"/>
  <c r="M4422" i="2"/>
  <c r="L4422" i="2"/>
  <c r="N4408" i="2"/>
  <c r="L4408" i="2"/>
  <c r="M4408" i="2"/>
  <c r="L4385" i="2"/>
  <c r="N4385" i="2"/>
  <c r="M4385" i="2"/>
  <c r="N740" i="2"/>
  <c r="L740" i="2"/>
  <c r="M740" i="2"/>
  <c r="L4349" i="2"/>
  <c r="N4349" i="2"/>
  <c r="M4334" i="2"/>
  <c r="N4334" i="2"/>
  <c r="L4334" i="2"/>
  <c r="L4318" i="2"/>
  <c r="M4318" i="2"/>
  <c r="N4318" i="2"/>
  <c r="N4295" i="2"/>
  <c r="M4295" i="2"/>
  <c r="L4295" i="2"/>
  <c r="N4281" i="2"/>
  <c r="L4281" i="2"/>
  <c r="M4281" i="2"/>
  <c r="N4270" i="2"/>
  <c r="L4270" i="2"/>
  <c r="M4270" i="2"/>
  <c r="M4248" i="2"/>
  <c r="N4248" i="2"/>
  <c r="L4248" i="2"/>
  <c r="M4230" i="2"/>
  <c r="N4230" i="2"/>
  <c r="L4230" i="2"/>
  <c r="M4209" i="2"/>
  <c r="N4209" i="2"/>
  <c r="L4187" i="2"/>
  <c r="N4187" i="2"/>
  <c r="M4187" i="2"/>
  <c r="N4175" i="2"/>
  <c r="L4175" i="2"/>
  <c r="M4175" i="2"/>
  <c r="L4152" i="2"/>
  <c r="N4152" i="2"/>
  <c r="M4142" i="2"/>
  <c r="L4142" i="2"/>
  <c r="N4142" i="2"/>
  <c r="N4127" i="2"/>
  <c r="M4127" i="2"/>
  <c r="L4127" i="2"/>
  <c r="M4091" i="2"/>
  <c r="L4091" i="2"/>
  <c r="N4091" i="2"/>
  <c r="N4078" i="2"/>
  <c r="L4078" i="2"/>
  <c r="M4078" i="2"/>
  <c r="L4061" i="2"/>
  <c r="N4061" i="2"/>
  <c r="M4061" i="2"/>
  <c r="L4045" i="2"/>
  <c r="N4045" i="2"/>
  <c r="N4023" i="2"/>
  <c r="L4023" i="2"/>
  <c r="M3993" i="2"/>
  <c r="L3993" i="2"/>
  <c r="L3982" i="2"/>
  <c r="N3982" i="2"/>
  <c r="M3982" i="2"/>
  <c r="L3956" i="2"/>
  <c r="M3956" i="2"/>
  <c r="N3956" i="2"/>
  <c r="M643" i="2"/>
  <c r="L643" i="2"/>
  <c r="L3904" i="2"/>
  <c r="N3904" i="2"/>
  <c r="M3904" i="2"/>
  <c r="N3864" i="2"/>
  <c r="M3864" i="2"/>
  <c r="L3864" i="2"/>
  <c r="N3797" i="2"/>
  <c r="M3797" i="2"/>
  <c r="L3797" i="2"/>
  <c r="M3775" i="2"/>
  <c r="N3775" i="2"/>
  <c r="L3775" i="2"/>
  <c r="N3754" i="2"/>
  <c r="M3754" i="2"/>
  <c r="L3754" i="2"/>
  <c r="L3720" i="2"/>
  <c r="M3720" i="2"/>
  <c r="N3720" i="2"/>
  <c r="M3701" i="2"/>
  <c r="N3701" i="2"/>
  <c r="N3687" i="2"/>
  <c r="M3687" i="2"/>
  <c r="L3687" i="2"/>
  <c r="N3659" i="2"/>
  <c r="L3659" i="2"/>
  <c r="N3644" i="2"/>
  <c r="M3644" i="2"/>
  <c r="N3633" i="2"/>
  <c r="L3633" i="2"/>
  <c r="L3626" i="2"/>
  <c r="N3626" i="2"/>
  <c r="M3626" i="2"/>
  <c r="L3604" i="2"/>
  <c r="N3604" i="2"/>
  <c r="M3604" i="2"/>
  <c r="M3590" i="2"/>
  <c r="N3590" i="2"/>
  <c r="N3565" i="2"/>
  <c r="M3565" i="2"/>
  <c r="L3565" i="2"/>
  <c r="N3540" i="2"/>
  <c r="L3540" i="2"/>
  <c r="M3540" i="2"/>
  <c r="N3529" i="2"/>
  <c r="M3529" i="2"/>
  <c r="L3529" i="2"/>
  <c r="N3489" i="2"/>
  <c r="M3489" i="2"/>
  <c r="M3471" i="2"/>
  <c r="N3471" i="2"/>
  <c r="L3471" i="2"/>
  <c r="N3445" i="2"/>
  <c r="L3445" i="2"/>
  <c r="M3445" i="2"/>
  <c r="M3427" i="2"/>
  <c r="L3427" i="2"/>
  <c r="L3412" i="2"/>
  <c r="N3412" i="2"/>
  <c r="M3412" i="2"/>
  <c r="N3399" i="2"/>
  <c r="M3399" i="2"/>
  <c r="L3388" i="2"/>
  <c r="N3388" i="2"/>
  <c r="M3388" i="2"/>
  <c r="L3369" i="2"/>
  <c r="N3369" i="2"/>
  <c r="N3347" i="2"/>
  <c r="M3347" i="2"/>
  <c r="L3347" i="2"/>
  <c r="N3332" i="2"/>
  <c r="L3332" i="2"/>
  <c r="N3314" i="2"/>
  <c r="L3314" i="2"/>
  <c r="M3314" i="2"/>
  <c r="M3303" i="2"/>
  <c r="L3303" i="2"/>
  <c r="N3303" i="2"/>
  <c r="N3296" i="2"/>
  <c r="M3296" i="2"/>
  <c r="L3296" i="2"/>
  <c r="N3279" i="2"/>
  <c r="M3279" i="2"/>
  <c r="L3279" i="2"/>
  <c r="M3260" i="2"/>
  <c r="L3260" i="2"/>
  <c r="N3242" i="2"/>
  <c r="M3242" i="2"/>
  <c r="L3242" i="2"/>
  <c r="N3227" i="2"/>
  <c r="M3227" i="2"/>
  <c r="L3227" i="2"/>
  <c r="L3205" i="2"/>
  <c r="M3205" i="2"/>
  <c r="N3175" i="2"/>
  <c r="M3175" i="2"/>
  <c r="L3175" i="2"/>
  <c r="N3163" i="2"/>
  <c r="M3163" i="2"/>
  <c r="L3163" i="2"/>
  <c r="M515" i="2"/>
  <c r="L515" i="2"/>
  <c r="N3117" i="2"/>
  <c r="L3117" i="2"/>
  <c r="N3066" i="2"/>
  <c r="M3066" i="2"/>
  <c r="L3066" i="2"/>
  <c r="N3026" i="2"/>
  <c r="M3026" i="2"/>
  <c r="L3026" i="2"/>
  <c r="N2995" i="2"/>
  <c r="M2995" i="2"/>
  <c r="L2995" i="2"/>
  <c r="L2972" i="2"/>
  <c r="N2972" i="2"/>
  <c r="M2972" i="2"/>
  <c r="N2925" i="2"/>
  <c r="M2925" i="2"/>
  <c r="N2897" i="2"/>
  <c r="L2897" i="2"/>
  <c r="M2897" i="2"/>
  <c r="M2869" i="2"/>
  <c r="L2869" i="2"/>
  <c r="N2855" i="2"/>
  <c r="L2855" i="2"/>
  <c r="M2855" i="2"/>
  <c r="N2801" i="2"/>
  <c r="M2801" i="2"/>
  <c r="N2785" i="2"/>
  <c r="M2785" i="2"/>
  <c r="L2785" i="2"/>
  <c r="M2769" i="2"/>
  <c r="L2769" i="2"/>
  <c r="N2753" i="2"/>
  <c r="M2753" i="2"/>
  <c r="L2742" i="2"/>
  <c r="N2742" i="2"/>
  <c r="M2742" i="2"/>
  <c r="N2736" i="2"/>
  <c r="M2736" i="2"/>
  <c r="L2736" i="2"/>
  <c r="N2730" i="2"/>
  <c r="M2730" i="2"/>
  <c r="L2730" i="2"/>
  <c r="N2706" i="2"/>
  <c r="M2706" i="2"/>
  <c r="N2648" i="2"/>
  <c r="M2648" i="2"/>
  <c r="L2648" i="2"/>
  <c r="N2642" i="2"/>
  <c r="L2642" i="2"/>
  <c r="L2706" i="2"/>
  <c r="L3644" i="2"/>
  <c r="M4761" i="2"/>
  <c r="L3512" i="2"/>
  <c r="N4761" i="2"/>
  <c r="M3633" i="2"/>
  <c r="N2221" i="2"/>
  <c r="N5287" i="2"/>
  <c r="M5287" i="2"/>
  <c r="L5287" i="2"/>
  <c r="N4390" i="2"/>
  <c r="M4390" i="2"/>
  <c r="L2801" i="2"/>
  <c r="L529" i="2"/>
  <c r="M3332" i="2"/>
  <c r="M3512" i="2"/>
  <c r="L4650" i="2"/>
  <c r="N4729" i="2"/>
  <c r="N2322" i="2"/>
  <c r="L2322" i="2"/>
  <c r="M2322" i="2"/>
  <c r="M2275" i="2"/>
  <c r="L2275" i="2"/>
  <c r="N2237" i="2"/>
  <c r="M2237" i="2"/>
  <c r="L2237" i="2"/>
  <c r="L2211" i="2"/>
  <c r="N2211" i="2"/>
  <c r="M2211" i="2"/>
  <c r="N2179" i="2"/>
  <c r="M2179" i="2"/>
  <c r="L2179" i="2"/>
  <c r="L2158" i="2"/>
  <c r="M2158" i="2"/>
  <c r="N2158" i="2"/>
  <c r="N2138" i="2"/>
  <c r="M2138" i="2"/>
  <c r="L2138" i="2"/>
  <c r="M2092" i="2"/>
  <c r="L2092" i="2"/>
  <c r="N2092" i="2"/>
  <c r="N2076" i="2"/>
  <c r="M2076" i="2"/>
  <c r="L2076" i="2"/>
  <c r="N2051" i="2"/>
  <c r="M2051" i="2"/>
  <c r="L2051" i="2"/>
  <c r="N2018" i="2"/>
  <c r="L2018" i="2"/>
  <c r="M2018" i="2"/>
  <c r="M2002" i="2"/>
  <c r="N2002" i="2"/>
  <c r="L2002" i="2"/>
  <c r="M1984" i="2"/>
  <c r="N1984" i="2"/>
  <c r="L1984" i="2"/>
  <c r="N1959" i="2"/>
  <c r="M1959" i="2"/>
  <c r="L1959" i="2"/>
  <c r="L1934" i="2"/>
  <c r="M1934" i="2"/>
  <c r="N1934" i="2"/>
  <c r="L1915" i="2"/>
  <c r="M1915" i="2"/>
  <c r="N1896" i="2"/>
  <c r="L1896" i="2"/>
  <c r="M1896" i="2"/>
  <c r="N1878" i="2"/>
  <c r="M1878" i="2"/>
  <c r="L1878" i="2"/>
  <c r="N1860" i="2"/>
  <c r="L1860" i="2"/>
  <c r="M1860" i="2"/>
  <c r="N1846" i="2"/>
  <c r="M1846" i="2"/>
  <c r="L1846" i="2"/>
  <c r="N1804" i="2"/>
  <c r="M1804" i="2"/>
  <c r="L1804" i="2"/>
  <c r="L1788" i="2"/>
  <c r="N1788" i="2"/>
  <c r="M1788" i="2"/>
  <c r="N403" i="2"/>
  <c r="M403" i="2"/>
  <c r="L403" i="2"/>
  <c r="L1757" i="2"/>
  <c r="N1757" i="2"/>
  <c r="M1757" i="2"/>
  <c r="L1733" i="2"/>
  <c r="N1733" i="2"/>
  <c r="M1733" i="2"/>
  <c r="L1710" i="2"/>
  <c r="M1710" i="2"/>
  <c r="N1710" i="2"/>
  <c r="L1678" i="2"/>
  <c r="N1678" i="2"/>
  <c r="M1678" i="2"/>
  <c r="N1659" i="2"/>
  <c r="M1659" i="2"/>
  <c r="N1647" i="2"/>
  <c r="L1647" i="2"/>
  <c r="M1647" i="2"/>
  <c r="N1604" i="2"/>
  <c r="L1604" i="2"/>
  <c r="M1604" i="2"/>
  <c r="N1588" i="2"/>
  <c r="M1588" i="2"/>
  <c r="L1588" i="2"/>
  <c r="N1561" i="2"/>
  <c r="M1561" i="2"/>
  <c r="L1561" i="2"/>
  <c r="N1534" i="2"/>
  <c r="M1534" i="2"/>
  <c r="L1534" i="2"/>
  <c r="N1511" i="2"/>
  <c r="M1511" i="2"/>
  <c r="L1511" i="2"/>
  <c r="L1492" i="2"/>
  <c r="M1492" i="2"/>
  <c r="N1492" i="2"/>
  <c r="M1466" i="2"/>
  <c r="N1466" i="2"/>
  <c r="L1466" i="2"/>
  <c r="L1439" i="2"/>
  <c r="M1439" i="2"/>
  <c r="N1422" i="2"/>
  <c r="M1422" i="2"/>
  <c r="L1422" i="2"/>
  <c r="L1370" i="2"/>
  <c r="N1370" i="2"/>
  <c r="M1370" i="2"/>
  <c r="N1353" i="2"/>
  <c r="M1353" i="2"/>
  <c r="L1353" i="2"/>
  <c r="M1324" i="2"/>
  <c r="L1324" i="2"/>
  <c r="N1324" i="2"/>
  <c r="N1312" i="2"/>
  <c r="M1312" i="2"/>
  <c r="L1312" i="2"/>
  <c r="N1261" i="2"/>
  <c r="M1261" i="2"/>
  <c r="L1261" i="2"/>
  <c r="L1241" i="2"/>
  <c r="N1241" i="2"/>
  <c r="M1241" i="2"/>
  <c r="L1201" i="2"/>
  <c r="M1201" i="2"/>
  <c r="N1201" i="2"/>
  <c r="L1183" i="2"/>
  <c r="M1183" i="2"/>
  <c r="N1183" i="2"/>
  <c r="M1104" i="2"/>
  <c r="N1104" i="2"/>
  <c r="L1104" i="2"/>
  <c r="M1093" i="2"/>
  <c r="L1093" i="2"/>
  <c r="L1074" i="2"/>
  <c r="N1074" i="2"/>
  <c r="N343" i="2"/>
  <c r="M343" i="2"/>
  <c r="L343" i="2"/>
  <c r="N943" i="2"/>
  <c r="M943" i="2"/>
  <c r="L943" i="2"/>
  <c r="N888" i="2"/>
  <c r="M888" i="2"/>
  <c r="L888" i="2"/>
  <c r="L335" i="2"/>
  <c r="N335" i="2"/>
  <c r="M335" i="2"/>
  <c r="N845" i="2"/>
  <c r="M845" i="2"/>
  <c r="L845" i="2"/>
  <c r="N1318" i="2"/>
  <c r="L1659" i="2"/>
  <c r="M1998" i="2"/>
  <c r="N5529" i="2"/>
  <c r="M5529" i="2"/>
  <c r="L5529" i="2"/>
  <c r="N261" i="2"/>
  <c r="L261" i="2"/>
  <c r="M261" i="2"/>
  <c r="N5501" i="2"/>
  <c r="L5501" i="2"/>
  <c r="N5494" i="2"/>
  <c r="M5494" i="2"/>
  <c r="L5494" i="2"/>
  <c r="N251" i="2"/>
  <c r="M251" i="2"/>
  <c r="L251" i="2"/>
  <c r="N237" i="2"/>
  <c r="M237" i="2"/>
  <c r="L237" i="2"/>
  <c r="L5428" i="2"/>
  <c r="M5428" i="2"/>
  <c r="N5399" i="2"/>
  <c r="M5399" i="2"/>
  <c r="L5399" i="2"/>
  <c r="N5382" i="2"/>
  <c r="M5382" i="2"/>
  <c r="L5382" i="2"/>
  <c r="L5363" i="2"/>
  <c r="N5363" i="2"/>
  <c r="M5363" i="2"/>
  <c r="M5348" i="2"/>
  <c r="L5348" i="2"/>
  <c r="N5322" i="2"/>
  <c r="L5322" i="2"/>
  <c r="M5322" i="2"/>
  <c r="L5296" i="2"/>
  <c r="N5296" i="2"/>
  <c r="M5296" i="2"/>
  <c r="N5230" i="2"/>
  <c r="L5230" i="2"/>
  <c r="N5211" i="2"/>
  <c r="M5211" i="2"/>
  <c r="L5211" i="2"/>
  <c r="N5191" i="2"/>
  <c r="M5191" i="2"/>
  <c r="L5191" i="2"/>
  <c r="M5176" i="2"/>
  <c r="L5176" i="2"/>
  <c r="N5176" i="2"/>
  <c r="N5159" i="2"/>
  <c r="L5159" i="2"/>
  <c r="L5112" i="2"/>
  <c r="N5112" i="2"/>
  <c r="M5112" i="2"/>
  <c r="N5090" i="2"/>
  <c r="L5090" i="2"/>
  <c r="M5090" i="2"/>
  <c r="M5069" i="2"/>
  <c r="N5069" i="2"/>
  <c r="L5069" i="2"/>
  <c r="N5061" i="2"/>
  <c r="M5061" i="2"/>
  <c r="L5061" i="2"/>
  <c r="M5039" i="2"/>
  <c r="N5039" i="2"/>
  <c r="L5039" i="2"/>
  <c r="N5009" i="2"/>
  <c r="M5009" i="2"/>
  <c r="N4991" i="2"/>
  <c r="M4991" i="2"/>
  <c r="L4991" i="2"/>
  <c r="M109" i="2"/>
  <c r="N109" i="2"/>
  <c r="L109" i="2"/>
  <c r="N4953" i="2"/>
  <c r="L4953" i="2"/>
  <c r="M4914" i="2"/>
  <c r="N4914" i="2"/>
  <c r="L4914" i="2"/>
  <c r="M4894" i="2"/>
  <c r="L4894" i="2"/>
  <c r="N4894" i="2"/>
  <c r="N4829" i="2"/>
  <c r="L4829" i="2"/>
  <c r="M4829" i="2"/>
  <c r="M4809" i="2"/>
  <c r="L4809" i="2"/>
  <c r="N4787" i="2"/>
  <c r="M4787" i="2"/>
  <c r="L4787" i="2"/>
  <c r="N4776" i="2"/>
  <c r="L4776" i="2"/>
  <c r="M4776" i="2"/>
  <c r="L42" i="2"/>
  <c r="N42" i="2"/>
  <c r="M42" i="2"/>
  <c r="N4738" i="2"/>
  <c r="L4738" i="2"/>
  <c r="M4738" i="2"/>
  <c r="L4715" i="2"/>
  <c r="N4715" i="2"/>
  <c r="N16" i="2"/>
  <c r="M16" i="2"/>
  <c r="L16" i="2"/>
  <c r="L4675" i="2"/>
  <c r="N4675" i="2"/>
  <c r="M4675" i="2"/>
  <c r="N4666" i="2"/>
  <c r="M4666" i="2"/>
  <c r="M4641" i="2"/>
  <c r="N4641" i="2"/>
  <c r="L4641" i="2"/>
  <c r="N4606" i="2"/>
  <c r="M4606" i="2"/>
  <c r="L315" i="2"/>
  <c r="N315" i="2"/>
  <c r="M315" i="2"/>
  <c r="N4570" i="2"/>
  <c r="M4570" i="2"/>
  <c r="L4570" i="2"/>
  <c r="N4553" i="2"/>
  <c r="M4553" i="2"/>
  <c r="L4553" i="2"/>
  <c r="M4544" i="2"/>
  <c r="N4544" i="2"/>
  <c r="N290" i="2"/>
  <c r="M290" i="2"/>
  <c r="L290" i="2"/>
  <c r="L4492" i="2"/>
  <c r="N4492" i="2"/>
  <c r="M4492" i="2"/>
  <c r="L782" i="2"/>
  <c r="M782" i="2"/>
  <c r="N4468" i="2"/>
  <c r="M4468" i="2"/>
  <c r="L4468" i="2"/>
  <c r="N771" i="2"/>
  <c r="M771" i="2"/>
  <c r="L771" i="2"/>
  <c r="N4431" i="2"/>
  <c r="L4431" i="2"/>
  <c r="N4397" i="2"/>
  <c r="M4397" i="2"/>
  <c r="L4397" i="2"/>
  <c r="N4374" i="2"/>
  <c r="M4374" i="2"/>
  <c r="L4368" i="2"/>
  <c r="N4368" i="2"/>
  <c r="M4368" i="2"/>
  <c r="N4308" i="2"/>
  <c r="M4308" i="2"/>
  <c r="L4308" i="2"/>
  <c r="M718" i="2"/>
  <c r="L718" i="2"/>
  <c r="N4259" i="2"/>
  <c r="M4259" i="2"/>
  <c r="L4259" i="2"/>
  <c r="N710" i="2"/>
  <c r="M710" i="2"/>
  <c r="L710" i="2"/>
  <c r="N4221" i="2"/>
  <c r="L4221" i="2"/>
  <c r="M4221" i="2"/>
  <c r="N4202" i="2"/>
  <c r="L4202" i="2"/>
  <c r="L4181" i="2"/>
  <c r="N4181" i="2"/>
  <c r="M4181" i="2"/>
  <c r="M4162" i="2"/>
  <c r="L4162" i="2"/>
  <c r="N683" i="2"/>
  <c r="L683" i="2"/>
  <c r="M4071" i="2"/>
  <c r="L4071" i="2"/>
  <c r="N4071" i="2"/>
  <c r="M4056" i="2"/>
  <c r="L4056" i="2"/>
  <c r="N4056" i="2"/>
  <c r="N4044" i="2"/>
  <c r="L4044" i="2"/>
  <c r="M4044" i="2"/>
  <c r="L4028" i="2"/>
  <c r="N4028" i="2"/>
  <c r="M4028" i="2"/>
  <c r="N4010" i="2"/>
  <c r="L4010" i="2"/>
  <c r="M4010" i="2"/>
  <c r="N3970" i="2"/>
  <c r="M3970" i="2"/>
  <c r="L3970" i="2"/>
  <c r="M647" i="2"/>
  <c r="N647" i="2"/>
  <c r="L647" i="2"/>
  <c r="N3919" i="2"/>
  <c r="M3919" i="2"/>
  <c r="L3919" i="2"/>
  <c r="M3893" i="2"/>
  <c r="L3893" i="2"/>
  <c r="M3875" i="2"/>
  <c r="N3875" i="2"/>
  <c r="L3875" i="2"/>
  <c r="N630" i="2"/>
  <c r="L630" i="2"/>
  <c r="M630" i="2"/>
  <c r="N3838" i="2"/>
  <c r="L3838" i="2"/>
  <c r="N3784" i="2"/>
  <c r="M3784" i="2"/>
  <c r="L3784" i="2"/>
  <c r="N3767" i="2"/>
  <c r="L3767" i="2"/>
  <c r="L3743" i="2"/>
  <c r="N3743" i="2"/>
  <c r="M3743" i="2"/>
  <c r="M3731" i="2"/>
  <c r="L3731" i="2"/>
  <c r="N3673" i="2"/>
  <c r="L3673" i="2"/>
  <c r="M603" i="2"/>
  <c r="L603" i="2"/>
  <c r="N603" i="2"/>
  <c r="L3611" i="2"/>
  <c r="M3611" i="2"/>
  <c r="L3575" i="2"/>
  <c r="N3575" i="2"/>
  <c r="M3575" i="2"/>
  <c r="L3551" i="2"/>
  <c r="N3551" i="2"/>
  <c r="M3551" i="2"/>
  <c r="L576" i="2"/>
  <c r="N576" i="2"/>
  <c r="L3504" i="2"/>
  <c r="N3504" i="2"/>
  <c r="M3504" i="2"/>
  <c r="N3480" i="2"/>
  <c r="M3480" i="2"/>
  <c r="L3452" i="2"/>
  <c r="N3452" i="2"/>
  <c r="M3452" i="2"/>
  <c r="L3435" i="2"/>
  <c r="N3435" i="2"/>
  <c r="M3435" i="2"/>
  <c r="L3404" i="2"/>
  <c r="N3404" i="2"/>
  <c r="M3404" i="2"/>
  <c r="N3375" i="2"/>
  <c r="M3375" i="2"/>
  <c r="N3320" i="2"/>
  <c r="M3320" i="2"/>
  <c r="N3273" i="2"/>
  <c r="L3273" i="2"/>
  <c r="N3259" i="2"/>
  <c r="M3259" i="2"/>
  <c r="L3219" i="2"/>
  <c r="N3219" i="2"/>
  <c r="N3202" i="2"/>
  <c r="L3202" i="2"/>
  <c r="M3202" i="2"/>
  <c r="N3151" i="2"/>
  <c r="M3151" i="2"/>
  <c r="L3126" i="2"/>
  <c r="N3126" i="2"/>
  <c r="M3126" i="2"/>
  <c r="N509" i="2"/>
  <c r="L509" i="2"/>
  <c r="M3105" i="2"/>
  <c r="L3105" i="2"/>
  <c r="N3105" i="2"/>
  <c r="N3092" i="2"/>
  <c r="M3092" i="2"/>
  <c r="L3092" i="2"/>
  <c r="N3078" i="2"/>
  <c r="M3078" i="2"/>
  <c r="L3078" i="2"/>
  <c r="L3050" i="2"/>
  <c r="N3050" i="2"/>
  <c r="M491" i="2"/>
  <c r="N491" i="2"/>
  <c r="M3031" i="2"/>
  <c r="L3031" i="2"/>
  <c r="N3031" i="2"/>
  <c r="N3013" i="2"/>
  <c r="M3013" i="2"/>
  <c r="L3013" i="2"/>
  <c r="N3006" i="2"/>
  <c r="L3006" i="2"/>
  <c r="M3006" i="2"/>
  <c r="N2982" i="2"/>
  <c r="M2982" i="2"/>
  <c r="L2982" i="2"/>
  <c r="L2956" i="2"/>
  <c r="N2956" i="2"/>
  <c r="M2956" i="2"/>
  <c r="N2940" i="2"/>
  <c r="M2940" i="2"/>
  <c r="L2940" i="2"/>
  <c r="M2911" i="2"/>
  <c r="L2911" i="2"/>
  <c r="N2911" i="2"/>
  <c r="L2883" i="2"/>
  <c r="N2883" i="2"/>
  <c r="M2883" i="2"/>
  <c r="N2865" i="2"/>
  <c r="L2865" i="2"/>
  <c r="L2841" i="2"/>
  <c r="N2841" i="2"/>
  <c r="L2831" i="2"/>
  <c r="N2831" i="2"/>
  <c r="M2831" i="2"/>
  <c r="N2815" i="2"/>
  <c r="M2815" i="2"/>
  <c r="L2815" i="2"/>
  <c r="L2793" i="2"/>
  <c r="M2793" i="2"/>
  <c r="N2762" i="2"/>
  <c r="M2762" i="2"/>
  <c r="N2698" i="2"/>
  <c r="L2698" i="2"/>
  <c r="M2698" i="2"/>
  <c r="N2681" i="2"/>
  <c r="M2681" i="2"/>
  <c r="L2681" i="2"/>
  <c r="L2661" i="2"/>
  <c r="M2661" i="2"/>
  <c r="N2661" i="2"/>
  <c r="N2632" i="2"/>
  <c r="M2632" i="2"/>
  <c r="L2632" i="2"/>
  <c r="L2925" i="2"/>
  <c r="M497" i="2"/>
  <c r="N529" i="2"/>
  <c r="N3993" i="2"/>
  <c r="M4523" i="2"/>
  <c r="L5130" i="2"/>
  <c r="M5159" i="2"/>
  <c r="L3399" i="2"/>
  <c r="M4431" i="2"/>
  <c r="E24" i="3" l="1"/>
  <c r="E23" i="3"/>
</calcChain>
</file>

<file path=xl/sharedStrings.xml><?xml version="1.0" encoding="utf-8"?>
<sst xmlns="http://schemas.openxmlformats.org/spreadsheetml/2006/main" count="50526" uniqueCount="83">
  <si>
    <t>ID</t>
  </si>
  <si>
    <t>Idade</t>
  </si>
  <si>
    <t>Genero</t>
  </si>
  <si>
    <t>Area</t>
  </si>
  <si>
    <t>Cargo</t>
  </si>
  <si>
    <t>Turno</t>
  </si>
  <si>
    <t>TempoEmpresaMeses</t>
  </si>
  <si>
    <t>Salario</t>
  </si>
  <si>
    <t>Gestor</t>
  </si>
  <si>
    <t>DistanciaKm</t>
  </si>
  <si>
    <t>Onboarding</t>
  </si>
  <si>
    <t>HorasExtrasMes</t>
  </si>
  <si>
    <t>FaltasAno</t>
  </si>
  <si>
    <t>AvaliacaoDesempenho</t>
  </si>
  <si>
    <t>Desligado</t>
  </si>
  <si>
    <t>Feminino</t>
  </si>
  <si>
    <t>Montagem</t>
  </si>
  <si>
    <t>Operador</t>
  </si>
  <si>
    <t>2º Turno</t>
  </si>
  <si>
    <t>Fernanda</t>
  </si>
  <si>
    <t>Sim</t>
  </si>
  <si>
    <t>3º Turno</t>
  </si>
  <si>
    <t>Logistica</t>
  </si>
  <si>
    <t>1º Turno</t>
  </si>
  <si>
    <t>Ricardo</t>
  </si>
  <si>
    <t>Não</t>
  </si>
  <si>
    <t>Masculino</t>
  </si>
  <si>
    <t>Pintura</t>
  </si>
  <si>
    <t>Marcos</t>
  </si>
  <si>
    <t>Soldagem</t>
  </si>
  <si>
    <t>Carlos</t>
  </si>
  <si>
    <t>Qualidade</t>
  </si>
  <si>
    <t>Analista</t>
  </si>
  <si>
    <t>Juliana</t>
  </si>
  <si>
    <t>Inspetor</t>
  </si>
  <si>
    <t>Planta</t>
  </si>
  <si>
    <t xml:space="preserve">Data </t>
  </si>
  <si>
    <t>Semana</t>
  </si>
  <si>
    <t>Mês</t>
  </si>
  <si>
    <t>Ano</t>
  </si>
  <si>
    <t>Ferias</t>
  </si>
  <si>
    <t>Medico</t>
  </si>
  <si>
    <t>Legal</t>
  </si>
  <si>
    <t>Afastamento</t>
  </si>
  <si>
    <t>Outros</t>
  </si>
  <si>
    <t>Admissão</t>
  </si>
  <si>
    <t>Desligamento</t>
  </si>
  <si>
    <t>Data Ref</t>
  </si>
  <si>
    <t>abr</t>
  </si>
  <si>
    <t>mai</t>
  </si>
  <si>
    <t>ter</t>
  </si>
  <si>
    <t>qua</t>
  </si>
  <si>
    <t>qui</t>
  </si>
  <si>
    <t>sex</t>
  </si>
  <si>
    <t>sáb</t>
  </si>
  <si>
    <t>dom</t>
  </si>
  <si>
    <t>seg</t>
  </si>
  <si>
    <t>Injustificada</t>
  </si>
  <si>
    <t>(Tudo)</t>
  </si>
  <si>
    <t>Contagem de FaltasAno</t>
  </si>
  <si>
    <t>Rótulos de Coluna</t>
  </si>
  <si>
    <t>Total Geral</t>
  </si>
  <si>
    <t>Rótulos de Linha</t>
  </si>
  <si>
    <t>Contagem de ID</t>
  </si>
  <si>
    <t>Headcount</t>
  </si>
  <si>
    <t>Dias</t>
  </si>
  <si>
    <t>12 meses</t>
  </si>
  <si>
    <t>6 meses</t>
  </si>
  <si>
    <t xml:space="preserve">Abs </t>
  </si>
  <si>
    <t>% Abs geral</t>
  </si>
  <si>
    <t>jan</t>
  </si>
  <si>
    <t>fev</t>
  </si>
  <si>
    <t>mar</t>
  </si>
  <si>
    <t>jun</t>
  </si>
  <si>
    <t>jul</t>
  </si>
  <si>
    <t>ago</t>
  </si>
  <si>
    <t>set</t>
  </si>
  <si>
    <t>out</t>
  </si>
  <si>
    <t>nov</t>
  </si>
  <si>
    <t>dez</t>
  </si>
  <si>
    <t>Check</t>
  </si>
  <si>
    <t xml:space="preserve">Faltas Total </t>
  </si>
  <si>
    <t>Available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</si>
</sst>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9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64" fontId="3" fillId="3" borderId="0" xfId="1" applyNumberFormat="1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7"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scila Lima Gomes" refreshedDate="46201.724592245373" createdVersion="8" refreshedVersion="8" minRefreshableVersion="3" recordCount="6822" xr:uid="{BC5EBA7F-BD4C-496A-A9DD-95EB1FCB6671}">
  <cacheSource type="worksheet">
    <worksheetSource ref="A1:P1048576" sheet="Absenteismo"/>
  </cacheSource>
  <cacheFields count="16">
    <cacheField name="ID" numFmtId="0">
      <sharedItems containsString="0" containsBlank="1" containsNumber="1" containsInteger="1" minValue="1001" maxValue="2194"/>
    </cacheField>
    <cacheField name="Idade" numFmtId="0">
      <sharedItems containsString="0" containsBlank="1" containsNumber="1" containsInteger="1" minValue="18" maxValue="58"/>
    </cacheField>
    <cacheField name="Genero" numFmtId="0">
      <sharedItems containsBlank="1"/>
    </cacheField>
    <cacheField name="Area" numFmtId="0">
      <sharedItems containsBlank="1"/>
    </cacheField>
    <cacheField name="Cargo" numFmtId="0">
      <sharedItems containsBlank="1"/>
    </cacheField>
    <cacheField name="Turno" numFmtId="0">
      <sharedItems containsBlank="1"/>
    </cacheField>
    <cacheField name="FaltasAno" numFmtId="0">
      <sharedItems containsBlank="1" count="7">
        <s v="Medico"/>
        <s v="Afastamento"/>
        <s v="Legal"/>
        <s v="Outros"/>
        <s v="Ferias"/>
        <s v="Injustificada"/>
        <m/>
      </sharedItems>
    </cacheField>
    <cacheField name="Desligado" numFmtId="0">
      <sharedItems containsBlank="1"/>
    </cacheField>
    <cacheField name="Planta" numFmtId="0">
      <sharedItems containsString="0" containsBlank="1" containsNumber="1" containsInteger="1" minValue="1" maxValue="3" count="4">
        <n v="3"/>
        <n v="2"/>
        <n v="1"/>
        <m/>
      </sharedItems>
    </cacheField>
    <cacheField name="Data " numFmtId="0">
      <sharedItems containsNonDate="0" containsDate="1" containsString="0" containsBlank="1" minDate="2025-01-01T00:00:00" maxDate="2026-07-01T00:00:00"/>
    </cacheField>
    <cacheField name="Data Ref" numFmtId="0">
      <sharedItems containsNonDate="0" containsDate="1" containsString="0" containsBlank="1" minDate="2025-01-01T00:00:00" maxDate="2026-06-03T00:00:00"/>
    </cacheField>
    <cacheField name="Semana" numFmtId="0">
      <sharedItems containsBlank="1"/>
    </cacheField>
    <cacheField name="Mês" numFmtId="0">
      <sharedItems containsBlank="1" count="13">
        <s v="mai"/>
        <s v="jun"/>
        <s v="abr"/>
        <s v="fev"/>
        <s v="mar"/>
        <s v="jan"/>
        <s v="jul"/>
        <s v="set"/>
        <s v="dez"/>
        <s v="ago"/>
        <s v="nov"/>
        <s v="out"/>
        <m/>
      </sharedItems>
    </cacheField>
    <cacheField name="Ano" numFmtId="0">
      <sharedItems containsString="0" containsBlank="1" containsNumber="1" containsInteger="1" minValue="2024" maxValue="2026" count="4">
        <n v="2026"/>
        <n v="2025"/>
        <m/>
        <n v="2024" u="1"/>
      </sharedItems>
    </cacheField>
    <cacheField name="Desligamento" numFmtId="0">
      <sharedItems containsNonDate="0" containsDate="1" containsString="0" containsBlank="1" minDate="2025-04-01T00:00:00" maxDate="2026-06-30T00:00:00"/>
    </cacheField>
    <cacheField name="Chec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22">
  <r>
    <n v="1968"/>
    <n v="54"/>
    <s v="Feminino"/>
    <s v="Qualidade"/>
    <s v="Inspetor"/>
    <s v="3º Turno"/>
    <x v="0"/>
    <s v="Não"/>
    <x v="0"/>
    <d v="2026-05-11T00:00:00"/>
    <d v="2026-05-01T00:00:00"/>
    <s v="seg"/>
    <x v="0"/>
    <x v="0"/>
    <m/>
    <s v="196846153"/>
  </r>
  <r>
    <n v="1968"/>
    <n v="54"/>
    <s v="Feminino"/>
    <s v="Qualidade"/>
    <s v="Inspetor"/>
    <s v="3º Turno"/>
    <x v="0"/>
    <s v="Não"/>
    <x v="0"/>
    <d v="2026-05-31T00:00:00"/>
    <d v="2026-05-01T00:00:00"/>
    <s v="dom"/>
    <x v="0"/>
    <x v="1"/>
    <m/>
    <s v="196846173"/>
  </r>
  <r>
    <n v="1972"/>
    <n v="49"/>
    <s v="Feminino"/>
    <s v="Montagem"/>
    <s v="Operador"/>
    <s v="3º Turno"/>
    <x v="0"/>
    <s v="Não"/>
    <x v="0"/>
    <d v="2026-05-15T00:00:00"/>
    <d v="2026-05-01T00:00:00"/>
    <s v="sex"/>
    <x v="0"/>
    <x v="0"/>
    <m/>
    <s v="197246157"/>
  </r>
  <r>
    <n v="1972"/>
    <n v="49"/>
    <s v="Feminino"/>
    <s v="Montagem"/>
    <s v="Operador"/>
    <s v="3º Turno"/>
    <x v="0"/>
    <s v="Não"/>
    <x v="0"/>
    <d v="2026-04-26T00:00:00"/>
    <d v="2026-04-01T00:00:00"/>
    <s v="qui"/>
    <x v="0"/>
    <x v="1"/>
    <m/>
    <s v="197246138"/>
  </r>
  <r>
    <n v="1976"/>
    <n v="38"/>
    <s v="Feminino"/>
    <s v="Qualidade"/>
    <s v="Analista"/>
    <s v="3º Turno"/>
    <x v="0"/>
    <s v="Não"/>
    <x v="1"/>
    <d v="2026-06-08T00:00:00"/>
    <d v="2026-06-01T00:00:00"/>
    <s v="seg"/>
    <x v="1"/>
    <x v="0"/>
    <m/>
    <s v="197646181"/>
  </r>
  <r>
    <n v="1976"/>
    <n v="38"/>
    <s v="Feminino"/>
    <s v="Qualidade"/>
    <s v="Analista"/>
    <s v="3º Turno"/>
    <x v="0"/>
    <s v="Não"/>
    <x v="1"/>
    <d v="2026-05-31T00:00:00"/>
    <d v="2026-05-01T00:00:00"/>
    <s v="dom"/>
    <x v="0"/>
    <x v="0"/>
    <m/>
    <s v="197646173"/>
  </r>
  <r>
    <n v="1976"/>
    <n v="38"/>
    <s v="Feminino"/>
    <s v="Qualidade"/>
    <s v="Analista"/>
    <s v="3º Turno"/>
    <x v="0"/>
    <s v="Não"/>
    <x v="1"/>
    <d v="2026-04-18T00:00:00"/>
    <d v="2026-04-01T00:00:00"/>
    <s v="sex"/>
    <x v="2"/>
    <x v="1"/>
    <m/>
    <s v="197646130"/>
  </r>
  <r>
    <n v="1976"/>
    <n v="38"/>
    <s v="Feminino"/>
    <s v="Qualidade"/>
    <s v="Analista"/>
    <s v="3º Turno"/>
    <x v="0"/>
    <s v="Não"/>
    <x v="1"/>
    <d v="2026-05-08T00:00:00"/>
    <d v="2026-05-01T00:00:00"/>
    <s v="qui"/>
    <x v="0"/>
    <x v="1"/>
    <m/>
    <s v="197646150"/>
  </r>
  <r>
    <n v="1977"/>
    <n v="27"/>
    <s v="Masculino"/>
    <s v="Qualidade"/>
    <s v="Analista"/>
    <s v="3º Turno"/>
    <x v="0"/>
    <s v="Não"/>
    <x v="0"/>
    <d v="2026-04-26T00:00:00"/>
    <d v="2026-04-01T00:00:00"/>
    <s v="dom"/>
    <x v="2"/>
    <x v="0"/>
    <m/>
    <s v="197746138"/>
  </r>
  <r>
    <n v="1977"/>
    <n v="27"/>
    <s v="Masculino"/>
    <s v="Qualidade"/>
    <s v="Analista"/>
    <s v="3º Turno"/>
    <x v="0"/>
    <s v="Não"/>
    <x v="0"/>
    <d v="2026-05-28T00:00:00"/>
    <d v="2026-05-01T00:00:00"/>
    <s v="qui"/>
    <x v="0"/>
    <x v="0"/>
    <m/>
    <s v="197746170"/>
  </r>
  <r>
    <n v="1977"/>
    <n v="27"/>
    <s v="Masculino"/>
    <s v="Qualidade"/>
    <s v="Analista"/>
    <s v="3º Turno"/>
    <x v="0"/>
    <s v="Não"/>
    <x v="0"/>
    <d v="2026-05-22T00:00:00"/>
    <d v="2026-05-01T00:00:00"/>
    <s v="qui"/>
    <x v="0"/>
    <x v="1"/>
    <m/>
    <s v="197746164"/>
  </r>
  <r>
    <n v="1977"/>
    <n v="27"/>
    <s v="Masculino"/>
    <s v="Qualidade"/>
    <s v="Analista"/>
    <s v="3º Turno"/>
    <x v="0"/>
    <s v="Não"/>
    <x v="0"/>
    <d v="2026-05-26T00:00:00"/>
    <d v="2026-05-01T00:00:00"/>
    <s v="seg"/>
    <x v="0"/>
    <x v="1"/>
    <m/>
    <s v="197746168"/>
  </r>
  <r>
    <n v="1980"/>
    <n v="24"/>
    <s v="Feminino"/>
    <s v="Soldagem"/>
    <s v="Operador"/>
    <s v="3º Turno"/>
    <x v="0"/>
    <s v="Não"/>
    <x v="1"/>
    <d v="2026-04-22T00:00:00"/>
    <d v="2026-04-01T00:00:00"/>
    <s v="qua"/>
    <x v="2"/>
    <x v="0"/>
    <m/>
    <s v="198046134"/>
  </r>
  <r>
    <n v="1980"/>
    <n v="24"/>
    <s v="Feminino"/>
    <s v="Soldagem"/>
    <s v="Operador"/>
    <s v="3º Turno"/>
    <x v="0"/>
    <s v="Não"/>
    <x v="1"/>
    <d v="2026-05-31T00:00:00"/>
    <d v="2026-05-01T00:00:00"/>
    <s v="ter"/>
    <x v="2"/>
    <x v="1"/>
    <m/>
    <s v="198046173"/>
  </r>
  <r>
    <n v="1983"/>
    <n v="37"/>
    <s v="Masculino"/>
    <s v="Pintura"/>
    <s v="Operador"/>
    <s v="2º Turno"/>
    <x v="0"/>
    <s v="Não"/>
    <x v="0"/>
    <d v="2026-05-28T00:00:00"/>
    <d v="2026-05-01T00:00:00"/>
    <s v="qui"/>
    <x v="0"/>
    <x v="0"/>
    <m/>
    <s v="198346170"/>
  </r>
  <r>
    <n v="1983"/>
    <n v="37"/>
    <s v="Masculino"/>
    <s v="Pintura"/>
    <s v="Operador"/>
    <s v="2º Turno"/>
    <x v="0"/>
    <s v="Não"/>
    <x v="0"/>
    <d v="2026-04-26T00:00:00"/>
    <d v="2026-04-01T00:00:00"/>
    <s v="dom"/>
    <x v="2"/>
    <x v="0"/>
    <m/>
    <s v="198346138"/>
  </r>
  <r>
    <n v="1983"/>
    <n v="37"/>
    <s v="Masculino"/>
    <s v="Pintura"/>
    <s v="Operador"/>
    <s v="2º Turno"/>
    <x v="0"/>
    <s v="Não"/>
    <x v="0"/>
    <d v="2026-05-14T00:00:00"/>
    <d v="2026-05-01T00:00:00"/>
    <s v="qua"/>
    <x v="0"/>
    <x v="1"/>
    <m/>
    <s v="198346156"/>
  </r>
  <r>
    <n v="1983"/>
    <n v="37"/>
    <s v="Masculino"/>
    <s v="Pintura"/>
    <s v="Operador"/>
    <s v="2º Turno"/>
    <x v="0"/>
    <s v="Não"/>
    <x v="0"/>
    <d v="2026-05-31T00:00:00"/>
    <d v="2026-05-01T00:00:00"/>
    <s v="sáb"/>
    <x v="0"/>
    <x v="1"/>
    <m/>
    <s v="198346173"/>
  </r>
  <r>
    <n v="1986"/>
    <n v="20"/>
    <s v="Masculino"/>
    <s v="Logistica"/>
    <s v="Operador"/>
    <s v="1º Turno"/>
    <x v="0"/>
    <s v="Não"/>
    <x v="2"/>
    <d v="2026-05-28T00:00:00"/>
    <d v="2026-05-01T00:00:00"/>
    <s v="qui"/>
    <x v="0"/>
    <x v="0"/>
    <m/>
    <s v="198646170"/>
  </r>
  <r>
    <n v="1986"/>
    <n v="20"/>
    <s v="Masculino"/>
    <s v="Logistica"/>
    <s v="Operador"/>
    <s v="1º Turno"/>
    <x v="0"/>
    <s v="Não"/>
    <x v="2"/>
    <d v="2026-04-11T00:00:00"/>
    <d v="2026-04-01T00:00:00"/>
    <s v="sex"/>
    <x v="2"/>
    <x v="1"/>
    <m/>
    <s v="198646123"/>
  </r>
  <r>
    <n v="1988"/>
    <n v="39"/>
    <s v="Feminino"/>
    <s v="Soldagem"/>
    <s v="Operador"/>
    <s v="1º Turno"/>
    <x v="0"/>
    <s v="Não"/>
    <x v="2"/>
    <d v="2026-05-31T00:00:00"/>
    <d v="2026-05-01T00:00:00"/>
    <s v="dom"/>
    <x v="0"/>
    <x v="0"/>
    <m/>
    <s v="198846173"/>
  </r>
  <r>
    <n v="1988"/>
    <n v="39"/>
    <s v="Feminino"/>
    <s v="Soldagem"/>
    <s v="Operador"/>
    <s v="1º Turno"/>
    <x v="0"/>
    <s v="Não"/>
    <x v="2"/>
    <d v="2026-05-28T00:00:00"/>
    <d v="2026-05-01T00:00:00"/>
    <s v="qui"/>
    <x v="0"/>
    <x v="0"/>
    <m/>
    <s v="198846170"/>
  </r>
  <r>
    <n v="1988"/>
    <n v="39"/>
    <s v="Feminino"/>
    <s v="Soldagem"/>
    <s v="Operador"/>
    <s v="1º Turno"/>
    <x v="0"/>
    <s v="Não"/>
    <x v="2"/>
    <d v="2026-04-26T00:00:00"/>
    <d v="2026-04-01T00:00:00"/>
    <s v="dom"/>
    <x v="2"/>
    <x v="0"/>
    <m/>
    <s v="198846138"/>
  </r>
  <r>
    <n v="1988"/>
    <n v="39"/>
    <s v="Feminino"/>
    <s v="Soldagem"/>
    <s v="Operador"/>
    <s v="1º Turno"/>
    <x v="0"/>
    <s v="Não"/>
    <x v="2"/>
    <d v="2026-04-19T00:00:00"/>
    <d v="2026-04-01T00:00:00"/>
    <s v="sáb"/>
    <x v="2"/>
    <x v="1"/>
    <m/>
    <s v="198846131"/>
  </r>
  <r>
    <n v="1988"/>
    <n v="39"/>
    <s v="Feminino"/>
    <s v="Soldagem"/>
    <s v="Operador"/>
    <s v="1º Turno"/>
    <x v="0"/>
    <s v="Não"/>
    <x v="2"/>
    <d v="2026-04-23T00:00:00"/>
    <d v="2026-04-01T00:00:00"/>
    <s v="qua"/>
    <x v="2"/>
    <x v="1"/>
    <m/>
    <s v="198846135"/>
  </r>
  <r>
    <n v="1988"/>
    <n v="39"/>
    <s v="Feminino"/>
    <s v="Soldagem"/>
    <s v="Operador"/>
    <s v="1º Turno"/>
    <x v="0"/>
    <s v="Não"/>
    <x v="2"/>
    <d v="2026-05-20T00:00:00"/>
    <d v="2026-05-01T00:00:00"/>
    <s v="ter"/>
    <x v="0"/>
    <x v="1"/>
    <m/>
    <s v="198846162"/>
  </r>
  <r>
    <n v="1991"/>
    <n v="49"/>
    <s v="Feminino"/>
    <s v="Montagem"/>
    <s v="Operador"/>
    <s v="3º Turno"/>
    <x v="0"/>
    <s v="Não"/>
    <x v="2"/>
    <d v="2026-02-02T00:00:00"/>
    <d v="2026-02-01T00:00:00"/>
    <s v="seg"/>
    <x v="3"/>
    <x v="0"/>
    <m/>
    <s v="199146055"/>
  </r>
  <r>
    <n v="1991"/>
    <n v="49"/>
    <s v="Feminino"/>
    <s v="Montagem"/>
    <s v="Operador"/>
    <s v="3º Turno"/>
    <x v="0"/>
    <s v="Não"/>
    <x v="2"/>
    <d v="2026-05-23T00:00:00"/>
    <d v="2026-05-01T00:00:00"/>
    <s v="sex"/>
    <x v="0"/>
    <x v="1"/>
    <m/>
    <s v="199146165"/>
  </r>
  <r>
    <n v="1994"/>
    <n v="26"/>
    <s v="Feminino"/>
    <s v="Montagem"/>
    <s v="Operador"/>
    <s v="3º Turno"/>
    <x v="0"/>
    <s v="Não"/>
    <x v="0"/>
    <d v="2026-04-12T00:00:00"/>
    <d v="2026-04-01T00:00:00"/>
    <s v="dom"/>
    <x v="2"/>
    <x v="0"/>
    <m/>
    <s v="199446124"/>
  </r>
  <r>
    <n v="1994"/>
    <n v="26"/>
    <s v="Feminino"/>
    <s v="Montagem"/>
    <s v="Operador"/>
    <s v="3º Turno"/>
    <x v="0"/>
    <s v="Não"/>
    <x v="0"/>
    <d v="2026-05-23T00:00:00"/>
    <d v="2026-05-01T00:00:00"/>
    <s v="sáb"/>
    <x v="0"/>
    <x v="0"/>
    <m/>
    <s v="199446165"/>
  </r>
  <r>
    <n v="1994"/>
    <n v="26"/>
    <s v="Feminino"/>
    <s v="Montagem"/>
    <s v="Operador"/>
    <s v="3º Turno"/>
    <x v="0"/>
    <s v="Não"/>
    <x v="0"/>
    <d v="2026-05-31T00:00:00"/>
    <d v="2026-05-01T00:00:00"/>
    <s v="sáb"/>
    <x v="2"/>
    <x v="1"/>
    <m/>
    <s v="199446173"/>
  </r>
  <r>
    <n v="1994"/>
    <n v="26"/>
    <s v="Feminino"/>
    <s v="Montagem"/>
    <s v="Operador"/>
    <s v="3º Turno"/>
    <x v="0"/>
    <s v="Não"/>
    <x v="0"/>
    <d v="2026-06-01T00:00:00"/>
    <d v="2026-06-01T00:00:00"/>
    <s v="sex"/>
    <x v="0"/>
    <x v="1"/>
    <m/>
    <s v="199446174"/>
  </r>
  <r>
    <n v="1995"/>
    <n v="52"/>
    <s v="Masculino"/>
    <s v="Logistica"/>
    <s v="Operador"/>
    <s v="1º Turno"/>
    <x v="0"/>
    <s v="Não"/>
    <x v="1"/>
    <d v="2026-06-28T00:00:00"/>
    <d v="2026-06-01T00:00:00"/>
    <s v="dom"/>
    <x v="1"/>
    <x v="0"/>
    <m/>
    <s v="199546201"/>
  </r>
  <r>
    <n v="1995"/>
    <n v="52"/>
    <s v="Masculino"/>
    <s v="Logistica"/>
    <s v="Operador"/>
    <s v="1º Turno"/>
    <x v="0"/>
    <s v="Não"/>
    <x v="1"/>
    <d v="2026-05-20T00:00:00"/>
    <d v="2026-05-01T00:00:00"/>
    <s v="ter"/>
    <x v="0"/>
    <x v="1"/>
    <m/>
    <s v="199546162"/>
  </r>
  <r>
    <n v="1997"/>
    <n v="32"/>
    <s v="Feminino"/>
    <s v="Pintura"/>
    <s v="Operador"/>
    <s v="3º Turno"/>
    <x v="0"/>
    <s v="Não"/>
    <x v="1"/>
    <d v="2026-04-17T00:00:00"/>
    <d v="2026-04-01T00:00:00"/>
    <s v="sex"/>
    <x v="2"/>
    <x v="0"/>
    <m/>
    <s v="199746129"/>
  </r>
  <r>
    <n v="1997"/>
    <n v="32"/>
    <s v="Feminino"/>
    <s v="Pintura"/>
    <s v="Operador"/>
    <s v="3º Turno"/>
    <x v="0"/>
    <s v="Não"/>
    <x v="1"/>
    <d v="2026-06-01T00:00:00"/>
    <d v="2026-06-01T00:00:00"/>
    <s v="seg"/>
    <x v="1"/>
    <x v="0"/>
    <m/>
    <s v="199746174"/>
  </r>
  <r>
    <n v="1997"/>
    <n v="32"/>
    <s v="Feminino"/>
    <s v="Pintura"/>
    <s v="Operador"/>
    <s v="3º Turno"/>
    <x v="0"/>
    <s v="Não"/>
    <x v="1"/>
    <d v="2026-05-31T00:00:00"/>
    <d v="2026-05-01T00:00:00"/>
    <s v="dom"/>
    <x v="0"/>
    <x v="0"/>
    <m/>
    <s v="199746173"/>
  </r>
  <r>
    <n v="1997"/>
    <n v="32"/>
    <s v="Feminino"/>
    <s v="Pintura"/>
    <s v="Operador"/>
    <s v="3º Turno"/>
    <x v="0"/>
    <s v="Não"/>
    <x v="1"/>
    <d v="2026-06-28T00:00:00"/>
    <d v="2026-06-01T00:00:00"/>
    <s v="qui"/>
    <x v="2"/>
    <x v="1"/>
    <m/>
    <s v="199746201"/>
  </r>
  <r>
    <n v="1997"/>
    <n v="32"/>
    <s v="Feminino"/>
    <s v="Pintura"/>
    <s v="Operador"/>
    <s v="3º Turno"/>
    <x v="0"/>
    <s v="Não"/>
    <x v="1"/>
    <d v="2026-05-17T00:00:00"/>
    <d v="2026-05-01T00:00:00"/>
    <s v="sáb"/>
    <x v="0"/>
    <x v="1"/>
    <m/>
    <s v="199746159"/>
  </r>
  <r>
    <n v="1997"/>
    <n v="32"/>
    <s v="Feminino"/>
    <s v="Pintura"/>
    <s v="Operador"/>
    <s v="3º Turno"/>
    <x v="0"/>
    <s v="Não"/>
    <x v="1"/>
    <d v="2026-05-27T00:00:00"/>
    <d v="2026-05-01T00:00:00"/>
    <s v="ter"/>
    <x v="0"/>
    <x v="1"/>
    <m/>
    <s v="199746169"/>
  </r>
  <r>
    <n v="1999"/>
    <n v="56"/>
    <s v="Masculino"/>
    <s v="Soldagem"/>
    <s v="Operador"/>
    <s v="3º Turno"/>
    <x v="0"/>
    <s v="Não"/>
    <x v="2"/>
    <d v="2026-06-21T00:00:00"/>
    <d v="2026-06-01T00:00:00"/>
    <s v="dom"/>
    <x v="1"/>
    <x v="0"/>
    <m/>
    <s v="199946194"/>
  </r>
  <r>
    <n v="1999"/>
    <n v="56"/>
    <s v="Masculino"/>
    <s v="Soldagem"/>
    <s v="Operador"/>
    <s v="3º Turno"/>
    <x v="0"/>
    <s v="Não"/>
    <x v="2"/>
    <d v="2026-06-15T00:00:00"/>
    <d v="2026-06-01T00:00:00"/>
    <s v="seg"/>
    <x v="1"/>
    <x v="0"/>
    <m/>
    <s v="199946188"/>
  </r>
  <r>
    <n v="1999"/>
    <n v="56"/>
    <s v="Masculino"/>
    <s v="Soldagem"/>
    <s v="Operador"/>
    <s v="3º Turno"/>
    <x v="0"/>
    <s v="Não"/>
    <x v="2"/>
    <d v="2026-06-01T00:00:00"/>
    <d v="2026-06-01T00:00:00"/>
    <s v="seg"/>
    <x v="1"/>
    <x v="0"/>
    <m/>
    <s v="199946174"/>
  </r>
  <r>
    <n v="1999"/>
    <n v="56"/>
    <s v="Masculino"/>
    <s v="Soldagem"/>
    <s v="Operador"/>
    <s v="3º Turno"/>
    <x v="0"/>
    <s v="Não"/>
    <x v="2"/>
    <d v="2026-04-19T00:00:00"/>
    <d v="2026-04-01T00:00:00"/>
    <s v="sáb"/>
    <x v="2"/>
    <x v="1"/>
    <m/>
    <s v="199946131"/>
  </r>
  <r>
    <n v="1999"/>
    <n v="56"/>
    <s v="Masculino"/>
    <s v="Soldagem"/>
    <s v="Operador"/>
    <s v="3º Turno"/>
    <x v="0"/>
    <s v="Não"/>
    <x v="2"/>
    <d v="2026-06-28T00:00:00"/>
    <d v="2026-06-01T00:00:00"/>
    <s v="seg"/>
    <x v="2"/>
    <x v="1"/>
    <m/>
    <s v="199946201"/>
  </r>
  <r>
    <n v="1999"/>
    <n v="56"/>
    <s v="Masculino"/>
    <s v="Soldagem"/>
    <s v="Operador"/>
    <s v="3º Turno"/>
    <x v="0"/>
    <s v="Não"/>
    <x v="2"/>
    <d v="2026-05-12T00:00:00"/>
    <d v="2026-05-01T00:00:00"/>
    <s v="seg"/>
    <x v="0"/>
    <x v="1"/>
    <m/>
    <s v="199946154"/>
  </r>
  <r>
    <n v="2001"/>
    <n v="48"/>
    <s v="Feminino"/>
    <s v="Montagem"/>
    <s v="Operador"/>
    <s v="1º Turno"/>
    <x v="0"/>
    <s v="Não"/>
    <x v="0"/>
    <d v="2026-05-31T00:00:00"/>
    <d v="2026-05-01T00:00:00"/>
    <s v="dom"/>
    <x v="0"/>
    <x v="0"/>
    <m/>
    <s v="200146173"/>
  </r>
  <r>
    <n v="2001"/>
    <n v="48"/>
    <s v="Feminino"/>
    <s v="Montagem"/>
    <s v="Operador"/>
    <s v="1º Turno"/>
    <x v="0"/>
    <s v="Não"/>
    <x v="0"/>
    <d v="2026-05-06T00:00:00"/>
    <d v="2026-05-01T00:00:00"/>
    <s v="ter"/>
    <x v="0"/>
    <x v="1"/>
    <m/>
    <s v="200146148"/>
  </r>
  <r>
    <n v="2002"/>
    <n v="53"/>
    <s v="Masculino"/>
    <s v="Pintura"/>
    <s v="Operador"/>
    <s v="2º Turno"/>
    <x v="0"/>
    <s v="Não"/>
    <x v="0"/>
    <d v="2026-05-24T00:00:00"/>
    <d v="2026-05-01T00:00:00"/>
    <s v="dom"/>
    <x v="0"/>
    <x v="0"/>
    <m/>
    <s v="200246166"/>
  </r>
  <r>
    <n v="2002"/>
    <n v="53"/>
    <s v="Masculino"/>
    <s v="Pintura"/>
    <s v="Operador"/>
    <s v="2º Turno"/>
    <x v="0"/>
    <s v="Não"/>
    <x v="0"/>
    <d v="2026-06-21T00:00:00"/>
    <d v="2026-06-01T00:00:00"/>
    <s v="dom"/>
    <x v="1"/>
    <x v="0"/>
    <m/>
    <s v="200246194"/>
  </r>
  <r>
    <n v="2002"/>
    <n v="53"/>
    <s v="Masculino"/>
    <s v="Pintura"/>
    <s v="Operador"/>
    <s v="2º Turno"/>
    <x v="0"/>
    <s v="Não"/>
    <x v="0"/>
    <d v="2026-06-28T00:00:00"/>
    <d v="2026-06-01T00:00:00"/>
    <s v="sáb"/>
    <x v="0"/>
    <x v="1"/>
    <m/>
    <s v="200246201"/>
  </r>
  <r>
    <n v="2002"/>
    <n v="53"/>
    <s v="Masculino"/>
    <s v="Pintura"/>
    <s v="Operador"/>
    <s v="2º Turno"/>
    <x v="0"/>
    <s v="Não"/>
    <x v="0"/>
    <d v="2026-05-25T00:00:00"/>
    <d v="2026-05-01T00:00:00"/>
    <s v="dom"/>
    <x v="0"/>
    <x v="1"/>
    <m/>
    <s v="200246167"/>
  </r>
  <r>
    <n v="2006"/>
    <n v="41"/>
    <s v="Masculino"/>
    <s v="Pintura"/>
    <s v="Operador"/>
    <s v="3º Turno"/>
    <x v="0"/>
    <s v="Não"/>
    <x v="1"/>
    <d v="2026-05-22T00:00:00"/>
    <d v="2026-05-01T00:00:00"/>
    <s v="sex"/>
    <x v="0"/>
    <x v="0"/>
    <m/>
    <s v="200646164"/>
  </r>
  <r>
    <n v="2006"/>
    <n v="41"/>
    <s v="Masculino"/>
    <s v="Pintura"/>
    <s v="Operador"/>
    <s v="3º Turno"/>
    <x v="0"/>
    <s v="Não"/>
    <x v="1"/>
    <d v="2026-05-02T00:00:00"/>
    <d v="2026-05-01T00:00:00"/>
    <s v="sex"/>
    <x v="0"/>
    <x v="1"/>
    <m/>
    <s v="200646144"/>
  </r>
  <r>
    <n v="2007"/>
    <n v="45"/>
    <s v="Masculino"/>
    <s v="Pintura"/>
    <s v="Operador"/>
    <s v="2º Turno"/>
    <x v="0"/>
    <s v="Não"/>
    <x v="1"/>
    <d v="2026-05-02T00:00:00"/>
    <d v="2026-05-01T00:00:00"/>
    <s v="sáb"/>
    <x v="0"/>
    <x v="0"/>
    <m/>
    <s v="200746144"/>
  </r>
  <r>
    <n v="2007"/>
    <n v="45"/>
    <s v="Masculino"/>
    <s v="Pintura"/>
    <s v="Operador"/>
    <s v="2º Turno"/>
    <x v="0"/>
    <s v="Não"/>
    <x v="1"/>
    <d v="2026-06-28T00:00:00"/>
    <d v="2026-06-01T00:00:00"/>
    <s v="dom"/>
    <x v="1"/>
    <x v="0"/>
    <m/>
    <s v="200746201"/>
  </r>
  <r>
    <n v="2007"/>
    <n v="45"/>
    <s v="Masculino"/>
    <s v="Pintura"/>
    <s v="Operador"/>
    <s v="2º Turno"/>
    <x v="0"/>
    <s v="Não"/>
    <x v="1"/>
    <d v="2026-05-31T00:00:00"/>
    <d v="2026-05-01T00:00:00"/>
    <s v="sex"/>
    <x v="0"/>
    <x v="1"/>
    <m/>
    <s v="200746173"/>
  </r>
  <r>
    <n v="2007"/>
    <n v="45"/>
    <s v="Masculino"/>
    <s v="Pintura"/>
    <s v="Operador"/>
    <s v="2º Turno"/>
    <x v="0"/>
    <s v="Não"/>
    <x v="1"/>
    <d v="2026-05-14T00:00:00"/>
    <d v="2026-05-01T00:00:00"/>
    <s v="qua"/>
    <x v="0"/>
    <x v="1"/>
    <m/>
    <s v="200746156"/>
  </r>
  <r>
    <n v="2008"/>
    <n v="37"/>
    <s v="Feminino"/>
    <s v="Montagem"/>
    <s v="Operador"/>
    <s v="3º Turno"/>
    <x v="0"/>
    <s v="Não"/>
    <x v="1"/>
    <d v="2026-05-06T00:00:00"/>
    <d v="2026-05-01T00:00:00"/>
    <s v="qua"/>
    <x v="0"/>
    <x v="0"/>
    <m/>
    <s v="200846148"/>
  </r>
  <r>
    <n v="2008"/>
    <n v="37"/>
    <s v="Feminino"/>
    <s v="Montagem"/>
    <s v="Operador"/>
    <s v="3º Turno"/>
    <x v="0"/>
    <s v="Não"/>
    <x v="1"/>
    <d v="2026-06-21T00:00:00"/>
    <d v="2026-06-01T00:00:00"/>
    <s v="ter"/>
    <x v="0"/>
    <x v="1"/>
    <m/>
    <s v="200846194"/>
  </r>
  <r>
    <n v="2010"/>
    <n v="20"/>
    <s v="Masculino"/>
    <s v="Montagem"/>
    <s v="Operador"/>
    <s v="1º Turno"/>
    <x v="0"/>
    <s v="Não"/>
    <x v="0"/>
    <d v="2026-04-11T00:00:00"/>
    <d v="2026-04-01T00:00:00"/>
    <s v="sáb"/>
    <x v="2"/>
    <x v="0"/>
    <m/>
    <s v="201046123"/>
  </r>
  <r>
    <n v="2010"/>
    <n v="20"/>
    <s v="Masculino"/>
    <s v="Montagem"/>
    <s v="Operador"/>
    <s v="1º Turno"/>
    <x v="0"/>
    <s v="Não"/>
    <x v="0"/>
    <d v="2026-06-11T00:00:00"/>
    <d v="2026-06-01T00:00:00"/>
    <s v="qui"/>
    <x v="1"/>
    <x v="0"/>
    <m/>
    <s v="201046184"/>
  </r>
  <r>
    <n v="2010"/>
    <n v="20"/>
    <s v="Masculino"/>
    <s v="Montagem"/>
    <s v="Operador"/>
    <s v="1º Turno"/>
    <x v="0"/>
    <s v="Não"/>
    <x v="0"/>
    <d v="2026-06-21T00:00:00"/>
    <d v="2026-06-01T00:00:00"/>
    <s v="sex"/>
    <x v="2"/>
    <x v="1"/>
    <m/>
    <s v="201046194"/>
  </r>
  <r>
    <n v="2010"/>
    <n v="20"/>
    <s v="Masculino"/>
    <s v="Montagem"/>
    <s v="Operador"/>
    <s v="1º Turno"/>
    <x v="0"/>
    <s v="Não"/>
    <x v="0"/>
    <d v="2026-05-28T00:00:00"/>
    <d v="2026-05-01T00:00:00"/>
    <s v="qua"/>
    <x v="0"/>
    <x v="1"/>
    <m/>
    <s v="201046170"/>
  </r>
  <r>
    <n v="2011"/>
    <n v="38"/>
    <s v="Feminino"/>
    <s v="Logistica"/>
    <s v="Operador"/>
    <s v="3º Turno"/>
    <x v="0"/>
    <s v="Não"/>
    <x v="1"/>
    <d v="2026-05-31T00:00:00"/>
    <d v="2026-05-01T00:00:00"/>
    <s v="dom"/>
    <x v="0"/>
    <x v="0"/>
    <m/>
    <s v="201146173"/>
  </r>
  <r>
    <n v="2011"/>
    <n v="38"/>
    <s v="Feminino"/>
    <s v="Logistica"/>
    <s v="Operador"/>
    <s v="3º Turno"/>
    <x v="0"/>
    <s v="Não"/>
    <x v="1"/>
    <d v="2026-04-18T00:00:00"/>
    <d v="2026-04-01T00:00:00"/>
    <s v="sex"/>
    <x v="2"/>
    <x v="1"/>
    <m/>
    <s v="201146130"/>
  </r>
  <r>
    <n v="2013"/>
    <n v="40"/>
    <s v="Masculino"/>
    <s v="Pintura"/>
    <s v="Operador"/>
    <s v="3º Turno"/>
    <x v="0"/>
    <s v="Não"/>
    <x v="0"/>
    <d v="2026-06-21T00:00:00"/>
    <d v="2026-06-01T00:00:00"/>
    <s v="dom"/>
    <x v="1"/>
    <x v="0"/>
    <m/>
    <s v="201346194"/>
  </r>
  <r>
    <n v="2013"/>
    <n v="40"/>
    <s v="Masculino"/>
    <s v="Pintura"/>
    <s v="Operador"/>
    <s v="3º Turno"/>
    <x v="0"/>
    <s v="Não"/>
    <x v="0"/>
    <d v="2026-05-20T00:00:00"/>
    <d v="2026-05-01T00:00:00"/>
    <s v="ter"/>
    <x v="0"/>
    <x v="1"/>
    <m/>
    <s v="201346162"/>
  </r>
  <r>
    <n v="2014"/>
    <n v="22"/>
    <s v="Feminino"/>
    <s v="Qualidade"/>
    <s v="Inspetor"/>
    <s v="2º Turno"/>
    <x v="0"/>
    <s v="Não"/>
    <x v="1"/>
    <d v="2026-06-11T00:00:00"/>
    <d v="2026-06-01T00:00:00"/>
    <s v="qui"/>
    <x v="1"/>
    <x v="0"/>
    <m/>
    <s v="201446184"/>
  </r>
  <r>
    <n v="2014"/>
    <n v="22"/>
    <s v="Feminino"/>
    <s v="Qualidade"/>
    <s v="Inspetor"/>
    <s v="2º Turno"/>
    <x v="0"/>
    <s v="Não"/>
    <x v="1"/>
    <d v="2026-05-22T00:00:00"/>
    <d v="2026-05-01T00:00:00"/>
    <s v="qui"/>
    <x v="0"/>
    <x v="1"/>
    <m/>
    <s v="201446164"/>
  </r>
  <r>
    <n v="2016"/>
    <n v="21"/>
    <s v="Masculino"/>
    <s v="Logistica"/>
    <s v="Operador"/>
    <s v="1º Turno"/>
    <x v="0"/>
    <s v="Não"/>
    <x v="0"/>
    <d v="2026-05-24T00:00:00"/>
    <d v="2026-05-01T00:00:00"/>
    <s v="dom"/>
    <x v="0"/>
    <x v="0"/>
    <m/>
    <s v="201646166"/>
  </r>
  <r>
    <n v="2016"/>
    <n v="21"/>
    <s v="Masculino"/>
    <s v="Logistica"/>
    <s v="Operador"/>
    <s v="1º Turno"/>
    <x v="0"/>
    <s v="Não"/>
    <x v="0"/>
    <d v="2026-06-28T00:00:00"/>
    <d v="2026-06-01T00:00:00"/>
    <s v="sáb"/>
    <x v="0"/>
    <x v="1"/>
    <m/>
    <s v="201646201"/>
  </r>
  <r>
    <n v="2018"/>
    <n v="29"/>
    <s v="Feminino"/>
    <s v="Montagem"/>
    <s v="Operador"/>
    <s v="2º Turno"/>
    <x v="0"/>
    <s v="Não"/>
    <x v="1"/>
    <d v="2026-05-31T00:00:00"/>
    <d v="2026-05-01T00:00:00"/>
    <s v="dom"/>
    <x v="0"/>
    <x v="0"/>
    <m/>
    <s v="201846173"/>
  </r>
  <r>
    <n v="2018"/>
    <n v="29"/>
    <s v="Feminino"/>
    <s v="Montagem"/>
    <s v="Operador"/>
    <s v="2º Turno"/>
    <x v="0"/>
    <s v="Não"/>
    <x v="1"/>
    <d v="2026-05-12T00:00:00"/>
    <d v="2026-05-01T00:00:00"/>
    <s v="seg"/>
    <x v="0"/>
    <x v="1"/>
    <m/>
    <s v="201846154"/>
  </r>
  <r>
    <n v="2021"/>
    <n v="42"/>
    <s v="Masculino"/>
    <s v="Logistica"/>
    <s v="Operador"/>
    <s v="3º Turno"/>
    <x v="0"/>
    <s v="Não"/>
    <x v="0"/>
    <d v="2026-04-16T00:00:00"/>
    <d v="2026-04-01T00:00:00"/>
    <s v="qui"/>
    <x v="2"/>
    <x v="0"/>
    <m/>
    <s v="202146128"/>
  </r>
  <r>
    <n v="2021"/>
    <n v="42"/>
    <s v="Masculino"/>
    <s v="Logistica"/>
    <s v="Operador"/>
    <s v="3º Turno"/>
    <x v="0"/>
    <s v="Não"/>
    <x v="0"/>
    <d v="2026-04-20T00:00:00"/>
    <d v="2026-04-01T00:00:00"/>
    <s v="seg"/>
    <x v="2"/>
    <x v="0"/>
    <m/>
    <s v="202146132"/>
  </r>
  <r>
    <n v="2021"/>
    <n v="42"/>
    <s v="Masculino"/>
    <s v="Logistica"/>
    <s v="Operador"/>
    <s v="3º Turno"/>
    <x v="0"/>
    <s v="Não"/>
    <x v="0"/>
    <d v="2026-06-09T00:00:00"/>
    <d v="2026-06-01T00:00:00"/>
    <s v="qua"/>
    <x v="2"/>
    <x v="1"/>
    <m/>
    <s v="202146182"/>
  </r>
  <r>
    <n v="2021"/>
    <n v="42"/>
    <s v="Masculino"/>
    <s v="Logistica"/>
    <s v="Operador"/>
    <s v="3º Turno"/>
    <x v="0"/>
    <s v="Não"/>
    <x v="0"/>
    <d v="2026-06-28T00:00:00"/>
    <d v="2026-06-01T00:00:00"/>
    <s v="dom"/>
    <x v="2"/>
    <x v="1"/>
    <m/>
    <s v="202146201"/>
  </r>
  <r>
    <n v="2023"/>
    <n v="57"/>
    <s v="Feminino"/>
    <s v="Soldagem"/>
    <s v="Operador"/>
    <s v="1º Turno"/>
    <x v="0"/>
    <s v="Não"/>
    <x v="2"/>
    <d v="2026-05-27T00:00:00"/>
    <d v="2026-05-01T00:00:00"/>
    <s v="qua"/>
    <x v="0"/>
    <x v="0"/>
    <m/>
    <s v="202346169"/>
  </r>
  <r>
    <n v="2023"/>
    <n v="57"/>
    <s v="Feminino"/>
    <s v="Soldagem"/>
    <s v="Operador"/>
    <s v="1º Turno"/>
    <x v="0"/>
    <s v="Não"/>
    <x v="2"/>
    <d v="2026-05-25T00:00:00"/>
    <d v="2026-05-01T00:00:00"/>
    <s v="ter"/>
    <x v="0"/>
    <x v="1"/>
    <m/>
    <s v="202346167"/>
  </r>
  <r>
    <n v="2024"/>
    <n v="33"/>
    <s v="Masculino"/>
    <s v="Pintura"/>
    <s v="Operador"/>
    <s v="3º Turno"/>
    <x v="0"/>
    <s v="Não"/>
    <x v="1"/>
    <d v="2026-05-08T00:00:00"/>
    <d v="2026-05-01T00:00:00"/>
    <s v="sex"/>
    <x v="0"/>
    <x v="0"/>
    <m/>
    <s v="202446150"/>
  </r>
  <r>
    <n v="2024"/>
    <n v="33"/>
    <s v="Masculino"/>
    <s v="Pintura"/>
    <s v="Operador"/>
    <s v="3º Turno"/>
    <x v="0"/>
    <s v="Não"/>
    <x v="1"/>
    <d v="2026-06-28T00:00:00"/>
    <d v="2026-06-01T00:00:00"/>
    <s v="dom"/>
    <x v="1"/>
    <x v="0"/>
    <m/>
    <s v="202446201"/>
  </r>
  <r>
    <n v="2024"/>
    <n v="33"/>
    <s v="Masculino"/>
    <s v="Pintura"/>
    <s v="Operador"/>
    <s v="3º Turno"/>
    <x v="0"/>
    <s v="Não"/>
    <x v="1"/>
    <d v="2026-05-24T00:00:00"/>
    <d v="2026-05-01T00:00:00"/>
    <s v="dom"/>
    <x v="0"/>
    <x v="0"/>
    <m/>
    <s v="202446166"/>
  </r>
  <r>
    <n v="2024"/>
    <n v="33"/>
    <s v="Masculino"/>
    <s v="Pintura"/>
    <s v="Operador"/>
    <s v="3º Turno"/>
    <x v="0"/>
    <s v="Não"/>
    <x v="1"/>
    <d v="2026-05-31T00:00:00"/>
    <d v="2026-05-01T00:00:00"/>
    <s v="qui"/>
    <x v="0"/>
    <x v="1"/>
    <m/>
    <s v="202446173"/>
  </r>
  <r>
    <n v="2024"/>
    <n v="33"/>
    <s v="Masculino"/>
    <s v="Pintura"/>
    <s v="Operador"/>
    <s v="3º Turno"/>
    <x v="0"/>
    <s v="Não"/>
    <x v="1"/>
    <d v="2026-05-16T00:00:00"/>
    <d v="2026-05-01T00:00:00"/>
    <s v="sex"/>
    <x v="0"/>
    <x v="1"/>
    <m/>
    <s v="202446158"/>
  </r>
  <r>
    <n v="2024"/>
    <n v="33"/>
    <s v="Masculino"/>
    <s v="Pintura"/>
    <s v="Operador"/>
    <s v="3º Turno"/>
    <x v="0"/>
    <s v="Não"/>
    <x v="1"/>
    <d v="2026-06-09T00:00:00"/>
    <d v="2026-06-01T00:00:00"/>
    <s v="sáb"/>
    <x v="0"/>
    <x v="1"/>
    <m/>
    <s v="202446182"/>
  </r>
  <r>
    <n v="2028"/>
    <n v="41"/>
    <s v="Feminino"/>
    <s v="Soldagem"/>
    <s v="Operador"/>
    <s v="1º Turno"/>
    <x v="0"/>
    <s v="Não"/>
    <x v="0"/>
    <d v="2026-05-16T00:00:00"/>
    <d v="2026-05-01T00:00:00"/>
    <s v="sáb"/>
    <x v="0"/>
    <x v="0"/>
    <m/>
    <s v="202846158"/>
  </r>
  <r>
    <n v="2028"/>
    <n v="41"/>
    <s v="Feminino"/>
    <s v="Soldagem"/>
    <s v="Operador"/>
    <s v="1º Turno"/>
    <x v="0"/>
    <s v="Não"/>
    <x v="0"/>
    <d v="2026-06-21T00:00:00"/>
    <d v="2026-06-01T00:00:00"/>
    <s v="sex"/>
    <x v="0"/>
    <x v="1"/>
    <m/>
    <s v="202846194"/>
  </r>
  <r>
    <n v="2029"/>
    <n v="36"/>
    <s v="Masculino"/>
    <s v="Pintura"/>
    <s v="Operador"/>
    <s v="1º Turno"/>
    <x v="0"/>
    <s v="Não"/>
    <x v="1"/>
    <d v="2026-04-12T00:00:00"/>
    <d v="2026-04-01T00:00:00"/>
    <s v="dom"/>
    <x v="2"/>
    <x v="0"/>
    <m/>
    <s v="202946124"/>
  </r>
  <r>
    <n v="2029"/>
    <n v="36"/>
    <s v="Masculino"/>
    <s v="Pintura"/>
    <s v="Operador"/>
    <s v="1º Turno"/>
    <x v="0"/>
    <s v="Não"/>
    <x v="1"/>
    <d v="2026-05-25T00:00:00"/>
    <d v="2026-05-01T00:00:00"/>
    <s v="sáb"/>
    <x v="2"/>
    <x v="1"/>
    <m/>
    <s v="202946167"/>
  </r>
  <r>
    <n v="2030"/>
    <n v="27"/>
    <s v="Masculino"/>
    <s v="Montagem"/>
    <s v="Operador"/>
    <s v="2º Turno"/>
    <x v="0"/>
    <s v="Não"/>
    <x v="2"/>
    <d v="2026-04-10T00:00:00"/>
    <d v="2026-04-01T00:00:00"/>
    <s v="sex"/>
    <x v="2"/>
    <x v="0"/>
    <m/>
    <s v="203046122"/>
  </r>
  <r>
    <n v="2030"/>
    <n v="27"/>
    <s v="Masculino"/>
    <s v="Montagem"/>
    <s v="Operador"/>
    <s v="2º Turno"/>
    <x v="0"/>
    <s v="Não"/>
    <x v="2"/>
    <d v="2026-06-09T00:00:00"/>
    <d v="2026-06-01T00:00:00"/>
    <s v="qui"/>
    <x v="2"/>
    <x v="1"/>
    <m/>
    <s v="203046182"/>
  </r>
  <r>
    <n v="2033"/>
    <n v="34"/>
    <s v="Feminino"/>
    <s v="Soldagem"/>
    <s v="Operador"/>
    <s v="1º Turno"/>
    <x v="0"/>
    <s v="Não"/>
    <x v="1"/>
    <d v="2026-05-25T00:00:00"/>
    <d v="2026-05-01T00:00:00"/>
    <s v="seg"/>
    <x v="0"/>
    <x v="0"/>
    <m/>
    <s v="203346167"/>
  </r>
  <r>
    <n v="2033"/>
    <n v="34"/>
    <s v="Feminino"/>
    <s v="Soldagem"/>
    <s v="Operador"/>
    <s v="1º Turno"/>
    <x v="0"/>
    <s v="Não"/>
    <x v="1"/>
    <d v="2026-05-31T00:00:00"/>
    <d v="2026-05-01T00:00:00"/>
    <s v="sáb"/>
    <x v="0"/>
    <x v="1"/>
    <m/>
    <s v="203346173"/>
  </r>
  <r>
    <n v="2034"/>
    <n v="39"/>
    <s v="Feminino"/>
    <s v="Logistica"/>
    <s v="Operador"/>
    <s v="3º Turno"/>
    <x v="0"/>
    <s v="Não"/>
    <x v="1"/>
    <d v="2026-05-31T00:00:00"/>
    <d v="2026-05-01T00:00:00"/>
    <s v="dom"/>
    <x v="0"/>
    <x v="0"/>
    <m/>
    <s v="203446173"/>
  </r>
  <r>
    <n v="2034"/>
    <n v="39"/>
    <s v="Feminino"/>
    <s v="Logistica"/>
    <s v="Operador"/>
    <s v="3º Turno"/>
    <x v="0"/>
    <s v="Não"/>
    <x v="1"/>
    <d v="2026-05-19T00:00:00"/>
    <d v="2026-05-01T00:00:00"/>
    <s v="seg"/>
    <x v="0"/>
    <x v="1"/>
    <m/>
    <s v="203446161"/>
  </r>
  <r>
    <n v="2035"/>
    <n v="30"/>
    <s v="Feminino"/>
    <s v="Montagem"/>
    <s v="Operador"/>
    <s v="2º Turno"/>
    <x v="0"/>
    <s v="Não"/>
    <x v="0"/>
    <d v="2026-04-13T00:00:00"/>
    <d v="2026-04-01T00:00:00"/>
    <s v="seg"/>
    <x v="2"/>
    <x v="0"/>
    <m/>
    <s v="203546125"/>
  </r>
  <r>
    <n v="2035"/>
    <n v="30"/>
    <s v="Feminino"/>
    <s v="Montagem"/>
    <s v="Operador"/>
    <s v="2º Turno"/>
    <x v="0"/>
    <s v="Não"/>
    <x v="0"/>
    <d v="2026-06-21T00:00:00"/>
    <d v="2026-06-01T00:00:00"/>
    <s v="dom"/>
    <x v="2"/>
    <x v="1"/>
    <m/>
    <s v="203546194"/>
  </r>
  <r>
    <n v="2036"/>
    <n v="21"/>
    <s v="Masculino"/>
    <s v="Montagem"/>
    <s v="Operador"/>
    <s v="2º Turno"/>
    <x v="0"/>
    <s v="Não"/>
    <x v="1"/>
    <d v="2026-05-25T00:00:00"/>
    <d v="2026-05-01T00:00:00"/>
    <s v="seg"/>
    <x v="0"/>
    <x v="0"/>
    <m/>
    <s v="203646167"/>
  </r>
  <r>
    <n v="2036"/>
    <n v="21"/>
    <s v="Masculino"/>
    <s v="Montagem"/>
    <s v="Operador"/>
    <s v="2º Turno"/>
    <x v="0"/>
    <s v="Não"/>
    <x v="1"/>
    <d v="2026-04-13T00:00:00"/>
    <d v="2026-04-01T00:00:00"/>
    <s v="dom"/>
    <x v="2"/>
    <x v="1"/>
    <m/>
    <s v="203646125"/>
  </r>
  <r>
    <n v="2037"/>
    <n v="41"/>
    <s v="Masculino"/>
    <s v="Logistica"/>
    <s v="Operador"/>
    <s v="3º Turno"/>
    <x v="0"/>
    <s v="Não"/>
    <x v="1"/>
    <d v="2026-05-31T00:00:00"/>
    <d v="2026-05-01T00:00:00"/>
    <s v="dom"/>
    <x v="0"/>
    <x v="0"/>
    <m/>
    <s v="203746173"/>
  </r>
  <r>
    <n v="2037"/>
    <n v="41"/>
    <s v="Masculino"/>
    <s v="Logistica"/>
    <s v="Operador"/>
    <s v="3º Turno"/>
    <x v="0"/>
    <s v="Não"/>
    <x v="1"/>
    <d v="2026-05-28T00:00:00"/>
    <d v="2026-05-01T00:00:00"/>
    <s v="qua"/>
    <x v="0"/>
    <x v="1"/>
    <m/>
    <s v="203746170"/>
  </r>
  <r>
    <n v="2041"/>
    <n v="41"/>
    <s v="Masculino"/>
    <s v="Soldagem"/>
    <s v="Operador"/>
    <s v="1º Turno"/>
    <x v="0"/>
    <s v="Não"/>
    <x v="2"/>
    <d v="2026-06-09T00:00:00"/>
    <d v="2026-06-01T00:00:00"/>
    <s v="ter"/>
    <x v="1"/>
    <x v="0"/>
    <m/>
    <s v="204146182"/>
  </r>
  <r>
    <n v="2041"/>
    <n v="41"/>
    <s v="Masculino"/>
    <s v="Soldagem"/>
    <s v="Operador"/>
    <s v="1º Turno"/>
    <x v="0"/>
    <s v="Não"/>
    <x v="2"/>
    <d v="2026-04-14T00:00:00"/>
    <d v="2026-04-01T00:00:00"/>
    <s v="seg"/>
    <x v="2"/>
    <x v="1"/>
    <m/>
    <s v="204146126"/>
  </r>
  <r>
    <n v="2044"/>
    <n v="28"/>
    <s v="Feminino"/>
    <s v="Logistica"/>
    <s v="Operador"/>
    <s v="3º Turno"/>
    <x v="0"/>
    <s v="Não"/>
    <x v="0"/>
    <d v="2026-05-25T00:00:00"/>
    <d v="2026-05-01T00:00:00"/>
    <s v="seg"/>
    <x v="0"/>
    <x v="0"/>
    <m/>
    <s v="204446167"/>
  </r>
  <r>
    <n v="2044"/>
    <n v="28"/>
    <s v="Feminino"/>
    <s v="Logistica"/>
    <s v="Operador"/>
    <s v="3º Turno"/>
    <x v="0"/>
    <s v="Não"/>
    <x v="0"/>
    <d v="2026-05-28T00:00:00"/>
    <d v="2026-05-01T00:00:00"/>
    <s v="qua"/>
    <x v="0"/>
    <x v="1"/>
    <m/>
    <s v="204446170"/>
  </r>
  <r>
    <n v="2045"/>
    <n v="41"/>
    <s v="Masculino"/>
    <s v="Logistica"/>
    <s v="Operador"/>
    <s v="3º Turno"/>
    <x v="0"/>
    <s v="Não"/>
    <x v="2"/>
    <d v="2026-06-21T00:00:00"/>
    <d v="2026-06-01T00:00:00"/>
    <s v="dom"/>
    <x v="1"/>
    <x v="0"/>
    <m/>
    <s v="204546194"/>
  </r>
  <r>
    <n v="2045"/>
    <n v="41"/>
    <s v="Masculino"/>
    <s v="Logistica"/>
    <s v="Operador"/>
    <s v="3º Turno"/>
    <x v="0"/>
    <s v="Não"/>
    <x v="2"/>
    <d v="2026-05-05T00:00:00"/>
    <d v="2026-05-01T00:00:00"/>
    <s v="ter"/>
    <x v="0"/>
    <x v="0"/>
    <m/>
    <s v="204546147"/>
  </r>
  <r>
    <n v="2045"/>
    <n v="41"/>
    <s v="Masculino"/>
    <s v="Logistica"/>
    <s v="Operador"/>
    <s v="3º Turno"/>
    <x v="0"/>
    <s v="Não"/>
    <x v="2"/>
    <d v="2026-04-17T00:00:00"/>
    <d v="2026-04-01T00:00:00"/>
    <s v="qui"/>
    <x v="2"/>
    <x v="1"/>
    <m/>
    <s v="204546129"/>
  </r>
  <r>
    <n v="2045"/>
    <n v="41"/>
    <s v="Masculino"/>
    <s v="Logistica"/>
    <s v="Operador"/>
    <s v="3º Turno"/>
    <x v="0"/>
    <s v="Não"/>
    <x v="2"/>
    <d v="2026-06-09T00:00:00"/>
    <d v="2026-06-01T00:00:00"/>
    <s v="seg"/>
    <x v="0"/>
    <x v="1"/>
    <m/>
    <s v="204546182"/>
  </r>
  <r>
    <n v="2046"/>
    <n v="54"/>
    <s v="Feminino"/>
    <s v="Montagem"/>
    <s v="Operador"/>
    <s v="2º Turno"/>
    <x v="0"/>
    <s v="Não"/>
    <x v="0"/>
    <d v="2026-05-09T00:00:00"/>
    <d v="2026-05-01T00:00:00"/>
    <s v="sáb"/>
    <x v="0"/>
    <x v="0"/>
    <m/>
    <s v="204646151"/>
  </r>
  <r>
    <n v="2049"/>
    <n v="55"/>
    <s v="Feminino"/>
    <s v="Montagem"/>
    <s v="Operador"/>
    <s v="3º Turno"/>
    <x v="0"/>
    <s v="Não"/>
    <x v="2"/>
    <d v="2026-05-25T00:00:00"/>
    <d v="2026-05-01T00:00:00"/>
    <s v="seg"/>
    <x v="0"/>
    <x v="0"/>
    <m/>
    <s v="204946167"/>
  </r>
  <r>
    <n v="2049"/>
    <n v="55"/>
    <s v="Feminino"/>
    <s v="Montagem"/>
    <s v="Operador"/>
    <s v="3º Turno"/>
    <x v="0"/>
    <s v="Não"/>
    <x v="2"/>
    <d v="2026-06-21T00:00:00"/>
    <d v="2026-06-01T00:00:00"/>
    <s v="dom"/>
    <x v="1"/>
    <x v="0"/>
    <m/>
    <s v="204946194"/>
  </r>
  <r>
    <n v="2049"/>
    <n v="55"/>
    <s v="Feminino"/>
    <s v="Montagem"/>
    <s v="Operador"/>
    <s v="3º Turno"/>
    <x v="0"/>
    <s v="Não"/>
    <x v="2"/>
    <d v="2026-04-10T00:00:00"/>
    <d v="2026-04-01T00:00:00"/>
    <s v="qui"/>
    <x v="2"/>
    <x v="1"/>
    <m/>
    <s v="204946122"/>
  </r>
  <r>
    <n v="2049"/>
    <n v="55"/>
    <s v="Feminino"/>
    <s v="Montagem"/>
    <s v="Operador"/>
    <s v="3º Turno"/>
    <x v="0"/>
    <s v="Não"/>
    <x v="2"/>
    <d v="2026-05-02T00:00:00"/>
    <d v="2026-05-01T00:00:00"/>
    <s v="sex"/>
    <x v="0"/>
    <x v="1"/>
    <m/>
    <s v="204946144"/>
  </r>
  <r>
    <n v="2050"/>
    <n v="54"/>
    <s v="Masculino"/>
    <s v="Pintura"/>
    <s v="Operador"/>
    <s v="3º Turno"/>
    <x v="0"/>
    <s v="Não"/>
    <x v="2"/>
    <d v="2026-05-09T00:00:00"/>
    <d v="2026-05-01T00:00:00"/>
    <s v="sáb"/>
    <x v="0"/>
    <x v="0"/>
    <m/>
    <s v="205046151"/>
  </r>
  <r>
    <n v="2050"/>
    <n v="54"/>
    <s v="Masculino"/>
    <s v="Pintura"/>
    <s v="Operador"/>
    <s v="3º Turno"/>
    <x v="0"/>
    <s v="Não"/>
    <x v="2"/>
    <d v="2026-06-09T00:00:00"/>
    <d v="2026-06-01T00:00:00"/>
    <s v="sex"/>
    <x v="0"/>
    <x v="1"/>
    <m/>
    <s v="205046182"/>
  </r>
  <r>
    <n v="2052"/>
    <n v="38"/>
    <s v="Masculino"/>
    <s v="Qualidade"/>
    <s v="Analista"/>
    <s v="2º Turno"/>
    <x v="0"/>
    <s v="Não"/>
    <x v="2"/>
    <d v="2026-06-21T00:00:00"/>
    <d v="2026-06-01T00:00:00"/>
    <s v="dom"/>
    <x v="1"/>
    <x v="0"/>
    <m/>
    <s v="205246194"/>
  </r>
  <r>
    <n v="2052"/>
    <n v="38"/>
    <s v="Masculino"/>
    <s v="Qualidade"/>
    <s v="Analista"/>
    <s v="2º Turno"/>
    <x v="0"/>
    <s v="Não"/>
    <x v="2"/>
    <d v="2026-05-28T00:00:00"/>
    <d v="2026-05-01T00:00:00"/>
    <s v="qua"/>
    <x v="0"/>
    <x v="1"/>
    <m/>
    <s v="205246170"/>
  </r>
  <r>
    <n v="2054"/>
    <n v="28"/>
    <s v="Masculino"/>
    <s v="Qualidade"/>
    <s v="Inspetor"/>
    <s v="2º Turno"/>
    <x v="0"/>
    <s v="Não"/>
    <x v="2"/>
    <d v="2026-05-25T00:00:00"/>
    <d v="2026-05-01T00:00:00"/>
    <s v="seg"/>
    <x v="0"/>
    <x v="0"/>
    <m/>
    <s v="205446167"/>
  </r>
  <r>
    <n v="2054"/>
    <n v="28"/>
    <s v="Masculino"/>
    <s v="Qualidade"/>
    <s v="Inspetor"/>
    <s v="2º Turno"/>
    <x v="0"/>
    <s v="Não"/>
    <x v="2"/>
    <d v="2026-05-23T00:00:00"/>
    <d v="2026-05-01T00:00:00"/>
    <s v="sáb"/>
    <x v="0"/>
    <x v="0"/>
    <m/>
    <s v="205446165"/>
  </r>
  <r>
    <n v="2054"/>
    <n v="28"/>
    <s v="Masculino"/>
    <s v="Qualidade"/>
    <s v="Inspetor"/>
    <s v="2º Turno"/>
    <x v="0"/>
    <s v="Não"/>
    <x v="2"/>
    <d v="2026-05-08T00:00:00"/>
    <d v="2026-05-01T00:00:00"/>
    <s v="qui"/>
    <x v="0"/>
    <x v="1"/>
    <m/>
    <s v="205446150"/>
  </r>
  <r>
    <n v="2054"/>
    <n v="28"/>
    <s v="Masculino"/>
    <s v="Qualidade"/>
    <s v="Inspetor"/>
    <s v="2º Turno"/>
    <x v="0"/>
    <s v="Não"/>
    <x v="2"/>
    <d v="2026-05-22T00:00:00"/>
    <d v="2026-05-01T00:00:00"/>
    <s v="qui"/>
    <x v="0"/>
    <x v="1"/>
    <m/>
    <s v="205446164"/>
  </r>
  <r>
    <n v="2056"/>
    <n v="41"/>
    <s v="Masculino"/>
    <s v="Soldagem"/>
    <s v="Operador"/>
    <s v="2º Turno"/>
    <x v="0"/>
    <s v="Não"/>
    <x v="1"/>
    <d v="2026-05-05T00:00:00"/>
    <d v="2026-05-01T00:00:00"/>
    <s v="ter"/>
    <x v="0"/>
    <x v="0"/>
    <m/>
    <s v="205646147"/>
  </r>
  <r>
    <n v="2056"/>
    <n v="41"/>
    <s v="Masculino"/>
    <s v="Soldagem"/>
    <s v="Operador"/>
    <s v="2º Turno"/>
    <x v="0"/>
    <s v="Não"/>
    <x v="1"/>
    <d v="2026-06-21T00:00:00"/>
    <d v="2026-06-01T00:00:00"/>
    <s v="seg"/>
    <x v="0"/>
    <x v="1"/>
    <m/>
    <s v="205646194"/>
  </r>
  <r>
    <n v="2057"/>
    <n v="53"/>
    <s v="Masculino"/>
    <s v="Logistica"/>
    <s v="Operador"/>
    <s v="3º Turno"/>
    <x v="0"/>
    <s v="Não"/>
    <x v="2"/>
    <d v="2026-04-14T00:00:00"/>
    <d v="2026-04-01T00:00:00"/>
    <s v="ter"/>
    <x v="2"/>
    <x v="0"/>
    <m/>
    <s v="205746126"/>
  </r>
  <r>
    <n v="2057"/>
    <n v="53"/>
    <s v="Masculino"/>
    <s v="Logistica"/>
    <s v="Operador"/>
    <s v="3º Turno"/>
    <x v="0"/>
    <s v="Não"/>
    <x v="2"/>
    <d v="2026-04-15T00:00:00"/>
    <d v="2026-04-01T00:00:00"/>
    <s v="qua"/>
    <x v="2"/>
    <x v="0"/>
    <m/>
    <s v="205746127"/>
  </r>
  <r>
    <n v="2057"/>
    <n v="53"/>
    <s v="Masculino"/>
    <s v="Logistica"/>
    <s v="Operador"/>
    <s v="3º Turno"/>
    <x v="0"/>
    <s v="Não"/>
    <x v="2"/>
    <d v="2026-06-09T00:00:00"/>
    <d v="2026-06-01T00:00:00"/>
    <s v="seg"/>
    <x v="2"/>
    <x v="1"/>
    <m/>
    <s v="205746182"/>
  </r>
  <r>
    <n v="2057"/>
    <n v="53"/>
    <s v="Masculino"/>
    <s v="Logistica"/>
    <s v="Operador"/>
    <s v="3º Turno"/>
    <x v="0"/>
    <s v="Não"/>
    <x v="2"/>
    <d v="2026-06-21T00:00:00"/>
    <d v="2026-06-01T00:00:00"/>
    <s v="ter"/>
    <x v="2"/>
    <x v="1"/>
    <m/>
    <s v="205746194"/>
  </r>
  <r>
    <n v="2059"/>
    <n v="57"/>
    <s v="Masculino"/>
    <s v="Montagem"/>
    <s v="Operador"/>
    <s v="3º Turno"/>
    <x v="0"/>
    <s v="Não"/>
    <x v="1"/>
    <d v="2026-04-11T00:00:00"/>
    <d v="2026-04-01T00:00:00"/>
    <s v="sáb"/>
    <x v="2"/>
    <x v="0"/>
    <m/>
    <s v="205946123"/>
  </r>
  <r>
    <n v="2059"/>
    <n v="57"/>
    <s v="Masculino"/>
    <s v="Montagem"/>
    <s v="Operador"/>
    <s v="3º Turno"/>
    <x v="0"/>
    <s v="Não"/>
    <x v="1"/>
    <d v="2026-05-25T00:00:00"/>
    <d v="2026-05-01T00:00:00"/>
    <s v="sex"/>
    <x v="2"/>
    <x v="1"/>
    <m/>
    <s v="205946167"/>
  </r>
  <r>
    <n v="2061"/>
    <n v="55"/>
    <s v="Feminino"/>
    <s v="Pintura"/>
    <s v="Operador"/>
    <s v="3º Turno"/>
    <x v="0"/>
    <s v="Não"/>
    <x v="1"/>
    <d v="2026-05-15T00:00:00"/>
    <d v="2026-05-01T00:00:00"/>
    <s v="sex"/>
    <x v="0"/>
    <x v="0"/>
    <m/>
    <s v="206146157"/>
  </r>
  <r>
    <n v="2061"/>
    <n v="55"/>
    <s v="Feminino"/>
    <s v="Pintura"/>
    <s v="Operador"/>
    <s v="3º Turno"/>
    <x v="0"/>
    <s v="Não"/>
    <x v="1"/>
    <d v="2026-06-09T00:00:00"/>
    <d v="2026-06-01T00:00:00"/>
    <s v="qui"/>
    <x v="0"/>
    <x v="1"/>
    <m/>
    <s v="206146182"/>
  </r>
  <r>
    <n v="2062"/>
    <n v="25"/>
    <s v="Feminino"/>
    <s v="Montagem"/>
    <s v="Operador"/>
    <s v="2º Turno"/>
    <x v="0"/>
    <s v="Não"/>
    <x v="2"/>
    <d v="2026-05-25T00:00:00"/>
    <d v="2026-05-01T00:00:00"/>
    <s v="seg"/>
    <x v="0"/>
    <x v="0"/>
    <m/>
    <s v="206246167"/>
  </r>
  <r>
    <n v="2062"/>
    <n v="25"/>
    <s v="Feminino"/>
    <s v="Montagem"/>
    <s v="Operador"/>
    <s v="2º Turno"/>
    <x v="0"/>
    <s v="Não"/>
    <x v="2"/>
    <d v="2026-05-29T00:00:00"/>
    <d v="2026-05-01T00:00:00"/>
    <s v="sex"/>
    <x v="0"/>
    <x v="0"/>
    <m/>
    <s v="206246171"/>
  </r>
  <r>
    <n v="2062"/>
    <n v="25"/>
    <s v="Feminino"/>
    <s v="Montagem"/>
    <s v="Operador"/>
    <s v="2º Turno"/>
    <x v="0"/>
    <s v="Não"/>
    <x v="2"/>
    <d v="2026-05-18T00:00:00"/>
    <d v="2026-05-01T00:00:00"/>
    <s v="dom"/>
    <x v="0"/>
    <x v="1"/>
    <m/>
    <s v="206246160"/>
  </r>
  <r>
    <n v="2062"/>
    <n v="25"/>
    <s v="Feminino"/>
    <s v="Montagem"/>
    <s v="Operador"/>
    <s v="2º Turno"/>
    <x v="0"/>
    <s v="Não"/>
    <x v="2"/>
    <d v="2026-05-23T00:00:00"/>
    <d v="2026-05-01T00:00:00"/>
    <s v="qui"/>
    <x v="0"/>
    <x v="1"/>
    <m/>
    <s v="206246165"/>
  </r>
  <r>
    <n v="2066"/>
    <n v="27"/>
    <s v="Masculino"/>
    <s v="Montagem"/>
    <s v="Operador"/>
    <s v="3º Turno"/>
    <x v="0"/>
    <s v="Não"/>
    <x v="2"/>
    <d v="2026-04-21T00:00:00"/>
    <d v="2026-04-01T00:00:00"/>
    <s v="ter"/>
    <x v="2"/>
    <x v="0"/>
    <m/>
    <s v="206646133"/>
  </r>
  <r>
    <n v="2066"/>
    <n v="27"/>
    <s v="Masculino"/>
    <s v="Montagem"/>
    <s v="Operador"/>
    <s v="3º Turno"/>
    <x v="0"/>
    <s v="Não"/>
    <x v="2"/>
    <d v="2026-06-09T00:00:00"/>
    <d v="2026-06-01T00:00:00"/>
    <s v="seg"/>
    <x v="2"/>
    <x v="1"/>
    <m/>
    <s v="206646182"/>
  </r>
  <r>
    <n v="2067"/>
    <n v="35"/>
    <s v="Masculino"/>
    <s v="Montagem"/>
    <s v="Operador"/>
    <s v="3º Turno"/>
    <x v="0"/>
    <s v="Não"/>
    <x v="0"/>
    <d v="2026-05-23T00:00:00"/>
    <d v="2026-05-01T00:00:00"/>
    <s v="sáb"/>
    <x v="0"/>
    <x v="0"/>
    <m/>
    <s v="206746165"/>
  </r>
  <r>
    <n v="2067"/>
    <n v="35"/>
    <s v="Masculino"/>
    <s v="Montagem"/>
    <s v="Operador"/>
    <s v="3º Turno"/>
    <x v="0"/>
    <s v="Não"/>
    <x v="0"/>
    <d v="2026-06-21T00:00:00"/>
    <d v="2026-06-01T00:00:00"/>
    <s v="dom"/>
    <x v="1"/>
    <x v="0"/>
    <m/>
    <s v="206746194"/>
  </r>
  <r>
    <n v="2067"/>
    <n v="35"/>
    <s v="Masculino"/>
    <s v="Montagem"/>
    <s v="Operador"/>
    <s v="3º Turno"/>
    <x v="0"/>
    <s v="Não"/>
    <x v="0"/>
    <d v="2026-04-13T00:00:00"/>
    <d v="2026-04-01T00:00:00"/>
    <s v="dom"/>
    <x v="2"/>
    <x v="1"/>
    <m/>
    <s v="206746125"/>
  </r>
  <r>
    <n v="2067"/>
    <n v="35"/>
    <s v="Masculino"/>
    <s v="Montagem"/>
    <s v="Operador"/>
    <s v="3º Turno"/>
    <x v="0"/>
    <s v="Não"/>
    <x v="0"/>
    <d v="2026-04-14T00:00:00"/>
    <d v="2026-04-01T00:00:00"/>
    <s v="seg"/>
    <x v="2"/>
    <x v="1"/>
    <m/>
    <s v="206746126"/>
  </r>
  <r>
    <n v="2068"/>
    <n v="44"/>
    <s v="Masculino"/>
    <s v="Pintura"/>
    <s v="Operador"/>
    <s v="1º Turno"/>
    <x v="0"/>
    <s v="Não"/>
    <x v="1"/>
    <d v="2026-06-21T00:00:00"/>
    <d v="2026-06-01T00:00:00"/>
    <s v="dom"/>
    <x v="1"/>
    <x v="0"/>
    <m/>
    <s v="206846194"/>
  </r>
  <r>
    <n v="2068"/>
    <n v="44"/>
    <s v="Masculino"/>
    <s v="Pintura"/>
    <s v="Operador"/>
    <s v="1º Turno"/>
    <x v="0"/>
    <s v="Não"/>
    <x v="1"/>
    <d v="2026-04-22T00:00:00"/>
    <d v="2026-04-01T00:00:00"/>
    <s v="ter"/>
    <x v="2"/>
    <x v="1"/>
    <m/>
    <s v="206846134"/>
  </r>
  <r>
    <n v="2070"/>
    <n v="29"/>
    <s v="Feminino"/>
    <s v="Qualidade"/>
    <s v="Inspetor"/>
    <s v="2º Turno"/>
    <x v="0"/>
    <s v="Não"/>
    <x v="0"/>
    <d v="2026-04-16T00:00:00"/>
    <d v="2026-04-01T00:00:00"/>
    <s v="qui"/>
    <x v="2"/>
    <x v="0"/>
    <m/>
    <s v="207046128"/>
  </r>
  <r>
    <n v="2070"/>
    <n v="29"/>
    <s v="Feminino"/>
    <s v="Qualidade"/>
    <s v="Inspetor"/>
    <s v="2º Turno"/>
    <x v="0"/>
    <s v="Não"/>
    <x v="0"/>
    <d v="2026-04-14T00:00:00"/>
    <d v="2026-04-01T00:00:00"/>
    <s v="qua"/>
    <x v="2"/>
    <x v="1"/>
    <m/>
    <s v="207046126"/>
  </r>
  <r>
    <n v="2071"/>
    <n v="52"/>
    <s v="Masculino"/>
    <s v="Logistica"/>
    <s v="Operador"/>
    <s v="1º Turno"/>
    <x v="0"/>
    <s v="Não"/>
    <x v="1"/>
    <d v="2026-05-14T00:00:00"/>
    <d v="2026-05-01T00:00:00"/>
    <s v="qui"/>
    <x v="0"/>
    <x v="0"/>
    <m/>
    <s v="207146156"/>
  </r>
  <r>
    <n v="2071"/>
    <n v="52"/>
    <s v="Masculino"/>
    <s v="Logistica"/>
    <s v="Operador"/>
    <s v="1º Turno"/>
    <x v="0"/>
    <s v="Não"/>
    <x v="1"/>
    <d v="2026-06-09T00:00:00"/>
    <d v="2026-06-01T00:00:00"/>
    <s v="qua"/>
    <x v="0"/>
    <x v="1"/>
    <m/>
    <s v="207146182"/>
  </r>
  <r>
    <n v="2072"/>
    <n v="34"/>
    <s v="Feminino"/>
    <s v="Montagem"/>
    <s v="Operador"/>
    <s v="2º Turno"/>
    <x v="0"/>
    <s v="Não"/>
    <x v="1"/>
    <d v="2026-06-21T00:00:00"/>
    <d v="2026-06-01T00:00:00"/>
    <s v="dom"/>
    <x v="1"/>
    <x v="0"/>
    <m/>
    <s v="207246194"/>
  </r>
  <r>
    <n v="2072"/>
    <n v="34"/>
    <s v="Feminino"/>
    <s v="Montagem"/>
    <s v="Operador"/>
    <s v="2º Turno"/>
    <x v="0"/>
    <s v="Não"/>
    <x v="1"/>
    <d v="2026-05-24T00:00:00"/>
    <d v="2026-05-01T00:00:00"/>
    <s v="sáb"/>
    <x v="0"/>
    <x v="1"/>
    <m/>
    <s v="207246166"/>
  </r>
  <r>
    <n v="2073"/>
    <n v="50"/>
    <s v="Masculino"/>
    <s v="Montagem"/>
    <s v="Operador"/>
    <s v="3º Turno"/>
    <x v="0"/>
    <s v="Não"/>
    <x v="2"/>
    <d v="2026-05-23T00:00:00"/>
    <d v="2026-05-01T00:00:00"/>
    <s v="sáb"/>
    <x v="0"/>
    <x v="0"/>
    <m/>
    <s v="207346165"/>
  </r>
  <r>
    <n v="2073"/>
    <n v="50"/>
    <s v="Masculino"/>
    <s v="Montagem"/>
    <s v="Operador"/>
    <s v="3º Turno"/>
    <x v="0"/>
    <s v="Não"/>
    <x v="2"/>
    <d v="2026-04-14T00:00:00"/>
    <d v="2026-04-01T00:00:00"/>
    <s v="ter"/>
    <x v="2"/>
    <x v="0"/>
    <m/>
    <s v="207346126"/>
  </r>
  <r>
    <n v="2073"/>
    <n v="50"/>
    <s v="Masculino"/>
    <s v="Montagem"/>
    <s v="Operador"/>
    <s v="3º Turno"/>
    <x v="0"/>
    <s v="Não"/>
    <x v="2"/>
    <d v="2026-04-15T00:00:00"/>
    <d v="2026-04-01T00:00:00"/>
    <s v="ter"/>
    <x v="2"/>
    <x v="1"/>
    <m/>
    <s v="207346127"/>
  </r>
  <r>
    <n v="2073"/>
    <n v="50"/>
    <s v="Masculino"/>
    <s v="Montagem"/>
    <s v="Operador"/>
    <s v="3º Turno"/>
    <x v="0"/>
    <s v="Não"/>
    <x v="2"/>
    <d v="2026-05-31T00:00:00"/>
    <d v="2026-05-01T00:00:00"/>
    <s v="sáb"/>
    <x v="0"/>
    <x v="1"/>
    <m/>
    <s v="207346173"/>
  </r>
  <r>
    <n v="2074"/>
    <n v="46"/>
    <s v="Masculino"/>
    <s v="Qualidade"/>
    <s v="Inspetor"/>
    <s v="3º Turno"/>
    <x v="0"/>
    <s v="Não"/>
    <x v="0"/>
    <d v="2026-04-17T00:00:00"/>
    <d v="2026-04-01T00:00:00"/>
    <s v="sex"/>
    <x v="2"/>
    <x v="0"/>
    <m/>
    <s v="207446129"/>
  </r>
  <r>
    <n v="2074"/>
    <n v="46"/>
    <s v="Masculino"/>
    <s v="Qualidade"/>
    <s v="Inspetor"/>
    <s v="3º Turno"/>
    <x v="0"/>
    <s v="Não"/>
    <x v="0"/>
    <d v="2026-06-21T00:00:00"/>
    <d v="2026-06-01T00:00:00"/>
    <s v="qui"/>
    <x v="2"/>
    <x v="1"/>
    <m/>
    <s v="207446194"/>
  </r>
  <r>
    <n v="2077"/>
    <n v="56"/>
    <s v="Feminino"/>
    <s v="Soldagem"/>
    <s v="Operador"/>
    <s v="3º Turno"/>
    <x v="0"/>
    <s v="Não"/>
    <x v="2"/>
    <d v="2026-05-15T00:00:00"/>
    <d v="2026-05-01T00:00:00"/>
    <s v="sex"/>
    <x v="0"/>
    <x v="0"/>
    <m/>
    <s v="207746157"/>
  </r>
  <r>
    <n v="2077"/>
    <n v="56"/>
    <s v="Feminino"/>
    <s v="Soldagem"/>
    <s v="Operador"/>
    <s v="3º Turno"/>
    <x v="0"/>
    <s v="Não"/>
    <x v="2"/>
    <d v="2026-05-25T00:00:00"/>
    <d v="2026-05-01T00:00:00"/>
    <s v="seg"/>
    <x v="0"/>
    <x v="0"/>
    <m/>
    <s v="207746167"/>
  </r>
  <r>
    <n v="2077"/>
    <n v="56"/>
    <s v="Feminino"/>
    <s v="Soldagem"/>
    <s v="Operador"/>
    <s v="3º Turno"/>
    <x v="0"/>
    <s v="Não"/>
    <x v="2"/>
    <d v="2026-06-21T00:00:00"/>
    <d v="2026-06-01T00:00:00"/>
    <s v="qui"/>
    <x v="0"/>
    <x v="1"/>
    <m/>
    <s v="207746194"/>
  </r>
  <r>
    <n v="2077"/>
    <n v="56"/>
    <s v="Feminino"/>
    <s v="Soldagem"/>
    <s v="Operador"/>
    <s v="3º Turno"/>
    <x v="0"/>
    <s v="Não"/>
    <x v="2"/>
    <d v="2026-04-14T00:00:00"/>
    <d v="2026-04-01T00:00:00"/>
    <s v="dom"/>
    <x v="0"/>
    <x v="1"/>
    <m/>
    <s v="207746126"/>
  </r>
  <r>
    <n v="2078"/>
    <n v="27"/>
    <s v="Feminino"/>
    <s v="Montagem"/>
    <s v="Operador"/>
    <s v="3º Turno"/>
    <x v="0"/>
    <s v="Não"/>
    <x v="0"/>
    <d v="2026-04-14T00:00:00"/>
    <d v="2026-04-01T00:00:00"/>
    <s v="ter"/>
    <x v="2"/>
    <x v="0"/>
    <m/>
    <s v="207846126"/>
  </r>
  <r>
    <n v="2078"/>
    <n v="27"/>
    <s v="Feminino"/>
    <s v="Montagem"/>
    <s v="Operador"/>
    <s v="3º Turno"/>
    <x v="0"/>
    <s v="Não"/>
    <x v="0"/>
    <d v="2026-06-21T00:00:00"/>
    <d v="2026-06-01T00:00:00"/>
    <s v="seg"/>
    <x v="2"/>
    <x v="1"/>
    <m/>
    <s v="207846194"/>
  </r>
  <r>
    <n v="2079"/>
    <n v="47"/>
    <s v="Feminino"/>
    <s v="Soldagem"/>
    <s v="Operador"/>
    <s v="2º Turno"/>
    <x v="0"/>
    <s v="Não"/>
    <x v="2"/>
    <d v="2026-06-21T00:00:00"/>
    <d v="2026-06-01T00:00:00"/>
    <s v="dom"/>
    <x v="1"/>
    <x v="0"/>
    <m/>
    <s v="207946194"/>
  </r>
  <r>
    <n v="2079"/>
    <n v="47"/>
    <s v="Feminino"/>
    <s v="Soldagem"/>
    <s v="Operador"/>
    <s v="2º Turno"/>
    <x v="0"/>
    <s v="Não"/>
    <x v="2"/>
    <d v="2026-05-23T00:00:00"/>
    <d v="2026-05-01T00:00:00"/>
    <s v="sáb"/>
    <x v="0"/>
    <x v="0"/>
    <m/>
    <s v="207946165"/>
  </r>
  <r>
    <n v="2079"/>
    <n v="47"/>
    <s v="Feminino"/>
    <s v="Soldagem"/>
    <s v="Operador"/>
    <s v="2º Turno"/>
    <x v="0"/>
    <s v="Não"/>
    <x v="2"/>
    <d v="2026-05-22T00:00:00"/>
    <d v="2026-05-01T00:00:00"/>
    <s v="qui"/>
    <x v="0"/>
    <x v="1"/>
    <m/>
    <s v="207946164"/>
  </r>
  <r>
    <n v="2079"/>
    <n v="47"/>
    <s v="Feminino"/>
    <s v="Soldagem"/>
    <s v="Operador"/>
    <s v="2º Turno"/>
    <x v="0"/>
    <s v="Não"/>
    <x v="2"/>
    <d v="2026-05-25T00:00:00"/>
    <d v="2026-05-01T00:00:00"/>
    <s v="dom"/>
    <x v="0"/>
    <x v="1"/>
    <m/>
    <s v="207946167"/>
  </r>
  <r>
    <n v="2084"/>
    <n v="19"/>
    <s v="Feminino"/>
    <s v="Montagem"/>
    <s v="Operador"/>
    <s v="1º Turno"/>
    <x v="0"/>
    <s v="Não"/>
    <x v="1"/>
    <d v="2026-04-22T00:00:00"/>
    <d v="2026-04-01T00:00:00"/>
    <s v="qua"/>
    <x v="2"/>
    <x v="0"/>
    <m/>
    <s v="208446134"/>
  </r>
  <r>
    <n v="2084"/>
    <n v="19"/>
    <s v="Feminino"/>
    <s v="Montagem"/>
    <s v="Operador"/>
    <s v="1º Turno"/>
    <x v="0"/>
    <s v="Não"/>
    <x v="1"/>
    <d v="2026-04-14T00:00:00"/>
    <d v="2026-04-01T00:00:00"/>
    <s v="ter"/>
    <x v="2"/>
    <x v="1"/>
    <m/>
    <s v="208446126"/>
  </r>
  <r>
    <n v="2090"/>
    <n v="56"/>
    <s v="Feminino"/>
    <s v="Logistica"/>
    <s v="Operador"/>
    <s v="1º Turno"/>
    <x v="0"/>
    <s v="Não"/>
    <x v="1"/>
    <d v="2026-05-24T00:00:00"/>
    <d v="2026-05-01T00:00:00"/>
    <s v="dom"/>
    <x v="0"/>
    <x v="0"/>
    <m/>
    <s v="209046166"/>
  </r>
  <r>
    <n v="2090"/>
    <n v="56"/>
    <s v="Feminino"/>
    <s v="Logistica"/>
    <s v="Operador"/>
    <s v="1º Turno"/>
    <x v="0"/>
    <s v="Não"/>
    <x v="1"/>
    <d v="2026-05-28T00:00:00"/>
    <d v="2026-05-01T00:00:00"/>
    <s v="qui"/>
    <x v="0"/>
    <x v="0"/>
    <m/>
    <s v="209046170"/>
  </r>
  <r>
    <n v="2090"/>
    <n v="56"/>
    <s v="Feminino"/>
    <s v="Logistica"/>
    <s v="Operador"/>
    <s v="1º Turno"/>
    <x v="0"/>
    <s v="Não"/>
    <x v="1"/>
    <d v="2026-05-23T00:00:00"/>
    <d v="2026-05-01T00:00:00"/>
    <s v="sáb"/>
    <x v="0"/>
    <x v="1"/>
    <m/>
    <s v="209046165"/>
  </r>
  <r>
    <n v="2090"/>
    <n v="56"/>
    <s v="Feminino"/>
    <s v="Logistica"/>
    <s v="Operador"/>
    <s v="1º Turno"/>
    <x v="0"/>
    <s v="Não"/>
    <x v="1"/>
    <d v="2026-06-21T00:00:00"/>
    <d v="2026-06-01T00:00:00"/>
    <s v="qua"/>
    <x v="0"/>
    <x v="1"/>
    <m/>
    <s v="209046194"/>
  </r>
  <r>
    <n v="2091"/>
    <n v="30"/>
    <s v="Feminino"/>
    <s v="Pintura"/>
    <s v="Operador"/>
    <s v="2º Turno"/>
    <x v="0"/>
    <s v="Não"/>
    <x v="1"/>
    <d v="2026-04-21T00:00:00"/>
    <d v="2026-04-01T00:00:00"/>
    <s v="ter"/>
    <x v="2"/>
    <x v="0"/>
    <m/>
    <s v="209146133"/>
  </r>
  <r>
    <n v="2091"/>
    <n v="30"/>
    <s v="Feminino"/>
    <s v="Pintura"/>
    <s v="Operador"/>
    <s v="2º Turno"/>
    <x v="0"/>
    <s v="Não"/>
    <x v="1"/>
    <d v="2026-04-14T00:00:00"/>
    <d v="2026-04-01T00:00:00"/>
    <s v="seg"/>
    <x v="2"/>
    <x v="1"/>
    <m/>
    <s v="209146126"/>
  </r>
  <r>
    <n v="2093"/>
    <n v="38"/>
    <s v="Feminino"/>
    <s v="Soldagem"/>
    <s v="Operador"/>
    <s v="2º Turno"/>
    <x v="0"/>
    <s v="Não"/>
    <x v="0"/>
    <d v="2026-05-22T00:00:00"/>
    <d v="2026-05-01T00:00:00"/>
    <s v="sex"/>
    <x v="0"/>
    <x v="0"/>
    <m/>
    <s v="209346164"/>
  </r>
  <r>
    <n v="2093"/>
    <n v="38"/>
    <s v="Feminino"/>
    <s v="Soldagem"/>
    <s v="Operador"/>
    <s v="2º Turno"/>
    <x v="0"/>
    <s v="Não"/>
    <x v="0"/>
    <d v="2026-04-14T00:00:00"/>
    <d v="2026-04-01T00:00:00"/>
    <s v="qui"/>
    <x v="0"/>
    <x v="1"/>
    <m/>
    <s v="209346126"/>
  </r>
  <r>
    <n v="2095"/>
    <n v="49"/>
    <s v="Masculino"/>
    <s v="Montagem"/>
    <s v="Operador"/>
    <s v="2º Turno"/>
    <x v="0"/>
    <s v="Não"/>
    <x v="0"/>
    <d v="2026-05-18T00:00:00"/>
    <d v="2026-05-01T00:00:00"/>
    <s v="seg"/>
    <x v="0"/>
    <x v="0"/>
    <m/>
    <s v="209546160"/>
  </r>
  <r>
    <n v="2095"/>
    <n v="49"/>
    <s v="Masculino"/>
    <s v="Montagem"/>
    <s v="Operador"/>
    <s v="2º Turno"/>
    <x v="0"/>
    <s v="Não"/>
    <x v="0"/>
    <d v="2026-06-21T00:00:00"/>
    <d v="2026-06-01T00:00:00"/>
    <s v="dom"/>
    <x v="0"/>
    <x v="1"/>
    <m/>
    <s v="209546194"/>
  </r>
  <r>
    <n v="2097"/>
    <n v="57"/>
    <s v="Masculino"/>
    <s v="Pintura"/>
    <s v="Operador"/>
    <s v="1º Turno"/>
    <x v="0"/>
    <s v="Não"/>
    <x v="1"/>
    <d v="2026-05-23T00:00:00"/>
    <d v="2026-05-01T00:00:00"/>
    <s v="sáb"/>
    <x v="0"/>
    <x v="0"/>
    <m/>
    <s v="209746165"/>
  </r>
  <r>
    <n v="2097"/>
    <n v="57"/>
    <s v="Masculino"/>
    <s v="Pintura"/>
    <s v="Operador"/>
    <s v="1º Turno"/>
    <x v="0"/>
    <s v="Não"/>
    <x v="1"/>
    <d v="2026-04-14T00:00:00"/>
    <d v="2026-04-01T00:00:00"/>
    <s v="ter"/>
    <x v="2"/>
    <x v="0"/>
    <m/>
    <s v="209746126"/>
  </r>
  <r>
    <n v="2097"/>
    <n v="57"/>
    <s v="Masculino"/>
    <s v="Pintura"/>
    <s v="Operador"/>
    <s v="1º Turno"/>
    <x v="0"/>
    <s v="Não"/>
    <x v="1"/>
    <d v="2026-05-03T00:00:00"/>
    <d v="2026-05-01T00:00:00"/>
    <s v="sáb"/>
    <x v="0"/>
    <x v="1"/>
    <m/>
    <s v="209746145"/>
  </r>
  <r>
    <n v="2097"/>
    <n v="57"/>
    <s v="Masculino"/>
    <s v="Pintura"/>
    <s v="Operador"/>
    <s v="1º Turno"/>
    <x v="0"/>
    <s v="Não"/>
    <x v="1"/>
    <d v="2026-05-19T00:00:00"/>
    <d v="2026-05-01T00:00:00"/>
    <s v="seg"/>
    <x v="0"/>
    <x v="1"/>
    <m/>
    <s v="209746161"/>
  </r>
  <r>
    <n v="2098"/>
    <n v="36"/>
    <s v="Feminino"/>
    <s v="Soldagem"/>
    <s v="Operador"/>
    <s v="3º Turno"/>
    <x v="0"/>
    <s v="Não"/>
    <x v="1"/>
    <d v="2026-04-18T00:00:00"/>
    <d v="2026-04-01T00:00:00"/>
    <s v="sáb"/>
    <x v="2"/>
    <x v="0"/>
    <m/>
    <s v="209846130"/>
  </r>
  <r>
    <n v="2098"/>
    <n v="36"/>
    <s v="Feminino"/>
    <s v="Soldagem"/>
    <s v="Operador"/>
    <s v="3º Turno"/>
    <x v="0"/>
    <s v="Não"/>
    <x v="1"/>
    <d v="2026-04-14T00:00:00"/>
    <d v="2026-04-01T00:00:00"/>
    <s v="ter"/>
    <x v="2"/>
    <x v="0"/>
    <m/>
    <s v="209846126"/>
  </r>
  <r>
    <n v="2098"/>
    <n v="36"/>
    <s v="Feminino"/>
    <s v="Soldagem"/>
    <s v="Operador"/>
    <s v="3º Turno"/>
    <x v="0"/>
    <s v="Não"/>
    <x v="1"/>
    <d v="2026-04-16T00:00:00"/>
    <d v="2026-04-01T00:00:00"/>
    <s v="sex"/>
    <x v="2"/>
    <x v="1"/>
    <m/>
    <s v="209846128"/>
  </r>
  <r>
    <n v="2098"/>
    <n v="36"/>
    <s v="Feminino"/>
    <s v="Soldagem"/>
    <s v="Operador"/>
    <s v="3º Turno"/>
    <x v="0"/>
    <s v="Não"/>
    <x v="1"/>
    <d v="2026-05-18T00:00:00"/>
    <d v="2026-05-01T00:00:00"/>
    <s v="dom"/>
    <x v="0"/>
    <x v="1"/>
    <m/>
    <s v="209846160"/>
  </r>
  <r>
    <n v="2099"/>
    <n v="51"/>
    <s v="Masculino"/>
    <s v="Logistica"/>
    <s v="Operador"/>
    <s v="2º Turno"/>
    <x v="0"/>
    <s v="Não"/>
    <x v="1"/>
    <d v="2026-05-26T00:00:00"/>
    <d v="2026-05-01T00:00:00"/>
    <s v="ter"/>
    <x v="0"/>
    <x v="0"/>
    <m/>
    <s v="209946168"/>
  </r>
  <r>
    <n v="2099"/>
    <n v="51"/>
    <s v="Masculino"/>
    <s v="Logistica"/>
    <s v="Operador"/>
    <s v="2º Turno"/>
    <x v="0"/>
    <s v="Não"/>
    <x v="1"/>
    <d v="2026-04-14T00:00:00"/>
    <d v="2026-04-01T00:00:00"/>
    <s v="seg"/>
    <x v="0"/>
    <x v="1"/>
    <m/>
    <s v="209946126"/>
  </r>
  <r>
    <n v="2100"/>
    <n v="32"/>
    <s v="Masculino"/>
    <s v="Pintura"/>
    <s v="Operador"/>
    <s v="1º Turno"/>
    <x v="0"/>
    <s v="Não"/>
    <x v="1"/>
    <d v="2026-06-21T00:00:00"/>
    <d v="2026-06-01T00:00:00"/>
    <s v="dom"/>
    <x v="1"/>
    <x v="0"/>
    <m/>
    <s v="210046194"/>
  </r>
  <r>
    <n v="2100"/>
    <n v="32"/>
    <s v="Masculino"/>
    <s v="Pintura"/>
    <s v="Operador"/>
    <s v="1º Turno"/>
    <x v="0"/>
    <s v="Não"/>
    <x v="1"/>
    <d v="2026-04-16T00:00:00"/>
    <d v="2026-04-01T00:00:00"/>
    <s v="qua"/>
    <x v="2"/>
    <x v="1"/>
    <m/>
    <s v="210046128"/>
  </r>
  <r>
    <n v="2101"/>
    <n v="28"/>
    <s v="Feminino"/>
    <s v="Soldagem"/>
    <s v="Operador"/>
    <s v="2º Turno"/>
    <x v="0"/>
    <s v="Não"/>
    <x v="1"/>
    <d v="2026-04-17T00:00:00"/>
    <d v="2026-04-01T00:00:00"/>
    <s v="sex"/>
    <x v="2"/>
    <x v="0"/>
    <m/>
    <s v="210146129"/>
  </r>
  <r>
    <n v="2101"/>
    <n v="28"/>
    <s v="Feminino"/>
    <s v="Soldagem"/>
    <s v="Operador"/>
    <s v="2º Turno"/>
    <x v="0"/>
    <s v="Não"/>
    <x v="1"/>
    <d v="2026-04-16T00:00:00"/>
    <d v="2026-04-01T00:00:00"/>
    <s v="qui"/>
    <x v="2"/>
    <x v="0"/>
    <m/>
    <s v="210146128"/>
  </r>
  <r>
    <n v="2101"/>
    <n v="28"/>
    <s v="Feminino"/>
    <s v="Soldagem"/>
    <s v="Operador"/>
    <s v="2º Turno"/>
    <x v="0"/>
    <s v="Não"/>
    <x v="1"/>
    <d v="2026-04-14T00:00:00"/>
    <d v="2026-04-01T00:00:00"/>
    <s v="qui"/>
    <x v="2"/>
    <x v="1"/>
    <m/>
    <s v="210146126"/>
  </r>
  <r>
    <n v="2101"/>
    <n v="28"/>
    <s v="Feminino"/>
    <s v="Soldagem"/>
    <s v="Operador"/>
    <s v="2º Turno"/>
    <x v="0"/>
    <s v="Não"/>
    <x v="1"/>
    <d v="2026-04-19T00:00:00"/>
    <d v="2026-04-01T00:00:00"/>
    <s v="sáb"/>
    <x v="2"/>
    <x v="1"/>
    <m/>
    <s v="210146131"/>
  </r>
  <r>
    <n v="2102"/>
    <n v="54"/>
    <s v="Masculino"/>
    <s v="Montagem"/>
    <s v="Operador"/>
    <s v="1º Turno"/>
    <x v="0"/>
    <s v="Não"/>
    <x v="0"/>
    <d v="2026-04-14T00:00:00"/>
    <d v="2026-04-01T00:00:00"/>
    <s v="ter"/>
    <x v="2"/>
    <x v="0"/>
    <m/>
    <s v="210246126"/>
  </r>
  <r>
    <n v="2102"/>
    <n v="54"/>
    <s v="Masculino"/>
    <s v="Montagem"/>
    <s v="Operador"/>
    <s v="1º Turno"/>
    <x v="0"/>
    <s v="Não"/>
    <x v="0"/>
    <d v="2026-05-17T00:00:00"/>
    <d v="2026-05-01T00:00:00"/>
    <s v="dom"/>
    <x v="0"/>
    <x v="0"/>
    <m/>
    <s v="210246159"/>
  </r>
  <r>
    <n v="2102"/>
    <n v="54"/>
    <s v="Masculino"/>
    <s v="Montagem"/>
    <s v="Operador"/>
    <s v="1º Turno"/>
    <x v="0"/>
    <s v="Não"/>
    <x v="0"/>
    <d v="2026-05-04T00:00:00"/>
    <d v="2026-05-01T00:00:00"/>
    <s v="dom"/>
    <x v="0"/>
    <x v="1"/>
    <m/>
    <s v="210246146"/>
  </r>
  <r>
    <n v="2102"/>
    <n v="54"/>
    <s v="Masculino"/>
    <s v="Montagem"/>
    <s v="Operador"/>
    <s v="1º Turno"/>
    <x v="0"/>
    <s v="Não"/>
    <x v="0"/>
    <d v="2026-04-16T00:00:00"/>
    <d v="2026-04-01T00:00:00"/>
    <s v="sáb"/>
    <x v="0"/>
    <x v="1"/>
    <m/>
    <s v="210246128"/>
  </r>
  <r>
    <n v="2106"/>
    <n v="42"/>
    <s v="Masculino"/>
    <s v="Montagem"/>
    <s v="Operador"/>
    <s v="3º Turno"/>
    <x v="0"/>
    <s v="Não"/>
    <x v="1"/>
    <d v="2026-04-16T00:00:00"/>
    <d v="2026-04-01T00:00:00"/>
    <s v="qui"/>
    <x v="2"/>
    <x v="0"/>
    <m/>
    <s v="210646128"/>
  </r>
  <r>
    <n v="2106"/>
    <n v="42"/>
    <s v="Masculino"/>
    <s v="Montagem"/>
    <s v="Operador"/>
    <s v="3º Turno"/>
    <x v="0"/>
    <s v="Não"/>
    <x v="1"/>
    <d v="2026-05-28T00:00:00"/>
    <d v="2026-05-01T00:00:00"/>
    <s v="qua"/>
    <x v="0"/>
    <x v="1"/>
    <m/>
    <s v="210646170"/>
  </r>
  <r>
    <n v="2108"/>
    <n v="35"/>
    <s v="Feminino"/>
    <s v="Montagem"/>
    <s v="Operador"/>
    <s v="1º Turno"/>
    <x v="0"/>
    <s v="Não"/>
    <x v="0"/>
    <d v="2026-04-14T00:00:00"/>
    <d v="2026-04-01T00:00:00"/>
    <s v="ter"/>
    <x v="2"/>
    <x v="0"/>
    <m/>
    <s v="210846126"/>
  </r>
  <r>
    <n v="2108"/>
    <n v="35"/>
    <s v="Feminino"/>
    <s v="Montagem"/>
    <s v="Operador"/>
    <s v="1º Turno"/>
    <x v="0"/>
    <s v="Não"/>
    <x v="0"/>
    <d v="2026-05-03T00:00:00"/>
    <d v="2026-05-01T00:00:00"/>
    <s v="sáb"/>
    <x v="0"/>
    <x v="1"/>
    <m/>
    <s v="210846145"/>
  </r>
  <r>
    <n v="2109"/>
    <n v="23"/>
    <s v="Masculino"/>
    <s v="Logistica"/>
    <s v="Operador"/>
    <s v="1º Turno"/>
    <x v="0"/>
    <s v="Não"/>
    <x v="2"/>
    <d v="2026-05-24T00:00:00"/>
    <d v="2026-05-01T00:00:00"/>
    <s v="dom"/>
    <x v="0"/>
    <x v="0"/>
    <m/>
    <s v="210946166"/>
  </r>
  <r>
    <n v="2109"/>
    <n v="23"/>
    <s v="Masculino"/>
    <s v="Logistica"/>
    <s v="Operador"/>
    <s v="1º Turno"/>
    <x v="0"/>
    <s v="Não"/>
    <x v="2"/>
    <d v="2026-05-29T00:00:00"/>
    <d v="2026-05-01T00:00:00"/>
    <s v="sex"/>
    <x v="0"/>
    <x v="0"/>
    <m/>
    <s v="210946171"/>
  </r>
  <r>
    <n v="2109"/>
    <n v="23"/>
    <s v="Masculino"/>
    <s v="Logistica"/>
    <s v="Operador"/>
    <s v="1º Turno"/>
    <x v="0"/>
    <s v="Não"/>
    <x v="2"/>
    <d v="2026-04-14T00:00:00"/>
    <d v="2026-04-01T00:00:00"/>
    <s v="sáb"/>
    <x v="0"/>
    <x v="1"/>
    <m/>
    <s v="210946126"/>
  </r>
  <r>
    <n v="2109"/>
    <n v="23"/>
    <s v="Masculino"/>
    <s v="Logistica"/>
    <s v="Operador"/>
    <s v="1º Turno"/>
    <x v="0"/>
    <s v="Não"/>
    <x v="2"/>
    <d v="2026-04-16T00:00:00"/>
    <d v="2026-04-01T00:00:00"/>
    <s v="qui"/>
    <x v="0"/>
    <x v="1"/>
    <m/>
    <s v="210946128"/>
  </r>
  <r>
    <n v="2111"/>
    <n v="41"/>
    <s v="Masculino"/>
    <s v="Qualidade"/>
    <s v="Inspetor"/>
    <s v="3º Turno"/>
    <x v="0"/>
    <s v="Não"/>
    <x v="2"/>
    <d v="2026-04-16T00:00:00"/>
    <d v="2026-04-01T00:00:00"/>
    <s v="qui"/>
    <x v="2"/>
    <x v="0"/>
    <m/>
    <s v="211146128"/>
  </r>
  <r>
    <n v="2111"/>
    <n v="41"/>
    <s v="Masculino"/>
    <s v="Qualidade"/>
    <s v="Inspetor"/>
    <s v="3º Turno"/>
    <x v="0"/>
    <s v="Não"/>
    <x v="2"/>
    <d v="2026-05-04T00:00:00"/>
    <d v="2026-05-01T00:00:00"/>
    <s v="dom"/>
    <x v="0"/>
    <x v="1"/>
    <m/>
    <s v="211146146"/>
  </r>
  <r>
    <n v="2113"/>
    <n v="43"/>
    <s v="Masculino"/>
    <s v="Montagem"/>
    <s v="Operador"/>
    <s v="3º Turno"/>
    <x v="0"/>
    <s v="Não"/>
    <x v="0"/>
    <d v="2026-04-14T00:00:00"/>
    <d v="2026-04-01T00:00:00"/>
    <s v="ter"/>
    <x v="2"/>
    <x v="0"/>
    <m/>
    <s v="211346126"/>
  </r>
  <r>
    <n v="2113"/>
    <n v="43"/>
    <s v="Masculino"/>
    <s v="Montagem"/>
    <s v="Operador"/>
    <s v="3º Turno"/>
    <x v="0"/>
    <s v="Não"/>
    <x v="0"/>
    <d v="2026-05-18T00:00:00"/>
    <d v="2026-05-01T00:00:00"/>
    <s v="seg"/>
    <x v="0"/>
    <x v="0"/>
    <m/>
    <s v="211346160"/>
  </r>
  <r>
    <n v="2113"/>
    <n v="43"/>
    <s v="Masculino"/>
    <s v="Montagem"/>
    <s v="Operador"/>
    <s v="3º Turno"/>
    <x v="0"/>
    <s v="Não"/>
    <x v="0"/>
    <d v="2026-04-13T00:00:00"/>
    <d v="2026-04-01T00:00:00"/>
    <s v="dom"/>
    <x v="2"/>
    <x v="1"/>
    <m/>
    <s v="211346125"/>
  </r>
  <r>
    <n v="2113"/>
    <n v="43"/>
    <s v="Masculino"/>
    <s v="Montagem"/>
    <s v="Operador"/>
    <s v="3º Turno"/>
    <x v="0"/>
    <s v="Não"/>
    <x v="0"/>
    <d v="2026-04-12T00:00:00"/>
    <d v="2026-04-01T00:00:00"/>
    <s v="dom"/>
    <x v="0"/>
    <x v="1"/>
    <m/>
    <s v="211346124"/>
  </r>
  <r>
    <n v="2114"/>
    <n v="54"/>
    <s v="Feminino"/>
    <s v="Soldagem"/>
    <s v="Operador"/>
    <s v="3º Turno"/>
    <x v="0"/>
    <s v="Não"/>
    <x v="2"/>
    <d v="2026-04-16T00:00:00"/>
    <d v="2026-04-01T00:00:00"/>
    <s v="qui"/>
    <x v="2"/>
    <x v="0"/>
    <m/>
    <s v="211446128"/>
  </r>
  <r>
    <n v="2114"/>
    <n v="54"/>
    <s v="Feminino"/>
    <s v="Soldagem"/>
    <s v="Operador"/>
    <s v="3º Turno"/>
    <x v="0"/>
    <s v="Não"/>
    <x v="2"/>
    <d v="2026-05-12T00:00:00"/>
    <d v="2026-05-01T00:00:00"/>
    <s v="seg"/>
    <x v="0"/>
    <x v="1"/>
    <m/>
    <s v="211446154"/>
  </r>
  <r>
    <n v="2115"/>
    <n v="22"/>
    <s v="Masculino"/>
    <s v="Pintura"/>
    <s v="Operador"/>
    <s v="1º Turno"/>
    <x v="0"/>
    <s v="Não"/>
    <x v="1"/>
    <d v="2026-04-14T00:00:00"/>
    <d v="2026-04-01T00:00:00"/>
    <s v="ter"/>
    <x v="2"/>
    <x v="0"/>
    <m/>
    <s v="211546126"/>
  </r>
  <r>
    <n v="2115"/>
    <n v="22"/>
    <s v="Masculino"/>
    <s v="Pintura"/>
    <s v="Operador"/>
    <s v="1º Turno"/>
    <x v="0"/>
    <s v="Não"/>
    <x v="1"/>
    <d v="2026-05-15T00:00:00"/>
    <d v="2026-05-01T00:00:00"/>
    <s v="qui"/>
    <x v="0"/>
    <x v="1"/>
    <m/>
    <s v="211546157"/>
  </r>
  <r>
    <n v="2121"/>
    <n v="28"/>
    <s v="Feminino"/>
    <s v="Soldagem"/>
    <s v="Operador"/>
    <s v="3º Turno"/>
    <x v="0"/>
    <s v="Não"/>
    <x v="1"/>
    <d v="2026-04-24T00:00:00"/>
    <d v="2026-04-01T00:00:00"/>
    <s v="sex"/>
    <x v="2"/>
    <x v="0"/>
    <m/>
    <s v="212146136"/>
  </r>
  <r>
    <n v="2121"/>
    <n v="28"/>
    <s v="Feminino"/>
    <s v="Soldagem"/>
    <s v="Operador"/>
    <s v="3º Turno"/>
    <x v="0"/>
    <s v="Não"/>
    <x v="1"/>
    <d v="2026-04-14T00:00:00"/>
    <d v="2026-04-01T00:00:00"/>
    <s v="qui"/>
    <x v="2"/>
    <x v="1"/>
    <m/>
    <s v="212146126"/>
  </r>
  <r>
    <n v="2127"/>
    <n v="46"/>
    <s v="Feminino"/>
    <s v="Logistica"/>
    <s v="Operador"/>
    <s v="1º Turno"/>
    <x v="0"/>
    <s v="Não"/>
    <x v="2"/>
    <d v="2026-04-14T00:00:00"/>
    <d v="2026-04-01T00:00:00"/>
    <s v="ter"/>
    <x v="2"/>
    <x v="0"/>
    <m/>
    <s v="212746126"/>
  </r>
  <r>
    <n v="2127"/>
    <n v="46"/>
    <s v="Feminino"/>
    <s v="Logistica"/>
    <s v="Operador"/>
    <s v="1º Turno"/>
    <x v="0"/>
    <s v="Não"/>
    <x v="2"/>
    <d v="2026-05-11T00:00:00"/>
    <d v="2026-05-01T00:00:00"/>
    <s v="dom"/>
    <x v="0"/>
    <x v="1"/>
    <m/>
    <s v="212746153"/>
  </r>
  <r>
    <n v="2128"/>
    <n v="49"/>
    <s v="Masculino"/>
    <s v="Pintura"/>
    <s v="Operador"/>
    <s v="2º Turno"/>
    <x v="0"/>
    <s v="Não"/>
    <x v="0"/>
    <d v="2026-04-16T00:00:00"/>
    <d v="2026-04-01T00:00:00"/>
    <s v="qui"/>
    <x v="2"/>
    <x v="0"/>
    <m/>
    <s v="212846128"/>
  </r>
  <r>
    <n v="2128"/>
    <n v="49"/>
    <s v="Masculino"/>
    <s v="Pintura"/>
    <s v="Operador"/>
    <s v="2º Turno"/>
    <x v="0"/>
    <s v="Não"/>
    <x v="0"/>
    <d v="2026-05-31T00:00:00"/>
    <d v="2026-05-01T00:00:00"/>
    <s v="sáb"/>
    <x v="0"/>
    <x v="1"/>
    <m/>
    <s v="212846173"/>
  </r>
  <r>
    <n v="2137"/>
    <n v="21"/>
    <s v="Feminino"/>
    <s v="Montagem"/>
    <s v="Operador"/>
    <s v="2º Turno"/>
    <x v="0"/>
    <s v="Não"/>
    <x v="0"/>
    <d v="2026-05-19T00:00:00"/>
    <d v="2026-05-01T00:00:00"/>
    <s v="ter"/>
    <x v="0"/>
    <x v="0"/>
    <m/>
    <s v="213746161"/>
  </r>
  <r>
    <n v="2137"/>
    <n v="21"/>
    <s v="Feminino"/>
    <s v="Montagem"/>
    <s v="Operador"/>
    <s v="2º Turno"/>
    <x v="0"/>
    <s v="Não"/>
    <x v="0"/>
    <d v="2026-04-14T00:00:00"/>
    <d v="2026-04-01T00:00:00"/>
    <s v="seg"/>
    <x v="0"/>
    <x v="1"/>
    <m/>
    <s v="213746126"/>
  </r>
  <r>
    <n v="2140"/>
    <n v="39"/>
    <s v="Feminino"/>
    <s v="Qualidade"/>
    <s v="Inspetor"/>
    <s v="3º Turno"/>
    <x v="0"/>
    <s v="Não"/>
    <x v="1"/>
    <d v="2026-05-12T00:00:00"/>
    <d v="2026-05-01T00:00:00"/>
    <s v="ter"/>
    <x v="0"/>
    <x v="0"/>
    <m/>
    <s v="214046154"/>
  </r>
  <r>
    <n v="2140"/>
    <n v="39"/>
    <s v="Feminino"/>
    <s v="Qualidade"/>
    <s v="Inspetor"/>
    <s v="3º Turno"/>
    <x v="0"/>
    <s v="Não"/>
    <x v="1"/>
    <d v="2026-04-14T00:00:00"/>
    <d v="2026-04-01T00:00:00"/>
    <s v="seg"/>
    <x v="0"/>
    <x v="1"/>
    <m/>
    <s v="214046126"/>
  </r>
  <r>
    <n v="2141"/>
    <n v="37"/>
    <s v="Feminino"/>
    <s v="Soldagem"/>
    <s v="Operador"/>
    <s v="1º Turno"/>
    <x v="0"/>
    <s v="Não"/>
    <x v="2"/>
    <d v="2026-04-16T00:00:00"/>
    <d v="2026-04-01T00:00:00"/>
    <s v="qui"/>
    <x v="2"/>
    <x v="0"/>
    <m/>
    <s v="214146128"/>
  </r>
  <r>
    <n v="2141"/>
    <n v="37"/>
    <s v="Feminino"/>
    <s v="Soldagem"/>
    <s v="Operador"/>
    <s v="1º Turno"/>
    <x v="0"/>
    <s v="Não"/>
    <x v="2"/>
    <d v="2026-05-16T00:00:00"/>
    <d v="2026-05-01T00:00:00"/>
    <s v="sex"/>
    <x v="0"/>
    <x v="1"/>
    <m/>
    <s v="214146158"/>
  </r>
  <r>
    <n v="2151"/>
    <n v="22"/>
    <s v="Masculino"/>
    <s v="Pintura"/>
    <s v="Operador"/>
    <s v="3º Turno"/>
    <x v="0"/>
    <s v="Não"/>
    <x v="1"/>
    <d v="2026-04-24T00:00:00"/>
    <d v="2026-04-01T00:00:00"/>
    <s v="sex"/>
    <x v="2"/>
    <x v="0"/>
    <m/>
    <s v="215146136"/>
  </r>
  <r>
    <n v="2151"/>
    <n v="22"/>
    <s v="Masculino"/>
    <s v="Pintura"/>
    <s v="Operador"/>
    <s v="3º Turno"/>
    <x v="0"/>
    <s v="Não"/>
    <x v="1"/>
    <d v="2026-04-14T00:00:00"/>
    <d v="2026-04-01T00:00:00"/>
    <s v="qui"/>
    <x v="2"/>
    <x v="1"/>
    <m/>
    <s v="215146126"/>
  </r>
  <r>
    <n v="2154"/>
    <n v="25"/>
    <s v="Feminino"/>
    <s v="Montagem"/>
    <s v="Operador"/>
    <s v="3º Turno"/>
    <x v="0"/>
    <s v="Não"/>
    <x v="2"/>
    <d v="2026-04-10T00:00:00"/>
    <d v="2026-04-01T00:00:00"/>
    <s v="sex"/>
    <x v="2"/>
    <x v="0"/>
    <m/>
    <s v="215446122"/>
  </r>
  <r>
    <n v="2154"/>
    <n v="25"/>
    <s v="Feminino"/>
    <s v="Montagem"/>
    <s v="Operador"/>
    <s v="3º Turno"/>
    <x v="0"/>
    <s v="Não"/>
    <x v="2"/>
    <d v="2026-04-11T00:00:00"/>
    <d v="2026-04-01T00:00:00"/>
    <s v="sáb"/>
    <x v="2"/>
    <x v="0"/>
    <m/>
    <s v="215446123"/>
  </r>
  <r>
    <n v="2154"/>
    <n v="25"/>
    <s v="Feminino"/>
    <s v="Montagem"/>
    <s v="Operador"/>
    <s v="3º Turno"/>
    <x v="0"/>
    <s v="Não"/>
    <x v="2"/>
    <d v="2026-05-23T00:00:00"/>
    <d v="2026-05-01T00:00:00"/>
    <s v="sex"/>
    <x v="0"/>
    <x v="1"/>
    <m/>
    <s v="215446165"/>
  </r>
  <r>
    <n v="2154"/>
    <n v="25"/>
    <s v="Feminino"/>
    <s v="Montagem"/>
    <s v="Operador"/>
    <s v="3º Turno"/>
    <x v="0"/>
    <s v="Não"/>
    <x v="2"/>
    <d v="2026-05-31T00:00:00"/>
    <d v="2026-05-01T00:00:00"/>
    <s v="sáb"/>
    <x v="0"/>
    <x v="1"/>
    <m/>
    <s v="215446173"/>
  </r>
  <r>
    <n v="2157"/>
    <n v="42"/>
    <s v="Masculino"/>
    <s v="Montagem"/>
    <s v="Operador"/>
    <s v="3º Turno"/>
    <x v="0"/>
    <s v="Não"/>
    <x v="0"/>
    <d v="2026-04-14T00:00:00"/>
    <d v="2026-04-01T00:00:00"/>
    <s v="ter"/>
    <x v="2"/>
    <x v="0"/>
    <m/>
    <s v="215746126"/>
  </r>
  <r>
    <n v="2157"/>
    <n v="42"/>
    <s v="Masculino"/>
    <s v="Montagem"/>
    <s v="Operador"/>
    <s v="3º Turno"/>
    <x v="0"/>
    <s v="Não"/>
    <x v="0"/>
    <d v="2026-04-20T00:00:00"/>
    <d v="2026-04-01T00:00:00"/>
    <s v="dom"/>
    <x v="2"/>
    <x v="1"/>
    <m/>
    <s v="215746132"/>
  </r>
  <r>
    <n v="2158"/>
    <n v="32"/>
    <s v="Masculino"/>
    <s v="Pintura"/>
    <s v="Operador"/>
    <s v="2º Turno"/>
    <x v="0"/>
    <s v="Não"/>
    <x v="1"/>
    <d v="2026-04-19T00:00:00"/>
    <d v="2026-04-01T00:00:00"/>
    <s v="dom"/>
    <x v="2"/>
    <x v="0"/>
    <m/>
    <s v="215846131"/>
  </r>
  <r>
    <n v="2158"/>
    <n v="32"/>
    <s v="Masculino"/>
    <s v="Pintura"/>
    <s v="Operador"/>
    <s v="2º Turno"/>
    <x v="0"/>
    <s v="Não"/>
    <x v="1"/>
    <d v="2026-04-10T00:00:00"/>
    <d v="2026-04-01T00:00:00"/>
    <s v="sáb"/>
    <x v="2"/>
    <x v="1"/>
    <m/>
    <s v="215846122"/>
  </r>
  <r>
    <n v="2161"/>
    <n v="47"/>
    <s v="Masculino"/>
    <s v="Logistica"/>
    <s v="Operador"/>
    <s v="1º Turno"/>
    <x v="0"/>
    <s v="Não"/>
    <x v="2"/>
    <d v="2026-04-11T00:00:00"/>
    <d v="2026-04-01T00:00:00"/>
    <s v="sáb"/>
    <x v="2"/>
    <x v="0"/>
    <m/>
    <s v="216146123"/>
  </r>
  <r>
    <n v="2161"/>
    <n v="47"/>
    <s v="Masculino"/>
    <s v="Logistica"/>
    <s v="Operador"/>
    <s v="1º Turno"/>
    <x v="0"/>
    <s v="Não"/>
    <x v="2"/>
    <d v="2026-05-30T00:00:00"/>
    <d v="2026-05-01T00:00:00"/>
    <s v="sáb"/>
    <x v="0"/>
    <x v="0"/>
    <m/>
    <s v="216146172"/>
  </r>
  <r>
    <n v="2161"/>
    <n v="47"/>
    <s v="Masculino"/>
    <s v="Logistica"/>
    <s v="Operador"/>
    <s v="1º Turno"/>
    <x v="0"/>
    <s v="Não"/>
    <x v="2"/>
    <d v="2026-04-13T00:00:00"/>
    <d v="2026-04-01T00:00:00"/>
    <s v="dom"/>
    <x v="2"/>
    <x v="1"/>
    <m/>
    <s v="216146125"/>
  </r>
  <r>
    <n v="2161"/>
    <n v="47"/>
    <s v="Masculino"/>
    <s v="Logistica"/>
    <s v="Operador"/>
    <s v="1º Turno"/>
    <x v="0"/>
    <s v="Não"/>
    <x v="2"/>
    <d v="2026-05-28T00:00:00"/>
    <d v="2026-05-01T00:00:00"/>
    <s v="sex"/>
    <x v="0"/>
    <x v="1"/>
    <m/>
    <s v="216146170"/>
  </r>
  <r>
    <n v="2164"/>
    <n v="34"/>
    <s v="Feminino"/>
    <s v="Montagem"/>
    <s v="Operador"/>
    <s v="1º Turno"/>
    <x v="0"/>
    <s v="Não"/>
    <x v="0"/>
    <d v="2026-04-10T00:00:00"/>
    <d v="2026-04-01T00:00:00"/>
    <s v="sex"/>
    <x v="2"/>
    <x v="0"/>
    <m/>
    <s v="216446122"/>
  </r>
  <r>
    <n v="2164"/>
    <n v="34"/>
    <s v="Feminino"/>
    <s v="Montagem"/>
    <s v="Operador"/>
    <s v="1º Turno"/>
    <x v="0"/>
    <s v="Não"/>
    <x v="0"/>
    <d v="2026-04-11T00:00:00"/>
    <d v="2026-04-01T00:00:00"/>
    <s v="sex"/>
    <x v="2"/>
    <x v="1"/>
    <m/>
    <s v="216446123"/>
  </r>
  <r>
    <n v="2165"/>
    <n v="21"/>
    <s v="Feminino"/>
    <s v="Qualidade"/>
    <s v="Inspetor"/>
    <s v="3º Turno"/>
    <x v="0"/>
    <s v="Não"/>
    <x v="0"/>
    <d v="2026-04-13T00:00:00"/>
    <d v="2026-04-01T00:00:00"/>
    <s v="seg"/>
    <x v="2"/>
    <x v="0"/>
    <m/>
    <s v="216546125"/>
  </r>
  <r>
    <n v="2165"/>
    <n v="21"/>
    <s v="Feminino"/>
    <s v="Qualidade"/>
    <s v="Inspetor"/>
    <s v="3º Turno"/>
    <x v="0"/>
    <s v="Não"/>
    <x v="0"/>
    <d v="2026-05-03T00:00:00"/>
    <d v="2026-05-01T00:00:00"/>
    <s v="dom"/>
    <x v="0"/>
    <x v="0"/>
    <m/>
    <s v="216546145"/>
  </r>
  <r>
    <n v="2165"/>
    <n v="21"/>
    <s v="Feminino"/>
    <s v="Qualidade"/>
    <s v="Inspetor"/>
    <s v="3º Turno"/>
    <x v="0"/>
    <s v="Não"/>
    <x v="0"/>
    <d v="2026-05-28T00:00:00"/>
    <d v="2026-05-01T00:00:00"/>
    <s v="dom"/>
    <x v="2"/>
    <x v="1"/>
    <m/>
    <s v="216546170"/>
  </r>
  <r>
    <n v="2165"/>
    <n v="21"/>
    <s v="Feminino"/>
    <s v="Qualidade"/>
    <s v="Inspetor"/>
    <s v="3º Turno"/>
    <x v="0"/>
    <s v="Não"/>
    <x v="0"/>
    <d v="2026-04-14T00:00:00"/>
    <d v="2026-04-01T00:00:00"/>
    <s v="sáb"/>
    <x v="0"/>
    <x v="1"/>
    <m/>
    <s v="216546126"/>
  </r>
  <r>
    <n v="2167"/>
    <n v="42"/>
    <s v="Feminino"/>
    <s v="Soldagem"/>
    <s v="Operador"/>
    <s v="3º Turno"/>
    <x v="0"/>
    <s v="Não"/>
    <x v="1"/>
    <d v="2026-05-26T00:00:00"/>
    <d v="2026-05-01T00:00:00"/>
    <s v="ter"/>
    <x v="0"/>
    <x v="0"/>
    <m/>
    <s v="216746168"/>
  </r>
  <r>
    <n v="2167"/>
    <n v="42"/>
    <s v="Feminino"/>
    <s v="Soldagem"/>
    <s v="Operador"/>
    <s v="3º Turno"/>
    <x v="0"/>
    <s v="Não"/>
    <x v="1"/>
    <d v="2026-04-10T00:00:00"/>
    <d v="2026-04-01T00:00:00"/>
    <s v="seg"/>
    <x v="0"/>
    <x v="1"/>
    <m/>
    <s v="216746122"/>
  </r>
  <r>
    <n v="2168"/>
    <n v="40"/>
    <s v="Masculino"/>
    <s v="Soldagem"/>
    <s v="Operador"/>
    <s v="2º Turno"/>
    <x v="0"/>
    <s v="Não"/>
    <x v="1"/>
    <d v="2026-04-11T00:00:00"/>
    <d v="2026-04-01T00:00:00"/>
    <s v="sáb"/>
    <x v="2"/>
    <x v="0"/>
    <m/>
    <s v="216846123"/>
  </r>
  <r>
    <n v="2168"/>
    <n v="40"/>
    <s v="Masculino"/>
    <s v="Soldagem"/>
    <s v="Operador"/>
    <s v="2º Turno"/>
    <x v="0"/>
    <s v="Não"/>
    <x v="1"/>
    <d v="2026-04-14T00:00:00"/>
    <d v="2026-04-01T00:00:00"/>
    <s v="ter"/>
    <x v="2"/>
    <x v="0"/>
    <m/>
    <s v="216846126"/>
  </r>
  <r>
    <n v="2168"/>
    <n v="40"/>
    <s v="Masculino"/>
    <s v="Soldagem"/>
    <s v="Operador"/>
    <s v="2º Turno"/>
    <x v="0"/>
    <s v="Não"/>
    <x v="1"/>
    <d v="2026-04-13T00:00:00"/>
    <d v="2026-04-01T00:00:00"/>
    <s v="dom"/>
    <x v="2"/>
    <x v="1"/>
    <m/>
    <s v="216846125"/>
  </r>
  <r>
    <n v="2168"/>
    <n v="40"/>
    <s v="Masculino"/>
    <s v="Soldagem"/>
    <s v="Operador"/>
    <s v="2º Turno"/>
    <x v="0"/>
    <s v="Não"/>
    <x v="1"/>
    <d v="2026-05-15T00:00:00"/>
    <d v="2026-05-01T00:00:00"/>
    <s v="qui"/>
    <x v="0"/>
    <x v="1"/>
    <m/>
    <s v="216846157"/>
  </r>
  <r>
    <n v="2171"/>
    <n v="40"/>
    <s v="Feminino"/>
    <s v="Soldagem"/>
    <s v="Operador"/>
    <s v="1º Turno"/>
    <x v="0"/>
    <s v="Não"/>
    <x v="0"/>
    <d v="2026-04-11T00:00:00"/>
    <d v="2026-04-01T00:00:00"/>
    <s v="sáb"/>
    <x v="2"/>
    <x v="0"/>
    <m/>
    <s v="217146123"/>
  </r>
  <r>
    <n v="2171"/>
    <n v="40"/>
    <s v="Feminino"/>
    <s v="Soldagem"/>
    <s v="Operador"/>
    <s v="1º Turno"/>
    <x v="0"/>
    <s v="Não"/>
    <x v="0"/>
    <d v="2026-04-14T00:00:00"/>
    <d v="2026-04-01T00:00:00"/>
    <s v="sex"/>
    <x v="2"/>
    <x v="1"/>
    <m/>
    <s v="217146126"/>
  </r>
  <r>
    <n v="2175"/>
    <n v="36"/>
    <s v="Feminino"/>
    <s v="Montagem"/>
    <s v="Operador"/>
    <s v="1º Turno"/>
    <x v="0"/>
    <s v="Não"/>
    <x v="0"/>
    <d v="2026-05-18T00:00:00"/>
    <d v="2026-05-01T00:00:00"/>
    <s v="seg"/>
    <x v="0"/>
    <x v="0"/>
    <m/>
    <s v="217546160"/>
  </r>
  <r>
    <n v="2175"/>
    <n v="36"/>
    <s v="Feminino"/>
    <s v="Montagem"/>
    <s v="Operador"/>
    <s v="1º Turno"/>
    <x v="0"/>
    <s v="Não"/>
    <x v="0"/>
    <d v="2026-05-11T00:00:00"/>
    <d v="2026-05-01T00:00:00"/>
    <s v="dom"/>
    <x v="0"/>
    <x v="1"/>
    <m/>
    <s v="217546153"/>
  </r>
  <r>
    <n v="2179"/>
    <n v="22"/>
    <s v="Feminino"/>
    <s v="Montagem"/>
    <s v="Operador"/>
    <s v="2º Turno"/>
    <x v="0"/>
    <s v="Não"/>
    <x v="1"/>
    <d v="2026-04-15T00:00:00"/>
    <d v="2026-04-01T00:00:00"/>
    <s v="qua"/>
    <x v="2"/>
    <x v="0"/>
    <m/>
    <s v="217946127"/>
  </r>
  <r>
    <n v="2179"/>
    <n v="22"/>
    <s v="Feminino"/>
    <s v="Montagem"/>
    <s v="Operador"/>
    <s v="2º Turno"/>
    <x v="0"/>
    <s v="Não"/>
    <x v="1"/>
    <d v="2026-04-10T00:00:00"/>
    <d v="2026-04-01T00:00:00"/>
    <s v="sex"/>
    <x v="2"/>
    <x v="0"/>
    <m/>
    <s v="217946122"/>
  </r>
  <r>
    <n v="2179"/>
    <n v="22"/>
    <s v="Feminino"/>
    <s v="Montagem"/>
    <s v="Operador"/>
    <s v="2º Turno"/>
    <x v="0"/>
    <s v="Não"/>
    <x v="1"/>
    <d v="2026-05-28T00:00:00"/>
    <d v="2026-05-01T00:00:00"/>
    <s v="ter"/>
    <x v="2"/>
    <x v="1"/>
    <m/>
    <s v="217946170"/>
  </r>
  <r>
    <n v="2179"/>
    <n v="22"/>
    <s v="Feminino"/>
    <s v="Montagem"/>
    <s v="Operador"/>
    <s v="2º Turno"/>
    <x v="0"/>
    <s v="Não"/>
    <x v="1"/>
    <d v="2026-05-17T00:00:00"/>
    <d v="2026-05-01T00:00:00"/>
    <s v="sáb"/>
    <x v="0"/>
    <x v="1"/>
    <m/>
    <s v="217946159"/>
  </r>
  <r>
    <n v="2180"/>
    <n v="23"/>
    <s v="Masculino"/>
    <s v="Soldagem"/>
    <s v="Operador"/>
    <s v="3º Turno"/>
    <x v="0"/>
    <s v="Não"/>
    <x v="1"/>
    <d v="2026-05-20T00:00:00"/>
    <d v="2026-05-01T00:00:00"/>
    <s v="qua"/>
    <x v="0"/>
    <x v="0"/>
    <m/>
    <s v="218046162"/>
  </r>
  <r>
    <n v="2180"/>
    <n v="23"/>
    <s v="Masculino"/>
    <s v="Soldagem"/>
    <s v="Operador"/>
    <s v="3º Turno"/>
    <x v="0"/>
    <s v="Não"/>
    <x v="1"/>
    <d v="2026-04-11T00:00:00"/>
    <d v="2026-04-01T00:00:00"/>
    <s v="ter"/>
    <x v="0"/>
    <x v="1"/>
    <m/>
    <s v="218046123"/>
  </r>
  <r>
    <n v="2181"/>
    <n v="24"/>
    <s v="Masculino"/>
    <s v="Montagem"/>
    <s v="Operador"/>
    <s v="1º Turno"/>
    <x v="0"/>
    <s v="Não"/>
    <x v="0"/>
    <d v="2026-05-03T00:00:00"/>
    <d v="2026-05-01T00:00:00"/>
    <s v="dom"/>
    <x v="0"/>
    <x v="0"/>
    <m/>
    <s v="218146145"/>
  </r>
  <r>
    <n v="2181"/>
    <n v="24"/>
    <s v="Masculino"/>
    <s v="Montagem"/>
    <s v="Operador"/>
    <s v="1º Turno"/>
    <x v="0"/>
    <s v="Não"/>
    <x v="0"/>
    <d v="2026-05-28T00:00:00"/>
    <d v="2026-05-01T00:00:00"/>
    <s v="qui"/>
    <x v="0"/>
    <x v="0"/>
    <m/>
    <s v="218146170"/>
  </r>
  <r>
    <n v="2181"/>
    <n v="24"/>
    <s v="Masculino"/>
    <s v="Montagem"/>
    <s v="Operador"/>
    <s v="1º Turno"/>
    <x v="0"/>
    <s v="Não"/>
    <x v="0"/>
    <d v="2026-04-28T00:00:00"/>
    <d v="2026-04-01T00:00:00"/>
    <s v="sáb"/>
    <x v="0"/>
    <x v="1"/>
    <m/>
    <s v="218146140"/>
  </r>
  <r>
    <n v="2181"/>
    <n v="24"/>
    <s v="Masculino"/>
    <s v="Montagem"/>
    <s v="Operador"/>
    <s v="1º Turno"/>
    <x v="0"/>
    <s v="Não"/>
    <x v="0"/>
    <d v="2026-05-24T00:00:00"/>
    <d v="2026-05-01T00:00:00"/>
    <s v="sáb"/>
    <x v="0"/>
    <x v="1"/>
    <m/>
    <s v="218146166"/>
  </r>
  <r>
    <n v="2183"/>
    <n v="28"/>
    <s v="Masculino"/>
    <s v="Qualidade"/>
    <s v="Inspetor"/>
    <s v="1º Turno"/>
    <x v="0"/>
    <s v="Não"/>
    <x v="2"/>
    <d v="2026-04-11T00:00:00"/>
    <d v="2026-04-01T00:00:00"/>
    <s v="sáb"/>
    <x v="2"/>
    <x v="0"/>
    <m/>
    <s v="218346123"/>
  </r>
  <r>
    <n v="2183"/>
    <n v="28"/>
    <s v="Masculino"/>
    <s v="Qualidade"/>
    <s v="Inspetor"/>
    <s v="1º Turno"/>
    <x v="0"/>
    <s v="Não"/>
    <x v="2"/>
    <d v="2026-05-18T00:00:00"/>
    <d v="2026-05-01T00:00:00"/>
    <s v="seg"/>
    <x v="0"/>
    <x v="0"/>
    <m/>
    <s v="218346160"/>
  </r>
  <r>
    <n v="2183"/>
    <n v="28"/>
    <s v="Masculino"/>
    <s v="Qualidade"/>
    <s v="Inspetor"/>
    <s v="1º Turno"/>
    <x v="0"/>
    <s v="Não"/>
    <x v="2"/>
    <d v="2026-04-16T00:00:00"/>
    <d v="2026-04-01T00:00:00"/>
    <s v="qua"/>
    <x v="2"/>
    <x v="1"/>
    <m/>
    <s v="218346128"/>
  </r>
  <r>
    <n v="2183"/>
    <n v="28"/>
    <s v="Masculino"/>
    <s v="Qualidade"/>
    <s v="Inspetor"/>
    <s v="1º Turno"/>
    <x v="0"/>
    <s v="Não"/>
    <x v="2"/>
    <d v="2026-05-20T00:00:00"/>
    <d v="2026-05-01T00:00:00"/>
    <s v="ter"/>
    <x v="0"/>
    <x v="1"/>
    <m/>
    <s v="218346162"/>
  </r>
  <r>
    <n v="2184"/>
    <n v="42"/>
    <s v="Masculino"/>
    <s v="Montagem"/>
    <s v="Operador"/>
    <s v="1º Turno"/>
    <x v="0"/>
    <s v="Não"/>
    <x v="1"/>
    <d v="2026-04-11T00:00:00"/>
    <d v="2026-04-01T00:00:00"/>
    <s v="sáb"/>
    <x v="2"/>
    <x v="0"/>
    <m/>
    <s v="218446123"/>
  </r>
  <r>
    <n v="2184"/>
    <n v="42"/>
    <s v="Masculino"/>
    <s v="Montagem"/>
    <s v="Operador"/>
    <s v="1º Turno"/>
    <x v="0"/>
    <s v="Não"/>
    <x v="1"/>
    <d v="2026-05-31T00:00:00"/>
    <d v="2026-05-01T00:00:00"/>
    <s v="sáb"/>
    <x v="0"/>
    <x v="1"/>
    <m/>
    <s v="218446173"/>
  </r>
  <r>
    <n v="2186"/>
    <n v="33"/>
    <s v="Masculino"/>
    <s v="Montagem"/>
    <s v="Operador"/>
    <s v="2º Turno"/>
    <x v="0"/>
    <s v="Não"/>
    <x v="0"/>
    <d v="2026-05-16T00:00:00"/>
    <d v="2026-05-01T00:00:00"/>
    <s v="sáb"/>
    <x v="0"/>
    <x v="0"/>
    <m/>
    <s v="218646158"/>
  </r>
  <r>
    <n v="2186"/>
    <n v="33"/>
    <s v="Masculino"/>
    <s v="Montagem"/>
    <s v="Operador"/>
    <s v="2º Turno"/>
    <x v="0"/>
    <s v="Não"/>
    <x v="0"/>
    <d v="2026-05-31T00:00:00"/>
    <d v="2026-05-01T00:00:00"/>
    <s v="sáb"/>
    <x v="0"/>
    <x v="1"/>
    <m/>
    <s v="218646173"/>
  </r>
  <r>
    <n v="2194"/>
    <n v="51"/>
    <s v="Feminino"/>
    <s v="Montagem"/>
    <s v="Operador"/>
    <s v="1º Turno"/>
    <x v="0"/>
    <s v="Não"/>
    <x v="1"/>
    <d v="2026-05-12T00:00:00"/>
    <d v="2026-05-01T00:00:00"/>
    <s v="ter"/>
    <x v="0"/>
    <x v="0"/>
    <m/>
    <s v="219446154"/>
  </r>
  <r>
    <n v="2194"/>
    <n v="51"/>
    <s v="Feminino"/>
    <s v="Montagem"/>
    <s v="Operador"/>
    <s v="1º Turno"/>
    <x v="0"/>
    <s v="Não"/>
    <x v="1"/>
    <d v="2026-05-16T00:00:00"/>
    <d v="2026-05-01T00:00:00"/>
    <s v="seg"/>
    <x v="0"/>
    <x v="1"/>
    <m/>
    <s v="219446158"/>
  </r>
  <r>
    <n v="1932"/>
    <n v="33"/>
    <s v="Masculino"/>
    <s v="Montagem"/>
    <s v="Operador"/>
    <s v="3º Turno"/>
    <x v="0"/>
    <s v="Não"/>
    <x v="1"/>
    <d v="2026-04-29T00:00:00"/>
    <d v="2026-04-01T00:00:00"/>
    <s v="qua"/>
    <x v="2"/>
    <x v="0"/>
    <m/>
    <s v="193246141"/>
  </r>
  <r>
    <n v="1932"/>
    <n v="33"/>
    <s v="Masculino"/>
    <s v="Montagem"/>
    <s v="Operador"/>
    <s v="3º Turno"/>
    <x v="0"/>
    <s v="Não"/>
    <x v="1"/>
    <d v="2026-05-14T00:00:00"/>
    <d v="2026-05-01T00:00:00"/>
    <s v="qua"/>
    <x v="0"/>
    <x v="1"/>
    <m/>
    <s v="193246156"/>
  </r>
  <r>
    <n v="1937"/>
    <n v="53"/>
    <s v="Feminino"/>
    <s v="Montagem"/>
    <s v="Operador"/>
    <s v="3º Turno"/>
    <x v="0"/>
    <s v="Não"/>
    <x v="2"/>
    <d v="2026-04-22T00:00:00"/>
    <d v="2026-04-01T00:00:00"/>
    <s v="qua"/>
    <x v="2"/>
    <x v="0"/>
    <m/>
    <s v="193746134"/>
  </r>
  <r>
    <n v="1937"/>
    <n v="53"/>
    <s v="Feminino"/>
    <s v="Montagem"/>
    <s v="Operador"/>
    <s v="3º Turno"/>
    <x v="0"/>
    <s v="Não"/>
    <x v="2"/>
    <d v="2026-04-07T00:00:00"/>
    <d v="2026-04-01T00:00:00"/>
    <s v="ter"/>
    <x v="2"/>
    <x v="1"/>
    <m/>
    <s v="193746119"/>
  </r>
  <r>
    <n v="1938"/>
    <n v="45"/>
    <s v="Masculino"/>
    <s v="Soldagem"/>
    <s v="Operador"/>
    <s v="2º Turno"/>
    <x v="0"/>
    <s v="Não"/>
    <x v="0"/>
    <d v="2026-04-12T00:00:00"/>
    <d v="2026-04-01T00:00:00"/>
    <s v="dom"/>
    <x v="2"/>
    <x v="0"/>
    <m/>
    <s v="193846124"/>
  </r>
  <r>
    <n v="1938"/>
    <n v="45"/>
    <s v="Masculino"/>
    <s v="Soldagem"/>
    <s v="Operador"/>
    <s v="2º Turno"/>
    <x v="0"/>
    <s v="Não"/>
    <x v="0"/>
    <d v="2026-04-14T00:00:00"/>
    <d v="2026-04-01T00:00:00"/>
    <s v="seg"/>
    <x v="2"/>
    <x v="1"/>
    <m/>
    <s v="193846126"/>
  </r>
  <r>
    <n v="1945"/>
    <n v="31"/>
    <s v="Masculino"/>
    <s v="Soldagem"/>
    <s v="Operador"/>
    <s v="3º Turno"/>
    <x v="0"/>
    <s v="Não"/>
    <x v="1"/>
    <d v="2026-05-16T00:00:00"/>
    <d v="2026-05-01T00:00:00"/>
    <s v="sáb"/>
    <x v="0"/>
    <x v="0"/>
    <m/>
    <s v="194546158"/>
  </r>
  <r>
    <n v="1945"/>
    <n v="31"/>
    <s v="Masculino"/>
    <s v="Soldagem"/>
    <s v="Operador"/>
    <s v="3º Turno"/>
    <x v="0"/>
    <s v="Não"/>
    <x v="1"/>
    <d v="2026-04-07T00:00:00"/>
    <d v="2026-04-01T00:00:00"/>
    <s v="sex"/>
    <x v="0"/>
    <x v="1"/>
    <m/>
    <s v="194546119"/>
  </r>
  <r>
    <n v="1947"/>
    <n v="26"/>
    <s v="Feminino"/>
    <s v="Qualidade"/>
    <s v="Analista"/>
    <s v="1º Turno"/>
    <x v="0"/>
    <s v="Não"/>
    <x v="1"/>
    <d v="2026-05-03T00:00:00"/>
    <d v="2026-05-01T00:00:00"/>
    <s v="dom"/>
    <x v="0"/>
    <x v="0"/>
    <m/>
    <s v="194746145"/>
  </r>
  <r>
    <n v="1947"/>
    <n v="26"/>
    <s v="Feminino"/>
    <s v="Qualidade"/>
    <s v="Analista"/>
    <s v="1º Turno"/>
    <x v="0"/>
    <s v="Não"/>
    <x v="1"/>
    <d v="2026-04-07T00:00:00"/>
    <d v="2026-04-01T00:00:00"/>
    <s v="ter"/>
    <x v="2"/>
    <x v="0"/>
    <m/>
    <s v="194746119"/>
  </r>
  <r>
    <n v="1947"/>
    <n v="26"/>
    <s v="Feminino"/>
    <s v="Qualidade"/>
    <s v="Analista"/>
    <s v="1º Turno"/>
    <x v="0"/>
    <s v="Não"/>
    <x v="1"/>
    <d v="2026-04-14T00:00:00"/>
    <d v="2026-04-01T00:00:00"/>
    <s v="sáb"/>
    <x v="0"/>
    <x v="1"/>
    <m/>
    <s v="194746126"/>
  </r>
  <r>
    <n v="1947"/>
    <n v="26"/>
    <s v="Feminino"/>
    <s v="Qualidade"/>
    <s v="Analista"/>
    <s v="1º Turno"/>
    <x v="0"/>
    <s v="Não"/>
    <x v="1"/>
    <d v="2026-05-27T00:00:00"/>
    <d v="2026-05-01T00:00:00"/>
    <s v="ter"/>
    <x v="0"/>
    <x v="1"/>
    <m/>
    <s v="194746169"/>
  </r>
  <r>
    <n v="1949"/>
    <n v="40"/>
    <s v="Feminino"/>
    <s v="Pintura"/>
    <s v="Operador"/>
    <s v="3º Turno"/>
    <x v="0"/>
    <s v="Não"/>
    <x v="2"/>
    <d v="2026-05-21T00:00:00"/>
    <d v="2026-05-01T00:00:00"/>
    <s v="qui"/>
    <x v="0"/>
    <x v="0"/>
    <m/>
    <s v="194946163"/>
  </r>
  <r>
    <n v="1949"/>
    <n v="40"/>
    <s v="Feminino"/>
    <s v="Pintura"/>
    <s v="Operador"/>
    <s v="3º Turno"/>
    <x v="0"/>
    <s v="Não"/>
    <x v="2"/>
    <d v="2026-04-07T00:00:00"/>
    <d v="2026-04-01T00:00:00"/>
    <s v="qua"/>
    <x v="0"/>
    <x v="1"/>
    <m/>
    <s v="194946119"/>
  </r>
  <r>
    <n v="1951"/>
    <n v="24"/>
    <s v="Feminino"/>
    <s v="Qualidade"/>
    <s v="Inspetor"/>
    <s v="2º Turno"/>
    <x v="0"/>
    <s v="Não"/>
    <x v="2"/>
    <d v="2026-05-28T00:00:00"/>
    <d v="2026-05-01T00:00:00"/>
    <s v="qui"/>
    <x v="0"/>
    <x v="0"/>
    <m/>
    <s v="195146170"/>
  </r>
  <r>
    <n v="1951"/>
    <n v="24"/>
    <s v="Feminino"/>
    <s v="Qualidade"/>
    <s v="Inspetor"/>
    <s v="2º Turno"/>
    <x v="0"/>
    <s v="Não"/>
    <x v="2"/>
    <d v="2026-04-14T00:00:00"/>
    <d v="2026-04-01T00:00:00"/>
    <s v="qua"/>
    <x v="0"/>
    <x v="1"/>
    <m/>
    <s v="195146126"/>
  </r>
  <r>
    <n v="1953"/>
    <n v="44"/>
    <s v="Masculino"/>
    <s v="Montagem"/>
    <s v="Operador"/>
    <s v="2º Turno"/>
    <x v="0"/>
    <s v="Não"/>
    <x v="2"/>
    <d v="2026-04-10T00:00:00"/>
    <d v="2026-04-01T00:00:00"/>
    <s v="sex"/>
    <x v="2"/>
    <x v="0"/>
    <m/>
    <s v="195346122"/>
  </r>
  <r>
    <n v="1953"/>
    <n v="44"/>
    <s v="Masculino"/>
    <s v="Montagem"/>
    <s v="Operador"/>
    <s v="2º Turno"/>
    <x v="0"/>
    <s v="Não"/>
    <x v="2"/>
    <d v="2026-05-10T00:00:00"/>
    <d v="2026-05-01T00:00:00"/>
    <s v="dom"/>
    <x v="0"/>
    <x v="0"/>
    <m/>
    <s v="195346152"/>
  </r>
  <r>
    <n v="1953"/>
    <n v="44"/>
    <s v="Masculino"/>
    <s v="Montagem"/>
    <s v="Operador"/>
    <s v="2º Turno"/>
    <x v="0"/>
    <s v="Não"/>
    <x v="2"/>
    <d v="2026-03-23T00:00:00"/>
    <d v="2026-03-01T00:00:00"/>
    <s v="seg"/>
    <x v="4"/>
    <x v="0"/>
    <m/>
    <s v="195346104"/>
  </r>
  <r>
    <n v="1953"/>
    <n v="44"/>
    <s v="Masculino"/>
    <s v="Montagem"/>
    <s v="Operador"/>
    <s v="2º Turno"/>
    <x v="0"/>
    <s v="Não"/>
    <x v="2"/>
    <d v="2026-04-14T00:00:00"/>
    <d v="2026-04-01T00:00:00"/>
    <s v="qui"/>
    <x v="2"/>
    <x v="1"/>
    <m/>
    <s v="195346126"/>
  </r>
  <r>
    <n v="1953"/>
    <n v="44"/>
    <s v="Masculino"/>
    <s v="Montagem"/>
    <s v="Operador"/>
    <s v="2º Turno"/>
    <x v="0"/>
    <s v="Não"/>
    <x v="2"/>
    <d v="2026-04-07T00:00:00"/>
    <d v="2026-04-01T00:00:00"/>
    <s v="sáb"/>
    <x v="0"/>
    <x v="1"/>
    <m/>
    <s v="195346119"/>
  </r>
  <r>
    <n v="1953"/>
    <n v="44"/>
    <s v="Masculino"/>
    <s v="Montagem"/>
    <s v="Operador"/>
    <s v="2º Turno"/>
    <x v="0"/>
    <s v="Não"/>
    <x v="2"/>
    <d v="2026-05-31T00:00:00"/>
    <d v="2026-05-01T00:00:00"/>
    <s v="sáb"/>
    <x v="0"/>
    <x v="1"/>
    <m/>
    <s v="195346173"/>
  </r>
  <r>
    <n v="1955"/>
    <n v="47"/>
    <s v="Masculino"/>
    <s v="Montagem"/>
    <s v="Operador"/>
    <s v="2º Turno"/>
    <x v="0"/>
    <s v="Não"/>
    <x v="1"/>
    <d v="2026-03-08T00:00:00"/>
    <d v="2026-03-01T00:00:00"/>
    <s v="dom"/>
    <x v="4"/>
    <x v="0"/>
    <m/>
    <s v="195546089"/>
  </r>
  <r>
    <n v="1955"/>
    <n v="47"/>
    <s v="Masculino"/>
    <s v="Montagem"/>
    <s v="Operador"/>
    <s v="2º Turno"/>
    <x v="0"/>
    <s v="Não"/>
    <x v="1"/>
    <d v="2026-04-07T00:00:00"/>
    <d v="2026-04-01T00:00:00"/>
    <s v="ter"/>
    <x v="2"/>
    <x v="0"/>
    <m/>
    <s v="195546119"/>
  </r>
  <r>
    <n v="1955"/>
    <n v="47"/>
    <s v="Masculino"/>
    <s v="Montagem"/>
    <s v="Operador"/>
    <s v="2º Turno"/>
    <x v="0"/>
    <s v="Não"/>
    <x v="1"/>
    <d v="2026-04-13T00:00:00"/>
    <d v="2026-04-01T00:00:00"/>
    <s v="dom"/>
    <x v="2"/>
    <x v="1"/>
    <m/>
    <s v="195546125"/>
  </r>
  <r>
    <n v="1955"/>
    <n v="47"/>
    <s v="Masculino"/>
    <s v="Montagem"/>
    <s v="Operador"/>
    <s v="2º Turno"/>
    <x v="0"/>
    <s v="Não"/>
    <x v="1"/>
    <d v="2026-05-31T00:00:00"/>
    <d v="2026-05-01T00:00:00"/>
    <s v="sáb"/>
    <x v="0"/>
    <x v="1"/>
    <m/>
    <s v="195546173"/>
  </r>
  <r>
    <n v="1959"/>
    <n v="29"/>
    <s v="Feminino"/>
    <s v="Montagem"/>
    <s v="Operador"/>
    <s v="2º Turno"/>
    <x v="0"/>
    <s v="Não"/>
    <x v="2"/>
    <d v="2026-04-14T00:00:00"/>
    <d v="2026-04-01T00:00:00"/>
    <s v="ter"/>
    <x v="2"/>
    <x v="0"/>
    <m/>
    <s v="195946126"/>
  </r>
  <r>
    <n v="1959"/>
    <n v="29"/>
    <s v="Feminino"/>
    <s v="Montagem"/>
    <s v="Operador"/>
    <s v="2º Turno"/>
    <x v="0"/>
    <s v="Não"/>
    <x v="2"/>
    <d v="2026-05-30T00:00:00"/>
    <d v="2026-05-01T00:00:00"/>
    <s v="sex"/>
    <x v="0"/>
    <x v="1"/>
    <m/>
    <s v="195946172"/>
  </r>
  <r>
    <n v="1960"/>
    <n v="37"/>
    <s v="Feminino"/>
    <s v="Pintura"/>
    <s v="Operador"/>
    <s v="1º Turno"/>
    <x v="0"/>
    <s v="Não"/>
    <x v="2"/>
    <d v="2026-03-08T00:00:00"/>
    <d v="2026-03-01T00:00:00"/>
    <s v="dom"/>
    <x v="4"/>
    <x v="0"/>
    <m/>
    <s v="196046089"/>
  </r>
  <r>
    <n v="1960"/>
    <n v="37"/>
    <s v="Feminino"/>
    <s v="Pintura"/>
    <s v="Operador"/>
    <s v="1º Turno"/>
    <x v="0"/>
    <s v="Não"/>
    <x v="2"/>
    <d v="2026-04-13T00:00:00"/>
    <d v="2026-04-01T00:00:00"/>
    <s v="dom"/>
    <x v="2"/>
    <x v="1"/>
    <m/>
    <s v="196046125"/>
  </r>
  <r>
    <n v="1961"/>
    <n v="18"/>
    <s v="Masculino"/>
    <s v="Soldagem"/>
    <s v="Operador"/>
    <s v="2º Turno"/>
    <x v="0"/>
    <s v="Não"/>
    <x v="2"/>
    <d v="2026-04-14T00:00:00"/>
    <d v="2026-04-01T00:00:00"/>
    <s v="ter"/>
    <x v="2"/>
    <x v="0"/>
    <m/>
    <s v="196146126"/>
  </r>
  <r>
    <n v="1961"/>
    <n v="18"/>
    <s v="Masculino"/>
    <s v="Soldagem"/>
    <s v="Operador"/>
    <s v="2º Turno"/>
    <x v="0"/>
    <s v="Não"/>
    <x v="2"/>
    <d v="2026-05-30T00:00:00"/>
    <d v="2026-05-01T00:00:00"/>
    <s v="sex"/>
    <x v="0"/>
    <x v="1"/>
    <m/>
    <s v="196146172"/>
  </r>
  <r>
    <n v="1962"/>
    <n v="22"/>
    <s v="Feminino"/>
    <s v="Montagem"/>
    <s v="Operador"/>
    <s v="3º Turno"/>
    <x v="0"/>
    <s v="Não"/>
    <x v="1"/>
    <d v="2026-04-25T00:00:00"/>
    <d v="2026-04-01T00:00:00"/>
    <s v="sáb"/>
    <x v="2"/>
    <x v="0"/>
    <m/>
    <s v="196246137"/>
  </r>
  <r>
    <n v="1962"/>
    <n v="22"/>
    <s v="Feminino"/>
    <s v="Montagem"/>
    <s v="Operador"/>
    <s v="3º Turno"/>
    <x v="0"/>
    <s v="Não"/>
    <x v="1"/>
    <d v="2026-04-14T00:00:00"/>
    <d v="2026-04-01T00:00:00"/>
    <s v="sex"/>
    <x v="2"/>
    <x v="1"/>
    <m/>
    <s v="196246126"/>
  </r>
  <r>
    <n v="1963"/>
    <n v="42"/>
    <s v="Masculino"/>
    <s v="Qualidade"/>
    <s v="Inspetor"/>
    <s v="3º Turno"/>
    <x v="0"/>
    <s v="Não"/>
    <x v="2"/>
    <d v="2026-03-08T00:00:00"/>
    <d v="2026-03-01T00:00:00"/>
    <s v="dom"/>
    <x v="4"/>
    <x v="0"/>
    <m/>
    <s v="196346089"/>
  </r>
  <r>
    <n v="1963"/>
    <n v="42"/>
    <s v="Masculino"/>
    <s v="Qualidade"/>
    <s v="Inspetor"/>
    <s v="3º Turno"/>
    <x v="0"/>
    <s v="Não"/>
    <x v="2"/>
    <d v="2026-05-25T00:00:00"/>
    <d v="2026-05-01T00:00:00"/>
    <s v="dom"/>
    <x v="0"/>
    <x v="1"/>
    <m/>
    <s v="196346167"/>
  </r>
  <r>
    <n v="1965"/>
    <n v="36"/>
    <s v="Masculino"/>
    <s v="Montagem"/>
    <s v="Operador"/>
    <s v="1º Turno"/>
    <x v="0"/>
    <s v="Não"/>
    <x v="1"/>
    <d v="2026-05-01T00:00:00"/>
    <d v="2026-05-01T00:00:00"/>
    <s v="sex"/>
    <x v="0"/>
    <x v="0"/>
    <m/>
    <s v="196546143"/>
  </r>
  <r>
    <n v="1965"/>
    <n v="36"/>
    <s v="Masculino"/>
    <s v="Montagem"/>
    <s v="Operador"/>
    <s v="1º Turno"/>
    <x v="0"/>
    <s v="Não"/>
    <x v="1"/>
    <d v="2026-03-08T00:00:00"/>
    <d v="2026-03-01T00:00:00"/>
    <s v="qui"/>
    <x v="0"/>
    <x v="1"/>
    <m/>
    <s v="196546089"/>
  </r>
  <r>
    <n v="1969"/>
    <n v="49"/>
    <s v="Feminino"/>
    <s v="Soldagem"/>
    <s v="Operador"/>
    <s v="2º Turno"/>
    <x v="0"/>
    <s v="Não"/>
    <x v="1"/>
    <d v="2026-03-08T00:00:00"/>
    <d v="2026-03-01T00:00:00"/>
    <s v="dom"/>
    <x v="4"/>
    <x v="0"/>
    <m/>
    <s v="196946089"/>
  </r>
  <r>
    <n v="1969"/>
    <n v="49"/>
    <s v="Feminino"/>
    <s v="Soldagem"/>
    <s v="Operador"/>
    <s v="2º Turno"/>
    <x v="0"/>
    <s v="Não"/>
    <x v="1"/>
    <d v="2026-05-14T00:00:00"/>
    <d v="2026-05-01T00:00:00"/>
    <s v="qua"/>
    <x v="0"/>
    <x v="1"/>
    <m/>
    <s v="196946156"/>
  </r>
  <r>
    <n v="1971"/>
    <n v="30"/>
    <s v="Masculino"/>
    <s v="Pintura"/>
    <s v="Operador"/>
    <s v="2º Turno"/>
    <x v="0"/>
    <s v="Não"/>
    <x v="1"/>
    <d v="2026-05-23T00:00:00"/>
    <d v="2026-05-01T00:00:00"/>
    <s v="sáb"/>
    <x v="0"/>
    <x v="0"/>
    <m/>
    <s v="197146165"/>
  </r>
  <r>
    <n v="1971"/>
    <n v="30"/>
    <s v="Masculino"/>
    <s v="Pintura"/>
    <s v="Operador"/>
    <s v="2º Turno"/>
    <x v="0"/>
    <s v="Não"/>
    <x v="1"/>
    <d v="2026-03-08T00:00:00"/>
    <d v="2026-03-01T00:00:00"/>
    <s v="sex"/>
    <x v="0"/>
    <x v="1"/>
    <m/>
    <s v="197146089"/>
  </r>
  <r>
    <n v="1973"/>
    <n v="25"/>
    <s v="Masculino"/>
    <s v="Qualidade"/>
    <s v="Analista"/>
    <s v="2º Turno"/>
    <x v="0"/>
    <s v="Não"/>
    <x v="0"/>
    <d v="2026-03-08T00:00:00"/>
    <d v="2026-03-01T00:00:00"/>
    <s v="dom"/>
    <x v="4"/>
    <x v="0"/>
    <m/>
    <s v="197346089"/>
  </r>
  <r>
    <n v="1973"/>
    <n v="25"/>
    <s v="Masculino"/>
    <s v="Qualidade"/>
    <s v="Analista"/>
    <s v="2º Turno"/>
    <x v="0"/>
    <s v="Não"/>
    <x v="0"/>
    <d v="2026-05-21T00:00:00"/>
    <d v="2026-05-01T00:00:00"/>
    <s v="qua"/>
    <x v="0"/>
    <x v="1"/>
    <m/>
    <s v="197346163"/>
  </r>
  <r>
    <n v="1976"/>
    <n v="38"/>
    <s v="Feminino"/>
    <s v="Qualidade"/>
    <s v="Analista"/>
    <s v="3º Turno"/>
    <x v="0"/>
    <s v="Não"/>
    <x v="1"/>
    <d v="2026-04-14T00:00:00"/>
    <d v="2026-04-01T00:00:00"/>
    <s v="ter"/>
    <x v="2"/>
    <x v="0"/>
    <m/>
    <s v="197646126"/>
  </r>
  <r>
    <n v="1976"/>
    <n v="38"/>
    <s v="Feminino"/>
    <s v="Qualidade"/>
    <s v="Analista"/>
    <s v="3º Turno"/>
    <x v="0"/>
    <s v="Não"/>
    <x v="1"/>
    <d v="2026-05-01T00:00:00"/>
    <d v="2026-05-01T00:00:00"/>
    <s v="qui"/>
    <x v="0"/>
    <x v="1"/>
    <m/>
    <s v="197646143"/>
  </r>
  <r>
    <n v="1977"/>
    <n v="27"/>
    <s v="Masculino"/>
    <s v="Qualidade"/>
    <s v="Analista"/>
    <s v="3º Turno"/>
    <x v="0"/>
    <s v="Não"/>
    <x v="0"/>
    <d v="2026-04-14T00:00:00"/>
    <d v="2026-04-01T00:00:00"/>
    <s v="ter"/>
    <x v="2"/>
    <x v="0"/>
    <m/>
    <s v="197746126"/>
  </r>
  <r>
    <n v="1977"/>
    <n v="27"/>
    <s v="Masculino"/>
    <s v="Qualidade"/>
    <s v="Analista"/>
    <s v="3º Turno"/>
    <x v="0"/>
    <s v="Não"/>
    <x v="0"/>
    <d v="2026-05-15T00:00:00"/>
    <d v="2026-05-01T00:00:00"/>
    <s v="qui"/>
    <x v="0"/>
    <x v="1"/>
    <m/>
    <s v="197746157"/>
  </r>
  <r>
    <n v="1049"/>
    <n v="40"/>
    <s v="Feminino"/>
    <s v="Pintura"/>
    <s v="Operador"/>
    <s v="3º Turno"/>
    <x v="1"/>
    <s v="Não"/>
    <x v="1"/>
    <d v="2026-05-20T00:00:00"/>
    <d v="2026-05-01T00:00:00"/>
    <s v="qua"/>
    <x v="0"/>
    <x v="0"/>
    <m/>
    <s v="104946162"/>
  </r>
  <r>
    <n v="1049"/>
    <n v="40"/>
    <s v="Feminino"/>
    <s v="Pintura"/>
    <s v="Operador"/>
    <s v="3º Turno"/>
    <x v="1"/>
    <s v="Não"/>
    <x v="1"/>
    <d v="2026-05-21T00:00:00"/>
    <d v="2026-05-01T00:00:00"/>
    <s v="ter"/>
    <x v="0"/>
    <x v="1"/>
    <m/>
    <s v="104946163"/>
  </r>
  <r>
    <n v="1050"/>
    <n v="25"/>
    <s v="Feminino"/>
    <s v="Soldagem"/>
    <s v="Operador"/>
    <s v="2º Turno"/>
    <x v="0"/>
    <s v="Não"/>
    <x v="0"/>
    <d v="2026-05-05T00:00:00"/>
    <d v="2026-05-01T00:00:00"/>
    <s v="ter"/>
    <x v="0"/>
    <x v="0"/>
    <m/>
    <s v="105046147"/>
  </r>
  <r>
    <n v="1050"/>
    <n v="25"/>
    <s v="Feminino"/>
    <s v="Soldagem"/>
    <s v="Operador"/>
    <s v="2º Turno"/>
    <x v="1"/>
    <s v="Não"/>
    <x v="0"/>
    <d v="2026-05-09T00:00:00"/>
    <d v="2026-05-01T00:00:00"/>
    <s v="sáb"/>
    <x v="0"/>
    <x v="0"/>
    <m/>
    <s v="105046151"/>
  </r>
  <r>
    <n v="1050"/>
    <n v="25"/>
    <s v="Feminino"/>
    <s v="Soldagem"/>
    <s v="Operador"/>
    <s v="2º Turno"/>
    <x v="0"/>
    <s v="Não"/>
    <x v="0"/>
    <d v="2026-05-06T00:00:00"/>
    <d v="2026-05-01T00:00:00"/>
    <s v="seg"/>
    <x v="0"/>
    <x v="1"/>
    <m/>
    <s v="105046148"/>
  </r>
  <r>
    <n v="1050"/>
    <n v="25"/>
    <s v="Feminino"/>
    <s v="Soldagem"/>
    <s v="Operador"/>
    <s v="2º Turno"/>
    <x v="1"/>
    <s v="Não"/>
    <x v="0"/>
    <d v="2026-05-08T00:00:00"/>
    <d v="2026-05-01T00:00:00"/>
    <s v="qui"/>
    <x v="0"/>
    <x v="1"/>
    <m/>
    <s v="105046150"/>
  </r>
  <r>
    <n v="1051"/>
    <n v="24"/>
    <s v="Feminino"/>
    <s v="Qualidade"/>
    <s v="Inspetor"/>
    <s v="2º Turno"/>
    <x v="0"/>
    <s v="Não"/>
    <x v="0"/>
    <d v="2026-04-23T00:00:00"/>
    <d v="2026-04-01T00:00:00"/>
    <s v="qui"/>
    <x v="2"/>
    <x v="0"/>
    <m/>
    <s v="105146135"/>
  </r>
  <r>
    <n v="1051"/>
    <n v="24"/>
    <s v="Feminino"/>
    <s v="Qualidade"/>
    <s v="Inspetor"/>
    <s v="2º Turno"/>
    <x v="0"/>
    <s v="Não"/>
    <x v="0"/>
    <d v="2026-04-22T00:00:00"/>
    <d v="2026-04-01T00:00:00"/>
    <s v="qua"/>
    <x v="2"/>
    <x v="1"/>
    <m/>
    <s v="105146134"/>
  </r>
  <r>
    <n v="1096"/>
    <n v="34"/>
    <s v="Feminino"/>
    <s v="Montagem"/>
    <s v="Operador"/>
    <s v="2º Turno"/>
    <x v="0"/>
    <s v="Não"/>
    <x v="2"/>
    <d v="2026-05-31T00:00:00"/>
    <d v="2026-05-01T00:00:00"/>
    <s v="dom"/>
    <x v="0"/>
    <x v="0"/>
    <m/>
    <s v="109646173"/>
  </r>
  <r>
    <n v="1096"/>
    <n v="34"/>
    <s v="Feminino"/>
    <s v="Montagem"/>
    <s v="Operador"/>
    <s v="2º Turno"/>
    <x v="0"/>
    <s v="Não"/>
    <x v="2"/>
    <d v="2026-05-30T00:00:00"/>
    <d v="2026-05-01T00:00:00"/>
    <s v="sáb"/>
    <x v="0"/>
    <x v="1"/>
    <m/>
    <s v="109646172"/>
  </r>
  <r>
    <n v="1113"/>
    <n v="40"/>
    <s v="Masculino"/>
    <s v="Pintura"/>
    <s v="Operador"/>
    <s v="3º Turno"/>
    <x v="0"/>
    <s v="Não"/>
    <x v="1"/>
    <d v="2026-05-22T00:00:00"/>
    <d v="2026-05-01T00:00:00"/>
    <s v="sex"/>
    <x v="0"/>
    <x v="0"/>
    <m/>
    <s v="111346164"/>
  </r>
  <r>
    <n v="1113"/>
    <n v="40"/>
    <s v="Masculino"/>
    <s v="Pintura"/>
    <s v="Operador"/>
    <s v="3º Turno"/>
    <x v="0"/>
    <s v="Não"/>
    <x v="1"/>
    <d v="2026-05-30T00:00:00"/>
    <d v="2026-05-01T00:00:00"/>
    <s v="qui"/>
    <x v="0"/>
    <x v="1"/>
    <m/>
    <s v="111346172"/>
  </r>
  <r>
    <n v="1117"/>
    <n v="54"/>
    <s v="Feminino"/>
    <s v="Montagem"/>
    <s v="Operador"/>
    <s v="2º Turno"/>
    <x v="1"/>
    <s v="Não"/>
    <x v="2"/>
    <d v="2026-05-25T00:00:00"/>
    <d v="2026-05-01T00:00:00"/>
    <s v="seg"/>
    <x v="0"/>
    <x v="0"/>
    <m/>
    <s v="111746167"/>
  </r>
  <r>
    <n v="1117"/>
    <n v="54"/>
    <s v="Feminino"/>
    <s v="Montagem"/>
    <s v="Operador"/>
    <s v="2º Turno"/>
    <x v="1"/>
    <s v="Não"/>
    <x v="2"/>
    <d v="2026-05-21T00:00:00"/>
    <d v="2026-05-01T00:00:00"/>
    <s v="dom"/>
    <x v="0"/>
    <x v="1"/>
    <m/>
    <s v="111746163"/>
  </r>
  <r>
    <n v="1127"/>
    <n v="50"/>
    <s v="Feminino"/>
    <s v="Logistica"/>
    <s v="Operador"/>
    <s v="1º Turno"/>
    <x v="0"/>
    <s v="Não"/>
    <x v="1"/>
    <d v="2026-05-30T00:00:00"/>
    <d v="2026-05-01T00:00:00"/>
    <s v="sáb"/>
    <x v="0"/>
    <x v="0"/>
    <m/>
    <s v="112746172"/>
  </r>
  <r>
    <n v="1127"/>
    <n v="50"/>
    <s v="Feminino"/>
    <s v="Logistica"/>
    <s v="Operador"/>
    <s v="1º Turno"/>
    <x v="0"/>
    <s v="Não"/>
    <x v="1"/>
    <d v="2026-05-25T00:00:00"/>
    <d v="2026-05-01T00:00:00"/>
    <s v="seg"/>
    <x v="0"/>
    <x v="0"/>
    <m/>
    <s v="112746167"/>
  </r>
  <r>
    <n v="1127"/>
    <n v="50"/>
    <s v="Feminino"/>
    <s v="Logistica"/>
    <s v="Operador"/>
    <s v="1º Turno"/>
    <x v="0"/>
    <s v="Não"/>
    <x v="1"/>
    <d v="2026-05-08T00:00:00"/>
    <d v="2026-05-01T00:00:00"/>
    <s v="qui"/>
    <x v="0"/>
    <x v="1"/>
    <m/>
    <s v="112746150"/>
  </r>
  <r>
    <n v="1127"/>
    <n v="50"/>
    <s v="Feminino"/>
    <s v="Logistica"/>
    <s v="Operador"/>
    <s v="1º Turno"/>
    <x v="0"/>
    <s v="Não"/>
    <x v="1"/>
    <d v="2026-05-26T00:00:00"/>
    <d v="2026-05-01T00:00:00"/>
    <s v="seg"/>
    <x v="0"/>
    <x v="1"/>
    <m/>
    <s v="112746168"/>
  </r>
  <r>
    <n v="1163"/>
    <n v="21"/>
    <s v="Feminino"/>
    <s v="Soldagem"/>
    <s v="Operador"/>
    <s v="3º Turno"/>
    <x v="1"/>
    <s v="Não"/>
    <x v="0"/>
    <d v="2026-05-21T00:00:00"/>
    <d v="2026-05-01T00:00:00"/>
    <s v="qui"/>
    <x v="0"/>
    <x v="0"/>
    <m/>
    <s v="116346163"/>
  </r>
  <r>
    <n v="1163"/>
    <n v="21"/>
    <s v="Feminino"/>
    <s v="Soldagem"/>
    <s v="Operador"/>
    <s v="3º Turno"/>
    <x v="1"/>
    <s v="Não"/>
    <x v="0"/>
    <d v="2026-05-08T00:00:00"/>
    <d v="2026-05-01T00:00:00"/>
    <s v="sex"/>
    <x v="0"/>
    <x v="0"/>
    <m/>
    <s v="116346150"/>
  </r>
  <r>
    <n v="1163"/>
    <n v="21"/>
    <s v="Feminino"/>
    <s v="Soldagem"/>
    <s v="Operador"/>
    <s v="3º Turno"/>
    <x v="1"/>
    <s v="Não"/>
    <x v="0"/>
    <d v="2026-05-07T00:00:00"/>
    <d v="2026-05-01T00:00:00"/>
    <s v="qua"/>
    <x v="0"/>
    <x v="1"/>
    <m/>
    <s v="116346149"/>
  </r>
  <r>
    <n v="1163"/>
    <n v="21"/>
    <s v="Feminino"/>
    <s v="Soldagem"/>
    <s v="Operador"/>
    <s v="3º Turno"/>
    <x v="1"/>
    <s v="Não"/>
    <x v="0"/>
    <d v="2026-05-30T00:00:00"/>
    <d v="2026-05-01T00:00:00"/>
    <s v="qui"/>
    <x v="0"/>
    <x v="1"/>
    <m/>
    <s v="116346172"/>
  </r>
  <r>
    <n v="1176"/>
    <n v="26"/>
    <s v="Masculino"/>
    <s v="Montagem"/>
    <s v="Operador"/>
    <s v="3º Turno"/>
    <x v="0"/>
    <s v="Não"/>
    <x v="1"/>
    <d v="2026-05-24T00:00:00"/>
    <d v="2026-05-01T00:00:00"/>
    <s v="dom"/>
    <x v="0"/>
    <x v="0"/>
    <m/>
    <s v="117646166"/>
  </r>
  <r>
    <n v="1176"/>
    <n v="26"/>
    <s v="Masculino"/>
    <s v="Montagem"/>
    <s v="Operador"/>
    <s v="3º Turno"/>
    <x v="0"/>
    <s v="Não"/>
    <x v="1"/>
    <d v="2026-05-28T00:00:00"/>
    <d v="2026-05-01T00:00:00"/>
    <s v="qui"/>
    <x v="0"/>
    <x v="0"/>
    <m/>
    <s v="117646170"/>
  </r>
  <r>
    <n v="1176"/>
    <n v="26"/>
    <s v="Masculino"/>
    <s v="Montagem"/>
    <s v="Operador"/>
    <s v="3º Turno"/>
    <x v="0"/>
    <s v="Não"/>
    <x v="1"/>
    <d v="2026-05-06T00:00:00"/>
    <d v="2026-05-01T00:00:00"/>
    <s v="ter"/>
    <x v="0"/>
    <x v="1"/>
    <m/>
    <s v="117646148"/>
  </r>
  <r>
    <n v="1176"/>
    <n v="26"/>
    <s v="Masculino"/>
    <s v="Montagem"/>
    <s v="Operador"/>
    <s v="3º Turno"/>
    <x v="0"/>
    <s v="Não"/>
    <x v="1"/>
    <d v="2026-05-30T00:00:00"/>
    <d v="2026-05-01T00:00:00"/>
    <s v="qua"/>
    <x v="0"/>
    <x v="1"/>
    <m/>
    <s v="117646172"/>
  </r>
  <r>
    <n v="1197"/>
    <n v="57"/>
    <s v="Masculino"/>
    <s v="Pintura"/>
    <s v="Operador"/>
    <s v="1º Turno"/>
    <x v="1"/>
    <s v="Não"/>
    <x v="1"/>
    <d v="2026-05-02T00:00:00"/>
    <d v="2026-05-01T00:00:00"/>
    <s v="sáb"/>
    <x v="0"/>
    <x v="0"/>
    <m/>
    <s v="119746144"/>
  </r>
  <r>
    <n v="1197"/>
    <n v="57"/>
    <s v="Masculino"/>
    <s v="Pintura"/>
    <s v="Operador"/>
    <s v="1º Turno"/>
    <x v="1"/>
    <s v="Não"/>
    <x v="1"/>
    <d v="2026-05-21T00:00:00"/>
    <d v="2026-05-01T00:00:00"/>
    <s v="qui"/>
    <x v="0"/>
    <x v="0"/>
    <m/>
    <s v="119746163"/>
  </r>
  <r>
    <n v="1197"/>
    <n v="57"/>
    <s v="Masculino"/>
    <s v="Pintura"/>
    <s v="Operador"/>
    <s v="1º Turno"/>
    <x v="1"/>
    <s v="Não"/>
    <x v="1"/>
    <d v="2026-05-04T00:00:00"/>
    <d v="2026-05-01T00:00:00"/>
    <s v="dom"/>
    <x v="0"/>
    <x v="1"/>
    <m/>
    <s v="119746146"/>
  </r>
  <r>
    <n v="1197"/>
    <n v="57"/>
    <s v="Masculino"/>
    <s v="Pintura"/>
    <s v="Operador"/>
    <s v="1º Turno"/>
    <x v="1"/>
    <s v="Não"/>
    <x v="1"/>
    <d v="2026-05-13T00:00:00"/>
    <d v="2026-05-01T00:00:00"/>
    <s v="ter"/>
    <x v="0"/>
    <x v="1"/>
    <m/>
    <s v="119746155"/>
  </r>
  <r>
    <n v="1203"/>
    <n v="55"/>
    <s v="Feminino"/>
    <s v="Logistica"/>
    <s v="Operador"/>
    <s v="3º Turno"/>
    <x v="0"/>
    <s v="Não"/>
    <x v="2"/>
    <d v="2026-05-05T00:00:00"/>
    <d v="2026-05-01T00:00:00"/>
    <s v="ter"/>
    <x v="0"/>
    <x v="0"/>
    <m/>
    <s v="120346147"/>
  </r>
  <r>
    <n v="1203"/>
    <n v="55"/>
    <s v="Feminino"/>
    <s v="Logistica"/>
    <s v="Operador"/>
    <s v="3º Turno"/>
    <x v="0"/>
    <s v="Não"/>
    <x v="2"/>
    <d v="2026-04-30T00:00:00"/>
    <d v="2026-04-01T00:00:00"/>
    <s v="seg"/>
    <x v="0"/>
    <x v="1"/>
    <m/>
    <s v="120346142"/>
  </r>
  <r>
    <n v="1210"/>
    <n v="28"/>
    <s v="Feminino"/>
    <s v="Montagem"/>
    <s v="Operador"/>
    <s v="2º Turno"/>
    <x v="0"/>
    <s v="Não"/>
    <x v="1"/>
    <d v="2026-05-31T00:00:00"/>
    <d v="2026-05-01T00:00:00"/>
    <s v="dom"/>
    <x v="0"/>
    <x v="0"/>
    <m/>
    <s v="121046173"/>
  </r>
  <r>
    <n v="1210"/>
    <n v="28"/>
    <s v="Feminino"/>
    <s v="Montagem"/>
    <s v="Operador"/>
    <s v="2º Turno"/>
    <x v="0"/>
    <s v="Não"/>
    <x v="1"/>
    <d v="2026-05-24T00:00:00"/>
    <d v="2026-05-01T00:00:00"/>
    <s v="sáb"/>
    <x v="0"/>
    <x v="1"/>
    <m/>
    <s v="121046166"/>
  </r>
  <r>
    <n v="1214"/>
    <n v="54"/>
    <s v="Feminino"/>
    <s v="Soldagem"/>
    <s v="Operador"/>
    <s v="3º Turno"/>
    <x v="0"/>
    <s v="Não"/>
    <x v="1"/>
    <d v="2026-04-28T00:00:00"/>
    <d v="2026-04-01T00:00:00"/>
    <s v="ter"/>
    <x v="2"/>
    <x v="0"/>
    <m/>
    <s v="121446140"/>
  </r>
  <r>
    <n v="1214"/>
    <n v="54"/>
    <s v="Feminino"/>
    <s v="Soldagem"/>
    <s v="Operador"/>
    <s v="3º Turno"/>
    <x v="0"/>
    <s v="Não"/>
    <x v="1"/>
    <d v="2026-04-14T00:00:00"/>
    <d v="2026-04-01T00:00:00"/>
    <s v="ter"/>
    <x v="2"/>
    <x v="0"/>
    <m/>
    <s v="121446126"/>
  </r>
  <r>
    <n v="1214"/>
    <n v="54"/>
    <s v="Feminino"/>
    <s v="Soldagem"/>
    <s v="Operador"/>
    <s v="3º Turno"/>
    <x v="0"/>
    <s v="Não"/>
    <x v="1"/>
    <d v="2026-04-16T00:00:00"/>
    <d v="2026-04-01T00:00:00"/>
    <s v="qua"/>
    <x v="2"/>
    <x v="1"/>
    <m/>
    <s v="121446128"/>
  </r>
  <r>
    <n v="1214"/>
    <n v="54"/>
    <s v="Feminino"/>
    <s v="Soldagem"/>
    <s v="Operador"/>
    <s v="3º Turno"/>
    <x v="0"/>
    <s v="Não"/>
    <x v="1"/>
    <d v="2026-05-12T00:00:00"/>
    <d v="2026-05-01T00:00:00"/>
    <s v="seg"/>
    <x v="0"/>
    <x v="1"/>
    <m/>
    <s v="121446154"/>
  </r>
  <r>
    <n v="1240"/>
    <n v="39"/>
    <s v="Feminino"/>
    <s v="Qualidade"/>
    <s v="Inspetor"/>
    <s v="3º Turno"/>
    <x v="0"/>
    <s v="Não"/>
    <x v="1"/>
    <d v="2026-04-30T00:00:00"/>
    <d v="2026-04-01T00:00:00"/>
    <s v="qui"/>
    <x v="2"/>
    <x v="0"/>
    <m/>
    <s v="124046142"/>
  </r>
  <r>
    <n v="1240"/>
    <n v="39"/>
    <s v="Feminino"/>
    <s v="Qualidade"/>
    <s v="Inspetor"/>
    <s v="3º Turno"/>
    <x v="0"/>
    <s v="Não"/>
    <x v="1"/>
    <d v="2026-05-20T00:00:00"/>
    <d v="2026-05-01T00:00:00"/>
    <s v="qua"/>
    <x v="0"/>
    <x v="0"/>
    <m/>
    <s v="124046162"/>
  </r>
  <r>
    <n v="1240"/>
    <n v="39"/>
    <s v="Feminino"/>
    <s v="Qualidade"/>
    <s v="Inspetor"/>
    <s v="3º Turno"/>
    <x v="0"/>
    <s v="Não"/>
    <x v="1"/>
    <d v="2026-04-13T00:00:00"/>
    <d v="2026-04-01T00:00:00"/>
    <s v="dom"/>
    <x v="2"/>
    <x v="1"/>
    <m/>
    <s v="124046125"/>
  </r>
  <r>
    <n v="1240"/>
    <n v="39"/>
    <s v="Feminino"/>
    <s v="Qualidade"/>
    <s v="Inspetor"/>
    <s v="3º Turno"/>
    <x v="0"/>
    <s v="Não"/>
    <x v="1"/>
    <d v="2026-04-11T00:00:00"/>
    <d v="2026-04-01T00:00:00"/>
    <s v="ter"/>
    <x v="0"/>
    <x v="1"/>
    <m/>
    <s v="124046123"/>
  </r>
  <r>
    <n v="1241"/>
    <n v="37"/>
    <s v="Feminino"/>
    <s v="Soldagem"/>
    <s v="Operador"/>
    <s v="1º Turno"/>
    <x v="1"/>
    <s v="Não"/>
    <x v="0"/>
    <d v="2026-04-14T00:00:00"/>
    <d v="2026-04-01T00:00:00"/>
    <s v="ter"/>
    <x v="2"/>
    <x v="0"/>
    <m/>
    <s v="124146126"/>
  </r>
  <r>
    <n v="1241"/>
    <n v="37"/>
    <s v="Feminino"/>
    <s v="Soldagem"/>
    <s v="Operador"/>
    <s v="1º Turno"/>
    <x v="1"/>
    <s v="Não"/>
    <x v="0"/>
    <d v="2026-05-09T00:00:00"/>
    <d v="2026-05-01T00:00:00"/>
    <s v="sex"/>
    <x v="0"/>
    <x v="1"/>
    <m/>
    <s v="124146151"/>
  </r>
  <r>
    <n v="1253"/>
    <n v="41"/>
    <s v="Masculino"/>
    <s v="Qualidade"/>
    <s v="Analista"/>
    <s v="1º Turno"/>
    <x v="1"/>
    <s v="Não"/>
    <x v="2"/>
    <d v="2026-04-28T00:00:00"/>
    <d v="2026-04-01T00:00:00"/>
    <s v="ter"/>
    <x v="2"/>
    <x v="0"/>
    <m/>
    <s v="125346140"/>
  </r>
  <r>
    <n v="1253"/>
    <n v="41"/>
    <s v="Masculino"/>
    <s v="Qualidade"/>
    <s v="Analista"/>
    <s v="1º Turno"/>
    <x v="1"/>
    <s v="Não"/>
    <x v="2"/>
    <d v="2026-05-04T00:00:00"/>
    <d v="2026-05-01T00:00:00"/>
    <s v="dom"/>
    <x v="0"/>
    <x v="1"/>
    <m/>
    <s v="125346146"/>
  </r>
  <r>
    <n v="1263"/>
    <n v="24"/>
    <s v="Feminino"/>
    <s v="Montagem"/>
    <s v="Operador"/>
    <s v="1º Turno"/>
    <x v="0"/>
    <s v="Não"/>
    <x v="1"/>
    <d v="2026-04-30T00:00:00"/>
    <d v="2026-04-01T00:00:00"/>
    <s v="qui"/>
    <x v="2"/>
    <x v="0"/>
    <m/>
    <s v="126346142"/>
  </r>
  <r>
    <n v="1263"/>
    <n v="24"/>
    <s v="Feminino"/>
    <s v="Montagem"/>
    <s v="Operador"/>
    <s v="1º Turno"/>
    <x v="0"/>
    <s v="Não"/>
    <x v="1"/>
    <d v="2026-05-14T00:00:00"/>
    <d v="2026-05-01T00:00:00"/>
    <s v="qua"/>
    <x v="0"/>
    <x v="1"/>
    <m/>
    <s v="126346156"/>
  </r>
  <r>
    <n v="1267"/>
    <n v="42"/>
    <s v="Feminino"/>
    <s v="Soldagem"/>
    <s v="Operador"/>
    <s v="3º Turno"/>
    <x v="0"/>
    <s v="Não"/>
    <x v="2"/>
    <d v="2026-04-17T00:00:00"/>
    <d v="2026-04-01T00:00:00"/>
    <s v="sex"/>
    <x v="2"/>
    <x v="0"/>
    <m/>
    <s v="126746129"/>
  </r>
  <r>
    <n v="1267"/>
    <n v="42"/>
    <s v="Feminino"/>
    <s v="Soldagem"/>
    <s v="Operador"/>
    <s v="3º Turno"/>
    <x v="0"/>
    <s v="Não"/>
    <x v="2"/>
    <d v="2026-04-14T00:00:00"/>
    <d v="2026-04-01T00:00:00"/>
    <s v="qui"/>
    <x v="2"/>
    <x v="1"/>
    <m/>
    <s v="126746126"/>
  </r>
  <r>
    <n v="1289"/>
    <n v="27"/>
    <s v="Feminino"/>
    <s v="Soldagem"/>
    <s v="Operador"/>
    <s v="3º Turno"/>
    <x v="0"/>
    <s v="Não"/>
    <x v="2"/>
    <d v="2026-04-28T00:00:00"/>
    <d v="2026-04-01T00:00:00"/>
    <s v="ter"/>
    <x v="2"/>
    <x v="0"/>
    <m/>
    <s v="128946140"/>
  </r>
  <r>
    <n v="1289"/>
    <n v="27"/>
    <s v="Feminino"/>
    <s v="Soldagem"/>
    <s v="Operador"/>
    <s v="3º Turno"/>
    <x v="0"/>
    <s v="Não"/>
    <x v="2"/>
    <d v="2026-04-24T00:00:00"/>
    <d v="2026-04-01T00:00:00"/>
    <s v="qui"/>
    <x v="2"/>
    <x v="1"/>
    <m/>
    <s v="128946136"/>
  </r>
  <r>
    <n v="1299"/>
    <n v="37"/>
    <s v="Masculino"/>
    <s v="Soldagem"/>
    <s v="Operador"/>
    <s v="1º Turno"/>
    <x v="1"/>
    <s v="Não"/>
    <x v="1"/>
    <d v="2026-05-02T00:00:00"/>
    <d v="2026-05-01T00:00:00"/>
    <s v="sáb"/>
    <x v="0"/>
    <x v="0"/>
    <m/>
    <s v="129946144"/>
  </r>
  <r>
    <n v="1299"/>
    <n v="37"/>
    <s v="Masculino"/>
    <s v="Soldagem"/>
    <s v="Operador"/>
    <s v="1º Turno"/>
    <x v="1"/>
    <s v="Não"/>
    <x v="1"/>
    <d v="2026-04-30T00:00:00"/>
    <d v="2026-04-01T00:00:00"/>
    <s v="qui"/>
    <x v="2"/>
    <x v="0"/>
    <m/>
    <s v="129946142"/>
  </r>
  <r>
    <n v="1299"/>
    <n v="37"/>
    <s v="Masculino"/>
    <s v="Soldagem"/>
    <s v="Operador"/>
    <s v="1º Turno"/>
    <x v="1"/>
    <s v="Não"/>
    <x v="1"/>
    <d v="2026-05-04T00:00:00"/>
    <d v="2026-05-01T00:00:00"/>
    <s v="dom"/>
    <x v="0"/>
    <x v="1"/>
    <m/>
    <s v="129946146"/>
  </r>
  <r>
    <n v="1299"/>
    <n v="37"/>
    <s v="Masculino"/>
    <s v="Soldagem"/>
    <s v="Operador"/>
    <s v="1º Turno"/>
    <x v="1"/>
    <s v="Não"/>
    <x v="1"/>
    <d v="2026-05-24T00:00:00"/>
    <d v="2026-05-01T00:00:00"/>
    <s v="sáb"/>
    <x v="0"/>
    <x v="1"/>
    <m/>
    <s v="129946166"/>
  </r>
  <r>
    <n v="1300"/>
    <n v="39"/>
    <s v="Masculino"/>
    <s v="Pintura"/>
    <s v="Operador"/>
    <s v="2º Turno"/>
    <x v="0"/>
    <s v="Não"/>
    <x v="0"/>
    <d v="2026-04-15T00:00:00"/>
    <d v="2026-04-01T00:00:00"/>
    <s v="qua"/>
    <x v="2"/>
    <x v="0"/>
    <m/>
    <s v="130046127"/>
  </r>
  <r>
    <n v="1300"/>
    <n v="39"/>
    <s v="Masculino"/>
    <s v="Pintura"/>
    <s v="Operador"/>
    <s v="2º Turno"/>
    <x v="0"/>
    <s v="Não"/>
    <x v="0"/>
    <d v="2026-05-20T00:00:00"/>
    <d v="2026-05-01T00:00:00"/>
    <s v="qua"/>
    <x v="0"/>
    <x v="0"/>
    <m/>
    <s v="130046162"/>
  </r>
  <r>
    <n v="1300"/>
    <n v="39"/>
    <s v="Masculino"/>
    <s v="Pintura"/>
    <s v="Operador"/>
    <s v="2º Turno"/>
    <x v="0"/>
    <s v="Não"/>
    <x v="0"/>
    <d v="2026-04-24T00:00:00"/>
    <d v="2026-04-01T00:00:00"/>
    <s v="qui"/>
    <x v="2"/>
    <x v="1"/>
    <m/>
    <s v="130046136"/>
  </r>
  <r>
    <n v="1300"/>
    <n v="39"/>
    <s v="Masculino"/>
    <s v="Pintura"/>
    <s v="Operador"/>
    <s v="2º Turno"/>
    <x v="0"/>
    <s v="Não"/>
    <x v="0"/>
    <d v="2026-05-16T00:00:00"/>
    <d v="2026-05-01T00:00:00"/>
    <s v="sex"/>
    <x v="0"/>
    <x v="1"/>
    <m/>
    <s v="130046158"/>
  </r>
  <r>
    <n v="1308"/>
    <n v="54"/>
    <s v="Masculino"/>
    <s v="Montagem"/>
    <s v="Operador"/>
    <s v="2º Turno"/>
    <x v="0"/>
    <s v="Não"/>
    <x v="0"/>
    <d v="2026-05-05T00:00:00"/>
    <d v="2026-05-01T00:00:00"/>
    <s v="ter"/>
    <x v="0"/>
    <x v="0"/>
    <m/>
    <s v="130846147"/>
  </r>
  <r>
    <n v="1308"/>
    <n v="54"/>
    <s v="Masculino"/>
    <s v="Montagem"/>
    <s v="Operador"/>
    <s v="2º Turno"/>
    <x v="0"/>
    <s v="Não"/>
    <x v="0"/>
    <d v="2026-05-02T00:00:00"/>
    <d v="2026-05-01T00:00:00"/>
    <s v="seg"/>
    <x v="0"/>
    <x v="1"/>
    <m/>
    <s v="130846144"/>
  </r>
  <r>
    <n v="1309"/>
    <n v="45"/>
    <s v="Masculino"/>
    <s v="Soldagem"/>
    <s v="Operador"/>
    <s v="1º Turno"/>
    <x v="1"/>
    <s v="Não"/>
    <x v="0"/>
    <d v="2026-05-02T00:00:00"/>
    <d v="2026-05-01T00:00:00"/>
    <s v="sáb"/>
    <x v="0"/>
    <x v="0"/>
    <m/>
    <s v="130946144"/>
  </r>
  <r>
    <n v="1309"/>
    <n v="45"/>
    <s v="Masculino"/>
    <s v="Soldagem"/>
    <s v="Operador"/>
    <s v="1º Turno"/>
    <x v="1"/>
    <s v="Não"/>
    <x v="0"/>
    <d v="2026-05-03T00:00:00"/>
    <d v="2026-05-01T00:00:00"/>
    <s v="sáb"/>
    <x v="0"/>
    <x v="1"/>
    <m/>
    <s v="130946145"/>
  </r>
  <r>
    <n v="1311"/>
    <n v="52"/>
    <s v="Masculino"/>
    <s v="Logistica"/>
    <s v="Operador"/>
    <s v="2º Turno"/>
    <x v="0"/>
    <s v="Não"/>
    <x v="0"/>
    <d v="2026-05-17T00:00:00"/>
    <d v="2026-05-01T00:00:00"/>
    <s v="dom"/>
    <x v="0"/>
    <x v="0"/>
    <m/>
    <s v="131146159"/>
  </r>
  <r>
    <n v="1311"/>
    <n v="52"/>
    <s v="Masculino"/>
    <s v="Logistica"/>
    <s v="Operador"/>
    <s v="2º Turno"/>
    <x v="0"/>
    <s v="Não"/>
    <x v="0"/>
    <d v="2026-05-20T00:00:00"/>
    <d v="2026-05-01T00:00:00"/>
    <s v="sáb"/>
    <x v="0"/>
    <x v="1"/>
    <m/>
    <s v="131146162"/>
  </r>
  <r>
    <n v="1312"/>
    <n v="24"/>
    <s v="Masculino"/>
    <s v="Logistica"/>
    <s v="Operador"/>
    <s v="3º Turno"/>
    <x v="0"/>
    <s v="Não"/>
    <x v="0"/>
    <d v="2026-04-23T00:00:00"/>
    <d v="2026-04-01T00:00:00"/>
    <s v="qui"/>
    <x v="2"/>
    <x v="0"/>
    <m/>
    <s v="131246135"/>
  </r>
  <r>
    <n v="1312"/>
    <n v="24"/>
    <s v="Masculino"/>
    <s v="Logistica"/>
    <s v="Operador"/>
    <s v="3º Turno"/>
    <x v="0"/>
    <s v="Não"/>
    <x v="0"/>
    <d v="2026-05-08T00:00:00"/>
    <d v="2026-05-01T00:00:00"/>
    <s v="qui"/>
    <x v="0"/>
    <x v="1"/>
    <m/>
    <s v="131246150"/>
  </r>
  <r>
    <n v="1316"/>
    <n v="18"/>
    <s v="Feminino"/>
    <s v="Pintura"/>
    <s v="Operador"/>
    <s v="1º Turno"/>
    <x v="0"/>
    <s v="Não"/>
    <x v="1"/>
    <d v="2026-04-17T00:00:00"/>
    <d v="2026-04-01T00:00:00"/>
    <s v="sex"/>
    <x v="2"/>
    <x v="0"/>
    <m/>
    <s v="131646129"/>
  </r>
  <r>
    <n v="1316"/>
    <n v="18"/>
    <s v="Feminino"/>
    <s v="Pintura"/>
    <s v="Operador"/>
    <s v="1º Turno"/>
    <x v="0"/>
    <s v="Não"/>
    <x v="1"/>
    <d v="2026-04-23T00:00:00"/>
    <d v="2026-04-01T00:00:00"/>
    <s v="qui"/>
    <x v="2"/>
    <x v="1"/>
    <m/>
    <s v="131646135"/>
  </r>
  <r>
    <n v="1321"/>
    <n v="42"/>
    <s v="Masculino"/>
    <s v="Qualidade"/>
    <s v="Inspetor"/>
    <s v="2º Turno"/>
    <x v="1"/>
    <s v="Não"/>
    <x v="2"/>
    <d v="2026-05-20T00:00:00"/>
    <d v="2026-05-01T00:00:00"/>
    <s v="qua"/>
    <x v="0"/>
    <x v="0"/>
    <m/>
    <s v="132146162"/>
  </r>
  <r>
    <n v="1321"/>
    <n v="42"/>
    <s v="Masculino"/>
    <s v="Qualidade"/>
    <s v="Inspetor"/>
    <s v="2º Turno"/>
    <x v="1"/>
    <s v="Não"/>
    <x v="2"/>
    <d v="2026-05-22T00:00:00"/>
    <d v="2026-05-01T00:00:00"/>
    <s v="qui"/>
    <x v="0"/>
    <x v="1"/>
    <m/>
    <s v="132146164"/>
  </r>
  <r>
    <n v="1324"/>
    <n v="38"/>
    <s v="Feminino"/>
    <s v="Montagem"/>
    <s v="Operador"/>
    <s v="1º Turno"/>
    <x v="0"/>
    <s v="Não"/>
    <x v="1"/>
    <d v="2026-05-11T00:00:00"/>
    <d v="2026-05-01T00:00:00"/>
    <s v="seg"/>
    <x v="0"/>
    <x v="0"/>
    <m/>
    <s v="132446153"/>
  </r>
  <r>
    <n v="1324"/>
    <n v="38"/>
    <s v="Feminino"/>
    <s v="Montagem"/>
    <s v="Operador"/>
    <s v="1º Turno"/>
    <x v="0"/>
    <s v="Não"/>
    <x v="1"/>
    <d v="2026-04-23T00:00:00"/>
    <d v="2026-04-01T00:00:00"/>
    <s v="dom"/>
    <x v="0"/>
    <x v="1"/>
    <m/>
    <s v="132446135"/>
  </r>
  <r>
    <n v="1331"/>
    <n v="27"/>
    <s v="Feminino"/>
    <s v="Logistica"/>
    <s v="Operador"/>
    <s v="1º Turno"/>
    <x v="0"/>
    <s v="Não"/>
    <x v="2"/>
    <d v="2026-04-25T00:00:00"/>
    <d v="2026-04-01T00:00:00"/>
    <s v="sáb"/>
    <x v="2"/>
    <x v="0"/>
    <m/>
    <s v="133146137"/>
  </r>
  <r>
    <n v="1331"/>
    <n v="27"/>
    <s v="Feminino"/>
    <s v="Logistica"/>
    <s v="Operador"/>
    <s v="1º Turno"/>
    <x v="0"/>
    <s v="Não"/>
    <x v="2"/>
    <d v="2026-04-30T00:00:00"/>
    <d v="2026-04-01T00:00:00"/>
    <s v="sex"/>
    <x v="2"/>
    <x v="1"/>
    <m/>
    <s v="133146142"/>
  </r>
  <r>
    <n v="1334"/>
    <n v="52"/>
    <s v="Masculino"/>
    <s v="Qualidade"/>
    <s v="Analista"/>
    <s v="2º Turno"/>
    <x v="0"/>
    <s v="Não"/>
    <x v="0"/>
    <d v="2026-04-30T00:00:00"/>
    <d v="2026-04-01T00:00:00"/>
    <s v="qui"/>
    <x v="2"/>
    <x v="0"/>
    <m/>
    <s v="133446142"/>
  </r>
  <r>
    <n v="1334"/>
    <n v="52"/>
    <s v="Masculino"/>
    <s v="Qualidade"/>
    <s v="Analista"/>
    <s v="2º Turno"/>
    <x v="0"/>
    <s v="Não"/>
    <x v="0"/>
    <d v="2026-05-30T00:00:00"/>
    <d v="2026-05-01T00:00:00"/>
    <s v="sex"/>
    <x v="0"/>
    <x v="1"/>
    <m/>
    <s v="133446172"/>
  </r>
  <r>
    <n v="1339"/>
    <n v="58"/>
    <s v="Masculino"/>
    <s v="Montagem"/>
    <s v="Operador"/>
    <s v="1º Turno"/>
    <x v="0"/>
    <s v="Não"/>
    <x v="0"/>
    <d v="2026-05-30T00:00:00"/>
    <d v="2026-05-01T00:00:00"/>
    <s v="sáb"/>
    <x v="0"/>
    <x v="0"/>
    <m/>
    <s v="133946172"/>
  </r>
  <r>
    <n v="1339"/>
    <n v="58"/>
    <s v="Masculino"/>
    <s v="Montagem"/>
    <s v="Operador"/>
    <s v="1º Turno"/>
    <x v="0"/>
    <s v="Não"/>
    <x v="0"/>
    <d v="2026-04-23T00:00:00"/>
    <d v="2026-04-01T00:00:00"/>
    <s v="sex"/>
    <x v="0"/>
    <x v="1"/>
    <m/>
    <s v="133946135"/>
  </r>
  <r>
    <n v="1350"/>
    <n v="25"/>
    <s v="Feminino"/>
    <s v="Soldagem"/>
    <s v="Operador"/>
    <s v="2º Turno"/>
    <x v="0"/>
    <s v="Não"/>
    <x v="0"/>
    <d v="2026-05-24T00:00:00"/>
    <d v="2026-05-01T00:00:00"/>
    <s v="dom"/>
    <x v="0"/>
    <x v="0"/>
    <m/>
    <s v="135046166"/>
  </r>
  <r>
    <n v="1350"/>
    <n v="25"/>
    <s v="Feminino"/>
    <s v="Soldagem"/>
    <s v="Operador"/>
    <s v="2º Turno"/>
    <x v="0"/>
    <s v="Não"/>
    <x v="0"/>
    <d v="2026-05-20T00:00:00"/>
    <d v="2026-05-01T00:00:00"/>
    <s v="sáb"/>
    <x v="0"/>
    <x v="1"/>
    <m/>
    <s v="135046162"/>
  </r>
  <r>
    <n v="1351"/>
    <n v="24"/>
    <s v="Feminino"/>
    <s v="Qualidade"/>
    <s v="Inspetor"/>
    <s v="2º Turno"/>
    <x v="0"/>
    <s v="Não"/>
    <x v="0"/>
    <d v="2026-04-16T00:00:00"/>
    <d v="2026-04-01T00:00:00"/>
    <s v="qui"/>
    <x v="2"/>
    <x v="0"/>
    <m/>
    <s v="135146128"/>
  </r>
  <r>
    <n v="1351"/>
    <n v="24"/>
    <s v="Feminino"/>
    <s v="Qualidade"/>
    <s v="Inspetor"/>
    <s v="2º Turno"/>
    <x v="0"/>
    <s v="Não"/>
    <x v="0"/>
    <d v="2026-05-20T00:00:00"/>
    <d v="2026-05-01T00:00:00"/>
    <s v="qua"/>
    <x v="2"/>
    <x v="1"/>
    <m/>
    <s v="135146162"/>
  </r>
  <r>
    <n v="1362"/>
    <n v="22"/>
    <s v="Feminino"/>
    <s v="Montagem"/>
    <s v="Operador"/>
    <s v="3º Turno"/>
    <x v="0"/>
    <s v="Não"/>
    <x v="2"/>
    <d v="2026-04-15T00:00:00"/>
    <d v="2026-04-01T00:00:00"/>
    <s v="qua"/>
    <x v="2"/>
    <x v="0"/>
    <m/>
    <s v="136246127"/>
  </r>
  <r>
    <n v="1362"/>
    <n v="22"/>
    <s v="Feminino"/>
    <s v="Montagem"/>
    <s v="Operador"/>
    <s v="3º Turno"/>
    <x v="0"/>
    <s v="Não"/>
    <x v="2"/>
    <d v="2026-04-29T00:00:00"/>
    <d v="2026-04-01T00:00:00"/>
    <s v="qua"/>
    <x v="2"/>
    <x v="0"/>
    <m/>
    <s v="136246141"/>
  </r>
  <r>
    <n v="1362"/>
    <n v="22"/>
    <s v="Feminino"/>
    <s v="Montagem"/>
    <s v="Operador"/>
    <s v="3º Turno"/>
    <x v="0"/>
    <s v="Não"/>
    <x v="2"/>
    <d v="2026-05-20T00:00:00"/>
    <d v="2026-05-01T00:00:00"/>
    <s v="ter"/>
    <x v="2"/>
    <x v="1"/>
    <m/>
    <s v="136246162"/>
  </r>
  <r>
    <n v="1362"/>
    <n v="22"/>
    <s v="Feminino"/>
    <s v="Montagem"/>
    <s v="Operador"/>
    <s v="3º Turno"/>
    <x v="0"/>
    <s v="Não"/>
    <x v="2"/>
    <d v="2026-04-24T00:00:00"/>
    <d v="2026-04-01T00:00:00"/>
    <s v="qui"/>
    <x v="2"/>
    <x v="1"/>
    <m/>
    <s v="136246136"/>
  </r>
  <r>
    <n v="1373"/>
    <n v="25"/>
    <s v="Masculino"/>
    <s v="Qualidade"/>
    <s v="Analista"/>
    <s v="2º Turno"/>
    <x v="0"/>
    <s v="Não"/>
    <x v="0"/>
    <d v="2026-04-23T00:00:00"/>
    <d v="2026-04-01T00:00:00"/>
    <s v="qui"/>
    <x v="2"/>
    <x v="0"/>
    <m/>
    <s v="137346135"/>
  </r>
  <r>
    <n v="1373"/>
    <n v="25"/>
    <s v="Masculino"/>
    <s v="Qualidade"/>
    <s v="Analista"/>
    <s v="2º Turno"/>
    <x v="0"/>
    <s v="Não"/>
    <x v="0"/>
    <d v="2026-04-24T00:00:00"/>
    <d v="2026-04-01T00:00:00"/>
    <s v="qui"/>
    <x v="2"/>
    <x v="1"/>
    <m/>
    <s v="137346136"/>
  </r>
  <r>
    <n v="1380"/>
    <n v="24"/>
    <s v="Feminino"/>
    <s v="Soldagem"/>
    <s v="Operador"/>
    <s v="3º Turno"/>
    <x v="0"/>
    <s v="Não"/>
    <x v="1"/>
    <d v="2026-05-24T00:00:00"/>
    <d v="2026-05-01T00:00:00"/>
    <s v="dom"/>
    <x v="0"/>
    <x v="0"/>
    <m/>
    <s v="138046166"/>
  </r>
  <r>
    <n v="1380"/>
    <n v="24"/>
    <s v="Feminino"/>
    <s v="Soldagem"/>
    <s v="Operador"/>
    <s v="3º Turno"/>
    <x v="0"/>
    <s v="Não"/>
    <x v="1"/>
    <d v="2026-05-29T00:00:00"/>
    <d v="2026-05-01T00:00:00"/>
    <s v="sáb"/>
    <x v="0"/>
    <x v="1"/>
    <m/>
    <s v="138046171"/>
  </r>
  <r>
    <n v="1385"/>
    <n v="36"/>
    <s v="Feminino"/>
    <s v="Pintura"/>
    <s v="Operador"/>
    <s v="2º Turno"/>
    <x v="0"/>
    <s v="Não"/>
    <x v="1"/>
    <d v="2026-04-15T00:00:00"/>
    <d v="2026-04-01T00:00:00"/>
    <s v="qua"/>
    <x v="2"/>
    <x v="0"/>
    <m/>
    <s v="138546127"/>
  </r>
  <r>
    <n v="1385"/>
    <n v="36"/>
    <s v="Feminino"/>
    <s v="Pintura"/>
    <s v="Operador"/>
    <s v="2º Turno"/>
    <x v="0"/>
    <s v="Não"/>
    <x v="1"/>
    <d v="2026-05-18T00:00:00"/>
    <d v="2026-05-01T00:00:00"/>
    <s v="ter"/>
    <x v="2"/>
    <x v="1"/>
    <m/>
    <s v="138546160"/>
  </r>
  <r>
    <n v="1396"/>
    <n v="34"/>
    <s v="Feminino"/>
    <s v="Montagem"/>
    <s v="Operador"/>
    <s v="2º Turno"/>
    <x v="0"/>
    <s v="Não"/>
    <x v="2"/>
    <d v="2026-05-18T00:00:00"/>
    <d v="2026-05-01T00:00:00"/>
    <s v="seg"/>
    <x v="0"/>
    <x v="0"/>
    <m/>
    <s v="139646160"/>
  </r>
  <r>
    <n v="1396"/>
    <n v="34"/>
    <s v="Feminino"/>
    <s v="Montagem"/>
    <s v="Operador"/>
    <s v="2º Turno"/>
    <x v="0"/>
    <s v="Não"/>
    <x v="2"/>
    <d v="2026-05-21T00:00:00"/>
    <d v="2026-05-01T00:00:00"/>
    <s v="dom"/>
    <x v="0"/>
    <x v="1"/>
    <m/>
    <s v="139646163"/>
  </r>
  <r>
    <n v="1410"/>
    <n v="20"/>
    <s v="Masculino"/>
    <s v="Montagem"/>
    <s v="Operador"/>
    <s v="1º Turno"/>
    <x v="0"/>
    <s v="Não"/>
    <x v="2"/>
    <d v="2026-05-29T00:00:00"/>
    <d v="2026-05-01T00:00:00"/>
    <s v="sex"/>
    <x v="0"/>
    <x v="0"/>
    <m/>
    <s v="141046171"/>
  </r>
  <r>
    <n v="1410"/>
    <n v="20"/>
    <s v="Masculino"/>
    <s v="Montagem"/>
    <s v="Operador"/>
    <s v="1º Turno"/>
    <x v="0"/>
    <s v="Não"/>
    <x v="2"/>
    <d v="2026-05-24T00:00:00"/>
    <d v="2026-05-01T00:00:00"/>
    <s v="sáb"/>
    <x v="0"/>
    <x v="1"/>
    <m/>
    <s v="141046166"/>
  </r>
  <r>
    <n v="1412"/>
    <n v="43"/>
    <s v="Masculino"/>
    <s v="Pintura"/>
    <s v="Operador"/>
    <s v="1º Turno"/>
    <x v="1"/>
    <s v="Não"/>
    <x v="1"/>
    <d v="2026-05-18T00:00:00"/>
    <d v="2026-05-01T00:00:00"/>
    <s v="seg"/>
    <x v="0"/>
    <x v="0"/>
    <m/>
    <s v="141246160"/>
  </r>
  <r>
    <n v="1412"/>
    <n v="43"/>
    <s v="Masculino"/>
    <s v="Pintura"/>
    <s v="Operador"/>
    <s v="1º Turno"/>
    <x v="1"/>
    <s v="Não"/>
    <x v="1"/>
    <d v="2026-05-21T00:00:00"/>
    <d v="2026-05-01T00:00:00"/>
    <s v="dom"/>
    <x v="0"/>
    <x v="1"/>
    <m/>
    <s v="141246163"/>
  </r>
  <r>
    <n v="1422"/>
    <n v="29"/>
    <s v="Feminino"/>
    <s v="Montagem"/>
    <s v="Operador"/>
    <s v="2º Turno"/>
    <x v="0"/>
    <s v="Não"/>
    <x v="1"/>
    <d v="2026-04-11T00:00:00"/>
    <d v="2026-04-01T00:00:00"/>
    <s v="sáb"/>
    <x v="2"/>
    <x v="0"/>
    <m/>
    <s v="142246123"/>
  </r>
  <r>
    <n v="1422"/>
    <n v="29"/>
    <s v="Feminino"/>
    <s v="Montagem"/>
    <s v="Operador"/>
    <s v="2º Turno"/>
    <x v="0"/>
    <s v="Não"/>
    <x v="1"/>
    <d v="2026-05-21T00:00:00"/>
    <d v="2026-05-01T00:00:00"/>
    <s v="sex"/>
    <x v="2"/>
    <x v="1"/>
    <m/>
    <s v="142246163"/>
  </r>
  <r>
    <n v="1425"/>
    <n v="54"/>
    <s v="Masculino"/>
    <s v="Soldagem"/>
    <s v="Operador"/>
    <s v="2º Turno"/>
    <x v="0"/>
    <s v="Não"/>
    <x v="1"/>
    <d v="2026-05-15T00:00:00"/>
    <d v="2026-05-01T00:00:00"/>
    <s v="sex"/>
    <x v="0"/>
    <x v="0"/>
    <m/>
    <s v="142546157"/>
  </r>
  <r>
    <n v="1425"/>
    <n v="54"/>
    <s v="Masculino"/>
    <s v="Soldagem"/>
    <s v="Operador"/>
    <s v="2º Turno"/>
    <x v="0"/>
    <s v="Não"/>
    <x v="1"/>
    <d v="2026-06-03T00:00:00"/>
    <d v="2026-06-01T00:00:00"/>
    <s v="qui"/>
    <x v="0"/>
    <x v="1"/>
    <m/>
    <s v="142546176"/>
  </r>
  <r>
    <n v="1430"/>
    <n v="27"/>
    <s v="Masculino"/>
    <s v="Montagem"/>
    <s v="Operador"/>
    <s v="2º Turno"/>
    <x v="0"/>
    <s v="Não"/>
    <x v="2"/>
    <d v="2026-05-01T00:00:00"/>
    <d v="2026-05-01T00:00:00"/>
    <s v="sex"/>
    <x v="0"/>
    <x v="0"/>
    <m/>
    <s v="143046143"/>
  </r>
  <r>
    <n v="1430"/>
    <n v="27"/>
    <s v="Masculino"/>
    <s v="Montagem"/>
    <s v="Operador"/>
    <s v="2º Turno"/>
    <x v="0"/>
    <s v="Não"/>
    <x v="2"/>
    <d v="2026-05-21T00:00:00"/>
    <d v="2026-05-01T00:00:00"/>
    <s v="qui"/>
    <x v="0"/>
    <x v="1"/>
    <m/>
    <s v="143046163"/>
  </r>
  <r>
    <n v="1435"/>
    <n v="30"/>
    <s v="Feminino"/>
    <s v="Montagem"/>
    <s v="Operador"/>
    <s v="2º Turno"/>
    <x v="1"/>
    <s v="Não"/>
    <x v="2"/>
    <d v="2026-05-18T00:00:00"/>
    <d v="2026-05-01T00:00:00"/>
    <s v="seg"/>
    <x v="0"/>
    <x v="0"/>
    <m/>
    <s v="143546160"/>
  </r>
  <r>
    <n v="1435"/>
    <n v="30"/>
    <s v="Feminino"/>
    <s v="Montagem"/>
    <s v="Operador"/>
    <s v="2º Turno"/>
    <x v="1"/>
    <s v="Não"/>
    <x v="2"/>
    <d v="2026-05-21T00:00:00"/>
    <d v="2026-05-01T00:00:00"/>
    <s v="dom"/>
    <x v="0"/>
    <x v="1"/>
    <m/>
    <s v="143546163"/>
  </r>
  <r>
    <n v="1436"/>
    <n v="21"/>
    <s v="Masculino"/>
    <s v="Montagem"/>
    <s v="Operador"/>
    <s v="2º Turno"/>
    <x v="0"/>
    <s v="Não"/>
    <x v="1"/>
    <d v="2026-05-21T00:00:00"/>
    <d v="2026-05-01T00:00:00"/>
    <s v="qui"/>
    <x v="0"/>
    <x v="0"/>
    <m/>
    <s v="143646163"/>
  </r>
  <r>
    <n v="1436"/>
    <n v="21"/>
    <s v="Masculino"/>
    <s v="Montagem"/>
    <s v="Operador"/>
    <s v="2º Turno"/>
    <x v="0"/>
    <s v="Não"/>
    <x v="1"/>
    <d v="2026-05-06T00:00:00"/>
    <d v="2026-05-01T00:00:00"/>
    <s v="ter"/>
    <x v="0"/>
    <x v="1"/>
    <m/>
    <s v="143646148"/>
  </r>
  <r>
    <n v="1444"/>
    <n v="28"/>
    <s v="Feminino"/>
    <s v="Logistica"/>
    <s v="Operador"/>
    <s v="3º Turno"/>
    <x v="0"/>
    <s v="Não"/>
    <x v="1"/>
    <d v="2026-05-04T00:00:00"/>
    <d v="2026-05-01T00:00:00"/>
    <s v="seg"/>
    <x v="0"/>
    <x v="0"/>
    <m/>
    <s v="144446146"/>
  </r>
  <r>
    <n v="1444"/>
    <n v="28"/>
    <s v="Feminino"/>
    <s v="Logistica"/>
    <s v="Operador"/>
    <s v="3º Turno"/>
    <x v="0"/>
    <s v="Não"/>
    <x v="1"/>
    <d v="2026-06-03T00:00:00"/>
    <d v="2026-06-01T00:00:00"/>
    <s v="dom"/>
    <x v="0"/>
    <x v="1"/>
    <m/>
    <s v="144446176"/>
  </r>
  <r>
    <n v="1447"/>
    <n v="26"/>
    <s v="Masculino"/>
    <s v="Soldagem"/>
    <s v="Operador"/>
    <s v="1º Turno"/>
    <x v="0"/>
    <s v="Não"/>
    <x v="0"/>
    <d v="2026-04-22T00:00:00"/>
    <d v="2026-04-01T00:00:00"/>
    <s v="qua"/>
    <x v="2"/>
    <x v="0"/>
    <m/>
    <s v="144746134"/>
  </r>
  <r>
    <n v="1447"/>
    <n v="26"/>
    <s v="Masculino"/>
    <s v="Soldagem"/>
    <s v="Operador"/>
    <s v="1º Turno"/>
    <x v="0"/>
    <s v="Não"/>
    <x v="0"/>
    <d v="2026-05-21T00:00:00"/>
    <d v="2026-05-01T00:00:00"/>
    <s v="ter"/>
    <x v="2"/>
    <x v="1"/>
    <m/>
    <s v="144746163"/>
  </r>
  <r>
    <n v="1452"/>
    <n v="38"/>
    <s v="Masculino"/>
    <s v="Qualidade"/>
    <s v="Analista"/>
    <s v="2º Turno"/>
    <x v="0"/>
    <s v="Não"/>
    <x v="1"/>
    <d v="2026-04-14T00:00:00"/>
    <d v="2026-04-01T00:00:00"/>
    <s v="ter"/>
    <x v="2"/>
    <x v="0"/>
    <m/>
    <s v="145246126"/>
  </r>
  <r>
    <n v="1452"/>
    <n v="38"/>
    <s v="Masculino"/>
    <s v="Qualidade"/>
    <s v="Analista"/>
    <s v="2º Turno"/>
    <x v="0"/>
    <s v="Não"/>
    <x v="1"/>
    <d v="2026-05-24T00:00:00"/>
    <d v="2026-05-01T00:00:00"/>
    <s v="dom"/>
    <x v="0"/>
    <x v="0"/>
    <m/>
    <s v="145246166"/>
  </r>
  <r>
    <n v="1452"/>
    <n v="38"/>
    <s v="Masculino"/>
    <s v="Qualidade"/>
    <s v="Analista"/>
    <s v="2º Turno"/>
    <x v="0"/>
    <s v="Não"/>
    <x v="1"/>
    <d v="2026-05-21T00:00:00"/>
    <d v="2026-05-01T00:00:00"/>
    <s v="seg"/>
    <x v="2"/>
    <x v="1"/>
    <m/>
    <s v="145246163"/>
  </r>
  <r>
    <n v="1452"/>
    <n v="38"/>
    <s v="Masculino"/>
    <s v="Qualidade"/>
    <s v="Analista"/>
    <s v="2º Turno"/>
    <x v="0"/>
    <s v="Não"/>
    <x v="1"/>
    <d v="2026-05-14T00:00:00"/>
    <d v="2026-05-01T00:00:00"/>
    <s v="qua"/>
    <x v="0"/>
    <x v="1"/>
    <m/>
    <s v="145246156"/>
  </r>
  <r>
    <n v="1456"/>
    <n v="41"/>
    <s v="Masculino"/>
    <s v="Soldagem"/>
    <s v="Operador"/>
    <s v="2º Turno"/>
    <x v="0"/>
    <s v="Não"/>
    <x v="1"/>
    <d v="2026-06-03T00:00:00"/>
    <d v="2026-06-01T00:00:00"/>
    <s v="qua"/>
    <x v="1"/>
    <x v="0"/>
    <m/>
    <s v="145646176"/>
  </r>
  <r>
    <n v="1456"/>
    <n v="41"/>
    <s v="Masculino"/>
    <s v="Soldagem"/>
    <s v="Operador"/>
    <s v="2º Turno"/>
    <x v="0"/>
    <s v="Não"/>
    <x v="1"/>
    <d v="2026-05-20T00:00:00"/>
    <d v="2026-05-01T00:00:00"/>
    <s v="ter"/>
    <x v="0"/>
    <x v="1"/>
    <m/>
    <s v="145646162"/>
  </r>
  <r>
    <n v="1457"/>
    <n v="53"/>
    <s v="Masculino"/>
    <s v="Logistica"/>
    <s v="Operador"/>
    <s v="3º Turno"/>
    <x v="1"/>
    <s v="Não"/>
    <x v="2"/>
    <d v="2026-05-13T00:00:00"/>
    <d v="2026-05-01T00:00:00"/>
    <s v="qua"/>
    <x v="0"/>
    <x v="0"/>
    <m/>
    <s v="145746155"/>
  </r>
  <r>
    <n v="1457"/>
    <n v="53"/>
    <s v="Masculino"/>
    <s v="Logistica"/>
    <s v="Operador"/>
    <s v="3º Turno"/>
    <x v="1"/>
    <s v="Não"/>
    <x v="2"/>
    <d v="2026-05-21T00:00:00"/>
    <d v="2026-05-01T00:00:00"/>
    <s v="ter"/>
    <x v="0"/>
    <x v="1"/>
    <m/>
    <s v="145746163"/>
  </r>
  <r>
    <n v="1460"/>
    <n v="37"/>
    <s v="Masculino"/>
    <s v="Logistica"/>
    <s v="Operador"/>
    <s v="2º Turno"/>
    <x v="0"/>
    <s v="Não"/>
    <x v="0"/>
    <d v="2026-06-03T00:00:00"/>
    <d v="2026-06-01T00:00:00"/>
    <s v="qua"/>
    <x v="1"/>
    <x v="0"/>
    <m/>
    <s v="146046176"/>
  </r>
  <r>
    <n v="1460"/>
    <n v="37"/>
    <s v="Masculino"/>
    <s v="Logistica"/>
    <s v="Operador"/>
    <s v="2º Turno"/>
    <x v="0"/>
    <s v="Não"/>
    <x v="0"/>
    <d v="2026-05-17T00:00:00"/>
    <d v="2026-05-01T00:00:00"/>
    <s v="sáb"/>
    <x v="0"/>
    <x v="1"/>
    <m/>
    <s v="146046159"/>
  </r>
  <r>
    <n v="1463"/>
    <n v="21"/>
    <s v="Feminino"/>
    <s v="Soldagem"/>
    <s v="Operador"/>
    <s v="3º Turno"/>
    <x v="0"/>
    <s v="Não"/>
    <x v="2"/>
    <d v="2026-05-24T00:00:00"/>
    <d v="2026-05-01T00:00:00"/>
    <s v="dom"/>
    <x v="0"/>
    <x v="0"/>
    <m/>
    <s v="146346166"/>
  </r>
  <r>
    <n v="1463"/>
    <n v="21"/>
    <s v="Feminino"/>
    <s v="Soldagem"/>
    <s v="Operador"/>
    <s v="3º Turno"/>
    <x v="0"/>
    <s v="Não"/>
    <x v="2"/>
    <d v="2026-05-21T00:00:00"/>
    <d v="2026-05-01T00:00:00"/>
    <s v="qui"/>
    <x v="0"/>
    <x v="0"/>
    <m/>
    <s v="146346163"/>
  </r>
  <r>
    <n v="1463"/>
    <n v="21"/>
    <s v="Feminino"/>
    <s v="Soldagem"/>
    <s v="Operador"/>
    <s v="3º Turno"/>
    <x v="0"/>
    <s v="Não"/>
    <x v="2"/>
    <d v="2026-04-13T00:00:00"/>
    <d v="2026-04-01T00:00:00"/>
    <s v="dom"/>
    <x v="2"/>
    <x v="1"/>
    <m/>
    <s v="146346125"/>
  </r>
  <r>
    <n v="1463"/>
    <n v="21"/>
    <s v="Feminino"/>
    <s v="Soldagem"/>
    <s v="Operador"/>
    <s v="3º Turno"/>
    <x v="0"/>
    <s v="Não"/>
    <x v="2"/>
    <d v="2026-05-22T00:00:00"/>
    <d v="2026-05-01T00:00:00"/>
    <s v="qui"/>
    <x v="0"/>
    <x v="1"/>
    <m/>
    <s v="146346164"/>
  </r>
  <r>
    <n v="1468"/>
    <n v="44"/>
    <s v="Masculino"/>
    <s v="Pintura"/>
    <s v="Operador"/>
    <s v="1º Turno"/>
    <x v="1"/>
    <s v="Não"/>
    <x v="1"/>
    <d v="2026-06-03T00:00:00"/>
    <d v="2026-06-01T00:00:00"/>
    <s v="qua"/>
    <x v="1"/>
    <x v="0"/>
    <m/>
    <s v="146846176"/>
  </r>
  <r>
    <n v="1468"/>
    <n v="44"/>
    <s v="Masculino"/>
    <s v="Pintura"/>
    <s v="Operador"/>
    <s v="1º Turno"/>
    <x v="1"/>
    <s v="Não"/>
    <x v="1"/>
    <d v="2026-05-19T00:00:00"/>
    <d v="2026-05-01T00:00:00"/>
    <s v="seg"/>
    <x v="0"/>
    <x v="1"/>
    <m/>
    <s v="146846161"/>
  </r>
  <r>
    <n v="1469"/>
    <n v="30"/>
    <s v="Masculino"/>
    <s v="Montagem"/>
    <s v="Operador"/>
    <s v="3º Turno"/>
    <x v="1"/>
    <s v="Não"/>
    <x v="2"/>
    <d v="2026-05-13T00:00:00"/>
    <d v="2026-05-01T00:00:00"/>
    <s v="qua"/>
    <x v="0"/>
    <x v="0"/>
    <m/>
    <s v="146946155"/>
  </r>
  <r>
    <n v="1469"/>
    <n v="30"/>
    <s v="Masculino"/>
    <s v="Montagem"/>
    <s v="Operador"/>
    <s v="3º Turno"/>
    <x v="1"/>
    <s v="Não"/>
    <x v="2"/>
    <d v="2026-05-24T00:00:00"/>
    <d v="2026-05-01T00:00:00"/>
    <s v="dom"/>
    <x v="0"/>
    <x v="0"/>
    <m/>
    <s v="146946166"/>
  </r>
  <r>
    <n v="1469"/>
    <n v="30"/>
    <s v="Masculino"/>
    <s v="Montagem"/>
    <s v="Operador"/>
    <s v="3º Turno"/>
    <x v="1"/>
    <s v="Não"/>
    <x v="2"/>
    <d v="2026-05-11T00:00:00"/>
    <d v="2026-05-01T00:00:00"/>
    <s v="dom"/>
    <x v="0"/>
    <x v="1"/>
    <m/>
    <s v="146946153"/>
  </r>
  <r>
    <n v="1469"/>
    <n v="30"/>
    <s v="Masculino"/>
    <s v="Montagem"/>
    <s v="Operador"/>
    <s v="3º Turno"/>
    <x v="1"/>
    <s v="Não"/>
    <x v="2"/>
    <d v="2026-05-25T00:00:00"/>
    <d v="2026-05-01T00:00:00"/>
    <s v="dom"/>
    <x v="0"/>
    <x v="1"/>
    <m/>
    <s v="146946167"/>
  </r>
  <r>
    <n v="1471"/>
    <n v="52"/>
    <s v="Masculino"/>
    <s v="Logistica"/>
    <s v="Operador"/>
    <s v="1º Turno"/>
    <x v="0"/>
    <s v="Não"/>
    <x v="2"/>
    <d v="2026-05-18T00:00:00"/>
    <d v="2026-05-01T00:00:00"/>
    <s v="seg"/>
    <x v="0"/>
    <x v="0"/>
    <m/>
    <s v="147146160"/>
  </r>
  <r>
    <n v="1471"/>
    <n v="52"/>
    <s v="Masculino"/>
    <s v="Logistica"/>
    <s v="Operador"/>
    <s v="1º Turno"/>
    <x v="0"/>
    <s v="Não"/>
    <x v="2"/>
    <d v="2026-06-03T00:00:00"/>
    <d v="2026-06-01T00:00:00"/>
    <s v="dom"/>
    <x v="0"/>
    <x v="1"/>
    <m/>
    <s v="147146176"/>
  </r>
  <r>
    <n v="1476"/>
    <n v="26"/>
    <s v="Masculino"/>
    <s v="Montagem"/>
    <s v="Operador"/>
    <s v="3º Turno"/>
    <x v="0"/>
    <s v="Não"/>
    <x v="1"/>
    <d v="2026-05-18T00:00:00"/>
    <d v="2026-05-01T00:00:00"/>
    <s v="seg"/>
    <x v="0"/>
    <x v="0"/>
    <m/>
    <s v="147646160"/>
  </r>
  <r>
    <n v="1476"/>
    <n v="26"/>
    <s v="Masculino"/>
    <s v="Montagem"/>
    <s v="Operador"/>
    <s v="3º Turno"/>
    <x v="0"/>
    <s v="Não"/>
    <x v="1"/>
    <d v="2026-05-15T00:00:00"/>
    <d v="2026-05-01T00:00:00"/>
    <s v="dom"/>
    <x v="0"/>
    <x v="1"/>
    <m/>
    <s v="147646157"/>
  </r>
  <r>
    <n v="1478"/>
    <n v="27"/>
    <s v="Feminino"/>
    <s v="Montagem"/>
    <s v="Operador"/>
    <s v="3º Turno"/>
    <x v="0"/>
    <s v="Não"/>
    <x v="0"/>
    <d v="2026-05-24T00:00:00"/>
    <d v="2026-05-01T00:00:00"/>
    <s v="dom"/>
    <x v="0"/>
    <x v="0"/>
    <m/>
    <s v="147846166"/>
  </r>
  <r>
    <n v="1478"/>
    <n v="27"/>
    <s v="Feminino"/>
    <s v="Montagem"/>
    <s v="Operador"/>
    <s v="3º Turno"/>
    <x v="0"/>
    <s v="Não"/>
    <x v="0"/>
    <d v="2026-04-21T00:00:00"/>
    <d v="2026-04-01T00:00:00"/>
    <s v="seg"/>
    <x v="2"/>
    <x v="1"/>
    <m/>
    <s v="147846133"/>
  </r>
  <r>
    <n v="1482"/>
    <n v="52"/>
    <s v="Feminino"/>
    <s v="Pintura"/>
    <s v="Operador"/>
    <s v="2º Turno"/>
    <x v="0"/>
    <s v="Não"/>
    <x v="1"/>
    <d v="2026-04-17T00:00:00"/>
    <d v="2026-04-01T00:00:00"/>
    <s v="sex"/>
    <x v="2"/>
    <x v="0"/>
    <m/>
    <s v="148246129"/>
  </r>
  <r>
    <n v="1482"/>
    <n v="52"/>
    <s v="Feminino"/>
    <s v="Pintura"/>
    <s v="Operador"/>
    <s v="2º Turno"/>
    <x v="0"/>
    <s v="Não"/>
    <x v="1"/>
    <d v="2026-05-15T00:00:00"/>
    <d v="2026-05-01T00:00:00"/>
    <s v="qui"/>
    <x v="2"/>
    <x v="1"/>
    <m/>
    <s v="148246157"/>
  </r>
  <r>
    <n v="1486"/>
    <n v="27"/>
    <s v="Feminino"/>
    <s v="Soldagem"/>
    <s v="Operador"/>
    <s v="2º Turno"/>
    <x v="0"/>
    <s v="Não"/>
    <x v="0"/>
    <d v="2026-05-24T00:00:00"/>
    <d v="2026-05-01T00:00:00"/>
    <s v="dom"/>
    <x v="0"/>
    <x v="0"/>
    <m/>
    <s v="148646166"/>
  </r>
  <r>
    <n v="1486"/>
    <n v="27"/>
    <s v="Feminino"/>
    <s v="Soldagem"/>
    <s v="Operador"/>
    <s v="2º Turno"/>
    <x v="0"/>
    <s v="Não"/>
    <x v="0"/>
    <d v="2026-05-31T00:00:00"/>
    <d v="2026-05-01T00:00:00"/>
    <s v="sáb"/>
    <x v="0"/>
    <x v="1"/>
    <m/>
    <s v="148646173"/>
  </r>
  <r>
    <n v="1487"/>
    <n v="21"/>
    <s v="Masculino"/>
    <s v="Qualidade"/>
    <s v="Inspetor"/>
    <s v="3º Turno"/>
    <x v="0"/>
    <s v="Não"/>
    <x v="2"/>
    <d v="2026-05-13T00:00:00"/>
    <d v="2026-05-01T00:00:00"/>
    <s v="qua"/>
    <x v="0"/>
    <x v="0"/>
    <m/>
    <s v="148746155"/>
  </r>
  <r>
    <n v="1487"/>
    <n v="21"/>
    <s v="Masculino"/>
    <s v="Qualidade"/>
    <s v="Inspetor"/>
    <s v="3º Turno"/>
    <x v="0"/>
    <s v="Não"/>
    <x v="2"/>
    <d v="2026-06-03T00:00:00"/>
    <d v="2026-06-01T00:00:00"/>
    <s v="ter"/>
    <x v="0"/>
    <x v="1"/>
    <m/>
    <s v="148746176"/>
  </r>
  <r>
    <n v="1491"/>
    <n v="30"/>
    <s v="Feminino"/>
    <s v="Pintura"/>
    <s v="Operador"/>
    <s v="2º Turno"/>
    <x v="1"/>
    <s v="Não"/>
    <x v="0"/>
    <d v="2026-05-23T00:00:00"/>
    <d v="2026-05-01T00:00:00"/>
    <s v="sáb"/>
    <x v="0"/>
    <x v="0"/>
    <m/>
    <s v="149146165"/>
  </r>
  <r>
    <n v="1491"/>
    <n v="30"/>
    <s v="Feminino"/>
    <s v="Pintura"/>
    <s v="Operador"/>
    <s v="2º Turno"/>
    <x v="1"/>
    <s v="Não"/>
    <x v="0"/>
    <d v="2026-05-15T00:00:00"/>
    <d v="2026-05-01T00:00:00"/>
    <s v="sex"/>
    <x v="0"/>
    <x v="1"/>
    <m/>
    <s v="149146157"/>
  </r>
  <r>
    <n v="1527"/>
    <n v="46"/>
    <s v="Feminino"/>
    <s v="Logistica"/>
    <s v="Operador"/>
    <s v="1º Turno"/>
    <x v="0"/>
    <s v="Não"/>
    <x v="1"/>
    <d v="2026-05-31T00:00:00"/>
    <d v="2026-05-01T00:00:00"/>
    <s v="dom"/>
    <x v="0"/>
    <x v="0"/>
    <m/>
    <s v="152746173"/>
  </r>
  <r>
    <n v="1527"/>
    <n v="46"/>
    <s v="Feminino"/>
    <s v="Logistica"/>
    <s v="Operador"/>
    <s v="1º Turno"/>
    <x v="0"/>
    <s v="Não"/>
    <x v="1"/>
    <d v="2026-06-02T00:00:00"/>
    <d v="2026-06-01T00:00:00"/>
    <s v="sáb"/>
    <x v="0"/>
    <x v="1"/>
    <m/>
    <s v="152746175"/>
  </r>
  <r>
    <n v="1532"/>
    <n v="26"/>
    <s v="Feminino"/>
    <s v="Logistica"/>
    <s v="Operador"/>
    <s v="1º Turno"/>
    <x v="0"/>
    <s v="Não"/>
    <x v="2"/>
    <d v="2026-05-02T00:00:00"/>
    <d v="2026-05-01T00:00:00"/>
    <s v="sáb"/>
    <x v="0"/>
    <x v="0"/>
    <m/>
    <s v="153246144"/>
  </r>
  <r>
    <n v="1532"/>
    <n v="26"/>
    <s v="Feminino"/>
    <s v="Logistica"/>
    <s v="Operador"/>
    <s v="1º Turno"/>
    <x v="0"/>
    <s v="Não"/>
    <x v="2"/>
    <d v="2026-06-02T00:00:00"/>
    <d v="2026-06-01T00:00:00"/>
    <s v="ter"/>
    <x v="1"/>
    <x v="0"/>
    <m/>
    <s v="153246175"/>
  </r>
  <r>
    <n v="1532"/>
    <n v="26"/>
    <s v="Feminino"/>
    <s v="Logistica"/>
    <s v="Operador"/>
    <s v="1º Turno"/>
    <x v="0"/>
    <s v="Não"/>
    <x v="2"/>
    <d v="2026-06-03T00:00:00"/>
    <d v="2026-06-01T00:00:00"/>
    <s v="sex"/>
    <x v="0"/>
    <x v="1"/>
    <m/>
    <s v="153246176"/>
  </r>
  <r>
    <n v="1532"/>
    <n v="26"/>
    <s v="Feminino"/>
    <s v="Logistica"/>
    <s v="Operador"/>
    <s v="1º Turno"/>
    <x v="0"/>
    <s v="Não"/>
    <x v="2"/>
    <d v="2026-05-31T00:00:00"/>
    <d v="2026-05-01T00:00:00"/>
    <s v="sáb"/>
    <x v="0"/>
    <x v="1"/>
    <m/>
    <s v="153246173"/>
  </r>
  <r>
    <n v="1547"/>
    <n v="50"/>
    <s v="Masculino"/>
    <s v="Soldagem"/>
    <s v="Operador"/>
    <s v="2º Turno"/>
    <x v="1"/>
    <s v="Não"/>
    <x v="0"/>
    <d v="2026-05-15T00:00:00"/>
    <d v="2026-05-01T00:00:00"/>
    <s v="sex"/>
    <x v="0"/>
    <x v="0"/>
    <m/>
    <s v="154746157"/>
  </r>
  <r>
    <n v="1547"/>
    <n v="50"/>
    <s v="Masculino"/>
    <s v="Soldagem"/>
    <s v="Operador"/>
    <s v="2º Turno"/>
    <x v="1"/>
    <s v="Não"/>
    <x v="0"/>
    <d v="2026-05-24T00:00:00"/>
    <d v="2026-05-01T00:00:00"/>
    <s v="sáb"/>
    <x v="0"/>
    <x v="1"/>
    <m/>
    <s v="154746166"/>
  </r>
  <r>
    <n v="1558"/>
    <n v="32"/>
    <s v="Masculino"/>
    <s v="Pintura"/>
    <s v="Operador"/>
    <s v="2º Turno"/>
    <x v="0"/>
    <s v="Não"/>
    <x v="1"/>
    <d v="2026-06-02T00:00:00"/>
    <d v="2026-06-01T00:00:00"/>
    <s v="ter"/>
    <x v="1"/>
    <x v="0"/>
    <m/>
    <s v="155846175"/>
  </r>
  <r>
    <n v="1558"/>
    <n v="32"/>
    <s v="Masculino"/>
    <s v="Pintura"/>
    <s v="Operador"/>
    <s v="2º Turno"/>
    <x v="0"/>
    <s v="Não"/>
    <x v="1"/>
    <d v="2026-04-15T00:00:00"/>
    <d v="2026-04-01T00:00:00"/>
    <s v="ter"/>
    <x v="2"/>
    <x v="1"/>
    <m/>
    <s v="155846127"/>
  </r>
  <r>
    <n v="1565"/>
    <n v="21"/>
    <s v="Feminino"/>
    <s v="Qualidade"/>
    <s v="Inspetor"/>
    <s v="3º Turno"/>
    <x v="0"/>
    <s v="Não"/>
    <x v="2"/>
    <d v="2026-06-03T00:00:00"/>
    <d v="2026-06-01T00:00:00"/>
    <s v="qua"/>
    <x v="1"/>
    <x v="0"/>
    <m/>
    <s v="156546176"/>
  </r>
  <r>
    <n v="1565"/>
    <n v="21"/>
    <s v="Feminino"/>
    <s v="Qualidade"/>
    <s v="Inspetor"/>
    <s v="3º Turno"/>
    <x v="0"/>
    <s v="Não"/>
    <x v="2"/>
    <d v="2026-05-29T00:00:00"/>
    <d v="2026-05-01T00:00:00"/>
    <s v="qui"/>
    <x v="0"/>
    <x v="1"/>
    <m/>
    <s v="156546171"/>
  </r>
  <r>
    <n v="1573"/>
    <n v="27"/>
    <s v="Feminino"/>
    <s v="Logistica"/>
    <s v="Operador"/>
    <s v="2º Turno"/>
    <x v="0"/>
    <s v="Não"/>
    <x v="0"/>
    <d v="2026-06-02T00:00:00"/>
    <d v="2026-06-01T00:00:00"/>
    <s v="ter"/>
    <x v="1"/>
    <x v="0"/>
    <m/>
    <s v="157346175"/>
  </r>
  <r>
    <n v="1573"/>
    <n v="27"/>
    <s v="Feminino"/>
    <s v="Logistica"/>
    <s v="Operador"/>
    <s v="2º Turno"/>
    <x v="0"/>
    <s v="Não"/>
    <x v="0"/>
    <d v="2026-04-10T00:00:00"/>
    <d v="2026-04-01T00:00:00"/>
    <s v="qui"/>
    <x v="2"/>
    <x v="1"/>
    <m/>
    <s v="157346122"/>
  </r>
  <r>
    <n v="1599"/>
    <n v="37"/>
    <s v="Masculino"/>
    <s v="Soldagem"/>
    <s v="Operador"/>
    <s v="1º Turno"/>
    <x v="0"/>
    <s v="Não"/>
    <x v="2"/>
    <d v="2026-05-10T00:00:00"/>
    <d v="2026-05-01T00:00:00"/>
    <s v="dom"/>
    <x v="0"/>
    <x v="0"/>
    <m/>
    <s v="159946152"/>
  </r>
  <r>
    <n v="1599"/>
    <n v="37"/>
    <s v="Masculino"/>
    <s v="Soldagem"/>
    <s v="Operador"/>
    <s v="1º Turno"/>
    <x v="0"/>
    <s v="Não"/>
    <x v="2"/>
    <d v="2026-06-04T00:00:00"/>
    <d v="2026-06-01T00:00:00"/>
    <s v="sáb"/>
    <x v="0"/>
    <x v="1"/>
    <m/>
    <s v="159946177"/>
  </r>
  <r>
    <n v="1600"/>
    <n v="39"/>
    <s v="Masculino"/>
    <s v="Pintura"/>
    <s v="Operador"/>
    <s v="2º Turno"/>
    <x v="0"/>
    <s v="Não"/>
    <x v="2"/>
    <d v="2026-04-23T00:00:00"/>
    <d v="2026-04-01T00:00:00"/>
    <s v="qui"/>
    <x v="2"/>
    <x v="0"/>
    <m/>
    <s v="160046135"/>
  </r>
  <r>
    <n v="1600"/>
    <n v="39"/>
    <s v="Masculino"/>
    <s v="Pintura"/>
    <s v="Operador"/>
    <s v="2º Turno"/>
    <x v="0"/>
    <s v="Não"/>
    <x v="2"/>
    <d v="2026-05-15T00:00:00"/>
    <d v="2026-05-01T00:00:00"/>
    <s v="qua"/>
    <x v="2"/>
    <x v="1"/>
    <m/>
    <s v="160046157"/>
  </r>
  <r>
    <n v="1604"/>
    <n v="40"/>
    <s v="Masculino"/>
    <s v="Pintura"/>
    <s v="Operador"/>
    <s v="1º Turno"/>
    <x v="0"/>
    <s v="Não"/>
    <x v="0"/>
    <d v="2026-05-12T00:00:00"/>
    <d v="2026-05-01T00:00:00"/>
    <s v="ter"/>
    <x v="0"/>
    <x v="0"/>
    <m/>
    <s v="160446154"/>
  </r>
  <r>
    <n v="1604"/>
    <n v="40"/>
    <s v="Masculino"/>
    <s v="Pintura"/>
    <s v="Operador"/>
    <s v="1º Turno"/>
    <x v="0"/>
    <s v="Não"/>
    <x v="0"/>
    <d v="2026-06-02T00:00:00"/>
    <d v="2026-06-01T00:00:00"/>
    <s v="seg"/>
    <x v="0"/>
    <x v="1"/>
    <m/>
    <s v="160446175"/>
  </r>
  <r>
    <n v="1609"/>
    <n v="45"/>
    <s v="Masculino"/>
    <s v="Soldagem"/>
    <s v="Operador"/>
    <s v="1º Turno"/>
    <x v="0"/>
    <s v="Não"/>
    <x v="1"/>
    <d v="2026-06-02T00:00:00"/>
    <d v="2026-06-01T00:00:00"/>
    <s v="ter"/>
    <x v="1"/>
    <x v="0"/>
    <m/>
    <s v="160946175"/>
  </r>
  <r>
    <n v="1609"/>
    <n v="45"/>
    <s v="Masculino"/>
    <s v="Soldagem"/>
    <s v="Operador"/>
    <s v="1º Turno"/>
    <x v="0"/>
    <s v="Não"/>
    <x v="1"/>
    <d v="2026-06-04T00:00:00"/>
    <d v="2026-06-01T00:00:00"/>
    <s v="qui"/>
    <x v="1"/>
    <x v="0"/>
    <m/>
    <s v="160946177"/>
  </r>
  <r>
    <n v="1609"/>
    <n v="45"/>
    <s v="Masculino"/>
    <s v="Soldagem"/>
    <s v="Operador"/>
    <s v="1º Turno"/>
    <x v="0"/>
    <s v="Não"/>
    <x v="1"/>
    <d v="2026-04-25T00:00:00"/>
    <d v="2026-04-01T00:00:00"/>
    <s v="sex"/>
    <x v="2"/>
    <x v="1"/>
    <m/>
    <s v="160946137"/>
  </r>
  <r>
    <n v="1609"/>
    <n v="45"/>
    <s v="Masculino"/>
    <s v="Soldagem"/>
    <s v="Operador"/>
    <s v="1º Turno"/>
    <x v="0"/>
    <s v="Não"/>
    <x v="1"/>
    <d v="2026-05-14T00:00:00"/>
    <d v="2026-05-01T00:00:00"/>
    <s v="qua"/>
    <x v="0"/>
    <x v="1"/>
    <m/>
    <s v="160946156"/>
  </r>
  <r>
    <n v="1612"/>
    <n v="24"/>
    <s v="Masculino"/>
    <s v="Logistica"/>
    <s v="Operador"/>
    <s v="3º Turno"/>
    <x v="0"/>
    <s v="Não"/>
    <x v="0"/>
    <d v="2026-06-04T00:00:00"/>
    <d v="2026-06-01T00:00:00"/>
    <s v="qui"/>
    <x v="1"/>
    <x v="0"/>
    <m/>
    <s v="161246177"/>
  </r>
  <r>
    <n v="1612"/>
    <n v="24"/>
    <s v="Masculino"/>
    <s v="Logistica"/>
    <s v="Operador"/>
    <s v="3º Turno"/>
    <x v="0"/>
    <s v="Não"/>
    <x v="0"/>
    <d v="2026-05-18T00:00:00"/>
    <d v="2026-05-01T00:00:00"/>
    <s v="seg"/>
    <x v="0"/>
    <x v="0"/>
    <m/>
    <s v="161246160"/>
  </r>
  <r>
    <n v="1612"/>
    <n v="24"/>
    <s v="Masculino"/>
    <s v="Logistica"/>
    <s v="Operador"/>
    <s v="3º Turno"/>
    <x v="0"/>
    <s v="Não"/>
    <x v="0"/>
    <d v="2026-04-23T00:00:00"/>
    <d v="2026-04-01T00:00:00"/>
    <s v="qua"/>
    <x v="2"/>
    <x v="1"/>
    <m/>
    <s v="161246135"/>
  </r>
  <r>
    <n v="1612"/>
    <n v="24"/>
    <s v="Masculino"/>
    <s v="Logistica"/>
    <s v="Operador"/>
    <s v="3º Turno"/>
    <x v="0"/>
    <s v="Não"/>
    <x v="0"/>
    <d v="2026-05-20T00:00:00"/>
    <d v="2026-05-01T00:00:00"/>
    <s v="dom"/>
    <x v="0"/>
    <x v="1"/>
    <m/>
    <s v="161246162"/>
  </r>
  <r>
    <n v="1613"/>
    <n v="49"/>
    <s v="Feminino"/>
    <s v="Montagem"/>
    <s v="Operador"/>
    <s v="2º Turno"/>
    <x v="0"/>
    <s v="Não"/>
    <x v="0"/>
    <d v="2026-04-24T00:00:00"/>
    <d v="2026-04-01T00:00:00"/>
    <s v="sex"/>
    <x v="2"/>
    <x v="0"/>
    <m/>
    <s v="161346136"/>
  </r>
  <r>
    <n v="1613"/>
    <n v="49"/>
    <s v="Feminino"/>
    <s v="Montagem"/>
    <s v="Operador"/>
    <s v="2º Turno"/>
    <x v="0"/>
    <s v="Não"/>
    <x v="0"/>
    <d v="2026-06-04T00:00:00"/>
    <d v="2026-06-01T00:00:00"/>
    <s v="qui"/>
    <x v="2"/>
    <x v="1"/>
    <m/>
    <s v="161346177"/>
  </r>
  <r>
    <n v="1615"/>
    <n v="43"/>
    <s v="Masculino"/>
    <s v="Soldagem"/>
    <s v="Operador"/>
    <s v="3º Turno"/>
    <x v="0"/>
    <s v="Não"/>
    <x v="0"/>
    <d v="2026-05-06T00:00:00"/>
    <d v="2026-05-01T00:00:00"/>
    <s v="qua"/>
    <x v="0"/>
    <x v="0"/>
    <m/>
    <s v="161546148"/>
  </r>
  <r>
    <n v="1615"/>
    <n v="43"/>
    <s v="Masculino"/>
    <s v="Soldagem"/>
    <s v="Operador"/>
    <s v="3º Turno"/>
    <x v="0"/>
    <s v="Não"/>
    <x v="0"/>
    <d v="2026-04-25T00:00:00"/>
    <d v="2026-04-01T00:00:00"/>
    <s v="sáb"/>
    <x v="2"/>
    <x v="0"/>
    <m/>
    <s v="161546137"/>
  </r>
  <r>
    <n v="1615"/>
    <n v="43"/>
    <s v="Masculino"/>
    <s v="Soldagem"/>
    <s v="Operador"/>
    <s v="3º Turno"/>
    <x v="0"/>
    <s v="Não"/>
    <x v="0"/>
    <d v="2026-05-18T00:00:00"/>
    <d v="2026-05-01T00:00:00"/>
    <s v="seg"/>
    <x v="0"/>
    <x v="0"/>
    <m/>
    <s v="161546160"/>
  </r>
  <r>
    <n v="1615"/>
    <n v="43"/>
    <s v="Masculino"/>
    <s v="Soldagem"/>
    <s v="Operador"/>
    <s v="3º Turno"/>
    <x v="0"/>
    <s v="Não"/>
    <x v="0"/>
    <d v="2026-04-27T00:00:00"/>
    <d v="2026-04-01T00:00:00"/>
    <s v="ter"/>
    <x v="0"/>
    <x v="1"/>
    <m/>
    <s v="161546139"/>
  </r>
  <r>
    <n v="1615"/>
    <n v="43"/>
    <s v="Masculino"/>
    <s v="Soldagem"/>
    <s v="Operador"/>
    <s v="3º Turno"/>
    <x v="0"/>
    <s v="Não"/>
    <x v="0"/>
    <d v="2026-05-09T00:00:00"/>
    <d v="2026-05-01T00:00:00"/>
    <s v="sex"/>
    <x v="0"/>
    <x v="1"/>
    <m/>
    <s v="161546151"/>
  </r>
  <r>
    <n v="1615"/>
    <n v="43"/>
    <s v="Masculino"/>
    <s v="Soldagem"/>
    <s v="Operador"/>
    <s v="3º Turno"/>
    <x v="0"/>
    <s v="Não"/>
    <x v="0"/>
    <d v="2026-05-20T00:00:00"/>
    <d v="2026-05-01T00:00:00"/>
    <s v="dom"/>
    <x v="0"/>
    <x v="1"/>
    <m/>
    <s v="161546162"/>
  </r>
  <r>
    <n v="1618"/>
    <n v="45"/>
    <s v="Masculino"/>
    <s v="Soldagem"/>
    <s v="Operador"/>
    <s v="2º Turno"/>
    <x v="0"/>
    <s v="Não"/>
    <x v="1"/>
    <d v="2026-05-23T00:00:00"/>
    <d v="2026-05-01T00:00:00"/>
    <s v="sáb"/>
    <x v="0"/>
    <x v="0"/>
    <m/>
    <s v="161846165"/>
  </r>
  <r>
    <n v="1618"/>
    <n v="45"/>
    <s v="Masculino"/>
    <s v="Soldagem"/>
    <s v="Operador"/>
    <s v="2º Turno"/>
    <x v="0"/>
    <s v="Não"/>
    <x v="1"/>
    <d v="2026-05-25T00:00:00"/>
    <d v="2026-05-01T00:00:00"/>
    <s v="sex"/>
    <x v="0"/>
    <x v="1"/>
    <m/>
    <s v="161846167"/>
  </r>
  <r>
    <n v="1621"/>
    <n v="42"/>
    <s v="Masculino"/>
    <s v="Qualidade"/>
    <s v="Inspetor"/>
    <s v="2º Turno"/>
    <x v="0"/>
    <s v="Não"/>
    <x v="0"/>
    <d v="2026-04-25T00:00:00"/>
    <d v="2026-04-01T00:00:00"/>
    <s v="sáb"/>
    <x v="2"/>
    <x v="0"/>
    <m/>
    <s v="162146137"/>
  </r>
  <r>
    <n v="1621"/>
    <n v="42"/>
    <s v="Masculino"/>
    <s v="Qualidade"/>
    <s v="Inspetor"/>
    <s v="2º Turno"/>
    <x v="0"/>
    <s v="Não"/>
    <x v="0"/>
    <d v="2026-05-08T00:00:00"/>
    <d v="2026-05-01T00:00:00"/>
    <s v="qui"/>
    <x v="0"/>
    <x v="1"/>
    <m/>
    <s v="162146150"/>
  </r>
  <r>
    <n v="1622"/>
    <n v="21"/>
    <s v="Feminino"/>
    <s v="Soldagem"/>
    <s v="Operador"/>
    <s v="3º Turno"/>
    <x v="0"/>
    <s v="Não"/>
    <x v="0"/>
    <d v="2026-04-18T00:00:00"/>
    <d v="2026-04-01T00:00:00"/>
    <s v="sáb"/>
    <x v="2"/>
    <x v="0"/>
    <m/>
    <s v="162246130"/>
  </r>
  <r>
    <n v="1622"/>
    <n v="21"/>
    <s v="Feminino"/>
    <s v="Soldagem"/>
    <s v="Operador"/>
    <s v="3º Turno"/>
    <x v="0"/>
    <s v="Não"/>
    <x v="0"/>
    <d v="2026-05-20T00:00:00"/>
    <d v="2026-05-01T00:00:00"/>
    <s v="sex"/>
    <x v="2"/>
    <x v="1"/>
    <m/>
    <s v="162246162"/>
  </r>
  <r>
    <n v="1630"/>
    <n v="37"/>
    <s v="Masculino"/>
    <s v="Logistica"/>
    <s v="Operador"/>
    <s v="1º Turno"/>
    <x v="0"/>
    <s v="Não"/>
    <x v="0"/>
    <d v="2026-05-03T00:00:00"/>
    <d v="2026-05-01T00:00:00"/>
    <s v="dom"/>
    <x v="0"/>
    <x v="0"/>
    <m/>
    <s v="163046145"/>
  </r>
  <r>
    <n v="1630"/>
    <n v="37"/>
    <s v="Masculino"/>
    <s v="Logistica"/>
    <s v="Operador"/>
    <s v="1º Turno"/>
    <x v="0"/>
    <s v="Não"/>
    <x v="0"/>
    <d v="2026-05-25T00:00:00"/>
    <d v="2026-05-01T00:00:00"/>
    <s v="sáb"/>
    <x v="0"/>
    <x v="1"/>
    <m/>
    <s v="163046167"/>
  </r>
  <r>
    <n v="1638"/>
    <n v="45"/>
    <s v="Masculino"/>
    <s v="Soldagem"/>
    <s v="Operador"/>
    <s v="2º Turno"/>
    <x v="0"/>
    <s v="Não"/>
    <x v="0"/>
    <d v="2026-04-27T00:00:00"/>
    <d v="2026-04-01T00:00:00"/>
    <s v="seg"/>
    <x v="2"/>
    <x v="0"/>
    <m/>
    <s v="163846139"/>
  </r>
  <r>
    <n v="1638"/>
    <n v="45"/>
    <s v="Masculino"/>
    <s v="Soldagem"/>
    <s v="Operador"/>
    <s v="2º Turno"/>
    <x v="0"/>
    <s v="Não"/>
    <x v="0"/>
    <d v="2026-05-16T00:00:00"/>
    <d v="2026-05-01T00:00:00"/>
    <s v="sex"/>
    <x v="0"/>
    <x v="1"/>
    <m/>
    <s v="163846158"/>
  </r>
  <r>
    <n v="1640"/>
    <n v="57"/>
    <s v="Feminino"/>
    <s v="Soldagem"/>
    <s v="Operador"/>
    <s v="3º Turno"/>
    <x v="0"/>
    <s v="Não"/>
    <x v="1"/>
    <d v="2026-04-15T00:00:00"/>
    <d v="2026-04-01T00:00:00"/>
    <s v="qua"/>
    <x v="2"/>
    <x v="0"/>
    <m/>
    <s v="164046127"/>
  </r>
  <r>
    <n v="1640"/>
    <n v="57"/>
    <s v="Feminino"/>
    <s v="Soldagem"/>
    <s v="Operador"/>
    <s v="3º Turno"/>
    <x v="0"/>
    <s v="Não"/>
    <x v="1"/>
    <d v="2026-05-20T00:00:00"/>
    <d v="2026-05-01T00:00:00"/>
    <s v="ter"/>
    <x v="2"/>
    <x v="1"/>
    <m/>
    <s v="164046162"/>
  </r>
  <r>
    <n v="1644"/>
    <n v="52"/>
    <s v="Feminino"/>
    <s v="Montagem"/>
    <s v="Operador"/>
    <s v="1º Turno"/>
    <x v="0"/>
    <s v="Não"/>
    <x v="2"/>
    <d v="2026-05-11T00:00:00"/>
    <d v="2026-05-01T00:00:00"/>
    <s v="seg"/>
    <x v="0"/>
    <x v="0"/>
    <m/>
    <s v="164446153"/>
  </r>
  <r>
    <n v="1644"/>
    <n v="52"/>
    <s v="Feminino"/>
    <s v="Montagem"/>
    <s v="Operador"/>
    <s v="1º Turno"/>
    <x v="0"/>
    <s v="Não"/>
    <x v="2"/>
    <d v="2026-04-27T00:00:00"/>
    <d v="2026-04-01T00:00:00"/>
    <s v="dom"/>
    <x v="0"/>
    <x v="1"/>
    <m/>
    <s v="164446139"/>
  </r>
  <r>
    <n v="1650"/>
    <n v="25"/>
    <s v="Feminino"/>
    <s v="Soldagem"/>
    <s v="Operador"/>
    <s v="2º Turno"/>
    <x v="0"/>
    <s v="Não"/>
    <x v="2"/>
    <d v="2026-05-20T00:00:00"/>
    <d v="2026-05-01T00:00:00"/>
    <s v="qua"/>
    <x v="0"/>
    <x v="0"/>
    <m/>
    <s v="165046162"/>
  </r>
  <r>
    <n v="1650"/>
    <n v="25"/>
    <s v="Feminino"/>
    <s v="Soldagem"/>
    <s v="Operador"/>
    <s v="2º Turno"/>
    <x v="0"/>
    <s v="Não"/>
    <x v="2"/>
    <d v="2026-05-23T00:00:00"/>
    <d v="2026-05-01T00:00:00"/>
    <s v="sex"/>
    <x v="0"/>
    <x v="1"/>
    <m/>
    <s v="165046165"/>
  </r>
  <r>
    <n v="1655"/>
    <n v="47"/>
    <s v="Masculino"/>
    <s v="Montagem"/>
    <s v="Operador"/>
    <s v="2º Turno"/>
    <x v="0"/>
    <s v="Não"/>
    <x v="1"/>
    <d v="2026-05-05T00:00:00"/>
    <d v="2026-05-01T00:00:00"/>
    <s v="ter"/>
    <x v="0"/>
    <x v="0"/>
    <m/>
    <s v="165546147"/>
  </r>
  <r>
    <n v="1655"/>
    <n v="47"/>
    <s v="Masculino"/>
    <s v="Montagem"/>
    <s v="Operador"/>
    <s v="2º Turno"/>
    <x v="0"/>
    <s v="Não"/>
    <x v="1"/>
    <d v="2026-05-03T00:00:00"/>
    <d v="2026-05-01T00:00:00"/>
    <s v="dom"/>
    <x v="0"/>
    <x v="0"/>
    <m/>
    <s v="165546145"/>
  </r>
  <r>
    <n v="1655"/>
    <n v="47"/>
    <s v="Masculino"/>
    <s v="Montagem"/>
    <s v="Operador"/>
    <s v="2º Turno"/>
    <x v="0"/>
    <s v="Não"/>
    <x v="1"/>
    <d v="2026-04-30T00:00:00"/>
    <d v="2026-04-01T00:00:00"/>
    <s v="seg"/>
    <x v="0"/>
    <x v="1"/>
    <m/>
    <s v="165546142"/>
  </r>
  <r>
    <n v="1655"/>
    <n v="47"/>
    <s v="Masculino"/>
    <s v="Montagem"/>
    <s v="Operador"/>
    <s v="2º Turno"/>
    <x v="0"/>
    <s v="Não"/>
    <x v="1"/>
    <d v="2026-05-23T00:00:00"/>
    <d v="2026-05-01T00:00:00"/>
    <s v="sex"/>
    <x v="0"/>
    <x v="1"/>
    <m/>
    <s v="165546165"/>
  </r>
  <r>
    <n v="1656"/>
    <n v="35"/>
    <s v="Feminino"/>
    <s v="Soldagem"/>
    <s v="Operador"/>
    <s v="1º Turno"/>
    <x v="0"/>
    <s v="Não"/>
    <x v="0"/>
    <d v="2026-04-17T00:00:00"/>
    <d v="2026-04-01T00:00:00"/>
    <s v="sex"/>
    <x v="2"/>
    <x v="0"/>
    <m/>
    <s v="165646129"/>
  </r>
  <r>
    <n v="1656"/>
    <n v="35"/>
    <s v="Feminino"/>
    <s v="Soldagem"/>
    <s v="Operador"/>
    <s v="1º Turno"/>
    <x v="0"/>
    <s v="Não"/>
    <x v="0"/>
    <d v="2026-05-26T00:00:00"/>
    <d v="2026-05-01T00:00:00"/>
    <s v="qui"/>
    <x v="2"/>
    <x v="1"/>
    <m/>
    <s v="165646168"/>
  </r>
  <r>
    <n v="1657"/>
    <n v="49"/>
    <s v="Masculino"/>
    <s v="Logistica"/>
    <s v="Operador"/>
    <s v="1º Turno"/>
    <x v="0"/>
    <s v="Não"/>
    <x v="1"/>
    <d v="2026-04-24T00:00:00"/>
    <d v="2026-04-01T00:00:00"/>
    <s v="sex"/>
    <x v="2"/>
    <x v="0"/>
    <m/>
    <s v="165746136"/>
  </r>
  <r>
    <n v="1657"/>
    <n v="49"/>
    <s v="Masculino"/>
    <s v="Logistica"/>
    <s v="Operador"/>
    <s v="1º Turno"/>
    <x v="0"/>
    <s v="Não"/>
    <x v="1"/>
    <d v="2026-05-03T00:00:00"/>
    <d v="2026-05-01T00:00:00"/>
    <s v="dom"/>
    <x v="0"/>
    <x v="0"/>
    <m/>
    <s v="165746145"/>
  </r>
  <r>
    <n v="1657"/>
    <n v="49"/>
    <s v="Masculino"/>
    <s v="Logistica"/>
    <s v="Operador"/>
    <s v="1º Turno"/>
    <x v="0"/>
    <s v="Não"/>
    <x v="1"/>
    <d v="2026-05-26T00:00:00"/>
    <d v="2026-05-01T00:00:00"/>
    <s v="qui"/>
    <x v="2"/>
    <x v="1"/>
    <m/>
    <s v="165746168"/>
  </r>
  <r>
    <n v="1657"/>
    <n v="49"/>
    <s v="Masculino"/>
    <s v="Logistica"/>
    <s v="Operador"/>
    <s v="1º Turno"/>
    <x v="0"/>
    <s v="Não"/>
    <x v="1"/>
    <d v="2026-05-05T00:00:00"/>
    <d v="2026-05-01T00:00:00"/>
    <s v="seg"/>
    <x v="0"/>
    <x v="1"/>
    <m/>
    <s v="165746147"/>
  </r>
  <r>
    <n v="1662"/>
    <n v="22"/>
    <s v="Feminino"/>
    <s v="Montagem"/>
    <s v="Operador"/>
    <s v="3º Turno"/>
    <x v="0"/>
    <s v="Não"/>
    <x v="2"/>
    <d v="2026-05-05T00:00:00"/>
    <d v="2026-05-01T00:00:00"/>
    <s v="ter"/>
    <x v="0"/>
    <x v="0"/>
    <m/>
    <s v="166246147"/>
  </r>
  <r>
    <n v="1662"/>
    <n v="22"/>
    <s v="Feminino"/>
    <s v="Montagem"/>
    <s v="Operador"/>
    <s v="3º Turno"/>
    <x v="0"/>
    <s v="Não"/>
    <x v="2"/>
    <d v="2026-05-03T00:00:00"/>
    <d v="2026-05-01T00:00:00"/>
    <s v="dom"/>
    <x v="0"/>
    <x v="0"/>
    <m/>
    <s v="166246145"/>
  </r>
  <r>
    <n v="1662"/>
    <n v="22"/>
    <s v="Feminino"/>
    <s v="Montagem"/>
    <s v="Operador"/>
    <s v="3º Turno"/>
    <x v="0"/>
    <s v="Não"/>
    <x v="2"/>
    <d v="2026-04-27T00:00:00"/>
    <d v="2026-04-01T00:00:00"/>
    <s v="seg"/>
    <x v="0"/>
    <x v="1"/>
    <m/>
    <s v="166246139"/>
  </r>
  <r>
    <n v="1662"/>
    <n v="22"/>
    <s v="Feminino"/>
    <s v="Montagem"/>
    <s v="Operador"/>
    <s v="3º Turno"/>
    <x v="0"/>
    <s v="Não"/>
    <x v="2"/>
    <d v="2026-05-14T00:00:00"/>
    <d v="2026-05-01T00:00:00"/>
    <s v="qua"/>
    <x v="0"/>
    <x v="1"/>
    <m/>
    <s v="166246156"/>
  </r>
  <r>
    <n v="1665"/>
    <n v="36"/>
    <s v="Masculino"/>
    <s v="Montagem"/>
    <s v="Operador"/>
    <s v="1º Turno"/>
    <x v="0"/>
    <s v="Não"/>
    <x v="0"/>
    <d v="2026-04-21T00:00:00"/>
    <d v="2026-04-01T00:00:00"/>
    <s v="ter"/>
    <x v="2"/>
    <x v="0"/>
    <m/>
    <s v="166546133"/>
  </r>
  <r>
    <n v="1665"/>
    <n v="36"/>
    <s v="Masculino"/>
    <s v="Montagem"/>
    <s v="Operador"/>
    <s v="1º Turno"/>
    <x v="0"/>
    <s v="Não"/>
    <x v="0"/>
    <d v="2026-04-30T00:00:00"/>
    <d v="2026-04-01T00:00:00"/>
    <s v="qui"/>
    <x v="2"/>
    <x v="0"/>
    <m/>
    <s v="166546142"/>
  </r>
  <r>
    <n v="1665"/>
    <n v="36"/>
    <s v="Masculino"/>
    <s v="Montagem"/>
    <s v="Operador"/>
    <s v="1º Turno"/>
    <x v="0"/>
    <s v="Não"/>
    <x v="0"/>
    <d v="2026-04-27T00:00:00"/>
    <d v="2026-04-01T00:00:00"/>
    <s v="seg"/>
    <x v="2"/>
    <x v="1"/>
    <m/>
    <s v="166546139"/>
  </r>
  <r>
    <n v="1665"/>
    <n v="36"/>
    <s v="Masculino"/>
    <s v="Montagem"/>
    <s v="Operador"/>
    <s v="1º Turno"/>
    <x v="0"/>
    <s v="Não"/>
    <x v="0"/>
    <d v="2026-05-07T00:00:00"/>
    <d v="2026-05-01T00:00:00"/>
    <s v="qua"/>
    <x v="0"/>
    <x v="1"/>
    <m/>
    <s v="166546149"/>
  </r>
  <r>
    <n v="1668"/>
    <n v="54"/>
    <s v="Feminino"/>
    <s v="Qualidade"/>
    <s v="Inspetor"/>
    <s v="3º Turno"/>
    <x v="0"/>
    <s v="Não"/>
    <x v="0"/>
    <d v="2026-05-04T00:00:00"/>
    <d v="2026-05-01T00:00:00"/>
    <s v="seg"/>
    <x v="0"/>
    <x v="0"/>
    <m/>
    <s v="166846146"/>
  </r>
  <r>
    <n v="1668"/>
    <n v="54"/>
    <s v="Feminino"/>
    <s v="Qualidade"/>
    <s v="Inspetor"/>
    <s v="3º Turno"/>
    <x v="0"/>
    <s v="Não"/>
    <x v="0"/>
    <d v="2026-05-26T00:00:00"/>
    <d v="2026-05-01T00:00:00"/>
    <s v="dom"/>
    <x v="0"/>
    <x v="1"/>
    <m/>
    <s v="166846168"/>
  </r>
  <r>
    <n v="1680"/>
    <n v="24"/>
    <s v="Feminino"/>
    <s v="Soldagem"/>
    <s v="Operador"/>
    <s v="3º Turno"/>
    <x v="0"/>
    <s v="Não"/>
    <x v="2"/>
    <d v="2026-04-15T00:00:00"/>
    <d v="2026-04-01T00:00:00"/>
    <s v="qua"/>
    <x v="2"/>
    <x v="0"/>
    <m/>
    <s v="168046127"/>
  </r>
  <r>
    <n v="1680"/>
    <n v="24"/>
    <s v="Feminino"/>
    <s v="Soldagem"/>
    <s v="Operador"/>
    <s v="3º Turno"/>
    <x v="0"/>
    <s v="Não"/>
    <x v="2"/>
    <d v="2026-04-30T00:00:00"/>
    <d v="2026-04-01T00:00:00"/>
    <s v="qui"/>
    <x v="2"/>
    <x v="0"/>
    <m/>
    <s v="168046142"/>
  </r>
  <r>
    <n v="1680"/>
    <n v="24"/>
    <s v="Feminino"/>
    <s v="Soldagem"/>
    <s v="Operador"/>
    <s v="3º Turno"/>
    <x v="0"/>
    <s v="Não"/>
    <x v="2"/>
    <d v="2026-05-03T00:00:00"/>
    <d v="2026-05-01T00:00:00"/>
    <s v="ter"/>
    <x v="2"/>
    <x v="1"/>
    <m/>
    <s v="168046145"/>
  </r>
  <r>
    <n v="1680"/>
    <n v="24"/>
    <s v="Feminino"/>
    <s v="Soldagem"/>
    <s v="Operador"/>
    <s v="3º Turno"/>
    <x v="0"/>
    <s v="Não"/>
    <x v="2"/>
    <d v="2026-05-09T00:00:00"/>
    <d v="2026-05-01T00:00:00"/>
    <s v="sex"/>
    <x v="0"/>
    <x v="1"/>
    <m/>
    <s v="168046151"/>
  </r>
  <r>
    <n v="1691"/>
    <n v="49"/>
    <s v="Feminino"/>
    <s v="Montagem"/>
    <s v="Operador"/>
    <s v="3º Turno"/>
    <x v="0"/>
    <s v="Não"/>
    <x v="1"/>
    <d v="2026-05-10T00:00:00"/>
    <d v="2026-05-01T00:00:00"/>
    <s v="dom"/>
    <x v="0"/>
    <x v="0"/>
    <m/>
    <s v="169146152"/>
  </r>
  <r>
    <n v="1691"/>
    <n v="49"/>
    <s v="Feminino"/>
    <s v="Montagem"/>
    <s v="Operador"/>
    <s v="3º Turno"/>
    <x v="0"/>
    <s v="Não"/>
    <x v="1"/>
    <d v="2026-05-25T00:00:00"/>
    <d v="2026-05-01T00:00:00"/>
    <s v="dom"/>
    <x v="0"/>
    <x v="1"/>
    <m/>
    <s v="169146167"/>
  </r>
  <r>
    <n v="1692"/>
    <n v="24"/>
    <s v="Masculino"/>
    <s v="Pintura"/>
    <s v="Operador"/>
    <s v="2º Turno"/>
    <x v="0"/>
    <s v="Não"/>
    <x v="0"/>
    <d v="2026-05-10T00:00:00"/>
    <d v="2026-05-01T00:00:00"/>
    <s v="dom"/>
    <x v="0"/>
    <x v="0"/>
    <m/>
    <s v="169246152"/>
  </r>
  <r>
    <n v="1692"/>
    <n v="24"/>
    <s v="Masculino"/>
    <s v="Pintura"/>
    <s v="Operador"/>
    <s v="2º Turno"/>
    <x v="0"/>
    <s v="Não"/>
    <x v="0"/>
    <d v="2026-05-16T00:00:00"/>
    <d v="2026-05-01T00:00:00"/>
    <s v="sex"/>
    <x v="0"/>
    <x v="1"/>
    <m/>
    <s v="169246158"/>
  </r>
  <r>
    <n v="1694"/>
    <n v="26"/>
    <s v="Feminino"/>
    <s v="Montagem"/>
    <s v="Operador"/>
    <s v="3º Turno"/>
    <x v="0"/>
    <s v="Não"/>
    <x v="1"/>
    <d v="2026-04-19T00:00:00"/>
    <d v="2026-04-01T00:00:00"/>
    <s v="dom"/>
    <x v="2"/>
    <x v="0"/>
    <m/>
    <s v="169446131"/>
  </r>
  <r>
    <n v="1694"/>
    <n v="26"/>
    <s v="Feminino"/>
    <s v="Montagem"/>
    <s v="Operador"/>
    <s v="3º Turno"/>
    <x v="0"/>
    <s v="Não"/>
    <x v="1"/>
    <d v="2026-04-30T00:00:00"/>
    <d v="2026-04-01T00:00:00"/>
    <s v="sáb"/>
    <x v="2"/>
    <x v="1"/>
    <m/>
    <s v="169446142"/>
  </r>
  <r>
    <n v="1697"/>
    <n v="32"/>
    <s v="Feminino"/>
    <s v="Pintura"/>
    <s v="Operador"/>
    <s v="3º Turno"/>
    <x v="0"/>
    <s v="Não"/>
    <x v="1"/>
    <d v="2026-04-30T00:00:00"/>
    <d v="2026-04-01T00:00:00"/>
    <s v="qui"/>
    <x v="2"/>
    <x v="0"/>
    <m/>
    <s v="169746142"/>
  </r>
  <r>
    <n v="1697"/>
    <n v="32"/>
    <s v="Feminino"/>
    <s v="Pintura"/>
    <s v="Operador"/>
    <s v="3º Turno"/>
    <x v="0"/>
    <s v="Não"/>
    <x v="1"/>
    <d v="2026-05-15T00:00:00"/>
    <d v="2026-05-01T00:00:00"/>
    <s v="qui"/>
    <x v="0"/>
    <x v="1"/>
    <m/>
    <s v="169746157"/>
  </r>
  <r>
    <n v="1700"/>
    <n v="32"/>
    <s v="Masculino"/>
    <s v="Montagem"/>
    <s v="Operador"/>
    <s v="2º Turno"/>
    <x v="0"/>
    <s v="Não"/>
    <x v="0"/>
    <d v="2026-05-04T00:00:00"/>
    <d v="2026-05-01T00:00:00"/>
    <s v="seg"/>
    <x v="0"/>
    <x v="0"/>
    <m/>
    <s v="170046146"/>
  </r>
  <r>
    <n v="1700"/>
    <n v="32"/>
    <s v="Masculino"/>
    <s v="Montagem"/>
    <s v="Operador"/>
    <s v="2º Turno"/>
    <x v="0"/>
    <s v="Não"/>
    <x v="0"/>
    <d v="2026-04-15T00:00:00"/>
    <d v="2026-04-01T00:00:00"/>
    <s v="qua"/>
    <x v="2"/>
    <x v="0"/>
    <m/>
    <s v="170046127"/>
  </r>
  <r>
    <n v="1700"/>
    <n v="32"/>
    <s v="Masculino"/>
    <s v="Montagem"/>
    <s v="Operador"/>
    <s v="2º Turno"/>
    <x v="0"/>
    <s v="Não"/>
    <x v="0"/>
    <d v="2026-04-11T00:00:00"/>
    <d v="2026-04-01T00:00:00"/>
    <s v="sex"/>
    <x v="2"/>
    <x v="1"/>
    <m/>
    <s v="170046123"/>
  </r>
  <r>
    <n v="1700"/>
    <n v="32"/>
    <s v="Masculino"/>
    <s v="Montagem"/>
    <s v="Operador"/>
    <s v="2º Turno"/>
    <x v="0"/>
    <s v="Não"/>
    <x v="0"/>
    <d v="2026-05-10T00:00:00"/>
    <d v="2026-05-01T00:00:00"/>
    <s v="ter"/>
    <x v="2"/>
    <x v="1"/>
    <m/>
    <s v="170046152"/>
  </r>
  <r>
    <n v="1701"/>
    <n v="48"/>
    <s v="Feminino"/>
    <s v="Montagem"/>
    <s v="Operador"/>
    <s v="1º Turno"/>
    <x v="0"/>
    <s v="Não"/>
    <x v="1"/>
    <d v="2026-04-29T00:00:00"/>
    <d v="2026-04-01T00:00:00"/>
    <s v="qua"/>
    <x v="2"/>
    <x v="0"/>
    <m/>
    <s v="170146141"/>
  </r>
  <r>
    <n v="1701"/>
    <n v="48"/>
    <s v="Feminino"/>
    <s v="Montagem"/>
    <s v="Operador"/>
    <s v="1º Turno"/>
    <x v="0"/>
    <s v="Não"/>
    <x v="1"/>
    <d v="2026-05-25T00:00:00"/>
    <d v="2026-05-01T00:00:00"/>
    <s v="seg"/>
    <x v="0"/>
    <x v="0"/>
    <m/>
    <s v="170146167"/>
  </r>
  <r>
    <n v="1701"/>
    <n v="48"/>
    <s v="Feminino"/>
    <s v="Montagem"/>
    <s v="Operador"/>
    <s v="1º Turno"/>
    <x v="0"/>
    <s v="Não"/>
    <x v="1"/>
    <d v="2026-05-05T00:00:00"/>
    <d v="2026-05-01T00:00:00"/>
    <s v="seg"/>
    <x v="0"/>
    <x v="1"/>
    <m/>
    <s v="170146147"/>
  </r>
  <r>
    <n v="1701"/>
    <n v="48"/>
    <s v="Feminino"/>
    <s v="Montagem"/>
    <s v="Operador"/>
    <s v="1º Turno"/>
    <x v="0"/>
    <s v="Não"/>
    <x v="1"/>
    <d v="2026-04-28T00:00:00"/>
    <d v="2026-04-01T00:00:00"/>
    <s v="dom"/>
    <x v="0"/>
    <x v="1"/>
    <m/>
    <s v="170146140"/>
  </r>
  <r>
    <n v="1707"/>
    <n v="45"/>
    <s v="Masculino"/>
    <s v="Pintura"/>
    <s v="Operador"/>
    <s v="2º Turno"/>
    <x v="0"/>
    <s v="Não"/>
    <x v="0"/>
    <d v="2026-04-23T00:00:00"/>
    <d v="2026-04-01T00:00:00"/>
    <s v="qui"/>
    <x v="2"/>
    <x v="0"/>
    <m/>
    <s v="170746135"/>
  </r>
  <r>
    <n v="1707"/>
    <n v="45"/>
    <s v="Masculino"/>
    <s v="Pintura"/>
    <s v="Operador"/>
    <s v="2º Turno"/>
    <x v="0"/>
    <s v="Não"/>
    <x v="0"/>
    <d v="2026-05-27T00:00:00"/>
    <d v="2026-05-01T00:00:00"/>
    <s v="ter"/>
    <x v="0"/>
    <x v="1"/>
    <m/>
    <s v="170746169"/>
  </r>
  <r>
    <n v="1711"/>
    <n v="38"/>
    <s v="Feminino"/>
    <s v="Logistica"/>
    <s v="Operador"/>
    <s v="3º Turno"/>
    <x v="0"/>
    <s v="Não"/>
    <x v="2"/>
    <d v="2026-04-23T00:00:00"/>
    <d v="2026-04-01T00:00:00"/>
    <s v="qui"/>
    <x v="2"/>
    <x v="0"/>
    <m/>
    <s v="171146135"/>
  </r>
  <r>
    <n v="1711"/>
    <n v="38"/>
    <s v="Feminino"/>
    <s v="Logistica"/>
    <s v="Operador"/>
    <s v="3º Turno"/>
    <x v="0"/>
    <s v="Não"/>
    <x v="2"/>
    <d v="2026-04-15T00:00:00"/>
    <d v="2026-04-01T00:00:00"/>
    <s v="ter"/>
    <x v="2"/>
    <x v="1"/>
    <m/>
    <s v="171146127"/>
  </r>
  <r>
    <n v="1712"/>
    <n v="43"/>
    <s v="Masculino"/>
    <s v="Pintura"/>
    <s v="Operador"/>
    <s v="1º Turno"/>
    <x v="0"/>
    <s v="Não"/>
    <x v="0"/>
    <d v="2026-04-28T00:00:00"/>
    <d v="2026-04-01T00:00:00"/>
    <s v="ter"/>
    <x v="2"/>
    <x v="0"/>
    <m/>
    <s v="171246140"/>
  </r>
  <r>
    <n v="1712"/>
    <n v="43"/>
    <s v="Masculino"/>
    <s v="Pintura"/>
    <s v="Operador"/>
    <s v="1º Turno"/>
    <x v="0"/>
    <s v="Não"/>
    <x v="0"/>
    <d v="2026-05-10T00:00:00"/>
    <d v="2026-05-01T00:00:00"/>
    <s v="sáb"/>
    <x v="0"/>
    <x v="1"/>
    <m/>
    <s v="171246152"/>
  </r>
  <r>
    <n v="1715"/>
    <n v="22"/>
    <s v="Masculino"/>
    <s v="Soldagem"/>
    <s v="Operador"/>
    <s v="2º Turno"/>
    <x v="0"/>
    <s v="Não"/>
    <x v="2"/>
    <d v="2026-04-23T00:00:00"/>
    <d v="2026-04-01T00:00:00"/>
    <s v="qui"/>
    <x v="2"/>
    <x v="0"/>
    <m/>
    <s v="171546135"/>
  </r>
  <r>
    <n v="1715"/>
    <n v="22"/>
    <s v="Masculino"/>
    <s v="Soldagem"/>
    <s v="Operador"/>
    <s v="2º Turno"/>
    <x v="0"/>
    <s v="Não"/>
    <x v="2"/>
    <d v="2026-05-13T00:00:00"/>
    <d v="2026-05-01T00:00:00"/>
    <s v="qua"/>
    <x v="0"/>
    <x v="0"/>
    <m/>
    <s v="171546155"/>
  </r>
  <r>
    <n v="1715"/>
    <n v="22"/>
    <s v="Masculino"/>
    <s v="Soldagem"/>
    <s v="Operador"/>
    <s v="2º Turno"/>
    <x v="0"/>
    <s v="Não"/>
    <x v="2"/>
    <d v="2026-04-19T00:00:00"/>
    <d v="2026-04-01T00:00:00"/>
    <s v="sáb"/>
    <x v="2"/>
    <x v="1"/>
    <m/>
    <s v="171546131"/>
  </r>
  <r>
    <n v="1715"/>
    <n v="22"/>
    <s v="Masculino"/>
    <s v="Soldagem"/>
    <s v="Operador"/>
    <s v="2º Turno"/>
    <x v="0"/>
    <s v="Não"/>
    <x v="2"/>
    <d v="2026-04-28T00:00:00"/>
    <d v="2026-04-01T00:00:00"/>
    <s v="ter"/>
    <x v="0"/>
    <x v="1"/>
    <m/>
    <s v="171546140"/>
  </r>
  <r>
    <n v="1716"/>
    <n v="21"/>
    <s v="Masculino"/>
    <s v="Logistica"/>
    <s v="Operador"/>
    <s v="1º Turno"/>
    <x v="0"/>
    <s v="Não"/>
    <x v="0"/>
    <d v="2026-05-07T00:00:00"/>
    <d v="2026-05-01T00:00:00"/>
    <s v="qui"/>
    <x v="0"/>
    <x v="0"/>
    <m/>
    <s v="171646149"/>
  </r>
  <r>
    <n v="1716"/>
    <n v="21"/>
    <s v="Masculino"/>
    <s v="Logistica"/>
    <s v="Operador"/>
    <s v="1º Turno"/>
    <x v="0"/>
    <s v="Não"/>
    <x v="0"/>
    <d v="2026-04-23T00:00:00"/>
    <d v="2026-04-01T00:00:00"/>
    <s v="qua"/>
    <x v="0"/>
    <x v="1"/>
    <m/>
    <s v="171646135"/>
  </r>
  <r>
    <n v="1717"/>
    <n v="54"/>
    <s v="Feminino"/>
    <s v="Montagem"/>
    <s v="Operador"/>
    <s v="2º Turno"/>
    <x v="0"/>
    <s v="Não"/>
    <x v="0"/>
    <d v="2026-05-09T00:00:00"/>
    <d v="2026-05-01T00:00:00"/>
    <s v="sáb"/>
    <x v="0"/>
    <x v="0"/>
    <m/>
    <s v="171746151"/>
  </r>
  <r>
    <n v="1717"/>
    <n v="54"/>
    <s v="Feminino"/>
    <s v="Montagem"/>
    <s v="Operador"/>
    <s v="2º Turno"/>
    <x v="0"/>
    <s v="Não"/>
    <x v="0"/>
    <d v="2026-04-23T00:00:00"/>
    <d v="2026-04-01T00:00:00"/>
    <s v="sex"/>
    <x v="0"/>
    <x v="1"/>
    <m/>
    <s v="171746135"/>
  </r>
  <r>
    <n v="1722"/>
    <n v="29"/>
    <s v="Feminino"/>
    <s v="Montagem"/>
    <s v="Operador"/>
    <s v="2º Turno"/>
    <x v="0"/>
    <s v="Não"/>
    <x v="0"/>
    <d v="2026-04-28T00:00:00"/>
    <d v="2026-04-01T00:00:00"/>
    <s v="ter"/>
    <x v="2"/>
    <x v="0"/>
    <m/>
    <s v="172246140"/>
  </r>
  <r>
    <n v="1722"/>
    <n v="29"/>
    <s v="Feminino"/>
    <s v="Montagem"/>
    <s v="Operador"/>
    <s v="2º Turno"/>
    <x v="0"/>
    <s v="Não"/>
    <x v="0"/>
    <d v="2026-05-10T00:00:00"/>
    <d v="2026-05-01T00:00:00"/>
    <s v="dom"/>
    <x v="0"/>
    <x v="0"/>
    <m/>
    <s v="172246152"/>
  </r>
  <r>
    <n v="1722"/>
    <n v="29"/>
    <s v="Feminino"/>
    <s v="Montagem"/>
    <s v="Operador"/>
    <s v="2º Turno"/>
    <x v="0"/>
    <s v="Não"/>
    <x v="0"/>
    <d v="2026-04-22T00:00:00"/>
    <d v="2026-04-01T00:00:00"/>
    <s v="ter"/>
    <x v="2"/>
    <x v="1"/>
    <m/>
    <s v="172246134"/>
  </r>
  <r>
    <n v="1722"/>
    <n v="29"/>
    <s v="Feminino"/>
    <s v="Montagem"/>
    <s v="Operador"/>
    <s v="2º Turno"/>
    <x v="0"/>
    <s v="Não"/>
    <x v="0"/>
    <d v="2026-03-20T00:00:00"/>
    <d v="2026-03-01T00:00:00"/>
    <s v="sáb"/>
    <x v="0"/>
    <x v="1"/>
    <m/>
    <s v="172246101"/>
  </r>
  <r>
    <n v="1730"/>
    <n v="27"/>
    <s v="Masculino"/>
    <s v="Montagem"/>
    <s v="Operador"/>
    <s v="2º Turno"/>
    <x v="0"/>
    <s v="Não"/>
    <x v="0"/>
    <d v="2026-05-21T00:00:00"/>
    <d v="2026-05-01T00:00:00"/>
    <s v="qui"/>
    <x v="0"/>
    <x v="0"/>
    <m/>
    <s v="173046163"/>
  </r>
  <r>
    <n v="1730"/>
    <n v="27"/>
    <s v="Masculino"/>
    <s v="Montagem"/>
    <s v="Operador"/>
    <s v="2º Turno"/>
    <x v="0"/>
    <s v="Não"/>
    <x v="0"/>
    <d v="2026-04-23T00:00:00"/>
    <d v="2026-04-01T00:00:00"/>
    <s v="qua"/>
    <x v="0"/>
    <x v="1"/>
    <m/>
    <s v="173046135"/>
  </r>
  <r>
    <n v="1732"/>
    <n v="23"/>
    <s v="Masculino"/>
    <s v="Montagem"/>
    <s v="Operador"/>
    <s v="3º Turno"/>
    <x v="0"/>
    <s v="Não"/>
    <x v="2"/>
    <d v="2026-05-30T00:00:00"/>
    <d v="2026-05-01T00:00:00"/>
    <s v="sáb"/>
    <x v="0"/>
    <x v="0"/>
    <m/>
    <s v="173246172"/>
  </r>
  <r>
    <n v="1732"/>
    <n v="23"/>
    <s v="Masculino"/>
    <s v="Montagem"/>
    <s v="Operador"/>
    <s v="3º Turno"/>
    <x v="0"/>
    <s v="Não"/>
    <x v="2"/>
    <d v="2026-04-25T00:00:00"/>
    <d v="2026-04-01T00:00:00"/>
    <s v="sex"/>
    <x v="0"/>
    <x v="1"/>
    <m/>
    <s v="173246137"/>
  </r>
  <r>
    <n v="1736"/>
    <n v="21"/>
    <s v="Masculino"/>
    <s v="Montagem"/>
    <s v="Operador"/>
    <s v="2º Turno"/>
    <x v="0"/>
    <s v="Não"/>
    <x v="2"/>
    <d v="2026-04-28T00:00:00"/>
    <d v="2026-04-01T00:00:00"/>
    <s v="ter"/>
    <x v="2"/>
    <x v="0"/>
    <m/>
    <s v="173646140"/>
  </r>
  <r>
    <n v="1736"/>
    <n v="21"/>
    <s v="Masculino"/>
    <s v="Montagem"/>
    <s v="Operador"/>
    <s v="2º Turno"/>
    <x v="0"/>
    <s v="Não"/>
    <x v="2"/>
    <d v="2026-05-24T00:00:00"/>
    <d v="2026-05-01T00:00:00"/>
    <s v="dom"/>
    <x v="0"/>
    <x v="0"/>
    <m/>
    <s v="173646166"/>
  </r>
  <r>
    <n v="1736"/>
    <n v="21"/>
    <s v="Masculino"/>
    <s v="Montagem"/>
    <s v="Operador"/>
    <s v="2º Turno"/>
    <x v="0"/>
    <s v="Não"/>
    <x v="2"/>
    <d v="2026-05-20T00:00:00"/>
    <d v="2026-05-01T00:00:00"/>
    <s v="ter"/>
    <x v="0"/>
    <x v="1"/>
    <m/>
    <s v="173646162"/>
  </r>
  <r>
    <n v="1736"/>
    <n v="21"/>
    <s v="Masculino"/>
    <s v="Montagem"/>
    <s v="Operador"/>
    <s v="2º Turno"/>
    <x v="0"/>
    <s v="Não"/>
    <x v="2"/>
    <d v="2026-03-11T00:00:00"/>
    <d v="2026-03-01T00:00:00"/>
    <s v="sáb"/>
    <x v="0"/>
    <x v="1"/>
    <m/>
    <s v="173646092"/>
  </r>
  <r>
    <n v="1738"/>
    <n v="23"/>
    <s v="Masculino"/>
    <s v="Pintura"/>
    <s v="Operador"/>
    <s v="2º Turno"/>
    <x v="0"/>
    <s v="Não"/>
    <x v="0"/>
    <d v="2026-05-30T00:00:00"/>
    <d v="2026-05-01T00:00:00"/>
    <s v="sáb"/>
    <x v="0"/>
    <x v="0"/>
    <m/>
    <s v="173846172"/>
  </r>
  <r>
    <n v="1738"/>
    <n v="23"/>
    <s v="Masculino"/>
    <s v="Pintura"/>
    <s v="Operador"/>
    <s v="2º Turno"/>
    <x v="0"/>
    <s v="Não"/>
    <x v="0"/>
    <d v="2026-04-23T00:00:00"/>
    <d v="2026-04-01T00:00:00"/>
    <s v="sex"/>
    <x v="0"/>
    <x v="1"/>
    <m/>
    <s v="173846135"/>
  </r>
  <r>
    <n v="1746"/>
    <n v="54"/>
    <s v="Feminino"/>
    <s v="Montagem"/>
    <s v="Operador"/>
    <s v="2º Turno"/>
    <x v="0"/>
    <s v="Não"/>
    <x v="0"/>
    <d v="2026-06-10T00:00:00"/>
    <d v="2026-06-01T00:00:00"/>
    <s v="qua"/>
    <x v="1"/>
    <x v="0"/>
    <m/>
    <s v="174646183"/>
  </r>
  <r>
    <n v="1746"/>
    <n v="54"/>
    <s v="Feminino"/>
    <s v="Montagem"/>
    <s v="Operador"/>
    <s v="2º Turno"/>
    <x v="0"/>
    <s v="Não"/>
    <x v="0"/>
    <d v="2026-05-08T00:00:00"/>
    <d v="2026-05-01T00:00:00"/>
    <s v="sex"/>
    <x v="0"/>
    <x v="0"/>
    <m/>
    <s v="174646150"/>
  </r>
  <r>
    <n v="1746"/>
    <n v="54"/>
    <s v="Feminino"/>
    <s v="Montagem"/>
    <s v="Operador"/>
    <s v="2º Turno"/>
    <x v="0"/>
    <s v="Não"/>
    <x v="0"/>
    <d v="2026-04-28T00:00:00"/>
    <d v="2026-04-01T00:00:00"/>
    <s v="ter"/>
    <x v="2"/>
    <x v="0"/>
    <m/>
    <s v="174646140"/>
  </r>
  <r>
    <n v="1746"/>
    <n v="54"/>
    <s v="Feminino"/>
    <s v="Montagem"/>
    <s v="Operador"/>
    <s v="2º Turno"/>
    <x v="0"/>
    <s v="Não"/>
    <x v="0"/>
    <d v="2026-05-01T00:00:00"/>
    <d v="2026-05-01T00:00:00"/>
    <s v="qui"/>
    <x v="0"/>
    <x v="1"/>
    <m/>
    <s v="174646143"/>
  </r>
  <r>
    <n v="1746"/>
    <n v="54"/>
    <s v="Feminino"/>
    <s v="Montagem"/>
    <s v="Operador"/>
    <s v="2º Turno"/>
    <x v="0"/>
    <s v="Não"/>
    <x v="0"/>
    <d v="2026-04-25T00:00:00"/>
    <d v="2026-04-01T00:00:00"/>
    <s v="qui"/>
    <x v="0"/>
    <x v="1"/>
    <m/>
    <s v="174646137"/>
  </r>
  <r>
    <n v="1746"/>
    <n v="54"/>
    <s v="Feminino"/>
    <s v="Montagem"/>
    <s v="Operador"/>
    <s v="2º Turno"/>
    <x v="0"/>
    <s v="Não"/>
    <x v="0"/>
    <d v="2026-05-13T00:00:00"/>
    <d v="2026-05-01T00:00:00"/>
    <s v="ter"/>
    <x v="0"/>
    <x v="1"/>
    <m/>
    <s v="174646155"/>
  </r>
  <r>
    <n v="1747"/>
    <n v="26"/>
    <s v="Masculino"/>
    <s v="Soldagem"/>
    <s v="Operador"/>
    <s v="1º Turno"/>
    <x v="0"/>
    <s v="Não"/>
    <x v="1"/>
    <d v="2026-05-11T00:00:00"/>
    <d v="2026-05-01T00:00:00"/>
    <s v="seg"/>
    <x v="0"/>
    <x v="0"/>
    <m/>
    <s v="174746153"/>
  </r>
  <r>
    <n v="1747"/>
    <n v="26"/>
    <s v="Masculino"/>
    <s v="Soldagem"/>
    <s v="Operador"/>
    <s v="1º Turno"/>
    <x v="0"/>
    <s v="Não"/>
    <x v="1"/>
    <d v="2026-05-13T00:00:00"/>
    <d v="2026-05-01T00:00:00"/>
    <s v="qua"/>
    <x v="0"/>
    <x v="0"/>
    <m/>
    <s v="174746155"/>
  </r>
  <r>
    <n v="1747"/>
    <n v="26"/>
    <s v="Masculino"/>
    <s v="Soldagem"/>
    <s v="Operador"/>
    <s v="1º Turno"/>
    <x v="0"/>
    <s v="Não"/>
    <x v="1"/>
    <d v="2026-03-11T00:00:00"/>
    <d v="2026-03-01T00:00:00"/>
    <s v="dom"/>
    <x v="0"/>
    <x v="1"/>
    <m/>
    <s v="174746092"/>
  </r>
  <r>
    <n v="1747"/>
    <n v="26"/>
    <s v="Masculino"/>
    <s v="Soldagem"/>
    <s v="Operador"/>
    <s v="1º Turno"/>
    <x v="0"/>
    <s v="Não"/>
    <x v="1"/>
    <d v="2026-04-23T00:00:00"/>
    <d v="2026-04-01T00:00:00"/>
    <s v="ter"/>
    <x v="0"/>
    <x v="1"/>
    <m/>
    <s v="174746135"/>
  </r>
  <r>
    <n v="1754"/>
    <n v="28"/>
    <s v="Masculino"/>
    <s v="Qualidade"/>
    <s v="Inspetor"/>
    <s v="2º Turno"/>
    <x v="0"/>
    <s v="Não"/>
    <x v="0"/>
    <d v="2026-04-11T00:00:00"/>
    <d v="2026-04-01T00:00:00"/>
    <s v="sáb"/>
    <x v="2"/>
    <x v="0"/>
    <m/>
    <s v="175446123"/>
  </r>
  <r>
    <n v="1754"/>
    <n v="28"/>
    <s v="Masculino"/>
    <s v="Qualidade"/>
    <s v="Inspetor"/>
    <s v="2º Turno"/>
    <x v="0"/>
    <s v="Não"/>
    <x v="0"/>
    <d v="2026-03-11T00:00:00"/>
    <d v="2026-03-01T00:00:00"/>
    <s v="sex"/>
    <x v="2"/>
    <x v="1"/>
    <m/>
    <s v="175446092"/>
  </r>
  <r>
    <n v="1756"/>
    <n v="41"/>
    <s v="Masculino"/>
    <s v="Soldagem"/>
    <s v="Operador"/>
    <s v="2º Turno"/>
    <x v="0"/>
    <s v="Não"/>
    <x v="0"/>
    <d v="2026-05-13T00:00:00"/>
    <d v="2026-05-01T00:00:00"/>
    <s v="qua"/>
    <x v="0"/>
    <x v="0"/>
    <m/>
    <s v="175646155"/>
  </r>
  <r>
    <n v="1756"/>
    <n v="41"/>
    <s v="Masculino"/>
    <s v="Soldagem"/>
    <s v="Operador"/>
    <s v="2º Turno"/>
    <x v="0"/>
    <s v="Não"/>
    <x v="0"/>
    <d v="2026-06-10T00:00:00"/>
    <d v="2026-06-01T00:00:00"/>
    <s v="qua"/>
    <x v="1"/>
    <x v="0"/>
    <m/>
    <s v="175646183"/>
  </r>
  <r>
    <n v="1756"/>
    <n v="41"/>
    <s v="Masculino"/>
    <s v="Soldagem"/>
    <s v="Operador"/>
    <s v="2º Turno"/>
    <x v="0"/>
    <s v="Não"/>
    <x v="0"/>
    <d v="2026-04-25T00:00:00"/>
    <d v="2026-04-01T00:00:00"/>
    <s v="ter"/>
    <x v="0"/>
    <x v="1"/>
    <m/>
    <s v="175646137"/>
  </r>
  <r>
    <n v="1756"/>
    <n v="41"/>
    <s v="Masculino"/>
    <s v="Soldagem"/>
    <s v="Operador"/>
    <s v="2º Turno"/>
    <x v="0"/>
    <s v="Não"/>
    <x v="0"/>
    <d v="2026-05-24T00:00:00"/>
    <d v="2026-05-01T00:00:00"/>
    <s v="sáb"/>
    <x v="0"/>
    <x v="1"/>
    <m/>
    <s v="175646166"/>
  </r>
  <r>
    <n v="1759"/>
    <n v="57"/>
    <s v="Masculino"/>
    <s v="Montagem"/>
    <s v="Operador"/>
    <s v="3º Turno"/>
    <x v="1"/>
    <s v="Não"/>
    <x v="0"/>
    <d v="2026-04-23T00:00:00"/>
    <d v="2026-04-01T00:00:00"/>
    <s v="qui"/>
    <x v="2"/>
    <x v="0"/>
    <m/>
    <s v="175946135"/>
  </r>
  <r>
    <n v="1759"/>
    <n v="57"/>
    <s v="Masculino"/>
    <s v="Montagem"/>
    <s v="Operador"/>
    <s v="3º Turno"/>
    <x v="1"/>
    <s v="Não"/>
    <x v="0"/>
    <d v="2026-05-27T00:00:00"/>
    <d v="2026-05-01T00:00:00"/>
    <s v="ter"/>
    <x v="0"/>
    <x v="1"/>
    <m/>
    <s v="175946169"/>
  </r>
  <r>
    <n v="1768"/>
    <n v="44"/>
    <s v="Masculino"/>
    <s v="Pintura"/>
    <s v="Operador"/>
    <s v="1º Turno"/>
    <x v="0"/>
    <s v="Não"/>
    <x v="1"/>
    <d v="2026-03-11T00:00:00"/>
    <d v="2026-03-01T00:00:00"/>
    <s v="qua"/>
    <x v="4"/>
    <x v="0"/>
    <m/>
    <s v="176846092"/>
  </r>
  <r>
    <n v="1768"/>
    <n v="44"/>
    <s v="Masculino"/>
    <s v="Pintura"/>
    <s v="Operador"/>
    <s v="1º Turno"/>
    <x v="0"/>
    <s v="Não"/>
    <x v="1"/>
    <d v="2026-05-29T00:00:00"/>
    <d v="2026-05-01T00:00:00"/>
    <s v="qui"/>
    <x v="0"/>
    <x v="1"/>
    <m/>
    <s v="176846171"/>
  </r>
  <r>
    <n v="1770"/>
    <n v="29"/>
    <s v="Feminino"/>
    <s v="Qualidade"/>
    <s v="Inspetor"/>
    <s v="2º Turno"/>
    <x v="0"/>
    <s v="Não"/>
    <x v="2"/>
    <d v="2026-04-28T00:00:00"/>
    <d v="2026-04-01T00:00:00"/>
    <s v="ter"/>
    <x v="2"/>
    <x v="0"/>
    <m/>
    <s v="177046140"/>
  </r>
  <r>
    <n v="1770"/>
    <n v="29"/>
    <s v="Feminino"/>
    <s v="Qualidade"/>
    <s v="Inspetor"/>
    <s v="2º Turno"/>
    <x v="0"/>
    <s v="Não"/>
    <x v="2"/>
    <d v="2026-05-29T00:00:00"/>
    <d v="2026-05-01T00:00:00"/>
    <s v="sex"/>
    <x v="0"/>
    <x v="0"/>
    <m/>
    <s v="177046171"/>
  </r>
  <r>
    <n v="1770"/>
    <n v="29"/>
    <s v="Feminino"/>
    <s v="Qualidade"/>
    <s v="Inspetor"/>
    <s v="2º Turno"/>
    <x v="0"/>
    <s v="Não"/>
    <x v="2"/>
    <d v="2026-04-12T00:00:00"/>
    <d v="2026-04-01T00:00:00"/>
    <s v="sáb"/>
    <x v="2"/>
    <x v="1"/>
    <m/>
    <s v="177046124"/>
  </r>
  <r>
    <n v="1770"/>
    <n v="29"/>
    <s v="Feminino"/>
    <s v="Qualidade"/>
    <s v="Inspetor"/>
    <s v="2º Turno"/>
    <x v="0"/>
    <s v="Não"/>
    <x v="2"/>
    <d v="2026-04-23T00:00:00"/>
    <d v="2026-04-01T00:00:00"/>
    <s v="qui"/>
    <x v="0"/>
    <x v="1"/>
    <m/>
    <s v="177046135"/>
  </r>
  <r>
    <n v="1771"/>
    <n v="52"/>
    <s v="Masculino"/>
    <s v="Logistica"/>
    <s v="Operador"/>
    <s v="1º Turno"/>
    <x v="1"/>
    <s v="Não"/>
    <x v="0"/>
    <d v="2026-04-10T00:00:00"/>
    <d v="2026-04-01T00:00:00"/>
    <s v="sex"/>
    <x v="2"/>
    <x v="0"/>
    <m/>
    <s v="177146122"/>
  </r>
  <r>
    <n v="1771"/>
    <n v="52"/>
    <s v="Masculino"/>
    <s v="Logistica"/>
    <s v="Operador"/>
    <s v="1º Turno"/>
    <x v="1"/>
    <s v="Não"/>
    <x v="0"/>
    <d v="2026-05-06T00:00:00"/>
    <d v="2026-05-01T00:00:00"/>
    <s v="ter"/>
    <x v="0"/>
    <x v="1"/>
    <m/>
    <s v="177146148"/>
  </r>
  <r>
    <n v="1774"/>
    <n v="46"/>
    <s v="Masculino"/>
    <s v="Qualidade"/>
    <s v="Inspetor"/>
    <s v="3º Turno"/>
    <x v="0"/>
    <s v="Não"/>
    <x v="2"/>
    <d v="2026-04-14T00:00:00"/>
    <d v="2026-04-01T00:00:00"/>
    <s v="ter"/>
    <x v="2"/>
    <x v="0"/>
    <m/>
    <s v="177446126"/>
  </r>
  <r>
    <n v="1774"/>
    <n v="46"/>
    <s v="Masculino"/>
    <s v="Qualidade"/>
    <s v="Inspetor"/>
    <s v="3º Turno"/>
    <x v="0"/>
    <s v="Não"/>
    <x v="2"/>
    <d v="2026-04-23T00:00:00"/>
    <d v="2026-04-01T00:00:00"/>
    <s v="qui"/>
    <x v="2"/>
    <x v="0"/>
    <m/>
    <s v="177446135"/>
  </r>
  <r>
    <n v="1774"/>
    <n v="46"/>
    <s v="Masculino"/>
    <s v="Qualidade"/>
    <s v="Inspetor"/>
    <s v="3º Turno"/>
    <x v="0"/>
    <s v="Não"/>
    <x v="2"/>
    <d v="2026-03-11T00:00:00"/>
    <d v="2026-03-01T00:00:00"/>
    <s v="seg"/>
    <x v="2"/>
    <x v="1"/>
    <m/>
    <s v="177446092"/>
  </r>
  <r>
    <n v="1774"/>
    <n v="46"/>
    <s v="Masculino"/>
    <s v="Qualidade"/>
    <s v="Inspetor"/>
    <s v="3º Turno"/>
    <x v="0"/>
    <s v="Não"/>
    <x v="2"/>
    <d v="2026-05-13T00:00:00"/>
    <d v="2026-05-01T00:00:00"/>
    <s v="ter"/>
    <x v="0"/>
    <x v="1"/>
    <m/>
    <s v="177446155"/>
  </r>
  <r>
    <n v="1778"/>
    <n v="27"/>
    <s v="Feminino"/>
    <s v="Montagem"/>
    <s v="Operador"/>
    <s v="3º Turno"/>
    <x v="0"/>
    <s v="Não"/>
    <x v="1"/>
    <d v="2026-06-10T00:00:00"/>
    <d v="2026-06-01T00:00:00"/>
    <s v="qua"/>
    <x v="1"/>
    <x v="0"/>
    <m/>
    <s v="177846183"/>
  </r>
  <r>
    <n v="1778"/>
    <n v="27"/>
    <s v="Feminino"/>
    <s v="Montagem"/>
    <s v="Operador"/>
    <s v="3º Turno"/>
    <x v="0"/>
    <s v="Não"/>
    <x v="1"/>
    <d v="2026-05-13T00:00:00"/>
    <d v="2026-05-01T00:00:00"/>
    <s v="ter"/>
    <x v="0"/>
    <x v="1"/>
    <m/>
    <s v="177846155"/>
  </r>
  <r>
    <n v="1791"/>
    <n v="30"/>
    <s v="Feminino"/>
    <s v="Pintura"/>
    <s v="Operador"/>
    <s v="2º Turno"/>
    <x v="0"/>
    <s v="Não"/>
    <x v="1"/>
    <d v="2026-04-10T00:00:00"/>
    <d v="2026-04-01T00:00:00"/>
    <s v="sex"/>
    <x v="2"/>
    <x v="0"/>
    <m/>
    <s v="179146122"/>
  </r>
  <r>
    <n v="1791"/>
    <n v="30"/>
    <s v="Feminino"/>
    <s v="Pintura"/>
    <s v="Operador"/>
    <s v="2º Turno"/>
    <x v="0"/>
    <s v="Não"/>
    <x v="1"/>
    <d v="2026-04-28T00:00:00"/>
    <d v="2026-04-01T00:00:00"/>
    <s v="ter"/>
    <x v="2"/>
    <x v="0"/>
    <m/>
    <s v="179146140"/>
  </r>
  <r>
    <n v="1791"/>
    <n v="30"/>
    <s v="Feminino"/>
    <s v="Pintura"/>
    <s v="Operador"/>
    <s v="2º Turno"/>
    <x v="0"/>
    <s v="Não"/>
    <x v="1"/>
    <d v="2026-05-14T00:00:00"/>
    <d v="2026-05-01T00:00:00"/>
    <s v="qua"/>
    <x v="0"/>
    <x v="1"/>
    <m/>
    <s v="179146156"/>
  </r>
  <r>
    <n v="1791"/>
    <n v="30"/>
    <s v="Feminino"/>
    <s v="Pintura"/>
    <s v="Operador"/>
    <s v="2º Turno"/>
    <x v="0"/>
    <s v="Não"/>
    <x v="1"/>
    <d v="2026-05-27T00:00:00"/>
    <d v="2026-05-01T00:00:00"/>
    <s v="ter"/>
    <x v="0"/>
    <x v="1"/>
    <m/>
    <s v="179146169"/>
  </r>
  <r>
    <n v="1794"/>
    <n v="30"/>
    <s v="Masculino"/>
    <s v="Montagem"/>
    <s v="Operador"/>
    <s v="3º Turno"/>
    <x v="0"/>
    <s v="Não"/>
    <x v="0"/>
    <d v="2026-04-14T00:00:00"/>
    <d v="2026-04-01T00:00:00"/>
    <s v="ter"/>
    <x v="2"/>
    <x v="0"/>
    <m/>
    <s v="179446126"/>
  </r>
  <r>
    <n v="1794"/>
    <n v="30"/>
    <s v="Masculino"/>
    <s v="Montagem"/>
    <s v="Operador"/>
    <s v="3º Turno"/>
    <x v="0"/>
    <s v="Não"/>
    <x v="0"/>
    <d v="2026-01-10T00:00:00"/>
    <d v="2026-01-01T00:00:00"/>
    <s v="seg"/>
    <x v="2"/>
    <x v="1"/>
    <m/>
    <s v="179446032"/>
  </r>
  <r>
    <n v="1796"/>
    <n v="22"/>
    <s v="Feminino"/>
    <s v="Logistica"/>
    <s v="Operador"/>
    <s v="2º Turno"/>
    <x v="0"/>
    <s v="Não"/>
    <x v="1"/>
    <d v="2026-04-24T00:00:00"/>
    <d v="2026-04-01T00:00:00"/>
    <s v="sex"/>
    <x v="2"/>
    <x v="0"/>
    <m/>
    <s v="179646136"/>
  </r>
  <r>
    <n v="1796"/>
    <n v="22"/>
    <s v="Feminino"/>
    <s v="Logistica"/>
    <s v="Operador"/>
    <s v="2º Turno"/>
    <x v="0"/>
    <s v="Não"/>
    <x v="1"/>
    <d v="2026-05-15T00:00:00"/>
    <d v="2026-05-01T00:00:00"/>
    <s v="sex"/>
    <x v="0"/>
    <x v="0"/>
    <m/>
    <s v="179646157"/>
  </r>
  <r>
    <n v="1796"/>
    <n v="22"/>
    <s v="Feminino"/>
    <s v="Logistica"/>
    <s v="Operador"/>
    <s v="2º Turno"/>
    <x v="0"/>
    <s v="Não"/>
    <x v="1"/>
    <d v="2026-04-28T00:00:00"/>
    <d v="2026-04-01T00:00:00"/>
    <s v="qui"/>
    <x v="2"/>
    <x v="1"/>
    <m/>
    <s v="179646140"/>
  </r>
  <r>
    <n v="1796"/>
    <n v="22"/>
    <s v="Feminino"/>
    <s v="Logistica"/>
    <s v="Operador"/>
    <s v="2º Turno"/>
    <x v="0"/>
    <s v="Não"/>
    <x v="1"/>
    <d v="2026-05-24T00:00:00"/>
    <d v="2026-05-01T00:00:00"/>
    <s v="qui"/>
    <x v="0"/>
    <x v="1"/>
    <m/>
    <s v="179646166"/>
  </r>
  <r>
    <n v="1797"/>
    <n v="57"/>
    <s v="Masculino"/>
    <s v="Pintura"/>
    <s v="Operador"/>
    <s v="1º Turno"/>
    <x v="0"/>
    <s v="Não"/>
    <x v="2"/>
    <d v="2026-05-05T00:00:00"/>
    <d v="2026-05-01T00:00:00"/>
    <s v="ter"/>
    <x v="0"/>
    <x v="0"/>
    <m/>
    <s v="179746147"/>
  </r>
  <r>
    <n v="1797"/>
    <n v="57"/>
    <s v="Masculino"/>
    <s v="Pintura"/>
    <s v="Operador"/>
    <s v="1º Turno"/>
    <x v="0"/>
    <s v="Não"/>
    <x v="2"/>
    <d v="2026-04-23T00:00:00"/>
    <d v="2026-04-01T00:00:00"/>
    <s v="seg"/>
    <x v="0"/>
    <x v="1"/>
    <m/>
    <s v="179746135"/>
  </r>
  <r>
    <n v="1803"/>
    <n v="55"/>
    <s v="Feminino"/>
    <s v="Logistica"/>
    <s v="Operador"/>
    <s v="3º Turno"/>
    <x v="0"/>
    <s v="Não"/>
    <x v="0"/>
    <d v="2026-04-10T00:00:00"/>
    <d v="2026-04-01T00:00:00"/>
    <s v="sex"/>
    <x v="2"/>
    <x v="0"/>
    <m/>
    <s v="180346122"/>
  </r>
  <r>
    <n v="1803"/>
    <n v="55"/>
    <s v="Feminino"/>
    <s v="Logistica"/>
    <s v="Operador"/>
    <s v="3º Turno"/>
    <x v="0"/>
    <s v="Não"/>
    <x v="0"/>
    <d v="2026-04-11T00:00:00"/>
    <d v="2026-04-01T00:00:00"/>
    <s v="sex"/>
    <x v="2"/>
    <x v="1"/>
    <m/>
    <s v="180346123"/>
  </r>
  <r>
    <n v="1809"/>
    <n v="23"/>
    <s v="Masculino"/>
    <s v="Logistica"/>
    <s v="Operador"/>
    <s v="1º Turno"/>
    <x v="0"/>
    <s v="Não"/>
    <x v="2"/>
    <d v="2026-04-23T00:00:00"/>
    <d v="2026-04-01T00:00:00"/>
    <s v="qui"/>
    <x v="2"/>
    <x v="0"/>
    <m/>
    <s v="180946135"/>
  </r>
  <r>
    <n v="1809"/>
    <n v="23"/>
    <s v="Masculino"/>
    <s v="Logistica"/>
    <s v="Operador"/>
    <s v="1º Turno"/>
    <x v="0"/>
    <s v="Não"/>
    <x v="2"/>
    <d v="2026-04-11T00:00:00"/>
    <d v="2026-04-01T00:00:00"/>
    <s v="sex"/>
    <x v="2"/>
    <x v="1"/>
    <m/>
    <s v="180946123"/>
  </r>
  <r>
    <n v="1810"/>
    <n v="28"/>
    <s v="Feminino"/>
    <s v="Montagem"/>
    <s v="Operador"/>
    <s v="2º Turno"/>
    <x v="0"/>
    <s v="Não"/>
    <x v="1"/>
    <d v="2026-04-28T00:00:00"/>
    <d v="2026-04-01T00:00:00"/>
    <s v="ter"/>
    <x v="2"/>
    <x v="0"/>
    <m/>
    <s v="181046140"/>
  </r>
  <r>
    <n v="1810"/>
    <n v="28"/>
    <s v="Feminino"/>
    <s v="Montagem"/>
    <s v="Operador"/>
    <s v="2º Turno"/>
    <x v="0"/>
    <s v="Não"/>
    <x v="1"/>
    <d v="2026-05-06T00:00:00"/>
    <d v="2026-05-01T00:00:00"/>
    <s v="ter"/>
    <x v="0"/>
    <x v="1"/>
    <m/>
    <s v="181046148"/>
  </r>
  <r>
    <n v="1811"/>
    <n v="41"/>
    <s v="Masculino"/>
    <s v="Qualidade"/>
    <s v="Inspetor"/>
    <s v="3º Turno"/>
    <x v="0"/>
    <s v="Não"/>
    <x v="0"/>
    <d v="2026-05-04T00:00:00"/>
    <d v="2026-05-01T00:00:00"/>
    <s v="seg"/>
    <x v="0"/>
    <x v="0"/>
    <m/>
    <s v="181146146"/>
  </r>
  <r>
    <n v="1811"/>
    <n v="41"/>
    <s v="Masculino"/>
    <s v="Qualidade"/>
    <s v="Inspetor"/>
    <s v="3º Turno"/>
    <x v="0"/>
    <s v="Não"/>
    <x v="0"/>
    <d v="2026-04-23T00:00:00"/>
    <d v="2026-04-01T00:00:00"/>
    <s v="qui"/>
    <x v="2"/>
    <x v="0"/>
    <m/>
    <s v="181146135"/>
  </r>
  <r>
    <n v="1811"/>
    <n v="41"/>
    <s v="Masculino"/>
    <s v="Qualidade"/>
    <s v="Inspetor"/>
    <s v="3º Turno"/>
    <x v="0"/>
    <s v="Não"/>
    <x v="0"/>
    <d v="2026-01-10T00:00:00"/>
    <d v="2026-01-01T00:00:00"/>
    <s v="dom"/>
    <x v="0"/>
    <x v="1"/>
    <m/>
    <s v="181146032"/>
  </r>
  <r>
    <n v="1811"/>
    <n v="41"/>
    <s v="Masculino"/>
    <s v="Qualidade"/>
    <s v="Inspetor"/>
    <s v="3º Turno"/>
    <x v="0"/>
    <s v="Não"/>
    <x v="0"/>
    <d v="2026-05-31T00:00:00"/>
    <d v="2026-05-01T00:00:00"/>
    <s v="sáb"/>
    <x v="0"/>
    <x v="1"/>
    <m/>
    <s v="181146173"/>
  </r>
  <r>
    <n v="1821"/>
    <n v="28"/>
    <s v="Feminino"/>
    <s v="Soldagem"/>
    <s v="Operador"/>
    <s v="3º Turno"/>
    <x v="0"/>
    <s v="Não"/>
    <x v="0"/>
    <d v="2026-04-16T00:00:00"/>
    <d v="2026-04-01T00:00:00"/>
    <s v="qui"/>
    <x v="2"/>
    <x v="0"/>
    <m/>
    <s v="182146128"/>
  </r>
  <r>
    <n v="1821"/>
    <n v="28"/>
    <s v="Feminino"/>
    <s v="Soldagem"/>
    <s v="Operador"/>
    <s v="3º Turno"/>
    <x v="0"/>
    <s v="Não"/>
    <x v="0"/>
    <d v="2026-04-23T00:00:00"/>
    <d v="2026-04-01T00:00:00"/>
    <s v="qua"/>
    <x v="2"/>
    <x v="1"/>
    <m/>
    <s v="182146135"/>
  </r>
  <r>
    <n v="1827"/>
    <n v="46"/>
    <s v="Feminino"/>
    <s v="Logistica"/>
    <s v="Operador"/>
    <s v="1º Turno"/>
    <x v="0"/>
    <s v="Não"/>
    <x v="1"/>
    <d v="2026-03-29T00:00:00"/>
    <d v="2026-03-01T00:00:00"/>
    <s v="dom"/>
    <x v="4"/>
    <x v="0"/>
    <m/>
    <s v="182746110"/>
  </r>
  <r>
    <n v="1827"/>
    <n v="46"/>
    <s v="Feminino"/>
    <s v="Logistica"/>
    <s v="Operador"/>
    <s v="1º Turno"/>
    <x v="0"/>
    <s v="Não"/>
    <x v="1"/>
    <d v="2026-05-05T00:00:00"/>
    <d v="2026-05-01T00:00:00"/>
    <s v="seg"/>
    <x v="0"/>
    <x v="1"/>
    <m/>
    <s v="182746147"/>
  </r>
  <r>
    <n v="1828"/>
    <n v="49"/>
    <s v="Masculino"/>
    <s v="Pintura"/>
    <s v="Operador"/>
    <s v="2º Turno"/>
    <x v="0"/>
    <s v="Não"/>
    <x v="2"/>
    <d v="2026-05-16T00:00:00"/>
    <d v="2026-05-01T00:00:00"/>
    <s v="sáb"/>
    <x v="0"/>
    <x v="0"/>
    <m/>
    <s v="182846158"/>
  </r>
  <r>
    <n v="1828"/>
    <n v="49"/>
    <s v="Masculino"/>
    <s v="Pintura"/>
    <s v="Operador"/>
    <s v="2º Turno"/>
    <x v="0"/>
    <s v="Não"/>
    <x v="2"/>
    <d v="2026-05-31T00:00:00"/>
    <d v="2026-05-01T00:00:00"/>
    <s v="dom"/>
    <x v="0"/>
    <x v="0"/>
    <m/>
    <s v="182846173"/>
  </r>
  <r>
    <n v="1828"/>
    <n v="49"/>
    <s v="Masculino"/>
    <s v="Pintura"/>
    <s v="Operador"/>
    <s v="2º Turno"/>
    <x v="0"/>
    <s v="Não"/>
    <x v="2"/>
    <d v="2026-03-11T00:00:00"/>
    <d v="2026-03-01T00:00:00"/>
    <s v="sex"/>
    <x v="0"/>
    <x v="1"/>
    <m/>
    <s v="182846092"/>
  </r>
  <r>
    <n v="1828"/>
    <n v="49"/>
    <s v="Masculino"/>
    <s v="Pintura"/>
    <s v="Operador"/>
    <s v="2º Turno"/>
    <x v="0"/>
    <s v="Não"/>
    <x v="2"/>
    <d v="2026-05-24T00:00:00"/>
    <d v="2026-05-01T00:00:00"/>
    <s v="sáb"/>
    <x v="0"/>
    <x v="1"/>
    <m/>
    <s v="182846166"/>
  </r>
  <r>
    <n v="1832"/>
    <n v="26"/>
    <s v="Feminino"/>
    <s v="Logistica"/>
    <s v="Operador"/>
    <s v="1º Turno"/>
    <x v="0"/>
    <s v="Não"/>
    <x v="2"/>
    <d v="2026-05-08T00:00:00"/>
    <d v="2026-05-01T00:00:00"/>
    <s v="sex"/>
    <x v="0"/>
    <x v="0"/>
    <m/>
    <s v="183246150"/>
  </r>
  <r>
    <n v="1832"/>
    <n v="26"/>
    <s v="Feminino"/>
    <s v="Logistica"/>
    <s v="Operador"/>
    <s v="1º Turno"/>
    <x v="0"/>
    <s v="Não"/>
    <x v="2"/>
    <d v="2026-06-10T00:00:00"/>
    <d v="2026-06-01T00:00:00"/>
    <s v="qua"/>
    <x v="1"/>
    <x v="0"/>
    <m/>
    <s v="183246183"/>
  </r>
  <r>
    <n v="1832"/>
    <n v="26"/>
    <s v="Feminino"/>
    <s v="Logistica"/>
    <s v="Operador"/>
    <s v="1º Turno"/>
    <x v="0"/>
    <s v="Não"/>
    <x v="2"/>
    <d v="2026-04-23T00:00:00"/>
    <d v="2026-04-01T00:00:00"/>
    <s v="qui"/>
    <x v="0"/>
    <x v="1"/>
    <m/>
    <s v="183246135"/>
  </r>
  <r>
    <n v="1832"/>
    <n v="26"/>
    <s v="Feminino"/>
    <s v="Logistica"/>
    <s v="Operador"/>
    <s v="1º Turno"/>
    <x v="0"/>
    <s v="Não"/>
    <x v="2"/>
    <d v="2026-05-26T00:00:00"/>
    <d v="2026-05-01T00:00:00"/>
    <s v="seg"/>
    <x v="0"/>
    <x v="1"/>
    <m/>
    <s v="183246168"/>
  </r>
  <r>
    <n v="1834"/>
    <n v="33"/>
    <s v="Masculino"/>
    <s v="Soldagem"/>
    <s v="Operador"/>
    <s v="3º Turno"/>
    <x v="0"/>
    <s v="Não"/>
    <x v="2"/>
    <d v="2026-05-05T00:00:00"/>
    <d v="2026-05-01T00:00:00"/>
    <s v="ter"/>
    <x v="0"/>
    <x v="0"/>
    <m/>
    <s v="183446147"/>
  </r>
  <r>
    <n v="1834"/>
    <n v="33"/>
    <s v="Masculino"/>
    <s v="Soldagem"/>
    <s v="Operador"/>
    <s v="3º Turno"/>
    <x v="0"/>
    <s v="Não"/>
    <x v="2"/>
    <d v="2026-03-29T00:00:00"/>
    <d v="2026-03-01T00:00:00"/>
    <s v="seg"/>
    <x v="0"/>
    <x v="1"/>
    <m/>
    <s v="183446110"/>
  </r>
  <r>
    <n v="1840"/>
    <n v="39"/>
    <s v="Feminino"/>
    <s v="Qualidade"/>
    <s v="Inspetor"/>
    <s v="3º Turno"/>
    <x v="0"/>
    <s v="Não"/>
    <x v="2"/>
    <d v="2026-04-23T00:00:00"/>
    <d v="2026-04-01T00:00:00"/>
    <s v="qui"/>
    <x v="2"/>
    <x v="0"/>
    <m/>
    <s v="184046135"/>
  </r>
  <r>
    <n v="1840"/>
    <n v="39"/>
    <s v="Feminino"/>
    <s v="Qualidade"/>
    <s v="Inspetor"/>
    <s v="3º Turno"/>
    <x v="0"/>
    <s v="Não"/>
    <x v="2"/>
    <d v="2026-03-11T00:00:00"/>
    <d v="2026-03-01T00:00:00"/>
    <s v="qua"/>
    <x v="4"/>
    <x v="0"/>
    <m/>
    <s v="184046092"/>
  </r>
  <r>
    <n v="1840"/>
    <n v="39"/>
    <s v="Feminino"/>
    <s v="Qualidade"/>
    <s v="Inspetor"/>
    <s v="3º Turno"/>
    <x v="0"/>
    <s v="Não"/>
    <x v="2"/>
    <d v="2026-04-01T00:00:00"/>
    <d v="2026-04-01T00:00:00"/>
    <s v="ter"/>
    <x v="2"/>
    <x v="1"/>
    <m/>
    <s v="184046113"/>
  </r>
  <r>
    <n v="1840"/>
    <n v="39"/>
    <s v="Feminino"/>
    <s v="Qualidade"/>
    <s v="Inspetor"/>
    <s v="3º Turno"/>
    <x v="0"/>
    <s v="Não"/>
    <x v="2"/>
    <d v="2026-04-12T00:00:00"/>
    <d v="2026-04-01T00:00:00"/>
    <s v="sáb"/>
    <x v="2"/>
    <x v="1"/>
    <m/>
    <s v="184046124"/>
  </r>
  <r>
    <n v="1841"/>
    <n v="37"/>
    <s v="Feminino"/>
    <s v="Soldagem"/>
    <s v="Operador"/>
    <s v="1º Turno"/>
    <x v="0"/>
    <s v="Não"/>
    <x v="2"/>
    <d v="2026-04-25T00:00:00"/>
    <d v="2026-04-01T00:00:00"/>
    <s v="sáb"/>
    <x v="2"/>
    <x v="0"/>
    <m/>
    <s v="184146137"/>
  </r>
  <r>
    <n v="1841"/>
    <n v="37"/>
    <s v="Feminino"/>
    <s v="Soldagem"/>
    <s v="Operador"/>
    <s v="1º Turno"/>
    <x v="0"/>
    <s v="Não"/>
    <x v="2"/>
    <d v="2026-05-24T00:00:00"/>
    <d v="2026-05-01T00:00:00"/>
    <s v="sex"/>
    <x v="2"/>
    <x v="1"/>
    <m/>
    <s v="184146166"/>
  </r>
  <r>
    <n v="1842"/>
    <n v="58"/>
    <s v="Feminino"/>
    <s v="Qualidade"/>
    <s v="Inspetor"/>
    <s v="1º Turno"/>
    <x v="0"/>
    <s v="Não"/>
    <x v="1"/>
    <d v="2026-03-11T00:00:00"/>
    <d v="2026-03-01T00:00:00"/>
    <s v="qua"/>
    <x v="4"/>
    <x v="0"/>
    <m/>
    <s v="184246092"/>
  </r>
  <r>
    <n v="1842"/>
    <n v="58"/>
    <s v="Feminino"/>
    <s v="Qualidade"/>
    <s v="Inspetor"/>
    <s v="1º Turno"/>
    <x v="0"/>
    <s v="Não"/>
    <x v="1"/>
    <d v="2026-05-09T00:00:00"/>
    <d v="2026-05-01T00:00:00"/>
    <s v="sex"/>
    <x v="0"/>
    <x v="1"/>
    <m/>
    <s v="184246151"/>
  </r>
  <r>
    <n v="1845"/>
    <n v="49"/>
    <s v="Feminino"/>
    <s v="Soldagem"/>
    <s v="Operador"/>
    <s v="1º Turno"/>
    <x v="0"/>
    <s v="Não"/>
    <x v="1"/>
    <d v="2026-04-23T00:00:00"/>
    <d v="2026-04-01T00:00:00"/>
    <s v="qui"/>
    <x v="2"/>
    <x v="0"/>
    <m/>
    <s v="184546135"/>
  </r>
  <r>
    <n v="1845"/>
    <n v="49"/>
    <s v="Feminino"/>
    <s v="Soldagem"/>
    <s v="Operador"/>
    <s v="1º Turno"/>
    <x v="0"/>
    <s v="Não"/>
    <x v="1"/>
    <d v="2026-05-16T00:00:00"/>
    <d v="2026-05-01T00:00:00"/>
    <s v="sáb"/>
    <x v="0"/>
    <x v="0"/>
    <m/>
    <s v="184546158"/>
  </r>
  <r>
    <n v="1845"/>
    <n v="49"/>
    <s v="Feminino"/>
    <s v="Soldagem"/>
    <s v="Operador"/>
    <s v="1º Turno"/>
    <x v="0"/>
    <s v="Não"/>
    <x v="1"/>
    <d v="2026-04-20T00:00:00"/>
    <d v="2026-04-01T00:00:00"/>
    <s v="dom"/>
    <x v="2"/>
    <x v="1"/>
    <m/>
    <s v="184546132"/>
  </r>
  <r>
    <n v="1845"/>
    <n v="49"/>
    <s v="Feminino"/>
    <s v="Soldagem"/>
    <s v="Operador"/>
    <s v="1º Turno"/>
    <x v="0"/>
    <s v="Não"/>
    <x v="1"/>
    <d v="2026-01-10T00:00:00"/>
    <d v="2026-01-01T00:00:00"/>
    <s v="sex"/>
    <x v="0"/>
    <x v="1"/>
    <m/>
    <s v="184546032"/>
  </r>
  <r>
    <n v="1846"/>
    <n v="22"/>
    <s v="Feminino"/>
    <s v="Soldagem"/>
    <s v="Operador"/>
    <s v="1º Turno"/>
    <x v="0"/>
    <s v="Não"/>
    <x v="1"/>
    <d v="2026-04-14T00:00:00"/>
    <d v="2026-04-01T00:00:00"/>
    <s v="ter"/>
    <x v="2"/>
    <x v="0"/>
    <m/>
    <s v="184646126"/>
  </r>
  <r>
    <n v="1846"/>
    <n v="22"/>
    <s v="Feminino"/>
    <s v="Soldagem"/>
    <s v="Operador"/>
    <s v="1º Turno"/>
    <x v="0"/>
    <s v="Não"/>
    <x v="1"/>
    <d v="2026-05-24T00:00:00"/>
    <d v="2026-05-01T00:00:00"/>
    <s v="dom"/>
    <x v="0"/>
    <x v="0"/>
    <m/>
    <s v="184646166"/>
  </r>
  <r>
    <n v="1846"/>
    <n v="22"/>
    <s v="Feminino"/>
    <s v="Soldagem"/>
    <s v="Operador"/>
    <s v="1º Turno"/>
    <x v="0"/>
    <s v="Não"/>
    <x v="1"/>
    <d v="2026-04-23T00:00:00"/>
    <d v="2026-04-01T00:00:00"/>
    <s v="seg"/>
    <x v="2"/>
    <x v="1"/>
    <m/>
    <s v="184646135"/>
  </r>
  <r>
    <n v="1846"/>
    <n v="22"/>
    <s v="Feminino"/>
    <s v="Soldagem"/>
    <s v="Operador"/>
    <s v="1º Turno"/>
    <x v="0"/>
    <s v="Não"/>
    <x v="1"/>
    <d v="2026-03-29T00:00:00"/>
    <d v="2026-03-01T00:00:00"/>
    <s v="sáb"/>
    <x v="0"/>
    <x v="1"/>
    <m/>
    <s v="184646110"/>
  </r>
  <r>
    <n v="1847"/>
    <n v="50"/>
    <s v="Masculino"/>
    <s v="Soldagem"/>
    <s v="Operador"/>
    <s v="2º Turno"/>
    <x v="0"/>
    <s v="Não"/>
    <x v="2"/>
    <d v="2026-05-29T00:00:00"/>
    <d v="2026-05-01T00:00:00"/>
    <s v="sex"/>
    <x v="0"/>
    <x v="0"/>
    <m/>
    <s v="184746171"/>
  </r>
  <r>
    <n v="1847"/>
    <n v="50"/>
    <s v="Masculino"/>
    <s v="Soldagem"/>
    <s v="Operador"/>
    <s v="2º Turno"/>
    <x v="0"/>
    <s v="Não"/>
    <x v="2"/>
    <d v="2026-03-11T00:00:00"/>
    <d v="2026-03-01T00:00:00"/>
    <s v="qui"/>
    <x v="0"/>
    <x v="1"/>
    <m/>
    <s v="184746092"/>
  </r>
  <r>
    <n v="1851"/>
    <n v="22"/>
    <s v="Masculino"/>
    <s v="Pintura"/>
    <s v="Operador"/>
    <s v="3º Turno"/>
    <x v="0"/>
    <s v="Não"/>
    <x v="2"/>
    <d v="2026-05-12T00:00:00"/>
    <d v="2026-05-01T00:00:00"/>
    <s v="ter"/>
    <x v="0"/>
    <x v="0"/>
    <m/>
    <s v="185146154"/>
  </r>
  <r>
    <n v="1851"/>
    <n v="22"/>
    <s v="Masculino"/>
    <s v="Pintura"/>
    <s v="Operador"/>
    <s v="3º Turno"/>
    <x v="0"/>
    <s v="Não"/>
    <x v="2"/>
    <d v="2026-01-10T00:00:00"/>
    <d v="2026-01-01T00:00:00"/>
    <s v="seg"/>
    <x v="0"/>
    <x v="1"/>
    <m/>
    <s v="185146032"/>
  </r>
  <r>
    <n v="1853"/>
    <n v="41"/>
    <s v="Masculino"/>
    <s v="Qualidade"/>
    <s v="Analista"/>
    <s v="1º Turno"/>
    <x v="0"/>
    <s v="Não"/>
    <x v="2"/>
    <d v="2026-05-24T00:00:00"/>
    <d v="2026-05-01T00:00:00"/>
    <s v="dom"/>
    <x v="0"/>
    <x v="0"/>
    <m/>
    <s v="185346166"/>
  </r>
  <r>
    <n v="1853"/>
    <n v="41"/>
    <s v="Masculino"/>
    <s v="Qualidade"/>
    <s v="Analista"/>
    <s v="1º Turno"/>
    <x v="0"/>
    <s v="Não"/>
    <x v="2"/>
    <d v="2026-04-19T00:00:00"/>
    <d v="2026-04-01T00:00:00"/>
    <s v="dom"/>
    <x v="2"/>
    <x v="0"/>
    <m/>
    <s v="185346131"/>
  </r>
  <r>
    <n v="1853"/>
    <n v="41"/>
    <s v="Masculino"/>
    <s v="Qualidade"/>
    <s v="Analista"/>
    <s v="1º Turno"/>
    <x v="0"/>
    <s v="Não"/>
    <x v="2"/>
    <d v="2026-04-17T00:00:00"/>
    <d v="2026-04-01T00:00:00"/>
    <s v="qui"/>
    <x v="2"/>
    <x v="1"/>
    <m/>
    <s v="185346129"/>
  </r>
  <r>
    <n v="1853"/>
    <n v="41"/>
    <s v="Masculino"/>
    <s v="Qualidade"/>
    <s v="Analista"/>
    <s v="1º Turno"/>
    <x v="0"/>
    <s v="Não"/>
    <x v="2"/>
    <d v="2026-03-11T00:00:00"/>
    <d v="2026-03-01T00:00:00"/>
    <s v="sáb"/>
    <x v="2"/>
    <x v="1"/>
    <m/>
    <s v="185346092"/>
  </r>
  <r>
    <n v="1856"/>
    <n v="30"/>
    <s v="Feminino"/>
    <s v="Montagem"/>
    <s v="Operador"/>
    <s v="2º Turno"/>
    <x v="0"/>
    <s v="Não"/>
    <x v="2"/>
    <d v="2026-05-24T00:00:00"/>
    <d v="2026-05-01T00:00:00"/>
    <s v="dom"/>
    <x v="0"/>
    <x v="0"/>
    <m/>
    <s v="185646166"/>
  </r>
  <r>
    <n v="1861"/>
    <n v="47"/>
    <s v="Masculino"/>
    <s v="Logistica"/>
    <s v="Operador"/>
    <s v="1º Turno"/>
    <x v="0"/>
    <s v="Não"/>
    <x v="2"/>
    <d v="2026-04-14T00:00:00"/>
    <d v="2026-04-01T00:00:00"/>
    <s v="ter"/>
    <x v="2"/>
    <x v="0"/>
    <m/>
    <s v="186146126"/>
  </r>
  <r>
    <n v="1861"/>
    <n v="47"/>
    <s v="Masculino"/>
    <s v="Logistica"/>
    <s v="Operador"/>
    <s v="1º Turno"/>
    <x v="0"/>
    <s v="Não"/>
    <x v="2"/>
    <d v="2026-01-10T00:00:00"/>
    <d v="2026-01-01T00:00:00"/>
    <s v="seg"/>
    <x v="2"/>
    <x v="1"/>
    <m/>
    <s v="186146032"/>
  </r>
  <r>
    <n v="1863"/>
    <n v="24"/>
    <s v="Feminino"/>
    <s v="Montagem"/>
    <s v="Operador"/>
    <s v="1º Turno"/>
    <x v="0"/>
    <s v="Não"/>
    <x v="1"/>
    <d v="2026-04-22T00:00:00"/>
    <d v="2026-04-01T00:00:00"/>
    <s v="qua"/>
    <x v="2"/>
    <x v="0"/>
    <m/>
    <s v="186346134"/>
  </r>
  <r>
    <n v="1863"/>
    <n v="24"/>
    <s v="Feminino"/>
    <s v="Montagem"/>
    <s v="Operador"/>
    <s v="1º Turno"/>
    <x v="0"/>
    <s v="Não"/>
    <x v="1"/>
    <d v="2026-03-29T00:00:00"/>
    <d v="2026-03-01T00:00:00"/>
    <s v="ter"/>
    <x v="2"/>
    <x v="1"/>
    <m/>
    <s v="186346110"/>
  </r>
  <r>
    <n v="1865"/>
    <n v="21"/>
    <s v="Feminino"/>
    <s v="Qualidade"/>
    <s v="Inspetor"/>
    <s v="3º Turno"/>
    <x v="0"/>
    <s v="Não"/>
    <x v="1"/>
    <d v="2026-04-14T00:00:00"/>
    <d v="2026-04-01T00:00:00"/>
    <s v="ter"/>
    <x v="2"/>
    <x v="0"/>
    <m/>
    <s v="186546126"/>
  </r>
  <r>
    <n v="1865"/>
    <n v="21"/>
    <s v="Feminino"/>
    <s v="Qualidade"/>
    <s v="Inspetor"/>
    <s v="3º Turno"/>
    <x v="0"/>
    <s v="Não"/>
    <x v="1"/>
    <d v="2026-05-19T00:00:00"/>
    <d v="2026-05-01T00:00:00"/>
    <s v="ter"/>
    <x v="0"/>
    <x v="0"/>
    <m/>
    <s v="186546161"/>
  </r>
  <r>
    <n v="1865"/>
    <n v="21"/>
    <s v="Feminino"/>
    <s v="Qualidade"/>
    <s v="Inspetor"/>
    <s v="3º Turno"/>
    <x v="0"/>
    <s v="Não"/>
    <x v="1"/>
    <d v="2026-03-29T00:00:00"/>
    <d v="2026-03-01T00:00:00"/>
    <s v="dom"/>
    <x v="4"/>
    <x v="0"/>
    <m/>
    <s v="186546110"/>
  </r>
  <r>
    <n v="1865"/>
    <n v="21"/>
    <s v="Feminino"/>
    <s v="Qualidade"/>
    <s v="Inspetor"/>
    <s v="3º Turno"/>
    <x v="0"/>
    <s v="Não"/>
    <x v="1"/>
    <d v="2026-03-11T00:00:00"/>
    <d v="2026-03-01T00:00:00"/>
    <s v="seg"/>
    <x v="2"/>
    <x v="1"/>
    <m/>
    <s v="186546092"/>
  </r>
  <r>
    <n v="1865"/>
    <n v="21"/>
    <s v="Feminino"/>
    <s v="Qualidade"/>
    <s v="Inspetor"/>
    <s v="3º Turno"/>
    <x v="0"/>
    <s v="Não"/>
    <x v="1"/>
    <d v="2026-01-10T00:00:00"/>
    <d v="2026-01-01T00:00:00"/>
    <s v="seg"/>
    <x v="0"/>
    <x v="1"/>
    <m/>
    <s v="186546032"/>
  </r>
  <r>
    <n v="1865"/>
    <n v="21"/>
    <s v="Feminino"/>
    <s v="Qualidade"/>
    <s v="Inspetor"/>
    <s v="3º Turno"/>
    <x v="0"/>
    <s v="Não"/>
    <x v="1"/>
    <d v="2026-05-22T00:00:00"/>
    <d v="2026-05-01T00:00:00"/>
    <s v="qui"/>
    <x v="0"/>
    <x v="1"/>
    <m/>
    <s v="186546164"/>
  </r>
  <r>
    <n v="1867"/>
    <n v="42"/>
    <s v="Feminino"/>
    <s v="Soldagem"/>
    <s v="Operador"/>
    <s v="3º Turno"/>
    <x v="0"/>
    <s v="Não"/>
    <x v="0"/>
    <d v="2026-06-10T00:00:00"/>
    <d v="2026-06-01T00:00:00"/>
    <s v="qua"/>
    <x v="1"/>
    <x v="0"/>
    <m/>
    <s v="186746183"/>
  </r>
  <r>
    <n v="1867"/>
    <n v="42"/>
    <s v="Feminino"/>
    <s v="Soldagem"/>
    <s v="Operador"/>
    <s v="3º Turno"/>
    <x v="0"/>
    <s v="Não"/>
    <x v="0"/>
    <d v="2026-05-22T00:00:00"/>
    <d v="2026-05-01T00:00:00"/>
    <s v="qui"/>
    <x v="0"/>
    <x v="1"/>
    <m/>
    <s v="186746164"/>
  </r>
  <r>
    <n v="1871"/>
    <n v="40"/>
    <s v="Feminino"/>
    <s v="Soldagem"/>
    <s v="Operador"/>
    <s v="1º Turno"/>
    <x v="0"/>
    <s v="Não"/>
    <x v="2"/>
    <d v="2026-03-11T00:00:00"/>
    <d v="2026-03-01T00:00:00"/>
    <s v="qua"/>
    <x v="4"/>
    <x v="0"/>
    <m/>
    <s v="187146092"/>
  </r>
  <r>
    <n v="1871"/>
    <n v="40"/>
    <s v="Feminino"/>
    <s v="Soldagem"/>
    <s v="Operador"/>
    <s v="1º Turno"/>
    <x v="0"/>
    <s v="Não"/>
    <x v="2"/>
    <d v="2026-05-24T00:00:00"/>
    <d v="2026-05-01T00:00:00"/>
    <s v="dom"/>
    <x v="0"/>
    <x v="0"/>
    <m/>
    <s v="187146166"/>
  </r>
  <r>
    <n v="1871"/>
    <n v="40"/>
    <s v="Feminino"/>
    <s v="Soldagem"/>
    <s v="Operador"/>
    <s v="1º Turno"/>
    <x v="0"/>
    <s v="Não"/>
    <x v="2"/>
    <d v="2026-04-11T00:00:00"/>
    <d v="2026-04-01T00:00:00"/>
    <s v="sex"/>
    <x v="2"/>
    <x v="1"/>
    <m/>
    <s v="187146123"/>
  </r>
  <r>
    <n v="1871"/>
    <n v="40"/>
    <s v="Feminino"/>
    <s v="Soldagem"/>
    <s v="Operador"/>
    <s v="1º Turno"/>
    <x v="0"/>
    <s v="Não"/>
    <x v="2"/>
    <d v="2026-05-16T00:00:00"/>
    <d v="2026-05-01T00:00:00"/>
    <s v="sex"/>
    <x v="0"/>
    <x v="1"/>
    <m/>
    <s v="187146158"/>
  </r>
  <r>
    <n v="1873"/>
    <n v="27"/>
    <s v="Feminino"/>
    <s v="Logistica"/>
    <s v="Operador"/>
    <s v="2º Turno"/>
    <x v="0"/>
    <s v="Não"/>
    <x v="0"/>
    <d v="2026-04-11T00:00:00"/>
    <d v="2026-04-01T00:00:00"/>
    <s v="sáb"/>
    <x v="2"/>
    <x v="0"/>
    <m/>
    <s v="187346123"/>
  </r>
  <r>
    <n v="1873"/>
    <n v="27"/>
    <s v="Feminino"/>
    <s v="Logistica"/>
    <s v="Operador"/>
    <s v="2º Turno"/>
    <x v="0"/>
    <s v="Não"/>
    <x v="0"/>
    <d v="2026-04-23T00:00:00"/>
    <d v="2026-04-01T00:00:00"/>
    <s v="qui"/>
    <x v="2"/>
    <x v="0"/>
    <m/>
    <s v="187346135"/>
  </r>
  <r>
    <n v="1873"/>
    <n v="27"/>
    <s v="Feminino"/>
    <s v="Logistica"/>
    <s v="Operador"/>
    <s v="2º Turno"/>
    <x v="0"/>
    <s v="Não"/>
    <x v="0"/>
    <d v="2026-03-29T00:00:00"/>
    <d v="2026-03-01T00:00:00"/>
    <s v="sex"/>
    <x v="2"/>
    <x v="1"/>
    <m/>
    <s v="187346110"/>
  </r>
  <r>
    <n v="1873"/>
    <n v="27"/>
    <s v="Feminino"/>
    <s v="Logistica"/>
    <s v="Operador"/>
    <s v="2º Turno"/>
    <x v="0"/>
    <s v="Não"/>
    <x v="0"/>
    <d v="2026-03-11T00:00:00"/>
    <d v="2026-03-01T00:00:00"/>
    <s v="qua"/>
    <x v="2"/>
    <x v="1"/>
    <m/>
    <s v="187346092"/>
  </r>
  <r>
    <n v="1879"/>
    <n v="22"/>
    <s v="Feminino"/>
    <s v="Montagem"/>
    <s v="Operador"/>
    <s v="2º Turno"/>
    <x v="0"/>
    <s v="Não"/>
    <x v="0"/>
    <d v="2026-03-29T00:00:00"/>
    <d v="2026-03-01T00:00:00"/>
    <s v="dom"/>
    <x v="4"/>
    <x v="0"/>
    <m/>
    <s v="187946110"/>
  </r>
  <r>
    <n v="1879"/>
    <n v="22"/>
    <s v="Feminino"/>
    <s v="Montagem"/>
    <s v="Operador"/>
    <s v="2º Turno"/>
    <x v="0"/>
    <s v="Não"/>
    <x v="0"/>
    <d v="2026-04-19T00:00:00"/>
    <d v="2026-04-01T00:00:00"/>
    <s v="sáb"/>
    <x v="2"/>
    <x v="1"/>
    <m/>
    <s v="187946131"/>
  </r>
  <r>
    <n v="1885"/>
    <n v="24"/>
    <s v="Feminino"/>
    <s v="Pintura"/>
    <s v="Operador"/>
    <s v="3º Turno"/>
    <x v="0"/>
    <s v="Não"/>
    <x v="0"/>
    <d v="2026-05-24T00:00:00"/>
    <d v="2026-05-01T00:00:00"/>
    <s v="dom"/>
    <x v="0"/>
    <x v="0"/>
    <m/>
    <s v="188546166"/>
  </r>
  <r>
    <n v="1885"/>
    <n v="24"/>
    <s v="Feminino"/>
    <s v="Pintura"/>
    <s v="Operador"/>
    <s v="3º Turno"/>
    <x v="0"/>
    <s v="Não"/>
    <x v="0"/>
    <d v="2026-04-12T00:00:00"/>
    <d v="2026-04-01T00:00:00"/>
    <s v="sáb"/>
    <x v="2"/>
    <x v="1"/>
    <m/>
    <s v="188546124"/>
  </r>
  <r>
    <n v="1886"/>
    <n v="33"/>
    <s v="Masculino"/>
    <s v="Montagem"/>
    <s v="Operador"/>
    <s v="2º Turno"/>
    <x v="0"/>
    <s v="Não"/>
    <x v="0"/>
    <d v="2026-06-10T00:00:00"/>
    <d v="2026-06-01T00:00:00"/>
    <s v="qua"/>
    <x v="1"/>
    <x v="0"/>
    <m/>
    <s v="188646183"/>
  </r>
  <r>
    <n v="1886"/>
    <n v="33"/>
    <s v="Masculino"/>
    <s v="Montagem"/>
    <s v="Operador"/>
    <s v="2º Turno"/>
    <x v="0"/>
    <s v="Não"/>
    <x v="0"/>
    <d v="2026-04-24T00:00:00"/>
    <d v="2026-04-01T00:00:00"/>
    <s v="qui"/>
    <x v="2"/>
    <x v="1"/>
    <m/>
    <s v="188646136"/>
  </r>
  <r>
    <n v="1887"/>
    <n v="28"/>
    <s v="Feminino"/>
    <s v="Logistica"/>
    <s v="Operador"/>
    <s v="1º Turno"/>
    <x v="0"/>
    <s v="Não"/>
    <x v="1"/>
    <d v="2026-04-21T00:00:00"/>
    <d v="2026-04-01T00:00:00"/>
    <s v="ter"/>
    <x v="2"/>
    <x v="0"/>
    <m/>
    <s v="188746133"/>
  </r>
  <r>
    <n v="1887"/>
    <n v="28"/>
    <s v="Feminino"/>
    <s v="Logistica"/>
    <s v="Operador"/>
    <s v="1º Turno"/>
    <x v="0"/>
    <s v="Não"/>
    <x v="1"/>
    <d v="2026-04-22T00:00:00"/>
    <d v="2026-04-01T00:00:00"/>
    <s v="qua"/>
    <x v="2"/>
    <x v="0"/>
    <m/>
    <s v="188746134"/>
  </r>
  <r>
    <n v="1887"/>
    <n v="28"/>
    <s v="Feminino"/>
    <s v="Logistica"/>
    <s v="Operador"/>
    <s v="1º Turno"/>
    <x v="0"/>
    <s v="Não"/>
    <x v="1"/>
    <d v="2026-04-25T00:00:00"/>
    <d v="2026-04-01T00:00:00"/>
    <s v="sáb"/>
    <x v="2"/>
    <x v="0"/>
    <m/>
    <s v="188746137"/>
  </r>
  <r>
    <n v="1887"/>
    <n v="28"/>
    <s v="Feminino"/>
    <s v="Logistica"/>
    <s v="Operador"/>
    <s v="1º Turno"/>
    <x v="0"/>
    <s v="Não"/>
    <x v="1"/>
    <d v="2026-04-12T00:00:00"/>
    <d v="2026-04-01T00:00:00"/>
    <s v="dom"/>
    <x v="2"/>
    <x v="0"/>
    <m/>
    <s v="188746124"/>
  </r>
  <r>
    <n v="1887"/>
    <n v="28"/>
    <s v="Feminino"/>
    <s v="Logistica"/>
    <s v="Operador"/>
    <s v="1º Turno"/>
    <x v="0"/>
    <s v="Não"/>
    <x v="1"/>
    <d v="2026-03-29T00:00:00"/>
    <d v="2026-03-01T00:00:00"/>
    <s v="seg"/>
    <x v="2"/>
    <x v="1"/>
    <m/>
    <s v="188746110"/>
  </r>
  <r>
    <n v="1887"/>
    <n v="28"/>
    <s v="Feminino"/>
    <s v="Logistica"/>
    <s v="Operador"/>
    <s v="1º Turno"/>
    <x v="0"/>
    <s v="Não"/>
    <x v="1"/>
    <d v="2026-05-01T00:00:00"/>
    <d v="2026-05-01T00:00:00"/>
    <s v="ter"/>
    <x v="2"/>
    <x v="1"/>
    <m/>
    <s v="188746143"/>
  </r>
  <r>
    <n v="1887"/>
    <n v="28"/>
    <s v="Feminino"/>
    <s v="Logistica"/>
    <s v="Operador"/>
    <s v="1º Turno"/>
    <x v="0"/>
    <s v="Não"/>
    <x v="1"/>
    <d v="2026-03-11T00:00:00"/>
    <d v="2026-03-01T00:00:00"/>
    <s v="sex"/>
    <x v="2"/>
    <x v="1"/>
    <m/>
    <s v="188746092"/>
  </r>
  <r>
    <n v="1887"/>
    <n v="28"/>
    <s v="Feminino"/>
    <s v="Logistica"/>
    <s v="Operador"/>
    <s v="1º Turno"/>
    <x v="0"/>
    <s v="Não"/>
    <x v="1"/>
    <d v="2026-05-22T00:00:00"/>
    <d v="2026-05-01T00:00:00"/>
    <s v="qui"/>
    <x v="0"/>
    <x v="1"/>
    <m/>
    <s v="188746164"/>
  </r>
  <r>
    <n v="1893"/>
    <n v="44"/>
    <s v="Masculino"/>
    <s v="Logistica"/>
    <s v="Operador"/>
    <s v="2º Turno"/>
    <x v="0"/>
    <s v="Não"/>
    <x v="0"/>
    <d v="2026-05-28T00:00:00"/>
    <d v="2026-05-01T00:00:00"/>
    <s v="qui"/>
    <x v="0"/>
    <x v="0"/>
    <m/>
    <s v="189346170"/>
  </r>
  <r>
    <n v="1893"/>
    <n v="44"/>
    <s v="Masculino"/>
    <s v="Logistica"/>
    <s v="Operador"/>
    <s v="2º Turno"/>
    <x v="0"/>
    <s v="Não"/>
    <x v="0"/>
    <d v="2026-05-01T00:00:00"/>
    <d v="2026-05-01T00:00:00"/>
    <s v="qua"/>
    <x v="0"/>
    <x v="1"/>
    <m/>
    <s v="189346143"/>
  </r>
  <r>
    <n v="1898"/>
    <n v="56"/>
    <s v="Masculino"/>
    <s v="Pintura"/>
    <s v="Operador"/>
    <s v="3º Turno"/>
    <x v="0"/>
    <s v="Não"/>
    <x v="1"/>
    <d v="2026-03-29T00:00:00"/>
    <d v="2026-03-01T00:00:00"/>
    <s v="dom"/>
    <x v="4"/>
    <x v="0"/>
    <m/>
    <s v="189846110"/>
  </r>
  <r>
    <n v="1898"/>
    <n v="56"/>
    <s v="Masculino"/>
    <s v="Pintura"/>
    <s v="Operador"/>
    <s v="3º Turno"/>
    <x v="0"/>
    <s v="Não"/>
    <x v="1"/>
    <d v="2026-05-06T00:00:00"/>
    <d v="2026-05-01T00:00:00"/>
    <s v="qua"/>
    <x v="0"/>
    <x v="0"/>
    <m/>
    <s v="189846148"/>
  </r>
  <r>
    <n v="1898"/>
    <n v="56"/>
    <s v="Masculino"/>
    <s v="Pintura"/>
    <s v="Operador"/>
    <s v="3º Turno"/>
    <x v="0"/>
    <s v="Não"/>
    <x v="1"/>
    <d v="2026-05-16T00:00:00"/>
    <d v="2026-05-01T00:00:00"/>
    <s v="sáb"/>
    <x v="0"/>
    <x v="0"/>
    <m/>
    <s v="189846158"/>
  </r>
  <r>
    <n v="1898"/>
    <n v="56"/>
    <s v="Masculino"/>
    <s v="Pintura"/>
    <s v="Operador"/>
    <s v="3º Turno"/>
    <x v="0"/>
    <s v="Não"/>
    <x v="1"/>
    <d v="2026-04-14T00:00:00"/>
    <d v="2026-04-01T00:00:00"/>
    <s v="seg"/>
    <x v="2"/>
    <x v="1"/>
    <m/>
    <s v="189846126"/>
  </r>
  <r>
    <n v="1898"/>
    <n v="56"/>
    <s v="Masculino"/>
    <s v="Pintura"/>
    <s v="Operador"/>
    <s v="3º Turno"/>
    <x v="0"/>
    <s v="Não"/>
    <x v="1"/>
    <d v="2026-04-12T00:00:00"/>
    <d v="2026-04-01T00:00:00"/>
    <s v="ter"/>
    <x v="0"/>
    <x v="1"/>
    <m/>
    <s v="189846124"/>
  </r>
  <r>
    <n v="1898"/>
    <n v="56"/>
    <s v="Masculino"/>
    <s v="Pintura"/>
    <s v="Operador"/>
    <s v="3º Turno"/>
    <x v="0"/>
    <s v="Não"/>
    <x v="1"/>
    <d v="2026-03-11T00:00:00"/>
    <d v="2026-03-01T00:00:00"/>
    <s v="sex"/>
    <x v="0"/>
    <x v="1"/>
    <m/>
    <s v="189846092"/>
  </r>
  <r>
    <n v="1900"/>
    <n v="39"/>
    <s v="Masculino"/>
    <s v="Pintura"/>
    <s v="Operador"/>
    <s v="2º Turno"/>
    <x v="0"/>
    <s v="Não"/>
    <x v="1"/>
    <d v="2026-05-26T00:00:00"/>
    <d v="2026-05-01T00:00:00"/>
    <s v="ter"/>
    <x v="0"/>
    <x v="0"/>
    <m/>
    <s v="190046168"/>
  </r>
  <r>
    <n v="1900"/>
    <n v="39"/>
    <s v="Masculino"/>
    <s v="Pintura"/>
    <s v="Operador"/>
    <s v="2º Turno"/>
    <x v="0"/>
    <s v="Não"/>
    <x v="1"/>
    <d v="2026-05-16T00:00:00"/>
    <d v="2026-05-01T00:00:00"/>
    <s v="seg"/>
    <x v="0"/>
    <x v="1"/>
    <m/>
    <s v="190046158"/>
  </r>
  <r>
    <n v="1904"/>
    <n v="40"/>
    <s v="Masculino"/>
    <s v="Pintura"/>
    <s v="Operador"/>
    <s v="1º Turno"/>
    <x v="0"/>
    <s v="Não"/>
    <x v="2"/>
    <d v="2026-05-01T00:00:00"/>
    <d v="2026-05-01T00:00:00"/>
    <s v="sex"/>
    <x v="0"/>
    <x v="0"/>
    <m/>
    <s v="190446143"/>
  </r>
  <r>
    <n v="1904"/>
    <n v="40"/>
    <s v="Masculino"/>
    <s v="Pintura"/>
    <s v="Operador"/>
    <s v="1º Turno"/>
    <x v="0"/>
    <s v="Não"/>
    <x v="2"/>
    <d v="2026-03-11T00:00:00"/>
    <d v="2026-03-01T00:00:00"/>
    <s v="qua"/>
    <x v="4"/>
    <x v="0"/>
    <m/>
    <s v="190446092"/>
  </r>
  <r>
    <n v="1904"/>
    <n v="40"/>
    <s v="Masculino"/>
    <s v="Pintura"/>
    <s v="Operador"/>
    <s v="1º Turno"/>
    <x v="0"/>
    <s v="Não"/>
    <x v="2"/>
    <d v="2026-05-06T00:00:00"/>
    <d v="2026-05-01T00:00:00"/>
    <s v="qui"/>
    <x v="0"/>
    <x v="1"/>
    <m/>
    <s v="190446148"/>
  </r>
  <r>
    <n v="1904"/>
    <n v="40"/>
    <s v="Masculino"/>
    <s v="Pintura"/>
    <s v="Operador"/>
    <s v="1º Turno"/>
    <x v="0"/>
    <s v="Não"/>
    <x v="2"/>
    <d v="2026-05-16T00:00:00"/>
    <d v="2026-05-01T00:00:00"/>
    <s v="sex"/>
    <x v="0"/>
    <x v="1"/>
    <m/>
    <s v="190446158"/>
  </r>
  <r>
    <n v="1905"/>
    <n v="57"/>
    <s v="Masculino"/>
    <s v="Soldagem"/>
    <s v="Operador"/>
    <s v="3º Turno"/>
    <x v="0"/>
    <s v="Não"/>
    <x v="0"/>
    <d v="2026-05-06T00:00:00"/>
    <d v="2026-05-01T00:00:00"/>
    <s v="qua"/>
    <x v="0"/>
    <x v="0"/>
    <m/>
    <s v="190546148"/>
  </r>
  <r>
    <n v="1905"/>
    <n v="57"/>
    <s v="Masculino"/>
    <s v="Soldagem"/>
    <s v="Operador"/>
    <s v="3º Turno"/>
    <x v="0"/>
    <s v="Não"/>
    <x v="0"/>
    <d v="2026-04-12T00:00:00"/>
    <d v="2026-04-01T00:00:00"/>
    <s v="sáb"/>
    <x v="0"/>
    <x v="1"/>
    <m/>
    <s v="190546124"/>
  </r>
  <r>
    <n v="1907"/>
    <n v="42"/>
    <s v="Masculino"/>
    <s v="Qualidade"/>
    <s v="Analista"/>
    <s v="3º Turno"/>
    <x v="0"/>
    <s v="Não"/>
    <x v="2"/>
    <d v="2026-04-22T00:00:00"/>
    <d v="2026-04-01T00:00:00"/>
    <s v="qua"/>
    <x v="2"/>
    <x v="0"/>
    <m/>
    <s v="190746134"/>
  </r>
  <r>
    <n v="1907"/>
    <n v="42"/>
    <s v="Masculino"/>
    <s v="Qualidade"/>
    <s v="Analista"/>
    <s v="3º Turno"/>
    <x v="0"/>
    <s v="Não"/>
    <x v="2"/>
    <d v="2026-05-06T00:00:00"/>
    <d v="2026-05-01T00:00:00"/>
    <s v="ter"/>
    <x v="2"/>
    <x v="1"/>
    <m/>
    <s v="190746148"/>
  </r>
  <r>
    <n v="1908"/>
    <n v="54"/>
    <s v="Masculino"/>
    <s v="Montagem"/>
    <s v="Operador"/>
    <s v="2º Turno"/>
    <x v="0"/>
    <s v="Não"/>
    <x v="0"/>
    <d v="2026-04-05T00:00:00"/>
    <d v="2026-04-01T00:00:00"/>
    <s v="dom"/>
    <x v="2"/>
    <x v="0"/>
    <m/>
    <s v="190846117"/>
  </r>
  <r>
    <n v="1908"/>
    <n v="54"/>
    <s v="Masculino"/>
    <s v="Montagem"/>
    <s v="Operador"/>
    <s v="2º Turno"/>
    <x v="0"/>
    <s v="Não"/>
    <x v="0"/>
    <d v="2026-04-12T00:00:00"/>
    <d v="2026-04-01T00:00:00"/>
    <s v="dom"/>
    <x v="2"/>
    <x v="0"/>
    <m/>
    <s v="190846124"/>
  </r>
  <r>
    <n v="1908"/>
    <n v="54"/>
    <s v="Masculino"/>
    <s v="Montagem"/>
    <s v="Operador"/>
    <s v="2º Turno"/>
    <x v="0"/>
    <s v="Não"/>
    <x v="0"/>
    <d v="2026-05-01T00:00:00"/>
    <d v="2026-05-01T00:00:00"/>
    <s v="qui"/>
    <x v="0"/>
    <x v="1"/>
    <m/>
    <s v="190846143"/>
  </r>
  <r>
    <n v="1908"/>
    <n v="54"/>
    <s v="Masculino"/>
    <s v="Montagem"/>
    <s v="Operador"/>
    <s v="2º Turno"/>
    <x v="0"/>
    <s v="Não"/>
    <x v="0"/>
    <d v="2026-05-03T00:00:00"/>
    <d v="2026-05-01T00:00:00"/>
    <s v="sáb"/>
    <x v="0"/>
    <x v="1"/>
    <m/>
    <s v="190846145"/>
  </r>
  <r>
    <n v="1912"/>
    <n v="24"/>
    <s v="Masculino"/>
    <s v="Logistica"/>
    <s v="Operador"/>
    <s v="3º Turno"/>
    <x v="0"/>
    <s v="Não"/>
    <x v="1"/>
    <d v="2026-05-06T00:00:00"/>
    <d v="2026-05-01T00:00:00"/>
    <s v="qua"/>
    <x v="0"/>
    <x v="0"/>
    <m/>
    <s v="191246148"/>
  </r>
  <r>
    <n v="1912"/>
    <n v="24"/>
    <s v="Masculino"/>
    <s v="Logistica"/>
    <s v="Operador"/>
    <s v="3º Turno"/>
    <x v="0"/>
    <s v="Não"/>
    <x v="1"/>
    <d v="2026-05-19T00:00:00"/>
    <d v="2026-05-01T00:00:00"/>
    <s v="seg"/>
    <x v="0"/>
    <x v="1"/>
    <m/>
    <s v="191246161"/>
  </r>
  <r>
    <n v="1913"/>
    <n v="49"/>
    <s v="Feminino"/>
    <s v="Montagem"/>
    <s v="Operador"/>
    <s v="2º Turno"/>
    <x v="0"/>
    <s v="Não"/>
    <x v="1"/>
    <d v="2026-04-12T00:00:00"/>
    <d v="2026-04-01T00:00:00"/>
    <s v="dom"/>
    <x v="2"/>
    <x v="0"/>
    <m/>
    <s v="191346124"/>
  </r>
  <r>
    <n v="1913"/>
    <n v="49"/>
    <s v="Feminino"/>
    <s v="Montagem"/>
    <s v="Operador"/>
    <s v="2º Turno"/>
    <x v="0"/>
    <s v="Não"/>
    <x v="1"/>
    <d v="2026-04-15T00:00:00"/>
    <d v="2026-04-01T00:00:00"/>
    <s v="ter"/>
    <x v="2"/>
    <x v="1"/>
    <m/>
    <s v="191346127"/>
  </r>
  <r>
    <n v="1916"/>
    <n v="18"/>
    <s v="Feminino"/>
    <s v="Pintura"/>
    <s v="Operador"/>
    <s v="1º Turno"/>
    <x v="0"/>
    <s v="Não"/>
    <x v="2"/>
    <d v="2026-05-10T00:00:00"/>
    <d v="2026-05-01T00:00:00"/>
    <s v="dom"/>
    <x v="0"/>
    <x v="0"/>
    <m/>
    <s v="191646152"/>
  </r>
  <r>
    <n v="1916"/>
    <n v="18"/>
    <s v="Feminino"/>
    <s v="Pintura"/>
    <s v="Operador"/>
    <s v="1º Turno"/>
    <x v="0"/>
    <s v="Não"/>
    <x v="2"/>
    <d v="2026-05-06T00:00:00"/>
    <d v="2026-05-01T00:00:00"/>
    <s v="sáb"/>
    <x v="0"/>
    <x v="1"/>
    <m/>
    <s v="191646148"/>
  </r>
  <r>
    <n v="1917"/>
    <n v="31"/>
    <s v="Feminino"/>
    <s v="Pintura"/>
    <s v="Operador"/>
    <s v="3º Turno"/>
    <x v="0"/>
    <s v="Não"/>
    <x v="2"/>
    <d v="2026-04-05T00:00:00"/>
    <d v="2026-04-01T00:00:00"/>
    <s v="dom"/>
    <x v="2"/>
    <x v="0"/>
    <m/>
    <s v="191746117"/>
  </r>
  <r>
    <n v="1917"/>
    <n v="31"/>
    <s v="Feminino"/>
    <s v="Pintura"/>
    <s v="Operador"/>
    <s v="3º Turno"/>
    <x v="0"/>
    <s v="Não"/>
    <x v="2"/>
    <d v="2026-04-12T00:00:00"/>
    <d v="2026-04-01T00:00:00"/>
    <s v="sáb"/>
    <x v="2"/>
    <x v="1"/>
    <m/>
    <s v="191746124"/>
  </r>
  <r>
    <n v="1918"/>
    <n v="45"/>
    <s v="Masculino"/>
    <s v="Soldagem"/>
    <s v="Operador"/>
    <s v="2º Turno"/>
    <x v="0"/>
    <s v="Não"/>
    <x v="2"/>
    <d v="2026-04-12T00:00:00"/>
    <d v="2026-04-01T00:00:00"/>
    <s v="dom"/>
    <x v="2"/>
    <x v="0"/>
    <m/>
    <s v="191846124"/>
  </r>
  <r>
    <n v="1918"/>
    <n v="45"/>
    <s v="Masculino"/>
    <s v="Soldagem"/>
    <s v="Operador"/>
    <s v="2º Turno"/>
    <x v="0"/>
    <s v="Não"/>
    <x v="2"/>
    <d v="2026-05-26T00:00:00"/>
    <d v="2026-05-01T00:00:00"/>
    <s v="seg"/>
    <x v="0"/>
    <x v="1"/>
    <m/>
    <s v="191846168"/>
  </r>
  <r>
    <n v="1919"/>
    <n v="30"/>
    <s v="Masculino"/>
    <s v="Montagem"/>
    <s v="Operador"/>
    <s v="1º Turno"/>
    <x v="0"/>
    <s v="Não"/>
    <x v="0"/>
    <d v="2026-04-05T00:00:00"/>
    <d v="2026-04-01T00:00:00"/>
    <s v="dom"/>
    <x v="2"/>
    <x v="0"/>
    <m/>
    <s v="191946117"/>
  </r>
  <r>
    <n v="1919"/>
    <n v="30"/>
    <s v="Masculino"/>
    <s v="Montagem"/>
    <s v="Operador"/>
    <s v="1º Turno"/>
    <x v="0"/>
    <s v="Não"/>
    <x v="0"/>
    <d v="2026-04-10T00:00:00"/>
    <d v="2026-04-01T00:00:00"/>
    <s v="qui"/>
    <x v="2"/>
    <x v="1"/>
    <m/>
    <s v="191946122"/>
  </r>
  <r>
    <n v="1920"/>
    <n v="52"/>
    <s v="Feminino"/>
    <s v="Qualidade"/>
    <s v="Analista"/>
    <s v="1º Turno"/>
    <x v="0"/>
    <s v="Não"/>
    <x v="2"/>
    <d v="2026-04-05T00:00:00"/>
    <d v="2026-04-01T00:00:00"/>
    <s v="dom"/>
    <x v="2"/>
    <x v="0"/>
    <m/>
    <s v="192046117"/>
  </r>
  <r>
    <n v="1920"/>
    <n v="52"/>
    <s v="Feminino"/>
    <s v="Qualidade"/>
    <s v="Analista"/>
    <s v="1º Turno"/>
    <x v="0"/>
    <s v="Não"/>
    <x v="2"/>
    <d v="2026-05-18T00:00:00"/>
    <d v="2026-05-01T00:00:00"/>
    <s v="dom"/>
    <x v="0"/>
    <x v="1"/>
    <m/>
    <s v="192046160"/>
  </r>
  <r>
    <n v="1922"/>
    <n v="21"/>
    <s v="Feminino"/>
    <s v="Soldagem"/>
    <s v="Operador"/>
    <s v="3º Turno"/>
    <x v="0"/>
    <s v="Não"/>
    <x v="2"/>
    <d v="2026-05-03T00:00:00"/>
    <d v="2026-05-01T00:00:00"/>
    <s v="dom"/>
    <x v="0"/>
    <x v="0"/>
    <m/>
    <s v="192246145"/>
  </r>
  <r>
    <n v="1922"/>
    <n v="21"/>
    <s v="Feminino"/>
    <s v="Soldagem"/>
    <s v="Operador"/>
    <s v="3º Turno"/>
    <x v="0"/>
    <s v="Não"/>
    <x v="2"/>
    <d v="2026-04-05T00:00:00"/>
    <d v="2026-04-01T00:00:00"/>
    <s v="dom"/>
    <x v="2"/>
    <x v="0"/>
    <m/>
    <s v="192246117"/>
  </r>
  <r>
    <n v="1922"/>
    <n v="21"/>
    <s v="Feminino"/>
    <s v="Soldagem"/>
    <s v="Operador"/>
    <s v="3º Turno"/>
    <x v="0"/>
    <s v="Não"/>
    <x v="2"/>
    <d v="2026-04-12T00:00:00"/>
    <d v="2026-04-01T00:00:00"/>
    <s v="sáb"/>
    <x v="0"/>
    <x v="1"/>
    <m/>
    <s v="192246124"/>
  </r>
  <r>
    <n v="1922"/>
    <n v="21"/>
    <s v="Feminino"/>
    <s v="Soldagem"/>
    <s v="Operador"/>
    <s v="3º Turno"/>
    <x v="0"/>
    <s v="Não"/>
    <x v="2"/>
    <d v="2026-05-17T00:00:00"/>
    <d v="2026-05-01T00:00:00"/>
    <s v="sáb"/>
    <x v="0"/>
    <x v="1"/>
    <m/>
    <s v="192246159"/>
  </r>
  <r>
    <n v="1924"/>
    <n v="38"/>
    <s v="Feminino"/>
    <s v="Montagem"/>
    <s v="Operador"/>
    <s v="1º Turno"/>
    <x v="0"/>
    <s v="Não"/>
    <x v="1"/>
    <d v="2026-04-18T00:00:00"/>
    <d v="2026-04-01T00:00:00"/>
    <s v="sáb"/>
    <x v="2"/>
    <x v="0"/>
    <m/>
    <s v="192446130"/>
  </r>
  <r>
    <n v="1924"/>
    <n v="38"/>
    <s v="Feminino"/>
    <s v="Montagem"/>
    <s v="Operador"/>
    <s v="1º Turno"/>
    <x v="0"/>
    <s v="Não"/>
    <x v="1"/>
    <d v="2026-04-05T00:00:00"/>
    <d v="2026-04-01T00:00:00"/>
    <s v="sex"/>
    <x v="2"/>
    <x v="1"/>
    <m/>
    <s v="192446117"/>
  </r>
  <r>
    <n v="1925"/>
    <n v="54"/>
    <s v="Feminino"/>
    <s v="Montagem"/>
    <s v="Operador"/>
    <s v="1º Turno"/>
    <x v="0"/>
    <s v="Não"/>
    <x v="0"/>
    <d v="2026-05-11T00:00:00"/>
    <d v="2026-05-01T00:00:00"/>
    <s v="seg"/>
    <x v="0"/>
    <x v="0"/>
    <m/>
    <s v="192546153"/>
  </r>
  <r>
    <n v="1925"/>
    <n v="54"/>
    <s v="Feminino"/>
    <s v="Montagem"/>
    <s v="Operador"/>
    <s v="1º Turno"/>
    <x v="0"/>
    <s v="Não"/>
    <x v="0"/>
    <d v="2026-04-05T00:00:00"/>
    <d v="2026-04-01T00:00:00"/>
    <s v="dom"/>
    <x v="0"/>
    <x v="1"/>
    <m/>
    <s v="192546117"/>
  </r>
  <r>
    <n v="1926"/>
    <n v="46"/>
    <s v="Masculino"/>
    <s v="Pintura"/>
    <s v="Operador"/>
    <s v="3º Turno"/>
    <x v="0"/>
    <s v="Não"/>
    <x v="1"/>
    <d v="2026-04-12T00:00:00"/>
    <d v="2026-04-01T00:00:00"/>
    <s v="dom"/>
    <x v="2"/>
    <x v="0"/>
    <m/>
    <s v="192646124"/>
  </r>
  <r>
    <n v="1926"/>
    <n v="46"/>
    <s v="Masculino"/>
    <s v="Pintura"/>
    <s v="Operador"/>
    <s v="3º Turno"/>
    <x v="0"/>
    <s v="Não"/>
    <x v="1"/>
    <d v="2026-05-16T00:00:00"/>
    <d v="2026-05-01T00:00:00"/>
    <s v="sex"/>
    <x v="0"/>
    <x v="1"/>
    <m/>
    <s v="192646158"/>
  </r>
  <r>
    <n v="1927"/>
    <n v="24"/>
    <s v="Feminino"/>
    <s v="Montagem"/>
    <s v="Operador"/>
    <s v="3º Turno"/>
    <x v="0"/>
    <s v="Não"/>
    <x v="1"/>
    <d v="2026-04-05T00:00:00"/>
    <d v="2026-04-01T00:00:00"/>
    <s v="dom"/>
    <x v="2"/>
    <x v="0"/>
    <m/>
    <s v="192746117"/>
  </r>
  <r>
    <n v="1927"/>
    <n v="24"/>
    <s v="Feminino"/>
    <s v="Montagem"/>
    <s v="Operador"/>
    <s v="3º Turno"/>
    <x v="0"/>
    <s v="Não"/>
    <x v="1"/>
    <d v="2026-04-12T00:00:00"/>
    <d v="2026-04-01T00:00:00"/>
    <s v="dom"/>
    <x v="2"/>
    <x v="0"/>
    <m/>
    <s v="192746124"/>
  </r>
  <r>
    <n v="1927"/>
    <n v="24"/>
    <s v="Feminino"/>
    <s v="Montagem"/>
    <s v="Operador"/>
    <s v="3º Turno"/>
    <x v="0"/>
    <s v="Não"/>
    <x v="1"/>
    <d v="2026-04-10T00:00:00"/>
    <d v="2026-04-01T00:00:00"/>
    <s v="qui"/>
    <x v="2"/>
    <x v="1"/>
    <m/>
    <s v="192746122"/>
  </r>
  <r>
    <n v="1927"/>
    <n v="24"/>
    <s v="Feminino"/>
    <s v="Montagem"/>
    <s v="Operador"/>
    <s v="3º Turno"/>
    <x v="0"/>
    <s v="Não"/>
    <x v="1"/>
    <d v="2026-04-21T00:00:00"/>
    <d v="2026-04-01T00:00:00"/>
    <s v="seg"/>
    <x v="2"/>
    <x v="1"/>
    <m/>
    <s v="192746133"/>
  </r>
  <r>
    <n v="1930"/>
    <n v="37"/>
    <s v="Masculino"/>
    <s v="Logistica"/>
    <s v="Operador"/>
    <s v="1º Turno"/>
    <x v="0"/>
    <s v="Não"/>
    <x v="0"/>
    <d v="2026-04-12T00:00:00"/>
    <d v="2026-04-01T00:00:00"/>
    <s v="dom"/>
    <x v="2"/>
    <x v="0"/>
    <m/>
    <s v="193046124"/>
  </r>
  <r>
    <n v="1930"/>
    <n v="37"/>
    <s v="Masculino"/>
    <s v="Logistica"/>
    <s v="Operador"/>
    <s v="1º Turno"/>
    <x v="0"/>
    <s v="Não"/>
    <x v="0"/>
    <d v="2026-05-03T00:00:00"/>
    <d v="2026-05-01T00:00:00"/>
    <s v="sáb"/>
    <x v="0"/>
    <x v="1"/>
    <m/>
    <s v="193046145"/>
  </r>
  <r>
    <n v="1931"/>
    <n v="27"/>
    <s v="Feminino"/>
    <s v="Logistica"/>
    <s v="Operador"/>
    <s v="1º Turno"/>
    <x v="0"/>
    <s v="Não"/>
    <x v="2"/>
    <d v="2026-05-07T00:00:00"/>
    <d v="2026-05-01T00:00:00"/>
    <s v="qui"/>
    <x v="0"/>
    <x v="0"/>
    <m/>
    <s v="193146149"/>
  </r>
  <r>
    <n v="1931"/>
    <n v="27"/>
    <s v="Feminino"/>
    <s v="Logistica"/>
    <s v="Operador"/>
    <s v="1º Turno"/>
    <x v="0"/>
    <s v="Não"/>
    <x v="2"/>
    <d v="2026-04-05T00:00:00"/>
    <d v="2026-04-01T00:00:00"/>
    <s v="qua"/>
    <x v="0"/>
    <x v="1"/>
    <m/>
    <s v="193146117"/>
  </r>
  <r>
    <n v="1932"/>
    <n v="33"/>
    <s v="Masculino"/>
    <s v="Montagem"/>
    <s v="Operador"/>
    <s v="3º Turno"/>
    <x v="0"/>
    <s v="Não"/>
    <x v="1"/>
    <d v="2026-05-07T00:00:00"/>
    <d v="2026-05-01T00:00:00"/>
    <s v="qui"/>
    <x v="0"/>
    <x v="0"/>
    <m/>
    <s v="193246149"/>
  </r>
  <r>
    <n v="1932"/>
    <n v="33"/>
    <s v="Masculino"/>
    <s v="Montagem"/>
    <s v="Operador"/>
    <s v="3º Turno"/>
    <x v="0"/>
    <s v="Não"/>
    <x v="1"/>
    <d v="2026-04-05T00:00:00"/>
    <d v="2026-04-01T00:00:00"/>
    <s v="qua"/>
    <x v="0"/>
    <x v="1"/>
    <m/>
    <s v="193246117"/>
  </r>
  <r>
    <n v="1934"/>
    <n v="52"/>
    <s v="Masculino"/>
    <s v="Qualidade"/>
    <s v="Analista"/>
    <s v="2º Turno"/>
    <x v="0"/>
    <s v="Não"/>
    <x v="2"/>
    <d v="2026-05-21T00:00:00"/>
    <d v="2026-05-01T00:00:00"/>
    <s v="qui"/>
    <x v="0"/>
    <x v="0"/>
    <m/>
    <s v="193446163"/>
  </r>
  <r>
    <n v="1934"/>
    <n v="52"/>
    <s v="Masculino"/>
    <s v="Qualidade"/>
    <s v="Analista"/>
    <s v="2º Turno"/>
    <x v="0"/>
    <s v="Não"/>
    <x v="2"/>
    <d v="2026-04-05T00:00:00"/>
    <d v="2026-04-01T00:00:00"/>
    <s v="qua"/>
    <x v="0"/>
    <x v="1"/>
    <m/>
    <s v="193446117"/>
  </r>
  <r>
    <n v="1935"/>
    <n v="50"/>
    <s v="Feminino"/>
    <s v="Soldagem"/>
    <s v="Operador"/>
    <s v="3º Turno"/>
    <x v="0"/>
    <s v="Não"/>
    <x v="0"/>
    <d v="2026-05-28T00:00:00"/>
    <d v="2026-05-01T00:00:00"/>
    <s v="qui"/>
    <x v="0"/>
    <x v="0"/>
    <m/>
    <s v="193546170"/>
  </r>
  <r>
    <n v="1935"/>
    <n v="50"/>
    <s v="Feminino"/>
    <s v="Soldagem"/>
    <s v="Operador"/>
    <s v="3º Turno"/>
    <x v="0"/>
    <s v="Não"/>
    <x v="0"/>
    <d v="2026-04-12T00:00:00"/>
    <d v="2026-04-01T00:00:00"/>
    <s v="qua"/>
    <x v="0"/>
    <x v="1"/>
    <m/>
    <s v="193546124"/>
  </r>
  <r>
    <n v="1938"/>
    <n v="45"/>
    <s v="Masculino"/>
    <s v="Soldagem"/>
    <s v="Operador"/>
    <s v="2º Turno"/>
    <x v="0"/>
    <s v="Não"/>
    <x v="0"/>
    <d v="2026-04-21T00:00:00"/>
    <d v="2026-04-01T00:00:00"/>
    <s v="ter"/>
    <x v="2"/>
    <x v="0"/>
    <m/>
    <s v="193846133"/>
  </r>
  <r>
    <n v="1938"/>
    <n v="45"/>
    <s v="Masculino"/>
    <s v="Soldagem"/>
    <s v="Operador"/>
    <s v="2º Turno"/>
    <x v="0"/>
    <s v="Não"/>
    <x v="0"/>
    <d v="2026-04-05T00:00:00"/>
    <d v="2026-04-01T00:00:00"/>
    <s v="sáb"/>
    <x v="2"/>
    <x v="1"/>
    <m/>
    <s v="193846117"/>
  </r>
  <r>
    <n v="1939"/>
    <n v="58"/>
    <s v="Masculino"/>
    <s v="Montagem"/>
    <s v="Operador"/>
    <s v="1º Turno"/>
    <x v="0"/>
    <s v="Não"/>
    <x v="1"/>
    <d v="2026-04-05T00:00:00"/>
    <d v="2026-04-01T00:00:00"/>
    <s v="dom"/>
    <x v="2"/>
    <x v="0"/>
    <m/>
    <s v="193946117"/>
  </r>
  <r>
    <n v="1939"/>
    <n v="58"/>
    <s v="Masculino"/>
    <s v="Montagem"/>
    <s v="Operador"/>
    <s v="1º Turno"/>
    <x v="0"/>
    <s v="Não"/>
    <x v="1"/>
    <d v="2026-05-22T00:00:00"/>
    <d v="2026-05-01T00:00:00"/>
    <s v="qui"/>
    <x v="0"/>
    <x v="1"/>
    <m/>
    <s v="193946164"/>
  </r>
  <r>
    <n v="1944"/>
    <n v="52"/>
    <s v="Feminino"/>
    <s v="Montagem"/>
    <s v="Operador"/>
    <s v="1º Turno"/>
    <x v="0"/>
    <s v="Não"/>
    <x v="2"/>
    <d v="2026-04-12T00:00:00"/>
    <d v="2026-04-01T00:00:00"/>
    <s v="dom"/>
    <x v="2"/>
    <x v="0"/>
    <m/>
    <s v="194446124"/>
  </r>
  <r>
    <n v="1944"/>
    <n v="52"/>
    <s v="Feminino"/>
    <s v="Montagem"/>
    <s v="Operador"/>
    <s v="1º Turno"/>
    <x v="0"/>
    <s v="Não"/>
    <x v="2"/>
    <d v="2026-04-19T00:00:00"/>
    <d v="2026-04-01T00:00:00"/>
    <s v="sáb"/>
    <x v="2"/>
    <x v="1"/>
    <m/>
    <s v="194446131"/>
  </r>
  <r>
    <n v="1945"/>
    <n v="31"/>
    <s v="Masculino"/>
    <s v="Soldagem"/>
    <s v="Operador"/>
    <s v="3º Turno"/>
    <x v="0"/>
    <s v="Não"/>
    <x v="1"/>
    <d v="2026-04-12T00:00:00"/>
    <d v="2026-04-01T00:00:00"/>
    <s v="dom"/>
    <x v="2"/>
    <x v="0"/>
    <m/>
    <s v="194546124"/>
  </r>
  <r>
    <n v="1945"/>
    <n v="31"/>
    <s v="Masculino"/>
    <s v="Soldagem"/>
    <s v="Operador"/>
    <s v="3º Turno"/>
    <x v="0"/>
    <s v="Não"/>
    <x v="1"/>
    <d v="2026-05-19T00:00:00"/>
    <d v="2026-05-01T00:00:00"/>
    <s v="seg"/>
    <x v="0"/>
    <x v="1"/>
    <m/>
    <s v="194546161"/>
  </r>
  <r>
    <n v="1947"/>
    <n v="26"/>
    <s v="Feminino"/>
    <s v="Qualidade"/>
    <s v="Analista"/>
    <s v="1º Turno"/>
    <x v="0"/>
    <s v="Não"/>
    <x v="1"/>
    <d v="2026-04-05T00:00:00"/>
    <d v="2026-04-01T00:00:00"/>
    <s v="dom"/>
    <x v="2"/>
    <x v="0"/>
    <m/>
    <s v="194746117"/>
  </r>
  <r>
    <n v="1947"/>
    <n v="26"/>
    <s v="Feminino"/>
    <s v="Qualidade"/>
    <s v="Analista"/>
    <s v="1º Turno"/>
    <x v="0"/>
    <s v="Não"/>
    <x v="1"/>
    <d v="2026-05-21T00:00:00"/>
    <d v="2026-05-01T00:00:00"/>
    <s v="qua"/>
    <x v="0"/>
    <x v="1"/>
    <m/>
    <s v="194746163"/>
  </r>
  <r>
    <n v="1026"/>
    <n v="37"/>
    <s v="Masculino"/>
    <s v="Pintura"/>
    <s v="Operador"/>
    <s v="3º Turno"/>
    <x v="1"/>
    <s v="Não"/>
    <x v="1"/>
    <d v="2026-05-01T00:00:00"/>
    <d v="2026-05-01T00:00:00"/>
    <s v="sex"/>
    <x v="0"/>
    <x v="0"/>
    <m/>
    <s v="102646143"/>
  </r>
  <r>
    <n v="1026"/>
    <n v="37"/>
    <s v="Masculino"/>
    <s v="Pintura"/>
    <s v="Operador"/>
    <s v="3º Turno"/>
    <x v="1"/>
    <s v="Não"/>
    <x v="1"/>
    <d v="2026-05-02T00:00:00"/>
    <d v="2026-05-01T00:00:00"/>
    <s v="sáb"/>
    <x v="0"/>
    <x v="0"/>
    <m/>
    <s v="102646144"/>
  </r>
  <r>
    <n v="1026"/>
    <n v="37"/>
    <s v="Masculino"/>
    <s v="Pintura"/>
    <s v="Operador"/>
    <s v="3º Turno"/>
    <x v="1"/>
    <s v="Não"/>
    <x v="1"/>
    <d v="2026-05-03T00:00:00"/>
    <d v="2026-05-01T00:00:00"/>
    <s v="dom"/>
    <x v="0"/>
    <x v="0"/>
    <m/>
    <s v="102646145"/>
  </r>
  <r>
    <n v="1026"/>
    <n v="37"/>
    <s v="Masculino"/>
    <s v="Pintura"/>
    <s v="Operador"/>
    <s v="3º Turno"/>
    <x v="1"/>
    <s v="Não"/>
    <x v="1"/>
    <d v="2026-05-04T00:00:00"/>
    <d v="2026-05-01T00:00:00"/>
    <s v="seg"/>
    <x v="0"/>
    <x v="0"/>
    <m/>
    <s v="102646146"/>
  </r>
  <r>
    <n v="1026"/>
    <n v="37"/>
    <s v="Masculino"/>
    <s v="Pintura"/>
    <s v="Operador"/>
    <s v="3º Turno"/>
    <x v="1"/>
    <s v="Não"/>
    <x v="1"/>
    <d v="2026-05-05T00:00:00"/>
    <d v="2026-05-01T00:00:00"/>
    <s v="ter"/>
    <x v="0"/>
    <x v="0"/>
    <m/>
    <s v="102646147"/>
  </r>
  <r>
    <n v="1026"/>
    <n v="37"/>
    <s v="Masculino"/>
    <s v="Pintura"/>
    <s v="Operador"/>
    <s v="3º Turno"/>
    <x v="1"/>
    <s v="Não"/>
    <x v="1"/>
    <d v="2026-05-06T00:00:00"/>
    <d v="2026-05-01T00:00:00"/>
    <s v="qua"/>
    <x v="0"/>
    <x v="0"/>
    <m/>
    <s v="102646148"/>
  </r>
  <r>
    <n v="1026"/>
    <n v="37"/>
    <s v="Masculino"/>
    <s v="Pintura"/>
    <s v="Operador"/>
    <s v="3º Turno"/>
    <x v="1"/>
    <s v="Não"/>
    <x v="1"/>
    <d v="2026-05-07T00:00:00"/>
    <d v="2026-05-01T00:00:00"/>
    <s v="qui"/>
    <x v="0"/>
    <x v="0"/>
    <m/>
    <s v="102646149"/>
  </r>
  <r>
    <n v="1026"/>
    <n v="37"/>
    <s v="Masculino"/>
    <s v="Pintura"/>
    <s v="Operador"/>
    <s v="3º Turno"/>
    <x v="1"/>
    <s v="Não"/>
    <x v="1"/>
    <d v="2026-05-08T00:00:00"/>
    <d v="2026-05-01T00:00:00"/>
    <s v="sex"/>
    <x v="0"/>
    <x v="0"/>
    <m/>
    <s v="102646150"/>
  </r>
  <r>
    <n v="1026"/>
    <n v="37"/>
    <s v="Masculino"/>
    <s v="Pintura"/>
    <s v="Operador"/>
    <s v="3º Turno"/>
    <x v="1"/>
    <s v="Não"/>
    <x v="1"/>
    <d v="2026-05-09T00:00:00"/>
    <d v="2026-05-01T00:00:00"/>
    <s v="sáb"/>
    <x v="0"/>
    <x v="0"/>
    <m/>
    <s v="102646151"/>
  </r>
  <r>
    <n v="1026"/>
    <n v="37"/>
    <s v="Masculino"/>
    <s v="Pintura"/>
    <s v="Operador"/>
    <s v="3º Turno"/>
    <x v="1"/>
    <s v="Não"/>
    <x v="1"/>
    <d v="2026-05-10T00:00:00"/>
    <d v="2026-05-01T00:00:00"/>
    <s v="dom"/>
    <x v="0"/>
    <x v="0"/>
    <m/>
    <s v="102646152"/>
  </r>
  <r>
    <n v="1026"/>
    <n v="37"/>
    <s v="Masculino"/>
    <s v="Pintura"/>
    <s v="Operador"/>
    <s v="3º Turno"/>
    <x v="1"/>
    <s v="Não"/>
    <x v="1"/>
    <d v="2026-05-11T00:00:00"/>
    <d v="2026-05-01T00:00:00"/>
    <s v="seg"/>
    <x v="0"/>
    <x v="0"/>
    <m/>
    <s v="102646153"/>
  </r>
  <r>
    <n v="1026"/>
    <n v="37"/>
    <s v="Masculino"/>
    <s v="Pintura"/>
    <s v="Operador"/>
    <s v="3º Turno"/>
    <x v="1"/>
    <s v="Não"/>
    <x v="1"/>
    <d v="2026-05-12T00:00:00"/>
    <d v="2026-05-01T00:00:00"/>
    <s v="ter"/>
    <x v="0"/>
    <x v="0"/>
    <m/>
    <s v="102646154"/>
  </r>
  <r>
    <n v="1026"/>
    <n v="37"/>
    <s v="Masculino"/>
    <s v="Pintura"/>
    <s v="Operador"/>
    <s v="3º Turno"/>
    <x v="1"/>
    <s v="Não"/>
    <x v="1"/>
    <d v="2026-05-13T00:00:00"/>
    <d v="2026-05-01T00:00:00"/>
    <s v="qua"/>
    <x v="0"/>
    <x v="0"/>
    <m/>
    <s v="102646155"/>
  </r>
  <r>
    <n v="1026"/>
    <n v="37"/>
    <s v="Masculino"/>
    <s v="Pintura"/>
    <s v="Operador"/>
    <s v="3º Turno"/>
    <x v="1"/>
    <s v="Não"/>
    <x v="1"/>
    <d v="2026-05-14T00:00:00"/>
    <d v="2026-05-01T00:00:00"/>
    <s v="qui"/>
    <x v="0"/>
    <x v="0"/>
    <m/>
    <s v="102646156"/>
  </r>
  <r>
    <n v="1026"/>
    <n v="37"/>
    <s v="Masculino"/>
    <s v="Pintura"/>
    <s v="Operador"/>
    <s v="3º Turno"/>
    <x v="1"/>
    <s v="Não"/>
    <x v="1"/>
    <d v="2026-05-15T00:00:00"/>
    <d v="2026-05-01T00:00:00"/>
    <s v="sex"/>
    <x v="0"/>
    <x v="0"/>
    <m/>
    <s v="102646157"/>
  </r>
  <r>
    <n v="1026"/>
    <n v="37"/>
    <s v="Masculino"/>
    <s v="Pintura"/>
    <s v="Operador"/>
    <s v="3º Turno"/>
    <x v="1"/>
    <s v="Não"/>
    <x v="1"/>
    <d v="2026-05-16T00:00:00"/>
    <d v="2026-05-01T00:00:00"/>
    <s v="sáb"/>
    <x v="0"/>
    <x v="0"/>
    <m/>
    <s v="102646158"/>
  </r>
  <r>
    <n v="1026"/>
    <n v="37"/>
    <s v="Masculino"/>
    <s v="Pintura"/>
    <s v="Operador"/>
    <s v="3º Turno"/>
    <x v="1"/>
    <s v="Não"/>
    <x v="1"/>
    <d v="2026-05-17T00:00:00"/>
    <d v="2026-05-01T00:00:00"/>
    <s v="dom"/>
    <x v="0"/>
    <x v="0"/>
    <m/>
    <s v="102646159"/>
  </r>
  <r>
    <n v="1026"/>
    <n v="37"/>
    <s v="Masculino"/>
    <s v="Pintura"/>
    <s v="Operador"/>
    <s v="3º Turno"/>
    <x v="1"/>
    <s v="Não"/>
    <x v="1"/>
    <d v="2026-05-18T00:00:00"/>
    <d v="2026-05-01T00:00:00"/>
    <s v="seg"/>
    <x v="0"/>
    <x v="0"/>
    <m/>
    <s v="102646160"/>
  </r>
  <r>
    <n v="1026"/>
    <n v="37"/>
    <s v="Masculino"/>
    <s v="Pintura"/>
    <s v="Operador"/>
    <s v="3º Turno"/>
    <x v="1"/>
    <s v="Não"/>
    <x v="1"/>
    <d v="2026-05-19T00:00:00"/>
    <d v="2026-05-01T00:00:00"/>
    <s v="ter"/>
    <x v="0"/>
    <x v="0"/>
    <m/>
    <s v="102646161"/>
  </r>
  <r>
    <n v="1026"/>
    <n v="37"/>
    <s v="Masculino"/>
    <s v="Pintura"/>
    <s v="Operador"/>
    <s v="3º Turno"/>
    <x v="1"/>
    <s v="Não"/>
    <x v="1"/>
    <d v="2026-05-20T00:00:00"/>
    <d v="2026-05-01T00:00:00"/>
    <s v="qua"/>
    <x v="0"/>
    <x v="0"/>
    <m/>
    <s v="102646162"/>
  </r>
  <r>
    <n v="1026"/>
    <n v="37"/>
    <s v="Masculino"/>
    <s v="Pintura"/>
    <s v="Operador"/>
    <s v="3º Turno"/>
    <x v="1"/>
    <s v="Não"/>
    <x v="1"/>
    <d v="2026-05-21T00:00:00"/>
    <d v="2026-05-01T00:00:00"/>
    <s v="qui"/>
    <x v="0"/>
    <x v="0"/>
    <m/>
    <s v="102646163"/>
  </r>
  <r>
    <n v="1026"/>
    <n v="37"/>
    <s v="Masculino"/>
    <s v="Pintura"/>
    <s v="Operador"/>
    <s v="3º Turno"/>
    <x v="1"/>
    <s v="Não"/>
    <x v="1"/>
    <d v="2026-05-22T00:00:00"/>
    <d v="2026-05-01T00:00:00"/>
    <s v="sex"/>
    <x v="0"/>
    <x v="0"/>
    <m/>
    <s v="102646164"/>
  </r>
  <r>
    <n v="1026"/>
    <n v="37"/>
    <s v="Masculino"/>
    <s v="Pintura"/>
    <s v="Operador"/>
    <s v="3º Turno"/>
    <x v="1"/>
    <s v="Não"/>
    <x v="1"/>
    <d v="2026-05-23T00:00:00"/>
    <d v="2026-05-01T00:00:00"/>
    <s v="sáb"/>
    <x v="0"/>
    <x v="0"/>
    <m/>
    <s v="102646165"/>
  </r>
  <r>
    <n v="1026"/>
    <n v="37"/>
    <s v="Masculino"/>
    <s v="Pintura"/>
    <s v="Operador"/>
    <s v="3º Turno"/>
    <x v="1"/>
    <s v="Não"/>
    <x v="1"/>
    <d v="2026-05-24T00:00:00"/>
    <d v="2026-05-01T00:00:00"/>
    <s v="dom"/>
    <x v="0"/>
    <x v="0"/>
    <m/>
    <s v="102646166"/>
  </r>
  <r>
    <n v="1026"/>
    <n v="37"/>
    <s v="Masculino"/>
    <s v="Pintura"/>
    <s v="Operador"/>
    <s v="3º Turno"/>
    <x v="1"/>
    <s v="Não"/>
    <x v="1"/>
    <d v="2026-05-25T00:00:00"/>
    <d v="2026-05-01T00:00:00"/>
    <s v="seg"/>
    <x v="0"/>
    <x v="0"/>
    <m/>
    <s v="102646167"/>
  </r>
  <r>
    <n v="1026"/>
    <n v="37"/>
    <s v="Masculino"/>
    <s v="Pintura"/>
    <s v="Operador"/>
    <s v="3º Turno"/>
    <x v="1"/>
    <s v="Não"/>
    <x v="1"/>
    <d v="2026-05-26T00:00:00"/>
    <d v="2026-05-01T00:00:00"/>
    <s v="ter"/>
    <x v="0"/>
    <x v="0"/>
    <m/>
    <s v="102646168"/>
  </r>
  <r>
    <n v="1026"/>
    <n v="37"/>
    <s v="Masculino"/>
    <s v="Pintura"/>
    <s v="Operador"/>
    <s v="3º Turno"/>
    <x v="1"/>
    <s v="Não"/>
    <x v="1"/>
    <d v="2026-05-27T00:00:00"/>
    <d v="2026-05-01T00:00:00"/>
    <s v="qua"/>
    <x v="0"/>
    <x v="0"/>
    <m/>
    <s v="102646169"/>
  </r>
  <r>
    <n v="1026"/>
    <n v="37"/>
    <s v="Masculino"/>
    <s v="Pintura"/>
    <s v="Operador"/>
    <s v="3º Turno"/>
    <x v="1"/>
    <s v="Não"/>
    <x v="1"/>
    <d v="2026-05-28T00:00:00"/>
    <d v="2026-05-01T00:00:00"/>
    <s v="qui"/>
    <x v="0"/>
    <x v="0"/>
    <m/>
    <s v="102646170"/>
  </r>
  <r>
    <n v="1026"/>
    <n v="37"/>
    <s v="Masculino"/>
    <s v="Pintura"/>
    <s v="Operador"/>
    <s v="3º Turno"/>
    <x v="1"/>
    <s v="Não"/>
    <x v="1"/>
    <d v="2026-05-29T00:00:00"/>
    <d v="2026-05-01T00:00:00"/>
    <s v="sex"/>
    <x v="0"/>
    <x v="0"/>
    <m/>
    <s v="102646171"/>
  </r>
  <r>
    <n v="1026"/>
    <n v="37"/>
    <s v="Masculino"/>
    <s v="Pintura"/>
    <s v="Operador"/>
    <s v="3º Turno"/>
    <x v="1"/>
    <s v="Não"/>
    <x v="1"/>
    <d v="2026-05-30T00:00:00"/>
    <d v="2026-05-01T00:00:00"/>
    <s v="sáb"/>
    <x v="0"/>
    <x v="0"/>
    <m/>
    <s v="102646172"/>
  </r>
  <r>
    <n v="1026"/>
    <n v="37"/>
    <s v="Masculino"/>
    <s v="Pintura"/>
    <s v="Operador"/>
    <s v="3º Turno"/>
    <x v="1"/>
    <s v="Não"/>
    <x v="1"/>
    <d v="2026-05-31T00:00:00"/>
    <d v="2026-05-01T00:00:00"/>
    <s v="dom"/>
    <x v="0"/>
    <x v="0"/>
    <m/>
    <s v="102646173"/>
  </r>
  <r>
    <n v="1031"/>
    <n v="27"/>
    <s v="Feminino"/>
    <s v="Logistica"/>
    <s v="Operador"/>
    <s v="1º Turno"/>
    <x v="2"/>
    <s v="Não"/>
    <x v="2"/>
    <d v="2026-06-19T00:00:00"/>
    <d v="2026-06-01T00:00:00"/>
    <s v="sex"/>
    <x v="1"/>
    <x v="0"/>
    <m/>
    <s v="103146192"/>
  </r>
  <r>
    <n v="1032"/>
    <n v="33"/>
    <s v="Masculino"/>
    <s v="Montagem"/>
    <s v="Operador"/>
    <s v="3º Turno"/>
    <x v="3"/>
    <s v="Sim"/>
    <x v="0"/>
    <d v="2025-01-16T00:00:00"/>
    <d v="2025-01-01T00:00:00"/>
    <s v="qui"/>
    <x v="5"/>
    <x v="1"/>
    <d v="2025-07-21T00:00:00"/>
    <s v="103245673"/>
  </r>
  <r>
    <n v="1032"/>
    <n v="33"/>
    <s v="Masculino"/>
    <s v="Montagem"/>
    <s v="Operador"/>
    <s v="3º Turno"/>
    <x v="0"/>
    <s v="Sim"/>
    <x v="0"/>
    <d v="2025-04-21T00:00:00"/>
    <d v="2025-04-01T00:00:00"/>
    <s v="seg"/>
    <x v="2"/>
    <x v="1"/>
    <d v="2025-07-21T00:00:00"/>
    <s v="103245768"/>
  </r>
  <r>
    <n v="1032"/>
    <n v="33"/>
    <s v="Masculino"/>
    <s v="Montagem"/>
    <s v="Operador"/>
    <s v="3º Turno"/>
    <x v="3"/>
    <s v="Sim"/>
    <x v="0"/>
    <d v="2025-07-10T00:00:00"/>
    <d v="2025-07-01T00:00:00"/>
    <s v="qui"/>
    <x v="6"/>
    <x v="1"/>
    <d v="2025-07-21T00:00:00"/>
    <s v="103245848"/>
  </r>
  <r>
    <n v="1032"/>
    <n v="33"/>
    <s v="Masculino"/>
    <s v="Montagem"/>
    <s v="Operador"/>
    <s v="3º Turno"/>
    <x v="0"/>
    <s v="Sim"/>
    <x v="0"/>
    <d v="2025-07-12T00:00:00"/>
    <d v="2025-07-01T00:00:00"/>
    <s v="sáb"/>
    <x v="6"/>
    <x v="1"/>
    <d v="2025-07-21T00:00:00"/>
    <s v="103245850"/>
  </r>
  <r>
    <n v="1032"/>
    <n v="33"/>
    <s v="Masculino"/>
    <s v="Montagem"/>
    <s v="Operador"/>
    <s v="3º Turno"/>
    <x v="3"/>
    <s v="Sim"/>
    <x v="0"/>
    <d v="2025-07-13T00:00:00"/>
    <d v="2025-07-01T00:00:00"/>
    <s v="dom"/>
    <x v="6"/>
    <x v="1"/>
    <d v="2025-07-21T00:00:00"/>
    <s v="103245851"/>
  </r>
  <r>
    <n v="1032"/>
    <n v="33"/>
    <s v="Masculino"/>
    <s v="Montagem"/>
    <s v="Operador"/>
    <s v="3º Turno"/>
    <x v="3"/>
    <s v="Sim"/>
    <x v="0"/>
    <d v="2025-07-14T00:00:00"/>
    <d v="2025-07-01T00:00:00"/>
    <s v="seg"/>
    <x v="6"/>
    <x v="1"/>
    <d v="2025-07-21T00:00:00"/>
    <s v="103245852"/>
  </r>
  <r>
    <n v="1034"/>
    <n v="52"/>
    <s v="Masculino"/>
    <s v="Qualidade"/>
    <s v="Analista"/>
    <s v="2º Turno"/>
    <x v="0"/>
    <s v="Não"/>
    <x v="2"/>
    <d v="2025-09-04T00:00:00"/>
    <d v="2025-09-01T00:00:00"/>
    <s v="qui"/>
    <x v="7"/>
    <x v="1"/>
    <m/>
    <s v="103445904"/>
  </r>
  <r>
    <n v="1034"/>
    <n v="52"/>
    <s v="Masculino"/>
    <s v="Qualidade"/>
    <s v="Analista"/>
    <s v="2º Turno"/>
    <x v="0"/>
    <s v="Não"/>
    <x v="2"/>
    <d v="2025-12-05T00:00:00"/>
    <d v="2025-12-01T00:00:00"/>
    <s v="sex"/>
    <x v="8"/>
    <x v="1"/>
    <m/>
    <s v="103445996"/>
  </r>
  <r>
    <n v="1034"/>
    <n v="52"/>
    <s v="Masculino"/>
    <s v="Qualidade"/>
    <s v="Analista"/>
    <s v="2º Turno"/>
    <x v="4"/>
    <s v="Não"/>
    <x v="2"/>
    <d v="2026-06-26T00:00:00"/>
    <d v="2026-06-01T00:00:00"/>
    <s v="sex"/>
    <x v="1"/>
    <x v="0"/>
    <m/>
    <s v="103446199"/>
  </r>
  <r>
    <n v="1034"/>
    <n v="52"/>
    <s v="Masculino"/>
    <s v="Qualidade"/>
    <s v="Analista"/>
    <s v="2º Turno"/>
    <x v="4"/>
    <s v="Não"/>
    <x v="2"/>
    <d v="2026-06-27T00:00:00"/>
    <d v="2026-06-01T00:00:00"/>
    <s v="sáb"/>
    <x v="1"/>
    <x v="0"/>
    <m/>
    <s v="103446200"/>
  </r>
  <r>
    <n v="1034"/>
    <n v="52"/>
    <s v="Masculino"/>
    <s v="Qualidade"/>
    <s v="Analista"/>
    <s v="2º Turno"/>
    <x v="4"/>
    <s v="Não"/>
    <x v="2"/>
    <d v="2026-06-28T00:00:00"/>
    <d v="2026-06-01T00:00:00"/>
    <s v="dom"/>
    <x v="1"/>
    <x v="0"/>
    <m/>
    <s v="103446201"/>
  </r>
  <r>
    <n v="1034"/>
    <n v="52"/>
    <s v="Masculino"/>
    <s v="Qualidade"/>
    <s v="Analista"/>
    <s v="2º Turno"/>
    <x v="4"/>
    <s v="Não"/>
    <x v="2"/>
    <d v="2026-06-29T00:00:00"/>
    <d v="2026-06-01T00:00:00"/>
    <s v="seg"/>
    <x v="1"/>
    <x v="0"/>
    <m/>
    <s v="103446202"/>
  </r>
  <r>
    <n v="1034"/>
    <n v="52"/>
    <s v="Masculino"/>
    <s v="Qualidade"/>
    <s v="Analista"/>
    <s v="2º Turno"/>
    <x v="4"/>
    <s v="Não"/>
    <x v="2"/>
    <d v="2026-06-30T00:00:00"/>
    <d v="2026-06-01T00:00:00"/>
    <s v="ter"/>
    <x v="1"/>
    <x v="0"/>
    <m/>
    <s v="103446203"/>
  </r>
  <r>
    <n v="1034"/>
    <n v="52"/>
    <s v="Masculino"/>
    <s v="Qualidade"/>
    <s v="Analista"/>
    <s v="2º Turno"/>
    <x v="4"/>
    <s v="Não"/>
    <x v="2"/>
    <d v="2026-02-01T00:00:00"/>
    <d v="2026-02-01T00:00:00"/>
    <s v="dom"/>
    <x v="3"/>
    <x v="0"/>
    <m/>
    <s v="103446054"/>
  </r>
  <r>
    <n v="1035"/>
    <n v="50"/>
    <s v="Feminino"/>
    <s v="Soldagem"/>
    <s v="Operador"/>
    <s v="3º Turno"/>
    <x v="4"/>
    <s v="Não"/>
    <x v="0"/>
    <d v="2025-06-24T00:00:00"/>
    <d v="2025-06-01T00:00:00"/>
    <s v="ter"/>
    <x v="1"/>
    <x v="1"/>
    <m/>
    <s v="103545832"/>
  </r>
  <r>
    <n v="1035"/>
    <n v="50"/>
    <s v="Feminino"/>
    <s v="Soldagem"/>
    <s v="Operador"/>
    <s v="3º Turno"/>
    <x v="4"/>
    <s v="Não"/>
    <x v="0"/>
    <d v="2025-06-25T00:00:00"/>
    <d v="2025-06-01T00:00:00"/>
    <s v="qua"/>
    <x v="1"/>
    <x v="1"/>
    <m/>
    <s v="103545833"/>
  </r>
  <r>
    <n v="1035"/>
    <n v="50"/>
    <s v="Feminino"/>
    <s v="Soldagem"/>
    <s v="Operador"/>
    <s v="3º Turno"/>
    <x v="4"/>
    <s v="Não"/>
    <x v="0"/>
    <d v="2025-06-26T00:00:00"/>
    <d v="2025-06-01T00:00:00"/>
    <s v="qui"/>
    <x v="1"/>
    <x v="1"/>
    <m/>
    <s v="103545834"/>
  </r>
  <r>
    <n v="1035"/>
    <n v="50"/>
    <s v="Feminino"/>
    <s v="Soldagem"/>
    <s v="Operador"/>
    <s v="3º Turno"/>
    <x v="4"/>
    <s v="Não"/>
    <x v="0"/>
    <d v="2025-06-27T00:00:00"/>
    <d v="2025-06-01T00:00:00"/>
    <s v="sex"/>
    <x v="1"/>
    <x v="1"/>
    <m/>
    <s v="103545835"/>
  </r>
  <r>
    <n v="1035"/>
    <n v="50"/>
    <s v="Feminino"/>
    <s v="Soldagem"/>
    <s v="Operador"/>
    <s v="3º Turno"/>
    <x v="4"/>
    <s v="Não"/>
    <x v="0"/>
    <d v="2025-06-28T00:00:00"/>
    <d v="2025-06-01T00:00:00"/>
    <s v="sáb"/>
    <x v="1"/>
    <x v="1"/>
    <m/>
    <s v="103545836"/>
  </r>
  <r>
    <n v="1035"/>
    <n v="50"/>
    <s v="Feminino"/>
    <s v="Soldagem"/>
    <s v="Operador"/>
    <s v="3º Turno"/>
    <x v="4"/>
    <s v="Não"/>
    <x v="0"/>
    <d v="2025-06-29T00:00:00"/>
    <d v="2025-06-01T00:00:00"/>
    <s v="dom"/>
    <x v="1"/>
    <x v="1"/>
    <m/>
    <s v="103545837"/>
  </r>
  <r>
    <n v="1046"/>
    <n v="44"/>
    <s v="Feminino"/>
    <s v="Soldagem"/>
    <s v="Operador"/>
    <s v="2º Turno"/>
    <x v="4"/>
    <s v="Não"/>
    <x v="1"/>
    <d v="2025-04-20T00:00:00"/>
    <d v="2025-04-01T00:00:00"/>
    <s v="dom"/>
    <x v="2"/>
    <x v="1"/>
    <m/>
    <s v="104645767"/>
  </r>
  <r>
    <n v="1046"/>
    <n v="44"/>
    <s v="Feminino"/>
    <s v="Soldagem"/>
    <s v="Operador"/>
    <s v="2º Turno"/>
    <x v="4"/>
    <s v="Não"/>
    <x v="1"/>
    <d v="2025-04-21T00:00:00"/>
    <d v="2025-04-01T00:00:00"/>
    <s v="seg"/>
    <x v="2"/>
    <x v="1"/>
    <m/>
    <s v="104645768"/>
  </r>
  <r>
    <n v="1046"/>
    <n v="44"/>
    <s v="Feminino"/>
    <s v="Soldagem"/>
    <s v="Operador"/>
    <s v="2º Turno"/>
    <x v="4"/>
    <s v="Não"/>
    <x v="1"/>
    <d v="2025-04-22T00:00:00"/>
    <d v="2025-04-01T00:00:00"/>
    <s v="ter"/>
    <x v="2"/>
    <x v="1"/>
    <m/>
    <s v="104645769"/>
  </r>
  <r>
    <n v="1046"/>
    <n v="44"/>
    <s v="Feminino"/>
    <s v="Soldagem"/>
    <s v="Operador"/>
    <s v="2º Turno"/>
    <x v="5"/>
    <s v="Não"/>
    <x v="1"/>
    <d v="2025-04-23T00:00:00"/>
    <d v="2025-04-01T00:00:00"/>
    <s v="qua"/>
    <x v="2"/>
    <x v="1"/>
    <m/>
    <s v="104645770"/>
  </r>
  <r>
    <n v="1046"/>
    <n v="44"/>
    <s v="Feminino"/>
    <s v="Soldagem"/>
    <s v="Operador"/>
    <s v="2º Turno"/>
    <x v="4"/>
    <s v="Não"/>
    <x v="1"/>
    <d v="2025-04-24T00:00:00"/>
    <d v="2025-04-01T00:00:00"/>
    <s v="qui"/>
    <x v="2"/>
    <x v="1"/>
    <m/>
    <s v="104645771"/>
  </r>
  <r>
    <n v="1046"/>
    <n v="44"/>
    <s v="Feminino"/>
    <s v="Soldagem"/>
    <s v="Operador"/>
    <s v="2º Turno"/>
    <x v="4"/>
    <s v="Não"/>
    <x v="1"/>
    <d v="2025-04-25T00:00:00"/>
    <d v="2025-04-01T00:00:00"/>
    <s v="sex"/>
    <x v="2"/>
    <x v="1"/>
    <m/>
    <s v="104645772"/>
  </r>
  <r>
    <n v="1046"/>
    <n v="44"/>
    <s v="Feminino"/>
    <s v="Soldagem"/>
    <s v="Operador"/>
    <s v="2º Turno"/>
    <x v="4"/>
    <s v="Não"/>
    <x v="1"/>
    <d v="2026-04-20T00:00:00"/>
    <d v="2026-04-01T00:00:00"/>
    <s v="dom"/>
    <x v="2"/>
    <x v="1"/>
    <m/>
    <s v="104646132"/>
  </r>
  <r>
    <n v="1046"/>
    <n v="44"/>
    <s v="Feminino"/>
    <s v="Soldagem"/>
    <s v="Operador"/>
    <s v="2º Turno"/>
    <x v="4"/>
    <s v="Não"/>
    <x v="1"/>
    <d v="2026-04-21T00:00:00"/>
    <d v="2026-04-01T00:00:00"/>
    <s v="seg"/>
    <x v="2"/>
    <x v="1"/>
    <m/>
    <s v="104646133"/>
  </r>
  <r>
    <n v="1046"/>
    <n v="44"/>
    <s v="Feminino"/>
    <s v="Soldagem"/>
    <s v="Operador"/>
    <s v="2º Turno"/>
    <x v="4"/>
    <s v="Não"/>
    <x v="1"/>
    <d v="2026-04-22T00:00:00"/>
    <d v="2026-04-01T00:00:00"/>
    <s v="ter"/>
    <x v="2"/>
    <x v="1"/>
    <m/>
    <s v="104646134"/>
  </r>
  <r>
    <n v="1046"/>
    <n v="44"/>
    <s v="Feminino"/>
    <s v="Soldagem"/>
    <s v="Operador"/>
    <s v="2º Turno"/>
    <x v="4"/>
    <s v="Não"/>
    <x v="1"/>
    <d v="2026-04-23T00:00:00"/>
    <d v="2026-04-01T00:00:00"/>
    <s v="qua"/>
    <x v="2"/>
    <x v="1"/>
    <m/>
    <s v="104646135"/>
  </r>
  <r>
    <n v="1046"/>
    <n v="44"/>
    <s v="Feminino"/>
    <s v="Soldagem"/>
    <s v="Operador"/>
    <s v="2º Turno"/>
    <x v="4"/>
    <s v="Não"/>
    <x v="1"/>
    <d v="2026-04-24T00:00:00"/>
    <d v="2026-04-01T00:00:00"/>
    <s v="qui"/>
    <x v="2"/>
    <x v="1"/>
    <m/>
    <s v="104646136"/>
  </r>
  <r>
    <n v="1046"/>
    <n v="44"/>
    <s v="Feminino"/>
    <s v="Soldagem"/>
    <s v="Operador"/>
    <s v="2º Turno"/>
    <x v="4"/>
    <s v="Não"/>
    <x v="1"/>
    <d v="2026-04-25T00:00:00"/>
    <d v="2026-04-01T00:00:00"/>
    <s v="sex"/>
    <x v="2"/>
    <x v="1"/>
    <m/>
    <s v="104646137"/>
  </r>
  <r>
    <n v="1049"/>
    <n v="40"/>
    <s v="Feminino"/>
    <s v="Pintura"/>
    <s v="Operador"/>
    <s v="3º Turno"/>
    <x v="1"/>
    <s v="Não"/>
    <x v="1"/>
    <d v="2025-07-11T00:00:00"/>
    <d v="2025-07-01T00:00:00"/>
    <s v="sex"/>
    <x v="6"/>
    <x v="1"/>
    <m/>
    <s v="104945849"/>
  </r>
  <r>
    <n v="1049"/>
    <n v="40"/>
    <s v="Feminino"/>
    <s v="Pintura"/>
    <s v="Operador"/>
    <s v="3º Turno"/>
    <x v="1"/>
    <s v="Não"/>
    <x v="1"/>
    <d v="2025-08-13T00:00:00"/>
    <d v="2025-08-01T00:00:00"/>
    <s v="qua"/>
    <x v="9"/>
    <x v="1"/>
    <m/>
    <s v="104945882"/>
  </r>
  <r>
    <n v="1049"/>
    <n v="40"/>
    <s v="Feminino"/>
    <s v="Pintura"/>
    <s v="Operador"/>
    <s v="3º Turno"/>
    <x v="1"/>
    <s v="Não"/>
    <x v="1"/>
    <d v="2025-09-07T00:00:00"/>
    <d v="2025-09-01T00:00:00"/>
    <s v="dom"/>
    <x v="7"/>
    <x v="1"/>
    <m/>
    <s v="104945907"/>
  </r>
  <r>
    <n v="1049"/>
    <n v="40"/>
    <s v="Feminino"/>
    <s v="Pintura"/>
    <s v="Operador"/>
    <s v="3º Turno"/>
    <x v="1"/>
    <s v="Não"/>
    <x v="1"/>
    <d v="2025-09-16T00:00:00"/>
    <d v="2025-09-01T00:00:00"/>
    <s v="ter"/>
    <x v="7"/>
    <x v="1"/>
    <m/>
    <s v="104945916"/>
  </r>
  <r>
    <n v="1049"/>
    <n v="40"/>
    <s v="Feminino"/>
    <s v="Pintura"/>
    <s v="Operador"/>
    <s v="3º Turno"/>
    <x v="1"/>
    <s v="Não"/>
    <x v="1"/>
    <d v="2025-11-19T00:00:00"/>
    <d v="2025-11-01T00:00:00"/>
    <s v="qua"/>
    <x v="10"/>
    <x v="1"/>
    <m/>
    <s v="104945980"/>
  </r>
  <r>
    <n v="1050"/>
    <n v="25"/>
    <s v="Feminino"/>
    <s v="Soldagem"/>
    <s v="Operador"/>
    <s v="2º Turno"/>
    <x v="1"/>
    <s v="Não"/>
    <x v="0"/>
    <d v="2025-08-02T00:00:00"/>
    <d v="2025-08-01T00:00:00"/>
    <s v="sáb"/>
    <x v="9"/>
    <x v="1"/>
    <m/>
    <s v="105045871"/>
  </r>
  <r>
    <n v="1050"/>
    <n v="25"/>
    <s v="Feminino"/>
    <s v="Soldagem"/>
    <s v="Operador"/>
    <s v="2º Turno"/>
    <x v="0"/>
    <s v="Não"/>
    <x v="0"/>
    <d v="2025-11-16T00:00:00"/>
    <d v="2025-11-01T00:00:00"/>
    <s v="dom"/>
    <x v="10"/>
    <x v="1"/>
    <m/>
    <s v="105045977"/>
  </r>
  <r>
    <n v="1050"/>
    <n v="25"/>
    <s v="Feminino"/>
    <s v="Soldagem"/>
    <s v="Operador"/>
    <s v="2º Turno"/>
    <x v="1"/>
    <s v="Não"/>
    <x v="0"/>
    <d v="2025-12-21T00:00:00"/>
    <d v="2025-12-01T00:00:00"/>
    <s v="dom"/>
    <x v="8"/>
    <x v="1"/>
    <m/>
    <s v="105046012"/>
  </r>
  <r>
    <n v="1050"/>
    <n v="25"/>
    <s v="Feminino"/>
    <s v="Soldagem"/>
    <s v="Operador"/>
    <s v="2º Turno"/>
    <x v="1"/>
    <s v="Não"/>
    <x v="0"/>
    <d v="2026-02-13T00:00:00"/>
    <d v="2026-02-01T00:00:00"/>
    <s v="sex"/>
    <x v="3"/>
    <x v="0"/>
    <m/>
    <s v="105046066"/>
  </r>
  <r>
    <n v="1051"/>
    <n v="24"/>
    <s v="Feminino"/>
    <s v="Qualidade"/>
    <s v="Inspetor"/>
    <s v="2º Turno"/>
    <x v="0"/>
    <s v="Não"/>
    <x v="0"/>
    <d v="2026-02-01T00:00:00"/>
    <d v="2026-02-01T00:00:00"/>
    <s v="dom"/>
    <x v="3"/>
    <x v="0"/>
    <m/>
    <s v="105146054"/>
  </r>
  <r>
    <n v="1051"/>
    <n v="24"/>
    <s v="Feminino"/>
    <s v="Qualidade"/>
    <s v="Inspetor"/>
    <s v="2º Turno"/>
    <x v="0"/>
    <s v="Não"/>
    <x v="0"/>
    <d v="2026-02-03T00:00:00"/>
    <d v="2026-02-01T00:00:00"/>
    <s v="ter"/>
    <x v="3"/>
    <x v="0"/>
    <m/>
    <s v="105146056"/>
  </r>
  <r>
    <n v="1051"/>
    <n v="24"/>
    <s v="Feminino"/>
    <s v="Qualidade"/>
    <s v="Inspetor"/>
    <s v="2º Turno"/>
    <x v="0"/>
    <s v="Não"/>
    <x v="0"/>
    <d v="2026-02-11T00:00:00"/>
    <d v="2026-02-01T00:00:00"/>
    <s v="qua"/>
    <x v="3"/>
    <x v="0"/>
    <m/>
    <s v="105146064"/>
  </r>
  <r>
    <n v="1051"/>
    <n v="24"/>
    <s v="Feminino"/>
    <s v="Qualidade"/>
    <s v="Inspetor"/>
    <s v="2º Turno"/>
    <x v="0"/>
    <s v="Não"/>
    <x v="0"/>
    <d v="2026-03-19T00:00:00"/>
    <d v="2026-03-01T00:00:00"/>
    <s v="qui"/>
    <x v="4"/>
    <x v="0"/>
    <m/>
    <s v="105146100"/>
  </r>
  <r>
    <n v="1051"/>
    <n v="24"/>
    <s v="Feminino"/>
    <s v="Qualidade"/>
    <s v="Inspetor"/>
    <s v="2º Turno"/>
    <x v="0"/>
    <s v="Não"/>
    <x v="0"/>
    <d v="2026-03-26T00:00:00"/>
    <d v="2026-03-01T00:00:00"/>
    <s v="qui"/>
    <x v="4"/>
    <x v="0"/>
    <m/>
    <s v="105146107"/>
  </r>
  <r>
    <n v="1051"/>
    <n v="24"/>
    <s v="Feminino"/>
    <s v="Qualidade"/>
    <s v="Inspetor"/>
    <s v="2º Turno"/>
    <x v="0"/>
    <s v="Não"/>
    <x v="0"/>
    <d v="2026-05-14T00:00:00"/>
    <d v="2026-05-01T00:00:00"/>
    <s v="qui"/>
    <x v="0"/>
    <x v="0"/>
    <m/>
    <s v="105146156"/>
  </r>
  <r>
    <n v="1065"/>
    <n v="36"/>
    <s v="Masculino"/>
    <s v="Montagem"/>
    <s v="Operador"/>
    <s v="1º Turno"/>
    <x v="4"/>
    <s v="Não"/>
    <x v="1"/>
    <d v="2025-09-23T00:00:00"/>
    <d v="2025-09-01T00:00:00"/>
    <s v="ter"/>
    <x v="7"/>
    <x v="1"/>
    <m/>
    <s v="106545923"/>
  </r>
  <r>
    <n v="1065"/>
    <n v="36"/>
    <s v="Masculino"/>
    <s v="Montagem"/>
    <s v="Operador"/>
    <s v="1º Turno"/>
    <x v="4"/>
    <s v="Não"/>
    <x v="1"/>
    <d v="2025-09-24T00:00:00"/>
    <d v="2025-09-01T00:00:00"/>
    <s v="qua"/>
    <x v="7"/>
    <x v="1"/>
    <m/>
    <s v="106545924"/>
  </r>
  <r>
    <n v="1065"/>
    <n v="36"/>
    <s v="Masculino"/>
    <s v="Montagem"/>
    <s v="Operador"/>
    <s v="1º Turno"/>
    <x v="4"/>
    <s v="Não"/>
    <x v="1"/>
    <d v="2025-09-25T00:00:00"/>
    <d v="2025-09-01T00:00:00"/>
    <s v="qui"/>
    <x v="7"/>
    <x v="1"/>
    <m/>
    <s v="106545925"/>
  </r>
  <r>
    <n v="1065"/>
    <n v="36"/>
    <s v="Masculino"/>
    <s v="Montagem"/>
    <s v="Operador"/>
    <s v="1º Turno"/>
    <x v="4"/>
    <s v="Não"/>
    <x v="1"/>
    <d v="2025-09-26T00:00:00"/>
    <d v="2025-09-01T00:00:00"/>
    <s v="sex"/>
    <x v="7"/>
    <x v="1"/>
    <m/>
    <s v="106545926"/>
  </r>
  <r>
    <n v="1065"/>
    <n v="36"/>
    <s v="Masculino"/>
    <s v="Montagem"/>
    <s v="Operador"/>
    <s v="1º Turno"/>
    <x v="2"/>
    <s v="Não"/>
    <x v="1"/>
    <d v="2025-12-10T00:00:00"/>
    <d v="2025-12-01T00:00:00"/>
    <s v="qua"/>
    <x v="8"/>
    <x v="1"/>
    <m/>
    <s v="106546001"/>
  </r>
  <r>
    <n v="1065"/>
    <n v="36"/>
    <s v="Masculino"/>
    <s v="Montagem"/>
    <s v="Operador"/>
    <s v="1º Turno"/>
    <x v="2"/>
    <s v="Não"/>
    <x v="1"/>
    <d v="2026-06-23T00:00:00"/>
    <d v="2026-06-01T00:00:00"/>
    <s v="ter"/>
    <x v="1"/>
    <x v="0"/>
    <m/>
    <s v="106546196"/>
  </r>
  <r>
    <n v="1074"/>
    <n v="27"/>
    <s v="Masculino"/>
    <s v="Montagem"/>
    <s v="Operador"/>
    <s v="3º Turno"/>
    <x v="0"/>
    <s v="Não"/>
    <x v="0"/>
    <d v="2025-06-05T00:00:00"/>
    <d v="2025-06-01T00:00:00"/>
    <s v="qui"/>
    <x v="1"/>
    <x v="1"/>
    <m/>
    <s v="107445813"/>
  </r>
  <r>
    <n v="1074"/>
    <n v="27"/>
    <s v="Masculino"/>
    <s v="Montagem"/>
    <s v="Operador"/>
    <s v="3º Turno"/>
    <x v="0"/>
    <s v="Não"/>
    <x v="0"/>
    <d v="2025-06-29T00:00:00"/>
    <d v="2025-06-01T00:00:00"/>
    <s v="dom"/>
    <x v="1"/>
    <x v="1"/>
    <m/>
    <s v="107445837"/>
  </r>
  <r>
    <n v="1074"/>
    <n v="27"/>
    <s v="Masculino"/>
    <s v="Montagem"/>
    <s v="Operador"/>
    <s v="3º Turno"/>
    <x v="0"/>
    <s v="Não"/>
    <x v="0"/>
    <d v="2025-10-03T00:00:00"/>
    <d v="2025-10-01T00:00:00"/>
    <s v="sex"/>
    <x v="11"/>
    <x v="1"/>
    <m/>
    <s v="107445933"/>
  </r>
  <r>
    <n v="1074"/>
    <n v="27"/>
    <s v="Masculino"/>
    <s v="Montagem"/>
    <s v="Operador"/>
    <s v="3º Turno"/>
    <x v="0"/>
    <s v="Não"/>
    <x v="0"/>
    <d v="2025-11-13T00:00:00"/>
    <d v="2025-11-01T00:00:00"/>
    <s v="qui"/>
    <x v="10"/>
    <x v="1"/>
    <m/>
    <s v="107445974"/>
  </r>
  <r>
    <n v="1074"/>
    <n v="27"/>
    <s v="Masculino"/>
    <s v="Montagem"/>
    <s v="Operador"/>
    <s v="3º Turno"/>
    <x v="0"/>
    <s v="Não"/>
    <x v="0"/>
    <d v="2025-12-03T00:00:00"/>
    <d v="2025-12-01T00:00:00"/>
    <s v="qua"/>
    <x v="8"/>
    <x v="1"/>
    <m/>
    <s v="107445994"/>
  </r>
  <r>
    <n v="1074"/>
    <n v="27"/>
    <s v="Masculino"/>
    <s v="Montagem"/>
    <s v="Operador"/>
    <s v="3º Turno"/>
    <x v="0"/>
    <s v="Não"/>
    <x v="0"/>
    <d v="2026-02-23T00:00:00"/>
    <d v="2026-02-01T00:00:00"/>
    <s v="seg"/>
    <x v="3"/>
    <x v="0"/>
    <m/>
    <s v="107446076"/>
  </r>
  <r>
    <n v="1075"/>
    <n v="36"/>
    <s v="Masculino"/>
    <s v="Logistica"/>
    <s v="Operador"/>
    <s v="3º Turno"/>
    <x v="4"/>
    <s v="Não"/>
    <x v="2"/>
    <d v="2025-05-21T00:00:00"/>
    <d v="2025-05-01T00:00:00"/>
    <s v="qua"/>
    <x v="0"/>
    <x v="1"/>
    <m/>
    <s v="107545798"/>
  </r>
  <r>
    <n v="1075"/>
    <n v="36"/>
    <s v="Masculino"/>
    <s v="Logistica"/>
    <s v="Operador"/>
    <s v="3º Turno"/>
    <x v="4"/>
    <s v="Não"/>
    <x v="2"/>
    <d v="2025-05-22T00:00:00"/>
    <d v="2025-05-01T00:00:00"/>
    <s v="qui"/>
    <x v="0"/>
    <x v="1"/>
    <m/>
    <s v="107545799"/>
  </r>
  <r>
    <n v="1075"/>
    <n v="36"/>
    <s v="Masculino"/>
    <s v="Logistica"/>
    <s v="Operador"/>
    <s v="3º Turno"/>
    <x v="4"/>
    <s v="Não"/>
    <x v="2"/>
    <d v="2025-05-23T00:00:00"/>
    <d v="2025-05-01T00:00:00"/>
    <s v="sex"/>
    <x v="0"/>
    <x v="1"/>
    <m/>
    <s v="107545800"/>
  </r>
  <r>
    <n v="1075"/>
    <n v="36"/>
    <s v="Masculino"/>
    <s v="Logistica"/>
    <s v="Operador"/>
    <s v="3º Turno"/>
    <x v="4"/>
    <s v="Não"/>
    <x v="2"/>
    <d v="2025-05-24T00:00:00"/>
    <d v="2025-05-01T00:00:00"/>
    <s v="sáb"/>
    <x v="0"/>
    <x v="1"/>
    <m/>
    <s v="107545801"/>
  </r>
  <r>
    <n v="1075"/>
    <n v="36"/>
    <s v="Masculino"/>
    <s v="Logistica"/>
    <s v="Operador"/>
    <s v="3º Turno"/>
    <x v="4"/>
    <s v="Não"/>
    <x v="2"/>
    <d v="2025-05-25T00:00:00"/>
    <d v="2025-05-01T00:00:00"/>
    <s v="dom"/>
    <x v="0"/>
    <x v="1"/>
    <m/>
    <s v="107545802"/>
  </r>
  <r>
    <n v="1075"/>
    <n v="36"/>
    <s v="Masculino"/>
    <s v="Logistica"/>
    <s v="Operador"/>
    <s v="3º Turno"/>
    <x v="4"/>
    <s v="Não"/>
    <x v="2"/>
    <d v="2025-05-26T00:00:00"/>
    <d v="2025-05-01T00:00:00"/>
    <s v="seg"/>
    <x v="0"/>
    <x v="1"/>
    <m/>
    <s v="107545803"/>
  </r>
  <r>
    <n v="1075"/>
    <n v="36"/>
    <s v="Masculino"/>
    <s v="Logistica"/>
    <s v="Operador"/>
    <s v="3º Turno"/>
    <x v="4"/>
    <s v="Não"/>
    <x v="2"/>
    <d v="2026-05-21T00:00:00"/>
    <d v="2026-05-01T00:00:00"/>
    <s v="qua"/>
    <x v="0"/>
    <x v="1"/>
    <m/>
    <s v="107546163"/>
  </r>
  <r>
    <n v="1075"/>
    <n v="36"/>
    <s v="Masculino"/>
    <s v="Logistica"/>
    <s v="Operador"/>
    <s v="3º Turno"/>
    <x v="4"/>
    <s v="Não"/>
    <x v="2"/>
    <d v="2026-05-22T00:00:00"/>
    <d v="2026-05-01T00:00:00"/>
    <s v="qui"/>
    <x v="0"/>
    <x v="1"/>
    <m/>
    <s v="107546164"/>
  </r>
  <r>
    <n v="1075"/>
    <n v="36"/>
    <s v="Masculino"/>
    <s v="Logistica"/>
    <s v="Operador"/>
    <s v="3º Turno"/>
    <x v="4"/>
    <s v="Não"/>
    <x v="2"/>
    <d v="2026-05-23T00:00:00"/>
    <d v="2026-05-01T00:00:00"/>
    <s v="sex"/>
    <x v="0"/>
    <x v="1"/>
    <m/>
    <s v="107546165"/>
  </r>
  <r>
    <n v="1075"/>
    <n v="36"/>
    <s v="Masculino"/>
    <s v="Logistica"/>
    <s v="Operador"/>
    <s v="3º Turno"/>
    <x v="4"/>
    <s v="Não"/>
    <x v="2"/>
    <d v="2026-05-24T00:00:00"/>
    <d v="2026-05-01T00:00:00"/>
    <s v="sáb"/>
    <x v="0"/>
    <x v="1"/>
    <m/>
    <s v="107546166"/>
  </r>
  <r>
    <n v="1075"/>
    <n v="36"/>
    <s v="Masculino"/>
    <s v="Logistica"/>
    <s v="Operador"/>
    <s v="3º Turno"/>
    <x v="4"/>
    <s v="Não"/>
    <x v="2"/>
    <d v="2026-05-25T00:00:00"/>
    <d v="2026-05-01T00:00:00"/>
    <s v="dom"/>
    <x v="0"/>
    <x v="1"/>
    <m/>
    <s v="107546167"/>
  </r>
  <r>
    <n v="1075"/>
    <n v="36"/>
    <s v="Masculino"/>
    <s v="Logistica"/>
    <s v="Operador"/>
    <s v="3º Turno"/>
    <x v="4"/>
    <s v="Não"/>
    <x v="2"/>
    <d v="2026-05-26T00:00:00"/>
    <d v="2026-05-01T00:00:00"/>
    <s v="seg"/>
    <x v="0"/>
    <x v="1"/>
    <m/>
    <s v="107546168"/>
  </r>
  <r>
    <n v="1077"/>
    <n v="27"/>
    <s v="Masculino"/>
    <s v="Qualidade"/>
    <s v="Analista"/>
    <s v="3º Turno"/>
    <x v="3"/>
    <s v="Não"/>
    <x v="2"/>
    <d v="2025-05-14T00:00:00"/>
    <d v="2025-05-01T00:00:00"/>
    <s v="qua"/>
    <x v="0"/>
    <x v="1"/>
    <m/>
    <s v="107745791"/>
  </r>
  <r>
    <n v="1077"/>
    <n v="27"/>
    <s v="Masculino"/>
    <s v="Qualidade"/>
    <s v="Analista"/>
    <s v="3º Turno"/>
    <x v="2"/>
    <s v="Não"/>
    <x v="2"/>
    <d v="2025-07-08T00:00:00"/>
    <d v="2025-07-01T00:00:00"/>
    <s v="ter"/>
    <x v="6"/>
    <x v="1"/>
    <m/>
    <s v="107745846"/>
  </r>
  <r>
    <n v="1077"/>
    <n v="27"/>
    <s v="Masculino"/>
    <s v="Qualidade"/>
    <s v="Analista"/>
    <s v="3º Turno"/>
    <x v="3"/>
    <s v="Não"/>
    <x v="2"/>
    <d v="2025-09-07T00:00:00"/>
    <d v="2025-09-01T00:00:00"/>
    <s v="dom"/>
    <x v="7"/>
    <x v="1"/>
    <m/>
    <s v="107745907"/>
  </r>
  <r>
    <n v="1077"/>
    <n v="27"/>
    <s v="Masculino"/>
    <s v="Qualidade"/>
    <s v="Analista"/>
    <s v="3º Turno"/>
    <x v="2"/>
    <s v="Não"/>
    <x v="2"/>
    <d v="2025-12-09T00:00:00"/>
    <d v="2025-12-01T00:00:00"/>
    <s v="ter"/>
    <x v="8"/>
    <x v="1"/>
    <m/>
    <s v="107746000"/>
  </r>
  <r>
    <n v="1077"/>
    <n v="27"/>
    <s v="Masculino"/>
    <s v="Qualidade"/>
    <s v="Analista"/>
    <s v="3º Turno"/>
    <x v="3"/>
    <s v="Não"/>
    <x v="2"/>
    <d v="2025-12-20T00:00:00"/>
    <d v="2025-12-01T00:00:00"/>
    <s v="sáb"/>
    <x v="8"/>
    <x v="1"/>
    <m/>
    <s v="107746011"/>
  </r>
  <r>
    <n v="1077"/>
    <n v="27"/>
    <s v="Masculino"/>
    <s v="Qualidade"/>
    <s v="Analista"/>
    <s v="3º Turno"/>
    <x v="3"/>
    <s v="Não"/>
    <x v="2"/>
    <d v="2026-03-19T00:00:00"/>
    <d v="2026-03-01T00:00:00"/>
    <s v="qui"/>
    <x v="4"/>
    <x v="0"/>
    <m/>
    <s v="107746100"/>
  </r>
  <r>
    <n v="1077"/>
    <n v="27"/>
    <s v="Masculino"/>
    <s v="Qualidade"/>
    <s v="Analista"/>
    <s v="3º Turno"/>
    <x v="3"/>
    <s v="Não"/>
    <x v="2"/>
    <d v="2026-05-14T00:00:00"/>
    <d v="2026-05-01T00:00:00"/>
    <s v="qua"/>
    <x v="0"/>
    <x v="1"/>
    <m/>
    <s v="107746156"/>
  </r>
  <r>
    <n v="1080"/>
    <n v="24"/>
    <s v="Feminino"/>
    <s v="Soldagem"/>
    <s v="Operador"/>
    <s v="3º Turno"/>
    <x v="4"/>
    <s v="Não"/>
    <x v="0"/>
    <d v="2025-07-15T00:00:00"/>
    <d v="2025-07-01T00:00:00"/>
    <s v="ter"/>
    <x v="6"/>
    <x v="1"/>
    <m/>
    <s v="108045853"/>
  </r>
  <r>
    <n v="1080"/>
    <n v="24"/>
    <s v="Feminino"/>
    <s v="Soldagem"/>
    <s v="Operador"/>
    <s v="3º Turno"/>
    <x v="4"/>
    <s v="Não"/>
    <x v="0"/>
    <d v="2025-07-16T00:00:00"/>
    <d v="2025-07-01T00:00:00"/>
    <s v="qua"/>
    <x v="6"/>
    <x v="1"/>
    <m/>
    <s v="108045854"/>
  </r>
  <r>
    <n v="1080"/>
    <n v="24"/>
    <s v="Feminino"/>
    <s v="Soldagem"/>
    <s v="Operador"/>
    <s v="3º Turno"/>
    <x v="4"/>
    <s v="Não"/>
    <x v="0"/>
    <d v="2025-07-17T00:00:00"/>
    <d v="2025-07-01T00:00:00"/>
    <s v="qui"/>
    <x v="6"/>
    <x v="1"/>
    <m/>
    <s v="108045855"/>
  </r>
  <r>
    <n v="1080"/>
    <n v="24"/>
    <s v="Feminino"/>
    <s v="Soldagem"/>
    <s v="Operador"/>
    <s v="3º Turno"/>
    <x v="4"/>
    <s v="Não"/>
    <x v="0"/>
    <d v="2025-07-18T00:00:00"/>
    <d v="2025-07-01T00:00:00"/>
    <s v="sex"/>
    <x v="6"/>
    <x v="1"/>
    <m/>
    <s v="108045856"/>
  </r>
  <r>
    <n v="1080"/>
    <n v="24"/>
    <s v="Feminino"/>
    <s v="Soldagem"/>
    <s v="Operador"/>
    <s v="3º Turno"/>
    <x v="4"/>
    <s v="Não"/>
    <x v="0"/>
    <d v="2025-07-19T00:00:00"/>
    <d v="2025-07-01T00:00:00"/>
    <s v="sáb"/>
    <x v="6"/>
    <x v="1"/>
    <m/>
    <s v="108045857"/>
  </r>
  <r>
    <n v="1080"/>
    <n v="24"/>
    <s v="Feminino"/>
    <s v="Soldagem"/>
    <s v="Operador"/>
    <s v="3º Turno"/>
    <x v="4"/>
    <s v="Não"/>
    <x v="0"/>
    <d v="2025-07-20T00:00:00"/>
    <d v="2025-07-01T00:00:00"/>
    <s v="dom"/>
    <x v="6"/>
    <x v="1"/>
    <m/>
    <s v="108045858"/>
  </r>
  <r>
    <n v="1086"/>
    <n v="20"/>
    <s v="Masculino"/>
    <s v="Logistica"/>
    <s v="Operador"/>
    <s v="1º Turno"/>
    <x v="4"/>
    <s v="Não"/>
    <x v="0"/>
    <d v="2025-04-30T00:00:00"/>
    <d v="2025-04-01T00:00:00"/>
    <s v="qua"/>
    <x v="2"/>
    <x v="1"/>
    <m/>
    <s v="108645777"/>
  </r>
  <r>
    <n v="1086"/>
    <n v="20"/>
    <s v="Masculino"/>
    <s v="Logistica"/>
    <s v="Operador"/>
    <s v="1º Turno"/>
    <x v="4"/>
    <s v="Não"/>
    <x v="0"/>
    <d v="2025-05-01T00:00:00"/>
    <d v="2025-05-01T00:00:00"/>
    <s v="qui"/>
    <x v="0"/>
    <x v="1"/>
    <m/>
    <s v="108645778"/>
  </r>
  <r>
    <n v="1086"/>
    <n v="20"/>
    <s v="Masculino"/>
    <s v="Logistica"/>
    <s v="Operador"/>
    <s v="1º Turno"/>
    <x v="4"/>
    <s v="Não"/>
    <x v="0"/>
    <d v="2025-05-02T00:00:00"/>
    <d v="2025-05-01T00:00:00"/>
    <s v="sex"/>
    <x v="0"/>
    <x v="1"/>
    <m/>
    <s v="108645779"/>
  </r>
  <r>
    <n v="1086"/>
    <n v="20"/>
    <s v="Masculino"/>
    <s v="Logistica"/>
    <s v="Operador"/>
    <s v="1º Turno"/>
    <x v="4"/>
    <s v="Não"/>
    <x v="0"/>
    <d v="2025-05-03T00:00:00"/>
    <d v="2025-05-01T00:00:00"/>
    <s v="sáb"/>
    <x v="0"/>
    <x v="1"/>
    <m/>
    <s v="108645780"/>
  </r>
  <r>
    <n v="1086"/>
    <n v="20"/>
    <s v="Masculino"/>
    <s v="Logistica"/>
    <s v="Operador"/>
    <s v="1º Turno"/>
    <x v="0"/>
    <s v="Não"/>
    <x v="0"/>
    <d v="2025-07-30T00:00:00"/>
    <d v="2025-07-01T00:00:00"/>
    <s v="qua"/>
    <x v="6"/>
    <x v="1"/>
    <m/>
    <s v="108645868"/>
  </r>
  <r>
    <n v="1086"/>
    <n v="20"/>
    <s v="Masculino"/>
    <s v="Logistica"/>
    <s v="Operador"/>
    <s v="1º Turno"/>
    <x v="0"/>
    <s v="Não"/>
    <x v="0"/>
    <d v="2025-11-25T00:00:00"/>
    <d v="2025-11-01T00:00:00"/>
    <s v="ter"/>
    <x v="10"/>
    <x v="1"/>
    <m/>
    <s v="108645986"/>
  </r>
  <r>
    <n v="1086"/>
    <n v="20"/>
    <s v="Masculino"/>
    <s v="Logistica"/>
    <s v="Operador"/>
    <s v="1º Turno"/>
    <x v="4"/>
    <s v="Não"/>
    <x v="0"/>
    <d v="2026-04-30T00:00:00"/>
    <d v="2026-04-01T00:00:00"/>
    <s v="qua"/>
    <x v="2"/>
    <x v="1"/>
    <m/>
    <s v="108646142"/>
  </r>
  <r>
    <n v="1086"/>
    <n v="20"/>
    <s v="Masculino"/>
    <s v="Logistica"/>
    <s v="Operador"/>
    <s v="1º Turno"/>
    <x v="4"/>
    <s v="Não"/>
    <x v="0"/>
    <d v="2026-05-01T00:00:00"/>
    <d v="2026-05-01T00:00:00"/>
    <s v="qui"/>
    <x v="0"/>
    <x v="1"/>
    <m/>
    <s v="108646143"/>
  </r>
  <r>
    <n v="1086"/>
    <n v="20"/>
    <s v="Masculino"/>
    <s v="Logistica"/>
    <s v="Operador"/>
    <s v="1º Turno"/>
    <x v="4"/>
    <s v="Não"/>
    <x v="0"/>
    <d v="2026-05-02T00:00:00"/>
    <d v="2026-05-01T00:00:00"/>
    <s v="sex"/>
    <x v="0"/>
    <x v="1"/>
    <m/>
    <s v="108646144"/>
  </r>
  <r>
    <n v="1086"/>
    <n v="20"/>
    <s v="Masculino"/>
    <s v="Logistica"/>
    <s v="Operador"/>
    <s v="1º Turno"/>
    <x v="4"/>
    <s v="Não"/>
    <x v="0"/>
    <d v="2026-05-03T00:00:00"/>
    <d v="2026-05-01T00:00:00"/>
    <s v="sáb"/>
    <x v="0"/>
    <x v="1"/>
    <m/>
    <s v="108646145"/>
  </r>
  <r>
    <n v="1089"/>
    <n v="52"/>
    <s v="Feminino"/>
    <s v="Soldagem"/>
    <s v="Operador"/>
    <s v="3º Turno"/>
    <x v="3"/>
    <s v="Sim"/>
    <x v="0"/>
    <d v="2025-09-28T00:00:00"/>
    <d v="2025-09-01T00:00:00"/>
    <s v="dom"/>
    <x v="7"/>
    <x v="1"/>
    <d v="2026-04-24T00:00:00"/>
    <s v="108945928"/>
  </r>
  <r>
    <n v="1089"/>
    <n v="52"/>
    <s v="Feminino"/>
    <s v="Soldagem"/>
    <s v="Operador"/>
    <s v="3º Turno"/>
    <x v="0"/>
    <s v="Sim"/>
    <x v="0"/>
    <d v="2025-10-03T00:00:00"/>
    <d v="2025-10-01T00:00:00"/>
    <s v="sex"/>
    <x v="11"/>
    <x v="1"/>
    <d v="2026-04-24T00:00:00"/>
    <s v="108945933"/>
  </r>
  <r>
    <n v="1089"/>
    <n v="52"/>
    <s v="Feminino"/>
    <s v="Soldagem"/>
    <s v="Operador"/>
    <s v="3º Turno"/>
    <x v="3"/>
    <s v="Sim"/>
    <x v="0"/>
    <d v="2025-12-25T00:00:00"/>
    <d v="2025-12-01T00:00:00"/>
    <s v="qui"/>
    <x v="8"/>
    <x v="1"/>
    <d v="2026-04-24T00:00:00"/>
    <s v="108946016"/>
  </r>
  <r>
    <n v="1089"/>
    <n v="52"/>
    <s v="Feminino"/>
    <s v="Soldagem"/>
    <s v="Operador"/>
    <s v="3º Turno"/>
    <x v="0"/>
    <s v="Sim"/>
    <x v="0"/>
    <d v="2026-06-18T00:00:00"/>
    <d v="2026-06-01T00:00:00"/>
    <s v="qui"/>
    <x v="1"/>
    <x v="0"/>
    <d v="2026-04-24T00:00:00"/>
    <s v="108946191"/>
  </r>
  <r>
    <n v="1089"/>
    <n v="52"/>
    <s v="Feminino"/>
    <s v="Soldagem"/>
    <s v="Operador"/>
    <s v="3º Turno"/>
    <x v="0"/>
    <s v="Sim"/>
    <x v="0"/>
    <d v="2026-02-12T00:00:00"/>
    <d v="2026-02-01T00:00:00"/>
    <s v="qui"/>
    <x v="3"/>
    <x v="0"/>
    <d v="2026-04-24T00:00:00"/>
    <s v="108946065"/>
  </r>
  <r>
    <n v="1089"/>
    <n v="52"/>
    <s v="Feminino"/>
    <s v="Soldagem"/>
    <s v="Operador"/>
    <s v="3º Turno"/>
    <x v="0"/>
    <s v="Sim"/>
    <x v="0"/>
    <d v="2026-02-20T00:00:00"/>
    <d v="2026-02-01T00:00:00"/>
    <s v="sex"/>
    <x v="3"/>
    <x v="0"/>
    <d v="2026-04-24T00:00:00"/>
    <s v="108946073"/>
  </r>
  <r>
    <n v="1092"/>
    <n v="24"/>
    <s v="Masculino"/>
    <s v="Pintura"/>
    <s v="Operador"/>
    <s v="2º Turno"/>
    <x v="4"/>
    <s v="Não"/>
    <x v="2"/>
    <d v="2025-06-12T00:00:00"/>
    <d v="2025-06-01T00:00:00"/>
    <s v="qui"/>
    <x v="1"/>
    <x v="1"/>
    <m/>
    <s v="109245820"/>
  </r>
  <r>
    <n v="1092"/>
    <n v="24"/>
    <s v="Masculino"/>
    <s v="Pintura"/>
    <s v="Operador"/>
    <s v="2º Turno"/>
    <x v="0"/>
    <s v="Não"/>
    <x v="2"/>
    <d v="2026-06-17T00:00:00"/>
    <d v="2026-06-01T00:00:00"/>
    <s v="qua"/>
    <x v="1"/>
    <x v="0"/>
    <m/>
    <s v="109246190"/>
  </r>
  <r>
    <n v="1092"/>
    <n v="24"/>
    <s v="Masculino"/>
    <s v="Pintura"/>
    <s v="Operador"/>
    <s v="2º Turno"/>
    <x v="4"/>
    <s v="Não"/>
    <x v="2"/>
    <d v="2025-09-19T00:00:00"/>
    <d v="2025-09-01T00:00:00"/>
    <s v="sex"/>
    <x v="7"/>
    <x v="1"/>
    <m/>
    <s v="109245919"/>
  </r>
  <r>
    <n v="1092"/>
    <n v="24"/>
    <s v="Masculino"/>
    <s v="Pintura"/>
    <s v="Operador"/>
    <s v="2º Turno"/>
    <x v="4"/>
    <s v="Não"/>
    <x v="2"/>
    <d v="2025-11-20T00:00:00"/>
    <d v="2025-11-01T00:00:00"/>
    <s v="qui"/>
    <x v="10"/>
    <x v="1"/>
    <m/>
    <s v="109245981"/>
  </r>
  <r>
    <n v="1092"/>
    <n v="24"/>
    <s v="Masculino"/>
    <s v="Pintura"/>
    <s v="Operador"/>
    <s v="2º Turno"/>
    <x v="4"/>
    <s v="Não"/>
    <x v="2"/>
    <d v="2025-12-21T00:00:00"/>
    <d v="2025-12-01T00:00:00"/>
    <s v="dom"/>
    <x v="8"/>
    <x v="1"/>
    <m/>
    <s v="109246012"/>
  </r>
  <r>
    <n v="1092"/>
    <n v="24"/>
    <s v="Masculino"/>
    <s v="Pintura"/>
    <s v="Operador"/>
    <s v="2º Turno"/>
    <x v="4"/>
    <s v="Não"/>
    <x v="2"/>
    <d v="2026-06-15T00:00:00"/>
    <d v="2026-06-01T00:00:00"/>
    <s v="seg"/>
    <x v="1"/>
    <x v="0"/>
    <m/>
    <s v="109246188"/>
  </r>
  <r>
    <n v="1094"/>
    <n v="26"/>
    <s v="Feminino"/>
    <s v="Montagem"/>
    <s v="Operador"/>
    <s v="3º Turno"/>
    <x v="1"/>
    <s v="Não"/>
    <x v="0"/>
    <d v="2025-04-18T00:00:00"/>
    <d v="2025-04-01T00:00:00"/>
    <s v="sex"/>
    <x v="2"/>
    <x v="1"/>
    <m/>
    <s v="109445765"/>
  </r>
  <r>
    <n v="1094"/>
    <n v="26"/>
    <s v="Feminino"/>
    <s v="Montagem"/>
    <s v="Operador"/>
    <s v="3º Turno"/>
    <x v="1"/>
    <s v="Não"/>
    <x v="0"/>
    <d v="2026-06-21T00:00:00"/>
    <d v="2026-06-01T00:00:00"/>
    <s v="dom"/>
    <x v="1"/>
    <x v="0"/>
    <m/>
    <s v="109446194"/>
  </r>
  <r>
    <n v="1094"/>
    <n v="26"/>
    <s v="Feminino"/>
    <s v="Montagem"/>
    <s v="Operador"/>
    <s v="3º Turno"/>
    <x v="1"/>
    <s v="Não"/>
    <x v="0"/>
    <d v="2025-08-21T00:00:00"/>
    <d v="2025-08-01T00:00:00"/>
    <s v="qui"/>
    <x v="9"/>
    <x v="1"/>
    <m/>
    <s v="109445890"/>
  </r>
  <r>
    <n v="1094"/>
    <n v="26"/>
    <s v="Feminino"/>
    <s v="Montagem"/>
    <s v="Operador"/>
    <s v="3º Turno"/>
    <x v="2"/>
    <s v="Não"/>
    <x v="0"/>
    <d v="2025-10-27T00:00:00"/>
    <d v="2025-10-01T00:00:00"/>
    <s v="seg"/>
    <x v="11"/>
    <x v="1"/>
    <m/>
    <s v="109445957"/>
  </r>
  <r>
    <n v="1094"/>
    <n v="26"/>
    <s v="Feminino"/>
    <s v="Montagem"/>
    <s v="Operador"/>
    <s v="3º Turno"/>
    <x v="1"/>
    <s v="Não"/>
    <x v="0"/>
    <d v="2025-12-03T00:00:00"/>
    <d v="2025-12-01T00:00:00"/>
    <s v="qua"/>
    <x v="8"/>
    <x v="1"/>
    <m/>
    <s v="109445994"/>
  </r>
  <r>
    <n v="1094"/>
    <n v="26"/>
    <s v="Feminino"/>
    <s v="Montagem"/>
    <s v="Operador"/>
    <s v="3º Turno"/>
    <x v="2"/>
    <s v="Não"/>
    <x v="0"/>
    <d v="2026-03-04T00:00:00"/>
    <d v="2026-03-01T00:00:00"/>
    <s v="qua"/>
    <x v="4"/>
    <x v="0"/>
    <m/>
    <s v="109446085"/>
  </r>
  <r>
    <n v="1094"/>
    <n v="26"/>
    <s v="Feminino"/>
    <s v="Montagem"/>
    <s v="Operador"/>
    <s v="3º Turno"/>
    <x v="1"/>
    <s v="Não"/>
    <x v="0"/>
    <d v="2026-04-18T00:00:00"/>
    <d v="2026-04-01T00:00:00"/>
    <s v="sex"/>
    <x v="2"/>
    <x v="1"/>
    <m/>
    <s v="109446130"/>
  </r>
  <r>
    <n v="1095"/>
    <n v="52"/>
    <s v="Masculino"/>
    <s v="Logistica"/>
    <s v="Operador"/>
    <s v="1º Turno"/>
    <x v="1"/>
    <s v="Sim"/>
    <x v="2"/>
    <d v="2025-06-28T00:00:00"/>
    <d v="2025-06-01T00:00:00"/>
    <s v="sáb"/>
    <x v="1"/>
    <x v="1"/>
    <d v="2026-05-02T00:00:00"/>
    <s v="109545836"/>
  </r>
  <r>
    <n v="1095"/>
    <n v="52"/>
    <s v="Masculino"/>
    <s v="Logistica"/>
    <s v="Operador"/>
    <s v="1º Turno"/>
    <x v="1"/>
    <s v="Sim"/>
    <x v="2"/>
    <d v="2025-07-10T00:00:00"/>
    <d v="2025-07-01T00:00:00"/>
    <s v="qui"/>
    <x v="6"/>
    <x v="1"/>
    <d v="2026-05-02T00:00:00"/>
    <s v="109545848"/>
  </r>
  <r>
    <n v="1095"/>
    <n v="52"/>
    <s v="Masculino"/>
    <s v="Logistica"/>
    <s v="Operador"/>
    <s v="1º Turno"/>
    <x v="1"/>
    <s v="Sim"/>
    <x v="2"/>
    <d v="2025-10-28T00:00:00"/>
    <d v="2025-10-01T00:00:00"/>
    <s v="ter"/>
    <x v="11"/>
    <x v="1"/>
    <d v="2026-05-02T00:00:00"/>
    <s v="109545958"/>
  </r>
  <r>
    <n v="1095"/>
    <n v="52"/>
    <s v="Masculino"/>
    <s v="Logistica"/>
    <s v="Operador"/>
    <s v="1º Turno"/>
    <x v="1"/>
    <s v="Sim"/>
    <x v="2"/>
    <d v="2025-11-13T00:00:00"/>
    <d v="2025-11-01T00:00:00"/>
    <s v="qui"/>
    <x v="10"/>
    <x v="1"/>
    <d v="2026-05-02T00:00:00"/>
    <s v="109545974"/>
  </r>
  <r>
    <n v="1095"/>
    <n v="52"/>
    <s v="Masculino"/>
    <s v="Logistica"/>
    <s v="Operador"/>
    <s v="1º Turno"/>
    <x v="1"/>
    <s v="Sim"/>
    <x v="2"/>
    <d v="2025-12-15T00:00:00"/>
    <d v="2025-12-01T00:00:00"/>
    <s v="seg"/>
    <x v="8"/>
    <x v="1"/>
    <d v="2026-05-02T00:00:00"/>
    <s v="109546006"/>
  </r>
  <r>
    <n v="1095"/>
    <n v="52"/>
    <s v="Masculino"/>
    <s v="Logistica"/>
    <s v="Operador"/>
    <s v="1º Turno"/>
    <x v="1"/>
    <s v="Sim"/>
    <x v="2"/>
    <d v="2026-03-28T00:00:00"/>
    <d v="2026-03-01T00:00:00"/>
    <s v="sáb"/>
    <x v="4"/>
    <x v="0"/>
    <d v="2026-05-02T00:00:00"/>
    <s v="109546109"/>
  </r>
  <r>
    <n v="1096"/>
    <n v="34"/>
    <s v="Feminino"/>
    <s v="Montagem"/>
    <s v="Operador"/>
    <s v="2º Turno"/>
    <x v="0"/>
    <s v="Não"/>
    <x v="2"/>
    <d v="2025-04-26T00:00:00"/>
    <d v="2025-04-01T00:00:00"/>
    <s v="sáb"/>
    <x v="2"/>
    <x v="1"/>
    <m/>
    <s v="109645773"/>
  </r>
  <r>
    <n v="1096"/>
    <n v="34"/>
    <s v="Feminino"/>
    <s v="Montagem"/>
    <s v="Operador"/>
    <s v="2º Turno"/>
    <x v="0"/>
    <s v="Não"/>
    <x v="2"/>
    <d v="2026-06-22T00:00:00"/>
    <d v="2026-06-01T00:00:00"/>
    <s v="seg"/>
    <x v="1"/>
    <x v="0"/>
    <m/>
    <s v="109646195"/>
  </r>
  <r>
    <n v="1096"/>
    <n v="34"/>
    <s v="Feminino"/>
    <s v="Montagem"/>
    <s v="Operador"/>
    <s v="2º Turno"/>
    <x v="0"/>
    <s v="Não"/>
    <x v="2"/>
    <d v="2025-07-27T00:00:00"/>
    <d v="2025-07-01T00:00:00"/>
    <s v="dom"/>
    <x v="6"/>
    <x v="1"/>
    <m/>
    <s v="109645865"/>
  </r>
  <r>
    <n v="1096"/>
    <n v="34"/>
    <s v="Feminino"/>
    <s v="Montagem"/>
    <s v="Operador"/>
    <s v="2º Turno"/>
    <x v="0"/>
    <s v="Não"/>
    <x v="2"/>
    <d v="2025-07-31T00:00:00"/>
    <d v="2025-07-01T00:00:00"/>
    <s v="qui"/>
    <x v="6"/>
    <x v="1"/>
    <m/>
    <s v="109645869"/>
  </r>
  <r>
    <n v="1096"/>
    <n v="34"/>
    <s v="Feminino"/>
    <s v="Montagem"/>
    <s v="Operador"/>
    <s v="2º Turno"/>
    <x v="0"/>
    <s v="Não"/>
    <x v="2"/>
    <d v="2025-11-12T00:00:00"/>
    <d v="2025-11-01T00:00:00"/>
    <s v="qua"/>
    <x v="10"/>
    <x v="1"/>
    <m/>
    <s v="109645973"/>
  </r>
  <r>
    <n v="1096"/>
    <n v="34"/>
    <s v="Feminino"/>
    <s v="Montagem"/>
    <s v="Operador"/>
    <s v="2º Turno"/>
    <x v="0"/>
    <s v="Não"/>
    <x v="2"/>
    <d v="2026-04-26T00:00:00"/>
    <d v="2026-04-01T00:00:00"/>
    <s v="sáb"/>
    <x v="2"/>
    <x v="1"/>
    <m/>
    <s v="109646138"/>
  </r>
  <r>
    <n v="1101"/>
    <n v="48"/>
    <s v="Feminino"/>
    <s v="Montagem"/>
    <s v="Operador"/>
    <s v="1º Turno"/>
    <x v="0"/>
    <s v="Não"/>
    <x v="0"/>
    <d v="2026-06-12T00:00:00"/>
    <d v="2026-06-01T00:00:00"/>
    <s v="sex"/>
    <x v="1"/>
    <x v="0"/>
    <m/>
    <s v="110146185"/>
  </r>
  <r>
    <n v="1101"/>
    <n v="48"/>
    <s v="Feminino"/>
    <s v="Montagem"/>
    <s v="Operador"/>
    <s v="1º Turno"/>
    <x v="0"/>
    <s v="Não"/>
    <x v="0"/>
    <d v="2025-07-16T00:00:00"/>
    <d v="2025-07-01T00:00:00"/>
    <s v="qua"/>
    <x v="6"/>
    <x v="1"/>
    <m/>
    <s v="110145854"/>
  </r>
  <r>
    <n v="1101"/>
    <n v="48"/>
    <s v="Feminino"/>
    <s v="Montagem"/>
    <s v="Operador"/>
    <s v="1º Turno"/>
    <x v="0"/>
    <s v="Não"/>
    <x v="0"/>
    <d v="2025-08-01T00:00:00"/>
    <d v="2025-08-01T00:00:00"/>
    <s v="sex"/>
    <x v="9"/>
    <x v="1"/>
    <m/>
    <s v="110145870"/>
  </r>
  <r>
    <n v="1101"/>
    <n v="48"/>
    <s v="Feminino"/>
    <s v="Montagem"/>
    <s v="Operador"/>
    <s v="1º Turno"/>
    <x v="0"/>
    <s v="Não"/>
    <x v="0"/>
    <d v="2025-09-30T00:00:00"/>
    <d v="2025-09-01T00:00:00"/>
    <s v="ter"/>
    <x v="7"/>
    <x v="1"/>
    <m/>
    <s v="110145930"/>
  </r>
  <r>
    <n v="1101"/>
    <n v="48"/>
    <s v="Feminino"/>
    <s v="Montagem"/>
    <s v="Operador"/>
    <s v="1º Turno"/>
    <x v="0"/>
    <s v="Não"/>
    <x v="0"/>
    <d v="2026-06-04T00:00:00"/>
    <d v="2026-06-01T00:00:00"/>
    <s v="qui"/>
    <x v="1"/>
    <x v="0"/>
    <m/>
    <s v="110146177"/>
  </r>
  <r>
    <n v="1101"/>
    <n v="48"/>
    <s v="Feminino"/>
    <s v="Montagem"/>
    <s v="Operador"/>
    <s v="1º Turno"/>
    <x v="0"/>
    <s v="Não"/>
    <x v="0"/>
    <d v="2026-02-07T00:00:00"/>
    <d v="2026-02-01T00:00:00"/>
    <s v="sáb"/>
    <x v="3"/>
    <x v="0"/>
    <m/>
    <s v="110146060"/>
  </r>
  <r>
    <n v="1105"/>
    <n v="27"/>
    <s v="Masculino"/>
    <s v="Montagem"/>
    <s v="Operador"/>
    <s v="3º Turno"/>
    <x v="1"/>
    <s v="Sim"/>
    <x v="1"/>
    <d v="2025-05-05T00:00:00"/>
    <d v="2025-05-01T00:00:00"/>
    <s v="seg"/>
    <x v="0"/>
    <x v="1"/>
    <d v="2025-08-16T00:00:00"/>
    <s v="110545782"/>
  </r>
  <r>
    <n v="1105"/>
    <n v="27"/>
    <s v="Masculino"/>
    <s v="Montagem"/>
    <s v="Operador"/>
    <s v="3º Turno"/>
    <x v="1"/>
    <s v="Sim"/>
    <x v="1"/>
    <d v="2025-05-12T00:00:00"/>
    <d v="2025-05-01T00:00:00"/>
    <s v="seg"/>
    <x v="0"/>
    <x v="1"/>
    <d v="2025-08-16T00:00:00"/>
    <s v="110545789"/>
  </r>
  <r>
    <n v="1105"/>
    <n v="27"/>
    <s v="Masculino"/>
    <s v="Montagem"/>
    <s v="Operador"/>
    <s v="3º Turno"/>
    <x v="2"/>
    <s v="Sim"/>
    <x v="1"/>
    <d v="2025-05-30T00:00:00"/>
    <d v="2025-05-01T00:00:00"/>
    <s v="sex"/>
    <x v="0"/>
    <x v="1"/>
    <d v="2025-08-16T00:00:00"/>
    <s v="110545807"/>
  </r>
  <r>
    <n v="1105"/>
    <n v="27"/>
    <s v="Masculino"/>
    <s v="Montagem"/>
    <s v="Operador"/>
    <s v="3º Turno"/>
    <x v="2"/>
    <s v="Sim"/>
    <x v="1"/>
    <d v="2025-06-12T00:00:00"/>
    <d v="2025-06-01T00:00:00"/>
    <s v="qui"/>
    <x v="1"/>
    <x v="1"/>
    <d v="2025-08-16T00:00:00"/>
    <s v="110545820"/>
  </r>
  <r>
    <n v="1105"/>
    <n v="27"/>
    <s v="Masculino"/>
    <s v="Montagem"/>
    <s v="Operador"/>
    <s v="3º Turno"/>
    <x v="2"/>
    <s v="Sim"/>
    <x v="1"/>
    <d v="2025-07-26T00:00:00"/>
    <d v="2025-07-01T00:00:00"/>
    <s v="sáb"/>
    <x v="6"/>
    <x v="1"/>
    <d v="2025-08-16T00:00:00"/>
    <s v="110545864"/>
  </r>
  <r>
    <n v="1105"/>
    <n v="27"/>
    <s v="Masculino"/>
    <s v="Montagem"/>
    <s v="Operador"/>
    <s v="3º Turno"/>
    <x v="0"/>
    <s v="Sim"/>
    <x v="1"/>
    <d v="2025-07-30T00:00:00"/>
    <d v="2025-07-01T00:00:00"/>
    <s v="qua"/>
    <x v="6"/>
    <x v="1"/>
    <d v="2025-08-16T00:00:00"/>
    <s v="110545868"/>
  </r>
  <r>
    <n v="1106"/>
    <n v="41"/>
    <s v="Masculino"/>
    <s v="Pintura"/>
    <s v="Operador"/>
    <s v="3º Turno"/>
    <x v="1"/>
    <s v="Não"/>
    <x v="1"/>
    <d v="2025-04-19T00:00:00"/>
    <d v="2025-04-01T00:00:00"/>
    <s v="sáb"/>
    <x v="2"/>
    <x v="1"/>
    <m/>
    <s v="110645766"/>
  </r>
  <r>
    <n v="1106"/>
    <n v="41"/>
    <s v="Masculino"/>
    <s v="Pintura"/>
    <s v="Operador"/>
    <s v="3º Turno"/>
    <x v="1"/>
    <s v="Não"/>
    <x v="1"/>
    <d v="2025-07-03T00:00:00"/>
    <d v="2025-07-01T00:00:00"/>
    <s v="qui"/>
    <x v="6"/>
    <x v="1"/>
    <m/>
    <s v="110645841"/>
  </r>
  <r>
    <n v="1106"/>
    <n v="41"/>
    <s v="Masculino"/>
    <s v="Pintura"/>
    <s v="Operador"/>
    <s v="3º Turno"/>
    <x v="1"/>
    <s v="Não"/>
    <x v="1"/>
    <d v="2025-09-27T00:00:00"/>
    <d v="2025-09-01T00:00:00"/>
    <s v="sáb"/>
    <x v="7"/>
    <x v="1"/>
    <m/>
    <s v="110645927"/>
  </r>
  <r>
    <n v="1106"/>
    <n v="41"/>
    <s v="Masculino"/>
    <s v="Pintura"/>
    <s v="Operador"/>
    <s v="3º Turno"/>
    <x v="1"/>
    <s v="Não"/>
    <x v="1"/>
    <d v="2025-12-20T00:00:00"/>
    <d v="2025-12-01T00:00:00"/>
    <s v="sáb"/>
    <x v="8"/>
    <x v="1"/>
    <m/>
    <s v="110646011"/>
  </r>
  <r>
    <n v="1106"/>
    <n v="41"/>
    <s v="Masculino"/>
    <s v="Pintura"/>
    <s v="Operador"/>
    <s v="3º Turno"/>
    <x v="1"/>
    <s v="Não"/>
    <x v="1"/>
    <d v="2025-12-21T00:00:00"/>
    <d v="2025-12-01T00:00:00"/>
    <s v="dom"/>
    <x v="8"/>
    <x v="1"/>
    <m/>
    <s v="110646012"/>
  </r>
  <r>
    <n v="1106"/>
    <n v="41"/>
    <s v="Masculino"/>
    <s v="Pintura"/>
    <s v="Operador"/>
    <s v="3º Turno"/>
    <x v="1"/>
    <s v="Não"/>
    <x v="1"/>
    <d v="2026-02-16T00:00:00"/>
    <d v="2026-02-01T00:00:00"/>
    <s v="seg"/>
    <x v="3"/>
    <x v="0"/>
    <m/>
    <s v="110646069"/>
  </r>
  <r>
    <n v="1106"/>
    <n v="41"/>
    <s v="Masculino"/>
    <s v="Pintura"/>
    <s v="Operador"/>
    <s v="3º Turno"/>
    <x v="1"/>
    <s v="Não"/>
    <x v="1"/>
    <d v="2026-04-19T00:00:00"/>
    <d v="2026-04-01T00:00:00"/>
    <s v="sáb"/>
    <x v="2"/>
    <x v="1"/>
    <m/>
    <s v="110646131"/>
  </r>
  <r>
    <n v="1109"/>
    <n v="25"/>
    <s v="Feminino"/>
    <s v="Soldagem"/>
    <s v="Operador"/>
    <s v="2º Turno"/>
    <x v="2"/>
    <s v="Sim"/>
    <x v="2"/>
    <d v="2025-04-17T00:00:00"/>
    <d v="2025-04-01T00:00:00"/>
    <s v="qui"/>
    <x v="2"/>
    <x v="1"/>
    <d v="2026-03-13T00:00:00"/>
    <s v="110945764"/>
  </r>
  <r>
    <n v="1109"/>
    <n v="25"/>
    <s v="Feminino"/>
    <s v="Soldagem"/>
    <s v="Operador"/>
    <s v="2º Turno"/>
    <x v="0"/>
    <s v="Sim"/>
    <x v="2"/>
    <d v="2025-05-25T00:00:00"/>
    <d v="2025-05-01T00:00:00"/>
    <s v="dom"/>
    <x v="0"/>
    <x v="1"/>
    <d v="2026-03-13T00:00:00"/>
    <s v="110945802"/>
  </r>
  <r>
    <n v="1109"/>
    <n v="25"/>
    <s v="Feminino"/>
    <s v="Soldagem"/>
    <s v="Operador"/>
    <s v="2º Turno"/>
    <x v="0"/>
    <s v="Sim"/>
    <x v="2"/>
    <d v="2025-06-21T00:00:00"/>
    <d v="2025-06-01T00:00:00"/>
    <s v="sáb"/>
    <x v="1"/>
    <x v="1"/>
    <d v="2026-03-13T00:00:00"/>
    <s v="110945829"/>
  </r>
  <r>
    <n v="1109"/>
    <n v="25"/>
    <s v="Feminino"/>
    <s v="Soldagem"/>
    <s v="Operador"/>
    <s v="2º Turno"/>
    <x v="0"/>
    <s v="Sim"/>
    <x v="2"/>
    <d v="2025-06-24T00:00:00"/>
    <d v="2025-06-01T00:00:00"/>
    <s v="ter"/>
    <x v="1"/>
    <x v="1"/>
    <d v="2026-03-13T00:00:00"/>
    <s v="110945832"/>
  </r>
  <r>
    <n v="1109"/>
    <n v="25"/>
    <s v="Feminino"/>
    <s v="Soldagem"/>
    <s v="Operador"/>
    <s v="2º Turno"/>
    <x v="3"/>
    <s v="Sim"/>
    <x v="2"/>
    <d v="2025-08-12T00:00:00"/>
    <d v="2025-08-01T00:00:00"/>
    <s v="ter"/>
    <x v="9"/>
    <x v="1"/>
    <d v="2026-03-13T00:00:00"/>
    <s v="110945881"/>
  </r>
  <r>
    <n v="1109"/>
    <n v="25"/>
    <s v="Feminino"/>
    <s v="Soldagem"/>
    <s v="Operador"/>
    <s v="2º Turno"/>
    <x v="3"/>
    <s v="Sim"/>
    <x v="2"/>
    <d v="2025-09-14T00:00:00"/>
    <d v="2025-09-01T00:00:00"/>
    <s v="dom"/>
    <x v="7"/>
    <x v="1"/>
    <d v="2026-03-13T00:00:00"/>
    <s v="110945914"/>
  </r>
  <r>
    <n v="1113"/>
    <n v="40"/>
    <s v="Masculino"/>
    <s v="Pintura"/>
    <s v="Operador"/>
    <s v="3º Turno"/>
    <x v="0"/>
    <s v="Não"/>
    <x v="1"/>
    <d v="2025-08-23T00:00:00"/>
    <d v="2025-08-01T00:00:00"/>
    <s v="sáb"/>
    <x v="9"/>
    <x v="1"/>
    <m/>
    <s v="111345892"/>
  </r>
  <r>
    <n v="1113"/>
    <n v="40"/>
    <s v="Masculino"/>
    <s v="Pintura"/>
    <s v="Operador"/>
    <s v="3º Turno"/>
    <x v="4"/>
    <s v="Não"/>
    <x v="1"/>
    <d v="2025-11-01T00:00:00"/>
    <d v="2025-11-01T00:00:00"/>
    <s v="sáb"/>
    <x v="10"/>
    <x v="1"/>
    <m/>
    <s v="111345962"/>
  </r>
  <r>
    <n v="1113"/>
    <n v="40"/>
    <s v="Masculino"/>
    <s v="Pintura"/>
    <s v="Operador"/>
    <s v="3º Turno"/>
    <x v="0"/>
    <s v="Não"/>
    <x v="1"/>
    <d v="2025-11-26T00:00:00"/>
    <d v="2025-11-01T00:00:00"/>
    <s v="qua"/>
    <x v="10"/>
    <x v="1"/>
    <m/>
    <s v="111345987"/>
  </r>
  <r>
    <n v="1113"/>
    <n v="40"/>
    <s v="Masculino"/>
    <s v="Pintura"/>
    <s v="Operador"/>
    <s v="3º Turno"/>
    <x v="0"/>
    <s v="Não"/>
    <x v="1"/>
    <d v="2025-12-23T00:00:00"/>
    <d v="2025-12-01T00:00:00"/>
    <s v="ter"/>
    <x v="8"/>
    <x v="1"/>
    <m/>
    <s v="111346014"/>
  </r>
  <r>
    <n v="1113"/>
    <n v="40"/>
    <s v="Masculino"/>
    <s v="Pintura"/>
    <s v="Operador"/>
    <s v="3º Turno"/>
    <x v="4"/>
    <s v="Não"/>
    <x v="1"/>
    <d v="2026-03-26T00:00:00"/>
    <d v="2026-03-01T00:00:00"/>
    <s v="qui"/>
    <x v="4"/>
    <x v="0"/>
    <m/>
    <s v="111346107"/>
  </r>
  <r>
    <n v="1113"/>
    <n v="40"/>
    <s v="Masculino"/>
    <s v="Pintura"/>
    <s v="Operador"/>
    <s v="3º Turno"/>
    <x v="4"/>
    <s v="Não"/>
    <x v="1"/>
    <d v="2026-05-28T00:00:00"/>
    <d v="2026-05-01T00:00:00"/>
    <s v="qui"/>
    <x v="0"/>
    <x v="0"/>
    <m/>
    <s v="111346170"/>
  </r>
  <r>
    <n v="1114"/>
    <n v="22"/>
    <s v="Feminino"/>
    <s v="Qualidade"/>
    <s v="Inspetor"/>
    <s v="2º Turno"/>
    <x v="0"/>
    <s v="Sim"/>
    <x v="1"/>
    <d v="2025-01-16T00:00:00"/>
    <d v="2025-01-01T00:00:00"/>
    <s v="qui"/>
    <x v="5"/>
    <x v="1"/>
    <d v="2025-04-29T00:00:00"/>
    <s v="111445673"/>
  </r>
  <r>
    <n v="1114"/>
    <n v="22"/>
    <s v="Feminino"/>
    <s v="Qualidade"/>
    <s v="Inspetor"/>
    <s v="2º Turno"/>
    <x v="0"/>
    <s v="Sim"/>
    <x v="1"/>
    <d v="2025-02-12T00:00:00"/>
    <d v="2025-02-01T00:00:00"/>
    <s v="qua"/>
    <x v="3"/>
    <x v="1"/>
    <d v="2025-04-29T00:00:00"/>
    <s v="111445700"/>
  </r>
  <r>
    <n v="1114"/>
    <n v="22"/>
    <s v="Feminino"/>
    <s v="Qualidade"/>
    <s v="Inspetor"/>
    <s v="2º Turno"/>
    <x v="0"/>
    <s v="Sim"/>
    <x v="1"/>
    <d v="2025-03-18T00:00:00"/>
    <d v="2025-03-01T00:00:00"/>
    <s v="ter"/>
    <x v="4"/>
    <x v="1"/>
    <d v="2025-04-29T00:00:00"/>
    <s v="111445734"/>
  </r>
  <r>
    <n v="1114"/>
    <n v="22"/>
    <s v="Feminino"/>
    <s v="Qualidade"/>
    <s v="Inspetor"/>
    <s v="2º Turno"/>
    <x v="2"/>
    <s v="Sim"/>
    <x v="1"/>
    <d v="2025-04-18T00:00:00"/>
    <d v="2025-04-01T00:00:00"/>
    <s v="sex"/>
    <x v="2"/>
    <x v="1"/>
    <d v="2025-04-29T00:00:00"/>
    <s v="111445765"/>
  </r>
  <r>
    <n v="1114"/>
    <n v="22"/>
    <s v="Feminino"/>
    <s v="Qualidade"/>
    <s v="Inspetor"/>
    <s v="2º Turno"/>
    <x v="5"/>
    <s v="Sim"/>
    <x v="1"/>
    <d v="2025-04-19T00:00:00"/>
    <d v="2025-04-01T00:00:00"/>
    <s v="sáb"/>
    <x v="2"/>
    <x v="1"/>
    <d v="2025-04-29T00:00:00"/>
    <s v="111445766"/>
  </r>
  <r>
    <n v="1114"/>
    <n v="22"/>
    <s v="Feminino"/>
    <s v="Qualidade"/>
    <s v="Inspetor"/>
    <s v="2º Turno"/>
    <x v="0"/>
    <s v="Sim"/>
    <x v="1"/>
    <d v="2025-04-23T00:00:00"/>
    <d v="2025-04-01T00:00:00"/>
    <s v="qua"/>
    <x v="2"/>
    <x v="1"/>
    <d v="2025-04-29T00:00:00"/>
    <s v="111445770"/>
  </r>
  <r>
    <n v="1117"/>
    <n v="54"/>
    <s v="Feminino"/>
    <s v="Montagem"/>
    <s v="Operador"/>
    <s v="2º Turno"/>
    <x v="1"/>
    <s v="Não"/>
    <x v="2"/>
    <d v="2025-12-25T00:00:00"/>
    <d v="2025-12-01T00:00:00"/>
    <s v="qui"/>
    <x v="8"/>
    <x v="1"/>
    <m/>
    <s v="111746016"/>
  </r>
  <r>
    <n v="1117"/>
    <n v="54"/>
    <s v="Feminino"/>
    <s v="Montagem"/>
    <s v="Operador"/>
    <s v="2º Turno"/>
    <x v="1"/>
    <s v="Não"/>
    <x v="2"/>
    <d v="2026-06-05T00:00:00"/>
    <d v="2026-06-01T00:00:00"/>
    <s v="sex"/>
    <x v="1"/>
    <x v="0"/>
    <m/>
    <s v="111746178"/>
  </r>
  <r>
    <n v="1117"/>
    <n v="54"/>
    <s v="Feminino"/>
    <s v="Montagem"/>
    <s v="Operador"/>
    <s v="2º Turno"/>
    <x v="1"/>
    <s v="Não"/>
    <x v="2"/>
    <d v="2026-02-07T00:00:00"/>
    <d v="2026-02-01T00:00:00"/>
    <s v="sáb"/>
    <x v="3"/>
    <x v="0"/>
    <m/>
    <s v="111746060"/>
  </r>
  <r>
    <n v="1117"/>
    <n v="54"/>
    <s v="Feminino"/>
    <s v="Montagem"/>
    <s v="Operador"/>
    <s v="2º Turno"/>
    <x v="1"/>
    <s v="Não"/>
    <x v="2"/>
    <d v="2026-03-26T00:00:00"/>
    <d v="2026-03-01T00:00:00"/>
    <s v="qui"/>
    <x v="4"/>
    <x v="0"/>
    <m/>
    <s v="111746107"/>
  </r>
  <r>
    <n v="1117"/>
    <n v="54"/>
    <s v="Feminino"/>
    <s v="Montagem"/>
    <s v="Operador"/>
    <s v="2º Turno"/>
    <x v="1"/>
    <s v="Não"/>
    <x v="2"/>
    <d v="2026-05-22T00:00:00"/>
    <d v="2026-05-01T00:00:00"/>
    <s v="sex"/>
    <x v="0"/>
    <x v="0"/>
    <m/>
    <s v="111746164"/>
  </r>
  <r>
    <n v="1127"/>
    <n v="50"/>
    <s v="Feminino"/>
    <s v="Logistica"/>
    <s v="Operador"/>
    <s v="1º Turno"/>
    <x v="0"/>
    <s v="Não"/>
    <x v="1"/>
    <d v="2026-06-18T00:00:00"/>
    <d v="2026-06-01T00:00:00"/>
    <s v="qui"/>
    <x v="1"/>
    <x v="0"/>
    <m/>
    <s v="112746191"/>
  </r>
  <r>
    <n v="1127"/>
    <n v="50"/>
    <s v="Feminino"/>
    <s v="Logistica"/>
    <s v="Operador"/>
    <s v="1º Turno"/>
    <x v="0"/>
    <s v="Não"/>
    <x v="1"/>
    <d v="2025-09-29T00:00:00"/>
    <d v="2025-09-01T00:00:00"/>
    <s v="seg"/>
    <x v="7"/>
    <x v="1"/>
    <m/>
    <s v="112745929"/>
  </r>
  <r>
    <n v="1127"/>
    <n v="50"/>
    <s v="Feminino"/>
    <s v="Logistica"/>
    <s v="Operador"/>
    <s v="1º Turno"/>
    <x v="0"/>
    <s v="Não"/>
    <x v="1"/>
    <d v="2026-06-22T00:00:00"/>
    <d v="2026-06-01T00:00:00"/>
    <s v="seg"/>
    <x v="1"/>
    <x v="0"/>
    <m/>
    <s v="112746195"/>
  </r>
  <r>
    <n v="1134"/>
    <n v="39"/>
    <s v="Feminino"/>
    <s v="Logistica"/>
    <s v="Operador"/>
    <s v="3º Turno"/>
    <x v="0"/>
    <s v="Sim"/>
    <x v="2"/>
    <d v="2025-01-16T00:00:00"/>
    <d v="2025-01-01T00:00:00"/>
    <s v="qui"/>
    <x v="5"/>
    <x v="1"/>
    <d v="2025-07-31T00:00:00"/>
    <s v="113445673"/>
  </r>
  <r>
    <n v="1134"/>
    <n v="39"/>
    <s v="Feminino"/>
    <s v="Logistica"/>
    <s v="Operador"/>
    <s v="3º Turno"/>
    <x v="5"/>
    <s v="Sim"/>
    <x v="2"/>
    <d v="2025-03-18T00:00:00"/>
    <d v="2025-03-01T00:00:00"/>
    <s v="ter"/>
    <x v="4"/>
    <x v="1"/>
    <d v="2025-07-31T00:00:00"/>
    <s v="113445734"/>
  </r>
  <r>
    <n v="1134"/>
    <n v="39"/>
    <s v="Feminino"/>
    <s v="Logistica"/>
    <s v="Operador"/>
    <s v="3º Turno"/>
    <x v="0"/>
    <s v="Sim"/>
    <x v="2"/>
    <d v="2025-05-15T00:00:00"/>
    <d v="2025-05-01T00:00:00"/>
    <s v="qui"/>
    <x v="0"/>
    <x v="1"/>
    <d v="2025-07-31T00:00:00"/>
    <s v="113445792"/>
  </r>
  <r>
    <n v="1136"/>
    <n v="21"/>
    <s v="Masculino"/>
    <s v="Montagem"/>
    <s v="Operador"/>
    <s v="2º Turno"/>
    <x v="4"/>
    <s v="Não"/>
    <x v="0"/>
    <d v="2025-09-07T00:00:00"/>
    <d v="2025-09-01T00:00:00"/>
    <s v="dom"/>
    <x v="7"/>
    <x v="1"/>
    <m/>
    <s v="113645907"/>
  </r>
  <r>
    <n v="1136"/>
    <n v="21"/>
    <s v="Masculino"/>
    <s v="Montagem"/>
    <s v="Operador"/>
    <s v="2º Turno"/>
    <x v="0"/>
    <s v="Não"/>
    <x v="0"/>
    <d v="2025-09-22T00:00:00"/>
    <d v="2025-09-01T00:00:00"/>
    <s v="seg"/>
    <x v="7"/>
    <x v="1"/>
    <m/>
    <s v="113645922"/>
  </r>
  <r>
    <n v="1136"/>
    <n v="21"/>
    <s v="Masculino"/>
    <s v="Montagem"/>
    <s v="Operador"/>
    <s v="2º Turno"/>
    <x v="0"/>
    <s v="Não"/>
    <x v="0"/>
    <d v="2025-10-26T00:00:00"/>
    <d v="2025-10-01T00:00:00"/>
    <s v="dom"/>
    <x v="11"/>
    <x v="1"/>
    <m/>
    <s v="113645956"/>
  </r>
  <r>
    <n v="1136"/>
    <n v="21"/>
    <s v="Masculino"/>
    <s v="Montagem"/>
    <s v="Operador"/>
    <s v="2º Turno"/>
    <x v="4"/>
    <s v="Não"/>
    <x v="0"/>
    <d v="2025-11-01T00:00:00"/>
    <d v="2025-11-01T00:00:00"/>
    <s v="sáb"/>
    <x v="10"/>
    <x v="1"/>
    <m/>
    <s v="113645962"/>
  </r>
  <r>
    <n v="1136"/>
    <n v="21"/>
    <s v="Masculino"/>
    <s v="Montagem"/>
    <s v="Operador"/>
    <s v="2º Turno"/>
    <x v="4"/>
    <s v="Não"/>
    <x v="0"/>
    <d v="2026-06-09T00:00:00"/>
    <d v="2026-06-01T00:00:00"/>
    <s v="ter"/>
    <x v="1"/>
    <x v="0"/>
    <m/>
    <s v="113646182"/>
  </r>
  <r>
    <n v="1136"/>
    <n v="21"/>
    <s v="Masculino"/>
    <s v="Montagem"/>
    <s v="Operador"/>
    <s v="2º Turno"/>
    <x v="4"/>
    <s v="Não"/>
    <x v="0"/>
    <d v="2026-02-01T00:00:00"/>
    <d v="2026-02-01T00:00:00"/>
    <s v="dom"/>
    <x v="3"/>
    <x v="0"/>
    <m/>
    <s v="113646054"/>
  </r>
  <r>
    <n v="1145"/>
    <n v="41"/>
    <s v="Masculino"/>
    <s v="Logistica"/>
    <s v="Operador"/>
    <s v="3º Turno"/>
    <x v="3"/>
    <s v="Não"/>
    <x v="0"/>
    <d v="2025-08-17T00:00:00"/>
    <d v="2025-08-01T00:00:00"/>
    <s v="dom"/>
    <x v="9"/>
    <x v="1"/>
    <m/>
    <s v="114545886"/>
  </r>
  <r>
    <n v="1145"/>
    <n v="41"/>
    <s v="Masculino"/>
    <s v="Logistica"/>
    <s v="Operador"/>
    <s v="3º Turno"/>
    <x v="3"/>
    <s v="Não"/>
    <x v="0"/>
    <d v="2025-09-01T00:00:00"/>
    <d v="2025-09-01T00:00:00"/>
    <s v="seg"/>
    <x v="7"/>
    <x v="1"/>
    <m/>
    <s v="114545901"/>
  </r>
  <r>
    <n v="1145"/>
    <n v="41"/>
    <s v="Masculino"/>
    <s v="Logistica"/>
    <s v="Operador"/>
    <s v="3º Turno"/>
    <x v="2"/>
    <s v="Não"/>
    <x v="0"/>
    <d v="2025-09-14T00:00:00"/>
    <d v="2025-09-01T00:00:00"/>
    <s v="dom"/>
    <x v="7"/>
    <x v="1"/>
    <m/>
    <s v="114545914"/>
  </r>
  <r>
    <n v="1145"/>
    <n v="41"/>
    <s v="Masculino"/>
    <s v="Logistica"/>
    <s v="Operador"/>
    <s v="3º Turno"/>
    <x v="3"/>
    <s v="Não"/>
    <x v="0"/>
    <d v="2025-09-30T00:00:00"/>
    <d v="2025-09-01T00:00:00"/>
    <s v="ter"/>
    <x v="7"/>
    <x v="1"/>
    <m/>
    <s v="114545930"/>
  </r>
  <r>
    <n v="1145"/>
    <n v="41"/>
    <s v="Masculino"/>
    <s v="Logistica"/>
    <s v="Operador"/>
    <s v="3º Turno"/>
    <x v="2"/>
    <s v="Não"/>
    <x v="0"/>
    <d v="2026-03-04T00:00:00"/>
    <d v="2026-03-01T00:00:00"/>
    <s v="qua"/>
    <x v="4"/>
    <x v="0"/>
    <m/>
    <s v="114546085"/>
  </r>
  <r>
    <n v="1145"/>
    <n v="41"/>
    <s v="Masculino"/>
    <s v="Logistica"/>
    <s v="Operador"/>
    <s v="3º Turno"/>
    <x v="3"/>
    <s v="Não"/>
    <x v="0"/>
    <d v="2026-03-09T00:00:00"/>
    <d v="2026-03-01T00:00:00"/>
    <s v="seg"/>
    <x v="4"/>
    <x v="0"/>
    <m/>
    <s v="114546090"/>
  </r>
  <r>
    <n v="1150"/>
    <n v="54"/>
    <s v="Masculino"/>
    <s v="Pintura"/>
    <s v="Operador"/>
    <s v="3º Turno"/>
    <x v="2"/>
    <s v="Não"/>
    <x v="0"/>
    <d v="2025-10-20T00:00:00"/>
    <d v="2025-10-01T00:00:00"/>
    <s v="seg"/>
    <x v="11"/>
    <x v="1"/>
    <m/>
    <s v="115045950"/>
  </r>
  <r>
    <n v="1150"/>
    <n v="54"/>
    <s v="Masculino"/>
    <s v="Pintura"/>
    <s v="Operador"/>
    <s v="3º Turno"/>
    <x v="2"/>
    <s v="Não"/>
    <x v="0"/>
    <d v="2025-10-27T00:00:00"/>
    <d v="2025-10-01T00:00:00"/>
    <s v="seg"/>
    <x v="11"/>
    <x v="1"/>
    <m/>
    <s v="115045957"/>
  </r>
  <r>
    <n v="1150"/>
    <n v="54"/>
    <s v="Masculino"/>
    <s v="Pintura"/>
    <s v="Operador"/>
    <s v="3º Turno"/>
    <x v="0"/>
    <s v="Não"/>
    <x v="0"/>
    <d v="2025-10-28T00:00:00"/>
    <d v="2025-10-01T00:00:00"/>
    <s v="ter"/>
    <x v="11"/>
    <x v="1"/>
    <m/>
    <s v="115045958"/>
  </r>
  <r>
    <n v="1150"/>
    <n v="54"/>
    <s v="Masculino"/>
    <s v="Pintura"/>
    <s v="Operador"/>
    <s v="3º Turno"/>
    <x v="2"/>
    <s v="Não"/>
    <x v="0"/>
    <d v="2026-02-07T00:00:00"/>
    <d v="2026-02-01T00:00:00"/>
    <s v="sáb"/>
    <x v="3"/>
    <x v="0"/>
    <m/>
    <s v="115046060"/>
  </r>
  <r>
    <n v="1150"/>
    <n v="54"/>
    <s v="Masculino"/>
    <s v="Pintura"/>
    <s v="Operador"/>
    <s v="3º Turno"/>
    <x v="0"/>
    <s v="Não"/>
    <x v="0"/>
    <d v="2026-02-11T00:00:00"/>
    <d v="2026-02-01T00:00:00"/>
    <s v="qua"/>
    <x v="3"/>
    <x v="0"/>
    <m/>
    <s v="115046064"/>
  </r>
  <r>
    <n v="1150"/>
    <n v="54"/>
    <s v="Masculino"/>
    <s v="Pintura"/>
    <s v="Operador"/>
    <s v="3º Turno"/>
    <x v="0"/>
    <s v="Não"/>
    <x v="0"/>
    <d v="2026-03-03T00:00:00"/>
    <d v="2026-03-01T00:00:00"/>
    <s v="ter"/>
    <x v="4"/>
    <x v="0"/>
    <m/>
    <s v="115046084"/>
  </r>
  <r>
    <n v="1154"/>
    <n v="28"/>
    <s v="Masculino"/>
    <s v="Qualidade"/>
    <s v="Inspetor"/>
    <s v="2º Turno"/>
    <x v="4"/>
    <s v="Não"/>
    <x v="1"/>
    <d v="2025-07-02T00:00:00"/>
    <d v="2025-07-01T00:00:00"/>
    <s v="qua"/>
    <x v="6"/>
    <x v="1"/>
    <m/>
    <s v="115445840"/>
  </r>
  <r>
    <n v="1154"/>
    <n v="28"/>
    <s v="Masculino"/>
    <s v="Qualidade"/>
    <s v="Inspetor"/>
    <s v="2º Turno"/>
    <x v="0"/>
    <s v="Não"/>
    <x v="1"/>
    <d v="2025-08-23T00:00:00"/>
    <d v="2025-08-01T00:00:00"/>
    <s v="sáb"/>
    <x v="9"/>
    <x v="1"/>
    <m/>
    <s v="115445892"/>
  </r>
  <r>
    <n v="1154"/>
    <n v="28"/>
    <s v="Masculino"/>
    <s v="Qualidade"/>
    <s v="Inspetor"/>
    <s v="2º Turno"/>
    <x v="4"/>
    <s v="Não"/>
    <x v="1"/>
    <d v="2025-08-27T00:00:00"/>
    <d v="2025-08-01T00:00:00"/>
    <s v="qua"/>
    <x v="9"/>
    <x v="1"/>
    <m/>
    <s v="115445896"/>
  </r>
  <r>
    <n v="1154"/>
    <n v="28"/>
    <s v="Masculino"/>
    <s v="Qualidade"/>
    <s v="Inspetor"/>
    <s v="2º Turno"/>
    <x v="4"/>
    <s v="Não"/>
    <x v="1"/>
    <d v="2026-06-14T00:00:00"/>
    <d v="2026-06-01T00:00:00"/>
    <s v="dom"/>
    <x v="1"/>
    <x v="0"/>
    <m/>
    <s v="115446187"/>
  </r>
  <r>
    <n v="1154"/>
    <n v="28"/>
    <s v="Masculino"/>
    <s v="Qualidade"/>
    <s v="Inspetor"/>
    <s v="2º Turno"/>
    <x v="4"/>
    <s v="Não"/>
    <x v="1"/>
    <d v="2026-03-01T00:00:00"/>
    <d v="2026-03-01T00:00:00"/>
    <s v="dom"/>
    <x v="4"/>
    <x v="0"/>
    <m/>
    <s v="115446082"/>
  </r>
  <r>
    <n v="1154"/>
    <n v="28"/>
    <s v="Masculino"/>
    <s v="Qualidade"/>
    <s v="Inspetor"/>
    <s v="2º Turno"/>
    <x v="0"/>
    <s v="Não"/>
    <x v="1"/>
    <d v="2026-03-16T00:00:00"/>
    <d v="2026-03-01T00:00:00"/>
    <s v="seg"/>
    <x v="4"/>
    <x v="0"/>
    <m/>
    <s v="115446097"/>
  </r>
  <r>
    <n v="1157"/>
    <n v="53"/>
    <s v="Masculino"/>
    <s v="Logistica"/>
    <s v="Operador"/>
    <s v="3º Turno"/>
    <x v="3"/>
    <s v="Não"/>
    <x v="0"/>
    <d v="2025-04-22T00:00:00"/>
    <d v="2025-04-01T00:00:00"/>
    <s v="ter"/>
    <x v="2"/>
    <x v="1"/>
    <m/>
    <s v="115745769"/>
  </r>
  <r>
    <n v="1157"/>
    <n v="53"/>
    <s v="Masculino"/>
    <s v="Logistica"/>
    <s v="Operador"/>
    <s v="3º Turno"/>
    <x v="3"/>
    <s v="Não"/>
    <x v="0"/>
    <d v="2025-05-17T00:00:00"/>
    <d v="2025-05-01T00:00:00"/>
    <s v="sáb"/>
    <x v="0"/>
    <x v="1"/>
    <m/>
    <s v="115745794"/>
  </r>
  <r>
    <n v="1157"/>
    <n v="53"/>
    <s v="Masculino"/>
    <s v="Logistica"/>
    <s v="Operador"/>
    <s v="3º Turno"/>
    <x v="0"/>
    <s v="Não"/>
    <x v="0"/>
    <d v="2025-10-24T00:00:00"/>
    <d v="2025-10-01T00:00:00"/>
    <s v="sex"/>
    <x v="11"/>
    <x v="1"/>
    <m/>
    <s v="115745954"/>
  </r>
  <r>
    <n v="1157"/>
    <n v="53"/>
    <s v="Masculino"/>
    <s v="Logistica"/>
    <s v="Operador"/>
    <s v="3º Turno"/>
    <x v="0"/>
    <s v="Não"/>
    <x v="0"/>
    <d v="2025-11-18T00:00:00"/>
    <d v="2025-11-01T00:00:00"/>
    <s v="ter"/>
    <x v="10"/>
    <x v="1"/>
    <m/>
    <s v="115745979"/>
  </r>
  <r>
    <n v="1157"/>
    <n v="53"/>
    <s v="Masculino"/>
    <s v="Logistica"/>
    <s v="Operador"/>
    <s v="3º Turno"/>
    <x v="0"/>
    <s v="Não"/>
    <x v="0"/>
    <d v="2026-03-19T00:00:00"/>
    <d v="2026-03-01T00:00:00"/>
    <s v="qui"/>
    <x v="4"/>
    <x v="0"/>
    <m/>
    <s v="115746100"/>
  </r>
  <r>
    <n v="1157"/>
    <n v="53"/>
    <s v="Masculino"/>
    <s v="Logistica"/>
    <s v="Operador"/>
    <s v="3º Turno"/>
    <x v="3"/>
    <s v="Não"/>
    <x v="0"/>
    <d v="2026-04-22T00:00:00"/>
    <d v="2026-04-01T00:00:00"/>
    <s v="ter"/>
    <x v="2"/>
    <x v="1"/>
    <m/>
    <s v="115746134"/>
  </r>
  <r>
    <n v="1157"/>
    <n v="53"/>
    <s v="Masculino"/>
    <s v="Logistica"/>
    <s v="Operador"/>
    <s v="3º Turno"/>
    <x v="3"/>
    <s v="Não"/>
    <x v="0"/>
    <d v="2026-05-17T00:00:00"/>
    <d v="2026-05-01T00:00:00"/>
    <s v="sáb"/>
    <x v="0"/>
    <x v="1"/>
    <m/>
    <s v="115746159"/>
  </r>
  <r>
    <n v="1159"/>
    <n v="57"/>
    <s v="Masculino"/>
    <s v="Montagem"/>
    <s v="Operador"/>
    <s v="3º Turno"/>
    <x v="5"/>
    <s v="Não"/>
    <x v="2"/>
    <d v="2026-04-24T00:00:00"/>
    <m/>
    <s v="sex"/>
    <x v="2"/>
    <x v="0"/>
    <m/>
    <s v="115946136"/>
  </r>
  <r>
    <n v="1159"/>
    <n v="57"/>
    <s v="Masculino"/>
    <s v="Montagem"/>
    <s v="Operador"/>
    <s v="3º Turno"/>
    <x v="5"/>
    <s v="Não"/>
    <x v="0"/>
    <d v="2026-04-26T00:00:00"/>
    <m/>
    <s v="dom"/>
    <x v="2"/>
    <x v="0"/>
    <m/>
    <s v="115946138"/>
  </r>
  <r>
    <n v="1159"/>
    <n v="57"/>
    <s v="Masculino"/>
    <s v="Montagem"/>
    <s v="Operador"/>
    <s v="3º Turno"/>
    <x v="5"/>
    <s v="Não"/>
    <x v="0"/>
    <d v="2026-04-28T00:00:00"/>
    <m/>
    <s v="ter"/>
    <x v="2"/>
    <x v="0"/>
    <m/>
    <s v="115946140"/>
  </r>
  <r>
    <n v="1159"/>
    <n v="57"/>
    <s v="Masculino"/>
    <s v="Montagem"/>
    <s v="Operador"/>
    <s v="3º Turno"/>
    <x v="5"/>
    <s v="Não"/>
    <x v="0"/>
    <d v="2026-04-29T00:00:00"/>
    <m/>
    <s v="qua"/>
    <x v="2"/>
    <x v="0"/>
    <m/>
    <s v="115946141"/>
  </r>
  <r>
    <n v="1161"/>
    <n v="55"/>
    <s v="Feminino"/>
    <s v="Pintura"/>
    <s v="Operador"/>
    <s v="3º Turno"/>
    <x v="0"/>
    <s v="Sim"/>
    <x v="2"/>
    <d v="2025-05-24T00:00:00"/>
    <d v="2025-05-01T00:00:00"/>
    <s v="sáb"/>
    <x v="0"/>
    <x v="1"/>
    <d v="2026-01-08T00:00:00"/>
    <s v="116145801"/>
  </r>
  <r>
    <n v="1161"/>
    <n v="55"/>
    <s v="Feminino"/>
    <s v="Pintura"/>
    <s v="Operador"/>
    <s v="3º Turno"/>
    <x v="0"/>
    <s v="Sim"/>
    <x v="2"/>
    <d v="2025-06-21T00:00:00"/>
    <d v="2025-06-01T00:00:00"/>
    <s v="sáb"/>
    <x v="1"/>
    <x v="1"/>
    <d v="2026-01-08T00:00:00"/>
    <s v="116145829"/>
  </r>
  <r>
    <n v="1161"/>
    <n v="55"/>
    <s v="Feminino"/>
    <s v="Pintura"/>
    <s v="Operador"/>
    <s v="3º Turno"/>
    <x v="0"/>
    <s v="Sim"/>
    <x v="2"/>
    <d v="2025-10-06T00:00:00"/>
    <d v="2025-10-01T00:00:00"/>
    <s v="seg"/>
    <x v="11"/>
    <x v="1"/>
    <d v="2026-01-08T00:00:00"/>
    <s v="116145936"/>
  </r>
  <r>
    <n v="1161"/>
    <n v="55"/>
    <s v="Feminino"/>
    <s v="Pintura"/>
    <s v="Operador"/>
    <s v="3º Turno"/>
    <x v="0"/>
    <s v="Sim"/>
    <x v="2"/>
    <d v="2025-10-24T00:00:00"/>
    <d v="2025-10-01T00:00:00"/>
    <s v="sex"/>
    <x v="11"/>
    <x v="1"/>
    <d v="2026-01-08T00:00:00"/>
    <s v="116145954"/>
  </r>
  <r>
    <n v="1161"/>
    <n v="55"/>
    <s v="Feminino"/>
    <s v="Pintura"/>
    <s v="Operador"/>
    <s v="3º Turno"/>
    <x v="0"/>
    <s v="Sim"/>
    <x v="2"/>
    <d v="2025-11-14T00:00:00"/>
    <d v="2025-11-01T00:00:00"/>
    <s v="sex"/>
    <x v="10"/>
    <x v="1"/>
    <d v="2026-01-08T00:00:00"/>
    <s v="116145975"/>
  </r>
  <r>
    <n v="1161"/>
    <n v="55"/>
    <s v="Feminino"/>
    <s v="Pintura"/>
    <s v="Operador"/>
    <s v="3º Turno"/>
    <x v="2"/>
    <s v="Sim"/>
    <x v="2"/>
    <d v="2025-12-01T00:00:00"/>
    <d v="2025-12-01T00:00:00"/>
    <s v="seg"/>
    <x v="8"/>
    <x v="1"/>
    <d v="2026-01-08T00:00:00"/>
    <s v="116145992"/>
  </r>
  <r>
    <n v="1163"/>
    <n v="21"/>
    <s v="Feminino"/>
    <s v="Soldagem"/>
    <s v="Operador"/>
    <s v="3º Turno"/>
    <x v="1"/>
    <s v="Não"/>
    <x v="0"/>
    <d v="2025-08-11T00:00:00"/>
    <d v="2025-08-01T00:00:00"/>
    <s v="seg"/>
    <x v="9"/>
    <x v="1"/>
    <m/>
    <s v="116345880"/>
  </r>
  <r>
    <n v="1163"/>
    <n v="21"/>
    <s v="Feminino"/>
    <s v="Soldagem"/>
    <s v="Operador"/>
    <s v="3º Turno"/>
    <x v="1"/>
    <s v="Não"/>
    <x v="0"/>
    <d v="2025-09-12T00:00:00"/>
    <d v="2025-09-01T00:00:00"/>
    <s v="sex"/>
    <x v="7"/>
    <x v="1"/>
    <m/>
    <s v="116345912"/>
  </r>
  <r>
    <n v="1163"/>
    <n v="21"/>
    <s v="Feminino"/>
    <s v="Soldagem"/>
    <s v="Operador"/>
    <s v="3º Turno"/>
    <x v="1"/>
    <s v="Não"/>
    <x v="0"/>
    <d v="2026-02-18T00:00:00"/>
    <d v="2026-02-01T00:00:00"/>
    <s v="qua"/>
    <x v="3"/>
    <x v="0"/>
    <m/>
    <s v="116346071"/>
  </r>
  <r>
    <n v="1163"/>
    <n v="21"/>
    <s v="Feminino"/>
    <s v="Soldagem"/>
    <s v="Operador"/>
    <s v="3º Turno"/>
    <x v="1"/>
    <s v="Não"/>
    <x v="0"/>
    <d v="2026-02-22T00:00:00"/>
    <d v="2026-02-01T00:00:00"/>
    <s v="dom"/>
    <x v="3"/>
    <x v="0"/>
    <m/>
    <s v="116346075"/>
  </r>
  <r>
    <n v="1166"/>
    <n v="27"/>
    <s v="Masculino"/>
    <s v="Montagem"/>
    <s v="Operador"/>
    <s v="3º Turno"/>
    <x v="4"/>
    <s v="Não"/>
    <x v="0"/>
    <d v="2025-05-13T00:00:00"/>
    <d v="2025-05-01T00:00:00"/>
    <s v="ter"/>
    <x v="0"/>
    <x v="1"/>
    <m/>
    <s v="116645790"/>
  </r>
  <r>
    <n v="1166"/>
    <n v="27"/>
    <s v="Masculino"/>
    <s v="Montagem"/>
    <s v="Operador"/>
    <s v="3º Turno"/>
    <x v="4"/>
    <s v="Não"/>
    <x v="0"/>
    <d v="2025-09-03T00:00:00"/>
    <d v="2025-09-01T00:00:00"/>
    <s v="qua"/>
    <x v="7"/>
    <x v="1"/>
    <m/>
    <s v="116645903"/>
  </r>
  <r>
    <n v="1166"/>
    <n v="27"/>
    <s v="Masculino"/>
    <s v="Montagem"/>
    <s v="Operador"/>
    <s v="3º Turno"/>
    <x v="4"/>
    <s v="Não"/>
    <x v="0"/>
    <d v="2025-09-06T00:00:00"/>
    <d v="2025-09-01T00:00:00"/>
    <s v="sáb"/>
    <x v="7"/>
    <x v="1"/>
    <m/>
    <s v="116645906"/>
  </r>
  <r>
    <n v="1166"/>
    <n v="27"/>
    <s v="Masculino"/>
    <s v="Montagem"/>
    <s v="Operador"/>
    <s v="3º Turno"/>
    <x v="4"/>
    <s v="Não"/>
    <x v="0"/>
    <d v="2025-11-03T00:00:00"/>
    <d v="2025-11-01T00:00:00"/>
    <s v="seg"/>
    <x v="10"/>
    <x v="1"/>
    <m/>
    <s v="116645964"/>
  </r>
  <r>
    <n v="1166"/>
    <n v="27"/>
    <s v="Masculino"/>
    <s v="Montagem"/>
    <s v="Operador"/>
    <s v="3º Turno"/>
    <x v="4"/>
    <s v="Não"/>
    <x v="0"/>
    <d v="2026-02-03T00:00:00"/>
    <d v="2026-02-01T00:00:00"/>
    <s v="ter"/>
    <x v="3"/>
    <x v="0"/>
    <m/>
    <s v="116646056"/>
  </r>
  <r>
    <n v="1166"/>
    <n v="27"/>
    <s v="Masculino"/>
    <s v="Montagem"/>
    <s v="Operador"/>
    <s v="3º Turno"/>
    <x v="4"/>
    <s v="Não"/>
    <x v="0"/>
    <d v="2026-02-22T00:00:00"/>
    <d v="2026-02-01T00:00:00"/>
    <s v="dom"/>
    <x v="3"/>
    <x v="0"/>
    <m/>
    <s v="116646075"/>
  </r>
  <r>
    <n v="1166"/>
    <n v="27"/>
    <s v="Masculino"/>
    <s v="Montagem"/>
    <s v="Operador"/>
    <s v="3º Turno"/>
    <x v="4"/>
    <s v="Não"/>
    <x v="0"/>
    <d v="2026-05-13T00:00:00"/>
    <d v="2026-05-01T00:00:00"/>
    <s v="ter"/>
    <x v="0"/>
    <x v="1"/>
    <m/>
    <s v="116646155"/>
  </r>
  <r>
    <n v="1171"/>
    <n v="52"/>
    <s v="Masculino"/>
    <s v="Logistica"/>
    <s v="Operador"/>
    <s v="1º Turno"/>
    <x v="4"/>
    <s v="Não"/>
    <x v="1"/>
    <d v="2025-05-07T00:00:00"/>
    <d v="2025-05-01T00:00:00"/>
    <s v="qua"/>
    <x v="0"/>
    <x v="1"/>
    <m/>
    <s v="117145784"/>
  </r>
  <r>
    <n v="1171"/>
    <n v="52"/>
    <s v="Masculino"/>
    <s v="Logistica"/>
    <s v="Operador"/>
    <s v="1º Turno"/>
    <x v="4"/>
    <s v="Não"/>
    <x v="1"/>
    <d v="2025-07-17T00:00:00"/>
    <d v="2025-07-01T00:00:00"/>
    <s v="qui"/>
    <x v="6"/>
    <x v="1"/>
    <m/>
    <s v="117145855"/>
  </r>
  <r>
    <n v="1171"/>
    <n v="52"/>
    <s v="Masculino"/>
    <s v="Logistica"/>
    <s v="Operador"/>
    <s v="1º Turno"/>
    <x v="4"/>
    <s v="Não"/>
    <x v="1"/>
    <d v="2025-10-24T00:00:00"/>
    <d v="2025-10-01T00:00:00"/>
    <s v="sex"/>
    <x v="11"/>
    <x v="1"/>
    <m/>
    <s v="117145954"/>
  </r>
  <r>
    <n v="1171"/>
    <n v="52"/>
    <s v="Masculino"/>
    <s v="Logistica"/>
    <s v="Operador"/>
    <s v="1º Turno"/>
    <x v="4"/>
    <s v="Não"/>
    <x v="1"/>
    <d v="2026-02-02T00:00:00"/>
    <d v="2026-02-01T00:00:00"/>
    <s v="seg"/>
    <x v="3"/>
    <x v="0"/>
    <m/>
    <s v="117146055"/>
  </r>
  <r>
    <n v="1171"/>
    <n v="52"/>
    <s v="Masculino"/>
    <s v="Logistica"/>
    <s v="Operador"/>
    <s v="1º Turno"/>
    <x v="4"/>
    <s v="Não"/>
    <x v="1"/>
    <d v="2026-02-18T00:00:00"/>
    <d v="2026-02-01T00:00:00"/>
    <s v="qua"/>
    <x v="3"/>
    <x v="0"/>
    <m/>
    <s v="117146071"/>
  </r>
  <r>
    <n v="1171"/>
    <n v="52"/>
    <s v="Masculino"/>
    <s v="Logistica"/>
    <s v="Operador"/>
    <s v="1º Turno"/>
    <x v="4"/>
    <s v="Não"/>
    <x v="1"/>
    <d v="2026-02-26T00:00:00"/>
    <d v="2026-02-01T00:00:00"/>
    <s v="qui"/>
    <x v="3"/>
    <x v="0"/>
    <m/>
    <s v="117146079"/>
  </r>
  <r>
    <n v="1171"/>
    <n v="52"/>
    <s v="Masculino"/>
    <s v="Logistica"/>
    <s v="Operador"/>
    <s v="1º Turno"/>
    <x v="4"/>
    <s v="Não"/>
    <x v="1"/>
    <d v="2026-05-07T00:00:00"/>
    <d v="2026-05-01T00:00:00"/>
    <s v="qua"/>
    <x v="0"/>
    <x v="1"/>
    <m/>
    <s v="117146149"/>
  </r>
  <r>
    <n v="1174"/>
    <n v="46"/>
    <s v="Masculino"/>
    <s v="Qualidade"/>
    <s v="Inspetor"/>
    <s v="3º Turno"/>
    <x v="1"/>
    <s v="Não"/>
    <x v="2"/>
    <d v="2025-04-16T00:00:00"/>
    <d v="2025-04-01T00:00:00"/>
    <s v="qua"/>
    <x v="2"/>
    <x v="1"/>
    <m/>
    <s v="117445763"/>
  </r>
  <r>
    <n v="1174"/>
    <n v="46"/>
    <s v="Masculino"/>
    <s v="Qualidade"/>
    <s v="Inspetor"/>
    <s v="3º Turno"/>
    <x v="1"/>
    <s v="Não"/>
    <x v="2"/>
    <d v="2025-04-25T00:00:00"/>
    <d v="2025-04-01T00:00:00"/>
    <s v="sex"/>
    <x v="2"/>
    <x v="1"/>
    <m/>
    <s v="117445772"/>
  </r>
  <r>
    <n v="1174"/>
    <n v="46"/>
    <s v="Masculino"/>
    <s v="Qualidade"/>
    <s v="Inspetor"/>
    <s v="3º Turno"/>
    <x v="1"/>
    <s v="Não"/>
    <x v="2"/>
    <d v="2025-04-26T00:00:00"/>
    <d v="2025-04-01T00:00:00"/>
    <s v="sáb"/>
    <x v="2"/>
    <x v="1"/>
    <m/>
    <s v="117445773"/>
  </r>
  <r>
    <n v="1174"/>
    <n v="46"/>
    <s v="Masculino"/>
    <s v="Qualidade"/>
    <s v="Inspetor"/>
    <s v="3º Turno"/>
    <x v="1"/>
    <s v="Não"/>
    <x v="2"/>
    <d v="2025-08-24T00:00:00"/>
    <d v="2025-08-01T00:00:00"/>
    <s v="dom"/>
    <x v="9"/>
    <x v="1"/>
    <m/>
    <s v="117445893"/>
  </r>
  <r>
    <n v="1174"/>
    <n v="46"/>
    <s v="Masculino"/>
    <s v="Qualidade"/>
    <s v="Inspetor"/>
    <s v="3º Turno"/>
    <x v="1"/>
    <s v="Não"/>
    <x v="2"/>
    <d v="2025-08-28T00:00:00"/>
    <d v="2025-08-01T00:00:00"/>
    <s v="qui"/>
    <x v="9"/>
    <x v="1"/>
    <m/>
    <s v="117445897"/>
  </r>
  <r>
    <n v="1174"/>
    <n v="46"/>
    <s v="Masculino"/>
    <s v="Qualidade"/>
    <s v="Inspetor"/>
    <s v="3º Turno"/>
    <x v="1"/>
    <s v="Não"/>
    <x v="2"/>
    <d v="2025-10-12T00:00:00"/>
    <d v="2025-10-01T00:00:00"/>
    <s v="dom"/>
    <x v="11"/>
    <x v="1"/>
    <m/>
    <s v="117445942"/>
  </r>
  <r>
    <n v="1174"/>
    <n v="46"/>
    <s v="Masculino"/>
    <s v="Qualidade"/>
    <s v="Inspetor"/>
    <s v="3º Turno"/>
    <x v="1"/>
    <s v="Não"/>
    <x v="2"/>
    <d v="2026-04-16T00:00:00"/>
    <d v="2026-04-01T00:00:00"/>
    <s v="qua"/>
    <x v="2"/>
    <x v="1"/>
    <m/>
    <s v="117446128"/>
  </r>
  <r>
    <n v="1174"/>
    <n v="46"/>
    <s v="Masculino"/>
    <s v="Qualidade"/>
    <s v="Inspetor"/>
    <s v="3º Turno"/>
    <x v="1"/>
    <s v="Não"/>
    <x v="2"/>
    <d v="2026-04-25T00:00:00"/>
    <d v="2026-04-01T00:00:00"/>
    <s v="sex"/>
    <x v="2"/>
    <x v="1"/>
    <m/>
    <s v="117446137"/>
  </r>
  <r>
    <n v="1174"/>
    <n v="46"/>
    <s v="Masculino"/>
    <s v="Qualidade"/>
    <s v="Inspetor"/>
    <s v="3º Turno"/>
    <x v="1"/>
    <s v="Não"/>
    <x v="2"/>
    <d v="2026-04-26T00:00:00"/>
    <d v="2026-04-01T00:00:00"/>
    <s v="sáb"/>
    <x v="2"/>
    <x v="1"/>
    <m/>
    <s v="117446138"/>
  </r>
  <r>
    <n v="1176"/>
    <n v="26"/>
    <s v="Masculino"/>
    <s v="Montagem"/>
    <s v="Operador"/>
    <s v="3º Turno"/>
    <x v="0"/>
    <s v="Não"/>
    <x v="1"/>
    <d v="2026-06-15T00:00:00"/>
    <d v="2025-06-01T00:00:00"/>
    <s v="seg"/>
    <x v="1"/>
    <x v="0"/>
    <m/>
    <s v="117646188"/>
  </r>
  <r>
    <n v="1176"/>
    <n v="26"/>
    <s v="Masculino"/>
    <s v="Montagem"/>
    <s v="Operador"/>
    <s v="3º Turno"/>
    <x v="0"/>
    <s v="Não"/>
    <x v="1"/>
    <d v="2026-06-19T00:00:00"/>
    <d v="2025-06-01T00:00:00"/>
    <s v="sex"/>
    <x v="1"/>
    <x v="0"/>
    <m/>
    <s v="117646192"/>
  </r>
  <r>
    <n v="1176"/>
    <n v="26"/>
    <s v="Masculino"/>
    <s v="Montagem"/>
    <s v="Operador"/>
    <s v="3º Turno"/>
    <x v="0"/>
    <s v="Não"/>
    <x v="1"/>
    <d v="2025-12-22T00:00:00"/>
    <d v="2025-12-01T00:00:00"/>
    <s v="seg"/>
    <x v="8"/>
    <x v="1"/>
    <m/>
    <s v="117646013"/>
  </r>
  <r>
    <n v="1176"/>
    <n v="26"/>
    <s v="Masculino"/>
    <s v="Montagem"/>
    <s v="Operador"/>
    <s v="3º Turno"/>
    <x v="0"/>
    <s v="Não"/>
    <x v="1"/>
    <d v="2026-03-25T00:00:00"/>
    <d v="2026-03-01T00:00:00"/>
    <s v="qua"/>
    <x v="4"/>
    <x v="0"/>
    <m/>
    <s v="117646106"/>
  </r>
  <r>
    <n v="1179"/>
    <n v="47"/>
    <s v="Feminino"/>
    <s v="Soldagem"/>
    <s v="Operador"/>
    <s v="2º Turno"/>
    <x v="3"/>
    <s v="Não"/>
    <x v="1"/>
    <d v="2025-05-09T00:00:00"/>
    <d v="2025-05-01T00:00:00"/>
    <s v="sex"/>
    <x v="0"/>
    <x v="1"/>
    <m/>
    <s v="117945786"/>
  </r>
  <r>
    <n v="1179"/>
    <n v="47"/>
    <s v="Feminino"/>
    <s v="Soldagem"/>
    <s v="Operador"/>
    <s v="2º Turno"/>
    <x v="3"/>
    <s v="Não"/>
    <x v="1"/>
    <d v="2025-05-16T00:00:00"/>
    <d v="2025-05-01T00:00:00"/>
    <s v="sex"/>
    <x v="0"/>
    <x v="1"/>
    <m/>
    <s v="117945793"/>
  </r>
  <r>
    <n v="1179"/>
    <n v="47"/>
    <s v="Feminino"/>
    <s v="Soldagem"/>
    <s v="Operador"/>
    <s v="2º Turno"/>
    <x v="2"/>
    <s v="Não"/>
    <x v="1"/>
    <d v="2026-06-05T00:00:00"/>
    <d v="2025-06-01T00:00:00"/>
    <s v="sex"/>
    <x v="1"/>
    <x v="0"/>
    <m/>
    <s v="117946178"/>
  </r>
  <r>
    <n v="1179"/>
    <n v="47"/>
    <s v="Feminino"/>
    <s v="Soldagem"/>
    <s v="Operador"/>
    <s v="2º Turno"/>
    <x v="3"/>
    <s v="Não"/>
    <x v="1"/>
    <d v="2025-09-16T00:00:00"/>
    <d v="2025-09-01T00:00:00"/>
    <s v="ter"/>
    <x v="7"/>
    <x v="1"/>
    <m/>
    <s v="117945916"/>
  </r>
  <r>
    <n v="1179"/>
    <n v="47"/>
    <s v="Feminino"/>
    <s v="Soldagem"/>
    <s v="Operador"/>
    <s v="2º Turno"/>
    <x v="3"/>
    <s v="Não"/>
    <x v="1"/>
    <d v="2025-10-06T00:00:00"/>
    <d v="2025-10-01T00:00:00"/>
    <s v="seg"/>
    <x v="11"/>
    <x v="1"/>
    <m/>
    <s v="117945936"/>
  </r>
  <r>
    <n v="1179"/>
    <n v="47"/>
    <s v="Feminino"/>
    <s v="Soldagem"/>
    <s v="Operador"/>
    <s v="2º Turno"/>
    <x v="2"/>
    <s v="Não"/>
    <x v="1"/>
    <d v="2025-11-10T00:00:00"/>
    <d v="2025-11-01T00:00:00"/>
    <s v="seg"/>
    <x v="10"/>
    <x v="1"/>
    <m/>
    <s v="117945971"/>
  </r>
  <r>
    <n v="1179"/>
    <n v="47"/>
    <s v="Feminino"/>
    <s v="Soldagem"/>
    <s v="Operador"/>
    <s v="2º Turno"/>
    <x v="3"/>
    <s v="Não"/>
    <x v="1"/>
    <d v="2026-05-09T00:00:00"/>
    <d v="2026-05-01T00:00:00"/>
    <s v="sex"/>
    <x v="0"/>
    <x v="1"/>
    <m/>
    <s v="117946151"/>
  </r>
  <r>
    <n v="1179"/>
    <n v="47"/>
    <s v="Feminino"/>
    <s v="Soldagem"/>
    <s v="Operador"/>
    <s v="2º Turno"/>
    <x v="3"/>
    <s v="Não"/>
    <x v="1"/>
    <d v="2026-05-16T00:00:00"/>
    <d v="2026-05-01T00:00:00"/>
    <s v="sex"/>
    <x v="0"/>
    <x v="1"/>
    <m/>
    <s v="117946158"/>
  </r>
  <r>
    <n v="1180"/>
    <n v="18"/>
    <s v="Feminino"/>
    <s v="Soldagem"/>
    <s v="Operador"/>
    <s v="1º Turno"/>
    <x v="0"/>
    <s v="Sim"/>
    <x v="2"/>
    <d v="2025-06-05T00:00:00"/>
    <d v="2025-06-01T00:00:00"/>
    <s v="qui"/>
    <x v="1"/>
    <x v="1"/>
    <d v="2025-12-26T00:00:00"/>
    <s v="118045813"/>
  </r>
  <r>
    <n v="1180"/>
    <n v="18"/>
    <s v="Feminino"/>
    <s v="Soldagem"/>
    <s v="Operador"/>
    <s v="1º Turno"/>
    <x v="0"/>
    <s v="Sim"/>
    <x v="2"/>
    <d v="2025-07-13T00:00:00"/>
    <d v="2025-07-01T00:00:00"/>
    <s v="dom"/>
    <x v="6"/>
    <x v="1"/>
    <d v="2025-12-26T00:00:00"/>
    <s v="118045851"/>
  </r>
  <r>
    <n v="1180"/>
    <n v="18"/>
    <s v="Feminino"/>
    <s v="Soldagem"/>
    <s v="Operador"/>
    <s v="1º Turno"/>
    <x v="0"/>
    <s v="Sim"/>
    <x v="2"/>
    <d v="2025-08-05T00:00:00"/>
    <d v="2025-08-01T00:00:00"/>
    <s v="ter"/>
    <x v="9"/>
    <x v="1"/>
    <d v="2025-12-26T00:00:00"/>
    <s v="118045874"/>
  </r>
  <r>
    <n v="1180"/>
    <n v="18"/>
    <s v="Feminino"/>
    <s v="Soldagem"/>
    <s v="Operador"/>
    <s v="1º Turno"/>
    <x v="0"/>
    <s v="Sim"/>
    <x v="2"/>
    <d v="2025-08-20T00:00:00"/>
    <d v="2025-08-01T00:00:00"/>
    <s v="qua"/>
    <x v="9"/>
    <x v="1"/>
    <d v="2025-12-26T00:00:00"/>
    <s v="118045889"/>
  </r>
  <r>
    <n v="1180"/>
    <n v="18"/>
    <s v="Feminino"/>
    <s v="Soldagem"/>
    <s v="Operador"/>
    <s v="1º Turno"/>
    <x v="0"/>
    <s v="Sim"/>
    <x v="2"/>
    <d v="2025-10-11T00:00:00"/>
    <d v="2025-10-01T00:00:00"/>
    <s v="sáb"/>
    <x v="11"/>
    <x v="1"/>
    <d v="2025-12-26T00:00:00"/>
    <s v="118045941"/>
  </r>
  <r>
    <n v="1180"/>
    <n v="18"/>
    <s v="Feminino"/>
    <s v="Soldagem"/>
    <s v="Operador"/>
    <s v="1º Turno"/>
    <x v="0"/>
    <s v="Sim"/>
    <x v="2"/>
    <d v="2025-12-09T00:00:00"/>
    <d v="2025-12-01T00:00:00"/>
    <s v="ter"/>
    <x v="8"/>
    <x v="1"/>
    <d v="2025-12-26T00:00:00"/>
    <s v="118046000"/>
  </r>
  <r>
    <n v="1182"/>
    <n v="52"/>
    <s v="Feminino"/>
    <s v="Pintura"/>
    <s v="Operador"/>
    <s v="2º Turno"/>
    <x v="4"/>
    <s v="Não"/>
    <x v="0"/>
    <d v="2026-06-04T00:00:00"/>
    <d v="2025-06-01T00:00:00"/>
    <s v="qui"/>
    <x v="1"/>
    <x v="0"/>
    <m/>
    <s v="118246177"/>
  </r>
  <r>
    <n v="1182"/>
    <n v="52"/>
    <s v="Feminino"/>
    <s v="Pintura"/>
    <s v="Operador"/>
    <s v="2º Turno"/>
    <x v="4"/>
    <s v="Não"/>
    <x v="0"/>
    <d v="2025-09-20T00:00:00"/>
    <d v="2025-09-01T00:00:00"/>
    <s v="sáb"/>
    <x v="7"/>
    <x v="1"/>
    <m/>
    <s v="118245920"/>
  </r>
  <r>
    <n v="1182"/>
    <n v="52"/>
    <s v="Feminino"/>
    <s v="Pintura"/>
    <s v="Operador"/>
    <s v="2º Turno"/>
    <x v="4"/>
    <s v="Não"/>
    <x v="0"/>
    <d v="2025-10-01T00:00:00"/>
    <d v="2025-10-01T00:00:00"/>
    <s v="qua"/>
    <x v="11"/>
    <x v="1"/>
    <m/>
    <s v="118245931"/>
  </r>
  <r>
    <n v="1182"/>
    <n v="52"/>
    <s v="Feminino"/>
    <s v="Pintura"/>
    <s v="Operador"/>
    <s v="2º Turno"/>
    <x v="4"/>
    <s v="Não"/>
    <x v="0"/>
    <d v="2025-10-16T00:00:00"/>
    <d v="2025-10-01T00:00:00"/>
    <s v="qui"/>
    <x v="11"/>
    <x v="1"/>
    <m/>
    <s v="118245946"/>
  </r>
  <r>
    <n v="1182"/>
    <n v="52"/>
    <s v="Feminino"/>
    <s v="Pintura"/>
    <s v="Operador"/>
    <s v="2º Turno"/>
    <x v="4"/>
    <s v="Não"/>
    <x v="0"/>
    <d v="2026-06-11T00:00:00"/>
    <d v="2026-01-01T00:00:00"/>
    <s v="qui"/>
    <x v="1"/>
    <x v="0"/>
    <m/>
    <s v="118246184"/>
  </r>
  <r>
    <n v="1182"/>
    <n v="52"/>
    <s v="Feminino"/>
    <s v="Pintura"/>
    <s v="Operador"/>
    <s v="2º Turno"/>
    <x v="4"/>
    <s v="Não"/>
    <x v="0"/>
    <d v="2026-03-12T00:00:00"/>
    <d v="2026-03-01T00:00:00"/>
    <s v="qui"/>
    <x v="4"/>
    <x v="0"/>
    <m/>
    <s v="118246093"/>
  </r>
  <r>
    <n v="1187"/>
    <n v="21"/>
    <s v="Masculino"/>
    <s v="Qualidade"/>
    <s v="Inspetor"/>
    <s v="3º Turno"/>
    <x v="0"/>
    <s v="Não"/>
    <x v="2"/>
    <d v="2025-07-01T00:00:00"/>
    <d v="2025-07-01T00:00:00"/>
    <s v="ter"/>
    <x v="6"/>
    <x v="1"/>
    <m/>
    <s v="118745839"/>
  </r>
  <r>
    <n v="1187"/>
    <n v="21"/>
    <s v="Masculino"/>
    <s v="Qualidade"/>
    <s v="Inspetor"/>
    <s v="3º Turno"/>
    <x v="0"/>
    <s v="Não"/>
    <x v="2"/>
    <d v="2025-09-10T00:00:00"/>
    <d v="2025-09-01T00:00:00"/>
    <s v="qua"/>
    <x v="7"/>
    <x v="1"/>
    <m/>
    <s v="118745910"/>
  </r>
  <r>
    <n v="1187"/>
    <n v="21"/>
    <s v="Masculino"/>
    <s v="Qualidade"/>
    <s v="Inspetor"/>
    <s v="3º Turno"/>
    <x v="0"/>
    <s v="Não"/>
    <x v="2"/>
    <d v="2025-10-16T00:00:00"/>
    <d v="2025-10-01T00:00:00"/>
    <s v="qui"/>
    <x v="11"/>
    <x v="1"/>
    <m/>
    <s v="118745946"/>
  </r>
  <r>
    <n v="1187"/>
    <n v="21"/>
    <s v="Masculino"/>
    <s v="Qualidade"/>
    <s v="Inspetor"/>
    <s v="3º Turno"/>
    <x v="0"/>
    <s v="Não"/>
    <x v="2"/>
    <d v="2025-12-25T00:00:00"/>
    <d v="2025-12-01T00:00:00"/>
    <s v="qui"/>
    <x v="8"/>
    <x v="1"/>
    <m/>
    <s v="118746016"/>
  </r>
  <r>
    <n v="1187"/>
    <n v="21"/>
    <s v="Masculino"/>
    <s v="Qualidade"/>
    <s v="Inspetor"/>
    <s v="3º Turno"/>
    <x v="0"/>
    <s v="Não"/>
    <x v="2"/>
    <d v="2026-03-04T00:00:00"/>
    <d v="2026-03-01T00:00:00"/>
    <s v="qua"/>
    <x v="4"/>
    <x v="0"/>
    <m/>
    <s v="118746085"/>
  </r>
  <r>
    <n v="1187"/>
    <n v="21"/>
    <s v="Masculino"/>
    <s v="Qualidade"/>
    <s v="Inspetor"/>
    <s v="3º Turno"/>
    <x v="0"/>
    <s v="Não"/>
    <x v="2"/>
    <d v="2026-03-19T00:00:00"/>
    <d v="2026-03-01T00:00:00"/>
    <s v="qui"/>
    <x v="4"/>
    <x v="0"/>
    <m/>
    <s v="118746100"/>
  </r>
  <r>
    <n v="1190"/>
    <n v="56"/>
    <s v="Feminino"/>
    <s v="Logistica"/>
    <s v="Operador"/>
    <s v="1º Turno"/>
    <x v="3"/>
    <s v="Sim"/>
    <x v="1"/>
    <d v="2025-05-05T00:00:00"/>
    <d v="2025-05-01T00:00:00"/>
    <s v="seg"/>
    <x v="0"/>
    <x v="1"/>
    <d v="2026-01-31T00:00:00"/>
    <s v="119045782"/>
  </r>
  <r>
    <n v="1190"/>
    <n v="56"/>
    <s v="Feminino"/>
    <s v="Logistica"/>
    <s v="Operador"/>
    <s v="1º Turno"/>
    <x v="2"/>
    <s v="Sim"/>
    <x v="1"/>
    <d v="2025-08-29T00:00:00"/>
    <d v="2025-08-01T00:00:00"/>
    <s v="sex"/>
    <x v="9"/>
    <x v="1"/>
    <d v="2026-01-31T00:00:00"/>
    <s v="119045898"/>
  </r>
  <r>
    <n v="1190"/>
    <n v="56"/>
    <s v="Feminino"/>
    <s v="Logistica"/>
    <s v="Operador"/>
    <s v="1º Turno"/>
    <x v="3"/>
    <s v="Sim"/>
    <x v="1"/>
    <d v="2025-09-27T00:00:00"/>
    <d v="2025-09-01T00:00:00"/>
    <s v="sáb"/>
    <x v="7"/>
    <x v="1"/>
    <d v="2026-01-31T00:00:00"/>
    <s v="119045927"/>
  </r>
  <r>
    <n v="1190"/>
    <n v="56"/>
    <s v="Feminino"/>
    <s v="Logistica"/>
    <s v="Operador"/>
    <s v="1º Turno"/>
    <x v="0"/>
    <s v="Sim"/>
    <x v="1"/>
    <d v="2025-11-11T00:00:00"/>
    <d v="2025-11-01T00:00:00"/>
    <s v="ter"/>
    <x v="10"/>
    <x v="1"/>
    <d v="2026-01-31T00:00:00"/>
    <s v="119045972"/>
  </r>
  <r>
    <n v="1190"/>
    <n v="56"/>
    <s v="Feminino"/>
    <s v="Logistica"/>
    <s v="Operador"/>
    <s v="1º Turno"/>
    <x v="2"/>
    <s v="Sim"/>
    <x v="1"/>
    <d v="2025-11-14T00:00:00"/>
    <d v="2025-11-01T00:00:00"/>
    <s v="sex"/>
    <x v="10"/>
    <x v="1"/>
    <d v="2026-01-31T00:00:00"/>
    <s v="119045975"/>
  </r>
  <r>
    <n v="1190"/>
    <n v="56"/>
    <s v="Feminino"/>
    <s v="Logistica"/>
    <s v="Operador"/>
    <s v="1º Turno"/>
    <x v="3"/>
    <s v="Sim"/>
    <x v="1"/>
    <d v="2026-06-06T00:00:00"/>
    <d v="2026-01-01T00:00:00"/>
    <s v="sáb"/>
    <x v="1"/>
    <x v="0"/>
    <d v="2026-01-31T00:00:00"/>
    <s v="119046179"/>
  </r>
  <r>
    <n v="1191"/>
    <n v="30"/>
    <s v="Feminino"/>
    <s v="Pintura"/>
    <s v="Operador"/>
    <s v="2º Turno"/>
    <x v="0"/>
    <s v="Não"/>
    <x v="0"/>
    <d v="2025-07-29T00:00:00"/>
    <d v="2025-07-01T00:00:00"/>
    <s v="ter"/>
    <x v="6"/>
    <x v="1"/>
    <m/>
    <s v="119145867"/>
  </r>
  <r>
    <n v="1191"/>
    <n v="30"/>
    <s v="Feminino"/>
    <s v="Pintura"/>
    <s v="Operador"/>
    <s v="2º Turno"/>
    <x v="0"/>
    <s v="Não"/>
    <x v="0"/>
    <d v="2025-09-10T00:00:00"/>
    <d v="2025-09-01T00:00:00"/>
    <s v="qua"/>
    <x v="7"/>
    <x v="1"/>
    <m/>
    <s v="119145910"/>
  </r>
  <r>
    <n v="1191"/>
    <n v="30"/>
    <s v="Feminino"/>
    <s v="Pintura"/>
    <s v="Operador"/>
    <s v="2º Turno"/>
    <x v="0"/>
    <s v="Não"/>
    <x v="0"/>
    <d v="2025-09-27T00:00:00"/>
    <d v="2025-09-01T00:00:00"/>
    <s v="sáb"/>
    <x v="7"/>
    <x v="1"/>
    <m/>
    <s v="119145927"/>
  </r>
  <r>
    <n v="1191"/>
    <n v="30"/>
    <s v="Feminino"/>
    <s v="Pintura"/>
    <s v="Operador"/>
    <s v="2º Turno"/>
    <x v="3"/>
    <s v="Não"/>
    <x v="0"/>
    <d v="2025-12-27T00:00:00"/>
    <d v="2025-12-01T00:00:00"/>
    <s v="sáb"/>
    <x v="8"/>
    <x v="1"/>
    <m/>
    <s v="119146018"/>
  </r>
  <r>
    <n v="1191"/>
    <n v="30"/>
    <s v="Feminino"/>
    <s v="Pintura"/>
    <s v="Operador"/>
    <s v="2º Turno"/>
    <x v="3"/>
    <s v="Não"/>
    <x v="0"/>
    <d v="2026-02-01T00:00:00"/>
    <d v="2026-02-01T00:00:00"/>
    <s v="dom"/>
    <x v="3"/>
    <x v="0"/>
    <m/>
    <s v="119146054"/>
  </r>
  <r>
    <n v="1191"/>
    <n v="30"/>
    <s v="Feminino"/>
    <s v="Pintura"/>
    <s v="Operador"/>
    <s v="2º Turno"/>
    <x v="0"/>
    <s v="Não"/>
    <x v="0"/>
    <d v="2026-03-18T00:00:00"/>
    <d v="2026-03-01T00:00:00"/>
    <s v="qua"/>
    <x v="4"/>
    <x v="0"/>
    <m/>
    <s v="119146099"/>
  </r>
  <r>
    <n v="1193"/>
    <n v="38"/>
    <s v="Feminino"/>
    <s v="Soldagem"/>
    <s v="Operador"/>
    <s v="2º Turno"/>
    <x v="0"/>
    <s v="Sim"/>
    <x v="1"/>
    <d v="2025-01-16T00:00:00"/>
    <d v="2025-01-01T00:00:00"/>
    <s v="qui"/>
    <x v="5"/>
    <x v="1"/>
    <d v="2025-06-18T00:00:00"/>
    <s v="119345673"/>
  </r>
  <r>
    <n v="1193"/>
    <n v="38"/>
    <s v="Feminino"/>
    <s v="Soldagem"/>
    <s v="Operador"/>
    <s v="2º Turno"/>
    <x v="0"/>
    <s v="Sim"/>
    <x v="1"/>
    <d v="2025-02-21T00:00:00"/>
    <d v="2025-02-01T00:00:00"/>
    <s v="sex"/>
    <x v="3"/>
    <x v="1"/>
    <d v="2025-06-18T00:00:00"/>
    <s v="119345709"/>
  </r>
  <r>
    <n v="1193"/>
    <n v="38"/>
    <s v="Feminino"/>
    <s v="Soldagem"/>
    <s v="Operador"/>
    <s v="2º Turno"/>
    <x v="5"/>
    <s v="Sim"/>
    <x v="1"/>
    <d v="2025-04-19T00:00:00"/>
    <d v="2025-04-01T00:00:00"/>
    <s v="sáb"/>
    <x v="2"/>
    <x v="1"/>
    <d v="2025-06-18T00:00:00"/>
    <s v="119345766"/>
  </r>
  <r>
    <n v="1193"/>
    <n v="38"/>
    <s v="Feminino"/>
    <s v="Soldagem"/>
    <s v="Operador"/>
    <s v="2º Turno"/>
    <x v="0"/>
    <s v="Sim"/>
    <x v="1"/>
    <d v="2025-04-20T00:00:00"/>
    <d v="2025-04-01T00:00:00"/>
    <s v="dom"/>
    <x v="2"/>
    <x v="1"/>
    <d v="2025-06-18T00:00:00"/>
    <s v="119345767"/>
  </r>
  <r>
    <n v="1193"/>
    <n v="38"/>
    <s v="Feminino"/>
    <s v="Soldagem"/>
    <s v="Operador"/>
    <s v="2º Turno"/>
    <x v="0"/>
    <s v="Sim"/>
    <x v="1"/>
    <d v="2025-05-27T00:00:00"/>
    <d v="2025-05-01T00:00:00"/>
    <s v="ter"/>
    <x v="0"/>
    <x v="1"/>
    <d v="2025-06-18T00:00:00"/>
    <s v="119345804"/>
  </r>
  <r>
    <n v="1193"/>
    <n v="38"/>
    <s v="Feminino"/>
    <s v="Soldagem"/>
    <s v="Operador"/>
    <s v="2º Turno"/>
    <x v="0"/>
    <s v="Sim"/>
    <x v="1"/>
    <d v="2025-06-06T00:00:00"/>
    <d v="2025-06-01T00:00:00"/>
    <s v="sex"/>
    <x v="1"/>
    <x v="1"/>
    <d v="2025-06-18T00:00:00"/>
    <s v="119345814"/>
  </r>
  <r>
    <n v="1196"/>
    <n v="22"/>
    <s v="Feminino"/>
    <s v="Logistica"/>
    <s v="Operador"/>
    <s v="2º Turno"/>
    <x v="2"/>
    <s v="Não"/>
    <x v="0"/>
    <d v="2025-05-25T00:00:00"/>
    <d v="2025-05-01T00:00:00"/>
    <s v="dom"/>
    <x v="0"/>
    <x v="1"/>
    <m/>
    <s v="119645802"/>
  </r>
  <r>
    <n v="1196"/>
    <n v="22"/>
    <s v="Feminino"/>
    <s v="Logistica"/>
    <s v="Operador"/>
    <s v="2º Turno"/>
    <x v="1"/>
    <s v="Não"/>
    <x v="0"/>
    <d v="2025-07-10T00:00:00"/>
    <d v="2025-07-01T00:00:00"/>
    <s v="qui"/>
    <x v="6"/>
    <x v="1"/>
    <m/>
    <s v="119645848"/>
  </r>
  <r>
    <n v="1196"/>
    <n v="22"/>
    <s v="Feminino"/>
    <s v="Logistica"/>
    <s v="Operador"/>
    <s v="2º Turno"/>
    <x v="1"/>
    <s v="Não"/>
    <x v="0"/>
    <d v="2025-09-24T00:00:00"/>
    <d v="2025-09-01T00:00:00"/>
    <s v="qua"/>
    <x v="7"/>
    <x v="1"/>
    <m/>
    <s v="119645924"/>
  </r>
  <r>
    <n v="1196"/>
    <n v="22"/>
    <s v="Feminino"/>
    <s v="Logistica"/>
    <s v="Operador"/>
    <s v="2º Turno"/>
    <x v="1"/>
    <s v="Não"/>
    <x v="0"/>
    <d v="2025-10-02T00:00:00"/>
    <d v="2025-10-01T00:00:00"/>
    <s v="qui"/>
    <x v="11"/>
    <x v="1"/>
    <m/>
    <s v="119645932"/>
  </r>
  <r>
    <n v="1196"/>
    <n v="22"/>
    <s v="Feminino"/>
    <s v="Logistica"/>
    <s v="Operador"/>
    <s v="2º Turno"/>
    <x v="2"/>
    <s v="Não"/>
    <x v="0"/>
    <d v="2025-12-21T00:00:00"/>
    <d v="2025-12-01T00:00:00"/>
    <s v="dom"/>
    <x v="8"/>
    <x v="1"/>
    <m/>
    <s v="119646012"/>
  </r>
  <r>
    <n v="1196"/>
    <n v="22"/>
    <s v="Feminino"/>
    <s v="Logistica"/>
    <s v="Operador"/>
    <s v="2º Turno"/>
    <x v="1"/>
    <s v="Não"/>
    <x v="0"/>
    <d v="2026-06-05T00:00:00"/>
    <d v="2026-01-01T00:00:00"/>
    <s v="sex"/>
    <x v="1"/>
    <x v="0"/>
    <m/>
    <s v="119646178"/>
  </r>
  <r>
    <n v="1196"/>
    <n v="22"/>
    <s v="Feminino"/>
    <s v="Logistica"/>
    <s v="Operador"/>
    <s v="2º Turno"/>
    <x v="2"/>
    <s v="Não"/>
    <x v="0"/>
    <d v="2026-05-25T00:00:00"/>
    <d v="2026-05-01T00:00:00"/>
    <s v="dom"/>
    <x v="0"/>
    <x v="1"/>
    <m/>
    <s v="119646167"/>
  </r>
  <r>
    <n v="1197"/>
    <n v="57"/>
    <s v="Masculino"/>
    <s v="Pintura"/>
    <s v="Operador"/>
    <s v="1º Turno"/>
    <x v="1"/>
    <s v="Não"/>
    <x v="1"/>
    <d v="2026-06-25T00:00:00"/>
    <d v="2025-06-01T00:00:00"/>
    <s v="qui"/>
    <x v="1"/>
    <x v="0"/>
    <m/>
    <s v="119746198"/>
  </r>
  <r>
    <n v="1197"/>
    <n v="57"/>
    <s v="Masculino"/>
    <s v="Pintura"/>
    <s v="Operador"/>
    <s v="1º Turno"/>
    <x v="1"/>
    <s v="Não"/>
    <x v="1"/>
    <d v="2025-10-25T00:00:00"/>
    <d v="2025-10-01T00:00:00"/>
    <s v="sáb"/>
    <x v="11"/>
    <x v="1"/>
    <m/>
    <s v="119745955"/>
  </r>
  <r>
    <n v="1197"/>
    <n v="57"/>
    <s v="Masculino"/>
    <s v="Pintura"/>
    <s v="Operador"/>
    <s v="1º Turno"/>
    <x v="1"/>
    <s v="Não"/>
    <x v="1"/>
    <d v="2026-02-25T00:00:00"/>
    <d v="2026-02-01T00:00:00"/>
    <s v="qua"/>
    <x v="3"/>
    <x v="0"/>
    <m/>
    <s v="119746078"/>
  </r>
  <r>
    <n v="1197"/>
    <n v="57"/>
    <s v="Masculino"/>
    <s v="Pintura"/>
    <s v="Operador"/>
    <s v="1º Turno"/>
    <x v="1"/>
    <s v="Não"/>
    <x v="1"/>
    <d v="2026-02-27T00:00:00"/>
    <d v="2026-02-01T00:00:00"/>
    <s v="sex"/>
    <x v="3"/>
    <x v="0"/>
    <m/>
    <s v="119746080"/>
  </r>
  <r>
    <n v="1198"/>
    <n v="36"/>
    <s v="Feminino"/>
    <s v="Soldagem"/>
    <s v="Operador"/>
    <s v="3º Turno"/>
    <x v="0"/>
    <s v="Sim"/>
    <x v="0"/>
    <d v="2025-05-03T00:00:00"/>
    <d v="2025-05-01T00:00:00"/>
    <s v="sáb"/>
    <x v="0"/>
    <x v="1"/>
    <d v="2025-08-25T00:00:00"/>
    <s v="119845780"/>
  </r>
  <r>
    <n v="1198"/>
    <n v="36"/>
    <s v="Feminino"/>
    <s v="Soldagem"/>
    <s v="Operador"/>
    <s v="3º Turno"/>
    <x v="0"/>
    <s v="Sim"/>
    <x v="0"/>
    <d v="2025-05-17T00:00:00"/>
    <d v="2025-05-01T00:00:00"/>
    <s v="sáb"/>
    <x v="0"/>
    <x v="1"/>
    <d v="2025-08-25T00:00:00"/>
    <s v="119845794"/>
  </r>
  <r>
    <n v="1198"/>
    <n v="36"/>
    <s v="Feminino"/>
    <s v="Soldagem"/>
    <s v="Operador"/>
    <s v="3º Turno"/>
    <x v="0"/>
    <s v="Sim"/>
    <x v="0"/>
    <d v="2025-06-20T00:00:00"/>
    <d v="2025-06-01T00:00:00"/>
    <s v="sex"/>
    <x v="1"/>
    <x v="1"/>
    <d v="2025-08-25T00:00:00"/>
    <s v="119845828"/>
  </r>
  <r>
    <n v="1198"/>
    <n v="36"/>
    <s v="Feminino"/>
    <s v="Soldagem"/>
    <s v="Operador"/>
    <s v="3º Turno"/>
    <x v="0"/>
    <s v="Sim"/>
    <x v="0"/>
    <d v="2025-07-24T00:00:00"/>
    <d v="2025-07-01T00:00:00"/>
    <s v="qui"/>
    <x v="6"/>
    <x v="1"/>
    <d v="2025-08-25T00:00:00"/>
    <s v="119845862"/>
  </r>
  <r>
    <n v="1198"/>
    <n v="36"/>
    <s v="Feminino"/>
    <s v="Soldagem"/>
    <s v="Operador"/>
    <s v="3º Turno"/>
    <x v="0"/>
    <s v="Sim"/>
    <x v="0"/>
    <d v="2025-08-18T00:00:00"/>
    <d v="2025-08-01T00:00:00"/>
    <s v="seg"/>
    <x v="9"/>
    <x v="1"/>
    <d v="2025-08-25T00:00:00"/>
    <s v="119845887"/>
  </r>
  <r>
    <n v="1200"/>
    <n v="32"/>
    <s v="Masculino"/>
    <s v="Pintura"/>
    <s v="Operador"/>
    <s v="1º Turno"/>
    <x v="4"/>
    <s v="Não"/>
    <x v="1"/>
    <d v="2025-05-19T00:00:00"/>
    <d v="2025-05-01T00:00:00"/>
    <s v="seg"/>
    <x v="0"/>
    <x v="1"/>
    <m/>
    <s v="120045796"/>
  </r>
  <r>
    <n v="1200"/>
    <n v="32"/>
    <s v="Masculino"/>
    <s v="Pintura"/>
    <s v="Operador"/>
    <s v="1º Turno"/>
    <x v="4"/>
    <s v="Não"/>
    <x v="1"/>
    <d v="2025-08-23T00:00:00"/>
    <d v="2025-08-01T00:00:00"/>
    <s v="sáb"/>
    <x v="9"/>
    <x v="1"/>
    <m/>
    <s v="120045892"/>
  </r>
  <r>
    <n v="1200"/>
    <n v="32"/>
    <s v="Masculino"/>
    <s v="Pintura"/>
    <s v="Operador"/>
    <s v="1º Turno"/>
    <x v="4"/>
    <s v="Não"/>
    <x v="1"/>
    <d v="2025-09-17T00:00:00"/>
    <d v="2025-09-01T00:00:00"/>
    <s v="qua"/>
    <x v="7"/>
    <x v="1"/>
    <m/>
    <s v="120045917"/>
  </r>
  <r>
    <n v="1200"/>
    <n v="32"/>
    <s v="Masculino"/>
    <s v="Pintura"/>
    <s v="Operador"/>
    <s v="1º Turno"/>
    <x v="4"/>
    <s v="Não"/>
    <x v="1"/>
    <d v="2025-11-11T00:00:00"/>
    <d v="2025-11-01T00:00:00"/>
    <s v="ter"/>
    <x v="10"/>
    <x v="1"/>
    <m/>
    <s v="120045972"/>
  </r>
  <r>
    <n v="1200"/>
    <n v="32"/>
    <s v="Masculino"/>
    <s v="Pintura"/>
    <s v="Operador"/>
    <s v="1º Turno"/>
    <x v="4"/>
    <s v="Não"/>
    <x v="1"/>
    <d v="2025-11-20T00:00:00"/>
    <d v="2025-11-01T00:00:00"/>
    <s v="qui"/>
    <x v="10"/>
    <x v="1"/>
    <m/>
    <s v="120045981"/>
  </r>
  <r>
    <n v="1200"/>
    <n v="32"/>
    <s v="Masculino"/>
    <s v="Pintura"/>
    <s v="Operador"/>
    <s v="1º Turno"/>
    <x v="4"/>
    <s v="Não"/>
    <x v="1"/>
    <d v="2026-06-16T00:00:00"/>
    <d v="2026-01-01T00:00:00"/>
    <s v="ter"/>
    <x v="1"/>
    <x v="0"/>
    <m/>
    <s v="120046189"/>
  </r>
  <r>
    <n v="1200"/>
    <n v="32"/>
    <s v="Masculino"/>
    <s v="Pintura"/>
    <s v="Operador"/>
    <s v="1º Turno"/>
    <x v="4"/>
    <s v="Não"/>
    <x v="1"/>
    <d v="2026-05-19T00:00:00"/>
    <d v="2026-05-01T00:00:00"/>
    <s v="seg"/>
    <x v="0"/>
    <x v="1"/>
    <m/>
    <s v="120046161"/>
  </r>
  <r>
    <n v="1201"/>
    <n v="28"/>
    <s v="Feminino"/>
    <s v="Soldagem"/>
    <s v="Operador"/>
    <s v="2º Turno"/>
    <x v="3"/>
    <s v="Sim"/>
    <x v="1"/>
    <d v="2025-08-10T00:00:00"/>
    <d v="2025-08-01T00:00:00"/>
    <s v="dom"/>
    <x v="9"/>
    <x v="1"/>
    <d v="2026-03-27T00:00:00"/>
    <s v="120145879"/>
  </r>
  <r>
    <n v="1201"/>
    <n v="28"/>
    <s v="Feminino"/>
    <s v="Soldagem"/>
    <s v="Operador"/>
    <s v="2º Turno"/>
    <x v="3"/>
    <s v="Sim"/>
    <x v="1"/>
    <d v="2025-09-23T00:00:00"/>
    <d v="2025-09-01T00:00:00"/>
    <s v="ter"/>
    <x v="7"/>
    <x v="1"/>
    <d v="2026-03-27T00:00:00"/>
    <s v="120145923"/>
  </r>
  <r>
    <n v="1201"/>
    <n v="28"/>
    <s v="Feminino"/>
    <s v="Soldagem"/>
    <s v="Operador"/>
    <s v="2º Turno"/>
    <x v="0"/>
    <s v="Sim"/>
    <x v="1"/>
    <d v="2026-06-05T00:00:00"/>
    <d v="2026-01-01T00:00:00"/>
    <s v="sex"/>
    <x v="1"/>
    <x v="0"/>
    <d v="2026-03-27T00:00:00"/>
    <s v="120146178"/>
  </r>
  <r>
    <n v="1201"/>
    <n v="28"/>
    <s v="Feminino"/>
    <s v="Soldagem"/>
    <s v="Operador"/>
    <s v="2º Turno"/>
    <x v="0"/>
    <s v="Sim"/>
    <x v="1"/>
    <d v="2026-06-17T00:00:00"/>
    <d v="2026-01-01T00:00:00"/>
    <s v="qua"/>
    <x v="1"/>
    <x v="0"/>
    <d v="2026-03-27T00:00:00"/>
    <s v="120146190"/>
  </r>
  <r>
    <n v="1201"/>
    <n v="28"/>
    <s v="Feminino"/>
    <s v="Soldagem"/>
    <s v="Operador"/>
    <s v="2º Turno"/>
    <x v="2"/>
    <s v="Sim"/>
    <x v="1"/>
    <d v="2026-06-28T00:00:00"/>
    <d v="2026-01-01T00:00:00"/>
    <s v="dom"/>
    <x v="1"/>
    <x v="0"/>
    <d v="2026-03-27T00:00:00"/>
    <s v="120146201"/>
  </r>
  <r>
    <n v="1201"/>
    <n v="28"/>
    <s v="Feminino"/>
    <s v="Soldagem"/>
    <s v="Operador"/>
    <s v="2º Turno"/>
    <x v="2"/>
    <s v="Sim"/>
    <x v="1"/>
    <d v="2026-02-08T00:00:00"/>
    <d v="2026-02-01T00:00:00"/>
    <s v="dom"/>
    <x v="3"/>
    <x v="0"/>
    <d v="2026-03-27T00:00:00"/>
    <s v="120146061"/>
  </r>
  <r>
    <n v="1202"/>
    <n v="54"/>
    <s v="Masculino"/>
    <s v="Montagem"/>
    <s v="Operador"/>
    <s v="1º Turno"/>
    <x v="3"/>
    <s v="Não"/>
    <x v="1"/>
    <d v="2025-09-18T00:00:00"/>
    <d v="2025-09-01T00:00:00"/>
    <s v="qui"/>
    <x v="7"/>
    <x v="1"/>
    <m/>
    <s v="120245918"/>
  </r>
  <r>
    <n v="1202"/>
    <n v="54"/>
    <s v="Masculino"/>
    <s v="Montagem"/>
    <s v="Operador"/>
    <s v="1º Turno"/>
    <x v="0"/>
    <s v="Não"/>
    <x v="1"/>
    <d v="2025-09-20T00:00:00"/>
    <d v="2025-09-01T00:00:00"/>
    <s v="sáb"/>
    <x v="7"/>
    <x v="1"/>
    <m/>
    <s v="120245920"/>
  </r>
  <r>
    <n v="1202"/>
    <n v="54"/>
    <s v="Masculino"/>
    <s v="Montagem"/>
    <s v="Operador"/>
    <s v="1º Turno"/>
    <x v="0"/>
    <s v="Não"/>
    <x v="1"/>
    <d v="2025-10-06T00:00:00"/>
    <d v="2025-10-01T00:00:00"/>
    <s v="seg"/>
    <x v="11"/>
    <x v="1"/>
    <m/>
    <s v="120245936"/>
  </r>
  <r>
    <n v="1202"/>
    <n v="54"/>
    <s v="Masculino"/>
    <s v="Montagem"/>
    <s v="Operador"/>
    <s v="1º Turno"/>
    <x v="3"/>
    <s v="Não"/>
    <x v="1"/>
    <d v="2025-11-11T00:00:00"/>
    <d v="2025-11-01T00:00:00"/>
    <s v="ter"/>
    <x v="10"/>
    <x v="1"/>
    <m/>
    <s v="120245972"/>
  </r>
  <r>
    <n v="1202"/>
    <n v="54"/>
    <s v="Masculino"/>
    <s v="Montagem"/>
    <s v="Operador"/>
    <s v="1º Turno"/>
    <x v="3"/>
    <s v="Não"/>
    <x v="1"/>
    <d v="2025-12-25T00:00:00"/>
    <d v="2025-12-01T00:00:00"/>
    <s v="qui"/>
    <x v="8"/>
    <x v="1"/>
    <m/>
    <s v="120246016"/>
  </r>
  <r>
    <n v="1202"/>
    <n v="54"/>
    <s v="Masculino"/>
    <s v="Montagem"/>
    <s v="Operador"/>
    <s v="1º Turno"/>
    <x v="3"/>
    <s v="Não"/>
    <x v="1"/>
    <d v="2026-02-28T00:00:00"/>
    <d v="2026-02-01T00:00:00"/>
    <s v="sáb"/>
    <x v="3"/>
    <x v="0"/>
    <m/>
    <s v="120246081"/>
  </r>
  <r>
    <n v="1203"/>
    <n v="55"/>
    <s v="Feminino"/>
    <s v="Logistica"/>
    <s v="Operador"/>
    <s v="3º Turno"/>
    <x v="0"/>
    <s v="Não"/>
    <x v="2"/>
    <d v="2025-07-11T00:00:00"/>
    <d v="2025-07-01T00:00:00"/>
    <s v="sex"/>
    <x v="6"/>
    <x v="1"/>
    <m/>
    <s v="120345849"/>
  </r>
  <r>
    <n v="1203"/>
    <n v="55"/>
    <s v="Feminino"/>
    <s v="Logistica"/>
    <s v="Operador"/>
    <s v="3º Turno"/>
    <x v="0"/>
    <s v="Não"/>
    <x v="2"/>
    <d v="2025-09-22T00:00:00"/>
    <d v="2025-09-01T00:00:00"/>
    <s v="seg"/>
    <x v="7"/>
    <x v="1"/>
    <m/>
    <s v="120345922"/>
  </r>
  <r>
    <n v="1203"/>
    <n v="55"/>
    <s v="Feminino"/>
    <s v="Logistica"/>
    <s v="Operador"/>
    <s v="3º Turno"/>
    <x v="0"/>
    <s v="Não"/>
    <x v="2"/>
    <d v="2026-06-18T00:00:00"/>
    <d v="2026-01-01T00:00:00"/>
    <s v="qui"/>
    <x v="1"/>
    <x v="0"/>
    <m/>
    <s v="120346191"/>
  </r>
  <r>
    <n v="1203"/>
    <n v="55"/>
    <s v="Feminino"/>
    <s v="Logistica"/>
    <s v="Operador"/>
    <s v="3º Turno"/>
    <x v="0"/>
    <s v="Não"/>
    <x v="2"/>
    <d v="2026-03-25T00:00:00"/>
    <d v="2026-03-01T00:00:00"/>
    <s v="qua"/>
    <x v="4"/>
    <x v="0"/>
    <m/>
    <s v="120346106"/>
  </r>
  <r>
    <n v="1204"/>
    <n v="52"/>
    <s v="Masculino"/>
    <s v="Soldagem"/>
    <s v="Operador"/>
    <s v="3º Turno"/>
    <x v="0"/>
    <s v="Sim"/>
    <x v="2"/>
    <d v="2025-04-24T00:00:00"/>
    <d v="2025-04-01T00:00:00"/>
    <s v="qui"/>
    <x v="2"/>
    <x v="1"/>
    <d v="2025-12-26T00:00:00"/>
    <s v="120445771"/>
  </r>
  <r>
    <n v="1204"/>
    <n v="52"/>
    <s v="Masculino"/>
    <s v="Soldagem"/>
    <s v="Operador"/>
    <s v="3º Turno"/>
    <x v="0"/>
    <s v="Sim"/>
    <x v="2"/>
    <d v="2025-05-19T00:00:00"/>
    <d v="2025-05-01T00:00:00"/>
    <s v="seg"/>
    <x v="0"/>
    <x v="1"/>
    <d v="2025-12-26T00:00:00"/>
    <s v="120445796"/>
  </r>
  <r>
    <n v="1204"/>
    <n v="52"/>
    <s v="Masculino"/>
    <s v="Soldagem"/>
    <s v="Operador"/>
    <s v="3º Turno"/>
    <x v="0"/>
    <s v="Sim"/>
    <x v="2"/>
    <d v="2025-07-15T00:00:00"/>
    <d v="2025-07-01T00:00:00"/>
    <s v="ter"/>
    <x v="6"/>
    <x v="1"/>
    <d v="2025-12-26T00:00:00"/>
    <s v="120445853"/>
  </r>
  <r>
    <n v="1204"/>
    <n v="52"/>
    <s v="Masculino"/>
    <s v="Soldagem"/>
    <s v="Operador"/>
    <s v="3º Turno"/>
    <x v="0"/>
    <s v="Sim"/>
    <x v="2"/>
    <d v="2025-10-12T00:00:00"/>
    <d v="2025-10-01T00:00:00"/>
    <s v="dom"/>
    <x v="11"/>
    <x v="1"/>
    <d v="2025-12-26T00:00:00"/>
    <s v="120445942"/>
  </r>
  <r>
    <n v="1204"/>
    <n v="52"/>
    <s v="Masculino"/>
    <s v="Soldagem"/>
    <s v="Operador"/>
    <s v="3º Turno"/>
    <x v="0"/>
    <s v="Sim"/>
    <x v="2"/>
    <d v="2025-11-08T00:00:00"/>
    <d v="2025-11-01T00:00:00"/>
    <s v="sáb"/>
    <x v="10"/>
    <x v="1"/>
    <d v="2025-12-26T00:00:00"/>
    <s v="120445969"/>
  </r>
  <r>
    <n v="1204"/>
    <n v="52"/>
    <s v="Masculino"/>
    <s v="Soldagem"/>
    <s v="Operador"/>
    <s v="3º Turno"/>
    <x v="0"/>
    <s v="Sim"/>
    <x v="2"/>
    <d v="2025-12-09T00:00:00"/>
    <d v="2025-12-01T00:00:00"/>
    <s v="ter"/>
    <x v="8"/>
    <x v="1"/>
    <d v="2025-12-26T00:00:00"/>
    <s v="120446000"/>
  </r>
  <r>
    <n v="1206"/>
    <n v="42"/>
    <s v="Masculino"/>
    <s v="Montagem"/>
    <s v="Operador"/>
    <s v="3º Turno"/>
    <x v="0"/>
    <s v="Sim"/>
    <x v="1"/>
    <d v="2025-07-15T00:00:00"/>
    <d v="2025-07-01T00:00:00"/>
    <s v="ter"/>
    <x v="6"/>
    <x v="1"/>
    <d v="2025-11-03T00:00:00"/>
    <s v="120645853"/>
  </r>
  <r>
    <n v="1206"/>
    <n v="42"/>
    <s v="Masculino"/>
    <s v="Montagem"/>
    <s v="Operador"/>
    <s v="3º Turno"/>
    <x v="3"/>
    <s v="Sim"/>
    <x v="1"/>
    <d v="2025-08-29T00:00:00"/>
    <d v="2025-08-01T00:00:00"/>
    <s v="sex"/>
    <x v="9"/>
    <x v="1"/>
    <d v="2025-11-03T00:00:00"/>
    <s v="120645898"/>
  </r>
  <r>
    <n v="1206"/>
    <n v="42"/>
    <s v="Masculino"/>
    <s v="Montagem"/>
    <s v="Operador"/>
    <s v="3º Turno"/>
    <x v="0"/>
    <s v="Sim"/>
    <x v="1"/>
    <d v="2025-08-30T00:00:00"/>
    <d v="2025-08-01T00:00:00"/>
    <s v="sáb"/>
    <x v="9"/>
    <x v="1"/>
    <d v="2025-11-03T00:00:00"/>
    <s v="120645899"/>
  </r>
  <r>
    <n v="1206"/>
    <n v="42"/>
    <s v="Masculino"/>
    <s v="Montagem"/>
    <s v="Operador"/>
    <s v="3º Turno"/>
    <x v="0"/>
    <s v="Sim"/>
    <x v="1"/>
    <d v="2025-09-06T00:00:00"/>
    <d v="2025-09-01T00:00:00"/>
    <s v="sáb"/>
    <x v="7"/>
    <x v="1"/>
    <d v="2025-11-03T00:00:00"/>
    <s v="120645906"/>
  </r>
  <r>
    <n v="1206"/>
    <n v="42"/>
    <s v="Masculino"/>
    <s v="Montagem"/>
    <s v="Operador"/>
    <s v="3º Turno"/>
    <x v="0"/>
    <s v="Sim"/>
    <x v="1"/>
    <d v="2025-10-10T00:00:00"/>
    <d v="2025-10-01T00:00:00"/>
    <s v="sex"/>
    <x v="11"/>
    <x v="1"/>
    <d v="2025-11-03T00:00:00"/>
    <s v="120645940"/>
  </r>
  <r>
    <n v="1206"/>
    <n v="42"/>
    <s v="Masculino"/>
    <s v="Montagem"/>
    <s v="Operador"/>
    <s v="3º Turno"/>
    <x v="0"/>
    <s v="Sim"/>
    <x v="1"/>
    <d v="2025-10-16T00:00:00"/>
    <d v="2025-10-01T00:00:00"/>
    <s v="qui"/>
    <x v="11"/>
    <x v="1"/>
    <d v="2025-11-03T00:00:00"/>
    <s v="120645946"/>
  </r>
  <r>
    <n v="1208"/>
    <n v="35"/>
    <s v="Feminino"/>
    <s v="Montagem"/>
    <s v="Operador"/>
    <s v="1º Turno"/>
    <x v="1"/>
    <s v="Não"/>
    <x v="1"/>
    <d v="2026-06-12T00:00:00"/>
    <d v="2025-06-01T00:00:00"/>
    <s v="sex"/>
    <x v="1"/>
    <x v="0"/>
    <m/>
    <s v="120846185"/>
  </r>
  <r>
    <n v="1208"/>
    <n v="35"/>
    <s v="Feminino"/>
    <s v="Montagem"/>
    <s v="Operador"/>
    <s v="1º Turno"/>
    <x v="1"/>
    <s v="Não"/>
    <x v="1"/>
    <d v="2025-07-19T00:00:00"/>
    <d v="2025-07-01T00:00:00"/>
    <s v="sáb"/>
    <x v="6"/>
    <x v="1"/>
    <m/>
    <s v="120845857"/>
  </r>
  <r>
    <n v="1208"/>
    <n v="35"/>
    <s v="Feminino"/>
    <s v="Montagem"/>
    <s v="Operador"/>
    <s v="1º Turno"/>
    <x v="1"/>
    <s v="Não"/>
    <x v="1"/>
    <d v="2025-10-06T00:00:00"/>
    <d v="2025-10-01T00:00:00"/>
    <s v="seg"/>
    <x v="11"/>
    <x v="1"/>
    <m/>
    <s v="120845936"/>
  </r>
  <r>
    <n v="1208"/>
    <n v="35"/>
    <s v="Feminino"/>
    <s v="Montagem"/>
    <s v="Operador"/>
    <s v="1º Turno"/>
    <x v="1"/>
    <s v="Não"/>
    <x v="1"/>
    <d v="2025-11-10T00:00:00"/>
    <d v="2025-11-01T00:00:00"/>
    <s v="seg"/>
    <x v="10"/>
    <x v="1"/>
    <m/>
    <s v="120845971"/>
  </r>
  <r>
    <n v="1208"/>
    <n v="35"/>
    <s v="Feminino"/>
    <s v="Montagem"/>
    <s v="Operador"/>
    <s v="1º Turno"/>
    <x v="1"/>
    <s v="Não"/>
    <x v="1"/>
    <d v="2026-06-24T00:00:00"/>
    <d v="2026-01-01T00:00:00"/>
    <s v="qua"/>
    <x v="1"/>
    <x v="0"/>
    <m/>
    <s v="120846197"/>
  </r>
  <r>
    <n v="1208"/>
    <n v="35"/>
    <s v="Feminino"/>
    <s v="Montagem"/>
    <s v="Operador"/>
    <s v="1º Turno"/>
    <x v="1"/>
    <s v="Não"/>
    <x v="1"/>
    <d v="2026-02-26T00:00:00"/>
    <d v="2026-02-01T00:00:00"/>
    <s v="qui"/>
    <x v="3"/>
    <x v="0"/>
    <m/>
    <s v="120846079"/>
  </r>
  <r>
    <n v="1209"/>
    <n v="23"/>
    <s v="Masculino"/>
    <s v="Logistica"/>
    <s v="Operador"/>
    <s v="1º Turno"/>
    <x v="1"/>
    <s v="Não"/>
    <x v="1"/>
    <d v="2026-06-17T00:00:00"/>
    <d v="2025-06-01T00:00:00"/>
    <s v="qua"/>
    <x v="1"/>
    <x v="0"/>
    <m/>
    <s v="120946190"/>
  </r>
  <r>
    <n v="1209"/>
    <n v="23"/>
    <s v="Masculino"/>
    <s v="Logistica"/>
    <s v="Operador"/>
    <s v="1º Turno"/>
    <x v="1"/>
    <s v="Não"/>
    <x v="1"/>
    <d v="2026-06-20T00:00:00"/>
    <d v="2025-06-01T00:00:00"/>
    <s v="sáb"/>
    <x v="1"/>
    <x v="0"/>
    <m/>
    <s v="120946193"/>
  </r>
  <r>
    <n v="1209"/>
    <n v="23"/>
    <s v="Masculino"/>
    <s v="Logistica"/>
    <s v="Operador"/>
    <s v="1º Turno"/>
    <x v="0"/>
    <s v="Não"/>
    <x v="1"/>
    <d v="2025-07-19T00:00:00"/>
    <d v="2025-07-01T00:00:00"/>
    <s v="sáb"/>
    <x v="6"/>
    <x v="1"/>
    <m/>
    <s v="120945857"/>
  </r>
  <r>
    <n v="1209"/>
    <n v="23"/>
    <s v="Masculino"/>
    <s v="Logistica"/>
    <s v="Operador"/>
    <s v="1º Turno"/>
    <x v="0"/>
    <s v="Não"/>
    <x v="1"/>
    <d v="2025-09-30T00:00:00"/>
    <d v="2025-09-01T00:00:00"/>
    <s v="ter"/>
    <x v="7"/>
    <x v="1"/>
    <m/>
    <s v="120945930"/>
  </r>
  <r>
    <n v="1209"/>
    <n v="23"/>
    <s v="Masculino"/>
    <s v="Logistica"/>
    <s v="Operador"/>
    <s v="1º Turno"/>
    <x v="0"/>
    <s v="Não"/>
    <x v="1"/>
    <d v="2025-11-15T00:00:00"/>
    <d v="2025-11-01T00:00:00"/>
    <s v="sáb"/>
    <x v="10"/>
    <x v="1"/>
    <m/>
    <s v="120945976"/>
  </r>
  <r>
    <n v="1209"/>
    <n v="23"/>
    <s v="Masculino"/>
    <s v="Logistica"/>
    <s v="Operador"/>
    <s v="1º Turno"/>
    <x v="0"/>
    <s v="Não"/>
    <x v="1"/>
    <d v="2026-06-07T00:00:00"/>
    <d v="2026-01-01T00:00:00"/>
    <s v="dom"/>
    <x v="1"/>
    <x v="0"/>
    <m/>
    <s v="120946180"/>
  </r>
  <r>
    <n v="1210"/>
    <n v="28"/>
    <s v="Feminino"/>
    <s v="Montagem"/>
    <s v="Operador"/>
    <s v="2º Turno"/>
    <x v="0"/>
    <s v="Não"/>
    <x v="1"/>
    <d v="2025-08-16T00:00:00"/>
    <d v="2025-08-01T00:00:00"/>
    <s v="sáb"/>
    <x v="9"/>
    <x v="1"/>
    <m/>
    <s v="121045885"/>
  </r>
  <r>
    <n v="1210"/>
    <n v="28"/>
    <s v="Feminino"/>
    <s v="Montagem"/>
    <s v="Operador"/>
    <s v="2º Turno"/>
    <x v="0"/>
    <s v="Não"/>
    <x v="1"/>
    <d v="2025-11-01T00:00:00"/>
    <d v="2025-11-01T00:00:00"/>
    <s v="sáb"/>
    <x v="10"/>
    <x v="1"/>
    <m/>
    <s v="121045962"/>
  </r>
  <r>
    <n v="1210"/>
    <n v="28"/>
    <s v="Feminino"/>
    <s v="Montagem"/>
    <s v="Operador"/>
    <s v="2º Turno"/>
    <x v="0"/>
    <s v="Não"/>
    <x v="1"/>
    <d v="2025-12-22T00:00:00"/>
    <d v="2025-12-01T00:00:00"/>
    <s v="seg"/>
    <x v="8"/>
    <x v="1"/>
    <m/>
    <s v="121046013"/>
  </r>
  <r>
    <n v="1210"/>
    <n v="28"/>
    <s v="Feminino"/>
    <s v="Montagem"/>
    <s v="Operador"/>
    <s v="2º Turno"/>
    <x v="0"/>
    <s v="Não"/>
    <x v="1"/>
    <d v="2026-06-01T00:00:00"/>
    <d v="2026-01-01T00:00:00"/>
    <s v="seg"/>
    <x v="1"/>
    <x v="0"/>
    <m/>
    <s v="121046174"/>
  </r>
  <r>
    <n v="1210"/>
    <n v="28"/>
    <s v="Feminino"/>
    <s v="Montagem"/>
    <s v="Operador"/>
    <s v="2º Turno"/>
    <x v="0"/>
    <s v="Não"/>
    <x v="1"/>
    <d v="2026-06-23T00:00:00"/>
    <d v="2026-01-01T00:00:00"/>
    <s v="ter"/>
    <x v="1"/>
    <x v="0"/>
    <m/>
    <s v="121046196"/>
  </r>
  <r>
    <n v="1211"/>
    <n v="41"/>
    <s v="Masculino"/>
    <s v="Qualidade"/>
    <s v="Inspetor"/>
    <s v="3º Turno"/>
    <x v="4"/>
    <s v="Não"/>
    <x v="0"/>
    <d v="2025-05-06T00:00:00"/>
    <d v="2025-05-01T00:00:00"/>
    <s v="ter"/>
    <x v="0"/>
    <x v="1"/>
    <m/>
    <s v="121145783"/>
  </r>
  <r>
    <n v="1211"/>
    <n v="41"/>
    <s v="Masculino"/>
    <s v="Qualidade"/>
    <s v="Inspetor"/>
    <s v="3º Turno"/>
    <x v="4"/>
    <s v="Não"/>
    <x v="0"/>
    <d v="2026-06-05T00:00:00"/>
    <d v="2025-06-01T00:00:00"/>
    <s v="sex"/>
    <x v="1"/>
    <x v="0"/>
    <m/>
    <s v="121146178"/>
  </r>
  <r>
    <n v="1211"/>
    <n v="41"/>
    <s v="Masculino"/>
    <s v="Qualidade"/>
    <s v="Inspetor"/>
    <s v="3º Turno"/>
    <x v="4"/>
    <s v="Não"/>
    <x v="0"/>
    <d v="2025-07-28T00:00:00"/>
    <d v="2025-07-01T00:00:00"/>
    <s v="seg"/>
    <x v="6"/>
    <x v="1"/>
    <m/>
    <s v="121145866"/>
  </r>
  <r>
    <n v="1211"/>
    <n v="41"/>
    <s v="Masculino"/>
    <s v="Qualidade"/>
    <s v="Inspetor"/>
    <s v="3º Turno"/>
    <x v="4"/>
    <s v="Não"/>
    <x v="0"/>
    <d v="2025-08-11T00:00:00"/>
    <d v="2025-08-01T00:00:00"/>
    <s v="seg"/>
    <x v="9"/>
    <x v="1"/>
    <m/>
    <s v="121145880"/>
  </r>
  <r>
    <n v="1211"/>
    <n v="41"/>
    <s v="Masculino"/>
    <s v="Qualidade"/>
    <s v="Inspetor"/>
    <s v="3º Turno"/>
    <x v="4"/>
    <s v="Não"/>
    <x v="0"/>
    <d v="2025-10-21T00:00:00"/>
    <d v="2025-10-01T00:00:00"/>
    <s v="ter"/>
    <x v="11"/>
    <x v="1"/>
    <m/>
    <s v="121145951"/>
  </r>
  <r>
    <n v="1211"/>
    <n v="41"/>
    <s v="Masculino"/>
    <s v="Qualidade"/>
    <s v="Inspetor"/>
    <s v="3º Turno"/>
    <x v="4"/>
    <s v="Não"/>
    <x v="0"/>
    <d v="2026-06-21T00:00:00"/>
    <d v="2026-01-01T00:00:00"/>
    <s v="dom"/>
    <x v="1"/>
    <x v="0"/>
    <m/>
    <s v="121146194"/>
  </r>
  <r>
    <n v="1211"/>
    <n v="41"/>
    <s v="Masculino"/>
    <s v="Qualidade"/>
    <s v="Inspetor"/>
    <s v="3º Turno"/>
    <x v="4"/>
    <s v="Não"/>
    <x v="0"/>
    <d v="2026-05-06T00:00:00"/>
    <d v="2026-05-01T00:00:00"/>
    <s v="ter"/>
    <x v="0"/>
    <x v="1"/>
    <m/>
    <s v="121146148"/>
  </r>
  <r>
    <n v="1213"/>
    <n v="43"/>
    <s v="Masculino"/>
    <s v="Montagem"/>
    <s v="Operador"/>
    <s v="3º Turno"/>
    <x v="3"/>
    <s v="Sim"/>
    <x v="2"/>
    <d v="2025-05-09T00:00:00"/>
    <d v="2025-05-01T00:00:00"/>
    <s v="sex"/>
    <x v="0"/>
    <x v="1"/>
    <d v="2025-09-20T00:00:00"/>
    <s v="121345786"/>
  </r>
  <r>
    <n v="1213"/>
    <n v="43"/>
    <s v="Masculino"/>
    <s v="Montagem"/>
    <s v="Operador"/>
    <s v="3º Turno"/>
    <x v="3"/>
    <s v="Sim"/>
    <x v="2"/>
    <d v="2025-05-31T00:00:00"/>
    <d v="2025-05-01T00:00:00"/>
    <s v="sáb"/>
    <x v="0"/>
    <x v="1"/>
    <d v="2025-09-20T00:00:00"/>
    <s v="121345808"/>
  </r>
  <r>
    <n v="1213"/>
    <n v="43"/>
    <s v="Masculino"/>
    <s v="Montagem"/>
    <s v="Operador"/>
    <s v="3º Turno"/>
    <x v="2"/>
    <s v="Sim"/>
    <x v="2"/>
    <d v="2025-07-17T00:00:00"/>
    <d v="2025-07-01T00:00:00"/>
    <s v="qui"/>
    <x v="6"/>
    <x v="1"/>
    <d v="2025-09-20T00:00:00"/>
    <s v="121345855"/>
  </r>
  <r>
    <n v="1213"/>
    <n v="43"/>
    <s v="Masculino"/>
    <s v="Montagem"/>
    <s v="Operador"/>
    <s v="3º Turno"/>
    <x v="3"/>
    <s v="Sim"/>
    <x v="2"/>
    <d v="2025-08-03T00:00:00"/>
    <d v="2025-08-01T00:00:00"/>
    <s v="dom"/>
    <x v="9"/>
    <x v="1"/>
    <d v="2025-09-20T00:00:00"/>
    <s v="121345872"/>
  </r>
  <r>
    <n v="1213"/>
    <n v="43"/>
    <s v="Masculino"/>
    <s v="Montagem"/>
    <s v="Operador"/>
    <s v="3º Turno"/>
    <x v="2"/>
    <s v="Sim"/>
    <x v="2"/>
    <d v="2025-08-04T00:00:00"/>
    <d v="2025-08-01T00:00:00"/>
    <s v="seg"/>
    <x v="9"/>
    <x v="1"/>
    <d v="2025-09-20T00:00:00"/>
    <s v="121345873"/>
  </r>
  <r>
    <n v="1213"/>
    <n v="43"/>
    <s v="Masculino"/>
    <s v="Montagem"/>
    <s v="Operador"/>
    <s v="3º Turno"/>
    <x v="3"/>
    <s v="Sim"/>
    <x v="2"/>
    <d v="2025-09-14T00:00:00"/>
    <d v="2025-09-01T00:00:00"/>
    <s v="dom"/>
    <x v="7"/>
    <x v="1"/>
    <d v="2025-09-20T00:00:00"/>
    <s v="121345914"/>
  </r>
  <r>
    <n v="1214"/>
    <n v="54"/>
    <s v="Feminino"/>
    <s v="Soldagem"/>
    <s v="Operador"/>
    <s v="3º Turno"/>
    <x v="0"/>
    <s v="Não"/>
    <x v="1"/>
    <d v="2025-09-21T00:00:00"/>
    <d v="2025-09-01T00:00:00"/>
    <s v="dom"/>
    <x v="7"/>
    <x v="1"/>
    <m/>
    <s v="121445921"/>
  </r>
  <r>
    <n v="1214"/>
    <n v="54"/>
    <s v="Feminino"/>
    <s v="Soldagem"/>
    <s v="Operador"/>
    <s v="3º Turno"/>
    <x v="0"/>
    <s v="Não"/>
    <x v="1"/>
    <d v="2026-02-20T00:00:00"/>
    <d v="2026-02-01T00:00:00"/>
    <s v="sex"/>
    <x v="3"/>
    <x v="0"/>
    <m/>
    <s v="121446073"/>
  </r>
  <r>
    <n v="1214"/>
    <n v="54"/>
    <s v="Feminino"/>
    <s v="Soldagem"/>
    <s v="Operador"/>
    <s v="3º Turno"/>
    <x v="0"/>
    <s v="Não"/>
    <x v="1"/>
    <d v="2026-03-17T00:00:00"/>
    <d v="2026-03-01T00:00:00"/>
    <s v="ter"/>
    <x v="4"/>
    <x v="0"/>
    <m/>
    <s v="121446098"/>
  </r>
  <r>
    <n v="1214"/>
    <n v="54"/>
    <s v="Feminino"/>
    <s v="Soldagem"/>
    <s v="Operador"/>
    <s v="3º Turno"/>
    <x v="0"/>
    <s v="Não"/>
    <x v="1"/>
    <d v="2026-03-29T00:00:00"/>
    <d v="2026-03-01T00:00:00"/>
    <s v="dom"/>
    <x v="4"/>
    <x v="0"/>
    <m/>
    <s v="121446110"/>
  </r>
  <r>
    <n v="1214"/>
    <n v="54"/>
    <s v="Feminino"/>
    <s v="Soldagem"/>
    <s v="Operador"/>
    <s v="3º Turno"/>
    <x v="0"/>
    <s v="Não"/>
    <x v="1"/>
    <d v="2026-04-18T00:00:00"/>
    <d v="2026-04-01T00:00:00"/>
    <s v="sáb"/>
    <x v="2"/>
    <x v="0"/>
    <m/>
    <s v="121446130"/>
  </r>
  <r>
    <n v="1215"/>
    <n v="22"/>
    <s v="Masculino"/>
    <s v="Pintura"/>
    <s v="Operador"/>
    <s v="1º Turno"/>
    <x v="0"/>
    <s v="Sim"/>
    <x v="1"/>
    <d v="2025-03-17T00:00:00"/>
    <d v="2025-03-01T00:00:00"/>
    <s v="seg"/>
    <x v="4"/>
    <x v="1"/>
    <d v="2025-06-06T00:00:00"/>
    <s v="121545733"/>
  </r>
  <r>
    <n v="1215"/>
    <n v="22"/>
    <s v="Masculino"/>
    <s v="Pintura"/>
    <s v="Operador"/>
    <s v="1º Turno"/>
    <x v="0"/>
    <s v="Sim"/>
    <x v="1"/>
    <d v="2025-04-30T00:00:00"/>
    <d v="2025-04-01T00:00:00"/>
    <s v="qua"/>
    <x v="2"/>
    <x v="1"/>
    <d v="2025-06-06T00:00:00"/>
    <s v="121545777"/>
  </r>
  <r>
    <n v="1215"/>
    <n v="22"/>
    <s v="Masculino"/>
    <s v="Pintura"/>
    <s v="Operador"/>
    <s v="1º Turno"/>
    <x v="0"/>
    <s v="Sim"/>
    <x v="1"/>
    <d v="2025-05-13T00:00:00"/>
    <d v="2025-05-01T00:00:00"/>
    <s v="ter"/>
    <x v="0"/>
    <x v="1"/>
    <d v="2025-06-06T00:00:00"/>
    <s v="121545790"/>
  </r>
  <r>
    <n v="1215"/>
    <n v="22"/>
    <s v="Masculino"/>
    <s v="Pintura"/>
    <s v="Operador"/>
    <s v="1º Turno"/>
    <x v="0"/>
    <s v="Sim"/>
    <x v="1"/>
    <d v="2025-05-19T00:00:00"/>
    <d v="2025-05-01T00:00:00"/>
    <s v="seg"/>
    <x v="0"/>
    <x v="1"/>
    <d v="2025-06-06T00:00:00"/>
    <s v="121545796"/>
  </r>
  <r>
    <n v="1215"/>
    <n v="22"/>
    <s v="Masculino"/>
    <s v="Pintura"/>
    <s v="Operador"/>
    <s v="1º Turno"/>
    <x v="0"/>
    <s v="Sim"/>
    <x v="1"/>
    <d v="2025-05-22T00:00:00"/>
    <d v="2025-05-01T00:00:00"/>
    <s v="qui"/>
    <x v="0"/>
    <x v="1"/>
    <d v="2025-06-06T00:00:00"/>
    <s v="121545799"/>
  </r>
  <r>
    <n v="1215"/>
    <n v="22"/>
    <s v="Masculino"/>
    <s v="Pintura"/>
    <s v="Operador"/>
    <s v="1º Turno"/>
    <x v="0"/>
    <s v="Sim"/>
    <x v="1"/>
    <d v="2025-05-23T00:00:00"/>
    <d v="2025-05-01T00:00:00"/>
    <s v="sex"/>
    <x v="0"/>
    <x v="1"/>
    <d v="2025-06-06T00:00:00"/>
    <s v="121545800"/>
  </r>
  <r>
    <n v="1216"/>
    <n v="56"/>
    <s v="Masculino"/>
    <s v="Soldagem"/>
    <s v="Operador"/>
    <s v="3º Turno"/>
    <x v="0"/>
    <s v="Sim"/>
    <x v="1"/>
    <d v="2025-06-05T00:00:00"/>
    <d v="2025-06-01T00:00:00"/>
    <s v="qui"/>
    <x v="1"/>
    <x v="1"/>
    <d v="2025-12-13T00:00:00"/>
    <s v="121645813"/>
  </r>
  <r>
    <n v="1216"/>
    <n v="56"/>
    <s v="Masculino"/>
    <s v="Soldagem"/>
    <s v="Operador"/>
    <s v="3º Turno"/>
    <x v="0"/>
    <s v="Sim"/>
    <x v="1"/>
    <d v="2025-07-10T00:00:00"/>
    <d v="2025-07-01T00:00:00"/>
    <s v="qui"/>
    <x v="6"/>
    <x v="1"/>
    <d v="2025-12-13T00:00:00"/>
    <s v="121645848"/>
  </r>
  <r>
    <n v="1216"/>
    <n v="56"/>
    <s v="Masculino"/>
    <s v="Soldagem"/>
    <s v="Operador"/>
    <s v="3º Turno"/>
    <x v="3"/>
    <s v="Sim"/>
    <x v="1"/>
    <d v="2025-10-06T00:00:00"/>
    <d v="2025-10-01T00:00:00"/>
    <s v="seg"/>
    <x v="11"/>
    <x v="1"/>
    <d v="2025-12-13T00:00:00"/>
    <s v="121645936"/>
  </r>
  <r>
    <n v="1216"/>
    <n v="56"/>
    <s v="Masculino"/>
    <s v="Soldagem"/>
    <s v="Operador"/>
    <s v="3º Turno"/>
    <x v="3"/>
    <s v="Sim"/>
    <x v="1"/>
    <d v="2025-10-08T00:00:00"/>
    <d v="2025-10-01T00:00:00"/>
    <s v="qua"/>
    <x v="11"/>
    <x v="1"/>
    <d v="2025-12-13T00:00:00"/>
    <s v="121645938"/>
  </r>
  <r>
    <n v="1216"/>
    <n v="56"/>
    <s v="Masculino"/>
    <s v="Soldagem"/>
    <s v="Operador"/>
    <s v="3º Turno"/>
    <x v="0"/>
    <s v="Sim"/>
    <x v="1"/>
    <d v="2025-10-31T00:00:00"/>
    <d v="2025-10-01T00:00:00"/>
    <s v="sex"/>
    <x v="11"/>
    <x v="1"/>
    <d v="2025-12-13T00:00:00"/>
    <s v="121645961"/>
  </r>
  <r>
    <n v="1216"/>
    <n v="56"/>
    <s v="Masculino"/>
    <s v="Soldagem"/>
    <s v="Operador"/>
    <s v="3º Turno"/>
    <x v="0"/>
    <s v="Sim"/>
    <x v="1"/>
    <d v="2025-11-14T00:00:00"/>
    <d v="2025-11-01T00:00:00"/>
    <s v="sex"/>
    <x v="10"/>
    <x v="1"/>
    <d v="2025-12-13T00:00:00"/>
    <s v="121645975"/>
  </r>
  <r>
    <n v="1217"/>
    <n v="33"/>
    <s v="Masculino"/>
    <s v="Montagem"/>
    <s v="Operador"/>
    <s v="3º Turno"/>
    <x v="0"/>
    <s v="Sim"/>
    <x v="0"/>
    <d v="2025-05-13T00:00:00"/>
    <d v="2025-05-01T00:00:00"/>
    <s v="ter"/>
    <x v="0"/>
    <x v="1"/>
    <d v="2026-03-26T00:00:00"/>
    <s v="121745790"/>
  </r>
  <r>
    <n v="1217"/>
    <n v="33"/>
    <s v="Masculino"/>
    <s v="Montagem"/>
    <s v="Operador"/>
    <s v="3º Turno"/>
    <x v="0"/>
    <s v="Sim"/>
    <x v="0"/>
    <d v="2025-07-11T00:00:00"/>
    <d v="2025-07-01T00:00:00"/>
    <s v="sex"/>
    <x v="6"/>
    <x v="1"/>
    <d v="2026-03-26T00:00:00"/>
    <s v="121745849"/>
  </r>
  <r>
    <n v="1217"/>
    <n v="33"/>
    <s v="Masculino"/>
    <s v="Montagem"/>
    <s v="Operador"/>
    <s v="3º Turno"/>
    <x v="0"/>
    <s v="Sim"/>
    <x v="0"/>
    <d v="2025-07-13T00:00:00"/>
    <d v="2025-07-01T00:00:00"/>
    <s v="dom"/>
    <x v="6"/>
    <x v="1"/>
    <d v="2026-03-26T00:00:00"/>
    <s v="121745851"/>
  </r>
  <r>
    <n v="1217"/>
    <n v="33"/>
    <s v="Masculino"/>
    <s v="Montagem"/>
    <s v="Operador"/>
    <s v="3º Turno"/>
    <x v="0"/>
    <s v="Sim"/>
    <x v="0"/>
    <d v="2025-10-13T00:00:00"/>
    <d v="2025-10-01T00:00:00"/>
    <s v="seg"/>
    <x v="11"/>
    <x v="1"/>
    <d v="2026-03-26T00:00:00"/>
    <s v="121745943"/>
  </r>
  <r>
    <n v="1217"/>
    <n v="33"/>
    <s v="Masculino"/>
    <s v="Montagem"/>
    <s v="Operador"/>
    <s v="3º Turno"/>
    <x v="0"/>
    <s v="Sim"/>
    <x v="0"/>
    <d v="2025-10-27T00:00:00"/>
    <d v="2025-10-01T00:00:00"/>
    <s v="seg"/>
    <x v="11"/>
    <x v="1"/>
    <d v="2026-03-26T00:00:00"/>
    <s v="121745957"/>
  </r>
  <r>
    <n v="1217"/>
    <n v="33"/>
    <s v="Masculino"/>
    <s v="Montagem"/>
    <s v="Operador"/>
    <s v="3º Turno"/>
    <x v="0"/>
    <s v="Sim"/>
    <x v="0"/>
    <d v="2026-02-03T00:00:00"/>
    <d v="2026-02-01T00:00:00"/>
    <s v="ter"/>
    <x v="3"/>
    <x v="0"/>
    <d v="2026-03-26T00:00:00"/>
    <s v="121746056"/>
  </r>
  <r>
    <n v="1218"/>
    <n v="32"/>
    <s v="Feminino"/>
    <s v="Soldagem"/>
    <s v="Operador"/>
    <s v="2º Turno"/>
    <x v="2"/>
    <s v="Sim"/>
    <x v="1"/>
    <d v="2025-05-15T00:00:00"/>
    <d v="2025-05-01T00:00:00"/>
    <s v="qui"/>
    <x v="0"/>
    <x v="1"/>
    <d v="2026-06-02T00:00:00"/>
    <s v="121845792"/>
  </r>
  <r>
    <n v="1218"/>
    <n v="32"/>
    <s v="Feminino"/>
    <s v="Soldagem"/>
    <s v="Operador"/>
    <s v="2º Turno"/>
    <x v="2"/>
    <s v="Sim"/>
    <x v="1"/>
    <d v="2025-06-22T00:00:00"/>
    <d v="2025-06-01T00:00:00"/>
    <s v="dom"/>
    <x v="1"/>
    <x v="1"/>
    <d v="2026-06-02T00:00:00"/>
    <s v="121845830"/>
  </r>
  <r>
    <n v="1218"/>
    <n v="32"/>
    <s v="Feminino"/>
    <s v="Soldagem"/>
    <s v="Operador"/>
    <s v="2º Turno"/>
    <x v="2"/>
    <s v="Sim"/>
    <x v="1"/>
    <d v="2025-10-11T00:00:00"/>
    <d v="2025-10-01T00:00:00"/>
    <s v="sáb"/>
    <x v="11"/>
    <x v="1"/>
    <d v="2026-06-02T00:00:00"/>
    <s v="121845941"/>
  </r>
  <r>
    <n v="1218"/>
    <n v="32"/>
    <s v="Feminino"/>
    <s v="Soldagem"/>
    <s v="Operador"/>
    <s v="2º Turno"/>
    <x v="0"/>
    <s v="Sim"/>
    <x v="1"/>
    <d v="2025-10-25T00:00:00"/>
    <d v="2025-10-01T00:00:00"/>
    <s v="sáb"/>
    <x v="11"/>
    <x v="1"/>
    <d v="2026-06-02T00:00:00"/>
    <s v="121845955"/>
  </r>
  <r>
    <n v="1218"/>
    <n v="32"/>
    <s v="Feminino"/>
    <s v="Soldagem"/>
    <s v="Operador"/>
    <s v="2º Turno"/>
    <x v="0"/>
    <s v="Sim"/>
    <x v="1"/>
    <d v="2026-06-18T00:00:00"/>
    <d v="2026-01-01T00:00:00"/>
    <s v="qui"/>
    <x v="1"/>
    <x v="0"/>
    <d v="2026-06-02T00:00:00"/>
    <s v="121846191"/>
  </r>
  <r>
    <n v="1218"/>
    <n v="32"/>
    <s v="Feminino"/>
    <s v="Soldagem"/>
    <s v="Operador"/>
    <s v="2º Turno"/>
    <x v="0"/>
    <s v="Sim"/>
    <x v="1"/>
    <d v="2026-02-28T00:00:00"/>
    <d v="2026-02-01T00:00:00"/>
    <s v="sáb"/>
    <x v="3"/>
    <x v="0"/>
    <d v="2026-06-02T00:00:00"/>
    <s v="121846081"/>
  </r>
  <r>
    <n v="1221"/>
    <n v="28"/>
    <s v="Feminino"/>
    <s v="Soldagem"/>
    <s v="Operador"/>
    <s v="3º Turno"/>
    <x v="0"/>
    <s v="Não"/>
    <x v="1"/>
    <d v="2025-07-11T00:00:00"/>
    <d v="2025-07-01T00:00:00"/>
    <s v="sex"/>
    <x v="6"/>
    <x v="1"/>
    <m/>
    <s v="122145849"/>
  </r>
  <r>
    <n v="1221"/>
    <n v="28"/>
    <s v="Feminino"/>
    <s v="Soldagem"/>
    <s v="Operador"/>
    <s v="3º Turno"/>
    <x v="0"/>
    <s v="Não"/>
    <x v="1"/>
    <d v="2025-08-19T00:00:00"/>
    <d v="2025-08-01T00:00:00"/>
    <s v="ter"/>
    <x v="9"/>
    <x v="1"/>
    <m/>
    <s v="122145888"/>
  </r>
  <r>
    <n v="1221"/>
    <n v="28"/>
    <s v="Feminino"/>
    <s v="Soldagem"/>
    <s v="Operador"/>
    <s v="3º Turno"/>
    <x v="0"/>
    <s v="Não"/>
    <x v="1"/>
    <d v="2026-06-12T00:00:00"/>
    <d v="2026-01-01T00:00:00"/>
    <s v="sex"/>
    <x v="1"/>
    <x v="0"/>
    <m/>
    <s v="122146185"/>
  </r>
  <r>
    <n v="1221"/>
    <n v="28"/>
    <s v="Feminino"/>
    <s v="Soldagem"/>
    <s v="Operador"/>
    <s v="3º Turno"/>
    <x v="0"/>
    <s v="Não"/>
    <x v="1"/>
    <d v="2026-03-27T00:00:00"/>
    <d v="2026-03-01T00:00:00"/>
    <s v="sex"/>
    <x v="4"/>
    <x v="0"/>
    <m/>
    <s v="122146108"/>
  </r>
  <r>
    <n v="1221"/>
    <n v="28"/>
    <s v="Feminino"/>
    <s v="Soldagem"/>
    <s v="Operador"/>
    <s v="3º Turno"/>
    <x v="0"/>
    <s v="Não"/>
    <x v="1"/>
    <d v="2026-03-29T00:00:00"/>
    <d v="2026-03-01T00:00:00"/>
    <s v="dom"/>
    <x v="4"/>
    <x v="0"/>
    <m/>
    <s v="122146110"/>
  </r>
  <r>
    <n v="1221"/>
    <n v="28"/>
    <s v="Feminino"/>
    <s v="Soldagem"/>
    <s v="Operador"/>
    <s v="3º Turno"/>
    <x v="0"/>
    <s v="Não"/>
    <x v="1"/>
    <d v="2026-05-14T00:00:00"/>
    <d v="2026-05-01T00:00:00"/>
    <s v="qui"/>
    <x v="0"/>
    <x v="0"/>
    <m/>
    <s v="122146156"/>
  </r>
  <r>
    <n v="1221"/>
    <n v="28"/>
    <s v="Feminino"/>
    <s v="Soldagem"/>
    <s v="Operador"/>
    <s v="3º Turno"/>
    <x v="0"/>
    <s v="Não"/>
    <x v="1"/>
    <d v="2026-06-29T00:00:00"/>
    <d v="2026-06-01T00:00:00"/>
    <s v="seg"/>
    <x v="1"/>
    <x v="0"/>
    <m/>
    <s v="122146202"/>
  </r>
  <r>
    <n v="1222"/>
    <n v="29"/>
    <s v="Masculino"/>
    <s v="Soldagem"/>
    <s v="Operador"/>
    <s v="3º Turno"/>
    <x v="0"/>
    <s v="Sim"/>
    <x v="0"/>
    <d v="2025-07-31T00:00:00"/>
    <d v="2025-07-01T00:00:00"/>
    <s v="qui"/>
    <x v="6"/>
    <x v="1"/>
    <d v="2025-08-24T00:00:00"/>
    <s v="122245869"/>
  </r>
  <r>
    <n v="1222"/>
    <n v="29"/>
    <s v="Masculino"/>
    <s v="Soldagem"/>
    <s v="Operador"/>
    <s v="3º Turno"/>
    <x v="3"/>
    <s v="Sim"/>
    <x v="0"/>
    <d v="2025-08-07T00:00:00"/>
    <d v="2025-08-01T00:00:00"/>
    <s v="qui"/>
    <x v="9"/>
    <x v="1"/>
    <d v="2025-08-24T00:00:00"/>
    <s v="122245876"/>
  </r>
  <r>
    <n v="1222"/>
    <n v="29"/>
    <s v="Masculino"/>
    <s v="Soldagem"/>
    <s v="Operador"/>
    <s v="3º Turno"/>
    <x v="0"/>
    <s v="Sim"/>
    <x v="0"/>
    <d v="2025-08-12T00:00:00"/>
    <d v="2025-08-01T00:00:00"/>
    <s v="ter"/>
    <x v="9"/>
    <x v="1"/>
    <d v="2025-08-24T00:00:00"/>
    <s v="122245881"/>
  </r>
  <r>
    <n v="1226"/>
    <n v="26"/>
    <s v="Masculino"/>
    <s v="Soldagem"/>
    <s v="Operador"/>
    <s v="2º Turno"/>
    <x v="0"/>
    <s v="Sim"/>
    <x v="1"/>
    <d v="2025-05-24T00:00:00"/>
    <d v="2025-05-01T00:00:00"/>
    <s v="sáb"/>
    <x v="0"/>
    <x v="1"/>
    <d v="2025-12-13T00:00:00"/>
    <s v="122645801"/>
  </r>
  <r>
    <n v="1226"/>
    <n v="26"/>
    <s v="Masculino"/>
    <s v="Soldagem"/>
    <s v="Operador"/>
    <s v="2º Turno"/>
    <x v="0"/>
    <s v="Sim"/>
    <x v="1"/>
    <d v="2025-06-11T00:00:00"/>
    <d v="2025-06-01T00:00:00"/>
    <s v="qua"/>
    <x v="1"/>
    <x v="1"/>
    <d v="2025-12-13T00:00:00"/>
    <s v="122645819"/>
  </r>
  <r>
    <n v="1226"/>
    <n v="26"/>
    <s v="Masculino"/>
    <s v="Soldagem"/>
    <s v="Operador"/>
    <s v="2º Turno"/>
    <x v="0"/>
    <s v="Sim"/>
    <x v="1"/>
    <d v="2025-10-07T00:00:00"/>
    <d v="2025-10-01T00:00:00"/>
    <s v="ter"/>
    <x v="11"/>
    <x v="1"/>
    <d v="2025-12-13T00:00:00"/>
    <s v="122645937"/>
  </r>
  <r>
    <n v="1226"/>
    <n v="26"/>
    <s v="Masculino"/>
    <s v="Soldagem"/>
    <s v="Operador"/>
    <s v="2º Turno"/>
    <x v="0"/>
    <s v="Sim"/>
    <x v="1"/>
    <d v="2025-10-10T00:00:00"/>
    <d v="2025-10-01T00:00:00"/>
    <s v="sex"/>
    <x v="11"/>
    <x v="1"/>
    <d v="2025-12-13T00:00:00"/>
    <s v="122645940"/>
  </r>
  <r>
    <n v="1226"/>
    <n v="26"/>
    <s v="Masculino"/>
    <s v="Soldagem"/>
    <s v="Operador"/>
    <s v="2º Turno"/>
    <x v="0"/>
    <s v="Sim"/>
    <x v="1"/>
    <d v="2025-11-08T00:00:00"/>
    <d v="2025-11-01T00:00:00"/>
    <s v="sáb"/>
    <x v="10"/>
    <x v="1"/>
    <d v="2025-12-13T00:00:00"/>
    <s v="122645969"/>
  </r>
  <r>
    <n v="1227"/>
    <n v="46"/>
    <s v="Feminino"/>
    <s v="Logistica"/>
    <s v="Operador"/>
    <s v="1º Turno"/>
    <x v="4"/>
    <s v="Não"/>
    <x v="0"/>
    <d v="2025-05-28T00:00:00"/>
    <d v="2025-05-01T00:00:00"/>
    <s v="qua"/>
    <x v="0"/>
    <x v="1"/>
    <m/>
    <s v="122745805"/>
  </r>
  <r>
    <n v="1227"/>
    <n v="46"/>
    <s v="Feminino"/>
    <s v="Logistica"/>
    <s v="Operador"/>
    <s v="1º Turno"/>
    <x v="4"/>
    <s v="Não"/>
    <x v="0"/>
    <d v="2025-12-28T00:00:00"/>
    <d v="2025-12-01T00:00:00"/>
    <s v="dom"/>
    <x v="8"/>
    <x v="1"/>
    <m/>
    <s v="122746019"/>
  </r>
  <r>
    <n v="1227"/>
    <n v="46"/>
    <s v="Feminino"/>
    <s v="Logistica"/>
    <s v="Operador"/>
    <s v="1º Turno"/>
    <x v="4"/>
    <s v="Não"/>
    <x v="0"/>
    <d v="2026-06-04T00:00:00"/>
    <d v="2026-01-01T00:00:00"/>
    <s v="qui"/>
    <x v="1"/>
    <x v="0"/>
    <m/>
    <s v="122746177"/>
  </r>
  <r>
    <n v="1227"/>
    <n v="46"/>
    <s v="Feminino"/>
    <s v="Logistica"/>
    <s v="Operador"/>
    <s v="1º Turno"/>
    <x v="4"/>
    <s v="Não"/>
    <x v="0"/>
    <d v="2026-03-06T00:00:00"/>
    <d v="2026-03-01T00:00:00"/>
    <s v="sex"/>
    <x v="4"/>
    <x v="0"/>
    <m/>
    <s v="122746087"/>
  </r>
  <r>
    <n v="1227"/>
    <n v="46"/>
    <s v="Feminino"/>
    <s v="Logistica"/>
    <s v="Operador"/>
    <s v="1º Turno"/>
    <x v="4"/>
    <s v="Não"/>
    <x v="0"/>
    <d v="2026-03-19T00:00:00"/>
    <d v="2026-03-01T00:00:00"/>
    <s v="qui"/>
    <x v="4"/>
    <x v="0"/>
    <m/>
    <s v="122746100"/>
  </r>
  <r>
    <n v="1227"/>
    <n v="46"/>
    <s v="Feminino"/>
    <s v="Logistica"/>
    <s v="Operador"/>
    <s v="1º Turno"/>
    <x v="4"/>
    <s v="Não"/>
    <x v="0"/>
    <d v="2026-03-22T00:00:00"/>
    <d v="2026-03-01T00:00:00"/>
    <s v="dom"/>
    <x v="4"/>
    <x v="0"/>
    <m/>
    <s v="122746103"/>
  </r>
  <r>
    <n v="1227"/>
    <n v="46"/>
    <s v="Feminino"/>
    <s v="Logistica"/>
    <s v="Operador"/>
    <s v="1º Turno"/>
    <x v="4"/>
    <s v="Não"/>
    <x v="0"/>
    <d v="2026-05-28T00:00:00"/>
    <d v="2026-05-01T00:00:00"/>
    <s v="qua"/>
    <x v="0"/>
    <x v="1"/>
    <m/>
    <s v="122746170"/>
  </r>
  <r>
    <n v="1228"/>
    <n v="49"/>
    <s v="Masculino"/>
    <s v="Pintura"/>
    <s v="Operador"/>
    <s v="2º Turno"/>
    <x v="4"/>
    <s v="Não"/>
    <x v="0"/>
    <d v="2025-05-24T00:00:00"/>
    <d v="2025-05-01T00:00:00"/>
    <s v="sáb"/>
    <x v="0"/>
    <x v="1"/>
    <m/>
    <s v="122845801"/>
  </r>
  <r>
    <n v="1228"/>
    <n v="49"/>
    <s v="Masculino"/>
    <s v="Pintura"/>
    <s v="Operador"/>
    <s v="2º Turno"/>
    <x v="4"/>
    <s v="Não"/>
    <x v="0"/>
    <d v="2025-05-26T00:00:00"/>
    <d v="2025-05-01T00:00:00"/>
    <s v="seg"/>
    <x v="0"/>
    <x v="1"/>
    <m/>
    <s v="122845803"/>
  </r>
  <r>
    <n v="1228"/>
    <n v="49"/>
    <s v="Masculino"/>
    <s v="Pintura"/>
    <s v="Operador"/>
    <s v="2º Turno"/>
    <x v="0"/>
    <s v="Não"/>
    <x v="0"/>
    <d v="2026-06-22T00:00:00"/>
    <d v="2025-06-01T00:00:00"/>
    <s v="seg"/>
    <x v="1"/>
    <x v="0"/>
    <m/>
    <s v="122846195"/>
  </r>
  <r>
    <n v="1228"/>
    <n v="49"/>
    <s v="Masculino"/>
    <s v="Pintura"/>
    <s v="Operador"/>
    <s v="2º Turno"/>
    <x v="4"/>
    <s v="Não"/>
    <x v="0"/>
    <d v="2026-06-23T00:00:00"/>
    <d v="2025-06-01T00:00:00"/>
    <s v="ter"/>
    <x v="1"/>
    <x v="0"/>
    <m/>
    <s v="122846196"/>
  </r>
  <r>
    <n v="1228"/>
    <n v="49"/>
    <s v="Masculino"/>
    <s v="Pintura"/>
    <s v="Operador"/>
    <s v="2º Turno"/>
    <x v="4"/>
    <s v="Não"/>
    <x v="0"/>
    <d v="2025-11-26T00:00:00"/>
    <d v="2025-11-01T00:00:00"/>
    <s v="qua"/>
    <x v="10"/>
    <x v="1"/>
    <m/>
    <s v="122845987"/>
  </r>
  <r>
    <n v="1228"/>
    <n v="49"/>
    <s v="Masculino"/>
    <s v="Pintura"/>
    <s v="Operador"/>
    <s v="2º Turno"/>
    <x v="4"/>
    <s v="Não"/>
    <x v="0"/>
    <d v="2025-12-31T00:00:00"/>
    <d v="2025-12-01T00:00:00"/>
    <s v="qua"/>
    <x v="8"/>
    <x v="1"/>
    <m/>
    <s v="122846022"/>
  </r>
  <r>
    <n v="1228"/>
    <n v="49"/>
    <s v="Masculino"/>
    <s v="Pintura"/>
    <s v="Operador"/>
    <s v="2º Turno"/>
    <x v="4"/>
    <s v="Não"/>
    <x v="0"/>
    <d v="2026-05-24T00:00:00"/>
    <d v="2026-05-01T00:00:00"/>
    <s v="sáb"/>
    <x v="0"/>
    <x v="1"/>
    <m/>
    <s v="122846166"/>
  </r>
  <r>
    <n v="1228"/>
    <n v="49"/>
    <s v="Masculino"/>
    <s v="Pintura"/>
    <s v="Operador"/>
    <s v="2º Turno"/>
    <x v="4"/>
    <s v="Não"/>
    <x v="0"/>
    <d v="2026-05-26T00:00:00"/>
    <d v="2026-05-01T00:00:00"/>
    <s v="seg"/>
    <x v="0"/>
    <x v="1"/>
    <m/>
    <s v="122846168"/>
  </r>
  <r>
    <n v="1229"/>
    <n v="52"/>
    <s v="Masculino"/>
    <s v="Montagem"/>
    <s v="Operador"/>
    <s v="2º Turno"/>
    <x v="0"/>
    <s v="Não"/>
    <x v="1"/>
    <d v="2026-06-06T00:00:00"/>
    <d v="2025-06-01T00:00:00"/>
    <s v="sáb"/>
    <x v="1"/>
    <x v="0"/>
    <m/>
    <s v="122946179"/>
  </r>
  <r>
    <n v="1229"/>
    <n v="52"/>
    <s v="Masculino"/>
    <s v="Montagem"/>
    <s v="Operador"/>
    <s v="2º Turno"/>
    <x v="2"/>
    <s v="Não"/>
    <x v="1"/>
    <d v="2026-06-17T00:00:00"/>
    <d v="2025-06-01T00:00:00"/>
    <s v="qua"/>
    <x v="1"/>
    <x v="0"/>
    <m/>
    <s v="122946190"/>
  </r>
  <r>
    <n v="1229"/>
    <n v="52"/>
    <s v="Masculino"/>
    <s v="Montagem"/>
    <s v="Operador"/>
    <s v="2º Turno"/>
    <x v="0"/>
    <s v="Não"/>
    <x v="1"/>
    <d v="2025-08-17T00:00:00"/>
    <d v="2025-08-01T00:00:00"/>
    <s v="dom"/>
    <x v="9"/>
    <x v="1"/>
    <m/>
    <s v="122945886"/>
  </r>
  <r>
    <n v="1229"/>
    <n v="52"/>
    <s v="Masculino"/>
    <s v="Montagem"/>
    <s v="Operador"/>
    <s v="2º Turno"/>
    <x v="0"/>
    <s v="Não"/>
    <x v="1"/>
    <d v="2025-09-06T00:00:00"/>
    <d v="2025-09-01T00:00:00"/>
    <s v="sáb"/>
    <x v="7"/>
    <x v="1"/>
    <m/>
    <s v="122945906"/>
  </r>
  <r>
    <n v="1229"/>
    <n v="52"/>
    <s v="Masculino"/>
    <s v="Montagem"/>
    <s v="Operador"/>
    <s v="2º Turno"/>
    <x v="0"/>
    <s v="Não"/>
    <x v="1"/>
    <d v="2026-02-14T00:00:00"/>
    <d v="2026-02-01T00:00:00"/>
    <s v="sáb"/>
    <x v="3"/>
    <x v="0"/>
    <m/>
    <s v="122946067"/>
  </r>
  <r>
    <n v="1229"/>
    <n v="52"/>
    <s v="Masculino"/>
    <s v="Montagem"/>
    <s v="Operador"/>
    <s v="2º Turno"/>
    <x v="0"/>
    <s v="Não"/>
    <x v="1"/>
    <d v="2026-03-22T00:00:00"/>
    <d v="2026-03-01T00:00:00"/>
    <s v="dom"/>
    <x v="4"/>
    <x v="0"/>
    <m/>
    <s v="122946103"/>
  </r>
  <r>
    <n v="1231"/>
    <n v="23"/>
    <s v="Masculino"/>
    <s v="Logistica"/>
    <s v="Operador"/>
    <s v="1º Turno"/>
    <x v="5"/>
    <s v="Sim"/>
    <x v="0"/>
    <d v="2025-02-12T00:00:00"/>
    <d v="2025-02-01T00:00:00"/>
    <s v="qua"/>
    <x v="3"/>
    <x v="1"/>
    <d v="2025-04-12T00:00:00"/>
    <s v="123145700"/>
  </r>
  <r>
    <n v="1231"/>
    <n v="23"/>
    <s v="Masculino"/>
    <s v="Logistica"/>
    <s v="Operador"/>
    <s v="1º Turno"/>
    <x v="1"/>
    <s v="Sim"/>
    <x v="0"/>
    <d v="2025-03-30T00:00:00"/>
    <d v="2025-03-01T00:00:00"/>
    <s v="dom"/>
    <x v="4"/>
    <x v="1"/>
    <d v="2025-04-12T00:00:00"/>
    <s v="123145746"/>
  </r>
  <r>
    <n v="1231"/>
    <n v="23"/>
    <s v="Masculino"/>
    <s v="Logistica"/>
    <s v="Operador"/>
    <s v="1º Turno"/>
    <x v="1"/>
    <s v="Sim"/>
    <x v="0"/>
    <d v="2025-04-01T00:00:00"/>
    <d v="2025-04-01T00:00:00"/>
    <s v="ter"/>
    <x v="2"/>
    <x v="1"/>
    <d v="2025-04-12T00:00:00"/>
    <s v="123145748"/>
  </r>
  <r>
    <n v="1231"/>
    <n v="23"/>
    <s v="Masculino"/>
    <s v="Logistica"/>
    <s v="Operador"/>
    <s v="1º Turno"/>
    <x v="1"/>
    <s v="Sim"/>
    <x v="0"/>
    <d v="2025-04-05T00:00:00"/>
    <d v="2025-04-01T00:00:00"/>
    <s v="sáb"/>
    <x v="2"/>
    <x v="1"/>
    <d v="2025-04-12T00:00:00"/>
    <s v="123145752"/>
  </r>
  <r>
    <n v="1231"/>
    <n v="23"/>
    <s v="Masculino"/>
    <s v="Logistica"/>
    <s v="Operador"/>
    <s v="1º Turno"/>
    <x v="1"/>
    <s v="Sim"/>
    <x v="0"/>
    <d v="2025-04-06T00:00:00"/>
    <d v="2025-04-01T00:00:00"/>
    <s v="dom"/>
    <x v="2"/>
    <x v="1"/>
    <d v="2025-04-12T00:00:00"/>
    <s v="123145753"/>
  </r>
  <r>
    <n v="1231"/>
    <n v="23"/>
    <s v="Masculino"/>
    <s v="Logistica"/>
    <s v="Operador"/>
    <s v="1º Turno"/>
    <x v="1"/>
    <s v="Sim"/>
    <x v="0"/>
    <d v="2025-04-07T00:00:00"/>
    <d v="2025-04-01T00:00:00"/>
    <s v="seg"/>
    <x v="2"/>
    <x v="1"/>
    <d v="2025-04-12T00:00:00"/>
    <s v="123145754"/>
  </r>
  <r>
    <n v="1231"/>
    <n v="23"/>
    <s v="Masculino"/>
    <s v="Logistica"/>
    <s v="Operador"/>
    <s v="1º Turno"/>
    <x v="1"/>
    <s v="Sim"/>
    <x v="0"/>
    <d v="2026-04-01T00:00:00"/>
    <m/>
    <s v="qua"/>
    <x v="2"/>
    <x v="0"/>
    <m/>
    <s v="123146113"/>
  </r>
  <r>
    <n v="1231"/>
    <n v="23"/>
    <s v="Masculino"/>
    <s v="Logistica"/>
    <s v="Operador"/>
    <s v="1º Turno"/>
    <x v="1"/>
    <s v="Sim"/>
    <x v="0"/>
    <d v="2026-04-02T00:00:00"/>
    <m/>
    <s v="qui"/>
    <x v="2"/>
    <x v="0"/>
    <m/>
    <s v="123146114"/>
  </r>
  <r>
    <n v="1231"/>
    <n v="23"/>
    <s v="Masculino"/>
    <s v="Logistica"/>
    <s v="Operador"/>
    <s v="1º Turno"/>
    <x v="1"/>
    <s v="Sim"/>
    <x v="0"/>
    <d v="2026-04-03T00:00:00"/>
    <m/>
    <s v="sex"/>
    <x v="2"/>
    <x v="0"/>
    <m/>
    <s v="123146115"/>
  </r>
  <r>
    <n v="1231"/>
    <n v="23"/>
    <s v="Masculino"/>
    <s v="Logistica"/>
    <s v="Operador"/>
    <s v="1º Turno"/>
    <x v="1"/>
    <s v="Sim"/>
    <x v="0"/>
    <d v="2026-04-04T00:00:00"/>
    <m/>
    <s v="sáb"/>
    <x v="2"/>
    <x v="0"/>
    <m/>
    <s v="123146116"/>
  </r>
  <r>
    <n v="1231"/>
    <n v="23"/>
    <s v="Masculino"/>
    <s v="Logistica"/>
    <s v="Operador"/>
    <s v="1º Turno"/>
    <x v="1"/>
    <s v="Sim"/>
    <x v="0"/>
    <d v="2026-04-05T00:00:00"/>
    <m/>
    <s v="dom"/>
    <x v="2"/>
    <x v="0"/>
    <m/>
    <s v="123146117"/>
  </r>
  <r>
    <n v="1231"/>
    <n v="23"/>
    <s v="Masculino"/>
    <s v="Logistica"/>
    <s v="Operador"/>
    <s v="1º Turno"/>
    <x v="1"/>
    <s v="Sim"/>
    <x v="0"/>
    <d v="2026-04-06T00:00:00"/>
    <m/>
    <s v="seg"/>
    <x v="2"/>
    <x v="0"/>
    <m/>
    <s v="123146118"/>
  </r>
  <r>
    <n v="1231"/>
    <n v="23"/>
    <s v="Masculino"/>
    <s v="Logistica"/>
    <s v="Operador"/>
    <s v="1º Turno"/>
    <x v="1"/>
    <s v="Sim"/>
    <x v="0"/>
    <d v="2026-04-07T00:00:00"/>
    <m/>
    <s v="ter"/>
    <x v="2"/>
    <x v="0"/>
    <m/>
    <s v="123146119"/>
  </r>
  <r>
    <n v="1231"/>
    <n v="23"/>
    <s v="Masculino"/>
    <s v="Logistica"/>
    <s v="Operador"/>
    <s v="1º Turno"/>
    <x v="1"/>
    <s v="Sim"/>
    <x v="0"/>
    <d v="2026-04-08T00:00:00"/>
    <m/>
    <s v="qua"/>
    <x v="2"/>
    <x v="0"/>
    <m/>
    <s v="123146120"/>
  </r>
  <r>
    <n v="1231"/>
    <n v="23"/>
    <s v="Masculino"/>
    <s v="Logistica"/>
    <s v="Operador"/>
    <s v="1º Turno"/>
    <x v="1"/>
    <s v="Sim"/>
    <x v="0"/>
    <d v="2026-04-09T00:00:00"/>
    <m/>
    <s v="qui"/>
    <x v="2"/>
    <x v="0"/>
    <m/>
    <s v="123146121"/>
  </r>
  <r>
    <n v="1231"/>
    <n v="23"/>
    <s v="Masculino"/>
    <s v="Logistica"/>
    <s v="Operador"/>
    <s v="1º Turno"/>
    <x v="1"/>
    <s v="Sim"/>
    <x v="0"/>
    <d v="2026-04-10T00:00:00"/>
    <m/>
    <s v="sex"/>
    <x v="2"/>
    <x v="0"/>
    <m/>
    <s v="123146122"/>
  </r>
  <r>
    <n v="1231"/>
    <n v="23"/>
    <s v="Masculino"/>
    <s v="Logistica"/>
    <s v="Operador"/>
    <s v="1º Turno"/>
    <x v="1"/>
    <s v="Sim"/>
    <x v="0"/>
    <d v="2026-04-11T00:00:00"/>
    <m/>
    <s v="sáb"/>
    <x v="2"/>
    <x v="0"/>
    <m/>
    <s v="123146123"/>
  </r>
  <r>
    <n v="1231"/>
    <n v="23"/>
    <s v="Masculino"/>
    <s v="Logistica"/>
    <s v="Operador"/>
    <s v="1º Turno"/>
    <x v="1"/>
    <s v="Sim"/>
    <x v="0"/>
    <d v="2026-04-12T00:00:00"/>
    <m/>
    <s v="dom"/>
    <x v="2"/>
    <x v="0"/>
    <m/>
    <s v="123146124"/>
  </r>
  <r>
    <n v="1231"/>
    <n v="23"/>
    <s v="Masculino"/>
    <s v="Logistica"/>
    <s v="Operador"/>
    <s v="1º Turno"/>
    <x v="1"/>
    <s v="Sim"/>
    <x v="0"/>
    <d v="2026-04-13T00:00:00"/>
    <m/>
    <s v="seg"/>
    <x v="2"/>
    <x v="0"/>
    <m/>
    <s v="123146125"/>
  </r>
  <r>
    <n v="1231"/>
    <n v="23"/>
    <s v="Masculino"/>
    <s v="Logistica"/>
    <s v="Operador"/>
    <s v="1º Turno"/>
    <x v="1"/>
    <s v="Sim"/>
    <x v="0"/>
    <d v="2026-04-14T00:00:00"/>
    <m/>
    <s v="ter"/>
    <x v="2"/>
    <x v="0"/>
    <m/>
    <s v="123146126"/>
  </r>
  <r>
    <n v="1231"/>
    <n v="23"/>
    <s v="Masculino"/>
    <s v="Logistica"/>
    <s v="Operador"/>
    <s v="1º Turno"/>
    <x v="1"/>
    <s v="Sim"/>
    <x v="0"/>
    <d v="2026-04-15T00:00:00"/>
    <m/>
    <s v="qua"/>
    <x v="2"/>
    <x v="0"/>
    <m/>
    <s v="123146127"/>
  </r>
  <r>
    <n v="1231"/>
    <n v="23"/>
    <s v="Masculino"/>
    <s v="Logistica"/>
    <s v="Operador"/>
    <s v="1º Turno"/>
    <x v="1"/>
    <s v="Sim"/>
    <x v="0"/>
    <d v="2026-04-16T00:00:00"/>
    <m/>
    <s v="qui"/>
    <x v="2"/>
    <x v="0"/>
    <m/>
    <s v="123146128"/>
  </r>
  <r>
    <n v="1231"/>
    <n v="23"/>
    <s v="Masculino"/>
    <s v="Logistica"/>
    <s v="Operador"/>
    <s v="1º Turno"/>
    <x v="1"/>
    <s v="Sim"/>
    <x v="0"/>
    <d v="2026-04-17T00:00:00"/>
    <m/>
    <s v="sex"/>
    <x v="2"/>
    <x v="0"/>
    <m/>
    <s v="123146129"/>
  </r>
  <r>
    <n v="1231"/>
    <n v="23"/>
    <s v="Masculino"/>
    <s v="Logistica"/>
    <s v="Operador"/>
    <s v="1º Turno"/>
    <x v="1"/>
    <s v="Sim"/>
    <x v="0"/>
    <d v="2026-04-18T00:00:00"/>
    <m/>
    <s v="sáb"/>
    <x v="2"/>
    <x v="0"/>
    <m/>
    <s v="123146130"/>
  </r>
  <r>
    <n v="1231"/>
    <n v="23"/>
    <s v="Masculino"/>
    <s v="Logistica"/>
    <s v="Operador"/>
    <s v="1º Turno"/>
    <x v="1"/>
    <s v="Sim"/>
    <x v="0"/>
    <d v="2026-04-19T00:00:00"/>
    <m/>
    <s v="dom"/>
    <x v="2"/>
    <x v="0"/>
    <m/>
    <s v="123146131"/>
  </r>
  <r>
    <n v="1231"/>
    <n v="23"/>
    <s v="Masculino"/>
    <s v="Logistica"/>
    <s v="Operador"/>
    <s v="1º Turno"/>
    <x v="1"/>
    <s v="Sim"/>
    <x v="0"/>
    <d v="2026-04-20T00:00:00"/>
    <m/>
    <s v="seg"/>
    <x v="2"/>
    <x v="0"/>
    <m/>
    <s v="123146132"/>
  </r>
  <r>
    <n v="1231"/>
    <n v="23"/>
    <s v="Masculino"/>
    <s v="Logistica"/>
    <s v="Operador"/>
    <s v="1º Turno"/>
    <x v="1"/>
    <s v="Sim"/>
    <x v="0"/>
    <d v="2026-04-21T00:00:00"/>
    <m/>
    <s v="ter"/>
    <x v="2"/>
    <x v="0"/>
    <m/>
    <s v="123146133"/>
  </r>
  <r>
    <n v="1231"/>
    <n v="23"/>
    <s v="Masculino"/>
    <s v="Logistica"/>
    <s v="Operador"/>
    <s v="1º Turno"/>
    <x v="1"/>
    <s v="Sim"/>
    <x v="0"/>
    <d v="2026-04-22T00:00:00"/>
    <m/>
    <s v="qua"/>
    <x v="2"/>
    <x v="0"/>
    <m/>
    <s v="123146134"/>
  </r>
  <r>
    <n v="1231"/>
    <n v="23"/>
    <s v="Masculino"/>
    <s v="Logistica"/>
    <s v="Operador"/>
    <s v="1º Turno"/>
    <x v="1"/>
    <s v="Sim"/>
    <x v="0"/>
    <d v="2026-04-23T00:00:00"/>
    <m/>
    <s v="qui"/>
    <x v="2"/>
    <x v="0"/>
    <m/>
    <s v="123146135"/>
  </r>
  <r>
    <n v="1231"/>
    <n v="23"/>
    <s v="Masculino"/>
    <s v="Logistica"/>
    <s v="Operador"/>
    <s v="1º Turno"/>
    <x v="1"/>
    <s v="Sim"/>
    <x v="0"/>
    <d v="2026-04-24T00:00:00"/>
    <m/>
    <s v="sex"/>
    <x v="2"/>
    <x v="0"/>
    <m/>
    <s v="123146136"/>
  </r>
  <r>
    <n v="1231"/>
    <n v="23"/>
    <s v="Masculino"/>
    <s v="Logistica"/>
    <s v="Operador"/>
    <s v="1º Turno"/>
    <x v="1"/>
    <s v="Sim"/>
    <x v="0"/>
    <d v="2026-04-25T00:00:00"/>
    <m/>
    <s v="sáb"/>
    <x v="2"/>
    <x v="0"/>
    <m/>
    <s v="123146137"/>
  </r>
  <r>
    <n v="1231"/>
    <n v="23"/>
    <s v="Masculino"/>
    <s v="Logistica"/>
    <s v="Operador"/>
    <s v="1º Turno"/>
    <x v="1"/>
    <s v="Sim"/>
    <x v="0"/>
    <d v="2026-04-26T00:00:00"/>
    <m/>
    <s v="dom"/>
    <x v="2"/>
    <x v="0"/>
    <m/>
    <s v="123146138"/>
  </r>
  <r>
    <n v="1231"/>
    <n v="23"/>
    <s v="Masculino"/>
    <s v="Logistica"/>
    <s v="Operador"/>
    <s v="1º Turno"/>
    <x v="1"/>
    <s v="Sim"/>
    <x v="0"/>
    <d v="2026-04-27T00:00:00"/>
    <m/>
    <s v="seg"/>
    <x v="2"/>
    <x v="0"/>
    <m/>
    <s v="123146139"/>
  </r>
  <r>
    <n v="1231"/>
    <n v="23"/>
    <s v="Masculino"/>
    <s v="Logistica"/>
    <s v="Operador"/>
    <s v="1º Turno"/>
    <x v="1"/>
    <s v="Sim"/>
    <x v="0"/>
    <d v="2026-04-28T00:00:00"/>
    <m/>
    <s v="ter"/>
    <x v="2"/>
    <x v="0"/>
    <m/>
    <s v="123146140"/>
  </r>
  <r>
    <n v="1231"/>
    <n v="23"/>
    <s v="Masculino"/>
    <s v="Logistica"/>
    <s v="Operador"/>
    <s v="1º Turno"/>
    <x v="1"/>
    <s v="Sim"/>
    <x v="0"/>
    <d v="2026-04-29T00:00:00"/>
    <m/>
    <s v="qua"/>
    <x v="2"/>
    <x v="0"/>
    <m/>
    <s v="123146141"/>
  </r>
  <r>
    <n v="1231"/>
    <n v="23"/>
    <s v="Masculino"/>
    <s v="Logistica"/>
    <s v="Operador"/>
    <s v="1º Turno"/>
    <x v="1"/>
    <s v="Sim"/>
    <x v="0"/>
    <d v="2026-04-30T00:00:00"/>
    <m/>
    <s v="qui"/>
    <x v="2"/>
    <x v="0"/>
    <m/>
    <s v="123146142"/>
  </r>
  <r>
    <n v="1232"/>
    <n v="26"/>
    <s v="Feminino"/>
    <s v="Logistica"/>
    <s v="Operador"/>
    <s v="1º Turno"/>
    <x v="0"/>
    <s v="Não"/>
    <x v="1"/>
    <d v="2025-07-22T00:00:00"/>
    <d v="2025-07-01T00:00:00"/>
    <s v="ter"/>
    <x v="6"/>
    <x v="1"/>
    <m/>
    <s v="123245860"/>
  </r>
  <r>
    <n v="1232"/>
    <n v="26"/>
    <s v="Feminino"/>
    <s v="Logistica"/>
    <s v="Operador"/>
    <s v="1º Turno"/>
    <x v="0"/>
    <s v="Não"/>
    <x v="1"/>
    <d v="2025-09-02T00:00:00"/>
    <d v="2025-09-01T00:00:00"/>
    <s v="ter"/>
    <x v="7"/>
    <x v="1"/>
    <m/>
    <s v="123245902"/>
  </r>
  <r>
    <n v="1232"/>
    <n v="26"/>
    <s v="Feminino"/>
    <s v="Logistica"/>
    <s v="Operador"/>
    <s v="1º Turno"/>
    <x v="0"/>
    <s v="Não"/>
    <x v="1"/>
    <d v="2025-09-12T00:00:00"/>
    <d v="2025-09-01T00:00:00"/>
    <s v="sex"/>
    <x v="7"/>
    <x v="1"/>
    <m/>
    <s v="123245912"/>
  </r>
  <r>
    <n v="1232"/>
    <n v="26"/>
    <s v="Feminino"/>
    <s v="Logistica"/>
    <s v="Operador"/>
    <s v="1º Turno"/>
    <x v="0"/>
    <s v="Não"/>
    <x v="1"/>
    <d v="2025-10-24T00:00:00"/>
    <d v="2025-10-01T00:00:00"/>
    <s v="sex"/>
    <x v="11"/>
    <x v="1"/>
    <m/>
    <s v="123245954"/>
  </r>
  <r>
    <n v="1232"/>
    <n v="26"/>
    <s v="Feminino"/>
    <s v="Logistica"/>
    <s v="Operador"/>
    <s v="1º Turno"/>
    <x v="0"/>
    <s v="Não"/>
    <x v="1"/>
    <d v="2026-06-04T00:00:00"/>
    <d v="2026-01-01T00:00:00"/>
    <s v="qui"/>
    <x v="1"/>
    <x v="0"/>
    <m/>
    <s v="123246177"/>
  </r>
  <r>
    <n v="1232"/>
    <n v="26"/>
    <s v="Feminino"/>
    <s v="Logistica"/>
    <s v="Operador"/>
    <s v="1º Turno"/>
    <x v="0"/>
    <s v="Não"/>
    <x v="1"/>
    <d v="2026-06-20T00:00:00"/>
    <d v="2026-01-01T00:00:00"/>
    <s v="sáb"/>
    <x v="1"/>
    <x v="0"/>
    <m/>
    <s v="123246193"/>
  </r>
  <r>
    <n v="1234"/>
    <n v="33"/>
    <s v="Masculino"/>
    <s v="Soldagem"/>
    <s v="Operador"/>
    <s v="3º Turno"/>
    <x v="4"/>
    <s v="Não"/>
    <x v="1"/>
    <d v="2025-05-08T00:00:00"/>
    <d v="2025-05-01T00:00:00"/>
    <s v="qui"/>
    <x v="0"/>
    <x v="1"/>
    <m/>
    <s v="123445785"/>
  </r>
  <r>
    <n v="1234"/>
    <n v="33"/>
    <s v="Masculino"/>
    <s v="Soldagem"/>
    <s v="Operador"/>
    <s v="3º Turno"/>
    <x v="4"/>
    <s v="Não"/>
    <x v="1"/>
    <d v="2025-07-21T00:00:00"/>
    <d v="2025-07-01T00:00:00"/>
    <s v="seg"/>
    <x v="6"/>
    <x v="1"/>
    <m/>
    <s v="123445859"/>
  </r>
  <r>
    <n v="1234"/>
    <n v="33"/>
    <s v="Masculino"/>
    <s v="Soldagem"/>
    <s v="Operador"/>
    <s v="3º Turno"/>
    <x v="4"/>
    <s v="Não"/>
    <x v="1"/>
    <d v="2025-07-27T00:00:00"/>
    <d v="2025-07-01T00:00:00"/>
    <s v="dom"/>
    <x v="6"/>
    <x v="1"/>
    <m/>
    <s v="123445865"/>
  </r>
  <r>
    <n v="1234"/>
    <n v="33"/>
    <s v="Masculino"/>
    <s v="Soldagem"/>
    <s v="Operador"/>
    <s v="3º Turno"/>
    <x v="4"/>
    <s v="Não"/>
    <x v="1"/>
    <d v="2026-03-18T00:00:00"/>
    <d v="2026-03-01T00:00:00"/>
    <s v="qua"/>
    <x v="4"/>
    <x v="0"/>
    <m/>
    <s v="123446099"/>
  </r>
  <r>
    <n v="1234"/>
    <n v="33"/>
    <s v="Masculino"/>
    <s v="Soldagem"/>
    <s v="Operador"/>
    <s v="3º Turno"/>
    <x v="4"/>
    <s v="Não"/>
    <x v="1"/>
    <d v="2026-05-08T00:00:00"/>
    <d v="2026-05-01T00:00:00"/>
    <s v="qui"/>
    <x v="0"/>
    <x v="1"/>
    <m/>
    <s v="123446150"/>
  </r>
  <r>
    <n v="1235"/>
    <n v="41"/>
    <s v="Masculino"/>
    <s v="Qualidade"/>
    <s v="Inspetor"/>
    <s v="3º Turno"/>
    <x v="0"/>
    <s v="Sim"/>
    <x v="2"/>
    <d v="2025-05-26T00:00:00"/>
    <d v="2025-05-01T00:00:00"/>
    <s v="seg"/>
    <x v="0"/>
    <x v="1"/>
    <d v="2026-05-13T00:00:00"/>
    <s v="123545803"/>
  </r>
  <r>
    <n v="1235"/>
    <n v="41"/>
    <s v="Masculino"/>
    <s v="Qualidade"/>
    <s v="Inspetor"/>
    <s v="3º Turno"/>
    <x v="0"/>
    <s v="Sim"/>
    <x v="2"/>
    <d v="2025-06-03T00:00:00"/>
    <d v="2025-06-01T00:00:00"/>
    <s v="ter"/>
    <x v="1"/>
    <x v="1"/>
    <d v="2026-05-13T00:00:00"/>
    <s v="123545811"/>
  </r>
  <r>
    <n v="1235"/>
    <n v="41"/>
    <s v="Masculino"/>
    <s v="Qualidade"/>
    <s v="Inspetor"/>
    <s v="3º Turno"/>
    <x v="0"/>
    <s v="Sim"/>
    <x v="2"/>
    <d v="2025-10-31T00:00:00"/>
    <d v="2025-10-01T00:00:00"/>
    <s v="sex"/>
    <x v="11"/>
    <x v="1"/>
    <d v="2026-05-13T00:00:00"/>
    <s v="123545961"/>
  </r>
  <r>
    <n v="1235"/>
    <n v="41"/>
    <s v="Masculino"/>
    <s v="Qualidade"/>
    <s v="Inspetor"/>
    <s v="3º Turno"/>
    <x v="0"/>
    <s v="Sim"/>
    <x v="2"/>
    <d v="2025-11-07T00:00:00"/>
    <d v="2025-11-01T00:00:00"/>
    <s v="sex"/>
    <x v="10"/>
    <x v="1"/>
    <d v="2026-05-13T00:00:00"/>
    <s v="123545968"/>
  </r>
  <r>
    <n v="1235"/>
    <n v="41"/>
    <s v="Masculino"/>
    <s v="Qualidade"/>
    <s v="Inspetor"/>
    <s v="3º Turno"/>
    <x v="2"/>
    <s v="Sim"/>
    <x v="2"/>
    <d v="2025-12-20T00:00:00"/>
    <d v="2025-12-01T00:00:00"/>
    <s v="sáb"/>
    <x v="8"/>
    <x v="1"/>
    <d v="2026-05-13T00:00:00"/>
    <s v="123546011"/>
  </r>
  <r>
    <n v="1235"/>
    <n v="41"/>
    <s v="Masculino"/>
    <s v="Qualidade"/>
    <s v="Inspetor"/>
    <s v="3º Turno"/>
    <x v="2"/>
    <s v="Sim"/>
    <x v="2"/>
    <d v="2026-02-23T00:00:00"/>
    <d v="2026-02-01T00:00:00"/>
    <s v="seg"/>
    <x v="3"/>
    <x v="0"/>
    <d v="2026-05-13T00:00:00"/>
    <s v="123546076"/>
  </r>
  <r>
    <n v="1237"/>
    <n v="21"/>
    <s v="Feminino"/>
    <s v="Montagem"/>
    <s v="Operador"/>
    <s v="2º Turno"/>
    <x v="0"/>
    <s v="Não"/>
    <x v="1"/>
    <d v="2025-07-16T00:00:00"/>
    <d v="2025-07-01T00:00:00"/>
    <s v="qua"/>
    <x v="6"/>
    <x v="1"/>
    <m/>
    <s v="123745854"/>
  </r>
  <r>
    <n v="1237"/>
    <n v="21"/>
    <s v="Feminino"/>
    <s v="Montagem"/>
    <s v="Operador"/>
    <s v="2º Turno"/>
    <x v="0"/>
    <s v="Não"/>
    <x v="1"/>
    <d v="2025-08-05T00:00:00"/>
    <d v="2025-08-01T00:00:00"/>
    <s v="ter"/>
    <x v="9"/>
    <x v="1"/>
    <m/>
    <s v="123745874"/>
  </r>
  <r>
    <n v="1237"/>
    <n v="21"/>
    <s v="Feminino"/>
    <s v="Montagem"/>
    <s v="Operador"/>
    <s v="2º Turno"/>
    <x v="0"/>
    <s v="Não"/>
    <x v="1"/>
    <d v="2025-09-10T00:00:00"/>
    <d v="2025-09-01T00:00:00"/>
    <s v="qua"/>
    <x v="7"/>
    <x v="1"/>
    <m/>
    <s v="123745910"/>
  </r>
  <r>
    <n v="1237"/>
    <n v="21"/>
    <s v="Feminino"/>
    <s v="Montagem"/>
    <s v="Operador"/>
    <s v="2º Turno"/>
    <x v="0"/>
    <s v="Não"/>
    <x v="1"/>
    <d v="2025-11-06T00:00:00"/>
    <d v="2025-11-01T00:00:00"/>
    <s v="qui"/>
    <x v="10"/>
    <x v="1"/>
    <m/>
    <s v="123745967"/>
  </r>
  <r>
    <n v="1237"/>
    <n v="21"/>
    <s v="Feminino"/>
    <s v="Montagem"/>
    <s v="Operador"/>
    <s v="2º Turno"/>
    <x v="0"/>
    <s v="Não"/>
    <x v="1"/>
    <d v="2025-12-21T00:00:00"/>
    <d v="2025-12-01T00:00:00"/>
    <s v="dom"/>
    <x v="8"/>
    <x v="1"/>
    <m/>
    <s v="123746012"/>
  </r>
  <r>
    <n v="1237"/>
    <n v="21"/>
    <s v="Feminino"/>
    <s v="Montagem"/>
    <s v="Operador"/>
    <s v="2º Turno"/>
    <x v="0"/>
    <s v="Não"/>
    <x v="1"/>
    <d v="2026-03-14T00:00:00"/>
    <d v="2026-03-01T00:00:00"/>
    <s v="sáb"/>
    <x v="4"/>
    <x v="0"/>
    <m/>
    <s v="123746095"/>
  </r>
  <r>
    <n v="1239"/>
    <n v="32"/>
    <s v="Masculino"/>
    <s v="Pintura"/>
    <s v="Operador"/>
    <s v="3º Turno"/>
    <x v="0"/>
    <s v="Sim"/>
    <x v="2"/>
    <d v="2025-05-06T00:00:00"/>
    <d v="2025-05-01T00:00:00"/>
    <s v="ter"/>
    <x v="0"/>
    <x v="1"/>
    <d v="2026-06-22T00:00:00"/>
    <s v="123945783"/>
  </r>
  <r>
    <n v="1239"/>
    <n v="32"/>
    <s v="Masculino"/>
    <s v="Pintura"/>
    <s v="Operador"/>
    <s v="3º Turno"/>
    <x v="0"/>
    <s v="Sim"/>
    <x v="2"/>
    <d v="2025-06-28T00:00:00"/>
    <d v="2025-06-01T00:00:00"/>
    <s v="sáb"/>
    <x v="1"/>
    <x v="1"/>
    <d v="2026-06-22T00:00:00"/>
    <s v="123945836"/>
  </r>
  <r>
    <n v="1239"/>
    <n v="32"/>
    <s v="Masculino"/>
    <s v="Pintura"/>
    <s v="Operador"/>
    <s v="3º Turno"/>
    <x v="0"/>
    <s v="Sim"/>
    <x v="2"/>
    <d v="2025-07-10T00:00:00"/>
    <d v="2025-07-01T00:00:00"/>
    <s v="qui"/>
    <x v="6"/>
    <x v="1"/>
    <d v="2026-06-22T00:00:00"/>
    <s v="123945848"/>
  </r>
  <r>
    <n v="1239"/>
    <n v="32"/>
    <s v="Masculino"/>
    <s v="Pintura"/>
    <s v="Operador"/>
    <s v="3º Turno"/>
    <x v="3"/>
    <s v="Sim"/>
    <x v="2"/>
    <d v="2025-08-11T00:00:00"/>
    <d v="2025-08-01T00:00:00"/>
    <s v="seg"/>
    <x v="9"/>
    <x v="1"/>
    <d v="2026-06-22T00:00:00"/>
    <s v="123945880"/>
  </r>
  <r>
    <n v="1239"/>
    <n v="32"/>
    <s v="Masculino"/>
    <s v="Pintura"/>
    <s v="Operador"/>
    <s v="3º Turno"/>
    <x v="0"/>
    <s v="Sim"/>
    <x v="2"/>
    <d v="2026-06-10T00:00:00"/>
    <d v="2026-01-01T00:00:00"/>
    <s v="qua"/>
    <x v="1"/>
    <x v="0"/>
    <d v="2026-06-22T00:00:00"/>
    <s v="123946183"/>
  </r>
  <r>
    <n v="1239"/>
    <n v="32"/>
    <s v="Masculino"/>
    <s v="Pintura"/>
    <s v="Operador"/>
    <s v="3º Turno"/>
    <x v="0"/>
    <s v="Sim"/>
    <x v="2"/>
    <d v="2026-01-10T00:00:00"/>
    <d v="2026-01-01T00:00:00"/>
    <s v="sáb"/>
    <x v="5"/>
    <x v="0"/>
    <d v="2026-06-22T00:00:00"/>
    <s v="123946032"/>
  </r>
  <r>
    <n v="1240"/>
    <n v="39"/>
    <s v="Feminino"/>
    <s v="Qualidade"/>
    <s v="Inspetor"/>
    <s v="3º Turno"/>
    <x v="0"/>
    <s v="Não"/>
    <x v="1"/>
    <d v="2025-08-18T00:00:00"/>
    <d v="2025-08-01T00:00:00"/>
    <s v="seg"/>
    <x v="9"/>
    <x v="1"/>
    <m/>
    <s v="124045887"/>
  </r>
  <r>
    <n v="1240"/>
    <n v="39"/>
    <s v="Feminino"/>
    <s v="Qualidade"/>
    <s v="Inspetor"/>
    <s v="3º Turno"/>
    <x v="4"/>
    <s v="Não"/>
    <x v="1"/>
    <d v="2025-10-23T00:00:00"/>
    <d v="2025-10-01T00:00:00"/>
    <s v="qui"/>
    <x v="11"/>
    <x v="1"/>
    <m/>
    <s v="124045953"/>
  </r>
  <r>
    <n v="1240"/>
    <n v="39"/>
    <s v="Feminino"/>
    <s v="Qualidade"/>
    <s v="Inspetor"/>
    <s v="3º Turno"/>
    <x v="0"/>
    <s v="Não"/>
    <x v="1"/>
    <d v="2025-11-21T00:00:00"/>
    <d v="2025-11-01T00:00:00"/>
    <s v="sex"/>
    <x v="10"/>
    <x v="1"/>
    <m/>
    <s v="124045982"/>
  </r>
  <r>
    <n v="1240"/>
    <n v="39"/>
    <s v="Feminino"/>
    <s v="Qualidade"/>
    <s v="Inspetor"/>
    <s v="3º Turno"/>
    <x v="0"/>
    <s v="Não"/>
    <x v="1"/>
    <d v="2026-03-24T00:00:00"/>
    <d v="2026-03-01T00:00:00"/>
    <s v="ter"/>
    <x v="4"/>
    <x v="0"/>
    <m/>
    <s v="124046105"/>
  </r>
  <r>
    <n v="1241"/>
    <n v="37"/>
    <s v="Feminino"/>
    <s v="Soldagem"/>
    <s v="Operador"/>
    <s v="1º Turno"/>
    <x v="2"/>
    <s v="Não"/>
    <x v="0"/>
    <d v="2025-04-16T00:00:00"/>
    <d v="2025-04-01T00:00:00"/>
    <s v="qua"/>
    <x v="2"/>
    <x v="1"/>
    <m/>
    <s v="124145763"/>
  </r>
  <r>
    <n v="1241"/>
    <n v="37"/>
    <s v="Feminino"/>
    <s v="Soldagem"/>
    <s v="Operador"/>
    <s v="1º Turno"/>
    <x v="2"/>
    <s v="Não"/>
    <x v="0"/>
    <d v="2025-04-23T00:00:00"/>
    <d v="2025-04-01T00:00:00"/>
    <s v="qua"/>
    <x v="2"/>
    <x v="1"/>
    <m/>
    <s v="124145770"/>
  </r>
  <r>
    <n v="1241"/>
    <n v="37"/>
    <s v="Feminino"/>
    <s v="Soldagem"/>
    <s v="Operador"/>
    <s v="1º Turno"/>
    <x v="0"/>
    <s v="Não"/>
    <x v="0"/>
    <d v="2025-09-16T00:00:00"/>
    <d v="2025-09-01T00:00:00"/>
    <s v="ter"/>
    <x v="7"/>
    <x v="1"/>
    <m/>
    <s v="124145916"/>
  </r>
  <r>
    <n v="1241"/>
    <n v="37"/>
    <s v="Feminino"/>
    <s v="Soldagem"/>
    <s v="Operador"/>
    <s v="1º Turno"/>
    <x v="2"/>
    <s v="Não"/>
    <x v="0"/>
    <d v="2026-06-24T00:00:00"/>
    <d v="2026-01-01T00:00:00"/>
    <s v="qua"/>
    <x v="1"/>
    <x v="0"/>
    <m/>
    <s v="124146197"/>
  </r>
  <r>
    <n v="1241"/>
    <n v="37"/>
    <s v="Feminino"/>
    <s v="Soldagem"/>
    <s v="Operador"/>
    <s v="1º Turno"/>
    <x v="1"/>
    <s v="Não"/>
    <x v="0"/>
    <d v="2026-02-22T00:00:00"/>
    <d v="2026-02-01T00:00:00"/>
    <s v="dom"/>
    <x v="3"/>
    <x v="0"/>
    <m/>
    <s v="124146075"/>
  </r>
  <r>
    <n v="1241"/>
    <n v="37"/>
    <s v="Feminino"/>
    <s v="Soldagem"/>
    <s v="Operador"/>
    <s v="1º Turno"/>
    <x v="2"/>
    <s v="Não"/>
    <x v="0"/>
    <d v="2026-04-16T00:00:00"/>
    <d v="2026-04-01T00:00:00"/>
    <s v="qua"/>
    <x v="2"/>
    <x v="1"/>
    <m/>
    <s v="124146128"/>
  </r>
  <r>
    <n v="1241"/>
    <n v="37"/>
    <s v="Feminino"/>
    <s v="Soldagem"/>
    <s v="Operador"/>
    <s v="1º Turno"/>
    <x v="2"/>
    <s v="Não"/>
    <x v="0"/>
    <d v="2026-04-23T00:00:00"/>
    <d v="2026-04-01T00:00:00"/>
    <s v="qua"/>
    <x v="2"/>
    <x v="1"/>
    <m/>
    <s v="124146135"/>
  </r>
  <r>
    <n v="1242"/>
    <n v="58"/>
    <s v="Feminino"/>
    <s v="Qualidade"/>
    <s v="Inspetor"/>
    <s v="1º Turno"/>
    <x v="1"/>
    <s v="Sim"/>
    <x v="0"/>
    <d v="2025-06-11T00:00:00"/>
    <d v="2025-06-01T00:00:00"/>
    <s v="qua"/>
    <x v="1"/>
    <x v="1"/>
    <d v="2026-02-26T00:00:00"/>
    <s v="124245819"/>
  </r>
  <r>
    <n v="1242"/>
    <n v="58"/>
    <s v="Feminino"/>
    <s v="Qualidade"/>
    <s v="Inspetor"/>
    <s v="1º Turno"/>
    <x v="1"/>
    <s v="Sim"/>
    <x v="0"/>
    <d v="2025-06-27T00:00:00"/>
    <d v="2025-06-01T00:00:00"/>
    <s v="sex"/>
    <x v="1"/>
    <x v="1"/>
    <d v="2026-02-26T00:00:00"/>
    <s v="124245835"/>
  </r>
  <r>
    <n v="1242"/>
    <n v="58"/>
    <s v="Feminino"/>
    <s v="Qualidade"/>
    <s v="Inspetor"/>
    <s v="1º Turno"/>
    <x v="1"/>
    <s v="Sim"/>
    <x v="0"/>
    <d v="2025-08-30T00:00:00"/>
    <d v="2025-08-01T00:00:00"/>
    <s v="sáb"/>
    <x v="9"/>
    <x v="1"/>
    <d v="2026-02-26T00:00:00"/>
    <s v="124245899"/>
  </r>
  <r>
    <n v="1242"/>
    <n v="58"/>
    <s v="Feminino"/>
    <s v="Qualidade"/>
    <s v="Inspetor"/>
    <s v="1º Turno"/>
    <x v="1"/>
    <s v="Sim"/>
    <x v="0"/>
    <d v="2025-11-11T00:00:00"/>
    <d v="2025-11-01T00:00:00"/>
    <s v="ter"/>
    <x v="10"/>
    <x v="1"/>
    <d v="2026-02-26T00:00:00"/>
    <s v="124245972"/>
  </r>
  <r>
    <n v="1242"/>
    <n v="58"/>
    <s v="Feminino"/>
    <s v="Qualidade"/>
    <s v="Inspetor"/>
    <s v="1º Turno"/>
    <x v="1"/>
    <s v="Sim"/>
    <x v="0"/>
    <d v="2026-02-02T00:00:00"/>
    <d v="2026-02-01T00:00:00"/>
    <s v="seg"/>
    <x v="3"/>
    <x v="0"/>
    <d v="2026-02-26T00:00:00"/>
    <s v="124246055"/>
  </r>
  <r>
    <n v="1242"/>
    <n v="58"/>
    <s v="Feminino"/>
    <s v="Qualidade"/>
    <s v="Inspetor"/>
    <s v="1º Turno"/>
    <x v="1"/>
    <s v="Sim"/>
    <x v="0"/>
    <d v="2026-02-25T00:00:00"/>
    <d v="2026-02-01T00:00:00"/>
    <s v="qua"/>
    <x v="3"/>
    <x v="0"/>
    <d v="2026-02-26T00:00:00"/>
    <s v="124246078"/>
  </r>
  <r>
    <n v="1246"/>
    <n v="22"/>
    <s v="Feminino"/>
    <s v="Soldagem"/>
    <s v="Operador"/>
    <s v="1º Turno"/>
    <x v="5"/>
    <s v="Não"/>
    <x v="2"/>
    <d v="2025-04-13T00:00:00"/>
    <d v="2025-04-01T00:00:00"/>
    <s v="dom"/>
    <x v="2"/>
    <x v="1"/>
    <m/>
    <s v="124645760"/>
  </r>
  <r>
    <n v="1246"/>
    <n v="22"/>
    <s v="Feminino"/>
    <s v="Soldagem"/>
    <s v="Operador"/>
    <s v="1º Turno"/>
    <x v="4"/>
    <s v="Não"/>
    <x v="2"/>
    <d v="2026-06-19T00:00:00"/>
    <d v="2025-06-01T00:00:00"/>
    <s v="sex"/>
    <x v="1"/>
    <x v="0"/>
    <m/>
    <s v="124646192"/>
  </r>
  <r>
    <n v="1246"/>
    <n v="22"/>
    <s v="Feminino"/>
    <s v="Soldagem"/>
    <s v="Operador"/>
    <s v="1º Turno"/>
    <x v="4"/>
    <s v="Não"/>
    <x v="2"/>
    <d v="2025-08-29T00:00:00"/>
    <d v="2025-08-01T00:00:00"/>
    <s v="sex"/>
    <x v="9"/>
    <x v="1"/>
    <m/>
    <s v="124645898"/>
  </r>
  <r>
    <n v="1246"/>
    <n v="22"/>
    <s v="Feminino"/>
    <s v="Soldagem"/>
    <s v="Operador"/>
    <s v="1º Turno"/>
    <x v="4"/>
    <s v="Não"/>
    <x v="2"/>
    <d v="2025-11-28T00:00:00"/>
    <d v="2025-11-01T00:00:00"/>
    <s v="sex"/>
    <x v="10"/>
    <x v="1"/>
    <m/>
    <s v="124645989"/>
  </r>
  <r>
    <n v="1246"/>
    <n v="22"/>
    <s v="Feminino"/>
    <s v="Soldagem"/>
    <s v="Operador"/>
    <s v="1º Turno"/>
    <x v="4"/>
    <s v="Não"/>
    <x v="2"/>
    <d v="2026-02-05T00:00:00"/>
    <d v="2026-02-01T00:00:00"/>
    <s v="qui"/>
    <x v="3"/>
    <x v="0"/>
    <m/>
    <s v="124646058"/>
  </r>
  <r>
    <n v="1246"/>
    <n v="22"/>
    <s v="Feminino"/>
    <s v="Soldagem"/>
    <s v="Operador"/>
    <s v="1º Turno"/>
    <x v="4"/>
    <s v="Não"/>
    <x v="2"/>
    <d v="2026-03-21T00:00:00"/>
    <d v="2026-03-01T00:00:00"/>
    <s v="sáb"/>
    <x v="4"/>
    <x v="0"/>
    <m/>
    <s v="124646102"/>
  </r>
  <r>
    <n v="1246"/>
    <n v="22"/>
    <s v="Feminino"/>
    <s v="Soldagem"/>
    <s v="Operador"/>
    <s v="1º Turno"/>
    <x v="4"/>
    <s v="Não"/>
    <x v="2"/>
    <d v="2026-04-13T00:00:00"/>
    <d v="2026-04-01T00:00:00"/>
    <s v="dom"/>
    <x v="2"/>
    <x v="1"/>
    <m/>
    <s v="124646125"/>
  </r>
  <r>
    <n v="1247"/>
    <n v="50"/>
    <s v="Masculino"/>
    <s v="Soldagem"/>
    <s v="Operador"/>
    <s v="2º Turno"/>
    <x v="3"/>
    <s v="Não"/>
    <x v="1"/>
    <d v="2026-06-01T00:00:00"/>
    <d v="2025-06-01T00:00:00"/>
    <s v="seg"/>
    <x v="1"/>
    <x v="0"/>
    <m/>
    <s v="124746174"/>
  </r>
  <r>
    <n v="1247"/>
    <n v="50"/>
    <s v="Masculino"/>
    <s v="Soldagem"/>
    <s v="Operador"/>
    <s v="2º Turno"/>
    <x v="3"/>
    <s v="Não"/>
    <x v="1"/>
    <d v="2026-06-10T00:00:00"/>
    <d v="2025-06-01T00:00:00"/>
    <s v="qua"/>
    <x v="1"/>
    <x v="0"/>
    <m/>
    <s v="124746183"/>
  </r>
  <r>
    <n v="1247"/>
    <n v="50"/>
    <s v="Masculino"/>
    <s v="Soldagem"/>
    <s v="Operador"/>
    <s v="2º Turno"/>
    <x v="2"/>
    <s v="Não"/>
    <x v="1"/>
    <d v="2026-06-15T00:00:00"/>
    <d v="2025-06-01T00:00:00"/>
    <s v="seg"/>
    <x v="1"/>
    <x v="0"/>
    <m/>
    <s v="124746188"/>
  </r>
  <r>
    <n v="1247"/>
    <n v="50"/>
    <s v="Masculino"/>
    <s v="Soldagem"/>
    <s v="Operador"/>
    <s v="2º Turno"/>
    <x v="3"/>
    <s v="Não"/>
    <x v="1"/>
    <d v="2025-09-26T00:00:00"/>
    <d v="2025-09-01T00:00:00"/>
    <s v="sex"/>
    <x v="7"/>
    <x v="1"/>
    <m/>
    <s v="124745926"/>
  </r>
  <r>
    <n v="1247"/>
    <n v="50"/>
    <s v="Masculino"/>
    <s v="Soldagem"/>
    <s v="Operador"/>
    <s v="2º Turno"/>
    <x v="3"/>
    <s v="Não"/>
    <x v="1"/>
    <d v="2026-02-10T00:00:00"/>
    <d v="2026-02-01T00:00:00"/>
    <s v="ter"/>
    <x v="3"/>
    <x v="0"/>
    <m/>
    <s v="124746063"/>
  </r>
  <r>
    <n v="1247"/>
    <n v="50"/>
    <s v="Masculino"/>
    <s v="Soldagem"/>
    <s v="Operador"/>
    <s v="2º Turno"/>
    <x v="2"/>
    <s v="Não"/>
    <x v="1"/>
    <d v="2026-03-18T00:00:00"/>
    <d v="2026-03-01T00:00:00"/>
    <s v="qua"/>
    <x v="4"/>
    <x v="0"/>
    <m/>
    <s v="124746099"/>
  </r>
  <r>
    <n v="1249"/>
    <n v="45"/>
    <s v="Feminino"/>
    <s v="Soldagem"/>
    <s v="Operador"/>
    <s v="3º Turno"/>
    <x v="0"/>
    <s v="Sim"/>
    <x v="1"/>
    <d v="2025-07-01T00:00:00"/>
    <d v="2025-07-01T00:00:00"/>
    <s v="ter"/>
    <x v="6"/>
    <x v="1"/>
    <d v="2026-02-04T00:00:00"/>
    <s v="124945839"/>
  </r>
  <r>
    <n v="1249"/>
    <n v="45"/>
    <s v="Feminino"/>
    <s v="Soldagem"/>
    <s v="Operador"/>
    <s v="3º Turno"/>
    <x v="0"/>
    <s v="Sim"/>
    <x v="1"/>
    <d v="2025-10-02T00:00:00"/>
    <d v="2025-10-01T00:00:00"/>
    <s v="qui"/>
    <x v="11"/>
    <x v="1"/>
    <d v="2026-02-04T00:00:00"/>
    <s v="124945932"/>
  </r>
  <r>
    <n v="1249"/>
    <n v="45"/>
    <s v="Feminino"/>
    <s v="Soldagem"/>
    <s v="Operador"/>
    <s v="3º Turno"/>
    <x v="0"/>
    <s v="Sim"/>
    <x v="1"/>
    <d v="2025-10-25T00:00:00"/>
    <d v="2025-10-01T00:00:00"/>
    <s v="sáb"/>
    <x v="11"/>
    <x v="1"/>
    <d v="2026-02-04T00:00:00"/>
    <s v="124945955"/>
  </r>
  <r>
    <n v="1249"/>
    <n v="45"/>
    <s v="Feminino"/>
    <s v="Soldagem"/>
    <s v="Operador"/>
    <s v="3º Turno"/>
    <x v="0"/>
    <s v="Sim"/>
    <x v="1"/>
    <d v="2025-11-21T00:00:00"/>
    <d v="2025-11-01T00:00:00"/>
    <s v="sex"/>
    <x v="10"/>
    <x v="1"/>
    <d v="2026-02-04T00:00:00"/>
    <s v="124945982"/>
  </r>
  <r>
    <n v="1249"/>
    <n v="45"/>
    <s v="Feminino"/>
    <s v="Soldagem"/>
    <s v="Operador"/>
    <s v="3º Turno"/>
    <x v="0"/>
    <s v="Sim"/>
    <x v="1"/>
    <d v="2025-12-26T00:00:00"/>
    <d v="2025-12-01T00:00:00"/>
    <s v="sex"/>
    <x v="8"/>
    <x v="1"/>
    <d v="2026-02-04T00:00:00"/>
    <s v="124946017"/>
  </r>
  <r>
    <n v="1249"/>
    <n v="45"/>
    <s v="Feminino"/>
    <s v="Soldagem"/>
    <s v="Operador"/>
    <s v="3º Turno"/>
    <x v="0"/>
    <s v="Sim"/>
    <x v="1"/>
    <d v="2026-06-26T00:00:00"/>
    <d v="2026-01-01T00:00:00"/>
    <s v="sex"/>
    <x v="1"/>
    <x v="0"/>
    <d v="2026-02-04T00:00:00"/>
    <s v="124946199"/>
  </r>
  <r>
    <n v="1250"/>
    <n v="40"/>
    <s v="Masculino"/>
    <s v="Montagem"/>
    <s v="Operador"/>
    <s v="1º Turno"/>
    <x v="0"/>
    <s v="Sim"/>
    <x v="1"/>
    <d v="2025-01-16T00:00:00"/>
    <d v="2025-01-01T00:00:00"/>
    <s v="qui"/>
    <x v="5"/>
    <x v="1"/>
    <d v="2025-06-02T00:00:00"/>
    <s v="125045673"/>
  </r>
  <r>
    <n v="1250"/>
    <n v="40"/>
    <s v="Masculino"/>
    <s v="Montagem"/>
    <s v="Operador"/>
    <s v="1º Turno"/>
    <x v="0"/>
    <s v="Sim"/>
    <x v="1"/>
    <d v="2025-01-18T00:00:00"/>
    <d v="2025-01-01T00:00:00"/>
    <s v="sáb"/>
    <x v="5"/>
    <x v="1"/>
    <d v="2025-06-02T00:00:00"/>
    <s v="125045675"/>
  </r>
  <r>
    <n v="1250"/>
    <n v="40"/>
    <s v="Masculino"/>
    <s v="Montagem"/>
    <s v="Operador"/>
    <s v="1º Turno"/>
    <x v="2"/>
    <s v="Sim"/>
    <x v="1"/>
    <d v="2025-04-14T00:00:00"/>
    <d v="2025-04-01T00:00:00"/>
    <s v="seg"/>
    <x v="2"/>
    <x v="1"/>
    <d v="2025-06-02T00:00:00"/>
    <s v="125045761"/>
  </r>
  <r>
    <n v="1250"/>
    <n v="40"/>
    <s v="Masculino"/>
    <s v="Montagem"/>
    <s v="Operador"/>
    <s v="1º Turno"/>
    <x v="0"/>
    <s v="Sim"/>
    <x v="1"/>
    <d v="2025-05-13T00:00:00"/>
    <d v="2025-05-01T00:00:00"/>
    <s v="ter"/>
    <x v="0"/>
    <x v="1"/>
    <d v="2025-06-02T00:00:00"/>
    <s v="125045790"/>
  </r>
  <r>
    <n v="1250"/>
    <n v="40"/>
    <s v="Masculino"/>
    <s v="Montagem"/>
    <s v="Operador"/>
    <s v="1º Turno"/>
    <x v="0"/>
    <s v="Sim"/>
    <x v="1"/>
    <d v="2025-05-19T00:00:00"/>
    <d v="2025-05-01T00:00:00"/>
    <s v="seg"/>
    <x v="0"/>
    <x v="1"/>
    <d v="2025-06-02T00:00:00"/>
    <s v="125045796"/>
  </r>
  <r>
    <n v="1250"/>
    <n v="40"/>
    <s v="Masculino"/>
    <s v="Montagem"/>
    <s v="Operador"/>
    <s v="1º Turno"/>
    <x v="0"/>
    <s v="Sim"/>
    <x v="1"/>
    <d v="2025-05-22T00:00:00"/>
    <d v="2025-05-01T00:00:00"/>
    <s v="qui"/>
    <x v="0"/>
    <x v="1"/>
    <d v="2025-06-02T00:00:00"/>
    <s v="125045799"/>
  </r>
  <r>
    <n v="1251"/>
    <n v="22"/>
    <s v="Masculino"/>
    <s v="Pintura"/>
    <s v="Operador"/>
    <s v="3º Turno"/>
    <x v="4"/>
    <s v="Não"/>
    <x v="1"/>
    <d v="2025-04-24T00:00:00"/>
    <d v="2025-04-01T00:00:00"/>
    <s v="qui"/>
    <x v="2"/>
    <x v="1"/>
    <m/>
    <s v="125145771"/>
  </r>
  <r>
    <n v="1251"/>
    <n v="22"/>
    <s v="Masculino"/>
    <s v="Pintura"/>
    <s v="Operador"/>
    <s v="3º Turno"/>
    <x v="4"/>
    <s v="Não"/>
    <x v="1"/>
    <d v="2026-06-29T00:00:00"/>
    <d v="2025-06-01T00:00:00"/>
    <s v="seg"/>
    <x v="1"/>
    <x v="0"/>
    <m/>
    <s v="125146202"/>
  </r>
  <r>
    <n v="1251"/>
    <n v="22"/>
    <s v="Masculino"/>
    <s v="Pintura"/>
    <s v="Operador"/>
    <s v="3º Turno"/>
    <x v="0"/>
    <s v="Não"/>
    <x v="1"/>
    <d v="2025-07-19T00:00:00"/>
    <d v="2025-07-01T00:00:00"/>
    <s v="sáb"/>
    <x v="6"/>
    <x v="1"/>
    <m/>
    <s v="125145857"/>
  </r>
  <r>
    <n v="1251"/>
    <n v="22"/>
    <s v="Masculino"/>
    <s v="Pintura"/>
    <s v="Operador"/>
    <s v="3º Turno"/>
    <x v="0"/>
    <s v="Não"/>
    <x v="1"/>
    <d v="2025-12-27T00:00:00"/>
    <d v="2025-12-01T00:00:00"/>
    <s v="sáb"/>
    <x v="8"/>
    <x v="1"/>
    <m/>
    <s v="125146018"/>
  </r>
  <r>
    <n v="1251"/>
    <n v="22"/>
    <s v="Masculino"/>
    <s v="Pintura"/>
    <s v="Operador"/>
    <s v="3º Turno"/>
    <x v="4"/>
    <s v="Não"/>
    <x v="1"/>
    <d v="2026-02-09T00:00:00"/>
    <d v="2026-02-01T00:00:00"/>
    <s v="seg"/>
    <x v="3"/>
    <x v="0"/>
    <m/>
    <s v="125146062"/>
  </r>
  <r>
    <n v="1251"/>
    <n v="22"/>
    <s v="Masculino"/>
    <s v="Pintura"/>
    <s v="Operador"/>
    <s v="3º Turno"/>
    <x v="0"/>
    <s v="Não"/>
    <x v="1"/>
    <d v="2026-02-20T00:00:00"/>
    <d v="2026-02-01T00:00:00"/>
    <s v="sex"/>
    <x v="3"/>
    <x v="0"/>
    <m/>
    <s v="125146073"/>
  </r>
  <r>
    <n v="1251"/>
    <n v="22"/>
    <s v="Masculino"/>
    <s v="Pintura"/>
    <s v="Operador"/>
    <s v="3º Turno"/>
    <x v="4"/>
    <s v="Não"/>
    <x v="1"/>
    <d v="2026-04-24T00:00:00"/>
    <d v="2026-04-01T00:00:00"/>
    <s v="qui"/>
    <x v="2"/>
    <x v="1"/>
    <m/>
    <s v="125146136"/>
  </r>
  <r>
    <n v="1252"/>
    <n v="34"/>
    <s v="Feminino"/>
    <s v="Logistica"/>
    <s v="Operador"/>
    <s v="3º Turno"/>
    <x v="0"/>
    <s v="Sim"/>
    <x v="1"/>
    <d v="2025-05-30T00:00:00"/>
    <d v="2025-05-01T00:00:00"/>
    <s v="sex"/>
    <x v="0"/>
    <x v="1"/>
    <d v="2025-09-26T00:00:00"/>
    <s v="125245807"/>
  </r>
  <r>
    <n v="1252"/>
    <n v="34"/>
    <s v="Feminino"/>
    <s v="Logistica"/>
    <s v="Operador"/>
    <s v="3º Turno"/>
    <x v="2"/>
    <s v="Sim"/>
    <x v="1"/>
    <d v="2025-06-05T00:00:00"/>
    <d v="2025-06-01T00:00:00"/>
    <s v="qui"/>
    <x v="1"/>
    <x v="1"/>
    <d v="2025-09-26T00:00:00"/>
    <s v="125245813"/>
  </r>
  <r>
    <n v="1252"/>
    <n v="34"/>
    <s v="Feminino"/>
    <s v="Logistica"/>
    <s v="Operador"/>
    <s v="3º Turno"/>
    <x v="0"/>
    <s v="Sim"/>
    <x v="1"/>
    <d v="2025-09-06T00:00:00"/>
    <d v="2025-09-01T00:00:00"/>
    <s v="sáb"/>
    <x v="7"/>
    <x v="1"/>
    <d v="2025-09-26T00:00:00"/>
    <s v="125245906"/>
  </r>
  <r>
    <n v="1252"/>
    <n v="34"/>
    <s v="Feminino"/>
    <s v="Logistica"/>
    <s v="Operador"/>
    <s v="3º Turno"/>
    <x v="0"/>
    <s v="Sim"/>
    <x v="1"/>
    <d v="2025-09-08T00:00:00"/>
    <d v="2025-09-01T00:00:00"/>
    <s v="seg"/>
    <x v="7"/>
    <x v="1"/>
    <d v="2025-09-26T00:00:00"/>
    <s v="125245908"/>
  </r>
  <r>
    <n v="1252"/>
    <n v="34"/>
    <s v="Feminino"/>
    <s v="Logistica"/>
    <s v="Operador"/>
    <s v="3º Turno"/>
    <x v="2"/>
    <s v="Sim"/>
    <x v="1"/>
    <d v="2025-09-09T00:00:00"/>
    <d v="2025-09-01T00:00:00"/>
    <s v="ter"/>
    <x v="7"/>
    <x v="1"/>
    <d v="2025-09-26T00:00:00"/>
    <s v="125245909"/>
  </r>
  <r>
    <n v="1252"/>
    <n v="34"/>
    <s v="Feminino"/>
    <s v="Logistica"/>
    <s v="Operador"/>
    <s v="3º Turno"/>
    <x v="2"/>
    <s v="Sim"/>
    <x v="1"/>
    <d v="2025-09-10T00:00:00"/>
    <d v="2025-09-01T00:00:00"/>
    <s v="qua"/>
    <x v="7"/>
    <x v="1"/>
    <d v="2025-09-26T00:00:00"/>
    <s v="125245910"/>
  </r>
  <r>
    <n v="1253"/>
    <n v="41"/>
    <s v="Masculino"/>
    <s v="Qualidade"/>
    <s v="Analista"/>
    <s v="1º Turno"/>
    <x v="1"/>
    <s v="Não"/>
    <x v="2"/>
    <d v="2026-06-13T00:00:00"/>
    <d v="2025-06-01T00:00:00"/>
    <s v="sáb"/>
    <x v="1"/>
    <x v="0"/>
    <m/>
    <s v="125346186"/>
  </r>
  <r>
    <n v="1253"/>
    <n v="41"/>
    <s v="Masculino"/>
    <s v="Qualidade"/>
    <s v="Analista"/>
    <s v="1º Turno"/>
    <x v="1"/>
    <s v="Não"/>
    <x v="2"/>
    <d v="2025-10-15T00:00:00"/>
    <d v="2025-10-01T00:00:00"/>
    <s v="qua"/>
    <x v="11"/>
    <x v="1"/>
    <m/>
    <s v="125345945"/>
  </r>
  <r>
    <n v="1253"/>
    <n v="41"/>
    <s v="Masculino"/>
    <s v="Qualidade"/>
    <s v="Analista"/>
    <s v="1º Turno"/>
    <x v="1"/>
    <s v="Não"/>
    <x v="2"/>
    <d v="2025-11-11T00:00:00"/>
    <d v="2025-11-01T00:00:00"/>
    <s v="ter"/>
    <x v="10"/>
    <x v="1"/>
    <m/>
    <s v="125345972"/>
  </r>
  <r>
    <n v="1253"/>
    <n v="41"/>
    <s v="Masculino"/>
    <s v="Qualidade"/>
    <s v="Analista"/>
    <s v="1º Turno"/>
    <x v="1"/>
    <s v="Não"/>
    <x v="2"/>
    <d v="2025-12-29T00:00:00"/>
    <d v="2025-12-01T00:00:00"/>
    <s v="seg"/>
    <x v="8"/>
    <x v="1"/>
    <m/>
    <s v="125346020"/>
  </r>
  <r>
    <n v="1253"/>
    <n v="41"/>
    <s v="Masculino"/>
    <s v="Qualidade"/>
    <s v="Analista"/>
    <s v="1º Turno"/>
    <x v="1"/>
    <s v="Não"/>
    <x v="2"/>
    <d v="2026-06-06T00:00:00"/>
    <d v="2026-01-01T00:00:00"/>
    <s v="sáb"/>
    <x v="1"/>
    <x v="0"/>
    <m/>
    <s v="125346179"/>
  </r>
  <r>
    <n v="1254"/>
    <n v="25"/>
    <s v="Feminino"/>
    <s v="Montagem"/>
    <s v="Operador"/>
    <s v="3º Turno"/>
    <x v="0"/>
    <s v="Sim"/>
    <x v="2"/>
    <d v="2025-07-04T00:00:00"/>
    <d v="2025-07-01T00:00:00"/>
    <s v="sex"/>
    <x v="6"/>
    <x v="1"/>
    <d v="2026-02-14T00:00:00"/>
    <s v="125445842"/>
  </r>
  <r>
    <n v="1254"/>
    <n v="25"/>
    <s v="Feminino"/>
    <s v="Montagem"/>
    <s v="Operador"/>
    <s v="3º Turno"/>
    <x v="1"/>
    <s v="Sim"/>
    <x v="2"/>
    <d v="2025-08-27T00:00:00"/>
    <d v="2025-08-01T00:00:00"/>
    <s v="qua"/>
    <x v="9"/>
    <x v="1"/>
    <d v="2026-02-14T00:00:00"/>
    <s v="125445896"/>
  </r>
  <r>
    <n v="1254"/>
    <n v="25"/>
    <s v="Feminino"/>
    <s v="Montagem"/>
    <s v="Operador"/>
    <s v="3º Turno"/>
    <x v="1"/>
    <s v="Sim"/>
    <x v="2"/>
    <d v="2025-09-06T00:00:00"/>
    <d v="2025-09-01T00:00:00"/>
    <s v="sáb"/>
    <x v="7"/>
    <x v="1"/>
    <d v="2026-02-14T00:00:00"/>
    <s v="125445906"/>
  </r>
  <r>
    <n v="1254"/>
    <n v="25"/>
    <s v="Feminino"/>
    <s v="Montagem"/>
    <s v="Operador"/>
    <s v="3º Turno"/>
    <x v="1"/>
    <s v="Sim"/>
    <x v="2"/>
    <d v="2025-09-28T00:00:00"/>
    <d v="2025-09-01T00:00:00"/>
    <s v="dom"/>
    <x v="7"/>
    <x v="1"/>
    <d v="2026-02-14T00:00:00"/>
    <s v="125445928"/>
  </r>
  <r>
    <n v="1254"/>
    <n v="25"/>
    <s v="Feminino"/>
    <s v="Montagem"/>
    <s v="Operador"/>
    <s v="3º Turno"/>
    <x v="1"/>
    <s v="Sim"/>
    <x v="2"/>
    <d v="2025-10-31T00:00:00"/>
    <d v="2025-10-01T00:00:00"/>
    <s v="sex"/>
    <x v="11"/>
    <x v="1"/>
    <d v="2026-02-14T00:00:00"/>
    <s v="125445961"/>
  </r>
  <r>
    <n v="1254"/>
    <n v="25"/>
    <s v="Feminino"/>
    <s v="Montagem"/>
    <s v="Operador"/>
    <s v="3º Turno"/>
    <x v="0"/>
    <s v="Sim"/>
    <x v="2"/>
    <d v="2025-11-03T00:00:00"/>
    <d v="2025-11-01T00:00:00"/>
    <s v="seg"/>
    <x v="10"/>
    <x v="1"/>
    <d v="2026-02-14T00:00:00"/>
    <s v="125445964"/>
  </r>
  <r>
    <n v="1256"/>
    <n v="30"/>
    <s v="Feminino"/>
    <s v="Montagem"/>
    <s v="Operador"/>
    <s v="2º Turno"/>
    <x v="4"/>
    <s v="Não"/>
    <x v="1"/>
    <d v="2026-06-03T00:00:00"/>
    <d v="2025-06-01T00:00:00"/>
    <s v="qua"/>
    <x v="1"/>
    <x v="0"/>
    <m/>
    <s v="125646176"/>
  </r>
  <r>
    <n v="1256"/>
    <n v="30"/>
    <s v="Feminino"/>
    <s v="Montagem"/>
    <s v="Operador"/>
    <s v="2º Turno"/>
    <x v="0"/>
    <s v="Não"/>
    <x v="1"/>
    <d v="2026-06-28T00:00:00"/>
    <d v="2025-06-01T00:00:00"/>
    <s v="dom"/>
    <x v="1"/>
    <x v="0"/>
    <m/>
    <s v="125646201"/>
  </r>
  <r>
    <n v="1256"/>
    <n v="30"/>
    <s v="Feminino"/>
    <s v="Montagem"/>
    <s v="Operador"/>
    <s v="2º Turno"/>
    <x v="4"/>
    <s v="Não"/>
    <x v="1"/>
    <d v="2025-09-22T00:00:00"/>
    <d v="2025-09-01T00:00:00"/>
    <s v="seg"/>
    <x v="7"/>
    <x v="1"/>
    <m/>
    <s v="125645922"/>
  </r>
  <r>
    <n v="1256"/>
    <n v="30"/>
    <s v="Feminino"/>
    <s v="Montagem"/>
    <s v="Operador"/>
    <s v="2º Turno"/>
    <x v="4"/>
    <s v="Não"/>
    <x v="1"/>
    <d v="2026-06-24T00:00:00"/>
    <d v="2026-01-01T00:00:00"/>
    <s v="qua"/>
    <x v="1"/>
    <x v="0"/>
    <m/>
    <s v="125646197"/>
  </r>
  <r>
    <n v="1256"/>
    <n v="30"/>
    <s v="Feminino"/>
    <s v="Montagem"/>
    <s v="Operador"/>
    <s v="2º Turno"/>
    <x v="4"/>
    <s v="Não"/>
    <x v="1"/>
    <d v="2026-03-18T00:00:00"/>
    <d v="2026-03-01T00:00:00"/>
    <s v="qua"/>
    <x v="4"/>
    <x v="0"/>
    <m/>
    <s v="125646099"/>
  </r>
  <r>
    <n v="1256"/>
    <n v="30"/>
    <s v="Feminino"/>
    <s v="Montagem"/>
    <s v="Operador"/>
    <s v="2º Turno"/>
    <x v="0"/>
    <s v="Não"/>
    <x v="1"/>
    <d v="2026-03-21T00:00:00"/>
    <d v="2026-03-01T00:00:00"/>
    <s v="sáb"/>
    <x v="4"/>
    <x v="0"/>
    <m/>
    <s v="125646102"/>
  </r>
  <r>
    <n v="1257"/>
    <n v="42"/>
    <s v="Masculino"/>
    <s v="Montagem"/>
    <s v="Operador"/>
    <s v="3º Turno"/>
    <x v="0"/>
    <s v="Sim"/>
    <x v="1"/>
    <d v="2025-05-30T00:00:00"/>
    <d v="2025-05-01T00:00:00"/>
    <s v="sex"/>
    <x v="0"/>
    <x v="1"/>
    <d v="2025-07-29T00:00:00"/>
    <s v="125745807"/>
  </r>
  <r>
    <n v="1257"/>
    <n v="42"/>
    <s v="Masculino"/>
    <s v="Montagem"/>
    <s v="Operador"/>
    <s v="3º Turno"/>
    <x v="0"/>
    <s v="Sim"/>
    <x v="1"/>
    <d v="2025-06-10T00:00:00"/>
    <d v="2025-06-01T00:00:00"/>
    <s v="ter"/>
    <x v="1"/>
    <x v="1"/>
    <d v="2025-07-29T00:00:00"/>
    <s v="125745818"/>
  </r>
  <r>
    <n v="1257"/>
    <n v="42"/>
    <s v="Masculino"/>
    <s v="Montagem"/>
    <s v="Operador"/>
    <s v="3º Turno"/>
    <x v="0"/>
    <s v="Sim"/>
    <x v="1"/>
    <d v="2025-07-14T00:00:00"/>
    <d v="2025-07-01T00:00:00"/>
    <s v="seg"/>
    <x v="6"/>
    <x v="1"/>
    <d v="2025-07-29T00:00:00"/>
    <s v="125745852"/>
  </r>
  <r>
    <n v="1258"/>
    <n v="32"/>
    <s v="Masculino"/>
    <s v="Pintura"/>
    <s v="Operador"/>
    <s v="2º Turno"/>
    <x v="2"/>
    <s v="Não"/>
    <x v="1"/>
    <d v="2025-05-05T00:00:00"/>
    <d v="2025-05-01T00:00:00"/>
    <s v="seg"/>
    <x v="0"/>
    <x v="1"/>
    <m/>
    <s v="125845782"/>
  </r>
  <r>
    <n v="1258"/>
    <n v="32"/>
    <s v="Masculino"/>
    <s v="Pintura"/>
    <s v="Operador"/>
    <s v="2º Turno"/>
    <x v="4"/>
    <s v="Não"/>
    <x v="1"/>
    <d v="2025-07-13T00:00:00"/>
    <d v="2025-07-01T00:00:00"/>
    <s v="dom"/>
    <x v="6"/>
    <x v="1"/>
    <m/>
    <s v="125845851"/>
  </r>
  <r>
    <n v="1258"/>
    <n v="32"/>
    <s v="Masculino"/>
    <s v="Pintura"/>
    <s v="Operador"/>
    <s v="2º Turno"/>
    <x v="4"/>
    <s v="Não"/>
    <x v="1"/>
    <d v="2025-09-14T00:00:00"/>
    <d v="2025-09-01T00:00:00"/>
    <s v="dom"/>
    <x v="7"/>
    <x v="1"/>
    <m/>
    <s v="125845914"/>
  </r>
  <r>
    <n v="1258"/>
    <n v="32"/>
    <s v="Masculino"/>
    <s v="Pintura"/>
    <s v="Operador"/>
    <s v="2º Turno"/>
    <x v="3"/>
    <s v="Não"/>
    <x v="1"/>
    <d v="2025-09-25T00:00:00"/>
    <d v="2025-09-01T00:00:00"/>
    <s v="qui"/>
    <x v="7"/>
    <x v="1"/>
    <m/>
    <s v="125845925"/>
  </r>
  <r>
    <n v="1258"/>
    <n v="32"/>
    <s v="Masculino"/>
    <s v="Pintura"/>
    <s v="Operador"/>
    <s v="2º Turno"/>
    <x v="2"/>
    <s v="Não"/>
    <x v="1"/>
    <d v="2025-11-01T00:00:00"/>
    <d v="2025-11-01T00:00:00"/>
    <s v="sáb"/>
    <x v="10"/>
    <x v="1"/>
    <m/>
    <s v="125845962"/>
  </r>
  <r>
    <n v="1258"/>
    <n v="32"/>
    <s v="Masculino"/>
    <s v="Pintura"/>
    <s v="Operador"/>
    <s v="2º Turno"/>
    <x v="3"/>
    <s v="Não"/>
    <x v="1"/>
    <d v="2025-12-01T00:00:00"/>
    <d v="2025-12-01T00:00:00"/>
    <s v="seg"/>
    <x v="8"/>
    <x v="1"/>
    <m/>
    <s v="125845992"/>
  </r>
  <r>
    <n v="1258"/>
    <n v="32"/>
    <s v="Masculino"/>
    <s v="Pintura"/>
    <s v="Operador"/>
    <s v="2º Turno"/>
    <x v="2"/>
    <s v="Não"/>
    <x v="1"/>
    <d v="2026-05-05T00:00:00"/>
    <d v="2026-05-01T00:00:00"/>
    <s v="seg"/>
    <x v="0"/>
    <x v="1"/>
    <m/>
    <s v="125846147"/>
  </r>
  <r>
    <n v="1261"/>
    <n v="47"/>
    <s v="Masculino"/>
    <s v="Logistica"/>
    <s v="Operador"/>
    <s v="1º Turno"/>
    <x v="4"/>
    <s v="Não"/>
    <x v="0"/>
    <d v="2026-06-20T00:00:00"/>
    <d v="2025-06-01T00:00:00"/>
    <s v="sáb"/>
    <x v="1"/>
    <x v="0"/>
    <m/>
    <s v="126146193"/>
  </r>
  <r>
    <n v="1261"/>
    <n v="47"/>
    <s v="Masculino"/>
    <s v="Logistica"/>
    <s v="Operador"/>
    <s v="1º Turno"/>
    <x v="4"/>
    <s v="Não"/>
    <x v="0"/>
    <d v="2025-08-18T00:00:00"/>
    <d v="2025-08-01T00:00:00"/>
    <s v="seg"/>
    <x v="9"/>
    <x v="1"/>
    <m/>
    <s v="126145887"/>
  </r>
  <r>
    <n v="1261"/>
    <n v="47"/>
    <s v="Masculino"/>
    <s v="Logistica"/>
    <s v="Operador"/>
    <s v="1º Turno"/>
    <x v="4"/>
    <s v="Não"/>
    <x v="0"/>
    <d v="2025-09-25T00:00:00"/>
    <d v="2025-09-01T00:00:00"/>
    <s v="qui"/>
    <x v="7"/>
    <x v="1"/>
    <m/>
    <s v="126145925"/>
  </r>
  <r>
    <n v="1261"/>
    <n v="47"/>
    <s v="Masculino"/>
    <s v="Logistica"/>
    <s v="Operador"/>
    <s v="1º Turno"/>
    <x v="4"/>
    <s v="Não"/>
    <x v="0"/>
    <d v="2025-12-04T00:00:00"/>
    <d v="2025-12-01T00:00:00"/>
    <s v="qui"/>
    <x v="8"/>
    <x v="1"/>
    <m/>
    <s v="126145995"/>
  </r>
  <r>
    <n v="1261"/>
    <n v="47"/>
    <s v="Masculino"/>
    <s v="Logistica"/>
    <s v="Operador"/>
    <s v="1º Turno"/>
    <x v="4"/>
    <s v="Não"/>
    <x v="0"/>
    <d v="2026-06-03T00:00:00"/>
    <d v="2026-01-01T00:00:00"/>
    <s v="qua"/>
    <x v="1"/>
    <x v="0"/>
    <m/>
    <s v="126146176"/>
  </r>
  <r>
    <n v="1261"/>
    <n v="47"/>
    <s v="Masculino"/>
    <s v="Logistica"/>
    <s v="Operador"/>
    <s v="1º Turno"/>
    <x v="4"/>
    <s v="Não"/>
    <x v="0"/>
    <d v="2026-04-23T00:00:00"/>
    <d v="2026-04-01T00:00:00"/>
    <s v="qui"/>
    <x v="2"/>
    <x v="0"/>
    <m/>
    <s v="126146135"/>
  </r>
  <r>
    <n v="1261"/>
    <n v="47"/>
    <s v="Masculino"/>
    <s v="Logistica"/>
    <s v="Operador"/>
    <s v="1º Turno"/>
    <x v="4"/>
    <s v="Não"/>
    <x v="0"/>
    <d v="2026-06-04T00:00:00"/>
    <d v="2026-06-01T00:00:00"/>
    <s v="qui"/>
    <x v="1"/>
    <x v="0"/>
    <m/>
    <s v="126146177"/>
  </r>
  <r>
    <n v="1262"/>
    <n v="40"/>
    <s v="Masculino"/>
    <s v="Soldagem"/>
    <s v="Operador"/>
    <s v="3º Turno"/>
    <x v="2"/>
    <s v="Sim"/>
    <x v="1"/>
    <d v="2025-04-16T00:00:00"/>
    <d v="2025-04-01T00:00:00"/>
    <s v="qua"/>
    <x v="2"/>
    <x v="1"/>
    <d v="2025-09-24T00:00:00"/>
    <s v="126245763"/>
  </r>
  <r>
    <n v="1262"/>
    <n v="40"/>
    <s v="Masculino"/>
    <s v="Soldagem"/>
    <s v="Operador"/>
    <s v="3º Turno"/>
    <x v="5"/>
    <s v="Sim"/>
    <x v="1"/>
    <d v="2025-04-23T00:00:00"/>
    <d v="2025-04-01T00:00:00"/>
    <s v="qua"/>
    <x v="2"/>
    <x v="1"/>
    <d v="2025-09-24T00:00:00"/>
    <s v="126245770"/>
  </r>
  <r>
    <n v="1262"/>
    <n v="40"/>
    <s v="Masculino"/>
    <s v="Soldagem"/>
    <s v="Operador"/>
    <s v="3º Turno"/>
    <x v="0"/>
    <s v="Sim"/>
    <x v="1"/>
    <d v="2025-08-01T00:00:00"/>
    <d v="2025-08-01T00:00:00"/>
    <s v="sex"/>
    <x v="9"/>
    <x v="1"/>
    <d v="2025-09-24T00:00:00"/>
    <s v="126245870"/>
  </r>
  <r>
    <n v="1262"/>
    <n v="40"/>
    <s v="Masculino"/>
    <s v="Soldagem"/>
    <s v="Operador"/>
    <s v="3º Turno"/>
    <x v="3"/>
    <s v="Sim"/>
    <x v="1"/>
    <d v="2025-08-04T00:00:00"/>
    <d v="2025-08-01T00:00:00"/>
    <s v="seg"/>
    <x v="9"/>
    <x v="1"/>
    <d v="2025-09-24T00:00:00"/>
    <s v="126245873"/>
  </r>
  <r>
    <n v="1262"/>
    <n v="40"/>
    <s v="Masculino"/>
    <s v="Soldagem"/>
    <s v="Operador"/>
    <s v="3º Turno"/>
    <x v="3"/>
    <s v="Sim"/>
    <x v="1"/>
    <d v="2025-08-06T00:00:00"/>
    <d v="2025-08-01T00:00:00"/>
    <s v="qua"/>
    <x v="9"/>
    <x v="1"/>
    <d v="2025-09-24T00:00:00"/>
    <s v="126245875"/>
  </r>
  <r>
    <n v="1262"/>
    <n v="40"/>
    <s v="Masculino"/>
    <s v="Soldagem"/>
    <s v="Operador"/>
    <s v="3º Turno"/>
    <x v="3"/>
    <s v="Sim"/>
    <x v="1"/>
    <d v="2025-09-14T00:00:00"/>
    <d v="2025-09-01T00:00:00"/>
    <s v="dom"/>
    <x v="7"/>
    <x v="1"/>
    <d v="2025-09-24T00:00:00"/>
    <s v="126245914"/>
  </r>
  <r>
    <n v="1263"/>
    <n v="24"/>
    <s v="Feminino"/>
    <s v="Montagem"/>
    <s v="Operador"/>
    <s v="1º Turno"/>
    <x v="2"/>
    <s v="Não"/>
    <x v="1"/>
    <d v="2026-06-04T00:00:00"/>
    <d v="2025-06-01T00:00:00"/>
    <s v="qui"/>
    <x v="1"/>
    <x v="0"/>
    <m/>
    <s v="126346177"/>
  </r>
  <r>
    <n v="1263"/>
    <n v="24"/>
    <s v="Feminino"/>
    <s v="Montagem"/>
    <s v="Operador"/>
    <s v="1º Turno"/>
    <x v="0"/>
    <s v="Não"/>
    <x v="1"/>
    <d v="2025-08-20T00:00:00"/>
    <d v="2025-08-01T00:00:00"/>
    <s v="qua"/>
    <x v="9"/>
    <x v="1"/>
    <m/>
    <s v="126345889"/>
  </r>
  <r>
    <n v="1263"/>
    <n v="24"/>
    <s v="Feminino"/>
    <s v="Montagem"/>
    <s v="Operador"/>
    <s v="1º Turno"/>
    <x v="0"/>
    <s v="Não"/>
    <x v="1"/>
    <d v="2025-09-06T00:00:00"/>
    <d v="2025-09-01T00:00:00"/>
    <s v="sáb"/>
    <x v="7"/>
    <x v="1"/>
    <m/>
    <s v="126345906"/>
  </r>
  <r>
    <n v="1263"/>
    <n v="24"/>
    <s v="Feminino"/>
    <s v="Montagem"/>
    <s v="Operador"/>
    <s v="1º Turno"/>
    <x v="0"/>
    <s v="Não"/>
    <x v="1"/>
    <d v="2025-09-12T00:00:00"/>
    <d v="2025-09-01T00:00:00"/>
    <s v="sex"/>
    <x v="7"/>
    <x v="1"/>
    <m/>
    <s v="126345912"/>
  </r>
  <r>
    <n v="1263"/>
    <n v="24"/>
    <s v="Feminino"/>
    <s v="Montagem"/>
    <s v="Operador"/>
    <s v="1º Turno"/>
    <x v="0"/>
    <s v="Não"/>
    <x v="1"/>
    <d v="2025-12-05T00:00:00"/>
    <d v="2025-12-01T00:00:00"/>
    <s v="sex"/>
    <x v="8"/>
    <x v="1"/>
    <m/>
    <s v="126345996"/>
  </r>
  <r>
    <n v="1264"/>
    <n v="34"/>
    <s v="Feminino"/>
    <s v="Montagem"/>
    <s v="Operador"/>
    <s v="1º Turno"/>
    <x v="2"/>
    <s v="Não"/>
    <x v="0"/>
    <d v="2025-05-09T00:00:00"/>
    <d v="2025-05-01T00:00:00"/>
    <s v="sex"/>
    <x v="0"/>
    <x v="1"/>
    <m/>
    <s v="126445786"/>
  </r>
  <r>
    <n v="1264"/>
    <n v="34"/>
    <s v="Feminino"/>
    <s v="Montagem"/>
    <s v="Operador"/>
    <s v="1º Turno"/>
    <x v="1"/>
    <s v="Não"/>
    <x v="0"/>
    <d v="2026-06-25T00:00:00"/>
    <d v="2025-06-01T00:00:00"/>
    <s v="qui"/>
    <x v="1"/>
    <x v="0"/>
    <m/>
    <s v="126446198"/>
  </r>
  <r>
    <n v="1264"/>
    <n v="34"/>
    <s v="Feminino"/>
    <s v="Montagem"/>
    <s v="Operador"/>
    <s v="1º Turno"/>
    <x v="1"/>
    <s v="Não"/>
    <x v="0"/>
    <d v="2025-07-14T00:00:00"/>
    <d v="2025-07-01T00:00:00"/>
    <s v="seg"/>
    <x v="6"/>
    <x v="1"/>
    <m/>
    <s v="126445852"/>
  </r>
  <r>
    <n v="1264"/>
    <n v="34"/>
    <s v="Feminino"/>
    <s v="Montagem"/>
    <s v="Operador"/>
    <s v="1º Turno"/>
    <x v="1"/>
    <s v="Não"/>
    <x v="0"/>
    <d v="2025-07-28T00:00:00"/>
    <d v="2025-07-01T00:00:00"/>
    <s v="seg"/>
    <x v="6"/>
    <x v="1"/>
    <m/>
    <s v="126445866"/>
  </r>
  <r>
    <n v="1264"/>
    <n v="34"/>
    <s v="Feminino"/>
    <s v="Montagem"/>
    <s v="Operador"/>
    <s v="1º Turno"/>
    <x v="2"/>
    <s v="Não"/>
    <x v="0"/>
    <d v="2025-09-27T00:00:00"/>
    <d v="2025-09-01T00:00:00"/>
    <s v="sáb"/>
    <x v="7"/>
    <x v="1"/>
    <m/>
    <s v="126445927"/>
  </r>
  <r>
    <n v="1264"/>
    <n v="34"/>
    <s v="Feminino"/>
    <s v="Montagem"/>
    <s v="Operador"/>
    <s v="1º Turno"/>
    <x v="2"/>
    <s v="Não"/>
    <x v="0"/>
    <d v="2026-05-09T00:00:00"/>
    <d v="2026-05-01T00:00:00"/>
    <s v="sex"/>
    <x v="0"/>
    <x v="1"/>
    <m/>
    <s v="126446151"/>
  </r>
  <r>
    <n v="1265"/>
    <n v="21"/>
    <s v="Feminino"/>
    <s v="Qualidade"/>
    <s v="Inspetor"/>
    <s v="3º Turno"/>
    <x v="1"/>
    <s v="Não"/>
    <x v="1"/>
    <d v="2025-04-17T00:00:00"/>
    <d v="2025-04-01T00:00:00"/>
    <s v="qui"/>
    <x v="2"/>
    <x v="1"/>
    <m/>
    <s v="126545764"/>
  </r>
  <r>
    <n v="1265"/>
    <n v="21"/>
    <s v="Feminino"/>
    <s v="Qualidade"/>
    <s v="Inspetor"/>
    <s v="3º Turno"/>
    <x v="1"/>
    <s v="Não"/>
    <x v="1"/>
    <d v="2026-06-12T00:00:00"/>
    <d v="2025-06-01T00:00:00"/>
    <s v="sex"/>
    <x v="1"/>
    <x v="0"/>
    <m/>
    <s v="126546185"/>
  </r>
  <r>
    <n v="1265"/>
    <n v="21"/>
    <s v="Feminino"/>
    <s v="Qualidade"/>
    <s v="Inspetor"/>
    <s v="3º Turno"/>
    <x v="1"/>
    <s v="Não"/>
    <x v="1"/>
    <d v="2025-10-17T00:00:00"/>
    <d v="2025-10-01T00:00:00"/>
    <s v="sex"/>
    <x v="11"/>
    <x v="1"/>
    <m/>
    <s v="126545947"/>
  </r>
  <r>
    <n v="1265"/>
    <n v="21"/>
    <s v="Feminino"/>
    <s v="Qualidade"/>
    <s v="Inspetor"/>
    <s v="3º Turno"/>
    <x v="1"/>
    <s v="Não"/>
    <x v="1"/>
    <d v="2025-10-30T00:00:00"/>
    <d v="2025-10-01T00:00:00"/>
    <s v="qui"/>
    <x v="11"/>
    <x v="1"/>
    <m/>
    <s v="126545960"/>
  </r>
  <r>
    <n v="1265"/>
    <n v="21"/>
    <s v="Feminino"/>
    <s v="Qualidade"/>
    <s v="Inspetor"/>
    <s v="3º Turno"/>
    <x v="1"/>
    <s v="Não"/>
    <x v="1"/>
    <d v="2025-11-27T00:00:00"/>
    <d v="2025-11-01T00:00:00"/>
    <s v="qui"/>
    <x v="10"/>
    <x v="1"/>
    <m/>
    <s v="126545988"/>
  </r>
  <r>
    <n v="1265"/>
    <n v="21"/>
    <s v="Feminino"/>
    <s v="Qualidade"/>
    <s v="Inspetor"/>
    <s v="3º Turno"/>
    <x v="1"/>
    <s v="Não"/>
    <x v="1"/>
    <d v="2026-06-26T00:00:00"/>
    <d v="2026-01-01T00:00:00"/>
    <s v="sex"/>
    <x v="1"/>
    <x v="0"/>
    <m/>
    <s v="126546199"/>
  </r>
  <r>
    <n v="1265"/>
    <n v="21"/>
    <s v="Feminino"/>
    <s v="Qualidade"/>
    <s v="Inspetor"/>
    <s v="3º Turno"/>
    <x v="1"/>
    <s v="Não"/>
    <x v="1"/>
    <d v="2026-04-17T00:00:00"/>
    <d v="2026-04-01T00:00:00"/>
    <s v="qui"/>
    <x v="2"/>
    <x v="1"/>
    <m/>
    <s v="126546129"/>
  </r>
  <r>
    <n v="1267"/>
    <n v="42"/>
    <s v="Feminino"/>
    <s v="Soldagem"/>
    <s v="Operador"/>
    <s v="3º Turno"/>
    <x v="4"/>
    <s v="Não"/>
    <x v="2"/>
    <d v="2026-06-26T00:00:00"/>
    <d v="2025-06-01T00:00:00"/>
    <s v="sex"/>
    <x v="1"/>
    <x v="0"/>
    <m/>
    <s v="126746199"/>
  </r>
  <r>
    <n v="1267"/>
    <n v="42"/>
    <s v="Feminino"/>
    <s v="Soldagem"/>
    <s v="Operador"/>
    <s v="3º Turno"/>
    <x v="4"/>
    <s v="Não"/>
    <x v="2"/>
    <d v="2025-07-23T00:00:00"/>
    <d v="2025-07-01T00:00:00"/>
    <s v="qua"/>
    <x v="6"/>
    <x v="1"/>
    <m/>
    <s v="126745861"/>
  </r>
  <r>
    <n v="1267"/>
    <n v="42"/>
    <s v="Feminino"/>
    <s v="Soldagem"/>
    <s v="Operador"/>
    <s v="3º Turno"/>
    <x v="0"/>
    <s v="Não"/>
    <x v="2"/>
    <d v="2025-08-13T00:00:00"/>
    <d v="2025-08-01T00:00:00"/>
    <s v="qua"/>
    <x v="9"/>
    <x v="1"/>
    <m/>
    <s v="126745882"/>
  </r>
  <r>
    <n v="1267"/>
    <n v="42"/>
    <s v="Feminino"/>
    <s v="Soldagem"/>
    <s v="Operador"/>
    <s v="3º Turno"/>
    <x v="0"/>
    <s v="Não"/>
    <x v="2"/>
    <d v="2025-08-17T00:00:00"/>
    <d v="2025-08-01T00:00:00"/>
    <s v="dom"/>
    <x v="9"/>
    <x v="1"/>
    <m/>
    <s v="126745886"/>
  </r>
  <r>
    <n v="1267"/>
    <n v="42"/>
    <s v="Feminino"/>
    <s v="Soldagem"/>
    <s v="Operador"/>
    <s v="3º Turno"/>
    <x v="0"/>
    <s v="Não"/>
    <x v="2"/>
    <d v="2026-02-08T00:00:00"/>
    <d v="2026-02-01T00:00:00"/>
    <s v="dom"/>
    <x v="3"/>
    <x v="0"/>
    <m/>
    <s v="126746061"/>
  </r>
  <r>
    <n v="1268"/>
    <n v="40"/>
    <s v="Masculino"/>
    <s v="Soldagem"/>
    <s v="Operador"/>
    <s v="2º Turno"/>
    <x v="4"/>
    <s v="Não"/>
    <x v="1"/>
    <d v="2025-05-10T00:00:00"/>
    <d v="2025-05-01T00:00:00"/>
    <s v="sáb"/>
    <x v="0"/>
    <x v="1"/>
    <m/>
    <s v="126845787"/>
  </r>
  <r>
    <n v="1268"/>
    <n v="40"/>
    <s v="Masculino"/>
    <s v="Soldagem"/>
    <s v="Operador"/>
    <s v="2º Turno"/>
    <x v="4"/>
    <s v="Não"/>
    <x v="1"/>
    <d v="2025-09-21T00:00:00"/>
    <d v="2025-09-01T00:00:00"/>
    <s v="dom"/>
    <x v="7"/>
    <x v="1"/>
    <m/>
    <s v="126845921"/>
  </r>
  <r>
    <n v="1268"/>
    <n v="40"/>
    <s v="Masculino"/>
    <s v="Soldagem"/>
    <s v="Operador"/>
    <s v="2º Turno"/>
    <x v="4"/>
    <s v="Não"/>
    <x v="1"/>
    <d v="2025-11-29T00:00:00"/>
    <d v="2025-11-01T00:00:00"/>
    <s v="sáb"/>
    <x v="10"/>
    <x v="1"/>
    <m/>
    <s v="126845990"/>
  </r>
  <r>
    <n v="1268"/>
    <n v="40"/>
    <s v="Masculino"/>
    <s v="Soldagem"/>
    <s v="Operador"/>
    <s v="2º Turno"/>
    <x v="4"/>
    <s v="Não"/>
    <x v="1"/>
    <d v="2026-02-18T00:00:00"/>
    <d v="2026-02-01T00:00:00"/>
    <s v="qua"/>
    <x v="3"/>
    <x v="0"/>
    <m/>
    <s v="126846071"/>
  </r>
  <r>
    <n v="1268"/>
    <n v="40"/>
    <s v="Masculino"/>
    <s v="Soldagem"/>
    <s v="Operador"/>
    <s v="2º Turno"/>
    <x v="4"/>
    <s v="Não"/>
    <x v="1"/>
    <d v="2026-03-25T00:00:00"/>
    <d v="2026-03-01T00:00:00"/>
    <s v="qua"/>
    <x v="4"/>
    <x v="0"/>
    <m/>
    <s v="126846106"/>
  </r>
  <r>
    <n v="1268"/>
    <n v="40"/>
    <s v="Masculino"/>
    <s v="Soldagem"/>
    <s v="Operador"/>
    <s v="2º Turno"/>
    <x v="4"/>
    <s v="Não"/>
    <x v="1"/>
    <d v="2026-05-10T00:00:00"/>
    <d v="2026-05-01T00:00:00"/>
    <s v="sáb"/>
    <x v="0"/>
    <x v="1"/>
    <m/>
    <s v="126846152"/>
  </r>
  <r>
    <n v="1269"/>
    <n v="19"/>
    <s v="Masculino"/>
    <s v="Montagem"/>
    <s v="Operador"/>
    <s v="2º Turno"/>
    <x v="0"/>
    <s v="Sim"/>
    <x v="2"/>
    <d v="2025-01-16T00:00:00"/>
    <d v="2025-01-01T00:00:00"/>
    <s v="qui"/>
    <x v="5"/>
    <x v="1"/>
    <d v="2025-08-18T00:00:00"/>
    <s v="126945673"/>
  </r>
  <r>
    <n v="1269"/>
    <n v="19"/>
    <s v="Masculino"/>
    <s v="Montagem"/>
    <s v="Operador"/>
    <s v="2º Turno"/>
    <x v="2"/>
    <s v="Sim"/>
    <x v="2"/>
    <d v="2025-04-18T00:00:00"/>
    <d v="2025-04-01T00:00:00"/>
    <s v="sex"/>
    <x v="2"/>
    <x v="1"/>
    <d v="2025-08-18T00:00:00"/>
    <s v="126945765"/>
  </r>
  <r>
    <n v="1269"/>
    <n v="19"/>
    <s v="Masculino"/>
    <s v="Montagem"/>
    <s v="Operador"/>
    <s v="2º Turno"/>
    <x v="0"/>
    <s v="Sim"/>
    <x v="2"/>
    <d v="2025-04-24T00:00:00"/>
    <d v="2025-04-01T00:00:00"/>
    <s v="qui"/>
    <x v="2"/>
    <x v="1"/>
    <d v="2025-08-18T00:00:00"/>
    <s v="126945771"/>
  </r>
  <r>
    <n v="1269"/>
    <n v="19"/>
    <s v="Masculino"/>
    <s v="Montagem"/>
    <s v="Operador"/>
    <s v="2º Turno"/>
    <x v="2"/>
    <s v="Sim"/>
    <x v="2"/>
    <d v="2025-06-26T00:00:00"/>
    <d v="2025-06-01T00:00:00"/>
    <s v="qui"/>
    <x v="1"/>
    <x v="1"/>
    <d v="2025-08-18T00:00:00"/>
    <s v="126945834"/>
  </r>
  <r>
    <n v="1269"/>
    <n v="19"/>
    <s v="Masculino"/>
    <s v="Montagem"/>
    <s v="Operador"/>
    <s v="2º Turno"/>
    <x v="0"/>
    <s v="Sim"/>
    <x v="2"/>
    <d v="2025-07-24T00:00:00"/>
    <d v="2025-07-01T00:00:00"/>
    <s v="qui"/>
    <x v="6"/>
    <x v="1"/>
    <d v="2025-08-18T00:00:00"/>
    <s v="126945862"/>
  </r>
  <r>
    <n v="1269"/>
    <n v="19"/>
    <s v="Masculino"/>
    <s v="Montagem"/>
    <s v="Operador"/>
    <s v="2º Turno"/>
    <x v="0"/>
    <s v="Sim"/>
    <x v="2"/>
    <d v="2025-08-01T00:00:00"/>
    <d v="2025-08-01T00:00:00"/>
    <s v="sex"/>
    <x v="9"/>
    <x v="1"/>
    <d v="2025-08-18T00:00:00"/>
    <s v="126945870"/>
  </r>
  <r>
    <n v="1270"/>
    <n v="21"/>
    <s v="Feminino"/>
    <s v="Soldagem"/>
    <s v="Operador"/>
    <s v="2º Turno"/>
    <x v="3"/>
    <s v="Não"/>
    <x v="0"/>
    <d v="2025-05-07T00:00:00"/>
    <d v="2025-05-01T00:00:00"/>
    <s v="qua"/>
    <x v="0"/>
    <x v="1"/>
    <m/>
    <s v="127045784"/>
  </r>
  <r>
    <n v="1270"/>
    <n v="21"/>
    <s v="Feminino"/>
    <s v="Soldagem"/>
    <s v="Operador"/>
    <s v="2º Turno"/>
    <x v="3"/>
    <s v="Não"/>
    <x v="0"/>
    <d v="2025-05-08T00:00:00"/>
    <d v="2025-05-01T00:00:00"/>
    <s v="qui"/>
    <x v="0"/>
    <x v="1"/>
    <m/>
    <s v="127045785"/>
  </r>
  <r>
    <n v="1270"/>
    <n v="21"/>
    <s v="Feminino"/>
    <s v="Soldagem"/>
    <s v="Operador"/>
    <s v="2º Turno"/>
    <x v="3"/>
    <s v="Não"/>
    <x v="0"/>
    <d v="2025-05-16T00:00:00"/>
    <d v="2025-05-01T00:00:00"/>
    <s v="sex"/>
    <x v="0"/>
    <x v="1"/>
    <m/>
    <s v="127045793"/>
  </r>
  <r>
    <n v="1270"/>
    <n v="21"/>
    <s v="Feminino"/>
    <s v="Soldagem"/>
    <s v="Operador"/>
    <s v="2º Turno"/>
    <x v="3"/>
    <s v="Não"/>
    <x v="0"/>
    <d v="2026-06-05T00:00:00"/>
    <d v="2025-06-01T00:00:00"/>
    <s v="sex"/>
    <x v="1"/>
    <x v="0"/>
    <m/>
    <s v="127046178"/>
  </r>
  <r>
    <n v="1270"/>
    <n v="21"/>
    <s v="Feminino"/>
    <s v="Soldagem"/>
    <s v="Operador"/>
    <s v="2º Turno"/>
    <x v="0"/>
    <s v="Não"/>
    <x v="0"/>
    <d v="2025-07-27T00:00:00"/>
    <d v="2025-07-01T00:00:00"/>
    <s v="dom"/>
    <x v="6"/>
    <x v="1"/>
    <m/>
    <s v="127045865"/>
  </r>
  <r>
    <n v="1270"/>
    <n v="21"/>
    <s v="Feminino"/>
    <s v="Soldagem"/>
    <s v="Operador"/>
    <s v="2º Turno"/>
    <x v="0"/>
    <s v="Não"/>
    <x v="0"/>
    <d v="2025-07-29T00:00:00"/>
    <d v="2025-07-01T00:00:00"/>
    <s v="ter"/>
    <x v="6"/>
    <x v="1"/>
    <m/>
    <s v="127045867"/>
  </r>
  <r>
    <n v="1270"/>
    <n v="21"/>
    <s v="Feminino"/>
    <s v="Soldagem"/>
    <s v="Operador"/>
    <s v="2º Turno"/>
    <x v="3"/>
    <s v="Não"/>
    <x v="0"/>
    <d v="2026-05-07T00:00:00"/>
    <d v="2026-05-01T00:00:00"/>
    <s v="qua"/>
    <x v="0"/>
    <x v="1"/>
    <m/>
    <s v="127046149"/>
  </r>
  <r>
    <n v="1270"/>
    <n v="21"/>
    <s v="Feminino"/>
    <s v="Soldagem"/>
    <s v="Operador"/>
    <s v="2º Turno"/>
    <x v="3"/>
    <s v="Não"/>
    <x v="0"/>
    <d v="2026-05-08T00:00:00"/>
    <d v="2026-05-01T00:00:00"/>
    <s v="qui"/>
    <x v="0"/>
    <x v="1"/>
    <m/>
    <s v="127046150"/>
  </r>
  <r>
    <n v="1270"/>
    <n v="21"/>
    <s v="Feminino"/>
    <s v="Soldagem"/>
    <s v="Operador"/>
    <s v="2º Turno"/>
    <x v="3"/>
    <s v="Não"/>
    <x v="0"/>
    <d v="2026-05-16T00:00:00"/>
    <d v="2026-05-01T00:00:00"/>
    <s v="sex"/>
    <x v="0"/>
    <x v="1"/>
    <m/>
    <s v="127046158"/>
  </r>
  <r>
    <n v="1271"/>
    <n v="40"/>
    <s v="Feminino"/>
    <s v="Soldagem"/>
    <s v="Operador"/>
    <s v="1º Turno"/>
    <x v="0"/>
    <s v="Não"/>
    <x v="0"/>
    <d v="2025-08-15T00:00:00"/>
    <d v="2025-08-01T00:00:00"/>
    <s v="sex"/>
    <x v="9"/>
    <x v="1"/>
    <m/>
    <s v="127145884"/>
  </r>
  <r>
    <n v="1271"/>
    <n v="40"/>
    <s v="Feminino"/>
    <s v="Soldagem"/>
    <s v="Operador"/>
    <s v="1º Turno"/>
    <x v="0"/>
    <s v="Não"/>
    <x v="0"/>
    <d v="2025-08-29T00:00:00"/>
    <d v="2025-08-01T00:00:00"/>
    <s v="sex"/>
    <x v="9"/>
    <x v="1"/>
    <m/>
    <s v="127145898"/>
  </r>
  <r>
    <n v="1271"/>
    <n v="40"/>
    <s v="Feminino"/>
    <s v="Soldagem"/>
    <s v="Operador"/>
    <s v="1º Turno"/>
    <x v="0"/>
    <s v="Não"/>
    <x v="0"/>
    <d v="2025-10-31T00:00:00"/>
    <d v="2025-10-01T00:00:00"/>
    <s v="sex"/>
    <x v="11"/>
    <x v="1"/>
    <m/>
    <s v="127145961"/>
  </r>
  <r>
    <n v="1271"/>
    <n v="40"/>
    <s v="Feminino"/>
    <s v="Soldagem"/>
    <s v="Operador"/>
    <s v="1º Turno"/>
    <x v="0"/>
    <s v="Não"/>
    <x v="0"/>
    <d v="2025-11-26T00:00:00"/>
    <d v="2025-11-01T00:00:00"/>
    <s v="qua"/>
    <x v="10"/>
    <x v="1"/>
    <m/>
    <s v="127145987"/>
  </r>
  <r>
    <n v="1271"/>
    <n v="40"/>
    <s v="Feminino"/>
    <s v="Soldagem"/>
    <s v="Operador"/>
    <s v="1º Turno"/>
    <x v="0"/>
    <s v="Não"/>
    <x v="0"/>
    <d v="2025-12-05T00:00:00"/>
    <d v="2025-12-01T00:00:00"/>
    <s v="sex"/>
    <x v="8"/>
    <x v="1"/>
    <m/>
    <s v="127145996"/>
  </r>
  <r>
    <n v="1272"/>
    <n v="32"/>
    <s v="Feminino"/>
    <s v="Soldagem"/>
    <s v="Operador"/>
    <s v="1º Turno"/>
    <x v="0"/>
    <s v="Sim"/>
    <x v="1"/>
    <d v="2025-06-14T00:00:00"/>
    <d v="2025-06-01T00:00:00"/>
    <s v="sáb"/>
    <x v="1"/>
    <x v="1"/>
    <d v="2025-12-07T00:00:00"/>
    <s v="127245822"/>
  </r>
  <r>
    <n v="1272"/>
    <n v="32"/>
    <s v="Feminino"/>
    <s v="Soldagem"/>
    <s v="Operador"/>
    <s v="1º Turno"/>
    <x v="0"/>
    <s v="Sim"/>
    <x v="1"/>
    <d v="2025-07-03T00:00:00"/>
    <d v="2025-07-01T00:00:00"/>
    <s v="qui"/>
    <x v="6"/>
    <x v="1"/>
    <d v="2025-12-07T00:00:00"/>
    <s v="127245841"/>
  </r>
  <r>
    <n v="1272"/>
    <n v="32"/>
    <s v="Feminino"/>
    <s v="Soldagem"/>
    <s v="Operador"/>
    <s v="1º Turno"/>
    <x v="0"/>
    <s v="Sim"/>
    <x v="1"/>
    <d v="2025-07-16T00:00:00"/>
    <d v="2025-07-01T00:00:00"/>
    <s v="qua"/>
    <x v="6"/>
    <x v="1"/>
    <d v="2025-12-07T00:00:00"/>
    <s v="127245854"/>
  </r>
  <r>
    <n v="1272"/>
    <n v="32"/>
    <s v="Feminino"/>
    <s v="Soldagem"/>
    <s v="Operador"/>
    <s v="1º Turno"/>
    <x v="0"/>
    <s v="Sim"/>
    <x v="1"/>
    <d v="2025-10-23T00:00:00"/>
    <d v="2025-10-01T00:00:00"/>
    <s v="qui"/>
    <x v="11"/>
    <x v="1"/>
    <d v="2025-12-07T00:00:00"/>
    <s v="127245953"/>
  </r>
  <r>
    <n v="1272"/>
    <n v="32"/>
    <s v="Feminino"/>
    <s v="Soldagem"/>
    <s v="Operador"/>
    <s v="1º Turno"/>
    <x v="0"/>
    <s v="Sim"/>
    <x v="1"/>
    <d v="2025-11-08T00:00:00"/>
    <d v="2025-11-01T00:00:00"/>
    <s v="sáb"/>
    <x v="10"/>
    <x v="1"/>
    <d v="2025-12-07T00:00:00"/>
    <s v="127245969"/>
  </r>
  <r>
    <n v="1272"/>
    <n v="32"/>
    <s v="Feminino"/>
    <s v="Soldagem"/>
    <s v="Operador"/>
    <s v="1º Turno"/>
    <x v="0"/>
    <s v="Sim"/>
    <x v="1"/>
    <d v="2025-11-29T00:00:00"/>
    <d v="2025-11-01T00:00:00"/>
    <s v="sáb"/>
    <x v="10"/>
    <x v="1"/>
    <d v="2025-12-07T00:00:00"/>
    <s v="127245990"/>
  </r>
  <r>
    <n v="1273"/>
    <n v="27"/>
    <s v="Feminino"/>
    <s v="Logistica"/>
    <s v="Operador"/>
    <s v="2º Turno"/>
    <x v="4"/>
    <s v="Não"/>
    <x v="1"/>
    <d v="2025-05-04T00:00:00"/>
    <d v="2025-05-01T00:00:00"/>
    <s v="dom"/>
    <x v="0"/>
    <x v="1"/>
    <m/>
    <s v="127345781"/>
  </r>
  <r>
    <n v="1273"/>
    <n v="27"/>
    <s v="Feminino"/>
    <s v="Logistica"/>
    <s v="Operador"/>
    <s v="2º Turno"/>
    <x v="4"/>
    <s v="Não"/>
    <x v="1"/>
    <d v="2025-05-05T00:00:00"/>
    <d v="2025-05-01T00:00:00"/>
    <s v="seg"/>
    <x v="0"/>
    <x v="1"/>
    <m/>
    <s v="127345782"/>
  </r>
  <r>
    <n v="1273"/>
    <n v="27"/>
    <s v="Feminino"/>
    <s v="Logistica"/>
    <s v="Operador"/>
    <s v="2º Turno"/>
    <x v="4"/>
    <s v="Não"/>
    <x v="1"/>
    <d v="2026-06-09T00:00:00"/>
    <d v="2025-06-01T00:00:00"/>
    <s v="ter"/>
    <x v="1"/>
    <x v="0"/>
    <m/>
    <s v="127346182"/>
  </r>
  <r>
    <n v="1273"/>
    <n v="27"/>
    <s v="Feminino"/>
    <s v="Logistica"/>
    <s v="Operador"/>
    <s v="2º Turno"/>
    <x v="4"/>
    <s v="Não"/>
    <x v="1"/>
    <d v="2025-10-11T00:00:00"/>
    <d v="2025-10-01T00:00:00"/>
    <s v="sáb"/>
    <x v="11"/>
    <x v="1"/>
    <m/>
    <s v="127345941"/>
  </r>
  <r>
    <n v="1273"/>
    <n v="27"/>
    <s v="Feminino"/>
    <s v="Logistica"/>
    <s v="Operador"/>
    <s v="2º Turno"/>
    <x v="4"/>
    <s v="Não"/>
    <x v="1"/>
    <d v="2025-10-16T00:00:00"/>
    <d v="2025-10-01T00:00:00"/>
    <s v="qui"/>
    <x v="11"/>
    <x v="1"/>
    <m/>
    <s v="127345946"/>
  </r>
  <r>
    <n v="1273"/>
    <n v="27"/>
    <s v="Feminino"/>
    <s v="Logistica"/>
    <s v="Operador"/>
    <s v="2º Turno"/>
    <x v="4"/>
    <s v="Não"/>
    <x v="1"/>
    <d v="2026-06-19T00:00:00"/>
    <d v="2026-01-01T00:00:00"/>
    <s v="sex"/>
    <x v="1"/>
    <x v="0"/>
    <m/>
    <s v="127346192"/>
  </r>
  <r>
    <n v="1273"/>
    <n v="27"/>
    <s v="Feminino"/>
    <s v="Logistica"/>
    <s v="Operador"/>
    <s v="2º Turno"/>
    <x v="4"/>
    <s v="Não"/>
    <x v="1"/>
    <d v="2026-05-04T00:00:00"/>
    <d v="2026-05-01T00:00:00"/>
    <s v="dom"/>
    <x v="0"/>
    <x v="1"/>
    <m/>
    <s v="127346146"/>
  </r>
  <r>
    <n v="1273"/>
    <n v="27"/>
    <s v="Feminino"/>
    <s v="Logistica"/>
    <s v="Operador"/>
    <s v="2º Turno"/>
    <x v="4"/>
    <s v="Não"/>
    <x v="1"/>
    <d v="2026-05-05T00:00:00"/>
    <d v="2026-05-01T00:00:00"/>
    <s v="seg"/>
    <x v="0"/>
    <x v="1"/>
    <m/>
    <s v="127346147"/>
  </r>
  <r>
    <n v="1274"/>
    <n v="45"/>
    <s v="Masculino"/>
    <s v="Pintura"/>
    <s v="Operador"/>
    <s v="1º Turno"/>
    <x v="0"/>
    <s v="Não"/>
    <x v="0"/>
    <d v="2025-07-13T00:00:00"/>
    <d v="2025-07-01T00:00:00"/>
    <s v="dom"/>
    <x v="6"/>
    <x v="1"/>
    <m/>
    <s v="127445851"/>
  </r>
  <r>
    <n v="1274"/>
    <n v="45"/>
    <s v="Masculino"/>
    <s v="Pintura"/>
    <s v="Operador"/>
    <s v="1º Turno"/>
    <x v="4"/>
    <s v="Não"/>
    <x v="0"/>
    <d v="2025-07-26T00:00:00"/>
    <d v="2025-07-01T00:00:00"/>
    <s v="sáb"/>
    <x v="6"/>
    <x v="1"/>
    <m/>
    <s v="127445864"/>
  </r>
  <r>
    <n v="1274"/>
    <n v="45"/>
    <s v="Masculino"/>
    <s v="Pintura"/>
    <s v="Operador"/>
    <s v="1º Turno"/>
    <x v="0"/>
    <s v="Não"/>
    <x v="0"/>
    <d v="2025-09-23T00:00:00"/>
    <d v="2025-09-01T00:00:00"/>
    <s v="ter"/>
    <x v="7"/>
    <x v="1"/>
    <m/>
    <s v="127445923"/>
  </r>
  <r>
    <n v="1274"/>
    <n v="45"/>
    <s v="Masculino"/>
    <s v="Pintura"/>
    <s v="Operador"/>
    <s v="1º Turno"/>
    <x v="0"/>
    <s v="Não"/>
    <x v="0"/>
    <d v="2025-12-16T00:00:00"/>
    <d v="2025-12-01T00:00:00"/>
    <s v="ter"/>
    <x v="8"/>
    <x v="1"/>
    <m/>
    <s v="127446007"/>
  </r>
  <r>
    <n v="1274"/>
    <n v="45"/>
    <s v="Masculino"/>
    <s v="Pintura"/>
    <s v="Operador"/>
    <s v="1º Turno"/>
    <x v="0"/>
    <s v="Não"/>
    <x v="0"/>
    <d v="2025-12-30T00:00:00"/>
    <d v="2025-12-01T00:00:00"/>
    <s v="ter"/>
    <x v="8"/>
    <x v="1"/>
    <m/>
    <s v="127446021"/>
  </r>
  <r>
    <n v="1274"/>
    <n v="45"/>
    <s v="Masculino"/>
    <s v="Pintura"/>
    <s v="Operador"/>
    <s v="1º Turno"/>
    <x v="0"/>
    <s v="Não"/>
    <x v="0"/>
    <d v="2026-03-12T00:00:00"/>
    <d v="2026-03-01T00:00:00"/>
    <s v="qui"/>
    <x v="4"/>
    <x v="0"/>
    <m/>
    <s v="127446093"/>
  </r>
  <r>
    <n v="1275"/>
    <n v="36"/>
    <s v="Feminino"/>
    <s v="Montagem"/>
    <s v="Operador"/>
    <s v="1º Turno"/>
    <x v="1"/>
    <s v="Não"/>
    <x v="2"/>
    <d v="2025-04-24T00:00:00"/>
    <d v="2025-04-01T00:00:00"/>
    <s v="qui"/>
    <x v="2"/>
    <x v="1"/>
    <m/>
    <s v="127545771"/>
  </r>
  <r>
    <n v="1275"/>
    <n v="36"/>
    <s v="Feminino"/>
    <s v="Montagem"/>
    <s v="Operador"/>
    <s v="1º Turno"/>
    <x v="2"/>
    <s v="Não"/>
    <x v="2"/>
    <d v="2025-05-03T00:00:00"/>
    <d v="2025-05-01T00:00:00"/>
    <s v="sáb"/>
    <x v="0"/>
    <x v="1"/>
    <m/>
    <s v="127545780"/>
  </r>
  <r>
    <n v="1275"/>
    <n v="36"/>
    <s v="Feminino"/>
    <s v="Montagem"/>
    <s v="Operador"/>
    <s v="1º Turno"/>
    <x v="1"/>
    <s v="Não"/>
    <x v="2"/>
    <d v="2025-07-31T00:00:00"/>
    <d v="2025-07-01T00:00:00"/>
    <s v="qui"/>
    <x v="6"/>
    <x v="1"/>
    <m/>
    <s v="127545869"/>
  </r>
  <r>
    <n v="1275"/>
    <n v="36"/>
    <s v="Feminino"/>
    <s v="Montagem"/>
    <s v="Operador"/>
    <s v="1º Turno"/>
    <x v="2"/>
    <s v="Não"/>
    <x v="2"/>
    <d v="2025-09-26T00:00:00"/>
    <d v="2025-09-01T00:00:00"/>
    <s v="sex"/>
    <x v="7"/>
    <x v="1"/>
    <m/>
    <s v="127545926"/>
  </r>
  <r>
    <n v="1275"/>
    <n v="36"/>
    <s v="Feminino"/>
    <s v="Montagem"/>
    <s v="Operador"/>
    <s v="1º Turno"/>
    <x v="0"/>
    <s v="Não"/>
    <x v="2"/>
    <d v="2026-06-07T00:00:00"/>
    <d v="2026-01-01T00:00:00"/>
    <s v="dom"/>
    <x v="1"/>
    <x v="0"/>
    <m/>
    <s v="127546180"/>
  </r>
  <r>
    <n v="1275"/>
    <n v="36"/>
    <s v="Feminino"/>
    <s v="Montagem"/>
    <s v="Operador"/>
    <s v="1º Turno"/>
    <x v="2"/>
    <s v="Não"/>
    <x v="2"/>
    <d v="2026-02-06T00:00:00"/>
    <d v="2026-02-01T00:00:00"/>
    <s v="sex"/>
    <x v="3"/>
    <x v="0"/>
    <m/>
    <s v="127546059"/>
  </r>
  <r>
    <n v="1275"/>
    <n v="36"/>
    <s v="Feminino"/>
    <s v="Montagem"/>
    <s v="Operador"/>
    <s v="1º Turno"/>
    <x v="1"/>
    <s v="Não"/>
    <x v="2"/>
    <d v="2026-04-24T00:00:00"/>
    <d v="2026-04-01T00:00:00"/>
    <s v="qui"/>
    <x v="2"/>
    <x v="1"/>
    <m/>
    <s v="127546136"/>
  </r>
  <r>
    <n v="1275"/>
    <n v="36"/>
    <s v="Feminino"/>
    <s v="Montagem"/>
    <s v="Operador"/>
    <s v="1º Turno"/>
    <x v="2"/>
    <s v="Não"/>
    <x v="2"/>
    <d v="2026-05-03T00:00:00"/>
    <d v="2026-05-01T00:00:00"/>
    <s v="sáb"/>
    <x v="0"/>
    <x v="1"/>
    <m/>
    <s v="127546145"/>
  </r>
  <r>
    <n v="1276"/>
    <n v="57"/>
    <s v="Feminino"/>
    <s v="Pintura"/>
    <s v="Operador"/>
    <s v="1º Turno"/>
    <x v="1"/>
    <s v="Sim"/>
    <x v="0"/>
    <d v="2025-08-12T00:00:00"/>
    <d v="2025-08-01T00:00:00"/>
    <s v="ter"/>
    <x v="9"/>
    <x v="1"/>
    <d v="2025-12-21T00:00:00"/>
    <s v="127645881"/>
  </r>
  <r>
    <n v="1276"/>
    <n v="57"/>
    <s v="Feminino"/>
    <s v="Pintura"/>
    <s v="Operador"/>
    <s v="1º Turno"/>
    <x v="1"/>
    <s v="Sim"/>
    <x v="0"/>
    <d v="2025-10-07T00:00:00"/>
    <d v="2025-10-01T00:00:00"/>
    <s v="ter"/>
    <x v="11"/>
    <x v="1"/>
    <d v="2025-12-21T00:00:00"/>
    <s v="127645937"/>
  </r>
  <r>
    <n v="1276"/>
    <n v="57"/>
    <s v="Feminino"/>
    <s v="Pintura"/>
    <s v="Operador"/>
    <s v="1º Turno"/>
    <x v="1"/>
    <s v="Sim"/>
    <x v="0"/>
    <d v="2025-10-08T00:00:00"/>
    <d v="2025-10-01T00:00:00"/>
    <s v="qua"/>
    <x v="11"/>
    <x v="1"/>
    <d v="2025-12-21T00:00:00"/>
    <s v="127645938"/>
  </r>
  <r>
    <n v="1276"/>
    <n v="57"/>
    <s v="Feminino"/>
    <s v="Pintura"/>
    <s v="Operador"/>
    <s v="1º Turno"/>
    <x v="1"/>
    <s v="Sim"/>
    <x v="0"/>
    <d v="2025-11-03T00:00:00"/>
    <d v="2025-11-01T00:00:00"/>
    <s v="seg"/>
    <x v="10"/>
    <x v="1"/>
    <d v="2025-12-21T00:00:00"/>
    <s v="127645964"/>
  </r>
  <r>
    <n v="1276"/>
    <n v="57"/>
    <s v="Feminino"/>
    <s v="Pintura"/>
    <s v="Operador"/>
    <s v="1º Turno"/>
    <x v="1"/>
    <s v="Sim"/>
    <x v="0"/>
    <d v="2025-11-24T00:00:00"/>
    <d v="2025-11-01T00:00:00"/>
    <s v="seg"/>
    <x v="10"/>
    <x v="1"/>
    <d v="2025-12-21T00:00:00"/>
    <s v="127645985"/>
  </r>
  <r>
    <n v="1277"/>
    <n v="23"/>
    <s v="Masculino"/>
    <s v="Soldagem"/>
    <s v="Operador"/>
    <s v="2º Turno"/>
    <x v="0"/>
    <s v="Sim"/>
    <x v="1"/>
    <d v="2025-09-13T00:00:00"/>
    <d v="2025-09-01T00:00:00"/>
    <s v="sáb"/>
    <x v="7"/>
    <x v="1"/>
    <d v="2026-06-19T00:00:00"/>
    <s v="127745913"/>
  </r>
  <r>
    <n v="1277"/>
    <n v="23"/>
    <s v="Masculino"/>
    <s v="Soldagem"/>
    <s v="Operador"/>
    <s v="2º Turno"/>
    <x v="0"/>
    <s v="Sim"/>
    <x v="1"/>
    <d v="2025-10-09T00:00:00"/>
    <d v="2025-10-01T00:00:00"/>
    <s v="qui"/>
    <x v="11"/>
    <x v="1"/>
    <d v="2026-06-19T00:00:00"/>
    <s v="127745939"/>
  </r>
  <r>
    <n v="1277"/>
    <n v="23"/>
    <s v="Masculino"/>
    <s v="Soldagem"/>
    <s v="Operador"/>
    <s v="2º Turno"/>
    <x v="0"/>
    <s v="Sim"/>
    <x v="1"/>
    <d v="2025-10-13T00:00:00"/>
    <d v="2025-10-01T00:00:00"/>
    <s v="seg"/>
    <x v="11"/>
    <x v="1"/>
    <d v="2026-06-19T00:00:00"/>
    <s v="127745943"/>
  </r>
  <r>
    <n v="1277"/>
    <n v="23"/>
    <s v="Masculino"/>
    <s v="Soldagem"/>
    <s v="Operador"/>
    <s v="2º Turno"/>
    <x v="1"/>
    <s v="Sim"/>
    <x v="1"/>
    <d v="2026-06-23T00:00:00"/>
    <d v="2026-01-01T00:00:00"/>
    <s v="ter"/>
    <x v="1"/>
    <x v="0"/>
    <d v="2026-06-19T00:00:00"/>
    <s v="127746196"/>
  </r>
  <r>
    <n v="1277"/>
    <n v="23"/>
    <s v="Masculino"/>
    <s v="Soldagem"/>
    <s v="Operador"/>
    <s v="2º Turno"/>
    <x v="0"/>
    <s v="Sim"/>
    <x v="1"/>
    <d v="2026-06-28T00:00:00"/>
    <d v="2026-01-01T00:00:00"/>
    <s v="dom"/>
    <x v="1"/>
    <x v="0"/>
    <d v="2026-06-19T00:00:00"/>
    <s v="127746201"/>
  </r>
  <r>
    <n v="1277"/>
    <n v="23"/>
    <s v="Masculino"/>
    <s v="Soldagem"/>
    <s v="Operador"/>
    <s v="2º Turno"/>
    <x v="1"/>
    <s v="Sim"/>
    <x v="1"/>
    <d v="2026-03-09T00:00:00"/>
    <d v="2026-03-01T00:00:00"/>
    <s v="seg"/>
    <x v="4"/>
    <x v="0"/>
    <d v="2026-06-19T00:00:00"/>
    <s v="127746090"/>
  </r>
  <r>
    <n v="1279"/>
    <n v="22"/>
    <s v="Feminino"/>
    <s v="Montagem"/>
    <s v="Operador"/>
    <s v="2º Turno"/>
    <x v="4"/>
    <s v="Não"/>
    <x v="1"/>
    <d v="2025-04-21T00:00:00"/>
    <d v="2025-04-01T00:00:00"/>
    <s v="seg"/>
    <x v="2"/>
    <x v="1"/>
    <m/>
    <s v="127945768"/>
  </r>
  <r>
    <n v="1279"/>
    <n v="22"/>
    <s v="Feminino"/>
    <s v="Montagem"/>
    <s v="Operador"/>
    <s v="2º Turno"/>
    <x v="4"/>
    <s v="Não"/>
    <x v="1"/>
    <d v="2025-06-20T00:00:00"/>
    <d v="2025-06-01T00:00:00"/>
    <s v="sex"/>
    <x v="1"/>
    <x v="1"/>
    <m/>
    <s v="127945828"/>
  </r>
  <r>
    <n v="1279"/>
    <n v="22"/>
    <s v="Feminino"/>
    <s v="Montagem"/>
    <s v="Operador"/>
    <s v="2º Turno"/>
    <x v="4"/>
    <s v="Não"/>
    <x v="1"/>
    <d v="2025-08-13T00:00:00"/>
    <d v="2025-08-01T00:00:00"/>
    <s v="qua"/>
    <x v="9"/>
    <x v="1"/>
    <m/>
    <s v="127945882"/>
  </r>
  <r>
    <n v="1279"/>
    <n v="22"/>
    <s v="Feminino"/>
    <s v="Montagem"/>
    <s v="Operador"/>
    <s v="2º Turno"/>
    <x v="4"/>
    <s v="Não"/>
    <x v="1"/>
    <d v="2025-12-27T00:00:00"/>
    <d v="2025-12-01T00:00:00"/>
    <s v="sáb"/>
    <x v="8"/>
    <x v="1"/>
    <m/>
    <s v="127946018"/>
  </r>
  <r>
    <n v="1279"/>
    <n v="22"/>
    <s v="Feminino"/>
    <s v="Montagem"/>
    <s v="Operador"/>
    <s v="2º Turno"/>
    <x v="4"/>
    <s v="Não"/>
    <x v="1"/>
    <d v="2026-06-09T00:00:00"/>
    <d v="2026-01-01T00:00:00"/>
    <s v="ter"/>
    <x v="1"/>
    <x v="0"/>
    <m/>
    <s v="127946182"/>
  </r>
  <r>
    <n v="1279"/>
    <n v="22"/>
    <s v="Feminino"/>
    <s v="Montagem"/>
    <s v="Operador"/>
    <s v="2º Turno"/>
    <x v="4"/>
    <s v="Não"/>
    <x v="1"/>
    <d v="2026-04-21T00:00:00"/>
    <d v="2026-04-01T00:00:00"/>
    <s v="seg"/>
    <x v="2"/>
    <x v="1"/>
    <m/>
    <s v="127946133"/>
  </r>
  <r>
    <n v="1280"/>
    <n v="23"/>
    <s v="Masculino"/>
    <s v="Soldagem"/>
    <s v="Operador"/>
    <s v="3º Turno"/>
    <x v="0"/>
    <s v="Sim"/>
    <x v="0"/>
    <d v="2025-05-05T00:00:00"/>
    <d v="2025-05-01T00:00:00"/>
    <s v="seg"/>
    <x v="0"/>
    <x v="1"/>
    <d v="2025-11-21T00:00:00"/>
    <s v="128045782"/>
  </r>
  <r>
    <n v="1280"/>
    <n v="23"/>
    <s v="Masculino"/>
    <s v="Soldagem"/>
    <s v="Operador"/>
    <s v="3º Turno"/>
    <x v="0"/>
    <s v="Sim"/>
    <x v="0"/>
    <d v="2025-05-24T00:00:00"/>
    <d v="2025-05-01T00:00:00"/>
    <s v="sáb"/>
    <x v="0"/>
    <x v="1"/>
    <d v="2025-11-21T00:00:00"/>
    <s v="128045801"/>
  </r>
  <r>
    <n v="1280"/>
    <n v="23"/>
    <s v="Masculino"/>
    <s v="Soldagem"/>
    <s v="Operador"/>
    <s v="3º Turno"/>
    <x v="0"/>
    <s v="Sim"/>
    <x v="0"/>
    <d v="2025-07-02T00:00:00"/>
    <d v="2025-07-01T00:00:00"/>
    <s v="qua"/>
    <x v="6"/>
    <x v="1"/>
    <d v="2025-11-21T00:00:00"/>
    <s v="128045840"/>
  </r>
  <r>
    <n v="1280"/>
    <n v="23"/>
    <s v="Masculino"/>
    <s v="Soldagem"/>
    <s v="Operador"/>
    <s v="3º Turno"/>
    <x v="3"/>
    <s v="Sim"/>
    <x v="0"/>
    <d v="2025-10-06T00:00:00"/>
    <d v="2025-10-01T00:00:00"/>
    <s v="seg"/>
    <x v="11"/>
    <x v="1"/>
    <d v="2025-11-21T00:00:00"/>
    <s v="128045936"/>
  </r>
  <r>
    <n v="1280"/>
    <n v="23"/>
    <s v="Masculino"/>
    <s v="Soldagem"/>
    <s v="Operador"/>
    <s v="3º Turno"/>
    <x v="3"/>
    <s v="Sim"/>
    <x v="0"/>
    <d v="2025-10-07T00:00:00"/>
    <d v="2025-10-01T00:00:00"/>
    <s v="ter"/>
    <x v="11"/>
    <x v="1"/>
    <d v="2025-11-21T00:00:00"/>
    <s v="128045937"/>
  </r>
  <r>
    <n v="1280"/>
    <n v="23"/>
    <s v="Masculino"/>
    <s v="Soldagem"/>
    <s v="Operador"/>
    <s v="3º Turno"/>
    <x v="3"/>
    <s v="Sim"/>
    <x v="0"/>
    <d v="2025-10-08T00:00:00"/>
    <d v="2025-10-01T00:00:00"/>
    <s v="qua"/>
    <x v="11"/>
    <x v="1"/>
    <d v="2025-11-21T00:00:00"/>
    <s v="128045938"/>
  </r>
  <r>
    <n v="1281"/>
    <n v="24"/>
    <s v="Masculino"/>
    <s v="Montagem"/>
    <s v="Operador"/>
    <s v="1º Turno"/>
    <x v="5"/>
    <s v="Sim"/>
    <x v="1"/>
    <d v="2025-01-19T00:00:00"/>
    <d v="2025-01-01T00:00:00"/>
    <s v="dom"/>
    <x v="5"/>
    <x v="1"/>
    <d v="2025-07-01T00:00:00"/>
    <s v="128145676"/>
  </r>
  <r>
    <n v="1281"/>
    <n v="24"/>
    <s v="Masculino"/>
    <s v="Montagem"/>
    <s v="Operador"/>
    <s v="1º Turno"/>
    <x v="3"/>
    <s v="Sim"/>
    <x v="1"/>
    <d v="2025-05-20T00:00:00"/>
    <d v="2025-05-01T00:00:00"/>
    <s v="ter"/>
    <x v="0"/>
    <x v="1"/>
    <d v="2025-07-01T00:00:00"/>
    <s v="128145797"/>
  </r>
  <r>
    <n v="1281"/>
    <n v="24"/>
    <s v="Masculino"/>
    <s v="Montagem"/>
    <s v="Operador"/>
    <s v="1º Turno"/>
    <x v="3"/>
    <s v="Sim"/>
    <x v="1"/>
    <d v="2025-06-18T00:00:00"/>
    <d v="2025-06-01T00:00:00"/>
    <s v="qua"/>
    <x v="1"/>
    <x v="1"/>
    <d v="2025-07-01T00:00:00"/>
    <s v="128145826"/>
  </r>
  <r>
    <n v="1281"/>
    <n v="24"/>
    <s v="Masculino"/>
    <s v="Montagem"/>
    <s v="Operador"/>
    <s v="1º Turno"/>
    <x v="2"/>
    <s v="Sim"/>
    <x v="1"/>
    <d v="2025-06-19T00:00:00"/>
    <d v="2025-06-01T00:00:00"/>
    <s v="qui"/>
    <x v="1"/>
    <x v="1"/>
    <d v="2025-07-01T00:00:00"/>
    <s v="128145827"/>
  </r>
  <r>
    <n v="1281"/>
    <n v="24"/>
    <s v="Masculino"/>
    <s v="Montagem"/>
    <s v="Operador"/>
    <s v="1º Turno"/>
    <x v="3"/>
    <s v="Sim"/>
    <x v="1"/>
    <d v="2025-06-21T00:00:00"/>
    <d v="2025-06-01T00:00:00"/>
    <s v="sáb"/>
    <x v="1"/>
    <x v="1"/>
    <d v="2025-07-01T00:00:00"/>
    <s v="128145829"/>
  </r>
  <r>
    <n v="1281"/>
    <n v="24"/>
    <s v="Masculino"/>
    <s v="Montagem"/>
    <s v="Operador"/>
    <s v="1º Turno"/>
    <x v="3"/>
    <s v="Sim"/>
    <x v="1"/>
    <d v="2025-06-30T00:00:00"/>
    <d v="2025-06-01T00:00:00"/>
    <s v="seg"/>
    <x v="1"/>
    <x v="1"/>
    <d v="2025-07-01T00:00:00"/>
    <s v="128145838"/>
  </r>
  <r>
    <n v="1282"/>
    <n v="54"/>
    <s v="Masculino"/>
    <s v="Montagem"/>
    <s v="Operador"/>
    <s v="2º Turno"/>
    <x v="0"/>
    <s v="Sim"/>
    <x v="2"/>
    <d v="2025-04-28T00:00:00"/>
    <d v="2025-04-01T00:00:00"/>
    <s v="seg"/>
    <x v="2"/>
    <x v="1"/>
    <d v="2025-12-28T00:00:00"/>
    <s v="128245775"/>
  </r>
  <r>
    <n v="1282"/>
    <n v="54"/>
    <s v="Masculino"/>
    <s v="Montagem"/>
    <s v="Operador"/>
    <s v="2º Turno"/>
    <x v="0"/>
    <s v="Sim"/>
    <x v="2"/>
    <d v="2025-06-15T00:00:00"/>
    <d v="2025-06-01T00:00:00"/>
    <s v="dom"/>
    <x v="1"/>
    <x v="1"/>
    <d v="2025-12-28T00:00:00"/>
    <s v="128245823"/>
  </r>
  <r>
    <n v="1282"/>
    <n v="54"/>
    <s v="Masculino"/>
    <s v="Montagem"/>
    <s v="Operador"/>
    <s v="2º Turno"/>
    <x v="0"/>
    <s v="Sim"/>
    <x v="2"/>
    <d v="2025-06-22T00:00:00"/>
    <d v="2025-06-01T00:00:00"/>
    <s v="dom"/>
    <x v="1"/>
    <x v="1"/>
    <d v="2025-12-28T00:00:00"/>
    <s v="128245830"/>
  </r>
  <r>
    <n v="1282"/>
    <n v="54"/>
    <s v="Masculino"/>
    <s v="Montagem"/>
    <s v="Operador"/>
    <s v="2º Turno"/>
    <x v="0"/>
    <s v="Sim"/>
    <x v="2"/>
    <d v="2025-07-27T00:00:00"/>
    <d v="2025-07-01T00:00:00"/>
    <s v="dom"/>
    <x v="6"/>
    <x v="1"/>
    <d v="2025-12-28T00:00:00"/>
    <s v="128245865"/>
  </r>
  <r>
    <n v="1282"/>
    <n v="54"/>
    <s v="Masculino"/>
    <s v="Montagem"/>
    <s v="Operador"/>
    <s v="2º Turno"/>
    <x v="0"/>
    <s v="Sim"/>
    <x v="2"/>
    <d v="2025-08-03T00:00:00"/>
    <d v="2025-08-01T00:00:00"/>
    <s v="dom"/>
    <x v="9"/>
    <x v="1"/>
    <d v="2025-12-28T00:00:00"/>
    <s v="128245872"/>
  </r>
  <r>
    <n v="1282"/>
    <n v="54"/>
    <s v="Masculino"/>
    <s v="Montagem"/>
    <s v="Operador"/>
    <s v="2º Turno"/>
    <x v="0"/>
    <s v="Sim"/>
    <x v="2"/>
    <d v="2025-11-08T00:00:00"/>
    <d v="2025-11-01T00:00:00"/>
    <s v="sáb"/>
    <x v="10"/>
    <x v="1"/>
    <d v="2025-12-28T00:00:00"/>
    <s v="128245969"/>
  </r>
  <r>
    <n v="1283"/>
    <n v="28"/>
    <s v="Masculino"/>
    <s v="Qualidade"/>
    <s v="Inspetor"/>
    <s v="1º Turno"/>
    <x v="0"/>
    <s v="Sim"/>
    <x v="1"/>
    <d v="2025-05-21T00:00:00"/>
    <d v="2025-05-01T00:00:00"/>
    <s v="qua"/>
    <x v="0"/>
    <x v="1"/>
    <d v="2025-08-20T00:00:00"/>
    <s v="128345798"/>
  </r>
  <r>
    <n v="1283"/>
    <n v="28"/>
    <s v="Masculino"/>
    <s v="Qualidade"/>
    <s v="Inspetor"/>
    <s v="1º Turno"/>
    <x v="0"/>
    <s v="Sim"/>
    <x v="1"/>
    <d v="2025-05-30T00:00:00"/>
    <d v="2025-05-01T00:00:00"/>
    <s v="sex"/>
    <x v="0"/>
    <x v="1"/>
    <d v="2025-08-20T00:00:00"/>
    <s v="128345807"/>
  </r>
  <r>
    <n v="1283"/>
    <n v="28"/>
    <s v="Masculino"/>
    <s v="Qualidade"/>
    <s v="Inspetor"/>
    <s v="1º Turno"/>
    <x v="0"/>
    <s v="Sim"/>
    <x v="1"/>
    <d v="2025-06-14T00:00:00"/>
    <d v="2025-06-01T00:00:00"/>
    <s v="sáb"/>
    <x v="1"/>
    <x v="1"/>
    <d v="2025-08-20T00:00:00"/>
    <s v="128345822"/>
  </r>
  <r>
    <n v="1283"/>
    <n v="28"/>
    <s v="Masculino"/>
    <s v="Qualidade"/>
    <s v="Inspetor"/>
    <s v="1º Turno"/>
    <x v="0"/>
    <s v="Sim"/>
    <x v="1"/>
    <d v="2025-07-02T00:00:00"/>
    <d v="2025-07-01T00:00:00"/>
    <s v="qua"/>
    <x v="6"/>
    <x v="1"/>
    <d v="2025-08-20T00:00:00"/>
    <s v="128345840"/>
  </r>
  <r>
    <n v="1283"/>
    <n v="28"/>
    <s v="Masculino"/>
    <s v="Qualidade"/>
    <s v="Inspetor"/>
    <s v="1º Turno"/>
    <x v="0"/>
    <s v="Sim"/>
    <x v="1"/>
    <d v="2025-07-24T00:00:00"/>
    <d v="2025-07-01T00:00:00"/>
    <s v="qui"/>
    <x v="6"/>
    <x v="1"/>
    <d v="2025-08-20T00:00:00"/>
    <s v="128345862"/>
  </r>
  <r>
    <n v="1284"/>
    <n v="42"/>
    <s v="Masculino"/>
    <s v="Montagem"/>
    <s v="Operador"/>
    <s v="1º Turno"/>
    <x v="0"/>
    <s v="Sim"/>
    <x v="0"/>
    <d v="2025-06-14T00:00:00"/>
    <d v="2025-06-01T00:00:00"/>
    <s v="sáb"/>
    <x v="1"/>
    <x v="1"/>
    <d v="2025-09-15T00:00:00"/>
    <s v="128445822"/>
  </r>
  <r>
    <n v="1284"/>
    <n v="42"/>
    <s v="Masculino"/>
    <s v="Montagem"/>
    <s v="Operador"/>
    <s v="1º Turno"/>
    <x v="0"/>
    <s v="Sim"/>
    <x v="0"/>
    <d v="2025-07-09T00:00:00"/>
    <d v="2025-07-01T00:00:00"/>
    <s v="qua"/>
    <x v="6"/>
    <x v="1"/>
    <d v="2025-09-15T00:00:00"/>
    <s v="128445847"/>
  </r>
  <r>
    <n v="1284"/>
    <n v="42"/>
    <s v="Masculino"/>
    <s v="Montagem"/>
    <s v="Operador"/>
    <s v="1º Turno"/>
    <x v="3"/>
    <s v="Sim"/>
    <x v="0"/>
    <d v="2025-08-04T00:00:00"/>
    <d v="2025-08-01T00:00:00"/>
    <s v="seg"/>
    <x v="9"/>
    <x v="1"/>
    <d v="2025-09-15T00:00:00"/>
    <s v="128445873"/>
  </r>
  <r>
    <n v="1284"/>
    <n v="42"/>
    <s v="Masculino"/>
    <s v="Montagem"/>
    <s v="Operador"/>
    <s v="1º Turno"/>
    <x v="3"/>
    <s v="Sim"/>
    <x v="0"/>
    <d v="2025-08-06T00:00:00"/>
    <d v="2025-08-01T00:00:00"/>
    <s v="qua"/>
    <x v="9"/>
    <x v="1"/>
    <d v="2025-09-15T00:00:00"/>
    <s v="128445875"/>
  </r>
  <r>
    <n v="1284"/>
    <n v="42"/>
    <s v="Masculino"/>
    <s v="Montagem"/>
    <s v="Operador"/>
    <s v="1º Turno"/>
    <x v="3"/>
    <s v="Sim"/>
    <x v="0"/>
    <d v="2025-08-10T00:00:00"/>
    <d v="2025-08-01T00:00:00"/>
    <s v="dom"/>
    <x v="9"/>
    <x v="1"/>
    <d v="2025-09-15T00:00:00"/>
    <s v="128445879"/>
  </r>
  <r>
    <n v="1284"/>
    <n v="42"/>
    <s v="Masculino"/>
    <s v="Montagem"/>
    <s v="Operador"/>
    <s v="1º Turno"/>
    <x v="3"/>
    <s v="Sim"/>
    <x v="0"/>
    <d v="2025-09-03T00:00:00"/>
    <d v="2025-09-01T00:00:00"/>
    <s v="qua"/>
    <x v="7"/>
    <x v="1"/>
    <d v="2025-09-15T00:00:00"/>
    <s v="128445903"/>
  </r>
  <r>
    <n v="1285"/>
    <n v="24"/>
    <s v="Feminino"/>
    <s v="Pintura"/>
    <s v="Operador"/>
    <s v="3º Turno"/>
    <x v="0"/>
    <s v="Não"/>
    <x v="0"/>
    <d v="2025-06-14T00:00:00"/>
    <d v="2025-06-01T00:00:00"/>
    <s v="sáb"/>
    <x v="1"/>
    <x v="1"/>
    <m/>
    <s v="128545822"/>
  </r>
  <r>
    <n v="1285"/>
    <n v="24"/>
    <s v="Feminino"/>
    <s v="Pintura"/>
    <s v="Operador"/>
    <s v="3º Turno"/>
    <x v="0"/>
    <s v="Não"/>
    <x v="0"/>
    <d v="2025-09-09T00:00:00"/>
    <d v="2025-09-01T00:00:00"/>
    <s v="ter"/>
    <x v="7"/>
    <x v="1"/>
    <m/>
    <s v="128545909"/>
  </r>
  <r>
    <n v="1285"/>
    <n v="24"/>
    <s v="Feminino"/>
    <s v="Pintura"/>
    <s v="Operador"/>
    <s v="3º Turno"/>
    <x v="4"/>
    <s v="Não"/>
    <x v="0"/>
    <d v="2025-10-15T00:00:00"/>
    <d v="2025-10-01T00:00:00"/>
    <s v="qua"/>
    <x v="11"/>
    <x v="1"/>
    <m/>
    <s v="128545945"/>
  </r>
  <r>
    <n v="1285"/>
    <n v="24"/>
    <s v="Feminino"/>
    <s v="Pintura"/>
    <s v="Operador"/>
    <s v="3º Turno"/>
    <x v="0"/>
    <s v="Não"/>
    <x v="0"/>
    <d v="2025-11-23T00:00:00"/>
    <d v="2025-11-01T00:00:00"/>
    <s v="dom"/>
    <x v="10"/>
    <x v="1"/>
    <m/>
    <s v="128545984"/>
  </r>
  <r>
    <n v="1285"/>
    <n v="24"/>
    <s v="Feminino"/>
    <s v="Pintura"/>
    <s v="Operador"/>
    <s v="3º Turno"/>
    <x v="4"/>
    <s v="Não"/>
    <x v="0"/>
    <d v="2025-12-27T00:00:00"/>
    <d v="2025-12-01T00:00:00"/>
    <s v="sáb"/>
    <x v="8"/>
    <x v="1"/>
    <m/>
    <s v="128546018"/>
  </r>
  <r>
    <n v="1285"/>
    <n v="24"/>
    <s v="Feminino"/>
    <s v="Pintura"/>
    <s v="Operador"/>
    <s v="3º Turno"/>
    <x v="4"/>
    <s v="Não"/>
    <x v="0"/>
    <d v="2026-02-16T00:00:00"/>
    <d v="2026-02-01T00:00:00"/>
    <s v="seg"/>
    <x v="3"/>
    <x v="0"/>
    <m/>
    <s v="128546069"/>
  </r>
  <r>
    <n v="1286"/>
    <n v="33"/>
    <s v="Masculino"/>
    <s v="Montagem"/>
    <s v="Operador"/>
    <s v="2º Turno"/>
    <x v="2"/>
    <s v="Sim"/>
    <x v="2"/>
    <d v="2025-04-26T00:00:00"/>
    <d v="2025-04-01T00:00:00"/>
    <s v="sáb"/>
    <x v="2"/>
    <x v="1"/>
    <d v="2025-09-25T00:00:00"/>
    <s v="128645773"/>
  </r>
  <r>
    <n v="1286"/>
    <n v="33"/>
    <s v="Masculino"/>
    <s v="Montagem"/>
    <s v="Operador"/>
    <s v="2º Turno"/>
    <x v="0"/>
    <s v="Sim"/>
    <x v="2"/>
    <d v="2025-07-15T00:00:00"/>
    <d v="2025-07-01T00:00:00"/>
    <s v="ter"/>
    <x v="6"/>
    <x v="1"/>
    <d v="2025-09-25T00:00:00"/>
    <s v="128645853"/>
  </r>
  <r>
    <n v="1286"/>
    <n v="33"/>
    <s v="Masculino"/>
    <s v="Montagem"/>
    <s v="Operador"/>
    <s v="2º Turno"/>
    <x v="2"/>
    <s v="Sim"/>
    <x v="2"/>
    <d v="2025-08-02T00:00:00"/>
    <d v="2025-08-01T00:00:00"/>
    <s v="sáb"/>
    <x v="9"/>
    <x v="1"/>
    <d v="2025-09-25T00:00:00"/>
    <s v="128645871"/>
  </r>
  <r>
    <n v="1286"/>
    <n v="33"/>
    <s v="Masculino"/>
    <s v="Montagem"/>
    <s v="Operador"/>
    <s v="2º Turno"/>
    <x v="0"/>
    <s v="Sim"/>
    <x v="2"/>
    <d v="2025-08-09T00:00:00"/>
    <d v="2025-08-01T00:00:00"/>
    <s v="sáb"/>
    <x v="9"/>
    <x v="1"/>
    <d v="2025-09-25T00:00:00"/>
    <s v="128645878"/>
  </r>
  <r>
    <n v="1286"/>
    <n v="33"/>
    <s v="Masculino"/>
    <s v="Montagem"/>
    <s v="Operador"/>
    <s v="2º Turno"/>
    <x v="0"/>
    <s v="Sim"/>
    <x v="2"/>
    <d v="2025-09-06T00:00:00"/>
    <d v="2025-09-01T00:00:00"/>
    <s v="sáb"/>
    <x v="7"/>
    <x v="1"/>
    <d v="2025-09-25T00:00:00"/>
    <s v="128645906"/>
  </r>
  <r>
    <n v="1286"/>
    <n v="33"/>
    <s v="Masculino"/>
    <s v="Montagem"/>
    <s v="Operador"/>
    <s v="2º Turno"/>
    <x v="2"/>
    <s v="Sim"/>
    <x v="2"/>
    <d v="2025-09-12T00:00:00"/>
    <d v="2025-09-01T00:00:00"/>
    <s v="sex"/>
    <x v="7"/>
    <x v="1"/>
    <d v="2025-09-25T00:00:00"/>
    <s v="128645912"/>
  </r>
  <r>
    <n v="1287"/>
    <n v="28"/>
    <s v="Feminino"/>
    <s v="Logistica"/>
    <s v="Operador"/>
    <s v="1º Turno"/>
    <x v="1"/>
    <s v="Sim"/>
    <x v="1"/>
    <d v="2025-06-06T00:00:00"/>
    <d v="2025-06-01T00:00:00"/>
    <s v="sex"/>
    <x v="1"/>
    <x v="1"/>
    <d v="2026-03-17T00:00:00"/>
    <s v="128745814"/>
  </r>
  <r>
    <n v="1287"/>
    <n v="28"/>
    <s v="Feminino"/>
    <s v="Logistica"/>
    <s v="Operador"/>
    <s v="1º Turno"/>
    <x v="1"/>
    <s v="Sim"/>
    <x v="1"/>
    <d v="2025-09-01T00:00:00"/>
    <d v="2025-09-01T00:00:00"/>
    <s v="seg"/>
    <x v="7"/>
    <x v="1"/>
    <d v="2026-03-17T00:00:00"/>
    <s v="128745901"/>
  </r>
  <r>
    <n v="1287"/>
    <n v="28"/>
    <s v="Feminino"/>
    <s v="Logistica"/>
    <s v="Operador"/>
    <s v="1º Turno"/>
    <x v="1"/>
    <s v="Sim"/>
    <x v="1"/>
    <d v="2025-10-05T00:00:00"/>
    <d v="2025-10-01T00:00:00"/>
    <s v="dom"/>
    <x v="11"/>
    <x v="1"/>
    <d v="2026-03-17T00:00:00"/>
    <s v="128745935"/>
  </r>
  <r>
    <n v="1287"/>
    <n v="28"/>
    <s v="Feminino"/>
    <s v="Logistica"/>
    <s v="Operador"/>
    <s v="1º Turno"/>
    <x v="1"/>
    <s v="Sim"/>
    <x v="1"/>
    <d v="2025-10-11T00:00:00"/>
    <d v="2025-10-01T00:00:00"/>
    <s v="sáb"/>
    <x v="11"/>
    <x v="1"/>
    <d v="2026-03-17T00:00:00"/>
    <s v="128745941"/>
  </r>
  <r>
    <n v="1287"/>
    <n v="28"/>
    <s v="Feminino"/>
    <s v="Logistica"/>
    <s v="Operador"/>
    <s v="1º Turno"/>
    <x v="1"/>
    <s v="Sim"/>
    <x v="1"/>
    <d v="2025-10-31T00:00:00"/>
    <d v="2025-10-01T00:00:00"/>
    <s v="sex"/>
    <x v="11"/>
    <x v="1"/>
    <d v="2026-03-17T00:00:00"/>
    <s v="128745961"/>
  </r>
  <r>
    <n v="1287"/>
    <n v="28"/>
    <s v="Feminino"/>
    <s v="Logistica"/>
    <s v="Operador"/>
    <s v="1º Turno"/>
    <x v="1"/>
    <s v="Sim"/>
    <x v="1"/>
    <d v="2026-06-03T00:00:00"/>
    <d v="2026-01-01T00:00:00"/>
    <s v="qua"/>
    <x v="1"/>
    <x v="0"/>
    <d v="2026-03-17T00:00:00"/>
    <s v="128746176"/>
  </r>
  <r>
    <n v="1289"/>
    <n v="27"/>
    <s v="Feminino"/>
    <s v="Soldagem"/>
    <s v="Operador"/>
    <s v="3º Turno"/>
    <x v="0"/>
    <s v="Não"/>
    <x v="2"/>
    <d v="2025-07-10T00:00:00"/>
    <d v="2025-07-01T00:00:00"/>
    <s v="qui"/>
    <x v="6"/>
    <x v="1"/>
    <m/>
    <s v="128945848"/>
  </r>
  <r>
    <n v="1289"/>
    <n v="27"/>
    <s v="Feminino"/>
    <s v="Soldagem"/>
    <s v="Operador"/>
    <s v="3º Turno"/>
    <x v="0"/>
    <s v="Não"/>
    <x v="2"/>
    <d v="2025-08-15T00:00:00"/>
    <d v="2025-08-01T00:00:00"/>
    <s v="sex"/>
    <x v="9"/>
    <x v="1"/>
    <m/>
    <s v="128945884"/>
  </r>
  <r>
    <n v="1289"/>
    <n v="27"/>
    <s v="Feminino"/>
    <s v="Soldagem"/>
    <s v="Operador"/>
    <s v="3º Turno"/>
    <x v="0"/>
    <s v="Não"/>
    <x v="2"/>
    <d v="2025-09-15T00:00:00"/>
    <d v="2025-09-01T00:00:00"/>
    <s v="seg"/>
    <x v="7"/>
    <x v="1"/>
    <m/>
    <s v="128945915"/>
  </r>
  <r>
    <n v="1289"/>
    <n v="27"/>
    <s v="Feminino"/>
    <s v="Soldagem"/>
    <s v="Operador"/>
    <s v="3º Turno"/>
    <x v="0"/>
    <s v="Não"/>
    <x v="2"/>
    <d v="2025-12-04T00:00:00"/>
    <d v="2025-12-01T00:00:00"/>
    <s v="qui"/>
    <x v="8"/>
    <x v="1"/>
    <m/>
    <s v="128945995"/>
  </r>
  <r>
    <n v="1289"/>
    <n v="27"/>
    <s v="Feminino"/>
    <s v="Soldagem"/>
    <s v="Operador"/>
    <s v="3º Turno"/>
    <x v="0"/>
    <s v="Não"/>
    <x v="2"/>
    <d v="2025-12-20T00:00:00"/>
    <d v="2025-12-01T00:00:00"/>
    <s v="sáb"/>
    <x v="8"/>
    <x v="1"/>
    <m/>
    <s v="128946011"/>
  </r>
  <r>
    <n v="1290"/>
    <n v="34"/>
    <s v="Masculino"/>
    <s v="Pintura"/>
    <s v="Operador"/>
    <s v="3º Turno"/>
    <x v="0"/>
    <s v="Sim"/>
    <x v="2"/>
    <d v="2025-06-07T00:00:00"/>
    <d v="2025-06-01T00:00:00"/>
    <s v="sáb"/>
    <x v="1"/>
    <x v="1"/>
    <d v="2026-05-05T00:00:00"/>
    <s v="129045815"/>
  </r>
  <r>
    <n v="1290"/>
    <n v="34"/>
    <s v="Masculino"/>
    <s v="Pintura"/>
    <s v="Operador"/>
    <s v="3º Turno"/>
    <x v="0"/>
    <s v="Sim"/>
    <x v="2"/>
    <d v="2025-06-19T00:00:00"/>
    <d v="2025-06-01T00:00:00"/>
    <s v="qui"/>
    <x v="1"/>
    <x v="1"/>
    <d v="2026-05-05T00:00:00"/>
    <s v="129045827"/>
  </r>
  <r>
    <n v="1290"/>
    <n v="34"/>
    <s v="Masculino"/>
    <s v="Pintura"/>
    <s v="Operador"/>
    <s v="3º Turno"/>
    <x v="0"/>
    <s v="Sim"/>
    <x v="2"/>
    <d v="2025-10-12T00:00:00"/>
    <d v="2025-10-01T00:00:00"/>
    <s v="dom"/>
    <x v="11"/>
    <x v="1"/>
    <d v="2026-05-05T00:00:00"/>
    <s v="129045942"/>
  </r>
  <r>
    <n v="1290"/>
    <n v="34"/>
    <s v="Masculino"/>
    <s v="Pintura"/>
    <s v="Operador"/>
    <s v="3º Turno"/>
    <x v="0"/>
    <s v="Sim"/>
    <x v="2"/>
    <d v="2026-02-07T00:00:00"/>
    <d v="2026-02-01T00:00:00"/>
    <s v="sáb"/>
    <x v="3"/>
    <x v="0"/>
    <d v="2026-05-05T00:00:00"/>
    <s v="129046060"/>
  </r>
  <r>
    <n v="1290"/>
    <n v="34"/>
    <s v="Masculino"/>
    <s v="Pintura"/>
    <s v="Operador"/>
    <s v="3º Turno"/>
    <x v="0"/>
    <s v="Sim"/>
    <x v="2"/>
    <d v="2026-02-13T00:00:00"/>
    <d v="2026-02-01T00:00:00"/>
    <s v="sex"/>
    <x v="3"/>
    <x v="0"/>
    <d v="2026-05-05T00:00:00"/>
    <s v="129046066"/>
  </r>
  <r>
    <n v="1290"/>
    <n v="34"/>
    <s v="Masculino"/>
    <s v="Pintura"/>
    <s v="Operador"/>
    <s v="3º Turno"/>
    <x v="0"/>
    <s v="Sim"/>
    <x v="2"/>
    <d v="2026-02-26T00:00:00"/>
    <d v="2026-02-01T00:00:00"/>
    <s v="qui"/>
    <x v="3"/>
    <x v="0"/>
    <d v="2026-05-05T00:00:00"/>
    <s v="129046079"/>
  </r>
  <r>
    <n v="1293"/>
    <n v="44"/>
    <s v="Masculino"/>
    <s v="Logistica"/>
    <s v="Operador"/>
    <s v="2º Turno"/>
    <x v="0"/>
    <s v="Sim"/>
    <x v="0"/>
    <d v="2025-05-09T00:00:00"/>
    <d v="2025-05-01T00:00:00"/>
    <s v="sex"/>
    <x v="0"/>
    <x v="1"/>
    <d v="2025-05-20T00:00:00"/>
    <s v="129345786"/>
  </r>
  <r>
    <n v="1293"/>
    <n v="44"/>
    <s v="Masculino"/>
    <s v="Logistica"/>
    <s v="Operador"/>
    <s v="2º Turno"/>
    <x v="0"/>
    <s v="Sim"/>
    <x v="0"/>
    <d v="2025-05-10T00:00:00"/>
    <d v="2025-05-01T00:00:00"/>
    <s v="sáb"/>
    <x v="0"/>
    <x v="1"/>
    <d v="2025-05-20T00:00:00"/>
    <s v="129345787"/>
  </r>
  <r>
    <n v="1293"/>
    <n v="44"/>
    <s v="Masculino"/>
    <s v="Logistica"/>
    <s v="Operador"/>
    <s v="2º Turno"/>
    <x v="0"/>
    <s v="Sim"/>
    <x v="0"/>
    <d v="2025-05-13T00:00:00"/>
    <d v="2025-05-01T00:00:00"/>
    <s v="ter"/>
    <x v="0"/>
    <x v="1"/>
    <d v="2025-05-20T00:00:00"/>
    <s v="129345790"/>
  </r>
  <r>
    <n v="1293"/>
    <n v="44"/>
    <s v="Masculino"/>
    <s v="Logistica"/>
    <s v="Operador"/>
    <s v="2º Turno"/>
    <x v="0"/>
    <s v="Sim"/>
    <x v="0"/>
    <d v="2025-05-14T00:00:00"/>
    <d v="2025-05-01T00:00:00"/>
    <s v="qua"/>
    <x v="0"/>
    <x v="1"/>
    <d v="2025-05-20T00:00:00"/>
    <s v="129345791"/>
  </r>
  <r>
    <n v="1293"/>
    <n v="44"/>
    <s v="Masculino"/>
    <s v="Logistica"/>
    <s v="Operador"/>
    <s v="2º Turno"/>
    <x v="3"/>
    <s v="Sim"/>
    <x v="0"/>
    <d v="2025-05-15T00:00:00"/>
    <d v="2025-05-01T00:00:00"/>
    <s v="qui"/>
    <x v="0"/>
    <x v="1"/>
    <d v="2025-05-20T00:00:00"/>
    <s v="129345792"/>
  </r>
  <r>
    <n v="1293"/>
    <n v="44"/>
    <s v="Masculino"/>
    <s v="Logistica"/>
    <s v="Operador"/>
    <s v="2º Turno"/>
    <x v="3"/>
    <s v="Sim"/>
    <x v="0"/>
    <d v="2025-05-18T00:00:00"/>
    <d v="2025-05-01T00:00:00"/>
    <s v="dom"/>
    <x v="0"/>
    <x v="1"/>
    <d v="2025-05-20T00:00:00"/>
    <s v="129345795"/>
  </r>
  <r>
    <n v="1294"/>
    <n v="51"/>
    <s v="Feminino"/>
    <s v="Montagem"/>
    <s v="Operador"/>
    <s v="1º Turno"/>
    <x v="0"/>
    <s v="Sim"/>
    <x v="0"/>
    <d v="2025-03-17T00:00:00"/>
    <d v="2025-03-01T00:00:00"/>
    <s v="seg"/>
    <x v="4"/>
    <x v="1"/>
    <d v="2025-05-17T00:00:00"/>
    <s v="129445733"/>
  </r>
  <r>
    <n v="1294"/>
    <n v="51"/>
    <s v="Feminino"/>
    <s v="Montagem"/>
    <s v="Operador"/>
    <s v="1º Turno"/>
    <x v="0"/>
    <s v="Sim"/>
    <x v="0"/>
    <d v="2025-03-18T00:00:00"/>
    <d v="2025-03-01T00:00:00"/>
    <s v="ter"/>
    <x v="4"/>
    <x v="1"/>
    <d v="2025-05-17T00:00:00"/>
    <s v="129445734"/>
  </r>
  <r>
    <n v="1294"/>
    <n v="51"/>
    <s v="Feminino"/>
    <s v="Montagem"/>
    <s v="Operador"/>
    <s v="1º Turno"/>
    <x v="0"/>
    <s v="Sim"/>
    <x v="0"/>
    <d v="2025-04-27T00:00:00"/>
    <d v="2025-04-01T00:00:00"/>
    <s v="dom"/>
    <x v="2"/>
    <x v="1"/>
    <d v="2025-05-17T00:00:00"/>
    <s v="129445774"/>
  </r>
  <r>
    <n v="1294"/>
    <n v="51"/>
    <s v="Feminino"/>
    <s v="Montagem"/>
    <s v="Operador"/>
    <s v="1º Turno"/>
    <x v="0"/>
    <s v="Sim"/>
    <x v="0"/>
    <d v="2025-05-06T00:00:00"/>
    <d v="2025-05-01T00:00:00"/>
    <s v="ter"/>
    <x v="0"/>
    <x v="1"/>
    <d v="2025-05-17T00:00:00"/>
    <s v="129445783"/>
  </r>
  <r>
    <n v="1294"/>
    <n v="51"/>
    <s v="Feminino"/>
    <s v="Montagem"/>
    <s v="Operador"/>
    <s v="1º Turno"/>
    <x v="0"/>
    <s v="Sim"/>
    <x v="0"/>
    <d v="2025-05-07T00:00:00"/>
    <d v="2025-05-01T00:00:00"/>
    <s v="qua"/>
    <x v="0"/>
    <x v="1"/>
    <d v="2025-05-17T00:00:00"/>
    <s v="129445784"/>
  </r>
  <r>
    <n v="1294"/>
    <n v="51"/>
    <s v="Feminino"/>
    <s v="Montagem"/>
    <s v="Operador"/>
    <s v="1º Turno"/>
    <x v="0"/>
    <s v="Sim"/>
    <x v="0"/>
    <d v="2025-05-09T00:00:00"/>
    <d v="2025-05-01T00:00:00"/>
    <s v="sex"/>
    <x v="0"/>
    <x v="1"/>
    <d v="2025-05-17T00:00:00"/>
    <s v="129445786"/>
  </r>
  <r>
    <n v="1295"/>
    <n v="47"/>
    <s v="Masculino"/>
    <s v="Pintura"/>
    <s v="Operador"/>
    <s v="1º Turno"/>
    <x v="4"/>
    <s v="Não"/>
    <x v="1"/>
    <d v="2025-05-31T00:00:00"/>
    <d v="2025-05-01T00:00:00"/>
    <s v="sáb"/>
    <x v="0"/>
    <x v="1"/>
    <m/>
    <s v="129545808"/>
  </r>
  <r>
    <n v="1295"/>
    <n v="47"/>
    <s v="Masculino"/>
    <s v="Pintura"/>
    <s v="Operador"/>
    <s v="1º Turno"/>
    <x v="4"/>
    <s v="Não"/>
    <x v="1"/>
    <d v="2025-07-19T00:00:00"/>
    <d v="2025-07-01T00:00:00"/>
    <s v="sáb"/>
    <x v="6"/>
    <x v="1"/>
    <m/>
    <s v="129545857"/>
  </r>
  <r>
    <n v="1295"/>
    <n v="47"/>
    <s v="Masculino"/>
    <s v="Pintura"/>
    <s v="Operador"/>
    <s v="1º Turno"/>
    <x v="4"/>
    <s v="Não"/>
    <x v="1"/>
    <d v="2025-08-03T00:00:00"/>
    <d v="2025-08-01T00:00:00"/>
    <s v="dom"/>
    <x v="9"/>
    <x v="1"/>
    <m/>
    <s v="129545872"/>
  </r>
  <r>
    <n v="1295"/>
    <n v="47"/>
    <s v="Masculino"/>
    <s v="Pintura"/>
    <s v="Operador"/>
    <s v="1º Turno"/>
    <x v="4"/>
    <s v="Não"/>
    <x v="1"/>
    <d v="2025-11-19T00:00:00"/>
    <d v="2025-11-01T00:00:00"/>
    <s v="qua"/>
    <x v="10"/>
    <x v="1"/>
    <m/>
    <s v="129545980"/>
  </r>
  <r>
    <n v="1295"/>
    <n v="47"/>
    <s v="Masculino"/>
    <s v="Pintura"/>
    <s v="Operador"/>
    <s v="1º Turno"/>
    <x v="4"/>
    <s v="Não"/>
    <x v="1"/>
    <d v="2025-11-26T00:00:00"/>
    <d v="2025-11-01T00:00:00"/>
    <s v="qua"/>
    <x v="10"/>
    <x v="1"/>
    <m/>
    <s v="129545987"/>
  </r>
  <r>
    <n v="1295"/>
    <n v="47"/>
    <s v="Masculino"/>
    <s v="Pintura"/>
    <s v="Operador"/>
    <s v="1º Turno"/>
    <x v="4"/>
    <s v="Não"/>
    <x v="1"/>
    <d v="2025-12-29T00:00:00"/>
    <d v="2025-12-01T00:00:00"/>
    <s v="seg"/>
    <x v="8"/>
    <x v="1"/>
    <m/>
    <s v="129546020"/>
  </r>
  <r>
    <n v="1295"/>
    <n v="47"/>
    <s v="Masculino"/>
    <s v="Pintura"/>
    <s v="Operador"/>
    <s v="1º Turno"/>
    <x v="4"/>
    <s v="Não"/>
    <x v="1"/>
    <d v="2026-05-31T00:00:00"/>
    <d v="2026-05-01T00:00:00"/>
    <s v="sáb"/>
    <x v="0"/>
    <x v="1"/>
    <m/>
    <s v="129546173"/>
  </r>
  <r>
    <n v="1297"/>
    <n v="32"/>
    <s v="Feminino"/>
    <s v="Montagem"/>
    <s v="Operador"/>
    <s v="2º Turno"/>
    <x v="0"/>
    <s v="Sim"/>
    <x v="1"/>
    <d v="2025-08-24T00:00:00"/>
    <d v="2025-08-01T00:00:00"/>
    <s v="dom"/>
    <x v="9"/>
    <x v="1"/>
    <d v="2026-04-19T00:00:00"/>
    <s v="129745893"/>
  </r>
  <r>
    <n v="1297"/>
    <n v="32"/>
    <s v="Feminino"/>
    <s v="Montagem"/>
    <s v="Operador"/>
    <s v="2º Turno"/>
    <x v="0"/>
    <s v="Sim"/>
    <x v="1"/>
    <d v="2025-10-26T00:00:00"/>
    <d v="2025-10-01T00:00:00"/>
    <s v="dom"/>
    <x v="11"/>
    <x v="1"/>
    <d v="2026-04-19T00:00:00"/>
    <s v="129745956"/>
  </r>
  <r>
    <n v="1297"/>
    <n v="32"/>
    <s v="Feminino"/>
    <s v="Montagem"/>
    <s v="Operador"/>
    <s v="2º Turno"/>
    <x v="0"/>
    <s v="Sim"/>
    <x v="1"/>
    <d v="2025-10-27T00:00:00"/>
    <d v="2025-10-01T00:00:00"/>
    <s v="seg"/>
    <x v="11"/>
    <x v="1"/>
    <d v="2026-04-19T00:00:00"/>
    <s v="129745957"/>
  </r>
  <r>
    <n v="1297"/>
    <n v="32"/>
    <s v="Feminino"/>
    <s v="Montagem"/>
    <s v="Operador"/>
    <s v="2º Turno"/>
    <x v="0"/>
    <s v="Sim"/>
    <x v="1"/>
    <d v="2025-12-25T00:00:00"/>
    <d v="2025-12-01T00:00:00"/>
    <s v="qui"/>
    <x v="8"/>
    <x v="1"/>
    <d v="2026-04-19T00:00:00"/>
    <s v="129746016"/>
  </r>
  <r>
    <n v="1297"/>
    <n v="32"/>
    <s v="Feminino"/>
    <s v="Montagem"/>
    <s v="Operador"/>
    <s v="2º Turno"/>
    <x v="0"/>
    <s v="Sim"/>
    <x v="1"/>
    <d v="2026-02-11T00:00:00"/>
    <d v="2026-02-01T00:00:00"/>
    <s v="qua"/>
    <x v="3"/>
    <x v="0"/>
    <d v="2026-04-19T00:00:00"/>
    <s v="129746064"/>
  </r>
  <r>
    <n v="1297"/>
    <n v="32"/>
    <s v="Feminino"/>
    <s v="Montagem"/>
    <s v="Operador"/>
    <s v="2º Turno"/>
    <x v="2"/>
    <s v="Sim"/>
    <x v="1"/>
    <d v="2026-03-10T00:00:00"/>
    <d v="2026-03-01T00:00:00"/>
    <s v="ter"/>
    <x v="4"/>
    <x v="0"/>
    <d v="2026-04-19T00:00:00"/>
    <s v="129746091"/>
  </r>
  <r>
    <n v="1298"/>
    <n v="56"/>
    <s v="Masculino"/>
    <s v="Pintura"/>
    <s v="Operador"/>
    <s v="3º Turno"/>
    <x v="1"/>
    <s v="Sim"/>
    <x v="2"/>
    <d v="2025-01-15T00:00:00"/>
    <d v="2025-01-01T00:00:00"/>
    <s v="qua"/>
    <x v="5"/>
    <x v="1"/>
    <d v="2025-05-06T00:00:00"/>
    <s v="129845672"/>
  </r>
  <r>
    <n v="1298"/>
    <n v="56"/>
    <s v="Masculino"/>
    <s v="Pintura"/>
    <s v="Operador"/>
    <s v="3º Turno"/>
    <x v="2"/>
    <s v="Sim"/>
    <x v="2"/>
    <d v="2025-04-25T00:00:00"/>
    <d v="2025-04-01T00:00:00"/>
    <s v="sex"/>
    <x v="2"/>
    <x v="1"/>
    <d v="2025-05-06T00:00:00"/>
    <s v="129845772"/>
  </r>
  <r>
    <n v="1298"/>
    <n v="56"/>
    <s v="Masculino"/>
    <s v="Pintura"/>
    <s v="Operador"/>
    <s v="3º Turno"/>
    <x v="1"/>
    <s v="Sim"/>
    <x v="2"/>
    <d v="2025-04-26T00:00:00"/>
    <d v="2025-04-01T00:00:00"/>
    <s v="sáb"/>
    <x v="2"/>
    <x v="1"/>
    <d v="2025-05-06T00:00:00"/>
    <s v="129845773"/>
  </r>
  <r>
    <n v="1298"/>
    <n v="56"/>
    <s v="Masculino"/>
    <s v="Pintura"/>
    <s v="Operador"/>
    <s v="3º Turno"/>
    <x v="2"/>
    <s v="Sim"/>
    <x v="2"/>
    <d v="2025-04-28T00:00:00"/>
    <d v="2025-04-01T00:00:00"/>
    <s v="seg"/>
    <x v="2"/>
    <x v="1"/>
    <d v="2025-05-06T00:00:00"/>
    <s v="129845775"/>
  </r>
  <r>
    <n v="1298"/>
    <n v="56"/>
    <s v="Masculino"/>
    <s v="Pintura"/>
    <s v="Operador"/>
    <s v="3º Turno"/>
    <x v="1"/>
    <s v="Sim"/>
    <x v="2"/>
    <d v="2025-04-29T00:00:00"/>
    <d v="2025-04-01T00:00:00"/>
    <s v="ter"/>
    <x v="2"/>
    <x v="1"/>
    <d v="2025-05-06T00:00:00"/>
    <s v="129845776"/>
  </r>
  <r>
    <n v="1298"/>
    <n v="56"/>
    <s v="Masculino"/>
    <s v="Pintura"/>
    <s v="Operador"/>
    <s v="3º Turno"/>
    <x v="1"/>
    <s v="Sim"/>
    <x v="2"/>
    <d v="2025-04-30T00:00:00"/>
    <d v="2025-04-01T00:00:00"/>
    <s v="qua"/>
    <x v="2"/>
    <x v="1"/>
    <d v="2025-05-06T00:00:00"/>
    <s v="129845777"/>
  </r>
  <r>
    <n v="1299"/>
    <n v="37"/>
    <s v="Masculino"/>
    <s v="Soldagem"/>
    <s v="Operador"/>
    <s v="1º Turno"/>
    <x v="1"/>
    <s v="Não"/>
    <x v="1"/>
    <d v="2025-04-28T00:00:00"/>
    <d v="2025-04-01T00:00:00"/>
    <s v="seg"/>
    <x v="2"/>
    <x v="1"/>
    <m/>
    <s v="129945775"/>
  </r>
  <r>
    <n v="1299"/>
    <n v="37"/>
    <s v="Masculino"/>
    <s v="Soldagem"/>
    <s v="Operador"/>
    <s v="1º Turno"/>
    <x v="1"/>
    <s v="Não"/>
    <x v="1"/>
    <d v="2025-07-03T00:00:00"/>
    <d v="2025-07-01T00:00:00"/>
    <s v="qui"/>
    <x v="6"/>
    <x v="1"/>
    <m/>
    <s v="129945841"/>
  </r>
  <r>
    <n v="1299"/>
    <n v="37"/>
    <s v="Masculino"/>
    <s v="Soldagem"/>
    <s v="Operador"/>
    <s v="1º Turno"/>
    <x v="1"/>
    <s v="Não"/>
    <x v="1"/>
    <d v="2025-08-11T00:00:00"/>
    <d v="2025-08-01T00:00:00"/>
    <s v="seg"/>
    <x v="9"/>
    <x v="1"/>
    <m/>
    <s v="129945880"/>
  </r>
  <r>
    <n v="1299"/>
    <n v="37"/>
    <s v="Masculino"/>
    <s v="Soldagem"/>
    <s v="Operador"/>
    <s v="1º Turno"/>
    <x v="1"/>
    <s v="Não"/>
    <x v="1"/>
    <d v="2026-02-09T00:00:00"/>
    <d v="2026-02-01T00:00:00"/>
    <s v="seg"/>
    <x v="3"/>
    <x v="0"/>
    <m/>
    <s v="129946062"/>
  </r>
  <r>
    <n v="1299"/>
    <n v="37"/>
    <s v="Masculino"/>
    <s v="Soldagem"/>
    <s v="Operador"/>
    <s v="1º Turno"/>
    <x v="1"/>
    <s v="Não"/>
    <x v="1"/>
    <d v="2026-04-28T00:00:00"/>
    <d v="2026-04-01T00:00:00"/>
    <s v="seg"/>
    <x v="2"/>
    <x v="1"/>
    <m/>
    <s v="129946140"/>
  </r>
  <r>
    <n v="1300"/>
    <n v="39"/>
    <s v="Masculino"/>
    <s v="Pintura"/>
    <s v="Operador"/>
    <s v="2º Turno"/>
    <x v="0"/>
    <s v="Não"/>
    <x v="0"/>
    <d v="2025-06-26T00:00:00"/>
    <d v="2025-06-01T00:00:00"/>
    <s v="qui"/>
    <x v="1"/>
    <x v="1"/>
    <m/>
    <s v="130045834"/>
  </r>
  <r>
    <n v="1300"/>
    <n v="39"/>
    <s v="Masculino"/>
    <s v="Pintura"/>
    <s v="Operador"/>
    <s v="2º Turno"/>
    <x v="0"/>
    <s v="Não"/>
    <x v="0"/>
    <d v="2025-09-12T00:00:00"/>
    <d v="2025-09-01T00:00:00"/>
    <s v="sex"/>
    <x v="7"/>
    <x v="1"/>
    <m/>
    <s v="130045912"/>
  </r>
  <r>
    <n v="1300"/>
    <n v="39"/>
    <s v="Masculino"/>
    <s v="Pintura"/>
    <s v="Operador"/>
    <s v="2º Turno"/>
    <x v="0"/>
    <s v="Não"/>
    <x v="0"/>
    <d v="2025-10-15T00:00:00"/>
    <d v="2025-10-01T00:00:00"/>
    <s v="qua"/>
    <x v="11"/>
    <x v="1"/>
    <m/>
    <s v="130045945"/>
  </r>
  <r>
    <n v="1300"/>
    <n v="39"/>
    <s v="Masculino"/>
    <s v="Pintura"/>
    <s v="Operador"/>
    <s v="2º Turno"/>
    <x v="0"/>
    <s v="Não"/>
    <x v="0"/>
    <d v="2026-02-13T00:00:00"/>
    <d v="2026-02-01T00:00:00"/>
    <s v="sex"/>
    <x v="3"/>
    <x v="0"/>
    <m/>
    <s v="130046066"/>
  </r>
  <r>
    <n v="1301"/>
    <n v="58"/>
    <s v="Feminino"/>
    <s v="Montagem"/>
    <s v="Operador"/>
    <s v="2º Turno"/>
    <x v="0"/>
    <s v="Sim"/>
    <x v="1"/>
    <d v="2025-07-27T00:00:00"/>
    <d v="2025-07-01T00:00:00"/>
    <s v="dom"/>
    <x v="6"/>
    <x v="1"/>
    <d v="2026-02-07T00:00:00"/>
    <s v="130145865"/>
  </r>
  <r>
    <n v="1301"/>
    <n v="58"/>
    <s v="Feminino"/>
    <s v="Montagem"/>
    <s v="Operador"/>
    <s v="2º Turno"/>
    <x v="3"/>
    <s v="Sim"/>
    <x v="1"/>
    <d v="2025-08-07T00:00:00"/>
    <d v="2025-08-01T00:00:00"/>
    <s v="qui"/>
    <x v="9"/>
    <x v="1"/>
    <d v="2026-02-07T00:00:00"/>
    <s v="130145876"/>
  </r>
  <r>
    <n v="1301"/>
    <n v="58"/>
    <s v="Feminino"/>
    <s v="Montagem"/>
    <s v="Operador"/>
    <s v="2º Turno"/>
    <x v="0"/>
    <s v="Sim"/>
    <x v="1"/>
    <d v="2025-08-09T00:00:00"/>
    <d v="2025-08-01T00:00:00"/>
    <s v="sáb"/>
    <x v="9"/>
    <x v="1"/>
    <d v="2026-02-07T00:00:00"/>
    <s v="130145878"/>
  </r>
  <r>
    <n v="1301"/>
    <n v="58"/>
    <s v="Feminino"/>
    <s v="Montagem"/>
    <s v="Operador"/>
    <s v="2º Turno"/>
    <x v="0"/>
    <s v="Sim"/>
    <x v="1"/>
    <d v="2025-08-11T00:00:00"/>
    <d v="2025-08-01T00:00:00"/>
    <s v="seg"/>
    <x v="9"/>
    <x v="1"/>
    <d v="2026-02-07T00:00:00"/>
    <s v="130145880"/>
  </r>
  <r>
    <n v="1301"/>
    <n v="58"/>
    <s v="Feminino"/>
    <s v="Montagem"/>
    <s v="Operador"/>
    <s v="2º Turno"/>
    <x v="0"/>
    <s v="Sim"/>
    <x v="1"/>
    <d v="2025-12-10T00:00:00"/>
    <d v="2025-12-01T00:00:00"/>
    <s v="qua"/>
    <x v="8"/>
    <x v="1"/>
    <d v="2026-02-07T00:00:00"/>
    <s v="130146001"/>
  </r>
  <r>
    <n v="1301"/>
    <n v="58"/>
    <s v="Feminino"/>
    <s v="Montagem"/>
    <s v="Operador"/>
    <s v="2º Turno"/>
    <x v="0"/>
    <s v="Sim"/>
    <x v="1"/>
    <d v="2026-06-05T00:00:00"/>
    <d v="2026-01-01T00:00:00"/>
    <s v="sex"/>
    <x v="1"/>
    <x v="0"/>
    <d v="2026-02-07T00:00:00"/>
    <s v="130146178"/>
  </r>
  <r>
    <n v="1302"/>
    <n v="23"/>
    <s v="Feminino"/>
    <s v="Montagem"/>
    <s v="Operador"/>
    <s v="3º Turno"/>
    <x v="0"/>
    <s v="Sim"/>
    <x v="0"/>
    <d v="2025-04-26T00:00:00"/>
    <d v="2025-04-01T00:00:00"/>
    <s v="sáb"/>
    <x v="2"/>
    <x v="1"/>
    <d v="2025-11-12T00:00:00"/>
    <s v="130245773"/>
  </r>
  <r>
    <n v="1302"/>
    <n v="23"/>
    <s v="Feminino"/>
    <s v="Montagem"/>
    <s v="Operador"/>
    <s v="3º Turno"/>
    <x v="0"/>
    <s v="Sim"/>
    <x v="0"/>
    <d v="2025-05-20T00:00:00"/>
    <d v="2025-05-01T00:00:00"/>
    <s v="ter"/>
    <x v="0"/>
    <x v="1"/>
    <d v="2025-11-12T00:00:00"/>
    <s v="130245797"/>
  </r>
  <r>
    <n v="1302"/>
    <n v="23"/>
    <s v="Feminino"/>
    <s v="Montagem"/>
    <s v="Operador"/>
    <s v="3º Turno"/>
    <x v="0"/>
    <s v="Sim"/>
    <x v="0"/>
    <d v="2025-07-23T00:00:00"/>
    <d v="2025-07-01T00:00:00"/>
    <s v="qua"/>
    <x v="6"/>
    <x v="1"/>
    <d v="2025-11-12T00:00:00"/>
    <s v="130245861"/>
  </r>
  <r>
    <n v="1302"/>
    <n v="23"/>
    <s v="Feminino"/>
    <s v="Montagem"/>
    <s v="Operador"/>
    <s v="3º Turno"/>
    <x v="3"/>
    <s v="Sim"/>
    <x v="0"/>
    <d v="2025-10-04T00:00:00"/>
    <d v="2025-10-01T00:00:00"/>
    <s v="sáb"/>
    <x v="11"/>
    <x v="1"/>
    <d v="2025-11-12T00:00:00"/>
    <s v="130245934"/>
  </r>
  <r>
    <n v="1302"/>
    <n v="23"/>
    <s v="Feminino"/>
    <s v="Montagem"/>
    <s v="Operador"/>
    <s v="3º Turno"/>
    <x v="0"/>
    <s v="Sim"/>
    <x v="0"/>
    <d v="2025-11-08T00:00:00"/>
    <d v="2025-11-01T00:00:00"/>
    <s v="sáb"/>
    <x v="10"/>
    <x v="1"/>
    <d v="2025-11-12T00:00:00"/>
    <s v="130245969"/>
  </r>
  <r>
    <n v="1302"/>
    <n v="23"/>
    <s v="Feminino"/>
    <s v="Montagem"/>
    <s v="Operador"/>
    <s v="3º Turno"/>
    <x v="0"/>
    <s v="Sim"/>
    <x v="0"/>
    <d v="2025-11-09T00:00:00"/>
    <d v="2025-11-01T00:00:00"/>
    <s v="dom"/>
    <x v="10"/>
    <x v="1"/>
    <d v="2025-11-12T00:00:00"/>
    <s v="130245970"/>
  </r>
  <r>
    <n v="1304"/>
    <n v="40"/>
    <s v="Masculino"/>
    <s v="Pintura"/>
    <s v="Operador"/>
    <s v="1º Turno"/>
    <x v="0"/>
    <s v="Não"/>
    <x v="0"/>
    <d v="2025-06-28T00:00:00"/>
    <d v="2025-06-01T00:00:00"/>
    <s v="sáb"/>
    <x v="1"/>
    <x v="1"/>
    <m/>
    <s v="130445836"/>
  </r>
  <r>
    <n v="1304"/>
    <n v="40"/>
    <s v="Masculino"/>
    <s v="Pintura"/>
    <s v="Operador"/>
    <s v="1º Turno"/>
    <x v="3"/>
    <s v="Não"/>
    <x v="0"/>
    <d v="2025-07-28T00:00:00"/>
    <d v="2025-07-01T00:00:00"/>
    <s v="seg"/>
    <x v="6"/>
    <x v="1"/>
    <m/>
    <s v="130445866"/>
  </r>
  <r>
    <n v="1304"/>
    <n v="40"/>
    <s v="Masculino"/>
    <s v="Pintura"/>
    <s v="Operador"/>
    <s v="1º Turno"/>
    <x v="3"/>
    <s v="Não"/>
    <x v="0"/>
    <d v="2025-10-08T00:00:00"/>
    <d v="2025-10-01T00:00:00"/>
    <s v="qua"/>
    <x v="11"/>
    <x v="1"/>
    <m/>
    <s v="130445938"/>
  </r>
  <r>
    <n v="1304"/>
    <n v="40"/>
    <s v="Masculino"/>
    <s v="Pintura"/>
    <s v="Operador"/>
    <s v="1º Turno"/>
    <x v="3"/>
    <s v="Não"/>
    <x v="0"/>
    <d v="2025-12-25T00:00:00"/>
    <d v="2025-12-01T00:00:00"/>
    <s v="qui"/>
    <x v="8"/>
    <x v="1"/>
    <m/>
    <s v="130446016"/>
  </r>
  <r>
    <n v="1304"/>
    <n v="40"/>
    <s v="Masculino"/>
    <s v="Pintura"/>
    <s v="Operador"/>
    <s v="1º Turno"/>
    <x v="0"/>
    <s v="Não"/>
    <x v="0"/>
    <d v="2026-06-29T00:00:00"/>
    <d v="2026-01-01T00:00:00"/>
    <s v="seg"/>
    <x v="1"/>
    <x v="0"/>
    <m/>
    <s v="130446202"/>
  </r>
  <r>
    <n v="1304"/>
    <n v="40"/>
    <s v="Masculino"/>
    <s v="Pintura"/>
    <s v="Operador"/>
    <s v="1º Turno"/>
    <x v="3"/>
    <s v="Não"/>
    <x v="0"/>
    <d v="2026-02-26T00:00:00"/>
    <d v="2026-02-01T00:00:00"/>
    <s v="qui"/>
    <x v="3"/>
    <x v="0"/>
    <m/>
    <s v="130446079"/>
  </r>
  <r>
    <n v="1305"/>
    <n v="57"/>
    <s v="Masculino"/>
    <s v="Soldagem"/>
    <s v="Operador"/>
    <s v="3º Turno"/>
    <x v="0"/>
    <s v="Sim"/>
    <x v="0"/>
    <d v="2025-05-14T00:00:00"/>
    <d v="2025-05-01T00:00:00"/>
    <s v="qua"/>
    <x v="0"/>
    <x v="1"/>
    <d v="2025-10-22T00:00:00"/>
    <s v="130545791"/>
  </r>
  <r>
    <n v="1305"/>
    <n v="57"/>
    <s v="Masculino"/>
    <s v="Soldagem"/>
    <s v="Operador"/>
    <s v="3º Turno"/>
    <x v="0"/>
    <s v="Sim"/>
    <x v="0"/>
    <d v="2025-05-25T00:00:00"/>
    <d v="2025-05-01T00:00:00"/>
    <s v="dom"/>
    <x v="0"/>
    <x v="1"/>
    <d v="2025-10-22T00:00:00"/>
    <s v="130545802"/>
  </r>
  <r>
    <n v="1305"/>
    <n v="57"/>
    <s v="Masculino"/>
    <s v="Soldagem"/>
    <s v="Operador"/>
    <s v="3º Turno"/>
    <x v="0"/>
    <s v="Sim"/>
    <x v="0"/>
    <d v="2025-07-19T00:00:00"/>
    <d v="2025-07-01T00:00:00"/>
    <s v="sáb"/>
    <x v="6"/>
    <x v="1"/>
    <d v="2025-10-22T00:00:00"/>
    <s v="130545857"/>
  </r>
  <r>
    <n v="1305"/>
    <n v="57"/>
    <s v="Masculino"/>
    <s v="Soldagem"/>
    <s v="Operador"/>
    <s v="3º Turno"/>
    <x v="0"/>
    <s v="Sim"/>
    <x v="0"/>
    <d v="2025-07-30T00:00:00"/>
    <d v="2025-07-01T00:00:00"/>
    <s v="qua"/>
    <x v="6"/>
    <x v="1"/>
    <d v="2025-10-22T00:00:00"/>
    <s v="130545868"/>
  </r>
  <r>
    <n v="1305"/>
    <n v="57"/>
    <s v="Masculino"/>
    <s v="Soldagem"/>
    <s v="Operador"/>
    <s v="3º Turno"/>
    <x v="0"/>
    <s v="Sim"/>
    <x v="0"/>
    <d v="2025-09-06T00:00:00"/>
    <d v="2025-09-01T00:00:00"/>
    <s v="sáb"/>
    <x v="7"/>
    <x v="1"/>
    <d v="2025-10-22T00:00:00"/>
    <s v="130545906"/>
  </r>
  <r>
    <n v="1305"/>
    <n v="57"/>
    <s v="Masculino"/>
    <s v="Soldagem"/>
    <s v="Operador"/>
    <s v="3º Turno"/>
    <x v="0"/>
    <s v="Sim"/>
    <x v="0"/>
    <d v="2025-10-16T00:00:00"/>
    <d v="2025-10-01T00:00:00"/>
    <s v="qui"/>
    <x v="11"/>
    <x v="1"/>
    <d v="2025-10-22T00:00:00"/>
    <s v="130545946"/>
  </r>
  <r>
    <n v="1306"/>
    <n v="47"/>
    <s v="Masculino"/>
    <s v="Montagem"/>
    <s v="Operador"/>
    <s v="2º Turno"/>
    <x v="0"/>
    <s v="Sim"/>
    <x v="0"/>
    <d v="2025-10-15T00:00:00"/>
    <d v="2025-10-01T00:00:00"/>
    <s v="qua"/>
    <x v="11"/>
    <x v="1"/>
    <d v="2026-06-12T00:00:00"/>
    <s v="130645945"/>
  </r>
  <r>
    <n v="1306"/>
    <n v="47"/>
    <s v="Masculino"/>
    <s v="Montagem"/>
    <s v="Operador"/>
    <s v="2º Turno"/>
    <x v="0"/>
    <s v="Sim"/>
    <x v="0"/>
    <d v="2025-10-19T00:00:00"/>
    <d v="2025-10-01T00:00:00"/>
    <s v="dom"/>
    <x v="11"/>
    <x v="1"/>
    <d v="2026-06-12T00:00:00"/>
    <s v="130645949"/>
  </r>
  <r>
    <n v="1306"/>
    <n v="47"/>
    <s v="Masculino"/>
    <s v="Montagem"/>
    <s v="Operador"/>
    <s v="2º Turno"/>
    <x v="0"/>
    <s v="Sim"/>
    <x v="0"/>
    <d v="2025-12-14T00:00:00"/>
    <d v="2025-12-01T00:00:00"/>
    <s v="dom"/>
    <x v="8"/>
    <x v="1"/>
    <d v="2026-06-12T00:00:00"/>
    <s v="130646005"/>
  </r>
  <r>
    <n v="1306"/>
    <n v="47"/>
    <s v="Masculino"/>
    <s v="Montagem"/>
    <s v="Operador"/>
    <s v="2º Turno"/>
    <x v="0"/>
    <s v="Sim"/>
    <x v="0"/>
    <d v="2025-12-29T00:00:00"/>
    <d v="2025-12-01T00:00:00"/>
    <s v="seg"/>
    <x v="8"/>
    <x v="1"/>
    <d v="2026-06-12T00:00:00"/>
    <s v="130646020"/>
  </r>
  <r>
    <n v="1306"/>
    <n v="47"/>
    <s v="Masculino"/>
    <s v="Montagem"/>
    <s v="Operador"/>
    <s v="2º Turno"/>
    <x v="0"/>
    <s v="Sim"/>
    <x v="0"/>
    <d v="2026-02-06T00:00:00"/>
    <d v="2026-02-01T00:00:00"/>
    <s v="sex"/>
    <x v="3"/>
    <x v="0"/>
    <d v="2026-06-12T00:00:00"/>
    <s v="130646059"/>
  </r>
  <r>
    <n v="1306"/>
    <n v="47"/>
    <s v="Masculino"/>
    <s v="Montagem"/>
    <s v="Operador"/>
    <s v="2º Turno"/>
    <x v="0"/>
    <s v="Sim"/>
    <x v="0"/>
    <d v="2026-03-30T00:00:00"/>
    <d v="2026-03-01T00:00:00"/>
    <s v="seg"/>
    <x v="4"/>
    <x v="0"/>
    <d v="2026-06-12T00:00:00"/>
    <s v="130646111"/>
  </r>
  <r>
    <n v="1307"/>
    <n v="42"/>
    <s v="Masculino"/>
    <s v="Qualidade"/>
    <s v="Analista"/>
    <s v="3º Turno"/>
    <x v="3"/>
    <s v="Sim"/>
    <x v="2"/>
    <d v="2025-10-08T00:00:00"/>
    <d v="2025-10-01T00:00:00"/>
    <s v="qua"/>
    <x v="11"/>
    <x v="1"/>
    <d v="2026-04-30T00:00:00"/>
    <s v="130745938"/>
  </r>
  <r>
    <n v="1307"/>
    <n v="42"/>
    <s v="Masculino"/>
    <s v="Qualidade"/>
    <s v="Analista"/>
    <s v="3º Turno"/>
    <x v="0"/>
    <s v="Sim"/>
    <x v="2"/>
    <d v="2025-11-10T00:00:00"/>
    <d v="2025-11-01T00:00:00"/>
    <s v="seg"/>
    <x v="10"/>
    <x v="1"/>
    <d v="2026-04-30T00:00:00"/>
    <s v="130745971"/>
  </r>
  <r>
    <n v="1307"/>
    <n v="42"/>
    <s v="Masculino"/>
    <s v="Qualidade"/>
    <s v="Analista"/>
    <s v="3º Turno"/>
    <x v="0"/>
    <s v="Sim"/>
    <x v="2"/>
    <d v="2026-02-08T00:00:00"/>
    <d v="2026-02-01T00:00:00"/>
    <s v="dom"/>
    <x v="3"/>
    <x v="0"/>
    <d v="2026-04-30T00:00:00"/>
    <s v="130746061"/>
  </r>
  <r>
    <n v="1307"/>
    <n v="42"/>
    <s v="Masculino"/>
    <s v="Qualidade"/>
    <s v="Analista"/>
    <s v="3º Turno"/>
    <x v="0"/>
    <s v="Sim"/>
    <x v="2"/>
    <d v="2026-03-22T00:00:00"/>
    <d v="2026-03-01T00:00:00"/>
    <s v="dom"/>
    <x v="4"/>
    <x v="0"/>
    <d v="2026-04-30T00:00:00"/>
    <s v="130746103"/>
  </r>
  <r>
    <n v="1307"/>
    <n v="42"/>
    <s v="Masculino"/>
    <s v="Qualidade"/>
    <s v="Analista"/>
    <s v="3º Turno"/>
    <x v="0"/>
    <s v="Sim"/>
    <x v="2"/>
    <d v="2026-03-23T00:00:00"/>
    <d v="2026-03-01T00:00:00"/>
    <s v="seg"/>
    <x v="4"/>
    <x v="0"/>
    <d v="2026-04-30T00:00:00"/>
    <s v="130746104"/>
  </r>
  <r>
    <n v="1307"/>
    <n v="42"/>
    <s v="Masculino"/>
    <s v="Qualidade"/>
    <s v="Analista"/>
    <s v="3º Turno"/>
    <x v="0"/>
    <s v="Sim"/>
    <x v="2"/>
    <d v="2026-03-29T00:00:00"/>
    <d v="2026-03-01T00:00:00"/>
    <s v="dom"/>
    <x v="4"/>
    <x v="0"/>
    <d v="2026-04-30T00:00:00"/>
    <s v="130746110"/>
  </r>
  <r>
    <n v="1308"/>
    <n v="54"/>
    <s v="Masculino"/>
    <s v="Montagem"/>
    <s v="Operador"/>
    <s v="2º Turno"/>
    <x v="0"/>
    <s v="Não"/>
    <x v="0"/>
    <d v="2025-07-11T00:00:00"/>
    <d v="2025-07-01T00:00:00"/>
    <s v="sex"/>
    <x v="6"/>
    <x v="1"/>
    <m/>
    <s v="130845849"/>
  </r>
  <r>
    <n v="1308"/>
    <n v="54"/>
    <s v="Masculino"/>
    <s v="Montagem"/>
    <s v="Operador"/>
    <s v="2º Turno"/>
    <x v="4"/>
    <s v="Não"/>
    <x v="0"/>
    <d v="2025-07-16T00:00:00"/>
    <d v="2025-07-01T00:00:00"/>
    <s v="qua"/>
    <x v="6"/>
    <x v="1"/>
    <m/>
    <s v="130845854"/>
  </r>
  <r>
    <n v="1308"/>
    <n v="54"/>
    <s v="Masculino"/>
    <s v="Montagem"/>
    <s v="Operador"/>
    <s v="2º Turno"/>
    <x v="0"/>
    <s v="Não"/>
    <x v="0"/>
    <d v="2025-08-05T00:00:00"/>
    <d v="2025-08-01T00:00:00"/>
    <s v="ter"/>
    <x v="9"/>
    <x v="1"/>
    <m/>
    <s v="130845874"/>
  </r>
  <r>
    <n v="1308"/>
    <n v="54"/>
    <s v="Masculino"/>
    <s v="Montagem"/>
    <s v="Operador"/>
    <s v="2º Turno"/>
    <x v="0"/>
    <s v="Não"/>
    <x v="0"/>
    <d v="2025-09-12T00:00:00"/>
    <d v="2025-09-01T00:00:00"/>
    <s v="sex"/>
    <x v="7"/>
    <x v="1"/>
    <m/>
    <s v="130845912"/>
  </r>
  <r>
    <n v="1308"/>
    <n v="54"/>
    <s v="Masculino"/>
    <s v="Montagem"/>
    <s v="Operador"/>
    <s v="2º Turno"/>
    <x v="0"/>
    <s v="Não"/>
    <x v="0"/>
    <d v="2026-03-11T00:00:00"/>
    <d v="2026-03-01T00:00:00"/>
    <s v="qua"/>
    <x v="4"/>
    <x v="0"/>
    <m/>
    <s v="130846092"/>
  </r>
  <r>
    <n v="1309"/>
    <n v="45"/>
    <s v="Masculino"/>
    <s v="Soldagem"/>
    <s v="Operador"/>
    <s v="1º Turno"/>
    <x v="1"/>
    <s v="Não"/>
    <x v="0"/>
    <d v="2025-06-09T00:00:00"/>
    <d v="2025-06-01T00:00:00"/>
    <s v="seg"/>
    <x v="1"/>
    <x v="1"/>
    <m/>
    <s v="130945817"/>
  </r>
  <r>
    <n v="1309"/>
    <n v="45"/>
    <s v="Masculino"/>
    <s v="Soldagem"/>
    <s v="Operador"/>
    <s v="1º Turno"/>
    <x v="2"/>
    <s v="Não"/>
    <x v="0"/>
    <d v="2025-06-23T00:00:00"/>
    <d v="2025-06-01T00:00:00"/>
    <s v="seg"/>
    <x v="1"/>
    <x v="1"/>
    <m/>
    <s v="130945831"/>
  </r>
  <r>
    <n v="1309"/>
    <n v="45"/>
    <s v="Masculino"/>
    <s v="Soldagem"/>
    <s v="Operador"/>
    <s v="1º Turno"/>
    <x v="2"/>
    <s v="Não"/>
    <x v="0"/>
    <d v="2025-06-27T00:00:00"/>
    <d v="2025-06-01T00:00:00"/>
    <s v="sex"/>
    <x v="1"/>
    <x v="1"/>
    <m/>
    <s v="130945835"/>
  </r>
  <r>
    <n v="1309"/>
    <n v="45"/>
    <s v="Masculino"/>
    <s v="Soldagem"/>
    <s v="Operador"/>
    <s v="1º Turno"/>
    <x v="0"/>
    <s v="Não"/>
    <x v="0"/>
    <d v="2025-07-02T00:00:00"/>
    <d v="2025-07-01T00:00:00"/>
    <s v="qua"/>
    <x v="6"/>
    <x v="1"/>
    <m/>
    <s v="130945840"/>
  </r>
  <r>
    <n v="1309"/>
    <n v="45"/>
    <s v="Masculino"/>
    <s v="Soldagem"/>
    <s v="Operador"/>
    <s v="1º Turno"/>
    <x v="2"/>
    <s v="Não"/>
    <x v="0"/>
    <d v="2025-12-20T00:00:00"/>
    <d v="2025-12-01T00:00:00"/>
    <s v="sáb"/>
    <x v="8"/>
    <x v="1"/>
    <m/>
    <s v="130946011"/>
  </r>
  <r>
    <n v="1311"/>
    <n v="52"/>
    <s v="Masculino"/>
    <s v="Logistica"/>
    <s v="Operador"/>
    <s v="2º Turno"/>
    <x v="0"/>
    <s v="Não"/>
    <x v="0"/>
    <d v="2025-06-30T00:00:00"/>
    <d v="2025-06-01T00:00:00"/>
    <s v="seg"/>
    <x v="1"/>
    <x v="1"/>
    <m/>
    <s v="131145838"/>
  </r>
  <r>
    <n v="1311"/>
    <n v="52"/>
    <s v="Masculino"/>
    <s v="Logistica"/>
    <s v="Operador"/>
    <s v="2º Turno"/>
    <x v="0"/>
    <s v="Não"/>
    <x v="0"/>
    <d v="2025-07-22T00:00:00"/>
    <d v="2025-07-01T00:00:00"/>
    <s v="ter"/>
    <x v="6"/>
    <x v="1"/>
    <m/>
    <s v="131145860"/>
  </r>
  <r>
    <n v="1311"/>
    <n v="52"/>
    <s v="Masculino"/>
    <s v="Logistica"/>
    <s v="Operador"/>
    <s v="2º Turno"/>
    <x v="0"/>
    <s v="Não"/>
    <x v="0"/>
    <d v="2025-09-18T00:00:00"/>
    <d v="2025-09-01T00:00:00"/>
    <s v="qui"/>
    <x v="7"/>
    <x v="1"/>
    <m/>
    <s v="131145918"/>
  </r>
  <r>
    <n v="1311"/>
    <n v="52"/>
    <s v="Masculino"/>
    <s v="Logistica"/>
    <s v="Operador"/>
    <s v="2º Turno"/>
    <x v="1"/>
    <s v="Não"/>
    <x v="0"/>
    <d v="2025-09-27T00:00:00"/>
    <d v="2025-09-01T00:00:00"/>
    <s v="sáb"/>
    <x v="7"/>
    <x v="1"/>
    <m/>
    <s v="131145927"/>
  </r>
  <r>
    <n v="1311"/>
    <n v="52"/>
    <s v="Masculino"/>
    <s v="Logistica"/>
    <s v="Operador"/>
    <s v="2º Turno"/>
    <x v="1"/>
    <s v="Não"/>
    <x v="0"/>
    <d v="2025-10-27T00:00:00"/>
    <d v="2025-10-01T00:00:00"/>
    <s v="seg"/>
    <x v="11"/>
    <x v="1"/>
    <m/>
    <s v="131145957"/>
  </r>
  <r>
    <n v="1312"/>
    <n v="24"/>
    <s v="Masculino"/>
    <s v="Logistica"/>
    <s v="Operador"/>
    <s v="3º Turno"/>
    <x v="0"/>
    <s v="Não"/>
    <x v="0"/>
    <d v="2025-09-22T00:00:00"/>
    <d v="2025-09-01T00:00:00"/>
    <s v="seg"/>
    <x v="7"/>
    <x v="1"/>
    <m/>
    <s v="131245922"/>
  </r>
  <r>
    <n v="1312"/>
    <n v="24"/>
    <s v="Masculino"/>
    <s v="Logistica"/>
    <s v="Operador"/>
    <s v="3º Turno"/>
    <x v="0"/>
    <s v="Não"/>
    <x v="0"/>
    <d v="2025-10-21T00:00:00"/>
    <d v="2025-10-01T00:00:00"/>
    <s v="ter"/>
    <x v="11"/>
    <x v="1"/>
    <m/>
    <s v="131245951"/>
  </r>
  <r>
    <n v="1312"/>
    <n v="24"/>
    <s v="Masculino"/>
    <s v="Logistica"/>
    <s v="Operador"/>
    <s v="3º Turno"/>
    <x v="0"/>
    <s v="Não"/>
    <x v="0"/>
    <d v="2026-06-26T00:00:00"/>
    <d v="2026-01-01T00:00:00"/>
    <s v="sex"/>
    <x v="1"/>
    <x v="0"/>
    <m/>
    <s v="131246199"/>
  </r>
  <r>
    <n v="1312"/>
    <n v="24"/>
    <s v="Masculino"/>
    <s v="Logistica"/>
    <s v="Operador"/>
    <s v="3º Turno"/>
    <x v="0"/>
    <s v="Não"/>
    <x v="0"/>
    <d v="2026-06-27T00:00:00"/>
    <d v="2026-01-01T00:00:00"/>
    <s v="sáb"/>
    <x v="1"/>
    <x v="0"/>
    <m/>
    <s v="131246200"/>
  </r>
  <r>
    <n v="1313"/>
    <n v="49"/>
    <s v="Feminino"/>
    <s v="Montagem"/>
    <s v="Operador"/>
    <s v="2º Turno"/>
    <x v="4"/>
    <s v="Não"/>
    <x v="2"/>
    <d v="2025-05-02T00:00:00"/>
    <d v="2025-05-01T00:00:00"/>
    <s v="sex"/>
    <x v="0"/>
    <x v="1"/>
    <m/>
    <s v="131345779"/>
  </r>
  <r>
    <n v="1313"/>
    <n v="49"/>
    <s v="Feminino"/>
    <s v="Montagem"/>
    <s v="Operador"/>
    <s v="2º Turno"/>
    <x v="4"/>
    <s v="Não"/>
    <x v="2"/>
    <d v="2025-06-19T00:00:00"/>
    <d v="2025-06-01T00:00:00"/>
    <s v="qui"/>
    <x v="1"/>
    <x v="1"/>
    <m/>
    <s v="131345827"/>
  </r>
  <r>
    <n v="1313"/>
    <n v="49"/>
    <s v="Feminino"/>
    <s v="Montagem"/>
    <s v="Operador"/>
    <s v="2º Turno"/>
    <x v="4"/>
    <s v="Não"/>
    <x v="2"/>
    <d v="2025-11-07T00:00:00"/>
    <d v="2025-11-01T00:00:00"/>
    <s v="sex"/>
    <x v="10"/>
    <x v="1"/>
    <m/>
    <s v="131345968"/>
  </r>
  <r>
    <n v="1313"/>
    <n v="49"/>
    <s v="Feminino"/>
    <s v="Montagem"/>
    <s v="Operador"/>
    <s v="2º Turno"/>
    <x v="4"/>
    <s v="Não"/>
    <x v="2"/>
    <d v="2025-12-08T00:00:00"/>
    <d v="2025-12-01T00:00:00"/>
    <s v="seg"/>
    <x v="8"/>
    <x v="1"/>
    <m/>
    <s v="131345999"/>
  </r>
  <r>
    <n v="1313"/>
    <n v="49"/>
    <s v="Feminino"/>
    <s v="Montagem"/>
    <s v="Operador"/>
    <s v="2º Turno"/>
    <x v="4"/>
    <s v="Não"/>
    <x v="2"/>
    <d v="2026-06-29T00:00:00"/>
    <d v="2026-01-01T00:00:00"/>
    <s v="seg"/>
    <x v="1"/>
    <x v="0"/>
    <m/>
    <s v="131346202"/>
  </r>
  <r>
    <n v="1313"/>
    <n v="49"/>
    <s v="Feminino"/>
    <s v="Montagem"/>
    <s v="Operador"/>
    <s v="2º Turno"/>
    <x v="4"/>
    <s v="Não"/>
    <x v="2"/>
    <d v="2026-02-20T00:00:00"/>
    <d v="2026-02-01T00:00:00"/>
    <s v="sex"/>
    <x v="3"/>
    <x v="0"/>
    <m/>
    <s v="131346073"/>
  </r>
  <r>
    <n v="1313"/>
    <n v="49"/>
    <s v="Feminino"/>
    <s v="Montagem"/>
    <s v="Operador"/>
    <s v="2º Turno"/>
    <x v="4"/>
    <s v="Não"/>
    <x v="2"/>
    <d v="2026-05-02T00:00:00"/>
    <d v="2026-05-01T00:00:00"/>
    <s v="sex"/>
    <x v="0"/>
    <x v="1"/>
    <m/>
    <s v="131346144"/>
  </r>
  <r>
    <n v="1315"/>
    <n v="43"/>
    <s v="Masculino"/>
    <s v="Soldagem"/>
    <s v="Operador"/>
    <s v="3º Turno"/>
    <x v="2"/>
    <s v="Não"/>
    <x v="0"/>
    <d v="2025-06-22T00:00:00"/>
    <d v="2025-06-01T00:00:00"/>
    <s v="dom"/>
    <x v="1"/>
    <x v="1"/>
    <m/>
    <s v="131545830"/>
  </r>
  <r>
    <n v="1315"/>
    <n v="43"/>
    <s v="Masculino"/>
    <s v="Soldagem"/>
    <s v="Operador"/>
    <s v="3º Turno"/>
    <x v="3"/>
    <s v="Não"/>
    <x v="0"/>
    <d v="2025-06-25T00:00:00"/>
    <d v="2025-06-01T00:00:00"/>
    <s v="qua"/>
    <x v="1"/>
    <x v="1"/>
    <m/>
    <s v="131545833"/>
  </r>
  <r>
    <n v="1315"/>
    <n v="43"/>
    <s v="Masculino"/>
    <s v="Soldagem"/>
    <s v="Operador"/>
    <s v="3º Turno"/>
    <x v="2"/>
    <s v="Não"/>
    <x v="0"/>
    <d v="2025-09-28T00:00:00"/>
    <d v="2025-09-01T00:00:00"/>
    <s v="dom"/>
    <x v="7"/>
    <x v="1"/>
    <m/>
    <s v="131545928"/>
  </r>
  <r>
    <n v="1315"/>
    <n v="43"/>
    <s v="Masculino"/>
    <s v="Soldagem"/>
    <s v="Operador"/>
    <s v="3º Turno"/>
    <x v="3"/>
    <s v="Não"/>
    <x v="0"/>
    <d v="2025-09-29T00:00:00"/>
    <d v="2025-09-01T00:00:00"/>
    <s v="seg"/>
    <x v="7"/>
    <x v="1"/>
    <m/>
    <s v="131545929"/>
  </r>
  <r>
    <n v="1315"/>
    <n v="43"/>
    <s v="Masculino"/>
    <s v="Soldagem"/>
    <s v="Operador"/>
    <s v="3º Turno"/>
    <x v="3"/>
    <s v="Não"/>
    <x v="0"/>
    <d v="2026-06-07T00:00:00"/>
    <d v="2026-01-01T00:00:00"/>
    <s v="dom"/>
    <x v="1"/>
    <x v="0"/>
    <m/>
    <s v="131546180"/>
  </r>
  <r>
    <n v="1315"/>
    <n v="43"/>
    <s v="Masculino"/>
    <s v="Soldagem"/>
    <s v="Operador"/>
    <s v="3º Turno"/>
    <x v="3"/>
    <s v="Não"/>
    <x v="0"/>
    <d v="2026-06-14T00:00:00"/>
    <d v="2026-01-01T00:00:00"/>
    <s v="dom"/>
    <x v="1"/>
    <x v="0"/>
    <m/>
    <s v="131546187"/>
  </r>
  <r>
    <n v="1316"/>
    <n v="18"/>
    <s v="Feminino"/>
    <s v="Pintura"/>
    <s v="Operador"/>
    <s v="1º Turno"/>
    <x v="0"/>
    <s v="Não"/>
    <x v="1"/>
    <d v="2025-06-04T00:00:00"/>
    <d v="2025-06-01T00:00:00"/>
    <s v="qua"/>
    <x v="1"/>
    <x v="1"/>
    <m/>
    <s v="131645812"/>
  </r>
  <r>
    <n v="1316"/>
    <n v="18"/>
    <s v="Feminino"/>
    <s v="Pintura"/>
    <s v="Operador"/>
    <s v="1º Turno"/>
    <x v="0"/>
    <s v="Não"/>
    <x v="1"/>
    <d v="2025-06-30T00:00:00"/>
    <d v="2025-06-01T00:00:00"/>
    <s v="seg"/>
    <x v="1"/>
    <x v="1"/>
    <m/>
    <s v="131645838"/>
  </r>
  <r>
    <n v="1316"/>
    <n v="18"/>
    <s v="Feminino"/>
    <s v="Pintura"/>
    <s v="Operador"/>
    <s v="1º Turno"/>
    <x v="0"/>
    <s v="Não"/>
    <x v="1"/>
    <d v="2025-11-21T00:00:00"/>
    <d v="2025-11-01T00:00:00"/>
    <s v="sex"/>
    <x v="10"/>
    <x v="1"/>
    <m/>
    <s v="131645982"/>
  </r>
  <r>
    <n v="1316"/>
    <n v="18"/>
    <s v="Feminino"/>
    <s v="Pintura"/>
    <s v="Operador"/>
    <s v="1º Turno"/>
    <x v="0"/>
    <s v="Não"/>
    <x v="1"/>
    <d v="2025-12-17T00:00:00"/>
    <d v="2025-12-01T00:00:00"/>
    <s v="qua"/>
    <x v="8"/>
    <x v="1"/>
    <m/>
    <s v="131646008"/>
  </r>
  <r>
    <n v="1316"/>
    <n v="18"/>
    <s v="Feminino"/>
    <s v="Pintura"/>
    <s v="Operador"/>
    <s v="1º Turno"/>
    <x v="0"/>
    <s v="Não"/>
    <x v="1"/>
    <d v="2026-06-13T00:00:00"/>
    <d v="2026-01-01T00:00:00"/>
    <s v="sáb"/>
    <x v="1"/>
    <x v="0"/>
    <m/>
    <s v="131646186"/>
  </r>
  <r>
    <n v="1316"/>
    <n v="18"/>
    <s v="Feminino"/>
    <s v="Pintura"/>
    <s v="Operador"/>
    <s v="1º Turno"/>
    <x v="0"/>
    <s v="Não"/>
    <x v="1"/>
    <d v="2026-04-26T00:00:00"/>
    <m/>
    <s v="dom"/>
    <x v="2"/>
    <x v="0"/>
    <m/>
    <s v="131646138"/>
  </r>
  <r>
    <n v="1316"/>
    <n v="18"/>
    <s v="Feminino"/>
    <s v="Pintura"/>
    <s v="Operador"/>
    <s v="1º Turno"/>
    <x v="0"/>
    <s v="Não"/>
    <x v="1"/>
    <d v="2026-04-28T00:00:00"/>
    <m/>
    <s v="ter"/>
    <x v="2"/>
    <x v="0"/>
    <m/>
    <s v="131646140"/>
  </r>
  <r>
    <n v="1316"/>
    <n v="18"/>
    <s v="Feminino"/>
    <s v="Pintura"/>
    <s v="Operador"/>
    <s v="1º Turno"/>
    <x v="0"/>
    <s v="Não"/>
    <x v="1"/>
    <d v="2026-04-29T00:00:00"/>
    <m/>
    <s v="qua"/>
    <x v="2"/>
    <x v="0"/>
    <m/>
    <s v="131646141"/>
  </r>
  <r>
    <n v="1316"/>
    <n v="18"/>
    <s v="Feminino"/>
    <s v="Pintura"/>
    <s v="Operador"/>
    <s v="1º Turno"/>
    <x v="0"/>
    <s v="Não"/>
    <x v="1"/>
    <d v="2026-04-01T00:00:00"/>
    <m/>
    <s v="qua"/>
    <x v="2"/>
    <x v="0"/>
    <m/>
    <s v="131646113"/>
  </r>
  <r>
    <n v="1316"/>
    <n v="18"/>
    <s v="Feminino"/>
    <s v="Pintura"/>
    <s v="Operador"/>
    <s v="1º Turno"/>
    <x v="0"/>
    <s v="Não"/>
    <x v="1"/>
    <d v="2026-04-02T00:00:00"/>
    <m/>
    <s v="qui"/>
    <x v="2"/>
    <x v="0"/>
    <m/>
    <s v="131646114"/>
  </r>
  <r>
    <n v="1316"/>
    <n v="18"/>
    <s v="Feminino"/>
    <s v="Pintura"/>
    <s v="Operador"/>
    <s v="1º Turno"/>
    <x v="0"/>
    <s v="Não"/>
    <x v="1"/>
    <d v="2026-04-10T00:00:00"/>
    <m/>
    <s v="sex"/>
    <x v="2"/>
    <x v="0"/>
    <m/>
    <s v="131646122"/>
  </r>
  <r>
    <n v="1316"/>
    <n v="18"/>
    <s v="Feminino"/>
    <s v="Pintura"/>
    <s v="Operador"/>
    <s v="1º Turno"/>
    <x v="0"/>
    <s v="Não"/>
    <x v="1"/>
    <d v="2026-04-15T00:00:00"/>
    <m/>
    <s v="qua"/>
    <x v="2"/>
    <x v="0"/>
    <m/>
    <s v="131646127"/>
  </r>
  <r>
    <n v="1316"/>
    <n v="18"/>
    <s v="Feminino"/>
    <s v="Pintura"/>
    <s v="Operador"/>
    <s v="1º Turno"/>
    <x v="0"/>
    <s v="Não"/>
    <x v="1"/>
    <d v="2026-05-01T00:00:00"/>
    <m/>
    <s v="sex"/>
    <x v="0"/>
    <x v="0"/>
    <m/>
    <s v="131646143"/>
  </r>
  <r>
    <n v="1316"/>
    <n v="18"/>
    <s v="Feminino"/>
    <s v="Pintura"/>
    <s v="Operador"/>
    <s v="1º Turno"/>
    <x v="0"/>
    <s v="Não"/>
    <x v="1"/>
    <d v="2026-05-02T00:00:00"/>
    <m/>
    <s v="sáb"/>
    <x v="0"/>
    <x v="0"/>
    <m/>
    <s v="131646144"/>
  </r>
  <r>
    <n v="1316"/>
    <n v="18"/>
    <s v="Feminino"/>
    <s v="Pintura"/>
    <s v="Operador"/>
    <s v="1º Turno"/>
    <x v="0"/>
    <s v="Não"/>
    <x v="1"/>
    <d v="2026-05-10T00:00:00"/>
    <m/>
    <s v="dom"/>
    <x v="0"/>
    <x v="0"/>
    <m/>
    <s v="131646152"/>
  </r>
  <r>
    <n v="1316"/>
    <n v="18"/>
    <s v="Feminino"/>
    <s v="Pintura"/>
    <s v="Operador"/>
    <s v="1º Turno"/>
    <x v="0"/>
    <s v="Não"/>
    <x v="1"/>
    <d v="2026-05-15T00:00:00"/>
    <m/>
    <s v="sex"/>
    <x v="0"/>
    <x v="0"/>
    <m/>
    <s v="131646157"/>
  </r>
  <r>
    <n v="1317"/>
    <n v="31"/>
    <s v="Feminino"/>
    <s v="Pintura"/>
    <s v="Operador"/>
    <s v="3º Turno"/>
    <x v="0"/>
    <s v="Sim"/>
    <x v="1"/>
    <d v="2025-06-17T00:00:00"/>
    <d v="2025-06-01T00:00:00"/>
    <s v="ter"/>
    <x v="1"/>
    <x v="1"/>
    <d v="2025-08-28T00:00:00"/>
    <s v="131745825"/>
  </r>
  <r>
    <n v="1317"/>
    <n v="31"/>
    <s v="Feminino"/>
    <s v="Pintura"/>
    <s v="Operador"/>
    <s v="3º Turno"/>
    <x v="0"/>
    <s v="Sim"/>
    <x v="1"/>
    <d v="2025-06-28T00:00:00"/>
    <d v="2025-06-01T00:00:00"/>
    <s v="sáb"/>
    <x v="1"/>
    <x v="1"/>
    <d v="2025-08-28T00:00:00"/>
    <s v="131745836"/>
  </r>
  <r>
    <n v="1317"/>
    <n v="31"/>
    <s v="Feminino"/>
    <s v="Pintura"/>
    <s v="Operador"/>
    <s v="3º Turno"/>
    <x v="0"/>
    <s v="Sim"/>
    <x v="1"/>
    <d v="2025-07-31T00:00:00"/>
    <d v="2025-07-01T00:00:00"/>
    <s v="qui"/>
    <x v="6"/>
    <x v="1"/>
    <d v="2025-08-28T00:00:00"/>
    <s v="131745869"/>
  </r>
  <r>
    <n v="1317"/>
    <n v="31"/>
    <s v="Feminino"/>
    <s v="Pintura"/>
    <s v="Operador"/>
    <s v="3º Turno"/>
    <x v="0"/>
    <s v="Sim"/>
    <x v="1"/>
    <d v="2025-08-01T00:00:00"/>
    <d v="2025-08-01T00:00:00"/>
    <s v="sex"/>
    <x v="9"/>
    <x v="1"/>
    <d v="2025-08-28T00:00:00"/>
    <s v="131745870"/>
  </r>
  <r>
    <n v="1318"/>
    <n v="45"/>
    <s v="Masculino"/>
    <s v="Soldagem"/>
    <s v="Operador"/>
    <s v="2º Turno"/>
    <x v="0"/>
    <s v="Sim"/>
    <x v="2"/>
    <d v="2025-07-22T00:00:00"/>
    <d v="2025-07-01T00:00:00"/>
    <s v="ter"/>
    <x v="6"/>
    <x v="1"/>
    <d v="2026-04-21T00:00:00"/>
    <s v="131845860"/>
  </r>
  <r>
    <n v="1318"/>
    <n v="45"/>
    <s v="Masculino"/>
    <s v="Soldagem"/>
    <s v="Operador"/>
    <s v="2º Turno"/>
    <x v="3"/>
    <s v="Sim"/>
    <x v="2"/>
    <d v="2025-09-20T00:00:00"/>
    <d v="2025-09-01T00:00:00"/>
    <s v="sáb"/>
    <x v="7"/>
    <x v="1"/>
    <d v="2026-04-21T00:00:00"/>
    <s v="131845920"/>
  </r>
  <r>
    <n v="1318"/>
    <n v="45"/>
    <s v="Masculino"/>
    <s v="Soldagem"/>
    <s v="Operador"/>
    <s v="2º Turno"/>
    <x v="0"/>
    <s v="Sim"/>
    <x v="2"/>
    <d v="2025-10-20T00:00:00"/>
    <d v="2025-10-01T00:00:00"/>
    <s v="seg"/>
    <x v="11"/>
    <x v="1"/>
    <d v="2026-04-21T00:00:00"/>
    <s v="131845950"/>
  </r>
  <r>
    <n v="1318"/>
    <n v="45"/>
    <s v="Masculino"/>
    <s v="Soldagem"/>
    <s v="Operador"/>
    <s v="2º Turno"/>
    <x v="0"/>
    <s v="Sim"/>
    <x v="2"/>
    <d v="2025-11-07T00:00:00"/>
    <d v="2025-11-01T00:00:00"/>
    <s v="sex"/>
    <x v="10"/>
    <x v="1"/>
    <d v="2026-04-21T00:00:00"/>
    <s v="131845968"/>
  </r>
  <r>
    <n v="1318"/>
    <n v="45"/>
    <s v="Masculino"/>
    <s v="Soldagem"/>
    <s v="Operador"/>
    <s v="2º Turno"/>
    <x v="0"/>
    <s v="Sim"/>
    <x v="2"/>
    <d v="2025-11-25T00:00:00"/>
    <d v="2025-11-01T00:00:00"/>
    <s v="ter"/>
    <x v="10"/>
    <x v="1"/>
    <d v="2026-04-21T00:00:00"/>
    <s v="131845986"/>
  </r>
  <r>
    <n v="1318"/>
    <n v="45"/>
    <s v="Masculino"/>
    <s v="Soldagem"/>
    <s v="Operador"/>
    <s v="2º Turno"/>
    <x v="0"/>
    <s v="Sim"/>
    <x v="2"/>
    <d v="2026-02-06T00:00:00"/>
    <d v="2026-02-01T00:00:00"/>
    <s v="sex"/>
    <x v="3"/>
    <x v="0"/>
    <d v="2026-04-21T00:00:00"/>
    <s v="131846059"/>
  </r>
  <r>
    <n v="1319"/>
    <n v="30"/>
    <s v="Masculino"/>
    <s v="Montagem"/>
    <s v="Operador"/>
    <s v="1º Turno"/>
    <x v="0"/>
    <s v="Sim"/>
    <x v="1"/>
    <d v="2025-05-13T00:00:00"/>
    <d v="2025-05-01T00:00:00"/>
    <s v="ter"/>
    <x v="0"/>
    <x v="1"/>
    <d v="2025-05-26T00:00:00"/>
    <s v="131945790"/>
  </r>
  <r>
    <n v="1319"/>
    <n v="30"/>
    <s v="Masculino"/>
    <s v="Montagem"/>
    <s v="Operador"/>
    <s v="1º Turno"/>
    <x v="0"/>
    <s v="Sim"/>
    <x v="1"/>
    <d v="2025-05-14T00:00:00"/>
    <d v="2025-05-01T00:00:00"/>
    <s v="qua"/>
    <x v="0"/>
    <x v="1"/>
    <d v="2025-05-26T00:00:00"/>
    <s v="131945791"/>
  </r>
  <r>
    <n v="1319"/>
    <n v="30"/>
    <s v="Masculino"/>
    <s v="Montagem"/>
    <s v="Operador"/>
    <s v="1º Turno"/>
    <x v="0"/>
    <s v="Sim"/>
    <x v="1"/>
    <d v="2025-05-18T00:00:00"/>
    <d v="2025-05-01T00:00:00"/>
    <s v="dom"/>
    <x v="0"/>
    <x v="1"/>
    <d v="2025-05-26T00:00:00"/>
    <s v="131945795"/>
  </r>
  <r>
    <n v="1319"/>
    <n v="30"/>
    <s v="Masculino"/>
    <s v="Montagem"/>
    <s v="Operador"/>
    <s v="1º Turno"/>
    <x v="0"/>
    <s v="Sim"/>
    <x v="1"/>
    <d v="2025-05-19T00:00:00"/>
    <d v="2025-05-01T00:00:00"/>
    <s v="seg"/>
    <x v="0"/>
    <x v="1"/>
    <d v="2025-05-26T00:00:00"/>
    <s v="131945796"/>
  </r>
  <r>
    <n v="1319"/>
    <n v="30"/>
    <s v="Masculino"/>
    <s v="Montagem"/>
    <s v="Operador"/>
    <s v="1º Turno"/>
    <x v="0"/>
    <s v="Sim"/>
    <x v="1"/>
    <d v="2025-05-21T00:00:00"/>
    <d v="2025-05-01T00:00:00"/>
    <s v="qua"/>
    <x v="0"/>
    <x v="1"/>
    <d v="2025-05-26T00:00:00"/>
    <s v="131945798"/>
  </r>
  <r>
    <n v="1320"/>
    <n v="52"/>
    <s v="Feminino"/>
    <s v="Qualidade"/>
    <s v="Analista"/>
    <s v="1º Turno"/>
    <x v="2"/>
    <s v="Sim"/>
    <x v="1"/>
    <d v="2025-04-15T00:00:00"/>
    <d v="2025-04-01T00:00:00"/>
    <s v="ter"/>
    <x v="2"/>
    <x v="1"/>
    <d v="2025-09-29T00:00:00"/>
    <s v="132045762"/>
  </r>
  <r>
    <n v="1320"/>
    <n v="52"/>
    <s v="Feminino"/>
    <s v="Qualidade"/>
    <s v="Analista"/>
    <s v="1º Turno"/>
    <x v="0"/>
    <s v="Sim"/>
    <x v="1"/>
    <d v="2025-07-04T00:00:00"/>
    <d v="2025-07-01T00:00:00"/>
    <s v="sex"/>
    <x v="6"/>
    <x v="1"/>
    <d v="2025-09-29T00:00:00"/>
    <s v="132045842"/>
  </r>
  <r>
    <n v="1320"/>
    <n v="52"/>
    <s v="Feminino"/>
    <s v="Qualidade"/>
    <s v="Analista"/>
    <s v="1º Turno"/>
    <x v="0"/>
    <s v="Sim"/>
    <x v="1"/>
    <d v="2025-09-08T00:00:00"/>
    <d v="2025-09-01T00:00:00"/>
    <s v="seg"/>
    <x v="7"/>
    <x v="1"/>
    <d v="2025-09-29T00:00:00"/>
    <s v="132045908"/>
  </r>
  <r>
    <n v="1320"/>
    <n v="52"/>
    <s v="Feminino"/>
    <s v="Qualidade"/>
    <s v="Analista"/>
    <s v="1º Turno"/>
    <x v="0"/>
    <s v="Sim"/>
    <x v="1"/>
    <d v="2025-09-09T00:00:00"/>
    <d v="2025-09-01T00:00:00"/>
    <s v="ter"/>
    <x v="7"/>
    <x v="1"/>
    <d v="2025-09-29T00:00:00"/>
    <s v="132045909"/>
  </r>
  <r>
    <n v="1320"/>
    <n v="52"/>
    <s v="Feminino"/>
    <s v="Qualidade"/>
    <s v="Analista"/>
    <s v="1º Turno"/>
    <x v="2"/>
    <s v="Sim"/>
    <x v="1"/>
    <d v="2025-09-10T00:00:00"/>
    <d v="2025-09-01T00:00:00"/>
    <s v="qua"/>
    <x v="7"/>
    <x v="1"/>
    <d v="2025-09-29T00:00:00"/>
    <s v="132045910"/>
  </r>
  <r>
    <n v="1320"/>
    <n v="52"/>
    <s v="Feminino"/>
    <s v="Qualidade"/>
    <s v="Analista"/>
    <s v="1º Turno"/>
    <x v="2"/>
    <s v="Sim"/>
    <x v="1"/>
    <d v="2025-09-12T00:00:00"/>
    <d v="2025-09-01T00:00:00"/>
    <s v="sex"/>
    <x v="7"/>
    <x v="1"/>
    <d v="2025-09-29T00:00:00"/>
    <s v="132045912"/>
  </r>
  <r>
    <n v="1321"/>
    <n v="42"/>
    <s v="Masculino"/>
    <s v="Qualidade"/>
    <s v="Inspetor"/>
    <s v="2º Turno"/>
    <x v="1"/>
    <s v="Não"/>
    <x v="2"/>
    <d v="2025-07-17T00:00:00"/>
    <d v="2025-07-01T00:00:00"/>
    <s v="qui"/>
    <x v="6"/>
    <x v="1"/>
    <m/>
    <s v="132145855"/>
  </r>
  <r>
    <n v="1321"/>
    <n v="42"/>
    <s v="Masculino"/>
    <s v="Qualidade"/>
    <s v="Inspetor"/>
    <s v="2º Turno"/>
    <x v="1"/>
    <s v="Não"/>
    <x v="2"/>
    <d v="2025-10-28T00:00:00"/>
    <d v="2025-10-01T00:00:00"/>
    <s v="ter"/>
    <x v="11"/>
    <x v="1"/>
    <m/>
    <s v="132145958"/>
  </r>
  <r>
    <n v="1321"/>
    <n v="42"/>
    <s v="Masculino"/>
    <s v="Qualidade"/>
    <s v="Inspetor"/>
    <s v="2º Turno"/>
    <x v="1"/>
    <s v="Não"/>
    <x v="2"/>
    <d v="2025-11-22T00:00:00"/>
    <d v="2025-11-01T00:00:00"/>
    <s v="sáb"/>
    <x v="10"/>
    <x v="1"/>
    <m/>
    <s v="132145983"/>
  </r>
  <r>
    <n v="1321"/>
    <n v="42"/>
    <s v="Masculino"/>
    <s v="Qualidade"/>
    <s v="Inspetor"/>
    <s v="2º Turno"/>
    <x v="1"/>
    <s v="Não"/>
    <x v="2"/>
    <d v="2025-12-08T00:00:00"/>
    <d v="2025-12-01T00:00:00"/>
    <s v="seg"/>
    <x v="8"/>
    <x v="1"/>
    <m/>
    <s v="132145999"/>
  </r>
  <r>
    <n v="1321"/>
    <n v="42"/>
    <s v="Masculino"/>
    <s v="Qualidade"/>
    <s v="Inspetor"/>
    <s v="2º Turno"/>
    <x v="1"/>
    <s v="Não"/>
    <x v="2"/>
    <d v="2026-02-23T00:00:00"/>
    <d v="2026-02-01T00:00:00"/>
    <s v="seg"/>
    <x v="3"/>
    <x v="0"/>
    <m/>
    <s v="132146076"/>
  </r>
  <r>
    <n v="1322"/>
    <n v="21"/>
    <s v="Feminino"/>
    <s v="Soldagem"/>
    <s v="Operador"/>
    <s v="3º Turno"/>
    <x v="1"/>
    <s v="Não"/>
    <x v="1"/>
    <d v="2025-04-25T00:00:00"/>
    <d v="2025-04-01T00:00:00"/>
    <s v="sex"/>
    <x v="2"/>
    <x v="1"/>
    <m/>
    <s v="132245772"/>
  </r>
  <r>
    <n v="1322"/>
    <n v="21"/>
    <s v="Feminino"/>
    <s v="Soldagem"/>
    <s v="Operador"/>
    <s v="3º Turno"/>
    <x v="1"/>
    <s v="Não"/>
    <x v="1"/>
    <d v="2025-06-26T00:00:00"/>
    <d v="2025-06-01T00:00:00"/>
    <s v="qui"/>
    <x v="1"/>
    <x v="1"/>
    <m/>
    <s v="132245834"/>
  </r>
  <r>
    <n v="1322"/>
    <n v="21"/>
    <s v="Feminino"/>
    <s v="Soldagem"/>
    <s v="Operador"/>
    <s v="3º Turno"/>
    <x v="1"/>
    <s v="Não"/>
    <x v="1"/>
    <d v="2025-08-16T00:00:00"/>
    <d v="2025-08-01T00:00:00"/>
    <s v="sáb"/>
    <x v="9"/>
    <x v="1"/>
    <m/>
    <s v="132245885"/>
  </r>
  <r>
    <n v="1322"/>
    <n v="21"/>
    <s v="Feminino"/>
    <s v="Soldagem"/>
    <s v="Operador"/>
    <s v="3º Turno"/>
    <x v="0"/>
    <s v="Não"/>
    <x v="1"/>
    <d v="2025-09-16T00:00:00"/>
    <d v="2025-09-01T00:00:00"/>
    <s v="ter"/>
    <x v="7"/>
    <x v="1"/>
    <m/>
    <s v="132245916"/>
  </r>
  <r>
    <n v="1322"/>
    <n v="21"/>
    <s v="Feminino"/>
    <s v="Soldagem"/>
    <s v="Operador"/>
    <s v="3º Turno"/>
    <x v="0"/>
    <s v="Não"/>
    <x v="1"/>
    <d v="2025-12-13T00:00:00"/>
    <d v="2025-12-01T00:00:00"/>
    <s v="sáb"/>
    <x v="8"/>
    <x v="1"/>
    <m/>
    <s v="132246004"/>
  </r>
  <r>
    <n v="1322"/>
    <n v="21"/>
    <s v="Feminino"/>
    <s v="Soldagem"/>
    <s v="Operador"/>
    <s v="3º Turno"/>
    <x v="1"/>
    <s v="Não"/>
    <x v="1"/>
    <d v="2026-06-16T00:00:00"/>
    <d v="2026-01-01T00:00:00"/>
    <s v="ter"/>
    <x v="1"/>
    <x v="0"/>
    <m/>
    <s v="132246189"/>
  </r>
  <r>
    <n v="1322"/>
    <n v="21"/>
    <s v="Feminino"/>
    <s v="Soldagem"/>
    <s v="Operador"/>
    <s v="3º Turno"/>
    <x v="1"/>
    <s v="Não"/>
    <x v="1"/>
    <d v="2026-04-25T00:00:00"/>
    <d v="2026-04-01T00:00:00"/>
    <s v="sex"/>
    <x v="2"/>
    <x v="1"/>
    <m/>
    <s v="132246137"/>
  </r>
  <r>
    <n v="1323"/>
    <n v="33"/>
    <s v="Masculino"/>
    <s v="Montagem"/>
    <s v="Operador"/>
    <s v="3º Turno"/>
    <x v="0"/>
    <s v="Sim"/>
    <x v="2"/>
    <d v="2025-05-07T00:00:00"/>
    <d v="2025-05-01T00:00:00"/>
    <s v="qua"/>
    <x v="0"/>
    <x v="1"/>
    <d v="2025-10-25T00:00:00"/>
    <s v="132345784"/>
  </r>
  <r>
    <n v="1323"/>
    <n v="33"/>
    <s v="Masculino"/>
    <s v="Montagem"/>
    <s v="Operador"/>
    <s v="3º Turno"/>
    <x v="0"/>
    <s v="Sim"/>
    <x v="2"/>
    <d v="2025-05-21T00:00:00"/>
    <d v="2025-05-01T00:00:00"/>
    <s v="qua"/>
    <x v="0"/>
    <x v="1"/>
    <d v="2025-10-25T00:00:00"/>
    <s v="132345798"/>
  </r>
  <r>
    <n v="1323"/>
    <n v="33"/>
    <s v="Masculino"/>
    <s v="Montagem"/>
    <s v="Operador"/>
    <s v="3º Turno"/>
    <x v="0"/>
    <s v="Sim"/>
    <x v="2"/>
    <d v="2025-06-02T00:00:00"/>
    <d v="2025-06-01T00:00:00"/>
    <s v="seg"/>
    <x v="1"/>
    <x v="1"/>
    <d v="2025-10-25T00:00:00"/>
    <s v="132345810"/>
  </r>
  <r>
    <n v="1323"/>
    <n v="33"/>
    <s v="Masculino"/>
    <s v="Montagem"/>
    <s v="Operador"/>
    <s v="3º Turno"/>
    <x v="0"/>
    <s v="Sim"/>
    <x v="2"/>
    <d v="2025-07-18T00:00:00"/>
    <d v="2025-07-01T00:00:00"/>
    <s v="sex"/>
    <x v="6"/>
    <x v="1"/>
    <d v="2025-10-25T00:00:00"/>
    <s v="132345856"/>
  </r>
  <r>
    <n v="1323"/>
    <n v="33"/>
    <s v="Masculino"/>
    <s v="Montagem"/>
    <s v="Operador"/>
    <s v="3º Turno"/>
    <x v="0"/>
    <s v="Sim"/>
    <x v="2"/>
    <d v="2025-10-10T00:00:00"/>
    <d v="2025-10-01T00:00:00"/>
    <s v="sex"/>
    <x v="11"/>
    <x v="1"/>
    <d v="2025-10-25T00:00:00"/>
    <s v="132345940"/>
  </r>
  <r>
    <n v="1323"/>
    <n v="33"/>
    <s v="Masculino"/>
    <s v="Montagem"/>
    <s v="Operador"/>
    <s v="3º Turno"/>
    <x v="0"/>
    <s v="Sim"/>
    <x v="2"/>
    <d v="2025-10-16T00:00:00"/>
    <d v="2025-10-01T00:00:00"/>
    <s v="qui"/>
    <x v="11"/>
    <x v="1"/>
    <d v="2025-10-25T00:00:00"/>
    <s v="132345946"/>
  </r>
  <r>
    <n v="1324"/>
    <n v="38"/>
    <s v="Feminino"/>
    <s v="Montagem"/>
    <s v="Operador"/>
    <s v="1º Turno"/>
    <x v="4"/>
    <s v="Não"/>
    <x v="1"/>
    <d v="2025-05-16T00:00:00"/>
    <d v="2025-05-01T00:00:00"/>
    <s v="sex"/>
    <x v="0"/>
    <x v="1"/>
    <m/>
    <s v="132445793"/>
  </r>
  <r>
    <n v="1324"/>
    <n v="38"/>
    <s v="Feminino"/>
    <s v="Montagem"/>
    <s v="Operador"/>
    <s v="1º Turno"/>
    <x v="4"/>
    <s v="Não"/>
    <x v="1"/>
    <d v="2025-05-20T00:00:00"/>
    <d v="2025-05-01T00:00:00"/>
    <s v="ter"/>
    <x v="0"/>
    <x v="1"/>
    <m/>
    <s v="132445797"/>
  </r>
  <r>
    <n v="1324"/>
    <n v="38"/>
    <s v="Feminino"/>
    <s v="Montagem"/>
    <s v="Operador"/>
    <s v="1º Turno"/>
    <x v="4"/>
    <s v="Não"/>
    <x v="1"/>
    <d v="2025-08-07T00:00:00"/>
    <d v="2025-08-01T00:00:00"/>
    <s v="qui"/>
    <x v="9"/>
    <x v="1"/>
    <m/>
    <s v="132445876"/>
  </r>
  <r>
    <n v="1324"/>
    <n v="38"/>
    <s v="Feminino"/>
    <s v="Montagem"/>
    <s v="Operador"/>
    <s v="1º Turno"/>
    <x v="0"/>
    <s v="Não"/>
    <x v="1"/>
    <d v="2025-10-24T00:00:00"/>
    <d v="2025-10-01T00:00:00"/>
    <s v="sex"/>
    <x v="11"/>
    <x v="1"/>
    <m/>
    <s v="132445954"/>
  </r>
  <r>
    <n v="1324"/>
    <n v="38"/>
    <s v="Feminino"/>
    <s v="Montagem"/>
    <s v="Operador"/>
    <s v="1º Turno"/>
    <x v="4"/>
    <s v="Não"/>
    <x v="1"/>
    <d v="2025-12-23T00:00:00"/>
    <d v="2025-12-01T00:00:00"/>
    <s v="ter"/>
    <x v="8"/>
    <x v="1"/>
    <m/>
    <s v="132446014"/>
  </r>
  <r>
    <n v="1324"/>
    <n v="38"/>
    <s v="Feminino"/>
    <s v="Montagem"/>
    <s v="Operador"/>
    <s v="1º Turno"/>
    <x v="4"/>
    <s v="Não"/>
    <x v="1"/>
    <d v="2026-05-16T00:00:00"/>
    <d v="2026-05-01T00:00:00"/>
    <s v="sex"/>
    <x v="0"/>
    <x v="1"/>
    <m/>
    <s v="132446158"/>
  </r>
  <r>
    <n v="1324"/>
    <n v="38"/>
    <s v="Feminino"/>
    <s v="Montagem"/>
    <s v="Operador"/>
    <s v="1º Turno"/>
    <x v="4"/>
    <s v="Não"/>
    <x v="1"/>
    <d v="2026-05-20T00:00:00"/>
    <d v="2026-05-01T00:00:00"/>
    <s v="ter"/>
    <x v="0"/>
    <x v="1"/>
    <m/>
    <s v="132446162"/>
  </r>
  <r>
    <n v="1325"/>
    <n v="54"/>
    <s v="Feminino"/>
    <s v="Montagem"/>
    <s v="Operador"/>
    <s v="1º Turno"/>
    <x v="4"/>
    <s v="Não"/>
    <x v="0"/>
    <d v="2025-07-12T00:00:00"/>
    <d v="2025-07-01T00:00:00"/>
    <s v="sáb"/>
    <x v="6"/>
    <x v="1"/>
    <m/>
    <s v="132545850"/>
  </r>
  <r>
    <n v="1325"/>
    <n v="54"/>
    <s v="Feminino"/>
    <s v="Montagem"/>
    <s v="Operador"/>
    <s v="1º Turno"/>
    <x v="4"/>
    <s v="Não"/>
    <x v="0"/>
    <d v="2025-08-04T00:00:00"/>
    <d v="2025-08-01T00:00:00"/>
    <s v="seg"/>
    <x v="9"/>
    <x v="1"/>
    <m/>
    <s v="132545873"/>
  </r>
  <r>
    <n v="1325"/>
    <n v="54"/>
    <s v="Feminino"/>
    <s v="Montagem"/>
    <s v="Operador"/>
    <s v="1º Turno"/>
    <x v="4"/>
    <s v="Não"/>
    <x v="0"/>
    <d v="2025-08-27T00:00:00"/>
    <d v="2025-08-01T00:00:00"/>
    <s v="qua"/>
    <x v="9"/>
    <x v="1"/>
    <m/>
    <s v="132545896"/>
  </r>
  <r>
    <n v="1325"/>
    <n v="54"/>
    <s v="Feminino"/>
    <s v="Montagem"/>
    <s v="Operador"/>
    <s v="1º Turno"/>
    <x v="4"/>
    <s v="Não"/>
    <x v="0"/>
    <d v="2025-12-05T00:00:00"/>
    <d v="2025-12-01T00:00:00"/>
    <s v="sex"/>
    <x v="8"/>
    <x v="1"/>
    <m/>
    <s v="132545996"/>
  </r>
  <r>
    <n v="1325"/>
    <n v="54"/>
    <s v="Feminino"/>
    <s v="Montagem"/>
    <s v="Operador"/>
    <s v="1º Turno"/>
    <x v="4"/>
    <s v="Não"/>
    <x v="0"/>
    <d v="2026-06-02T00:00:00"/>
    <d v="2026-01-01T00:00:00"/>
    <s v="ter"/>
    <x v="1"/>
    <x v="0"/>
    <m/>
    <s v="132546175"/>
  </r>
  <r>
    <n v="1325"/>
    <n v="54"/>
    <s v="Feminino"/>
    <s v="Montagem"/>
    <s v="Operador"/>
    <s v="1º Turno"/>
    <x v="4"/>
    <s v="Não"/>
    <x v="0"/>
    <d v="2026-03-04T00:00:00"/>
    <d v="2026-03-01T00:00:00"/>
    <s v="qua"/>
    <x v="4"/>
    <x v="0"/>
    <m/>
    <s v="132546085"/>
  </r>
  <r>
    <n v="1326"/>
    <n v="46"/>
    <s v="Masculino"/>
    <s v="Pintura"/>
    <s v="Operador"/>
    <s v="3º Turno"/>
    <x v="0"/>
    <s v="Sim"/>
    <x v="2"/>
    <d v="2025-05-14T00:00:00"/>
    <d v="2025-05-01T00:00:00"/>
    <s v="qua"/>
    <x v="0"/>
    <x v="1"/>
    <d v="2025-09-04T00:00:00"/>
    <s v="132645791"/>
  </r>
  <r>
    <n v="1326"/>
    <n v="46"/>
    <s v="Masculino"/>
    <s v="Pintura"/>
    <s v="Operador"/>
    <s v="3º Turno"/>
    <x v="0"/>
    <s v="Sim"/>
    <x v="2"/>
    <d v="2025-06-25T00:00:00"/>
    <d v="2025-06-01T00:00:00"/>
    <s v="qua"/>
    <x v="1"/>
    <x v="1"/>
    <d v="2025-09-04T00:00:00"/>
    <s v="132645833"/>
  </r>
  <r>
    <n v="1326"/>
    <n v="46"/>
    <s v="Masculino"/>
    <s v="Pintura"/>
    <s v="Operador"/>
    <s v="3º Turno"/>
    <x v="3"/>
    <s v="Sim"/>
    <x v="2"/>
    <d v="2025-08-03T00:00:00"/>
    <d v="2025-08-01T00:00:00"/>
    <s v="dom"/>
    <x v="9"/>
    <x v="1"/>
    <d v="2025-09-04T00:00:00"/>
    <s v="132645872"/>
  </r>
  <r>
    <n v="1326"/>
    <n v="46"/>
    <s v="Masculino"/>
    <s v="Pintura"/>
    <s v="Operador"/>
    <s v="3º Turno"/>
    <x v="2"/>
    <s v="Sim"/>
    <x v="2"/>
    <d v="2025-08-04T00:00:00"/>
    <d v="2025-08-01T00:00:00"/>
    <s v="seg"/>
    <x v="9"/>
    <x v="1"/>
    <d v="2025-09-04T00:00:00"/>
    <s v="132645873"/>
  </r>
  <r>
    <n v="1327"/>
    <n v="24"/>
    <s v="Feminino"/>
    <s v="Montagem"/>
    <s v="Operador"/>
    <s v="3º Turno"/>
    <x v="3"/>
    <s v="Sim"/>
    <x v="0"/>
    <d v="2025-06-13T00:00:00"/>
    <d v="2025-06-01T00:00:00"/>
    <s v="sex"/>
    <x v="1"/>
    <x v="1"/>
    <d v="2026-05-10T00:00:00"/>
    <s v="132745821"/>
  </r>
  <r>
    <n v="1327"/>
    <n v="24"/>
    <s v="Feminino"/>
    <s v="Montagem"/>
    <s v="Operador"/>
    <s v="3º Turno"/>
    <x v="0"/>
    <s v="Sim"/>
    <x v="0"/>
    <d v="2025-07-05T00:00:00"/>
    <d v="2025-07-01T00:00:00"/>
    <s v="sáb"/>
    <x v="6"/>
    <x v="1"/>
    <d v="2026-05-10T00:00:00"/>
    <s v="132745843"/>
  </r>
  <r>
    <n v="1327"/>
    <n v="24"/>
    <s v="Feminino"/>
    <s v="Montagem"/>
    <s v="Operador"/>
    <s v="3º Turno"/>
    <x v="0"/>
    <s v="Sim"/>
    <x v="0"/>
    <d v="2025-07-09T00:00:00"/>
    <d v="2025-07-01T00:00:00"/>
    <s v="qua"/>
    <x v="6"/>
    <x v="1"/>
    <d v="2026-05-10T00:00:00"/>
    <s v="132745847"/>
  </r>
  <r>
    <n v="1327"/>
    <n v="24"/>
    <s v="Feminino"/>
    <s v="Montagem"/>
    <s v="Operador"/>
    <s v="3º Turno"/>
    <x v="0"/>
    <s v="Sim"/>
    <x v="0"/>
    <d v="2025-10-17T00:00:00"/>
    <d v="2025-10-01T00:00:00"/>
    <s v="sex"/>
    <x v="11"/>
    <x v="1"/>
    <d v="2026-05-10T00:00:00"/>
    <s v="132745947"/>
  </r>
  <r>
    <n v="1327"/>
    <n v="24"/>
    <s v="Feminino"/>
    <s v="Montagem"/>
    <s v="Operador"/>
    <s v="3º Turno"/>
    <x v="0"/>
    <s v="Sim"/>
    <x v="0"/>
    <d v="2025-10-30T00:00:00"/>
    <d v="2025-10-01T00:00:00"/>
    <s v="qui"/>
    <x v="11"/>
    <x v="1"/>
    <d v="2026-05-10T00:00:00"/>
    <s v="132745960"/>
  </r>
  <r>
    <n v="1327"/>
    <n v="24"/>
    <s v="Feminino"/>
    <s v="Montagem"/>
    <s v="Operador"/>
    <s v="3º Turno"/>
    <x v="3"/>
    <s v="Sim"/>
    <x v="0"/>
    <d v="2025-12-19T00:00:00"/>
    <d v="2025-12-01T00:00:00"/>
    <s v="sex"/>
    <x v="8"/>
    <x v="1"/>
    <d v="2026-05-10T00:00:00"/>
    <s v="132746010"/>
  </r>
  <r>
    <n v="1329"/>
    <n v="45"/>
    <s v="Feminino"/>
    <s v="Montagem"/>
    <s v="Operador"/>
    <s v="3º Turno"/>
    <x v="0"/>
    <s v="Sim"/>
    <x v="0"/>
    <d v="2025-07-24T00:00:00"/>
    <d v="2025-07-01T00:00:00"/>
    <s v="qui"/>
    <x v="6"/>
    <x v="1"/>
    <d v="2026-03-09T00:00:00"/>
    <s v="132945862"/>
  </r>
  <r>
    <n v="1329"/>
    <n v="45"/>
    <s v="Feminino"/>
    <s v="Montagem"/>
    <s v="Operador"/>
    <s v="3º Turno"/>
    <x v="0"/>
    <s v="Sim"/>
    <x v="0"/>
    <d v="2025-07-28T00:00:00"/>
    <d v="2025-07-01T00:00:00"/>
    <s v="seg"/>
    <x v="6"/>
    <x v="1"/>
    <d v="2026-03-09T00:00:00"/>
    <s v="132945866"/>
  </r>
  <r>
    <n v="1329"/>
    <n v="45"/>
    <s v="Feminino"/>
    <s v="Montagem"/>
    <s v="Operador"/>
    <s v="3º Turno"/>
    <x v="3"/>
    <s v="Sim"/>
    <x v="0"/>
    <d v="2025-08-19T00:00:00"/>
    <d v="2025-08-01T00:00:00"/>
    <s v="ter"/>
    <x v="9"/>
    <x v="1"/>
    <d v="2026-03-09T00:00:00"/>
    <s v="132945888"/>
  </r>
  <r>
    <n v="1329"/>
    <n v="45"/>
    <s v="Feminino"/>
    <s v="Montagem"/>
    <s v="Operador"/>
    <s v="3º Turno"/>
    <x v="0"/>
    <s v="Sim"/>
    <x v="0"/>
    <d v="2026-06-05T00:00:00"/>
    <d v="2026-01-01T00:00:00"/>
    <s v="sex"/>
    <x v="1"/>
    <x v="0"/>
    <d v="2026-03-09T00:00:00"/>
    <s v="132946178"/>
  </r>
  <r>
    <n v="1329"/>
    <n v="45"/>
    <s v="Feminino"/>
    <s v="Montagem"/>
    <s v="Operador"/>
    <s v="3º Turno"/>
    <x v="0"/>
    <s v="Sim"/>
    <x v="0"/>
    <d v="2026-02-14T00:00:00"/>
    <d v="2026-02-01T00:00:00"/>
    <s v="sáb"/>
    <x v="3"/>
    <x v="0"/>
    <d v="2026-03-09T00:00:00"/>
    <s v="132946067"/>
  </r>
  <r>
    <n v="1329"/>
    <n v="45"/>
    <s v="Feminino"/>
    <s v="Montagem"/>
    <s v="Operador"/>
    <s v="3º Turno"/>
    <x v="0"/>
    <s v="Sim"/>
    <x v="0"/>
    <d v="2026-02-16T00:00:00"/>
    <d v="2026-02-01T00:00:00"/>
    <s v="seg"/>
    <x v="3"/>
    <x v="0"/>
    <d v="2026-03-09T00:00:00"/>
    <s v="132946069"/>
  </r>
  <r>
    <n v="1330"/>
    <n v="37"/>
    <s v="Masculino"/>
    <s v="Logistica"/>
    <s v="Operador"/>
    <s v="1º Turno"/>
    <x v="4"/>
    <s v="Não"/>
    <x v="2"/>
    <d v="2025-06-14T00:00:00"/>
    <d v="2025-06-01T00:00:00"/>
    <s v="sáb"/>
    <x v="1"/>
    <x v="1"/>
    <m/>
    <s v="133045822"/>
  </r>
  <r>
    <n v="1330"/>
    <n v="37"/>
    <s v="Masculino"/>
    <s v="Logistica"/>
    <s v="Operador"/>
    <s v="1º Turno"/>
    <x v="4"/>
    <s v="Não"/>
    <x v="2"/>
    <d v="2025-06-17T00:00:00"/>
    <d v="2025-06-01T00:00:00"/>
    <s v="ter"/>
    <x v="1"/>
    <x v="1"/>
    <m/>
    <s v="133045825"/>
  </r>
  <r>
    <n v="1330"/>
    <n v="37"/>
    <s v="Masculino"/>
    <s v="Logistica"/>
    <s v="Operador"/>
    <s v="1º Turno"/>
    <x v="4"/>
    <s v="Não"/>
    <x v="2"/>
    <d v="2025-07-22T00:00:00"/>
    <d v="2025-07-01T00:00:00"/>
    <s v="ter"/>
    <x v="6"/>
    <x v="1"/>
    <m/>
    <s v="133045860"/>
  </r>
  <r>
    <n v="1330"/>
    <n v="37"/>
    <s v="Masculino"/>
    <s v="Logistica"/>
    <s v="Operador"/>
    <s v="1º Turno"/>
    <x v="0"/>
    <s v="Não"/>
    <x v="2"/>
    <d v="2025-09-13T00:00:00"/>
    <d v="2025-09-01T00:00:00"/>
    <s v="sáb"/>
    <x v="7"/>
    <x v="1"/>
    <m/>
    <s v="133045913"/>
  </r>
  <r>
    <n v="1330"/>
    <n v="37"/>
    <s v="Masculino"/>
    <s v="Logistica"/>
    <s v="Operador"/>
    <s v="1º Turno"/>
    <x v="4"/>
    <s v="Não"/>
    <x v="2"/>
    <d v="2025-11-02T00:00:00"/>
    <d v="2025-11-01T00:00:00"/>
    <s v="dom"/>
    <x v="10"/>
    <x v="1"/>
    <m/>
    <s v="133045963"/>
  </r>
  <r>
    <n v="1330"/>
    <n v="37"/>
    <s v="Masculino"/>
    <s v="Logistica"/>
    <s v="Operador"/>
    <s v="1º Turno"/>
    <x v="4"/>
    <s v="Não"/>
    <x v="2"/>
    <d v="2026-03-22T00:00:00"/>
    <d v="2026-03-01T00:00:00"/>
    <s v="dom"/>
    <x v="4"/>
    <x v="0"/>
    <m/>
    <s v="133046103"/>
  </r>
  <r>
    <n v="1331"/>
    <n v="27"/>
    <s v="Feminino"/>
    <s v="Logistica"/>
    <s v="Operador"/>
    <s v="1º Turno"/>
    <x v="0"/>
    <s v="Não"/>
    <x v="2"/>
    <d v="2025-11-08T00:00:00"/>
    <d v="2025-11-01T00:00:00"/>
    <s v="sáb"/>
    <x v="10"/>
    <x v="1"/>
    <m/>
    <s v="133145969"/>
  </r>
  <r>
    <n v="1331"/>
    <n v="27"/>
    <s v="Feminino"/>
    <s v="Logistica"/>
    <s v="Operador"/>
    <s v="1º Turno"/>
    <x v="0"/>
    <s v="Não"/>
    <x v="2"/>
    <d v="2025-11-30T00:00:00"/>
    <d v="2025-11-01T00:00:00"/>
    <s v="dom"/>
    <x v="10"/>
    <x v="1"/>
    <m/>
    <s v="133145991"/>
  </r>
  <r>
    <n v="1331"/>
    <n v="27"/>
    <s v="Feminino"/>
    <s v="Logistica"/>
    <s v="Operador"/>
    <s v="1º Turno"/>
    <x v="0"/>
    <s v="Não"/>
    <x v="2"/>
    <d v="2026-02-02T00:00:00"/>
    <d v="2026-02-01T00:00:00"/>
    <s v="seg"/>
    <x v="3"/>
    <x v="0"/>
    <m/>
    <s v="133146055"/>
  </r>
  <r>
    <n v="1331"/>
    <n v="27"/>
    <s v="Feminino"/>
    <s v="Logistica"/>
    <s v="Operador"/>
    <s v="1º Turno"/>
    <x v="0"/>
    <s v="Não"/>
    <x v="2"/>
    <d v="2026-03-01T00:00:00"/>
    <d v="2026-03-01T00:00:00"/>
    <s v="dom"/>
    <x v="4"/>
    <x v="0"/>
    <m/>
    <s v="133146082"/>
  </r>
  <r>
    <n v="1331"/>
    <n v="27"/>
    <s v="Feminino"/>
    <s v="Logistica"/>
    <s v="Operador"/>
    <s v="1º Turno"/>
    <x v="2"/>
    <s v="Não"/>
    <x v="2"/>
    <d v="2026-03-06T00:00:00"/>
    <d v="2026-03-01T00:00:00"/>
    <s v="sex"/>
    <x v="4"/>
    <x v="0"/>
    <m/>
    <s v="133146087"/>
  </r>
  <r>
    <n v="1332"/>
    <n v="33"/>
    <s v="Masculino"/>
    <s v="Montagem"/>
    <s v="Operador"/>
    <s v="3º Turno"/>
    <x v="5"/>
    <s v="Sim"/>
    <x v="2"/>
    <d v="2025-01-16T00:00:00"/>
    <d v="2025-01-01T00:00:00"/>
    <s v="qui"/>
    <x v="5"/>
    <x v="1"/>
    <d v="2025-06-09T00:00:00"/>
    <s v="133245673"/>
  </r>
  <r>
    <n v="1332"/>
    <n v="33"/>
    <s v="Masculino"/>
    <s v="Montagem"/>
    <s v="Operador"/>
    <s v="3º Turno"/>
    <x v="5"/>
    <s v="Sim"/>
    <x v="2"/>
    <d v="2025-01-19T00:00:00"/>
    <d v="2025-01-01T00:00:00"/>
    <s v="dom"/>
    <x v="5"/>
    <x v="1"/>
    <d v="2025-06-09T00:00:00"/>
    <s v="133245676"/>
  </r>
  <r>
    <n v="1332"/>
    <n v="33"/>
    <s v="Masculino"/>
    <s v="Montagem"/>
    <s v="Operador"/>
    <s v="3º Turno"/>
    <x v="5"/>
    <s v="Sim"/>
    <x v="2"/>
    <d v="2025-02-16T00:00:00"/>
    <d v="2025-02-01T00:00:00"/>
    <s v="dom"/>
    <x v="3"/>
    <x v="1"/>
    <d v="2025-06-09T00:00:00"/>
    <s v="133245704"/>
  </r>
  <r>
    <n v="1332"/>
    <n v="33"/>
    <s v="Masculino"/>
    <s v="Montagem"/>
    <s v="Operador"/>
    <s v="3º Turno"/>
    <x v="1"/>
    <s v="Sim"/>
    <x v="2"/>
    <d v="2025-05-04T00:00:00"/>
    <d v="2025-05-01T00:00:00"/>
    <s v="dom"/>
    <x v="0"/>
    <x v="1"/>
    <d v="2025-06-09T00:00:00"/>
    <s v="133245781"/>
  </r>
  <r>
    <n v="1332"/>
    <n v="33"/>
    <s v="Masculino"/>
    <s v="Montagem"/>
    <s v="Operador"/>
    <s v="3º Turno"/>
    <x v="2"/>
    <s v="Sim"/>
    <x v="2"/>
    <d v="2025-06-03T00:00:00"/>
    <d v="2025-06-01T00:00:00"/>
    <s v="ter"/>
    <x v="1"/>
    <x v="1"/>
    <d v="2025-06-09T00:00:00"/>
    <s v="133245811"/>
  </r>
  <r>
    <n v="1332"/>
    <n v="33"/>
    <s v="Masculino"/>
    <s v="Montagem"/>
    <s v="Operador"/>
    <s v="3º Turno"/>
    <x v="2"/>
    <s v="Sim"/>
    <x v="2"/>
    <d v="2025-06-06T00:00:00"/>
    <d v="2025-06-01T00:00:00"/>
    <s v="sex"/>
    <x v="1"/>
    <x v="1"/>
    <d v="2025-06-09T00:00:00"/>
    <s v="133245814"/>
  </r>
  <r>
    <n v="1334"/>
    <n v="52"/>
    <s v="Masculino"/>
    <s v="Qualidade"/>
    <s v="Analista"/>
    <s v="2º Turno"/>
    <x v="0"/>
    <s v="Não"/>
    <x v="0"/>
    <d v="2025-11-17T00:00:00"/>
    <d v="2025-11-01T00:00:00"/>
    <s v="seg"/>
    <x v="10"/>
    <x v="1"/>
    <m/>
    <s v="133445978"/>
  </r>
  <r>
    <n v="1334"/>
    <n v="52"/>
    <s v="Masculino"/>
    <s v="Qualidade"/>
    <s v="Analista"/>
    <s v="2º Turno"/>
    <x v="0"/>
    <s v="Não"/>
    <x v="0"/>
    <d v="2026-06-04T00:00:00"/>
    <d v="2026-01-01T00:00:00"/>
    <s v="qui"/>
    <x v="1"/>
    <x v="0"/>
    <m/>
    <s v="133446177"/>
  </r>
  <r>
    <n v="1334"/>
    <n v="52"/>
    <s v="Masculino"/>
    <s v="Qualidade"/>
    <s v="Analista"/>
    <s v="2º Turno"/>
    <x v="0"/>
    <s v="Não"/>
    <x v="0"/>
    <d v="2026-01-12T00:00:00"/>
    <d v="2026-01-01T00:00:00"/>
    <s v="seg"/>
    <x v="5"/>
    <x v="0"/>
    <m/>
    <s v="133446034"/>
  </r>
  <r>
    <n v="1334"/>
    <n v="52"/>
    <s v="Masculino"/>
    <s v="Qualidade"/>
    <s v="Analista"/>
    <s v="2º Turno"/>
    <x v="0"/>
    <s v="Não"/>
    <x v="0"/>
    <d v="2026-02-05T00:00:00"/>
    <d v="2026-02-01T00:00:00"/>
    <s v="qui"/>
    <x v="3"/>
    <x v="0"/>
    <m/>
    <s v="133446058"/>
  </r>
  <r>
    <n v="1335"/>
    <n v="50"/>
    <s v="Feminino"/>
    <s v="Soldagem"/>
    <s v="Operador"/>
    <s v="3º Turno"/>
    <x v="0"/>
    <s v="Sim"/>
    <x v="1"/>
    <d v="2025-04-30T00:00:00"/>
    <d v="2025-04-01T00:00:00"/>
    <s v="qua"/>
    <x v="2"/>
    <x v="1"/>
    <d v="2025-08-08T00:00:00"/>
    <s v="133545777"/>
  </r>
  <r>
    <n v="1335"/>
    <n v="50"/>
    <s v="Feminino"/>
    <s v="Soldagem"/>
    <s v="Operador"/>
    <s v="3º Turno"/>
    <x v="0"/>
    <s v="Sim"/>
    <x v="1"/>
    <d v="2025-05-19T00:00:00"/>
    <d v="2025-05-01T00:00:00"/>
    <s v="seg"/>
    <x v="0"/>
    <x v="1"/>
    <d v="2025-08-08T00:00:00"/>
    <s v="133545796"/>
  </r>
  <r>
    <n v="1335"/>
    <n v="50"/>
    <s v="Feminino"/>
    <s v="Soldagem"/>
    <s v="Operador"/>
    <s v="3º Turno"/>
    <x v="0"/>
    <s v="Sim"/>
    <x v="1"/>
    <d v="2025-07-26T00:00:00"/>
    <d v="2025-07-01T00:00:00"/>
    <s v="sáb"/>
    <x v="6"/>
    <x v="1"/>
    <d v="2025-08-08T00:00:00"/>
    <s v="133545864"/>
  </r>
  <r>
    <n v="1337"/>
    <n v="53"/>
    <s v="Feminino"/>
    <s v="Montagem"/>
    <s v="Operador"/>
    <s v="3º Turno"/>
    <x v="5"/>
    <s v="Sim"/>
    <x v="1"/>
    <d v="2025-04-10T00:00:00"/>
    <d v="2025-04-01T00:00:00"/>
    <s v="qui"/>
    <x v="2"/>
    <x v="1"/>
    <d v="2026-02-20T00:00:00"/>
    <s v="133745757"/>
  </r>
  <r>
    <n v="1337"/>
    <n v="53"/>
    <s v="Feminino"/>
    <s v="Montagem"/>
    <s v="Operador"/>
    <s v="3º Turno"/>
    <x v="2"/>
    <s v="Sim"/>
    <x v="1"/>
    <d v="2025-05-29T00:00:00"/>
    <d v="2025-05-01T00:00:00"/>
    <s v="qui"/>
    <x v="0"/>
    <x v="1"/>
    <d v="2026-02-20T00:00:00"/>
    <s v="133745806"/>
  </r>
  <r>
    <n v="1337"/>
    <n v="53"/>
    <s v="Feminino"/>
    <s v="Montagem"/>
    <s v="Operador"/>
    <s v="3º Turno"/>
    <x v="0"/>
    <s v="Sim"/>
    <x v="1"/>
    <d v="2025-12-13T00:00:00"/>
    <d v="2025-12-01T00:00:00"/>
    <s v="sáb"/>
    <x v="8"/>
    <x v="1"/>
    <d v="2026-02-20T00:00:00"/>
    <s v="133746004"/>
  </r>
  <r>
    <n v="1337"/>
    <n v="53"/>
    <s v="Feminino"/>
    <s v="Montagem"/>
    <s v="Operador"/>
    <s v="3º Turno"/>
    <x v="0"/>
    <s v="Sim"/>
    <x v="1"/>
    <d v="2026-06-05T00:00:00"/>
    <d v="2026-01-01T00:00:00"/>
    <s v="sex"/>
    <x v="1"/>
    <x v="0"/>
    <d v="2026-02-20T00:00:00"/>
    <s v="133746178"/>
  </r>
  <r>
    <n v="1337"/>
    <n v="53"/>
    <s v="Feminino"/>
    <s v="Montagem"/>
    <s v="Operador"/>
    <s v="3º Turno"/>
    <x v="0"/>
    <s v="Sim"/>
    <x v="1"/>
    <d v="2026-06-06T00:00:00"/>
    <d v="2026-01-01T00:00:00"/>
    <s v="sáb"/>
    <x v="1"/>
    <x v="0"/>
    <d v="2026-02-20T00:00:00"/>
    <s v="133746179"/>
  </r>
  <r>
    <n v="1337"/>
    <n v="53"/>
    <s v="Feminino"/>
    <s v="Montagem"/>
    <s v="Operador"/>
    <s v="3º Turno"/>
    <x v="2"/>
    <s v="Sim"/>
    <x v="1"/>
    <d v="2026-06-12T00:00:00"/>
    <d v="2026-01-01T00:00:00"/>
    <s v="sex"/>
    <x v="1"/>
    <x v="0"/>
    <d v="2026-02-20T00:00:00"/>
    <s v="133746185"/>
  </r>
  <r>
    <n v="1338"/>
    <n v="45"/>
    <s v="Masculino"/>
    <s v="Soldagem"/>
    <s v="Operador"/>
    <s v="2º Turno"/>
    <x v="3"/>
    <s v="Não"/>
    <x v="2"/>
    <d v="2025-05-04T00:00:00"/>
    <d v="2025-05-01T00:00:00"/>
    <s v="dom"/>
    <x v="0"/>
    <x v="1"/>
    <m/>
    <s v="133845781"/>
  </r>
  <r>
    <n v="1338"/>
    <n v="45"/>
    <s v="Masculino"/>
    <s v="Soldagem"/>
    <s v="Operador"/>
    <s v="2º Turno"/>
    <x v="3"/>
    <s v="Não"/>
    <x v="2"/>
    <d v="2025-09-28T00:00:00"/>
    <d v="2025-09-01T00:00:00"/>
    <s v="dom"/>
    <x v="7"/>
    <x v="1"/>
    <m/>
    <s v="133845928"/>
  </r>
  <r>
    <n v="1338"/>
    <n v="45"/>
    <s v="Masculino"/>
    <s v="Soldagem"/>
    <s v="Operador"/>
    <s v="2º Turno"/>
    <x v="3"/>
    <s v="Não"/>
    <x v="2"/>
    <d v="2025-09-29T00:00:00"/>
    <d v="2025-09-01T00:00:00"/>
    <s v="seg"/>
    <x v="7"/>
    <x v="1"/>
    <m/>
    <s v="133845929"/>
  </r>
  <r>
    <n v="1338"/>
    <n v="45"/>
    <s v="Masculino"/>
    <s v="Soldagem"/>
    <s v="Operador"/>
    <s v="2º Turno"/>
    <x v="0"/>
    <s v="Não"/>
    <x v="2"/>
    <d v="2026-06-29T00:00:00"/>
    <d v="2026-01-01T00:00:00"/>
    <s v="seg"/>
    <x v="1"/>
    <x v="0"/>
    <m/>
    <s v="133846202"/>
  </r>
  <r>
    <n v="1338"/>
    <n v="45"/>
    <s v="Masculino"/>
    <s v="Soldagem"/>
    <s v="Operador"/>
    <s v="2º Turno"/>
    <x v="3"/>
    <s v="Não"/>
    <x v="2"/>
    <d v="2026-02-15T00:00:00"/>
    <d v="2026-02-01T00:00:00"/>
    <s v="dom"/>
    <x v="3"/>
    <x v="0"/>
    <m/>
    <s v="133846068"/>
  </r>
  <r>
    <n v="1338"/>
    <n v="45"/>
    <s v="Masculino"/>
    <s v="Soldagem"/>
    <s v="Operador"/>
    <s v="2º Turno"/>
    <x v="0"/>
    <s v="Não"/>
    <x v="2"/>
    <d v="2026-02-27T00:00:00"/>
    <d v="2026-02-01T00:00:00"/>
    <s v="sex"/>
    <x v="3"/>
    <x v="0"/>
    <m/>
    <s v="133846080"/>
  </r>
  <r>
    <n v="1338"/>
    <n v="45"/>
    <s v="Masculino"/>
    <s v="Soldagem"/>
    <s v="Operador"/>
    <s v="2º Turno"/>
    <x v="3"/>
    <s v="Não"/>
    <x v="2"/>
    <d v="2026-05-04T00:00:00"/>
    <d v="2026-05-01T00:00:00"/>
    <s v="dom"/>
    <x v="0"/>
    <x v="1"/>
    <m/>
    <s v="133846146"/>
  </r>
  <r>
    <n v="1339"/>
    <n v="58"/>
    <s v="Masculino"/>
    <s v="Montagem"/>
    <s v="Operador"/>
    <s v="1º Turno"/>
    <x v="0"/>
    <s v="Não"/>
    <x v="0"/>
    <d v="2025-07-15T00:00:00"/>
    <d v="2025-07-01T00:00:00"/>
    <s v="ter"/>
    <x v="6"/>
    <x v="1"/>
    <m/>
    <s v="133945853"/>
  </r>
  <r>
    <n v="1339"/>
    <n v="58"/>
    <s v="Masculino"/>
    <s v="Montagem"/>
    <s v="Operador"/>
    <s v="1º Turno"/>
    <x v="0"/>
    <s v="Não"/>
    <x v="0"/>
    <d v="2025-07-21T00:00:00"/>
    <d v="2025-07-01T00:00:00"/>
    <s v="seg"/>
    <x v="6"/>
    <x v="1"/>
    <m/>
    <s v="133945859"/>
  </r>
  <r>
    <n v="1339"/>
    <n v="58"/>
    <s v="Masculino"/>
    <s v="Montagem"/>
    <s v="Operador"/>
    <s v="1º Turno"/>
    <x v="0"/>
    <s v="Não"/>
    <x v="0"/>
    <d v="2026-06-24T00:00:00"/>
    <d v="2026-01-01T00:00:00"/>
    <s v="qua"/>
    <x v="1"/>
    <x v="0"/>
    <m/>
    <s v="133946197"/>
  </r>
  <r>
    <n v="1339"/>
    <n v="58"/>
    <s v="Masculino"/>
    <s v="Montagem"/>
    <s v="Operador"/>
    <s v="1º Turno"/>
    <x v="0"/>
    <s v="Não"/>
    <x v="0"/>
    <d v="2026-02-11T00:00:00"/>
    <d v="2026-02-01T00:00:00"/>
    <s v="qua"/>
    <x v="3"/>
    <x v="0"/>
    <m/>
    <s v="133946064"/>
  </r>
  <r>
    <n v="1339"/>
    <n v="58"/>
    <s v="Masculino"/>
    <s v="Montagem"/>
    <s v="Operador"/>
    <s v="1º Turno"/>
    <x v="0"/>
    <s v="Não"/>
    <x v="0"/>
    <d v="2026-03-08T00:00:00"/>
    <d v="2026-03-01T00:00:00"/>
    <s v="dom"/>
    <x v="4"/>
    <x v="0"/>
    <m/>
    <s v="133946089"/>
  </r>
  <r>
    <n v="1340"/>
    <n v="57"/>
    <s v="Feminino"/>
    <s v="Soldagem"/>
    <s v="Operador"/>
    <s v="3º Turno"/>
    <x v="4"/>
    <s v="Não"/>
    <x v="0"/>
    <d v="2025-06-07T00:00:00"/>
    <d v="2025-06-01T00:00:00"/>
    <s v="sáb"/>
    <x v="1"/>
    <x v="1"/>
    <m/>
    <s v="134045815"/>
  </r>
  <r>
    <n v="1340"/>
    <n v="57"/>
    <s v="Feminino"/>
    <s v="Soldagem"/>
    <s v="Operador"/>
    <s v="3º Turno"/>
    <x v="0"/>
    <s v="Não"/>
    <x v="0"/>
    <d v="2025-07-15T00:00:00"/>
    <d v="2025-07-01T00:00:00"/>
    <s v="ter"/>
    <x v="6"/>
    <x v="1"/>
    <m/>
    <s v="134045853"/>
  </r>
  <r>
    <n v="1340"/>
    <n v="57"/>
    <s v="Feminino"/>
    <s v="Soldagem"/>
    <s v="Operador"/>
    <s v="3º Turno"/>
    <x v="4"/>
    <s v="Não"/>
    <x v="0"/>
    <d v="2025-09-27T00:00:00"/>
    <d v="2025-09-01T00:00:00"/>
    <s v="sáb"/>
    <x v="7"/>
    <x v="1"/>
    <m/>
    <s v="134045927"/>
  </r>
  <r>
    <n v="1340"/>
    <n v="57"/>
    <s v="Feminino"/>
    <s v="Soldagem"/>
    <s v="Operador"/>
    <s v="3º Turno"/>
    <x v="0"/>
    <s v="Não"/>
    <x v="0"/>
    <d v="2025-11-13T00:00:00"/>
    <d v="2025-11-01T00:00:00"/>
    <s v="qui"/>
    <x v="10"/>
    <x v="1"/>
    <m/>
    <s v="134045974"/>
  </r>
  <r>
    <n v="1340"/>
    <n v="57"/>
    <s v="Feminino"/>
    <s v="Soldagem"/>
    <s v="Operador"/>
    <s v="3º Turno"/>
    <x v="4"/>
    <s v="Não"/>
    <x v="0"/>
    <d v="2026-02-15T00:00:00"/>
    <d v="2026-02-01T00:00:00"/>
    <s v="dom"/>
    <x v="3"/>
    <x v="0"/>
    <m/>
    <s v="134046068"/>
  </r>
  <r>
    <n v="1341"/>
    <n v="24"/>
    <s v="Masculino"/>
    <s v="Montagem"/>
    <s v="Operador"/>
    <s v="3º Turno"/>
    <x v="4"/>
    <s v="Não"/>
    <x v="0"/>
    <d v="2025-06-03T00:00:00"/>
    <d v="2025-06-01T00:00:00"/>
    <s v="ter"/>
    <x v="1"/>
    <x v="1"/>
    <m/>
    <s v="134145811"/>
  </r>
  <r>
    <n v="1341"/>
    <n v="24"/>
    <s v="Masculino"/>
    <s v="Montagem"/>
    <s v="Operador"/>
    <s v="3º Turno"/>
    <x v="4"/>
    <s v="Não"/>
    <x v="0"/>
    <d v="2025-07-24T00:00:00"/>
    <d v="2025-07-01T00:00:00"/>
    <s v="qui"/>
    <x v="6"/>
    <x v="1"/>
    <m/>
    <s v="134145862"/>
  </r>
  <r>
    <n v="1341"/>
    <n v="24"/>
    <s v="Masculino"/>
    <s v="Montagem"/>
    <s v="Operador"/>
    <s v="3º Turno"/>
    <x v="4"/>
    <s v="Não"/>
    <x v="0"/>
    <d v="2025-09-03T00:00:00"/>
    <d v="2025-09-01T00:00:00"/>
    <s v="qua"/>
    <x v="7"/>
    <x v="1"/>
    <m/>
    <s v="134145903"/>
  </r>
  <r>
    <n v="1341"/>
    <n v="24"/>
    <s v="Masculino"/>
    <s v="Montagem"/>
    <s v="Operador"/>
    <s v="3º Turno"/>
    <x v="4"/>
    <s v="Não"/>
    <x v="0"/>
    <d v="2025-09-11T00:00:00"/>
    <d v="2025-09-01T00:00:00"/>
    <s v="qui"/>
    <x v="7"/>
    <x v="1"/>
    <m/>
    <s v="134145911"/>
  </r>
  <r>
    <n v="1341"/>
    <n v="24"/>
    <s v="Masculino"/>
    <s v="Montagem"/>
    <s v="Operador"/>
    <s v="3º Turno"/>
    <x v="4"/>
    <s v="Não"/>
    <x v="0"/>
    <d v="2025-10-29T00:00:00"/>
    <d v="2025-10-01T00:00:00"/>
    <s v="qua"/>
    <x v="11"/>
    <x v="1"/>
    <m/>
    <s v="134145959"/>
  </r>
  <r>
    <n v="1341"/>
    <n v="24"/>
    <s v="Masculino"/>
    <s v="Montagem"/>
    <s v="Operador"/>
    <s v="3º Turno"/>
    <x v="4"/>
    <s v="Não"/>
    <x v="0"/>
    <d v="2025-11-07T00:00:00"/>
    <d v="2025-11-01T00:00:00"/>
    <s v="sex"/>
    <x v="10"/>
    <x v="1"/>
    <m/>
    <s v="134145968"/>
  </r>
  <r>
    <n v="1342"/>
    <n v="51"/>
    <s v="Masculino"/>
    <s v="Qualidade"/>
    <s v="Inspetor"/>
    <s v="3º Turno"/>
    <x v="0"/>
    <s v="Sim"/>
    <x v="0"/>
    <d v="2025-05-24T00:00:00"/>
    <d v="2025-05-01T00:00:00"/>
    <s v="sáb"/>
    <x v="0"/>
    <x v="1"/>
    <d v="2026-01-18T00:00:00"/>
    <s v="134245801"/>
  </r>
  <r>
    <n v="1342"/>
    <n v="51"/>
    <s v="Masculino"/>
    <s v="Qualidade"/>
    <s v="Inspetor"/>
    <s v="3º Turno"/>
    <x v="0"/>
    <s v="Sim"/>
    <x v="0"/>
    <d v="2025-07-16T00:00:00"/>
    <d v="2025-07-01T00:00:00"/>
    <s v="qua"/>
    <x v="6"/>
    <x v="1"/>
    <d v="2026-01-18T00:00:00"/>
    <s v="134245854"/>
  </r>
  <r>
    <n v="1342"/>
    <n v="51"/>
    <s v="Masculino"/>
    <s v="Qualidade"/>
    <s v="Inspetor"/>
    <s v="3º Turno"/>
    <x v="0"/>
    <s v="Sim"/>
    <x v="0"/>
    <d v="2025-07-31T00:00:00"/>
    <d v="2025-07-01T00:00:00"/>
    <s v="qui"/>
    <x v="6"/>
    <x v="1"/>
    <d v="2026-01-18T00:00:00"/>
    <s v="134245869"/>
  </r>
  <r>
    <n v="1342"/>
    <n v="51"/>
    <s v="Masculino"/>
    <s v="Qualidade"/>
    <s v="Inspetor"/>
    <s v="3º Turno"/>
    <x v="0"/>
    <s v="Sim"/>
    <x v="0"/>
    <d v="2025-08-07T00:00:00"/>
    <d v="2025-08-01T00:00:00"/>
    <s v="qui"/>
    <x v="9"/>
    <x v="1"/>
    <d v="2026-01-18T00:00:00"/>
    <s v="134245876"/>
  </r>
  <r>
    <n v="1342"/>
    <n v="51"/>
    <s v="Masculino"/>
    <s v="Qualidade"/>
    <s v="Inspetor"/>
    <s v="3º Turno"/>
    <x v="3"/>
    <s v="Sim"/>
    <x v="0"/>
    <d v="2025-09-09T00:00:00"/>
    <d v="2025-09-01T00:00:00"/>
    <s v="ter"/>
    <x v="7"/>
    <x v="1"/>
    <d v="2026-01-18T00:00:00"/>
    <s v="134245909"/>
  </r>
  <r>
    <n v="1342"/>
    <n v="51"/>
    <s v="Masculino"/>
    <s v="Qualidade"/>
    <s v="Inspetor"/>
    <s v="3º Turno"/>
    <x v="0"/>
    <s v="Sim"/>
    <x v="0"/>
    <d v="2026-06-06T00:00:00"/>
    <d v="2026-01-01T00:00:00"/>
    <s v="sáb"/>
    <x v="1"/>
    <x v="0"/>
    <d v="2026-01-18T00:00:00"/>
    <s v="134246179"/>
  </r>
  <r>
    <n v="1344"/>
    <n v="52"/>
    <s v="Feminino"/>
    <s v="Montagem"/>
    <s v="Operador"/>
    <s v="1º Turno"/>
    <x v="1"/>
    <s v="Não"/>
    <x v="2"/>
    <d v="2025-06-19T00:00:00"/>
    <d v="2025-06-01T00:00:00"/>
    <s v="qui"/>
    <x v="1"/>
    <x v="1"/>
    <m/>
    <s v="134445827"/>
  </r>
  <r>
    <n v="1344"/>
    <n v="52"/>
    <s v="Feminino"/>
    <s v="Montagem"/>
    <s v="Operador"/>
    <s v="1º Turno"/>
    <x v="1"/>
    <s v="Não"/>
    <x v="2"/>
    <d v="2025-06-24T00:00:00"/>
    <d v="2025-06-01T00:00:00"/>
    <s v="ter"/>
    <x v="1"/>
    <x v="1"/>
    <m/>
    <s v="134445832"/>
  </r>
  <r>
    <n v="1344"/>
    <n v="52"/>
    <s v="Feminino"/>
    <s v="Montagem"/>
    <s v="Operador"/>
    <s v="1º Turno"/>
    <x v="1"/>
    <s v="Não"/>
    <x v="2"/>
    <d v="2025-06-26T00:00:00"/>
    <d v="2025-06-01T00:00:00"/>
    <s v="qui"/>
    <x v="1"/>
    <x v="1"/>
    <m/>
    <s v="134445834"/>
  </r>
  <r>
    <n v="1344"/>
    <n v="52"/>
    <s v="Feminino"/>
    <s v="Montagem"/>
    <s v="Operador"/>
    <s v="1º Turno"/>
    <x v="1"/>
    <s v="Não"/>
    <x v="2"/>
    <d v="2025-09-13T00:00:00"/>
    <d v="2025-09-01T00:00:00"/>
    <s v="sáb"/>
    <x v="7"/>
    <x v="1"/>
    <m/>
    <s v="134445913"/>
  </r>
  <r>
    <n v="1344"/>
    <n v="52"/>
    <s v="Feminino"/>
    <s v="Montagem"/>
    <s v="Operador"/>
    <s v="1º Turno"/>
    <x v="1"/>
    <s v="Não"/>
    <x v="2"/>
    <d v="2025-12-30T00:00:00"/>
    <d v="2025-12-01T00:00:00"/>
    <s v="ter"/>
    <x v="8"/>
    <x v="1"/>
    <m/>
    <s v="134446021"/>
  </r>
  <r>
    <n v="1344"/>
    <n v="52"/>
    <s v="Feminino"/>
    <s v="Montagem"/>
    <s v="Operador"/>
    <s v="1º Turno"/>
    <x v="1"/>
    <s v="Não"/>
    <x v="2"/>
    <d v="2026-02-20T00:00:00"/>
    <d v="2026-02-01T00:00:00"/>
    <s v="sex"/>
    <x v="3"/>
    <x v="0"/>
    <m/>
    <s v="134446073"/>
  </r>
  <r>
    <n v="1345"/>
    <n v="31"/>
    <s v="Masculino"/>
    <s v="Soldagem"/>
    <s v="Operador"/>
    <s v="3º Turno"/>
    <x v="0"/>
    <s v="Não"/>
    <x v="2"/>
    <d v="2025-07-12T00:00:00"/>
    <d v="2025-07-01T00:00:00"/>
    <s v="sáb"/>
    <x v="6"/>
    <x v="1"/>
    <m/>
    <s v="134545850"/>
  </r>
  <r>
    <n v="1345"/>
    <n v="31"/>
    <s v="Masculino"/>
    <s v="Soldagem"/>
    <s v="Operador"/>
    <s v="3º Turno"/>
    <x v="0"/>
    <s v="Não"/>
    <x v="2"/>
    <d v="2025-07-18T00:00:00"/>
    <d v="2025-07-01T00:00:00"/>
    <s v="sex"/>
    <x v="6"/>
    <x v="1"/>
    <m/>
    <s v="134545856"/>
  </r>
  <r>
    <n v="1345"/>
    <n v="31"/>
    <s v="Masculino"/>
    <s v="Soldagem"/>
    <s v="Operador"/>
    <s v="3º Turno"/>
    <x v="1"/>
    <s v="Não"/>
    <x v="2"/>
    <d v="2025-07-20T00:00:00"/>
    <d v="2025-07-01T00:00:00"/>
    <s v="dom"/>
    <x v="6"/>
    <x v="1"/>
    <m/>
    <s v="134545858"/>
  </r>
  <r>
    <n v="1345"/>
    <n v="31"/>
    <s v="Masculino"/>
    <s v="Soldagem"/>
    <s v="Operador"/>
    <s v="3º Turno"/>
    <x v="0"/>
    <s v="Não"/>
    <x v="2"/>
    <d v="2025-09-24T00:00:00"/>
    <d v="2025-09-01T00:00:00"/>
    <s v="qua"/>
    <x v="7"/>
    <x v="1"/>
    <m/>
    <s v="134545924"/>
  </r>
  <r>
    <n v="1345"/>
    <n v="31"/>
    <s v="Masculino"/>
    <s v="Soldagem"/>
    <s v="Operador"/>
    <s v="3º Turno"/>
    <x v="0"/>
    <s v="Não"/>
    <x v="2"/>
    <d v="2025-10-09T00:00:00"/>
    <d v="2025-10-01T00:00:00"/>
    <s v="qui"/>
    <x v="11"/>
    <x v="1"/>
    <m/>
    <s v="134545939"/>
  </r>
  <r>
    <n v="1345"/>
    <n v="31"/>
    <s v="Masculino"/>
    <s v="Soldagem"/>
    <s v="Operador"/>
    <s v="3º Turno"/>
    <x v="1"/>
    <s v="Não"/>
    <x v="2"/>
    <d v="2026-02-05T00:00:00"/>
    <d v="2026-02-01T00:00:00"/>
    <s v="qui"/>
    <x v="3"/>
    <x v="0"/>
    <m/>
    <s v="134546058"/>
  </r>
  <r>
    <n v="1346"/>
    <n v="44"/>
    <s v="Feminino"/>
    <s v="Soldagem"/>
    <s v="Operador"/>
    <s v="2º Turno"/>
    <x v="0"/>
    <s v="Não"/>
    <x v="0"/>
    <d v="2025-07-15T00:00:00"/>
    <d v="2025-07-01T00:00:00"/>
    <s v="ter"/>
    <x v="6"/>
    <x v="1"/>
    <m/>
    <s v="134645853"/>
  </r>
  <r>
    <n v="1346"/>
    <n v="44"/>
    <s v="Feminino"/>
    <s v="Soldagem"/>
    <s v="Operador"/>
    <s v="2º Turno"/>
    <x v="0"/>
    <s v="Não"/>
    <x v="0"/>
    <d v="2025-07-18T00:00:00"/>
    <d v="2025-07-01T00:00:00"/>
    <s v="sex"/>
    <x v="6"/>
    <x v="1"/>
    <m/>
    <s v="134645856"/>
  </r>
  <r>
    <n v="1346"/>
    <n v="44"/>
    <s v="Feminino"/>
    <s v="Soldagem"/>
    <s v="Operador"/>
    <s v="2º Turno"/>
    <x v="0"/>
    <s v="Não"/>
    <x v="0"/>
    <d v="2025-10-07T00:00:00"/>
    <d v="2025-10-01T00:00:00"/>
    <s v="ter"/>
    <x v="11"/>
    <x v="1"/>
    <m/>
    <s v="134645937"/>
  </r>
  <r>
    <n v="1346"/>
    <n v="44"/>
    <s v="Feminino"/>
    <s v="Soldagem"/>
    <s v="Operador"/>
    <s v="2º Turno"/>
    <x v="0"/>
    <s v="Não"/>
    <x v="0"/>
    <d v="2025-10-18T00:00:00"/>
    <d v="2025-10-01T00:00:00"/>
    <s v="sáb"/>
    <x v="11"/>
    <x v="1"/>
    <m/>
    <s v="134645948"/>
  </r>
  <r>
    <n v="1346"/>
    <n v="44"/>
    <s v="Feminino"/>
    <s v="Soldagem"/>
    <s v="Operador"/>
    <s v="2º Turno"/>
    <x v="0"/>
    <s v="Não"/>
    <x v="0"/>
    <d v="2025-11-12T00:00:00"/>
    <d v="2025-11-01T00:00:00"/>
    <s v="qua"/>
    <x v="10"/>
    <x v="1"/>
    <m/>
    <s v="134645973"/>
  </r>
  <r>
    <n v="1346"/>
    <n v="44"/>
    <s v="Feminino"/>
    <s v="Soldagem"/>
    <s v="Operador"/>
    <s v="2º Turno"/>
    <x v="0"/>
    <s v="Não"/>
    <x v="0"/>
    <d v="2026-02-14T00:00:00"/>
    <d v="2026-02-01T00:00:00"/>
    <s v="sáb"/>
    <x v="3"/>
    <x v="0"/>
    <m/>
    <s v="134646067"/>
  </r>
  <r>
    <n v="1347"/>
    <n v="26"/>
    <s v="Feminino"/>
    <s v="Qualidade"/>
    <s v="Analista"/>
    <s v="1º Turno"/>
    <x v="4"/>
    <s v="Não"/>
    <x v="0"/>
    <d v="2025-05-10T00:00:00"/>
    <d v="2025-05-01T00:00:00"/>
    <s v="sáb"/>
    <x v="0"/>
    <x v="1"/>
    <m/>
    <s v="134745787"/>
  </r>
  <r>
    <n v="1347"/>
    <n v="26"/>
    <s v="Feminino"/>
    <s v="Qualidade"/>
    <s v="Analista"/>
    <s v="1º Turno"/>
    <x v="4"/>
    <s v="Não"/>
    <x v="0"/>
    <d v="2025-06-17T00:00:00"/>
    <d v="2025-06-01T00:00:00"/>
    <s v="ter"/>
    <x v="1"/>
    <x v="1"/>
    <m/>
    <s v="134745825"/>
  </r>
  <r>
    <n v="1347"/>
    <n v="26"/>
    <s v="Feminino"/>
    <s v="Qualidade"/>
    <s v="Analista"/>
    <s v="1º Turno"/>
    <x v="4"/>
    <s v="Não"/>
    <x v="0"/>
    <d v="2025-08-08T00:00:00"/>
    <d v="2025-08-01T00:00:00"/>
    <s v="sex"/>
    <x v="9"/>
    <x v="1"/>
    <m/>
    <s v="134745877"/>
  </r>
  <r>
    <n v="1347"/>
    <n v="26"/>
    <s v="Feminino"/>
    <s v="Qualidade"/>
    <s v="Analista"/>
    <s v="1º Turno"/>
    <x v="4"/>
    <s v="Não"/>
    <x v="0"/>
    <d v="2025-10-15T00:00:00"/>
    <d v="2025-10-01T00:00:00"/>
    <s v="qua"/>
    <x v="11"/>
    <x v="1"/>
    <m/>
    <s v="134745945"/>
  </r>
  <r>
    <n v="1347"/>
    <n v="26"/>
    <s v="Feminino"/>
    <s v="Qualidade"/>
    <s v="Analista"/>
    <s v="1º Turno"/>
    <x v="4"/>
    <s v="Não"/>
    <x v="0"/>
    <d v="2025-11-12T00:00:00"/>
    <d v="2025-11-01T00:00:00"/>
    <s v="qua"/>
    <x v="10"/>
    <x v="1"/>
    <m/>
    <s v="134745973"/>
  </r>
  <r>
    <n v="1347"/>
    <n v="26"/>
    <s v="Feminino"/>
    <s v="Qualidade"/>
    <s v="Analista"/>
    <s v="1º Turno"/>
    <x v="4"/>
    <s v="Não"/>
    <x v="0"/>
    <d v="2025-11-13T00:00:00"/>
    <d v="2025-11-01T00:00:00"/>
    <s v="qui"/>
    <x v="10"/>
    <x v="1"/>
    <m/>
    <s v="134745974"/>
  </r>
  <r>
    <n v="1347"/>
    <n v="26"/>
    <s v="Feminino"/>
    <s v="Qualidade"/>
    <s v="Analista"/>
    <s v="1º Turno"/>
    <x v="4"/>
    <s v="Não"/>
    <x v="0"/>
    <d v="2026-05-10T00:00:00"/>
    <d v="2026-05-01T00:00:00"/>
    <s v="sáb"/>
    <x v="0"/>
    <x v="1"/>
    <m/>
    <s v="134746152"/>
  </r>
  <r>
    <n v="1349"/>
    <n v="40"/>
    <s v="Feminino"/>
    <s v="Pintura"/>
    <s v="Operador"/>
    <s v="3º Turno"/>
    <x v="5"/>
    <s v="Sim"/>
    <x v="1"/>
    <d v="2025-04-18T00:00:00"/>
    <d v="2025-04-01T00:00:00"/>
    <s v="sex"/>
    <x v="2"/>
    <x v="1"/>
    <d v="2025-11-10T00:00:00"/>
    <s v="134945765"/>
  </r>
  <r>
    <n v="1349"/>
    <n v="40"/>
    <s v="Feminino"/>
    <s v="Pintura"/>
    <s v="Operador"/>
    <s v="3º Turno"/>
    <x v="3"/>
    <s v="Sim"/>
    <x v="1"/>
    <d v="2025-05-10T00:00:00"/>
    <d v="2025-05-01T00:00:00"/>
    <s v="sáb"/>
    <x v="0"/>
    <x v="1"/>
    <d v="2025-11-10T00:00:00"/>
    <s v="134945787"/>
  </r>
  <r>
    <n v="1349"/>
    <n v="40"/>
    <s v="Feminino"/>
    <s v="Pintura"/>
    <s v="Operador"/>
    <s v="3º Turno"/>
    <x v="2"/>
    <s v="Sim"/>
    <x v="1"/>
    <d v="2025-05-31T00:00:00"/>
    <d v="2025-05-01T00:00:00"/>
    <s v="sáb"/>
    <x v="0"/>
    <x v="1"/>
    <d v="2025-11-10T00:00:00"/>
    <s v="134945808"/>
  </r>
  <r>
    <n v="1349"/>
    <n v="40"/>
    <s v="Feminino"/>
    <s v="Pintura"/>
    <s v="Operador"/>
    <s v="3º Turno"/>
    <x v="3"/>
    <s v="Sim"/>
    <x v="1"/>
    <d v="2025-09-06T00:00:00"/>
    <d v="2025-09-01T00:00:00"/>
    <s v="sáb"/>
    <x v="7"/>
    <x v="1"/>
    <d v="2025-11-10T00:00:00"/>
    <s v="134945906"/>
  </r>
  <r>
    <n v="1349"/>
    <n v="40"/>
    <s v="Feminino"/>
    <s v="Pintura"/>
    <s v="Operador"/>
    <s v="3º Turno"/>
    <x v="3"/>
    <s v="Sim"/>
    <x v="1"/>
    <d v="2025-10-10T00:00:00"/>
    <d v="2025-10-01T00:00:00"/>
    <s v="sex"/>
    <x v="11"/>
    <x v="1"/>
    <d v="2025-11-10T00:00:00"/>
    <s v="134945940"/>
  </r>
  <r>
    <n v="1349"/>
    <n v="40"/>
    <s v="Feminino"/>
    <s v="Pintura"/>
    <s v="Operador"/>
    <s v="3º Turno"/>
    <x v="2"/>
    <s v="Sim"/>
    <x v="1"/>
    <d v="2025-11-07T00:00:00"/>
    <d v="2025-11-01T00:00:00"/>
    <s v="sex"/>
    <x v="10"/>
    <x v="1"/>
    <d v="2025-11-10T00:00:00"/>
    <s v="134945968"/>
  </r>
  <r>
    <n v="1350"/>
    <n v="25"/>
    <s v="Feminino"/>
    <s v="Soldagem"/>
    <s v="Operador"/>
    <s v="2º Turno"/>
    <x v="0"/>
    <s v="Não"/>
    <x v="0"/>
    <d v="2025-09-22T00:00:00"/>
    <d v="2025-09-01T00:00:00"/>
    <s v="seg"/>
    <x v="7"/>
    <x v="1"/>
    <m/>
    <s v="135045922"/>
  </r>
  <r>
    <n v="1350"/>
    <n v="25"/>
    <s v="Feminino"/>
    <s v="Soldagem"/>
    <s v="Operador"/>
    <s v="2º Turno"/>
    <x v="0"/>
    <s v="Não"/>
    <x v="0"/>
    <d v="2025-10-08T00:00:00"/>
    <d v="2025-10-01T00:00:00"/>
    <s v="qua"/>
    <x v="11"/>
    <x v="1"/>
    <m/>
    <s v="135045938"/>
  </r>
  <r>
    <n v="1350"/>
    <n v="25"/>
    <s v="Feminino"/>
    <s v="Soldagem"/>
    <s v="Operador"/>
    <s v="2º Turno"/>
    <x v="0"/>
    <s v="Não"/>
    <x v="0"/>
    <d v="2025-10-15T00:00:00"/>
    <d v="2025-10-01T00:00:00"/>
    <s v="qua"/>
    <x v="11"/>
    <x v="1"/>
    <m/>
    <s v="135045945"/>
  </r>
  <r>
    <n v="1350"/>
    <n v="25"/>
    <s v="Feminino"/>
    <s v="Soldagem"/>
    <s v="Operador"/>
    <s v="2º Turno"/>
    <x v="0"/>
    <s v="Não"/>
    <x v="0"/>
    <d v="2025-11-21T00:00:00"/>
    <d v="2025-11-01T00:00:00"/>
    <s v="sex"/>
    <x v="10"/>
    <x v="1"/>
    <m/>
    <s v="135045982"/>
  </r>
  <r>
    <n v="1350"/>
    <n v="25"/>
    <s v="Feminino"/>
    <s v="Soldagem"/>
    <s v="Operador"/>
    <s v="2º Turno"/>
    <x v="0"/>
    <s v="Não"/>
    <x v="0"/>
    <d v="2026-06-25T00:00:00"/>
    <d v="2026-01-01T00:00:00"/>
    <s v="qui"/>
    <x v="1"/>
    <x v="0"/>
    <m/>
    <s v="135046198"/>
  </r>
  <r>
    <n v="1351"/>
    <n v="24"/>
    <s v="Feminino"/>
    <s v="Qualidade"/>
    <s v="Inspetor"/>
    <s v="2º Turno"/>
    <x v="4"/>
    <s v="Não"/>
    <x v="0"/>
    <d v="2025-05-07T00:00:00"/>
    <d v="2025-05-01T00:00:00"/>
    <s v="qua"/>
    <x v="0"/>
    <x v="1"/>
    <m/>
    <s v="135145784"/>
  </r>
  <r>
    <n v="1351"/>
    <n v="24"/>
    <s v="Feminino"/>
    <s v="Qualidade"/>
    <s v="Inspetor"/>
    <s v="2º Turno"/>
    <x v="0"/>
    <s v="Não"/>
    <x v="0"/>
    <d v="2025-06-01T00:00:00"/>
    <d v="2025-06-01T00:00:00"/>
    <s v="dom"/>
    <x v="1"/>
    <x v="1"/>
    <m/>
    <s v="135145809"/>
  </r>
  <r>
    <n v="1351"/>
    <n v="24"/>
    <s v="Feminino"/>
    <s v="Qualidade"/>
    <s v="Inspetor"/>
    <s v="2º Turno"/>
    <x v="4"/>
    <s v="Não"/>
    <x v="0"/>
    <d v="2025-08-01T00:00:00"/>
    <d v="2025-08-01T00:00:00"/>
    <s v="sex"/>
    <x v="9"/>
    <x v="1"/>
    <m/>
    <s v="135145870"/>
  </r>
  <r>
    <n v="1351"/>
    <n v="24"/>
    <s v="Feminino"/>
    <s v="Qualidade"/>
    <s v="Inspetor"/>
    <s v="2º Turno"/>
    <x v="0"/>
    <s v="Não"/>
    <x v="0"/>
    <d v="2026-02-01T00:00:00"/>
    <d v="2026-02-01T00:00:00"/>
    <s v="dom"/>
    <x v="3"/>
    <x v="0"/>
    <m/>
    <s v="135146054"/>
  </r>
  <r>
    <n v="1351"/>
    <n v="24"/>
    <s v="Feminino"/>
    <s v="Qualidade"/>
    <s v="Inspetor"/>
    <s v="2º Turno"/>
    <x v="0"/>
    <s v="Não"/>
    <x v="0"/>
    <d v="2026-03-27T00:00:00"/>
    <d v="2026-03-01T00:00:00"/>
    <s v="sex"/>
    <x v="4"/>
    <x v="0"/>
    <m/>
    <s v="135146108"/>
  </r>
  <r>
    <n v="1351"/>
    <n v="24"/>
    <s v="Feminino"/>
    <s v="Qualidade"/>
    <s v="Inspetor"/>
    <s v="2º Turno"/>
    <x v="4"/>
    <s v="Não"/>
    <x v="0"/>
    <d v="2026-05-07T00:00:00"/>
    <d v="2026-05-01T00:00:00"/>
    <s v="qua"/>
    <x v="0"/>
    <x v="1"/>
    <m/>
    <s v="135146149"/>
  </r>
  <r>
    <n v="1351"/>
    <n v="24"/>
    <s v="Feminino"/>
    <s v="Qualidade"/>
    <s v="Inspetor"/>
    <s v="2º Turno"/>
    <x v="0"/>
    <s v="Não"/>
    <x v="0"/>
    <d v="2026-06-28T00:00:00"/>
    <d v="2026-06-01T00:00:00"/>
    <s v="dom"/>
    <x v="1"/>
    <x v="0"/>
    <m/>
    <s v="135146201"/>
  </r>
  <r>
    <n v="1353"/>
    <n v="44"/>
    <s v="Masculino"/>
    <s v="Montagem"/>
    <s v="Operador"/>
    <s v="2º Turno"/>
    <x v="4"/>
    <s v="Não"/>
    <x v="0"/>
    <d v="2025-06-24T00:00:00"/>
    <d v="2025-06-01T00:00:00"/>
    <s v="ter"/>
    <x v="1"/>
    <x v="1"/>
    <m/>
    <s v="135345832"/>
  </r>
  <r>
    <n v="1353"/>
    <n v="44"/>
    <s v="Masculino"/>
    <s v="Montagem"/>
    <s v="Operador"/>
    <s v="2º Turno"/>
    <x v="0"/>
    <s v="Não"/>
    <x v="0"/>
    <d v="2025-07-22T00:00:00"/>
    <d v="2025-07-01T00:00:00"/>
    <s v="ter"/>
    <x v="6"/>
    <x v="1"/>
    <m/>
    <s v="135345860"/>
  </r>
  <r>
    <n v="1353"/>
    <n v="44"/>
    <s v="Masculino"/>
    <s v="Montagem"/>
    <s v="Operador"/>
    <s v="2º Turno"/>
    <x v="4"/>
    <s v="Não"/>
    <x v="0"/>
    <d v="2025-08-28T00:00:00"/>
    <d v="2025-08-01T00:00:00"/>
    <s v="qui"/>
    <x v="9"/>
    <x v="1"/>
    <m/>
    <s v="135345897"/>
  </r>
  <r>
    <n v="1353"/>
    <n v="44"/>
    <s v="Masculino"/>
    <s v="Montagem"/>
    <s v="Operador"/>
    <s v="2º Turno"/>
    <x v="0"/>
    <s v="Não"/>
    <x v="0"/>
    <d v="2025-11-12T00:00:00"/>
    <d v="2025-11-01T00:00:00"/>
    <s v="qua"/>
    <x v="10"/>
    <x v="1"/>
    <m/>
    <s v="135345973"/>
  </r>
  <r>
    <n v="1353"/>
    <n v="44"/>
    <s v="Masculino"/>
    <s v="Montagem"/>
    <s v="Operador"/>
    <s v="2º Turno"/>
    <x v="4"/>
    <s v="Não"/>
    <x v="0"/>
    <d v="2025-11-30T00:00:00"/>
    <d v="2025-11-01T00:00:00"/>
    <s v="dom"/>
    <x v="10"/>
    <x v="1"/>
    <m/>
    <s v="135345991"/>
  </r>
  <r>
    <n v="1353"/>
    <n v="44"/>
    <s v="Masculino"/>
    <s v="Montagem"/>
    <s v="Operador"/>
    <s v="2º Turno"/>
    <x v="0"/>
    <s v="Não"/>
    <x v="0"/>
    <d v="2026-03-29T00:00:00"/>
    <d v="2026-03-01T00:00:00"/>
    <s v="dom"/>
    <x v="4"/>
    <x v="0"/>
    <m/>
    <s v="135346110"/>
  </r>
  <r>
    <n v="1353"/>
    <n v="44"/>
    <s v="Masculino"/>
    <s v="Montagem"/>
    <s v="Operador"/>
    <s v="2º Turno"/>
    <x v="0"/>
    <s v="Não"/>
    <x v="0"/>
    <d v="2026-06-21T00:00:00"/>
    <d v="2026-06-01T00:00:00"/>
    <s v="dom"/>
    <x v="1"/>
    <x v="0"/>
    <m/>
    <s v="135346194"/>
  </r>
  <r>
    <n v="1355"/>
    <n v="47"/>
    <s v="Masculino"/>
    <s v="Montagem"/>
    <s v="Operador"/>
    <s v="2º Turno"/>
    <x v="1"/>
    <s v="Não"/>
    <x v="1"/>
    <d v="2025-06-26T00:00:00"/>
    <d v="2025-06-01T00:00:00"/>
    <s v="qui"/>
    <x v="1"/>
    <x v="1"/>
    <m/>
    <s v="135545834"/>
  </r>
  <r>
    <n v="1355"/>
    <n v="47"/>
    <s v="Masculino"/>
    <s v="Montagem"/>
    <s v="Operador"/>
    <s v="2º Turno"/>
    <x v="1"/>
    <s v="Não"/>
    <x v="1"/>
    <d v="2025-07-25T00:00:00"/>
    <d v="2025-07-01T00:00:00"/>
    <s v="sex"/>
    <x v="6"/>
    <x v="1"/>
    <m/>
    <s v="135545863"/>
  </r>
  <r>
    <n v="1355"/>
    <n v="47"/>
    <s v="Masculino"/>
    <s v="Montagem"/>
    <s v="Operador"/>
    <s v="2º Turno"/>
    <x v="1"/>
    <s v="Não"/>
    <x v="1"/>
    <d v="2025-08-16T00:00:00"/>
    <d v="2025-08-01T00:00:00"/>
    <s v="sáb"/>
    <x v="9"/>
    <x v="1"/>
    <m/>
    <s v="135545885"/>
  </r>
  <r>
    <n v="1355"/>
    <n v="47"/>
    <s v="Masculino"/>
    <s v="Montagem"/>
    <s v="Operador"/>
    <s v="2º Turno"/>
    <x v="1"/>
    <s v="Não"/>
    <x v="1"/>
    <d v="2025-09-28T00:00:00"/>
    <d v="2025-09-01T00:00:00"/>
    <s v="dom"/>
    <x v="7"/>
    <x v="1"/>
    <m/>
    <s v="135545928"/>
  </r>
  <r>
    <n v="1355"/>
    <n v="47"/>
    <s v="Masculino"/>
    <s v="Montagem"/>
    <s v="Operador"/>
    <s v="2º Turno"/>
    <x v="1"/>
    <s v="Não"/>
    <x v="1"/>
    <d v="2025-11-05T00:00:00"/>
    <d v="2025-11-01T00:00:00"/>
    <s v="qua"/>
    <x v="10"/>
    <x v="1"/>
    <m/>
    <s v="135545966"/>
  </r>
  <r>
    <n v="1355"/>
    <n v="47"/>
    <s v="Masculino"/>
    <s v="Montagem"/>
    <s v="Operador"/>
    <s v="2º Turno"/>
    <x v="1"/>
    <s v="Não"/>
    <x v="1"/>
    <d v="2025-11-30T00:00:00"/>
    <d v="2025-11-01T00:00:00"/>
    <s v="dom"/>
    <x v="10"/>
    <x v="1"/>
    <m/>
    <s v="135545991"/>
  </r>
  <r>
    <n v="1356"/>
    <n v="35"/>
    <s v="Feminino"/>
    <s v="Soldagem"/>
    <s v="Operador"/>
    <s v="1º Turno"/>
    <x v="0"/>
    <s v="Não"/>
    <x v="1"/>
    <d v="2025-09-18T00:00:00"/>
    <d v="2025-09-01T00:00:00"/>
    <s v="qui"/>
    <x v="7"/>
    <x v="1"/>
    <m/>
    <s v="135645918"/>
  </r>
  <r>
    <n v="1356"/>
    <n v="35"/>
    <s v="Feminino"/>
    <s v="Soldagem"/>
    <s v="Operador"/>
    <s v="1º Turno"/>
    <x v="0"/>
    <s v="Não"/>
    <x v="1"/>
    <d v="2025-12-13T00:00:00"/>
    <d v="2025-12-01T00:00:00"/>
    <s v="sáb"/>
    <x v="8"/>
    <x v="1"/>
    <m/>
    <s v="135646004"/>
  </r>
  <r>
    <n v="1356"/>
    <n v="35"/>
    <s v="Feminino"/>
    <s v="Soldagem"/>
    <s v="Operador"/>
    <s v="1º Turno"/>
    <x v="1"/>
    <s v="Não"/>
    <x v="1"/>
    <d v="2025-12-21T00:00:00"/>
    <d v="2025-12-01T00:00:00"/>
    <s v="dom"/>
    <x v="8"/>
    <x v="1"/>
    <m/>
    <s v="135646012"/>
  </r>
  <r>
    <n v="1356"/>
    <n v="35"/>
    <s v="Feminino"/>
    <s v="Soldagem"/>
    <s v="Operador"/>
    <s v="1º Turno"/>
    <x v="1"/>
    <s v="Não"/>
    <x v="1"/>
    <d v="2026-02-06T00:00:00"/>
    <d v="2026-02-01T00:00:00"/>
    <s v="sex"/>
    <x v="3"/>
    <x v="0"/>
    <m/>
    <s v="135646059"/>
  </r>
  <r>
    <n v="1356"/>
    <n v="35"/>
    <s v="Feminino"/>
    <s v="Soldagem"/>
    <s v="Operador"/>
    <s v="1º Turno"/>
    <x v="1"/>
    <s v="Não"/>
    <x v="1"/>
    <d v="2026-03-10T00:00:00"/>
    <d v="2026-03-01T00:00:00"/>
    <s v="ter"/>
    <x v="4"/>
    <x v="0"/>
    <m/>
    <s v="135646091"/>
  </r>
  <r>
    <n v="1356"/>
    <n v="35"/>
    <s v="Feminino"/>
    <s v="Soldagem"/>
    <s v="Operador"/>
    <s v="1º Turno"/>
    <x v="1"/>
    <s v="Não"/>
    <x v="1"/>
    <d v="2026-03-27T00:00:00"/>
    <d v="2026-03-01T00:00:00"/>
    <s v="sex"/>
    <x v="4"/>
    <x v="0"/>
    <m/>
    <s v="135646108"/>
  </r>
  <r>
    <n v="1356"/>
    <n v="35"/>
    <s v="Feminino"/>
    <s v="Soldagem"/>
    <s v="Operador"/>
    <s v="1º Turno"/>
    <x v="1"/>
    <s v="Não"/>
    <x v="1"/>
    <d v="2026-06-21T00:00:00"/>
    <d v="2026-06-01T00:00:00"/>
    <s v="dom"/>
    <x v="1"/>
    <x v="0"/>
    <m/>
    <s v="135646194"/>
  </r>
  <r>
    <n v="1357"/>
    <n v="49"/>
    <s v="Masculino"/>
    <s v="Logistica"/>
    <s v="Operador"/>
    <s v="1º Turno"/>
    <x v="0"/>
    <s v="Não"/>
    <x v="2"/>
    <d v="2025-07-06T00:00:00"/>
    <d v="2025-07-01T00:00:00"/>
    <s v="dom"/>
    <x v="6"/>
    <x v="1"/>
    <m/>
    <s v="135745844"/>
  </r>
  <r>
    <n v="1357"/>
    <n v="49"/>
    <s v="Masculino"/>
    <s v="Logistica"/>
    <s v="Operador"/>
    <s v="1º Turno"/>
    <x v="0"/>
    <s v="Não"/>
    <x v="2"/>
    <d v="2025-07-28T00:00:00"/>
    <d v="2025-07-01T00:00:00"/>
    <s v="seg"/>
    <x v="6"/>
    <x v="1"/>
    <m/>
    <s v="135745866"/>
  </r>
  <r>
    <n v="1357"/>
    <n v="49"/>
    <s v="Masculino"/>
    <s v="Logistica"/>
    <s v="Operador"/>
    <s v="1º Turno"/>
    <x v="0"/>
    <s v="Não"/>
    <x v="2"/>
    <d v="2025-08-04T00:00:00"/>
    <d v="2025-08-01T00:00:00"/>
    <s v="seg"/>
    <x v="9"/>
    <x v="1"/>
    <m/>
    <s v="135745873"/>
  </r>
  <r>
    <n v="1357"/>
    <n v="49"/>
    <s v="Masculino"/>
    <s v="Logistica"/>
    <s v="Operador"/>
    <s v="1º Turno"/>
    <x v="0"/>
    <s v="Não"/>
    <x v="2"/>
    <d v="2025-08-25T00:00:00"/>
    <d v="2025-08-01T00:00:00"/>
    <s v="seg"/>
    <x v="9"/>
    <x v="1"/>
    <m/>
    <s v="135745894"/>
  </r>
  <r>
    <n v="1357"/>
    <n v="49"/>
    <s v="Masculino"/>
    <s v="Logistica"/>
    <s v="Operador"/>
    <s v="1º Turno"/>
    <x v="0"/>
    <s v="Não"/>
    <x v="2"/>
    <d v="2025-10-31T00:00:00"/>
    <d v="2025-10-01T00:00:00"/>
    <s v="sex"/>
    <x v="11"/>
    <x v="1"/>
    <m/>
    <s v="135745961"/>
  </r>
  <r>
    <n v="1357"/>
    <n v="49"/>
    <s v="Masculino"/>
    <s v="Logistica"/>
    <s v="Operador"/>
    <s v="1º Turno"/>
    <x v="0"/>
    <s v="Não"/>
    <x v="2"/>
    <d v="2025-11-14T00:00:00"/>
    <d v="2025-11-01T00:00:00"/>
    <s v="sex"/>
    <x v="10"/>
    <x v="1"/>
    <m/>
    <s v="135745975"/>
  </r>
  <r>
    <n v="1359"/>
    <n v="29"/>
    <s v="Feminino"/>
    <s v="Montagem"/>
    <s v="Operador"/>
    <s v="2º Turno"/>
    <x v="0"/>
    <s v="Sim"/>
    <x v="2"/>
    <d v="2025-06-21T00:00:00"/>
    <d v="2025-06-01T00:00:00"/>
    <s v="sáb"/>
    <x v="1"/>
    <x v="1"/>
    <d v="2026-01-28T00:00:00"/>
    <s v="135945829"/>
  </r>
  <r>
    <n v="1359"/>
    <n v="29"/>
    <s v="Feminino"/>
    <s v="Montagem"/>
    <s v="Operador"/>
    <s v="2º Turno"/>
    <x v="0"/>
    <s v="Sim"/>
    <x v="2"/>
    <d v="2025-07-05T00:00:00"/>
    <d v="2025-07-01T00:00:00"/>
    <s v="sáb"/>
    <x v="6"/>
    <x v="1"/>
    <d v="2026-01-28T00:00:00"/>
    <s v="135945843"/>
  </r>
  <r>
    <n v="1359"/>
    <n v="29"/>
    <s v="Feminino"/>
    <s v="Montagem"/>
    <s v="Operador"/>
    <s v="2º Turno"/>
    <x v="0"/>
    <s v="Sim"/>
    <x v="2"/>
    <d v="2025-07-11T00:00:00"/>
    <d v="2025-07-01T00:00:00"/>
    <s v="sex"/>
    <x v="6"/>
    <x v="1"/>
    <d v="2026-01-28T00:00:00"/>
    <s v="135945849"/>
  </r>
  <r>
    <n v="1359"/>
    <n v="29"/>
    <s v="Feminino"/>
    <s v="Montagem"/>
    <s v="Operador"/>
    <s v="2º Turno"/>
    <x v="3"/>
    <s v="Sim"/>
    <x v="2"/>
    <d v="2025-09-19T00:00:00"/>
    <d v="2025-09-01T00:00:00"/>
    <s v="sex"/>
    <x v="7"/>
    <x v="1"/>
    <d v="2026-01-28T00:00:00"/>
    <s v="135945919"/>
  </r>
  <r>
    <n v="1359"/>
    <n v="29"/>
    <s v="Feminino"/>
    <s v="Montagem"/>
    <s v="Operador"/>
    <s v="2º Turno"/>
    <x v="3"/>
    <s v="Sim"/>
    <x v="2"/>
    <d v="2025-10-03T00:00:00"/>
    <d v="2025-10-01T00:00:00"/>
    <s v="sex"/>
    <x v="11"/>
    <x v="1"/>
    <d v="2026-01-28T00:00:00"/>
    <s v="135945933"/>
  </r>
  <r>
    <n v="1359"/>
    <n v="29"/>
    <s v="Feminino"/>
    <s v="Montagem"/>
    <s v="Operador"/>
    <s v="2º Turno"/>
    <x v="0"/>
    <s v="Sim"/>
    <x v="2"/>
    <d v="2025-11-11T00:00:00"/>
    <d v="2025-11-01T00:00:00"/>
    <s v="ter"/>
    <x v="10"/>
    <x v="1"/>
    <d v="2026-01-28T00:00:00"/>
    <s v="135945972"/>
  </r>
  <r>
    <n v="1360"/>
    <n v="37"/>
    <s v="Feminino"/>
    <s v="Pintura"/>
    <s v="Operador"/>
    <s v="1º Turno"/>
    <x v="2"/>
    <s v="Sim"/>
    <x v="0"/>
    <d v="2025-04-13T00:00:00"/>
    <d v="2025-04-01T00:00:00"/>
    <s v="dom"/>
    <x v="2"/>
    <x v="1"/>
    <d v="2026-06-16T00:00:00"/>
    <s v="136045760"/>
  </r>
  <r>
    <n v="1360"/>
    <n v="37"/>
    <s v="Feminino"/>
    <s v="Pintura"/>
    <s v="Operador"/>
    <s v="1º Turno"/>
    <x v="3"/>
    <s v="Sim"/>
    <x v="0"/>
    <d v="2025-08-21T00:00:00"/>
    <d v="2025-08-01T00:00:00"/>
    <s v="qui"/>
    <x v="9"/>
    <x v="1"/>
    <d v="2026-06-16T00:00:00"/>
    <s v="136045890"/>
  </r>
  <r>
    <n v="1360"/>
    <n v="37"/>
    <s v="Feminino"/>
    <s v="Pintura"/>
    <s v="Operador"/>
    <s v="1º Turno"/>
    <x v="3"/>
    <s v="Sim"/>
    <x v="0"/>
    <d v="2025-09-11T00:00:00"/>
    <d v="2025-09-01T00:00:00"/>
    <s v="qui"/>
    <x v="7"/>
    <x v="1"/>
    <d v="2026-06-16T00:00:00"/>
    <s v="136045911"/>
  </r>
  <r>
    <n v="1360"/>
    <n v="37"/>
    <s v="Feminino"/>
    <s v="Pintura"/>
    <s v="Operador"/>
    <s v="1º Turno"/>
    <x v="0"/>
    <s v="Sim"/>
    <x v="0"/>
    <d v="2025-10-28T00:00:00"/>
    <d v="2025-10-01T00:00:00"/>
    <s v="ter"/>
    <x v="11"/>
    <x v="1"/>
    <d v="2026-06-16T00:00:00"/>
    <s v="136045958"/>
  </r>
  <r>
    <n v="1360"/>
    <n v="37"/>
    <s v="Feminino"/>
    <s v="Pintura"/>
    <s v="Operador"/>
    <s v="1º Turno"/>
    <x v="3"/>
    <s v="Sim"/>
    <x v="0"/>
    <d v="2026-02-19T00:00:00"/>
    <d v="2026-02-01T00:00:00"/>
    <s v="qui"/>
    <x v="3"/>
    <x v="0"/>
    <d v="2026-06-16T00:00:00"/>
    <s v="136046072"/>
  </r>
  <r>
    <n v="1361"/>
    <n v="18"/>
    <s v="Masculino"/>
    <s v="Soldagem"/>
    <s v="Operador"/>
    <s v="2º Turno"/>
    <x v="0"/>
    <s v="Sim"/>
    <x v="2"/>
    <d v="2025-01-16T00:00:00"/>
    <d v="2025-01-01T00:00:00"/>
    <s v="qui"/>
    <x v="5"/>
    <x v="1"/>
    <d v="2025-06-07T00:00:00"/>
    <s v="136145673"/>
  </r>
  <r>
    <n v="1361"/>
    <n v="18"/>
    <s v="Masculino"/>
    <s v="Soldagem"/>
    <s v="Operador"/>
    <s v="2º Turno"/>
    <x v="0"/>
    <s v="Sim"/>
    <x v="2"/>
    <d v="2025-05-10T00:00:00"/>
    <d v="2025-05-01T00:00:00"/>
    <s v="sáb"/>
    <x v="0"/>
    <x v="1"/>
    <d v="2025-06-07T00:00:00"/>
    <s v="136145787"/>
  </r>
  <r>
    <n v="1361"/>
    <n v="18"/>
    <s v="Masculino"/>
    <s v="Soldagem"/>
    <s v="Operador"/>
    <s v="2º Turno"/>
    <x v="0"/>
    <s v="Sim"/>
    <x v="2"/>
    <d v="2025-05-13T00:00:00"/>
    <d v="2025-05-01T00:00:00"/>
    <s v="ter"/>
    <x v="0"/>
    <x v="1"/>
    <d v="2025-06-07T00:00:00"/>
    <s v="136145790"/>
  </r>
  <r>
    <n v="1361"/>
    <n v="18"/>
    <s v="Masculino"/>
    <s v="Soldagem"/>
    <s v="Operador"/>
    <s v="2º Turno"/>
    <x v="3"/>
    <s v="Sim"/>
    <x v="2"/>
    <d v="2025-05-19T00:00:00"/>
    <d v="2025-05-01T00:00:00"/>
    <s v="seg"/>
    <x v="0"/>
    <x v="1"/>
    <d v="2025-06-07T00:00:00"/>
    <s v="136145796"/>
  </r>
  <r>
    <n v="1361"/>
    <n v="18"/>
    <s v="Masculino"/>
    <s v="Soldagem"/>
    <s v="Operador"/>
    <s v="2º Turno"/>
    <x v="0"/>
    <s v="Sim"/>
    <x v="2"/>
    <d v="2025-06-03T00:00:00"/>
    <d v="2025-06-01T00:00:00"/>
    <s v="ter"/>
    <x v="1"/>
    <x v="1"/>
    <d v="2025-06-07T00:00:00"/>
    <s v="136145811"/>
  </r>
  <r>
    <n v="1361"/>
    <n v="18"/>
    <s v="Masculino"/>
    <s v="Soldagem"/>
    <s v="Operador"/>
    <s v="2º Turno"/>
    <x v="3"/>
    <s v="Sim"/>
    <x v="2"/>
    <d v="2025-06-06T00:00:00"/>
    <d v="2025-06-01T00:00:00"/>
    <s v="sex"/>
    <x v="1"/>
    <x v="1"/>
    <d v="2025-06-07T00:00:00"/>
    <s v="136145814"/>
  </r>
  <r>
    <n v="1362"/>
    <n v="22"/>
    <s v="Feminino"/>
    <s v="Montagem"/>
    <s v="Operador"/>
    <s v="3º Turno"/>
    <x v="0"/>
    <s v="Não"/>
    <x v="2"/>
    <d v="2025-06-23T00:00:00"/>
    <d v="2025-06-01T00:00:00"/>
    <s v="seg"/>
    <x v="1"/>
    <x v="1"/>
    <m/>
    <s v="136245831"/>
  </r>
  <r>
    <n v="1362"/>
    <n v="22"/>
    <s v="Feminino"/>
    <s v="Montagem"/>
    <s v="Operador"/>
    <s v="3º Turno"/>
    <x v="0"/>
    <s v="Não"/>
    <x v="2"/>
    <d v="2025-11-03T00:00:00"/>
    <d v="2025-11-01T00:00:00"/>
    <s v="seg"/>
    <x v="10"/>
    <x v="1"/>
    <m/>
    <s v="136245964"/>
  </r>
  <r>
    <n v="1362"/>
    <n v="22"/>
    <s v="Feminino"/>
    <s v="Montagem"/>
    <s v="Operador"/>
    <s v="3º Turno"/>
    <x v="0"/>
    <s v="Não"/>
    <x v="2"/>
    <d v="2026-01-15T00:00:00"/>
    <d v="2026-01-01T00:00:00"/>
    <s v="qui"/>
    <x v="5"/>
    <x v="0"/>
    <m/>
    <s v="136246037"/>
  </r>
  <r>
    <n v="1362"/>
    <n v="22"/>
    <s v="Feminino"/>
    <s v="Montagem"/>
    <s v="Operador"/>
    <s v="3º Turno"/>
    <x v="0"/>
    <s v="Não"/>
    <x v="2"/>
    <d v="2026-03-12T00:00:00"/>
    <d v="2026-03-01T00:00:00"/>
    <s v="qui"/>
    <x v="4"/>
    <x v="0"/>
    <m/>
    <s v="136246093"/>
  </r>
  <r>
    <n v="1363"/>
    <n v="42"/>
    <s v="Masculino"/>
    <s v="Qualidade"/>
    <s v="Inspetor"/>
    <s v="3º Turno"/>
    <x v="4"/>
    <s v="Não"/>
    <x v="0"/>
    <d v="2025-08-02T00:00:00"/>
    <d v="2025-08-01T00:00:00"/>
    <s v="sáb"/>
    <x v="9"/>
    <x v="1"/>
    <m/>
    <s v="136345871"/>
  </r>
  <r>
    <n v="1363"/>
    <n v="42"/>
    <s v="Masculino"/>
    <s v="Qualidade"/>
    <s v="Inspetor"/>
    <s v="3º Turno"/>
    <x v="4"/>
    <s v="Não"/>
    <x v="0"/>
    <d v="2025-11-15T00:00:00"/>
    <d v="2025-11-01T00:00:00"/>
    <s v="sáb"/>
    <x v="10"/>
    <x v="1"/>
    <m/>
    <s v="136345976"/>
  </r>
  <r>
    <n v="1363"/>
    <n v="42"/>
    <s v="Masculino"/>
    <s v="Qualidade"/>
    <s v="Inspetor"/>
    <s v="3º Turno"/>
    <x v="4"/>
    <s v="Não"/>
    <x v="0"/>
    <d v="2025-12-30T00:00:00"/>
    <d v="2025-12-01T00:00:00"/>
    <s v="ter"/>
    <x v="8"/>
    <x v="1"/>
    <m/>
    <s v="136346021"/>
  </r>
  <r>
    <n v="1363"/>
    <n v="42"/>
    <s v="Masculino"/>
    <s v="Qualidade"/>
    <s v="Inspetor"/>
    <s v="3º Turno"/>
    <x v="4"/>
    <s v="Não"/>
    <x v="0"/>
    <d v="2026-02-08T00:00:00"/>
    <d v="2026-02-01T00:00:00"/>
    <s v="dom"/>
    <x v="3"/>
    <x v="0"/>
    <m/>
    <s v="136346061"/>
  </r>
  <r>
    <n v="1363"/>
    <n v="42"/>
    <s v="Masculino"/>
    <s v="Qualidade"/>
    <s v="Inspetor"/>
    <s v="3º Turno"/>
    <x v="4"/>
    <s v="Não"/>
    <x v="0"/>
    <d v="2026-02-09T00:00:00"/>
    <d v="2026-02-01T00:00:00"/>
    <s v="seg"/>
    <x v="3"/>
    <x v="0"/>
    <m/>
    <s v="136346062"/>
  </r>
  <r>
    <n v="1363"/>
    <n v="42"/>
    <s v="Masculino"/>
    <s v="Qualidade"/>
    <s v="Inspetor"/>
    <s v="3º Turno"/>
    <x v="4"/>
    <s v="Não"/>
    <x v="0"/>
    <d v="2026-02-18T00:00:00"/>
    <d v="2026-02-01T00:00:00"/>
    <s v="qua"/>
    <x v="3"/>
    <x v="0"/>
    <m/>
    <s v="136346071"/>
  </r>
  <r>
    <n v="1364"/>
    <n v="34"/>
    <s v="Feminino"/>
    <s v="Montagem"/>
    <s v="Operador"/>
    <s v="1º Turno"/>
    <x v="0"/>
    <s v="Sim"/>
    <x v="1"/>
    <d v="2025-05-26T00:00:00"/>
    <d v="2025-05-01T00:00:00"/>
    <s v="seg"/>
    <x v="0"/>
    <x v="1"/>
    <d v="2026-03-23T00:00:00"/>
    <s v="136445803"/>
  </r>
  <r>
    <n v="1364"/>
    <n v="34"/>
    <s v="Feminino"/>
    <s v="Montagem"/>
    <s v="Operador"/>
    <s v="1º Turno"/>
    <x v="3"/>
    <s v="Sim"/>
    <x v="1"/>
    <d v="2025-08-12T00:00:00"/>
    <d v="2025-08-01T00:00:00"/>
    <s v="ter"/>
    <x v="9"/>
    <x v="1"/>
    <d v="2026-03-23T00:00:00"/>
    <s v="136445881"/>
  </r>
  <r>
    <n v="1364"/>
    <n v="34"/>
    <s v="Feminino"/>
    <s v="Montagem"/>
    <s v="Operador"/>
    <s v="1º Turno"/>
    <x v="0"/>
    <s v="Sim"/>
    <x v="1"/>
    <d v="2025-09-24T00:00:00"/>
    <d v="2025-09-01T00:00:00"/>
    <s v="qua"/>
    <x v="7"/>
    <x v="1"/>
    <d v="2026-03-23T00:00:00"/>
    <s v="136445924"/>
  </r>
  <r>
    <n v="1364"/>
    <n v="34"/>
    <s v="Feminino"/>
    <s v="Montagem"/>
    <s v="Operador"/>
    <s v="1º Turno"/>
    <x v="0"/>
    <s v="Sim"/>
    <x v="1"/>
    <d v="2025-11-02T00:00:00"/>
    <d v="2025-11-01T00:00:00"/>
    <s v="dom"/>
    <x v="10"/>
    <x v="1"/>
    <d v="2026-03-23T00:00:00"/>
    <s v="136445963"/>
  </r>
  <r>
    <n v="1364"/>
    <n v="34"/>
    <s v="Feminino"/>
    <s v="Montagem"/>
    <s v="Operador"/>
    <s v="1º Turno"/>
    <x v="0"/>
    <s v="Sim"/>
    <x v="1"/>
    <d v="2025-11-12T00:00:00"/>
    <d v="2025-11-01T00:00:00"/>
    <s v="qua"/>
    <x v="10"/>
    <x v="1"/>
    <d v="2026-03-23T00:00:00"/>
    <s v="136445973"/>
  </r>
  <r>
    <n v="1364"/>
    <n v="34"/>
    <s v="Feminino"/>
    <s v="Montagem"/>
    <s v="Operador"/>
    <s v="1º Turno"/>
    <x v="0"/>
    <s v="Sim"/>
    <x v="1"/>
    <d v="2026-06-13T00:00:00"/>
    <d v="2026-01-01T00:00:00"/>
    <s v="sáb"/>
    <x v="1"/>
    <x v="0"/>
    <d v="2026-03-23T00:00:00"/>
    <s v="136446186"/>
  </r>
  <r>
    <n v="1365"/>
    <n v="36"/>
    <s v="Masculino"/>
    <s v="Montagem"/>
    <s v="Operador"/>
    <s v="1º Turno"/>
    <x v="0"/>
    <s v="Não"/>
    <x v="0"/>
    <d v="2025-04-26T00:00:00"/>
    <d v="2025-04-01T00:00:00"/>
    <s v="sáb"/>
    <x v="2"/>
    <x v="1"/>
    <m/>
    <s v="136545773"/>
  </r>
  <r>
    <n v="1365"/>
    <n v="36"/>
    <s v="Masculino"/>
    <s v="Montagem"/>
    <s v="Operador"/>
    <s v="1º Turno"/>
    <x v="0"/>
    <s v="Não"/>
    <x v="0"/>
    <d v="2025-08-21T00:00:00"/>
    <d v="2025-08-01T00:00:00"/>
    <s v="qui"/>
    <x v="9"/>
    <x v="1"/>
    <m/>
    <s v="136545890"/>
  </r>
  <r>
    <n v="1365"/>
    <n v="36"/>
    <s v="Masculino"/>
    <s v="Montagem"/>
    <s v="Operador"/>
    <s v="1º Turno"/>
    <x v="0"/>
    <s v="Não"/>
    <x v="0"/>
    <d v="2025-10-01T00:00:00"/>
    <d v="2025-10-01T00:00:00"/>
    <s v="qua"/>
    <x v="11"/>
    <x v="1"/>
    <m/>
    <s v="136545931"/>
  </r>
  <r>
    <n v="1365"/>
    <n v="36"/>
    <s v="Masculino"/>
    <s v="Montagem"/>
    <s v="Operador"/>
    <s v="1º Turno"/>
    <x v="0"/>
    <s v="Não"/>
    <x v="0"/>
    <d v="2026-06-27T00:00:00"/>
    <d v="2026-01-01T00:00:00"/>
    <s v="sáb"/>
    <x v="1"/>
    <x v="0"/>
    <m/>
    <s v="136546200"/>
  </r>
  <r>
    <n v="1365"/>
    <n v="36"/>
    <s v="Masculino"/>
    <s v="Montagem"/>
    <s v="Operador"/>
    <s v="1º Turno"/>
    <x v="2"/>
    <s v="Não"/>
    <x v="0"/>
    <d v="2026-02-27T00:00:00"/>
    <d v="2026-02-01T00:00:00"/>
    <s v="sex"/>
    <x v="3"/>
    <x v="0"/>
    <m/>
    <s v="136546080"/>
  </r>
  <r>
    <n v="1365"/>
    <n v="36"/>
    <s v="Masculino"/>
    <s v="Montagem"/>
    <s v="Operador"/>
    <s v="1º Turno"/>
    <x v="0"/>
    <s v="Não"/>
    <x v="0"/>
    <d v="2026-03-24T00:00:00"/>
    <d v="2026-03-01T00:00:00"/>
    <s v="ter"/>
    <x v="4"/>
    <x v="0"/>
    <m/>
    <s v="136546105"/>
  </r>
  <r>
    <n v="1365"/>
    <n v="36"/>
    <s v="Masculino"/>
    <s v="Montagem"/>
    <s v="Operador"/>
    <s v="1º Turno"/>
    <x v="0"/>
    <s v="Não"/>
    <x v="0"/>
    <d v="2026-04-26T00:00:00"/>
    <d v="2026-04-01T00:00:00"/>
    <s v="sáb"/>
    <x v="2"/>
    <x v="1"/>
    <m/>
    <s v="136546138"/>
  </r>
  <r>
    <n v="1367"/>
    <n v="37"/>
    <s v="Masculino"/>
    <s v="Qualidade"/>
    <s v="Inspetor"/>
    <s v="2º Turno"/>
    <x v="5"/>
    <s v="Sim"/>
    <x v="0"/>
    <d v="2025-01-16T00:00:00"/>
    <d v="2025-01-01T00:00:00"/>
    <s v="qui"/>
    <x v="5"/>
    <x v="1"/>
    <d v="2025-07-04T00:00:00"/>
    <s v="136745673"/>
  </r>
  <r>
    <n v="1367"/>
    <n v="37"/>
    <s v="Masculino"/>
    <s v="Qualidade"/>
    <s v="Inspetor"/>
    <s v="2º Turno"/>
    <x v="1"/>
    <s v="Sim"/>
    <x v="0"/>
    <d v="2025-04-15T00:00:00"/>
    <d v="2025-04-01T00:00:00"/>
    <s v="ter"/>
    <x v="2"/>
    <x v="1"/>
    <d v="2025-07-04T00:00:00"/>
    <s v="136745762"/>
  </r>
  <r>
    <n v="1367"/>
    <n v="37"/>
    <s v="Masculino"/>
    <s v="Qualidade"/>
    <s v="Inspetor"/>
    <s v="2º Turno"/>
    <x v="1"/>
    <s v="Sim"/>
    <x v="0"/>
    <d v="2025-06-09T00:00:00"/>
    <d v="2025-06-01T00:00:00"/>
    <s v="seg"/>
    <x v="1"/>
    <x v="1"/>
    <d v="2025-07-04T00:00:00"/>
    <s v="136745817"/>
  </r>
  <r>
    <n v="1367"/>
    <n v="37"/>
    <s v="Masculino"/>
    <s v="Qualidade"/>
    <s v="Inspetor"/>
    <s v="2º Turno"/>
    <x v="1"/>
    <s v="Sim"/>
    <x v="0"/>
    <d v="2025-06-29T00:00:00"/>
    <d v="2025-06-01T00:00:00"/>
    <s v="dom"/>
    <x v="1"/>
    <x v="1"/>
    <d v="2025-07-04T00:00:00"/>
    <s v="136745837"/>
  </r>
  <r>
    <n v="1367"/>
    <n v="37"/>
    <s v="Masculino"/>
    <s v="Qualidade"/>
    <s v="Inspetor"/>
    <s v="2º Turno"/>
    <x v="1"/>
    <s v="Sim"/>
    <x v="0"/>
    <d v="2025-07-01T00:00:00"/>
    <d v="2025-07-01T00:00:00"/>
    <s v="ter"/>
    <x v="6"/>
    <x v="1"/>
    <d v="2025-07-04T00:00:00"/>
    <s v="136745839"/>
  </r>
  <r>
    <n v="1367"/>
    <n v="37"/>
    <s v="Masculino"/>
    <s v="Qualidade"/>
    <s v="Inspetor"/>
    <s v="2º Turno"/>
    <x v="1"/>
    <s v="Sim"/>
    <x v="0"/>
    <d v="2025-07-02T00:00:00"/>
    <d v="2025-07-01T00:00:00"/>
    <s v="qua"/>
    <x v="6"/>
    <x v="1"/>
    <d v="2025-07-04T00:00:00"/>
    <s v="136745840"/>
  </r>
  <r>
    <n v="1368"/>
    <n v="54"/>
    <s v="Feminino"/>
    <s v="Qualidade"/>
    <s v="Inspetor"/>
    <s v="3º Turno"/>
    <x v="0"/>
    <s v="Não"/>
    <x v="1"/>
    <d v="2025-07-26T00:00:00"/>
    <d v="2025-07-01T00:00:00"/>
    <s v="sáb"/>
    <x v="6"/>
    <x v="1"/>
    <m/>
    <s v="136845864"/>
  </r>
  <r>
    <n v="1368"/>
    <n v="54"/>
    <s v="Feminino"/>
    <s v="Qualidade"/>
    <s v="Inspetor"/>
    <s v="3º Turno"/>
    <x v="0"/>
    <s v="Não"/>
    <x v="1"/>
    <d v="2025-08-13T00:00:00"/>
    <d v="2025-08-01T00:00:00"/>
    <s v="qua"/>
    <x v="9"/>
    <x v="1"/>
    <m/>
    <s v="136845882"/>
  </r>
  <r>
    <n v="1368"/>
    <n v="54"/>
    <s v="Feminino"/>
    <s v="Qualidade"/>
    <s v="Inspetor"/>
    <s v="3º Turno"/>
    <x v="0"/>
    <s v="Não"/>
    <x v="1"/>
    <d v="2025-09-14T00:00:00"/>
    <d v="2025-09-01T00:00:00"/>
    <s v="dom"/>
    <x v="7"/>
    <x v="1"/>
    <m/>
    <s v="136845914"/>
  </r>
  <r>
    <n v="1368"/>
    <n v="54"/>
    <s v="Feminino"/>
    <s v="Qualidade"/>
    <s v="Inspetor"/>
    <s v="3º Turno"/>
    <x v="0"/>
    <s v="Não"/>
    <x v="1"/>
    <d v="2025-10-28T00:00:00"/>
    <d v="2025-10-01T00:00:00"/>
    <s v="ter"/>
    <x v="11"/>
    <x v="1"/>
    <m/>
    <s v="136845958"/>
  </r>
  <r>
    <n v="1368"/>
    <n v="54"/>
    <s v="Feminino"/>
    <s v="Qualidade"/>
    <s v="Inspetor"/>
    <s v="3º Turno"/>
    <x v="0"/>
    <s v="Não"/>
    <x v="1"/>
    <d v="2026-06-15T00:00:00"/>
    <d v="2026-01-01T00:00:00"/>
    <s v="seg"/>
    <x v="1"/>
    <x v="0"/>
    <m/>
    <s v="136846188"/>
  </r>
  <r>
    <n v="1368"/>
    <n v="54"/>
    <s v="Feminino"/>
    <s v="Qualidade"/>
    <s v="Inspetor"/>
    <s v="3º Turno"/>
    <x v="0"/>
    <s v="Não"/>
    <x v="1"/>
    <d v="2026-02-09T00:00:00"/>
    <d v="2026-02-01T00:00:00"/>
    <s v="seg"/>
    <x v="3"/>
    <x v="0"/>
    <m/>
    <s v="136846062"/>
  </r>
  <r>
    <n v="1369"/>
    <n v="49"/>
    <s v="Feminino"/>
    <s v="Soldagem"/>
    <s v="Operador"/>
    <s v="2º Turno"/>
    <x v="0"/>
    <s v="Sim"/>
    <x v="2"/>
    <d v="2025-07-29T00:00:00"/>
    <d v="2025-07-01T00:00:00"/>
    <s v="ter"/>
    <x v="6"/>
    <x v="1"/>
    <d v="2025-12-31T00:00:00"/>
    <s v="136945867"/>
  </r>
  <r>
    <n v="1369"/>
    <n v="49"/>
    <s v="Feminino"/>
    <s v="Soldagem"/>
    <s v="Operador"/>
    <s v="2º Turno"/>
    <x v="3"/>
    <s v="Sim"/>
    <x v="2"/>
    <d v="2025-08-12T00:00:00"/>
    <d v="2025-08-01T00:00:00"/>
    <s v="ter"/>
    <x v="9"/>
    <x v="1"/>
    <d v="2025-12-31T00:00:00"/>
    <s v="136945881"/>
  </r>
  <r>
    <n v="1369"/>
    <n v="49"/>
    <s v="Feminino"/>
    <s v="Soldagem"/>
    <s v="Operador"/>
    <s v="2º Turno"/>
    <x v="0"/>
    <s v="Sim"/>
    <x v="2"/>
    <d v="2025-08-20T00:00:00"/>
    <d v="2025-08-01T00:00:00"/>
    <s v="qua"/>
    <x v="9"/>
    <x v="1"/>
    <d v="2025-12-31T00:00:00"/>
    <s v="136945889"/>
  </r>
  <r>
    <n v="1369"/>
    <n v="49"/>
    <s v="Feminino"/>
    <s v="Soldagem"/>
    <s v="Operador"/>
    <s v="2º Turno"/>
    <x v="3"/>
    <s v="Sim"/>
    <x v="2"/>
    <d v="2025-10-06T00:00:00"/>
    <d v="2025-10-01T00:00:00"/>
    <s v="seg"/>
    <x v="11"/>
    <x v="1"/>
    <d v="2025-12-31T00:00:00"/>
    <s v="136945936"/>
  </r>
  <r>
    <n v="1369"/>
    <n v="49"/>
    <s v="Feminino"/>
    <s v="Soldagem"/>
    <s v="Operador"/>
    <s v="2º Turno"/>
    <x v="0"/>
    <s v="Sim"/>
    <x v="2"/>
    <d v="2025-10-23T00:00:00"/>
    <d v="2025-10-01T00:00:00"/>
    <s v="qui"/>
    <x v="11"/>
    <x v="1"/>
    <d v="2025-12-31T00:00:00"/>
    <s v="136945953"/>
  </r>
  <r>
    <n v="1369"/>
    <n v="49"/>
    <s v="Feminino"/>
    <s v="Soldagem"/>
    <s v="Operador"/>
    <s v="2º Turno"/>
    <x v="0"/>
    <s v="Sim"/>
    <x v="2"/>
    <d v="2025-11-14T00:00:00"/>
    <d v="2025-11-01T00:00:00"/>
    <s v="sex"/>
    <x v="10"/>
    <x v="1"/>
    <d v="2025-12-31T00:00:00"/>
    <s v="136945975"/>
  </r>
  <r>
    <n v="1370"/>
    <n v="43"/>
    <s v="Feminino"/>
    <s v="Soldagem"/>
    <s v="Operador"/>
    <s v="2º Turno"/>
    <x v="5"/>
    <s v="Sim"/>
    <x v="0"/>
    <d v="2025-04-22T00:00:00"/>
    <d v="2025-04-01T00:00:00"/>
    <s v="ter"/>
    <x v="2"/>
    <x v="1"/>
    <d v="2025-11-11T00:00:00"/>
    <s v="137045769"/>
  </r>
  <r>
    <n v="1370"/>
    <n v="43"/>
    <s v="Feminino"/>
    <s v="Soldagem"/>
    <s v="Operador"/>
    <s v="2º Turno"/>
    <x v="0"/>
    <s v="Sim"/>
    <x v="0"/>
    <d v="2025-05-30T00:00:00"/>
    <d v="2025-05-01T00:00:00"/>
    <s v="sex"/>
    <x v="0"/>
    <x v="1"/>
    <d v="2025-11-11T00:00:00"/>
    <s v="137045807"/>
  </r>
  <r>
    <n v="1370"/>
    <n v="43"/>
    <s v="Feminino"/>
    <s v="Soldagem"/>
    <s v="Operador"/>
    <s v="2º Turno"/>
    <x v="0"/>
    <s v="Sim"/>
    <x v="0"/>
    <d v="2025-06-23T00:00:00"/>
    <d v="2025-06-01T00:00:00"/>
    <s v="seg"/>
    <x v="1"/>
    <x v="1"/>
    <d v="2025-11-11T00:00:00"/>
    <s v="137045831"/>
  </r>
  <r>
    <n v="1370"/>
    <n v="43"/>
    <s v="Feminino"/>
    <s v="Soldagem"/>
    <s v="Operador"/>
    <s v="2º Turno"/>
    <x v="3"/>
    <s v="Sim"/>
    <x v="0"/>
    <d v="2025-09-07T00:00:00"/>
    <d v="2025-09-01T00:00:00"/>
    <s v="dom"/>
    <x v="7"/>
    <x v="1"/>
    <d v="2025-11-11T00:00:00"/>
    <s v="137045907"/>
  </r>
  <r>
    <n v="1370"/>
    <n v="43"/>
    <s v="Feminino"/>
    <s v="Soldagem"/>
    <s v="Operador"/>
    <s v="2º Turno"/>
    <x v="0"/>
    <s v="Sim"/>
    <x v="0"/>
    <d v="2025-10-16T00:00:00"/>
    <d v="2025-10-01T00:00:00"/>
    <s v="qui"/>
    <x v="11"/>
    <x v="1"/>
    <d v="2025-11-11T00:00:00"/>
    <s v="137045946"/>
  </r>
  <r>
    <n v="1370"/>
    <n v="43"/>
    <s v="Feminino"/>
    <s v="Soldagem"/>
    <s v="Operador"/>
    <s v="2º Turno"/>
    <x v="0"/>
    <s v="Sim"/>
    <x v="0"/>
    <d v="2025-11-08T00:00:00"/>
    <d v="2025-11-01T00:00:00"/>
    <s v="sáb"/>
    <x v="10"/>
    <x v="1"/>
    <d v="2025-11-11T00:00:00"/>
    <s v="137045969"/>
  </r>
  <r>
    <n v="1371"/>
    <n v="30"/>
    <s v="Masculino"/>
    <s v="Pintura"/>
    <s v="Operador"/>
    <s v="2º Turno"/>
    <x v="4"/>
    <s v="Não"/>
    <x v="2"/>
    <d v="2025-07-08T00:00:00"/>
    <d v="2025-07-01T00:00:00"/>
    <s v="ter"/>
    <x v="6"/>
    <x v="1"/>
    <m/>
    <s v="137145846"/>
  </r>
  <r>
    <n v="1371"/>
    <n v="30"/>
    <s v="Masculino"/>
    <s v="Pintura"/>
    <s v="Operador"/>
    <s v="2º Turno"/>
    <x v="4"/>
    <s v="Não"/>
    <x v="2"/>
    <d v="2025-07-19T00:00:00"/>
    <d v="2025-07-01T00:00:00"/>
    <s v="sáb"/>
    <x v="6"/>
    <x v="1"/>
    <m/>
    <s v="137145857"/>
  </r>
  <r>
    <n v="1371"/>
    <n v="30"/>
    <s v="Masculino"/>
    <s v="Pintura"/>
    <s v="Operador"/>
    <s v="2º Turno"/>
    <x v="2"/>
    <s v="Não"/>
    <x v="2"/>
    <d v="2025-08-02T00:00:00"/>
    <d v="2025-08-01T00:00:00"/>
    <s v="sáb"/>
    <x v="9"/>
    <x v="1"/>
    <m/>
    <s v="137145871"/>
  </r>
  <r>
    <n v="1371"/>
    <n v="30"/>
    <s v="Masculino"/>
    <s v="Pintura"/>
    <s v="Operador"/>
    <s v="2º Turno"/>
    <x v="4"/>
    <s v="Não"/>
    <x v="2"/>
    <d v="2026-06-10T00:00:00"/>
    <d v="2026-01-01T00:00:00"/>
    <s v="qua"/>
    <x v="1"/>
    <x v="0"/>
    <m/>
    <s v="137146183"/>
  </r>
  <r>
    <n v="1371"/>
    <n v="30"/>
    <s v="Masculino"/>
    <s v="Pintura"/>
    <s v="Operador"/>
    <s v="2º Turno"/>
    <x v="2"/>
    <s v="Não"/>
    <x v="2"/>
    <d v="2026-06-26T00:00:00"/>
    <d v="2026-01-01T00:00:00"/>
    <s v="sex"/>
    <x v="1"/>
    <x v="0"/>
    <m/>
    <s v="137146199"/>
  </r>
  <r>
    <n v="1371"/>
    <n v="30"/>
    <s v="Masculino"/>
    <s v="Pintura"/>
    <s v="Operador"/>
    <s v="2º Turno"/>
    <x v="4"/>
    <s v="Não"/>
    <x v="2"/>
    <d v="2026-02-08T00:00:00"/>
    <d v="2026-02-01T00:00:00"/>
    <s v="dom"/>
    <x v="3"/>
    <x v="0"/>
    <m/>
    <s v="137146061"/>
  </r>
  <r>
    <n v="1372"/>
    <n v="49"/>
    <s v="Feminino"/>
    <s v="Montagem"/>
    <s v="Operador"/>
    <s v="3º Turno"/>
    <x v="5"/>
    <s v="Sim"/>
    <x v="2"/>
    <d v="2025-03-18T00:00:00"/>
    <d v="2025-03-01T00:00:00"/>
    <s v="ter"/>
    <x v="4"/>
    <x v="1"/>
    <d v="2025-05-02T00:00:00"/>
    <s v="137245734"/>
  </r>
  <r>
    <n v="1372"/>
    <n v="49"/>
    <s v="Feminino"/>
    <s v="Montagem"/>
    <s v="Operador"/>
    <s v="3º Turno"/>
    <x v="5"/>
    <s v="Sim"/>
    <x v="2"/>
    <d v="2025-04-18T00:00:00"/>
    <d v="2025-04-01T00:00:00"/>
    <s v="sex"/>
    <x v="2"/>
    <x v="1"/>
    <d v="2025-05-02T00:00:00"/>
    <s v="137245765"/>
  </r>
  <r>
    <n v="1372"/>
    <n v="49"/>
    <s v="Feminino"/>
    <s v="Montagem"/>
    <s v="Operador"/>
    <s v="3º Turno"/>
    <x v="3"/>
    <s v="Sim"/>
    <x v="2"/>
    <d v="2025-04-25T00:00:00"/>
    <d v="2025-04-01T00:00:00"/>
    <s v="sex"/>
    <x v="2"/>
    <x v="1"/>
    <d v="2025-05-02T00:00:00"/>
    <s v="137245772"/>
  </r>
  <r>
    <n v="1372"/>
    <n v="49"/>
    <s v="Feminino"/>
    <s v="Montagem"/>
    <s v="Operador"/>
    <s v="3º Turno"/>
    <x v="0"/>
    <s v="Sim"/>
    <x v="2"/>
    <d v="2025-04-26T00:00:00"/>
    <d v="2025-04-01T00:00:00"/>
    <s v="sáb"/>
    <x v="2"/>
    <x v="1"/>
    <d v="2025-05-02T00:00:00"/>
    <s v="137245773"/>
  </r>
  <r>
    <n v="1372"/>
    <n v="49"/>
    <s v="Feminino"/>
    <s v="Montagem"/>
    <s v="Operador"/>
    <s v="3º Turno"/>
    <x v="0"/>
    <s v="Sim"/>
    <x v="2"/>
    <d v="2025-04-27T00:00:00"/>
    <d v="2025-04-01T00:00:00"/>
    <s v="dom"/>
    <x v="2"/>
    <x v="1"/>
    <d v="2025-05-02T00:00:00"/>
    <s v="137245774"/>
  </r>
  <r>
    <n v="1373"/>
    <n v="25"/>
    <s v="Masculino"/>
    <s v="Qualidade"/>
    <s v="Analista"/>
    <s v="2º Turno"/>
    <x v="0"/>
    <s v="Não"/>
    <x v="0"/>
    <d v="2025-06-16T00:00:00"/>
    <d v="2025-06-01T00:00:00"/>
    <s v="seg"/>
    <x v="1"/>
    <x v="1"/>
    <m/>
    <s v="137345824"/>
  </r>
  <r>
    <n v="1373"/>
    <n v="25"/>
    <s v="Masculino"/>
    <s v="Qualidade"/>
    <s v="Analista"/>
    <s v="2º Turno"/>
    <x v="0"/>
    <s v="Não"/>
    <x v="0"/>
    <d v="2025-06-18T00:00:00"/>
    <d v="2025-06-01T00:00:00"/>
    <s v="qua"/>
    <x v="1"/>
    <x v="1"/>
    <m/>
    <s v="137345826"/>
  </r>
  <r>
    <n v="1373"/>
    <n v="25"/>
    <s v="Masculino"/>
    <s v="Qualidade"/>
    <s v="Analista"/>
    <s v="2º Turno"/>
    <x v="0"/>
    <s v="Não"/>
    <x v="0"/>
    <d v="2025-09-10T00:00:00"/>
    <d v="2025-09-01T00:00:00"/>
    <s v="qua"/>
    <x v="7"/>
    <x v="1"/>
    <m/>
    <s v="137345910"/>
  </r>
  <r>
    <n v="1373"/>
    <n v="25"/>
    <s v="Masculino"/>
    <s v="Qualidade"/>
    <s v="Analista"/>
    <s v="2º Turno"/>
    <x v="0"/>
    <s v="Não"/>
    <x v="0"/>
    <d v="2025-09-20T00:00:00"/>
    <d v="2025-09-01T00:00:00"/>
    <s v="sáb"/>
    <x v="7"/>
    <x v="1"/>
    <m/>
    <s v="137345920"/>
  </r>
  <r>
    <n v="1373"/>
    <n v="25"/>
    <s v="Masculino"/>
    <s v="Qualidade"/>
    <s v="Analista"/>
    <s v="2º Turno"/>
    <x v="0"/>
    <s v="Não"/>
    <x v="0"/>
    <d v="2026-06-23T00:00:00"/>
    <d v="2026-01-01T00:00:00"/>
    <s v="ter"/>
    <x v="1"/>
    <x v="0"/>
    <m/>
    <s v="137346196"/>
  </r>
  <r>
    <n v="1374"/>
    <n v="27"/>
    <s v="Masculino"/>
    <s v="Montagem"/>
    <s v="Operador"/>
    <s v="3º Turno"/>
    <x v="4"/>
    <s v="Não"/>
    <x v="0"/>
    <d v="2025-04-30T00:00:00"/>
    <d v="2025-04-01T00:00:00"/>
    <s v="qua"/>
    <x v="2"/>
    <x v="1"/>
    <m/>
    <s v="137445777"/>
  </r>
  <r>
    <n v="1374"/>
    <n v="27"/>
    <s v="Masculino"/>
    <s v="Montagem"/>
    <s v="Operador"/>
    <s v="3º Turno"/>
    <x v="0"/>
    <s v="Não"/>
    <x v="0"/>
    <d v="2025-09-06T00:00:00"/>
    <d v="2025-09-01T00:00:00"/>
    <s v="sáb"/>
    <x v="7"/>
    <x v="1"/>
    <m/>
    <s v="137445906"/>
  </r>
  <r>
    <n v="1374"/>
    <n v="27"/>
    <s v="Masculino"/>
    <s v="Montagem"/>
    <s v="Operador"/>
    <s v="3º Turno"/>
    <x v="4"/>
    <s v="Não"/>
    <x v="0"/>
    <d v="2025-10-22T00:00:00"/>
    <d v="2025-10-01T00:00:00"/>
    <s v="qua"/>
    <x v="11"/>
    <x v="1"/>
    <m/>
    <s v="137445952"/>
  </r>
  <r>
    <n v="1374"/>
    <n v="27"/>
    <s v="Masculino"/>
    <s v="Montagem"/>
    <s v="Operador"/>
    <s v="3º Turno"/>
    <x v="0"/>
    <s v="Não"/>
    <x v="0"/>
    <d v="2025-11-13T00:00:00"/>
    <d v="2025-11-01T00:00:00"/>
    <s v="qui"/>
    <x v="10"/>
    <x v="1"/>
    <m/>
    <s v="137445974"/>
  </r>
  <r>
    <n v="1374"/>
    <n v="27"/>
    <s v="Masculino"/>
    <s v="Montagem"/>
    <s v="Operador"/>
    <s v="3º Turno"/>
    <x v="4"/>
    <s v="Não"/>
    <x v="0"/>
    <d v="2025-12-03T00:00:00"/>
    <d v="2025-12-01T00:00:00"/>
    <s v="qua"/>
    <x v="8"/>
    <x v="1"/>
    <m/>
    <s v="137445994"/>
  </r>
  <r>
    <n v="1374"/>
    <n v="27"/>
    <s v="Masculino"/>
    <s v="Montagem"/>
    <s v="Operador"/>
    <s v="3º Turno"/>
    <x v="4"/>
    <s v="Não"/>
    <x v="0"/>
    <d v="2026-03-23T00:00:00"/>
    <d v="2026-03-01T00:00:00"/>
    <s v="seg"/>
    <x v="4"/>
    <x v="0"/>
    <m/>
    <s v="137446104"/>
  </r>
  <r>
    <n v="1374"/>
    <n v="27"/>
    <s v="Masculino"/>
    <s v="Montagem"/>
    <s v="Operador"/>
    <s v="3º Turno"/>
    <x v="4"/>
    <s v="Não"/>
    <x v="0"/>
    <d v="2026-04-30T00:00:00"/>
    <d v="2026-04-01T00:00:00"/>
    <s v="qua"/>
    <x v="2"/>
    <x v="1"/>
    <m/>
    <s v="137446142"/>
  </r>
  <r>
    <n v="1375"/>
    <n v="36"/>
    <s v="Masculino"/>
    <s v="Logistica"/>
    <s v="Operador"/>
    <s v="3º Turno"/>
    <x v="4"/>
    <s v="Não"/>
    <x v="2"/>
    <d v="2025-05-03T00:00:00"/>
    <d v="2025-05-01T00:00:00"/>
    <s v="sáb"/>
    <x v="0"/>
    <x v="1"/>
    <m/>
    <s v="137545780"/>
  </r>
  <r>
    <n v="1375"/>
    <n v="36"/>
    <s v="Masculino"/>
    <s v="Logistica"/>
    <s v="Operador"/>
    <s v="3º Turno"/>
    <x v="4"/>
    <s v="Não"/>
    <x v="2"/>
    <d v="2025-05-09T00:00:00"/>
    <d v="2025-05-01T00:00:00"/>
    <s v="sex"/>
    <x v="0"/>
    <x v="1"/>
    <m/>
    <s v="137545786"/>
  </r>
  <r>
    <n v="1375"/>
    <n v="36"/>
    <s v="Masculino"/>
    <s v="Logistica"/>
    <s v="Operador"/>
    <s v="3º Turno"/>
    <x v="4"/>
    <s v="Não"/>
    <x v="2"/>
    <d v="2025-11-25T00:00:00"/>
    <d v="2025-11-01T00:00:00"/>
    <s v="ter"/>
    <x v="10"/>
    <x v="1"/>
    <m/>
    <s v="137545986"/>
  </r>
  <r>
    <n v="1375"/>
    <n v="36"/>
    <s v="Masculino"/>
    <s v="Logistica"/>
    <s v="Operador"/>
    <s v="3º Turno"/>
    <x v="4"/>
    <s v="Não"/>
    <x v="2"/>
    <d v="2025-12-07T00:00:00"/>
    <d v="2025-12-01T00:00:00"/>
    <s v="dom"/>
    <x v="8"/>
    <x v="1"/>
    <m/>
    <s v="137545998"/>
  </r>
  <r>
    <n v="1375"/>
    <n v="36"/>
    <s v="Masculino"/>
    <s v="Logistica"/>
    <s v="Operador"/>
    <s v="3º Turno"/>
    <x v="4"/>
    <s v="Não"/>
    <x v="2"/>
    <d v="2026-06-13T00:00:00"/>
    <d v="2026-01-01T00:00:00"/>
    <s v="sáb"/>
    <x v="1"/>
    <x v="0"/>
    <m/>
    <s v="137546186"/>
  </r>
  <r>
    <n v="1375"/>
    <n v="36"/>
    <s v="Masculino"/>
    <s v="Logistica"/>
    <s v="Operador"/>
    <s v="3º Turno"/>
    <x v="4"/>
    <s v="Não"/>
    <x v="2"/>
    <d v="2026-03-13T00:00:00"/>
    <d v="2026-03-01T00:00:00"/>
    <s v="sex"/>
    <x v="4"/>
    <x v="0"/>
    <m/>
    <s v="137546094"/>
  </r>
  <r>
    <n v="1375"/>
    <n v="36"/>
    <s v="Masculino"/>
    <s v="Logistica"/>
    <s v="Operador"/>
    <s v="3º Turno"/>
    <x v="4"/>
    <s v="Não"/>
    <x v="2"/>
    <d v="2026-05-03T00:00:00"/>
    <d v="2026-05-01T00:00:00"/>
    <s v="sáb"/>
    <x v="0"/>
    <x v="1"/>
    <m/>
    <s v="137546145"/>
  </r>
  <r>
    <n v="1375"/>
    <n v="36"/>
    <s v="Masculino"/>
    <s v="Logistica"/>
    <s v="Operador"/>
    <s v="3º Turno"/>
    <x v="4"/>
    <s v="Não"/>
    <x v="2"/>
    <d v="2026-05-09T00:00:00"/>
    <d v="2026-05-01T00:00:00"/>
    <s v="sex"/>
    <x v="0"/>
    <x v="1"/>
    <m/>
    <s v="137546151"/>
  </r>
  <r>
    <n v="1376"/>
    <n v="38"/>
    <s v="Feminino"/>
    <s v="Qualidade"/>
    <s v="Analista"/>
    <s v="3º Turno"/>
    <x v="0"/>
    <s v="Não"/>
    <x v="1"/>
    <d v="2025-07-23T00:00:00"/>
    <d v="2025-07-01T00:00:00"/>
    <s v="qua"/>
    <x v="6"/>
    <x v="1"/>
    <m/>
    <s v="137645861"/>
  </r>
  <r>
    <n v="1376"/>
    <n v="38"/>
    <s v="Feminino"/>
    <s v="Qualidade"/>
    <s v="Analista"/>
    <s v="3º Turno"/>
    <x v="0"/>
    <s v="Não"/>
    <x v="1"/>
    <d v="2025-09-02T00:00:00"/>
    <d v="2025-09-01T00:00:00"/>
    <s v="ter"/>
    <x v="7"/>
    <x v="1"/>
    <m/>
    <s v="137645902"/>
  </r>
  <r>
    <n v="1376"/>
    <n v="38"/>
    <s v="Feminino"/>
    <s v="Qualidade"/>
    <s v="Analista"/>
    <s v="3º Turno"/>
    <x v="0"/>
    <s v="Não"/>
    <x v="1"/>
    <d v="2025-09-10T00:00:00"/>
    <d v="2025-09-01T00:00:00"/>
    <s v="qua"/>
    <x v="7"/>
    <x v="1"/>
    <m/>
    <s v="137645910"/>
  </r>
  <r>
    <n v="1376"/>
    <n v="38"/>
    <s v="Feminino"/>
    <s v="Qualidade"/>
    <s v="Analista"/>
    <s v="3º Turno"/>
    <x v="0"/>
    <s v="Não"/>
    <x v="1"/>
    <d v="2025-09-19T00:00:00"/>
    <d v="2025-09-01T00:00:00"/>
    <s v="sex"/>
    <x v="7"/>
    <x v="1"/>
    <m/>
    <s v="137645919"/>
  </r>
  <r>
    <n v="1376"/>
    <n v="38"/>
    <s v="Feminino"/>
    <s v="Qualidade"/>
    <s v="Analista"/>
    <s v="3º Turno"/>
    <x v="0"/>
    <s v="Não"/>
    <x v="1"/>
    <d v="2025-12-06T00:00:00"/>
    <d v="2025-12-01T00:00:00"/>
    <s v="sáb"/>
    <x v="8"/>
    <x v="1"/>
    <m/>
    <s v="137645997"/>
  </r>
  <r>
    <n v="1376"/>
    <n v="38"/>
    <s v="Feminino"/>
    <s v="Qualidade"/>
    <s v="Analista"/>
    <s v="3º Turno"/>
    <x v="4"/>
    <s v="Não"/>
    <x v="1"/>
    <d v="2025-12-12T00:00:00"/>
    <d v="2025-12-01T00:00:00"/>
    <s v="sex"/>
    <x v="8"/>
    <x v="1"/>
    <m/>
    <s v="137646003"/>
  </r>
  <r>
    <n v="1377"/>
    <n v="27"/>
    <s v="Masculino"/>
    <s v="Qualidade"/>
    <s v="Analista"/>
    <s v="3º Turno"/>
    <x v="5"/>
    <s v="Sim"/>
    <x v="0"/>
    <d v="2025-01-15T00:00:00"/>
    <d v="2025-01-01T00:00:00"/>
    <s v="qua"/>
    <x v="5"/>
    <x v="1"/>
    <d v="2025-04-26T00:00:00"/>
    <s v="137745672"/>
  </r>
  <r>
    <n v="1377"/>
    <n v="27"/>
    <s v="Masculino"/>
    <s v="Qualidade"/>
    <s v="Analista"/>
    <s v="3º Turno"/>
    <x v="5"/>
    <s v="Sim"/>
    <x v="0"/>
    <d v="2025-01-16T00:00:00"/>
    <d v="2025-01-01T00:00:00"/>
    <s v="qui"/>
    <x v="5"/>
    <x v="1"/>
    <d v="2025-04-26T00:00:00"/>
    <s v="137745673"/>
  </r>
  <r>
    <n v="1377"/>
    <n v="27"/>
    <s v="Masculino"/>
    <s v="Qualidade"/>
    <s v="Analista"/>
    <s v="3º Turno"/>
    <x v="0"/>
    <s v="Sim"/>
    <x v="0"/>
    <d v="2025-02-12T00:00:00"/>
    <d v="2025-02-01T00:00:00"/>
    <s v="qua"/>
    <x v="3"/>
    <x v="1"/>
    <d v="2025-04-26T00:00:00"/>
    <s v="137745700"/>
  </r>
  <r>
    <n v="1377"/>
    <n v="27"/>
    <s v="Masculino"/>
    <s v="Qualidade"/>
    <s v="Analista"/>
    <s v="3º Turno"/>
    <x v="5"/>
    <s v="Sim"/>
    <x v="0"/>
    <d v="2025-03-17T00:00:00"/>
    <d v="2025-03-01T00:00:00"/>
    <s v="seg"/>
    <x v="4"/>
    <x v="1"/>
    <d v="2025-04-26T00:00:00"/>
    <s v="137745733"/>
  </r>
  <r>
    <n v="1377"/>
    <n v="27"/>
    <s v="Masculino"/>
    <s v="Qualidade"/>
    <s v="Analista"/>
    <s v="3º Turno"/>
    <x v="5"/>
    <s v="Sim"/>
    <x v="0"/>
    <d v="2025-03-18T00:00:00"/>
    <d v="2025-03-01T00:00:00"/>
    <s v="ter"/>
    <x v="4"/>
    <x v="1"/>
    <d v="2025-04-26T00:00:00"/>
    <s v="137745734"/>
  </r>
  <r>
    <n v="1377"/>
    <n v="27"/>
    <s v="Masculino"/>
    <s v="Qualidade"/>
    <s v="Analista"/>
    <s v="3º Turno"/>
    <x v="1"/>
    <s v="Sim"/>
    <x v="0"/>
    <d v="2025-04-14T00:00:00"/>
    <d v="2025-04-01T00:00:00"/>
    <s v="seg"/>
    <x v="2"/>
    <x v="1"/>
    <d v="2025-04-26T00:00:00"/>
    <s v="137745761"/>
  </r>
  <r>
    <n v="1379"/>
    <n v="52"/>
    <s v="Masculino"/>
    <s v="Qualidade"/>
    <s v="Inspetor"/>
    <s v="3º Turno"/>
    <x v="1"/>
    <s v="Sim"/>
    <x v="0"/>
    <d v="2025-05-15T00:00:00"/>
    <d v="2025-05-01T00:00:00"/>
    <s v="qui"/>
    <x v="0"/>
    <x v="1"/>
    <d v="2026-01-25T00:00:00"/>
    <s v="137945792"/>
  </r>
  <r>
    <n v="1379"/>
    <n v="52"/>
    <s v="Masculino"/>
    <s v="Qualidade"/>
    <s v="Inspetor"/>
    <s v="3º Turno"/>
    <x v="0"/>
    <s v="Sim"/>
    <x v="0"/>
    <d v="2025-05-25T00:00:00"/>
    <d v="2025-05-01T00:00:00"/>
    <s v="dom"/>
    <x v="0"/>
    <x v="1"/>
    <d v="2026-01-25T00:00:00"/>
    <s v="137945802"/>
  </r>
  <r>
    <n v="1379"/>
    <n v="52"/>
    <s v="Masculino"/>
    <s v="Qualidade"/>
    <s v="Inspetor"/>
    <s v="3º Turno"/>
    <x v="0"/>
    <s v="Sim"/>
    <x v="0"/>
    <d v="2025-06-05T00:00:00"/>
    <d v="2025-06-01T00:00:00"/>
    <s v="qui"/>
    <x v="1"/>
    <x v="1"/>
    <d v="2026-01-25T00:00:00"/>
    <s v="137945813"/>
  </r>
  <r>
    <n v="1379"/>
    <n v="52"/>
    <s v="Masculino"/>
    <s v="Qualidade"/>
    <s v="Inspetor"/>
    <s v="3º Turno"/>
    <x v="0"/>
    <s v="Sim"/>
    <x v="0"/>
    <d v="2025-07-25T00:00:00"/>
    <d v="2025-07-01T00:00:00"/>
    <s v="sex"/>
    <x v="6"/>
    <x v="1"/>
    <d v="2026-01-25T00:00:00"/>
    <s v="137945863"/>
  </r>
  <r>
    <n v="1379"/>
    <n v="52"/>
    <s v="Masculino"/>
    <s v="Qualidade"/>
    <s v="Inspetor"/>
    <s v="3º Turno"/>
    <x v="1"/>
    <s v="Sim"/>
    <x v="0"/>
    <d v="2025-07-26T00:00:00"/>
    <d v="2025-07-01T00:00:00"/>
    <s v="sáb"/>
    <x v="6"/>
    <x v="1"/>
    <d v="2026-01-25T00:00:00"/>
    <s v="137945864"/>
  </r>
  <r>
    <n v="1379"/>
    <n v="52"/>
    <s v="Masculino"/>
    <s v="Qualidade"/>
    <s v="Inspetor"/>
    <s v="3º Turno"/>
    <x v="0"/>
    <s v="Sim"/>
    <x v="0"/>
    <d v="2026-06-06T00:00:00"/>
    <d v="2026-01-01T00:00:00"/>
    <s v="sáb"/>
    <x v="1"/>
    <x v="0"/>
    <d v="2026-01-25T00:00:00"/>
    <s v="137946179"/>
  </r>
  <r>
    <n v="1380"/>
    <n v="24"/>
    <s v="Feminino"/>
    <s v="Soldagem"/>
    <s v="Operador"/>
    <s v="3º Turno"/>
    <x v="0"/>
    <s v="Não"/>
    <x v="1"/>
    <d v="2025-07-03T00:00:00"/>
    <d v="2025-07-01T00:00:00"/>
    <s v="qui"/>
    <x v="6"/>
    <x v="1"/>
    <m/>
    <s v="138045841"/>
  </r>
  <r>
    <n v="1380"/>
    <n v="24"/>
    <s v="Feminino"/>
    <s v="Soldagem"/>
    <s v="Operador"/>
    <s v="3º Turno"/>
    <x v="0"/>
    <s v="Não"/>
    <x v="1"/>
    <d v="2025-08-24T00:00:00"/>
    <d v="2025-08-01T00:00:00"/>
    <s v="dom"/>
    <x v="9"/>
    <x v="1"/>
    <m/>
    <s v="138045893"/>
  </r>
  <r>
    <n v="1380"/>
    <n v="24"/>
    <s v="Feminino"/>
    <s v="Soldagem"/>
    <s v="Operador"/>
    <s v="3º Turno"/>
    <x v="0"/>
    <s v="Não"/>
    <x v="1"/>
    <d v="2025-10-03T00:00:00"/>
    <d v="2025-10-01T00:00:00"/>
    <s v="sex"/>
    <x v="11"/>
    <x v="1"/>
    <m/>
    <s v="138045933"/>
  </r>
  <r>
    <n v="1380"/>
    <n v="24"/>
    <s v="Feminino"/>
    <s v="Soldagem"/>
    <s v="Operador"/>
    <s v="3º Turno"/>
    <x v="0"/>
    <s v="Não"/>
    <x v="1"/>
    <d v="2026-02-25T00:00:00"/>
    <d v="2026-02-01T00:00:00"/>
    <s v="qua"/>
    <x v="3"/>
    <x v="0"/>
    <m/>
    <s v="138046078"/>
  </r>
  <r>
    <n v="1380"/>
    <n v="24"/>
    <s v="Feminino"/>
    <s v="Soldagem"/>
    <s v="Operador"/>
    <s v="3º Turno"/>
    <x v="0"/>
    <s v="Não"/>
    <x v="1"/>
    <d v="2026-03-08T00:00:00"/>
    <d v="2026-03-01T00:00:00"/>
    <s v="dom"/>
    <x v="4"/>
    <x v="0"/>
    <m/>
    <s v="138046089"/>
  </r>
  <r>
    <n v="1381"/>
    <n v="33"/>
    <s v="Masculino"/>
    <s v="Soldagem"/>
    <s v="Operador"/>
    <s v="1º Turno"/>
    <x v="0"/>
    <s v="Sim"/>
    <x v="0"/>
    <d v="2025-01-16T00:00:00"/>
    <d v="2025-01-01T00:00:00"/>
    <s v="qui"/>
    <x v="5"/>
    <x v="1"/>
    <d v="2025-07-25T00:00:00"/>
    <s v="138145673"/>
  </r>
  <r>
    <n v="1381"/>
    <n v="33"/>
    <s v="Masculino"/>
    <s v="Soldagem"/>
    <s v="Operador"/>
    <s v="1º Turno"/>
    <x v="0"/>
    <s v="Sim"/>
    <x v="0"/>
    <d v="2025-03-01T00:00:00"/>
    <d v="2025-03-01T00:00:00"/>
    <s v="sáb"/>
    <x v="4"/>
    <x v="1"/>
    <d v="2025-07-25T00:00:00"/>
    <s v="138145717"/>
  </r>
  <r>
    <n v="1381"/>
    <n v="33"/>
    <s v="Masculino"/>
    <s v="Soldagem"/>
    <s v="Operador"/>
    <s v="1º Turno"/>
    <x v="5"/>
    <s v="Sim"/>
    <x v="0"/>
    <d v="2025-03-25T00:00:00"/>
    <d v="2025-03-01T00:00:00"/>
    <s v="ter"/>
    <x v="4"/>
    <x v="1"/>
    <d v="2025-07-25T00:00:00"/>
    <s v="138145741"/>
  </r>
  <r>
    <n v="1381"/>
    <n v="33"/>
    <s v="Masculino"/>
    <s v="Soldagem"/>
    <s v="Operador"/>
    <s v="1º Turno"/>
    <x v="0"/>
    <s v="Sim"/>
    <x v="0"/>
    <d v="2025-07-14T00:00:00"/>
    <d v="2025-07-01T00:00:00"/>
    <s v="seg"/>
    <x v="6"/>
    <x v="1"/>
    <d v="2025-07-25T00:00:00"/>
    <s v="138145852"/>
  </r>
  <r>
    <n v="1381"/>
    <n v="33"/>
    <s v="Masculino"/>
    <s v="Soldagem"/>
    <s v="Operador"/>
    <s v="1º Turno"/>
    <x v="0"/>
    <s v="Sim"/>
    <x v="0"/>
    <d v="2025-07-16T00:00:00"/>
    <d v="2025-07-01T00:00:00"/>
    <s v="qua"/>
    <x v="6"/>
    <x v="1"/>
    <d v="2025-07-25T00:00:00"/>
    <s v="138145854"/>
  </r>
  <r>
    <n v="1383"/>
    <n v="37"/>
    <s v="Masculino"/>
    <s v="Pintura"/>
    <s v="Operador"/>
    <s v="2º Turno"/>
    <x v="3"/>
    <s v="Não"/>
    <x v="2"/>
    <d v="2025-04-22T00:00:00"/>
    <d v="2025-04-01T00:00:00"/>
    <s v="ter"/>
    <x v="2"/>
    <x v="1"/>
    <m/>
    <s v="138345769"/>
  </r>
  <r>
    <n v="1383"/>
    <n v="37"/>
    <s v="Masculino"/>
    <s v="Pintura"/>
    <s v="Operador"/>
    <s v="2º Turno"/>
    <x v="2"/>
    <s v="Não"/>
    <x v="2"/>
    <d v="2025-04-29T00:00:00"/>
    <d v="2025-04-01T00:00:00"/>
    <s v="ter"/>
    <x v="2"/>
    <x v="1"/>
    <m/>
    <s v="138345776"/>
  </r>
  <r>
    <n v="1383"/>
    <n v="37"/>
    <s v="Masculino"/>
    <s v="Pintura"/>
    <s v="Operador"/>
    <s v="2º Turno"/>
    <x v="3"/>
    <s v="Não"/>
    <x v="2"/>
    <d v="2025-07-25T00:00:00"/>
    <d v="2025-07-01T00:00:00"/>
    <s v="sex"/>
    <x v="6"/>
    <x v="1"/>
    <m/>
    <s v="138345863"/>
  </r>
  <r>
    <n v="1383"/>
    <n v="37"/>
    <s v="Masculino"/>
    <s v="Pintura"/>
    <s v="Operador"/>
    <s v="2º Turno"/>
    <x v="3"/>
    <s v="Não"/>
    <x v="2"/>
    <d v="2026-06-12T00:00:00"/>
    <d v="2026-01-01T00:00:00"/>
    <s v="sex"/>
    <x v="1"/>
    <x v="0"/>
    <m/>
    <s v="138346185"/>
  </r>
  <r>
    <n v="1383"/>
    <n v="37"/>
    <s v="Masculino"/>
    <s v="Pintura"/>
    <s v="Operador"/>
    <s v="2º Turno"/>
    <x v="2"/>
    <s v="Não"/>
    <x v="2"/>
    <d v="2026-03-04T00:00:00"/>
    <d v="2026-03-01T00:00:00"/>
    <s v="qua"/>
    <x v="4"/>
    <x v="0"/>
    <m/>
    <s v="138346085"/>
  </r>
  <r>
    <n v="1383"/>
    <n v="37"/>
    <s v="Masculino"/>
    <s v="Pintura"/>
    <s v="Operador"/>
    <s v="2º Turno"/>
    <x v="3"/>
    <s v="Não"/>
    <x v="2"/>
    <d v="2026-03-27T00:00:00"/>
    <d v="2026-03-01T00:00:00"/>
    <s v="sex"/>
    <x v="4"/>
    <x v="0"/>
    <m/>
    <s v="138346108"/>
  </r>
  <r>
    <n v="1383"/>
    <n v="37"/>
    <s v="Masculino"/>
    <s v="Pintura"/>
    <s v="Operador"/>
    <s v="2º Turno"/>
    <x v="3"/>
    <s v="Não"/>
    <x v="2"/>
    <d v="2026-04-22T00:00:00"/>
    <d v="2026-04-01T00:00:00"/>
    <s v="ter"/>
    <x v="2"/>
    <x v="1"/>
    <m/>
    <s v="138346134"/>
  </r>
  <r>
    <n v="1383"/>
    <n v="37"/>
    <s v="Masculino"/>
    <s v="Pintura"/>
    <s v="Operador"/>
    <s v="2º Turno"/>
    <x v="2"/>
    <s v="Não"/>
    <x v="2"/>
    <d v="2026-04-29T00:00:00"/>
    <d v="2026-04-01T00:00:00"/>
    <s v="ter"/>
    <x v="2"/>
    <x v="1"/>
    <m/>
    <s v="138346141"/>
  </r>
  <r>
    <n v="1383"/>
    <n v="37"/>
    <s v="Masculino"/>
    <s v="Pintura"/>
    <s v="Operador"/>
    <s v="2º Turno"/>
    <x v="3"/>
    <s v="Não"/>
    <x v="2"/>
    <d v="2026-05-05T00:00:00"/>
    <d v="2026-05-01T00:00:00"/>
    <s v="ter"/>
    <x v="0"/>
    <x v="0"/>
    <m/>
    <s v="138346147"/>
  </r>
  <r>
    <n v="1385"/>
    <n v="36"/>
    <s v="Feminino"/>
    <s v="Pintura"/>
    <s v="Operador"/>
    <s v="2º Turno"/>
    <x v="4"/>
    <s v="Não"/>
    <x v="1"/>
    <d v="2025-09-30T00:00:00"/>
    <d v="2025-09-01T00:00:00"/>
    <s v="ter"/>
    <x v="7"/>
    <x v="1"/>
    <m/>
    <s v="138545930"/>
  </r>
  <r>
    <n v="1385"/>
    <n v="36"/>
    <s v="Feminino"/>
    <s v="Pintura"/>
    <s v="Operador"/>
    <s v="2º Turno"/>
    <x v="0"/>
    <s v="Não"/>
    <x v="1"/>
    <d v="2025-10-29T00:00:00"/>
    <d v="2025-10-01T00:00:00"/>
    <s v="qua"/>
    <x v="11"/>
    <x v="1"/>
    <m/>
    <s v="138545959"/>
  </r>
  <r>
    <n v="1385"/>
    <n v="36"/>
    <s v="Feminino"/>
    <s v="Pintura"/>
    <s v="Operador"/>
    <s v="2º Turno"/>
    <x v="0"/>
    <s v="Não"/>
    <x v="1"/>
    <d v="2025-11-06T00:00:00"/>
    <d v="2025-11-01T00:00:00"/>
    <s v="qui"/>
    <x v="10"/>
    <x v="1"/>
    <m/>
    <s v="138545967"/>
  </r>
  <r>
    <n v="1385"/>
    <n v="36"/>
    <s v="Feminino"/>
    <s v="Pintura"/>
    <s v="Operador"/>
    <s v="2º Turno"/>
    <x v="0"/>
    <s v="Não"/>
    <x v="1"/>
    <d v="2026-06-10T00:00:00"/>
    <d v="2026-01-01T00:00:00"/>
    <s v="qua"/>
    <x v="1"/>
    <x v="0"/>
    <m/>
    <s v="138546183"/>
  </r>
  <r>
    <n v="1385"/>
    <n v="36"/>
    <s v="Feminino"/>
    <s v="Pintura"/>
    <s v="Operador"/>
    <s v="2º Turno"/>
    <x v="4"/>
    <s v="Não"/>
    <x v="1"/>
    <d v="2026-03-25T00:00:00"/>
    <d v="2026-03-01T00:00:00"/>
    <s v="qua"/>
    <x v="4"/>
    <x v="0"/>
    <m/>
    <s v="138546106"/>
  </r>
  <r>
    <n v="1386"/>
    <n v="20"/>
    <s v="Masculino"/>
    <s v="Logistica"/>
    <s v="Operador"/>
    <s v="1º Turno"/>
    <x v="0"/>
    <s v="Sim"/>
    <x v="2"/>
    <d v="2025-07-02T00:00:00"/>
    <d v="2025-07-01T00:00:00"/>
    <s v="qua"/>
    <x v="6"/>
    <x v="1"/>
    <d v="2026-04-18T00:00:00"/>
    <s v="138645840"/>
  </r>
  <r>
    <n v="1386"/>
    <n v="20"/>
    <s v="Masculino"/>
    <s v="Logistica"/>
    <s v="Operador"/>
    <s v="1º Turno"/>
    <x v="3"/>
    <s v="Sim"/>
    <x v="2"/>
    <d v="2025-08-18T00:00:00"/>
    <d v="2025-08-01T00:00:00"/>
    <s v="seg"/>
    <x v="9"/>
    <x v="1"/>
    <d v="2026-04-18T00:00:00"/>
    <s v="138645887"/>
  </r>
  <r>
    <n v="1386"/>
    <n v="20"/>
    <s v="Masculino"/>
    <s v="Logistica"/>
    <s v="Operador"/>
    <s v="1º Turno"/>
    <x v="3"/>
    <s v="Sim"/>
    <x v="2"/>
    <d v="2025-08-23T00:00:00"/>
    <d v="2025-08-01T00:00:00"/>
    <s v="sáb"/>
    <x v="9"/>
    <x v="1"/>
    <d v="2026-04-18T00:00:00"/>
    <s v="138645892"/>
  </r>
  <r>
    <n v="1386"/>
    <n v="20"/>
    <s v="Masculino"/>
    <s v="Logistica"/>
    <s v="Operador"/>
    <s v="1º Turno"/>
    <x v="3"/>
    <s v="Sim"/>
    <x v="2"/>
    <d v="2025-09-04T00:00:00"/>
    <d v="2025-09-01T00:00:00"/>
    <s v="qui"/>
    <x v="7"/>
    <x v="1"/>
    <d v="2026-04-18T00:00:00"/>
    <s v="138645904"/>
  </r>
  <r>
    <n v="1386"/>
    <n v="20"/>
    <s v="Masculino"/>
    <s v="Logistica"/>
    <s v="Operador"/>
    <s v="1º Turno"/>
    <x v="0"/>
    <s v="Sim"/>
    <x v="2"/>
    <d v="2026-02-09T00:00:00"/>
    <d v="2026-02-01T00:00:00"/>
    <s v="seg"/>
    <x v="3"/>
    <x v="0"/>
    <d v="2026-04-18T00:00:00"/>
    <s v="138646062"/>
  </r>
  <r>
    <n v="1386"/>
    <n v="20"/>
    <s v="Masculino"/>
    <s v="Logistica"/>
    <s v="Operador"/>
    <s v="1º Turno"/>
    <x v="0"/>
    <s v="Sim"/>
    <x v="2"/>
    <d v="2026-02-28T00:00:00"/>
    <d v="2026-02-01T00:00:00"/>
    <s v="sáb"/>
    <x v="3"/>
    <x v="0"/>
    <d v="2026-04-18T00:00:00"/>
    <s v="138646081"/>
  </r>
  <r>
    <n v="1388"/>
    <n v="39"/>
    <s v="Feminino"/>
    <s v="Soldagem"/>
    <s v="Operador"/>
    <s v="1º Turno"/>
    <x v="2"/>
    <s v="Sim"/>
    <x v="0"/>
    <d v="2025-05-14T00:00:00"/>
    <d v="2025-05-01T00:00:00"/>
    <s v="qua"/>
    <x v="0"/>
    <x v="1"/>
    <d v="2026-06-29T00:00:00"/>
    <s v="138845791"/>
  </r>
  <r>
    <n v="1388"/>
    <n v="39"/>
    <s v="Feminino"/>
    <s v="Soldagem"/>
    <s v="Operador"/>
    <s v="1º Turno"/>
    <x v="0"/>
    <s v="Sim"/>
    <x v="0"/>
    <d v="2025-05-30T00:00:00"/>
    <d v="2025-05-01T00:00:00"/>
    <s v="sex"/>
    <x v="0"/>
    <x v="1"/>
    <d v="2026-06-29T00:00:00"/>
    <s v="138845807"/>
  </r>
  <r>
    <n v="1388"/>
    <n v="39"/>
    <s v="Feminino"/>
    <s v="Soldagem"/>
    <s v="Operador"/>
    <s v="1º Turno"/>
    <x v="0"/>
    <s v="Sim"/>
    <x v="0"/>
    <d v="2025-06-19T00:00:00"/>
    <d v="2025-06-01T00:00:00"/>
    <s v="qui"/>
    <x v="1"/>
    <x v="1"/>
    <d v="2026-06-29T00:00:00"/>
    <s v="138845827"/>
  </r>
  <r>
    <n v="1388"/>
    <n v="39"/>
    <s v="Feminino"/>
    <s v="Soldagem"/>
    <s v="Operador"/>
    <s v="1º Turno"/>
    <x v="2"/>
    <s v="Sim"/>
    <x v="0"/>
    <d v="2025-10-21T00:00:00"/>
    <d v="2025-10-01T00:00:00"/>
    <s v="ter"/>
    <x v="11"/>
    <x v="1"/>
    <d v="2026-06-29T00:00:00"/>
    <s v="138845951"/>
  </r>
  <r>
    <n v="1388"/>
    <n v="39"/>
    <s v="Feminino"/>
    <s v="Soldagem"/>
    <s v="Operador"/>
    <s v="1º Turno"/>
    <x v="0"/>
    <s v="Sim"/>
    <x v="0"/>
    <d v="2025-12-27T00:00:00"/>
    <d v="2025-12-01T00:00:00"/>
    <s v="sáb"/>
    <x v="8"/>
    <x v="1"/>
    <d v="2026-06-29T00:00:00"/>
    <s v="138846018"/>
  </r>
  <r>
    <n v="1388"/>
    <n v="39"/>
    <s v="Feminino"/>
    <s v="Soldagem"/>
    <s v="Operador"/>
    <s v="1º Turno"/>
    <x v="2"/>
    <s v="Sim"/>
    <x v="0"/>
    <d v="2026-03-17T00:00:00"/>
    <d v="2026-03-01T00:00:00"/>
    <s v="ter"/>
    <x v="4"/>
    <x v="0"/>
    <d v="2026-06-29T00:00:00"/>
    <s v="138846098"/>
  </r>
  <r>
    <n v="1389"/>
    <n v="52"/>
    <s v="Feminino"/>
    <s v="Soldagem"/>
    <s v="Operador"/>
    <s v="3º Turno"/>
    <x v="1"/>
    <s v="Sim"/>
    <x v="1"/>
    <d v="2025-09-02T00:00:00"/>
    <d v="2025-09-01T00:00:00"/>
    <s v="ter"/>
    <x v="7"/>
    <x v="1"/>
    <d v="2026-02-22T00:00:00"/>
    <s v="138945902"/>
  </r>
  <r>
    <n v="1389"/>
    <n v="52"/>
    <s v="Feminino"/>
    <s v="Soldagem"/>
    <s v="Operador"/>
    <s v="3º Turno"/>
    <x v="1"/>
    <s v="Sim"/>
    <x v="1"/>
    <d v="2025-09-19T00:00:00"/>
    <d v="2025-09-01T00:00:00"/>
    <s v="sex"/>
    <x v="7"/>
    <x v="1"/>
    <d v="2026-02-22T00:00:00"/>
    <s v="138945919"/>
  </r>
  <r>
    <n v="1389"/>
    <n v="52"/>
    <s v="Feminino"/>
    <s v="Soldagem"/>
    <s v="Operador"/>
    <s v="3º Turno"/>
    <x v="1"/>
    <s v="Sim"/>
    <x v="1"/>
    <d v="2025-10-03T00:00:00"/>
    <d v="2025-10-01T00:00:00"/>
    <s v="sex"/>
    <x v="11"/>
    <x v="1"/>
    <d v="2026-02-22T00:00:00"/>
    <s v="138945933"/>
  </r>
  <r>
    <n v="1389"/>
    <n v="52"/>
    <s v="Feminino"/>
    <s v="Soldagem"/>
    <s v="Operador"/>
    <s v="3º Turno"/>
    <x v="1"/>
    <s v="Sim"/>
    <x v="1"/>
    <d v="2025-12-31T00:00:00"/>
    <d v="2025-12-01T00:00:00"/>
    <s v="qua"/>
    <x v="8"/>
    <x v="1"/>
    <d v="2026-02-22T00:00:00"/>
    <s v="138946022"/>
  </r>
  <r>
    <n v="1389"/>
    <n v="52"/>
    <s v="Feminino"/>
    <s v="Soldagem"/>
    <s v="Operador"/>
    <s v="3º Turno"/>
    <x v="1"/>
    <s v="Sim"/>
    <x v="1"/>
    <d v="2026-06-06T00:00:00"/>
    <d v="2026-01-01T00:00:00"/>
    <s v="sáb"/>
    <x v="1"/>
    <x v="0"/>
    <d v="2026-02-22T00:00:00"/>
    <s v="138946179"/>
  </r>
  <r>
    <n v="1389"/>
    <n v="52"/>
    <s v="Feminino"/>
    <s v="Soldagem"/>
    <s v="Operador"/>
    <s v="3º Turno"/>
    <x v="1"/>
    <s v="Sim"/>
    <x v="1"/>
    <d v="2026-06-23T00:00:00"/>
    <d v="2026-01-01T00:00:00"/>
    <s v="ter"/>
    <x v="1"/>
    <x v="0"/>
    <d v="2026-02-22T00:00:00"/>
    <s v="138946196"/>
  </r>
  <r>
    <n v="1391"/>
    <n v="49"/>
    <s v="Feminino"/>
    <s v="Montagem"/>
    <s v="Operador"/>
    <s v="3º Turno"/>
    <x v="0"/>
    <s v="Não"/>
    <x v="1"/>
    <d v="2025-08-13T00:00:00"/>
    <d v="2025-08-01T00:00:00"/>
    <s v="qua"/>
    <x v="9"/>
    <x v="1"/>
    <m/>
    <s v="139145882"/>
  </r>
  <r>
    <n v="1391"/>
    <n v="49"/>
    <s v="Feminino"/>
    <s v="Montagem"/>
    <s v="Operador"/>
    <s v="3º Turno"/>
    <x v="0"/>
    <s v="Não"/>
    <x v="1"/>
    <d v="2025-10-09T00:00:00"/>
    <d v="2025-10-01T00:00:00"/>
    <s v="qui"/>
    <x v="11"/>
    <x v="1"/>
    <m/>
    <s v="139145939"/>
  </r>
  <r>
    <n v="1391"/>
    <n v="49"/>
    <s v="Feminino"/>
    <s v="Montagem"/>
    <s v="Operador"/>
    <s v="3º Turno"/>
    <x v="0"/>
    <s v="Não"/>
    <x v="1"/>
    <d v="2025-11-22T00:00:00"/>
    <d v="2025-11-01T00:00:00"/>
    <s v="sáb"/>
    <x v="10"/>
    <x v="1"/>
    <m/>
    <s v="139145983"/>
  </r>
  <r>
    <n v="1391"/>
    <n v="49"/>
    <s v="Feminino"/>
    <s v="Montagem"/>
    <s v="Operador"/>
    <s v="3º Turno"/>
    <x v="0"/>
    <s v="Não"/>
    <x v="1"/>
    <d v="2025-12-07T00:00:00"/>
    <d v="2025-12-01T00:00:00"/>
    <s v="dom"/>
    <x v="8"/>
    <x v="1"/>
    <m/>
    <s v="139145998"/>
  </r>
  <r>
    <n v="1391"/>
    <n v="49"/>
    <s v="Feminino"/>
    <s v="Montagem"/>
    <s v="Operador"/>
    <s v="3º Turno"/>
    <x v="0"/>
    <s v="Não"/>
    <x v="1"/>
    <d v="2026-06-15T00:00:00"/>
    <d v="2026-01-01T00:00:00"/>
    <s v="seg"/>
    <x v="1"/>
    <x v="0"/>
    <m/>
    <s v="139146188"/>
  </r>
  <r>
    <n v="1391"/>
    <n v="49"/>
    <s v="Feminino"/>
    <s v="Montagem"/>
    <s v="Operador"/>
    <s v="3º Turno"/>
    <x v="0"/>
    <s v="Não"/>
    <x v="1"/>
    <d v="2026-02-13T00:00:00"/>
    <d v="2026-02-01T00:00:00"/>
    <s v="sex"/>
    <x v="3"/>
    <x v="0"/>
    <m/>
    <s v="139146066"/>
  </r>
  <r>
    <n v="1392"/>
    <n v="24"/>
    <s v="Masculino"/>
    <s v="Pintura"/>
    <s v="Operador"/>
    <s v="2º Turno"/>
    <x v="4"/>
    <s v="Não"/>
    <x v="0"/>
    <d v="2025-08-11T00:00:00"/>
    <d v="2025-08-01T00:00:00"/>
    <s v="seg"/>
    <x v="9"/>
    <x v="1"/>
    <m/>
    <s v="139245880"/>
  </r>
  <r>
    <n v="1392"/>
    <n v="24"/>
    <s v="Masculino"/>
    <s v="Pintura"/>
    <s v="Operador"/>
    <s v="2º Turno"/>
    <x v="4"/>
    <s v="Não"/>
    <x v="0"/>
    <d v="2025-11-01T00:00:00"/>
    <d v="2025-11-01T00:00:00"/>
    <s v="sáb"/>
    <x v="10"/>
    <x v="1"/>
    <m/>
    <s v="139245962"/>
  </r>
  <r>
    <n v="1392"/>
    <n v="24"/>
    <s v="Masculino"/>
    <s v="Pintura"/>
    <s v="Operador"/>
    <s v="2º Turno"/>
    <x v="0"/>
    <s v="Não"/>
    <x v="0"/>
    <d v="2025-11-27T00:00:00"/>
    <d v="2025-11-01T00:00:00"/>
    <s v="qui"/>
    <x v="10"/>
    <x v="1"/>
    <m/>
    <s v="139245988"/>
  </r>
  <r>
    <n v="1392"/>
    <n v="24"/>
    <s v="Masculino"/>
    <s v="Pintura"/>
    <s v="Operador"/>
    <s v="2º Turno"/>
    <x v="4"/>
    <s v="Não"/>
    <x v="0"/>
    <d v="2025-12-30T00:00:00"/>
    <d v="2025-12-01T00:00:00"/>
    <s v="ter"/>
    <x v="8"/>
    <x v="1"/>
    <m/>
    <s v="139246021"/>
  </r>
  <r>
    <n v="1392"/>
    <n v="24"/>
    <s v="Masculino"/>
    <s v="Pintura"/>
    <s v="Operador"/>
    <s v="2º Turno"/>
    <x v="4"/>
    <s v="Não"/>
    <x v="0"/>
    <d v="2026-06-17T00:00:00"/>
    <d v="2026-01-01T00:00:00"/>
    <s v="qua"/>
    <x v="1"/>
    <x v="0"/>
    <m/>
    <s v="139246190"/>
  </r>
  <r>
    <n v="1392"/>
    <n v="24"/>
    <s v="Masculino"/>
    <s v="Pintura"/>
    <s v="Operador"/>
    <s v="2º Turno"/>
    <x v="0"/>
    <s v="Não"/>
    <x v="0"/>
    <d v="2026-03-16T00:00:00"/>
    <d v="2026-03-01T00:00:00"/>
    <s v="seg"/>
    <x v="4"/>
    <x v="0"/>
    <m/>
    <s v="139246097"/>
  </r>
  <r>
    <n v="1393"/>
    <n v="41"/>
    <s v="Masculino"/>
    <s v="Montagem"/>
    <s v="Operador"/>
    <s v="2º Turno"/>
    <x v="4"/>
    <s v="Não"/>
    <x v="0"/>
    <d v="2025-09-29T00:00:00"/>
    <d v="2025-09-01T00:00:00"/>
    <s v="seg"/>
    <x v="7"/>
    <x v="1"/>
    <m/>
    <s v="139345929"/>
  </r>
  <r>
    <n v="1393"/>
    <n v="41"/>
    <s v="Masculino"/>
    <s v="Montagem"/>
    <s v="Operador"/>
    <s v="2º Turno"/>
    <x v="4"/>
    <s v="Não"/>
    <x v="0"/>
    <d v="2025-10-15T00:00:00"/>
    <d v="2025-10-01T00:00:00"/>
    <s v="qua"/>
    <x v="11"/>
    <x v="1"/>
    <m/>
    <s v="139345945"/>
  </r>
  <r>
    <n v="1393"/>
    <n v="41"/>
    <s v="Masculino"/>
    <s v="Montagem"/>
    <s v="Operador"/>
    <s v="2º Turno"/>
    <x v="4"/>
    <s v="Não"/>
    <x v="0"/>
    <d v="2026-03-02T00:00:00"/>
    <d v="2026-03-01T00:00:00"/>
    <s v="seg"/>
    <x v="4"/>
    <x v="0"/>
    <m/>
    <s v="139346083"/>
  </r>
  <r>
    <n v="1393"/>
    <n v="41"/>
    <s v="Masculino"/>
    <s v="Montagem"/>
    <s v="Operador"/>
    <s v="2º Turno"/>
    <x v="4"/>
    <s v="Não"/>
    <x v="0"/>
    <d v="2026-03-10T00:00:00"/>
    <d v="2026-03-01T00:00:00"/>
    <s v="ter"/>
    <x v="4"/>
    <x v="0"/>
    <m/>
    <s v="139346091"/>
  </r>
  <r>
    <n v="1393"/>
    <n v="41"/>
    <s v="Masculino"/>
    <s v="Montagem"/>
    <s v="Operador"/>
    <s v="2º Turno"/>
    <x v="4"/>
    <s v="Não"/>
    <x v="0"/>
    <d v="2026-03-13T00:00:00"/>
    <d v="2026-03-01T00:00:00"/>
    <s v="sex"/>
    <x v="4"/>
    <x v="0"/>
    <m/>
    <s v="139346094"/>
  </r>
  <r>
    <n v="1393"/>
    <n v="41"/>
    <s v="Masculino"/>
    <s v="Montagem"/>
    <s v="Operador"/>
    <s v="2º Turno"/>
    <x v="4"/>
    <s v="Não"/>
    <x v="0"/>
    <d v="2026-03-24T00:00:00"/>
    <d v="2026-03-01T00:00:00"/>
    <s v="ter"/>
    <x v="4"/>
    <x v="0"/>
    <m/>
    <s v="139346105"/>
  </r>
  <r>
    <n v="1394"/>
    <n v="26"/>
    <s v="Feminino"/>
    <s v="Montagem"/>
    <s v="Operador"/>
    <s v="3º Turno"/>
    <x v="3"/>
    <s v="Não"/>
    <x v="0"/>
    <d v="2025-06-11T00:00:00"/>
    <d v="2025-06-01T00:00:00"/>
    <s v="qua"/>
    <x v="1"/>
    <x v="1"/>
    <m/>
    <s v="139445819"/>
  </r>
  <r>
    <n v="1394"/>
    <n v="26"/>
    <s v="Feminino"/>
    <s v="Montagem"/>
    <s v="Operador"/>
    <s v="3º Turno"/>
    <x v="2"/>
    <s v="Não"/>
    <x v="0"/>
    <d v="2025-11-03T00:00:00"/>
    <d v="2025-11-01T00:00:00"/>
    <s v="seg"/>
    <x v="10"/>
    <x v="1"/>
    <m/>
    <s v="139445964"/>
  </r>
  <r>
    <n v="1394"/>
    <n v="26"/>
    <s v="Feminino"/>
    <s v="Montagem"/>
    <s v="Operador"/>
    <s v="3º Turno"/>
    <x v="2"/>
    <s v="Não"/>
    <x v="0"/>
    <d v="2026-06-16T00:00:00"/>
    <d v="2026-01-01T00:00:00"/>
    <s v="ter"/>
    <x v="1"/>
    <x v="0"/>
    <m/>
    <s v="139446189"/>
  </r>
  <r>
    <n v="1394"/>
    <n v="26"/>
    <s v="Feminino"/>
    <s v="Montagem"/>
    <s v="Operador"/>
    <s v="3º Turno"/>
    <x v="3"/>
    <s v="Não"/>
    <x v="0"/>
    <d v="2026-02-10T00:00:00"/>
    <d v="2026-02-01T00:00:00"/>
    <s v="ter"/>
    <x v="3"/>
    <x v="0"/>
    <m/>
    <s v="139446063"/>
  </r>
  <r>
    <n v="1394"/>
    <n v="26"/>
    <s v="Feminino"/>
    <s v="Montagem"/>
    <s v="Operador"/>
    <s v="3º Turno"/>
    <x v="4"/>
    <s v="Não"/>
    <x v="0"/>
    <d v="2026-03-07T00:00:00"/>
    <d v="2026-03-01T00:00:00"/>
    <s v="sáb"/>
    <x v="4"/>
    <x v="0"/>
    <m/>
    <s v="139446088"/>
  </r>
  <r>
    <n v="1394"/>
    <n v="26"/>
    <s v="Feminino"/>
    <s v="Montagem"/>
    <s v="Operador"/>
    <s v="3º Turno"/>
    <x v="4"/>
    <s v="Não"/>
    <x v="0"/>
    <d v="2026-03-15T00:00:00"/>
    <d v="2026-03-01T00:00:00"/>
    <s v="dom"/>
    <x v="4"/>
    <x v="0"/>
    <m/>
    <s v="139446096"/>
  </r>
  <r>
    <n v="1395"/>
    <n v="52"/>
    <s v="Masculino"/>
    <s v="Logistica"/>
    <s v="Operador"/>
    <s v="1º Turno"/>
    <x v="0"/>
    <s v="Sim"/>
    <x v="1"/>
    <d v="2025-04-15T00:00:00"/>
    <d v="2025-04-01T00:00:00"/>
    <s v="ter"/>
    <x v="2"/>
    <x v="1"/>
    <d v="2026-01-19T00:00:00"/>
    <s v="139545762"/>
  </r>
  <r>
    <n v="1395"/>
    <n v="52"/>
    <s v="Masculino"/>
    <s v="Logistica"/>
    <s v="Operador"/>
    <s v="1º Turno"/>
    <x v="0"/>
    <s v="Sim"/>
    <x v="1"/>
    <d v="2025-06-30T00:00:00"/>
    <d v="2025-06-01T00:00:00"/>
    <s v="seg"/>
    <x v="1"/>
    <x v="1"/>
    <d v="2026-01-19T00:00:00"/>
    <s v="139545838"/>
  </r>
  <r>
    <n v="1395"/>
    <n v="52"/>
    <s v="Masculino"/>
    <s v="Logistica"/>
    <s v="Operador"/>
    <s v="1º Turno"/>
    <x v="3"/>
    <s v="Sim"/>
    <x v="1"/>
    <d v="2025-12-01T00:00:00"/>
    <d v="2025-12-01T00:00:00"/>
    <s v="seg"/>
    <x v="8"/>
    <x v="1"/>
    <d v="2026-01-19T00:00:00"/>
    <s v="139545992"/>
  </r>
  <r>
    <n v="1395"/>
    <n v="52"/>
    <s v="Masculino"/>
    <s v="Logistica"/>
    <s v="Operador"/>
    <s v="1º Turno"/>
    <x v="3"/>
    <s v="Sim"/>
    <x v="1"/>
    <d v="2026-06-05T00:00:00"/>
    <d v="2026-01-01T00:00:00"/>
    <s v="sex"/>
    <x v="1"/>
    <x v="0"/>
    <d v="2026-01-19T00:00:00"/>
    <s v="139546178"/>
  </r>
  <r>
    <n v="1395"/>
    <n v="52"/>
    <s v="Masculino"/>
    <s v="Logistica"/>
    <s v="Operador"/>
    <s v="1º Turno"/>
    <x v="0"/>
    <s v="Sim"/>
    <x v="1"/>
    <d v="2026-06-06T00:00:00"/>
    <d v="2026-01-01T00:00:00"/>
    <s v="sáb"/>
    <x v="1"/>
    <x v="0"/>
    <d v="2026-01-19T00:00:00"/>
    <s v="139546179"/>
  </r>
  <r>
    <n v="1395"/>
    <n v="52"/>
    <s v="Masculino"/>
    <s v="Logistica"/>
    <s v="Operador"/>
    <s v="1º Turno"/>
    <x v="0"/>
    <s v="Sim"/>
    <x v="1"/>
    <d v="2026-06-13T00:00:00"/>
    <d v="2026-01-01T00:00:00"/>
    <s v="sáb"/>
    <x v="1"/>
    <x v="0"/>
    <d v="2026-01-19T00:00:00"/>
    <s v="139546186"/>
  </r>
  <r>
    <n v="1396"/>
    <n v="34"/>
    <s v="Feminino"/>
    <s v="Montagem"/>
    <s v="Operador"/>
    <s v="2º Turno"/>
    <x v="0"/>
    <s v="Não"/>
    <x v="2"/>
    <d v="2025-08-27T00:00:00"/>
    <d v="2025-08-01T00:00:00"/>
    <s v="qua"/>
    <x v="9"/>
    <x v="1"/>
    <m/>
    <s v="139645896"/>
  </r>
  <r>
    <n v="1396"/>
    <n v="34"/>
    <s v="Feminino"/>
    <s v="Montagem"/>
    <s v="Operador"/>
    <s v="2º Turno"/>
    <x v="0"/>
    <s v="Não"/>
    <x v="2"/>
    <d v="2025-09-11T00:00:00"/>
    <d v="2025-09-01T00:00:00"/>
    <s v="qui"/>
    <x v="7"/>
    <x v="1"/>
    <m/>
    <s v="139645911"/>
  </r>
  <r>
    <n v="1396"/>
    <n v="34"/>
    <s v="Feminino"/>
    <s v="Montagem"/>
    <s v="Operador"/>
    <s v="2º Turno"/>
    <x v="0"/>
    <s v="Não"/>
    <x v="2"/>
    <d v="2025-11-15T00:00:00"/>
    <d v="2025-11-01T00:00:00"/>
    <s v="sáb"/>
    <x v="10"/>
    <x v="1"/>
    <m/>
    <s v="139645976"/>
  </r>
  <r>
    <n v="1396"/>
    <n v="34"/>
    <s v="Feminino"/>
    <s v="Montagem"/>
    <s v="Operador"/>
    <s v="2º Turno"/>
    <x v="0"/>
    <s v="Não"/>
    <x v="2"/>
    <d v="2026-06-03T00:00:00"/>
    <d v="2026-01-01T00:00:00"/>
    <s v="qua"/>
    <x v="1"/>
    <x v="0"/>
    <m/>
    <s v="139646176"/>
  </r>
  <r>
    <n v="1396"/>
    <n v="34"/>
    <s v="Feminino"/>
    <s v="Montagem"/>
    <s v="Operador"/>
    <s v="2º Turno"/>
    <x v="0"/>
    <s v="Não"/>
    <x v="2"/>
    <d v="2026-03-23T00:00:00"/>
    <d v="2026-03-01T00:00:00"/>
    <s v="seg"/>
    <x v="4"/>
    <x v="0"/>
    <m/>
    <s v="139646104"/>
  </r>
  <r>
    <n v="1397"/>
    <n v="32"/>
    <s v="Feminino"/>
    <s v="Pintura"/>
    <s v="Operador"/>
    <s v="3º Turno"/>
    <x v="4"/>
    <s v="Não"/>
    <x v="1"/>
    <d v="2025-05-18T00:00:00"/>
    <d v="2025-05-01T00:00:00"/>
    <s v="dom"/>
    <x v="0"/>
    <x v="1"/>
    <m/>
    <s v="139745795"/>
  </r>
  <r>
    <n v="1397"/>
    <n v="32"/>
    <s v="Feminino"/>
    <s v="Pintura"/>
    <s v="Operador"/>
    <s v="3º Turno"/>
    <x v="4"/>
    <s v="Não"/>
    <x v="1"/>
    <d v="2025-08-05T00:00:00"/>
    <d v="2025-08-01T00:00:00"/>
    <s v="ter"/>
    <x v="9"/>
    <x v="1"/>
    <m/>
    <s v="139745874"/>
  </r>
  <r>
    <n v="1397"/>
    <n v="32"/>
    <s v="Feminino"/>
    <s v="Pintura"/>
    <s v="Operador"/>
    <s v="3º Turno"/>
    <x v="4"/>
    <s v="Não"/>
    <x v="1"/>
    <d v="2025-12-19T00:00:00"/>
    <d v="2025-12-01T00:00:00"/>
    <s v="sex"/>
    <x v="8"/>
    <x v="1"/>
    <m/>
    <s v="139746010"/>
  </r>
  <r>
    <n v="1397"/>
    <n v="32"/>
    <s v="Feminino"/>
    <s v="Pintura"/>
    <s v="Operador"/>
    <s v="3º Turno"/>
    <x v="4"/>
    <s v="Não"/>
    <x v="1"/>
    <d v="2026-06-27T00:00:00"/>
    <d v="2026-01-01T00:00:00"/>
    <s v="sáb"/>
    <x v="1"/>
    <x v="0"/>
    <m/>
    <s v="139746200"/>
  </r>
  <r>
    <n v="1397"/>
    <n v="32"/>
    <s v="Feminino"/>
    <s v="Pintura"/>
    <s v="Operador"/>
    <s v="3º Turno"/>
    <x v="4"/>
    <s v="Não"/>
    <x v="1"/>
    <d v="2026-03-07T00:00:00"/>
    <d v="2026-03-01T00:00:00"/>
    <s v="sáb"/>
    <x v="4"/>
    <x v="0"/>
    <m/>
    <s v="139746088"/>
  </r>
  <r>
    <n v="1397"/>
    <n v="32"/>
    <s v="Feminino"/>
    <s v="Pintura"/>
    <s v="Operador"/>
    <s v="3º Turno"/>
    <x v="4"/>
    <s v="Não"/>
    <x v="1"/>
    <d v="2026-04-16T00:00:00"/>
    <d v="2026-04-01T00:00:00"/>
    <s v="qui"/>
    <x v="2"/>
    <x v="0"/>
    <m/>
    <s v="139746128"/>
  </r>
  <r>
    <n v="1397"/>
    <n v="32"/>
    <s v="Feminino"/>
    <s v="Pintura"/>
    <s v="Operador"/>
    <s v="3º Turno"/>
    <x v="4"/>
    <s v="Não"/>
    <x v="1"/>
    <d v="2026-05-15T00:00:00"/>
    <d v="2026-05-01T00:00:00"/>
    <s v="sex"/>
    <x v="0"/>
    <x v="0"/>
    <m/>
    <s v="139746157"/>
  </r>
  <r>
    <n v="1397"/>
    <n v="32"/>
    <s v="Feminino"/>
    <s v="Pintura"/>
    <s v="Operador"/>
    <s v="3º Turno"/>
    <x v="4"/>
    <s v="Não"/>
    <x v="1"/>
    <d v="2026-05-18T00:00:00"/>
    <d v="2026-05-01T00:00:00"/>
    <s v="dom"/>
    <x v="0"/>
    <x v="1"/>
    <m/>
    <s v="139746160"/>
  </r>
  <r>
    <n v="1399"/>
    <n v="56"/>
    <s v="Masculino"/>
    <s v="Soldagem"/>
    <s v="Operador"/>
    <s v="3º Turno"/>
    <x v="2"/>
    <s v="Não"/>
    <x v="2"/>
    <d v="2025-05-21T00:00:00"/>
    <d v="2025-05-01T00:00:00"/>
    <s v="qua"/>
    <x v="0"/>
    <x v="1"/>
    <m/>
    <s v="139945798"/>
  </r>
  <r>
    <n v="1399"/>
    <n v="56"/>
    <s v="Masculino"/>
    <s v="Soldagem"/>
    <s v="Operador"/>
    <s v="3º Turno"/>
    <x v="0"/>
    <s v="Não"/>
    <x v="2"/>
    <d v="2025-06-14T00:00:00"/>
    <d v="2025-06-01T00:00:00"/>
    <s v="sáb"/>
    <x v="1"/>
    <x v="1"/>
    <m/>
    <s v="139945822"/>
  </r>
  <r>
    <n v="1399"/>
    <n v="56"/>
    <s v="Masculino"/>
    <s v="Soldagem"/>
    <s v="Operador"/>
    <s v="3º Turno"/>
    <x v="0"/>
    <s v="Não"/>
    <x v="2"/>
    <d v="2025-08-27T00:00:00"/>
    <d v="2025-08-01T00:00:00"/>
    <s v="qua"/>
    <x v="9"/>
    <x v="1"/>
    <m/>
    <s v="139945896"/>
  </r>
  <r>
    <n v="1399"/>
    <n v="56"/>
    <s v="Masculino"/>
    <s v="Soldagem"/>
    <s v="Operador"/>
    <s v="3º Turno"/>
    <x v="0"/>
    <s v="Não"/>
    <x v="2"/>
    <d v="2025-11-09T00:00:00"/>
    <d v="2025-11-01T00:00:00"/>
    <s v="dom"/>
    <x v="10"/>
    <x v="1"/>
    <m/>
    <s v="139945970"/>
  </r>
  <r>
    <n v="1399"/>
    <n v="56"/>
    <s v="Masculino"/>
    <s v="Soldagem"/>
    <s v="Operador"/>
    <s v="3º Turno"/>
    <x v="0"/>
    <s v="Não"/>
    <x v="2"/>
    <d v="2025-12-17T00:00:00"/>
    <d v="2025-12-01T00:00:00"/>
    <s v="qua"/>
    <x v="8"/>
    <x v="1"/>
    <m/>
    <s v="139946008"/>
  </r>
  <r>
    <n v="1399"/>
    <n v="56"/>
    <s v="Masculino"/>
    <s v="Soldagem"/>
    <s v="Operador"/>
    <s v="3º Turno"/>
    <x v="0"/>
    <s v="Não"/>
    <x v="2"/>
    <d v="2026-02-12T00:00:00"/>
    <d v="2026-02-01T00:00:00"/>
    <s v="qui"/>
    <x v="3"/>
    <x v="0"/>
    <m/>
    <s v="139946065"/>
  </r>
  <r>
    <n v="1399"/>
    <n v="56"/>
    <s v="Masculino"/>
    <s v="Soldagem"/>
    <s v="Operador"/>
    <s v="3º Turno"/>
    <x v="2"/>
    <s v="Não"/>
    <x v="2"/>
    <d v="2026-05-21T00:00:00"/>
    <d v="2026-05-01T00:00:00"/>
    <s v="qua"/>
    <x v="0"/>
    <x v="1"/>
    <m/>
    <s v="139946163"/>
  </r>
  <r>
    <n v="1400"/>
    <n v="32"/>
    <s v="Masculino"/>
    <s v="Montagem"/>
    <s v="Operador"/>
    <s v="2º Turno"/>
    <x v="2"/>
    <s v="Não"/>
    <x v="0"/>
    <d v="2025-08-09T00:00:00"/>
    <d v="2025-08-01T00:00:00"/>
    <s v="sáb"/>
    <x v="9"/>
    <x v="1"/>
    <m/>
    <s v="140045878"/>
  </r>
  <r>
    <n v="1400"/>
    <n v="32"/>
    <s v="Masculino"/>
    <s v="Montagem"/>
    <s v="Operador"/>
    <s v="2º Turno"/>
    <x v="2"/>
    <s v="Não"/>
    <x v="0"/>
    <d v="2025-08-25T00:00:00"/>
    <d v="2025-08-01T00:00:00"/>
    <s v="seg"/>
    <x v="9"/>
    <x v="1"/>
    <m/>
    <s v="140045894"/>
  </r>
  <r>
    <n v="1400"/>
    <n v="32"/>
    <s v="Masculino"/>
    <s v="Montagem"/>
    <s v="Operador"/>
    <s v="2º Turno"/>
    <x v="1"/>
    <s v="Não"/>
    <x v="0"/>
    <d v="2025-11-04T00:00:00"/>
    <d v="2025-11-01T00:00:00"/>
    <s v="ter"/>
    <x v="10"/>
    <x v="1"/>
    <m/>
    <s v="140045965"/>
  </r>
  <r>
    <n v="1400"/>
    <n v="32"/>
    <s v="Masculino"/>
    <s v="Montagem"/>
    <s v="Operador"/>
    <s v="2º Turno"/>
    <x v="1"/>
    <s v="Não"/>
    <x v="0"/>
    <d v="2025-11-27T00:00:00"/>
    <d v="2025-11-01T00:00:00"/>
    <s v="qui"/>
    <x v="10"/>
    <x v="1"/>
    <m/>
    <s v="140045988"/>
  </r>
  <r>
    <n v="1400"/>
    <n v="32"/>
    <s v="Masculino"/>
    <s v="Montagem"/>
    <s v="Operador"/>
    <s v="2º Turno"/>
    <x v="1"/>
    <s v="Não"/>
    <x v="0"/>
    <d v="2026-03-09T00:00:00"/>
    <d v="2026-03-01T00:00:00"/>
    <s v="seg"/>
    <x v="4"/>
    <x v="0"/>
    <m/>
    <s v="140046090"/>
  </r>
  <r>
    <n v="1400"/>
    <n v="32"/>
    <s v="Masculino"/>
    <s v="Montagem"/>
    <s v="Operador"/>
    <s v="2º Turno"/>
    <x v="1"/>
    <s v="Não"/>
    <x v="0"/>
    <d v="2026-03-26T00:00:00"/>
    <d v="2026-03-01T00:00:00"/>
    <s v="qui"/>
    <x v="4"/>
    <x v="0"/>
    <m/>
    <s v="140046107"/>
  </r>
  <r>
    <n v="1400"/>
    <n v="32"/>
    <s v="Masculino"/>
    <s v="Montagem"/>
    <s v="Operador"/>
    <s v="2º Turno"/>
    <x v="1"/>
    <s v="Não"/>
    <x v="0"/>
    <d v="2026-05-07T00:00:00"/>
    <d v="2026-05-01T00:00:00"/>
    <s v="qui"/>
    <x v="0"/>
    <x v="0"/>
    <m/>
    <s v="140046149"/>
  </r>
  <r>
    <n v="1401"/>
    <n v="48"/>
    <s v="Feminino"/>
    <s v="Montagem"/>
    <s v="Operador"/>
    <s v="1º Turno"/>
    <x v="1"/>
    <s v="Não"/>
    <x v="0"/>
    <d v="2025-04-18T00:00:00"/>
    <d v="2025-04-01T00:00:00"/>
    <s v="sex"/>
    <x v="2"/>
    <x v="1"/>
    <m/>
    <s v="140145765"/>
  </r>
  <r>
    <n v="1401"/>
    <n v="48"/>
    <s v="Feminino"/>
    <s v="Montagem"/>
    <s v="Operador"/>
    <s v="1º Turno"/>
    <x v="1"/>
    <s v="Não"/>
    <x v="0"/>
    <d v="2025-07-30T00:00:00"/>
    <d v="2025-07-01T00:00:00"/>
    <s v="qua"/>
    <x v="6"/>
    <x v="1"/>
    <m/>
    <s v="140145868"/>
  </r>
  <r>
    <n v="1401"/>
    <n v="48"/>
    <s v="Feminino"/>
    <s v="Montagem"/>
    <s v="Operador"/>
    <s v="1º Turno"/>
    <x v="1"/>
    <s v="Não"/>
    <x v="0"/>
    <d v="2025-09-08T00:00:00"/>
    <d v="2025-09-01T00:00:00"/>
    <s v="seg"/>
    <x v="7"/>
    <x v="1"/>
    <m/>
    <s v="140145908"/>
  </r>
  <r>
    <n v="1401"/>
    <n v="48"/>
    <s v="Feminino"/>
    <s v="Montagem"/>
    <s v="Operador"/>
    <s v="1º Turno"/>
    <x v="1"/>
    <s v="Não"/>
    <x v="0"/>
    <d v="2026-06-09T00:00:00"/>
    <d v="2026-01-01T00:00:00"/>
    <s v="ter"/>
    <x v="1"/>
    <x v="0"/>
    <m/>
    <s v="140146182"/>
  </r>
  <r>
    <n v="1401"/>
    <n v="48"/>
    <s v="Feminino"/>
    <s v="Montagem"/>
    <s v="Operador"/>
    <s v="1º Turno"/>
    <x v="1"/>
    <s v="Não"/>
    <x v="0"/>
    <d v="2026-06-21T00:00:00"/>
    <d v="2026-01-01T00:00:00"/>
    <s v="dom"/>
    <x v="1"/>
    <x v="0"/>
    <m/>
    <s v="140146194"/>
  </r>
  <r>
    <n v="1401"/>
    <n v="48"/>
    <s v="Feminino"/>
    <s v="Montagem"/>
    <s v="Operador"/>
    <s v="1º Turno"/>
    <x v="1"/>
    <s v="Não"/>
    <x v="0"/>
    <d v="2026-02-17T00:00:00"/>
    <d v="2026-02-01T00:00:00"/>
    <s v="ter"/>
    <x v="3"/>
    <x v="0"/>
    <m/>
    <s v="140146070"/>
  </r>
  <r>
    <n v="1401"/>
    <n v="48"/>
    <s v="Feminino"/>
    <s v="Montagem"/>
    <s v="Operador"/>
    <s v="1º Turno"/>
    <x v="1"/>
    <s v="Não"/>
    <x v="0"/>
    <d v="2026-04-18T00:00:00"/>
    <d v="2026-04-01T00:00:00"/>
    <s v="sex"/>
    <x v="2"/>
    <x v="1"/>
    <m/>
    <s v="140146130"/>
  </r>
  <r>
    <n v="1402"/>
    <n v="53"/>
    <s v="Masculino"/>
    <s v="Pintura"/>
    <s v="Operador"/>
    <s v="2º Turno"/>
    <x v="0"/>
    <s v="Sim"/>
    <x v="2"/>
    <d v="2025-04-26T00:00:00"/>
    <d v="2025-04-01T00:00:00"/>
    <s v="sáb"/>
    <x v="2"/>
    <x v="1"/>
    <d v="2026-02-12T00:00:00"/>
    <s v="140245773"/>
  </r>
  <r>
    <n v="1402"/>
    <n v="53"/>
    <s v="Masculino"/>
    <s v="Pintura"/>
    <s v="Operador"/>
    <s v="2º Turno"/>
    <x v="0"/>
    <s v="Sim"/>
    <x v="2"/>
    <d v="2025-07-18T00:00:00"/>
    <d v="2025-07-01T00:00:00"/>
    <s v="sex"/>
    <x v="6"/>
    <x v="1"/>
    <d v="2026-02-12T00:00:00"/>
    <s v="140245856"/>
  </r>
  <r>
    <n v="1402"/>
    <n v="53"/>
    <s v="Masculino"/>
    <s v="Pintura"/>
    <s v="Operador"/>
    <s v="2º Turno"/>
    <x v="0"/>
    <s v="Sim"/>
    <x v="2"/>
    <d v="2025-07-24T00:00:00"/>
    <d v="2025-07-01T00:00:00"/>
    <s v="qui"/>
    <x v="6"/>
    <x v="1"/>
    <d v="2026-02-12T00:00:00"/>
    <s v="140245862"/>
  </r>
  <r>
    <n v="1402"/>
    <n v="53"/>
    <s v="Masculino"/>
    <s v="Pintura"/>
    <s v="Operador"/>
    <s v="2º Turno"/>
    <x v="0"/>
    <s v="Sim"/>
    <x v="2"/>
    <d v="2025-10-17T00:00:00"/>
    <d v="2025-10-01T00:00:00"/>
    <s v="sex"/>
    <x v="11"/>
    <x v="1"/>
    <d v="2026-02-12T00:00:00"/>
    <s v="140245947"/>
  </r>
  <r>
    <n v="1402"/>
    <n v="53"/>
    <s v="Masculino"/>
    <s v="Pintura"/>
    <s v="Operador"/>
    <s v="2º Turno"/>
    <x v="0"/>
    <s v="Sim"/>
    <x v="2"/>
    <d v="2025-11-10T00:00:00"/>
    <d v="2025-11-01T00:00:00"/>
    <s v="seg"/>
    <x v="10"/>
    <x v="1"/>
    <d v="2026-02-12T00:00:00"/>
    <s v="140245971"/>
  </r>
  <r>
    <n v="1402"/>
    <n v="53"/>
    <s v="Masculino"/>
    <s v="Pintura"/>
    <s v="Operador"/>
    <s v="2º Turno"/>
    <x v="0"/>
    <s v="Sim"/>
    <x v="2"/>
    <d v="2025-12-25T00:00:00"/>
    <d v="2025-12-01T00:00:00"/>
    <s v="qui"/>
    <x v="8"/>
    <x v="1"/>
    <d v="2026-02-12T00:00:00"/>
    <s v="140246016"/>
  </r>
  <r>
    <n v="1404"/>
    <n v="57"/>
    <s v="Feminino"/>
    <s v="Pintura"/>
    <s v="Operador"/>
    <s v="3º Turno"/>
    <x v="5"/>
    <s v="Sim"/>
    <x v="2"/>
    <d v="2025-03-18T00:00:00"/>
    <d v="2025-03-01T00:00:00"/>
    <s v="ter"/>
    <x v="4"/>
    <x v="1"/>
    <d v="2025-07-15T00:00:00"/>
    <s v="140445734"/>
  </r>
  <r>
    <n v="1404"/>
    <n v="57"/>
    <s v="Feminino"/>
    <s v="Pintura"/>
    <s v="Operador"/>
    <s v="3º Turno"/>
    <x v="0"/>
    <s v="Sim"/>
    <x v="2"/>
    <d v="2025-06-14T00:00:00"/>
    <d v="2025-06-01T00:00:00"/>
    <s v="sáb"/>
    <x v="1"/>
    <x v="1"/>
    <d v="2025-07-15T00:00:00"/>
    <s v="140445822"/>
  </r>
  <r>
    <n v="1405"/>
    <n v="27"/>
    <s v="Masculino"/>
    <s v="Montagem"/>
    <s v="Operador"/>
    <s v="3º Turno"/>
    <x v="0"/>
    <s v="Sim"/>
    <x v="1"/>
    <d v="2025-01-16T00:00:00"/>
    <d v="2025-01-01T00:00:00"/>
    <s v="qui"/>
    <x v="5"/>
    <x v="1"/>
    <d v="2025-07-13T00:00:00"/>
    <s v="140545673"/>
  </r>
  <r>
    <n v="1405"/>
    <n v="27"/>
    <s v="Masculino"/>
    <s v="Montagem"/>
    <s v="Operador"/>
    <s v="3º Turno"/>
    <x v="5"/>
    <s v="Sim"/>
    <x v="1"/>
    <d v="2025-03-18T00:00:00"/>
    <d v="2025-03-01T00:00:00"/>
    <s v="ter"/>
    <x v="4"/>
    <x v="1"/>
    <d v="2025-07-13T00:00:00"/>
    <s v="140545734"/>
  </r>
  <r>
    <n v="1405"/>
    <n v="27"/>
    <s v="Masculino"/>
    <s v="Montagem"/>
    <s v="Operador"/>
    <s v="3º Turno"/>
    <x v="5"/>
    <s v="Sim"/>
    <x v="1"/>
    <d v="2025-03-30T00:00:00"/>
    <d v="2025-03-01T00:00:00"/>
    <s v="dom"/>
    <x v="4"/>
    <x v="1"/>
    <d v="2025-07-13T00:00:00"/>
    <s v="140545746"/>
  </r>
  <r>
    <n v="1405"/>
    <n v="27"/>
    <s v="Masculino"/>
    <s v="Montagem"/>
    <s v="Operador"/>
    <s v="3º Turno"/>
    <x v="0"/>
    <s v="Sim"/>
    <x v="1"/>
    <d v="2025-05-16T00:00:00"/>
    <d v="2025-05-01T00:00:00"/>
    <s v="sex"/>
    <x v="0"/>
    <x v="1"/>
    <d v="2025-07-13T00:00:00"/>
    <s v="140545793"/>
  </r>
  <r>
    <n v="1405"/>
    <n v="27"/>
    <s v="Masculino"/>
    <s v="Montagem"/>
    <s v="Operador"/>
    <s v="3º Turno"/>
    <x v="2"/>
    <s v="Sim"/>
    <x v="1"/>
    <d v="2025-07-03T00:00:00"/>
    <d v="2025-07-01T00:00:00"/>
    <s v="qui"/>
    <x v="6"/>
    <x v="1"/>
    <d v="2025-07-13T00:00:00"/>
    <s v="140545841"/>
  </r>
  <r>
    <n v="1405"/>
    <n v="27"/>
    <s v="Masculino"/>
    <s v="Montagem"/>
    <s v="Operador"/>
    <s v="3º Turno"/>
    <x v="0"/>
    <s v="Sim"/>
    <x v="1"/>
    <d v="2025-07-11T00:00:00"/>
    <d v="2025-07-01T00:00:00"/>
    <s v="sex"/>
    <x v="6"/>
    <x v="1"/>
    <d v="2025-07-13T00:00:00"/>
    <s v="140545849"/>
  </r>
  <r>
    <n v="1406"/>
    <n v="41"/>
    <s v="Masculino"/>
    <s v="Pintura"/>
    <s v="Operador"/>
    <s v="3º Turno"/>
    <x v="3"/>
    <s v="Não"/>
    <x v="2"/>
    <d v="2025-05-28T00:00:00"/>
    <d v="2025-05-01T00:00:00"/>
    <s v="qua"/>
    <x v="0"/>
    <x v="1"/>
    <m/>
    <s v="140645805"/>
  </r>
  <r>
    <n v="1406"/>
    <n v="41"/>
    <s v="Masculino"/>
    <s v="Pintura"/>
    <s v="Operador"/>
    <s v="3º Turno"/>
    <x v="0"/>
    <s v="Não"/>
    <x v="2"/>
    <d v="2025-06-04T00:00:00"/>
    <d v="2025-06-01T00:00:00"/>
    <s v="qua"/>
    <x v="1"/>
    <x v="1"/>
    <m/>
    <s v="140645812"/>
  </r>
  <r>
    <n v="1406"/>
    <n v="41"/>
    <s v="Masculino"/>
    <s v="Pintura"/>
    <s v="Operador"/>
    <s v="3º Turno"/>
    <x v="3"/>
    <s v="Não"/>
    <x v="2"/>
    <d v="2025-07-31T00:00:00"/>
    <d v="2025-07-01T00:00:00"/>
    <s v="qui"/>
    <x v="6"/>
    <x v="1"/>
    <m/>
    <s v="140645869"/>
  </r>
  <r>
    <n v="1406"/>
    <n v="41"/>
    <s v="Masculino"/>
    <s v="Pintura"/>
    <s v="Operador"/>
    <s v="3º Turno"/>
    <x v="0"/>
    <s v="Não"/>
    <x v="2"/>
    <d v="2025-08-09T00:00:00"/>
    <d v="2025-08-01T00:00:00"/>
    <s v="sáb"/>
    <x v="9"/>
    <x v="1"/>
    <m/>
    <s v="140645878"/>
  </r>
  <r>
    <n v="1406"/>
    <n v="41"/>
    <s v="Masculino"/>
    <s v="Pintura"/>
    <s v="Operador"/>
    <s v="3º Turno"/>
    <x v="3"/>
    <s v="Não"/>
    <x v="2"/>
    <d v="2026-02-17T00:00:00"/>
    <d v="2026-02-01T00:00:00"/>
    <s v="ter"/>
    <x v="3"/>
    <x v="0"/>
    <m/>
    <s v="140646070"/>
  </r>
  <r>
    <n v="1406"/>
    <n v="41"/>
    <s v="Masculino"/>
    <s v="Pintura"/>
    <s v="Operador"/>
    <s v="3º Turno"/>
    <x v="3"/>
    <s v="Não"/>
    <x v="2"/>
    <d v="2026-03-29T00:00:00"/>
    <d v="2026-03-01T00:00:00"/>
    <s v="dom"/>
    <x v="4"/>
    <x v="0"/>
    <m/>
    <s v="140646110"/>
  </r>
  <r>
    <n v="1406"/>
    <n v="41"/>
    <s v="Masculino"/>
    <s v="Pintura"/>
    <s v="Operador"/>
    <s v="3º Turno"/>
    <x v="3"/>
    <s v="Não"/>
    <x v="2"/>
    <d v="2026-05-10T00:00:00"/>
    <d v="2026-05-01T00:00:00"/>
    <s v="dom"/>
    <x v="0"/>
    <x v="0"/>
    <m/>
    <s v="140646152"/>
  </r>
  <r>
    <n v="1406"/>
    <n v="41"/>
    <s v="Masculino"/>
    <s v="Pintura"/>
    <s v="Operador"/>
    <s v="3º Turno"/>
    <x v="3"/>
    <s v="Não"/>
    <x v="2"/>
    <d v="2026-05-28T00:00:00"/>
    <d v="2026-05-01T00:00:00"/>
    <s v="qua"/>
    <x v="0"/>
    <x v="1"/>
    <m/>
    <s v="140646170"/>
  </r>
  <r>
    <n v="1407"/>
    <n v="45"/>
    <s v="Masculino"/>
    <s v="Pintura"/>
    <s v="Operador"/>
    <s v="2º Turno"/>
    <x v="0"/>
    <s v="Não"/>
    <x v="1"/>
    <d v="2025-06-25T00:00:00"/>
    <d v="2025-06-01T00:00:00"/>
    <s v="qua"/>
    <x v="1"/>
    <x v="1"/>
    <m/>
    <s v="140745833"/>
  </r>
  <r>
    <n v="1407"/>
    <n v="45"/>
    <s v="Masculino"/>
    <s v="Pintura"/>
    <s v="Operador"/>
    <s v="2º Turno"/>
    <x v="0"/>
    <s v="Não"/>
    <x v="1"/>
    <d v="2025-08-05T00:00:00"/>
    <d v="2025-08-01T00:00:00"/>
    <s v="ter"/>
    <x v="9"/>
    <x v="1"/>
    <m/>
    <s v="140745874"/>
  </r>
  <r>
    <n v="1407"/>
    <n v="45"/>
    <s v="Masculino"/>
    <s v="Pintura"/>
    <s v="Operador"/>
    <s v="2º Turno"/>
    <x v="0"/>
    <s v="Não"/>
    <x v="1"/>
    <d v="2025-08-11T00:00:00"/>
    <d v="2025-08-01T00:00:00"/>
    <s v="seg"/>
    <x v="9"/>
    <x v="1"/>
    <m/>
    <s v="140745880"/>
  </r>
  <r>
    <n v="1407"/>
    <n v="45"/>
    <s v="Masculino"/>
    <s v="Pintura"/>
    <s v="Operador"/>
    <s v="2º Turno"/>
    <x v="0"/>
    <s v="Não"/>
    <x v="1"/>
    <d v="2025-08-12T00:00:00"/>
    <d v="2025-08-01T00:00:00"/>
    <s v="ter"/>
    <x v="9"/>
    <x v="1"/>
    <m/>
    <s v="140745881"/>
  </r>
  <r>
    <n v="1407"/>
    <n v="45"/>
    <s v="Masculino"/>
    <s v="Pintura"/>
    <s v="Operador"/>
    <s v="2º Turno"/>
    <x v="0"/>
    <s v="Não"/>
    <x v="1"/>
    <d v="2025-11-12T00:00:00"/>
    <d v="2025-11-01T00:00:00"/>
    <s v="qua"/>
    <x v="10"/>
    <x v="1"/>
    <m/>
    <s v="140745973"/>
  </r>
  <r>
    <n v="1407"/>
    <n v="45"/>
    <s v="Masculino"/>
    <s v="Pintura"/>
    <s v="Operador"/>
    <s v="2º Turno"/>
    <x v="0"/>
    <s v="Não"/>
    <x v="1"/>
    <d v="2026-06-20T00:00:00"/>
    <d v="2026-01-01T00:00:00"/>
    <s v="sáb"/>
    <x v="1"/>
    <x v="0"/>
    <m/>
    <s v="140746193"/>
  </r>
  <r>
    <n v="1408"/>
    <n v="37"/>
    <s v="Feminino"/>
    <s v="Montagem"/>
    <s v="Operador"/>
    <s v="3º Turno"/>
    <x v="5"/>
    <s v="Sim"/>
    <x v="0"/>
    <d v="2025-03-18T00:00:00"/>
    <d v="2025-03-01T00:00:00"/>
    <s v="ter"/>
    <x v="4"/>
    <x v="1"/>
    <d v="2025-07-16T00:00:00"/>
    <s v="140845734"/>
  </r>
  <r>
    <n v="1408"/>
    <n v="37"/>
    <s v="Feminino"/>
    <s v="Montagem"/>
    <s v="Operador"/>
    <s v="3º Turno"/>
    <x v="0"/>
    <s v="Sim"/>
    <x v="0"/>
    <d v="2025-07-03T00:00:00"/>
    <d v="2025-07-01T00:00:00"/>
    <s v="qui"/>
    <x v="6"/>
    <x v="1"/>
    <d v="2025-07-16T00:00:00"/>
    <s v="140845841"/>
  </r>
  <r>
    <n v="1409"/>
    <n v="25"/>
    <s v="Feminino"/>
    <s v="Soldagem"/>
    <s v="Operador"/>
    <s v="2º Turno"/>
    <x v="0"/>
    <s v="Sim"/>
    <x v="0"/>
    <d v="2025-06-15T00:00:00"/>
    <d v="2025-06-01T00:00:00"/>
    <s v="dom"/>
    <x v="1"/>
    <x v="1"/>
    <d v="2026-02-15T00:00:00"/>
    <s v="140945823"/>
  </r>
  <r>
    <n v="1409"/>
    <n v="25"/>
    <s v="Feminino"/>
    <s v="Soldagem"/>
    <s v="Operador"/>
    <s v="2º Turno"/>
    <x v="0"/>
    <s v="Sim"/>
    <x v="0"/>
    <d v="2025-07-31T00:00:00"/>
    <d v="2025-07-01T00:00:00"/>
    <s v="qui"/>
    <x v="6"/>
    <x v="1"/>
    <d v="2026-02-15T00:00:00"/>
    <s v="140945869"/>
  </r>
  <r>
    <n v="1409"/>
    <n v="25"/>
    <s v="Feminino"/>
    <s v="Soldagem"/>
    <s v="Operador"/>
    <s v="2º Turno"/>
    <x v="3"/>
    <s v="Sim"/>
    <x v="0"/>
    <d v="2025-09-12T00:00:00"/>
    <d v="2025-09-01T00:00:00"/>
    <s v="sex"/>
    <x v="7"/>
    <x v="1"/>
    <d v="2026-02-15T00:00:00"/>
    <s v="140945912"/>
  </r>
  <r>
    <n v="1409"/>
    <n v="25"/>
    <s v="Feminino"/>
    <s v="Soldagem"/>
    <s v="Operador"/>
    <s v="2º Turno"/>
    <x v="0"/>
    <s v="Sim"/>
    <x v="0"/>
    <d v="2025-11-07T00:00:00"/>
    <d v="2025-11-01T00:00:00"/>
    <s v="sex"/>
    <x v="10"/>
    <x v="1"/>
    <d v="2026-02-15T00:00:00"/>
    <s v="140945968"/>
  </r>
  <r>
    <n v="1409"/>
    <n v="25"/>
    <s v="Feminino"/>
    <s v="Soldagem"/>
    <s v="Operador"/>
    <s v="2º Turno"/>
    <x v="0"/>
    <s v="Sim"/>
    <x v="0"/>
    <d v="2026-06-06T00:00:00"/>
    <d v="2026-01-01T00:00:00"/>
    <s v="sáb"/>
    <x v="1"/>
    <x v="0"/>
    <d v="2026-02-15T00:00:00"/>
    <s v="140946179"/>
  </r>
  <r>
    <n v="1409"/>
    <n v="25"/>
    <s v="Feminino"/>
    <s v="Soldagem"/>
    <s v="Operador"/>
    <s v="2º Turno"/>
    <x v="0"/>
    <s v="Sim"/>
    <x v="0"/>
    <d v="2026-02-10T00:00:00"/>
    <d v="2026-02-01T00:00:00"/>
    <s v="ter"/>
    <x v="3"/>
    <x v="0"/>
    <d v="2026-02-15T00:00:00"/>
    <s v="140946063"/>
  </r>
  <r>
    <n v="1410"/>
    <n v="20"/>
    <s v="Masculino"/>
    <s v="Montagem"/>
    <s v="Operador"/>
    <s v="1º Turno"/>
    <x v="0"/>
    <s v="Não"/>
    <x v="2"/>
    <d v="2025-07-01T00:00:00"/>
    <d v="2025-07-01T00:00:00"/>
    <s v="ter"/>
    <x v="6"/>
    <x v="1"/>
    <m/>
    <s v="141045839"/>
  </r>
  <r>
    <n v="1410"/>
    <n v="20"/>
    <s v="Masculino"/>
    <s v="Montagem"/>
    <s v="Operador"/>
    <s v="1º Turno"/>
    <x v="0"/>
    <s v="Não"/>
    <x v="2"/>
    <d v="2025-11-04T00:00:00"/>
    <d v="2025-11-01T00:00:00"/>
    <s v="ter"/>
    <x v="10"/>
    <x v="1"/>
    <m/>
    <s v="141045965"/>
  </r>
  <r>
    <n v="1410"/>
    <n v="20"/>
    <s v="Masculino"/>
    <s v="Montagem"/>
    <s v="Operador"/>
    <s v="1º Turno"/>
    <x v="0"/>
    <s v="Não"/>
    <x v="2"/>
    <d v="2025-11-11T00:00:00"/>
    <d v="2025-11-01T00:00:00"/>
    <s v="ter"/>
    <x v="10"/>
    <x v="1"/>
    <m/>
    <s v="141045972"/>
  </r>
  <r>
    <n v="1410"/>
    <n v="20"/>
    <s v="Masculino"/>
    <s v="Montagem"/>
    <s v="Operador"/>
    <s v="1º Turno"/>
    <x v="4"/>
    <s v="Não"/>
    <x v="2"/>
    <d v="2025-11-26T00:00:00"/>
    <d v="2025-11-01T00:00:00"/>
    <s v="qua"/>
    <x v="10"/>
    <x v="1"/>
    <m/>
    <s v="141045987"/>
  </r>
  <r>
    <n v="1410"/>
    <n v="20"/>
    <s v="Masculino"/>
    <s v="Montagem"/>
    <s v="Operador"/>
    <s v="1º Turno"/>
    <x v="0"/>
    <s v="Não"/>
    <x v="2"/>
    <d v="2026-06-03T00:00:00"/>
    <d v="2026-01-01T00:00:00"/>
    <s v="qua"/>
    <x v="1"/>
    <x v="0"/>
    <m/>
    <s v="141046176"/>
  </r>
  <r>
    <n v="1411"/>
    <n v="38"/>
    <s v="Feminino"/>
    <s v="Logistica"/>
    <s v="Operador"/>
    <s v="3º Turno"/>
    <x v="2"/>
    <s v="Não"/>
    <x v="0"/>
    <d v="2025-07-26T00:00:00"/>
    <d v="2025-07-01T00:00:00"/>
    <s v="sáb"/>
    <x v="6"/>
    <x v="1"/>
    <m/>
    <s v="141145864"/>
  </r>
  <r>
    <n v="1411"/>
    <n v="38"/>
    <s v="Feminino"/>
    <s v="Logistica"/>
    <s v="Operador"/>
    <s v="3º Turno"/>
    <x v="2"/>
    <s v="Não"/>
    <x v="0"/>
    <d v="2025-08-19T00:00:00"/>
    <d v="2025-08-01T00:00:00"/>
    <s v="ter"/>
    <x v="9"/>
    <x v="1"/>
    <m/>
    <s v="141145888"/>
  </r>
  <r>
    <n v="1411"/>
    <n v="38"/>
    <s v="Feminino"/>
    <s v="Logistica"/>
    <s v="Operador"/>
    <s v="3º Turno"/>
    <x v="0"/>
    <s v="Não"/>
    <x v="0"/>
    <d v="2025-08-28T00:00:00"/>
    <d v="2025-08-01T00:00:00"/>
    <s v="qui"/>
    <x v="9"/>
    <x v="1"/>
    <m/>
    <s v="141145897"/>
  </r>
  <r>
    <n v="1411"/>
    <n v="38"/>
    <s v="Feminino"/>
    <s v="Logistica"/>
    <s v="Operador"/>
    <s v="3º Turno"/>
    <x v="1"/>
    <s v="Não"/>
    <x v="0"/>
    <d v="2025-10-04T00:00:00"/>
    <d v="2025-10-01T00:00:00"/>
    <s v="sáb"/>
    <x v="11"/>
    <x v="1"/>
    <m/>
    <s v="141145934"/>
  </r>
  <r>
    <n v="1411"/>
    <n v="38"/>
    <s v="Feminino"/>
    <s v="Logistica"/>
    <s v="Operador"/>
    <s v="3º Turno"/>
    <x v="2"/>
    <s v="Não"/>
    <x v="0"/>
    <d v="2025-11-19T00:00:00"/>
    <d v="2025-11-01T00:00:00"/>
    <s v="qua"/>
    <x v="10"/>
    <x v="1"/>
    <m/>
    <s v="141145980"/>
  </r>
  <r>
    <n v="1411"/>
    <n v="38"/>
    <s v="Feminino"/>
    <s v="Logistica"/>
    <s v="Operador"/>
    <s v="3º Turno"/>
    <x v="1"/>
    <s v="Não"/>
    <x v="0"/>
    <d v="2026-02-03T00:00:00"/>
    <d v="2026-02-01T00:00:00"/>
    <s v="ter"/>
    <x v="3"/>
    <x v="0"/>
    <m/>
    <s v="141146056"/>
  </r>
  <r>
    <n v="1412"/>
    <n v="43"/>
    <s v="Masculino"/>
    <s v="Pintura"/>
    <s v="Operador"/>
    <s v="1º Turno"/>
    <x v="1"/>
    <s v="Não"/>
    <x v="1"/>
    <d v="2025-04-29T00:00:00"/>
    <d v="2025-04-01T00:00:00"/>
    <s v="ter"/>
    <x v="2"/>
    <x v="1"/>
    <m/>
    <s v="141245776"/>
  </r>
  <r>
    <n v="1412"/>
    <n v="43"/>
    <s v="Masculino"/>
    <s v="Pintura"/>
    <s v="Operador"/>
    <s v="1º Turno"/>
    <x v="1"/>
    <s v="Não"/>
    <x v="1"/>
    <d v="2025-10-26T00:00:00"/>
    <d v="2025-10-01T00:00:00"/>
    <s v="dom"/>
    <x v="11"/>
    <x v="1"/>
    <m/>
    <s v="141245956"/>
  </r>
  <r>
    <n v="1412"/>
    <n v="43"/>
    <s v="Masculino"/>
    <s v="Pintura"/>
    <s v="Operador"/>
    <s v="1º Turno"/>
    <x v="1"/>
    <s v="Não"/>
    <x v="1"/>
    <d v="2025-11-09T00:00:00"/>
    <d v="2025-11-01T00:00:00"/>
    <s v="dom"/>
    <x v="10"/>
    <x v="1"/>
    <m/>
    <s v="141245970"/>
  </r>
  <r>
    <n v="1412"/>
    <n v="43"/>
    <s v="Masculino"/>
    <s v="Pintura"/>
    <s v="Operador"/>
    <s v="1º Turno"/>
    <x v="1"/>
    <s v="Não"/>
    <x v="1"/>
    <d v="2025-12-05T00:00:00"/>
    <d v="2025-12-01T00:00:00"/>
    <s v="sex"/>
    <x v="8"/>
    <x v="1"/>
    <m/>
    <s v="141245996"/>
  </r>
  <r>
    <n v="1412"/>
    <n v="43"/>
    <s v="Masculino"/>
    <s v="Pintura"/>
    <s v="Operador"/>
    <s v="1º Turno"/>
    <x v="1"/>
    <s v="Não"/>
    <x v="1"/>
    <d v="2026-03-26T00:00:00"/>
    <d v="2026-03-01T00:00:00"/>
    <s v="qui"/>
    <x v="4"/>
    <x v="0"/>
    <m/>
    <s v="141246107"/>
  </r>
  <r>
    <n v="1412"/>
    <n v="43"/>
    <s v="Masculino"/>
    <s v="Pintura"/>
    <s v="Operador"/>
    <s v="1º Turno"/>
    <x v="1"/>
    <s v="Não"/>
    <x v="1"/>
    <d v="2026-04-27T00:00:00"/>
    <d v="2026-04-01T00:00:00"/>
    <s v="seg"/>
    <x v="2"/>
    <x v="0"/>
    <m/>
    <s v="141246139"/>
  </r>
  <r>
    <n v="1412"/>
    <n v="43"/>
    <s v="Masculino"/>
    <s v="Pintura"/>
    <s v="Operador"/>
    <s v="1º Turno"/>
    <x v="1"/>
    <s v="Não"/>
    <x v="1"/>
    <d v="2026-04-29T00:00:00"/>
    <d v="2026-04-01T00:00:00"/>
    <s v="ter"/>
    <x v="2"/>
    <x v="1"/>
    <m/>
    <s v="141246141"/>
  </r>
  <r>
    <n v="1413"/>
    <n v="40"/>
    <s v="Masculino"/>
    <s v="Pintura"/>
    <s v="Operador"/>
    <s v="3º Turno"/>
    <x v="0"/>
    <s v="Não"/>
    <x v="1"/>
    <d v="2025-06-25T00:00:00"/>
    <d v="2025-06-01T00:00:00"/>
    <s v="qua"/>
    <x v="1"/>
    <x v="1"/>
    <m/>
    <s v="141345833"/>
  </r>
  <r>
    <n v="1413"/>
    <n v="40"/>
    <s v="Masculino"/>
    <s v="Pintura"/>
    <s v="Operador"/>
    <s v="3º Turno"/>
    <x v="1"/>
    <s v="Não"/>
    <x v="1"/>
    <d v="2025-08-17T00:00:00"/>
    <d v="2025-08-01T00:00:00"/>
    <s v="dom"/>
    <x v="9"/>
    <x v="1"/>
    <m/>
    <s v="141345886"/>
  </r>
  <r>
    <n v="1413"/>
    <n v="40"/>
    <s v="Masculino"/>
    <s v="Pintura"/>
    <s v="Operador"/>
    <s v="3º Turno"/>
    <x v="0"/>
    <s v="Não"/>
    <x v="1"/>
    <d v="2025-09-13T00:00:00"/>
    <d v="2025-09-01T00:00:00"/>
    <s v="sáb"/>
    <x v="7"/>
    <x v="1"/>
    <m/>
    <s v="141345913"/>
  </r>
  <r>
    <n v="1413"/>
    <n v="40"/>
    <s v="Masculino"/>
    <s v="Pintura"/>
    <s v="Operador"/>
    <s v="3º Turno"/>
    <x v="1"/>
    <s v="Não"/>
    <x v="1"/>
    <d v="2025-09-14T00:00:00"/>
    <d v="2025-09-01T00:00:00"/>
    <s v="dom"/>
    <x v="7"/>
    <x v="1"/>
    <m/>
    <s v="141345914"/>
  </r>
  <r>
    <n v="1413"/>
    <n v="40"/>
    <s v="Masculino"/>
    <s v="Pintura"/>
    <s v="Operador"/>
    <s v="3º Turno"/>
    <x v="0"/>
    <s v="Não"/>
    <x v="1"/>
    <d v="2025-11-18T00:00:00"/>
    <d v="2025-11-01T00:00:00"/>
    <s v="ter"/>
    <x v="10"/>
    <x v="1"/>
    <m/>
    <s v="141345979"/>
  </r>
  <r>
    <n v="1413"/>
    <n v="40"/>
    <s v="Masculino"/>
    <s v="Pintura"/>
    <s v="Operador"/>
    <s v="3º Turno"/>
    <x v="0"/>
    <s v="Não"/>
    <x v="1"/>
    <d v="2025-12-22T00:00:00"/>
    <d v="2025-12-01T00:00:00"/>
    <s v="seg"/>
    <x v="8"/>
    <x v="1"/>
    <m/>
    <s v="141346013"/>
  </r>
  <r>
    <n v="1414"/>
    <n v="22"/>
    <s v="Feminino"/>
    <s v="Qualidade"/>
    <s v="Inspetor"/>
    <s v="2º Turno"/>
    <x v="5"/>
    <s v="Sim"/>
    <x v="1"/>
    <d v="2025-04-01T00:00:00"/>
    <d v="2025-04-01T00:00:00"/>
    <s v="ter"/>
    <x v="2"/>
    <x v="1"/>
    <d v="2025-12-31T00:00:00"/>
    <s v="141445748"/>
  </r>
  <r>
    <n v="1414"/>
    <n v="22"/>
    <s v="Feminino"/>
    <s v="Qualidade"/>
    <s v="Inspetor"/>
    <s v="2º Turno"/>
    <x v="0"/>
    <s v="Sim"/>
    <x v="1"/>
    <d v="2025-04-02T00:00:00"/>
    <d v="2025-04-01T00:00:00"/>
    <s v="qua"/>
    <x v="2"/>
    <x v="1"/>
    <d v="2025-12-31T00:00:00"/>
    <s v="141445749"/>
  </r>
  <r>
    <n v="1414"/>
    <n v="22"/>
    <s v="Feminino"/>
    <s v="Qualidade"/>
    <s v="Inspetor"/>
    <s v="2º Turno"/>
    <x v="0"/>
    <s v="Sim"/>
    <x v="1"/>
    <d v="2025-04-23T00:00:00"/>
    <d v="2025-04-01T00:00:00"/>
    <s v="qua"/>
    <x v="2"/>
    <x v="1"/>
    <d v="2025-12-31T00:00:00"/>
    <s v="141445770"/>
  </r>
  <r>
    <n v="1414"/>
    <n v="22"/>
    <s v="Feminino"/>
    <s v="Qualidade"/>
    <s v="Inspetor"/>
    <s v="2º Turno"/>
    <x v="0"/>
    <s v="Sim"/>
    <x v="1"/>
    <d v="2025-04-24T00:00:00"/>
    <d v="2025-04-01T00:00:00"/>
    <s v="qui"/>
    <x v="2"/>
    <x v="1"/>
    <d v="2025-12-31T00:00:00"/>
    <s v="141445771"/>
  </r>
  <r>
    <n v="1414"/>
    <n v="22"/>
    <s v="Feminino"/>
    <s v="Qualidade"/>
    <s v="Inspetor"/>
    <s v="2º Turno"/>
    <x v="0"/>
    <s v="Sim"/>
    <x v="1"/>
    <d v="2025-05-24T00:00:00"/>
    <d v="2025-05-01T00:00:00"/>
    <s v="sáb"/>
    <x v="0"/>
    <x v="1"/>
    <d v="2025-12-31T00:00:00"/>
    <s v="141445801"/>
  </r>
  <r>
    <n v="1414"/>
    <n v="22"/>
    <s v="Feminino"/>
    <s v="Qualidade"/>
    <s v="Inspetor"/>
    <s v="2º Turno"/>
    <x v="0"/>
    <s v="Sim"/>
    <x v="1"/>
    <d v="2025-10-07T00:00:00"/>
    <d v="2025-10-01T00:00:00"/>
    <s v="ter"/>
    <x v="11"/>
    <x v="1"/>
    <d v="2025-12-31T00:00:00"/>
    <s v="141445937"/>
  </r>
  <r>
    <n v="1415"/>
    <n v="22"/>
    <s v="Masculino"/>
    <s v="Soldagem"/>
    <s v="Operador"/>
    <s v="2º Turno"/>
    <x v="4"/>
    <s v="Não"/>
    <x v="1"/>
    <d v="2025-08-29T00:00:00"/>
    <d v="2025-08-01T00:00:00"/>
    <s v="sex"/>
    <x v="9"/>
    <x v="1"/>
    <m/>
    <s v="141545898"/>
  </r>
  <r>
    <n v="1415"/>
    <n v="22"/>
    <s v="Masculino"/>
    <s v="Soldagem"/>
    <s v="Operador"/>
    <s v="2º Turno"/>
    <x v="4"/>
    <s v="Não"/>
    <x v="1"/>
    <d v="2025-09-03T00:00:00"/>
    <d v="2025-09-01T00:00:00"/>
    <s v="qua"/>
    <x v="7"/>
    <x v="1"/>
    <m/>
    <s v="141545903"/>
  </r>
  <r>
    <n v="1415"/>
    <n v="22"/>
    <s v="Masculino"/>
    <s v="Soldagem"/>
    <s v="Operador"/>
    <s v="2º Turno"/>
    <x v="4"/>
    <s v="Não"/>
    <x v="1"/>
    <d v="2025-11-01T00:00:00"/>
    <d v="2025-11-01T00:00:00"/>
    <s v="sáb"/>
    <x v="10"/>
    <x v="1"/>
    <m/>
    <s v="141545962"/>
  </r>
  <r>
    <n v="1415"/>
    <n v="22"/>
    <s v="Masculino"/>
    <s v="Soldagem"/>
    <s v="Operador"/>
    <s v="2º Turno"/>
    <x v="4"/>
    <s v="Não"/>
    <x v="1"/>
    <d v="2025-12-23T00:00:00"/>
    <d v="2025-12-01T00:00:00"/>
    <s v="ter"/>
    <x v="8"/>
    <x v="1"/>
    <m/>
    <s v="141546014"/>
  </r>
  <r>
    <n v="1415"/>
    <n v="22"/>
    <s v="Masculino"/>
    <s v="Soldagem"/>
    <s v="Operador"/>
    <s v="2º Turno"/>
    <x v="0"/>
    <s v="Não"/>
    <x v="1"/>
    <d v="2026-01-25T00:00:00"/>
    <d v="2026-01-01T00:00:00"/>
    <s v="dom"/>
    <x v="5"/>
    <x v="0"/>
    <m/>
    <s v="141546047"/>
  </r>
  <r>
    <n v="1415"/>
    <n v="22"/>
    <s v="Masculino"/>
    <s v="Soldagem"/>
    <s v="Operador"/>
    <s v="2º Turno"/>
    <x v="4"/>
    <s v="Não"/>
    <x v="1"/>
    <d v="2026-02-01T00:00:00"/>
    <d v="2026-02-01T00:00:00"/>
    <s v="dom"/>
    <x v="3"/>
    <x v="0"/>
    <m/>
    <s v="141546054"/>
  </r>
  <r>
    <n v="1416"/>
    <n v="21"/>
    <s v="Masculino"/>
    <s v="Logistica"/>
    <s v="Operador"/>
    <s v="1º Turno"/>
    <x v="4"/>
    <s v="Não"/>
    <x v="2"/>
    <d v="2025-06-12T00:00:00"/>
    <d v="2025-06-01T00:00:00"/>
    <s v="qui"/>
    <x v="1"/>
    <x v="1"/>
    <m/>
    <s v="141645820"/>
  </r>
  <r>
    <n v="1416"/>
    <n v="21"/>
    <s v="Masculino"/>
    <s v="Logistica"/>
    <s v="Operador"/>
    <s v="1º Turno"/>
    <x v="4"/>
    <s v="Não"/>
    <x v="2"/>
    <d v="2025-09-06T00:00:00"/>
    <d v="2025-09-01T00:00:00"/>
    <s v="sáb"/>
    <x v="7"/>
    <x v="1"/>
    <m/>
    <s v="141645906"/>
  </r>
  <r>
    <n v="1416"/>
    <n v="21"/>
    <s v="Masculino"/>
    <s v="Logistica"/>
    <s v="Operador"/>
    <s v="1º Turno"/>
    <x v="4"/>
    <s v="Não"/>
    <x v="2"/>
    <d v="2025-10-03T00:00:00"/>
    <d v="2025-10-01T00:00:00"/>
    <s v="sex"/>
    <x v="11"/>
    <x v="1"/>
    <m/>
    <s v="141645933"/>
  </r>
  <r>
    <n v="1416"/>
    <n v="21"/>
    <s v="Masculino"/>
    <s v="Logistica"/>
    <s v="Operador"/>
    <s v="1º Turno"/>
    <x v="4"/>
    <s v="Não"/>
    <x v="2"/>
    <d v="2025-10-10T00:00:00"/>
    <d v="2025-10-01T00:00:00"/>
    <s v="sex"/>
    <x v="11"/>
    <x v="1"/>
    <m/>
    <s v="141645940"/>
  </r>
  <r>
    <n v="1416"/>
    <n v="21"/>
    <s v="Masculino"/>
    <s v="Logistica"/>
    <s v="Operador"/>
    <s v="1º Turno"/>
    <x v="4"/>
    <s v="Não"/>
    <x v="2"/>
    <d v="2025-10-29T00:00:00"/>
    <d v="2025-10-01T00:00:00"/>
    <s v="qua"/>
    <x v="11"/>
    <x v="1"/>
    <m/>
    <s v="141645959"/>
  </r>
  <r>
    <n v="1416"/>
    <n v="21"/>
    <s v="Masculino"/>
    <s v="Logistica"/>
    <s v="Operador"/>
    <s v="1º Turno"/>
    <x v="4"/>
    <s v="Não"/>
    <x v="2"/>
    <d v="2025-12-09T00:00:00"/>
    <d v="2025-12-01T00:00:00"/>
    <s v="ter"/>
    <x v="8"/>
    <x v="1"/>
    <m/>
    <s v="141646000"/>
  </r>
  <r>
    <n v="1417"/>
    <n v="54"/>
    <s v="Feminino"/>
    <s v="Montagem"/>
    <s v="Operador"/>
    <s v="2º Turno"/>
    <x v="2"/>
    <s v="Não"/>
    <x v="2"/>
    <d v="2025-05-16T00:00:00"/>
    <d v="2025-05-01T00:00:00"/>
    <s v="sex"/>
    <x v="0"/>
    <x v="1"/>
    <m/>
    <s v="141745793"/>
  </r>
  <r>
    <n v="1417"/>
    <n v="54"/>
    <s v="Feminino"/>
    <s v="Montagem"/>
    <s v="Operador"/>
    <s v="2º Turno"/>
    <x v="3"/>
    <s v="Não"/>
    <x v="2"/>
    <d v="2025-08-03T00:00:00"/>
    <d v="2025-08-01T00:00:00"/>
    <s v="dom"/>
    <x v="9"/>
    <x v="1"/>
    <m/>
    <s v="141745872"/>
  </r>
  <r>
    <n v="1417"/>
    <n v="54"/>
    <s v="Feminino"/>
    <s v="Montagem"/>
    <s v="Operador"/>
    <s v="2º Turno"/>
    <x v="3"/>
    <s v="Não"/>
    <x v="2"/>
    <d v="2025-09-03T00:00:00"/>
    <d v="2025-09-01T00:00:00"/>
    <s v="qua"/>
    <x v="7"/>
    <x v="1"/>
    <m/>
    <s v="141745903"/>
  </r>
  <r>
    <n v="1417"/>
    <n v="54"/>
    <s v="Feminino"/>
    <s v="Montagem"/>
    <s v="Operador"/>
    <s v="2º Turno"/>
    <x v="3"/>
    <s v="Não"/>
    <x v="2"/>
    <d v="2025-09-18T00:00:00"/>
    <d v="2025-09-01T00:00:00"/>
    <s v="qui"/>
    <x v="7"/>
    <x v="1"/>
    <m/>
    <s v="141745918"/>
  </r>
  <r>
    <n v="1417"/>
    <n v="54"/>
    <s v="Feminino"/>
    <s v="Montagem"/>
    <s v="Operador"/>
    <s v="2º Turno"/>
    <x v="3"/>
    <s v="Não"/>
    <x v="2"/>
    <d v="2025-12-04T00:00:00"/>
    <d v="2025-12-01T00:00:00"/>
    <s v="qui"/>
    <x v="8"/>
    <x v="1"/>
    <m/>
    <s v="141745995"/>
  </r>
  <r>
    <n v="1417"/>
    <n v="54"/>
    <s v="Feminino"/>
    <s v="Montagem"/>
    <s v="Operador"/>
    <s v="2º Turno"/>
    <x v="2"/>
    <s v="Não"/>
    <x v="2"/>
    <d v="2026-03-11T00:00:00"/>
    <d v="2026-03-01T00:00:00"/>
    <s v="qua"/>
    <x v="4"/>
    <x v="0"/>
    <m/>
    <s v="141746092"/>
  </r>
  <r>
    <n v="1417"/>
    <n v="54"/>
    <s v="Feminino"/>
    <s v="Montagem"/>
    <s v="Operador"/>
    <s v="2º Turno"/>
    <x v="2"/>
    <s v="Não"/>
    <x v="2"/>
    <d v="2026-05-16T00:00:00"/>
    <d v="2026-05-01T00:00:00"/>
    <s v="sex"/>
    <x v="0"/>
    <x v="1"/>
    <m/>
    <s v="141746158"/>
  </r>
  <r>
    <n v="1418"/>
    <n v="29"/>
    <s v="Feminino"/>
    <s v="Montagem"/>
    <s v="Operador"/>
    <s v="2º Turno"/>
    <x v="0"/>
    <s v="Sim"/>
    <x v="2"/>
    <d v="2025-04-28T00:00:00"/>
    <d v="2025-04-01T00:00:00"/>
    <s v="seg"/>
    <x v="2"/>
    <x v="1"/>
    <d v="2026-06-01T00:00:00"/>
    <s v="141845775"/>
  </r>
  <r>
    <n v="1418"/>
    <n v="29"/>
    <s v="Feminino"/>
    <s v="Montagem"/>
    <s v="Operador"/>
    <s v="2º Turno"/>
    <x v="0"/>
    <s v="Sim"/>
    <x v="2"/>
    <d v="2025-07-02T00:00:00"/>
    <d v="2025-07-01T00:00:00"/>
    <s v="qua"/>
    <x v="6"/>
    <x v="1"/>
    <d v="2026-06-01T00:00:00"/>
    <s v="141845840"/>
  </r>
  <r>
    <n v="1418"/>
    <n v="29"/>
    <s v="Feminino"/>
    <s v="Montagem"/>
    <s v="Operador"/>
    <s v="2º Turno"/>
    <x v="0"/>
    <s v="Sim"/>
    <x v="2"/>
    <d v="2025-08-11T00:00:00"/>
    <d v="2025-08-01T00:00:00"/>
    <s v="seg"/>
    <x v="9"/>
    <x v="1"/>
    <d v="2026-06-01T00:00:00"/>
    <s v="141845880"/>
  </r>
  <r>
    <n v="1418"/>
    <n v="29"/>
    <s v="Feminino"/>
    <s v="Montagem"/>
    <s v="Operador"/>
    <s v="2º Turno"/>
    <x v="0"/>
    <s v="Sim"/>
    <x v="2"/>
    <d v="2025-10-15T00:00:00"/>
    <d v="2025-10-01T00:00:00"/>
    <s v="qua"/>
    <x v="11"/>
    <x v="1"/>
    <d v="2026-06-01T00:00:00"/>
    <s v="141845945"/>
  </r>
  <r>
    <n v="1418"/>
    <n v="29"/>
    <s v="Feminino"/>
    <s v="Montagem"/>
    <s v="Operador"/>
    <s v="2º Turno"/>
    <x v="0"/>
    <s v="Sim"/>
    <x v="2"/>
    <d v="2025-11-10T00:00:00"/>
    <d v="2025-11-01T00:00:00"/>
    <s v="seg"/>
    <x v="10"/>
    <x v="1"/>
    <d v="2026-06-01T00:00:00"/>
    <s v="141845971"/>
  </r>
  <r>
    <n v="1418"/>
    <n v="29"/>
    <s v="Feminino"/>
    <s v="Montagem"/>
    <s v="Operador"/>
    <s v="2º Turno"/>
    <x v="0"/>
    <s v="Sim"/>
    <x v="2"/>
    <d v="2026-02-28T00:00:00"/>
    <d v="2026-02-01T00:00:00"/>
    <s v="sáb"/>
    <x v="3"/>
    <x v="0"/>
    <d v="2026-06-01T00:00:00"/>
    <s v="141846081"/>
  </r>
  <r>
    <n v="1421"/>
    <n v="42"/>
    <s v="Masculino"/>
    <s v="Logistica"/>
    <s v="Operador"/>
    <s v="3º Turno"/>
    <x v="0"/>
    <s v="Sim"/>
    <x v="1"/>
    <d v="2025-07-06T00:00:00"/>
    <d v="2025-07-01T00:00:00"/>
    <s v="dom"/>
    <x v="6"/>
    <x v="1"/>
    <d v="2025-07-26T00:00:00"/>
    <s v="142145844"/>
  </r>
  <r>
    <n v="1422"/>
    <n v="29"/>
    <s v="Feminino"/>
    <s v="Montagem"/>
    <s v="Operador"/>
    <s v="2º Turno"/>
    <x v="0"/>
    <s v="Não"/>
    <x v="1"/>
    <d v="2025-11-03T00:00:00"/>
    <d v="2025-11-01T00:00:00"/>
    <s v="seg"/>
    <x v="10"/>
    <x v="1"/>
    <m/>
    <s v="142245964"/>
  </r>
  <r>
    <n v="1422"/>
    <n v="29"/>
    <s v="Feminino"/>
    <s v="Montagem"/>
    <s v="Operador"/>
    <s v="2º Turno"/>
    <x v="2"/>
    <s v="Não"/>
    <x v="1"/>
    <d v="2026-03-18T00:00:00"/>
    <d v="2026-03-01T00:00:00"/>
    <s v="qua"/>
    <x v="4"/>
    <x v="0"/>
    <m/>
    <s v="142246099"/>
  </r>
  <r>
    <n v="1422"/>
    <n v="29"/>
    <s v="Feminino"/>
    <s v="Montagem"/>
    <s v="Operador"/>
    <s v="2º Turno"/>
    <x v="2"/>
    <s v="Não"/>
    <x v="1"/>
    <d v="2026-03-24T00:00:00"/>
    <d v="2026-03-01T00:00:00"/>
    <s v="ter"/>
    <x v="4"/>
    <x v="0"/>
    <m/>
    <s v="142246105"/>
  </r>
  <r>
    <n v="1422"/>
    <n v="29"/>
    <s v="Feminino"/>
    <s v="Montagem"/>
    <s v="Operador"/>
    <s v="2º Turno"/>
    <x v="2"/>
    <s v="Não"/>
    <x v="1"/>
    <d v="2026-03-28T00:00:00"/>
    <d v="2026-03-01T00:00:00"/>
    <s v="sáb"/>
    <x v="4"/>
    <x v="0"/>
    <m/>
    <s v="142246109"/>
  </r>
  <r>
    <n v="1422"/>
    <n v="29"/>
    <s v="Feminino"/>
    <s v="Montagem"/>
    <s v="Operador"/>
    <s v="2º Turno"/>
    <x v="2"/>
    <s v="Não"/>
    <x v="1"/>
    <d v="2026-05-22T00:00:00"/>
    <d v="2026-05-01T00:00:00"/>
    <s v="sex"/>
    <x v="0"/>
    <x v="0"/>
    <m/>
    <s v="142246164"/>
  </r>
  <r>
    <n v="1423"/>
    <n v="57"/>
    <s v="Feminino"/>
    <s v="Soldagem"/>
    <s v="Operador"/>
    <s v="1º Turno"/>
    <x v="1"/>
    <s v="Sim"/>
    <x v="2"/>
    <d v="2025-07-02T00:00:00"/>
    <d v="2025-07-01T00:00:00"/>
    <s v="qua"/>
    <x v="6"/>
    <x v="1"/>
    <d v="2025-10-21T00:00:00"/>
    <s v="142345840"/>
  </r>
  <r>
    <n v="1423"/>
    <n v="57"/>
    <s v="Feminino"/>
    <s v="Soldagem"/>
    <s v="Operador"/>
    <s v="1º Turno"/>
    <x v="1"/>
    <s v="Sim"/>
    <x v="2"/>
    <d v="2025-08-26T00:00:00"/>
    <d v="2025-08-01T00:00:00"/>
    <s v="ter"/>
    <x v="9"/>
    <x v="1"/>
    <d v="2025-10-21T00:00:00"/>
    <s v="142345895"/>
  </r>
  <r>
    <n v="1423"/>
    <n v="57"/>
    <s v="Feminino"/>
    <s v="Soldagem"/>
    <s v="Operador"/>
    <s v="1º Turno"/>
    <x v="1"/>
    <s v="Sim"/>
    <x v="2"/>
    <d v="2025-09-06T00:00:00"/>
    <d v="2025-09-01T00:00:00"/>
    <s v="sáb"/>
    <x v="7"/>
    <x v="1"/>
    <d v="2025-10-21T00:00:00"/>
    <s v="142345906"/>
  </r>
  <r>
    <n v="1423"/>
    <n v="57"/>
    <s v="Feminino"/>
    <s v="Soldagem"/>
    <s v="Operador"/>
    <s v="1º Turno"/>
    <x v="1"/>
    <s v="Sim"/>
    <x v="2"/>
    <d v="2025-10-10T00:00:00"/>
    <d v="2025-10-01T00:00:00"/>
    <s v="sex"/>
    <x v="11"/>
    <x v="1"/>
    <d v="2025-10-21T00:00:00"/>
    <s v="142345940"/>
  </r>
  <r>
    <n v="1423"/>
    <n v="57"/>
    <s v="Feminino"/>
    <s v="Soldagem"/>
    <s v="Operador"/>
    <s v="1º Turno"/>
    <x v="1"/>
    <s v="Sim"/>
    <x v="2"/>
    <d v="2025-10-16T00:00:00"/>
    <d v="2025-10-01T00:00:00"/>
    <s v="qui"/>
    <x v="11"/>
    <x v="1"/>
    <d v="2025-10-21T00:00:00"/>
    <s v="142345946"/>
  </r>
  <r>
    <n v="1424"/>
    <n v="33"/>
    <s v="Masculino"/>
    <s v="Pintura"/>
    <s v="Operador"/>
    <s v="3º Turno"/>
    <x v="0"/>
    <s v="Não"/>
    <x v="0"/>
    <d v="2025-07-12T00:00:00"/>
    <d v="2025-07-01T00:00:00"/>
    <s v="sáb"/>
    <x v="6"/>
    <x v="1"/>
    <m/>
    <s v="142445850"/>
  </r>
  <r>
    <n v="1424"/>
    <n v="33"/>
    <s v="Masculino"/>
    <s v="Pintura"/>
    <s v="Operador"/>
    <s v="3º Turno"/>
    <x v="1"/>
    <s v="Não"/>
    <x v="0"/>
    <d v="2025-09-06T00:00:00"/>
    <d v="2025-09-01T00:00:00"/>
    <s v="sáb"/>
    <x v="7"/>
    <x v="1"/>
    <m/>
    <s v="142445906"/>
  </r>
  <r>
    <n v="1424"/>
    <n v="33"/>
    <s v="Masculino"/>
    <s v="Pintura"/>
    <s v="Operador"/>
    <s v="3º Turno"/>
    <x v="0"/>
    <s v="Não"/>
    <x v="0"/>
    <d v="2025-09-29T00:00:00"/>
    <d v="2025-09-01T00:00:00"/>
    <s v="seg"/>
    <x v="7"/>
    <x v="1"/>
    <m/>
    <s v="142445929"/>
  </r>
  <r>
    <n v="1424"/>
    <n v="33"/>
    <s v="Masculino"/>
    <s v="Pintura"/>
    <s v="Operador"/>
    <s v="3º Turno"/>
    <x v="1"/>
    <s v="Não"/>
    <x v="0"/>
    <d v="2025-09-30T00:00:00"/>
    <d v="2025-09-01T00:00:00"/>
    <s v="ter"/>
    <x v="7"/>
    <x v="1"/>
    <m/>
    <s v="142445930"/>
  </r>
  <r>
    <n v="1424"/>
    <n v="33"/>
    <s v="Masculino"/>
    <s v="Pintura"/>
    <s v="Operador"/>
    <s v="3º Turno"/>
    <x v="1"/>
    <s v="Não"/>
    <x v="0"/>
    <d v="2026-03-17T00:00:00"/>
    <d v="2026-03-01T00:00:00"/>
    <s v="ter"/>
    <x v="4"/>
    <x v="0"/>
    <m/>
    <s v="142446098"/>
  </r>
  <r>
    <n v="1424"/>
    <n v="33"/>
    <s v="Masculino"/>
    <s v="Pintura"/>
    <s v="Operador"/>
    <s v="3º Turno"/>
    <x v="1"/>
    <s v="Não"/>
    <x v="0"/>
    <d v="2026-03-21T00:00:00"/>
    <d v="2026-03-01T00:00:00"/>
    <s v="sáb"/>
    <x v="4"/>
    <x v="0"/>
    <m/>
    <s v="142446102"/>
  </r>
  <r>
    <n v="1425"/>
    <n v="54"/>
    <s v="Masculino"/>
    <s v="Soldagem"/>
    <s v="Operador"/>
    <s v="2º Turno"/>
    <x v="0"/>
    <s v="Não"/>
    <x v="1"/>
    <d v="2025-06-05T00:00:00"/>
    <d v="2025-06-01T00:00:00"/>
    <s v="qui"/>
    <x v="1"/>
    <x v="1"/>
    <m/>
    <s v="142545813"/>
  </r>
  <r>
    <n v="1425"/>
    <n v="54"/>
    <s v="Masculino"/>
    <s v="Soldagem"/>
    <s v="Operador"/>
    <s v="2º Turno"/>
    <x v="0"/>
    <s v="Não"/>
    <x v="1"/>
    <d v="2025-09-19T00:00:00"/>
    <d v="2025-09-01T00:00:00"/>
    <s v="sex"/>
    <x v="7"/>
    <x v="1"/>
    <m/>
    <s v="142545919"/>
  </r>
  <r>
    <n v="1425"/>
    <n v="54"/>
    <s v="Masculino"/>
    <s v="Soldagem"/>
    <s v="Operador"/>
    <s v="2º Turno"/>
    <x v="0"/>
    <s v="Não"/>
    <x v="1"/>
    <d v="2025-12-26T00:00:00"/>
    <d v="2025-12-01T00:00:00"/>
    <s v="sex"/>
    <x v="8"/>
    <x v="1"/>
    <m/>
    <s v="142546017"/>
  </r>
  <r>
    <n v="1425"/>
    <n v="54"/>
    <s v="Masculino"/>
    <s v="Soldagem"/>
    <s v="Operador"/>
    <s v="2º Turno"/>
    <x v="0"/>
    <s v="Não"/>
    <x v="1"/>
    <d v="2026-06-12T00:00:00"/>
    <d v="2026-01-01T00:00:00"/>
    <s v="sex"/>
    <x v="1"/>
    <x v="0"/>
    <m/>
    <s v="142546185"/>
  </r>
  <r>
    <n v="1426"/>
    <n v="21"/>
    <s v="Masculino"/>
    <s v="Logistica"/>
    <s v="Operador"/>
    <s v="3º Turno"/>
    <x v="4"/>
    <s v="Não"/>
    <x v="0"/>
    <d v="2025-04-01T00:00:00"/>
    <d v="2025-04-01T00:00:00"/>
    <s v="ter"/>
    <x v="2"/>
    <x v="1"/>
    <m/>
    <s v="142645748"/>
  </r>
  <r>
    <n v="1426"/>
    <n v="21"/>
    <s v="Masculino"/>
    <s v="Logistica"/>
    <s v="Operador"/>
    <s v="3º Turno"/>
    <x v="4"/>
    <s v="Não"/>
    <x v="0"/>
    <d v="2025-05-20T00:00:00"/>
    <d v="2025-05-01T00:00:00"/>
    <s v="ter"/>
    <x v="0"/>
    <x v="1"/>
    <m/>
    <s v="142645797"/>
  </r>
  <r>
    <n v="1426"/>
    <n v="21"/>
    <s v="Masculino"/>
    <s v="Logistica"/>
    <s v="Operador"/>
    <s v="3º Turno"/>
    <x v="0"/>
    <s v="Não"/>
    <x v="0"/>
    <d v="2025-06-21T00:00:00"/>
    <d v="2025-06-01T00:00:00"/>
    <s v="sáb"/>
    <x v="1"/>
    <x v="1"/>
    <m/>
    <s v="142645829"/>
  </r>
  <r>
    <n v="1426"/>
    <n v="21"/>
    <s v="Masculino"/>
    <s v="Logistica"/>
    <s v="Operador"/>
    <s v="3º Turno"/>
    <x v="4"/>
    <s v="Não"/>
    <x v="0"/>
    <d v="2025-07-30T00:00:00"/>
    <d v="2025-07-01T00:00:00"/>
    <s v="qua"/>
    <x v="6"/>
    <x v="1"/>
    <m/>
    <s v="142645868"/>
  </r>
  <r>
    <n v="1426"/>
    <n v="21"/>
    <s v="Masculino"/>
    <s v="Logistica"/>
    <s v="Operador"/>
    <s v="3º Turno"/>
    <x v="0"/>
    <s v="Não"/>
    <x v="0"/>
    <d v="2025-09-16T00:00:00"/>
    <d v="2025-09-01T00:00:00"/>
    <s v="ter"/>
    <x v="7"/>
    <x v="1"/>
    <m/>
    <s v="142645916"/>
  </r>
  <r>
    <n v="1426"/>
    <n v="21"/>
    <s v="Masculino"/>
    <s v="Logistica"/>
    <s v="Operador"/>
    <s v="3º Turno"/>
    <x v="4"/>
    <s v="Não"/>
    <x v="0"/>
    <d v="2025-11-01T00:00:00"/>
    <d v="2025-11-01T00:00:00"/>
    <s v="sáb"/>
    <x v="10"/>
    <x v="1"/>
    <m/>
    <s v="142645962"/>
  </r>
  <r>
    <n v="1426"/>
    <n v="21"/>
    <s v="Masculino"/>
    <s v="Logistica"/>
    <s v="Operador"/>
    <s v="3º Turno"/>
    <x v="4"/>
    <s v="Não"/>
    <x v="0"/>
    <d v="2026-04-01T00:00:00"/>
    <d v="2026-04-01T00:00:00"/>
    <s v="ter"/>
    <x v="2"/>
    <x v="1"/>
    <m/>
    <s v="142646113"/>
  </r>
  <r>
    <n v="1426"/>
    <n v="21"/>
    <s v="Masculino"/>
    <s v="Logistica"/>
    <s v="Operador"/>
    <s v="3º Turno"/>
    <x v="4"/>
    <s v="Não"/>
    <x v="0"/>
    <d v="2026-05-20T00:00:00"/>
    <d v="2026-05-01T00:00:00"/>
    <s v="ter"/>
    <x v="0"/>
    <x v="1"/>
    <m/>
    <s v="142646162"/>
  </r>
  <r>
    <n v="1427"/>
    <n v="50"/>
    <s v="Feminino"/>
    <s v="Logistica"/>
    <s v="Operador"/>
    <s v="1º Turno"/>
    <x v="4"/>
    <s v="Não"/>
    <x v="0"/>
    <d v="2025-05-27T00:00:00"/>
    <d v="2025-05-01T00:00:00"/>
    <s v="ter"/>
    <x v="0"/>
    <x v="1"/>
    <m/>
    <s v="142745804"/>
  </r>
  <r>
    <n v="1427"/>
    <n v="50"/>
    <s v="Feminino"/>
    <s v="Logistica"/>
    <s v="Operador"/>
    <s v="1º Turno"/>
    <x v="4"/>
    <s v="Não"/>
    <x v="0"/>
    <d v="2025-10-08T00:00:00"/>
    <d v="2025-10-01T00:00:00"/>
    <s v="qua"/>
    <x v="11"/>
    <x v="1"/>
    <m/>
    <s v="142745938"/>
  </r>
  <r>
    <n v="1427"/>
    <n v="50"/>
    <s v="Feminino"/>
    <s v="Logistica"/>
    <s v="Operador"/>
    <s v="1º Turno"/>
    <x v="4"/>
    <s v="Não"/>
    <x v="0"/>
    <d v="2026-02-02T00:00:00"/>
    <d v="2026-02-01T00:00:00"/>
    <s v="seg"/>
    <x v="3"/>
    <x v="0"/>
    <m/>
    <s v="142746055"/>
  </r>
  <r>
    <n v="1427"/>
    <n v="50"/>
    <s v="Feminino"/>
    <s v="Logistica"/>
    <s v="Operador"/>
    <s v="1º Turno"/>
    <x v="4"/>
    <s v="Não"/>
    <x v="0"/>
    <d v="2026-02-07T00:00:00"/>
    <d v="2026-02-01T00:00:00"/>
    <s v="sáb"/>
    <x v="3"/>
    <x v="0"/>
    <m/>
    <s v="142746060"/>
  </r>
  <r>
    <n v="1427"/>
    <n v="50"/>
    <s v="Feminino"/>
    <s v="Logistica"/>
    <s v="Operador"/>
    <s v="1º Turno"/>
    <x v="4"/>
    <s v="Não"/>
    <x v="0"/>
    <d v="2026-02-25T00:00:00"/>
    <d v="2026-02-01T00:00:00"/>
    <s v="qua"/>
    <x v="3"/>
    <x v="0"/>
    <m/>
    <s v="142746078"/>
  </r>
  <r>
    <n v="1427"/>
    <n v="50"/>
    <s v="Feminino"/>
    <s v="Logistica"/>
    <s v="Operador"/>
    <s v="1º Turno"/>
    <x v="4"/>
    <s v="Não"/>
    <x v="0"/>
    <d v="2026-02-28T00:00:00"/>
    <d v="2026-02-01T00:00:00"/>
    <s v="sáb"/>
    <x v="3"/>
    <x v="0"/>
    <m/>
    <s v="142746081"/>
  </r>
  <r>
    <n v="1427"/>
    <n v="50"/>
    <s v="Feminino"/>
    <s v="Logistica"/>
    <s v="Operador"/>
    <s v="1º Turno"/>
    <x v="4"/>
    <s v="Não"/>
    <x v="0"/>
    <d v="2026-05-27T00:00:00"/>
    <d v="2026-05-01T00:00:00"/>
    <s v="ter"/>
    <x v="0"/>
    <x v="1"/>
    <m/>
    <s v="142746169"/>
  </r>
  <r>
    <n v="1428"/>
    <n v="41"/>
    <s v="Feminino"/>
    <s v="Soldagem"/>
    <s v="Operador"/>
    <s v="1º Turno"/>
    <x v="2"/>
    <s v="Sim"/>
    <x v="2"/>
    <d v="2025-05-30T00:00:00"/>
    <d v="2025-05-01T00:00:00"/>
    <s v="sex"/>
    <x v="0"/>
    <x v="1"/>
    <d v="2025-10-16T00:00:00"/>
    <s v="142845807"/>
  </r>
  <r>
    <n v="1428"/>
    <n v="41"/>
    <s v="Feminino"/>
    <s v="Soldagem"/>
    <s v="Operador"/>
    <s v="1º Turno"/>
    <x v="3"/>
    <s v="Sim"/>
    <x v="2"/>
    <d v="2025-06-02T00:00:00"/>
    <d v="2025-06-01T00:00:00"/>
    <s v="seg"/>
    <x v="1"/>
    <x v="1"/>
    <d v="2025-10-16T00:00:00"/>
    <s v="142845810"/>
  </r>
  <r>
    <n v="1428"/>
    <n v="41"/>
    <s v="Feminino"/>
    <s v="Soldagem"/>
    <s v="Operador"/>
    <s v="1º Turno"/>
    <x v="0"/>
    <s v="Sim"/>
    <x v="2"/>
    <d v="2025-07-04T00:00:00"/>
    <d v="2025-07-01T00:00:00"/>
    <s v="sex"/>
    <x v="6"/>
    <x v="1"/>
    <d v="2025-10-16T00:00:00"/>
    <s v="142845842"/>
  </r>
  <r>
    <n v="1428"/>
    <n v="41"/>
    <s v="Feminino"/>
    <s v="Soldagem"/>
    <s v="Operador"/>
    <s v="1º Turno"/>
    <x v="3"/>
    <s v="Sim"/>
    <x v="2"/>
    <d v="2025-09-08T00:00:00"/>
    <d v="2025-09-01T00:00:00"/>
    <s v="seg"/>
    <x v="7"/>
    <x v="1"/>
    <d v="2025-10-16T00:00:00"/>
    <s v="142845908"/>
  </r>
  <r>
    <n v="1428"/>
    <n v="41"/>
    <s v="Feminino"/>
    <s v="Soldagem"/>
    <s v="Operador"/>
    <s v="1º Turno"/>
    <x v="3"/>
    <s v="Sim"/>
    <x v="2"/>
    <d v="2025-09-09T00:00:00"/>
    <d v="2025-09-01T00:00:00"/>
    <s v="ter"/>
    <x v="7"/>
    <x v="1"/>
    <d v="2025-10-16T00:00:00"/>
    <s v="142845909"/>
  </r>
  <r>
    <n v="1428"/>
    <n v="41"/>
    <s v="Feminino"/>
    <s v="Soldagem"/>
    <s v="Operador"/>
    <s v="1º Turno"/>
    <x v="2"/>
    <s v="Sim"/>
    <x v="2"/>
    <d v="2025-09-10T00:00:00"/>
    <d v="2025-09-01T00:00:00"/>
    <s v="qua"/>
    <x v="7"/>
    <x v="1"/>
    <d v="2025-10-16T00:00:00"/>
    <s v="142845910"/>
  </r>
  <r>
    <n v="1429"/>
    <n v="36"/>
    <s v="Masculino"/>
    <s v="Pintura"/>
    <s v="Operador"/>
    <s v="1º Turno"/>
    <x v="3"/>
    <s v="Sim"/>
    <x v="0"/>
    <d v="2025-09-11T00:00:00"/>
    <d v="2025-09-01T00:00:00"/>
    <s v="qui"/>
    <x v="7"/>
    <x v="1"/>
    <d v="2026-05-06T00:00:00"/>
    <s v="142945911"/>
  </r>
  <r>
    <n v="1429"/>
    <n v="36"/>
    <s v="Masculino"/>
    <s v="Pintura"/>
    <s v="Operador"/>
    <s v="1º Turno"/>
    <x v="0"/>
    <s v="Sim"/>
    <x v="0"/>
    <d v="2025-10-05T00:00:00"/>
    <d v="2025-10-01T00:00:00"/>
    <s v="dom"/>
    <x v="11"/>
    <x v="1"/>
    <d v="2026-05-06T00:00:00"/>
    <s v="142945935"/>
  </r>
  <r>
    <n v="1429"/>
    <n v="36"/>
    <s v="Masculino"/>
    <s v="Pintura"/>
    <s v="Operador"/>
    <s v="1º Turno"/>
    <x v="0"/>
    <s v="Sim"/>
    <x v="0"/>
    <d v="2025-10-21T00:00:00"/>
    <d v="2025-10-01T00:00:00"/>
    <s v="ter"/>
    <x v="11"/>
    <x v="1"/>
    <d v="2026-05-06T00:00:00"/>
    <s v="142945951"/>
  </r>
  <r>
    <n v="1429"/>
    <n v="36"/>
    <s v="Masculino"/>
    <s v="Pintura"/>
    <s v="Operador"/>
    <s v="1º Turno"/>
    <x v="3"/>
    <s v="Sim"/>
    <x v="0"/>
    <d v="2026-06-20T00:00:00"/>
    <d v="2026-01-01T00:00:00"/>
    <s v="sáb"/>
    <x v="1"/>
    <x v="0"/>
    <d v="2026-05-06T00:00:00"/>
    <s v="142946193"/>
  </r>
  <r>
    <n v="1429"/>
    <n v="36"/>
    <s v="Masculino"/>
    <s v="Pintura"/>
    <s v="Operador"/>
    <s v="1º Turno"/>
    <x v="0"/>
    <s v="Sim"/>
    <x v="0"/>
    <d v="2026-02-21T00:00:00"/>
    <d v="2026-02-01T00:00:00"/>
    <s v="sáb"/>
    <x v="3"/>
    <x v="0"/>
    <d v="2026-05-06T00:00:00"/>
    <s v="142946074"/>
  </r>
  <r>
    <n v="1429"/>
    <n v="36"/>
    <s v="Masculino"/>
    <s v="Pintura"/>
    <s v="Operador"/>
    <s v="1º Turno"/>
    <x v="0"/>
    <s v="Sim"/>
    <x v="0"/>
    <d v="2026-03-29T00:00:00"/>
    <d v="2026-03-01T00:00:00"/>
    <s v="dom"/>
    <x v="4"/>
    <x v="0"/>
    <d v="2026-05-06T00:00:00"/>
    <s v="142946110"/>
  </r>
  <r>
    <n v="1430"/>
    <n v="27"/>
    <s v="Masculino"/>
    <s v="Montagem"/>
    <s v="Operador"/>
    <s v="2º Turno"/>
    <x v="0"/>
    <s v="Não"/>
    <x v="2"/>
    <d v="2025-07-26T00:00:00"/>
    <d v="2025-07-01T00:00:00"/>
    <s v="sáb"/>
    <x v="6"/>
    <x v="1"/>
    <m/>
    <s v="143045864"/>
  </r>
  <r>
    <n v="1430"/>
    <n v="27"/>
    <s v="Masculino"/>
    <s v="Montagem"/>
    <s v="Operador"/>
    <s v="2º Turno"/>
    <x v="0"/>
    <s v="Não"/>
    <x v="2"/>
    <d v="2025-09-24T00:00:00"/>
    <d v="2025-09-01T00:00:00"/>
    <s v="qua"/>
    <x v="7"/>
    <x v="1"/>
    <m/>
    <s v="143045924"/>
  </r>
  <r>
    <n v="1430"/>
    <n v="27"/>
    <s v="Masculino"/>
    <s v="Montagem"/>
    <s v="Operador"/>
    <s v="2º Turno"/>
    <x v="0"/>
    <s v="Não"/>
    <x v="2"/>
    <d v="2025-09-29T00:00:00"/>
    <d v="2025-09-01T00:00:00"/>
    <s v="seg"/>
    <x v="7"/>
    <x v="1"/>
    <m/>
    <s v="143045929"/>
  </r>
  <r>
    <n v="1430"/>
    <n v="27"/>
    <s v="Masculino"/>
    <s v="Montagem"/>
    <s v="Operador"/>
    <s v="2º Turno"/>
    <x v="0"/>
    <s v="Não"/>
    <x v="2"/>
    <d v="2025-10-09T00:00:00"/>
    <d v="2025-10-01T00:00:00"/>
    <s v="qui"/>
    <x v="11"/>
    <x v="1"/>
    <m/>
    <s v="143045939"/>
  </r>
  <r>
    <n v="1430"/>
    <n v="27"/>
    <s v="Masculino"/>
    <s v="Montagem"/>
    <s v="Operador"/>
    <s v="2º Turno"/>
    <x v="0"/>
    <s v="Não"/>
    <x v="2"/>
    <d v="2025-11-06T00:00:00"/>
    <d v="2025-11-01T00:00:00"/>
    <s v="qui"/>
    <x v="10"/>
    <x v="1"/>
    <m/>
    <s v="143045967"/>
  </r>
  <r>
    <n v="1432"/>
    <n v="23"/>
    <s v="Masculino"/>
    <s v="Montagem"/>
    <s v="Operador"/>
    <s v="3º Turno"/>
    <x v="4"/>
    <s v="Não"/>
    <x v="1"/>
    <d v="2025-07-15T00:00:00"/>
    <d v="2025-07-01T00:00:00"/>
    <s v="ter"/>
    <x v="6"/>
    <x v="1"/>
    <m/>
    <s v="143245853"/>
  </r>
  <r>
    <n v="1432"/>
    <n v="23"/>
    <s v="Masculino"/>
    <s v="Montagem"/>
    <s v="Operador"/>
    <s v="3º Turno"/>
    <x v="4"/>
    <s v="Não"/>
    <x v="1"/>
    <d v="2025-08-10T00:00:00"/>
    <d v="2025-08-01T00:00:00"/>
    <s v="dom"/>
    <x v="9"/>
    <x v="1"/>
    <m/>
    <s v="143245879"/>
  </r>
  <r>
    <n v="1432"/>
    <n v="23"/>
    <s v="Masculino"/>
    <s v="Montagem"/>
    <s v="Operador"/>
    <s v="3º Turno"/>
    <x v="4"/>
    <s v="Não"/>
    <x v="1"/>
    <d v="2025-08-20T00:00:00"/>
    <d v="2025-08-01T00:00:00"/>
    <s v="qua"/>
    <x v="9"/>
    <x v="1"/>
    <m/>
    <s v="143245889"/>
  </r>
  <r>
    <n v="1432"/>
    <n v="23"/>
    <s v="Masculino"/>
    <s v="Montagem"/>
    <s v="Operador"/>
    <s v="3º Turno"/>
    <x v="4"/>
    <s v="Não"/>
    <x v="1"/>
    <d v="2025-09-22T00:00:00"/>
    <d v="2025-09-01T00:00:00"/>
    <s v="seg"/>
    <x v="7"/>
    <x v="1"/>
    <m/>
    <s v="143245922"/>
  </r>
  <r>
    <n v="1432"/>
    <n v="23"/>
    <s v="Masculino"/>
    <s v="Montagem"/>
    <s v="Operador"/>
    <s v="3º Turno"/>
    <x v="4"/>
    <s v="Não"/>
    <x v="1"/>
    <d v="2025-11-19T00:00:00"/>
    <d v="2025-11-01T00:00:00"/>
    <s v="qua"/>
    <x v="10"/>
    <x v="1"/>
    <m/>
    <s v="143245980"/>
  </r>
  <r>
    <n v="1432"/>
    <n v="23"/>
    <s v="Masculino"/>
    <s v="Montagem"/>
    <s v="Operador"/>
    <s v="3º Turno"/>
    <x v="0"/>
    <s v="Não"/>
    <x v="1"/>
    <d v="2026-03-26T00:00:00"/>
    <d v="2026-03-01T00:00:00"/>
    <s v="qui"/>
    <x v="4"/>
    <x v="0"/>
    <m/>
    <s v="143246107"/>
  </r>
  <r>
    <n v="1432"/>
    <n v="23"/>
    <s v="Masculino"/>
    <s v="Montagem"/>
    <s v="Operador"/>
    <s v="3º Turno"/>
    <x v="0"/>
    <s v="Não"/>
    <x v="1"/>
    <d v="2026-05-27T00:00:00"/>
    <d v="2026-05-01T00:00:00"/>
    <s v="qua"/>
    <x v="0"/>
    <x v="0"/>
    <m/>
    <s v="143246169"/>
  </r>
  <r>
    <n v="1433"/>
    <n v="34"/>
    <s v="Feminino"/>
    <s v="Soldagem"/>
    <s v="Operador"/>
    <s v="1º Turno"/>
    <x v="0"/>
    <s v="Sim"/>
    <x v="0"/>
    <d v="2025-05-02T00:00:00"/>
    <d v="2025-05-01T00:00:00"/>
    <s v="sex"/>
    <x v="0"/>
    <x v="1"/>
    <d v="2026-04-16T00:00:00"/>
    <s v="143345779"/>
  </r>
  <r>
    <n v="1433"/>
    <n v="34"/>
    <s v="Feminino"/>
    <s v="Soldagem"/>
    <s v="Operador"/>
    <s v="1º Turno"/>
    <x v="0"/>
    <s v="Sim"/>
    <x v="0"/>
    <d v="2025-09-09T00:00:00"/>
    <d v="2025-09-01T00:00:00"/>
    <s v="ter"/>
    <x v="7"/>
    <x v="1"/>
    <d v="2026-04-16T00:00:00"/>
    <s v="143345909"/>
  </r>
  <r>
    <n v="1433"/>
    <n v="34"/>
    <s v="Feminino"/>
    <s v="Soldagem"/>
    <s v="Operador"/>
    <s v="1º Turno"/>
    <x v="0"/>
    <s v="Sim"/>
    <x v="0"/>
    <d v="2025-10-04T00:00:00"/>
    <d v="2025-10-01T00:00:00"/>
    <s v="sáb"/>
    <x v="11"/>
    <x v="1"/>
    <d v="2026-04-16T00:00:00"/>
    <s v="143345934"/>
  </r>
  <r>
    <n v="1433"/>
    <n v="34"/>
    <s v="Feminino"/>
    <s v="Soldagem"/>
    <s v="Operador"/>
    <s v="1º Turno"/>
    <x v="0"/>
    <s v="Sim"/>
    <x v="0"/>
    <d v="2026-03-20T00:00:00"/>
    <d v="2026-03-01T00:00:00"/>
    <s v="sex"/>
    <x v="4"/>
    <x v="0"/>
    <d v="2026-04-16T00:00:00"/>
    <s v="143346101"/>
  </r>
  <r>
    <n v="1433"/>
    <n v="34"/>
    <s v="Feminino"/>
    <s v="Soldagem"/>
    <s v="Operador"/>
    <s v="1º Turno"/>
    <x v="2"/>
    <s v="Sim"/>
    <x v="0"/>
    <d v="2026-03-21T00:00:00"/>
    <d v="2026-03-01T00:00:00"/>
    <s v="sáb"/>
    <x v="4"/>
    <x v="0"/>
    <d v="2026-04-16T00:00:00"/>
    <s v="143346102"/>
  </r>
  <r>
    <n v="1433"/>
    <n v="34"/>
    <s v="Feminino"/>
    <s v="Soldagem"/>
    <s v="Operador"/>
    <s v="1º Turno"/>
    <x v="0"/>
    <s v="Sim"/>
    <x v="0"/>
    <d v="2026-03-26T00:00:00"/>
    <d v="2026-03-01T00:00:00"/>
    <s v="qui"/>
    <x v="4"/>
    <x v="0"/>
    <d v="2026-04-16T00:00:00"/>
    <s v="143346107"/>
  </r>
  <r>
    <n v="1434"/>
    <n v="39"/>
    <s v="Feminino"/>
    <s v="Logistica"/>
    <s v="Operador"/>
    <s v="3º Turno"/>
    <x v="1"/>
    <s v="Sim"/>
    <x v="1"/>
    <d v="2025-04-20T00:00:00"/>
    <d v="2025-04-01T00:00:00"/>
    <s v="dom"/>
    <x v="2"/>
    <x v="1"/>
    <d v="2025-07-20T00:00:00"/>
    <s v="143445767"/>
  </r>
  <r>
    <n v="1434"/>
    <n v="39"/>
    <s v="Feminino"/>
    <s v="Logistica"/>
    <s v="Operador"/>
    <s v="3º Turno"/>
    <x v="1"/>
    <s v="Sim"/>
    <x v="1"/>
    <d v="2025-06-06T00:00:00"/>
    <d v="2025-06-01T00:00:00"/>
    <s v="sex"/>
    <x v="1"/>
    <x v="1"/>
    <d v="2025-07-20T00:00:00"/>
    <s v="143445814"/>
  </r>
  <r>
    <n v="1434"/>
    <n v="39"/>
    <s v="Feminino"/>
    <s v="Logistica"/>
    <s v="Operador"/>
    <s v="3º Turno"/>
    <x v="1"/>
    <s v="Sim"/>
    <x v="1"/>
    <d v="2025-06-24T00:00:00"/>
    <d v="2025-06-01T00:00:00"/>
    <s v="ter"/>
    <x v="1"/>
    <x v="1"/>
    <d v="2025-07-20T00:00:00"/>
    <s v="143445832"/>
  </r>
  <r>
    <n v="1434"/>
    <n v="39"/>
    <s v="Feminino"/>
    <s v="Logistica"/>
    <s v="Operador"/>
    <s v="3º Turno"/>
    <x v="2"/>
    <s v="Sim"/>
    <x v="1"/>
    <d v="2025-07-12T00:00:00"/>
    <d v="2025-07-01T00:00:00"/>
    <s v="sáb"/>
    <x v="6"/>
    <x v="1"/>
    <d v="2025-07-20T00:00:00"/>
    <s v="143445850"/>
  </r>
  <r>
    <n v="1434"/>
    <n v="39"/>
    <s v="Feminino"/>
    <s v="Logistica"/>
    <s v="Operador"/>
    <s v="3º Turno"/>
    <x v="1"/>
    <s v="Sim"/>
    <x v="1"/>
    <d v="2025-07-13T00:00:00"/>
    <d v="2025-07-01T00:00:00"/>
    <s v="dom"/>
    <x v="6"/>
    <x v="1"/>
    <d v="2025-07-20T00:00:00"/>
    <s v="143445851"/>
  </r>
  <r>
    <n v="1434"/>
    <n v="39"/>
    <s v="Feminino"/>
    <s v="Logistica"/>
    <s v="Operador"/>
    <s v="3º Turno"/>
    <x v="2"/>
    <s v="Sim"/>
    <x v="1"/>
    <d v="2025-07-14T00:00:00"/>
    <d v="2025-07-01T00:00:00"/>
    <s v="seg"/>
    <x v="6"/>
    <x v="1"/>
    <d v="2025-07-20T00:00:00"/>
    <s v="143445852"/>
  </r>
  <r>
    <n v="1435"/>
    <n v="30"/>
    <s v="Feminino"/>
    <s v="Montagem"/>
    <s v="Operador"/>
    <s v="2º Turno"/>
    <x v="1"/>
    <s v="Não"/>
    <x v="2"/>
    <d v="2025-06-10T00:00:00"/>
    <d v="2025-06-01T00:00:00"/>
    <s v="ter"/>
    <x v="1"/>
    <x v="1"/>
    <m/>
    <s v="143545818"/>
  </r>
  <r>
    <n v="1435"/>
    <n v="30"/>
    <s v="Feminino"/>
    <s v="Montagem"/>
    <s v="Operador"/>
    <s v="2º Turno"/>
    <x v="1"/>
    <s v="Não"/>
    <x v="2"/>
    <d v="2025-07-24T00:00:00"/>
    <d v="2025-07-01T00:00:00"/>
    <s v="qui"/>
    <x v="6"/>
    <x v="1"/>
    <m/>
    <s v="143545862"/>
  </r>
  <r>
    <n v="1435"/>
    <n v="30"/>
    <s v="Feminino"/>
    <s v="Montagem"/>
    <s v="Operador"/>
    <s v="2º Turno"/>
    <x v="1"/>
    <s v="Não"/>
    <x v="2"/>
    <d v="2025-11-28T00:00:00"/>
    <d v="2025-11-01T00:00:00"/>
    <s v="sex"/>
    <x v="10"/>
    <x v="1"/>
    <m/>
    <s v="143545989"/>
  </r>
  <r>
    <n v="1435"/>
    <n v="30"/>
    <s v="Feminino"/>
    <s v="Montagem"/>
    <s v="Operador"/>
    <s v="2º Turno"/>
    <x v="1"/>
    <s v="Não"/>
    <x v="2"/>
    <d v="2025-12-25T00:00:00"/>
    <d v="2025-12-01T00:00:00"/>
    <s v="qui"/>
    <x v="8"/>
    <x v="1"/>
    <m/>
    <s v="143546016"/>
  </r>
  <r>
    <n v="1435"/>
    <n v="30"/>
    <s v="Feminino"/>
    <s v="Montagem"/>
    <s v="Operador"/>
    <s v="2º Turno"/>
    <x v="1"/>
    <s v="Não"/>
    <x v="2"/>
    <d v="2026-01-24T00:00:00"/>
    <d v="2026-01-01T00:00:00"/>
    <s v="sáb"/>
    <x v="5"/>
    <x v="0"/>
    <m/>
    <s v="143546046"/>
  </r>
  <r>
    <n v="1436"/>
    <n v="21"/>
    <s v="Masculino"/>
    <s v="Montagem"/>
    <s v="Operador"/>
    <s v="2º Turno"/>
    <x v="0"/>
    <s v="Não"/>
    <x v="1"/>
    <d v="2025-08-18T00:00:00"/>
    <d v="2025-08-01T00:00:00"/>
    <s v="seg"/>
    <x v="9"/>
    <x v="1"/>
    <m/>
    <s v="143645887"/>
  </r>
  <r>
    <n v="1436"/>
    <n v="21"/>
    <s v="Masculino"/>
    <s v="Montagem"/>
    <s v="Operador"/>
    <s v="2º Turno"/>
    <x v="0"/>
    <s v="Não"/>
    <x v="1"/>
    <d v="2025-09-10T00:00:00"/>
    <d v="2025-09-01T00:00:00"/>
    <s v="qua"/>
    <x v="7"/>
    <x v="1"/>
    <m/>
    <s v="143645910"/>
  </r>
  <r>
    <n v="1436"/>
    <n v="21"/>
    <s v="Masculino"/>
    <s v="Montagem"/>
    <s v="Operador"/>
    <s v="2º Turno"/>
    <x v="0"/>
    <s v="Não"/>
    <x v="1"/>
    <d v="2025-11-01T00:00:00"/>
    <d v="2025-11-01T00:00:00"/>
    <s v="sáb"/>
    <x v="10"/>
    <x v="1"/>
    <m/>
    <s v="143645962"/>
  </r>
  <r>
    <n v="1436"/>
    <n v="21"/>
    <s v="Masculino"/>
    <s v="Montagem"/>
    <s v="Operador"/>
    <s v="2º Turno"/>
    <x v="0"/>
    <s v="Não"/>
    <x v="1"/>
    <d v="2026-03-25T00:00:00"/>
    <d v="2026-03-01T00:00:00"/>
    <s v="qua"/>
    <x v="4"/>
    <x v="0"/>
    <m/>
    <s v="143646106"/>
  </r>
  <r>
    <n v="1437"/>
    <n v="41"/>
    <s v="Masculino"/>
    <s v="Logistica"/>
    <s v="Operador"/>
    <s v="3º Turno"/>
    <x v="3"/>
    <s v="Sim"/>
    <x v="2"/>
    <d v="2025-09-11T00:00:00"/>
    <d v="2025-09-01T00:00:00"/>
    <s v="qui"/>
    <x v="7"/>
    <x v="1"/>
    <d v="2026-03-16T00:00:00"/>
    <s v="143745911"/>
  </r>
  <r>
    <n v="1437"/>
    <n v="41"/>
    <s v="Masculino"/>
    <s v="Logistica"/>
    <s v="Operador"/>
    <s v="3º Turno"/>
    <x v="0"/>
    <s v="Sim"/>
    <x v="2"/>
    <d v="2025-09-18T00:00:00"/>
    <d v="2025-09-01T00:00:00"/>
    <s v="qui"/>
    <x v="7"/>
    <x v="1"/>
    <d v="2026-03-16T00:00:00"/>
    <s v="143745918"/>
  </r>
  <r>
    <n v="1437"/>
    <n v="41"/>
    <s v="Masculino"/>
    <s v="Logistica"/>
    <s v="Operador"/>
    <s v="3º Turno"/>
    <x v="0"/>
    <s v="Sim"/>
    <x v="2"/>
    <d v="2025-10-12T00:00:00"/>
    <d v="2025-10-01T00:00:00"/>
    <s v="dom"/>
    <x v="11"/>
    <x v="1"/>
    <d v="2026-03-16T00:00:00"/>
    <s v="143745942"/>
  </r>
  <r>
    <n v="1437"/>
    <n v="41"/>
    <s v="Masculino"/>
    <s v="Logistica"/>
    <s v="Operador"/>
    <s v="3º Turno"/>
    <x v="0"/>
    <s v="Sim"/>
    <x v="2"/>
    <d v="2025-10-14T00:00:00"/>
    <d v="2025-10-01T00:00:00"/>
    <s v="ter"/>
    <x v="11"/>
    <x v="1"/>
    <d v="2026-03-16T00:00:00"/>
    <s v="143745944"/>
  </r>
  <r>
    <n v="1437"/>
    <n v="41"/>
    <s v="Masculino"/>
    <s v="Logistica"/>
    <s v="Operador"/>
    <s v="3º Turno"/>
    <x v="0"/>
    <s v="Sim"/>
    <x v="2"/>
    <d v="2025-12-30T00:00:00"/>
    <d v="2025-12-01T00:00:00"/>
    <s v="ter"/>
    <x v="8"/>
    <x v="1"/>
    <d v="2026-03-16T00:00:00"/>
    <s v="143746021"/>
  </r>
  <r>
    <n v="1437"/>
    <n v="41"/>
    <s v="Masculino"/>
    <s v="Logistica"/>
    <s v="Operador"/>
    <s v="3º Turno"/>
    <x v="0"/>
    <s v="Sim"/>
    <x v="2"/>
    <d v="2026-06-24T00:00:00"/>
    <d v="2026-01-01T00:00:00"/>
    <s v="qua"/>
    <x v="1"/>
    <x v="0"/>
    <d v="2026-03-16T00:00:00"/>
    <s v="143746197"/>
  </r>
  <r>
    <n v="1438"/>
    <n v="23"/>
    <s v="Masculino"/>
    <s v="Pintura"/>
    <s v="Operador"/>
    <s v="2º Turno"/>
    <x v="4"/>
    <s v="Não"/>
    <x v="2"/>
    <d v="2025-07-09T00:00:00"/>
    <d v="2025-07-01T00:00:00"/>
    <s v="qua"/>
    <x v="6"/>
    <x v="1"/>
    <m/>
    <s v="143845847"/>
  </r>
  <r>
    <n v="1438"/>
    <n v="23"/>
    <s v="Masculino"/>
    <s v="Pintura"/>
    <s v="Operador"/>
    <s v="2º Turno"/>
    <x v="4"/>
    <s v="Não"/>
    <x v="2"/>
    <d v="2025-09-28T00:00:00"/>
    <d v="2025-09-01T00:00:00"/>
    <s v="dom"/>
    <x v="7"/>
    <x v="1"/>
    <m/>
    <s v="143845928"/>
  </r>
  <r>
    <n v="1438"/>
    <n v="23"/>
    <s v="Masculino"/>
    <s v="Pintura"/>
    <s v="Operador"/>
    <s v="2º Turno"/>
    <x v="4"/>
    <s v="Não"/>
    <x v="2"/>
    <d v="2025-09-29T00:00:00"/>
    <d v="2025-09-01T00:00:00"/>
    <s v="seg"/>
    <x v="7"/>
    <x v="1"/>
    <m/>
    <s v="143845929"/>
  </r>
  <r>
    <n v="1438"/>
    <n v="23"/>
    <s v="Masculino"/>
    <s v="Pintura"/>
    <s v="Operador"/>
    <s v="2º Turno"/>
    <x v="4"/>
    <s v="Não"/>
    <x v="2"/>
    <d v="2026-06-10T00:00:00"/>
    <d v="2026-01-01T00:00:00"/>
    <s v="qua"/>
    <x v="1"/>
    <x v="0"/>
    <m/>
    <s v="143846183"/>
  </r>
  <r>
    <n v="1438"/>
    <n v="23"/>
    <s v="Masculino"/>
    <s v="Pintura"/>
    <s v="Operador"/>
    <s v="2º Turno"/>
    <x v="4"/>
    <s v="Não"/>
    <x v="2"/>
    <d v="2026-06-27T00:00:00"/>
    <d v="2026-01-01T00:00:00"/>
    <s v="sáb"/>
    <x v="1"/>
    <x v="0"/>
    <m/>
    <s v="143846200"/>
  </r>
  <r>
    <n v="1438"/>
    <n v="23"/>
    <s v="Masculino"/>
    <s v="Pintura"/>
    <s v="Operador"/>
    <s v="2º Turno"/>
    <x v="4"/>
    <s v="Não"/>
    <x v="2"/>
    <d v="2026-02-25T00:00:00"/>
    <d v="2026-02-01T00:00:00"/>
    <s v="qua"/>
    <x v="3"/>
    <x v="0"/>
    <m/>
    <s v="143846078"/>
  </r>
  <r>
    <n v="1441"/>
    <n v="41"/>
    <s v="Masculino"/>
    <s v="Soldagem"/>
    <s v="Operador"/>
    <s v="1º Turno"/>
    <x v="0"/>
    <s v="Sim"/>
    <x v="1"/>
    <d v="2025-07-15T00:00:00"/>
    <d v="2025-07-01T00:00:00"/>
    <s v="ter"/>
    <x v="6"/>
    <x v="1"/>
    <d v="2025-11-07T00:00:00"/>
    <s v="144145853"/>
  </r>
  <r>
    <n v="1441"/>
    <n v="41"/>
    <s v="Masculino"/>
    <s v="Soldagem"/>
    <s v="Operador"/>
    <s v="1º Turno"/>
    <x v="0"/>
    <s v="Sim"/>
    <x v="1"/>
    <d v="2025-08-12T00:00:00"/>
    <d v="2025-08-01T00:00:00"/>
    <s v="ter"/>
    <x v="9"/>
    <x v="1"/>
    <d v="2025-11-07T00:00:00"/>
    <s v="144145881"/>
  </r>
  <r>
    <n v="1441"/>
    <n v="41"/>
    <s v="Masculino"/>
    <s v="Soldagem"/>
    <s v="Operador"/>
    <s v="1º Turno"/>
    <x v="0"/>
    <s v="Sim"/>
    <x v="1"/>
    <d v="2025-08-16T00:00:00"/>
    <d v="2025-08-01T00:00:00"/>
    <s v="sáb"/>
    <x v="9"/>
    <x v="1"/>
    <d v="2025-11-07T00:00:00"/>
    <s v="144145885"/>
  </r>
  <r>
    <n v="1441"/>
    <n v="41"/>
    <s v="Masculino"/>
    <s v="Soldagem"/>
    <s v="Operador"/>
    <s v="1º Turno"/>
    <x v="0"/>
    <s v="Sim"/>
    <x v="1"/>
    <d v="2025-08-24T00:00:00"/>
    <d v="2025-08-01T00:00:00"/>
    <s v="dom"/>
    <x v="9"/>
    <x v="1"/>
    <d v="2025-11-07T00:00:00"/>
    <s v="144145893"/>
  </r>
  <r>
    <n v="1441"/>
    <n v="41"/>
    <s v="Masculino"/>
    <s v="Soldagem"/>
    <s v="Operador"/>
    <s v="1º Turno"/>
    <x v="0"/>
    <s v="Sim"/>
    <x v="1"/>
    <d v="2025-10-16T00:00:00"/>
    <d v="2025-10-01T00:00:00"/>
    <s v="qui"/>
    <x v="11"/>
    <x v="1"/>
    <d v="2025-11-07T00:00:00"/>
    <s v="144145946"/>
  </r>
  <r>
    <n v="1441"/>
    <n v="41"/>
    <s v="Masculino"/>
    <s v="Soldagem"/>
    <s v="Operador"/>
    <s v="1º Turno"/>
    <x v="0"/>
    <s v="Sim"/>
    <x v="1"/>
    <d v="2025-11-02T00:00:00"/>
    <d v="2025-11-01T00:00:00"/>
    <s v="dom"/>
    <x v="10"/>
    <x v="1"/>
    <d v="2025-11-07T00:00:00"/>
    <s v="144145963"/>
  </r>
  <r>
    <n v="1444"/>
    <n v="28"/>
    <s v="Feminino"/>
    <s v="Logistica"/>
    <s v="Operador"/>
    <s v="3º Turno"/>
    <x v="0"/>
    <s v="Não"/>
    <x v="1"/>
    <d v="2025-04-26T00:00:00"/>
    <d v="2025-04-01T00:00:00"/>
    <s v="sáb"/>
    <x v="2"/>
    <x v="1"/>
    <m/>
    <s v="144445773"/>
  </r>
  <r>
    <n v="1444"/>
    <n v="28"/>
    <s v="Feminino"/>
    <s v="Logistica"/>
    <s v="Operador"/>
    <s v="3º Turno"/>
    <x v="0"/>
    <s v="Não"/>
    <x v="1"/>
    <d v="2025-11-24T00:00:00"/>
    <d v="2025-11-01T00:00:00"/>
    <s v="seg"/>
    <x v="10"/>
    <x v="1"/>
    <m/>
    <s v="144445985"/>
  </r>
  <r>
    <n v="1444"/>
    <n v="28"/>
    <s v="Feminino"/>
    <s v="Logistica"/>
    <s v="Operador"/>
    <s v="3º Turno"/>
    <x v="0"/>
    <s v="Não"/>
    <x v="1"/>
    <d v="2025-12-25T00:00:00"/>
    <d v="2025-12-01T00:00:00"/>
    <s v="qui"/>
    <x v="8"/>
    <x v="1"/>
    <m/>
    <s v="144446016"/>
  </r>
  <r>
    <n v="1444"/>
    <n v="28"/>
    <s v="Feminino"/>
    <s v="Logistica"/>
    <s v="Operador"/>
    <s v="3º Turno"/>
    <x v="0"/>
    <s v="Não"/>
    <x v="1"/>
    <d v="2026-02-23T00:00:00"/>
    <d v="2026-02-01T00:00:00"/>
    <s v="seg"/>
    <x v="3"/>
    <x v="0"/>
    <m/>
    <s v="144446076"/>
  </r>
  <r>
    <n v="1444"/>
    <n v="28"/>
    <s v="Feminino"/>
    <s v="Logistica"/>
    <s v="Operador"/>
    <s v="3º Turno"/>
    <x v="4"/>
    <s v="Não"/>
    <x v="1"/>
    <d v="2026-03-26T00:00:00"/>
    <d v="2026-03-01T00:00:00"/>
    <s v="qui"/>
    <x v="4"/>
    <x v="0"/>
    <m/>
    <s v="144446107"/>
  </r>
  <r>
    <n v="1444"/>
    <n v="28"/>
    <s v="Feminino"/>
    <s v="Logistica"/>
    <s v="Operador"/>
    <s v="3º Turno"/>
    <x v="0"/>
    <s v="Não"/>
    <x v="1"/>
    <d v="2026-04-26T00:00:00"/>
    <d v="2026-04-01T00:00:00"/>
    <s v="sáb"/>
    <x v="2"/>
    <x v="1"/>
    <m/>
    <s v="144446138"/>
  </r>
  <r>
    <n v="1444"/>
    <n v="28"/>
    <s v="Feminino"/>
    <s v="Logistica"/>
    <s v="Operador"/>
    <s v="3º Turno"/>
    <x v="4"/>
    <s v="Não"/>
    <x v="1"/>
    <d v="2026-06-30T00:00:00"/>
    <d v="2026-06-01T00:00:00"/>
    <s v="ter"/>
    <x v="1"/>
    <x v="0"/>
    <m/>
    <s v="144446203"/>
  </r>
  <r>
    <n v="1445"/>
    <n v="41"/>
    <s v="Masculino"/>
    <s v="Logistica"/>
    <s v="Operador"/>
    <s v="3º Turno"/>
    <x v="2"/>
    <s v="Não"/>
    <x v="1"/>
    <d v="2025-05-23T00:00:00"/>
    <d v="2025-05-01T00:00:00"/>
    <s v="sex"/>
    <x v="0"/>
    <x v="1"/>
    <m/>
    <s v="144545800"/>
  </r>
  <r>
    <n v="1445"/>
    <n v="41"/>
    <s v="Masculino"/>
    <s v="Logistica"/>
    <s v="Operador"/>
    <s v="3º Turno"/>
    <x v="1"/>
    <s v="Não"/>
    <x v="1"/>
    <d v="2025-06-19T00:00:00"/>
    <d v="2025-06-01T00:00:00"/>
    <s v="qui"/>
    <x v="1"/>
    <x v="1"/>
    <m/>
    <s v="144545827"/>
  </r>
  <r>
    <n v="1445"/>
    <n v="41"/>
    <s v="Masculino"/>
    <s v="Logistica"/>
    <s v="Operador"/>
    <s v="3º Turno"/>
    <x v="1"/>
    <s v="Não"/>
    <x v="1"/>
    <d v="2025-11-16T00:00:00"/>
    <d v="2025-11-01T00:00:00"/>
    <s v="dom"/>
    <x v="10"/>
    <x v="1"/>
    <m/>
    <s v="144545977"/>
  </r>
  <r>
    <n v="1445"/>
    <n v="41"/>
    <s v="Masculino"/>
    <s v="Logistica"/>
    <s v="Operador"/>
    <s v="3º Turno"/>
    <x v="2"/>
    <s v="Não"/>
    <x v="1"/>
    <d v="2025-11-26T00:00:00"/>
    <d v="2025-11-01T00:00:00"/>
    <s v="qua"/>
    <x v="10"/>
    <x v="1"/>
    <m/>
    <s v="144545987"/>
  </r>
  <r>
    <n v="1445"/>
    <n v="41"/>
    <s v="Masculino"/>
    <s v="Logistica"/>
    <s v="Operador"/>
    <s v="3º Turno"/>
    <x v="2"/>
    <s v="Não"/>
    <x v="1"/>
    <d v="2025-12-17T00:00:00"/>
    <d v="2025-12-01T00:00:00"/>
    <s v="qua"/>
    <x v="8"/>
    <x v="1"/>
    <m/>
    <s v="144546008"/>
  </r>
  <r>
    <n v="1445"/>
    <n v="41"/>
    <s v="Masculino"/>
    <s v="Logistica"/>
    <s v="Operador"/>
    <s v="3º Turno"/>
    <x v="0"/>
    <s v="Não"/>
    <x v="1"/>
    <d v="2026-03-17T00:00:00"/>
    <d v="2026-03-01T00:00:00"/>
    <s v="ter"/>
    <x v="4"/>
    <x v="0"/>
    <m/>
    <s v="144546098"/>
  </r>
  <r>
    <n v="1445"/>
    <n v="41"/>
    <s v="Masculino"/>
    <s v="Logistica"/>
    <s v="Operador"/>
    <s v="3º Turno"/>
    <x v="2"/>
    <s v="Não"/>
    <x v="1"/>
    <d v="2026-05-23T00:00:00"/>
    <d v="2026-05-01T00:00:00"/>
    <s v="sex"/>
    <x v="0"/>
    <x v="1"/>
    <m/>
    <s v="144546165"/>
  </r>
  <r>
    <n v="1446"/>
    <n v="54"/>
    <s v="Feminino"/>
    <s v="Montagem"/>
    <s v="Operador"/>
    <s v="2º Turno"/>
    <x v="1"/>
    <s v="Não"/>
    <x v="0"/>
    <d v="2025-04-22T00:00:00"/>
    <d v="2025-04-01T00:00:00"/>
    <s v="ter"/>
    <x v="2"/>
    <x v="1"/>
    <m/>
    <s v="144645769"/>
  </r>
  <r>
    <n v="1446"/>
    <n v="54"/>
    <s v="Feminino"/>
    <s v="Montagem"/>
    <s v="Operador"/>
    <s v="2º Turno"/>
    <x v="1"/>
    <s v="Não"/>
    <x v="0"/>
    <d v="2025-08-05T00:00:00"/>
    <d v="2025-08-01T00:00:00"/>
    <s v="ter"/>
    <x v="9"/>
    <x v="1"/>
    <m/>
    <s v="144645874"/>
  </r>
  <r>
    <n v="1446"/>
    <n v="54"/>
    <s v="Feminino"/>
    <s v="Montagem"/>
    <s v="Operador"/>
    <s v="2º Turno"/>
    <x v="1"/>
    <s v="Não"/>
    <x v="0"/>
    <d v="2025-10-05T00:00:00"/>
    <d v="2025-10-01T00:00:00"/>
    <s v="dom"/>
    <x v="11"/>
    <x v="1"/>
    <m/>
    <s v="144645935"/>
  </r>
  <r>
    <n v="1446"/>
    <n v="54"/>
    <s v="Feminino"/>
    <s v="Montagem"/>
    <s v="Operador"/>
    <s v="2º Turno"/>
    <x v="1"/>
    <s v="Não"/>
    <x v="0"/>
    <d v="2026-06-15T00:00:00"/>
    <d v="2026-01-01T00:00:00"/>
    <s v="seg"/>
    <x v="1"/>
    <x v="0"/>
    <m/>
    <s v="144646188"/>
  </r>
  <r>
    <n v="1446"/>
    <n v="54"/>
    <s v="Feminino"/>
    <s v="Montagem"/>
    <s v="Operador"/>
    <s v="2º Turno"/>
    <x v="1"/>
    <s v="Não"/>
    <x v="0"/>
    <d v="2026-03-05T00:00:00"/>
    <d v="2026-03-01T00:00:00"/>
    <s v="qui"/>
    <x v="4"/>
    <x v="0"/>
    <m/>
    <s v="144646086"/>
  </r>
  <r>
    <n v="1446"/>
    <n v="54"/>
    <s v="Feminino"/>
    <s v="Montagem"/>
    <s v="Operador"/>
    <s v="2º Turno"/>
    <x v="1"/>
    <s v="Não"/>
    <x v="0"/>
    <d v="2026-04-22T00:00:00"/>
    <d v="2026-04-01T00:00:00"/>
    <s v="ter"/>
    <x v="2"/>
    <x v="1"/>
    <m/>
    <s v="144646134"/>
  </r>
  <r>
    <n v="1447"/>
    <n v="26"/>
    <s v="Masculino"/>
    <s v="Soldagem"/>
    <s v="Operador"/>
    <s v="1º Turno"/>
    <x v="0"/>
    <s v="Não"/>
    <x v="0"/>
    <d v="2025-07-26T00:00:00"/>
    <d v="2025-07-01T00:00:00"/>
    <s v="sáb"/>
    <x v="6"/>
    <x v="1"/>
    <m/>
    <s v="144745864"/>
  </r>
  <r>
    <n v="1447"/>
    <n v="26"/>
    <s v="Masculino"/>
    <s v="Soldagem"/>
    <s v="Operador"/>
    <s v="1º Turno"/>
    <x v="0"/>
    <s v="Não"/>
    <x v="0"/>
    <d v="2025-08-26T00:00:00"/>
    <d v="2025-08-01T00:00:00"/>
    <s v="ter"/>
    <x v="9"/>
    <x v="1"/>
    <m/>
    <s v="144745895"/>
  </r>
  <r>
    <n v="1447"/>
    <n v="26"/>
    <s v="Masculino"/>
    <s v="Soldagem"/>
    <s v="Operador"/>
    <s v="1º Turno"/>
    <x v="1"/>
    <s v="Não"/>
    <x v="0"/>
    <d v="2026-06-05T00:00:00"/>
    <d v="2026-01-01T00:00:00"/>
    <s v="sex"/>
    <x v="1"/>
    <x v="0"/>
    <m/>
    <s v="144746178"/>
  </r>
  <r>
    <n v="1447"/>
    <n v="26"/>
    <s v="Masculino"/>
    <s v="Soldagem"/>
    <s v="Operador"/>
    <s v="1º Turno"/>
    <x v="1"/>
    <s v="Não"/>
    <x v="0"/>
    <d v="2026-02-16T00:00:00"/>
    <d v="2026-02-01T00:00:00"/>
    <s v="seg"/>
    <x v="3"/>
    <x v="0"/>
    <m/>
    <s v="144746069"/>
  </r>
  <r>
    <n v="1447"/>
    <n v="26"/>
    <s v="Masculino"/>
    <s v="Soldagem"/>
    <s v="Operador"/>
    <s v="1º Turno"/>
    <x v="0"/>
    <s v="Não"/>
    <x v="0"/>
    <d v="2026-02-19T00:00:00"/>
    <d v="2026-02-01T00:00:00"/>
    <s v="qui"/>
    <x v="3"/>
    <x v="0"/>
    <m/>
    <s v="144746072"/>
  </r>
  <r>
    <n v="1449"/>
    <n v="55"/>
    <s v="Feminino"/>
    <s v="Montagem"/>
    <s v="Operador"/>
    <s v="3º Turno"/>
    <x v="4"/>
    <s v="Não"/>
    <x v="0"/>
    <d v="2025-04-17T00:00:00"/>
    <d v="2025-04-01T00:00:00"/>
    <s v="qui"/>
    <x v="2"/>
    <x v="1"/>
    <m/>
    <s v="144945764"/>
  </r>
  <r>
    <n v="1449"/>
    <n v="55"/>
    <s v="Feminino"/>
    <s v="Montagem"/>
    <s v="Operador"/>
    <s v="3º Turno"/>
    <x v="4"/>
    <s v="Não"/>
    <x v="0"/>
    <d v="2025-04-28T00:00:00"/>
    <d v="2025-04-01T00:00:00"/>
    <s v="seg"/>
    <x v="2"/>
    <x v="1"/>
    <m/>
    <s v="144945775"/>
  </r>
  <r>
    <n v="1449"/>
    <n v="55"/>
    <s v="Feminino"/>
    <s v="Montagem"/>
    <s v="Operador"/>
    <s v="3º Turno"/>
    <x v="4"/>
    <s v="Não"/>
    <x v="0"/>
    <d v="2025-05-05T00:00:00"/>
    <d v="2025-05-01T00:00:00"/>
    <s v="seg"/>
    <x v="0"/>
    <x v="1"/>
    <m/>
    <s v="144945782"/>
  </r>
  <r>
    <n v="1449"/>
    <n v="55"/>
    <s v="Feminino"/>
    <s v="Montagem"/>
    <s v="Operador"/>
    <s v="3º Turno"/>
    <x v="4"/>
    <s v="Não"/>
    <x v="0"/>
    <d v="2025-05-07T00:00:00"/>
    <d v="2025-05-01T00:00:00"/>
    <s v="qua"/>
    <x v="0"/>
    <x v="1"/>
    <m/>
    <s v="144945784"/>
  </r>
  <r>
    <n v="1449"/>
    <n v="55"/>
    <s v="Feminino"/>
    <s v="Montagem"/>
    <s v="Operador"/>
    <s v="3º Turno"/>
    <x v="4"/>
    <s v="Não"/>
    <x v="0"/>
    <d v="2026-06-22T00:00:00"/>
    <d v="2026-01-01T00:00:00"/>
    <s v="seg"/>
    <x v="1"/>
    <x v="0"/>
    <m/>
    <s v="144946195"/>
  </r>
  <r>
    <n v="1449"/>
    <n v="55"/>
    <s v="Feminino"/>
    <s v="Montagem"/>
    <s v="Operador"/>
    <s v="3º Turno"/>
    <x v="4"/>
    <s v="Não"/>
    <x v="0"/>
    <d v="2026-02-02T00:00:00"/>
    <d v="2026-02-01T00:00:00"/>
    <s v="seg"/>
    <x v="3"/>
    <x v="0"/>
    <m/>
    <s v="144946055"/>
  </r>
  <r>
    <n v="1449"/>
    <n v="55"/>
    <s v="Feminino"/>
    <s v="Montagem"/>
    <s v="Operador"/>
    <s v="3º Turno"/>
    <x v="4"/>
    <s v="Não"/>
    <x v="0"/>
    <d v="2026-04-17T00:00:00"/>
    <d v="2026-04-01T00:00:00"/>
    <s v="qui"/>
    <x v="2"/>
    <x v="1"/>
    <m/>
    <s v="144946129"/>
  </r>
  <r>
    <n v="1449"/>
    <n v="55"/>
    <s v="Feminino"/>
    <s v="Montagem"/>
    <s v="Operador"/>
    <s v="3º Turno"/>
    <x v="4"/>
    <s v="Não"/>
    <x v="0"/>
    <d v="2026-04-28T00:00:00"/>
    <d v="2026-04-01T00:00:00"/>
    <s v="seg"/>
    <x v="2"/>
    <x v="1"/>
    <m/>
    <s v="144946140"/>
  </r>
  <r>
    <n v="1449"/>
    <n v="55"/>
    <s v="Feminino"/>
    <s v="Montagem"/>
    <s v="Operador"/>
    <s v="3º Turno"/>
    <x v="4"/>
    <s v="Não"/>
    <x v="0"/>
    <d v="2026-05-05T00:00:00"/>
    <d v="2026-05-01T00:00:00"/>
    <s v="seg"/>
    <x v="0"/>
    <x v="1"/>
    <m/>
    <s v="144946147"/>
  </r>
  <r>
    <n v="1449"/>
    <n v="55"/>
    <s v="Feminino"/>
    <s v="Montagem"/>
    <s v="Operador"/>
    <s v="3º Turno"/>
    <x v="4"/>
    <s v="Não"/>
    <x v="0"/>
    <d v="2026-05-07T00:00:00"/>
    <d v="2026-05-01T00:00:00"/>
    <s v="qua"/>
    <x v="0"/>
    <x v="1"/>
    <m/>
    <s v="144946149"/>
  </r>
  <r>
    <n v="1450"/>
    <n v="54"/>
    <s v="Masculino"/>
    <s v="Pintura"/>
    <s v="Operador"/>
    <s v="3º Turno"/>
    <x v="4"/>
    <s v="Não"/>
    <x v="2"/>
    <d v="2025-05-27T00:00:00"/>
    <d v="2025-05-01T00:00:00"/>
    <s v="ter"/>
    <x v="0"/>
    <x v="1"/>
    <m/>
    <s v="145045804"/>
  </r>
  <r>
    <n v="1450"/>
    <n v="54"/>
    <s v="Masculino"/>
    <s v="Pintura"/>
    <s v="Operador"/>
    <s v="3º Turno"/>
    <x v="4"/>
    <s v="Não"/>
    <x v="2"/>
    <d v="2025-06-26T00:00:00"/>
    <d v="2025-06-01T00:00:00"/>
    <s v="qui"/>
    <x v="1"/>
    <x v="1"/>
    <m/>
    <s v="145045834"/>
  </r>
  <r>
    <n v="1450"/>
    <n v="54"/>
    <s v="Masculino"/>
    <s v="Pintura"/>
    <s v="Operador"/>
    <s v="3º Turno"/>
    <x v="4"/>
    <s v="Não"/>
    <x v="2"/>
    <d v="2025-09-08T00:00:00"/>
    <d v="2025-09-01T00:00:00"/>
    <s v="seg"/>
    <x v="7"/>
    <x v="1"/>
    <m/>
    <s v="145045908"/>
  </r>
  <r>
    <n v="1450"/>
    <n v="54"/>
    <s v="Masculino"/>
    <s v="Pintura"/>
    <s v="Operador"/>
    <s v="3º Turno"/>
    <x v="4"/>
    <s v="Não"/>
    <x v="2"/>
    <d v="2025-09-27T00:00:00"/>
    <d v="2025-09-01T00:00:00"/>
    <s v="sáb"/>
    <x v="7"/>
    <x v="1"/>
    <m/>
    <s v="145045927"/>
  </r>
  <r>
    <n v="1450"/>
    <n v="54"/>
    <s v="Masculino"/>
    <s v="Pintura"/>
    <s v="Operador"/>
    <s v="3º Turno"/>
    <x v="4"/>
    <s v="Não"/>
    <x v="2"/>
    <d v="2025-10-28T00:00:00"/>
    <d v="2025-10-01T00:00:00"/>
    <s v="ter"/>
    <x v="11"/>
    <x v="1"/>
    <m/>
    <s v="145045958"/>
  </r>
  <r>
    <n v="1450"/>
    <n v="54"/>
    <s v="Masculino"/>
    <s v="Pintura"/>
    <s v="Operador"/>
    <s v="3º Turno"/>
    <x v="4"/>
    <s v="Não"/>
    <x v="2"/>
    <d v="2025-12-05T00:00:00"/>
    <d v="2025-12-01T00:00:00"/>
    <s v="sex"/>
    <x v="8"/>
    <x v="1"/>
    <m/>
    <s v="145045996"/>
  </r>
  <r>
    <n v="1450"/>
    <n v="54"/>
    <s v="Masculino"/>
    <s v="Pintura"/>
    <s v="Operador"/>
    <s v="3º Turno"/>
    <x v="4"/>
    <s v="Não"/>
    <x v="2"/>
    <d v="2026-05-27T00:00:00"/>
    <d v="2026-05-01T00:00:00"/>
    <s v="ter"/>
    <x v="0"/>
    <x v="1"/>
    <m/>
    <s v="145046169"/>
  </r>
  <r>
    <n v="1451"/>
    <n v="43"/>
    <s v="Masculino"/>
    <s v="Soldagem"/>
    <s v="Operador"/>
    <s v="3º Turno"/>
    <x v="5"/>
    <s v="Sim"/>
    <x v="0"/>
    <d v="2025-04-24T00:00:00"/>
    <d v="2025-04-01T00:00:00"/>
    <s v="qui"/>
    <x v="2"/>
    <x v="1"/>
    <d v="2025-08-16T00:00:00"/>
    <s v="145145771"/>
  </r>
  <r>
    <n v="1451"/>
    <n v="43"/>
    <s v="Masculino"/>
    <s v="Soldagem"/>
    <s v="Operador"/>
    <s v="3º Turno"/>
    <x v="2"/>
    <s v="Sim"/>
    <x v="0"/>
    <d v="2025-05-05T00:00:00"/>
    <d v="2025-05-01T00:00:00"/>
    <s v="seg"/>
    <x v="0"/>
    <x v="1"/>
    <d v="2025-08-16T00:00:00"/>
    <s v="145145782"/>
  </r>
  <r>
    <n v="1451"/>
    <n v="43"/>
    <s v="Masculino"/>
    <s v="Soldagem"/>
    <s v="Operador"/>
    <s v="3º Turno"/>
    <x v="3"/>
    <s v="Sim"/>
    <x v="0"/>
    <d v="2025-05-24T00:00:00"/>
    <d v="2025-05-01T00:00:00"/>
    <s v="sáb"/>
    <x v="0"/>
    <x v="1"/>
    <d v="2025-08-16T00:00:00"/>
    <s v="145145801"/>
  </r>
  <r>
    <n v="1451"/>
    <n v="43"/>
    <s v="Masculino"/>
    <s v="Soldagem"/>
    <s v="Operador"/>
    <s v="3º Turno"/>
    <x v="3"/>
    <s v="Sim"/>
    <x v="0"/>
    <d v="2025-06-08T00:00:00"/>
    <d v="2025-06-01T00:00:00"/>
    <s v="dom"/>
    <x v="1"/>
    <x v="1"/>
    <d v="2025-08-16T00:00:00"/>
    <s v="145145816"/>
  </r>
  <r>
    <n v="1451"/>
    <n v="43"/>
    <s v="Masculino"/>
    <s v="Soldagem"/>
    <s v="Operador"/>
    <s v="3º Turno"/>
    <x v="3"/>
    <s v="Sim"/>
    <x v="0"/>
    <d v="2025-07-25T00:00:00"/>
    <d v="2025-07-01T00:00:00"/>
    <s v="sex"/>
    <x v="6"/>
    <x v="1"/>
    <d v="2025-08-16T00:00:00"/>
    <s v="145145863"/>
  </r>
  <r>
    <n v="1451"/>
    <n v="43"/>
    <s v="Masculino"/>
    <s v="Soldagem"/>
    <s v="Operador"/>
    <s v="3º Turno"/>
    <x v="3"/>
    <s v="Sim"/>
    <x v="0"/>
    <d v="2025-07-26T00:00:00"/>
    <d v="2025-07-01T00:00:00"/>
    <s v="sáb"/>
    <x v="6"/>
    <x v="1"/>
    <d v="2025-08-16T00:00:00"/>
    <s v="145145864"/>
  </r>
  <r>
    <n v="1452"/>
    <n v="38"/>
    <s v="Masculino"/>
    <s v="Qualidade"/>
    <s v="Analista"/>
    <s v="2º Turno"/>
    <x v="0"/>
    <s v="Não"/>
    <x v="1"/>
    <d v="2025-04-26T00:00:00"/>
    <d v="2025-04-01T00:00:00"/>
    <s v="sáb"/>
    <x v="2"/>
    <x v="1"/>
    <m/>
    <s v="145245773"/>
  </r>
  <r>
    <n v="1452"/>
    <n v="38"/>
    <s v="Masculino"/>
    <s v="Qualidade"/>
    <s v="Analista"/>
    <s v="2º Turno"/>
    <x v="0"/>
    <s v="Não"/>
    <x v="1"/>
    <d v="2025-06-12T00:00:00"/>
    <d v="2025-06-01T00:00:00"/>
    <s v="qui"/>
    <x v="1"/>
    <x v="1"/>
    <m/>
    <s v="145245820"/>
  </r>
  <r>
    <n v="1452"/>
    <n v="38"/>
    <s v="Masculino"/>
    <s v="Qualidade"/>
    <s v="Analista"/>
    <s v="2º Turno"/>
    <x v="0"/>
    <s v="Não"/>
    <x v="1"/>
    <d v="2026-02-07T00:00:00"/>
    <d v="2026-02-01T00:00:00"/>
    <s v="sáb"/>
    <x v="3"/>
    <x v="0"/>
    <m/>
    <s v="145246060"/>
  </r>
  <r>
    <n v="1452"/>
    <n v="38"/>
    <s v="Masculino"/>
    <s v="Qualidade"/>
    <s v="Analista"/>
    <s v="2º Turno"/>
    <x v="0"/>
    <s v="Não"/>
    <x v="1"/>
    <d v="2026-04-26T00:00:00"/>
    <d v="2026-04-01T00:00:00"/>
    <s v="sáb"/>
    <x v="2"/>
    <x v="1"/>
    <m/>
    <s v="145246138"/>
  </r>
  <r>
    <n v="1453"/>
    <n v="24"/>
    <s v="Feminino"/>
    <s v="Montagem"/>
    <s v="Operador"/>
    <s v="2º Turno"/>
    <x v="5"/>
    <s v="Sim"/>
    <x v="1"/>
    <d v="2025-01-16T00:00:00"/>
    <d v="2025-01-01T00:00:00"/>
    <s v="qui"/>
    <x v="5"/>
    <x v="1"/>
    <d v="2025-06-23T00:00:00"/>
    <s v="145345673"/>
  </r>
  <r>
    <n v="1453"/>
    <n v="24"/>
    <s v="Feminino"/>
    <s v="Montagem"/>
    <s v="Operador"/>
    <s v="2º Turno"/>
    <x v="0"/>
    <s v="Sim"/>
    <x v="1"/>
    <d v="2025-01-18T00:00:00"/>
    <d v="2025-01-01T00:00:00"/>
    <s v="sáb"/>
    <x v="5"/>
    <x v="1"/>
    <d v="2025-06-23T00:00:00"/>
    <s v="145345675"/>
  </r>
  <r>
    <n v="1453"/>
    <n v="24"/>
    <s v="Feminino"/>
    <s v="Montagem"/>
    <s v="Operador"/>
    <s v="2º Turno"/>
    <x v="0"/>
    <s v="Sim"/>
    <x v="1"/>
    <d v="2025-01-20T00:00:00"/>
    <d v="2025-01-01T00:00:00"/>
    <s v="seg"/>
    <x v="5"/>
    <x v="1"/>
    <d v="2025-06-23T00:00:00"/>
    <s v="145345677"/>
  </r>
  <r>
    <n v="1453"/>
    <n v="24"/>
    <s v="Feminino"/>
    <s v="Montagem"/>
    <s v="Operador"/>
    <s v="2º Turno"/>
    <x v="0"/>
    <s v="Sim"/>
    <x v="1"/>
    <d v="2025-06-01T00:00:00"/>
    <d v="2025-06-01T00:00:00"/>
    <s v="dom"/>
    <x v="1"/>
    <x v="1"/>
    <d v="2025-06-23T00:00:00"/>
    <s v="145345809"/>
  </r>
  <r>
    <n v="1453"/>
    <n v="24"/>
    <s v="Feminino"/>
    <s v="Montagem"/>
    <s v="Operador"/>
    <s v="2º Turno"/>
    <x v="0"/>
    <s v="Sim"/>
    <x v="1"/>
    <d v="2025-06-15T00:00:00"/>
    <d v="2025-06-01T00:00:00"/>
    <s v="dom"/>
    <x v="1"/>
    <x v="1"/>
    <d v="2025-06-23T00:00:00"/>
    <s v="145345823"/>
  </r>
  <r>
    <n v="1453"/>
    <n v="24"/>
    <s v="Feminino"/>
    <s v="Montagem"/>
    <s v="Operador"/>
    <s v="2º Turno"/>
    <x v="0"/>
    <s v="Sim"/>
    <x v="1"/>
    <d v="2025-06-19T00:00:00"/>
    <d v="2025-06-01T00:00:00"/>
    <s v="qui"/>
    <x v="1"/>
    <x v="1"/>
    <d v="2025-06-23T00:00:00"/>
    <s v="145345827"/>
  </r>
  <r>
    <n v="1454"/>
    <n v="28"/>
    <s v="Masculino"/>
    <s v="Qualidade"/>
    <s v="Inspetor"/>
    <s v="2º Turno"/>
    <x v="4"/>
    <s v="Não"/>
    <x v="2"/>
    <d v="2025-06-16T00:00:00"/>
    <d v="2025-06-01T00:00:00"/>
    <s v="seg"/>
    <x v="1"/>
    <x v="1"/>
    <m/>
    <s v="145445824"/>
  </r>
  <r>
    <n v="1454"/>
    <n v="28"/>
    <s v="Masculino"/>
    <s v="Qualidade"/>
    <s v="Inspetor"/>
    <s v="2º Turno"/>
    <x v="4"/>
    <s v="Não"/>
    <x v="2"/>
    <d v="2025-09-29T00:00:00"/>
    <d v="2025-09-01T00:00:00"/>
    <s v="seg"/>
    <x v="7"/>
    <x v="1"/>
    <m/>
    <s v="145445929"/>
  </r>
  <r>
    <n v="1454"/>
    <n v="28"/>
    <s v="Masculino"/>
    <s v="Qualidade"/>
    <s v="Inspetor"/>
    <s v="2º Turno"/>
    <x v="4"/>
    <s v="Não"/>
    <x v="2"/>
    <d v="2025-11-28T00:00:00"/>
    <d v="2025-11-01T00:00:00"/>
    <s v="sex"/>
    <x v="10"/>
    <x v="1"/>
    <m/>
    <s v="145445989"/>
  </r>
  <r>
    <n v="1454"/>
    <n v="28"/>
    <s v="Masculino"/>
    <s v="Qualidade"/>
    <s v="Inspetor"/>
    <s v="2º Turno"/>
    <x v="4"/>
    <s v="Não"/>
    <x v="2"/>
    <d v="2026-06-22T00:00:00"/>
    <d v="2026-01-01T00:00:00"/>
    <s v="seg"/>
    <x v="1"/>
    <x v="0"/>
    <m/>
    <s v="145446195"/>
  </r>
  <r>
    <n v="1454"/>
    <n v="28"/>
    <s v="Masculino"/>
    <s v="Qualidade"/>
    <s v="Inspetor"/>
    <s v="2º Turno"/>
    <x v="4"/>
    <s v="Não"/>
    <x v="2"/>
    <d v="2026-02-20T00:00:00"/>
    <d v="2026-02-01T00:00:00"/>
    <s v="sex"/>
    <x v="3"/>
    <x v="0"/>
    <m/>
    <s v="145446073"/>
  </r>
  <r>
    <n v="1454"/>
    <n v="28"/>
    <s v="Masculino"/>
    <s v="Qualidade"/>
    <s v="Inspetor"/>
    <s v="2º Turno"/>
    <x v="4"/>
    <s v="Não"/>
    <x v="2"/>
    <d v="2026-03-14T00:00:00"/>
    <d v="2026-03-01T00:00:00"/>
    <s v="sáb"/>
    <x v="4"/>
    <x v="0"/>
    <m/>
    <s v="145446095"/>
  </r>
  <r>
    <n v="1456"/>
    <n v="41"/>
    <s v="Masculino"/>
    <s v="Soldagem"/>
    <s v="Operador"/>
    <s v="2º Turno"/>
    <x v="0"/>
    <s v="Não"/>
    <x v="1"/>
    <d v="2025-07-01T00:00:00"/>
    <d v="2025-07-01T00:00:00"/>
    <s v="ter"/>
    <x v="6"/>
    <x v="1"/>
    <m/>
    <s v="145645839"/>
  </r>
  <r>
    <n v="1456"/>
    <n v="41"/>
    <s v="Masculino"/>
    <s v="Soldagem"/>
    <s v="Operador"/>
    <s v="2º Turno"/>
    <x v="2"/>
    <s v="Não"/>
    <x v="1"/>
    <d v="2025-10-23T00:00:00"/>
    <d v="2025-10-01T00:00:00"/>
    <s v="qui"/>
    <x v="11"/>
    <x v="1"/>
    <m/>
    <s v="145645953"/>
  </r>
  <r>
    <n v="1456"/>
    <n v="41"/>
    <s v="Masculino"/>
    <s v="Soldagem"/>
    <s v="Operador"/>
    <s v="2º Turno"/>
    <x v="2"/>
    <s v="Não"/>
    <x v="1"/>
    <d v="2025-12-23T00:00:00"/>
    <d v="2025-12-01T00:00:00"/>
    <s v="ter"/>
    <x v="8"/>
    <x v="1"/>
    <m/>
    <s v="145646014"/>
  </r>
  <r>
    <n v="1456"/>
    <n v="41"/>
    <s v="Masculino"/>
    <s v="Soldagem"/>
    <s v="Operador"/>
    <s v="2º Turno"/>
    <x v="2"/>
    <s v="Não"/>
    <x v="1"/>
    <d v="2026-03-10T00:00:00"/>
    <d v="2026-03-01T00:00:00"/>
    <s v="ter"/>
    <x v="4"/>
    <x v="0"/>
    <m/>
    <s v="145646091"/>
  </r>
  <r>
    <n v="1456"/>
    <n v="41"/>
    <s v="Masculino"/>
    <s v="Soldagem"/>
    <s v="Operador"/>
    <s v="2º Turno"/>
    <x v="0"/>
    <s v="Não"/>
    <x v="1"/>
    <d v="2026-03-18T00:00:00"/>
    <d v="2026-03-01T00:00:00"/>
    <s v="qua"/>
    <x v="4"/>
    <x v="0"/>
    <m/>
    <s v="145646099"/>
  </r>
  <r>
    <n v="1457"/>
    <n v="53"/>
    <s v="Masculino"/>
    <s v="Logistica"/>
    <s v="Operador"/>
    <s v="3º Turno"/>
    <x v="1"/>
    <s v="Não"/>
    <x v="2"/>
    <d v="2025-06-18T00:00:00"/>
    <d v="2025-06-01T00:00:00"/>
    <s v="qua"/>
    <x v="1"/>
    <x v="1"/>
    <m/>
    <s v="145745826"/>
  </r>
  <r>
    <n v="1457"/>
    <n v="53"/>
    <s v="Masculino"/>
    <s v="Logistica"/>
    <s v="Operador"/>
    <s v="3º Turno"/>
    <x v="1"/>
    <s v="Não"/>
    <x v="2"/>
    <d v="2025-06-25T00:00:00"/>
    <d v="2025-06-01T00:00:00"/>
    <s v="qua"/>
    <x v="1"/>
    <x v="1"/>
    <m/>
    <s v="145745833"/>
  </r>
  <r>
    <n v="1457"/>
    <n v="53"/>
    <s v="Masculino"/>
    <s v="Logistica"/>
    <s v="Operador"/>
    <s v="3º Turno"/>
    <x v="1"/>
    <s v="Não"/>
    <x v="2"/>
    <d v="2025-11-17T00:00:00"/>
    <d v="2025-11-01T00:00:00"/>
    <s v="seg"/>
    <x v="10"/>
    <x v="1"/>
    <m/>
    <s v="145745978"/>
  </r>
  <r>
    <n v="1457"/>
    <n v="53"/>
    <s v="Masculino"/>
    <s v="Logistica"/>
    <s v="Operador"/>
    <s v="3º Turno"/>
    <x v="1"/>
    <s v="Não"/>
    <x v="2"/>
    <d v="2026-03-11T00:00:00"/>
    <d v="2026-03-01T00:00:00"/>
    <s v="qua"/>
    <x v="4"/>
    <x v="0"/>
    <m/>
    <s v="145746092"/>
  </r>
  <r>
    <n v="1457"/>
    <n v="53"/>
    <s v="Masculino"/>
    <s v="Logistica"/>
    <s v="Operador"/>
    <s v="3º Turno"/>
    <x v="1"/>
    <s v="Não"/>
    <x v="2"/>
    <d v="2026-06-24T00:00:00"/>
    <d v="2026-06-01T00:00:00"/>
    <s v="qua"/>
    <x v="1"/>
    <x v="0"/>
    <m/>
    <s v="145746197"/>
  </r>
  <r>
    <n v="1457"/>
    <n v="53"/>
    <s v="Masculino"/>
    <s v="Logistica"/>
    <s v="Operador"/>
    <s v="3º Turno"/>
    <x v="1"/>
    <s v="Não"/>
    <x v="2"/>
    <d v="2026-06-25T00:00:00"/>
    <d v="2026-06-01T00:00:00"/>
    <s v="qui"/>
    <x v="1"/>
    <x v="0"/>
    <m/>
    <s v="145746198"/>
  </r>
  <r>
    <n v="1459"/>
    <n v="57"/>
    <s v="Masculino"/>
    <s v="Montagem"/>
    <s v="Operador"/>
    <s v="3º Turno"/>
    <x v="0"/>
    <s v="Não"/>
    <x v="2"/>
    <d v="2025-04-28T00:00:00"/>
    <d v="2025-04-01T00:00:00"/>
    <s v="seg"/>
    <x v="2"/>
    <x v="1"/>
    <m/>
    <s v="145945775"/>
  </r>
  <r>
    <n v="1459"/>
    <n v="57"/>
    <s v="Masculino"/>
    <s v="Montagem"/>
    <s v="Operador"/>
    <s v="3º Turno"/>
    <x v="0"/>
    <s v="Não"/>
    <x v="2"/>
    <d v="2025-08-21T00:00:00"/>
    <d v="2025-08-01T00:00:00"/>
    <s v="qui"/>
    <x v="9"/>
    <x v="1"/>
    <m/>
    <s v="145945890"/>
  </r>
  <r>
    <n v="1459"/>
    <n v="57"/>
    <s v="Masculino"/>
    <s v="Montagem"/>
    <s v="Operador"/>
    <s v="3º Turno"/>
    <x v="0"/>
    <s v="Não"/>
    <x v="2"/>
    <d v="2025-09-18T00:00:00"/>
    <d v="2025-09-01T00:00:00"/>
    <s v="qui"/>
    <x v="7"/>
    <x v="1"/>
    <m/>
    <s v="145945918"/>
  </r>
  <r>
    <n v="1459"/>
    <n v="57"/>
    <s v="Masculino"/>
    <s v="Montagem"/>
    <s v="Operador"/>
    <s v="3º Turno"/>
    <x v="0"/>
    <s v="Não"/>
    <x v="2"/>
    <d v="2025-12-18T00:00:00"/>
    <d v="2025-12-01T00:00:00"/>
    <s v="qui"/>
    <x v="8"/>
    <x v="1"/>
    <m/>
    <s v="145946009"/>
  </r>
  <r>
    <n v="1459"/>
    <n v="57"/>
    <s v="Masculino"/>
    <s v="Montagem"/>
    <s v="Operador"/>
    <s v="3º Turno"/>
    <x v="0"/>
    <s v="Não"/>
    <x v="2"/>
    <d v="2026-02-05T00:00:00"/>
    <d v="2026-02-01T00:00:00"/>
    <s v="qui"/>
    <x v="3"/>
    <x v="0"/>
    <m/>
    <s v="145946058"/>
  </r>
  <r>
    <n v="1459"/>
    <n v="57"/>
    <s v="Masculino"/>
    <s v="Montagem"/>
    <s v="Operador"/>
    <s v="3º Turno"/>
    <x v="0"/>
    <s v="Não"/>
    <x v="2"/>
    <d v="2026-02-20T00:00:00"/>
    <d v="2026-02-01T00:00:00"/>
    <s v="sex"/>
    <x v="3"/>
    <x v="0"/>
    <m/>
    <s v="145946073"/>
  </r>
  <r>
    <n v="1459"/>
    <n v="57"/>
    <s v="Masculino"/>
    <s v="Montagem"/>
    <s v="Operador"/>
    <s v="3º Turno"/>
    <x v="0"/>
    <s v="Não"/>
    <x v="2"/>
    <d v="2026-04-28T00:00:00"/>
    <d v="2026-04-01T00:00:00"/>
    <s v="seg"/>
    <x v="2"/>
    <x v="1"/>
    <m/>
    <s v="145946140"/>
  </r>
  <r>
    <n v="1460"/>
    <n v="37"/>
    <s v="Masculino"/>
    <s v="Logistica"/>
    <s v="Operador"/>
    <s v="2º Turno"/>
    <x v="4"/>
    <s v="Não"/>
    <x v="0"/>
    <d v="2025-05-31T00:00:00"/>
    <d v="2025-05-01T00:00:00"/>
    <s v="sáb"/>
    <x v="0"/>
    <x v="1"/>
    <m/>
    <s v="146045808"/>
  </r>
  <r>
    <n v="1460"/>
    <n v="37"/>
    <s v="Masculino"/>
    <s v="Logistica"/>
    <s v="Operador"/>
    <s v="2º Turno"/>
    <x v="4"/>
    <s v="Não"/>
    <x v="0"/>
    <d v="2025-09-22T00:00:00"/>
    <d v="2025-09-01T00:00:00"/>
    <s v="seg"/>
    <x v="7"/>
    <x v="1"/>
    <m/>
    <s v="146045922"/>
  </r>
  <r>
    <n v="1460"/>
    <n v="37"/>
    <s v="Masculino"/>
    <s v="Logistica"/>
    <s v="Operador"/>
    <s v="2º Turno"/>
    <x v="4"/>
    <s v="Não"/>
    <x v="0"/>
    <d v="2025-11-20T00:00:00"/>
    <d v="2025-11-01T00:00:00"/>
    <s v="qui"/>
    <x v="10"/>
    <x v="1"/>
    <m/>
    <s v="146045981"/>
  </r>
  <r>
    <n v="1460"/>
    <n v="37"/>
    <s v="Masculino"/>
    <s v="Logistica"/>
    <s v="Operador"/>
    <s v="2º Turno"/>
    <x v="0"/>
    <s v="Não"/>
    <x v="0"/>
    <d v="2026-03-09T00:00:00"/>
    <d v="2026-03-01T00:00:00"/>
    <s v="seg"/>
    <x v="4"/>
    <x v="0"/>
    <m/>
    <s v="146046090"/>
  </r>
  <r>
    <n v="1460"/>
    <n v="37"/>
    <s v="Masculino"/>
    <s v="Logistica"/>
    <s v="Operador"/>
    <s v="2º Turno"/>
    <x v="4"/>
    <s v="Não"/>
    <x v="0"/>
    <d v="2026-03-26T00:00:00"/>
    <d v="2026-03-01T00:00:00"/>
    <s v="qui"/>
    <x v="4"/>
    <x v="0"/>
    <m/>
    <s v="146046107"/>
  </r>
  <r>
    <n v="1460"/>
    <n v="37"/>
    <s v="Masculino"/>
    <s v="Logistica"/>
    <s v="Operador"/>
    <s v="2º Turno"/>
    <x v="4"/>
    <s v="Não"/>
    <x v="0"/>
    <d v="2026-05-31T00:00:00"/>
    <d v="2026-05-01T00:00:00"/>
    <s v="sáb"/>
    <x v="0"/>
    <x v="1"/>
    <m/>
    <s v="146046173"/>
  </r>
  <r>
    <n v="1460"/>
    <n v="37"/>
    <s v="Masculino"/>
    <s v="Logistica"/>
    <s v="Operador"/>
    <s v="2º Turno"/>
    <x v="4"/>
    <s v="Não"/>
    <x v="0"/>
    <d v="2026-06-27T00:00:00"/>
    <d v="2026-06-01T00:00:00"/>
    <s v="sáb"/>
    <x v="1"/>
    <x v="0"/>
    <m/>
    <s v="146046200"/>
  </r>
  <r>
    <n v="1461"/>
    <n v="55"/>
    <s v="Feminino"/>
    <s v="Pintura"/>
    <s v="Operador"/>
    <s v="3º Turno"/>
    <x v="0"/>
    <s v="Sim"/>
    <x v="1"/>
    <d v="2025-08-01T00:00:00"/>
    <d v="2025-08-01T00:00:00"/>
    <s v="sex"/>
    <x v="9"/>
    <x v="1"/>
    <d v="2025-09-14T00:00:00"/>
    <s v="146145870"/>
  </r>
  <r>
    <n v="1461"/>
    <n v="55"/>
    <s v="Feminino"/>
    <s v="Pintura"/>
    <s v="Operador"/>
    <s v="3º Turno"/>
    <x v="3"/>
    <s v="Sim"/>
    <x v="1"/>
    <d v="2025-08-03T00:00:00"/>
    <d v="2025-08-01T00:00:00"/>
    <s v="dom"/>
    <x v="9"/>
    <x v="1"/>
    <d v="2025-09-14T00:00:00"/>
    <s v="146145872"/>
  </r>
  <r>
    <n v="1462"/>
    <n v="25"/>
    <s v="Feminino"/>
    <s v="Montagem"/>
    <s v="Operador"/>
    <s v="2º Turno"/>
    <x v="3"/>
    <s v="Não"/>
    <x v="2"/>
    <d v="2025-08-13T00:00:00"/>
    <d v="2025-08-01T00:00:00"/>
    <s v="qua"/>
    <x v="9"/>
    <x v="1"/>
    <m/>
    <s v="146245882"/>
  </r>
  <r>
    <n v="1462"/>
    <n v="25"/>
    <s v="Feminino"/>
    <s v="Montagem"/>
    <s v="Operador"/>
    <s v="2º Turno"/>
    <x v="4"/>
    <s v="Não"/>
    <x v="2"/>
    <d v="2025-08-21T00:00:00"/>
    <d v="2025-08-01T00:00:00"/>
    <s v="qui"/>
    <x v="9"/>
    <x v="1"/>
    <m/>
    <s v="146245890"/>
  </r>
  <r>
    <n v="1462"/>
    <n v="25"/>
    <s v="Feminino"/>
    <s v="Montagem"/>
    <s v="Operador"/>
    <s v="2º Turno"/>
    <x v="2"/>
    <s v="Não"/>
    <x v="2"/>
    <d v="2025-08-26T00:00:00"/>
    <d v="2025-08-01T00:00:00"/>
    <s v="ter"/>
    <x v="9"/>
    <x v="1"/>
    <m/>
    <s v="146245895"/>
  </r>
  <r>
    <n v="1462"/>
    <n v="25"/>
    <s v="Feminino"/>
    <s v="Montagem"/>
    <s v="Operador"/>
    <s v="2º Turno"/>
    <x v="2"/>
    <s v="Não"/>
    <x v="2"/>
    <d v="2025-10-07T00:00:00"/>
    <d v="2025-10-01T00:00:00"/>
    <s v="ter"/>
    <x v="11"/>
    <x v="1"/>
    <m/>
    <s v="146245937"/>
  </r>
  <r>
    <n v="1462"/>
    <n v="25"/>
    <s v="Feminino"/>
    <s v="Montagem"/>
    <s v="Operador"/>
    <s v="2º Turno"/>
    <x v="4"/>
    <s v="Não"/>
    <x v="2"/>
    <d v="2025-11-28T00:00:00"/>
    <d v="2025-11-01T00:00:00"/>
    <s v="sex"/>
    <x v="10"/>
    <x v="1"/>
    <m/>
    <s v="146245989"/>
  </r>
  <r>
    <n v="1462"/>
    <n v="25"/>
    <s v="Feminino"/>
    <s v="Montagem"/>
    <s v="Operador"/>
    <s v="2º Turno"/>
    <x v="3"/>
    <s v="Não"/>
    <x v="2"/>
    <d v="2026-03-30T00:00:00"/>
    <d v="2026-03-01T00:00:00"/>
    <s v="seg"/>
    <x v="4"/>
    <x v="0"/>
    <m/>
    <s v="146246111"/>
  </r>
  <r>
    <n v="1462"/>
    <n v="25"/>
    <s v="Feminino"/>
    <s v="Montagem"/>
    <s v="Operador"/>
    <s v="2º Turno"/>
    <x v="3"/>
    <s v="Não"/>
    <x v="2"/>
    <d v="2026-04-30T00:00:00"/>
    <d v="2026-04-01T00:00:00"/>
    <s v="qui"/>
    <x v="2"/>
    <x v="0"/>
    <m/>
    <s v="146246142"/>
  </r>
  <r>
    <n v="1463"/>
    <n v="21"/>
    <s v="Feminino"/>
    <s v="Soldagem"/>
    <s v="Operador"/>
    <s v="3º Turno"/>
    <x v="3"/>
    <s v="Não"/>
    <x v="2"/>
    <d v="2025-06-09T00:00:00"/>
    <d v="2025-06-01T00:00:00"/>
    <s v="seg"/>
    <x v="1"/>
    <x v="1"/>
    <m/>
    <s v="146345817"/>
  </r>
  <r>
    <n v="1463"/>
    <n v="21"/>
    <s v="Feminino"/>
    <s v="Soldagem"/>
    <s v="Operador"/>
    <s v="3º Turno"/>
    <x v="3"/>
    <s v="Não"/>
    <x v="2"/>
    <d v="2025-12-16T00:00:00"/>
    <d v="2025-12-01T00:00:00"/>
    <s v="ter"/>
    <x v="8"/>
    <x v="1"/>
    <m/>
    <s v="146346007"/>
  </r>
  <r>
    <n v="1463"/>
    <n v="21"/>
    <s v="Feminino"/>
    <s v="Soldagem"/>
    <s v="Operador"/>
    <s v="3º Turno"/>
    <x v="0"/>
    <s v="Não"/>
    <x v="2"/>
    <d v="2026-02-22T00:00:00"/>
    <d v="2026-02-01T00:00:00"/>
    <s v="dom"/>
    <x v="3"/>
    <x v="0"/>
    <m/>
    <s v="146346075"/>
  </r>
  <r>
    <n v="1463"/>
    <n v="21"/>
    <s v="Feminino"/>
    <s v="Soldagem"/>
    <s v="Operador"/>
    <s v="3º Turno"/>
    <x v="0"/>
    <s v="Não"/>
    <x v="2"/>
    <d v="2026-03-27T00:00:00"/>
    <d v="2026-03-01T00:00:00"/>
    <s v="sex"/>
    <x v="4"/>
    <x v="0"/>
    <m/>
    <s v="146346108"/>
  </r>
  <r>
    <n v="1463"/>
    <n v="21"/>
    <s v="Feminino"/>
    <s v="Soldagem"/>
    <s v="Operador"/>
    <s v="3º Turno"/>
    <x v="0"/>
    <s v="Não"/>
    <x v="2"/>
    <d v="2026-05-14T00:00:00"/>
    <d v="2026-05-01T00:00:00"/>
    <s v="qui"/>
    <x v="0"/>
    <x v="0"/>
    <m/>
    <s v="146346156"/>
  </r>
  <r>
    <n v="1466"/>
    <n v="27"/>
    <s v="Masculino"/>
    <s v="Montagem"/>
    <s v="Operador"/>
    <s v="3º Turno"/>
    <x v="4"/>
    <s v="Não"/>
    <x v="2"/>
    <d v="2025-04-10T00:00:00"/>
    <d v="2025-04-01T00:00:00"/>
    <s v="qui"/>
    <x v="2"/>
    <x v="1"/>
    <m/>
    <s v="146645757"/>
  </r>
  <r>
    <n v="1466"/>
    <n v="27"/>
    <s v="Masculino"/>
    <s v="Montagem"/>
    <s v="Operador"/>
    <s v="3º Turno"/>
    <x v="4"/>
    <s v="Não"/>
    <x v="2"/>
    <d v="2025-06-09T00:00:00"/>
    <d v="2025-06-01T00:00:00"/>
    <s v="seg"/>
    <x v="1"/>
    <x v="1"/>
    <m/>
    <s v="146645817"/>
  </r>
  <r>
    <n v="1466"/>
    <n v="27"/>
    <s v="Masculino"/>
    <s v="Montagem"/>
    <s v="Operador"/>
    <s v="3º Turno"/>
    <x v="4"/>
    <s v="Não"/>
    <x v="2"/>
    <d v="2025-06-18T00:00:00"/>
    <d v="2025-06-01T00:00:00"/>
    <s v="qua"/>
    <x v="1"/>
    <x v="1"/>
    <m/>
    <s v="146645826"/>
  </r>
  <r>
    <n v="1466"/>
    <n v="27"/>
    <s v="Masculino"/>
    <s v="Montagem"/>
    <s v="Operador"/>
    <s v="3º Turno"/>
    <x v="4"/>
    <s v="Não"/>
    <x v="2"/>
    <d v="2025-09-20T00:00:00"/>
    <d v="2025-09-01T00:00:00"/>
    <s v="sáb"/>
    <x v="7"/>
    <x v="1"/>
    <m/>
    <s v="146645920"/>
  </r>
  <r>
    <n v="1466"/>
    <n v="27"/>
    <s v="Masculino"/>
    <s v="Montagem"/>
    <s v="Operador"/>
    <s v="3º Turno"/>
    <x v="4"/>
    <s v="Não"/>
    <x v="2"/>
    <d v="2025-11-08T00:00:00"/>
    <d v="2025-11-01T00:00:00"/>
    <s v="sáb"/>
    <x v="10"/>
    <x v="1"/>
    <m/>
    <s v="146645969"/>
  </r>
  <r>
    <n v="1466"/>
    <n v="27"/>
    <s v="Masculino"/>
    <s v="Montagem"/>
    <s v="Operador"/>
    <s v="3º Turno"/>
    <x v="0"/>
    <s v="Não"/>
    <x v="2"/>
    <d v="2026-02-05T00:00:00"/>
    <d v="2026-02-01T00:00:00"/>
    <s v="qui"/>
    <x v="3"/>
    <x v="0"/>
    <m/>
    <s v="146646058"/>
  </r>
  <r>
    <n v="1466"/>
    <n v="27"/>
    <s v="Masculino"/>
    <s v="Montagem"/>
    <s v="Operador"/>
    <s v="3º Turno"/>
    <x v="4"/>
    <s v="Não"/>
    <x v="2"/>
    <d v="2026-04-10T00:00:00"/>
    <d v="2026-04-01T00:00:00"/>
    <s v="qui"/>
    <x v="2"/>
    <x v="1"/>
    <m/>
    <s v="146646122"/>
  </r>
  <r>
    <n v="1467"/>
    <n v="35"/>
    <s v="Masculino"/>
    <s v="Montagem"/>
    <s v="Operador"/>
    <s v="3º Turno"/>
    <x v="5"/>
    <s v="Sim"/>
    <x v="0"/>
    <d v="2025-04-15T00:00:00"/>
    <d v="2025-04-01T00:00:00"/>
    <s v="ter"/>
    <x v="2"/>
    <x v="1"/>
    <d v="2026-02-16T00:00:00"/>
    <s v="146745762"/>
  </r>
  <r>
    <n v="1467"/>
    <n v="35"/>
    <s v="Masculino"/>
    <s v="Montagem"/>
    <s v="Operador"/>
    <s v="3º Turno"/>
    <x v="2"/>
    <s v="Sim"/>
    <x v="0"/>
    <d v="2025-04-22T00:00:00"/>
    <d v="2025-04-01T00:00:00"/>
    <s v="ter"/>
    <x v="2"/>
    <x v="1"/>
    <d v="2026-02-16T00:00:00"/>
    <s v="146745769"/>
  </r>
  <r>
    <n v="1467"/>
    <n v="35"/>
    <s v="Masculino"/>
    <s v="Montagem"/>
    <s v="Operador"/>
    <s v="3º Turno"/>
    <x v="0"/>
    <s v="Sim"/>
    <x v="0"/>
    <d v="2025-09-17T00:00:00"/>
    <d v="2025-09-01T00:00:00"/>
    <s v="qua"/>
    <x v="7"/>
    <x v="1"/>
    <d v="2026-02-16T00:00:00"/>
    <s v="146745917"/>
  </r>
  <r>
    <n v="1467"/>
    <n v="35"/>
    <s v="Masculino"/>
    <s v="Montagem"/>
    <s v="Operador"/>
    <s v="3º Turno"/>
    <x v="0"/>
    <s v="Sim"/>
    <x v="0"/>
    <d v="2025-10-22T00:00:00"/>
    <d v="2025-10-01T00:00:00"/>
    <s v="qua"/>
    <x v="11"/>
    <x v="1"/>
    <d v="2026-02-16T00:00:00"/>
    <s v="146745952"/>
  </r>
  <r>
    <n v="1467"/>
    <n v="35"/>
    <s v="Masculino"/>
    <s v="Montagem"/>
    <s v="Operador"/>
    <s v="3º Turno"/>
    <x v="0"/>
    <s v="Sim"/>
    <x v="0"/>
    <d v="2025-10-30T00:00:00"/>
    <d v="2025-10-01T00:00:00"/>
    <s v="qui"/>
    <x v="11"/>
    <x v="1"/>
    <d v="2026-02-16T00:00:00"/>
    <s v="146745960"/>
  </r>
  <r>
    <n v="1467"/>
    <n v="35"/>
    <s v="Masculino"/>
    <s v="Montagem"/>
    <s v="Operador"/>
    <s v="3º Turno"/>
    <x v="0"/>
    <s v="Sim"/>
    <x v="0"/>
    <d v="2026-06-05T00:00:00"/>
    <d v="2026-01-01T00:00:00"/>
    <s v="sex"/>
    <x v="1"/>
    <x v="0"/>
    <d v="2026-02-16T00:00:00"/>
    <s v="146746178"/>
  </r>
  <r>
    <n v="1468"/>
    <n v="44"/>
    <s v="Masculino"/>
    <s v="Pintura"/>
    <s v="Operador"/>
    <s v="1º Turno"/>
    <x v="2"/>
    <s v="Não"/>
    <x v="1"/>
    <d v="2025-11-16T00:00:00"/>
    <d v="2025-11-01T00:00:00"/>
    <s v="dom"/>
    <x v="10"/>
    <x v="1"/>
    <m/>
    <s v="146845977"/>
  </r>
  <r>
    <n v="1468"/>
    <n v="44"/>
    <s v="Masculino"/>
    <s v="Pintura"/>
    <s v="Operador"/>
    <s v="1º Turno"/>
    <x v="1"/>
    <s v="Não"/>
    <x v="1"/>
    <d v="2025-12-27T00:00:00"/>
    <d v="2025-12-01T00:00:00"/>
    <s v="sáb"/>
    <x v="8"/>
    <x v="1"/>
    <m/>
    <s v="146846018"/>
  </r>
  <r>
    <n v="1468"/>
    <n v="44"/>
    <s v="Masculino"/>
    <s v="Pintura"/>
    <s v="Operador"/>
    <s v="1º Turno"/>
    <x v="2"/>
    <s v="Não"/>
    <x v="1"/>
    <d v="2026-06-28T00:00:00"/>
    <d v="2026-01-01T00:00:00"/>
    <s v="dom"/>
    <x v="1"/>
    <x v="0"/>
    <m/>
    <s v="146846201"/>
  </r>
  <r>
    <n v="1468"/>
    <n v="44"/>
    <s v="Masculino"/>
    <s v="Pintura"/>
    <s v="Operador"/>
    <s v="1º Turno"/>
    <x v="1"/>
    <s v="Não"/>
    <x v="1"/>
    <d v="2026-02-27T00:00:00"/>
    <d v="2026-02-01T00:00:00"/>
    <s v="sex"/>
    <x v="3"/>
    <x v="0"/>
    <m/>
    <s v="146846080"/>
  </r>
  <r>
    <n v="1468"/>
    <n v="44"/>
    <s v="Masculino"/>
    <s v="Pintura"/>
    <s v="Operador"/>
    <s v="1º Turno"/>
    <x v="1"/>
    <s v="Não"/>
    <x v="1"/>
    <d v="2026-03-14T00:00:00"/>
    <d v="2026-03-01T00:00:00"/>
    <s v="sáb"/>
    <x v="4"/>
    <x v="0"/>
    <m/>
    <s v="146846095"/>
  </r>
  <r>
    <n v="1469"/>
    <n v="30"/>
    <s v="Masculino"/>
    <s v="Montagem"/>
    <s v="Operador"/>
    <s v="3º Turno"/>
    <x v="1"/>
    <s v="Não"/>
    <x v="2"/>
    <d v="2025-08-27T00:00:00"/>
    <d v="2025-08-01T00:00:00"/>
    <s v="qua"/>
    <x v="9"/>
    <x v="1"/>
    <m/>
    <s v="146945896"/>
  </r>
  <r>
    <n v="1469"/>
    <n v="30"/>
    <s v="Masculino"/>
    <s v="Montagem"/>
    <s v="Operador"/>
    <s v="3º Turno"/>
    <x v="1"/>
    <s v="Não"/>
    <x v="2"/>
    <d v="2026-03-03T00:00:00"/>
    <d v="2026-03-01T00:00:00"/>
    <s v="ter"/>
    <x v="4"/>
    <x v="0"/>
    <m/>
    <s v="146946084"/>
  </r>
  <r>
    <n v="1469"/>
    <n v="30"/>
    <s v="Masculino"/>
    <s v="Montagem"/>
    <s v="Operador"/>
    <s v="3º Turno"/>
    <x v="1"/>
    <s v="Não"/>
    <x v="2"/>
    <d v="2026-03-24T00:00:00"/>
    <d v="2026-03-01T00:00:00"/>
    <s v="ter"/>
    <x v="4"/>
    <x v="0"/>
    <m/>
    <s v="146946105"/>
  </r>
  <r>
    <n v="1469"/>
    <n v="30"/>
    <s v="Masculino"/>
    <s v="Montagem"/>
    <s v="Operador"/>
    <s v="3º Turno"/>
    <x v="1"/>
    <s v="Não"/>
    <x v="2"/>
    <d v="2026-03-25T00:00:00"/>
    <d v="2026-03-01T00:00:00"/>
    <s v="qua"/>
    <x v="4"/>
    <x v="0"/>
    <m/>
    <s v="146946106"/>
  </r>
  <r>
    <n v="1470"/>
    <n v="29"/>
    <s v="Feminino"/>
    <s v="Qualidade"/>
    <s v="Inspetor"/>
    <s v="2º Turno"/>
    <x v="0"/>
    <s v="Não"/>
    <x v="0"/>
    <d v="2025-07-25T00:00:00"/>
    <d v="2025-07-01T00:00:00"/>
    <s v="sex"/>
    <x v="6"/>
    <x v="1"/>
    <m/>
    <s v="147045863"/>
  </r>
  <r>
    <n v="1470"/>
    <n v="29"/>
    <s v="Feminino"/>
    <s v="Qualidade"/>
    <s v="Inspetor"/>
    <s v="2º Turno"/>
    <x v="0"/>
    <s v="Não"/>
    <x v="0"/>
    <d v="2025-08-02T00:00:00"/>
    <d v="2025-08-01T00:00:00"/>
    <s v="sáb"/>
    <x v="9"/>
    <x v="1"/>
    <m/>
    <s v="147045871"/>
  </r>
  <r>
    <n v="1470"/>
    <n v="29"/>
    <s v="Feminino"/>
    <s v="Qualidade"/>
    <s v="Inspetor"/>
    <s v="2º Turno"/>
    <x v="0"/>
    <s v="Não"/>
    <x v="0"/>
    <d v="2026-02-13T00:00:00"/>
    <d v="2026-02-01T00:00:00"/>
    <s v="sex"/>
    <x v="3"/>
    <x v="0"/>
    <m/>
    <s v="147046066"/>
  </r>
  <r>
    <n v="1470"/>
    <n v="29"/>
    <s v="Feminino"/>
    <s v="Qualidade"/>
    <s v="Inspetor"/>
    <s v="2º Turno"/>
    <x v="0"/>
    <s v="Não"/>
    <x v="0"/>
    <d v="2026-03-17T00:00:00"/>
    <d v="2026-03-01T00:00:00"/>
    <s v="ter"/>
    <x v="4"/>
    <x v="0"/>
    <m/>
    <s v="147046098"/>
  </r>
  <r>
    <n v="1470"/>
    <n v="29"/>
    <s v="Feminino"/>
    <s v="Qualidade"/>
    <s v="Inspetor"/>
    <s v="2º Turno"/>
    <x v="0"/>
    <s v="Não"/>
    <x v="0"/>
    <d v="2026-03-26T00:00:00"/>
    <d v="2026-03-01T00:00:00"/>
    <s v="qui"/>
    <x v="4"/>
    <x v="0"/>
    <m/>
    <s v="147046107"/>
  </r>
  <r>
    <n v="1470"/>
    <n v="29"/>
    <s v="Feminino"/>
    <s v="Qualidade"/>
    <s v="Inspetor"/>
    <s v="2º Turno"/>
    <x v="0"/>
    <s v="Não"/>
    <x v="0"/>
    <d v="2026-04-10T00:00:00"/>
    <d v="2026-04-01T00:00:00"/>
    <s v="sex"/>
    <x v="2"/>
    <x v="0"/>
    <m/>
    <s v="147046122"/>
  </r>
  <r>
    <n v="1471"/>
    <n v="52"/>
    <s v="Masculino"/>
    <s v="Logistica"/>
    <s v="Operador"/>
    <s v="1º Turno"/>
    <x v="0"/>
    <s v="Não"/>
    <x v="2"/>
    <d v="2025-06-08T00:00:00"/>
    <d v="2025-06-01T00:00:00"/>
    <s v="dom"/>
    <x v="1"/>
    <x v="1"/>
    <m/>
    <s v="147145816"/>
  </r>
  <r>
    <n v="1471"/>
    <n v="52"/>
    <s v="Masculino"/>
    <s v="Logistica"/>
    <s v="Operador"/>
    <s v="1º Turno"/>
    <x v="4"/>
    <s v="Não"/>
    <x v="2"/>
    <d v="2025-06-22T00:00:00"/>
    <d v="2025-06-01T00:00:00"/>
    <s v="dom"/>
    <x v="1"/>
    <x v="1"/>
    <m/>
    <s v="147145830"/>
  </r>
  <r>
    <n v="1471"/>
    <n v="52"/>
    <s v="Masculino"/>
    <s v="Logistica"/>
    <s v="Operador"/>
    <s v="1º Turno"/>
    <x v="0"/>
    <s v="Não"/>
    <x v="2"/>
    <d v="2025-11-27T00:00:00"/>
    <d v="2025-11-01T00:00:00"/>
    <s v="qui"/>
    <x v="10"/>
    <x v="1"/>
    <m/>
    <s v="147145988"/>
  </r>
  <r>
    <n v="1471"/>
    <n v="52"/>
    <s v="Masculino"/>
    <s v="Logistica"/>
    <s v="Operador"/>
    <s v="1º Turno"/>
    <x v="0"/>
    <s v="Não"/>
    <x v="2"/>
    <d v="2026-03-25T00:00:00"/>
    <d v="2026-03-01T00:00:00"/>
    <s v="qua"/>
    <x v="4"/>
    <x v="0"/>
    <m/>
    <s v="147146106"/>
  </r>
  <r>
    <n v="1472"/>
    <n v="34"/>
    <s v="Feminino"/>
    <s v="Montagem"/>
    <s v="Operador"/>
    <s v="2º Turno"/>
    <x v="4"/>
    <s v="Não"/>
    <x v="2"/>
    <d v="2025-05-07T00:00:00"/>
    <d v="2025-05-01T00:00:00"/>
    <s v="qua"/>
    <x v="0"/>
    <x v="1"/>
    <m/>
    <s v="147245784"/>
  </r>
  <r>
    <n v="1472"/>
    <n v="34"/>
    <s v="Feminino"/>
    <s v="Montagem"/>
    <s v="Operador"/>
    <s v="2º Turno"/>
    <x v="4"/>
    <s v="Não"/>
    <x v="2"/>
    <d v="2025-05-09T00:00:00"/>
    <d v="2025-05-01T00:00:00"/>
    <s v="sex"/>
    <x v="0"/>
    <x v="1"/>
    <m/>
    <s v="147245786"/>
  </r>
  <r>
    <n v="1472"/>
    <n v="34"/>
    <s v="Feminino"/>
    <s v="Montagem"/>
    <s v="Operador"/>
    <s v="2º Turno"/>
    <x v="4"/>
    <s v="Não"/>
    <x v="2"/>
    <d v="2025-07-10T00:00:00"/>
    <d v="2025-07-01T00:00:00"/>
    <s v="qui"/>
    <x v="6"/>
    <x v="1"/>
    <m/>
    <s v="147245848"/>
  </r>
  <r>
    <n v="1472"/>
    <n v="34"/>
    <s v="Feminino"/>
    <s v="Montagem"/>
    <s v="Operador"/>
    <s v="2º Turno"/>
    <x v="4"/>
    <s v="Não"/>
    <x v="2"/>
    <d v="2025-10-08T00:00:00"/>
    <d v="2025-10-01T00:00:00"/>
    <s v="qua"/>
    <x v="11"/>
    <x v="1"/>
    <m/>
    <s v="147245938"/>
  </r>
  <r>
    <n v="1472"/>
    <n v="34"/>
    <s v="Feminino"/>
    <s v="Montagem"/>
    <s v="Operador"/>
    <s v="2º Turno"/>
    <x v="4"/>
    <s v="Não"/>
    <x v="2"/>
    <d v="2025-10-17T00:00:00"/>
    <d v="2025-10-01T00:00:00"/>
    <s v="sex"/>
    <x v="11"/>
    <x v="1"/>
    <m/>
    <s v="147245947"/>
  </r>
  <r>
    <n v="1472"/>
    <n v="34"/>
    <s v="Feminino"/>
    <s v="Montagem"/>
    <s v="Operador"/>
    <s v="2º Turno"/>
    <x v="4"/>
    <s v="Não"/>
    <x v="2"/>
    <d v="2026-06-30T00:00:00"/>
    <d v="2026-01-01T00:00:00"/>
    <s v="ter"/>
    <x v="1"/>
    <x v="0"/>
    <m/>
    <s v="147246203"/>
  </r>
  <r>
    <n v="1472"/>
    <n v="34"/>
    <s v="Feminino"/>
    <s v="Montagem"/>
    <s v="Operador"/>
    <s v="2º Turno"/>
    <x v="4"/>
    <s v="Não"/>
    <x v="2"/>
    <d v="2026-05-07T00:00:00"/>
    <d v="2026-05-01T00:00:00"/>
    <s v="qua"/>
    <x v="0"/>
    <x v="1"/>
    <m/>
    <s v="147246149"/>
  </r>
  <r>
    <n v="1472"/>
    <n v="34"/>
    <s v="Feminino"/>
    <s v="Montagem"/>
    <s v="Operador"/>
    <s v="2º Turno"/>
    <x v="4"/>
    <s v="Não"/>
    <x v="2"/>
    <d v="2026-05-09T00:00:00"/>
    <d v="2026-05-01T00:00:00"/>
    <s v="sex"/>
    <x v="0"/>
    <x v="1"/>
    <m/>
    <s v="147246151"/>
  </r>
  <r>
    <n v="1473"/>
    <n v="50"/>
    <s v="Masculino"/>
    <s v="Montagem"/>
    <s v="Operador"/>
    <s v="3º Turno"/>
    <x v="5"/>
    <s v="Sim"/>
    <x v="2"/>
    <d v="2025-01-16T00:00:00"/>
    <d v="2025-01-01T00:00:00"/>
    <s v="qui"/>
    <x v="5"/>
    <x v="1"/>
    <d v="2025-07-22T00:00:00"/>
    <s v="147345673"/>
  </r>
  <r>
    <n v="1473"/>
    <n v="50"/>
    <s v="Masculino"/>
    <s v="Montagem"/>
    <s v="Operador"/>
    <s v="3º Turno"/>
    <x v="5"/>
    <s v="Sim"/>
    <x v="2"/>
    <d v="2025-04-01T00:00:00"/>
    <d v="2025-04-01T00:00:00"/>
    <s v="ter"/>
    <x v="2"/>
    <x v="1"/>
    <d v="2025-07-22T00:00:00"/>
    <s v="147345748"/>
  </r>
  <r>
    <n v="1473"/>
    <n v="50"/>
    <s v="Masculino"/>
    <s v="Montagem"/>
    <s v="Operador"/>
    <s v="3º Turno"/>
    <x v="2"/>
    <s v="Sim"/>
    <x v="2"/>
    <d v="2025-07-12T00:00:00"/>
    <d v="2025-07-01T00:00:00"/>
    <s v="sáb"/>
    <x v="6"/>
    <x v="1"/>
    <d v="2025-07-22T00:00:00"/>
    <s v="147345850"/>
  </r>
  <r>
    <n v="1473"/>
    <n v="50"/>
    <s v="Masculino"/>
    <s v="Montagem"/>
    <s v="Operador"/>
    <s v="3º Turno"/>
    <x v="0"/>
    <s v="Sim"/>
    <x v="2"/>
    <d v="2025-07-13T00:00:00"/>
    <d v="2025-07-01T00:00:00"/>
    <s v="dom"/>
    <x v="6"/>
    <x v="1"/>
    <d v="2025-07-22T00:00:00"/>
    <s v="147345851"/>
  </r>
  <r>
    <n v="1473"/>
    <n v="50"/>
    <s v="Masculino"/>
    <s v="Montagem"/>
    <s v="Operador"/>
    <s v="3º Turno"/>
    <x v="0"/>
    <s v="Sim"/>
    <x v="2"/>
    <d v="2025-07-14T00:00:00"/>
    <d v="2025-07-01T00:00:00"/>
    <s v="seg"/>
    <x v="6"/>
    <x v="1"/>
    <d v="2025-07-22T00:00:00"/>
    <s v="147345852"/>
  </r>
  <r>
    <n v="1473"/>
    <n v="50"/>
    <s v="Masculino"/>
    <s v="Montagem"/>
    <s v="Operador"/>
    <s v="3º Turno"/>
    <x v="0"/>
    <s v="Sim"/>
    <x v="2"/>
    <d v="2025-07-15T00:00:00"/>
    <d v="2025-07-01T00:00:00"/>
    <s v="ter"/>
    <x v="6"/>
    <x v="1"/>
    <d v="2025-07-22T00:00:00"/>
    <s v="147345853"/>
  </r>
  <r>
    <n v="1474"/>
    <n v="46"/>
    <s v="Masculino"/>
    <s v="Qualidade"/>
    <s v="Inspetor"/>
    <s v="3º Turno"/>
    <x v="3"/>
    <s v="Não"/>
    <x v="0"/>
    <d v="2025-04-24T00:00:00"/>
    <d v="2025-04-01T00:00:00"/>
    <s v="qui"/>
    <x v="2"/>
    <x v="1"/>
    <m/>
    <s v="147445771"/>
  </r>
  <r>
    <n v="1474"/>
    <n v="46"/>
    <s v="Masculino"/>
    <s v="Qualidade"/>
    <s v="Inspetor"/>
    <s v="3º Turno"/>
    <x v="3"/>
    <s v="Não"/>
    <x v="0"/>
    <d v="2025-05-06T00:00:00"/>
    <d v="2025-05-01T00:00:00"/>
    <s v="ter"/>
    <x v="0"/>
    <x v="1"/>
    <m/>
    <s v="147445783"/>
  </r>
  <r>
    <n v="1474"/>
    <n v="46"/>
    <s v="Masculino"/>
    <s v="Qualidade"/>
    <s v="Inspetor"/>
    <s v="3º Turno"/>
    <x v="0"/>
    <s v="Não"/>
    <x v="0"/>
    <d v="2025-07-24T00:00:00"/>
    <d v="2025-07-01T00:00:00"/>
    <s v="qui"/>
    <x v="6"/>
    <x v="1"/>
    <m/>
    <s v="147445862"/>
  </r>
  <r>
    <n v="1474"/>
    <n v="46"/>
    <s v="Masculino"/>
    <s v="Qualidade"/>
    <s v="Inspetor"/>
    <s v="3º Turno"/>
    <x v="3"/>
    <s v="Não"/>
    <x v="0"/>
    <d v="2025-09-25T00:00:00"/>
    <d v="2025-09-01T00:00:00"/>
    <s v="qui"/>
    <x v="7"/>
    <x v="1"/>
    <m/>
    <s v="147445925"/>
  </r>
  <r>
    <n v="1474"/>
    <n v="46"/>
    <s v="Masculino"/>
    <s v="Qualidade"/>
    <s v="Inspetor"/>
    <s v="3º Turno"/>
    <x v="3"/>
    <s v="Não"/>
    <x v="0"/>
    <d v="2026-02-25T00:00:00"/>
    <d v="2026-02-01T00:00:00"/>
    <s v="qua"/>
    <x v="3"/>
    <x v="0"/>
    <m/>
    <s v="147446078"/>
  </r>
  <r>
    <n v="1474"/>
    <n v="46"/>
    <s v="Masculino"/>
    <s v="Qualidade"/>
    <s v="Inspetor"/>
    <s v="3º Turno"/>
    <x v="0"/>
    <s v="Não"/>
    <x v="0"/>
    <d v="2026-03-13T00:00:00"/>
    <d v="2026-03-01T00:00:00"/>
    <s v="sex"/>
    <x v="4"/>
    <x v="0"/>
    <m/>
    <s v="147446094"/>
  </r>
  <r>
    <n v="1474"/>
    <n v="46"/>
    <s v="Masculino"/>
    <s v="Qualidade"/>
    <s v="Inspetor"/>
    <s v="3º Turno"/>
    <x v="3"/>
    <s v="Não"/>
    <x v="0"/>
    <d v="2026-04-24T00:00:00"/>
    <d v="2026-04-01T00:00:00"/>
    <s v="qui"/>
    <x v="2"/>
    <x v="1"/>
    <m/>
    <s v="147446136"/>
  </r>
  <r>
    <n v="1474"/>
    <n v="46"/>
    <s v="Masculino"/>
    <s v="Qualidade"/>
    <s v="Inspetor"/>
    <s v="3º Turno"/>
    <x v="3"/>
    <s v="Não"/>
    <x v="0"/>
    <d v="2026-05-06T00:00:00"/>
    <d v="2026-05-01T00:00:00"/>
    <s v="ter"/>
    <x v="0"/>
    <x v="1"/>
    <m/>
    <s v="147446148"/>
  </r>
  <r>
    <n v="1475"/>
    <n v="28"/>
    <s v="Masculino"/>
    <s v="Pintura"/>
    <s v="Operador"/>
    <s v="3º Turno"/>
    <x v="0"/>
    <s v="Sim"/>
    <x v="1"/>
    <d v="2025-05-18T00:00:00"/>
    <d v="2025-05-01T00:00:00"/>
    <s v="dom"/>
    <x v="0"/>
    <x v="1"/>
    <d v="2025-09-22T00:00:00"/>
    <s v="147545795"/>
  </r>
  <r>
    <n v="1475"/>
    <n v="28"/>
    <s v="Masculino"/>
    <s v="Pintura"/>
    <s v="Operador"/>
    <s v="3º Turno"/>
    <x v="0"/>
    <s v="Sim"/>
    <x v="1"/>
    <d v="2025-07-15T00:00:00"/>
    <d v="2025-07-01T00:00:00"/>
    <s v="ter"/>
    <x v="6"/>
    <x v="1"/>
    <d v="2025-09-22T00:00:00"/>
    <s v="147545853"/>
  </r>
  <r>
    <n v="1475"/>
    <n v="28"/>
    <s v="Masculino"/>
    <s v="Pintura"/>
    <s v="Operador"/>
    <s v="3º Turno"/>
    <x v="0"/>
    <s v="Sim"/>
    <x v="1"/>
    <d v="2025-08-01T00:00:00"/>
    <d v="2025-08-01T00:00:00"/>
    <s v="sex"/>
    <x v="9"/>
    <x v="1"/>
    <d v="2025-09-22T00:00:00"/>
    <s v="147545870"/>
  </r>
  <r>
    <n v="1475"/>
    <n v="28"/>
    <s v="Masculino"/>
    <s v="Pintura"/>
    <s v="Operador"/>
    <s v="3º Turno"/>
    <x v="0"/>
    <s v="Sim"/>
    <x v="1"/>
    <d v="2025-08-03T00:00:00"/>
    <d v="2025-08-01T00:00:00"/>
    <s v="dom"/>
    <x v="9"/>
    <x v="1"/>
    <d v="2025-09-22T00:00:00"/>
    <s v="147545872"/>
  </r>
  <r>
    <n v="1475"/>
    <n v="28"/>
    <s v="Masculino"/>
    <s v="Pintura"/>
    <s v="Operador"/>
    <s v="3º Turno"/>
    <x v="0"/>
    <s v="Sim"/>
    <x v="1"/>
    <d v="2025-08-04T00:00:00"/>
    <d v="2025-08-01T00:00:00"/>
    <s v="seg"/>
    <x v="9"/>
    <x v="1"/>
    <d v="2025-09-22T00:00:00"/>
    <s v="147545873"/>
  </r>
  <r>
    <n v="1475"/>
    <n v="28"/>
    <s v="Masculino"/>
    <s v="Pintura"/>
    <s v="Operador"/>
    <s v="3º Turno"/>
    <x v="0"/>
    <s v="Sim"/>
    <x v="1"/>
    <d v="2025-08-06T00:00:00"/>
    <d v="2025-08-01T00:00:00"/>
    <s v="qua"/>
    <x v="9"/>
    <x v="1"/>
    <d v="2025-09-22T00:00:00"/>
    <s v="147545875"/>
  </r>
  <r>
    <n v="1476"/>
    <n v="26"/>
    <s v="Masculino"/>
    <s v="Montagem"/>
    <s v="Operador"/>
    <s v="3º Turno"/>
    <x v="4"/>
    <s v="Não"/>
    <x v="1"/>
    <d v="2025-07-04T00:00:00"/>
    <d v="2025-07-01T00:00:00"/>
    <s v="sex"/>
    <x v="6"/>
    <x v="1"/>
    <m/>
    <s v="147645842"/>
  </r>
  <r>
    <n v="1476"/>
    <n v="26"/>
    <s v="Masculino"/>
    <s v="Montagem"/>
    <s v="Operador"/>
    <s v="3º Turno"/>
    <x v="4"/>
    <s v="Não"/>
    <x v="1"/>
    <d v="2025-12-06T00:00:00"/>
    <d v="2025-12-01T00:00:00"/>
    <s v="sáb"/>
    <x v="8"/>
    <x v="1"/>
    <m/>
    <s v="147645997"/>
  </r>
  <r>
    <n v="1476"/>
    <n v="26"/>
    <s v="Masculino"/>
    <s v="Montagem"/>
    <s v="Operador"/>
    <s v="3º Turno"/>
    <x v="4"/>
    <s v="Não"/>
    <x v="1"/>
    <d v="2026-06-07T00:00:00"/>
    <d v="2026-01-01T00:00:00"/>
    <s v="dom"/>
    <x v="1"/>
    <x v="0"/>
    <m/>
    <s v="147646180"/>
  </r>
  <r>
    <n v="1476"/>
    <n v="26"/>
    <s v="Masculino"/>
    <s v="Montagem"/>
    <s v="Operador"/>
    <s v="3º Turno"/>
    <x v="4"/>
    <s v="Não"/>
    <x v="1"/>
    <d v="2026-03-13T00:00:00"/>
    <d v="2026-03-01T00:00:00"/>
    <s v="sex"/>
    <x v="4"/>
    <x v="0"/>
    <m/>
    <s v="147646094"/>
  </r>
  <r>
    <n v="1476"/>
    <n v="26"/>
    <s v="Masculino"/>
    <s v="Montagem"/>
    <s v="Operador"/>
    <s v="3º Turno"/>
    <x v="0"/>
    <s v="Não"/>
    <x v="1"/>
    <d v="2026-03-26T00:00:00"/>
    <d v="2026-03-01T00:00:00"/>
    <s v="qui"/>
    <x v="4"/>
    <x v="0"/>
    <m/>
    <s v="147646107"/>
  </r>
  <r>
    <n v="1476"/>
    <n v="26"/>
    <s v="Masculino"/>
    <s v="Montagem"/>
    <s v="Operador"/>
    <s v="3º Turno"/>
    <x v="0"/>
    <s v="Não"/>
    <x v="1"/>
    <d v="2026-06-18T00:00:00"/>
    <d v="2026-06-01T00:00:00"/>
    <s v="qui"/>
    <x v="1"/>
    <x v="0"/>
    <m/>
    <s v="147646191"/>
  </r>
  <r>
    <n v="1477"/>
    <n v="56"/>
    <s v="Feminino"/>
    <s v="Soldagem"/>
    <s v="Operador"/>
    <s v="3º Turno"/>
    <x v="4"/>
    <s v="Não"/>
    <x v="0"/>
    <d v="2025-06-03T00:00:00"/>
    <d v="2025-06-01T00:00:00"/>
    <s v="ter"/>
    <x v="1"/>
    <x v="1"/>
    <m/>
    <s v="147745811"/>
  </r>
  <r>
    <n v="1477"/>
    <n v="56"/>
    <s v="Feminino"/>
    <s v="Soldagem"/>
    <s v="Operador"/>
    <s v="3º Turno"/>
    <x v="4"/>
    <s v="Não"/>
    <x v="0"/>
    <d v="2025-07-08T00:00:00"/>
    <d v="2025-07-01T00:00:00"/>
    <s v="ter"/>
    <x v="6"/>
    <x v="1"/>
    <m/>
    <s v="147745846"/>
  </r>
  <r>
    <n v="1477"/>
    <n v="56"/>
    <s v="Feminino"/>
    <s v="Soldagem"/>
    <s v="Operador"/>
    <s v="3º Turno"/>
    <x v="4"/>
    <s v="Não"/>
    <x v="0"/>
    <d v="2025-10-24T00:00:00"/>
    <d v="2025-10-01T00:00:00"/>
    <s v="sex"/>
    <x v="11"/>
    <x v="1"/>
    <m/>
    <s v="147745954"/>
  </r>
  <r>
    <n v="1477"/>
    <n v="56"/>
    <s v="Feminino"/>
    <s v="Soldagem"/>
    <s v="Operador"/>
    <s v="3º Turno"/>
    <x v="4"/>
    <s v="Não"/>
    <x v="0"/>
    <d v="2025-12-09T00:00:00"/>
    <d v="2025-12-01T00:00:00"/>
    <s v="ter"/>
    <x v="8"/>
    <x v="1"/>
    <m/>
    <s v="147746000"/>
  </r>
  <r>
    <n v="1477"/>
    <n v="56"/>
    <s v="Feminino"/>
    <s v="Soldagem"/>
    <s v="Operador"/>
    <s v="3º Turno"/>
    <x v="4"/>
    <s v="Não"/>
    <x v="0"/>
    <d v="2025-12-31T00:00:00"/>
    <d v="2025-12-01T00:00:00"/>
    <s v="qua"/>
    <x v="8"/>
    <x v="1"/>
    <m/>
    <s v="147746022"/>
  </r>
  <r>
    <n v="1477"/>
    <n v="56"/>
    <s v="Feminino"/>
    <s v="Soldagem"/>
    <s v="Operador"/>
    <s v="3º Turno"/>
    <x v="4"/>
    <s v="Não"/>
    <x v="0"/>
    <d v="2026-06-23T00:00:00"/>
    <d v="2026-01-01T00:00:00"/>
    <s v="ter"/>
    <x v="1"/>
    <x v="0"/>
    <m/>
    <s v="147746196"/>
  </r>
  <r>
    <n v="1478"/>
    <n v="27"/>
    <s v="Feminino"/>
    <s v="Montagem"/>
    <s v="Operador"/>
    <s v="3º Turno"/>
    <x v="0"/>
    <s v="Não"/>
    <x v="0"/>
    <d v="2025-06-26T00:00:00"/>
    <d v="2025-06-01T00:00:00"/>
    <s v="qui"/>
    <x v="1"/>
    <x v="1"/>
    <m/>
    <s v="147845834"/>
  </r>
  <r>
    <n v="1478"/>
    <n v="27"/>
    <s v="Feminino"/>
    <s v="Montagem"/>
    <s v="Operador"/>
    <s v="3º Turno"/>
    <x v="0"/>
    <s v="Não"/>
    <x v="0"/>
    <d v="2025-08-31T00:00:00"/>
    <d v="2025-08-01T00:00:00"/>
    <s v="dom"/>
    <x v="9"/>
    <x v="1"/>
    <m/>
    <s v="147845900"/>
  </r>
  <r>
    <n v="1478"/>
    <n v="27"/>
    <s v="Feminino"/>
    <s v="Montagem"/>
    <s v="Operador"/>
    <s v="3º Turno"/>
    <x v="0"/>
    <s v="Não"/>
    <x v="0"/>
    <d v="2025-11-01T00:00:00"/>
    <d v="2025-11-01T00:00:00"/>
    <s v="sáb"/>
    <x v="10"/>
    <x v="1"/>
    <m/>
    <s v="147845962"/>
  </r>
  <r>
    <n v="1478"/>
    <n v="27"/>
    <s v="Feminino"/>
    <s v="Montagem"/>
    <s v="Operador"/>
    <s v="3º Turno"/>
    <x v="0"/>
    <s v="Não"/>
    <x v="0"/>
    <d v="2025-11-09T00:00:00"/>
    <d v="2025-11-01T00:00:00"/>
    <s v="dom"/>
    <x v="10"/>
    <x v="1"/>
    <m/>
    <s v="147845970"/>
  </r>
  <r>
    <n v="1478"/>
    <n v="27"/>
    <s v="Feminino"/>
    <s v="Montagem"/>
    <s v="Operador"/>
    <s v="3º Turno"/>
    <x v="4"/>
    <s v="Não"/>
    <x v="0"/>
    <d v="2025-11-25T00:00:00"/>
    <d v="2025-11-01T00:00:00"/>
    <s v="ter"/>
    <x v="10"/>
    <x v="1"/>
    <m/>
    <s v="147845986"/>
  </r>
  <r>
    <n v="1479"/>
    <n v="47"/>
    <s v="Feminino"/>
    <s v="Soldagem"/>
    <s v="Operador"/>
    <s v="2º Turno"/>
    <x v="1"/>
    <s v="Não"/>
    <x v="2"/>
    <d v="2025-06-21T00:00:00"/>
    <d v="2025-06-01T00:00:00"/>
    <s v="sáb"/>
    <x v="1"/>
    <x v="1"/>
    <m/>
    <s v="147945829"/>
  </r>
  <r>
    <n v="1479"/>
    <n v="47"/>
    <s v="Feminino"/>
    <s v="Soldagem"/>
    <s v="Operador"/>
    <s v="2º Turno"/>
    <x v="2"/>
    <s v="Não"/>
    <x v="2"/>
    <d v="2025-08-21T00:00:00"/>
    <d v="2025-08-01T00:00:00"/>
    <s v="qui"/>
    <x v="9"/>
    <x v="1"/>
    <m/>
    <s v="147945890"/>
  </r>
  <r>
    <n v="1479"/>
    <n v="47"/>
    <s v="Feminino"/>
    <s v="Soldagem"/>
    <s v="Operador"/>
    <s v="2º Turno"/>
    <x v="0"/>
    <s v="Não"/>
    <x v="2"/>
    <d v="2025-10-16T00:00:00"/>
    <d v="2025-10-01T00:00:00"/>
    <s v="qui"/>
    <x v="11"/>
    <x v="1"/>
    <m/>
    <s v="147945946"/>
  </r>
  <r>
    <n v="1479"/>
    <n v="47"/>
    <s v="Feminino"/>
    <s v="Soldagem"/>
    <s v="Operador"/>
    <s v="2º Turno"/>
    <x v="2"/>
    <s v="Não"/>
    <x v="2"/>
    <d v="2025-11-12T00:00:00"/>
    <d v="2025-11-01T00:00:00"/>
    <s v="qua"/>
    <x v="10"/>
    <x v="1"/>
    <m/>
    <s v="147945973"/>
  </r>
  <r>
    <n v="1479"/>
    <n v="47"/>
    <s v="Feminino"/>
    <s v="Soldagem"/>
    <s v="Operador"/>
    <s v="2º Turno"/>
    <x v="1"/>
    <s v="Não"/>
    <x v="2"/>
    <d v="2026-06-22T00:00:00"/>
    <d v="2026-01-01T00:00:00"/>
    <s v="seg"/>
    <x v="1"/>
    <x v="0"/>
    <m/>
    <s v="147946195"/>
  </r>
  <r>
    <n v="1479"/>
    <n v="47"/>
    <s v="Feminino"/>
    <s v="Soldagem"/>
    <s v="Operador"/>
    <s v="2º Turno"/>
    <x v="2"/>
    <s v="Não"/>
    <x v="2"/>
    <d v="2026-02-11T00:00:00"/>
    <d v="2026-02-01T00:00:00"/>
    <s v="qua"/>
    <x v="3"/>
    <x v="0"/>
    <m/>
    <s v="147946064"/>
  </r>
  <r>
    <n v="1480"/>
    <n v="18"/>
    <s v="Feminino"/>
    <s v="Soldagem"/>
    <s v="Operador"/>
    <s v="1º Turno"/>
    <x v="1"/>
    <s v="Sim"/>
    <x v="0"/>
    <d v="2025-05-25T00:00:00"/>
    <d v="2025-05-01T00:00:00"/>
    <s v="dom"/>
    <x v="0"/>
    <x v="1"/>
    <d v="2026-06-22T00:00:00"/>
    <s v="148045802"/>
  </r>
  <r>
    <n v="1480"/>
    <n v="18"/>
    <s v="Feminino"/>
    <s v="Soldagem"/>
    <s v="Operador"/>
    <s v="1º Turno"/>
    <x v="1"/>
    <s v="Sim"/>
    <x v="0"/>
    <d v="2025-09-20T00:00:00"/>
    <d v="2025-09-01T00:00:00"/>
    <s v="sáb"/>
    <x v="7"/>
    <x v="1"/>
    <d v="2026-06-22T00:00:00"/>
    <s v="148045920"/>
  </r>
  <r>
    <n v="1480"/>
    <n v="18"/>
    <s v="Feminino"/>
    <s v="Soldagem"/>
    <s v="Operador"/>
    <s v="1º Turno"/>
    <x v="1"/>
    <s v="Sim"/>
    <x v="0"/>
    <d v="2025-09-21T00:00:00"/>
    <d v="2025-09-01T00:00:00"/>
    <s v="dom"/>
    <x v="7"/>
    <x v="1"/>
    <d v="2026-06-22T00:00:00"/>
    <s v="148045921"/>
  </r>
  <r>
    <n v="1480"/>
    <n v="18"/>
    <s v="Feminino"/>
    <s v="Soldagem"/>
    <s v="Operador"/>
    <s v="1º Turno"/>
    <x v="1"/>
    <s v="Sim"/>
    <x v="0"/>
    <d v="2025-10-26T00:00:00"/>
    <d v="2025-10-01T00:00:00"/>
    <s v="dom"/>
    <x v="11"/>
    <x v="1"/>
    <d v="2026-06-22T00:00:00"/>
    <s v="148045956"/>
  </r>
  <r>
    <n v="1480"/>
    <n v="18"/>
    <s v="Feminino"/>
    <s v="Soldagem"/>
    <s v="Operador"/>
    <s v="1º Turno"/>
    <x v="1"/>
    <s v="Sim"/>
    <x v="0"/>
    <d v="2026-06-30T00:00:00"/>
    <d v="2026-01-01T00:00:00"/>
    <s v="ter"/>
    <x v="1"/>
    <x v="0"/>
    <d v="2026-06-22T00:00:00"/>
    <s v="148046203"/>
  </r>
  <r>
    <n v="1480"/>
    <n v="18"/>
    <s v="Feminino"/>
    <s v="Soldagem"/>
    <s v="Operador"/>
    <s v="1º Turno"/>
    <x v="1"/>
    <s v="Sim"/>
    <x v="0"/>
    <d v="2026-03-28T00:00:00"/>
    <d v="2026-03-01T00:00:00"/>
    <s v="sáb"/>
    <x v="4"/>
    <x v="0"/>
    <d v="2026-06-22T00:00:00"/>
    <s v="148046109"/>
  </r>
  <r>
    <n v="1482"/>
    <n v="52"/>
    <s v="Feminino"/>
    <s v="Pintura"/>
    <s v="Operador"/>
    <s v="2º Turno"/>
    <x v="0"/>
    <s v="Não"/>
    <x v="1"/>
    <d v="2025-06-23T00:00:00"/>
    <d v="2025-06-01T00:00:00"/>
    <s v="seg"/>
    <x v="1"/>
    <x v="1"/>
    <m/>
    <s v="148245831"/>
  </r>
  <r>
    <n v="1482"/>
    <n v="52"/>
    <s v="Feminino"/>
    <s v="Pintura"/>
    <s v="Operador"/>
    <s v="2º Turno"/>
    <x v="0"/>
    <s v="Não"/>
    <x v="1"/>
    <d v="2025-09-06T00:00:00"/>
    <d v="2025-09-01T00:00:00"/>
    <s v="sáb"/>
    <x v="7"/>
    <x v="1"/>
    <m/>
    <s v="148245906"/>
  </r>
  <r>
    <n v="1482"/>
    <n v="52"/>
    <s v="Feminino"/>
    <s v="Pintura"/>
    <s v="Operador"/>
    <s v="2º Turno"/>
    <x v="0"/>
    <s v="Não"/>
    <x v="1"/>
    <d v="2025-10-08T00:00:00"/>
    <d v="2025-10-01T00:00:00"/>
    <s v="qua"/>
    <x v="11"/>
    <x v="1"/>
    <m/>
    <s v="148245938"/>
  </r>
  <r>
    <n v="1482"/>
    <n v="52"/>
    <s v="Feminino"/>
    <s v="Pintura"/>
    <s v="Operador"/>
    <s v="2º Turno"/>
    <x v="0"/>
    <s v="Não"/>
    <x v="1"/>
    <d v="2025-11-10T00:00:00"/>
    <d v="2025-11-01T00:00:00"/>
    <s v="seg"/>
    <x v="10"/>
    <x v="1"/>
    <m/>
    <s v="148245971"/>
  </r>
  <r>
    <n v="1482"/>
    <n v="52"/>
    <s v="Feminino"/>
    <s v="Pintura"/>
    <s v="Operador"/>
    <s v="2º Turno"/>
    <x v="0"/>
    <s v="Não"/>
    <x v="1"/>
    <d v="2025-12-15T00:00:00"/>
    <d v="2025-12-01T00:00:00"/>
    <s v="seg"/>
    <x v="8"/>
    <x v="1"/>
    <m/>
    <s v="148246006"/>
  </r>
  <r>
    <n v="1484"/>
    <n v="19"/>
    <s v="Feminino"/>
    <s v="Montagem"/>
    <s v="Operador"/>
    <s v="1º Turno"/>
    <x v="4"/>
    <s v="Não"/>
    <x v="0"/>
    <d v="2025-04-29T00:00:00"/>
    <d v="2025-04-01T00:00:00"/>
    <s v="ter"/>
    <x v="2"/>
    <x v="1"/>
    <m/>
    <s v="148445776"/>
  </r>
  <r>
    <n v="1484"/>
    <n v="19"/>
    <s v="Feminino"/>
    <s v="Montagem"/>
    <s v="Operador"/>
    <s v="1º Turno"/>
    <x v="4"/>
    <s v="Não"/>
    <x v="0"/>
    <d v="2025-05-06T00:00:00"/>
    <d v="2025-05-01T00:00:00"/>
    <s v="ter"/>
    <x v="0"/>
    <x v="1"/>
    <m/>
    <s v="148445783"/>
  </r>
  <r>
    <n v="1484"/>
    <n v="19"/>
    <s v="Feminino"/>
    <s v="Montagem"/>
    <s v="Operador"/>
    <s v="1º Turno"/>
    <x v="4"/>
    <s v="Não"/>
    <x v="0"/>
    <d v="2025-07-27T00:00:00"/>
    <d v="2025-07-01T00:00:00"/>
    <s v="dom"/>
    <x v="6"/>
    <x v="1"/>
    <m/>
    <s v="148445865"/>
  </r>
  <r>
    <n v="1484"/>
    <n v="19"/>
    <s v="Feminino"/>
    <s v="Montagem"/>
    <s v="Operador"/>
    <s v="1º Turno"/>
    <x v="4"/>
    <s v="Não"/>
    <x v="0"/>
    <d v="2025-08-24T00:00:00"/>
    <d v="2025-08-01T00:00:00"/>
    <s v="dom"/>
    <x v="9"/>
    <x v="1"/>
    <m/>
    <s v="148445893"/>
  </r>
  <r>
    <n v="1484"/>
    <n v="19"/>
    <s v="Feminino"/>
    <s v="Montagem"/>
    <s v="Operador"/>
    <s v="1º Turno"/>
    <x v="4"/>
    <s v="Não"/>
    <x v="0"/>
    <d v="2025-11-22T00:00:00"/>
    <d v="2025-11-01T00:00:00"/>
    <s v="sáb"/>
    <x v="10"/>
    <x v="1"/>
    <m/>
    <s v="148445983"/>
  </r>
  <r>
    <n v="1484"/>
    <n v="19"/>
    <s v="Feminino"/>
    <s v="Montagem"/>
    <s v="Operador"/>
    <s v="1º Turno"/>
    <x v="4"/>
    <s v="Não"/>
    <x v="0"/>
    <d v="2026-06-12T00:00:00"/>
    <d v="2026-01-01T00:00:00"/>
    <s v="sex"/>
    <x v="1"/>
    <x v="0"/>
    <m/>
    <s v="148446185"/>
  </r>
  <r>
    <n v="1484"/>
    <n v="19"/>
    <s v="Feminino"/>
    <s v="Montagem"/>
    <s v="Operador"/>
    <s v="1º Turno"/>
    <x v="4"/>
    <s v="Não"/>
    <x v="0"/>
    <d v="2026-04-29T00:00:00"/>
    <d v="2026-04-01T00:00:00"/>
    <s v="ter"/>
    <x v="2"/>
    <x v="1"/>
    <m/>
    <s v="148446141"/>
  </r>
  <r>
    <n v="1484"/>
    <n v="19"/>
    <s v="Feminino"/>
    <s v="Montagem"/>
    <s v="Operador"/>
    <s v="1º Turno"/>
    <x v="4"/>
    <s v="Não"/>
    <x v="0"/>
    <d v="2026-05-06T00:00:00"/>
    <d v="2026-05-01T00:00:00"/>
    <s v="ter"/>
    <x v="0"/>
    <x v="1"/>
    <m/>
    <s v="148446148"/>
  </r>
  <r>
    <n v="1486"/>
    <n v="27"/>
    <s v="Feminino"/>
    <s v="Soldagem"/>
    <s v="Operador"/>
    <s v="2º Turno"/>
    <x v="0"/>
    <s v="Não"/>
    <x v="0"/>
    <d v="2025-07-06T00:00:00"/>
    <d v="2025-07-01T00:00:00"/>
    <s v="dom"/>
    <x v="6"/>
    <x v="1"/>
    <m/>
    <s v="148645844"/>
  </r>
  <r>
    <n v="1486"/>
    <n v="27"/>
    <s v="Feminino"/>
    <s v="Soldagem"/>
    <s v="Operador"/>
    <s v="2º Turno"/>
    <x v="0"/>
    <s v="Não"/>
    <x v="0"/>
    <d v="2025-07-16T00:00:00"/>
    <d v="2025-07-01T00:00:00"/>
    <s v="qua"/>
    <x v="6"/>
    <x v="1"/>
    <m/>
    <s v="148645854"/>
  </r>
  <r>
    <n v="1486"/>
    <n v="27"/>
    <s v="Feminino"/>
    <s v="Soldagem"/>
    <s v="Operador"/>
    <s v="2º Turno"/>
    <x v="0"/>
    <s v="Não"/>
    <x v="0"/>
    <d v="2025-12-08T00:00:00"/>
    <d v="2025-12-01T00:00:00"/>
    <s v="seg"/>
    <x v="8"/>
    <x v="1"/>
    <m/>
    <s v="148645999"/>
  </r>
  <r>
    <n v="1486"/>
    <n v="27"/>
    <s v="Feminino"/>
    <s v="Soldagem"/>
    <s v="Operador"/>
    <s v="2º Turno"/>
    <x v="0"/>
    <s v="Não"/>
    <x v="0"/>
    <d v="2026-02-10T00:00:00"/>
    <d v="2026-02-01T00:00:00"/>
    <s v="ter"/>
    <x v="3"/>
    <x v="0"/>
    <m/>
    <s v="148646063"/>
  </r>
  <r>
    <n v="1486"/>
    <n v="27"/>
    <s v="Feminino"/>
    <s v="Soldagem"/>
    <s v="Operador"/>
    <s v="2º Turno"/>
    <x v="0"/>
    <s v="Não"/>
    <x v="0"/>
    <d v="2026-02-27T00:00:00"/>
    <d v="2026-02-01T00:00:00"/>
    <s v="sex"/>
    <x v="3"/>
    <x v="0"/>
    <m/>
    <s v="148646080"/>
  </r>
  <r>
    <n v="1487"/>
    <n v="21"/>
    <s v="Masculino"/>
    <s v="Qualidade"/>
    <s v="Inspetor"/>
    <s v="3º Turno"/>
    <x v="0"/>
    <s v="Não"/>
    <x v="2"/>
    <d v="2025-09-23T00:00:00"/>
    <d v="2025-09-01T00:00:00"/>
    <s v="ter"/>
    <x v="7"/>
    <x v="1"/>
    <m/>
    <s v="148745923"/>
  </r>
  <r>
    <n v="1487"/>
    <n v="21"/>
    <s v="Masculino"/>
    <s v="Qualidade"/>
    <s v="Inspetor"/>
    <s v="3º Turno"/>
    <x v="0"/>
    <s v="Não"/>
    <x v="2"/>
    <d v="2025-11-27T00:00:00"/>
    <d v="2025-11-01T00:00:00"/>
    <s v="qui"/>
    <x v="10"/>
    <x v="1"/>
    <m/>
    <s v="148745988"/>
  </r>
  <r>
    <n v="1487"/>
    <n v="21"/>
    <s v="Masculino"/>
    <s v="Qualidade"/>
    <s v="Inspetor"/>
    <s v="3º Turno"/>
    <x v="4"/>
    <s v="Não"/>
    <x v="2"/>
    <d v="2026-05-03T00:00:00"/>
    <d v="2026-05-01T00:00:00"/>
    <s v="sáb"/>
    <x v="0"/>
    <x v="1"/>
    <m/>
    <s v="148746145"/>
  </r>
  <r>
    <n v="1488"/>
    <n v="32"/>
    <s v="Masculino"/>
    <s v="Logistica"/>
    <s v="Operador"/>
    <s v="1º Turno"/>
    <x v="4"/>
    <s v="Não"/>
    <x v="0"/>
    <d v="2025-08-04T00:00:00"/>
    <d v="2025-08-01T00:00:00"/>
    <s v="seg"/>
    <x v="9"/>
    <x v="1"/>
    <m/>
    <s v="148845873"/>
  </r>
  <r>
    <n v="1488"/>
    <n v="32"/>
    <s v="Masculino"/>
    <s v="Logistica"/>
    <s v="Operador"/>
    <s v="1º Turno"/>
    <x v="4"/>
    <s v="Não"/>
    <x v="0"/>
    <d v="2025-08-13T00:00:00"/>
    <d v="2025-08-01T00:00:00"/>
    <s v="qua"/>
    <x v="9"/>
    <x v="1"/>
    <m/>
    <s v="148845882"/>
  </r>
  <r>
    <n v="1488"/>
    <n v="32"/>
    <s v="Masculino"/>
    <s v="Logistica"/>
    <s v="Operador"/>
    <s v="1º Turno"/>
    <x v="4"/>
    <s v="Não"/>
    <x v="0"/>
    <d v="2025-09-03T00:00:00"/>
    <d v="2025-09-01T00:00:00"/>
    <s v="qua"/>
    <x v="7"/>
    <x v="1"/>
    <m/>
    <s v="148845903"/>
  </r>
  <r>
    <n v="1488"/>
    <n v="32"/>
    <s v="Masculino"/>
    <s v="Logistica"/>
    <s v="Operador"/>
    <s v="1º Turno"/>
    <x v="4"/>
    <s v="Não"/>
    <x v="0"/>
    <d v="2025-10-16T00:00:00"/>
    <d v="2025-10-01T00:00:00"/>
    <s v="qui"/>
    <x v="11"/>
    <x v="1"/>
    <m/>
    <s v="148845946"/>
  </r>
  <r>
    <n v="1488"/>
    <n v="32"/>
    <s v="Masculino"/>
    <s v="Logistica"/>
    <s v="Operador"/>
    <s v="1º Turno"/>
    <x v="4"/>
    <s v="Não"/>
    <x v="0"/>
    <d v="2025-12-01T00:00:00"/>
    <d v="2025-12-01T00:00:00"/>
    <s v="seg"/>
    <x v="8"/>
    <x v="1"/>
    <m/>
    <s v="148845992"/>
  </r>
  <r>
    <n v="1488"/>
    <n v="32"/>
    <s v="Masculino"/>
    <s v="Logistica"/>
    <s v="Operador"/>
    <s v="1º Turno"/>
    <x v="4"/>
    <s v="Não"/>
    <x v="0"/>
    <d v="2026-06-08T00:00:00"/>
    <d v="2026-01-01T00:00:00"/>
    <s v="seg"/>
    <x v="1"/>
    <x v="0"/>
    <m/>
    <s v="148846181"/>
  </r>
  <r>
    <n v="1490"/>
    <n v="56"/>
    <s v="Feminino"/>
    <s v="Logistica"/>
    <s v="Operador"/>
    <s v="1º Turno"/>
    <x v="5"/>
    <s v="Sim"/>
    <x v="0"/>
    <d v="2025-02-12T00:00:00"/>
    <d v="2025-02-01T00:00:00"/>
    <s v="qua"/>
    <x v="3"/>
    <x v="1"/>
    <d v="2025-04-06T00:00:00"/>
    <s v="149045700"/>
  </r>
  <r>
    <n v="1490"/>
    <n v="56"/>
    <s v="Feminino"/>
    <s v="Logistica"/>
    <s v="Operador"/>
    <s v="1º Turno"/>
    <x v="5"/>
    <s v="Sim"/>
    <x v="0"/>
    <d v="2025-03-17T00:00:00"/>
    <d v="2025-03-01T00:00:00"/>
    <s v="seg"/>
    <x v="4"/>
    <x v="1"/>
    <d v="2025-04-06T00:00:00"/>
    <s v="149045733"/>
  </r>
  <r>
    <n v="1490"/>
    <n v="56"/>
    <s v="Feminino"/>
    <s v="Logistica"/>
    <s v="Operador"/>
    <s v="1º Turno"/>
    <x v="0"/>
    <s v="Sim"/>
    <x v="0"/>
    <d v="2025-04-02T00:00:00"/>
    <d v="2025-04-01T00:00:00"/>
    <s v="qua"/>
    <x v="2"/>
    <x v="1"/>
    <d v="2025-04-06T00:00:00"/>
    <s v="149045749"/>
  </r>
  <r>
    <n v="1490"/>
    <n v="56"/>
    <s v="Feminino"/>
    <s v="Logistica"/>
    <s v="Operador"/>
    <s v="1º Turno"/>
    <x v="5"/>
    <s v="Sim"/>
    <x v="0"/>
    <d v="2025-04-03T00:00:00"/>
    <d v="2025-04-01T00:00:00"/>
    <s v="qui"/>
    <x v="2"/>
    <x v="1"/>
    <d v="2025-04-06T00:00:00"/>
    <s v="149045750"/>
  </r>
  <r>
    <n v="1490"/>
    <n v="56"/>
    <s v="Feminino"/>
    <s v="Logistica"/>
    <s v="Operador"/>
    <s v="1º Turno"/>
    <x v="5"/>
    <s v="Sim"/>
    <x v="0"/>
    <d v="2025-04-04T00:00:00"/>
    <d v="2025-04-01T00:00:00"/>
    <s v="sex"/>
    <x v="2"/>
    <x v="1"/>
    <d v="2025-04-06T00:00:00"/>
    <s v="149045751"/>
  </r>
  <r>
    <n v="1490"/>
    <n v="56"/>
    <s v="Feminino"/>
    <s v="Logistica"/>
    <s v="Operador"/>
    <s v="1º Turno"/>
    <x v="0"/>
    <s v="Sim"/>
    <x v="0"/>
    <d v="2025-04-05T00:00:00"/>
    <d v="2025-04-01T00:00:00"/>
    <s v="sáb"/>
    <x v="2"/>
    <x v="1"/>
    <d v="2025-04-06T00:00:00"/>
    <s v="149045752"/>
  </r>
  <r>
    <n v="1491"/>
    <n v="30"/>
    <s v="Feminino"/>
    <s v="Pintura"/>
    <s v="Operador"/>
    <s v="2º Turno"/>
    <x v="1"/>
    <s v="Não"/>
    <x v="0"/>
    <d v="2025-06-07T00:00:00"/>
    <d v="2025-06-01T00:00:00"/>
    <s v="sáb"/>
    <x v="1"/>
    <x v="1"/>
    <m/>
    <s v="149145815"/>
  </r>
  <r>
    <n v="1491"/>
    <n v="30"/>
    <s v="Feminino"/>
    <s v="Pintura"/>
    <s v="Operador"/>
    <s v="2º Turno"/>
    <x v="1"/>
    <s v="Não"/>
    <x v="0"/>
    <d v="2025-09-03T00:00:00"/>
    <d v="2025-09-01T00:00:00"/>
    <s v="qua"/>
    <x v="7"/>
    <x v="1"/>
    <m/>
    <s v="149145903"/>
  </r>
  <r>
    <n v="1491"/>
    <n v="30"/>
    <s v="Feminino"/>
    <s v="Pintura"/>
    <s v="Operador"/>
    <s v="2º Turno"/>
    <x v="1"/>
    <s v="Não"/>
    <x v="0"/>
    <d v="2025-12-07T00:00:00"/>
    <d v="2025-12-01T00:00:00"/>
    <s v="dom"/>
    <x v="8"/>
    <x v="1"/>
    <m/>
    <s v="149145998"/>
  </r>
  <r>
    <n v="1491"/>
    <n v="30"/>
    <s v="Feminino"/>
    <s v="Pintura"/>
    <s v="Operador"/>
    <s v="2º Turno"/>
    <x v="1"/>
    <s v="Não"/>
    <x v="0"/>
    <d v="2025-12-20T00:00:00"/>
    <d v="2025-12-01T00:00:00"/>
    <s v="sáb"/>
    <x v="8"/>
    <x v="1"/>
    <m/>
    <s v="149146011"/>
  </r>
  <r>
    <n v="1491"/>
    <n v="30"/>
    <s v="Feminino"/>
    <s v="Pintura"/>
    <s v="Operador"/>
    <s v="2º Turno"/>
    <x v="1"/>
    <s v="Não"/>
    <x v="0"/>
    <d v="2025-12-26T00:00:00"/>
    <d v="2025-12-01T00:00:00"/>
    <s v="sex"/>
    <x v="8"/>
    <x v="1"/>
    <m/>
    <s v="149146017"/>
  </r>
  <r>
    <n v="1493"/>
    <n v="38"/>
    <s v="Feminino"/>
    <s v="Soldagem"/>
    <s v="Operador"/>
    <s v="2º Turno"/>
    <x v="0"/>
    <s v="Sim"/>
    <x v="1"/>
    <d v="2025-02-21T00:00:00"/>
    <d v="2025-02-01T00:00:00"/>
    <s v="sex"/>
    <x v="3"/>
    <x v="1"/>
    <d v="2025-04-07T00:00:00"/>
    <s v="149345709"/>
  </r>
  <r>
    <n v="1493"/>
    <n v="38"/>
    <s v="Feminino"/>
    <s v="Soldagem"/>
    <s v="Operador"/>
    <s v="2º Turno"/>
    <x v="5"/>
    <s v="Sim"/>
    <x v="1"/>
    <d v="2025-03-28T00:00:00"/>
    <d v="2025-03-01T00:00:00"/>
    <s v="sex"/>
    <x v="4"/>
    <x v="1"/>
    <d v="2025-04-07T00:00:00"/>
    <s v="149345744"/>
  </r>
  <r>
    <n v="1493"/>
    <n v="38"/>
    <s v="Feminino"/>
    <s v="Soldagem"/>
    <s v="Operador"/>
    <s v="2º Turno"/>
    <x v="0"/>
    <s v="Sim"/>
    <x v="1"/>
    <d v="2025-03-29T00:00:00"/>
    <d v="2025-03-01T00:00:00"/>
    <s v="sáb"/>
    <x v="4"/>
    <x v="1"/>
    <d v="2025-04-07T00:00:00"/>
    <s v="149345745"/>
  </r>
  <r>
    <n v="1493"/>
    <n v="38"/>
    <s v="Feminino"/>
    <s v="Soldagem"/>
    <s v="Operador"/>
    <s v="2º Turno"/>
    <x v="0"/>
    <s v="Sim"/>
    <x v="1"/>
    <d v="2025-03-30T00:00:00"/>
    <d v="2025-03-01T00:00:00"/>
    <s v="dom"/>
    <x v="4"/>
    <x v="1"/>
    <d v="2025-04-07T00:00:00"/>
    <s v="149345746"/>
  </r>
  <r>
    <n v="1493"/>
    <n v="38"/>
    <s v="Feminino"/>
    <s v="Soldagem"/>
    <s v="Operador"/>
    <s v="2º Turno"/>
    <x v="0"/>
    <s v="Sim"/>
    <x v="1"/>
    <d v="2025-04-02T00:00:00"/>
    <d v="2025-04-01T00:00:00"/>
    <s v="qua"/>
    <x v="2"/>
    <x v="1"/>
    <d v="2025-04-07T00:00:00"/>
    <s v="149345749"/>
  </r>
  <r>
    <n v="1493"/>
    <n v="38"/>
    <s v="Feminino"/>
    <s v="Soldagem"/>
    <s v="Operador"/>
    <s v="2º Turno"/>
    <x v="5"/>
    <s v="Sim"/>
    <x v="1"/>
    <d v="2025-04-06T00:00:00"/>
    <d v="2025-04-01T00:00:00"/>
    <s v="dom"/>
    <x v="2"/>
    <x v="1"/>
    <d v="2025-04-07T00:00:00"/>
    <s v="149345753"/>
  </r>
  <r>
    <n v="1494"/>
    <n v="30"/>
    <s v="Masculino"/>
    <s v="Montagem"/>
    <s v="Operador"/>
    <s v="3º Turno"/>
    <x v="4"/>
    <s v="Não"/>
    <x v="2"/>
    <d v="2025-04-18T00:00:00"/>
    <d v="2025-04-01T00:00:00"/>
    <s v="sex"/>
    <x v="2"/>
    <x v="1"/>
    <m/>
    <s v="149445765"/>
  </r>
  <r>
    <n v="1494"/>
    <n v="30"/>
    <s v="Masculino"/>
    <s v="Montagem"/>
    <s v="Operador"/>
    <s v="3º Turno"/>
    <x v="0"/>
    <s v="Não"/>
    <x v="2"/>
    <d v="2025-09-09T00:00:00"/>
    <d v="2025-09-01T00:00:00"/>
    <s v="ter"/>
    <x v="7"/>
    <x v="1"/>
    <m/>
    <s v="149445909"/>
  </r>
  <r>
    <n v="1494"/>
    <n v="30"/>
    <s v="Masculino"/>
    <s v="Montagem"/>
    <s v="Operador"/>
    <s v="3º Turno"/>
    <x v="4"/>
    <s v="Não"/>
    <x v="2"/>
    <d v="2025-09-11T00:00:00"/>
    <d v="2025-09-01T00:00:00"/>
    <s v="qui"/>
    <x v="7"/>
    <x v="1"/>
    <m/>
    <s v="149445911"/>
  </r>
  <r>
    <n v="1494"/>
    <n v="30"/>
    <s v="Masculino"/>
    <s v="Montagem"/>
    <s v="Operador"/>
    <s v="3º Turno"/>
    <x v="4"/>
    <s v="Não"/>
    <x v="2"/>
    <d v="2025-10-03T00:00:00"/>
    <d v="2025-10-01T00:00:00"/>
    <s v="sex"/>
    <x v="11"/>
    <x v="1"/>
    <m/>
    <s v="149445933"/>
  </r>
  <r>
    <n v="1494"/>
    <n v="30"/>
    <s v="Masculino"/>
    <s v="Montagem"/>
    <s v="Operador"/>
    <s v="3º Turno"/>
    <x v="4"/>
    <s v="Não"/>
    <x v="2"/>
    <d v="2026-06-30T00:00:00"/>
    <d v="2026-01-01T00:00:00"/>
    <s v="ter"/>
    <x v="1"/>
    <x v="0"/>
    <m/>
    <s v="149446203"/>
  </r>
  <r>
    <n v="1494"/>
    <n v="30"/>
    <s v="Masculino"/>
    <s v="Montagem"/>
    <s v="Operador"/>
    <s v="3º Turno"/>
    <x v="0"/>
    <s v="Não"/>
    <x v="2"/>
    <d v="2026-02-09T00:00:00"/>
    <d v="2026-02-01T00:00:00"/>
    <s v="seg"/>
    <x v="3"/>
    <x v="0"/>
    <m/>
    <s v="149446062"/>
  </r>
  <r>
    <n v="1494"/>
    <n v="30"/>
    <s v="Masculino"/>
    <s v="Montagem"/>
    <s v="Operador"/>
    <s v="3º Turno"/>
    <x v="4"/>
    <s v="Não"/>
    <x v="2"/>
    <d v="2026-04-18T00:00:00"/>
    <d v="2026-04-01T00:00:00"/>
    <s v="sex"/>
    <x v="2"/>
    <x v="1"/>
    <m/>
    <s v="149446130"/>
  </r>
  <r>
    <n v="1495"/>
    <n v="49"/>
    <s v="Masculino"/>
    <s v="Montagem"/>
    <s v="Operador"/>
    <s v="2º Turno"/>
    <x v="4"/>
    <s v="Não"/>
    <x v="0"/>
    <d v="2025-05-06T00:00:00"/>
    <d v="2025-05-01T00:00:00"/>
    <s v="ter"/>
    <x v="0"/>
    <x v="1"/>
    <m/>
    <s v="149545783"/>
  </r>
  <r>
    <n v="1495"/>
    <n v="49"/>
    <s v="Masculino"/>
    <s v="Montagem"/>
    <s v="Operador"/>
    <s v="2º Turno"/>
    <x v="4"/>
    <s v="Não"/>
    <x v="0"/>
    <d v="2025-05-27T00:00:00"/>
    <d v="2025-05-01T00:00:00"/>
    <s v="ter"/>
    <x v="0"/>
    <x v="1"/>
    <m/>
    <s v="149545804"/>
  </r>
  <r>
    <n v="1495"/>
    <n v="49"/>
    <s v="Masculino"/>
    <s v="Montagem"/>
    <s v="Operador"/>
    <s v="2º Turno"/>
    <x v="4"/>
    <s v="Não"/>
    <x v="0"/>
    <d v="2025-11-18T00:00:00"/>
    <d v="2025-11-01T00:00:00"/>
    <s v="ter"/>
    <x v="10"/>
    <x v="1"/>
    <m/>
    <s v="149545979"/>
  </r>
  <r>
    <n v="1495"/>
    <n v="49"/>
    <s v="Masculino"/>
    <s v="Montagem"/>
    <s v="Operador"/>
    <s v="2º Turno"/>
    <x v="4"/>
    <s v="Não"/>
    <x v="0"/>
    <d v="2025-12-25T00:00:00"/>
    <d v="2025-12-01T00:00:00"/>
    <s v="qui"/>
    <x v="8"/>
    <x v="1"/>
    <m/>
    <s v="149546016"/>
  </r>
  <r>
    <n v="1495"/>
    <n v="49"/>
    <s v="Masculino"/>
    <s v="Montagem"/>
    <s v="Operador"/>
    <s v="2º Turno"/>
    <x v="4"/>
    <s v="Não"/>
    <x v="0"/>
    <d v="2026-02-04T00:00:00"/>
    <d v="2026-02-01T00:00:00"/>
    <s v="qua"/>
    <x v="3"/>
    <x v="0"/>
    <m/>
    <s v="149546057"/>
  </r>
  <r>
    <n v="1495"/>
    <n v="49"/>
    <s v="Masculino"/>
    <s v="Montagem"/>
    <s v="Operador"/>
    <s v="2º Turno"/>
    <x v="4"/>
    <s v="Não"/>
    <x v="0"/>
    <d v="2026-02-07T00:00:00"/>
    <d v="2026-02-01T00:00:00"/>
    <s v="sáb"/>
    <x v="3"/>
    <x v="0"/>
    <m/>
    <s v="149546060"/>
  </r>
  <r>
    <n v="1495"/>
    <n v="49"/>
    <s v="Masculino"/>
    <s v="Montagem"/>
    <s v="Operador"/>
    <s v="2º Turno"/>
    <x v="4"/>
    <s v="Não"/>
    <x v="0"/>
    <d v="2026-05-06T00:00:00"/>
    <d v="2026-05-01T00:00:00"/>
    <s v="ter"/>
    <x v="0"/>
    <x v="1"/>
    <m/>
    <s v="149546148"/>
  </r>
  <r>
    <n v="1495"/>
    <n v="49"/>
    <s v="Masculino"/>
    <s v="Montagem"/>
    <s v="Operador"/>
    <s v="2º Turno"/>
    <x v="4"/>
    <s v="Não"/>
    <x v="0"/>
    <d v="2026-05-27T00:00:00"/>
    <d v="2026-05-01T00:00:00"/>
    <s v="ter"/>
    <x v="0"/>
    <x v="1"/>
    <m/>
    <s v="149546169"/>
  </r>
  <r>
    <n v="1496"/>
    <n v="22"/>
    <s v="Feminino"/>
    <s v="Logistica"/>
    <s v="Operador"/>
    <s v="2º Turno"/>
    <x v="2"/>
    <s v="Não"/>
    <x v="1"/>
    <d v="2025-04-16T00:00:00"/>
    <d v="2025-04-01T00:00:00"/>
    <s v="qua"/>
    <x v="2"/>
    <x v="1"/>
    <m/>
    <s v="149645763"/>
  </r>
  <r>
    <n v="1496"/>
    <n v="22"/>
    <s v="Feminino"/>
    <s v="Logistica"/>
    <s v="Operador"/>
    <s v="2º Turno"/>
    <x v="4"/>
    <s v="Não"/>
    <x v="1"/>
    <d v="2025-07-07T00:00:00"/>
    <d v="2025-07-01T00:00:00"/>
    <s v="seg"/>
    <x v="6"/>
    <x v="1"/>
    <m/>
    <s v="149645845"/>
  </r>
  <r>
    <n v="1496"/>
    <n v="22"/>
    <s v="Feminino"/>
    <s v="Logistica"/>
    <s v="Operador"/>
    <s v="2º Turno"/>
    <x v="2"/>
    <s v="Não"/>
    <x v="1"/>
    <d v="2025-07-23T00:00:00"/>
    <d v="2025-07-01T00:00:00"/>
    <s v="qua"/>
    <x v="6"/>
    <x v="1"/>
    <m/>
    <s v="149645861"/>
  </r>
  <r>
    <n v="1496"/>
    <n v="22"/>
    <s v="Feminino"/>
    <s v="Logistica"/>
    <s v="Operador"/>
    <s v="2º Turno"/>
    <x v="3"/>
    <s v="Não"/>
    <x v="1"/>
    <d v="2026-06-09T00:00:00"/>
    <d v="2026-01-01T00:00:00"/>
    <s v="ter"/>
    <x v="1"/>
    <x v="0"/>
    <m/>
    <s v="149646182"/>
  </r>
  <r>
    <n v="1496"/>
    <n v="22"/>
    <s v="Feminino"/>
    <s v="Logistica"/>
    <s v="Operador"/>
    <s v="2º Turno"/>
    <x v="4"/>
    <s v="Não"/>
    <x v="1"/>
    <d v="2026-02-13T00:00:00"/>
    <d v="2026-02-01T00:00:00"/>
    <s v="sex"/>
    <x v="3"/>
    <x v="0"/>
    <m/>
    <s v="149646066"/>
  </r>
  <r>
    <n v="1496"/>
    <n v="22"/>
    <s v="Feminino"/>
    <s v="Logistica"/>
    <s v="Operador"/>
    <s v="2º Turno"/>
    <x v="3"/>
    <s v="Não"/>
    <x v="1"/>
    <d v="2026-02-26T00:00:00"/>
    <d v="2026-02-01T00:00:00"/>
    <s v="qui"/>
    <x v="3"/>
    <x v="0"/>
    <m/>
    <s v="149646079"/>
  </r>
  <r>
    <n v="1496"/>
    <n v="22"/>
    <s v="Feminino"/>
    <s v="Logistica"/>
    <s v="Operador"/>
    <s v="2º Turno"/>
    <x v="2"/>
    <s v="Não"/>
    <x v="1"/>
    <d v="2026-04-16T00:00:00"/>
    <d v="2026-04-01T00:00:00"/>
    <s v="qua"/>
    <x v="2"/>
    <x v="1"/>
    <m/>
    <s v="149646128"/>
  </r>
  <r>
    <n v="1497"/>
    <n v="57"/>
    <s v="Masculino"/>
    <s v="Pintura"/>
    <s v="Operador"/>
    <s v="1º Turno"/>
    <x v="0"/>
    <s v="Não"/>
    <x v="0"/>
    <d v="2025-08-10T00:00:00"/>
    <d v="2025-08-01T00:00:00"/>
    <s v="dom"/>
    <x v="9"/>
    <x v="1"/>
    <m/>
    <s v="149745879"/>
  </r>
  <r>
    <n v="1497"/>
    <n v="57"/>
    <s v="Masculino"/>
    <s v="Pintura"/>
    <s v="Operador"/>
    <s v="1º Turno"/>
    <x v="3"/>
    <s v="Não"/>
    <x v="0"/>
    <d v="2025-11-11T00:00:00"/>
    <d v="2025-11-01T00:00:00"/>
    <s v="ter"/>
    <x v="10"/>
    <x v="1"/>
    <m/>
    <s v="149745972"/>
  </r>
  <r>
    <n v="1497"/>
    <n v="57"/>
    <s v="Masculino"/>
    <s v="Pintura"/>
    <s v="Operador"/>
    <s v="1º Turno"/>
    <x v="0"/>
    <s v="Não"/>
    <x v="0"/>
    <d v="2025-11-29T00:00:00"/>
    <d v="2025-11-01T00:00:00"/>
    <s v="sáb"/>
    <x v="10"/>
    <x v="1"/>
    <m/>
    <s v="149745990"/>
  </r>
  <r>
    <n v="1497"/>
    <n v="57"/>
    <s v="Masculino"/>
    <s v="Pintura"/>
    <s v="Operador"/>
    <s v="1º Turno"/>
    <x v="0"/>
    <s v="Não"/>
    <x v="0"/>
    <d v="2026-06-06T00:00:00"/>
    <d v="2026-01-01T00:00:00"/>
    <s v="sáb"/>
    <x v="1"/>
    <x v="0"/>
    <m/>
    <s v="149746179"/>
  </r>
  <r>
    <n v="1497"/>
    <n v="57"/>
    <s v="Masculino"/>
    <s v="Pintura"/>
    <s v="Operador"/>
    <s v="1º Turno"/>
    <x v="3"/>
    <s v="Não"/>
    <x v="0"/>
    <d v="2026-06-16T00:00:00"/>
    <d v="2026-01-01T00:00:00"/>
    <s v="ter"/>
    <x v="1"/>
    <x v="0"/>
    <m/>
    <s v="149746189"/>
  </r>
  <r>
    <n v="1497"/>
    <n v="57"/>
    <s v="Masculino"/>
    <s v="Pintura"/>
    <s v="Operador"/>
    <s v="1º Turno"/>
    <x v="0"/>
    <s v="Não"/>
    <x v="0"/>
    <d v="2026-03-29T00:00:00"/>
    <d v="2026-03-01T00:00:00"/>
    <s v="dom"/>
    <x v="4"/>
    <x v="0"/>
    <m/>
    <s v="149746110"/>
  </r>
  <r>
    <n v="1497"/>
    <n v="57"/>
    <s v="Masculino"/>
    <s v="Pintura"/>
    <s v="Operador"/>
    <s v="1º Turno"/>
    <x v="0"/>
    <s v="Não"/>
    <x v="0"/>
    <d v="2026-04-17T00:00:00"/>
    <d v="2026-04-01T00:00:00"/>
    <s v="sex"/>
    <x v="2"/>
    <x v="0"/>
    <m/>
    <s v="149746129"/>
  </r>
  <r>
    <n v="1498"/>
    <n v="36"/>
    <s v="Feminino"/>
    <s v="Soldagem"/>
    <s v="Operador"/>
    <s v="3º Turno"/>
    <x v="0"/>
    <s v="Sim"/>
    <x v="0"/>
    <d v="2025-06-02T00:00:00"/>
    <d v="2025-06-01T00:00:00"/>
    <s v="seg"/>
    <x v="1"/>
    <x v="1"/>
    <d v="2025-09-28T00:00:00"/>
    <s v="149845810"/>
  </r>
  <r>
    <n v="1498"/>
    <n v="36"/>
    <s v="Feminino"/>
    <s v="Soldagem"/>
    <s v="Operador"/>
    <s v="3º Turno"/>
    <x v="0"/>
    <s v="Sim"/>
    <x v="0"/>
    <d v="2025-06-24T00:00:00"/>
    <d v="2025-06-01T00:00:00"/>
    <s v="ter"/>
    <x v="1"/>
    <x v="1"/>
    <d v="2025-09-28T00:00:00"/>
    <s v="149845832"/>
  </r>
  <r>
    <n v="1498"/>
    <n v="36"/>
    <s v="Feminino"/>
    <s v="Soldagem"/>
    <s v="Operador"/>
    <s v="3º Turno"/>
    <x v="0"/>
    <s v="Sim"/>
    <x v="0"/>
    <d v="2025-08-25T00:00:00"/>
    <d v="2025-08-01T00:00:00"/>
    <s v="seg"/>
    <x v="9"/>
    <x v="1"/>
    <d v="2025-09-28T00:00:00"/>
    <s v="149845894"/>
  </r>
  <r>
    <n v="1498"/>
    <n v="36"/>
    <s v="Feminino"/>
    <s v="Soldagem"/>
    <s v="Operador"/>
    <s v="3º Turno"/>
    <x v="0"/>
    <s v="Sim"/>
    <x v="0"/>
    <d v="2025-09-06T00:00:00"/>
    <d v="2025-09-01T00:00:00"/>
    <s v="sáb"/>
    <x v="7"/>
    <x v="1"/>
    <d v="2025-09-28T00:00:00"/>
    <s v="149845906"/>
  </r>
  <r>
    <n v="1498"/>
    <n v="36"/>
    <s v="Feminino"/>
    <s v="Soldagem"/>
    <s v="Operador"/>
    <s v="3º Turno"/>
    <x v="0"/>
    <s v="Sim"/>
    <x v="0"/>
    <d v="2025-09-08T00:00:00"/>
    <d v="2025-09-01T00:00:00"/>
    <s v="seg"/>
    <x v="7"/>
    <x v="1"/>
    <d v="2025-09-28T00:00:00"/>
    <s v="149845908"/>
  </r>
  <r>
    <n v="1498"/>
    <n v="36"/>
    <s v="Feminino"/>
    <s v="Soldagem"/>
    <s v="Operador"/>
    <s v="3º Turno"/>
    <x v="0"/>
    <s v="Sim"/>
    <x v="0"/>
    <d v="2025-09-12T00:00:00"/>
    <d v="2025-09-01T00:00:00"/>
    <s v="sex"/>
    <x v="7"/>
    <x v="1"/>
    <d v="2025-09-28T00:00:00"/>
    <s v="149845912"/>
  </r>
  <r>
    <n v="1499"/>
    <n v="51"/>
    <s v="Masculino"/>
    <s v="Logistica"/>
    <s v="Operador"/>
    <s v="2º Turno"/>
    <x v="4"/>
    <s v="Não"/>
    <x v="2"/>
    <d v="2025-04-16T00:00:00"/>
    <d v="2025-04-01T00:00:00"/>
    <s v="qua"/>
    <x v="2"/>
    <x v="1"/>
    <m/>
    <s v="149945763"/>
  </r>
  <r>
    <n v="1499"/>
    <n v="51"/>
    <s v="Masculino"/>
    <s v="Logistica"/>
    <s v="Operador"/>
    <s v="2º Turno"/>
    <x v="4"/>
    <s v="Não"/>
    <x v="2"/>
    <d v="2025-04-18T00:00:00"/>
    <d v="2025-04-01T00:00:00"/>
    <s v="sex"/>
    <x v="2"/>
    <x v="1"/>
    <m/>
    <s v="149945765"/>
  </r>
  <r>
    <n v="1499"/>
    <n v="51"/>
    <s v="Masculino"/>
    <s v="Logistica"/>
    <s v="Operador"/>
    <s v="2º Turno"/>
    <x v="4"/>
    <s v="Não"/>
    <x v="2"/>
    <d v="2025-04-21T00:00:00"/>
    <d v="2025-04-01T00:00:00"/>
    <s v="seg"/>
    <x v="2"/>
    <x v="1"/>
    <m/>
    <s v="149945768"/>
  </r>
  <r>
    <n v="1499"/>
    <n v="51"/>
    <s v="Masculino"/>
    <s v="Logistica"/>
    <s v="Operador"/>
    <s v="2º Turno"/>
    <x v="4"/>
    <s v="Não"/>
    <x v="2"/>
    <d v="2025-08-31T00:00:00"/>
    <d v="2025-08-01T00:00:00"/>
    <s v="dom"/>
    <x v="9"/>
    <x v="1"/>
    <m/>
    <s v="149945900"/>
  </r>
  <r>
    <n v="1499"/>
    <n v="51"/>
    <s v="Masculino"/>
    <s v="Logistica"/>
    <s v="Operador"/>
    <s v="2º Turno"/>
    <x v="4"/>
    <s v="Não"/>
    <x v="2"/>
    <d v="2025-11-25T00:00:00"/>
    <d v="2025-11-01T00:00:00"/>
    <s v="ter"/>
    <x v="10"/>
    <x v="1"/>
    <m/>
    <s v="149945986"/>
  </r>
  <r>
    <n v="1499"/>
    <n v="51"/>
    <s v="Masculino"/>
    <s v="Logistica"/>
    <s v="Operador"/>
    <s v="2º Turno"/>
    <x v="4"/>
    <s v="Não"/>
    <x v="2"/>
    <d v="2026-03-22T00:00:00"/>
    <d v="2026-03-01T00:00:00"/>
    <s v="dom"/>
    <x v="4"/>
    <x v="0"/>
    <m/>
    <s v="149946103"/>
  </r>
  <r>
    <n v="1499"/>
    <n v="51"/>
    <s v="Masculino"/>
    <s v="Logistica"/>
    <s v="Operador"/>
    <s v="2º Turno"/>
    <x v="4"/>
    <s v="Não"/>
    <x v="2"/>
    <d v="2026-04-16T00:00:00"/>
    <d v="2026-04-01T00:00:00"/>
    <s v="qua"/>
    <x v="2"/>
    <x v="1"/>
    <m/>
    <s v="149946128"/>
  </r>
  <r>
    <n v="1499"/>
    <n v="51"/>
    <s v="Masculino"/>
    <s v="Logistica"/>
    <s v="Operador"/>
    <s v="2º Turno"/>
    <x v="4"/>
    <s v="Não"/>
    <x v="2"/>
    <d v="2026-04-18T00:00:00"/>
    <d v="2026-04-01T00:00:00"/>
    <s v="sex"/>
    <x v="2"/>
    <x v="1"/>
    <m/>
    <s v="149946130"/>
  </r>
  <r>
    <n v="1499"/>
    <n v="51"/>
    <s v="Masculino"/>
    <s v="Logistica"/>
    <s v="Operador"/>
    <s v="2º Turno"/>
    <x v="4"/>
    <s v="Não"/>
    <x v="2"/>
    <d v="2026-04-21T00:00:00"/>
    <d v="2026-04-01T00:00:00"/>
    <s v="seg"/>
    <x v="2"/>
    <x v="1"/>
    <m/>
    <s v="149946133"/>
  </r>
  <r>
    <n v="1500"/>
    <n v="32"/>
    <s v="Masculino"/>
    <s v="Pintura"/>
    <s v="Operador"/>
    <s v="1º Turno"/>
    <x v="4"/>
    <s v="Não"/>
    <x v="2"/>
    <d v="2025-04-28T00:00:00"/>
    <d v="2025-04-01T00:00:00"/>
    <s v="seg"/>
    <x v="2"/>
    <x v="1"/>
    <m/>
    <s v="150045775"/>
  </r>
  <r>
    <n v="1500"/>
    <n v="32"/>
    <s v="Masculino"/>
    <s v="Pintura"/>
    <s v="Operador"/>
    <s v="1º Turno"/>
    <x v="0"/>
    <s v="Não"/>
    <x v="2"/>
    <d v="2025-06-26T00:00:00"/>
    <d v="2025-06-01T00:00:00"/>
    <s v="qui"/>
    <x v="1"/>
    <x v="1"/>
    <m/>
    <s v="150045834"/>
  </r>
  <r>
    <n v="1500"/>
    <n v="32"/>
    <s v="Masculino"/>
    <s v="Pintura"/>
    <s v="Operador"/>
    <s v="1º Turno"/>
    <x v="4"/>
    <s v="Não"/>
    <x v="2"/>
    <d v="2025-07-14T00:00:00"/>
    <d v="2025-07-01T00:00:00"/>
    <s v="seg"/>
    <x v="6"/>
    <x v="1"/>
    <m/>
    <s v="150045852"/>
  </r>
  <r>
    <n v="1500"/>
    <n v="32"/>
    <s v="Masculino"/>
    <s v="Pintura"/>
    <s v="Operador"/>
    <s v="1º Turno"/>
    <x v="4"/>
    <s v="Não"/>
    <x v="2"/>
    <d v="2026-06-10T00:00:00"/>
    <d v="2026-01-01T00:00:00"/>
    <s v="qua"/>
    <x v="1"/>
    <x v="0"/>
    <m/>
    <s v="150046183"/>
  </r>
  <r>
    <n v="1500"/>
    <n v="32"/>
    <s v="Masculino"/>
    <s v="Pintura"/>
    <s v="Operador"/>
    <s v="1º Turno"/>
    <x v="4"/>
    <s v="Não"/>
    <x v="2"/>
    <d v="2026-06-29T00:00:00"/>
    <d v="2026-01-01T00:00:00"/>
    <s v="seg"/>
    <x v="1"/>
    <x v="0"/>
    <m/>
    <s v="150046202"/>
  </r>
  <r>
    <n v="1500"/>
    <n v="32"/>
    <s v="Masculino"/>
    <s v="Pintura"/>
    <s v="Operador"/>
    <s v="1º Turno"/>
    <x v="4"/>
    <s v="Não"/>
    <x v="2"/>
    <d v="2026-02-25T00:00:00"/>
    <d v="2026-02-01T00:00:00"/>
    <s v="qua"/>
    <x v="3"/>
    <x v="0"/>
    <m/>
    <s v="150046078"/>
  </r>
  <r>
    <n v="1500"/>
    <n v="32"/>
    <s v="Masculino"/>
    <s v="Pintura"/>
    <s v="Operador"/>
    <s v="1º Turno"/>
    <x v="4"/>
    <s v="Não"/>
    <x v="2"/>
    <d v="2026-04-28T00:00:00"/>
    <d v="2026-04-01T00:00:00"/>
    <s v="seg"/>
    <x v="2"/>
    <x v="1"/>
    <m/>
    <s v="150046140"/>
  </r>
  <r>
    <n v="1501"/>
    <n v="28"/>
    <s v="Feminino"/>
    <s v="Soldagem"/>
    <s v="Operador"/>
    <s v="2º Turno"/>
    <x v="0"/>
    <s v="Sim"/>
    <x v="2"/>
    <d v="2025-06-08T00:00:00"/>
    <d v="2025-06-01T00:00:00"/>
    <s v="dom"/>
    <x v="1"/>
    <x v="1"/>
    <d v="2026-05-12T00:00:00"/>
    <s v="150145816"/>
  </r>
  <r>
    <n v="1501"/>
    <n v="28"/>
    <s v="Feminino"/>
    <s v="Soldagem"/>
    <s v="Operador"/>
    <s v="2º Turno"/>
    <x v="0"/>
    <s v="Sim"/>
    <x v="2"/>
    <d v="2025-08-02T00:00:00"/>
    <d v="2025-08-01T00:00:00"/>
    <s v="sáb"/>
    <x v="9"/>
    <x v="1"/>
    <d v="2026-05-12T00:00:00"/>
    <s v="150145871"/>
  </r>
  <r>
    <n v="1501"/>
    <n v="28"/>
    <s v="Feminino"/>
    <s v="Soldagem"/>
    <s v="Operador"/>
    <s v="2º Turno"/>
    <x v="2"/>
    <s v="Sim"/>
    <x v="2"/>
    <d v="2025-09-20T00:00:00"/>
    <d v="2025-09-01T00:00:00"/>
    <s v="sáb"/>
    <x v="7"/>
    <x v="1"/>
    <d v="2026-05-12T00:00:00"/>
    <s v="150145920"/>
  </r>
  <r>
    <n v="1501"/>
    <n v="28"/>
    <s v="Feminino"/>
    <s v="Soldagem"/>
    <s v="Operador"/>
    <s v="2º Turno"/>
    <x v="0"/>
    <s v="Sim"/>
    <x v="2"/>
    <d v="2025-12-08T00:00:00"/>
    <d v="2025-12-01T00:00:00"/>
    <s v="seg"/>
    <x v="8"/>
    <x v="1"/>
    <d v="2026-05-12T00:00:00"/>
    <s v="150145999"/>
  </r>
  <r>
    <n v="1501"/>
    <n v="28"/>
    <s v="Feminino"/>
    <s v="Soldagem"/>
    <s v="Operador"/>
    <s v="2º Turno"/>
    <x v="0"/>
    <s v="Sim"/>
    <x v="2"/>
    <d v="2026-06-23T00:00:00"/>
    <d v="2026-01-01T00:00:00"/>
    <s v="ter"/>
    <x v="1"/>
    <x v="0"/>
    <d v="2026-05-12T00:00:00"/>
    <s v="150146196"/>
  </r>
  <r>
    <n v="1502"/>
    <n v="54"/>
    <s v="Masculino"/>
    <s v="Montagem"/>
    <s v="Operador"/>
    <s v="1º Turno"/>
    <x v="1"/>
    <s v="Não"/>
    <x v="2"/>
    <d v="2025-06-04T00:00:00"/>
    <d v="2025-06-01T00:00:00"/>
    <s v="qua"/>
    <x v="1"/>
    <x v="1"/>
    <m/>
    <s v="150245812"/>
  </r>
  <r>
    <n v="1502"/>
    <n v="54"/>
    <s v="Masculino"/>
    <s v="Montagem"/>
    <s v="Operador"/>
    <s v="1º Turno"/>
    <x v="2"/>
    <s v="Não"/>
    <x v="2"/>
    <d v="2025-06-17T00:00:00"/>
    <d v="2025-06-01T00:00:00"/>
    <s v="ter"/>
    <x v="1"/>
    <x v="1"/>
    <m/>
    <s v="150245825"/>
  </r>
  <r>
    <n v="1502"/>
    <n v="54"/>
    <s v="Masculino"/>
    <s v="Montagem"/>
    <s v="Operador"/>
    <s v="1º Turno"/>
    <x v="1"/>
    <s v="Não"/>
    <x v="2"/>
    <d v="2025-09-15T00:00:00"/>
    <d v="2025-09-01T00:00:00"/>
    <s v="seg"/>
    <x v="7"/>
    <x v="1"/>
    <m/>
    <s v="150245915"/>
  </r>
  <r>
    <n v="1502"/>
    <n v="54"/>
    <s v="Masculino"/>
    <s v="Montagem"/>
    <s v="Operador"/>
    <s v="1º Turno"/>
    <x v="1"/>
    <s v="Não"/>
    <x v="2"/>
    <d v="2025-10-19T00:00:00"/>
    <d v="2025-10-01T00:00:00"/>
    <s v="dom"/>
    <x v="11"/>
    <x v="1"/>
    <m/>
    <s v="150245949"/>
  </r>
  <r>
    <n v="1502"/>
    <n v="54"/>
    <s v="Masculino"/>
    <s v="Montagem"/>
    <s v="Operador"/>
    <s v="1º Turno"/>
    <x v="1"/>
    <s v="Não"/>
    <x v="2"/>
    <d v="2025-12-31T00:00:00"/>
    <d v="2025-12-01T00:00:00"/>
    <s v="qua"/>
    <x v="8"/>
    <x v="1"/>
    <m/>
    <s v="150246022"/>
  </r>
  <r>
    <n v="1503"/>
    <n v="55"/>
    <s v="Feminino"/>
    <s v="Logistica"/>
    <s v="Operador"/>
    <s v="3º Turno"/>
    <x v="1"/>
    <s v="Não"/>
    <x v="2"/>
    <d v="2025-04-15T00:00:00"/>
    <d v="2025-04-01T00:00:00"/>
    <s v="ter"/>
    <x v="2"/>
    <x v="1"/>
    <m/>
    <s v="150345762"/>
  </r>
  <r>
    <n v="1503"/>
    <n v="55"/>
    <s v="Feminino"/>
    <s v="Logistica"/>
    <s v="Operador"/>
    <s v="3º Turno"/>
    <x v="1"/>
    <s v="Não"/>
    <x v="2"/>
    <d v="2025-07-14T00:00:00"/>
    <d v="2025-07-01T00:00:00"/>
    <s v="seg"/>
    <x v="6"/>
    <x v="1"/>
    <m/>
    <s v="150345852"/>
  </r>
  <r>
    <n v="1503"/>
    <n v="55"/>
    <s v="Feminino"/>
    <s v="Logistica"/>
    <s v="Operador"/>
    <s v="3º Turno"/>
    <x v="1"/>
    <s v="Não"/>
    <x v="2"/>
    <d v="2025-07-17T00:00:00"/>
    <d v="2025-07-01T00:00:00"/>
    <s v="qui"/>
    <x v="6"/>
    <x v="1"/>
    <m/>
    <s v="150345855"/>
  </r>
  <r>
    <n v="1503"/>
    <n v="55"/>
    <s v="Feminino"/>
    <s v="Logistica"/>
    <s v="Operador"/>
    <s v="3º Turno"/>
    <x v="1"/>
    <s v="Não"/>
    <x v="2"/>
    <d v="2025-08-01T00:00:00"/>
    <d v="2025-08-01T00:00:00"/>
    <s v="sex"/>
    <x v="9"/>
    <x v="1"/>
    <m/>
    <s v="150345870"/>
  </r>
  <r>
    <n v="1503"/>
    <n v="55"/>
    <s v="Feminino"/>
    <s v="Logistica"/>
    <s v="Operador"/>
    <s v="3º Turno"/>
    <x v="1"/>
    <s v="Não"/>
    <x v="2"/>
    <d v="2025-10-13T00:00:00"/>
    <d v="2025-10-01T00:00:00"/>
    <s v="seg"/>
    <x v="11"/>
    <x v="1"/>
    <m/>
    <s v="150345943"/>
  </r>
  <r>
    <n v="1503"/>
    <n v="55"/>
    <s v="Feminino"/>
    <s v="Logistica"/>
    <s v="Operador"/>
    <s v="3º Turno"/>
    <x v="1"/>
    <s v="Não"/>
    <x v="2"/>
    <d v="2025-10-24T00:00:00"/>
    <d v="2025-10-01T00:00:00"/>
    <s v="sex"/>
    <x v="11"/>
    <x v="1"/>
    <m/>
    <s v="150345954"/>
  </r>
  <r>
    <n v="1503"/>
    <n v="55"/>
    <s v="Feminino"/>
    <s v="Logistica"/>
    <s v="Operador"/>
    <s v="3º Turno"/>
    <x v="1"/>
    <s v="Não"/>
    <x v="2"/>
    <d v="2026-04-15T00:00:00"/>
    <d v="2026-04-01T00:00:00"/>
    <s v="ter"/>
    <x v="2"/>
    <x v="1"/>
    <m/>
    <s v="150346127"/>
  </r>
  <r>
    <n v="1504"/>
    <n v="52"/>
    <s v="Masculino"/>
    <s v="Soldagem"/>
    <s v="Operador"/>
    <s v="3º Turno"/>
    <x v="0"/>
    <s v="Sim"/>
    <x v="2"/>
    <d v="2025-04-30T00:00:00"/>
    <d v="2025-04-01T00:00:00"/>
    <s v="qua"/>
    <x v="2"/>
    <x v="1"/>
    <d v="2025-05-13T00:00:00"/>
    <s v="150445777"/>
  </r>
  <r>
    <n v="1504"/>
    <n v="52"/>
    <s v="Masculino"/>
    <s v="Soldagem"/>
    <s v="Operador"/>
    <s v="3º Turno"/>
    <x v="0"/>
    <s v="Sim"/>
    <x v="2"/>
    <d v="2025-05-02T00:00:00"/>
    <d v="2025-05-01T00:00:00"/>
    <s v="sex"/>
    <x v="0"/>
    <x v="1"/>
    <d v="2025-05-13T00:00:00"/>
    <s v="150445779"/>
  </r>
  <r>
    <n v="1504"/>
    <n v="52"/>
    <s v="Masculino"/>
    <s v="Soldagem"/>
    <s v="Operador"/>
    <s v="3º Turno"/>
    <x v="0"/>
    <s v="Sim"/>
    <x v="2"/>
    <d v="2025-05-06T00:00:00"/>
    <d v="2025-05-01T00:00:00"/>
    <s v="ter"/>
    <x v="0"/>
    <x v="1"/>
    <d v="2025-05-13T00:00:00"/>
    <s v="150445783"/>
  </r>
  <r>
    <n v="1504"/>
    <n v="52"/>
    <s v="Masculino"/>
    <s v="Soldagem"/>
    <s v="Operador"/>
    <s v="3º Turno"/>
    <x v="0"/>
    <s v="Sim"/>
    <x v="2"/>
    <d v="2025-05-07T00:00:00"/>
    <d v="2025-05-01T00:00:00"/>
    <s v="qua"/>
    <x v="0"/>
    <x v="1"/>
    <d v="2025-05-13T00:00:00"/>
    <s v="150445784"/>
  </r>
  <r>
    <n v="1504"/>
    <n v="52"/>
    <s v="Masculino"/>
    <s v="Soldagem"/>
    <s v="Operador"/>
    <s v="3º Turno"/>
    <x v="0"/>
    <s v="Sim"/>
    <x v="2"/>
    <d v="2025-05-08T00:00:00"/>
    <d v="2025-05-01T00:00:00"/>
    <s v="qui"/>
    <x v="0"/>
    <x v="1"/>
    <d v="2025-05-13T00:00:00"/>
    <s v="150445785"/>
  </r>
  <r>
    <n v="1504"/>
    <n v="52"/>
    <s v="Masculino"/>
    <s v="Soldagem"/>
    <s v="Operador"/>
    <s v="3º Turno"/>
    <x v="0"/>
    <s v="Sim"/>
    <x v="2"/>
    <d v="2025-05-09T00:00:00"/>
    <d v="2025-05-01T00:00:00"/>
    <s v="sex"/>
    <x v="0"/>
    <x v="1"/>
    <d v="2025-05-13T00:00:00"/>
    <s v="150445786"/>
  </r>
  <r>
    <n v="1506"/>
    <n v="42"/>
    <s v="Masculino"/>
    <s v="Montagem"/>
    <s v="Operador"/>
    <s v="3º Turno"/>
    <x v="0"/>
    <s v="Sim"/>
    <x v="2"/>
    <d v="2025-04-23T00:00:00"/>
    <d v="2025-04-01T00:00:00"/>
    <s v="qua"/>
    <x v="2"/>
    <x v="1"/>
    <d v="2026-06-29T00:00:00"/>
    <s v="150645770"/>
  </r>
  <r>
    <n v="1506"/>
    <n v="42"/>
    <s v="Masculino"/>
    <s v="Montagem"/>
    <s v="Operador"/>
    <s v="3º Turno"/>
    <x v="0"/>
    <s v="Sim"/>
    <x v="2"/>
    <d v="2025-05-11T00:00:00"/>
    <d v="2025-05-01T00:00:00"/>
    <s v="dom"/>
    <x v="0"/>
    <x v="1"/>
    <d v="2026-06-29T00:00:00"/>
    <s v="150645788"/>
  </r>
  <r>
    <n v="1506"/>
    <n v="42"/>
    <s v="Masculino"/>
    <s v="Montagem"/>
    <s v="Operador"/>
    <s v="3º Turno"/>
    <x v="0"/>
    <s v="Sim"/>
    <x v="2"/>
    <d v="2025-07-12T00:00:00"/>
    <d v="2025-07-01T00:00:00"/>
    <s v="sáb"/>
    <x v="6"/>
    <x v="1"/>
    <d v="2026-06-29T00:00:00"/>
    <s v="150645850"/>
  </r>
  <r>
    <n v="1506"/>
    <n v="42"/>
    <s v="Masculino"/>
    <s v="Montagem"/>
    <s v="Operador"/>
    <s v="3º Turno"/>
    <x v="3"/>
    <s v="Sim"/>
    <x v="2"/>
    <d v="2025-09-25T00:00:00"/>
    <d v="2025-09-01T00:00:00"/>
    <s v="qui"/>
    <x v="7"/>
    <x v="1"/>
    <d v="2026-06-29T00:00:00"/>
    <s v="150645925"/>
  </r>
  <r>
    <n v="1506"/>
    <n v="42"/>
    <s v="Masculino"/>
    <s v="Montagem"/>
    <s v="Operador"/>
    <s v="3º Turno"/>
    <x v="3"/>
    <s v="Sim"/>
    <x v="2"/>
    <d v="2025-09-26T00:00:00"/>
    <d v="2025-09-01T00:00:00"/>
    <s v="sex"/>
    <x v="7"/>
    <x v="1"/>
    <d v="2026-06-29T00:00:00"/>
    <s v="150645926"/>
  </r>
  <r>
    <n v="1506"/>
    <n v="42"/>
    <s v="Masculino"/>
    <s v="Montagem"/>
    <s v="Operador"/>
    <s v="3º Turno"/>
    <x v="3"/>
    <s v="Sim"/>
    <x v="2"/>
    <d v="2025-10-07T00:00:00"/>
    <d v="2025-10-01T00:00:00"/>
    <s v="ter"/>
    <x v="11"/>
    <x v="1"/>
    <d v="2026-06-29T00:00:00"/>
    <s v="150645937"/>
  </r>
  <r>
    <n v="1508"/>
    <n v="35"/>
    <s v="Feminino"/>
    <s v="Montagem"/>
    <s v="Operador"/>
    <s v="1º Turno"/>
    <x v="3"/>
    <s v="Não"/>
    <x v="2"/>
    <d v="2025-05-09T00:00:00"/>
    <d v="2025-05-01T00:00:00"/>
    <s v="sex"/>
    <x v="0"/>
    <x v="1"/>
    <m/>
    <s v="150845786"/>
  </r>
  <r>
    <n v="1508"/>
    <n v="35"/>
    <s v="Feminino"/>
    <s v="Montagem"/>
    <s v="Operador"/>
    <s v="1º Turno"/>
    <x v="0"/>
    <s v="Não"/>
    <x v="2"/>
    <d v="2025-06-03T00:00:00"/>
    <d v="2025-06-01T00:00:00"/>
    <s v="ter"/>
    <x v="1"/>
    <x v="1"/>
    <m/>
    <s v="150845811"/>
  </r>
  <r>
    <n v="1508"/>
    <n v="35"/>
    <s v="Feminino"/>
    <s v="Montagem"/>
    <s v="Operador"/>
    <s v="1º Turno"/>
    <x v="0"/>
    <s v="Não"/>
    <x v="2"/>
    <d v="2025-08-09T00:00:00"/>
    <d v="2025-08-01T00:00:00"/>
    <s v="sáb"/>
    <x v="9"/>
    <x v="1"/>
    <m/>
    <s v="150845878"/>
  </r>
  <r>
    <n v="1508"/>
    <n v="35"/>
    <s v="Feminino"/>
    <s v="Montagem"/>
    <s v="Operador"/>
    <s v="1º Turno"/>
    <x v="3"/>
    <s v="Não"/>
    <x v="2"/>
    <d v="2025-12-20T00:00:00"/>
    <d v="2025-12-01T00:00:00"/>
    <s v="sáb"/>
    <x v="8"/>
    <x v="1"/>
    <m/>
    <s v="150846011"/>
  </r>
  <r>
    <n v="1508"/>
    <n v="35"/>
    <s v="Feminino"/>
    <s v="Montagem"/>
    <s v="Operador"/>
    <s v="1º Turno"/>
    <x v="3"/>
    <s v="Não"/>
    <x v="2"/>
    <d v="2026-06-14T00:00:00"/>
    <d v="2026-01-01T00:00:00"/>
    <s v="dom"/>
    <x v="1"/>
    <x v="0"/>
    <m/>
    <s v="150846187"/>
  </r>
  <r>
    <n v="1508"/>
    <n v="35"/>
    <s v="Feminino"/>
    <s v="Montagem"/>
    <s v="Operador"/>
    <s v="1º Turno"/>
    <x v="3"/>
    <s v="Não"/>
    <x v="2"/>
    <d v="2026-03-20T00:00:00"/>
    <d v="2026-03-01T00:00:00"/>
    <s v="sex"/>
    <x v="4"/>
    <x v="0"/>
    <m/>
    <s v="150846101"/>
  </r>
  <r>
    <n v="1508"/>
    <n v="35"/>
    <s v="Feminino"/>
    <s v="Montagem"/>
    <s v="Operador"/>
    <s v="1º Turno"/>
    <x v="3"/>
    <s v="Não"/>
    <x v="2"/>
    <d v="2026-05-09T00:00:00"/>
    <d v="2026-05-01T00:00:00"/>
    <s v="sex"/>
    <x v="0"/>
    <x v="1"/>
    <m/>
    <s v="150846151"/>
  </r>
  <r>
    <n v="1509"/>
    <n v="23"/>
    <s v="Masculino"/>
    <s v="Logistica"/>
    <s v="Operador"/>
    <s v="1º Turno"/>
    <x v="0"/>
    <s v="Não"/>
    <x v="1"/>
    <d v="2025-08-04T00:00:00"/>
    <d v="2025-08-01T00:00:00"/>
    <s v="seg"/>
    <x v="9"/>
    <x v="1"/>
    <m/>
    <s v="150945873"/>
  </r>
  <r>
    <n v="1509"/>
    <n v="23"/>
    <s v="Masculino"/>
    <s v="Logistica"/>
    <s v="Operador"/>
    <s v="1º Turno"/>
    <x v="0"/>
    <s v="Não"/>
    <x v="1"/>
    <d v="2025-09-11T00:00:00"/>
    <d v="2025-09-01T00:00:00"/>
    <s v="qui"/>
    <x v="7"/>
    <x v="1"/>
    <m/>
    <s v="150945911"/>
  </r>
  <r>
    <n v="1509"/>
    <n v="23"/>
    <s v="Masculino"/>
    <s v="Logistica"/>
    <s v="Operador"/>
    <s v="1º Turno"/>
    <x v="0"/>
    <s v="Não"/>
    <x v="1"/>
    <d v="2025-11-09T00:00:00"/>
    <d v="2025-11-01T00:00:00"/>
    <s v="dom"/>
    <x v="10"/>
    <x v="1"/>
    <m/>
    <s v="150945970"/>
  </r>
  <r>
    <n v="1509"/>
    <n v="23"/>
    <s v="Masculino"/>
    <s v="Logistica"/>
    <s v="Operador"/>
    <s v="1º Turno"/>
    <x v="0"/>
    <s v="Não"/>
    <x v="1"/>
    <d v="2026-03-23T00:00:00"/>
    <d v="2026-03-01T00:00:00"/>
    <s v="seg"/>
    <x v="4"/>
    <x v="0"/>
    <m/>
    <s v="150946104"/>
  </r>
  <r>
    <n v="1509"/>
    <n v="23"/>
    <s v="Masculino"/>
    <s v="Logistica"/>
    <s v="Operador"/>
    <s v="1º Turno"/>
    <x v="0"/>
    <s v="Não"/>
    <x v="1"/>
    <d v="2026-04-10T00:00:00"/>
    <d v="2026-04-01T00:00:00"/>
    <s v="sex"/>
    <x v="2"/>
    <x v="0"/>
    <m/>
    <s v="150946122"/>
  </r>
  <r>
    <n v="1509"/>
    <n v="23"/>
    <s v="Masculino"/>
    <s v="Logistica"/>
    <s v="Operador"/>
    <s v="1º Turno"/>
    <x v="0"/>
    <s v="Não"/>
    <x v="1"/>
    <d v="2026-04-12T00:00:00"/>
    <d v="2026-04-01T00:00:00"/>
    <s v="dom"/>
    <x v="2"/>
    <x v="0"/>
    <m/>
    <s v="150946124"/>
  </r>
  <r>
    <n v="1509"/>
    <n v="23"/>
    <s v="Masculino"/>
    <s v="Logistica"/>
    <s v="Operador"/>
    <s v="1º Turno"/>
    <x v="0"/>
    <s v="Não"/>
    <x v="1"/>
    <d v="2026-05-18T00:00:00"/>
    <d v="2026-05-01T00:00:00"/>
    <s v="seg"/>
    <x v="0"/>
    <x v="0"/>
    <m/>
    <s v="150946160"/>
  </r>
  <r>
    <n v="1509"/>
    <n v="23"/>
    <s v="Masculino"/>
    <s v="Logistica"/>
    <s v="Operador"/>
    <s v="1º Turno"/>
    <x v="0"/>
    <s v="Não"/>
    <x v="1"/>
    <d v="2026-05-19T00:00:00"/>
    <d v="2026-05-01T00:00:00"/>
    <s v="ter"/>
    <x v="0"/>
    <x v="0"/>
    <m/>
    <s v="150946161"/>
  </r>
  <r>
    <n v="1510"/>
    <n v="28"/>
    <s v="Feminino"/>
    <s v="Montagem"/>
    <s v="Operador"/>
    <s v="2º Turno"/>
    <x v="4"/>
    <s v="Não"/>
    <x v="2"/>
    <d v="2025-07-23T00:00:00"/>
    <d v="2025-07-01T00:00:00"/>
    <s v="qua"/>
    <x v="6"/>
    <x v="1"/>
    <m/>
    <s v="151045861"/>
  </r>
  <r>
    <n v="1510"/>
    <n v="28"/>
    <s v="Feminino"/>
    <s v="Montagem"/>
    <s v="Operador"/>
    <s v="2º Turno"/>
    <x v="0"/>
    <s v="Não"/>
    <x v="2"/>
    <d v="2025-08-15T00:00:00"/>
    <d v="2025-08-01T00:00:00"/>
    <s v="sex"/>
    <x v="9"/>
    <x v="1"/>
    <m/>
    <s v="151045884"/>
  </r>
  <r>
    <n v="1510"/>
    <n v="28"/>
    <s v="Feminino"/>
    <s v="Montagem"/>
    <s v="Operador"/>
    <s v="2º Turno"/>
    <x v="4"/>
    <s v="Não"/>
    <x v="2"/>
    <d v="2025-10-04T00:00:00"/>
    <d v="2025-10-01T00:00:00"/>
    <s v="sáb"/>
    <x v="11"/>
    <x v="1"/>
    <m/>
    <s v="151045934"/>
  </r>
  <r>
    <n v="1510"/>
    <n v="28"/>
    <s v="Feminino"/>
    <s v="Montagem"/>
    <s v="Operador"/>
    <s v="2º Turno"/>
    <x v="4"/>
    <s v="Não"/>
    <x v="2"/>
    <d v="2025-10-14T00:00:00"/>
    <d v="2025-10-01T00:00:00"/>
    <s v="ter"/>
    <x v="11"/>
    <x v="1"/>
    <m/>
    <s v="151045944"/>
  </r>
  <r>
    <n v="1510"/>
    <n v="28"/>
    <s v="Feminino"/>
    <s v="Montagem"/>
    <s v="Operador"/>
    <s v="2º Turno"/>
    <x v="4"/>
    <s v="Não"/>
    <x v="2"/>
    <d v="2026-02-02T00:00:00"/>
    <d v="2026-02-01T00:00:00"/>
    <s v="seg"/>
    <x v="3"/>
    <x v="0"/>
    <m/>
    <s v="151046055"/>
  </r>
  <r>
    <n v="1510"/>
    <n v="28"/>
    <s v="Feminino"/>
    <s v="Montagem"/>
    <s v="Operador"/>
    <s v="2º Turno"/>
    <x v="0"/>
    <s v="Não"/>
    <x v="2"/>
    <d v="2026-02-27T00:00:00"/>
    <d v="2026-02-01T00:00:00"/>
    <s v="sex"/>
    <x v="3"/>
    <x v="0"/>
    <m/>
    <s v="151046080"/>
  </r>
  <r>
    <n v="1511"/>
    <n v="41"/>
    <s v="Masculino"/>
    <s v="Qualidade"/>
    <s v="Inspetor"/>
    <s v="3º Turno"/>
    <x v="4"/>
    <s v="Não"/>
    <x v="1"/>
    <d v="2025-05-22T00:00:00"/>
    <d v="2025-05-01T00:00:00"/>
    <s v="qui"/>
    <x v="0"/>
    <x v="1"/>
    <m/>
    <s v="151145799"/>
  </r>
  <r>
    <n v="1511"/>
    <n v="41"/>
    <s v="Masculino"/>
    <s v="Qualidade"/>
    <s v="Inspetor"/>
    <s v="3º Turno"/>
    <x v="4"/>
    <s v="Não"/>
    <x v="1"/>
    <d v="2025-05-30T00:00:00"/>
    <d v="2025-05-01T00:00:00"/>
    <s v="sex"/>
    <x v="0"/>
    <x v="1"/>
    <m/>
    <s v="151145807"/>
  </r>
  <r>
    <n v="1511"/>
    <n v="41"/>
    <s v="Masculino"/>
    <s v="Qualidade"/>
    <s v="Inspetor"/>
    <s v="3º Turno"/>
    <x v="4"/>
    <s v="Não"/>
    <x v="1"/>
    <d v="2025-06-24T00:00:00"/>
    <d v="2025-06-01T00:00:00"/>
    <s v="ter"/>
    <x v="1"/>
    <x v="1"/>
    <m/>
    <s v="151145832"/>
  </r>
  <r>
    <n v="1511"/>
    <n v="41"/>
    <s v="Masculino"/>
    <s v="Qualidade"/>
    <s v="Inspetor"/>
    <s v="3º Turno"/>
    <x v="4"/>
    <s v="Não"/>
    <x v="1"/>
    <d v="2025-07-04T00:00:00"/>
    <d v="2025-07-01T00:00:00"/>
    <s v="sex"/>
    <x v="6"/>
    <x v="1"/>
    <m/>
    <s v="151145842"/>
  </r>
  <r>
    <n v="1511"/>
    <n v="41"/>
    <s v="Masculino"/>
    <s v="Qualidade"/>
    <s v="Inspetor"/>
    <s v="3º Turno"/>
    <x v="4"/>
    <s v="Não"/>
    <x v="1"/>
    <d v="2025-08-27T00:00:00"/>
    <d v="2025-08-01T00:00:00"/>
    <s v="qua"/>
    <x v="9"/>
    <x v="1"/>
    <m/>
    <s v="151145896"/>
  </r>
  <r>
    <n v="1511"/>
    <n v="41"/>
    <s v="Masculino"/>
    <s v="Qualidade"/>
    <s v="Inspetor"/>
    <s v="3º Turno"/>
    <x v="4"/>
    <s v="Não"/>
    <x v="1"/>
    <d v="2026-06-11T00:00:00"/>
    <d v="2026-01-01T00:00:00"/>
    <s v="qui"/>
    <x v="1"/>
    <x v="0"/>
    <m/>
    <s v="151146184"/>
  </r>
  <r>
    <n v="1511"/>
    <n v="41"/>
    <s v="Masculino"/>
    <s v="Qualidade"/>
    <s v="Inspetor"/>
    <s v="3º Turno"/>
    <x v="4"/>
    <s v="Não"/>
    <x v="1"/>
    <d v="2026-05-22T00:00:00"/>
    <d v="2026-05-01T00:00:00"/>
    <s v="qui"/>
    <x v="0"/>
    <x v="1"/>
    <m/>
    <s v="151146164"/>
  </r>
  <r>
    <n v="1511"/>
    <n v="41"/>
    <s v="Masculino"/>
    <s v="Qualidade"/>
    <s v="Inspetor"/>
    <s v="3º Turno"/>
    <x v="4"/>
    <s v="Não"/>
    <x v="1"/>
    <d v="2026-05-30T00:00:00"/>
    <d v="2026-05-01T00:00:00"/>
    <s v="sex"/>
    <x v="0"/>
    <x v="1"/>
    <m/>
    <s v="151146172"/>
  </r>
  <r>
    <n v="1513"/>
    <n v="43"/>
    <s v="Masculino"/>
    <s v="Montagem"/>
    <s v="Operador"/>
    <s v="3º Turno"/>
    <x v="2"/>
    <s v="Sim"/>
    <x v="1"/>
    <d v="2025-05-16T00:00:00"/>
    <d v="2025-05-01T00:00:00"/>
    <s v="sex"/>
    <x v="0"/>
    <x v="1"/>
    <d v="2026-01-24T00:00:00"/>
    <s v="151345793"/>
  </r>
  <r>
    <n v="1513"/>
    <n v="43"/>
    <s v="Masculino"/>
    <s v="Montagem"/>
    <s v="Operador"/>
    <s v="3º Turno"/>
    <x v="2"/>
    <s v="Sim"/>
    <x v="1"/>
    <d v="2025-07-23T00:00:00"/>
    <d v="2025-07-01T00:00:00"/>
    <s v="qua"/>
    <x v="6"/>
    <x v="1"/>
    <d v="2026-01-24T00:00:00"/>
    <s v="151345861"/>
  </r>
  <r>
    <n v="1513"/>
    <n v="43"/>
    <s v="Masculino"/>
    <s v="Montagem"/>
    <s v="Operador"/>
    <s v="3º Turno"/>
    <x v="1"/>
    <s v="Sim"/>
    <x v="1"/>
    <d v="2025-08-01T00:00:00"/>
    <d v="2025-08-01T00:00:00"/>
    <s v="sex"/>
    <x v="9"/>
    <x v="1"/>
    <d v="2026-01-24T00:00:00"/>
    <s v="151345870"/>
  </r>
  <r>
    <n v="1513"/>
    <n v="43"/>
    <s v="Masculino"/>
    <s v="Montagem"/>
    <s v="Operador"/>
    <s v="3º Turno"/>
    <x v="0"/>
    <s v="Sim"/>
    <x v="1"/>
    <d v="2025-10-20T00:00:00"/>
    <d v="2025-10-01T00:00:00"/>
    <s v="seg"/>
    <x v="11"/>
    <x v="1"/>
    <d v="2026-01-24T00:00:00"/>
    <s v="151345950"/>
  </r>
  <r>
    <n v="1513"/>
    <n v="43"/>
    <s v="Masculino"/>
    <s v="Montagem"/>
    <s v="Operador"/>
    <s v="3º Turno"/>
    <x v="1"/>
    <s v="Sim"/>
    <x v="1"/>
    <d v="2025-11-23T00:00:00"/>
    <d v="2025-11-01T00:00:00"/>
    <s v="dom"/>
    <x v="10"/>
    <x v="1"/>
    <d v="2026-01-24T00:00:00"/>
    <s v="151345984"/>
  </r>
  <r>
    <n v="1513"/>
    <n v="43"/>
    <s v="Masculino"/>
    <s v="Montagem"/>
    <s v="Operador"/>
    <s v="3º Turno"/>
    <x v="2"/>
    <s v="Sim"/>
    <x v="1"/>
    <d v="2025-12-15T00:00:00"/>
    <d v="2025-12-01T00:00:00"/>
    <s v="seg"/>
    <x v="8"/>
    <x v="1"/>
    <d v="2026-01-24T00:00:00"/>
    <s v="151346006"/>
  </r>
  <r>
    <n v="1514"/>
    <n v="54"/>
    <s v="Feminino"/>
    <s v="Soldagem"/>
    <s v="Operador"/>
    <s v="3º Turno"/>
    <x v="1"/>
    <s v="Não"/>
    <x v="2"/>
    <d v="2025-06-14T00:00:00"/>
    <d v="2025-06-01T00:00:00"/>
    <s v="sáb"/>
    <x v="1"/>
    <x v="1"/>
    <m/>
    <s v="151445822"/>
  </r>
  <r>
    <n v="1514"/>
    <n v="54"/>
    <s v="Feminino"/>
    <s v="Soldagem"/>
    <s v="Operador"/>
    <s v="3º Turno"/>
    <x v="1"/>
    <s v="Não"/>
    <x v="2"/>
    <d v="2025-09-13T00:00:00"/>
    <d v="2025-09-01T00:00:00"/>
    <s v="sáb"/>
    <x v="7"/>
    <x v="1"/>
    <m/>
    <s v="151445913"/>
  </r>
  <r>
    <n v="1514"/>
    <n v="54"/>
    <s v="Feminino"/>
    <s v="Soldagem"/>
    <s v="Operador"/>
    <s v="3º Turno"/>
    <x v="1"/>
    <s v="Não"/>
    <x v="2"/>
    <d v="2025-09-14T00:00:00"/>
    <d v="2025-09-01T00:00:00"/>
    <s v="dom"/>
    <x v="7"/>
    <x v="1"/>
    <m/>
    <s v="151445914"/>
  </r>
  <r>
    <n v="1514"/>
    <n v="54"/>
    <s v="Feminino"/>
    <s v="Soldagem"/>
    <s v="Operador"/>
    <s v="3º Turno"/>
    <x v="1"/>
    <s v="Não"/>
    <x v="2"/>
    <d v="2026-06-01T00:00:00"/>
    <d v="2026-01-01T00:00:00"/>
    <s v="seg"/>
    <x v="1"/>
    <x v="0"/>
    <m/>
    <s v="151446174"/>
  </r>
  <r>
    <n v="1514"/>
    <n v="54"/>
    <s v="Feminino"/>
    <s v="Soldagem"/>
    <s v="Operador"/>
    <s v="3º Turno"/>
    <x v="1"/>
    <s v="Não"/>
    <x v="2"/>
    <d v="2026-02-04T00:00:00"/>
    <d v="2026-02-01T00:00:00"/>
    <s v="qua"/>
    <x v="3"/>
    <x v="0"/>
    <m/>
    <s v="151446057"/>
  </r>
  <r>
    <n v="1514"/>
    <n v="54"/>
    <s v="Feminino"/>
    <s v="Soldagem"/>
    <s v="Operador"/>
    <s v="3º Turno"/>
    <x v="1"/>
    <s v="Não"/>
    <x v="2"/>
    <d v="2026-03-28T00:00:00"/>
    <d v="2026-03-01T00:00:00"/>
    <s v="sáb"/>
    <x v="4"/>
    <x v="0"/>
    <m/>
    <s v="151446109"/>
  </r>
  <r>
    <n v="1514"/>
    <n v="54"/>
    <s v="Feminino"/>
    <s v="Soldagem"/>
    <s v="Operador"/>
    <s v="3º Turno"/>
    <x v="1"/>
    <s v="Não"/>
    <x v="2"/>
    <d v="2026-04-05T00:00:00"/>
    <d v="2026-04-01T00:00:00"/>
    <s v="dom"/>
    <x v="2"/>
    <x v="0"/>
    <m/>
    <s v="151446117"/>
  </r>
  <r>
    <n v="1515"/>
    <n v="22"/>
    <s v="Masculino"/>
    <s v="Pintura"/>
    <s v="Operador"/>
    <s v="1º Turno"/>
    <x v="0"/>
    <s v="Sim"/>
    <x v="2"/>
    <d v="2025-04-16T00:00:00"/>
    <d v="2025-04-01T00:00:00"/>
    <s v="qua"/>
    <x v="2"/>
    <x v="1"/>
    <d v="2025-08-22T00:00:00"/>
    <s v="151545763"/>
  </r>
  <r>
    <n v="1515"/>
    <n v="22"/>
    <s v="Masculino"/>
    <s v="Pintura"/>
    <s v="Operador"/>
    <s v="1º Turno"/>
    <x v="0"/>
    <s v="Sim"/>
    <x v="2"/>
    <d v="2025-06-05T00:00:00"/>
    <d v="2025-06-01T00:00:00"/>
    <s v="qui"/>
    <x v="1"/>
    <x v="1"/>
    <d v="2025-08-22T00:00:00"/>
    <s v="151545813"/>
  </r>
  <r>
    <n v="1516"/>
    <n v="56"/>
    <s v="Masculino"/>
    <s v="Soldagem"/>
    <s v="Operador"/>
    <s v="3º Turno"/>
    <x v="0"/>
    <s v="Sim"/>
    <x v="0"/>
    <d v="2025-01-15T00:00:00"/>
    <d v="2025-01-01T00:00:00"/>
    <s v="qua"/>
    <x v="5"/>
    <x v="1"/>
    <d v="2025-05-15T00:00:00"/>
    <s v="151645672"/>
  </r>
  <r>
    <n v="1516"/>
    <n v="56"/>
    <s v="Masculino"/>
    <s v="Soldagem"/>
    <s v="Operador"/>
    <s v="3º Turno"/>
    <x v="5"/>
    <s v="Sim"/>
    <x v="0"/>
    <d v="2025-04-16T00:00:00"/>
    <d v="2025-04-01T00:00:00"/>
    <s v="qua"/>
    <x v="2"/>
    <x v="1"/>
    <d v="2025-05-15T00:00:00"/>
    <s v="151645763"/>
  </r>
  <r>
    <n v="1516"/>
    <n v="56"/>
    <s v="Masculino"/>
    <s v="Soldagem"/>
    <s v="Operador"/>
    <s v="3º Turno"/>
    <x v="0"/>
    <s v="Sim"/>
    <x v="0"/>
    <d v="2025-04-30T00:00:00"/>
    <d v="2025-04-01T00:00:00"/>
    <s v="qua"/>
    <x v="2"/>
    <x v="1"/>
    <d v="2025-05-15T00:00:00"/>
    <s v="151645777"/>
  </r>
  <r>
    <n v="1516"/>
    <n v="56"/>
    <s v="Masculino"/>
    <s v="Soldagem"/>
    <s v="Operador"/>
    <s v="3º Turno"/>
    <x v="0"/>
    <s v="Sim"/>
    <x v="0"/>
    <d v="2025-05-06T00:00:00"/>
    <d v="2025-05-01T00:00:00"/>
    <s v="ter"/>
    <x v="0"/>
    <x v="1"/>
    <d v="2025-05-15T00:00:00"/>
    <s v="151645783"/>
  </r>
  <r>
    <n v="1516"/>
    <n v="56"/>
    <s v="Masculino"/>
    <s v="Soldagem"/>
    <s v="Operador"/>
    <s v="3º Turno"/>
    <x v="0"/>
    <s v="Sim"/>
    <x v="0"/>
    <d v="2025-05-09T00:00:00"/>
    <d v="2025-05-01T00:00:00"/>
    <s v="sex"/>
    <x v="0"/>
    <x v="1"/>
    <d v="2025-05-15T00:00:00"/>
    <s v="151645786"/>
  </r>
  <r>
    <n v="1516"/>
    <n v="56"/>
    <s v="Masculino"/>
    <s v="Soldagem"/>
    <s v="Operador"/>
    <s v="3º Turno"/>
    <x v="0"/>
    <s v="Sim"/>
    <x v="0"/>
    <d v="2025-05-14T00:00:00"/>
    <d v="2025-05-01T00:00:00"/>
    <s v="qua"/>
    <x v="0"/>
    <x v="1"/>
    <d v="2025-05-15T00:00:00"/>
    <s v="151645791"/>
  </r>
  <r>
    <n v="1517"/>
    <n v="33"/>
    <s v="Masculino"/>
    <s v="Montagem"/>
    <s v="Operador"/>
    <s v="3º Turno"/>
    <x v="2"/>
    <s v="Sim"/>
    <x v="2"/>
    <d v="2025-04-10T00:00:00"/>
    <d v="2025-04-01T00:00:00"/>
    <s v="qui"/>
    <x v="2"/>
    <x v="1"/>
    <d v="2025-11-26T00:00:00"/>
    <s v="151745757"/>
  </r>
  <r>
    <n v="1517"/>
    <n v="33"/>
    <s v="Masculino"/>
    <s v="Montagem"/>
    <s v="Operador"/>
    <s v="3º Turno"/>
    <x v="0"/>
    <s v="Sim"/>
    <x v="2"/>
    <d v="2025-05-10T00:00:00"/>
    <d v="2025-05-01T00:00:00"/>
    <s v="sáb"/>
    <x v="0"/>
    <x v="1"/>
    <d v="2025-11-26T00:00:00"/>
    <s v="151745787"/>
  </r>
  <r>
    <n v="1517"/>
    <n v="33"/>
    <s v="Masculino"/>
    <s v="Montagem"/>
    <s v="Operador"/>
    <s v="3º Turno"/>
    <x v="0"/>
    <s v="Sim"/>
    <x v="2"/>
    <d v="2025-05-30T00:00:00"/>
    <d v="2025-05-01T00:00:00"/>
    <s v="sex"/>
    <x v="0"/>
    <x v="1"/>
    <d v="2025-11-26T00:00:00"/>
    <s v="151745807"/>
  </r>
  <r>
    <n v="1517"/>
    <n v="33"/>
    <s v="Masculino"/>
    <s v="Montagem"/>
    <s v="Operador"/>
    <s v="3º Turno"/>
    <x v="3"/>
    <s v="Sim"/>
    <x v="2"/>
    <d v="2025-10-09T00:00:00"/>
    <d v="2025-10-01T00:00:00"/>
    <s v="qui"/>
    <x v="11"/>
    <x v="1"/>
    <d v="2025-11-26T00:00:00"/>
    <s v="151745939"/>
  </r>
  <r>
    <n v="1517"/>
    <n v="33"/>
    <s v="Masculino"/>
    <s v="Montagem"/>
    <s v="Operador"/>
    <s v="3º Turno"/>
    <x v="3"/>
    <s v="Sim"/>
    <x v="2"/>
    <d v="2025-10-10T00:00:00"/>
    <d v="2025-10-01T00:00:00"/>
    <s v="sex"/>
    <x v="11"/>
    <x v="1"/>
    <d v="2025-11-26T00:00:00"/>
    <s v="151745940"/>
  </r>
  <r>
    <n v="1517"/>
    <n v="33"/>
    <s v="Masculino"/>
    <s v="Montagem"/>
    <s v="Operador"/>
    <s v="3º Turno"/>
    <x v="0"/>
    <s v="Sim"/>
    <x v="2"/>
    <d v="2025-11-20T00:00:00"/>
    <d v="2025-11-01T00:00:00"/>
    <s v="qui"/>
    <x v="10"/>
    <x v="1"/>
    <d v="2025-11-26T00:00:00"/>
    <s v="151745981"/>
  </r>
  <r>
    <n v="1518"/>
    <n v="32"/>
    <s v="Feminino"/>
    <s v="Soldagem"/>
    <s v="Operador"/>
    <s v="2º Turno"/>
    <x v="0"/>
    <s v="Sim"/>
    <x v="1"/>
    <d v="2025-07-15T00:00:00"/>
    <d v="2025-07-01T00:00:00"/>
    <s v="ter"/>
    <x v="6"/>
    <x v="1"/>
    <d v="2025-09-06T00:00:00"/>
    <s v="151845853"/>
  </r>
  <r>
    <n v="1518"/>
    <n v="32"/>
    <s v="Feminino"/>
    <s v="Soldagem"/>
    <s v="Operador"/>
    <s v="2º Turno"/>
    <x v="0"/>
    <s v="Sim"/>
    <x v="1"/>
    <d v="2025-07-20T00:00:00"/>
    <d v="2025-07-01T00:00:00"/>
    <s v="dom"/>
    <x v="6"/>
    <x v="1"/>
    <d v="2025-09-06T00:00:00"/>
    <s v="151845858"/>
  </r>
  <r>
    <n v="1518"/>
    <n v="32"/>
    <s v="Feminino"/>
    <s v="Soldagem"/>
    <s v="Operador"/>
    <s v="2º Turno"/>
    <x v="0"/>
    <s v="Sim"/>
    <x v="1"/>
    <d v="2025-07-31T00:00:00"/>
    <d v="2025-07-01T00:00:00"/>
    <s v="qui"/>
    <x v="6"/>
    <x v="1"/>
    <d v="2025-09-06T00:00:00"/>
    <s v="151845869"/>
  </r>
  <r>
    <n v="1518"/>
    <n v="32"/>
    <s v="Feminino"/>
    <s v="Soldagem"/>
    <s v="Operador"/>
    <s v="2º Turno"/>
    <x v="3"/>
    <s v="Sim"/>
    <x v="1"/>
    <d v="2025-08-01T00:00:00"/>
    <d v="2025-08-01T00:00:00"/>
    <s v="sex"/>
    <x v="9"/>
    <x v="1"/>
    <d v="2025-09-06T00:00:00"/>
    <s v="151845870"/>
  </r>
  <r>
    <n v="1521"/>
    <n v="28"/>
    <s v="Feminino"/>
    <s v="Soldagem"/>
    <s v="Operador"/>
    <s v="3º Turno"/>
    <x v="0"/>
    <s v="Não"/>
    <x v="0"/>
    <d v="2025-06-12T00:00:00"/>
    <d v="2025-06-01T00:00:00"/>
    <s v="qui"/>
    <x v="1"/>
    <x v="1"/>
    <m/>
    <s v="152145820"/>
  </r>
  <r>
    <n v="1521"/>
    <n v="28"/>
    <s v="Feminino"/>
    <s v="Soldagem"/>
    <s v="Operador"/>
    <s v="3º Turno"/>
    <x v="4"/>
    <s v="Não"/>
    <x v="0"/>
    <d v="2025-09-18T00:00:00"/>
    <d v="2025-09-01T00:00:00"/>
    <s v="qui"/>
    <x v="7"/>
    <x v="1"/>
    <m/>
    <s v="152145918"/>
  </r>
  <r>
    <n v="1521"/>
    <n v="28"/>
    <s v="Feminino"/>
    <s v="Soldagem"/>
    <s v="Operador"/>
    <s v="3º Turno"/>
    <x v="0"/>
    <s v="Não"/>
    <x v="0"/>
    <d v="2025-12-03T00:00:00"/>
    <d v="2025-12-01T00:00:00"/>
    <s v="qua"/>
    <x v="8"/>
    <x v="1"/>
    <m/>
    <s v="152145994"/>
  </r>
  <r>
    <n v="1521"/>
    <n v="28"/>
    <s v="Feminino"/>
    <s v="Soldagem"/>
    <s v="Operador"/>
    <s v="3º Turno"/>
    <x v="0"/>
    <s v="Não"/>
    <x v="0"/>
    <d v="2026-02-11T00:00:00"/>
    <d v="2026-02-01T00:00:00"/>
    <s v="qua"/>
    <x v="3"/>
    <x v="0"/>
    <m/>
    <s v="152146064"/>
  </r>
  <r>
    <n v="1521"/>
    <n v="28"/>
    <s v="Feminino"/>
    <s v="Soldagem"/>
    <s v="Operador"/>
    <s v="3º Turno"/>
    <x v="0"/>
    <s v="Não"/>
    <x v="0"/>
    <d v="2026-02-12T00:00:00"/>
    <d v="2026-02-01T00:00:00"/>
    <s v="qui"/>
    <x v="3"/>
    <x v="0"/>
    <m/>
    <s v="152146065"/>
  </r>
  <r>
    <n v="1521"/>
    <n v="28"/>
    <s v="Feminino"/>
    <s v="Soldagem"/>
    <s v="Operador"/>
    <s v="3º Turno"/>
    <x v="4"/>
    <s v="Não"/>
    <x v="0"/>
    <d v="2026-03-09T00:00:00"/>
    <d v="2026-03-01T00:00:00"/>
    <s v="seg"/>
    <x v="4"/>
    <x v="0"/>
    <m/>
    <s v="152146090"/>
  </r>
  <r>
    <n v="1522"/>
    <n v="29"/>
    <s v="Masculino"/>
    <s v="Soldagem"/>
    <s v="Operador"/>
    <s v="3º Turno"/>
    <x v="0"/>
    <s v="Sim"/>
    <x v="0"/>
    <d v="2025-05-21T00:00:00"/>
    <d v="2025-05-01T00:00:00"/>
    <s v="qua"/>
    <x v="0"/>
    <x v="1"/>
    <d v="2026-06-10T00:00:00"/>
    <s v="152245798"/>
  </r>
  <r>
    <n v="1522"/>
    <n v="29"/>
    <s v="Masculino"/>
    <s v="Soldagem"/>
    <s v="Operador"/>
    <s v="3º Turno"/>
    <x v="0"/>
    <s v="Sim"/>
    <x v="0"/>
    <d v="2025-06-19T00:00:00"/>
    <d v="2025-06-01T00:00:00"/>
    <s v="qui"/>
    <x v="1"/>
    <x v="1"/>
    <d v="2026-06-10T00:00:00"/>
    <s v="152245827"/>
  </r>
  <r>
    <n v="1522"/>
    <n v="29"/>
    <s v="Masculino"/>
    <s v="Soldagem"/>
    <s v="Operador"/>
    <s v="3º Turno"/>
    <x v="0"/>
    <s v="Sim"/>
    <x v="0"/>
    <d v="2025-06-29T00:00:00"/>
    <d v="2025-06-01T00:00:00"/>
    <s v="dom"/>
    <x v="1"/>
    <x v="1"/>
    <d v="2026-06-10T00:00:00"/>
    <s v="152245837"/>
  </r>
  <r>
    <n v="1522"/>
    <n v="29"/>
    <s v="Masculino"/>
    <s v="Soldagem"/>
    <s v="Operador"/>
    <s v="3º Turno"/>
    <x v="0"/>
    <s v="Sim"/>
    <x v="0"/>
    <d v="2025-12-18T00:00:00"/>
    <d v="2025-12-01T00:00:00"/>
    <s v="qui"/>
    <x v="8"/>
    <x v="1"/>
    <d v="2026-06-10T00:00:00"/>
    <s v="152246009"/>
  </r>
  <r>
    <n v="1522"/>
    <n v="29"/>
    <s v="Masculino"/>
    <s v="Soldagem"/>
    <s v="Operador"/>
    <s v="3º Turno"/>
    <x v="0"/>
    <s v="Sim"/>
    <x v="0"/>
    <d v="2026-06-01T00:00:00"/>
    <d v="2026-01-01T00:00:00"/>
    <s v="seg"/>
    <x v="1"/>
    <x v="0"/>
    <d v="2026-06-10T00:00:00"/>
    <s v="152246174"/>
  </r>
  <r>
    <n v="1522"/>
    <n v="29"/>
    <s v="Masculino"/>
    <s v="Soldagem"/>
    <s v="Operador"/>
    <s v="3º Turno"/>
    <x v="0"/>
    <s v="Sim"/>
    <x v="0"/>
    <d v="2026-02-07T00:00:00"/>
    <d v="2026-02-01T00:00:00"/>
    <s v="sáb"/>
    <x v="3"/>
    <x v="0"/>
    <d v="2026-06-10T00:00:00"/>
    <s v="152246060"/>
  </r>
  <r>
    <n v="1526"/>
    <n v="26"/>
    <s v="Masculino"/>
    <s v="Soldagem"/>
    <s v="Operador"/>
    <s v="2º Turno"/>
    <x v="5"/>
    <s v="Sim"/>
    <x v="0"/>
    <d v="2025-01-16T00:00:00"/>
    <d v="2025-01-01T00:00:00"/>
    <s v="qui"/>
    <x v="5"/>
    <x v="1"/>
    <d v="2025-07-06T00:00:00"/>
    <s v="152645673"/>
  </r>
  <r>
    <n v="1526"/>
    <n v="26"/>
    <s v="Masculino"/>
    <s v="Soldagem"/>
    <s v="Operador"/>
    <s v="2º Turno"/>
    <x v="1"/>
    <s v="Sim"/>
    <x v="0"/>
    <d v="2025-05-31T00:00:00"/>
    <d v="2025-05-01T00:00:00"/>
    <s v="sáb"/>
    <x v="0"/>
    <x v="1"/>
    <d v="2025-07-06T00:00:00"/>
    <s v="152645808"/>
  </r>
  <r>
    <n v="1526"/>
    <n v="26"/>
    <s v="Masculino"/>
    <s v="Soldagem"/>
    <s v="Operador"/>
    <s v="2º Turno"/>
    <x v="1"/>
    <s v="Sim"/>
    <x v="0"/>
    <d v="2025-06-01T00:00:00"/>
    <d v="2025-06-01T00:00:00"/>
    <s v="dom"/>
    <x v="1"/>
    <x v="1"/>
    <d v="2025-07-06T00:00:00"/>
    <s v="152645809"/>
  </r>
  <r>
    <n v="1526"/>
    <n v="26"/>
    <s v="Masculino"/>
    <s v="Soldagem"/>
    <s v="Operador"/>
    <s v="2º Turno"/>
    <x v="1"/>
    <s v="Sim"/>
    <x v="0"/>
    <d v="2025-07-03T00:00:00"/>
    <d v="2025-07-01T00:00:00"/>
    <s v="qui"/>
    <x v="6"/>
    <x v="1"/>
    <d v="2025-07-06T00:00:00"/>
    <s v="152645841"/>
  </r>
  <r>
    <n v="1527"/>
    <n v="46"/>
    <s v="Feminino"/>
    <s v="Logistica"/>
    <s v="Operador"/>
    <s v="1º Turno"/>
    <x v="0"/>
    <s v="Não"/>
    <x v="1"/>
    <d v="2025-06-21T00:00:00"/>
    <d v="2025-06-01T00:00:00"/>
    <s v="sáb"/>
    <x v="1"/>
    <x v="1"/>
    <m/>
    <s v="152745829"/>
  </r>
  <r>
    <n v="1527"/>
    <n v="46"/>
    <s v="Feminino"/>
    <s v="Logistica"/>
    <s v="Operador"/>
    <s v="1º Turno"/>
    <x v="0"/>
    <s v="Não"/>
    <x v="1"/>
    <d v="2025-08-04T00:00:00"/>
    <d v="2025-08-01T00:00:00"/>
    <s v="seg"/>
    <x v="9"/>
    <x v="1"/>
    <m/>
    <s v="152745873"/>
  </r>
  <r>
    <n v="1527"/>
    <n v="46"/>
    <s v="Feminino"/>
    <s v="Logistica"/>
    <s v="Operador"/>
    <s v="1º Turno"/>
    <x v="0"/>
    <s v="Não"/>
    <x v="1"/>
    <d v="2025-08-20T00:00:00"/>
    <d v="2025-08-01T00:00:00"/>
    <s v="qua"/>
    <x v="9"/>
    <x v="1"/>
    <m/>
    <s v="152745889"/>
  </r>
  <r>
    <n v="1527"/>
    <n v="46"/>
    <s v="Feminino"/>
    <s v="Logistica"/>
    <s v="Operador"/>
    <s v="1º Turno"/>
    <x v="0"/>
    <s v="Não"/>
    <x v="1"/>
    <d v="2025-08-22T00:00:00"/>
    <d v="2025-08-01T00:00:00"/>
    <s v="sex"/>
    <x v="9"/>
    <x v="1"/>
    <m/>
    <s v="152745891"/>
  </r>
  <r>
    <n v="1527"/>
    <n v="46"/>
    <s v="Feminino"/>
    <s v="Logistica"/>
    <s v="Operador"/>
    <s v="1º Turno"/>
    <x v="0"/>
    <s v="Não"/>
    <x v="1"/>
    <d v="2025-11-04T00:00:00"/>
    <d v="2025-11-01T00:00:00"/>
    <s v="ter"/>
    <x v="10"/>
    <x v="1"/>
    <m/>
    <s v="152745965"/>
  </r>
  <r>
    <n v="1528"/>
    <n v="49"/>
    <s v="Masculino"/>
    <s v="Pintura"/>
    <s v="Operador"/>
    <s v="2º Turno"/>
    <x v="4"/>
    <s v="Não"/>
    <x v="0"/>
    <d v="2025-08-08T00:00:00"/>
    <d v="2025-08-01T00:00:00"/>
    <s v="sex"/>
    <x v="9"/>
    <x v="1"/>
    <m/>
    <s v="152845877"/>
  </r>
  <r>
    <n v="1528"/>
    <n v="49"/>
    <s v="Masculino"/>
    <s v="Pintura"/>
    <s v="Operador"/>
    <s v="2º Turno"/>
    <x v="4"/>
    <s v="Não"/>
    <x v="0"/>
    <d v="2025-09-15T00:00:00"/>
    <d v="2025-09-01T00:00:00"/>
    <s v="seg"/>
    <x v="7"/>
    <x v="1"/>
    <m/>
    <s v="152845915"/>
  </r>
  <r>
    <n v="1528"/>
    <n v="49"/>
    <s v="Masculino"/>
    <s v="Pintura"/>
    <s v="Operador"/>
    <s v="2º Turno"/>
    <x v="4"/>
    <s v="Não"/>
    <x v="0"/>
    <d v="2025-10-06T00:00:00"/>
    <d v="2025-10-01T00:00:00"/>
    <s v="seg"/>
    <x v="11"/>
    <x v="1"/>
    <m/>
    <s v="152845936"/>
  </r>
  <r>
    <n v="1528"/>
    <n v="49"/>
    <s v="Masculino"/>
    <s v="Pintura"/>
    <s v="Operador"/>
    <s v="2º Turno"/>
    <x v="4"/>
    <s v="Não"/>
    <x v="0"/>
    <d v="2025-11-08T00:00:00"/>
    <d v="2025-11-01T00:00:00"/>
    <s v="sáb"/>
    <x v="10"/>
    <x v="1"/>
    <m/>
    <s v="152845969"/>
  </r>
  <r>
    <n v="1528"/>
    <n v="49"/>
    <s v="Masculino"/>
    <s v="Pintura"/>
    <s v="Operador"/>
    <s v="2º Turno"/>
    <x v="0"/>
    <s v="Não"/>
    <x v="0"/>
    <d v="2025-11-14T00:00:00"/>
    <d v="2025-11-01T00:00:00"/>
    <s v="sex"/>
    <x v="10"/>
    <x v="1"/>
    <m/>
    <s v="152845975"/>
  </r>
  <r>
    <n v="1528"/>
    <n v="49"/>
    <s v="Masculino"/>
    <s v="Pintura"/>
    <s v="Operador"/>
    <s v="2º Turno"/>
    <x v="0"/>
    <s v="Não"/>
    <x v="0"/>
    <d v="2025-11-19T00:00:00"/>
    <d v="2025-11-01T00:00:00"/>
    <s v="qua"/>
    <x v="10"/>
    <x v="1"/>
    <m/>
    <s v="152845980"/>
  </r>
  <r>
    <n v="1529"/>
    <n v="52"/>
    <s v="Masculino"/>
    <s v="Montagem"/>
    <s v="Operador"/>
    <s v="2º Turno"/>
    <x v="4"/>
    <s v="Não"/>
    <x v="2"/>
    <d v="2025-09-10T00:00:00"/>
    <d v="2025-09-01T00:00:00"/>
    <s v="qua"/>
    <x v="7"/>
    <x v="1"/>
    <m/>
    <s v="152945910"/>
  </r>
  <r>
    <n v="1529"/>
    <n v="52"/>
    <s v="Masculino"/>
    <s v="Montagem"/>
    <s v="Operador"/>
    <s v="2º Turno"/>
    <x v="4"/>
    <s v="Não"/>
    <x v="2"/>
    <d v="2025-10-19T00:00:00"/>
    <d v="2025-10-01T00:00:00"/>
    <s v="dom"/>
    <x v="11"/>
    <x v="1"/>
    <m/>
    <s v="152945949"/>
  </r>
  <r>
    <n v="1529"/>
    <n v="52"/>
    <s v="Masculino"/>
    <s v="Montagem"/>
    <s v="Operador"/>
    <s v="2º Turno"/>
    <x v="4"/>
    <s v="Não"/>
    <x v="2"/>
    <d v="2025-11-17T00:00:00"/>
    <d v="2025-11-01T00:00:00"/>
    <s v="seg"/>
    <x v="10"/>
    <x v="1"/>
    <m/>
    <s v="152945978"/>
  </r>
  <r>
    <n v="1529"/>
    <n v="52"/>
    <s v="Masculino"/>
    <s v="Montagem"/>
    <s v="Operador"/>
    <s v="2º Turno"/>
    <x v="4"/>
    <s v="Não"/>
    <x v="2"/>
    <d v="2026-02-01T00:00:00"/>
    <d v="2026-02-01T00:00:00"/>
    <s v="dom"/>
    <x v="3"/>
    <x v="0"/>
    <m/>
    <s v="152946054"/>
  </r>
  <r>
    <n v="1529"/>
    <n v="52"/>
    <s v="Masculino"/>
    <s v="Montagem"/>
    <s v="Operador"/>
    <s v="2º Turno"/>
    <x v="4"/>
    <s v="Não"/>
    <x v="2"/>
    <d v="2026-02-12T00:00:00"/>
    <d v="2026-02-01T00:00:00"/>
    <s v="qui"/>
    <x v="3"/>
    <x v="0"/>
    <m/>
    <s v="152946065"/>
  </r>
  <r>
    <n v="1529"/>
    <n v="52"/>
    <s v="Masculino"/>
    <s v="Montagem"/>
    <s v="Operador"/>
    <s v="2º Turno"/>
    <x v="4"/>
    <s v="Não"/>
    <x v="2"/>
    <d v="2026-02-15T00:00:00"/>
    <d v="2026-02-01T00:00:00"/>
    <s v="dom"/>
    <x v="3"/>
    <x v="0"/>
    <m/>
    <s v="152946068"/>
  </r>
  <r>
    <n v="1531"/>
    <n v="23"/>
    <s v="Masculino"/>
    <s v="Logistica"/>
    <s v="Operador"/>
    <s v="1º Turno"/>
    <x v="3"/>
    <s v="Sim"/>
    <x v="1"/>
    <d v="2025-05-10T00:00:00"/>
    <d v="2025-05-01T00:00:00"/>
    <s v="sáb"/>
    <x v="0"/>
    <x v="1"/>
    <d v="2026-06-14T00:00:00"/>
    <s v="153145787"/>
  </r>
  <r>
    <n v="1531"/>
    <n v="23"/>
    <s v="Masculino"/>
    <s v="Logistica"/>
    <s v="Operador"/>
    <s v="1º Turno"/>
    <x v="0"/>
    <s v="Sim"/>
    <x v="1"/>
    <d v="2025-05-12T00:00:00"/>
    <d v="2025-05-01T00:00:00"/>
    <s v="seg"/>
    <x v="0"/>
    <x v="1"/>
    <d v="2026-06-14T00:00:00"/>
    <s v="153145789"/>
  </r>
  <r>
    <n v="1531"/>
    <n v="23"/>
    <s v="Masculino"/>
    <s v="Logistica"/>
    <s v="Operador"/>
    <s v="1º Turno"/>
    <x v="0"/>
    <s v="Sim"/>
    <x v="1"/>
    <d v="2025-06-16T00:00:00"/>
    <d v="2025-06-01T00:00:00"/>
    <s v="seg"/>
    <x v="1"/>
    <x v="1"/>
    <d v="2026-06-14T00:00:00"/>
    <s v="153145824"/>
  </r>
  <r>
    <n v="1531"/>
    <n v="23"/>
    <s v="Masculino"/>
    <s v="Logistica"/>
    <s v="Operador"/>
    <s v="1º Turno"/>
    <x v="3"/>
    <s v="Sim"/>
    <x v="1"/>
    <d v="2025-07-21T00:00:00"/>
    <d v="2025-07-01T00:00:00"/>
    <s v="seg"/>
    <x v="6"/>
    <x v="1"/>
    <d v="2026-06-14T00:00:00"/>
    <s v="153145859"/>
  </r>
  <r>
    <n v="1531"/>
    <n v="23"/>
    <s v="Masculino"/>
    <s v="Logistica"/>
    <s v="Operador"/>
    <s v="1º Turno"/>
    <x v="0"/>
    <s v="Sim"/>
    <x v="1"/>
    <d v="2025-11-07T00:00:00"/>
    <d v="2025-11-01T00:00:00"/>
    <s v="sex"/>
    <x v="10"/>
    <x v="1"/>
    <d v="2026-06-14T00:00:00"/>
    <s v="153145968"/>
  </r>
  <r>
    <n v="1531"/>
    <n v="23"/>
    <s v="Masculino"/>
    <s v="Logistica"/>
    <s v="Operador"/>
    <s v="1º Turno"/>
    <x v="0"/>
    <s v="Sim"/>
    <x v="1"/>
    <d v="2026-02-13T00:00:00"/>
    <d v="2026-02-01T00:00:00"/>
    <s v="sex"/>
    <x v="3"/>
    <x v="0"/>
    <d v="2026-06-14T00:00:00"/>
    <s v="153146066"/>
  </r>
  <r>
    <n v="1532"/>
    <n v="26"/>
    <s v="Feminino"/>
    <s v="Logistica"/>
    <s v="Operador"/>
    <s v="1º Turno"/>
    <x v="0"/>
    <s v="Não"/>
    <x v="2"/>
    <d v="2025-09-19T00:00:00"/>
    <d v="2025-09-01T00:00:00"/>
    <s v="sex"/>
    <x v="7"/>
    <x v="1"/>
    <m/>
    <s v="153245919"/>
  </r>
  <r>
    <n v="1532"/>
    <n v="26"/>
    <s v="Feminino"/>
    <s v="Logistica"/>
    <s v="Operador"/>
    <s v="1º Turno"/>
    <x v="0"/>
    <s v="Não"/>
    <x v="2"/>
    <d v="2025-12-23T00:00:00"/>
    <d v="2025-12-01T00:00:00"/>
    <s v="ter"/>
    <x v="8"/>
    <x v="1"/>
    <m/>
    <s v="153246014"/>
  </r>
  <r>
    <n v="1532"/>
    <n v="26"/>
    <s v="Feminino"/>
    <s v="Logistica"/>
    <s v="Operador"/>
    <s v="1º Turno"/>
    <x v="0"/>
    <s v="Não"/>
    <x v="2"/>
    <d v="2026-06-07T00:00:00"/>
    <d v="2026-01-01T00:00:00"/>
    <s v="dom"/>
    <x v="1"/>
    <x v="0"/>
    <m/>
    <s v="153246180"/>
  </r>
  <r>
    <n v="1532"/>
    <n v="26"/>
    <s v="Feminino"/>
    <s v="Logistica"/>
    <s v="Operador"/>
    <s v="1º Turno"/>
    <x v="0"/>
    <s v="Não"/>
    <x v="2"/>
    <d v="2026-06-16T00:00:00"/>
    <d v="2026-01-01T00:00:00"/>
    <s v="ter"/>
    <x v="1"/>
    <x v="0"/>
    <m/>
    <s v="153246189"/>
  </r>
  <r>
    <n v="1534"/>
    <n v="33"/>
    <s v="Masculino"/>
    <s v="Soldagem"/>
    <s v="Operador"/>
    <s v="3º Turno"/>
    <x v="4"/>
    <s v="Não"/>
    <x v="2"/>
    <d v="2025-06-08T00:00:00"/>
    <d v="2025-06-01T00:00:00"/>
    <s v="dom"/>
    <x v="1"/>
    <x v="1"/>
    <m/>
    <s v="153445816"/>
  </r>
  <r>
    <n v="1534"/>
    <n v="33"/>
    <s v="Masculino"/>
    <s v="Soldagem"/>
    <s v="Operador"/>
    <s v="3º Turno"/>
    <x v="0"/>
    <s v="Não"/>
    <x v="2"/>
    <d v="2025-06-25T00:00:00"/>
    <d v="2025-06-01T00:00:00"/>
    <s v="qua"/>
    <x v="1"/>
    <x v="1"/>
    <m/>
    <s v="153445833"/>
  </r>
  <r>
    <n v="1534"/>
    <n v="33"/>
    <s v="Masculino"/>
    <s v="Soldagem"/>
    <s v="Operador"/>
    <s v="3º Turno"/>
    <x v="4"/>
    <s v="Não"/>
    <x v="2"/>
    <d v="2025-06-26T00:00:00"/>
    <d v="2025-06-01T00:00:00"/>
    <s v="qui"/>
    <x v="1"/>
    <x v="1"/>
    <m/>
    <s v="153445834"/>
  </r>
  <r>
    <n v="1534"/>
    <n v="33"/>
    <s v="Masculino"/>
    <s v="Soldagem"/>
    <s v="Operador"/>
    <s v="3º Turno"/>
    <x v="4"/>
    <s v="Não"/>
    <x v="2"/>
    <d v="2025-10-05T00:00:00"/>
    <d v="2025-10-01T00:00:00"/>
    <s v="dom"/>
    <x v="11"/>
    <x v="1"/>
    <m/>
    <s v="153445935"/>
  </r>
  <r>
    <n v="1534"/>
    <n v="33"/>
    <s v="Masculino"/>
    <s v="Soldagem"/>
    <s v="Operador"/>
    <s v="3º Turno"/>
    <x v="4"/>
    <s v="Não"/>
    <x v="2"/>
    <d v="2026-02-23T00:00:00"/>
    <d v="2026-02-01T00:00:00"/>
    <s v="seg"/>
    <x v="3"/>
    <x v="0"/>
    <m/>
    <s v="153446076"/>
  </r>
  <r>
    <n v="1534"/>
    <n v="33"/>
    <s v="Masculino"/>
    <s v="Soldagem"/>
    <s v="Operador"/>
    <s v="3º Turno"/>
    <x v="4"/>
    <s v="Não"/>
    <x v="2"/>
    <d v="2026-03-23T00:00:00"/>
    <d v="2026-03-01T00:00:00"/>
    <s v="seg"/>
    <x v="4"/>
    <x v="0"/>
    <m/>
    <s v="153446104"/>
  </r>
  <r>
    <n v="1535"/>
    <n v="41"/>
    <s v="Masculino"/>
    <s v="Qualidade"/>
    <s v="Inspetor"/>
    <s v="3º Turno"/>
    <x v="0"/>
    <s v="Sim"/>
    <x v="1"/>
    <d v="2025-05-01T00:00:00"/>
    <d v="2025-05-01T00:00:00"/>
    <s v="qui"/>
    <x v="0"/>
    <x v="1"/>
    <d v="2025-09-20T00:00:00"/>
    <s v="153545778"/>
  </r>
  <r>
    <n v="1535"/>
    <n v="41"/>
    <s v="Masculino"/>
    <s v="Qualidade"/>
    <s v="Inspetor"/>
    <s v="3º Turno"/>
    <x v="0"/>
    <s v="Sim"/>
    <x v="1"/>
    <d v="2025-05-10T00:00:00"/>
    <d v="2025-05-01T00:00:00"/>
    <s v="sáb"/>
    <x v="0"/>
    <x v="1"/>
    <d v="2025-09-20T00:00:00"/>
    <s v="153545787"/>
  </r>
  <r>
    <n v="1535"/>
    <n v="41"/>
    <s v="Masculino"/>
    <s v="Qualidade"/>
    <s v="Inspetor"/>
    <s v="3º Turno"/>
    <x v="0"/>
    <s v="Sim"/>
    <x v="1"/>
    <d v="2025-08-02T00:00:00"/>
    <d v="2025-08-01T00:00:00"/>
    <s v="sáb"/>
    <x v="9"/>
    <x v="1"/>
    <d v="2025-09-20T00:00:00"/>
    <s v="153545871"/>
  </r>
  <r>
    <n v="1535"/>
    <n v="41"/>
    <s v="Masculino"/>
    <s v="Qualidade"/>
    <s v="Inspetor"/>
    <s v="3º Turno"/>
    <x v="0"/>
    <s v="Sim"/>
    <x v="1"/>
    <d v="2025-08-03T00:00:00"/>
    <d v="2025-08-01T00:00:00"/>
    <s v="dom"/>
    <x v="9"/>
    <x v="1"/>
    <d v="2025-09-20T00:00:00"/>
    <s v="153545872"/>
  </r>
  <r>
    <n v="1535"/>
    <n v="41"/>
    <s v="Masculino"/>
    <s v="Qualidade"/>
    <s v="Inspetor"/>
    <s v="3º Turno"/>
    <x v="0"/>
    <s v="Sim"/>
    <x v="1"/>
    <d v="2025-08-14T00:00:00"/>
    <d v="2025-08-01T00:00:00"/>
    <s v="qui"/>
    <x v="9"/>
    <x v="1"/>
    <d v="2025-09-20T00:00:00"/>
    <s v="153545883"/>
  </r>
  <r>
    <n v="1535"/>
    <n v="41"/>
    <s v="Masculino"/>
    <s v="Qualidade"/>
    <s v="Inspetor"/>
    <s v="3º Turno"/>
    <x v="2"/>
    <s v="Sim"/>
    <x v="1"/>
    <d v="2025-08-24T00:00:00"/>
    <d v="2025-08-01T00:00:00"/>
    <s v="dom"/>
    <x v="9"/>
    <x v="1"/>
    <d v="2025-09-20T00:00:00"/>
    <s v="153545893"/>
  </r>
  <r>
    <n v="1537"/>
    <n v="21"/>
    <s v="Feminino"/>
    <s v="Montagem"/>
    <s v="Operador"/>
    <s v="2º Turno"/>
    <x v="1"/>
    <s v="Não"/>
    <x v="2"/>
    <d v="2025-07-19T00:00:00"/>
    <d v="2025-07-01T00:00:00"/>
    <s v="sáb"/>
    <x v="6"/>
    <x v="1"/>
    <m/>
    <s v="153745857"/>
  </r>
  <r>
    <n v="1537"/>
    <n v="21"/>
    <s v="Feminino"/>
    <s v="Montagem"/>
    <s v="Operador"/>
    <s v="2º Turno"/>
    <x v="1"/>
    <s v="Não"/>
    <x v="2"/>
    <d v="2025-08-10T00:00:00"/>
    <d v="2025-08-01T00:00:00"/>
    <s v="dom"/>
    <x v="9"/>
    <x v="1"/>
    <m/>
    <s v="153745879"/>
  </r>
  <r>
    <n v="1537"/>
    <n v="21"/>
    <s v="Feminino"/>
    <s v="Montagem"/>
    <s v="Operador"/>
    <s v="2º Turno"/>
    <x v="1"/>
    <s v="Não"/>
    <x v="2"/>
    <d v="2025-09-11T00:00:00"/>
    <d v="2025-09-01T00:00:00"/>
    <s v="qui"/>
    <x v="7"/>
    <x v="1"/>
    <m/>
    <s v="153745911"/>
  </r>
  <r>
    <n v="1537"/>
    <n v="21"/>
    <s v="Feminino"/>
    <s v="Montagem"/>
    <s v="Operador"/>
    <s v="2º Turno"/>
    <x v="1"/>
    <s v="Não"/>
    <x v="2"/>
    <d v="2025-10-06T00:00:00"/>
    <d v="2025-10-01T00:00:00"/>
    <s v="seg"/>
    <x v="11"/>
    <x v="1"/>
    <m/>
    <s v="153745936"/>
  </r>
  <r>
    <n v="1537"/>
    <n v="21"/>
    <s v="Feminino"/>
    <s v="Montagem"/>
    <s v="Operador"/>
    <s v="2º Turno"/>
    <x v="1"/>
    <s v="Não"/>
    <x v="2"/>
    <d v="2025-10-11T00:00:00"/>
    <d v="2025-10-01T00:00:00"/>
    <s v="sáb"/>
    <x v="11"/>
    <x v="1"/>
    <m/>
    <s v="153745941"/>
  </r>
  <r>
    <n v="1537"/>
    <n v="21"/>
    <s v="Feminino"/>
    <s v="Montagem"/>
    <s v="Operador"/>
    <s v="2º Turno"/>
    <x v="1"/>
    <s v="Não"/>
    <x v="2"/>
    <d v="2026-02-11T00:00:00"/>
    <d v="2026-02-01T00:00:00"/>
    <s v="qua"/>
    <x v="3"/>
    <x v="0"/>
    <m/>
    <s v="153746064"/>
  </r>
  <r>
    <n v="1539"/>
    <n v="32"/>
    <s v="Masculino"/>
    <s v="Pintura"/>
    <s v="Operador"/>
    <s v="3º Turno"/>
    <x v="0"/>
    <s v="Sim"/>
    <x v="1"/>
    <d v="2025-05-28T00:00:00"/>
    <d v="2025-05-01T00:00:00"/>
    <s v="qua"/>
    <x v="0"/>
    <x v="1"/>
    <d v="2025-12-06T00:00:00"/>
    <s v="153945805"/>
  </r>
  <r>
    <n v="1539"/>
    <n v="32"/>
    <s v="Masculino"/>
    <s v="Pintura"/>
    <s v="Operador"/>
    <s v="3º Turno"/>
    <x v="0"/>
    <s v="Sim"/>
    <x v="1"/>
    <d v="2025-07-08T00:00:00"/>
    <d v="2025-07-01T00:00:00"/>
    <s v="ter"/>
    <x v="6"/>
    <x v="1"/>
    <d v="2025-12-06T00:00:00"/>
    <s v="153945846"/>
  </r>
  <r>
    <n v="1539"/>
    <n v="32"/>
    <s v="Masculino"/>
    <s v="Pintura"/>
    <s v="Operador"/>
    <s v="3º Turno"/>
    <x v="0"/>
    <s v="Sim"/>
    <x v="1"/>
    <d v="2025-09-14T00:00:00"/>
    <d v="2025-09-01T00:00:00"/>
    <s v="dom"/>
    <x v="7"/>
    <x v="1"/>
    <d v="2025-12-06T00:00:00"/>
    <s v="153945914"/>
  </r>
  <r>
    <n v="1539"/>
    <n v="32"/>
    <s v="Masculino"/>
    <s v="Pintura"/>
    <s v="Operador"/>
    <s v="3º Turno"/>
    <x v="0"/>
    <s v="Sim"/>
    <x v="1"/>
    <d v="2025-09-15T00:00:00"/>
    <d v="2025-09-01T00:00:00"/>
    <s v="seg"/>
    <x v="7"/>
    <x v="1"/>
    <d v="2025-12-06T00:00:00"/>
    <s v="153945915"/>
  </r>
  <r>
    <n v="1539"/>
    <n v="32"/>
    <s v="Masculino"/>
    <s v="Pintura"/>
    <s v="Operador"/>
    <s v="3º Turno"/>
    <x v="0"/>
    <s v="Sim"/>
    <x v="1"/>
    <d v="2025-10-10T00:00:00"/>
    <d v="2025-10-01T00:00:00"/>
    <s v="sex"/>
    <x v="11"/>
    <x v="1"/>
    <d v="2025-12-06T00:00:00"/>
    <s v="153945940"/>
  </r>
  <r>
    <n v="1539"/>
    <n v="32"/>
    <s v="Masculino"/>
    <s v="Pintura"/>
    <s v="Operador"/>
    <s v="3º Turno"/>
    <x v="0"/>
    <s v="Sim"/>
    <x v="1"/>
    <d v="2025-11-10T00:00:00"/>
    <d v="2025-11-01T00:00:00"/>
    <s v="seg"/>
    <x v="10"/>
    <x v="1"/>
    <d v="2025-12-06T00:00:00"/>
    <s v="153945971"/>
  </r>
  <r>
    <n v="1540"/>
    <n v="39"/>
    <s v="Feminino"/>
    <s v="Qualidade"/>
    <s v="Inspetor"/>
    <s v="3º Turno"/>
    <x v="4"/>
    <s v="Não"/>
    <x v="0"/>
    <d v="2025-04-21T00:00:00"/>
    <d v="2025-04-01T00:00:00"/>
    <s v="seg"/>
    <x v="2"/>
    <x v="1"/>
    <m/>
    <s v="154045768"/>
  </r>
  <r>
    <n v="1540"/>
    <n v="39"/>
    <s v="Feminino"/>
    <s v="Qualidade"/>
    <s v="Inspetor"/>
    <s v="3º Turno"/>
    <x v="4"/>
    <s v="Não"/>
    <x v="0"/>
    <d v="2025-10-27T00:00:00"/>
    <d v="2025-10-01T00:00:00"/>
    <s v="seg"/>
    <x v="11"/>
    <x v="1"/>
    <m/>
    <s v="154045957"/>
  </r>
  <r>
    <n v="1540"/>
    <n v="39"/>
    <s v="Feminino"/>
    <s v="Qualidade"/>
    <s v="Inspetor"/>
    <s v="3º Turno"/>
    <x v="4"/>
    <s v="Não"/>
    <x v="0"/>
    <d v="2025-11-23T00:00:00"/>
    <d v="2025-11-01T00:00:00"/>
    <s v="dom"/>
    <x v="10"/>
    <x v="1"/>
    <m/>
    <s v="154045984"/>
  </r>
  <r>
    <n v="1540"/>
    <n v="39"/>
    <s v="Feminino"/>
    <s v="Qualidade"/>
    <s v="Inspetor"/>
    <s v="3º Turno"/>
    <x v="4"/>
    <s v="Não"/>
    <x v="0"/>
    <d v="2026-06-22T00:00:00"/>
    <d v="2026-01-01T00:00:00"/>
    <s v="seg"/>
    <x v="1"/>
    <x v="0"/>
    <m/>
    <s v="154046195"/>
  </r>
  <r>
    <n v="1540"/>
    <n v="39"/>
    <s v="Feminino"/>
    <s v="Qualidade"/>
    <s v="Inspetor"/>
    <s v="3º Turno"/>
    <x v="4"/>
    <s v="Não"/>
    <x v="0"/>
    <d v="2026-03-19T00:00:00"/>
    <d v="2026-03-01T00:00:00"/>
    <s v="qui"/>
    <x v="4"/>
    <x v="0"/>
    <m/>
    <s v="154046100"/>
  </r>
  <r>
    <n v="1540"/>
    <n v="39"/>
    <s v="Feminino"/>
    <s v="Qualidade"/>
    <s v="Inspetor"/>
    <s v="3º Turno"/>
    <x v="4"/>
    <s v="Não"/>
    <x v="0"/>
    <d v="2026-03-22T00:00:00"/>
    <d v="2026-03-01T00:00:00"/>
    <s v="dom"/>
    <x v="4"/>
    <x v="0"/>
    <m/>
    <s v="154046103"/>
  </r>
  <r>
    <n v="1540"/>
    <n v="39"/>
    <s v="Feminino"/>
    <s v="Qualidade"/>
    <s v="Inspetor"/>
    <s v="3º Turno"/>
    <x v="4"/>
    <s v="Não"/>
    <x v="0"/>
    <d v="2026-04-21T00:00:00"/>
    <d v="2026-04-01T00:00:00"/>
    <s v="seg"/>
    <x v="2"/>
    <x v="1"/>
    <m/>
    <s v="154046133"/>
  </r>
  <r>
    <n v="1541"/>
    <n v="37"/>
    <s v="Feminino"/>
    <s v="Soldagem"/>
    <s v="Operador"/>
    <s v="1º Turno"/>
    <x v="4"/>
    <s v="Não"/>
    <x v="0"/>
    <d v="2025-07-01T00:00:00"/>
    <d v="2025-07-01T00:00:00"/>
    <s v="ter"/>
    <x v="6"/>
    <x v="1"/>
    <m/>
    <s v="154145839"/>
  </r>
  <r>
    <n v="1541"/>
    <n v="37"/>
    <s v="Feminino"/>
    <s v="Soldagem"/>
    <s v="Operador"/>
    <s v="1º Turno"/>
    <x v="4"/>
    <s v="Não"/>
    <x v="0"/>
    <d v="2025-08-02T00:00:00"/>
    <d v="2025-08-01T00:00:00"/>
    <s v="sáb"/>
    <x v="9"/>
    <x v="1"/>
    <m/>
    <s v="154145871"/>
  </r>
  <r>
    <n v="1541"/>
    <n v="37"/>
    <s v="Feminino"/>
    <s v="Soldagem"/>
    <s v="Operador"/>
    <s v="1º Turno"/>
    <x v="4"/>
    <s v="Não"/>
    <x v="0"/>
    <d v="2025-09-23T00:00:00"/>
    <d v="2025-09-01T00:00:00"/>
    <s v="ter"/>
    <x v="7"/>
    <x v="1"/>
    <m/>
    <s v="154145923"/>
  </r>
  <r>
    <n v="1541"/>
    <n v="37"/>
    <s v="Feminino"/>
    <s v="Soldagem"/>
    <s v="Operador"/>
    <s v="1º Turno"/>
    <x v="4"/>
    <s v="Não"/>
    <x v="0"/>
    <d v="2026-02-08T00:00:00"/>
    <d v="2026-02-01T00:00:00"/>
    <s v="dom"/>
    <x v="3"/>
    <x v="0"/>
    <m/>
    <s v="154146061"/>
  </r>
  <r>
    <n v="1541"/>
    <n v="37"/>
    <s v="Feminino"/>
    <s v="Soldagem"/>
    <s v="Operador"/>
    <s v="1º Turno"/>
    <x v="2"/>
    <s v="Não"/>
    <x v="0"/>
    <d v="2026-02-16T00:00:00"/>
    <d v="2026-02-01T00:00:00"/>
    <s v="seg"/>
    <x v="3"/>
    <x v="0"/>
    <m/>
    <s v="154146069"/>
  </r>
  <r>
    <n v="1541"/>
    <n v="37"/>
    <s v="Feminino"/>
    <s v="Soldagem"/>
    <s v="Operador"/>
    <s v="1º Turno"/>
    <x v="2"/>
    <s v="Não"/>
    <x v="0"/>
    <d v="2026-03-15T00:00:00"/>
    <d v="2026-03-01T00:00:00"/>
    <s v="dom"/>
    <x v="4"/>
    <x v="0"/>
    <m/>
    <s v="154146096"/>
  </r>
  <r>
    <n v="1542"/>
    <n v="58"/>
    <s v="Feminino"/>
    <s v="Qualidade"/>
    <s v="Inspetor"/>
    <s v="1º Turno"/>
    <x v="3"/>
    <s v="Sim"/>
    <x v="2"/>
    <d v="2025-06-10T00:00:00"/>
    <d v="2025-06-01T00:00:00"/>
    <s v="ter"/>
    <x v="1"/>
    <x v="1"/>
    <d v="2025-08-13T00:00:00"/>
    <s v="154245818"/>
  </r>
  <r>
    <n v="1542"/>
    <n v="58"/>
    <s v="Feminino"/>
    <s v="Qualidade"/>
    <s v="Inspetor"/>
    <s v="1º Turno"/>
    <x v="3"/>
    <s v="Sim"/>
    <x v="2"/>
    <d v="2025-06-20T00:00:00"/>
    <d v="2025-06-01T00:00:00"/>
    <s v="sex"/>
    <x v="1"/>
    <x v="1"/>
    <d v="2025-08-13T00:00:00"/>
    <s v="154245828"/>
  </r>
  <r>
    <n v="1542"/>
    <n v="58"/>
    <s v="Feminino"/>
    <s v="Qualidade"/>
    <s v="Inspetor"/>
    <s v="1º Turno"/>
    <x v="3"/>
    <s v="Sim"/>
    <x v="2"/>
    <d v="2025-06-25T00:00:00"/>
    <d v="2025-06-01T00:00:00"/>
    <s v="qua"/>
    <x v="1"/>
    <x v="1"/>
    <d v="2025-08-13T00:00:00"/>
    <s v="154245833"/>
  </r>
  <r>
    <n v="1542"/>
    <n v="58"/>
    <s v="Feminino"/>
    <s v="Qualidade"/>
    <s v="Inspetor"/>
    <s v="1º Turno"/>
    <x v="0"/>
    <s v="Sim"/>
    <x v="2"/>
    <d v="2025-07-26T00:00:00"/>
    <d v="2025-07-01T00:00:00"/>
    <s v="sáb"/>
    <x v="6"/>
    <x v="1"/>
    <d v="2025-08-13T00:00:00"/>
    <s v="154245864"/>
  </r>
  <r>
    <n v="1543"/>
    <n v="26"/>
    <s v="Feminino"/>
    <s v="Montagem"/>
    <s v="Operador"/>
    <s v="1º Turno"/>
    <x v="0"/>
    <s v="Não"/>
    <x v="0"/>
    <d v="2025-06-19T00:00:00"/>
    <d v="2025-06-01T00:00:00"/>
    <s v="qui"/>
    <x v="1"/>
    <x v="1"/>
    <m/>
    <s v="154345827"/>
  </r>
  <r>
    <n v="1543"/>
    <n v="26"/>
    <s v="Feminino"/>
    <s v="Montagem"/>
    <s v="Operador"/>
    <s v="1º Turno"/>
    <x v="0"/>
    <s v="Não"/>
    <x v="0"/>
    <d v="2025-08-08T00:00:00"/>
    <d v="2025-08-01T00:00:00"/>
    <s v="sex"/>
    <x v="9"/>
    <x v="1"/>
    <m/>
    <s v="154345877"/>
  </r>
  <r>
    <n v="1543"/>
    <n v="26"/>
    <s v="Feminino"/>
    <s v="Montagem"/>
    <s v="Operador"/>
    <s v="1º Turno"/>
    <x v="0"/>
    <s v="Não"/>
    <x v="0"/>
    <d v="2025-10-07T00:00:00"/>
    <d v="2025-10-01T00:00:00"/>
    <s v="ter"/>
    <x v="11"/>
    <x v="1"/>
    <m/>
    <s v="154345937"/>
  </r>
  <r>
    <n v="1543"/>
    <n v="26"/>
    <s v="Feminino"/>
    <s v="Montagem"/>
    <s v="Operador"/>
    <s v="1º Turno"/>
    <x v="0"/>
    <s v="Não"/>
    <x v="0"/>
    <d v="2025-11-21T00:00:00"/>
    <d v="2025-11-01T00:00:00"/>
    <s v="sex"/>
    <x v="10"/>
    <x v="1"/>
    <m/>
    <s v="154345982"/>
  </r>
  <r>
    <n v="1543"/>
    <n v="26"/>
    <s v="Feminino"/>
    <s v="Montagem"/>
    <s v="Operador"/>
    <s v="1º Turno"/>
    <x v="0"/>
    <s v="Não"/>
    <x v="0"/>
    <d v="2026-06-18T00:00:00"/>
    <d v="2026-01-01T00:00:00"/>
    <s v="qui"/>
    <x v="1"/>
    <x v="0"/>
    <m/>
    <s v="154346191"/>
  </r>
  <r>
    <n v="1543"/>
    <n v="26"/>
    <s v="Feminino"/>
    <s v="Montagem"/>
    <s v="Operador"/>
    <s v="1º Turno"/>
    <x v="0"/>
    <s v="Não"/>
    <x v="0"/>
    <d v="2026-03-23T00:00:00"/>
    <d v="2026-03-01T00:00:00"/>
    <s v="seg"/>
    <x v="4"/>
    <x v="0"/>
    <m/>
    <s v="154346104"/>
  </r>
  <r>
    <n v="1545"/>
    <n v="49"/>
    <s v="Feminino"/>
    <s v="Soldagem"/>
    <s v="Operador"/>
    <s v="1º Turno"/>
    <x v="4"/>
    <s v="Não"/>
    <x v="2"/>
    <d v="2025-05-25T00:00:00"/>
    <d v="2025-05-01T00:00:00"/>
    <s v="dom"/>
    <x v="0"/>
    <x v="1"/>
    <m/>
    <s v="154545802"/>
  </r>
  <r>
    <n v="1545"/>
    <n v="49"/>
    <s v="Feminino"/>
    <s v="Soldagem"/>
    <s v="Operador"/>
    <s v="1º Turno"/>
    <x v="4"/>
    <s v="Não"/>
    <x v="2"/>
    <d v="2025-06-10T00:00:00"/>
    <d v="2025-06-01T00:00:00"/>
    <s v="ter"/>
    <x v="1"/>
    <x v="1"/>
    <m/>
    <s v="154545818"/>
  </r>
  <r>
    <n v="1545"/>
    <n v="49"/>
    <s v="Feminino"/>
    <s v="Soldagem"/>
    <s v="Operador"/>
    <s v="1º Turno"/>
    <x v="4"/>
    <s v="Não"/>
    <x v="2"/>
    <d v="2025-07-20T00:00:00"/>
    <d v="2025-07-01T00:00:00"/>
    <s v="dom"/>
    <x v="6"/>
    <x v="1"/>
    <m/>
    <s v="154545858"/>
  </r>
  <r>
    <n v="1545"/>
    <n v="49"/>
    <s v="Feminino"/>
    <s v="Soldagem"/>
    <s v="Operador"/>
    <s v="1º Turno"/>
    <x v="4"/>
    <s v="Não"/>
    <x v="2"/>
    <d v="2025-09-29T00:00:00"/>
    <d v="2025-09-01T00:00:00"/>
    <s v="seg"/>
    <x v="7"/>
    <x v="1"/>
    <m/>
    <s v="154545929"/>
  </r>
  <r>
    <n v="1545"/>
    <n v="49"/>
    <s v="Feminino"/>
    <s v="Soldagem"/>
    <s v="Operador"/>
    <s v="1º Turno"/>
    <x v="4"/>
    <s v="Não"/>
    <x v="2"/>
    <d v="2026-06-21T00:00:00"/>
    <d v="2026-01-01T00:00:00"/>
    <s v="dom"/>
    <x v="1"/>
    <x v="0"/>
    <m/>
    <s v="154546194"/>
  </r>
  <r>
    <n v="1545"/>
    <n v="49"/>
    <s v="Feminino"/>
    <s v="Soldagem"/>
    <s v="Operador"/>
    <s v="1º Turno"/>
    <x v="4"/>
    <s v="Não"/>
    <x v="2"/>
    <d v="2026-03-14T00:00:00"/>
    <d v="2026-03-01T00:00:00"/>
    <s v="sáb"/>
    <x v="4"/>
    <x v="0"/>
    <m/>
    <s v="154546095"/>
  </r>
  <r>
    <n v="1545"/>
    <n v="49"/>
    <s v="Feminino"/>
    <s v="Soldagem"/>
    <s v="Operador"/>
    <s v="1º Turno"/>
    <x v="4"/>
    <s v="Não"/>
    <x v="2"/>
    <d v="2026-05-25T00:00:00"/>
    <d v="2026-05-01T00:00:00"/>
    <s v="dom"/>
    <x v="0"/>
    <x v="1"/>
    <m/>
    <s v="154546167"/>
  </r>
  <r>
    <n v="1546"/>
    <n v="22"/>
    <s v="Feminino"/>
    <s v="Soldagem"/>
    <s v="Operador"/>
    <s v="1º Turno"/>
    <x v="4"/>
    <s v="Não"/>
    <x v="1"/>
    <d v="2025-05-26T00:00:00"/>
    <d v="2025-05-01T00:00:00"/>
    <s v="seg"/>
    <x v="0"/>
    <x v="1"/>
    <m/>
    <s v="154645803"/>
  </r>
  <r>
    <n v="1546"/>
    <n v="22"/>
    <s v="Feminino"/>
    <s v="Soldagem"/>
    <s v="Operador"/>
    <s v="1º Turno"/>
    <x v="0"/>
    <s v="Não"/>
    <x v="1"/>
    <d v="2025-08-02T00:00:00"/>
    <d v="2025-08-01T00:00:00"/>
    <s v="sáb"/>
    <x v="9"/>
    <x v="1"/>
    <m/>
    <s v="154645871"/>
  </r>
  <r>
    <n v="1546"/>
    <n v="22"/>
    <s v="Feminino"/>
    <s v="Soldagem"/>
    <s v="Operador"/>
    <s v="1º Turno"/>
    <x v="0"/>
    <s v="Não"/>
    <x v="1"/>
    <d v="2025-09-12T00:00:00"/>
    <d v="2025-09-01T00:00:00"/>
    <s v="sex"/>
    <x v="7"/>
    <x v="1"/>
    <m/>
    <s v="154645912"/>
  </r>
  <r>
    <n v="1546"/>
    <n v="22"/>
    <s v="Feminino"/>
    <s v="Soldagem"/>
    <s v="Operador"/>
    <s v="1º Turno"/>
    <x v="0"/>
    <s v="Não"/>
    <x v="1"/>
    <d v="2025-10-04T00:00:00"/>
    <d v="2025-10-01T00:00:00"/>
    <s v="sáb"/>
    <x v="11"/>
    <x v="1"/>
    <m/>
    <s v="154645934"/>
  </r>
  <r>
    <n v="1546"/>
    <n v="22"/>
    <s v="Feminino"/>
    <s v="Soldagem"/>
    <s v="Operador"/>
    <s v="1º Turno"/>
    <x v="0"/>
    <s v="Não"/>
    <x v="1"/>
    <d v="2025-10-27T00:00:00"/>
    <d v="2025-10-01T00:00:00"/>
    <s v="seg"/>
    <x v="11"/>
    <x v="1"/>
    <m/>
    <s v="154645957"/>
  </r>
  <r>
    <n v="1546"/>
    <n v="22"/>
    <s v="Feminino"/>
    <s v="Soldagem"/>
    <s v="Operador"/>
    <s v="1º Turno"/>
    <x v="0"/>
    <s v="Não"/>
    <x v="1"/>
    <d v="2026-06-08T00:00:00"/>
    <d v="2026-01-01T00:00:00"/>
    <s v="seg"/>
    <x v="1"/>
    <x v="0"/>
    <m/>
    <s v="154646181"/>
  </r>
  <r>
    <n v="1546"/>
    <n v="22"/>
    <s v="Feminino"/>
    <s v="Soldagem"/>
    <s v="Operador"/>
    <s v="1º Turno"/>
    <x v="4"/>
    <s v="Não"/>
    <x v="1"/>
    <d v="2026-05-26T00:00:00"/>
    <d v="2026-05-01T00:00:00"/>
    <s v="seg"/>
    <x v="0"/>
    <x v="1"/>
    <m/>
    <s v="154646168"/>
  </r>
  <r>
    <n v="1547"/>
    <n v="50"/>
    <s v="Masculino"/>
    <s v="Soldagem"/>
    <s v="Operador"/>
    <s v="2º Turno"/>
    <x v="0"/>
    <s v="Não"/>
    <x v="0"/>
    <d v="2025-04-27T00:00:00"/>
    <d v="2025-04-01T00:00:00"/>
    <s v="dom"/>
    <x v="2"/>
    <x v="1"/>
    <m/>
    <s v="154745774"/>
  </r>
  <r>
    <n v="1547"/>
    <n v="50"/>
    <s v="Masculino"/>
    <s v="Soldagem"/>
    <s v="Operador"/>
    <s v="2º Turno"/>
    <x v="2"/>
    <s v="Não"/>
    <x v="0"/>
    <d v="2025-06-03T00:00:00"/>
    <d v="2025-06-01T00:00:00"/>
    <s v="ter"/>
    <x v="1"/>
    <x v="1"/>
    <m/>
    <s v="154745811"/>
  </r>
  <r>
    <n v="1547"/>
    <n v="50"/>
    <s v="Masculino"/>
    <s v="Soldagem"/>
    <s v="Operador"/>
    <s v="2º Turno"/>
    <x v="2"/>
    <s v="Não"/>
    <x v="0"/>
    <d v="2025-06-07T00:00:00"/>
    <d v="2025-06-01T00:00:00"/>
    <s v="sáb"/>
    <x v="1"/>
    <x v="1"/>
    <m/>
    <s v="154745815"/>
  </r>
  <r>
    <n v="1547"/>
    <n v="50"/>
    <s v="Masculino"/>
    <s v="Soldagem"/>
    <s v="Operador"/>
    <s v="2º Turno"/>
    <x v="2"/>
    <s v="Não"/>
    <x v="0"/>
    <d v="2026-06-27T00:00:00"/>
    <d v="2026-01-01T00:00:00"/>
    <s v="sáb"/>
    <x v="1"/>
    <x v="0"/>
    <m/>
    <s v="154746200"/>
  </r>
  <r>
    <n v="1547"/>
    <n v="50"/>
    <s v="Masculino"/>
    <s v="Soldagem"/>
    <s v="Operador"/>
    <s v="2º Turno"/>
    <x v="1"/>
    <s v="Não"/>
    <x v="0"/>
    <d v="2026-03-27T00:00:00"/>
    <d v="2026-03-01T00:00:00"/>
    <s v="sex"/>
    <x v="4"/>
    <x v="0"/>
    <m/>
    <s v="154746108"/>
  </r>
  <r>
    <n v="1547"/>
    <n v="50"/>
    <s v="Masculino"/>
    <s v="Soldagem"/>
    <s v="Operador"/>
    <s v="2º Turno"/>
    <x v="0"/>
    <s v="Não"/>
    <x v="0"/>
    <d v="2026-04-27T00:00:00"/>
    <d v="2026-04-01T00:00:00"/>
    <s v="dom"/>
    <x v="2"/>
    <x v="1"/>
    <m/>
    <s v="154746139"/>
  </r>
  <r>
    <n v="1547"/>
    <n v="50"/>
    <s v="Masculino"/>
    <s v="Soldagem"/>
    <s v="Operador"/>
    <s v="2º Turno"/>
    <x v="1"/>
    <s v="Não"/>
    <x v="0"/>
    <d v="2026-06-01T00:00:00"/>
    <d v="2026-06-01T00:00:00"/>
    <s v="seg"/>
    <x v="1"/>
    <x v="0"/>
    <m/>
    <s v="154746174"/>
  </r>
  <r>
    <n v="1549"/>
    <n v="45"/>
    <s v="Feminino"/>
    <s v="Soldagem"/>
    <s v="Operador"/>
    <s v="3º Turno"/>
    <x v="0"/>
    <s v="Sim"/>
    <x v="0"/>
    <d v="2025-06-10T00:00:00"/>
    <d v="2025-06-01T00:00:00"/>
    <s v="ter"/>
    <x v="1"/>
    <x v="1"/>
    <d v="2025-12-16T00:00:00"/>
    <s v="154945818"/>
  </r>
  <r>
    <n v="1549"/>
    <n v="45"/>
    <s v="Feminino"/>
    <s v="Soldagem"/>
    <s v="Operador"/>
    <s v="3º Turno"/>
    <x v="1"/>
    <s v="Sim"/>
    <x v="0"/>
    <d v="2025-07-29T00:00:00"/>
    <d v="2025-07-01T00:00:00"/>
    <s v="ter"/>
    <x v="6"/>
    <x v="1"/>
    <d v="2025-12-16T00:00:00"/>
    <s v="154945867"/>
  </r>
  <r>
    <n v="1549"/>
    <n v="45"/>
    <s v="Feminino"/>
    <s v="Soldagem"/>
    <s v="Operador"/>
    <s v="3º Turno"/>
    <x v="0"/>
    <s v="Sim"/>
    <x v="0"/>
    <d v="2025-10-06T00:00:00"/>
    <d v="2025-10-01T00:00:00"/>
    <s v="seg"/>
    <x v="11"/>
    <x v="1"/>
    <d v="2025-12-16T00:00:00"/>
    <s v="154945936"/>
  </r>
  <r>
    <n v="1549"/>
    <n v="45"/>
    <s v="Feminino"/>
    <s v="Soldagem"/>
    <s v="Operador"/>
    <s v="3º Turno"/>
    <x v="1"/>
    <s v="Sim"/>
    <x v="0"/>
    <d v="2025-10-23T00:00:00"/>
    <d v="2025-10-01T00:00:00"/>
    <s v="qui"/>
    <x v="11"/>
    <x v="1"/>
    <d v="2025-12-16T00:00:00"/>
    <s v="154945953"/>
  </r>
  <r>
    <n v="1549"/>
    <n v="45"/>
    <s v="Feminino"/>
    <s v="Soldagem"/>
    <s v="Operador"/>
    <s v="3º Turno"/>
    <x v="0"/>
    <s v="Sim"/>
    <x v="0"/>
    <d v="2025-11-08T00:00:00"/>
    <d v="2025-11-01T00:00:00"/>
    <s v="sáb"/>
    <x v="10"/>
    <x v="1"/>
    <d v="2025-12-16T00:00:00"/>
    <s v="154945969"/>
  </r>
  <r>
    <n v="1549"/>
    <n v="45"/>
    <s v="Feminino"/>
    <s v="Soldagem"/>
    <s v="Operador"/>
    <s v="3º Turno"/>
    <x v="0"/>
    <s v="Sim"/>
    <x v="0"/>
    <d v="2025-11-14T00:00:00"/>
    <d v="2025-11-01T00:00:00"/>
    <s v="sex"/>
    <x v="10"/>
    <x v="1"/>
    <d v="2025-12-16T00:00:00"/>
    <s v="154945975"/>
  </r>
  <r>
    <n v="1550"/>
    <n v="40"/>
    <s v="Masculino"/>
    <s v="Montagem"/>
    <s v="Operador"/>
    <s v="1º Turno"/>
    <x v="0"/>
    <s v="Sim"/>
    <x v="2"/>
    <d v="2025-01-16T00:00:00"/>
    <d v="2025-01-01T00:00:00"/>
    <s v="qui"/>
    <x v="5"/>
    <x v="1"/>
    <d v="2025-06-21T00:00:00"/>
    <s v="155045673"/>
  </r>
  <r>
    <n v="1550"/>
    <n v="40"/>
    <s v="Masculino"/>
    <s v="Montagem"/>
    <s v="Operador"/>
    <s v="1º Turno"/>
    <x v="0"/>
    <s v="Sim"/>
    <x v="2"/>
    <d v="2025-01-18T00:00:00"/>
    <d v="2025-01-01T00:00:00"/>
    <s v="sáb"/>
    <x v="5"/>
    <x v="1"/>
    <d v="2025-06-21T00:00:00"/>
    <s v="155045675"/>
  </r>
  <r>
    <n v="1550"/>
    <n v="40"/>
    <s v="Masculino"/>
    <s v="Montagem"/>
    <s v="Operador"/>
    <s v="1º Turno"/>
    <x v="0"/>
    <s v="Sim"/>
    <x v="2"/>
    <d v="2025-05-07T00:00:00"/>
    <d v="2025-05-01T00:00:00"/>
    <s v="qua"/>
    <x v="0"/>
    <x v="1"/>
    <d v="2025-06-21T00:00:00"/>
    <s v="155045784"/>
  </r>
  <r>
    <n v="1550"/>
    <n v="40"/>
    <s v="Masculino"/>
    <s v="Montagem"/>
    <s v="Operador"/>
    <s v="1º Turno"/>
    <x v="0"/>
    <s v="Sim"/>
    <x v="2"/>
    <d v="2025-06-06T00:00:00"/>
    <d v="2025-06-01T00:00:00"/>
    <s v="sex"/>
    <x v="1"/>
    <x v="1"/>
    <d v="2025-06-21T00:00:00"/>
    <s v="155045814"/>
  </r>
  <r>
    <n v="1550"/>
    <n v="40"/>
    <s v="Masculino"/>
    <s v="Montagem"/>
    <s v="Operador"/>
    <s v="1º Turno"/>
    <x v="0"/>
    <s v="Sim"/>
    <x v="2"/>
    <d v="2025-06-11T00:00:00"/>
    <d v="2025-06-01T00:00:00"/>
    <s v="qua"/>
    <x v="1"/>
    <x v="1"/>
    <d v="2025-06-21T00:00:00"/>
    <s v="155045819"/>
  </r>
  <r>
    <n v="1550"/>
    <n v="40"/>
    <s v="Masculino"/>
    <s v="Montagem"/>
    <s v="Operador"/>
    <s v="1º Turno"/>
    <x v="0"/>
    <s v="Sim"/>
    <x v="2"/>
    <d v="2025-06-19T00:00:00"/>
    <d v="2025-06-01T00:00:00"/>
    <s v="qui"/>
    <x v="1"/>
    <x v="1"/>
    <d v="2025-06-21T00:00:00"/>
    <s v="155045827"/>
  </r>
  <r>
    <n v="1551"/>
    <n v="22"/>
    <s v="Masculino"/>
    <s v="Pintura"/>
    <s v="Operador"/>
    <s v="3º Turno"/>
    <x v="4"/>
    <s v="Não"/>
    <x v="2"/>
    <d v="2025-04-28T00:00:00"/>
    <d v="2025-04-01T00:00:00"/>
    <s v="seg"/>
    <x v="2"/>
    <x v="1"/>
    <m/>
    <s v="155145775"/>
  </r>
  <r>
    <n v="1551"/>
    <n v="22"/>
    <s v="Masculino"/>
    <s v="Pintura"/>
    <s v="Operador"/>
    <s v="3º Turno"/>
    <x v="4"/>
    <s v="Não"/>
    <x v="2"/>
    <d v="2025-07-19T00:00:00"/>
    <d v="2025-07-01T00:00:00"/>
    <s v="sáb"/>
    <x v="6"/>
    <x v="1"/>
    <m/>
    <s v="155145857"/>
  </r>
  <r>
    <n v="1551"/>
    <n v="22"/>
    <s v="Masculino"/>
    <s v="Pintura"/>
    <s v="Operador"/>
    <s v="3º Turno"/>
    <x v="4"/>
    <s v="Não"/>
    <x v="2"/>
    <d v="2025-08-26T00:00:00"/>
    <d v="2025-08-01T00:00:00"/>
    <s v="ter"/>
    <x v="9"/>
    <x v="1"/>
    <m/>
    <s v="155145895"/>
  </r>
  <r>
    <n v="1551"/>
    <n v="22"/>
    <s v="Masculino"/>
    <s v="Pintura"/>
    <s v="Operador"/>
    <s v="3º Turno"/>
    <x v="4"/>
    <s v="Não"/>
    <x v="2"/>
    <d v="2025-09-06T00:00:00"/>
    <d v="2025-09-01T00:00:00"/>
    <s v="sáb"/>
    <x v="7"/>
    <x v="1"/>
    <m/>
    <s v="155145906"/>
  </r>
  <r>
    <n v="1551"/>
    <n v="22"/>
    <s v="Masculino"/>
    <s v="Pintura"/>
    <s v="Operador"/>
    <s v="3º Turno"/>
    <x v="4"/>
    <s v="Não"/>
    <x v="2"/>
    <d v="2025-09-29T00:00:00"/>
    <d v="2025-09-01T00:00:00"/>
    <s v="seg"/>
    <x v="7"/>
    <x v="1"/>
    <m/>
    <s v="155145929"/>
  </r>
  <r>
    <n v="1551"/>
    <n v="22"/>
    <s v="Masculino"/>
    <s v="Pintura"/>
    <s v="Operador"/>
    <s v="3º Turno"/>
    <x v="4"/>
    <s v="Não"/>
    <x v="2"/>
    <d v="2025-10-16T00:00:00"/>
    <d v="2025-10-01T00:00:00"/>
    <s v="qui"/>
    <x v="11"/>
    <x v="1"/>
    <m/>
    <s v="155145946"/>
  </r>
  <r>
    <n v="1551"/>
    <n v="22"/>
    <s v="Masculino"/>
    <s v="Pintura"/>
    <s v="Operador"/>
    <s v="3º Turno"/>
    <x v="4"/>
    <s v="Não"/>
    <x v="2"/>
    <d v="2026-04-28T00:00:00"/>
    <d v="2026-04-01T00:00:00"/>
    <s v="seg"/>
    <x v="2"/>
    <x v="1"/>
    <m/>
    <s v="155146140"/>
  </r>
  <r>
    <n v="1552"/>
    <n v="34"/>
    <s v="Feminino"/>
    <s v="Logistica"/>
    <s v="Operador"/>
    <s v="3º Turno"/>
    <x v="0"/>
    <s v="Sim"/>
    <x v="0"/>
    <d v="2025-01-16T00:00:00"/>
    <d v="2025-01-01T00:00:00"/>
    <s v="qui"/>
    <x v="5"/>
    <x v="1"/>
    <d v="2025-06-20T00:00:00"/>
    <s v="155245673"/>
  </r>
  <r>
    <n v="1552"/>
    <n v="34"/>
    <s v="Feminino"/>
    <s v="Logistica"/>
    <s v="Operador"/>
    <s v="3º Turno"/>
    <x v="5"/>
    <s v="Sim"/>
    <x v="0"/>
    <d v="2025-03-02T00:00:00"/>
    <d v="2025-03-01T00:00:00"/>
    <s v="dom"/>
    <x v="4"/>
    <x v="1"/>
    <d v="2025-06-20T00:00:00"/>
    <s v="155245718"/>
  </r>
  <r>
    <n v="1552"/>
    <n v="34"/>
    <s v="Feminino"/>
    <s v="Logistica"/>
    <s v="Operador"/>
    <s v="3º Turno"/>
    <x v="5"/>
    <s v="Sim"/>
    <x v="0"/>
    <d v="2025-03-18T00:00:00"/>
    <d v="2025-03-01T00:00:00"/>
    <s v="ter"/>
    <x v="4"/>
    <x v="1"/>
    <d v="2025-06-20T00:00:00"/>
    <s v="155245734"/>
  </r>
  <r>
    <n v="1552"/>
    <n v="34"/>
    <s v="Feminino"/>
    <s v="Logistica"/>
    <s v="Operador"/>
    <s v="3º Turno"/>
    <x v="2"/>
    <s v="Sim"/>
    <x v="0"/>
    <d v="2025-04-09T00:00:00"/>
    <d v="2025-04-01T00:00:00"/>
    <s v="qua"/>
    <x v="2"/>
    <x v="1"/>
    <d v="2025-06-20T00:00:00"/>
    <s v="155245756"/>
  </r>
  <r>
    <n v="1552"/>
    <n v="34"/>
    <s v="Feminino"/>
    <s v="Logistica"/>
    <s v="Operador"/>
    <s v="3º Turno"/>
    <x v="2"/>
    <s v="Sim"/>
    <x v="0"/>
    <d v="2025-04-13T00:00:00"/>
    <d v="2025-04-01T00:00:00"/>
    <s v="dom"/>
    <x v="2"/>
    <x v="1"/>
    <d v="2025-06-20T00:00:00"/>
    <s v="155245760"/>
  </r>
  <r>
    <n v="1552"/>
    <n v="34"/>
    <s v="Feminino"/>
    <s v="Logistica"/>
    <s v="Operador"/>
    <s v="3º Turno"/>
    <x v="0"/>
    <s v="Sim"/>
    <x v="0"/>
    <d v="2025-06-06T00:00:00"/>
    <d v="2025-06-01T00:00:00"/>
    <s v="sex"/>
    <x v="1"/>
    <x v="1"/>
    <d v="2025-06-20T00:00:00"/>
    <s v="155245814"/>
  </r>
  <r>
    <n v="1553"/>
    <n v="41"/>
    <s v="Masculino"/>
    <s v="Qualidade"/>
    <s v="Analista"/>
    <s v="1º Turno"/>
    <x v="2"/>
    <s v="Não"/>
    <x v="2"/>
    <d v="2025-05-29T00:00:00"/>
    <d v="2025-05-01T00:00:00"/>
    <s v="qui"/>
    <x v="0"/>
    <x v="1"/>
    <m/>
    <s v="155345806"/>
  </r>
  <r>
    <n v="1553"/>
    <n v="41"/>
    <s v="Masculino"/>
    <s v="Qualidade"/>
    <s v="Analista"/>
    <s v="1º Turno"/>
    <x v="3"/>
    <s v="Não"/>
    <x v="2"/>
    <d v="2025-09-23T00:00:00"/>
    <d v="2025-09-01T00:00:00"/>
    <s v="ter"/>
    <x v="7"/>
    <x v="1"/>
    <m/>
    <s v="155345923"/>
  </r>
  <r>
    <n v="1553"/>
    <n v="41"/>
    <s v="Masculino"/>
    <s v="Qualidade"/>
    <s v="Analista"/>
    <s v="1º Turno"/>
    <x v="3"/>
    <s v="Não"/>
    <x v="2"/>
    <d v="2025-11-07T00:00:00"/>
    <d v="2025-11-01T00:00:00"/>
    <s v="sex"/>
    <x v="10"/>
    <x v="1"/>
    <m/>
    <s v="155345968"/>
  </r>
  <r>
    <n v="1553"/>
    <n v="41"/>
    <s v="Masculino"/>
    <s v="Qualidade"/>
    <s v="Analista"/>
    <s v="1º Turno"/>
    <x v="3"/>
    <s v="Não"/>
    <x v="2"/>
    <d v="2025-11-14T00:00:00"/>
    <d v="2025-11-01T00:00:00"/>
    <s v="sex"/>
    <x v="10"/>
    <x v="1"/>
    <m/>
    <s v="155345975"/>
  </r>
  <r>
    <n v="1553"/>
    <n v="41"/>
    <s v="Masculino"/>
    <s v="Qualidade"/>
    <s v="Analista"/>
    <s v="1º Turno"/>
    <x v="3"/>
    <s v="Não"/>
    <x v="2"/>
    <d v="2025-11-15T00:00:00"/>
    <d v="2025-11-01T00:00:00"/>
    <s v="sáb"/>
    <x v="10"/>
    <x v="1"/>
    <m/>
    <s v="155345976"/>
  </r>
  <r>
    <n v="1553"/>
    <n v="41"/>
    <s v="Masculino"/>
    <s v="Qualidade"/>
    <s v="Analista"/>
    <s v="1º Turno"/>
    <x v="2"/>
    <s v="Não"/>
    <x v="2"/>
    <d v="2026-06-01T00:00:00"/>
    <d v="2026-01-01T00:00:00"/>
    <s v="seg"/>
    <x v="1"/>
    <x v="0"/>
    <m/>
    <s v="155346174"/>
  </r>
  <r>
    <n v="1553"/>
    <n v="41"/>
    <s v="Masculino"/>
    <s v="Qualidade"/>
    <s v="Analista"/>
    <s v="1º Turno"/>
    <x v="2"/>
    <s v="Não"/>
    <x v="2"/>
    <d v="2026-05-29T00:00:00"/>
    <d v="2026-05-01T00:00:00"/>
    <s v="qui"/>
    <x v="0"/>
    <x v="1"/>
    <m/>
    <s v="155346171"/>
  </r>
  <r>
    <n v="1554"/>
    <n v="25"/>
    <s v="Feminino"/>
    <s v="Montagem"/>
    <s v="Operador"/>
    <s v="3º Turno"/>
    <x v="0"/>
    <s v="Sim"/>
    <x v="1"/>
    <d v="2025-07-05T00:00:00"/>
    <d v="2025-07-01T00:00:00"/>
    <s v="sáb"/>
    <x v="6"/>
    <x v="1"/>
    <d v="2025-07-11T00:00:00"/>
    <s v="155445843"/>
  </r>
  <r>
    <n v="1556"/>
    <n v="30"/>
    <s v="Feminino"/>
    <s v="Montagem"/>
    <s v="Operador"/>
    <s v="2º Turno"/>
    <x v="4"/>
    <s v="Não"/>
    <x v="0"/>
    <d v="2025-06-14T00:00:00"/>
    <d v="2025-06-01T00:00:00"/>
    <s v="sáb"/>
    <x v="1"/>
    <x v="1"/>
    <m/>
    <s v="155645822"/>
  </r>
  <r>
    <n v="1556"/>
    <n v="30"/>
    <s v="Feminino"/>
    <s v="Montagem"/>
    <s v="Operador"/>
    <s v="2º Turno"/>
    <x v="4"/>
    <s v="Não"/>
    <x v="0"/>
    <d v="2025-07-11T00:00:00"/>
    <d v="2025-07-01T00:00:00"/>
    <s v="sex"/>
    <x v="6"/>
    <x v="1"/>
    <m/>
    <s v="155645849"/>
  </r>
  <r>
    <n v="1556"/>
    <n v="30"/>
    <s v="Feminino"/>
    <s v="Montagem"/>
    <s v="Operador"/>
    <s v="2º Turno"/>
    <x v="4"/>
    <s v="Não"/>
    <x v="0"/>
    <d v="2025-08-18T00:00:00"/>
    <d v="2025-08-01T00:00:00"/>
    <s v="seg"/>
    <x v="9"/>
    <x v="1"/>
    <m/>
    <s v="155645887"/>
  </r>
  <r>
    <n v="1556"/>
    <n v="30"/>
    <s v="Feminino"/>
    <s v="Montagem"/>
    <s v="Operador"/>
    <s v="2º Turno"/>
    <x v="4"/>
    <s v="Não"/>
    <x v="0"/>
    <d v="2025-09-18T00:00:00"/>
    <d v="2025-09-01T00:00:00"/>
    <s v="qui"/>
    <x v="7"/>
    <x v="1"/>
    <m/>
    <s v="155645918"/>
  </r>
  <r>
    <n v="1556"/>
    <n v="30"/>
    <s v="Feminino"/>
    <s v="Montagem"/>
    <s v="Operador"/>
    <s v="2º Turno"/>
    <x v="4"/>
    <s v="Não"/>
    <x v="0"/>
    <d v="2025-12-04T00:00:00"/>
    <d v="2025-12-01T00:00:00"/>
    <s v="qui"/>
    <x v="8"/>
    <x v="1"/>
    <m/>
    <s v="155645995"/>
  </r>
  <r>
    <n v="1556"/>
    <n v="30"/>
    <s v="Feminino"/>
    <s v="Montagem"/>
    <s v="Operador"/>
    <s v="2º Turno"/>
    <x v="4"/>
    <s v="Não"/>
    <x v="0"/>
    <d v="2026-06-25T00:00:00"/>
    <d v="2026-01-01T00:00:00"/>
    <s v="qui"/>
    <x v="1"/>
    <x v="0"/>
    <m/>
    <s v="155646198"/>
  </r>
  <r>
    <n v="1557"/>
    <n v="42"/>
    <s v="Masculino"/>
    <s v="Montagem"/>
    <s v="Operador"/>
    <s v="3º Turno"/>
    <x v="0"/>
    <s v="Sim"/>
    <x v="0"/>
    <d v="2025-05-25T00:00:00"/>
    <d v="2025-05-01T00:00:00"/>
    <s v="dom"/>
    <x v="0"/>
    <x v="1"/>
    <d v="2026-01-15T00:00:00"/>
    <s v="155745802"/>
  </r>
  <r>
    <n v="1557"/>
    <n v="42"/>
    <s v="Masculino"/>
    <s v="Montagem"/>
    <s v="Operador"/>
    <s v="3º Turno"/>
    <x v="0"/>
    <s v="Sim"/>
    <x v="0"/>
    <d v="2025-06-29T00:00:00"/>
    <d v="2025-06-01T00:00:00"/>
    <s v="dom"/>
    <x v="1"/>
    <x v="1"/>
    <d v="2026-01-15T00:00:00"/>
    <s v="155745837"/>
  </r>
  <r>
    <n v="1557"/>
    <n v="42"/>
    <s v="Masculino"/>
    <s v="Montagem"/>
    <s v="Operador"/>
    <s v="3º Turno"/>
    <x v="3"/>
    <s v="Sim"/>
    <x v="0"/>
    <d v="2025-10-08T00:00:00"/>
    <d v="2025-10-01T00:00:00"/>
    <s v="qua"/>
    <x v="11"/>
    <x v="1"/>
    <d v="2026-01-15T00:00:00"/>
    <s v="155745938"/>
  </r>
  <r>
    <n v="1557"/>
    <n v="42"/>
    <s v="Masculino"/>
    <s v="Montagem"/>
    <s v="Operador"/>
    <s v="3º Turno"/>
    <x v="0"/>
    <s v="Sim"/>
    <x v="0"/>
    <d v="2026-06-05T00:00:00"/>
    <d v="2026-01-01T00:00:00"/>
    <s v="sex"/>
    <x v="1"/>
    <x v="0"/>
    <d v="2026-01-15T00:00:00"/>
    <s v="155746178"/>
  </r>
  <r>
    <n v="1557"/>
    <n v="42"/>
    <s v="Masculino"/>
    <s v="Montagem"/>
    <s v="Operador"/>
    <s v="3º Turno"/>
    <x v="0"/>
    <s v="Sim"/>
    <x v="0"/>
    <d v="2026-06-06T00:00:00"/>
    <d v="2026-01-01T00:00:00"/>
    <s v="sáb"/>
    <x v="1"/>
    <x v="0"/>
    <d v="2026-01-15T00:00:00"/>
    <s v="155746179"/>
  </r>
  <r>
    <n v="1557"/>
    <n v="42"/>
    <s v="Masculino"/>
    <s v="Montagem"/>
    <s v="Operador"/>
    <s v="3º Turno"/>
    <x v="0"/>
    <s v="Sim"/>
    <x v="0"/>
    <d v="2026-06-10T00:00:00"/>
    <d v="2026-01-01T00:00:00"/>
    <s v="qua"/>
    <x v="1"/>
    <x v="0"/>
    <d v="2026-01-15T00:00:00"/>
    <s v="155746183"/>
  </r>
  <r>
    <n v="1558"/>
    <n v="32"/>
    <s v="Masculino"/>
    <s v="Pintura"/>
    <s v="Operador"/>
    <s v="2º Turno"/>
    <x v="0"/>
    <s v="Não"/>
    <x v="1"/>
    <d v="2025-09-13T00:00:00"/>
    <d v="2025-09-01T00:00:00"/>
    <s v="sáb"/>
    <x v="7"/>
    <x v="1"/>
    <m/>
    <s v="155845913"/>
  </r>
  <r>
    <n v="1558"/>
    <n v="32"/>
    <s v="Masculino"/>
    <s v="Pintura"/>
    <s v="Operador"/>
    <s v="2º Turno"/>
    <x v="2"/>
    <s v="Não"/>
    <x v="1"/>
    <d v="2026-06-20T00:00:00"/>
    <d v="2026-01-01T00:00:00"/>
    <s v="sáb"/>
    <x v="1"/>
    <x v="0"/>
    <m/>
    <s v="155846193"/>
  </r>
  <r>
    <n v="1558"/>
    <n v="32"/>
    <s v="Masculino"/>
    <s v="Pintura"/>
    <s v="Operador"/>
    <s v="2º Turno"/>
    <x v="2"/>
    <s v="Não"/>
    <x v="1"/>
    <d v="2026-03-04T00:00:00"/>
    <d v="2026-03-01T00:00:00"/>
    <s v="qua"/>
    <x v="4"/>
    <x v="0"/>
    <m/>
    <s v="155846085"/>
  </r>
  <r>
    <n v="1558"/>
    <n v="32"/>
    <s v="Masculino"/>
    <s v="Pintura"/>
    <s v="Operador"/>
    <s v="2º Turno"/>
    <x v="2"/>
    <s v="Não"/>
    <x v="1"/>
    <d v="2026-03-25T00:00:00"/>
    <d v="2026-03-01T00:00:00"/>
    <s v="qua"/>
    <x v="4"/>
    <x v="0"/>
    <m/>
    <s v="155846106"/>
  </r>
  <r>
    <n v="1561"/>
    <n v="47"/>
    <s v="Masculino"/>
    <s v="Logistica"/>
    <s v="Operador"/>
    <s v="1º Turno"/>
    <x v="0"/>
    <s v="Não"/>
    <x v="1"/>
    <d v="2025-06-28T00:00:00"/>
    <d v="2025-06-01T00:00:00"/>
    <s v="sáb"/>
    <x v="1"/>
    <x v="1"/>
    <m/>
    <s v="156145836"/>
  </r>
  <r>
    <n v="1561"/>
    <n v="47"/>
    <s v="Masculino"/>
    <s v="Logistica"/>
    <s v="Operador"/>
    <s v="1º Turno"/>
    <x v="0"/>
    <s v="Não"/>
    <x v="1"/>
    <d v="2025-08-06T00:00:00"/>
    <d v="2025-08-01T00:00:00"/>
    <s v="qua"/>
    <x v="9"/>
    <x v="1"/>
    <m/>
    <s v="156145875"/>
  </r>
  <r>
    <n v="1561"/>
    <n v="47"/>
    <s v="Masculino"/>
    <s v="Logistica"/>
    <s v="Operador"/>
    <s v="1º Turno"/>
    <x v="0"/>
    <s v="Não"/>
    <x v="1"/>
    <d v="2025-10-12T00:00:00"/>
    <d v="2025-10-01T00:00:00"/>
    <s v="dom"/>
    <x v="11"/>
    <x v="1"/>
    <m/>
    <s v="156145942"/>
  </r>
  <r>
    <n v="1561"/>
    <n v="47"/>
    <s v="Masculino"/>
    <s v="Logistica"/>
    <s v="Operador"/>
    <s v="1º Turno"/>
    <x v="0"/>
    <s v="Não"/>
    <x v="1"/>
    <d v="2025-12-17T00:00:00"/>
    <d v="2025-12-01T00:00:00"/>
    <s v="qua"/>
    <x v="8"/>
    <x v="1"/>
    <m/>
    <s v="156146008"/>
  </r>
  <r>
    <n v="1561"/>
    <n v="47"/>
    <s v="Masculino"/>
    <s v="Logistica"/>
    <s v="Operador"/>
    <s v="1º Turno"/>
    <x v="0"/>
    <s v="Não"/>
    <x v="1"/>
    <d v="2025-12-30T00:00:00"/>
    <d v="2025-12-01T00:00:00"/>
    <s v="ter"/>
    <x v="8"/>
    <x v="1"/>
    <m/>
    <s v="156146021"/>
  </r>
  <r>
    <n v="1561"/>
    <n v="47"/>
    <s v="Masculino"/>
    <s v="Logistica"/>
    <s v="Operador"/>
    <s v="1º Turno"/>
    <x v="0"/>
    <s v="Não"/>
    <x v="1"/>
    <d v="2026-03-10T00:00:00"/>
    <d v="2026-03-01T00:00:00"/>
    <s v="ter"/>
    <x v="4"/>
    <x v="0"/>
    <m/>
    <s v="156146091"/>
  </r>
  <r>
    <n v="1562"/>
    <n v="40"/>
    <s v="Masculino"/>
    <s v="Soldagem"/>
    <s v="Operador"/>
    <s v="3º Turno"/>
    <x v="0"/>
    <s v="Sim"/>
    <x v="1"/>
    <d v="2025-10-18T00:00:00"/>
    <d v="2025-10-01T00:00:00"/>
    <s v="sáb"/>
    <x v="11"/>
    <x v="1"/>
    <d v="2026-06-01T00:00:00"/>
    <s v="156245948"/>
  </r>
  <r>
    <n v="1562"/>
    <n v="40"/>
    <s v="Masculino"/>
    <s v="Soldagem"/>
    <s v="Operador"/>
    <s v="3º Turno"/>
    <x v="0"/>
    <s v="Sim"/>
    <x v="1"/>
    <d v="2025-10-31T00:00:00"/>
    <d v="2025-10-01T00:00:00"/>
    <s v="sex"/>
    <x v="11"/>
    <x v="1"/>
    <d v="2026-06-01T00:00:00"/>
    <s v="156245961"/>
  </r>
  <r>
    <n v="1562"/>
    <n v="40"/>
    <s v="Masculino"/>
    <s v="Soldagem"/>
    <s v="Operador"/>
    <s v="3º Turno"/>
    <x v="0"/>
    <s v="Sim"/>
    <x v="1"/>
    <d v="2025-11-07T00:00:00"/>
    <d v="2025-11-01T00:00:00"/>
    <s v="sex"/>
    <x v="10"/>
    <x v="1"/>
    <d v="2026-06-01T00:00:00"/>
    <s v="156245968"/>
  </r>
  <r>
    <n v="1562"/>
    <n v="40"/>
    <s v="Masculino"/>
    <s v="Soldagem"/>
    <s v="Operador"/>
    <s v="3º Turno"/>
    <x v="0"/>
    <s v="Sim"/>
    <x v="1"/>
    <d v="2025-11-09T00:00:00"/>
    <d v="2025-11-01T00:00:00"/>
    <s v="dom"/>
    <x v="10"/>
    <x v="1"/>
    <d v="2026-06-01T00:00:00"/>
    <s v="156245970"/>
  </r>
  <r>
    <n v="1562"/>
    <n v="40"/>
    <s v="Masculino"/>
    <s v="Soldagem"/>
    <s v="Operador"/>
    <s v="3º Turno"/>
    <x v="0"/>
    <s v="Sim"/>
    <x v="1"/>
    <d v="2025-12-21T00:00:00"/>
    <d v="2025-12-01T00:00:00"/>
    <s v="dom"/>
    <x v="8"/>
    <x v="1"/>
    <d v="2026-06-01T00:00:00"/>
    <s v="156246012"/>
  </r>
  <r>
    <n v="1562"/>
    <n v="40"/>
    <s v="Masculino"/>
    <s v="Soldagem"/>
    <s v="Operador"/>
    <s v="3º Turno"/>
    <x v="0"/>
    <s v="Sim"/>
    <x v="1"/>
    <d v="2026-06-10T00:00:00"/>
    <d v="2026-01-01T00:00:00"/>
    <s v="qua"/>
    <x v="1"/>
    <x v="0"/>
    <d v="2026-06-01T00:00:00"/>
    <s v="156246183"/>
  </r>
  <r>
    <n v="1563"/>
    <n v="24"/>
    <s v="Feminino"/>
    <s v="Montagem"/>
    <s v="Operador"/>
    <s v="1º Turno"/>
    <x v="4"/>
    <s v="Não"/>
    <x v="1"/>
    <d v="2025-11-07T00:00:00"/>
    <d v="2025-11-01T00:00:00"/>
    <s v="sex"/>
    <x v="10"/>
    <x v="1"/>
    <m/>
    <s v="156345968"/>
  </r>
  <r>
    <n v="1563"/>
    <n v="24"/>
    <s v="Feminino"/>
    <s v="Montagem"/>
    <s v="Operador"/>
    <s v="1º Turno"/>
    <x v="4"/>
    <s v="Não"/>
    <x v="1"/>
    <d v="2025-12-02T00:00:00"/>
    <d v="2025-12-01T00:00:00"/>
    <s v="ter"/>
    <x v="8"/>
    <x v="1"/>
    <m/>
    <s v="156345993"/>
  </r>
  <r>
    <n v="1563"/>
    <n v="24"/>
    <s v="Feminino"/>
    <s v="Montagem"/>
    <s v="Operador"/>
    <s v="1º Turno"/>
    <x v="4"/>
    <s v="Não"/>
    <x v="1"/>
    <d v="2025-12-22T00:00:00"/>
    <d v="2025-12-01T00:00:00"/>
    <s v="seg"/>
    <x v="8"/>
    <x v="1"/>
    <m/>
    <s v="156346013"/>
  </r>
  <r>
    <n v="1563"/>
    <n v="24"/>
    <s v="Feminino"/>
    <s v="Montagem"/>
    <s v="Operador"/>
    <s v="1º Turno"/>
    <x v="4"/>
    <s v="Não"/>
    <x v="1"/>
    <d v="2026-06-30T00:00:00"/>
    <d v="2026-01-01T00:00:00"/>
    <s v="ter"/>
    <x v="1"/>
    <x v="0"/>
    <m/>
    <s v="156346203"/>
  </r>
  <r>
    <n v="1563"/>
    <n v="24"/>
    <s v="Feminino"/>
    <s v="Montagem"/>
    <s v="Operador"/>
    <s v="1º Turno"/>
    <x v="4"/>
    <s v="Não"/>
    <x v="1"/>
    <d v="2026-02-04T00:00:00"/>
    <d v="2026-02-01T00:00:00"/>
    <s v="qua"/>
    <x v="3"/>
    <x v="0"/>
    <m/>
    <s v="156346057"/>
  </r>
  <r>
    <n v="1563"/>
    <n v="24"/>
    <s v="Feminino"/>
    <s v="Montagem"/>
    <s v="Operador"/>
    <s v="1º Turno"/>
    <x v="4"/>
    <s v="Não"/>
    <x v="1"/>
    <d v="2026-03-17T00:00:00"/>
    <d v="2026-03-01T00:00:00"/>
    <s v="ter"/>
    <x v="4"/>
    <x v="0"/>
    <m/>
    <s v="156346098"/>
  </r>
  <r>
    <n v="1564"/>
    <n v="34"/>
    <s v="Feminino"/>
    <s v="Montagem"/>
    <s v="Operador"/>
    <s v="1º Turno"/>
    <x v="2"/>
    <s v="Não"/>
    <x v="2"/>
    <d v="2025-05-03T00:00:00"/>
    <d v="2025-05-01T00:00:00"/>
    <s v="sáb"/>
    <x v="0"/>
    <x v="1"/>
    <m/>
    <s v="156445780"/>
  </r>
  <r>
    <n v="1564"/>
    <n v="34"/>
    <s v="Feminino"/>
    <s v="Montagem"/>
    <s v="Operador"/>
    <s v="1º Turno"/>
    <x v="3"/>
    <s v="Não"/>
    <x v="2"/>
    <d v="2025-06-28T00:00:00"/>
    <d v="2025-06-01T00:00:00"/>
    <s v="sáb"/>
    <x v="1"/>
    <x v="1"/>
    <m/>
    <s v="156445836"/>
  </r>
  <r>
    <n v="1564"/>
    <n v="34"/>
    <s v="Feminino"/>
    <s v="Montagem"/>
    <s v="Operador"/>
    <s v="1º Turno"/>
    <x v="4"/>
    <s v="Não"/>
    <x v="2"/>
    <d v="2025-08-21T00:00:00"/>
    <d v="2025-08-01T00:00:00"/>
    <s v="qui"/>
    <x v="9"/>
    <x v="1"/>
    <m/>
    <s v="156445890"/>
  </r>
  <r>
    <n v="1564"/>
    <n v="34"/>
    <s v="Feminino"/>
    <s v="Montagem"/>
    <s v="Operador"/>
    <s v="1º Turno"/>
    <x v="4"/>
    <s v="Não"/>
    <x v="2"/>
    <d v="2025-10-02T00:00:00"/>
    <d v="2025-10-01T00:00:00"/>
    <s v="qui"/>
    <x v="11"/>
    <x v="1"/>
    <m/>
    <s v="156445932"/>
  </r>
  <r>
    <n v="1564"/>
    <n v="34"/>
    <s v="Feminino"/>
    <s v="Montagem"/>
    <s v="Operador"/>
    <s v="1º Turno"/>
    <x v="3"/>
    <s v="Não"/>
    <x v="2"/>
    <d v="2025-11-02T00:00:00"/>
    <d v="2025-11-01T00:00:00"/>
    <s v="dom"/>
    <x v="10"/>
    <x v="1"/>
    <m/>
    <s v="156445963"/>
  </r>
  <r>
    <n v="1564"/>
    <n v="34"/>
    <s v="Feminino"/>
    <s v="Montagem"/>
    <s v="Operador"/>
    <s v="1º Turno"/>
    <x v="2"/>
    <s v="Não"/>
    <x v="2"/>
    <d v="2026-02-09T00:00:00"/>
    <d v="2026-02-01T00:00:00"/>
    <s v="seg"/>
    <x v="3"/>
    <x v="0"/>
    <m/>
    <s v="156446062"/>
  </r>
  <r>
    <n v="1564"/>
    <n v="34"/>
    <s v="Feminino"/>
    <s v="Montagem"/>
    <s v="Operador"/>
    <s v="1º Turno"/>
    <x v="2"/>
    <s v="Não"/>
    <x v="2"/>
    <d v="2026-05-03T00:00:00"/>
    <d v="2026-05-01T00:00:00"/>
    <s v="sáb"/>
    <x v="0"/>
    <x v="1"/>
    <m/>
    <s v="156446145"/>
  </r>
  <r>
    <n v="1565"/>
    <n v="21"/>
    <s v="Feminino"/>
    <s v="Qualidade"/>
    <s v="Inspetor"/>
    <s v="3º Turno"/>
    <x v="3"/>
    <s v="Não"/>
    <x v="2"/>
    <d v="2025-06-29T00:00:00"/>
    <d v="2025-06-01T00:00:00"/>
    <s v="dom"/>
    <x v="1"/>
    <x v="1"/>
    <m/>
    <s v="156545837"/>
  </r>
  <r>
    <n v="1565"/>
    <n v="21"/>
    <s v="Feminino"/>
    <s v="Qualidade"/>
    <s v="Inspetor"/>
    <s v="3º Turno"/>
    <x v="0"/>
    <s v="Não"/>
    <x v="2"/>
    <d v="2025-07-24T00:00:00"/>
    <d v="2025-07-01T00:00:00"/>
    <s v="qui"/>
    <x v="6"/>
    <x v="1"/>
    <m/>
    <s v="156545862"/>
  </r>
  <r>
    <n v="1565"/>
    <n v="21"/>
    <s v="Feminino"/>
    <s v="Qualidade"/>
    <s v="Inspetor"/>
    <s v="3º Turno"/>
    <x v="0"/>
    <s v="Não"/>
    <x v="2"/>
    <d v="2025-11-15T00:00:00"/>
    <d v="2025-11-01T00:00:00"/>
    <s v="sáb"/>
    <x v="10"/>
    <x v="1"/>
    <m/>
    <s v="156545976"/>
  </r>
  <r>
    <n v="1565"/>
    <n v="21"/>
    <s v="Feminino"/>
    <s v="Qualidade"/>
    <s v="Inspetor"/>
    <s v="3º Turno"/>
    <x v="0"/>
    <s v="Não"/>
    <x v="2"/>
    <d v="2026-06-11T00:00:00"/>
    <d v="2026-01-01T00:00:00"/>
    <s v="qui"/>
    <x v="1"/>
    <x v="0"/>
    <m/>
    <s v="156546184"/>
  </r>
  <r>
    <n v="1565"/>
    <n v="21"/>
    <s v="Feminino"/>
    <s v="Qualidade"/>
    <s v="Inspetor"/>
    <s v="3º Turno"/>
    <x v="3"/>
    <s v="Não"/>
    <x v="2"/>
    <d v="2026-06-23T00:00:00"/>
    <d v="2026-01-01T00:00:00"/>
    <s v="ter"/>
    <x v="1"/>
    <x v="0"/>
    <m/>
    <s v="156546196"/>
  </r>
  <r>
    <n v="1567"/>
    <n v="42"/>
    <s v="Feminino"/>
    <s v="Soldagem"/>
    <s v="Operador"/>
    <s v="3º Turno"/>
    <x v="4"/>
    <s v="Não"/>
    <x v="0"/>
    <d v="2025-04-19T00:00:00"/>
    <d v="2025-04-01T00:00:00"/>
    <s v="sáb"/>
    <x v="2"/>
    <x v="1"/>
    <m/>
    <s v="156745766"/>
  </r>
  <r>
    <n v="1567"/>
    <n v="42"/>
    <s v="Feminino"/>
    <s v="Soldagem"/>
    <s v="Operador"/>
    <s v="3º Turno"/>
    <x v="4"/>
    <s v="Não"/>
    <x v="0"/>
    <d v="2025-04-24T00:00:00"/>
    <d v="2025-04-01T00:00:00"/>
    <s v="qui"/>
    <x v="2"/>
    <x v="1"/>
    <m/>
    <s v="156745771"/>
  </r>
  <r>
    <n v="1567"/>
    <n v="42"/>
    <s v="Feminino"/>
    <s v="Soldagem"/>
    <s v="Operador"/>
    <s v="3º Turno"/>
    <x v="4"/>
    <s v="Não"/>
    <x v="0"/>
    <d v="2025-08-10T00:00:00"/>
    <d v="2025-08-01T00:00:00"/>
    <s v="dom"/>
    <x v="9"/>
    <x v="1"/>
    <m/>
    <s v="156745879"/>
  </r>
  <r>
    <n v="1567"/>
    <n v="42"/>
    <s v="Feminino"/>
    <s v="Soldagem"/>
    <s v="Operador"/>
    <s v="3º Turno"/>
    <x v="4"/>
    <s v="Não"/>
    <x v="0"/>
    <d v="2025-10-25T00:00:00"/>
    <d v="2025-10-01T00:00:00"/>
    <s v="sáb"/>
    <x v="11"/>
    <x v="1"/>
    <m/>
    <s v="156745955"/>
  </r>
  <r>
    <n v="1567"/>
    <n v="42"/>
    <s v="Feminino"/>
    <s v="Soldagem"/>
    <s v="Operador"/>
    <s v="3º Turno"/>
    <x v="4"/>
    <s v="Não"/>
    <x v="0"/>
    <d v="2025-11-16T00:00:00"/>
    <d v="2025-11-01T00:00:00"/>
    <s v="dom"/>
    <x v="10"/>
    <x v="1"/>
    <m/>
    <s v="156745977"/>
  </r>
  <r>
    <n v="1567"/>
    <n v="42"/>
    <s v="Feminino"/>
    <s v="Soldagem"/>
    <s v="Operador"/>
    <s v="3º Turno"/>
    <x v="4"/>
    <s v="Não"/>
    <x v="0"/>
    <d v="2026-04-19T00:00:00"/>
    <d v="2026-04-01T00:00:00"/>
    <s v="sáb"/>
    <x v="2"/>
    <x v="1"/>
    <m/>
    <s v="156746131"/>
  </r>
  <r>
    <n v="1567"/>
    <n v="42"/>
    <s v="Feminino"/>
    <s v="Soldagem"/>
    <s v="Operador"/>
    <s v="3º Turno"/>
    <x v="4"/>
    <s v="Não"/>
    <x v="0"/>
    <d v="2026-04-24T00:00:00"/>
    <d v="2026-04-01T00:00:00"/>
    <s v="qui"/>
    <x v="2"/>
    <x v="1"/>
    <m/>
    <s v="156746136"/>
  </r>
  <r>
    <n v="1568"/>
    <n v="40"/>
    <s v="Masculino"/>
    <s v="Soldagem"/>
    <s v="Operador"/>
    <s v="2º Turno"/>
    <x v="4"/>
    <s v="Não"/>
    <x v="0"/>
    <d v="2025-05-18T00:00:00"/>
    <d v="2025-05-01T00:00:00"/>
    <s v="dom"/>
    <x v="0"/>
    <x v="1"/>
    <m/>
    <s v="156845795"/>
  </r>
  <r>
    <n v="1568"/>
    <n v="40"/>
    <s v="Masculino"/>
    <s v="Soldagem"/>
    <s v="Operador"/>
    <s v="2º Turno"/>
    <x v="4"/>
    <s v="Não"/>
    <x v="0"/>
    <d v="2025-07-29T00:00:00"/>
    <d v="2025-07-01T00:00:00"/>
    <s v="ter"/>
    <x v="6"/>
    <x v="1"/>
    <m/>
    <s v="156845867"/>
  </r>
  <r>
    <n v="1568"/>
    <n v="40"/>
    <s v="Masculino"/>
    <s v="Soldagem"/>
    <s v="Operador"/>
    <s v="2º Turno"/>
    <x v="4"/>
    <s v="Não"/>
    <x v="0"/>
    <d v="2025-08-06T00:00:00"/>
    <d v="2025-08-01T00:00:00"/>
    <s v="qua"/>
    <x v="9"/>
    <x v="1"/>
    <m/>
    <s v="156845875"/>
  </r>
  <r>
    <n v="1568"/>
    <n v="40"/>
    <s v="Masculino"/>
    <s v="Soldagem"/>
    <s v="Operador"/>
    <s v="2º Turno"/>
    <x v="0"/>
    <s v="Não"/>
    <x v="0"/>
    <d v="2025-08-26T00:00:00"/>
    <d v="2025-08-01T00:00:00"/>
    <s v="ter"/>
    <x v="9"/>
    <x v="1"/>
    <m/>
    <s v="156845895"/>
  </r>
  <r>
    <n v="1568"/>
    <n v="40"/>
    <s v="Masculino"/>
    <s v="Soldagem"/>
    <s v="Operador"/>
    <s v="2º Turno"/>
    <x v="4"/>
    <s v="Não"/>
    <x v="0"/>
    <d v="2025-10-29T00:00:00"/>
    <d v="2025-10-01T00:00:00"/>
    <s v="qua"/>
    <x v="11"/>
    <x v="1"/>
    <m/>
    <s v="156845959"/>
  </r>
  <r>
    <n v="1568"/>
    <n v="40"/>
    <s v="Masculino"/>
    <s v="Soldagem"/>
    <s v="Operador"/>
    <s v="2º Turno"/>
    <x v="4"/>
    <s v="Não"/>
    <x v="0"/>
    <d v="2025-11-27T00:00:00"/>
    <d v="2025-11-01T00:00:00"/>
    <s v="qui"/>
    <x v="10"/>
    <x v="1"/>
    <m/>
    <s v="156845988"/>
  </r>
  <r>
    <n v="1568"/>
    <n v="40"/>
    <s v="Masculino"/>
    <s v="Soldagem"/>
    <s v="Operador"/>
    <s v="2º Turno"/>
    <x v="4"/>
    <s v="Não"/>
    <x v="0"/>
    <d v="2026-05-18T00:00:00"/>
    <d v="2026-05-01T00:00:00"/>
    <s v="dom"/>
    <x v="0"/>
    <x v="1"/>
    <m/>
    <s v="156846160"/>
  </r>
  <r>
    <n v="1569"/>
    <n v="19"/>
    <s v="Masculino"/>
    <s v="Montagem"/>
    <s v="Operador"/>
    <s v="2º Turno"/>
    <x v="0"/>
    <s v="Sim"/>
    <x v="1"/>
    <d v="2025-08-11T00:00:00"/>
    <d v="2025-08-01T00:00:00"/>
    <s v="seg"/>
    <x v="9"/>
    <x v="1"/>
    <d v="2026-01-21T00:00:00"/>
    <s v="156945880"/>
  </r>
  <r>
    <n v="1569"/>
    <n v="19"/>
    <s v="Masculino"/>
    <s v="Montagem"/>
    <s v="Operador"/>
    <s v="2º Turno"/>
    <x v="0"/>
    <s v="Sim"/>
    <x v="1"/>
    <d v="2025-09-25T00:00:00"/>
    <d v="2025-09-01T00:00:00"/>
    <s v="qui"/>
    <x v="7"/>
    <x v="1"/>
    <d v="2026-01-21T00:00:00"/>
    <s v="156945925"/>
  </r>
  <r>
    <n v="1569"/>
    <n v="19"/>
    <s v="Masculino"/>
    <s v="Montagem"/>
    <s v="Operador"/>
    <s v="2º Turno"/>
    <x v="2"/>
    <s v="Sim"/>
    <x v="1"/>
    <d v="2025-11-20T00:00:00"/>
    <d v="2025-11-01T00:00:00"/>
    <s v="qui"/>
    <x v="10"/>
    <x v="1"/>
    <d v="2026-01-21T00:00:00"/>
    <s v="156945981"/>
  </r>
  <r>
    <n v="1569"/>
    <n v="19"/>
    <s v="Masculino"/>
    <s v="Montagem"/>
    <s v="Operador"/>
    <s v="2º Turno"/>
    <x v="0"/>
    <s v="Sim"/>
    <x v="1"/>
    <d v="2025-12-05T00:00:00"/>
    <d v="2025-12-01T00:00:00"/>
    <s v="sex"/>
    <x v="8"/>
    <x v="1"/>
    <d v="2026-01-21T00:00:00"/>
    <s v="156945996"/>
  </r>
  <r>
    <n v="1569"/>
    <n v="19"/>
    <s v="Masculino"/>
    <s v="Montagem"/>
    <s v="Operador"/>
    <s v="2º Turno"/>
    <x v="0"/>
    <s v="Sim"/>
    <x v="1"/>
    <d v="2026-06-06T00:00:00"/>
    <d v="2026-01-01T00:00:00"/>
    <s v="sáb"/>
    <x v="1"/>
    <x v="0"/>
    <d v="2026-01-21T00:00:00"/>
    <s v="156946179"/>
  </r>
  <r>
    <n v="1569"/>
    <n v="19"/>
    <s v="Masculino"/>
    <s v="Montagem"/>
    <s v="Operador"/>
    <s v="2º Turno"/>
    <x v="0"/>
    <s v="Sim"/>
    <x v="1"/>
    <d v="2026-06-14T00:00:00"/>
    <d v="2026-01-01T00:00:00"/>
    <s v="dom"/>
    <x v="1"/>
    <x v="0"/>
    <d v="2026-01-21T00:00:00"/>
    <s v="156946187"/>
  </r>
  <r>
    <n v="1570"/>
    <n v="21"/>
    <s v="Feminino"/>
    <s v="Soldagem"/>
    <s v="Operador"/>
    <s v="2º Turno"/>
    <x v="2"/>
    <s v="Não"/>
    <x v="0"/>
    <d v="2025-04-20T00:00:00"/>
    <d v="2025-04-01T00:00:00"/>
    <s v="dom"/>
    <x v="2"/>
    <x v="1"/>
    <m/>
    <s v="157045767"/>
  </r>
  <r>
    <n v="1570"/>
    <n v="21"/>
    <s v="Feminino"/>
    <s v="Soldagem"/>
    <s v="Operador"/>
    <s v="2º Turno"/>
    <x v="1"/>
    <s v="Não"/>
    <x v="0"/>
    <d v="2025-04-24T00:00:00"/>
    <d v="2025-04-01T00:00:00"/>
    <s v="qui"/>
    <x v="2"/>
    <x v="1"/>
    <m/>
    <s v="157045771"/>
  </r>
  <r>
    <n v="1570"/>
    <n v="21"/>
    <s v="Feminino"/>
    <s v="Soldagem"/>
    <s v="Operador"/>
    <s v="2º Turno"/>
    <x v="1"/>
    <s v="Não"/>
    <x v="0"/>
    <d v="2025-08-22T00:00:00"/>
    <d v="2025-08-01T00:00:00"/>
    <s v="sex"/>
    <x v="9"/>
    <x v="1"/>
    <m/>
    <s v="157045891"/>
  </r>
  <r>
    <n v="1570"/>
    <n v="21"/>
    <s v="Feminino"/>
    <s v="Soldagem"/>
    <s v="Operador"/>
    <s v="2º Turno"/>
    <x v="2"/>
    <s v="Não"/>
    <x v="0"/>
    <d v="2025-09-10T00:00:00"/>
    <d v="2025-09-01T00:00:00"/>
    <s v="qua"/>
    <x v="7"/>
    <x v="1"/>
    <m/>
    <s v="157045910"/>
  </r>
  <r>
    <n v="1570"/>
    <n v="21"/>
    <s v="Feminino"/>
    <s v="Soldagem"/>
    <s v="Operador"/>
    <s v="2º Turno"/>
    <x v="1"/>
    <s v="Não"/>
    <x v="0"/>
    <d v="2025-12-16T00:00:00"/>
    <d v="2025-12-01T00:00:00"/>
    <s v="ter"/>
    <x v="8"/>
    <x v="1"/>
    <m/>
    <s v="157046007"/>
  </r>
  <r>
    <n v="1570"/>
    <n v="21"/>
    <s v="Feminino"/>
    <s v="Soldagem"/>
    <s v="Operador"/>
    <s v="2º Turno"/>
    <x v="1"/>
    <s v="Não"/>
    <x v="0"/>
    <d v="2026-06-01T00:00:00"/>
    <d v="2026-01-01T00:00:00"/>
    <s v="seg"/>
    <x v="1"/>
    <x v="0"/>
    <m/>
    <s v="157046174"/>
  </r>
  <r>
    <n v="1570"/>
    <n v="21"/>
    <s v="Feminino"/>
    <s v="Soldagem"/>
    <s v="Operador"/>
    <s v="2º Turno"/>
    <x v="2"/>
    <s v="Não"/>
    <x v="0"/>
    <d v="2026-04-20T00:00:00"/>
    <d v="2026-04-01T00:00:00"/>
    <s v="dom"/>
    <x v="2"/>
    <x v="1"/>
    <m/>
    <s v="157046132"/>
  </r>
  <r>
    <n v="1570"/>
    <n v="21"/>
    <s v="Feminino"/>
    <s v="Soldagem"/>
    <s v="Operador"/>
    <s v="2º Turno"/>
    <x v="1"/>
    <s v="Não"/>
    <x v="0"/>
    <d v="2026-04-24T00:00:00"/>
    <d v="2026-04-01T00:00:00"/>
    <s v="qui"/>
    <x v="2"/>
    <x v="1"/>
    <m/>
    <s v="157046136"/>
  </r>
  <r>
    <n v="1571"/>
    <n v="40"/>
    <s v="Feminino"/>
    <s v="Soldagem"/>
    <s v="Operador"/>
    <s v="1º Turno"/>
    <x v="1"/>
    <s v="Não"/>
    <x v="1"/>
    <d v="2025-06-05T00:00:00"/>
    <d v="2025-06-01T00:00:00"/>
    <s v="qui"/>
    <x v="1"/>
    <x v="1"/>
    <m/>
    <s v="157145813"/>
  </r>
  <r>
    <n v="1571"/>
    <n v="40"/>
    <s v="Feminino"/>
    <s v="Soldagem"/>
    <s v="Operador"/>
    <s v="1º Turno"/>
    <x v="1"/>
    <s v="Não"/>
    <x v="1"/>
    <d v="2025-08-09T00:00:00"/>
    <d v="2025-08-01T00:00:00"/>
    <s v="sáb"/>
    <x v="9"/>
    <x v="1"/>
    <m/>
    <s v="157145878"/>
  </r>
  <r>
    <n v="1571"/>
    <n v="40"/>
    <s v="Feminino"/>
    <s v="Soldagem"/>
    <s v="Operador"/>
    <s v="1º Turno"/>
    <x v="1"/>
    <s v="Não"/>
    <x v="1"/>
    <d v="2025-11-28T00:00:00"/>
    <d v="2025-11-01T00:00:00"/>
    <s v="sex"/>
    <x v="10"/>
    <x v="1"/>
    <m/>
    <s v="157145989"/>
  </r>
  <r>
    <n v="1571"/>
    <n v="40"/>
    <s v="Feminino"/>
    <s v="Soldagem"/>
    <s v="Operador"/>
    <s v="1º Turno"/>
    <x v="1"/>
    <s v="Não"/>
    <x v="1"/>
    <d v="2026-06-25T00:00:00"/>
    <d v="2026-01-01T00:00:00"/>
    <s v="qui"/>
    <x v="1"/>
    <x v="0"/>
    <m/>
    <s v="157146198"/>
  </r>
  <r>
    <n v="1571"/>
    <n v="40"/>
    <s v="Feminino"/>
    <s v="Soldagem"/>
    <s v="Operador"/>
    <s v="1º Turno"/>
    <x v="1"/>
    <s v="Não"/>
    <x v="1"/>
    <d v="2026-03-07T00:00:00"/>
    <d v="2026-03-01T00:00:00"/>
    <s v="sáb"/>
    <x v="4"/>
    <x v="0"/>
    <m/>
    <s v="157146088"/>
  </r>
  <r>
    <n v="1571"/>
    <n v="40"/>
    <s v="Feminino"/>
    <s v="Soldagem"/>
    <s v="Operador"/>
    <s v="1º Turno"/>
    <x v="1"/>
    <s v="Não"/>
    <x v="1"/>
    <d v="2026-03-15T00:00:00"/>
    <d v="2026-03-01T00:00:00"/>
    <s v="dom"/>
    <x v="4"/>
    <x v="0"/>
    <m/>
    <s v="157146096"/>
  </r>
  <r>
    <n v="1572"/>
    <n v="32"/>
    <s v="Feminino"/>
    <s v="Soldagem"/>
    <s v="Operador"/>
    <s v="1º Turno"/>
    <x v="0"/>
    <s v="Sim"/>
    <x v="1"/>
    <d v="2025-06-04T00:00:00"/>
    <d v="2025-06-01T00:00:00"/>
    <s v="qua"/>
    <x v="1"/>
    <x v="1"/>
    <d v="2025-11-18T00:00:00"/>
    <s v="157245812"/>
  </r>
  <r>
    <n v="1572"/>
    <n v="32"/>
    <s v="Feminino"/>
    <s v="Soldagem"/>
    <s v="Operador"/>
    <s v="1º Turno"/>
    <x v="0"/>
    <s v="Sim"/>
    <x v="1"/>
    <d v="2025-07-15T00:00:00"/>
    <d v="2025-07-01T00:00:00"/>
    <s v="ter"/>
    <x v="6"/>
    <x v="1"/>
    <d v="2025-11-18T00:00:00"/>
    <s v="157245853"/>
  </r>
  <r>
    <n v="1572"/>
    <n v="32"/>
    <s v="Feminino"/>
    <s v="Soldagem"/>
    <s v="Operador"/>
    <s v="1º Turno"/>
    <x v="0"/>
    <s v="Sim"/>
    <x v="1"/>
    <d v="2025-08-18T00:00:00"/>
    <d v="2025-08-01T00:00:00"/>
    <s v="seg"/>
    <x v="9"/>
    <x v="1"/>
    <d v="2025-11-18T00:00:00"/>
    <s v="157245887"/>
  </r>
  <r>
    <n v="1572"/>
    <n v="32"/>
    <s v="Feminino"/>
    <s v="Soldagem"/>
    <s v="Operador"/>
    <s v="1º Turno"/>
    <x v="0"/>
    <s v="Sim"/>
    <x v="1"/>
    <d v="2025-10-12T00:00:00"/>
    <d v="2025-10-01T00:00:00"/>
    <s v="dom"/>
    <x v="11"/>
    <x v="1"/>
    <d v="2025-11-18T00:00:00"/>
    <s v="157245942"/>
  </r>
  <r>
    <n v="1572"/>
    <n v="32"/>
    <s v="Feminino"/>
    <s v="Soldagem"/>
    <s v="Operador"/>
    <s v="1º Turno"/>
    <x v="0"/>
    <s v="Sim"/>
    <x v="1"/>
    <d v="2025-11-08T00:00:00"/>
    <d v="2025-11-01T00:00:00"/>
    <s v="sáb"/>
    <x v="10"/>
    <x v="1"/>
    <d v="2025-11-18T00:00:00"/>
    <s v="157245969"/>
  </r>
  <r>
    <n v="1572"/>
    <n v="32"/>
    <s v="Feminino"/>
    <s v="Soldagem"/>
    <s v="Operador"/>
    <s v="1º Turno"/>
    <x v="0"/>
    <s v="Sim"/>
    <x v="1"/>
    <d v="2025-11-14T00:00:00"/>
    <d v="2025-11-01T00:00:00"/>
    <s v="sex"/>
    <x v="10"/>
    <x v="1"/>
    <d v="2025-11-18T00:00:00"/>
    <s v="157245975"/>
  </r>
  <r>
    <n v="1573"/>
    <n v="27"/>
    <s v="Feminino"/>
    <s v="Logistica"/>
    <s v="Operador"/>
    <s v="2º Turno"/>
    <x v="4"/>
    <s v="Não"/>
    <x v="0"/>
    <d v="2025-05-06T00:00:00"/>
    <d v="2025-05-01T00:00:00"/>
    <s v="ter"/>
    <x v="0"/>
    <x v="1"/>
    <m/>
    <s v="157345783"/>
  </r>
  <r>
    <n v="1573"/>
    <n v="27"/>
    <s v="Feminino"/>
    <s v="Logistica"/>
    <s v="Operador"/>
    <s v="2º Turno"/>
    <x v="4"/>
    <s v="Não"/>
    <x v="0"/>
    <d v="2025-06-12T00:00:00"/>
    <d v="2025-06-01T00:00:00"/>
    <s v="qui"/>
    <x v="1"/>
    <x v="1"/>
    <m/>
    <s v="157345820"/>
  </r>
  <r>
    <n v="1573"/>
    <n v="27"/>
    <s v="Feminino"/>
    <s v="Logistica"/>
    <s v="Operador"/>
    <s v="2º Turno"/>
    <x v="0"/>
    <s v="Não"/>
    <x v="0"/>
    <d v="2025-09-13T00:00:00"/>
    <d v="2025-09-01T00:00:00"/>
    <s v="sáb"/>
    <x v="7"/>
    <x v="1"/>
    <m/>
    <s v="157345913"/>
  </r>
  <r>
    <n v="1573"/>
    <n v="27"/>
    <s v="Feminino"/>
    <s v="Logistica"/>
    <s v="Operador"/>
    <s v="2º Turno"/>
    <x v="0"/>
    <s v="Não"/>
    <x v="0"/>
    <d v="2025-12-08T00:00:00"/>
    <d v="2025-12-01T00:00:00"/>
    <s v="seg"/>
    <x v="8"/>
    <x v="1"/>
    <m/>
    <s v="157345999"/>
  </r>
  <r>
    <n v="1573"/>
    <n v="27"/>
    <s v="Feminino"/>
    <s v="Logistica"/>
    <s v="Operador"/>
    <s v="2º Turno"/>
    <x v="0"/>
    <s v="Não"/>
    <x v="0"/>
    <d v="2026-06-26T00:00:00"/>
    <d v="2026-01-01T00:00:00"/>
    <s v="sex"/>
    <x v="1"/>
    <x v="0"/>
    <m/>
    <s v="157346199"/>
  </r>
  <r>
    <n v="1573"/>
    <n v="27"/>
    <s v="Feminino"/>
    <s v="Logistica"/>
    <s v="Operador"/>
    <s v="2º Turno"/>
    <x v="4"/>
    <s v="Não"/>
    <x v="0"/>
    <d v="2026-05-06T00:00:00"/>
    <d v="2026-05-01T00:00:00"/>
    <s v="ter"/>
    <x v="0"/>
    <x v="1"/>
    <m/>
    <s v="157346148"/>
  </r>
  <r>
    <n v="1574"/>
    <n v="45"/>
    <s v="Masculino"/>
    <s v="Pintura"/>
    <s v="Operador"/>
    <s v="1º Turno"/>
    <x v="4"/>
    <s v="Não"/>
    <x v="1"/>
    <d v="2025-04-28T00:00:00"/>
    <d v="2025-04-01T00:00:00"/>
    <s v="seg"/>
    <x v="2"/>
    <x v="1"/>
    <m/>
    <s v="157445775"/>
  </r>
  <r>
    <n v="1574"/>
    <n v="45"/>
    <s v="Masculino"/>
    <s v="Pintura"/>
    <s v="Operador"/>
    <s v="1º Turno"/>
    <x v="4"/>
    <s v="Não"/>
    <x v="1"/>
    <d v="2025-05-14T00:00:00"/>
    <d v="2025-05-01T00:00:00"/>
    <s v="qua"/>
    <x v="0"/>
    <x v="1"/>
    <m/>
    <s v="157445791"/>
  </r>
  <r>
    <n v="1574"/>
    <n v="45"/>
    <s v="Masculino"/>
    <s v="Pintura"/>
    <s v="Operador"/>
    <s v="1º Turno"/>
    <x v="4"/>
    <s v="Não"/>
    <x v="1"/>
    <d v="2025-05-27T00:00:00"/>
    <d v="2025-05-01T00:00:00"/>
    <s v="ter"/>
    <x v="0"/>
    <x v="1"/>
    <m/>
    <s v="157445804"/>
  </r>
  <r>
    <n v="1574"/>
    <n v="45"/>
    <s v="Masculino"/>
    <s v="Pintura"/>
    <s v="Operador"/>
    <s v="1º Turno"/>
    <x v="4"/>
    <s v="Não"/>
    <x v="1"/>
    <d v="2025-07-15T00:00:00"/>
    <d v="2025-07-01T00:00:00"/>
    <s v="ter"/>
    <x v="6"/>
    <x v="1"/>
    <m/>
    <s v="157445853"/>
  </r>
  <r>
    <n v="1574"/>
    <n v="45"/>
    <s v="Masculino"/>
    <s v="Pintura"/>
    <s v="Operador"/>
    <s v="1º Turno"/>
    <x v="4"/>
    <s v="Não"/>
    <x v="1"/>
    <d v="2025-08-20T00:00:00"/>
    <d v="2025-08-01T00:00:00"/>
    <s v="qua"/>
    <x v="9"/>
    <x v="1"/>
    <m/>
    <s v="157445889"/>
  </r>
  <r>
    <n v="1574"/>
    <n v="45"/>
    <s v="Masculino"/>
    <s v="Pintura"/>
    <s v="Operador"/>
    <s v="1º Turno"/>
    <x v="4"/>
    <s v="Não"/>
    <x v="1"/>
    <d v="2026-02-16T00:00:00"/>
    <d v="2026-02-01T00:00:00"/>
    <s v="seg"/>
    <x v="3"/>
    <x v="0"/>
    <m/>
    <s v="157446069"/>
  </r>
  <r>
    <n v="1574"/>
    <n v="45"/>
    <s v="Masculino"/>
    <s v="Pintura"/>
    <s v="Operador"/>
    <s v="1º Turno"/>
    <x v="4"/>
    <s v="Não"/>
    <x v="1"/>
    <d v="2026-04-28T00:00:00"/>
    <d v="2026-04-01T00:00:00"/>
    <s v="seg"/>
    <x v="2"/>
    <x v="1"/>
    <m/>
    <s v="157446140"/>
  </r>
  <r>
    <n v="1574"/>
    <n v="45"/>
    <s v="Masculino"/>
    <s v="Pintura"/>
    <s v="Operador"/>
    <s v="1º Turno"/>
    <x v="4"/>
    <s v="Não"/>
    <x v="1"/>
    <d v="2026-05-14T00:00:00"/>
    <d v="2026-05-01T00:00:00"/>
    <s v="qua"/>
    <x v="0"/>
    <x v="1"/>
    <m/>
    <s v="157446156"/>
  </r>
  <r>
    <n v="1574"/>
    <n v="45"/>
    <s v="Masculino"/>
    <s v="Pintura"/>
    <s v="Operador"/>
    <s v="1º Turno"/>
    <x v="4"/>
    <s v="Não"/>
    <x v="1"/>
    <d v="2026-05-27T00:00:00"/>
    <d v="2026-05-01T00:00:00"/>
    <s v="ter"/>
    <x v="0"/>
    <x v="1"/>
    <m/>
    <s v="157446169"/>
  </r>
  <r>
    <n v="1575"/>
    <n v="36"/>
    <s v="Feminino"/>
    <s v="Montagem"/>
    <s v="Operador"/>
    <s v="1º Turno"/>
    <x v="4"/>
    <s v="Não"/>
    <x v="1"/>
    <d v="2025-04-22T00:00:00"/>
    <d v="2025-04-01T00:00:00"/>
    <s v="ter"/>
    <x v="2"/>
    <x v="1"/>
    <m/>
    <s v="157545769"/>
  </r>
  <r>
    <n v="1575"/>
    <n v="36"/>
    <s v="Feminino"/>
    <s v="Montagem"/>
    <s v="Operador"/>
    <s v="1º Turno"/>
    <x v="2"/>
    <s v="Não"/>
    <x v="1"/>
    <d v="2025-05-22T00:00:00"/>
    <d v="2025-05-01T00:00:00"/>
    <s v="qui"/>
    <x v="0"/>
    <x v="1"/>
    <m/>
    <s v="157545799"/>
  </r>
  <r>
    <n v="1575"/>
    <n v="36"/>
    <s v="Feminino"/>
    <s v="Montagem"/>
    <s v="Operador"/>
    <s v="1º Turno"/>
    <x v="4"/>
    <s v="Não"/>
    <x v="1"/>
    <d v="2025-06-03T00:00:00"/>
    <d v="2025-06-01T00:00:00"/>
    <s v="ter"/>
    <x v="1"/>
    <x v="1"/>
    <m/>
    <s v="157545811"/>
  </r>
  <r>
    <n v="1575"/>
    <n v="36"/>
    <s v="Feminino"/>
    <s v="Montagem"/>
    <s v="Operador"/>
    <s v="1º Turno"/>
    <x v="2"/>
    <s v="Não"/>
    <x v="1"/>
    <d v="2025-07-30T00:00:00"/>
    <d v="2025-07-01T00:00:00"/>
    <s v="qua"/>
    <x v="6"/>
    <x v="1"/>
    <m/>
    <s v="157545868"/>
  </r>
  <r>
    <n v="1575"/>
    <n v="36"/>
    <s v="Feminino"/>
    <s v="Montagem"/>
    <s v="Operador"/>
    <s v="1º Turno"/>
    <x v="4"/>
    <s v="Não"/>
    <x v="1"/>
    <d v="2025-08-20T00:00:00"/>
    <d v="2025-08-01T00:00:00"/>
    <s v="qua"/>
    <x v="9"/>
    <x v="1"/>
    <m/>
    <s v="157545889"/>
  </r>
  <r>
    <n v="1575"/>
    <n v="36"/>
    <s v="Feminino"/>
    <s v="Montagem"/>
    <s v="Operador"/>
    <s v="1º Turno"/>
    <x v="4"/>
    <s v="Não"/>
    <x v="1"/>
    <d v="2025-12-29T00:00:00"/>
    <d v="2025-12-01T00:00:00"/>
    <s v="seg"/>
    <x v="8"/>
    <x v="1"/>
    <m/>
    <s v="157546020"/>
  </r>
  <r>
    <n v="1575"/>
    <n v="36"/>
    <s v="Feminino"/>
    <s v="Montagem"/>
    <s v="Operador"/>
    <s v="1º Turno"/>
    <x v="4"/>
    <s v="Não"/>
    <x v="1"/>
    <d v="2026-04-22T00:00:00"/>
    <d v="2026-04-01T00:00:00"/>
    <s v="ter"/>
    <x v="2"/>
    <x v="1"/>
    <m/>
    <s v="157546134"/>
  </r>
  <r>
    <n v="1575"/>
    <n v="36"/>
    <s v="Feminino"/>
    <s v="Montagem"/>
    <s v="Operador"/>
    <s v="1º Turno"/>
    <x v="2"/>
    <s v="Não"/>
    <x v="1"/>
    <d v="2026-05-22T00:00:00"/>
    <d v="2026-05-01T00:00:00"/>
    <s v="qui"/>
    <x v="0"/>
    <x v="1"/>
    <m/>
    <s v="157546164"/>
  </r>
  <r>
    <n v="1576"/>
    <n v="57"/>
    <s v="Feminino"/>
    <s v="Pintura"/>
    <s v="Operador"/>
    <s v="1º Turno"/>
    <x v="0"/>
    <s v="Sim"/>
    <x v="1"/>
    <d v="2025-03-17T00:00:00"/>
    <d v="2025-03-01T00:00:00"/>
    <s v="seg"/>
    <x v="4"/>
    <x v="1"/>
    <d v="2025-06-14T00:00:00"/>
    <s v="157645733"/>
  </r>
  <r>
    <n v="1576"/>
    <n v="57"/>
    <s v="Feminino"/>
    <s v="Pintura"/>
    <s v="Operador"/>
    <s v="1º Turno"/>
    <x v="5"/>
    <s v="Sim"/>
    <x v="1"/>
    <d v="2025-03-29T00:00:00"/>
    <d v="2025-03-01T00:00:00"/>
    <s v="sáb"/>
    <x v="4"/>
    <x v="1"/>
    <d v="2025-06-14T00:00:00"/>
    <s v="157645745"/>
  </r>
  <r>
    <n v="1576"/>
    <n v="57"/>
    <s v="Feminino"/>
    <s v="Pintura"/>
    <s v="Operador"/>
    <s v="1º Turno"/>
    <x v="3"/>
    <s v="Sim"/>
    <x v="1"/>
    <d v="2025-05-04T00:00:00"/>
    <d v="2025-05-01T00:00:00"/>
    <s v="dom"/>
    <x v="0"/>
    <x v="1"/>
    <d v="2025-06-14T00:00:00"/>
    <s v="157645781"/>
  </r>
  <r>
    <n v="1576"/>
    <n v="57"/>
    <s v="Feminino"/>
    <s v="Pintura"/>
    <s v="Operador"/>
    <s v="1º Turno"/>
    <x v="3"/>
    <s v="Sim"/>
    <x v="1"/>
    <d v="2025-05-25T00:00:00"/>
    <d v="2025-05-01T00:00:00"/>
    <s v="dom"/>
    <x v="0"/>
    <x v="1"/>
    <d v="2025-06-14T00:00:00"/>
    <s v="157645802"/>
  </r>
  <r>
    <n v="1576"/>
    <n v="57"/>
    <s v="Feminino"/>
    <s v="Pintura"/>
    <s v="Operador"/>
    <s v="1º Turno"/>
    <x v="3"/>
    <s v="Sim"/>
    <x v="1"/>
    <d v="2025-06-01T00:00:00"/>
    <d v="2025-06-01T00:00:00"/>
    <s v="dom"/>
    <x v="1"/>
    <x v="1"/>
    <d v="2025-06-14T00:00:00"/>
    <s v="157645809"/>
  </r>
  <r>
    <n v="1576"/>
    <n v="57"/>
    <s v="Feminino"/>
    <s v="Pintura"/>
    <s v="Operador"/>
    <s v="1º Turno"/>
    <x v="0"/>
    <s v="Sim"/>
    <x v="1"/>
    <d v="2025-06-06T00:00:00"/>
    <d v="2025-06-01T00:00:00"/>
    <s v="sex"/>
    <x v="1"/>
    <x v="1"/>
    <d v="2025-06-14T00:00:00"/>
    <s v="157645814"/>
  </r>
  <r>
    <n v="1577"/>
    <n v="23"/>
    <s v="Masculino"/>
    <s v="Soldagem"/>
    <s v="Operador"/>
    <s v="2º Turno"/>
    <x v="0"/>
    <s v="Sim"/>
    <x v="1"/>
    <d v="2025-06-07T00:00:00"/>
    <d v="2025-06-01T00:00:00"/>
    <s v="sáb"/>
    <x v="1"/>
    <x v="1"/>
    <d v="2026-04-06T00:00:00"/>
    <s v="157745815"/>
  </r>
  <r>
    <n v="1577"/>
    <n v="23"/>
    <s v="Masculino"/>
    <s v="Soldagem"/>
    <s v="Operador"/>
    <s v="2º Turno"/>
    <x v="0"/>
    <s v="Sim"/>
    <x v="1"/>
    <d v="2025-06-19T00:00:00"/>
    <d v="2025-06-01T00:00:00"/>
    <s v="qui"/>
    <x v="1"/>
    <x v="1"/>
    <d v="2026-04-06T00:00:00"/>
    <s v="157745827"/>
  </r>
  <r>
    <n v="1577"/>
    <n v="23"/>
    <s v="Masculino"/>
    <s v="Soldagem"/>
    <s v="Operador"/>
    <s v="2º Turno"/>
    <x v="0"/>
    <s v="Sim"/>
    <x v="1"/>
    <d v="2025-07-26T00:00:00"/>
    <d v="2025-07-01T00:00:00"/>
    <s v="sáb"/>
    <x v="6"/>
    <x v="1"/>
    <d v="2026-04-06T00:00:00"/>
    <s v="157745864"/>
  </r>
  <r>
    <n v="1577"/>
    <n v="23"/>
    <s v="Masculino"/>
    <s v="Soldagem"/>
    <s v="Operador"/>
    <s v="2º Turno"/>
    <x v="0"/>
    <s v="Sim"/>
    <x v="1"/>
    <d v="2025-08-26T00:00:00"/>
    <d v="2025-08-01T00:00:00"/>
    <s v="ter"/>
    <x v="9"/>
    <x v="1"/>
    <d v="2026-04-06T00:00:00"/>
    <s v="157745895"/>
  </r>
  <r>
    <n v="1577"/>
    <n v="23"/>
    <s v="Masculino"/>
    <s v="Soldagem"/>
    <s v="Operador"/>
    <s v="2º Turno"/>
    <x v="0"/>
    <s v="Sim"/>
    <x v="1"/>
    <d v="2026-06-08T00:00:00"/>
    <d v="2026-01-01T00:00:00"/>
    <s v="seg"/>
    <x v="1"/>
    <x v="0"/>
    <d v="2026-04-06T00:00:00"/>
    <s v="157746181"/>
  </r>
  <r>
    <n v="1577"/>
    <n v="23"/>
    <s v="Masculino"/>
    <s v="Soldagem"/>
    <s v="Operador"/>
    <s v="2º Turno"/>
    <x v="0"/>
    <s v="Sim"/>
    <x v="1"/>
    <d v="2026-03-13T00:00:00"/>
    <d v="2026-03-01T00:00:00"/>
    <s v="sex"/>
    <x v="4"/>
    <x v="0"/>
    <d v="2026-04-06T00:00:00"/>
    <s v="157746094"/>
  </r>
  <r>
    <n v="1579"/>
    <n v="22"/>
    <s v="Feminino"/>
    <s v="Montagem"/>
    <s v="Operador"/>
    <s v="2º Turno"/>
    <x v="4"/>
    <s v="Não"/>
    <x v="1"/>
    <d v="2025-05-20T00:00:00"/>
    <d v="2025-05-01T00:00:00"/>
    <s v="ter"/>
    <x v="0"/>
    <x v="1"/>
    <m/>
    <s v="157945797"/>
  </r>
  <r>
    <n v="1579"/>
    <n v="22"/>
    <s v="Feminino"/>
    <s v="Montagem"/>
    <s v="Operador"/>
    <s v="2º Turno"/>
    <x v="4"/>
    <s v="Não"/>
    <x v="1"/>
    <d v="2025-08-19T00:00:00"/>
    <d v="2025-08-01T00:00:00"/>
    <s v="ter"/>
    <x v="9"/>
    <x v="1"/>
    <m/>
    <s v="157945888"/>
  </r>
  <r>
    <n v="1579"/>
    <n v="22"/>
    <s v="Feminino"/>
    <s v="Montagem"/>
    <s v="Operador"/>
    <s v="2º Turno"/>
    <x v="4"/>
    <s v="Não"/>
    <x v="1"/>
    <d v="2025-09-16T00:00:00"/>
    <d v="2025-09-01T00:00:00"/>
    <s v="ter"/>
    <x v="7"/>
    <x v="1"/>
    <m/>
    <s v="157945916"/>
  </r>
  <r>
    <n v="1579"/>
    <n v="22"/>
    <s v="Feminino"/>
    <s v="Montagem"/>
    <s v="Operador"/>
    <s v="2º Turno"/>
    <x v="4"/>
    <s v="Não"/>
    <x v="1"/>
    <d v="2025-11-05T00:00:00"/>
    <d v="2025-11-01T00:00:00"/>
    <s v="qua"/>
    <x v="10"/>
    <x v="1"/>
    <m/>
    <s v="157945966"/>
  </r>
  <r>
    <n v="1579"/>
    <n v="22"/>
    <s v="Feminino"/>
    <s v="Montagem"/>
    <s v="Operador"/>
    <s v="2º Turno"/>
    <x v="4"/>
    <s v="Não"/>
    <x v="1"/>
    <d v="2025-11-20T00:00:00"/>
    <d v="2025-11-01T00:00:00"/>
    <s v="qui"/>
    <x v="10"/>
    <x v="1"/>
    <m/>
    <s v="157945981"/>
  </r>
  <r>
    <n v="1579"/>
    <n v="22"/>
    <s v="Feminino"/>
    <s v="Montagem"/>
    <s v="Operador"/>
    <s v="2º Turno"/>
    <x v="4"/>
    <s v="Não"/>
    <x v="1"/>
    <d v="2026-05-20T00:00:00"/>
    <d v="2026-05-01T00:00:00"/>
    <s v="ter"/>
    <x v="0"/>
    <x v="1"/>
    <m/>
    <s v="157946162"/>
  </r>
  <r>
    <n v="1580"/>
    <n v="23"/>
    <s v="Masculino"/>
    <s v="Soldagem"/>
    <s v="Operador"/>
    <s v="3º Turno"/>
    <x v="0"/>
    <s v="Sim"/>
    <x v="2"/>
    <d v="2025-04-20T00:00:00"/>
    <d v="2025-04-01T00:00:00"/>
    <s v="dom"/>
    <x v="2"/>
    <x v="1"/>
    <d v="2025-11-15T00:00:00"/>
    <s v="158045767"/>
  </r>
  <r>
    <n v="1580"/>
    <n v="23"/>
    <s v="Masculino"/>
    <s v="Soldagem"/>
    <s v="Operador"/>
    <s v="3º Turno"/>
    <x v="0"/>
    <s v="Sim"/>
    <x v="2"/>
    <d v="2025-10-06T00:00:00"/>
    <d v="2025-10-01T00:00:00"/>
    <s v="seg"/>
    <x v="11"/>
    <x v="1"/>
    <d v="2025-11-15T00:00:00"/>
    <s v="158045936"/>
  </r>
  <r>
    <n v="1580"/>
    <n v="23"/>
    <s v="Masculino"/>
    <s v="Soldagem"/>
    <s v="Operador"/>
    <s v="3º Turno"/>
    <x v="0"/>
    <s v="Sim"/>
    <x v="2"/>
    <d v="2025-10-07T00:00:00"/>
    <d v="2025-10-01T00:00:00"/>
    <s v="ter"/>
    <x v="11"/>
    <x v="1"/>
    <d v="2025-11-15T00:00:00"/>
    <s v="158045937"/>
  </r>
  <r>
    <n v="1580"/>
    <n v="23"/>
    <s v="Masculino"/>
    <s v="Soldagem"/>
    <s v="Operador"/>
    <s v="3º Turno"/>
    <x v="0"/>
    <s v="Sim"/>
    <x v="2"/>
    <d v="2025-10-08T00:00:00"/>
    <d v="2025-10-01T00:00:00"/>
    <s v="qua"/>
    <x v="11"/>
    <x v="1"/>
    <d v="2025-11-15T00:00:00"/>
    <s v="158045938"/>
  </r>
  <r>
    <n v="1580"/>
    <n v="23"/>
    <s v="Masculino"/>
    <s v="Soldagem"/>
    <s v="Operador"/>
    <s v="3º Turno"/>
    <x v="0"/>
    <s v="Sim"/>
    <x v="2"/>
    <d v="2025-10-18T00:00:00"/>
    <d v="2025-10-01T00:00:00"/>
    <s v="sáb"/>
    <x v="11"/>
    <x v="1"/>
    <d v="2025-11-15T00:00:00"/>
    <s v="158045948"/>
  </r>
  <r>
    <n v="1580"/>
    <n v="23"/>
    <s v="Masculino"/>
    <s v="Soldagem"/>
    <s v="Operador"/>
    <s v="3º Turno"/>
    <x v="0"/>
    <s v="Sim"/>
    <x v="2"/>
    <d v="2025-11-14T00:00:00"/>
    <d v="2025-11-01T00:00:00"/>
    <s v="sex"/>
    <x v="10"/>
    <x v="1"/>
    <d v="2025-11-15T00:00:00"/>
    <s v="158045975"/>
  </r>
  <r>
    <n v="1581"/>
    <n v="24"/>
    <s v="Masculino"/>
    <s v="Montagem"/>
    <s v="Operador"/>
    <s v="1º Turno"/>
    <x v="5"/>
    <s v="Sim"/>
    <x v="2"/>
    <d v="2025-02-12T00:00:00"/>
    <d v="2025-02-01T00:00:00"/>
    <s v="qua"/>
    <x v="3"/>
    <x v="1"/>
    <d v="2025-04-25T00:00:00"/>
    <s v="158145700"/>
  </r>
  <r>
    <n v="1581"/>
    <n v="24"/>
    <s v="Masculino"/>
    <s v="Montagem"/>
    <s v="Operador"/>
    <s v="1º Turno"/>
    <x v="2"/>
    <s v="Sim"/>
    <x v="2"/>
    <d v="2025-03-18T00:00:00"/>
    <d v="2025-03-01T00:00:00"/>
    <s v="ter"/>
    <x v="4"/>
    <x v="1"/>
    <d v="2025-04-25T00:00:00"/>
    <s v="158145734"/>
  </r>
  <r>
    <n v="1581"/>
    <n v="24"/>
    <s v="Masculino"/>
    <s v="Montagem"/>
    <s v="Operador"/>
    <s v="1º Turno"/>
    <x v="1"/>
    <s v="Sim"/>
    <x v="2"/>
    <d v="2025-04-14T00:00:00"/>
    <d v="2025-04-01T00:00:00"/>
    <s v="seg"/>
    <x v="2"/>
    <x v="1"/>
    <d v="2025-04-25T00:00:00"/>
    <s v="158145761"/>
  </r>
  <r>
    <n v="1581"/>
    <n v="24"/>
    <s v="Masculino"/>
    <s v="Montagem"/>
    <s v="Operador"/>
    <s v="1º Turno"/>
    <x v="1"/>
    <s v="Sim"/>
    <x v="2"/>
    <d v="2025-04-15T00:00:00"/>
    <d v="2025-04-01T00:00:00"/>
    <s v="ter"/>
    <x v="2"/>
    <x v="1"/>
    <d v="2025-04-25T00:00:00"/>
    <s v="158145762"/>
  </r>
  <r>
    <n v="1581"/>
    <n v="24"/>
    <s v="Masculino"/>
    <s v="Montagem"/>
    <s v="Operador"/>
    <s v="1º Turno"/>
    <x v="2"/>
    <s v="Sim"/>
    <x v="2"/>
    <d v="2025-04-17T00:00:00"/>
    <d v="2025-04-01T00:00:00"/>
    <s v="qui"/>
    <x v="2"/>
    <x v="1"/>
    <d v="2025-04-25T00:00:00"/>
    <s v="158145764"/>
  </r>
  <r>
    <n v="1581"/>
    <n v="24"/>
    <s v="Masculino"/>
    <s v="Montagem"/>
    <s v="Operador"/>
    <s v="1º Turno"/>
    <x v="5"/>
    <s v="Sim"/>
    <x v="2"/>
    <d v="2025-04-20T00:00:00"/>
    <d v="2025-04-01T00:00:00"/>
    <s v="dom"/>
    <x v="2"/>
    <x v="1"/>
    <d v="2025-04-25T00:00:00"/>
    <s v="158145767"/>
  </r>
  <r>
    <n v="1582"/>
    <n v="54"/>
    <s v="Masculino"/>
    <s v="Montagem"/>
    <s v="Operador"/>
    <s v="2º Turno"/>
    <x v="1"/>
    <s v="Sim"/>
    <x v="0"/>
    <d v="2025-05-15T00:00:00"/>
    <d v="2025-05-01T00:00:00"/>
    <s v="qui"/>
    <x v="0"/>
    <x v="1"/>
    <d v="2026-02-01T00:00:00"/>
    <s v="158245792"/>
  </r>
  <r>
    <n v="1582"/>
    <n v="54"/>
    <s v="Masculino"/>
    <s v="Montagem"/>
    <s v="Operador"/>
    <s v="2º Turno"/>
    <x v="1"/>
    <s v="Sim"/>
    <x v="0"/>
    <d v="2025-10-04T00:00:00"/>
    <d v="2025-10-01T00:00:00"/>
    <s v="sáb"/>
    <x v="11"/>
    <x v="1"/>
    <d v="2026-02-01T00:00:00"/>
    <s v="158245934"/>
  </r>
  <r>
    <n v="1582"/>
    <n v="54"/>
    <s v="Masculino"/>
    <s v="Montagem"/>
    <s v="Operador"/>
    <s v="2º Turno"/>
    <x v="1"/>
    <s v="Sim"/>
    <x v="0"/>
    <d v="2025-12-26T00:00:00"/>
    <d v="2025-12-01T00:00:00"/>
    <s v="sex"/>
    <x v="8"/>
    <x v="1"/>
    <d v="2026-02-01T00:00:00"/>
    <s v="158246017"/>
  </r>
  <r>
    <n v="1582"/>
    <n v="54"/>
    <s v="Masculino"/>
    <s v="Montagem"/>
    <s v="Operador"/>
    <s v="2º Turno"/>
    <x v="1"/>
    <s v="Sim"/>
    <x v="0"/>
    <d v="2026-06-05T00:00:00"/>
    <d v="2026-01-01T00:00:00"/>
    <s v="sex"/>
    <x v="1"/>
    <x v="0"/>
    <d v="2026-02-01T00:00:00"/>
    <s v="158246178"/>
  </r>
  <r>
    <n v="1582"/>
    <n v="54"/>
    <s v="Masculino"/>
    <s v="Montagem"/>
    <s v="Operador"/>
    <s v="2º Turno"/>
    <x v="1"/>
    <s v="Sim"/>
    <x v="0"/>
    <d v="2026-06-07T00:00:00"/>
    <d v="2026-01-01T00:00:00"/>
    <s v="dom"/>
    <x v="1"/>
    <x v="0"/>
    <d v="2026-02-01T00:00:00"/>
    <s v="158246180"/>
  </r>
  <r>
    <n v="1582"/>
    <n v="54"/>
    <s v="Masculino"/>
    <s v="Montagem"/>
    <s v="Operador"/>
    <s v="2º Turno"/>
    <x v="1"/>
    <s v="Sim"/>
    <x v="0"/>
    <d v="2026-06-17T00:00:00"/>
    <d v="2026-01-01T00:00:00"/>
    <s v="qua"/>
    <x v="1"/>
    <x v="0"/>
    <d v="2026-02-01T00:00:00"/>
    <s v="158246190"/>
  </r>
  <r>
    <n v="1583"/>
    <n v="28"/>
    <s v="Masculino"/>
    <s v="Qualidade"/>
    <s v="Inspetor"/>
    <s v="1º Turno"/>
    <x v="1"/>
    <s v="Sim"/>
    <x v="1"/>
    <d v="2025-06-23T00:00:00"/>
    <d v="2025-06-01T00:00:00"/>
    <s v="seg"/>
    <x v="1"/>
    <x v="1"/>
    <d v="2025-12-09T00:00:00"/>
    <s v="158345831"/>
  </r>
  <r>
    <n v="1583"/>
    <n v="28"/>
    <s v="Masculino"/>
    <s v="Qualidade"/>
    <s v="Inspetor"/>
    <s v="1º Turno"/>
    <x v="0"/>
    <s v="Sim"/>
    <x v="1"/>
    <d v="2025-07-02T00:00:00"/>
    <d v="2025-07-01T00:00:00"/>
    <s v="qua"/>
    <x v="6"/>
    <x v="1"/>
    <d v="2025-12-09T00:00:00"/>
    <s v="158345840"/>
  </r>
  <r>
    <n v="1583"/>
    <n v="28"/>
    <s v="Masculino"/>
    <s v="Qualidade"/>
    <s v="Inspetor"/>
    <s v="1º Turno"/>
    <x v="0"/>
    <s v="Sim"/>
    <x v="1"/>
    <d v="2025-10-11T00:00:00"/>
    <d v="2025-10-01T00:00:00"/>
    <s v="sáb"/>
    <x v="11"/>
    <x v="1"/>
    <d v="2025-12-09T00:00:00"/>
    <s v="158345941"/>
  </r>
  <r>
    <n v="1583"/>
    <n v="28"/>
    <s v="Masculino"/>
    <s v="Qualidade"/>
    <s v="Inspetor"/>
    <s v="1º Turno"/>
    <x v="0"/>
    <s v="Sim"/>
    <x v="1"/>
    <d v="2025-10-12T00:00:00"/>
    <d v="2025-10-01T00:00:00"/>
    <s v="dom"/>
    <x v="11"/>
    <x v="1"/>
    <d v="2025-12-09T00:00:00"/>
    <s v="158345942"/>
  </r>
  <r>
    <n v="1583"/>
    <n v="28"/>
    <s v="Masculino"/>
    <s v="Qualidade"/>
    <s v="Inspetor"/>
    <s v="1º Turno"/>
    <x v="1"/>
    <s v="Sim"/>
    <x v="1"/>
    <d v="2025-10-23T00:00:00"/>
    <d v="2025-10-01T00:00:00"/>
    <s v="qui"/>
    <x v="11"/>
    <x v="1"/>
    <d v="2025-12-09T00:00:00"/>
    <s v="158345953"/>
  </r>
  <r>
    <n v="1583"/>
    <n v="28"/>
    <s v="Masculino"/>
    <s v="Qualidade"/>
    <s v="Inspetor"/>
    <s v="1º Turno"/>
    <x v="0"/>
    <s v="Sim"/>
    <x v="1"/>
    <d v="2025-11-08T00:00:00"/>
    <d v="2025-11-01T00:00:00"/>
    <s v="sáb"/>
    <x v="10"/>
    <x v="1"/>
    <d v="2025-12-09T00:00:00"/>
    <s v="158345969"/>
  </r>
  <r>
    <n v="1584"/>
    <n v="42"/>
    <s v="Masculino"/>
    <s v="Montagem"/>
    <s v="Operador"/>
    <s v="1º Turno"/>
    <x v="0"/>
    <s v="Sim"/>
    <x v="2"/>
    <d v="2025-06-04T00:00:00"/>
    <d v="2025-06-01T00:00:00"/>
    <s v="qua"/>
    <x v="1"/>
    <x v="1"/>
    <d v="2025-10-05T00:00:00"/>
    <s v="158445812"/>
  </r>
  <r>
    <n v="1584"/>
    <n v="42"/>
    <s v="Masculino"/>
    <s v="Montagem"/>
    <s v="Operador"/>
    <s v="1º Turno"/>
    <x v="0"/>
    <s v="Sim"/>
    <x v="2"/>
    <d v="2025-07-15T00:00:00"/>
    <d v="2025-07-01T00:00:00"/>
    <s v="ter"/>
    <x v="6"/>
    <x v="1"/>
    <d v="2025-10-05T00:00:00"/>
    <s v="158445853"/>
  </r>
  <r>
    <n v="1584"/>
    <n v="42"/>
    <s v="Masculino"/>
    <s v="Montagem"/>
    <s v="Operador"/>
    <s v="1º Turno"/>
    <x v="0"/>
    <s v="Sim"/>
    <x v="2"/>
    <d v="2025-09-06T00:00:00"/>
    <d v="2025-09-01T00:00:00"/>
    <s v="sáb"/>
    <x v="7"/>
    <x v="1"/>
    <d v="2025-10-05T00:00:00"/>
    <s v="158445906"/>
  </r>
  <r>
    <n v="1584"/>
    <n v="42"/>
    <s v="Masculino"/>
    <s v="Montagem"/>
    <s v="Operador"/>
    <s v="1º Turno"/>
    <x v="0"/>
    <s v="Sim"/>
    <x v="2"/>
    <d v="2025-09-08T00:00:00"/>
    <d v="2025-09-01T00:00:00"/>
    <s v="seg"/>
    <x v="7"/>
    <x v="1"/>
    <d v="2025-10-05T00:00:00"/>
    <s v="158445908"/>
  </r>
  <r>
    <n v="1584"/>
    <n v="42"/>
    <s v="Masculino"/>
    <s v="Montagem"/>
    <s v="Operador"/>
    <s v="1º Turno"/>
    <x v="0"/>
    <s v="Sim"/>
    <x v="2"/>
    <d v="2025-09-09T00:00:00"/>
    <d v="2025-09-01T00:00:00"/>
    <s v="ter"/>
    <x v="7"/>
    <x v="1"/>
    <d v="2025-10-05T00:00:00"/>
    <s v="158445909"/>
  </r>
  <r>
    <n v="1584"/>
    <n v="42"/>
    <s v="Masculino"/>
    <s v="Montagem"/>
    <s v="Operador"/>
    <s v="1º Turno"/>
    <x v="0"/>
    <s v="Sim"/>
    <x v="2"/>
    <d v="2025-09-10T00:00:00"/>
    <d v="2025-09-01T00:00:00"/>
    <s v="qua"/>
    <x v="7"/>
    <x v="1"/>
    <d v="2025-10-05T00:00:00"/>
    <s v="158445910"/>
  </r>
  <r>
    <n v="1585"/>
    <n v="24"/>
    <s v="Feminino"/>
    <s v="Pintura"/>
    <s v="Operador"/>
    <s v="3º Turno"/>
    <x v="4"/>
    <s v="Não"/>
    <x v="0"/>
    <d v="2025-04-10T00:00:00"/>
    <d v="2025-04-01T00:00:00"/>
    <s v="qui"/>
    <x v="2"/>
    <x v="1"/>
    <m/>
    <s v="158545757"/>
  </r>
  <r>
    <n v="1585"/>
    <n v="24"/>
    <s v="Feminino"/>
    <s v="Pintura"/>
    <s v="Operador"/>
    <s v="3º Turno"/>
    <x v="4"/>
    <s v="Não"/>
    <x v="0"/>
    <d v="2025-05-15T00:00:00"/>
    <d v="2025-05-01T00:00:00"/>
    <s v="qui"/>
    <x v="0"/>
    <x v="1"/>
    <m/>
    <s v="158545792"/>
  </r>
  <r>
    <n v="1585"/>
    <n v="24"/>
    <s v="Feminino"/>
    <s v="Pintura"/>
    <s v="Operador"/>
    <s v="3º Turno"/>
    <x v="4"/>
    <s v="Não"/>
    <x v="0"/>
    <d v="2025-05-18T00:00:00"/>
    <d v="2025-05-01T00:00:00"/>
    <s v="dom"/>
    <x v="0"/>
    <x v="1"/>
    <m/>
    <s v="158545795"/>
  </r>
  <r>
    <n v="1585"/>
    <n v="24"/>
    <s v="Feminino"/>
    <s v="Pintura"/>
    <s v="Operador"/>
    <s v="3º Turno"/>
    <x v="4"/>
    <s v="Não"/>
    <x v="0"/>
    <d v="2025-06-29T00:00:00"/>
    <d v="2025-06-01T00:00:00"/>
    <s v="dom"/>
    <x v="1"/>
    <x v="1"/>
    <m/>
    <s v="158545837"/>
  </r>
  <r>
    <n v="1585"/>
    <n v="24"/>
    <s v="Feminino"/>
    <s v="Pintura"/>
    <s v="Operador"/>
    <s v="3º Turno"/>
    <x v="4"/>
    <s v="Não"/>
    <x v="0"/>
    <d v="2025-10-15T00:00:00"/>
    <d v="2025-10-01T00:00:00"/>
    <s v="qua"/>
    <x v="11"/>
    <x v="1"/>
    <m/>
    <s v="158545945"/>
  </r>
  <r>
    <n v="1585"/>
    <n v="24"/>
    <s v="Feminino"/>
    <s v="Pintura"/>
    <s v="Operador"/>
    <s v="3º Turno"/>
    <x v="4"/>
    <s v="Não"/>
    <x v="0"/>
    <d v="2025-10-27T00:00:00"/>
    <d v="2025-10-01T00:00:00"/>
    <s v="seg"/>
    <x v="11"/>
    <x v="1"/>
    <m/>
    <s v="158545957"/>
  </r>
  <r>
    <n v="1585"/>
    <n v="24"/>
    <s v="Feminino"/>
    <s v="Pintura"/>
    <s v="Operador"/>
    <s v="3º Turno"/>
    <x v="4"/>
    <s v="Não"/>
    <x v="0"/>
    <d v="2026-04-10T00:00:00"/>
    <d v="2026-04-01T00:00:00"/>
    <s v="qui"/>
    <x v="2"/>
    <x v="1"/>
    <m/>
    <s v="158546122"/>
  </r>
  <r>
    <n v="1585"/>
    <n v="24"/>
    <s v="Feminino"/>
    <s v="Pintura"/>
    <s v="Operador"/>
    <s v="3º Turno"/>
    <x v="4"/>
    <s v="Não"/>
    <x v="0"/>
    <d v="2026-05-15T00:00:00"/>
    <d v="2026-05-01T00:00:00"/>
    <s v="qui"/>
    <x v="0"/>
    <x v="1"/>
    <m/>
    <s v="158546157"/>
  </r>
  <r>
    <n v="1585"/>
    <n v="24"/>
    <s v="Feminino"/>
    <s v="Pintura"/>
    <s v="Operador"/>
    <s v="3º Turno"/>
    <x v="4"/>
    <s v="Não"/>
    <x v="0"/>
    <d v="2026-05-18T00:00:00"/>
    <d v="2026-05-01T00:00:00"/>
    <s v="dom"/>
    <x v="0"/>
    <x v="1"/>
    <m/>
    <s v="158546160"/>
  </r>
  <r>
    <n v="1586"/>
    <n v="33"/>
    <s v="Masculino"/>
    <s v="Montagem"/>
    <s v="Operador"/>
    <s v="2º Turno"/>
    <x v="0"/>
    <s v="Sim"/>
    <x v="1"/>
    <d v="2025-05-22T00:00:00"/>
    <d v="2025-05-01T00:00:00"/>
    <s v="qui"/>
    <x v="0"/>
    <x v="1"/>
    <d v="2026-01-11T00:00:00"/>
    <s v="158645799"/>
  </r>
  <r>
    <n v="1586"/>
    <n v="33"/>
    <s v="Masculino"/>
    <s v="Montagem"/>
    <s v="Operador"/>
    <s v="2º Turno"/>
    <x v="0"/>
    <s v="Sim"/>
    <x v="1"/>
    <d v="2025-06-26T00:00:00"/>
    <d v="2025-06-01T00:00:00"/>
    <s v="qui"/>
    <x v="1"/>
    <x v="1"/>
    <d v="2026-01-11T00:00:00"/>
    <s v="158645834"/>
  </r>
  <r>
    <n v="1586"/>
    <n v="33"/>
    <s v="Masculino"/>
    <s v="Montagem"/>
    <s v="Operador"/>
    <s v="2º Turno"/>
    <x v="0"/>
    <s v="Sim"/>
    <x v="1"/>
    <d v="2025-06-28T00:00:00"/>
    <d v="2025-06-01T00:00:00"/>
    <s v="sáb"/>
    <x v="1"/>
    <x v="1"/>
    <d v="2026-01-11T00:00:00"/>
    <s v="158645836"/>
  </r>
  <r>
    <n v="1586"/>
    <n v="33"/>
    <s v="Masculino"/>
    <s v="Montagem"/>
    <s v="Operador"/>
    <s v="2º Turno"/>
    <x v="0"/>
    <s v="Sim"/>
    <x v="1"/>
    <d v="2025-07-12T00:00:00"/>
    <d v="2025-07-01T00:00:00"/>
    <s v="sáb"/>
    <x v="6"/>
    <x v="1"/>
    <d v="2026-01-11T00:00:00"/>
    <s v="158645850"/>
  </r>
  <r>
    <n v="1586"/>
    <n v="33"/>
    <s v="Masculino"/>
    <s v="Montagem"/>
    <s v="Operador"/>
    <s v="2º Turno"/>
    <x v="3"/>
    <s v="Sim"/>
    <x v="1"/>
    <d v="2025-09-02T00:00:00"/>
    <d v="2025-09-01T00:00:00"/>
    <s v="ter"/>
    <x v="7"/>
    <x v="1"/>
    <d v="2026-01-11T00:00:00"/>
    <s v="158645902"/>
  </r>
  <r>
    <n v="1586"/>
    <n v="33"/>
    <s v="Masculino"/>
    <s v="Montagem"/>
    <s v="Operador"/>
    <s v="2º Turno"/>
    <x v="0"/>
    <s v="Sim"/>
    <x v="1"/>
    <d v="2025-11-21T00:00:00"/>
    <d v="2025-11-01T00:00:00"/>
    <s v="sex"/>
    <x v="10"/>
    <x v="1"/>
    <d v="2026-01-11T00:00:00"/>
    <s v="158645982"/>
  </r>
  <r>
    <n v="1587"/>
    <n v="28"/>
    <s v="Feminino"/>
    <s v="Logistica"/>
    <s v="Operador"/>
    <s v="1º Turno"/>
    <x v="3"/>
    <s v="Não"/>
    <x v="1"/>
    <d v="2025-05-08T00:00:00"/>
    <d v="2025-05-01T00:00:00"/>
    <s v="qui"/>
    <x v="0"/>
    <x v="1"/>
    <m/>
    <s v="158745785"/>
  </r>
  <r>
    <n v="1587"/>
    <n v="28"/>
    <s v="Feminino"/>
    <s v="Logistica"/>
    <s v="Operador"/>
    <s v="1º Turno"/>
    <x v="3"/>
    <s v="Não"/>
    <x v="1"/>
    <d v="2025-06-02T00:00:00"/>
    <d v="2025-06-01T00:00:00"/>
    <s v="seg"/>
    <x v="1"/>
    <x v="1"/>
    <m/>
    <s v="158745810"/>
  </r>
  <r>
    <n v="1587"/>
    <n v="28"/>
    <s v="Feminino"/>
    <s v="Logistica"/>
    <s v="Operador"/>
    <s v="1º Turno"/>
    <x v="2"/>
    <s v="Não"/>
    <x v="1"/>
    <d v="2025-06-25T00:00:00"/>
    <d v="2025-06-01T00:00:00"/>
    <s v="qua"/>
    <x v="1"/>
    <x v="1"/>
    <m/>
    <s v="158745833"/>
  </r>
  <r>
    <n v="1587"/>
    <n v="28"/>
    <s v="Feminino"/>
    <s v="Logistica"/>
    <s v="Operador"/>
    <s v="1º Turno"/>
    <x v="2"/>
    <s v="Não"/>
    <x v="1"/>
    <d v="2025-11-11T00:00:00"/>
    <d v="2025-11-01T00:00:00"/>
    <s v="ter"/>
    <x v="10"/>
    <x v="1"/>
    <m/>
    <s v="158745972"/>
  </r>
  <r>
    <n v="1587"/>
    <n v="28"/>
    <s v="Feminino"/>
    <s v="Logistica"/>
    <s v="Operador"/>
    <s v="1º Turno"/>
    <x v="3"/>
    <s v="Não"/>
    <x v="1"/>
    <d v="2026-02-05T00:00:00"/>
    <d v="2026-02-01T00:00:00"/>
    <s v="qui"/>
    <x v="3"/>
    <x v="0"/>
    <m/>
    <s v="158746058"/>
  </r>
  <r>
    <n v="1587"/>
    <n v="28"/>
    <s v="Feminino"/>
    <s v="Logistica"/>
    <s v="Operador"/>
    <s v="1º Turno"/>
    <x v="3"/>
    <s v="Não"/>
    <x v="1"/>
    <d v="2026-02-18T00:00:00"/>
    <d v="2026-02-01T00:00:00"/>
    <s v="qua"/>
    <x v="3"/>
    <x v="0"/>
    <m/>
    <s v="158746071"/>
  </r>
  <r>
    <n v="1587"/>
    <n v="28"/>
    <s v="Feminino"/>
    <s v="Logistica"/>
    <s v="Operador"/>
    <s v="1º Turno"/>
    <x v="3"/>
    <s v="Não"/>
    <x v="1"/>
    <d v="2026-05-08T00:00:00"/>
    <d v="2026-05-01T00:00:00"/>
    <s v="qui"/>
    <x v="0"/>
    <x v="1"/>
    <m/>
    <s v="158746150"/>
  </r>
  <r>
    <n v="1589"/>
    <n v="27"/>
    <s v="Feminino"/>
    <s v="Soldagem"/>
    <s v="Operador"/>
    <s v="3º Turno"/>
    <x v="0"/>
    <s v="Não"/>
    <x v="0"/>
    <d v="2025-07-12T00:00:00"/>
    <d v="2025-07-01T00:00:00"/>
    <s v="sáb"/>
    <x v="6"/>
    <x v="1"/>
    <m/>
    <s v="158945850"/>
  </r>
  <r>
    <n v="1589"/>
    <n v="27"/>
    <s v="Feminino"/>
    <s v="Soldagem"/>
    <s v="Operador"/>
    <s v="3º Turno"/>
    <x v="0"/>
    <s v="Não"/>
    <x v="0"/>
    <d v="2025-11-30T00:00:00"/>
    <d v="2025-11-01T00:00:00"/>
    <s v="dom"/>
    <x v="10"/>
    <x v="1"/>
    <m/>
    <s v="158945991"/>
  </r>
  <r>
    <n v="1589"/>
    <n v="27"/>
    <s v="Feminino"/>
    <s v="Soldagem"/>
    <s v="Operador"/>
    <s v="3º Turno"/>
    <x v="0"/>
    <s v="Não"/>
    <x v="0"/>
    <d v="2025-12-06T00:00:00"/>
    <d v="2025-12-01T00:00:00"/>
    <s v="sáb"/>
    <x v="8"/>
    <x v="1"/>
    <m/>
    <s v="158945997"/>
  </r>
  <r>
    <n v="1589"/>
    <n v="27"/>
    <s v="Feminino"/>
    <s v="Soldagem"/>
    <s v="Operador"/>
    <s v="3º Turno"/>
    <x v="0"/>
    <s v="Não"/>
    <x v="0"/>
    <d v="2025-12-24T00:00:00"/>
    <d v="2025-12-01T00:00:00"/>
    <s v="qua"/>
    <x v="8"/>
    <x v="1"/>
    <m/>
    <s v="158946015"/>
  </r>
  <r>
    <n v="1589"/>
    <n v="27"/>
    <s v="Feminino"/>
    <s v="Soldagem"/>
    <s v="Operador"/>
    <s v="3º Turno"/>
    <x v="0"/>
    <s v="Não"/>
    <x v="0"/>
    <d v="2026-02-19T00:00:00"/>
    <d v="2026-02-01T00:00:00"/>
    <s v="qui"/>
    <x v="3"/>
    <x v="0"/>
    <m/>
    <s v="158946072"/>
  </r>
  <r>
    <n v="1589"/>
    <n v="27"/>
    <s v="Feminino"/>
    <s v="Soldagem"/>
    <s v="Operador"/>
    <s v="3º Turno"/>
    <x v="0"/>
    <s v="Não"/>
    <x v="0"/>
    <d v="2026-03-13T00:00:00"/>
    <d v="2026-03-01T00:00:00"/>
    <s v="sex"/>
    <x v="4"/>
    <x v="0"/>
    <m/>
    <s v="158946094"/>
  </r>
  <r>
    <n v="1590"/>
    <n v="34"/>
    <s v="Masculino"/>
    <s v="Pintura"/>
    <s v="Operador"/>
    <s v="3º Turno"/>
    <x v="0"/>
    <s v="Sim"/>
    <x v="0"/>
    <d v="2025-01-15T00:00:00"/>
    <d v="2025-01-01T00:00:00"/>
    <s v="qua"/>
    <x v="5"/>
    <x v="1"/>
    <d v="2025-04-20T00:00:00"/>
    <s v="159045672"/>
  </r>
  <r>
    <n v="1590"/>
    <n v="34"/>
    <s v="Masculino"/>
    <s v="Pintura"/>
    <s v="Operador"/>
    <s v="3º Turno"/>
    <x v="0"/>
    <s v="Sim"/>
    <x v="0"/>
    <d v="2025-02-21T00:00:00"/>
    <d v="2025-02-01T00:00:00"/>
    <s v="sex"/>
    <x v="3"/>
    <x v="1"/>
    <d v="2025-04-20T00:00:00"/>
    <s v="159045709"/>
  </r>
  <r>
    <n v="1590"/>
    <n v="34"/>
    <s v="Masculino"/>
    <s v="Pintura"/>
    <s v="Operador"/>
    <s v="3º Turno"/>
    <x v="0"/>
    <s v="Sim"/>
    <x v="0"/>
    <d v="2025-03-29T00:00:00"/>
    <d v="2025-03-01T00:00:00"/>
    <s v="sáb"/>
    <x v="4"/>
    <x v="1"/>
    <d v="2025-04-20T00:00:00"/>
    <s v="159045745"/>
  </r>
  <r>
    <n v="1590"/>
    <n v="34"/>
    <s v="Masculino"/>
    <s v="Pintura"/>
    <s v="Operador"/>
    <s v="3º Turno"/>
    <x v="0"/>
    <s v="Sim"/>
    <x v="0"/>
    <d v="2025-03-30T00:00:00"/>
    <d v="2025-03-01T00:00:00"/>
    <s v="dom"/>
    <x v="4"/>
    <x v="1"/>
    <d v="2025-04-20T00:00:00"/>
    <s v="159045746"/>
  </r>
  <r>
    <n v="1590"/>
    <n v="34"/>
    <s v="Masculino"/>
    <s v="Pintura"/>
    <s v="Operador"/>
    <s v="3º Turno"/>
    <x v="0"/>
    <s v="Sim"/>
    <x v="0"/>
    <d v="2025-04-12T00:00:00"/>
    <d v="2025-04-01T00:00:00"/>
    <s v="sáb"/>
    <x v="2"/>
    <x v="1"/>
    <d v="2025-04-20T00:00:00"/>
    <s v="159045759"/>
  </r>
  <r>
    <n v="1590"/>
    <n v="34"/>
    <s v="Masculino"/>
    <s v="Pintura"/>
    <s v="Operador"/>
    <s v="3º Turno"/>
    <x v="0"/>
    <s v="Sim"/>
    <x v="0"/>
    <d v="2025-04-14T00:00:00"/>
    <d v="2025-04-01T00:00:00"/>
    <s v="seg"/>
    <x v="2"/>
    <x v="1"/>
    <d v="2025-04-20T00:00:00"/>
    <s v="159045761"/>
  </r>
  <r>
    <n v="1593"/>
    <n v="44"/>
    <s v="Masculino"/>
    <s v="Logistica"/>
    <s v="Operador"/>
    <s v="2º Turno"/>
    <x v="0"/>
    <s v="Sim"/>
    <x v="0"/>
    <d v="2025-06-08T00:00:00"/>
    <d v="2025-06-01T00:00:00"/>
    <s v="dom"/>
    <x v="1"/>
    <x v="1"/>
    <d v="2025-08-13T00:00:00"/>
    <s v="159345816"/>
  </r>
  <r>
    <n v="1593"/>
    <n v="44"/>
    <s v="Masculino"/>
    <s v="Logistica"/>
    <s v="Operador"/>
    <s v="2º Turno"/>
    <x v="0"/>
    <s v="Sim"/>
    <x v="0"/>
    <d v="2025-06-09T00:00:00"/>
    <d v="2025-06-01T00:00:00"/>
    <s v="seg"/>
    <x v="1"/>
    <x v="1"/>
    <d v="2025-08-13T00:00:00"/>
    <s v="159345817"/>
  </r>
  <r>
    <n v="1593"/>
    <n v="44"/>
    <s v="Masculino"/>
    <s v="Logistica"/>
    <s v="Operador"/>
    <s v="2º Turno"/>
    <x v="0"/>
    <s v="Sim"/>
    <x v="0"/>
    <d v="2025-07-26T00:00:00"/>
    <d v="2025-07-01T00:00:00"/>
    <s v="sáb"/>
    <x v="6"/>
    <x v="1"/>
    <d v="2025-08-13T00:00:00"/>
    <s v="159345864"/>
  </r>
  <r>
    <n v="1594"/>
    <n v="51"/>
    <s v="Feminino"/>
    <s v="Montagem"/>
    <s v="Operador"/>
    <s v="1º Turno"/>
    <x v="0"/>
    <s v="Não"/>
    <x v="2"/>
    <d v="2025-06-11T00:00:00"/>
    <d v="2025-06-01T00:00:00"/>
    <s v="qua"/>
    <x v="1"/>
    <x v="1"/>
    <m/>
    <s v="159445819"/>
  </r>
  <r>
    <n v="1594"/>
    <n v="51"/>
    <s v="Feminino"/>
    <s v="Montagem"/>
    <s v="Operador"/>
    <s v="1º Turno"/>
    <x v="0"/>
    <s v="Não"/>
    <x v="2"/>
    <d v="2025-08-22T00:00:00"/>
    <d v="2025-08-01T00:00:00"/>
    <s v="sex"/>
    <x v="9"/>
    <x v="1"/>
    <m/>
    <s v="159445891"/>
  </r>
  <r>
    <n v="1594"/>
    <n v="51"/>
    <s v="Feminino"/>
    <s v="Montagem"/>
    <s v="Operador"/>
    <s v="1º Turno"/>
    <x v="0"/>
    <s v="Não"/>
    <x v="2"/>
    <d v="2025-09-02T00:00:00"/>
    <d v="2025-09-01T00:00:00"/>
    <s v="ter"/>
    <x v="7"/>
    <x v="1"/>
    <m/>
    <s v="159445902"/>
  </r>
  <r>
    <n v="1594"/>
    <n v="51"/>
    <s v="Feminino"/>
    <s v="Montagem"/>
    <s v="Operador"/>
    <s v="1º Turno"/>
    <x v="0"/>
    <s v="Não"/>
    <x v="2"/>
    <d v="2025-10-27T00:00:00"/>
    <d v="2025-10-01T00:00:00"/>
    <s v="seg"/>
    <x v="11"/>
    <x v="1"/>
    <m/>
    <s v="159445957"/>
  </r>
  <r>
    <n v="1594"/>
    <n v="51"/>
    <s v="Feminino"/>
    <s v="Montagem"/>
    <s v="Operador"/>
    <s v="1º Turno"/>
    <x v="0"/>
    <s v="Não"/>
    <x v="2"/>
    <d v="2026-06-13T00:00:00"/>
    <d v="2026-01-01T00:00:00"/>
    <s v="sáb"/>
    <x v="1"/>
    <x v="0"/>
    <m/>
    <s v="159446186"/>
  </r>
  <r>
    <n v="1594"/>
    <n v="51"/>
    <s v="Feminino"/>
    <s v="Montagem"/>
    <s v="Operador"/>
    <s v="1º Turno"/>
    <x v="0"/>
    <s v="Não"/>
    <x v="2"/>
    <d v="2026-06-17T00:00:00"/>
    <d v="2026-01-01T00:00:00"/>
    <s v="qua"/>
    <x v="1"/>
    <x v="0"/>
    <m/>
    <s v="159446190"/>
  </r>
  <r>
    <n v="1595"/>
    <n v="47"/>
    <s v="Masculino"/>
    <s v="Pintura"/>
    <s v="Operador"/>
    <s v="1º Turno"/>
    <x v="0"/>
    <s v="Não"/>
    <x v="2"/>
    <d v="2025-08-05T00:00:00"/>
    <d v="2025-08-01T00:00:00"/>
    <s v="ter"/>
    <x v="9"/>
    <x v="1"/>
    <m/>
    <s v="159545874"/>
  </r>
  <r>
    <n v="1595"/>
    <n v="47"/>
    <s v="Masculino"/>
    <s v="Pintura"/>
    <s v="Operador"/>
    <s v="1º Turno"/>
    <x v="0"/>
    <s v="Não"/>
    <x v="2"/>
    <d v="2025-08-10T00:00:00"/>
    <d v="2025-08-01T00:00:00"/>
    <s v="dom"/>
    <x v="9"/>
    <x v="1"/>
    <m/>
    <s v="159545879"/>
  </r>
  <r>
    <n v="1595"/>
    <n v="47"/>
    <s v="Masculino"/>
    <s v="Pintura"/>
    <s v="Operador"/>
    <s v="1º Turno"/>
    <x v="0"/>
    <s v="Não"/>
    <x v="2"/>
    <d v="2025-12-16T00:00:00"/>
    <d v="2025-12-01T00:00:00"/>
    <s v="ter"/>
    <x v="8"/>
    <x v="1"/>
    <m/>
    <s v="159546007"/>
  </r>
  <r>
    <n v="1595"/>
    <n v="47"/>
    <s v="Masculino"/>
    <s v="Pintura"/>
    <s v="Operador"/>
    <s v="1º Turno"/>
    <x v="0"/>
    <s v="Não"/>
    <x v="2"/>
    <d v="2026-06-07T00:00:00"/>
    <d v="2026-01-01T00:00:00"/>
    <s v="dom"/>
    <x v="1"/>
    <x v="0"/>
    <m/>
    <s v="159546180"/>
  </r>
  <r>
    <n v="1595"/>
    <n v="47"/>
    <s v="Masculino"/>
    <s v="Pintura"/>
    <s v="Operador"/>
    <s v="1º Turno"/>
    <x v="0"/>
    <s v="Não"/>
    <x v="2"/>
    <d v="2026-06-26T00:00:00"/>
    <d v="2026-01-01T00:00:00"/>
    <s v="sex"/>
    <x v="1"/>
    <x v="0"/>
    <m/>
    <s v="159546199"/>
  </r>
  <r>
    <n v="1597"/>
    <n v="32"/>
    <s v="Feminino"/>
    <s v="Montagem"/>
    <s v="Operador"/>
    <s v="2º Turno"/>
    <x v="0"/>
    <s v="Sim"/>
    <x v="2"/>
    <d v="2025-01-15T00:00:00"/>
    <d v="2025-01-01T00:00:00"/>
    <s v="qua"/>
    <x v="5"/>
    <x v="1"/>
    <d v="2025-04-24T00:00:00"/>
    <s v="159745672"/>
  </r>
  <r>
    <n v="1597"/>
    <n v="32"/>
    <s v="Feminino"/>
    <s v="Montagem"/>
    <s v="Operador"/>
    <s v="2º Turno"/>
    <x v="0"/>
    <s v="Sim"/>
    <x v="2"/>
    <d v="2025-02-12T00:00:00"/>
    <d v="2025-02-01T00:00:00"/>
    <s v="qua"/>
    <x v="3"/>
    <x v="1"/>
    <d v="2025-04-24T00:00:00"/>
    <s v="159745700"/>
  </r>
  <r>
    <n v="1597"/>
    <n v="32"/>
    <s v="Feminino"/>
    <s v="Montagem"/>
    <s v="Operador"/>
    <s v="2º Turno"/>
    <x v="0"/>
    <s v="Sim"/>
    <x v="2"/>
    <d v="2025-04-14T00:00:00"/>
    <d v="2025-04-01T00:00:00"/>
    <s v="seg"/>
    <x v="2"/>
    <x v="1"/>
    <d v="2025-04-24T00:00:00"/>
    <s v="159745761"/>
  </r>
  <r>
    <n v="1597"/>
    <n v="32"/>
    <s v="Feminino"/>
    <s v="Montagem"/>
    <s v="Operador"/>
    <s v="2º Turno"/>
    <x v="0"/>
    <s v="Sim"/>
    <x v="2"/>
    <d v="2025-04-15T00:00:00"/>
    <d v="2025-04-01T00:00:00"/>
    <s v="ter"/>
    <x v="2"/>
    <x v="1"/>
    <d v="2025-04-24T00:00:00"/>
    <s v="159745762"/>
  </r>
  <r>
    <n v="1597"/>
    <n v="32"/>
    <s v="Feminino"/>
    <s v="Montagem"/>
    <s v="Operador"/>
    <s v="2º Turno"/>
    <x v="5"/>
    <s v="Sim"/>
    <x v="2"/>
    <d v="2025-04-17T00:00:00"/>
    <d v="2025-04-01T00:00:00"/>
    <s v="qui"/>
    <x v="2"/>
    <x v="1"/>
    <d v="2025-04-24T00:00:00"/>
    <s v="159745764"/>
  </r>
  <r>
    <n v="1597"/>
    <n v="32"/>
    <s v="Feminino"/>
    <s v="Montagem"/>
    <s v="Operador"/>
    <s v="2º Turno"/>
    <x v="0"/>
    <s v="Sim"/>
    <x v="2"/>
    <d v="2025-04-18T00:00:00"/>
    <d v="2025-04-01T00:00:00"/>
    <s v="sex"/>
    <x v="2"/>
    <x v="1"/>
    <d v="2025-04-24T00:00:00"/>
    <s v="159745765"/>
  </r>
  <r>
    <n v="1598"/>
    <n v="56"/>
    <s v="Masculino"/>
    <s v="Pintura"/>
    <s v="Operador"/>
    <s v="3º Turno"/>
    <x v="0"/>
    <s v="Sim"/>
    <x v="0"/>
    <d v="2025-03-17T00:00:00"/>
    <d v="2025-03-01T00:00:00"/>
    <s v="seg"/>
    <x v="4"/>
    <x v="1"/>
    <d v="2025-05-16T00:00:00"/>
    <s v="159845733"/>
  </r>
  <r>
    <n v="1598"/>
    <n v="56"/>
    <s v="Masculino"/>
    <s v="Pintura"/>
    <s v="Operador"/>
    <s v="3º Turno"/>
    <x v="0"/>
    <s v="Sim"/>
    <x v="0"/>
    <d v="2025-03-18T00:00:00"/>
    <d v="2025-03-01T00:00:00"/>
    <s v="ter"/>
    <x v="4"/>
    <x v="1"/>
    <d v="2025-05-16T00:00:00"/>
    <s v="159845734"/>
  </r>
  <r>
    <n v="1598"/>
    <n v="56"/>
    <s v="Masculino"/>
    <s v="Pintura"/>
    <s v="Operador"/>
    <s v="3º Turno"/>
    <x v="0"/>
    <s v="Sim"/>
    <x v="0"/>
    <d v="2025-05-06T00:00:00"/>
    <d v="2025-05-01T00:00:00"/>
    <s v="ter"/>
    <x v="0"/>
    <x v="1"/>
    <d v="2025-05-16T00:00:00"/>
    <s v="159845783"/>
  </r>
  <r>
    <n v="1598"/>
    <n v="56"/>
    <s v="Masculino"/>
    <s v="Pintura"/>
    <s v="Operador"/>
    <s v="3º Turno"/>
    <x v="0"/>
    <s v="Sim"/>
    <x v="0"/>
    <d v="2025-05-07T00:00:00"/>
    <d v="2025-05-01T00:00:00"/>
    <s v="qua"/>
    <x v="0"/>
    <x v="1"/>
    <d v="2025-05-16T00:00:00"/>
    <s v="159845784"/>
  </r>
  <r>
    <n v="1598"/>
    <n v="56"/>
    <s v="Masculino"/>
    <s v="Pintura"/>
    <s v="Operador"/>
    <s v="3º Turno"/>
    <x v="0"/>
    <s v="Sim"/>
    <x v="0"/>
    <d v="2025-05-08T00:00:00"/>
    <d v="2025-05-01T00:00:00"/>
    <s v="qui"/>
    <x v="0"/>
    <x v="1"/>
    <d v="2025-05-16T00:00:00"/>
    <s v="159845785"/>
  </r>
  <r>
    <n v="1598"/>
    <n v="56"/>
    <s v="Masculino"/>
    <s v="Pintura"/>
    <s v="Operador"/>
    <s v="3º Turno"/>
    <x v="0"/>
    <s v="Sim"/>
    <x v="0"/>
    <d v="2025-05-09T00:00:00"/>
    <d v="2025-05-01T00:00:00"/>
    <s v="sex"/>
    <x v="0"/>
    <x v="1"/>
    <d v="2025-05-16T00:00:00"/>
    <s v="159845786"/>
  </r>
  <r>
    <n v="1599"/>
    <n v="37"/>
    <s v="Masculino"/>
    <s v="Soldagem"/>
    <s v="Operador"/>
    <s v="1º Turno"/>
    <x v="0"/>
    <s v="Não"/>
    <x v="2"/>
    <d v="2025-07-13T00:00:00"/>
    <d v="2025-07-01T00:00:00"/>
    <s v="dom"/>
    <x v="6"/>
    <x v="1"/>
    <m/>
    <s v="159945851"/>
  </r>
  <r>
    <n v="1599"/>
    <n v="37"/>
    <s v="Masculino"/>
    <s v="Soldagem"/>
    <s v="Operador"/>
    <s v="1º Turno"/>
    <x v="0"/>
    <s v="Não"/>
    <x v="2"/>
    <d v="2025-08-03T00:00:00"/>
    <d v="2025-08-01T00:00:00"/>
    <s v="dom"/>
    <x v="9"/>
    <x v="1"/>
    <m/>
    <s v="159945872"/>
  </r>
  <r>
    <n v="1599"/>
    <n v="37"/>
    <s v="Masculino"/>
    <s v="Soldagem"/>
    <s v="Operador"/>
    <s v="1º Turno"/>
    <x v="0"/>
    <s v="Não"/>
    <x v="2"/>
    <d v="2025-09-09T00:00:00"/>
    <d v="2025-09-01T00:00:00"/>
    <s v="ter"/>
    <x v="7"/>
    <x v="1"/>
    <m/>
    <s v="159945909"/>
  </r>
  <r>
    <n v="1599"/>
    <n v="37"/>
    <s v="Masculino"/>
    <s v="Soldagem"/>
    <s v="Operador"/>
    <s v="1º Turno"/>
    <x v="0"/>
    <s v="Não"/>
    <x v="2"/>
    <d v="2025-11-24T00:00:00"/>
    <d v="2025-11-01T00:00:00"/>
    <s v="seg"/>
    <x v="10"/>
    <x v="1"/>
    <m/>
    <s v="159945985"/>
  </r>
  <r>
    <n v="1599"/>
    <n v="37"/>
    <s v="Masculino"/>
    <s v="Soldagem"/>
    <s v="Operador"/>
    <s v="1º Turno"/>
    <x v="0"/>
    <s v="Não"/>
    <x v="2"/>
    <d v="2026-03-02T00:00:00"/>
    <d v="2026-03-01T00:00:00"/>
    <s v="seg"/>
    <x v="4"/>
    <x v="0"/>
    <m/>
    <s v="159946083"/>
  </r>
  <r>
    <n v="1600"/>
    <n v="39"/>
    <s v="Masculino"/>
    <s v="Pintura"/>
    <s v="Operador"/>
    <s v="2º Turno"/>
    <x v="0"/>
    <s v="Não"/>
    <x v="2"/>
    <d v="2025-06-27T00:00:00"/>
    <d v="2025-06-01T00:00:00"/>
    <s v="sex"/>
    <x v="1"/>
    <x v="1"/>
    <m/>
    <s v="160045835"/>
  </r>
  <r>
    <n v="1600"/>
    <n v="39"/>
    <s v="Masculino"/>
    <s v="Pintura"/>
    <s v="Operador"/>
    <s v="2º Turno"/>
    <x v="0"/>
    <s v="Não"/>
    <x v="2"/>
    <d v="2025-07-15T00:00:00"/>
    <d v="2025-07-01T00:00:00"/>
    <s v="ter"/>
    <x v="6"/>
    <x v="1"/>
    <m/>
    <s v="160045853"/>
  </r>
  <r>
    <n v="1600"/>
    <n v="39"/>
    <s v="Masculino"/>
    <s v="Pintura"/>
    <s v="Operador"/>
    <s v="2º Turno"/>
    <x v="0"/>
    <s v="Não"/>
    <x v="2"/>
    <d v="2025-07-21T00:00:00"/>
    <d v="2025-07-01T00:00:00"/>
    <s v="seg"/>
    <x v="6"/>
    <x v="1"/>
    <m/>
    <s v="160045859"/>
  </r>
  <r>
    <n v="1600"/>
    <n v="39"/>
    <s v="Masculino"/>
    <s v="Pintura"/>
    <s v="Operador"/>
    <s v="2º Turno"/>
    <x v="0"/>
    <s v="Não"/>
    <x v="2"/>
    <d v="2025-10-20T00:00:00"/>
    <d v="2025-10-01T00:00:00"/>
    <s v="seg"/>
    <x v="11"/>
    <x v="1"/>
    <m/>
    <s v="160045950"/>
  </r>
  <r>
    <n v="1600"/>
    <n v="39"/>
    <s v="Masculino"/>
    <s v="Pintura"/>
    <s v="Operador"/>
    <s v="2º Turno"/>
    <x v="0"/>
    <s v="Não"/>
    <x v="2"/>
    <d v="2026-02-19T00:00:00"/>
    <d v="2026-02-01T00:00:00"/>
    <s v="qui"/>
    <x v="3"/>
    <x v="0"/>
    <m/>
    <s v="160046072"/>
  </r>
  <r>
    <n v="1601"/>
    <n v="58"/>
    <s v="Feminino"/>
    <s v="Montagem"/>
    <s v="Operador"/>
    <s v="2º Turno"/>
    <x v="0"/>
    <s v="Sim"/>
    <x v="2"/>
    <d v="2025-04-12T00:00:00"/>
    <d v="2025-04-01T00:00:00"/>
    <s v="sáb"/>
    <x v="2"/>
    <x v="1"/>
    <d v="2026-06-11T00:00:00"/>
    <s v="160145759"/>
  </r>
  <r>
    <n v="1601"/>
    <n v="58"/>
    <s v="Feminino"/>
    <s v="Montagem"/>
    <s v="Operador"/>
    <s v="2º Turno"/>
    <x v="0"/>
    <s v="Sim"/>
    <x v="2"/>
    <d v="2025-08-15T00:00:00"/>
    <d v="2025-08-01T00:00:00"/>
    <s v="sex"/>
    <x v="9"/>
    <x v="1"/>
    <d v="2026-06-11T00:00:00"/>
    <s v="160145884"/>
  </r>
  <r>
    <n v="1601"/>
    <n v="58"/>
    <s v="Feminino"/>
    <s v="Montagem"/>
    <s v="Operador"/>
    <s v="2º Turno"/>
    <x v="0"/>
    <s v="Sim"/>
    <x v="2"/>
    <d v="2025-08-22T00:00:00"/>
    <d v="2025-08-01T00:00:00"/>
    <s v="sex"/>
    <x v="9"/>
    <x v="1"/>
    <d v="2026-06-11T00:00:00"/>
    <s v="160145891"/>
  </r>
  <r>
    <n v="1601"/>
    <n v="58"/>
    <s v="Feminino"/>
    <s v="Montagem"/>
    <s v="Operador"/>
    <s v="2º Turno"/>
    <x v="0"/>
    <s v="Sim"/>
    <x v="2"/>
    <d v="2025-08-26T00:00:00"/>
    <d v="2025-08-01T00:00:00"/>
    <s v="ter"/>
    <x v="9"/>
    <x v="1"/>
    <d v="2026-06-11T00:00:00"/>
    <s v="160145895"/>
  </r>
  <r>
    <n v="1601"/>
    <n v="58"/>
    <s v="Feminino"/>
    <s v="Montagem"/>
    <s v="Operador"/>
    <s v="2º Turno"/>
    <x v="0"/>
    <s v="Sim"/>
    <x v="2"/>
    <d v="2025-11-23T00:00:00"/>
    <d v="2025-11-01T00:00:00"/>
    <s v="dom"/>
    <x v="10"/>
    <x v="1"/>
    <d v="2026-06-11T00:00:00"/>
    <s v="160145984"/>
  </r>
  <r>
    <n v="1601"/>
    <n v="58"/>
    <s v="Feminino"/>
    <s v="Montagem"/>
    <s v="Operador"/>
    <s v="2º Turno"/>
    <x v="0"/>
    <s v="Sim"/>
    <x v="2"/>
    <d v="2026-06-05T00:00:00"/>
    <d v="2026-01-01T00:00:00"/>
    <s v="sex"/>
    <x v="1"/>
    <x v="0"/>
    <d v="2026-06-11T00:00:00"/>
    <s v="160146178"/>
  </r>
  <r>
    <n v="1602"/>
    <n v="23"/>
    <s v="Feminino"/>
    <s v="Montagem"/>
    <s v="Operador"/>
    <s v="3º Turno"/>
    <x v="0"/>
    <s v="Não"/>
    <x v="1"/>
    <d v="2025-07-03T00:00:00"/>
    <d v="2025-07-01T00:00:00"/>
    <s v="qui"/>
    <x v="6"/>
    <x v="1"/>
    <m/>
    <s v="160245841"/>
  </r>
  <r>
    <n v="1602"/>
    <n v="23"/>
    <s v="Feminino"/>
    <s v="Montagem"/>
    <s v="Operador"/>
    <s v="3º Turno"/>
    <x v="0"/>
    <s v="Não"/>
    <x v="1"/>
    <d v="2025-08-31T00:00:00"/>
    <d v="2025-08-01T00:00:00"/>
    <s v="dom"/>
    <x v="9"/>
    <x v="1"/>
    <m/>
    <s v="160245900"/>
  </r>
  <r>
    <n v="1602"/>
    <n v="23"/>
    <s v="Feminino"/>
    <s v="Montagem"/>
    <s v="Operador"/>
    <s v="3º Turno"/>
    <x v="0"/>
    <s v="Não"/>
    <x v="1"/>
    <d v="2025-09-30T00:00:00"/>
    <d v="2025-09-01T00:00:00"/>
    <s v="ter"/>
    <x v="7"/>
    <x v="1"/>
    <m/>
    <s v="160245930"/>
  </r>
  <r>
    <n v="1602"/>
    <n v="23"/>
    <s v="Feminino"/>
    <s v="Montagem"/>
    <s v="Operador"/>
    <s v="3º Turno"/>
    <x v="0"/>
    <s v="Não"/>
    <x v="1"/>
    <d v="2025-11-12T00:00:00"/>
    <d v="2025-11-01T00:00:00"/>
    <s v="qua"/>
    <x v="10"/>
    <x v="1"/>
    <m/>
    <s v="160245973"/>
  </r>
  <r>
    <n v="1602"/>
    <n v="23"/>
    <s v="Feminino"/>
    <s v="Montagem"/>
    <s v="Operador"/>
    <s v="3º Turno"/>
    <x v="0"/>
    <s v="Não"/>
    <x v="1"/>
    <d v="2025-12-16T00:00:00"/>
    <d v="2025-12-01T00:00:00"/>
    <s v="ter"/>
    <x v="8"/>
    <x v="1"/>
    <m/>
    <s v="160246007"/>
  </r>
  <r>
    <n v="1602"/>
    <n v="23"/>
    <s v="Feminino"/>
    <s v="Montagem"/>
    <s v="Operador"/>
    <s v="3º Turno"/>
    <x v="0"/>
    <s v="Não"/>
    <x v="1"/>
    <d v="2025-12-31T00:00:00"/>
    <d v="2025-12-01T00:00:00"/>
    <s v="qua"/>
    <x v="8"/>
    <x v="1"/>
    <m/>
    <s v="160246022"/>
  </r>
  <r>
    <n v="1604"/>
    <n v="40"/>
    <s v="Masculino"/>
    <s v="Pintura"/>
    <s v="Operador"/>
    <s v="1º Turno"/>
    <x v="0"/>
    <s v="Não"/>
    <x v="0"/>
    <d v="2025-12-05T00:00:00"/>
    <d v="2025-12-01T00:00:00"/>
    <s v="sex"/>
    <x v="8"/>
    <x v="1"/>
    <m/>
    <s v="160445996"/>
  </r>
  <r>
    <n v="1604"/>
    <n v="40"/>
    <s v="Masculino"/>
    <s v="Pintura"/>
    <s v="Operador"/>
    <s v="1º Turno"/>
    <x v="0"/>
    <s v="Não"/>
    <x v="0"/>
    <d v="2025-12-07T00:00:00"/>
    <d v="2025-12-01T00:00:00"/>
    <s v="dom"/>
    <x v="8"/>
    <x v="1"/>
    <m/>
    <s v="160445998"/>
  </r>
  <r>
    <n v="1604"/>
    <n v="40"/>
    <s v="Masculino"/>
    <s v="Pintura"/>
    <s v="Operador"/>
    <s v="1º Turno"/>
    <x v="0"/>
    <s v="Não"/>
    <x v="0"/>
    <d v="2026-06-15T00:00:00"/>
    <d v="2026-01-01T00:00:00"/>
    <s v="seg"/>
    <x v="1"/>
    <x v="0"/>
    <m/>
    <s v="160446188"/>
  </r>
  <r>
    <n v="1604"/>
    <n v="40"/>
    <s v="Masculino"/>
    <s v="Pintura"/>
    <s v="Operador"/>
    <s v="1º Turno"/>
    <x v="0"/>
    <s v="Não"/>
    <x v="0"/>
    <d v="2026-03-20T00:00:00"/>
    <d v="2026-03-01T00:00:00"/>
    <s v="sex"/>
    <x v="4"/>
    <x v="0"/>
    <m/>
    <s v="160446101"/>
  </r>
  <r>
    <n v="1605"/>
    <n v="57"/>
    <s v="Masculino"/>
    <s v="Soldagem"/>
    <s v="Operador"/>
    <s v="3º Turno"/>
    <x v="0"/>
    <s v="Sim"/>
    <x v="0"/>
    <d v="2025-05-17T00:00:00"/>
    <d v="2025-05-01T00:00:00"/>
    <s v="sáb"/>
    <x v="0"/>
    <x v="1"/>
    <d v="2026-04-28T00:00:00"/>
    <s v="160545794"/>
  </r>
  <r>
    <n v="1605"/>
    <n v="57"/>
    <s v="Masculino"/>
    <s v="Soldagem"/>
    <s v="Operador"/>
    <s v="3º Turno"/>
    <x v="0"/>
    <s v="Sim"/>
    <x v="0"/>
    <d v="2025-08-10T00:00:00"/>
    <d v="2025-08-01T00:00:00"/>
    <s v="dom"/>
    <x v="9"/>
    <x v="1"/>
    <d v="2026-04-28T00:00:00"/>
    <s v="160545879"/>
  </r>
  <r>
    <n v="1605"/>
    <n v="57"/>
    <s v="Masculino"/>
    <s v="Soldagem"/>
    <s v="Operador"/>
    <s v="3º Turno"/>
    <x v="0"/>
    <s v="Sim"/>
    <x v="0"/>
    <d v="2025-10-05T00:00:00"/>
    <d v="2025-10-01T00:00:00"/>
    <s v="dom"/>
    <x v="11"/>
    <x v="1"/>
    <d v="2026-04-28T00:00:00"/>
    <s v="160545935"/>
  </r>
  <r>
    <n v="1605"/>
    <n v="57"/>
    <s v="Masculino"/>
    <s v="Soldagem"/>
    <s v="Operador"/>
    <s v="3º Turno"/>
    <x v="0"/>
    <s v="Sim"/>
    <x v="0"/>
    <d v="2025-12-30T00:00:00"/>
    <d v="2025-12-01T00:00:00"/>
    <s v="ter"/>
    <x v="8"/>
    <x v="1"/>
    <d v="2026-04-28T00:00:00"/>
    <s v="160546021"/>
  </r>
  <r>
    <n v="1605"/>
    <n v="57"/>
    <s v="Masculino"/>
    <s v="Soldagem"/>
    <s v="Operador"/>
    <s v="3º Turno"/>
    <x v="0"/>
    <s v="Sim"/>
    <x v="0"/>
    <d v="2026-06-05T00:00:00"/>
    <d v="2026-01-01T00:00:00"/>
    <s v="sex"/>
    <x v="1"/>
    <x v="0"/>
    <d v="2026-04-28T00:00:00"/>
    <s v="160546178"/>
  </r>
  <r>
    <n v="1605"/>
    <n v="57"/>
    <s v="Masculino"/>
    <s v="Soldagem"/>
    <s v="Operador"/>
    <s v="3º Turno"/>
    <x v="0"/>
    <s v="Sim"/>
    <x v="0"/>
    <d v="2026-03-07T00:00:00"/>
    <d v="2026-03-01T00:00:00"/>
    <s v="sáb"/>
    <x v="4"/>
    <x v="0"/>
    <d v="2026-04-28T00:00:00"/>
    <s v="160546088"/>
  </r>
  <r>
    <n v="1606"/>
    <n v="47"/>
    <s v="Masculino"/>
    <s v="Montagem"/>
    <s v="Operador"/>
    <s v="2º Turno"/>
    <x v="0"/>
    <s v="Sim"/>
    <x v="2"/>
    <d v="2025-06-17T00:00:00"/>
    <d v="2025-06-01T00:00:00"/>
    <s v="ter"/>
    <x v="1"/>
    <x v="1"/>
    <d v="2025-09-18T00:00:00"/>
    <s v="160645825"/>
  </r>
  <r>
    <n v="1606"/>
    <n v="47"/>
    <s v="Masculino"/>
    <s v="Montagem"/>
    <s v="Operador"/>
    <s v="2º Turno"/>
    <x v="0"/>
    <s v="Sim"/>
    <x v="2"/>
    <d v="2025-06-27T00:00:00"/>
    <d v="2025-06-01T00:00:00"/>
    <s v="sex"/>
    <x v="1"/>
    <x v="1"/>
    <d v="2025-09-18T00:00:00"/>
    <s v="160645835"/>
  </r>
  <r>
    <n v="1606"/>
    <n v="47"/>
    <s v="Masculino"/>
    <s v="Montagem"/>
    <s v="Operador"/>
    <s v="2º Turno"/>
    <x v="0"/>
    <s v="Sim"/>
    <x v="2"/>
    <d v="2025-07-31T00:00:00"/>
    <d v="2025-07-01T00:00:00"/>
    <s v="qui"/>
    <x v="6"/>
    <x v="1"/>
    <d v="2025-09-18T00:00:00"/>
    <s v="160645869"/>
  </r>
  <r>
    <n v="1606"/>
    <n v="47"/>
    <s v="Masculino"/>
    <s v="Montagem"/>
    <s v="Operador"/>
    <s v="2º Turno"/>
    <x v="0"/>
    <s v="Sim"/>
    <x v="2"/>
    <d v="2025-08-01T00:00:00"/>
    <d v="2025-08-01T00:00:00"/>
    <s v="sex"/>
    <x v="9"/>
    <x v="1"/>
    <d v="2025-09-18T00:00:00"/>
    <s v="160645870"/>
  </r>
  <r>
    <n v="1606"/>
    <n v="47"/>
    <s v="Masculino"/>
    <s v="Montagem"/>
    <s v="Operador"/>
    <s v="2º Turno"/>
    <x v="0"/>
    <s v="Sim"/>
    <x v="2"/>
    <d v="2025-08-02T00:00:00"/>
    <d v="2025-08-01T00:00:00"/>
    <s v="sáb"/>
    <x v="9"/>
    <x v="1"/>
    <d v="2025-09-18T00:00:00"/>
    <s v="160645871"/>
  </r>
  <r>
    <n v="1606"/>
    <n v="47"/>
    <s v="Masculino"/>
    <s v="Montagem"/>
    <s v="Operador"/>
    <s v="2º Turno"/>
    <x v="0"/>
    <s v="Sim"/>
    <x v="2"/>
    <d v="2025-08-06T00:00:00"/>
    <d v="2025-08-01T00:00:00"/>
    <s v="qua"/>
    <x v="9"/>
    <x v="1"/>
    <d v="2025-09-18T00:00:00"/>
    <s v="160645875"/>
  </r>
  <r>
    <n v="1607"/>
    <n v="42"/>
    <s v="Masculino"/>
    <s v="Qualidade"/>
    <s v="Analista"/>
    <s v="3º Turno"/>
    <x v="0"/>
    <s v="Não"/>
    <x v="0"/>
    <d v="2025-08-02T00:00:00"/>
    <d v="2025-08-01T00:00:00"/>
    <s v="sáb"/>
    <x v="9"/>
    <x v="1"/>
    <m/>
    <s v="160745871"/>
  </r>
  <r>
    <n v="1607"/>
    <n v="42"/>
    <s v="Masculino"/>
    <s v="Qualidade"/>
    <s v="Analista"/>
    <s v="3º Turno"/>
    <x v="0"/>
    <s v="Não"/>
    <x v="0"/>
    <d v="2025-09-10T00:00:00"/>
    <d v="2025-09-01T00:00:00"/>
    <s v="qua"/>
    <x v="7"/>
    <x v="1"/>
    <m/>
    <s v="160745910"/>
  </r>
  <r>
    <n v="1607"/>
    <n v="42"/>
    <s v="Masculino"/>
    <s v="Qualidade"/>
    <s v="Analista"/>
    <s v="3º Turno"/>
    <x v="0"/>
    <s v="Não"/>
    <x v="0"/>
    <d v="2025-09-11T00:00:00"/>
    <d v="2025-09-01T00:00:00"/>
    <s v="qui"/>
    <x v="7"/>
    <x v="1"/>
    <m/>
    <s v="160745911"/>
  </r>
  <r>
    <n v="1607"/>
    <n v="42"/>
    <s v="Masculino"/>
    <s v="Qualidade"/>
    <s v="Analista"/>
    <s v="3º Turno"/>
    <x v="0"/>
    <s v="Não"/>
    <x v="0"/>
    <d v="2025-10-14T00:00:00"/>
    <d v="2025-10-01T00:00:00"/>
    <s v="ter"/>
    <x v="11"/>
    <x v="1"/>
    <m/>
    <s v="160745944"/>
  </r>
  <r>
    <n v="1607"/>
    <n v="42"/>
    <s v="Masculino"/>
    <s v="Qualidade"/>
    <s v="Analista"/>
    <s v="3º Turno"/>
    <x v="0"/>
    <s v="Não"/>
    <x v="0"/>
    <d v="2025-10-16T00:00:00"/>
    <d v="2025-10-01T00:00:00"/>
    <s v="qui"/>
    <x v="11"/>
    <x v="1"/>
    <m/>
    <s v="160745946"/>
  </r>
  <r>
    <n v="1608"/>
    <n v="54"/>
    <s v="Masculino"/>
    <s v="Montagem"/>
    <s v="Operador"/>
    <s v="2º Turno"/>
    <x v="0"/>
    <s v="Não"/>
    <x v="1"/>
    <d v="2025-07-14T00:00:00"/>
    <d v="2025-07-01T00:00:00"/>
    <s v="seg"/>
    <x v="6"/>
    <x v="1"/>
    <m/>
    <s v="160845852"/>
  </r>
  <r>
    <n v="1608"/>
    <n v="54"/>
    <s v="Masculino"/>
    <s v="Montagem"/>
    <s v="Operador"/>
    <s v="2º Turno"/>
    <x v="0"/>
    <s v="Não"/>
    <x v="1"/>
    <d v="2025-09-10T00:00:00"/>
    <d v="2025-09-01T00:00:00"/>
    <s v="qua"/>
    <x v="7"/>
    <x v="1"/>
    <m/>
    <s v="160845910"/>
  </r>
  <r>
    <n v="1608"/>
    <n v="54"/>
    <s v="Masculino"/>
    <s v="Montagem"/>
    <s v="Operador"/>
    <s v="2º Turno"/>
    <x v="0"/>
    <s v="Não"/>
    <x v="1"/>
    <d v="2025-10-22T00:00:00"/>
    <d v="2025-10-01T00:00:00"/>
    <s v="qua"/>
    <x v="11"/>
    <x v="1"/>
    <m/>
    <s v="160845952"/>
  </r>
  <r>
    <n v="1608"/>
    <n v="54"/>
    <s v="Masculino"/>
    <s v="Montagem"/>
    <s v="Operador"/>
    <s v="2º Turno"/>
    <x v="0"/>
    <s v="Não"/>
    <x v="1"/>
    <d v="2025-12-12T00:00:00"/>
    <d v="2025-12-01T00:00:00"/>
    <s v="sex"/>
    <x v="8"/>
    <x v="1"/>
    <m/>
    <s v="160846003"/>
  </r>
  <r>
    <n v="1608"/>
    <n v="54"/>
    <s v="Masculino"/>
    <s v="Montagem"/>
    <s v="Operador"/>
    <s v="2º Turno"/>
    <x v="0"/>
    <s v="Não"/>
    <x v="1"/>
    <d v="2026-06-18T00:00:00"/>
    <d v="2026-01-01T00:00:00"/>
    <s v="qui"/>
    <x v="1"/>
    <x v="0"/>
    <m/>
    <s v="160846191"/>
  </r>
  <r>
    <n v="1608"/>
    <n v="54"/>
    <s v="Masculino"/>
    <s v="Montagem"/>
    <s v="Operador"/>
    <s v="2º Turno"/>
    <x v="0"/>
    <s v="Não"/>
    <x v="1"/>
    <d v="2026-03-01T00:00:00"/>
    <d v="2026-03-01T00:00:00"/>
    <s v="dom"/>
    <x v="4"/>
    <x v="0"/>
    <m/>
    <s v="160846082"/>
  </r>
  <r>
    <n v="1609"/>
    <n v="45"/>
    <s v="Masculino"/>
    <s v="Soldagem"/>
    <s v="Operador"/>
    <s v="1º Turno"/>
    <x v="0"/>
    <s v="Não"/>
    <x v="1"/>
    <d v="2025-07-04T00:00:00"/>
    <d v="2025-07-01T00:00:00"/>
    <s v="sex"/>
    <x v="6"/>
    <x v="1"/>
    <m/>
    <s v="160945842"/>
  </r>
  <r>
    <n v="1609"/>
    <n v="45"/>
    <s v="Masculino"/>
    <s v="Soldagem"/>
    <s v="Operador"/>
    <s v="1º Turno"/>
    <x v="0"/>
    <s v="Não"/>
    <x v="1"/>
    <d v="2025-09-02T00:00:00"/>
    <d v="2025-09-01T00:00:00"/>
    <s v="ter"/>
    <x v="7"/>
    <x v="1"/>
    <m/>
    <s v="160945902"/>
  </r>
  <r>
    <n v="1609"/>
    <n v="45"/>
    <s v="Masculino"/>
    <s v="Soldagem"/>
    <s v="Operador"/>
    <s v="1º Turno"/>
    <x v="0"/>
    <s v="Não"/>
    <x v="1"/>
    <d v="2025-10-09T00:00:00"/>
    <d v="2025-10-01T00:00:00"/>
    <s v="qui"/>
    <x v="11"/>
    <x v="1"/>
    <m/>
    <s v="160945939"/>
  </r>
  <r>
    <n v="1609"/>
    <n v="45"/>
    <s v="Masculino"/>
    <s v="Soldagem"/>
    <s v="Operador"/>
    <s v="1º Turno"/>
    <x v="0"/>
    <s v="Não"/>
    <x v="1"/>
    <d v="2025-11-02T00:00:00"/>
    <d v="2025-11-01T00:00:00"/>
    <s v="dom"/>
    <x v="10"/>
    <x v="1"/>
    <m/>
    <s v="160945963"/>
  </r>
  <r>
    <n v="1611"/>
    <n v="52"/>
    <s v="Masculino"/>
    <s v="Logistica"/>
    <s v="Operador"/>
    <s v="2º Turno"/>
    <x v="0"/>
    <s v="Não"/>
    <x v="1"/>
    <d v="2025-06-05T00:00:00"/>
    <d v="2025-06-01T00:00:00"/>
    <s v="qui"/>
    <x v="1"/>
    <x v="1"/>
    <m/>
    <s v="161145813"/>
  </r>
  <r>
    <n v="1611"/>
    <n v="52"/>
    <s v="Masculino"/>
    <s v="Logistica"/>
    <s v="Operador"/>
    <s v="2º Turno"/>
    <x v="0"/>
    <s v="Não"/>
    <x v="1"/>
    <d v="2025-07-10T00:00:00"/>
    <d v="2025-07-01T00:00:00"/>
    <s v="qui"/>
    <x v="6"/>
    <x v="1"/>
    <m/>
    <s v="161145848"/>
  </r>
  <r>
    <n v="1611"/>
    <n v="52"/>
    <s v="Masculino"/>
    <s v="Logistica"/>
    <s v="Operador"/>
    <s v="2º Turno"/>
    <x v="0"/>
    <s v="Não"/>
    <x v="1"/>
    <d v="2025-07-15T00:00:00"/>
    <d v="2025-07-01T00:00:00"/>
    <s v="ter"/>
    <x v="6"/>
    <x v="1"/>
    <m/>
    <s v="161145853"/>
  </r>
  <r>
    <n v="1611"/>
    <n v="52"/>
    <s v="Masculino"/>
    <s v="Logistica"/>
    <s v="Operador"/>
    <s v="2º Turno"/>
    <x v="0"/>
    <s v="Não"/>
    <x v="1"/>
    <d v="2025-08-27T00:00:00"/>
    <d v="2025-08-01T00:00:00"/>
    <s v="qua"/>
    <x v="9"/>
    <x v="1"/>
    <m/>
    <s v="161145896"/>
  </r>
  <r>
    <n v="1611"/>
    <n v="52"/>
    <s v="Masculino"/>
    <s v="Logistica"/>
    <s v="Operador"/>
    <s v="2º Turno"/>
    <x v="0"/>
    <s v="Não"/>
    <x v="1"/>
    <d v="2026-02-16T00:00:00"/>
    <d v="2026-02-01T00:00:00"/>
    <s v="seg"/>
    <x v="3"/>
    <x v="0"/>
    <m/>
    <s v="161146069"/>
  </r>
  <r>
    <n v="1611"/>
    <n v="52"/>
    <s v="Masculino"/>
    <s v="Logistica"/>
    <s v="Operador"/>
    <s v="2º Turno"/>
    <x v="0"/>
    <s v="Não"/>
    <x v="1"/>
    <d v="2026-03-03T00:00:00"/>
    <d v="2026-03-01T00:00:00"/>
    <s v="ter"/>
    <x v="4"/>
    <x v="0"/>
    <m/>
    <s v="161146084"/>
  </r>
  <r>
    <n v="1612"/>
    <n v="24"/>
    <s v="Masculino"/>
    <s v="Logistica"/>
    <s v="Operador"/>
    <s v="3º Turno"/>
    <x v="0"/>
    <s v="Não"/>
    <x v="0"/>
    <d v="2025-07-08T00:00:00"/>
    <d v="2025-07-01T00:00:00"/>
    <s v="ter"/>
    <x v="6"/>
    <x v="1"/>
    <m/>
    <s v="161245846"/>
  </r>
  <r>
    <n v="1612"/>
    <n v="24"/>
    <s v="Masculino"/>
    <s v="Logistica"/>
    <s v="Operador"/>
    <s v="3º Turno"/>
    <x v="0"/>
    <s v="Não"/>
    <x v="0"/>
    <d v="2025-07-11T00:00:00"/>
    <d v="2025-07-01T00:00:00"/>
    <s v="sex"/>
    <x v="6"/>
    <x v="1"/>
    <m/>
    <s v="161245849"/>
  </r>
  <r>
    <n v="1612"/>
    <n v="24"/>
    <s v="Masculino"/>
    <s v="Logistica"/>
    <s v="Operador"/>
    <s v="3º Turno"/>
    <x v="0"/>
    <s v="Não"/>
    <x v="0"/>
    <d v="2025-08-29T00:00:00"/>
    <d v="2025-08-01T00:00:00"/>
    <s v="sex"/>
    <x v="9"/>
    <x v="1"/>
    <m/>
    <s v="161245898"/>
  </r>
  <r>
    <n v="1612"/>
    <n v="24"/>
    <s v="Masculino"/>
    <s v="Logistica"/>
    <s v="Operador"/>
    <s v="3º Turno"/>
    <x v="0"/>
    <s v="Não"/>
    <x v="0"/>
    <d v="2025-09-23T00:00:00"/>
    <d v="2025-09-01T00:00:00"/>
    <s v="ter"/>
    <x v="7"/>
    <x v="1"/>
    <m/>
    <s v="161245923"/>
  </r>
  <r>
    <n v="1613"/>
    <n v="49"/>
    <s v="Feminino"/>
    <s v="Montagem"/>
    <s v="Operador"/>
    <s v="2º Turno"/>
    <x v="0"/>
    <s v="Não"/>
    <x v="0"/>
    <d v="2025-06-27T00:00:00"/>
    <d v="2025-06-01T00:00:00"/>
    <s v="sex"/>
    <x v="1"/>
    <x v="1"/>
    <m/>
    <s v="161345835"/>
  </r>
  <r>
    <n v="1613"/>
    <n v="49"/>
    <s v="Feminino"/>
    <s v="Montagem"/>
    <s v="Operador"/>
    <s v="2º Turno"/>
    <x v="0"/>
    <s v="Não"/>
    <x v="0"/>
    <d v="2025-12-23T00:00:00"/>
    <d v="2025-12-01T00:00:00"/>
    <s v="ter"/>
    <x v="8"/>
    <x v="1"/>
    <m/>
    <s v="161346014"/>
  </r>
  <r>
    <n v="1613"/>
    <n v="49"/>
    <s v="Feminino"/>
    <s v="Montagem"/>
    <s v="Operador"/>
    <s v="2º Turno"/>
    <x v="0"/>
    <s v="Não"/>
    <x v="0"/>
    <d v="2026-02-10T00:00:00"/>
    <d v="2026-02-01T00:00:00"/>
    <s v="ter"/>
    <x v="3"/>
    <x v="0"/>
    <m/>
    <s v="161346063"/>
  </r>
  <r>
    <n v="1613"/>
    <n v="49"/>
    <s v="Feminino"/>
    <s v="Montagem"/>
    <s v="Operador"/>
    <s v="2º Turno"/>
    <x v="0"/>
    <s v="Não"/>
    <x v="0"/>
    <d v="2026-02-21T00:00:00"/>
    <d v="2026-02-01T00:00:00"/>
    <s v="sáb"/>
    <x v="3"/>
    <x v="0"/>
    <m/>
    <s v="161346074"/>
  </r>
  <r>
    <n v="1613"/>
    <n v="49"/>
    <s v="Feminino"/>
    <s v="Montagem"/>
    <s v="Operador"/>
    <s v="2º Turno"/>
    <x v="0"/>
    <s v="Não"/>
    <x v="0"/>
    <d v="2026-03-23T00:00:00"/>
    <d v="2026-03-01T00:00:00"/>
    <s v="seg"/>
    <x v="4"/>
    <x v="0"/>
    <m/>
    <s v="161346104"/>
  </r>
  <r>
    <n v="1615"/>
    <n v="43"/>
    <s v="Masculino"/>
    <s v="Soldagem"/>
    <s v="Operador"/>
    <s v="3º Turno"/>
    <x v="0"/>
    <s v="Não"/>
    <x v="0"/>
    <d v="2025-08-15T00:00:00"/>
    <d v="2025-08-01T00:00:00"/>
    <s v="sex"/>
    <x v="9"/>
    <x v="1"/>
    <m/>
    <s v="161545884"/>
  </r>
  <r>
    <n v="1615"/>
    <n v="43"/>
    <s v="Masculino"/>
    <s v="Soldagem"/>
    <s v="Operador"/>
    <s v="3º Turno"/>
    <x v="0"/>
    <s v="Não"/>
    <x v="0"/>
    <d v="2025-11-02T00:00:00"/>
    <d v="2025-11-01T00:00:00"/>
    <s v="dom"/>
    <x v="10"/>
    <x v="1"/>
    <m/>
    <s v="161545963"/>
  </r>
  <r>
    <n v="1615"/>
    <n v="43"/>
    <s v="Masculino"/>
    <s v="Soldagem"/>
    <s v="Operador"/>
    <s v="3º Turno"/>
    <x v="0"/>
    <s v="Não"/>
    <x v="0"/>
    <d v="2025-11-03T00:00:00"/>
    <d v="2025-11-01T00:00:00"/>
    <s v="seg"/>
    <x v="10"/>
    <x v="1"/>
    <m/>
    <s v="161545964"/>
  </r>
  <r>
    <n v="1616"/>
    <n v="18"/>
    <s v="Feminino"/>
    <s v="Pintura"/>
    <s v="Operador"/>
    <s v="1º Turno"/>
    <x v="0"/>
    <s v="Não"/>
    <x v="0"/>
    <d v="2025-06-19T00:00:00"/>
    <d v="2025-06-01T00:00:00"/>
    <s v="qui"/>
    <x v="1"/>
    <x v="1"/>
    <m/>
    <s v="161645827"/>
  </r>
  <r>
    <n v="1616"/>
    <n v="18"/>
    <s v="Feminino"/>
    <s v="Pintura"/>
    <s v="Operador"/>
    <s v="1º Turno"/>
    <x v="0"/>
    <s v="Não"/>
    <x v="0"/>
    <d v="2025-09-19T00:00:00"/>
    <d v="2025-09-01T00:00:00"/>
    <s v="sex"/>
    <x v="7"/>
    <x v="1"/>
    <m/>
    <s v="161645919"/>
  </r>
  <r>
    <n v="1616"/>
    <n v="18"/>
    <s v="Feminino"/>
    <s v="Pintura"/>
    <s v="Operador"/>
    <s v="1º Turno"/>
    <x v="0"/>
    <s v="Não"/>
    <x v="0"/>
    <d v="2025-09-25T00:00:00"/>
    <d v="2025-09-01T00:00:00"/>
    <s v="qui"/>
    <x v="7"/>
    <x v="1"/>
    <m/>
    <s v="161645925"/>
  </r>
  <r>
    <n v="1616"/>
    <n v="18"/>
    <s v="Feminino"/>
    <s v="Pintura"/>
    <s v="Operador"/>
    <s v="1º Turno"/>
    <x v="0"/>
    <s v="Não"/>
    <x v="0"/>
    <d v="2026-03-04T00:00:00"/>
    <d v="2026-03-01T00:00:00"/>
    <s v="qua"/>
    <x v="4"/>
    <x v="0"/>
    <m/>
    <s v="161646085"/>
  </r>
  <r>
    <n v="1616"/>
    <n v="18"/>
    <s v="Feminino"/>
    <s v="Pintura"/>
    <s v="Operador"/>
    <s v="1º Turno"/>
    <x v="0"/>
    <s v="Não"/>
    <x v="0"/>
    <d v="2026-03-24T00:00:00"/>
    <d v="2026-03-01T00:00:00"/>
    <s v="ter"/>
    <x v="4"/>
    <x v="0"/>
    <m/>
    <s v="161646105"/>
  </r>
  <r>
    <n v="1617"/>
    <n v="31"/>
    <s v="Feminino"/>
    <s v="Pintura"/>
    <s v="Operador"/>
    <s v="3º Turno"/>
    <x v="0"/>
    <s v="Sim"/>
    <x v="1"/>
    <d v="2025-01-16T00:00:00"/>
    <d v="2025-01-01T00:00:00"/>
    <s v="qui"/>
    <x v="5"/>
    <x v="1"/>
    <d v="2025-07-18T00:00:00"/>
    <s v="161745673"/>
  </r>
  <r>
    <n v="1617"/>
    <n v="31"/>
    <s v="Feminino"/>
    <s v="Pintura"/>
    <s v="Operador"/>
    <s v="3º Turno"/>
    <x v="0"/>
    <s v="Sim"/>
    <x v="1"/>
    <d v="2025-04-13T00:00:00"/>
    <d v="2025-04-01T00:00:00"/>
    <s v="dom"/>
    <x v="2"/>
    <x v="1"/>
    <d v="2025-07-18T00:00:00"/>
    <s v="161745760"/>
  </r>
  <r>
    <n v="1617"/>
    <n v="31"/>
    <s v="Feminino"/>
    <s v="Pintura"/>
    <s v="Operador"/>
    <s v="3º Turno"/>
    <x v="5"/>
    <s v="Sim"/>
    <x v="1"/>
    <d v="2025-04-24T00:00:00"/>
    <d v="2025-04-01T00:00:00"/>
    <s v="qui"/>
    <x v="2"/>
    <x v="1"/>
    <d v="2025-07-18T00:00:00"/>
    <s v="161745771"/>
  </r>
  <r>
    <n v="1617"/>
    <n v="31"/>
    <s v="Feminino"/>
    <s v="Pintura"/>
    <s v="Operador"/>
    <s v="3º Turno"/>
    <x v="0"/>
    <s v="Sim"/>
    <x v="1"/>
    <d v="2025-06-13T00:00:00"/>
    <d v="2025-06-01T00:00:00"/>
    <s v="sex"/>
    <x v="1"/>
    <x v="1"/>
    <d v="2025-07-18T00:00:00"/>
    <s v="161745821"/>
  </r>
  <r>
    <n v="1617"/>
    <n v="31"/>
    <s v="Feminino"/>
    <s v="Pintura"/>
    <s v="Operador"/>
    <s v="3º Turno"/>
    <x v="0"/>
    <s v="Sim"/>
    <x v="1"/>
    <d v="2025-07-12T00:00:00"/>
    <d v="2025-07-01T00:00:00"/>
    <s v="sáb"/>
    <x v="6"/>
    <x v="1"/>
    <d v="2025-07-18T00:00:00"/>
    <s v="161745850"/>
  </r>
  <r>
    <n v="1617"/>
    <n v="31"/>
    <s v="Feminino"/>
    <s v="Pintura"/>
    <s v="Operador"/>
    <s v="3º Turno"/>
    <x v="0"/>
    <s v="Sim"/>
    <x v="1"/>
    <d v="2025-07-13T00:00:00"/>
    <d v="2025-07-01T00:00:00"/>
    <s v="dom"/>
    <x v="6"/>
    <x v="1"/>
    <d v="2025-07-18T00:00:00"/>
    <s v="161745851"/>
  </r>
  <r>
    <n v="1618"/>
    <n v="45"/>
    <s v="Masculino"/>
    <s v="Soldagem"/>
    <s v="Operador"/>
    <s v="2º Turno"/>
    <x v="0"/>
    <s v="Não"/>
    <x v="1"/>
    <d v="2025-07-17T00:00:00"/>
    <d v="2025-07-01T00:00:00"/>
    <s v="qui"/>
    <x v="6"/>
    <x v="1"/>
    <m/>
    <s v="161845855"/>
  </r>
  <r>
    <n v="1618"/>
    <n v="45"/>
    <s v="Masculino"/>
    <s v="Soldagem"/>
    <s v="Operador"/>
    <s v="2º Turno"/>
    <x v="0"/>
    <s v="Não"/>
    <x v="1"/>
    <d v="2025-08-01T00:00:00"/>
    <d v="2025-08-01T00:00:00"/>
    <s v="sex"/>
    <x v="9"/>
    <x v="1"/>
    <m/>
    <s v="161845870"/>
  </r>
  <r>
    <n v="1618"/>
    <n v="45"/>
    <s v="Masculino"/>
    <s v="Soldagem"/>
    <s v="Operador"/>
    <s v="2º Turno"/>
    <x v="0"/>
    <s v="Não"/>
    <x v="1"/>
    <d v="2025-08-19T00:00:00"/>
    <d v="2025-08-01T00:00:00"/>
    <s v="ter"/>
    <x v="9"/>
    <x v="1"/>
    <m/>
    <s v="161845888"/>
  </r>
  <r>
    <n v="1618"/>
    <n v="45"/>
    <s v="Masculino"/>
    <s v="Soldagem"/>
    <s v="Operador"/>
    <s v="2º Turno"/>
    <x v="0"/>
    <s v="Não"/>
    <x v="1"/>
    <d v="2025-08-24T00:00:00"/>
    <d v="2025-08-01T00:00:00"/>
    <s v="dom"/>
    <x v="9"/>
    <x v="1"/>
    <m/>
    <s v="161845893"/>
  </r>
  <r>
    <n v="1618"/>
    <n v="45"/>
    <s v="Masculino"/>
    <s v="Soldagem"/>
    <s v="Operador"/>
    <s v="2º Turno"/>
    <x v="0"/>
    <s v="Não"/>
    <x v="1"/>
    <d v="2025-09-06T00:00:00"/>
    <d v="2025-09-01T00:00:00"/>
    <s v="sáb"/>
    <x v="7"/>
    <x v="1"/>
    <m/>
    <s v="161845906"/>
  </r>
  <r>
    <n v="1619"/>
    <n v="30"/>
    <s v="Masculino"/>
    <s v="Montagem"/>
    <s v="Operador"/>
    <s v="1º Turno"/>
    <x v="0"/>
    <s v="Sim"/>
    <x v="1"/>
    <d v="2025-07-27T00:00:00"/>
    <d v="2025-07-01T00:00:00"/>
    <s v="dom"/>
    <x v="6"/>
    <x v="1"/>
    <d v="2025-10-20T00:00:00"/>
    <s v="161945865"/>
  </r>
  <r>
    <n v="1619"/>
    <n v="30"/>
    <s v="Masculino"/>
    <s v="Montagem"/>
    <s v="Operador"/>
    <s v="1º Turno"/>
    <x v="0"/>
    <s v="Sim"/>
    <x v="1"/>
    <d v="2025-09-06T00:00:00"/>
    <d v="2025-09-01T00:00:00"/>
    <s v="sáb"/>
    <x v="7"/>
    <x v="1"/>
    <d v="2025-10-20T00:00:00"/>
    <s v="161945906"/>
  </r>
  <r>
    <n v="1619"/>
    <n v="30"/>
    <s v="Masculino"/>
    <s v="Montagem"/>
    <s v="Operador"/>
    <s v="1º Turno"/>
    <x v="0"/>
    <s v="Sim"/>
    <x v="1"/>
    <d v="2025-10-06T00:00:00"/>
    <d v="2025-10-01T00:00:00"/>
    <s v="seg"/>
    <x v="11"/>
    <x v="1"/>
    <d v="2025-10-20T00:00:00"/>
    <s v="161945936"/>
  </r>
  <r>
    <n v="1619"/>
    <n v="30"/>
    <s v="Masculino"/>
    <s v="Montagem"/>
    <s v="Operador"/>
    <s v="1º Turno"/>
    <x v="0"/>
    <s v="Sim"/>
    <x v="1"/>
    <d v="2025-10-10T00:00:00"/>
    <d v="2025-10-01T00:00:00"/>
    <s v="sex"/>
    <x v="11"/>
    <x v="1"/>
    <d v="2025-10-20T00:00:00"/>
    <s v="161945940"/>
  </r>
  <r>
    <n v="1619"/>
    <n v="30"/>
    <s v="Masculino"/>
    <s v="Montagem"/>
    <s v="Operador"/>
    <s v="1º Turno"/>
    <x v="0"/>
    <s v="Sim"/>
    <x v="1"/>
    <d v="2025-10-14T00:00:00"/>
    <d v="2025-10-01T00:00:00"/>
    <s v="ter"/>
    <x v="11"/>
    <x v="1"/>
    <d v="2025-10-20T00:00:00"/>
    <s v="161945944"/>
  </r>
  <r>
    <n v="1619"/>
    <n v="30"/>
    <s v="Masculino"/>
    <s v="Montagem"/>
    <s v="Operador"/>
    <s v="1º Turno"/>
    <x v="0"/>
    <s v="Sim"/>
    <x v="1"/>
    <d v="2025-10-16T00:00:00"/>
    <d v="2025-10-01T00:00:00"/>
    <s v="qui"/>
    <x v="11"/>
    <x v="1"/>
    <d v="2025-10-20T00:00:00"/>
    <s v="161945946"/>
  </r>
  <r>
    <n v="1620"/>
    <n v="52"/>
    <s v="Feminino"/>
    <s v="Qualidade"/>
    <s v="Analista"/>
    <s v="1º Turno"/>
    <x v="0"/>
    <s v="Sim"/>
    <x v="1"/>
    <d v="2025-06-02T00:00:00"/>
    <d v="2025-06-01T00:00:00"/>
    <s v="seg"/>
    <x v="1"/>
    <x v="1"/>
    <d v="2026-03-28T00:00:00"/>
    <s v="162045810"/>
  </r>
  <r>
    <n v="1620"/>
    <n v="52"/>
    <s v="Feminino"/>
    <s v="Qualidade"/>
    <s v="Analista"/>
    <s v="1º Turno"/>
    <x v="0"/>
    <s v="Sim"/>
    <x v="1"/>
    <d v="2025-06-11T00:00:00"/>
    <d v="2025-06-01T00:00:00"/>
    <s v="qua"/>
    <x v="1"/>
    <x v="1"/>
    <d v="2026-03-28T00:00:00"/>
    <s v="162045819"/>
  </r>
  <r>
    <n v="1620"/>
    <n v="52"/>
    <s v="Feminino"/>
    <s v="Qualidade"/>
    <s v="Analista"/>
    <s v="1º Turno"/>
    <x v="0"/>
    <s v="Sim"/>
    <x v="1"/>
    <d v="2025-12-07T00:00:00"/>
    <d v="2025-12-01T00:00:00"/>
    <s v="dom"/>
    <x v="8"/>
    <x v="1"/>
    <d v="2026-03-28T00:00:00"/>
    <s v="162045998"/>
  </r>
  <r>
    <n v="1620"/>
    <n v="52"/>
    <s v="Feminino"/>
    <s v="Qualidade"/>
    <s v="Analista"/>
    <s v="1º Turno"/>
    <x v="0"/>
    <s v="Sim"/>
    <x v="1"/>
    <d v="2025-12-31T00:00:00"/>
    <d v="2025-12-01T00:00:00"/>
    <s v="qua"/>
    <x v="8"/>
    <x v="1"/>
    <d v="2026-03-28T00:00:00"/>
    <s v="162046022"/>
  </r>
  <r>
    <n v="1620"/>
    <n v="52"/>
    <s v="Feminino"/>
    <s v="Qualidade"/>
    <s v="Analista"/>
    <s v="1º Turno"/>
    <x v="0"/>
    <s v="Sim"/>
    <x v="1"/>
    <d v="2026-03-19T00:00:00"/>
    <d v="2026-03-01T00:00:00"/>
    <s v="qui"/>
    <x v="4"/>
    <x v="0"/>
    <d v="2026-03-28T00:00:00"/>
    <s v="162046100"/>
  </r>
  <r>
    <n v="1621"/>
    <n v="42"/>
    <s v="Masculino"/>
    <s v="Qualidade"/>
    <s v="Inspetor"/>
    <s v="2º Turno"/>
    <x v="0"/>
    <s v="Não"/>
    <x v="0"/>
    <d v="2025-06-12T00:00:00"/>
    <d v="2025-06-01T00:00:00"/>
    <s v="qui"/>
    <x v="1"/>
    <x v="1"/>
    <m/>
    <s v="162145820"/>
  </r>
  <r>
    <n v="1621"/>
    <n v="42"/>
    <s v="Masculino"/>
    <s v="Qualidade"/>
    <s v="Inspetor"/>
    <s v="2º Turno"/>
    <x v="0"/>
    <s v="Não"/>
    <x v="0"/>
    <d v="2025-06-15T00:00:00"/>
    <d v="2025-06-01T00:00:00"/>
    <s v="dom"/>
    <x v="1"/>
    <x v="1"/>
    <m/>
    <s v="162145823"/>
  </r>
  <r>
    <n v="1621"/>
    <n v="42"/>
    <s v="Masculino"/>
    <s v="Qualidade"/>
    <s v="Inspetor"/>
    <s v="2º Turno"/>
    <x v="0"/>
    <s v="Não"/>
    <x v="0"/>
    <d v="2025-08-03T00:00:00"/>
    <d v="2025-08-01T00:00:00"/>
    <s v="dom"/>
    <x v="9"/>
    <x v="1"/>
    <m/>
    <s v="162145872"/>
  </r>
  <r>
    <n v="1621"/>
    <n v="42"/>
    <s v="Masculino"/>
    <s v="Qualidade"/>
    <s v="Inspetor"/>
    <s v="2º Turno"/>
    <x v="0"/>
    <s v="Não"/>
    <x v="0"/>
    <d v="2025-10-25T00:00:00"/>
    <d v="2025-10-01T00:00:00"/>
    <s v="sáb"/>
    <x v="11"/>
    <x v="1"/>
    <m/>
    <s v="162145955"/>
  </r>
  <r>
    <n v="1621"/>
    <n v="42"/>
    <s v="Masculino"/>
    <s v="Qualidade"/>
    <s v="Inspetor"/>
    <s v="2º Turno"/>
    <x v="0"/>
    <s v="Não"/>
    <x v="0"/>
    <d v="2026-06-29T00:00:00"/>
    <d v="2026-01-01T00:00:00"/>
    <s v="seg"/>
    <x v="1"/>
    <x v="0"/>
    <m/>
    <s v="162146202"/>
  </r>
  <r>
    <n v="1622"/>
    <n v="21"/>
    <s v="Feminino"/>
    <s v="Soldagem"/>
    <s v="Operador"/>
    <s v="3º Turno"/>
    <x v="0"/>
    <s v="Não"/>
    <x v="0"/>
    <d v="2025-06-05T00:00:00"/>
    <d v="2025-06-01T00:00:00"/>
    <s v="qui"/>
    <x v="1"/>
    <x v="1"/>
    <m/>
    <s v="162245813"/>
  </r>
  <r>
    <n v="1622"/>
    <n v="21"/>
    <s v="Feminino"/>
    <s v="Soldagem"/>
    <s v="Operador"/>
    <s v="3º Turno"/>
    <x v="0"/>
    <s v="Não"/>
    <x v="0"/>
    <d v="2025-07-02T00:00:00"/>
    <d v="2025-07-01T00:00:00"/>
    <s v="qua"/>
    <x v="6"/>
    <x v="1"/>
    <m/>
    <s v="162245840"/>
  </r>
  <r>
    <n v="1622"/>
    <n v="21"/>
    <s v="Feminino"/>
    <s v="Soldagem"/>
    <s v="Operador"/>
    <s v="3º Turno"/>
    <x v="0"/>
    <s v="Não"/>
    <x v="0"/>
    <d v="2025-07-06T00:00:00"/>
    <d v="2025-07-01T00:00:00"/>
    <s v="dom"/>
    <x v="6"/>
    <x v="1"/>
    <m/>
    <s v="162245844"/>
  </r>
  <r>
    <n v="1622"/>
    <n v="21"/>
    <s v="Feminino"/>
    <s v="Soldagem"/>
    <s v="Operador"/>
    <s v="3º Turno"/>
    <x v="0"/>
    <s v="Não"/>
    <x v="0"/>
    <d v="2025-11-02T00:00:00"/>
    <d v="2025-11-01T00:00:00"/>
    <s v="dom"/>
    <x v="10"/>
    <x v="1"/>
    <m/>
    <s v="162245963"/>
  </r>
  <r>
    <n v="1622"/>
    <n v="21"/>
    <s v="Feminino"/>
    <s v="Soldagem"/>
    <s v="Operador"/>
    <s v="3º Turno"/>
    <x v="0"/>
    <s v="Não"/>
    <x v="0"/>
    <d v="2025-12-12T00:00:00"/>
    <d v="2025-12-01T00:00:00"/>
    <s v="sex"/>
    <x v="8"/>
    <x v="1"/>
    <m/>
    <s v="162246003"/>
  </r>
  <r>
    <n v="1623"/>
    <n v="33"/>
    <s v="Masculino"/>
    <s v="Montagem"/>
    <s v="Operador"/>
    <s v="3º Turno"/>
    <x v="0"/>
    <s v="Sim"/>
    <x v="0"/>
    <d v="2025-06-11T00:00:00"/>
    <d v="2025-06-01T00:00:00"/>
    <s v="qua"/>
    <x v="1"/>
    <x v="1"/>
    <d v="2026-04-18T00:00:00"/>
    <s v="162345819"/>
  </r>
  <r>
    <n v="1623"/>
    <n v="33"/>
    <s v="Masculino"/>
    <s v="Montagem"/>
    <s v="Operador"/>
    <s v="3º Turno"/>
    <x v="0"/>
    <s v="Sim"/>
    <x v="0"/>
    <d v="2025-07-10T00:00:00"/>
    <d v="2025-07-01T00:00:00"/>
    <s v="qui"/>
    <x v="6"/>
    <x v="1"/>
    <d v="2026-04-18T00:00:00"/>
    <s v="162345848"/>
  </r>
  <r>
    <n v="1623"/>
    <n v="33"/>
    <s v="Masculino"/>
    <s v="Montagem"/>
    <s v="Operador"/>
    <s v="3º Turno"/>
    <x v="0"/>
    <s v="Sim"/>
    <x v="0"/>
    <d v="2025-08-15T00:00:00"/>
    <d v="2025-08-01T00:00:00"/>
    <s v="sex"/>
    <x v="9"/>
    <x v="1"/>
    <d v="2026-04-18T00:00:00"/>
    <s v="162345884"/>
  </r>
  <r>
    <n v="1623"/>
    <n v="33"/>
    <s v="Masculino"/>
    <s v="Montagem"/>
    <s v="Operador"/>
    <s v="3º Turno"/>
    <x v="0"/>
    <s v="Sim"/>
    <x v="0"/>
    <d v="2025-08-23T00:00:00"/>
    <d v="2025-08-01T00:00:00"/>
    <s v="sáb"/>
    <x v="9"/>
    <x v="1"/>
    <d v="2026-04-18T00:00:00"/>
    <s v="162345892"/>
  </r>
  <r>
    <n v="1623"/>
    <n v="33"/>
    <s v="Masculino"/>
    <s v="Montagem"/>
    <s v="Operador"/>
    <s v="3º Turno"/>
    <x v="0"/>
    <s v="Sim"/>
    <x v="0"/>
    <d v="2025-12-22T00:00:00"/>
    <d v="2025-12-01T00:00:00"/>
    <s v="seg"/>
    <x v="8"/>
    <x v="1"/>
    <d v="2026-04-18T00:00:00"/>
    <s v="162346013"/>
  </r>
  <r>
    <n v="1624"/>
    <n v="38"/>
    <s v="Feminino"/>
    <s v="Montagem"/>
    <s v="Operador"/>
    <s v="1º Turno"/>
    <x v="0"/>
    <s v="Não"/>
    <x v="1"/>
    <d v="2025-07-05T00:00:00"/>
    <d v="2025-07-01T00:00:00"/>
    <s v="sáb"/>
    <x v="6"/>
    <x v="1"/>
    <m/>
    <s v="162445843"/>
  </r>
  <r>
    <n v="1624"/>
    <n v="38"/>
    <s v="Feminino"/>
    <s v="Montagem"/>
    <s v="Operador"/>
    <s v="1º Turno"/>
    <x v="0"/>
    <s v="Não"/>
    <x v="1"/>
    <d v="2025-07-19T00:00:00"/>
    <d v="2025-07-01T00:00:00"/>
    <s v="sáb"/>
    <x v="6"/>
    <x v="1"/>
    <m/>
    <s v="162445857"/>
  </r>
  <r>
    <n v="1624"/>
    <n v="38"/>
    <s v="Feminino"/>
    <s v="Montagem"/>
    <s v="Operador"/>
    <s v="1º Turno"/>
    <x v="0"/>
    <s v="Não"/>
    <x v="1"/>
    <d v="2025-07-20T00:00:00"/>
    <d v="2025-07-01T00:00:00"/>
    <s v="dom"/>
    <x v="6"/>
    <x v="1"/>
    <m/>
    <s v="162445858"/>
  </r>
  <r>
    <n v="1624"/>
    <n v="38"/>
    <s v="Feminino"/>
    <s v="Montagem"/>
    <s v="Operador"/>
    <s v="1º Turno"/>
    <x v="0"/>
    <s v="Não"/>
    <x v="1"/>
    <d v="2025-09-03T00:00:00"/>
    <d v="2025-09-01T00:00:00"/>
    <s v="qua"/>
    <x v="7"/>
    <x v="1"/>
    <m/>
    <s v="162445903"/>
  </r>
  <r>
    <n v="1624"/>
    <n v="38"/>
    <s v="Feminino"/>
    <s v="Montagem"/>
    <s v="Operador"/>
    <s v="1º Turno"/>
    <x v="0"/>
    <s v="Não"/>
    <x v="1"/>
    <d v="2025-11-18T00:00:00"/>
    <d v="2025-11-01T00:00:00"/>
    <s v="ter"/>
    <x v="10"/>
    <x v="1"/>
    <m/>
    <s v="162445979"/>
  </r>
  <r>
    <n v="1624"/>
    <n v="38"/>
    <s v="Feminino"/>
    <s v="Montagem"/>
    <s v="Operador"/>
    <s v="1º Turno"/>
    <x v="0"/>
    <s v="Não"/>
    <x v="1"/>
    <d v="2025-12-09T00:00:00"/>
    <d v="2025-12-01T00:00:00"/>
    <s v="ter"/>
    <x v="8"/>
    <x v="1"/>
    <m/>
    <s v="162446000"/>
  </r>
  <r>
    <n v="1625"/>
    <n v="54"/>
    <s v="Feminino"/>
    <s v="Montagem"/>
    <s v="Operador"/>
    <s v="1º Turno"/>
    <x v="0"/>
    <s v="Não"/>
    <x v="0"/>
    <d v="2025-10-28T00:00:00"/>
    <d v="2025-10-01T00:00:00"/>
    <s v="ter"/>
    <x v="11"/>
    <x v="1"/>
    <m/>
    <s v="162545958"/>
  </r>
  <r>
    <n v="1625"/>
    <n v="54"/>
    <s v="Feminino"/>
    <s v="Montagem"/>
    <s v="Operador"/>
    <s v="1º Turno"/>
    <x v="0"/>
    <s v="Não"/>
    <x v="0"/>
    <d v="2025-11-13T00:00:00"/>
    <d v="2025-11-01T00:00:00"/>
    <s v="qui"/>
    <x v="10"/>
    <x v="1"/>
    <m/>
    <s v="162545974"/>
  </r>
  <r>
    <n v="1625"/>
    <n v="54"/>
    <s v="Feminino"/>
    <s v="Montagem"/>
    <s v="Operador"/>
    <s v="1º Turno"/>
    <x v="0"/>
    <s v="Não"/>
    <x v="0"/>
    <d v="2025-12-02T00:00:00"/>
    <d v="2025-12-01T00:00:00"/>
    <s v="ter"/>
    <x v="8"/>
    <x v="1"/>
    <m/>
    <s v="162545993"/>
  </r>
  <r>
    <n v="1625"/>
    <n v="54"/>
    <s v="Feminino"/>
    <s v="Montagem"/>
    <s v="Operador"/>
    <s v="1º Turno"/>
    <x v="0"/>
    <s v="Não"/>
    <x v="0"/>
    <d v="2025-12-11T00:00:00"/>
    <d v="2025-12-01T00:00:00"/>
    <s v="qui"/>
    <x v="8"/>
    <x v="1"/>
    <m/>
    <s v="162546002"/>
  </r>
  <r>
    <n v="1625"/>
    <n v="54"/>
    <s v="Feminino"/>
    <s v="Montagem"/>
    <s v="Operador"/>
    <s v="1º Turno"/>
    <x v="0"/>
    <s v="Não"/>
    <x v="0"/>
    <d v="2025-12-14T00:00:00"/>
    <d v="2025-12-01T00:00:00"/>
    <s v="dom"/>
    <x v="8"/>
    <x v="1"/>
    <m/>
    <s v="162546005"/>
  </r>
  <r>
    <n v="1625"/>
    <n v="54"/>
    <s v="Feminino"/>
    <s v="Montagem"/>
    <s v="Operador"/>
    <s v="1º Turno"/>
    <x v="0"/>
    <s v="Não"/>
    <x v="0"/>
    <d v="2025-12-18T00:00:00"/>
    <d v="2025-12-01T00:00:00"/>
    <s v="qui"/>
    <x v="8"/>
    <x v="1"/>
    <m/>
    <s v="162546009"/>
  </r>
  <r>
    <n v="1626"/>
    <n v="46"/>
    <s v="Masculino"/>
    <s v="Pintura"/>
    <s v="Operador"/>
    <s v="3º Turno"/>
    <x v="0"/>
    <s v="Sim"/>
    <x v="0"/>
    <d v="2025-05-19T00:00:00"/>
    <d v="2025-05-01T00:00:00"/>
    <s v="seg"/>
    <x v="0"/>
    <x v="1"/>
    <d v="2025-09-12T00:00:00"/>
    <s v="162645796"/>
  </r>
  <r>
    <n v="1626"/>
    <n v="46"/>
    <s v="Masculino"/>
    <s v="Pintura"/>
    <s v="Operador"/>
    <s v="3º Turno"/>
    <x v="0"/>
    <s v="Sim"/>
    <x v="0"/>
    <d v="2025-07-31T00:00:00"/>
    <d v="2025-07-01T00:00:00"/>
    <s v="qui"/>
    <x v="6"/>
    <x v="1"/>
    <d v="2025-09-12T00:00:00"/>
    <s v="162645869"/>
  </r>
  <r>
    <n v="1626"/>
    <n v="46"/>
    <s v="Masculino"/>
    <s v="Pintura"/>
    <s v="Operador"/>
    <s v="3º Turno"/>
    <x v="0"/>
    <s v="Sim"/>
    <x v="0"/>
    <d v="2025-08-03T00:00:00"/>
    <d v="2025-08-01T00:00:00"/>
    <s v="dom"/>
    <x v="9"/>
    <x v="1"/>
    <d v="2025-09-12T00:00:00"/>
    <s v="162645872"/>
  </r>
  <r>
    <n v="1626"/>
    <n v="46"/>
    <s v="Masculino"/>
    <s v="Pintura"/>
    <s v="Operador"/>
    <s v="3º Turno"/>
    <x v="0"/>
    <s v="Sim"/>
    <x v="0"/>
    <d v="2025-08-10T00:00:00"/>
    <d v="2025-08-01T00:00:00"/>
    <s v="dom"/>
    <x v="9"/>
    <x v="1"/>
    <d v="2025-09-12T00:00:00"/>
    <s v="162645879"/>
  </r>
  <r>
    <n v="1627"/>
    <n v="24"/>
    <s v="Feminino"/>
    <s v="Montagem"/>
    <s v="Operador"/>
    <s v="3º Turno"/>
    <x v="0"/>
    <s v="Sim"/>
    <x v="2"/>
    <d v="2025-04-25T00:00:00"/>
    <d v="2025-04-01T00:00:00"/>
    <s v="sex"/>
    <x v="2"/>
    <x v="1"/>
    <d v="2025-07-06T00:00:00"/>
    <s v="162745772"/>
  </r>
  <r>
    <n v="1627"/>
    <n v="24"/>
    <s v="Feminino"/>
    <s v="Montagem"/>
    <s v="Operador"/>
    <s v="3º Turno"/>
    <x v="0"/>
    <s v="Sim"/>
    <x v="2"/>
    <d v="2025-05-04T00:00:00"/>
    <d v="2025-05-01T00:00:00"/>
    <s v="dom"/>
    <x v="0"/>
    <x v="1"/>
    <d v="2025-07-06T00:00:00"/>
    <s v="162745781"/>
  </r>
  <r>
    <n v="1627"/>
    <n v="24"/>
    <s v="Feminino"/>
    <s v="Montagem"/>
    <s v="Operador"/>
    <s v="3º Turno"/>
    <x v="0"/>
    <s v="Sim"/>
    <x v="2"/>
    <d v="2025-06-12T00:00:00"/>
    <d v="2025-06-01T00:00:00"/>
    <s v="qui"/>
    <x v="1"/>
    <x v="1"/>
    <d v="2025-07-06T00:00:00"/>
    <s v="162745820"/>
  </r>
  <r>
    <n v="1627"/>
    <n v="24"/>
    <s v="Feminino"/>
    <s v="Montagem"/>
    <s v="Operador"/>
    <s v="3º Turno"/>
    <x v="0"/>
    <s v="Sim"/>
    <x v="2"/>
    <d v="2025-07-03T00:00:00"/>
    <d v="2025-07-01T00:00:00"/>
    <s v="qui"/>
    <x v="6"/>
    <x v="1"/>
    <d v="2025-07-06T00:00:00"/>
    <s v="162745841"/>
  </r>
  <r>
    <n v="1629"/>
    <n v="45"/>
    <s v="Feminino"/>
    <s v="Montagem"/>
    <s v="Operador"/>
    <s v="3º Turno"/>
    <x v="0"/>
    <s v="Sim"/>
    <x v="2"/>
    <d v="2025-03-18T00:00:00"/>
    <d v="2025-03-01T00:00:00"/>
    <s v="ter"/>
    <x v="4"/>
    <x v="1"/>
    <d v="2025-07-05T00:00:00"/>
    <s v="162945734"/>
  </r>
  <r>
    <n v="1629"/>
    <n v="45"/>
    <s v="Feminino"/>
    <s v="Montagem"/>
    <s v="Operador"/>
    <s v="3º Turno"/>
    <x v="0"/>
    <s v="Sim"/>
    <x v="2"/>
    <d v="2025-05-14T00:00:00"/>
    <d v="2025-05-01T00:00:00"/>
    <s v="qua"/>
    <x v="0"/>
    <x v="1"/>
    <d v="2025-07-05T00:00:00"/>
    <s v="162945791"/>
  </r>
  <r>
    <n v="1629"/>
    <n v="45"/>
    <s v="Feminino"/>
    <s v="Montagem"/>
    <s v="Operador"/>
    <s v="3º Turno"/>
    <x v="0"/>
    <s v="Sim"/>
    <x v="2"/>
    <d v="2025-06-20T00:00:00"/>
    <d v="2025-06-01T00:00:00"/>
    <s v="sex"/>
    <x v="1"/>
    <x v="1"/>
    <d v="2025-07-05T00:00:00"/>
    <s v="162945828"/>
  </r>
  <r>
    <n v="1629"/>
    <n v="45"/>
    <s v="Feminino"/>
    <s v="Montagem"/>
    <s v="Operador"/>
    <s v="3º Turno"/>
    <x v="0"/>
    <s v="Sim"/>
    <x v="2"/>
    <d v="2025-06-21T00:00:00"/>
    <d v="2025-06-01T00:00:00"/>
    <s v="sáb"/>
    <x v="1"/>
    <x v="1"/>
    <d v="2025-07-05T00:00:00"/>
    <s v="162945829"/>
  </r>
  <r>
    <n v="1629"/>
    <n v="45"/>
    <s v="Feminino"/>
    <s v="Montagem"/>
    <s v="Operador"/>
    <s v="3º Turno"/>
    <x v="0"/>
    <s v="Sim"/>
    <x v="2"/>
    <d v="2025-06-29T00:00:00"/>
    <d v="2025-06-01T00:00:00"/>
    <s v="dom"/>
    <x v="1"/>
    <x v="1"/>
    <d v="2025-07-05T00:00:00"/>
    <s v="162945837"/>
  </r>
  <r>
    <n v="1629"/>
    <n v="45"/>
    <s v="Feminino"/>
    <s v="Montagem"/>
    <s v="Operador"/>
    <s v="3º Turno"/>
    <x v="0"/>
    <s v="Sim"/>
    <x v="2"/>
    <d v="2025-07-01T00:00:00"/>
    <d v="2025-07-01T00:00:00"/>
    <s v="ter"/>
    <x v="6"/>
    <x v="1"/>
    <d v="2025-07-05T00:00:00"/>
    <s v="162945839"/>
  </r>
  <r>
    <n v="1630"/>
    <n v="37"/>
    <s v="Masculino"/>
    <s v="Logistica"/>
    <s v="Operador"/>
    <s v="1º Turno"/>
    <x v="0"/>
    <s v="Não"/>
    <x v="0"/>
    <d v="2025-06-09T00:00:00"/>
    <d v="2025-06-01T00:00:00"/>
    <s v="seg"/>
    <x v="1"/>
    <x v="1"/>
    <m/>
    <s v="163045817"/>
  </r>
  <r>
    <n v="1630"/>
    <n v="37"/>
    <s v="Masculino"/>
    <s v="Logistica"/>
    <s v="Operador"/>
    <s v="1º Turno"/>
    <x v="0"/>
    <s v="Não"/>
    <x v="0"/>
    <d v="2025-07-24T00:00:00"/>
    <d v="2025-07-01T00:00:00"/>
    <s v="qui"/>
    <x v="6"/>
    <x v="1"/>
    <m/>
    <s v="163045862"/>
  </r>
  <r>
    <n v="1630"/>
    <n v="37"/>
    <s v="Masculino"/>
    <s v="Logistica"/>
    <s v="Operador"/>
    <s v="1º Turno"/>
    <x v="0"/>
    <s v="Não"/>
    <x v="0"/>
    <d v="2025-08-17T00:00:00"/>
    <d v="2025-08-01T00:00:00"/>
    <s v="dom"/>
    <x v="9"/>
    <x v="1"/>
    <m/>
    <s v="163045886"/>
  </r>
  <r>
    <n v="1630"/>
    <n v="37"/>
    <s v="Masculino"/>
    <s v="Logistica"/>
    <s v="Operador"/>
    <s v="1º Turno"/>
    <x v="0"/>
    <s v="Não"/>
    <x v="0"/>
    <d v="2025-09-25T00:00:00"/>
    <d v="2025-09-01T00:00:00"/>
    <s v="qui"/>
    <x v="7"/>
    <x v="1"/>
    <m/>
    <s v="163045925"/>
  </r>
  <r>
    <n v="1630"/>
    <n v="37"/>
    <s v="Masculino"/>
    <s v="Logistica"/>
    <s v="Operador"/>
    <s v="1º Turno"/>
    <x v="0"/>
    <s v="Não"/>
    <x v="0"/>
    <d v="2025-09-28T00:00:00"/>
    <d v="2025-09-01T00:00:00"/>
    <s v="dom"/>
    <x v="7"/>
    <x v="1"/>
    <m/>
    <s v="163045928"/>
  </r>
  <r>
    <n v="1631"/>
    <n v="27"/>
    <s v="Feminino"/>
    <s v="Logistica"/>
    <s v="Operador"/>
    <s v="1º Turno"/>
    <x v="0"/>
    <s v="Não"/>
    <x v="0"/>
    <d v="2025-06-16T00:00:00"/>
    <d v="2025-06-01T00:00:00"/>
    <s v="seg"/>
    <x v="1"/>
    <x v="1"/>
    <m/>
    <s v="163145824"/>
  </r>
  <r>
    <n v="1631"/>
    <n v="27"/>
    <s v="Feminino"/>
    <s v="Logistica"/>
    <s v="Operador"/>
    <s v="1º Turno"/>
    <x v="0"/>
    <s v="Não"/>
    <x v="0"/>
    <d v="2025-07-10T00:00:00"/>
    <d v="2025-07-01T00:00:00"/>
    <s v="qui"/>
    <x v="6"/>
    <x v="1"/>
    <m/>
    <s v="163145848"/>
  </r>
  <r>
    <n v="1631"/>
    <n v="27"/>
    <s v="Feminino"/>
    <s v="Logistica"/>
    <s v="Operador"/>
    <s v="1º Turno"/>
    <x v="0"/>
    <s v="Não"/>
    <x v="0"/>
    <d v="2025-08-18T00:00:00"/>
    <d v="2025-08-01T00:00:00"/>
    <s v="seg"/>
    <x v="9"/>
    <x v="1"/>
    <m/>
    <s v="163145887"/>
  </r>
  <r>
    <n v="1631"/>
    <n v="27"/>
    <s v="Feminino"/>
    <s v="Logistica"/>
    <s v="Operador"/>
    <s v="1º Turno"/>
    <x v="0"/>
    <s v="Não"/>
    <x v="0"/>
    <d v="2025-09-27T00:00:00"/>
    <d v="2025-09-01T00:00:00"/>
    <s v="sáb"/>
    <x v="7"/>
    <x v="1"/>
    <m/>
    <s v="163145927"/>
  </r>
  <r>
    <n v="1631"/>
    <n v="27"/>
    <s v="Feminino"/>
    <s v="Logistica"/>
    <s v="Operador"/>
    <s v="1º Turno"/>
    <x v="0"/>
    <s v="Não"/>
    <x v="0"/>
    <d v="2025-11-28T00:00:00"/>
    <d v="2025-11-01T00:00:00"/>
    <s v="sex"/>
    <x v="10"/>
    <x v="1"/>
    <m/>
    <s v="163145989"/>
  </r>
  <r>
    <n v="1632"/>
    <n v="33"/>
    <s v="Masculino"/>
    <s v="Montagem"/>
    <s v="Operador"/>
    <s v="3º Turno"/>
    <x v="0"/>
    <s v="Sim"/>
    <x v="2"/>
    <d v="2025-04-01T00:00:00"/>
    <d v="2025-04-01T00:00:00"/>
    <s v="ter"/>
    <x v="2"/>
    <x v="1"/>
    <d v="2026-04-21T00:00:00"/>
    <s v="163245748"/>
  </r>
  <r>
    <n v="1632"/>
    <n v="33"/>
    <s v="Masculino"/>
    <s v="Montagem"/>
    <s v="Operador"/>
    <s v="3º Turno"/>
    <x v="5"/>
    <s v="Sim"/>
    <x v="2"/>
    <d v="2025-04-14T00:00:00"/>
    <d v="2025-04-01T00:00:00"/>
    <s v="seg"/>
    <x v="2"/>
    <x v="1"/>
    <d v="2026-04-21T00:00:00"/>
    <s v="163245761"/>
  </r>
  <r>
    <n v="1632"/>
    <n v="33"/>
    <s v="Masculino"/>
    <s v="Montagem"/>
    <s v="Operador"/>
    <s v="3º Turno"/>
    <x v="0"/>
    <s v="Sim"/>
    <x v="2"/>
    <d v="2025-05-14T00:00:00"/>
    <d v="2025-05-01T00:00:00"/>
    <s v="qua"/>
    <x v="0"/>
    <x v="1"/>
    <d v="2026-04-21T00:00:00"/>
    <s v="163245791"/>
  </r>
  <r>
    <n v="1632"/>
    <n v="33"/>
    <s v="Masculino"/>
    <s v="Montagem"/>
    <s v="Operador"/>
    <s v="3º Turno"/>
    <x v="0"/>
    <s v="Sim"/>
    <x v="2"/>
    <d v="2025-09-18T00:00:00"/>
    <d v="2025-09-01T00:00:00"/>
    <s v="qui"/>
    <x v="7"/>
    <x v="1"/>
    <d v="2026-04-21T00:00:00"/>
    <s v="163245918"/>
  </r>
  <r>
    <n v="1632"/>
    <n v="33"/>
    <s v="Masculino"/>
    <s v="Montagem"/>
    <s v="Operador"/>
    <s v="3º Turno"/>
    <x v="0"/>
    <s v="Sim"/>
    <x v="2"/>
    <d v="2025-10-15T00:00:00"/>
    <d v="2025-10-01T00:00:00"/>
    <s v="qua"/>
    <x v="11"/>
    <x v="1"/>
    <d v="2026-04-21T00:00:00"/>
    <s v="163245945"/>
  </r>
  <r>
    <n v="1632"/>
    <n v="33"/>
    <s v="Masculino"/>
    <s v="Montagem"/>
    <s v="Operador"/>
    <s v="3º Turno"/>
    <x v="0"/>
    <s v="Sim"/>
    <x v="2"/>
    <d v="2026-02-17T00:00:00"/>
    <d v="2026-02-01T00:00:00"/>
    <s v="ter"/>
    <x v="3"/>
    <x v="0"/>
    <d v="2026-04-21T00:00:00"/>
    <s v="163246070"/>
  </r>
  <r>
    <n v="1634"/>
    <n v="52"/>
    <s v="Masculino"/>
    <s v="Qualidade"/>
    <s v="Analista"/>
    <s v="2º Turno"/>
    <x v="0"/>
    <s v="Não"/>
    <x v="2"/>
    <d v="2025-08-02T00:00:00"/>
    <d v="2025-08-01T00:00:00"/>
    <s v="sáb"/>
    <x v="9"/>
    <x v="1"/>
    <m/>
    <s v="163445871"/>
  </r>
  <r>
    <n v="1634"/>
    <n v="52"/>
    <s v="Masculino"/>
    <s v="Qualidade"/>
    <s v="Analista"/>
    <s v="2º Turno"/>
    <x v="0"/>
    <s v="Não"/>
    <x v="2"/>
    <d v="2025-09-17T00:00:00"/>
    <d v="2025-09-01T00:00:00"/>
    <s v="qua"/>
    <x v="7"/>
    <x v="1"/>
    <m/>
    <s v="163445917"/>
  </r>
  <r>
    <n v="1634"/>
    <n v="52"/>
    <s v="Masculino"/>
    <s v="Qualidade"/>
    <s v="Analista"/>
    <s v="2º Turno"/>
    <x v="0"/>
    <s v="Não"/>
    <x v="2"/>
    <d v="2025-10-23T00:00:00"/>
    <d v="2025-10-01T00:00:00"/>
    <s v="qui"/>
    <x v="11"/>
    <x v="1"/>
    <m/>
    <s v="163445953"/>
  </r>
  <r>
    <n v="1634"/>
    <n v="52"/>
    <s v="Masculino"/>
    <s v="Qualidade"/>
    <s v="Analista"/>
    <s v="2º Turno"/>
    <x v="0"/>
    <s v="Não"/>
    <x v="2"/>
    <d v="2025-11-15T00:00:00"/>
    <d v="2025-11-01T00:00:00"/>
    <s v="sáb"/>
    <x v="10"/>
    <x v="1"/>
    <m/>
    <s v="163445976"/>
  </r>
  <r>
    <n v="1634"/>
    <n v="52"/>
    <s v="Masculino"/>
    <s v="Qualidade"/>
    <s v="Analista"/>
    <s v="2º Turno"/>
    <x v="0"/>
    <s v="Não"/>
    <x v="2"/>
    <d v="2026-02-12T00:00:00"/>
    <d v="2026-02-01T00:00:00"/>
    <s v="qui"/>
    <x v="3"/>
    <x v="0"/>
    <m/>
    <s v="163446065"/>
  </r>
  <r>
    <n v="1634"/>
    <n v="52"/>
    <s v="Masculino"/>
    <s v="Qualidade"/>
    <s v="Analista"/>
    <s v="2º Turno"/>
    <x v="0"/>
    <s v="Não"/>
    <x v="2"/>
    <d v="2026-03-11T00:00:00"/>
    <d v="2026-03-01T00:00:00"/>
    <s v="qua"/>
    <x v="4"/>
    <x v="0"/>
    <m/>
    <s v="163446092"/>
  </r>
  <r>
    <n v="1635"/>
    <n v="50"/>
    <s v="Feminino"/>
    <s v="Soldagem"/>
    <s v="Operador"/>
    <s v="3º Turno"/>
    <x v="0"/>
    <s v="Sim"/>
    <x v="2"/>
    <d v="2025-05-24T00:00:00"/>
    <d v="2025-05-01T00:00:00"/>
    <s v="sáb"/>
    <x v="0"/>
    <x v="1"/>
    <d v="2025-10-12T00:00:00"/>
    <s v="163545801"/>
  </r>
  <r>
    <n v="1635"/>
    <n v="50"/>
    <s v="Feminino"/>
    <s v="Soldagem"/>
    <s v="Operador"/>
    <s v="3º Turno"/>
    <x v="0"/>
    <s v="Sim"/>
    <x v="2"/>
    <d v="2025-05-29T00:00:00"/>
    <d v="2025-05-01T00:00:00"/>
    <s v="qui"/>
    <x v="0"/>
    <x v="1"/>
    <d v="2025-10-12T00:00:00"/>
    <s v="163545806"/>
  </r>
  <r>
    <n v="1635"/>
    <n v="50"/>
    <s v="Feminino"/>
    <s v="Soldagem"/>
    <s v="Operador"/>
    <s v="3º Turno"/>
    <x v="0"/>
    <s v="Sim"/>
    <x v="2"/>
    <d v="2025-07-06T00:00:00"/>
    <d v="2025-07-01T00:00:00"/>
    <s v="dom"/>
    <x v="6"/>
    <x v="1"/>
    <d v="2025-10-12T00:00:00"/>
    <s v="163545844"/>
  </r>
  <r>
    <n v="1635"/>
    <n v="50"/>
    <s v="Feminino"/>
    <s v="Soldagem"/>
    <s v="Operador"/>
    <s v="3º Turno"/>
    <x v="0"/>
    <s v="Sim"/>
    <x v="2"/>
    <d v="2025-07-31T00:00:00"/>
    <d v="2025-07-01T00:00:00"/>
    <s v="qui"/>
    <x v="6"/>
    <x v="1"/>
    <d v="2025-10-12T00:00:00"/>
    <s v="163545869"/>
  </r>
  <r>
    <n v="1635"/>
    <n v="50"/>
    <s v="Feminino"/>
    <s v="Soldagem"/>
    <s v="Operador"/>
    <s v="3º Turno"/>
    <x v="0"/>
    <s v="Sim"/>
    <x v="2"/>
    <d v="2025-09-06T00:00:00"/>
    <d v="2025-09-01T00:00:00"/>
    <s v="sáb"/>
    <x v="7"/>
    <x v="1"/>
    <d v="2025-10-12T00:00:00"/>
    <s v="163545906"/>
  </r>
  <r>
    <n v="1637"/>
    <n v="53"/>
    <s v="Feminino"/>
    <s v="Montagem"/>
    <s v="Operador"/>
    <s v="3º Turno"/>
    <x v="0"/>
    <s v="Sim"/>
    <x v="2"/>
    <d v="2025-01-16T00:00:00"/>
    <d v="2025-01-01T00:00:00"/>
    <s v="qui"/>
    <x v="5"/>
    <x v="1"/>
    <d v="2025-07-03T00:00:00"/>
    <s v="163745673"/>
  </r>
  <r>
    <n v="1637"/>
    <n v="53"/>
    <s v="Feminino"/>
    <s v="Montagem"/>
    <s v="Operador"/>
    <s v="3º Turno"/>
    <x v="0"/>
    <s v="Sim"/>
    <x v="2"/>
    <d v="2025-06-29T00:00:00"/>
    <d v="2025-06-01T00:00:00"/>
    <s v="dom"/>
    <x v="1"/>
    <x v="1"/>
    <d v="2025-07-03T00:00:00"/>
    <s v="163745837"/>
  </r>
  <r>
    <n v="1637"/>
    <n v="53"/>
    <s v="Feminino"/>
    <s v="Montagem"/>
    <s v="Operador"/>
    <s v="3º Turno"/>
    <x v="0"/>
    <s v="Sim"/>
    <x v="2"/>
    <d v="2025-06-30T00:00:00"/>
    <d v="2025-06-01T00:00:00"/>
    <s v="seg"/>
    <x v="1"/>
    <x v="1"/>
    <d v="2025-07-03T00:00:00"/>
    <s v="163745838"/>
  </r>
  <r>
    <n v="1637"/>
    <n v="53"/>
    <s v="Feminino"/>
    <s v="Montagem"/>
    <s v="Operador"/>
    <s v="3º Turno"/>
    <x v="0"/>
    <s v="Sim"/>
    <x v="2"/>
    <d v="2025-07-01T00:00:00"/>
    <d v="2025-07-01T00:00:00"/>
    <s v="ter"/>
    <x v="6"/>
    <x v="1"/>
    <d v="2025-07-03T00:00:00"/>
    <s v="163745839"/>
  </r>
  <r>
    <n v="1637"/>
    <n v="53"/>
    <s v="Feminino"/>
    <s v="Montagem"/>
    <s v="Operador"/>
    <s v="3º Turno"/>
    <x v="0"/>
    <s v="Sim"/>
    <x v="2"/>
    <d v="2025-07-02T00:00:00"/>
    <d v="2025-07-01T00:00:00"/>
    <s v="qua"/>
    <x v="6"/>
    <x v="1"/>
    <d v="2025-07-03T00:00:00"/>
    <s v="163745840"/>
  </r>
  <r>
    <n v="1638"/>
    <n v="45"/>
    <s v="Masculino"/>
    <s v="Soldagem"/>
    <s v="Operador"/>
    <s v="2º Turno"/>
    <x v="0"/>
    <s v="Não"/>
    <x v="0"/>
    <d v="2025-06-06T00:00:00"/>
    <d v="2025-06-01T00:00:00"/>
    <s v="sex"/>
    <x v="1"/>
    <x v="1"/>
    <m/>
    <s v="163845814"/>
  </r>
  <r>
    <n v="1638"/>
    <n v="45"/>
    <s v="Masculino"/>
    <s v="Soldagem"/>
    <s v="Operador"/>
    <s v="2º Turno"/>
    <x v="0"/>
    <s v="Não"/>
    <x v="0"/>
    <d v="2026-06-08T00:00:00"/>
    <d v="2026-01-01T00:00:00"/>
    <s v="seg"/>
    <x v="1"/>
    <x v="0"/>
    <m/>
    <s v="163846181"/>
  </r>
  <r>
    <n v="1638"/>
    <n v="45"/>
    <s v="Masculino"/>
    <s v="Soldagem"/>
    <s v="Operador"/>
    <s v="2º Turno"/>
    <x v="0"/>
    <s v="Não"/>
    <x v="0"/>
    <d v="2026-06-25T00:00:00"/>
    <d v="2026-01-01T00:00:00"/>
    <s v="qui"/>
    <x v="1"/>
    <x v="0"/>
    <m/>
    <s v="163846198"/>
  </r>
  <r>
    <n v="1638"/>
    <n v="45"/>
    <s v="Masculino"/>
    <s v="Soldagem"/>
    <s v="Operador"/>
    <s v="2º Turno"/>
    <x v="0"/>
    <s v="Não"/>
    <x v="0"/>
    <d v="2026-03-12T00:00:00"/>
    <d v="2026-03-01T00:00:00"/>
    <s v="qui"/>
    <x v="4"/>
    <x v="0"/>
    <m/>
    <s v="163846093"/>
  </r>
  <r>
    <n v="1638"/>
    <n v="45"/>
    <s v="Masculino"/>
    <s v="Soldagem"/>
    <s v="Operador"/>
    <s v="2º Turno"/>
    <x v="0"/>
    <s v="Não"/>
    <x v="0"/>
    <d v="2026-03-23T00:00:00"/>
    <d v="2026-03-01T00:00:00"/>
    <s v="seg"/>
    <x v="4"/>
    <x v="0"/>
    <m/>
    <s v="163846104"/>
  </r>
  <r>
    <n v="1639"/>
    <n v="58"/>
    <s v="Masculino"/>
    <s v="Montagem"/>
    <s v="Operador"/>
    <s v="1º Turno"/>
    <x v="0"/>
    <s v="Não"/>
    <x v="2"/>
    <d v="2025-08-29T00:00:00"/>
    <d v="2025-08-01T00:00:00"/>
    <s v="sex"/>
    <x v="9"/>
    <x v="1"/>
    <m/>
    <s v="163945898"/>
  </r>
  <r>
    <n v="1639"/>
    <n v="58"/>
    <s v="Masculino"/>
    <s v="Montagem"/>
    <s v="Operador"/>
    <s v="1º Turno"/>
    <x v="0"/>
    <s v="Não"/>
    <x v="2"/>
    <d v="2025-10-30T00:00:00"/>
    <d v="2025-10-01T00:00:00"/>
    <s v="qui"/>
    <x v="11"/>
    <x v="1"/>
    <m/>
    <s v="163945960"/>
  </r>
  <r>
    <n v="1639"/>
    <n v="58"/>
    <s v="Masculino"/>
    <s v="Montagem"/>
    <s v="Operador"/>
    <s v="1º Turno"/>
    <x v="0"/>
    <s v="Não"/>
    <x v="2"/>
    <d v="2025-12-10T00:00:00"/>
    <d v="2025-12-01T00:00:00"/>
    <s v="qua"/>
    <x v="8"/>
    <x v="1"/>
    <m/>
    <s v="163946001"/>
  </r>
  <r>
    <n v="1639"/>
    <n v="58"/>
    <s v="Masculino"/>
    <s v="Montagem"/>
    <s v="Operador"/>
    <s v="1º Turno"/>
    <x v="0"/>
    <s v="Não"/>
    <x v="2"/>
    <d v="2026-06-06T00:00:00"/>
    <d v="2026-01-01T00:00:00"/>
    <s v="sáb"/>
    <x v="1"/>
    <x v="0"/>
    <m/>
    <s v="163946179"/>
  </r>
  <r>
    <n v="1639"/>
    <n v="58"/>
    <s v="Masculino"/>
    <s v="Montagem"/>
    <s v="Operador"/>
    <s v="1º Turno"/>
    <x v="0"/>
    <s v="Não"/>
    <x v="2"/>
    <d v="2026-06-19T00:00:00"/>
    <d v="2026-01-01T00:00:00"/>
    <s v="sex"/>
    <x v="1"/>
    <x v="0"/>
    <m/>
    <s v="163946192"/>
  </r>
  <r>
    <n v="1639"/>
    <n v="58"/>
    <s v="Masculino"/>
    <s v="Montagem"/>
    <s v="Operador"/>
    <s v="1º Turno"/>
    <x v="0"/>
    <s v="Não"/>
    <x v="2"/>
    <d v="2026-02-02T00:00:00"/>
    <d v="2026-02-01T00:00:00"/>
    <s v="seg"/>
    <x v="3"/>
    <x v="0"/>
    <m/>
    <s v="163946055"/>
  </r>
  <r>
    <n v="1640"/>
    <n v="57"/>
    <s v="Feminino"/>
    <s v="Soldagem"/>
    <s v="Operador"/>
    <s v="3º Turno"/>
    <x v="0"/>
    <s v="Não"/>
    <x v="1"/>
    <d v="2025-10-11T00:00:00"/>
    <d v="2025-10-01T00:00:00"/>
    <s v="sáb"/>
    <x v="11"/>
    <x v="1"/>
    <m/>
    <s v="164045941"/>
  </r>
  <r>
    <n v="1640"/>
    <n v="57"/>
    <s v="Feminino"/>
    <s v="Soldagem"/>
    <s v="Operador"/>
    <s v="3º Turno"/>
    <x v="0"/>
    <s v="Não"/>
    <x v="1"/>
    <d v="2025-11-18T00:00:00"/>
    <d v="2025-11-01T00:00:00"/>
    <s v="ter"/>
    <x v="10"/>
    <x v="1"/>
    <m/>
    <s v="164045979"/>
  </r>
  <r>
    <n v="1640"/>
    <n v="57"/>
    <s v="Feminino"/>
    <s v="Soldagem"/>
    <s v="Operador"/>
    <s v="3º Turno"/>
    <x v="0"/>
    <s v="Não"/>
    <x v="1"/>
    <d v="2025-12-23T00:00:00"/>
    <d v="2025-12-01T00:00:00"/>
    <s v="ter"/>
    <x v="8"/>
    <x v="1"/>
    <m/>
    <s v="164046014"/>
  </r>
  <r>
    <n v="1640"/>
    <n v="57"/>
    <s v="Feminino"/>
    <s v="Soldagem"/>
    <s v="Operador"/>
    <s v="3º Turno"/>
    <x v="0"/>
    <s v="Não"/>
    <x v="1"/>
    <d v="2026-02-10T00:00:00"/>
    <d v="2026-02-01T00:00:00"/>
    <s v="ter"/>
    <x v="3"/>
    <x v="0"/>
    <m/>
    <s v="164046063"/>
  </r>
  <r>
    <n v="1640"/>
    <n v="57"/>
    <s v="Feminino"/>
    <s v="Soldagem"/>
    <s v="Operador"/>
    <s v="3º Turno"/>
    <x v="0"/>
    <s v="Não"/>
    <x v="1"/>
    <d v="2026-02-27T00:00:00"/>
    <d v="2026-02-01T00:00:00"/>
    <s v="sex"/>
    <x v="3"/>
    <x v="0"/>
    <m/>
    <s v="164046080"/>
  </r>
  <r>
    <n v="1641"/>
    <n v="24"/>
    <s v="Masculino"/>
    <s v="Montagem"/>
    <s v="Operador"/>
    <s v="3º Turno"/>
    <x v="0"/>
    <s v="Não"/>
    <x v="2"/>
    <d v="2025-06-07T00:00:00"/>
    <d v="2025-06-01T00:00:00"/>
    <s v="sáb"/>
    <x v="1"/>
    <x v="1"/>
    <m/>
    <s v="164145815"/>
  </r>
  <r>
    <n v="1641"/>
    <n v="24"/>
    <s v="Masculino"/>
    <s v="Montagem"/>
    <s v="Operador"/>
    <s v="3º Turno"/>
    <x v="0"/>
    <s v="Não"/>
    <x v="2"/>
    <d v="2025-07-26T00:00:00"/>
    <d v="2025-07-01T00:00:00"/>
    <s v="sáb"/>
    <x v="6"/>
    <x v="1"/>
    <m/>
    <s v="164145864"/>
  </r>
  <r>
    <n v="1641"/>
    <n v="24"/>
    <s v="Masculino"/>
    <s v="Montagem"/>
    <s v="Operador"/>
    <s v="3º Turno"/>
    <x v="0"/>
    <s v="Não"/>
    <x v="2"/>
    <d v="2025-08-02T00:00:00"/>
    <d v="2025-08-01T00:00:00"/>
    <s v="sáb"/>
    <x v="9"/>
    <x v="1"/>
    <m/>
    <s v="164145871"/>
  </r>
  <r>
    <n v="1641"/>
    <n v="24"/>
    <s v="Masculino"/>
    <s v="Montagem"/>
    <s v="Operador"/>
    <s v="3º Turno"/>
    <x v="0"/>
    <s v="Não"/>
    <x v="2"/>
    <d v="2025-08-18T00:00:00"/>
    <d v="2025-08-01T00:00:00"/>
    <s v="seg"/>
    <x v="9"/>
    <x v="1"/>
    <m/>
    <s v="164145887"/>
  </r>
  <r>
    <n v="1641"/>
    <n v="24"/>
    <s v="Masculino"/>
    <s v="Montagem"/>
    <s v="Operador"/>
    <s v="3º Turno"/>
    <x v="0"/>
    <s v="Não"/>
    <x v="2"/>
    <d v="2025-11-22T00:00:00"/>
    <d v="2025-11-01T00:00:00"/>
    <s v="sáb"/>
    <x v="10"/>
    <x v="1"/>
    <m/>
    <s v="164145983"/>
  </r>
  <r>
    <n v="1641"/>
    <n v="24"/>
    <s v="Masculino"/>
    <s v="Montagem"/>
    <s v="Operador"/>
    <s v="3º Turno"/>
    <x v="0"/>
    <s v="Não"/>
    <x v="2"/>
    <d v="2026-06-12T00:00:00"/>
    <d v="2026-01-01T00:00:00"/>
    <s v="sex"/>
    <x v="1"/>
    <x v="0"/>
    <m/>
    <s v="164146185"/>
  </r>
  <r>
    <n v="1642"/>
    <n v="51"/>
    <s v="Masculino"/>
    <s v="Qualidade"/>
    <s v="Inspetor"/>
    <s v="3º Turno"/>
    <x v="0"/>
    <s v="Sim"/>
    <x v="2"/>
    <d v="2025-01-19T00:00:00"/>
    <d v="2025-01-01T00:00:00"/>
    <s v="dom"/>
    <x v="5"/>
    <x v="1"/>
    <d v="2025-07-17T00:00:00"/>
    <s v="164245676"/>
  </r>
  <r>
    <n v="1642"/>
    <n v="51"/>
    <s v="Masculino"/>
    <s v="Qualidade"/>
    <s v="Inspetor"/>
    <s v="3º Turno"/>
    <x v="0"/>
    <s v="Sim"/>
    <x v="2"/>
    <d v="2025-05-31T00:00:00"/>
    <d v="2025-05-01T00:00:00"/>
    <s v="sáb"/>
    <x v="0"/>
    <x v="1"/>
    <d v="2025-07-17T00:00:00"/>
    <s v="164245808"/>
  </r>
  <r>
    <n v="1642"/>
    <n v="51"/>
    <s v="Masculino"/>
    <s v="Qualidade"/>
    <s v="Inspetor"/>
    <s v="3º Turno"/>
    <x v="0"/>
    <s v="Sim"/>
    <x v="2"/>
    <d v="2025-06-18T00:00:00"/>
    <d v="2025-06-01T00:00:00"/>
    <s v="qua"/>
    <x v="1"/>
    <x v="1"/>
    <d v="2025-07-17T00:00:00"/>
    <s v="164245826"/>
  </r>
  <r>
    <n v="1642"/>
    <n v="51"/>
    <s v="Masculino"/>
    <s v="Qualidade"/>
    <s v="Inspetor"/>
    <s v="3º Turno"/>
    <x v="0"/>
    <s v="Sim"/>
    <x v="2"/>
    <d v="2025-07-12T00:00:00"/>
    <d v="2025-07-01T00:00:00"/>
    <s v="sáb"/>
    <x v="6"/>
    <x v="1"/>
    <d v="2025-07-17T00:00:00"/>
    <s v="164245850"/>
  </r>
  <r>
    <n v="1644"/>
    <n v="52"/>
    <s v="Feminino"/>
    <s v="Montagem"/>
    <s v="Operador"/>
    <s v="1º Turno"/>
    <x v="0"/>
    <s v="Não"/>
    <x v="2"/>
    <d v="2025-06-18T00:00:00"/>
    <d v="2025-06-01T00:00:00"/>
    <s v="qua"/>
    <x v="1"/>
    <x v="1"/>
    <m/>
    <s v="164445826"/>
  </r>
  <r>
    <n v="1644"/>
    <n v="52"/>
    <s v="Feminino"/>
    <s v="Montagem"/>
    <s v="Operador"/>
    <s v="1º Turno"/>
    <x v="0"/>
    <s v="Não"/>
    <x v="2"/>
    <d v="2025-10-05T00:00:00"/>
    <d v="2025-10-01T00:00:00"/>
    <s v="dom"/>
    <x v="11"/>
    <x v="1"/>
    <m/>
    <s v="164445935"/>
  </r>
  <r>
    <n v="1644"/>
    <n v="52"/>
    <s v="Feminino"/>
    <s v="Montagem"/>
    <s v="Operador"/>
    <s v="1º Turno"/>
    <x v="0"/>
    <s v="Não"/>
    <x v="2"/>
    <d v="2025-10-23T00:00:00"/>
    <d v="2025-10-01T00:00:00"/>
    <s v="qui"/>
    <x v="11"/>
    <x v="1"/>
    <m/>
    <s v="164445953"/>
  </r>
  <r>
    <n v="1644"/>
    <n v="52"/>
    <s v="Feminino"/>
    <s v="Montagem"/>
    <s v="Operador"/>
    <s v="1º Turno"/>
    <x v="0"/>
    <s v="Não"/>
    <x v="2"/>
    <d v="2025-12-21T00:00:00"/>
    <d v="2025-12-01T00:00:00"/>
    <s v="dom"/>
    <x v="8"/>
    <x v="1"/>
    <m/>
    <s v="164446012"/>
  </r>
  <r>
    <n v="1644"/>
    <n v="52"/>
    <s v="Feminino"/>
    <s v="Montagem"/>
    <s v="Operador"/>
    <s v="1º Turno"/>
    <x v="0"/>
    <s v="Não"/>
    <x v="2"/>
    <d v="2026-03-15T00:00:00"/>
    <d v="2026-03-01T00:00:00"/>
    <s v="dom"/>
    <x v="4"/>
    <x v="0"/>
    <m/>
    <s v="164446096"/>
  </r>
  <r>
    <n v="1645"/>
    <n v="31"/>
    <s v="Masculino"/>
    <s v="Soldagem"/>
    <s v="Operador"/>
    <s v="3º Turno"/>
    <x v="0"/>
    <s v="Não"/>
    <x v="0"/>
    <d v="2025-06-26T00:00:00"/>
    <d v="2025-06-01T00:00:00"/>
    <s v="qui"/>
    <x v="1"/>
    <x v="1"/>
    <m/>
    <s v="164545834"/>
  </r>
  <r>
    <n v="1645"/>
    <n v="31"/>
    <s v="Masculino"/>
    <s v="Soldagem"/>
    <s v="Operador"/>
    <s v="3º Turno"/>
    <x v="0"/>
    <s v="Não"/>
    <x v="0"/>
    <d v="2025-10-08T00:00:00"/>
    <d v="2025-10-01T00:00:00"/>
    <s v="qua"/>
    <x v="11"/>
    <x v="1"/>
    <m/>
    <s v="164545938"/>
  </r>
  <r>
    <n v="1645"/>
    <n v="31"/>
    <s v="Masculino"/>
    <s v="Soldagem"/>
    <s v="Operador"/>
    <s v="3º Turno"/>
    <x v="4"/>
    <s v="Não"/>
    <x v="0"/>
    <d v="2025-10-22T00:00:00"/>
    <d v="2025-10-01T00:00:00"/>
    <s v="qua"/>
    <x v="11"/>
    <x v="1"/>
    <m/>
    <s v="164545952"/>
  </r>
  <r>
    <n v="1645"/>
    <n v="31"/>
    <s v="Masculino"/>
    <s v="Soldagem"/>
    <s v="Operador"/>
    <s v="3º Turno"/>
    <x v="0"/>
    <s v="Não"/>
    <x v="0"/>
    <d v="2026-02-08T00:00:00"/>
    <d v="2026-02-01T00:00:00"/>
    <s v="dom"/>
    <x v="3"/>
    <x v="0"/>
    <m/>
    <s v="164546061"/>
  </r>
  <r>
    <n v="1645"/>
    <n v="31"/>
    <s v="Masculino"/>
    <s v="Soldagem"/>
    <s v="Operador"/>
    <s v="3º Turno"/>
    <x v="0"/>
    <s v="Não"/>
    <x v="0"/>
    <d v="2026-02-22T00:00:00"/>
    <d v="2026-02-01T00:00:00"/>
    <s v="dom"/>
    <x v="3"/>
    <x v="0"/>
    <m/>
    <s v="164546075"/>
  </r>
  <r>
    <n v="1645"/>
    <n v="31"/>
    <s v="Masculino"/>
    <s v="Soldagem"/>
    <s v="Operador"/>
    <s v="3º Turno"/>
    <x v="0"/>
    <s v="Não"/>
    <x v="0"/>
    <d v="2026-03-11T00:00:00"/>
    <d v="2026-03-01T00:00:00"/>
    <s v="qua"/>
    <x v="4"/>
    <x v="0"/>
    <m/>
    <s v="164546092"/>
  </r>
  <r>
    <n v="1646"/>
    <n v="44"/>
    <s v="Feminino"/>
    <s v="Soldagem"/>
    <s v="Operador"/>
    <s v="2º Turno"/>
    <x v="4"/>
    <s v="Não"/>
    <x v="2"/>
    <d v="2025-05-20T00:00:00"/>
    <d v="2025-05-01T00:00:00"/>
    <s v="ter"/>
    <x v="0"/>
    <x v="1"/>
    <m/>
    <s v="164645797"/>
  </r>
  <r>
    <n v="1646"/>
    <n v="44"/>
    <s v="Feminino"/>
    <s v="Soldagem"/>
    <s v="Operador"/>
    <s v="2º Turno"/>
    <x v="4"/>
    <s v="Não"/>
    <x v="2"/>
    <d v="2025-06-24T00:00:00"/>
    <d v="2025-06-01T00:00:00"/>
    <s v="ter"/>
    <x v="1"/>
    <x v="1"/>
    <m/>
    <s v="164645832"/>
  </r>
  <r>
    <n v="1646"/>
    <n v="44"/>
    <s v="Feminino"/>
    <s v="Soldagem"/>
    <s v="Operador"/>
    <s v="2º Turno"/>
    <x v="4"/>
    <s v="Não"/>
    <x v="2"/>
    <d v="2025-08-17T00:00:00"/>
    <d v="2025-08-01T00:00:00"/>
    <s v="dom"/>
    <x v="9"/>
    <x v="1"/>
    <m/>
    <s v="164645886"/>
  </r>
  <r>
    <n v="1646"/>
    <n v="44"/>
    <s v="Feminino"/>
    <s v="Soldagem"/>
    <s v="Operador"/>
    <s v="2º Turno"/>
    <x v="4"/>
    <s v="Não"/>
    <x v="2"/>
    <d v="2025-11-07T00:00:00"/>
    <d v="2025-11-01T00:00:00"/>
    <s v="sex"/>
    <x v="10"/>
    <x v="1"/>
    <m/>
    <s v="164645968"/>
  </r>
  <r>
    <n v="1646"/>
    <n v="44"/>
    <s v="Feminino"/>
    <s v="Soldagem"/>
    <s v="Operador"/>
    <s v="2º Turno"/>
    <x v="4"/>
    <s v="Não"/>
    <x v="2"/>
    <d v="2026-06-21T00:00:00"/>
    <d v="2026-01-01T00:00:00"/>
    <s v="dom"/>
    <x v="1"/>
    <x v="0"/>
    <m/>
    <s v="164646194"/>
  </r>
  <r>
    <n v="1646"/>
    <n v="44"/>
    <s v="Feminino"/>
    <s v="Soldagem"/>
    <s v="Operador"/>
    <s v="2º Turno"/>
    <x v="4"/>
    <s v="Não"/>
    <x v="2"/>
    <d v="2026-02-16T00:00:00"/>
    <d v="2026-02-01T00:00:00"/>
    <s v="seg"/>
    <x v="3"/>
    <x v="0"/>
    <m/>
    <s v="164646069"/>
  </r>
  <r>
    <n v="1646"/>
    <n v="44"/>
    <s v="Feminino"/>
    <s v="Soldagem"/>
    <s v="Operador"/>
    <s v="2º Turno"/>
    <x v="4"/>
    <s v="Não"/>
    <x v="2"/>
    <d v="2026-05-20T00:00:00"/>
    <d v="2026-05-01T00:00:00"/>
    <s v="ter"/>
    <x v="0"/>
    <x v="1"/>
    <m/>
    <s v="164646162"/>
  </r>
  <r>
    <n v="1647"/>
    <n v="26"/>
    <s v="Feminino"/>
    <s v="Qualidade"/>
    <s v="Analista"/>
    <s v="1º Turno"/>
    <x v="4"/>
    <s v="Não"/>
    <x v="2"/>
    <d v="2025-06-20T00:00:00"/>
    <d v="2025-06-01T00:00:00"/>
    <s v="sex"/>
    <x v="1"/>
    <x v="1"/>
    <m/>
    <s v="164745828"/>
  </r>
  <r>
    <n v="1647"/>
    <n v="26"/>
    <s v="Feminino"/>
    <s v="Qualidade"/>
    <s v="Analista"/>
    <s v="1º Turno"/>
    <x v="4"/>
    <s v="Não"/>
    <x v="2"/>
    <d v="2025-06-26T00:00:00"/>
    <d v="2025-06-01T00:00:00"/>
    <s v="qui"/>
    <x v="1"/>
    <x v="1"/>
    <m/>
    <s v="164745834"/>
  </r>
  <r>
    <n v="1647"/>
    <n v="26"/>
    <s v="Feminino"/>
    <s v="Qualidade"/>
    <s v="Analista"/>
    <s v="1º Turno"/>
    <x v="4"/>
    <s v="Não"/>
    <x v="2"/>
    <d v="2025-07-23T00:00:00"/>
    <d v="2025-07-01T00:00:00"/>
    <s v="qua"/>
    <x v="6"/>
    <x v="1"/>
    <m/>
    <s v="164745861"/>
  </r>
  <r>
    <n v="1647"/>
    <n v="26"/>
    <s v="Feminino"/>
    <s v="Qualidade"/>
    <s v="Analista"/>
    <s v="1º Turno"/>
    <x v="4"/>
    <s v="Não"/>
    <x v="2"/>
    <d v="2025-09-09T00:00:00"/>
    <d v="2025-09-01T00:00:00"/>
    <s v="ter"/>
    <x v="7"/>
    <x v="1"/>
    <m/>
    <s v="164745909"/>
  </r>
  <r>
    <n v="1647"/>
    <n v="26"/>
    <s v="Feminino"/>
    <s v="Qualidade"/>
    <s v="Analista"/>
    <s v="1º Turno"/>
    <x v="4"/>
    <s v="Não"/>
    <x v="2"/>
    <d v="2025-10-05T00:00:00"/>
    <d v="2025-10-01T00:00:00"/>
    <s v="dom"/>
    <x v="11"/>
    <x v="1"/>
    <m/>
    <s v="164745935"/>
  </r>
  <r>
    <n v="1647"/>
    <n v="26"/>
    <s v="Feminino"/>
    <s v="Qualidade"/>
    <s v="Analista"/>
    <s v="1º Turno"/>
    <x v="4"/>
    <s v="Não"/>
    <x v="2"/>
    <d v="2025-11-24T00:00:00"/>
    <d v="2025-11-01T00:00:00"/>
    <s v="seg"/>
    <x v="10"/>
    <x v="1"/>
    <m/>
    <s v="164745985"/>
  </r>
  <r>
    <n v="1649"/>
    <n v="40"/>
    <s v="Feminino"/>
    <s v="Pintura"/>
    <s v="Operador"/>
    <s v="3º Turno"/>
    <x v="0"/>
    <s v="Sim"/>
    <x v="1"/>
    <d v="2025-07-28T00:00:00"/>
    <d v="2025-07-01T00:00:00"/>
    <s v="seg"/>
    <x v="6"/>
    <x v="1"/>
    <d v="2026-03-17T00:00:00"/>
    <s v="164945866"/>
  </r>
  <r>
    <n v="1649"/>
    <n v="40"/>
    <s v="Feminino"/>
    <s v="Pintura"/>
    <s v="Operador"/>
    <s v="3º Turno"/>
    <x v="3"/>
    <s v="Sim"/>
    <x v="1"/>
    <d v="2025-08-28T00:00:00"/>
    <d v="2025-08-01T00:00:00"/>
    <s v="qui"/>
    <x v="9"/>
    <x v="1"/>
    <d v="2026-03-17T00:00:00"/>
    <s v="164945897"/>
  </r>
  <r>
    <n v="1649"/>
    <n v="40"/>
    <s v="Feminino"/>
    <s v="Pintura"/>
    <s v="Operador"/>
    <s v="3º Turno"/>
    <x v="0"/>
    <s v="Sim"/>
    <x v="1"/>
    <d v="2025-12-24T00:00:00"/>
    <d v="2025-12-01T00:00:00"/>
    <s v="qua"/>
    <x v="8"/>
    <x v="1"/>
    <d v="2026-03-17T00:00:00"/>
    <s v="164946015"/>
  </r>
  <r>
    <n v="1649"/>
    <n v="40"/>
    <s v="Feminino"/>
    <s v="Pintura"/>
    <s v="Operador"/>
    <s v="3º Turno"/>
    <x v="0"/>
    <s v="Sim"/>
    <x v="1"/>
    <d v="2026-06-18T00:00:00"/>
    <d v="2026-01-01T00:00:00"/>
    <s v="qui"/>
    <x v="1"/>
    <x v="0"/>
    <d v="2026-03-17T00:00:00"/>
    <s v="164946191"/>
  </r>
  <r>
    <n v="1649"/>
    <n v="40"/>
    <s v="Feminino"/>
    <s v="Pintura"/>
    <s v="Operador"/>
    <s v="3º Turno"/>
    <x v="0"/>
    <s v="Sim"/>
    <x v="1"/>
    <d v="2026-02-17T00:00:00"/>
    <d v="2026-02-01T00:00:00"/>
    <s v="ter"/>
    <x v="3"/>
    <x v="0"/>
    <d v="2026-03-17T00:00:00"/>
    <s v="164946070"/>
  </r>
  <r>
    <n v="1649"/>
    <n v="40"/>
    <s v="Feminino"/>
    <s v="Pintura"/>
    <s v="Operador"/>
    <s v="3º Turno"/>
    <x v="0"/>
    <s v="Sim"/>
    <x v="1"/>
    <d v="2026-02-27T00:00:00"/>
    <d v="2026-02-01T00:00:00"/>
    <s v="sex"/>
    <x v="3"/>
    <x v="0"/>
    <d v="2026-03-17T00:00:00"/>
    <s v="164946080"/>
  </r>
  <r>
    <n v="1650"/>
    <n v="25"/>
    <s v="Feminino"/>
    <s v="Soldagem"/>
    <s v="Operador"/>
    <s v="2º Turno"/>
    <x v="0"/>
    <s v="Não"/>
    <x v="2"/>
    <d v="2025-06-27T00:00:00"/>
    <d v="2025-06-01T00:00:00"/>
    <s v="sex"/>
    <x v="1"/>
    <x v="1"/>
    <m/>
    <s v="165045835"/>
  </r>
  <r>
    <n v="1650"/>
    <n v="25"/>
    <s v="Feminino"/>
    <s v="Soldagem"/>
    <s v="Operador"/>
    <s v="2º Turno"/>
    <x v="0"/>
    <s v="Não"/>
    <x v="2"/>
    <d v="2025-07-18T00:00:00"/>
    <d v="2025-07-01T00:00:00"/>
    <s v="sex"/>
    <x v="6"/>
    <x v="1"/>
    <m/>
    <s v="165045856"/>
  </r>
  <r>
    <n v="1650"/>
    <n v="25"/>
    <s v="Feminino"/>
    <s v="Soldagem"/>
    <s v="Operador"/>
    <s v="2º Turno"/>
    <x v="0"/>
    <s v="Não"/>
    <x v="2"/>
    <d v="2025-08-02T00:00:00"/>
    <d v="2025-08-01T00:00:00"/>
    <s v="sáb"/>
    <x v="9"/>
    <x v="1"/>
    <m/>
    <s v="165045871"/>
  </r>
  <r>
    <n v="1650"/>
    <n v="25"/>
    <s v="Feminino"/>
    <s v="Soldagem"/>
    <s v="Operador"/>
    <s v="2º Turno"/>
    <x v="0"/>
    <s v="Não"/>
    <x v="2"/>
    <d v="2025-08-27T00:00:00"/>
    <d v="2025-08-01T00:00:00"/>
    <s v="qua"/>
    <x v="9"/>
    <x v="1"/>
    <m/>
    <s v="165045896"/>
  </r>
  <r>
    <n v="1650"/>
    <n v="25"/>
    <s v="Feminino"/>
    <s v="Soldagem"/>
    <s v="Operador"/>
    <s v="2º Turno"/>
    <x v="0"/>
    <s v="Não"/>
    <x v="2"/>
    <d v="2026-03-03T00:00:00"/>
    <d v="2026-03-01T00:00:00"/>
    <s v="ter"/>
    <x v="4"/>
    <x v="0"/>
    <m/>
    <s v="165046084"/>
  </r>
  <r>
    <n v="1651"/>
    <n v="24"/>
    <s v="Feminino"/>
    <s v="Qualidade"/>
    <s v="Inspetor"/>
    <s v="2º Turno"/>
    <x v="0"/>
    <s v="Não"/>
    <x v="2"/>
    <d v="2025-07-04T00:00:00"/>
    <d v="2025-07-01T00:00:00"/>
    <s v="sex"/>
    <x v="6"/>
    <x v="1"/>
    <m/>
    <s v="165145842"/>
  </r>
  <r>
    <n v="1651"/>
    <n v="24"/>
    <s v="Feminino"/>
    <s v="Qualidade"/>
    <s v="Inspetor"/>
    <s v="2º Turno"/>
    <x v="0"/>
    <s v="Não"/>
    <x v="2"/>
    <d v="2025-10-28T00:00:00"/>
    <d v="2025-10-01T00:00:00"/>
    <s v="ter"/>
    <x v="11"/>
    <x v="1"/>
    <m/>
    <s v="165145958"/>
  </r>
  <r>
    <n v="1651"/>
    <n v="24"/>
    <s v="Feminino"/>
    <s v="Qualidade"/>
    <s v="Inspetor"/>
    <s v="2º Turno"/>
    <x v="0"/>
    <s v="Não"/>
    <x v="2"/>
    <d v="2025-11-18T00:00:00"/>
    <d v="2025-11-01T00:00:00"/>
    <s v="ter"/>
    <x v="10"/>
    <x v="1"/>
    <m/>
    <s v="165145979"/>
  </r>
  <r>
    <n v="1651"/>
    <n v="24"/>
    <s v="Feminino"/>
    <s v="Qualidade"/>
    <s v="Inspetor"/>
    <s v="2º Turno"/>
    <x v="0"/>
    <s v="Não"/>
    <x v="2"/>
    <d v="2026-06-04T00:00:00"/>
    <d v="2026-01-01T00:00:00"/>
    <s v="qui"/>
    <x v="1"/>
    <x v="0"/>
    <m/>
    <s v="165146177"/>
  </r>
  <r>
    <n v="1651"/>
    <n v="24"/>
    <s v="Feminino"/>
    <s v="Qualidade"/>
    <s v="Inspetor"/>
    <s v="2º Turno"/>
    <x v="0"/>
    <s v="Não"/>
    <x v="2"/>
    <d v="2026-06-24T00:00:00"/>
    <d v="2026-01-01T00:00:00"/>
    <s v="qua"/>
    <x v="1"/>
    <x v="0"/>
    <m/>
    <s v="165146197"/>
  </r>
  <r>
    <n v="1651"/>
    <n v="24"/>
    <s v="Feminino"/>
    <s v="Qualidade"/>
    <s v="Inspetor"/>
    <s v="2º Turno"/>
    <x v="0"/>
    <s v="Não"/>
    <x v="2"/>
    <d v="2026-03-15T00:00:00"/>
    <d v="2026-03-01T00:00:00"/>
    <s v="dom"/>
    <x v="4"/>
    <x v="0"/>
    <m/>
    <s v="165146096"/>
  </r>
  <r>
    <n v="1653"/>
    <n v="44"/>
    <s v="Masculino"/>
    <s v="Montagem"/>
    <s v="Operador"/>
    <s v="2º Turno"/>
    <x v="0"/>
    <s v="Não"/>
    <x v="0"/>
    <d v="2025-08-31T00:00:00"/>
    <d v="2025-08-01T00:00:00"/>
    <s v="dom"/>
    <x v="9"/>
    <x v="1"/>
    <m/>
    <s v="165345900"/>
  </r>
  <r>
    <n v="1653"/>
    <n v="44"/>
    <s v="Masculino"/>
    <s v="Montagem"/>
    <s v="Operador"/>
    <s v="2º Turno"/>
    <x v="0"/>
    <s v="Não"/>
    <x v="0"/>
    <d v="2025-12-14T00:00:00"/>
    <d v="2025-12-01T00:00:00"/>
    <s v="dom"/>
    <x v="8"/>
    <x v="1"/>
    <m/>
    <s v="165346005"/>
  </r>
  <r>
    <n v="1653"/>
    <n v="44"/>
    <s v="Masculino"/>
    <s v="Montagem"/>
    <s v="Operador"/>
    <s v="2º Turno"/>
    <x v="0"/>
    <s v="Não"/>
    <x v="0"/>
    <d v="2026-06-02T00:00:00"/>
    <d v="2026-01-01T00:00:00"/>
    <s v="ter"/>
    <x v="1"/>
    <x v="0"/>
    <m/>
    <s v="165346175"/>
  </r>
  <r>
    <n v="1653"/>
    <n v="44"/>
    <s v="Masculino"/>
    <s v="Montagem"/>
    <s v="Operador"/>
    <s v="2º Turno"/>
    <x v="0"/>
    <s v="Não"/>
    <x v="0"/>
    <d v="2026-06-09T00:00:00"/>
    <d v="2026-01-01T00:00:00"/>
    <s v="ter"/>
    <x v="1"/>
    <x v="0"/>
    <m/>
    <s v="165346182"/>
  </r>
  <r>
    <n v="1653"/>
    <n v="44"/>
    <s v="Masculino"/>
    <s v="Montagem"/>
    <s v="Operador"/>
    <s v="2º Turno"/>
    <x v="0"/>
    <s v="Não"/>
    <x v="0"/>
    <d v="2026-03-01T00:00:00"/>
    <d v="2026-03-01T00:00:00"/>
    <s v="dom"/>
    <x v="4"/>
    <x v="0"/>
    <m/>
    <s v="165346082"/>
  </r>
  <r>
    <n v="1653"/>
    <n v="44"/>
    <s v="Masculino"/>
    <s v="Montagem"/>
    <s v="Operador"/>
    <s v="2º Turno"/>
    <x v="0"/>
    <s v="Não"/>
    <x v="0"/>
    <d v="2026-03-22T00:00:00"/>
    <d v="2026-03-01T00:00:00"/>
    <s v="dom"/>
    <x v="4"/>
    <x v="0"/>
    <m/>
    <s v="165346103"/>
  </r>
  <r>
    <n v="1655"/>
    <n v="47"/>
    <s v="Masculino"/>
    <s v="Montagem"/>
    <s v="Operador"/>
    <s v="2º Turno"/>
    <x v="0"/>
    <s v="Não"/>
    <x v="1"/>
    <d v="2025-08-06T00:00:00"/>
    <d v="2025-08-01T00:00:00"/>
    <s v="qua"/>
    <x v="9"/>
    <x v="1"/>
    <m/>
    <s v="165545875"/>
  </r>
  <r>
    <n v="1655"/>
    <n v="47"/>
    <s v="Masculino"/>
    <s v="Montagem"/>
    <s v="Operador"/>
    <s v="2º Turno"/>
    <x v="0"/>
    <s v="Não"/>
    <x v="1"/>
    <d v="2025-09-08T00:00:00"/>
    <d v="2025-09-01T00:00:00"/>
    <s v="seg"/>
    <x v="7"/>
    <x v="1"/>
    <m/>
    <s v="165545908"/>
  </r>
  <r>
    <n v="1655"/>
    <n v="47"/>
    <s v="Masculino"/>
    <s v="Montagem"/>
    <s v="Operador"/>
    <s v="2º Turno"/>
    <x v="0"/>
    <s v="Não"/>
    <x v="1"/>
    <d v="2026-02-26T00:00:00"/>
    <d v="2026-02-01T00:00:00"/>
    <s v="qui"/>
    <x v="3"/>
    <x v="0"/>
    <m/>
    <s v="165546079"/>
  </r>
  <r>
    <n v="1655"/>
    <n v="47"/>
    <s v="Masculino"/>
    <s v="Montagem"/>
    <s v="Operador"/>
    <s v="2º Turno"/>
    <x v="0"/>
    <s v="Não"/>
    <x v="1"/>
    <d v="2026-03-26T00:00:00"/>
    <d v="2026-03-01T00:00:00"/>
    <s v="qui"/>
    <x v="4"/>
    <x v="0"/>
    <m/>
    <s v="165546107"/>
  </r>
  <r>
    <n v="1655"/>
    <n v="47"/>
    <s v="Masculino"/>
    <s v="Montagem"/>
    <s v="Operador"/>
    <s v="2º Turno"/>
    <x v="0"/>
    <s v="Não"/>
    <x v="1"/>
    <d v="2026-04-21T00:00:00"/>
    <d v="2026-04-01T00:00:00"/>
    <s v="ter"/>
    <x v="2"/>
    <x v="0"/>
    <m/>
    <s v="165546133"/>
  </r>
  <r>
    <n v="1656"/>
    <n v="35"/>
    <s v="Feminino"/>
    <s v="Soldagem"/>
    <s v="Operador"/>
    <s v="1º Turno"/>
    <x v="0"/>
    <s v="Não"/>
    <x v="0"/>
    <d v="2025-07-27T00:00:00"/>
    <d v="2025-07-01T00:00:00"/>
    <s v="dom"/>
    <x v="6"/>
    <x v="1"/>
    <m/>
    <s v="165645865"/>
  </r>
  <r>
    <n v="1656"/>
    <n v="35"/>
    <s v="Feminino"/>
    <s v="Soldagem"/>
    <s v="Operador"/>
    <s v="1º Turno"/>
    <x v="0"/>
    <s v="Não"/>
    <x v="0"/>
    <d v="2025-08-02T00:00:00"/>
    <d v="2025-08-01T00:00:00"/>
    <s v="sáb"/>
    <x v="9"/>
    <x v="1"/>
    <m/>
    <s v="165645871"/>
  </r>
  <r>
    <n v="1656"/>
    <n v="35"/>
    <s v="Feminino"/>
    <s v="Soldagem"/>
    <s v="Operador"/>
    <s v="1º Turno"/>
    <x v="0"/>
    <s v="Não"/>
    <x v="0"/>
    <d v="2025-08-03T00:00:00"/>
    <d v="2025-08-01T00:00:00"/>
    <s v="dom"/>
    <x v="9"/>
    <x v="1"/>
    <m/>
    <s v="165645872"/>
  </r>
  <r>
    <n v="1656"/>
    <n v="35"/>
    <s v="Feminino"/>
    <s v="Soldagem"/>
    <s v="Operador"/>
    <s v="1º Turno"/>
    <x v="0"/>
    <s v="Não"/>
    <x v="0"/>
    <d v="2025-10-08T00:00:00"/>
    <d v="2025-10-01T00:00:00"/>
    <s v="qua"/>
    <x v="11"/>
    <x v="1"/>
    <m/>
    <s v="165645938"/>
  </r>
  <r>
    <n v="1656"/>
    <n v="35"/>
    <s v="Feminino"/>
    <s v="Soldagem"/>
    <s v="Operador"/>
    <s v="1º Turno"/>
    <x v="0"/>
    <s v="Não"/>
    <x v="0"/>
    <d v="2026-03-28T00:00:00"/>
    <d v="2026-03-01T00:00:00"/>
    <s v="sáb"/>
    <x v="4"/>
    <x v="0"/>
    <m/>
    <s v="165646109"/>
  </r>
  <r>
    <n v="1656"/>
    <n v="35"/>
    <s v="Feminino"/>
    <s v="Soldagem"/>
    <s v="Operador"/>
    <s v="1º Turno"/>
    <x v="0"/>
    <s v="Não"/>
    <x v="0"/>
    <d v="2026-06-04T00:00:00"/>
    <d v="2026-06-01T00:00:00"/>
    <s v="qui"/>
    <x v="1"/>
    <x v="0"/>
    <m/>
    <s v="165646177"/>
  </r>
  <r>
    <n v="1657"/>
    <n v="49"/>
    <s v="Masculino"/>
    <s v="Logistica"/>
    <s v="Operador"/>
    <s v="1º Turno"/>
    <x v="0"/>
    <s v="Não"/>
    <x v="1"/>
    <d v="2025-07-04T00:00:00"/>
    <d v="2025-07-01T00:00:00"/>
    <s v="sex"/>
    <x v="6"/>
    <x v="1"/>
    <m/>
    <s v="165745842"/>
  </r>
  <r>
    <n v="1657"/>
    <n v="49"/>
    <s v="Masculino"/>
    <s v="Logistica"/>
    <s v="Operador"/>
    <s v="1º Turno"/>
    <x v="0"/>
    <s v="Não"/>
    <x v="1"/>
    <d v="2025-08-13T00:00:00"/>
    <d v="2025-08-01T00:00:00"/>
    <s v="qua"/>
    <x v="9"/>
    <x v="1"/>
    <m/>
    <s v="165745882"/>
  </r>
  <r>
    <n v="1657"/>
    <n v="49"/>
    <s v="Masculino"/>
    <s v="Logistica"/>
    <s v="Operador"/>
    <s v="1º Turno"/>
    <x v="0"/>
    <s v="Não"/>
    <x v="1"/>
    <d v="2025-11-05T00:00:00"/>
    <d v="2025-11-01T00:00:00"/>
    <s v="qua"/>
    <x v="10"/>
    <x v="1"/>
    <m/>
    <s v="165745966"/>
  </r>
  <r>
    <n v="1657"/>
    <n v="49"/>
    <s v="Masculino"/>
    <s v="Logistica"/>
    <s v="Operador"/>
    <s v="1º Turno"/>
    <x v="0"/>
    <s v="Não"/>
    <x v="1"/>
    <d v="2025-12-17T00:00:00"/>
    <d v="2025-12-01T00:00:00"/>
    <s v="qua"/>
    <x v="8"/>
    <x v="1"/>
    <m/>
    <s v="165746008"/>
  </r>
  <r>
    <n v="1659"/>
    <n v="29"/>
    <s v="Feminino"/>
    <s v="Montagem"/>
    <s v="Operador"/>
    <s v="2º Turno"/>
    <x v="0"/>
    <s v="Sim"/>
    <x v="1"/>
    <d v="2025-05-02T00:00:00"/>
    <d v="2025-05-01T00:00:00"/>
    <s v="sex"/>
    <x v="0"/>
    <x v="1"/>
    <d v="2026-06-17T00:00:00"/>
    <s v="165945779"/>
  </r>
  <r>
    <n v="1659"/>
    <n v="29"/>
    <s v="Feminino"/>
    <s v="Montagem"/>
    <s v="Operador"/>
    <s v="2º Turno"/>
    <x v="0"/>
    <s v="Sim"/>
    <x v="1"/>
    <d v="2025-10-23T00:00:00"/>
    <d v="2025-10-01T00:00:00"/>
    <s v="qui"/>
    <x v="11"/>
    <x v="1"/>
    <d v="2026-06-17T00:00:00"/>
    <s v="165945953"/>
  </r>
  <r>
    <n v="1659"/>
    <n v="29"/>
    <s v="Feminino"/>
    <s v="Montagem"/>
    <s v="Operador"/>
    <s v="2º Turno"/>
    <x v="0"/>
    <s v="Sim"/>
    <x v="1"/>
    <d v="2025-12-13T00:00:00"/>
    <d v="2025-12-01T00:00:00"/>
    <s v="sáb"/>
    <x v="8"/>
    <x v="1"/>
    <d v="2026-06-17T00:00:00"/>
    <s v="165946004"/>
  </r>
  <r>
    <n v="1659"/>
    <n v="29"/>
    <s v="Feminino"/>
    <s v="Montagem"/>
    <s v="Operador"/>
    <s v="2º Turno"/>
    <x v="0"/>
    <s v="Sim"/>
    <x v="1"/>
    <d v="2025-12-14T00:00:00"/>
    <d v="2025-12-01T00:00:00"/>
    <s v="dom"/>
    <x v="8"/>
    <x v="1"/>
    <d v="2026-06-17T00:00:00"/>
    <s v="165946005"/>
  </r>
  <r>
    <n v="1659"/>
    <n v="29"/>
    <s v="Feminino"/>
    <s v="Montagem"/>
    <s v="Operador"/>
    <s v="2º Turno"/>
    <x v="0"/>
    <s v="Sim"/>
    <x v="1"/>
    <d v="2025-12-21T00:00:00"/>
    <d v="2025-12-01T00:00:00"/>
    <s v="dom"/>
    <x v="8"/>
    <x v="1"/>
    <d v="2026-06-17T00:00:00"/>
    <s v="165946012"/>
  </r>
  <r>
    <n v="1659"/>
    <n v="29"/>
    <s v="Feminino"/>
    <s v="Montagem"/>
    <s v="Operador"/>
    <s v="2º Turno"/>
    <x v="0"/>
    <s v="Sim"/>
    <x v="1"/>
    <d v="2025-12-22T00:00:00"/>
    <d v="2025-12-01T00:00:00"/>
    <s v="seg"/>
    <x v="8"/>
    <x v="1"/>
    <d v="2026-06-17T00:00:00"/>
    <s v="165946013"/>
  </r>
  <r>
    <n v="1660"/>
    <n v="37"/>
    <s v="Feminino"/>
    <s v="Pintura"/>
    <s v="Operador"/>
    <s v="1º Turno"/>
    <x v="0"/>
    <s v="Sim"/>
    <x v="1"/>
    <d v="2025-05-06T00:00:00"/>
    <d v="2025-05-01T00:00:00"/>
    <s v="ter"/>
    <x v="0"/>
    <x v="1"/>
    <d v="2026-02-02T00:00:00"/>
    <s v="166045783"/>
  </r>
  <r>
    <n v="1660"/>
    <n v="37"/>
    <s v="Feminino"/>
    <s v="Pintura"/>
    <s v="Operador"/>
    <s v="1º Turno"/>
    <x v="0"/>
    <s v="Sim"/>
    <x v="1"/>
    <d v="2025-05-13T00:00:00"/>
    <d v="2025-05-01T00:00:00"/>
    <s v="ter"/>
    <x v="0"/>
    <x v="1"/>
    <d v="2026-02-02T00:00:00"/>
    <s v="166045790"/>
  </r>
  <r>
    <n v="1660"/>
    <n v="37"/>
    <s v="Feminino"/>
    <s v="Pintura"/>
    <s v="Operador"/>
    <s v="1º Turno"/>
    <x v="0"/>
    <s v="Sim"/>
    <x v="1"/>
    <d v="2025-07-11T00:00:00"/>
    <d v="2025-07-01T00:00:00"/>
    <s v="sex"/>
    <x v="6"/>
    <x v="1"/>
    <d v="2026-02-02T00:00:00"/>
    <s v="166045849"/>
  </r>
  <r>
    <n v="1660"/>
    <n v="37"/>
    <s v="Feminino"/>
    <s v="Pintura"/>
    <s v="Operador"/>
    <s v="1º Turno"/>
    <x v="0"/>
    <s v="Sim"/>
    <x v="1"/>
    <d v="2025-08-07T00:00:00"/>
    <d v="2025-08-01T00:00:00"/>
    <s v="qui"/>
    <x v="9"/>
    <x v="1"/>
    <d v="2026-02-02T00:00:00"/>
    <s v="166045876"/>
  </r>
  <r>
    <n v="1660"/>
    <n v="37"/>
    <s v="Feminino"/>
    <s v="Pintura"/>
    <s v="Operador"/>
    <s v="1º Turno"/>
    <x v="0"/>
    <s v="Sim"/>
    <x v="1"/>
    <d v="2025-10-10T00:00:00"/>
    <d v="2025-10-01T00:00:00"/>
    <s v="sex"/>
    <x v="11"/>
    <x v="1"/>
    <d v="2026-02-02T00:00:00"/>
    <s v="166045940"/>
  </r>
  <r>
    <n v="1660"/>
    <n v="37"/>
    <s v="Feminino"/>
    <s v="Pintura"/>
    <s v="Operador"/>
    <s v="1º Turno"/>
    <x v="0"/>
    <s v="Sim"/>
    <x v="1"/>
    <d v="2026-06-06T00:00:00"/>
    <d v="2026-01-01T00:00:00"/>
    <s v="sáb"/>
    <x v="1"/>
    <x v="0"/>
    <d v="2026-02-02T00:00:00"/>
    <s v="166046179"/>
  </r>
  <r>
    <n v="1661"/>
    <n v="18"/>
    <s v="Masculino"/>
    <s v="Soldagem"/>
    <s v="Operador"/>
    <s v="2º Turno"/>
    <x v="0"/>
    <s v="Sim"/>
    <x v="2"/>
    <d v="2025-05-07T00:00:00"/>
    <d v="2025-05-01T00:00:00"/>
    <s v="qua"/>
    <x v="0"/>
    <x v="1"/>
    <d v="2026-02-22T00:00:00"/>
    <s v="166145784"/>
  </r>
  <r>
    <n v="1661"/>
    <n v="18"/>
    <s v="Masculino"/>
    <s v="Soldagem"/>
    <s v="Operador"/>
    <s v="2º Turno"/>
    <x v="0"/>
    <s v="Sim"/>
    <x v="2"/>
    <d v="2025-07-14T00:00:00"/>
    <d v="2025-07-01T00:00:00"/>
    <s v="seg"/>
    <x v="6"/>
    <x v="1"/>
    <d v="2026-02-22T00:00:00"/>
    <s v="166145852"/>
  </r>
  <r>
    <n v="1661"/>
    <n v="18"/>
    <s v="Masculino"/>
    <s v="Soldagem"/>
    <s v="Operador"/>
    <s v="2º Turno"/>
    <x v="0"/>
    <s v="Sim"/>
    <x v="2"/>
    <d v="2025-07-16T00:00:00"/>
    <d v="2025-07-01T00:00:00"/>
    <s v="qua"/>
    <x v="6"/>
    <x v="1"/>
    <d v="2026-02-22T00:00:00"/>
    <s v="166145854"/>
  </r>
  <r>
    <n v="1661"/>
    <n v="18"/>
    <s v="Masculino"/>
    <s v="Soldagem"/>
    <s v="Operador"/>
    <s v="2º Turno"/>
    <x v="0"/>
    <s v="Sim"/>
    <x v="2"/>
    <d v="2025-07-25T00:00:00"/>
    <d v="2025-07-01T00:00:00"/>
    <s v="sex"/>
    <x v="6"/>
    <x v="1"/>
    <d v="2026-02-22T00:00:00"/>
    <s v="166145863"/>
  </r>
  <r>
    <n v="1661"/>
    <n v="18"/>
    <s v="Masculino"/>
    <s v="Soldagem"/>
    <s v="Operador"/>
    <s v="2º Turno"/>
    <x v="0"/>
    <s v="Sim"/>
    <x v="2"/>
    <d v="2025-08-30T00:00:00"/>
    <d v="2025-08-01T00:00:00"/>
    <s v="sáb"/>
    <x v="9"/>
    <x v="1"/>
    <d v="2026-02-22T00:00:00"/>
    <s v="166145899"/>
  </r>
  <r>
    <n v="1661"/>
    <n v="18"/>
    <s v="Masculino"/>
    <s v="Soldagem"/>
    <s v="Operador"/>
    <s v="2º Turno"/>
    <x v="0"/>
    <s v="Sim"/>
    <x v="2"/>
    <d v="2026-02-12T00:00:00"/>
    <d v="2026-02-01T00:00:00"/>
    <s v="qui"/>
    <x v="3"/>
    <x v="0"/>
    <d v="2026-02-22T00:00:00"/>
    <s v="166146065"/>
  </r>
  <r>
    <n v="1662"/>
    <n v="22"/>
    <s v="Feminino"/>
    <s v="Montagem"/>
    <s v="Operador"/>
    <s v="3º Turno"/>
    <x v="0"/>
    <s v="Não"/>
    <x v="2"/>
    <d v="2025-06-05T00:00:00"/>
    <d v="2025-06-01T00:00:00"/>
    <s v="qui"/>
    <x v="1"/>
    <x v="1"/>
    <m/>
    <s v="166245813"/>
  </r>
  <r>
    <n v="1662"/>
    <n v="22"/>
    <s v="Feminino"/>
    <s v="Montagem"/>
    <s v="Operador"/>
    <s v="3º Turno"/>
    <x v="0"/>
    <s v="Não"/>
    <x v="2"/>
    <d v="2025-07-03T00:00:00"/>
    <d v="2025-07-01T00:00:00"/>
    <s v="qui"/>
    <x v="6"/>
    <x v="1"/>
    <m/>
    <s v="166245841"/>
  </r>
  <r>
    <n v="1662"/>
    <n v="22"/>
    <s v="Feminino"/>
    <s v="Montagem"/>
    <s v="Operador"/>
    <s v="3º Turno"/>
    <x v="0"/>
    <s v="Não"/>
    <x v="2"/>
    <d v="2025-12-04T00:00:00"/>
    <d v="2025-12-01T00:00:00"/>
    <s v="qui"/>
    <x v="8"/>
    <x v="1"/>
    <m/>
    <s v="166245995"/>
  </r>
  <r>
    <n v="1662"/>
    <n v="22"/>
    <s v="Feminino"/>
    <s v="Montagem"/>
    <s v="Operador"/>
    <s v="3º Turno"/>
    <x v="0"/>
    <s v="Não"/>
    <x v="2"/>
    <d v="2026-06-29T00:00:00"/>
    <d v="2026-01-01T00:00:00"/>
    <s v="seg"/>
    <x v="1"/>
    <x v="0"/>
    <m/>
    <s v="166246202"/>
  </r>
  <r>
    <n v="1663"/>
    <n v="42"/>
    <s v="Masculino"/>
    <s v="Qualidade"/>
    <s v="Inspetor"/>
    <s v="3º Turno"/>
    <x v="0"/>
    <s v="Não"/>
    <x v="2"/>
    <d v="2025-06-10T00:00:00"/>
    <d v="2025-06-01T00:00:00"/>
    <s v="ter"/>
    <x v="1"/>
    <x v="1"/>
    <m/>
    <s v="166345818"/>
  </r>
  <r>
    <n v="1663"/>
    <n v="42"/>
    <s v="Masculino"/>
    <s v="Qualidade"/>
    <s v="Inspetor"/>
    <s v="3º Turno"/>
    <x v="0"/>
    <s v="Não"/>
    <x v="2"/>
    <d v="2025-06-18T00:00:00"/>
    <d v="2025-06-01T00:00:00"/>
    <s v="qua"/>
    <x v="1"/>
    <x v="1"/>
    <m/>
    <s v="166345826"/>
  </r>
  <r>
    <n v="1663"/>
    <n v="42"/>
    <s v="Masculino"/>
    <s v="Qualidade"/>
    <s v="Inspetor"/>
    <s v="3º Turno"/>
    <x v="0"/>
    <s v="Não"/>
    <x v="2"/>
    <d v="2025-07-20T00:00:00"/>
    <d v="2025-07-01T00:00:00"/>
    <s v="dom"/>
    <x v="6"/>
    <x v="1"/>
    <m/>
    <s v="166345858"/>
  </r>
  <r>
    <n v="1663"/>
    <n v="42"/>
    <s v="Masculino"/>
    <s v="Qualidade"/>
    <s v="Inspetor"/>
    <s v="3º Turno"/>
    <x v="0"/>
    <s v="Não"/>
    <x v="2"/>
    <d v="2025-07-25T00:00:00"/>
    <d v="2025-07-01T00:00:00"/>
    <s v="sex"/>
    <x v="6"/>
    <x v="1"/>
    <m/>
    <s v="166345863"/>
  </r>
  <r>
    <n v="1663"/>
    <n v="42"/>
    <s v="Masculino"/>
    <s v="Qualidade"/>
    <s v="Inspetor"/>
    <s v="3º Turno"/>
    <x v="0"/>
    <s v="Não"/>
    <x v="2"/>
    <d v="2026-06-19T00:00:00"/>
    <d v="2026-01-01T00:00:00"/>
    <s v="sex"/>
    <x v="1"/>
    <x v="0"/>
    <m/>
    <s v="166346192"/>
  </r>
  <r>
    <n v="1663"/>
    <n v="42"/>
    <s v="Masculino"/>
    <s v="Qualidade"/>
    <s v="Inspetor"/>
    <s v="3º Turno"/>
    <x v="0"/>
    <s v="Não"/>
    <x v="2"/>
    <d v="2026-02-07T00:00:00"/>
    <d v="2026-02-01T00:00:00"/>
    <s v="sáb"/>
    <x v="3"/>
    <x v="0"/>
    <m/>
    <s v="166346060"/>
  </r>
  <r>
    <n v="1664"/>
    <n v="34"/>
    <s v="Feminino"/>
    <s v="Montagem"/>
    <s v="Operador"/>
    <s v="1º Turno"/>
    <x v="5"/>
    <s v="Sim"/>
    <x v="2"/>
    <d v="2025-04-23T00:00:00"/>
    <d v="2025-04-01T00:00:00"/>
    <s v="qua"/>
    <x v="2"/>
    <x v="1"/>
    <d v="2025-05-24T00:00:00"/>
    <s v="166445770"/>
  </r>
  <r>
    <n v="1664"/>
    <n v="34"/>
    <s v="Feminino"/>
    <s v="Montagem"/>
    <s v="Operador"/>
    <s v="1º Turno"/>
    <x v="0"/>
    <s v="Sim"/>
    <x v="2"/>
    <d v="2025-05-09T00:00:00"/>
    <d v="2025-05-01T00:00:00"/>
    <s v="sex"/>
    <x v="0"/>
    <x v="1"/>
    <d v="2025-05-24T00:00:00"/>
    <s v="166445786"/>
  </r>
  <r>
    <n v="1664"/>
    <n v="34"/>
    <s v="Feminino"/>
    <s v="Montagem"/>
    <s v="Operador"/>
    <s v="1º Turno"/>
    <x v="0"/>
    <s v="Sim"/>
    <x v="2"/>
    <d v="2025-05-13T00:00:00"/>
    <d v="2025-05-01T00:00:00"/>
    <s v="ter"/>
    <x v="0"/>
    <x v="1"/>
    <d v="2025-05-24T00:00:00"/>
    <s v="166445790"/>
  </r>
  <r>
    <n v="1664"/>
    <n v="34"/>
    <s v="Feminino"/>
    <s v="Montagem"/>
    <s v="Operador"/>
    <s v="1º Turno"/>
    <x v="0"/>
    <s v="Sim"/>
    <x v="2"/>
    <d v="2025-05-14T00:00:00"/>
    <d v="2025-05-01T00:00:00"/>
    <s v="qua"/>
    <x v="0"/>
    <x v="1"/>
    <d v="2025-05-24T00:00:00"/>
    <s v="166445791"/>
  </r>
  <r>
    <n v="1664"/>
    <n v="34"/>
    <s v="Feminino"/>
    <s v="Montagem"/>
    <s v="Operador"/>
    <s v="1º Turno"/>
    <x v="0"/>
    <s v="Sim"/>
    <x v="2"/>
    <d v="2025-05-18T00:00:00"/>
    <d v="2025-05-01T00:00:00"/>
    <s v="dom"/>
    <x v="0"/>
    <x v="1"/>
    <d v="2025-05-24T00:00:00"/>
    <s v="166445795"/>
  </r>
  <r>
    <n v="1664"/>
    <n v="34"/>
    <s v="Feminino"/>
    <s v="Montagem"/>
    <s v="Operador"/>
    <s v="1º Turno"/>
    <x v="0"/>
    <s v="Sim"/>
    <x v="2"/>
    <d v="2025-05-19T00:00:00"/>
    <d v="2025-05-01T00:00:00"/>
    <s v="seg"/>
    <x v="0"/>
    <x v="1"/>
    <d v="2025-05-24T00:00:00"/>
    <s v="166445796"/>
  </r>
  <r>
    <n v="1665"/>
    <n v="36"/>
    <s v="Masculino"/>
    <s v="Montagem"/>
    <s v="Operador"/>
    <s v="1º Turno"/>
    <x v="0"/>
    <s v="Não"/>
    <x v="0"/>
    <d v="2025-08-23T00:00:00"/>
    <d v="2025-08-01T00:00:00"/>
    <s v="sáb"/>
    <x v="9"/>
    <x v="1"/>
    <m/>
    <s v="166545892"/>
  </r>
  <r>
    <n v="1665"/>
    <n v="36"/>
    <s v="Masculino"/>
    <s v="Montagem"/>
    <s v="Operador"/>
    <s v="1º Turno"/>
    <x v="0"/>
    <s v="Não"/>
    <x v="0"/>
    <d v="2025-08-29T00:00:00"/>
    <d v="2025-08-01T00:00:00"/>
    <s v="sex"/>
    <x v="9"/>
    <x v="1"/>
    <m/>
    <s v="166545898"/>
  </r>
  <r>
    <n v="1665"/>
    <n v="36"/>
    <s v="Masculino"/>
    <s v="Montagem"/>
    <s v="Operador"/>
    <s v="1º Turno"/>
    <x v="0"/>
    <s v="Não"/>
    <x v="0"/>
    <d v="2025-09-01T00:00:00"/>
    <d v="2025-09-01T00:00:00"/>
    <s v="seg"/>
    <x v="7"/>
    <x v="1"/>
    <m/>
    <s v="166545901"/>
  </r>
  <r>
    <n v="1665"/>
    <n v="36"/>
    <s v="Masculino"/>
    <s v="Montagem"/>
    <s v="Operador"/>
    <s v="1º Turno"/>
    <x v="0"/>
    <s v="Não"/>
    <x v="0"/>
    <d v="2025-11-06T00:00:00"/>
    <d v="2025-11-01T00:00:00"/>
    <s v="qui"/>
    <x v="10"/>
    <x v="1"/>
    <m/>
    <s v="166545967"/>
  </r>
  <r>
    <n v="1667"/>
    <n v="37"/>
    <s v="Masculino"/>
    <s v="Qualidade"/>
    <s v="Inspetor"/>
    <s v="2º Turno"/>
    <x v="0"/>
    <s v="Sim"/>
    <x v="0"/>
    <d v="2025-05-14T00:00:00"/>
    <d v="2025-05-01T00:00:00"/>
    <s v="qua"/>
    <x v="0"/>
    <x v="1"/>
    <d v="2025-09-21T00:00:00"/>
    <s v="166745791"/>
  </r>
  <r>
    <n v="1667"/>
    <n v="37"/>
    <s v="Masculino"/>
    <s v="Qualidade"/>
    <s v="Inspetor"/>
    <s v="2º Turno"/>
    <x v="0"/>
    <s v="Sim"/>
    <x v="0"/>
    <d v="2025-05-16T00:00:00"/>
    <d v="2025-05-01T00:00:00"/>
    <s v="sex"/>
    <x v="0"/>
    <x v="1"/>
    <d v="2025-09-21T00:00:00"/>
    <s v="166745793"/>
  </r>
  <r>
    <n v="1667"/>
    <n v="37"/>
    <s v="Masculino"/>
    <s v="Qualidade"/>
    <s v="Inspetor"/>
    <s v="2º Turno"/>
    <x v="0"/>
    <s v="Sim"/>
    <x v="0"/>
    <d v="2025-07-17T00:00:00"/>
    <d v="2025-07-01T00:00:00"/>
    <s v="qui"/>
    <x v="6"/>
    <x v="1"/>
    <d v="2025-09-21T00:00:00"/>
    <s v="166745855"/>
  </r>
  <r>
    <n v="1667"/>
    <n v="37"/>
    <s v="Masculino"/>
    <s v="Qualidade"/>
    <s v="Inspetor"/>
    <s v="2º Turno"/>
    <x v="0"/>
    <s v="Sim"/>
    <x v="0"/>
    <d v="2025-08-01T00:00:00"/>
    <d v="2025-08-01T00:00:00"/>
    <s v="sex"/>
    <x v="9"/>
    <x v="1"/>
    <d v="2025-09-21T00:00:00"/>
    <s v="166745870"/>
  </r>
  <r>
    <n v="1667"/>
    <n v="37"/>
    <s v="Masculino"/>
    <s v="Qualidade"/>
    <s v="Inspetor"/>
    <s v="2º Turno"/>
    <x v="0"/>
    <s v="Sim"/>
    <x v="0"/>
    <d v="2025-08-06T00:00:00"/>
    <d v="2025-08-01T00:00:00"/>
    <s v="qua"/>
    <x v="9"/>
    <x v="1"/>
    <d v="2025-09-21T00:00:00"/>
    <s v="166745875"/>
  </r>
  <r>
    <n v="1668"/>
    <n v="54"/>
    <s v="Feminino"/>
    <s v="Qualidade"/>
    <s v="Inspetor"/>
    <s v="3º Turno"/>
    <x v="0"/>
    <s v="Não"/>
    <x v="0"/>
    <d v="2025-07-05T00:00:00"/>
    <d v="2025-07-01T00:00:00"/>
    <s v="sáb"/>
    <x v="6"/>
    <x v="1"/>
    <m/>
    <s v="166845843"/>
  </r>
  <r>
    <n v="1668"/>
    <n v="54"/>
    <s v="Feminino"/>
    <s v="Qualidade"/>
    <s v="Inspetor"/>
    <s v="3º Turno"/>
    <x v="0"/>
    <s v="Não"/>
    <x v="0"/>
    <d v="2025-07-24T00:00:00"/>
    <d v="2025-07-01T00:00:00"/>
    <s v="qui"/>
    <x v="6"/>
    <x v="1"/>
    <m/>
    <s v="166845862"/>
  </r>
  <r>
    <n v="1668"/>
    <n v="54"/>
    <s v="Feminino"/>
    <s v="Qualidade"/>
    <s v="Inspetor"/>
    <s v="3º Turno"/>
    <x v="0"/>
    <s v="Não"/>
    <x v="0"/>
    <d v="2025-10-17T00:00:00"/>
    <d v="2025-10-01T00:00:00"/>
    <s v="sex"/>
    <x v="11"/>
    <x v="1"/>
    <m/>
    <s v="166845947"/>
  </r>
  <r>
    <n v="1668"/>
    <n v="54"/>
    <s v="Feminino"/>
    <s v="Qualidade"/>
    <s v="Inspetor"/>
    <s v="3º Turno"/>
    <x v="0"/>
    <s v="Não"/>
    <x v="0"/>
    <d v="2026-02-15T00:00:00"/>
    <d v="2026-02-01T00:00:00"/>
    <s v="dom"/>
    <x v="3"/>
    <x v="0"/>
    <m/>
    <s v="166846068"/>
  </r>
  <r>
    <n v="1668"/>
    <n v="54"/>
    <s v="Feminino"/>
    <s v="Qualidade"/>
    <s v="Inspetor"/>
    <s v="3º Turno"/>
    <x v="0"/>
    <s v="Não"/>
    <x v="0"/>
    <d v="2026-02-20T00:00:00"/>
    <d v="2026-02-01T00:00:00"/>
    <s v="sex"/>
    <x v="3"/>
    <x v="0"/>
    <m/>
    <s v="166846073"/>
  </r>
  <r>
    <n v="1669"/>
    <n v="49"/>
    <s v="Feminino"/>
    <s v="Soldagem"/>
    <s v="Operador"/>
    <s v="2º Turno"/>
    <x v="0"/>
    <s v="Sim"/>
    <x v="1"/>
    <d v="2025-05-10T00:00:00"/>
    <d v="2025-05-01T00:00:00"/>
    <s v="sáb"/>
    <x v="0"/>
    <x v="1"/>
    <d v="2026-04-29T00:00:00"/>
    <s v="166945787"/>
  </r>
  <r>
    <n v="1669"/>
    <n v="49"/>
    <s v="Feminino"/>
    <s v="Soldagem"/>
    <s v="Operador"/>
    <s v="2º Turno"/>
    <x v="0"/>
    <s v="Sim"/>
    <x v="1"/>
    <d v="2025-06-18T00:00:00"/>
    <d v="2025-06-01T00:00:00"/>
    <s v="qua"/>
    <x v="1"/>
    <x v="1"/>
    <d v="2026-04-29T00:00:00"/>
    <s v="166945826"/>
  </r>
  <r>
    <n v="1669"/>
    <n v="49"/>
    <s v="Feminino"/>
    <s v="Soldagem"/>
    <s v="Operador"/>
    <s v="2º Turno"/>
    <x v="0"/>
    <s v="Sim"/>
    <x v="1"/>
    <d v="2025-08-24T00:00:00"/>
    <d v="2025-08-01T00:00:00"/>
    <s v="dom"/>
    <x v="9"/>
    <x v="1"/>
    <d v="2026-04-29T00:00:00"/>
    <s v="166945893"/>
  </r>
  <r>
    <n v="1669"/>
    <n v="49"/>
    <s v="Feminino"/>
    <s v="Soldagem"/>
    <s v="Operador"/>
    <s v="2º Turno"/>
    <x v="0"/>
    <s v="Sim"/>
    <x v="1"/>
    <d v="2025-10-29T00:00:00"/>
    <d v="2025-10-01T00:00:00"/>
    <s v="qua"/>
    <x v="11"/>
    <x v="1"/>
    <d v="2026-04-29T00:00:00"/>
    <s v="166945959"/>
  </r>
  <r>
    <n v="1669"/>
    <n v="49"/>
    <s v="Feminino"/>
    <s v="Soldagem"/>
    <s v="Operador"/>
    <s v="2º Turno"/>
    <x v="0"/>
    <s v="Sim"/>
    <x v="1"/>
    <d v="2026-03-12T00:00:00"/>
    <d v="2026-03-01T00:00:00"/>
    <s v="qui"/>
    <x v="4"/>
    <x v="0"/>
    <d v="2026-04-29T00:00:00"/>
    <s v="166946093"/>
  </r>
  <r>
    <n v="1669"/>
    <n v="49"/>
    <s v="Feminino"/>
    <s v="Soldagem"/>
    <s v="Operador"/>
    <s v="2º Turno"/>
    <x v="0"/>
    <s v="Sim"/>
    <x v="1"/>
    <d v="2026-03-22T00:00:00"/>
    <d v="2026-03-01T00:00:00"/>
    <s v="dom"/>
    <x v="4"/>
    <x v="0"/>
    <d v="2026-04-29T00:00:00"/>
    <s v="166946103"/>
  </r>
  <r>
    <n v="1670"/>
    <n v="43"/>
    <s v="Feminino"/>
    <s v="Soldagem"/>
    <s v="Operador"/>
    <s v="2º Turno"/>
    <x v="0"/>
    <s v="Sim"/>
    <x v="2"/>
    <d v="2025-05-13T00:00:00"/>
    <d v="2025-05-01T00:00:00"/>
    <s v="ter"/>
    <x v="0"/>
    <x v="1"/>
    <d v="2025-09-24T00:00:00"/>
    <s v="167045790"/>
  </r>
  <r>
    <n v="1670"/>
    <n v="43"/>
    <s v="Feminino"/>
    <s v="Soldagem"/>
    <s v="Operador"/>
    <s v="2º Turno"/>
    <x v="0"/>
    <s v="Sim"/>
    <x v="2"/>
    <d v="2025-07-10T00:00:00"/>
    <d v="2025-07-01T00:00:00"/>
    <s v="qui"/>
    <x v="6"/>
    <x v="1"/>
    <d v="2025-09-24T00:00:00"/>
    <s v="167045848"/>
  </r>
  <r>
    <n v="1670"/>
    <n v="43"/>
    <s v="Feminino"/>
    <s v="Soldagem"/>
    <s v="Operador"/>
    <s v="2º Turno"/>
    <x v="0"/>
    <s v="Sim"/>
    <x v="2"/>
    <d v="2025-07-31T00:00:00"/>
    <d v="2025-07-01T00:00:00"/>
    <s v="qui"/>
    <x v="6"/>
    <x v="1"/>
    <d v="2025-09-24T00:00:00"/>
    <s v="167045869"/>
  </r>
  <r>
    <n v="1670"/>
    <n v="43"/>
    <s v="Feminino"/>
    <s v="Soldagem"/>
    <s v="Operador"/>
    <s v="2º Turno"/>
    <x v="0"/>
    <s v="Sim"/>
    <x v="2"/>
    <d v="2025-08-02T00:00:00"/>
    <d v="2025-08-01T00:00:00"/>
    <s v="sáb"/>
    <x v="9"/>
    <x v="1"/>
    <d v="2025-09-24T00:00:00"/>
    <s v="167045871"/>
  </r>
  <r>
    <n v="1670"/>
    <n v="43"/>
    <s v="Feminino"/>
    <s v="Soldagem"/>
    <s v="Operador"/>
    <s v="2º Turno"/>
    <x v="0"/>
    <s v="Sim"/>
    <x v="2"/>
    <d v="2025-08-06T00:00:00"/>
    <d v="2025-08-01T00:00:00"/>
    <s v="qua"/>
    <x v="9"/>
    <x v="1"/>
    <d v="2025-09-24T00:00:00"/>
    <s v="167045875"/>
  </r>
  <r>
    <n v="1670"/>
    <n v="43"/>
    <s v="Feminino"/>
    <s v="Soldagem"/>
    <s v="Operador"/>
    <s v="2º Turno"/>
    <x v="0"/>
    <s v="Sim"/>
    <x v="2"/>
    <d v="2025-08-10T00:00:00"/>
    <d v="2025-08-01T00:00:00"/>
    <s v="dom"/>
    <x v="9"/>
    <x v="1"/>
    <d v="2025-09-24T00:00:00"/>
    <s v="167045879"/>
  </r>
  <r>
    <n v="1672"/>
    <n v="49"/>
    <s v="Feminino"/>
    <s v="Montagem"/>
    <s v="Operador"/>
    <s v="3º Turno"/>
    <x v="0"/>
    <s v="Sim"/>
    <x v="1"/>
    <d v="2025-05-28T00:00:00"/>
    <d v="2025-05-01T00:00:00"/>
    <s v="qua"/>
    <x v="0"/>
    <x v="1"/>
    <d v="2025-12-13T00:00:00"/>
    <s v="167245805"/>
  </r>
  <r>
    <n v="1672"/>
    <n v="49"/>
    <s v="Feminino"/>
    <s v="Montagem"/>
    <s v="Operador"/>
    <s v="3º Turno"/>
    <x v="0"/>
    <s v="Sim"/>
    <x v="1"/>
    <d v="2025-05-31T00:00:00"/>
    <d v="2025-05-01T00:00:00"/>
    <s v="sáb"/>
    <x v="0"/>
    <x v="1"/>
    <d v="2025-12-13T00:00:00"/>
    <s v="167245808"/>
  </r>
  <r>
    <n v="1672"/>
    <n v="49"/>
    <s v="Feminino"/>
    <s v="Montagem"/>
    <s v="Operador"/>
    <s v="3º Turno"/>
    <x v="0"/>
    <s v="Sim"/>
    <x v="1"/>
    <d v="2025-10-04T00:00:00"/>
    <d v="2025-10-01T00:00:00"/>
    <s v="sáb"/>
    <x v="11"/>
    <x v="1"/>
    <d v="2025-12-13T00:00:00"/>
    <s v="167245934"/>
  </r>
  <r>
    <n v="1672"/>
    <n v="49"/>
    <s v="Feminino"/>
    <s v="Montagem"/>
    <s v="Operador"/>
    <s v="3º Turno"/>
    <x v="0"/>
    <s v="Sim"/>
    <x v="1"/>
    <d v="2025-10-09T00:00:00"/>
    <d v="2025-10-01T00:00:00"/>
    <s v="qui"/>
    <x v="11"/>
    <x v="1"/>
    <d v="2025-12-13T00:00:00"/>
    <s v="167245939"/>
  </r>
  <r>
    <n v="1672"/>
    <n v="49"/>
    <s v="Feminino"/>
    <s v="Montagem"/>
    <s v="Operador"/>
    <s v="3º Turno"/>
    <x v="0"/>
    <s v="Sim"/>
    <x v="1"/>
    <d v="2025-11-08T00:00:00"/>
    <d v="2025-11-01T00:00:00"/>
    <s v="sáb"/>
    <x v="10"/>
    <x v="1"/>
    <d v="2025-12-13T00:00:00"/>
    <s v="167245969"/>
  </r>
  <r>
    <n v="1676"/>
    <n v="38"/>
    <s v="Feminino"/>
    <s v="Qualidade"/>
    <s v="Analista"/>
    <s v="3º Turno"/>
    <x v="0"/>
    <s v="Não"/>
    <x v="2"/>
    <d v="2025-06-08T00:00:00"/>
    <d v="2025-06-01T00:00:00"/>
    <s v="dom"/>
    <x v="1"/>
    <x v="1"/>
    <m/>
    <s v="167645816"/>
  </r>
  <r>
    <n v="1676"/>
    <n v="38"/>
    <s v="Feminino"/>
    <s v="Qualidade"/>
    <s v="Analista"/>
    <s v="3º Turno"/>
    <x v="0"/>
    <s v="Não"/>
    <x v="2"/>
    <d v="2025-09-04T00:00:00"/>
    <d v="2025-09-01T00:00:00"/>
    <s v="qui"/>
    <x v="7"/>
    <x v="1"/>
    <m/>
    <s v="167645904"/>
  </r>
  <r>
    <n v="1676"/>
    <n v="38"/>
    <s v="Feminino"/>
    <s v="Qualidade"/>
    <s v="Analista"/>
    <s v="3º Turno"/>
    <x v="0"/>
    <s v="Não"/>
    <x v="2"/>
    <d v="2025-11-06T00:00:00"/>
    <d v="2025-11-01T00:00:00"/>
    <s v="qui"/>
    <x v="10"/>
    <x v="1"/>
    <m/>
    <s v="167645967"/>
  </r>
  <r>
    <n v="1676"/>
    <n v="38"/>
    <s v="Feminino"/>
    <s v="Qualidade"/>
    <s v="Analista"/>
    <s v="3º Turno"/>
    <x v="0"/>
    <s v="Não"/>
    <x v="2"/>
    <d v="2025-12-07T00:00:00"/>
    <d v="2025-12-01T00:00:00"/>
    <s v="dom"/>
    <x v="8"/>
    <x v="1"/>
    <m/>
    <s v="167645998"/>
  </r>
  <r>
    <n v="1676"/>
    <n v="38"/>
    <s v="Feminino"/>
    <s v="Qualidade"/>
    <s v="Analista"/>
    <s v="3º Turno"/>
    <x v="0"/>
    <s v="Não"/>
    <x v="2"/>
    <d v="2026-06-28T00:00:00"/>
    <d v="2026-01-01T00:00:00"/>
    <s v="dom"/>
    <x v="1"/>
    <x v="0"/>
    <m/>
    <s v="167646201"/>
  </r>
  <r>
    <n v="1676"/>
    <n v="38"/>
    <s v="Feminino"/>
    <s v="Qualidade"/>
    <s v="Analista"/>
    <s v="3º Turno"/>
    <x v="0"/>
    <s v="Não"/>
    <x v="2"/>
    <d v="2026-02-21T00:00:00"/>
    <d v="2026-02-01T00:00:00"/>
    <s v="sáb"/>
    <x v="3"/>
    <x v="0"/>
    <m/>
    <s v="167646074"/>
  </r>
  <r>
    <n v="1677"/>
    <n v="27"/>
    <s v="Masculino"/>
    <s v="Qualidade"/>
    <s v="Analista"/>
    <s v="3º Turno"/>
    <x v="0"/>
    <s v="Sim"/>
    <x v="2"/>
    <d v="2025-04-16T00:00:00"/>
    <d v="2025-04-01T00:00:00"/>
    <s v="qua"/>
    <x v="2"/>
    <x v="1"/>
    <d v="2025-08-08T00:00:00"/>
    <s v="167745763"/>
  </r>
  <r>
    <n v="1677"/>
    <n v="27"/>
    <s v="Masculino"/>
    <s v="Qualidade"/>
    <s v="Analista"/>
    <s v="3º Turno"/>
    <x v="0"/>
    <s v="Sim"/>
    <x v="2"/>
    <d v="2025-04-18T00:00:00"/>
    <d v="2025-04-01T00:00:00"/>
    <s v="sex"/>
    <x v="2"/>
    <x v="1"/>
    <d v="2025-08-08T00:00:00"/>
    <s v="167745765"/>
  </r>
  <r>
    <n v="1677"/>
    <n v="27"/>
    <s v="Masculino"/>
    <s v="Qualidade"/>
    <s v="Analista"/>
    <s v="3º Turno"/>
    <x v="0"/>
    <s v="Sim"/>
    <x v="2"/>
    <d v="2025-07-04T00:00:00"/>
    <d v="2025-07-01T00:00:00"/>
    <s v="sex"/>
    <x v="6"/>
    <x v="1"/>
    <d v="2025-08-08T00:00:00"/>
    <s v="167745842"/>
  </r>
  <r>
    <n v="1677"/>
    <n v="27"/>
    <s v="Masculino"/>
    <s v="Qualidade"/>
    <s v="Analista"/>
    <s v="3º Turno"/>
    <x v="0"/>
    <s v="Sim"/>
    <x v="2"/>
    <d v="2025-07-14T00:00:00"/>
    <d v="2025-07-01T00:00:00"/>
    <s v="seg"/>
    <x v="6"/>
    <x v="1"/>
    <d v="2025-08-08T00:00:00"/>
    <s v="167745852"/>
  </r>
  <r>
    <n v="1677"/>
    <n v="27"/>
    <s v="Masculino"/>
    <s v="Qualidade"/>
    <s v="Analista"/>
    <s v="3º Turno"/>
    <x v="0"/>
    <s v="Sim"/>
    <x v="2"/>
    <d v="2025-07-26T00:00:00"/>
    <d v="2025-07-01T00:00:00"/>
    <s v="sáb"/>
    <x v="6"/>
    <x v="1"/>
    <d v="2025-08-08T00:00:00"/>
    <s v="167745864"/>
  </r>
  <r>
    <n v="1677"/>
    <n v="27"/>
    <s v="Masculino"/>
    <s v="Qualidade"/>
    <s v="Analista"/>
    <s v="3º Turno"/>
    <x v="0"/>
    <s v="Sim"/>
    <x v="2"/>
    <d v="2025-07-31T00:00:00"/>
    <d v="2025-07-01T00:00:00"/>
    <s v="qui"/>
    <x v="6"/>
    <x v="1"/>
    <d v="2025-08-08T00:00:00"/>
    <s v="167745869"/>
  </r>
  <r>
    <n v="1679"/>
    <n v="52"/>
    <s v="Masculino"/>
    <s v="Qualidade"/>
    <s v="Inspetor"/>
    <s v="3º Turno"/>
    <x v="0"/>
    <s v="Sim"/>
    <x v="2"/>
    <d v="2025-06-15T00:00:00"/>
    <d v="2025-06-01T00:00:00"/>
    <s v="dom"/>
    <x v="1"/>
    <x v="1"/>
    <d v="2026-03-09T00:00:00"/>
    <s v="167945823"/>
  </r>
  <r>
    <n v="1679"/>
    <n v="52"/>
    <s v="Masculino"/>
    <s v="Qualidade"/>
    <s v="Inspetor"/>
    <s v="3º Turno"/>
    <x v="0"/>
    <s v="Sim"/>
    <x v="2"/>
    <d v="2025-06-29T00:00:00"/>
    <d v="2025-06-01T00:00:00"/>
    <s v="dom"/>
    <x v="1"/>
    <x v="1"/>
    <d v="2026-03-09T00:00:00"/>
    <s v="167945837"/>
  </r>
  <r>
    <n v="1679"/>
    <n v="52"/>
    <s v="Masculino"/>
    <s v="Qualidade"/>
    <s v="Inspetor"/>
    <s v="3º Turno"/>
    <x v="0"/>
    <s v="Sim"/>
    <x v="2"/>
    <d v="2025-10-06T00:00:00"/>
    <d v="2025-10-01T00:00:00"/>
    <s v="seg"/>
    <x v="11"/>
    <x v="1"/>
    <d v="2026-03-09T00:00:00"/>
    <s v="167945936"/>
  </r>
  <r>
    <n v="1679"/>
    <n v="52"/>
    <s v="Masculino"/>
    <s v="Qualidade"/>
    <s v="Inspetor"/>
    <s v="3º Turno"/>
    <x v="0"/>
    <s v="Sim"/>
    <x v="2"/>
    <d v="2025-11-18T00:00:00"/>
    <d v="2025-11-01T00:00:00"/>
    <s v="ter"/>
    <x v="10"/>
    <x v="1"/>
    <d v="2026-03-09T00:00:00"/>
    <s v="167945979"/>
  </r>
  <r>
    <n v="1679"/>
    <n v="52"/>
    <s v="Masculino"/>
    <s v="Qualidade"/>
    <s v="Inspetor"/>
    <s v="3º Turno"/>
    <x v="0"/>
    <s v="Sim"/>
    <x v="2"/>
    <d v="2025-11-28T00:00:00"/>
    <d v="2025-11-01T00:00:00"/>
    <s v="sex"/>
    <x v="10"/>
    <x v="1"/>
    <d v="2026-03-09T00:00:00"/>
    <s v="167945989"/>
  </r>
  <r>
    <n v="1680"/>
    <n v="24"/>
    <s v="Feminino"/>
    <s v="Soldagem"/>
    <s v="Operador"/>
    <s v="3º Turno"/>
    <x v="0"/>
    <s v="Não"/>
    <x v="2"/>
    <d v="2025-07-20T00:00:00"/>
    <d v="2025-07-01T00:00:00"/>
    <s v="dom"/>
    <x v="6"/>
    <x v="1"/>
    <m/>
    <s v="168045858"/>
  </r>
  <r>
    <n v="1680"/>
    <n v="24"/>
    <s v="Feminino"/>
    <s v="Soldagem"/>
    <s v="Operador"/>
    <s v="3º Turno"/>
    <x v="0"/>
    <s v="Não"/>
    <x v="2"/>
    <d v="2025-10-31T00:00:00"/>
    <d v="2025-10-01T00:00:00"/>
    <s v="sex"/>
    <x v="11"/>
    <x v="1"/>
    <m/>
    <s v="168045961"/>
  </r>
  <r>
    <n v="1680"/>
    <n v="24"/>
    <s v="Feminino"/>
    <s v="Soldagem"/>
    <s v="Operador"/>
    <s v="3º Turno"/>
    <x v="0"/>
    <s v="Não"/>
    <x v="2"/>
    <d v="2025-11-16T00:00:00"/>
    <d v="2025-11-01T00:00:00"/>
    <s v="dom"/>
    <x v="10"/>
    <x v="1"/>
    <m/>
    <s v="168045977"/>
  </r>
  <r>
    <n v="1680"/>
    <n v="24"/>
    <s v="Feminino"/>
    <s v="Soldagem"/>
    <s v="Operador"/>
    <s v="3º Turno"/>
    <x v="0"/>
    <s v="Não"/>
    <x v="2"/>
    <d v="2026-06-05T00:00:00"/>
    <d v="2026-01-01T00:00:00"/>
    <s v="sex"/>
    <x v="1"/>
    <x v="0"/>
    <m/>
    <s v="168046178"/>
  </r>
  <r>
    <n v="1681"/>
    <n v="33"/>
    <s v="Masculino"/>
    <s v="Soldagem"/>
    <s v="Operador"/>
    <s v="1º Turno"/>
    <x v="5"/>
    <s v="Sim"/>
    <x v="0"/>
    <d v="2025-04-12T00:00:00"/>
    <d v="2025-04-01T00:00:00"/>
    <s v="sáb"/>
    <x v="2"/>
    <x v="1"/>
    <d v="2025-11-17T00:00:00"/>
    <s v="168145759"/>
  </r>
  <r>
    <n v="1681"/>
    <n v="33"/>
    <s v="Masculino"/>
    <s v="Soldagem"/>
    <s v="Operador"/>
    <s v="1º Turno"/>
    <x v="0"/>
    <s v="Sim"/>
    <x v="0"/>
    <d v="2025-09-13T00:00:00"/>
    <d v="2025-09-01T00:00:00"/>
    <s v="sáb"/>
    <x v="7"/>
    <x v="1"/>
    <d v="2025-11-17T00:00:00"/>
    <s v="168145913"/>
  </r>
  <r>
    <n v="1681"/>
    <n v="33"/>
    <s v="Masculino"/>
    <s v="Soldagem"/>
    <s v="Operador"/>
    <s v="1º Turno"/>
    <x v="0"/>
    <s v="Sim"/>
    <x v="0"/>
    <d v="2025-09-21T00:00:00"/>
    <d v="2025-09-01T00:00:00"/>
    <s v="dom"/>
    <x v="7"/>
    <x v="1"/>
    <d v="2025-11-17T00:00:00"/>
    <s v="168145921"/>
  </r>
  <r>
    <n v="1681"/>
    <n v="33"/>
    <s v="Masculino"/>
    <s v="Soldagem"/>
    <s v="Operador"/>
    <s v="1º Turno"/>
    <x v="0"/>
    <s v="Sim"/>
    <x v="0"/>
    <d v="2025-10-09T00:00:00"/>
    <d v="2025-10-01T00:00:00"/>
    <s v="qui"/>
    <x v="11"/>
    <x v="1"/>
    <d v="2025-11-17T00:00:00"/>
    <s v="168145939"/>
  </r>
  <r>
    <n v="1681"/>
    <n v="33"/>
    <s v="Masculino"/>
    <s v="Soldagem"/>
    <s v="Operador"/>
    <s v="1º Turno"/>
    <x v="0"/>
    <s v="Sim"/>
    <x v="0"/>
    <d v="2025-10-10T00:00:00"/>
    <d v="2025-10-01T00:00:00"/>
    <s v="sex"/>
    <x v="11"/>
    <x v="1"/>
    <d v="2025-11-17T00:00:00"/>
    <s v="168145940"/>
  </r>
  <r>
    <n v="1681"/>
    <n v="33"/>
    <s v="Masculino"/>
    <s v="Soldagem"/>
    <s v="Operador"/>
    <s v="1º Turno"/>
    <x v="0"/>
    <s v="Sim"/>
    <x v="0"/>
    <d v="2025-10-11T00:00:00"/>
    <d v="2025-10-01T00:00:00"/>
    <s v="sáb"/>
    <x v="11"/>
    <x v="1"/>
    <d v="2025-11-17T00:00:00"/>
    <s v="168145941"/>
  </r>
  <r>
    <n v="1688"/>
    <n v="39"/>
    <s v="Feminino"/>
    <s v="Soldagem"/>
    <s v="Operador"/>
    <s v="1º Turno"/>
    <x v="0"/>
    <s v="Sim"/>
    <x v="1"/>
    <d v="2025-11-07T00:00:00"/>
    <d v="2025-11-01T00:00:00"/>
    <s v="sex"/>
    <x v="10"/>
    <x v="1"/>
    <d v="2026-03-30T00:00:00"/>
    <s v="168845968"/>
  </r>
  <r>
    <n v="1688"/>
    <n v="39"/>
    <s v="Feminino"/>
    <s v="Soldagem"/>
    <s v="Operador"/>
    <s v="1º Turno"/>
    <x v="0"/>
    <s v="Sim"/>
    <x v="1"/>
    <d v="2026-06-26T00:00:00"/>
    <d v="2026-01-01T00:00:00"/>
    <s v="sex"/>
    <x v="1"/>
    <x v="0"/>
    <d v="2026-03-30T00:00:00"/>
    <s v="168846199"/>
  </r>
  <r>
    <n v="1688"/>
    <n v="39"/>
    <s v="Feminino"/>
    <s v="Soldagem"/>
    <s v="Operador"/>
    <s v="1º Turno"/>
    <x v="0"/>
    <s v="Sim"/>
    <x v="1"/>
    <d v="2026-02-06T00:00:00"/>
    <d v="2026-02-01T00:00:00"/>
    <s v="sex"/>
    <x v="3"/>
    <x v="0"/>
    <d v="2026-03-30T00:00:00"/>
    <s v="168846059"/>
  </r>
  <r>
    <n v="1688"/>
    <n v="39"/>
    <s v="Feminino"/>
    <s v="Soldagem"/>
    <s v="Operador"/>
    <s v="1º Turno"/>
    <x v="0"/>
    <s v="Sim"/>
    <x v="1"/>
    <d v="2026-02-24T00:00:00"/>
    <d v="2026-02-01T00:00:00"/>
    <s v="ter"/>
    <x v="3"/>
    <x v="0"/>
    <d v="2026-03-30T00:00:00"/>
    <s v="168846077"/>
  </r>
  <r>
    <n v="1688"/>
    <n v="39"/>
    <s v="Feminino"/>
    <s v="Soldagem"/>
    <s v="Operador"/>
    <s v="1º Turno"/>
    <x v="0"/>
    <s v="Sim"/>
    <x v="1"/>
    <d v="2026-03-15T00:00:00"/>
    <d v="2026-03-01T00:00:00"/>
    <s v="dom"/>
    <x v="4"/>
    <x v="0"/>
    <d v="2026-03-30T00:00:00"/>
    <s v="168846096"/>
  </r>
  <r>
    <n v="1688"/>
    <n v="39"/>
    <s v="Feminino"/>
    <s v="Soldagem"/>
    <s v="Operador"/>
    <s v="1º Turno"/>
    <x v="0"/>
    <s v="Sim"/>
    <x v="1"/>
    <d v="2026-03-25T00:00:00"/>
    <d v="2026-03-01T00:00:00"/>
    <s v="qua"/>
    <x v="4"/>
    <x v="0"/>
    <d v="2026-03-30T00:00:00"/>
    <s v="168846106"/>
  </r>
  <r>
    <n v="1689"/>
    <n v="52"/>
    <s v="Feminino"/>
    <s v="Soldagem"/>
    <s v="Operador"/>
    <s v="3º Turno"/>
    <x v="0"/>
    <s v="Sim"/>
    <x v="1"/>
    <d v="2025-06-10T00:00:00"/>
    <d v="2025-06-01T00:00:00"/>
    <s v="ter"/>
    <x v="1"/>
    <x v="1"/>
    <d v="2026-01-16T00:00:00"/>
    <s v="168945818"/>
  </r>
  <r>
    <n v="1689"/>
    <n v="52"/>
    <s v="Feminino"/>
    <s v="Soldagem"/>
    <s v="Operador"/>
    <s v="3º Turno"/>
    <x v="0"/>
    <s v="Sim"/>
    <x v="1"/>
    <d v="2025-09-19T00:00:00"/>
    <d v="2025-09-01T00:00:00"/>
    <s v="sex"/>
    <x v="7"/>
    <x v="1"/>
    <d v="2026-01-16T00:00:00"/>
    <s v="168945919"/>
  </r>
  <r>
    <n v="1689"/>
    <n v="52"/>
    <s v="Feminino"/>
    <s v="Soldagem"/>
    <s v="Operador"/>
    <s v="3º Turno"/>
    <x v="0"/>
    <s v="Sim"/>
    <x v="1"/>
    <d v="2025-10-13T00:00:00"/>
    <d v="2025-10-01T00:00:00"/>
    <s v="seg"/>
    <x v="11"/>
    <x v="1"/>
    <d v="2026-01-16T00:00:00"/>
    <s v="168945943"/>
  </r>
  <r>
    <n v="1689"/>
    <n v="52"/>
    <s v="Feminino"/>
    <s v="Soldagem"/>
    <s v="Operador"/>
    <s v="3º Turno"/>
    <x v="0"/>
    <s v="Sim"/>
    <x v="1"/>
    <d v="2025-10-14T00:00:00"/>
    <d v="2025-10-01T00:00:00"/>
    <s v="ter"/>
    <x v="11"/>
    <x v="1"/>
    <d v="2026-01-16T00:00:00"/>
    <s v="168945944"/>
  </r>
  <r>
    <n v="1689"/>
    <n v="52"/>
    <s v="Feminino"/>
    <s v="Soldagem"/>
    <s v="Operador"/>
    <s v="3º Turno"/>
    <x v="0"/>
    <s v="Sim"/>
    <x v="1"/>
    <d v="2025-10-15T00:00:00"/>
    <d v="2025-10-01T00:00:00"/>
    <s v="qua"/>
    <x v="11"/>
    <x v="1"/>
    <d v="2026-01-16T00:00:00"/>
    <s v="168945945"/>
  </r>
  <r>
    <n v="1689"/>
    <n v="52"/>
    <s v="Feminino"/>
    <s v="Soldagem"/>
    <s v="Operador"/>
    <s v="3º Turno"/>
    <x v="0"/>
    <s v="Sim"/>
    <x v="1"/>
    <d v="2026-06-05T00:00:00"/>
    <d v="2026-01-01T00:00:00"/>
    <s v="sex"/>
    <x v="1"/>
    <x v="0"/>
    <d v="2026-01-16T00:00:00"/>
    <s v="168946178"/>
  </r>
  <r>
    <n v="1691"/>
    <n v="49"/>
    <s v="Feminino"/>
    <s v="Montagem"/>
    <s v="Operador"/>
    <s v="3º Turno"/>
    <x v="0"/>
    <s v="Não"/>
    <x v="1"/>
    <d v="2025-08-07T00:00:00"/>
    <d v="2025-08-01T00:00:00"/>
    <s v="qui"/>
    <x v="9"/>
    <x v="1"/>
    <m/>
    <s v="169145876"/>
  </r>
  <r>
    <n v="1691"/>
    <n v="49"/>
    <s v="Feminino"/>
    <s v="Montagem"/>
    <s v="Operador"/>
    <s v="3º Turno"/>
    <x v="0"/>
    <s v="Não"/>
    <x v="1"/>
    <d v="2025-09-04T00:00:00"/>
    <d v="2025-09-01T00:00:00"/>
    <s v="qui"/>
    <x v="7"/>
    <x v="1"/>
    <m/>
    <s v="169145904"/>
  </r>
  <r>
    <n v="1691"/>
    <n v="49"/>
    <s v="Feminino"/>
    <s v="Montagem"/>
    <s v="Operador"/>
    <s v="3º Turno"/>
    <x v="0"/>
    <s v="Não"/>
    <x v="1"/>
    <d v="2025-10-24T00:00:00"/>
    <d v="2025-10-01T00:00:00"/>
    <s v="sex"/>
    <x v="11"/>
    <x v="1"/>
    <m/>
    <s v="169145954"/>
  </r>
  <r>
    <n v="1691"/>
    <n v="49"/>
    <s v="Feminino"/>
    <s v="Montagem"/>
    <s v="Operador"/>
    <s v="3º Turno"/>
    <x v="0"/>
    <s v="Não"/>
    <x v="1"/>
    <d v="2025-11-08T00:00:00"/>
    <d v="2025-11-01T00:00:00"/>
    <s v="sáb"/>
    <x v="10"/>
    <x v="1"/>
    <m/>
    <s v="169145969"/>
  </r>
  <r>
    <n v="1691"/>
    <n v="49"/>
    <s v="Feminino"/>
    <s v="Montagem"/>
    <s v="Operador"/>
    <s v="3º Turno"/>
    <x v="0"/>
    <s v="Não"/>
    <x v="1"/>
    <d v="2025-11-27T00:00:00"/>
    <d v="2025-11-01T00:00:00"/>
    <s v="qui"/>
    <x v="10"/>
    <x v="1"/>
    <m/>
    <s v="169145988"/>
  </r>
  <r>
    <n v="1692"/>
    <n v="24"/>
    <s v="Masculino"/>
    <s v="Pintura"/>
    <s v="Operador"/>
    <s v="2º Turno"/>
    <x v="0"/>
    <s v="Não"/>
    <x v="0"/>
    <d v="2025-08-14T00:00:00"/>
    <d v="2025-08-01T00:00:00"/>
    <s v="qui"/>
    <x v="9"/>
    <x v="1"/>
    <m/>
    <s v="169245883"/>
  </r>
  <r>
    <n v="1692"/>
    <n v="24"/>
    <s v="Masculino"/>
    <s v="Pintura"/>
    <s v="Operador"/>
    <s v="2º Turno"/>
    <x v="0"/>
    <s v="Não"/>
    <x v="0"/>
    <d v="2025-08-23T00:00:00"/>
    <d v="2025-08-01T00:00:00"/>
    <s v="sáb"/>
    <x v="9"/>
    <x v="1"/>
    <m/>
    <s v="169245892"/>
  </r>
  <r>
    <n v="1692"/>
    <n v="24"/>
    <s v="Masculino"/>
    <s v="Pintura"/>
    <s v="Operador"/>
    <s v="2º Turno"/>
    <x v="0"/>
    <s v="Não"/>
    <x v="0"/>
    <d v="2025-10-10T00:00:00"/>
    <d v="2025-10-01T00:00:00"/>
    <s v="sex"/>
    <x v="11"/>
    <x v="1"/>
    <m/>
    <s v="169245940"/>
  </r>
  <r>
    <n v="1692"/>
    <n v="24"/>
    <s v="Masculino"/>
    <s v="Pintura"/>
    <s v="Operador"/>
    <s v="2º Turno"/>
    <x v="0"/>
    <s v="Não"/>
    <x v="0"/>
    <d v="2025-12-05T00:00:00"/>
    <d v="2025-12-01T00:00:00"/>
    <s v="sex"/>
    <x v="8"/>
    <x v="1"/>
    <m/>
    <s v="169245996"/>
  </r>
  <r>
    <n v="1692"/>
    <n v="24"/>
    <s v="Masculino"/>
    <s v="Pintura"/>
    <s v="Operador"/>
    <s v="2º Turno"/>
    <x v="0"/>
    <s v="Não"/>
    <x v="0"/>
    <d v="2025-12-10T00:00:00"/>
    <d v="2025-12-01T00:00:00"/>
    <s v="qua"/>
    <x v="8"/>
    <x v="1"/>
    <m/>
    <s v="169246001"/>
  </r>
  <r>
    <n v="1693"/>
    <n v="41"/>
    <s v="Masculino"/>
    <s v="Montagem"/>
    <s v="Operador"/>
    <s v="2º Turno"/>
    <x v="0"/>
    <s v="Não"/>
    <x v="1"/>
    <d v="2025-11-13T00:00:00"/>
    <d v="2025-11-01T00:00:00"/>
    <s v="qui"/>
    <x v="10"/>
    <x v="1"/>
    <m/>
    <s v="169345974"/>
  </r>
  <r>
    <n v="1693"/>
    <n v="41"/>
    <s v="Masculino"/>
    <s v="Montagem"/>
    <s v="Operador"/>
    <s v="2º Turno"/>
    <x v="0"/>
    <s v="Não"/>
    <x v="1"/>
    <d v="2025-11-17T00:00:00"/>
    <d v="2025-11-01T00:00:00"/>
    <s v="seg"/>
    <x v="10"/>
    <x v="1"/>
    <m/>
    <s v="169345978"/>
  </r>
  <r>
    <n v="1693"/>
    <n v="41"/>
    <s v="Masculino"/>
    <s v="Montagem"/>
    <s v="Operador"/>
    <s v="2º Turno"/>
    <x v="0"/>
    <s v="Não"/>
    <x v="1"/>
    <d v="2025-12-16T00:00:00"/>
    <d v="2025-12-01T00:00:00"/>
    <s v="ter"/>
    <x v="8"/>
    <x v="1"/>
    <m/>
    <s v="169346007"/>
  </r>
  <r>
    <n v="1693"/>
    <n v="41"/>
    <s v="Masculino"/>
    <s v="Montagem"/>
    <s v="Operador"/>
    <s v="2º Turno"/>
    <x v="0"/>
    <s v="Não"/>
    <x v="1"/>
    <d v="2026-06-12T00:00:00"/>
    <d v="2026-01-01T00:00:00"/>
    <s v="sex"/>
    <x v="1"/>
    <x v="0"/>
    <m/>
    <s v="169346185"/>
  </r>
  <r>
    <n v="1693"/>
    <n v="41"/>
    <s v="Masculino"/>
    <s v="Montagem"/>
    <s v="Operador"/>
    <s v="2º Turno"/>
    <x v="0"/>
    <s v="Não"/>
    <x v="1"/>
    <d v="2026-02-20T00:00:00"/>
    <d v="2026-02-01T00:00:00"/>
    <s v="sex"/>
    <x v="3"/>
    <x v="0"/>
    <m/>
    <s v="169346073"/>
  </r>
  <r>
    <n v="1693"/>
    <n v="41"/>
    <s v="Masculino"/>
    <s v="Montagem"/>
    <s v="Operador"/>
    <s v="2º Turno"/>
    <x v="0"/>
    <s v="Não"/>
    <x v="1"/>
    <d v="2026-02-21T00:00:00"/>
    <d v="2026-02-01T00:00:00"/>
    <s v="sáb"/>
    <x v="3"/>
    <x v="0"/>
    <m/>
    <s v="169346074"/>
  </r>
  <r>
    <n v="1694"/>
    <n v="26"/>
    <s v="Feminino"/>
    <s v="Montagem"/>
    <s v="Operador"/>
    <s v="3º Turno"/>
    <x v="0"/>
    <s v="Não"/>
    <x v="1"/>
    <d v="2025-06-07T00:00:00"/>
    <d v="2025-06-01T00:00:00"/>
    <s v="sáb"/>
    <x v="1"/>
    <x v="1"/>
    <m/>
    <s v="169445815"/>
  </r>
  <r>
    <n v="1694"/>
    <n v="26"/>
    <s v="Feminino"/>
    <s v="Montagem"/>
    <s v="Operador"/>
    <s v="3º Turno"/>
    <x v="0"/>
    <s v="Não"/>
    <x v="1"/>
    <d v="2025-09-16T00:00:00"/>
    <d v="2025-09-01T00:00:00"/>
    <s v="ter"/>
    <x v="7"/>
    <x v="1"/>
    <m/>
    <s v="169445916"/>
  </r>
  <r>
    <n v="1694"/>
    <n v="26"/>
    <s v="Feminino"/>
    <s v="Montagem"/>
    <s v="Operador"/>
    <s v="3º Turno"/>
    <x v="0"/>
    <s v="Não"/>
    <x v="1"/>
    <d v="2025-09-21T00:00:00"/>
    <d v="2025-09-01T00:00:00"/>
    <s v="dom"/>
    <x v="7"/>
    <x v="1"/>
    <m/>
    <s v="169445921"/>
  </r>
  <r>
    <n v="1694"/>
    <n v="26"/>
    <s v="Feminino"/>
    <s v="Montagem"/>
    <s v="Operador"/>
    <s v="3º Turno"/>
    <x v="0"/>
    <s v="Não"/>
    <x v="1"/>
    <d v="2025-12-13T00:00:00"/>
    <d v="2025-12-01T00:00:00"/>
    <s v="sáb"/>
    <x v="8"/>
    <x v="1"/>
    <m/>
    <s v="169446004"/>
  </r>
  <r>
    <n v="1694"/>
    <n v="26"/>
    <s v="Feminino"/>
    <s v="Montagem"/>
    <s v="Operador"/>
    <s v="3º Turno"/>
    <x v="0"/>
    <s v="Não"/>
    <x v="1"/>
    <d v="2026-06-10T00:00:00"/>
    <d v="2026-01-01T00:00:00"/>
    <s v="qua"/>
    <x v="1"/>
    <x v="0"/>
    <m/>
    <s v="169446183"/>
  </r>
  <r>
    <n v="1695"/>
    <n v="52"/>
    <s v="Masculino"/>
    <s v="Logistica"/>
    <s v="Operador"/>
    <s v="1º Turno"/>
    <x v="0"/>
    <s v="Sim"/>
    <x v="2"/>
    <d v="2025-08-22T00:00:00"/>
    <d v="2025-08-01T00:00:00"/>
    <s v="sex"/>
    <x v="9"/>
    <x v="1"/>
    <d v="2025-12-04T00:00:00"/>
    <s v="169545891"/>
  </r>
  <r>
    <n v="1695"/>
    <n v="52"/>
    <s v="Masculino"/>
    <s v="Logistica"/>
    <s v="Operador"/>
    <s v="1º Turno"/>
    <x v="0"/>
    <s v="Sim"/>
    <x v="2"/>
    <d v="2025-08-29T00:00:00"/>
    <d v="2025-08-01T00:00:00"/>
    <s v="sex"/>
    <x v="9"/>
    <x v="1"/>
    <d v="2025-12-04T00:00:00"/>
    <s v="169545898"/>
  </r>
  <r>
    <n v="1695"/>
    <n v="52"/>
    <s v="Masculino"/>
    <s v="Logistica"/>
    <s v="Operador"/>
    <s v="1º Turno"/>
    <x v="0"/>
    <s v="Sim"/>
    <x v="2"/>
    <d v="2025-09-02T00:00:00"/>
    <d v="2025-09-01T00:00:00"/>
    <s v="ter"/>
    <x v="7"/>
    <x v="1"/>
    <d v="2025-12-04T00:00:00"/>
    <s v="169545902"/>
  </r>
  <r>
    <n v="1695"/>
    <n v="52"/>
    <s v="Masculino"/>
    <s v="Logistica"/>
    <s v="Operador"/>
    <s v="1º Turno"/>
    <x v="0"/>
    <s v="Sim"/>
    <x v="2"/>
    <d v="2025-10-06T00:00:00"/>
    <d v="2025-10-01T00:00:00"/>
    <s v="seg"/>
    <x v="11"/>
    <x v="1"/>
    <d v="2025-12-04T00:00:00"/>
    <s v="169545936"/>
  </r>
  <r>
    <n v="1695"/>
    <n v="52"/>
    <s v="Masculino"/>
    <s v="Logistica"/>
    <s v="Operador"/>
    <s v="1º Turno"/>
    <x v="0"/>
    <s v="Sim"/>
    <x v="2"/>
    <d v="2025-11-08T00:00:00"/>
    <d v="2025-11-01T00:00:00"/>
    <s v="sáb"/>
    <x v="10"/>
    <x v="1"/>
    <d v="2025-12-04T00:00:00"/>
    <s v="169545969"/>
  </r>
  <r>
    <n v="1695"/>
    <n v="52"/>
    <s v="Masculino"/>
    <s v="Logistica"/>
    <s v="Operador"/>
    <s v="1º Turno"/>
    <x v="0"/>
    <s v="Sim"/>
    <x v="2"/>
    <d v="2025-11-14T00:00:00"/>
    <d v="2025-11-01T00:00:00"/>
    <s v="sex"/>
    <x v="10"/>
    <x v="1"/>
    <d v="2025-12-04T00:00:00"/>
    <s v="169545975"/>
  </r>
  <r>
    <n v="1696"/>
    <n v="34"/>
    <s v="Feminino"/>
    <s v="Montagem"/>
    <s v="Operador"/>
    <s v="2º Turno"/>
    <x v="0"/>
    <s v="Não"/>
    <x v="2"/>
    <d v="2025-06-01T00:00:00"/>
    <d v="2025-06-01T00:00:00"/>
    <s v="dom"/>
    <x v="1"/>
    <x v="1"/>
    <m/>
    <s v="169645809"/>
  </r>
  <r>
    <n v="1696"/>
    <n v="34"/>
    <s v="Feminino"/>
    <s v="Montagem"/>
    <s v="Operador"/>
    <s v="2º Turno"/>
    <x v="0"/>
    <s v="Não"/>
    <x v="2"/>
    <d v="2025-06-04T00:00:00"/>
    <d v="2025-06-01T00:00:00"/>
    <s v="qua"/>
    <x v="1"/>
    <x v="1"/>
    <m/>
    <s v="169645812"/>
  </r>
  <r>
    <n v="1696"/>
    <n v="34"/>
    <s v="Feminino"/>
    <s v="Montagem"/>
    <s v="Operador"/>
    <s v="2º Turno"/>
    <x v="0"/>
    <s v="Não"/>
    <x v="2"/>
    <d v="2025-06-05T00:00:00"/>
    <d v="2025-06-01T00:00:00"/>
    <s v="qui"/>
    <x v="1"/>
    <x v="1"/>
    <m/>
    <s v="169645813"/>
  </r>
  <r>
    <n v="1696"/>
    <n v="34"/>
    <s v="Feminino"/>
    <s v="Montagem"/>
    <s v="Operador"/>
    <s v="2º Turno"/>
    <x v="0"/>
    <s v="Não"/>
    <x v="2"/>
    <d v="2025-09-03T00:00:00"/>
    <d v="2025-09-01T00:00:00"/>
    <s v="qua"/>
    <x v="7"/>
    <x v="1"/>
    <m/>
    <s v="169645903"/>
  </r>
  <r>
    <n v="1696"/>
    <n v="34"/>
    <s v="Feminino"/>
    <s v="Montagem"/>
    <s v="Operador"/>
    <s v="2º Turno"/>
    <x v="0"/>
    <s v="Não"/>
    <x v="2"/>
    <d v="2025-11-20T00:00:00"/>
    <d v="2025-11-01T00:00:00"/>
    <s v="qui"/>
    <x v="10"/>
    <x v="1"/>
    <m/>
    <s v="169645981"/>
  </r>
  <r>
    <n v="1696"/>
    <n v="34"/>
    <s v="Feminino"/>
    <s v="Montagem"/>
    <s v="Operador"/>
    <s v="2º Turno"/>
    <x v="0"/>
    <s v="Não"/>
    <x v="2"/>
    <d v="2026-02-13T00:00:00"/>
    <d v="2026-02-01T00:00:00"/>
    <s v="sex"/>
    <x v="3"/>
    <x v="0"/>
    <m/>
    <s v="169646066"/>
  </r>
  <r>
    <n v="1697"/>
    <n v="32"/>
    <s v="Feminino"/>
    <s v="Pintura"/>
    <s v="Operador"/>
    <s v="3º Turno"/>
    <x v="0"/>
    <s v="Não"/>
    <x v="1"/>
    <d v="2025-04-28T00:00:00"/>
    <d v="2025-04-01T00:00:00"/>
    <s v="seg"/>
    <x v="2"/>
    <x v="1"/>
    <m/>
    <s v="169745775"/>
  </r>
  <r>
    <n v="1697"/>
    <n v="32"/>
    <s v="Feminino"/>
    <s v="Pintura"/>
    <s v="Operador"/>
    <s v="3º Turno"/>
    <x v="0"/>
    <s v="Não"/>
    <x v="1"/>
    <d v="2025-10-06T00:00:00"/>
    <d v="2025-10-01T00:00:00"/>
    <s v="seg"/>
    <x v="11"/>
    <x v="1"/>
    <m/>
    <s v="169745936"/>
  </r>
  <r>
    <n v="1697"/>
    <n v="32"/>
    <s v="Feminino"/>
    <s v="Pintura"/>
    <s v="Operador"/>
    <s v="3º Turno"/>
    <x v="0"/>
    <s v="Não"/>
    <x v="1"/>
    <d v="2025-10-09T00:00:00"/>
    <d v="2025-10-01T00:00:00"/>
    <s v="qui"/>
    <x v="11"/>
    <x v="1"/>
    <m/>
    <s v="169745939"/>
  </r>
  <r>
    <n v="1697"/>
    <n v="32"/>
    <s v="Feminino"/>
    <s v="Pintura"/>
    <s v="Operador"/>
    <s v="3º Turno"/>
    <x v="0"/>
    <s v="Não"/>
    <x v="1"/>
    <d v="2025-10-24T00:00:00"/>
    <d v="2025-10-01T00:00:00"/>
    <s v="sex"/>
    <x v="11"/>
    <x v="1"/>
    <m/>
    <s v="169745954"/>
  </r>
  <r>
    <n v="1697"/>
    <n v="32"/>
    <s v="Feminino"/>
    <s v="Pintura"/>
    <s v="Operador"/>
    <s v="3º Turno"/>
    <x v="0"/>
    <s v="Não"/>
    <x v="1"/>
    <d v="2025-10-29T00:00:00"/>
    <d v="2025-10-01T00:00:00"/>
    <s v="qua"/>
    <x v="11"/>
    <x v="1"/>
    <m/>
    <s v="169745959"/>
  </r>
  <r>
    <n v="1697"/>
    <n v="32"/>
    <s v="Feminino"/>
    <s v="Pintura"/>
    <s v="Operador"/>
    <s v="3º Turno"/>
    <x v="0"/>
    <s v="Não"/>
    <x v="1"/>
    <d v="2026-04-28T00:00:00"/>
    <d v="2026-04-01T00:00:00"/>
    <s v="seg"/>
    <x v="2"/>
    <x v="1"/>
    <m/>
    <s v="169746140"/>
  </r>
  <r>
    <n v="1699"/>
    <n v="56"/>
    <s v="Masculino"/>
    <s v="Soldagem"/>
    <s v="Operador"/>
    <s v="3º Turno"/>
    <x v="0"/>
    <s v="Não"/>
    <x v="0"/>
    <d v="2025-06-25T00:00:00"/>
    <d v="2025-06-01T00:00:00"/>
    <s v="qua"/>
    <x v="1"/>
    <x v="1"/>
    <m/>
    <s v="169945833"/>
  </r>
  <r>
    <n v="1699"/>
    <n v="56"/>
    <s v="Masculino"/>
    <s v="Soldagem"/>
    <s v="Operador"/>
    <s v="3º Turno"/>
    <x v="0"/>
    <s v="Não"/>
    <x v="0"/>
    <d v="2025-10-06T00:00:00"/>
    <d v="2025-10-01T00:00:00"/>
    <s v="seg"/>
    <x v="11"/>
    <x v="1"/>
    <m/>
    <s v="169945936"/>
  </r>
  <r>
    <n v="1699"/>
    <n v="56"/>
    <s v="Masculino"/>
    <s v="Soldagem"/>
    <s v="Operador"/>
    <s v="3º Turno"/>
    <x v="0"/>
    <s v="Não"/>
    <x v="0"/>
    <d v="2025-12-14T00:00:00"/>
    <d v="2025-12-01T00:00:00"/>
    <s v="dom"/>
    <x v="8"/>
    <x v="1"/>
    <m/>
    <s v="169946005"/>
  </r>
  <r>
    <n v="1699"/>
    <n v="56"/>
    <s v="Masculino"/>
    <s v="Soldagem"/>
    <s v="Operador"/>
    <s v="3º Turno"/>
    <x v="0"/>
    <s v="Não"/>
    <x v="0"/>
    <d v="2025-12-24T00:00:00"/>
    <d v="2025-12-01T00:00:00"/>
    <s v="qua"/>
    <x v="8"/>
    <x v="1"/>
    <m/>
    <s v="169946015"/>
  </r>
  <r>
    <n v="1699"/>
    <n v="56"/>
    <s v="Masculino"/>
    <s v="Soldagem"/>
    <s v="Operador"/>
    <s v="3º Turno"/>
    <x v="0"/>
    <s v="Não"/>
    <x v="0"/>
    <d v="2026-03-08T00:00:00"/>
    <d v="2026-03-01T00:00:00"/>
    <s v="dom"/>
    <x v="4"/>
    <x v="0"/>
    <m/>
    <s v="169946089"/>
  </r>
  <r>
    <n v="1699"/>
    <n v="56"/>
    <s v="Masculino"/>
    <s v="Soldagem"/>
    <s v="Operador"/>
    <s v="3º Turno"/>
    <x v="0"/>
    <s v="Não"/>
    <x v="0"/>
    <d v="2026-03-21T00:00:00"/>
    <d v="2026-03-01T00:00:00"/>
    <s v="sáb"/>
    <x v="4"/>
    <x v="0"/>
    <m/>
    <s v="169946102"/>
  </r>
  <r>
    <n v="1700"/>
    <n v="32"/>
    <s v="Masculino"/>
    <s v="Montagem"/>
    <s v="Operador"/>
    <s v="2º Turno"/>
    <x v="0"/>
    <s v="Não"/>
    <x v="0"/>
    <d v="2025-12-02T00:00:00"/>
    <d v="2025-12-01T00:00:00"/>
    <s v="ter"/>
    <x v="8"/>
    <x v="1"/>
    <m/>
    <s v="170045993"/>
  </r>
  <r>
    <n v="1700"/>
    <n v="32"/>
    <s v="Masculino"/>
    <s v="Montagem"/>
    <s v="Operador"/>
    <s v="2º Turno"/>
    <x v="0"/>
    <s v="Não"/>
    <x v="0"/>
    <d v="2026-02-24T00:00:00"/>
    <d v="2026-02-01T00:00:00"/>
    <s v="ter"/>
    <x v="3"/>
    <x v="0"/>
    <m/>
    <s v="170046077"/>
  </r>
  <r>
    <n v="1700"/>
    <n v="32"/>
    <s v="Masculino"/>
    <s v="Montagem"/>
    <s v="Operador"/>
    <s v="2º Turno"/>
    <x v="0"/>
    <s v="Não"/>
    <x v="0"/>
    <d v="2026-02-25T00:00:00"/>
    <d v="2026-02-01T00:00:00"/>
    <s v="qua"/>
    <x v="3"/>
    <x v="0"/>
    <m/>
    <s v="170046078"/>
  </r>
  <r>
    <n v="1700"/>
    <n v="32"/>
    <s v="Masculino"/>
    <s v="Montagem"/>
    <s v="Operador"/>
    <s v="2º Turno"/>
    <x v="0"/>
    <s v="Não"/>
    <x v="0"/>
    <d v="2026-03-13T00:00:00"/>
    <d v="2026-03-01T00:00:00"/>
    <s v="sex"/>
    <x v="4"/>
    <x v="0"/>
    <m/>
    <s v="170046094"/>
  </r>
  <r>
    <n v="1701"/>
    <n v="48"/>
    <s v="Feminino"/>
    <s v="Montagem"/>
    <s v="Operador"/>
    <s v="1º Turno"/>
    <x v="0"/>
    <s v="Não"/>
    <x v="1"/>
    <d v="2025-06-26T00:00:00"/>
    <d v="2025-06-01T00:00:00"/>
    <s v="qui"/>
    <x v="1"/>
    <x v="1"/>
    <m/>
    <s v="170145834"/>
  </r>
  <r>
    <n v="1701"/>
    <n v="48"/>
    <s v="Feminino"/>
    <s v="Montagem"/>
    <s v="Operador"/>
    <s v="1º Turno"/>
    <x v="0"/>
    <s v="Não"/>
    <x v="1"/>
    <d v="2025-10-10T00:00:00"/>
    <d v="2025-10-01T00:00:00"/>
    <s v="sex"/>
    <x v="11"/>
    <x v="1"/>
    <m/>
    <s v="170145940"/>
  </r>
  <r>
    <n v="1701"/>
    <n v="48"/>
    <s v="Feminino"/>
    <s v="Montagem"/>
    <s v="Operador"/>
    <s v="1º Turno"/>
    <x v="0"/>
    <s v="Não"/>
    <x v="1"/>
    <d v="2025-12-30T00:00:00"/>
    <d v="2025-12-01T00:00:00"/>
    <s v="ter"/>
    <x v="8"/>
    <x v="1"/>
    <m/>
    <s v="170146021"/>
  </r>
  <r>
    <n v="1701"/>
    <n v="48"/>
    <s v="Feminino"/>
    <s v="Montagem"/>
    <s v="Operador"/>
    <s v="1º Turno"/>
    <x v="0"/>
    <s v="Não"/>
    <x v="1"/>
    <d v="2026-03-04T00:00:00"/>
    <d v="2026-03-01T00:00:00"/>
    <s v="qua"/>
    <x v="4"/>
    <x v="0"/>
    <m/>
    <s v="170146085"/>
  </r>
  <r>
    <n v="1702"/>
    <n v="53"/>
    <s v="Masculino"/>
    <s v="Pintura"/>
    <s v="Operador"/>
    <s v="2º Turno"/>
    <x v="0"/>
    <s v="Sim"/>
    <x v="1"/>
    <d v="2025-02-02T00:00:00"/>
    <d v="2025-02-01T00:00:00"/>
    <s v="dom"/>
    <x v="3"/>
    <x v="1"/>
    <d v="2025-06-07T00:00:00"/>
    <s v="170245690"/>
  </r>
  <r>
    <n v="1702"/>
    <n v="53"/>
    <s v="Masculino"/>
    <s v="Pintura"/>
    <s v="Operador"/>
    <s v="2º Turno"/>
    <x v="0"/>
    <s v="Sim"/>
    <x v="1"/>
    <d v="2025-05-13T00:00:00"/>
    <d v="2025-05-01T00:00:00"/>
    <s v="ter"/>
    <x v="0"/>
    <x v="1"/>
    <d v="2025-06-07T00:00:00"/>
    <s v="170245790"/>
  </r>
  <r>
    <n v="1702"/>
    <n v="53"/>
    <s v="Masculino"/>
    <s v="Pintura"/>
    <s v="Operador"/>
    <s v="2º Turno"/>
    <x v="0"/>
    <s v="Sim"/>
    <x v="1"/>
    <d v="2025-06-01T00:00:00"/>
    <d v="2025-06-01T00:00:00"/>
    <s v="dom"/>
    <x v="1"/>
    <x v="1"/>
    <d v="2025-06-07T00:00:00"/>
    <s v="170245809"/>
  </r>
  <r>
    <n v="1702"/>
    <n v="53"/>
    <s v="Masculino"/>
    <s v="Pintura"/>
    <s v="Operador"/>
    <s v="2º Turno"/>
    <x v="0"/>
    <s v="Sim"/>
    <x v="1"/>
    <d v="2025-06-03T00:00:00"/>
    <d v="2025-06-01T00:00:00"/>
    <s v="ter"/>
    <x v="1"/>
    <x v="1"/>
    <d v="2025-06-07T00:00:00"/>
    <s v="170245811"/>
  </r>
  <r>
    <n v="1702"/>
    <n v="53"/>
    <s v="Masculino"/>
    <s v="Pintura"/>
    <s v="Operador"/>
    <s v="2º Turno"/>
    <x v="0"/>
    <s v="Sim"/>
    <x v="1"/>
    <d v="2025-06-04T00:00:00"/>
    <d v="2025-06-01T00:00:00"/>
    <s v="qua"/>
    <x v="1"/>
    <x v="1"/>
    <d v="2025-06-07T00:00:00"/>
    <s v="170245812"/>
  </r>
  <r>
    <n v="1702"/>
    <n v="53"/>
    <s v="Masculino"/>
    <s v="Pintura"/>
    <s v="Operador"/>
    <s v="2º Turno"/>
    <x v="0"/>
    <s v="Sim"/>
    <x v="1"/>
    <d v="2025-06-05T00:00:00"/>
    <d v="2025-06-01T00:00:00"/>
    <s v="qui"/>
    <x v="1"/>
    <x v="1"/>
    <d v="2025-06-07T00:00:00"/>
    <s v="170245813"/>
  </r>
  <r>
    <n v="1704"/>
    <n v="57"/>
    <s v="Feminino"/>
    <s v="Pintura"/>
    <s v="Operador"/>
    <s v="3º Turno"/>
    <x v="0"/>
    <s v="Sim"/>
    <x v="0"/>
    <d v="2025-01-15T00:00:00"/>
    <d v="2025-01-01T00:00:00"/>
    <s v="qua"/>
    <x v="5"/>
    <x v="1"/>
    <d v="2025-04-26T00:00:00"/>
    <s v="170445672"/>
  </r>
  <r>
    <n v="1704"/>
    <n v="57"/>
    <s v="Feminino"/>
    <s v="Pintura"/>
    <s v="Operador"/>
    <s v="3º Turno"/>
    <x v="5"/>
    <s v="Sim"/>
    <x v="0"/>
    <d v="2025-04-12T00:00:00"/>
    <d v="2025-04-01T00:00:00"/>
    <s v="sáb"/>
    <x v="2"/>
    <x v="1"/>
    <d v="2025-04-26T00:00:00"/>
    <s v="170445759"/>
  </r>
  <r>
    <n v="1704"/>
    <n v="57"/>
    <s v="Feminino"/>
    <s v="Pintura"/>
    <s v="Operador"/>
    <s v="3º Turno"/>
    <x v="0"/>
    <s v="Sim"/>
    <x v="0"/>
    <d v="2025-04-13T00:00:00"/>
    <d v="2025-04-01T00:00:00"/>
    <s v="dom"/>
    <x v="2"/>
    <x v="1"/>
    <d v="2025-04-26T00:00:00"/>
    <s v="170445760"/>
  </r>
  <r>
    <n v="1704"/>
    <n v="57"/>
    <s v="Feminino"/>
    <s v="Pintura"/>
    <s v="Operador"/>
    <s v="3º Turno"/>
    <x v="0"/>
    <s v="Sim"/>
    <x v="0"/>
    <d v="2025-04-14T00:00:00"/>
    <d v="2025-04-01T00:00:00"/>
    <s v="seg"/>
    <x v="2"/>
    <x v="1"/>
    <d v="2025-04-26T00:00:00"/>
    <s v="170445761"/>
  </r>
  <r>
    <n v="1704"/>
    <n v="57"/>
    <s v="Feminino"/>
    <s v="Pintura"/>
    <s v="Operador"/>
    <s v="3º Turno"/>
    <x v="5"/>
    <s v="Sim"/>
    <x v="0"/>
    <d v="2025-04-18T00:00:00"/>
    <d v="2025-04-01T00:00:00"/>
    <s v="sex"/>
    <x v="2"/>
    <x v="1"/>
    <d v="2025-04-26T00:00:00"/>
    <s v="170445765"/>
  </r>
  <r>
    <n v="1704"/>
    <n v="57"/>
    <s v="Feminino"/>
    <s v="Pintura"/>
    <s v="Operador"/>
    <s v="3º Turno"/>
    <x v="5"/>
    <s v="Sim"/>
    <x v="0"/>
    <d v="2025-04-25T00:00:00"/>
    <d v="2025-04-01T00:00:00"/>
    <s v="sex"/>
    <x v="2"/>
    <x v="1"/>
    <d v="2025-04-26T00:00:00"/>
    <s v="170445772"/>
  </r>
  <r>
    <n v="1705"/>
    <n v="27"/>
    <s v="Masculino"/>
    <s v="Montagem"/>
    <s v="Operador"/>
    <s v="3º Turno"/>
    <x v="0"/>
    <s v="Sim"/>
    <x v="2"/>
    <d v="2025-03-18T00:00:00"/>
    <d v="2025-03-01T00:00:00"/>
    <s v="ter"/>
    <x v="4"/>
    <x v="1"/>
    <d v="2025-06-30T00:00:00"/>
    <s v="170545734"/>
  </r>
  <r>
    <n v="1705"/>
    <n v="27"/>
    <s v="Masculino"/>
    <s v="Montagem"/>
    <s v="Operador"/>
    <s v="3º Turno"/>
    <x v="0"/>
    <s v="Sim"/>
    <x v="2"/>
    <d v="2025-06-08T00:00:00"/>
    <d v="2025-06-01T00:00:00"/>
    <s v="dom"/>
    <x v="1"/>
    <x v="1"/>
    <d v="2025-06-30T00:00:00"/>
    <s v="170545816"/>
  </r>
  <r>
    <n v="1705"/>
    <n v="27"/>
    <s v="Masculino"/>
    <s v="Montagem"/>
    <s v="Operador"/>
    <s v="3º Turno"/>
    <x v="0"/>
    <s v="Sim"/>
    <x v="2"/>
    <d v="2025-06-14T00:00:00"/>
    <d v="2025-06-01T00:00:00"/>
    <s v="sáb"/>
    <x v="1"/>
    <x v="1"/>
    <d v="2025-06-30T00:00:00"/>
    <s v="170545822"/>
  </r>
  <r>
    <n v="1705"/>
    <n v="27"/>
    <s v="Masculino"/>
    <s v="Montagem"/>
    <s v="Operador"/>
    <s v="3º Turno"/>
    <x v="0"/>
    <s v="Sim"/>
    <x v="2"/>
    <d v="2025-06-18T00:00:00"/>
    <d v="2025-06-01T00:00:00"/>
    <s v="qua"/>
    <x v="1"/>
    <x v="1"/>
    <d v="2025-06-30T00:00:00"/>
    <s v="170545826"/>
  </r>
  <r>
    <n v="1705"/>
    <n v="27"/>
    <s v="Masculino"/>
    <s v="Montagem"/>
    <s v="Operador"/>
    <s v="3º Turno"/>
    <x v="0"/>
    <s v="Sim"/>
    <x v="2"/>
    <d v="2025-06-19T00:00:00"/>
    <d v="2025-06-01T00:00:00"/>
    <s v="qui"/>
    <x v="1"/>
    <x v="1"/>
    <d v="2025-06-30T00:00:00"/>
    <s v="170545827"/>
  </r>
  <r>
    <n v="1705"/>
    <n v="27"/>
    <s v="Masculino"/>
    <s v="Montagem"/>
    <s v="Operador"/>
    <s v="3º Turno"/>
    <x v="0"/>
    <s v="Sim"/>
    <x v="2"/>
    <d v="2025-06-23T00:00:00"/>
    <d v="2025-06-01T00:00:00"/>
    <s v="seg"/>
    <x v="1"/>
    <x v="1"/>
    <d v="2025-06-30T00:00:00"/>
    <s v="170545831"/>
  </r>
  <r>
    <n v="1706"/>
    <n v="41"/>
    <s v="Masculino"/>
    <s v="Pintura"/>
    <s v="Operador"/>
    <s v="3º Turno"/>
    <x v="0"/>
    <s v="Não"/>
    <x v="0"/>
    <d v="2025-06-08T00:00:00"/>
    <d v="2025-06-01T00:00:00"/>
    <s v="dom"/>
    <x v="1"/>
    <x v="1"/>
    <m/>
    <s v="170645816"/>
  </r>
  <r>
    <n v="1706"/>
    <n v="41"/>
    <s v="Masculino"/>
    <s v="Pintura"/>
    <s v="Operador"/>
    <s v="3º Turno"/>
    <x v="0"/>
    <s v="Não"/>
    <x v="0"/>
    <d v="2025-09-12T00:00:00"/>
    <d v="2025-09-01T00:00:00"/>
    <s v="sex"/>
    <x v="7"/>
    <x v="1"/>
    <m/>
    <s v="170645912"/>
  </r>
  <r>
    <n v="1706"/>
    <n v="41"/>
    <s v="Masculino"/>
    <s v="Pintura"/>
    <s v="Operador"/>
    <s v="3º Turno"/>
    <x v="0"/>
    <s v="Não"/>
    <x v="0"/>
    <d v="2025-10-14T00:00:00"/>
    <d v="2025-10-01T00:00:00"/>
    <s v="ter"/>
    <x v="11"/>
    <x v="1"/>
    <m/>
    <s v="170645944"/>
  </r>
  <r>
    <n v="1706"/>
    <n v="41"/>
    <s v="Masculino"/>
    <s v="Pintura"/>
    <s v="Operador"/>
    <s v="3º Turno"/>
    <x v="0"/>
    <s v="Não"/>
    <x v="0"/>
    <d v="2025-12-13T00:00:00"/>
    <d v="2025-12-01T00:00:00"/>
    <s v="sáb"/>
    <x v="8"/>
    <x v="1"/>
    <m/>
    <s v="170646004"/>
  </r>
  <r>
    <n v="1706"/>
    <n v="41"/>
    <s v="Masculino"/>
    <s v="Pintura"/>
    <s v="Operador"/>
    <s v="3º Turno"/>
    <x v="0"/>
    <s v="Não"/>
    <x v="0"/>
    <d v="2026-06-12T00:00:00"/>
    <d v="2026-01-01T00:00:00"/>
    <s v="sex"/>
    <x v="1"/>
    <x v="0"/>
    <m/>
    <s v="170646185"/>
  </r>
  <r>
    <n v="1706"/>
    <n v="41"/>
    <s v="Masculino"/>
    <s v="Pintura"/>
    <s v="Operador"/>
    <s v="3º Turno"/>
    <x v="0"/>
    <s v="Não"/>
    <x v="0"/>
    <d v="2026-02-17T00:00:00"/>
    <d v="2026-02-01T00:00:00"/>
    <s v="ter"/>
    <x v="3"/>
    <x v="0"/>
    <m/>
    <s v="170646070"/>
  </r>
  <r>
    <n v="1707"/>
    <n v="45"/>
    <s v="Masculino"/>
    <s v="Pintura"/>
    <s v="Operador"/>
    <s v="2º Turno"/>
    <x v="0"/>
    <s v="Não"/>
    <x v="0"/>
    <d v="2025-06-16T00:00:00"/>
    <d v="2025-06-01T00:00:00"/>
    <s v="seg"/>
    <x v="1"/>
    <x v="1"/>
    <m/>
    <s v="170745824"/>
  </r>
  <r>
    <n v="1707"/>
    <n v="45"/>
    <s v="Masculino"/>
    <s v="Pintura"/>
    <s v="Operador"/>
    <s v="2º Turno"/>
    <x v="0"/>
    <s v="Não"/>
    <x v="0"/>
    <d v="2025-09-08T00:00:00"/>
    <d v="2025-09-01T00:00:00"/>
    <s v="seg"/>
    <x v="7"/>
    <x v="1"/>
    <m/>
    <s v="170745908"/>
  </r>
  <r>
    <n v="1707"/>
    <n v="45"/>
    <s v="Masculino"/>
    <s v="Pintura"/>
    <s v="Operador"/>
    <s v="2º Turno"/>
    <x v="0"/>
    <s v="Não"/>
    <x v="0"/>
    <d v="2025-11-15T00:00:00"/>
    <d v="2025-11-01T00:00:00"/>
    <s v="sáb"/>
    <x v="10"/>
    <x v="1"/>
    <m/>
    <s v="170745976"/>
  </r>
  <r>
    <n v="1708"/>
    <n v="37"/>
    <s v="Feminino"/>
    <s v="Montagem"/>
    <s v="Operador"/>
    <s v="3º Turno"/>
    <x v="0"/>
    <s v="Sim"/>
    <x v="1"/>
    <d v="2025-06-04T00:00:00"/>
    <d v="2025-06-01T00:00:00"/>
    <s v="qua"/>
    <x v="1"/>
    <x v="1"/>
    <d v="2026-01-19T00:00:00"/>
    <s v="170845812"/>
  </r>
  <r>
    <n v="1708"/>
    <n v="37"/>
    <s v="Feminino"/>
    <s v="Montagem"/>
    <s v="Operador"/>
    <s v="3º Turno"/>
    <x v="0"/>
    <s v="Sim"/>
    <x v="1"/>
    <d v="2025-07-04T00:00:00"/>
    <d v="2025-07-01T00:00:00"/>
    <s v="sex"/>
    <x v="6"/>
    <x v="1"/>
    <d v="2026-01-19T00:00:00"/>
    <s v="170845842"/>
  </r>
  <r>
    <n v="1708"/>
    <n v="37"/>
    <s v="Feminino"/>
    <s v="Montagem"/>
    <s v="Operador"/>
    <s v="3º Turno"/>
    <x v="0"/>
    <s v="Sim"/>
    <x v="1"/>
    <d v="2025-09-11T00:00:00"/>
    <d v="2025-09-01T00:00:00"/>
    <s v="qui"/>
    <x v="7"/>
    <x v="1"/>
    <d v="2026-01-19T00:00:00"/>
    <s v="170845911"/>
  </r>
  <r>
    <n v="1708"/>
    <n v="37"/>
    <s v="Feminino"/>
    <s v="Montagem"/>
    <s v="Operador"/>
    <s v="3º Turno"/>
    <x v="0"/>
    <s v="Sim"/>
    <x v="1"/>
    <d v="2025-12-01T00:00:00"/>
    <d v="2025-12-01T00:00:00"/>
    <s v="seg"/>
    <x v="8"/>
    <x v="1"/>
    <d v="2026-01-19T00:00:00"/>
    <s v="170845992"/>
  </r>
  <r>
    <n v="1708"/>
    <n v="37"/>
    <s v="Feminino"/>
    <s v="Montagem"/>
    <s v="Operador"/>
    <s v="3º Turno"/>
    <x v="0"/>
    <s v="Sim"/>
    <x v="1"/>
    <d v="2026-06-06T00:00:00"/>
    <d v="2026-01-01T00:00:00"/>
    <s v="sáb"/>
    <x v="1"/>
    <x v="0"/>
    <d v="2026-01-19T00:00:00"/>
    <s v="170846179"/>
  </r>
  <r>
    <n v="1708"/>
    <n v="37"/>
    <s v="Feminino"/>
    <s v="Montagem"/>
    <s v="Operador"/>
    <s v="3º Turno"/>
    <x v="0"/>
    <s v="Sim"/>
    <x v="1"/>
    <d v="2026-06-17T00:00:00"/>
    <d v="2026-01-01T00:00:00"/>
    <s v="qua"/>
    <x v="1"/>
    <x v="0"/>
    <d v="2026-01-19T00:00:00"/>
    <s v="170846190"/>
  </r>
  <r>
    <n v="1709"/>
    <n v="25"/>
    <s v="Feminino"/>
    <s v="Soldagem"/>
    <s v="Operador"/>
    <s v="2º Turno"/>
    <x v="0"/>
    <s v="Sim"/>
    <x v="0"/>
    <d v="2025-04-27T00:00:00"/>
    <d v="2025-04-01T00:00:00"/>
    <s v="dom"/>
    <x v="2"/>
    <x v="1"/>
    <d v="2025-06-30T00:00:00"/>
    <s v="170945774"/>
  </r>
  <r>
    <n v="1709"/>
    <n v="25"/>
    <s v="Feminino"/>
    <s v="Soldagem"/>
    <s v="Operador"/>
    <s v="2º Turno"/>
    <x v="0"/>
    <s v="Sim"/>
    <x v="0"/>
    <d v="2025-06-02T00:00:00"/>
    <d v="2025-06-01T00:00:00"/>
    <s v="seg"/>
    <x v="1"/>
    <x v="1"/>
    <d v="2025-06-30T00:00:00"/>
    <s v="170945810"/>
  </r>
  <r>
    <n v="1709"/>
    <n v="25"/>
    <s v="Feminino"/>
    <s v="Soldagem"/>
    <s v="Operador"/>
    <s v="2º Turno"/>
    <x v="0"/>
    <s v="Sim"/>
    <x v="0"/>
    <d v="2025-06-12T00:00:00"/>
    <d v="2025-06-01T00:00:00"/>
    <s v="qui"/>
    <x v="1"/>
    <x v="1"/>
    <d v="2025-06-30T00:00:00"/>
    <s v="170945820"/>
  </r>
  <r>
    <n v="1709"/>
    <n v="25"/>
    <s v="Feminino"/>
    <s v="Soldagem"/>
    <s v="Operador"/>
    <s v="2º Turno"/>
    <x v="0"/>
    <s v="Sim"/>
    <x v="0"/>
    <d v="2025-06-19T00:00:00"/>
    <d v="2025-06-01T00:00:00"/>
    <s v="qui"/>
    <x v="1"/>
    <x v="1"/>
    <d v="2025-06-30T00:00:00"/>
    <s v="170945827"/>
  </r>
  <r>
    <n v="1709"/>
    <n v="25"/>
    <s v="Feminino"/>
    <s v="Soldagem"/>
    <s v="Operador"/>
    <s v="2º Turno"/>
    <x v="0"/>
    <s v="Sim"/>
    <x v="0"/>
    <d v="2025-06-22T00:00:00"/>
    <d v="2025-06-01T00:00:00"/>
    <s v="dom"/>
    <x v="1"/>
    <x v="1"/>
    <d v="2025-06-30T00:00:00"/>
    <s v="170945830"/>
  </r>
  <r>
    <n v="1709"/>
    <n v="25"/>
    <s v="Feminino"/>
    <s v="Soldagem"/>
    <s v="Operador"/>
    <s v="2º Turno"/>
    <x v="0"/>
    <s v="Sim"/>
    <x v="0"/>
    <d v="2025-06-23T00:00:00"/>
    <d v="2025-06-01T00:00:00"/>
    <s v="seg"/>
    <x v="1"/>
    <x v="1"/>
    <d v="2025-06-30T00:00:00"/>
    <s v="170945831"/>
  </r>
  <r>
    <n v="1710"/>
    <n v="20"/>
    <s v="Masculino"/>
    <s v="Montagem"/>
    <s v="Operador"/>
    <s v="1º Turno"/>
    <x v="0"/>
    <s v="Não"/>
    <x v="0"/>
    <d v="2025-06-11T00:00:00"/>
    <d v="2025-06-01T00:00:00"/>
    <s v="qua"/>
    <x v="1"/>
    <x v="1"/>
    <m/>
    <s v="171045819"/>
  </r>
  <r>
    <n v="1710"/>
    <n v="20"/>
    <s v="Masculino"/>
    <s v="Montagem"/>
    <s v="Operador"/>
    <s v="1º Turno"/>
    <x v="0"/>
    <s v="Não"/>
    <x v="0"/>
    <d v="2025-07-27T00:00:00"/>
    <d v="2025-07-01T00:00:00"/>
    <s v="dom"/>
    <x v="6"/>
    <x v="1"/>
    <m/>
    <s v="171045865"/>
  </r>
  <r>
    <n v="1710"/>
    <n v="20"/>
    <s v="Masculino"/>
    <s v="Montagem"/>
    <s v="Operador"/>
    <s v="1º Turno"/>
    <x v="0"/>
    <s v="Não"/>
    <x v="0"/>
    <d v="2025-08-27T00:00:00"/>
    <d v="2025-08-01T00:00:00"/>
    <s v="qua"/>
    <x v="9"/>
    <x v="1"/>
    <m/>
    <s v="171045896"/>
  </r>
  <r>
    <n v="1710"/>
    <n v="20"/>
    <s v="Masculino"/>
    <s v="Montagem"/>
    <s v="Operador"/>
    <s v="1º Turno"/>
    <x v="0"/>
    <s v="Não"/>
    <x v="0"/>
    <d v="2025-09-14T00:00:00"/>
    <d v="2025-09-01T00:00:00"/>
    <s v="dom"/>
    <x v="7"/>
    <x v="1"/>
    <m/>
    <s v="171045914"/>
  </r>
  <r>
    <n v="1710"/>
    <n v="20"/>
    <s v="Masculino"/>
    <s v="Montagem"/>
    <s v="Operador"/>
    <s v="1º Turno"/>
    <x v="0"/>
    <s v="Não"/>
    <x v="0"/>
    <d v="2025-11-01T00:00:00"/>
    <d v="2025-11-01T00:00:00"/>
    <s v="sáb"/>
    <x v="10"/>
    <x v="1"/>
    <m/>
    <s v="171045962"/>
  </r>
  <r>
    <n v="1710"/>
    <n v="20"/>
    <s v="Masculino"/>
    <s v="Montagem"/>
    <s v="Operador"/>
    <s v="1º Turno"/>
    <x v="0"/>
    <s v="Não"/>
    <x v="0"/>
    <d v="2025-12-01T00:00:00"/>
    <d v="2025-12-01T00:00:00"/>
    <s v="seg"/>
    <x v="8"/>
    <x v="1"/>
    <m/>
    <s v="171045992"/>
  </r>
  <r>
    <n v="1711"/>
    <n v="38"/>
    <s v="Feminino"/>
    <s v="Logistica"/>
    <s v="Operador"/>
    <s v="3º Turno"/>
    <x v="0"/>
    <s v="Não"/>
    <x v="2"/>
    <d v="2025-07-29T00:00:00"/>
    <d v="2025-07-01T00:00:00"/>
    <s v="ter"/>
    <x v="6"/>
    <x v="1"/>
    <m/>
    <s v="171145867"/>
  </r>
  <r>
    <n v="1711"/>
    <n v="38"/>
    <s v="Feminino"/>
    <s v="Logistica"/>
    <s v="Operador"/>
    <s v="3º Turno"/>
    <x v="0"/>
    <s v="Não"/>
    <x v="2"/>
    <d v="2025-08-07T00:00:00"/>
    <d v="2025-08-01T00:00:00"/>
    <s v="qui"/>
    <x v="9"/>
    <x v="1"/>
    <m/>
    <s v="171145876"/>
  </r>
  <r>
    <n v="1711"/>
    <n v="38"/>
    <s v="Feminino"/>
    <s v="Logistica"/>
    <s v="Operador"/>
    <s v="3º Turno"/>
    <x v="0"/>
    <s v="Não"/>
    <x v="2"/>
    <d v="2025-10-18T00:00:00"/>
    <d v="2025-10-01T00:00:00"/>
    <s v="sáb"/>
    <x v="11"/>
    <x v="1"/>
    <m/>
    <s v="171145948"/>
  </r>
  <r>
    <n v="1711"/>
    <n v="38"/>
    <s v="Feminino"/>
    <s v="Logistica"/>
    <s v="Operador"/>
    <s v="3º Turno"/>
    <x v="0"/>
    <s v="Não"/>
    <x v="2"/>
    <d v="2025-10-21T00:00:00"/>
    <d v="2025-10-01T00:00:00"/>
    <s v="ter"/>
    <x v="11"/>
    <x v="1"/>
    <m/>
    <s v="171145951"/>
  </r>
  <r>
    <n v="1711"/>
    <n v="38"/>
    <s v="Feminino"/>
    <s v="Logistica"/>
    <s v="Operador"/>
    <s v="3º Turno"/>
    <x v="0"/>
    <s v="Não"/>
    <x v="2"/>
    <d v="2025-12-19T00:00:00"/>
    <d v="2025-12-01T00:00:00"/>
    <s v="sex"/>
    <x v="8"/>
    <x v="1"/>
    <m/>
    <s v="171146010"/>
  </r>
  <r>
    <n v="1712"/>
    <n v="43"/>
    <s v="Masculino"/>
    <s v="Pintura"/>
    <s v="Operador"/>
    <s v="1º Turno"/>
    <x v="0"/>
    <s v="Não"/>
    <x v="0"/>
    <d v="2025-06-29T00:00:00"/>
    <d v="2025-06-01T00:00:00"/>
    <s v="dom"/>
    <x v="1"/>
    <x v="1"/>
    <m/>
    <s v="171245837"/>
  </r>
  <r>
    <n v="1712"/>
    <n v="43"/>
    <s v="Masculino"/>
    <s v="Pintura"/>
    <s v="Operador"/>
    <s v="1º Turno"/>
    <x v="0"/>
    <s v="Não"/>
    <x v="0"/>
    <d v="2025-09-07T00:00:00"/>
    <d v="2025-09-01T00:00:00"/>
    <s v="dom"/>
    <x v="7"/>
    <x v="1"/>
    <m/>
    <s v="171245907"/>
  </r>
  <r>
    <n v="1712"/>
    <n v="43"/>
    <s v="Masculino"/>
    <s v="Pintura"/>
    <s v="Operador"/>
    <s v="1º Turno"/>
    <x v="0"/>
    <s v="Não"/>
    <x v="0"/>
    <d v="2026-06-05T00:00:00"/>
    <d v="2026-01-01T00:00:00"/>
    <s v="sex"/>
    <x v="1"/>
    <x v="0"/>
    <m/>
    <s v="171246178"/>
  </r>
  <r>
    <n v="1712"/>
    <n v="43"/>
    <s v="Masculino"/>
    <s v="Pintura"/>
    <s v="Operador"/>
    <s v="1º Turno"/>
    <x v="0"/>
    <s v="Não"/>
    <x v="0"/>
    <d v="2026-02-03T00:00:00"/>
    <d v="2026-02-01T00:00:00"/>
    <s v="ter"/>
    <x v="3"/>
    <x v="0"/>
    <m/>
    <s v="171246056"/>
  </r>
  <r>
    <n v="1713"/>
    <n v="40"/>
    <s v="Masculino"/>
    <s v="Pintura"/>
    <s v="Operador"/>
    <s v="3º Turno"/>
    <x v="0"/>
    <s v="Não"/>
    <x v="1"/>
    <d v="2025-06-14T00:00:00"/>
    <d v="2025-06-01T00:00:00"/>
    <s v="sáb"/>
    <x v="1"/>
    <x v="1"/>
    <m/>
    <s v="171345822"/>
  </r>
  <r>
    <n v="1713"/>
    <n v="40"/>
    <s v="Masculino"/>
    <s v="Pintura"/>
    <s v="Operador"/>
    <s v="3º Turno"/>
    <x v="0"/>
    <s v="Não"/>
    <x v="1"/>
    <d v="2025-07-07T00:00:00"/>
    <d v="2025-07-01T00:00:00"/>
    <s v="seg"/>
    <x v="6"/>
    <x v="1"/>
    <m/>
    <s v="171345845"/>
  </r>
  <r>
    <n v="1713"/>
    <n v="40"/>
    <s v="Masculino"/>
    <s v="Pintura"/>
    <s v="Operador"/>
    <s v="3º Turno"/>
    <x v="0"/>
    <s v="Não"/>
    <x v="1"/>
    <d v="2025-11-08T00:00:00"/>
    <d v="2025-11-01T00:00:00"/>
    <s v="sáb"/>
    <x v="10"/>
    <x v="1"/>
    <m/>
    <s v="171345969"/>
  </r>
  <r>
    <n v="1713"/>
    <n v="40"/>
    <s v="Masculino"/>
    <s v="Pintura"/>
    <s v="Operador"/>
    <s v="3º Turno"/>
    <x v="0"/>
    <s v="Não"/>
    <x v="1"/>
    <d v="2026-02-14T00:00:00"/>
    <d v="2026-02-01T00:00:00"/>
    <s v="sáb"/>
    <x v="3"/>
    <x v="0"/>
    <m/>
    <s v="171346067"/>
  </r>
  <r>
    <n v="1713"/>
    <n v="40"/>
    <s v="Masculino"/>
    <s v="Pintura"/>
    <s v="Operador"/>
    <s v="3º Turno"/>
    <x v="0"/>
    <s v="Não"/>
    <x v="1"/>
    <d v="2026-02-27T00:00:00"/>
    <d v="2026-02-01T00:00:00"/>
    <s v="sex"/>
    <x v="3"/>
    <x v="0"/>
    <m/>
    <s v="171346080"/>
  </r>
  <r>
    <n v="1713"/>
    <n v="40"/>
    <s v="Masculino"/>
    <s v="Pintura"/>
    <s v="Operador"/>
    <s v="3º Turno"/>
    <x v="0"/>
    <s v="Não"/>
    <x v="1"/>
    <d v="2026-03-11T00:00:00"/>
    <d v="2026-03-01T00:00:00"/>
    <s v="qua"/>
    <x v="4"/>
    <x v="0"/>
    <m/>
    <s v="171346092"/>
  </r>
  <r>
    <n v="1714"/>
    <n v="22"/>
    <s v="Feminino"/>
    <s v="Qualidade"/>
    <s v="Inspetor"/>
    <s v="2º Turno"/>
    <x v="0"/>
    <s v="Sim"/>
    <x v="0"/>
    <d v="2025-04-26T00:00:00"/>
    <d v="2025-04-01T00:00:00"/>
    <s v="sáb"/>
    <x v="2"/>
    <x v="1"/>
    <d v="2026-06-23T00:00:00"/>
    <s v="171445773"/>
  </r>
  <r>
    <n v="1714"/>
    <n v="22"/>
    <s v="Feminino"/>
    <s v="Qualidade"/>
    <s v="Inspetor"/>
    <s v="2º Turno"/>
    <x v="0"/>
    <s v="Sim"/>
    <x v="0"/>
    <d v="2025-05-15T00:00:00"/>
    <d v="2025-05-01T00:00:00"/>
    <s v="qui"/>
    <x v="0"/>
    <x v="1"/>
    <d v="2026-06-23T00:00:00"/>
    <s v="171445792"/>
  </r>
  <r>
    <n v="1714"/>
    <n v="22"/>
    <s v="Feminino"/>
    <s v="Qualidade"/>
    <s v="Inspetor"/>
    <s v="2º Turno"/>
    <x v="0"/>
    <s v="Sim"/>
    <x v="0"/>
    <d v="2025-08-10T00:00:00"/>
    <d v="2025-08-01T00:00:00"/>
    <s v="dom"/>
    <x v="9"/>
    <x v="1"/>
    <d v="2026-06-23T00:00:00"/>
    <s v="171445879"/>
  </r>
  <r>
    <n v="1714"/>
    <n v="22"/>
    <s v="Feminino"/>
    <s v="Qualidade"/>
    <s v="Inspetor"/>
    <s v="2º Turno"/>
    <x v="0"/>
    <s v="Sim"/>
    <x v="0"/>
    <d v="2025-09-03T00:00:00"/>
    <d v="2025-09-01T00:00:00"/>
    <s v="qua"/>
    <x v="7"/>
    <x v="1"/>
    <d v="2026-06-23T00:00:00"/>
    <s v="171445903"/>
  </r>
  <r>
    <n v="1714"/>
    <n v="22"/>
    <s v="Feminino"/>
    <s v="Qualidade"/>
    <s v="Inspetor"/>
    <s v="2º Turno"/>
    <x v="0"/>
    <s v="Sim"/>
    <x v="0"/>
    <d v="2025-09-04T00:00:00"/>
    <d v="2025-09-01T00:00:00"/>
    <s v="qui"/>
    <x v="7"/>
    <x v="1"/>
    <d v="2026-06-23T00:00:00"/>
    <s v="171445904"/>
  </r>
  <r>
    <n v="1714"/>
    <n v="22"/>
    <s v="Feminino"/>
    <s v="Qualidade"/>
    <s v="Inspetor"/>
    <s v="2º Turno"/>
    <x v="0"/>
    <s v="Sim"/>
    <x v="0"/>
    <d v="2026-02-26T00:00:00"/>
    <d v="2026-02-01T00:00:00"/>
    <s v="qui"/>
    <x v="3"/>
    <x v="0"/>
    <d v="2026-06-23T00:00:00"/>
    <s v="171446079"/>
  </r>
  <r>
    <n v="1715"/>
    <n v="22"/>
    <s v="Masculino"/>
    <s v="Soldagem"/>
    <s v="Operador"/>
    <s v="2º Turno"/>
    <x v="0"/>
    <s v="Não"/>
    <x v="2"/>
    <d v="2025-11-06T00:00:00"/>
    <d v="2025-11-01T00:00:00"/>
    <s v="qui"/>
    <x v="10"/>
    <x v="1"/>
    <m/>
    <s v="171545967"/>
  </r>
  <r>
    <n v="1715"/>
    <n v="22"/>
    <s v="Masculino"/>
    <s v="Soldagem"/>
    <s v="Operador"/>
    <s v="2º Turno"/>
    <x v="0"/>
    <s v="Não"/>
    <x v="2"/>
    <d v="2025-11-26T00:00:00"/>
    <d v="2025-11-01T00:00:00"/>
    <s v="qua"/>
    <x v="10"/>
    <x v="1"/>
    <m/>
    <s v="171545987"/>
  </r>
  <r>
    <n v="1715"/>
    <n v="22"/>
    <s v="Masculino"/>
    <s v="Soldagem"/>
    <s v="Operador"/>
    <s v="2º Turno"/>
    <x v="0"/>
    <s v="Não"/>
    <x v="2"/>
    <d v="2026-03-19T00:00:00"/>
    <d v="2026-03-01T00:00:00"/>
    <s v="qui"/>
    <x v="4"/>
    <x v="0"/>
    <m/>
    <s v="171546100"/>
  </r>
  <r>
    <n v="1716"/>
    <n v="21"/>
    <s v="Masculino"/>
    <s v="Logistica"/>
    <s v="Operador"/>
    <s v="1º Turno"/>
    <x v="0"/>
    <s v="Não"/>
    <x v="0"/>
    <d v="2025-07-13T00:00:00"/>
    <d v="2025-07-01T00:00:00"/>
    <s v="dom"/>
    <x v="6"/>
    <x v="1"/>
    <m/>
    <s v="171645851"/>
  </r>
  <r>
    <n v="1716"/>
    <n v="21"/>
    <s v="Masculino"/>
    <s v="Logistica"/>
    <s v="Operador"/>
    <s v="1º Turno"/>
    <x v="0"/>
    <s v="Não"/>
    <x v="0"/>
    <d v="2025-09-30T00:00:00"/>
    <d v="2025-09-01T00:00:00"/>
    <s v="ter"/>
    <x v="7"/>
    <x v="1"/>
    <m/>
    <s v="171645930"/>
  </r>
  <r>
    <n v="1716"/>
    <n v="21"/>
    <s v="Masculino"/>
    <s v="Logistica"/>
    <s v="Operador"/>
    <s v="1º Turno"/>
    <x v="0"/>
    <s v="Não"/>
    <x v="0"/>
    <d v="2025-10-10T00:00:00"/>
    <d v="2025-10-01T00:00:00"/>
    <s v="sex"/>
    <x v="11"/>
    <x v="1"/>
    <m/>
    <s v="171645940"/>
  </r>
  <r>
    <n v="1716"/>
    <n v="21"/>
    <s v="Masculino"/>
    <s v="Logistica"/>
    <s v="Operador"/>
    <s v="1º Turno"/>
    <x v="0"/>
    <s v="Não"/>
    <x v="0"/>
    <d v="2025-10-17T00:00:00"/>
    <d v="2025-10-01T00:00:00"/>
    <s v="sex"/>
    <x v="11"/>
    <x v="1"/>
    <m/>
    <s v="171645947"/>
  </r>
  <r>
    <n v="1716"/>
    <n v="21"/>
    <s v="Masculino"/>
    <s v="Logistica"/>
    <s v="Operador"/>
    <s v="1º Turno"/>
    <x v="0"/>
    <s v="Não"/>
    <x v="0"/>
    <d v="2025-12-29T00:00:00"/>
    <d v="2025-12-01T00:00:00"/>
    <s v="seg"/>
    <x v="8"/>
    <x v="1"/>
    <m/>
    <s v="171646020"/>
  </r>
  <r>
    <n v="1717"/>
    <n v="54"/>
    <s v="Feminino"/>
    <s v="Montagem"/>
    <s v="Operador"/>
    <s v="2º Turno"/>
    <x v="0"/>
    <s v="Não"/>
    <x v="0"/>
    <d v="2025-07-08T00:00:00"/>
    <d v="2025-07-01T00:00:00"/>
    <s v="ter"/>
    <x v="6"/>
    <x v="1"/>
    <m/>
    <s v="171745846"/>
  </r>
  <r>
    <n v="1717"/>
    <n v="54"/>
    <s v="Feminino"/>
    <s v="Montagem"/>
    <s v="Operador"/>
    <s v="2º Turno"/>
    <x v="0"/>
    <s v="Não"/>
    <x v="0"/>
    <d v="2025-10-26T00:00:00"/>
    <d v="2025-10-01T00:00:00"/>
    <s v="dom"/>
    <x v="11"/>
    <x v="1"/>
    <m/>
    <s v="171745956"/>
  </r>
  <r>
    <n v="1717"/>
    <n v="54"/>
    <s v="Feminino"/>
    <s v="Montagem"/>
    <s v="Operador"/>
    <s v="2º Turno"/>
    <x v="0"/>
    <s v="Não"/>
    <x v="0"/>
    <d v="2025-10-28T00:00:00"/>
    <d v="2025-10-01T00:00:00"/>
    <s v="ter"/>
    <x v="11"/>
    <x v="1"/>
    <m/>
    <s v="171745958"/>
  </r>
  <r>
    <n v="1717"/>
    <n v="54"/>
    <s v="Feminino"/>
    <s v="Montagem"/>
    <s v="Operador"/>
    <s v="2º Turno"/>
    <x v="0"/>
    <s v="Não"/>
    <x v="0"/>
    <d v="2025-10-29T00:00:00"/>
    <d v="2025-10-01T00:00:00"/>
    <s v="qua"/>
    <x v="11"/>
    <x v="1"/>
    <m/>
    <s v="171745959"/>
  </r>
  <r>
    <n v="1717"/>
    <n v="54"/>
    <s v="Feminino"/>
    <s v="Montagem"/>
    <s v="Operador"/>
    <s v="2º Turno"/>
    <x v="0"/>
    <s v="Não"/>
    <x v="0"/>
    <d v="2026-01-13T00:00:00"/>
    <d v="2026-01-01T00:00:00"/>
    <s v="ter"/>
    <x v="5"/>
    <x v="0"/>
    <m/>
    <s v="171746035"/>
  </r>
  <r>
    <n v="1718"/>
    <n v="29"/>
    <s v="Feminino"/>
    <s v="Montagem"/>
    <s v="Operador"/>
    <s v="2º Turno"/>
    <x v="0"/>
    <s v="Sim"/>
    <x v="2"/>
    <d v="2025-07-17T00:00:00"/>
    <d v="2025-07-01T00:00:00"/>
    <s v="qui"/>
    <x v="6"/>
    <x v="1"/>
    <d v="2025-09-25T00:00:00"/>
    <s v="171845855"/>
  </r>
  <r>
    <n v="1718"/>
    <n v="29"/>
    <s v="Feminino"/>
    <s v="Montagem"/>
    <s v="Operador"/>
    <s v="2º Turno"/>
    <x v="0"/>
    <s v="Sim"/>
    <x v="2"/>
    <d v="2025-08-03T00:00:00"/>
    <d v="2025-08-01T00:00:00"/>
    <s v="dom"/>
    <x v="9"/>
    <x v="1"/>
    <d v="2025-09-25T00:00:00"/>
    <s v="171845872"/>
  </r>
  <r>
    <n v="1718"/>
    <n v="29"/>
    <s v="Feminino"/>
    <s v="Montagem"/>
    <s v="Operador"/>
    <s v="2º Turno"/>
    <x v="0"/>
    <s v="Sim"/>
    <x v="2"/>
    <d v="2025-09-07T00:00:00"/>
    <d v="2025-09-01T00:00:00"/>
    <s v="dom"/>
    <x v="7"/>
    <x v="1"/>
    <d v="2025-09-25T00:00:00"/>
    <s v="171845907"/>
  </r>
  <r>
    <n v="1718"/>
    <n v="29"/>
    <s v="Feminino"/>
    <s v="Montagem"/>
    <s v="Operador"/>
    <s v="2º Turno"/>
    <x v="0"/>
    <s v="Sim"/>
    <x v="2"/>
    <d v="2025-09-08T00:00:00"/>
    <d v="2025-09-01T00:00:00"/>
    <s v="seg"/>
    <x v="7"/>
    <x v="1"/>
    <d v="2025-09-25T00:00:00"/>
    <s v="171845908"/>
  </r>
  <r>
    <n v="1718"/>
    <n v="29"/>
    <s v="Feminino"/>
    <s v="Montagem"/>
    <s v="Operador"/>
    <s v="2º Turno"/>
    <x v="0"/>
    <s v="Sim"/>
    <x v="2"/>
    <d v="2025-09-09T00:00:00"/>
    <d v="2025-09-01T00:00:00"/>
    <s v="ter"/>
    <x v="7"/>
    <x v="1"/>
    <d v="2025-09-25T00:00:00"/>
    <s v="171845909"/>
  </r>
  <r>
    <n v="1718"/>
    <n v="29"/>
    <s v="Feminino"/>
    <s v="Montagem"/>
    <s v="Operador"/>
    <s v="2º Turno"/>
    <x v="0"/>
    <s v="Sim"/>
    <x v="2"/>
    <d v="2025-09-10T00:00:00"/>
    <d v="2025-09-01T00:00:00"/>
    <s v="qua"/>
    <x v="7"/>
    <x v="1"/>
    <d v="2025-09-25T00:00:00"/>
    <s v="171845910"/>
  </r>
  <r>
    <n v="1721"/>
    <n v="42"/>
    <s v="Masculino"/>
    <s v="Logistica"/>
    <s v="Operador"/>
    <s v="3º Turno"/>
    <x v="0"/>
    <s v="Sim"/>
    <x v="1"/>
    <d v="2025-03-18T00:00:00"/>
    <d v="2025-03-01T00:00:00"/>
    <s v="ter"/>
    <x v="4"/>
    <x v="1"/>
    <d v="2025-05-23T00:00:00"/>
    <s v="172145734"/>
  </r>
  <r>
    <n v="1721"/>
    <n v="42"/>
    <s v="Masculino"/>
    <s v="Logistica"/>
    <s v="Operador"/>
    <s v="3º Turno"/>
    <x v="0"/>
    <s v="Sim"/>
    <x v="1"/>
    <d v="2025-04-20T00:00:00"/>
    <d v="2025-04-01T00:00:00"/>
    <s v="dom"/>
    <x v="2"/>
    <x v="1"/>
    <d v="2025-05-23T00:00:00"/>
    <s v="172145767"/>
  </r>
  <r>
    <n v="1721"/>
    <n v="42"/>
    <s v="Masculino"/>
    <s v="Logistica"/>
    <s v="Operador"/>
    <s v="3º Turno"/>
    <x v="0"/>
    <s v="Sim"/>
    <x v="1"/>
    <d v="2025-05-13T00:00:00"/>
    <d v="2025-05-01T00:00:00"/>
    <s v="ter"/>
    <x v="0"/>
    <x v="1"/>
    <d v="2025-05-23T00:00:00"/>
    <s v="172145790"/>
  </r>
  <r>
    <n v="1721"/>
    <n v="42"/>
    <s v="Masculino"/>
    <s v="Logistica"/>
    <s v="Operador"/>
    <s v="3º Turno"/>
    <x v="0"/>
    <s v="Sim"/>
    <x v="1"/>
    <d v="2025-05-14T00:00:00"/>
    <d v="2025-05-01T00:00:00"/>
    <s v="qua"/>
    <x v="0"/>
    <x v="1"/>
    <d v="2025-05-23T00:00:00"/>
    <s v="172145791"/>
  </r>
  <r>
    <n v="1721"/>
    <n v="42"/>
    <s v="Masculino"/>
    <s v="Logistica"/>
    <s v="Operador"/>
    <s v="3º Turno"/>
    <x v="0"/>
    <s v="Sim"/>
    <x v="1"/>
    <d v="2025-05-16T00:00:00"/>
    <d v="2025-05-01T00:00:00"/>
    <s v="sex"/>
    <x v="0"/>
    <x v="1"/>
    <d v="2025-05-23T00:00:00"/>
    <s v="172145793"/>
  </r>
  <r>
    <n v="1721"/>
    <n v="42"/>
    <s v="Masculino"/>
    <s v="Logistica"/>
    <s v="Operador"/>
    <s v="3º Turno"/>
    <x v="0"/>
    <s v="Sim"/>
    <x v="1"/>
    <d v="2025-05-18T00:00:00"/>
    <d v="2025-05-01T00:00:00"/>
    <s v="dom"/>
    <x v="0"/>
    <x v="1"/>
    <d v="2025-05-23T00:00:00"/>
    <s v="172145795"/>
  </r>
  <r>
    <n v="1722"/>
    <n v="29"/>
    <s v="Feminino"/>
    <s v="Montagem"/>
    <s v="Operador"/>
    <s v="2º Turno"/>
    <x v="0"/>
    <s v="Não"/>
    <x v="0"/>
    <d v="2025-07-25T00:00:00"/>
    <d v="2025-07-01T00:00:00"/>
    <s v="sex"/>
    <x v="6"/>
    <x v="1"/>
    <m/>
    <s v="172245863"/>
  </r>
  <r>
    <n v="1722"/>
    <n v="29"/>
    <s v="Feminino"/>
    <s v="Montagem"/>
    <s v="Operador"/>
    <s v="2º Turno"/>
    <x v="0"/>
    <s v="Não"/>
    <x v="0"/>
    <d v="2025-10-30T00:00:00"/>
    <d v="2025-10-01T00:00:00"/>
    <s v="qui"/>
    <x v="11"/>
    <x v="1"/>
    <m/>
    <s v="172245960"/>
  </r>
  <r>
    <n v="1722"/>
    <n v="29"/>
    <s v="Feminino"/>
    <s v="Montagem"/>
    <s v="Operador"/>
    <s v="2º Turno"/>
    <x v="0"/>
    <s v="Não"/>
    <x v="0"/>
    <d v="2026-06-16T00:00:00"/>
    <d v="2026-01-01T00:00:00"/>
    <s v="ter"/>
    <x v="1"/>
    <x v="0"/>
    <m/>
    <s v="172246189"/>
  </r>
  <r>
    <n v="1722"/>
    <n v="29"/>
    <s v="Feminino"/>
    <s v="Montagem"/>
    <s v="Operador"/>
    <s v="2º Turno"/>
    <x v="0"/>
    <s v="Não"/>
    <x v="0"/>
    <d v="2026-03-11T00:00:00"/>
    <d v="2026-03-01T00:00:00"/>
    <s v="qua"/>
    <x v="4"/>
    <x v="0"/>
    <m/>
    <s v="172246092"/>
  </r>
  <r>
    <n v="1723"/>
    <n v="57"/>
    <s v="Feminino"/>
    <s v="Soldagem"/>
    <s v="Operador"/>
    <s v="1º Turno"/>
    <x v="0"/>
    <s v="Sim"/>
    <x v="2"/>
    <d v="2025-05-29T00:00:00"/>
    <d v="2025-05-01T00:00:00"/>
    <s v="qui"/>
    <x v="0"/>
    <x v="1"/>
    <d v="2026-01-21T00:00:00"/>
    <s v="172345806"/>
  </r>
  <r>
    <n v="1723"/>
    <n v="57"/>
    <s v="Feminino"/>
    <s v="Soldagem"/>
    <s v="Operador"/>
    <s v="1º Turno"/>
    <x v="0"/>
    <s v="Sim"/>
    <x v="2"/>
    <d v="2025-06-24T00:00:00"/>
    <d v="2025-06-01T00:00:00"/>
    <s v="ter"/>
    <x v="1"/>
    <x v="1"/>
    <d v="2026-01-21T00:00:00"/>
    <s v="172345832"/>
  </r>
  <r>
    <n v="1723"/>
    <n v="57"/>
    <s v="Feminino"/>
    <s v="Soldagem"/>
    <s v="Operador"/>
    <s v="1º Turno"/>
    <x v="0"/>
    <s v="Sim"/>
    <x v="2"/>
    <d v="2025-07-31T00:00:00"/>
    <d v="2025-07-01T00:00:00"/>
    <s v="qui"/>
    <x v="6"/>
    <x v="1"/>
    <d v="2026-01-21T00:00:00"/>
    <s v="172345869"/>
  </r>
  <r>
    <n v="1723"/>
    <n v="57"/>
    <s v="Feminino"/>
    <s v="Soldagem"/>
    <s v="Operador"/>
    <s v="1º Turno"/>
    <x v="0"/>
    <s v="Sim"/>
    <x v="2"/>
    <d v="2025-09-15T00:00:00"/>
    <d v="2025-09-01T00:00:00"/>
    <s v="seg"/>
    <x v="7"/>
    <x v="1"/>
    <d v="2026-01-21T00:00:00"/>
    <s v="172345915"/>
  </r>
  <r>
    <n v="1723"/>
    <n v="57"/>
    <s v="Feminino"/>
    <s v="Soldagem"/>
    <s v="Operador"/>
    <s v="1º Turno"/>
    <x v="0"/>
    <s v="Sim"/>
    <x v="2"/>
    <d v="2025-11-19T00:00:00"/>
    <d v="2025-11-01T00:00:00"/>
    <s v="qua"/>
    <x v="10"/>
    <x v="1"/>
    <d v="2026-01-21T00:00:00"/>
    <s v="172345980"/>
  </r>
  <r>
    <n v="1723"/>
    <n v="57"/>
    <s v="Feminino"/>
    <s v="Soldagem"/>
    <s v="Operador"/>
    <s v="1º Turno"/>
    <x v="0"/>
    <s v="Sim"/>
    <x v="2"/>
    <d v="2026-06-05T00:00:00"/>
    <d v="2026-01-01T00:00:00"/>
    <s v="sex"/>
    <x v="1"/>
    <x v="0"/>
    <d v="2026-01-21T00:00:00"/>
    <s v="172346178"/>
  </r>
  <r>
    <n v="1724"/>
    <n v="33"/>
    <s v="Masculino"/>
    <s v="Pintura"/>
    <s v="Operador"/>
    <s v="3º Turno"/>
    <x v="0"/>
    <s v="Não"/>
    <x v="2"/>
    <d v="2025-06-15T00:00:00"/>
    <d v="2025-06-01T00:00:00"/>
    <s v="dom"/>
    <x v="1"/>
    <x v="1"/>
    <m/>
    <s v="172445823"/>
  </r>
  <r>
    <n v="1724"/>
    <n v="33"/>
    <s v="Masculino"/>
    <s v="Pintura"/>
    <s v="Operador"/>
    <s v="3º Turno"/>
    <x v="0"/>
    <s v="Não"/>
    <x v="2"/>
    <d v="2025-09-23T00:00:00"/>
    <d v="2025-09-01T00:00:00"/>
    <s v="ter"/>
    <x v="7"/>
    <x v="1"/>
    <m/>
    <s v="172445923"/>
  </r>
  <r>
    <n v="1724"/>
    <n v="33"/>
    <s v="Masculino"/>
    <s v="Pintura"/>
    <s v="Operador"/>
    <s v="3º Turno"/>
    <x v="0"/>
    <s v="Não"/>
    <x v="2"/>
    <d v="2025-10-19T00:00:00"/>
    <d v="2025-10-01T00:00:00"/>
    <s v="dom"/>
    <x v="11"/>
    <x v="1"/>
    <m/>
    <s v="172445949"/>
  </r>
  <r>
    <n v="1724"/>
    <n v="33"/>
    <s v="Masculino"/>
    <s v="Pintura"/>
    <s v="Operador"/>
    <s v="3º Turno"/>
    <x v="0"/>
    <s v="Não"/>
    <x v="2"/>
    <d v="2025-10-29T00:00:00"/>
    <d v="2025-10-01T00:00:00"/>
    <s v="qua"/>
    <x v="11"/>
    <x v="1"/>
    <m/>
    <s v="172445959"/>
  </r>
  <r>
    <n v="1724"/>
    <n v="33"/>
    <s v="Masculino"/>
    <s v="Pintura"/>
    <s v="Operador"/>
    <s v="3º Turno"/>
    <x v="0"/>
    <s v="Não"/>
    <x v="2"/>
    <d v="2025-12-17T00:00:00"/>
    <d v="2025-12-01T00:00:00"/>
    <s v="qua"/>
    <x v="8"/>
    <x v="1"/>
    <m/>
    <s v="172446008"/>
  </r>
  <r>
    <n v="1724"/>
    <n v="33"/>
    <s v="Masculino"/>
    <s v="Pintura"/>
    <s v="Operador"/>
    <s v="3º Turno"/>
    <x v="0"/>
    <s v="Não"/>
    <x v="2"/>
    <d v="2026-06-29T00:00:00"/>
    <d v="2026-01-01T00:00:00"/>
    <s v="seg"/>
    <x v="1"/>
    <x v="0"/>
    <m/>
    <s v="172446202"/>
  </r>
  <r>
    <n v="1725"/>
    <n v="54"/>
    <s v="Masculino"/>
    <s v="Soldagem"/>
    <s v="Operador"/>
    <s v="2º Turno"/>
    <x v="0"/>
    <s v="Não"/>
    <x v="0"/>
    <d v="2025-04-27T00:00:00"/>
    <d v="2025-04-01T00:00:00"/>
    <s v="dom"/>
    <x v="2"/>
    <x v="1"/>
    <m/>
    <s v="172545774"/>
  </r>
  <r>
    <n v="1725"/>
    <n v="54"/>
    <s v="Masculino"/>
    <s v="Soldagem"/>
    <s v="Operador"/>
    <s v="2º Turno"/>
    <x v="0"/>
    <s v="Não"/>
    <x v="0"/>
    <d v="2025-07-14T00:00:00"/>
    <d v="2025-07-01T00:00:00"/>
    <s v="seg"/>
    <x v="6"/>
    <x v="1"/>
    <m/>
    <s v="172545852"/>
  </r>
  <r>
    <n v="1725"/>
    <n v="54"/>
    <s v="Masculino"/>
    <s v="Soldagem"/>
    <s v="Operador"/>
    <s v="2º Turno"/>
    <x v="0"/>
    <s v="Não"/>
    <x v="0"/>
    <d v="2025-08-25T00:00:00"/>
    <d v="2025-08-01T00:00:00"/>
    <s v="seg"/>
    <x v="9"/>
    <x v="1"/>
    <m/>
    <s v="172545894"/>
  </r>
  <r>
    <n v="1725"/>
    <n v="54"/>
    <s v="Masculino"/>
    <s v="Soldagem"/>
    <s v="Operador"/>
    <s v="2º Turno"/>
    <x v="0"/>
    <s v="Não"/>
    <x v="0"/>
    <d v="2025-09-24T00:00:00"/>
    <d v="2025-09-01T00:00:00"/>
    <s v="qua"/>
    <x v="7"/>
    <x v="1"/>
    <m/>
    <s v="172545924"/>
  </r>
  <r>
    <n v="1725"/>
    <n v="54"/>
    <s v="Masculino"/>
    <s v="Soldagem"/>
    <s v="Operador"/>
    <s v="2º Turno"/>
    <x v="0"/>
    <s v="Não"/>
    <x v="0"/>
    <d v="2026-02-26T00:00:00"/>
    <d v="2026-02-01T00:00:00"/>
    <s v="qui"/>
    <x v="3"/>
    <x v="0"/>
    <m/>
    <s v="172546079"/>
  </r>
  <r>
    <n v="1725"/>
    <n v="54"/>
    <s v="Masculino"/>
    <s v="Soldagem"/>
    <s v="Operador"/>
    <s v="2º Turno"/>
    <x v="0"/>
    <s v="Não"/>
    <x v="0"/>
    <d v="2026-03-22T00:00:00"/>
    <d v="2026-03-01T00:00:00"/>
    <s v="dom"/>
    <x v="4"/>
    <x v="0"/>
    <m/>
    <s v="172546103"/>
  </r>
  <r>
    <n v="1725"/>
    <n v="54"/>
    <s v="Masculino"/>
    <s v="Soldagem"/>
    <s v="Operador"/>
    <s v="2º Turno"/>
    <x v="0"/>
    <s v="Não"/>
    <x v="0"/>
    <d v="2026-04-27T00:00:00"/>
    <d v="2026-04-01T00:00:00"/>
    <s v="dom"/>
    <x v="2"/>
    <x v="1"/>
    <m/>
    <s v="172546139"/>
  </r>
  <r>
    <n v="1726"/>
    <n v="21"/>
    <s v="Masculino"/>
    <s v="Logistica"/>
    <s v="Operador"/>
    <s v="3º Turno"/>
    <x v="0"/>
    <s v="Não"/>
    <x v="1"/>
    <d v="2025-07-13T00:00:00"/>
    <d v="2025-07-01T00:00:00"/>
    <s v="dom"/>
    <x v="6"/>
    <x v="1"/>
    <m/>
    <s v="172645851"/>
  </r>
  <r>
    <n v="1726"/>
    <n v="21"/>
    <s v="Masculino"/>
    <s v="Logistica"/>
    <s v="Operador"/>
    <s v="3º Turno"/>
    <x v="0"/>
    <s v="Não"/>
    <x v="1"/>
    <d v="2025-07-22T00:00:00"/>
    <d v="2025-07-01T00:00:00"/>
    <s v="ter"/>
    <x v="6"/>
    <x v="1"/>
    <m/>
    <s v="172645860"/>
  </r>
  <r>
    <n v="1726"/>
    <n v="21"/>
    <s v="Masculino"/>
    <s v="Logistica"/>
    <s v="Operador"/>
    <s v="3º Turno"/>
    <x v="0"/>
    <s v="Não"/>
    <x v="1"/>
    <d v="2025-09-12T00:00:00"/>
    <d v="2025-09-01T00:00:00"/>
    <s v="sex"/>
    <x v="7"/>
    <x v="1"/>
    <m/>
    <s v="172645912"/>
  </r>
  <r>
    <n v="1726"/>
    <n v="21"/>
    <s v="Masculino"/>
    <s v="Logistica"/>
    <s v="Operador"/>
    <s v="3º Turno"/>
    <x v="0"/>
    <s v="Não"/>
    <x v="1"/>
    <d v="2025-11-10T00:00:00"/>
    <d v="2025-11-01T00:00:00"/>
    <s v="seg"/>
    <x v="10"/>
    <x v="1"/>
    <m/>
    <s v="172645971"/>
  </r>
  <r>
    <n v="1726"/>
    <n v="21"/>
    <s v="Masculino"/>
    <s v="Logistica"/>
    <s v="Operador"/>
    <s v="3º Turno"/>
    <x v="0"/>
    <s v="Não"/>
    <x v="1"/>
    <d v="2026-06-06T00:00:00"/>
    <d v="2026-01-01T00:00:00"/>
    <s v="sáb"/>
    <x v="1"/>
    <x v="0"/>
    <m/>
    <s v="172646179"/>
  </r>
  <r>
    <n v="1726"/>
    <n v="21"/>
    <s v="Masculino"/>
    <s v="Logistica"/>
    <s v="Operador"/>
    <s v="3º Turno"/>
    <x v="0"/>
    <s v="Não"/>
    <x v="1"/>
    <d v="2026-02-14T00:00:00"/>
    <d v="2026-02-01T00:00:00"/>
    <s v="sáb"/>
    <x v="3"/>
    <x v="0"/>
    <m/>
    <s v="172646067"/>
  </r>
  <r>
    <n v="1727"/>
    <n v="50"/>
    <s v="Feminino"/>
    <s v="Logistica"/>
    <s v="Operador"/>
    <s v="1º Turno"/>
    <x v="0"/>
    <s v="Não"/>
    <x v="2"/>
    <d v="2025-04-30T00:00:00"/>
    <d v="2025-04-01T00:00:00"/>
    <s v="qua"/>
    <x v="2"/>
    <x v="1"/>
    <m/>
    <s v="172745777"/>
  </r>
  <r>
    <n v="1727"/>
    <n v="50"/>
    <s v="Feminino"/>
    <s v="Logistica"/>
    <s v="Operador"/>
    <s v="1º Turno"/>
    <x v="0"/>
    <s v="Não"/>
    <x v="2"/>
    <d v="2025-10-13T00:00:00"/>
    <d v="2025-10-01T00:00:00"/>
    <s v="seg"/>
    <x v="11"/>
    <x v="1"/>
    <m/>
    <s v="172745943"/>
  </r>
  <r>
    <n v="1727"/>
    <n v="50"/>
    <s v="Feminino"/>
    <s v="Logistica"/>
    <s v="Operador"/>
    <s v="1º Turno"/>
    <x v="0"/>
    <s v="Não"/>
    <x v="2"/>
    <d v="2025-12-06T00:00:00"/>
    <d v="2025-12-01T00:00:00"/>
    <s v="sáb"/>
    <x v="8"/>
    <x v="1"/>
    <m/>
    <s v="172745997"/>
  </r>
  <r>
    <n v="1727"/>
    <n v="50"/>
    <s v="Feminino"/>
    <s v="Logistica"/>
    <s v="Operador"/>
    <s v="1º Turno"/>
    <x v="0"/>
    <s v="Não"/>
    <x v="2"/>
    <d v="2026-06-01T00:00:00"/>
    <d v="2026-01-01T00:00:00"/>
    <s v="seg"/>
    <x v="1"/>
    <x v="0"/>
    <m/>
    <s v="172746174"/>
  </r>
  <r>
    <n v="1727"/>
    <n v="50"/>
    <s v="Feminino"/>
    <s v="Logistica"/>
    <s v="Operador"/>
    <s v="1º Turno"/>
    <x v="0"/>
    <s v="Não"/>
    <x v="2"/>
    <d v="2026-02-17T00:00:00"/>
    <d v="2026-02-01T00:00:00"/>
    <s v="ter"/>
    <x v="3"/>
    <x v="0"/>
    <m/>
    <s v="172746070"/>
  </r>
  <r>
    <n v="1727"/>
    <n v="50"/>
    <s v="Feminino"/>
    <s v="Logistica"/>
    <s v="Operador"/>
    <s v="1º Turno"/>
    <x v="0"/>
    <s v="Não"/>
    <x v="2"/>
    <d v="2026-03-20T00:00:00"/>
    <d v="2026-03-01T00:00:00"/>
    <s v="sex"/>
    <x v="4"/>
    <x v="0"/>
    <m/>
    <s v="172746101"/>
  </r>
  <r>
    <n v="1727"/>
    <n v="50"/>
    <s v="Feminino"/>
    <s v="Logistica"/>
    <s v="Operador"/>
    <s v="1º Turno"/>
    <x v="0"/>
    <s v="Não"/>
    <x v="2"/>
    <d v="2026-04-30T00:00:00"/>
    <d v="2026-04-01T00:00:00"/>
    <s v="qua"/>
    <x v="2"/>
    <x v="1"/>
    <m/>
    <s v="172746142"/>
  </r>
  <r>
    <n v="1728"/>
    <n v="41"/>
    <s v="Feminino"/>
    <s v="Soldagem"/>
    <s v="Operador"/>
    <s v="1º Turno"/>
    <x v="0"/>
    <s v="Sim"/>
    <x v="1"/>
    <d v="2025-05-27T00:00:00"/>
    <d v="2025-05-01T00:00:00"/>
    <s v="ter"/>
    <x v="0"/>
    <x v="1"/>
    <d v="2026-01-11T00:00:00"/>
    <s v="172845804"/>
  </r>
  <r>
    <n v="1728"/>
    <n v="41"/>
    <s v="Feminino"/>
    <s v="Soldagem"/>
    <s v="Operador"/>
    <s v="1º Turno"/>
    <x v="0"/>
    <s v="Sim"/>
    <x v="1"/>
    <d v="2025-06-23T00:00:00"/>
    <d v="2025-06-01T00:00:00"/>
    <s v="seg"/>
    <x v="1"/>
    <x v="1"/>
    <d v="2026-01-11T00:00:00"/>
    <s v="172845831"/>
  </r>
  <r>
    <n v="1728"/>
    <n v="41"/>
    <s v="Feminino"/>
    <s v="Soldagem"/>
    <s v="Operador"/>
    <s v="1º Turno"/>
    <x v="0"/>
    <s v="Sim"/>
    <x v="1"/>
    <d v="2025-06-29T00:00:00"/>
    <d v="2025-06-01T00:00:00"/>
    <s v="dom"/>
    <x v="1"/>
    <x v="1"/>
    <d v="2026-01-11T00:00:00"/>
    <s v="172845837"/>
  </r>
  <r>
    <n v="1728"/>
    <n v="41"/>
    <s v="Feminino"/>
    <s v="Soldagem"/>
    <s v="Operador"/>
    <s v="1º Turno"/>
    <x v="0"/>
    <s v="Sim"/>
    <x v="1"/>
    <d v="2025-08-13T00:00:00"/>
    <d v="2025-08-01T00:00:00"/>
    <s v="qua"/>
    <x v="9"/>
    <x v="1"/>
    <d v="2026-01-11T00:00:00"/>
    <s v="172845882"/>
  </r>
  <r>
    <n v="1728"/>
    <n v="41"/>
    <s v="Feminino"/>
    <s v="Soldagem"/>
    <s v="Operador"/>
    <s v="1º Turno"/>
    <x v="0"/>
    <s v="Sim"/>
    <x v="1"/>
    <d v="2025-08-24T00:00:00"/>
    <d v="2025-08-01T00:00:00"/>
    <s v="dom"/>
    <x v="9"/>
    <x v="1"/>
    <d v="2026-01-11T00:00:00"/>
    <s v="172845893"/>
  </r>
  <r>
    <n v="1728"/>
    <n v="41"/>
    <s v="Feminino"/>
    <s v="Soldagem"/>
    <s v="Operador"/>
    <s v="1º Turno"/>
    <x v="0"/>
    <s v="Sim"/>
    <x v="1"/>
    <d v="2025-10-07T00:00:00"/>
    <d v="2025-10-01T00:00:00"/>
    <s v="ter"/>
    <x v="11"/>
    <x v="1"/>
    <d v="2026-01-11T00:00:00"/>
    <s v="172845937"/>
  </r>
  <r>
    <n v="1729"/>
    <n v="36"/>
    <s v="Masculino"/>
    <s v="Pintura"/>
    <s v="Operador"/>
    <s v="1º Turno"/>
    <x v="0"/>
    <s v="Sim"/>
    <x v="0"/>
    <d v="2025-04-01T00:00:00"/>
    <d v="2025-04-01T00:00:00"/>
    <s v="ter"/>
    <x v="2"/>
    <x v="1"/>
    <d v="2026-05-25T00:00:00"/>
    <s v="172945748"/>
  </r>
  <r>
    <n v="1729"/>
    <n v="36"/>
    <s v="Masculino"/>
    <s v="Pintura"/>
    <s v="Operador"/>
    <s v="1º Turno"/>
    <x v="0"/>
    <s v="Sim"/>
    <x v="0"/>
    <d v="2025-08-04T00:00:00"/>
    <d v="2025-08-01T00:00:00"/>
    <s v="seg"/>
    <x v="9"/>
    <x v="1"/>
    <d v="2026-05-25T00:00:00"/>
    <s v="172945873"/>
  </r>
  <r>
    <n v="1729"/>
    <n v="36"/>
    <s v="Masculino"/>
    <s v="Pintura"/>
    <s v="Operador"/>
    <s v="1º Turno"/>
    <x v="0"/>
    <s v="Sim"/>
    <x v="0"/>
    <d v="2025-10-14T00:00:00"/>
    <d v="2025-10-01T00:00:00"/>
    <s v="ter"/>
    <x v="11"/>
    <x v="1"/>
    <d v="2026-05-25T00:00:00"/>
    <s v="172945944"/>
  </r>
  <r>
    <n v="1729"/>
    <n v="36"/>
    <s v="Masculino"/>
    <s v="Pintura"/>
    <s v="Operador"/>
    <s v="1º Turno"/>
    <x v="0"/>
    <s v="Sim"/>
    <x v="0"/>
    <d v="2026-06-03T00:00:00"/>
    <d v="2026-01-01T00:00:00"/>
    <s v="qua"/>
    <x v="1"/>
    <x v="0"/>
    <d v="2026-05-25T00:00:00"/>
    <s v="172946176"/>
  </r>
  <r>
    <n v="1729"/>
    <n v="36"/>
    <s v="Masculino"/>
    <s v="Pintura"/>
    <s v="Operador"/>
    <s v="1º Turno"/>
    <x v="0"/>
    <s v="Sim"/>
    <x v="0"/>
    <d v="2026-02-05T00:00:00"/>
    <d v="2026-02-01T00:00:00"/>
    <s v="qui"/>
    <x v="3"/>
    <x v="0"/>
    <d v="2026-05-25T00:00:00"/>
    <s v="172946058"/>
  </r>
  <r>
    <n v="1730"/>
    <n v="27"/>
    <s v="Masculino"/>
    <s v="Montagem"/>
    <s v="Operador"/>
    <s v="2º Turno"/>
    <x v="5"/>
    <s v="Não"/>
    <x v="0"/>
    <d v="2025-04-10T00:00:00"/>
    <d v="2025-04-01T00:00:00"/>
    <s v="qui"/>
    <x v="2"/>
    <x v="1"/>
    <m/>
    <s v="173045757"/>
  </r>
  <r>
    <n v="1730"/>
    <n v="27"/>
    <s v="Masculino"/>
    <s v="Montagem"/>
    <s v="Operador"/>
    <s v="2º Turno"/>
    <x v="0"/>
    <s v="Não"/>
    <x v="0"/>
    <d v="2025-06-02T00:00:00"/>
    <d v="2025-06-01T00:00:00"/>
    <s v="seg"/>
    <x v="1"/>
    <x v="1"/>
    <m/>
    <s v="173045810"/>
  </r>
  <r>
    <n v="1730"/>
    <n v="27"/>
    <s v="Masculino"/>
    <s v="Montagem"/>
    <s v="Operador"/>
    <s v="2º Turno"/>
    <x v="0"/>
    <s v="Não"/>
    <x v="0"/>
    <d v="2025-10-29T00:00:00"/>
    <d v="2025-10-01T00:00:00"/>
    <s v="qua"/>
    <x v="11"/>
    <x v="1"/>
    <m/>
    <s v="173045959"/>
  </r>
  <r>
    <n v="1730"/>
    <n v="27"/>
    <s v="Masculino"/>
    <s v="Montagem"/>
    <s v="Operador"/>
    <s v="2º Turno"/>
    <x v="0"/>
    <s v="Não"/>
    <x v="0"/>
    <d v="2026-03-15T00:00:00"/>
    <d v="2026-03-01T00:00:00"/>
    <s v="dom"/>
    <x v="4"/>
    <x v="0"/>
    <m/>
    <s v="173046096"/>
  </r>
  <r>
    <n v="1730"/>
    <n v="27"/>
    <s v="Masculino"/>
    <s v="Montagem"/>
    <s v="Operador"/>
    <s v="2º Turno"/>
    <x v="0"/>
    <s v="Não"/>
    <x v="0"/>
    <d v="2026-03-20T00:00:00"/>
    <d v="2026-03-01T00:00:00"/>
    <s v="sex"/>
    <x v="4"/>
    <x v="0"/>
    <m/>
    <s v="173046101"/>
  </r>
  <r>
    <n v="1730"/>
    <n v="27"/>
    <s v="Masculino"/>
    <s v="Montagem"/>
    <s v="Operador"/>
    <s v="2º Turno"/>
    <x v="0"/>
    <s v="Não"/>
    <x v="0"/>
    <d v="2026-04-10T00:00:00"/>
    <d v="2026-04-01T00:00:00"/>
    <s v="qui"/>
    <x v="2"/>
    <x v="1"/>
    <m/>
    <s v="173046122"/>
  </r>
  <r>
    <n v="1732"/>
    <n v="23"/>
    <s v="Masculino"/>
    <s v="Montagem"/>
    <s v="Operador"/>
    <s v="3º Turno"/>
    <x v="0"/>
    <s v="Não"/>
    <x v="2"/>
    <d v="2025-10-26T00:00:00"/>
    <d v="2025-10-01T00:00:00"/>
    <s v="dom"/>
    <x v="11"/>
    <x v="1"/>
    <m/>
    <s v="173245956"/>
  </r>
  <r>
    <n v="1732"/>
    <n v="23"/>
    <s v="Masculino"/>
    <s v="Montagem"/>
    <s v="Operador"/>
    <s v="3º Turno"/>
    <x v="0"/>
    <s v="Não"/>
    <x v="2"/>
    <d v="2025-10-27T00:00:00"/>
    <d v="2025-10-01T00:00:00"/>
    <s v="seg"/>
    <x v="11"/>
    <x v="1"/>
    <m/>
    <s v="173245957"/>
  </r>
  <r>
    <n v="1732"/>
    <n v="23"/>
    <s v="Masculino"/>
    <s v="Montagem"/>
    <s v="Operador"/>
    <s v="3º Turno"/>
    <x v="0"/>
    <s v="Não"/>
    <x v="2"/>
    <d v="2025-11-25T00:00:00"/>
    <d v="2025-11-01T00:00:00"/>
    <s v="ter"/>
    <x v="10"/>
    <x v="1"/>
    <m/>
    <s v="173245986"/>
  </r>
  <r>
    <n v="1732"/>
    <n v="23"/>
    <s v="Masculino"/>
    <s v="Montagem"/>
    <s v="Operador"/>
    <s v="3º Turno"/>
    <x v="0"/>
    <s v="Não"/>
    <x v="2"/>
    <d v="2025-12-01T00:00:00"/>
    <d v="2025-12-01T00:00:00"/>
    <s v="seg"/>
    <x v="8"/>
    <x v="1"/>
    <m/>
    <s v="173245992"/>
  </r>
  <r>
    <n v="1732"/>
    <n v="23"/>
    <s v="Masculino"/>
    <s v="Montagem"/>
    <s v="Operador"/>
    <s v="3º Turno"/>
    <x v="0"/>
    <s v="Não"/>
    <x v="2"/>
    <d v="2025-12-17T00:00:00"/>
    <d v="2025-12-01T00:00:00"/>
    <s v="qua"/>
    <x v="8"/>
    <x v="1"/>
    <m/>
    <s v="173246008"/>
  </r>
  <r>
    <n v="1733"/>
    <n v="34"/>
    <s v="Feminino"/>
    <s v="Soldagem"/>
    <s v="Operador"/>
    <s v="1º Turno"/>
    <x v="0"/>
    <s v="Sim"/>
    <x v="0"/>
    <d v="2025-05-02T00:00:00"/>
    <d v="2025-05-01T00:00:00"/>
    <s v="sex"/>
    <x v="0"/>
    <x v="1"/>
    <d v="2025-11-26T00:00:00"/>
    <s v="173345779"/>
  </r>
  <r>
    <n v="1733"/>
    <n v="34"/>
    <s v="Feminino"/>
    <s v="Soldagem"/>
    <s v="Operador"/>
    <s v="1º Turno"/>
    <x v="0"/>
    <s v="Sim"/>
    <x v="0"/>
    <d v="2025-05-09T00:00:00"/>
    <d v="2025-05-01T00:00:00"/>
    <s v="sex"/>
    <x v="0"/>
    <x v="1"/>
    <d v="2025-11-26T00:00:00"/>
    <s v="173345786"/>
  </r>
  <r>
    <n v="1733"/>
    <n v="34"/>
    <s v="Feminino"/>
    <s v="Soldagem"/>
    <s v="Operador"/>
    <s v="1º Turno"/>
    <x v="0"/>
    <s v="Sim"/>
    <x v="0"/>
    <d v="2025-08-14T00:00:00"/>
    <d v="2025-08-01T00:00:00"/>
    <s v="qui"/>
    <x v="9"/>
    <x v="1"/>
    <d v="2025-11-26T00:00:00"/>
    <s v="173345883"/>
  </r>
  <r>
    <n v="1733"/>
    <n v="34"/>
    <s v="Feminino"/>
    <s v="Soldagem"/>
    <s v="Operador"/>
    <s v="1º Turno"/>
    <x v="0"/>
    <s v="Sim"/>
    <x v="0"/>
    <d v="2025-10-11T00:00:00"/>
    <d v="2025-10-01T00:00:00"/>
    <s v="sáb"/>
    <x v="11"/>
    <x v="1"/>
    <d v="2025-11-26T00:00:00"/>
    <s v="173345941"/>
  </r>
  <r>
    <n v="1733"/>
    <n v="34"/>
    <s v="Feminino"/>
    <s v="Soldagem"/>
    <s v="Operador"/>
    <s v="1º Turno"/>
    <x v="0"/>
    <s v="Sim"/>
    <x v="0"/>
    <d v="2025-11-08T00:00:00"/>
    <d v="2025-11-01T00:00:00"/>
    <s v="sáb"/>
    <x v="10"/>
    <x v="1"/>
    <d v="2025-11-26T00:00:00"/>
    <s v="173345969"/>
  </r>
  <r>
    <n v="1734"/>
    <n v="39"/>
    <s v="Feminino"/>
    <s v="Logistica"/>
    <s v="Operador"/>
    <s v="3º Turno"/>
    <x v="0"/>
    <s v="Sim"/>
    <x v="1"/>
    <d v="2025-07-22T00:00:00"/>
    <d v="2025-07-01T00:00:00"/>
    <s v="ter"/>
    <x v="6"/>
    <x v="1"/>
    <d v="2025-08-08T00:00:00"/>
    <s v="173445860"/>
  </r>
  <r>
    <n v="1734"/>
    <n v="39"/>
    <s v="Feminino"/>
    <s v="Logistica"/>
    <s v="Operador"/>
    <s v="3º Turno"/>
    <x v="0"/>
    <s v="Sim"/>
    <x v="1"/>
    <d v="2025-07-26T00:00:00"/>
    <d v="2025-07-01T00:00:00"/>
    <s v="sáb"/>
    <x v="6"/>
    <x v="1"/>
    <d v="2025-08-08T00:00:00"/>
    <s v="173445864"/>
  </r>
  <r>
    <n v="1735"/>
    <n v="30"/>
    <s v="Feminino"/>
    <s v="Montagem"/>
    <s v="Operador"/>
    <s v="2º Turno"/>
    <x v="0"/>
    <s v="Não"/>
    <x v="1"/>
    <d v="2025-06-12T00:00:00"/>
    <d v="2025-06-01T00:00:00"/>
    <s v="qui"/>
    <x v="1"/>
    <x v="1"/>
    <m/>
    <s v="173545820"/>
  </r>
  <r>
    <n v="1735"/>
    <n v="30"/>
    <s v="Feminino"/>
    <s v="Montagem"/>
    <s v="Operador"/>
    <s v="2º Turno"/>
    <x v="0"/>
    <s v="Não"/>
    <x v="1"/>
    <d v="2025-07-02T00:00:00"/>
    <d v="2025-07-01T00:00:00"/>
    <s v="qua"/>
    <x v="6"/>
    <x v="1"/>
    <m/>
    <s v="173545840"/>
  </r>
  <r>
    <n v="1735"/>
    <n v="30"/>
    <s v="Feminino"/>
    <s v="Montagem"/>
    <s v="Operador"/>
    <s v="2º Turno"/>
    <x v="0"/>
    <s v="Não"/>
    <x v="1"/>
    <d v="2025-08-13T00:00:00"/>
    <d v="2025-08-01T00:00:00"/>
    <s v="qua"/>
    <x v="9"/>
    <x v="1"/>
    <m/>
    <s v="173545882"/>
  </r>
  <r>
    <n v="1735"/>
    <n v="30"/>
    <s v="Feminino"/>
    <s v="Montagem"/>
    <s v="Operador"/>
    <s v="2º Turno"/>
    <x v="0"/>
    <s v="Não"/>
    <x v="1"/>
    <d v="2025-10-31T00:00:00"/>
    <d v="2025-10-01T00:00:00"/>
    <s v="sex"/>
    <x v="11"/>
    <x v="1"/>
    <m/>
    <s v="173545961"/>
  </r>
  <r>
    <n v="1735"/>
    <n v="30"/>
    <s v="Feminino"/>
    <s v="Montagem"/>
    <s v="Operador"/>
    <s v="2º Turno"/>
    <x v="0"/>
    <s v="Não"/>
    <x v="1"/>
    <d v="2026-02-17T00:00:00"/>
    <d v="2026-02-01T00:00:00"/>
    <s v="ter"/>
    <x v="3"/>
    <x v="0"/>
    <m/>
    <s v="173546070"/>
  </r>
  <r>
    <n v="1735"/>
    <n v="30"/>
    <s v="Feminino"/>
    <s v="Montagem"/>
    <s v="Operador"/>
    <s v="2º Turno"/>
    <x v="0"/>
    <s v="Não"/>
    <x v="1"/>
    <d v="2026-03-09T00:00:00"/>
    <d v="2026-03-01T00:00:00"/>
    <s v="seg"/>
    <x v="4"/>
    <x v="0"/>
    <m/>
    <s v="173546090"/>
  </r>
  <r>
    <n v="1736"/>
    <n v="21"/>
    <s v="Masculino"/>
    <s v="Montagem"/>
    <s v="Operador"/>
    <s v="2º Turno"/>
    <x v="0"/>
    <s v="Não"/>
    <x v="2"/>
    <d v="2025-09-14T00:00:00"/>
    <d v="2025-09-01T00:00:00"/>
    <s v="dom"/>
    <x v="7"/>
    <x v="1"/>
    <m/>
    <s v="173645914"/>
  </r>
  <r>
    <n v="1736"/>
    <n v="21"/>
    <s v="Masculino"/>
    <s v="Montagem"/>
    <s v="Operador"/>
    <s v="2º Turno"/>
    <x v="0"/>
    <s v="Não"/>
    <x v="2"/>
    <d v="2025-11-11T00:00:00"/>
    <d v="2025-11-01T00:00:00"/>
    <s v="ter"/>
    <x v="10"/>
    <x v="1"/>
    <m/>
    <s v="173645972"/>
  </r>
  <r>
    <n v="1736"/>
    <n v="21"/>
    <s v="Masculino"/>
    <s v="Montagem"/>
    <s v="Operador"/>
    <s v="2º Turno"/>
    <x v="0"/>
    <s v="Não"/>
    <x v="2"/>
    <d v="2026-02-05T00:00:00"/>
    <d v="2026-02-01T00:00:00"/>
    <s v="qui"/>
    <x v="3"/>
    <x v="0"/>
    <m/>
    <s v="173646058"/>
  </r>
  <r>
    <n v="1736"/>
    <n v="21"/>
    <s v="Masculino"/>
    <s v="Montagem"/>
    <s v="Operador"/>
    <s v="2º Turno"/>
    <x v="0"/>
    <s v="Não"/>
    <x v="2"/>
    <d v="2026-03-06T00:00:00"/>
    <d v="2026-03-01T00:00:00"/>
    <s v="sex"/>
    <x v="4"/>
    <x v="0"/>
    <m/>
    <s v="173646087"/>
  </r>
  <r>
    <n v="1737"/>
    <n v="41"/>
    <s v="Masculino"/>
    <s v="Logistica"/>
    <s v="Operador"/>
    <s v="3º Turno"/>
    <x v="5"/>
    <s v="Sim"/>
    <x v="1"/>
    <d v="2025-04-13T00:00:00"/>
    <d v="2025-04-01T00:00:00"/>
    <s v="dom"/>
    <x v="2"/>
    <x v="1"/>
    <d v="2025-08-21T00:00:00"/>
    <s v="173745760"/>
  </r>
  <r>
    <n v="1737"/>
    <n v="41"/>
    <s v="Masculino"/>
    <s v="Logistica"/>
    <s v="Operador"/>
    <s v="3º Turno"/>
    <x v="0"/>
    <s v="Sim"/>
    <x v="1"/>
    <d v="2025-05-30T00:00:00"/>
    <d v="2025-05-01T00:00:00"/>
    <s v="sex"/>
    <x v="0"/>
    <x v="1"/>
    <d v="2025-08-21T00:00:00"/>
    <s v="173745807"/>
  </r>
  <r>
    <n v="1737"/>
    <n v="41"/>
    <s v="Masculino"/>
    <s v="Logistica"/>
    <s v="Operador"/>
    <s v="3º Turno"/>
    <x v="0"/>
    <s v="Sim"/>
    <x v="1"/>
    <d v="2025-06-14T00:00:00"/>
    <d v="2025-06-01T00:00:00"/>
    <s v="sáb"/>
    <x v="1"/>
    <x v="1"/>
    <d v="2025-08-21T00:00:00"/>
    <s v="173745822"/>
  </r>
  <r>
    <n v="1737"/>
    <n v="41"/>
    <s v="Masculino"/>
    <s v="Logistica"/>
    <s v="Operador"/>
    <s v="3º Turno"/>
    <x v="0"/>
    <s v="Sim"/>
    <x v="1"/>
    <d v="2025-07-04T00:00:00"/>
    <d v="2025-07-01T00:00:00"/>
    <s v="sex"/>
    <x v="6"/>
    <x v="1"/>
    <d v="2025-08-21T00:00:00"/>
    <s v="173745842"/>
  </r>
  <r>
    <n v="1737"/>
    <n v="41"/>
    <s v="Masculino"/>
    <s v="Logistica"/>
    <s v="Operador"/>
    <s v="3º Turno"/>
    <x v="0"/>
    <s v="Sim"/>
    <x v="1"/>
    <d v="2025-07-24T00:00:00"/>
    <d v="2025-07-01T00:00:00"/>
    <s v="qui"/>
    <x v="6"/>
    <x v="1"/>
    <d v="2025-08-21T00:00:00"/>
    <s v="173745862"/>
  </r>
  <r>
    <n v="1737"/>
    <n v="41"/>
    <s v="Masculino"/>
    <s v="Logistica"/>
    <s v="Operador"/>
    <s v="3º Turno"/>
    <x v="0"/>
    <s v="Sim"/>
    <x v="1"/>
    <d v="2025-07-29T00:00:00"/>
    <d v="2025-07-01T00:00:00"/>
    <s v="ter"/>
    <x v="6"/>
    <x v="1"/>
    <d v="2025-08-21T00:00:00"/>
    <s v="173745867"/>
  </r>
  <r>
    <n v="1738"/>
    <n v="23"/>
    <s v="Masculino"/>
    <s v="Pintura"/>
    <s v="Operador"/>
    <s v="2º Turno"/>
    <x v="0"/>
    <s v="Não"/>
    <x v="0"/>
    <d v="2025-08-31T00:00:00"/>
    <d v="2025-08-01T00:00:00"/>
    <s v="dom"/>
    <x v="9"/>
    <x v="1"/>
    <m/>
    <s v="173845900"/>
  </r>
  <r>
    <n v="1738"/>
    <n v="23"/>
    <s v="Masculino"/>
    <s v="Pintura"/>
    <s v="Operador"/>
    <s v="2º Turno"/>
    <x v="0"/>
    <s v="Não"/>
    <x v="0"/>
    <d v="2025-11-13T00:00:00"/>
    <d v="2025-11-01T00:00:00"/>
    <s v="qui"/>
    <x v="10"/>
    <x v="1"/>
    <m/>
    <s v="173845974"/>
  </r>
  <r>
    <n v="1738"/>
    <n v="23"/>
    <s v="Masculino"/>
    <s v="Pintura"/>
    <s v="Operador"/>
    <s v="2º Turno"/>
    <x v="0"/>
    <s v="Não"/>
    <x v="0"/>
    <d v="2025-12-21T00:00:00"/>
    <d v="2025-12-01T00:00:00"/>
    <s v="dom"/>
    <x v="8"/>
    <x v="1"/>
    <m/>
    <s v="173846012"/>
  </r>
  <r>
    <n v="1738"/>
    <n v="23"/>
    <s v="Masculino"/>
    <s v="Pintura"/>
    <s v="Operador"/>
    <s v="2º Turno"/>
    <x v="0"/>
    <s v="Não"/>
    <x v="0"/>
    <d v="2026-03-03T00:00:00"/>
    <d v="2026-03-01T00:00:00"/>
    <s v="ter"/>
    <x v="4"/>
    <x v="0"/>
    <m/>
    <s v="173846084"/>
  </r>
  <r>
    <n v="1741"/>
    <n v="41"/>
    <s v="Masculino"/>
    <s v="Soldagem"/>
    <s v="Operador"/>
    <s v="1º Turno"/>
    <x v="0"/>
    <s v="Sim"/>
    <x v="0"/>
    <d v="2025-03-25T00:00:00"/>
    <d v="2025-03-01T00:00:00"/>
    <s v="ter"/>
    <x v="4"/>
    <x v="1"/>
    <d v="2025-07-27T00:00:00"/>
    <s v="174145741"/>
  </r>
  <r>
    <n v="1741"/>
    <n v="41"/>
    <s v="Masculino"/>
    <s v="Soldagem"/>
    <s v="Operador"/>
    <s v="1º Turno"/>
    <x v="5"/>
    <s v="Sim"/>
    <x v="0"/>
    <d v="2025-04-17T00:00:00"/>
    <d v="2025-04-01T00:00:00"/>
    <s v="qui"/>
    <x v="2"/>
    <x v="1"/>
    <d v="2025-07-27T00:00:00"/>
    <s v="174145764"/>
  </r>
  <r>
    <n v="1741"/>
    <n v="41"/>
    <s v="Masculino"/>
    <s v="Soldagem"/>
    <s v="Operador"/>
    <s v="1º Turno"/>
    <x v="0"/>
    <s v="Sim"/>
    <x v="0"/>
    <d v="2025-06-11T00:00:00"/>
    <d v="2025-06-01T00:00:00"/>
    <s v="qua"/>
    <x v="1"/>
    <x v="1"/>
    <d v="2025-07-27T00:00:00"/>
    <s v="174145819"/>
  </r>
  <r>
    <n v="1741"/>
    <n v="41"/>
    <s v="Masculino"/>
    <s v="Soldagem"/>
    <s v="Operador"/>
    <s v="1º Turno"/>
    <x v="0"/>
    <s v="Sim"/>
    <x v="0"/>
    <d v="2025-06-29T00:00:00"/>
    <d v="2025-06-01T00:00:00"/>
    <s v="dom"/>
    <x v="1"/>
    <x v="1"/>
    <d v="2025-07-27T00:00:00"/>
    <s v="174145837"/>
  </r>
  <r>
    <n v="1741"/>
    <n v="41"/>
    <s v="Masculino"/>
    <s v="Soldagem"/>
    <s v="Operador"/>
    <s v="1º Turno"/>
    <x v="0"/>
    <s v="Sim"/>
    <x v="0"/>
    <d v="2025-07-02T00:00:00"/>
    <d v="2025-07-01T00:00:00"/>
    <s v="qua"/>
    <x v="6"/>
    <x v="1"/>
    <d v="2025-07-27T00:00:00"/>
    <s v="174145840"/>
  </r>
  <r>
    <n v="1741"/>
    <n v="41"/>
    <s v="Masculino"/>
    <s v="Soldagem"/>
    <s v="Operador"/>
    <s v="1º Turno"/>
    <x v="0"/>
    <s v="Sim"/>
    <x v="0"/>
    <d v="2025-07-14T00:00:00"/>
    <d v="2025-07-01T00:00:00"/>
    <s v="seg"/>
    <x v="6"/>
    <x v="1"/>
    <d v="2025-07-27T00:00:00"/>
    <s v="174145852"/>
  </r>
  <r>
    <n v="1744"/>
    <n v="28"/>
    <s v="Feminino"/>
    <s v="Logistica"/>
    <s v="Operador"/>
    <s v="3º Turno"/>
    <x v="0"/>
    <s v="Não"/>
    <x v="0"/>
    <d v="2025-09-13T00:00:00"/>
    <d v="2025-09-01T00:00:00"/>
    <s v="sáb"/>
    <x v="7"/>
    <x v="1"/>
    <m/>
    <s v="174445913"/>
  </r>
  <r>
    <n v="1744"/>
    <n v="28"/>
    <s v="Feminino"/>
    <s v="Logistica"/>
    <s v="Operador"/>
    <s v="3º Turno"/>
    <x v="0"/>
    <s v="Não"/>
    <x v="0"/>
    <d v="2025-10-20T00:00:00"/>
    <d v="2025-10-01T00:00:00"/>
    <s v="seg"/>
    <x v="11"/>
    <x v="1"/>
    <m/>
    <s v="174445950"/>
  </r>
  <r>
    <n v="1744"/>
    <n v="28"/>
    <s v="Feminino"/>
    <s v="Logistica"/>
    <s v="Operador"/>
    <s v="3º Turno"/>
    <x v="0"/>
    <s v="Não"/>
    <x v="0"/>
    <d v="2025-11-10T00:00:00"/>
    <d v="2025-11-01T00:00:00"/>
    <s v="seg"/>
    <x v="10"/>
    <x v="1"/>
    <m/>
    <s v="174445971"/>
  </r>
  <r>
    <n v="1744"/>
    <n v="28"/>
    <s v="Feminino"/>
    <s v="Logistica"/>
    <s v="Operador"/>
    <s v="3º Turno"/>
    <x v="0"/>
    <s v="Não"/>
    <x v="0"/>
    <d v="2025-12-01T00:00:00"/>
    <d v="2025-12-01T00:00:00"/>
    <s v="seg"/>
    <x v="8"/>
    <x v="1"/>
    <m/>
    <s v="174445992"/>
  </r>
  <r>
    <n v="1744"/>
    <n v="28"/>
    <s v="Feminino"/>
    <s v="Logistica"/>
    <s v="Operador"/>
    <s v="3º Turno"/>
    <x v="0"/>
    <s v="Não"/>
    <x v="0"/>
    <d v="2026-06-09T00:00:00"/>
    <d v="2026-01-01T00:00:00"/>
    <s v="ter"/>
    <x v="1"/>
    <x v="0"/>
    <m/>
    <s v="174446182"/>
  </r>
  <r>
    <n v="1744"/>
    <n v="28"/>
    <s v="Feminino"/>
    <s v="Logistica"/>
    <s v="Operador"/>
    <s v="3º Turno"/>
    <x v="0"/>
    <s v="Não"/>
    <x v="0"/>
    <d v="2026-01-06T00:00:00"/>
    <d v="2026-01-01T00:00:00"/>
    <s v="ter"/>
    <x v="5"/>
    <x v="0"/>
    <m/>
    <s v="174446028"/>
  </r>
  <r>
    <n v="1745"/>
    <n v="41"/>
    <s v="Masculino"/>
    <s v="Logistica"/>
    <s v="Operador"/>
    <s v="3º Turno"/>
    <x v="0"/>
    <s v="Não"/>
    <x v="2"/>
    <d v="2025-04-27T00:00:00"/>
    <d v="2025-04-01T00:00:00"/>
    <s v="dom"/>
    <x v="2"/>
    <x v="1"/>
    <m/>
    <s v="174545774"/>
  </r>
  <r>
    <n v="1745"/>
    <n v="41"/>
    <s v="Masculino"/>
    <s v="Logistica"/>
    <s v="Operador"/>
    <s v="3º Turno"/>
    <x v="0"/>
    <s v="Não"/>
    <x v="2"/>
    <d v="2025-07-27T00:00:00"/>
    <d v="2025-07-01T00:00:00"/>
    <s v="dom"/>
    <x v="6"/>
    <x v="1"/>
    <m/>
    <s v="174545865"/>
  </r>
  <r>
    <n v="1745"/>
    <n v="41"/>
    <s v="Masculino"/>
    <s v="Logistica"/>
    <s v="Operador"/>
    <s v="3º Turno"/>
    <x v="0"/>
    <s v="Não"/>
    <x v="2"/>
    <d v="2025-09-09T00:00:00"/>
    <d v="2025-09-01T00:00:00"/>
    <s v="ter"/>
    <x v="7"/>
    <x v="1"/>
    <m/>
    <s v="174545909"/>
  </r>
  <r>
    <n v="1745"/>
    <n v="41"/>
    <s v="Masculino"/>
    <s v="Logistica"/>
    <s v="Operador"/>
    <s v="3º Turno"/>
    <x v="0"/>
    <s v="Não"/>
    <x v="2"/>
    <d v="2025-10-22T00:00:00"/>
    <d v="2025-10-01T00:00:00"/>
    <s v="qua"/>
    <x v="11"/>
    <x v="1"/>
    <m/>
    <s v="174545952"/>
  </r>
  <r>
    <n v="1745"/>
    <n v="41"/>
    <s v="Masculino"/>
    <s v="Logistica"/>
    <s v="Operador"/>
    <s v="3º Turno"/>
    <x v="0"/>
    <s v="Não"/>
    <x v="2"/>
    <d v="2025-11-07T00:00:00"/>
    <d v="2025-11-01T00:00:00"/>
    <s v="sex"/>
    <x v="10"/>
    <x v="1"/>
    <m/>
    <s v="174545968"/>
  </r>
  <r>
    <n v="1745"/>
    <n v="41"/>
    <s v="Masculino"/>
    <s v="Logistica"/>
    <s v="Operador"/>
    <s v="3º Turno"/>
    <x v="0"/>
    <s v="Não"/>
    <x v="2"/>
    <d v="2025-11-26T00:00:00"/>
    <d v="2025-11-01T00:00:00"/>
    <s v="qua"/>
    <x v="10"/>
    <x v="1"/>
    <m/>
    <s v="174545987"/>
  </r>
  <r>
    <n v="1745"/>
    <n v="41"/>
    <s v="Masculino"/>
    <s v="Logistica"/>
    <s v="Operador"/>
    <s v="3º Turno"/>
    <x v="0"/>
    <s v="Não"/>
    <x v="2"/>
    <d v="2026-04-27T00:00:00"/>
    <d v="2026-04-01T00:00:00"/>
    <s v="dom"/>
    <x v="2"/>
    <x v="1"/>
    <m/>
    <s v="174546139"/>
  </r>
  <r>
    <n v="1746"/>
    <n v="54"/>
    <s v="Feminino"/>
    <s v="Montagem"/>
    <s v="Operador"/>
    <s v="2º Turno"/>
    <x v="0"/>
    <s v="Não"/>
    <x v="0"/>
    <d v="2025-06-05T00:00:00"/>
    <d v="2025-06-01T00:00:00"/>
    <s v="qui"/>
    <x v="1"/>
    <x v="1"/>
    <m/>
    <s v="174645813"/>
  </r>
  <r>
    <n v="1746"/>
    <n v="54"/>
    <s v="Feminino"/>
    <s v="Montagem"/>
    <s v="Operador"/>
    <s v="2º Turno"/>
    <x v="0"/>
    <s v="Não"/>
    <x v="0"/>
    <d v="2025-07-16T00:00:00"/>
    <d v="2025-07-01T00:00:00"/>
    <s v="qua"/>
    <x v="6"/>
    <x v="1"/>
    <m/>
    <s v="174645854"/>
  </r>
  <r>
    <n v="1746"/>
    <n v="54"/>
    <s v="Feminino"/>
    <s v="Montagem"/>
    <s v="Operador"/>
    <s v="2º Turno"/>
    <x v="0"/>
    <s v="Não"/>
    <x v="0"/>
    <d v="2026-06-07T00:00:00"/>
    <d v="2026-01-01T00:00:00"/>
    <s v="dom"/>
    <x v="1"/>
    <x v="0"/>
    <m/>
    <s v="174646180"/>
  </r>
  <r>
    <n v="1747"/>
    <n v="26"/>
    <s v="Masculino"/>
    <s v="Soldagem"/>
    <s v="Operador"/>
    <s v="1º Turno"/>
    <x v="0"/>
    <s v="Não"/>
    <x v="1"/>
    <d v="2025-06-07T00:00:00"/>
    <d v="2025-06-01T00:00:00"/>
    <s v="sáb"/>
    <x v="1"/>
    <x v="1"/>
    <m/>
    <s v="174745815"/>
  </r>
  <r>
    <n v="1747"/>
    <n v="26"/>
    <s v="Masculino"/>
    <s v="Soldagem"/>
    <s v="Operador"/>
    <s v="1º Turno"/>
    <x v="0"/>
    <s v="Não"/>
    <x v="1"/>
    <d v="2025-06-08T00:00:00"/>
    <d v="2025-06-01T00:00:00"/>
    <s v="dom"/>
    <x v="1"/>
    <x v="1"/>
    <m/>
    <s v="174745816"/>
  </r>
  <r>
    <n v="1747"/>
    <n v="26"/>
    <s v="Masculino"/>
    <s v="Soldagem"/>
    <s v="Operador"/>
    <s v="1º Turno"/>
    <x v="0"/>
    <s v="Não"/>
    <x v="1"/>
    <d v="2025-06-16T00:00:00"/>
    <d v="2025-06-01T00:00:00"/>
    <s v="seg"/>
    <x v="1"/>
    <x v="1"/>
    <m/>
    <s v="174745824"/>
  </r>
  <r>
    <n v="1747"/>
    <n v="26"/>
    <s v="Masculino"/>
    <s v="Soldagem"/>
    <s v="Operador"/>
    <s v="1º Turno"/>
    <x v="0"/>
    <s v="Não"/>
    <x v="1"/>
    <d v="2026-03-13T00:00:00"/>
    <d v="2026-03-01T00:00:00"/>
    <s v="sex"/>
    <x v="4"/>
    <x v="0"/>
    <m/>
    <s v="174746094"/>
  </r>
  <r>
    <n v="1749"/>
    <n v="55"/>
    <s v="Feminino"/>
    <s v="Montagem"/>
    <s v="Operador"/>
    <s v="3º Turno"/>
    <x v="0"/>
    <s v="Não"/>
    <x v="2"/>
    <d v="2025-07-12T00:00:00"/>
    <d v="2025-07-01T00:00:00"/>
    <s v="sáb"/>
    <x v="6"/>
    <x v="1"/>
    <m/>
    <s v="174945850"/>
  </r>
  <r>
    <n v="1749"/>
    <n v="55"/>
    <s v="Feminino"/>
    <s v="Montagem"/>
    <s v="Operador"/>
    <s v="3º Turno"/>
    <x v="2"/>
    <s v="Não"/>
    <x v="2"/>
    <d v="2025-07-15T00:00:00"/>
    <d v="2025-07-01T00:00:00"/>
    <s v="ter"/>
    <x v="6"/>
    <x v="1"/>
    <m/>
    <s v="174945853"/>
  </r>
  <r>
    <n v="1749"/>
    <n v="55"/>
    <s v="Feminino"/>
    <s v="Montagem"/>
    <s v="Operador"/>
    <s v="3º Turno"/>
    <x v="2"/>
    <s v="Não"/>
    <x v="2"/>
    <d v="2025-08-20T00:00:00"/>
    <d v="2025-08-01T00:00:00"/>
    <s v="qua"/>
    <x v="9"/>
    <x v="1"/>
    <m/>
    <s v="174945889"/>
  </r>
  <r>
    <n v="1749"/>
    <n v="55"/>
    <s v="Feminino"/>
    <s v="Montagem"/>
    <s v="Operador"/>
    <s v="3º Turno"/>
    <x v="2"/>
    <s v="Não"/>
    <x v="2"/>
    <d v="2025-12-21T00:00:00"/>
    <d v="2025-12-01T00:00:00"/>
    <s v="dom"/>
    <x v="8"/>
    <x v="1"/>
    <m/>
    <s v="174946012"/>
  </r>
  <r>
    <n v="1749"/>
    <n v="55"/>
    <s v="Feminino"/>
    <s v="Montagem"/>
    <s v="Operador"/>
    <s v="3º Turno"/>
    <x v="0"/>
    <s v="Não"/>
    <x v="2"/>
    <d v="2026-06-21T00:00:00"/>
    <d v="2026-01-01T00:00:00"/>
    <s v="dom"/>
    <x v="1"/>
    <x v="0"/>
    <m/>
    <s v="174946194"/>
  </r>
  <r>
    <n v="1749"/>
    <n v="55"/>
    <s v="Feminino"/>
    <s v="Montagem"/>
    <s v="Operador"/>
    <s v="3º Turno"/>
    <x v="0"/>
    <s v="Não"/>
    <x v="2"/>
    <d v="2026-03-25T00:00:00"/>
    <d v="2026-03-01T00:00:00"/>
    <s v="qua"/>
    <x v="4"/>
    <x v="0"/>
    <m/>
    <s v="174946106"/>
  </r>
  <r>
    <n v="1750"/>
    <n v="54"/>
    <s v="Masculino"/>
    <s v="Pintura"/>
    <s v="Operador"/>
    <s v="3º Turno"/>
    <x v="2"/>
    <s v="Não"/>
    <x v="1"/>
    <d v="2025-05-10T00:00:00"/>
    <d v="2025-05-01T00:00:00"/>
    <s v="sáb"/>
    <x v="0"/>
    <x v="1"/>
    <m/>
    <s v="175045787"/>
  </r>
  <r>
    <n v="1750"/>
    <n v="54"/>
    <s v="Masculino"/>
    <s v="Pintura"/>
    <s v="Operador"/>
    <s v="3º Turno"/>
    <x v="2"/>
    <s v="Não"/>
    <x v="1"/>
    <d v="2025-09-02T00:00:00"/>
    <d v="2025-09-01T00:00:00"/>
    <s v="ter"/>
    <x v="7"/>
    <x v="1"/>
    <m/>
    <s v="175045902"/>
  </r>
  <r>
    <n v="1750"/>
    <n v="54"/>
    <s v="Masculino"/>
    <s v="Pintura"/>
    <s v="Operador"/>
    <s v="3º Turno"/>
    <x v="2"/>
    <s v="Não"/>
    <x v="1"/>
    <d v="2025-11-01T00:00:00"/>
    <d v="2025-11-01T00:00:00"/>
    <s v="sáb"/>
    <x v="10"/>
    <x v="1"/>
    <m/>
    <s v="175045962"/>
  </r>
  <r>
    <n v="1750"/>
    <n v="54"/>
    <s v="Masculino"/>
    <s v="Pintura"/>
    <s v="Operador"/>
    <s v="3º Turno"/>
    <x v="2"/>
    <s v="Não"/>
    <x v="1"/>
    <d v="2025-11-19T00:00:00"/>
    <d v="2025-11-01T00:00:00"/>
    <s v="qua"/>
    <x v="10"/>
    <x v="1"/>
    <m/>
    <s v="175045980"/>
  </r>
  <r>
    <n v="1750"/>
    <n v="54"/>
    <s v="Masculino"/>
    <s v="Pintura"/>
    <s v="Operador"/>
    <s v="3º Turno"/>
    <x v="2"/>
    <s v="Não"/>
    <x v="1"/>
    <d v="2025-12-07T00:00:00"/>
    <d v="2025-12-01T00:00:00"/>
    <s v="dom"/>
    <x v="8"/>
    <x v="1"/>
    <m/>
    <s v="175045998"/>
  </r>
  <r>
    <n v="1750"/>
    <n v="54"/>
    <s v="Masculino"/>
    <s v="Pintura"/>
    <s v="Operador"/>
    <s v="3º Turno"/>
    <x v="2"/>
    <s v="Não"/>
    <x v="1"/>
    <d v="2026-03-25T00:00:00"/>
    <d v="2026-03-01T00:00:00"/>
    <s v="qua"/>
    <x v="4"/>
    <x v="0"/>
    <m/>
    <s v="175046106"/>
  </r>
  <r>
    <n v="1750"/>
    <n v="54"/>
    <s v="Masculino"/>
    <s v="Pintura"/>
    <s v="Operador"/>
    <s v="3º Turno"/>
    <x v="2"/>
    <s v="Não"/>
    <x v="1"/>
    <d v="2026-05-10T00:00:00"/>
    <d v="2026-05-01T00:00:00"/>
    <s v="sáb"/>
    <x v="0"/>
    <x v="1"/>
    <m/>
    <s v="175046152"/>
  </r>
  <r>
    <n v="1751"/>
    <n v="43"/>
    <s v="Masculino"/>
    <s v="Soldagem"/>
    <s v="Operador"/>
    <s v="3º Turno"/>
    <x v="5"/>
    <s v="Sim"/>
    <x v="2"/>
    <d v="2025-01-16T00:00:00"/>
    <d v="2025-01-01T00:00:00"/>
    <s v="qui"/>
    <x v="5"/>
    <x v="1"/>
    <d v="2025-06-23T00:00:00"/>
    <s v="175145673"/>
  </r>
  <r>
    <n v="1751"/>
    <n v="43"/>
    <s v="Masculino"/>
    <s v="Soldagem"/>
    <s v="Operador"/>
    <s v="3º Turno"/>
    <x v="3"/>
    <s v="Sim"/>
    <x v="2"/>
    <d v="2025-02-21T00:00:00"/>
    <d v="2025-02-01T00:00:00"/>
    <s v="sex"/>
    <x v="3"/>
    <x v="1"/>
    <d v="2025-06-23T00:00:00"/>
    <s v="175145709"/>
  </r>
  <r>
    <n v="1751"/>
    <n v="43"/>
    <s v="Masculino"/>
    <s v="Soldagem"/>
    <s v="Operador"/>
    <s v="3º Turno"/>
    <x v="2"/>
    <s v="Sim"/>
    <x v="2"/>
    <d v="2025-05-20T00:00:00"/>
    <d v="2025-05-01T00:00:00"/>
    <s v="ter"/>
    <x v="0"/>
    <x v="1"/>
    <d v="2025-06-23T00:00:00"/>
    <s v="175145797"/>
  </r>
  <r>
    <n v="1751"/>
    <n v="43"/>
    <s v="Masculino"/>
    <s v="Soldagem"/>
    <s v="Operador"/>
    <s v="3º Turno"/>
    <x v="2"/>
    <s v="Sim"/>
    <x v="2"/>
    <d v="2025-06-03T00:00:00"/>
    <d v="2025-06-01T00:00:00"/>
    <s v="ter"/>
    <x v="1"/>
    <x v="1"/>
    <d v="2025-06-23T00:00:00"/>
    <s v="175145811"/>
  </r>
  <r>
    <n v="1751"/>
    <n v="43"/>
    <s v="Masculino"/>
    <s v="Soldagem"/>
    <s v="Operador"/>
    <s v="3º Turno"/>
    <x v="3"/>
    <s v="Sim"/>
    <x v="2"/>
    <d v="2025-06-18T00:00:00"/>
    <d v="2025-06-01T00:00:00"/>
    <s v="qua"/>
    <x v="1"/>
    <x v="1"/>
    <d v="2025-06-23T00:00:00"/>
    <s v="175145826"/>
  </r>
  <r>
    <n v="1751"/>
    <n v="43"/>
    <s v="Masculino"/>
    <s v="Soldagem"/>
    <s v="Operador"/>
    <s v="3º Turno"/>
    <x v="2"/>
    <s v="Sim"/>
    <x v="2"/>
    <d v="2025-06-19T00:00:00"/>
    <d v="2025-06-01T00:00:00"/>
    <s v="qui"/>
    <x v="1"/>
    <x v="1"/>
    <d v="2025-06-23T00:00:00"/>
    <s v="175145827"/>
  </r>
  <r>
    <n v="1752"/>
    <n v="38"/>
    <s v="Masculino"/>
    <s v="Qualidade"/>
    <s v="Analista"/>
    <s v="2º Turno"/>
    <x v="3"/>
    <s v="Não"/>
    <x v="1"/>
    <d v="2025-04-16T00:00:00"/>
    <d v="2025-04-01T00:00:00"/>
    <s v="qua"/>
    <x v="2"/>
    <x v="1"/>
    <m/>
    <s v="175245763"/>
  </r>
  <r>
    <n v="1752"/>
    <n v="38"/>
    <s v="Masculino"/>
    <s v="Qualidade"/>
    <s v="Analista"/>
    <s v="2º Turno"/>
    <x v="3"/>
    <s v="Não"/>
    <x v="1"/>
    <d v="2025-04-19T00:00:00"/>
    <d v="2025-04-01T00:00:00"/>
    <s v="sáb"/>
    <x v="2"/>
    <x v="1"/>
    <m/>
    <s v="175245766"/>
  </r>
  <r>
    <n v="1752"/>
    <n v="38"/>
    <s v="Masculino"/>
    <s v="Qualidade"/>
    <s v="Analista"/>
    <s v="2º Turno"/>
    <x v="3"/>
    <s v="Não"/>
    <x v="1"/>
    <d v="2025-06-11T00:00:00"/>
    <d v="2025-06-01T00:00:00"/>
    <s v="qua"/>
    <x v="1"/>
    <x v="1"/>
    <m/>
    <s v="175245819"/>
  </r>
  <r>
    <n v="1752"/>
    <n v="38"/>
    <s v="Masculino"/>
    <s v="Qualidade"/>
    <s v="Analista"/>
    <s v="2º Turno"/>
    <x v="3"/>
    <s v="Não"/>
    <x v="1"/>
    <d v="2025-12-11T00:00:00"/>
    <d v="2025-12-01T00:00:00"/>
    <s v="qui"/>
    <x v="8"/>
    <x v="1"/>
    <m/>
    <s v="175246002"/>
  </r>
  <r>
    <n v="1752"/>
    <n v="38"/>
    <s v="Masculino"/>
    <s v="Qualidade"/>
    <s v="Analista"/>
    <s v="2º Turno"/>
    <x v="3"/>
    <s v="Não"/>
    <x v="1"/>
    <d v="2025-12-18T00:00:00"/>
    <d v="2025-12-01T00:00:00"/>
    <s v="qui"/>
    <x v="8"/>
    <x v="1"/>
    <m/>
    <s v="175246009"/>
  </r>
  <r>
    <n v="1752"/>
    <n v="38"/>
    <s v="Masculino"/>
    <s v="Qualidade"/>
    <s v="Analista"/>
    <s v="2º Turno"/>
    <x v="3"/>
    <s v="Não"/>
    <x v="1"/>
    <d v="2026-03-25T00:00:00"/>
    <d v="2026-03-01T00:00:00"/>
    <s v="qua"/>
    <x v="4"/>
    <x v="0"/>
    <m/>
    <s v="175246106"/>
  </r>
  <r>
    <n v="1752"/>
    <n v="38"/>
    <s v="Masculino"/>
    <s v="Qualidade"/>
    <s v="Analista"/>
    <s v="2º Turno"/>
    <x v="3"/>
    <s v="Não"/>
    <x v="1"/>
    <d v="2026-04-16T00:00:00"/>
    <d v="2026-04-01T00:00:00"/>
    <s v="qua"/>
    <x v="2"/>
    <x v="1"/>
    <m/>
    <s v="175246128"/>
  </r>
  <r>
    <n v="1752"/>
    <n v="38"/>
    <s v="Masculino"/>
    <s v="Qualidade"/>
    <s v="Analista"/>
    <s v="2º Turno"/>
    <x v="3"/>
    <s v="Não"/>
    <x v="1"/>
    <d v="2026-04-19T00:00:00"/>
    <d v="2026-04-01T00:00:00"/>
    <s v="sáb"/>
    <x v="2"/>
    <x v="1"/>
    <m/>
    <s v="175246131"/>
  </r>
  <r>
    <n v="1752"/>
    <n v="38"/>
    <s v="Masculino"/>
    <s v="Qualidade"/>
    <s v="Analista"/>
    <s v="2º Turno"/>
    <x v="3"/>
    <s v="Não"/>
    <x v="1"/>
    <d v="2026-05-03T00:00:00"/>
    <d v="2026-05-01T00:00:00"/>
    <s v="dom"/>
    <x v="0"/>
    <x v="0"/>
    <m/>
    <s v="175246145"/>
  </r>
  <r>
    <n v="1753"/>
    <n v="24"/>
    <s v="Feminino"/>
    <s v="Montagem"/>
    <s v="Operador"/>
    <s v="2º Turno"/>
    <x v="0"/>
    <s v="Sim"/>
    <x v="1"/>
    <d v="2025-01-16T00:00:00"/>
    <d v="2025-01-01T00:00:00"/>
    <s v="qui"/>
    <x v="5"/>
    <x v="1"/>
    <d v="2025-05-07T00:00:00"/>
    <s v="175345673"/>
  </r>
  <r>
    <n v="1753"/>
    <n v="24"/>
    <s v="Feminino"/>
    <s v="Montagem"/>
    <s v="Operador"/>
    <s v="2º Turno"/>
    <x v="0"/>
    <s v="Sim"/>
    <x v="1"/>
    <d v="2025-02-21T00:00:00"/>
    <d v="2025-02-01T00:00:00"/>
    <s v="sex"/>
    <x v="3"/>
    <x v="1"/>
    <d v="2025-05-07T00:00:00"/>
    <s v="175345709"/>
  </r>
  <r>
    <n v="1753"/>
    <n v="24"/>
    <s v="Feminino"/>
    <s v="Montagem"/>
    <s v="Operador"/>
    <s v="2º Turno"/>
    <x v="0"/>
    <s v="Sim"/>
    <x v="1"/>
    <d v="2025-04-24T00:00:00"/>
    <d v="2025-04-01T00:00:00"/>
    <s v="qui"/>
    <x v="2"/>
    <x v="1"/>
    <d v="2025-05-07T00:00:00"/>
    <s v="175345771"/>
  </r>
  <r>
    <n v="1753"/>
    <n v="24"/>
    <s v="Feminino"/>
    <s v="Montagem"/>
    <s v="Operador"/>
    <s v="2º Turno"/>
    <x v="3"/>
    <s v="Sim"/>
    <x v="1"/>
    <d v="2025-04-25T00:00:00"/>
    <d v="2025-04-01T00:00:00"/>
    <s v="sex"/>
    <x v="2"/>
    <x v="1"/>
    <d v="2025-05-07T00:00:00"/>
    <s v="175345772"/>
  </r>
  <r>
    <n v="1753"/>
    <n v="24"/>
    <s v="Feminino"/>
    <s v="Montagem"/>
    <s v="Operador"/>
    <s v="2º Turno"/>
    <x v="5"/>
    <s v="Sim"/>
    <x v="1"/>
    <d v="2025-04-26T00:00:00"/>
    <d v="2025-04-01T00:00:00"/>
    <s v="sáb"/>
    <x v="2"/>
    <x v="1"/>
    <d v="2025-05-07T00:00:00"/>
    <s v="175345773"/>
  </r>
  <r>
    <n v="1753"/>
    <n v="24"/>
    <s v="Feminino"/>
    <s v="Montagem"/>
    <s v="Operador"/>
    <s v="2º Turno"/>
    <x v="0"/>
    <s v="Sim"/>
    <x v="1"/>
    <d v="2025-05-01T00:00:00"/>
    <d v="2025-05-01T00:00:00"/>
    <s v="qui"/>
    <x v="0"/>
    <x v="1"/>
    <d v="2025-05-07T00:00:00"/>
    <s v="175345778"/>
  </r>
  <r>
    <n v="1754"/>
    <n v="28"/>
    <s v="Masculino"/>
    <s v="Qualidade"/>
    <s v="Inspetor"/>
    <s v="2º Turno"/>
    <x v="0"/>
    <s v="Não"/>
    <x v="0"/>
    <d v="2025-04-28T00:00:00"/>
    <d v="2025-04-01T00:00:00"/>
    <s v="seg"/>
    <x v="2"/>
    <x v="1"/>
    <m/>
    <s v="175445775"/>
  </r>
  <r>
    <n v="1754"/>
    <n v="28"/>
    <s v="Masculino"/>
    <s v="Qualidade"/>
    <s v="Inspetor"/>
    <s v="2º Turno"/>
    <x v="0"/>
    <s v="Não"/>
    <x v="0"/>
    <d v="2025-08-07T00:00:00"/>
    <d v="2025-08-01T00:00:00"/>
    <s v="qui"/>
    <x v="9"/>
    <x v="1"/>
    <m/>
    <s v="175445876"/>
  </r>
  <r>
    <n v="1754"/>
    <n v="28"/>
    <s v="Masculino"/>
    <s v="Qualidade"/>
    <s v="Inspetor"/>
    <s v="2º Turno"/>
    <x v="0"/>
    <s v="Não"/>
    <x v="0"/>
    <d v="2025-11-13T00:00:00"/>
    <d v="2025-11-01T00:00:00"/>
    <s v="qui"/>
    <x v="10"/>
    <x v="1"/>
    <m/>
    <s v="175445974"/>
  </r>
  <r>
    <n v="1754"/>
    <n v="28"/>
    <s v="Masculino"/>
    <s v="Qualidade"/>
    <s v="Inspetor"/>
    <s v="2º Turno"/>
    <x v="0"/>
    <s v="Não"/>
    <x v="0"/>
    <d v="2025-11-18T00:00:00"/>
    <d v="2025-11-01T00:00:00"/>
    <s v="ter"/>
    <x v="10"/>
    <x v="1"/>
    <m/>
    <s v="175445979"/>
  </r>
  <r>
    <n v="1754"/>
    <n v="28"/>
    <s v="Masculino"/>
    <s v="Qualidade"/>
    <s v="Inspetor"/>
    <s v="2º Turno"/>
    <x v="0"/>
    <s v="Não"/>
    <x v="0"/>
    <d v="2026-02-04T00:00:00"/>
    <d v="2026-02-01T00:00:00"/>
    <s v="qua"/>
    <x v="3"/>
    <x v="0"/>
    <m/>
    <s v="175446057"/>
  </r>
  <r>
    <n v="1754"/>
    <n v="28"/>
    <s v="Masculino"/>
    <s v="Qualidade"/>
    <s v="Inspetor"/>
    <s v="2º Turno"/>
    <x v="0"/>
    <s v="Não"/>
    <x v="0"/>
    <d v="2026-04-28T00:00:00"/>
    <d v="2026-04-01T00:00:00"/>
    <s v="seg"/>
    <x v="2"/>
    <x v="1"/>
    <m/>
    <s v="175446140"/>
  </r>
  <r>
    <n v="1756"/>
    <n v="41"/>
    <s v="Masculino"/>
    <s v="Soldagem"/>
    <s v="Operador"/>
    <s v="2º Turno"/>
    <x v="0"/>
    <s v="Não"/>
    <x v="0"/>
    <d v="2025-07-13T00:00:00"/>
    <d v="2025-07-01T00:00:00"/>
    <s v="dom"/>
    <x v="6"/>
    <x v="1"/>
    <m/>
    <s v="175645851"/>
  </r>
  <r>
    <n v="1756"/>
    <n v="41"/>
    <s v="Masculino"/>
    <s v="Soldagem"/>
    <s v="Operador"/>
    <s v="2º Turno"/>
    <x v="0"/>
    <s v="Não"/>
    <x v="0"/>
    <d v="2025-10-11T00:00:00"/>
    <d v="2025-10-01T00:00:00"/>
    <s v="sáb"/>
    <x v="11"/>
    <x v="1"/>
    <m/>
    <s v="175645941"/>
  </r>
  <r>
    <n v="1756"/>
    <n v="41"/>
    <s v="Masculino"/>
    <s v="Soldagem"/>
    <s v="Operador"/>
    <s v="2º Turno"/>
    <x v="0"/>
    <s v="Não"/>
    <x v="0"/>
    <d v="2025-10-14T00:00:00"/>
    <d v="2025-10-01T00:00:00"/>
    <s v="ter"/>
    <x v="11"/>
    <x v="1"/>
    <m/>
    <s v="175645944"/>
  </r>
  <r>
    <n v="1756"/>
    <n v="41"/>
    <s v="Masculino"/>
    <s v="Soldagem"/>
    <s v="Operador"/>
    <s v="2º Turno"/>
    <x v="0"/>
    <s v="Não"/>
    <x v="0"/>
    <d v="2026-06-05T00:00:00"/>
    <d v="2026-01-01T00:00:00"/>
    <s v="sex"/>
    <x v="1"/>
    <x v="0"/>
    <m/>
    <s v="175646178"/>
  </r>
  <r>
    <n v="1757"/>
    <n v="53"/>
    <s v="Masculino"/>
    <s v="Logistica"/>
    <s v="Operador"/>
    <s v="3º Turno"/>
    <x v="1"/>
    <s v="Não"/>
    <x v="1"/>
    <d v="2025-06-15T00:00:00"/>
    <d v="2025-06-01T00:00:00"/>
    <s v="dom"/>
    <x v="1"/>
    <x v="1"/>
    <m/>
    <s v="175745823"/>
  </r>
  <r>
    <n v="1757"/>
    <n v="53"/>
    <s v="Masculino"/>
    <s v="Logistica"/>
    <s v="Operador"/>
    <s v="3º Turno"/>
    <x v="1"/>
    <s v="Não"/>
    <x v="1"/>
    <d v="2025-07-08T00:00:00"/>
    <d v="2025-07-01T00:00:00"/>
    <s v="ter"/>
    <x v="6"/>
    <x v="1"/>
    <m/>
    <s v="175745846"/>
  </r>
  <r>
    <n v="1757"/>
    <n v="53"/>
    <s v="Masculino"/>
    <s v="Logistica"/>
    <s v="Operador"/>
    <s v="3º Turno"/>
    <x v="1"/>
    <s v="Não"/>
    <x v="1"/>
    <d v="2025-09-02T00:00:00"/>
    <d v="2025-09-01T00:00:00"/>
    <s v="ter"/>
    <x v="7"/>
    <x v="1"/>
    <m/>
    <s v="175745902"/>
  </r>
  <r>
    <n v="1757"/>
    <n v="53"/>
    <s v="Masculino"/>
    <s v="Logistica"/>
    <s v="Operador"/>
    <s v="3º Turno"/>
    <x v="1"/>
    <s v="Não"/>
    <x v="1"/>
    <d v="2025-09-04T00:00:00"/>
    <d v="2025-09-01T00:00:00"/>
    <s v="qui"/>
    <x v="7"/>
    <x v="1"/>
    <m/>
    <s v="175745904"/>
  </r>
  <r>
    <n v="1757"/>
    <n v="53"/>
    <s v="Masculino"/>
    <s v="Logistica"/>
    <s v="Operador"/>
    <s v="3º Turno"/>
    <x v="1"/>
    <s v="Não"/>
    <x v="1"/>
    <d v="2025-12-21T00:00:00"/>
    <d v="2025-12-01T00:00:00"/>
    <s v="dom"/>
    <x v="8"/>
    <x v="1"/>
    <m/>
    <s v="175746012"/>
  </r>
  <r>
    <n v="1757"/>
    <n v="53"/>
    <s v="Masculino"/>
    <s v="Logistica"/>
    <s v="Operador"/>
    <s v="3º Turno"/>
    <x v="1"/>
    <s v="Não"/>
    <x v="1"/>
    <d v="2026-03-02T00:00:00"/>
    <d v="2026-03-01T00:00:00"/>
    <s v="seg"/>
    <x v="4"/>
    <x v="0"/>
    <m/>
    <s v="175746083"/>
  </r>
  <r>
    <n v="1759"/>
    <n v="57"/>
    <s v="Masculino"/>
    <s v="Montagem"/>
    <s v="Operador"/>
    <s v="3º Turno"/>
    <x v="1"/>
    <s v="Não"/>
    <x v="0"/>
    <d v="2025-07-16T00:00:00"/>
    <d v="2025-07-01T00:00:00"/>
    <s v="qua"/>
    <x v="6"/>
    <x v="1"/>
    <m/>
    <s v="175945854"/>
  </r>
  <r>
    <n v="1759"/>
    <n v="57"/>
    <s v="Masculino"/>
    <s v="Montagem"/>
    <s v="Operador"/>
    <s v="3º Turno"/>
    <x v="1"/>
    <s v="Não"/>
    <x v="0"/>
    <d v="2025-10-23T00:00:00"/>
    <d v="2025-10-01T00:00:00"/>
    <s v="qui"/>
    <x v="11"/>
    <x v="1"/>
    <m/>
    <s v="175945953"/>
  </r>
  <r>
    <n v="1759"/>
    <n v="57"/>
    <s v="Masculino"/>
    <s v="Montagem"/>
    <s v="Operador"/>
    <s v="3º Turno"/>
    <x v="1"/>
    <s v="Não"/>
    <x v="0"/>
    <d v="2025-11-15T00:00:00"/>
    <d v="2025-11-01T00:00:00"/>
    <s v="sáb"/>
    <x v="10"/>
    <x v="1"/>
    <m/>
    <s v="175945976"/>
  </r>
  <r>
    <n v="1759"/>
    <n v="57"/>
    <s v="Masculino"/>
    <s v="Montagem"/>
    <s v="Operador"/>
    <s v="3º Turno"/>
    <x v="1"/>
    <s v="Não"/>
    <x v="0"/>
    <d v="2025-12-25T00:00:00"/>
    <d v="2025-12-01T00:00:00"/>
    <s v="qui"/>
    <x v="8"/>
    <x v="1"/>
    <m/>
    <s v="175946016"/>
  </r>
  <r>
    <n v="1760"/>
    <n v="37"/>
    <s v="Masculino"/>
    <s v="Logistica"/>
    <s v="Operador"/>
    <s v="2º Turno"/>
    <x v="1"/>
    <s v="Não"/>
    <x v="2"/>
    <d v="2025-06-25T00:00:00"/>
    <d v="2025-06-01T00:00:00"/>
    <s v="qua"/>
    <x v="1"/>
    <x v="1"/>
    <m/>
    <s v="176045833"/>
  </r>
  <r>
    <n v="1760"/>
    <n v="37"/>
    <s v="Masculino"/>
    <s v="Logistica"/>
    <s v="Operador"/>
    <s v="2º Turno"/>
    <x v="1"/>
    <s v="Não"/>
    <x v="2"/>
    <d v="2025-07-13T00:00:00"/>
    <d v="2025-07-01T00:00:00"/>
    <s v="dom"/>
    <x v="6"/>
    <x v="1"/>
    <m/>
    <s v="176045851"/>
  </r>
  <r>
    <n v="1760"/>
    <n v="37"/>
    <s v="Masculino"/>
    <s v="Logistica"/>
    <s v="Operador"/>
    <s v="2º Turno"/>
    <x v="0"/>
    <s v="Não"/>
    <x v="2"/>
    <d v="2025-07-27T00:00:00"/>
    <d v="2025-07-01T00:00:00"/>
    <s v="dom"/>
    <x v="6"/>
    <x v="1"/>
    <m/>
    <s v="176045865"/>
  </r>
  <r>
    <n v="1760"/>
    <n v="37"/>
    <s v="Masculino"/>
    <s v="Logistica"/>
    <s v="Operador"/>
    <s v="2º Turno"/>
    <x v="1"/>
    <s v="Não"/>
    <x v="2"/>
    <d v="2025-10-01T00:00:00"/>
    <d v="2025-10-01T00:00:00"/>
    <s v="qua"/>
    <x v="11"/>
    <x v="1"/>
    <m/>
    <s v="176045931"/>
  </r>
  <r>
    <n v="1760"/>
    <n v="37"/>
    <s v="Masculino"/>
    <s v="Logistica"/>
    <s v="Operador"/>
    <s v="2º Turno"/>
    <x v="1"/>
    <s v="Não"/>
    <x v="2"/>
    <d v="2025-10-09T00:00:00"/>
    <d v="2025-10-01T00:00:00"/>
    <s v="qui"/>
    <x v="11"/>
    <x v="1"/>
    <m/>
    <s v="176045939"/>
  </r>
  <r>
    <n v="1760"/>
    <n v="37"/>
    <s v="Masculino"/>
    <s v="Logistica"/>
    <s v="Operador"/>
    <s v="2º Turno"/>
    <x v="1"/>
    <s v="Não"/>
    <x v="2"/>
    <d v="2026-02-26T00:00:00"/>
    <d v="2026-02-01T00:00:00"/>
    <s v="qui"/>
    <x v="3"/>
    <x v="0"/>
    <m/>
    <s v="176046079"/>
  </r>
  <r>
    <n v="1761"/>
    <n v="55"/>
    <s v="Feminino"/>
    <s v="Pintura"/>
    <s v="Operador"/>
    <s v="3º Turno"/>
    <x v="0"/>
    <s v="Sim"/>
    <x v="2"/>
    <d v="2025-01-18T00:00:00"/>
    <d v="2025-01-01T00:00:00"/>
    <s v="sáb"/>
    <x v="5"/>
    <x v="1"/>
    <d v="2025-05-25T00:00:00"/>
    <s v="176145675"/>
  </r>
  <r>
    <n v="1761"/>
    <n v="55"/>
    <s v="Feminino"/>
    <s v="Pintura"/>
    <s v="Operador"/>
    <s v="3º Turno"/>
    <x v="0"/>
    <s v="Sim"/>
    <x v="2"/>
    <d v="2025-03-17T00:00:00"/>
    <d v="2025-03-01T00:00:00"/>
    <s v="seg"/>
    <x v="4"/>
    <x v="1"/>
    <d v="2025-05-25T00:00:00"/>
    <s v="176145733"/>
  </r>
  <r>
    <n v="1761"/>
    <n v="55"/>
    <s v="Feminino"/>
    <s v="Pintura"/>
    <s v="Operador"/>
    <s v="3º Turno"/>
    <x v="0"/>
    <s v="Sim"/>
    <x v="2"/>
    <d v="2025-05-13T00:00:00"/>
    <d v="2025-05-01T00:00:00"/>
    <s v="ter"/>
    <x v="0"/>
    <x v="1"/>
    <d v="2025-05-25T00:00:00"/>
    <s v="176145790"/>
  </r>
  <r>
    <n v="1761"/>
    <n v="55"/>
    <s v="Feminino"/>
    <s v="Pintura"/>
    <s v="Operador"/>
    <s v="3º Turno"/>
    <x v="0"/>
    <s v="Sim"/>
    <x v="2"/>
    <d v="2025-05-18T00:00:00"/>
    <d v="2025-05-01T00:00:00"/>
    <s v="dom"/>
    <x v="0"/>
    <x v="1"/>
    <d v="2025-05-25T00:00:00"/>
    <s v="176145795"/>
  </r>
  <r>
    <n v="1761"/>
    <n v="55"/>
    <s v="Feminino"/>
    <s v="Pintura"/>
    <s v="Operador"/>
    <s v="3º Turno"/>
    <x v="0"/>
    <s v="Sim"/>
    <x v="2"/>
    <d v="2025-05-19T00:00:00"/>
    <d v="2025-05-01T00:00:00"/>
    <s v="seg"/>
    <x v="0"/>
    <x v="1"/>
    <d v="2025-05-25T00:00:00"/>
    <s v="176145796"/>
  </r>
  <r>
    <n v="1761"/>
    <n v="55"/>
    <s v="Feminino"/>
    <s v="Pintura"/>
    <s v="Operador"/>
    <s v="3º Turno"/>
    <x v="0"/>
    <s v="Sim"/>
    <x v="2"/>
    <d v="2025-05-21T00:00:00"/>
    <d v="2025-05-01T00:00:00"/>
    <s v="qua"/>
    <x v="0"/>
    <x v="1"/>
    <d v="2025-05-25T00:00:00"/>
    <s v="176145798"/>
  </r>
  <r>
    <n v="1762"/>
    <n v="25"/>
    <s v="Feminino"/>
    <s v="Montagem"/>
    <s v="Operador"/>
    <s v="2º Turno"/>
    <x v="0"/>
    <s v="Não"/>
    <x v="1"/>
    <d v="2025-10-07T00:00:00"/>
    <d v="2025-10-01T00:00:00"/>
    <s v="ter"/>
    <x v="11"/>
    <x v="1"/>
    <m/>
    <s v="176245937"/>
  </r>
  <r>
    <n v="1762"/>
    <n v="25"/>
    <s v="Feminino"/>
    <s v="Montagem"/>
    <s v="Operador"/>
    <s v="2º Turno"/>
    <x v="0"/>
    <s v="Não"/>
    <x v="1"/>
    <d v="2025-10-10T00:00:00"/>
    <d v="2025-10-01T00:00:00"/>
    <s v="sex"/>
    <x v="11"/>
    <x v="1"/>
    <m/>
    <s v="176245940"/>
  </r>
  <r>
    <n v="1762"/>
    <n v="25"/>
    <s v="Feminino"/>
    <s v="Montagem"/>
    <s v="Operador"/>
    <s v="2º Turno"/>
    <x v="0"/>
    <s v="Não"/>
    <x v="1"/>
    <d v="2026-06-13T00:00:00"/>
    <d v="2026-01-01T00:00:00"/>
    <s v="sáb"/>
    <x v="1"/>
    <x v="0"/>
    <m/>
    <s v="176246186"/>
  </r>
  <r>
    <n v="1762"/>
    <n v="25"/>
    <s v="Feminino"/>
    <s v="Montagem"/>
    <s v="Operador"/>
    <s v="2º Turno"/>
    <x v="0"/>
    <s v="Não"/>
    <x v="1"/>
    <d v="2026-02-12T00:00:00"/>
    <d v="2026-02-01T00:00:00"/>
    <s v="qui"/>
    <x v="3"/>
    <x v="0"/>
    <m/>
    <s v="176246065"/>
  </r>
  <r>
    <n v="1762"/>
    <n v="25"/>
    <s v="Feminino"/>
    <s v="Montagem"/>
    <s v="Operador"/>
    <s v="2º Turno"/>
    <x v="0"/>
    <s v="Não"/>
    <x v="1"/>
    <d v="2026-02-15T00:00:00"/>
    <d v="2026-02-01T00:00:00"/>
    <s v="dom"/>
    <x v="3"/>
    <x v="0"/>
    <m/>
    <s v="176246068"/>
  </r>
  <r>
    <n v="1762"/>
    <n v="25"/>
    <s v="Feminino"/>
    <s v="Montagem"/>
    <s v="Operador"/>
    <s v="2º Turno"/>
    <x v="0"/>
    <s v="Não"/>
    <x v="1"/>
    <d v="2026-03-25T00:00:00"/>
    <d v="2026-03-01T00:00:00"/>
    <s v="qua"/>
    <x v="4"/>
    <x v="0"/>
    <m/>
    <s v="176246106"/>
  </r>
  <r>
    <n v="1763"/>
    <n v="21"/>
    <s v="Feminino"/>
    <s v="Soldagem"/>
    <s v="Operador"/>
    <s v="3º Turno"/>
    <x v="0"/>
    <s v="Não"/>
    <x v="0"/>
    <d v="2025-07-02T00:00:00"/>
    <d v="2025-07-01T00:00:00"/>
    <s v="qua"/>
    <x v="6"/>
    <x v="1"/>
    <m/>
    <s v="176345840"/>
  </r>
  <r>
    <n v="1763"/>
    <n v="21"/>
    <s v="Feminino"/>
    <s v="Soldagem"/>
    <s v="Operador"/>
    <s v="3º Turno"/>
    <x v="0"/>
    <s v="Não"/>
    <x v="0"/>
    <d v="2025-08-21T00:00:00"/>
    <d v="2025-08-01T00:00:00"/>
    <s v="qui"/>
    <x v="9"/>
    <x v="1"/>
    <m/>
    <s v="176345890"/>
  </r>
  <r>
    <n v="1763"/>
    <n v="21"/>
    <s v="Feminino"/>
    <s v="Soldagem"/>
    <s v="Operador"/>
    <s v="3º Turno"/>
    <x v="0"/>
    <s v="Não"/>
    <x v="0"/>
    <d v="2025-09-11T00:00:00"/>
    <d v="2025-09-01T00:00:00"/>
    <s v="qui"/>
    <x v="7"/>
    <x v="1"/>
    <m/>
    <s v="176345911"/>
  </r>
  <r>
    <n v="1763"/>
    <n v="21"/>
    <s v="Feminino"/>
    <s v="Soldagem"/>
    <s v="Operador"/>
    <s v="3º Turno"/>
    <x v="0"/>
    <s v="Não"/>
    <x v="0"/>
    <d v="2025-10-15T00:00:00"/>
    <d v="2025-10-01T00:00:00"/>
    <s v="qua"/>
    <x v="11"/>
    <x v="1"/>
    <m/>
    <s v="176345945"/>
  </r>
  <r>
    <n v="1763"/>
    <n v="21"/>
    <s v="Feminino"/>
    <s v="Soldagem"/>
    <s v="Operador"/>
    <s v="3º Turno"/>
    <x v="0"/>
    <s v="Não"/>
    <x v="0"/>
    <d v="2026-06-11T00:00:00"/>
    <d v="2026-01-01T00:00:00"/>
    <s v="qui"/>
    <x v="1"/>
    <x v="0"/>
    <m/>
    <s v="176346184"/>
  </r>
  <r>
    <n v="1763"/>
    <n v="21"/>
    <s v="Feminino"/>
    <s v="Soldagem"/>
    <s v="Operador"/>
    <s v="3º Turno"/>
    <x v="0"/>
    <s v="Não"/>
    <x v="0"/>
    <d v="2026-06-15T00:00:00"/>
    <d v="2026-01-01T00:00:00"/>
    <s v="seg"/>
    <x v="1"/>
    <x v="0"/>
    <m/>
    <s v="176346188"/>
  </r>
  <r>
    <n v="1766"/>
    <n v="27"/>
    <s v="Masculino"/>
    <s v="Montagem"/>
    <s v="Operador"/>
    <s v="3º Turno"/>
    <x v="2"/>
    <s v="Não"/>
    <x v="2"/>
    <d v="2025-06-21T00:00:00"/>
    <d v="2025-06-01T00:00:00"/>
    <s v="sáb"/>
    <x v="1"/>
    <x v="1"/>
    <m/>
    <s v="176645829"/>
  </r>
  <r>
    <n v="1766"/>
    <n v="27"/>
    <s v="Masculino"/>
    <s v="Montagem"/>
    <s v="Operador"/>
    <s v="3º Turno"/>
    <x v="2"/>
    <s v="Não"/>
    <x v="2"/>
    <d v="2025-09-07T00:00:00"/>
    <d v="2025-09-01T00:00:00"/>
    <s v="dom"/>
    <x v="7"/>
    <x v="1"/>
    <m/>
    <s v="176645907"/>
  </r>
  <r>
    <n v="1766"/>
    <n v="27"/>
    <s v="Masculino"/>
    <s v="Montagem"/>
    <s v="Operador"/>
    <s v="3º Turno"/>
    <x v="2"/>
    <s v="Não"/>
    <x v="2"/>
    <d v="2025-09-15T00:00:00"/>
    <d v="2025-09-01T00:00:00"/>
    <s v="seg"/>
    <x v="7"/>
    <x v="1"/>
    <m/>
    <s v="176645915"/>
  </r>
  <r>
    <n v="1766"/>
    <n v="27"/>
    <s v="Masculino"/>
    <s v="Montagem"/>
    <s v="Operador"/>
    <s v="3º Turno"/>
    <x v="2"/>
    <s v="Não"/>
    <x v="2"/>
    <d v="2026-02-11T00:00:00"/>
    <d v="2026-02-01T00:00:00"/>
    <s v="qua"/>
    <x v="3"/>
    <x v="0"/>
    <m/>
    <s v="176646064"/>
  </r>
  <r>
    <n v="1766"/>
    <n v="27"/>
    <s v="Masculino"/>
    <s v="Montagem"/>
    <s v="Operador"/>
    <s v="3º Turno"/>
    <x v="2"/>
    <s v="Não"/>
    <x v="2"/>
    <d v="2026-02-14T00:00:00"/>
    <d v="2026-02-01T00:00:00"/>
    <s v="sáb"/>
    <x v="3"/>
    <x v="0"/>
    <m/>
    <s v="176646067"/>
  </r>
  <r>
    <n v="1766"/>
    <n v="27"/>
    <s v="Masculino"/>
    <s v="Montagem"/>
    <s v="Operador"/>
    <s v="3º Turno"/>
    <x v="2"/>
    <s v="Não"/>
    <x v="2"/>
    <d v="2026-03-26T00:00:00"/>
    <d v="2026-03-01T00:00:00"/>
    <s v="qui"/>
    <x v="4"/>
    <x v="0"/>
    <m/>
    <s v="176646107"/>
  </r>
  <r>
    <n v="1766"/>
    <n v="27"/>
    <s v="Masculino"/>
    <s v="Montagem"/>
    <s v="Operador"/>
    <s v="3º Turno"/>
    <x v="2"/>
    <s v="Não"/>
    <x v="2"/>
    <d v="2026-04-26T00:00:00"/>
    <d v="2026-04-01T00:00:00"/>
    <s v="dom"/>
    <x v="2"/>
    <x v="0"/>
    <m/>
    <s v="176646138"/>
  </r>
  <r>
    <n v="1767"/>
    <n v="35"/>
    <s v="Masculino"/>
    <s v="Montagem"/>
    <s v="Operador"/>
    <s v="3º Turno"/>
    <x v="2"/>
    <s v="Sim"/>
    <x v="1"/>
    <d v="2025-06-15T00:00:00"/>
    <d v="2025-06-01T00:00:00"/>
    <s v="dom"/>
    <x v="1"/>
    <x v="1"/>
    <d v="2026-01-26T00:00:00"/>
    <s v="176745823"/>
  </r>
  <r>
    <n v="1767"/>
    <n v="35"/>
    <s v="Masculino"/>
    <s v="Montagem"/>
    <s v="Operador"/>
    <s v="3º Turno"/>
    <x v="2"/>
    <s v="Sim"/>
    <x v="1"/>
    <d v="2025-07-16T00:00:00"/>
    <d v="2025-07-01T00:00:00"/>
    <s v="qua"/>
    <x v="6"/>
    <x v="1"/>
    <d v="2026-01-26T00:00:00"/>
    <s v="176745854"/>
  </r>
  <r>
    <n v="1767"/>
    <n v="35"/>
    <s v="Masculino"/>
    <s v="Montagem"/>
    <s v="Operador"/>
    <s v="3º Turno"/>
    <x v="2"/>
    <s v="Sim"/>
    <x v="1"/>
    <d v="2025-07-17T00:00:00"/>
    <d v="2025-07-01T00:00:00"/>
    <s v="qui"/>
    <x v="6"/>
    <x v="1"/>
    <d v="2026-01-26T00:00:00"/>
    <s v="176745855"/>
  </r>
  <r>
    <n v="1767"/>
    <n v="35"/>
    <s v="Masculino"/>
    <s v="Montagem"/>
    <s v="Operador"/>
    <s v="3º Turno"/>
    <x v="2"/>
    <s v="Sim"/>
    <x v="1"/>
    <d v="2025-08-07T00:00:00"/>
    <d v="2025-08-01T00:00:00"/>
    <s v="qui"/>
    <x v="9"/>
    <x v="1"/>
    <d v="2026-01-26T00:00:00"/>
    <s v="176745876"/>
  </r>
  <r>
    <n v="1767"/>
    <n v="35"/>
    <s v="Masculino"/>
    <s v="Montagem"/>
    <s v="Operador"/>
    <s v="3º Turno"/>
    <x v="2"/>
    <s v="Sim"/>
    <x v="1"/>
    <d v="2026-06-03T00:00:00"/>
    <d v="2026-01-01T00:00:00"/>
    <s v="qua"/>
    <x v="1"/>
    <x v="0"/>
    <d v="2026-01-26T00:00:00"/>
    <s v="176746176"/>
  </r>
  <r>
    <n v="1767"/>
    <n v="35"/>
    <s v="Masculino"/>
    <s v="Montagem"/>
    <s v="Operador"/>
    <s v="3º Turno"/>
    <x v="2"/>
    <s v="Sim"/>
    <x v="1"/>
    <d v="2026-06-06T00:00:00"/>
    <d v="2026-01-01T00:00:00"/>
    <s v="sáb"/>
    <x v="1"/>
    <x v="0"/>
    <d v="2026-01-26T00:00:00"/>
    <s v="176746179"/>
  </r>
  <r>
    <n v="1768"/>
    <n v="44"/>
    <s v="Masculino"/>
    <s v="Pintura"/>
    <s v="Operador"/>
    <s v="1º Turno"/>
    <x v="0"/>
    <s v="Não"/>
    <x v="1"/>
    <d v="2025-06-17T00:00:00"/>
    <d v="2025-06-01T00:00:00"/>
    <s v="ter"/>
    <x v="1"/>
    <x v="1"/>
    <m/>
    <s v="176845825"/>
  </r>
  <r>
    <n v="1768"/>
    <n v="44"/>
    <s v="Masculino"/>
    <s v="Pintura"/>
    <s v="Operador"/>
    <s v="1º Turno"/>
    <x v="0"/>
    <s v="Não"/>
    <x v="1"/>
    <d v="2025-09-18T00:00:00"/>
    <d v="2025-09-01T00:00:00"/>
    <s v="qui"/>
    <x v="7"/>
    <x v="1"/>
    <m/>
    <s v="176845918"/>
  </r>
  <r>
    <n v="1768"/>
    <n v="44"/>
    <s v="Masculino"/>
    <s v="Pintura"/>
    <s v="Operador"/>
    <s v="1º Turno"/>
    <x v="0"/>
    <s v="Não"/>
    <x v="1"/>
    <d v="2025-10-29T00:00:00"/>
    <d v="2025-10-01T00:00:00"/>
    <s v="qua"/>
    <x v="11"/>
    <x v="1"/>
    <m/>
    <s v="176845959"/>
  </r>
  <r>
    <n v="1768"/>
    <n v="44"/>
    <s v="Masculino"/>
    <s v="Pintura"/>
    <s v="Operador"/>
    <s v="1º Turno"/>
    <x v="0"/>
    <s v="Não"/>
    <x v="1"/>
    <d v="2025-11-14T00:00:00"/>
    <d v="2025-11-01T00:00:00"/>
    <s v="sex"/>
    <x v="10"/>
    <x v="1"/>
    <m/>
    <s v="176845975"/>
  </r>
  <r>
    <n v="1768"/>
    <n v="44"/>
    <s v="Masculino"/>
    <s v="Pintura"/>
    <s v="Operador"/>
    <s v="1º Turno"/>
    <x v="0"/>
    <s v="Não"/>
    <x v="1"/>
    <d v="2026-06-04T00:00:00"/>
    <d v="2026-01-01T00:00:00"/>
    <s v="qui"/>
    <x v="1"/>
    <x v="0"/>
    <m/>
    <s v="176846177"/>
  </r>
  <r>
    <n v="1769"/>
    <n v="30"/>
    <s v="Masculino"/>
    <s v="Montagem"/>
    <s v="Operador"/>
    <s v="3º Turno"/>
    <x v="0"/>
    <s v="Não"/>
    <x v="1"/>
    <d v="2025-08-12T00:00:00"/>
    <d v="2025-08-01T00:00:00"/>
    <s v="ter"/>
    <x v="9"/>
    <x v="1"/>
    <m/>
    <s v="176945881"/>
  </r>
  <r>
    <n v="1769"/>
    <n v="30"/>
    <s v="Masculino"/>
    <s v="Montagem"/>
    <s v="Operador"/>
    <s v="3º Turno"/>
    <x v="0"/>
    <s v="Não"/>
    <x v="1"/>
    <d v="2025-08-18T00:00:00"/>
    <d v="2025-08-01T00:00:00"/>
    <s v="seg"/>
    <x v="9"/>
    <x v="1"/>
    <m/>
    <s v="176945887"/>
  </r>
  <r>
    <n v="1769"/>
    <n v="30"/>
    <s v="Masculino"/>
    <s v="Montagem"/>
    <s v="Operador"/>
    <s v="3º Turno"/>
    <x v="3"/>
    <s v="Não"/>
    <x v="1"/>
    <d v="2025-08-21T00:00:00"/>
    <d v="2025-08-01T00:00:00"/>
    <s v="qui"/>
    <x v="9"/>
    <x v="1"/>
    <m/>
    <s v="176945890"/>
  </r>
  <r>
    <n v="1769"/>
    <n v="30"/>
    <s v="Masculino"/>
    <s v="Montagem"/>
    <s v="Operador"/>
    <s v="3º Turno"/>
    <x v="0"/>
    <s v="Não"/>
    <x v="1"/>
    <d v="2025-10-05T00:00:00"/>
    <d v="2025-10-01T00:00:00"/>
    <s v="dom"/>
    <x v="11"/>
    <x v="1"/>
    <m/>
    <s v="176945935"/>
  </r>
  <r>
    <n v="1769"/>
    <n v="30"/>
    <s v="Masculino"/>
    <s v="Montagem"/>
    <s v="Operador"/>
    <s v="3º Turno"/>
    <x v="3"/>
    <s v="Não"/>
    <x v="1"/>
    <d v="2025-10-31T00:00:00"/>
    <d v="2025-10-01T00:00:00"/>
    <s v="sex"/>
    <x v="11"/>
    <x v="1"/>
    <m/>
    <s v="176945961"/>
  </r>
  <r>
    <n v="1769"/>
    <n v="30"/>
    <s v="Masculino"/>
    <s v="Montagem"/>
    <s v="Operador"/>
    <s v="3º Turno"/>
    <x v="0"/>
    <s v="Não"/>
    <x v="1"/>
    <d v="2025-11-23T00:00:00"/>
    <d v="2025-11-01T00:00:00"/>
    <s v="dom"/>
    <x v="10"/>
    <x v="1"/>
    <m/>
    <s v="176945984"/>
  </r>
  <r>
    <n v="1770"/>
    <n v="29"/>
    <s v="Feminino"/>
    <s v="Qualidade"/>
    <s v="Inspetor"/>
    <s v="2º Turno"/>
    <x v="0"/>
    <s v="Não"/>
    <x v="2"/>
    <d v="2025-07-06T00:00:00"/>
    <d v="2025-07-01T00:00:00"/>
    <s v="dom"/>
    <x v="6"/>
    <x v="1"/>
    <m/>
    <s v="177045844"/>
  </r>
  <r>
    <n v="1770"/>
    <n v="29"/>
    <s v="Feminino"/>
    <s v="Qualidade"/>
    <s v="Inspetor"/>
    <s v="2º Turno"/>
    <x v="0"/>
    <s v="Não"/>
    <x v="2"/>
    <d v="2025-09-17T00:00:00"/>
    <d v="2025-09-01T00:00:00"/>
    <s v="qua"/>
    <x v="7"/>
    <x v="1"/>
    <m/>
    <s v="177045917"/>
  </r>
  <r>
    <n v="1770"/>
    <n v="29"/>
    <s v="Feminino"/>
    <s v="Qualidade"/>
    <s v="Inspetor"/>
    <s v="2º Turno"/>
    <x v="0"/>
    <s v="Não"/>
    <x v="2"/>
    <d v="2025-11-04T00:00:00"/>
    <d v="2025-11-01T00:00:00"/>
    <s v="ter"/>
    <x v="10"/>
    <x v="1"/>
    <m/>
    <s v="177045965"/>
  </r>
  <r>
    <n v="1770"/>
    <n v="29"/>
    <s v="Feminino"/>
    <s v="Qualidade"/>
    <s v="Inspetor"/>
    <s v="2º Turno"/>
    <x v="0"/>
    <s v="Não"/>
    <x v="2"/>
    <d v="2026-03-15T00:00:00"/>
    <d v="2026-03-01T00:00:00"/>
    <s v="dom"/>
    <x v="4"/>
    <x v="0"/>
    <m/>
    <s v="177046096"/>
  </r>
  <r>
    <n v="1771"/>
    <n v="52"/>
    <s v="Masculino"/>
    <s v="Logistica"/>
    <s v="Operador"/>
    <s v="1º Turno"/>
    <x v="1"/>
    <s v="Não"/>
    <x v="0"/>
    <d v="2025-07-07T00:00:00"/>
    <d v="2025-07-01T00:00:00"/>
    <s v="seg"/>
    <x v="6"/>
    <x v="1"/>
    <m/>
    <s v="177145845"/>
  </r>
  <r>
    <n v="1771"/>
    <n v="52"/>
    <s v="Masculino"/>
    <s v="Logistica"/>
    <s v="Operador"/>
    <s v="1º Turno"/>
    <x v="1"/>
    <s v="Não"/>
    <x v="0"/>
    <d v="2025-10-12T00:00:00"/>
    <d v="2025-10-01T00:00:00"/>
    <s v="dom"/>
    <x v="11"/>
    <x v="1"/>
    <m/>
    <s v="177145942"/>
  </r>
  <r>
    <n v="1771"/>
    <n v="52"/>
    <s v="Masculino"/>
    <s v="Logistica"/>
    <s v="Operador"/>
    <s v="1º Turno"/>
    <x v="1"/>
    <s v="Não"/>
    <x v="0"/>
    <d v="2026-06-09T00:00:00"/>
    <d v="2026-01-01T00:00:00"/>
    <s v="ter"/>
    <x v="1"/>
    <x v="0"/>
    <m/>
    <s v="177146182"/>
  </r>
  <r>
    <n v="1771"/>
    <n v="52"/>
    <s v="Masculino"/>
    <s v="Logistica"/>
    <s v="Operador"/>
    <s v="1º Turno"/>
    <x v="0"/>
    <s v="Não"/>
    <x v="0"/>
    <d v="2026-06-21T00:00:00"/>
    <d v="2026-01-01T00:00:00"/>
    <s v="dom"/>
    <x v="1"/>
    <x v="0"/>
    <m/>
    <s v="177146194"/>
  </r>
  <r>
    <n v="1771"/>
    <n v="52"/>
    <s v="Masculino"/>
    <s v="Logistica"/>
    <s v="Operador"/>
    <s v="1º Turno"/>
    <x v="1"/>
    <s v="Não"/>
    <x v="0"/>
    <d v="2026-03-04T00:00:00"/>
    <d v="2026-03-01T00:00:00"/>
    <s v="qua"/>
    <x v="4"/>
    <x v="0"/>
    <m/>
    <s v="177146085"/>
  </r>
  <r>
    <n v="1772"/>
    <n v="34"/>
    <s v="Feminino"/>
    <s v="Montagem"/>
    <s v="Operador"/>
    <s v="2º Turno"/>
    <x v="1"/>
    <s v="Não"/>
    <x v="1"/>
    <d v="2025-09-04T00:00:00"/>
    <d v="2025-09-01T00:00:00"/>
    <s v="qui"/>
    <x v="7"/>
    <x v="1"/>
    <m/>
    <s v="177245904"/>
  </r>
  <r>
    <n v="1772"/>
    <n v="34"/>
    <s v="Feminino"/>
    <s v="Montagem"/>
    <s v="Operador"/>
    <s v="2º Turno"/>
    <x v="1"/>
    <s v="Não"/>
    <x v="1"/>
    <d v="2025-09-10T00:00:00"/>
    <d v="2025-09-01T00:00:00"/>
    <s v="qua"/>
    <x v="7"/>
    <x v="1"/>
    <m/>
    <s v="177245910"/>
  </r>
  <r>
    <n v="1772"/>
    <n v="34"/>
    <s v="Feminino"/>
    <s v="Montagem"/>
    <s v="Operador"/>
    <s v="2º Turno"/>
    <x v="1"/>
    <s v="Não"/>
    <x v="1"/>
    <d v="2025-10-03T00:00:00"/>
    <d v="2025-10-01T00:00:00"/>
    <s v="sex"/>
    <x v="11"/>
    <x v="1"/>
    <m/>
    <s v="177245933"/>
  </r>
  <r>
    <n v="1772"/>
    <n v="34"/>
    <s v="Feminino"/>
    <s v="Montagem"/>
    <s v="Operador"/>
    <s v="2º Turno"/>
    <x v="1"/>
    <s v="Não"/>
    <x v="1"/>
    <d v="2025-10-29T00:00:00"/>
    <d v="2025-10-01T00:00:00"/>
    <s v="qua"/>
    <x v="11"/>
    <x v="1"/>
    <m/>
    <s v="177245959"/>
  </r>
  <r>
    <n v="1772"/>
    <n v="34"/>
    <s v="Feminino"/>
    <s v="Montagem"/>
    <s v="Operador"/>
    <s v="2º Turno"/>
    <x v="1"/>
    <s v="Não"/>
    <x v="1"/>
    <d v="2026-06-20T00:00:00"/>
    <d v="2026-01-01T00:00:00"/>
    <s v="sáb"/>
    <x v="1"/>
    <x v="0"/>
    <m/>
    <s v="177246193"/>
  </r>
  <r>
    <n v="1772"/>
    <n v="34"/>
    <s v="Feminino"/>
    <s v="Montagem"/>
    <s v="Operador"/>
    <s v="2º Turno"/>
    <x v="1"/>
    <s v="Não"/>
    <x v="1"/>
    <d v="2026-02-18T00:00:00"/>
    <d v="2026-02-01T00:00:00"/>
    <s v="qua"/>
    <x v="3"/>
    <x v="0"/>
    <m/>
    <s v="177246071"/>
  </r>
  <r>
    <n v="1773"/>
    <n v="50"/>
    <s v="Masculino"/>
    <s v="Montagem"/>
    <s v="Operador"/>
    <s v="3º Turno"/>
    <x v="1"/>
    <s v="Sim"/>
    <x v="1"/>
    <d v="2025-09-19T00:00:00"/>
    <d v="2025-09-01T00:00:00"/>
    <s v="sex"/>
    <x v="7"/>
    <x v="1"/>
    <d v="2026-03-25T00:00:00"/>
    <s v="177345919"/>
  </r>
  <r>
    <n v="1773"/>
    <n v="50"/>
    <s v="Masculino"/>
    <s v="Montagem"/>
    <s v="Operador"/>
    <s v="3º Turno"/>
    <x v="1"/>
    <s v="Sim"/>
    <x v="1"/>
    <d v="2025-11-19T00:00:00"/>
    <d v="2025-11-01T00:00:00"/>
    <s v="qua"/>
    <x v="10"/>
    <x v="1"/>
    <d v="2026-03-25T00:00:00"/>
    <s v="177345980"/>
  </r>
  <r>
    <n v="1773"/>
    <n v="50"/>
    <s v="Masculino"/>
    <s v="Montagem"/>
    <s v="Operador"/>
    <s v="3º Turno"/>
    <x v="1"/>
    <s v="Sim"/>
    <x v="1"/>
    <d v="2025-12-08T00:00:00"/>
    <d v="2025-12-01T00:00:00"/>
    <s v="seg"/>
    <x v="8"/>
    <x v="1"/>
    <d v="2026-03-25T00:00:00"/>
    <s v="177345999"/>
  </r>
  <r>
    <n v="1773"/>
    <n v="50"/>
    <s v="Masculino"/>
    <s v="Montagem"/>
    <s v="Operador"/>
    <s v="3º Turno"/>
    <x v="1"/>
    <s v="Sim"/>
    <x v="1"/>
    <d v="2026-06-07T00:00:00"/>
    <d v="2026-01-01T00:00:00"/>
    <s v="dom"/>
    <x v="1"/>
    <x v="0"/>
    <d v="2026-03-25T00:00:00"/>
    <s v="177346180"/>
  </r>
  <r>
    <n v="1773"/>
    <n v="50"/>
    <s v="Masculino"/>
    <s v="Montagem"/>
    <s v="Operador"/>
    <s v="3º Turno"/>
    <x v="1"/>
    <s v="Sim"/>
    <x v="1"/>
    <d v="2026-03-06T00:00:00"/>
    <d v="2026-03-01T00:00:00"/>
    <s v="sex"/>
    <x v="4"/>
    <x v="0"/>
    <d v="2026-03-25T00:00:00"/>
    <s v="177346087"/>
  </r>
  <r>
    <n v="1773"/>
    <n v="50"/>
    <s v="Masculino"/>
    <s v="Montagem"/>
    <s v="Operador"/>
    <s v="3º Turno"/>
    <x v="1"/>
    <s v="Sim"/>
    <x v="1"/>
    <d v="2026-03-14T00:00:00"/>
    <d v="2026-03-01T00:00:00"/>
    <s v="sáb"/>
    <x v="4"/>
    <x v="0"/>
    <d v="2026-03-25T00:00:00"/>
    <s v="177346095"/>
  </r>
  <r>
    <n v="1774"/>
    <n v="46"/>
    <s v="Masculino"/>
    <s v="Qualidade"/>
    <s v="Inspetor"/>
    <s v="3º Turno"/>
    <x v="0"/>
    <s v="Não"/>
    <x v="2"/>
    <d v="2025-10-15T00:00:00"/>
    <d v="2025-10-01T00:00:00"/>
    <s v="qua"/>
    <x v="11"/>
    <x v="1"/>
    <m/>
    <s v="177445945"/>
  </r>
  <r>
    <n v="1774"/>
    <n v="46"/>
    <s v="Masculino"/>
    <s v="Qualidade"/>
    <s v="Inspetor"/>
    <s v="3º Turno"/>
    <x v="0"/>
    <s v="Não"/>
    <x v="2"/>
    <d v="2025-10-20T00:00:00"/>
    <d v="2025-10-01T00:00:00"/>
    <s v="seg"/>
    <x v="11"/>
    <x v="1"/>
    <m/>
    <s v="177445950"/>
  </r>
  <r>
    <n v="1774"/>
    <n v="46"/>
    <s v="Masculino"/>
    <s v="Qualidade"/>
    <s v="Inspetor"/>
    <s v="3º Turno"/>
    <x v="0"/>
    <s v="Não"/>
    <x v="2"/>
    <d v="2025-12-05T00:00:00"/>
    <d v="2025-12-01T00:00:00"/>
    <s v="sex"/>
    <x v="8"/>
    <x v="1"/>
    <m/>
    <s v="177445996"/>
  </r>
  <r>
    <n v="1774"/>
    <n v="46"/>
    <s v="Masculino"/>
    <s v="Qualidade"/>
    <s v="Inspetor"/>
    <s v="3º Turno"/>
    <x v="0"/>
    <s v="Não"/>
    <x v="2"/>
    <d v="2026-03-17T00:00:00"/>
    <d v="2026-03-01T00:00:00"/>
    <s v="ter"/>
    <x v="4"/>
    <x v="0"/>
    <m/>
    <s v="177446098"/>
  </r>
  <r>
    <n v="1775"/>
    <n v="28"/>
    <s v="Masculino"/>
    <s v="Pintura"/>
    <s v="Operador"/>
    <s v="3º Turno"/>
    <x v="0"/>
    <s v="Sim"/>
    <x v="2"/>
    <d v="2025-02-12T00:00:00"/>
    <d v="2025-02-01T00:00:00"/>
    <s v="qua"/>
    <x v="3"/>
    <x v="1"/>
    <d v="2025-04-03T00:00:00"/>
    <s v="177545700"/>
  </r>
  <r>
    <n v="1775"/>
    <n v="28"/>
    <s v="Masculino"/>
    <s v="Pintura"/>
    <s v="Operador"/>
    <s v="3º Turno"/>
    <x v="0"/>
    <s v="Sim"/>
    <x v="2"/>
    <d v="2025-03-05T00:00:00"/>
    <d v="2025-03-01T00:00:00"/>
    <s v="qua"/>
    <x v="4"/>
    <x v="1"/>
    <d v="2025-04-03T00:00:00"/>
    <s v="177545721"/>
  </r>
  <r>
    <n v="1775"/>
    <n v="28"/>
    <s v="Masculino"/>
    <s v="Pintura"/>
    <s v="Operador"/>
    <s v="3º Turno"/>
    <x v="5"/>
    <s v="Sim"/>
    <x v="2"/>
    <d v="2025-03-06T00:00:00"/>
    <d v="2025-03-01T00:00:00"/>
    <s v="qui"/>
    <x v="4"/>
    <x v="1"/>
    <d v="2025-04-03T00:00:00"/>
    <s v="177545722"/>
  </r>
  <r>
    <n v="1775"/>
    <n v="28"/>
    <s v="Masculino"/>
    <s v="Pintura"/>
    <s v="Operador"/>
    <s v="3º Turno"/>
    <x v="0"/>
    <s v="Sim"/>
    <x v="2"/>
    <d v="2025-03-07T00:00:00"/>
    <d v="2025-03-01T00:00:00"/>
    <s v="sex"/>
    <x v="4"/>
    <x v="1"/>
    <d v="2025-04-03T00:00:00"/>
    <s v="177545723"/>
  </r>
  <r>
    <n v="1775"/>
    <n v="28"/>
    <s v="Masculino"/>
    <s v="Pintura"/>
    <s v="Operador"/>
    <s v="3º Turno"/>
    <x v="0"/>
    <s v="Sim"/>
    <x v="2"/>
    <d v="2025-03-17T00:00:00"/>
    <d v="2025-03-01T00:00:00"/>
    <s v="seg"/>
    <x v="4"/>
    <x v="1"/>
    <d v="2025-04-03T00:00:00"/>
    <s v="177545733"/>
  </r>
  <r>
    <n v="1775"/>
    <n v="28"/>
    <s v="Masculino"/>
    <s v="Pintura"/>
    <s v="Operador"/>
    <s v="3º Turno"/>
    <x v="5"/>
    <s v="Sim"/>
    <x v="2"/>
    <d v="2025-03-30T00:00:00"/>
    <d v="2025-03-01T00:00:00"/>
    <s v="dom"/>
    <x v="4"/>
    <x v="1"/>
    <d v="2025-04-03T00:00:00"/>
    <s v="177545746"/>
  </r>
  <r>
    <n v="1776"/>
    <n v="26"/>
    <s v="Masculino"/>
    <s v="Montagem"/>
    <s v="Operador"/>
    <s v="3º Turno"/>
    <x v="4"/>
    <s v="Não"/>
    <x v="2"/>
    <d v="2025-04-01T00:00:00"/>
    <d v="2025-04-01T00:00:00"/>
    <s v="ter"/>
    <x v="2"/>
    <x v="1"/>
    <m/>
    <s v="177645748"/>
  </r>
  <r>
    <n v="1776"/>
    <n v="26"/>
    <s v="Masculino"/>
    <s v="Montagem"/>
    <s v="Operador"/>
    <s v="3º Turno"/>
    <x v="4"/>
    <s v="Não"/>
    <x v="2"/>
    <d v="2025-06-16T00:00:00"/>
    <d v="2025-06-01T00:00:00"/>
    <s v="seg"/>
    <x v="1"/>
    <x v="1"/>
    <m/>
    <s v="177645824"/>
  </r>
  <r>
    <n v="1776"/>
    <n v="26"/>
    <s v="Masculino"/>
    <s v="Montagem"/>
    <s v="Operador"/>
    <s v="3º Turno"/>
    <x v="4"/>
    <s v="Não"/>
    <x v="2"/>
    <d v="2025-11-23T00:00:00"/>
    <d v="2025-11-01T00:00:00"/>
    <s v="dom"/>
    <x v="10"/>
    <x v="1"/>
    <m/>
    <s v="177645984"/>
  </r>
  <r>
    <n v="1776"/>
    <n v="26"/>
    <s v="Masculino"/>
    <s v="Montagem"/>
    <s v="Operador"/>
    <s v="3º Turno"/>
    <x v="4"/>
    <s v="Não"/>
    <x v="2"/>
    <d v="2025-12-22T00:00:00"/>
    <d v="2025-12-01T00:00:00"/>
    <s v="seg"/>
    <x v="8"/>
    <x v="1"/>
    <m/>
    <s v="177646013"/>
  </r>
  <r>
    <n v="1776"/>
    <n v="26"/>
    <s v="Masculino"/>
    <s v="Montagem"/>
    <s v="Operador"/>
    <s v="3º Turno"/>
    <x v="4"/>
    <s v="Não"/>
    <x v="2"/>
    <d v="2025-12-30T00:00:00"/>
    <d v="2025-12-01T00:00:00"/>
    <s v="ter"/>
    <x v="8"/>
    <x v="1"/>
    <m/>
    <s v="177646021"/>
  </r>
  <r>
    <n v="1776"/>
    <n v="26"/>
    <s v="Masculino"/>
    <s v="Montagem"/>
    <s v="Operador"/>
    <s v="3º Turno"/>
    <x v="4"/>
    <s v="Não"/>
    <x v="2"/>
    <d v="2026-03-22T00:00:00"/>
    <d v="2026-03-01T00:00:00"/>
    <s v="dom"/>
    <x v="4"/>
    <x v="0"/>
    <m/>
    <s v="177646103"/>
  </r>
  <r>
    <n v="1776"/>
    <n v="26"/>
    <s v="Masculino"/>
    <s v="Montagem"/>
    <s v="Operador"/>
    <s v="3º Turno"/>
    <x v="4"/>
    <s v="Não"/>
    <x v="2"/>
    <d v="2026-04-01T00:00:00"/>
    <d v="2026-04-01T00:00:00"/>
    <s v="ter"/>
    <x v="2"/>
    <x v="1"/>
    <m/>
    <s v="177646113"/>
  </r>
  <r>
    <n v="1777"/>
    <n v="56"/>
    <s v="Feminino"/>
    <s v="Soldagem"/>
    <s v="Operador"/>
    <s v="3º Turno"/>
    <x v="4"/>
    <s v="Não"/>
    <x v="1"/>
    <d v="2025-06-09T00:00:00"/>
    <d v="2025-06-01T00:00:00"/>
    <s v="seg"/>
    <x v="1"/>
    <x v="1"/>
    <m/>
    <s v="177745817"/>
  </r>
  <r>
    <n v="1777"/>
    <n v="56"/>
    <s v="Feminino"/>
    <s v="Soldagem"/>
    <s v="Operador"/>
    <s v="3º Turno"/>
    <x v="4"/>
    <s v="Não"/>
    <x v="1"/>
    <d v="2025-06-12T00:00:00"/>
    <d v="2025-06-01T00:00:00"/>
    <s v="qui"/>
    <x v="1"/>
    <x v="1"/>
    <m/>
    <s v="177745820"/>
  </r>
  <r>
    <n v="1777"/>
    <n v="56"/>
    <s v="Feminino"/>
    <s v="Soldagem"/>
    <s v="Operador"/>
    <s v="3º Turno"/>
    <x v="4"/>
    <s v="Não"/>
    <x v="1"/>
    <d v="2025-08-08T00:00:00"/>
    <d v="2025-08-01T00:00:00"/>
    <s v="sex"/>
    <x v="9"/>
    <x v="1"/>
    <m/>
    <s v="177745877"/>
  </r>
  <r>
    <n v="1777"/>
    <n v="56"/>
    <s v="Feminino"/>
    <s v="Soldagem"/>
    <s v="Operador"/>
    <s v="3º Turno"/>
    <x v="4"/>
    <s v="Não"/>
    <x v="1"/>
    <d v="2025-10-13T00:00:00"/>
    <d v="2025-10-01T00:00:00"/>
    <s v="seg"/>
    <x v="11"/>
    <x v="1"/>
    <m/>
    <s v="177745943"/>
  </r>
  <r>
    <n v="1777"/>
    <n v="56"/>
    <s v="Feminino"/>
    <s v="Soldagem"/>
    <s v="Operador"/>
    <s v="3º Turno"/>
    <x v="4"/>
    <s v="Não"/>
    <x v="1"/>
    <d v="2026-06-28T00:00:00"/>
    <d v="2026-01-01T00:00:00"/>
    <s v="dom"/>
    <x v="1"/>
    <x v="0"/>
    <m/>
    <s v="177746201"/>
  </r>
  <r>
    <n v="1777"/>
    <n v="56"/>
    <s v="Feminino"/>
    <s v="Soldagem"/>
    <s v="Operador"/>
    <s v="3º Turno"/>
    <x v="4"/>
    <s v="Não"/>
    <x v="1"/>
    <d v="2026-02-05T00:00:00"/>
    <d v="2026-02-01T00:00:00"/>
    <s v="qui"/>
    <x v="3"/>
    <x v="0"/>
    <m/>
    <s v="177746058"/>
  </r>
  <r>
    <n v="1778"/>
    <n v="27"/>
    <s v="Feminino"/>
    <s v="Montagem"/>
    <s v="Operador"/>
    <s v="3º Turno"/>
    <x v="0"/>
    <s v="Não"/>
    <x v="1"/>
    <d v="2025-04-28T00:00:00"/>
    <d v="2025-04-01T00:00:00"/>
    <s v="seg"/>
    <x v="2"/>
    <x v="1"/>
    <m/>
    <s v="177845775"/>
  </r>
  <r>
    <n v="1778"/>
    <n v="27"/>
    <s v="Feminino"/>
    <s v="Montagem"/>
    <s v="Operador"/>
    <s v="3º Turno"/>
    <x v="0"/>
    <s v="Não"/>
    <x v="1"/>
    <d v="2025-08-01T00:00:00"/>
    <d v="2025-08-01T00:00:00"/>
    <s v="sex"/>
    <x v="9"/>
    <x v="1"/>
    <m/>
    <s v="177845870"/>
  </r>
  <r>
    <n v="1778"/>
    <n v="27"/>
    <s v="Feminino"/>
    <s v="Montagem"/>
    <s v="Operador"/>
    <s v="3º Turno"/>
    <x v="0"/>
    <s v="Não"/>
    <x v="1"/>
    <d v="2025-10-24T00:00:00"/>
    <d v="2025-10-01T00:00:00"/>
    <s v="sex"/>
    <x v="11"/>
    <x v="1"/>
    <m/>
    <s v="177845954"/>
  </r>
  <r>
    <n v="1778"/>
    <n v="27"/>
    <s v="Feminino"/>
    <s v="Montagem"/>
    <s v="Operador"/>
    <s v="3º Turno"/>
    <x v="0"/>
    <s v="Não"/>
    <x v="1"/>
    <d v="2026-06-20T00:00:00"/>
    <d v="2026-01-01T00:00:00"/>
    <s v="sáb"/>
    <x v="1"/>
    <x v="0"/>
    <m/>
    <s v="177846193"/>
  </r>
  <r>
    <n v="1778"/>
    <n v="27"/>
    <s v="Feminino"/>
    <s v="Montagem"/>
    <s v="Operador"/>
    <s v="3º Turno"/>
    <x v="0"/>
    <s v="Não"/>
    <x v="1"/>
    <d v="2026-02-14T00:00:00"/>
    <d v="2026-02-01T00:00:00"/>
    <s v="sáb"/>
    <x v="3"/>
    <x v="0"/>
    <m/>
    <s v="177846067"/>
  </r>
  <r>
    <n v="1778"/>
    <n v="27"/>
    <s v="Feminino"/>
    <s v="Montagem"/>
    <s v="Operador"/>
    <s v="3º Turno"/>
    <x v="0"/>
    <s v="Não"/>
    <x v="1"/>
    <d v="2026-04-28T00:00:00"/>
    <d v="2026-04-01T00:00:00"/>
    <s v="seg"/>
    <x v="2"/>
    <x v="1"/>
    <m/>
    <s v="177846140"/>
  </r>
  <r>
    <n v="1779"/>
    <n v="47"/>
    <s v="Feminino"/>
    <s v="Soldagem"/>
    <s v="Operador"/>
    <s v="2º Turno"/>
    <x v="0"/>
    <s v="Não"/>
    <x v="1"/>
    <d v="2025-07-11T00:00:00"/>
    <d v="2025-07-01T00:00:00"/>
    <s v="sex"/>
    <x v="6"/>
    <x v="1"/>
    <m/>
    <s v="177945849"/>
  </r>
  <r>
    <n v="1779"/>
    <n v="47"/>
    <s v="Feminino"/>
    <s v="Soldagem"/>
    <s v="Operador"/>
    <s v="2º Turno"/>
    <x v="0"/>
    <s v="Não"/>
    <x v="1"/>
    <d v="2025-08-15T00:00:00"/>
    <d v="2025-08-01T00:00:00"/>
    <s v="sex"/>
    <x v="9"/>
    <x v="1"/>
    <m/>
    <s v="177945884"/>
  </r>
  <r>
    <n v="1779"/>
    <n v="47"/>
    <s v="Feminino"/>
    <s v="Soldagem"/>
    <s v="Operador"/>
    <s v="2º Turno"/>
    <x v="0"/>
    <s v="Não"/>
    <x v="1"/>
    <d v="2025-08-23T00:00:00"/>
    <d v="2025-08-01T00:00:00"/>
    <s v="sáb"/>
    <x v="9"/>
    <x v="1"/>
    <m/>
    <s v="177945892"/>
  </r>
  <r>
    <n v="1779"/>
    <n v="47"/>
    <s v="Feminino"/>
    <s v="Soldagem"/>
    <s v="Operador"/>
    <s v="2º Turno"/>
    <x v="0"/>
    <s v="Não"/>
    <x v="1"/>
    <d v="2025-11-07T00:00:00"/>
    <d v="2025-11-01T00:00:00"/>
    <s v="sex"/>
    <x v="10"/>
    <x v="1"/>
    <m/>
    <s v="177945968"/>
  </r>
  <r>
    <n v="1779"/>
    <n v="47"/>
    <s v="Feminino"/>
    <s v="Soldagem"/>
    <s v="Operador"/>
    <s v="2º Turno"/>
    <x v="0"/>
    <s v="Não"/>
    <x v="1"/>
    <d v="2025-11-12T00:00:00"/>
    <d v="2025-11-01T00:00:00"/>
    <s v="qua"/>
    <x v="10"/>
    <x v="1"/>
    <m/>
    <s v="177945973"/>
  </r>
  <r>
    <n v="1780"/>
    <n v="18"/>
    <s v="Feminino"/>
    <s v="Soldagem"/>
    <s v="Operador"/>
    <s v="1º Turno"/>
    <x v="0"/>
    <s v="Sim"/>
    <x v="0"/>
    <d v="2025-04-03T00:00:00"/>
    <d v="2025-04-01T00:00:00"/>
    <s v="qui"/>
    <x v="2"/>
    <x v="1"/>
    <d v="2025-04-10T00:00:00"/>
    <s v="178045750"/>
  </r>
  <r>
    <n v="1780"/>
    <n v="18"/>
    <s v="Feminino"/>
    <s v="Soldagem"/>
    <s v="Operador"/>
    <s v="1º Turno"/>
    <x v="0"/>
    <s v="Sim"/>
    <x v="0"/>
    <d v="2025-04-04T00:00:00"/>
    <d v="2025-04-01T00:00:00"/>
    <s v="sex"/>
    <x v="2"/>
    <x v="1"/>
    <d v="2025-04-10T00:00:00"/>
    <s v="178045751"/>
  </r>
  <r>
    <n v="1780"/>
    <n v="18"/>
    <s v="Feminino"/>
    <s v="Soldagem"/>
    <s v="Operador"/>
    <s v="1º Turno"/>
    <x v="0"/>
    <s v="Sim"/>
    <x v="0"/>
    <d v="2025-04-06T00:00:00"/>
    <d v="2025-04-01T00:00:00"/>
    <s v="dom"/>
    <x v="2"/>
    <x v="1"/>
    <d v="2025-04-10T00:00:00"/>
    <s v="178045753"/>
  </r>
  <r>
    <n v="1780"/>
    <n v="18"/>
    <s v="Feminino"/>
    <s v="Soldagem"/>
    <s v="Operador"/>
    <s v="1º Turno"/>
    <x v="5"/>
    <s v="Sim"/>
    <x v="0"/>
    <d v="2025-04-07T00:00:00"/>
    <d v="2025-04-01T00:00:00"/>
    <s v="seg"/>
    <x v="2"/>
    <x v="1"/>
    <d v="2025-04-10T00:00:00"/>
    <s v="178045754"/>
  </r>
  <r>
    <n v="1780"/>
    <n v="18"/>
    <s v="Feminino"/>
    <s v="Soldagem"/>
    <s v="Operador"/>
    <s v="1º Turno"/>
    <x v="0"/>
    <s v="Sim"/>
    <x v="0"/>
    <d v="2025-04-08T00:00:00"/>
    <d v="2025-04-01T00:00:00"/>
    <s v="ter"/>
    <x v="2"/>
    <x v="1"/>
    <d v="2025-04-10T00:00:00"/>
    <s v="178045755"/>
  </r>
  <r>
    <n v="1782"/>
    <n v="52"/>
    <s v="Feminino"/>
    <s v="Pintura"/>
    <s v="Operador"/>
    <s v="2º Turno"/>
    <x v="4"/>
    <s v="Não"/>
    <x v="0"/>
    <d v="2025-06-18T00:00:00"/>
    <d v="2025-06-01T00:00:00"/>
    <s v="qua"/>
    <x v="1"/>
    <x v="1"/>
    <m/>
    <s v="178245826"/>
  </r>
  <r>
    <n v="1782"/>
    <n v="52"/>
    <s v="Feminino"/>
    <s v="Pintura"/>
    <s v="Operador"/>
    <s v="2º Turno"/>
    <x v="4"/>
    <s v="Não"/>
    <x v="0"/>
    <d v="2025-08-11T00:00:00"/>
    <d v="2025-08-01T00:00:00"/>
    <s v="seg"/>
    <x v="9"/>
    <x v="1"/>
    <m/>
    <s v="178245880"/>
  </r>
  <r>
    <n v="1782"/>
    <n v="52"/>
    <s v="Feminino"/>
    <s v="Pintura"/>
    <s v="Operador"/>
    <s v="2º Turno"/>
    <x v="4"/>
    <s v="Não"/>
    <x v="0"/>
    <d v="2025-08-17T00:00:00"/>
    <d v="2025-08-01T00:00:00"/>
    <s v="dom"/>
    <x v="9"/>
    <x v="1"/>
    <m/>
    <s v="178245886"/>
  </r>
  <r>
    <n v="1782"/>
    <n v="52"/>
    <s v="Feminino"/>
    <s v="Pintura"/>
    <s v="Operador"/>
    <s v="2º Turno"/>
    <x v="4"/>
    <s v="Não"/>
    <x v="0"/>
    <d v="2025-08-29T00:00:00"/>
    <d v="2025-08-01T00:00:00"/>
    <s v="sex"/>
    <x v="9"/>
    <x v="1"/>
    <m/>
    <s v="178245898"/>
  </r>
  <r>
    <n v="1782"/>
    <n v="52"/>
    <s v="Feminino"/>
    <s v="Pintura"/>
    <s v="Operador"/>
    <s v="2º Turno"/>
    <x v="4"/>
    <s v="Não"/>
    <x v="0"/>
    <d v="2025-11-28T00:00:00"/>
    <d v="2025-11-01T00:00:00"/>
    <s v="sex"/>
    <x v="10"/>
    <x v="1"/>
    <m/>
    <s v="178245989"/>
  </r>
  <r>
    <n v="1782"/>
    <n v="52"/>
    <s v="Feminino"/>
    <s v="Pintura"/>
    <s v="Operador"/>
    <s v="2º Turno"/>
    <x v="4"/>
    <s v="Não"/>
    <x v="0"/>
    <d v="2025-12-15T00:00:00"/>
    <d v="2025-12-01T00:00:00"/>
    <s v="seg"/>
    <x v="8"/>
    <x v="1"/>
    <m/>
    <s v="178246006"/>
  </r>
  <r>
    <n v="1784"/>
    <n v="19"/>
    <s v="Feminino"/>
    <s v="Montagem"/>
    <s v="Operador"/>
    <s v="1º Turno"/>
    <x v="0"/>
    <s v="Não"/>
    <x v="0"/>
    <d v="2025-06-26T00:00:00"/>
    <d v="2025-06-01T00:00:00"/>
    <s v="qui"/>
    <x v="1"/>
    <x v="1"/>
    <m/>
    <s v="178445834"/>
  </r>
  <r>
    <n v="1784"/>
    <n v="19"/>
    <s v="Feminino"/>
    <s v="Montagem"/>
    <s v="Operador"/>
    <s v="1º Turno"/>
    <x v="0"/>
    <s v="Não"/>
    <x v="0"/>
    <d v="2025-08-22T00:00:00"/>
    <d v="2025-08-01T00:00:00"/>
    <s v="sex"/>
    <x v="9"/>
    <x v="1"/>
    <m/>
    <s v="178445891"/>
  </r>
  <r>
    <n v="1784"/>
    <n v="19"/>
    <s v="Feminino"/>
    <s v="Montagem"/>
    <s v="Operador"/>
    <s v="1º Turno"/>
    <x v="0"/>
    <s v="Não"/>
    <x v="0"/>
    <d v="2025-09-09T00:00:00"/>
    <d v="2025-09-01T00:00:00"/>
    <s v="ter"/>
    <x v="7"/>
    <x v="1"/>
    <m/>
    <s v="178445909"/>
  </r>
  <r>
    <n v="1784"/>
    <n v="19"/>
    <s v="Feminino"/>
    <s v="Montagem"/>
    <s v="Operador"/>
    <s v="1º Turno"/>
    <x v="0"/>
    <s v="Não"/>
    <x v="0"/>
    <d v="2025-09-23T00:00:00"/>
    <d v="2025-09-01T00:00:00"/>
    <s v="ter"/>
    <x v="7"/>
    <x v="1"/>
    <m/>
    <s v="178445923"/>
  </r>
  <r>
    <n v="1784"/>
    <n v="19"/>
    <s v="Feminino"/>
    <s v="Montagem"/>
    <s v="Operador"/>
    <s v="1º Turno"/>
    <x v="0"/>
    <s v="Não"/>
    <x v="0"/>
    <d v="2025-10-19T00:00:00"/>
    <d v="2025-10-01T00:00:00"/>
    <s v="dom"/>
    <x v="11"/>
    <x v="1"/>
    <m/>
    <s v="178445949"/>
  </r>
  <r>
    <n v="1784"/>
    <n v="19"/>
    <s v="Feminino"/>
    <s v="Montagem"/>
    <s v="Operador"/>
    <s v="1º Turno"/>
    <x v="0"/>
    <s v="Não"/>
    <x v="0"/>
    <d v="2025-10-22T00:00:00"/>
    <d v="2025-10-01T00:00:00"/>
    <s v="qua"/>
    <x v="11"/>
    <x v="1"/>
    <m/>
    <s v="178445952"/>
  </r>
  <r>
    <n v="1786"/>
    <n v="27"/>
    <s v="Feminino"/>
    <s v="Soldagem"/>
    <s v="Operador"/>
    <s v="2º Turno"/>
    <x v="0"/>
    <s v="Não"/>
    <x v="2"/>
    <d v="2025-10-02T00:00:00"/>
    <d v="2025-10-01T00:00:00"/>
    <s v="qui"/>
    <x v="11"/>
    <x v="1"/>
    <m/>
    <s v="178645932"/>
  </r>
  <r>
    <n v="1786"/>
    <n v="27"/>
    <s v="Feminino"/>
    <s v="Soldagem"/>
    <s v="Operador"/>
    <s v="2º Turno"/>
    <x v="0"/>
    <s v="Não"/>
    <x v="2"/>
    <d v="2025-12-05T00:00:00"/>
    <d v="2025-12-01T00:00:00"/>
    <s v="sex"/>
    <x v="8"/>
    <x v="1"/>
    <m/>
    <s v="178645996"/>
  </r>
  <r>
    <n v="1786"/>
    <n v="27"/>
    <s v="Feminino"/>
    <s v="Soldagem"/>
    <s v="Operador"/>
    <s v="2º Turno"/>
    <x v="0"/>
    <s v="Não"/>
    <x v="2"/>
    <d v="2025-12-25T00:00:00"/>
    <d v="2025-12-01T00:00:00"/>
    <s v="qui"/>
    <x v="8"/>
    <x v="1"/>
    <m/>
    <s v="178646016"/>
  </r>
  <r>
    <n v="1786"/>
    <n v="27"/>
    <s v="Feminino"/>
    <s v="Soldagem"/>
    <s v="Operador"/>
    <s v="2º Turno"/>
    <x v="0"/>
    <s v="Não"/>
    <x v="2"/>
    <d v="2025-12-31T00:00:00"/>
    <d v="2025-12-01T00:00:00"/>
    <s v="qua"/>
    <x v="8"/>
    <x v="1"/>
    <m/>
    <s v="178646022"/>
  </r>
  <r>
    <n v="1786"/>
    <n v="27"/>
    <s v="Feminino"/>
    <s v="Soldagem"/>
    <s v="Operador"/>
    <s v="2º Turno"/>
    <x v="0"/>
    <s v="Não"/>
    <x v="2"/>
    <d v="2026-02-14T00:00:00"/>
    <d v="2026-02-01T00:00:00"/>
    <s v="sáb"/>
    <x v="3"/>
    <x v="0"/>
    <m/>
    <s v="178646067"/>
  </r>
  <r>
    <n v="1786"/>
    <n v="27"/>
    <s v="Feminino"/>
    <s v="Soldagem"/>
    <s v="Operador"/>
    <s v="2º Turno"/>
    <x v="0"/>
    <s v="Não"/>
    <x v="2"/>
    <d v="2026-03-10T00:00:00"/>
    <d v="2026-03-01T00:00:00"/>
    <s v="ter"/>
    <x v="4"/>
    <x v="0"/>
    <m/>
    <s v="178646091"/>
  </r>
  <r>
    <n v="1787"/>
    <n v="21"/>
    <s v="Masculino"/>
    <s v="Qualidade"/>
    <s v="Inspetor"/>
    <s v="3º Turno"/>
    <x v="0"/>
    <s v="Não"/>
    <x v="2"/>
    <d v="2025-06-04T00:00:00"/>
    <d v="2025-06-01T00:00:00"/>
    <s v="qua"/>
    <x v="1"/>
    <x v="1"/>
    <m/>
    <s v="178745812"/>
  </r>
  <r>
    <n v="1787"/>
    <n v="21"/>
    <s v="Masculino"/>
    <s v="Qualidade"/>
    <s v="Inspetor"/>
    <s v="3º Turno"/>
    <x v="0"/>
    <s v="Não"/>
    <x v="2"/>
    <d v="2025-07-12T00:00:00"/>
    <d v="2025-07-01T00:00:00"/>
    <s v="sáb"/>
    <x v="6"/>
    <x v="1"/>
    <m/>
    <s v="178745850"/>
  </r>
  <r>
    <n v="1787"/>
    <n v="21"/>
    <s v="Masculino"/>
    <s v="Qualidade"/>
    <s v="Inspetor"/>
    <s v="3º Turno"/>
    <x v="0"/>
    <s v="Não"/>
    <x v="2"/>
    <d v="2025-11-16T00:00:00"/>
    <d v="2025-11-01T00:00:00"/>
    <s v="dom"/>
    <x v="10"/>
    <x v="1"/>
    <m/>
    <s v="178745977"/>
  </r>
  <r>
    <n v="1787"/>
    <n v="21"/>
    <s v="Masculino"/>
    <s v="Qualidade"/>
    <s v="Inspetor"/>
    <s v="3º Turno"/>
    <x v="0"/>
    <s v="Não"/>
    <x v="2"/>
    <d v="2025-12-24T00:00:00"/>
    <d v="2025-12-01T00:00:00"/>
    <s v="qua"/>
    <x v="8"/>
    <x v="1"/>
    <m/>
    <s v="178746015"/>
  </r>
  <r>
    <n v="1787"/>
    <n v="21"/>
    <s v="Masculino"/>
    <s v="Qualidade"/>
    <s v="Inspetor"/>
    <s v="3º Turno"/>
    <x v="0"/>
    <s v="Não"/>
    <x v="2"/>
    <d v="2026-02-05T00:00:00"/>
    <d v="2026-02-01T00:00:00"/>
    <s v="qui"/>
    <x v="3"/>
    <x v="0"/>
    <m/>
    <s v="178746058"/>
  </r>
  <r>
    <n v="1787"/>
    <n v="21"/>
    <s v="Masculino"/>
    <s v="Qualidade"/>
    <s v="Inspetor"/>
    <s v="3º Turno"/>
    <x v="0"/>
    <s v="Não"/>
    <x v="2"/>
    <d v="2026-03-30T00:00:00"/>
    <d v="2026-03-01T00:00:00"/>
    <s v="seg"/>
    <x v="4"/>
    <x v="0"/>
    <m/>
    <s v="178746111"/>
  </r>
  <r>
    <n v="1787"/>
    <n v="21"/>
    <s v="Masculino"/>
    <s v="Qualidade"/>
    <s v="Inspetor"/>
    <s v="3º Turno"/>
    <x v="0"/>
    <s v="Não"/>
    <x v="2"/>
    <d v="2026-05-27T00:00:00"/>
    <d v="2026-05-01T00:00:00"/>
    <s v="qua"/>
    <x v="0"/>
    <x v="0"/>
    <m/>
    <s v="178746169"/>
  </r>
  <r>
    <n v="1788"/>
    <n v="32"/>
    <s v="Masculino"/>
    <s v="Logistica"/>
    <s v="Operador"/>
    <s v="1º Turno"/>
    <x v="0"/>
    <s v="Não"/>
    <x v="0"/>
    <d v="2025-06-19T00:00:00"/>
    <d v="2025-06-01T00:00:00"/>
    <s v="qui"/>
    <x v="1"/>
    <x v="1"/>
    <m/>
    <s v="178845827"/>
  </r>
  <r>
    <n v="1788"/>
    <n v="32"/>
    <s v="Masculino"/>
    <s v="Logistica"/>
    <s v="Operador"/>
    <s v="1º Turno"/>
    <x v="0"/>
    <s v="Não"/>
    <x v="0"/>
    <d v="2025-07-20T00:00:00"/>
    <d v="2025-07-01T00:00:00"/>
    <s v="dom"/>
    <x v="6"/>
    <x v="1"/>
    <m/>
    <s v="178845858"/>
  </r>
  <r>
    <n v="1788"/>
    <n v="32"/>
    <s v="Masculino"/>
    <s v="Logistica"/>
    <s v="Operador"/>
    <s v="1º Turno"/>
    <x v="0"/>
    <s v="Não"/>
    <x v="0"/>
    <d v="2025-08-01T00:00:00"/>
    <d v="2025-08-01T00:00:00"/>
    <s v="sex"/>
    <x v="9"/>
    <x v="1"/>
    <m/>
    <s v="178845870"/>
  </r>
  <r>
    <n v="1788"/>
    <n v="32"/>
    <s v="Masculino"/>
    <s v="Logistica"/>
    <s v="Operador"/>
    <s v="1º Turno"/>
    <x v="0"/>
    <s v="Não"/>
    <x v="0"/>
    <d v="2025-09-16T00:00:00"/>
    <d v="2025-09-01T00:00:00"/>
    <s v="ter"/>
    <x v="7"/>
    <x v="1"/>
    <m/>
    <s v="178845916"/>
  </r>
  <r>
    <n v="1788"/>
    <n v="32"/>
    <s v="Masculino"/>
    <s v="Logistica"/>
    <s v="Operador"/>
    <s v="1º Turno"/>
    <x v="0"/>
    <s v="Não"/>
    <x v="0"/>
    <d v="2025-11-01T00:00:00"/>
    <d v="2025-11-01T00:00:00"/>
    <s v="sáb"/>
    <x v="10"/>
    <x v="1"/>
    <m/>
    <s v="178845962"/>
  </r>
  <r>
    <n v="1788"/>
    <n v="32"/>
    <s v="Masculino"/>
    <s v="Logistica"/>
    <s v="Operador"/>
    <s v="1º Turno"/>
    <x v="0"/>
    <s v="Não"/>
    <x v="0"/>
    <d v="2026-06-08T00:00:00"/>
    <d v="2026-01-01T00:00:00"/>
    <s v="seg"/>
    <x v="1"/>
    <x v="0"/>
    <m/>
    <s v="178846181"/>
  </r>
  <r>
    <n v="1790"/>
    <n v="56"/>
    <s v="Feminino"/>
    <s v="Logistica"/>
    <s v="Operador"/>
    <s v="1º Turno"/>
    <x v="0"/>
    <s v="Sim"/>
    <x v="1"/>
    <d v="2025-05-22T00:00:00"/>
    <d v="2025-05-01T00:00:00"/>
    <s v="qui"/>
    <x v="0"/>
    <x v="1"/>
    <d v="2025-12-05T00:00:00"/>
    <s v="179045799"/>
  </r>
  <r>
    <n v="1790"/>
    <n v="56"/>
    <s v="Feminino"/>
    <s v="Logistica"/>
    <s v="Operador"/>
    <s v="1º Turno"/>
    <x v="0"/>
    <s v="Sim"/>
    <x v="1"/>
    <d v="2025-09-25T00:00:00"/>
    <d v="2025-09-01T00:00:00"/>
    <s v="qui"/>
    <x v="7"/>
    <x v="1"/>
    <d v="2025-12-05T00:00:00"/>
    <s v="179045925"/>
  </r>
  <r>
    <n v="1790"/>
    <n v="56"/>
    <s v="Feminino"/>
    <s v="Logistica"/>
    <s v="Operador"/>
    <s v="1º Turno"/>
    <x v="0"/>
    <s v="Sim"/>
    <x v="1"/>
    <d v="2025-10-07T00:00:00"/>
    <d v="2025-10-01T00:00:00"/>
    <s v="ter"/>
    <x v="11"/>
    <x v="1"/>
    <d v="2025-12-05T00:00:00"/>
    <s v="179045937"/>
  </r>
  <r>
    <n v="1790"/>
    <n v="56"/>
    <s v="Feminino"/>
    <s v="Logistica"/>
    <s v="Operador"/>
    <s v="1º Turno"/>
    <x v="0"/>
    <s v="Sim"/>
    <x v="1"/>
    <d v="2025-10-08T00:00:00"/>
    <d v="2025-10-01T00:00:00"/>
    <s v="qua"/>
    <x v="11"/>
    <x v="1"/>
    <d v="2025-12-05T00:00:00"/>
    <s v="179045938"/>
  </r>
  <r>
    <n v="1790"/>
    <n v="56"/>
    <s v="Feminino"/>
    <s v="Logistica"/>
    <s v="Operador"/>
    <s v="1º Turno"/>
    <x v="0"/>
    <s v="Sim"/>
    <x v="1"/>
    <d v="2025-10-09T00:00:00"/>
    <d v="2025-10-01T00:00:00"/>
    <s v="qui"/>
    <x v="11"/>
    <x v="1"/>
    <d v="2025-12-05T00:00:00"/>
    <s v="179045939"/>
  </r>
  <r>
    <n v="1790"/>
    <n v="56"/>
    <s v="Feminino"/>
    <s v="Logistica"/>
    <s v="Operador"/>
    <s v="1º Turno"/>
    <x v="0"/>
    <s v="Sim"/>
    <x v="1"/>
    <d v="2025-10-24T00:00:00"/>
    <d v="2025-10-01T00:00:00"/>
    <s v="sex"/>
    <x v="11"/>
    <x v="1"/>
    <d v="2025-12-05T00:00:00"/>
    <s v="179045954"/>
  </r>
  <r>
    <n v="1791"/>
    <n v="30"/>
    <s v="Feminino"/>
    <s v="Pintura"/>
    <s v="Operador"/>
    <s v="2º Turno"/>
    <x v="0"/>
    <s v="Não"/>
    <x v="1"/>
    <d v="2025-09-15T00:00:00"/>
    <d v="2025-09-01T00:00:00"/>
    <s v="seg"/>
    <x v="7"/>
    <x v="1"/>
    <m/>
    <s v="179145915"/>
  </r>
  <r>
    <n v="1791"/>
    <n v="30"/>
    <s v="Feminino"/>
    <s v="Pintura"/>
    <s v="Operador"/>
    <s v="2º Turno"/>
    <x v="0"/>
    <s v="Não"/>
    <x v="1"/>
    <d v="2025-10-24T00:00:00"/>
    <d v="2025-10-01T00:00:00"/>
    <s v="sex"/>
    <x v="11"/>
    <x v="1"/>
    <m/>
    <s v="179145954"/>
  </r>
  <r>
    <n v="1791"/>
    <n v="30"/>
    <s v="Feminino"/>
    <s v="Pintura"/>
    <s v="Operador"/>
    <s v="2º Turno"/>
    <x v="0"/>
    <s v="Não"/>
    <x v="1"/>
    <d v="2025-12-05T00:00:00"/>
    <d v="2025-12-01T00:00:00"/>
    <s v="sex"/>
    <x v="8"/>
    <x v="1"/>
    <m/>
    <s v="179145996"/>
  </r>
  <r>
    <n v="1791"/>
    <n v="30"/>
    <s v="Feminino"/>
    <s v="Pintura"/>
    <s v="Operador"/>
    <s v="2º Turno"/>
    <x v="0"/>
    <s v="Não"/>
    <x v="1"/>
    <d v="2026-06-08T00:00:00"/>
    <d v="2026-01-01T00:00:00"/>
    <s v="seg"/>
    <x v="1"/>
    <x v="0"/>
    <m/>
    <s v="179146181"/>
  </r>
  <r>
    <n v="1793"/>
    <n v="38"/>
    <s v="Feminino"/>
    <s v="Soldagem"/>
    <s v="Operador"/>
    <s v="2º Turno"/>
    <x v="0"/>
    <s v="Sim"/>
    <x v="1"/>
    <d v="2025-01-16T00:00:00"/>
    <d v="2025-01-01T00:00:00"/>
    <s v="qui"/>
    <x v="5"/>
    <x v="1"/>
    <d v="2025-05-08T00:00:00"/>
    <s v="179345673"/>
  </r>
  <r>
    <n v="1793"/>
    <n v="38"/>
    <s v="Feminino"/>
    <s v="Soldagem"/>
    <s v="Operador"/>
    <s v="2º Turno"/>
    <x v="0"/>
    <s v="Sim"/>
    <x v="1"/>
    <d v="2025-01-17T00:00:00"/>
    <d v="2025-01-01T00:00:00"/>
    <s v="sex"/>
    <x v="5"/>
    <x v="1"/>
    <d v="2025-05-08T00:00:00"/>
    <s v="179345674"/>
  </r>
  <r>
    <n v="1793"/>
    <n v="38"/>
    <s v="Feminino"/>
    <s v="Soldagem"/>
    <s v="Operador"/>
    <s v="2º Turno"/>
    <x v="5"/>
    <s v="Sim"/>
    <x v="1"/>
    <d v="2025-04-25T00:00:00"/>
    <d v="2025-04-01T00:00:00"/>
    <s v="sex"/>
    <x v="2"/>
    <x v="1"/>
    <d v="2025-05-08T00:00:00"/>
    <s v="179345772"/>
  </r>
  <r>
    <n v="1793"/>
    <n v="38"/>
    <s v="Feminino"/>
    <s v="Soldagem"/>
    <s v="Operador"/>
    <s v="2º Turno"/>
    <x v="0"/>
    <s v="Sim"/>
    <x v="1"/>
    <d v="2025-04-26T00:00:00"/>
    <d v="2025-04-01T00:00:00"/>
    <s v="sáb"/>
    <x v="2"/>
    <x v="1"/>
    <d v="2025-05-08T00:00:00"/>
    <s v="179345773"/>
  </r>
  <r>
    <n v="1793"/>
    <n v="38"/>
    <s v="Feminino"/>
    <s v="Soldagem"/>
    <s v="Operador"/>
    <s v="2º Turno"/>
    <x v="0"/>
    <s v="Sim"/>
    <x v="1"/>
    <d v="2025-04-27T00:00:00"/>
    <d v="2025-04-01T00:00:00"/>
    <s v="dom"/>
    <x v="2"/>
    <x v="1"/>
    <d v="2025-05-08T00:00:00"/>
    <s v="179345774"/>
  </r>
  <r>
    <n v="1794"/>
    <n v="30"/>
    <s v="Masculino"/>
    <s v="Montagem"/>
    <s v="Operador"/>
    <s v="3º Turno"/>
    <x v="0"/>
    <s v="Não"/>
    <x v="0"/>
    <d v="2025-09-20T00:00:00"/>
    <d v="2025-09-01T00:00:00"/>
    <s v="sáb"/>
    <x v="7"/>
    <x v="1"/>
    <m/>
    <s v="179445920"/>
  </r>
  <r>
    <n v="1794"/>
    <n v="30"/>
    <s v="Masculino"/>
    <s v="Montagem"/>
    <s v="Operador"/>
    <s v="3º Turno"/>
    <x v="0"/>
    <s v="Não"/>
    <x v="0"/>
    <d v="2025-12-18T00:00:00"/>
    <d v="2025-12-01T00:00:00"/>
    <s v="qui"/>
    <x v="8"/>
    <x v="1"/>
    <m/>
    <s v="179446009"/>
  </r>
  <r>
    <n v="1794"/>
    <n v="30"/>
    <s v="Masculino"/>
    <s v="Montagem"/>
    <s v="Operador"/>
    <s v="3º Turno"/>
    <x v="0"/>
    <s v="Não"/>
    <x v="0"/>
    <d v="2025-12-28T00:00:00"/>
    <d v="2025-12-01T00:00:00"/>
    <s v="dom"/>
    <x v="8"/>
    <x v="1"/>
    <m/>
    <s v="179446019"/>
  </r>
  <r>
    <n v="1794"/>
    <n v="30"/>
    <s v="Masculino"/>
    <s v="Montagem"/>
    <s v="Operador"/>
    <s v="3º Turno"/>
    <x v="0"/>
    <s v="Não"/>
    <x v="0"/>
    <d v="2026-02-13T00:00:00"/>
    <d v="2026-02-01T00:00:00"/>
    <s v="sex"/>
    <x v="3"/>
    <x v="0"/>
    <m/>
    <s v="179446066"/>
  </r>
  <r>
    <n v="1794"/>
    <n v="30"/>
    <s v="Masculino"/>
    <s v="Montagem"/>
    <s v="Operador"/>
    <s v="3º Turno"/>
    <x v="0"/>
    <s v="Não"/>
    <x v="0"/>
    <d v="2026-03-24T00:00:00"/>
    <d v="2026-03-01T00:00:00"/>
    <s v="ter"/>
    <x v="4"/>
    <x v="0"/>
    <m/>
    <s v="179446105"/>
  </r>
  <r>
    <n v="1795"/>
    <n v="49"/>
    <s v="Masculino"/>
    <s v="Montagem"/>
    <s v="Operador"/>
    <s v="2º Turno"/>
    <x v="0"/>
    <s v="Não"/>
    <x v="2"/>
    <d v="2025-04-29T00:00:00"/>
    <d v="2025-04-01T00:00:00"/>
    <s v="ter"/>
    <x v="2"/>
    <x v="1"/>
    <m/>
    <s v="179545776"/>
  </r>
  <r>
    <n v="1795"/>
    <n v="49"/>
    <s v="Masculino"/>
    <s v="Montagem"/>
    <s v="Operador"/>
    <s v="2º Turno"/>
    <x v="0"/>
    <s v="Não"/>
    <x v="2"/>
    <d v="2025-06-12T00:00:00"/>
    <d v="2025-06-01T00:00:00"/>
    <s v="qui"/>
    <x v="1"/>
    <x v="1"/>
    <m/>
    <s v="179545820"/>
  </r>
  <r>
    <n v="1795"/>
    <n v="49"/>
    <s v="Masculino"/>
    <s v="Montagem"/>
    <s v="Operador"/>
    <s v="2º Turno"/>
    <x v="0"/>
    <s v="Não"/>
    <x v="2"/>
    <d v="2025-08-11T00:00:00"/>
    <d v="2025-08-01T00:00:00"/>
    <s v="seg"/>
    <x v="9"/>
    <x v="1"/>
    <m/>
    <s v="179545880"/>
  </r>
  <r>
    <n v="1795"/>
    <n v="49"/>
    <s v="Masculino"/>
    <s v="Montagem"/>
    <s v="Operador"/>
    <s v="2º Turno"/>
    <x v="0"/>
    <s v="Não"/>
    <x v="2"/>
    <d v="2025-08-24T00:00:00"/>
    <d v="2025-08-01T00:00:00"/>
    <s v="dom"/>
    <x v="9"/>
    <x v="1"/>
    <m/>
    <s v="179545893"/>
  </r>
  <r>
    <n v="1795"/>
    <n v="49"/>
    <s v="Masculino"/>
    <s v="Montagem"/>
    <s v="Operador"/>
    <s v="2º Turno"/>
    <x v="0"/>
    <s v="Não"/>
    <x v="2"/>
    <d v="2025-11-24T00:00:00"/>
    <d v="2025-11-01T00:00:00"/>
    <s v="seg"/>
    <x v="10"/>
    <x v="1"/>
    <m/>
    <s v="179545985"/>
  </r>
  <r>
    <n v="1795"/>
    <n v="49"/>
    <s v="Masculino"/>
    <s v="Montagem"/>
    <s v="Operador"/>
    <s v="2º Turno"/>
    <x v="0"/>
    <s v="Não"/>
    <x v="2"/>
    <d v="2026-02-19T00:00:00"/>
    <d v="2026-02-01T00:00:00"/>
    <s v="qui"/>
    <x v="3"/>
    <x v="0"/>
    <m/>
    <s v="179546072"/>
  </r>
  <r>
    <n v="1795"/>
    <n v="49"/>
    <s v="Masculino"/>
    <s v="Montagem"/>
    <s v="Operador"/>
    <s v="2º Turno"/>
    <x v="0"/>
    <s v="Não"/>
    <x v="2"/>
    <d v="2026-04-29T00:00:00"/>
    <d v="2026-04-01T00:00:00"/>
    <s v="ter"/>
    <x v="2"/>
    <x v="1"/>
    <m/>
    <s v="179546141"/>
  </r>
  <r>
    <n v="1796"/>
    <n v="22"/>
    <s v="Feminino"/>
    <s v="Logistica"/>
    <s v="Operador"/>
    <s v="2º Turno"/>
    <x v="0"/>
    <s v="Não"/>
    <x v="1"/>
    <d v="2025-06-03T00:00:00"/>
    <d v="2025-06-01T00:00:00"/>
    <s v="ter"/>
    <x v="1"/>
    <x v="1"/>
    <m/>
    <s v="179645811"/>
  </r>
  <r>
    <n v="1796"/>
    <n v="22"/>
    <s v="Feminino"/>
    <s v="Logistica"/>
    <s v="Operador"/>
    <s v="2º Turno"/>
    <x v="0"/>
    <s v="Não"/>
    <x v="1"/>
    <d v="2025-06-20T00:00:00"/>
    <d v="2025-06-01T00:00:00"/>
    <s v="sex"/>
    <x v="1"/>
    <x v="1"/>
    <m/>
    <s v="179645828"/>
  </r>
  <r>
    <n v="1796"/>
    <n v="22"/>
    <s v="Feminino"/>
    <s v="Logistica"/>
    <s v="Operador"/>
    <s v="2º Turno"/>
    <x v="0"/>
    <s v="Não"/>
    <x v="1"/>
    <d v="2025-10-12T00:00:00"/>
    <d v="2025-10-01T00:00:00"/>
    <s v="dom"/>
    <x v="11"/>
    <x v="1"/>
    <m/>
    <s v="179645942"/>
  </r>
  <r>
    <n v="1796"/>
    <n v="22"/>
    <s v="Feminino"/>
    <s v="Logistica"/>
    <s v="Operador"/>
    <s v="2º Turno"/>
    <x v="0"/>
    <s v="Não"/>
    <x v="1"/>
    <d v="2025-11-17T00:00:00"/>
    <d v="2025-11-01T00:00:00"/>
    <s v="seg"/>
    <x v="10"/>
    <x v="1"/>
    <m/>
    <s v="179645978"/>
  </r>
  <r>
    <n v="1797"/>
    <n v="57"/>
    <s v="Masculino"/>
    <s v="Pintura"/>
    <s v="Operador"/>
    <s v="1º Turno"/>
    <x v="0"/>
    <s v="Não"/>
    <x v="2"/>
    <d v="2025-11-20T00:00:00"/>
    <d v="2025-11-01T00:00:00"/>
    <s v="qui"/>
    <x v="10"/>
    <x v="1"/>
    <m/>
    <s v="179745981"/>
  </r>
  <r>
    <n v="1797"/>
    <n v="57"/>
    <s v="Masculino"/>
    <s v="Pintura"/>
    <s v="Operador"/>
    <s v="1º Turno"/>
    <x v="0"/>
    <s v="Não"/>
    <x v="2"/>
    <d v="2025-12-13T00:00:00"/>
    <d v="2025-12-01T00:00:00"/>
    <s v="sáb"/>
    <x v="8"/>
    <x v="1"/>
    <m/>
    <s v="179746004"/>
  </r>
  <r>
    <n v="1797"/>
    <n v="57"/>
    <s v="Masculino"/>
    <s v="Pintura"/>
    <s v="Operador"/>
    <s v="1º Turno"/>
    <x v="0"/>
    <s v="Não"/>
    <x v="2"/>
    <d v="2026-06-24T00:00:00"/>
    <d v="2026-01-01T00:00:00"/>
    <s v="qua"/>
    <x v="1"/>
    <x v="0"/>
    <m/>
    <s v="179746197"/>
  </r>
  <r>
    <n v="1797"/>
    <n v="57"/>
    <s v="Masculino"/>
    <s v="Pintura"/>
    <s v="Operador"/>
    <s v="1º Turno"/>
    <x v="0"/>
    <s v="Não"/>
    <x v="2"/>
    <d v="2026-06-29T00:00:00"/>
    <d v="2026-01-01T00:00:00"/>
    <s v="seg"/>
    <x v="1"/>
    <x v="0"/>
    <m/>
    <s v="179746202"/>
  </r>
  <r>
    <n v="1798"/>
    <n v="36"/>
    <s v="Feminino"/>
    <s v="Soldagem"/>
    <s v="Operador"/>
    <s v="3º Turno"/>
    <x v="0"/>
    <s v="Sim"/>
    <x v="1"/>
    <d v="2025-03-18T00:00:00"/>
    <d v="2025-03-01T00:00:00"/>
    <s v="ter"/>
    <x v="4"/>
    <x v="1"/>
    <d v="2025-04-24T00:00:00"/>
    <s v="179845734"/>
  </r>
  <r>
    <n v="1798"/>
    <n v="36"/>
    <s v="Feminino"/>
    <s v="Soldagem"/>
    <s v="Operador"/>
    <s v="3º Turno"/>
    <x v="5"/>
    <s v="Sim"/>
    <x v="1"/>
    <d v="2025-04-14T00:00:00"/>
    <d v="2025-04-01T00:00:00"/>
    <s v="seg"/>
    <x v="2"/>
    <x v="1"/>
    <d v="2025-04-24T00:00:00"/>
    <s v="179845761"/>
  </r>
  <r>
    <n v="1798"/>
    <n v="36"/>
    <s v="Feminino"/>
    <s v="Soldagem"/>
    <s v="Operador"/>
    <s v="3º Turno"/>
    <x v="0"/>
    <s v="Sim"/>
    <x v="1"/>
    <d v="2025-04-15T00:00:00"/>
    <d v="2025-04-01T00:00:00"/>
    <s v="ter"/>
    <x v="2"/>
    <x v="1"/>
    <d v="2025-04-24T00:00:00"/>
    <s v="179845762"/>
  </r>
  <r>
    <n v="1798"/>
    <n v="36"/>
    <s v="Feminino"/>
    <s v="Soldagem"/>
    <s v="Operador"/>
    <s v="3º Turno"/>
    <x v="5"/>
    <s v="Sim"/>
    <x v="1"/>
    <d v="2025-04-18T00:00:00"/>
    <d v="2025-04-01T00:00:00"/>
    <s v="sex"/>
    <x v="2"/>
    <x v="1"/>
    <d v="2025-04-24T00:00:00"/>
    <s v="179845765"/>
  </r>
  <r>
    <n v="1798"/>
    <n v="36"/>
    <s v="Feminino"/>
    <s v="Soldagem"/>
    <s v="Operador"/>
    <s v="3º Turno"/>
    <x v="0"/>
    <s v="Sim"/>
    <x v="1"/>
    <d v="2025-04-20T00:00:00"/>
    <d v="2025-04-01T00:00:00"/>
    <s v="dom"/>
    <x v="2"/>
    <x v="1"/>
    <d v="2025-04-24T00:00:00"/>
    <s v="179845767"/>
  </r>
  <r>
    <n v="1798"/>
    <n v="36"/>
    <s v="Feminino"/>
    <s v="Soldagem"/>
    <s v="Operador"/>
    <s v="3º Turno"/>
    <x v="0"/>
    <s v="Sim"/>
    <x v="1"/>
    <d v="2025-04-23T00:00:00"/>
    <d v="2025-04-01T00:00:00"/>
    <s v="qua"/>
    <x v="2"/>
    <x v="1"/>
    <d v="2025-04-24T00:00:00"/>
    <s v="179845770"/>
  </r>
  <r>
    <n v="1799"/>
    <n v="51"/>
    <s v="Masculino"/>
    <s v="Logistica"/>
    <s v="Operador"/>
    <s v="2º Turno"/>
    <x v="0"/>
    <s v="Não"/>
    <x v="2"/>
    <d v="2025-06-20T00:00:00"/>
    <d v="2025-06-01T00:00:00"/>
    <s v="sex"/>
    <x v="1"/>
    <x v="1"/>
    <m/>
    <s v="179945828"/>
  </r>
  <r>
    <n v="1799"/>
    <n v="51"/>
    <s v="Masculino"/>
    <s v="Logistica"/>
    <s v="Operador"/>
    <s v="2º Turno"/>
    <x v="0"/>
    <s v="Não"/>
    <x v="2"/>
    <d v="2025-10-03T00:00:00"/>
    <d v="2025-10-01T00:00:00"/>
    <s v="sex"/>
    <x v="11"/>
    <x v="1"/>
    <m/>
    <s v="179945933"/>
  </r>
  <r>
    <n v="1799"/>
    <n v="51"/>
    <s v="Masculino"/>
    <s v="Logistica"/>
    <s v="Operador"/>
    <s v="2º Turno"/>
    <x v="0"/>
    <s v="Não"/>
    <x v="2"/>
    <d v="2025-11-18T00:00:00"/>
    <d v="2025-11-01T00:00:00"/>
    <s v="ter"/>
    <x v="10"/>
    <x v="1"/>
    <m/>
    <s v="179945979"/>
  </r>
  <r>
    <n v="1799"/>
    <n v="51"/>
    <s v="Masculino"/>
    <s v="Logistica"/>
    <s v="Operador"/>
    <s v="2º Turno"/>
    <x v="0"/>
    <s v="Não"/>
    <x v="2"/>
    <d v="2026-06-11T00:00:00"/>
    <d v="2026-01-01T00:00:00"/>
    <s v="qui"/>
    <x v="1"/>
    <x v="0"/>
    <m/>
    <s v="179946184"/>
  </r>
  <r>
    <n v="1799"/>
    <n v="51"/>
    <s v="Masculino"/>
    <s v="Logistica"/>
    <s v="Operador"/>
    <s v="2º Turno"/>
    <x v="0"/>
    <s v="Não"/>
    <x v="2"/>
    <d v="2026-06-28T00:00:00"/>
    <d v="2026-01-01T00:00:00"/>
    <s v="dom"/>
    <x v="1"/>
    <x v="0"/>
    <m/>
    <s v="179946201"/>
  </r>
  <r>
    <n v="1799"/>
    <n v="51"/>
    <s v="Masculino"/>
    <s v="Logistica"/>
    <s v="Operador"/>
    <s v="2º Turno"/>
    <x v="0"/>
    <s v="Não"/>
    <x v="2"/>
    <d v="2026-03-01T00:00:00"/>
    <d v="2026-03-01T00:00:00"/>
    <s v="dom"/>
    <x v="4"/>
    <x v="0"/>
    <m/>
    <s v="179946082"/>
  </r>
  <r>
    <n v="1800"/>
    <n v="32"/>
    <s v="Masculino"/>
    <s v="Pintura"/>
    <s v="Operador"/>
    <s v="1º Turno"/>
    <x v="0"/>
    <s v="Não"/>
    <x v="0"/>
    <d v="2025-06-18T00:00:00"/>
    <d v="2025-06-01T00:00:00"/>
    <s v="qua"/>
    <x v="1"/>
    <x v="1"/>
    <m/>
    <s v="180045826"/>
  </r>
  <r>
    <n v="1800"/>
    <n v="32"/>
    <s v="Masculino"/>
    <s v="Pintura"/>
    <s v="Operador"/>
    <s v="1º Turno"/>
    <x v="0"/>
    <s v="Não"/>
    <x v="0"/>
    <d v="2025-06-21T00:00:00"/>
    <d v="2025-06-01T00:00:00"/>
    <s v="sáb"/>
    <x v="1"/>
    <x v="1"/>
    <m/>
    <s v="180045829"/>
  </r>
  <r>
    <n v="1800"/>
    <n v="32"/>
    <s v="Masculino"/>
    <s v="Pintura"/>
    <s v="Operador"/>
    <s v="1º Turno"/>
    <x v="0"/>
    <s v="Não"/>
    <x v="0"/>
    <d v="2025-09-23T00:00:00"/>
    <d v="2025-09-01T00:00:00"/>
    <s v="ter"/>
    <x v="7"/>
    <x v="1"/>
    <m/>
    <s v="180045923"/>
  </r>
  <r>
    <n v="1800"/>
    <n v="32"/>
    <s v="Masculino"/>
    <s v="Pintura"/>
    <s v="Operador"/>
    <s v="1º Turno"/>
    <x v="0"/>
    <s v="Não"/>
    <x v="0"/>
    <d v="2025-10-18T00:00:00"/>
    <d v="2025-10-01T00:00:00"/>
    <s v="sáb"/>
    <x v="11"/>
    <x v="1"/>
    <m/>
    <s v="180045948"/>
  </r>
  <r>
    <n v="1800"/>
    <n v="32"/>
    <s v="Masculino"/>
    <s v="Pintura"/>
    <s v="Operador"/>
    <s v="1º Turno"/>
    <x v="0"/>
    <s v="Não"/>
    <x v="0"/>
    <d v="2025-11-06T00:00:00"/>
    <d v="2025-11-01T00:00:00"/>
    <s v="qui"/>
    <x v="10"/>
    <x v="1"/>
    <m/>
    <s v="180045967"/>
  </r>
  <r>
    <n v="1800"/>
    <n v="32"/>
    <s v="Masculino"/>
    <s v="Pintura"/>
    <s v="Operador"/>
    <s v="1º Turno"/>
    <x v="0"/>
    <s v="Não"/>
    <x v="0"/>
    <d v="2025-11-14T00:00:00"/>
    <d v="2025-11-01T00:00:00"/>
    <s v="sex"/>
    <x v="10"/>
    <x v="1"/>
    <m/>
    <s v="180045975"/>
  </r>
  <r>
    <n v="1801"/>
    <n v="28"/>
    <s v="Feminino"/>
    <s v="Soldagem"/>
    <s v="Operador"/>
    <s v="2º Turno"/>
    <x v="0"/>
    <s v="Sim"/>
    <x v="2"/>
    <d v="2025-05-30T00:00:00"/>
    <d v="2025-05-01T00:00:00"/>
    <s v="sex"/>
    <x v="0"/>
    <x v="1"/>
    <d v="2025-09-22T00:00:00"/>
    <s v="180145807"/>
  </r>
  <r>
    <n v="1801"/>
    <n v="28"/>
    <s v="Feminino"/>
    <s v="Soldagem"/>
    <s v="Operador"/>
    <s v="2º Turno"/>
    <x v="0"/>
    <s v="Sim"/>
    <x v="2"/>
    <d v="2025-06-15T00:00:00"/>
    <d v="2025-06-01T00:00:00"/>
    <s v="dom"/>
    <x v="1"/>
    <x v="1"/>
    <d v="2025-09-22T00:00:00"/>
    <s v="180145823"/>
  </r>
  <r>
    <n v="1801"/>
    <n v="28"/>
    <s v="Feminino"/>
    <s v="Soldagem"/>
    <s v="Operador"/>
    <s v="2º Turno"/>
    <x v="0"/>
    <s v="Sim"/>
    <x v="2"/>
    <d v="2025-06-30T00:00:00"/>
    <d v="2025-06-01T00:00:00"/>
    <s v="seg"/>
    <x v="1"/>
    <x v="1"/>
    <d v="2025-09-22T00:00:00"/>
    <s v="180145838"/>
  </r>
  <r>
    <n v="1801"/>
    <n v="28"/>
    <s v="Feminino"/>
    <s v="Soldagem"/>
    <s v="Operador"/>
    <s v="2º Turno"/>
    <x v="0"/>
    <s v="Sim"/>
    <x v="2"/>
    <d v="2025-07-06T00:00:00"/>
    <d v="2025-07-01T00:00:00"/>
    <s v="dom"/>
    <x v="6"/>
    <x v="1"/>
    <d v="2025-09-22T00:00:00"/>
    <s v="180145844"/>
  </r>
  <r>
    <n v="1801"/>
    <n v="28"/>
    <s v="Feminino"/>
    <s v="Soldagem"/>
    <s v="Operador"/>
    <s v="2º Turno"/>
    <x v="0"/>
    <s v="Sim"/>
    <x v="2"/>
    <d v="2025-08-02T00:00:00"/>
    <d v="2025-08-01T00:00:00"/>
    <s v="sáb"/>
    <x v="9"/>
    <x v="1"/>
    <d v="2025-09-22T00:00:00"/>
    <s v="180145871"/>
  </r>
  <r>
    <n v="1801"/>
    <n v="28"/>
    <s v="Feminino"/>
    <s v="Soldagem"/>
    <s v="Operador"/>
    <s v="2º Turno"/>
    <x v="0"/>
    <s v="Sim"/>
    <x v="2"/>
    <d v="2025-08-06T00:00:00"/>
    <d v="2025-08-01T00:00:00"/>
    <s v="qua"/>
    <x v="9"/>
    <x v="1"/>
    <d v="2025-09-22T00:00:00"/>
    <s v="180145875"/>
  </r>
  <r>
    <n v="1802"/>
    <n v="54"/>
    <s v="Masculino"/>
    <s v="Montagem"/>
    <s v="Operador"/>
    <s v="1º Turno"/>
    <x v="0"/>
    <s v="Não"/>
    <x v="2"/>
    <d v="2025-09-18T00:00:00"/>
    <d v="2025-09-01T00:00:00"/>
    <s v="qui"/>
    <x v="7"/>
    <x v="1"/>
    <m/>
    <s v="180245918"/>
  </r>
  <r>
    <n v="1802"/>
    <n v="54"/>
    <s v="Masculino"/>
    <s v="Montagem"/>
    <s v="Operador"/>
    <s v="1º Turno"/>
    <x v="0"/>
    <s v="Não"/>
    <x v="2"/>
    <d v="2025-11-02T00:00:00"/>
    <d v="2025-11-01T00:00:00"/>
    <s v="dom"/>
    <x v="10"/>
    <x v="1"/>
    <m/>
    <s v="180245963"/>
  </r>
  <r>
    <n v="1802"/>
    <n v="54"/>
    <s v="Masculino"/>
    <s v="Montagem"/>
    <s v="Operador"/>
    <s v="1º Turno"/>
    <x v="0"/>
    <s v="Não"/>
    <x v="2"/>
    <d v="2025-11-11T00:00:00"/>
    <d v="2025-11-01T00:00:00"/>
    <s v="ter"/>
    <x v="10"/>
    <x v="1"/>
    <m/>
    <s v="180245972"/>
  </r>
  <r>
    <n v="1802"/>
    <n v="54"/>
    <s v="Masculino"/>
    <s v="Montagem"/>
    <s v="Operador"/>
    <s v="1º Turno"/>
    <x v="0"/>
    <s v="Não"/>
    <x v="2"/>
    <d v="2025-12-02T00:00:00"/>
    <d v="2025-12-01T00:00:00"/>
    <s v="ter"/>
    <x v="8"/>
    <x v="1"/>
    <m/>
    <s v="180245993"/>
  </r>
  <r>
    <n v="1802"/>
    <n v="54"/>
    <s v="Masculino"/>
    <s v="Montagem"/>
    <s v="Operador"/>
    <s v="1º Turno"/>
    <x v="0"/>
    <s v="Não"/>
    <x v="2"/>
    <d v="2025-12-04T00:00:00"/>
    <d v="2025-12-01T00:00:00"/>
    <s v="qui"/>
    <x v="8"/>
    <x v="1"/>
    <m/>
    <s v="180245995"/>
  </r>
  <r>
    <n v="1802"/>
    <n v="54"/>
    <s v="Masculino"/>
    <s v="Montagem"/>
    <s v="Operador"/>
    <s v="1º Turno"/>
    <x v="0"/>
    <s v="Não"/>
    <x v="2"/>
    <d v="2026-03-02T00:00:00"/>
    <d v="2026-03-01T00:00:00"/>
    <s v="seg"/>
    <x v="4"/>
    <x v="0"/>
    <m/>
    <s v="180246083"/>
  </r>
  <r>
    <n v="1803"/>
    <n v="55"/>
    <s v="Feminino"/>
    <s v="Logistica"/>
    <s v="Operador"/>
    <s v="3º Turno"/>
    <x v="0"/>
    <s v="Não"/>
    <x v="0"/>
    <d v="2025-08-15T00:00:00"/>
    <d v="2025-08-01T00:00:00"/>
    <s v="sex"/>
    <x v="9"/>
    <x v="1"/>
    <m/>
    <s v="180345884"/>
  </r>
  <r>
    <n v="1803"/>
    <n v="55"/>
    <s v="Feminino"/>
    <s v="Logistica"/>
    <s v="Operador"/>
    <s v="3º Turno"/>
    <x v="0"/>
    <s v="Não"/>
    <x v="0"/>
    <d v="2025-11-23T00:00:00"/>
    <d v="2025-11-01T00:00:00"/>
    <s v="dom"/>
    <x v="10"/>
    <x v="1"/>
    <m/>
    <s v="180345984"/>
  </r>
  <r>
    <n v="1803"/>
    <n v="55"/>
    <s v="Feminino"/>
    <s v="Logistica"/>
    <s v="Operador"/>
    <s v="3º Turno"/>
    <x v="0"/>
    <s v="Não"/>
    <x v="0"/>
    <d v="2026-03-26T00:00:00"/>
    <d v="2026-03-01T00:00:00"/>
    <s v="qui"/>
    <x v="4"/>
    <x v="0"/>
    <m/>
    <s v="180346107"/>
  </r>
  <r>
    <n v="1803"/>
    <n v="55"/>
    <s v="Feminino"/>
    <s v="Logistica"/>
    <s v="Operador"/>
    <s v="3º Turno"/>
    <x v="0"/>
    <s v="Não"/>
    <x v="0"/>
    <d v="2026-04-12T00:00:00"/>
    <d v="2026-04-01T00:00:00"/>
    <s v="dom"/>
    <x v="2"/>
    <x v="0"/>
    <m/>
    <s v="180346124"/>
  </r>
  <r>
    <n v="1803"/>
    <n v="55"/>
    <s v="Feminino"/>
    <s v="Logistica"/>
    <s v="Operador"/>
    <s v="3º Turno"/>
    <x v="0"/>
    <s v="Não"/>
    <x v="0"/>
    <d v="2026-04-13T00:00:00"/>
    <d v="2026-04-01T00:00:00"/>
    <s v="seg"/>
    <x v="2"/>
    <x v="0"/>
    <m/>
    <s v="180346125"/>
  </r>
  <r>
    <n v="1803"/>
    <n v="55"/>
    <s v="Feminino"/>
    <s v="Logistica"/>
    <s v="Operador"/>
    <s v="3º Turno"/>
    <x v="0"/>
    <s v="Não"/>
    <x v="0"/>
    <d v="2026-04-20T00:00:00"/>
    <d v="2026-04-01T00:00:00"/>
    <s v="seg"/>
    <x v="2"/>
    <x v="0"/>
    <m/>
    <s v="180346132"/>
  </r>
  <r>
    <n v="1803"/>
    <n v="55"/>
    <s v="Feminino"/>
    <s v="Logistica"/>
    <s v="Operador"/>
    <s v="3º Turno"/>
    <x v="0"/>
    <s v="Não"/>
    <x v="0"/>
    <d v="2026-05-19T00:00:00"/>
    <d v="2026-05-01T00:00:00"/>
    <s v="ter"/>
    <x v="0"/>
    <x v="0"/>
    <m/>
    <s v="180346161"/>
  </r>
  <r>
    <n v="1803"/>
    <n v="55"/>
    <s v="Feminino"/>
    <s v="Logistica"/>
    <s v="Operador"/>
    <s v="3º Turno"/>
    <x v="0"/>
    <s v="Não"/>
    <x v="0"/>
    <d v="2026-06-21T00:00:00"/>
    <d v="2026-06-01T00:00:00"/>
    <s v="dom"/>
    <x v="1"/>
    <x v="0"/>
    <m/>
    <s v="180346194"/>
  </r>
  <r>
    <n v="1804"/>
    <n v="52"/>
    <s v="Masculino"/>
    <s v="Soldagem"/>
    <s v="Operador"/>
    <s v="3º Turno"/>
    <x v="0"/>
    <s v="Sim"/>
    <x v="2"/>
    <d v="2025-01-15T00:00:00"/>
    <d v="2025-01-01T00:00:00"/>
    <s v="qua"/>
    <x v="5"/>
    <x v="1"/>
    <d v="2025-05-14T00:00:00"/>
    <s v="180445672"/>
  </r>
  <r>
    <n v="1804"/>
    <n v="52"/>
    <s v="Masculino"/>
    <s v="Soldagem"/>
    <s v="Operador"/>
    <s v="3º Turno"/>
    <x v="0"/>
    <s v="Sim"/>
    <x v="2"/>
    <d v="2025-03-18T00:00:00"/>
    <d v="2025-03-01T00:00:00"/>
    <s v="ter"/>
    <x v="4"/>
    <x v="1"/>
    <d v="2025-05-14T00:00:00"/>
    <s v="180445734"/>
  </r>
  <r>
    <n v="1804"/>
    <n v="52"/>
    <s v="Masculino"/>
    <s v="Soldagem"/>
    <s v="Operador"/>
    <s v="3º Turno"/>
    <x v="0"/>
    <s v="Sim"/>
    <x v="2"/>
    <d v="2025-05-06T00:00:00"/>
    <d v="2025-05-01T00:00:00"/>
    <s v="ter"/>
    <x v="0"/>
    <x v="1"/>
    <d v="2025-05-14T00:00:00"/>
    <s v="180445783"/>
  </r>
  <r>
    <n v="1804"/>
    <n v="52"/>
    <s v="Masculino"/>
    <s v="Soldagem"/>
    <s v="Operador"/>
    <s v="3º Turno"/>
    <x v="0"/>
    <s v="Sim"/>
    <x v="2"/>
    <d v="2025-05-08T00:00:00"/>
    <d v="2025-05-01T00:00:00"/>
    <s v="qui"/>
    <x v="0"/>
    <x v="1"/>
    <d v="2025-05-14T00:00:00"/>
    <s v="180445785"/>
  </r>
  <r>
    <n v="1804"/>
    <n v="52"/>
    <s v="Masculino"/>
    <s v="Soldagem"/>
    <s v="Operador"/>
    <s v="3º Turno"/>
    <x v="0"/>
    <s v="Sim"/>
    <x v="2"/>
    <d v="2025-05-09T00:00:00"/>
    <d v="2025-05-01T00:00:00"/>
    <s v="sex"/>
    <x v="0"/>
    <x v="1"/>
    <d v="2025-05-14T00:00:00"/>
    <s v="180445786"/>
  </r>
  <r>
    <n v="1804"/>
    <n v="52"/>
    <s v="Masculino"/>
    <s v="Soldagem"/>
    <s v="Operador"/>
    <s v="3º Turno"/>
    <x v="0"/>
    <s v="Sim"/>
    <x v="2"/>
    <d v="2025-05-12T00:00:00"/>
    <d v="2025-05-01T00:00:00"/>
    <s v="seg"/>
    <x v="0"/>
    <x v="1"/>
    <d v="2025-05-14T00:00:00"/>
    <s v="180445789"/>
  </r>
  <r>
    <n v="1806"/>
    <n v="42"/>
    <s v="Masculino"/>
    <s v="Montagem"/>
    <s v="Operador"/>
    <s v="3º Turno"/>
    <x v="0"/>
    <s v="Sim"/>
    <x v="2"/>
    <d v="2025-08-16T00:00:00"/>
    <d v="2025-08-01T00:00:00"/>
    <s v="sáb"/>
    <x v="9"/>
    <x v="1"/>
    <d v="2026-01-29T00:00:00"/>
    <s v="180645885"/>
  </r>
  <r>
    <n v="1806"/>
    <n v="42"/>
    <s v="Masculino"/>
    <s v="Montagem"/>
    <s v="Operador"/>
    <s v="3º Turno"/>
    <x v="0"/>
    <s v="Sim"/>
    <x v="2"/>
    <d v="2025-08-21T00:00:00"/>
    <d v="2025-08-01T00:00:00"/>
    <s v="qui"/>
    <x v="9"/>
    <x v="1"/>
    <d v="2026-01-29T00:00:00"/>
    <s v="180645890"/>
  </r>
  <r>
    <n v="1806"/>
    <n v="42"/>
    <s v="Masculino"/>
    <s v="Montagem"/>
    <s v="Operador"/>
    <s v="3º Turno"/>
    <x v="0"/>
    <s v="Sim"/>
    <x v="2"/>
    <d v="2025-12-06T00:00:00"/>
    <d v="2025-12-01T00:00:00"/>
    <s v="sáb"/>
    <x v="8"/>
    <x v="1"/>
    <d v="2026-01-29T00:00:00"/>
    <s v="180645997"/>
  </r>
  <r>
    <n v="1806"/>
    <n v="42"/>
    <s v="Masculino"/>
    <s v="Montagem"/>
    <s v="Operador"/>
    <s v="3º Turno"/>
    <x v="0"/>
    <s v="Sim"/>
    <x v="2"/>
    <d v="2026-06-05T00:00:00"/>
    <d v="2026-01-01T00:00:00"/>
    <s v="sex"/>
    <x v="1"/>
    <x v="0"/>
    <d v="2026-01-29T00:00:00"/>
    <s v="180646178"/>
  </r>
  <r>
    <n v="1806"/>
    <n v="42"/>
    <s v="Masculino"/>
    <s v="Montagem"/>
    <s v="Operador"/>
    <s v="3º Turno"/>
    <x v="0"/>
    <s v="Sim"/>
    <x v="2"/>
    <d v="2026-06-06T00:00:00"/>
    <d v="2026-01-01T00:00:00"/>
    <s v="sáb"/>
    <x v="1"/>
    <x v="0"/>
    <d v="2026-01-29T00:00:00"/>
    <s v="180646179"/>
  </r>
  <r>
    <n v="1806"/>
    <n v="42"/>
    <s v="Masculino"/>
    <s v="Montagem"/>
    <s v="Operador"/>
    <s v="3º Turno"/>
    <x v="0"/>
    <s v="Sim"/>
    <x v="2"/>
    <d v="2026-06-16T00:00:00"/>
    <d v="2026-01-01T00:00:00"/>
    <s v="ter"/>
    <x v="1"/>
    <x v="0"/>
    <d v="2026-01-29T00:00:00"/>
    <s v="180646189"/>
  </r>
  <r>
    <n v="1808"/>
    <n v="35"/>
    <s v="Feminino"/>
    <s v="Montagem"/>
    <s v="Operador"/>
    <s v="1º Turno"/>
    <x v="0"/>
    <s v="Não"/>
    <x v="0"/>
    <d v="2025-06-16T00:00:00"/>
    <d v="2025-06-01T00:00:00"/>
    <s v="seg"/>
    <x v="1"/>
    <x v="1"/>
    <m/>
    <s v="180845824"/>
  </r>
  <r>
    <n v="1808"/>
    <n v="35"/>
    <s v="Feminino"/>
    <s v="Montagem"/>
    <s v="Operador"/>
    <s v="1º Turno"/>
    <x v="0"/>
    <s v="Não"/>
    <x v="0"/>
    <d v="2025-07-08T00:00:00"/>
    <d v="2025-07-01T00:00:00"/>
    <s v="ter"/>
    <x v="6"/>
    <x v="1"/>
    <m/>
    <s v="180845846"/>
  </r>
  <r>
    <n v="1808"/>
    <n v="35"/>
    <s v="Feminino"/>
    <s v="Montagem"/>
    <s v="Operador"/>
    <s v="1º Turno"/>
    <x v="0"/>
    <s v="Não"/>
    <x v="0"/>
    <d v="2025-08-06T00:00:00"/>
    <d v="2025-08-01T00:00:00"/>
    <s v="qua"/>
    <x v="9"/>
    <x v="1"/>
    <m/>
    <s v="180845875"/>
  </r>
  <r>
    <n v="1808"/>
    <n v="35"/>
    <s v="Feminino"/>
    <s v="Montagem"/>
    <s v="Operador"/>
    <s v="1º Turno"/>
    <x v="0"/>
    <s v="Não"/>
    <x v="0"/>
    <d v="2025-12-04T00:00:00"/>
    <d v="2025-12-01T00:00:00"/>
    <s v="qui"/>
    <x v="8"/>
    <x v="1"/>
    <m/>
    <s v="180845995"/>
  </r>
  <r>
    <n v="1808"/>
    <n v="35"/>
    <s v="Feminino"/>
    <s v="Montagem"/>
    <s v="Operador"/>
    <s v="1º Turno"/>
    <x v="0"/>
    <s v="Não"/>
    <x v="0"/>
    <d v="2026-06-23T00:00:00"/>
    <d v="2026-01-01T00:00:00"/>
    <s v="ter"/>
    <x v="1"/>
    <x v="0"/>
    <m/>
    <s v="180846196"/>
  </r>
  <r>
    <n v="1808"/>
    <n v="35"/>
    <s v="Feminino"/>
    <s v="Montagem"/>
    <s v="Operador"/>
    <s v="1º Turno"/>
    <x v="0"/>
    <s v="Não"/>
    <x v="0"/>
    <d v="2026-02-14T00:00:00"/>
    <d v="2026-02-01T00:00:00"/>
    <s v="sáb"/>
    <x v="3"/>
    <x v="0"/>
    <m/>
    <s v="180846067"/>
  </r>
  <r>
    <n v="1809"/>
    <n v="23"/>
    <s v="Masculino"/>
    <s v="Logistica"/>
    <s v="Operador"/>
    <s v="1º Turno"/>
    <x v="0"/>
    <s v="Não"/>
    <x v="2"/>
    <d v="2025-09-13T00:00:00"/>
    <d v="2025-09-01T00:00:00"/>
    <s v="sáb"/>
    <x v="7"/>
    <x v="1"/>
    <m/>
    <s v="180945913"/>
  </r>
  <r>
    <n v="1809"/>
    <n v="23"/>
    <s v="Masculino"/>
    <s v="Logistica"/>
    <s v="Operador"/>
    <s v="1º Turno"/>
    <x v="0"/>
    <s v="Não"/>
    <x v="2"/>
    <d v="2025-10-11T00:00:00"/>
    <d v="2025-10-01T00:00:00"/>
    <s v="sáb"/>
    <x v="11"/>
    <x v="1"/>
    <m/>
    <s v="180945941"/>
  </r>
  <r>
    <n v="1809"/>
    <n v="23"/>
    <s v="Masculino"/>
    <s v="Logistica"/>
    <s v="Operador"/>
    <s v="1º Turno"/>
    <x v="0"/>
    <s v="Não"/>
    <x v="2"/>
    <d v="2025-10-19T00:00:00"/>
    <d v="2025-10-01T00:00:00"/>
    <s v="dom"/>
    <x v="11"/>
    <x v="1"/>
    <m/>
    <s v="180945949"/>
  </r>
  <r>
    <n v="1809"/>
    <n v="23"/>
    <s v="Masculino"/>
    <s v="Logistica"/>
    <s v="Operador"/>
    <s v="1º Turno"/>
    <x v="0"/>
    <s v="Não"/>
    <x v="2"/>
    <d v="2025-12-26T00:00:00"/>
    <d v="2025-12-01T00:00:00"/>
    <s v="sex"/>
    <x v="8"/>
    <x v="1"/>
    <m/>
    <s v="180946017"/>
  </r>
  <r>
    <n v="1809"/>
    <n v="23"/>
    <s v="Masculino"/>
    <s v="Logistica"/>
    <s v="Operador"/>
    <s v="1º Turno"/>
    <x v="0"/>
    <s v="Não"/>
    <x v="2"/>
    <d v="2026-02-25T00:00:00"/>
    <d v="2026-02-01T00:00:00"/>
    <s v="qua"/>
    <x v="3"/>
    <x v="0"/>
    <m/>
    <s v="180946078"/>
  </r>
  <r>
    <n v="1810"/>
    <n v="28"/>
    <s v="Feminino"/>
    <s v="Montagem"/>
    <s v="Operador"/>
    <s v="2º Turno"/>
    <x v="0"/>
    <s v="Não"/>
    <x v="1"/>
    <d v="2025-06-01T00:00:00"/>
    <d v="2025-06-01T00:00:00"/>
    <s v="dom"/>
    <x v="1"/>
    <x v="1"/>
    <m/>
    <s v="181045809"/>
  </r>
  <r>
    <n v="1810"/>
    <n v="28"/>
    <s v="Feminino"/>
    <s v="Montagem"/>
    <s v="Operador"/>
    <s v="2º Turno"/>
    <x v="0"/>
    <s v="Não"/>
    <x v="1"/>
    <d v="2025-09-12T00:00:00"/>
    <d v="2025-09-01T00:00:00"/>
    <s v="sex"/>
    <x v="7"/>
    <x v="1"/>
    <m/>
    <s v="181045912"/>
  </r>
  <r>
    <n v="1810"/>
    <n v="28"/>
    <s v="Feminino"/>
    <s v="Montagem"/>
    <s v="Operador"/>
    <s v="2º Turno"/>
    <x v="0"/>
    <s v="Não"/>
    <x v="1"/>
    <d v="2026-06-25T00:00:00"/>
    <d v="2026-01-01T00:00:00"/>
    <s v="qui"/>
    <x v="1"/>
    <x v="0"/>
    <m/>
    <s v="181046198"/>
  </r>
  <r>
    <n v="1810"/>
    <n v="28"/>
    <s v="Feminino"/>
    <s v="Montagem"/>
    <s v="Operador"/>
    <s v="2º Turno"/>
    <x v="0"/>
    <s v="Não"/>
    <x v="1"/>
    <d v="2026-03-23T00:00:00"/>
    <d v="2026-03-01T00:00:00"/>
    <s v="seg"/>
    <x v="4"/>
    <x v="0"/>
    <m/>
    <s v="181046104"/>
  </r>
  <r>
    <n v="1810"/>
    <n v="28"/>
    <s v="Feminino"/>
    <s v="Montagem"/>
    <s v="Operador"/>
    <s v="2º Turno"/>
    <x v="0"/>
    <s v="Não"/>
    <x v="1"/>
    <d v="2026-03-24T00:00:00"/>
    <d v="2026-03-01T00:00:00"/>
    <s v="ter"/>
    <x v="4"/>
    <x v="0"/>
    <m/>
    <s v="181046105"/>
  </r>
  <r>
    <n v="1811"/>
    <n v="41"/>
    <s v="Masculino"/>
    <s v="Qualidade"/>
    <s v="Inspetor"/>
    <s v="3º Turno"/>
    <x v="0"/>
    <s v="Não"/>
    <x v="0"/>
    <d v="2025-06-20T00:00:00"/>
    <d v="2025-06-01T00:00:00"/>
    <s v="sex"/>
    <x v="1"/>
    <x v="1"/>
    <m/>
    <s v="181145828"/>
  </r>
  <r>
    <n v="1811"/>
    <n v="41"/>
    <s v="Masculino"/>
    <s v="Qualidade"/>
    <s v="Inspetor"/>
    <s v="3º Turno"/>
    <x v="0"/>
    <s v="Não"/>
    <x v="0"/>
    <d v="2025-07-22T00:00:00"/>
    <d v="2025-07-01T00:00:00"/>
    <s v="ter"/>
    <x v="6"/>
    <x v="1"/>
    <m/>
    <s v="181145860"/>
  </r>
  <r>
    <n v="1811"/>
    <n v="41"/>
    <s v="Masculino"/>
    <s v="Qualidade"/>
    <s v="Inspetor"/>
    <s v="3º Turno"/>
    <x v="0"/>
    <s v="Não"/>
    <x v="0"/>
    <d v="2025-09-20T00:00:00"/>
    <d v="2025-09-01T00:00:00"/>
    <s v="sáb"/>
    <x v="7"/>
    <x v="1"/>
    <m/>
    <s v="181145920"/>
  </r>
  <r>
    <n v="1811"/>
    <n v="41"/>
    <s v="Masculino"/>
    <s v="Qualidade"/>
    <s v="Inspetor"/>
    <s v="3º Turno"/>
    <x v="0"/>
    <s v="Não"/>
    <x v="0"/>
    <d v="2025-10-13T00:00:00"/>
    <d v="2025-10-01T00:00:00"/>
    <s v="seg"/>
    <x v="11"/>
    <x v="1"/>
    <m/>
    <s v="181145943"/>
  </r>
  <r>
    <n v="1813"/>
    <n v="43"/>
    <s v="Masculino"/>
    <s v="Montagem"/>
    <s v="Operador"/>
    <s v="3º Turno"/>
    <x v="0"/>
    <s v="Sim"/>
    <x v="0"/>
    <d v="2025-05-04T00:00:00"/>
    <d v="2025-05-01T00:00:00"/>
    <s v="dom"/>
    <x v="0"/>
    <x v="1"/>
    <d v="2026-03-20T00:00:00"/>
    <s v="181345781"/>
  </r>
  <r>
    <n v="1813"/>
    <n v="43"/>
    <s v="Masculino"/>
    <s v="Montagem"/>
    <s v="Operador"/>
    <s v="3º Turno"/>
    <x v="0"/>
    <s v="Sim"/>
    <x v="0"/>
    <d v="2025-07-21T00:00:00"/>
    <d v="2025-07-01T00:00:00"/>
    <s v="seg"/>
    <x v="6"/>
    <x v="1"/>
    <d v="2026-03-20T00:00:00"/>
    <s v="181345859"/>
  </r>
  <r>
    <n v="1813"/>
    <n v="43"/>
    <s v="Masculino"/>
    <s v="Montagem"/>
    <s v="Operador"/>
    <s v="3º Turno"/>
    <x v="0"/>
    <s v="Sim"/>
    <x v="0"/>
    <d v="2025-11-08T00:00:00"/>
    <d v="2025-11-01T00:00:00"/>
    <s v="sáb"/>
    <x v="10"/>
    <x v="1"/>
    <d v="2026-03-20T00:00:00"/>
    <s v="181345969"/>
  </r>
  <r>
    <n v="1813"/>
    <n v="43"/>
    <s v="Masculino"/>
    <s v="Montagem"/>
    <s v="Operador"/>
    <s v="3º Turno"/>
    <x v="0"/>
    <s v="Sim"/>
    <x v="0"/>
    <d v="2025-11-24T00:00:00"/>
    <d v="2025-11-01T00:00:00"/>
    <s v="seg"/>
    <x v="10"/>
    <x v="1"/>
    <d v="2026-03-20T00:00:00"/>
    <s v="181345985"/>
  </r>
  <r>
    <n v="1813"/>
    <n v="43"/>
    <s v="Masculino"/>
    <s v="Montagem"/>
    <s v="Operador"/>
    <s v="3º Turno"/>
    <x v="0"/>
    <s v="Sim"/>
    <x v="0"/>
    <d v="2025-12-11T00:00:00"/>
    <d v="2025-12-01T00:00:00"/>
    <s v="qui"/>
    <x v="8"/>
    <x v="1"/>
    <d v="2026-03-20T00:00:00"/>
    <s v="181346002"/>
  </r>
  <r>
    <n v="1813"/>
    <n v="43"/>
    <s v="Masculino"/>
    <s v="Montagem"/>
    <s v="Operador"/>
    <s v="3º Turno"/>
    <x v="0"/>
    <s v="Sim"/>
    <x v="0"/>
    <d v="2026-03-01T00:00:00"/>
    <d v="2026-03-01T00:00:00"/>
    <s v="dom"/>
    <x v="4"/>
    <x v="0"/>
    <d v="2026-03-20T00:00:00"/>
    <s v="181346082"/>
  </r>
  <r>
    <n v="1814"/>
    <n v="54"/>
    <s v="Feminino"/>
    <s v="Soldagem"/>
    <s v="Operador"/>
    <s v="3º Turno"/>
    <x v="0"/>
    <s v="Não"/>
    <x v="0"/>
    <d v="2025-06-08T00:00:00"/>
    <d v="2025-06-01T00:00:00"/>
    <s v="dom"/>
    <x v="1"/>
    <x v="1"/>
    <m/>
    <s v="181445816"/>
  </r>
  <r>
    <n v="1814"/>
    <n v="54"/>
    <s v="Feminino"/>
    <s v="Soldagem"/>
    <s v="Operador"/>
    <s v="3º Turno"/>
    <x v="0"/>
    <s v="Não"/>
    <x v="0"/>
    <d v="2025-06-28T00:00:00"/>
    <d v="2025-06-01T00:00:00"/>
    <s v="sáb"/>
    <x v="1"/>
    <x v="1"/>
    <m/>
    <s v="181445836"/>
  </r>
  <r>
    <n v="1814"/>
    <n v="54"/>
    <s v="Feminino"/>
    <s v="Soldagem"/>
    <s v="Operador"/>
    <s v="3º Turno"/>
    <x v="0"/>
    <s v="Não"/>
    <x v="0"/>
    <d v="2025-07-26T00:00:00"/>
    <d v="2025-07-01T00:00:00"/>
    <s v="sáb"/>
    <x v="6"/>
    <x v="1"/>
    <m/>
    <s v="181445864"/>
  </r>
  <r>
    <n v="1814"/>
    <n v="54"/>
    <s v="Feminino"/>
    <s v="Soldagem"/>
    <s v="Operador"/>
    <s v="3º Turno"/>
    <x v="0"/>
    <s v="Não"/>
    <x v="0"/>
    <d v="2025-08-13T00:00:00"/>
    <d v="2025-08-01T00:00:00"/>
    <s v="qua"/>
    <x v="9"/>
    <x v="1"/>
    <m/>
    <s v="181445882"/>
  </r>
  <r>
    <n v="1814"/>
    <n v="54"/>
    <s v="Feminino"/>
    <s v="Soldagem"/>
    <s v="Operador"/>
    <s v="3º Turno"/>
    <x v="0"/>
    <s v="Não"/>
    <x v="0"/>
    <d v="2025-10-05T00:00:00"/>
    <d v="2025-10-01T00:00:00"/>
    <s v="dom"/>
    <x v="11"/>
    <x v="1"/>
    <m/>
    <s v="181445935"/>
  </r>
  <r>
    <n v="1814"/>
    <n v="54"/>
    <s v="Feminino"/>
    <s v="Soldagem"/>
    <s v="Operador"/>
    <s v="3º Turno"/>
    <x v="0"/>
    <s v="Não"/>
    <x v="0"/>
    <d v="2026-06-14T00:00:00"/>
    <d v="2026-01-01T00:00:00"/>
    <s v="dom"/>
    <x v="1"/>
    <x v="0"/>
    <m/>
    <s v="181446187"/>
  </r>
  <r>
    <n v="1815"/>
    <n v="22"/>
    <s v="Masculino"/>
    <s v="Pintura"/>
    <s v="Operador"/>
    <s v="1º Turno"/>
    <x v="0"/>
    <s v="Sim"/>
    <x v="0"/>
    <d v="2025-04-10T00:00:00"/>
    <d v="2025-04-01T00:00:00"/>
    <s v="qui"/>
    <x v="2"/>
    <x v="1"/>
    <d v="2026-02-08T00:00:00"/>
    <s v="181545757"/>
  </r>
  <r>
    <n v="1815"/>
    <n v="22"/>
    <s v="Masculino"/>
    <s v="Pintura"/>
    <s v="Operador"/>
    <s v="1º Turno"/>
    <x v="0"/>
    <s v="Sim"/>
    <x v="0"/>
    <d v="2025-07-11T00:00:00"/>
    <d v="2025-07-01T00:00:00"/>
    <s v="sex"/>
    <x v="6"/>
    <x v="1"/>
    <d v="2026-02-08T00:00:00"/>
    <s v="181545849"/>
  </r>
  <r>
    <n v="1815"/>
    <n v="22"/>
    <s v="Masculino"/>
    <s v="Pintura"/>
    <s v="Operador"/>
    <s v="1º Turno"/>
    <x v="0"/>
    <s v="Sim"/>
    <x v="0"/>
    <d v="2025-07-18T00:00:00"/>
    <d v="2025-07-01T00:00:00"/>
    <s v="sex"/>
    <x v="6"/>
    <x v="1"/>
    <d v="2026-02-08T00:00:00"/>
    <s v="181545856"/>
  </r>
  <r>
    <n v="1815"/>
    <n v="22"/>
    <s v="Masculino"/>
    <s v="Pintura"/>
    <s v="Operador"/>
    <s v="1º Turno"/>
    <x v="0"/>
    <s v="Sim"/>
    <x v="0"/>
    <d v="2025-08-12T00:00:00"/>
    <d v="2025-08-01T00:00:00"/>
    <s v="ter"/>
    <x v="9"/>
    <x v="1"/>
    <d v="2026-02-08T00:00:00"/>
    <s v="181545881"/>
  </r>
  <r>
    <n v="1815"/>
    <n v="22"/>
    <s v="Masculino"/>
    <s v="Pintura"/>
    <s v="Operador"/>
    <s v="1º Turno"/>
    <x v="0"/>
    <s v="Sim"/>
    <x v="0"/>
    <d v="2025-12-26T00:00:00"/>
    <d v="2025-12-01T00:00:00"/>
    <s v="sex"/>
    <x v="8"/>
    <x v="1"/>
    <d v="2026-02-08T00:00:00"/>
    <s v="181546017"/>
  </r>
  <r>
    <n v="1815"/>
    <n v="22"/>
    <s v="Masculino"/>
    <s v="Pintura"/>
    <s v="Operador"/>
    <s v="1º Turno"/>
    <x v="0"/>
    <s v="Sim"/>
    <x v="0"/>
    <d v="2026-06-06T00:00:00"/>
    <d v="2026-01-01T00:00:00"/>
    <s v="sáb"/>
    <x v="1"/>
    <x v="0"/>
    <d v="2026-02-08T00:00:00"/>
    <s v="181546179"/>
  </r>
  <r>
    <n v="1816"/>
    <n v="56"/>
    <s v="Masculino"/>
    <s v="Soldagem"/>
    <s v="Operador"/>
    <s v="3º Turno"/>
    <x v="5"/>
    <s v="Sim"/>
    <x v="2"/>
    <d v="2025-04-20T00:00:00"/>
    <d v="2025-04-01T00:00:00"/>
    <s v="dom"/>
    <x v="2"/>
    <x v="1"/>
    <d v="2026-05-21T00:00:00"/>
    <s v="181645767"/>
  </r>
  <r>
    <n v="1816"/>
    <n v="56"/>
    <s v="Masculino"/>
    <s v="Soldagem"/>
    <s v="Operador"/>
    <s v="3º Turno"/>
    <x v="0"/>
    <s v="Sim"/>
    <x v="2"/>
    <d v="2025-06-30T00:00:00"/>
    <d v="2025-06-01T00:00:00"/>
    <s v="seg"/>
    <x v="1"/>
    <x v="1"/>
    <d v="2026-05-21T00:00:00"/>
    <s v="181645838"/>
  </r>
  <r>
    <n v="1816"/>
    <n v="56"/>
    <s v="Masculino"/>
    <s v="Soldagem"/>
    <s v="Operador"/>
    <s v="3º Turno"/>
    <x v="0"/>
    <s v="Sim"/>
    <x v="2"/>
    <d v="2025-07-30T00:00:00"/>
    <d v="2025-07-01T00:00:00"/>
    <s v="qua"/>
    <x v="6"/>
    <x v="1"/>
    <d v="2026-05-21T00:00:00"/>
    <s v="181645868"/>
  </r>
  <r>
    <n v="1816"/>
    <n v="56"/>
    <s v="Masculino"/>
    <s v="Soldagem"/>
    <s v="Operador"/>
    <s v="3º Turno"/>
    <x v="0"/>
    <s v="Sim"/>
    <x v="2"/>
    <d v="2026-06-19T00:00:00"/>
    <d v="2026-01-01T00:00:00"/>
    <s v="sex"/>
    <x v="1"/>
    <x v="0"/>
    <d v="2026-05-21T00:00:00"/>
    <s v="181646192"/>
  </r>
  <r>
    <n v="1816"/>
    <n v="56"/>
    <s v="Masculino"/>
    <s v="Soldagem"/>
    <s v="Operador"/>
    <s v="3º Turno"/>
    <x v="0"/>
    <s v="Sim"/>
    <x v="2"/>
    <d v="2026-03-26T00:00:00"/>
    <d v="2026-03-01T00:00:00"/>
    <s v="qui"/>
    <x v="4"/>
    <x v="0"/>
    <d v="2026-05-21T00:00:00"/>
    <s v="181646107"/>
  </r>
  <r>
    <n v="1817"/>
    <n v="33"/>
    <s v="Masculino"/>
    <s v="Montagem"/>
    <s v="Operador"/>
    <s v="3º Turno"/>
    <x v="0"/>
    <s v="Sim"/>
    <x v="2"/>
    <d v="2025-04-17T00:00:00"/>
    <d v="2025-04-01T00:00:00"/>
    <s v="qui"/>
    <x v="2"/>
    <x v="1"/>
    <d v="2025-10-05T00:00:00"/>
    <s v="181745764"/>
  </r>
  <r>
    <n v="1817"/>
    <n v="33"/>
    <s v="Masculino"/>
    <s v="Montagem"/>
    <s v="Operador"/>
    <s v="3º Turno"/>
    <x v="0"/>
    <s v="Sim"/>
    <x v="2"/>
    <d v="2025-05-31T00:00:00"/>
    <d v="2025-05-01T00:00:00"/>
    <s v="sáb"/>
    <x v="0"/>
    <x v="1"/>
    <d v="2025-10-05T00:00:00"/>
    <s v="181745808"/>
  </r>
  <r>
    <n v="1817"/>
    <n v="33"/>
    <s v="Masculino"/>
    <s v="Montagem"/>
    <s v="Operador"/>
    <s v="3º Turno"/>
    <x v="0"/>
    <s v="Sim"/>
    <x v="2"/>
    <d v="2025-07-15T00:00:00"/>
    <d v="2025-07-01T00:00:00"/>
    <s v="ter"/>
    <x v="6"/>
    <x v="1"/>
    <d v="2025-10-05T00:00:00"/>
    <s v="181745853"/>
  </r>
  <r>
    <n v="1817"/>
    <n v="33"/>
    <s v="Masculino"/>
    <s v="Montagem"/>
    <s v="Operador"/>
    <s v="3º Turno"/>
    <x v="0"/>
    <s v="Sim"/>
    <x v="2"/>
    <d v="2025-07-17T00:00:00"/>
    <d v="2025-07-01T00:00:00"/>
    <s v="qui"/>
    <x v="6"/>
    <x v="1"/>
    <d v="2025-10-05T00:00:00"/>
    <s v="181745855"/>
  </r>
  <r>
    <n v="1817"/>
    <n v="33"/>
    <s v="Masculino"/>
    <s v="Montagem"/>
    <s v="Operador"/>
    <s v="3º Turno"/>
    <x v="0"/>
    <s v="Sim"/>
    <x v="2"/>
    <d v="2025-09-08T00:00:00"/>
    <d v="2025-09-01T00:00:00"/>
    <s v="seg"/>
    <x v="7"/>
    <x v="1"/>
    <d v="2025-10-05T00:00:00"/>
    <s v="181745908"/>
  </r>
  <r>
    <n v="1817"/>
    <n v="33"/>
    <s v="Masculino"/>
    <s v="Montagem"/>
    <s v="Operador"/>
    <s v="3º Turno"/>
    <x v="0"/>
    <s v="Sim"/>
    <x v="2"/>
    <d v="2025-09-12T00:00:00"/>
    <d v="2025-09-01T00:00:00"/>
    <s v="sex"/>
    <x v="7"/>
    <x v="1"/>
    <d v="2025-10-05T00:00:00"/>
    <s v="181745912"/>
  </r>
  <r>
    <n v="1818"/>
    <n v="32"/>
    <s v="Feminino"/>
    <s v="Soldagem"/>
    <s v="Operador"/>
    <s v="2º Turno"/>
    <x v="0"/>
    <s v="Sim"/>
    <x v="0"/>
    <d v="2025-05-14T00:00:00"/>
    <d v="2025-05-01T00:00:00"/>
    <s v="qua"/>
    <x v="0"/>
    <x v="1"/>
    <d v="2025-09-23T00:00:00"/>
    <s v="181845791"/>
  </r>
  <r>
    <n v="1818"/>
    <n v="32"/>
    <s v="Feminino"/>
    <s v="Soldagem"/>
    <s v="Operador"/>
    <s v="2º Turno"/>
    <x v="0"/>
    <s v="Sim"/>
    <x v="0"/>
    <d v="2025-07-15T00:00:00"/>
    <d v="2025-07-01T00:00:00"/>
    <s v="ter"/>
    <x v="6"/>
    <x v="1"/>
    <d v="2025-09-23T00:00:00"/>
    <s v="181845853"/>
  </r>
  <r>
    <n v="1818"/>
    <n v="32"/>
    <s v="Feminino"/>
    <s v="Soldagem"/>
    <s v="Operador"/>
    <s v="2º Turno"/>
    <x v="0"/>
    <s v="Sim"/>
    <x v="0"/>
    <d v="2025-07-17T00:00:00"/>
    <d v="2025-07-01T00:00:00"/>
    <s v="qui"/>
    <x v="6"/>
    <x v="1"/>
    <d v="2025-09-23T00:00:00"/>
    <s v="181845855"/>
  </r>
  <r>
    <n v="1818"/>
    <n v="32"/>
    <s v="Feminino"/>
    <s v="Soldagem"/>
    <s v="Operador"/>
    <s v="2º Turno"/>
    <x v="0"/>
    <s v="Sim"/>
    <x v="0"/>
    <d v="2025-08-02T00:00:00"/>
    <d v="2025-08-01T00:00:00"/>
    <s v="sáb"/>
    <x v="9"/>
    <x v="1"/>
    <d v="2025-09-23T00:00:00"/>
    <s v="181845871"/>
  </r>
  <r>
    <n v="1818"/>
    <n v="32"/>
    <s v="Feminino"/>
    <s v="Soldagem"/>
    <s v="Operador"/>
    <s v="2º Turno"/>
    <x v="0"/>
    <s v="Sim"/>
    <x v="0"/>
    <d v="2025-08-03T00:00:00"/>
    <d v="2025-08-01T00:00:00"/>
    <s v="dom"/>
    <x v="9"/>
    <x v="1"/>
    <d v="2025-09-23T00:00:00"/>
    <s v="181845872"/>
  </r>
  <r>
    <n v="1818"/>
    <n v="32"/>
    <s v="Feminino"/>
    <s v="Soldagem"/>
    <s v="Operador"/>
    <s v="2º Turno"/>
    <x v="0"/>
    <s v="Sim"/>
    <x v="0"/>
    <d v="2025-08-04T00:00:00"/>
    <d v="2025-08-01T00:00:00"/>
    <s v="seg"/>
    <x v="9"/>
    <x v="1"/>
    <d v="2025-09-23T00:00:00"/>
    <s v="181845873"/>
  </r>
  <r>
    <n v="1821"/>
    <n v="28"/>
    <s v="Feminino"/>
    <s v="Soldagem"/>
    <s v="Operador"/>
    <s v="3º Turno"/>
    <x v="0"/>
    <s v="Não"/>
    <x v="0"/>
    <d v="2025-09-09T00:00:00"/>
    <d v="2025-09-01T00:00:00"/>
    <s v="ter"/>
    <x v="7"/>
    <x v="1"/>
    <m/>
    <s v="182145909"/>
  </r>
  <r>
    <n v="1821"/>
    <n v="28"/>
    <s v="Feminino"/>
    <s v="Soldagem"/>
    <s v="Operador"/>
    <s v="3º Turno"/>
    <x v="0"/>
    <s v="Não"/>
    <x v="0"/>
    <d v="2025-12-03T00:00:00"/>
    <d v="2025-12-01T00:00:00"/>
    <s v="qua"/>
    <x v="8"/>
    <x v="1"/>
    <m/>
    <s v="182145994"/>
  </r>
  <r>
    <n v="1821"/>
    <n v="28"/>
    <s v="Feminino"/>
    <s v="Soldagem"/>
    <s v="Operador"/>
    <s v="3º Turno"/>
    <x v="0"/>
    <s v="Não"/>
    <x v="0"/>
    <d v="2026-02-01T00:00:00"/>
    <d v="2026-02-01T00:00:00"/>
    <s v="dom"/>
    <x v="3"/>
    <x v="0"/>
    <m/>
    <s v="182146054"/>
  </r>
  <r>
    <n v="1821"/>
    <n v="28"/>
    <s v="Feminino"/>
    <s v="Soldagem"/>
    <s v="Operador"/>
    <s v="3º Turno"/>
    <x v="0"/>
    <s v="Não"/>
    <x v="0"/>
    <d v="2026-03-19T00:00:00"/>
    <d v="2026-03-01T00:00:00"/>
    <s v="qui"/>
    <x v="4"/>
    <x v="0"/>
    <m/>
    <s v="182146100"/>
  </r>
  <r>
    <n v="1821"/>
    <n v="28"/>
    <s v="Feminino"/>
    <s v="Soldagem"/>
    <s v="Operador"/>
    <s v="3º Turno"/>
    <x v="0"/>
    <s v="Não"/>
    <x v="0"/>
    <d v="2026-03-30T00:00:00"/>
    <d v="2026-03-01T00:00:00"/>
    <s v="seg"/>
    <x v="4"/>
    <x v="0"/>
    <m/>
    <s v="182146111"/>
  </r>
  <r>
    <n v="1821"/>
    <n v="28"/>
    <s v="Feminino"/>
    <s v="Soldagem"/>
    <s v="Operador"/>
    <s v="3º Turno"/>
    <x v="0"/>
    <s v="Não"/>
    <x v="0"/>
    <d v="2026-05-24T00:00:00"/>
    <d v="2026-05-01T00:00:00"/>
    <s v="dom"/>
    <x v="0"/>
    <x v="0"/>
    <m/>
    <s v="182146166"/>
  </r>
  <r>
    <n v="1822"/>
    <n v="29"/>
    <s v="Masculino"/>
    <s v="Soldagem"/>
    <s v="Operador"/>
    <s v="3º Turno"/>
    <x v="0"/>
    <s v="Sim"/>
    <x v="0"/>
    <d v="2025-01-15T00:00:00"/>
    <d v="2025-01-01T00:00:00"/>
    <s v="qua"/>
    <x v="5"/>
    <x v="1"/>
    <d v="2025-05-23T00:00:00"/>
    <s v="182245672"/>
  </r>
  <r>
    <n v="1822"/>
    <n v="29"/>
    <s v="Masculino"/>
    <s v="Soldagem"/>
    <s v="Operador"/>
    <s v="3º Turno"/>
    <x v="5"/>
    <s v="Sim"/>
    <x v="0"/>
    <d v="2025-03-18T00:00:00"/>
    <d v="2025-03-01T00:00:00"/>
    <s v="ter"/>
    <x v="4"/>
    <x v="1"/>
    <d v="2025-05-23T00:00:00"/>
    <s v="182245734"/>
  </r>
  <r>
    <n v="1822"/>
    <n v="29"/>
    <s v="Masculino"/>
    <s v="Soldagem"/>
    <s v="Operador"/>
    <s v="3º Turno"/>
    <x v="0"/>
    <s v="Sim"/>
    <x v="0"/>
    <d v="2025-05-08T00:00:00"/>
    <d v="2025-05-01T00:00:00"/>
    <s v="qui"/>
    <x v="0"/>
    <x v="1"/>
    <d v="2025-05-23T00:00:00"/>
    <s v="182245785"/>
  </r>
  <r>
    <n v="1822"/>
    <n v="29"/>
    <s v="Masculino"/>
    <s v="Soldagem"/>
    <s v="Operador"/>
    <s v="3º Turno"/>
    <x v="0"/>
    <s v="Sim"/>
    <x v="0"/>
    <d v="2025-05-14T00:00:00"/>
    <d v="2025-05-01T00:00:00"/>
    <s v="qua"/>
    <x v="0"/>
    <x v="1"/>
    <d v="2025-05-23T00:00:00"/>
    <s v="182245791"/>
  </r>
  <r>
    <n v="1822"/>
    <n v="29"/>
    <s v="Masculino"/>
    <s v="Soldagem"/>
    <s v="Operador"/>
    <s v="3º Turno"/>
    <x v="0"/>
    <s v="Sim"/>
    <x v="0"/>
    <d v="2025-05-18T00:00:00"/>
    <d v="2025-05-01T00:00:00"/>
    <s v="dom"/>
    <x v="0"/>
    <x v="1"/>
    <d v="2025-05-23T00:00:00"/>
    <s v="182245795"/>
  </r>
  <r>
    <n v="1822"/>
    <n v="29"/>
    <s v="Masculino"/>
    <s v="Soldagem"/>
    <s v="Operador"/>
    <s v="3º Turno"/>
    <x v="0"/>
    <s v="Sim"/>
    <x v="0"/>
    <d v="2025-05-21T00:00:00"/>
    <d v="2025-05-01T00:00:00"/>
    <s v="qua"/>
    <x v="0"/>
    <x v="1"/>
    <d v="2025-05-23T00:00:00"/>
    <s v="182245798"/>
  </r>
  <r>
    <n v="1826"/>
    <n v="26"/>
    <s v="Masculino"/>
    <s v="Soldagem"/>
    <s v="Operador"/>
    <s v="2º Turno"/>
    <x v="5"/>
    <s v="Sim"/>
    <x v="2"/>
    <d v="2025-04-21T00:00:00"/>
    <d v="2025-04-01T00:00:00"/>
    <s v="seg"/>
    <x v="2"/>
    <x v="1"/>
    <d v="2025-06-27T00:00:00"/>
    <s v="182645768"/>
  </r>
  <r>
    <n v="1826"/>
    <n v="26"/>
    <s v="Masculino"/>
    <s v="Soldagem"/>
    <s v="Operador"/>
    <s v="2º Turno"/>
    <x v="0"/>
    <s v="Sim"/>
    <x v="2"/>
    <d v="2025-05-20T00:00:00"/>
    <d v="2025-05-01T00:00:00"/>
    <s v="ter"/>
    <x v="0"/>
    <x v="1"/>
    <d v="2025-06-27T00:00:00"/>
    <s v="182645797"/>
  </r>
  <r>
    <n v="1826"/>
    <n v="26"/>
    <s v="Masculino"/>
    <s v="Soldagem"/>
    <s v="Operador"/>
    <s v="2º Turno"/>
    <x v="0"/>
    <s v="Sim"/>
    <x v="2"/>
    <d v="2025-06-18T00:00:00"/>
    <d v="2025-06-01T00:00:00"/>
    <s v="qua"/>
    <x v="1"/>
    <x v="1"/>
    <d v="2025-06-27T00:00:00"/>
    <s v="182645826"/>
  </r>
  <r>
    <n v="1826"/>
    <n v="26"/>
    <s v="Masculino"/>
    <s v="Soldagem"/>
    <s v="Operador"/>
    <s v="2º Turno"/>
    <x v="0"/>
    <s v="Sim"/>
    <x v="2"/>
    <d v="2025-06-19T00:00:00"/>
    <d v="2025-06-01T00:00:00"/>
    <s v="qui"/>
    <x v="1"/>
    <x v="1"/>
    <d v="2025-06-27T00:00:00"/>
    <s v="182645827"/>
  </r>
  <r>
    <n v="1826"/>
    <n v="26"/>
    <s v="Masculino"/>
    <s v="Soldagem"/>
    <s v="Operador"/>
    <s v="2º Turno"/>
    <x v="0"/>
    <s v="Sim"/>
    <x v="2"/>
    <d v="2025-06-20T00:00:00"/>
    <d v="2025-06-01T00:00:00"/>
    <s v="sex"/>
    <x v="1"/>
    <x v="1"/>
    <d v="2025-06-27T00:00:00"/>
    <s v="182645828"/>
  </r>
  <r>
    <n v="1826"/>
    <n v="26"/>
    <s v="Masculino"/>
    <s v="Soldagem"/>
    <s v="Operador"/>
    <s v="2º Turno"/>
    <x v="0"/>
    <s v="Sim"/>
    <x v="2"/>
    <d v="2025-06-26T00:00:00"/>
    <d v="2025-06-01T00:00:00"/>
    <s v="qui"/>
    <x v="1"/>
    <x v="1"/>
    <d v="2025-06-27T00:00:00"/>
    <s v="182645834"/>
  </r>
  <r>
    <n v="1827"/>
    <n v="46"/>
    <s v="Feminino"/>
    <s v="Logistica"/>
    <s v="Operador"/>
    <s v="1º Turno"/>
    <x v="0"/>
    <s v="Não"/>
    <x v="1"/>
    <d v="2025-09-10T00:00:00"/>
    <d v="2025-09-01T00:00:00"/>
    <s v="qua"/>
    <x v="7"/>
    <x v="1"/>
    <m/>
    <s v="182745910"/>
  </r>
  <r>
    <n v="1827"/>
    <n v="46"/>
    <s v="Feminino"/>
    <s v="Logistica"/>
    <s v="Operador"/>
    <s v="1º Turno"/>
    <x v="0"/>
    <s v="Não"/>
    <x v="1"/>
    <d v="2025-09-23T00:00:00"/>
    <d v="2025-09-01T00:00:00"/>
    <s v="ter"/>
    <x v="7"/>
    <x v="1"/>
    <m/>
    <s v="182745923"/>
  </r>
  <r>
    <n v="1827"/>
    <n v="46"/>
    <s v="Feminino"/>
    <s v="Logistica"/>
    <s v="Operador"/>
    <s v="1º Turno"/>
    <x v="0"/>
    <s v="Não"/>
    <x v="1"/>
    <d v="2025-12-17T00:00:00"/>
    <d v="2025-12-01T00:00:00"/>
    <s v="qua"/>
    <x v="8"/>
    <x v="1"/>
    <m/>
    <s v="182746008"/>
  </r>
  <r>
    <n v="1827"/>
    <n v="46"/>
    <s v="Feminino"/>
    <s v="Logistica"/>
    <s v="Operador"/>
    <s v="1º Turno"/>
    <x v="0"/>
    <s v="Não"/>
    <x v="1"/>
    <d v="2025-12-29T00:00:00"/>
    <d v="2025-12-01T00:00:00"/>
    <s v="seg"/>
    <x v="8"/>
    <x v="1"/>
    <m/>
    <s v="182746020"/>
  </r>
  <r>
    <n v="1827"/>
    <n v="46"/>
    <s v="Feminino"/>
    <s v="Logistica"/>
    <s v="Operador"/>
    <s v="1º Turno"/>
    <x v="0"/>
    <s v="Não"/>
    <x v="1"/>
    <d v="2026-02-02T00:00:00"/>
    <d v="2026-02-01T00:00:00"/>
    <s v="seg"/>
    <x v="3"/>
    <x v="0"/>
    <m/>
    <s v="182746055"/>
  </r>
  <r>
    <n v="1828"/>
    <n v="49"/>
    <s v="Masculino"/>
    <s v="Pintura"/>
    <s v="Operador"/>
    <s v="2º Turno"/>
    <x v="0"/>
    <s v="Não"/>
    <x v="2"/>
    <d v="2025-04-29T00:00:00"/>
    <d v="2025-04-01T00:00:00"/>
    <s v="ter"/>
    <x v="2"/>
    <x v="1"/>
    <m/>
    <s v="182845776"/>
  </r>
  <r>
    <n v="1828"/>
    <n v="49"/>
    <s v="Masculino"/>
    <s v="Pintura"/>
    <s v="Operador"/>
    <s v="2º Turno"/>
    <x v="0"/>
    <s v="Não"/>
    <x v="2"/>
    <d v="2025-07-26T00:00:00"/>
    <d v="2025-07-01T00:00:00"/>
    <s v="sáb"/>
    <x v="6"/>
    <x v="1"/>
    <m/>
    <s v="182845864"/>
  </r>
  <r>
    <n v="1828"/>
    <n v="49"/>
    <s v="Masculino"/>
    <s v="Pintura"/>
    <s v="Operador"/>
    <s v="2º Turno"/>
    <x v="0"/>
    <s v="Não"/>
    <x v="2"/>
    <d v="2025-08-14T00:00:00"/>
    <d v="2025-08-01T00:00:00"/>
    <s v="qui"/>
    <x v="9"/>
    <x v="1"/>
    <m/>
    <s v="182845883"/>
  </r>
  <r>
    <n v="1828"/>
    <n v="49"/>
    <s v="Masculino"/>
    <s v="Pintura"/>
    <s v="Operador"/>
    <s v="2º Turno"/>
    <x v="0"/>
    <s v="Não"/>
    <x v="2"/>
    <d v="2025-12-16T00:00:00"/>
    <d v="2025-12-01T00:00:00"/>
    <s v="ter"/>
    <x v="8"/>
    <x v="1"/>
    <m/>
    <s v="182846007"/>
  </r>
  <r>
    <n v="1828"/>
    <n v="49"/>
    <s v="Masculino"/>
    <s v="Pintura"/>
    <s v="Operador"/>
    <s v="2º Turno"/>
    <x v="0"/>
    <s v="Não"/>
    <x v="2"/>
    <d v="2026-04-29T00:00:00"/>
    <d v="2026-04-01T00:00:00"/>
    <s v="ter"/>
    <x v="2"/>
    <x v="1"/>
    <m/>
    <s v="182846141"/>
  </r>
  <r>
    <n v="1829"/>
    <n v="52"/>
    <s v="Masculino"/>
    <s v="Montagem"/>
    <s v="Operador"/>
    <s v="2º Turno"/>
    <x v="0"/>
    <s v="Não"/>
    <x v="2"/>
    <d v="2025-06-14T00:00:00"/>
    <d v="2025-06-01T00:00:00"/>
    <s v="sáb"/>
    <x v="1"/>
    <x v="1"/>
    <m/>
    <s v="182945822"/>
  </r>
  <r>
    <n v="1829"/>
    <n v="52"/>
    <s v="Masculino"/>
    <s v="Montagem"/>
    <s v="Operador"/>
    <s v="2º Turno"/>
    <x v="0"/>
    <s v="Não"/>
    <x v="2"/>
    <d v="2025-07-26T00:00:00"/>
    <d v="2025-07-01T00:00:00"/>
    <s v="sáb"/>
    <x v="6"/>
    <x v="1"/>
    <m/>
    <s v="182945864"/>
  </r>
  <r>
    <n v="1829"/>
    <n v="52"/>
    <s v="Masculino"/>
    <s v="Montagem"/>
    <s v="Operador"/>
    <s v="2º Turno"/>
    <x v="0"/>
    <s v="Não"/>
    <x v="2"/>
    <d v="2025-11-08T00:00:00"/>
    <d v="2025-11-01T00:00:00"/>
    <s v="sáb"/>
    <x v="10"/>
    <x v="1"/>
    <m/>
    <s v="182945969"/>
  </r>
  <r>
    <n v="1829"/>
    <n v="52"/>
    <s v="Masculino"/>
    <s v="Montagem"/>
    <s v="Operador"/>
    <s v="2º Turno"/>
    <x v="0"/>
    <s v="Não"/>
    <x v="2"/>
    <d v="2026-06-06T00:00:00"/>
    <d v="2026-01-01T00:00:00"/>
    <s v="sáb"/>
    <x v="1"/>
    <x v="0"/>
    <m/>
    <s v="182946179"/>
  </r>
  <r>
    <n v="1829"/>
    <n v="52"/>
    <s v="Masculino"/>
    <s v="Montagem"/>
    <s v="Operador"/>
    <s v="2º Turno"/>
    <x v="0"/>
    <s v="Não"/>
    <x v="2"/>
    <d v="2026-02-14T00:00:00"/>
    <d v="2026-02-01T00:00:00"/>
    <s v="sáb"/>
    <x v="3"/>
    <x v="0"/>
    <m/>
    <s v="182946067"/>
  </r>
  <r>
    <n v="1829"/>
    <n v="52"/>
    <s v="Masculino"/>
    <s v="Montagem"/>
    <s v="Operador"/>
    <s v="2º Turno"/>
    <x v="0"/>
    <s v="Não"/>
    <x v="2"/>
    <d v="2026-03-13T00:00:00"/>
    <d v="2026-03-01T00:00:00"/>
    <s v="sex"/>
    <x v="4"/>
    <x v="0"/>
    <m/>
    <s v="182946094"/>
  </r>
  <r>
    <n v="1831"/>
    <n v="23"/>
    <s v="Masculino"/>
    <s v="Logistica"/>
    <s v="Operador"/>
    <s v="1º Turno"/>
    <x v="0"/>
    <s v="Sim"/>
    <x v="2"/>
    <d v="2025-04-24T00:00:00"/>
    <d v="2025-04-01T00:00:00"/>
    <s v="qui"/>
    <x v="2"/>
    <x v="1"/>
    <d v="2025-10-02T00:00:00"/>
    <s v="183145771"/>
  </r>
  <r>
    <n v="1831"/>
    <n v="23"/>
    <s v="Masculino"/>
    <s v="Logistica"/>
    <s v="Operador"/>
    <s v="1º Turno"/>
    <x v="0"/>
    <s v="Sim"/>
    <x v="2"/>
    <d v="2025-07-31T00:00:00"/>
    <d v="2025-07-01T00:00:00"/>
    <s v="qui"/>
    <x v="6"/>
    <x v="1"/>
    <d v="2025-10-02T00:00:00"/>
    <s v="183145869"/>
  </r>
  <r>
    <n v="1831"/>
    <n v="23"/>
    <s v="Masculino"/>
    <s v="Logistica"/>
    <s v="Operador"/>
    <s v="1º Turno"/>
    <x v="0"/>
    <s v="Sim"/>
    <x v="2"/>
    <d v="2025-09-06T00:00:00"/>
    <d v="2025-09-01T00:00:00"/>
    <s v="sáb"/>
    <x v="7"/>
    <x v="1"/>
    <d v="2025-10-02T00:00:00"/>
    <s v="183145906"/>
  </r>
  <r>
    <n v="1831"/>
    <n v="23"/>
    <s v="Masculino"/>
    <s v="Logistica"/>
    <s v="Operador"/>
    <s v="1º Turno"/>
    <x v="0"/>
    <s v="Sim"/>
    <x v="2"/>
    <d v="2025-09-08T00:00:00"/>
    <d v="2025-09-01T00:00:00"/>
    <s v="seg"/>
    <x v="7"/>
    <x v="1"/>
    <d v="2025-10-02T00:00:00"/>
    <s v="183145908"/>
  </r>
  <r>
    <n v="1831"/>
    <n v="23"/>
    <s v="Masculino"/>
    <s v="Logistica"/>
    <s v="Operador"/>
    <s v="1º Turno"/>
    <x v="0"/>
    <s v="Sim"/>
    <x v="2"/>
    <d v="2025-09-09T00:00:00"/>
    <d v="2025-09-01T00:00:00"/>
    <s v="ter"/>
    <x v="7"/>
    <x v="1"/>
    <d v="2025-10-02T00:00:00"/>
    <s v="183145909"/>
  </r>
  <r>
    <n v="1831"/>
    <n v="23"/>
    <s v="Masculino"/>
    <s v="Logistica"/>
    <s v="Operador"/>
    <s v="1º Turno"/>
    <x v="0"/>
    <s v="Sim"/>
    <x v="2"/>
    <d v="2025-09-14T00:00:00"/>
    <d v="2025-09-01T00:00:00"/>
    <s v="dom"/>
    <x v="7"/>
    <x v="1"/>
    <d v="2025-10-02T00:00:00"/>
    <s v="183145914"/>
  </r>
  <r>
    <n v="1832"/>
    <n v="26"/>
    <s v="Feminino"/>
    <s v="Logistica"/>
    <s v="Operador"/>
    <s v="1º Turno"/>
    <x v="0"/>
    <s v="Não"/>
    <x v="2"/>
    <d v="2025-08-25T00:00:00"/>
    <d v="2025-08-01T00:00:00"/>
    <s v="seg"/>
    <x v="9"/>
    <x v="1"/>
    <m/>
    <s v="183245894"/>
  </r>
  <r>
    <n v="1832"/>
    <n v="26"/>
    <s v="Feminino"/>
    <s v="Logistica"/>
    <s v="Operador"/>
    <s v="1º Turno"/>
    <x v="0"/>
    <s v="Não"/>
    <x v="2"/>
    <d v="2025-09-06T00:00:00"/>
    <d v="2025-09-01T00:00:00"/>
    <s v="sáb"/>
    <x v="7"/>
    <x v="1"/>
    <m/>
    <s v="183245906"/>
  </r>
  <r>
    <n v="1832"/>
    <n v="26"/>
    <s v="Feminino"/>
    <s v="Logistica"/>
    <s v="Operador"/>
    <s v="1º Turno"/>
    <x v="0"/>
    <s v="Não"/>
    <x v="2"/>
    <d v="2025-12-08T00:00:00"/>
    <d v="2025-12-01T00:00:00"/>
    <s v="seg"/>
    <x v="8"/>
    <x v="1"/>
    <m/>
    <s v="183245999"/>
  </r>
  <r>
    <n v="1832"/>
    <n v="26"/>
    <s v="Feminino"/>
    <s v="Logistica"/>
    <s v="Operador"/>
    <s v="1º Turno"/>
    <x v="0"/>
    <s v="Não"/>
    <x v="2"/>
    <d v="2026-06-08T00:00:00"/>
    <d v="2026-01-01T00:00:00"/>
    <s v="seg"/>
    <x v="1"/>
    <x v="0"/>
    <m/>
    <s v="183246181"/>
  </r>
  <r>
    <n v="1834"/>
    <n v="33"/>
    <s v="Masculino"/>
    <s v="Soldagem"/>
    <s v="Operador"/>
    <s v="3º Turno"/>
    <x v="0"/>
    <s v="Não"/>
    <x v="2"/>
    <d v="2025-07-05T00:00:00"/>
    <d v="2025-07-01T00:00:00"/>
    <s v="sáb"/>
    <x v="6"/>
    <x v="1"/>
    <m/>
    <s v="183445843"/>
  </r>
  <r>
    <n v="1834"/>
    <n v="33"/>
    <s v="Masculino"/>
    <s v="Soldagem"/>
    <s v="Operador"/>
    <s v="3º Turno"/>
    <x v="0"/>
    <s v="Não"/>
    <x v="2"/>
    <d v="2025-09-28T00:00:00"/>
    <d v="2025-09-01T00:00:00"/>
    <s v="dom"/>
    <x v="7"/>
    <x v="1"/>
    <m/>
    <s v="183445928"/>
  </r>
  <r>
    <n v="1834"/>
    <n v="33"/>
    <s v="Masculino"/>
    <s v="Soldagem"/>
    <s v="Operador"/>
    <s v="3º Turno"/>
    <x v="0"/>
    <s v="Não"/>
    <x v="2"/>
    <d v="2025-10-26T00:00:00"/>
    <d v="2025-10-01T00:00:00"/>
    <s v="dom"/>
    <x v="11"/>
    <x v="1"/>
    <m/>
    <s v="183445956"/>
  </r>
  <r>
    <n v="1834"/>
    <n v="33"/>
    <s v="Masculino"/>
    <s v="Soldagem"/>
    <s v="Operador"/>
    <s v="3º Turno"/>
    <x v="0"/>
    <s v="Não"/>
    <x v="2"/>
    <d v="2026-06-06T00:00:00"/>
    <d v="2026-01-01T00:00:00"/>
    <s v="sáb"/>
    <x v="1"/>
    <x v="0"/>
    <m/>
    <s v="183446179"/>
  </r>
  <r>
    <n v="1834"/>
    <n v="33"/>
    <s v="Masculino"/>
    <s v="Soldagem"/>
    <s v="Operador"/>
    <s v="3º Turno"/>
    <x v="0"/>
    <s v="Não"/>
    <x v="2"/>
    <d v="2026-06-23T00:00:00"/>
    <d v="2026-01-01T00:00:00"/>
    <s v="ter"/>
    <x v="1"/>
    <x v="0"/>
    <m/>
    <s v="183446196"/>
  </r>
  <r>
    <n v="1835"/>
    <n v="41"/>
    <s v="Masculino"/>
    <s v="Qualidade"/>
    <s v="Inspetor"/>
    <s v="3º Turno"/>
    <x v="0"/>
    <s v="Sim"/>
    <x v="2"/>
    <d v="2025-05-17T00:00:00"/>
    <d v="2025-05-01T00:00:00"/>
    <s v="sáb"/>
    <x v="0"/>
    <x v="1"/>
    <d v="2025-10-27T00:00:00"/>
    <s v="183545794"/>
  </r>
  <r>
    <n v="1835"/>
    <n v="41"/>
    <s v="Masculino"/>
    <s v="Qualidade"/>
    <s v="Inspetor"/>
    <s v="3º Turno"/>
    <x v="0"/>
    <s v="Sim"/>
    <x v="2"/>
    <d v="2025-06-01T00:00:00"/>
    <d v="2025-06-01T00:00:00"/>
    <s v="dom"/>
    <x v="1"/>
    <x v="1"/>
    <d v="2025-10-27T00:00:00"/>
    <s v="183545809"/>
  </r>
  <r>
    <n v="1835"/>
    <n v="41"/>
    <s v="Masculino"/>
    <s v="Qualidade"/>
    <s v="Inspetor"/>
    <s v="3º Turno"/>
    <x v="0"/>
    <s v="Sim"/>
    <x v="2"/>
    <d v="2025-08-21T00:00:00"/>
    <d v="2025-08-01T00:00:00"/>
    <s v="qui"/>
    <x v="9"/>
    <x v="1"/>
    <d v="2025-10-27T00:00:00"/>
    <s v="183545890"/>
  </r>
  <r>
    <n v="1835"/>
    <n v="41"/>
    <s v="Masculino"/>
    <s v="Qualidade"/>
    <s v="Inspetor"/>
    <s v="3º Turno"/>
    <x v="0"/>
    <s v="Sim"/>
    <x v="2"/>
    <d v="2025-09-06T00:00:00"/>
    <d v="2025-09-01T00:00:00"/>
    <s v="sáb"/>
    <x v="7"/>
    <x v="1"/>
    <d v="2025-10-27T00:00:00"/>
    <s v="183545906"/>
  </r>
  <r>
    <n v="1835"/>
    <n v="41"/>
    <s v="Masculino"/>
    <s v="Qualidade"/>
    <s v="Inspetor"/>
    <s v="3º Turno"/>
    <x v="0"/>
    <s v="Sim"/>
    <x v="2"/>
    <d v="2025-10-20T00:00:00"/>
    <d v="2025-10-01T00:00:00"/>
    <s v="seg"/>
    <x v="11"/>
    <x v="1"/>
    <d v="2025-10-27T00:00:00"/>
    <s v="183545950"/>
  </r>
  <r>
    <n v="1835"/>
    <n v="41"/>
    <s v="Masculino"/>
    <s v="Qualidade"/>
    <s v="Inspetor"/>
    <s v="3º Turno"/>
    <x v="0"/>
    <s v="Sim"/>
    <x v="2"/>
    <d v="2025-10-21T00:00:00"/>
    <d v="2025-10-01T00:00:00"/>
    <s v="ter"/>
    <x v="11"/>
    <x v="1"/>
    <d v="2025-10-27T00:00:00"/>
    <s v="183545951"/>
  </r>
  <r>
    <n v="1837"/>
    <n v="21"/>
    <s v="Feminino"/>
    <s v="Montagem"/>
    <s v="Operador"/>
    <s v="2º Turno"/>
    <x v="0"/>
    <s v="Não"/>
    <x v="0"/>
    <d v="2025-06-19T00:00:00"/>
    <d v="2025-06-01T00:00:00"/>
    <s v="qui"/>
    <x v="1"/>
    <x v="1"/>
    <m/>
    <s v="183745827"/>
  </r>
  <r>
    <n v="1837"/>
    <n v="21"/>
    <s v="Feminino"/>
    <s v="Montagem"/>
    <s v="Operador"/>
    <s v="2º Turno"/>
    <x v="0"/>
    <s v="Não"/>
    <x v="0"/>
    <d v="2025-07-08T00:00:00"/>
    <d v="2025-07-01T00:00:00"/>
    <s v="ter"/>
    <x v="6"/>
    <x v="1"/>
    <m/>
    <s v="183745846"/>
  </r>
  <r>
    <n v="1837"/>
    <n v="21"/>
    <s v="Feminino"/>
    <s v="Montagem"/>
    <s v="Operador"/>
    <s v="2º Turno"/>
    <x v="0"/>
    <s v="Não"/>
    <x v="0"/>
    <d v="2025-09-26T00:00:00"/>
    <d v="2025-09-01T00:00:00"/>
    <s v="sex"/>
    <x v="7"/>
    <x v="1"/>
    <m/>
    <s v="183745926"/>
  </r>
  <r>
    <n v="1837"/>
    <n v="21"/>
    <s v="Feminino"/>
    <s v="Montagem"/>
    <s v="Operador"/>
    <s v="2º Turno"/>
    <x v="0"/>
    <s v="Não"/>
    <x v="0"/>
    <d v="2025-11-09T00:00:00"/>
    <d v="2025-11-01T00:00:00"/>
    <s v="dom"/>
    <x v="10"/>
    <x v="1"/>
    <m/>
    <s v="183745970"/>
  </r>
  <r>
    <n v="1837"/>
    <n v="21"/>
    <s v="Feminino"/>
    <s v="Montagem"/>
    <s v="Operador"/>
    <s v="2º Turno"/>
    <x v="0"/>
    <s v="Não"/>
    <x v="0"/>
    <d v="2026-02-21T00:00:00"/>
    <d v="2026-02-01T00:00:00"/>
    <s v="sáb"/>
    <x v="3"/>
    <x v="0"/>
    <m/>
    <s v="183746074"/>
  </r>
  <r>
    <n v="1837"/>
    <n v="21"/>
    <s v="Feminino"/>
    <s v="Montagem"/>
    <s v="Operador"/>
    <s v="2º Turno"/>
    <x v="0"/>
    <s v="Não"/>
    <x v="0"/>
    <d v="2026-03-15T00:00:00"/>
    <d v="2026-03-01T00:00:00"/>
    <s v="dom"/>
    <x v="4"/>
    <x v="0"/>
    <m/>
    <s v="183746096"/>
  </r>
  <r>
    <n v="1839"/>
    <n v="32"/>
    <s v="Masculino"/>
    <s v="Pintura"/>
    <s v="Operador"/>
    <s v="3º Turno"/>
    <x v="0"/>
    <s v="Sim"/>
    <x v="1"/>
    <d v="2025-08-01T00:00:00"/>
    <d v="2025-08-01T00:00:00"/>
    <s v="sex"/>
    <x v="9"/>
    <x v="1"/>
    <d v="2026-05-27T00:00:00"/>
    <s v="183945870"/>
  </r>
  <r>
    <n v="1839"/>
    <n v="32"/>
    <s v="Masculino"/>
    <s v="Pintura"/>
    <s v="Operador"/>
    <s v="3º Turno"/>
    <x v="0"/>
    <s v="Sim"/>
    <x v="1"/>
    <d v="2025-08-03T00:00:00"/>
    <d v="2025-08-01T00:00:00"/>
    <s v="dom"/>
    <x v="9"/>
    <x v="1"/>
    <d v="2026-05-27T00:00:00"/>
    <s v="183945872"/>
  </r>
  <r>
    <n v="1839"/>
    <n v="32"/>
    <s v="Masculino"/>
    <s v="Pintura"/>
    <s v="Operador"/>
    <s v="3º Turno"/>
    <x v="0"/>
    <s v="Sim"/>
    <x v="1"/>
    <d v="2025-08-05T00:00:00"/>
    <d v="2025-08-01T00:00:00"/>
    <s v="ter"/>
    <x v="9"/>
    <x v="1"/>
    <d v="2026-05-27T00:00:00"/>
    <s v="183945874"/>
  </r>
  <r>
    <n v="1839"/>
    <n v="32"/>
    <s v="Masculino"/>
    <s v="Pintura"/>
    <s v="Operador"/>
    <s v="3º Turno"/>
    <x v="0"/>
    <s v="Sim"/>
    <x v="1"/>
    <d v="2025-08-07T00:00:00"/>
    <d v="2025-08-01T00:00:00"/>
    <s v="qui"/>
    <x v="9"/>
    <x v="1"/>
    <d v="2026-05-27T00:00:00"/>
    <s v="183945876"/>
  </r>
  <r>
    <n v="1839"/>
    <n v="32"/>
    <s v="Masculino"/>
    <s v="Pintura"/>
    <s v="Operador"/>
    <s v="3º Turno"/>
    <x v="0"/>
    <s v="Sim"/>
    <x v="1"/>
    <d v="2025-12-16T00:00:00"/>
    <d v="2025-12-01T00:00:00"/>
    <s v="ter"/>
    <x v="8"/>
    <x v="1"/>
    <d v="2026-05-27T00:00:00"/>
    <s v="183946007"/>
  </r>
  <r>
    <n v="1839"/>
    <n v="32"/>
    <s v="Masculino"/>
    <s v="Pintura"/>
    <s v="Operador"/>
    <s v="3º Turno"/>
    <x v="0"/>
    <s v="Sim"/>
    <x v="1"/>
    <d v="2026-03-09T00:00:00"/>
    <d v="2026-03-01T00:00:00"/>
    <s v="seg"/>
    <x v="4"/>
    <x v="0"/>
    <d v="2026-05-27T00:00:00"/>
    <s v="183946090"/>
  </r>
  <r>
    <n v="1840"/>
    <n v="39"/>
    <s v="Feminino"/>
    <s v="Qualidade"/>
    <s v="Inspetor"/>
    <s v="3º Turno"/>
    <x v="0"/>
    <s v="Não"/>
    <x v="2"/>
    <d v="2025-04-28T00:00:00"/>
    <d v="2025-04-01T00:00:00"/>
    <s v="seg"/>
    <x v="2"/>
    <x v="1"/>
    <m/>
    <s v="184045775"/>
  </r>
  <r>
    <n v="1840"/>
    <n v="39"/>
    <s v="Feminino"/>
    <s v="Qualidade"/>
    <s v="Inspetor"/>
    <s v="3º Turno"/>
    <x v="0"/>
    <s v="Não"/>
    <x v="2"/>
    <d v="2025-10-04T00:00:00"/>
    <d v="2025-10-01T00:00:00"/>
    <s v="sáb"/>
    <x v="11"/>
    <x v="1"/>
    <m/>
    <s v="184045934"/>
  </r>
  <r>
    <n v="1840"/>
    <n v="39"/>
    <s v="Feminino"/>
    <s v="Qualidade"/>
    <s v="Inspetor"/>
    <s v="3º Turno"/>
    <x v="0"/>
    <s v="Não"/>
    <x v="2"/>
    <d v="2026-06-29T00:00:00"/>
    <d v="2026-01-01T00:00:00"/>
    <s v="seg"/>
    <x v="1"/>
    <x v="0"/>
    <m/>
    <s v="184046202"/>
  </r>
  <r>
    <n v="1840"/>
    <n v="39"/>
    <s v="Feminino"/>
    <s v="Qualidade"/>
    <s v="Inspetor"/>
    <s v="3º Turno"/>
    <x v="0"/>
    <s v="Não"/>
    <x v="2"/>
    <d v="2026-04-28T00:00:00"/>
    <d v="2026-04-01T00:00:00"/>
    <s v="seg"/>
    <x v="2"/>
    <x v="1"/>
    <m/>
    <s v="184046140"/>
  </r>
  <r>
    <n v="1841"/>
    <n v="37"/>
    <s v="Feminino"/>
    <s v="Soldagem"/>
    <s v="Operador"/>
    <s v="1º Turno"/>
    <x v="0"/>
    <s v="Não"/>
    <x v="2"/>
    <d v="2025-06-02T00:00:00"/>
    <d v="2025-06-01T00:00:00"/>
    <s v="seg"/>
    <x v="1"/>
    <x v="1"/>
    <m/>
    <s v="184145810"/>
  </r>
  <r>
    <n v="1841"/>
    <n v="37"/>
    <s v="Feminino"/>
    <s v="Soldagem"/>
    <s v="Operador"/>
    <s v="1º Turno"/>
    <x v="0"/>
    <s v="Não"/>
    <x v="2"/>
    <d v="2025-09-28T00:00:00"/>
    <d v="2025-09-01T00:00:00"/>
    <s v="dom"/>
    <x v="7"/>
    <x v="1"/>
    <m/>
    <s v="184145928"/>
  </r>
  <r>
    <n v="1841"/>
    <n v="37"/>
    <s v="Feminino"/>
    <s v="Soldagem"/>
    <s v="Operador"/>
    <s v="1º Turno"/>
    <x v="0"/>
    <s v="Não"/>
    <x v="2"/>
    <d v="2025-10-15T00:00:00"/>
    <d v="2025-10-01T00:00:00"/>
    <s v="qua"/>
    <x v="11"/>
    <x v="1"/>
    <m/>
    <s v="184145945"/>
  </r>
  <r>
    <n v="1841"/>
    <n v="37"/>
    <s v="Feminino"/>
    <s v="Soldagem"/>
    <s v="Operador"/>
    <s v="1º Turno"/>
    <x v="0"/>
    <s v="Não"/>
    <x v="2"/>
    <d v="2025-11-29T00:00:00"/>
    <d v="2025-11-01T00:00:00"/>
    <s v="sáb"/>
    <x v="10"/>
    <x v="1"/>
    <m/>
    <s v="184145990"/>
  </r>
  <r>
    <n v="1841"/>
    <n v="37"/>
    <s v="Feminino"/>
    <s v="Soldagem"/>
    <s v="Operador"/>
    <s v="1º Turno"/>
    <x v="0"/>
    <s v="Não"/>
    <x v="2"/>
    <d v="2026-02-06T00:00:00"/>
    <d v="2026-02-01T00:00:00"/>
    <s v="sex"/>
    <x v="3"/>
    <x v="0"/>
    <m/>
    <s v="184146059"/>
  </r>
  <r>
    <n v="1842"/>
    <n v="58"/>
    <s v="Feminino"/>
    <s v="Qualidade"/>
    <s v="Inspetor"/>
    <s v="1º Turno"/>
    <x v="0"/>
    <s v="Não"/>
    <x v="1"/>
    <d v="2025-09-03T00:00:00"/>
    <d v="2025-09-01T00:00:00"/>
    <s v="qua"/>
    <x v="7"/>
    <x v="1"/>
    <m/>
    <s v="184245903"/>
  </r>
  <r>
    <n v="1842"/>
    <n v="58"/>
    <s v="Feminino"/>
    <s v="Qualidade"/>
    <s v="Inspetor"/>
    <s v="1º Turno"/>
    <x v="0"/>
    <s v="Não"/>
    <x v="1"/>
    <d v="2025-09-23T00:00:00"/>
    <d v="2025-09-01T00:00:00"/>
    <s v="ter"/>
    <x v="7"/>
    <x v="1"/>
    <m/>
    <s v="184245923"/>
  </r>
  <r>
    <n v="1842"/>
    <n v="58"/>
    <s v="Feminino"/>
    <s v="Qualidade"/>
    <s v="Inspetor"/>
    <s v="1º Turno"/>
    <x v="0"/>
    <s v="Não"/>
    <x v="1"/>
    <d v="2025-10-14T00:00:00"/>
    <d v="2025-10-01T00:00:00"/>
    <s v="ter"/>
    <x v="11"/>
    <x v="1"/>
    <m/>
    <s v="184245944"/>
  </r>
  <r>
    <n v="1842"/>
    <n v="58"/>
    <s v="Feminino"/>
    <s v="Qualidade"/>
    <s v="Inspetor"/>
    <s v="1º Turno"/>
    <x v="0"/>
    <s v="Não"/>
    <x v="1"/>
    <d v="2026-06-09T00:00:00"/>
    <d v="2026-01-01T00:00:00"/>
    <s v="ter"/>
    <x v="1"/>
    <x v="0"/>
    <m/>
    <s v="184246182"/>
  </r>
  <r>
    <n v="1842"/>
    <n v="58"/>
    <s v="Feminino"/>
    <s v="Qualidade"/>
    <s v="Inspetor"/>
    <s v="1º Turno"/>
    <x v="0"/>
    <s v="Não"/>
    <x v="1"/>
    <d v="2026-03-02T00:00:00"/>
    <d v="2026-03-01T00:00:00"/>
    <s v="seg"/>
    <x v="4"/>
    <x v="0"/>
    <m/>
    <s v="184246083"/>
  </r>
  <r>
    <n v="1843"/>
    <n v="26"/>
    <s v="Feminino"/>
    <s v="Montagem"/>
    <s v="Operador"/>
    <s v="1º Turno"/>
    <x v="0"/>
    <s v="Não"/>
    <x v="0"/>
    <d v="2025-06-30T00:00:00"/>
    <d v="2025-06-01T00:00:00"/>
    <s v="seg"/>
    <x v="1"/>
    <x v="1"/>
    <m/>
    <s v="184345838"/>
  </r>
  <r>
    <n v="1843"/>
    <n v="26"/>
    <s v="Feminino"/>
    <s v="Montagem"/>
    <s v="Operador"/>
    <s v="1º Turno"/>
    <x v="0"/>
    <s v="Não"/>
    <x v="0"/>
    <d v="2025-07-14T00:00:00"/>
    <d v="2025-07-01T00:00:00"/>
    <s v="seg"/>
    <x v="6"/>
    <x v="1"/>
    <m/>
    <s v="184345852"/>
  </r>
  <r>
    <n v="1843"/>
    <n v="26"/>
    <s v="Feminino"/>
    <s v="Montagem"/>
    <s v="Operador"/>
    <s v="1º Turno"/>
    <x v="0"/>
    <s v="Não"/>
    <x v="0"/>
    <d v="2025-07-30T00:00:00"/>
    <d v="2025-07-01T00:00:00"/>
    <s v="qua"/>
    <x v="6"/>
    <x v="1"/>
    <m/>
    <s v="184345868"/>
  </r>
  <r>
    <n v="1843"/>
    <n v="26"/>
    <s v="Feminino"/>
    <s v="Montagem"/>
    <s v="Operador"/>
    <s v="1º Turno"/>
    <x v="0"/>
    <s v="Não"/>
    <x v="0"/>
    <d v="2025-10-26T00:00:00"/>
    <d v="2025-10-01T00:00:00"/>
    <s v="dom"/>
    <x v="11"/>
    <x v="1"/>
    <m/>
    <s v="184345956"/>
  </r>
  <r>
    <n v="1843"/>
    <n v="26"/>
    <s v="Feminino"/>
    <s v="Montagem"/>
    <s v="Operador"/>
    <s v="1º Turno"/>
    <x v="0"/>
    <s v="Não"/>
    <x v="0"/>
    <d v="2025-11-09T00:00:00"/>
    <d v="2025-11-01T00:00:00"/>
    <s v="dom"/>
    <x v="10"/>
    <x v="1"/>
    <m/>
    <s v="184345970"/>
  </r>
  <r>
    <n v="1843"/>
    <n v="26"/>
    <s v="Feminino"/>
    <s v="Montagem"/>
    <s v="Operador"/>
    <s v="1º Turno"/>
    <x v="0"/>
    <s v="Não"/>
    <x v="0"/>
    <d v="2026-04-20T00:00:00"/>
    <d v="2026-04-01T00:00:00"/>
    <s v="seg"/>
    <x v="2"/>
    <x v="0"/>
    <m/>
    <s v="184346132"/>
  </r>
  <r>
    <n v="1843"/>
    <n v="26"/>
    <s v="Feminino"/>
    <s v="Montagem"/>
    <s v="Operador"/>
    <s v="1º Turno"/>
    <x v="0"/>
    <s v="Não"/>
    <x v="0"/>
    <d v="2026-06-30T00:00:00"/>
    <d v="2026-06-01T00:00:00"/>
    <s v="ter"/>
    <x v="1"/>
    <x v="0"/>
    <m/>
    <s v="184346203"/>
  </r>
  <r>
    <n v="1845"/>
    <n v="49"/>
    <s v="Feminino"/>
    <s v="Soldagem"/>
    <s v="Operador"/>
    <s v="1º Turno"/>
    <x v="0"/>
    <s v="Não"/>
    <x v="1"/>
    <d v="2025-09-25T00:00:00"/>
    <d v="2025-09-01T00:00:00"/>
    <s v="qui"/>
    <x v="7"/>
    <x v="1"/>
    <m/>
    <s v="184545925"/>
  </r>
  <r>
    <n v="1845"/>
    <n v="49"/>
    <s v="Feminino"/>
    <s v="Soldagem"/>
    <s v="Operador"/>
    <s v="1º Turno"/>
    <x v="0"/>
    <s v="Não"/>
    <x v="1"/>
    <d v="2025-11-05T00:00:00"/>
    <d v="2025-11-01T00:00:00"/>
    <s v="qua"/>
    <x v="10"/>
    <x v="1"/>
    <m/>
    <s v="184545966"/>
  </r>
  <r>
    <n v="1845"/>
    <n v="49"/>
    <s v="Feminino"/>
    <s v="Soldagem"/>
    <s v="Operador"/>
    <s v="1º Turno"/>
    <x v="0"/>
    <s v="Não"/>
    <x v="1"/>
    <d v="2025-11-17T00:00:00"/>
    <d v="2025-11-01T00:00:00"/>
    <s v="seg"/>
    <x v="10"/>
    <x v="1"/>
    <m/>
    <s v="184545978"/>
  </r>
  <r>
    <n v="1845"/>
    <n v="49"/>
    <s v="Feminino"/>
    <s v="Soldagem"/>
    <s v="Operador"/>
    <s v="1º Turno"/>
    <x v="0"/>
    <s v="Não"/>
    <x v="1"/>
    <d v="2026-03-08T00:00:00"/>
    <d v="2026-03-01T00:00:00"/>
    <s v="dom"/>
    <x v="4"/>
    <x v="0"/>
    <m/>
    <s v="184546089"/>
  </r>
  <r>
    <n v="1846"/>
    <n v="22"/>
    <s v="Feminino"/>
    <s v="Soldagem"/>
    <s v="Operador"/>
    <s v="1º Turno"/>
    <x v="0"/>
    <s v="Não"/>
    <x v="1"/>
    <d v="2025-06-06T00:00:00"/>
    <d v="2025-06-01T00:00:00"/>
    <s v="sex"/>
    <x v="1"/>
    <x v="1"/>
    <m/>
    <s v="184645814"/>
  </r>
  <r>
    <n v="1846"/>
    <n v="22"/>
    <s v="Feminino"/>
    <s v="Soldagem"/>
    <s v="Operador"/>
    <s v="1º Turno"/>
    <x v="0"/>
    <s v="Não"/>
    <x v="1"/>
    <d v="2025-07-11T00:00:00"/>
    <d v="2025-07-01T00:00:00"/>
    <s v="sex"/>
    <x v="6"/>
    <x v="1"/>
    <m/>
    <s v="184645849"/>
  </r>
  <r>
    <n v="1846"/>
    <n v="22"/>
    <s v="Feminino"/>
    <s v="Soldagem"/>
    <s v="Operador"/>
    <s v="1º Turno"/>
    <x v="0"/>
    <s v="Não"/>
    <x v="1"/>
    <d v="2025-09-25T00:00:00"/>
    <d v="2025-09-01T00:00:00"/>
    <s v="qui"/>
    <x v="7"/>
    <x v="1"/>
    <m/>
    <s v="184645925"/>
  </r>
  <r>
    <n v="1846"/>
    <n v="22"/>
    <s v="Feminino"/>
    <s v="Soldagem"/>
    <s v="Operador"/>
    <s v="1º Turno"/>
    <x v="0"/>
    <s v="Não"/>
    <x v="1"/>
    <d v="2026-03-02T00:00:00"/>
    <d v="2026-03-01T00:00:00"/>
    <s v="seg"/>
    <x v="4"/>
    <x v="0"/>
    <m/>
    <s v="184646083"/>
  </r>
  <r>
    <n v="1847"/>
    <n v="50"/>
    <s v="Masculino"/>
    <s v="Soldagem"/>
    <s v="Operador"/>
    <s v="2º Turno"/>
    <x v="0"/>
    <s v="Não"/>
    <x v="2"/>
    <d v="2025-06-24T00:00:00"/>
    <d v="2025-06-01T00:00:00"/>
    <s v="ter"/>
    <x v="1"/>
    <x v="1"/>
    <m/>
    <s v="184745832"/>
  </r>
  <r>
    <n v="1847"/>
    <n v="50"/>
    <s v="Masculino"/>
    <s v="Soldagem"/>
    <s v="Operador"/>
    <s v="2º Turno"/>
    <x v="0"/>
    <s v="Não"/>
    <x v="2"/>
    <d v="2025-07-25T00:00:00"/>
    <d v="2025-07-01T00:00:00"/>
    <s v="sex"/>
    <x v="6"/>
    <x v="1"/>
    <m/>
    <s v="184745863"/>
  </r>
  <r>
    <n v="1847"/>
    <n v="50"/>
    <s v="Masculino"/>
    <s v="Soldagem"/>
    <s v="Operador"/>
    <s v="2º Turno"/>
    <x v="0"/>
    <s v="Não"/>
    <x v="2"/>
    <d v="2025-09-05T00:00:00"/>
    <d v="2025-09-01T00:00:00"/>
    <s v="sex"/>
    <x v="7"/>
    <x v="1"/>
    <m/>
    <s v="184745905"/>
  </r>
  <r>
    <n v="1847"/>
    <n v="50"/>
    <s v="Masculino"/>
    <s v="Soldagem"/>
    <s v="Operador"/>
    <s v="2º Turno"/>
    <x v="0"/>
    <s v="Não"/>
    <x v="2"/>
    <d v="2025-10-15T00:00:00"/>
    <d v="2025-10-01T00:00:00"/>
    <s v="qua"/>
    <x v="11"/>
    <x v="1"/>
    <m/>
    <s v="184745945"/>
  </r>
  <r>
    <n v="1847"/>
    <n v="50"/>
    <s v="Masculino"/>
    <s v="Soldagem"/>
    <s v="Operador"/>
    <s v="2º Turno"/>
    <x v="0"/>
    <s v="Não"/>
    <x v="2"/>
    <d v="2025-10-18T00:00:00"/>
    <d v="2025-10-01T00:00:00"/>
    <s v="sáb"/>
    <x v="11"/>
    <x v="1"/>
    <m/>
    <s v="184745948"/>
  </r>
  <r>
    <n v="1849"/>
    <n v="45"/>
    <s v="Feminino"/>
    <s v="Soldagem"/>
    <s v="Operador"/>
    <s v="3º Turno"/>
    <x v="0"/>
    <s v="Sim"/>
    <x v="1"/>
    <d v="2025-04-10T00:00:00"/>
    <d v="2025-04-01T00:00:00"/>
    <s v="qui"/>
    <x v="2"/>
    <x v="1"/>
    <d v="2025-10-17T00:00:00"/>
    <s v="184945757"/>
  </r>
  <r>
    <n v="1849"/>
    <n v="45"/>
    <s v="Feminino"/>
    <s v="Soldagem"/>
    <s v="Operador"/>
    <s v="3º Turno"/>
    <x v="0"/>
    <s v="Sim"/>
    <x v="1"/>
    <d v="2025-05-05T00:00:00"/>
    <d v="2025-05-01T00:00:00"/>
    <s v="seg"/>
    <x v="0"/>
    <x v="1"/>
    <d v="2025-10-17T00:00:00"/>
    <s v="184945782"/>
  </r>
  <r>
    <n v="1849"/>
    <n v="45"/>
    <s v="Feminino"/>
    <s v="Soldagem"/>
    <s v="Operador"/>
    <s v="3º Turno"/>
    <x v="0"/>
    <s v="Sim"/>
    <x v="1"/>
    <d v="2025-08-27T00:00:00"/>
    <d v="2025-08-01T00:00:00"/>
    <s v="qua"/>
    <x v="9"/>
    <x v="1"/>
    <d v="2025-10-17T00:00:00"/>
    <s v="184945896"/>
  </r>
  <r>
    <n v="1849"/>
    <n v="45"/>
    <s v="Feminino"/>
    <s v="Soldagem"/>
    <s v="Operador"/>
    <s v="3º Turno"/>
    <x v="0"/>
    <s v="Sim"/>
    <x v="1"/>
    <d v="2025-09-06T00:00:00"/>
    <d v="2025-09-01T00:00:00"/>
    <s v="sáb"/>
    <x v="7"/>
    <x v="1"/>
    <d v="2025-10-17T00:00:00"/>
    <s v="184945906"/>
  </r>
  <r>
    <n v="1849"/>
    <n v="45"/>
    <s v="Feminino"/>
    <s v="Soldagem"/>
    <s v="Operador"/>
    <s v="3º Turno"/>
    <x v="0"/>
    <s v="Sim"/>
    <x v="1"/>
    <d v="2025-09-12T00:00:00"/>
    <d v="2025-09-01T00:00:00"/>
    <s v="sex"/>
    <x v="7"/>
    <x v="1"/>
    <d v="2025-10-17T00:00:00"/>
    <s v="184945912"/>
  </r>
  <r>
    <n v="1849"/>
    <n v="45"/>
    <s v="Feminino"/>
    <s v="Soldagem"/>
    <s v="Operador"/>
    <s v="3º Turno"/>
    <x v="0"/>
    <s v="Sim"/>
    <x v="1"/>
    <d v="2025-10-10T00:00:00"/>
    <d v="2025-10-01T00:00:00"/>
    <s v="sex"/>
    <x v="11"/>
    <x v="1"/>
    <d v="2025-10-17T00:00:00"/>
    <s v="184945940"/>
  </r>
  <r>
    <n v="1850"/>
    <n v="40"/>
    <s v="Masculino"/>
    <s v="Montagem"/>
    <s v="Operador"/>
    <s v="1º Turno"/>
    <x v="0"/>
    <s v="Sim"/>
    <x v="0"/>
    <d v="2025-01-18T00:00:00"/>
    <d v="2025-01-01T00:00:00"/>
    <s v="sáb"/>
    <x v="5"/>
    <x v="1"/>
    <d v="2025-04-01T00:00:00"/>
    <s v="185045675"/>
  </r>
  <r>
    <n v="1850"/>
    <n v="40"/>
    <s v="Masculino"/>
    <s v="Montagem"/>
    <s v="Operador"/>
    <s v="1º Turno"/>
    <x v="0"/>
    <s v="Sim"/>
    <x v="0"/>
    <d v="2025-02-21T00:00:00"/>
    <d v="2025-02-01T00:00:00"/>
    <s v="sex"/>
    <x v="3"/>
    <x v="1"/>
    <d v="2025-04-01T00:00:00"/>
    <s v="185045709"/>
  </r>
  <r>
    <n v="1850"/>
    <n v="40"/>
    <s v="Masculino"/>
    <s v="Montagem"/>
    <s v="Operador"/>
    <s v="1º Turno"/>
    <x v="0"/>
    <s v="Sim"/>
    <x v="0"/>
    <d v="2025-03-03T00:00:00"/>
    <d v="2025-03-01T00:00:00"/>
    <s v="seg"/>
    <x v="4"/>
    <x v="1"/>
    <d v="2025-04-01T00:00:00"/>
    <s v="185045719"/>
  </r>
  <r>
    <n v="1850"/>
    <n v="40"/>
    <s v="Masculino"/>
    <s v="Montagem"/>
    <s v="Operador"/>
    <s v="1º Turno"/>
    <x v="0"/>
    <s v="Sim"/>
    <x v="0"/>
    <d v="2025-03-05T00:00:00"/>
    <d v="2025-03-01T00:00:00"/>
    <s v="qua"/>
    <x v="4"/>
    <x v="1"/>
    <d v="2025-04-01T00:00:00"/>
    <s v="185045721"/>
  </r>
  <r>
    <n v="1850"/>
    <n v="40"/>
    <s v="Masculino"/>
    <s v="Montagem"/>
    <s v="Operador"/>
    <s v="1º Turno"/>
    <x v="0"/>
    <s v="Sim"/>
    <x v="0"/>
    <d v="2025-03-06T00:00:00"/>
    <d v="2025-03-01T00:00:00"/>
    <s v="qui"/>
    <x v="4"/>
    <x v="1"/>
    <d v="2025-04-01T00:00:00"/>
    <s v="185045722"/>
  </r>
  <r>
    <n v="1850"/>
    <n v="40"/>
    <s v="Masculino"/>
    <s v="Montagem"/>
    <s v="Operador"/>
    <s v="1º Turno"/>
    <x v="0"/>
    <s v="Sim"/>
    <x v="0"/>
    <d v="2025-03-17T00:00:00"/>
    <d v="2025-03-01T00:00:00"/>
    <s v="seg"/>
    <x v="4"/>
    <x v="1"/>
    <d v="2025-04-01T00:00:00"/>
    <s v="185045733"/>
  </r>
  <r>
    <n v="1850"/>
    <n v="40"/>
    <s v="Masculino"/>
    <s v="Montagem"/>
    <s v="Operador"/>
    <s v="1º Turno"/>
    <x v="0"/>
    <s v="Sim"/>
    <x v="0"/>
    <d v="2026-04-26T00:00:00"/>
    <m/>
    <s v="dom"/>
    <x v="2"/>
    <x v="0"/>
    <m/>
    <s v="185046138"/>
  </r>
  <r>
    <n v="1850"/>
    <n v="40"/>
    <s v="Masculino"/>
    <s v="Montagem"/>
    <s v="Operador"/>
    <s v="1º Turno"/>
    <x v="0"/>
    <s v="Sim"/>
    <x v="0"/>
    <d v="2026-04-28T00:00:00"/>
    <m/>
    <s v="ter"/>
    <x v="2"/>
    <x v="0"/>
    <m/>
    <s v="185046140"/>
  </r>
  <r>
    <n v="1850"/>
    <n v="40"/>
    <s v="Masculino"/>
    <s v="Montagem"/>
    <s v="Operador"/>
    <s v="1º Turno"/>
    <x v="0"/>
    <s v="Sim"/>
    <x v="0"/>
    <d v="2026-04-29T00:00:00"/>
    <m/>
    <s v="qua"/>
    <x v="2"/>
    <x v="0"/>
    <m/>
    <s v="185046141"/>
  </r>
  <r>
    <n v="1850"/>
    <n v="40"/>
    <s v="Masculino"/>
    <s v="Montagem"/>
    <s v="Operador"/>
    <s v="1º Turno"/>
    <x v="0"/>
    <s v="Sim"/>
    <x v="0"/>
    <d v="2026-04-01T00:00:00"/>
    <m/>
    <s v="qua"/>
    <x v="2"/>
    <x v="0"/>
    <m/>
    <s v="185046113"/>
  </r>
  <r>
    <n v="1850"/>
    <n v="40"/>
    <s v="Masculino"/>
    <s v="Montagem"/>
    <s v="Operador"/>
    <s v="1º Turno"/>
    <x v="0"/>
    <s v="Sim"/>
    <x v="0"/>
    <d v="2026-04-02T00:00:00"/>
    <m/>
    <s v="qui"/>
    <x v="2"/>
    <x v="0"/>
    <m/>
    <s v="185046114"/>
  </r>
  <r>
    <n v="1850"/>
    <n v="40"/>
    <s v="Masculino"/>
    <s v="Montagem"/>
    <s v="Operador"/>
    <s v="1º Turno"/>
    <x v="0"/>
    <s v="Sim"/>
    <x v="0"/>
    <d v="2026-04-10T00:00:00"/>
    <m/>
    <s v="sex"/>
    <x v="2"/>
    <x v="0"/>
    <m/>
    <s v="185046122"/>
  </r>
  <r>
    <n v="1850"/>
    <n v="40"/>
    <s v="Masculino"/>
    <s v="Montagem"/>
    <s v="Operador"/>
    <s v="1º Turno"/>
    <x v="0"/>
    <s v="Sim"/>
    <x v="0"/>
    <d v="2026-04-15T00:00:00"/>
    <m/>
    <s v="qua"/>
    <x v="2"/>
    <x v="0"/>
    <m/>
    <s v="185046127"/>
  </r>
  <r>
    <n v="1850"/>
    <n v="40"/>
    <s v="Masculino"/>
    <s v="Montagem"/>
    <s v="Operador"/>
    <s v="1º Turno"/>
    <x v="0"/>
    <s v="Sim"/>
    <x v="0"/>
    <d v="2026-05-01T00:00:00"/>
    <m/>
    <s v="sex"/>
    <x v="0"/>
    <x v="0"/>
    <m/>
    <s v="185046143"/>
  </r>
  <r>
    <n v="1850"/>
    <n v="40"/>
    <s v="Masculino"/>
    <s v="Montagem"/>
    <s v="Operador"/>
    <s v="1º Turno"/>
    <x v="0"/>
    <s v="Sim"/>
    <x v="0"/>
    <d v="2026-05-02T00:00:00"/>
    <m/>
    <s v="sáb"/>
    <x v="0"/>
    <x v="0"/>
    <m/>
    <s v="185046144"/>
  </r>
  <r>
    <n v="1850"/>
    <n v="40"/>
    <s v="Masculino"/>
    <s v="Montagem"/>
    <s v="Operador"/>
    <s v="1º Turno"/>
    <x v="0"/>
    <s v="Sim"/>
    <x v="0"/>
    <d v="2026-05-10T00:00:00"/>
    <m/>
    <s v="dom"/>
    <x v="0"/>
    <x v="0"/>
    <m/>
    <s v="185046152"/>
  </r>
  <r>
    <n v="1850"/>
    <n v="40"/>
    <s v="Masculino"/>
    <s v="Montagem"/>
    <s v="Operador"/>
    <s v="1º Turno"/>
    <x v="0"/>
    <s v="Sim"/>
    <x v="0"/>
    <d v="2026-05-15T00:00:00"/>
    <m/>
    <s v="sex"/>
    <x v="0"/>
    <x v="0"/>
    <m/>
    <s v="185046157"/>
  </r>
  <r>
    <n v="1851"/>
    <n v="22"/>
    <s v="Masculino"/>
    <s v="Pintura"/>
    <s v="Operador"/>
    <s v="3º Turno"/>
    <x v="0"/>
    <s v="Não"/>
    <x v="2"/>
    <d v="2025-06-13T00:00:00"/>
    <d v="2025-06-01T00:00:00"/>
    <s v="sex"/>
    <x v="1"/>
    <x v="1"/>
    <m/>
    <s v="185145821"/>
  </r>
  <r>
    <n v="1851"/>
    <n v="22"/>
    <s v="Masculino"/>
    <s v="Pintura"/>
    <s v="Operador"/>
    <s v="3º Turno"/>
    <x v="0"/>
    <s v="Não"/>
    <x v="2"/>
    <d v="2025-06-30T00:00:00"/>
    <d v="2025-06-01T00:00:00"/>
    <s v="seg"/>
    <x v="1"/>
    <x v="1"/>
    <m/>
    <s v="185145838"/>
  </r>
  <r>
    <n v="1851"/>
    <n v="22"/>
    <s v="Masculino"/>
    <s v="Pintura"/>
    <s v="Operador"/>
    <s v="3º Turno"/>
    <x v="0"/>
    <s v="Não"/>
    <x v="2"/>
    <d v="2025-08-18T00:00:00"/>
    <d v="2025-08-01T00:00:00"/>
    <s v="seg"/>
    <x v="9"/>
    <x v="1"/>
    <m/>
    <s v="185145887"/>
  </r>
  <r>
    <n v="1851"/>
    <n v="22"/>
    <s v="Masculino"/>
    <s v="Pintura"/>
    <s v="Operador"/>
    <s v="3º Turno"/>
    <x v="0"/>
    <s v="Não"/>
    <x v="2"/>
    <d v="2025-08-31T00:00:00"/>
    <d v="2025-08-01T00:00:00"/>
    <s v="dom"/>
    <x v="9"/>
    <x v="1"/>
    <m/>
    <s v="185145900"/>
  </r>
  <r>
    <n v="1851"/>
    <n v="22"/>
    <s v="Masculino"/>
    <s v="Pintura"/>
    <s v="Operador"/>
    <s v="3º Turno"/>
    <x v="0"/>
    <s v="Não"/>
    <x v="2"/>
    <d v="2025-10-12T00:00:00"/>
    <d v="2025-10-01T00:00:00"/>
    <s v="dom"/>
    <x v="11"/>
    <x v="1"/>
    <m/>
    <s v="185145942"/>
  </r>
  <r>
    <n v="1852"/>
    <n v="34"/>
    <s v="Feminino"/>
    <s v="Logistica"/>
    <s v="Operador"/>
    <s v="3º Turno"/>
    <x v="0"/>
    <s v="Sim"/>
    <x v="2"/>
    <d v="2025-06-04T00:00:00"/>
    <d v="2025-06-01T00:00:00"/>
    <s v="qua"/>
    <x v="1"/>
    <x v="1"/>
    <d v="2025-11-12T00:00:00"/>
    <s v="185245812"/>
  </r>
  <r>
    <n v="1852"/>
    <n v="34"/>
    <s v="Feminino"/>
    <s v="Logistica"/>
    <s v="Operador"/>
    <s v="3º Turno"/>
    <x v="0"/>
    <s v="Sim"/>
    <x v="2"/>
    <d v="2025-06-16T00:00:00"/>
    <d v="2025-06-01T00:00:00"/>
    <s v="seg"/>
    <x v="1"/>
    <x v="1"/>
    <d v="2025-11-12T00:00:00"/>
    <s v="185245824"/>
  </r>
  <r>
    <n v="1852"/>
    <n v="34"/>
    <s v="Feminino"/>
    <s v="Logistica"/>
    <s v="Operador"/>
    <s v="3º Turno"/>
    <x v="0"/>
    <s v="Sim"/>
    <x v="2"/>
    <d v="2025-09-26T00:00:00"/>
    <d v="2025-09-01T00:00:00"/>
    <s v="sex"/>
    <x v="7"/>
    <x v="1"/>
    <d v="2025-11-12T00:00:00"/>
    <s v="185245926"/>
  </r>
  <r>
    <n v="1852"/>
    <n v="34"/>
    <s v="Feminino"/>
    <s v="Logistica"/>
    <s v="Operador"/>
    <s v="3º Turno"/>
    <x v="0"/>
    <s v="Sim"/>
    <x v="2"/>
    <d v="2025-11-08T00:00:00"/>
    <d v="2025-11-01T00:00:00"/>
    <s v="sáb"/>
    <x v="10"/>
    <x v="1"/>
    <d v="2025-11-12T00:00:00"/>
    <s v="185245969"/>
  </r>
  <r>
    <n v="1852"/>
    <n v="34"/>
    <s v="Feminino"/>
    <s v="Logistica"/>
    <s v="Operador"/>
    <s v="3º Turno"/>
    <x v="0"/>
    <s v="Sim"/>
    <x v="2"/>
    <d v="2025-11-10T00:00:00"/>
    <d v="2025-11-01T00:00:00"/>
    <s v="seg"/>
    <x v="10"/>
    <x v="1"/>
    <d v="2025-11-12T00:00:00"/>
    <s v="185245971"/>
  </r>
  <r>
    <n v="1852"/>
    <n v="34"/>
    <s v="Feminino"/>
    <s v="Logistica"/>
    <s v="Operador"/>
    <s v="3º Turno"/>
    <x v="0"/>
    <s v="Sim"/>
    <x v="2"/>
    <d v="2025-11-11T00:00:00"/>
    <d v="2025-11-01T00:00:00"/>
    <s v="ter"/>
    <x v="10"/>
    <x v="1"/>
    <d v="2025-11-12T00:00:00"/>
    <s v="185245972"/>
  </r>
  <r>
    <n v="1853"/>
    <n v="41"/>
    <s v="Masculino"/>
    <s v="Qualidade"/>
    <s v="Analista"/>
    <s v="1º Turno"/>
    <x v="0"/>
    <s v="Não"/>
    <x v="2"/>
    <d v="2025-04-30T00:00:00"/>
    <d v="2025-04-01T00:00:00"/>
    <s v="qua"/>
    <x v="2"/>
    <x v="1"/>
    <m/>
    <s v="185345777"/>
  </r>
  <r>
    <n v="1853"/>
    <n v="41"/>
    <s v="Masculino"/>
    <s v="Qualidade"/>
    <s v="Analista"/>
    <s v="1º Turno"/>
    <x v="0"/>
    <s v="Não"/>
    <x v="2"/>
    <d v="2025-10-06T00:00:00"/>
    <d v="2025-10-01T00:00:00"/>
    <s v="seg"/>
    <x v="11"/>
    <x v="1"/>
    <m/>
    <s v="185345936"/>
  </r>
  <r>
    <n v="1853"/>
    <n v="41"/>
    <s v="Masculino"/>
    <s v="Qualidade"/>
    <s v="Analista"/>
    <s v="1º Turno"/>
    <x v="0"/>
    <s v="Não"/>
    <x v="2"/>
    <d v="2025-11-19T00:00:00"/>
    <d v="2025-11-01T00:00:00"/>
    <s v="qua"/>
    <x v="10"/>
    <x v="1"/>
    <m/>
    <s v="185345980"/>
  </r>
  <r>
    <n v="1853"/>
    <n v="41"/>
    <s v="Masculino"/>
    <s v="Qualidade"/>
    <s v="Analista"/>
    <s v="1º Turno"/>
    <x v="0"/>
    <s v="Não"/>
    <x v="2"/>
    <d v="2026-06-03T00:00:00"/>
    <d v="2026-01-01T00:00:00"/>
    <s v="qua"/>
    <x v="1"/>
    <x v="0"/>
    <m/>
    <s v="185346176"/>
  </r>
  <r>
    <n v="1853"/>
    <n v="41"/>
    <s v="Masculino"/>
    <s v="Qualidade"/>
    <s v="Analista"/>
    <s v="1º Turno"/>
    <x v="0"/>
    <s v="Não"/>
    <x v="2"/>
    <d v="2026-04-30T00:00:00"/>
    <d v="2026-04-01T00:00:00"/>
    <s v="qua"/>
    <x v="2"/>
    <x v="1"/>
    <m/>
    <s v="185346142"/>
  </r>
  <r>
    <n v="1854"/>
    <n v="25"/>
    <s v="Feminino"/>
    <s v="Montagem"/>
    <s v="Operador"/>
    <s v="3º Turno"/>
    <x v="0"/>
    <s v="Sim"/>
    <x v="2"/>
    <d v="2025-04-20T00:00:00"/>
    <d v="2025-04-01T00:00:00"/>
    <s v="dom"/>
    <x v="2"/>
    <x v="1"/>
    <d v="2025-12-13T00:00:00"/>
    <s v="185445767"/>
  </r>
  <r>
    <n v="1854"/>
    <n v="25"/>
    <s v="Feminino"/>
    <s v="Montagem"/>
    <s v="Operador"/>
    <s v="3º Turno"/>
    <x v="0"/>
    <s v="Sim"/>
    <x v="2"/>
    <d v="2025-05-12T00:00:00"/>
    <d v="2025-05-01T00:00:00"/>
    <s v="seg"/>
    <x v="0"/>
    <x v="1"/>
    <d v="2025-12-13T00:00:00"/>
    <s v="185445789"/>
  </r>
  <r>
    <n v="1854"/>
    <n v="25"/>
    <s v="Feminino"/>
    <s v="Montagem"/>
    <s v="Operador"/>
    <s v="3º Turno"/>
    <x v="0"/>
    <s v="Sim"/>
    <x v="2"/>
    <d v="2025-09-06T00:00:00"/>
    <d v="2025-09-01T00:00:00"/>
    <s v="sáb"/>
    <x v="7"/>
    <x v="1"/>
    <d v="2025-12-13T00:00:00"/>
    <s v="185445906"/>
  </r>
  <r>
    <n v="1854"/>
    <n v="25"/>
    <s v="Feminino"/>
    <s v="Montagem"/>
    <s v="Operador"/>
    <s v="3º Turno"/>
    <x v="0"/>
    <s v="Sim"/>
    <x v="2"/>
    <d v="2025-10-11T00:00:00"/>
    <d v="2025-10-01T00:00:00"/>
    <s v="sáb"/>
    <x v="11"/>
    <x v="1"/>
    <d v="2025-12-13T00:00:00"/>
    <s v="185445941"/>
  </r>
  <r>
    <n v="1854"/>
    <n v="25"/>
    <s v="Feminino"/>
    <s v="Montagem"/>
    <s v="Operador"/>
    <s v="3º Turno"/>
    <x v="0"/>
    <s v="Sim"/>
    <x v="2"/>
    <d v="2025-10-15T00:00:00"/>
    <d v="2025-10-01T00:00:00"/>
    <s v="qua"/>
    <x v="11"/>
    <x v="1"/>
    <d v="2025-12-13T00:00:00"/>
    <s v="185445945"/>
  </r>
  <r>
    <n v="1854"/>
    <n v="25"/>
    <s v="Feminino"/>
    <s v="Montagem"/>
    <s v="Operador"/>
    <s v="3º Turno"/>
    <x v="0"/>
    <s v="Sim"/>
    <x v="2"/>
    <d v="2025-11-09T00:00:00"/>
    <d v="2025-11-01T00:00:00"/>
    <s v="dom"/>
    <x v="10"/>
    <x v="1"/>
    <d v="2025-12-13T00:00:00"/>
    <s v="185445970"/>
  </r>
  <r>
    <n v="1856"/>
    <n v="30"/>
    <s v="Feminino"/>
    <s v="Montagem"/>
    <s v="Operador"/>
    <s v="2º Turno"/>
    <x v="0"/>
    <s v="Não"/>
    <x v="2"/>
    <d v="2025-06-09T00:00:00"/>
    <d v="2025-06-01T00:00:00"/>
    <s v="seg"/>
    <x v="1"/>
    <x v="1"/>
    <m/>
    <s v="185645817"/>
  </r>
  <r>
    <n v="1856"/>
    <n v="30"/>
    <s v="Feminino"/>
    <s v="Montagem"/>
    <s v="Operador"/>
    <s v="2º Turno"/>
    <x v="0"/>
    <s v="Não"/>
    <x v="2"/>
    <d v="2025-07-12T00:00:00"/>
    <d v="2025-07-01T00:00:00"/>
    <s v="sáb"/>
    <x v="6"/>
    <x v="1"/>
    <m/>
    <s v="185645850"/>
  </r>
  <r>
    <n v="1856"/>
    <n v="30"/>
    <s v="Feminino"/>
    <s v="Montagem"/>
    <s v="Operador"/>
    <s v="2º Turno"/>
    <x v="0"/>
    <s v="Não"/>
    <x v="2"/>
    <d v="2025-08-05T00:00:00"/>
    <d v="2025-08-01T00:00:00"/>
    <s v="ter"/>
    <x v="9"/>
    <x v="1"/>
    <m/>
    <s v="185645874"/>
  </r>
  <r>
    <n v="1856"/>
    <n v="30"/>
    <s v="Feminino"/>
    <s v="Montagem"/>
    <s v="Operador"/>
    <s v="2º Turno"/>
    <x v="0"/>
    <s v="Não"/>
    <x v="2"/>
    <d v="2026-02-15T00:00:00"/>
    <d v="2026-02-01T00:00:00"/>
    <s v="dom"/>
    <x v="3"/>
    <x v="0"/>
    <m/>
    <s v="185646068"/>
  </r>
  <r>
    <n v="1857"/>
    <n v="42"/>
    <s v="Masculino"/>
    <s v="Montagem"/>
    <s v="Operador"/>
    <s v="3º Turno"/>
    <x v="0"/>
    <s v="Sim"/>
    <x v="2"/>
    <d v="2025-07-11T00:00:00"/>
    <d v="2025-07-01T00:00:00"/>
    <s v="sex"/>
    <x v="6"/>
    <x v="1"/>
    <d v="2026-01-31T00:00:00"/>
    <s v="185745849"/>
  </r>
  <r>
    <n v="1857"/>
    <n v="42"/>
    <s v="Masculino"/>
    <s v="Montagem"/>
    <s v="Operador"/>
    <s v="3º Turno"/>
    <x v="0"/>
    <s v="Sim"/>
    <x v="2"/>
    <d v="2025-11-08T00:00:00"/>
    <d v="2025-11-01T00:00:00"/>
    <s v="sáb"/>
    <x v="10"/>
    <x v="1"/>
    <d v="2026-01-31T00:00:00"/>
    <s v="185745969"/>
  </r>
  <r>
    <n v="1857"/>
    <n v="42"/>
    <s v="Masculino"/>
    <s v="Montagem"/>
    <s v="Operador"/>
    <s v="3º Turno"/>
    <x v="0"/>
    <s v="Sim"/>
    <x v="2"/>
    <d v="2025-11-13T00:00:00"/>
    <d v="2025-11-01T00:00:00"/>
    <s v="qui"/>
    <x v="10"/>
    <x v="1"/>
    <d v="2026-01-31T00:00:00"/>
    <s v="185745974"/>
  </r>
  <r>
    <n v="1857"/>
    <n v="42"/>
    <s v="Masculino"/>
    <s v="Montagem"/>
    <s v="Operador"/>
    <s v="3º Turno"/>
    <x v="0"/>
    <s v="Sim"/>
    <x v="2"/>
    <d v="2025-11-17T00:00:00"/>
    <d v="2025-11-01T00:00:00"/>
    <s v="seg"/>
    <x v="10"/>
    <x v="1"/>
    <d v="2026-01-31T00:00:00"/>
    <s v="185745978"/>
  </r>
  <r>
    <n v="1857"/>
    <n v="42"/>
    <s v="Masculino"/>
    <s v="Montagem"/>
    <s v="Operador"/>
    <s v="3º Turno"/>
    <x v="0"/>
    <s v="Sim"/>
    <x v="2"/>
    <d v="2026-06-05T00:00:00"/>
    <d v="2026-01-01T00:00:00"/>
    <s v="sex"/>
    <x v="1"/>
    <x v="0"/>
    <d v="2026-01-31T00:00:00"/>
    <s v="185746178"/>
  </r>
  <r>
    <n v="1858"/>
    <n v="32"/>
    <s v="Masculino"/>
    <s v="Pintura"/>
    <s v="Operador"/>
    <s v="2º Turno"/>
    <x v="0"/>
    <s v="Não"/>
    <x v="1"/>
    <d v="2025-06-10T00:00:00"/>
    <d v="2025-06-01T00:00:00"/>
    <s v="ter"/>
    <x v="1"/>
    <x v="1"/>
    <m/>
    <s v="185845818"/>
  </r>
  <r>
    <n v="1858"/>
    <n v="32"/>
    <s v="Masculino"/>
    <s v="Pintura"/>
    <s v="Operador"/>
    <s v="2º Turno"/>
    <x v="0"/>
    <s v="Não"/>
    <x v="1"/>
    <d v="2025-07-05T00:00:00"/>
    <d v="2025-07-01T00:00:00"/>
    <s v="sáb"/>
    <x v="6"/>
    <x v="1"/>
    <m/>
    <s v="185845843"/>
  </r>
  <r>
    <n v="1858"/>
    <n v="32"/>
    <s v="Masculino"/>
    <s v="Pintura"/>
    <s v="Operador"/>
    <s v="2º Turno"/>
    <x v="0"/>
    <s v="Não"/>
    <x v="1"/>
    <d v="2025-10-18T00:00:00"/>
    <d v="2025-10-01T00:00:00"/>
    <s v="sáb"/>
    <x v="11"/>
    <x v="1"/>
    <m/>
    <s v="185845948"/>
  </r>
  <r>
    <n v="1858"/>
    <n v="32"/>
    <s v="Masculino"/>
    <s v="Pintura"/>
    <s v="Operador"/>
    <s v="2º Turno"/>
    <x v="0"/>
    <s v="Não"/>
    <x v="1"/>
    <d v="2026-06-14T00:00:00"/>
    <d v="2026-01-01T00:00:00"/>
    <s v="dom"/>
    <x v="1"/>
    <x v="0"/>
    <m/>
    <s v="185846187"/>
  </r>
  <r>
    <n v="1858"/>
    <n v="32"/>
    <s v="Masculino"/>
    <s v="Pintura"/>
    <s v="Operador"/>
    <s v="2º Turno"/>
    <x v="0"/>
    <s v="Não"/>
    <x v="1"/>
    <d v="2026-03-03T00:00:00"/>
    <d v="2026-03-01T00:00:00"/>
    <s v="ter"/>
    <x v="4"/>
    <x v="0"/>
    <m/>
    <s v="185846084"/>
  </r>
  <r>
    <n v="1858"/>
    <n v="32"/>
    <s v="Masculino"/>
    <s v="Pintura"/>
    <s v="Operador"/>
    <s v="2º Turno"/>
    <x v="0"/>
    <s v="Não"/>
    <x v="1"/>
    <d v="2026-03-17T00:00:00"/>
    <d v="2026-03-01T00:00:00"/>
    <s v="ter"/>
    <x v="4"/>
    <x v="0"/>
    <m/>
    <s v="185846098"/>
  </r>
  <r>
    <n v="1861"/>
    <n v="47"/>
    <s v="Masculino"/>
    <s v="Logistica"/>
    <s v="Operador"/>
    <s v="1º Turno"/>
    <x v="0"/>
    <s v="Não"/>
    <x v="2"/>
    <d v="2025-07-12T00:00:00"/>
    <d v="2025-07-01T00:00:00"/>
    <s v="sáb"/>
    <x v="6"/>
    <x v="1"/>
    <m/>
    <s v="186145850"/>
  </r>
  <r>
    <n v="1861"/>
    <n v="47"/>
    <s v="Masculino"/>
    <s v="Logistica"/>
    <s v="Operador"/>
    <s v="1º Turno"/>
    <x v="0"/>
    <s v="Não"/>
    <x v="2"/>
    <d v="2025-08-23T00:00:00"/>
    <d v="2025-08-01T00:00:00"/>
    <s v="sáb"/>
    <x v="9"/>
    <x v="1"/>
    <m/>
    <s v="186145892"/>
  </r>
  <r>
    <n v="1861"/>
    <n v="47"/>
    <s v="Masculino"/>
    <s v="Logistica"/>
    <s v="Operador"/>
    <s v="1º Turno"/>
    <x v="0"/>
    <s v="Não"/>
    <x v="2"/>
    <d v="2025-08-27T00:00:00"/>
    <d v="2025-08-01T00:00:00"/>
    <s v="qua"/>
    <x v="9"/>
    <x v="1"/>
    <m/>
    <s v="186145896"/>
  </r>
  <r>
    <n v="1861"/>
    <n v="47"/>
    <s v="Masculino"/>
    <s v="Logistica"/>
    <s v="Operador"/>
    <s v="1º Turno"/>
    <x v="0"/>
    <s v="Não"/>
    <x v="2"/>
    <d v="2025-11-03T00:00:00"/>
    <d v="2025-11-01T00:00:00"/>
    <s v="seg"/>
    <x v="10"/>
    <x v="1"/>
    <m/>
    <s v="186145964"/>
  </r>
  <r>
    <n v="1861"/>
    <n v="47"/>
    <s v="Masculino"/>
    <s v="Logistica"/>
    <s v="Operador"/>
    <s v="1º Turno"/>
    <x v="0"/>
    <s v="Não"/>
    <x v="2"/>
    <d v="2026-06-21T00:00:00"/>
    <d v="2026-01-01T00:00:00"/>
    <s v="dom"/>
    <x v="1"/>
    <x v="0"/>
    <m/>
    <s v="186146194"/>
  </r>
  <r>
    <n v="1862"/>
    <n v="40"/>
    <s v="Masculino"/>
    <s v="Soldagem"/>
    <s v="Operador"/>
    <s v="3º Turno"/>
    <x v="0"/>
    <s v="Sim"/>
    <x v="2"/>
    <d v="2025-05-13T00:00:00"/>
    <d v="2025-05-01T00:00:00"/>
    <s v="ter"/>
    <x v="0"/>
    <x v="1"/>
    <d v="2025-05-29T00:00:00"/>
    <s v="186245790"/>
  </r>
  <r>
    <n v="1862"/>
    <n v="40"/>
    <s v="Masculino"/>
    <s v="Soldagem"/>
    <s v="Operador"/>
    <s v="3º Turno"/>
    <x v="0"/>
    <s v="Sim"/>
    <x v="2"/>
    <d v="2025-05-16T00:00:00"/>
    <d v="2025-05-01T00:00:00"/>
    <s v="sex"/>
    <x v="0"/>
    <x v="1"/>
    <d v="2025-05-29T00:00:00"/>
    <s v="186245793"/>
  </r>
  <r>
    <n v="1862"/>
    <n v="40"/>
    <s v="Masculino"/>
    <s v="Soldagem"/>
    <s v="Operador"/>
    <s v="3º Turno"/>
    <x v="0"/>
    <s v="Sim"/>
    <x v="2"/>
    <d v="2025-05-18T00:00:00"/>
    <d v="2025-05-01T00:00:00"/>
    <s v="dom"/>
    <x v="0"/>
    <x v="1"/>
    <d v="2025-05-29T00:00:00"/>
    <s v="186245795"/>
  </r>
  <r>
    <n v="1862"/>
    <n v="40"/>
    <s v="Masculino"/>
    <s v="Soldagem"/>
    <s v="Operador"/>
    <s v="3º Turno"/>
    <x v="0"/>
    <s v="Sim"/>
    <x v="2"/>
    <d v="2025-05-19T00:00:00"/>
    <d v="2025-05-01T00:00:00"/>
    <s v="seg"/>
    <x v="0"/>
    <x v="1"/>
    <d v="2025-05-29T00:00:00"/>
    <s v="186245796"/>
  </r>
  <r>
    <n v="1862"/>
    <n v="40"/>
    <s v="Masculino"/>
    <s v="Soldagem"/>
    <s v="Operador"/>
    <s v="3º Turno"/>
    <x v="0"/>
    <s v="Sim"/>
    <x v="2"/>
    <d v="2025-05-20T00:00:00"/>
    <d v="2025-05-01T00:00:00"/>
    <s v="ter"/>
    <x v="0"/>
    <x v="1"/>
    <d v="2025-05-29T00:00:00"/>
    <s v="186245797"/>
  </r>
  <r>
    <n v="1862"/>
    <n v="40"/>
    <s v="Masculino"/>
    <s v="Soldagem"/>
    <s v="Operador"/>
    <s v="3º Turno"/>
    <x v="0"/>
    <s v="Sim"/>
    <x v="2"/>
    <d v="2025-05-21T00:00:00"/>
    <d v="2025-05-01T00:00:00"/>
    <s v="qua"/>
    <x v="0"/>
    <x v="1"/>
    <d v="2025-05-29T00:00:00"/>
    <s v="186245798"/>
  </r>
  <r>
    <n v="1863"/>
    <n v="24"/>
    <s v="Feminino"/>
    <s v="Montagem"/>
    <s v="Operador"/>
    <s v="1º Turno"/>
    <x v="0"/>
    <s v="Não"/>
    <x v="1"/>
    <d v="2025-07-05T00:00:00"/>
    <d v="2025-07-01T00:00:00"/>
    <s v="sáb"/>
    <x v="6"/>
    <x v="1"/>
    <m/>
    <s v="186345843"/>
  </r>
  <r>
    <n v="1863"/>
    <n v="24"/>
    <s v="Feminino"/>
    <s v="Montagem"/>
    <s v="Operador"/>
    <s v="1º Turno"/>
    <x v="0"/>
    <s v="Não"/>
    <x v="1"/>
    <d v="2025-08-31T00:00:00"/>
    <d v="2025-08-01T00:00:00"/>
    <s v="dom"/>
    <x v="9"/>
    <x v="1"/>
    <m/>
    <s v="186345900"/>
  </r>
  <r>
    <n v="1863"/>
    <n v="24"/>
    <s v="Feminino"/>
    <s v="Montagem"/>
    <s v="Operador"/>
    <s v="1º Turno"/>
    <x v="0"/>
    <s v="Não"/>
    <x v="1"/>
    <d v="2025-09-19T00:00:00"/>
    <d v="2025-09-01T00:00:00"/>
    <s v="sex"/>
    <x v="7"/>
    <x v="1"/>
    <m/>
    <s v="186345919"/>
  </r>
  <r>
    <n v="1863"/>
    <n v="24"/>
    <s v="Feminino"/>
    <s v="Montagem"/>
    <s v="Operador"/>
    <s v="1º Turno"/>
    <x v="0"/>
    <s v="Não"/>
    <x v="1"/>
    <d v="2026-06-03T00:00:00"/>
    <d v="2026-01-01T00:00:00"/>
    <s v="qua"/>
    <x v="1"/>
    <x v="0"/>
    <m/>
    <s v="186346176"/>
  </r>
  <r>
    <n v="1863"/>
    <n v="24"/>
    <s v="Feminino"/>
    <s v="Montagem"/>
    <s v="Operador"/>
    <s v="1º Turno"/>
    <x v="0"/>
    <s v="Não"/>
    <x v="1"/>
    <d v="2026-06-12T00:00:00"/>
    <d v="2026-01-01T00:00:00"/>
    <s v="sex"/>
    <x v="1"/>
    <x v="0"/>
    <m/>
    <s v="186346185"/>
  </r>
  <r>
    <n v="1864"/>
    <n v="34"/>
    <s v="Feminino"/>
    <s v="Montagem"/>
    <s v="Operador"/>
    <s v="1º Turno"/>
    <x v="0"/>
    <s v="Não"/>
    <x v="2"/>
    <d v="2025-04-26T00:00:00"/>
    <d v="2025-04-01T00:00:00"/>
    <s v="sáb"/>
    <x v="2"/>
    <x v="1"/>
    <m/>
    <s v="186445773"/>
  </r>
  <r>
    <n v="1864"/>
    <n v="34"/>
    <s v="Feminino"/>
    <s v="Montagem"/>
    <s v="Operador"/>
    <s v="1º Turno"/>
    <x v="0"/>
    <s v="Não"/>
    <x v="2"/>
    <d v="2025-07-18T00:00:00"/>
    <d v="2025-07-01T00:00:00"/>
    <s v="sex"/>
    <x v="6"/>
    <x v="1"/>
    <m/>
    <s v="186445856"/>
  </r>
  <r>
    <n v="1864"/>
    <n v="34"/>
    <s v="Feminino"/>
    <s v="Montagem"/>
    <s v="Operador"/>
    <s v="1º Turno"/>
    <x v="0"/>
    <s v="Não"/>
    <x v="2"/>
    <d v="2025-08-05T00:00:00"/>
    <d v="2025-08-01T00:00:00"/>
    <s v="ter"/>
    <x v="9"/>
    <x v="1"/>
    <m/>
    <s v="186445874"/>
  </r>
  <r>
    <n v="1864"/>
    <n v="34"/>
    <s v="Feminino"/>
    <s v="Montagem"/>
    <s v="Operador"/>
    <s v="1º Turno"/>
    <x v="0"/>
    <s v="Não"/>
    <x v="2"/>
    <d v="2025-09-10T00:00:00"/>
    <d v="2025-09-01T00:00:00"/>
    <s v="qua"/>
    <x v="7"/>
    <x v="1"/>
    <m/>
    <s v="186445910"/>
  </r>
  <r>
    <n v="1864"/>
    <n v="34"/>
    <s v="Feminino"/>
    <s v="Montagem"/>
    <s v="Operador"/>
    <s v="1º Turno"/>
    <x v="0"/>
    <s v="Não"/>
    <x v="2"/>
    <d v="2025-10-05T00:00:00"/>
    <d v="2025-10-01T00:00:00"/>
    <s v="dom"/>
    <x v="11"/>
    <x v="1"/>
    <m/>
    <s v="186445935"/>
  </r>
  <r>
    <n v="1864"/>
    <n v="34"/>
    <s v="Feminino"/>
    <s v="Montagem"/>
    <s v="Operador"/>
    <s v="1º Turno"/>
    <x v="0"/>
    <s v="Não"/>
    <x v="2"/>
    <d v="2026-02-08T00:00:00"/>
    <d v="2026-02-01T00:00:00"/>
    <s v="dom"/>
    <x v="3"/>
    <x v="0"/>
    <m/>
    <s v="186446061"/>
  </r>
  <r>
    <n v="1864"/>
    <n v="34"/>
    <s v="Feminino"/>
    <s v="Montagem"/>
    <s v="Operador"/>
    <s v="1º Turno"/>
    <x v="0"/>
    <s v="Não"/>
    <x v="2"/>
    <d v="2026-04-26T00:00:00"/>
    <d v="2026-04-01T00:00:00"/>
    <s v="sáb"/>
    <x v="2"/>
    <x v="1"/>
    <m/>
    <s v="186446138"/>
  </r>
  <r>
    <n v="1865"/>
    <n v="21"/>
    <s v="Feminino"/>
    <s v="Qualidade"/>
    <s v="Inspetor"/>
    <s v="3º Turno"/>
    <x v="0"/>
    <s v="Não"/>
    <x v="1"/>
    <d v="2025-08-12T00:00:00"/>
    <d v="2025-08-01T00:00:00"/>
    <s v="ter"/>
    <x v="9"/>
    <x v="1"/>
    <m/>
    <s v="186545881"/>
  </r>
  <r>
    <n v="1865"/>
    <n v="21"/>
    <s v="Feminino"/>
    <s v="Qualidade"/>
    <s v="Inspetor"/>
    <s v="3º Turno"/>
    <x v="0"/>
    <s v="Não"/>
    <x v="1"/>
    <d v="2025-12-05T00:00:00"/>
    <d v="2025-12-01T00:00:00"/>
    <s v="sex"/>
    <x v="8"/>
    <x v="1"/>
    <m/>
    <s v="186545996"/>
  </r>
  <r>
    <n v="1865"/>
    <n v="21"/>
    <s v="Feminino"/>
    <s v="Qualidade"/>
    <s v="Inspetor"/>
    <s v="3º Turno"/>
    <x v="0"/>
    <s v="Não"/>
    <x v="1"/>
    <d v="2026-02-24T00:00:00"/>
    <d v="2026-02-01T00:00:00"/>
    <s v="ter"/>
    <x v="3"/>
    <x v="0"/>
    <m/>
    <s v="186546077"/>
  </r>
  <r>
    <n v="1867"/>
    <n v="42"/>
    <s v="Feminino"/>
    <s v="Soldagem"/>
    <s v="Operador"/>
    <s v="3º Turno"/>
    <x v="0"/>
    <s v="Não"/>
    <x v="0"/>
    <d v="2025-07-03T00:00:00"/>
    <d v="2025-07-01T00:00:00"/>
    <s v="qui"/>
    <x v="6"/>
    <x v="1"/>
    <m/>
    <s v="186745841"/>
  </r>
  <r>
    <n v="1867"/>
    <n v="42"/>
    <s v="Feminino"/>
    <s v="Soldagem"/>
    <s v="Operador"/>
    <s v="3º Turno"/>
    <x v="0"/>
    <s v="Não"/>
    <x v="0"/>
    <d v="2025-07-25T00:00:00"/>
    <d v="2025-07-01T00:00:00"/>
    <s v="sex"/>
    <x v="6"/>
    <x v="1"/>
    <m/>
    <s v="186745863"/>
  </r>
  <r>
    <n v="1867"/>
    <n v="42"/>
    <s v="Feminino"/>
    <s v="Soldagem"/>
    <s v="Operador"/>
    <s v="3º Turno"/>
    <x v="0"/>
    <s v="Não"/>
    <x v="0"/>
    <d v="2025-08-17T00:00:00"/>
    <d v="2025-08-01T00:00:00"/>
    <s v="dom"/>
    <x v="9"/>
    <x v="1"/>
    <m/>
    <s v="186745886"/>
  </r>
  <r>
    <n v="1867"/>
    <n v="42"/>
    <s v="Feminino"/>
    <s v="Soldagem"/>
    <s v="Operador"/>
    <s v="3º Turno"/>
    <x v="0"/>
    <s v="Não"/>
    <x v="0"/>
    <d v="2026-06-21T00:00:00"/>
    <d v="2026-01-01T00:00:00"/>
    <s v="dom"/>
    <x v="1"/>
    <x v="0"/>
    <m/>
    <s v="186746194"/>
  </r>
  <r>
    <n v="1867"/>
    <n v="42"/>
    <s v="Feminino"/>
    <s v="Soldagem"/>
    <s v="Operador"/>
    <s v="3º Turno"/>
    <x v="0"/>
    <s v="Não"/>
    <x v="0"/>
    <d v="2026-03-24T00:00:00"/>
    <d v="2026-03-01T00:00:00"/>
    <s v="ter"/>
    <x v="4"/>
    <x v="0"/>
    <m/>
    <s v="186746105"/>
  </r>
  <r>
    <n v="1868"/>
    <n v="40"/>
    <s v="Masculino"/>
    <s v="Soldagem"/>
    <s v="Operador"/>
    <s v="2º Turno"/>
    <x v="0"/>
    <s v="Não"/>
    <x v="0"/>
    <d v="2025-06-10T00:00:00"/>
    <d v="2025-06-01T00:00:00"/>
    <s v="ter"/>
    <x v="1"/>
    <x v="1"/>
    <m/>
    <s v="186845818"/>
  </r>
  <r>
    <n v="1868"/>
    <n v="40"/>
    <s v="Masculino"/>
    <s v="Soldagem"/>
    <s v="Operador"/>
    <s v="2º Turno"/>
    <x v="0"/>
    <s v="Não"/>
    <x v="0"/>
    <d v="2025-06-15T00:00:00"/>
    <d v="2025-06-01T00:00:00"/>
    <s v="dom"/>
    <x v="1"/>
    <x v="1"/>
    <m/>
    <s v="186845823"/>
  </r>
  <r>
    <n v="1868"/>
    <n v="40"/>
    <s v="Masculino"/>
    <s v="Soldagem"/>
    <s v="Operador"/>
    <s v="2º Turno"/>
    <x v="0"/>
    <s v="Não"/>
    <x v="0"/>
    <d v="2025-08-19T00:00:00"/>
    <d v="2025-08-01T00:00:00"/>
    <s v="ter"/>
    <x v="9"/>
    <x v="1"/>
    <m/>
    <s v="186845888"/>
  </r>
  <r>
    <n v="1868"/>
    <n v="40"/>
    <s v="Masculino"/>
    <s v="Soldagem"/>
    <s v="Operador"/>
    <s v="2º Turno"/>
    <x v="0"/>
    <s v="Não"/>
    <x v="0"/>
    <d v="2025-10-20T00:00:00"/>
    <d v="2025-10-01T00:00:00"/>
    <s v="seg"/>
    <x v="11"/>
    <x v="1"/>
    <m/>
    <s v="186845950"/>
  </r>
  <r>
    <n v="1868"/>
    <n v="40"/>
    <s v="Masculino"/>
    <s v="Soldagem"/>
    <s v="Operador"/>
    <s v="2º Turno"/>
    <x v="0"/>
    <s v="Não"/>
    <x v="0"/>
    <d v="2026-03-16T00:00:00"/>
    <d v="2026-03-01T00:00:00"/>
    <s v="seg"/>
    <x v="4"/>
    <x v="0"/>
    <m/>
    <s v="186846097"/>
  </r>
  <r>
    <n v="1869"/>
    <n v="19"/>
    <s v="Masculino"/>
    <s v="Montagem"/>
    <s v="Operador"/>
    <s v="2º Turno"/>
    <x v="0"/>
    <s v="Sim"/>
    <x v="0"/>
    <d v="2025-05-27T00:00:00"/>
    <d v="2025-05-01T00:00:00"/>
    <s v="ter"/>
    <x v="0"/>
    <x v="1"/>
    <d v="2026-05-23T00:00:00"/>
    <s v="186945804"/>
  </r>
  <r>
    <n v="1869"/>
    <n v="19"/>
    <s v="Masculino"/>
    <s v="Montagem"/>
    <s v="Operador"/>
    <s v="2º Turno"/>
    <x v="0"/>
    <s v="Sim"/>
    <x v="0"/>
    <d v="2025-07-15T00:00:00"/>
    <d v="2025-07-01T00:00:00"/>
    <s v="ter"/>
    <x v="6"/>
    <x v="1"/>
    <d v="2026-05-23T00:00:00"/>
    <s v="186945853"/>
  </r>
  <r>
    <n v="1869"/>
    <n v="19"/>
    <s v="Masculino"/>
    <s v="Montagem"/>
    <s v="Operador"/>
    <s v="2º Turno"/>
    <x v="0"/>
    <s v="Sim"/>
    <x v="0"/>
    <d v="2025-07-21T00:00:00"/>
    <d v="2025-07-01T00:00:00"/>
    <s v="seg"/>
    <x v="6"/>
    <x v="1"/>
    <d v="2026-05-23T00:00:00"/>
    <s v="186945859"/>
  </r>
  <r>
    <n v="1869"/>
    <n v="19"/>
    <s v="Masculino"/>
    <s v="Montagem"/>
    <s v="Operador"/>
    <s v="2º Turno"/>
    <x v="0"/>
    <s v="Sim"/>
    <x v="0"/>
    <d v="2025-12-23T00:00:00"/>
    <d v="2025-12-01T00:00:00"/>
    <s v="ter"/>
    <x v="8"/>
    <x v="1"/>
    <d v="2026-05-23T00:00:00"/>
    <s v="186946014"/>
  </r>
  <r>
    <n v="1869"/>
    <n v="19"/>
    <s v="Masculino"/>
    <s v="Montagem"/>
    <s v="Operador"/>
    <s v="2º Turno"/>
    <x v="0"/>
    <s v="Sim"/>
    <x v="0"/>
    <d v="2026-03-18T00:00:00"/>
    <d v="2026-03-01T00:00:00"/>
    <s v="qua"/>
    <x v="4"/>
    <x v="0"/>
    <d v="2026-05-23T00:00:00"/>
    <s v="186946099"/>
  </r>
  <r>
    <n v="1869"/>
    <n v="19"/>
    <s v="Masculino"/>
    <s v="Montagem"/>
    <s v="Operador"/>
    <s v="2º Turno"/>
    <x v="0"/>
    <s v="Sim"/>
    <x v="0"/>
    <d v="2026-03-29T00:00:00"/>
    <d v="2026-03-01T00:00:00"/>
    <s v="dom"/>
    <x v="4"/>
    <x v="0"/>
    <d v="2026-05-23T00:00:00"/>
    <s v="186946110"/>
  </r>
  <r>
    <n v="1870"/>
    <n v="21"/>
    <s v="Feminino"/>
    <s v="Soldagem"/>
    <s v="Operador"/>
    <s v="2º Turno"/>
    <x v="0"/>
    <s v="Não"/>
    <x v="2"/>
    <d v="2025-06-28T00:00:00"/>
    <d v="2025-06-01T00:00:00"/>
    <s v="sáb"/>
    <x v="1"/>
    <x v="1"/>
    <m/>
    <s v="187045836"/>
  </r>
  <r>
    <n v="1870"/>
    <n v="21"/>
    <s v="Feminino"/>
    <s v="Soldagem"/>
    <s v="Operador"/>
    <s v="2º Turno"/>
    <x v="0"/>
    <s v="Não"/>
    <x v="2"/>
    <d v="2025-07-18T00:00:00"/>
    <d v="2025-07-01T00:00:00"/>
    <s v="sex"/>
    <x v="6"/>
    <x v="1"/>
    <m/>
    <s v="187045856"/>
  </r>
  <r>
    <n v="1870"/>
    <n v="21"/>
    <s v="Feminino"/>
    <s v="Soldagem"/>
    <s v="Operador"/>
    <s v="2º Turno"/>
    <x v="0"/>
    <s v="Não"/>
    <x v="2"/>
    <d v="2025-08-01T00:00:00"/>
    <d v="2025-08-01T00:00:00"/>
    <s v="sex"/>
    <x v="9"/>
    <x v="1"/>
    <m/>
    <s v="187045870"/>
  </r>
  <r>
    <n v="1870"/>
    <n v="21"/>
    <s v="Feminino"/>
    <s v="Soldagem"/>
    <s v="Operador"/>
    <s v="2º Turno"/>
    <x v="0"/>
    <s v="Não"/>
    <x v="2"/>
    <d v="2025-08-18T00:00:00"/>
    <d v="2025-08-01T00:00:00"/>
    <s v="seg"/>
    <x v="9"/>
    <x v="1"/>
    <m/>
    <s v="187045887"/>
  </r>
  <r>
    <n v="1870"/>
    <n v="21"/>
    <s v="Feminino"/>
    <s v="Soldagem"/>
    <s v="Operador"/>
    <s v="2º Turno"/>
    <x v="0"/>
    <s v="Não"/>
    <x v="2"/>
    <d v="2025-12-02T00:00:00"/>
    <d v="2025-12-01T00:00:00"/>
    <s v="ter"/>
    <x v="8"/>
    <x v="1"/>
    <m/>
    <s v="187045993"/>
  </r>
  <r>
    <n v="1870"/>
    <n v="21"/>
    <s v="Feminino"/>
    <s v="Soldagem"/>
    <s v="Operador"/>
    <s v="2º Turno"/>
    <x v="0"/>
    <s v="Não"/>
    <x v="2"/>
    <d v="2026-02-13T00:00:00"/>
    <d v="2026-02-01T00:00:00"/>
    <s v="sex"/>
    <x v="3"/>
    <x v="0"/>
    <m/>
    <s v="187046066"/>
  </r>
  <r>
    <n v="1871"/>
    <n v="40"/>
    <s v="Feminino"/>
    <s v="Soldagem"/>
    <s v="Operador"/>
    <s v="1º Turno"/>
    <x v="0"/>
    <s v="Não"/>
    <x v="2"/>
    <d v="2025-06-05T00:00:00"/>
    <d v="2025-06-01T00:00:00"/>
    <s v="qui"/>
    <x v="1"/>
    <x v="1"/>
    <m/>
    <s v="187145813"/>
  </r>
  <r>
    <n v="1871"/>
    <n v="40"/>
    <s v="Feminino"/>
    <s v="Soldagem"/>
    <s v="Operador"/>
    <s v="1º Turno"/>
    <x v="0"/>
    <s v="Não"/>
    <x v="2"/>
    <d v="2025-11-13T00:00:00"/>
    <d v="2025-11-01T00:00:00"/>
    <s v="qui"/>
    <x v="10"/>
    <x v="1"/>
    <m/>
    <s v="187145974"/>
  </r>
  <r>
    <n v="1871"/>
    <n v="40"/>
    <s v="Feminino"/>
    <s v="Soldagem"/>
    <s v="Operador"/>
    <s v="1º Turno"/>
    <x v="0"/>
    <s v="Não"/>
    <x v="2"/>
    <d v="2026-02-19T00:00:00"/>
    <d v="2026-02-01T00:00:00"/>
    <s v="qui"/>
    <x v="3"/>
    <x v="0"/>
    <m/>
    <s v="187146072"/>
  </r>
  <r>
    <n v="1871"/>
    <n v="40"/>
    <s v="Feminino"/>
    <s v="Soldagem"/>
    <s v="Operador"/>
    <s v="1º Turno"/>
    <x v="0"/>
    <s v="Não"/>
    <x v="2"/>
    <d v="2026-03-07T00:00:00"/>
    <d v="2026-03-01T00:00:00"/>
    <s v="sáb"/>
    <x v="4"/>
    <x v="0"/>
    <m/>
    <s v="187146088"/>
  </r>
  <r>
    <n v="1872"/>
    <n v="32"/>
    <s v="Feminino"/>
    <s v="Soldagem"/>
    <s v="Operador"/>
    <s v="1º Turno"/>
    <x v="0"/>
    <s v="Sim"/>
    <x v="2"/>
    <d v="2025-04-30T00:00:00"/>
    <d v="2025-04-01T00:00:00"/>
    <s v="qua"/>
    <x v="2"/>
    <x v="1"/>
    <d v="2026-01-31T00:00:00"/>
    <s v="187245777"/>
  </r>
  <r>
    <n v="1872"/>
    <n v="32"/>
    <s v="Feminino"/>
    <s v="Soldagem"/>
    <s v="Operador"/>
    <s v="1º Turno"/>
    <x v="0"/>
    <s v="Sim"/>
    <x v="2"/>
    <d v="2025-06-09T00:00:00"/>
    <d v="2025-06-01T00:00:00"/>
    <s v="seg"/>
    <x v="1"/>
    <x v="1"/>
    <d v="2026-01-31T00:00:00"/>
    <s v="187245817"/>
  </r>
  <r>
    <n v="1872"/>
    <n v="32"/>
    <s v="Feminino"/>
    <s v="Soldagem"/>
    <s v="Operador"/>
    <s v="1º Turno"/>
    <x v="0"/>
    <s v="Sim"/>
    <x v="2"/>
    <d v="2025-08-25T00:00:00"/>
    <d v="2025-08-01T00:00:00"/>
    <s v="seg"/>
    <x v="9"/>
    <x v="1"/>
    <d v="2026-01-31T00:00:00"/>
    <s v="187245894"/>
  </r>
  <r>
    <n v="1872"/>
    <n v="32"/>
    <s v="Feminino"/>
    <s v="Soldagem"/>
    <s v="Operador"/>
    <s v="1º Turno"/>
    <x v="0"/>
    <s v="Sim"/>
    <x v="2"/>
    <d v="2025-10-03T00:00:00"/>
    <d v="2025-10-01T00:00:00"/>
    <s v="sex"/>
    <x v="11"/>
    <x v="1"/>
    <d v="2026-01-31T00:00:00"/>
    <s v="187245933"/>
  </r>
  <r>
    <n v="1872"/>
    <n v="32"/>
    <s v="Feminino"/>
    <s v="Soldagem"/>
    <s v="Operador"/>
    <s v="1º Turno"/>
    <x v="0"/>
    <s v="Sim"/>
    <x v="2"/>
    <d v="2025-11-23T00:00:00"/>
    <d v="2025-11-01T00:00:00"/>
    <s v="dom"/>
    <x v="10"/>
    <x v="1"/>
    <d v="2026-01-31T00:00:00"/>
    <s v="187245984"/>
  </r>
  <r>
    <n v="1872"/>
    <n v="32"/>
    <s v="Feminino"/>
    <s v="Soldagem"/>
    <s v="Operador"/>
    <s v="1º Turno"/>
    <x v="0"/>
    <s v="Sim"/>
    <x v="2"/>
    <d v="2026-06-06T00:00:00"/>
    <d v="2026-01-01T00:00:00"/>
    <s v="sáb"/>
    <x v="1"/>
    <x v="0"/>
    <d v="2026-01-31T00:00:00"/>
    <s v="187246179"/>
  </r>
  <r>
    <n v="1873"/>
    <n v="27"/>
    <s v="Feminino"/>
    <s v="Logistica"/>
    <s v="Operador"/>
    <s v="2º Turno"/>
    <x v="0"/>
    <s v="Não"/>
    <x v="0"/>
    <d v="2025-11-19T00:00:00"/>
    <d v="2025-11-01T00:00:00"/>
    <s v="qua"/>
    <x v="10"/>
    <x v="1"/>
    <m/>
    <s v="187345980"/>
  </r>
  <r>
    <n v="1873"/>
    <n v="27"/>
    <s v="Feminino"/>
    <s v="Logistica"/>
    <s v="Operador"/>
    <s v="2º Turno"/>
    <x v="0"/>
    <s v="Não"/>
    <x v="0"/>
    <d v="2025-12-03T00:00:00"/>
    <d v="2025-12-01T00:00:00"/>
    <s v="qua"/>
    <x v="8"/>
    <x v="1"/>
    <m/>
    <s v="187345994"/>
  </r>
  <r>
    <n v="1873"/>
    <n v="27"/>
    <s v="Feminino"/>
    <s v="Logistica"/>
    <s v="Operador"/>
    <s v="2º Turno"/>
    <x v="0"/>
    <s v="Não"/>
    <x v="0"/>
    <d v="2026-03-01T00:00:00"/>
    <d v="2026-03-01T00:00:00"/>
    <s v="dom"/>
    <x v="4"/>
    <x v="0"/>
    <m/>
    <s v="187346082"/>
  </r>
  <r>
    <n v="1873"/>
    <n v="27"/>
    <s v="Feminino"/>
    <s v="Logistica"/>
    <s v="Operador"/>
    <s v="2º Turno"/>
    <x v="0"/>
    <s v="Não"/>
    <x v="0"/>
    <d v="2026-03-16T00:00:00"/>
    <d v="2026-03-01T00:00:00"/>
    <s v="seg"/>
    <x v="4"/>
    <x v="0"/>
    <m/>
    <s v="187346097"/>
  </r>
  <r>
    <n v="1874"/>
    <n v="45"/>
    <s v="Masculino"/>
    <s v="Pintura"/>
    <s v="Operador"/>
    <s v="1º Turno"/>
    <x v="0"/>
    <s v="Não"/>
    <x v="1"/>
    <d v="2025-06-22T00:00:00"/>
    <d v="2025-06-01T00:00:00"/>
    <s v="dom"/>
    <x v="1"/>
    <x v="1"/>
    <m/>
    <s v="187445830"/>
  </r>
  <r>
    <n v="1874"/>
    <n v="45"/>
    <s v="Masculino"/>
    <s v="Pintura"/>
    <s v="Operador"/>
    <s v="1º Turno"/>
    <x v="0"/>
    <s v="Não"/>
    <x v="1"/>
    <d v="2025-10-13T00:00:00"/>
    <d v="2025-10-01T00:00:00"/>
    <s v="seg"/>
    <x v="11"/>
    <x v="1"/>
    <m/>
    <s v="187445943"/>
  </r>
  <r>
    <n v="1874"/>
    <n v="45"/>
    <s v="Masculino"/>
    <s v="Pintura"/>
    <s v="Operador"/>
    <s v="1º Turno"/>
    <x v="0"/>
    <s v="Não"/>
    <x v="1"/>
    <d v="2025-10-27T00:00:00"/>
    <d v="2025-10-01T00:00:00"/>
    <s v="seg"/>
    <x v="11"/>
    <x v="1"/>
    <m/>
    <s v="187445957"/>
  </r>
  <r>
    <n v="1874"/>
    <n v="45"/>
    <s v="Masculino"/>
    <s v="Pintura"/>
    <s v="Operador"/>
    <s v="1º Turno"/>
    <x v="0"/>
    <s v="Não"/>
    <x v="1"/>
    <d v="2025-11-04T00:00:00"/>
    <d v="2025-11-01T00:00:00"/>
    <s v="ter"/>
    <x v="10"/>
    <x v="1"/>
    <m/>
    <s v="187445965"/>
  </r>
  <r>
    <n v="1874"/>
    <n v="45"/>
    <s v="Masculino"/>
    <s v="Pintura"/>
    <s v="Operador"/>
    <s v="1º Turno"/>
    <x v="0"/>
    <s v="Não"/>
    <x v="1"/>
    <d v="2025-12-12T00:00:00"/>
    <d v="2025-12-01T00:00:00"/>
    <s v="sex"/>
    <x v="8"/>
    <x v="1"/>
    <m/>
    <s v="187446003"/>
  </r>
  <r>
    <n v="1874"/>
    <n v="45"/>
    <s v="Masculino"/>
    <s v="Pintura"/>
    <s v="Operador"/>
    <s v="1º Turno"/>
    <x v="0"/>
    <s v="Não"/>
    <x v="1"/>
    <d v="2025-12-24T00:00:00"/>
    <d v="2025-12-01T00:00:00"/>
    <s v="qua"/>
    <x v="8"/>
    <x v="1"/>
    <m/>
    <s v="187446015"/>
  </r>
  <r>
    <n v="1875"/>
    <n v="36"/>
    <s v="Feminino"/>
    <s v="Montagem"/>
    <s v="Operador"/>
    <s v="1º Turno"/>
    <x v="0"/>
    <s v="Não"/>
    <x v="1"/>
    <d v="2025-06-17T00:00:00"/>
    <d v="2025-06-01T00:00:00"/>
    <s v="ter"/>
    <x v="1"/>
    <x v="1"/>
    <m/>
    <s v="187545825"/>
  </r>
  <r>
    <n v="1875"/>
    <n v="36"/>
    <s v="Feminino"/>
    <s v="Montagem"/>
    <s v="Operador"/>
    <s v="1º Turno"/>
    <x v="0"/>
    <s v="Não"/>
    <x v="1"/>
    <d v="2025-06-25T00:00:00"/>
    <d v="2025-06-01T00:00:00"/>
    <s v="qua"/>
    <x v="1"/>
    <x v="1"/>
    <m/>
    <s v="187545833"/>
  </r>
  <r>
    <n v="1875"/>
    <n v="36"/>
    <s v="Feminino"/>
    <s v="Montagem"/>
    <s v="Operador"/>
    <s v="1º Turno"/>
    <x v="0"/>
    <s v="Não"/>
    <x v="1"/>
    <d v="2025-08-19T00:00:00"/>
    <d v="2025-08-01T00:00:00"/>
    <s v="ter"/>
    <x v="9"/>
    <x v="1"/>
    <m/>
    <s v="187545888"/>
  </r>
  <r>
    <n v="1875"/>
    <n v="36"/>
    <s v="Feminino"/>
    <s v="Montagem"/>
    <s v="Operador"/>
    <s v="1º Turno"/>
    <x v="0"/>
    <s v="Não"/>
    <x v="1"/>
    <d v="2025-08-29T00:00:00"/>
    <d v="2025-08-01T00:00:00"/>
    <s v="sex"/>
    <x v="9"/>
    <x v="1"/>
    <m/>
    <s v="187545898"/>
  </r>
  <r>
    <n v="1875"/>
    <n v="36"/>
    <s v="Feminino"/>
    <s v="Montagem"/>
    <s v="Operador"/>
    <s v="1º Turno"/>
    <x v="0"/>
    <s v="Não"/>
    <x v="1"/>
    <d v="2025-12-13T00:00:00"/>
    <d v="2025-12-01T00:00:00"/>
    <s v="sáb"/>
    <x v="8"/>
    <x v="1"/>
    <m/>
    <s v="187546004"/>
  </r>
  <r>
    <n v="1876"/>
    <n v="57"/>
    <s v="Feminino"/>
    <s v="Pintura"/>
    <s v="Operador"/>
    <s v="1º Turno"/>
    <x v="0"/>
    <s v="Sim"/>
    <x v="1"/>
    <d v="2025-06-17T00:00:00"/>
    <d v="2025-06-01T00:00:00"/>
    <s v="ter"/>
    <x v="1"/>
    <x v="1"/>
    <d v="2025-08-29T00:00:00"/>
    <s v="187645825"/>
  </r>
  <r>
    <n v="1876"/>
    <n v="57"/>
    <s v="Feminino"/>
    <s v="Pintura"/>
    <s v="Operador"/>
    <s v="1º Turno"/>
    <x v="0"/>
    <s v="Sim"/>
    <x v="1"/>
    <d v="2025-08-03T00:00:00"/>
    <d v="2025-08-01T00:00:00"/>
    <s v="dom"/>
    <x v="9"/>
    <x v="1"/>
    <d v="2025-08-29T00:00:00"/>
    <s v="187645872"/>
  </r>
  <r>
    <n v="1876"/>
    <n v="57"/>
    <s v="Feminino"/>
    <s v="Pintura"/>
    <s v="Operador"/>
    <s v="1º Turno"/>
    <x v="0"/>
    <s v="Sim"/>
    <x v="1"/>
    <d v="2025-08-04T00:00:00"/>
    <d v="2025-08-01T00:00:00"/>
    <s v="seg"/>
    <x v="9"/>
    <x v="1"/>
    <d v="2025-08-29T00:00:00"/>
    <s v="187645873"/>
  </r>
  <r>
    <n v="1876"/>
    <n v="57"/>
    <s v="Feminino"/>
    <s v="Pintura"/>
    <s v="Operador"/>
    <s v="1º Turno"/>
    <x v="0"/>
    <s v="Sim"/>
    <x v="1"/>
    <d v="2025-08-12T00:00:00"/>
    <d v="2025-08-01T00:00:00"/>
    <s v="ter"/>
    <x v="9"/>
    <x v="1"/>
    <d v="2025-08-29T00:00:00"/>
    <s v="187645881"/>
  </r>
  <r>
    <n v="1877"/>
    <n v="23"/>
    <s v="Masculino"/>
    <s v="Soldagem"/>
    <s v="Operador"/>
    <s v="2º Turno"/>
    <x v="0"/>
    <s v="Sim"/>
    <x v="0"/>
    <d v="2025-02-20T00:00:00"/>
    <d v="2025-02-01T00:00:00"/>
    <s v="qui"/>
    <x v="3"/>
    <x v="1"/>
    <d v="2025-04-29T00:00:00"/>
    <s v="187745708"/>
  </r>
  <r>
    <n v="1877"/>
    <n v="23"/>
    <s v="Masculino"/>
    <s v="Soldagem"/>
    <s v="Operador"/>
    <s v="2º Turno"/>
    <x v="0"/>
    <s v="Sim"/>
    <x v="0"/>
    <d v="2025-02-21T00:00:00"/>
    <d v="2025-02-01T00:00:00"/>
    <s v="sex"/>
    <x v="3"/>
    <x v="1"/>
    <d v="2025-04-29T00:00:00"/>
    <s v="187745709"/>
  </r>
  <r>
    <n v="1877"/>
    <n v="23"/>
    <s v="Masculino"/>
    <s v="Soldagem"/>
    <s v="Operador"/>
    <s v="2º Turno"/>
    <x v="0"/>
    <s v="Sim"/>
    <x v="0"/>
    <d v="2025-04-23T00:00:00"/>
    <d v="2025-04-01T00:00:00"/>
    <s v="qua"/>
    <x v="2"/>
    <x v="1"/>
    <d v="2025-04-29T00:00:00"/>
    <s v="187745770"/>
  </r>
  <r>
    <n v="1877"/>
    <n v="23"/>
    <s v="Masculino"/>
    <s v="Soldagem"/>
    <s v="Operador"/>
    <s v="2º Turno"/>
    <x v="5"/>
    <s v="Sim"/>
    <x v="0"/>
    <d v="2025-04-24T00:00:00"/>
    <d v="2025-04-01T00:00:00"/>
    <s v="qui"/>
    <x v="2"/>
    <x v="1"/>
    <d v="2025-04-29T00:00:00"/>
    <s v="187745771"/>
  </r>
  <r>
    <n v="1877"/>
    <n v="23"/>
    <s v="Masculino"/>
    <s v="Soldagem"/>
    <s v="Operador"/>
    <s v="2º Turno"/>
    <x v="0"/>
    <s v="Sim"/>
    <x v="0"/>
    <d v="2025-04-25T00:00:00"/>
    <d v="2025-04-01T00:00:00"/>
    <s v="sex"/>
    <x v="2"/>
    <x v="1"/>
    <d v="2025-04-29T00:00:00"/>
    <s v="187745772"/>
  </r>
  <r>
    <n v="1879"/>
    <n v="22"/>
    <s v="Feminino"/>
    <s v="Montagem"/>
    <s v="Operador"/>
    <s v="2º Turno"/>
    <x v="0"/>
    <s v="Não"/>
    <x v="0"/>
    <d v="2025-11-08T00:00:00"/>
    <d v="2025-11-01T00:00:00"/>
    <s v="sáb"/>
    <x v="10"/>
    <x v="1"/>
    <m/>
    <s v="187945969"/>
  </r>
  <r>
    <n v="1879"/>
    <n v="22"/>
    <s v="Feminino"/>
    <s v="Montagem"/>
    <s v="Operador"/>
    <s v="2º Turno"/>
    <x v="0"/>
    <s v="Não"/>
    <x v="0"/>
    <d v="2025-11-10T00:00:00"/>
    <d v="2025-11-01T00:00:00"/>
    <s v="seg"/>
    <x v="10"/>
    <x v="1"/>
    <m/>
    <s v="187945971"/>
  </r>
  <r>
    <n v="1879"/>
    <n v="22"/>
    <s v="Feminino"/>
    <s v="Montagem"/>
    <s v="Operador"/>
    <s v="2º Turno"/>
    <x v="0"/>
    <s v="Não"/>
    <x v="0"/>
    <d v="2025-11-20T00:00:00"/>
    <d v="2025-11-01T00:00:00"/>
    <s v="qui"/>
    <x v="10"/>
    <x v="1"/>
    <m/>
    <s v="187945981"/>
  </r>
  <r>
    <n v="1879"/>
    <n v="22"/>
    <s v="Feminino"/>
    <s v="Montagem"/>
    <s v="Operador"/>
    <s v="2º Turno"/>
    <x v="0"/>
    <s v="Não"/>
    <x v="0"/>
    <d v="2026-06-07T00:00:00"/>
    <d v="2026-01-01T00:00:00"/>
    <s v="dom"/>
    <x v="1"/>
    <x v="0"/>
    <m/>
    <s v="187946180"/>
  </r>
  <r>
    <n v="1879"/>
    <n v="22"/>
    <s v="Feminino"/>
    <s v="Montagem"/>
    <s v="Operador"/>
    <s v="2º Turno"/>
    <x v="0"/>
    <s v="Não"/>
    <x v="0"/>
    <d v="2026-02-10T00:00:00"/>
    <d v="2026-02-01T00:00:00"/>
    <s v="ter"/>
    <x v="3"/>
    <x v="0"/>
    <m/>
    <s v="187946063"/>
  </r>
  <r>
    <n v="1880"/>
    <n v="23"/>
    <s v="Masculino"/>
    <s v="Soldagem"/>
    <s v="Operador"/>
    <s v="3º Turno"/>
    <x v="0"/>
    <s v="Não"/>
    <x v="0"/>
    <d v="2025-06-19T00:00:00"/>
    <d v="2025-06-01T00:00:00"/>
    <s v="qui"/>
    <x v="1"/>
    <x v="1"/>
    <m/>
    <s v="188045827"/>
  </r>
  <r>
    <n v="1880"/>
    <n v="23"/>
    <s v="Masculino"/>
    <s v="Soldagem"/>
    <s v="Operador"/>
    <s v="3º Turno"/>
    <x v="0"/>
    <s v="Não"/>
    <x v="0"/>
    <d v="2025-07-26T00:00:00"/>
    <d v="2025-07-01T00:00:00"/>
    <s v="sáb"/>
    <x v="6"/>
    <x v="1"/>
    <m/>
    <s v="188045864"/>
  </r>
  <r>
    <n v="1880"/>
    <n v="23"/>
    <s v="Masculino"/>
    <s v="Soldagem"/>
    <s v="Operador"/>
    <s v="3º Turno"/>
    <x v="0"/>
    <s v="Não"/>
    <x v="0"/>
    <d v="2025-10-05T00:00:00"/>
    <d v="2025-10-01T00:00:00"/>
    <s v="dom"/>
    <x v="11"/>
    <x v="1"/>
    <m/>
    <s v="188045935"/>
  </r>
  <r>
    <n v="1880"/>
    <n v="23"/>
    <s v="Masculino"/>
    <s v="Soldagem"/>
    <s v="Operador"/>
    <s v="3º Turno"/>
    <x v="0"/>
    <s v="Não"/>
    <x v="0"/>
    <d v="2025-10-21T00:00:00"/>
    <d v="2025-10-01T00:00:00"/>
    <s v="ter"/>
    <x v="11"/>
    <x v="1"/>
    <m/>
    <s v="188045951"/>
  </r>
  <r>
    <n v="1880"/>
    <n v="23"/>
    <s v="Masculino"/>
    <s v="Soldagem"/>
    <s v="Operador"/>
    <s v="3º Turno"/>
    <x v="0"/>
    <s v="Não"/>
    <x v="0"/>
    <d v="2026-06-29T00:00:00"/>
    <d v="2026-01-01T00:00:00"/>
    <s v="seg"/>
    <x v="1"/>
    <x v="0"/>
    <m/>
    <s v="188046202"/>
  </r>
  <r>
    <n v="1880"/>
    <n v="23"/>
    <s v="Masculino"/>
    <s v="Soldagem"/>
    <s v="Operador"/>
    <s v="3º Turno"/>
    <x v="0"/>
    <s v="Não"/>
    <x v="0"/>
    <d v="2026-03-29T00:00:00"/>
    <d v="2026-03-01T00:00:00"/>
    <s v="dom"/>
    <x v="4"/>
    <x v="0"/>
    <m/>
    <s v="188046110"/>
  </r>
  <r>
    <n v="1880"/>
    <n v="23"/>
    <s v="Masculino"/>
    <s v="Soldagem"/>
    <s v="Operador"/>
    <s v="3º Turno"/>
    <x v="0"/>
    <s v="Não"/>
    <x v="0"/>
    <d v="2026-06-17T00:00:00"/>
    <d v="2026-06-01T00:00:00"/>
    <s v="qua"/>
    <x v="1"/>
    <x v="0"/>
    <m/>
    <s v="188046190"/>
  </r>
  <r>
    <n v="1881"/>
    <n v="24"/>
    <s v="Masculino"/>
    <s v="Montagem"/>
    <s v="Operador"/>
    <s v="1º Turno"/>
    <x v="0"/>
    <s v="Não"/>
    <x v="0"/>
    <d v="2025-06-25T00:00:00"/>
    <d v="2025-06-01T00:00:00"/>
    <s v="qua"/>
    <x v="1"/>
    <x v="1"/>
    <m/>
    <s v="188145833"/>
  </r>
  <r>
    <n v="1881"/>
    <n v="24"/>
    <s v="Masculino"/>
    <s v="Montagem"/>
    <s v="Operador"/>
    <s v="1º Turno"/>
    <x v="0"/>
    <s v="Não"/>
    <x v="0"/>
    <d v="2025-06-28T00:00:00"/>
    <d v="2025-06-01T00:00:00"/>
    <s v="sáb"/>
    <x v="1"/>
    <x v="1"/>
    <m/>
    <s v="188145836"/>
  </r>
  <r>
    <n v="1881"/>
    <n v="24"/>
    <s v="Masculino"/>
    <s v="Montagem"/>
    <s v="Operador"/>
    <s v="1º Turno"/>
    <x v="0"/>
    <s v="Não"/>
    <x v="0"/>
    <d v="2025-07-08T00:00:00"/>
    <d v="2025-07-01T00:00:00"/>
    <s v="ter"/>
    <x v="6"/>
    <x v="1"/>
    <m/>
    <s v="188145846"/>
  </r>
  <r>
    <n v="1881"/>
    <n v="24"/>
    <s v="Masculino"/>
    <s v="Montagem"/>
    <s v="Operador"/>
    <s v="1º Turno"/>
    <x v="0"/>
    <s v="Não"/>
    <x v="0"/>
    <d v="2025-10-21T00:00:00"/>
    <d v="2025-10-01T00:00:00"/>
    <s v="ter"/>
    <x v="11"/>
    <x v="1"/>
    <m/>
    <s v="188145951"/>
  </r>
  <r>
    <n v="1881"/>
    <n v="24"/>
    <s v="Masculino"/>
    <s v="Montagem"/>
    <s v="Operador"/>
    <s v="1º Turno"/>
    <x v="0"/>
    <s v="Não"/>
    <x v="0"/>
    <d v="2026-03-01T00:00:00"/>
    <d v="2026-03-01T00:00:00"/>
    <s v="dom"/>
    <x v="4"/>
    <x v="0"/>
    <m/>
    <s v="188146082"/>
  </r>
  <r>
    <n v="1882"/>
    <n v="54"/>
    <s v="Masculino"/>
    <s v="Montagem"/>
    <s v="Operador"/>
    <s v="2º Turno"/>
    <x v="0"/>
    <s v="Não"/>
    <x v="2"/>
    <d v="2025-09-18T00:00:00"/>
    <d v="2025-09-01T00:00:00"/>
    <s v="qui"/>
    <x v="7"/>
    <x v="1"/>
    <m/>
    <s v="188245918"/>
  </r>
  <r>
    <n v="1882"/>
    <n v="54"/>
    <s v="Masculino"/>
    <s v="Montagem"/>
    <s v="Operador"/>
    <s v="2º Turno"/>
    <x v="0"/>
    <s v="Não"/>
    <x v="2"/>
    <d v="2025-10-09T00:00:00"/>
    <d v="2025-10-01T00:00:00"/>
    <s v="qui"/>
    <x v="11"/>
    <x v="1"/>
    <m/>
    <s v="188245939"/>
  </r>
  <r>
    <n v="1882"/>
    <n v="54"/>
    <s v="Masculino"/>
    <s v="Montagem"/>
    <s v="Operador"/>
    <s v="2º Turno"/>
    <x v="0"/>
    <s v="Não"/>
    <x v="2"/>
    <d v="2025-11-05T00:00:00"/>
    <d v="2025-11-01T00:00:00"/>
    <s v="qua"/>
    <x v="10"/>
    <x v="1"/>
    <m/>
    <s v="188245966"/>
  </r>
  <r>
    <n v="1882"/>
    <n v="54"/>
    <s v="Masculino"/>
    <s v="Montagem"/>
    <s v="Operador"/>
    <s v="2º Turno"/>
    <x v="0"/>
    <s v="Não"/>
    <x v="2"/>
    <d v="2025-12-01T00:00:00"/>
    <d v="2025-12-01T00:00:00"/>
    <s v="seg"/>
    <x v="8"/>
    <x v="1"/>
    <m/>
    <s v="188245992"/>
  </r>
  <r>
    <n v="1882"/>
    <n v="54"/>
    <s v="Masculino"/>
    <s v="Montagem"/>
    <s v="Operador"/>
    <s v="2º Turno"/>
    <x v="0"/>
    <s v="Não"/>
    <x v="2"/>
    <d v="2026-06-05T00:00:00"/>
    <d v="2026-01-01T00:00:00"/>
    <s v="sex"/>
    <x v="1"/>
    <x v="0"/>
    <m/>
    <s v="188246178"/>
  </r>
  <r>
    <n v="1882"/>
    <n v="54"/>
    <s v="Masculino"/>
    <s v="Montagem"/>
    <s v="Operador"/>
    <s v="2º Turno"/>
    <x v="0"/>
    <s v="Não"/>
    <x v="2"/>
    <d v="2026-06-09T00:00:00"/>
    <d v="2026-01-01T00:00:00"/>
    <s v="ter"/>
    <x v="1"/>
    <x v="0"/>
    <m/>
    <s v="188246182"/>
  </r>
  <r>
    <n v="1883"/>
    <n v="28"/>
    <s v="Masculino"/>
    <s v="Qualidade"/>
    <s v="Inspetor"/>
    <s v="1º Turno"/>
    <x v="0"/>
    <s v="Não"/>
    <x v="1"/>
    <d v="2025-10-10T00:00:00"/>
    <d v="2025-10-01T00:00:00"/>
    <s v="sex"/>
    <x v="11"/>
    <x v="1"/>
    <m/>
    <s v="188345940"/>
  </r>
  <r>
    <n v="1883"/>
    <n v="28"/>
    <s v="Masculino"/>
    <s v="Qualidade"/>
    <s v="Inspetor"/>
    <s v="1º Turno"/>
    <x v="0"/>
    <s v="Não"/>
    <x v="1"/>
    <d v="2025-11-05T00:00:00"/>
    <d v="2025-11-01T00:00:00"/>
    <s v="qua"/>
    <x v="10"/>
    <x v="1"/>
    <m/>
    <s v="188345966"/>
  </r>
  <r>
    <n v="1883"/>
    <n v="28"/>
    <s v="Masculino"/>
    <s v="Qualidade"/>
    <s v="Inspetor"/>
    <s v="1º Turno"/>
    <x v="0"/>
    <s v="Não"/>
    <x v="1"/>
    <d v="2025-12-24T00:00:00"/>
    <d v="2025-12-01T00:00:00"/>
    <s v="qua"/>
    <x v="8"/>
    <x v="1"/>
    <m/>
    <s v="188346015"/>
  </r>
  <r>
    <n v="1883"/>
    <n v="28"/>
    <s v="Masculino"/>
    <s v="Qualidade"/>
    <s v="Inspetor"/>
    <s v="1º Turno"/>
    <x v="0"/>
    <s v="Não"/>
    <x v="1"/>
    <d v="2026-06-30T00:00:00"/>
    <d v="2026-01-01T00:00:00"/>
    <s v="ter"/>
    <x v="1"/>
    <x v="0"/>
    <m/>
    <s v="188346203"/>
  </r>
  <r>
    <n v="1883"/>
    <n v="28"/>
    <s v="Masculino"/>
    <s v="Qualidade"/>
    <s v="Inspetor"/>
    <s v="1º Turno"/>
    <x v="0"/>
    <s v="Não"/>
    <x v="1"/>
    <d v="2026-03-09T00:00:00"/>
    <d v="2026-03-01T00:00:00"/>
    <s v="seg"/>
    <x v="4"/>
    <x v="0"/>
    <m/>
    <s v="188346090"/>
  </r>
  <r>
    <n v="1883"/>
    <n v="28"/>
    <s v="Masculino"/>
    <s v="Qualidade"/>
    <s v="Inspetor"/>
    <s v="1º Turno"/>
    <x v="0"/>
    <s v="Não"/>
    <x v="1"/>
    <d v="2026-03-20T00:00:00"/>
    <d v="2026-03-01T00:00:00"/>
    <s v="sex"/>
    <x v="4"/>
    <x v="0"/>
    <m/>
    <s v="188346101"/>
  </r>
  <r>
    <n v="1884"/>
    <n v="42"/>
    <s v="Masculino"/>
    <s v="Montagem"/>
    <s v="Operador"/>
    <s v="1º Turno"/>
    <x v="0"/>
    <s v="Não"/>
    <x v="1"/>
    <d v="2025-07-19T00:00:00"/>
    <d v="2025-07-01T00:00:00"/>
    <s v="sáb"/>
    <x v="6"/>
    <x v="1"/>
    <m/>
    <s v="188445857"/>
  </r>
  <r>
    <n v="1884"/>
    <n v="42"/>
    <s v="Masculino"/>
    <s v="Montagem"/>
    <s v="Operador"/>
    <s v="1º Turno"/>
    <x v="0"/>
    <s v="Não"/>
    <x v="1"/>
    <d v="2025-11-01T00:00:00"/>
    <d v="2025-11-01T00:00:00"/>
    <s v="sáb"/>
    <x v="10"/>
    <x v="1"/>
    <m/>
    <s v="188445962"/>
  </r>
  <r>
    <n v="1884"/>
    <n v="42"/>
    <s v="Masculino"/>
    <s v="Montagem"/>
    <s v="Operador"/>
    <s v="1º Turno"/>
    <x v="0"/>
    <s v="Não"/>
    <x v="1"/>
    <d v="2025-11-17T00:00:00"/>
    <d v="2025-11-01T00:00:00"/>
    <s v="seg"/>
    <x v="10"/>
    <x v="1"/>
    <m/>
    <s v="188445978"/>
  </r>
  <r>
    <n v="1884"/>
    <n v="42"/>
    <s v="Masculino"/>
    <s v="Montagem"/>
    <s v="Operador"/>
    <s v="1º Turno"/>
    <x v="0"/>
    <s v="Não"/>
    <x v="1"/>
    <d v="2025-12-29T00:00:00"/>
    <d v="2025-12-01T00:00:00"/>
    <s v="seg"/>
    <x v="8"/>
    <x v="1"/>
    <m/>
    <s v="188446020"/>
  </r>
  <r>
    <n v="1884"/>
    <n v="42"/>
    <s v="Masculino"/>
    <s v="Montagem"/>
    <s v="Operador"/>
    <s v="1º Turno"/>
    <x v="0"/>
    <s v="Não"/>
    <x v="1"/>
    <d v="2026-06-19T00:00:00"/>
    <d v="2026-01-01T00:00:00"/>
    <s v="sex"/>
    <x v="1"/>
    <x v="0"/>
    <m/>
    <s v="188446192"/>
  </r>
  <r>
    <n v="1884"/>
    <n v="42"/>
    <s v="Masculino"/>
    <s v="Montagem"/>
    <s v="Operador"/>
    <s v="1º Turno"/>
    <x v="0"/>
    <s v="Não"/>
    <x v="1"/>
    <d v="2026-04-14T00:00:00"/>
    <d v="2026-04-01T00:00:00"/>
    <s v="ter"/>
    <x v="2"/>
    <x v="0"/>
    <m/>
    <s v="188446126"/>
  </r>
  <r>
    <n v="1884"/>
    <n v="42"/>
    <s v="Masculino"/>
    <s v="Montagem"/>
    <s v="Operador"/>
    <s v="1º Turno"/>
    <x v="0"/>
    <s v="Não"/>
    <x v="1"/>
    <d v="2026-05-19T00:00:00"/>
    <d v="2026-05-01T00:00:00"/>
    <s v="ter"/>
    <x v="0"/>
    <x v="0"/>
    <m/>
    <s v="188446161"/>
  </r>
  <r>
    <n v="1885"/>
    <n v="24"/>
    <s v="Feminino"/>
    <s v="Pintura"/>
    <s v="Operador"/>
    <s v="3º Turno"/>
    <x v="0"/>
    <s v="Não"/>
    <x v="0"/>
    <d v="2025-06-09T00:00:00"/>
    <d v="2025-06-01T00:00:00"/>
    <s v="seg"/>
    <x v="1"/>
    <x v="1"/>
    <m/>
    <s v="188545817"/>
  </r>
  <r>
    <n v="1885"/>
    <n v="24"/>
    <s v="Feminino"/>
    <s v="Pintura"/>
    <s v="Operador"/>
    <s v="3º Turno"/>
    <x v="0"/>
    <s v="Não"/>
    <x v="0"/>
    <d v="2025-06-16T00:00:00"/>
    <d v="2025-06-01T00:00:00"/>
    <s v="seg"/>
    <x v="1"/>
    <x v="1"/>
    <m/>
    <s v="188545824"/>
  </r>
  <r>
    <n v="1885"/>
    <n v="24"/>
    <s v="Feminino"/>
    <s v="Pintura"/>
    <s v="Operador"/>
    <s v="3º Turno"/>
    <x v="0"/>
    <s v="Não"/>
    <x v="0"/>
    <d v="2025-07-28T00:00:00"/>
    <d v="2025-07-01T00:00:00"/>
    <s v="seg"/>
    <x v="6"/>
    <x v="1"/>
    <m/>
    <s v="188545866"/>
  </r>
  <r>
    <n v="1885"/>
    <n v="24"/>
    <s v="Feminino"/>
    <s v="Pintura"/>
    <s v="Operador"/>
    <s v="3º Turno"/>
    <x v="0"/>
    <s v="Não"/>
    <x v="0"/>
    <d v="2025-10-02T00:00:00"/>
    <d v="2025-10-01T00:00:00"/>
    <s v="qui"/>
    <x v="11"/>
    <x v="1"/>
    <m/>
    <s v="188545932"/>
  </r>
  <r>
    <n v="1885"/>
    <n v="24"/>
    <s v="Feminino"/>
    <s v="Pintura"/>
    <s v="Operador"/>
    <s v="3º Turno"/>
    <x v="0"/>
    <s v="Não"/>
    <x v="0"/>
    <d v="2025-11-19T00:00:00"/>
    <d v="2025-11-01T00:00:00"/>
    <s v="qua"/>
    <x v="10"/>
    <x v="1"/>
    <m/>
    <s v="188545980"/>
  </r>
  <r>
    <n v="1886"/>
    <n v="33"/>
    <s v="Masculino"/>
    <s v="Montagem"/>
    <s v="Operador"/>
    <s v="2º Turno"/>
    <x v="0"/>
    <s v="Não"/>
    <x v="0"/>
    <d v="2025-07-20T00:00:00"/>
    <d v="2025-07-01T00:00:00"/>
    <s v="dom"/>
    <x v="6"/>
    <x v="1"/>
    <m/>
    <s v="188645858"/>
  </r>
  <r>
    <n v="1886"/>
    <n v="33"/>
    <s v="Masculino"/>
    <s v="Montagem"/>
    <s v="Operador"/>
    <s v="2º Turno"/>
    <x v="0"/>
    <s v="Não"/>
    <x v="0"/>
    <d v="2025-12-03T00:00:00"/>
    <d v="2025-12-01T00:00:00"/>
    <s v="qua"/>
    <x v="8"/>
    <x v="1"/>
    <m/>
    <s v="188645994"/>
  </r>
  <r>
    <n v="1886"/>
    <n v="33"/>
    <s v="Masculino"/>
    <s v="Montagem"/>
    <s v="Operador"/>
    <s v="2º Turno"/>
    <x v="0"/>
    <s v="Não"/>
    <x v="0"/>
    <d v="2025-12-22T00:00:00"/>
    <d v="2025-12-01T00:00:00"/>
    <s v="seg"/>
    <x v="8"/>
    <x v="1"/>
    <m/>
    <s v="188646013"/>
  </r>
  <r>
    <n v="1886"/>
    <n v="33"/>
    <s v="Masculino"/>
    <s v="Montagem"/>
    <s v="Operador"/>
    <s v="2º Turno"/>
    <x v="0"/>
    <s v="Não"/>
    <x v="0"/>
    <d v="2026-03-13T00:00:00"/>
    <d v="2026-03-01T00:00:00"/>
    <s v="sex"/>
    <x v="4"/>
    <x v="0"/>
    <m/>
    <s v="188646094"/>
  </r>
  <r>
    <n v="1886"/>
    <n v="33"/>
    <s v="Masculino"/>
    <s v="Montagem"/>
    <s v="Operador"/>
    <s v="2º Turno"/>
    <x v="0"/>
    <s v="Não"/>
    <x v="0"/>
    <d v="2026-03-19T00:00:00"/>
    <d v="2026-03-01T00:00:00"/>
    <s v="qui"/>
    <x v="4"/>
    <x v="0"/>
    <m/>
    <s v="188646100"/>
  </r>
  <r>
    <n v="1887"/>
    <n v="28"/>
    <s v="Feminino"/>
    <s v="Logistica"/>
    <s v="Operador"/>
    <s v="1º Turno"/>
    <x v="0"/>
    <s v="Não"/>
    <x v="1"/>
    <d v="2026-06-19T00:00:00"/>
    <d v="2026-01-01T00:00:00"/>
    <s v="sex"/>
    <x v="1"/>
    <x v="0"/>
    <m/>
    <s v="188746192"/>
  </r>
  <r>
    <n v="1887"/>
    <n v="28"/>
    <s v="Feminino"/>
    <s v="Logistica"/>
    <s v="Operador"/>
    <s v="1º Turno"/>
    <x v="0"/>
    <s v="Não"/>
    <x v="1"/>
    <d v="2026-06-28T00:00:00"/>
    <d v="2026-01-01T00:00:00"/>
    <s v="dom"/>
    <x v="1"/>
    <x v="0"/>
    <m/>
    <s v="188746201"/>
  </r>
  <r>
    <n v="1889"/>
    <n v="27"/>
    <s v="Feminino"/>
    <s v="Soldagem"/>
    <s v="Operador"/>
    <s v="3º Turno"/>
    <x v="0"/>
    <s v="Não"/>
    <x v="0"/>
    <d v="2025-06-28T00:00:00"/>
    <d v="2025-06-01T00:00:00"/>
    <s v="sáb"/>
    <x v="1"/>
    <x v="1"/>
    <m/>
    <s v="188945836"/>
  </r>
  <r>
    <n v="1889"/>
    <n v="27"/>
    <s v="Feminino"/>
    <s v="Soldagem"/>
    <s v="Operador"/>
    <s v="3º Turno"/>
    <x v="0"/>
    <s v="Não"/>
    <x v="0"/>
    <d v="2025-07-01T00:00:00"/>
    <d v="2025-07-01T00:00:00"/>
    <s v="ter"/>
    <x v="6"/>
    <x v="1"/>
    <m/>
    <s v="188945839"/>
  </r>
  <r>
    <n v="1889"/>
    <n v="27"/>
    <s v="Feminino"/>
    <s v="Soldagem"/>
    <s v="Operador"/>
    <s v="3º Turno"/>
    <x v="0"/>
    <s v="Não"/>
    <x v="0"/>
    <d v="2025-08-08T00:00:00"/>
    <d v="2025-08-01T00:00:00"/>
    <s v="sex"/>
    <x v="9"/>
    <x v="1"/>
    <m/>
    <s v="188945877"/>
  </r>
  <r>
    <n v="1889"/>
    <n v="27"/>
    <s v="Feminino"/>
    <s v="Soldagem"/>
    <s v="Operador"/>
    <s v="3º Turno"/>
    <x v="0"/>
    <s v="Não"/>
    <x v="0"/>
    <d v="2026-06-15T00:00:00"/>
    <d v="2026-01-01T00:00:00"/>
    <s v="seg"/>
    <x v="1"/>
    <x v="0"/>
    <m/>
    <s v="188946188"/>
  </r>
  <r>
    <n v="1889"/>
    <n v="27"/>
    <s v="Feminino"/>
    <s v="Soldagem"/>
    <s v="Operador"/>
    <s v="3º Turno"/>
    <x v="0"/>
    <s v="Não"/>
    <x v="0"/>
    <d v="2026-03-04T00:00:00"/>
    <d v="2026-03-01T00:00:00"/>
    <s v="qua"/>
    <x v="4"/>
    <x v="0"/>
    <m/>
    <s v="188946085"/>
  </r>
  <r>
    <n v="1889"/>
    <n v="27"/>
    <s v="Feminino"/>
    <s v="Soldagem"/>
    <s v="Operador"/>
    <s v="3º Turno"/>
    <x v="0"/>
    <s v="Não"/>
    <x v="0"/>
    <d v="2026-03-29T00:00:00"/>
    <d v="2026-03-01T00:00:00"/>
    <s v="dom"/>
    <x v="4"/>
    <x v="0"/>
    <m/>
    <s v="188946110"/>
  </r>
  <r>
    <n v="1889"/>
    <n v="27"/>
    <s v="Feminino"/>
    <s v="Soldagem"/>
    <s v="Operador"/>
    <s v="3º Turno"/>
    <x v="0"/>
    <s v="Não"/>
    <x v="0"/>
    <d v="2026-05-05T00:00:00"/>
    <d v="2026-05-01T00:00:00"/>
    <s v="ter"/>
    <x v="0"/>
    <x v="0"/>
    <m/>
    <s v="188946147"/>
  </r>
  <r>
    <n v="1890"/>
    <n v="34"/>
    <s v="Masculino"/>
    <s v="Pintura"/>
    <s v="Operador"/>
    <s v="3º Turno"/>
    <x v="0"/>
    <s v="Não"/>
    <x v="2"/>
    <d v="2025-08-07T00:00:00"/>
    <d v="2025-08-01T00:00:00"/>
    <s v="qui"/>
    <x v="9"/>
    <x v="1"/>
    <m/>
    <s v="189045876"/>
  </r>
  <r>
    <n v="1890"/>
    <n v="34"/>
    <s v="Masculino"/>
    <s v="Pintura"/>
    <s v="Operador"/>
    <s v="3º Turno"/>
    <x v="0"/>
    <s v="Não"/>
    <x v="2"/>
    <d v="2025-08-27T00:00:00"/>
    <d v="2025-08-01T00:00:00"/>
    <s v="qua"/>
    <x v="9"/>
    <x v="1"/>
    <m/>
    <s v="189045896"/>
  </r>
  <r>
    <n v="1890"/>
    <n v="34"/>
    <s v="Masculino"/>
    <s v="Pintura"/>
    <s v="Operador"/>
    <s v="3º Turno"/>
    <x v="0"/>
    <s v="Não"/>
    <x v="2"/>
    <d v="2025-09-15T00:00:00"/>
    <d v="2025-09-01T00:00:00"/>
    <s v="seg"/>
    <x v="7"/>
    <x v="1"/>
    <m/>
    <s v="189045915"/>
  </r>
  <r>
    <n v="1890"/>
    <n v="34"/>
    <s v="Masculino"/>
    <s v="Pintura"/>
    <s v="Operador"/>
    <s v="3º Turno"/>
    <x v="0"/>
    <s v="Não"/>
    <x v="2"/>
    <d v="2025-11-26T00:00:00"/>
    <d v="2025-11-01T00:00:00"/>
    <s v="qua"/>
    <x v="10"/>
    <x v="1"/>
    <m/>
    <s v="189045987"/>
  </r>
  <r>
    <n v="1890"/>
    <n v="34"/>
    <s v="Masculino"/>
    <s v="Pintura"/>
    <s v="Operador"/>
    <s v="3º Turno"/>
    <x v="0"/>
    <s v="Não"/>
    <x v="2"/>
    <d v="2026-02-23T00:00:00"/>
    <d v="2026-02-01T00:00:00"/>
    <s v="seg"/>
    <x v="3"/>
    <x v="0"/>
    <m/>
    <s v="189046076"/>
  </r>
  <r>
    <n v="1890"/>
    <n v="34"/>
    <s v="Masculino"/>
    <s v="Pintura"/>
    <s v="Operador"/>
    <s v="3º Turno"/>
    <x v="0"/>
    <s v="Não"/>
    <x v="2"/>
    <d v="2026-03-26T00:00:00"/>
    <d v="2026-03-01T00:00:00"/>
    <s v="qui"/>
    <x v="4"/>
    <x v="0"/>
    <m/>
    <s v="189046107"/>
  </r>
  <r>
    <n v="1890"/>
    <n v="34"/>
    <s v="Masculino"/>
    <s v="Pintura"/>
    <s v="Operador"/>
    <s v="3º Turno"/>
    <x v="0"/>
    <s v="Não"/>
    <x v="2"/>
    <d v="2026-04-24T00:00:00"/>
    <d v="2026-04-01T00:00:00"/>
    <s v="sex"/>
    <x v="2"/>
    <x v="0"/>
    <m/>
    <s v="189046136"/>
  </r>
  <r>
    <n v="1893"/>
    <n v="44"/>
    <s v="Masculino"/>
    <s v="Logistica"/>
    <s v="Operador"/>
    <s v="2º Turno"/>
    <x v="0"/>
    <s v="Não"/>
    <x v="0"/>
    <d v="2025-07-23T00:00:00"/>
    <d v="2025-07-01T00:00:00"/>
    <s v="qua"/>
    <x v="6"/>
    <x v="1"/>
    <m/>
    <s v="189345861"/>
  </r>
  <r>
    <n v="1893"/>
    <n v="44"/>
    <s v="Masculino"/>
    <s v="Logistica"/>
    <s v="Operador"/>
    <s v="2º Turno"/>
    <x v="0"/>
    <s v="Não"/>
    <x v="0"/>
    <d v="2025-10-25T00:00:00"/>
    <d v="2025-10-01T00:00:00"/>
    <s v="sáb"/>
    <x v="11"/>
    <x v="1"/>
    <m/>
    <s v="189345955"/>
  </r>
  <r>
    <n v="1893"/>
    <n v="44"/>
    <s v="Masculino"/>
    <s v="Logistica"/>
    <s v="Operador"/>
    <s v="2º Turno"/>
    <x v="0"/>
    <s v="Não"/>
    <x v="0"/>
    <d v="2025-11-20T00:00:00"/>
    <d v="2025-11-01T00:00:00"/>
    <s v="qui"/>
    <x v="10"/>
    <x v="1"/>
    <m/>
    <s v="189345981"/>
  </r>
  <r>
    <n v="1893"/>
    <n v="44"/>
    <s v="Masculino"/>
    <s v="Logistica"/>
    <s v="Operador"/>
    <s v="2º Turno"/>
    <x v="0"/>
    <s v="Não"/>
    <x v="0"/>
    <d v="2026-03-07T00:00:00"/>
    <d v="2026-03-01T00:00:00"/>
    <s v="sáb"/>
    <x v="4"/>
    <x v="0"/>
    <m/>
    <s v="189346088"/>
  </r>
  <r>
    <n v="1893"/>
    <n v="44"/>
    <s v="Masculino"/>
    <s v="Logistica"/>
    <s v="Operador"/>
    <s v="2º Turno"/>
    <x v="0"/>
    <s v="Não"/>
    <x v="0"/>
    <d v="2026-03-30T00:00:00"/>
    <d v="2026-03-01T00:00:00"/>
    <s v="seg"/>
    <x v="4"/>
    <x v="0"/>
    <m/>
    <s v="189346111"/>
  </r>
  <r>
    <n v="1893"/>
    <n v="44"/>
    <s v="Masculino"/>
    <s v="Logistica"/>
    <s v="Operador"/>
    <s v="2º Turno"/>
    <x v="0"/>
    <s v="Não"/>
    <x v="0"/>
    <d v="2026-06-08T00:00:00"/>
    <d v="2026-06-01T00:00:00"/>
    <s v="seg"/>
    <x v="1"/>
    <x v="0"/>
    <m/>
    <s v="189346181"/>
  </r>
  <r>
    <n v="1894"/>
    <n v="51"/>
    <s v="Feminino"/>
    <s v="Montagem"/>
    <s v="Operador"/>
    <s v="1º Turno"/>
    <x v="0"/>
    <s v="Não"/>
    <x v="0"/>
    <d v="2025-07-02T00:00:00"/>
    <d v="2025-07-01T00:00:00"/>
    <s v="qua"/>
    <x v="6"/>
    <x v="1"/>
    <m/>
    <s v="189445840"/>
  </r>
  <r>
    <n v="1894"/>
    <n v="51"/>
    <s v="Feminino"/>
    <s v="Montagem"/>
    <s v="Operador"/>
    <s v="1º Turno"/>
    <x v="0"/>
    <s v="Não"/>
    <x v="0"/>
    <d v="2025-07-26T00:00:00"/>
    <d v="2025-07-01T00:00:00"/>
    <s v="sáb"/>
    <x v="6"/>
    <x v="1"/>
    <m/>
    <s v="189445864"/>
  </r>
  <r>
    <n v="1894"/>
    <n v="51"/>
    <s v="Feminino"/>
    <s v="Montagem"/>
    <s v="Operador"/>
    <s v="1º Turno"/>
    <x v="0"/>
    <s v="Não"/>
    <x v="0"/>
    <d v="2025-09-17T00:00:00"/>
    <d v="2025-09-01T00:00:00"/>
    <s v="qua"/>
    <x v="7"/>
    <x v="1"/>
    <m/>
    <s v="189445917"/>
  </r>
  <r>
    <n v="1894"/>
    <n v="51"/>
    <s v="Feminino"/>
    <s v="Montagem"/>
    <s v="Operador"/>
    <s v="1º Turno"/>
    <x v="0"/>
    <s v="Não"/>
    <x v="0"/>
    <d v="2025-09-22T00:00:00"/>
    <d v="2025-09-01T00:00:00"/>
    <s v="seg"/>
    <x v="7"/>
    <x v="1"/>
    <m/>
    <s v="189445922"/>
  </r>
  <r>
    <n v="1894"/>
    <n v="51"/>
    <s v="Feminino"/>
    <s v="Montagem"/>
    <s v="Operador"/>
    <s v="1º Turno"/>
    <x v="0"/>
    <s v="Não"/>
    <x v="0"/>
    <d v="2025-11-10T00:00:00"/>
    <d v="2025-11-01T00:00:00"/>
    <s v="seg"/>
    <x v="10"/>
    <x v="1"/>
    <m/>
    <s v="189445971"/>
  </r>
  <r>
    <n v="1894"/>
    <n v="51"/>
    <s v="Feminino"/>
    <s v="Montagem"/>
    <s v="Operador"/>
    <s v="1º Turno"/>
    <x v="0"/>
    <s v="Não"/>
    <x v="0"/>
    <d v="2026-06-10T00:00:00"/>
    <d v="2026-01-01T00:00:00"/>
    <s v="qua"/>
    <x v="1"/>
    <x v="0"/>
    <m/>
    <s v="189446183"/>
  </r>
  <r>
    <n v="1895"/>
    <n v="47"/>
    <s v="Masculino"/>
    <s v="Pintura"/>
    <s v="Operador"/>
    <s v="1º Turno"/>
    <x v="0"/>
    <s v="Não"/>
    <x v="1"/>
    <d v="2025-06-11T00:00:00"/>
    <d v="2025-06-01T00:00:00"/>
    <s v="qua"/>
    <x v="1"/>
    <x v="1"/>
    <m/>
    <s v="189545819"/>
  </r>
  <r>
    <n v="1895"/>
    <n v="47"/>
    <s v="Masculino"/>
    <s v="Pintura"/>
    <s v="Operador"/>
    <s v="1º Turno"/>
    <x v="0"/>
    <s v="Não"/>
    <x v="1"/>
    <d v="2025-08-01T00:00:00"/>
    <d v="2025-08-01T00:00:00"/>
    <s v="sex"/>
    <x v="9"/>
    <x v="1"/>
    <m/>
    <s v="189545870"/>
  </r>
  <r>
    <n v="1895"/>
    <n v="47"/>
    <s v="Masculino"/>
    <s v="Pintura"/>
    <s v="Operador"/>
    <s v="1º Turno"/>
    <x v="0"/>
    <s v="Não"/>
    <x v="1"/>
    <d v="2025-09-07T00:00:00"/>
    <d v="2025-09-01T00:00:00"/>
    <s v="dom"/>
    <x v="7"/>
    <x v="1"/>
    <m/>
    <s v="189545907"/>
  </r>
  <r>
    <n v="1895"/>
    <n v="47"/>
    <s v="Masculino"/>
    <s v="Pintura"/>
    <s v="Operador"/>
    <s v="1º Turno"/>
    <x v="0"/>
    <s v="Não"/>
    <x v="1"/>
    <d v="2025-10-05T00:00:00"/>
    <d v="2025-10-01T00:00:00"/>
    <s v="dom"/>
    <x v="11"/>
    <x v="1"/>
    <m/>
    <s v="189545935"/>
  </r>
  <r>
    <n v="1895"/>
    <n v="47"/>
    <s v="Masculino"/>
    <s v="Pintura"/>
    <s v="Operador"/>
    <s v="1º Turno"/>
    <x v="0"/>
    <s v="Não"/>
    <x v="1"/>
    <d v="2026-02-27T00:00:00"/>
    <d v="2026-02-01T00:00:00"/>
    <s v="sex"/>
    <x v="3"/>
    <x v="0"/>
    <m/>
    <s v="189546080"/>
  </r>
  <r>
    <n v="1895"/>
    <n v="47"/>
    <s v="Masculino"/>
    <s v="Pintura"/>
    <s v="Operador"/>
    <s v="1º Turno"/>
    <x v="0"/>
    <s v="Não"/>
    <x v="1"/>
    <d v="2026-02-28T00:00:00"/>
    <d v="2026-02-01T00:00:00"/>
    <s v="sáb"/>
    <x v="3"/>
    <x v="0"/>
    <m/>
    <s v="189546081"/>
  </r>
  <r>
    <n v="1897"/>
    <n v="32"/>
    <s v="Feminino"/>
    <s v="Montagem"/>
    <s v="Operador"/>
    <s v="2º Turno"/>
    <x v="0"/>
    <s v="Não"/>
    <x v="0"/>
    <d v="2025-06-12T00:00:00"/>
    <d v="2025-06-01T00:00:00"/>
    <s v="qui"/>
    <x v="1"/>
    <x v="1"/>
    <m/>
    <s v="189745820"/>
  </r>
  <r>
    <n v="1897"/>
    <n v="32"/>
    <s v="Feminino"/>
    <s v="Montagem"/>
    <s v="Operador"/>
    <s v="2º Turno"/>
    <x v="0"/>
    <s v="Não"/>
    <x v="0"/>
    <d v="2025-07-27T00:00:00"/>
    <d v="2025-07-01T00:00:00"/>
    <s v="dom"/>
    <x v="6"/>
    <x v="1"/>
    <m/>
    <s v="189745865"/>
  </r>
  <r>
    <n v="1897"/>
    <n v="32"/>
    <s v="Feminino"/>
    <s v="Montagem"/>
    <s v="Operador"/>
    <s v="2º Turno"/>
    <x v="0"/>
    <s v="Não"/>
    <x v="0"/>
    <d v="2025-08-18T00:00:00"/>
    <d v="2025-08-01T00:00:00"/>
    <s v="seg"/>
    <x v="9"/>
    <x v="1"/>
    <m/>
    <s v="189745887"/>
  </r>
  <r>
    <n v="1897"/>
    <n v="32"/>
    <s v="Feminino"/>
    <s v="Montagem"/>
    <s v="Operador"/>
    <s v="2º Turno"/>
    <x v="0"/>
    <s v="Não"/>
    <x v="0"/>
    <d v="2025-11-09T00:00:00"/>
    <d v="2025-11-01T00:00:00"/>
    <s v="dom"/>
    <x v="10"/>
    <x v="1"/>
    <m/>
    <s v="189745970"/>
  </r>
  <r>
    <n v="1897"/>
    <n v="32"/>
    <s v="Feminino"/>
    <s v="Montagem"/>
    <s v="Operador"/>
    <s v="2º Turno"/>
    <x v="0"/>
    <s v="Não"/>
    <x v="0"/>
    <d v="2025-12-30T00:00:00"/>
    <d v="2025-12-01T00:00:00"/>
    <s v="ter"/>
    <x v="8"/>
    <x v="1"/>
    <m/>
    <s v="189746021"/>
  </r>
  <r>
    <n v="1897"/>
    <n v="32"/>
    <s v="Feminino"/>
    <s v="Montagem"/>
    <s v="Operador"/>
    <s v="2º Turno"/>
    <x v="0"/>
    <s v="Não"/>
    <x v="0"/>
    <d v="2026-03-03T00:00:00"/>
    <d v="2026-03-01T00:00:00"/>
    <s v="ter"/>
    <x v="4"/>
    <x v="0"/>
    <m/>
    <s v="189746084"/>
  </r>
  <r>
    <n v="1898"/>
    <n v="56"/>
    <s v="Masculino"/>
    <s v="Pintura"/>
    <s v="Operador"/>
    <s v="3º Turno"/>
    <x v="0"/>
    <s v="Não"/>
    <x v="1"/>
    <d v="2025-06-03T00:00:00"/>
    <d v="2025-06-01T00:00:00"/>
    <s v="ter"/>
    <x v="1"/>
    <x v="1"/>
    <m/>
    <s v="189845811"/>
  </r>
  <r>
    <n v="1898"/>
    <n v="56"/>
    <s v="Masculino"/>
    <s v="Pintura"/>
    <s v="Operador"/>
    <s v="3º Turno"/>
    <x v="0"/>
    <s v="Não"/>
    <x v="1"/>
    <d v="2025-08-20T00:00:00"/>
    <d v="2025-08-01T00:00:00"/>
    <s v="qua"/>
    <x v="9"/>
    <x v="1"/>
    <m/>
    <s v="189845889"/>
  </r>
  <r>
    <n v="1898"/>
    <n v="56"/>
    <s v="Masculino"/>
    <s v="Pintura"/>
    <s v="Operador"/>
    <s v="3º Turno"/>
    <x v="0"/>
    <s v="Não"/>
    <x v="1"/>
    <d v="2026-06-26T00:00:00"/>
    <d v="2026-01-01T00:00:00"/>
    <s v="sex"/>
    <x v="1"/>
    <x v="0"/>
    <m/>
    <s v="189846199"/>
  </r>
  <r>
    <n v="1899"/>
    <n v="37"/>
    <s v="Masculino"/>
    <s v="Soldagem"/>
    <s v="Operador"/>
    <s v="1º Turno"/>
    <x v="0"/>
    <s v="Não"/>
    <x v="0"/>
    <d v="2025-07-11T00:00:00"/>
    <d v="2025-07-01T00:00:00"/>
    <s v="sex"/>
    <x v="6"/>
    <x v="1"/>
    <m/>
    <s v="189945849"/>
  </r>
  <r>
    <n v="1899"/>
    <n v="37"/>
    <s v="Masculino"/>
    <s v="Soldagem"/>
    <s v="Operador"/>
    <s v="1º Turno"/>
    <x v="0"/>
    <s v="Não"/>
    <x v="0"/>
    <d v="2025-08-21T00:00:00"/>
    <d v="2025-08-01T00:00:00"/>
    <s v="qui"/>
    <x v="9"/>
    <x v="1"/>
    <m/>
    <s v="189945890"/>
  </r>
  <r>
    <n v="1899"/>
    <n v="37"/>
    <s v="Masculino"/>
    <s v="Soldagem"/>
    <s v="Operador"/>
    <s v="1º Turno"/>
    <x v="0"/>
    <s v="Não"/>
    <x v="0"/>
    <d v="2025-11-21T00:00:00"/>
    <d v="2025-11-01T00:00:00"/>
    <s v="sex"/>
    <x v="10"/>
    <x v="1"/>
    <m/>
    <s v="189945982"/>
  </r>
  <r>
    <n v="1899"/>
    <n v="37"/>
    <s v="Masculino"/>
    <s v="Soldagem"/>
    <s v="Operador"/>
    <s v="1º Turno"/>
    <x v="0"/>
    <s v="Não"/>
    <x v="0"/>
    <d v="2025-11-30T00:00:00"/>
    <d v="2025-11-01T00:00:00"/>
    <s v="dom"/>
    <x v="10"/>
    <x v="1"/>
    <m/>
    <s v="189945991"/>
  </r>
  <r>
    <n v="1899"/>
    <n v="37"/>
    <s v="Masculino"/>
    <s v="Soldagem"/>
    <s v="Operador"/>
    <s v="1º Turno"/>
    <x v="0"/>
    <s v="Não"/>
    <x v="0"/>
    <d v="2026-03-12T00:00:00"/>
    <d v="2026-03-01T00:00:00"/>
    <s v="qui"/>
    <x v="4"/>
    <x v="0"/>
    <m/>
    <s v="189946093"/>
  </r>
  <r>
    <n v="1900"/>
    <n v="39"/>
    <s v="Masculino"/>
    <s v="Pintura"/>
    <s v="Operador"/>
    <s v="2º Turno"/>
    <x v="0"/>
    <s v="Não"/>
    <x v="1"/>
    <d v="2025-08-23T00:00:00"/>
    <d v="2025-08-01T00:00:00"/>
    <s v="sáb"/>
    <x v="9"/>
    <x v="1"/>
    <m/>
    <s v="190045892"/>
  </r>
  <r>
    <n v="1900"/>
    <n v="39"/>
    <s v="Masculino"/>
    <s v="Pintura"/>
    <s v="Operador"/>
    <s v="2º Turno"/>
    <x v="0"/>
    <s v="Não"/>
    <x v="1"/>
    <d v="2025-08-28T00:00:00"/>
    <d v="2025-08-01T00:00:00"/>
    <s v="qui"/>
    <x v="9"/>
    <x v="1"/>
    <m/>
    <s v="190045897"/>
  </r>
  <r>
    <n v="1900"/>
    <n v="39"/>
    <s v="Masculino"/>
    <s v="Pintura"/>
    <s v="Operador"/>
    <s v="2º Turno"/>
    <x v="0"/>
    <s v="Não"/>
    <x v="1"/>
    <d v="2025-09-30T00:00:00"/>
    <d v="2025-09-01T00:00:00"/>
    <s v="ter"/>
    <x v="7"/>
    <x v="1"/>
    <m/>
    <s v="190045930"/>
  </r>
  <r>
    <n v="1900"/>
    <n v="39"/>
    <s v="Masculino"/>
    <s v="Pintura"/>
    <s v="Operador"/>
    <s v="2º Turno"/>
    <x v="0"/>
    <s v="Não"/>
    <x v="1"/>
    <d v="2026-06-25T00:00:00"/>
    <d v="2026-01-01T00:00:00"/>
    <s v="qui"/>
    <x v="1"/>
    <x v="0"/>
    <m/>
    <s v="190046198"/>
  </r>
  <r>
    <n v="1900"/>
    <n v="39"/>
    <s v="Masculino"/>
    <s v="Pintura"/>
    <s v="Operador"/>
    <s v="2º Turno"/>
    <x v="0"/>
    <s v="Não"/>
    <x v="1"/>
    <d v="2026-02-17T00:00:00"/>
    <d v="2026-02-01T00:00:00"/>
    <s v="ter"/>
    <x v="3"/>
    <x v="0"/>
    <m/>
    <s v="190046070"/>
  </r>
  <r>
    <n v="1901"/>
    <n v="58"/>
    <s v="Feminino"/>
    <s v="Montagem"/>
    <s v="Operador"/>
    <s v="2º Turno"/>
    <x v="0"/>
    <s v="Não"/>
    <x v="1"/>
    <d v="2025-11-09T00:00:00"/>
    <d v="2025-11-01T00:00:00"/>
    <s v="dom"/>
    <x v="10"/>
    <x v="1"/>
    <m/>
    <s v="190145970"/>
  </r>
  <r>
    <n v="1901"/>
    <n v="58"/>
    <s v="Feminino"/>
    <s v="Montagem"/>
    <s v="Operador"/>
    <s v="2º Turno"/>
    <x v="0"/>
    <s v="Não"/>
    <x v="1"/>
    <d v="2025-11-22T00:00:00"/>
    <d v="2025-11-01T00:00:00"/>
    <s v="sáb"/>
    <x v="10"/>
    <x v="1"/>
    <m/>
    <s v="190145983"/>
  </r>
  <r>
    <n v="1901"/>
    <n v="58"/>
    <s v="Feminino"/>
    <s v="Montagem"/>
    <s v="Operador"/>
    <s v="2º Turno"/>
    <x v="0"/>
    <s v="Não"/>
    <x v="1"/>
    <d v="2025-11-27T00:00:00"/>
    <d v="2025-11-01T00:00:00"/>
    <s v="qui"/>
    <x v="10"/>
    <x v="1"/>
    <m/>
    <s v="190145988"/>
  </r>
  <r>
    <n v="1901"/>
    <n v="58"/>
    <s v="Feminino"/>
    <s v="Montagem"/>
    <s v="Operador"/>
    <s v="2º Turno"/>
    <x v="0"/>
    <s v="Não"/>
    <x v="1"/>
    <d v="2026-06-28T00:00:00"/>
    <d v="2026-01-01T00:00:00"/>
    <s v="dom"/>
    <x v="1"/>
    <x v="0"/>
    <m/>
    <s v="190146201"/>
  </r>
  <r>
    <n v="1901"/>
    <n v="58"/>
    <s v="Feminino"/>
    <s v="Montagem"/>
    <s v="Operador"/>
    <s v="2º Turno"/>
    <x v="0"/>
    <s v="Não"/>
    <x v="1"/>
    <d v="2026-03-03T00:00:00"/>
    <d v="2026-03-01T00:00:00"/>
    <s v="ter"/>
    <x v="4"/>
    <x v="0"/>
    <m/>
    <s v="190146084"/>
  </r>
  <r>
    <n v="1901"/>
    <n v="58"/>
    <s v="Feminino"/>
    <s v="Montagem"/>
    <s v="Operador"/>
    <s v="2º Turno"/>
    <x v="0"/>
    <s v="Não"/>
    <x v="1"/>
    <d v="2026-03-15T00:00:00"/>
    <d v="2026-03-01T00:00:00"/>
    <s v="dom"/>
    <x v="4"/>
    <x v="0"/>
    <m/>
    <s v="190146096"/>
  </r>
  <r>
    <n v="1902"/>
    <n v="23"/>
    <s v="Feminino"/>
    <s v="Montagem"/>
    <s v="Operador"/>
    <s v="3º Turno"/>
    <x v="0"/>
    <s v="Não"/>
    <x v="0"/>
    <d v="2025-07-02T00:00:00"/>
    <d v="2025-07-01T00:00:00"/>
    <s v="qua"/>
    <x v="6"/>
    <x v="1"/>
    <m/>
    <s v="190245840"/>
  </r>
  <r>
    <n v="1902"/>
    <n v="23"/>
    <s v="Feminino"/>
    <s v="Montagem"/>
    <s v="Operador"/>
    <s v="3º Turno"/>
    <x v="0"/>
    <s v="Não"/>
    <x v="0"/>
    <d v="2025-10-14T00:00:00"/>
    <d v="2025-10-01T00:00:00"/>
    <s v="ter"/>
    <x v="11"/>
    <x v="1"/>
    <m/>
    <s v="190245944"/>
  </r>
  <r>
    <n v="1902"/>
    <n v="23"/>
    <s v="Feminino"/>
    <s v="Montagem"/>
    <s v="Operador"/>
    <s v="3º Turno"/>
    <x v="0"/>
    <s v="Não"/>
    <x v="0"/>
    <d v="2025-11-24T00:00:00"/>
    <d v="2025-11-01T00:00:00"/>
    <s v="seg"/>
    <x v="10"/>
    <x v="1"/>
    <m/>
    <s v="190245985"/>
  </r>
  <r>
    <n v="1902"/>
    <n v="23"/>
    <s v="Feminino"/>
    <s v="Montagem"/>
    <s v="Operador"/>
    <s v="3º Turno"/>
    <x v="0"/>
    <s v="Não"/>
    <x v="0"/>
    <d v="2025-12-02T00:00:00"/>
    <d v="2025-12-01T00:00:00"/>
    <s v="ter"/>
    <x v="8"/>
    <x v="1"/>
    <m/>
    <s v="190245993"/>
  </r>
  <r>
    <n v="1902"/>
    <n v="23"/>
    <s v="Feminino"/>
    <s v="Montagem"/>
    <s v="Operador"/>
    <s v="3º Turno"/>
    <x v="0"/>
    <s v="Não"/>
    <x v="0"/>
    <d v="2026-02-13T00:00:00"/>
    <d v="2026-02-01T00:00:00"/>
    <s v="sex"/>
    <x v="3"/>
    <x v="0"/>
    <m/>
    <s v="190246066"/>
  </r>
  <r>
    <n v="1904"/>
    <n v="40"/>
    <s v="Masculino"/>
    <s v="Pintura"/>
    <s v="Operador"/>
    <s v="1º Turno"/>
    <x v="0"/>
    <s v="Não"/>
    <x v="2"/>
    <d v="2025-07-11T00:00:00"/>
    <d v="2025-07-01T00:00:00"/>
    <s v="sex"/>
    <x v="6"/>
    <x v="1"/>
    <m/>
    <s v="190445849"/>
  </r>
  <r>
    <n v="1904"/>
    <n v="40"/>
    <s v="Masculino"/>
    <s v="Pintura"/>
    <s v="Operador"/>
    <s v="1º Turno"/>
    <x v="0"/>
    <s v="Não"/>
    <x v="2"/>
    <d v="2025-10-10T00:00:00"/>
    <d v="2025-10-01T00:00:00"/>
    <s v="sex"/>
    <x v="11"/>
    <x v="1"/>
    <m/>
    <s v="190445940"/>
  </r>
  <r>
    <n v="1904"/>
    <n v="40"/>
    <s v="Masculino"/>
    <s v="Pintura"/>
    <s v="Operador"/>
    <s v="1º Turno"/>
    <x v="0"/>
    <s v="Não"/>
    <x v="2"/>
    <d v="2026-06-20T00:00:00"/>
    <d v="2026-01-01T00:00:00"/>
    <s v="sáb"/>
    <x v="1"/>
    <x v="0"/>
    <m/>
    <s v="190446193"/>
  </r>
  <r>
    <n v="1904"/>
    <n v="40"/>
    <s v="Masculino"/>
    <s v="Pintura"/>
    <s v="Operador"/>
    <s v="1º Turno"/>
    <x v="0"/>
    <s v="Não"/>
    <x v="2"/>
    <d v="2026-06-26T00:00:00"/>
    <d v="2026-01-01T00:00:00"/>
    <s v="sex"/>
    <x v="1"/>
    <x v="0"/>
    <m/>
    <s v="190446199"/>
  </r>
  <r>
    <n v="1905"/>
    <n v="57"/>
    <s v="Masculino"/>
    <s v="Soldagem"/>
    <s v="Operador"/>
    <s v="3º Turno"/>
    <x v="0"/>
    <s v="Não"/>
    <x v="0"/>
    <d v="2025-06-08T00:00:00"/>
    <d v="2025-06-01T00:00:00"/>
    <s v="dom"/>
    <x v="1"/>
    <x v="1"/>
    <m/>
    <s v="190545816"/>
  </r>
  <r>
    <n v="1905"/>
    <n v="57"/>
    <s v="Masculino"/>
    <s v="Soldagem"/>
    <s v="Operador"/>
    <s v="3º Turno"/>
    <x v="0"/>
    <s v="Não"/>
    <x v="0"/>
    <d v="2025-10-21T00:00:00"/>
    <d v="2025-10-01T00:00:00"/>
    <s v="ter"/>
    <x v="11"/>
    <x v="1"/>
    <m/>
    <s v="190545951"/>
  </r>
  <r>
    <n v="1905"/>
    <n v="57"/>
    <s v="Masculino"/>
    <s v="Soldagem"/>
    <s v="Operador"/>
    <s v="3º Turno"/>
    <x v="0"/>
    <s v="Não"/>
    <x v="0"/>
    <d v="2025-11-07T00:00:00"/>
    <d v="2025-11-01T00:00:00"/>
    <s v="sex"/>
    <x v="10"/>
    <x v="1"/>
    <m/>
    <s v="190545968"/>
  </r>
  <r>
    <n v="1905"/>
    <n v="57"/>
    <s v="Masculino"/>
    <s v="Soldagem"/>
    <s v="Operador"/>
    <s v="3º Turno"/>
    <x v="0"/>
    <s v="Não"/>
    <x v="0"/>
    <d v="2026-06-17T00:00:00"/>
    <d v="2026-01-01T00:00:00"/>
    <s v="qua"/>
    <x v="1"/>
    <x v="0"/>
    <m/>
    <s v="190546190"/>
  </r>
  <r>
    <n v="1905"/>
    <n v="57"/>
    <s v="Masculino"/>
    <s v="Soldagem"/>
    <s v="Operador"/>
    <s v="3º Turno"/>
    <x v="0"/>
    <s v="Não"/>
    <x v="0"/>
    <d v="2026-06-25T00:00:00"/>
    <d v="2026-01-01T00:00:00"/>
    <s v="qui"/>
    <x v="1"/>
    <x v="0"/>
    <m/>
    <s v="190546198"/>
  </r>
  <r>
    <n v="1906"/>
    <n v="47"/>
    <s v="Masculino"/>
    <s v="Montagem"/>
    <s v="Operador"/>
    <s v="2º Turno"/>
    <x v="0"/>
    <s v="Não"/>
    <x v="1"/>
    <d v="2025-06-05T00:00:00"/>
    <d v="2025-06-01T00:00:00"/>
    <s v="qui"/>
    <x v="1"/>
    <x v="1"/>
    <m/>
    <s v="190645813"/>
  </r>
  <r>
    <n v="1906"/>
    <n v="47"/>
    <s v="Masculino"/>
    <s v="Montagem"/>
    <s v="Operador"/>
    <s v="2º Turno"/>
    <x v="0"/>
    <s v="Não"/>
    <x v="1"/>
    <d v="2025-09-19T00:00:00"/>
    <d v="2025-09-01T00:00:00"/>
    <s v="sex"/>
    <x v="7"/>
    <x v="1"/>
    <m/>
    <s v="190645919"/>
  </r>
  <r>
    <n v="1906"/>
    <n v="47"/>
    <s v="Masculino"/>
    <s v="Montagem"/>
    <s v="Operador"/>
    <s v="2º Turno"/>
    <x v="0"/>
    <s v="Não"/>
    <x v="1"/>
    <d v="2025-11-17T00:00:00"/>
    <d v="2025-11-01T00:00:00"/>
    <s v="seg"/>
    <x v="10"/>
    <x v="1"/>
    <m/>
    <s v="190645978"/>
  </r>
  <r>
    <n v="1906"/>
    <n v="47"/>
    <s v="Masculino"/>
    <s v="Montagem"/>
    <s v="Operador"/>
    <s v="2º Turno"/>
    <x v="0"/>
    <s v="Não"/>
    <x v="1"/>
    <d v="2026-03-10T00:00:00"/>
    <d v="2026-03-01T00:00:00"/>
    <s v="ter"/>
    <x v="4"/>
    <x v="0"/>
    <m/>
    <s v="190646091"/>
  </r>
  <r>
    <n v="1906"/>
    <n v="47"/>
    <s v="Masculino"/>
    <s v="Montagem"/>
    <s v="Operador"/>
    <s v="2º Turno"/>
    <x v="0"/>
    <s v="Não"/>
    <x v="1"/>
    <d v="2026-03-15T00:00:00"/>
    <d v="2026-03-01T00:00:00"/>
    <s v="dom"/>
    <x v="4"/>
    <x v="0"/>
    <m/>
    <s v="190646096"/>
  </r>
  <r>
    <n v="1907"/>
    <n v="42"/>
    <s v="Masculino"/>
    <s v="Qualidade"/>
    <s v="Analista"/>
    <s v="3º Turno"/>
    <x v="0"/>
    <s v="Não"/>
    <x v="2"/>
    <d v="2025-06-02T00:00:00"/>
    <d v="2025-06-01T00:00:00"/>
    <s v="seg"/>
    <x v="1"/>
    <x v="1"/>
    <m/>
    <s v="190745810"/>
  </r>
  <r>
    <n v="1907"/>
    <n v="42"/>
    <s v="Masculino"/>
    <s v="Qualidade"/>
    <s v="Analista"/>
    <s v="3º Turno"/>
    <x v="0"/>
    <s v="Não"/>
    <x v="2"/>
    <d v="2025-08-11T00:00:00"/>
    <d v="2025-08-01T00:00:00"/>
    <s v="seg"/>
    <x v="9"/>
    <x v="1"/>
    <m/>
    <s v="190745880"/>
  </r>
  <r>
    <n v="1907"/>
    <n v="42"/>
    <s v="Masculino"/>
    <s v="Qualidade"/>
    <s v="Analista"/>
    <s v="3º Turno"/>
    <x v="0"/>
    <s v="Não"/>
    <x v="2"/>
    <d v="2026-06-15T00:00:00"/>
    <d v="2026-01-01T00:00:00"/>
    <s v="seg"/>
    <x v="1"/>
    <x v="0"/>
    <m/>
    <s v="190746188"/>
  </r>
  <r>
    <n v="1907"/>
    <n v="42"/>
    <s v="Masculino"/>
    <s v="Qualidade"/>
    <s v="Analista"/>
    <s v="3º Turno"/>
    <x v="0"/>
    <s v="Não"/>
    <x v="2"/>
    <d v="2026-06-18T00:00:00"/>
    <d v="2026-01-01T00:00:00"/>
    <s v="qui"/>
    <x v="1"/>
    <x v="0"/>
    <m/>
    <s v="190746191"/>
  </r>
  <r>
    <n v="1907"/>
    <n v="42"/>
    <s v="Masculino"/>
    <s v="Qualidade"/>
    <s v="Analista"/>
    <s v="3º Turno"/>
    <x v="0"/>
    <s v="Não"/>
    <x v="2"/>
    <d v="2026-02-03T00:00:00"/>
    <d v="2026-02-01T00:00:00"/>
    <s v="ter"/>
    <x v="3"/>
    <x v="0"/>
    <m/>
    <s v="190746056"/>
  </r>
  <r>
    <n v="1908"/>
    <n v="54"/>
    <s v="Masculino"/>
    <s v="Montagem"/>
    <s v="Operador"/>
    <s v="2º Turno"/>
    <x v="0"/>
    <s v="Não"/>
    <x v="0"/>
    <d v="2025-06-12T00:00:00"/>
    <d v="2025-06-01T00:00:00"/>
    <s v="qui"/>
    <x v="1"/>
    <x v="1"/>
    <m/>
    <s v="190845820"/>
  </r>
  <r>
    <n v="1908"/>
    <n v="54"/>
    <s v="Masculino"/>
    <s v="Montagem"/>
    <s v="Operador"/>
    <s v="2º Turno"/>
    <x v="0"/>
    <s v="Não"/>
    <x v="0"/>
    <d v="2025-07-20T00:00:00"/>
    <d v="2025-07-01T00:00:00"/>
    <s v="dom"/>
    <x v="6"/>
    <x v="1"/>
    <m/>
    <s v="190845858"/>
  </r>
  <r>
    <n v="1908"/>
    <n v="54"/>
    <s v="Masculino"/>
    <s v="Montagem"/>
    <s v="Operador"/>
    <s v="2º Turno"/>
    <x v="0"/>
    <s v="Não"/>
    <x v="0"/>
    <d v="2025-07-24T00:00:00"/>
    <d v="2025-07-01T00:00:00"/>
    <s v="qui"/>
    <x v="6"/>
    <x v="1"/>
    <m/>
    <s v="190845862"/>
  </r>
  <r>
    <n v="1908"/>
    <n v="54"/>
    <s v="Masculino"/>
    <s v="Montagem"/>
    <s v="Operador"/>
    <s v="2º Turno"/>
    <x v="0"/>
    <s v="Não"/>
    <x v="0"/>
    <d v="2025-11-09T00:00:00"/>
    <d v="2025-11-01T00:00:00"/>
    <s v="dom"/>
    <x v="10"/>
    <x v="1"/>
    <m/>
    <s v="190845970"/>
  </r>
  <r>
    <n v="1909"/>
    <n v="45"/>
    <s v="Masculino"/>
    <s v="Soldagem"/>
    <s v="Operador"/>
    <s v="1º Turno"/>
    <x v="0"/>
    <s v="Não"/>
    <x v="1"/>
    <d v="2025-06-07T00:00:00"/>
    <d v="2025-06-01T00:00:00"/>
    <s v="sáb"/>
    <x v="1"/>
    <x v="1"/>
    <m/>
    <s v="190945815"/>
  </r>
  <r>
    <n v="1909"/>
    <n v="45"/>
    <s v="Masculino"/>
    <s v="Soldagem"/>
    <s v="Operador"/>
    <s v="1º Turno"/>
    <x v="0"/>
    <s v="Não"/>
    <x v="1"/>
    <d v="2025-07-12T00:00:00"/>
    <d v="2025-07-01T00:00:00"/>
    <s v="sáb"/>
    <x v="6"/>
    <x v="1"/>
    <m/>
    <s v="190945850"/>
  </r>
  <r>
    <n v="1909"/>
    <n v="45"/>
    <s v="Masculino"/>
    <s v="Soldagem"/>
    <s v="Operador"/>
    <s v="1º Turno"/>
    <x v="0"/>
    <s v="Não"/>
    <x v="1"/>
    <d v="2025-11-10T00:00:00"/>
    <d v="2025-11-01T00:00:00"/>
    <s v="seg"/>
    <x v="10"/>
    <x v="1"/>
    <m/>
    <s v="190945971"/>
  </r>
  <r>
    <n v="1909"/>
    <n v="45"/>
    <s v="Masculino"/>
    <s v="Soldagem"/>
    <s v="Operador"/>
    <s v="1º Turno"/>
    <x v="0"/>
    <s v="Não"/>
    <x v="1"/>
    <d v="2025-12-16T00:00:00"/>
    <d v="2025-12-01T00:00:00"/>
    <s v="ter"/>
    <x v="8"/>
    <x v="1"/>
    <m/>
    <s v="190946007"/>
  </r>
  <r>
    <n v="1909"/>
    <n v="45"/>
    <s v="Masculino"/>
    <s v="Soldagem"/>
    <s v="Operador"/>
    <s v="1º Turno"/>
    <x v="0"/>
    <s v="Não"/>
    <x v="1"/>
    <d v="2026-06-18T00:00:00"/>
    <d v="2026-01-01T00:00:00"/>
    <s v="qui"/>
    <x v="1"/>
    <x v="0"/>
    <m/>
    <s v="190946191"/>
  </r>
  <r>
    <n v="1909"/>
    <n v="45"/>
    <s v="Masculino"/>
    <s v="Soldagem"/>
    <s v="Operador"/>
    <s v="1º Turno"/>
    <x v="0"/>
    <s v="Não"/>
    <x v="1"/>
    <d v="2026-03-13T00:00:00"/>
    <d v="2026-03-01T00:00:00"/>
    <s v="sex"/>
    <x v="4"/>
    <x v="0"/>
    <m/>
    <s v="190946094"/>
  </r>
  <r>
    <n v="1911"/>
    <n v="52"/>
    <s v="Masculino"/>
    <s v="Logistica"/>
    <s v="Operador"/>
    <s v="2º Turno"/>
    <x v="0"/>
    <s v="Não"/>
    <x v="0"/>
    <d v="2025-07-09T00:00:00"/>
    <d v="2025-07-01T00:00:00"/>
    <s v="qua"/>
    <x v="6"/>
    <x v="1"/>
    <m/>
    <s v="191145847"/>
  </r>
  <r>
    <n v="1911"/>
    <n v="52"/>
    <s v="Masculino"/>
    <s v="Logistica"/>
    <s v="Operador"/>
    <s v="2º Turno"/>
    <x v="0"/>
    <s v="Não"/>
    <x v="0"/>
    <d v="2025-08-09T00:00:00"/>
    <d v="2025-08-01T00:00:00"/>
    <s v="sáb"/>
    <x v="9"/>
    <x v="1"/>
    <m/>
    <s v="191145878"/>
  </r>
  <r>
    <n v="1911"/>
    <n v="52"/>
    <s v="Masculino"/>
    <s v="Logistica"/>
    <s v="Operador"/>
    <s v="2º Turno"/>
    <x v="0"/>
    <s v="Não"/>
    <x v="0"/>
    <d v="2025-09-27T00:00:00"/>
    <d v="2025-09-01T00:00:00"/>
    <s v="sáb"/>
    <x v="7"/>
    <x v="1"/>
    <m/>
    <s v="191145927"/>
  </r>
  <r>
    <n v="1911"/>
    <n v="52"/>
    <s v="Masculino"/>
    <s v="Logistica"/>
    <s v="Operador"/>
    <s v="2º Turno"/>
    <x v="0"/>
    <s v="Não"/>
    <x v="0"/>
    <d v="2025-10-29T00:00:00"/>
    <d v="2025-10-01T00:00:00"/>
    <s v="qua"/>
    <x v="11"/>
    <x v="1"/>
    <m/>
    <s v="191145959"/>
  </r>
  <r>
    <n v="1911"/>
    <n v="52"/>
    <s v="Masculino"/>
    <s v="Logistica"/>
    <s v="Operador"/>
    <s v="2º Turno"/>
    <x v="0"/>
    <s v="Não"/>
    <x v="0"/>
    <d v="2025-11-17T00:00:00"/>
    <d v="2025-11-01T00:00:00"/>
    <s v="seg"/>
    <x v="10"/>
    <x v="1"/>
    <m/>
    <s v="191145978"/>
  </r>
  <r>
    <n v="1911"/>
    <n v="52"/>
    <s v="Masculino"/>
    <s v="Logistica"/>
    <s v="Operador"/>
    <s v="2º Turno"/>
    <x v="0"/>
    <s v="Não"/>
    <x v="0"/>
    <d v="2026-03-03T00:00:00"/>
    <d v="2026-03-01T00:00:00"/>
    <s v="ter"/>
    <x v="4"/>
    <x v="0"/>
    <m/>
    <s v="191146084"/>
  </r>
  <r>
    <n v="1912"/>
    <n v="24"/>
    <s v="Masculino"/>
    <s v="Logistica"/>
    <s v="Operador"/>
    <s v="3º Turno"/>
    <x v="0"/>
    <s v="Não"/>
    <x v="1"/>
    <d v="2025-09-13T00:00:00"/>
    <d v="2025-09-01T00:00:00"/>
    <s v="sáb"/>
    <x v="7"/>
    <x v="1"/>
    <m/>
    <s v="191245913"/>
  </r>
  <r>
    <n v="1912"/>
    <n v="24"/>
    <s v="Masculino"/>
    <s v="Logistica"/>
    <s v="Operador"/>
    <s v="3º Turno"/>
    <x v="0"/>
    <s v="Não"/>
    <x v="1"/>
    <d v="2025-09-14T00:00:00"/>
    <d v="2025-09-01T00:00:00"/>
    <s v="dom"/>
    <x v="7"/>
    <x v="1"/>
    <m/>
    <s v="191245914"/>
  </r>
  <r>
    <n v="1912"/>
    <n v="24"/>
    <s v="Masculino"/>
    <s v="Logistica"/>
    <s v="Operador"/>
    <s v="3º Turno"/>
    <x v="0"/>
    <s v="Não"/>
    <x v="1"/>
    <d v="2025-10-17T00:00:00"/>
    <d v="2025-10-01T00:00:00"/>
    <s v="sex"/>
    <x v="11"/>
    <x v="1"/>
    <m/>
    <s v="191245947"/>
  </r>
  <r>
    <n v="1912"/>
    <n v="24"/>
    <s v="Masculino"/>
    <s v="Logistica"/>
    <s v="Operador"/>
    <s v="3º Turno"/>
    <x v="0"/>
    <s v="Não"/>
    <x v="1"/>
    <d v="2025-12-24T00:00:00"/>
    <d v="2025-12-01T00:00:00"/>
    <s v="qua"/>
    <x v="8"/>
    <x v="1"/>
    <m/>
    <s v="191246015"/>
  </r>
  <r>
    <n v="1912"/>
    <n v="24"/>
    <s v="Masculino"/>
    <s v="Logistica"/>
    <s v="Operador"/>
    <s v="3º Turno"/>
    <x v="0"/>
    <s v="Não"/>
    <x v="1"/>
    <d v="2026-02-03T00:00:00"/>
    <d v="2026-02-01T00:00:00"/>
    <s v="ter"/>
    <x v="3"/>
    <x v="0"/>
    <m/>
    <s v="191246056"/>
  </r>
  <r>
    <n v="1913"/>
    <n v="49"/>
    <s v="Feminino"/>
    <s v="Montagem"/>
    <s v="Operador"/>
    <s v="2º Turno"/>
    <x v="0"/>
    <s v="Não"/>
    <x v="1"/>
    <d v="2025-06-29T00:00:00"/>
    <d v="2025-06-01T00:00:00"/>
    <s v="dom"/>
    <x v="1"/>
    <x v="1"/>
    <m/>
    <s v="191345837"/>
  </r>
  <r>
    <n v="1913"/>
    <n v="49"/>
    <s v="Feminino"/>
    <s v="Montagem"/>
    <s v="Operador"/>
    <s v="2º Turno"/>
    <x v="0"/>
    <s v="Não"/>
    <x v="1"/>
    <d v="2025-07-13T00:00:00"/>
    <d v="2025-07-01T00:00:00"/>
    <s v="dom"/>
    <x v="6"/>
    <x v="1"/>
    <m/>
    <s v="191345851"/>
  </r>
  <r>
    <n v="1913"/>
    <n v="49"/>
    <s v="Feminino"/>
    <s v="Montagem"/>
    <s v="Operador"/>
    <s v="2º Turno"/>
    <x v="0"/>
    <s v="Não"/>
    <x v="1"/>
    <d v="2025-09-19T00:00:00"/>
    <d v="2025-09-01T00:00:00"/>
    <s v="sex"/>
    <x v="7"/>
    <x v="1"/>
    <m/>
    <s v="191345919"/>
  </r>
  <r>
    <n v="1913"/>
    <n v="49"/>
    <s v="Feminino"/>
    <s v="Montagem"/>
    <s v="Operador"/>
    <s v="2º Turno"/>
    <x v="0"/>
    <s v="Não"/>
    <x v="1"/>
    <d v="2025-12-15T00:00:00"/>
    <d v="2025-12-01T00:00:00"/>
    <s v="seg"/>
    <x v="8"/>
    <x v="1"/>
    <m/>
    <s v="191346006"/>
  </r>
  <r>
    <n v="1915"/>
    <n v="43"/>
    <s v="Masculino"/>
    <s v="Soldagem"/>
    <s v="Operador"/>
    <s v="3º Turno"/>
    <x v="0"/>
    <s v="Não"/>
    <x v="0"/>
    <d v="2025-08-20T00:00:00"/>
    <d v="2025-08-01T00:00:00"/>
    <s v="qua"/>
    <x v="9"/>
    <x v="1"/>
    <m/>
    <s v="191545889"/>
  </r>
  <r>
    <n v="1915"/>
    <n v="43"/>
    <s v="Masculino"/>
    <s v="Soldagem"/>
    <s v="Operador"/>
    <s v="3º Turno"/>
    <x v="0"/>
    <s v="Não"/>
    <x v="0"/>
    <d v="2025-12-02T00:00:00"/>
    <d v="2025-12-01T00:00:00"/>
    <s v="ter"/>
    <x v="8"/>
    <x v="1"/>
    <m/>
    <s v="191545993"/>
  </r>
  <r>
    <n v="1915"/>
    <n v="43"/>
    <s v="Masculino"/>
    <s v="Soldagem"/>
    <s v="Operador"/>
    <s v="3º Turno"/>
    <x v="0"/>
    <s v="Não"/>
    <x v="0"/>
    <d v="2026-01-07T00:00:00"/>
    <d v="2026-01-01T00:00:00"/>
    <s v="qua"/>
    <x v="5"/>
    <x v="0"/>
    <m/>
    <s v="191546029"/>
  </r>
  <r>
    <n v="1915"/>
    <n v="43"/>
    <s v="Masculino"/>
    <s v="Soldagem"/>
    <s v="Operador"/>
    <s v="3º Turno"/>
    <x v="0"/>
    <s v="Não"/>
    <x v="0"/>
    <d v="2026-03-03T00:00:00"/>
    <d v="2026-03-01T00:00:00"/>
    <s v="ter"/>
    <x v="4"/>
    <x v="0"/>
    <m/>
    <s v="191546084"/>
  </r>
  <r>
    <n v="1915"/>
    <n v="43"/>
    <s v="Masculino"/>
    <s v="Soldagem"/>
    <s v="Operador"/>
    <s v="3º Turno"/>
    <x v="0"/>
    <s v="Não"/>
    <x v="0"/>
    <d v="2026-03-11T00:00:00"/>
    <d v="2026-03-01T00:00:00"/>
    <s v="qua"/>
    <x v="4"/>
    <x v="0"/>
    <m/>
    <s v="191546092"/>
  </r>
  <r>
    <n v="1915"/>
    <n v="43"/>
    <s v="Masculino"/>
    <s v="Soldagem"/>
    <s v="Operador"/>
    <s v="3º Turno"/>
    <x v="0"/>
    <s v="Não"/>
    <x v="0"/>
    <d v="2026-03-15T00:00:00"/>
    <d v="2026-03-01T00:00:00"/>
    <s v="dom"/>
    <x v="4"/>
    <x v="0"/>
    <m/>
    <s v="191546096"/>
  </r>
  <r>
    <n v="1916"/>
    <n v="18"/>
    <s v="Feminino"/>
    <s v="Pintura"/>
    <s v="Operador"/>
    <s v="1º Turno"/>
    <x v="0"/>
    <s v="Não"/>
    <x v="2"/>
    <d v="2025-06-30T00:00:00"/>
    <d v="2025-06-01T00:00:00"/>
    <s v="seg"/>
    <x v="1"/>
    <x v="1"/>
    <m/>
    <s v="191645838"/>
  </r>
  <r>
    <n v="1916"/>
    <n v="18"/>
    <s v="Feminino"/>
    <s v="Pintura"/>
    <s v="Operador"/>
    <s v="1º Turno"/>
    <x v="0"/>
    <s v="Não"/>
    <x v="2"/>
    <d v="2025-12-13T00:00:00"/>
    <d v="2025-12-01T00:00:00"/>
    <s v="sáb"/>
    <x v="8"/>
    <x v="1"/>
    <m/>
    <s v="191646004"/>
  </r>
  <r>
    <n v="1916"/>
    <n v="18"/>
    <s v="Feminino"/>
    <s v="Pintura"/>
    <s v="Operador"/>
    <s v="1º Turno"/>
    <x v="0"/>
    <s v="Não"/>
    <x v="2"/>
    <d v="2025-12-18T00:00:00"/>
    <d v="2025-12-01T00:00:00"/>
    <s v="qui"/>
    <x v="8"/>
    <x v="1"/>
    <m/>
    <s v="191646009"/>
  </r>
  <r>
    <n v="1916"/>
    <n v="18"/>
    <s v="Feminino"/>
    <s v="Pintura"/>
    <s v="Operador"/>
    <s v="1º Turno"/>
    <x v="0"/>
    <s v="Não"/>
    <x v="2"/>
    <d v="2026-02-13T00:00:00"/>
    <d v="2026-02-01T00:00:00"/>
    <s v="sex"/>
    <x v="3"/>
    <x v="0"/>
    <m/>
    <s v="191646066"/>
  </r>
  <r>
    <n v="1917"/>
    <n v="31"/>
    <s v="Feminino"/>
    <s v="Pintura"/>
    <s v="Operador"/>
    <s v="3º Turno"/>
    <x v="0"/>
    <s v="Não"/>
    <x v="2"/>
    <d v="2025-06-30T00:00:00"/>
    <d v="2025-06-01T00:00:00"/>
    <s v="seg"/>
    <x v="1"/>
    <x v="1"/>
    <m/>
    <s v="191745838"/>
  </r>
  <r>
    <n v="1917"/>
    <n v="31"/>
    <s v="Feminino"/>
    <s v="Pintura"/>
    <s v="Operador"/>
    <s v="3º Turno"/>
    <x v="0"/>
    <s v="Não"/>
    <x v="2"/>
    <d v="2025-07-07T00:00:00"/>
    <d v="2025-07-01T00:00:00"/>
    <s v="seg"/>
    <x v="6"/>
    <x v="1"/>
    <m/>
    <s v="191745845"/>
  </r>
  <r>
    <n v="1917"/>
    <n v="31"/>
    <s v="Feminino"/>
    <s v="Pintura"/>
    <s v="Operador"/>
    <s v="3º Turno"/>
    <x v="0"/>
    <s v="Não"/>
    <x v="2"/>
    <d v="2025-09-18T00:00:00"/>
    <d v="2025-09-01T00:00:00"/>
    <s v="qui"/>
    <x v="7"/>
    <x v="1"/>
    <m/>
    <s v="191745918"/>
  </r>
  <r>
    <n v="1917"/>
    <n v="31"/>
    <s v="Feminino"/>
    <s v="Pintura"/>
    <s v="Operador"/>
    <s v="3º Turno"/>
    <x v="0"/>
    <s v="Não"/>
    <x v="2"/>
    <d v="2025-11-26T00:00:00"/>
    <d v="2025-11-01T00:00:00"/>
    <s v="qua"/>
    <x v="10"/>
    <x v="1"/>
    <m/>
    <s v="191745987"/>
  </r>
  <r>
    <n v="1917"/>
    <n v="31"/>
    <s v="Feminino"/>
    <s v="Pintura"/>
    <s v="Operador"/>
    <s v="3º Turno"/>
    <x v="0"/>
    <s v="Não"/>
    <x v="2"/>
    <d v="2026-03-15T00:00:00"/>
    <d v="2026-03-01T00:00:00"/>
    <s v="dom"/>
    <x v="4"/>
    <x v="0"/>
    <m/>
    <s v="191746096"/>
  </r>
  <r>
    <n v="1918"/>
    <n v="45"/>
    <s v="Masculino"/>
    <s v="Soldagem"/>
    <s v="Operador"/>
    <s v="2º Turno"/>
    <x v="0"/>
    <s v="Não"/>
    <x v="2"/>
    <d v="2025-06-11T00:00:00"/>
    <d v="2025-06-01T00:00:00"/>
    <s v="qua"/>
    <x v="1"/>
    <x v="1"/>
    <m/>
    <s v="191845819"/>
  </r>
  <r>
    <n v="1918"/>
    <n v="45"/>
    <s v="Masculino"/>
    <s v="Soldagem"/>
    <s v="Operador"/>
    <s v="2º Turno"/>
    <x v="0"/>
    <s v="Não"/>
    <x v="2"/>
    <d v="2025-09-21T00:00:00"/>
    <d v="2025-09-01T00:00:00"/>
    <s v="dom"/>
    <x v="7"/>
    <x v="1"/>
    <m/>
    <s v="191845921"/>
  </r>
  <r>
    <n v="1918"/>
    <n v="45"/>
    <s v="Masculino"/>
    <s v="Soldagem"/>
    <s v="Operador"/>
    <s v="2º Turno"/>
    <x v="0"/>
    <s v="Não"/>
    <x v="2"/>
    <d v="2025-12-12T00:00:00"/>
    <d v="2025-12-01T00:00:00"/>
    <s v="sex"/>
    <x v="8"/>
    <x v="1"/>
    <m/>
    <s v="191846003"/>
  </r>
  <r>
    <n v="1918"/>
    <n v="45"/>
    <s v="Masculino"/>
    <s v="Soldagem"/>
    <s v="Operador"/>
    <s v="2º Turno"/>
    <x v="0"/>
    <s v="Não"/>
    <x v="2"/>
    <d v="2026-06-23T00:00:00"/>
    <d v="2026-01-01T00:00:00"/>
    <s v="ter"/>
    <x v="1"/>
    <x v="0"/>
    <m/>
    <s v="191846196"/>
  </r>
  <r>
    <n v="1918"/>
    <n v="45"/>
    <s v="Masculino"/>
    <s v="Soldagem"/>
    <s v="Operador"/>
    <s v="2º Turno"/>
    <x v="0"/>
    <s v="Não"/>
    <x v="2"/>
    <d v="2026-03-13T00:00:00"/>
    <d v="2026-03-01T00:00:00"/>
    <s v="sex"/>
    <x v="4"/>
    <x v="0"/>
    <m/>
    <s v="191846094"/>
  </r>
  <r>
    <n v="1919"/>
    <n v="30"/>
    <s v="Masculino"/>
    <s v="Montagem"/>
    <s v="Operador"/>
    <s v="1º Turno"/>
    <x v="0"/>
    <s v="Não"/>
    <x v="0"/>
    <d v="2025-06-24T00:00:00"/>
    <d v="2025-06-01T00:00:00"/>
    <s v="ter"/>
    <x v="1"/>
    <x v="1"/>
    <m/>
    <s v="191945832"/>
  </r>
  <r>
    <n v="1919"/>
    <n v="30"/>
    <s v="Masculino"/>
    <s v="Montagem"/>
    <s v="Operador"/>
    <s v="1º Turno"/>
    <x v="0"/>
    <s v="Não"/>
    <x v="0"/>
    <d v="2025-08-30T00:00:00"/>
    <d v="2025-08-01T00:00:00"/>
    <s v="sáb"/>
    <x v="9"/>
    <x v="1"/>
    <m/>
    <s v="191945899"/>
  </r>
  <r>
    <n v="1919"/>
    <n v="30"/>
    <s v="Masculino"/>
    <s v="Montagem"/>
    <s v="Operador"/>
    <s v="1º Turno"/>
    <x v="0"/>
    <s v="Não"/>
    <x v="0"/>
    <d v="2025-09-01T00:00:00"/>
    <d v="2025-09-01T00:00:00"/>
    <s v="seg"/>
    <x v="7"/>
    <x v="1"/>
    <m/>
    <s v="191945901"/>
  </r>
  <r>
    <n v="1919"/>
    <n v="30"/>
    <s v="Masculino"/>
    <s v="Montagem"/>
    <s v="Operador"/>
    <s v="1º Turno"/>
    <x v="0"/>
    <s v="Não"/>
    <x v="0"/>
    <d v="2025-09-22T00:00:00"/>
    <d v="2025-09-01T00:00:00"/>
    <s v="seg"/>
    <x v="7"/>
    <x v="1"/>
    <m/>
    <s v="191945922"/>
  </r>
  <r>
    <n v="1919"/>
    <n v="30"/>
    <s v="Masculino"/>
    <s v="Montagem"/>
    <s v="Operador"/>
    <s v="1º Turno"/>
    <x v="0"/>
    <s v="Não"/>
    <x v="0"/>
    <d v="2025-10-14T00:00:00"/>
    <d v="2025-10-01T00:00:00"/>
    <s v="ter"/>
    <x v="11"/>
    <x v="1"/>
    <m/>
    <s v="191945944"/>
  </r>
  <r>
    <n v="1920"/>
    <n v="52"/>
    <s v="Feminino"/>
    <s v="Qualidade"/>
    <s v="Analista"/>
    <s v="1º Turno"/>
    <x v="0"/>
    <s v="Não"/>
    <x v="2"/>
    <d v="2025-07-17T00:00:00"/>
    <d v="2025-07-01T00:00:00"/>
    <s v="qui"/>
    <x v="6"/>
    <x v="1"/>
    <m/>
    <s v="192045855"/>
  </r>
  <r>
    <n v="1920"/>
    <n v="52"/>
    <s v="Feminino"/>
    <s v="Qualidade"/>
    <s v="Analista"/>
    <s v="1º Turno"/>
    <x v="0"/>
    <s v="Não"/>
    <x v="2"/>
    <d v="2025-08-18T00:00:00"/>
    <d v="2025-08-01T00:00:00"/>
    <s v="seg"/>
    <x v="9"/>
    <x v="1"/>
    <m/>
    <s v="192045887"/>
  </r>
  <r>
    <n v="1920"/>
    <n v="52"/>
    <s v="Feminino"/>
    <s v="Qualidade"/>
    <s v="Analista"/>
    <s v="1º Turno"/>
    <x v="0"/>
    <s v="Não"/>
    <x v="2"/>
    <d v="2025-12-23T00:00:00"/>
    <d v="2025-12-01T00:00:00"/>
    <s v="ter"/>
    <x v="8"/>
    <x v="1"/>
    <m/>
    <s v="192046014"/>
  </r>
  <r>
    <n v="1920"/>
    <n v="52"/>
    <s v="Feminino"/>
    <s v="Qualidade"/>
    <s v="Analista"/>
    <s v="1º Turno"/>
    <x v="0"/>
    <s v="Não"/>
    <x v="2"/>
    <d v="2026-06-26T00:00:00"/>
    <d v="2026-01-01T00:00:00"/>
    <s v="sex"/>
    <x v="1"/>
    <x v="0"/>
    <m/>
    <s v="192046199"/>
  </r>
  <r>
    <n v="1920"/>
    <n v="52"/>
    <s v="Feminino"/>
    <s v="Qualidade"/>
    <s v="Analista"/>
    <s v="1º Turno"/>
    <x v="0"/>
    <s v="Não"/>
    <x v="2"/>
    <d v="2026-02-04T00:00:00"/>
    <d v="2026-02-01T00:00:00"/>
    <s v="qua"/>
    <x v="3"/>
    <x v="0"/>
    <m/>
    <s v="192046057"/>
  </r>
  <r>
    <n v="1921"/>
    <n v="42"/>
    <s v="Masculino"/>
    <s v="Qualidade"/>
    <s v="Inspetor"/>
    <s v="2º Turno"/>
    <x v="0"/>
    <s v="Não"/>
    <x v="1"/>
    <d v="2025-06-29T00:00:00"/>
    <d v="2025-06-01T00:00:00"/>
    <s v="dom"/>
    <x v="1"/>
    <x v="1"/>
    <m/>
    <s v="192145837"/>
  </r>
  <r>
    <n v="1921"/>
    <n v="42"/>
    <s v="Masculino"/>
    <s v="Qualidade"/>
    <s v="Inspetor"/>
    <s v="2º Turno"/>
    <x v="0"/>
    <s v="Não"/>
    <x v="1"/>
    <d v="2025-10-30T00:00:00"/>
    <d v="2025-10-01T00:00:00"/>
    <s v="qui"/>
    <x v="11"/>
    <x v="1"/>
    <m/>
    <s v="192145960"/>
  </r>
  <r>
    <n v="1921"/>
    <n v="42"/>
    <s v="Masculino"/>
    <s v="Qualidade"/>
    <s v="Inspetor"/>
    <s v="2º Turno"/>
    <x v="0"/>
    <s v="Não"/>
    <x v="1"/>
    <d v="2025-11-10T00:00:00"/>
    <d v="2025-11-01T00:00:00"/>
    <s v="seg"/>
    <x v="10"/>
    <x v="1"/>
    <m/>
    <s v="192145971"/>
  </r>
  <r>
    <n v="1921"/>
    <n v="42"/>
    <s v="Masculino"/>
    <s v="Qualidade"/>
    <s v="Inspetor"/>
    <s v="2º Turno"/>
    <x v="0"/>
    <s v="Não"/>
    <x v="1"/>
    <d v="2026-06-09T00:00:00"/>
    <d v="2026-01-01T00:00:00"/>
    <s v="ter"/>
    <x v="1"/>
    <x v="0"/>
    <m/>
    <s v="192146182"/>
  </r>
  <r>
    <n v="1921"/>
    <n v="42"/>
    <s v="Masculino"/>
    <s v="Qualidade"/>
    <s v="Inspetor"/>
    <s v="2º Turno"/>
    <x v="0"/>
    <s v="Não"/>
    <x v="1"/>
    <d v="2026-03-16T00:00:00"/>
    <d v="2026-03-01T00:00:00"/>
    <s v="seg"/>
    <x v="4"/>
    <x v="0"/>
    <m/>
    <s v="192146097"/>
  </r>
  <r>
    <n v="1921"/>
    <n v="42"/>
    <s v="Masculino"/>
    <s v="Qualidade"/>
    <s v="Inspetor"/>
    <s v="2º Turno"/>
    <x v="0"/>
    <s v="Não"/>
    <x v="1"/>
    <d v="2026-03-24T00:00:00"/>
    <d v="2026-03-01T00:00:00"/>
    <s v="ter"/>
    <x v="4"/>
    <x v="0"/>
    <m/>
    <s v="192146105"/>
  </r>
  <r>
    <n v="1922"/>
    <n v="21"/>
    <s v="Feminino"/>
    <s v="Soldagem"/>
    <s v="Operador"/>
    <s v="3º Turno"/>
    <x v="0"/>
    <s v="Não"/>
    <x v="2"/>
    <d v="2025-06-24T00:00:00"/>
    <d v="2025-06-01T00:00:00"/>
    <s v="ter"/>
    <x v="1"/>
    <x v="1"/>
    <m/>
    <s v="192245832"/>
  </r>
  <r>
    <n v="1922"/>
    <n v="21"/>
    <s v="Feminino"/>
    <s v="Soldagem"/>
    <s v="Operador"/>
    <s v="3º Turno"/>
    <x v="0"/>
    <s v="Não"/>
    <x v="2"/>
    <d v="2025-07-14T00:00:00"/>
    <d v="2025-07-01T00:00:00"/>
    <s v="seg"/>
    <x v="6"/>
    <x v="1"/>
    <m/>
    <s v="192245852"/>
  </r>
  <r>
    <n v="1922"/>
    <n v="21"/>
    <s v="Feminino"/>
    <s v="Soldagem"/>
    <s v="Operador"/>
    <s v="3º Turno"/>
    <x v="0"/>
    <s v="Não"/>
    <x v="2"/>
    <d v="2025-07-27T00:00:00"/>
    <d v="2025-07-01T00:00:00"/>
    <s v="dom"/>
    <x v="6"/>
    <x v="1"/>
    <m/>
    <s v="192245865"/>
  </r>
  <r>
    <n v="1922"/>
    <n v="21"/>
    <s v="Feminino"/>
    <s v="Soldagem"/>
    <s v="Operador"/>
    <s v="3º Turno"/>
    <x v="0"/>
    <s v="Não"/>
    <x v="2"/>
    <d v="2025-08-24T00:00:00"/>
    <d v="2025-08-01T00:00:00"/>
    <s v="dom"/>
    <x v="9"/>
    <x v="1"/>
    <m/>
    <s v="192245893"/>
  </r>
  <r>
    <n v="1923"/>
    <n v="33"/>
    <s v="Masculino"/>
    <s v="Montagem"/>
    <s v="Operador"/>
    <s v="3º Turno"/>
    <x v="0"/>
    <s v="Não"/>
    <x v="1"/>
    <d v="2025-07-02T00:00:00"/>
    <d v="2025-07-01T00:00:00"/>
    <s v="qua"/>
    <x v="6"/>
    <x v="1"/>
    <m/>
    <s v="192345840"/>
  </r>
  <r>
    <n v="1923"/>
    <n v="33"/>
    <s v="Masculino"/>
    <s v="Montagem"/>
    <s v="Operador"/>
    <s v="3º Turno"/>
    <x v="0"/>
    <s v="Não"/>
    <x v="1"/>
    <d v="2025-10-12T00:00:00"/>
    <d v="2025-10-01T00:00:00"/>
    <s v="dom"/>
    <x v="11"/>
    <x v="1"/>
    <m/>
    <s v="192345942"/>
  </r>
  <r>
    <n v="1923"/>
    <n v="33"/>
    <s v="Masculino"/>
    <s v="Montagem"/>
    <s v="Operador"/>
    <s v="3º Turno"/>
    <x v="0"/>
    <s v="Não"/>
    <x v="1"/>
    <d v="2025-11-03T00:00:00"/>
    <d v="2025-11-01T00:00:00"/>
    <s v="seg"/>
    <x v="10"/>
    <x v="1"/>
    <m/>
    <s v="192345964"/>
  </r>
  <r>
    <n v="1923"/>
    <n v="33"/>
    <s v="Masculino"/>
    <s v="Montagem"/>
    <s v="Operador"/>
    <s v="3º Turno"/>
    <x v="0"/>
    <s v="Não"/>
    <x v="1"/>
    <d v="2026-06-24T00:00:00"/>
    <d v="2026-01-01T00:00:00"/>
    <s v="qua"/>
    <x v="1"/>
    <x v="0"/>
    <m/>
    <s v="192346197"/>
  </r>
  <r>
    <n v="1923"/>
    <n v="33"/>
    <s v="Masculino"/>
    <s v="Montagem"/>
    <s v="Operador"/>
    <s v="3º Turno"/>
    <x v="0"/>
    <s v="Não"/>
    <x v="1"/>
    <d v="2026-06-29T00:00:00"/>
    <d v="2026-01-01T00:00:00"/>
    <s v="seg"/>
    <x v="1"/>
    <x v="0"/>
    <m/>
    <s v="192346202"/>
  </r>
  <r>
    <n v="1923"/>
    <n v="33"/>
    <s v="Masculino"/>
    <s v="Montagem"/>
    <s v="Operador"/>
    <s v="3º Turno"/>
    <x v="0"/>
    <s v="Não"/>
    <x v="1"/>
    <d v="2026-02-03T00:00:00"/>
    <d v="2026-02-01T00:00:00"/>
    <s v="ter"/>
    <x v="3"/>
    <x v="0"/>
    <m/>
    <s v="192346056"/>
  </r>
  <r>
    <n v="1924"/>
    <n v="38"/>
    <s v="Feminino"/>
    <s v="Montagem"/>
    <s v="Operador"/>
    <s v="1º Turno"/>
    <x v="0"/>
    <s v="Não"/>
    <x v="1"/>
    <d v="2025-07-01T00:00:00"/>
    <d v="2025-07-01T00:00:00"/>
    <s v="ter"/>
    <x v="6"/>
    <x v="1"/>
    <m/>
    <s v="192445839"/>
  </r>
  <r>
    <n v="1924"/>
    <n v="38"/>
    <s v="Feminino"/>
    <s v="Montagem"/>
    <s v="Operador"/>
    <s v="1º Turno"/>
    <x v="0"/>
    <s v="Não"/>
    <x v="1"/>
    <d v="2025-08-03T00:00:00"/>
    <d v="2025-08-01T00:00:00"/>
    <s v="dom"/>
    <x v="9"/>
    <x v="1"/>
    <m/>
    <s v="192445872"/>
  </r>
  <r>
    <n v="1924"/>
    <n v="38"/>
    <s v="Feminino"/>
    <s v="Montagem"/>
    <s v="Operador"/>
    <s v="1º Turno"/>
    <x v="0"/>
    <s v="Não"/>
    <x v="1"/>
    <d v="2025-08-21T00:00:00"/>
    <d v="2025-08-01T00:00:00"/>
    <s v="qui"/>
    <x v="9"/>
    <x v="1"/>
    <m/>
    <s v="192445890"/>
  </r>
  <r>
    <n v="1924"/>
    <n v="38"/>
    <s v="Feminino"/>
    <s v="Montagem"/>
    <s v="Operador"/>
    <s v="1º Turno"/>
    <x v="0"/>
    <s v="Não"/>
    <x v="1"/>
    <d v="2025-11-07T00:00:00"/>
    <d v="2025-11-01T00:00:00"/>
    <s v="sex"/>
    <x v="10"/>
    <x v="1"/>
    <m/>
    <s v="192445968"/>
  </r>
  <r>
    <n v="1924"/>
    <n v="38"/>
    <s v="Feminino"/>
    <s v="Montagem"/>
    <s v="Operador"/>
    <s v="1º Turno"/>
    <x v="0"/>
    <s v="Não"/>
    <x v="1"/>
    <d v="2025-11-24T00:00:00"/>
    <d v="2025-11-01T00:00:00"/>
    <s v="seg"/>
    <x v="10"/>
    <x v="1"/>
    <m/>
    <s v="192445985"/>
  </r>
  <r>
    <n v="1925"/>
    <n v="54"/>
    <s v="Feminino"/>
    <s v="Montagem"/>
    <s v="Operador"/>
    <s v="1º Turno"/>
    <x v="0"/>
    <s v="Não"/>
    <x v="0"/>
    <d v="2025-06-23T00:00:00"/>
    <d v="2025-06-01T00:00:00"/>
    <s v="seg"/>
    <x v="1"/>
    <x v="1"/>
    <m/>
    <s v="192545831"/>
  </r>
  <r>
    <n v="1925"/>
    <n v="54"/>
    <s v="Feminino"/>
    <s v="Montagem"/>
    <s v="Operador"/>
    <s v="1º Turno"/>
    <x v="0"/>
    <s v="Não"/>
    <x v="0"/>
    <d v="2025-07-30T00:00:00"/>
    <d v="2025-07-01T00:00:00"/>
    <s v="qua"/>
    <x v="6"/>
    <x v="1"/>
    <m/>
    <s v="192545868"/>
  </r>
  <r>
    <n v="1925"/>
    <n v="54"/>
    <s v="Feminino"/>
    <s v="Montagem"/>
    <s v="Operador"/>
    <s v="1º Turno"/>
    <x v="0"/>
    <s v="Não"/>
    <x v="0"/>
    <d v="2025-11-06T00:00:00"/>
    <d v="2025-11-01T00:00:00"/>
    <s v="qui"/>
    <x v="10"/>
    <x v="1"/>
    <m/>
    <s v="192545967"/>
  </r>
  <r>
    <n v="1925"/>
    <n v="54"/>
    <s v="Feminino"/>
    <s v="Montagem"/>
    <s v="Operador"/>
    <s v="1º Turno"/>
    <x v="0"/>
    <s v="Não"/>
    <x v="0"/>
    <d v="2025-11-19T00:00:00"/>
    <d v="2025-11-01T00:00:00"/>
    <s v="qua"/>
    <x v="10"/>
    <x v="1"/>
    <m/>
    <s v="192545980"/>
  </r>
  <r>
    <n v="1925"/>
    <n v="54"/>
    <s v="Feminino"/>
    <s v="Montagem"/>
    <s v="Operador"/>
    <s v="1º Turno"/>
    <x v="0"/>
    <s v="Não"/>
    <x v="0"/>
    <d v="2026-02-02T00:00:00"/>
    <d v="2026-02-01T00:00:00"/>
    <s v="seg"/>
    <x v="3"/>
    <x v="0"/>
    <m/>
    <s v="192546055"/>
  </r>
  <r>
    <n v="1926"/>
    <n v="46"/>
    <s v="Masculino"/>
    <s v="Pintura"/>
    <s v="Operador"/>
    <s v="3º Turno"/>
    <x v="0"/>
    <s v="Não"/>
    <x v="1"/>
    <d v="2025-08-02T00:00:00"/>
    <d v="2025-08-01T00:00:00"/>
    <s v="sáb"/>
    <x v="9"/>
    <x v="1"/>
    <m/>
    <s v="192645871"/>
  </r>
  <r>
    <n v="1926"/>
    <n v="46"/>
    <s v="Masculino"/>
    <s v="Pintura"/>
    <s v="Operador"/>
    <s v="3º Turno"/>
    <x v="0"/>
    <s v="Não"/>
    <x v="1"/>
    <d v="2025-08-16T00:00:00"/>
    <d v="2025-08-01T00:00:00"/>
    <s v="sáb"/>
    <x v="9"/>
    <x v="1"/>
    <m/>
    <s v="192645885"/>
  </r>
  <r>
    <n v="1926"/>
    <n v="46"/>
    <s v="Masculino"/>
    <s v="Pintura"/>
    <s v="Operador"/>
    <s v="3º Turno"/>
    <x v="0"/>
    <s v="Não"/>
    <x v="1"/>
    <d v="2025-09-14T00:00:00"/>
    <d v="2025-09-01T00:00:00"/>
    <s v="dom"/>
    <x v="7"/>
    <x v="1"/>
    <m/>
    <s v="192645914"/>
  </r>
  <r>
    <n v="1926"/>
    <n v="46"/>
    <s v="Masculino"/>
    <s v="Pintura"/>
    <s v="Operador"/>
    <s v="3º Turno"/>
    <x v="0"/>
    <s v="Não"/>
    <x v="1"/>
    <d v="2025-12-25T00:00:00"/>
    <d v="2025-12-01T00:00:00"/>
    <s v="qui"/>
    <x v="8"/>
    <x v="1"/>
    <m/>
    <s v="192646016"/>
  </r>
  <r>
    <n v="1927"/>
    <n v="24"/>
    <s v="Feminino"/>
    <s v="Montagem"/>
    <s v="Operador"/>
    <s v="3º Turno"/>
    <x v="0"/>
    <s v="Não"/>
    <x v="1"/>
    <d v="2025-07-28T00:00:00"/>
    <d v="2025-07-01T00:00:00"/>
    <s v="seg"/>
    <x v="6"/>
    <x v="1"/>
    <m/>
    <s v="192745866"/>
  </r>
  <r>
    <n v="1927"/>
    <n v="24"/>
    <s v="Feminino"/>
    <s v="Montagem"/>
    <s v="Operador"/>
    <s v="3º Turno"/>
    <x v="0"/>
    <s v="Não"/>
    <x v="1"/>
    <d v="2026-06-26T00:00:00"/>
    <d v="2026-01-01T00:00:00"/>
    <s v="sex"/>
    <x v="1"/>
    <x v="0"/>
    <m/>
    <s v="192746199"/>
  </r>
  <r>
    <n v="1927"/>
    <n v="24"/>
    <s v="Feminino"/>
    <s v="Montagem"/>
    <s v="Operador"/>
    <s v="3º Turno"/>
    <x v="0"/>
    <s v="Não"/>
    <x v="1"/>
    <d v="2026-03-12T00:00:00"/>
    <d v="2026-03-01T00:00:00"/>
    <s v="qui"/>
    <x v="4"/>
    <x v="0"/>
    <m/>
    <s v="192746093"/>
  </r>
  <r>
    <n v="1927"/>
    <n v="24"/>
    <s v="Feminino"/>
    <s v="Montagem"/>
    <s v="Operador"/>
    <s v="3º Turno"/>
    <x v="0"/>
    <s v="Não"/>
    <x v="1"/>
    <d v="2026-03-25T00:00:00"/>
    <d v="2026-03-01T00:00:00"/>
    <s v="qua"/>
    <x v="4"/>
    <x v="0"/>
    <m/>
    <s v="192746106"/>
  </r>
  <r>
    <n v="1929"/>
    <n v="45"/>
    <s v="Feminino"/>
    <s v="Montagem"/>
    <s v="Operador"/>
    <s v="3º Turno"/>
    <x v="0"/>
    <s v="Não"/>
    <x v="2"/>
    <d v="2025-04-28T00:00:00"/>
    <d v="2025-04-01T00:00:00"/>
    <s v="seg"/>
    <x v="2"/>
    <x v="1"/>
    <m/>
    <s v="192945775"/>
  </r>
  <r>
    <n v="1929"/>
    <n v="45"/>
    <s v="Feminino"/>
    <s v="Montagem"/>
    <s v="Operador"/>
    <s v="3º Turno"/>
    <x v="0"/>
    <s v="Não"/>
    <x v="2"/>
    <d v="2025-10-25T00:00:00"/>
    <d v="2025-10-01T00:00:00"/>
    <s v="sáb"/>
    <x v="11"/>
    <x v="1"/>
    <m/>
    <s v="192945955"/>
  </r>
  <r>
    <n v="1929"/>
    <n v="45"/>
    <s v="Feminino"/>
    <s v="Montagem"/>
    <s v="Operador"/>
    <s v="3º Turno"/>
    <x v="0"/>
    <s v="Não"/>
    <x v="2"/>
    <d v="2025-10-31T00:00:00"/>
    <d v="2025-10-01T00:00:00"/>
    <s v="sex"/>
    <x v="11"/>
    <x v="1"/>
    <m/>
    <s v="192945961"/>
  </r>
  <r>
    <n v="1929"/>
    <n v="45"/>
    <s v="Feminino"/>
    <s v="Montagem"/>
    <s v="Operador"/>
    <s v="3º Turno"/>
    <x v="0"/>
    <s v="Não"/>
    <x v="2"/>
    <d v="2025-12-16T00:00:00"/>
    <d v="2025-12-01T00:00:00"/>
    <s v="ter"/>
    <x v="8"/>
    <x v="1"/>
    <m/>
    <s v="192946007"/>
  </r>
  <r>
    <n v="1929"/>
    <n v="45"/>
    <s v="Feminino"/>
    <s v="Montagem"/>
    <s v="Operador"/>
    <s v="3º Turno"/>
    <x v="0"/>
    <s v="Não"/>
    <x v="2"/>
    <d v="2026-02-05T00:00:00"/>
    <d v="2026-02-01T00:00:00"/>
    <s v="qui"/>
    <x v="3"/>
    <x v="0"/>
    <m/>
    <s v="192946058"/>
  </r>
  <r>
    <n v="1929"/>
    <n v="45"/>
    <s v="Feminino"/>
    <s v="Montagem"/>
    <s v="Operador"/>
    <s v="3º Turno"/>
    <x v="0"/>
    <s v="Não"/>
    <x v="2"/>
    <d v="2026-03-10T00:00:00"/>
    <d v="2026-03-01T00:00:00"/>
    <s v="ter"/>
    <x v="4"/>
    <x v="0"/>
    <m/>
    <s v="192946091"/>
  </r>
  <r>
    <n v="1929"/>
    <n v="45"/>
    <s v="Feminino"/>
    <s v="Montagem"/>
    <s v="Operador"/>
    <s v="3º Turno"/>
    <x v="0"/>
    <s v="Não"/>
    <x v="2"/>
    <d v="2026-04-28T00:00:00"/>
    <d v="2026-04-01T00:00:00"/>
    <s v="seg"/>
    <x v="2"/>
    <x v="1"/>
    <m/>
    <s v="192946140"/>
  </r>
  <r>
    <n v="1930"/>
    <n v="37"/>
    <s v="Masculino"/>
    <s v="Logistica"/>
    <s v="Operador"/>
    <s v="1º Turno"/>
    <x v="0"/>
    <s v="Não"/>
    <x v="0"/>
    <d v="2025-04-30T00:00:00"/>
    <d v="2025-04-01T00:00:00"/>
    <s v="qua"/>
    <x v="2"/>
    <x v="1"/>
    <m/>
    <s v="193045777"/>
  </r>
  <r>
    <n v="1930"/>
    <n v="37"/>
    <s v="Masculino"/>
    <s v="Logistica"/>
    <s v="Operador"/>
    <s v="1º Turno"/>
    <x v="0"/>
    <s v="Não"/>
    <x v="0"/>
    <d v="2025-07-08T00:00:00"/>
    <d v="2025-07-01T00:00:00"/>
    <s v="ter"/>
    <x v="6"/>
    <x v="1"/>
    <m/>
    <s v="193045846"/>
  </r>
  <r>
    <n v="1930"/>
    <n v="37"/>
    <s v="Masculino"/>
    <s v="Logistica"/>
    <s v="Operador"/>
    <s v="1º Turno"/>
    <x v="0"/>
    <s v="Não"/>
    <x v="0"/>
    <d v="2025-07-21T00:00:00"/>
    <d v="2025-07-01T00:00:00"/>
    <s v="seg"/>
    <x v="6"/>
    <x v="1"/>
    <m/>
    <s v="193045859"/>
  </r>
  <r>
    <n v="1930"/>
    <n v="37"/>
    <s v="Masculino"/>
    <s v="Logistica"/>
    <s v="Operador"/>
    <s v="1º Turno"/>
    <x v="0"/>
    <s v="Não"/>
    <x v="0"/>
    <d v="2025-08-19T00:00:00"/>
    <d v="2025-08-01T00:00:00"/>
    <s v="ter"/>
    <x v="9"/>
    <x v="1"/>
    <m/>
    <s v="193045888"/>
  </r>
  <r>
    <n v="1930"/>
    <n v="37"/>
    <s v="Masculino"/>
    <s v="Logistica"/>
    <s v="Operador"/>
    <s v="1º Turno"/>
    <x v="0"/>
    <s v="Não"/>
    <x v="0"/>
    <d v="2026-06-17T00:00:00"/>
    <d v="2026-01-01T00:00:00"/>
    <s v="qua"/>
    <x v="1"/>
    <x v="0"/>
    <m/>
    <s v="193046190"/>
  </r>
  <r>
    <n v="1930"/>
    <n v="37"/>
    <s v="Masculino"/>
    <s v="Logistica"/>
    <s v="Operador"/>
    <s v="1º Turno"/>
    <x v="0"/>
    <s v="Não"/>
    <x v="0"/>
    <d v="2026-04-30T00:00:00"/>
    <d v="2026-04-01T00:00:00"/>
    <s v="qua"/>
    <x v="2"/>
    <x v="1"/>
    <m/>
    <s v="193046142"/>
  </r>
  <r>
    <n v="1931"/>
    <n v="27"/>
    <s v="Feminino"/>
    <s v="Logistica"/>
    <s v="Operador"/>
    <s v="1º Turno"/>
    <x v="0"/>
    <s v="Não"/>
    <x v="2"/>
    <d v="2025-06-13T00:00:00"/>
    <d v="2025-06-01T00:00:00"/>
    <s v="sex"/>
    <x v="1"/>
    <x v="1"/>
    <m/>
    <s v="193145821"/>
  </r>
  <r>
    <n v="1931"/>
    <n v="27"/>
    <s v="Feminino"/>
    <s v="Logistica"/>
    <s v="Operador"/>
    <s v="1º Turno"/>
    <x v="0"/>
    <s v="Não"/>
    <x v="2"/>
    <d v="2025-10-13T00:00:00"/>
    <d v="2025-10-01T00:00:00"/>
    <s v="seg"/>
    <x v="11"/>
    <x v="1"/>
    <m/>
    <s v="193145943"/>
  </r>
  <r>
    <n v="1931"/>
    <n v="27"/>
    <s v="Feminino"/>
    <s v="Logistica"/>
    <s v="Operador"/>
    <s v="1º Turno"/>
    <x v="0"/>
    <s v="Não"/>
    <x v="2"/>
    <d v="2026-06-22T00:00:00"/>
    <d v="2026-01-01T00:00:00"/>
    <s v="seg"/>
    <x v="1"/>
    <x v="0"/>
    <m/>
    <s v="193146195"/>
  </r>
  <r>
    <n v="1931"/>
    <n v="27"/>
    <s v="Feminino"/>
    <s v="Logistica"/>
    <s v="Operador"/>
    <s v="1º Turno"/>
    <x v="0"/>
    <s v="Não"/>
    <x v="2"/>
    <d v="2026-03-18T00:00:00"/>
    <d v="2026-03-01T00:00:00"/>
    <s v="qua"/>
    <x v="4"/>
    <x v="0"/>
    <m/>
    <s v="193146099"/>
  </r>
  <r>
    <n v="1931"/>
    <n v="27"/>
    <s v="Feminino"/>
    <s v="Logistica"/>
    <s v="Operador"/>
    <s v="1º Turno"/>
    <x v="0"/>
    <s v="Não"/>
    <x v="2"/>
    <d v="2026-03-19T00:00:00"/>
    <d v="2026-03-01T00:00:00"/>
    <s v="qui"/>
    <x v="4"/>
    <x v="0"/>
    <m/>
    <s v="193146100"/>
  </r>
  <r>
    <n v="1932"/>
    <n v="33"/>
    <s v="Masculino"/>
    <s v="Montagem"/>
    <s v="Operador"/>
    <s v="3º Turno"/>
    <x v="0"/>
    <s v="Não"/>
    <x v="1"/>
    <d v="2025-09-25T00:00:00"/>
    <d v="2025-09-01T00:00:00"/>
    <s v="qui"/>
    <x v="7"/>
    <x v="1"/>
    <m/>
    <s v="193245925"/>
  </r>
  <r>
    <n v="1932"/>
    <n v="33"/>
    <s v="Masculino"/>
    <s v="Montagem"/>
    <s v="Operador"/>
    <s v="3º Turno"/>
    <x v="0"/>
    <s v="Não"/>
    <x v="1"/>
    <d v="2025-10-11T00:00:00"/>
    <d v="2025-10-01T00:00:00"/>
    <s v="sáb"/>
    <x v="11"/>
    <x v="1"/>
    <m/>
    <s v="193245941"/>
  </r>
  <r>
    <n v="1932"/>
    <n v="33"/>
    <s v="Masculino"/>
    <s v="Montagem"/>
    <s v="Operador"/>
    <s v="3º Turno"/>
    <x v="0"/>
    <s v="Não"/>
    <x v="1"/>
    <d v="2025-11-13T00:00:00"/>
    <d v="2025-11-01T00:00:00"/>
    <s v="qui"/>
    <x v="10"/>
    <x v="1"/>
    <m/>
    <s v="193245974"/>
  </r>
  <r>
    <n v="1932"/>
    <n v="33"/>
    <s v="Masculino"/>
    <s v="Montagem"/>
    <s v="Operador"/>
    <s v="3º Turno"/>
    <x v="0"/>
    <s v="Não"/>
    <x v="1"/>
    <d v="2026-03-02T00:00:00"/>
    <d v="2026-03-01T00:00:00"/>
    <s v="seg"/>
    <x v="4"/>
    <x v="0"/>
    <m/>
    <s v="193246083"/>
  </r>
  <r>
    <n v="1934"/>
    <n v="52"/>
    <s v="Masculino"/>
    <s v="Qualidade"/>
    <s v="Analista"/>
    <s v="2º Turno"/>
    <x v="0"/>
    <s v="Não"/>
    <x v="2"/>
    <d v="2025-08-19T00:00:00"/>
    <d v="2025-08-01T00:00:00"/>
    <s v="ter"/>
    <x v="9"/>
    <x v="1"/>
    <m/>
    <s v="193445888"/>
  </r>
  <r>
    <n v="1934"/>
    <n v="52"/>
    <s v="Masculino"/>
    <s v="Qualidade"/>
    <s v="Analista"/>
    <s v="2º Turno"/>
    <x v="0"/>
    <s v="Não"/>
    <x v="2"/>
    <d v="2025-09-19T00:00:00"/>
    <d v="2025-09-01T00:00:00"/>
    <s v="sex"/>
    <x v="7"/>
    <x v="1"/>
    <m/>
    <s v="193445919"/>
  </r>
  <r>
    <n v="1934"/>
    <n v="52"/>
    <s v="Masculino"/>
    <s v="Qualidade"/>
    <s v="Analista"/>
    <s v="2º Turno"/>
    <x v="0"/>
    <s v="Não"/>
    <x v="2"/>
    <d v="2025-09-26T00:00:00"/>
    <d v="2025-09-01T00:00:00"/>
    <s v="sex"/>
    <x v="7"/>
    <x v="1"/>
    <m/>
    <s v="193445926"/>
  </r>
  <r>
    <n v="1934"/>
    <n v="52"/>
    <s v="Masculino"/>
    <s v="Qualidade"/>
    <s v="Analista"/>
    <s v="2º Turno"/>
    <x v="0"/>
    <s v="Não"/>
    <x v="2"/>
    <d v="2025-12-08T00:00:00"/>
    <d v="2025-12-01T00:00:00"/>
    <s v="seg"/>
    <x v="8"/>
    <x v="1"/>
    <m/>
    <s v="193445999"/>
  </r>
  <r>
    <n v="1934"/>
    <n v="52"/>
    <s v="Masculino"/>
    <s v="Qualidade"/>
    <s v="Analista"/>
    <s v="2º Turno"/>
    <x v="0"/>
    <s v="Não"/>
    <x v="2"/>
    <d v="2026-02-01T00:00:00"/>
    <d v="2026-02-01T00:00:00"/>
    <s v="dom"/>
    <x v="3"/>
    <x v="0"/>
    <m/>
    <s v="193446054"/>
  </r>
  <r>
    <n v="1935"/>
    <n v="50"/>
    <s v="Feminino"/>
    <s v="Soldagem"/>
    <s v="Operador"/>
    <s v="3º Turno"/>
    <x v="0"/>
    <s v="Não"/>
    <x v="0"/>
    <d v="2025-06-27T00:00:00"/>
    <d v="2025-06-01T00:00:00"/>
    <s v="sex"/>
    <x v="1"/>
    <x v="1"/>
    <m/>
    <s v="193545835"/>
  </r>
  <r>
    <n v="1935"/>
    <n v="50"/>
    <s v="Feminino"/>
    <s v="Soldagem"/>
    <s v="Operador"/>
    <s v="3º Turno"/>
    <x v="0"/>
    <s v="Não"/>
    <x v="0"/>
    <d v="2025-08-13T00:00:00"/>
    <d v="2025-08-01T00:00:00"/>
    <s v="qua"/>
    <x v="9"/>
    <x v="1"/>
    <m/>
    <s v="193545882"/>
  </r>
  <r>
    <n v="1935"/>
    <n v="50"/>
    <s v="Feminino"/>
    <s v="Soldagem"/>
    <s v="Operador"/>
    <s v="3º Turno"/>
    <x v="0"/>
    <s v="Não"/>
    <x v="0"/>
    <d v="2025-11-30T00:00:00"/>
    <d v="2025-11-01T00:00:00"/>
    <s v="dom"/>
    <x v="10"/>
    <x v="1"/>
    <m/>
    <s v="193545991"/>
  </r>
  <r>
    <n v="1935"/>
    <n v="50"/>
    <s v="Feminino"/>
    <s v="Soldagem"/>
    <s v="Operador"/>
    <s v="3º Turno"/>
    <x v="0"/>
    <s v="Não"/>
    <x v="0"/>
    <d v="2025-12-24T00:00:00"/>
    <d v="2025-12-01T00:00:00"/>
    <s v="qua"/>
    <x v="8"/>
    <x v="1"/>
    <m/>
    <s v="193546015"/>
  </r>
  <r>
    <n v="1935"/>
    <n v="50"/>
    <s v="Feminino"/>
    <s v="Soldagem"/>
    <s v="Operador"/>
    <s v="3º Turno"/>
    <x v="0"/>
    <s v="Não"/>
    <x v="0"/>
    <d v="2026-03-08T00:00:00"/>
    <d v="2026-03-01T00:00:00"/>
    <s v="dom"/>
    <x v="4"/>
    <x v="0"/>
    <m/>
    <s v="193546089"/>
  </r>
  <r>
    <n v="1937"/>
    <n v="53"/>
    <s v="Feminino"/>
    <s v="Montagem"/>
    <s v="Operador"/>
    <s v="3º Turno"/>
    <x v="0"/>
    <s v="Não"/>
    <x v="2"/>
    <d v="2025-08-28T00:00:00"/>
    <d v="2025-08-01T00:00:00"/>
    <s v="qui"/>
    <x v="9"/>
    <x v="1"/>
    <m/>
    <s v="193745897"/>
  </r>
  <r>
    <n v="1937"/>
    <n v="53"/>
    <s v="Feminino"/>
    <s v="Montagem"/>
    <s v="Operador"/>
    <s v="3º Turno"/>
    <x v="0"/>
    <s v="Não"/>
    <x v="2"/>
    <d v="2025-10-22T00:00:00"/>
    <d v="2025-10-01T00:00:00"/>
    <s v="qua"/>
    <x v="11"/>
    <x v="1"/>
    <m/>
    <s v="193745952"/>
  </r>
  <r>
    <n v="1937"/>
    <n v="53"/>
    <s v="Feminino"/>
    <s v="Montagem"/>
    <s v="Operador"/>
    <s v="3º Turno"/>
    <x v="0"/>
    <s v="Não"/>
    <x v="2"/>
    <d v="2025-11-12T00:00:00"/>
    <d v="2025-11-01T00:00:00"/>
    <s v="qua"/>
    <x v="10"/>
    <x v="1"/>
    <m/>
    <s v="193745973"/>
  </r>
  <r>
    <n v="1937"/>
    <n v="53"/>
    <s v="Feminino"/>
    <s v="Montagem"/>
    <s v="Operador"/>
    <s v="3º Turno"/>
    <x v="0"/>
    <s v="Não"/>
    <x v="2"/>
    <d v="2026-06-09T00:00:00"/>
    <d v="2026-01-01T00:00:00"/>
    <s v="ter"/>
    <x v="1"/>
    <x v="0"/>
    <m/>
    <s v="193746182"/>
  </r>
  <r>
    <n v="1937"/>
    <n v="53"/>
    <s v="Feminino"/>
    <s v="Montagem"/>
    <s v="Operador"/>
    <s v="3º Turno"/>
    <x v="0"/>
    <s v="Não"/>
    <x v="2"/>
    <d v="2026-06-19T00:00:00"/>
    <d v="2026-01-01T00:00:00"/>
    <s v="sex"/>
    <x v="1"/>
    <x v="0"/>
    <m/>
    <s v="193746192"/>
  </r>
  <r>
    <n v="1938"/>
    <n v="45"/>
    <s v="Masculino"/>
    <s v="Soldagem"/>
    <s v="Operador"/>
    <s v="2º Turno"/>
    <x v="0"/>
    <s v="Não"/>
    <x v="0"/>
    <d v="2025-09-07T00:00:00"/>
    <d v="2025-09-01T00:00:00"/>
    <s v="dom"/>
    <x v="7"/>
    <x v="1"/>
    <m/>
    <s v="193845907"/>
  </r>
  <r>
    <n v="1938"/>
    <n v="45"/>
    <s v="Masculino"/>
    <s v="Soldagem"/>
    <s v="Operador"/>
    <s v="2º Turno"/>
    <x v="0"/>
    <s v="Não"/>
    <x v="0"/>
    <d v="2025-12-24T00:00:00"/>
    <d v="2025-12-01T00:00:00"/>
    <s v="qua"/>
    <x v="8"/>
    <x v="1"/>
    <m/>
    <s v="193846015"/>
  </r>
  <r>
    <n v="1938"/>
    <n v="45"/>
    <s v="Masculino"/>
    <s v="Soldagem"/>
    <s v="Operador"/>
    <s v="2º Turno"/>
    <x v="0"/>
    <s v="Não"/>
    <x v="0"/>
    <d v="2026-06-10T00:00:00"/>
    <d v="2026-01-01T00:00:00"/>
    <s v="qua"/>
    <x v="1"/>
    <x v="0"/>
    <m/>
    <s v="193846183"/>
  </r>
  <r>
    <n v="1938"/>
    <n v="45"/>
    <s v="Masculino"/>
    <s v="Soldagem"/>
    <s v="Operador"/>
    <s v="2º Turno"/>
    <x v="0"/>
    <s v="Não"/>
    <x v="0"/>
    <d v="2026-02-28T00:00:00"/>
    <d v="2026-02-01T00:00:00"/>
    <s v="sáb"/>
    <x v="3"/>
    <x v="0"/>
    <m/>
    <s v="193846081"/>
  </r>
  <r>
    <n v="1939"/>
    <n v="58"/>
    <s v="Masculino"/>
    <s v="Montagem"/>
    <s v="Operador"/>
    <s v="1º Turno"/>
    <x v="0"/>
    <s v="Não"/>
    <x v="1"/>
    <d v="2025-06-05T00:00:00"/>
    <d v="2025-06-01T00:00:00"/>
    <s v="qui"/>
    <x v="1"/>
    <x v="1"/>
    <m/>
    <s v="193945813"/>
  </r>
  <r>
    <n v="1939"/>
    <n v="58"/>
    <s v="Masculino"/>
    <s v="Montagem"/>
    <s v="Operador"/>
    <s v="1º Turno"/>
    <x v="0"/>
    <s v="Não"/>
    <x v="1"/>
    <d v="2025-06-14T00:00:00"/>
    <d v="2025-06-01T00:00:00"/>
    <s v="sáb"/>
    <x v="1"/>
    <x v="1"/>
    <m/>
    <s v="193945822"/>
  </r>
  <r>
    <n v="1939"/>
    <n v="58"/>
    <s v="Masculino"/>
    <s v="Montagem"/>
    <s v="Operador"/>
    <s v="1º Turno"/>
    <x v="0"/>
    <s v="Não"/>
    <x v="1"/>
    <d v="2025-07-10T00:00:00"/>
    <d v="2025-07-01T00:00:00"/>
    <s v="qui"/>
    <x v="6"/>
    <x v="1"/>
    <m/>
    <s v="193945848"/>
  </r>
  <r>
    <n v="1939"/>
    <n v="58"/>
    <s v="Masculino"/>
    <s v="Montagem"/>
    <s v="Operador"/>
    <s v="1º Turno"/>
    <x v="0"/>
    <s v="Não"/>
    <x v="1"/>
    <d v="2025-09-08T00:00:00"/>
    <d v="2025-09-01T00:00:00"/>
    <s v="seg"/>
    <x v="7"/>
    <x v="1"/>
    <m/>
    <s v="193945908"/>
  </r>
  <r>
    <n v="1939"/>
    <n v="58"/>
    <s v="Masculino"/>
    <s v="Montagem"/>
    <s v="Operador"/>
    <s v="1º Turno"/>
    <x v="0"/>
    <s v="Não"/>
    <x v="1"/>
    <d v="2025-10-11T00:00:00"/>
    <d v="2025-10-01T00:00:00"/>
    <s v="sáb"/>
    <x v="11"/>
    <x v="1"/>
    <m/>
    <s v="193945941"/>
  </r>
  <r>
    <n v="1940"/>
    <n v="57"/>
    <s v="Feminino"/>
    <s v="Soldagem"/>
    <s v="Operador"/>
    <s v="3º Turno"/>
    <x v="0"/>
    <s v="Não"/>
    <x v="1"/>
    <d v="2025-06-27T00:00:00"/>
    <d v="2025-06-01T00:00:00"/>
    <s v="sex"/>
    <x v="1"/>
    <x v="1"/>
    <m/>
    <s v="194045835"/>
  </r>
  <r>
    <n v="1940"/>
    <n v="57"/>
    <s v="Feminino"/>
    <s v="Soldagem"/>
    <s v="Operador"/>
    <s v="3º Turno"/>
    <x v="0"/>
    <s v="Não"/>
    <x v="1"/>
    <d v="2025-07-12T00:00:00"/>
    <d v="2025-07-01T00:00:00"/>
    <s v="sáb"/>
    <x v="6"/>
    <x v="1"/>
    <m/>
    <s v="194045850"/>
  </r>
  <r>
    <n v="1940"/>
    <n v="57"/>
    <s v="Feminino"/>
    <s v="Soldagem"/>
    <s v="Operador"/>
    <s v="3º Turno"/>
    <x v="0"/>
    <s v="Não"/>
    <x v="1"/>
    <d v="2025-10-14T00:00:00"/>
    <d v="2025-10-01T00:00:00"/>
    <s v="ter"/>
    <x v="11"/>
    <x v="1"/>
    <m/>
    <s v="194045944"/>
  </r>
  <r>
    <n v="1940"/>
    <n v="57"/>
    <s v="Feminino"/>
    <s v="Soldagem"/>
    <s v="Operador"/>
    <s v="3º Turno"/>
    <x v="0"/>
    <s v="Não"/>
    <x v="1"/>
    <d v="2025-11-26T00:00:00"/>
    <d v="2025-11-01T00:00:00"/>
    <s v="qua"/>
    <x v="10"/>
    <x v="1"/>
    <m/>
    <s v="194045987"/>
  </r>
  <r>
    <n v="1940"/>
    <n v="57"/>
    <s v="Feminino"/>
    <s v="Soldagem"/>
    <s v="Operador"/>
    <s v="3º Turno"/>
    <x v="0"/>
    <s v="Não"/>
    <x v="1"/>
    <d v="2025-12-09T00:00:00"/>
    <d v="2025-12-01T00:00:00"/>
    <s v="ter"/>
    <x v="8"/>
    <x v="1"/>
    <m/>
    <s v="194046000"/>
  </r>
  <r>
    <n v="1940"/>
    <n v="57"/>
    <s v="Feminino"/>
    <s v="Soldagem"/>
    <s v="Operador"/>
    <s v="3º Turno"/>
    <x v="0"/>
    <s v="Não"/>
    <x v="1"/>
    <d v="2026-06-14T00:00:00"/>
    <d v="2026-01-01T00:00:00"/>
    <s v="dom"/>
    <x v="1"/>
    <x v="0"/>
    <m/>
    <s v="194046187"/>
  </r>
  <r>
    <n v="1941"/>
    <n v="24"/>
    <s v="Masculino"/>
    <s v="Montagem"/>
    <s v="Operador"/>
    <s v="3º Turno"/>
    <x v="0"/>
    <s v="Não"/>
    <x v="0"/>
    <d v="2025-10-11T00:00:00"/>
    <d v="2025-10-01T00:00:00"/>
    <s v="sáb"/>
    <x v="11"/>
    <x v="1"/>
    <m/>
    <s v="194145941"/>
  </r>
  <r>
    <n v="1941"/>
    <n v="24"/>
    <s v="Masculino"/>
    <s v="Montagem"/>
    <s v="Operador"/>
    <s v="3º Turno"/>
    <x v="0"/>
    <s v="Não"/>
    <x v="0"/>
    <d v="2025-12-04T00:00:00"/>
    <d v="2025-12-01T00:00:00"/>
    <s v="qui"/>
    <x v="8"/>
    <x v="1"/>
    <m/>
    <s v="194145995"/>
  </r>
  <r>
    <n v="1941"/>
    <n v="24"/>
    <s v="Masculino"/>
    <s v="Montagem"/>
    <s v="Operador"/>
    <s v="3º Turno"/>
    <x v="0"/>
    <s v="Não"/>
    <x v="0"/>
    <d v="2026-02-16T00:00:00"/>
    <d v="2026-02-01T00:00:00"/>
    <s v="seg"/>
    <x v="3"/>
    <x v="0"/>
    <m/>
    <s v="194146069"/>
  </r>
  <r>
    <n v="1941"/>
    <n v="24"/>
    <s v="Masculino"/>
    <s v="Montagem"/>
    <s v="Operador"/>
    <s v="3º Turno"/>
    <x v="0"/>
    <s v="Não"/>
    <x v="0"/>
    <d v="2026-02-24T00:00:00"/>
    <d v="2026-02-01T00:00:00"/>
    <s v="ter"/>
    <x v="3"/>
    <x v="0"/>
    <m/>
    <s v="194146077"/>
  </r>
  <r>
    <n v="1941"/>
    <n v="24"/>
    <s v="Masculino"/>
    <s v="Montagem"/>
    <s v="Operador"/>
    <s v="3º Turno"/>
    <x v="0"/>
    <s v="Não"/>
    <x v="0"/>
    <d v="2026-02-26T00:00:00"/>
    <d v="2026-02-01T00:00:00"/>
    <s v="qui"/>
    <x v="3"/>
    <x v="0"/>
    <m/>
    <s v="194146079"/>
  </r>
  <r>
    <n v="1941"/>
    <n v="24"/>
    <s v="Masculino"/>
    <s v="Montagem"/>
    <s v="Operador"/>
    <s v="3º Turno"/>
    <x v="0"/>
    <s v="Não"/>
    <x v="0"/>
    <d v="2026-03-05T00:00:00"/>
    <d v="2026-03-01T00:00:00"/>
    <s v="qui"/>
    <x v="4"/>
    <x v="0"/>
    <m/>
    <s v="194146086"/>
  </r>
  <r>
    <n v="1942"/>
    <n v="51"/>
    <s v="Masculino"/>
    <s v="Qualidade"/>
    <s v="Inspetor"/>
    <s v="3º Turno"/>
    <x v="0"/>
    <s v="Não"/>
    <x v="2"/>
    <d v="2025-06-03T00:00:00"/>
    <d v="2025-06-01T00:00:00"/>
    <s v="ter"/>
    <x v="1"/>
    <x v="1"/>
    <m/>
    <s v="194245811"/>
  </r>
  <r>
    <n v="1942"/>
    <n v="51"/>
    <s v="Masculino"/>
    <s v="Qualidade"/>
    <s v="Inspetor"/>
    <s v="3º Turno"/>
    <x v="0"/>
    <s v="Não"/>
    <x v="2"/>
    <d v="2025-06-21T00:00:00"/>
    <d v="2025-06-01T00:00:00"/>
    <s v="sáb"/>
    <x v="1"/>
    <x v="1"/>
    <m/>
    <s v="194245829"/>
  </r>
  <r>
    <n v="1942"/>
    <n v="51"/>
    <s v="Masculino"/>
    <s v="Qualidade"/>
    <s v="Inspetor"/>
    <s v="3º Turno"/>
    <x v="0"/>
    <s v="Não"/>
    <x v="2"/>
    <d v="2025-07-02T00:00:00"/>
    <d v="2025-07-01T00:00:00"/>
    <s v="qua"/>
    <x v="6"/>
    <x v="1"/>
    <m/>
    <s v="194245840"/>
  </r>
  <r>
    <n v="1942"/>
    <n v="51"/>
    <s v="Masculino"/>
    <s v="Qualidade"/>
    <s v="Inspetor"/>
    <s v="3º Turno"/>
    <x v="0"/>
    <s v="Não"/>
    <x v="2"/>
    <d v="2025-10-01T00:00:00"/>
    <d v="2025-10-01T00:00:00"/>
    <s v="qua"/>
    <x v="11"/>
    <x v="1"/>
    <m/>
    <s v="194245931"/>
  </r>
  <r>
    <n v="1942"/>
    <n v="51"/>
    <s v="Masculino"/>
    <s v="Qualidade"/>
    <s v="Inspetor"/>
    <s v="3º Turno"/>
    <x v="0"/>
    <s v="Não"/>
    <x v="2"/>
    <d v="2025-10-19T00:00:00"/>
    <d v="2025-10-01T00:00:00"/>
    <s v="dom"/>
    <x v="11"/>
    <x v="1"/>
    <m/>
    <s v="194245949"/>
  </r>
  <r>
    <n v="1942"/>
    <n v="51"/>
    <s v="Masculino"/>
    <s v="Qualidade"/>
    <s v="Inspetor"/>
    <s v="3º Turno"/>
    <x v="0"/>
    <s v="Não"/>
    <x v="2"/>
    <d v="2025-11-04T00:00:00"/>
    <d v="2025-11-01T00:00:00"/>
    <s v="ter"/>
    <x v="10"/>
    <x v="1"/>
    <m/>
    <s v="194245965"/>
  </r>
  <r>
    <n v="1944"/>
    <n v="52"/>
    <s v="Feminino"/>
    <s v="Montagem"/>
    <s v="Operador"/>
    <s v="1º Turno"/>
    <x v="0"/>
    <s v="Não"/>
    <x v="2"/>
    <d v="2025-07-09T00:00:00"/>
    <d v="2025-07-01T00:00:00"/>
    <s v="qua"/>
    <x v="6"/>
    <x v="1"/>
    <m/>
    <s v="194445847"/>
  </r>
  <r>
    <n v="1944"/>
    <n v="52"/>
    <s v="Feminino"/>
    <s v="Montagem"/>
    <s v="Operador"/>
    <s v="1º Turno"/>
    <x v="0"/>
    <s v="Não"/>
    <x v="2"/>
    <d v="2025-08-20T00:00:00"/>
    <d v="2025-08-01T00:00:00"/>
    <s v="qua"/>
    <x v="9"/>
    <x v="1"/>
    <m/>
    <s v="194445889"/>
  </r>
  <r>
    <n v="1944"/>
    <n v="52"/>
    <s v="Feminino"/>
    <s v="Montagem"/>
    <s v="Operador"/>
    <s v="1º Turno"/>
    <x v="0"/>
    <s v="Não"/>
    <x v="2"/>
    <d v="2025-11-02T00:00:00"/>
    <d v="2025-11-01T00:00:00"/>
    <s v="dom"/>
    <x v="10"/>
    <x v="1"/>
    <m/>
    <s v="194445963"/>
  </r>
  <r>
    <n v="1944"/>
    <n v="52"/>
    <s v="Feminino"/>
    <s v="Montagem"/>
    <s v="Operador"/>
    <s v="1º Turno"/>
    <x v="0"/>
    <s v="Não"/>
    <x v="2"/>
    <d v="2025-11-28T00:00:00"/>
    <d v="2025-11-01T00:00:00"/>
    <s v="sex"/>
    <x v="10"/>
    <x v="1"/>
    <m/>
    <s v="194445989"/>
  </r>
  <r>
    <n v="1944"/>
    <n v="52"/>
    <s v="Feminino"/>
    <s v="Montagem"/>
    <s v="Operador"/>
    <s v="1º Turno"/>
    <x v="0"/>
    <s v="Não"/>
    <x v="2"/>
    <d v="2025-12-10T00:00:00"/>
    <d v="2025-12-01T00:00:00"/>
    <s v="qua"/>
    <x v="8"/>
    <x v="1"/>
    <m/>
    <s v="194446001"/>
  </r>
  <r>
    <n v="1945"/>
    <n v="31"/>
    <s v="Masculino"/>
    <s v="Soldagem"/>
    <s v="Operador"/>
    <s v="3º Turno"/>
    <x v="0"/>
    <s v="Não"/>
    <x v="1"/>
    <d v="2025-06-06T00:00:00"/>
    <d v="2025-06-01T00:00:00"/>
    <s v="sex"/>
    <x v="1"/>
    <x v="1"/>
    <m/>
    <s v="194545814"/>
  </r>
  <r>
    <n v="1945"/>
    <n v="31"/>
    <s v="Masculino"/>
    <s v="Soldagem"/>
    <s v="Operador"/>
    <s v="3º Turno"/>
    <x v="0"/>
    <s v="Não"/>
    <x v="1"/>
    <d v="2025-08-28T00:00:00"/>
    <d v="2025-08-01T00:00:00"/>
    <s v="qui"/>
    <x v="9"/>
    <x v="1"/>
    <m/>
    <s v="194545897"/>
  </r>
  <r>
    <n v="1945"/>
    <n v="31"/>
    <s v="Masculino"/>
    <s v="Soldagem"/>
    <s v="Operador"/>
    <s v="3º Turno"/>
    <x v="0"/>
    <s v="Não"/>
    <x v="1"/>
    <d v="2026-06-19T00:00:00"/>
    <d v="2026-01-01T00:00:00"/>
    <s v="sex"/>
    <x v="1"/>
    <x v="0"/>
    <m/>
    <s v="194546192"/>
  </r>
  <r>
    <n v="1945"/>
    <n v="31"/>
    <s v="Masculino"/>
    <s v="Soldagem"/>
    <s v="Operador"/>
    <s v="3º Turno"/>
    <x v="0"/>
    <s v="Não"/>
    <x v="1"/>
    <d v="2026-03-20T00:00:00"/>
    <d v="2026-03-01T00:00:00"/>
    <s v="sex"/>
    <x v="4"/>
    <x v="0"/>
    <m/>
    <s v="194546101"/>
  </r>
  <r>
    <n v="1946"/>
    <n v="44"/>
    <s v="Feminino"/>
    <s v="Soldagem"/>
    <s v="Operador"/>
    <s v="2º Turno"/>
    <x v="0"/>
    <s v="Não"/>
    <x v="0"/>
    <d v="2025-08-17T00:00:00"/>
    <d v="2025-08-01T00:00:00"/>
    <s v="dom"/>
    <x v="9"/>
    <x v="1"/>
    <m/>
    <s v="194645886"/>
  </r>
  <r>
    <n v="1946"/>
    <n v="44"/>
    <s v="Feminino"/>
    <s v="Soldagem"/>
    <s v="Operador"/>
    <s v="2º Turno"/>
    <x v="0"/>
    <s v="Não"/>
    <x v="0"/>
    <d v="2025-09-15T00:00:00"/>
    <d v="2025-09-01T00:00:00"/>
    <s v="seg"/>
    <x v="7"/>
    <x v="1"/>
    <m/>
    <s v="194645915"/>
  </r>
  <r>
    <n v="1946"/>
    <n v="44"/>
    <s v="Feminino"/>
    <s v="Soldagem"/>
    <s v="Operador"/>
    <s v="2º Turno"/>
    <x v="0"/>
    <s v="Não"/>
    <x v="0"/>
    <d v="2026-06-30T00:00:00"/>
    <d v="2026-01-01T00:00:00"/>
    <s v="ter"/>
    <x v="1"/>
    <x v="0"/>
    <m/>
    <s v="194646203"/>
  </r>
  <r>
    <n v="1946"/>
    <n v="44"/>
    <s v="Feminino"/>
    <s v="Soldagem"/>
    <s v="Operador"/>
    <s v="2º Turno"/>
    <x v="0"/>
    <s v="Não"/>
    <x v="0"/>
    <d v="2026-02-19T00:00:00"/>
    <d v="2026-02-01T00:00:00"/>
    <s v="qui"/>
    <x v="3"/>
    <x v="0"/>
    <m/>
    <s v="194646072"/>
  </r>
  <r>
    <n v="1946"/>
    <n v="44"/>
    <s v="Feminino"/>
    <s v="Soldagem"/>
    <s v="Operador"/>
    <s v="2º Turno"/>
    <x v="0"/>
    <s v="Não"/>
    <x v="0"/>
    <d v="2026-03-16T00:00:00"/>
    <d v="2026-03-01T00:00:00"/>
    <s v="seg"/>
    <x v="4"/>
    <x v="0"/>
    <m/>
    <s v="194646097"/>
  </r>
  <r>
    <n v="1946"/>
    <n v="44"/>
    <s v="Feminino"/>
    <s v="Soldagem"/>
    <s v="Operador"/>
    <s v="2º Turno"/>
    <x v="0"/>
    <s v="Não"/>
    <x v="0"/>
    <d v="2026-03-17T00:00:00"/>
    <d v="2026-03-01T00:00:00"/>
    <s v="ter"/>
    <x v="4"/>
    <x v="0"/>
    <m/>
    <s v="194646098"/>
  </r>
  <r>
    <n v="1947"/>
    <n v="26"/>
    <s v="Feminino"/>
    <s v="Qualidade"/>
    <s v="Analista"/>
    <s v="1º Turno"/>
    <x v="0"/>
    <s v="Não"/>
    <x v="1"/>
    <d v="2026-06-06T00:00:00"/>
    <d v="2026-01-01T00:00:00"/>
    <s v="sáb"/>
    <x v="1"/>
    <x v="0"/>
    <m/>
    <s v="194746179"/>
  </r>
  <r>
    <n v="1947"/>
    <n v="26"/>
    <s v="Feminino"/>
    <s v="Qualidade"/>
    <s v="Analista"/>
    <s v="1º Turno"/>
    <x v="0"/>
    <s v="Não"/>
    <x v="1"/>
    <d v="2026-02-08T00:00:00"/>
    <d v="2026-02-01T00:00:00"/>
    <s v="dom"/>
    <x v="3"/>
    <x v="0"/>
    <m/>
    <s v="194746061"/>
  </r>
  <r>
    <n v="1947"/>
    <n v="26"/>
    <s v="Feminino"/>
    <s v="Qualidade"/>
    <s v="Analista"/>
    <s v="1º Turno"/>
    <x v="0"/>
    <s v="Não"/>
    <x v="1"/>
    <d v="2026-03-20T00:00:00"/>
    <d v="2026-03-01T00:00:00"/>
    <s v="sex"/>
    <x v="4"/>
    <x v="0"/>
    <m/>
    <s v="194746101"/>
  </r>
  <r>
    <n v="1949"/>
    <n v="40"/>
    <s v="Feminino"/>
    <s v="Pintura"/>
    <s v="Operador"/>
    <s v="3º Turno"/>
    <x v="0"/>
    <s v="Não"/>
    <x v="2"/>
    <d v="2025-07-05T00:00:00"/>
    <d v="2025-07-01T00:00:00"/>
    <s v="sáb"/>
    <x v="6"/>
    <x v="1"/>
    <m/>
    <s v="194945843"/>
  </r>
  <r>
    <n v="1949"/>
    <n v="40"/>
    <s v="Feminino"/>
    <s v="Pintura"/>
    <s v="Operador"/>
    <s v="3º Turno"/>
    <x v="0"/>
    <s v="Não"/>
    <x v="2"/>
    <d v="2025-11-26T00:00:00"/>
    <d v="2025-11-01T00:00:00"/>
    <s v="qua"/>
    <x v="10"/>
    <x v="1"/>
    <m/>
    <s v="194945987"/>
  </r>
  <r>
    <n v="1949"/>
    <n v="40"/>
    <s v="Feminino"/>
    <s v="Pintura"/>
    <s v="Operador"/>
    <s v="3º Turno"/>
    <x v="0"/>
    <s v="Não"/>
    <x v="2"/>
    <d v="2025-12-12T00:00:00"/>
    <d v="2025-12-01T00:00:00"/>
    <s v="sex"/>
    <x v="8"/>
    <x v="1"/>
    <m/>
    <s v="194946003"/>
  </r>
  <r>
    <n v="1949"/>
    <n v="40"/>
    <s v="Feminino"/>
    <s v="Pintura"/>
    <s v="Operador"/>
    <s v="3º Turno"/>
    <x v="0"/>
    <s v="Não"/>
    <x v="2"/>
    <d v="2026-03-15T00:00:00"/>
    <d v="2026-03-01T00:00:00"/>
    <s v="dom"/>
    <x v="4"/>
    <x v="0"/>
    <m/>
    <s v="194946096"/>
  </r>
  <r>
    <n v="1950"/>
    <n v="25"/>
    <s v="Feminino"/>
    <s v="Soldagem"/>
    <s v="Operador"/>
    <s v="2º Turno"/>
    <x v="0"/>
    <s v="Não"/>
    <x v="2"/>
    <d v="2025-04-29T00:00:00"/>
    <d v="2025-04-01T00:00:00"/>
    <s v="ter"/>
    <x v="2"/>
    <x v="1"/>
    <m/>
    <s v="195045776"/>
  </r>
  <r>
    <n v="1950"/>
    <n v="25"/>
    <s v="Feminino"/>
    <s v="Soldagem"/>
    <s v="Operador"/>
    <s v="2º Turno"/>
    <x v="0"/>
    <s v="Não"/>
    <x v="2"/>
    <d v="2025-08-02T00:00:00"/>
    <d v="2025-08-01T00:00:00"/>
    <s v="sáb"/>
    <x v="9"/>
    <x v="1"/>
    <m/>
    <s v="195045871"/>
  </r>
  <r>
    <n v="1950"/>
    <n v="25"/>
    <s v="Feminino"/>
    <s v="Soldagem"/>
    <s v="Operador"/>
    <s v="2º Turno"/>
    <x v="0"/>
    <s v="Não"/>
    <x v="2"/>
    <d v="2025-08-22T00:00:00"/>
    <d v="2025-08-01T00:00:00"/>
    <s v="sex"/>
    <x v="9"/>
    <x v="1"/>
    <m/>
    <s v="195045891"/>
  </r>
  <r>
    <n v="1950"/>
    <n v="25"/>
    <s v="Feminino"/>
    <s v="Soldagem"/>
    <s v="Operador"/>
    <s v="2º Turno"/>
    <x v="0"/>
    <s v="Não"/>
    <x v="2"/>
    <d v="2025-12-02T00:00:00"/>
    <d v="2025-12-01T00:00:00"/>
    <s v="ter"/>
    <x v="8"/>
    <x v="1"/>
    <m/>
    <s v="195045993"/>
  </r>
  <r>
    <n v="1950"/>
    <n v="25"/>
    <s v="Feminino"/>
    <s v="Soldagem"/>
    <s v="Operador"/>
    <s v="2º Turno"/>
    <x v="0"/>
    <s v="Não"/>
    <x v="2"/>
    <d v="2026-06-07T00:00:00"/>
    <d v="2026-01-01T00:00:00"/>
    <s v="dom"/>
    <x v="1"/>
    <x v="0"/>
    <m/>
    <s v="195046180"/>
  </r>
  <r>
    <n v="1950"/>
    <n v="25"/>
    <s v="Feminino"/>
    <s v="Soldagem"/>
    <s v="Operador"/>
    <s v="2º Turno"/>
    <x v="0"/>
    <s v="Não"/>
    <x v="2"/>
    <d v="2026-02-21T00:00:00"/>
    <d v="2026-02-01T00:00:00"/>
    <s v="sáb"/>
    <x v="3"/>
    <x v="0"/>
    <m/>
    <s v="195046074"/>
  </r>
  <r>
    <n v="1950"/>
    <n v="25"/>
    <s v="Feminino"/>
    <s v="Soldagem"/>
    <s v="Operador"/>
    <s v="2º Turno"/>
    <x v="0"/>
    <s v="Não"/>
    <x v="2"/>
    <d v="2026-04-29T00:00:00"/>
    <d v="2026-04-01T00:00:00"/>
    <s v="ter"/>
    <x v="2"/>
    <x v="1"/>
    <m/>
    <s v="195046141"/>
  </r>
  <r>
    <n v="1951"/>
    <n v="24"/>
    <s v="Feminino"/>
    <s v="Qualidade"/>
    <s v="Inspetor"/>
    <s v="2º Turno"/>
    <x v="0"/>
    <s v="Não"/>
    <x v="2"/>
    <d v="2025-08-09T00:00:00"/>
    <d v="2025-08-01T00:00:00"/>
    <s v="sáb"/>
    <x v="9"/>
    <x v="1"/>
    <m/>
    <s v="195145878"/>
  </r>
  <r>
    <n v="1951"/>
    <n v="24"/>
    <s v="Feminino"/>
    <s v="Qualidade"/>
    <s v="Inspetor"/>
    <s v="2º Turno"/>
    <x v="0"/>
    <s v="Não"/>
    <x v="2"/>
    <d v="2025-11-18T00:00:00"/>
    <d v="2025-11-01T00:00:00"/>
    <s v="ter"/>
    <x v="10"/>
    <x v="1"/>
    <m/>
    <s v="195145979"/>
  </r>
  <r>
    <n v="1951"/>
    <n v="24"/>
    <s v="Feminino"/>
    <s v="Qualidade"/>
    <s v="Inspetor"/>
    <s v="2º Turno"/>
    <x v="0"/>
    <s v="Não"/>
    <x v="2"/>
    <d v="2025-11-22T00:00:00"/>
    <d v="2025-11-01T00:00:00"/>
    <s v="sáb"/>
    <x v="10"/>
    <x v="1"/>
    <m/>
    <s v="195145983"/>
  </r>
  <r>
    <n v="1951"/>
    <n v="24"/>
    <s v="Feminino"/>
    <s v="Qualidade"/>
    <s v="Inspetor"/>
    <s v="2º Turno"/>
    <x v="0"/>
    <s v="Não"/>
    <x v="2"/>
    <d v="2025-12-23T00:00:00"/>
    <d v="2025-12-01T00:00:00"/>
    <s v="ter"/>
    <x v="8"/>
    <x v="1"/>
    <m/>
    <s v="195146014"/>
  </r>
  <r>
    <n v="1951"/>
    <n v="24"/>
    <s v="Feminino"/>
    <s v="Qualidade"/>
    <s v="Inspetor"/>
    <s v="2º Turno"/>
    <x v="0"/>
    <s v="Não"/>
    <x v="2"/>
    <d v="2026-06-11T00:00:00"/>
    <d v="2026-01-01T00:00:00"/>
    <s v="qui"/>
    <x v="1"/>
    <x v="0"/>
    <m/>
    <s v="195146184"/>
  </r>
  <r>
    <n v="1953"/>
    <n v="44"/>
    <s v="Masculino"/>
    <s v="Montagem"/>
    <s v="Operador"/>
    <s v="2º Turno"/>
    <x v="0"/>
    <s v="Não"/>
    <x v="2"/>
    <d v="2025-10-21T00:00:00"/>
    <d v="2025-10-01T00:00:00"/>
    <s v="ter"/>
    <x v="11"/>
    <x v="1"/>
    <m/>
    <s v="195345951"/>
  </r>
  <r>
    <n v="1953"/>
    <n v="44"/>
    <s v="Masculino"/>
    <s v="Montagem"/>
    <s v="Operador"/>
    <s v="2º Turno"/>
    <x v="0"/>
    <s v="Não"/>
    <x v="2"/>
    <d v="2025-11-14T00:00:00"/>
    <d v="2025-11-01T00:00:00"/>
    <s v="sex"/>
    <x v="10"/>
    <x v="1"/>
    <m/>
    <s v="195345975"/>
  </r>
  <r>
    <n v="1953"/>
    <n v="44"/>
    <s v="Masculino"/>
    <s v="Montagem"/>
    <s v="Operador"/>
    <s v="2º Turno"/>
    <x v="0"/>
    <s v="Não"/>
    <x v="2"/>
    <d v="2026-06-04T00:00:00"/>
    <d v="2026-01-01T00:00:00"/>
    <s v="qui"/>
    <x v="1"/>
    <x v="0"/>
    <m/>
    <s v="195346177"/>
  </r>
  <r>
    <n v="1955"/>
    <n v="47"/>
    <s v="Masculino"/>
    <s v="Montagem"/>
    <s v="Operador"/>
    <s v="2º Turno"/>
    <x v="0"/>
    <s v="Não"/>
    <x v="1"/>
    <d v="2025-06-17T00:00:00"/>
    <d v="2025-06-01T00:00:00"/>
    <s v="ter"/>
    <x v="1"/>
    <x v="1"/>
    <m/>
    <s v="195545825"/>
  </r>
  <r>
    <n v="1955"/>
    <n v="47"/>
    <s v="Masculino"/>
    <s v="Montagem"/>
    <s v="Operador"/>
    <s v="2º Turno"/>
    <x v="0"/>
    <s v="Não"/>
    <x v="1"/>
    <d v="2025-06-30T00:00:00"/>
    <d v="2025-06-01T00:00:00"/>
    <s v="seg"/>
    <x v="1"/>
    <x v="1"/>
    <m/>
    <s v="195545838"/>
  </r>
  <r>
    <n v="1955"/>
    <n v="47"/>
    <s v="Masculino"/>
    <s v="Montagem"/>
    <s v="Operador"/>
    <s v="2º Turno"/>
    <x v="0"/>
    <s v="Não"/>
    <x v="1"/>
    <d v="2025-07-11T00:00:00"/>
    <d v="2025-07-01T00:00:00"/>
    <s v="sex"/>
    <x v="6"/>
    <x v="1"/>
    <m/>
    <s v="195545849"/>
  </r>
  <r>
    <n v="1955"/>
    <n v="47"/>
    <s v="Masculino"/>
    <s v="Montagem"/>
    <s v="Operador"/>
    <s v="2º Turno"/>
    <x v="0"/>
    <s v="Não"/>
    <x v="1"/>
    <d v="2025-07-31T00:00:00"/>
    <d v="2025-07-01T00:00:00"/>
    <s v="qui"/>
    <x v="6"/>
    <x v="1"/>
    <m/>
    <s v="195545869"/>
  </r>
  <r>
    <n v="1956"/>
    <n v="35"/>
    <s v="Feminino"/>
    <s v="Soldagem"/>
    <s v="Operador"/>
    <s v="1º Turno"/>
    <x v="0"/>
    <s v="Não"/>
    <x v="0"/>
    <d v="2025-06-12T00:00:00"/>
    <d v="2025-06-01T00:00:00"/>
    <s v="qui"/>
    <x v="1"/>
    <x v="1"/>
    <m/>
    <s v="195645820"/>
  </r>
  <r>
    <n v="1956"/>
    <n v="35"/>
    <s v="Feminino"/>
    <s v="Soldagem"/>
    <s v="Operador"/>
    <s v="1º Turno"/>
    <x v="0"/>
    <s v="Não"/>
    <x v="0"/>
    <d v="2025-07-20T00:00:00"/>
    <d v="2025-07-01T00:00:00"/>
    <s v="dom"/>
    <x v="6"/>
    <x v="1"/>
    <m/>
    <s v="195645858"/>
  </r>
  <r>
    <n v="1956"/>
    <n v="35"/>
    <s v="Feminino"/>
    <s v="Soldagem"/>
    <s v="Operador"/>
    <s v="1º Turno"/>
    <x v="0"/>
    <s v="Não"/>
    <x v="0"/>
    <d v="2025-08-13T00:00:00"/>
    <d v="2025-08-01T00:00:00"/>
    <s v="qua"/>
    <x v="9"/>
    <x v="1"/>
    <m/>
    <s v="195645882"/>
  </r>
  <r>
    <n v="1956"/>
    <n v="35"/>
    <s v="Feminino"/>
    <s v="Soldagem"/>
    <s v="Operador"/>
    <s v="1º Turno"/>
    <x v="0"/>
    <s v="Não"/>
    <x v="0"/>
    <d v="2025-11-10T00:00:00"/>
    <d v="2025-11-01T00:00:00"/>
    <s v="seg"/>
    <x v="10"/>
    <x v="1"/>
    <m/>
    <s v="195645971"/>
  </r>
  <r>
    <n v="1956"/>
    <n v="35"/>
    <s v="Feminino"/>
    <s v="Soldagem"/>
    <s v="Operador"/>
    <s v="1º Turno"/>
    <x v="0"/>
    <s v="Não"/>
    <x v="0"/>
    <d v="2025-12-28T00:00:00"/>
    <d v="2025-12-01T00:00:00"/>
    <s v="dom"/>
    <x v="8"/>
    <x v="1"/>
    <m/>
    <s v="195646019"/>
  </r>
  <r>
    <n v="1956"/>
    <n v="35"/>
    <s v="Feminino"/>
    <s v="Soldagem"/>
    <s v="Operador"/>
    <s v="1º Turno"/>
    <x v="0"/>
    <s v="Não"/>
    <x v="0"/>
    <d v="2026-06-20T00:00:00"/>
    <d v="2026-01-01T00:00:00"/>
    <s v="sáb"/>
    <x v="1"/>
    <x v="0"/>
    <m/>
    <s v="195646193"/>
  </r>
  <r>
    <n v="1957"/>
    <n v="49"/>
    <s v="Masculino"/>
    <s v="Logistica"/>
    <s v="Operador"/>
    <s v="1º Turno"/>
    <x v="0"/>
    <s v="Não"/>
    <x v="2"/>
    <d v="2025-06-27T00:00:00"/>
    <d v="2025-06-01T00:00:00"/>
    <s v="sex"/>
    <x v="1"/>
    <x v="1"/>
    <m/>
    <s v="195745835"/>
  </r>
  <r>
    <n v="1957"/>
    <n v="49"/>
    <s v="Masculino"/>
    <s v="Logistica"/>
    <s v="Operador"/>
    <s v="1º Turno"/>
    <x v="0"/>
    <s v="Não"/>
    <x v="2"/>
    <d v="2025-08-27T00:00:00"/>
    <d v="2025-08-01T00:00:00"/>
    <s v="qua"/>
    <x v="9"/>
    <x v="1"/>
    <m/>
    <s v="195745896"/>
  </r>
  <r>
    <n v="1957"/>
    <n v="49"/>
    <s v="Masculino"/>
    <s v="Logistica"/>
    <s v="Operador"/>
    <s v="1º Turno"/>
    <x v="0"/>
    <s v="Não"/>
    <x v="2"/>
    <d v="2025-12-23T00:00:00"/>
    <d v="2025-12-01T00:00:00"/>
    <s v="ter"/>
    <x v="8"/>
    <x v="1"/>
    <m/>
    <s v="195746014"/>
  </r>
  <r>
    <n v="1957"/>
    <n v="49"/>
    <s v="Masculino"/>
    <s v="Logistica"/>
    <s v="Operador"/>
    <s v="1º Turno"/>
    <x v="0"/>
    <s v="Não"/>
    <x v="2"/>
    <d v="2026-06-18T00:00:00"/>
    <d v="2026-01-01T00:00:00"/>
    <s v="qui"/>
    <x v="1"/>
    <x v="0"/>
    <m/>
    <s v="195746191"/>
  </r>
  <r>
    <n v="1957"/>
    <n v="49"/>
    <s v="Masculino"/>
    <s v="Logistica"/>
    <s v="Operador"/>
    <s v="1º Turno"/>
    <x v="0"/>
    <s v="Não"/>
    <x v="2"/>
    <d v="2026-03-23T00:00:00"/>
    <d v="2026-03-01T00:00:00"/>
    <s v="seg"/>
    <x v="4"/>
    <x v="0"/>
    <m/>
    <s v="195746104"/>
  </r>
  <r>
    <n v="1959"/>
    <n v="29"/>
    <s v="Feminino"/>
    <s v="Montagem"/>
    <s v="Operador"/>
    <s v="2º Turno"/>
    <x v="0"/>
    <s v="Não"/>
    <x v="2"/>
    <d v="2025-07-16T00:00:00"/>
    <d v="2025-07-01T00:00:00"/>
    <s v="qua"/>
    <x v="6"/>
    <x v="1"/>
    <m/>
    <s v="195945854"/>
  </r>
  <r>
    <n v="1959"/>
    <n v="29"/>
    <s v="Feminino"/>
    <s v="Montagem"/>
    <s v="Operador"/>
    <s v="2º Turno"/>
    <x v="0"/>
    <s v="Não"/>
    <x v="2"/>
    <d v="2025-07-25T00:00:00"/>
    <d v="2025-07-01T00:00:00"/>
    <s v="sex"/>
    <x v="6"/>
    <x v="1"/>
    <m/>
    <s v="195945863"/>
  </r>
  <r>
    <n v="1959"/>
    <n v="29"/>
    <s v="Feminino"/>
    <s v="Montagem"/>
    <s v="Operador"/>
    <s v="2º Turno"/>
    <x v="0"/>
    <s v="Não"/>
    <x v="2"/>
    <d v="2025-09-27T00:00:00"/>
    <d v="2025-09-01T00:00:00"/>
    <s v="sáb"/>
    <x v="7"/>
    <x v="1"/>
    <m/>
    <s v="195945927"/>
  </r>
  <r>
    <n v="1959"/>
    <n v="29"/>
    <s v="Feminino"/>
    <s v="Montagem"/>
    <s v="Operador"/>
    <s v="2º Turno"/>
    <x v="0"/>
    <s v="Não"/>
    <x v="2"/>
    <d v="2025-12-06T00:00:00"/>
    <d v="2025-12-01T00:00:00"/>
    <s v="sáb"/>
    <x v="8"/>
    <x v="1"/>
    <m/>
    <s v="195945997"/>
  </r>
  <r>
    <n v="1959"/>
    <n v="29"/>
    <s v="Feminino"/>
    <s v="Montagem"/>
    <s v="Operador"/>
    <s v="2º Turno"/>
    <x v="0"/>
    <s v="Não"/>
    <x v="2"/>
    <d v="2026-03-30T00:00:00"/>
    <d v="2026-03-01T00:00:00"/>
    <s v="seg"/>
    <x v="4"/>
    <x v="0"/>
    <m/>
    <s v="195946111"/>
  </r>
  <r>
    <n v="1959"/>
    <n v="29"/>
    <s v="Feminino"/>
    <s v="Montagem"/>
    <s v="Operador"/>
    <s v="2º Turno"/>
    <x v="0"/>
    <s v="Não"/>
    <x v="2"/>
    <d v="2026-05-22T00:00:00"/>
    <d v="2026-05-01T00:00:00"/>
    <s v="sex"/>
    <x v="0"/>
    <x v="0"/>
    <m/>
    <s v="195946164"/>
  </r>
  <r>
    <n v="1960"/>
    <n v="37"/>
    <s v="Feminino"/>
    <s v="Pintura"/>
    <s v="Operador"/>
    <s v="1º Turno"/>
    <x v="0"/>
    <s v="Não"/>
    <x v="2"/>
    <d v="2025-07-05T00:00:00"/>
    <d v="2025-07-01T00:00:00"/>
    <s v="sáb"/>
    <x v="6"/>
    <x v="1"/>
    <m/>
    <s v="196045843"/>
  </r>
  <r>
    <n v="1960"/>
    <n v="37"/>
    <s v="Feminino"/>
    <s v="Pintura"/>
    <s v="Operador"/>
    <s v="1º Turno"/>
    <x v="0"/>
    <s v="Não"/>
    <x v="2"/>
    <d v="2025-08-30T00:00:00"/>
    <d v="2025-08-01T00:00:00"/>
    <s v="sáb"/>
    <x v="9"/>
    <x v="1"/>
    <m/>
    <s v="196045899"/>
  </r>
  <r>
    <n v="1960"/>
    <n v="37"/>
    <s v="Feminino"/>
    <s v="Pintura"/>
    <s v="Operador"/>
    <s v="1º Turno"/>
    <x v="0"/>
    <s v="Não"/>
    <x v="2"/>
    <d v="2025-10-29T00:00:00"/>
    <d v="2025-10-01T00:00:00"/>
    <s v="qua"/>
    <x v="11"/>
    <x v="1"/>
    <m/>
    <s v="196045959"/>
  </r>
  <r>
    <n v="1960"/>
    <n v="37"/>
    <s v="Feminino"/>
    <s v="Pintura"/>
    <s v="Operador"/>
    <s v="1º Turno"/>
    <x v="0"/>
    <s v="Não"/>
    <x v="2"/>
    <d v="2025-12-29T00:00:00"/>
    <d v="2025-12-01T00:00:00"/>
    <s v="seg"/>
    <x v="8"/>
    <x v="1"/>
    <m/>
    <s v="196046020"/>
  </r>
  <r>
    <n v="1960"/>
    <n v="37"/>
    <s v="Feminino"/>
    <s v="Pintura"/>
    <s v="Operador"/>
    <s v="1º Turno"/>
    <x v="0"/>
    <s v="Não"/>
    <x v="2"/>
    <d v="2026-02-20T00:00:00"/>
    <d v="2026-02-01T00:00:00"/>
    <s v="sex"/>
    <x v="3"/>
    <x v="0"/>
    <m/>
    <s v="196046073"/>
  </r>
  <r>
    <n v="1961"/>
    <n v="18"/>
    <s v="Masculino"/>
    <s v="Soldagem"/>
    <s v="Operador"/>
    <s v="2º Turno"/>
    <x v="0"/>
    <s v="Não"/>
    <x v="2"/>
    <d v="2025-06-01T00:00:00"/>
    <d v="2025-06-01T00:00:00"/>
    <s v="dom"/>
    <x v="1"/>
    <x v="1"/>
    <m/>
    <s v="196145809"/>
  </r>
  <r>
    <n v="1961"/>
    <n v="18"/>
    <s v="Masculino"/>
    <s v="Soldagem"/>
    <s v="Operador"/>
    <s v="2º Turno"/>
    <x v="0"/>
    <s v="Não"/>
    <x v="2"/>
    <d v="2025-08-10T00:00:00"/>
    <d v="2025-08-01T00:00:00"/>
    <s v="dom"/>
    <x v="9"/>
    <x v="1"/>
    <m/>
    <s v="196145879"/>
  </r>
  <r>
    <n v="1961"/>
    <n v="18"/>
    <s v="Masculino"/>
    <s v="Soldagem"/>
    <s v="Operador"/>
    <s v="2º Turno"/>
    <x v="0"/>
    <s v="Não"/>
    <x v="2"/>
    <d v="2025-12-25T00:00:00"/>
    <d v="2025-12-01T00:00:00"/>
    <s v="qui"/>
    <x v="8"/>
    <x v="1"/>
    <m/>
    <s v="196146016"/>
  </r>
  <r>
    <n v="1961"/>
    <n v="18"/>
    <s v="Masculino"/>
    <s v="Soldagem"/>
    <s v="Operador"/>
    <s v="2º Turno"/>
    <x v="0"/>
    <s v="Não"/>
    <x v="2"/>
    <d v="2026-02-22T00:00:00"/>
    <d v="2026-02-01T00:00:00"/>
    <s v="dom"/>
    <x v="3"/>
    <x v="0"/>
    <m/>
    <s v="196146075"/>
  </r>
  <r>
    <n v="1961"/>
    <n v="18"/>
    <s v="Masculino"/>
    <s v="Soldagem"/>
    <s v="Operador"/>
    <s v="2º Turno"/>
    <x v="0"/>
    <s v="Não"/>
    <x v="2"/>
    <d v="2026-03-24T00:00:00"/>
    <d v="2026-03-01T00:00:00"/>
    <s v="ter"/>
    <x v="4"/>
    <x v="0"/>
    <m/>
    <s v="196146105"/>
  </r>
  <r>
    <n v="1962"/>
    <n v="22"/>
    <s v="Feminino"/>
    <s v="Montagem"/>
    <s v="Operador"/>
    <s v="3º Turno"/>
    <x v="0"/>
    <s v="Não"/>
    <x v="1"/>
    <d v="2025-06-13T00:00:00"/>
    <d v="2025-06-01T00:00:00"/>
    <s v="sex"/>
    <x v="1"/>
    <x v="1"/>
    <m/>
    <s v="196245821"/>
  </r>
  <r>
    <n v="1962"/>
    <n v="22"/>
    <s v="Feminino"/>
    <s v="Montagem"/>
    <s v="Operador"/>
    <s v="3º Turno"/>
    <x v="0"/>
    <s v="Não"/>
    <x v="1"/>
    <d v="2025-07-18T00:00:00"/>
    <d v="2025-07-01T00:00:00"/>
    <s v="sex"/>
    <x v="6"/>
    <x v="1"/>
    <m/>
    <s v="196245856"/>
  </r>
  <r>
    <n v="1962"/>
    <n v="22"/>
    <s v="Feminino"/>
    <s v="Montagem"/>
    <s v="Operador"/>
    <s v="3º Turno"/>
    <x v="0"/>
    <s v="Não"/>
    <x v="1"/>
    <d v="2025-10-17T00:00:00"/>
    <d v="2025-10-01T00:00:00"/>
    <s v="sex"/>
    <x v="11"/>
    <x v="1"/>
    <m/>
    <s v="196245947"/>
  </r>
  <r>
    <n v="1962"/>
    <n v="22"/>
    <s v="Feminino"/>
    <s v="Montagem"/>
    <s v="Operador"/>
    <s v="3º Turno"/>
    <x v="0"/>
    <s v="Não"/>
    <x v="1"/>
    <d v="2025-12-01T00:00:00"/>
    <d v="2025-12-01T00:00:00"/>
    <s v="seg"/>
    <x v="8"/>
    <x v="1"/>
    <m/>
    <s v="196245992"/>
  </r>
  <r>
    <n v="1962"/>
    <n v="22"/>
    <s v="Feminino"/>
    <s v="Montagem"/>
    <s v="Operador"/>
    <s v="3º Turno"/>
    <x v="0"/>
    <s v="Não"/>
    <x v="1"/>
    <d v="2026-06-10T00:00:00"/>
    <d v="2026-01-01T00:00:00"/>
    <s v="qua"/>
    <x v="1"/>
    <x v="0"/>
    <m/>
    <s v="196246183"/>
  </r>
  <r>
    <n v="1963"/>
    <n v="42"/>
    <s v="Masculino"/>
    <s v="Qualidade"/>
    <s v="Inspetor"/>
    <s v="3º Turno"/>
    <x v="0"/>
    <s v="Não"/>
    <x v="2"/>
    <d v="2025-06-01T00:00:00"/>
    <d v="2025-06-01T00:00:00"/>
    <s v="dom"/>
    <x v="1"/>
    <x v="1"/>
    <m/>
    <s v="196345809"/>
  </r>
  <r>
    <n v="1963"/>
    <n v="42"/>
    <s v="Masculino"/>
    <s v="Qualidade"/>
    <s v="Inspetor"/>
    <s v="3º Turno"/>
    <x v="0"/>
    <s v="Não"/>
    <x v="2"/>
    <d v="2025-10-31T00:00:00"/>
    <d v="2025-10-01T00:00:00"/>
    <s v="sex"/>
    <x v="11"/>
    <x v="1"/>
    <m/>
    <s v="196345961"/>
  </r>
  <r>
    <n v="1963"/>
    <n v="42"/>
    <s v="Masculino"/>
    <s v="Qualidade"/>
    <s v="Inspetor"/>
    <s v="3º Turno"/>
    <x v="0"/>
    <s v="Não"/>
    <x v="2"/>
    <d v="2025-12-13T00:00:00"/>
    <d v="2025-12-01T00:00:00"/>
    <s v="sáb"/>
    <x v="8"/>
    <x v="1"/>
    <m/>
    <s v="196346004"/>
  </r>
  <r>
    <n v="1963"/>
    <n v="42"/>
    <s v="Masculino"/>
    <s v="Qualidade"/>
    <s v="Inspetor"/>
    <s v="3º Turno"/>
    <x v="0"/>
    <s v="Não"/>
    <x v="2"/>
    <d v="2026-06-11T00:00:00"/>
    <d v="2026-01-01T00:00:00"/>
    <s v="qui"/>
    <x v="1"/>
    <x v="0"/>
    <m/>
    <s v="196346184"/>
  </r>
  <r>
    <n v="1963"/>
    <n v="42"/>
    <s v="Masculino"/>
    <s v="Qualidade"/>
    <s v="Inspetor"/>
    <s v="3º Turno"/>
    <x v="0"/>
    <s v="Não"/>
    <x v="2"/>
    <d v="2026-06-30T00:00:00"/>
    <d v="2026-01-01T00:00:00"/>
    <s v="ter"/>
    <x v="1"/>
    <x v="0"/>
    <m/>
    <s v="196346203"/>
  </r>
  <r>
    <n v="1964"/>
    <n v="34"/>
    <s v="Feminino"/>
    <s v="Montagem"/>
    <s v="Operador"/>
    <s v="1º Turno"/>
    <x v="0"/>
    <s v="Não"/>
    <x v="0"/>
    <d v="2025-08-14T00:00:00"/>
    <d v="2025-08-01T00:00:00"/>
    <s v="qui"/>
    <x v="9"/>
    <x v="1"/>
    <m/>
    <s v="196445883"/>
  </r>
  <r>
    <n v="1964"/>
    <n v="34"/>
    <s v="Feminino"/>
    <s v="Montagem"/>
    <s v="Operador"/>
    <s v="1º Turno"/>
    <x v="0"/>
    <s v="Não"/>
    <x v="0"/>
    <d v="2025-08-16T00:00:00"/>
    <d v="2025-08-01T00:00:00"/>
    <s v="sáb"/>
    <x v="9"/>
    <x v="1"/>
    <m/>
    <s v="196445885"/>
  </r>
  <r>
    <n v="1964"/>
    <n v="34"/>
    <s v="Feminino"/>
    <s v="Montagem"/>
    <s v="Operador"/>
    <s v="1º Turno"/>
    <x v="0"/>
    <s v="Não"/>
    <x v="0"/>
    <d v="2026-06-01T00:00:00"/>
    <d v="2026-01-01T00:00:00"/>
    <s v="seg"/>
    <x v="1"/>
    <x v="0"/>
    <m/>
    <s v="196446174"/>
  </r>
  <r>
    <n v="1964"/>
    <n v="34"/>
    <s v="Feminino"/>
    <s v="Montagem"/>
    <s v="Operador"/>
    <s v="1º Turno"/>
    <x v="0"/>
    <s v="Não"/>
    <x v="0"/>
    <d v="2026-06-19T00:00:00"/>
    <d v="2026-01-01T00:00:00"/>
    <s v="sex"/>
    <x v="1"/>
    <x v="0"/>
    <m/>
    <s v="196446192"/>
  </r>
  <r>
    <n v="1964"/>
    <n v="34"/>
    <s v="Feminino"/>
    <s v="Montagem"/>
    <s v="Operador"/>
    <s v="1º Turno"/>
    <x v="0"/>
    <s v="Não"/>
    <x v="0"/>
    <d v="2026-02-23T00:00:00"/>
    <d v="2026-02-01T00:00:00"/>
    <s v="seg"/>
    <x v="3"/>
    <x v="0"/>
    <m/>
    <s v="196446076"/>
  </r>
  <r>
    <n v="1964"/>
    <n v="34"/>
    <s v="Feminino"/>
    <s v="Montagem"/>
    <s v="Operador"/>
    <s v="1º Turno"/>
    <x v="0"/>
    <s v="Não"/>
    <x v="0"/>
    <d v="2026-03-12T00:00:00"/>
    <d v="2026-03-01T00:00:00"/>
    <s v="qui"/>
    <x v="4"/>
    <x v="0"/>
    <m/>
    <s v="196446093"/>
  </r>
  <r>
    <n v="1965"/>
    <n v="36"/>
    <s v="Masculino"/>
    <s v="Montagem"/>
    <s v="Operador"/>
    <s v="1º Turno"/>
    <x v="0"/>
    <s v="Não"/>
    <x v="1"/>
    <d v="2025-07-09T00:00:00"/>
    <d v="2025-07-01T00:00:00"/>
    <s v="qua"/>
    <x v="6"/>
    <x v="1"/>
    <m/>
    <s v="196545847"/>
  </r>
  <r>
    <n v="1965"/>
    <n v="36"/>
    <s v="Masculino"/>
    <s v="Montagem"/>
    <s v="Operador"/>
    <s v="1º Turno"/>
    <x v="0"/>
    <s v="Não"/>
    <x v="1"/>
    <d v="2025-07-20T00:00:00"/>
    <d v="2025-07-01T00:00:00"/>
    <s v="dom"/>
    <x v="6"/>
    <x v="1"/>
    <m/>
    <s v="196545858"/>
  </r>
  <r>
    <n v="1965"/>
    <n v="36"/>
    <s v="Masculino"/>
    <s v="Montagem"/>
    <s v="Operador"/>
    <s v="1º Turno"/>
    <x v="0"/>
    <s v="Não"/>
    <x v="1"/>
    <d v="2025-07-23T00:00:00"/>
    <d v="2025-07-01T00:00:00"/>
    <s v="qua"/>
    <x v="6"/>
    <x v="1"/>
    <m/>
    <s v="196545861"/>
  </r>
  <r>
    <n v="1965"/>
    <n v="36"/>
    <s v="Masculino"/>
    <s v="Montagem"/>
    <s v="Operador"/>
    <s v="1º Turno"/>
    <x v="0"/>
    <s v="Não"/>
    <x v="1"/>
    <d v="2026-06-04T00:00:00"/>
    <d v="2026-01-01T00:00:00"/>
    <s v="qui"/>
    <x v="1"/>
    <x v="0"/>
    <m/>
    <s v="196546177"/>
  </r>
  <r>
    <n v="1965"/>
    <n v="36"/>
    <s v="Masculino"/>
    <s v="Montagem"/>
    <s v="Operador"/>
    <s v="1º Turno"/>
    <x v="0"/>
    <s v="Não"/>
    <x v="1"/>
    <d v="2026-03-30T00:00:00"/>
    <d v="2026-03-01T00:00:00"/>
    <s v="seg"/>
    <x v="4"/>
    <x v="0"/>
    <m/>
    <s v="196546111"/>
  </r>
  <r>
    <n v="1965"/>
    <n v="36"/>
    <s v="Masculino"/>
    <s v="Montagem"/>
    <s v="Operador"/>
    <s v="1º Turno"/>
    <x v="0"/>
    <s v="Não"/>
    <x v="1"/>
    <d v="2026-05-31T00:00:00"/>
    <d v="2026-05-01T00:00:00"/>
    <s v="dom"/>
    <x v="0"/>
    <x v="0"/>
    <m/>
    <s v="196546173"/>
  </r>
  <r>
    <n v="1967"/>
    <n v="37"/>
    <s v="Masculino"/>
    <s v="Qualidade"/>
    <s v="Inspetor"/>
    <s v="2º Turno"/>
    <x v="2"/>
    <s v="Não"/>
    <x v="2"/>
    <d v="2025-04-26T00:00:00"/>
    <d v="2025-04-01T00:00:00"/>
    <s v="sáb"/>
    <x v="2"/>
    <x v="1"/>
    <m/>
    <s v="196745773"/>
  </r>
  <r>
    <n v="1967"/>
    <n v="37"/>
    <s v="Masculino"/>
    <s v="Qualidade"/>
    <s v="Inspetor"/>
    <s v="2º Turno"/>
    <x v="2"/>
    <s v="Não"/>
    <x v="2"/>
    <d v="2025-05-15T00:00:00"/>
    <d v="2025-05-01T00:00:00"/>
    <s v="qui"/>
    <x v="0"/>
    <x v="1"/>
    <m/>
    <s v="196745792"/>
  </r>
  <r>
    <n v="1967"/>
    <n v="37"/>
    <s v="Masculino"/>
    <s v="Qualidade"/>
    <s v="Inspetor"/>
    <s v="2º Turno"/>
    <x v="2"/>
    <s v="Não"/>
    <x v="2"/>
    <d v="2025-07-11T00:00:00"/>
    <d v="2025-07-01T00:00:00"/>
    <s v="sex"/>
    <x v="6"/>
    <x v="1"/>
    <m/>
    <s v="196745849"/>
  </r>
  <r>
    <n v="1967"/>
    <n v="37"/>
    <s v="Masculino"/>
    <s v="Qualidade"/>
    <s v="Inspetor"/>
    <s v="2º Turno"/>
    <x v="2"/>
    <s v="Não"/>
    <x v="2"/>
    <d v="2025-12-02T00:00:00"/>
    <d v="2025-12-01T00:00:00"/>
    <s v="ter"/>
    <x v="8"/>
    <x v="1"/>
    <m/>
    <s v="196745993"/>
  </r>
  <r>
    <n v="1967"/>
    <n v="37"/>
    <s v="Masculino"/>
    <s v="Qualidade"/>
    <s v="Inspetor"/>
    <s v="2º Turno"/>
    <x v="2"/>
    <s v="Não"/>
    <x v="2"/>
    <d v="2025-12-05T00:00:00"/>
    <d v="2025-12-01T00:00:00"/>
    <s v="sex"/>
    <x v="8"/>
    <x v="1"/>
    <m/>
    <s v="196745996"/>
  </r>
  <r>
    <n v="1967"/>
    <n v="37"/>
    <s v="Masculino"/>
    <s v="Qualidade"/>
    <s v="Inspetor"/>
    <s v="2º Turno"/>
    <x v="2"/>
    <s v="Não"/>
    <x v="2"/>
    <d v="2026-03-26T00:00:00"/>
    <d v="2026-03-01T00:00:00"/>
    <s v="qui"/>
    <x v="4"/>
    <x v="0"/>
    <m/>
    <s v="196746107"/>
  </r>
  <r>
    <n v="1967"/>
    <n v="37"/>
    <s v="Masculino"/>
    <s v="Qualidade"/>
    <s v="Inspetor"/>
    <s v="2º Turno"/>
    <x v="2"/>
    <s v="Não"/>
    <x v="2"/>
    <d v="2026-04-26T00:00:00"/>
    <d v="2026-04-01T00:00:00"/>
    <s v="sáb"/>
    <x v="2"/>
    <x v="1"/>
    <m/>
    <s v="196746138"/>
  </r>
  <r>
    <n v="1967"/>
    <n v="37"/>
    <s v="Masculino"/>
    <s v="Qualidade"/>
    <s v="Inspetor"/>
    <s v="2º Turno"/>
    <x v="2"/>
    <s v="Não"/>
    <x v="2"/>
    <d v="2026-05-15T00:00:00"/>
    <d v="2026-05-01T00:00:00"/>
    <s v="qui"/>
    <x v="0"/>
    <x v="1"/>
    <m/>
    <s v="196746157"/>
  </r>
  <r>
    <n v="1967"/>
    <n v="37"/>
    <s v="Masculino"/>
    <s v="Qualidade"/>
    <s v="Inspetor"/>
    <s v="2º Turno"/>
    <x v="2"/>
    <s v="Não"/>
    <x v="2"/>
    <d v="2026-06-07T00:00:00"/>
    <d v="2026-06-01T00:00:00"/>
    <s v="dom"/>
    <x v="1"/>
    <x v="0"/>
    <m/>
    <s v="196746180"/>
  </r>
  <r>
    <n v="1968"/>
    <n v="54"/>
    <s v="Feminino"/>
    <s v="Qualidade"/>
    <s v="Inspetor"/>
    <s v="3º Turno"/>
    <x v="2"/>
    <s v="Não"/>
    <x v="0"/>
    <d v="2025-04-21T00:00:00"/>
    <d v="2025-04-01T00:00:00"/>
    <s v="seg"/>
    <x v="2"/>
    <x v="1"/>
    <m/>
    <s v="196845768"/>
  </r>
  <r>
    <n v="1968"/>
    <n v="54"/>
    <s v="Feminino"/>
    <s v="Qualidade"/>
    <s v="Inspetor"/>
    <s v="3º Turno"/>
    <x v="2"/>
    <s v="Não"/>
    <x v="0"/>
    <d v="2025-06-12T00:00:00"/>
    <d v="2025-06-01T00:00:00"/>
    <s v="qui"/>
    <x v="1"/>
    <x v="1"/>
    <m/>
    <s v="196845820"/>
  </r>
  <r>
    <n v="1968"/>
    <n v="54"/>
    <s v="Feminino"/>
    <s v="Qualidade"/>
    <s v="Inspetor"/>
    <s v="3º Turno"/>
    <x v="0"/>
    <s v="Não"/>
    <x v="0"/>
    <d v="2025-07-18T00:00:00"/>
    <d v="2025-07-01T00:00:00"/>
    <s v="sex"/>
    <x v="6"/>
    <x v="1"/>
    <m/>
    <s v="196845856"/>
  </r>
  <r>
    <n v="1968"/>
    <n v="54"/>
    <s v="Feminino"/>
    <s v="Qualidade"/>
    <s v="Inspetor"/>
    <s v="3º Turno"/>
    <x v="0"/>
    <s v="Não"/>
    <x v="0"/>
    <d v="2025-08-06T00:00:00"/>
    <d v="2025-08-01T00:00:00"/>
    <s v="qua"/>
    <x v="9"/>
    <x v="1"/>
    <m/>
    <s v="196845875"/>
  </r>
  <r>
    <n v="1968"/>
    <n v="54"/>
    <s v="Feminino"/>
    <s v="Qualidade"/>
    <s v="Inspetor"/>
    <s v="3º Turno"/>
    <x v="0"/>
    <s v="Não"/>
    <x v="0"/>
    <d v="2025-09-09T00:00:00"/>
    <d v="2025-09-01T00:00:00"/>
    <s v="ter"/>
    <x v="7"/>
    <x v="1"/>
    <m/>
    <s v="196845909"/>
  </r>
  <r>
    <n v="1968"/>
    <n v="54"/>
    <s v="Feminino"/>
    <s v="Qualidade"/>
    <s v="Inspetor"/>
    <s v="3º Turno"/>
    <x v="2"/>
    <s v="Não"/>
    <x v="0"/>
    <d v="2026-04-21T00:00:00"/>
    <d v="2026-04-01T00:00:00"/>
    <s v="seg"/>
    <x v="2"/>
    <x v="1"/>
    <m/>
    <s v="196846133"/>
  </r>
  <r>
    <n v="1969"/>
    <n v="49"/>
    <s v="Feminino"/>
    <s v="Soldagem"/>
    <s v="Operador"/>
    <s v="2º Turno"/>
    <x v="0"/>
    <s v="Não"/>
    <x v="1"/>
    <d v="2025-06-24T00:00:00"/>
    <d v="2025-06-01T00:00:00"/>
    <s v="ter"/>
    <x v="1"/>
    <x v="1"/>
    <m/>
    <s v="196945832"/>
  </r>
  <r>
    <n v="1969"/>
    <n v="49"/>
    <s v="Feminino"/>
    <s v="Soldagem"/>
    <s v="Operador"/>
    <s v="2º Turno"/>
    <x v="0"/>
    <s v="Não"/>
    <x v="1"/>
    <d v="2025-09-07T00:00:00"/>
    <d v="2025-09-01T00:00:00"/>
    <s v="dom"/>
    <x v="7"/>
    <x v="1"/>
    <m/>
    <s v="196945907"/>
  </r>
  <r>
    <n v="1969"/>
    <n v="49"/>
    <s v="Feminino"/>
    <s v="Soldagem"/>
    <s v="Operador"/>
    <s v="2º Turno"/>
    <x v="0"/>
    <s v="Não"/>
    <x v="1"/>
    <d v="2025-10-08T00:00:00"/>
    <d v="2025-10-01T00:00:00"/>
    <s v="qua"/>
    <x v="11"/>
    <x v="1"/>
    <m/>
    <s v="196945938"/>
  </r>
  <r>
    <n v="1969"/>
    <n v="49"/>
    <s v="Feminino"/>
    <s v="Soldagem"/>
    <s v="Operador"/>
    <s v="2º Turno"/>
    <x v="0"/>
    <s v="Não"/>
    <x v="1"/>
    <d v="2026-02-06T00:00:00"/>
    <d v="2026-02-01T00:00:00"/>
    <s v="sex"/>
    <x v="3"/>
    <x v="0"/>
    <m/>
    <s v="196946059"/>
  </r>
  <r>
    <n v="1969"/>
    <n v="49"/>
    <s v="Feminino"/>
    <s v="Soldagem"/>
    <s v="Operador"/>
    <s v="2º Turno"/>
    <x v="0"/>
    <s v="Não"/>
    <x v="1"/>
    <d v="2026-03-10T00:00:00"/>
    <d v="2026-03-01T00:00:00"/>
    <s v="ter"/>
    <x v="4"/>
    <x v="0"/>
    <m/>
    <s v="196946091"/>
  </r>
  <r>
    <n v="1969"/>
    <n v="49"/>
    <s v="Feminino"/>
    <s v="Soldagem"/>
    <s v="Operador"/>
    <s v="2º Turno"/>
    <x v="0"/>
    <s v="Não"/>
    <x v="1"/>
    <d v="2026-04-01T00:00:00"/>
    <m/>
    <s v="qua"/>
    <x v="2"/>
    <x v="0"/>
    <m/>
    <s v="196946113"/>
  </r>
  <r>
    <n v="1969"/>
    <n v="49"/>
    <s v="Feminino"/>
    <s v="Soldagem"/>
    <s v="Operador"/>
    <s v="2º Turno"/>
    <x v="0"/>
    <s v="Não"/>
    <x v="1"/>
    <d v="2026-04-02T00:00:00"/>
    <m/>
    <s v="qui"/>
    <x v="2"/>
    <x v="0"/>
    <m/>
    <s v="196946114"/>
  </r>
  <r>
    <n v="1969"/>
    <n v="49"/>
    <s v="Feminino"/>
    <s v="Soldagem"/>
    <s v="Operador"/>
    <s v="2º Turno"/>
    <x v="0"/>
    <s v="Não"/>
    <x v="1"/>
    <d v="2026-04-10T00:00:00"/>
    <m/>
    <s v="sex"/>
    <x v="2"/>
    <x v="0"/>
    <m/>
    <s v="196946122"/>
  </r>
  <r>
    <n v="1969"/>
    <n v="49"/>
    <s v="Feminino"/>
    <s v="Soldagem"/>
    <s v="Operador"/>
    <s v="2º Turno"/>
    <x v="0"/>
    <s v="Não"/>
    <x v="1"/>
    <d v="2026-04-15T00:00:00"/>
    <m/>
    <s v="qua"/>
    <x v="2"/>
    <x v="0"/>
    <m/>
    <s v="196946127"/>
  </r>
  <r>
    <n v="1969"/>
    <n v="49"/>
    <s v="Feminino"/>
    <s v="Soldagem"/>
    <s v="Operador"/>
    <s v="2º Turno"/>
    <x v="0"/>
    <s v="Não"/>
    <x v="1"/>
    <d v="2026-05-01T00:00:00"/>
    <m/>
    <s v="sex"/>
    <x v="0"/>
    <x v="0"/>
    <m/>
    <s v="196946143"/>
  </r>
  <r>
    <n v="1969"/>
    <n v="49"/>
    <s v="Feminino"/>
    <s v="Soldagem"/>
    <s v="Operador"/>
    <s v="2º Turno"/>
    <x v="0"/>
    <s v="Não"/>
    <x v="1"/>
    <d v="2026-05-02T00:00:00"/>
    <m/>
    <s v="sáb"/>
    <x v="0"/>
    <x v="0"/>
    <m/>
    <s v="196946144"/>
  </r>
  <r>
    <n v="1969"/>
    <n v="49"/>
    <s v="Feminino"/>
    <s v="Soldagem"/>
    <s v="Operador"/>
    <s v="2º Turno"/>
    <x v="0"/>
    <s v="Não"/>
    <x v="1"/>
    <d v="2026-05-10T00:00:00"/>
    <m/>
    <s v="dom"/>
    <x v="0"/>
    <x v="0"/>
    <m/>
    <s v="196946152"/>
  </r>
  <r>
    <n v="1969"/>
    <n v="49"/>
    <s v="Feminino"/>
    <s v="Soldagem"/>
    <s v="Operador"/>
    <s v="2º Turno"/>
    <x v="0"/>
    <s v="Não"/>
    <x v="1"/>
    <d v="2026-05-15T00:00:00"/>
    <m/>
    <s v="sex"/>
    <x v="0"/>
    <x v="0"/>
    <m/>
    <s v="196946157"/>
  </r>
  <r>
    <n v="1970"/>
    <n v="43"/>
    <s v="Feminino"/>
    <s v="Soldagem"/>
    <s v="Operador"/>
    <s v="2º Turno"/>
    <x v="0"/>
    <s v="Não"/>
    <x v="1"/>
    <d v="2025-08-18T00:00:00"/>
    <d v="2025-08-01T00:00:00"/>
    <s v="seg"/>
    <x v="9"/>
    <x v="1"/>
    <m/>
    <s v="197045887"/>
  </r>
  <r>
    <n v="1970"/>
    <n v="43"/>
    <s v="Feminino"/>
    <s v="Soldagem"/>
    <s v="Operador"/>
    <s v="2º Turno"/>
    <x v="0"/>
    <s v="Não"/>
    <x v="1"/>
    <d v="2025-11-10T00:00:00"/>
    <d v="2025-11-01T00:00:00"/>
    <s v="seg"/>
    <x v="10"/>
    <x v="1"/>
    <m/>
    <s v="197045971"/>
  </r>
  <r>
    <n v="1970"/>
    <n v="43"/>
    <s v="Feminino"/>
    <s v="Soldagem"/>
    <s v="Operador"/>
    <s v="2º Turno"/>
    <x v="0"/>
    <s v="Não"/>
    <x v="1"/>
    <d v="2025-11-12T00:00:00"/>
    <d v="2025-11-01T00:00:00"/>
    <s v="qua"/>
    <x v="10"/>
    <x v="1"/>
    <m/>
    <s v="197045973"/>
  </r>
  <r>
    <n v="1970"/>
    <n v="43"/>
    <s v="Feminino"/>
    <s v="Soldagem"/>
    <s v="Operador"/>
    <s v="2º Turno"/>
    <x v="0"/>
    <s v="Não"/>
    <x v="1"/>
    <d v="2025-11-23T00:00:00"/>
    <d v="2025-11-01T00:00:00"/>
    <s v="dom"/>
    <x v="10"/>
    <x v="1"/>
    <m/>
    <s v="197045984"/>
  </r>
  <r>
    <n v="1970"/>
    <n v="43"/>
    <s v="Feminino"/>
    <s v="Soldagem"/>
    <s v="Operador"/>
    <s v="2º Turno"/>
    <x v="0"/>
    <s v="Não"/>
    <x v="1"/>
    <d v="2026-03-10T00:00:00"/>
    <d v="2026-03-01T00:00:00"/>
    <s v="ter"/>
    <x v="4"/>
    <x v="0"/>
    <m/>
    <s v="197046091"/>
  </r>
  <r>
    <n v="1970"/>
    <n v="43"/>
    <s v="Feminino"/>
    <s v="Soldagem"/>
    <s v="Operador"/>
    <s v="2º Turno"/>
    <x v="0"/>
    <s v="Não"/>
    <x v="1"/>
    <d v="2026-04-07T00:00:00"/>
    <d v="2026-04-01T00:00:00"/>
    <s v="ter"/>
    <x v="2"/>
    <x v="0"/>
    <m/>
    <s v="197046119"/>
  </r>
  <r>
    <n v="1970"/>
    <n v="43"/>
    <s v="Feminino"/>
    <s v="Soldagem"/>
    <s v="Operador"/>
    <s v="2º Turno"/>
    <x v="0"/>
    <s v="Não"/>
    <x v="1"/>
    <d v="2026-06-26T00:00:00"/>
    <d v="2026-06-01T00:00:00"/>
    <s v="sex"/>
    <x v="1"/>
    <x v="0"/>
    <m/>
    <s v="197046199"/>
  </r>
  <r>
    <n v="1971"/>
    <n v="30"/>
    <s v="Masculino"/>
    <s v="Pintura"/>
    <s v="Operador"/>
    <s v="2º Turno"/>
    <x v="0"/>
    <s v="Não"/>
    <x v="1"/>
    <d v="2025-08-11T00:00:00"/>
    <d v="2025-08-01T00:00:00"/>
    <s v="seg"/>
    <x v="9"/>
    <x v="1"/>
    <m/>
    <s v="197145880"/>
  </r>
  <r>
    <n v="1971"/>
    <n v="30"/>
    <s v="Masculino"/>
    <s v="Pintura"/>
    <s v="Operador"/>
    <s v="2º Turno"/>
    <x v="0"/>
    <s v="Não"/>
    <x v="1"/>
    <d v="2025-09-20T00:00:00"/>
    <d v="2025-09-01T00:00:00"/>
    <s v="sáb"/>
    <x v="7"/>
    <x v="1"/>
    <m/>
    <s v="197145920"/>
  </r>
  <r>
    <n v="1971"/>
    <n v="30"/>
    <s v="Masculino"/>
    <s v="Pintura"/>
    <s v="Operador"/>
    <s v="2º Turno"/>
    <x v="0"/>
    <s v="Não"/>
    <x v="1"/>
    <d v="2025-09-30T00:00:00"/>
    <d v="2025-09-01T00:00:00"/>
    <s v="ter"/>
    <x v="7"/>
    <x v="1"/>
    <m/>
    <s v="197145930"/>
  </r>
  <r>
    <n v="1971"/>
    <n v="30"/>
    <s v="Masculino"/>
    <s v="Pintura"/>
    <s v="Operador"/>
    <s v="2º Turno"/>
    <x v="0"/>
    <s v="Não"/>
    <x v="1"/>
    <d v="2025-11-04T00:00:00"/>
    <d v="2025-11-01T00:00:00"/>
    <s v="ter"/>
    <x v="10"/>
    <x v="1"/>
    <m/>
    <s v="197145965"/>
  </r>
  <r>
    <n v="1971"/>
    <n v="30"/>
    <s v="Masculino"/>
    <s v="Pintura"/>
    <s v="Operador"/>
    <s v="2º Turno"/>
    <x v="0"/>
    <s v="Não"/>
    <x v="1"/>
    <d v="2025-12-28T00:00:00"/>
    <d v="2025-12-01T00:00:00"/>
    <s v="dom"/>
    <x v="8"/>
    <x v="1"/>
    <m/>
    <s v="197146019"/>
  </r>
  <r>
    <n v="1972"/>
    <n v="49"/>
    <s v="Feminino"/>
    <s v="Montagem"/>
    <s v="Operador"/>
    <s v="3º Turno"/>
    <x v="0"/>
    <s v="Não"/>
    <x v="0"/>
    <d v="2025-08-15T00:00:00"/>
    <d v="2025-08-01T00:00:00"/>
    <s v="sex"/>
    <x v="9"/>
    <x v="1"/>
    <m/>
    <s v="197245884"/>
  </r>
  <r>
    <n v="1972"/>
    <n v="49"/>
    <s v="Feminino"/>
    <s v="Montagem"/>
    <s v="Operador"/>
    <s v="3º Turno"/>
    <x v="0"/>
    <s v="Não"/>
    <x v="0"/>
    <d v="2025-08-19T00:00:00"/>
    <d v="2025-08-01T00:00:00"/>
    <s v="ter"/>
    <x v="9"/>
    <x v="1"/>
    <m/>
    <s v="197245888"/>
  </r>
  <r>
    <n v="1972"/>
    <n v="49"/>
    <s v="Feminino"/>
    <s v="Montagem"/>
    <s v="Operador"/>
    <s v="3º Turno"/>
    <x v="0"/>
    <s v="Não"/>
    <x v="0"/>
    <d v="2025-11-07T00:00:00"/>
    <d v="2025-11-01T00:00:00"/>
    <s v="sex"/>
    <x v="10"/>
    <x v="1"/>
    <m/>
    <s v="197245968"/>
  </r>
  <r>
    <n v="1972"/>
    <n v="49"/>
    <s v="Feminino"/>
    <s v="Montagem"/>
    <s v="Operador"/>
    <s v="3º Turno"/>
    <x v="0"/>
    <s v="Não"/>
    <x v="0"/>
    <d v="2026-02-20T00:00:00"/>
    <d v="2026-02-01T00:00:00"/>
    <s v="sex"/>
    <x v="3"/>
    <x v="0"/>
    <m/>
    <s v="197246073"/>
  </r>
  <r>
    <n v="1972"/>
    <n v="49"/>
    <s v="Feminino"/>
    <s v="Montagem"/>
    <s v="Operador"/>
    <s v="3º Turno"/>
    <x v="0"/>
    <s v="Não"/>
    <x v="0"/>
    <d v="2026-03-17T00:00:00"/>
    <d v="2026-03-01T00:00:00"/>
    <s v="ter"/>
    <x v="4"/>
    <x v="0"/>
    <m/>
    <s v="197246098"/>
  </r>
  <r>
    <n v="1973"/>
    <n v="25"/>
    <s v="Masculino"/>
    <s v="Qualidade"/>
    <s v="Analista"/>
    <s v="2º Turno"/>
    <x v="0"/>
    <s v="Não"/>
    <x v="0"/>
    <d v="2025-06-18T00:00:00"/>
    <d v="2025-06-01T00:00:00"/>
    <s v="qua"/>
    <x v="1"/>
    <x v="1"/>
    <m/>
    <s v="197345826"/>
  </r>
  <r>
    <n v="1973"/>
    <n v="25"/>
    <s v="Masculino"/>
    <s v="Qualidade"/>
    <s v="Analista"/>
    <s v="2º Turno"/>
    <x v="0"/>
    <s v="Não"/>
    <x v="0"/>
    <d v="2025-08-22T00:00:00"/>
    <d v="2025-08-01T00:00:00"/>
    <s v="sex"/>
    <x v="9"/>
    <x v="1"/>
    <m/>
    <s v="197345891"/>
  </r>
  <r>
    <n v="1973"/>
    <n v="25"/>
    <s v="Masculino"/>
    <s v="Qualidade"/>
    <s v="Analista"/>
    <s v="2º Turno"/>
    <x v="0"/>
    <s v="Não"/>
    <x v="0"/>
    <d v="2025-12-14T00:00:00"/>
    <d v="2025-12-01T00:00:00"/>
    <s v="dom"/>
    <x v="8"/>
    <x v="1"/>
    <m/>
    <s v="197346005"/>
  </r>
  <r>
    <n v="1973"/>
    <n v="25"/>
    <s v="Masculino"/>
    <s v="Qualidade"/>
    <s v="Analista"/>
    <s v="2º Turno"/>
    <x v="0"/>
    <s v="Não"/>
    <x v="0"/>
    <d v="2026-02-26T00:00:00"/>
    <d v="2026-02-01T00:00:00"/>
    <s v="qui"/>
    <x v="3"/>
    <x v="0"/>
    <m/>
    <s v="197346079"/>
  </r>
  <r>
    <n v="1973"/>
    <n v="25"/>
    <s v="Masculino"/>
    <s v="Qualidade"/>
    <s v="Analista"/>
    <s v="2º Turno"/>
    <x v="0"/>
    <s v="Não"/>
    <x v="0"/>
    <d v="2026-03-22T00:00:00"/>
    <d v="2026-03-01T00:00:00"/>
    <s v="dom"/>
    <x v="4"/>
    <x v="0"/>
    <m/>
    <s v="197346103"/>
  </r>
  <r>
    <n v="1974"/>
    <n v="27"/>
    <s v="Masculino"/>
    <s v="Montagem"/>
    <s v="Operador"/>
    <s v="3º Turno"/>
    <x v="0"/>
    <s v="Não"/>
    <x v="0"/>
    <d v="2025-06-09T00:00:00"/>
    <d v="2025-06-01T00:00:00"/>
    <s v="seg"/>
    <x v="1"/>
    <x v="1"/>
    <m/>
    <s v="197445817"/>
  </r>
  <r>
    <n v="1974"/>
    <n v="27"/>
    <s v="Masculino"/>
    <s v="Montagem"/>
    <s v="Operador"/>
    <s v="3º Turno"/>
    <x v="0"/>
    <s v="Não"/>
    <x v="0"/>
    <d v="2025-06-25T00:00:00"/>
    <d v="2025-06-01T00:00:00"/>
    <s v="qua"/>
    <x v="1"/>
    <x v="1"/>
    <m/>
    <s v="197445833"/>
  </r>
  <r>
    <n v="1974"/>
    <n v="27"/>
    <s v="Masculino"/>
    <s v="Montagem"/>
    <s v="Operador"/>
    <s v="3º Turno"/>
    <x v="0"/>
    <s v="Não"/>
    <x v="0"/>
    <d v="2025-07-25T00:00:00"/>
    <d v="2025-07-01T00:00:00"/>
    <s v="sex"/>
    <x v="6"/>
    <x v="1"/>
    <m/>
    <s v="197445863"/>
  </r>
  <r>
    <n v="1974"/>
    <n v="27"/>
    <s v="Masculino"/>
    <s v="Montagem"/>
    <s v="Operador"/>
    <s v="3º Turno"/>
    <x v="0"/>
    <s v="Não"/>
    <x v="0"/>
    <d v="2026-06-09T00:00:00"/>
    <d v="2026-01-01T00:00:00"/>
    <s v="ter"/>
    <x v="1"/>
    <x v="0"/>
    <m/>
    <s v="197446182"/>
  </r>
  <r>
    <n v="1974"/>
    <n v="27"/>
    <s v="Masculino"/>
    <s v="Montagem"/>
    <s v="Operador"/>
    <s v="3º Turno"/>
    <x v="0"/>
    <s v="Não"/>
    <x v="0"/>
    <d v="2026-02-24T00:00:00"/>
    <d v="2026-02-01T00:00:00"/>
    <s v="ter"/>
    <x v="3"/>
    <x v="0"/>
    <m/>
    <s v="197446077"/>
  </r>
  <r>
    <n v="1974"/>
    <n v="27"/>
    <s v="Masculino"/>
    <s v="Montagem"/>
    <s v="Operador"/>
    <s v="3º Turno"/>
    <x v="0"/>
    <s v="Não"/>
    <x v="0"/>
    <d v="2026-03-08T00:00:00"/>
    <d v="2026-03-01T00:00:00"/>
    <s v="dom"/>
    <x v="4"/>
    <x v="0"/>
    <m/>
    <s v="197446089"/>
  </r>
  <r>
    <n v="1975"/>
    <n v="36"/>
    <s v="Masculino"/>
    <s v="Logistica"/>
    <s v="Operador"/>
    <s v="3º Turno"/>
    <x v="0"/>
    <s v="Não"/>
    <x v="0"/>
    <d v="2025-09-03T00:00:00"/>
    <d v="2025-09-01T00:00:00"/>
    <s v="qua"/>
    <x v="7"/>
    <x v="1"/>
    <m/>
    <s v="197545903"/>
  </r>
  <r>
    <n v="1975"/>
    <n v="36"/>
    <s v="Masculino"/>
    <s v="Logistica"/>
    <s v="Operador"/>
    <s v="3º Turno"/>
    <x v="0"/>
    <s v="Não"/>
    <x v="0"/>
    <d v="2025-09-19T00:00:00"/>
    <d v="2025-09-01T00:00:00"/>
    <s v="sex"/>
    <x v="7"/>
    <x v="1"/>
    <m/>
    <s v="197545919"/>
  </r>
  <r>
    <n v="1975"/>
    <n v="36"/>
    <s v="Masculino"/>
    <s v="Logistica"/>
    <s v="Operador"/>
    <s v="3º Turno"/>
    <x v="0"/>
    <s v="Não"/>
    <x v="0"/>
    <d v="2025-10-05T00:00:00"/>
    <d v="2025-10-01T00:00:00"/>
    <s v="dom"/>
    <x v="11"/>
    <x v="1"/>
    <m/>
    <s v="197545935"/>
  </r>
  <r>
    <n v="1975"/>
    <n v="36"/>
    <s v="Masculino"/>
    <s v="Logistica"/>
    <s v="Operador"/>
    <s v="3º Turno"/>
    <x v="0"/>
    <s v="Não"/>
    <x v="0"/>
    <d v="2025-12-03T00:00:00"/>
    <d v="2025-12-01T00:00:00"/>
    <s v="qua"/>
    <x v="8"/>
    <x v="1"/>
    <m/>
    <s v="197545994"/>
  </r>
  <r>
    <n v="1975"/>
    <n v="36"/>
    <s v="Masculino"/>
    <s v="Logistica"/>
    <s v="Operador"/>
    <s v="3º Turno"/>
    <x v="0"/>
    <s v="Não"/>
    <x v="0"/>
    <d v="2026-06-07T00:00:00"/>
    <d v="2026-01-01T00:00:00"/>
    <s v="dom"/>
    <x v="1"/>
    <x v="0"/>
    <m/>
    <s v="197546180"/>
  </r>
  <r>
    <n v="1975"/>
    <n v="36"/>
    <s v="Masculino"/>
    <s v="Logistica"/>
    <s v="Operador"/>
    <s v="3º Turno"/>
    <x v="0"/>
    <s v="Não"/>
    <x v="0"/>
    <d v="2026-03-20T00:00:00"/>
    <d v="2026-03-01T00:00:00"/>
    <s v="sex"/>
    <x v="4"/>
    <x v="0"/>
    <m/>
    <s v="197546101"/>
  </r>
  <r>
    <n v="1976"/>
    <n v="38"/>
    <s v="Feminino"/>
    <s v="Qualidade"/>
    <s v="Analista"/>
    <s v="3º Turno"/>
    <x v="0"/>
    <s v="Não"/>
    <x v="1"/>
    <d v="2025-06-03T00:00:00"/>
    <d v="2025-06-01T00:00:00"/>
    <s v="ter"/>
    <x v="1"/>
    <x v="1"/>
    <m/>
    <s v="197645811"/>
  </r>
  <r>
    <n v="1976"/>
    <n v="38"/>
    <s v="Feminino"/>
    <s v="Qualidade"/>
    <s v="Analista"/>
    <s v="3º Turno"/>
    <x v="0"/>
    <s v="Não"/>
    <x v="1"/>
    <d v="2025-12-22T00:00:00"/>
    <d v="2025-12-01T00:00:00"/>
    <s v="seg"/>
    <x v="8"/>
    <x v="1"/>
    <m/>
    <s v="197646013"/>
  </r>
  <r>
    <n v="1976"/>
    <n v="38"/>
    <s v="Feminino"/>
    <s v="Qualidade"/>
    <s v="Analista"/>
    <s v="3º Turno"/>
    <x v="0"/>
    <s v="Não"/>
    <x v="1"/>
    <d v="2026-02-12T00:00:00"/>
    <d v="2026-02-01T00:00:00"/>
    <s v="qui"/>
    <x v="3"/>
    <x v="0"/>
    <m/>
    <s v="197646065"/>
  </r>
  <r>
    <n v="1977"/>
    <n v="27"/>
    <s v="Masculino"/>
    <s v="Qualidade"/>
    <s v="Analista"/>
    <s v="3º Turno"/>
    <x v="0"/>
    <s v="Não"/>
    <x v="0"/>
    <d v="2025-06-24T00:00:00"/>
    <d v="2025-06-01T00:00:00"/>
    <s v="ter"/>
    <x v="1"/>
    <x v="1"/>
    <m/>
    <s v="197745832"/>
  </r>
  <r>
    <n v="1977"/>
    <n v="27"/>
    <s v="Masculino"/>
    <s v="Qualidade"/>
    <s v="Analista"/>
    <s v="3º Turno"/>
    <x v="0"/>
    <s v="Não"/>
    <x v="0"/>
    <d v="2025-12-22T00:00:00"/>
    <d v="2025-12-01T00:00:00"/>
    <s v="seg"/>
    <x v="8"/>
    <x v="1"/>
    <m/>
    <s v="197746013"/>
  </r>
  <r>
    <n v="1977"/>
    <n v="27"/>
    <s v="Masculino"/>
    <s v="Qualidade"/>
    <s v="Analista"/>
    <s v="3º Turno"/>
    <x v="0"/>
    <s v="Não"/>
    <x v="0"/>
    <d v="2026-02-08T00:00:00"/>
    <d v="2026-02-01T00:00:00"/>
    <s v="dom"/>
    <x v="3"/>
    <x v="0"/>
    <m/>
    <s v="197746061"/>
  </r>
  <r>
    <n v="1979"/>
    <n v="52"/>
    <s v="Masculino"/>
    <s v="Qualidade"/>
    <s v="Inspetor"/>
    <s v="3º Turno"/>
    <x v="0"/>
    <s v="Não"/>
    <x v="1"/>
    <d v="2025-04-29T00:00:00"/>
    <d v="2025-04-01T00:00:00"/>
    <s v="ter"/>
    <x v="2"/>
    <x v="1"/>
    <m/>
    <s v="197945776"/>
  </r>
  <r>
    <n v="1979"/>
    <n v="52"/>
    <s v="Masculino"/>
    <s v="Qualidade"/>
    <s v="Inspetor"/>
    <s v="3º Turno"/>
    <x v="0"/>
    <s v="Não"/>
    <x v="1"/>
    <d v="2025-06-25T00:00:00"/>
    <d v="2025-06-01T00:00:00"/>
    <s v="qua"/>
    <x v="1"/>
    <x v="1"/>
    <m/>
    <s v="197945833"/>
  </r>
  <r>
    <n v="1979"/>
    <n v="52"/>
    <s v="Masculino"/>
    <s v="Qualidade"/>
    <s v="Inspetor"/>
    <s v="3º Turno"/>
    <x v="0"/>
    <s v="Não"/>
    <x v="1"/>
    <d v="2025-11-24T00:00:00"/>
    <d v="2025-11-01T00:00:00"/>
    <s v="seg"/>
    <x v="10"/>
    <x v="1"/>
    <m/>
    <s v="197945985"/>
  </r>
  <r>
    <n v="1979"/>
    <n v="52"/>
    <s v="Masculino"/>
    <s v="Qualidade"/>
    <s v="Inspetor"/>
    <s v="3º Turno"/>
    <x v="0"/>
    <s v="Não"/>
    <x v="1"/>
    <d v="2025-12-18T00:00:00"/>
    <d v="2025-12-01T00:00:00"/>
    <s v="qui"/>
    <x v="8"/>
    <x v="1"/>
    <m/>
    <s v="197946009"/>
  </r>
  <r>
    <n v="1979"/>
    <n v="52"/>
    <s v="Masculino"/>
    <s v="Qualidade"/>
    <s v="Inspetor"/>
    <s v="3º Turno"/>
    <x v="0"/>
    <s v="Não"/>
    <x v="1"/>
    <d v="2026-02-04T00:00:00"/>
    <d v="2026-02-01T00:00:00"/>
    <s v="qua"/>
    <x v="3"/>
    <x v="0"/>
    <m/>
    <s v="197946057"/>
  </r>
  <r>
    <n v="1979"/>
    <n v="52"/>
    <s v="Masculino"/>
    <s v="Qualidade"/>
    <s v="Inspetor"/>
    <s v="3º Turno"/>
    <x v="0"/>
    <s v="Não"/>
    <x v="1"/>
    <d v="2026-02-24T00:00:00"/>
    <d v="2026-02-01T00:00:00"/>
    <s v="ter"/>
    <x v="3"/>
    <x v="0"/>
    <m/>
    <s v="197946077"/>
  </r>
  <r>
    <n v="1979"/>
    <n v="52"/>
    <s v="Masculino"/>
    <s v="Qualidade"/>
    <s v="Inspetor"/>
    <s v="3º Turno"/>
    <x v="0"/>
    <s v="Não"/>
    <x v="1"/>
    <d v="2026-04-29T00:00:00"/>
    <d v="2026-04-01T00:00:00"/>
    <s v="ter"/>
    <x v="2"/>
    <x v="1"/>
    <m/>
    <s v="197946141"/>
  </r>
  <r>
    <n v="1980"/>
    <n v="24"/>
    <s v="Feminino"/>
    <s v="Soldagem"/>
    <s v="Operador"/>
    <s v="3º Turno"/>
    <x v="0"/>
    <s v="Não"/>
    <x v="1"/>
    <d v="2025-06-17T00:00:00"/>
    <d v="2025-06-01T00:00:00"/>
    <s v="ter"/>
    <x v="1"/>
    <x v="1"/>
    <m/>
    <s v="198045825"/>
  </r>
  <r>
    <n v="1980"/>
    <n v="24"/>
    <s v="Feminino"/>
    <s v="Soldagem"/>
    <s v="Operador"/>
    <s v="3º Turno"/>
    <x v="0"/>
    <s v="Não"/>
    <x v="1"/>
    <d v="2025-07-25T00:00:00"/>
    <d v="2025-07-01T00:00:00"/>
    <s v="sex"/>
    <x v="6"/>
    <x v="1"/>
    <m/>
    <s v="198045863"/>
  </r>
  <r>
    <n v="1980"/>
    <n v="24"/>
    <s v="Feminino"/>
    <s v="Soldagem"/>
    <s v="Operador"/>
    <s v="3º Turno"/>
    <x v="0"/>
    <s v="Não"/>
    <x v="1"/>
    <d v="2025-08-05T00:00:00"/>
    <d v="2025-08-01T00:00:00"/>
    <s v="ter"/>
    <x v="9"/>
    <x v="1"/>
    <m/>
    <s v="198045874"/>
  </r>
  <r>
    <n v="1980"/>
    <n v="24"/>
    <s v="Feminino"/>
    <s v="Soldagem"/>
    <s v="Operador"/>
    <s v="3º Turno"/>
    <x v="0"/>
    <s v="Não"/>
    <x v="1"/>
    <d v="2026-02-15T00:00:00"/>
    <d v="2026-02-01T00:00:00"/>
    <s v="dom"/>
    <x v="3"/>
    <x v="0"/>
    <m/>
    <s v="198046068"/>
  </r>
  <r>
    <n v="1980"/>
    <n v="24"/>
    <s v="Feminino"/>
    <s v="Soldagem"/>
    <s v="Operador"/>
    <s v="3º Turno"/>
    <x v="0"/>
    <s v="Não"/>
    <x v="1"/>
    <d v="2026-03-04T00:00:00"/>
    <d v="2026-03-01T00:00:00"/>
    <s v="qua"/>
    <x v="4"/>
    <x v="0"/>
    <m/>
    <s v="198046085"/>
  </r>
  <r>
    <n v="1981"/>
    <n v="33"/>
    <s v="Masculino"/>
    <s v="Soldagem"/>
    <s v="Operador"/>
    <s v="1º Turno"/>
    <x v="0"/>
    <s v="Não"/>
    <x v="0"/>
    <d v="2025-04-28T00:00:00"/>
    <d v="2025-04-01T00:00:00"/>
    <s v="seg"/>
    <x v="2"/>
    <x v="1"/>
    <m/>
    <s v="198145775"/>
  </r>
  <r>
    <n v="1981"/>
    <n v="33"/>
    <s v="Masculino"/>
    <s v="Soldagem"/>
    <s v="Operador"/>
    <s v="1º Turno"/>
    <x v="0"/>
    <s v="Não"/>
    <x v="0"/>
    <d v="2025-08-07T00:00:00"/>
    <d v="2025-08-01T00:00:00"/>
    <s v="qui"/>
    <x v="9"/>
    <x v="1"/>
    <m/>
    <s v="198145876"/>
  </r>
  <r>
    <n v="1981"/>
    <n v="33"/>
    <s v="Masculino"/>
    <s v="Soldagem"/>
    <s v="Operador"/>
    <s v="1º Turno"/>
    <x v="0"/>
    <s v="Não"/>
    <x v="0"/>
    <d v="2025-09-09T00:00:00"/>
    <d v="2025-09-01T00:00:00"/>
    <s v="ter"/>
    <x v="7"/>
    <x v="1"/>
    <m/>
    <s v="198145909"/>
  </r>
  <r>
    <n v="1981"/>
    <n v="33"/>
    <s v="Masculino"/>
    <s v="Soldagem"/>
    <s v="Operador"/>
    <s v="1º Turno"/>
    <x v="0"/>
    <s v="Não"/>
    <x v="0"/>
    <d v="2026-06-03T00:00:00"/>
    <d v="2026-01-01T00:00:00"/>
    <s v="qua"/>
    <x v="1"/>
    <x v="0"/>
    <m/>
    <s v="198146176"/>
  </r>
  <r>
    <n v="1981"/>
    <n v="33"/>
    <s v="Masculino"/>
    <s v="Soldagem"/>
    <s v="Operador"/>
    <s v="1º Turno"/>
    <x v="0"/>
    <s v="Não"/>
    <x v="0"/>
    <d v="2026-06-27T00:00:00"/>
    <d v="2026-01-01T00:00:00"/>
    <s v="sáb"/>
    <x v="1"/>
    <x v="0"/>
    <m/>
    <s v="198146200"/>
  </r>
  <r>
    <n v="1981"/>
    <n v="33"/>
    <s v="Masculino"/>
    <s v="Soldagem"/>
    <s v="Operador"/>
    <s v="1º Turno"/>
    <x v="0"/>
    <s v="Não"/>
    <x v="0"/>
    <d v="2026-03-15T00:00:00"/>
    <d v="2026-03-01T00:00:00"/>
    <s v="dom"/>
    <x v="4"/>
    <x v="0"/>
    <m/>
    <s v="198146096"/>
  </r>
  <r>
    <n v="1981"/>
    <n v="33"/>
    <s v="Masculino"/>
    <s v="Soldagem"/>
    <s v="Operador"/>
    <s v="1º Turno"/>
    <x v="0"/>
    <s v="Não"/>
    <x v="0"/>
    <d v="2026-04-28T00:00:00"/>
    <d v="2026-04-01T00:00:00"/>
    <s v="seg"/>
    <x v="2"/>
    <x v="1"/>
    <m/>
    <s v="198146140"/>
  </r>
  <r>
    <n v="1983"/>
    <n v="37"/>
    <s v="Masculino"/>
    <s v="Pintura"/>
    <s v="Operador"/>
    <s v="2º Turno"/>
    <x v="0"/>
    <s v="Não"/>
    <x v="0"/>
    <d v="2025-07-03T00:00:00"/>
    <d v="2025-07-01T00:00:00"/>
    <s v="qui"/>
    <x v="6"/>
    <x v="1"/>
    <m/>
    <s v="198345841"/>
  </r>
  <r>
    <n v="1983"/>
    <n v="37"/>
    <s v="Masculino"/>
    <s v="Pintura"/>
    <s v="Operador"/>
    <s v="2º Turno"/>
    <x v="0"/>
    <s v="Não"/>
    <x v="0"/>
    <d v="2025-07-08T00:00:00"/>
    <d v="2025-07-01T00:00:00"/>
    <s v="ter"/>
    <x v="6"/>
    <x v="1"/>
    <m/>
    <s v="198345846"/>
  </r>
  <r>
    <n v="1983"/>
    <n v="37"/>
    <s v="Masculino"/>
    <s v="Pintura"/>
    <s v="Operador"/>
    <s v="2º Turno"/>
    <x v="0"/>
    <s v="Não"/>
    <x v="0"/>
    <d v="2025-10-26T00:00:00"/>
    <d v="2025-10-01T00:00:00"/>
    <s v="dom"/>
    <x v="11"/>
    <x v="1"/>
    <m/>
    <s v="198345956"/>
  </r>
  <r>
    <n v="1983"/>
    <n v="37"/>
    <s v="Masculino"/>
    <s v="Pintura"/>
    <s v="Operador"/>
    <s v="2º Turno"/>
    <x v="0"/>
    <s v="Não"/>
    <x v="0"/>
    <d v="2026-02-22T00:00:00"/>
    <d v="2026-02-01T00:00:00"/>
    <s v="dom"/>
    <x v="3"/>
    <x v="0"/>
    <m/>
    <s v="198346075"/>
  </r>
  <r>
    <n v="1985"/>
    <n v="36"/>
    <s v="Feminino"/>
    <s v="Pintura"/>
    <s v="Operador"/>
    <s v="2º Turno"/>
    <x v="0"/>
    <s v="Não"/>
    <x v="1"/>
    <d v="2025-07-02T00:00:00"/>
    <d v="2025-07-01T00:00:00"/>
    <s v="qua"/>
    <x v="6"/>
    <x v="1"/>
    <m/>
    <s v="198545840"/>
  </r>
  <r>
    <n v="1985"/>
    <n v="36"/>
    <s v="Feminino"/>
    <s v="Pintura"/>
    <s v="Operador"/>
    <s v="2º Turno"/>
    <x v="0"/>
    <s v="Não"/>
    <x v="1"/>
    <d v="2025-08-31T00:00:00"/>
    <d v="2025-08-01T00:00:00"/>
    <s v="dom"/>
    <x v="9"/>
    <x v="1"/>
    <m/>
    <s v="198545900"/>
  </r>
  <r>
    <n v="1985"/>
    <n v="36"/>
    <s v="Feminino"/>
    <s v="Pintura"/>
    <s v="Operador"/>
    <s v="2º Turno"/>
    <x v="0"/>
    <s v="Não"/>
    <x v="1"/>
    <d v="2025-09-01T00:00:00"/>
    <d v="2025-09-01T00:00:00"/>
    <s v="seg"/>
    <x v="7"/>
    <x v="1"/>
    <m/>
    <s v="198545901"/>
  </r>
  <r>
    <n v="1985"/>
    <n v="36"/>
    <s v="Feminino"/>
    <s v="Pintura"/>
    <s v="Operador"/>
    <s v="2º Turno"/>
    <x v="0"/>
    <s v="Não"/>
    <x v="1"/>
    <d v="2025-09-16T00:00:00"/>
    <d v="2025-09-01T00:00:00"/>
    <s v="ter"/>
    <x v="7"/>
    <x v="1"/>
    <m/>
    <s v="198545916"/>
  </r>
  <r>
    <n v="1985"/>
    <n v="36"/>
    <s v="Feminino"/>
    <s v="Pintura"/>
    <s v="Operador"/>
    <s v="2º Turno"/>
    <x v="0"/>
    <s v="Não"/>
    <x v="1"/>
    <d v="2025-10-24T00:00:00"/>
    <d v="2025-10-01T00:00:00"/>
    <s v="sex"/>
    <x v="11"/>
    <x v="1"/>
    <m/>
    <s v="198545954"/>
  </r>
  <r>
    <n v="1985"/>
    <n v="36"/>
    <s v="Feminino"/>
    <s v="Pintura"/>
    <s v="Operador"/>
    <s v="2º Turno"/>
    <x v="0"/>
    <s v="Não"/>
    <x v="1"/>
    <d v="2025-12-04T00:00:00"/>
    <d v="2025-12-01T00:00:00"/>
    <s v="qui"/>
    <x v="8"/>
    <x v="1"/>
    <m/>
    <s v="198545995"/>
  </r>
  <r>
    <n v="1986"/>
    <n v="20"/>
    <s v="Masculino"/>
    <s v="Logistica"/>
    <s v="Operador"/>
    <s v="1º Turno"/>
    <x v="0"/>
    <s v="Não"/>
    <x v="2"/>
    <d v="2025-09-02T00:00:00"/>
    <d v="2025-09-01T00:00:00"/>
    <s v="ter"/>
    <x v="7"/>
    <x v="1"/>
    <m/>
    <s v="198645902"/>
  </r>
  <r>
    <n v="1986"/>
    <n v="20"/>
    <s v="Masculino"/>
    <s v="Logistica"/>
    <s v="Operador"/>
    <s v="1º Turno"/>
    <x v="0"/>
    <s v="Não"/>
    <x v="2"/>
    <d v="2026-06-22T00:00:00"/>
    <d v="2026-01-01T00:00:00"/>
    <s v="seg"/>
    <x v="1"/>
    <x v="0"/>
    <m/>
    <s v="198646195"/>
  </r>
  <r>
    <n v="1986"/>
    <n v="20"/>
    <s v="Masculino"/>
    <s v="Logistica"/>
    <s v="Operador"/>
    <s v="1º Turno"/>
    <x v="0"/>
    <s v="Não"/>
    <x v="2"/>
    <d v="2026-02-28T00:00:00"/>
    <d v="2026-02-01T00:00:00"/>
    <s v="sáb"/>
    <x v="3"/>
    <x v="0"/>
    <m/>
    <s v="198646081"/>
  </r>
  <r>
    <n v="1986"/>
    <n v="20"/>
    <s v="Masculino"/>
    <s v="Logistica"/>
    <s v="Operador"/>
    <s v="1º Turno"/>
    <x v="0"/>
    <s v="Não"/>
    <x v="2"/>
    <d v="2026-03-08T00:00:00"/>
    <d v="2026-03-01T00:00:00"/>
    <s v="dom"/>
    <x v="4"/>
    <x v="0"/>
    <m/>
    <s v="198646089"/>
  </r>
  <r>
    <n v="1988"/>
    <n v="39"/>
    <s v="Feminino"/>
    <s v="Soldagem"/>
    <s v="Operador"/>
    <s v="1º Turno"/>
    <x v="0"/>
    <s v="Não"/>
    <x v="2"/>
    <d v="2025-06-11T00:00:00"/>
    <d v="2025-06-01T00:00:00"/>
    <s v="qua"/>
    <x v="1"/>
    <x v="1"/>
    <m/>
    <s v="198845819"/>
  </r>
  <r>
    <n v="1988"/>
    <n v="39"/>
    <s v="Feminino"/>
    <s v="Soldagem"/>
    <s v="Operador"/>
    <s v="1º Turno"/>
    <x v="0"/>
    <s v="Não"/>
    <x v="2"/>
    <d v="2025-06-18T00:00:00"/>
    <d v="2025-06-01T00:00:00"/>
    <s v="qua"/>
    <x v="1"/>
    <x v="1"/>
    <m/>
    <s v="198845826"/>
  </r>
  <r>
    <n v="1988"/>
    <n v="39"/>
    <s v="Feminino"/>
    <s v="Soldagem"/>
    <s v="Operador"/>
    <s v="1º Turno"/>
    <x v="0"/>
    <s v="Não"/>
    <x v="2"/>
    <d v="2025-12-15T00:00:00"/>
    <d v="2025-12-01T00:00:00"/>
    <s v="seg"/>
    <x v="8"/>
    <x v="1"/>
    <m/>
    <s v="198846006"/>
  </r>
  <r>
    <n v="1989"/>
    <n v="52"/>
    <s v="Feminino"/>
    <s v="Soldagem"/>
    <s v="Operador"/>
    <s v="3º Turno"/>
    <x v="0"/>
    <s v="Não"/>
    <x v="0"/>
    <d v="2025-06-15T00:00:00"/>
    <d v="2025-06-01T00:00:00"/>
    <s v="dom"/>
    <x v="1"/>
    <x v="1"/>
    <m/>
    <s v="198945823"/>
  </r>
  <r>
    <n v="1989"/>
    <n v="52"/>
    <s v="Feminino"/>
    <s v="Soldagem"/>
    <s v="Operador"/>
    <s v="3º Turno"/>
    <x v="0"/>
    <s v="Não"/>
    <x v="0"/>
    <d v="2025-09-17T00:00:00"/>
    <d v="2025-09-01T00:00:00"/>
    <s v="qua"/>
    <x v="7"/>
    <x v="1"/>
    <m/>
    <s v="198945917"/>
  </r>
  <r>
    <n v="1989"/>
    <n v="52"/>
    <s v="Feminino"/>
    <s v="Soldagem"/>
    <s v="Operador"/>
    <s v="3º Turno"/>
    <x v="0"/>
    <s v="Não"/>
    <x v="0"/>
    <d v="2025-10-02T00:00:00"/>
    <d v="2025-10-01T00:00:00"/>
    <s v="qui"/>
    <x v="11"/>
    <x v="1"/>
    <m/>
    <s v="198945932"/>
  </r>
  <r>
    <n v="1989"/>
    <n v="52"/>
    <s v="Feminino"/>
    <s v="Soldagem"/>
    <s v="Operador"/>
    <s v="3º Turno"/>
    <x v="0"/>
    <s v="Não"/>
    <x v="0"/>
    <d v="2026-02-02T00:00:00"/>
    <d v="2026-02-01T00:00:00"/>
    <s v="seg"/>
    <x v="3"/>
    <x v="0"/>
    <m/>
    <s v="198946055"/>
  </r>
  <r>
    <n v="1989"/>
    <n v="52"/>
    <s v="Feminino"/>
    <s v="Soldagem"/>
    <s v="Operador"/>
    <s v="3º Turno"/>
    <x v="0"/>
    <s v="Não"/>
    <x v="0"/>
    <d v="2026-02-03T00:00:00"/>
    <d v="2026-02-01T00:00:00"/>
    <s v="ter"/>
    <x v="3"/>
    <x v="0"/>
    <m/>
    <s v="198946056"/>
  </r>
  <r>
    <n v="1991"/>
    <n v="49"/>
    <s v="Feminino"/>
    <s v="Montagem"/>
    <s v="Operador"/>
    <s v="3º Turno"/>
    <x v="0"/>
    <s v="Não"/>
    <x v="2"/>
    <d v="2025-08-20T00:00:00"/>
    <d v="2025-08-01T00:00:00"/>
    <s v="qua"/>
    <x v="9"/>
    <x v="1"/>
    <m/>
    <s v="199145889"/>
  </r>
  <r>
    <n v="1991"/>
    <n v="49"/>
    <s v="Feminino"/>
    <s v="Montagem"/>
    <s v="Operador"/>
    <s v="3º Turno"/>
    <x v="0"/>
    <s v="Não"/>
    <x v="2"/>
    <d v="2025-09-01T00:00:00"/>
    <d v="2025-09-01T00:00:00"/>
    <s v="seg"/>
    <x v="7"/>
    <x v="1"/>
    <m/>
    <s v="199145901"/>
  </r>
  <r>
    <n v="1991"/>
    <n v="49"/>
    <s v="Feminino"/>
    <s v="Montagem"/>
    <s v="Operador"/>
    <s v="3º Turno"/>
    <x v="0"/>
    <s v="Não"/>
    <x v="2"/>
    <d v="2025-10-14T00:00:00"/>
    <d v="2025-10-01T00:00:00"/>
    <s v="ter"/>
    <x v="11"/>
    <x v="1"/>
    <m/>
    <s v="199145944"/>
  </r>
  <r>
    <n v="1991"/>
    <n v="49"/>
    <s v="Feminino"/>
    <s v="Montagem"/>
    <s v="Operador"/>
    <s v="3º Turno"/>
    <x v="0"/>
    <s v="Não"/>
    <x v="2"/>
    <d v="2026-06-25T00:00:00"/>
    <d v="2026-01-01T00:00:00"/>
    <s v="qui"/>
    <x v="1"/>
    <x v="0"/>
    <m/>
    <s v="199146198"/>
  </r>
  <r>
    <n v="1991"/>
    <n v="49"/>
    <s v="Feminino"/>
    <s v="Montagem"/>
    <s v="Operador"/>
    <s v="3º Turno"/>
    <x v="0"/>
    <s v="Não"/>
    <x v="2"/>
    <d v="2026-03-23T00:00:00"/>
    <d v="2026-03-01T00:00:00"/>
    <s v="seg"/>
    <x v="4"/>
    <x v="0"/>
    <m/>
    <s v="199146104"/>
  </r>
  <r>
    <n v="1992"/>
    <n v="24"/>
    <s v="Masculino"/>
    <s v="Pintura"/>
    <s v="Operador"/>
    <s v="2º Turno"/>
    <x v="0"/>
    <s v="Não"/>
    <x v="0"/>
    <d v="2025-04-26T00:00:00"/>
    <d v="2025-04-01T00:00:00"/>
    <s v="sáb"/>
    <x v="2"/>
    <x v="1"/>
    <m/>
    <s v="199245773"/>
  </r>
  <r>
    <n v="1992"/>
    <n v="24"/>
    <s v="Masculino"/>
    <s v="Pintura"/>
    <s v="Operador"/>
    <s v="2º Turno"/>
    <x v="0"/>
    <s v="Não"/>
    <x v="0"/>
    <d v="2025-06-21T00:00:00"/>
    <d v="2025-06-01T00:00:00"/>
    <s v="sáb"/>
    <x v="1"/>
    <x v="1"/>
    <m/>
    <s v="199245829"/>
  </r>
  <r>
    <n v="1992"/>
    <n v="24"/>
    <s v="Masculino"/>
    <s v="Pintura"/>
    <s v="Operador"/>
    <s v="2º Turno"/>
    <x v="0"/>
    <s v="Não"/>
    <x v="0"/>
    <d v="2025-07-24T00:00:00"/>
    <d v="2025-07-01T00:00:00"/>
    <s v="qui"/>
    <x v="6"/>
    <x v="1"/>
    <m/>
    <s v="199245862"/>
  </r>
  <r>
    <n v="1992"/>
    <n v="24"/>
    <s v="Masculino"/>
    <s v="Pintura"/>
    <s v="Operador"/>
    <s v="2º Turno"/>
    <x v="0"/>
    <s v="Não"/>
    <x v="0"/>
    <d v="2025-07-30T00:00:00"/>
    <d v="2025-07-01T00:00:00"/>
    <s v="qua"/>
    <x v="6"/>
    <x v="1"/>
    <m/>
    <s v="199245868"/>
  </r>
  <r>
    <n v="1992"/>
    <n v="24"/>
    <s v="Masculino"/>
    <s v="Pintura"/>
    <s v="Operador"/>
    <s v="2º Turno"/>
    <x v="0"/>
    <s v="Não"/>
    <x v="0"/>
    <d v="2025-11-24T00:00:00"/>
    <d v="2025-11-01T00:00:00"/>
    <s v="seg"/>
    <x v="10"/>
    <x v="1"/>
    <m/>
    <s v="199245985"/>
  </r>
  <r>
    <n v="1992"/>
    <n v="24"/>
    <s v="Masculino"/>
    <s v="Pintura"/>
    <s v="Operador"/>
    <s v="2º Turno"/>
    <x v="0"/>
    <s v="Não"/>
    <x v="0"/>
    <d v="2025-12-26T00:00:00"/>
    <d v="2025-12-01T00:00:00"/>
    <s v="sex"/>
    <x v="8"/>
    <x v="1"/>
    <m/>
    <s v="199246017"/>
  </r>
  <r>
    <n v="1992"/>
    <n v="24"/>
    <s v="Masculino"/>
    <s v="Pintura"/>
    <s v="Operador"/>
    <s v="2º Turno"/>
    <x v="0"/>
    <s v="Não"/>
    <x v="0"/>
    <d v="2026-04-26T00:00:00"/>
    <d v="2026-04-01T00:00:00"/>
    <s v="sáb"/>
    <x v="2"/>
    <x v="1"/>
    <m/>
    <s v="199246138"/>
  </r>
  <r>
    <n v="1993"/>
    <n v="41"/>
    <s v="Masculino"/>
    <s v="Montagem"/>
    <s v="Operador"/>
    <s v="2º Turno"/>
    <x v="0"/>
    <s v="Não"/>
    <x v="1"/>
    <d v="2025-04-27T00:00:00"/>
    <d v="2025-04-01T00:00:00"/>
    <s v="dom"/>
    <x v="2"/>
    <x v="1"/>
    <m/>
    <s v="199345774"/>
  </r>
  <r>
    <n v="1993"/>
    <n v="41"/>
    <s v="Masculino"/>
    <s v="Montagem"/>
    <s v="Operador"/>
    <s v="2º Turno"/>
    <x v="0"/>
    <s v="Não"/>
    <x v="1"/>
    <d v="2025-07-12T00:00:00"/>
    <d v="2025-07-01T00:00:00"/>
    <s v="sáb"/>
    <x v="6"/>
    <x v="1"/>
    <m/>
    <s v="199345850"/>
  </r>
  <r>
    <n v="1993"/>
    <n v="41"/>
    <s v="Masculino"/>
    <s v="Montagem"/>
    <s v="Operador"/>
    <s v="2º Turno"/>
    <x v="0"/>
    <s v="Não"/>
    <x v="1"/>
    <d v="2026-06-15T00:00:00"/>
    <d v="2026-01-01T00:00:00"/>
    <s v="seg"/>
    <x v="1"/>
    <x v="0"/>
    <m/>
    <s v="199346188"/>
  </r>
  <r>
    <n v="1993"/>
    <n v="41"/>
    <s v="Masculino"/>
    <s v="Montagem"/>
    <s v="Operador"/>
    <s v="2º Turno"/>
    <x v="0"/>
    <s v="Não"/>
    <x v="1"/>
    <d v="2026-06-16T00:00:00"/>
    <d v="2025-01-01T00:00:00"/>
    <s v="ter"/>
    <x v="1"/>
    <x v="0"/>
    <m/>
    <s v="199346189"/>
  </r>
  <r>
    <n v="1993"/>
    <n v="41"/>
    <s v="Masculino"/>
    <s v="Montagem"/>
    <s v="Operador"/>
    <s v="2º Turno"/>
    <x v="0"/>
    <s v="Não"/>
    <x v="1"/>
    <d v="2026-02-23T00:00:00"/>
    <d v="2026-02-01T00:00:00"/>
    <s v="seg"/>
    <x v="3"/>
    <x v="0"/>
    <m/>
    <s v="199346076"/>
  </r>
  <r>
    <n v="1993"/>
    <n v="41"/>
    <s v="Masculino"/>
    <s v="Montagem"/>
    <s v="Operador"/>
    <s v="2º Turno"/>
    <x v="0"/>
    <s v="Não"/>
    <x v="1"/>
    <d v="2026-03-08T00:00:00"/>
    <d v="2026-03-01T00:00:00"/>
    <s v="dom"/>
    <x v="4"/>
    <x v="0"/>
    <m/>
    <s v="199346089"/>
  </r>
  <r>
    <n v="1993"/>
    <n v="41"/>
    <s v="Masculino"/>
    <s v="Montagem"/>
    <s v="Operador"/>
    <s v="2º Turno"/>
    <x v="0"/>
    <s v="Não"/>
    <x v="1"/>
    <d v="2026-04-27T00:00:00"/>
    <d v="2026-04-01T00:00:00"/>
    <s v="dom"/>
    <x v="2"/>
    <x v="1"/>
    <m/>
    <s v="199346139"/>
  </r>
  <r>
    <n v="1994"/>
    <n v="26"/>
    <s v="Feminino"/>
    <s v="Montagem"/>
    <s v="Operador"/>
    <s v="3º Turno"/>
    <x v="0"/>
    <s v="Não"/>
    <x v="0"/>
    <d v="2025-06-06T00:00:00"/>
    <d v="2025-06-01T00:00:00"/>
    <s v="sex"/>
    <x v="1"/>
    <x v="1"/>
    <m/>
    <s v="199445814"/>
  </r>
  <r>
    <n v="1994"/>
    <n v="26"/>
    <s v="Feminino"/>
    <s v="Montagem"/>
    <s v="Operador"/>
    <s v="3º Turno"/>
    <x v="0"/>
    <s v="Não"/>
    <x v="0"/>
    <d v="2025-09-30T00:00:00"/>
    <d v="2025-09-01T00:00:00"/>
    <s v="ter"/>
    <x v="7"/>
    <x v="1"/>
    <m/>
    <s v="199445930"/>
  </r>
  <r>
    <n v="1994"/>
    <n v="26"/>
    <s v="Feminino"/>
    <s v="Montagem"/>
    <s v="Operador"/>
    <s v="3º Turno"/>
    <x v="0"/>
    <s v="Não"/>
    <x v="0"/>
    <d v="2026-02-14T00:00:00"/>
    <d v="2026-02-01T00:00:00"/>
    <s v="sáb"/>
    <x v="3"/>
    <x v="0"/>
    <m/>
    <s v="199446067"/>
  </r>
  <r>
    <n v="1994"/>
    <n v="26"/>
    <s v="Feminino"/>
    <s v="Montagem"/>
    <s v="Operador"/>
    <s v="3º Turno"/>
    <x v="0"/>
    <s v="Não"/>
    <x v="0"/>
    <d v="2026-03-03T00:00:00"/>
    <d v="2026-03-01T00:00:00"/>
    <s v="ter"/>
    <x v="4"/>
    <x v="0"/>
    <m/>
    <s v="199446084"/>
  </r>
  <r>
    <n v="1995"/>
    <n v="52"/>
    <s v="Masculino"/>
    <s v="Logistica"/>
    <s v="Operador"/>
    <s v="1º Turno"/>
    <x v="0"/>
    <s v="Não"/>
    <x v="1"/>
    <d v="2025-07-10T00:00:00"/>
    <d v="2025-07-01T00:00:00"/>
    <s v="qui"/>
    <x v="6"/>
    <x v="1"/>
    <m/>
    <s v="199545848"/>
  </r>
  <r>
    <n v="1995"/>
    <n v="52"/>
    <s v="Masculino"/>
    <s v="Logistica"/>
    <s v="Operador"/>
    <s v="1º Turno"/>
    <x v="0"/>
    <s v="Não"/>
    <x v="1"/>
    <d v="2025-10-05T00:00:00"/>
    <d v="2025-10-01T00:00:00"/>
    <s v="dom"/>
    <x v="11"/>
    <x v="1"/>
    <m/>
    <s v="199545935"/>
  </r>
  <r>
    <n v="1995"/>
    <n v="52"/>
    <s v="Masculino"/>
    <s v="Logistica"/>
    <s v="Operador"/>
    <s v="1º Turno"/>
    <x v="0"/>
    <s v="Não"/>
    <x v="1"/>
    <d v="2025-10-19T00:00:00"/>
    <d v="2025-10-01T00:00:00"/>
    <s v="dom"/>
    <x v="11"/>
    <x v="1"/>
    <m/>
    <s v="199545949"/>
  </r>
  <r>
    <n v="1995"/>
    <n v="52"/>
    <s v="Masculino"/>
    <s v="Logistica"/>
    <s v="Operador"/>
    <s v="1º Turno"/>
    <x v="0"/>
    <s v="Não"/>
    <x v="1"/>
    <d v="2026-06-13T00:00:00"/>
    <d v="2026-01-01T00:00:00"/>
    <s v="sáb"/>
    <x v="1"/>
    <x v="0"/>
    <m/>
    <s v="199546186"/>
  </r>
  <r>
    <n v="1996"/>
    <n v="34"/>
    <s v="Feminino"/>
    <s v="Montagem"/>
    <s v="Operador"/>
    <s v="2º Turno"/>
    <x v="0"/>
    <s v="Não"/>
    <x v="0"/>
    <d v="2025-07-17T00:00:00"/>
    <d v="2025-07-01T00:00:00"/>
    <s v="qui"/>
    <x v="6"/>
    <x v="1"/>
    <m/>
    <s v="199645855"/>
  </r>
  <r>
    <n v="1996"/>
    <n v="34"/>
    <s v="Feminino"/>
    <s v="Montagem"/>
    <s v="Operador"/>
    <s v="2º Turno"/>
    <x v="0"/>
    <s v="Não"/>
    <x v="0"/>
    <d v="2025-09-03T00:00:00"/>
    <d v="2025-09-01T00:00:00"/>
    <s v="qua"/>
    <x v="7"/>
    <x v="1"/>
    <m/>
    <s v="199645903"/>
  </r>
  <r>
    <n v="1996"/>
    <n v="34"/>
    <s v="Feminino"/>
    <s v="Montagem"/>
    <s v="Operador"/>
    <s v="2º Turno"/>
    <x v="0"/>
    <s v="Não"/>
    <x v="0"/>
    <d v="2025-09-05T00:00:00"/>
    <d v="2025-09-01T00:00:00"/>
    <s v="sex"/>
    <x v="7"/>
    <x v="1"/>
    <m/>
    <s v="199645905"/>
  </r>
  <r>
    <n v="1996"/>
    <n v="34"/>
    <s v="Feminino"/>
    <s v="Montagem"/>
    <s v="Operador"/>
    <s v="2º Turno"/>
    <x v="0"/>
    <s v="Não"/>
    <x v="0"/>
    <d v="2025-10-23T00:00:00"/>
    <d v="2025-10-01T00:00:00"/>
    <s v="qui"/>
    <x v="11"/>
    <x v="1"/>
    <m/>
    <s v="199645953"/>
  </r>
  <r>
    <n v="1996"/>
    <n v="34"/>
    <s v="Feminino"/>
    <s v="Montagem"/>
    <s v="Operador"/>
    <s v="2º Turno"/>
    <x v="0"/>
    <s v="Não"/>
    <x v="0"/>
    <d v="2025-11-11T00:00:00"/>
    <d v="2025-11-01T00:00:00"/>
    <s v="ter"/>
    <x v="10"/>
    <x v="1"/>
    <m/>
    <s v="199645972"/>
  </r>
  <r>
    <n v="1996"/>
    <n v="34"/>
    <s v="Feminino"/>
    <s v="Montagem"/>
    <s v="Operador"/>
    <s v="2º Turno"/>
    <x v="0"/>
    <s v="Não"/>
    <x v="0"/>
    <d v="2025-11-22T00:00:00"/>
    <d v="2025-11-01T00:00:00"/>
    <s v="sáb"/>
    <x v="10"/>
    <x v="1"/>
    <m/>
    <s v="199645983"/>
  </r>
  <r>
    <n v="1997"/>
    <n v="32"/>
    <s v="Feminino"/>
    <s v="Pintura"/>
    <s v="Operador"/>
    <s v="3º Turno"/>
    <x v="0"/>
    <s v="Não"/>
    <x v="1"/>
    <d v="2025-08-24T00:00:00"/>
    <d v="2025-08-01T00:00:00"/>
    <s v="dom"/>
    <x v="9"/>
    <x v="1"/>
    <m/>
    <s v="199745893"/>
  </r>
  <r>
    <n v="1997"/>
    <n v="32"/>
    <s v="Feminino"/>
    <s v="Pintura"/>
    <s v="Operador"/>
    <s v="3º Turno"/>
    <x v="0"/>
    <s v="Não"/>
    <x v="1"/>
    <d v="2025-09-03T00:00:00"/>
    <d v="2025-09-01T00:00:00"/>
    <s v="qua"/>
    <x v="7"/>
    <x v="1"/>
    <m/>
    <s v="199745903"/>
  </r>
  <r>
    <n v="1997"/>
    <n v="32"/>
    <s v="Feminino"/>
    <s v="Pintura"/>
    <s v="Operador"/>
    <s v="3º Turno"/>
    <x v="0"/>
    <s v="Não"/>
    <x v="1"/>
    <d v="2025-11-09T00:00:00"/>
    <d v="2025-11-01T00:00:00"/>
    <s v="dom"/>
    <x v="10"/>
    <x v="1"/>
    <m/>
    <s v="199745970"/>
  </r>
  <r>
    <n v="1999"/>
    <n v="56"/>
    <s v="Masculino"/>
    <s v="Soldagem"/>
    <s v="Operador"/>
    <s v="3º Turno"/>
    <x v="0"/>
    <s v="Não"/>
    <x v="2"/>
    <d v="2025-06-13T00:00:00"/>
    <d v="2025-06-01T00:00:00"/>
    <s v="sex"/>
    <x v="1"/>
    <x v="1"/>
    <m/>
    <s v="199945821"/>
  </r>
  <r>
    <n v="1999"/>
    <n v="56"/>
    <s v="Masculino"/>
    <s v="Soldagem"/>
    <s v="Operador"/>
    <s v="3º Turno"/>
    <x v="0"/>
    <s v="Não"/>
    <x v="2"/>
    <d v="2025-06-17T00:00:00"/>
    <d v="2025-06-01T00:00:00"/>
    <s v="ter"/>
    <x v="1"/>
    <x v="1"/>
    <m/>
    <s v="199945825"/>
  </r>
  <r>
    <n v="1999"/>
    <n v="56"/>
    <s v="Masculino"/>
    <s v="Soldagem"/>
    <s v="Operador"/>
    <s v="3º Turno"/>
    <x v="0"/>
    <s v="Não"/>
    <x v="2"/>
    <d v="2025-07-29T00:00:00"/>
    <d v="2025-07-01T00:00:00"/>
    <s v="ter"/>
    <x v="6"/>
    <x v="1"/>
    <m/>
    <s v="199945867"/>
  </r>
  <r>
    <n v="2000"/>
    <n v="32"/>
    <s v="Masculino"/>
    <s v="Montagem"/>
    <s v="Operador"/>
    <s v="2º Turno"/>
    <x v="0"/>
    <s v="Não"/>
    <x v="2"/>
    <d v="2025-07-11T00:00:00"/>
    <d v="2025-07-01T00:00:00"/>
    <s v="sex"/>
    <x v="6"/>
    <x v="1"/>
    <m/>
    <s v="200045849"/>
  </r>
  <r>
    <n v="2000"/>
    <n v="32"/>
    <s v="Masculino"/>
    <s v="Montagem"/>
    <s v="Operador"/>
    <s v="2º Turno"/>
    <x v="0"/>
    <s v="Não"/>
    <x v="2"/>
    <d v="2025-08-05T00:00:00"/>
    <d v="2025-08-01T00:00:00"/>
    <s v="ter"/>
    <x v="9"/>
    <x v="1"/>
    <m/>
    <s v="200045874"/>
  </r>
  <r>
    <n v="2000"/>
    <n v="32"/>
    <s v="Masculino"/>
    <s v="Montagem"/>
    <s v="Operador"/>
    <s v="2º Turno"/>
    <x v="0"/>
    <s v="Não"/>
    <x v="2"/>
    <d v="2025-08-21T00:00:00"/>
    <d v="2025-08-01T00:00:00"/>
    <s v="qui"/>
    <x v="9"/>
    <x v="1"/>
    <m/>
    <s v="200045890"/>
  </r>
  <r>
    <n v="2000"/>
    <n v="32"/>
    <s v="Masculino"/>
    <s v="Montagem"/>
    <s v="Operador"/>
    <s v="2º Turno"/>
    <x v="0"/>
    <s v="Não"/>
    <x v="2"/>
    <d v="2025-12-17T00:00:00"/>
    <d v="2025-12-01T00:00:00"/>
    <s v="qua"/>
    <x v="8"/>
    <x v="1"/>
    <m/>
    <s v="200046008"/>
  </r>
  <r>
    <n v="2000"/>
    <n v="32"/>
    <s v="Masculino"/>
    <s v="Montagem"/>
    <s v="Operador"/>
    <s v="2º Turno"/>
    <x v="0"/>
    <s v="Não"/>
    <x v="2"/>
    <d v="2026-06-25T00:00:00"/>
    <d v="2026-01-01T00:00:00"/>
    <s v="qui"/>
    <x v="1"/>
    <x v="0"/>
    <m/>
    <s v="200046198"/>
  </r>
  <r>
    <n v="2001"/>
    <n v="48"/>
    <s v="Feminino"/>
    <s v="Montagem"/>
    <s v="Operador"/>
    <s v="1º Turno"/>
    <x v="0"/>
    <s v="Não"/>
    <x v="0"/>
    <d v="2025-09-10T00:00:00"/>
    <d v="2025-09-01T00:00:00"/>
    <s v="qua"/>
    <x v="7"/>
    <x v="1"/>
    <m/>
    <s v="200145910"/>
  </r>
  <r>
    <n v="2001"/>
    <n v="48"/>
    <s v="Feminino"/>
    <s v="Montagem"/>
    <s v="Operador"/>
    <s v="1º Turno"/>
    <x v="0"/>
    <s v="Não"/>
    <x v="0"/>
    <d v="2025-10-16T00:00:00"/>
    <d v="2025-10-01T00:00:00"/>
    <s v="qui"/>
    <x v="11"/>
    <x v="1"/>
    <m/>
    <s v="200145946"/>
  </r>
  <r>
    <n v="2001"/>
    <n v="48"/>
    <s v="Feminino"/>
    <s v="Montagem"/>
    <s v="Operador"/>
    <s v="1º Turno"/>
    <x v="0"/>
    <s v="Não"/>
    <x v="0"/>
    <d v="2025-11-01T00:00:00"/>
    <d v="2025-11-01T00:00:00"/>
    <s v="sáb"/>
    <x v="10"/>
    <x v="1"/>
    <m/>
    <s v="200145962"/>
  </r>
  <r>
    <n v="2001"/>
    <n v="48"/>
    <s v="Feminino"/>
    <s v="Montagem"/>
    <s v="Operador"/>
    <s v="1º Turno"/>
    <x v="0"/>
    <s v="Não"/>
    <x v="0"/>
    <d v="2025-11-21T00:00:00"/>
    <d v="2025-11-01T00:00:00"/>
    <s v="sex"/>
    <x v="10"/>
    <x v="1"/>
    <m/>
    <s v="200145982"/>
  </r>
  <r>
    <n v="2001"/>
    <n v="48"/>
    <s v="Feminino"/>
    <s v="Montagem"/>
    <s v="Operador"/>
    <s v="1º Turno"/>
    <x v="0"/>
    <s v="Não"/>
    <x v="0"/>
    <d v="2026-06-01T00:00:00"/>
    <d v="2026-01-01T00:00:00"/>
    <s v="seg"/>
    <x v="1"/>
    <x v="0"/>
    <m/>
    <s v="200146174"/>
  </r>
  <r>
    <n v="2002"/>
    <n v="53"/>
    <s v="Masculino"/>
    <s v="Pintura"/>
    <s v="Operador"/>
    <s v="2º Turno"/>
    <x v="0"/>
    <s v="Não"/>
    <x v="0"/>
    <d v="2025-07-03T00:00:00"/>
    <d v="2025-07-01T00:00:00"/>
    <s v="qui"/>
    <x v="6"/>
    <x v="1"/>
    <m/>
    <s v="200245841"/>
  </r>
  <r>
    <n v="2002"/>
    <n v="53"/>
    <s v="Masculino"/>
    <s v="Pintura"/>
    <s v="Operador"/>
    <s v="2º Turno"/>
    <x v="0"/>
    <s v="Não"/>
    <x v="0"/>
    <d v="2025-08-20T00:00:00"/>
    <d v="2025-08-01T00:00:00"/>
    <s v="qua"/>
    <x v="9"/>
    <x v="1"/>
    <m/>
    <s v="200245889"/>
  </r>
  <r>
    <n v="2002"/>
    <n v="53"/>
    <s v="Masculino"/>
    <s v="Pintura"/>
    <s v="Operador"/>
    <s v="2º Turno"/>
    <x v="0"/>
    <s v="Não"/>
    <x v="0"/>
    <d v="2025-09-04T00:00:00"/>
    <d v="2025-09-01T00:00:00"/>
    <s v="qui"/>
    <x v="7"/>
    <x v="1"/>
    <m/>
    <s v="200245904"/>
  </r>
  <r>
    <n v="2002"/>
    <n v="53"/>
    <s v="Masculino"/>
    <s v="Pintura"/>
    <s v="Operador"/>
    <s v="2º Turno"/>
    <x v="0"/>
    <s v="Não"/>
    <x v="0"/>
    <d v="2025-10-21T00:00:00"/>
    <d v="2025-10-01T00:00:00"/>
    <s v="ter"/>
    <x v="11"/>
    <x v="1"/>
    <m/>
    <s v="200245951"/>
  </r>
  <r>
    <n v="2004"/>
    <n v="57"/>
    <s v="Feminino"/>
    <s v="Pintura"/>
    <s v="Operador"/>
    <s v="3º Turno"/>
    <x v="0"/>
    <s v="Não"/>
    <x v="0"/>
    <d v="2025-07-02T00:00:00"/>
    <d v="2025-07-01T00:00:00"/>
    <s v="qua"/>
    <x v="6"/>
    <x v="1"/>
    <m/>
    <s v="200445840"/>
  </r>
  <r>
    <n v="2004"/>
    <n v="57"/>
    <s v="Feminino"/>
    <s v="Pintura"/>
    <s v="Operador"/>
    <s v="3º Turno"/>
    <x v="0"/>
    <s v="Não"/>
    <x v="0"/>
    <d v="2025-08-16T00:00:00"/>
    <d v="2025-08-01T00:00:00"/>
    <s v="sáb"/>
    <x v="9"/>
    <x v="1"/>
    <m/>
    <s v="200445885"/>
  </r>
  <r>
    <n v="2004"/>
    <n v="57"/>
    <s v="Feminino"/>
    <s v="Pintura"/>
    <s v="Operador"/>
    <s v="3º Turno"/>
    <x v="0"/>
    <s v="Não"/>
    <x v="0"/>
    <d v="2025-10-28T00:00:00"/>
    <d v="2025-10-01T00:00:00"/>
    <s v="ter"/>
    <x v="11"/>
    <x v="1"/>
    <m/>
    <s v="200445958"/>
  </r>
  <r>
    <n v="2004"/>
    <n v="57"/>
    <s v="Feminino"/>
    <s v="Pintura"/>
    <s v="Operador"/>
    <s v="3º Turno"/>
    <x v="0"/>
    <s v="Não"/>
    <x v="0"/>
    <d v="2026-06-20T00:00:00"/>
    <d v="2026-01-01T00:00:00"/>
    <s v="sáb"/>
    <x v="1"/>
    <x v="0"/>
    <m/>
    <s v="200446193"/>
  </r>
  <r>
    <n v="2004"/>
    <n v="57"/>
    <s v="Feminino"/>
    <s v="Pintura"/>
    <s v="Operador"/>
    <s v="3º Turno"/>
    <x v="0"/>
    <s v="Não"/>
    <x v="0"/>
    <d v="2026-03-29T00:00:00"/>
    <d v="2026-03-01T00:00:00"/>
    <s v="dom"/>
    <x v="4"/>
    <x v="0"/>
    <m/>
    <s v="200446110"/>
  </r>
  <r>
    <n v="2004"/>
    <n v="57"/>
    <s v="Feminino"/>
    <s v="Pintura"/>
    <s v="Operador"/>
    <s v="3º Turno"/>
    <x v="0"/>
    <s v="Não"/>
    <x v="0"/>
    <d v="2026-04-30T00:00:00"/>
    <d v="2026-04-01T00:00:00"/>
    <s v="qui"/>
    <x v="2"/>
    <x v="0"/>
    <m/>
    <s v="200446142"/>
  </r>
  <r>
    <n v="2005"/>
    <n v="27"/>
    <s v="Masculino"/>
    <s v="Montagem"/>
    <s v="Operador"/>
    <s v="3º Turno"/>
    <x v="0"/>
    <s v="Não"/>
    <x v="2"/>
    <d v="2025-06-21T00:00:00"/>
    <d v="2025-06-01T00:00:00"/>
    <s v="sáb"/>
    <x v="1"/>
    <x v="1"/>
    <m/>
    <s v="200545829"/>
  </r>
  <r>
    <n v="2005"/>
    <n v="27"/>
    <s v="Masculino"/>
    <s v="Montagem"/>
    <s v="Operador"/>
    <s v="3º Turno"/>
    <x v="0"/>
    <s v="Não"/>
    <x v="2"/>
    <d v="2025-06-24T00:00:00"/>
    <d v="2025-06-01T00:00:00"/>
    <s v="ter"/>
    <x v="1"/>
    <x v="1"/>
    <m/>
    <s v="200545832"/>
  </r>
  <r>
    <n v="2005"/>
    <n v="27"/>
    <s v="Masculino"/>
    <s v="Montagem"/>
    <s v="Operador"/>
    <s v="3º Turno"/>
    <x v="0"/>
    <s v="Não"/>
    <x v="2"/>
    <d v="2025-06-26T00:00:00"/>
    <d v="2025-06-01T00:00:00"/>
    <s v="qui"/>
    <x v="1"/>
    <x v="1"/>
    <m/>
    <s v="200545834"/>
  </r>
  <r>
    <n v="2005"/>
    <n v="27"/>
    <s v="Masculino"/>
    <s v="Montagem"/>
    <s v="Operador"/>
    <s v="3º Turno"/>
    <x v="0"/>
    <s v="Não"/>
    <x v="2"/>
    <d v="2025-07-20T00:00:00"/>
    <d v="2025-07-01T00:00:00"/>
    <s v="dom"/>
    <x v="6"/>
    <x v="1"/>
    <m/>
    <s v="200545858"/>
  </r>
  <r>
    <n v="2005"/>
    <n v="27"/>
    <s v="Masculino"/>
    <s v="Montagem"/>
    <s v="Operador"/>
    <s v="3º Turno"/>
    <x v="0"/>
    <s v="Não"/>
    <x v="2"/>
    <d v="2026-06-13T00:00:00"/>
    <d v="2026-01-01T00:00:00"/>
    <s v="sáb"/>
    <x v="1"/>
    <x v="0"/>
    <m/>
    <s v="200546186"/>
  </r>
  <r>
    <n v="2005"/>
    <n v="27"/>
    <s v="Masculino"/>
    <s v="Montagem"/>
    <s v="Operador"/>
    <s v="3º Turno"/>
    <x v="0"/>
    <s v="Não"/>
    <x v="2"/>
    <d v="2026-03-27T00:00:00"/>
    <d v="2026-03-01T00:00:00"/>
    <s v="sex"/>
    <x v="4"/>
    <x v="0"/>
    <m/>
    <s v="200546108"/>
  </r>
  <r>
    <n v="2005"/>
    <n v="27"/>
    <s v="Masculino"/>
    <s v="Montagem"/>
    <s v="Operador"/>
    <s v="3º Turno"/>
    <x v="0"/>
    <s v="Não"/>
    <x v="2"/>
    <d v="2026-06-16T00:00:00"/>
    <d v="2026-06-01T00:00:00"/>
    <s v="ter"/>
    <x v="1"/>
    <x v="0"/>
    <m/>
    <s v="200546189"/>
  </r>
  <r>
    <n v="2006"/>
    <n v="41"/>
    <s v="Masculino"/>
    <s v="Pintura"/>
    <s v="Operador"/>
    <s v="3º Turno"/>
    <x v="0"/>
    <s v="Não"/>
    <x v="1"/>
    <d v="2025-04-25T00:00:00"/>
    <d v="2025-04-01T00:00:00"/>
    <s v="sex"/>
    <x v="2"/>
    <x v="1"/>
    <m/>
    <s v="200645772"/>
  </r>
  <r>
    <n v="2006"/>
    <n v="41"/>
    <s v="Masculino"/>
    <s v="Pintura"/>
    <s v="Operador"/>
    <s v="3º Turno"/>
    <x v="0"/>
    <s v="Não"/>
    <x v="1"/>
    <d v="2025-09-23T00:00:00"/>
    <d v="2025-09-01T00:00:00"/>
    <s v="ter"/>
    <x v="7"/>
    <x v="1"/>
    <m/>
    <s v="200645923"/>
  </r>
  <r>
    <n v="2006"/>
    <n v="41"/>
    <s v="Masculino"/>
    <s v="Pintura"/>
    <s v="Operador"/>
    <s v="3º Turno"/>
    <x v="0"/>
    <s v="Não"/>
    <x v="1"/>
    <d v="2025-10-31T00:00:00"/>
    <d v="2025-10-01T00:00:00"/>
    <s v="sex"/>
    <x v="11"/>
    <x v="1"/>
    <m/>
    <s v="200645961"/>
  </r>
  <r>
    <n v="2006"/>
    <n v="41"/>
    <s v="Masculino"/>
    <s v="Pintura"/>
    <s v="Operador"/>
    <s v="3º Turno"/>
    <x v="0"/>
    <s v="Não"/>
    <x v="1"/>
    <d v="2025-11-26T00:00:00"/>
    <d v="2025-11-01T00:00:00"/>
    <s v="qua"/>
    <x v="10"/>
    <x v="1"/>
    <m/>
    <s v="200645987"/>
  </r>
  <r>
    <n v="2006"/>
    <n v="41"/>
    <s v="Masculino"/>
    <s v="Pintura"/>
    <s v="Operador"/>
    <s v="3º Turno"/>
    <x v="0"/>
    <s v="Não"/>
    <x v="1"/>
    <d v="2026-02-20T00:00:00"/>
    <d v="2026-02-01T00:00:00"/>
    <s v="sex"/>
    <x v="3"/>
    <x v="0"/>
    <m/>
    <s v="200646073"/>
  </r>
  <r>
    <n v="2006"/>
    <n v="41"/>
    <s v="Masculino"/>
    <s v="Pintura"/>
    <s v="Operador"/>
    <s v="3º Turno"/>
    <x v="0"/>
    <s v="Não"/>
    <x v="1"/>
    <d v="2026-04-25T00:00:00"/>
    <d v="2026-04-01T00:00:00"/>
    <s v="sex"/>
    <x v="2"/>
    <x v="1"/>
    <m/>
    <s v="200646137"/>
  </r>
  <r>
    <n v="2007"/>
    <n v="45"/>
    <s v="Masculino"/>
    <s v="Pintura"/>
    <s v="Operador"/>
    <s v="2º Turno"/>
    <x v="0"/>
    <s v="Não"/>
    <x v="1"/>
    <d v="2025-07-30T00:00:00"/>
    <d v="2025-07-01T00:00:00"/>
    <s v="qua"/>
    <x v="6"/>
    <x v="1"/>
    <m/>
    <s v="200745868"/>
  </r>
  <r>
    <n v="2007"/>
    <n v="45"/>
    <s v="Masculino"/>
    <s v="Pintura"/>
    <s v="Operador"/>
    <s v="2º Turno"/>
    <x v="0"/>
    <s v="Não"/>
    <x v="1"/>
    <d v="2025-08-04T00:00:00"/>
    <d v="2025-08-01T00:00:00"/>
    <s v="seg"/>
    <x v="9"/>
    <x v="1"/>
    <m/>
    <s v="200745873"/>
  </r>
  <r>
    <n v="2007"/>
    <n v="45"/>
    <s v="Masculino"/>
    <s v="Pintura"/>
    <s v="Operador"/>
    <s v="2º Turno"/>
    <x v="0"/>
    <s v="Não"/>
    <x v="1"/>
    <d v="2025-09-30T00:00:00"/>
    <d v="2025-09-01T00:00:00"/>
    <s v="ter"/>
    <x v="7"/>
    <x v="1"/>
    <m/>
    <s v="200745930"/>
  </r>
  <r>
    <n v="2007"/>
    <n v="45"/>
    <s v="Masculino"/>
    <s v="Pintura"/>
    <s v="Operador"/>
    <s v="2º Turno"/>
    <x v="0"/>
    <s v="Não"/>
    <x v="1"/>
    <d v="2026-02-18T00:00:00"/>
    <d v="2026-02-01T00:00:00"/>
    <s v="qua"/>
    <x v="3"/>
    <x v="0"/>
    <m/>
    <s v="200746071"/>
  </r>
  <r>
    <n v="2008"/>
    <n v="37"/>
    <s v="Feminino"/>
    <s v="Montagem"/>
    <s v="Operador"/>
    <s v="3º Turno"/>
    <x v="0"/>
    <s v="Não"/>
    <x v="1"/>
    <d v="2025-09-07T00:00:00"/>
    <d v="2025-09-01T00:00:00"/>
    <s v="dom"/>
    <x v="7"/>
    <x v="1"/>
    <m/>
    <s v="200845907"/>
  </r>
  <r>
    <n v="2008"/>
    <n v="37"/>
    <s v="Feminino"/>
    <s v="Montagem"/>
    <s v="Operador"/>
    <s v="3º Turno"/>
    <x v="0"/>
    <s v="Não"/>
    <x v="1"/>
    <d v="2025-09-13T00:00:00"/>
    <d v="2025-09-01T00:00:00"/>
    <s v="sáb"/>
    <x v="7"/>
    <x v="1"/>
    <m/>
    <s v="200845913"/>
  </r>
  <r>
    <n v="2008"/>
    <n v="37"/>
    <s v="Feminino"/>
    <s v="Montagem"/>
    <s v="Operador"/>
    <s v="3º Turno"/>
    <x v="0"/>
    <s v="Não"/>
    <x v="1"/>
    <d v="2025-09-16T00:00:00"/>
    <d v="2025-09-01T00:00:00"/>
    <s v="ter"/>
    <x v="7"/>
    <x v="1"/>
    <m/>
    <s v="200845916"/>
  </r>
  <r>
    <n v="2008"/>
    <n v="37"/>
    <s v="Feminino"/>
    <s v="Montagem"/>
    <s v="Operador"/>
    <s v="3º Turno"/>
    <x v="0"/>
    <s v="Não"/>
    <x v="1"/>
    <d v="2025-10-29T00:00:00"/>
    <d v="2025-10-01T00:00:00"/>
    <s v="qua"/>
    <x v="11"/>
    <x v="1"/>
    <m/>
    <s v="200845959"/>
  </r>
  <r>
    <n v="2008"/>
    <n v="37"/>
    <s v="Feminino"/>
    <s v="Montagem"/>
    <s v="Operador"/>
    <s v="3º Turno"/>
    <x v="0"/>
    <s v="Não"/>
    <x v="1"/>
    <d v="2025-12-30T00:00:00"/>
    <d v="2025-12-01T00:00:00"/>
    <s v="ter"/>
    <x v="8"/>
    <x v="1"/>
    <m/>
    <s v="200846021"/>
  </r>
  <r>
    <n v="2009"/>
    <n v="25"/>
    <s v="Feminino"/>
    <s v="Soldagem"/>
    <s v="Operador"/>
    <s v="2º Turno"/>
    <x v="0"/>
    <s v="Não"/>
    <x v="2"/>
    <d v="2025-06-29T00:00:00"/>
    <d v="2025-06-01T00:00:00"/>
    <s v="dom"/>
    <x v="1"/>
    <x v="1"/>
    <m/>
    <s v="200945837"/>
  </r>
  <r>
    <n v="2009"/>
    <n v="25"/>
    <s v="Feminino"/>
    <s v="Soldagem"/>
    <s v="Operador"/>
    <s v="2º Turno"/>
    <x v="0"/>
    <s v="Não"/>
    <x v="2"/>
    <d v="2025-08-10T00:00:00"/>
    <d v="2025-08-01T00:00:00"/>
    <s v="dom"/>
    <x v="9"/>
    <x v="1"/>
    <m/>
    <s v="200945879"/>
  </r>
  <r>
    <n v="2009"/>
    <n v="25"/>
    <s v="Feminino"/>
    <s v="Soldagem"/>
    <s v="Operador"/>
    <s v="2º Turno"/>
    <x v="0"/>
    <s v="Não"/>
    <x v="2"/>
    <d v="2025-09-21T00:00:00"/>
    <d v="2025-09-01T00:00:00"/>
    <s v="dom"/>
    <x v="7"/>
    <x v="1"/>
    <m/>
    <s v="200945921"/>
  </r>
  <r>
    <n v="2009"/>
    <n v="25"/>
    <s v="Feminino"/>
    <s v="Soldagem"/>
    <s v="Operador"/>
    <s v="2º Turno"/>
    <x v="0"/>
    <s v="Não"/>
    <x v="2"/>
    <d v="2025-12-13T00:00:00"/>
    <d v="2025-12-01T00:00:00"/>
    <s v="sáb"/>
    <x v="8"/>
    <x v="1"/>
    <m/>
    <s v="200946004"/>
  </r>
  <r>
    <n v="2009"/>
    <n v="25"/>
    <s v="Feminino"/>
    <s v="Soldagem"/>
    <s v="Operador"/>
    <s v="2º Turno"/>
    <x v="0"/>
    <s v="Não"/>
    <x v="2"/>
    <d v="2026-02-05T00:00:00"/>
    <d v="2026-02-01T00:00:00"/>
    <s v="qui"/>
    <x v="3"/>
    <x v="0"/>
    <m/>
    <s v="200946058"/>
  </r>
  <r>
    <n v="2009"/>
    <n v="25"/>
    <s v="Feminino"/>
    <s v="Soldagem"/>
    <s v="Operador"/>
    <s v="2º Turno"/>
    <x v="0"/>
    <s v="Não"/>
    <x v="2"/>
    <d v="2026-03-29T00:00:00"/>
    <d v="2026-03-01T00:00:00"/>
    <s v="dom"/>
    <x v="4"/>
    <x v="0"/>
    <m/>
    <s v="200946110"/>
  </r>
  <r>
    <n v="2009"/>
    <n v="25"/>
    <s v="Feminino"/>
    <s v="Soldagem"/>
    <s v="Operador"/>
    <s v="2º Turno"/>
    <x v="0"/>
    <s v="Não"/>
    <x v="2"/>
    <d v="2026-05-21T00:00:00"/>
    <d v="2026-05-01T00:00:00"/>
    <s v="qui"/>
    <x v="0"/>
    <x v="0"/>
    <m/>
    <s v="200946163"/>
  </r>
  <r>
    <n v="2010"/>
    <n v="20"/>
    <s v="Masculino"/>
    <s v="Montagem"/>
    <s v="Operador"/>
    <s v="1º Turno"/>
    <x v="0"/>
    <s v="Não"/>
    <x v="0"/>
    <d v="2026-02-11T00:00:00"/>
    <d v="2026-02-01T00:00:00"/>
    <s v="qua"/>
    <x v="3"/>
    <x v="0"/>
    <m/>
    <s v="201046064"/>
  </r>
  <r>
    <n v="2010"/>
    <n v="20"/>
    <s v="Masculino"/>
    <s v="Montagem"/>
    <s v="Operador"/>
    <s v="1º Turno"/>
    <x v="0"/>
    <s v="Não"/>
    <x v="0"/>
    <d v="2026-02-25T00:00:00"/>
    <d v="2026-02-01T00:00:00"/>
    <s v="qua"/>
    <x v="3"/>
    <x v="0"/>
    <m/>
    <s v="201046078"/>
  </r>
  <r>
    <n v="2010"/>
    <n v="20"/>
    <s v="Masculino"/>
    <s v="Montagem"/>
    <s v="Operador"/>
    <s v="1º Turno"/>
    <x v="0"/>
    <s v="Não"/>
    <x v="0"/>
    <d v="2026-02-27T00:00:00"/>
    <d v="2026-02-01T00:00:00"/>
    <s v="sex"/>
    <x v="3"/>
    <x v="0"/>
    <m/>
    <s v="201046080"/>
  </r>
  <r>
    <n v="2010"/>
    <n v="20"/>
    <s v="Masculino"/>
    <s v="Montagem"/>
    <s v="Operador"/>
    <s v="1º Turno"/>
    <x v="0"/>
    <s v="Não"/>
    <x v="0"/>
    <d v="2026-02-28T00:00:00"/>
    <d v="2026-02-01T00:00:00"/>
    <s v="sáb"/>
    <x v="3"/>
    <x v="0"/>
    <m/>
    <s v="201046081"/>
  </r>
  <r>
    <n v="2011"/>
    <n v="38"/>
    <s v="Feminino"/>
    <s v="Logistica"/>
    <s v="Operador"/>
    <s v="3º Turno"/>
    <x v="0"/>
    <s v="Não"/>
    <x v="1"/>
    <d v="2025-06-17T00:00:00"/>
    <d v="2025-06-01T00:00:00"/>
    <s v="ter"/>
    <x v="1"/>
    <x v="1"/>
    <m/>
    <s v="201145825"/>
  </r>
  <r>
    <n v="2011"/>
    <n v="38"/>
    <s v="Feminino"/>
    <s v="Logistica"/>
    <s v="Operador"/>
    <s v="3º Turno"/>
    <x v="0"/>
    <s v="Não"/>
    <x v="1"/>
    <d v="2025-11-04T00:00:00"/>
    <d v="2025-11-01T00:00:00"/>
    <s v="ter"/>
    <x v="10"/>
    <x v="1"/>
    <m/>
    <s v="201145965"/>
  </r>
  <r>
    <n v="2011"/>
    <n v="38"/>
    <s v="Feminino"/>
    <s v="Logistica"/>
    <s v="Operador"/>
    <s v="3º Turno"/>
    <x v="0"/>
    <s v="Não"/>
    <x v="1"/>
    <d v="2025-11-05T00:00:00"/>
    <d v="2025-11-01T00:00:00"/>
    <s v="qua"/>
    <x v="10"/>
    <x v="1"/>
    <m/>
    <s v="201145966"/>
  </r>
  <r>
    <n v="2011"/>
    <n v="38"/>
    <s v="Feminino"/>
    <s v="Logistica"/>
    <s v="Operador"/>
    <s v="3º Turno"/>
    <x v="0"/>
    <s v="Não"/>
    <x v="1"/>
    <d v="2025-11-26T00:00:00"/>
    <d v="2025-11-01T00:00:00"/>
    <s v="qua"/>
    <x v="10"/>
    <x v="1"/>
    <m/>
    <s v="201145987"/>
  </r>
  <r>
    <n v="2011"/>
    <n v="38"/>
    <s v="Feminino"/>
    <s v="Logistica"/>
    <s v="Operador"/>
    <s v="3º Turno"/>
    <x v="0"/>
    <s v="Não"/>
    <x v="1"/>
    <d v="2026-02-01T00:00:00"/>
    <d v="2026-02-01T00:00:00"/>
    <s v="dom"/>
    <x v="3"/>
    <x v="0"/>
    <m/>
    <s v="201146054"/>
  </r>
  <r>
    <n v="2012"/>
    <n v="43"/>
    <s v="Masculino"/>
    <s v="Pintura"/>
    <s v="Operador"/>
    <s v="1º Turno"/>
    <x v="0"/>
    <s v="Não"/>
    <x v="1"/>
    <d v="2025-07-10T00:00:00"/>
    <d v="2025-07-01T00:00:00"/>
    <s v="qui"/>
    <x v="6"/>
    <x v="1"/>
    <m/>
    <s v="201245848"/>
  </r>
  <r>
    <n v="2012"/>
    <n v="43"/>
    <s v="Masculino"/>
    <s v="Pintura"/>
    <s v="Operador"/>
    <s v="1º Turno"/>
    <x v="0"/>
    <s v="Não"/>
    <x v="1"/>
    <d v="2025-08-12T00:00:00"/>
    <d v="2025-08-01T00:00:00"/>
    <s v="ter"/>
    <x v="9"/>
    <x v="1"/>
    <m/>
    <s v="201245881"/>
  </r>
  <r>
    <n v="2012"/>
    <n v="43"/>
    <s v="Masculino"/>
    <s v="Pintura"/>
    <s v="Operador"/>
    <s v="1º Turno"/>
    <x v="0"/>
    <s v="Não"/>
    <x v="1"/>
    <d v="2025-09-19T00:00:00"/>
    <d v="2025-09-01T00:00:00"/>
    <s v="sex"/>
    <x v="7"/>
    <x v="1"/>
    <m/>
    <s v="201245919"/>
  </r>
  <r>
    <n v="2012"/>
    <n v="43"/>
    <s v="Masculino"/>
    <s v="Pintura"/>
    <s v="Operador"/>
    <s v="1º Turno"/>
    <x v="0"/>
    <s v="Não"/>
    <x v="1"/>
    <d v="2025-10-23T00:00:00"/>
    <d v="2025-10-01T00:00:00"/>
    <s v="qui"/>
    <x v="11"/>
    <x v="1"/>
    <m/>
    <s v="201245953"/>
  </r>
  <r>
    <n v="2012"/>
    <n v="43"/>
    <s v="Masculino"/>
    <s v="Pintura"/>
    <s v="Operador"/>
    <s v="1º Turno"/>
    <x v="0"/>
    <s v="Não"/>
    <x v="1"/>
    <d v="2026-02-03T00:00:00"/>
    <d v="2026-02-01T00:00:00"/>
    <s v="ter"/>
    <x v="3"/>
    <x v="0"/>
    <m/>
    <s v="201246056"/>
  </r>
  <r>
    <n v="2012"/>
    <n v="43"/>
    <s v="Masculino"/>
    <s v="Pintura"/>
    <s v="Operador"/>
    <s v="1º Turno"/>
    <x v="0"/>
    <s v="Não"/>
    <x v="1"/>
    <d v="2026-03-09T00:00:00"/>
    <d v="2026-03-01T00:00:00"/>
    <s v="seg"/>
    <x v="4"/>
    <x v="0"/>
    <m/>
    <s v="201246090"/>
  </r>
  <r>
    <n v="2013"/>
    <n v="40"/>
    <s v="Masculino"/>
    <s v="Pintura"/>
    <s v="Operador"/>
    <s v="3º Turno"/>
    <x v="0"/>
    <s v="Não"/>
    <x v="0"/>
    <d v="2025-07-03T00:00:00"/>
    <d v="2025-07-01T00:00:00"/>
    <s v="qui"/>
    <x v="6"/>
    <x v="1"/>
    <m/>
    <s v="201345841"/>
  </r>
  <r>
    <n v="2013"/>
    <n v="40"/>
    <s v="Masculino"/>
    <s v="Pintura"/>
    <s v="Operador"/>
    <s v="3º Turno"/>
    <x v="0"/>
    <s v="Não"/>
    <x v="0"/>
    <d v="2025-07-21T00:00:00"/>
    <d v="2025-07-01T00:00:00"/>
    <s v="seg"/>
    <x v="6"/>
    <x v="1"/>
    <m/>
    <s v="201345859"/>
  </r>
  <r>
    <n v="2013"/>
    <n v="40"/>
    <s v="Masculino"/>
    <s v="Pintura"/>
    <s v="Operador"/>
    <s v="3º Turno"/>
    <x v="0"/>
    <s v="Não"/>
    <x v="0"/>
    <d v="2026-06-13T00:00:00"/>
    <d v="2026-01-01T00:00:00"/>
    <s v="sáb"/>
    <x v="1"/>
    <x v="0"/>
    <m/>
    <s v="201346186"/>
  </r>
  <r>
    <n v="2013"/>
    <n v="40"/>
    <s v="Masculino"/>
    <s v="Pintura"/>
    <s v="Operador"/>
    <s v="3º Turno"/>
    <x v="0"/>
    <s v="Não"/>
    <x v="0"/>
    <d v="2026-06-27T00:00:00"/>
    <d v="2026-01-01T00:00:00"/>
    <s v="sáb"/>
    <x v="1"/>
    <x v="0"/>
    <m/>
    <s v="201346200"/>
  </r>
  <r>
    <n v="2013"/>
    <n v="40"/>
    <s v="Masculino"/>
    <s v="Pintura"/>
    <s v="Operador"/>
    <s v="3º Turno"/>
    <x v="0"/>
    <s v="Não"/>
    <x v="0"/>
    <d v="2026-03-25T00:00:00"/>
    <d v="2026-03-01T00:00:00"/>
    <s v="qua"/>
    <x v="4"/>
    <x v="0"/>
    <m/>
    <s v="201346106"/>
  </r>
  <r>
    <n v="2014"/>
    <n v="22"/>
    <s v="Feminino"/>
    <s v="Qualidade"/>
    <s v="Inspetor"/>
    <s v="2º Turno"/>
    <x v="0"/>
    <s v="Não"/>
    <x v="1"/>
    <d v="2025-06-08T00:00:00"/>
    <d v="2025-06-01T00:00:00"/>
    <s v="dom"/>
    <x v="1"/>
    <x v="1"/>
    <m/>
    <s v="201445816"/>
  </r>
  <r>
    <n v="2014"/>
    <n v="22"/>
    <s v="Feminino"/>
    <s v="Qualidade"/>
    <s v="Inspetor"/>
    <s v="2º Turno"/>
    <x v="0"/>
    <s v="Não"/>
    <x v="1"/>
    <d v="2025-11-30T00:00:00"/>
    <d v="2025-11-01T00:00:00"/>
    <s v="dom"/>
    <x v="10"/>
    <x v="1"/>
    <m/>
    <s v="201445991"/>
  </r>
  <r>
    <n v="2014"/>
    <n v="22"/>
    <s v="Feminino"/>
    <s v="Qualidade"/>
    <s v="Inspetor"/>
    <s v="2º Turno"/>
    <x v="0"/>
    <s v="Não"/>
    <x v="1"/>
    <d v="2026-06-29T00:00:00"/>
    <d v="2026-01-01T00:00:00"/>
    <s v="seg"/>
    <x v="1"/>
    <x v="0"/>
    <m/>
    <s v="201446202"/>
  </r>
  <r>
    <n v="2014"/>
    <n v="22"/>
    <s v="Feminino"/>
    <s v="Qualidade"/>
    <s v="Inspetor"/>
    <s v="2º Turno"/>
    <x v="0"/>
    <s v="Não"/>
    <x v="1"/>
    <d v="2026-02-25T00:00:00"/>
    <d v="2026-02-01T00:00:00"/>
    <s v="qua"/>
    <x v="3"/>
    <x v="0"/>
    <m/>
    <s v="201446078"/>
  </r>
  <r>
    <n v="2014"/>
    <n v="22"/>
    <s v="Feminino"/>
    <s v="Qualidade"/>
    <s v="Inspetor"/>
    <s v="2º Turno"/>
    <x v="0"/>
    <s v="Não"/>
    <x v="1"/>
    <d v="2026-03-15T00:00:00"/>
    <d v="2026-03-01T00:00:00"/>
    <s v="dom"/>
    <x v="4"/>
    <x v="0"/>
    <m/>
    <s v="201446096"/>
  </r>
  <r>
    <n v="2015"/>
    <n v="22"/>
    <s v="Masculino"/>
    <s v="Soldagem"/>
    <s v="Operador"/>
    <s v="2º Turno"/>
    <x v="0"/>
    <s v="Não"/>
    <x v="1"/>
    <d v="2025-07-04T00:00:00"/>
    <d v="2025-07-01T00:00:00"/>
    <s v="sex"/>
    <x v="6"/>
    <x v="1"/>
    <m/>
    <s v="201545842"/>
  </r>
  <r>
    <n v="2015"/>
    <n v="22"/>
    <s v="Masculino"/>
    <s v="Soldagem"/>
    <s v="Operador"/>
    <s v="2º Turno"/>
    <x v="0"/>
    <s v="Não"/>
    <x v="1"/>
    <d v="2025-07-10T00:00:00"/>
    <d v="2025-07-01T00:00:00"/>
    <s v="qui"/>
    <x v="6"/>
    <x v="1"/>
    <m/>
    <s v="201545848"/>
  </r>
  <r>
    <n v="2015"/>
    <n v="22"/>
    <s v="Masculino"/>
    <s v="Soldagem"/>
    <s v="Operador"/>
    <s v="2º Turno"/>
    <x v="0"/>
    <s v="Não"/>
    <x v="1"/>
    <d v="2025-08-18T00:00:00"/>
    <d v="2025-08-01T00:00:00"/>
    <s v="seg"/>
    <x v="9"/>
    <x v="1"/>
    <m/>
    <s v="201545887"/>
  </r>
  <r>
    <n v="2015"/>
    <n v="22"/>
    <s v="Masculino"/>
    <s v="Soldagem"/>
    <s v="Operador"/>
    <s v="2º Turno"/>
    <x v="0"/>
    <s v="Não"/>
    <x v="1"/>
    <d v="2025-09-09T00:00:00"/>
    <d v="2025-09-01T00:00:00"/>
    <s v="ter"/>
    <x v="7"/>
    <x v="1"/>
    <m/>
    <s v="201545909"/>
  </r>
  <r>
    <n v="2015"/>
    <n v="22"/>
    <s v="Masculino"/>
    <s v="Soldagem"/>
    <s v="Operador"/>
    <s v="2º Turno"/>
    <x v="0"/>
    <s v="Não"/>
    <x v="1"/>
    <d v="2025-09-21T00:00:00"/>
    <d v="2025-09-01T00:00:00"/>
    <s v="dom"/>
    <x v="7"/>
    <x v="1"/>
    <m/>
    <s v="201545921"/>
  </r>
  <r>
    <n v="2015"/>
    <n v="22"/>
    <s v="Masculino"/>
    <s v="Soldagem"/>
    <s v="Operador"/>
    <s v="2º Turno"/>
    <x v="0"/>
    <s v="Não"/>
    <x v="1"/>
    <d v="2025-12-29T00:00:00"/>
    <d v="2025-12-01T00:00:00"/>
    <s v="seg"/>
    <x v="8"/>
    <x v="1"/>
    <m/>
    <s v="201546020"/>
  </r>
  <r>
    <n v="2016"/>
    <n v="21"/>
    <s v="Masculino"/>
    <s v="Logistica"/>
    <s v="Operador"/>
    <s v="1º Turno"/>
    <x v="0"/>
    <s v="Não"/>
    <x v="0"/>
    <d v="2025-07-01T00:00:00"/>
    <d v="2025-07-01T00:00:00"/>
    <s v="ter"/>
    <x v="6"/>
    <x v="1"/>
    <m/>
    <s v="201645839"/>
  </r>
  <r>
    <n v="2016"/>
    <n v="21"/>
    <s v="Masculino"/>
    <s v="Logistica"/>
    <s v="Operador"/>
    <s v="1º Turno"/>
    <x v="0"/>
    <s v="Não"/>
    <x v="0"/>
    <d v="2025-07-07T00:00:00"/>
    <d v="2025-07-01T00:00:00"/>
    <s v="seg"/>
    <x v="6"/>
    <x v="1"/>
    <m/>
    <s v="201645845"/>
  </r>
  <r>
    <n v="2016"/>
    <n v="21"/>
    <s v="Masculino"/>
    <s v="Logistica"/>
    <s v="Operador"/>
    <s v="1º Turno"/>
    <x v="0"/>
    <s v="Não"/>
    <x v="0"/>
    <d v="2025-08-05T00:00:00"/>
    <d v="2025-08-01T00:00:00"/>
    <s v="ter"/>
    <x v="9"/>
    <x v="1"/>
    <m/>
    <s v="201645874"/>
  </r>
  <r>
    <n v="2016"/>
    <n v="21"/>
    <s v="Masculino"/>
    <s v="Logistica"/>
    <s v="Operador"/>
    <s v="1º Turno"/>
    <x v="0"/>
    <s v="Não"/>
    <x v="0"/>
    <d v="2025-10-02T00:00:00"/>
    <d v="2025-10-01T00:00:00"/>
    <s v="qui"/>
    <x v="11"/>
    <x v="1"/>
    <m/>
    <s v="201645932"/>
  </r>
  <r>
    <n v="2016"/>
    <n v="21"/>
    <s v="Masculino"/>
    <s v="Logistica"/>
    <s v="Operador"/>
    <s v="1º Turno"/>
    <x v="0"/>
    <s v="Não"/>
    <x v="0"/>
    <d v="2025-11-06T00:00:00"/>
    <d v="2025-11-01T00:00:00"/>
    <s v="qui"/>
    <x v="10"/>
    <x v="1"/>
    <m/>
    <s v="201645967"/>
  </r>
  <r>
    <n v="2017"/>
    <n v="54"/>
    <s v="Feminino"/>
    <s v="Montagem"/>
    <s v="Operador"/>
    <s v="2º Turno"/>
    <x v="0"/>
    <s v="Não"/>
    <x v="0"/>
    <d v="2025-07-10T00:00:00"/>
    <d v="2025-07-01T00:00:00"/>
    <s v="qui"/>
    <x v="6"/>
    <x v="1"/>
    <m/>
    <s v="201745848"/>
  </r>
  <r>
    <n v="2017"/>
    <n v="54"/>
    <s v="Feminino"/>
    <s v="Montagem"/>
    <s v="Operador"/>
    <s v="2º Turno"/>
    <x v="0"/>
    <s v="Não"/>
    <x v="0"/>
    <d v="2025-10-18T00:00:00"/>
    <d v="2025-10-01T00:00:00"/>
    <s v="sáb"/>
    <x v="11"/>
    <x v="1"/>
    <m/>
    <s v="201745948"/>
  </r>
  <r>
    <n v="2017"/>
    <n v="54"/>
    <s v="Feminino"/>
    <s v="Montagem"/>
    <s v="Operador"/>
    <s v="2º Turno"/>
    <x v="0"/>
    <s v="Não"/>
    <x v="0"/>
    <d v="2025-10-26T00:00:00"/>
    <d v="2025-10-01T00:00:00"/>
    <s v="dom"/>
    <x v="11"/>
    <x v="1"/>
    <m/>
    <s v="201745956"/>
  </r>
  <r>
    <n v="2017"/>
    <n v="54"/>
    <s v="Feminino"/>
    <s v="Montagem"/>
    <s v="Operador"/>
    <s v="2º Turno"/>
    <x v="0"/>
    <s v="Não"/>
    <x v="0"/>
    <d v="2025-11-09T00:00:00"/>
    <d v="2025-11-01T00:00:00"/>
    <s v="dom"/>
    <x v="10"/>
    <x v="1"/>
    <m/>
    <s v="201745970"/>
  </r>
  <r>
    <n v="2017"/>
    <n v="54"/>
    <s v="Feminino"/>
    <s v="Montagem"/>
    <s v="Operador"/>
    <s v="2º Turno"/>
    <x v="0"/>
    <s v="Não"/>
    <x v="0"/>
    <d v="2026-03-05T00:00:00"/>
    <d v="2026-03-01T00:00:00"/>
    <s v="qui"/>
    <x v="4"/>
    <x v="0"/>
    <m/>
    <s v="201746086"/>
  </r>
  <r>
    <n v="2017"/>
    <n v="54"/>
    <s v="Feminino"/>
    <s v="Montagem"/>
    <s v="Operador"/>
    <s v="2º Turno"/>
    <x v="0"/>
    <s v="Não"/>
    <x v="0"/>
    <d v="2026-03-07T00:00:00"/>
    <d v="2026-03-01T00:00:00"/>
    <s v="sáb"/>
    <x v="4"/>
    <x v="0"/>
    <m/>
    <s v="201746088"/>
  </r>
  <r>
    <n v="2018"/>
    <n v="29"/>
    <s v="Feminino"/>
    <s v="Montagem"/>
    <s v="Operador"/>
    <s v="2º Turno"/>
    <x v="0"/>
    <s v="Não"/>
    <x v="1"/>
    <d v="2025-06-17T00:00:00"/>
    <d v="2025-06-01T00:00:00"/>
    <s v="ter"/>
    <x v="1"/>
    <x v="1"/>
    <m/>
    <s v="201845825"/>
  </r>
  <r>
    <n v="2018"/>
    <n v="29"/>
    <s v="Feminino"/>
    <s v="Montagem"/>
    <s v="Operador"/>
    <s v="2º Turno"/>
    <x v="0"/>
    <s v="Não"/>
    <x v="1"/>
    <d v="2025-10-20T00:00:00"/>
    <d v="2025-10-01T00:00:00"/>
    <s v="seg"/>
    <x v="11"/>
    <x v="1"/>
    <m/>
    <s v="201845950"/>
  </r>
  <r>
    <n v="2018"/>
    <n v="29"/>
    <s v="Feminino"/>
    <s v="Montagem"/>
    <s v="Operador"/>
    <s v="2º Turno"/>
    <x v="0"/>
    <s v="Não"/>
    <x v="1"/>
    <d v="2025-11-20T00:00:00"/>
    <d v="2025-11-01T00:00:00"/>
    <s v="qui"/>
    <x v="10"/>
    <x v="1"/>
    <m/>
    <s v="201845981"/>
  </r>
  <r>
    <n v="2018"/>
    <n v="29"/>
    <s v="Feminino"/>
    <s v="Montagem"/>
    <s v="Operador"/>
    <s v="2º Turno"/>
    <x v="0"/>
    <s v="Não"/>
    <x v="1"/>
    <d v="2026-06-06T00:00:00"/>
    <d v="2026-01-01T00:00:00"/>
    <s v="sáb"/>
    <x v="1"/>
    <x v="0"/>
    <m/>
    <s v="201846179"/>
  </r>
  <r>
    <n v="2018"/>
    <n v="29"/>
    <s v="Feminino"/>
    <s v="Montagem"/>
    <s v="Operador"/>
    <s v="2º Turno"/>
    <x v="0"/>
    <s v="Não"/>
    <x v="1"/>
    <d v="2026-03-08T00:00:00"/>
    <d v="2026-03-01T00:00:00"/>
    <s v="dom"/>
    <x v="4"/>
    <x v="0"/>
    <m/>
    <s v="201846089"/>
  </r>
  <r>
    <n v="2021"/>
    <n v="42"/>
    <s v="Masculino"/>
    <s v="Logistica"/>
    <s v="Operador"/>
    <s v="3º Turno"/>
    <x v="0"/>
    <s v="Não"/>
    <x v="0"/>
    <d v="2025-09-02T00:00:00"/>
    <d v="2025-09-01T00:00:00"/>
    <s v="ter"/>
    <x v="7"/>
    <x v="1"/>
    <m/>
    <s v="202145902"/>
  </r>
  <r>
    <n v="2021"/>
    <n v="42"/>
    <s v="Masculino"/>
    <s v="Logistica"/>
    <s v="Operador"/>
    <s v="3º Turno"/>
    <x v="0"/>
    <s v="Não"/>
    <x v="0"/>
    <d v="2025-09-20T00:00:00"/>
    <d v="2025-09-01T00:00:00"/>
    <s v="sáb"/>
    <x v="7"/>
    <x v="1"/>
    <m/>
    <s v="202145920"/>
  </r>
  <r>
    <n v="2021"/>
    <n v="42"/>
    <s v="Masculino"/>
    <s v="Logistica"/>
    <s v="Operador"/>
    <s v="3º Turno"/>
    <x v="0"/>
    <s v="Não"/>
    <x v="0"/>
    <d v="2026-03-20T00:00:00"/>
    <d v="2026-03-01T00:00:00"/>
    <s v="sex"/>
    <x v="4"/>
    <x v="0"/>
    <m/>
    <s v="202146101"/>
  </r>
  <r>
    <n v="2021"/>
    <n v="42"/>
    <s v="Masculino"/>
    <s v="Logistica"/>
    <s v="Operador"/>
    <s v="3º Turno"/>
    <x v="0"/>
    <s v="Não"/>
    <x v="0"/>
    <d v="2026-03-27T00:00:00"/>
    <d v="2026-03-01T00:00:00"/>
    <s v="sex"/>
    <x v="4"/>
    <x v="0"/>
    <m/>
    <s v="202146108"/>
  </r>
  <r>
    <n v="2021"/>
    <n v="42"/>
    <s v="Masculino"/>
    <s v="Logistica"/>
    <s v="Operador"/>
    <s v="3º Turno"/>
    <x v="0"/>
    <s v="Não"/>
    <x v="0"/>
    <d v="2026-06-05T00:00:00"/>
    <d v="2026-06-01T00:00:00"/>
    <s v="sex"/>
    <x v="1"/>
    <x v="0"/>
    <m/>
    <s v="202146178"/>
  </r>
  <r>
    <n v="2022"/>
    <n v="29"/>
    <s v="Feminino"/>
    <s v="Montagem"/>
    <s v="Operador"/>
    <s v="2º Turno"/>
    <x v="0"/>
    <s v="Não"/>
    <x v="0"/>
    <d v="2025-07-08T00:00:00"/>
    <d v="2025-07-01T00:00:00"/>
    <s v="ter"/>
    <x v="6"/>
    <x v="1"/>
    <m/>
    <s v="202245846"/>
  </r>
  <r>
    <n v="2022"/>
    <n v="29"/>
    <s v="Feminino"/>
    <s v="Montagem"/>
    <s v="Operador"/>
    <s v="2º Turno"/>
    <x v="0"/>
    <s v="Não"/>
    <x v="0"/>
    <d v="2025-08-24T00:00:00"/>
    <d v="2025-08-01T00:00:00"/>
    <s v="dom"/>
    <x v="9"/>
    <x v="1"/>
    <m/>
    <s v="202245893"/>
  </r>
  <r>
    <n v="2022"/>
    <n v="29"/>
    <s v="Feminino"/>
    <s v="Montagem"/>
    <s v="Operador"/>
    <s v="2º Turno"/>
    <x v="0"/>
    <s v="Não"/>
    <x v="0"/>
    <d v="2025-09-01T00:00:00"/>
    <d v="2025-09-01T00:00:00"/>
    <s v="seg"/>
    <x v="7"/>
    <x v="1"/>
    <m/>
    <s v="202245901"/>
  </r>
  <r>
    <n v="2022"/>
    <n v="29"/>
    <s v="Feminino"/>
    <s v="Montagem"/>
    <s v="Operador"/>
    <s v="2º Turno"/>
    <x v="0"/>
    <s v="Não"/>
    <x v="0"/>
    <d v="2025-10-08T00:00:00"/>
    <d v="2025-10-01T00:00:00"/>
    <s v="qua"/>
    <x v="11"/>
    <x v="1"/>
    <m/>
    <s v="202245938"/>
  </r>
  <r>
    <n v="2022"/>
    <n v="29"/>
    <s v="Feminino"/>
    <s v="Montagem"/>
    <s v="Operador"/>
    <s v="2º Turno"/>
    <x v="0"/>
    <s v="Não"/>
    <x v="0"/>
    <d v="2026-02-03T00:00:00"/>
    <d v="2026-02-01T00:00:00"/>
    <s v="ter"/>
    <x v="3"/>
    <x v="0"/>
    <m/>
    <s v="202246056"/>
  </r>
  <r>
    <n v="2022"/>
    <n v="29"/>
    <s v="Feminino"/>
    <s v="Montagem"/>
    <s v="Operador"/>
    <s v="2º Turno"/>
    <x v="0"/>
    <s v="Não"/>
    <x v="0"/>
    <d v="2026-03-05T00:00:00"/>
    <d v="2026-03-01T00:00:00"/>
    <s v="qui"/>
    <x v="4"/>
    <x v="0"/>
    <m/>
    <s v="202246086"/>
  </r>
  <r>
    <n v="2022"/>
    <n v="37"/>
    <s v="Masculino"/>
    <s v="Pintura"/>
    <s v="Operador"/>
    <s v="3º Turno"/>
    <x v="1"/>
    <s v="Não"/>
    <x v="1"/>
    <d v="2026-04-01T00:00:00"/>
    <d v="2026-06-02T00:00:00"/>
    <s v="qua"/>
    <x v="2"/>
    <x v="0"/>
    <m/>
    <s v="202246113"/>
  </r>
  <r>
    <n v="2022"/>
    <n v="37"/>
    <s v="Masculino"/>
    <s v="Pintura"/>
    <s v="Operador"/>
    <s v="3º Turno"/>
    <x v="1"/>
    <s v="Não"/>
    <x v="1"/>
    <d v="2026-04-02T00:00:00"/>
    <d v="2026-06-02T00:00:00"/>
    <s v="qui"/>
    <x v="2"/>
    <x v="0"/>
    <m/>
    <s v="202246114"/>
  </r>
  <r>
    <n v="2022"/>
    <n v="37"/>
    <s v="Masculino"/>
    <s v="Pintura"/>
    <s v="Operador"/>
    <s v="3º Turno"/>
    <x v="1"/>
    <s v="Não"/>
    <x v="1"/>
    <d v="2026-04-03T00:00:00"/>
    <d v="2026-06-02T00:00:00"/>
    <s v="sex"/>
    <x v="2"/>
    <x v="0"/>
    <m/>
    <s v="202246115"/>
  </r>
  <r>
    <n v="2022"/>
    <n v="37"/>
    <s v="Masculino"/>
    <s v="Pintura"/>
    <s v="Operador"/>
    <s v="3º Turno"/>
    <x v="1"/>
    <s v="Não"/>
    <x v="1"/>
    <d v="2026-04-04T00:00:00"/>
    <d v="2026-06-02T00:00:00"/>
    <s v="sáb"/>
    <x v="2"/>
    <x v="0"/>
    <m/>
    <s v="202246116"/>
  </r>
  <r>
    <n v="2022"/>
    <n v="37"/>
    <s v="Masculino"/>
    <s v="Pintura"/>
    <s v="Operador"/>
    <s v="3º Turno"/>
    <x v="1"/>
    <s v="Não"/>
    <x v="1"/>
    <d v="2026-04-05T00:00:00"/>
    <d v="2026-06-02T00:00:00"/>
    <s v="dom"/>
    <x v="2"/>
    <x v="0"/>
    <m/>
    <s v="202246117"/>
  </r>
  <r>
    <n v="2022"/>
    <n v="37"/>
    <s v="Masculino"/>
    <s v="Pintura"/>
    <s v="Operador"/>
    <s v="3º Turno"/>
    <x v="1"/>
    <s v="Não"/>
    <x v="1"/>
    <d v="2026-04-06T00:00:00"/>
    <d v="2026-06-02T00:00:00"/>
    <s v="seg"/>
    <x v="2"/>
    <x v="0"/>
    <m/>
    <s v="202246118"/>
  </r>
  <r>
    <n v="2022"/>
    <n v="37"/>
    <s v="Masculino"/>
    <s v="Pintura"/>
    <s v="Operador"/>
    <s v="3º Turno"/>
    <x v="1"/>
    <s v="Não"/>
    <x v="1"/>
    <d v="2026-04-07T00:00:00"/>
    <d v="2026-06-02T00:00:00"/>
    <s v="ter"/>
    <x v="2"/>
    <x v="0"/>
    <m/>
    <s v="202246119"/>
  </r>
  <r>
    <n v="2022"/>
    <n v="37"/>
    <s v="Masculino"/>
    <s v="Pintura"/>
    <s v="Operador"/>
    <s v="3º Turno"/>
    <x v="1"/>
    <s v="Não"/>
    <x v="1"/>
    <d v="2026-04-08T00:00:00"/>
    <d v="2026-06-02T00:00:00"/>
    <s v="qua"/>
    <x v="2"/>
    <x v="0"/>
    <m/>
    <s v="202246120"/>
  </r>
  <r>
    <n v="2022"/>
    <n v="37"/>
    <s v="Masculino"/>
    <s v="Pintura"/>
    <s v="Operador"/>
    <s v="3º Turno"/>
    <x v="1"/>
    <s v="Não"/>
    <x v="1"/>
    <d v="2026-04-09T00:00:00"/>
    <d v="2026-06-02T00:00:00"/>
    <s v="qui"/>
    <x v="2"/>
    <x v="0"/>
    <m/>
    <s v="202246121"/>
  </r>
  <r>
    <n v="2022"/>
    <n v="37"/>
    <s v="Masculino"/>
    <s v="Pintura"/>
    <s v="Operador"/>
    <s v="3º Turno"/>
    <x v="1"/>
    <s v="Não"/>
    <x v="1"/>
    <d v="2026-04-10T00:00:00"/>
    <d v="2026-06-02T00:00:00"/>
    <s v="sex"/>
    <x v="2"/>
    <x v="0"/>
    <m/>
    <s v="202246122"/>
  </r>
  <r>
    <n v="2022"/>
    <n v="37"/>
    <s v="Masculino"/>
    <s v="Pintura"/>
    <s v="Operador"/>
    <s v="3º Turno"/>
    <x v="1"/>
    <s v="Não"/>
    <x v="1"/>
    <d v="2026-04-11T00:00:00"/>
    <d v="2026-06-02T00:00:00"/>
    <s v="sáb"/>
    <x v="2"/>
    <x v="0"/>
    <m/>
    <s v="202246123"/>
  </r>
  <r>
    <n v="2022"/>
    <n v="37"/>
    <s v="Masculino"/>
    <s v="Pintura"/>
    <s v="Operador"/>
    <s v="3º Turno"/>
    <x v="1"/>
    <s v="Não"/>
    <x v="1"/>
    <d v="2026-04-12T00:00:00"/>
    <d v="2026-06-02T00:00:00"/>
    <s v="dom"/>
    <x v="2"/>
    <x v="0"/>
    <m/>
    <s v="202246124"/>
  </r>
  <r>
    <n v="2022"/>
    <n v="37"/>
    <s v="Masculino"/>
    <s v="Pintura"/>
    <s v="Operador"/>
    <s v="3º Turno"/>
    <x v="1"/>
    <s v="Não"/>
    <x v="1"/>
    <d v="2026-04-13T00:00:00"/>
    <d v="2026-06-02T00:00:00"/>
    <s v="seg"/>
    <x v="2"/>
    <x v="0"/>
    <m/>
    <s v="202246125"/>
  </r>
  <r>
    <n v="2022"/>
    <n v="37"/>
    <s v="Masculino"/>
    <s v="Pintura"/>
    <s v="Operador"/>
    <s v="3º Turno"/>
    <x v="1"/>
    <s v="Não"/>
    <x v="1"/>
    <d v="2026-04-14T00:00:00"/>
    <d v="2026-06-02T00:00:00"/>
    <s v="ter"/>
    <x v="2"/>
    <x v="0"/>
    <m/>
    <s v="202246126"/>
  </r>
  <r>
    <n v="2022"/>
    <n v="37"/>
    <s v="Masculino"/>
    <s v="Pintura"/>
    <s v="Operador"/>
    <s v="3º Turno"/>
    <x v="1"/>
    <s v="Não"/>
    <x v="1"/>
    <d v="2026-04-15T00:00:00"/>
    <d v="2026-06-02T00:00:00"/>
    <s v="qua"/>
    <x v="2"/>
    <x v="0"/>
    <m/>
    <s v="202246127"/>
  </r>
  <r>
    <n v="2022"/>
    <n v="37"/>
    <s v="Masculino"/>
    <s v="Pintura"/>
    <s v="Operador"/>
    <s v="3º Turno"/>
    <x v="1"/>
    <s v="Não"/>
    <x v="1"/>
    <d v="2026-04-16T00:00:00"/>
    <d v="2026-06-02T00:00:00"/>
    <s v="qui"/>
    <x v="2"/>
    <x v="0"/>
    <m/>
    <s v="202246128"/>
  </r>
  <r>
    <n v="2022"/>
    <n v="37"/>
    <s v="Masculino"/>
    <s v="Pintura"/>
    <s v="Operador"/>
    <s v="3º Turno"/>
    <x v="1"/>
    <s v="Não"/>
    <x v="1"/>
    <d v="2026-04-17T00:00:00"/>
    <d v="2026-06-02T00:00:00"/>
    <s v="sex"/>
    <x v="2"/>
    <x v="0"/>
    <m/>
    <s v="202246129"/>
  </r>
  <r>
    <n v="2022"/>
    <n v="37"/>
    <s v="Masculino"/>
    <s v="Pintura"/>
    <s v="Operador"/>
    <s v="3º Turno"/>
    <x v="1"/>
    <s v="Não"/>
    <x v="1"/>
    <d v="2026-04-18T00:00:00"/>
    <d v="2026-06-02T00:00:00"/>
    <s v="sáb"/>
    <x v="2"/>
    <x v="0"/>
    <m/>
    <s v="202246130"/>
  </r>
  <r>
    <n v="2022"/>
    <n v="37"/>
    <s v="Masculino"/>
    <s v="Pintura"/>
    <s v="Operador"/>
    <s v="3º Turno"/>
    <x v="1"/>
    <s v="Não"/>
    <x v="1"/>
    <d v="2026-04-19T00:00:00"/>
    <d v="2026-06-02T00:00:00"/>
    <s v="dom"/>
    <x v="2"/>
    <x v="0"/>
    <m/>
    <s v="202246131"/>
  </r>
  <r>
    <n v="2022"/>
    <n v="37"/>
    <s v="Masculino"/>
    <s v="Pintura"/>
    <s v="Operador"/>
    <s v="3º Turno"/>
    <x v="1"/>
    <s v="Não"/>
    <x v="1"/>
    <d v="2026-04-20T00:00:00"/>
    <d v="2026-06-02T00:00:00"/>
    <s v="seg"/>
    <x v="2"/>
    <x v="0"/>
    <m/>
    <s v="202246132"/>
  </r>
  <r>
    <n v="2022"/>
    <n v="37"/>
    <s v="Masculino"/>
    <s v="Pintura"/>
    <s v="Operador"/>
    <s v="3º Turno"/>
    <x v="1"/>
    <s v="Não"/>
    <x v="1"/>
    <d v="2026-04-21T00:00:00"/>
    <d v="2026-06-02T00:00:00"/>
    <s v="ter"/>
    <x v="2"/>
    <x v="0"/>
    <m/>
    <s v="202246133"/>
  </r>
  <r>
    <n v="2022"/>
    <n v="37"/>
    <s v="Masculino"/>
    <s v="Pintura"/>
    <s v="Operador"/>
    <s v="3º Turno"/>
    <x v="1"/>
    <s v="Não"/>
    <x v="1"/>
    <d v="2026-04-22T00:00:00"/>
    <d v="2026-06-02T00:00:00"/>
    <s v="qua"/>
    <x v="2"/>
    <x v="0"/>
    <m/>
    <s v="202246134"/>
  </r>
  <r>
    <n v="2022"/>
    <n v="37"/>
    <s v="Masculino"/>
    <s v="Pintura"/>
    <s v="Operador"/>
    <s v="3º Turno"/>
    <x v="1"/>
    <s v="Não"/>
    <x v="1"/>
    <d v="2026-04-23T00:00:00"/>
    <d v="2026-06-02T00:00:00"/>
    <s v="qui"/>
    <x v="2"/>
    <x v="0"/>
    <m/>
    <s v="202246135"/>
  </r>
  <r>
    <n v="2022"/>
    <n v="37"/>
    <s v="Masculino"/>
    <s v="Pintura"/>
    <s v="Operador"/>
    <s v="3º Turno"/>
    <x v="1"/>
    <s v="Não"/>
    <x v="1"/>
    <d v="2026-04-24T00:00:00"/>
    <d v="2026-06-02T00:00:00"/>
    <s v="sex"/>
    <x v="2"/>
    <x v="0"/>
    <m/>
    <s v="202246136"/>
  </r>
  <r>
    <n v="2022"/>
    <n v="37"/>
    <s v="Masculino"/>
    <s v="Pintura"/>
    <s v="Operador"/>
    <s v="3º Turno"/>
    <x v="1"/>
    <s v="Não"/>
    <x v="1"/>
    <d v="2026-04-25T00:00:00"/>
    <d v="2026-06-02T00:00:00"/>
    <s v="sáb"/>
    <x v="2"/>
    <x v="0"/>
    <m/>
    <s v="202246137"/>
  </r>
  <r>
    <n v="2022"/>
    <n v="37"/>
    <s v="Masculino"/>
    <s v="Pintura"/>
    <s v="Operador"/>
    <s v="3º Turno"/>
    <x v="1"/>
    <s v="Não"/>
    <x v="1"/>
    <d v="2026-04-26T00:00:00"/>
    <d v="2026-06-02T00:00:00"/>
    <s v="dom"/>
    <x v="2"/>
    <x v="0"/>
    <m/>
    <s v="202246138"/>
  </r>
  <r>
    <n v="2022"/>
    <n v="37"/>
    <s v="Masculino"/>
    <s v="Pintura"/>
    <s v="Operador"/>
    <s v="3º Turno"/>
    <x v="1"/>
    <s v="Não"/>
    <x v="1"/>
    <d v="2026-04-27T00:00:00"/>
    <d v="2026-06-02T00:00:00"/>
    <s v="seg"/>
    <x v="2"/>
    <x v="0"/>
    <m/>
    <s v="202246139"/>
  </r>
  <r>
    <n v="2022"/>
    <n v="37"/>
    <s v="Masculino"/>
    <s v="Pintura"/>
    <s v="Operador"/>
    <s v="3º Turno"/>
    <x v="1"/>
    <s v="Não"/>
    <x v="1"/>
    <d v="2026-04-28T00:00:00"/>
    <d v="2026-06-02T00:00:00"/>
    <s v="ter"/>
    <x v="2"/>
    <x v="0"/>
    <m/>
    <s v="202246140"/>
  </r>
  <r>
    <n v="2022"/>
    <n v="37"/>
    <s v="Masculino"/>
    <s v="Pintura"/>
    <s v="Operador"/>
    <s v="3º Turno"/>
    <x v="1"/>
    <s v="Não"/>
    <x v="1"/>
    <d v="2026-04-29T00:00:00"/>
    <d v="2026-06-02T00:00:00"/>
    <s v="qua"/>
    <x v="2"/>
    <x v="0"/>
    <m/>
    <s v="202246141"/>
  </r>
  <r>
    <n v="2022"/>
    <n v="37"/>
    <s v="Masculino"/>
    <s v="Pintura"/>
    <s v="Operador"/>
    <s v="3º Turno"/>
    <x v="1"/>
    <s v="Não"/>
    <x v="1"/>
    <d v="2026-04-30T00:00:00"/>
    <d v="2026-06-02T00:00:00"/>
    <s v="qui"/>
    <x v="2"/>
    <x v="0"/>
    <m/>
    <s v="202246142"/>
  </r>
  <r>
    <n v="2022"/>
    <n v="37"/>
    <s v="Masculino"/>
    <s v="Pintura"/>
    <s v="Operador"/>
    <s v="3º Turno"/>
    <x v="1"/>
    <s v="Não"/>
    <x v="1"/>
    <d v="2026-05-01T00:00:00"/>
    <d v="2026-06-02T00:00:00"/>
    <s v="sex"/>
    <x v="0"/>
    <x v="0"/>
    <m/>
    <s v="202246143"/>
  </r>
  <r>
    <n v="2023"/>
    <n v="57"/>
    <s v="Feminino"/>
    <s v="Soldagem"/>
    <s v="Operador"/>
    <s v="1º Turno"/>
    <x v="0"/>
    <s v="Não"/>
    <x v="2"/>
    <d v="2025-06-21T00:00:00"/>
    <d v="2025-06-01T00:00:00"/>
    <s v="sáb"/>
    <x v="1"/>
    <x v="1"/>
    <m/>
    <s v="202345829"/>
  </r>
  <r>
    <n v="2023"/>
    <n v="57"/>
    <s v="Feminino"/>
    <s v="Soldagem"/>
    <s v="Operador"/>
    <s v="1º Turno"/>
    <x v="0"/>
    <s v="Não"/>
    <x v="2"/>
    <d v="2025-06-26T00:00:00"/>
    <d v="2025-06-01T00:00:00"/>
    <s v="qui"/>
    <x v="1"/>
    <x v="1"/>
    <m/>
    <s v="202345834"/>
  </r>
  <r>
    <n v="2023"/>
    <n v="57"/>
    <s v="Feminino"/>
    <s v="Soldagem"/>
    <s v="Operador"/>
    <s v="1º Turno"/>
    <x v="0"/>
    <s v="Não"/>
    <x v="2"/>
    <d v="2025-09-01T00:00:00"/>
    <d v="2025-09-01T00:00:00"/>
    <s v="seg"/>
    <x v="7"/>
    <x v="1"/>
    <m/>
    <s v="202345901"/>
  </r>
  <r>
    <n v="2023"/>
    <n v="57"/>
    <s v="Feminino"/>
    <s v="Soldagem"/>
    <s v="Operador"/>
    <s v="1º Turno"/>
    <x v="0"/>
    <s v="Não"/>
    <x v="2"/>
    <d v="2025-09-19T00:00:00"/>
    <d v="2025-09-01T00:00:00"/>
    <s v="sex"/>
    <x v="7"/>
    <x v="1"/>
    <m/>
    <s v="202345919"/>
  </r>
  <r>
    <n v="2023"/>
    <n v="57"/>
    <s v="Feminino"/>
    <s v="Soldagem"/>
    <s v="Operador"/>
    <s v="1º Turno"/>
    <x v="0"/>
    <s v="Não"/>
    <x v="2"/>
    <d v="2026-02-11T00:00:00"/>
    <d v="2026-02-01T00:00:00"/>
    <s v="qua"/>
    <x v="3"/>
    <x v="0"/>
    <m/>
    <s v="202346064"/>
  </r>
  <r>
    <n v="2024"/>
    <n v="33"/>
    <s v="Masculino"/>
    <s v="Pintura"/>
    <s v="Operador"/>
    <s v="3º Turno"/>
    <x v="0"/>
    <s v="Não"/>
    <x v="1"/>
    <d v="2025-08-31T00:00:00"/>
    <d v="2025-08-01T00:00:00"/>
    <s v="dom"/>
    <x v="9"/>
    <x v="1"/>
    <m/>
    <s v="202445900"/>
  </r>
  <r>
    <n v="2024"/>
    <n v="33"/>
    <s v="Masculino"/>
    <s v="Pintura"/>
    <s v="Operador"/>
    <s v="3º Turno"/>
    <x v="0"/>
    <s v="Não"/>
    <x v="1"/>
    <d v="2025-09-28T00:00:00"/>
    <d v="2025-09-01T00:00:00"/>
    <s v="dom"/>
    <x v="7"/>
    <x v="1"/>
    <m/>
    <s v="202445928"/>
  </r>
  <r>
    <n v="2024"/>
    <n v="33"/>
    <s v="Masculino"/>
    <s v="Pintura"/>
    <s v="Operador"/>
    <s v="3º Turno"/>
    <x v="0"/>
    <s v="Não"/>
    <x v="1"/>
    <d v="2026-06-01T00:00:00"/>
    <d v="2026-01-01T00:00:00"/>
    <s v="seg"/>
    <x v="1"/>
    <x v="0"/>
    <m/>
    <s v="202446174"/>
  </r>
  <r>
    <n v="2025"/>
    <n v="54"/>
    <s v="Masculino"/>
    <s v="Soldagem"/>
    <s v="Operador"/>
    <s v="2º Turno"/>
    <x v="3"/>
    <s v="Não"/>
    <x v="2"/>
    <d v="2025-06-08T00:00:00"/>
    <d v="2025-06-01T00:00:00"/>
    <s v="dom"/>
    <x v="1"/>
    <x v="1"/>
    <m/>
    <s v="202545816"/>
  </r>
  <r>
    <n v="2025"/>
    <n v="54"/>
    <s v="Masculino"/>
    <s v="Soldagem"/>
    <s v="Operador"/>
    <s v="2º Turno"/>
    <x v="0"/>
    <s v="Não"/>
    <x v="2"/>
    <d v="2025-06-24T00:00:00"/>
    <d v="2025-06-01T00:00:00"/>
    <s v="ter"/>
    <x v="1"/>
    <x v="1"/>
    <m/>
    <s v="202545832"/>
  </r>
  <r>
    <n v="2025"/>
    <n v="54"/>
    <s v="Masculino"/>
    <s v="Soldagem"/>
    <s v="Operador"/>
    <s v="2º Turno"/>
    <x v="3"/>
    <s v="Não"/>
    <x v="2"/>
    <d v="2025-09-21T00:00:00"/>
    <d v="2025-09-01T00:00:00"/>
    <s v="dom"/>
    <x v="7"/>
    <x v="1"/>
    <m/>
    <s v="202545921"/>
  </r>
  <r>
    <n v="2025"/>
    <n v="54"/>
    <s v="Masculino"/>
    <s v="Soldagem"/>
    <s v="Operador"/>
    <s v="2º Turno"/>
    <x v="0"/>
    <s v="Não"/>
    <x v="2"/>
    <d v="2025-12-11T00:00:00"/>
    <d v="2025-12-01T00:00:00"/>
    <s v="qui"/>
    <x v="8"/>
    <x v="1"/>
    <m/>
    <s v="202546002"/>
  </r>
  <r>
    <n v="2025"/>
    <n v="54"/>
    <s v="Masculino"/>
    <s v="Soldagem"/>
    <s v="Operador"/>
    <s v="2º Turno"/>
    <x v="0"/>
    <s v="Não"/>
    <x v="2"/>
    <d v="2026-03-15T00:00:00"/>
    <d v="2026-03-01T00:00:00"/>
    <s v="dom"/>
    <x v="4"/>
    <x v="0"/>
    <m/>
    <s v="202546096"/>
  </r>
  <r>
    <n v="2026"/>
    <n v="21"/>
    <s v="Masculino"/>
    <s v="Logistica"/>
    <s v="Operador"/>
    <s v="3º Turno"/>
    <x v="3"/>
    <s v="Não"/>
    <x v="2"/>
    <d v="2025-05-14T00:00:00"/>
    <d v="2025-05-01T00:00:00"/>
    <s v="qua"/>
    <x v="0"/>
    <x v="1"/>
    <m/>
    <s v="202645791"/>
  </r>
  <r>
    <n v="2026"/>
    <n v="21"/>
    <s v="Masculino"/>
    <s v="Logistica"/>
    <s v="Operador"/>
    <s v="3º Turno"/>
    <x v="3"/>
    <s v="Não"/>
    <x v="2"/>
    <d v="2025-06-22T00:00:00"/>
    <d v="2025-06-01T00:00:00"/>
    <s v="dom"/>
    <x v="1"/>
    <x v="1"/>
    <m/>
    <s v="202645830"/>
  </r>
  <r>
    <n v="2026"/>
    <n v="21"/>
    <s v="Masculino"/>
    <s v="Logistica"/>
    <s v="Operador"/>
    <s v="3º Turno"/>
    <x v="3"/>
    <s v="Não"/>
    <x v="2"/>
    <d v="2025-07-12T00:00:00"/>
    <d v="2025-07-01T00:00:00"/>
    <s v="sáb"/>
    <x v="6"/>
    <x v="1"/>
    <m/>
    <s v="202645850"/>
  </r>
  <r>
    <n v="2026"/>
    <n v="21"/>
    <s v="Masculino"/>
    <s v="Logistica"/>
    <s v="Operador"/>
    <s v="3º Turno"/>
    <x v="3"/>
    <s v="Não"/>
    <x v="2"/>
    <d v="2025-12-20T00:00:00"/>
    <d v="2025-12-01T00:00:00"/>
    <s v="sáb"/>
    <x v="8"/>
    <x v="1"/>
    <m/>
    <s v="202646011"/>
  </r>
  <r>
    <n v="2026"/>
    <n v="21"/>
    <s v="Masculino"/>
    <s v="Logistica"/>
    <s v="Operador"/>
    <s v="3º Turno"/>
    <x v="3"/>
    <s v="Não"/>
    <x v="2"/>
    <d v="2026-06-03T00:00:00"/>
    <d v="2026-01-01T00:00:00"/>
    <s v="qua"/>
    <x v="1"/>
    <x v="0"/>
    <m/>
    <s v="202646176"/>
  </r>
  <r>
    <n v="2026"/>
    <n v="21"/>
    <s v="Masculino"/>
    <s v="Logistica"/>
    <s v="Operador"/>
    <s v="3º Turno"/>
    <x v="3"/>
    <s v="Não"/>
    <x v="2"/>
    <d v="2026-05-14T00:00:00"/>
    <d v="2026-05-01T00:00:00"/>
    <s v="qua"/>
    <x v="0"/>
    <x v="1"/>
    <m/>
    <s v="202646156"/>
  </r>
  <r>
    <n v="2027"/>
    <n v="50"/>
    <s v="Feminino"/>
    <s v="Logistica"/>
    <s v="Operador"/>
    <s v="1º Turno"/>
    <x v="3"/>
    <s v="Não"/>
    <x v="2"/>
    <d v="2025-04-26T00:00:00"/>
    <d v="2025-04-01T00:00:00"/>
    <s v="sáb"/>
    <x v="2"/>
    <x v="1"/>
    <m/>
    <s v="202745773"/>
  </r>
  <r>
    <n v="2027"/>
    <n v="50"/>
    <s v="Feminino"/>
    <s v="Logistica"/>
    <s v="Operador"/>
    <s v="1º Turno"/>
    <x v="3"/>
    <s v="Não"/>
    <x v="2"/>
    <d v="2025-08-24T00:00:00"/>
    <d v="2025-08-01T00:00:00"/>
    <s v="dom"/>
    <x v="9"/>
    <x v="1"/>
    <m/>
    <s v="202745893"/>
  </r>
  <r>
    <n v="2027"/>
    <n v="50"/>
    <s v="Feminino"/>
    <s v="Logistica"/>
    <s v="Operador"/>
    <s v="1º Turno"/>
    <x v="3"/>
    <s v="Não"/>
    <x v="2"/>
    <d v="2025-08-28T00:00:00"/>
    <d v="2025-08-01T00:00:00"/>
    <s v="qui"/>
    <x v="9"/>
    <x v="1"/>
    <m/>
    <s v="202745897"/>
  </r>
  <r>
    <n v="2027"/>
    <n v="50"/>
    <s v="Feminino"/>
    <s v="Logistica"/>
    <s v="Operador"/>
    <s v="1º Turno"/>
    <x v="3"/>
    <s v="Não"/>
    <x v="2"/>
    <d v="2025-10-05T00:00:00"/>
    <d v="2025-10-01T00:00:00"/>
    <s v="dom"/>
    <x v="11"/>
    <x v="1"/>
    <m/>
    <s v="202745935"/>
  </r>
  <r>
    <n v="2027"/>
    <n v="50"/>
    <s v="Feminino"/>
    <s v="Logistica"/>
    <s v="Operador"/>
    <s v="1º Turno"/>
    <x v="3"/>
    <s v="Não"/>
    <x v="2"/>
    <d v="2025-11-18T00:00:00"/>
    <d v="2025-11-01T00:00:00"/>
    <s v="ter"/>
    <x v="10"/>
    <x v="1"/>
    <m/>
    <s v="202745979"/>
  </r>
  <r>
    <n v="2027"/>
    <n v="50"/>
    <s v="Feminino"/>
    <s v="Logistica"/>
    <s v="Operador"/>
    <s v="1º Turno"/>
    <x v="3"/>
    <s v="Não"/>
    <x v="2"/>
    <d v="2026-06-04T00:00:00"/>
    <d v="2026-01-01T00:00:00"/>
    <s v="qui"/>
    <x v="1"/>
    <x v="0"/>
    <m/>
    <s v="202746177"/>
  </r>
  <r>
    <n v="2027"/>
    <n v="50"/>
    <s v="Feminino"/>
    <s v="Logistica"/>
    <s v="Operador"/>
    <s v="1º Turno"/>
    <x v="3"/>
    <s v="Não"/>
    <x v="2"/>
    <d v="2026-04-26T00:00:00"/>
    <d v="2026-04-01T00:00:00"/>
    <s v="sáb"/>
    <x v="2"/>
    <x v="1"/>
    <m/>
    <s v="202746138"/>
  </r>
  <r>
    <n v="2028"/>
    <n v="41"/>
    <s v="Feminino"/>
    <s v="Soldagem"/>
    <s v="Operador"/>
    <s v="1º Turno"/>
    <x v="0"/>
    <s v="Não"/>
    <x v="0"/>
    <d v="2025-07-20T00:00:00"/>
    <d v="2025-07-01T00:00:00"/>
    <s v="dom"/>
    <x v="6"/>
    <x v="1"/>
    <m/>
    <s v="202845858"/>
  </r>
  <r>
    <n v="2028"/>
    <n v="41"/>
    <s v="Feminino"/>
    <s v="Soldagem"/>
    <s v="Operador"/>
    <s v="1º Turno"/>
    <x v="3"/>
    <s v="Não"/>
    <x v="0"/>
    <d v="2025-08-21T00:00:00"/>
    <d v="2025-08-01T00:00:00"/>
    <s v="qui"/>
    <x v="9"/>
    <x v="1"/>
    <m/>
    <s v="202845890"/>
  </r>
  <r>
    <n v="2028"/>
    <n v="41"/>
    <s v="Feminino"/>
    <s v="Soldagem"/>
    <s v="Operador"/>
    <s v="1º Turno"/>
    <x v="0"/>
    <s v="Não"/>
    <x v="0"/>
    <d v="2025-12-22T00:00:00"/>
    <d v="2025-12-01T00:00:00"/>
    <s v="seg"/>
    <x v="8"/>
    <x v="1"/>
    <m/>
    <s v="202846013"/>
  </r>
  <r>
    <n v="2028"/>
    <n v="41"/>
    <s v="Feminino"/>
    <s v="Soldagem"/>
    <s v="Operador"/>
    <s v="1º Turno"/>
    <x v="0"/>
    <s v="Não"/>
    <x v="0"/>
    <d v="2026-06-26T00:00:00"/>
    <d v="2026-01-01T00:00:00"/>
    <s v="sex"/>
    <x v="1"/>
    <x v="0"/>
    <m/>
    <s v="202846199"/>
  </r>
  <r>
    <n v="2028"/>
    <n v="41"/>
    <s v="Feminino"/>
    <s v="Soldagem"/>
    <s v="Operador"/>
    <s v="1º Turno"/>
    <x v="3"/>
    <s v="Não"/>
    <x v="0"/>
    <d v="2026-03-25T00:00:00"/>
    <d v="2026-03-01T00:00:00"/>
    <s v="qua"/>
    <x v="4"/>
    <x v="0"/>
    <m/>
    <s v="202846106"/>
  </r>
  <r>
    <n v="2028"/>
    <n v="41"/>
    <s v="Feminino"/>
    <s v="Soldagem"/>
    <s v="Operador"/>
    <s v="1º Turno"/>
    <x v="3"/>
    <s v="Não"/>
    <x v="0"/>
    <d v="2026-04-08T00:00:00"/>
    <d v="2026-04-01T00:00:00"/>
    <s v="qua"/>
    <x v="2"/>
    <x v="0"/>
    <m/>
    <s v="202846120"/>
  </r>
  <r>
    <n v="2029"/>
    <n v="36"/>
    <s v="Masculino"/>
    <s v="Pintura"/>
    <s v="Operador"/>
    <s v="1º Turno"/>
    <x v="0"/>
    <s v="Não"/>
    <x v="1"/>
    <d v="2025-07-23T00:00:00"/>
    <d v="2025-07-01T00:00:00"/>
    <s v="qua"/>
    <x v="6"/>
    <x v="1"/>
    <m/>
    <s v="202945861"/>
  </r>
  <r>
    <n v="2029"/>
    <n v="36"/>
    <s v="Masculino"/>
    <s v="Pintura"/>
    <s v="Operador"/>
    <s v="1º Turno"/>
    <x v="0"/>
    <s v="Não"/>
    <x v="1"/>
    <d v="2025-08-17T00:00:00"/>
    <d v="2025-08-01T00:00:00"/>
    <s v="dom"/>
    <x v="9"/>
    <x v="1"/>
    <m/>
    <s v="202945886"/>
  </r>
  <r>
    <n v="2029"/>
    <n v="36"/>
    <s v="Masculino"/>
    <s v="Pintura"/>
    <s v="Operador"/>
    <s v="1º Turno"/>
    <x v="0"/>
    <s v="Não"/>
    <x v="1"/>
    <d v="2026-06-10T00:00:00"/>
    <d v="2026-01-01T00:00:00"/>
    <s v="qua"/>
    <x v="1"/>
    <x v="0"/>
    <m/>
    <s v="202946183"/>
  </r>
  <r>
    <n v="2029"/>
    <n v="36"/>
    <s v="Masculino"/>
    <s v="Pintura"/>
    <s v="Operador"/>
    <s v="1º Turno"/>
    <x v="0"/>
    <s v="Não"/>
    <x v="1"/>
    <d v="2026-02-24T00:00:00"/>
    <d v="2026-02-01T00:00:00"/>
    <s v="ter"/>
    <x v="3"/>
    <x v="0"/>
    <m/>
    <s v="202946077"/>
  </r>
  <r>
    <n v="2029"/>
    <n v="36"/>
    <s v="Masculino"/>
    <s v="Pintura"/>
    <s v="Operador"/>
    <s v="1º Turno"/>
    <x v="0"/>
    <s v="Não"/>
    <x v="1"/>
    <d v="2026-03-10T00:00:00"/>
    <d v="2026-03-01T00:00:00"/>
    <s v="ter"/>
    <x v="4"/>
    <x v="0"/>
    <m/>
    <s v="202946091"/>
  </r>
  <r>
    <n v="2030"/>
    <n v="27"/>
    <s v="Masculino"/>
    <s v="Montagem"/>
    <s v="Operador"/>
    <s v="2º Turno"/>
    <x v="0"/>
    <s v="Não"/>
    <x v="2"/>
    <d v="2025-06-20T00:00:00"/>
    <d v="2025-06-01T00:00:00"/>
    <s v="sex"/>
    <x v="1"/>
    <x v="1"/>
    <m/>
    <s v="203045828"/>
  </r>
  <r>
    <n v="2030"/>
    <n v="27"/>
    <s v="Masculino"/>
    <s v="Montagem"/>
    <s v="Operador"/>
    <s v="2º Turno"/>
    <x v="0"/>
    <s v="Não"/>
    <x v="2"/>
    <d v="2025-07-15T00:00:00"/>
    <d v="2025-07-01T00:00:00"/>
    <s v="ter"/>
    <x v="6"/>
    <x v="1"/>
    <m/>
    <s v="203045853"/>
  </r>
  <r>
    <n v="2030"/>
    <n v="27"/>
    <s v="Masculino"/>
    <s v="Montagem"/>
    <s v="Operador"/>
    <s v="2º Turno"/>
    <x v="0"/>
    <s v="Não"/>
    <x v="2"/>
    <d v="2025-11-11T00:00:00"/>
    <d v="2025-11-01T00:00:00"/>
    <s v="ter"/>
    <x v="10"/>
    <x v="1"/>
    <m/>
    <s v="203045972"/>
  </r>
  <r>
    <n v="2030"/>
    <n v="27"/>
    <s v="Masculino"/>
    <s v="Montagem"/>
    <s v="Operador"/>
    <s v="2º Turno"/>
    <x v="0"/>
    <s v="Não"/>
    <x v="2"/>
    <d v="2026-06-10T00:00:00"/>
    <d v="2026-01-01T00:00:00"/>
    <s v="qua"/>
    <x v="1"/>
    <x v="0"/>
    <m/>
    <s v="203046183"/>
  </r>
  <r>
    <n v="2030"/>
    <n v="27"/>
    <s v="Masculino"/>
    <s v="Montagem"/>
    <s v="Operador"/>
    <s v="2º Turno"/>
    <x v="0"/>
    <s v="Não"/>
    <x v="2"/>
    <d v="2026-03-23T00:00:00"/>
    <d v="2026-03-01T00:00:00"/>
    <s v="seg"/>
    <x v="4"/>
    <x v="0"/>
    <m/>
    <s v="203046104"/>
  </r>
  <r>
    <n v="2032"/>
    <n v="23"/>
    <s v="Masculino"/>
    <s v="Montagem"/>
    <s v="Operador"/>
    <s v="3º Turno"/>
    <x v="0"/>
    <s v="Não"/>
    <x v="1"/>
    <d v="2025-06-04T00:00:00"/>
    <d v="2025-06-01T00:00:00"/>
    <s v="qua"/>
    <x v="1"/>
    <x v="1"/>
    <m/>
    <s v="203245812"/>
  </r>
  <r>
    <n v="2032"/>
    <n v="23"/>
    <s v="Masculino"/>
    <s v="Montagem"/>
    <s v="Operador"/>
    <s v="3º Turno"/>
    <x v="0"/>
    <s v="Não"/>
    <x v="1"/>
    <d v="2025-07-11T00:00:00"/>
    <d v="2025-07-01T00:00:00"/>
    <s v="sex"/>
    <x v="6"/>
    <x v="1"/>
    <m/>
    <s v="203245849"/>
  </r>
  <r>
    <n v="2032"/>
    <n v="23"/>
    <s v="Masculino"/>
    <s v="Montagem"/>
    <s v="Operador"/>
    <s v="3º Turno"/>
    <x v="0"/>
    <s v="Não"/>
    <x v="1"/>
    <d v="2025-08-25T00:00:00"/>
    <d v="2025-08-01T00:00:00"/>
    <s v="seg"/>
    <x v="9"/>
    <x v="1"/>
    <m/>
    <s v="203245894"/>
  </r>
  <r>
    <n v="2032"/>
    <n v="23"/>
    <s v="Masculino"/>
    <s v="Montagem"/>
    <s v="Operador"/>
    <s v="3º Turno"/>
    <x v="0"/>
    <s v="Não"/>
    <x v="1"/>
    <d v="2025-10-14T00:00:00"/>
    <d v="2025-10-01T00:00:00"/>
    <s v="ter"/>
    <x v="11"/>
    <x v="1"/>
    <m/>
    <s v="203245944"/>
  </r>
  <r>
    <n v="2032"/>
    <n v="23"/>
    <s v="Masculino"/>
    <s v="Montagem"/>
    <s v="Operador"/>
    <s v="3º Turno"/>
    <x v="0"/>
    <s v="Não"/>
    <x v="1"/>
    <d v="2025-11-21T00:00:00"/>
    <d v="2025-11-01T00:00:00"/>
    <s v="sex"/>
    <x v="10"/>
    <x v="1"/>
    <m/>
    <s v="203245982"/>
  </r>
  <r>
    <n v="2032"/>
    <n v="23"/>
    <s v="Masculino"/>
    <s v="Montagem"/>
    <s v="Operador"/>
    <s v="3º Turno"/>
    <x v="0"/>
    <s v="Não"/>
    <x v="1"/>
    <d v="2026-02-27T00:00:00"/>
    <d v="2026-02-01T00:00:00"/>
    <s v="sex"/>
    <x v="3"/>
    <x v="0"/>
    <m/>
    <s v="203246080"/>
  </r>
  <r>
    <n v="2033"/>
    <n v="34"/>
    <s v="Feminino"/>
    <s v="Soldagem"/>
    <s v="Operador"/>
    <s v="1º Turno"/>
    <x v="0"/>
    <s v="Não"/>
    <x v="1"/>
    <d v="2025-07-01T00:00:00"/>
    <d v="2025-07-01T00:00:00"/>
    <s v="ter"/>
    <x v="6"/>
    <x v="1"/>
    <m/>
    <s v="203345839"/>
  </r>
  <r>
    <n v="2033"/>
    <n v="34"/>
    <s v="Feminino"/>
    <s v="Soldagem"/>
    <s v="Operador"/>
    <s v="1º Turno"/>
    <x v="0"/>
    <s v="Não"/>
    <x v="1"/>
    <d v="2025-07-09T00:00:00"/>
    <d v="2025-07-01T00:00:00"/>
    <s v="qua"/>
    <x v="6"/>
    <x v="1"/>
    <m/>
    <s v="203345847"/>
  </r>
  <r>
    <n v="2033"/>
    <n v="34"/>
    <s v="Feminino"/>
    <s v="Soldagem"/>
    <s v="Operador"/>
    <s v="1º Turno"/>
    <x v="0"/>
    <s v="Não"/>
    <x v="1"/>
    <d v="2025-10-20T00:00:00"/>
    <d v="2025-10-01T00:00:00"/>
    <s v="seg"/>
    <x v="11"/>
    <x v="1"/>
    <m/>
    <s v="203345950"/>
  </r>
  <r>
    <n v="2033"/>
    <n v="34"/>
    <s v="Feminino"/>
    <s v="Soldagem"/>
    <s v="Operador"/>
    <s v="1º Turno"/>
    <x v="0"/>
    <s v="Não"/>
    <x v="1"/>
    <d v="2025-10-24T00:00:00"/>
    <d v="2025-10-01T00:00:00"/>
    <s v="sex"/>
    <x v="11"/>
    <x v="1"/>
    <m/>
    <s v="203345954"/>
  </r>
  <r>
    <n v="2033"/>
    <n v="34"/>
    <s v="Feminino"/>
    <s v="Soldagem"/>
    <s v="Operador"/>
    <s v="1º Turno"/>
    <x v="0"/>
    <s v="Não"/>
    <x v="1"/>
    <d v="2026-02-17T00:00:00"/>
    <d v="2026-02-01T00:00:00"/>
    <s v="ter"/>
    <x v="3"/>
    <x v="0"/>
    <m/>
    <s v="203346070"/>
  </r>
  <r>
    <n v="2034"/>
    <n v="39"/>
    <s v="Feminino"/>
    <s v="Logistica"/>
    <s v="Operador"/>
    <s v="3º Turno"/>
    <x v="0"/>
    <s v="Não"/>
    <x v="1"/>
    <d v="2025-07-25T00:00:00"/>
    <d v="2025-07-01T00:00:00"/>
    <s v="sex"/>
    <x v="6"/>
    <x v="1"/>
    <m/>
    <s v="203445863"/>
  </r>
  <r>
    <n v="2034"/>
    <n v="39"/>
    <s v="Feminino"/>
    <s v="Logistica"/>
    <s v="Operador"/>
    <s v="3º Turno"/>
    <x v="0"/>
    <s v="Não"/>
    <x v="1"/>
    <d v="2025-09-25T00:00:00"/>
    <d v="2025-09-01T00:00:00"/>
    <s v="qui"/>
    <x v="7"/>
    <x v="1"/>
    <m/>
    <s v="203445925"/>
  </r>
  <r>
    <n v="2034"/>
    <n v="39"/>
    <s v="Feminino"/>
    <s v="Logistica"/>
    <s v="Operador"/>
    <s v="3º Turno"/>
    <x v="0"/>
    <s v="Não"/>
    <x v="1"/>
    <d v="2025-11-12T00:00:00"/>
    <d v="2025-11-01T00:00:00"/>
    <s v="qua"/>
    <x v="10"/>
    <x v="1"/>
    <m/>
    <s v="203445973"/>
  </r>
  <r>
    <n v="2034"/>
    <n v="39"/>
    <s v="Feminino"/>
    <s v="Logistica"/>
    <s v="Operador"/>
    <s v="3º Turno"/>
    <x v="0"/>
    <s v="Não"/>
    <x v="1"/>
    <d v="2025-11-16T00:00:00"/>
    <d v="2025-11-01T00:00:00"/>
    <s v="dom"/>
    <x v="10"/>
    <x v="1"/>
    <m/>
    <s v="203445977"/>
  </r>
  <r>
    <n v="2034"/>
    <n v="39"/>
    <s v="Feminino"/>
    <s v="Logistica"/>
    <s v="Operador"/>
    <s v="3º Turno"/>
    <x v="0"/>
    <s v="Não"/>
    <x v="1"/>
    <d v="2025-11-27T00:00:00"/>
    <d v="2025-11-01T00:00:00"/>
    <s v="qui"/>
    <x v="10"/>
    <x v="1"/>
    <m/>
    <s v="203445988"/>
  </r>
  <r>
    <n v="2035"/>
    <n v="30"/>
    <s v="Feminino"/>
    <s v="Montagem"/>
    <s v="Operador"/>
    <s v="2º Turno"/>
    <x v="0"/>
    <s v="Não"/>
    <x v="0"/>
    <d v="2025-04-27T00:00:00"/>
    <d v="2025-04-01T00:00:00"/>
    <s v="dom"/>
    <x v="2"/>
    <x v="1"/>
    <m/>
    <s v="203545774"/>
  </r>
  <r>
    <n v="2035"/>
    <n v="30"/>
    <s v="Feminino"/>
    <s v="Montagem"/>
    <s v="Operador"/>
    <s v="2º Turno"/>
    <x v="0"/>
    <s v="Não"/>
    <x v="0"/>
    <d v="2025-08-26T00:00:00"/>
    <d v="2025-08-01T00:00:00"/>
    <s v="ter"/>
    <x v="9"/>
    <x v="1"/>
    <m/>
    <s v="203545895"/>
  </r>
  <r>
    <n v="2035"/>
    <n v="30"/>
    <s v="Feminino"/>
    <s v="Montagem"/>
    <s v="Operador"/>
    <s v="2º Turno"/>
    <x v="0"/>
    <s v="Não"/>
    <x v="0"/>
    <d v="2025-11-07T00:00:00"/>
    <d v="2025-11-01T00:00:00"/>
    <s v="sex"/>
    <x v="10"/>
    <x v="1"/>
    <m/>
    <s v="203545968"/>
  </r>
  <r>
    <n v="2035"/>
    <n v="30"/>
    <s v="Feminino"/>
    <s v="Montagem"/>
    <s v="Operador"/>
    <s v="2º Turno"/>
    <x v="0"/>
    <s v="Não"/>
    <x v="0"/>
    <d v="2025-11-22T00:00:00"/>
    <d v="2025-11-01T00:00:00"/>
    <s v="sáb"/>
    <x v="10"/>
    <x v="1"/>
    <m/>
    <s v="203545983"/>
  </r>
  <r>
    <n v="2035"/>
    <n v="30"/>
    <s v="Feminino"/>
    <s v="Montagem"/>
    <s v="Operador"/>
    <s v="2º Turno"/>
    <x v="0"/>
    <s v="Não"/>
    <x v="0"/>
    <d v="2026-06-17T00:00:00"/>
    <d v="2026-01-01T00:00:00"/>
    <s v="qua"/>
    <x v="1"/>
    <x v="0"/>
    <m/>
    <s v="203546190"/>
  </r>
  <r>
    <n v="2035"/>
    <n v="30"/>
    <s v="Feminino"/>
    <s v="Montagem"/>
    <s v="Operador"/>
    <s v="2º Turno"/>
    <x v="0"/>
    <s v="Não"/>
    <x v="0"/>
    <d v="2026-04-27T00:00:00"/>
    <d v="2026-04-01T00:00:00"/>
    <s v="dom"/>
    <x v="2"/>
    <x v="1"/>
    <m/>
    <s v="203546139"/>
  </r>
  <r>
    <n v="2036"/>
    <n v="21"/>
    <s v="Masculino"/>
    <s v="Montagem"/>
    <s v="Operador"/>
    <s v="2º Turno"/>
    <x v="0"/>
    <s v="Não"/>
    <x v="1"/>
    <d v="2025-06-04T00:00:00"/>
    <d v="2025-06-01T00:00:00"/>
    <s v="qua"/>
    <x v="1"/>
    <x v="1"/>
    <m/>
    <s v="203645812"/>
  </r>
  <r>
    <n v="2036"/>
    <n v="21"/>
    <s v="Masculino"/>
    <s v="Montagem"/>
    <s v="Operador"/>
    <s v="2º Turno"/>
    <x v="0"/>
    <s v="Não"/>
    <x v="1"/>
    <d v="2025-10-24T00:00:00"/>
    <d v="2025-10-01T00:00:00"/>
    <s v="sex"/>
    <x v="11"/>
    <x v="1"/>
    <m/>
    <s v="203645954"/>
  </r>
  <r>
    <n v="2036"/>
    <n v="21"/>
    <s v="Masculino"/>
    <s v="Montagem"/>
    <s v="Operador"/>
    <s v="2º Turno"/>
    <x v="0"/>
    <s v="Não"/>
    <x v="1"/>
    <d v="2026-06-29T00:00:00"/>
    <d v="2026-01-01T00:00:00"/>
    <s v="seg"/>
    <x v="1"/>
    <x v="0"/>
    <m/>
    <s v="203646202"/>
  </r>
  <r>
    <n v="2036"/>
    <n v="21"/>
    <s v="Masculino"/>
    <s v="Montagem"/>
    <s v="Operador"/>
    <s v="2º Turno"/>
    <x v="0"/>
    <s v="Não"/>
    <x v="1"/>
    <d v="2026-02-08T00:00:00"/>
    <d v="2026-02-01T00:00:00"/>
    <s v="dom"/>
    <x v="3"/>
    <x v="0"/>
    <m/>
    <s v="203646061"/>
  </r>
  <r>
    <n v="2036"/>
    <n v="21"/>
    <s v="Masculino"/>
    <s v="Montagem"/>
    <s v="Operador"/>
    <s v="2º Turno"/>
    <x v="0"/>
    <s v="Não"/>
    <x v="1"/>
    <d v="2026-02-27T00:00:00"/>
    <d v="2026-02-01T00:00:00"/>
    <s v="sex"/>
    <x v="3"/>
    <x v="0"/>
    <m/>
    <s v="203646080"/>
  </r>
  <r>
    <n v="2037"/>
    <n v="41"/>
    <s v="Masculino"/>
    <s v="Logistica"/>
    <s v="Operador"/>
    <s v="3º Turno"/>
    <x v="0"/>
    <s v="Não"/>
    <x v="1"/>
    <d v="2025-08-29T00:00:00"/>
    <d v="2025-08-01T00:00:00"/>
    <s v="sex"/>
    <x v="9"/>
    <x v="1"/>
    <m/>
    <s v="203745898"/>
  </r>
  <r>
    <n v="2037"/>
    <n v="41"/>
    <s v="Masculino"/>
    <s v="Logistica"/>
    <s v="Operador"/>
    <s v="3º Turno"/>
    <x v="0"/>
    <s v="Não"/>
    <x v="1"/>
    <d v="2025-11-03T00:00:00"/>
    <d v="2025-11-01T00:00:00"/>
    <s v="seg"/>
    <x v="10"/>
    <x v="1"/>
    <m/>
    <s v="203745964"/>
  </r>
  <r>
    <n v="2037"/>
    <n v="41"/>
    <s v="Masculino"/>
    <s v="Logistica"/>
    <s v="Operador"/>
    <s v="3º Turno"/>
    <x v="0"/>
    <s v="Não"/>
    <x v="1"/>
    <d v="2025-11-09T00:00:00"/>
    <d v="2025-11-01T00:00:00"/>
    <s v="dom"/>
    <x v="10"/>
    <x v="1"/>
    <m/>
    <s v="203745970"/>
  </r>
  <r>
    <n v="2037"/>
    <n v="41"/>
    <s v="Masculino"/>
    <s v="Logistica"/>
    <s v="Operador"/>
    <s v="3º Turno"/>
    <x v="0"/>
    <s v="Não"/>
    <x v="1"/>
    <d v="2025-11-17T00:00:00"/>
    <d v="2025-11-01T00:00:00"/>
    <s v="seg"/>
    <x v="10"/>
    <x v="1"/>
    <m/>
    <s v="203745978"/>
  </r>
  <r>
    <n v="2037"/>
    <n v="41"/>
    <s v="Masculino"/>
    <s v="Logistica"/>
    <s v="Operador"/>
    <s v="3º Turno"/>
    <x v="0"/>
    <s v="Não"/>
    <x v="1"/>
    <d v="2026-02-14T00:00:00"/>
    <d v="2026-02-01T00:00:00"/>
    <s v="sáb"/>
    <x v="3"/>
    <x v="0"/>
    <m/>
    <s v="203746067"/>
  </r>
  <r>
    <n v="2038"/>
    <n v="23"/>
    <s v="Masculino"/>
    <s v="Pintura"/>
    <s v="Operador"/>
    <s v="2º Turno"/>
    <x v="0"/>
    <s v="Não"/>
    <x v="1"/>
    <d v="2025-06-07T00:00:00"/>
    <d v="2025-06-01T00:00:00"/>
    <s v="sáb"/>
    <x v="1"/>
    <x v="1"/>
    <m/>
    <s v="203845815"/>
  </r>
  <r>
    <n v="2038"/>
    <n v="23"/>
    <s v="Masculino"/>
    <s v="Pintura"/>
    <s v="Operador"/>
    <s v="2º Turno"/>
    <x v="0"/>
    <s v="Não"/>
    <x v="1"/>
    <d v="2025-06-23T00:00:00"/>
    <d v="2025-06-01T00:00:00"/>
    <s v="seg"/>
    <x v="1"/>
    <x v="1"/>
    <m/>
    <s v="203845831"/>
  </r>
  <r>
    <n v="2038"/>
    <n v="23"/>
    <s v="Masculino"/>
    <s v="Pintura"/>
    <s v="Operador"/>
    <s v="2º Turno"/>
    <x v="0"/>
    <s v="Não"/>
    <x v="1"/>
    <d v="2025-07-03T00:00:00"/>
    <d v="2025-07-01T00:00:00"/>
    <s v="qui"/>
    <x v="6"/>
    <x v="1"/>
    <m/>
    <s v="203845841"/>
  </r>
  <r>
    <n v="2038"/>
    <n v="23"/>
    <s v="Masculino"/>
    <s v="Pintura"/>
    <s v="Operador"/>
    <s v="2º Turno"/>
    <x v="0"/>
    <s v="Não"/>
    <x v="1"/>
    <d v="2025-12-16T00:00:00"/>
    <d v="2025-12-01T00:00:00"/>
    <s v="ter"/>
    <x v="8"/>
    <x v="1"/>
    <m/>
    <s v="203846007"/>
  </r>
  <r>
    <n v="2038"/>
    <n v="23"/>
    <s v="Masculino"/>
    <s v="Pintura"/>
    <s v="Operador"/>
    <s v="2º Turno"/>
    <x v="0"/>
    <s v="Não"/>
    <x v="1"/>
    <d v="2026-02-13T00:00:00"/>
    <d v="2026-02-01T00:00:00"/>
    <s v="sex"/>
    <x v="3"/>
    <x v="0"/>
    <m/>
    <s v="203846066"/>
  </r>
  <r>
    <n v="2041"/>
    <n v="41"/>
    <s v="Masculino"/>
    <s v="Soldagem"/>
    <s v="Operador"/>
    <s v="1º Turno"/>
    <x v="0"/>
    <s v="Não"/>
    <x v="2"/>
    <d v="2025-06-04T00:00:00"/>
    <d v="2025-06-01T00:00:00"/>
    <s v="qua"/>
    <x v="1"/>
    <x v="1"/>
    <m/>
    <s v="204145812"/>
  </r>
  <r>
    <n v="2041"/>
    <n v="41"/>
    <s v="Masculino"/>
    <s v="Soldagem"/>
    <s v="Operador"/>
    <s v="1º Turno"/>
    <x v="0"/>
    <s v="Não"/>
    <x v="2"/>
    <d v="2025-08-19T00:00:00"/>
    <d v="2025-08-01T00:00:00"/>
    <s v="ter"/>
    <x v="9"/>
    <x v="1"/>
    <m/>
    <s v="204145888"/>
  </r>
  <r>
    <n v="2041"/>
    <n v="41"/>
    <s v="Masculino"/>
    <s v="Soldagem"/>
    <s v="Operador"/>
    <s v="1º Turno"/>
    <x v="0"/>
    <s v="Não"/>
    <x v="2"/>
    <d v="2025-09-07T00:00:00"/>
    <d v="2025-09-01T00:00:00"/>
    <s v="dom"/>
    <x v="7"/>
    <x v="1"/>
    <m/>
    <s v="204145907"/>
  </r>
  <r>
    <n v="2041"/>
    <n v="41"/>
    <s v="Masculino"/>
    <s v="Soldagem"/>
    <s v="Operador"/>
    <s v="1º Turno"/>
    <x v="0"/>
    <s v="Não"/>
    <x v="2"/>
    <d v="2025-10-04T00:00:00"/>
    <d v="2025-10-01T00:00:00"/>
    <s v="sáb"/>
    <x v="11"/>
    <x v="1"/>
    <m/>
    <s v="204145934"/>
  </r>
  <r>
    <n v="2041"/>
    <n v="41"/>
    <s v="Masculino"/>
    <s v="Soldagem"/>
    <s v="Operador"/>
    <s v="1º Turno"/>
    <x v="0"/>
    <s v="Não"/>
    <x v="2"/>
    <d v="2026-06-12T00:00:00"/>
    <d v="2026-01-01T00:00:00"/>
    <s v="sex"/>
    <x v="1"/>
    <x v="0"/>
    <m/>
    <s v="204146185"/>
  </r>
  <r>
    <n v="2044"/>
    <n v="28"/>
    <s v="Feminino"/>
    <s v="Logistica"/>
    <s v="Operador"/>
    <s v="3º Turno"/>
    <x v="0"/>
    <s v="Não"/>
    <x v="0"/>
    <d v="2025-10-05T00:00:00"/>
    <d v="2025-10-01T00:00:00"/>
    <s v="dom"/>
    <x v="11"/>
    <x v="1"/>
    <m/>
    <s v="204445935"/>
  </r>
  <r>
    <n v="2044"/>
    <n v="28"/>
    <s v="Feminino"/>
    <s v="Logistica"/>
    <s v="Operador"/>
    <s v="3º Turno"/>
    <x v="0"/>
    <s v="Não"/>
    <x v="0"/>
    <d v="2025-10-31T00:00:00"/>
    <d v="2025-10-01T00:00:00"/>
    <s v="sex"/>
    <x v="11"/>
    <x v="1"/>
    <m/>
    <s v="204445961"/>
  </r>
  <r>
    <n v="2044"/>
    <n v="28"/>
    <s v="Feminino"/>
    <s v="Logistica"/>
    <s v="Operador"/>
    <s v="3º Turno"/>
    <x v="0"/>
    <s v="Não"/>
    <x v="0"/>
    <d v="2025-12-05T00:00:00"/>
    <d v="2025-12-01T00:00:00"/>
    <s v="sex"/>
    <x v="8"/>
    <x v="1"/>
    <m/>
    <s v="204445996"/>
  </r>
  <r>
    <n v="2044"/>
    <n v="28"/>
    <s v="Feminino"/>
    <s v="Logistica"/>
    <s v="Operador"/>
    <s v="3º Turno"/>
    <x v="0"/>
    <s v="Não"/>
    <x v="0"/>
    <d v="2025-12-27T00:00:00"/>
    <d v="2025-12-01T00:00:00"/>
    <s v="sáb"/>
    <x v="8"/>
    <x v="1"/>
    <m/>
    <s v="204446018"/>
  </r>
  <r>
    <n v="2044"/>
    <n v="28"/>
    <s v="Feminino"/>
    <s v="Logistica"/>
    <s v="Operador"/>
    <s v="3º Turno"/>
    <x v="0"/>
    <s v="Não"/>
    <x v="0"/>
    <d v="2026-06-08T00:00:00"/>
    <d v="2026-01-01T00:00:00"/>
    <s v="seg"/>
    <x v="1"/>
    <x v="0"/>
    <m/>
    <s v="204446181"/>
  </r>
  <r>
    <n v="2045"/>
    <n v="41"/>
    <s v="Masculino"/>
    <s v="Logistica"/>
    <s v="Operador"/>
    <s v="3º Turno"/>
    <x v="0"/>
    <s v="Não"/>
    <x v="2"/>
    <d v="2025-07-21T00:00:00"/>
    <d v="2025-07-01T00:00:00"/>
    <s v="seg"/>
    <x v="6"/>
    <x v="1"/>
    <m/>
    <s v="204545859"/>
  </r>
  <r>
    <n v="2045"/>
    <n v="41"/>
    <s v="Masculino"/>
    <s v="Logistica"/>
    <s v="Operador"/>
    <s v="3º Turno"/>
    <x v="0"/>
    <s v="Não"/>
    <x v="2"/>
    <d v="2025-12-24T00:00:00"/>
    <d v="2025-12-01T00:00:00"/>
    <s v="qua"/>
    <x v="8"/>
    <x v="1"/>
    <m/>
    <s v="204546015"/>
  </r>
  <r>
    <n v="2045"/>
    <n v="41"/>
    <s v="Masculino"/>
    <s v="Logistica"/>
    <s v="Operador"/>
    <s v="3º Turno"/>
    <x v="0"/>
    <s v="Não"/>
    <x v="2"/>
    <d v="2026-06-12T00:00:00"/>
    <d v="2026-01-01T00:00:00"/>
    <s v="sex"/>
    <x v="1"/>
    <x v="0"/>
    <m/>
    <s v="204546185"/>
  </r>
  <r>
    <n v="2045"/>
    <n v="41"/>
    <s v="Masculino"/>
    <s v="Logistica"/>
    <s v="Operador"/>
    <s v="3º Turno"/>
    <x v="0"/>
    <s v="Não"/>
    <x v="2"/>
    <d v="2026-02-08T00:00:00"/>
    <d v="2026-02-01T00:00:00"/>
    <s v="dom"/>
    <x v="3"/>
    <x v="0"/>
    <m/>
    <s v="204546061"/>
  </r>
  <r>
    <n v="2046"/>
    <n v="54"/>
    <s v="Feminino"/>
    <s v="Montagem"/>
    <s v="Operador"/>
    <s v="2º Turno"/>
    <x v="0"/>
    <s v="Não"/>
    <x v="0"/>
    <d v="2025-04-26T00:00:00"/>
    <d v="2025-04-01T00:00:00"/>
    <s v="sáb"/>
    <x v="2"/>
    <x v="1"/>
    <m/>
    <s v="204645773"/>
  </r>
  <r>
    <n v="2046"/>
    <n v="54"/>
    <s v="Feminino"/>
    <s v="Montagem"/>
    <s v="Operador"/>
    <s v="2º Turno"/>
    <x v="0"/>
    <s v="Não"/>
    <x v="0"/>
    <d v="2025-10-02T00:00:00"/>
    <d v="2025-10-01T00:00:00"/>
    <s v="qui"/>
    <x v="11"/>
    <x v="1"/>
    <m/>
    <s v="204645932"/>
  </r>
  <r>
    <n v="2046"/>
    <n v="54"/>
    <s v="Feminino"/>
    <s v="Montagem"/>
    <s v="Operador"/>
    <s v="2º Turno"/>
    <x v="0"/>
    <s v="Não"/>
    <x v="0"/>
    <d v="2026-02-14T00:00:00"/>
    <d v="2026-02-01T00:00:00"/>
    <s v="sáb"/>
    <x v="3"/>
    <x v="0"/>
    <m/>
    <s v="204646067"/>
  </r>
  <r>
    <n v="2046"/>
    <n v="54"/>
    <s v="Feminino"/>
    <s v="Montagem"/>
    <s v="Operador"/>
    <s v="2º Turno"/>
    <x v="0"/>
    <s v="Não"/>
    <x v="0"/>
    <d v="2026-02-22T00:00:00"/>
    <d v="2026-02-01T00:00:00"/>
    <s v="dom"/>
    <x v="3"/>
    <x v="0"/>
    <m/>
    <s v="204646075"/>
  </r>
  <r>
    <n v="2046"/>
    <n v="54"/>
    <s v="Feminino"/>
    <s v="Montagem"/>
    <s v="Operador"/>
    <s v="2º Turno"/>
    <x v="0"/>
    <s v="Não"/>
    <x v="0"/>
    <d v="2026-04-26T00:00:00"/>
    <d v="2026-04-01T00:00:00"/>
    <s v="sáb"/>
    <x v="2"/>
    <x v="1"/>
    <m/>
    <s v="204646138"/>
  </r>
  <r>
    <n v="2047"/>
    <n v="26"/>
    <s v="Masculino"/>
    <s v="Soldagem"/>
    <s v="Operador"/>
    <s v="1º Turno"/>
    <x v="0"/>
    <s v="Não"/>
    <x v="0"/>
    <d v="2025-06-25T00:00:00"/>
    <d v="2025-06-01T00:00:00"/>
    <s v="qua"/>
    <x v="1"/>
    <x v="1"/>
    <m/>
    <s v="204745833"/>
  </r>
  <r>
    <n v="2047"/>
    <n v="26"/>
    <s v="Masculino"/>
    <s v="Soldagem"/>
    <s v="Operador"/>
    <s v="1º Turno"/>
    <x v="0"/>
    <s v="Não"/>
    <x v="0"/>
    <d v="2025-07-28T00:00:00"/>
    <d v="2025-07-01T00:00:00"/>
    <s v="seg"/>
    <x v="6"/>
    <x v="1"/>
    <m/>
    <s v="204745866"/>
  </r>
  <r>
    <n v="2047"/>
    <n v="26"/>
    <s v="Masculino"/>
    <s v="Soldagem"/>
    <s v="Operador"/>
    <s v="1º Turno"/>
    <x v="0"/>
    <s v="Não"/>
    <x v="0"/>
    <d v="2025-09-16T00:00:00"/>
    <d v="2025-09-01T00:00:00"/>
    <s v="ter"/>
    <x v="7"/>
    <x v="1"/>
    <m/>
    <s v="204745916"/>
  </r>
  <r>
    <n v="2047"/>
    <n v="26"/>
    <s v="Masculino"/>
    <s v="Soldagem"/>
    <s v="Operador"/>
    <s v="1º Turno"/>
    <x v="0"/>
    <s v="Não"/>
    <x v="0"/>
    <d v="2025-09-18T00:00:00"/>
    <d v="2025-09-01T00:00:00"/>
    <s v="qui"/>
    <x v="7"/>
    <x v="1"/>
    <m/>
    <s v="204745918"/>
  </r>
  <r>
    <n v="2047"/>
    <n v="26"/>
    <s v="Masculino"/>
    <s v="Soldagem"/>
    <s v="Operador"/>
    <s v="1º Turno"/>
    <x v="0"/>
    <s v="Não"/>
    <x v="0"/>
    <d v="2025-10-19T00:00:00"/>
    <d v="2025-10-01T00:00:00"/>
    <s v="dom"/>
    <x v="11"/>
    <x v="1"/>
    <m/>
    <s v="204745949"/>
  </r>
  <r>
    <n v="2047"/>
    <n v="26"/>
    <s v="Masculino"/>
    <s v="Soldagem"/>
    <s v="Operador"/>
    <s v="1º Turno"/>
    <x v="0"/>
    <s v="Não"/>
    <x v="0"/>
    <d v="2025-10-27T00:00:00"/>
    <d v="2025-10-01T00:00:00"/>
    <s v="seg"/>
    <x v="11"/>
    <x v="1"/>
    <m/>
    <s v="204745957"/>
  </r>
  <r>
    <n v="2049"/>
    <n v="55"/>
    <s v="Feminino"/>
    <s v="Montagem"/>
    <s v="Operador"/>
    <s v="3º Turno"/>
    <x v="0"/>
    <s v="Não"/>
    <x v="2"/>
    <d v="2025-04-26T00:00:00"/>
    <d v="2025-04-01T00:00:00"/>
    <s v="sáb"/>
    <x v="2"/>
    <x v="1"/>
    <m/>
    <s v="204945773"/>
  </r>
  <r>
    <n v="2049"/>
    <n v="55"/>
    <s v="Feminino"/>
    <s v="Montagem"/>
    <s v="Operador"/>
    <s v="3º Turno"/>
    <x v="0"/>
    <s v="Não"/>
    <x v="2"/>
    <d v="2025-07-29T00:00:00"/>
    <d v="2025-07-01T00:00:00"/>
    <s v="ter"/>
    <x v="6"/>
    <x v="1"/>
    <m/>
    <s v="204945867"/>
  </r>
  <r>
    <n v="2049"/>
    <n v="55"/>
    <s v="Feminino"/>
    <s v="Montagem"/>
    <s v="Operador"/>
    <s v="3º Turno"/>
    <x v="0"/>
    <s v="Não"/>
    <x v="2"/>
    <d v="2025-09-04T00:00:00"/>
    <d v="2025-09-01T00:00:00"/>
    <s v="qui"/>
    <x v="7"/>
    <x v="1"/>
    <m/>
    <s v="204945904"/>
  </r>
  <r>
    <n v="2049"/>
    <n v="55"/>
    <s v="Feminino"/>
    <s v="Montagem"/>
    <s v="Operador"/>
    <s v="3º Turno"/>
    <x v="0"/>
    <s v="Não"/>
    <x v="2"/>
    <d v="2026-06-04T00:00:00"/>
    <d v="2026-01-01T00:00:00"/>
    <s v="qui"/>
    <x v="1"/>
    <x v="0"/>
    <m/>
    <s v="204946177"/>
  </r>
  <r>
    <n v="2049"/>
    <n v="55"/>
    <s v="Feminino"/>
    <s v="Montagem"/>
    <s v="Operador"/>
    <s v="3º Turno"/>
    <x v="0"/>
    <s v="Não"/>
    <x v="2"/>
    <d v="2026-04-26T00:00:00"/>
    <d v="2026-04-01T00:00:00"/>
    <s v="sáb"/>
    <x v="2"/>
    <x v="1"/>
    <m/>
    <s v="204946138"/>
  </r>
  <r>
    <n v="2050"/>
    <n v="54"/>
    <s v="Masculino"/>
    <s v="Pintura"/>
    <s v="Operador"/>
    <s v="3º Turno"/>
    <x v="0"/>
    <s v="Não"/>
    <x v="2"/>
    <d v="2025-07-16T00:00:00"/>
    <d v="2025-07-01T00:00:00"/>
    <s v="qua"/>
    <x v="6"/>
    <x v="1"/>
    <m/>
    <s v="205045854"/>
  </r>
  <r>
    <n v="2050"/>
    <n v="54"/>
    <s v="Masculino"/>
    <s v="Pintura"/>
    <s v="Operador"/>
    <s v="3º Turno"/>
    <x v="0"/>
    <s v="Não"/>
    <x v="2"/>
    <d v="2025-07-25T00:00:00"/>
    <d v="2025-07-01T00:00:00"/>
    <s v="sex"/>
    <x v="6"/>
    <x v="1"/>
    <m/>
    <s v="205045863"/>
  </r>
  <r>
    <n v="2050"/>
    <n v="54"/>
    <s v="Masculino"/>
    <s v="Pintura"/>
    <s v="Operador"/>
    <s v="3º Turno"/>
    <x v="0"/>
    <s v="Não"/>
    <x v="2"/>
    <d v="2025-09-21T00:00:00"/>
    <d v="2025-09-01T00:00:00"/>
    <s v="dom"/>
    <x v="7"/>
    <x v="1"/>
    <m/>
    <s v="205045921"/>
  </r>
  <r>
    <n v="2050"/>
    <n v="54"/>
    <s v="Masculino"/>
    <s v="Pintura"/>
    <s v="Operador"/>
    <s v="3º Turno"/>
    <x v="0"/>
    <s v="Não"/>
    <x v="2"/>
    <d v="2025-09-26T00:00:00"/>
    <d v="2025-09-01T00:00:00"/>
    <s v="sex"/>
    <x v="7"/>
    <x v="1"/>
    <m/>
    <s v="205045926"/>
  </r>
  <r>
    <n v="2050"/>
    <n v="54"/>
    <s v="Masculino"/>
    <s v="Pintura"/>
    <s v="Operador"/>
    <s v="3º Turno"/>
    <x v="0"/>
    <s v="Não"/>
    <x v="2"/>
    <d v="2026-03-28T00:00:00"/>
    <d v="2026-03-01T00:00:00"/>
    <s v="sáb"/>
    <x v="4"/>
    <x v="0"/>
    <m/>
    <s v="205046109"/>
  </r>
  <r>
    <n v="2050"/>
    <n v="54"/>
    <s v="Masculino"/>
    <s v="Pintura"/>
    <s v="Operador"/>
    <s v="3º Turno"/>
    <x v="0"/>
    <s v="Não"/>
    <x v="2"/>
    <d v="2026-06-01T00:00:00"/>
    <d v="2026-06-01T00:00:00"/>
    <s v="seg"/>
    <x v="1"/>
    <x v="0"/>
    <m/>
    <s v="205046174"/>
  </r>
  <r>
    <n v="2051"/>
    <n v="43"/>
    <s v="Masculino"/>
    <s v="Soldagem"/>
    <s v="Operador"/>
    <s v="3º Turno"/>
    <x v="0"/>
    <s v="Não"/>
    <x v="1"/>
    <d v="2025-07-29T00:00:00"/>
    <d v="2025-07-01T00:00:00"/>
    <s v="ter"/>
    <x v="6"/>
    <x v="1"/>
    <m/>
    <s v="205145867"/>
  </r>
  <r>
    <n v="2051"/>
    <n v="43"/>
    <s v="Masculino"/>
    <s v="Soldagem"/>
    <s v="Operador"/>
    <s v="3º Turno"/>
    <x v="0"/>
    <s v="Não"/>
    <x v="1"/>
    <d v="2025-08-17T00:00:00"/>
    <d v="2025-08-01T00:00:00"/>
    <s v="dom"/>
    <x v="9"/>
    <x v="1"/>
    <m/>
    <s v="205145886"/>
  </r>
  <r>
    <n v="2051"/>
    <n v="43"/>
    <s v="Masculino"/>
    <s v="Soldagem"/>
    <s v="Operador"/>
    <s v="3º Turno"/>
    <x v="0"/>
    <s v="Não"/>
    <x v="1"/>
    <d v="2025-08-19T00:00:00"/>
    <d v="2025-08-01T00:00:00"/>
    <s v="ter"/>
    <x v="9"/>
    <x v="1"/>
    <m/>
    <s v="205145888"/>
  </r>
  <r>
    <n v="2051"/>
    <n v="43"/>
    <s v="Masculino"/>
    <s v="Soldagem"/>
    <s v="Operador"/>
    <s v="3º Turno"/>
    <x v="0"/>
    <s v="Não"/>
    <x v="1"/>
    <d v="2025-11-12T00:00:00"/>
    <d v="2025-11-01T00:00:00"/>
    <s v="qua"/>
    <x v="10"/>
    <x v="1"/>
    <m/>
    <s v="205145973"/>
  </r>
  <r>
    <n v="2051"/>
    <n v="43"/>
    <s v="Masculino"/>
    <s v="Soldagem"/>
    <s v="Operador"/>
    <s v="3º Turno"/>
    <x v="0"/>
    <s v="Não"/>
    <x v="1"/>
    <d v="2025-12-04T00:00:00"/>
    <d v="2025-12-01T00:00:00"/>
    <s v="qui"/>
    <x v="8"/>
    <x v="1"/>
    <m/>
    <s v="205145995"/>
  </r>
  <r>
    <n v="2051"/>
    <n v="43"/>
    <s v="Masculino"/>
    <s v="Soldagem"/>
    <s v="Operador"/>
    <s v="3º Turno"/>
    <x v="0"/>
    <s v="Não"/>
    <x v="1"/>
    <d v="2026-02-15T00:00:00"/>
    <d v="2026-02-01T00:00:00"/>
    <s v="dom"/>
    <x v="3"/>
    <x v="0"/>
    <m/>
    <s v="205146068"/>
  </r>
  <r>
    <n v="2052"/>
    <n v="38"/>
    <s v="Masculino"/>
    <s v="Qualidade"/>
    <s v="Analista"/>
    <s v="2º Turno"/>
    <x v="0"/>
    <s v="Não"/>
    <x v="2"/>
    <d v="2025-06-06T00:00:00"/>
    <d v="2025-06-01T00:00:00"/>
    <s v="sex"/>
    <x v="1"/>
    <x v="1"/>
    <m/>
    <s v="205245814"/>
  </r>
  <r>
    <n v="2052"/>
    <n v="38"/>
    <s v="Masculino"/>
    <s v="Qualidade"/>
    <s v="Analista"/>
    <s v="2º Turno"/>
    <x v="0"/>
    <s v="Não"/>
    <x v="2"/>
    <d v="2025-07-21T00:00:00"/>
    <d v="2025-07-01T00:00:00"/>
    <s v="seg"/>
    <x v="6"/>
    <x v="1"/>
    <m/>
    <s v="205245859"/>
  </r>
  <r>
    <n v="2052"/>
    <n v="38"/>
    <s v="Masculino"/>
    <s v="Qualidade"/>
    <s v="Analista"/>
    <s v="2º Turno"/>
    <x v="0"/>
    <s v="Não"/>
    <x v="2"/>
    <d v="2025-09-18T00:00:00"/>
    <d v="2025-09-01T00:00:00"/>
    <s v="qui"/>
    <x v="7"/>
    <x v="1"/>
    <m/>
    <s v="205245918"/>
  </r>
  <r>
    <n v="2052"/>
    <n v="38"/>
    <s v="Masculino"/>
    <s v="Qualidade"/>
    <s v="Analista"/>
    <s v="2º Turno"/>
    <x v="0"/>
    <s v="Não"/>
    <x v="2"/>
    <d v="2026-06-16T00:00:00"/>
    <d v="2026-01-01T00:00:00"/>
    <s v="ter"/>
    <x v="1"/>
    <x v="0"/>
    <m/>
    <s v="205246189"/>
  </r>
  <r>
    <n v="2053"/>
    <n v="24"/>
    <s v="Feminino"/>
    <s v="Montagem"/>
    <s v="Operador"/>
    <s v="2º Turno"/>
    <x v="0"/>
    <s v="Não"/>
    <x v="0"/>
    <d v="2025-06-29T00:00:00"/>
    <d v="2025-06-01T00:00:00"/>
    <s v="dom"/>
    <x v="1"/>
    <x v="1"/>
    <m/>
    <s v="205345837"/>
  </r>
  <r>
    <n v="2053"/>
    <n v="24"/>
    <s v="Feminino"/>
    <s v="Montagem"/>
    <s v="Operador"/>
    <s v="2º Turno"/>
    <x v="0"/>
    <s v="Não"/>
    <x v="0"/>
    <d v="2025-08-03T00:00:00"/>
    <d v="2025-08-01T00:00:00"/>
    <s v="dom"/>
    <x v="9"/>
    <x v="1"/>
    <m/>
    <s v="205345872"/>
  </r>
  <r>
    <n v="2053"/>
    <n v="24"/>
    <s v="Feminino"/>
    <s v="Montagem"/>
    <s v="Operador"/>
    <s v="2º Turno"/>
    <x v="0"/>
    <s v="Não"/>
    <x v="0"/>
    <d v="2025-08-29T00:00:00"/>
    <d v="2025-08-01T00:00:00"/>
    <s v="sex"/>
    <x v="9"/>
    <x v="1"/>
    <m/>
    <s v="205345898"/>
  </r>
  <r>
    <n v="2053"/>
    <n v="24"/>
    <s v="Feminino"/>
    <s v="Montagem"/>
    <s v="Operador"/>
    <s v="2º Turno"/>
    <x v="0"/>
    <s v="Não"/>
    <x v="0"/>
    <d v="2025-10-05T00:00:00"/>
    <d v="2025-10-01T00:00:00"/>
    <s v="dom"/>
    <x v="11"/>
    <x v="1"/>
    <m/>
    <s v="205345935"/>
  </r>
  <r>
    <n v="2053"/>
    <n v="24"/>
    <s v="Feminino"/>
    <s v="Montagem"/>
    <s v="Operador"/>
    <s v="2º Turno"/>
    <x v="0"/>
    <s v="Não"/>
    <x v="0"/>
    <d v="2025-11-20T00:00:00"/>
    <d v="2025-11-01T00:00:00"/>
    <s v="qui"/>
    <x v="10"/>
    <x v="1"/>
    <m/>
    <s v="205345981"/>
  </r>
  <r>
    <n v="2053"/>
    <n v="24"/>
    <s v="Feminino"/>
    <s v="Montagem"/>
    <s v="Operador"/>
    <s v="2º Turno"/>
    <x v="0"/>
    <s v="Não"/>
    <x v="0"/>
    <d v="2026-06-29T00:00:00"/>
    <d v="2026-01-01T00:00:00"/>
    <s v="seg"/>
    <x v="1"/>
    <x v="0"/>
    <m/>
    <s v="205346202"/>
  </r>
  <r>
    <n v="2054"/>
    <n v="28"/>
    <s v="Masculino"/>
    <s v="Qualidade"/>
    <s v="Inspetor"/>
    <s v="2º Turno"/>
    <x v="0"/>
    <s v="Não"/>
    <x v="2"/>
    <d v="2025-10-10T00:00:00"/>
    <d v="2025-10-01T00:00:00"/>
    <s v="sex"/>
    <x v="11"/>
    <x v="1"/>
    <m/>
    <s v="205445940"/>
  </r>
  <r>
    <n v="2054"/>
    <n v="28"/>
    <s v="Masculino"/>
    <s v="Qualidade"/>
    <s v="Inspetor"/>
    <s v="2º Turno"/>
    <x v="0"/>
    <s v="Não"/>
    <x v="2"/>
    <d v="2025-10-13T00:00:00"/>
    <d v="2025-10-01T00:00:00"/>
    <s v="seg"/>
    <x v="11"/>
    <x v="1"/>
    <m/>
    <s v="205445943"/>
  </r>
  <r>
    <n v="2054"/>
    <n v="28"/>
    <s v="Masculino"/>
    <s v="Qualidade"/>
    <s v="Inspetor"/>
    <s v="2º Turno"/>
    <x v="0"/>
    <s v="Não"/>
    <x v="2"/>
    <d v="2026-06-15T00:00:00"/>
    <d v="2026-01-01T00:00:00"/>
    <s v="seg"/>
    <x v="1"/>
    <x v="0"/>
    <m/>
    <s v="205446188"/>
  </r>
  <r>
    <n v="2054"/>
    <n v="28"/>
    <s v="Masculino"/>
    <s v="Qualidade"/>
    <s v="Inspetor"/>
    <s v="2º Turno"/>
    <x v="0"/>
    <s v="Não"/>
    <x v="2"/>
    <d v="2026-02-21T00:00:00"/>
    <d v="2026-02-01T00:00:00"/>
    <s v="sáb"/>
    <x v="3"/>
    <x v="0"/>
    <m/>
    <s v="205446074"/>
  </r>
  <r>
    <n v="2056"/>
    <n v="41"/>
    <s v="Masculino"/>
    <s v="Soldagem"/>
    <s v="Operador"/>
    <s v="2º Turno"/>
    <x v="0"/>
    <s v="Não"/>
    <x v="1"/>
    <d v="2025-06-20T00:00:00"/>
    <d v="2025-06-01T00:00:00"/>
    <s v="sex"/>
    <x v="1"/>
    <x v="1"/>
    <m/>
    <s v="205645828"/>
  </r>
  <r>
    <n v="2056"/>
    <n v="41"/>
    <s v="Masculino"/>
    <s v="Soldagem"/>
    <s v="Operador"/>
    <s v="2º Turno"/>
    <x v="0"/>
    <s v="Não"/>
    <x v="1"/>
    <d v="2025-06-29T00:00:00"/>
    <d v="2025-06-01T00:00:00"/>
    <s v="dom"/>
    <x v="1"/>
    <x v="1"/>
    <m/>
    <s v="205645837"/>
  </r>
  <r>
    <n v="2056"/>
    <n v="41"/>
    <s v="Masculino"/>
    <s v="Soldagem"/>
    <s v="Operador"/>
    <s v="2º Turno"/>
    <x v="0"/>
    <s v="Não"/>
    <x v="1"/>
    <d v="2025-08-25T00:00:00"/>
    <d v="2025-08-01T00:00:00"/>
    <s v="seg"/>
    <x v="9"/>
    <x v="1"/>
    <m/>
    <s v="205645894"/>
  </r>
  <r>
    <n v="2056"/>
    <n v="41"/>
    <s v="Masculino"/>
    <s v="Soldagem"/>
    <s v="Operador"/>
    <s v="2º Turno"/>
    <x v="0"/>
    <s v="Não"/>
    <x v="1"/>
    <d v="2025-09-19T00:00:00"/>
    <d v="2025-09-01T00:00:00"/>
    <s v="sex"/>
    <x v="7"/>
    <x v="1"/>
    <m/>
    <s v="205645919"/>
  </r>
  <r>
    <n v="2056"/>
    <n v="41"/>
    <s v="Masculino"/>
    <s v="Soldagem"/>
    <s v="Operador"/>
    <s v="2º Turno"/>
    <x v="0"/>
    <s v="Não"/>
    <x v="1"/>
    <d v="2026-02-02T00:00:00"/>
    <d v="2026-02-01T00:00:00"/>
    <s v="seg"/>
    <x v="3"/>
    <x v="0"/>
    <m/>
    <s v="205646055"/>
  </r>
  <r>
    <n v="2057"/>
    <n v="53"/>
    <s v="Masculino"/>
    <s v="Logistica"/>
    <s v="Operador"/>
    <s v="3º Turno"/>
    <x v="0"/>
    <s v="Não"/>
    <x v="2"/>
    <d v="2025-08-27T00:00:00"/>
    <d v="2025-08-01T00:00:00"/>
    <s v="qua"/>
    <x v="9"/>
    <x v="1"/>
    <m/>
    <s v="205745896"/>
  </r>
  <r>
    <n v="2057"/>
    <n v="53"/>
    <s v="Masculino"/>
    <s v="Logistica"/>
    <s v="Operador"/>
    <s v="3º Turno"/>
    <x v="0"/>
    <s v="Não"/>
    <x v="2"/>
    <d v="2025-09-11T00:00:00"/>
    <d v="2025-09-01T00:00:00"/>
    <s v="qui"/>
    <x v="7"/>
    <x v="1"/>
    <m/>
    <s v="205745911"/>
  </r>
  <r>
    <n v="2057"/>
    <n v="53"/>
    <s v="Masculino"/>
    <s v="Logistica"/>
    <s v="Operador"/>
    <s v="3º Turno"/>
    <x v="0"/>
    <s v="Não"/>
    <x v="2"/>
    <d v="2025-12-27T00:00:00"/>
    <d v="2025-12-01T00:00:00"/>
    <s v="sáb"/>
    <x v="8"/>
    <x v="1"/>
    <m/>
    <s v="205746018"/>
  </r>
  <r>
    <n v="2057"/>
    <n v="53"/>
    <s v="Masculino"/>
    <s v="Logistica"/>
    <s v="Operador"/>
    <s v="3º Turno"/>
    <x v="0"/>
    <s v="Não"/>
    <x v="2"/>
    <d v="2026-02-19T00:00:00"/>
    <d v="2026-02-01T00:00:00"/>
    <s v="qui"/>
    <x v="3"/>
    <x v="0"/>
    <m/>
    <s v="205746072"/>
  </r>
  <r>
    <n v="2059"/>
    <n v="57"/>
    <s v="Masculino"/>
    <s v="Montagem"/>
    <s v="Operador"/>
    <s v="3º Turno"/>
    <x v="0"/>
    <s v="Não"/>
    <x v="1"/>
    <d v="2025-04-28T00:00:00"/>
    <d v="2025-04-01T00:00:00"/>
    <s v="seg"/>
    <x v="2"/>
    <x v="1"/>
    <m/>
    <s v="205945775"/>
  </r>
  <r>
    <n v="2059"/>
    <n v="57"/>
    <s v="Masculino"/>
    <s v="Montagem"/>
    <s v="Operador"/>
    <s v="3º Turno"/>
    <x v="0"/>
    <s v="Não"/>
    <x v="1"/>
    <d v="2025-09-25T00:00:00"/>
    <d v="2025-09-01T00:00:00"/>
    <s v="qui"/>
    <x v="7"/>
    <x v="1"/>
    <m/>
    <s v="205945925"/>
  </r>
  <r>
    <n v="2059"/>
    <n v="57"/>
    <s v="Masculino"/>
    <s v="Montagem"/>
    <s v="Operador"/>
    <s v="3º Turno"/>
    <x v="0"/>
    <s v="Não"/>
    <x v="1"/>
    <d v="2025-11-06T00:00:00"/>
    <d v="2025-11-01T00:00:00"/>
    <s v="qui"/>
    <x v="10"/>
    <x v="1"/>
    <m/>
    <s v="205945967"/>
  </r>
  <r>
    <n v="2059"/>
    <n v="57"/>
    <s v="Masculino"/>
    <s v="Montagem"/>
    <s v="Operador"/>
    <s v="3º Turno"/>
    <x v="0"/>
    <s v="Não"/>
    <x v="1"/>
    <d v="2025-12-04T00:00:00"/>
    <d v="2025-12-01T00:00:00"/>
    <s v="qui"/>
    <x v="8"/>
    <x v="1"/>
    <m/>
    <s v="205945995"/>
  </r>
  <r>
    <n v="2059"/>
    <n v="57"/>
    <s v="Masculino"/>
    <s v="Montagem"/>
    <s v="Operador"/>
    <s v="3º Turno"/>
    <x v="0"/>
    <s v="Não"/>
    <x v="1"/>
    <d v="2026-06-09T00:00:00"/>
    <d v="2026-01-01T00:00:00"/>
    <s v="ter"/>
    <x v="1"/>
    <x v="0"/>
    <m/>
    <s v="205946182"/>
  </r>
  <r>
    <n v="2059"/>
    <n v="57"/>
    <s v="Masculino"/>
    <s v="Montagem"/>
    <s v="Operador"/>
    <s v="3º Turno"/>
    <x v="0"/>
    <s v="Não"/>
    <x v="1"/>
    <d v="2026-04-28T00:00:00"/>
    <d v="2026-04-01T00:00:00"/>
    <s v="seg"/>
    <x v="2"/>
    <x v="1"/>
    <m/>
    <s v="205946140"/>
  </r>
  <r>
    <n v="2060"/>
    <n v="37"/>
    <s v="Masculino"/>
    <s v="Logistica"/>
    <s v="Operador"/>
    <s v="2º Turno"/>
    <x v="0"/>
    <s v="Não"/>
    <x v="0"/>
    <d v="2025-08-28T00:00:00"/>
    <d v="2025-08-01T00:00:00"/>
    <s v="qui"/>
    <x v="9"/>
    <x v="1"/>
    <m/>
    <s v="206045897"/>
  </r>
  <r>
    <n v="2060"/>
    <n v="37"/>
    <s v="Masculino"/>
    <s v="Logistica"/>
    <s v="Operador"/>
    <s v="2º Turno"/>
    <x v="0"/>
    <s v="Não"/>
    <x v="0"/>
    <d v="2025-09-04T00:00:00"/>
    <d v="2025-09-01T00:00:00"/>
    <s v="qui"/>
    <x v="7"/>
    <x v="1"/>
    <m/>
    <s v="206045904"/>
  </r>
  <r>
    <n v="2060"/>
    <n v="37"/>
    <s v="Masculino"/>
    <s v="Logistica"/>
    <s v="Operador"/>
    <s v="2º Turno"/>
    <x v="0"/>
    <s v="Não"/>
    <x v="0"/>
    <d v="2025-10-12T00:00:00"/>
    <d v="2025-10-01T00:00:00"/>
    <s v="dom"/>
    <x v="11"/>
    <x v="1"/>
    <m/>
    <s v="206045942"/>
  </r>
  <r>
    <n v="2060"/>
    <n v="37"/>
    <s v="Masculino"/>
    <s v="Logistica"/>
    <s v="Operador"/>
    <s v="2º Turno"/>
    <x v="0"/>
    <s v="Não"/>
    <x v="0"/>
    <d v="2025-10-28T00:00:00"/>
    <d v="2025-10-01T00:00:00"/>
    <s v="ter"/>
    <x v="11"/>
    <x v="1"/>
    <m/>
    <s v="206045958"/>
  </r>
  <r>
    <n v="2060"/>
    <n v="37"/>
    <s v="Masculino"/>
    <s v="Logistica"/>
    <s v="Operador"/>
    <s v="2º Turno"/>
    <x v="0"/>
    <s v="Não"/>
    <x v="0"/>
    <d v="2025-11-24T00:00:00"/>
    <d v="2025-11-01T00:00:00"/>
    <s v="seg"/>
    <x v="10"/>
    <x v="1"/>
    <m/>
    <s v="206045985"/>
  </r>
  <r>
    <n v="2060"/>
    <n v="37"/>
    <s v="Masculino"/>
    <s v="Logistica"/>
    <s v="Operador"/>
    <s v="2º Turno"/>
    <x v="0"/>
    <s v="Não"/>
    <x v="0"/>
    <d v="2026-06-16T00:00:00"/>
    <d v="2026-01-01T00:00:00"/>
    <s v="ter"/>
    <x v="1"/>
    <x v="0"/>
    <m/>
    <s v="206046189"/>
  </r>
  <r>
    <n v="2061"/>
    <n v="55"/>
    <s v="Feminino"/>
    <s v="Pintura"/>
    <s v="Operador"/>
    <s v="3º Turno"/>
    <x v="0"/>
    <s v="Não"/>
    <x v="1"/>
    <d v="2025-06-19T00:00:00"/>
    <d v="2025-06-01T00:00:00"/>
    <s v="qui"/>
    <x v="1"/>
    <x v="1"/>
    <m/>
    <s v="206145827"/>
  </r>
  <r>
    <n v="2061"/>
    <n v="55"/>
    <s v="Feminino"/>
    <s v="Pintura"/>
    <s v="Operador"/>
    <s v="3º Turno"/>
    <x v="0"/>
    <s v="Não"/>
    <x v="1"/>
    <d v="2025-08-29T00:00:00"/>
    <d v="2025-08-01T00:00:00"/>
    <s v="sex"/>
    <x v="9"/>
    <x v="1"/>
    <m/>
    <s v="206145898"/>
  </r>
  <r>
    <n v="2061"/>
    <n v="55"/>
    <s v="Feminino"/>
    <s v="Pintura"/>
    <s v="Operador"/>
    <s v="3º Turno"/>
    <x v="0"/>
    <s v="Não"/>
    <x v="1"/>
    <d v="2025-09-30T00:00:00"/>
    <d v="2025-09-01T00:00:00"/>
    <s v="ter"/>
    <x v="7"/>
    <x v="1"/>
    <m/>
    <s v="206145930"/>
  </r>
  <r>
    <n v="2061"/>
    <n v="55"/>
    <s v="Feminino"/>
    <s v="Pintura"/>
    <s v="Operador"/>
    <s v="3º Turno"/>
    <x v="0"/>
    <s v="Não"/>
    <x v="1"/>
    <d v="2025-10-09T00:00:00"/>
    <d v="2025-10-01T00:00:00"/>
    <s v="qui"/>
    <x v="11"/>
    <x v="1"/>
    <m/>
    <s v="206145939"/>
  </r>
  <r>
    <n v="2061"/>
    <n v="55"/>
    <s v="Feminino"/>
    <s v="Pintura"/>
    <s v="Operador"/>
    <s v="3º Turno"/>
    <x v="0"/>
    <s v="Não"/>
    <x v="1"/>
    <d v="2025-10-14T00:00:00"/>
    <d v="2025-10-01T00:00:00"/>
    <s v="ter"/>
    <x v="11"/>
    <x v="1"/>
    <m/>
    <s v="206145944"/>
  </r>
  <r>
    <n v="2062"/>
    <n v="25"/>
    <s v="Feminino"/>
    <s v="Montagem"/>
    <s v="Operador"/>
    <s v="2º Turno"/>
    <x v="0"/>
    <s v="Não"/>
    <x v="2"/>
    <d v="2025-11-29T00:00:00"/>
    <d v="2025-11-01T00:00:00"/>
    <s v="sáb"/>
    <x v="10"/>
    <x v="1"/>
    <m/>
    <s v="206245990"/>
  </r>
  <r>
    <n v="2062"/>
    <n v="25"/>
    <s v="Feminino"/>
    <s v="Montagem"/>
    <s v="Operador"/>
    <s v="2º Turno"/>
    <x v="0"/>
    <s v="Não"/>
    <x v="2"/>
    <d v="2025-12-08T00:00:00"/>
    <d v="2025-12-01T00:00:00"/>
    <s v="seg"/>
    <x v="8"/>
    <x v="1"/>
    <m/>
    <s v="206245999"/>
  </r>
  <r>
    <n v="2062"/>
    <n v="25"/>
    <s v="Feminino"/>
    <s v="Montagem"/>
    <s v="Operador"/>
    <s v="2º Turno"/>
    <x v="0"/>
    <s v="Não"/>
    <x v="2"/>
    <d v="2026-06-10T00:00:00"/>
    <d v="2026-01-01T00:00:00"/>
    <s v="qua"/>
    <x v="1"/>
    <x v="0"/>
    <m/>
    <s v="206246183"/>
  </r>
  <r>
    <n v="2062"/>
    <n v="25"/>
    <s v="Feminino"/>
    <s v="Montagem"/>
    <s v="Operador"/>
    <s v="2º Turno"/>
    <x v="0"/>
    <s v="Não"/>
    <x v="2"/>
    <d v="2026-01-16T00:00:00"/>
    <d v="2026-01-01T00:00:00"/>
    <s v="sex"/>
    <x v="5"/>
    <x v="0"/>
    <m/>
    <s v="206246038"/>
  </r>
  <r>
    <n v="2063"/>
    <n v="21"/>
    <s v="Feminino"/>
    <s v="Soldagem"/>
    <s v="Operador"/>
    <s v="3º Turno"/>
    <x v="0"/>
    <s v="Não"/>
    <x v="0"/>
    <d v="2025-07-12T00:00:00"/>
    <d v="2025-07-01T00:00:00"/>
    <s v="sáb"/>
    <x v="6"/>
    <x v="1"/>
    <m/>
    <s v="206345850"/>
  </r>
  <r>
    <n v="2063"/>
    <n v="21"/>
    <s v="Feminino"/>
    <s v="Soldagem"/>
    <s v="Operador"/>
    <s v="3º Turno"/>
    <x v="0"/>
    <s v="Não"/>
    <x v="0"/>
    <d v="2025-07-14T00:00:00"/>
    <d v="2025-07-01T00:00:00"/>
    <s v="seg"/>
    <x v="6"/>
    <x v="1"/>
    <m/>
    <s v="206345852"/>
  </r>
  <r>
    <n v="2063"/>
    <n v="21"/>
    <s v="Feminino"/>
    <s v="Soldagem"/>
    <s v="Operador"/>
    <s v="3º Turno"/>
    <x v="0"/>
    <s v="Não"/>
    <x v="0"/>
    <d v="2025-08-09T00:00:00"/>
    <d v="2025-08-01T00:00:00"/>
    <s v="sáb"/>
    <x v="9"/>
    <x v="1"/>
    <m/>
    <s v="206345878"/>
  </r>
  <r>
    <n v="2063"/>
    <n v="21"/>
    <s v="Feminino"/>
    <s v="Soldagem"/>
    <s v="Operador"/>
    <s v="3º Turno"/>
    <x v="0"/>
    <s v="Não"/>
    <x v="0"/>
    <d v="2025-11-18T00:00:00"/>
    <d v="2025-11-01T00:00:00"/>
    <s v="ter"/>
    <x v="10"/>
    <x v="1"/>
    <m/>
    <s v="206345979"/>
  </r>
  <r>
    <n v="2063"/>
    <n v="21"/>
    <s v="Feminino"/>
    <s v="Soldagem"/>
    <s v="Operador"/>
    <s v="3º Turno"/>
    <x v="0"/>
    <s v="Não"/>
    <x v="0"/>
    <d v="2026-06-23T00:00:00"/>
    <d v="2026-01-01T00:00:00"/>
    <s v="ter"/>
    <x v="1"/>
    <x v="0"/>
    <m/>
    <s v="206346196"/>
  </r>
  <r>
    <n v="2063"/>
    <n v="21"/>
    <s v="Feminino"/>
    <s v="Soldagem"/>
    <s v="Operador"/>
    <s v="3º Turno"/>
    <x v="0"/>
    <s v="Não"/>
    <x v="0"/>
    <d v="2026-03-26T00:00:00"/>
    <d v="2026-03-01T00:00:00"/>
    <s v="qui"/>
    <x v="4"/>
    <x v="0"/>
    <m/>
    <s v="206346107"/>
  </r>
  <r>
    <n v="2063"/>
    <n v="21"/>
    <s v="Feminino"/>
    <s v="Soldagem"/>
    <s v="Operador"/>
    <s v="3º Turno"/>
    <x v="0"/>
    <s v="Não"/>
    <x v="0"/>
    <d v="2026-05-27T00:00:00"/>
    <d v="2026-05-01T00:00:00"/>
    <s v="qua"/>
    <x v="0"/>
    <x v="0"/>
    <m/>
    <s v="206346169"/>
  </r>
  <r>
    <n v="2066"/>
    <n v="27"/>
    <s v="Masculino"/>
    <s v="Montagem"/>
    <s v="Operador"/>
    <s v="3º Turno"/>
    <x v="0"/>
    <s v="Não"/>
    <x v="2"/>
    <d v="2025-06-11T00:00:00"/>
    <d v="2025-06-01T00:00:00"/>
    <s v="qua"/>
    <x v="1"/>
    <x v="1"/>
    <m/>
    <s v="206645819"/>
  </r>
  <r>
    <n v="2066"/>
    <n v="27"/>
    <s v="Masculino"/>
    <s v="Montagem"/>
    <s v="Operador"/>
    <s v="3º Turno"/>
    <x v="0"/>
    <s v="Não"/>
    <x v="2"/>
    <d v="2025-11-22T00:00:00"/>
    <d v="2025-11-01T00:00:00"/>
    <s v="sáb"/>
    <x v="10"/>
    <x v="1"/>
    <m/>
    <s v="206645983"/>
  </r>
  <r>
    <n v="2066"/>
    <n v="27"/>
    <s v="Masculino"/>
    <s v="Montagem"/>
    <s v="Operador"/>
    <s v="3º Turno"/>
    <x v="0"/>
    <s v="Não"/>
    <x v="2"/>
    <d v="2026-06-06T00:00:00"/>
    <d v="2026-01-01T00:00:00"/>
    <s v="sáb"/>
    <x v="1"/>
    <x v="0"/>
    <m/>
    <s v="206646179"/>
  </r>
  <r>
    <n v="2066"/>
    <n v="27"/>
    <s v="Masculino"/>
    <s v="Montagem"/>
    <s v="Operador"/>
    <s v="3º Turno"/>
    <x v="0"/>
    <s v="Não"/>
    <x v="2"/>
    <d v="2026-06-14T00:00:00"/>
    <d v="2026-01-01T00:00:00"/>
    <s v="dom"/>
    <x v="1"/>
    <x v="0"/>
    <m/>
    <s v="206646187"/>
  </r>
  <r>
    <n v="2066"/>
    <n v="27"/>
    <s v="Masculino"/>
    <s v="Montagem"/>
    <s v="Operador"/>
    <s v="3º Turno"/>
    <x v="0"/>
    <s v="Não"/>
    <x v="2"/>
    <d v="2026-03-28T00:00:00"/>
    <d v="2026-03-01T00:00:00"/>
    <s v="sáb"/>
    <x v="4"/>
    <x v="0"/>
    <m/>
    <s v="206646109"/>
  </r>
  <r>
    <n v="2066"/>
    <n v="27"/>
    <s v="Masculino"/>
    <s v="Montagem"/>
    <s v="Operador"/>
    <s v="3º Turno"/>
    <x v="0"/>
    <s v="Não"/>
    <x v="2"/>
    <d v="2026-05-08T00:00:00"/>
    <d v="2026-05-01T00:00:00"/>
    <s v="sex"/>
    <x v="0"/>
    <x v="0"/>
    <m/>
    <s v="206646150"/>
  </r>
  <r>
    <n v="2067"/>
    <n v="35"/>
    <s v="Masculino"/>
    <s v="Montagem"/>
    <s v="Operador"/>
    <s v="3º Turno"/>
    <x v="0"/>
    <s v="Não"/>
    <x v="0"/>
    <d v="2025-07-24T00:00:00"/>
    <d v="2025-07-01T00:00:00"/>
    <s v="qui"/>
    <x v="6"/>
    <x v="1"/>
    <m/>
    <s v="206745862"/>
  </r>
  <r>
    <n v="2067"/>
    <n v="35"/>
    <s v="Masculino"/>
    <s v="Montagem"/>
    <s v="Operador"/>
    <s v="3º Turno"/>
    <x v="0"/>
    <s v="Não"/>
    <x v="0"/>
    <d v="2025-09-14T00:00:00"/>
    <d v="2025-09-01T00:00:00"/>
    <s v="dom"/>
    <x v="7"/>
    <x v="1"/>
    <m/>
    <s v="206745914"/>
  </r>
  <r>
    <n v="2067"/>
    <n v="35"/>
    <s v="Masculino"/>
    <s v="Montagem"/>
    <s v="Operador"/>
    <s v="3º Turno"/>
    <x v="0"/>
    <s v="Não"/>
    <x v="0"/>
    <d v="2026-06-17T00:00:00"/>
    <d v="2026-01-01T00:00:00"/>
    <s v="qua"/>
    <x v="1"/>
    <x v="0"/>
    <m/>
    <s v="206746190"/>
  </r>
  <r>
    <n v="2067"/>
    <n v="35"/>
    <s v="Masculino"/>
    <s v="Montagem"/>
    <s v="Operador"/>
    <s v="3º Turno"/>
    <x v="0"/>
    <s v="Não"/>
    <x v="0"/>
    <d v="2026-03-26T00:00:00"/>
    <d v="2026-03-01T00:00:00"/>
    <s v="qui"/>
    <x v="4"/>
    <x v="0"/>
    <m/>
    <s v="206746107"/>
  </r>
  <r>
    <n v="2067"/>
    <n v="35"/>
    <s v="Masculino"/>
    <s v="Montagem"/>
    <s v="Operador"/>
    <s v="3º Turno"/>
    <x v="0"/>
    <s v="Não"/>
    <x v="0"/>
    <d v="2026-05-15T00:00:00"/>
    <d v="2026-05-01T00:00:00"/>
    <s v="sex"/>
    <x v="0"/>
    <x v="0"/>
    <m/>
    <s v="206746157"/>
  </r>
  <r>
    <n v="2068"/>
    <n v="44"/>
    <s v="Masculino"/>
    <s v="Pintura"/>
    <s v="Operador"/>
    <s v="1º Turno"/>
    <x v="0"/>
    <s v="Não"/>
    <x v="1"/>
    <d v="2025-07-10T00:00:00"/>
    <d v="2025-07-01T00:00:00"/>
    <s v="qui"/>
    <x v="6"/>
    <x v="1"/>
    <m/>
    <s v="206845848"/>
  </r>
  <r>
    <n v="2068"/>
    <n v="44"/>
    <s v="Masculino"/>
    <s v="Pintura"/>
    <s v="Operador"/>
    <s v="1º Turno"/>
    <x v="0"/>
    <s v="Não"/>
    <x v="1"/>
    <d v="2025-07-17T00:00:00"/>
    <d v="2025-07-01T00:00:00"/>
    <s v="qui"/>
    <x v="6"/>
    <x v="1"/>
    <m/>
    <s v="206845855"/>
  </r>
  <r>
    <n v="2068"/>
    <n v="44"/>
    <s v="Masculino"/>
    <s v="Pintura"/>
    <s v="Operador"/>
    <s v="1º Turno"/>
    <x v="0"/>
    <s v="Não"/>
    <x v="1"/>
    <d v="2025-09-26T00:00:00"/>
    <d v="2025-09-01T00:00:00"/>
    <s v="sex"/>
    <x v="7"/>
    <x v="1"/>
    <m/>
    <s v="206845926"/>
  </r>
  <r>
    <n v="2068"/>
    <n v="44"/>
    <s v="Masculino"/>
    <s v="Pintura"/>
    <s v="Operador"/>
    <s v="1º Turno"/>
    <x v="0"/>
    <s v="Não"/>
    <x v="1"/>
    <d v="2025-12-06T00:00:00"/>
    <d v="2025-12-01T00:00:00"/>
    <s v="sáb"/>
    <x v="8"/>
    <x v="1"/>
    <m/>
    <s v="206845997"/>
  </r>
  <r>
    <n v="2068"/>
    <n v="44"/>
    <s v="Masculino"/>
    <s v="Pintura"/>
    <s v="Operador"/>
    <s v="1º Turno"/>
    <x v="0"/>
    <s v="Não"/>
    <x v="1"/>
    <d v="2025-12-20T00:00:00"/>
    <d v="2025-12-01T00:00:00"/>
    <s v="sáb"/>
    <x v="8"/>
    <x v="1"/>
    <m/>
    <s v="206846011"/>
  </r>
  <r>
    <n v="2069"/>
    <n v="30"/>
    <s v="Masculino"/>
    <s v="Montagem"/>
    <s v="Operador"/>
    <s v="3º Turno"/>
    <x v="0"/>
    <s v="Não"/>
    <x v="1"/>
    <d v="2025-07-14T00:00:00"/>
    <d v="2025-07-01T00:00:00"/>
    <s v="seg"/>
    <x v="6"/>
    <x v="1"/>
    <m/>
    <s v="206945852"/>
  </r>
  <r>
    <n v="2069"/>
    <n v="30"/>
    <s v="Masculino"/>
    <s v="Montagem"/>
    <s v="Operador"/>
    <s v="3º Turno"/>
    <x v="0"/>
    <s v="Não"/>
    <x v="1"/>
    <d v="2025-07-20T00:00:00"/>
    <d v="2025-07-01T00:00:00"/>
    <s v="dom"/>
    <x v="6"/>
    <x v="1"/>
    <m/>
    <s v="206945858"/>
  </r>
  <r>
    <n v="2069"/>
    <n v="30"/>
    <s v="Masculino"/>
    <s v="Montagem"/>
    <s v="Operador"/>
    <s v="3º Turno"/>
    <x v="0"/>
    <s v="Não"/>
    <x v="1"/>
    <d v="2025-10-11T00:00:00"/>
    <d v="2025-10-01T00:00:00"/>
    <s v="sáb"/>
    <x v="11"/>
    <x v="1"/>
    <m/>
    <s v="206945941"/>
  </r>
  <r>
    <n v="2069"/>
    <n v="30"/>
    <s v="Masculino"/>
    <s v="Montagem"/>
    <s v="Operador"/>
    <s v="3º Turno"/>
    <x v="0"/>
    <s v="Não"/>
    <x v="1"/>
    <d v="2025-12-22T00:00:00"/>
    <d v="2025-12-01T00:00:00"/>
    <s v="seg"/>
    <x v="8"/>
    <x v="1"/>
    <m/>
    <s v="206946013"/>
  </r>
  <r>
    <n v="2069"/>
    <n v="30"/>
    <s v="Masculino"/>
    <s v="Montagem"/>
    <s v="Operador"/>
    <s v="3º Turno"/>
    <x v="0"/>
    <s v="Não"/>
    <x v="1"/>
    <d v="2026-03-01T00:00:00"/>
    <d v="2026-03-01T00:00:00"/>
    <s v="dom"/>
    <x v="4"/>
    <x v="0"/>
    <m/>
    <s v="206946082"/>
  </r>
  <r>
    <n v="2069"/>
    <n v="30"/>
    <s v="Masculino"/>
    <s v="Montagem"/>
    <s v="Operador"/>
    <s v="3º Turno"/>
    <x v="0"/>
    <s v="Não"/>
    <x v="1"/>
    <d v="2026-03-12T00:00:00"/>
    <d v="2026-03-01T00:00:00"/>
    <s v="qui"/>
    <x v="4"/>
    <x v="0"/>
    <m/>
    <s v="206946093"/>
  </r>
  <r>
    <n v="2070"/>
    <n v="29"/>
    <s v="Feminino"/>
    <s v="Qualidade"/>
    <s v="Inspetor"/>
    <s v="2º Turno"/>
    <x v="0"/>
    <s v="Não"/>
    <x v="0"/>
    <d v="2025-06-04T00:00:00"/>
    <d v="2025-06-01T00:00:00"/>
    <s v="qua"/>
    <x v="1"/>
    <x v="1"/>
    <m/>
    <s v="207045812"/>
  </r>
  <r>
    <n v="2070"/>
    <n v="29"/>
    <s v="Feminino"/>
    <s v="Qualidade"/>
    <s v="Inspetor"/>
    <s v="2º Turno"/>
    <x v="0"/>
    <s v="Não"/>
    <x v="0"/>
    <d v="2025-08-01T00:00:00"/>
    <d v="2025-08-01T00:00:00"/>
    <s v="sex"/>
    <x v="9"/>
    <x v="1"/>
    <m/>
    <s v="207045870"/>
  </r>
  <r>
    <n v="2070"/>
    <n v="29"/>
    <s v="Feminino"/>
    <s v="Qualidade"/>
    <s v="Inspetor"/>
    <s v="2º Turno"/>
    <x v="0"/>
    <s v="Não"/>
    <x v="0"/>
    <d v="2025-11-09T00:00:00"/>
    <d v="2025-11-01T00:00:00"/>
    <s v="dom"/>
    <x v="10"/>
    <x v="1"/>
    <m/>
    <s v="207045970"/>
  </r>
  <r>
    <n v="2070"/>
    <n v="29"/>
    <s v="Feminino"/>
    <s v="Qualidade"/>
    <s v="Inspetor"/>
    <s v="2º Turno"/>
    <x v="0"/>
    <s v="Não"/>
    <x v="0"/>
    <d v="2026-02-14T00:00:00"/>
    <d v="2026-02-01T00:00:00"/>
    <s v="sáb"/>
    <x v="3"/>
    <x v="0"/>
    <m/>
    <s v="207046067"/>
  </r>
  <r>
    <n v="2070"/>
    <n v="29"/>
    <s v="Feminino"/>
    <s v="Qualidade"/>
    <s v="Inspetor"/>
    <s v="2º Turno"/>
    <x v="0"/>
    <s v="Não"/>
    <x v="0"/>
    <d v="2026-03-24T00:00:00"/>
    <d v="2026-03-01T00:00:00"/>
    <s v="ter"/>
    <x v="4"/>
    <x v="0"/>
    <m/>
    <s v="207046105"/>
  </r>
  <r>
    <n v="2071"/>
    <n v="52"/>
    <s v="Masculino"/>
    <s v="Logistica"/>
    <s v="Operador"/>
    <s v="1º Turno"/>
    <x v="0"/>
    <s v="Não"/>
    <x v="1"/>
    <d v="2025-07-12T00:00:00"/>
    <d v="2025-07-01T00:00:00"/>
    <s v="sáb"/>
    <x v="6"/>
    <x v="1"/>
    <m/>
    <s v="207145850"/>
  </r>
  <r>
    <n v="2071"/>
    <n v="52"/>
    <s v="Masculino"/>
    <s v="Logistica"/>
    <s v="Operador"/>
    <s v="1º Turno"/>
    <x v="0"/>
    <s v="Não"/>
    <x v="1"/>
    <d v="2025-07-13T00:00:00"/>
    <d v="2025-07-01T00:00:00"/>
    <s v="dom"/>
    <x v="6"/>
    <x v="1"/>
    <m/>
    <s v="207145851"/>
  </r>
  <r>
    <n v="2071"/>
    <n v="52"/>
    <s v="Masculino"/>
    <s v="Logistica"/>
    <s v="Operador"/>
    <s v="1º Turno"/>
    <x v="0"/>
    <s v="Não"/>
    <x v="1"/>
    <d v="2025-09-01T00:00:00"/>
    <d v="2025-09-01T00:00:00"/>
    <s v="seg"/>
    <x v="7"/>
    <x v="1"/>
    <m/>
    <s v="207145901"/>
  </r>
  <r>
    <n v="2071"/>
    <n v="52"/>
    <s v="Masculino"/>
    <s v="Logistica"/>
    <s v="Operador"/>
    <s v="1º Turno"/>
    <x v="0"/>
    <s v="Não"/>
    <x v="1"/>
    <d v="2025-10-19T00:00:00"/>
    <d v="2025-10-01T00:00:00"/>
    <s v="dom"/>
    <x v="11"/>
    <x v="1"/>
    <m/>
    <s v="207145949"/>
  </r>
  <r>
    <n v="2071"/>
    <n v="52"/>
    <s v="Masculino"/>
    <s v="Logistica"/>
    <s v="Operador"/>
    <s v="1º Turno"/>
    <x v="0"/>
    <s v="Não"/>
    <x v="1"/>
    <d v="2026-03-08T00:00:00"/>
    <d v="2026-03-01T00:00:00"/>
    <s v="dom"/>
    <x v="4"/>
    <x v="0"/>
    <m/>
    <s v="207146089"/>
  </r>
  <r>
    <n v="2072"/>
    <n v="34"/>
    <s v="Feminino"/>
    <s v="Montagem"/>
    <s v="Operador"/>
    <s v="2º Turno"/>
    <x v="0"/>
    <s v="Não"/>
    <x v="1"/>
    <d v="2025-08-13T00:00:00"/>
    <d v="2025-08-01T00:00:00"/>
    <s v="qua"/>
    <x v="9"/>
    <x v="1"/>
    <m/>
    <s v="207245882"/>
  </r>
  <r>
    <n v="2072"/>
    <n v="34"/>
    <s v="Feminino"/>
    <s v="Montagem"/>
    <s v="Operador"/>
    <s v="2º Turno"/>
    <x v="0"/>
    <s v="Não"/>
    <x v="1"/>
    <d v="2025-10-12T00:00:00"/>
    <d v="2025-10-01T00:00:00"/>
    <s v="dom"/>
    <x v="11"/>
    <x v="1"/>
    <m/>
    <s v="207245942"/>
  </r>
  <r>
    <n v="2072"/>
    <n v="34"/>
    <s v="Feminino"/>
    <s v="Montagem"/>
    <s v="Operador"/>
    <s v="2º Turno"/>
    <x v="0"/>
    <s v="Não"/>
    <x v="1"/>
    <d v="2026-06-03T00:00:00"/>
    <d v="2026-01-01T00:00:00"/>
    <s v="qua"/>
    <x v="1"/>
    <x v="0"/>
    <m/>
    <s v="207246176"/>
  </r>
  <r>
    <n v="2072"/>
    <n v="34"/>
    <s v="Feminino"/>
    <s v="Montagem"/>
    <s v="Operador"/>
    <s v="2º Turno"/>
    <x v="0"/>
    <s v="Não"/>
    <x v="1"/>
    <d v="2026-03-13T00:00:00"/>
    <d v="2026-03-01T00:00:00"/>
    <s v="sex"/>
    <x v="4"/>
    <x v="0"/>
    <m/>
    <s v="207246094"/>
  </r>
  <r>
    <n v="2072"/>
    <n v="34"/>
    <s v="Feminino"/>
    <s v="Montagem"/>
    <s v="Operador"/>
    <s v="2º Turno"/>
    <x v="0"/>
    <s v="Não"/>
    <x v="1"/>
    <d v="2026-03-25T00:00:00"/>
    <d v="2026-03-01T00:00:00"/>
    <s v="qua"/>
    <x v="4"/>
    <x v="0"/>
    <m/>
    <s v="207246106"/>
  </r>
  <r>
    <n v="2073"/>
    <n v="50"/>
    <s v="Masculino"/>
    <s v="Montagem"/>
    <s v="Operador"/>
    <s v="3º Turno"/>
    <x v="0"/>
    <s v="Não"/>
    <x v="2"/>
    <d v="2025-06-29T00:00:00"/>
    <d v="2025-06-01T00:00:00"/>
    <s v="dom"/>
    <x v="1"/>
    <x v="1"/>
    <m/>
    <s v="207345837"/>
  </r>
  <r>
    <n v="2073"/>
    <n v="50"/>
    <s v="Masculino"/>
    <s v="Montagem"/>
    <s v="Operador"/>
    <s v="3º Turno"/>
    <x v="0"/>
    <s v="Não"/>
    <x v="2"/>
    <d v="2025-10-12T00:00:00"/>
    <d v="2025-10-01T00:00:00"/>
    <s v="dom"/>
    <x v="11"/>
    <x v="1"/>
    <m/>
    <s v="207345942"/>
  </r>
  <r>
    <n v="2073"/>
    <n v="50"/>
    <s v="Masculino"/>
    <s v="Montagem"/>
    <s v="Operador"/>
    <s v="3º Turno"/>
    <x v="0"/>
    <s v="Não"/>
    <x v="2"/>
    <d v="2025-12-27T00:00:00"/>
    <d v="2025-12-01T00:00:00"/>
    <s v="sáb"/>
    <x v="8"/>
    <x v="1"/>
    <m/>
    <s v="207346018"/>
  </r>
  <r>
    <n v="2073"/>
    <n v="50"/>
    <s v="Masculino"/>
    <s v="Montagem"/>
    <s v="Operador"/>
    <s v="3º Turno"/>
    <x v="0"/>
    <s v="Não"/>
    <x v="2"/>
    <d v="2026-02-14T00:00:00"/>
    <d v="2026-02-01T00:00:00"/>
    <s v="sáb"/>
    <x v="3"/>
    <x v="0"/>
    <m/>
    <s v="207346067"/>
  </r>
  <r>
    <n v="2074"/>
    <n v="46"/>
    <s v="Masculino"/>
    <s v="Qualidade"/>
    <s v="Inspetor"/>
    <s v="3º Turno"/>
    <x v="0"/>
    <s v="Não"/>
    <x v="0"/>
    <d v="2025-07-03T00:00:00"/>
    <d v="2025-07-01T00:00:00"/>
    <s v="qui"/>
    <x v="6"/>
    <x v="1"/>
    <m/>
    <s v="207445841"/>
  </r>
  <r>
    <n v="2074"/>
    <n v="46"/>
    <s v="Masculino"/>
    <s v="Qualidade"/>
    <s v="Inspetor"/>
    <s v="3º Turno"/>
    <x v="0"/>
    <s v="Não"/>
    <x v="0"/>
    <d v="2025-09-03T00:00:00"/>
    <d v="2025-09-01T00:00:00"/>
    <s v="qua"/>
    <x v="7"/>
    <x v="1"/>
    <m/>
    <s v="207445903"/>
  </r>
  <r>
    <n v="2074"/>
    <n v="46"/>
    <s v="Masculino"/>
    <s v="Qualidade"/>
    <s v="Inspetor"/>
    <s v="3º Turno"/>
    <x v="0"/>
    <s v="Não"/>
    <x v="0"/>
    <d v="2026-06-30T00:00:00"/>
    <d v="2026-01-01T00:00:00"/>
    <s v="ter"/>
    <x v="1"/>
    <x v="0"/>
    <m/>
    <s v="207446203"/>
  </r>
  <r>
    <n v="2074"/>
    <n v="46"/>
    <s v="Masculino"/>
    <s v="Qualidade"/>
    <s v="Inspetor"/>
    <s v="3º Turno"/>
    <x v="0"/>
    <s v="Não"/>
    <x v="0"/>
    <d v="2026-03-07T00:00:00"/>
    <d v="2026-03-01T00:00:00"/>
    <s v="sáb"/>
    <x v="4"/>
    <x v="0"/>
    <m/>
    <s v="207446088"/>
  </r>
  <r>
    <n v="2075"/>
    <n v="28"/>
    <s v="Masculino"/>
    <s v="Pintura"/>
    <s v="Operador"/>
    <s v="3º Turno"/>
    <x v="0"/>
    <s v="Não"/>
    <x v="1"/>
    <d v="2025-07-01T00:00:00"/>
    <d v="2025-07-01T00:00:00"/>
    <s v="ter"/>
    <x v="6"/>
    <x v="1"/>
    <m/>
    <s v="207545839"/>
  </r>
  <r>
    <n v="2075"/>
    <n v="28"/>
    <s v="Masculino"/>
    <s v="Pintura"/>
    <s v="Operador"/>
    <s v="3º Turno"/>
    <x v="0"/>
    <s v="Não"/>
    <x v="1"/>
    <d v="2025-07-12T00:00:00"/>
    <d v="2025-07-01T00:00:00"/>
    <s v="sáb"/>
    <x v="6"/>
    <x v="1"/>
    <m/>
    <s v="207545850"/>
  </r>
  <r>
    <n v="2075"/>
    <n v="28"/>
    <s v="Masculino"/>
    <s v="Pintura"/>
    <s v="Operador"/>
    <s v="3º Turno"/>
    <x v="0"/>
    <s v="Não"/>
    <x v="1"/>
    <d v="2025-10-02T00:00:00"/>
    <d v="2025-10-01T00:00:00"/>
    <s v="qui"/>
    <x v="11"/>
    <x v="1"/>
    <m/>
    <s v="207545932"/>
  </r>
  <r>
    <n v="2075"/>
    <n v="28"/>
    <s v="Masculino"/>
    <s v="Pintura"/>
    <s v="Operador"/>
    <s v="3º Turno"/>
    <x v="0"/>
    <s v="Não"/>
    <x v="1"/>
    <d v="2025-11-16T00:00:00"/>
    <d v="2025-11-01T00:00:00"/>
    <s v="dom"/>
    <x v="10"/>
    <x v="1"/>
    <m/>
    <s v="207545977"/>
  </r>
  <r>
    <n v="2075"/>
    <n v="28"/>
    <s v="Masculino"/>
    <s v="Pintura"/>
    <s v="Operador"/>
    <s v="3º Turno"/>
    <x v="0"/>
    <s v="Não"/>
    <x v="1"/>
    <d v="2025-11-23T00:00:00"/>
    <d v="2025-11-01T00:00:00"/>
    <s v="dom"/>
    <x v="10"/>
    <x v="1"/>
    <m/>
    <s v="207545984"/>
  </r>
  <r>
    <n v="2075"/>
    <n v="28"/>
    <s v="Masculino"/>
    <s v="Pintura"/>
    <s v="Operador"/>
    <s v="3º Turno"/>
    <x v="0"/>
    <s v="Não"/>
    <x v="1"/>
    <d v="2026-03-08T00:00:00"/>
    <d v="2026-03-01T00:00:00"/>
    <s v="dom"/>
    <x v="4"/>
    <x v="0"/>
    <m/>
    <s v="207546089"/>
  </r>
  <r>
    <n v="2076"/>
    <n v="26"/>
    <s v="Masculino"/>
    <s v="Montagem"/>
    <s v="Operador"/>
    <s v="3º Turno"/>
    <x v="0"/>
    <s v="Não"/>
    <x v="0"/>
    <d v="2025-06-09T00:00:00"/>
    <d v="2025-06-01T00:00:00"/>
    <s v="seg"/>
    <x v="1"/>
    <x v="1"/>
    <m/>
    <s v="207645817"/>
  </r>
  <r>
    <n v="2076"/>
    <n v="26"/>
    <s v="Masculino"/>
    <s v="Montagem"/>
    <s v="Operador"/>
    <s v="3º Turno"/>
    <x v="0"/>
    <s v="Não"/>
    <x v="0"/>
    <d v="2025-06-15T00:00:00"/>
    <d v="2025-06-01T00:00:00"/>
    <s v="dom"/>
    <x v="1"/>
    <x v="1"/>
    <m/>
    <s v="207645823"/>
  </r>
  <r>
    <n v="2076"/>
    <n v="26"/>
    <s v="Masculino"/>
    <s v="Montagem"/>
    <s v="Operador"/>
    <s v="3º Turno"/>
    <x v="0"/>
    <s v="Não"/>
    <x v="0"/>
    <d v="2025-11-14T00:00:00"/>
    <d v="2025-11-01T00:00:00"/>
    <s v="sex"/>
    <x v="10"/>
    <x v="1"/>
    <m/>
    <s v="207645975"/>
  </r>
  <r>
    <n v="2076"/>
    <n v="26"/>
    <s v="Masculino"/>
    <s v="Montagem"/>
    <s v="Operador"/>
    <s v="3º Turno"/>
    <x v="0"/>
    <s v="Não"/>
    <x v="0"/>
    <d v="2026-02-10T00:00:00"/>
    <d v="2026-02-01T00:00:00"/>
    <s v="ter"/>
    <x v="3"/>
    <x v="0"/>
    <m/>
    <s v="207646063"/>
  </r>
  <r>
    <n v="2076"/>
    <n v="26"/>
    <s v="Masculino"/>
    <s v="Montagem"/>
    <s v="Operador"/>
    <s v="3º Turno"/>
    <x v="0"/>
    <s v="Não"/>
    <x v="0"/>
    <d v="2026-02-25T00:00:00"/>
    <d v="2026-02-01T00:00:00"/>
    <s v="qua"/>
    <x v="3"/>
    <x v="0"/>
    <m/>
    <s v="207646078"/>
  </r>
  <r>
    <n v="2076"/>
    <n v="26"/>
    <s v="Masculino"/>
    <s v="Montagem"/>
    <s v="Operador"/>
    <s v="3º Turno"/>
    <x v="0"/>
    <s v="Não"/>
    <x v="0"/>
    <d v="2026-03-07T00:00:00"/>
    <d v="2026-03-01T00:00:00"/>
    <s v="sáb"/>
    <x v="4"/>
    <x v="0"/>
    <m/>
    <s v="207646088"/>
  </r>
  <r>
    <n v="2077"/>
    <n v="56"/>
    <s v="Feminino"/>
    <s v="Soldagem"/>
    <s v="Operador"/>
    <s v="3º Turno"/>
    <x v="0"/>
    <s v="Não"/>
    <x v="2"/>
    <d v="2025-07-18T00:00:00"/>
    <d v="2025-07-01T00:00:00"/>
    <s v="sex"/>
    <x v="6"/>
    <x v="1"/>
    <m/>
    <s v="207745856"/>
  </r>
  <r>
    <n v="2077"/>
    <n v="56"/>
    <s v="Feminino"/>
    <s v="Soldagem"/>
    <s v="Operador"/>
    <s v="3º Turno"/>
    <x v="0"/>
    <s v="Não"/>
    <x v="2"/>
    <d v="2025-07-24T00:00:00"/>
    <d v="2025-07-01T00:00:00"/>
    <s v="qui"/>
    <x v="6"/>
    <x v="1"/>
    <m/>
    <s v="207745862"/>
  </r>
  <r>
    <n v="2077"/>
    <n v="56"/>
    <s v="Feminino"/>
    <s v="Soldagem"/>
    <s v="Operador"/>
    <s v="3º Turno"/>
    <x v="0"/>
    <s v="Não"/>
    <x v="2"/>
    <d v="2025-09-13T00:00:00"/>
    <d v="2025-09-01T00:00:00"/>
    <s v="sáb"/>
    <x v="7"/>
    <x v="1"/>
    <m/>
    <s v="207745913"/>
  </r>
  <r>
    <n v="2077"/>
    <n v="56"/>
    <s v="Feminino"/>
    <s v="Soldagem"/>
    <s v="Operador"/>
    <s v="3º Turno"/>
    <x v="0"/>
    <s v="Não"/>
    <x v="2"/>
    <d v="2025-12-19T00:00:00"/>
    <d v="2025-12-01T00:00:00"/>
    <s v="sex"/>
    <x v="8"/>
    <x v="1"/>
    <m/>
    <s v="207746010"/>
  </r>
  <r>
    <n v="2078"/>
    <n v="27"/>
    <s v="Feminino"/>
    <s v="Montagem"/>
    <s v="Operador"/>
    <s v="3º Turno"/>
    <x v="0"/>
    <s v="Não"/>
    <x v="0"/>
    <d v="2025-07-10T00:00:00"/>
    <d v="2025-07-01T00:00:00"/>
    <s v="qui"/>
    <x v="6"/>
    <x v="1"/>
    <m/>
    <s v="207845848"/>
  </r>
  <r>
    <n v="2078"/>
    <n v="27"/>
    <s v="Feminino"/>
    <s v="Montagem"/>
    <s v="Operador"/>
    <s v="3º Turno"/>
    <x v="0"/>
    <s v="Não"/>
    <x v="0"/>
    <d v="2025-09-15T00:00:00"/>
    <d v="2025-09-01T00:00:00"/>
    <s v="seg"/>
    <x v="7"/>
    <x v="1"/>
    <m/>
    <s v="207845915"/>
  </r>
  <r>
    <n v="2078"/>
    <n v="27"/>
    <s v="Feminino"/>
    <s v="Montagem"/>
    <s v="Operador"/>
    <s v="3º Turno"/>
    <x v="0"/>
    <s v="Não"/>
    <x v="0"/>
    <d v="2025-10-11T00:00:00"/>
    <d v="2025-10-01T00:00:00"/>
    <s v="sáb"/>
    <x v="11"/>
    <x v="1"/>
    <m/>
    <s v="207845941"/>
  </r>
  <r>
    <n v="2078"/>
    <n v="27"/>
    <s v="Feminino"/>
    <s v="Montagem"/>
    <s v="Operador"/>
    <s v="3º Turno"/>
    <x v="0"/>
    <s v="Não"/>
    <x v="0"/>
    <d v="2026-02-12T00:00:00"/>
    <d v="2026-02-01T00:00:00"/>
    <s v="qui"/>
    <x v="3"/>
    <x v="0"/>
    <m/>
    <s v="207846065"/>
  </r>
  <r>
    <n v="2078"/>
    <n v="27"/>
    <s v="Feminino"/>
    <s v="Montagem"/>
    <s v="Operador"/>
    <s v="3º Turno"/>
    <x v="0"/>
    <s v="Não"/>
    <x v="0"/>
    <d v="2026-03-20T00:00:00"/>
    <d v="2026-03-01T00:00:00"/>
    <s v="sex"/>
    <x v="4"/>
    <x v="0"/>
    <m/>
    <s v="207846101"/>
  </r>
  <r>
    <n v="2079"/>
    <n v="47"/>
    <s v="Feminino"/>
    <s v="Soldagem"/>
    <s v="Operador"/>
    <s v="2º Turno"/>
    <x v="0"/>
    <s v="Não"/>
    <x v="2"/>
    <d v="2025-06-10T00:00:00"/>
    <d v="2025-06-01T00:00:00"/>
    <s v="ter"/>
    <x v="1"/>
    <x v="1"/>
    <m/>
    <s v="207945818"/>
  </r>
  <r>
    <n v="2079"/>
    <n v="47"/>
    <s v="Feminino"/>
    <s v="Soldagem"/>
    <s v="Operador"/>
    <s v="2º Turno"/>
    <x v="0"/>
    <s v="Não"/>
    <x v="2"/>
    <d v="2025-07-04T00:00:00"/>
    <d v="2025-07-01T00:00:00"/>
    <s v="sex"/>
    <x v="6"/>
    <x v="1"/>
    <m/>
    <s v="207945842"/>
  </r>
  <r>
    <n v="2079"/>
    <n v="47"/>
    <s v="Feminino"/>
    <s v="Soldagem"/>
    <s v="Operador"/>
    <s v="2º Turno"/>
    <x v="0"/>
    <s v="Não"/>
    <x v="2"/>
    <d v="2025-12-09T00:00:00"/>
    <d v="2025-12-01T00:00:00"/>
    <s v="ter"/>
    <x v="8"/>
    <x v="1"/>
    <m/>
    <s v="207946000"/>
  </r>
  <r>
    <n v="2079"/>
    <n v="47"/>
    <s v="Feminino"/>
    <s v="Soldagem"/>
    <s v="Operador"/>
    <s v="2º Turno"/>
    <x v="0"/>
    <s v="Não"/>
    <x v="2"/>
    <d v="2026-03-20T00:00:00"/>
    <d v="2026-03-01T00:00:00"/>
    <s v="sex"/>
    <x v="4"/>
    <x v="0"/>
    <m/>
    <s v="207946101"/>
  </r>
  <r>
    <n v="2080"/>
    <n v="18"/>
    <s v="Feminino"/>
    <s v="Soldagem"/>
    <s v="Operador"/>
    <s v="1º Turno"/>
    <x v="0"/>
    <s v="Não"/>
    <x v="0"/>
    <d v="2025-06-18T00:00:00"/>
    <d v="2025-06-01T00:00:00"/>
    <s v="qua"/>
    <x v="1"/>
    <x v="1"/>
    <m/>
    <s v="208045826"/>
  </r>
  <r>
    <n v="2080"/>
    <n v="18"/>
    <s v="Feminino"/>
    <s v="Soldagem"/>
    <s v="Operador"/>
    <s v="1º Turno"/>
    <x v="0"/>
    <s v="Não"/>
    <x v="0"/>
    <d v="2025-09-05T00:00:00"/>
    <d v="2025-09-01T00:00:00"/>
    <s v="sex"/>
    <x v="7"/>
    <x v="1"/>
    <m/>
    <s v="208045905"/>
  </r>
  <r>
    <n v="2080"/>
    <n v="18"/>
    <s v="Feminino"/>
    <s v="Soldagem"/>
    <s v="Operador"/>
    <s v="1º Turno"/>
    <x v="0"/>
    <s v="Não"/>
    <x v="0"/>
    <d v="2025-11-02T00:00:00"/>
    <d v="2025-11-01T00:00:00"/>
    <s v="dom"/>
    <x v="10"/>
    <x v="1"/>
    <m/>
    <s v="208045963"/>
  </r>
  <r>
    <n v="2080"/>
    <n v="18"/>
    <s v="Feminino"/>
    <s v="Soldagem"/>
    <s v="Operador"/>
    <s v="1º Turno"/>
    <x v="0"/>
    <s v="Não"/>
    <x v="0"/>
    <d v="2026-06-24T00:00:00"/>
    <d v="2026-01-01T00:00:00"/>
    <s v="qua"/>
    <x v="1"/>
    <x v="0"/>
    <m/>
    <s v="208046197"/>
  </r>
  <r>
    <n v="2080"/>
    <n v="18"/>
    <s v="Feminino"/>
    <s v="Soldagem"/>
    <s v="Operador"/>
    <s v="1º Turno"/>
    <x v="0"/>
    <s v="Não"/>
    <x v="0"/>
    <d v="2026-03-02T00:00:00"/>
    <d v="2026-03-01T00:00:00"/>
    <s v="seg"/>
    <x v="4"/>
    <x v="0"/>
    <m/>
    <s v="208046083"/>
  </r>
  <r>
    <n v="2080"/>
    <n v="18"/>
    <s v="Feminino"/>
    <s v="Soldagem"/>
    <s v="Operador"/>
    <s v="1º Turno"/>
    <x v="0"/>
    <s v="Não"/>
    <x v="0"/>
    <d v="2026-03-22T00:00:00"/>
    <d v="2026-03-01T00:00:00"/>
    <s v="dom"/>
    <x v="4"/>
    <x v="0"/>
    <m/>
    <s v="208046103"/>
  </r>
  <r>
    <n v="2082"/>
    <n v="52"/>
    <s v="Feminino"/>
    <s v="Pintura"/>
    <s v="Operador"/>
    <s v="2º Turno"/>
    <x v="0"/>
    <s v="Não"/>
    <x v="1"/>
    <d v="2025-06-08T00:00:00"/>
    <d v="2025-06-01T00:00:00"/>
    <s v="dom"/>
    <x v="1"/>
    <x v="1"/>
    <m/>
    <s v="208245816"/>
  </r>
  <r>
    <n v="2082"/>
    <n v="52"/>
    <s v="Feminino"/>
    <s v="Pintura"/>
    <s v="Operador"/>
    <s v="2º Turno"/>
    <x v="0"/>
    <s v="Não"/>
    <x v="1"/>
    <d v="2025-06-11T00:00:00"/>
    <d v="2025-06-01T00:00:00"/>
    <s v="qua"/>
    <x v="1"/>
    <x v="1"/>
    <m/>
    <s v="208245819"/>
  </r>
  <r>
    <n v="2082"/>
    <n v="52"/>
    <s v="Feminino"/>
    <s v="Pintura"/>
    <s v="Operador"/>
    <s v="2º Turno"/>
    <x v="0"/>
    <s v="Não"/>
    <x v="1"/>
    <d v="2025-06-24T00:00:00"/>
    <d v="2025-06-01T00:00:00"/>
    <s v="ter"/>
    <x v="1"/>
    <x v="1"/>
    <m/>
    <s v="208245832"/>
  </r>
  <r>
    <n v="2082"/>
    <n v="52"/>
    <s v="Feminino"/>
    <s v="Pintura"/>
    <s v="Operador"/>
    <s v="2º Turno"/>
    <x v="0"/>
    <s v="Não"/>
    <x v="1"/>
    <d v="2025-09-19T00:00:00"/>
    <d v="2025-09-01T00:00:00"/>
    <s v="sex"/>
    <x v="7"/>
    <x v="1"/>
    <m/>
    <s v="208245919"/>
  </r>
  <r>
    <n v="2082"/>
    <n v="52"/>
    <s v="Feminino"/>
    <s v="Pintura"/>
    <s v="Operador"/>
    <s v="2º Turno"/>
    <x v="0"/>
    <s v="Não"/>
    <x v="1"/>
    <d v="2025-10-11T00:00:00"/>
    <d v="2025-10-01T00:00:00"/>
    <s v="sáb"/>
    <x v="11"/>
    <x v="1"/>
    <m/>
    <s v="208245941"/>
  </r>
  <r>
    <n v="2082"/>
    <n v="52"/>
    <s v="Feminino"/>
    <s v="Pintura"/>
    <s v="Operador"/>
    <s v="2º Turno"/>
    <x v="0"/>
    <s v="Não"/>
    <x v="1"/>
    <d v="2026-02-23T00:00:00"/>
    <d v="2026-02-01T00:00:00"/>
    <s v="seg"/>
    <x v="3"/>
    <x v="0"/>
    <m/>
    <s v="208246076"/>
  </r>
  <r>
    <n v="2084"/>
    <n v="19"/>
    <s v="Feminino"/>
    <s v="Montagem"/>
    <s v="Operador"/>
    <s v="1º Turno"/>
    <x v="0"/>
    <s v="Não"/>
    <x v="1"/>
    <d v="2025-04-30T00:00:00"/>
    <d v="2025-04-01T00:00:00"/>
    <s v="qua"/>
    <x v="2"/>
    <x v="1"/>
    <m/>
    <s v="208445777"/>
  </r>
  <r>
    <n v="2084"/>
    <n v="19"/>
    <s v="Feminino"/>
    <s v="Montagem"/>
    <s v="Operador"/>
    <s v="1º Turno"/>
    <x v="0"/>
    <s v="Não"/>
    <x v="1"/>
    <d v="2025-07-07T00:00:00"/>
    <d v="2025-07-01T00:00:00"/>
    <s v="seg"/>
    <x v="6"/>
    <x v="1"/>
    <m/>
    <s v="208445845"/>
  </r>
  <r>
    <n v="2084"/>
    <n v="19"/>
    <s v="Feminino"/>
    <s v="Montagem"/>
    <s v="Operador"/>
    <s v="1º Turno"/>
    <x v="0"/>
    <s v="Não"/>
    <x v="1"/>
    <d v="2025-08-05T00:00:00"/>
    <d v="2025-08-01T00:00:00"/>
    <s v="ter"/>
    <x v="9"/>
    <x v="1"/>
    <m/>
    <s v="208445874"/>
  </r>
  <r>
    <n v="2084"/>
    <n v="19"/>
    <s v="Feminino"/>
    <s v="Montagem"/>
    <s v="Operador"/>
    <s v="1º Turno"/>
    <x v="0"/>
    <s v="Não"/>
    <x v="1"/>
    <d v="2025-08-29T00:00:00"/>
    <d v="2025-08-01T00:00:00"/>
    <s v="sex"/>
    <x v="9"/>
    <x v="1"/>
    <m/>
    <s v="208445898"/>
  </r>
  <r>
    <n v="2084"/>
    <n v="19"/>
    <s v="Feminino"/>
    <s v="Montagem"/>
    <s v="Operador"/>
    <s v="1º Turno"/>
    <x v="0"/>
    <s v="Não"/>
    <x v="1"/>
    <d v="2026-01-28T00:00:00"/>
    <d v="2026-01-01T00:00:00"/>
    <s v="qua"/>
    <x v="5"/>
    <x v="0"/>
    <m/>
    <s v="208446050"/>
  </r>
  <r>
    <n v="2084"/>
    <n v="19"/>
    <s v="Feminino"/>
    <s v="Montagem"/>
    <s v="Operador"/>
    <s v="1º Turno"/>
    <x v="0"/>
    <s v="Não"/>
    <x v="1"/>
    <d v="2026-04-30T00:00:00"/>
    <d v="2026-04-01T00:00:00"/>
    <s v="qua"/>
    <x v="2"/>
    <x v="1"/>
    <m/>
    <s v="208446142"/>
  </r>
  <r>
    <n v="2086"/>
    <n v="27"/>
    <s v="Feminino"/>
    <s v="Soldagem"/>
    <s v="Operador"/>
    <s v="2º Turno"/>
    <x v="0"/>
    <s v="Não"/>
    <x v="2"/>
    <d v="2025-07-03T00:00:00"/>
    <d v="2025-07-01T00:00:00"/>
    <s v="qui"/>
    <x v="6"/>
    <x v="1"/>
    <m/>
    <s v="208645841"/>
  </r>
  <r>
    <n v="2086"/>
    <n v="27"/>
    <s v="Feminino"/>
    <s v="Soldagem"/>
    <s v="Operador"/>
    <s v="2º Turno"/>
    <x v="0"/>
    <s v="Não"/>
    <x v="2"/>
    <d v="2025-09-17T00:00:00"/>
    <d v="2025-09-01T00:00:00"/>
    <s v="qua"/>
    <x v="7"/>
    <x v="1"/>
    <m/>
    <s v="208645917"/>
  </r>
  <r>
    <n v="2086"/>
    <n v="27"/>
    <s v="Feminino"/>
    <s v="Soldagem"/>
    <s v="Operador"/>
    <s v="2º Turno"/>
    <x v="0"/>
    <s v="Não"/>
    <x v="2"/>
    <d v="2025-09-29T00:00:00"/>
    <d v="2025-09-01T00:00:00"/>
    <s v="seg"/>
    <x v="7"/>
    <x v="1"/>
    <m/>
    <s v="208645929"/>
  </r>
  <r>
    <n v="2086"/>
    <n v="27"/>
    <s v="Feminino"/>
    <s v="Soldagem"/>
    <s v="Operador"/>
    <s v="2º Turno"/>
    <x v="0"/>
    <s v="Não"/>
    <x v="2"/>
    <d v="2025-11-02T00:00:00"/>
    <d v="2025-11-01T00:00:00"/>
    <s v="dom"/>
    <x v="10"/>
    <x v="1"/>
    <m/>
    <s v="208645963"/>
  </r>
  <r>
    <n v="2086"/>
    <n v="27"/>
    <s v="Feminino"/>
    <s v="Soldagem"/>
    <s v="Operador"/>
    <s v="2º Turno"/>
    <x v="0"/>
    <s v="Não"/>
    <x v="2"/>
    <d v="2025-11-13T00:00:00"/>
    <d v="2025-11-01T00:00:00"/>
    <s v="qui"/>
    <x v="10"/>
    <x v="1"/>
    <m/>
    <s v="208645974"/>
  </r>
  <r>
    <n v="2086"/>
    <n v="27"/>
    <s v="Feminino"/>
    <s v="Soldagem"/>
    <s v="Operador"/>
    <s v="2º Turno"/>
    <x v="0"/>
    <s v="Não"/>
    <x v="2"/>
    <d v="2025-12-03T00:00:00"/>
    <d v="2025-12-01T00:00:00"/>
    <s v="qua"/>
    <x v="8"/>
    <x v="1"/>
    <m/>
    <s v="208645994"/>
  </r>
  <r>
    <n v="2087"/>
    <n v="21"/>
    <s v="Masculino"/>
    <s v="Qualidade"/>
    <s v="Inspetor"/>
    <s v="3º Turno"/>
    <x v="0"/>
    <s v="Não"/>
    <x v="2"/>
    <d v="2025-08-24T00:00:00"/>
    <d v="2025-08-01T00:00:00"/>
    <s v="dom"/>
    <x v="9"/>
    <x v="1"/>
    <m/>
    <s v="208745893"/>
  </r>
  <r>
    <n v="2087"/>
    <n v="21"/>
    <s v="Masculino"/>
    <s v="Qualidade"/>
    <s v="Inspetor"/>
    <s v="3º Turno"/>
    <x v="0"/>
    <s v="Não"/>
    <x v="2"/>
    <d v="2025-09-24T00:00:00"/>
    <d v="2025-09-01T00:00:00"/>
    <s v="qua"/>
    <x v="7"/>
    <x v="1"/>
    <m/>
    <s v="208745924"/>
  </r>
  <r>
    <n v="2087"/>
    <n v="21"/>
    <s v="Masculino"/>
    <s v="Qualidade"/>
    <s v="Inspetor"/>
    <s v="3º Turno"/>
    <x v="0"/>
    <s v="Não"/>
    <x v="2"/>
    <d v="2025-10-22T00:00:00"/>
    <d v="2025-10-01T00:00:00"/>
    <s v="qua"/>
    <x v="11"/>
    <x v="1"/>
    <m/>
    <s v="208745952"/>
  </r>
  <r>
    <n v="2087"/>
    <n v="21"/>
    <s v="Masculino"/>
    <s v="Qualidade"/>
    <s v="Inspetor"/>
    <s v="3º Turno"/>
    <x v="0"/>
    <s v="Não"/>
    <x v="2"/>
    <d v="2025-12-29T00:00:00"/>
    <d v="2025-12-01T00:00:00"/>
    <s v="seg"/>
    <x v="8"/>
    <x v="1"/>
    <m/>
    <s v="208746020"/>
  </r>
  <r>
    <n v="2087"/>
    <n v="21"/>
    <s v="Masculino"/>
    <s v="Qualidade"/>
    <s v="Inspetor"/>
    <s v="3º Turno"/>
    <x v="0"/>
    <s v="Não"/>
    <x v="2"/>
    <d v="2026-02-15T00:00:00"/>
    <d v="2026-02-01T00:00:00"/>
    <s v="dom"/>
    <x v="3"/>
    <x v="0"/>
    <m/>
    <s v="208746068"/>
  </r>
  <r>
    <n v="2087"/>
    <n v="21"/>
    <s v="Masculino"/>
    <s v="Qualidade"/>
    <s v="Inspetor"/>
    <s v="3º Turno"/>
    <x v="0"/>
    <s v="Não"/>
    <x v="2"/>
    <d v="2026-02-27T00:00:00"/>
    <d v="2026-02-01T00:00:00"/>
    <s v="sex"/>
    <x v="3"/>
    <x v="0"/>
    <m/>
    <s v="208746080"/>
  </r>
  <r>
    <n v="2088"/>
    <n v="32"/>
    <s v="Masculino"/>
    <s v="Logistica"/>
    <s v="Operador"/>
    <s v="1º Turno"/>
    <x v="0"/>
    <s v="Não"/>
    <x v="1"/>
    <d v="2025-06-02T00:00:00"/>
    <d v="2025-06-01T00:00:00"/>
    <s v="seg"/>
    <x v="1"/>
    <x v="1"/>
    <m/>
    <s v="208845810"/>
  </r>
  <r>
    <n v="2088"/>
    <n v="32"/>
    <s v="Masculino"/>
    <s v="Logistica"/>
    <s v="Operador"/>
    <s v="1º Turno"/>
    <x v="0"/>
    <s v="Não"/>
    <x v="1"/>
    <d v="2025-06-10T00:00:00"/>
    <d v="2025-06-01T00:00:00"/>
    <s v="ter"/>
    <x v="1"/>
    <x v="1"/>
    <m/>
    <s v="208845818"/>
  </r>
  <r>
    <n v="2088"/>
    <n v="32"/>
    <s v="Masculino"/>
    <s v="Logistica"/>
    <s v="Operador"/>
    <s v="1º Turno"/>
    <x v="0"/>
    <s v="Não"/>
    <x v="1"/>
    <d v="2025-06-27T00:00:00"/>
    <d v="2025-06-01T00:00:00"/>
    <s v="sex"/>
    <x v="1"/>
    <x v="1"/>
    <m/>
    <s v="208845835"/>
  </r>
  <r>
    <n v="2088"/>
    <n v="32"/>
    <s v="Masculino"/>
    <s v="Logistica"/>
    <s v="Operador"/>
    <s v="1º Turno"/>
    <x v="0"/>
    <s v="Não"/>
    <x v="1"/>
    <d v="2025-08-23T00:00:00"/>
    <d v="2025-08-01T00:00:00"/>
    <s v="sáb"/>
    <x v="9"/>
    <x v="1"/>
    <m/>
    <s v="208845892"/>
  </r>
  <r>
    <n v="2088"/>
    <n v="32"/>
    <s v="Masculino"/>
    <s v="Logistica"/>
    <s v="Operador"/>
    <s v="1º Turno"/>
    <x v="0"/>
    <s v="Não"/>
    <x v="1"/>
    <d v="2025-10-25T00:00:00"/>
    <d v="2025-10-01T00:00:00"/>
    <s v="sáb"/>
    <x v="11"/>
    <x v="1"/>
    <m/>
    <s v="208845955"/>
  </r>
  <r>
    <n v="2088"/>
    <n v="32"/>
    <s v="Masculino"/>
    <s v="Logistica"/>
    <s v="Operador"/>
    <s v="1º Turno"/>
    <x v="0"/>
    <s v="Não"/>
    <x v="1"/>
    <d v="2025-11-01T00:00:00"/>
    <d v="2025-11-01T00:00:00"/>
    <s v="sáb"/>
    <x v="10"/>
    <x v="1"/>
    <m/>
    <s v="208845962"/>
  </r>
  <r>
    <n v="2090"/>
    <n v="56"/>
    <s v="Feminino"/>
    <s v="Logistica"/>
    <s v="Operador"/>
    <s v="1º Turno"/>
    <x v="0"/>
    <s v="Não"/>
    <x v="1"/>
    <d v="2025-11-30T00:00:00"/>
    <d v="2025-11-01T00:00:00"/>
    <s v="dom"/>
    <x v="10"/>
    <x v="1"/>
    <m/>
    <s v="209045991"/>
  </r>
  <r>
    <n v="2090"/>
    <n v="56"/>
    <s v="Feminino"/>
    <s v="Logistica"/>
    <s v="Operador"/>
    <s v="1º Turno"/>
    <x v="0"/>
    <s v="Não"/>
    <x v="1"/>
    <d v="2025-12-02T00:00:00"/>
    <d v="2025-12-01T00:00:00"/>
    <s v="ter"/>
    <x v="8"/>
    <x v="1"/>
    <m/>
    <s v="209045993"/>
  </r>
  <r>
    <n v="2090"/>
    <n v="56"/>
    <s v="Feminino"/>
    <s v="Logistica"/>
    <s v="Operador"/>
    <s v="1º Turno"/>
    <x v="0"/>
    <s v="Não"/>
    <x v="1"/>
    <d v="2026-06-09T00:00:00"/>
    <d v="2026-01-01T00:00:00"/>
    <s v="ter"/>
    <x v="1"/>
    <x v="0"/>
    <m/>
    <s v="209046182"/>
  </r>
  <r>
    <n v="2090"/>
    <n v="56"/>
    <s v="Feminino"/>
    <s v="Logistica"/>
    <s v="Operador"/>
    <s v="1º Turno"/>
    <x v="0"/>
    <s v="Não"/>
    <x v="1"/>
    <d v="2026-02-09T00:00:00"/>
    <d v="2026-02-01T00:00:00"/>
    <s v="seg"/>
    <x v="3"/>
    <x v="0"/>
    <m/>
    <s v="209046062"/>
  </r>
  <r>
    <n v="2091"/>
    <n v="30"/>
    <s v="Feminino"/>
    <s v="Pintura"/>
    <s v="Operador"/>
    <s v="2º Turno"/>
    <x v="0"/>
    <s v="Não"/>
    <x v="1"/>
    <d v="2025-08-28T00:00:00"/>
    <d v="2025-08-01T00:00:00"/>
    <s v="qui"/>
    <x v="9"/>
    <x v="1"/>
    <m/>
    <s v="209145897"/>
  </r>
  <r>
    <n v="2091"/>
    <n v="30"/>
    <s v="Feminino"/>
    <s v="Pintura"/>
    <s v="Operador"/>
    <s v="2º Turno"/>
    <x v="0"/>
    <s v="Não"/>
    <x v="1"/>
    <d v="2025-12-14T00:00:00"/>
    <d v="2025-12-01T00:00:00"/>
    <s v="dom"/>
    <x v="8"/>
    <x v="1"/>
    <m/>
    <s v="209146005"/>
  </r>
  <r>
    <n v="2091"/>
    <n v="30"/>
    <s v="Feminino"/>
    <s v="Pintura"/>
    <s v="Operador"/>
    <s v="2º Turno"/>
    <x v="0"/>
    <s v="Não"/>
    <x v="1"/>
    <d v="2025-12-16T00:00:00"/>
    <d v="2025-12-01T00:00:00"/>
    <s v="ter"/>
    <x v="8"/>
    <x v="1"/>
    <m/>
    <s v="209146007"/>
  </r>
  <r>
    <n v="2091"/>
    <n v="30"/>
    <s v="Feminino"/>
    <s v="Pintura"/>
    <s v="Operador"/>
    <s v="2º Turno"/>
    <x v="0"/>
    <s v="Não"/>
    <x v="1"/>
    <d v="2026-02-07T00:00:00"/>
    <d v="2026-02-01T00:00:00"/>
    <s v="sáb"/>
    <x v="3"/>
    <x v="0"/>
    <m/>
    <s v="209146060"/>
  </r>
  <r>
    <n v="2093"/>
    <n v="38"/>
    <s v="Feminino"/>
    <s v="Soldagem"/>
    <s v="Operador"/>
    <s v="2º Turno"/>
    <x v="0"/>
    <s v="Não"/>
    <x v="0"/>
    <d v="2025-07-14T00:00:00"/>
    <d v="2025-07-01T00:00:00"/>
    <s v="seg"/>
    <x v="6"/>
    <x v="1"/>
    <m/>
    <s v="209345852"/>
  </r>
  <r>
    <n v="2093"/>
    <n v="38"/>
    <s v="Feminino"/>
    <s v="Soldagem"/>
    <s v="Operador"/>
    <s v="2º Turno"/>
    <x v="0"/>
    <s v="Não"/>
    <x v="0"/>
    <d v="2025-08-09T00:00:00"/>
    <d v="2025-08-01T00:00:00"/>
    <s v="sáb"/>
    <x v="9"/>
    <x v="1"/>
    <m/>
    <s v="209345878"/>
  </r>
  <r>
    <n v="2093"/>
    <n v="38"/>
    <s v="Feminino"/>
    <s v="Soldagem"/>
    <s v="Operador"/>
    <s v="2º Turno"/>
    <x v="0"/>
    <s v="Não"/>
    <x v="0"/>
    <d v="2025-10-17T00:00:00"/>
    <d v="2025-10-01T00:00:00"/>
    <s v="sex"/>
    <x v="11"/>
    <x v="1"/>
    <m/>
    <s v="209345947"/>
  </r>
  <r>
    <n v="2093"/>
    <n v="38"/>
    <s v="Feminino"/>
    <s v="Soldagem"/>
    <s v="Operador"/>
    <s v="2º Turno"/>
    <x v="0"/>
    <s v="Não"/>
    <x v="0"/>
    <d v="2025-11-12T00:00:00"/>
    <d v="2025-11-01T00:00:00"/>
    <s v="qua"/>
    <x v="10"/>
    <x v="1"/>
    <m/>
    <s v="209345973"/>
  </r>
  <r>
    <n v="2093"/>
    <n v="38"/>
    <s v="Feminino"/>
    <s v="Soldagem"/>
    <s v="Operador"/>
    <s v="2º Turno"/>
    <x v="0"/>
    <s v="Não"/>
    <x v="0"/>
    <d v="2025-12-21T00:00:00"/>
    <d v="2025-12-01T00:00:00"/>
    <s v="dom"/>
    <x v="8"/>
    <x v="1"/>
    <m/>
    <s v="209346012"/>
  </r>
  <r>
    <n v="2094"/>
    <n v="30"/>
    <s v="Masculino"/>
    <s v="Montagem"/>
    <s v="Operador"/>
    <s v="3º Turno"/>
    <x v="0"/>
    <s v="Não"/>
    <x v="0"/>
    <d v="2025-06-10T00:00:00"/>
    <d v="2025-06-01T00:00:00"/>
    <s v="ter"/>
    <x v="1"/>
    <x v="1"/>
    <m/>
    <s v="209445818"/>
  </r>
  <r>
    <n v="2094"/>
    <n v="30"/>
    <s v="Masculino"/>
    <s v="Montagem"/>
    <s v="Operador"/>
    <s v="3º Turno"/>
    <x v="0"/>
    <s v="Não"/>
    <x v="0"/>
    <d v="2025-08-03T00:00:00"/>
    <d v="2025-08-01T00:00:00"/>
    <s v="dom"/>
    <x v="9"/>
    <x v="1"/>
    <m/>
    <s v="209445872"/>
  </r>
  <r>
    <n v="2094"/>
    <n v="30"/>
    <s v="Masculino"/>
    <s v="Montagem"/>
    <s v="Operador"/>
    <s v="3º Turno"/>
    <x v="0"/>
    <s v="Não"/>
    <x v="0"/>
    <d v="2025-09-01T00:00:00"/>
    <d v="2025-09-01T00:00:00"/>
    <s v="seg"/>
    <x v="7"/>
    <x v="1"/>
    <m/>
    <s v="209445901"/>
  </r>
  <r>
    <n v="2094"/>
    <n v="30"/>
    <s v="Masculino"/>
    <s v="Montagem"/>
    <s v="Operador"/>
    <s v="3º Turno"/>
    <x v="0"/>
    <s v="Não"/>
    <x v="0"/>
    <d v="2025-09-09T00:00:00"/>
    <d v="2025-09-01T00:00:00"/>
    <s v="ter"/>
    <x v="7"/>
    <x v="1"/>
    <m/>
    <s v="209445909"/>
  </r>
  <r>
    <n v="2094"/>
    <n v="30"/>
    <s v="Masculino"/>
    <s v="Montagem"/>
    <s v="Operador"/>
    <s v="3º Turno"/>
    <x v="0"/>
    <s v="Não"/>
    <x v="0"/>
    <d v="2025-11-07T00:00:00"/>
    <d v="2025-11-01T00:00:00"/>
    <s v="sex"/>
    <x v="10"/>
    <x v="1"/>
    <m/>
    <s v="209445968"/>
  </r>
  <r>
    <n v="2094"/>
    <n v="30"/>
    <s v="Masculino"/>
    <s v="Montagem"/>
    <s v="Operador"/>
    <s v="3º Turno"/>
    <x v="0"/>
    <s v="Não"/>
    <x v="0"/>
    <d v="2026-03-21T00:00:00"/>
    <d v="2026-03-01T00:00:00"/>
    <s v="sáb"/>
    <x v="4"/>
    <x v="0"/>
    <m/>
    <s v="209446102"/>
  </r>
  <r>
    <n v="2095"/>
    <n v="49"/>
    <s v="Masculino"/>
    <s v="Montagem"/>
    <s v="Operador"/>
    <s v="2º Turno"/>
    <x v="0"/>
    <s v="Não"/>
    <x v="0"/>
    <d v="2025-07-07T00:00:00"/>
    <d v="2025-07-01T00:00:00"/>
    <s v="seg"/>
    <x v="6"/>
    <x v="1"/>
    <m/>
    <s v="209545845"/>
  </r>
  <r>
    <n v="2095"/>
    <n v="49"/>
    <s v="Masculino"/>
    <s v="Montagem"/>
    <s v="Operador"/>
    <s v="2º Turno"/>
    <x v="0"/>
    <s v="Não"/>
    <x v="0"/>
    <d v="2025-07-30T00:00:00"/>
    <d v="2025-07-01T00:00:00"/>
    <s v="qua"/>
    <x v="6"/>
    <x v="1"/>
    <m/>
    <s v="209545868"/>
  </r>
  <r>
    <n v="2095"/>
    <n v="49"/>
    <s v="Masculino"/>
    <s v="Montagem"/>
    <s v="Operador"/>
    <s v="2º Turno"/>
    <x v="0"/>
    <s v="Não"/>
    <x v="0"/>
    <d v="2025-10-06T00:00:00"/>
    <d v="2025-10-01T00:00:00"/>
    <s v="seg"/>
    <x v="11"/>
    <x v="1"/>
    <m/>
    <s v="209545936"/>
  </r>
  <r>
    <n v="2095"/>
    <n v="49"/>
    <s v="Masculino"/>
    <s v="Montagem"/>
    <s v="Operador"/>
    <s v="2º Turno"/>
    <x v="0"/>
    <s v="Não"/>
    <x v="0"/>
    <d v="2025-12-20T00:00:00"/>
    <d v="2025-12-01T00:00:00"/>
    <s v="sáb"/>
    <x v="8"/>
    <x v="1"/>
    <m/>
    <s v="209546011"/>
  </r>
  <r>
    <n v="2095"/>
    <n v="49"/>
    <s v="Masculino"/>
    <s v="Montagem"/>
    <s v="Operador"/>
    <s v="2º Turno"/>
    <x v="0"/>
    <s v="Não"/>
    <x v="0"/>
    <d v="2026-06-20T00:00:00"/>
    <d v="2026-01-01T00:00:00"/>
    <s v="sáb"/>
    <x v="1"/>
    <x v="0"/>
    <m/>
    <s v="209546193"/>
  </r>
  <r>
    <n v="2096"/>
    <n v="22"/>
    <s v="Feminino"/>
    <s v="Logistica"/>
    <s v="Operador"/>
    <s v="2º Turno"/>
    <x v="0"/>
    <s v="Não"/>
    <x v="1"/>
    <d v="2025-07-27T00:00:00"/>
    <d v="2025-07-01T00:00:00"/>
    <s v="dom"/>
    <x v="6"/>
    <x v="1"/>
    <m/>
    <s v="209645865"/>
  </r>
  <r>
    <n v="2096"/>
    <n v="22"/>
    <s v="Feminino"/>
    <s v="Logistica"/>
    <s v="Operador"/>
    <s v="2º Turno"/>
    <x v="0"/>
    <s v="Não"/>
    <x v="1"/>
    <d v="2025-08-06T00:00:00"/>
    <d v="2025-08-01T00:00:00"/>
    <s v="qua"/>
    <x v="9"/>
    <x v="1"/>
    <m/>
    <s v="209645875"/>
  </r>
  <r>
    <n v="2096"/>
    <n v="22"/>
    <s v="Feminino"/>
    <s v="Logistica"/>
    <s v="Operador"/>
    <s v="2º Turno"/>
    <x v="0"/>
    <s v="Não"/>
    <x v="1"/>
    <d v="2025-09-27T00:00:00"/>
    <d v="2025-09-01T00:00:00"/>
    <s v="sáb"/>
    <x v="7"/>
    <x v="1"/>
    <m/>
    <s v="209645927"/>
  </r>
  <r>
    <n v="2096"/>
    <n v="22"/>
    <s v="Feminino"/>
    <s v="Logistica"/>
    <s v="Operador"/>
    <s v="2º Turno"/>
    <x v="0"/>
    <s v="Não"/>
    <x v="1"/>
    <d v="2025-10-12T00:00:00"/>
    <d v="2025-10-01T00:00:00"/>
    <s v="dom"/>
    <x v="11"/>
    <x v="1"/>
    <m/>
    <s v="209645942"/>
  </r>
  <r>
    <n v="2096"/>
    <n v="22"/>
    <s v="Feminino"/>
    <s v="Logistica"/>
    <s v="Operador"/>
    <s v="2º Turno"/>
    <x v="0"/>
    <s v="Não"/>
    <x v="1"/>
    <d v="2025-12-02T00:00:00"/>
    <d v="2025-12-01T00:00:00"/>
    <s v="ter"/>
    <x v="8"/>
    <x v="1"/>
    <m/>
    <s v="209645993"/>
  </r>
  <r>
    <n v="2096"/>
    <n v="22"/>
    <s v="Feminino"/>
    <s v="Logistica"/>
    <s v="Operador"/>
    <s v="2º Turno"/>
    <x v="0"/>
    <s v="Não"/>
    <x v="1"/>
    <d v="2026-06-30T00:00:00"/>
    <d v="2026-01-01T00:00:00"/>
    <s v="ter"/>
    <x v="1"/>
    <x v="0"/>
    <m/>
    <s v="209646203"/>
  </r>
  <r>
    <n v="2097"/>
    <n v="57"/>
    <s v="Masculino"/>
    <s v="Pintura"/>
    <s v="Operador"/>
    <s v="1º Turno"/>
    <x v="0"/>
    <s v="Não"/>
    <x v="1"/>
    <d v="2025-06-18T00:00:00"/>
    <d v="2025-06-01T00:00:00"/>
    <s v="qua"/>
    <x v="1"/>
    <x v="1"/>
    <m/>
    <s v="209745826"/>
  </r>
  <r>
    <n v="2097"/>
    <n v="57"/>
    <s v="Masculino"/>
    <s v="Pintura"/>
    <s v="Operador"/>
    <s v="1º Turno"/>
    <x v="0"/>
    <s v="Não"/>
    <x v="1"/>
    <d v="2025-10-24T00:00:00"/>
    <d v="2025-10-01T00:00:00"/>
    <s v="sex"/>
    <x v="11"/>
    <x v="1"/>
    <m/>
    <s v="209745954"/>
  </r>
  <r>
    <n v="2097"/>
    <n v="57"/>
    <s v="Masculino"/>
    <s v="Pintura"/>
    <s v="Operador"/>
    <s v="1º Turno"/>
    <x v="0"/>
    <s v="Não"/>
    <x v="1"/>
    <d v="2026-03-27T00:00:00"/>
    <d v="2026-03-01T00:00:00"/>
    <s v="sex"/>
    <x v="4"/>
    <x v="0"/>
    <m/>
    <s v="209746108"/>
  </r>
  <r>
    <n v="2097"/>
    <n v="57"/>
    <s v="Masculino"/>
    <s v="Pintura"/>
    <s v="Operador"/>
    <s v="1º Turno"/>
    <x v="0"/>
    <s v="Não"/>
    <x v="1"/>
    <d v="2026-04-07T00:00:00"/>
    <d v="2026-04-01T00:00:00"/>
    <s v="ter"/>
    <x v="2"/>
    <x v="0"/>
    <m/>
    <s v="209746119"/>
  </r>
  <r>
    <n v="2098"/>
    <n v="36"/>
    <s v="Feminino"/>
    <s v="Soldagem"/>
    <s v="Operador"/>
    <s v="3º Turno"/>
    <x v="0"/>
    <s v="Não"/>
    <x v="1"/>
    <d v="2025-07-10T00:00:00"/>
    <d v="2025-07-01T00:00:00"/>
    <s v="qui"/>
    <x v="6"/>
    <x v="1"/>
    <m/>
    <s v="209845848"/>
  </r>
  <r>
    <n v="2098"/>
    <n v="36"/>
    <s v="Feminino"/>
    <s v="Soldagem"/>
    <s v="Operador"/>
    <s v="3º Turno"/>
    <x v="0"/>
    <s v="Não"/>
    <x v="1"/>
    <d v="2025-09-15T00:00:00"/>
    <d v="2025-09-01T00:00:00"/>
    <s v="seg"/>
    <x v="7"/>
    <x v="1"/>
    <m/>
    <s v="209845915"/>
  </r>
  <r>
    <n v="2098"/>
    <n v="36"/>
    <s v="Feminino"/>
    <s v="Soldagem"/>
    <s v="Operador"/>
    <s v="3º Turno"/>
    <x v="0"/>
    <s v="Não"/>
    <x v="1"/>
    <d v="2025-11-03T00:00:00"/>
    <d v="2025-11-01T00:00:00"/>
    <s v="seg"/>
    <x v="10"/>
    <x v="1"/>
    <m/>
    <s v="209845964"/>
  </r>
  <r>
    <n v="2098"/>
    <n v="36"/>
    <s v="Feminino"/>
    <s v="Soldagem"/>
    <s v="Operador"/>
    <s v="3º Turno"/>
    <x v="0"/>
    <s v="Não"/>
    <x v="1"/>
    <d v="2026-03-17T00:00:00"/>
    <d v="2026-03-01T00:00:00"/>
    <s v="ter"/>
    <x v="4"/>
    <x v="0"/>
    <m/>
    <s v="209846098"/>
  </r>
  <r>
    <n v="2099"/>
    <n v="51"/>
    <s v="Masculino"/>
    <s v="Logistica"/>
    <s v="Operador"/>
    <s v="2º Turno"/>
    <x v="0"/>
    <s v="Não"/>
    <x v="1"/>
    <d v="2025-10-15T00:00:00"/>
    <d v="2025-10-01T00:00:00"/>
    <s v="qua"/>
    <x v="11"/>
    <x v="1"/>
    <m/>
    <s v="209945945"/>
  </r>
  <r>
    <n v="2099"/>
    <n v="51"/>
    <s v="Masculino"/>
    <s v="Logistica"/>
    <s v="Operador"/>
    <s v="2º Turno"/>
    <x v="0"/>
    <s v="Não"/>
    <x v="1"/>
    <d v="2025-12-23T00:00:00"/>
    <d v="2025-12-01T00:00:00"/>
    <s v="ter"/>
    <x v="8"/>
    <x v="1"/>
    <m/>
    <s v="209946014"/>
  </r>
  <r>
    <n v="2099"/>
    <n v="51"/>
    <s v="Masculino"/>
    <s v="Logistica"/>
    <s v="Operador"/>
    <s v="2º Turno"/>
    <x v="0"/>
    <s v="Não"/>
    <x v="1"/>
    <d v="2025-12-29T00:00:00"/>
    <d v="2025-12-01T00:00:00"/>
    <s v="seg"/>
    <x v="8"/>
    <x v="1"/>
    <m/>
    <s v="209946020"/>
  </r>
  <r>
    <n v="2099"/>
    <n v="51"/>
    <s v="Masculino"/>
    <s v="Logistica"/>
    <s v="Operador"/>
    <s v="2º Turno"/>
    <x v="0"/>
    <s v="Não"/>
    <x v="1"/>
    <d v="2026-06-05T00:00:00"/>
    <d v="2026-01-01T00:00:00"/>
    <s v="sex"/>
    <x v="1"/>
    <x v="0"/>
    <m/>
    <s v="209946178"/>
  </r>
  <r>
    <n v="2099"/>
    <n v="51"/>
    <s v="Masculino"/>
    <s v="Logistica"/>
    <s v="Operador"/>
    <s v="2º Turno"/>
    <x v="0"/>
    <s v="Não"/>
    <x v="1"/>
    <d v="2026-02-11T00:00:00"/>
    <d v="2026-02-01T00:00:00"/>
    <s v="qua"/>
    <x v="3"/>
    <x v="0"/>
    <m/>
    <s v="209946064"/>
  </r>
  <r>
    <n v="2100"/>
    <n v="32"/>
    <s v="Masculino"/>
    <s v="Pintura"/>
    <s v="Operador"/>
    <s v="1º Turno"/>
    <x v="0"/>
    <s v="Não"/>
    <x v="1"/>
    <d v="2025-06-01T00:00:00"/>
    <d v="2025-06-01T00:00:00"/>
    <s v="dom"/>
    <x v="1"/>
    <x v="1"/>
    <m/>
    <s v="210045809"/>
  </r>
  <r>
    <n v="2100"/>
    <n v="32"/>
    <s v="Masculino"/>
    <s v="Pintura"/>
    <s v="Operador"/>
    <s v="1º Turno"/>
    <x v="0"/>
    <s v="Não"/>
    <x v="1"/>
    <d v="2025-06-16T00:00:00"/>
    <d v="2025-06-01T00:00:00"/>
    <s v="seg"/>
    <x v="1"/>
    <x v="1"/>
    <m/>
    <s v="210045824"/>
  </r>
  <r>
    <n v="2100"/>
    <n v="32"/>
    <s v="Masculino"/>
    <s v="Pintura"/>
    <s v="Operador"/>
    <s v="1º Turno"/>
    <x v="0"/>
    <s v="Não"/>
    <x v="1"/>
    <d v="2025-09-04T00:00:00"/>
    <d v="2025-09-01T00:00:00"/>
    <s v="qui"/>
    <x v="7"/>
    <x v="1"/>
    <m/>
    <s v="210045904"/>
  </r>
  <r>
    <n v="2100"/>
    <n v="32"/>
    <s v="Masculino"/>
    <s v="Pintura"/>
    <s v="Operador"/>
    <s v="1º Turno"/>
    <x v="0"/>
    <s v="Não"/>
    <x v="1"/>
    <d v="2025-11-17T00:00:00"/>
    <d v="2025-11-01T00:00:00"/>
    <s v="seg"/>
    <x v="10"/>
    <x v="1"/>
    <m/>
    <s v="210045978"/>
  </r>
  <r>
    <n v="2100"/>
    <n v="32"/>
    <s v="Masculino"/>
    <s v="Pintura"/>
    <s v="Operador"/>
    <s v="1º Turno"/>
    <x v="0"/>
    <s v="Não"/>
    <x v="1"/>
    <d v="2026-02-21T00:00:00"/>
    <d v="2026-02-01T00:00:00"/>
    <s v="sáb"/>
    <x v="3"/>
    <x v="0"/>
    <m/>
    <s v="210046074"/>
  </r>
  <r>
    <n v="2101"/>
    <n v="28"/>
    <s v="Feminino"/>
    <s v="Soldagem"/>
    <s v="Operador"/>
    <s v="2º Turno"/>
    <x v="0"/>
    <s v="Não"/>
    <x v="1"/>
    <d v="2025-11-11T00:00:00"/>
    <d v="2025-11-01T00:00:00"/>
    <s v="ter"/>
    <x v="10"/>
    <x v="1"/>
    <m/>
    <s v="210145972"/>
  </r>
  <r>
    <n v="2101"/>
    <n v="28"/>
    <s v="Feminino"/>
    <s v="Soldagem"/>
    <s v="Operador"/>
    <s v="2º Turno"/>
    <x v="0"/>
    <s v="Não"/>
    <x v="1"/>
    <d v="2025-12-09T00:00:00"/>
    <d v="2025-12-01T00:00:00"/>
    <s v="ter"/>
    <x v="8"/>
    <x v="1"/>
    <m/>
    <s v="210146000"/>
  </r>
  <r>
    <n v="2101"/>
    <n v="28"/>
    <s v="Feminino"/>
    <s v="Soldagem"/>
    <s v="Operador"/>
    <s v="2º Turno"/>
    <x v="0"/>
    <s v="Não"/>
    <x v="1"/>
    <d v="2025-12-20T00:00:00"/>
    <d v="2025-12-01T00:00:00"/>
    <s v="sáb"/>
    <x v="8"/>
    <x v="1"/>
    <m/>
    <s v="210146011"/>
  </r>
  <r>
    <n v="2101"/>
    <n v="28"/>
    <s v="Feminino"/>
    <s v="Soldagem"/>
    <s v="Operador"/>
    <s v="2º Turno"/>
    <x v="0"/>
    <s v="Não"/>
    <x v="1"/>
    <d v="2026-02-18T00:00:00"/>
    <d v="2026-02-01T00:00:00"/>
    <s v="qua"/>
    <x v="3"/>
    <x v="0"/>
    <m/>
    <s v="210146071"/>
  </r>
  <r>
    <n v="2102"/>
    <n v="54"/>
    <s v="Masculino"/>
    <s v="Montagem"/>
    <s v="Operador"/>
    <s v="1º Turno"/>
    <x v="0"/>
    <s v="Não"/>
    <x v="0"/>
    <d v="2025-11-20T00:00:00"/>
    <d v="2025-11-01T00:00:00"/>
    <s v="qui"/>
    <x v="10"/>
    <x v="1"/>
    <m/>
    <s v="210245981"/>
  </r>
  <r>
    <n v="2102"/>
    <n v="54"/>
    <s v="Masculino"/>
    <s v="Montagem"/>
    <s v="Operador"/>
    <s v="1º Turno"/>
    <x v="0"/>
    <s v="Não"/>
    <x v="0"/>
    <d v="2026-06-18T00:00:00"/>
    <d v="2026-01-01T00:00:00"/>
    <s v="qui"/>
    <x v="1"/>
    <x v="0"/>
    <m/>
    <s v="210246191"/>
  </r>
  <r>
    <n v="2102"/>
    <n v="54"/>
    <s v="Masculino"/>
    <s v="Montagem"/>
    <s v="Operador"/>
    <s v="1º Turno"/>
    <x v="0"/>
    <s v="Não"/>
    <x v="0"/>
    <d v="2026-06-24T00:00:00"/>
    <d v="2026-01-01T00:00:00"/>
    <s v="qua"/>
    <x v="1"/>
    <x v="0"/>
    <m/>
    <s v="210246197"/>
  </r>
  <r>
    <n v="2102"/>
    <n v="54"/>
    <s v="Masculino"/>
    <s v="Montagem"/>
    <s v="Operador"/>
    <s v="1º Turno"/>
    <x v="0"/>
    <s v="Não"/>
    <x v="0"/>
    <d v="2026-02-17T00:00:00"/>
    <d v="2026-02-01T00:00:00"/>
    <s v="ter"/>
    <x v="3"/>
    <x v="0"/>
    <m/>
    <s v="210246070"/>
  </r>
  <r>
    <n v="2103"/>
    <n v="55"/>
    <s v="Feminino"/>
    <s v="Logistica"/>
    <s v="Operador"/>
    <s v="3º Turno"/>
    <x v="0"/>
    <s v="Não"/>
    <x v="2"/>
    <d v="2025-07-14T00:00:00"/>
    <d v="2025-07-01T00:00:00"/>
    <s v="seg"/>
    <x v="6"/>
    <x v="1"/>
    <m/>
    <s v="210345852"/>
  </r>
  <r>
    <n v="2103"/>
    <n v="55"/>
    <s v="Feminino"/>
    <s v="Logistica"/>
    <s v="Operador"/>
    <s v="3º Turno"/>
    <x v="0"/>
    <s v="Não"/>
    <x v="2"/>
    <d v="2025-11-01T00:00:00"/>
    <d v="2025-11-01T00:00:00"/>
    <s v="sáb"/>
    <x v="10"/>
    <x v="1"/>
    <m/>
    <s v="210345962"/>
  </r>
  <r>
    <n v="2103"/>
    <n v="55"/>
    <s v="Feminino"/>
    <s v="Logistica"/>
    <s v="Operador"/>
    <s v="3º Turno"/>
    <x v="0"/>
    <s v="Não"/>
    <x v="2"/>
    <d v="2025-11-14T00:00:00"/>
    <d v="2025-11-01T00:00:00"/>
    <s v="sex"/>
    <x v="10"/>
    <x v="1"/>
    <m/>
    <s v="210345975"/>
  </r>
  <r>
    <n v="2103"/>
    <n v="55"/>
    <s v="Feminino"/>
    <s v="Logistica"/>
    <s v="Operador"/>
    <s v="3º Turno"/>
    <x v="0"/>
    <s v="Não"/>
    <x v="2"/>
    <d v="2025-11-29T00:00:00"/>
    <d v="2025-11-01T00:00:00"/>
    <s v="sáb"/>
    <x v="10"/>
    <x v="1"/>
    <m/>
    <s v="210345990"/>
  </r>
  <r>
    <n v="2103"/>
    <n v="55"/>
    <s v="Feminino"/>
    <s v="Logistica"/>
    <s v="Operador"/>
    <s v="3º Turno"/>
    <x v="0"/>
    <s v="Não"/>
    <x v="2"/>
    <d v="2025-12-26T00:00:00"/>
    <d v="2025-12-01T00:00:00"/>
    <s v="sex"/>
    <x v="8"/>
    <x v="1"/>
    <m/>
    <s v="210346017"/>
  </r>
  <r>
    <n v="2103"/>
    <n v="55"/>
    <s v="Feminino"/>
    <s v="Logistica"/>
    <s v="Operador"/>
    <s v="3º Turno"/>
    <x v="0"/>
    <s v="Não"/>
    <x v="2"/>
    <d v="2026-06-20T00:00:00"/>
    <d v="2026-01-01T00:00:00"/>
    <s v="sáb"/>
    <x v="1"/>
    <x v="0"/>
    <m/>
    <s v="210346193"/>
  </r>
  <r>
    <n v="2104"/>
    <n v="52"/>
    <s v="Masculino"/>
    <s v="Soldagem"/>
    <s v="Operador"/>
    <s v="3º Turno"/>
    <x v="0"/>
    <s v="Não"/>
    <x v="2"/>
    <d v="2025-08-04T00:00:00"/>
    <d v="2025-08-01T00:00:00"/>
    <s v="seg"/>
    <x v="9"/>
    <x v="1"/>
    <m/>
    <s v="210445873"/>
  </r>
  <r>
    <n v="2104"/>
    <n v="52"/>
    <s v="Masculino"/>
    <s v="Soldagem"/>
    <s v="Operador"/>
    <s v="3º Turno"/>
    <x v="0"/>
    <s v="Não"/>
    <x v="2"/>
    <d v="2025-09-30T00:00:00"/>
    <d v="2025-09-01T00:00:00"/>
    <s v="ter"/>
    <x v="7"/>
    <x v="1"/>
    <m/>
    <s v="210445930"/>
  </r>
  <r>
    <n v="2104"/>
    <n v="52"/>
    <s v="Masculino"/>
    <s v="Soldagem"/>
    <s v="Operador"/>
    <s v="3º Turno"/>
    <x v="0"/>
    <s v="Não"/>
    <x v="2"/>
    <d v="2025-10-05T00:00:00"/>
    <d v="2025-10-01T00:00:00"/>
    <s v="dom"/>
    <x v="11"/>
    <x v="1"/>
    <m/>
    <s v="210445935"/>
  </r>
  <r>
    <n v="2104"/>
    <n v="52"/>
    <s v="Masculino"/>
    <s v="Soldagem"/>
    <s v="Operador"/>
    <s v="3º Turno"/>
    <x v="0"/>
    <s v="Não"/>
    <x v="2"/>
    <d v="2025-10-27T00:00:00"/>
    <d v="2025-10-01T00:00:00"/>
    <s v="seg"/>
    <x v="11"/>
    <x v="1"/>
    <m/>
    <s v="210445957"/>
  </r>
  <r>
    <n v="2104"/>
    <n v="52"/>
    <s v="Masculino"/>
    <s v="Soldagem"/>
    <s v="Operador"/>
    <s v="3º Turno"/>
    <x v="0"/>
    <s v="Não"/>
    <x v="2"/>
    <d v="2025-12-03T00:00:00"/>
    <d v="2025-12-01T00:00:00"/>
    <s v="qua"/>
    <x v="8"/>
    <x v="1"/>
    <m/>
    <s v="210445994"/>
  </r>
  <r>
    <n v="2104"/>
    <n v="52"/>
    <s v="Masculino"/>
    <s v="Soldagem"/>
    <s v="Operador"/>
    <s v="3º Turno"/>
    <x v="0"/>
    <s v="Não"/>
    <x v="2"/>
    <d v="2026-02-14T00:00:00"/>
    <d v="2026-02-01T00:00:00"/>
    <s v="sáb"/>
    <x v="3"/>
    <x v="0"/>
    <m/>
    <s v="210446067"/>
  </r>
  <r>
    <n v="2106"/>
    <n v="42"/>
    <s v="Masculino"/>
    <s v="Montagem"/>
    <s v="Operador"/>
    <s v="3º Turno"/>
    <x v="0"/>
    <s v="Não"/>
    <x v="1"/>
    <d v="2025-08-02T00:00:00"/>
    <d v="2025-08-01T00:00:00"/>
    <s v="sáb"/>
    <x v="9"/>
    <x v="1"/>
    <m/>
    <s v="210645871"/>
  </r>
  <r>
    <n v="2106"/>
    <n v="42"/>
    <s v="Masculino"/>
    <s v="Montagem"/>
    <s v="Operador"/>
    <s v="3º Turno"/>
    <x v="0"/>
    <s v="Não"/>
    <x v="1"/>
    <d v="2025-08-21T00:00:00"/>
    <d v="2025-08-01T00:00:00"/>
    <s v="qui"/>
    <x v="9"/>
    <x v="1"/>
    <m/>
    <s v="210645890"/>
  </r>
  <r>
    <n v="2106"/>
    <n v="42"/>
    <s v="Masculino"/>
    <s v="Montagem"/>
    <s v="Operador"/>
    <s v="3º Turno"/>
    <x v="0"/>
    <s v="Não"/>
    <x v="1"/>
    <d v="2025-11-17T00:00:00"/>
    <d v="2025-11-01T00:00:00"/>
    <s v="seg"/>
    <x v="10"/>
    <x v="1"/>
    <m/>
    <s v="210645978"/>
  </r>
  <r>
    <n v="2106"/>
    <n v="42"/>
    <s v="Masculino"/>
    <s v="Montagem"/>
    <s v="Operador"/>
    <s v="3º Turno"/>
    <x v="0"/>
    <s v="Não"/>
    <x v="1"/>
    <d v="2025-12-25T00:00:00"/>
    <d v="2025-12-01T00:00:00"/>
    <s v="qui"/>
    <x v="8"/>
    <x v="1"/>
    <m/>
    <s v="210646016"/>
  </r>
  <r>
    <n v="2106"/>
    <n v="42"/>
    <s v="Masculino"/>
    <s v="Montagem"/>
    <s v="Operador"/>
    <s v="3º Turno"/>
    <x v="0"/>
    <s v="Não"/>
    <x v="1"/>
    <d v="2026-02-18T00:00:00"/>
    <d v="2026-02-01T00:00:00"/>
    <s v="qua"/>
    <x v="3"/>
    <x v="0"/>
    <m/>
    <s v="210646071"/>
  </r>
  <r>
    <n v="2108"/>
    <n v="35"/>
    <s v="Feminino"/>
    <s v="Montagem"/>
    <s v="Operador"/>
    <s v="1º Turno"/>
    <x v="0"/>
    <s v="Não"/>
    <x v="0"/>
    <d v="2025-07-03T00:00:00"/>
    <d v="2025-07-01T00:00:00"/>
    <s v="qui"/>
    <x v="6"/>
    <x v="1"/>
    <m/>
    <s v="210845841"/>
  </r>
  <r>
    <n v="2108"/>
    <n v="35"/>
    <s v="Feminino"/>
    <s v="Montagem"/>
    <s v="Operador"/>
    <s v="1º Turno"/>
    <x v="0"/>
    <s v="Não"/>
    <x v="0"/>
    <d v="2025-07-23T00:00:00"/>
    <d v="2025-07-01T00:00:00"/>
    <s v="qua"/>
    <x v="6"/>
    <x v="1"/>
    <m/>
    <s v="210845861"/>
  </r>
  <r>
    <n v="2108"/>
    <n v="35"/>
    <s v="Feminino"/>
    <s v="Montagem"/>
    <s v="Operador"/>
    <s v="1º Turno"/>
    <x v="0"/>
    <s v="Não"/>
    <x v="0"/>
    <d v="2025-08-19T00:00:00"/>
    <d v="2025-08-01T00:00:00"/>
    <s v="ter"/>
    <x v="9"/>
    <x v="1"/>
    <m/>
    <s v="210845888"/>
  </r>
  <r>
    <n v="2108"/>
    <n v="35"/>
    <s v="Feminino"/>
    <s v="Montagem"/>
    <s v="Operador"/>
    <s v="1º Turno"/>
    <x v="0"/>
    <s v="Não"/>
    <x v="0"/>
    <d v="2025-09-16T00:00:00"/>
    <d v="2025-09-01T00:00:00"/>
    <s v="ter"/>
    <x v="7"/>
    <x v="1"/>
    <m/>
    <s v="210845916"/>
  </r>
  <r>
    <n v="2108"/>
    <n v="35"/>
    <s v="Feminino"/>
    <s v="Montagem"/>
    <s v="Operador"/>
    <s v="1º Turno"/>
    <x v="0"/>
    <s v="Não"/>
    <x v="0"/>
    <d v="2025-09-26T00:00:00"/>
    <d v="2025-09-01T00:00:00"/>
    <s v="sex"/>
    <x v="7"/>
    <x v="1"/>
    <m/>
    <s v="210845926"/>
  </r>
  <r>
    <n v="2109"/>
    <n v="23"/>
    <s v="Masculino"/>
    <s v="Logistica"/>
    <s v="Operador"/>
    <s v="1º Turno"/>
    <x v="0"/>
    <s v="Não"/>
    <x v="2"/>
    <d v="2025-06-10T00:00:00"/>
    <d v="2025-06-01T00:00:00"/>
    <s v="ter"/>
    <x v="1"/>
    <x v="1"/>
    <m/>
    <s v="210945818"/>
  </r>
  <r>
    <n v="2109"/>
    <n v="23"/>
    <s v="Masculino"/>
    <s v="Logistica"/>
    <s v="Operador"/>
    <s v="1º Turno"/>
    <x v="0"/>
    <s v="Não"/>
    <x v="2"/>
    <d v="2026-06-10T00:00:00"/>
    <d v="2026-01-01T00:00:00"/>
    <s v="qua"/>
    <x v="1"/>
    <x v="0"/>
    <m/>
    <s v="210946183"/>
  </r>
  <r>
    <n v="2109"/>
    <n v="23"/>
    <s v="Masculino"/>
    <s v="Logistica"/>
    <s v="Operador"/>
    <s v="1º Turno"/>
    <x v="0"/>
    <s v="Não"/>
    <x v="2"/>
    <d v="2026-02-15T00:00:00"/>
    <d v="2026-02-01T00:00:00"/>
    <s v="dom"/>
    <x v="3"/>
    <x v="0"/>
    <m/>
    <s v="210946068"/>
  </r>
  <r>
    <n v="2109"/>
    <n v="23"/>
    <s v="Masculino"/>
    <s v="Logistica"/>
    <s v="Operador"/>
    <s v="1º Turno"/>
    <x v="0"/>
    <s v="Não"/>
    <x v="2"/>
    <d v="2026-03-27T00:00:00"/>
    <d v="2026-03-01T00:00:00"/>
    <s v="sex"/>
    <x v="4"/>
    <x v="0"/>
    <m/>
    <s v="210946108"/>
  </r>
  <r>
    <n v="2109"/>
    <n v="23"/>
    <s v="Masculino"/>
    <s v="Logistica"/>
    <s v="Operador"/>
    <s v="1º Turno"/>
    <x v="0"/>
    <s v="Não"/>
    <x v="2"/>
    <d v="2026-06-03T00:00:00"/>
    <d v="2026-06-01T00:00:00"/>
    <s v="qua"/>
    <x v="1"/>
    <x v="0"/>
    <m/>
    <s v="210946176"/>
  </r>
  <r>
    <n v="2110"/>
    <n v="28"/>
    <s v="Feminino"/>
    <s v="Montagem"/>
    <s v="Operador"/>
    <s v="2º Turno"/>
    <x v="0"/>
    <s v="Não"/>
    <x v="2"/>
    <d v="2025-07-08T00:00:00"/>
    <d v="2025-07-01T00:00:00"/>
    <s v="ter"/>
    <x v="6"/>
    <x v="1"/>
    <m/>
    <s v="211045846"/>
  </r>
  <r>
    <n v="2110"/>
    <n v="28"/>
    <s v="Feminino"/>
    <s v="Montagem"/>
    <s v="Operador"/>
    <s v="2º Turno"/>
    <x v="0"/>
    <s v="Não"/>
    <x v="2"/>
    <d v="2025-08-21T00:00:00"/>
    <d v="2025-08-01T00:00:00"/>
    <s v="qui"/>
    <x v="9"/>
    <x v="1"/>
    <m/>
    <s v="211045890"/>
  </r>
  <r>
    <n v="2110"/>
    <n v="28"/>
    <s v="Feminino"/>
    <s v="Montagem"/>
    <s v="Operador"/>
    <s v="2º Turno"/>
    <x v="0"/>
    <s v="Não"/>
    <x v="2"/>
    <d v="2025-09-05T00:00:00"/>
    <d v="2025-09-01T00:00:00"/>
    <s v="sex"/>
    <x v="7"/>
    <x v="1"/>
    <m/>
    <s v="211045905"/>
  </r>
  <r>
    <n v="2110"/>
    <n v="28"/>
    <s v="Feminino"/>
    <s v="Montagem"/>
    <s v="Operador"/>
    <s v="2º Turno"/>
    <x v="0"/>
    <s v="Não"/>
    <x v="2"/>
    <d v="2025-12-18T00:00:00"/>
    <d v="2025-12-01T00:00:00"/>
    <s v="qui"/>
    <x v="8"/>
    <x v="1"/>
    <m/>
    <s v="211046009"/>
  </r>
  <r>
    <n v="2110"/>
    <n v="28"/>
    <s v="Feminino"/>
    <s v="Montagem"/>
    <s v="Operador"/>
    <s v="2º Turno"/>
    <x v="0"/>
    <s v="Não"/>
    <x v="2"/>
    <d v="2026-06-24T00:00:00"/>
    <d v="2026-01-01T00:00:00"/>
    <s v="qua"/>
    <x v="1"/>
    <x v="0"/>
    <m/>
    <s v="211046197"/>
  </r>
  <r>
    <n v="2110"/>
    <n v="28"/>
    <s v="Feminino"/>
    <s v="Montagem"/>
    <s v="Operador"/>
    <s v="2º Turno"/>
    <x v="0"/>
    <s v="Não"/>
    <x v="2"/>
    <d v="2026-02-27T00:00:00"/>
    <d v="2026-02-01T00:00:00"/>
    <s v="sex"/>
    <x v="3"/>
    <x v="0"/>
    <m/>
    <s v="211046080"/>
  </r>
  <r>
    <n v="2111"/>
    <n v="41"/>
    <s v="Masculino"/>
    <s v="Qualidade"/>
    <s v="Inspetor"/>
    <s v="3º Turno"/>
    <x v="0"/>
    <s v="Não"/>
    <x v="2"/>
    <d v="2025-06-21T00:00:00"/>
    <d v="2025-06-01T00:00:00"/>
    <s v="sáb"/>
    <x v="1"/>
    <x v="1"/>
    <m/>
    <s v="211145829"/>
  </r>
  <r>
    <n v="2111"/>
    <n v="41"/>
    <s v="Masculino"/>
    <s v="Qualidade"/>
    <s v="Inspetor"/>
    <s v="3º Turno"/>
    <x v="0"/>
    <s v="Não"/>
    <x v="2"/>
    <d v="2025-07-03T00:00:00"/>
    <d v="2025-07-01T00:00:00"/>
    <s v="qui"/>
    <x v="6"/>
    <x v="1"/>
    <m/>
    <s v="211145841"/>
  </r>
  <r>
    <n v="2111"/>
    <n v="41"/>
    <s v="Masculino"/>
    <s v="Qualidade"/>
    <s v="Inspetor"/>
    <s v="3º Turno"/>
    <x v="0"/>
    <s v="Não"/>
    <x v="2"/>
    <d v="2025-07-05T00:00:00"/>
    <d v="2025-07-01T00:00:00"/>
    <s v="sáb"/>
    <x v="6"/>
    <x v="1"/>
    <m/>
    <s v="211145843"/>
  </r>
  <r>
    <n v="2111"/>
    <n v="41"/>
    <s v="Masculino"/>
    <s v="Qualidade"/>
    <s v="Inspetor"/>
    <s v="3º Turno"/>
    <x v="0"/>
    <s v="Não"/>
    <x v="2"/>
    <d v="2025-08-03T00:00:00"/>
    <d v="2025-08-01T00:00:00"/>
    <s v="dom"/>
    <x v="9"/>
    <x v="1"/>
    <m/>
    <s v="211145872"/>
  </r>
  <r>
    <n v="2111"/>
    <n v="41"/>
    <s v="Masculino"/>
    <s v="Qualidade"/>
    <s v="Inspetor"/>
    <s v="3º Turno"/>
    <x v="0"/>
    <s v="Não"/>
    <x v="2"/>
    <d v="2025-12-18T00:00:00"/>
    <d v="2025-12-01T00:00:00"/>
    <s v="qui"/>
    <x v="8"/>
    <x v="1"/>
    <m/>
    <s v="211146009"/>
  </r>
  <r>
    <n v="2113"/>
    <n v="43"/>
    <s v="Masculino"/>
    <s v="Montagem"/>
    <s v="Operador"/>
    <s v="3º Turno"/>
    <x v="0"/>
    <s v="Não"/>
    <x v="0"/>
    <d v="2025-07-16T00:00:00"/>
    <d v="2025-07-01T00:00:00"/>
    <s v="qua"/>
    <x v="6"/>
    <x v="1"/>
    <m/>
    <s v="211345854"/>
  </r>
  <r>
    <n v="2113"/>
    <n v="43"/>
    <s v="Masculino"/>
    <s v="Montagem"/>
    <s v="Operador"/>
    <s v="3º Turno"/>
    <x v="0"/>
    <s v="Não"/>
    <x v="0"/>
    <d v="2025-08-06T00:00:00"/>
    <d v="2025-08-01T00:00:00"/>
    <s v="qua"/>
    <x v="9"/>
    <x v="1"/>
    <m/>
    <s v="211345875"/>
  </r>
  <r>
    <n v="2113"/>
    <n v="43"/>
    <s v="Masculino"/>
    <s v="Montagem"/>
    <s v="Operador"/>
    <s v="3º Turno"/>
    <x v="0"/>
    <s v="Não"/>
    <x v="0"/>
    <d v="2026-02-17T00:00:00"/>
    <d v="2026-02-01T00:00:00"/>
    <s v="ter"/>
    <x v="3"/>
    <x v="0"/>
    <m/>
    <s v="211346070"/>
  </r>
  <r>
    <n v="2113"/>
    <n v="43"/>
    <s v="Masculino"/>
    <s v="Montagem"/>
    <s v="Operador"/>
    <s v="3º Turno"/>
    <x v="0"/>
    <s v="Não"/>
    <x v="0"/>
    <d v="2026-03-16T00:00:00"/>
    <d v="2026-03-01T00:00:00"/>
    <s v="seg"/>
    <x v="4"/>
    <x v="0"/>
    <m/>
    <s v="211346097"/>
  </r>
  <r>
    <n v="2114"/>
    <n v="54"/>
    <s v="Feminino"/>
    <s v="Soldagem"/>
    <s v="Operador"/>
    <s v="3º Turno"/>
    <x v="0"/>
    <s v="Não"/>
    <x v="2"/>
    <d v="2025-04-29T00:00:00"/>
    <d v="2025-04-01T00:00:00"/>
    <s v="ter"/>
    <x v="2"/>
    <x v="1"/>
    <m/>
    <s v="211445776"/>
  </r>
  <r>
    <n v="2114"/>
    <n v="54"/>
    <s v="Feminino"/>
    <s v="Soldagem"/>
    <s v="Operador"/>
    <s v="3º Turno"/>
    <x v="0"/>
    <s v="Não"/>
    <x v="2"/>
    <d v="2025-06-22T00:00:00"/>
    <d v="2025-06-01T00:00:00"/>
    <s v="dom"/>
    <x v="1"/>
    <x v="1"/>
    <m/>
    <s v="211445830"/>
  </r>
  <r>
    <n v="2114"/>
    <n v="54"/>
    <s v="Feminino"/>
    <s v="Soldagem"/>
    <s v="Operador"/>
    <s v="3º Turno"/>
    <x v="0"/>
    <s v="Não"/>
    <x v="2"/>
    <d v="2025-10-24T00:00:00"/>
    <d v="2025-10-01T00:00:00"/>
    <s v="sex"/>
    <x v="11"/>
    <x v="1"/>
    <m/>
    <s v="211445954"/>
  </r>
  <r>
    <n v="2114"/>
    <n v="54"/>
    <s v="Feminino"/>
    <s v="Soldagem"/>
    <s v="Operador"/>
    <s v="3º Turno"/>
    <x v="0"/>
    <s v="Não"/>
    <x v="2"/>
    <d v="2025-10-27T00:00:00"/>
    <d v="2025-10-01T00:00:00"/>
    <s v="seg"/>
    <x v="11"/>
    <x v="1"/>
    <m/>
    <s v="211445957"/>
  </r>
  <r>
    <n v="2114"/>
    <n v="54"/>
    <s v="Feminino"/>
    <s v="Soldagem"/>
    <s v="Operador"/>
    <s v="3º Turno"/>
    <x v="0"/>
    <s v="Não"/>
    <x v="2"/>
    <d v="2025-12-31T00:00:00"/>
    <d v="2025-12-01T00:00:00"/>
    <s v="qua"/>
    <x v="8"/>
    <x v="1"/>
    <m/>
    <s v="211446022"/>
  </r>
  <r>
    <n v="2114"/>
    <n v="54"/>
    <s v="Feminino"/>
    <s v="Soldagem"/>
    <s v="Operador"/>
    <s v="3º Turno"/>
    <x v="0"/>
    <s v="Não"/>
    <x v="2"/>
    <d v="2026-04-29T00:00:00"/>
    <d v="2026-04-01T00:00:00"/>
    <s v="ter"/>
    <x v="2"/>
    <x v="1"/>
    <m/>
    <s v="211446141"/>
  </r>
  <r>
    <n v="2115"/>
    <n v="22"/>
    <s v="Masculino"/>
    <s v="Pintura"/>
    <s v="Operador"/>
    <s v="1º Turno"/>
    <x v="0"/>
    <s v="Não"/>
    <x v="1"/>
    <d v="2025-06-10T00:00:00"/>
    <d v="2025-06-01T00:00:00"/>
    <s v="ter"/>
    <x v="1"/>
    <x v="1"/>
    <m/>
    <s v="211545818"/>
  </r>
  <r>
    <n v="2115"/>
    <n v="22"/>
    <s v="Masculino"/>
    <s v="Pintura"/>
    <s v="Operador"/>
    <s v="1º Turno"/>
    <x v="0"/>
    <s v="Não"/>
    <x v="1"/>
    <d v="2025-07-31T00:00:00"/>
    <d v="2025-07-01T00:00:00"/>
    <s v="qui"/>
    <x v="6"/>
    <x v="1"/>
    <m/>
    <s v="211545869"/>
  </r>
  <r>
    <n v="2115"/>
    <n v="22"/>
    <s v="Masculino"/>
    <s v="Pintura"/>
    <s v="Operador"/>
    <s v="1º Turno"/>
    <x v="0"/>
    <s v="Não"/>
    <x v="1"/>
    <d v="2025-09-05T00:00:00"/>
    <d v="2025-09-01T00:00:00"/>
    <s v="sex"/>
    <x v="7"/>
    <x v="1"/>
    <m/>
    <s v="211545905"/>
  </r>
  <r>
    <n v="2115"/>
    <n v="22"/>
    <s v="Masculino"/>
    <s v="Pintura"/>
    <s v="Operador"/>
    <s v="1º Turno"/>
    <x v="0"/>
    <s v="Não"/>
    <x v="1"/>
    <d v="2025-11-21T00:00:00"/>
    <d v="2025-11-01T00:00:00"/>
    <s v="sex"/>
    <x v="10"/>
    <x v="1"/>
    <m/>
    <s v="211545982"/>
  </r>
  <r>
    <n v="2115"/>
    <n v="22"/>
    <s v="Masculino"/>
    <s v="Pintura"/>
    <s v="Operador"/>
    <s v="1º Turno"/>
    <x v="0"/>
    <s v="Não"/>
    <x v="1"/>
    <d v="2025-12-14T00:00:00"/>
    <d v="2025-12-01T00:00:00"/>
    <s v="dom"/>
    <x v="8"/>
    <x v="1"/>
    <m/>
    <s v="211546005"/>
  </r>
  <r>
    <n v="2116"/>
    <n v="56"/>
    <s v="Masculino"/>
    <s v="Soldagem"/>
    <s v="Operador"/>
    <s v="3º Turno"/>
    <x v="0"/>
    <s v="Não"/>
    <x v="0"/>
    <d v="2025-06-01T00:00:00"/>
    <d v="2025-06-01T00:00:00"/>
    <s v="dom"/>
    <x v="1"/>
    <x v="1"/>
    <m/>
    <s v="211645809"/>
  </r>
  <r>
    <n v="2116"/>
    <n v="56"/>
    <s v="Masculino"/>
    <s v="Soldagem"/>
    <s v="Operador"/>
    <s v="3º Turno"/>
    <x v="0"/>
    <s v="Não"/>
    <x v="0"/>
    <d v="2025-06-12T00:00:00"/>
    <d v="2025-06-01T00:00:00"/>
    <s v="qui"/>
    <x v="1"/>
    <x v="1"/>
    <m/>
    <s v="211645820"/>
  </r>
  <r>
    <n v="2116"/>
    <n v="56"/>
    <s v="Masculino"/>
    <s v="Soldagem"/>
    <s v="Operador"/>
    <s v="3º Turno"/>
    <x v="0"/>
    <s v="Não"/>
    <x v="0"/>
    <d v="2025-09-17T00:00:00"/>
    <d v="2025-09-01T00:00:00"/>
    <s v="qua"/>
    <x v="7"/>
    <x v="1"/>
    <m/>
    <s v="211645917"/>
  </r>
  <r>
    <n v="2116"/>
    <n v="56"/>
    <s v="Masculino"/>
    <s v="Soldagem"/>
    <s v="Operador"/>
    <s v="3º Turno"/>
    <x v="0"/>
    <s v="Não"/>
    <x v="0"/>
    <d v="2025-11-13T00:00:00"/>
    <d v="2025-11-01T00:00:00"/>
    <s v="qui"/>
    <x v="10"/>
    <x v="1"/>
    <m/>
    <s v="211645974"/>
  </r>
  <r>
    <n v="2116"/>
    <n v="56"/>
    <s v="Masculino"/>
    <s v="Soldagem"/>
    <s v="Operador"/>
    <s v="3º Turno"/>
    <x v="0"/>
    <s v="Não"/>
    <x v="0"/>
    <d v="2025-12-12T00:00:00"/>
    <d v="2025-12-01T00:00:00"/>
    <s v="sex"/>
    <x v="8"/>
    <x v="1"/>
    <m/>
    <s v="211646003"/>
  </r>
  <r>
    <n v="2116"/>
    <n v="56"/>
    <s v="Masculino"/>
    <s v="Soldagem"/>
    <s v="Operador"/>
    <s v="3º Turno"/>
    <x v="0"/>
    <s v="Não"/>
    <x v="0"/>
    <d v="2026-02-27T00:00:00"/>
    <d v="2026-02-01T00:00:00"/>
    <s v="sex"/>
    <x v="3"/>
    <x v="0"/>
    <m/>
    <s v="211646080"/>
  </r>
  <r>
    <n v="2117"/>
    <n v="33"/>
    <s v="Masculino"/>
    <s v="Montagem"/>
    <s v="Operador"/>
    <s v="3º Turno"/>
    <x v="0"/>
    <s v="Não"/>
    <x v="2"/>
    <d v="2025-06-08T00:00:00"/>
    <d v="2025-06-01T00:00:00"/>
    <s v="dom"/>
    <x v="1"/>
    <x v="1"/>
    <m/>
    <s v="211745816"/>
  </r>
  <r>
    <n v="2117"/>
    <n v="33"/>
    <s v="Masculino"/>
    <s v="Montagem"/>
    <s v="Operador"/>
    <s v="3º Turno"/>
    <x v="0"/>
    <s v="Não"/>
    <x v="2"/>
    <d v="2025-07-08T00:00:00"/>
    <d v="2025-07-01T00:00:00"/>
    <s v="ter"/>
    <x v="6"/>
    <x v="1"/>
    <m/>
    <s v="211745846"/>
  </r>
  <r>
    <n v="2117"/>
    <n v="33"/>
    <s v="Masculino"/>
    <s v="Montagem"/>
    <s v="Operador"/>
    <s v="3º Turno"/>
    <x v="0"/>
    <s v="Não"/>
    <x v="2"/>
    <d v="2025-08-23T00:00:00"/>
    <d v="2025-08-01T00:00:00"/>
    <s v="sáb"/>
    <x v="9"/>
    <x v="1"/>
    <m/>
    <s v="211745892"/>
  </r>
  <r>
    <n v="2117"/>
    <n v="33"/>
    <s v="Masculino"/>
    <s v="Montagem"/>
    <s v="Operador"/>
    <s v="3º Turno"/>
    <x v="0"/>
    <s v="Não"/>
    <x v="2"/>
    <d v="2025-10-13T00:00:00"/>
    <d v="2025-10-01T00:00:00"/>
    <s v="seg"/>
    <x v="11"/>
    <x v="1"/>
    <m/>
    <s v="211745943"/>
  </r>
  <r>
    <n v="2117"/>
    <n v="33"/>
    <s v="Masculino"/>
    <s v="Montagem"/>
    <s v="Operador"/>
    <s v="3º Turno"/>
    <x v="0"/>
    <s v="Não"/>
    <x v="2"/>
    <d v="2025-10-16T00:00:00"/>
    <d v="2025-10-01T00:00:00"/>
    <s v="qui"/>
    <x v="11"/>
    <x v="1"/>
    <m/>
    <s v="211745946"/>
  </r>
  <r>
    <n v="2117"/>
    <n v="33"/>
    <s v="Masculino"/>
    <s v="Montagem"/>
    <s v="Operador"/>
    <s v="3º Turno"/>
    <x v="0"/>
    <s v="Não"/>
    <x v="2"/>
    <d v="2026-02-17T00:00:00"/>
    <d v="2026-02-01T00:00:00"/>
    <s v="ter"/>
    <x v="3"/>
    <x v="0"/>
    <m/>
    <s v="211746070"/>
  </r>
  <r>
    <n v="2118"/>
    <n v="32"/>
    <s v="Feminino"/>
    <s v="Soldagem"/>
    <s v="Operador"/>
    <s v="2º Turno"/>
    <x v="0"/>
    <s v="Sim"/>
    <x v="0"/>
    <d v="2025-03-25T00:00:00"/>
    <d v="2025-03-01T00:00:00"/>
    <s v="ter"/>
    <x v="4"/>
    <x v="1"/>
    <d v="2025-07-23T00:00:00"/>
    <s v="211845741"/>
  </r>
  <r>
    <n v="2118"/>
    <n v="32"/>
    <s v="Feminino"/>
    <s v="Soldagem"/>
    <s v="Operador"/>
    <s v="2º Turno"/>
    <x v="0"/>
    <s v="Sim"/>
    <x v="0"/>
    <d v="2025-07-12T00:00:00"/>
    <d v="2025-07-01T00:00:00"/>
    <s v="sáb"/>
    <x v="6"/>
    <x v="1"/>
    <d v="2025-07-23T00:00:00"/>
    <s v="211845850"/>
  </r>
  <r>
    <n v="2118"/>
    <n v="32"/>
    <s v="Feminino"/>
    <s v="Soldagem"/>
    <s v="Operador"/>
    <s v="2º Turno"/>
    <x v="0"/>
    <s v="Sim"/>
    <x v="0"/>
    <d v="2025-07-13T00:00:00"/>
    <d v="2025-07-01T00:00:00"/>
    <s v="dom"/>
    <x v="6"/>
    <x v="1"/>
    <d v="2025-07-23T00:00:00"/>
    <s v="211845851"/>
  </r>
  <r>
    <n v="2118"/>
    <n v="32"/>
    <s v="Feminino"/>
    <s v="Soldagem"/>
    <s v="Operador"/>
    <s v="2º Turno"/>
    <x v="0"/>
    <s v="Sim"/>
    <x v="0"/>
    <d v="2025-07-14T00:00:00"/>
    <d v="2025-07-01T00:00:00"/>
    <s v="seg"/>
    <x v="6"/>
    <x v="1"/>
    <d v="2025-07-23T00:00:00"/>
    <s v="211845852"/>
  </r>
  <r>
    <n v="2118"/>
    <n v="32"/>
    <s v="Feminino"/>
    <s v="Soldagem"/>
    <s v="Operador"/>
    <s v="2º Turno"/>
    <x v="0"/>
    <s v="Sim"/>
    <x v="0"/>
    <d v="2025-07-15T00:00:00"/>
    <d v="2025-07-01T00:00:00"/>
    <s v="ter"/>
    <x v="6"/>
    <x v="1"/>
    <d v="2025-07-23T00:00:00"/>
    <s v="211845853"/>
  </r>
  <r>
    <n v="2118"/>
    <n v="32"/>
    <s v="Feminino"/>
    <s v="Soldagem"/>
    <s v="Operador"/>
    <s v="2º Turno"/>
    <x v="0"/>
    <s v="Sim"/>
    <x v="0"/>
    <d v="2025-07-16T00:00:00"/>
    <d v="2025-07-01T00:00:00"/>
    <s v="qua"/>
    <x v="6"/>
    <x v="1"/>
    <d v="2025-07-23T00:00:00"/>
    <s v="211845854"/>
  </r>
  <r>
    <n v="2121"/>
    <n v="28"/>
    <s v="Feminino"/>
    <s v="Soldagem"/>
    <s v="Operador"/>
    <s v="3º Turno"/>
    <x v="0"/>
    <s v="Não"/>
    <x v="1"/>
    <d v="2025-07-22T00:00:00"/>
    <d v="2025-07-01T00:00:00"/>
    <s v="ter"/>
    <x v="6"/>
    <x v="1"/>
    <m/>
    <s v="212145860"/>
  </r>
  <r>
    <n v="2121"/>
    <n v="28"/>
    <s v="Feminino"/>
    <s v="Soldagem"/>
    <s v="Operador"/>
    <s v="3º Turno"/>
    <x v="0"/>
    <s v="Não"/>
    <x v="1"/>
    <d v="2025-08-04T00:00:00"/>
    <d v="2025-08-01T00:00:00"/>
    <s v="seg"/>
    <x v="9"/>
    <x v="1"/>
    <m/>
    <s v="212145873"/>
  </r>
  <r>
    <n v="2121"/>
    <n v="28"/>
    <s v="Feminino"/>
    <s v="Soldagem"/>
    <s v="Operador"/>
    <s v="3º Turno"/>
    <x v="0"/>
    <s v="Não"/>
    <x v="1"/>
    <d v="2025-10-06T00:00:00"/>
    <d v="2025-10-01T00:00:00"/>
    <s v="seg"/>
    <x v="11"/>
    <x v="1"/>
    <m/>
    <s v="212145936"/>
  </r>
  <r>
    <n v="2121"/>
    <n v="28"/>
    <s v="Feminino"/>
    <s v="Soldagem"/>
    <s v="Operador"/>
    <s v="3º Turno"/>
    <x v="0"/>
    <s v="Não"/>
    <x v="1"/>
    <d v="2026-02-25T00:00:00"/>
    <d v="2026-02-01T00:00:00"/>
    <s v="qua"/>
    <x v="3"/>
    <x v="0"/>
    <m/>
    <s v="212146078"/>
  </r>
  <r>
    <n v="2121"/>
    <n v="28"/>
    <s v="Feminino"/>
    <s v="Soldagem"/>
    <s v="Operador"/>
    <s v="3º Turno"/>
    <x v="0"/>
    <s v="Não"/>
    <x v="1"/>
    <d v="2026-03-04T00:00:00"/>
    <d v="2026-03-01T00:00:00"/>
    <s v="qua"/>
    <x v="4"/>
    <x v="0"/>
    <m/>
    <s v="212146085"/>
  </r>
  <r>
    <n v="2122"/>
    <n v="29"/>
    <s v="Masculino"/>
    <s v="Soldagem"/>
    <s v="Operador"/>
    <s v="3º Turno"/>
    <x v="0"/>
    <s v="Sim"/>
    <x v="2"/>
    <d v="2025-09-14T00:00:00"/>
    <d v="2025-09-01T00:00:00"/>
    <s v="dom"/>
    <x v="7"/>
    <x v="1"/>
    <d v="2026-04-09T00:00:00"/>
    <s v="212245914"/>
  </r>
  <r>
    <n v="2122"/>
    <n v="29"/>
    <s v="Masculino"/>
    <s v="Soldagem"/>
    <s v="Operador"/>
    <s v="3º Turno"/>
    <x v="0"/>
    <s v="Sim"/>
    <x v="2"/>
    <d v="2025-10-18T00:00:00"/>
    <d v="2025-10-01T00:00:00"/>
    <s v="sáb"/>
    <x v="11"/>
    <x v="1"/>
    <d v="2026-04-09T00:00:00"/>
    <s v="212245948"/>
  </r>
  <r>
    <n v="2122"/>
    <n v="29"/>
    <s v="Masculino"/>
    <s v="Soldagem"/>
    <s v="Operador"/>
    <s v="3º Turno"/>
    <x v="0"/>
    <s v="Sim"/>
    <x v="2"/>
    <d v="2025-10-21T00:00:00"/>
    <d v="2025-10-01T00:00:00"/>
    <s v="ter"/>
    <x v="11"/>
    <x v="1"/>
    <d v="2026-04-09T00:00:00"/>
    <s v="212245951"/>
  </r>
  <r>
    <n v="2122"/>
    <n v="29"/>
    <s v="Masculino"/>
    <s v="Soldagem"/>
    <s v="Operador"/>
    <s v="3º Turno"/>
    <x v="0"/>
    <s v="Sim"/>
    <x v="2"/>
    <d v="2026-06-05T00:00:00"/>
    <d v="2026-01-01T00:00:00"/>
    <s v="sex"/>
    <x v="1"/>
    <x v="0"/>
    <d v="2026-04-09T00:00:00"/>
    <s v="212246178"/>
  </r>
  <r>
    <n v="2122"/>
    <n v="29"/>
    <s v="Masculino"/>
    <s v="Soldagem"/>
    <s v="Operador"/>
    <s v="3º Turno"/>
    <x v="0"/>
    <s v="Sim"/>
    <x v="2"/>
    <d v="2026-06-06T00:00:00"/>
    <d v="2026-01-01T00:00:00"/>
    <s v="sáb"/>
    <x v="1"/>
    <x v="0"/>
    <d v="2026-04-09T00:00:00"/>
    <s v="212246179"/>
  </r>
  <r>
    <n v="2126"/>
    <n v="26"/>
    <s v="Masculino"/>
    <s v="Soldagem"/>
    <s v="Operador"/>
    <s v="2º Turno"/>
    <x v="0"/>
    <s v="Sim"/>
    <x v="0"/>
    <d v="2025-04-29T00:00:00"/>
    <d v="2025-04-01T00:00:00"/>
    <s v="ter"/>
    <x v="2"/>
    <x v="1"/>
    <d v="2026-05-17T00:00:00"/>
    <s v="212645776"/>
  </r>
  <r>
    <n v="2126"/>
    <n v="26"/>
    <s v="Masculino"/>
    <s v="Soldagem"/>
    <s v="Operador"/>
    <s v="2º Turno"/>
    <x v="0"/>
    <s v="Sim"/>
    <x v="0"/>
    <d v="2025-06-25T00:00:00"/>
    <d v="2025-06-01T00:00:00"/>
    <s v="qua"/>
    <x v="1"/>
    <x v="1"/>
    <d v="2026-05-17T00:00:00"/>
    <s v="212645833"/>
  </r>
  <r>
    <n v="2126"/>
    <n v="26"/>
    <s v="Masculino"/>
    <s v="Soldagem"/>
    <s v="Operador"/>
    <s v="2º Turno"/>
    <x v="0"/>
    <s v="Sim"/>
    <x v="0"/>
    <d v="2025-06-28T00:00:00"/>
    <d v="2025-06-01T00:00:00"/>
    <s v="sáb"/>
    <x v="1"/>
    <x v="1"/>
    <d v="2026-05-17T00:00:00"/>
    <s v="212645836"/>
  </r>
  <r>
    <n v="2126"/>
    <n v="26"/>
    <s v="Masculino"/>
    <s v="Soldagem"/>
    <s v="Operador"/>
    <s v="2º Turno"/>
    <x v="0"/>
    <s v="Sim"/>
    <x v="0"/>
    <d v="2025-08-07T00:00:00"/>
    <d v="2025-08-01T00:00:00"/>
    <s v="qui"/>
    <x v="9"/>
    <x v="1"/>
    <d v="2026-05-17T00:00:00"/>
    <s v="212645876"/>
  </r>
  <r>
    <n v="2126"/>
    <n v="26"/>
    <s v="Masculino"/>
    <s v="Soldagem"/>
    <s v="Operador"/>
    <s v="2º Turno"/>
    <x v="0"/>
    <s v="Sim"/>
    <x v="0"/>
    <d v="2025-10-09T00:00:00"/>
    <d v="2025-10-01T00:00:00"/>
    <s v="qui"/>
    <x v="11"/>
    <x v="1"/>
    <d v="2026-05-17T00:00:00"/>
    <s v="212645939"/>
  </r>
  <r>
    <n v="2126"/>
    <n v="26"/>
    <s v="Masculino"/>
    <s v="Soldagem"/>
    <s v="Operador"/>
    <s v="2º Turno"/>
    <x v="0"/>
    <s v="Sim"/>
    <x v="0"/>
    <d v="2025-11-08T00:00:00"/>
    <d v="2025-11-01T00:00:00"/>
    <s v="sáb"/>
    <x v="10"/>
    <x v="1"/>
    <d v="2026-05-17T00:00:00"/>
    <s v="212645969"/>
  </r>
  <r>
    <n v="2127"/>
    <n v="46"/>
    <s v="Feminino"/>
    <s v="Logistica"/>
    <s v="Operador"/>
    <s v="1º Turno"/>
    <x v="0"/>
    <s v="Não"/>
    <x v="2"/>
    <d v="2025-07-13T00:00:00"/>
    <d v="2025-07-01T00:00:00"/>
    <s v="dom"/>
    <x v="6"/>
    <x v="1"/>
    <m/>
    <s v="212745851"/>
  </r>
  <r>
    <n v="2127"/>
    <n v="46"/>
    <s v="Feminino"/>
    <s v="Logistica"/>
    <s v="Operador"/>
    <s v="1º Turno"/>
    <x v="0"/>
    <s v="Não"/>
    <x v="2"/>
    <d v="2025-07-21T00:00:00"/>
    <d v="2025-07-01T00:00:00"/>
    <s v="seg"/>
    <x v="6"/>
    <x v="1"/>
    <m/>
    <s v="212745859"/>
  </r>
  <r>
    <n v="2127"/>
    <n v="46"/>
    <s v="Feminino"/>
    <s v="Logistica"/>
    <s v="Operador"/>
    <s v="1º Turno"/>
    <x v="0"/>
    <s v="Não"/>
    <x v="2"/>
    <d v="2025-08-26T00:00:00"/>
    <d v="2025-08-01T00:00:00"/>
    <s v="ter"/>
    <x v="9"/>
    <x v="1"/>
    <m/>
    <s v="212745895"/>
  </r>
  <r>
    <n v="2127"/>
    <n v="46"/>
    <s v="Feminino"/>
    <s v="Logistica"/>
    <s v="Operador"/>
    <s v="1º Turno"/>
    <x v="0"/>
    <s v="Não"/>
    <x v="2"/>
    <d v="2025-12-04T00:00:00"/>
    <d v="2025-12-01T00:00:00"/>
    <s v="qui"/>
    <x v="8"/>
    <x v="1"/>
    <m/>
    <s v="212745995"/>
  </r>
  <r>
    <n v="2127"/>
    <n v="46"/>
    <s v="Feminino"/>
    <s v="Logistica"/>
    <s v="Operador"/>
    <s v="1º Turno"/>
    <x v="0"/>
    <s v="Não"/>
    <x v="2"/>
    <d v="2025-12-11T00:00:00"/>
    <d v="2025-12-01T00:00:00"/>
    <s v="qui"/>
    <x v="8"/>
    <x v="1"/>
    <m/>
    <s v="212746002"/>
  </r>
  <r>
    <n v="2128"/>
    <n v="49"/>
    <s v="Masculino"/>
    <s v="Pintura"/>
    <s v="Operador"/>
    <s v="2º Turno"/>
    <x v="0"/>
    <s v="Não"/>
    <x v="0"/>
    <d v="2025-08-02T00:00:00"/>
    <d v="2025-08-01T00:00:00"/>
    <s v="sáb"/>
    <x v="9"/>
    <x v="1"/>
    <m/>
    <s v="212845871"/>
  </r>
  <r>
    <n v="2128"/>
    <n v="49"/>
    <s v="Masculino"/>
    <s v="Pintura"/>
    <s v="Operador"/>
    <s v="2º Turno"/>
    <x v="0"/>
    <s v="Não"/>
    <x v="0"/>
    <d v="2025-09-04T00:00:00"/>
    <d v="2025-09-01T00:00:00"/>
    <s v="qui"/>
    <x v="7"/>
    <x v="1"/>
    <m/>
    <s v="212845904"/>
  </r>
  <r>
    <n v="2128"/>
    <n v="49"/>
    <s v="Masculino"/>
    <s v="Pintura"/>
    <s v="Operador"/>
    <s v="2º Turno"/>
    <x v="0"/>
    <s v="Não"/>
    <x v="0"/>
    <d v="2025-09-13T00:00:00"/>
    <d v="2025-09-01T00:00:00"/>
    <s v="sáb"/>
    <x v="7"/>
    <x v="1"/>
    <m/>
    <s v="212845913"/>
  </r>
  <r>
    <n v="2128"/>
    <n v="49"/>
    <s v="Masculino"/>
    <s v="Pintura"/>
    <s v="Operador"/>
    <s v="2º Turno"/>
    <x v="0"/>
    <s v="Não"/>
    <x v="0"/>
    <d v="2025-09-16T00:00:00"/>
    <d v="2025-09-01T00:00:00"/>
    <s v="ter"/>
    <x v="7"/>
    <x v="1"/>
    <m/>
    <s v="212845916"/>
  </r>
  <r>
    <n v="2128"/>
    <n v="49"/>
    <s v="Masculino"/>
    <s v="Pintura"/>
    <s v="Operador"/>
    <s v="2º Turno"/>
    <x v="0"/>
    <s v="Não"/>
    <x v="0"/>
    <d v="2025-09-18T00:00:00"/>
    <d v="2025-09-01T00:00:00"/>
    <s v="qui"/>
    <x v="7"/>
    <x v="1"/>
    <m/>
    <s v="212845918"/>
  </r>
  <r>
    <n v="2129"/>
    <n v="52"/>
    <s v="Masculino"/>
    <s v="Montagem"/>
    <s v="Operador"/>
    <s v="2º Turno"/>
    <x v="0"/>
    <s v="Não"/>
    <x v="0"/>
    <d v="2025-08-21T00:00:00"/>
    <d v="2025-08-01T00:00:00"/>
    <s v="qui"/>
    <x v="9"/>
    <x v="1"/>
    <m/>
    <s v="212945890"/>
  </r>
  <r>
    <n v="2129"/>
    <n v="52"/>
    <s v="Masculino"/>
    <s v="Montagem"/>
    <s v="Operador"/>
    <s v="2º Turno"/>
    <x v="0"/>
    <s v="Não"/>
    <x v="0"/>
    <d v="2025-08-27T00:00:00"/>
    <d v="2025-08-01T00:00:00"/>
    <s v="qua"/>
    <x v="9"/>
    <x v="1"/>
    <m/>
    <s v="212945896"/>
  </r>
  <r>
    <n v="2129"/>
    <n v="52"/>
    <s v="Masculino"/>
    <s v="Montagem"/>
    <s v="Operador"/>
    <s v="2º Turno"/>
    <x v="0"/>
    <s v="Não"/>
    <x v="0"/>
    <d v="2025-08-31T00:00:00"/>
    <d v="2025-08-01T00:00:00"/>
    <s v="dom"/>
    <x v="9"/>
    <x v="1"/>
    <m/>
    <s v="212945900"/>
  </r>
  <r>
    <n v="2129"/>
    <n v="52"/>
    <s v="Masculino"/>
    <s v="Montagem"/>
    <s v="Operador"/>
    <s v="2º Turno"/>
    <x v="0"/>
    <s v="Não"/>
    <x v="0"/>
    <d v="2025-09-15T00:00:00"/>
    <d v="2025-09-01T00:00:00"/>
    <s v="seg"/>
    <x v="7"/>
    <x v="1"/>
    <m/>
    <s v="212945915"/>
  </r>
  <r>
    <n v="2129"/>
    <n v="52"/>
    <s v="Masculino"/>
    <s v="Montagem"/>
    <s v="Operador"/>
    <s v="2º Turno"/>
    <x v="0"/>
    <s v="Não"/>
    <x v="0"/>
    <d v="2025-12-03T00:00:00"/>
    <d v="2025-12-01T00:00:00"/>
    <s v="qua"/>
    <x v="8"/>
    <x v="1"/>
    <m/>
    <s v="212945994"/>
  </r>
  <r>
    <n v="2129"/>
    <n v="52"/>
    <s v="Masculino"/>
    <s v="Montagem"/>
    <s v="Operador"/>
    <s v="2º Turno"/>
    <x v="0"/>
    <s v="Não"/>
    <x v="0"/>
    <d v="2025-12-07T00:00:00"/>
    <d v="2025-12-01T00:00:00"/>
    <s v="dom"/>
    <x v="8"/>
    <x v="1"/>
    <m/>
    <s v="212945998"/>
  </r>
  <r>
    <n v="2131"/>
    <n v="23"/>
    <s v="Masculino"/>
    <s v="Logistica"/>
    <s v="Operador"/>
    <s v="1º Turno"/>
    <x v="0"/>
    <s v="Sim"/>
    <x v="1"/>
    <d v="2025-07-03T00:00:00"/>
    <d v="2025-07-01T00:00:00"/>
    <s v="qui"/>
    <x v="6"/>
    <x v="1"/>
    <d v="2025-07-26T00:00:00"/>
    <s v="213145841"/>
  </r>
  <r>
    <n v="2132"/>
    <n v="26"/>
    <s v="Feminino"/>
    <s v="Logistica"/>
    <s v="Operador"/>
    <s v="1º Turno"/>
    <x v="0"/>
    <s v="Não"/>
    <x v="2"/>
    <d v="2025-07-19T00:00:00"/>
    <d v="2025-07-01T00:00:00"/>
    <s v="sáb"/>
    <x v="6"/>
    <x v="1"/>
    <m/>
    <s v="213245857"/>
  </r>
  <r>
    <n v="2132"/>
    <n v="26"/>
    <s v="Feminino"/>
    <s v="Logistica"/>
    <s v="Operador"/>
    <s v="1º Turno"/>
    <x v="0"/>
    <s v="Não"/>
    <x v="2"/>
    <d v="2025-10-29T00:00:00"/>
    <d v="2025-10-01T00:00:00"/>
    <s v="qua"/>
    <x v="11"/>
    <x v="1"/>
    <m/>
    <s v="213245959"/>
  </r>
  <r>
    <n v="2132"/>
    <n v="26"/>
    <s v="Feminino"/>
    <s v="Logistica"/>
    <s v="Operador"/>
    <s v="1º Turno"/>
    <x v="0"/>
    <s v="Não"/>
    <x v="2"/>
    <d v="2025-11-01T00:00:00"/>
    <d v="2025-11-01T00:00:00"/>
    <s v="sáb"/>
    <x v="10"/>
    <x v="1"/>
    <m/>
    <s v="213245962"/>
  </r>
  <r>
    <n v="2132"/>
    <n v="26"/>
    <s v="Feminino"/>
    <s v="Logistica"/>
    <s v="Operador"/>
    <s v="1º Turno"/>
    <x v="0"/>
    <s v="Não"/>
    <x v="2"/>
    <d v="2025-12-28T00:00:00"/>
    <d v="2025-12-01T00:00:00"/>
    <s v="dom"/>
    <x v="8"/>
    <x v="1"/>
    <m/>
    <s v="213246019"/>
  </r>
  <r>
    <n v="2132"/>
    <n v="26"/>
    <s v="Feminino"/>
    <s v="Logistica"/>
    <s v="Operador"/>
    <s v="1º Turno"/>
    <x v="0"/>
    <s v="Não"/>
    <x v="2"/>
    <d v="2026-02-23T00:00:00"/>
    <d v="2026-02-01T00:00:00"/>
    <s v="seg"/>
    <x v="3"/>
    <x v="0"/>
    <m/>
    <s v="213246076"/>
  </r>
  <r>
    <n v="2132"/>
    <n v="26"/>
    <s v="Feminino"/>
    <s v="Logistica"/>
    <s v="Operador"/>
    <s v="1º Turno"/>
    <x v="0"/>
    <s v="Não"/>
    <x v="2"/>
    <d v="2026-03-29T00:00:00"/>
    <d v="2026-03-01T00:00:00"/>
    <s v="dom"/>
    <x v="4"/>
    <x v="0"/>
    <m/>
    <s v="213246110"/>
  </r>
  <r>
    <n v="2132"/>
    <n v="26"/>
    <s v="Feminino"/>
    <s v="Logistica"/>
    <s v="Operador"/>
    <s v="1º Turno"/>
    <x v="0"/>
    <s v="Não"/>
    <x v="2"/>
    <d v="2026-05-20T00:00:00"/>
    <d v="2026-05-01T00:00:00"/>
    <s v="qua"/>
    <x v="0"/>
    <x v="0"/>
    <m/>
    <s v="213246162"/>
  </r>
  <r>
    <n v="2134"/>
    <n v="33"/>
    <s v="Masculino"/>
    <s v="Soldagem"/>
    <s v="Operador"/>
    <s v="3º Turno"/>
    <x v="0"/>
    <s v="Não"/>
    <x v="1"/>
    <d v="2025-06-15T00:00:00"/>
    <d v="2025-06-01T00:00:00"/>
    <s v="dom"/>
    <x v="1"/>
    <x v="1"/>
    <m/>
    <s v="213445823"/>
  </r>
  <r>
    <n v="2134"/>
    <n v="33"/>
    <s v="Masculino"/>
    <s v="Soldagem"/>
    <s v="Operador"/>
    <s v="3º Turno"/>
    <x v="0"/>
    <s v="Não"/>
    <x v="1"/>
    <d v="2025-07-29T00:00:00"/>
    <d v="2025-07-01T00:00:00"/>
    <s v="ter"/>
    <x v="6"/>
    <x v="1"/>
    <m/>
    <s v="213445867"/>
  </r>
  <r>
    <n v="2134"/>
    <n v="33"/>
    <s v="Masculino"/>
    <s v="Soldagem"/>
    <s v="Operador"/>
    <s v="3º Turno"/>
    <x v="0"/>
    <s v="Não"/>
    <x v="1"/>
    <d v="2025-08-09T00:00:00"/>
    <d v="2025-08-01T00:00:00"/>
    <s v="sáb"/>
    <x v="9"/>
    <x v="1"/>
    <m/>
    <s v="213445878"/>
  </r>
  <r>
    <n v="2134"/>
    <n v="33"/>
    <s v="Masculino"/>
    <s v="Soldagem"/>
    <s v="Operador"/>
    <s v="3º Turno"/>
    <x v="0"/>
    <s v="Não"/>
    <x v="1"/>
    <d v="2025-08-29T00:00:00"/>
    <d v="2025-08-01T00:00:00"/>
    <s v="sex"/>
    <x v="9"/>
    <x v="1"/>
    <m/>
    <s v="213445898"/>
  </r>
  <r>
    <n v="2134"/>
    <n v="33"/>
    <s v="Masculino"/>
    <s v="Soldagem"/>
    <s v="Operador"/>
    <s v="3º Turno"/>
    <x v="0"/>
    <s v="Não"/>
    <x v="1"/>
    <d v="2025-11-18T00:00:00"/>
    <d v="2025-11-01T00:00:00"/>
    <s v="ter"/>
    <x v="10"/>
    <x v="1"/>
    <m/>
    <s v="213445979"/>
  </r>
  <r>
    <n v="2134"/>
    <n v="33"/>
    <s v="Masculino"/>
    <s v="Soldagem"/>
    <s v="Operador"/>
    <s v="3º Turno"/>
    <x v="0"/>
    <s v="Não"/>
    <x v="1"/>
    <d v="2025-12-05T00:00:00"/>
    <d v="2025-12-01T00:00:00"/>
    <s v="sex"/>
    <x v="8"/>
    <x v="1"/>
    <m/>
    <s v="213445996"/>
  </r>
  <r>
    <n v="2135"/>
    <n v="41"/>
    <s v="Masculino"/>
    <s v="Qualidade"/>
    <s v="Inspetor"/>
    <s v="3º Turno"/>
    <x v="0"/>
    <s v="Sim"/>
    <x v="2"/>
    <d v="2025-01-16T00:00:00"/>
    <d v="2025-01-01T00:00:00"/>
    <s v="qui"/>
    <x v="5"/>
    <x v="1"/>
    <d v="2025-05-11T00:00:00"/>
    <s v="213545673"/>
  </r>
  <r>
    <n v="2135"/>
    <n v="41"/>
    <s v="Masculino"/>
    <s v="Qualidade"/>
    <s v="Inspetor"/>
    <s v="3º Turno"/>
    <x v="0"/>
    <s v="Sim"/>
    <x v="2"/>
    <d v="2025-01-19T00:00:00"/>
    <d v="2025-01-01T00:00:00"/>
    <s v="dom"/>
    <x v="5"/>
    <x v="1"/>
    <d v="2025-05-11T00:00:00"/>
    <s v="213545676"/>
  </r>
  <r>
    <n v="2135"/>
    <n v="41"/>
    <s v="Masculino"/>
    <s v="Qualidade"/>
    <s v="Inspetor"/>
    <s v="3º Turno"/>
    <x v="5"/>
    <s v="Sim"/>
    <x v="2"/>
    <d v="2025-03-18T00:00:00"/>
    <d v="2025-03-01T00:00:00"/>
    <s v="ter"/>
    <x v="4"/>
    <x v="1"/>
    <d v="2025-05-11T00:00:00"/>
    <s v="213545734"/>
  </r>
  <r>
    <n v="2135"/>
    <n v="41"/>
    <s v="Masculino"/>
    <s v="Qualidade"/>
    <s v="Inspetor"/>
    <s v="3º Turno"/>
    <x v="0"/>
    <s v="Sim"/>
    <x v="2"/>
    <d v="2025-04-25T00:00:00"/>
    <d v="2025-04-01T00:00:00"/>
    <s v="sex"/>
    <x v="2"/>
    <x v="1"/>
    <d v="2025-05-11T00:00:00"/>
    <s v="213545772"/>
  </r>
  <r>
    <n v="2135"/>
    <n v="41"/>
    <s v="Masculino"/>
    <s v="Qualidade"/>
    <s v="Inspetor"/>
    <s v="3º Turno"/>
    <x v="0"/>
    <s v="Sim"/>
    <x v="2"/>
    <d v="2025-04-26T00:00:00"/>
    <d v="2025-04-01T00:00:00"/>
    <s v="sáb"/>
    <x v="2"/>
    <x v="1"/>
    <d v="2025-05-11T00:00:00"/>
    <s v="213545773"/>
  </r>
  <r>
    <n v="2135"/>
    <n v="41"/>
    <s v="Masculino"/>
    <s v="Qualidade"/>
    <s v="Inspetor"/>
    <s v="3º Turno"/>
    <x v="0"/>
    <s v="Sim"/>
    <x v="2"/>
    <d v="2025-05-06T00:00:00"/>
    <d v="2025-05-01T00:00:00"/>
    <s v="ter"/>
    <x v="0"/>
    <x v="1"/>
    <d v="2025-05-11T00:00:00"/>
    <s v="213545783"/>
  </r>
  <r>
    <n v="2137"/>
    <n v="21"/>
    <s v="Feminino"/>
    <s v="Montagem"/>
    <s v="Operador"/>
    <s v="2º Turno"/>
    <x v="0"/>
    <s v="Não"/>
    <x v="0"/>
    <d v="2025-08-02T00:00:00"/>
    <d v="2025-08-01T00:00:00"/>
    <s v="sáb"/>
    <x v="9"/>
    <x v="1"/>
    <m/>
    <s v="213745871"/>
  </r>
  <r>
    <n v="2137"/>
    <n v="21"/>
    <s v="Feminino"/>
    <s v="Montagem"/>
    <s v="Operador"/>
    <s v="2º Turno"/>
    <x v="0"/>
    <s v="Não"/>
    <x v="0"/>
    <d v="2025-08-29T00:00:00"/>
    <d v="2025-08-01T00:00:00"/>
    <s v="sex"/>
    <x v="9"/>
    <x v="1"/>
    <m/>
    <s v="213745898"/>
  </r>
  <r>
    <n v="2137"/>
    <n v="21"/>
    <s v="Feminino"/>
    <s v="Montagem"/>
    <s v="Operador"/>
    <s v="2º Turno"/>
    <x v="0"/>
    <s v="Não"/>
    <x v="0"/>
    <d v="2025-11-28T00:00:00"/>
    <d v="2025-11-01T00:00:00"/>
    <s v="sex"/>
    <x v="10"/>
    <x v="1"/>
    <m/>
    <s v="213745989"/>
  </r>
  <r>
    <n v="2137"/>
    <n v="21"/>
    <s v="Feminino"/>
    <s v="Montagem"/>
    <s v="Operador"/>
    <s v="2º Turno"/>
    <x v="0"/>
    <s v="Não"/>
    <x v="0"/>
    <d v="2026-06-16T00:00:00"/>
    <d v="2026-01-01T00:00:00"/>
    <s v="ter"/>
    <x v="1"/>
    <x v="0"/>
    <m/>
    <s v="213746189"/>
  </r>
  <r>
    <n v="2139"/>
    <n v="32"/>
    <s v="Masculino"/>
    <s v="Pintura"/>
    <s v="Operador"/>
    <s v="3º Turno"/>
    <x v="0"/>
    <s v="Sim"/>
    <x v="2"/>
    <d v="2025-01-19T00:00:00"/>
    <d v="2025-01-01T00:00:00"/>
    <s v="dom"/>
    <x v="5"/>
    <x v="1"/>
    <d v="2025-05-30T00:00:00"/>
    <s v="213945676"/>
  </r>
  <r>
    <n v="2139"/>
    <n v="32"/>
    <s v="Masculino"/>
    <s v="Pintura"/>
    <s v="Operador"/>
    <s v="3º Turno"/>
    <x v="0"/>
    <s v="Sim"/>
    <x v="2"/>
    <d v="2025-05-14T00:00:00"/>
    <d v="2025-05-01T00:00:00"/>
    <s v="qua"/>
    <x v="0"/>
    <x v="1"/>
    <d v="2025-05-30T00:00:00"/>
    <s v="213945791"/>
  </r>
  <r>
    <n v="2139"/>
    <n v="32"/>
    <s v="Masculino"/>
    <s v="Pintura"/>
    <s v="Operador"/>
    <s v="3º Turno"/>
    <x v="0"/>
    <s v="Sim"/>
    <x v="2"/>
    <d v="2025-05-18T00:00:00"/>
    <d v="2025-05-01T00:00:00"/>
    <s v="dom"/>
    <x v="0"/>
    <x v="1"/>
    <d v="2025-05-30T00:00:00"/>
    <s v="213945795"/>
  </r>
  <r>
    <n v="2139"/>
    <n v="32"/>
    <s v="Masculino"/>
    <s v="Pintura"/>
    <s v="Operador"/>
    <s v="3º Turno"/>
    <x v="0"/>
    <s v="Sim"/>
    <x v="2"/>
    <d v="2025-05-19T00:00:00"/>
    <d v="2025-05-01T00:00:00"/>
    <s v="seg"/>
    <x v="0"/>
    <x v="1"/>
    <d v="2025-05-30T00:00:00"/>
    <s v="213945796"/>
  </r>
  <r>
    <n v="2139"/>
    <n v="32"/>
    <s v="Masculino"/>
    <s v="Pintura"/>
    <s v="Operador"/>
    <s v="3º Turno"/>
    <x v="0"/>
    <s v="Sim"/>
    <x v="2"/>
    <d v="2025-05-20T00:00:00"/>
    <d v="2025-05-01T00:00:00"/>
    <s v="ter"/>
    <x v="0"/>
    <x v="1"/>
    <d v="2025-05-30T00:00:00"/>
    <s v="213945797"/>
  </r>
  <r>
    <n v="2139"/>
    <n v="32"/>
    <s v="Masculino"/>
    <s v="Pintura"/>
    <s v="Operador"/>
    <s v="3º Turno"/>
    <x v="0"/>
    <s v="Sim"/>
    <x v="2"/>
    <d v="2025-05-22T00:00:00"/>
    <d v="2025-05-01T00:00:00"/>
    <s v="qui"/>
    <x v="0"/>
    <x v="1"/>
    <d v="2025-05-30T00:00:00"/>
    <s v="213945799"/>
  </r>
  <r>
    <n v="2140"/>
    <n v="39"/>
    <s v="Feminino"/>
    <s v="Qualidade"/>
    <s v="Inspetor"/>
    <s v="3º Turno"/>
    <x v="0"/>
    <s v="Não"/>
    <x v="1"/>
    <d v="2025-09-01T00:00:00"/>
    <d v="2025-09-01T00:00:00"/>
    <s v="seg"/>
    <x v="7"/>
    <x v="1"/>
    <m/>
    <s v="214045901"/>
  </r>
  <r>
    <n v="2140"/>
    <n v="39"/>
    <s v="Feminino"/>
    <s v="Qualidade"/>
    <s v="Inspetor"/>
    <s v="3º Turno"/>
    <x v="0"/>
    <s v="Não"/>
    <x v="1"/>
    <d v="2025-10-04T00:00:00"/>
    <d v="2025-10-01T00:00:00"/>
    <s v="sáb"/>
    <x v="11"/>
    <x v="1"/>
    <m/>
    <s v="214045934"/>
  </r>
  <r>
    <n v="2140"/>
    <n v="39"/>
    <s v="Feminino"/>
    <s v="Qualidade"/>
    <s v="Inspetor"/>
    <s v="3º Turno"/>
    <x v="0"/>
    <s v="Não"/>
    <x v="1"/>
    <d v="2025-11-05T00:00:00"/>
    <d v="2025-11-01T00:00:00"/>
    <s v="qua"/>
    <x v="10"/>
    <x v="1"/>
    <m/>
    <s v="214045966"/>
  </r>
  <r>
    <n v="2140"/>
    <n v="39"/>
    <s v="Feminino"/>
    <s v="Qualidade"/>
    <s v="Inspetor"/>
    <s v="3º Turno"/>
    <x v="0"/>
    <s v="Não"/>
    <x v="1"/>
    <d v="2026-06-28T00:00:00"/>
    <d v="2026-01-01T00:00:00"/>
    <s v="dom"/>
    <x v="1"/>
    <x v="0"/>
    <m/>
    <s v="214046201"/>
  </r>
  <r>
    <n v="2141"/>
    <n v="37"/>
    <s v="Feminino"/>
    <s v="Soldagem"/>
    <s v="Operador"/>
    <s v="1º Turno"/>
    <x v="0"/>
    <s v="Não"/>
    <x v="2"/>
    <d v="2025-07-06T00:00:00"/>
    <d v="2025-07-01T00:00:00"/>
    <s v="dom"/>
    <x v="6"/>
    <x v="1"/>
    <m/>
    <s v="214145844"/>
  </r>
  <r>
    <n v="2141"/>
    <n v="37"/>
    <s v="Feminino"/>
    <s v="Soldagem"/>
    <s v="Operador"/>
    <s v="1º Turno"/>
    <x v="0"/>
    <s v="Não"/>
    <x v="2"/>
    <d v="2025-07-18T00:00:00"/>
    <d v="2025-07-01T00:00:00"/>
    <s v="sex"/>
    <x v="6"/>
    <x v="1"/>
    <m/>
    <s v="214145856"/>
  </r>
  <r>
    <n v="2141"/>
    <n v="37"/>
    <s v="Feminino"/>
    <s v="Soldagem"/>
    <s v="Operador"/>
    <s v="1º Turno"/>
    <x v="0"/>
    <s v="Não"/>
    <x v="2"/>
    <d v="2025-10-11T00:00:00"/>
    <d v="2025-10-01T00:00:00"/>
    <s v="sáb"/>
    <x v="11"/>
    <x v="1"/>
    <m/>
    <s v="214145941"/>
  </r>
  <r>
    <n v="2141"/>
    <n v="37"/>
    <s v="Feminino"/>
    <s v="Soldagem"/>
    <s v="Operador"/>
    <s v="1º Turno"/>
    <x v="0"/>
    <s v="Não"/>
    <x v="2"/>
    <d v="2026-06-22T00:00:00"/>
    <d v="2026-01-01T00:00:00"/>
    <s v="seg"/>
    <x v="1"/>
    <x v="0"/>
    <m/>
    <s v="214146195"/>
  </r>
  <r>
    <n v="2141"/>
    <n v="37"/>
    <s v="Feminino"/>
    <s v="Soldagem"/>
    <s v="Operador"/>
    <s v="1º Turno"/>
    <x v="0"/>
    <s v="Não"/>
    <x v="2"/>
    <d v="2026-03-09T00:00:00"/>
    <d v="2026-03-01T00:00:00"/>
    <s v="seg"/>
    <x v="4"/>
    <x v="0"/>
    <m/>
    <s v="214146090"/>
  </r>
  <r>
    <n v="2142"/>
    <n v="58"/>
    <s v="Feminino"/>
    <s v="Qualidade"/>
    <s v="Inspetor"/>
    <s v="1º Turno"/>
    <x v="0"/>
    <s v="Sim"/>
    <x v="0"/>
    <d v="2025-06-16T00:00:00"/>
    <d v="2025-06-01T00:00:00"/>
    <s v="seg"/>
    <x v="1"/>
    <x v="1"/>
    <d v="2025-12-24T00:00:00"/>
    <s v="214245824"/>
  </r>
  <r>
    <n v="2142"/>
    <n v="58"/>
    <s v="Feminino"/>
    <s v="Qualidade"/>
    <s v="Inspetor"/>
    <s v="1º Turno"/>
    <x v="0"/>
    <s v="Sim"/>
    <x v="0"/>
    <d v="2025-07-18T00:00:00"/>
    <d v="2025-07-01T00:00:00"/>
    <s v="sex"/>
    <x v="6"/>
    <x v="1"/>
    <d v="2025-12-24T00:00:00"/>
    <s v="214245856"/>
  </r>
  <r>
    <n v="2142"/>
    <n v="58"/>
    <s v="Feminino"/>
    <s v="Qualidade"/>
    <s v="Inspetor"/>
    <s v="1º Turno"/>
    <x v="0"/>
    <s v="Sim"/>
    <x v="0"/>
    <d v="2025-09-16T00:00:00"/>
    <d v="2025-09-01T00:00:00"/>
    <s v="ter"/>
    <x v="7"/>
    <x v="1"/>
    <d v="2025-12-24T00:00:00"/>
    <s v="214245916"/>
  </r>
  <r>
    <n v="2142"/>
    <n v="58"/>
    <s v="Feminino"/>
    <s v="Qualidade"/>
    <s v="Inspetor"/>
    <s v="1º Turno"/>
    <x v="0"/>
    <s v="Sim"/>
    <x v="0"/>
    <d v="2025-10-09T00:00:00"/>
    <d v="2025-10-01T00:00:00"/>
    <s v="qui"/>
    <x v="11"/>
    <x v="1"/>
    <d v="2025-12-24T00:00:00"/>
    <s v="214245939"/>
  </r>
  <r>
    <n v="2142"/>
    <n v="58"/>
    <s v="Feminino"/>
    <s v="Qualidade"/>
    <s v="Inspetor"/>
    <s v="1º Turno"/>
    <x v="0"/>
    <s v="Sim"/>
    <x v="0"/>
    <d v="2025-10-10T00:00:00"/>
    <d v="2025-10-01T00:00:00"/>
    <s v="sex"/>
    <x v="11"/>
    <x v="1"/>
    <d v="2025-12-24T00:00:00"/>
    <s v="214245940"/>
  </r>
  <r>
    <n v="2142"/>
    <n v="58"/>
    <s v="Feminino"/>
    <s v="Qualidade"/>
    <s v="Inspetor"/>
    <s v="1º Turno"/>
    <x v="0"/>
    <s v="Sim"/>
    <x v="0"/>
    <d v="2025-11-03T00:00:00"/>
    <d v="2025-11-01T00:00:00"/>
    <s v="seg"/>
    <x v="10"/>
    <x v="1"/>
    <d v="2025-12-24T00:00:00"/>
    <s v="214245964"/>
  </r>
  <r>
    <n v="2143"/>
    <n v="26"/>
    <s v="Feminino"/>
    <s v="Montagem"/>
    <s v="Operador"/>
    <s v="1º Turno"/>
    <x v="0"/>
    <s v="Não"/>
    <x v="1"/>
    <d v="2025-07-02T00:00:00"/>
    <d v="2025-07-01T00:00:00"/>
    <s v="qua"/>
    <x v="6"/>
    <x v="1"/>
    <m/>
    <s v="214345840"/>
  </r>
  <r>
    <n v="2143"/>
    <n v="26"/>
    <s v="Feminino"/>
    <s v="Montagem"/>
    <s v="Operador"/>
    <s v="1º Turno"/>
    <x v="0"/>
    <s v="Não"/>
    <x v="1"/>
    <d v="2025-07-10T00:00:00"/>
    <d v="2025-07-01T00:00:00"/>
    <s v="qui"/>
    <x v="6"/>
    <x v="1"/>
    <m/>
    <s v="214345848"/>
  </r>
  <r>
    <n v="2143"/>
    <n v="26"/>
    <s v="Feminino"/>
    <s v="Montagem"/>
    <s v="Operador"/>
    <s v="1º Turno"/>
    <x v="0"/>
    <s v="Não"/>
    <x v="1"/>
    <d v="2025-07-12T00:00:00"/>
    <d v="2025-07-01T00:00:00"/>
    <s v="sáb"/>
    <x v="6"/>
    <x v="1"/>
    <m/>
    <s v="214345850"/>
  </r>
  <r>
    <n v="2143"/>
    <n v="26"/>
    <s v="Feminino"/>
    <s v="Montagem"/>
    <s v="Operador"/>
    <s v="1º Turno"/>
    <x v="0"/>
    <s v="Não"/>
    <x v="1"/>
    <d v="2025-07-29T00:00:00"/>
    <d v="2025-07-01T00:00:00"/>
    <s v="ter"/>
    <x v="6"/>
    <x v="1"/>
    <m/>
    <s v="214345867"/>
  </r>
  <r>
    <n v="2143"/>
    <n v="26"/>
    <s v="Feminino"/>
    <s v="Montagem"/>
    <s v="Operador"/>
    <s v="1º Turno"/>
    <x v="0"/>
    <s v="Não"/>
    <x v="1"/>
    <d v="2026-06-09T00:00:00"/>
    <d v="2026-01-01T00:00:00"/>
    <s v="ter"/>
    <x v="1"/>
    <x v="0"/>
    <m/>
    <s v="214346182"/>
  </r>
  <r>
    <n v="2143"/>
    <n v="26"/>
    <s v="Feminino"/>
    <s v="Montagem"/>
    <s v="Operador"/>
    <s v="1º Turno"/>
    <x v="0"/>
    <s v="Não"/>
    <x v="1"/>
    <d v="2026-03-12T00:00:00"/>
    <d v="2026-03-01T00:00:00"/>
    <s v="qui"/>
    <x v="4"/>
    <x v="0"/>
    <m/>
    <s v="214346093"/>
  </r>
  <r>
    <n v="2145"/>
    <n v="49"/>
    <s v="Feminino"/>
    <s v="Soldagem"/>
    <s v="Operador"/>
    <s v="1º Turno"/>
    <x v="0"/>
    <s v="Não"/>
    <x v="1"/>
    <d v="2025-06-19T00:00:00"/>
    <d v="2025-06-01T00:00:00"/>
    <s v="qui"/>
    <x v="1"/>
    <x v="1"/>
    <m/>
    <s v="214545827"/>
  </r>
  <r>
    <n v="2145"/>
    <n v="49"/>
    <s v="Feminino"/>
    <s v="Soldagem"/>
    <s v="Operador"/>
    <s v="1º Turno"/>
    <x v="0"/>
    <s v="Não"/>
    <x v="1"/>
    <d v="2025-06-29T00:00:00"/>
    <d v="2025-06-01T00:00:00"/>
    <s v="dom"/>
    <x v="1"/>
    <x v="1"/>
    <m/>
    <s v="214545837"/>
  </r>
  <r>
    <n v="2145"/>
    <n v="49"/>
    <s v="Feminino"/>
    <s v="Soldagem"/>
    <s v="Operador"/>
    <s v="1º Turno"/>
    <x v="0"/>
    <s v="Não"/>
    <x v="1"/>
    <d v="2025-07-25T00:00:00"/>
    <d v="2025-07-01T00:00:00"/>
    <s v="sex"/>
    <x v="6"/>
    <x v="1"/>
    <m/>
    <s v="214545863"/>
  </r>
  <r>
    <n v="2145"/>
    <n v="49"/>
    <s v="Feminino"/>
    <s v="Soldagem"/>
    <s v="Operador"/>
    <s v="1º Turno"/>
    <x v="0"/>
    <s v="Não"/>
    <x v="1"/>
    <d v="2025-08-19T00:00:00"/>
    <d v="2025-08-01T00:00:00"/>
    <s v="ter"/>
    <x v="9"/>
    <x v="1"/>
    <m/>
    <s v="214545888"/>
  </r>
  <r>
    <n v="2145"/>
    <n v="49"/>
    <s v="Feminino"/>
    <s v="Soldagem"/>
    <s v="Operador"/>
    <s v="1º Turno"/>
    <x v="0"/>
    <s v="Não"/>
    <x v="1"/>
    <d v="2025-09-01T00:00:00"/>
    <d v="2025-09-01T00:00:00"/>
    <s v="seg"/>
    <x v="7"/>
    <x v="1"/>
    <m/>
    <s v="214545901"/>
  </r>
  <r>
    <n v="2145"/>
    <n v="49"/>
    <s v="Feminino"/>
    <s v="Soldagem"/>
    <s v="Operador"/>
    <s v="1º Turno"/>
    <x v="0"/>
    <s v="Não"/>
    <x v="1"/>
    <d v="2026-02-02T00:00:00"/>
    <d v="2026-02-01T00:00:00"/>
    <s v="seg"/>
    <x v="3"/>
    <x v="0"/>
    <m/>
    <s v="214546055"/>
  </r>
  <r>
    <n v="2146"/>
    <n v="22"/>
    <s v="Feminino"/>
    <s v="Soldagem"/>
    <s v="Operador"/>
    <s v="1º Turno"/>
    <x v="0"/>
    <s v="Não"/>
    <x v="1"/>
    <d v="2025-04-26T00:00:00"/>
    <d v="2025-04-01T00:00:00"/>
    <s v="sáb"/>
    <x v="2"/>
    <x v="1"/>
    <m/>
    <s v="214645773"/>
  </r>
  <r>
    <n v="2146"/>
    <n v="22"/>
    <s v="Feminino"/>
    <s v="Soldagem"/>
    <s v="Operador"/>
    <s v="1º Turno"/>
    <x v="0"/>
    <s v="Não"/>
    <x v="1"/>
    <d v="2025-09-07T00:00:00"/>
    <d v="2025-09-01T00:00:00"/>
    <s v="dom"/>
    <x v="7"/>
    <x v="1"/>
    <m/>
    <s v="214645907"/>
  </r>
  <r>
    <n v="2146"/>
    <n v="22"/>
    <s v="Feminino"/>
    <s v="Soldagem"/>
    <s v="Operador"/>
    <s v="1º Turno"/>
    <x v="0"/>
    <s v="Não"/>
    <x v="1"/>
    <d v="2025-11-24T00:00:00"/>
    <d v="2025-11-01T00:00:00"/>
    <s v="seg"/>
    <x v="10"/>
    <x v="1"/>
    <m/>
    <s v="214645985"/>
  </r>
  <r>
    <n v="2146"/>
    <n v="22"/>
    <s v="Feminino"/>
    <s v="Soldagem"/>
    <s v="Operador"/>
    <s v="1º Turno"/>
    <x v="0"/>
    <s v="Não"/>
    <x v="1"/>
    <d v="2026-06-01T00:00:00"/>
    <d v="2026-01-01T00:00:00"/>
    <s v="seg"/>
    <x v="1"/>
    <x v="0"/>
    <m/>
    <s v="214646174"/>
  </r>
  <r>
    <n v="2146"/>
    <n v="22"/>
    <s v="Feminino"/>
    <s v="Soldagem"/>
    <s v="Operador"/>
    <s v="1º Turno"/>
    <x v="0"/>
    <s v="Não"/>
    <x v="1"/>
    <d v="2026-02-04T00:00:00"/>
    <d v="2026-02-01T00:00:00"/>
    <s v="qua"/>
    <x v="3"/>
    <x v="0"/>
    <m/>
    <s v="214646057"/>
  </r>
  <r>
    <n v="2146"/>
    <n v="22"/>
    <s v="Feminino"/>
    <s v="Soldagem"/>
    <s v="Operador"/>
    <s v="1º Turno"/>
    <x v="0"/>
    <s v="Não"/>
    <x v="1"/>
    <d v="2026-02-22T00:00:00"/>
    <d v="2026-02-01T00:00:00"/>
    <s v="dom"/>
    <x v="3"/>
    <x v="0"/>
    <m/>
    <s v="214646075"/>
  </r>
  <r>
    <n v="2146"/>
    <n v="22"/>
    <s v="Feminino"/>
    <s v="Soldagem"/>
    <s v="Operador"/>
    <s v="1º Turno"/>
    <x v="0"/>
    <s v="Não"/>
    <x v="1"/>
    <d v="2026-04-26T00:00:00"/>
    <d v="2026-04-01T00:00:00"/>
    <s v="sáb"/>
    <x v="2"/>
    <x v="1"/>
    <m/>
    <s v="214646138"/>
  </r>
  <r>
    <n v="2147"/>
    <n v="50"/>
    <s v="Masculino"/>
    <s v="Soldagem"/>
    <s v="Operador"/>
    <s v="2º Turno"/>
    <x v="0"/>
    <s v="Não"/>
    <x v="0"/>
    <d v="2025-08-04T00:00:00"/>
    <d v="2025-08-01T00:00:00"/>
    <s v="seg"/>
    <x v="9"/>
    <x v="1"/>
    <m/>
    <s v="214745873"/>
  </r>
  <r>
    <n v="2147"/>
    <n v="50"/>
    <s v="Masculino"/>
    <s v="Soldagem"/>
    <s v="Operador"/>
    <s v="2º Turno"/>
    <x v="0"/>
    <s v="Não"/>
    <x v="0"/>
    <d v="2025-08-18T00:00:00"/>
    <d v="2025-08-01T00:00:00"/>
    <s v="seg"/>
    <x v="9"/>
    <x v="1"/>
    <m/>
    <s v="214745887"/>
  </r>
  <r>
    <n v="2147"/>
    <n v="50"/>
    <s v="Masculino"/>
    <s v="Soldagem"/>
    <s v="Operador"/>
    <s v="2º Turno"/>
    <x v="0"/>
    <s v="Não"/>
    <x v="0"/>
    <d v="2025-09-04T00:00:00"/>
    <d v="2025-09-01T00:00:00"/>
    <s v="qui"/>
    <x v="7"/>
    <x v="1"/>
    <m/>
    <s v="214745904"/>
  </r>
  <r>
    <n v="2147"/>
    <n v="50"/>
    <s v="Masculino"/>
    <s v="Soldagem"/>
    <s v="Operador"/>
    <s v="2º Turno"/>
    <x v="0"/>
    <s v="Não"/>
    <x v="0"/>
    <d v="2025-11-11T00:00:00"/>
    <d v="2025-11-01T00:00:00"/>
    <s v="ter"/>
    <x v="10"/>
    <x v="1"/>
    <m/>
    <s v="214745972"/>
  </r>
  <r>
    <n v="2147"/>
    <n v="50"/>
    <s v="Masculino"/>
    <s v="Soldagem"/>
    <s v="Operador"/>
    <s v="2º Turno"/>
    <x v="0"/>
    <s v="Não"/>
    <x v="0"/>
    <d v="2025-11-18T00:00:00"/>
    <d v="2025-11-01T00:00:00"/>
    <s v="ter"/>
    <x v="10"/>
    <x v="1"/>
    <m/>
    <s v="214745979"/>
  </r>
  <r>
    <n v="2147"/>
    <n v="50"/>
    <s v="Masculino"/>
    <s v="Soldagem"/>
    <s v="Operador"/>
    <s v="2º Turno"/>
    <x v="0"/>
    <s v="Não"/>
    <x v="0"/>
    <d v="2025-12-04T00:00:00"/>
    <d v="2025-12-01T00:00:00"/>
    <s v="qui"/>
    <x v="8"/>
    <x v="1"/>
    <m/>
    <s v="214745995"/>
  </r>
  <r>
    <n v="2149"/>
    <n v="45"/>
    <s v="Feminino"/>
    <s v="Soldagem"/>
    <s v="Operador"/>
    <s v="3º Turno"/>
    <x v="0"/>
    <s v="Sim"/>
    <x v="1"/>
    <d v="2025-05-31T00:00:00"/>
    <d v="2025-05-01T00:00:00"/>
    <s v="sáb"/>
    <x v="0"/>
    <x v="1"/>
    <d v="2026-01-03T00:00:00"/>
    <s v="214945808"/>
  </r>
  <r>
    <n v="2149"/>
    <n v="45"/>
    <s v="Feminino"/>
    <s v="Soldagem"/>
    <s v="Operador"/>
    <s v="3º Turno"/>
    <x v="0"/>
    <s v="Sim"/>
    <x v="1"/>
    <d v="2025-09-15T00:00:00"/>
    <d v="2025-09-01T00:00:00"/>
    <s v="seg"/>
    <x v="7"/>
    <x v="1"/>
    <d v="2026-01-03T00:00:00"/>
    <s v="214945915"/>
  </r>
  <r>
    <n v="2149"/>
    <n v="45"/>
    <s v="Feminino"/>
    <s v="Soldagem"/>
    <s v="Operador"/>
    <s v="3º Turno"/>
    <x v="0"/>
    <s v="Sim"/>
    <x v="1"/>
    <d v="2025-11-08T00:00:00"/>
    <d v="2025-11-01T00:00:00"/>
    <s v="sáb"/>
    <x v="10"/>
    <x v="1"/>
    <d v="2026-01-03T00:00:00"/>
    <s v="214945969"/>
  </r>
  <r>
    <n v="2149"/>
    <n v="45"/>
    <s v="Feminino"/>
    <s v="Soldagem"/>
    <s v="Operador"/>
    <s v="3º Turno"/>
    <x v="0"/>
    <s v="Sim"/>
    <x v="1"/>
    <d v="2025-11-09T00:00:00"/>
    <d v="2025-11-01T00:00:00"/>
    <s v="dom"/>
    <x v="10"/>
    <x v="1"/>
    <d v="2026-01-03T00:00:00"/>
    <s v="214945970"/>
  </r>
  <r>
    <n v="2149"/>
    <n v="45"/>
    <s v="Feminino"/>
    <s v="Soldagem"/>
    <s v="Operador"/>
    <s v="3º Turno"/>
    <x v="0"/>
    <s v="Sim"/>
    <x v="1"/>
    <d v="2025-11-14T00:00:00"/>
    <d v="2025-11-01T00:00:00"/>
    <s v="sex"/>
    <x v="10"/>
    <x v="1"/>
    <d v="2026-01-03T00:00:00"/>
    <s v="214945975"/>
  </r>
  <r>
    <n v="2149"/>
    <n v="45"/>
    <s v="Feminino"/>
    <s v="Soldagem"/>
    <s v="Operador"/>
    <s v="3º Turno"/>
    <x v="0"/>
    <s v="Sim"/>
    <x v="1"/>
    <d v="2025-12-17T00:00:00"/>
    <d v="2025-12-01T00:00:00"/>
    <s v="qua"/>
    <x v="8"/>
    <x v="1"/>
    <d v="2026-01-03T00:00:00"/>
    <s v="214946008"/>
  </r>
  <r>
    <n v="2150"/>
    <n v="40"/>
    <s v="Masculino"/>
    <s v="Montagem"/>
    <s v="Operador"/>
    <s v="1º Turno"/>
    <x v="0"/>
    <s v="Não"/>
    <x v="1"/>
    <d v="2025-08-12T00:00:00"/>
    <d v="2025-08-01T00:00:00"/>
    <s v="ter"/>
    <x v="9"/>
    <x v="1"/>
    <m/>
    <s v="215045881"/>
  </r>
  <r>
    <n v="2150"/>
    <n v="40"/>
    <s v="Masculino"/>
    <s v="Montagem"/>
    <s v="Operador"/>
    <s v="1º Turno"/>
    <x v="0"/>
    <s v="Não"/>
    <x v="1"/>
    <d v="2025-10-23T00:00:00"/>
    <d v="2025-10-01T00:00:00"/>
    <s v="qui"/>
    <x v="11"/>
    <x v="1"/>
    <m/>
    <s v="215045953"/>
  </r>
  <r>
    <n v="2150"/>
    <n v="40"/>
    <s v="Masculino"/>
    <s v="Montagem"/>
    <s v="Operador"/>
    <s v="1º Turno"/>
    <x v="0"/>
    <s v="Não"/>
    <x v="1"/>
    <d v="2025-10-29T00:00:00"/>
    <d v="2025-10-01T00:00:00"/>
    <s v="qua"/>
    <x v="11"/>
    <x v="1"/>
    <m/>
    <s v="215045959"/>
  </r>
  <r>
    <n v="2150"/>
    <n v="40"/>
    <s v="Masculino"/>
    <s v="Montagem"/>
    <s v="Operador"/>
    <s v="1º Turno"/>
    <x v="0"/>
    <s v="Não"/>
    <x v="1"/>
    <d v="2025-11-13T00:00:00"/>
    <d v="2025-11-01T00:00:00"/>
    <s v="qui"/>
    <x v="10"/>
    <x v="1"/>
    <m/>
    <s v="215045974"/>
  </r>
  <r>
    <n v="2150"/>
    <n v="40"/>
    <s v="Masculino"/>
    <s v="Montagem"/>
    <s v="Operador"/>
    <s v="1º Turno"/>
    <x v="0"/>
    <s v="Não"/>
    <x v="1"/>
    <d v="2026-06-20T00:00:00"/>
    <d v="2026-01-01T00:00:00"/>
    <s v="sáb"/>
    <x v="1"/>
    <x v="0"/>
    <m/>
    <s v="215046193"/>
  </r>
  <r>
    <n v="2150"/>
    <n v="40"/>
    <s v="Masculino"/>
    <s v="Montagem"/>
    <s v="Operador"/>
    <s v="1º Turno"/>
    <x v="0"/>
    <s v="Não"/>
    <x v="1"/>
    <d v="2026-03-26T00:00:00"/>
    <d v="2026-03-01T00:00:00"/>
    <s v="qui"/>
    <x v="4"/>
    <x v="0"/>
    <m/>
    <s v="215046107"/>
  </r>
  <r>
    <n v="2150"/>
    <n v="40"/>
    <s v="Masculino"/>
    <s v="Montagem"/>
    <s v="Operador"/>
    <s v="1º Turno"/>
    <x v="0"/>
    <s v="Não"/>
    <x v="1"/>
    <d v="2026-04-10T00:00:00"/>
    <d v="2026-04-01T00:00:00"/>
    <s v="sex"/>
    <x v="2"/>
    <x v="0"/>
    <m/>
    <s v="215046122"/>
  </r>
  <r>
    <n v="2151"/>
    <n v="22"/>
    <s v="Masculino"/>
    <s v="Pintura"/>
    <s v="Operador"/>
    <s v="3º Turno"/>
    <x v="0"/>
    <s v="Não"/>
    <x v="1"/>
    <d v="2025-09-07T00:00:00"/>
    <d v="2025-09-01T00:00:00"/>
    <s v="dom"/>
    <x v="7"/>
    <x v="1"/>
    <m/>
    <s v="215145907"/>
  </r>
  <r>
    <n v="2151"/>
    <n v="22"/>
    <s v="Masculino"/>
    <s v="Pintura"/>
    <s v="Operador"/>
    <s v="3º Turno"/>
    <x v="0"/>
    <s v="Não"/>
    <x v="1"/>
    <d v="2025-09-10T00:00:00"/>
    <d v="2025-09-01T00:00:00"/>
    <s v="qua"/>
    <x v="7"/>
    <x v="1"/>
    <m/>
    <s v="215145910"/>
  </r>
  <r>
    <n v="2151"/>
    <n v="22"/>
    <s v="Masculino"/>
    <s v="Pintura"/>
    <s v="Operador"/>
    <s v="3º Turno"/>
    <x v="0"/>
    <s v="Não"/>
    <x v="1"/>
    <d v="2025-09-20T00:00:00"/>
    <d v="2025-09-01T00:00:00"/>
    <s v="sáb"/>
    <x v="7"/>
    <x v="1"/>
    <m/>
    <s v="215145920"/>
  </r>
  <r>
    <n v="2151"/>
    <n v="22"/>
    <s v="Masculino"/>
    <s v="Pintura"/>
    <s v="Operador"/>
    <s v="3º Turno"/>
    <x v="0"/>
    <s v="Não"/>
    <x v="1"/>
    <d v="2025-11-04T00:00:00"/>
    <d v="2025-11-01T00:00:00"/>
    <s v="ter"/>
    <x v="10"/>
    <x v="1"/>
    <m/>
    <s v="215145965"/>
  </r>
  <r>
    <n v="2151"/>
    <n v="22"/>
    <s v="Masculino"/>
    <s v="Pintura"/>
    <s v="Operador"/>
    <s v="3º Turno"/>
    <x v="0"/>
    <s v="Não"/>
    <x v="1"/>
    <d v="2025-11-15T00:00:00"/>
    <d v="2025-11-01T00:00:00"/>
    <s v="sáb"/>
    <x v="10"/>
    <x v="1"/>
    <m/>
    <s v="215145976"/>
  </r>
  <r>
    <n v="2152"/>
    <n v="34"/>
    <s v="Feminino"/>
    <s v="Logistica"/>
    <s v="Operador"/>
    <s v="3º Turno"/>
    <x v="0"/>
    <s v="Não"/>
    <x v="2"/>
    <d v="2025-07-07T00:00:00"/>
    <d v="2025-07-01T00:00:00"/>
    <s v="seg"/>
    <x v="6"/>
    <x v="1"/>
    <m/>
    <s v="215245845"/>
  </r>
  <r>
    <n v="2152"/>
    <n v="34"/>
    <s v="Feminino"/>
    <s v="Logistica"/>
    <s v="Operador"/>
    <s v="3º Turno"/>
    <x v="0"/>
    <s v="Não"/>
    <x v="2"/>
    <d v="2025-10-28T00:00:00"/>
    <d v="2025-10-01T00:00:00"/>
    <s v="ter"/>
    <x v="11"/>
    <x v="1"/>
    <m/>
    <s v="215245958"/>
  </r>
  <r>
    <n v="2152"/>
    <n v="34"/>
    <s v="Feminino"/>
    <s v="Logistica"/>
    <s v="Operador"/>
    <s v="3º Turno"/>
    <x v="0"/>
    <s v="Não"/>
    <x v="2"/>
    <d v="2026-06-23T00:00:00"/>
    <d v="2026-01-01T00:00:00"/>
    <s v="ter"/>
    <x v="1"/>
    <x v="0"/>
    <m/>
    <s v="215246196"/>
  </r>
  <r>
    <n v="2152"/>
    <n v="34"/>
    <s v="Feminino"/>
    <s v="Logistica"/>
    <s v="Operador"/>
    <s v="3º Turno"/>
    <x v="0"/>
    <s v="Não"/>
    <x v="2"/>
    <d v="2026-02-03T00:00:00"/>
    <d v="2026-02-01T00:00:00"/>
    <s v="ter"/>
    <x v="3"/>
    <x v="0"/>
    <m/>
    <s v="215246056"/>
  </r>
  <r>
    <n v="2152"/>
    <n v="34"/>
    <s v="Feminino"/>
    <s v="Logistica"/>
    <s v="Operador"/>
    <s v="3º Turno"/>
    <x v="0"/>
    <s v="Não"/>
    <x v="2"/>
    <d v="2026-02-14T00:00:00"/>
    <d v="2026-02-01T00:00:00"/>
    <s v="sáb"/>
    <x v="3"/>
    <x v="0"/>
    <m/>
    <s v="215246067"/>
  </r>
  <r>
    <n v="2152"/>
    <n v="34"/>
    <s v="Feminino"/>
    <s v="Logistica"/>
    <s v="Operador"/>
    <s v="3º Turno"/>
    <x v="0"/>
    <s v="Não"/>
    <x v="2"/>
    <d v="2026-03-27T00:00:00"/>
    <d v="2026-03-01T00:00:00"/>
    <s v="sex"/>
    <x v="4"/>
    <x v="0"/>
    <m/>
    <s v="215246108"/>
  </r>
  <r>
    <n v="2152"/>
    <n v="34"/>
    <s v="Feminino"/>
    <s v="Logistica"/>
    <s v="Operador"/>
    <s v="3º Turno"/>
    <x v="0"/>
    <s v="Não"/>
    <x v="2"/>
    <d v="2026-04-22T00:00:00"/>
    <d v="2026-04-01T00:00:00"/>
    <s v="qua"/>
    <x v="2"/>
    <x v="0"/>
    <m/>
    <s v="215246134"/>
  </r>
  <r>
    <n v="2153"/>
    <n v="41"/>
    <s v="Masculino"/>
    <s v="Qualidade"/>
    <s v="Analista"/>
    <s v="1º Turno"/>
    <x v="0"/>
    <s v="Não"/>
    <x v="0"/>
    <d v="2025-07-04T00:00:00"/>
    <d v="2025-07-01T00:00:00"/>
    <s v="sex"/>
    <x v="6"/>
    <x v="1"/>
    <m/>
    <s v="215345842"/>
  </r>
  <r>
    <n v="2153"/>
    <n v="41"/>
    <s v="Masculino"/>
    <s v="Qualidade"/>
    <s v="Analista"/>
    <s v="1º Turno"/>
    <x v="0"/>
    <s v="Não"/>
    <x v="0"/>
    <d v="2025-09-18T00:00:00"/>
    <d v="2025-09-01T00:00:00"/>
    <s v="qui"/>
    <x v="7"/>
    <x v="1"/>
    <m/>
    <s v="215345918"/>
  </r>
  <r>
    <n v="2153"/>
    <n v="41"/>
    <s v="Masculino"/>
    <s v="Qualidade"/>
    <s v="Analista"/>
    <s v="1º Turno"/>
    <x v="0"/>
    <s v="Não"/>
    <x v="0"/>
    <d v="2025-10-27T00:00:00"/>
    <d v="2025-10-01T00:00:00"/>
    <s v="seg"/>
    <x v="11"/>
    <x v="1"/>
    <m/>
    <s v="215345957"/>
  </r>
  <r>
    <n v="2153"/>
    <n v="41"/>
    <s v="Masculino"/>
    <s v="Qualidade"/>
    <s v="Analista"/>
    <s v="1º Turno"/>
    <x v="0"/>
    <s v="Não"/>
    <x v="0"/>
    <d v="2025-12-08T00:00:00"/>
    <d v="2025-12-01T00:00:00"/>
    <s v="seg"/>
    <x v="8"/>
    <x v="1"/>
    <m/>
    <s v="215345999"/>
  </r>
  <r>
    <n v="2153"/>
    <n v="41"/>
    <s v="Masculino"/>
    <s v="Qualidade"/>
    <s v="Analista"/>
    <s v="1º Turno"/>
    <x v="0"/>
    <s v="Não"/>
    <x v="0"/>
    <d v="2026-02-07T00:00:00"/>
    <d v="2026-02-01T00:00:00"/>
    <s v="sáb"/>
    <x v="3"/>
    <x v="0"/>
    <m/>
    <s v="215346060"/>
  </r>
  <r>
    <n v="2153"/>
    <n v="41"/>
    <s v="Masculino"/>
    <s v="Qualidade"/>
    <s v="Analista"/>
    <s v="1º Turno"/>
    <x v="0"/>
    <s v="Não"/>
    <x v="0"/>
    <d v="2026-03-27T00:00:00"/>
    <d v="2026-03-01T00:00:00"/>
    <s v="sex"/>
    <x v="4"/>
    <x v="0"/>
    <m/>
    <s v="215346108"/>
  </r>
  <r>
    <n v="2153"/>
    <n v="41"/>
    <s v="Masculino"/>
    <s v="Qualidade"/>
    <s v="Analista"/>
    <s v="1º Turno"/>
    <x v="0"/>
    <s v="Não"/>
    <x v="0"/>
    <d v="2026-06-03T00:00:00"/>
    <d v="2026-06-01T00:00:00"/>
    <s v="qua"/>
    <x v="1"/>
    <x v="0"/>
    <m/>
    <s v="215346176"/>
  </r>
  <r>
    <n v="2154"/>
    <n v="25"/>
    <s v="Feminino"/>
    <s v="Montagem"/>
    <s v="Operador"/>
    <s v="3º Turno"/>
    <x v="0"/>
    <s v="Não"/>
    <x v="2"/>
    <d v="2025-08-14T00:00:00"/>
    <d v="2025-08-01T00:00:00"/>
    <s v="qui"/>
    <x v="9"/>
    <x v="1"/>
    <m/>
    <s v="215445883"/>
  </r>
  <r>
    <n v="2154"/>
    <n v="25"/>
    <s v="Feminino"/>
    <s v="Montagem"/>
    <s v="Operador"/>
    <s v="3º Turno"/>
    <x v="0"/>
    <s v="Não"/>
    <x v="2"/>
    <d v="2025-08-22T00:00:00"/>
    <d v="2025-08-01T00:00:00"/>
    <s v="sex"/>
    <x v="9"/>
    <x v="1"/>
    <m/>
    <s v="215445891"/>
  </r>
  <r>
    <n v="2154"/>
    <n v="25"/>
    <s v="Feminino"/>
    <s v="Montagem"/>
    <s v="Operador"/>
    <s v="3º Turno"/>
    <x v="0"/>
    <s v="Não"/>
    <x v="2"/>
    <d v="2026-02-02T00:00:00"/>
    <d v="2026-02-01T00:00:00"/>
    <s v="seg"/>
    <x v="3"/>
    <x v="0"/>
    <m/>
    <s v="215446055"/>
  </r>
  <r>
    <n v="2154"/>
    <n v="25"/>
    <s v="Feminino"/>
    <s v="Montagem"/>
    <s v="Operador"/>
    <s v="3º Turno"/>
    <x v="0"/>
    <s v="Não"/>
    <x v="2"/>
    <d v="2026-03-25T00:00:00"/>
    <d v="2026-03-01T00:00:00"/>
    <s v="qua"/>
    <x v="4"/>
    <x v="0"/>
    <m/>
    <s v="215446106"/>
  </r>
  <r>
    <n v="2154"/>
    <n v="25"/>
    <s v="Feminino"/>
    <s v="Montagem"/>
    <s v="Operador"/>
    <s v="3º Turno"/>
    <x v="0"/>
    <s v="Não"/>
    <x v="2"/>
    <d v="2026-04-28T00:00:00"/>
    <d v="2026-04-01T00:00:00"/>
    <s v="ter"/>
    <x v="2"/>
    <x v="0"/>
    <m/>
    <s v="215446140"/>
  </r>
  <r>
    <n v="2156"/>
    <n v="30"/>
    <s v="Feminino"/>
    <s v="Montagem"/>
    <s v="Operador"/>
    <s v="2º Turno"/>
    <x v="0"/>
    <s v="Não"/>
    <x v="1"/>
    <d v="2025-06-02T00:00:00"/>
    <d v="2025-06-01T00:00:00"/>
    <s v="seg"/>
    <x v="1"/>
    <x v="1"/>
    <m/>
    <s v="215645810"/>
  </r>
  <r>
    <n v="2156"/>
    <n v="30"/>
    <s v="Feminino"/>
    <s v="Montagem"/>
    <s v="Operador"/>
    <s v="2º Turno"/>
    <x v="0"/>
    <s v="Não"/>
    <x v="1"/>
    <d v="2025-09-24T00:00:00"/>
    <d v="2025-09-01T00:00:00"/>
    <s v="qua"/>
    <x v="7"/>
    <x v="1"/>
    <m/>
    <s v="215645924"/>
  </r>
  <r>
    <n v="2156"/>
    <n v="30"/>
    <s v="Feminino"/>
    <s v="Montagem"/>
    <s v="Operador"/>
    <s v="2º Turno"/>
    <x v="0"/>
    <s v="Não"/>
    <x v="1"/>
    <d v="2025-12-07T00:00:00"/>
    <d v="2025-12-01T00:00:00"/>
    <s v="dom"/>
    <x v="8"/>
    <x v="1"/>
    <m/>
    <s v="215645998"/>
  </r>
  <r>
    <n v="2156"/>
    <n v="30"/>
    <s v="Feminino"/>
    <s v="Montagem"/>
    <s v="Operador"/>
    <s v="2º Turno"/>
    <x v="0"/>
    <s v="Não"/>
    <x v="1"/>
    <d v="2026-02-11T00:00:00"/>
    <d v="2026-02-01T00:00:00"/>
    <s v="qua"/>
    <x v="3"/>
    <x v="0"/>
    <m/>
    <s v="215646064"/>
  </r>
  <r>
    <n v="2156"/>
    <n v="30"/>
    <s v="Feminino"/>
    <s v="Montagem"/>
    <s v="Operador"/>
    <s v="2º Turno"/>
    <x v="0"/>
    <s v="Não"/>
    <x v="1"/>
    <d v="2026-02-14T00:00:00"/>
    <d v="2026-02-01T00:00:00"/>
    <s v="sáb"/>
    <x v="3"/>
    <x v="0"/>
    <m/>
    <s v="215646067"/>
  </r>
  <r>
    <n v="2157"/>
    <n v="42"/>
    <s v="Masculino"/>
    <s v="Montagem"/>
    <s v="Operador"/>
    <s v="3º Turno"/>
    <x v="0"/>
    <s v="Não"/>
    <x v="0"/>
    <d v="2025-08-07T00:00:00"/>
    <d v="2025-08-01T00:00:00"/>
    <s v="qui"/>
    <x v="9"/>
    <x v="1"/>
    <m/>
    <s v="215745876"/>
  </r>
  <r>
    <n v="2157"/>
    <n v="42"/>
    <s v="Masculino"/>
    <s v="Montagem"/>
    <s v="Operador"/>
    <s v="3º Turno"/>
    <x v="0"/>
    <s v="Não"/>
    <x v="0"/>
    <d v="2025-08-19T00:00:00"/>
    <d v="2025-08-01T00:00:00"/>
    <s v="ter"/>
    <x v="9"/>
    <x v="1"/>
    <m/>
    <s v="215745888"/>
  </r>
  <r>
    <n v="2157"/>
    <n v="42"/>
    <s v="Masculino"/>
    <s v="Montagem"/>
    <s v="Operador"/>
    <s v="3º Turno"/>
    <x v="0"/>
    <s v="Não"/>
    <x v="0"/>
    <d v="2025-11-18T00:00:00"/>
    <d v="2025-11-01T00:00:00"/>
    <s v="ter"/>
    <x v="10"/>
    <x v="1"/>
    <m/>
    <s v="215745979"/>
  </r>
  <r>
    <n v="2157"/>
    <n v="42"/>
    <s v="Masculino"/>
    <s v="Montagem"/>
    <s v="Operador"/>
    <s v="3º Turno"/>
    <x v="0"/>
    <s v="Não"/>
    <x v="0"/>
    <d v="2025-11-26T00:00:00"/>
    <d v="2025-11-01T00:00:00"/>
    <s v="qua"/>
    <x v="10"/>
    <x v="1"/>
    <m/>
    <s v="215745987"/>
  </r>
  <r>
    <n v="2157"/>
    <n v="42"/>
    <s v="Masculino"/>
    <s v="Montagem"/>
    <s v="Operador"/>
    <s v="3º Turno"/>
    <x v="0"/>
    <s v="Não"/>
    <x v="0"/>
    <d v="2025-12-08T00:00:00"/>
    <d v="2025-12-01T00:00:00"/>
    <s v="seg"/>
    <x v="8"/>
    <x v="1"/>
    <m/>
    <s v="215745999"/>
  </r>
  <r>
    <n v="2158"/>
    <n v="32"/>
    <s v="Masculino"/>
    <s v="Pintura"/>
    <s v="Operador"/>
    <s v="2º Turno"/>
    <x v="0"/>
    <s v="Não"/>
    <x v="1"/>
    <d v="2025-04-25T00:00:00"/>
    <d v="2025-04-01T00:00:00"/>
    <s v="sex"/>
    <x v="2"/>
    <x v="1"/>
    <m/>
    <s v="215845772"/>
  </r>
  <r>
    <n v="2158"/>
    <n v="32"/>
    <s v="Masculino"/>
    <s v="Pintura"/>
    <s v="Operador"/>
    <s v="2º Turno"/>
    <x v="0"/>
    <s v="Não"/>
    <x v="1"/>
    <d v="2025-08-06T00:00:00"/>
    <d v="2025-08-01T00:00:00"/>
    <s v="qua"/>
    <x v="9"/>
    <x v="1"/>
    <m/>
    <s v="215845875"/>
  </r>
  <r>
    <n v="2158"/>
    <n v="32"/>
    <s v="Masculino"/>
    <s v="Pintura"/>
    <s v="Operador"/>
    <s v="2º Turno"/>
    <x v="0"/>
    <s v="Não"/>
    <x v="1"/>
    <d v="2026-02-15T00:00:00"/>
    <d v="2026-02-01T00:00:00"/>
    <s v="dom"/>
    <x v="3"/>
    <x v="0"/>
    <m/>
    <s v="215846068"/>
  </r>
  <r>
    <n v="2158"/>
    <n v="32"/>
    <s v="Masculino"/>
    <s v="Pintura"/>
    <s v="Operador"/>
    <s v="2º Turno"/>
    <x v="0"/>
    <s v="Não"/>
    <x v="1"/>
    <d v="2026-02-28T00:00:00"/>
    <d v="2026-02-01T00:00:00"/>
    <s v="sáb"/>
    <x v="3"/>
    <x v="0"/>
    <m/>
    <s v="215846081"/>
  </r>
  <r>
    <n v="2158"/>
    <n v="32"/>
    <s v="Masculino"/>
    <s v="Pintura"/>
    <s v="Operador"/>
    <s v="2º Turno"/>
    <x v="0"/>
    <s v="Não"/>
    <x v="1"/>
    <d v="2026-03-01T00:00:00"/>
    <d v="2026-03-01T00:00:00"/>
    <s v="dom"/>
    <x v="4"/>
    <x v="0"/>
    <m/>
    <s v="215846082"/>
  </r>
  <r>
    <n v="2158"/>
    <n v="32"/>
    <s v="Masculino"/>
    <s v="Pintura"/>
    <s v="Operador"/>
    <s v="2º Turno"/>
    <x v="0"/>
    <s v="Não"/>
    <x v="1"/>
    <d v="2026-04-25T00:00:00"/>
    <d v="2026-04-01T00:00:00"/>
    <s v="sex"/>
    <x v="2"/>
    <x v="1"/>
    <m/>
    <s v="215846137"/>
  </r>
  <r>
    <n v="2161"/>
    <n v="47"/>
    <s v="Masculino"/>
    <s v="Logistica"/>
    <s v="Operador"/>
    <s v="1º Turno"/>
    <x v="0"/>
    <s v="Não"/>
    <x v="2"/>
    <d v="2025-08-25T00:00:00"/>
    <d v="2025-08-01T00:00:00"/>
    <s v="seg"/>
    <x v="9"/>
    <x v="1"/>
    <m/>
    <s v="216145894"/>
  </r>
  <r>
    <n v="2161"/>
    <n v="47"/>
    <s v="Masculino"/>
    <s v="Logistica"/>
    <s v="Operador"/>
    <s v="1º Turno"/>
    <x v="0"/>
    <s v="Não"/>
    <x v="2"/>
    <d v="2025-09-13T00:00:00"/>
    <d v="2025-09-01T00:00:00"/>
    <s v="sáb"/>
    <x v="7"/>
    <x v="1"/>
    <m/>
    <s v="216145913"/>
  </r>
  <r>
    <n v="2161"/>
    <n v="47"/>
    <s v="Masculino"/>
    <s v="Logistica"/>
    <s v="Operador"/>
    <s v="1º Turno"/>
    <x v="0"/>
    <s v="Não"/>
    <x v="2"/>
    <d v="2025-12-04T00:00:00"/>
    <d v="2025-12-01T00:00:00"/>
    <s v="qui"/>
    <x v="8"/>
    <x v="1"/>
    <m/>
    <s v="216145995"/>
  </r>
  <r>
    <n v="2161"/>
    <n v="47"/>
    <s v="Masculino"/>
    <s v="Logistica"/>
    <s v="Operador"/>
    <s v="1º Turno"/>
    <x v="0"/>
    <s v="Não"/>
    <x v="2"/>
    <d v="2026-06-07T00:00:00"/>
    <d v="2026-01-01T00:00:00"/>
    <s v="dom"/>
    <x v="1"/>
    <x v="0"/>
    <m/>
    <s v="216146180"/>
  </r>
  <r>
    <n v="2162"/>
    <n v="40"/>
    <s v="Masculino"/>
    <s v="Soldagem"/>
    <s v="Operador"/>
    <s v="3º Turno"/>
    <x v="0"/>
    <s v="Não"/>
    <x v="0"/>
    <d v="2025-06-23T00:00:00"/>
    <d v="2025-06-01T00:00:00"/>
    <s v="seg"/>
    <x v="1"/>
    <x v="1"/>
    <m/>
    <s v="216245831"/>
  </r>
  <r>
    <n v="2162"/>
    <n v="40"/>
    <s v="Masculino"/>
    <s v="Soldagem"/>
    <s v="Operador"/>
    <s v="3º Turno"/>
    <x v="0"/>
    <s v="Não"/>
    <x v="0"/>
    <d v="2025-08-03T00:00:00"/>
    <d v="2025-08-01T00:00:00"/>
    <s v="dom"/>
    <x v="9"/>
    <x v="1"/>
    <m/>
    <s v="216245872"/>
  </r>
  <r>
    <n v="2162"/>
    <n v="40"/>
    <s v="Masculino"/>
    <s v="Soldagem"/>
    <s v="Operador"/>
    <s v="3º Turno"/>
    <x v="0"/>
    <s v="Não"/>
    <x v="0"/>
    <d v="2025-08-20T00:00:00"/>
    <d v="2025-08-01T00:00:00"/>
    <s v="qua"/>
    <x v="9"/>
    <x v="1"/>
    <m/>
    <s v="216245889"/>
  </r>
  <r>
    <n v="2162"/>
    <n v="40"/>
    <s v="Masculino"/>
    <s v="Soldagem"/>
    <s v="Operador"/>
    <s v="3º Turno"/>
    <x v="0"/>
    <s v="Não"/>
    <x v="0"/>
    <d v="2025-09-27T00:00:00"/>
    <d v="2025-09-01T00:00:00"/>
    <s v="sáb"/>
    <x v="7"/>
    <x v="1"/>
    <m/>
    <s v="216245927"/>
  </r>
  <r>
    <n v="2162"/>
    <n v="40"/>
    <s v="Masculino"/>
    <s v="Soldagem"/>
    <s v="Operador"/>
    <s v="3º Turno"/>
    <x v="0"/>
    <s v="Não"/>
    <x v="0"/>
    <d v="2026-03-01T00:00:00"/>
    <d v="2026-03-01T00:00:00"/>
    <s v="dom"/>
    <x v="4"/>
    <x v="0"/>
    <m/>
    <s v="216246082"/>
  </r>
  <r>
    <n v="2162"/>
    <n v="40"/>
    <s v="Masculino"/>
    <s v="Soldagem"/>
    <s v="Operador"/>
    <s v="3º Turno"/>
    <x v="0"/>
    <s v="Não"/>
    <x v="0"/>
    <d v="2026-03-10T00:00:00"/>
    <d v="2026-03-01T00:00:00"/>
    <s v="ter"/>
    <x v="4"/>
    <x v="0"/>
    <m/>
    <s v="216246091"/>
  </r>
  <r>
    <n v="2163"/>
    <n v="24"/>
    <s v="Feminino"/>
    <s v="Montagem"/>
    <s v="Operador"/>
    <s v="1º Turno"/>
    <x v="0"/>
    <s v="Não"/>
    <x v="2"/>
    <d v="2025-04-28T00:00:00"/>
    <d v="2025-04-01T00:00:00"/>
    <s v="seg"/>
    <x v="2"/>
    <x v="1"/>
    <m/>
    <s v="216345775"/>
  </r>
  <r>
    <n v="2163"/>
    <n v="24"/>
    <s v="Feminino"/>
    <s v="Montagem"/>
    <s v="Operador"/>
    <s v="1º Turno"/>
    <x v="0"/>
    <s v="Não"/>
    <x v="2"/>
    <d v="2025-06-20T00:00:00"/>
    <d v="2025-06-01T00:00:00"/>
    <s v="sex"/>
    <x v="1"/>
    <x v="1"/>
    <m/>
    <s v="216345828"/>
  </r>
  <r>
    <n v="2163"/>
    <n v="24"/>
    <s v="Feminino"/>
    <s v="Montagem"/>
    <s v="Operador"/>
    <s v="1º Turno"/>
    <x v="0"/>
    <s v="Não"/>
    <x v="2"/>
    <d v="2025-10-31T00:00:00"/>
    <d v="2025-10-01T00:00:00"/>
    <s v="sex"/>
    <x v="11"/>
    <x v="1"/>
    <m/>
    <s v="216345961"/>
  </r>
  <r>
    <n v="2163"/>
    <n v="24"/>
    <s v="Feminino"/>
    <s v="Montagem"/>
    <s v="Operador"/>
    <s v="1º Turno"/>
    <x v="0"/>
    <s v="Não"/>
    <x v="2"/>
    <d v="2025-11-25T00:00:00"/>
    <d v="2025-11-01T00:00:00"/>
    <s v="ter"/>
    <x v="10"/>
    <x v="1"/>
    <m/>
    <s v="216345986"/>
  </r>
  <r>
    <n v="2163"/>
    <n v="24"/>
    <s v="Feminino"/>
    <s v="Montagem"/>
    <s v="Operador"/>
    <s v="1º Turno"/>
    <x v="0"/>
    <s v="Não"/>
    <x v="2"/>
    <d v="2025-12-19T00:00:00"/>
    <d v="2025-12-01T00:00:00"/>
    <s v="sex"/>
    <x v="8"/>
    <x v="1"/>
    <m/>
    <s v="216346010"/>
  </r>
  <r>
    <n v="2163"/>
    <n v="24"/>
    <s v="Feminino"/>
    <s v="Montagem"/>
    <s v="Operador"/>
    <s v="1º Turno"/>
    <x v="0"/>
    <s v="Não"/>
    <x v="2"/>
    <d v="2025-12-20T00:00:00"/>
    <d v="2025-12-01T00:00:00"/>
    <s v="sáb"/>
    <x v="8"/>
    <x v="1"/>
    <m/>
    <s v="216346011"/>
  </r>
  <r>
    <n v="2163"/>
    <n v="24"/>
    <s v="Feminino"/>
    <s v="Montagem"/>
    <s v="Operador"/>
    <s v="1º Turno"/>
    <x v="0"/>
    <s v="Não"/>
    <x v="2"/>
    <d v="2026-04-28T00:00:00"/>
    <d v="2026-04-01T00:00:00"/>
    <s v="seg"/>
    <x v="2"/>
    <x v="1"/>
    <m/>
    <s v="216346140"/>
  </r>
  <r>
    <n v="2164"/>
    <n v="34"/>
    <s v="Feminino"/>
    <s v="Montagem"/>
    <s v="Operador"/>
    <s v="1º Turno"/>
    <x v="0"/>
    <s v="Não"/>
    <x v="0"/>
    <d v="2025-08-25T00:00:00"/>
    <d v="2025-08-01T00:00:00"/>
    <s v="seg"/>
    <x v="9"/>
    <x v="1"/>
    <m/>
    <s v="216445894"/>
  </r>
  <r>
    <n v="2164"/>
    <n v="34"/>
    <s v="Feminino"/>
    <s v="Montagem"/>
    <s v="Operador"/>
    <s v="1º Turno"/>
    <x v="0"/>
    <s v="Não"/>
    <x v="0"/>
    <d v="2025-09-15T00:00:00"/>
    <d v="2025-09-01T00:00:00"/>
    <s v="seg"/>
    <x v="7"/>
    <x v="1"/>
    <m/>
    <s v="216445915"/>
  </r>
  <r>
    <n v="2164"/>
    <n v="34"/>
    <s v="Feminino"/>
    <s v="Montagem"/>
    <s v="Operador"/>
    <s v="1º Turno"/>
    <x v="0"/>
    <s v="Não"/>
    <x v="0"/>
    <d v="2025-10-21T00:00:00"/>
    <d v="2025-10-01T00:00:00"/>
    <s v="ter"/>
    <x v="11"/>
    <x v="1"/>
    <m/>
    <s v="216445951"/>
  </r>
  <r>
    <n v="2164"/>
    <n v="34"/>
    <s v="Feminino"/>
    <s v="Montagem"/>
    <s v="Operador"/>
    <s v="1º Turno"/>
    <x v="0"/>
    <s v="Não"/>
    <x v="0"/>
    <d v="2026-06-29T00:00:00"/>
    <d v="2026-01-01T00:00:00"/>
    <s v="seg"/>
    <x v="1"/>
    <x v="0"/>
    <m/>
    <s v="216446202"/>
  </r>
  <r>
    <n v="2165"/>
    <n v="21"/>
    <s v="Feminino"/>
    <s v="Qualidade"/>
    <s v="Inspetor"/>
    <s v="3º Turno"/>
    <x v="0"/>
    <s v="Não"/>
    <x v="0"/>
    <d v="2025-04-30T00:00:00"/>
    <d v="2025-04-01T00:00:00"/>
    <s v="qua"/>
    <x v="2"/>
    <x v="1"/>
    <m/>
    <s v="216545777"/>
  </r>
  <r>
    <n v="2165"/>
    <n v="21"/>
    <s v="Feminino"/>
    <s v="Qualidade"/>
    <s v="Inspetor"/>
    <s v="3º Turno"/>
    <x v="0"/>
    <s v="Não"/>
    <x v="0"/>
    <d v="2025-07-06T00:00:00"/>
    <d v="2025-07-01T00:00:00"/>
    <s v="dom"/>
    <x v="6"/>
    <x v="1"/>
    <m/>
    <s v="216545844"/>
  </r>
  <r>
    <n v="2165"/>
    <n v="21"/>
    <s v="Feminino"/>
    <s v="Qualidade"/>
    <s v="Inspetor"/>
    <s v="3º Turno"/>
    <x v="0"/>
    <s v="Não"/>
    <x v="0"/>
    <d v="2025-08-11T00:00:00"/>
    <d v="2025-08-01T00:00:00"/>
    <s v="seg"/>
    <x v="9"/>
    <x v="1"/>
    <m/>
    <s v="216545880"/>
  </r>
  <r>
    <n v="2165"/>
    <n v="21"/>
    <s v="Feminino"/>
    <s v="Qualidade"/>
    <s v="Inspetor"/>
    <s v="3º Turno"/>
    <x v="0"/>
    <s v="Não"/>
    <x v="0"/>
    <d v="2025-09-26T00:00:00"/>
    <d v="2025-09-01T00:00:00"/>
    <s v="sex"/>
    <x v="7"/>
    <x v="1"/>
    <m/>
    <s v="216545926"/>
  </r>
  <r>
    <n v="2165"/>
    <n v="21"/>
    <s v="Feminino"/>
    <s v="Qualidade"/>
    <s v="Inspetor"/>
    <s v="3º Turno"/>
    <x v="0"/>
    <s v="Não"/>
    <x v="0"/>
    <d v="2026-04-30T00:00:00"/>
    <d v="2026-04-01T00:00:00"/>
    <s v="qua"/>
    <x v="2"/>
    <x v="1"/>
    <m/>
    <s v="216546142"/>
  </r>
  <r>
    <n v="2167"/>
    <n v="42"/>
    <s v="Feminino"/>
    <s v="Soldagem"/>
    <s v="Operador"/>
    <s v="3º Turno"/>
    <x v="0"/>
    <s v="Não"/>
    <x v="1"/>
    <d v="2025-06-13T00:00:00"/>
    <d v="2025-06-01T00:00:00"/>
    <s v="sex"/>
    <x v="1"/>
    <x v="1"/>
    <m/>
    <s v="216745821"/>
  </r>
  <r>
    <n v="2167"/>
    <n v="42"/>
    <s v="Feminino"/>
    <s v="Soldagem"/>
    <s v="Operador"/>
    <s v="3º Turno"/>
    <x v="0"/>
    <s v="Não"/>
    <x v="1"/>
    <d v="2025-07-02T00:00:00"/>
    <d v="2025-07-01T00:00:00"/>
    <s v="qua"/>
    <x v="6"/>
    <x v="1"/>
    <m/>
    <s v="216745840"/>
  </r>
  <r>
    <n v="2167"/>
    <n v="42"/>
    <s v="Feminino"/>
    <s v="Soldagem"/>
    <s v="Operador"/>
    <s v="3º Turno"/>
    <x v="0"/>
    <s v="Não"/>
    <x v="1"/>
    <d v="2025-10-13T00:00:00"/>
    <d v="2025-10-01T00:00:00"/>
    <s v="seg"/>
    <x v="11"/>
    <x v="1"/>
    <m/>
    <s v="216745943"/>
  </r>
  <r>
    <n v="2167"/>
    <n v="42"/>
    <s v="Feminino"/>
    <s v="Soldagem"/>
    <s v="Operador"/>
    <s v="3º Turno"/>
    <x v="0"/>
    <s v="Não"/>
    <x v="1"/>
    <d v="2025-12-27T00:00:00"/>
    <d v="2025-12-01T00:00:00"/>
    <s v="sáb"/>
    <x v="8"/>
    <x v="1"/>
    <m/>
    <s v="216746018"/>
  </r>
  <r>
    <n v="2167"/>
    <n v="42"/>
    <s v="Feminino"/>
    <s v="Soldagem"/>
    <s v="Operador"/>
    <s v="3º Turno"/>
    <x v="0"/>
    <s v="Não"/>
    <x v="1"/>
    <d v="2026-03-12T00:00:00"/>
    <d v="2026-03-01T00:00:00"/>
    <s v="qui"/>
    <x v="4"/>
    <x v="0"/>
    <m/>
    <s v="216746093"/>
  </r>
  <r>
    <n v="2168"/>
    <n v="40"/>
    <s v="Masculino"/>
    <s v="Soldagem"/>
    <s v="Operador"/>
    <s v="2º Turno"/>
    <x v="0"/>
    <s v="Não"/>
    <x v="1"/>
    <d v="2025-06-05T00:00:00"/>
    <d v="2025-06-01T00:00:00"/>
    <s v="qui"/>
    <x v="1"/>
    <x v="1"/>
    <m/>
    <s v="216845813"/>
  </r>
  <r>
    <n v="2168"/>
    <n v="40"/>
    <s v="Masculino"/>
    <s v="Soldagem"/>
    <s v="Operador"/>
    <s v="2º Turno"/>
    <x v="0"/>
    <s v="Não"/>
    <x v="1"/>
    <d v="2025-10-01T00:00:00"/>
    <d v="2025-10-01T00:00:00"/>
    <s v="qua"/>
    <x v="11"/>
    <x v="1"/>
    <m/>
    <s v="216845931"/>
  </r>
  <r>
    <n v="2168"/>
    <n v="40"/>
    <s v="Masculino"/>
    <s v="Soldagem"/>
    <s v="Operador"/>
    <s v="2º Turno"/>
    <x v="0"/>
    <s v="Não"/>
    <x v="1"/>
    <d v="2025-12-17T00:00:00"/>
    <d v="2025-12-01T00:00:00"/>
    <s v="qua"/>
    <x v="8"/>
    <x v="1"/>
    <m/>
    <s v="216846008"/>
  </r>
  <r>
    <n v="2169"/>
    <n v="19"/>
    <s v="Masculino"/>
    <s v="Montagem"/>
    <s v="Operador"/>
    <s v="2º Turno"/>
    <x v="0"/>
    <s v="Não"/>
    <x v="2"/>
    <d v="2025-04-25T00:00:00"/>
    <d v="2025-04-01T00:00:00"/>
    <s v="sex"/>
    <x v="2"/>
    <x v="1"/>
    <m/>
    <s v="216945772"/>
  </r>
  <r>
    <n v="2169"/>
    <n v="19"/>
    <s v="Masculino"/>
    <s v="Montagem"/>
    <s v="Operador"/>
    <s v="2º Turno"/>
    <x v="0"/>
    <s v="Não"/>
    <x v="2"/>
    <d v="2025-06-27T00:00:00"/>
    <d v="2025-06-01T00:00:00"/>
    <s v="sex"/>
    <x v="1"/>
    <x v="1"/>
    <m/>
    <s v="216945835"/>
  </r>
  <r>
    <n v="2169"/>
    <n v="19"/>
    <s v="Masculino"/>
    <s v="Montagem"/>
    <s v="Operador"/>
    <s v="2º Turno"/>
    <x v="0"/>
    <s v="Não"/>
    <x v="2"/>
    <d v="2025-08-30T00:00:00"/>
    <d v="2025-08-01T00:00:00"/>
    <s v="sáb"/>
    <x v="9"/>
    <x v="1"/>
    <m/>
    <s v="216945899"/>
  </r>
  <r>
    <n v="2169"/>
    <n v="19"/>
    <s v="Masculino"/>
    <s v="Montagem"/>
    <s v="Operador"/>
    <s v="2º Turno"/>
    <x v="0"/>
    <s v="Não"/>
    <x v="2"/>
    <d v="2025-11-26T00:00:00"/>
    <d v="2025-11-01T00:00:00"/>
    <s v="qua"/>
    <x v="10"/>
    <x v="1"/>
    <m/>
    <s v="216945987"/>
  </r>
  <r>
    <n v="2169"/>
    <n v="19"/>
    <s v="Masculino"/>
    <s v="Montagem"/>
    <s v="Operador"/>
    <s v="2º Turno"/>
    <x v="0"/>
    <s v="Não"/>
    <x v="2"/>
    <d v="2026-06-20T00:00:00"/>
    <d v="2026-01-01T00:00:00"/>
    <s v="sáb"/>
    <x v="1"/>
    <x v="0"/>
    <m/>
    <s v="216946193"/>
  </r>
  <r>
    <n v="2169"/>
    <n v="19"/>
    <s v="Masculino"/>
    <s v="Montagem"/>
    <s v="Operador"/>
    <s v="2º Turno"/>
    <x v="0"/>
    <s v="Não"/>
    <x v="2"/>
    <d v="2026-02-14T00:00:00"/>
    <d v="2026-02-01T00:00:00"/>
    <s v="sáb"/>
    <x v="3"/>
    <x v="0"/>
    <m/>
    <s v="216946067"/>
  </r>
  <r>
    <n v="2169"/>
    <n v="19"/>
    <s v="Masculino"/>
    <s v="Montagem"/>
    <s v="Operador"/>
    <s v="2º Turno"/>
    <x v="0"/>
    <s v="Não"/>
    <x v="2"/>
    <d v="2026-04-25T00:00:00"/>
    <d v="2026-04-01T00:00:00"/>
    <s v="sex"/>
    <x v="2"/>
    <x v="1"/>
    <m/>
    <s v="216946137"/>
  </r>
  <r>
    <n v="2171"/>
    <n v="40"/>
    <s v="Feminino"/>
    <s v="Soldagem"/>
    <s v="Operador"/>
    <s v="1º Turno"/>
    <x v="0"/>
    <s v="Não"/>
    <x v="0"/>
    <d v="2025-07-01T00:00:00"/>
    <d v="2025-07-01T00:00:00"/>
    <s v="ter"/>
    <x v="6"/>
    <x v="1"/>
    <m/>
    <s v="217145839"/>
  </r>
  <r>
    <n v="2171"/>
    <n v="40"/>
    <s v="Feminino"/>
    <s v="Soldagem"/>
    <s v="Operador"/>
    <s v="1º Turno"/>
    <x v="0"/>
    <s v="Não"/>
    <x v="0"/>
    <d v="2025-07-23T00:00:00"/>
    <d v="2025-07-01T00:00:00"/>
    <s v="qua"/>
    <x v="6"/>
    <x v="1"/>
    <m/>
    <s v="217145861"/>
  </r>
  <r>
    <n v="2171"/>
    <n v="40"/>
    <s v="Feminino"/>
    <s v="Soldagem"/>
    <s v="Operador"/>
    <s v="1º Turno"/>
    <x v="0"/>
    <s v="Não"/>
    <x v="0"/>
    <d v="2025-10-03T00:00:00"/>
    <d v="2025-10-01T00:00:00"/>
    <s v="sex"/>
    <x v="11"/>
    <x v="1"/>
    <m/>
    <s v="217145933"/>
  </r>
  <r>
    <n v="2171"/>
    <n v="40"/>
    <s v="Feminino"/>
    <s v="Soldagem"/>
    <s v="Operador"/>
    <s v="1º Turno"/>
    <x v="0"/>
    <s v="Não"/>
    <x v="0"/>
    <d v="2025-12-23T00:00:00"/>
    <d v="2025-12-01T00:00:00"/>
    <s v="ter"/>
    <x v="8"/>
    <x v="1"/>
    <m/>
    <s v="217146014"/>
  </r>
  <r>
    <n v="2171"/>
    <n v="40"/>
    <s v="Feminino"/>
    <s v="Soldagem"/>
    <s v="Operador"/>
    <s v="1º Turno"/>
    <x v="0"/>
    <s v="Não"/>
    <x v="0"/>
    <d v="2026-06-08T00:00:00"/>
    <d v="2026-01-01T00:00:00"/>
    <s v="seg"/>
    <x v="1"/>
    <x v="0"/>
    <m/>
    <s v="217146181"/>
  </r>
  <r>
    <n v="2175"/>
    <n v="36"/>
    <s v="Feminino"/>
    <s v="Montagem"/>
    <s v="Operador"/>
    <s v="1º Turno"/>
    <x v="0"/>
    <s v="Não"/>
    <x v="0"/>
    <d v="2025-09-07T00:00:00"/>
    <d v="2025-09-01T00:00:00"/>
    <s v="dom"/>
    <x v="7"/>
    <x v="1"/>
    <m/>
    <s v="217545907"/>
  </r>
  <r>
    <n v="2175"/>
    <n v="36"/>
    <s v="Feminino"/>
    <s v="Montagem"/>
    <s v="Operador"/>
    <s v="1º Turno"/>
    <x v="0"/>
    <s v="Não"/>
    <x v="0"/>
    <d v="2025-09-12T00:00:00"/>
    <d v="2025-09-01T00:00:00"/>
    <s v="sex"/>
    <x v="7"/>
    <x v="1"/>
    <m/>
    <s v="217545912"/>
  </r>
  <r>
    <n v="2175"/>
    <n v="36"/>
    <s v="Feminino"/>
    <s v="Montagem"/>
    <s v="Operador"/>
    <s v="1º Turno"/>
    <x v="0"/>
    <s v="Não"/>
    <x v="0"/>
    <d v="2025-09-26T00:00:00"/>
    <d v="2025-09-01T00:00:00"/>
    <s v="sex"/>
    <x v="7"/>
    <x v="1"/>
    <m/>
    <s v="217545926"/>
  </r>
  <r>
    <n v="2175"/>
    <n v="36"/>
    <s v="Feminino"/>
    <s v="Montagem"/>
    <s v="Operador"/>
    <s v="1º Turno"/>
    <x v="0"/>
    <s v="Não"/>
    <x v="0"/>
    <d v="2025-11-08T00:00:00"/>
    <d v="2025-11-01T00:00:00"/>
    <s v="sáb"/>
    <x v="10"/>
    <x v="1"/>
    <m/>
    <s v="217545969"/>
  </r>
  <r>
    <n v="2175"/>
    <n v="36"/>
    <s v="Feminino"/>
    <s v="Montagem"/>
    <s v="Operador"/>
    <s v="1º Turno"/>
    <x v="0"/>
    <s v="Não"/>
    <x v="0"/>
    <d v="2026-04-11T00:00:00"/>
    <d v="2026-04-01T00:00:00"/>
    <s v="sáb"/>
    <x v="2"/>
    <x v="0"/>
    <m/>
    <s v="217546123"/>
  </r>
  <r>
    <n v="2175"/>
    <n v="36"/>
    <s v="Feminino"/>
    <s v="Montagem"/>
    <s v="Operador"/>
    <s v="1º Turno"/>
    <x v="0"/>
    <s v="Não"/>
    <x v="0"/>
    <d v="2026-04-18T00:00:00"/>
    <d v="2026-04-01T00:00:00"/>
    <s v="sáb"/>
    <x v="2"/>
    <x v="0"/>
    <m/>
    <s v="217546130"/>
  </r>
  <r>
    <n v="2177"/>
    <n v="23"/>
    <s v="Masculino"/>
    <s v="Soldagem"/>
    <s v="Operador"/>
    <s v="2º Turno"/>
    <x v="0"/>
    <s v="Não"/>
    <x v="1"/>
    <d v="2025-08-30T00:00:00"/>
    <d v="2025-08-01T00:00:00"/>
    <s v="sáb"/>
    <x v="9"/>
    <x v="1"/>
    <m/>
    <s v="217745899"/>
  </r>
  <r>
    <n v="2177"/>
    <n v="23"/>
    <s v="Masculino"/>
    <s v="Soldagem"/>
    <s v="Operador"/>
    <s v="2º Turno"/>
    <x v="0"/>
    <s v="Não"/>
    <x v="1"/>
    <d v="2025-10-31T00:00:00"/>
    <d v="2025-10-01T00:00:00"/>
    <s v="sex"/>
    <x v="11"/>
    <x v="1"/>
    <m/>
    <s v="217745961"/>
  </r>
  <r>
    <n v="2177"/>
    <n v="23"/>
    <s v="Masculino"/>
    <s v="Soldagem"/>
    <s v="Operador"/>
    <s v="2º Turno"/>
    <x v="0"/>
    <s v="Não"/>
    <x v="1"/>
    <d v="2025-11-05T00:00:00"/>
    <d v="2025-11-01T00:00:00"/>
    <s v="qua"/>
    <x v="10"/>
    <x v="1"/>
    <m/>
    <s v="217745966"/>
  </r>
  <r>
    <n v="2177"/>
    <n v="23"/>
    <s v="Masculino"/>
    <s v="Soldagem"/>
    <s v="Operador"/>
    <s v="2º Turno"/>
    <x v="0"/>
    <s v="Não"/>
    <x v="1"/>
    <d v="2026-06-10T00:00:00"/>
    <d v="2026-01-01T00:00:00"/>
    <s v="qua"/>
    <x v="1"/>
    <x v="0"/>
    <m/>
    <s v="217746183"/>
  </r>
  <r>
    <n v="2177"/>
    <n v="23"/>
    <s v="Masculino"/>
    <s v="Soldagem"/>
    <s v="Operador"/>
    <s v="2º Turno"/>
    <x v="0"/>
    <s v="Não"/>
    <x v="1"/>
    <d v="2026-02-05T00:00:00"/>
    <d v="2026-02-01T00:00:00"/>
    <s v="qui"/>
    <x v="3"/>
    <x v="0"/>
    <m/>
    <s v="217746058"/>
  </r>
  <r>
    <n v="2179"/>
    <n v="22"/>
    <s v="Feminino"/>
    <s v="Montagem"/>
    <s v="Operador"/>
    <s v="2º Turno"/>
    <x v="0"/>
    <s v="Não"/>
    <x v="1"/>
    <d v="2025-09-15T00:00:00"/>
    <d v="2025-09-01T00:00:00"/>
    <s v="seg"/>
    <x v="7"/>
    <x v="1"/>
    <m/>
    <s v="217945915"/>
  </r>
  <r>
    <n v="2179"/>
    <n v="22"/>
    <s v="Feminino"/>
    <s v="Montagem"/>
    <s v="Operador"/>
    <s v="2º Turno"/>
    <x v="0"/>
    <s v="Não"/>
    <x v="1"/>
    <d v="2025-11-09T00:00:00"/>
    <d v="2025-11-01T00:00:00"/>
    <s v="dom"/>
    <x v="10"/>
    <x v="1"/>
    <m/>
    <s v="217945970"/>
  </r>
  <r>
    <n v="2179"/>
    <n v="22"/>
    <s v="Feminino"/>
    <s v="Montagem"/>
    <s v="Operador"/>
    <s v="2º Turno"/>
    <x v="0"/>
    <s v="Não"/>
    <x v="1"/>
    <d v="2025-12-19T00:00:00"/>
    <d v="2025-12-01T00:00:00"/>
    <s v="sex"/>
    <x v="8"/>
    <x v="1"/>
    <m/>
    <s v="217946010"/>
  </r>
  <r>
    <n v="2179"/>
    <n v="22"/>
    <s v="Feminino"/>
    <s v="Montagem"/>
    <s v="Operador"/>
    <s v="2º Turno"/>
    <x v="0"/>
    <s v="Não"/>
    <x v="1"/>
    <d v="2026-06-04T00:00:00"/>
    <d v="2026-01-01T00:00:00"/>
    <s v="qui"/>
    <x v="1"/>
    <x v="0"/>
    <m/>
    <s v="217946177"/>
  </r>
  <r>
    <n v="2180"/>
    <n v="23"/>
    <s v="Masculino"/>
    <s v="Soldagem"/>
    <s v="Operador"/>
    <s v="3º Turno"/>
    <x v="0"/>
    <s v="Não"/>
    <x v="1"/>
    <d v="2025-09-09T00:00:00"/>
    <d v="2025-09-01T00:00:00"/>
    <s v="ter"/>
    <x v="7"/>
    <x v="1"/>
    <m/>
    <s v="218045909"/>
  </r>
  <r>
    <n v="2180"/>
    <n v="23"/>
    <s v="Masculino"/>
    <s v="Soldagem"/>
    <s v="Operador"/>
    <s v="3º Turno"/>
    <x v="0"/>
    <s v="Não"/>
    <x v="1"/>
    <d v="2025-12-02T00:00:00"/>
    <d v="2025-12-01T00:00:00"/>
    <s v="ter"/>
    <x v="8"/>
    <x v="1"/>
    <m/>
    <s v="218045993"/>
  </r>
  <r>
    <n v="2180"/>
    <n v="23"/>
    <s v="Masculino"/>
    <s v="Soldagem"/>
    <s v="Operador"/>
    <s v="3º Turno"/>
    <x v="0"/>
    <s v="Não"/>
    <x v="1"/>
    <d v="2026-02-21T00:00:00"/>
    <d v="2026-02-01T00:00:00"/>
    <s v="sáb"/>
    <x v="3"/>
    <x v="0"/>
    <m/>
    <s v="218046074"/>
  </r>
  <r>
    <n v="2180"/>
    <n v="23"/>
    <s v="Masculino"/>
    <s v="Soldagem"/>
    <s v="Operador"/>
    <s v="3º Turno"/>
    <x v="0"/>
    <s v="Não"/>
    <x v="1"/>
    <d v="2026-03-09T00:00:00"/>
    <d v="2026-03-01T00:00:00"/>
    <s v="seg"/>
    <x v="4"/>
    <x v="0"/>
    <m/>
    <s v="218046090"/>
  </r>
  <r>
    <n v="2180"/>
    <n v="23"/>
    <s v="Masculino"/>
    <s v="Soldagem"/>
    <s v="Operador"/>
    <s v="3º Turno"/>
    <x v="0"/>
    <s v="Não"/>
    <x v="1"/>
    <d v="2026-03-14T00:00:00"/>
    <d v="2026-03-01T00:00:00"/>
    <s v="sáb"/>
    <x v="4"/>
    <x v="0"/>
    <m/>
    <s v="218046095"/>
  </r>
  <r>
    <n v="2181"/>
    <n v="24"/>
    <s v="Masculino"/>
    <s v="Montagem"/>
    <s v="Operador"/>
    <s v="1º Turno"/>
    <x v="0"/>
    <s v="Não"/>
    <x v="0"/>
    <d v="2025-06-15T00:00:00"/>
    <d v="2025-06-01T00:00:00"/>
    <s v="dom"/>
    <x v="1"/>
    <x v="1"/>
    <m/>
    <s v="218145823"/>
  </r>
  <r>
    <n v="2181"/>
    <n v="24"/>
    <s v="Masculino"/>
    <s v="Montagem"/>
    <s v="Operador"/>
    <s v="1º Turno"/>
    <x v="0"/>
    <s v="Não"/>
    <x v="0"/>
    <d v="2025-12-16T00:00:00"/>
    <d v="2025-12-01T00:00:00"/>
    <s v="ter"/>
    <x v="8"/>
    <x v="1"/>
    <m/>
    <s v="218146007"/>
  </r>
  <r>
    <n v="2181"/>
    <n v="24"/>
    <s v="Masculino"/>
    <s v="Montagem"/>
    <s v="Operador"/>
    <s v="1º Turno"/>
    <x v="0"/>
    <s v="Não"/>
    <x v="0"/>
    <d v="2026-06-01T00:00:00"/>
    <d v="2026-01-01T00:00:00"/>
    <s v="seg"/>
    <x v="1"/>
    <x v="0"/>
    <m/>
    <s v="218146174"/>
  </r>
  <r>
    <n v="2181"/>
    <n v="24"/>
    <s v="Masculino"/>
    <s v="Montagem"/>
    <s v="Operador"/>
    <s v="1º Turno"/>
    <x v="0"/>
    <s v="Não"/>
    <x v="0"/>
    <d v="2026-06-18T00:00:00"/>
    <d v="2026-01-01T00:00:00"/>
    <s v="qui"/>
    <x v="1"/>
    <x v="0"/>
    <m/>
    <s v="218146191"/>
  </r>
  <r>
    <n v="2182"/>
    <n v="54"/>
    <s v="Masculino"/>
    <s v="Montagem"/>
    <s v="Operador"/>
    <s v="2º Turno"/>
    <x v="0"/>
    <s v="Não"/>
    <x v="1"/>
    <d v="2025-08-29T00:00:00"/>
    <d v="2025-08-01T00:00:00"/>
    <s v="sex"/>
    <x v="9"/>
    <x v="1"/>
    <m/>
    <s v="218245898"/>
  </r>
  <r>
    <n v="2182"/>
    <n v="54"/>
    <s v="Masculino"/>
    <s v="Montagem"/>
    <s v="Operador"/>
    <s v="2º Turno"/>
    <x v="0"/>
    <s v="Não"/>
    <x v="1"/>
    <d v="2025-09-01T00:00:00"/>
    <d v="2025-09-01T00:00:00"/>
    <s v="seg"/>
    <x v="7"/>
    <x v="1"/>
    <m/>
    <s v="218245901"/>
  </r>
  <r>
    <n v="2182"/>
    <n v="54"/>
    <s v="Masculino"/>
    <s v="Montagem"/>
    <s v="Operador"/>
    <s v="2º Turno"/>
    <x v="0"/>
    <s v="Não"/>
    <x v="1"/>
    <d v="2025-09-12T00:00:00"/>
    <d v="2025-09-01T00:00:00"/>
    <s v="sex"/>
    <x v="7"/>
    <x v="1"/>
    <m/>
    <s v="218245912"/>
  </r>
  <r>
    <n v="2182"/>
    <n v="54"/>
    <s v="Masculino"/>
    <s v="Montagem"/>
    <s v="Operador"/>
    <s v="2º Turno"/>
    <x v="0"/>
    <s v="Não"/>
    <x v="1"/>
    <d v="2025-10-20T00:00:00"/>
    <d v="2025-10-01T00:00:00"/>
    <s v="seg"/>
    <x v="11"/>
    <x v="1"/>
    <m/>
    <s v="218245950"/>
  </r>
  <r>
    <n v="2182"/>
    <n v="54"/>
    <s v="Masculino"/>
    <s v="Montagem"/>
    <s v="Operador"/>
    <s v="2º Turno"/>
    <x v="0"/>
    <s v="Não"/>
    <x v="1"/>
    <d v="2025-11-01T00:00:00"/>
    <d v="2025-11-01T00:00:00"/>
    <s v="sáb"/>
    <x v="10"/>
    <x v="1"/>
    <m/>
    <s v="218245962"/>
  </r>
  <r>
    <n v="2182"/>
    <n v="54"/>
    <s v="Masculino"/>
    <s v="Montagem"/>
    <s v="Operador"/>
    <s v="2º Turno"/>
    <x v="0"/>
    <s v="Não"/>
    <x v="1"/>
    <d v="2026-03-21T00:00:00"/>
    <d v="2026-03-01T00:00:00"/>
    <s v="sáb"/>
    <x v="4"/>
    <x v="0"/>
    <m/>
    <s v="218246102"/>
  </r>
  <r>
    <n v="2183"/>
    <n v="28"/>
    <s v="Masculino"/>
    <s v="Qualidade"/>
    <s v="Inspetor"/>
    <s v="1º Turno"/>
    <x v="0"/>
    <s v="Não"/>
    <x v="2"/>
    <d v="2025-06-17T00:00:00"/>
    <d v="2025-06-01T00:00:00"/>
    <s v="ter"/>
    <x v="1"/>
    <x v="1"/>
    <m/>
    <s v="218345825"/>
  </r>
  <r>
    <n v="2183"/>
    <n v="28"/>
    <s v="Masculino"/>
    <s v="Qualidade"/>
    <s v="Inspetor"/>
    <s v="1º Turno"/>
    <x v="0"/>
    <s v="Não"/>
    <x v="2"/>
    <d v="2025-09-28T00:00:00"/>
    <d v="2025-09-01T00:00:00"/>
    <s v="dom"/>
    <x v="7"/>
    <x v="1"/>
    <m/>
    <s v="218345928"/>
  </r>
  <r>
    <n v="2183"/>
    <n v="28"/>
    <s v="Masculino"/>
    <s v="Qualidade"/>
    <s v="Inspetor"/>
    <s v="1º Turno"/>
    <x v="0"/>
    <s v="Não"/>
    <x v="2"/>
    <d v="2026-02-23T00:00:00"/>
    <d v="2026-02-01T00:00:00"/>
    <s v="seg"/>
    <x v="3"/>
    <x v="0"/>
    <m/>
    <s v="218346076"/>
  </r>
  <r>
    <n v="2183"/>
    <n v="28"/>
    <s v="Masculino"/>
    <s v="Qualidade"/>
    <s v="Inspetor"/>
    <s v="1º Turno"/>
    <x v="0"/>
    <s v="Não"/>
    <x v="2"/>
    <d v="2026-03-08T00:00:00"/>
    <d v="2026-03-01T00:00:00"/>
    <s v="dom"/>
    <x v="4"/>
    <x v="0"/>
    <m/>
    <s v="218346089"/>
  </r>
  <r>
    <n v="2184"/>
    <n v="42"/>
    <s v="Masculino"/>
    <s v="Montagem"/>
    <s v="Operador"/>
    <s v="1º Turno"/>
    <x v="0"/>
    <s v="Não"/>
    <x v="1"/>
    <d v="2025-07-24T00:00:00"/>
    <d v="2025-07-01T00:00:00"/>
    <s v="qui"/>
    <x v="6"/>
    <x v="1"/>
    <m/>
    <s v="218445862"/>
  </r>
  <r>
    <n v="2184"/>
    <n v="42"/>
    <s v="Masculino"/>
    <s v="Montagem"/>
    <s v="Operador"/>
    <s v="1º Turno"/>
    <x v="0"/>
    <s v="Não"/>
    <x v="1"/>
    <d v="2025-07-30T00:00:00"/>
    <d v="2025-07-01T00:00:00"/>
    <s v="qua"/>
    <x v="6"/>
    <x v="1"/>
    <m/>
    <s v="218445868"/>
  </r>
  <r>
    <n v="2184"/>
    <n v="42"/>
    <s v="Masculino"/>
    <s v="Montagem"/>
    <s v="Operador"/>
    <s v="1º Turno"/>
    <x v="0"/>
    <s v="Não"/>
    <x v="1"/>
    <d v="2025-08-10T00:00:00"/>
    <d v="2025-08-01T00:00:00"/>
    <s v="dom"/>
    <x v="9"/>
    <x v="1"/>
    <m/>
    <s v="218445879"/>
  </r>
  <r>
    <n v="2184"/>
    <n v="42"/>
    <s v="Masculino"/>
    <s v="Montagem"/>
    <s v="Operador"/>
    <s v="1º Turno"/>
    <x v="0"/>
    <s v="Não"/>
    <x v="1"/>
    <d v="2026-02-02T00:00:00"/>
    <d v="2026-02-01T00:00:00"/>
    <s v="seg"/>
    <x v="3"/>
    <x v="0"/>
    <m/>
    <s v="218446055"/>
  </r>
  <r>
    <n v="2185"/>
    <n v="24"/>
    <s v="Feminino"/>
    <s v="Pintura"/>
    <s v="Operador"/>
    <s v="3º Turno"/>
    <x v="0"/>
    <s v="Não"/>
    <x v="2"/>
    <d v="2025-07-10T00:00:00"/>
    <d v="2025-07-01T00:00:00"/>
    <s v="qui"/>
    <x v="6"/>
    <x v="1"/>
    <m/>
    <s v="218545848"/>
  </r>
  <r>
    <n v="2185"/>
    <n v="24"/>
    <s v="Feminino"/>
    <s v="Pintura"/>
    <s v="Operador"/>
    <s v="3º Turno"/>
    <x v="0"/>
    <s v="Não"/>
    <x v="2"/>
    <d v="2025-09-05T00:00:00"/>
    <d v="2025-09-01T00:00:00"/>
    <s v="sex"/>
    <x v="7"/>
    <x v="1"/>
    <m/>
    <s v="218545905"/>
  </r>
  <r>
    <n v="2185"/>
    <n v="24"/>
    <s v="Feminino"/>
    <s v="Pintura"/>
    <s v="Operador"/>
    <s v="3º Turno"/>
    <x v="0"/>
    <s v="Não"/>
    <x v="2"/>
    <d v="2026-06-02T00:00:00"/>
    <d v="2026-01-01T00:00:00"/>
    <s v="ter"/>
    <x v="1"/>
    <x v="0"/>
    <m/>
    <s v="218546175"/>
  </r>
  <r>
    <n v="2185"/>
    <n v="24"/>
    <s v="Feminino"/>
    <s v="Pintura"/>
    <s v="Operador"/>
    <s v="3º Turno"/>
    <x v="0"/>
    <s v="Não"/>
    <x v="2"/>
    <d v="2026-02-19T00:00:00"/>
    <d v="2026-02-01T00:00:00"/>
    <s v="qui"/>
    <x v="3"/>
    <x v="0"/>
    <m/>
    <s v="218546072"/>
  </r>
  <r>
    <n v="2185"/>
    <n v="24"/>
    <s v="Feminino"/>
    <s v="Pintura"/>
    <s v="Operador"/>
    <s v="3º Turno"/>
    <x v="0"/>
    <s v="Não"/>
    <x v="2"/>
    <d v="2026-03-16T00:00:00"/>
    <d v="2026-03-01T00:00:00"/>
    <s v="seg"/>
    <x v="4"/>
    <x v="0"/>
    <m/>
    <s v="218546097"/>
  </r>
  <r>
    <n v="2186"/>
    <n v="33"/>
    <s v="Masculino"/>
    <s v="Montagem"/>
    <s v="Operador"/>
    <s v="2º Turno"/>
    <x v="0"/>
    <s v="Não"/>
    <x v="0"/>
    <d v="2025-04-26T00:00:00"/>
    <d v="2025-04-01T00:00:00"/>
    <s v="sáb"/>
    <x v="2"/>
    <x v="1"/>
    <m/>
    <s v="218645773"/>
  </r>
  <r>
    <n v="2186"/>
    <n v="33"/>
    <s v="Masculino"/>
    <s v="Montagem"/>
    <s v="Operador"/>
    <s v="2º Turno"/>
    <x v="0"/>
    <s v="Não"/>
    <x v="0"/>
    <d v="2025-07-30T00:00:00"/>
    <d v="2025-07-01T00:00:00"/>
    <s v="qua"/>
    <x v="6"/>
    <x v="1"/>
    <m/>
    <s v="218645868"/>
  </r>
  <r>
    <n v="2186"/>
    <n v="33"/>
    <s v="Masculino"/>
    <s v="Montagem"/>
    <s v="Operador"/>
    <s v="2º Turno"/>
    <x v="0"/>
    <s v="Não"/>
    <x v="0"/>
    <d v="2025-09-06T00:00:00"/>
    <d v="2025-09-01T00:00:00"/>
    <s v="sáb"/>
    <x v="7"/>
    <x v="1"/>
    <m/>
    <s v="218645906"/>
  </r>
  <r>
    <n v="2186"/>
    <n v="33"/>
    <s v="Masculino"/>
    <s v="Montagem"/>
    <s v="Operador"/>
    <s v="2º Turno"/>
    <x v="0"/>
    <s v="Não"/>
    <x v="0"/>
    <d v="2025-11-24T00:00:00"/>
    <d v="2025-11-01T00:00:00"/>
    <s v="seg"/>
    <x v="10"/>
    <x v="1"/>
    <m/>
    <s v="218645985"/>
  </r>
  <r>
    <n v="2186"/>
    <n v="33"/>
    <s v="Masculino"/>
    <s v="Montagem"/>
    <s v="Operador"/>
    <s v="2º Turno"/>
    <x v="0"/>
    <s v="Não"/>
    <x v="0"/>
    <d v="2025-12-30T00:00:00"/>
    <d v="2025-12-01T00:00:00"/>
    <s v="ter"/>
    <x v="8"/>
    <x v="1"/>
    <m/>
    <s v="218646021"/>
  </r>
  <r>
    <n v="2186"/>
    <n v="33"/>
    <s v="Masculino"/>
    <s v="Montagem"/>
    <s v="Operador"/>
    <s v="2º Turno"/>
    <x v="0"/>
    <s v="Não"/>
    <x v="0"/>
    <d v="2026-04-26T00:00:00"/>
    <d v="2026-04-01T00:00:00"/>
    <s v="sáb"/>
    <x v="2"/>
    <x v="1"/>
    <m/>
    <s v="218646138"/>
  </r>
  <r>
    <n v="2194"/>
    <n v="51"/>
    <s v="Feminino"/>
    <s v="Montagem"/>
    <s v="Operador"/>
    <s v="1º Turno"/>
    <x v="0"/>
    <s v="Não"/>
    <x v="1"/>
    <d v="2025-11-24T00:00:00"/>
    <d v="2025-11-01T00:00:00"/>
    <s v="seg"/>
    <x v="10"/>
    <x v="1"/>
    <m/>
    <s v="219445985"/>
  </r>
  <r>
    <n v="2194"/>
    <n v="51"/>
    <s v="Feminino"/>
    <s v="Montagem"/>
    <s v="Operador"/>
    <s v="1º Turno"/>
    <x v="0"/>
    <s v="Não"/>
    <x v="1"/>
    <d v="2025-11-30T00:00:00"/>
    <d v="2025-11-01T00:00:00"/>
    <s v="dom"/>
    <x v="10"/>
    <x v="1"/>
    <m/>
    <s v="219445991"/>
  </r>
  <r>
    <n v="2194"/>
    <n v="51"/>
    <s v="Feminino"/>
    <s v="Montagem"/>
    <s v="Operador"/>
    <s v="1º Turno"/>
    <x v="0"/>
    <s v="Não"/>
    <x v="1"/>
    <d v="2026-06-03T00:00:00"/>
    <d v="2026-01-01T00:00:00"/>
    <s v="qua"/>
    <x v="1"/>
    <x v="0"/>
    <m/>
    <s v="219446176"/>
  </r>
  <r>
    <n v="2194"/>
    <n v="51"/>
    <s v="Feminino"/>
    <s v="Montagem"/>
    <s v="Operador"/>
    <s v="1º Turno"/>
    <x v="0"/>
    <s v="Não"/>
    <x v="1"/>
    <d v="2026-06-09T00:00:00"/>
    <d v="2026-01-01T00:00:00"/>
    <s v="ter"/>
    <x v="1"/>
    <x v="0"/>
    <m/>
    <s v="219446182"/>
  </r>
  <r>
    <n v="2194"/>
    <n v="51"/>
    <s v="Feminino"/>
    <s v="Montagem"/>
    <s v="Operador"/>
    <s v="1º Turno"/>
    <x v="0"/>
    <s v="Não"/>
    <x v="1"/>
    <d v="2026-02-25T00:00:00"/>
    <d v="2026-02-01T00:00:00"/>
    <s v="qua"/>
    <x v="3"/>
    <x v="0"/>
    <m/>
    <s v="219446078"/>
  </r>
  <r>
    <n v="1780"/>
    <n v="18"/>
    <s v="Feminino"/>
    <s v="Soldagem"/>
    <s v="Operador"/>
    <s v="1º Turno"/>
    <x v="1"/>
    <s v="Não"/>
    <x v="0"/>
    <d v="2025-01-03T00:00:00"/>
    <m/>
    <s v="sex"/>
    <x v="5"/>
    <x v="1"/>
    <m/>
    <s v="178045660"/>
  </r>
  <r>
    <n v="1780"/>
    <n v="18"/>
    <s v="Feminino"/>
    <s v="Soldagem"/>
    <s v="Operador"/>
    <s v="1º Turno"/>
    <x v="1"/>
    <s v="Não"/>
    <x v="0"/>
    <d v="2025-01-04T00:00:00"/>
    <m/>
    <s v="sáb"/>
    <x v="5"/>
    <x v="1"/>
    <m/>
    <s v="178045661"/>
  </r>
  <r>
    <n v="1780"/>
    <n v="18"/>
    <s v="Feminino"/>
    <s v="Soldagem"/>
    <s v="Operador"/>
    <s v="1º Turno"/>
    <x v="1"/>
    <s v="Não"/>
    <x v="0"/>
    <d v="2025-01-05T00:00:00"/>
    <m/>
    <s v="dom"/>
    <x v="5"/>
    <x v="1"/>
    <m/>
    <s v="178045662"/>
  </r>
  <r>
    <n v="1780"/>
    <n v="18"/>
    <s v="Feminino"/>
    <s v="Soldagem"/>
    <s v="Operador"/>
    <s v="1º Turno"/>
    <x v="1"/>
    <s v="Não"/>
    <x v="0"/>
    <d v="2025-01-06T00:00:00"/>
    <m/>
    <s v="seg"/>
    <x v="5"/>
    <x v="1"/>
    <m/>
    <s v="178045663"/>
  </r>
  <r>
    <n v="1780"/>
    <n v="18"/>
    <s v="Feminino"/>
    <s v="Soldagem"/>
    <s v="Operador"/>
    <s v="1º Turno"/>
    <x v="1"/>
    <s v="Não"/>
    <x v="0"/>
    <d v="2025-01-07T00:00:00"/>
    <m/>
    <s v="ter"/>
    <x v="5"/>
    <x v="1"/>
    <m/>
    <s v="178045664"/>
  </r>
  <r>
    <n v="1780"/>
    <n v="18"/>
    <s v="Feminino"/>
    <s v="Soldagem"/>
    <s v="Operador"/>
    <s v="1º Turno"/>
    <x v="1"/>
    <s v="Não"/>
    <x v="0"/>
    <d v="2025-01-08T00:00:00"/>
    <m/>
    <s v="qua"/>
    <x v="5"/>
    <x v="1"/>
    <m/>
    <s v="178045665"/>
  </r>
  <r>
    <n v="1780"/>
    <n v="18"/>
    <s v="Feminino"/>
    <s v="Soldagem"/>
    <s v="Operador"/>
    <s v="1º Turno"/>
    <x v="1"/>
    <s v="Não"/>
    <x v="0"/>
    <d v="2025-01-09T00:00:00"/>
    <m/>
    <s v="qui"/>
    <x v="5"/>
    <x v="1"/>
    <m/>
    <s v="178045666"/>
  </r>
  <r>
    <n v="1780"/>
    <n v="18"/>
    <s v="Feminino"/>
    <s v="Soldagem"/>
    <s v="Operador"/>
    <s v="1º Turno"/>
    <x v="1"/>
    <s v="Não"/>
    <x v="0"/>
    <d v="2025-01-10T00:00:00"/>
    <m/>
    <s v="sex"/>
    <x v="5"/>
    <x v="1"/>
    <m/>
    <s v="178045667"/>
  </r>
  <r>
    <n v="1780"/>
    <n v="18"/>
    <s v="Feminino"/>
    <s v="Soldagem"/>
    <s v="Operador"/>
    <s v="1º Turno"/>
    <x v="1"/>
    <s v="Não"/>
    <x v="0"/>
    <d v="2025-01-11T00:00:00"/>
    <m/>
    <s v="sáb"/>
    <x v="5"/>
    <x v="1"/>
    <m/>
    <s v="178045668"/>
  </r>
  <r>
    <n v="1780"/>
    <n v="18"/>
    <s v="Feminino"/>
    <s v="Soldagem"/>
    <s v="Operador"/>
    <s v="1º Turno"/>
    <x v="1"/>
    <s v="Não"/>
    <x v="0"/>
    <d v="2025-01-12T00:00:00"/>
    <m/>
    <s v="dom"/>
    <x v="5"/>
    <x v="1"/>
    <m/>
    <s v="178045669"/>
  </r>
  <r>
    <n v="1780"/>
    <n v="18"/>
    <s v="Feminino"/>
    <s v="Soldagem"/>
    <s v="Operador"/>
    <s v="1º Turno"/>
    <x v="1"/>
    <s v="Não"/>
    <x v="0"/>
    <d v="2025-01-13T00:00:00"/>
    <m/>
    <s v="seg"/>
    <x v="5"/>
    <x v="1"/>
    <m/>
    <s v="178045670"/>
  </r>
  <r>
    <n v="1780"/>
    <n v="18"/>
    <s v="Feminino"/>
    <s v="Soldagem"/>
    <s v="Operador"/>
    <s v="1º Turno"/>
    <x v="1"/>
    <s v="Não"/>
    <x v="0"/>
    <d v="2025-01-14T00:00:00"/>
    <m/>
    <s v="ter"/>
    <x v="5"/>
    <x v="1"/>
    <m/>
    <s v="178045671"/>
  </r>
  <r>
    <n v="1780"/>
    <n v="18"/>
    <s v="Feminino"/>
    <s v="Soldagem"/>
    <s v="Operador"/>
    <s v="1º Turno"/>
    <x v="1"/>
    <s v="Não"/>
    <x v="0"/>
    <d v="2025-01-15T00:00:00"/>
    <m/>
    <s v="qua"/>
    <x v="5"/>
    <x v="1"/>
    <m/>
    <s v="178045672"/>
  </r>
  <r>
    <n v="1780"/>
    <n v="18"/>
    <s v="Feminino"/>
    <s v="Soldagem"/>
    <s v="Operador"/>
    <s v="1º Turno"/>
    <x v="1"/>
    <s v="Não"/>
    <x v="0"/>
    <d v="2025-01-16T00:00:00"/>
    <m/>
    <s v="qui"/>
    <x v="5"/>
    <x v="1"/>
    <m/>
    <s v="178045673"/>
  </r>
  <r>
    <n v="1780"/>
    <n v="18"/>
    <s v="Feminino"/>
    <s v="Soldagem"/>
    <s v="Operador"/>
    <s v="1º Turno"/>
    <x v="1"/>
    <s v="Não"/>
    <x v="0"/>
    <d v="2025-01-17T00:00:00"/>
    <m/>
    <s v="sex"/>
    <x v="5"/>
    <x v="1"/>
    <m/>
    <s v="178045674"/>
  </r>
  <r>
    <n v="1780"/>
    <n v="18"/>
    <s v="Feminino"/>
    <s v="Soldagem"/>
    <s v="Operador"/>
    <s v="1º Turno"/>
    <x v="1"/>
    <s v="Não"/>
    <x v="0"/>
    <d v="2025-01-18T00:00:00"/>
    <m/>
    <s v="sáb"/>
    <x v="5"/>
    <x v="1"/>
    <m/>
    <s v="178045675"/>
  </r>
  <r>
    <n v="1780"/>
    <n v="18"/>
    <s v="Feminino"/>
    <s v="Soldagem"/>
    <s v="Operador"/>
    <s v="1º Turno"/>
    <x v="1"/>
    <s v="Não"/>
    <x v="0"/>
    <d v="2025-01-19T00:00:00"/>
    <m/>
    <s v="dom"/>
    <x v="5"/>
    <x v="1"/>
    <m/>
    <s v="178045676"/>
  </r>
  <r>
    <n v="1780"/>
    <n v="18"/>
    <s v="Feminino"/>
    <s v="Soldagem"/>
    <s v="Operador"/>
    <s v="1º Turno"/>
    <x v="1"/>
    <s v="Não"/>
    <x v="0"/>
    <d v="2025-01-20T00:00:00"/>
    <m/>
    <s v="seg"/>
    <x v="5"/>
    <x v="1"/>
    <m/>
    <s v="178045677"/>
  </r>
  <r>
    <n v="1780"/>
    <n v="18"/>
    <s v="Feminino"/>
    <s v="Soldagem"/>
    <s v="Operador"/>
    <s v="1º Turno"/>
    <x v="1"/>
    <s v="Não"/>
    <x v="0"/>
    <d v="2025-01-21T00:00:00"/>
    <m/>
    <s v="ter"/>
    <x v="5"/>
    <x v="1"/>
    <m/>
    <s v="178045678"/>
  </r>
  <r>
    <n v="1780"/>
    <n v="18"/>
    <s v="Feminino"/>
    <s v="Soldagem"/>
    <s v="Operador"/>
    <s v="1º Turno"/>
    <x v="1"/>
    <s v="Não"/>
    <x v="0"/>
    <d v="2025-01-22T00:00:00"/>
    <m/>
    <s v="qua"/>
    <x v="5"/>
    <x v="1"/>
    <m/>
    <s v="178045679"/>
  </r>
  <r>
    <n v="1780"/>
    <n v="18"/>
    <s v="Feminino"/>
    <s v="Soldagem"/>
    <s v="Operador"/>
    <s v="1º Turno"/>
    <x v="1"/>
    <s v="Não"/>
    <x v="0"/>
    <d v="2025-01-23T00:00:00"/>
    <m/>
    <s v="qui"/>
    <x v="5"/>
    <x v="1"/>
    <m/>
    <s v="178045680"/>
  </r>
  <r>
    <n v="1780"/>
    <n v="18"/>
    <s v="Feminino"/>
    <s v="Soldagem"/>
    <s v="Operador"/>
    <s v="1º Turno"/>
    <x v="1"/>
    <s v="Não"/>
    <x v="0"/>
    <d v="2025-01-24T00:00:00"/>
    <m/>
    <s v="sex"/>
    <x v="5"/>
    <x v="1"/>
    <m/>
    <s v="178045681"/>
  </r>
  <r>
    <n v="1780"/>
    <n v="18"/>
    <s v="Feminino"/>
    <s v="Soldagem"/>
    <s v="Operador"/>
    <s v="1º Turno"/>
    <x v="1"/>
    <s v="Não"/>
    <x v="0"/>
    <d v="2025-01-25T00:00:00"/>
    <m/>
    <s v="sáb"/>
    <x v="5"/>
    <x v="1"/>
    <m/>
    <s v="178045682"/>
  </r>
  <r>
    <n v="1780"/>
    <n v="18"/>
    <s v="Feminino"/>
    <s v="Soldagem"/>
    <s v="Operador"/>
    <s v="1º Turno"/>
    <x v="1"/>
    <s v="Não"/>
    <x v="0"/>
    <d v="2025-01-26T00:00:00"/>
    <m/>
    <s v="dom"/>
    <x v="5"/>
    <x v="1"/>
    <m/>
    <s v="178045683"/>
  </r>
  <r>
    <n v="1780"/>
    <n v="18"/>
    <s v="Feminino"/>
    <s v="Soldagem"/>
    <s v="Operador"/>
    <s v="1º Turno"/>
    <x v="1"/>
    <s v="Não"/>
    <x v="0"/>
    <d v="2025-01-27T00:00:00"/>
    <m/>
    <s v="seg"/>
    <x v="5"/>
    <x v="1"/>
    <m/>
    <s v="178045684"/>
  </r>
  <r>
    <n v="1780"/>
    <n v="18"/>
    <s v="Feminino"/>
    <s v="Soldagem"/>
    <s v="Operador"/>
    <s v="1º Turno"/>
    <x v="1"/>
    <s v="Não"/>
    <x v="0"/>
    <d v="2025-01-28T00:00:00"/>
    <m/>
    <s v="ter"/>
    <x v="5"/>
    <x v="1"/>
    <m/>
    <s v="178045685"/>
  </r>
  <r>
    <n v="1780"/>
    <n v="18"/>
    <s v="Feminino"/>
    <s v="Soldagem"/>
    <s v="Operador"/>
    <s v="1º Turno"/>
    <x v="1"/>
    <s v="Não"/>
    <x v="0"/>
    <d v="2025-01-29T00:00:00"/>
    <m/>
    <s v="qua"/>
    <x v="5"/>
    <x v="1"/>
    <m/>
    <s v="178045686"/>
  </r>
  <r>
    <n v="1780"/>
    <n v="18"/>
    <s v="Feminino"/>
    <s v="Soldagem"/>
    <s v="Operador"/>
    <s v="1º Turno"/>
    <x v="1"/>
    <s v="Não"/>
    <x v="0"/>
    <d v="2025-01-30T00:00:00"/>
    <m/>
    <s v="qui"/>
    <x v="5"/>
    <x v="1"/>
    <m/>
    <s v="178045687"/>
  </r>
  <r>
    <n v="1780"/>
    <n v="18"/>
    <s v="Feminino"/>
    <s v="Soldagem"/>
    <s v="Operador"/>
    <s v="1º Turno"/>
    <x v="1"/>
    <s v="Não"/>
    <x v="0"/>
    <d v="2025-01-31T00:00:00"/>
    <m/>
    <s v="sex"/>
    <x v="5"/>
    <x v="1"/>
    <m/>
    <s v="178045688"/>
  </r>
  <r>
    <n v="1780"/>
    <n v="18"/>
    <s v="Feminino"/>
    <s v="Soldagem"/>
    <s v="Operador"/>
    <s v="1º Turno"/>
    <x v="1"/>
    <s v="Não"/>
    <x v="0"/>
    <d v="2025-02-01T00:00:00"/>
    <m/>
    <s v="sáb"/>
    <x v="3"/>
    <x v="1"/>
    <m/>
    <s v="178045689"/>
  </r>
  <r>
    <n v="1780"/>
    <n v="18"/>
    <s v="Feminino"/>
    <s v="Soldagem"/>
    <s v="Operador"/>
    <s v="1º Turno"/>
    <x v="1"/>
    <s v="Não"/>
    <x v="0"/>
    <d v="2025-02-02T00:00:00"/>
    <m/>
    <s v="dom"/>
    <x v="3"/>
    <x v="1"/>
    <m/>
    <s v="178045690"/>
  </r>
  <r>
    <n v="1780"/>
    <n v="18"/>
    <s v="Feminino"/>
    <s v="Soldagem"/>
    <s v="Operador"/>
    <s v="1º Turno"/>
    <x v="1"/>
    <s v="Não"/>
    <x v="0"/>
    <d v="2025-02-03T00:00:00"/>
    <m/>
    <s v="seg"/>
    <x v="3"/>
    <x v="1"/>
    <m/>
    <s v="178045691"/>
  </r>
  <r>
    <n v="1780"/>
    <n v="18"/>
    <s v="Feminino"/>
    <s v="Soldagem"/>
    <s v="Operador"/>
    <s v="1º Turno"/>
    <x v="1"/>
    <s v="Não"/>
    <x v="0"/>
    <d v="2025-02-04T00:00:00"/>
    <m/>
    <s v="ter"/>
    <x v="3"/>
    <x v="1"/>
    <m/>
    <s v="178045692"/>
  </r>
  <r>
    <n v="1780"/>
    <n v="18"/>
    <s v="Feminino"/>
    <s v="Soldagem"/>
    <s v="Operador"/>
    <s v="1º Turno"/>
    <x v="1"/>
    <s v="Não"/>
    <x v="0"/>
    <d v="2025-02-05T00:00:00"/>
    <m/>
    <s v="qua"/>
    <x v="3"/>
    <x v="1"/>
    <m/>
    <s v="178045693"/>
  </r>
  <r>
    <n v="1780"/>
    <n v="18"/>
    <s v="Feminino"/>
    <s v="Soldagem"/>
    <s v="Operador"/>
    <s v="1º Turno"/>
    <x v="1"/>
    <s v="Não"/>
    <x v="0"/>
    <d v="2025-02-06T00:00:00"/>
    <m/>
    <s v="qui"/>
    <x v="3"/>
    <x v="1"/>
    <m/>
    <s v="178045694"/>
  </r>
  <r>
    <n v="1780"/>
    <n v="18"/>
    <s v="Feminino"/>
    <s v="Soldagem"/>
    <s v="Operador"/>
    <s v="1º Turno"/>
    <x v="1"/>
    <s v="Não"/>
    <x v="0"/>
    <d v="2025-02-07T00:00:00"/>
    <m/>
    <s v="sex"/>
    <x v="3"/>
    <x v="1"/>
    <m/>
    <s v="178045695"/>
  </r>
  <r>
    <n v="1780"/>
    <n v="18"/>
    <s v="Feminino"/>
    <s v="Soldagem"/>
    <s v="Operador"/>
    <s v="1º Turno"/>
    <x v="1"/>
    <s v="Não"/>
    <x v="0"/>
    <d v="2025-02-08T00:00:00"/>
    <m/>
    <s v="sáb"/>
    <x v="3"/>
    <x v="1"/>
    <m/>
    <s v="178045696"/>
  </r>
  <r>
    <n v="1780"/>
    <n v="18"/>
    <s v="Feminino"/>
    <s v="Soldagem"/>
    <s v="Operador"/>
    <s v="1º Turno"/>
    <x v="1"/>
    <s v="Não"/>
    <x v="0"/>
    <d v="2025-02-09T00:00:00"/>
    <m/>
    <s v="dom"/>
    <x v="3"/>
    <x v="1"/>
    <m/>
    <s v="178045697"/>
  </r>
  <r>
    <n v="1780"/>
    <n v="18"/>
    <s v="Feminino"/>
    <s v="Soldagem"/>
    <s v="Operador"/>
    <s v="1º Turno"/>
    <x v="1"/>
    <s v="Não"/>
    <x v="0"/>
    <d v="2025-02-10T00:00:00"/>
    <m/>
    <s v="seg"/>
    <x v="3"/>
    <x v="1"/>
    <m/>
    <s v="178045698"/>
  </r>
  <r>
    <n v="1780"/>
    <n v="18"/>
    <s v="Feminino"/>
    <s v="Soldagem"/>
    <s v="Operador"/>
    <s v="1º Turno"/>
    <x v="1"/>
    <s v="Não"/>
    <x v="0"/>
    <d v="2025-02-11T00:00:00"/>
    <m/>
    <s v="ter"/>
    <x v="3"/>
    <x v="1"/>
    <m/>
    <s v="178045699"/>
  </r>
  <r>
    <n v="1780"/>
    <n v="18"/>
    <s v="Feminino"/>
    <s v="Soldagem"/>
    <s v="Operador"/>
    <s v="1º Turno"/>
    <x v="1"/>
    <s v="Não"/>
    <x v="0"/>
    <d v="2025-02-12T00:00:00"/>
    <m/>
    <s v="qua"/>
    <x v="3"/>
    <x v="1"/>
    <m/>
    <s v="178045700"/>
  </r>
  <r>
    <n v="1780"/>
    <n v="18"/>
    <s v="Feminino"/>
    <s v="Soldagem"/>
    <s v="Operador"/>
    <s v="1º Turno"/>
    <x v="1"/>
    <s v="Não"/>
    <x v="0"/>
    <d v="2025-02-13T00:00:00"/>
    <m/>
    <s v="qui"/>
    <x v="3"/>
    <x v="1"/>
    <m/>
    <s v="178045701"/>
  </r>
  <r>
    <n v="1780"/>
    <n v="18"/>
    <s v="Feminino"/>
    <s v="Soldagem"/>
    <s v="Operador"/>
    <s v="1º Turno"/>
    <x v="1"/>
    <s v="Não"/>
    <x v="0"/>
    <d v="2025-02-14T00:00:00"/>
    <m/>
    <s v="sex"/>
    <x v="3"/>
    <x v="1"/>
    <m/>
    <s v="178045702"/>
  </r>
  <r>
    <n v="1780"/>
    <n v="18"/>
    <s v="Feminino"/>
    <s v="Soldagem"/>
    <s v="Operador"/>
    <s v="1º Turno"/>
    <x v="1"/>
    <s v="Não"/>
    <x v="0"/>
    <d v="2025-02-15T00:00:00"/>
    <m/>
    <s v="sáb"/>
    <x v="3"/>
    <x v="1"/>
    <m/>
    <s v="178045703"/>
  </r>
  <r>
    <n v="1780"/>
    <n v="18"/>
    <s v="Feminino"/>
    <s v="Soldagem"/>
    <s v="Operador"/>
    <s v="1º Turno"/>
    <x v="1"/>
    <s v="Não"/>
    <x v="0"/>
    <d v="2025-02-16T00:00:00"/>
    <m/>
    <s v="dom"/>
    <x v="3"/>
    <x v="1"/>
    <m/>
    <s v="178045704"/>
  </r>
  <r>
    <n v="1780"/>
    <n v="18"/>
    <s v="Feminino"/>
    <s v="Soldagem"/>
    <s v="Operador"/>
    <s v="1º Turno"/>
    <x v="1"/>
    <s v="Não"/>
    <x v="0"/>
    <d v="2025-02-17T00:00:00"/>
    <m/>
    <s v="seg"/>
    <x v="3"/>
    <x v="1"/>
    <m/>
    <s v="178045705"/>
  </r>
  <r>
    <n v="1780"/>
    <n v="18"/>
    <s v="Feminino"/>
    <s v="Soldagem"/>
    <s v="Operador"/>
    <s v="1º Turno"/>
    <x v="1"/>
    <s v="Não"/>
    <x v="0"/>
    <d v="2025-02-18T00:00:00"/>
    <m/>
    <s v="ter"/>
    <x v="3"/>
    <x v="1"/>
    <m/>
    <s v="178045706"/>
  </r>
  <r>
    <n v="1780"/>
    <n v="18"/>
    <s v="Feminino"/>
    <s v="Soldagem"/>
    <s v="Operador"/>
    <s v="1º Turno"/>
    <x v="1"/>
    <s v="Não"/>
    <x v="0"/>
    <d v="2025-02-19T00:00:00"/>
    <m/>
    <s v="qua"/>
    <x v="3"/>
    <x v="1"/>
    <m/>
    <s v="178045707"/>
  </r>
  <r>
    <n v="1780"/>
    <n v="18"/>
    <s v="Feminino"/>
    <s v="Soldagem"/>
    <s v="Operador"/>
    <s v="1º Turno"/>
    <x v="1"/>
    <s v="Não"/>
    <x v="0"/>
    <d v="2025-02-20T00:00:00"/>
    <m/>
    <s v="qui"/>
    <x v="3"/>
    <x v="1"/>
    <m/>
    <s v="178045708"/>
  </r>
  <r>
    <n v="1780"/>
    <n v="18"/>
    <s v="Feminino"/>
    <s v="Soldagem"/>
    <s v="Operador"/>
    <s v="1º Turno"/>
    <x v="1"/>
    <s v="Não"/>
    <x v="0"/>
    <d v="2025-02-21T00:00:00"/>
    <m/>
    <s v="sex"/>
    <x v="3"/>
    <x v="1"/>
    <m/>
    <s v="178045709"/>
  </r>
  <r>
    <n v="1780"/>
    <n v="18"/>
    <s v="Feminino"/>
    <s v="Soldagem"/>
    <s v="Operador"/>
    <s v="1º Turno"/>
    <x v="1"/>
    <s v="Não"/>
    <x v="0"/>
    <d v="2025-02-22T00:00:00"/>
    <m/>
    <s v="sáb"/>
    <x v="3"/>
    <x v="1"/>
    <m/>
    <s v="178045710"/>
  </r>
  <r>
    <n v="1780"/>
    <n v="18"/>
    <s v="Feminino"/>
    <s v="Soldagem"/>
    <s v="Operador"/>
    <s v="1º Turno"/>
    <x v="1"/>
    <s v="Não"/>
    <x v="0"/>
    <d v="2025-02-23T00:00:00"/>
    <m/>
    <s v="dom"/>
    <x v="3"/>
    <x v="1"/>
    <m/>
    <s v="178045711"/>
  </r>
  <r>
    <n v="1780"/>
    <n v="18"/>
    <s v="Feminino"/>
    <s v="Soldagem"/>
    <s v="Operador"/>
    <s v="1º Turno"/>
    <x v="1"/>
    <s v="Não"/>
    <x v="0"/>
    <d v="2025-02-24T00:00:00"/>
    <m/>
    <s v="seg"/>
    <x v="3"/>
    <x v="1"/>
    <m/>
    <s v="178045712"/>
  </r>
  <r>
    <n v="1780"/>
    <n v="18"/>
    <s v="Feminino"/>
    <s v="Soldagem"/>
    <s v="Operador"/>
    <s v="1º Turno"/>
    <x v="1"/>
    <s v="Não"/>
    <x v="0"/>
    <d v="2025-02-25T00:00:00"/>
    <m/>
    <s v="ter"/>
    <x v="3"/>
    <x v="1"/>
    <m/>
    <s v="178045713"/>
  </r>
  <r>
    <n v="1780"/>
    <n v="18"/>
    <s v="Feminino"/>
    <s v="Soldagem"/>
    <s v="Operador"/>
    <s v="1º Turno"/>
    <x v="1"/>
    <s v="Não"/>
    <x v="0"/>
    <d v="2025-02-26T00:00:00"/>
    <m/>
    <s v="qua"/>
    <x v="3"/>
    <x v="1"/>
    <m/>
    <s v="178045714"/>
  </r>
  <r>
    <n v="1780"/>
    <n v="18"/>
    <s v="Feminino"/>
    <s v="Soldagem"/>
    <s v="Operador"/>
    <s v="1º Turno"/>
    <x v="1"/>
    <s v="Não"/>
    <x v="0"/>
    <d v="2025-02-27T00:00:00"/>
    <m/>
    <s v="qui"/>
    <x v="3"/>
    <x v="1"/>
    <m/>
    <s v="178045715"/>
  </r>
  <r>
    <n v="1780"/>
    <n v="18"/>
    <s v="Feminino"/>
    <s v="Soldagem"/>
    <s v="Operador"/>
    <s v="1º Turno"/>
    <x v="1"/>
    <s v="Não"/>
    <x v="0"/>
    <d v="2025-02-28T00:00:00"/>
    <m/>
    <s v="sex"/>
    <x v="3"/>
    <x v="1"/>
    <m/>
    <s v="178045716"/>
  </r>
  <r>
    <n v="1780"/>
    <n v="18"/>
    <s v="Feminino"/>
    <s v="Soldagem"/>
    <s v="Operador"/>
    <s v="1º Turno"/>
    <x v="1"/>
    <s v="Não"/>
    <x v="0"/>
    <d v="2025-03-01T00:00:00"/>
    <m/>
    <s v="sáb"/>
    <x v="4"/>
    <x v="1"/>
    <m/>
    <s v="178045717"/>
  </r>
  <r>
    <n v="1780"/>
    <n v="18"/>
    <s v="Feminino"/>
    <s v="Soldagem"/>
    <s v="Operador"/>
    <s v="1º Turno"/>
    <x v="1"/>
    <s v="Não"/>
    <x v="0"/>
    <d v="2025-03-02T00:00:00"/>
    <m/>
    <s v="dom"/>
    <x v="4"/>
    <x v="1"/>
    <m/>
    <s v="178045718"/>
  </r>
  <r>
    <n v="1780"/>
    <n v="18"/>
    <s v="Feminino"/>
    <s v="Soldagem"/>
    <s v="Operador"/>
    <s v="1º Turno"/>
    <x v="1"/>
    <s v="Não"/>
    <x v="0"/>
    <d v="2025-03-03T00:00:00"/>
    <m/>
    <s v="seg"/>
    <x v="4"/>
    <x v="1"/>
    <m/>
    <s v="178045719"/>
  </r>
  <r>
    <n v="1780"/>
    <n v="18"/>
    <s v="Feminino"/>
    <s v="Soldagem"/>
    <s v="Operador"/>
    <s v="1º Turno"/>
    <x v="1"/>
    <s v="Não"/>
    <x v="0"/>
    <d v="2025-03-04T00:00:00"/>
    <m/>
    <s v="ter"/>
    <x v="4"/>
    <x v="1"/>
    <m/>
    <s v="178045720"/>
  </r>
  <r>
    <n v="1780"/>
    <n v="18"/>
    <s v="Feminino"/>
    <s v="Soldagem"/>
    <s v="Operador"/>
    <s v="1º Turno"/>
    <x v="1"/>
    <s v="Não"/>
    <x v="0"/>
    <d v="2025-03-05T00:00:00"/>
    <m/>
    <s v="qua"/>
    <x v="4"/>
    <x v="1"/>
    <m/>
    <s v="178045721"/>
  </r>
  <r>
    <n v="1780"/>
    <n v="18"/>
    <s v="Feminino"/>
    <s v="Soldagem"/>
    <s v="Operador"/>
    <s v="1º Turno"/>
    <x v="1"/>
    <s v="Não"/>
    <x v="0"/>
    <d v="2025-03-06T00:00:00"/>
    <m/>
    <s v="qui"/>
    <x v="4"/>
    <x v="1"/>
    <m/>
    <s v="178045722"/>
  </r>
  <r>
    <n v="1780"/>
    <n v="18"/>
    <s v="Feminino"/>
    <s v="Soldagem"/>
    <s v="Operador"/>
    <s v="1º Turno"/>
    <x v="1"/>
    <s v="Não"/>
    <x v="0"/>
    <d v="2025-03-07T00:00:00"/>
    <m/>
    <s v="sex"/>
    <x v="4"/>
    <x v="1"/>
    <m/>
    <s v="178045723"/>
  </r>
  <r>
    <n v="1487"/>
    <n v="21"/>
    <s v="Masculino"/>
    <s v="Qualidade"/>
    <s v="Inspetor"/>
    <s v="3º Turno"/>
    <x v="1"/>
    <s v="Não"/>
    <x v="2"/>
    <d v="2025-02-02T00:00:00"/>
    <m/>
    <s v="dom"/>
    <x v="3"/>
    <x v="1"/>
    <m/>
    <s v="148745690"/>
  </r>
  <r>
    <n v="1487"/>
    <n v="21"/>
    <s v="Masculino"/>
    <s v="Qualidade"/>
    <s v="Inspetor"/>
    <s v="3º Turno"/>
    <x v="1"/>
    <s v="Não"/>
    <x v="2"/>
    <d v="2025-02-03T00:00:00"/>
    <m/>
    <s v="seg"/>
    <x v="3"/>
    <x v="1"/>
    <m/>
    <s v="148745691"/>
  </r>
  <r>
    <n v="1487"/>
    <n v="21"/>
    <s v="Masculino"/>
    <s v="Qualidade"/>
    <s v="Inspetor"/>
    <s v="3º Turno"/>
    <x v="1"/>
    <s v="Não"/>
    <x v="2"/>
    <d v="2025-02-04T00:00:00"/>
    <m/>
    <s v="ter"/>
    <x v="3"/>
    <x v="1"/>
    <m/>
    <s v="148745692"/>
  </r>
  <r>
    <n v="1487"/>
    <n v="21"/>
    <s v="Masculino"/>
    <s v="Qualidade"/>
    <s v="Inspetor"/>
    <s v="3º Turno"/>
    <x v="1"/>
    <s v="Não"/>
    <x v="2"/>
    <d v="2025-02-05T00:00:00"/>
    <m/>
    <s v="qua"/>
    <x v="3"/>
    <x v="1"/>
    <m/>
    <s v="148745693"/>
  </r>
  <r>
    <n v="1487"/>
    <n v="21"/>
    <s v="Masculino"/>
    <s v="Qualidade"/>
    <s v="Inspetor"/>
    <s v="3º Turno"/>
    <x v="1"/>
    <s v="Não"/>
    <x v="2"/>
    <d v="2025-02-06T00:00:00"/>
    <m/>
    <s v="qui"/>
    <x v="3"/>
    <x v="1"/>
    <m/>
    <s v="148745694"/>
  </r>
  <r>
    <n v="1487"/>
    <n v="21"/>
    <s v="Masculino"/>
    <s v="Qualidade"/>
    <s v="Inspetor"/>
    <s v="3º Turno"/>
    <x v="1"/>
    <s v="Não"/>
    <x v="2"/>
    <d v="2025-02-07T00:00:00"/>
    <m/>
    <s v="sex"/>
    <x v="3"/>
    <x v="1"/>
    <m/>
    <s v="148745695"/>
  </r>
  <r>
    <n v="1487"/>
    <n v="21"/>
    <s v="Masculino"/>
    <s v="Qualidade"/>
    <s v="Inspetor"/>
    <s v="3º Turno"/>
    <x v="1"/>
    <s v="Não"/>
    <x v="2"/>
    <d v="2025-02-08T00:00:00"/>
    <m/>
    <s v="sáb"/>
    <x v="3"/>
    <x v="1"/>
    <m/>
    <s v="148745696"/>
  </r>
  <r>
    <n v="1487"/>
    <n v="21"/>
    <s v="Masculino"/>
    <s v="Qualidade"/>
    <s v="Inspetor"/>
    <s v="3º Turno"/>
    <x v="1"/>
    <s v="Não"/>
    <x v="2"/>
    <d v="2025-02-09T00:00:00"/>
    <m/>
    <s v="dom"/>
    <x v="3"/>
    <x v="1"/>
    <m/>
    <s v="148745697"/>
  </r>
  <r>
    <n v="1487"/>
    <n v="21"/>
    <s v="Masculino"/>
    <s v="Qualidade"/>
    <s v="Inspetor"/>
    <s v="3º Turno"/>
    <x v="1"/>
    <s v="Não"/>
    <x v="2"/>
    <d v="2025-02-10T00:00:00"/>
    <m/>
    <s v="seg"/>
    <x v="3"/>
    <x v="1"/>
    <m/>
    <s v="148745698"/>
  </r>
  <r>
    <n v="1487"/>
    <n v="21"/>
    <s v="Masculino"/>
    <s v="Qualidade"/>
    <s v="Inspetor"/>
    <s v="3º Turno"/>
    <x v="1"/>
    <s v="Não"/>
    <x v="2"/>
    <d v="2025-02-11T00:00:00"/>
    <m/>
    <s v="ter"/>
    <x v="3"/>
    <x v="1"/>
    <m/>
    <s v="148745699"/>
  </r>
  <r>
    <n v="1487"/>
    <n v="21"/>
    <s v="Masculino"/>
    <s v="Qualidade"/>
    <s v="Inspetor"/>
    <s v="3º Turno"/>
    <x v="1"/>
    <s v="Não"/>
    <x v="2"/>
    <d v="2025-02-12T00:00:00"/>
    <m/>
    <s v="qua"/>
    <x v="3"/>
    <x v="1"/>
    <m/>
    <s v="148745700"/>
  </r>
  <r>
    <n v="1487"/>
    <n v="21"/>
    <s v="Masculino"/>
    <s v="Qualidade"/>
    <s v="Inspetor"/>
    <s v="3º Turno"/>
    <x v="1"/>
    <s v="Não"/>
    <x v="2"/>
    <d v="2025-02-13T00:00:00"/>
    <m/>
    <s v="qui"/>
    <x v="3"/>
    <x v="1"/>
    <m/>
    <s v="148745701"/>
  </r>
  <r>
    <n v="1487"/>
    <n v="21"/>
    <s v="Masculino"/>
    <s v="Qualidade"/>
    <s v="Inspetor"/>
    <s v="3º Turno"/>
    <x v="1"/>
    <s v="Não"/>
    <x v="2"/>
    <d v="2025-02-14T00:00:00"/>
    <m/>
    <s v="sex"/>
    <x v="3"/>
    <x v="1"/>
    <m/>
    <s v="148745702"/>
  </r>
  <r>
    <n v="1487"/>
    <n v="21"/>
    <s v="Masculino"/>
    <s v="Qualidade"/>
    <s v="Inspetor"/>
    <s v="3º Turno"/>
    <x v="1"/>
    <s v="Não"/>
    <x v="2"/>
    <d v="2025-02-15T00:00:00"/>
    <m/>
    <s v="sáb"/>
    <x v="3"/>
    <x v="1"/>
    <m/>
    <s v="148745703"/>
  </r>
  <r>
    <n v="1487"/>
    <n v="21"/>
    <s v="Masculino"/>
    <s v="Qualidade"/>
    <s v="Inspetor"/>
    <s v="3º Turno"/>
    <x v="1"/>
    <s v="Não"/>
    <x v="2"/>
    <d v="2025-02-16T00:00:00"/>
    <m/>
    <s v="dom"/>
    <x v="3"/>
    <x v="1"/>
    <m/>
    <s v="148745704"/>
  </r>
  <r>
    <n v="1487"/>
    <n v="21"/>
    <s v="Masculino"/>
    <s v="Qualidade"/>
    <s v="Inspetor"/>
    <s v="3º Turno"/>
    <x v="1"/>
    <s v="Não"/>
    <x v="2"/>
    <d v="2025-02-17T00:00:00"/>
    <m/>
    <s v="seg"/>
    <x v="3"/>
    <x v="1"/>
    <m/>
    <s v="148745705"/>
  </r>
  <r>
    <n v="1487"/>
    <n v="21"/>
    <s v="Masculino"/>
    <s v="Qualidade"/>
    <s v="Inspetor"/>
    <s v="3º Turno"/>
    <x v="1"/>
    <s v="Não"/>
    <x v="2"/>
    <d v="2025-02-18T00:00:00"/>
    <m/>
    <s v="ter"/>
    <x v="3"/>
    <x v="1"/>
    <m/>
    <s v="148745706"/>
  </r>
  <r>
    <n v="1487"/>
    <n v="21"/>
    <s v="Masculino"/>
    <s v="Qualidade"/>
    <s v="Inspetor"/>
    <s v="3º Turno"/>
    <x v="1"/>
    <s v="Não"/>
    <x v="2"/>
    <d v="2025-02-19T00:00:00"/>
    <m/>
    <s v="qua"/>
    <x v="3"/>
    <x v="1"/>
    <m/>
    <s v="148745707"/>
  </r>
  <r>
    <n v="1487"/>
    <n v="21"/>
    <s v="Masculino"/>
    <s v="Qualidade"/>
    <s v="Inspetor"/>
    <s v="3º Turno"/>
    <x v="1"/>
    <s v="Não"/>
    <x v="2"/>
    <d v="2025-02-20T00:00:00"/>
    <m/>
    <s v="qui"/>
    <x v="3"/>
    <x v="1"/>
    <m/>
    <s v="148745708"/>
  </r>
  <r>
    <n v="1487"/>
    <n v="21"/>
    <s v="Masculino"/>
    <s v="Qualidade"/>
    <s v="Inspetor"/>
    <s v="3º Turno"/>
    <x v="1"/>
    <s v="Não"/>
    <x v="2"/>
    <d v="2025-02-21T00:00:00"/>
    <m/>
    <s v="sex"/>
    <x v="3"/>
    <x v="1"/>
    <m/>
    <s v="148745709"/>
  </r>
  <r>
    <n v="1487"/>
    <n v="21"/>
    <s v="Masculino"/>
    <s v="Qualidade"/>
    <s v="Inspetor"/>
    <s v="3º Turno"/>
    <x v="1"/>
    <s v="Não"/>
    <x v="2"/>
    <d v="2025-02-22T00:00:00"/>
    <m/>
    <s v="sáb"/>
    <x v="3"/>
    <x v="1"/>
    <m/>
    <s v="148745710"/>
  </r>
  <r>
    <n v="1487"/>
    <n v="21"/>
    <s v="Masculino"/>
    <s v="Qualidade"/>
    <s v="Inspetor"/>
    <s v="3º Turno"/>
    <x v="1"/>
    <s v="Não"/>
    <x v="2"/>
    <d v="2025-02-23T00:00:00"/>
    <m/>
    <s v="dom"/>
    <x v="3"/>
    <x v="1"/>
    <m/>
    <s v="148745711"/>
  </r>
  <r>
    <n v="1487"/>
    <n v="21"/>
    <s v="Masculino"/>
    <s v="Qualidade"/>
    <s v="Inspetor"/>
    <s v="3º Turno"/>
    <x v="1"/>
    <s v="Não"/>
    <x v="2"/>
    <d v="2025-02-24T00:00:00"/>
    <m/>
    <s v="seg"/>
    <x v="3"/>
    <x v="1"/>
    <m/>
    <s v="148745712"/>
  </r>
  <r>
    <n v="1487"/>
    <n v="21"/>
    <s v="Masculino"/>
    <s v="Qualidade"/>
    <s v="Inspetor"/>
    <s v="3º Turno"/>
    <x v="1"/>
    <s v="Não"/>
    <x v="2"/>
    <d v="2025-02-25T00:00:00"/>
    <m/>
    <s v="ter"/>
    <x v="3"/>
    <x v="1"/>
    <m/>
    <s v="148745713"/>
  </r>
  <r>
    <n v="1487"/>
    <n v="21"/>
    <s v="Masculino"/>
    <s v="Qualidade"/>
    <s v="Inspetor"/>
    <s v="3º Turno"/>
    <x v="1"/>
    <s v="Não"/>
    <x v="2"/>
    <d v="2025-02-26T00:00:00"/>
    <m/>
    <s v="qua"/>
    <x v="3"/>
    <x v="1"/>
    <m/>
    <s v="148745714"/>
  </r>
  <r>
    <n v="1487"/>
    <n v="21"/>
    <s v="Masculino"/>
    <s v="Qualidade"/>
    <s v="Inspetor"/>
    <s v="3º Turno"/>
    <x v="1"/>
    <s v="Não"/>
    <x v="2"/>
    <d v="2025-02-27T00:00:00"/>
    <m/>
    <s v="qui"/>
    <x v="3"/>
    <x v="1"/>
    <m/>
    <s v="148745715"/>
  </r>
  <r>
    <n v="1487"/>
    <n v="21"/>
    <s v="Masculino"/>
    <s v="Qualidade"/>
    <s v="Inspetor"/>
    <s v="3º Turno"/>
    <x v="1"/>
    <s v="Não"/>
    <x v="2"/>
    <d v="2025-02-28T00:00:00"/>
    <m/>
    <s v="sex"/>
    <x v="3"/>
    <x v="1"/>
    <m/>
    <s v="148745716"/>
  </r>
  <r>
    <n v="1487"/>
    <n v="21"/>
    <s v="Masculino"/>
    <s v="Qualidade"/>
    <s v="Inspetor"/>
    <s v="3º Turno"/>
    <x v="1"/>
    <s v="Não"/>
    <x v="2"/>
    <d v="2025-03-01T00:00:00"/>
    <m/>
    <s v="sáb"/>
    <x v="4"/>
    <x v="1"/>
    <m/>
    <s v="148745717"/>
  </r>
  <r>
    <n v="1487"/>
    <n v="21"/>
    <s v="Masculino"/>
    <s v="Qualidade"/>
    <s v="Inspetor"/>
    <s v="3º Turno"/>
    <x v="1"/>
    <s v="Não"/>
    <x v="2"/>
    <d v="2025-03-02T00:00:00"/>
    <m/>
    <s v="dom"/>
    <x v="4"/>
    <x v="1"/>
    <m/>
    <s v="148745718"/>
  </r>
  <r>
    <n v="1487"/>
    <n v="21"/>
    <s v="Masculino"/>
    <s v="Qualidade"/>
    <s v="Inspetor"/>
    <s v="3º Turno"/>
    <x v="1"/>
    <s v="Não"/>
    <x v="2"/>
    <d v="2025-03-03T00:00:00"/>
    <m/>
    <s v="seg"/>
    <x v="4"/>
    <x v="1"/>
    <m/>
    <s v="148745719"/>
  </r>
  <r>
    <n v="1487"/>
    <n v="21"/>
    <s v="Masculino"/>
    <s v="Qualidade"/>
    <s v="Inspetor"/>
    <s v="3º Turno"/>
    <x v="1"/>
    <s v="Não"/>
    <x v="2"/>
    <d v="2025-03-04T00:00:00"/>
    <m/>
    <s v="ter"/>
    <x v="4"/>
    <x v="1"/>
    <m/>
    <s v="148745720"/>
  </r>
  <r>
    <n v="1487"/>
    <n v="21"/>
    <s v="Masculino"/>
    <s v="Qualidade"/>
    <s v="Inspetor"/>
    <s v="3º Turno"/>
    <x v="1"/>
    <s v="Não"/>
    <x v="2"/>
    <d v="2025-03-05T00:00:00"/>
    <m/>
    <s v="qua"/>
    <x v="4"/>
    <x v="1"/>
    <m/>
    <s v="148745721"/>
  </r>
  <r>
    <n v="1487"/>
    <n v="21"/>
    <s v="Masculino"/>
    <s v="Qualidade"/>
    <s v="Inspetor"/>
    <s v="3º Turno"/>
    <x v="1"/>
    <s v="Não"/>
    <x v="2"/>
    <d v="2025-03-06T00:00:00"/>
    <m/>
    <s v="qui"/>
    <x v="4"/>
    <x v="1"/>
    <m/>
    <s v="148745722"/>
  </r>
  <r>
    <n v="1487"/>
    <n v="21"/>
    <s v="Masculino"/>
    <s v="Qualidade"/>
    <s v="Inspetor"/>
    <s v="3º Turno"/>
    <x v="1"/>
    <s v="Não"/>
    <x v="2"/>
    <d v="2025-03-07T00:00:00"/>
    <m/>
    <s v="sex"/>
    <x v="4"/>
    <x v="1"/>
    <m/>
    <s v="148745723"/>
  </r>
  <r>
    <n v="1487"/>
    <n v="21"/>
    <s v="Masculino"/>
    <s v="Qualidade"/>
    <s v="Inspetor"/>
    <s v="3º Turno"/>
    <x v="1"/>
    <s v="Não"/>
    <x v="2"/>
    <d v="2025-03-08T00:00:00"/>
    <m/>
    <s v="sáb"/>
    <x v="4"/>
    <x v="1"/>
    <m/>
    <s v="148745724"/>
  </r>
  <r>
    <n v="1487"/>
    <n v="21"/>
    <s v="Masculino"/>
    <s v="Qualidade"/>
    <s v="Inspetor"/>
    <s v="3º Turno"/>
    <x v="1"/>
    <s v="Não"/>
    <x v="2"/>
    <d v="2025-03-09T00:00:00"/>
    <m/>
    <s v="dom"/>
    <x v="4"/>
    <x v="1"/>
    <m/>
    <s v="148745725"/>
  </r>
  <r>
    <n v="1487"/>
    <n v="21"/>
    <s v="Masculino"/>
    <s v="Qualidade"/>
    <s v="Inspetor"/>
    <s v="3º Turno"/>
    <x v="1"/>
    <s v="Não"/>
    <x v="2"/>
    <d v="2025-03-10T00:00:00"/>
    <m/>
    <s v="seg"/>
    <x v="4"/>
    <x v="1"/>
    <m/>
    <s v="148745726"/>
  </r>
  <r>
    <n v="1487"/>
    <n v="21"/>
    <s v="Masculino"/>
    <s v="Qualidade"/>
    <s v="Inspetor"/>
    <s v="3º Turno"/>
    <x v="1"/>
    <s v="Não"/>
    <x v="2"/>
    <d v="2025-03-11T00:00:00"/>
    <m/>
    <s v="ter"/>
    <x v="4"/>
    <x v="1"/>
    <m/>
    <s v="148745727"/>
  </r>
  <r>
    <n v="1487"/>
    <n v="21"/>
    <s v="Masculino"/>
    <s v="Qualidade"/>
    <s v="Inspetor"/>
    <s v="3º Turno"/>
    <x v="1"/>
    <s v="Não"/>
    <x v="2"/>
    <d v="2025-03-12T00:00:00"/>
    <m/>
    <s v="qua"/>
    <x v="4"/>
    <x v="1"/>
    <m/>
    <s v="148745728"/>
  </r>
  <r>
    <n v="1487"/>
    <n v="21"/>
    <s v="Masculino"/>
    <s v="Qualidade"/>
    <s v="Inspetor"/>
    <s v="3º Turno"/>
    <x v="1"/>
    <s v="Não"/>
    <x v="2"/>
    <d v="2025-03-13T00:00:00"/>
    <m/>
    <s v="qui"/>
    <x v="4"/>
    <x v="1"/>
    <m/>
    <s v="148745729"/>
  </r>
  <r>
    <n v="1487"/>
    <n v="21"/>
    <s v="Masculino"/>
    <s v="Qualidade"/>
    <s v="Inspetor"/>
    <s v="3º Turno"/>
    <x v="1"/>
    <s v="Não"/>
    <x v="2"/>
    <d v="2025-03-14T00:00:00"/>
    <m/>
    <s v="sex"/>
    <x v="4"/>
    <x v="1"/>
    <m/>
    <s v="148745730"/>
  </r>
  <r>
    <n v="1487"/>
    <n v="21"/>
    <s v="Masculino"/>
    <s v="Qualidade"/>
    <s v="Inspetor"/>
    <s v="3º Turno"/>
    <x v="1"/>
    <s v="Não"/>
    <x v="2"/>
    <d v="2025-03-15T00:00:00"/>
    <m/>
    <s v="sáb"/>
    <x v="4"/>
    <x v="1"/>
    <m/>
    <s v="148745731"/>
  </r>
  <r>
    <n v="1487"/>
    <n v="21"/>
    <s v="Masculino"/>
    <s v="Qualidade"/>
    <s v="Inspetor"/>
    <s v="3º Turno"/>
    <x v="1"/>
    <s v="Não"/>
    <x v="2"/>
    <d v="2025-03-16T00:00:00"/>
    <m/>
    <s v="dom"/>
    <x v="4"/>
    <x v="1"/>
    <m/>
    <s v="148745732"/>
  </r>
  <r>
    <n v="1487"/>
    <n v="21"/>
    <s v="Masculino"/>
    <s v="Qualidade"/>
    <s v="Inspetor"/>
    <s v="3º Turno"/>
    <x v="1"/>
    <s v="Não"/>
    <x v="2"/>
    <d v="2025-03-17T00:00:00"/>
    <m/>
    <s v="seg"/>
    <x v="4"/>
    <x v="1"/>
    <m/>
    <s v="148745733"/>
  </r>
  <r>
    <n v="1487"/>
    <n v="21"/>
    <s v="Masculino"/>
    <s v="Qualidade"/>
    <s v="Inspetor"/>
    <s v="3º Turno"/>
    <x v="1"/>
    <s v="Não"/>
    <x v="2"/>
    <d v="2025-03-18T00:00:00"/>
    <m/>
    <s v="ter"/>
    <x v="4"/>
    <x v="1"/>
    <m/>
    <s v="148745734"/>
  </r>
  <r>
    <n v="1487"/>
    <n v="21"/>
    <s v="Masculino"/>
    <s v="Qualidade"/>
    <s v="Inspetor"/>
    <s v="3º Turno"/>
    <x v="1"/>
    <s v="Não"/>
    <x v="2"/>
    <d v="2025-03-19T00:00:00"/>
    <m/>
    <s v="qua"/>
    <x v="4"/>
    <x v="1"/>
    <m/>
    <s v="148745735"/>
  </r>
  <r>
    <n v="1487"/>
    <n v="21"/>
    <s v="Masculino"/>
    <s v="Qualidade"/>
    <s v="Inspetor"/>
    <s v="3º Turno"/>
    <x v="1"/>
    <s v="Não"/>
    <x v="2"/>
    <d v="2025-03-20T00:00:00"/>
    <m/>
    <s v="qui"/>
    <x v="4"/>
    <x v="1"/>
    <m/>
    <s v="148745736"/>
  </r>
  <r>
    <n v="1487"/>
    <n v="21"/>
    <s v="Masculino"/>
    <s v="Qualidade"/>
    <s v="Inspetor"/>
    <s v="3º Turno"/>
    <x v="1"/>
    <s v="Não"/>
    <x v="2"/>
    <d v="2025-03-21T00:00:00"/>
    <m/>
    <s v="sex"/>
    <x v="4"/>
    <x v="1"/>
    <m/>
    <s v="148745737"/>
  </r>
  <r>
    <n v="1487"/>
    <n v="21"/>
    <s v="Masculino"/>
    <s v="Qualidade"/>
    <s v="Inspetor"/>
    <s v="3º Turno"/>
    <x v="1"/>
    <s v="Não"/>
    <x v="2"/>
    <d v="2025-03-22T00:00:00"/>
    <m/>
    <s v="sáb"/>
    <x v="4"/>
    <x v="1"/>
    <m/>
    <s v="148745738"/>
  </r>
  <r>
    <n v="1487"/>
    <n v="21"/>
    <s v="Masculino"/>
    <s v="Qualidade"/>
    <s v="Inspetor"/>
    <s v="3º Turno"/>
    <x v="1"/>
    <s v="Não"/>
    <x v="2"/>
    <d v="2025-03-23T00:00:00"/>
    <m/>
    <s v="dom"/>
    <x v="4"/>
    <x v="1"/>
    <m/>
    <s v="148745739"/>
  </r>
  <r>
    <n v="1487"/>
    <n v="21"/>
    <s v="Masculino"/>
    <s v="Qualidade"/>
    <s v="Inspetor"/>
    <s v="3º Turno"/>
    <x v="1"/>
    <s v="Não"/>
    <x v="2"/>
    <d v="2025-03-24T00:00:00"/>
    <m/>
    <s v="seg"/>
    <x v="4"/>
    <x v="1"/>
    <m/>
    <s v="148745740"/>
  </r>
  <r>
    <n v="1487"/>
    <n v="21"/>
    <s v="Masculino"/>
    <s v="Qualidade"/>
    <s v="Inspetor"/>
    <s v="3º Turno"/>
    <x v="1"/>
    <s v="Não"/>
    <x v="2"/>
    <d v="2025-03-25T00:00:00"/>
    <m/>
    <s v="ter"/>
    <x v="4"/>
    <x v="1"/>
    <m/>
    <s v="148745741"/>
  </r>
  <r>
    <n v="1487"/>
    <n v="21"/>
    <s v="Masculino"/>
    <s v="Qualidade"/>
    <s v="Inspetor"/>
    <s v="3º Turno"/>
    <x v="1"/>
    <s v="Não"/>
    <x v="2"/>
    <d v="2025-03-26T00:00:00"/>
    <m/>
    <s v="qua"/>
    <x v="4"/>
    <x v="1"/>
    <m/>
    <s v="148745742"/>
  </r>
  <r>
    <n v="1487"/>
    <n v="21"/>
    <s v="Masculino"/>
    <s v="Qualidade"/>
    <s v="Inspetor"/>
    <s v="3º Turno"/>
    <x v="1"/>
    <s v="Não"/>
    <x v="2"/>
    <d v="2025-03-27T00:00:00"/>
    <m/>
    <s v="qui"/>
    <x v="4"/>
    <x v="1"/>
    <m/>
    <s v="148745743"/>
  </r>
  <r>
    <n v="1487"/>
    <n v="21"/>
    <s v="Masculino"/>
    <s v="Qualidade"/>
    <s v="Inspetor"/>
    <s v="3º Turno"/>
    <x v="1"/>
    <s v="Não"/>
    <x v="2"/>
    <d v="2025-03-28T00:00:00"/>
    <m/>
    <s v="sex"/>
    <x v="4"/>
    <x v="1"/>
    <m/>
    <s v="148745744"/>
  </r>
  <r>
    <n v="1487"/>
    <n v="21"/>
    <s v="Masculino"/>
    <s v="Qualidade"/>
    <s v="Inspetor"/>
    <s v="3º Turno"/>
    <x v="1"/>
    <s v="Não"/>
    <x v="2"/>
    <d v="2025-03-29T00:00:00"/>
    <m/>
    <s v="sáb"/>
    <x v="4"/>
    <x v="1"/>
    <m/>
    <s v="148745745"/>
  </r>
  <r>
    <n v="1487"/>
    <n v="21"/>
    <s v="Masculino"/>
    <s v="Qualidade"/>
    <s v="Inspetor"/>
    <s v="3º Turno"/>
    <x v="1"/>
    <s v="Não"/>
    <x v="2"/>
    <d v="2025-03-30T00:00:00"/>
    <m/>
    <s v="dom"/>
    <x v="4"/>
    <x v="1"/>
    <m/>
    <s v="148745746"/>
  </r>
  <r>
    <n v="1487"/>
    <n v="21"/>
    <s v="Masculino"/>
    <s v="Qualidade"/>
    <s v="Inspetor"/>
    <s v="3º Turno"/>
    <x v="1"/>
    <s v="Não"/>
    <x v="2"/>
    <d v="2025-03-31T00:00:00"/>
    <m/>
    <s v="seg"/>
    <x v="4"/>
    <x v="1"/>
    <m/>
    <s v="148745747"/>
  </r>
  <r>
    <n v="1487"/>
    <n v="21"/>
    <s v="Masculino"/>
    <s v="Qualidade"/>
    <s v="Inspetor"/>
    <s v="3º Turno"/>
    <x v="1"/>
    <s v="Não"/>
    <x v="2"/>
    <d v="2025-04-01T00:00:00"/>
    <m/>
    <s v="ter"/>
    <x v="2"/>
    <x v="1"/>
    <m/>
    <s v="148745748"/>
  </r>
  <r>
    <n v="1487"/>
    <n v="21"/>
    <s v="Masculino"/>
    <s v="Qualidade"/>
    <s v="Inspetor"/>
    <s v="3º Turno"/>
    <x v="1"/>
    <s v="Não"/>
    <x v="2"/>
    <d v="2025-04-02T00:00:00"/>
    <m/>
    <s v="qua"/>
    <x v="2"/>
    <x v="1"/>
    <m/>
    <s v="148745749"/>
  </r>
  <r>
    <n v="1487"/>
    <n v="21"/>
    <s v="Masculino"/>
    <s v="Qualidade"/>
    <s v="Inspetor"/>
    <s v="3º Turno"/>
    <x v="1"/>
    <s v="Não"/>
    <x v="2"/>
    <d v="2025-04-03T00:00:00"/>
    <m/>
    <s v="qui"/>
    <x v="2"/>
    <x v="1"/>
    <m/>
    <s v="148745750"/>
  </r>
  <r>
    <n v="1487"/>
    <n v="21"/>
    <s v="Masculino"/>
    <s v="Qualidade"/>
    <s v="Inspetor"/>
    <s v="3º Turno"/>
    <x v="1"/>
    <s v="Não"/>
    <x v="2"/>
    <d v="2025-04-04T00:00:00"/>
    <m/>
    <s v="sex"/>
    <x v="2"/>
    <x v="1"/>
    <m/>
    <s v="148745751"/>
  </r>
  <r>
    <n v="1487"/>
    <n v="21"/>
    <s v="Masculino"/>
    <s v="Qualidade"/>
    <s v="Inspetor"/>
    <s v="3º Turno"/>
    <x v="1"/>
    <s v="Não"/>
    <x v="2"/>
    <d v="2025-04-05T00:00:00"/>
    <m/>
    <s v="sáb"/>
    <x v="2"/>
    <x v="1"/>
    <m/>
    <s v="148745752"/>
  </r>
  <r>
    <n v="1487"/>
    <n v="21"/>
    <s v="Masculino"/>
    <s v="Qualidade"/>
    <s v="Inspetor"/>
    <s v="3º Turno"/>
    <x v="1"/>
    <s v="Não"/>
    <x v="2"/>
    <d v="2025-04-06T00:00:00"/>
    <m/>
    <s v="dom"/>
    <x v="2"/>
    <x v="1"/>
    <m/>
    <s v="148745753"/>
  </r>
  <r>
    <n v="1487"/>
    <n v="21"/>
    <s v="Masculino"/>
    <s v="Qualidade"/>
    <s v="Inspetor"/>
    <s v="3º Turno"/>
    <x v="1"/>
    <s v="Não"/>
    <x v="2"/>
    <d v="2025-04-07T00:00:00"/>
    <m/>
    <s v="seg"/>
    <x v="2"/>
    <x v="1"/>
    <m/>
    <s v="148745754"/>
  </r>
  <r>
    <n v="1487"/>
    <n v="21"/>
    <s v="Masculino"/>
    <s v="Qualidade"/>
    <s v="Inspetor"/>
    <s v="3º Turno"/>
    <x v="1"/>
    <s v="Não"/>
    <x v="2"/>
    <d v="2025-04-08T00:00:00"/>
    <m/>
    <s v="ter"/>
    <x v="2"/>
    <x v="1"/>
    <m/>
    <s v="148745755"/>
  </r>
  <r>
    <n v="1487"/>
    <n v="21"/>
    <s v="Masculino"/>
    <s v="Qualidade"/>
    <s v="Inspetor"/>
    <s v="3º Turno"/>
    <x v="1"/>
    <s v="Não"/>
    <x v="2"/>
    <d v="2025-04-09T00:00:00"/>
    <m/>
    <s v="qua"/>
    <x v="2"/>
    <x v="1"/>
    <m/>
    <s v="148745756"/>
  </r>
  <r>
    <n v="1487"/>
    <n v="21"/>
    <s v="Masculino"/>
    <s v="Qualidade"/>
    <s v="Inspetor"/>
    <s v="3º Turno"/>
    <x v="1"/>
    <s v="Não"/>
    <x v="2"/>
    <d v="2025-04-10T00:00:00"/>
    <m/>
    <s v="qui"/>
    <x v="2"/>
    <x v="1"/>
    <m/>
    <s v="148745757"/>
  </r>
  <r>
    <n v="1487"/>
    <n v="21"/>
    <s v="Masculino"/>
    <s v="Qualidade"/>
    <s v="Inspetor"/>
    <s v="3º Turno"/>
    <x v="1"/>
    <s v="Não"/>
    <x v="2"/>
    <d v="2025-04-11T00:00:00"/>
    <m/>
    <s v="sex"/>
    <x v="2"/>
    <x v="1"/>
    <m/>
    <s v="148745758"/>
  </r>
  <r>
    <n v="1487"/>
    <n v="21"/>
    <s v="Masculino"/>
    <s v="Qualidade"/>
    <s v="Inspetor"/>
    <s v="3º Turno"/>
    <x v="1"/>
    <s v="Não"/>
    <x v="2"/>
    <d v="2025-04-12T00:00:00"/>
    <m/>
    <s v="sáb"/>
    <x v="2"/>
    <x v="1"/>
    <m/>
    <s v="148745759"/>
  </r>
  <r>
    <n v="1487"/>
    <n v="21"/>
    <s v="Masculino"/>
    <s v="Qualidade"/>
    <s v="Inspetor"/>
    <s v="3º Turno"/>
    <x v="1"/>
    <s v="Não"/>
    <x v="2"/>
    <d v="2025-04-13T00:00:00"/>
    <m/>
    <s v="dom"/>
    <x v="2"/>
    <x v="1"/>
    <m/>
    <s v="148745760"/>
  </r>
  <r>
    <n v="1487"/>
    <n v="21"/>
    <s v="Masculino"/>
    <s v="Qualidade"/>
    <s v="Inspetor"/>
    <s v="3º Turno"/>
    <x v="1"/>
    <s v="Não"/>
    <x v="2"/>
    <d v="2025-04-14T00:00:00"/>
    <m/>
    <s v="seg"/>
    <x v="2"/>
    <x v="1"/>
    <m/>
    <s v="148745761"/>
  </r>
  <r>
    <n v="1487"/>
    <n v="21"/>
    <s v="Masculino"/>
    <s v="Qualidade"/>
    <s v="Inspetor"/>
    <s v="3º Turno"/>
    <x v="1"/>
    <s v="Não"/>
    <x v="2"/>
    <d v="2025-04-15T00:00:00"/>
    <m/>
    <s v="ter"/>
    <x v="2"/>
    <x v="1"/>
    <m/>
    <s v="148745762"/>
  </r>
  <r>
    <n v="1487"/>
    <n v="21"/>
    <s v="Masculino"/>
    <s v="Qualidade"/>
    <s v="Inspetor"/>
    <s v="3º Turno"/>
    <x v="1"/>
    <s v="Não"/>
    <x v="2"/>
    <d v="2025-04-16T00:00:00"/>
    <m/>
    <s v="qua"/>
    <x v="2"/>
    <x v="1"/>
    <m/>
    <s v="148745763"/>
  </r>
  <r>
    <n v="1487"/>
    <n v="21"/>
    <s v="Masculino"/>
    <s v="Qualidade"/>
    <s v="Inspetor"/>
    <s v="3º Turno"/>
    <x v="1"/>
    <s v="Não"/>
    <x v="2"/>
    <d v="2025-04-17T00:00:00"/>
    <m/>
    <s v="qui"/>
    <x v="2"/>
    <x v="1"/>
    <m/>
    <s v="148745764"/>
  </r>
  <r>
    <n v="1487"/>
    <n v="21"/>
    <s v="Masculino"/>
    <s v="Qualidade"/>
    <s v="Inspetor"/>
    <s v="3º Turno"/>
    <x v="1"/>
    <s v="Não"/>
    <x v="2"/>
    <d v="2025-04-18T00:00:00"/>
    <m/>
    <s v="sex"/>
    <x v="2"/>
    <x v="1"/>
    <m/>
    <s v="148745765"/>
  </r>
  <r>
    <n v="1487"/>
    <n v="21"/>
    <s v="Masculino"/>
    <s v="Qualidade"/>
    <s v="Inspetor"/>
    <s v="3º Turno"/>
    <x v="1"/>
    <s v="Não"/>
    <x v="2"/>
    <d v="2025-04-19T00:00:00"/>
    <m/>
    <s v="sáb"/>
    <x v="2"/>
    <x v="1"/>
    <m/>
    <s v="148745766"/>
  </r>
  <r>
    <n v="1487"/>
    <n v="21"/>
    <s v="Masculino"/>
    <s v="Qualidade"/>
    <s v="Inspetor"/>
    <s v="3º Turno"/>
    <x v="1"/>
    <s v="Não"/>
    <x v="2"/>
    <d v="2025-04-20T00:00:00"/>
    <m/>
    <s v="dom"/>
    <x v="2"/>
    <x v="1"/>
    <m/>
    <s v="148745767"/>
  </r>
  <r>
    <n v="1487"/>
    <n v="21"/>
    <s v="Masculino"/>
    <s v="Qualidade"/>
    <s v="Inspetor"/>
    <s v="3º Turno"/>
    <x v="1"/>
    <s v="Não"/>
    <x v="2"/>
    <d v="2025-04-21T00:00:00"/>
    <m/>
    <s v="seg"/>
    <x v="2"/>
    <x v="1"/>
    <m/>
    <s v="148745768"/>
  </r>
  <r>
    <n v="1487"/>
    <n v="21"/>
    <s v="Masculino"/>
    <s v="Qualidade"/>
    <s v="Inspetor"/>
    <s v="3º Turno"/>
    <x v="1"/>
    <s v="Não"/>
    <x v="2"/>
    <d v="2025-04-22T00:00:00"/>
    <m/>
    <s v="ter"/>
    <x v="2"/>
    <x v="1"/>
    <m/>
    <s v="148745769"/>
  </r>
  <r>
    <n v="1487"/>
    <n v="21"/>
    <s v="Masculino"/>
    <s v="Qualidade"/>
    <s v="Inspetor"/>
    <s v="3º Turno"/>
    <x v="1"/>
    <s v="Não"/>
    <x v="2"/>
    <d v="2025-04-23T00:00:00"/>
    <m/>
    <s v="qua"/>
    <x v="2"/>
    <x v="1"/>
    <m/>
    <s v="148745770"/>
  </r>
  <r>
    <n v="1487"/>
    <n v="21"/>
    <s v="Masculino"/>
    <s v="Qualidade"/>
    <s v="Inspetor"/>
    <s v="3º Turno"/>
    <x v="1"/>
    <s v="Não"/>
    <x v="2"/>
    <d v="2025-04-24T00:00:00"/>
    <m/>
    <s v="qui"/>
    <x v="2"/>
    <x v="1"/>
    <m/>
    <s v="148745771"/>
  </r>
  <r>
    <n v="1487"/>
    <n v="21"/>
    <s v="Masculino"/>
    <s v="Qualidade"/>
    <s v="Inspetor"/>
    <s v="3º Turno"/>
    <x v="1"/>
    <s v="Não"/>
    <x v="2"/>
    <d v="2025-04-25T00:00:00"/>
    <m/>
    <s v="sex"/>
    <x v="2"/>
    <x v="1"/>
    <m/>
    <s v="148745772"/>
  </r>
  <r>
    <n v="1487"/>
    <n v="21"/>
    <s v="Masculino"/>
    <s v="Qualidade"/>
    <s v="Inspetor"/>
    <s v="3º Turno"/>
    <x v="1"/>
    <s v="Não"/>
    <x v="2"/>
    <d v="2025-04-26T00:00:00"/>
    <m/>
    <s v="sáb"/>
    <x v="2"/>
    <x v="1"/>
    <m/>
    <s v="148745773"/>
  </r>
  <r>
    <n v="1487"/>
    <n v="21"/>
    <s v="Masculino"/>
    <s v="Qualidade"/>
    <s v="Inspetor"/>
    <s v="3º Turno"/>
    <x v="1"/>
    <s v="Não"/>
    <x v="2"/>
    <d v="2025-04-27T00:00:00"/>
    <m/>
    <s v="dom"/>
    <x v="2"/>
    <x v="1"/>
    <m/>
    <s v="148745774"/>
  </r>
  <r>
    <n v="1487"/>
    <n v="21"/>
    <s v="Masculino"/>
    <s v="Qualidade"/>
    <s v="Inspetor"/>
    <s v="3º Turno"/>
    <x v="1"/>
    <s v="Não"/>
    <x v="2"/>
    <d v="2025-04-28T00:00:00"/>
    <m/>
    <s v="seg"/>
    <x v="2"/>
    <x v="1"/>
    <m/>
    <s v="148745775"/>
  </r>
  <r>
    <n v="1487"/>
    <n v="21"/>
    <s v="Masculino"/>
    <s v="Qualidade"/>
    <s v="Inspetor"/>
    <s v="3º Turno"/>
    <x v="1"/>
    <s v="Não"/>
    <x v="2"/>
    <d v="2025-04-29T00:00:00"/>
    <m/>
    <s v="ter"/>
    <x v="2"/>
    <x v="1"/>
    <m/>
    <s v="148745776"/>
  </r>
  <r>
    <n v="1487"/>
    <n v="21"/>
    <s v="Masculino"/>
    <s v="Qualidade"/>
    <s v="Inspetor"/>
    <s v="3º Turno"/>
    <x v="1"/>
    <s v="Não"/>
    <x v="2"/>
    <d v="2025-04-30T00:00:00"/>
    <m/>
    <s v="qua"/>
    <x v="2"/>
    <x v="1"/>
    <m/>
    <s v="148745777"/>
  </r>
  <r>
    <n v="1487"/>
    <n v="21"/>
    <s v="Masculino"/>
    <s v="Qualidade"/>
    <s v="Inspetor"/>
    <s v="3º Turno"/>
    <x v="1"/>
    <s v="Não"/>
    <x v="2"/>
    <d v="2025-05-01T00:00:00"/>
    <m/>
    <s v="qui"/>
    <x v="0"/>
    <x v="1"/>
    <m/>
    <s v="148745778"/>
  </r>
  <r>
    <n v="1487"/>
    <n v="21"/>
    <s v="Masculino"/>
    <s v="Qualidade"/>
    <s v="Inspetor"/>
    <s v="3º Turno"/>
    <x v="1"/>
    <s v="Não"/>
    <x v="2"/>
    <d v="2025-05-02T00:00:00"/>
    <m/>
    <s v="sex"/>
    <x v="0"/>
    <x v="1"/>
    <m/>
    <s v="148745779"/>
  </r>
  <r>
    <n v="1487"/>
    <n v="21"/>
    <s v="Masculino"/>
    <s v="Qualidade"/>
    <s v="Inspetor"/>
    <s v="3º Turno"/>
    <x v="1"/>
    <s v="Não"/>
    <x v="2"/>
    <d v="2025-05-03T00:00:00"/>
    <m/>
    <s v="sáb"/>
    <x v="0"/>
    <x v="1"/>
    <m/>
    <s v="148745780"/>
  </r>
  <r>
    <n v="1487"/>
    <n v="21"/>
    <s v="Masculino"/>
    <s v="Qualidade"/>
    <s v="Inspetor"/>
    <s v="3º Turno"/>
    <x v="1"/>
    <s v="Não"/>
    <x v="2"/>
    <d v="2025-05-04T00:00:00"/>
    <m/>
    <s v="dom"/>
    <x v="0"/>
    <x v="1"/>
    <m/>
    <s v="148745781"/>
  </r>
  <r>
    <n v="1487"/>
    <n v="21"/>
    <s v="Masculino"/>
    <s v="Qualidade"/>
    <s v="Inspetor"/>
    <s v="3º Turno"/>
    <x v="1"/>
    <s v="Não"/>
    <x v="2"/>
    <d v="2025-05-05T00:00:00"/>
    <m/>
    <s v="seg"/>
    <x v="0"/>
    <x v="1"/>
    <m/>
    <s v="148745782"/>
  </r>
  <r>
    <n v="1487"/>
    <n v="21"/>
    <s v="Masculino"/>
    <s v="Qualidade"/>
    <s v="Inspetor"/>
    <s v="3º Turno"/>
    <x v="1"/>
    <s v="Não"/>
    <x v="2"/>
    <d v="2025-05-06T00:00:00"/>
    <m/>
    <s v="ter"/>
    <x v="0"/>
    <x v="1"/>
    <m/>
    <s v="148745783"/>
  </r>
  <r>
    <n v="1487"/>
    <n v="21"/>
    <s v="Masculino"/>
    <s v="Qualidade"/>
    <s v="Inspetor"/>
    <s v="3º Turno"/>
    <x v="1"/>
    <s v="Não"/>
    <x v="2"/>
    <d v="2025-05-07T00:00:00"/>
    <m/>
    <s v="qua"/>
    <x v="0"/>
    <x v="1"/>
    <m/>
    <s v="148745784"/>
  </r>
  <r>
    <n v="1487"/>
    <n v="21"/>
    <s v="Masculino"/>
    <s v="Qualidade"/>
    <s v="Inspetor"/>
    <s v="3º Turno"/>
    <x v="1"/>
    <s v="Não"/>
    <x v="2"/>
    <d v="2025-05-08T00:00:00"/>
    <m/>
    <s v="qui"/>
    <x v="0"/>
    <x v="1"/>
    <m/>
    <s v="148745785"/>
  </r>
  <r>
    <n v="1487"/>
    <n v="21"/>
    <s v="Masculino"/>
    <s v="Qualidade"/>
    <s v="Inspetor"/>
    <s v="3º Turno"/>
    <x v="1"/>
    <s v="Não"/>
    <x v="2"/>
    <d v="2025-05-09T00:00:00"/>
    <m/>
    <s v="sex"/>
    <x v="0"/>
    <x v="1"/>
    <m/>
    <s v="148745786"/>
  </r>
  <r>
    <n v="1487"/>
    <n v="21"/>
    <s v="Masculino"/>
    <s v="Qualidade"/>
    <s v="Inspetor"/>
    <s v="3º Turno"/>
    <x v="1"/>
    <s v="Não"/>
    <x v="2"/>
    <d v="2025-05-10T00:00:00"/>
    <m/>
    <s v="sáb"/>
    <x v="0"/>
    <x v="1"/>
    <m/>
    <s v="148745787"/>
  </r>
  <r>
    <n v="1487"/>
    <n v="21"/>
    <s v="Masculino"/>
    <s v="Qualidade"/>
    <s v="Inspetor"/>
    <s v="3º Turno"/>
    <x v="1"/>
    <s v="Não"/>
    <x v="2"/>
    <d v="2025-05-11T00:00:00"/>
    <m/>
    <s v="dom"/>
    <x v="0"/>
    <x v="1"/>
    <m/>
    <s v="148745788"/>
  </r>
  <r>
    <n v="1487"/>
    <n v="21"/>
    <s v="Masculino"/>
    <s v="Qualidade"/>
    <s v="Inspetor"/>
    <s v="3º Turno"/>
    <x v="1"/>
    <s v="Não"/>
    <x v="2"/>
    <d v="2025-05-12T00:00:00"/>
    <m/>
    <s v="seg"/>
    <x v="0"/>
    <x v="1"/>
    <m/>
    <s v="148745789"/>
  </r>
  <r>
    <n v="1487"/>
    <n v="21"/>
    <s v="Masculino"/>
    <s v="Qualidade"/>
    <s v="Inspetor"/>
    <s v="3º Turno"/>
    <x v="1"/>
    <s v="Não"/>
    <x v="2"/>
    <d v="2025-05-13T00:00:00"/>
    <m/>
    <s v="ter"/>
    <x v="0"/>
    <x v="1"/>
    <m/>
    <s v="148745790"/>
  </r>
  <r>
    <n v="1487"/>
    <n v="21"/>
    <s v="Masculino"/>
    <s v="Qualidade"/>
    <s v="Inspetor"/>
    <s v="3º Turno"/>
    <x v="1"/>
    <s v="Não"/>
    <x v="2"/>
    <d v="2025-05-14T00:00:00"/>
    <m/>
    <s v="qua"/>
    <x v="0"/>
    <x v="1"/>
    <m/>
    <s v="148745791"/>
  </r>
  <r>
    <n v="1487"/>
    <n v="21"/>
    <s v="Masculino"/>
    <s v="Qualidade"/>
    <s v="Inspetor"/>
    <s v="3º Turno"/>
    <x v="1"/>
    <s v="Não"/>
    <x v="2"/>
    <d v="2025-05-15T00:00:00"/>
    <m/>
    <s v="qui"/>
    <x v="0"/>
    <x v="1"/>
    <m/>
    <s v="148745792"/>
  </r>
  <r>
    <n v="1487"/>
    <n v="21"/>
    <s v="Masculino"/>
    <s v="Qualidade"/>
    <s v="Inspetor"/>
    <s v="3º Turno"/>
    <x v="1"/>
    <s v="Não"/>
    <x v="2"/>
    <d v="2025-05-16T00:00:00"/>
    <m/>
    <s v="sex"/>
    <x v="0"/>
    <x v="1"/>
    <m/>
    <s v="148745793"/>
  </r>
  <r>
    <n v="1487"/>
    <n v="21"/>
    <s v="Masculino"/>
    <s v="Qualidade"/>
    <s v="Inspetor"/>
    <s v="3º Turno"/>
    <x v="1"/>
    <s v="Não"/>
    <x v="2"/>
    <d v="2025-05-17T00:00:00"/>
    <m/>
    <s v="sáb"/>
    <x v="0"/>
    <x v="1"/>
    <m/>
    <s v="148745794"/>
  </r>
  <r>
    <n v="1487"/>
    <n v="21"/>
    <s v="Masculino"/>
    <s v="Qualidade"/>
    <s v="Inspetor"/>
    <s v="3º Turno"/>
    <x v="1"/>
    <s v="Não"/>
    <x v="2"/>
    <d v="2025-05-18T00:00:00"/>
    <m/>
    <s v="dom"/>
    <x v="0"/>
    <x v="1"/>
    <m/>
    <s v="148745795"/>
  </r>
  <r>
    <n v="1487"/>
    <n v="21"/>
    <s v="Masculino"/>
    <s v="Qualidade"/>
    <s v="Inspetor"/>
    <s v="3º Turno"/>
    <x v="1"/>
    <s v="Não"/>
    <x v="2"/>
    <d v="2025-05-19T00:00:00"/>
    <m/>
    <s v="seg"/>
    <x v="0"/>
    <x v="1"/>
    <m/>
    <s v="148745796"/>
  </r>
  <r>
    <n v="1487"/>
    <n v="21"/>
    <s v="Masculino"/>
    <s v="Qualidade"/>
    <s v="Inspetor"/>
    <s v="3º Turno"/>
    <x v="1"/>
    <s v="Não"/>
    <x v="2"/>
    <d v="2025-05-20T00:00:00"/>
    <m/>
    <s v="ter"/>
    <x v="0"/>
    <x v="1"/>
    <m/>
    <s v="148745797"/>
  </r>
  <r>
    <n v="1487"/>
    <n v="21"/>
    <s v="Masculino"/>
    <s v="Qualidade"/>
    <s v="Inspetor"/>
    <s v="3º Turno"/>
    <x v="1"/>
    <s v="Não"/>
    <x v="2"/>
    <d v="2025-05-21T00:00:00"/>
    <m/>
    <s v="qua"/>
    <x v="0"/>
    <x v="1"/>
    <m/>
    <s v="148745798"/>
  </r>
  <r>
    <n v="1487"/>
    <n v="21"/>
    <s v="Masculino"/>
    <s v="Qualidade"/>
    <s v="Inspetor"/>
    <s v="3º Turno"/>
    <x v="1"/>
    <s v="Não"/>
    <x v="2"/>
    <d v="2025-05-22T00:00:00"/>
    <m/>
    <s v="qui"/>
    <x v="0"/>
    <x v="1"/>
    <m/>
    <s v="148745799"/>
  </r>
  <r>
    <n v="1487"/>
    <n v="21"/>
    <s v="Masculino"/>
    <s v="Qualidade"/>
    <s v="Inspetor"/>
    <s v="3º Turno"/>
    <x v="1"/>
    <s v="Não"/>
    <x v="2"/>
    <d v="2025-05-23T00:00:00"/>
    <m/>
    <s v="sex"/>
    <x v="0"/>
    <x v="1"/>
    <m/>
    <s v="148745800"/>
  </r>
  <r>
    <n v="1487"/>
    <n v="21"/>
    <s v="Masculino"/>
    <s v="Qualidade"/>
    <s v="Inspetor"/>
    <s v="3º Turno"/>
    <x v="1"/>
    <s v="Não"/>
    <x v="2"/>
    <d v="2025-05-24T00:00:00"/>
    <m/>
    <s v="sáb"/>
    <x v="0"/>
    <x v="1"/>
    <m/>
    <s v="148745801"/>
  </r>
  <r>
    <n v="1487"/>
    <n v="21"/>
    <s v="Masculino"/>
    <s v="Qualidade"/>
    <s v="Inspetor"/>
    <s v="3º Turno"/>
    <x v="1"/>
    <s v="Não"/>
    <x v="2"/>
    <d v="2025-05-25T00:00:00"/>
    <m/>
    <s v="dom"/>
    <x v="0"/>
    <x v="1"/>
    <m/>
    <s v="148745802"/>
  </r>
  <r>
    <n v="1487"/>
    <n v="21"/>
    <s v="Masculino"/>
    <s v="Qualidade"/>
    <s v="Inspetor"/>
    <s v="3º Turno"/>
    <x v="1"/>
    <s v="Não"/>
    <x v="2"/>
    <d v="2025-05-26T00:00:00"/>
    <m/>
    <s v="seg"/>
    <x v="0"/>
    <x v="1"/>
    <m/>
    <s v="148745803"/>
  </r>
  <r>
    <n v="1487"/>
    <n v="21"/>
    <s v="Masculino"/>
    <s v="Qualidade"/>
    <s v="Inspetor"/>
    <s v="3º Turno"/>
    <x v="1"/>
    <s v="Não"/>
    <x v="2"/>
    <d v="2025-05-27T00:00:00"/>
    <m/>
    <s v="ter"/>
    <x v="0"/>
    <x v="1"/>
    <m/>
    <s v="148745804"/>
  </r>
  <r>
    <n v="1487"/>
    <n v="21"/>
    <s v="Masculino"/>
    <s v="Qualidade"/>
    <s v="Inspetor"/>
    <s v="3º Turno"/>
    <x v="1"/>
    <s v="Não"/>
    <x v="2"/>
    <d v="2025-05-28T00:00:00"/>
    <m/>
    <s v="qua"/>
    <x v="0"/>
    <x v="1"/>
    <m/>
    <s v="148745805"/>
  </r>
  <r>
    <n v="1487"/>
    <n v="21"/>
    <s v="Masculino"/>
    <s v="Qualidade"/>
    <s v="Inspetor"/>
    <s v="3º Turno"/>
    <x v="1"/>
    <s v="Não"/>
    <x v="2"/>
    <d v="2025-05-29T00:00:00"/>
    <m/>
    <s v="qui"/>
    <x v="0"/>
    <x v="1"/>
    <m/>
    <s v="148745806"/>
  </r>
  <r>
    <n v="1487"/>
    <n v="21"/>
    <s v="Masculino"/>
    <s v="Qualidade"/>
    <s v="Inspetor"/>
    <s v="3º Turno"/>
    <x v="1"/>
    <s v="Não"/>
    <x v="2"/>
    <d v="2025-05-30T00:00:00"/>
    <m/>
    <s v="sex"/>
    <x v="0"/>
    <x v="1"/>
    <m/>
    <s v="148745807"/>
  </r>
  <r>
    <n v="1487"/>
    <n v="21"/>
    <s v="Masculino"/>
    <s v="Qualidade"/>
    <s v="Inspetor"/>
    <s v="3º Turno"/>
    <x v="1"/>
    <s v="Não"/>
    <x v="2"/>
    <d v="2025-05-31T00:00:00"/>
    <m/>
    <s v="sáb"/>
    <x v="0"/>
    <x v="1"/>
    <m/>
    <s v="148745808"/>
  </r>
  <r>
    <n v="1487"/>
    <n v="21"/>
    <s v="Masculino"/>
    <s v="Qualidade"/>
    <s v="Inspetor"/>
    <s v="3º Turno"/>
    <x v="1"/>
    <s v="Não"/>
    <x v="2"/>
    <d v="2025-06-01T00:00:00"/>
    <m/>
    <s v="dom"/>
    <x v="1"/>
    <x v="1"/>
    <m/>
    <s v="148745809"/>
  </r>
  <r>
    <n v="1487"/>
    <n v="21"/>
    <s v="Masculino"/>
    <s v="Qualidade"/>
    <s v="Inspetor"/>
    <s v="3º Turno"/>
    <x v="1"/>
    <s v="Não"/>
    <x v="2"/>
    <d v="2025-06-02T00:00:00"/>
    <m/>
    <s v="seg"/>
    <x v="1"/>
    <x v="1"/>
    <m/>
    <s v="148745810"/>
  </r>
  <r>
    <n v="1487"/>
    <n v="21"/>
    <s v="Masculino"/>
    <s v="Qualidade"/>
    <s v="Inspetor"/>
    <s v="3º Turno"/>
    <x v="1"/>
    <s v="Não"/>
    <x v="2"/>
    <d v="2025-06-03T00:00:00"/>
    <m/>
    <s v="ter"/>
    <x v="1"/>
    <x v="1"/>
    <m/>
    <s v="148745811"/>
  </r>
  <r>
    <n v="1487"/>
    <n v="21"/>
    <s v="Masculino"/>
    <s v="Qualidade"/>
    <s v="Inspetor"/>
    <s v="3º Turno"/>
    <x v="1"/>
    <s v="Não"/>
    <x v="2"/>
    <d v="2025-06-04T00:00:00"/>
    <m/>
    <s v="qua"/>
    <x v="1"/>
    <x v="1"/>
    <m/>
    <s v="148745812"/>
  </r>
  <r>
    <n v="1487"/>
    <n v="21"/>
    <s v="Masculino"/>
    <s v="Qualidade"/>
    <s v="Inspetor"/>
    <s v="3º Turno"/>
    <x v="1"/>
    <s v="Não"/>
    <x v="2"/>
    <d v="2025-06-05T00:00:00"/>
    <m/>
    <s v="qui"/>
    <x v="1"/>
    <x v="1"/>
    <m/>
    <s v="148745813"/>
  </r>
  <r>
    <n v="1487"/>
    <n v="21"/>
    <s v="Masculino"/>
    <s v="Qualidade"/>
    <s v="Inspetor"/>
    <s v="3º Turno"/>
    <x v="1"/>
    <s v="Não"/>
    <x v="2"/>
    <d v="2025-06-06T00:00:00"/>
    <m/>
    <s v="sex"/>
    <x v="1"/>
    <x v="1"/>
    <m/>
    <s v="148745814"/>
  </r>
  <r>
    <n v="1487"/>
    <n v="21"/>
    <s v="Masculino"/>
    <s v="Qualidade"/>
    <s v="Inspetor"/>
    <s v="3º Turno"/>
    <x v="1"/>
    <s v="Não"/>
    <x v="2"/>
    <d v="2025-06-07T00:00:00"/>
    <m/>
    <s v="sáb"/>
    <x v="1"/>
    <x v="1"/>
    <m/>
    <s v="148745815"/>
  </r>
  <r>
    <n v="1487"/>
    <n v="21"/>
    <s v="Masculino"/>
    <s v="Qualidade"/>
    <s v="Inspetor"/>
    <s v="3º Turno"/>
    <x v="1"/>
    <s v="Não"/>
    <x v="2"/>
    <d v="2025-06-08T00:00:00"/>
    <m/>
    <s v="dom"/>
    <x v="1"/>
    <x v="1"/>
    <m/>
    <s v="148745816"/>
  </r>
  <r>
    <n v="1487"/>
    <n v="21"/>
    <s v="Masculino"/>
    <s v="Qualidade"/>
    <s v="Inspetor"/>
    <s v="3º Turno"/>
    <x v="1"/>
    <s v="Não"/>
    <x v="2"/>
    <d v="2025-06-09T00:00:00"/>
    <m/>
    <s v="seg"/>
    <x v="1"/>
    <x v="1"/>
    <m/>
    <s v="148745817"/>
  </r>
  <r>
    <n v="1487"/>
    <n v="21"/>
    <s v="Masculino"/>
    <s v="Qualidade"/>
    <s v="Inspetor"/>
    <s v="3º Turno"/>
    <x v="1"/>
    <s v="Não"/>
    <x v="2"/>
    <d v="2025-06-10T00:00:00"/>
    <m/>
    <s v="ter"/>
    <x v="1"/>
    <x v="1"/>
    <m/>
    <s v="148745818"/>
  </r>
  <r>
    <n v="1487"/>
    <n v="21"/>
    <s v="Masculino"/>
    <s v="Qualidade"/>
    <s v="Inspetor"/>
    <s v="3º Turno"/>
    <x v="1"/>
    <s v="Não"/>
    <x v="2"/>
    <d v="2025-06-11T00:00:00"/>
    <m/>
    <s v="qua"/>
    <x v="1"/>
    <x v="1"/>
    <m/>
    <s v="148745819"/>
  </r>
  <r>
    <n v="1487"/>
    <n v="21"/>
    <s v="Masculino"/>
    <s v="Qualidade"/>
    <s v="Inspetor"/>
    <s v="3º Turno"/>
    <x v="1"/>
    <s v="Não"/>
    <x v="2"/>
    <d v="2025-06-12T00:00:00"/>
    <m/>
    <s v="qui"/>
    <x v="1"/>
    <x v="1"/>
    <m/>
    <s v="148745820"/>
  </r>
  <r>
    <n v="1487"/>
    <n v="21"/>
    <s v="Masculino"/>
    <s v="Qualidade"/>
    <s v="Inspetor"/>
    <s v="3º Turno"/>
    <x v="1"/>
    <s v="Não"/>
    <x v="2"/>
    <d v="2025-06-13T00:00:00"/>
    <m/>
    <s v="sex"/>
    <x v="1"/>
    <x v="1"/>
    <m/>
    <s v="148745821"/>
  </r>
  <r>
    <n v="1487"/>
    <n v="21"/>
    <s v="Masculino"/>
    <s v="Qualidade"/>
    <s v="Inspetor"/>
    <s v="3º Turno"/>
    <x v="1"/>
    <s v="Não"/>
    <x v="2"/>
    <d v="2025-06-14T00:00:00"/>
    <m/>
    <s v="sáb"/>
    <x v="1"/>
    <x v="1"/>
    <m/>
    <s v="148745822"/>
  </r>
  <r>
    <n v="1487"/>
    <n v="21"/>
    <s v="Masculino"/>
    <s v="Qualidade"/>
    <s v="Inspetor"/>
    <s v="3º Turno"/>
    <x v="1"/>
    <s v="Não"/>
    <x v="2"/>
    <d v="2025-06-15T00:00:00"/>
    <m/>
    <s v="dom"/>
    <x v="1"/>
    <x v="1"/>
    <m/>
    <s v="148745823"/>
  </r>
  <r>
    <n v="1487"/>
    <n v="21"/>
    <s v="Masculino"/>
    <s v="Qualidade"/>
    <s v="Inspetor"/>
    <s v="3º Turno"/>
    <x v="1"/>
    <s v="Não"/>
    <x v="2"/>
    <d v="2025-06-16T00:00:00"/>
    <m/>
    <s v="seg"/>
    <x v="1"/>
    <x v="1"/>
    <m/>
    <s v="148745824"/>
  </r>
  <r>
    <n v="1487"/>
    <n v="21"/>
    <s v="Masculino"/>
    <s v="Qualidade"/>
    <s v="Inspetor"/>
    <s v="3º Turno"/>
    <x v="1"/>
    <s v="Não"/>
    <x v="2"/>
    <d v="2025-06-17T00:00:00"/>
    <m/>
    <s v="ter"/>
    <x v="1"/>
    <x v="1"/>
    <m/>
    <s v="148745825"/>
  </r>
  <r>
    <n v="1487"/>
    <n v="21"/>
    <s v="Masculino"/>
    <s v="Qualidade"/>
    <s v="Inspetor"/>
    <s v="3º Turno"/>
    <x v="1"/>
    <s v="Não"/>
    <x v="2"/>
    <d v="2025-06-18T00:00:00"/>
    <m/>
    <s v="qua"/>
    <x v="1"/>
    <x v="1"/>
    <m/>
    <s v="148745826"/>
  </r>
  <r>
    <n v="1487"/>
    <n v="21"/>
    <s v="Masculino"/>
    <s v="Qualidade"/>
    <s v="Inspetor"/>
    <s v="3º Turno"/>
    <x v="1"/>
    <s v="Não"/>
    <x v="2"/>
    <d v="2025-06-19T00:00:00"/>
    <m/>
    <s v="qui"/>
    <x v="1"/>
    <x v="1"/>
    <m/>
    <s v="148745827"/>
  </r>
  <r>
    <n v="1487"/>
    <n v="21"/>
    <s v="Masculino"/>
    <s v="Qualidade"/>
    <s v="Inspetor"/>
    <s v="3º Turno"/>
    <x v="1"/>
    <s v="Não"/>
    <x v="2"/>
    <d v="2025-06-20T00:00:00"/>
    <m/>
    <s v="sex"/>
    <x v="1"/>
    <x v="1"/>
    <m/>
    <s v="148745828"/>
  </r>
  <r>
    <n v="1487"/>
    <n v="21"/>
    <s v="Masculino"/>
    <s v="Qualidade"/>
    <s v="Inspetor"/>
    <s v="3º Turno"/>
    <x v="1"/>
    <s v="Não"/>
    <x v="2"/>
    <d v="2025-06-21T00:00:00"/>
    <m/>
    <s v="sáb"/>
    <x v="1"/>
    <x v="1"/>
    <m/>
    <s v="148745829"/>
  </r>
  <r>
    <n v="1487"/>
    <n v="21"/>
    <s v="Masculino"/>
    <s v="Qualidade"/>
    <s v="Inspetor"/>
    <s v="3º Turno"/>
    <x v="1"/>
    <s v="Não"/>
    <x v="2"/>
    <d v="2025-06-22T00:00:00"/>
    <m/>
    <s v="dom"/>
    <x v="1"/>
    <x v="1"/>
    <m/>
    <s v="148745830"/>
  </r>
  <r>
    <n v="1487"/>
    <n v="21"/>
    <s v="Masculino"/>
    <s v="Qualidade"/>
    <s v="Inspetor"/>
    <s v="3º Turno"/>
    <x v="1"/>
    <s v="Não"/>
    <x v="2"/>
    <d v="2025-06-23T00:00:00"/>
    <m/>
    <s v="seg"/>
    <x v="1"/>
    <x v="1"/>
    <m/>
    <s v="148745831"/>
  </r>
  <r>
    <n v="1487"/>
    <n v="21"/>
    <s v="Masculino"/>
    <s v="Qualidade"/>
    <s v="Inspetor"/>
    <s v="3º Turno"/>
    <x v="1"/>
    <s v="Não"/>
    <x v="2"/>
    <d v="2025-06-24T00:00:00"/>
    <m/>
    <s v="ter"/>
    <x v="1"/>
    <x v="1"/>
    <m/>
    <s v="148745832"/>
  </r>
  <r>
    <n v="1487"/>
    <n v="21"/>
    <s v="Masculino"/>
    <s v="Qualidade"/>
    <s v="Inspetor"/>
    <s v="3º Turno"/>
    <x v="1"/>
    <s v="Não"/>
    <x v="2"/>
    <d v="2025-06-25T00:00:00"/>
    <m/>
    <s v="qua"/>
    <x v="1"/>
    <x v="1"/>
    <m/>
    <s v="148745833"/>
  </r>
  <r>
    <n v="1487"/>
    <n v="21"/>
    <s v="Masculino"/>
    <s v="Qualidade"/>
    <s v="Inspetor"/>
    <s v="3º Turno"/>
    <x v="1"/>
    <s v="Não"/>
    <x v="2"/>
    <d v="2025-06-26T00:00:00"/>
    <m/>
    <s v="qui"/>
    <x v="1"/>
    <x v="1"/>
    <m/>
    <s v="148745834"/>
  </r>
  <r>
    <n v="1487"/>
    <n v="21"/>
    <s v="Masculino"/>
    <s v="Qualidade"/>
    <s v="Inspetor"/>
    <s v="3º Turno"/>
    <x v="1"/>
    <s v="Não"/>
    <x v="2"/>
    <d v="2025-06-27T00:00:00"/>
    <m/>
    <s v="sex"/>
    <x v="1"/>
    <x v="1"/>
    <m/>
    <s v="148745835"/>
  </r>
  <r>
    <n v="1487"/>
    <n v="21"/>
    <s v="Masculino"/>
    <s v="Qualidade"/>
    <s v="Inspetor"/>
    <s v="3º Turno"/>
    <x v="1"/>
    <s v="Não"/>
    <x v="2"/>
    <d v="2025-06-28T00:00:00"/>
    <m/>
    <s v="sáb"/>
    <x v="1"/>
    <x v="1"/>
    <m/>
    <s v="148745836"/>
  </r>
  <r>
    <n v="1487"/>
    <n v="21"/>
    <s v="Masculino"/>
    <s v="Qualidade"/>
    <s v="Inspetor"/>
    <s v="3º Turno"/>
    <x v="1"/>
    <s v="Não"/>
    <x v="2"/>
    <d v="2025-06-29T00:00:00"/>
    <m/>
    <s v="dom"/>
    <x v="1"/>
    <x v="1"/>
    <m/>
    <s v="148745837"/>
  </r>
  <r>
    <n v="1487"/>
    <n v="21"/>
    <s v="Masculino"/>
    <s v="Qualidade"/>
    <s v="Inspetor"/>
    <s v="3º Turno"/>
    <x v="1"/>
    <s v="Não"/>
    <x v="2"/>
    <d v="2025-06-30T00:00:00"/>
    <m/>
    <s v="seg"/>
    <x v="1"/>
    <x v="1"/>
    <m/>
    <s v="148745838"/>
  </r>
  <r>
    <n v="1487"/>
    <n v="21"/>
    <s v="Masculino"/>
    <s v="Qualidade"/>
    <s v="Inspetor"/>
    <s v="3º Turno"/>
    <x v="1"/>
    <s v="Não"/>
    <x v="2"/>
    <d v="2025-07-01T00:00:00"/>
    <m/>
    <s v="ter"/>
    <x v="6"/>
    <x v="1"/>
    <m/>
    <s v="148745839"/>
  </r>
  <r>
    <n v="1487"/>
    <n v="21"/>
    <s v="Masculino"/>
    <s v="Qualidade"/>
    <s v="Inspetor"/>
    <s v="3º Turno"/>
    <x v="1"/>
    <s v="Não"/>
    <x v="2"/>
    <d v="2025-07-02T00:00:00"/>
    <m/>
    <s v="qua"/>
    <x v="6"/>
    <x v="1"/>
    <m/>
    <s v="148745840"/>
  </r>
  <r>
    <n v="1487"/>
    <n v="21"/>
    <s v="Masculino"/>
    <s v="Qualidade"/>
    <s v="Inspetor"/>
    <s v="3º Turno"/>
    <x v="1"/>
    <s v="Não"/>
    <x v="2"/>
    <d v="2025-07-03T00:00:00"/>
    <m/>
    <s v="qui"/>
    <x v="6"/>
    <x v="1"/>
    <m/>
    <s v="148745841"/>
  </r>
  <r>
    <n v="1487"/>
    <n v="21"/>
    <s v="Masculino"/>
    <s v="Qualidade"/>
    <s v="Inspetor"/>
    <s v="3º Turno"/>
    <x v="1"/>
    <s v="Não"/>
    <x v="2"/>
    <d v="2025-07-04T00:00:00"/>
    <m/>
    <s v="sex"/>
    <x v="6"/>
    <x v="1"/>
    <m/>
    <s v="148745842"/>
  </r>
  <r>
    <n v="1487"/>
    <n v="21"/>
    <s v="Masculino"/>
    <s v="Qualidade"/>
    <s v="Inspetor"/>
    <s v="3º Turno"/>
    <x v="1"/>
    <s v="Não"/>
    <x v="2"/>
    <d v="2025-07-05T00:00:00"/>
    <m/>
    <s v="sáb"/>
    <x v="6"/>
    <x v="1"/>
    <m/>
    <s v="148745843"/>
  </r>
  <r>
    <n v="1487"/>
    <n v="21"/>
    <s v="Masculino"/>
    <s v="Qualidade"/>
    <s v="Inspetor"/>
    <s v="3º Turno"/>
    <x v="1"/>
    <s v="Não"/>
    <x v="2"/>
    <d v="2025-07-06T00:00:00"/>
    <m/>
    <s v="dom"/>
    <x v="6"/>
    <x v="1"/>
    <m/>
    <s v="148745844"/>
  </r>
  <r>
    <n v="1487"/>
    <n v="21"/>
    <s v="Masculino"/>
    <s v="Qualidade"/>
    <s v="Inspetor"/>
    <s v="3º Turno"/>
    <x v="1"/>
    <s v="Não"/>
    <x v="2"/>
    <d v="2025-07-07T00:00:00"/>
    <m/>
    <s v="seg"/>
    <x v="6"/>
    <x v="1"/>
    <m/>
    <s v="148745845"/>
  </r>
  <r>
    <n v="1487"/>
    <n v="21"/>
    <s v="Masculino"/>
    <s v="Qualidade"/>
    <s v="Inspetor"/>
    <s v="3º Turno"/>
    <x v="1"/>
    <s v="Não"/>
    <x v="2"/>
    <d v="2025-07-08T00:00:00"/>
    <m/>
    <s v="ter"/>
    <x v="6"/>
    <x v="1"/>
    <m/>
    <s v="148745846"/>
  </r>
  <r>
    <n v="1487"/>
    <n v="21"/>
    <s v="Masculino"/>
    <s v="Qualidade"/>
    <s v="Inspetor"/>
    <s v="3º Turno"/>
    <x v="1"/>
    <s v="Não"/>
    <x v="2"/>
    <d v="2025-07-09T00:00:00"/>
    <m/>
    <s v="qua"/>
    <x v="6"/>
    <x v="1"/>
    <m/>
    <s v="148745847"/>
  </r>
  <r>
    <n v="1487"/>
    <n v="21"/>
    <s v="Masculino"/>
    <s v="Qualidade"/>
    <s v="Inspetor"/>
    <s v="3º Turno"/>
    <x v="1"/>
    <s v="Não"/>
    <x v="2"/>
    <d v="2025-07-10T00:00:00"/>
    <m/>
    <s v="qui"/>
    <x v="6"/>
    <x v="1"/>
    <m/>
    <s v="148745848"/>
  </r>
  <r>
    <n v="1487"/>
    <n v="21"/>
    <s v="Masculino"/>
    <s v="Qualidade"/>
    <s v="Inspetor"/>
    <s v="3º Turno"/>
    <x v="1"/>
    <s v="Não"/>
    <x v="2"/>
    <d v="2025-07-11T00:00:00"/>
    <m/>
    <s v="sex"/>
    <x v="6"/>
    <x v="1"/>
    <m/>
    <s v="148745849"/>
  </r>
  <r>
    <n v="1487"/>
    <n v="21"/>
    <s v="Masculino"/>
    <s v="Qualidade"/>
    <s v="Inspetor"/>
    <s v="3º Turno"/>
    <x v="1"/>
    <s v="Não"/>
    <x v="2"/>
    <d v="2025-07-12T00:00:00"/>
    <m/>
    <s v="sáb"/>
    <x v="6"/>
    <x v="1"/>
    <m/>
    <s v="148745850"/>
  </r>
  <r>
    <n v="1487"/>
    <n v="21"/>
    <s v="Masculino"/>
    <s v="Qualidade"/>
    <s v="Inspetor"/>
    <s v="3º Turno"/>
    <x v="1"/>
    <s v="Não"/>
    <x v="2"/>
    <d v="2025-07-13T00:00:00"/>
    <m/>
    <s v="dom"/>
    <x v="6"/>
    <x v="1"/>
    <m/>
    <s v="148745851"/>
  </r>
  <r>
    <n v="1487"/>
    <n v="21"/>
    <s v="Masculino"/>
    <s v="Qualidade"/>
    <s v="Inspetor"/>
    <s v="3º Turno"/>
    <x v="1"/>
    <s v="Não"/>
    <x v="2"/>
    <d v="2025-07-14T00:00:00"/>
    <m/>
    <s v="seg"/>
    <x v="6"/>
    <x v="1"/>
    <m/>
    <s v="148745852"/>
  </r>
  <r>
    <n v="1487"/>
    <n v="21"/>
    <s v="Masculino"/>
    <s v="Qualidade"/>
    <s v="Inspetor"/>
    <s v="3º Turno"/>
    <x v="1"/>
    <s v="Não"/>
    <x v="2"/>
    <d v="2025-07-15T00:00:00"/>
    <m/>
    <s v="ter"/>
    <x v="6"/>
    <x v="1"/>
    <m/>
    <s v="148745853"/>
  </r>
  <r>
    <n v="1487"/>
    <n v="21"/>
    <s v="Masculino"/>
    <s v="Qualidade"/>
    <s v="Inspetor"/>
    <s v="3º Turno"/>
    <x v="1"/>
    <s v="Não"/>
    <x v="2"/>
    <d v="2025-07-16T00:00:00"/>
    <m/>
    <s v="qua"/>
    <x v="6"/>
    <x v="1"/>
    <m/>
    <s v="148745854"/>
  </r>
  <r>
    <n v="1487"/>
    <n v="21"/>
    <s v="Masculino"/>
    <s v="Qualidade"/>
    <s v="Inspetor"/>
    <s v="3º Turno"/>
    <x v="1"/>
    <s v="Não"/>
    <x v="2"/>
    <d v="2025-07-17T00:00:00"/>
    <m/>
    <s v="qui"/>
    <x v="6"/>
    <x v="1"/>
    <m/>
    <s v="148745855"/>
  </r>
  <r>
    <n v="1487"/>
    <n v="21"/>
    <s v="Masculino"/>
    <s v="Qualidade"/>
    <s v="Inspetor"/>
    <s v="3º Turno"/>
    <x v="1"/>
    <s v="Não"/>
    <x v="2"/>
    <d v="2025-07-18T00:00:00"/>
    <m/>
    <s v="sex"/>
    <x v="6"/>
    <x v="1"/>
    <m/>
    <s v="148745856"/>
  </r>
  <r>
    <n v="1487"/>
    <n v="21"/>
    <s v="Masculino"/>
    <s v="Qualidade"/>
    <s v="Inspetor"/>
    <s v="3º Turno"/>
    <x v="1"/>
    <s v="Não"/>
    <x v="2"/>
    <d v="2025-07-19T00:00:00"/>
    <m/>
    <s v="sáb"/>
    <x v="6"/>
    <x v="1"/>
    <m/>
    <s v="148745857"/>
  </r>
  <r>
    <n v="1487"/>
    <n v="21"/>
    <s v="Masculino"/>
    <s v="Qualidade"/>
    <s v="Inspetor"/>
    <s v="3º Turno"/>
    <x v="1"/>
    <s v="Não"/>
    <x v="2"/>
    <d v="2025-07-20T00:00:00"/>
    <m/>
    <s v="dom"/>
    <x v="6"/>
    <x v="1"/>
    <m/>
    <s v="148745858"/>
  </r>
  <r>
    <n v="1487"/>
    <n v="21"/>
    <s v="Masculino"/>
    <s v="Qualidade"/>
    <s v="Inspetor"/>
    <s v="3º Turno"/>
    <x v="1"/>
    <s v="Não"/>
    <x v="2"/>
    <d v="2025-07-21T00:00:00"/>
    <m/>
    <s v="seg"/>
    <x v="6"/>
    <x v="1"/>
    <m/>
    <s v="148745859"/>
  </r>
  <r>
    <n v="1487"/>
    <n v="21"/>
    <s v="Masculino"/>
    <s v="Qualidade"/>
    <s v="Inspetor"/>
    <s v="3º Turno"/>
    <x v="1"/>
    <s v="Não"/>
    <x v="2"/>
    <d v="2025-07-22T00:00:00"/>
    <m/>
    <s v="ter"/>
    <x v="6"/>
    <x v="1"/>
    <m/>
    <s v="148745860"/>
  </r>
  <r>
    <n v="1487"/>
    <n v="21"/>
    <s v="Masculino"/>
    <s v="Qualidade"/>
    <s v="Inspetor"/>
    <s v="3º Turno"/>
    <x v="1"/>
    <s v="Não"/>
    <x v="2"/>
    <d v="2025-07-23T00:00:00"/>
    <m/>
    <s v="qua"/>
    <x v="6"/>
    <x v="1"/>
    <m/>
    <s v="148745861"/>
  </r>
  <r>
    <n v="1487"/>
    <n v="21"/>
    <s v="Masculino"/>
    <s v="Qualidade"/>
    <s v="Inspetor"/>
    <s v="3º Turno"/>
    <x v="1"/>
    <s v="Não"/>
    <x v="2"/>
    <d v="2025-07-24T00:00:00"/>
    <m/>
    <s v="qui"/>
    <x v="6"/>
    <x v="1"/>
    <m/>
    <s v="148745862"/>
  </r>
  <r>
    <n v="1487"/>
    <n v="21"/>
    <s v="Masculino"/>
    <s v="Qualidade"/>
    <s v="Inspetor"/>
    <s v="3º Turno"/>
    <x v="1"/>
    <s v="Não"/>
    <x v="2"/>
    <d v="2025-07-25T00:00:00"/>
    <m/>
    <s v="sex"/>
    <x v="6"/>
    <x v="1"/>
    <m/>
    <s v="148745863"/>
  </r>
  <r>
    <n v="1487"/>
    <n v="21"/>
    <s v="Masculino"/>
    <s v="Qualidade"/>
    <s v="Inspetor"/>
    <s v="3º Turno"/>
    <x v="1"/>
    <s v="Não"/>
    <x v="2"/>
    <d v="2025-07-26T00:00:00"/>
    <m/>
    <s v="sáb"/>
    <x v="6"/>
    <x v="1"/>
    <m/>
    <s v="148745864"/>
  </r>
  <r>
    <n v="1487"/>
    <n v="21"/>
    <s v="Masculino"/>
    <s v="Qualidade"/>
    <s v="Inspetor"/>
    <s v="3º Turno"/>
    <x v="1"/>
    <s v="Não"/>
    <x v="2"/>
    <d v="2025-07-27T00:00:00"/>
    <m/>
    <s v="dom"/>
    <x v="6"/>
    <x v="1"/>
    <m/>
    <s v="148745865"/>
  </r>
  <r>
    <n v="1487"/>
    <n v="21"/>
    <s v="Masculino"/>
    <s v="Qualidade"/>
    <s v="Inspetor"/>
    <s v="3º Turno"/>
    <x v="1"/>
    <s v="Não"/>
    <x v="2"/>
    <d v="2025-07-28T00:00:00"/>
    <m/>
    <s v="seg"/>
    <x v="6"/>
    <x v="1"/>
    <m/>
    <s v="148745866"/>
  </r>
  <r>
    <n v="1487"/>
    <n v="21"/>
    <s v="Masculino"/>
    <s v="Qualidade"/>
    <s v="Inspetor"/>
    <s v="3º Turno"/>
    <x v="1"/>
    <s v="Não"/>
    <x v="2"/>
    <d v="2025-07-29T00:00:00"/>
    <m/>
    <s v="ter"/>
    <x v="6"/>
    <x v="1"/>
    <m/>
    <s v="148745867"/>
  </r>
  <r>
    <n v="1487"/>
    <n v="21"/>
    <s v="Masculino"/>
    <s v="Qualidade"/>
    <s v="Inspetor"/>
    <s v="3º Turno"/>
    <x v="1"/>
    <s v="Não"/>
    <x v="2"/>
    <d v="2025-07-30T00:00:00"/>
    <m/>
    <s v="qua"/>
    <x v="6"/>
    <x v="1"/>
    <m/>
    <s v="148745868"/>
  </r>
  <r>
    <n v="1487"/>
    <n v="21"/>
    <s v="Masculino"/>
    <s v="Qualidade"/>
    <s v="Inspetor"/>
    <s v="3º Turno"/>
    <x v="1"/>
    <s v="Não"/>
    <x v="2"/>
    <d v="2025-07-31T00:00:00"/>
    <m/>
    <s v="qui"/>
    <x v="6"/>
    <x v="1"/>
    <m/>
    <s v="148745869"/>
  </r>
  <r>
    <n v="1487"/>
    <n v="21"/>
    <s v="Masculino"/>
    <s v="Qualidade"/>
    <s v="Inspetor"/>
    <s v="3º Turno"/>
    <x v="1"/>
    <s v="Não"/>
    <x v="2"/>
    <d v="2025-08-01T00:00:00"/>
    <m/>
    <s v="sex"/>
    <x v="9"/>
    <x v="1"/>
    <m/>
    <s v="148745870"/>
  </r>
  <r>
    <n v="1487"/>
    <n v="21"/>
    <s v="Masculino"/>
    <s v="Qualidade"/>
    <s v="Inspetor"/>
    <s v="3º Turno"/>
    <x v="1"/>
    <s v="Não"/>
    <x v="2"/>
    <d v="2025-08-02T00:00:00"/>
    <m/>
    <s v="sáb"/>
    <x v="9"/>
    <x v="1"/>
    <m/>
    <s v="148745871"/>
  </r>
  <r>
    <n v="1487"/>
    <n v="21"/>
    <s v="Masculino"/>
    <s v="Qualidade"/>
    <s v="Inspetor"/>
    <s v="3º Turno"/>
    <x v="1"/>
    <s v="Não"/>
    <x v="2"/>
    <d v="2025-08-03T00:00:00"/>
    <m/>
    <s v="dom"/>
    <x v="9"/>
    <x v="1"/>
    <m/>
    <s v="148745872"/>
  </r>
  <r>
    <n v="1487"/>
    <n v="21"/>
    <s v="Masculino"/>
    <s v="Qualidade"/>
    <s v="Inspetor"/>
    <s v="3º Turno"/>
    <x v="1"/>
    <s v="Não"/>
    <x v="2"/>
    <d v="2025-08-04T00:00:00"/>
    <m/>
    <s v="seg"/>
    <x v="9"/>
    <x v="1"/>
    <m/>
    <s v="148745873"/>
  </r>
  <r>
    <n v="1487"/>
    <n v="21"/>
    <s v="Masculino"/>
    <s v="Qualidade"/>
    <s v="Inspetor"/>
    <s v="3º Turno"/>
    <x v="1"/>
    <s v="Não"/>
    <x v="2"/>
    <d v="2025-08-05T00:00:00"/>
    <m/>
    <s v="ter"/>
    <x v="9"/>
    <x v="1"/>
    <m/>
    <s v="148745874"/>
  </r>
  <r>
    <n v="1487"/>
    <n v="21"/>
    <s v="Masculino"/>
    <s v="Qualidade"/>
    <s v="Inspetor"/>
    <s v="3º Turno"/>
    <x v="1"/>
    <s v="Não"/>
    <x v="2"/>
    <d v="2025-08-06T00:00:00"/>
    <m/>
    <s v="qua"/>
    <x v="9"/>
    <x v="1"/>
    <m/>
    <s v="148745875"/>
  </r>
  <r>
    <n v="1487"/>
    <n v="21"/>
    <s v="Masculino"/>
    <s v="Qualidade"/>
    <s v="Inspetor"/>
    <s v="3º Turno"/>
    <x v="1"/>
    <s v="Não"/>
    <x v="2"/>
    <d v="2025-08-07T00:00:00"/>
    <m/>
    <s v="qui"/>
    <x v="9"/>
    <x v="1"/>
    <m/>
    <s v="148745876"/>
  </r>
  <r>
    <n v="1487"/>
    <n v="21"/>
    <s v="Masculino"/>
    <s v="Qualidade"/>
    <s v="Inspetor"/>
    <s v="3º Turno"/>
    <x v="1"/>
    <s v="Não"/>
    <x v="2"/>
    <d v="2025-08-08T00:00:00"/>
    <m/>
    <s v="sex"/>
    <x v="9"/>
    <x v="1"/>
    <m/>
    <s v="148745877"/>
  </r>
  <r>
    <n v="1487"/>
    <n v="21"/>
    <s v="Masculino"/>
    <s v="Qualidade"/>
    <s v="Inspetor"/>
    <s v="3º Turno"/>
    <x v="1"/>
    <s v="Não"/>
    <x v="2"/>
    <d v="2025-08-09T00:00:00"/>
    <m/>
    <s v="sáb"/>
    <x v="9"/>
    <x v="1"/>
    <m/>
    <s v="148745878"/>
  </r>
  <r>
    <n v="1487"/>
    <n v="21"/>
    <s v="Masculino"/>
    <s v="Qualidade"/>
    <s v="Inspetor"/>
    <s v="3º Turno"/>
    <x v="1"/>
    <s v="Não"/>
    <x v="2"/>
    <d v="2025-08-10T00:00:00"/>
    <m/>
    <s v="dom"/>
    <x v="9"/>
    <x v="1"/>
    <m/>
    <s v="148745879"/>
  </r>
  <r>
    <n v="1487"/>
    <n v="21"/>
    <s v="Masculino"/>
    <s v="Qualidade"/>
    <s v="Inspetor"/>
    <s v="3º Turno"/>
    <x v="1"/>
    <s v="Não"/>
    <x v="2"/>
    <d v="2025-08-11T00:00:00"/>
    <m/>
    <s v="seg"/>
    <x v="9"/>
    <x v="1"/>
    <m/>
    <s v="148745880"/>
  </r>
  <r>
    <n v="1487"/>
    <n v="21"/>
    <s v="Masculino"/>
    <s v="Qualidade"/>
    <s v="Inspetor"/>
    <s v="3º Turno"/>
    <x v="1"/>
    <s v="Não"/>
    <x v="2"/>
    <d v="2025-08-12T00:00:00"/>
    <m/>
    <s v="ter"/>
    <x v="9"/>
    <x v="1"/>
    <m/>
    <s v="148745881"/>
  </r>
  <r>
    <n v="1487"/>
    <n v="21"/>
    <s v="Masculino"/>
    <s v="Qualidade"/>
    <s v="Inspetor"/>
    <s v="3º Turno"/>
    <x v="1"/>
    <s v="Não"/>
    <x v="2"/>
    <d v="2025-08-13T00:00:00"/>
    <m/>
    <s v="qua"/>
    <x v="9"/>
    <x v="1"/>
    <m/>
    <s v="148745882"/>
  </r>
  <r>
    <n v="1487"/>
    <n v="21"/>
    <s v="Masculino"/>
    <s v="Qualidade"/>
    <s v="Inspetor"/>
    <s v="3º Turno"/>
    <x v="1"/>
    <s v="Não"/>
    <x v="2"/>
    <d v="2025-08-14T00:00:00"/>
    <m/>
    <s v="qui"/>
    <x v="9"/>
    <x v="1"/>
    <m/>
    <s v="148745883"/>
  </r>
  <r>
    <n v="1487"/>
    <n v="21"/>
    <s v="Masculino"/>
    <s v="Qualidade"/>
    <s v="Inspetor"/>
    <s v="3º Turno"/>
    <x v="1"/>
    <s v="Não"/>
    <x v="2"/>
    <d v="2025-08-15T00:00:00"/>
    <m/>
    <s v="sex"/>
    <x v="9"/>
    <x v="1"/>
    <m/>
    <s v="148745884"/>
  </r>
  <r>
    <n v="1487"/>
    <n v="21"/>
    <s v="Masculino"/>
    <s v="Qualidade"/>
    <s v="Inspetor"/>
    <s v="3º Turno"/>
    <x v="1"/>
    <s v="Não"/>
    <x v="2"/>
    <d v="2025-08-16T00:00:00"/>
    <m/>
    <s v="sáb"/>
    <x v="9"/>
    <x v="1"/>
    <m/>
    <s v="148745885"/>
  </r>
  <r>
    <n v="1487"/>
    <n v="21"/>
    <s v="Masculino"/>
    <s v="Qualidade"/>
    <s v="Inspetor"/>
    <s v="3º Turno"/>
    <x v="1"/>
    <s v="Não"/>
    <x v="2"/>
    <d v="2025-08-17T00:00:00"/>
    <m/>
    <s v="dom"/>
    <x v="9"/>
    <x v="1"/>
    <m/>
    <s v="148745886"/>
  </r>
  <r>
    <n v="1487"/>
    <n v="21"/>
    <s v="Masculino"/>
    <s v="Qualidade"/>
    <s v="Inspetor"/>
    <s v="3º Turno"/>
    <x v="1"/>
    <s v="Não"/>
    <x v="2"/>
    <d v="2025-08-18T00:00:00"/>
    <m/>
    <s v="seg"/>
    <x v="9"/>
    <x v="1"/>
    <m/>
    <s v="148745887"/>
  </r>
  <r>
    <n v="1487"/>
    <n v="21"/>
    <s v="Masculino"/>
    <s v="Qualidade"/>
    <s v="Inspetor"/>
    <s v="3º Turno"/>
    <x v="1"/>
    <s v="Não"/>
    <x v="2"/>
    <d v="2025-08-19T00:00:00"/>
    <m/>
    <s v="ter"/>
    <x v="9"/>
    <x v="1"/>
    <m/>
    <s v="148745888"/>
  </r>
  <r>
    <n v="1487"/>
    <n v="21"/>
    <s v="Masculino"/>
    <s v="Qualidade"/>
    <s v="Inspetor"/>
    <s v="3º Turno"/>
    <x v="1"/>
    <s v="Não"/>
    <x v="2"/>
    <d v="2025-08-20T00:00:00"/>
    <m/>
    <s v="qua"/>
    <x v="9"/>
    <x v="1"/>
    <m/>
    <s v="148745889"/>
  </r>
  <r>
    <n v="1487"/>
    <n v="21"/>
    <s v="Masculino"/>
    <s v="Qualidade"/>
    <s v="Inspetor"/>
    <s v="3º Turno"/>
    <x v="1"/>
    <s v="Não"/>
    <x v="2"/>
    <d v="2025-08-21T00:00:00"/>
    <m/>
    <s v="qui"/>
    <x v="9"/>
    <x v="1"/>
    <m/>
    <s v="148745890"/>
  </r>
  <r>
    <n v="1487"/>
    <n v="21"/>
    <s v="Masculino"/>
    <s v="Qualidade"/>
    <s v="Inspetor"/>
    <s v="3º Turno"/>
    <x v="1"/>
    <s v="Não"/>
    <x v="2"/>
    <d v="2025-08-22T00:00:00"/>
    <m/>
    <s v="sex"/>
    <x v="9"/>
    <x v="1"/>
    <m/>
    <s v="148745891"/>
  </r>
  <r>
    <n v="1487"/>
    <n v="21"/>
    <s v="Masculino"/>
    <s v="Qualidade"/>
    <s v="Inspetor"/>
    <s v="3º Turno"/>
    <x v="1"/>
    <s v="Não"/>
    <x v="2"/>
    <d v="2025-08-23T00:00:00"/>
    <m/>
    <s v="sáb"/>
    <x v="9"/>
    <x v="1"/>
    <m/>
    <s v="148745892"/>
  </r>
  <r>
    <n v="1487"/>
    <n v="21"/>
    <s v="Masculino"/>
    <s v="Qualidade"/>
    <s v="Inspetor"/>
    <s v="3º Turno"/>
    <x v="1"/>
    <s v="Não"/>
    <x v="2"/>
    <d v="2025-08-24T00:00:00"/>
    <m/>
    <s v="dom"/>
    <x v="9"/>
    <x v="1"/>
    <m/>
    <s v="148745893"/>
  </r>
  <r>
    <n v="1487"/>
    <n v="21"/>
    <s v="Masculino"/>
    <s v="Qualidade"/>
    <s v="Inspetor"/>
    <s v="3º Turno"/>
    <x v="1"/>
    <s v="Não"/>
    <x v="2"/>
    <d v="2025-08-25T00:00:00"/>
    <m/>
    <s v="seg"/>
    <x v="9"/>
    <x v="1"/>
    <m/>
    <s v="148745894"/>
  </r>
  <r>
    <n v="1487"/>
    <n v="21"/>
    <s v="Masculino"/>
    <s v="Qualidade"/>
    <s v="Inspetor"/>
    <s v="3º Turno"/>
    <x v="1"/>
    <s v="Não"/>
    <x v="2"/>
    <d v="2025-08-26T00:00:00"/>
    <m/>
    <s v="ter"/>
    <x v="9"/>
    <x v="1"/>
    <m/>
    <s v="148745895"/>
  </r>
  <r>
    <n v="1487"/>
    <n v="21"/>
    <s v="Masculino"/>
    <s v="Qualidade"/>
    <s v="Inspetor"/>
    <s v="3º Turno"/>
    <x v="1"/>
    <s v="Não"/>
    <x v="2"/>
    <d v="2025-08-27T00:00:00"/>
    <m/>
    <s v="qua"/>
    <x v="9"/>
    <x v="1"/>
    <m/>
    <s v="148745896"/>
  </r>
  <r>
    <n v="1487"/>
    <n v="21"/>
    <s v="Masculino"/>
    <s v="Qualidade"/>
    <s v="Inspetor"/>
    <s v="3º Turno"/>
    <x v="1"/>
    <s v="Não"/>
    <x v="2"/>
    <d v="2025-08-28T00:00:00"/>
    <m/>
    <s v="qui"/>
    <x v="9"/>
    <x v="1"/>
    <m/>
    <s v="148745897"/>
  </r>
  <r>
    <n v="1487"/>
    <n v="21"/>
    <s v="Masculino"/>
    <s v="Qualidade"/>
    <s v="Inspetor"/>
    <s v="3º Turno"/>
    <x v="1"/>
    <s v="Não"/>
    <x v="2"/>
    <d v="2025-08-29T00:00:00"/>
    <m/>
    <s v="sex"/>
    <x v="9"/>
    <x v="1"/>
    <m/>
    <s v="148745898"/>
  </r>
  <r>
    <n v="2178"/>
    <n v="46"/>
    <s v="Masculino"/>
    <s v="Qualidade"/>
    <s v="Inspetor"/>
    <s v="2º Turno"/>
    <x v="1"/>
    <s v="Não"/>
    <x v="2"/>
    <d v="2025-01-15T00:00:00"/>
    <m/>
    <s v="qua"/>
    <x v="5"/>
    <x v="1"/>
    <m/>
    <s v="217845672"/>
  </r>
  <r>
    <n v="2178"/>
    <n v="46"/>
    <s v="Masculino"/>
    <s v="Qualidade"/>
    <s v="Inspetor"/>
    <s v="2º Turno"/>
    <x v="1"/>
    <s v="Não"/>
    <x v="2"/>
    <d v="2025-01-16T00:00:00"/>
    <m/>
    <s v="qui"/>
    <x v="5"/>
    <x v="1"/>
    <m/>
    <s v="217845673"/>
  </r>
  <r>
    <n v="2178"/>
    <n v="46"/>
    <s v="Masculino"/>
    <s v="Qualidade"/>
    <s v="Inspetor"/>
    <s v="2º Turno"/>
    <x v="1"/>
    <s v="Não"/>
    <x v="2"/>
    <d v="2025-01-17T00:00:00"/>
    <m/>
    <s v="sex"/>
    <x v="5"/>
    <x v="1"/>
    <m/>
    <s v="217845674"/>
  </r>
  <r>
    <n v="2178"/>
    <n v="46"/>
    <s v="Masculino"/>
    <s v="Qualidade"/>
    <s v="Inspetor"/>
    <s v="2º Turno"/>
    <x v="1"/>
    <s v="Não"/>
    <x v="2"/>
    <d v="2025-01-18T00:00:00"/>
    <m/>
    <s v="sáb"/>
    <x v="5"/>
    <x v="1"/>
    <m/>
    <s v="217845675"/>
  </r>
  <r>
    <n v="2178"/>
    <n v="46"/>
    <s v="Masculino"/>
    <s v="Qualidade"/>
    <s v="Inspetor"/>
    <s v="2º Turno"/>
    <x v="1"/>
    <s v="Não"/>
    <x v="2"/>
    <d v="2025-01-19T00:00:00"/>
    <m/>
    <s v="dom"/>
    <x v="5"/>
    <x v="1"/>
    <m/>
    <s v="217845676"/>
  </r>
  <r>
    <n v="2178"/>
    <n v="46"/>
    <s v="Masculino"/>
    <s v="Qualidade"/>
    <s v="Inspetor"/>
    <s v="2º Turno"/>
    <x v="1"/>
    <s v="Não"/>
    <x v="2"/>
    <d v="2025-01-20T00:00:00"/>
    <m/>
    <s v="seg"/>
    <x v="5"/>
    <x v="1"/>
    <m/>
    <s v="217845677"/>
  </r>
  <r>
    <n v="2178"/>
    <n v="46"/>
    <s v="Masculino"/>
    <s v="Qualidade"/>
    <s v="Inspetor"/>
    <s v="2º Turno"/>
    <x v="1"/>
    <s v="Não"/>
    <x v="2"/>
    <d v="2025-01-21T00:00:00"/>
    <m/>
    <s v="ter"/>
    <x v="5"/>
    <x v="1"/>
    <m/>
    <s v="217845678"/>
  </r>
  <r>
    <n v="2178"/>
    <n v="46"/>
    <s v="Masculino"/>
    <s v="Qualidade"/>
    <s v="Inspetor"/>
    <s v="2º Turno"/>
    <x v="1"/>
    <s v="Não"/>
    <x v="2"/>
    <d v="2025-01-22T00:00:00"/>
    <m/>
    <s v="qua"/>
    <x v="5"/>
    <x v="1"/>
    <m/>
    <s v="217845679"/>
  </r>
  <r>
    <n v="2178"/>
    <n v="46"/>
    <s v="Masculino"/>
    <s v="Qualidade"/>
    <s v="Inspetor"/>
    <s v="2º Turno"/>
    <x v="1"/>
    <s v="Não"/>
    <x v="2"/>
    <d v="2025-01-23T00:00:00"/>
    <m/>
    <s v="qui"/>
    <x v="5"/>
    <x v="1"/>
    <m/>
    <s v="217845680"/>
  </r>
  <r>
    <n v="2178"/>
    <n v="46"/>
    <s v="Masculino"/>
    <s v="Qualidade"/>
    <s v="Inspetor"/>
    <s v="2º Turno"/>
    <x v="1"/>
    <s v="Não"/>
    <x v="2"/>
    <d v="2025-01-24T00:00:00"/>
    <m/>
    <s v="sex"/>
    <x v="5"/>
    <x v="1"/>
    <m/>
    <s v="217845681"/>
  </r>
  <r>
    <n v="2178"/>
    <n v="46"/>
    <s v="Masculino"/>
    <s v="Qualidade"/>
    <s v="Inspetor"/>
    <s v="2º Turno"/>
    <x v="1"/>
    <s v="Não"/>
    <x v="2"/>
    <d v="2025-01-25T00:00:00"/>
    <m/>
    <s v="sáb"/>
    <x v="5"/>
    <x v="1"/>
    <m/>
    <s v="217845682"/>
  </r>
  <r>
    <n v="2178"/>
    <n v="46"/>
    <s v="Masculino"/>
    <s v="Qualidade"/>
    <s v="Inspetor"/>
    <s v="2º Turno"/>
    <x v="1"/>
    <s v="Não"/>
    <x v="2"/>
    <d v="2025-01-26T00:00:00"/>
    <m/>
    <s v="dom"/>
    <x v="5"/>
    <x v="1"/>
    <m/>
    <s v="217845683"/>
  </r>
  <r>
    <n v="2178"/>
    <n v="46"/>
    <s v="Masculino"/>
    <s v="Qualidade"/>
    <s v="Inspetor"/>
    <s v="2º Turno"/>
    <x v="1"/>
    <s v="Não"/>
    <x v="2"/>
    <d v="2025-01-27T00:00:00"/>
    <m/>
    <s v="seg"/>
    <x v="5"/>
    <x v="1"/>
    <m/>
    <s v="217845684"/>
  </r>
  <r>
    <n v="2178"/>
    <n v="46"/>
    <s v="Masculino"/>
    <s v="Qualidade"/>
    <s v="Inspetor"/>
    <s v="2º Turno"/>
    <x v="1"/>
    <s v="Não"/>
    <x v="2"/>
    <d v="2025-01-28T00:00:00"/>
    <m/>
    <s v="ter"/>
    <x v="5"/>
    <x v="1"/>
    <m/>
    <s v="217845685"/>
  </r>
  <r>
    <n v="2178"/>
    <n v="46"/>
    <s v="Masculino"/>
    <s v="Qualidade"/>
    <s v="Inspetor"/>
    <s v="2º Turno"/>
    <x v="1"/>
    <s v="Não"/>
    <x v="2"/>
    <d v="2025-01-29T00:00:00"/>
    <m/>
    <s v="qua"/>
    <x v="5"/>
    <x v="1"/>
    <m/>
    <s v="217845686"/>
  </r>
  <r>
    <n v="2178"/>
    <n v="46"/>
    <s v="Masculino"/>
    <s v="Qualidade"/>
    <s v="Inspetor"/>
    <s v="2º Turno"/>
    <x v="1"/>
    <s v="Não"/>
    <x v="2"/>
    <d v="2025-01-30T00:00:00"/>
    <m/>
    <s v="qui"/>
    <x v="5"/>
    <x v="1"/>
    <m/>
    <s v="217845687"/>
  </r>
  <r>
    <n v="2178"/>
    <n v="46"/>
    <s v="Masculino"/>
    <s v="Qualidade"/>
    <s v="Inspetor"/>
    <s v="2º Turno"/>
    <x v="1"/>
    <s v="Não"/>
    <x v="2"/>
    <d v="2025-01-31T00:00:00"/>
    <m/>
    <s v="sex"/>
    <x v="5"/>
    <x v="1"/>
    <m/>
    <s v="217845688"/>
  </r>
  <r>
    <n v="2178"/>
    <n v="46"/>
    <s v="Masculino"/>
    <s v="Qualidade"/>
    <s v="Inspetor"/>
    <s v="2º Turno"/>
    <x v="1"/>
    <s v="Não"/>
    <x v="2"/>
    <d v="2025-02-01T00:00:00"/>
    <m/>
    <s v="sáb"/>
    <x v="3"/>
    <x v="1"/>
    <m/>
    <s v="217845689"/>
  </r>
  <r>
    <n v="2178"/>
    <n v="46"/>
    <s v="Masculino"/>
    <s v="Qualidade"/>
    <s v="Inspetor"/>
    <s v="2º Turno"/>
    <x v="1"/>
    <s v="Não"/>
    <x v="2"/>
    <d v="2025-02-02T00:00:00"/>
    <m/>
    <s v="dom"/>
    <x v="3"/>
    <x v="1"/>
    <m/>
    <s v="217845690"/>
  </r>
  <r>
    <n v="2178"/>
    <n v="46"/>
    <s v="Masculino"/>
    <s v="Qualidade"/>
    <s v="Inspetor"/>
    <s v="2º Turno"/>
    <x v="1"/>
    <s v="Não"/>
    <x v="2"/>
    <d v="2025-02-03T00:00:00"/>
    <m/>
    <s v="seg"/>
    <x v="3"/>
    <x v="1"/>
    <m/>
    <s v="217845691"/>
  </r>
  <r>
    <n v="2178"/>
    <n v="46"/>
    <s v="Masculino"/>
    <s v="Qualidade"/>
    <s v="Inspetor"/>
    <s v="2º Turno"/>
    <x v="1"/>
    <s v="Não"/>
    <x v="2"/>
    <d v="2025-02-04T00:00:00"/>
    <m/>
    <s v="ter"/>
    <x v="3"/>
    <x v="1"/>
    <m/>
    <s v="217845692"/>
  </r>
  <r>
    <n v="2178"/>
    <n v="46"/>
    <s v="Masculino"/>
    <s v="Qualidade"/>
    <s v="Inspetor"/>
    <s v="2º Turno"/>
    <x v="1"/>
    <s v="Não"/>
    <x v="2"/>
    <d v="2025-02-05T00:00:00"/>
    <m/>
    <s v="qua"/>
    <x v="3"/>
    <x v="1"/>
    <m/>
    <s v="217845693"/>
  </r>
  <r>
    <n v="2178"/>
    <n v="46"/>
    <s v="Masculino"/>
    <s v="Qualidade"/>
    <s v="Inspetor"/>
    <s v="2º Turno"/>
    <x v="1"/>
    <s v="Não"/>
    <x v="2"/>
    <d v="2025-02-06T00:00:00"/>
    <m/>
    <s v="qui"/>
    <x v="3"/>
    <x v="1"/>
    <m/>
    <s v="217845694"/>
  </r>
  <r>
    <n v="2178"/>
    <n v="46"/>
    <s v="Masculino"/>
    <s v="Qualidade"/>
    <s v="Inspetor"/>
    <s v="2º Turno"/>
    <x v="1"/>
    <s v="Não"/>
    <x v="2"/>
    <d v="2025-02-07T00:00:00"/>
    <m/>
    <s v="sex"/>
    <x v="3"/>
    <x v="1"/>
    <m/>
    <s v="217845695"/>
  </r>
  <r>
    <n v="2178"/>
    <n v="46"/>
    <s v="Masculino"/>
    <s v="Qualidade"/>
    <s v="Inspetor"/>
    <s v="2º Turno"/>
    <x v="1"/>
    <s v="Não"/>
    <x v="2"/>
    <d v="2025-02-08T00:00:00"/>
    <m/>
    <s v="sáb"/>
    <x v="3"/>
    <x v="1"/>
    <m/>
    <s v="217845696"/>
  </r>
  <r>
    <n v="2178"/>
    <n v="46"/>
    <s v="Masculino"/>
    <s v="Qualidade"/>
    <s v="Inspetor"/>
    <s v="2º Turno"/>
    <x v="1"/>
    <s v="Não"/>
    <x v="2"/>
    <d v="2025-02-09T00:00:00"/>
    <m/>
    <s v="dom"/>
    <x v="3"/>
    <x v="1"/>
    <m/>
    <s v="217845697"/>
  </r>
  <r>
    <n v="2178"/>
    <n v="46"/>
    <s v="Masculino"/>
    <s v="Qualidade"/>
    <s v="Inspetor"/>
    <s v="2º Turno"/>
    <x v="1"/>
    <s v="Não"/>
    <x v="2"/>
    <d v="2025-02-10T00:00:00"/>
    <m/>
    <s v="seg"/>
    <x v="3"/>
    <x v="1"/>
    <m/>
    <s v="217845698"/>
  </r>
  <r>
    <n v="2178"/>
    <n v="46"/>
    <s v="Masculino"/>
    <s v="Qualidade"/>
    <s v="Inspetor"/>
    <s v="2º Turno"/>
    <x v="1"/>
    <s v="Não"/>
    <x v="2"/>
    <d v="2025-02-11T00:00:00"/>
    <m/>
    <s v="ter"/>
    <x v="3"/>
    <x v="1"/>
    <m/>
    <s v="217845699"/>
  </r>
  <r>
    <n v="2178"/>
    <n v="46"/>
    <s v="Masculino"/>
    <s v="Qualidade"/>
    <s v="Inspetor"/>
    <s v="2º Turno"/>
    <x v="1"/>
    <s v="Não"/>
    <x v="2"/>
    <d v="2025-02-12T00:00:00"/>
    <m/>
    <s v="qua"/>
    <x v="3"/>
    <x v="1"/>
    <m/>
    <s v="217845700"/>
  </r>
  <r>
    <n v="2178"/>
    <n v="46"/>
    <s v="Masculino"/>
    <s v="Qualidade"/>
    <s v="Inspetor"/>
    <s v="2º Turno"/>
    <x v="1"/>
    <s v="Não"/>
    <x v="2"/>
    <d v="2025-02-13T00:00:00"/>
    <m/>
    <s v="qui"/>
    <x v="3"/>
    <x v="1"/>
    <m/>
    <s v="217845701"/>
  </r>
  <r>
    <n v="2178"/>
    <n v="46"/>
    <s v="Masculino"/>
    <s v="Qualidade"/>
    <s v="Inspetor"/>
    <s v="2º Turno"/>
    <x v="1"/>
    <s v="Não"/>
    <x v="2"/>
    <d v="2025-02-14T00:00:00"/>
    <m/>
    <s v="sex"/>
    <x v="3"/>
    <x v="1"/>
    <m/>
    <s v="217845702"/>
  </r>
  <r>
    <n v="2178"/>
    <n v="46"/>
    <s v="Masculino"/>
    <s v="Qualidade"/>
    <s v="Inspetor"/>
    <s v="2º Turno"/>
    <x v="1"/>
    <s v="Não"/>
    <x v="2"/>
    <d v="2025-02-15T00:00:00"/>
    <m/>
    <s v="sáb"/>
    <x v="3"/>
    <x v="1"/>
    <m/>
    <s v="217845703"/>
  </r>
  <r>
    <n v="2178"/>
    <n v="46"/>
    <s v="Masculino"/>
    <s v="Qualidade"/>
    <s v="Inspetor"/>
    <s v="2º Turno"/>
    <x v="1"/>
    <s v="Não"/>
    <x v="2"/>
    <d v="2025-02-16T00:00:00"/>
    <m/>
    <s v="dom"/>
    <x v="3"/>
    <x v="1"/>
    <m/>
    <s v="217845704"/>
  </r>
  <r>
    <n v="2178"/>
    <n v="46"/>
    <s v="Masculino"/>
    <s v="Qualidade"/>
    <s v="Inspetor"/>
    <s v="2º Turno"/>
    <x v="1"/>
    <s v="Não"/>
    <x v="2"/>
    <d v="2025-02-17T00:00:00"/>
    <m/>
    <s v="seg"/>
    <x v="3"/>
    <x v="1"/>
    <m/>
    <s v="217845705"/>
  </r>
  <r>
    <n v="2178"/>
    <n v="46"/>
    <s v="Masculino"/>
    <s v="Qualidade"/>
    <s v="Inspetor"/>
    <s v="2º Turno"/>
    <x v="1"/>
    <s v="Não"/>
    <x v="2"/>
    <d v="2025-02-18T00:00:00"/>
    <m/>
    <s v="ter"/>
    <x v="3"/>
    <x v="1"/>
    <m/>
    <s v="217845706"/>
  </r>
  <r>
    <n v="2178"/>
    <n v="46"/>
    <s v="Masculino"/>
    <s v="Qualidade"/>
    <s v="Inspetor"/>
    <s v="2º Turno"/>
    <x v="1"/>
    <s v="Não"/>
    <x v="2"/>
    <d v="2025-02-19T00:00:00"/>
    <m/>
    <s v="qua"/>
    <x v="3"/>
    <x v="1"/>
    <m/>
    <s v="217845707"/>
  </r>
  <r>
    <n v="2178"/>
    <n v="46"/>
    <s v="Masculino"/>
    <s v="Qualidade"/>
    <s v="Inspetor"/>
    <s v="2º Turno"/>
    <x v="1"/>
    <s v="Não"/>
    <x v="2"/>
    <d v="2025-02-20T00:00:00"/>
    <m/>
    <s v="qui"/>
    <x v="3"/>
    <x v="1"/>
    <m/>
    <s v="217845708"/>
  </r>
  <r>
    <n v="2178"/>
    <n v="46"/>
    <s v="Masculino"/>
    <s v="Qualidade"/>
    <s v="Inspetor"/>
    <s v="2º Turno"/>
    <x v="1"/>
    <s v="Não"/>
    <x v="2"/>
    <d v="2025-02-21T00:00:00"/>
    <m/>
    <s v="sex"/>
    <x v="3"/>
    <x v="1"/>
    <m/>
    <s v="217845709"/>
  </r>
  <r>
    <n v="2178"/>
    <n v="46"/>
    <s v="Masculino"/>
    <s v="Qualidade"/>
    <s v="Inspetor"/>
    <s v="2º Turno"/>
    <x v="1"/>
    <s v="Não"/>
    <x v="2"/>
    <d v="2025-02-22T00:00:00"/>
    <m/>
    <s v="sáb"/>
    <x v="3"/>
    <x v="1"/>
    <m/>
    <s v="217845710"/>
  </r>
  <r>
    <n v="2178"/>
    <n v="46"/>
    <s v="Masculino"/>
    <s v="Qualidade"/>
    <s v="Inspetor"/>
    <s v="2º Turno"/>
    <x v="1"/>
    <s v="Não"/>
    <x v="2"/>
    <d v="2025-02-23T00:00:00"/>
    <m/>
    <s v="dom"/>
    <x v="3"/>
    <x v="1"/>
    <m/>
    <s v="217845711"/>
  </r>
  <r>
    <n v="2178"/>
    <n v="46"/>
    <s v="Masculino"/>
    <s v="Qualidade"/>
    <s v="Inspetor"/>
    <s v="2º Turno"/>
    <x v="1"/>
    <s v="Não"/>
    <x v="2"/>
    <d v="2025-02-24T00:00:00"/>
    <m/>
    <s v="seg"/>
    <x v="3"/>
    <x v="1"/>
    <m/>
    <s v="217845712"/>
  </r>
  <r>
    <n v="2178"/>
    <n v="46"/>
    <s v="Masculino"/>
    <s v="Qualidade"/>
    <s v="Inspetor"/>
    <s v="2º Turno"/>
    <x v="1"/>
    <s v="Não"/>
    <x v="2"/>
    <d v="2025-02-25T00:00:00"/>
    <m/>
    <s v="ter"/>
    <x v="3"/>
    <x v="1"/>
    <m/>
    <s v="217845713"/>
  </r>
  <r>
    <n v="2178"/>
    <n v="46"/>
    <s v="Masculino"/>
    <s v="Qualidade"/>
    <s v="Inspetor"/>
    <s v="2º Turno"/>
    <x v="1"/>
    <s v="Não"/>
    <x v="2"/>
    <d v="2025-02-26T00:00:00"/>
    <m/>
    <s v="qua"/>
    <x v="3"/>
    <x v="1"/>
    <m/>
    <s v="217845714"/>
  </r>
  <r>
    <n v="2178"/>
    <n v="46"/>
    <s v="Masculino"/>
    <s v="Qualidade"/>
    <s v="Inspetor"/>
    <s v="2º Turno"/>
    <x v="1"/>
    <s v="Não"/>
    <x v="2"/>
    <d v="2025-02-27T00:00:00"/>
    <m/>
    <s v="qui"/>
    <x v="3"/>
    <x v="1"/>
    <m/>
    <s v="217845715"/>
  </r>
  <r>
    <n v="2178"/>
    <n v="46"/>
    <s v="Masculino"/>
    <s v="Qualidade"/>
    <s v="Inspetor"/>
    <s v="2º Turno"/>
    <x v="1"/>
    <s v="Não"/>
    <x v="2"/>
    <d v="2025-02-28T00:00:00"/>
    <m/>
    <s v="sex"/>
    <x v="3"/>
    <x v="1"/>
    <m/>
    <s v="217845716"/>
  </r>
  <r>
    <n v="2178"/>
    <n v="46"/>
    <s v="Masculino"/>
    <s v="Qualidade"/>
    <s v="Inspetor"/>
    <s v="2º Turno"/>
    <x v="1"/>
    <s v="Não"/>
    <x v="2"/>
    <d v="2025-03-01T00:00:00"/>
    <m/>
    <s v="sáb"/>
    <x v="4"/>
    <x v="1"/>
    <m/>
    <s v="217845717"/>
  </r>
  <r>
    <n v="2178"/>
    <n v="46"/>
    <s v="Masculino"/>
    <s v="Qualidade"/>
    <s v="Inspetor"/>
    <s v="2º Turno"/>
    <x v="1"/>
    <s v="Não"/>
    <x v="2"/>
    <d v="2025-03-02T00:00:00"/>
    <m/>
    <s v="dom"/>
    <x v="4"/>
    <x v="1"/>
    <m/>
    <s v="217845718"/>
  </r>
  <r>
    <n v="2178"/>
    <n v="46"/>
    <s v="Masculino"/>
    <s v="Qualidade"/>
    <s v="Inspetor"/>
    <s v="2º Turno"/>
    <x v="1"/>
    <s v="Não"/>
    <x v="2"/>
    <d v="2025-03-03T00:00:00"/>
    <m/>
    <s v="seg"/>
    <x v="4"/>
    <x v="1"/>
    <m/>
    <s v="217845719"/>
  </r>
  <r>
    <n v="2178"/>
    <n v="46"/>
    <s v="Masculino"/>
    <s v="Qualidade"/>
    <s v="Inspetor"/>
    <s v="2º Turno"/>
    <x v="1"/>
    <s v="Não"/>
    <x v="2"/>
    <d v="2025-03-04T00:00:00"/>
    <m/>
    <s v="ter"/>
    <x v="4"/>
    <x v="1"/>
    <m/>
    <s v="217845720"/>
  </r>
  <r>
    <n v="2178"/>
    <n v="46"/>
    <s v="Masculino"/>
    <s v="Qualidade"/>
    <s v="Inspetor"/>
    <s v="2º Turno"/>
    <x v="1"/>
    <s v="Não"/>
    <x v="2"/>
    <d v="2025-03-05T00:00:00"/>
    <m/>
    <s v="qua"/>
    <x v="4"/>
    <x v="1"/>
    <m/>
    <s v="217845721"/>
  </r>
  <r>
    <n v="2178"/>
    <n v="46"/>
    <s v="Masculino"/>
    <s v="Qualidade"/>
    <s v="Inspetor"/>
    <s v="2º Turno"/>
    <x v="1"/>
    <s v="Não"/>
    <x v="2"/>
    <d v="2025-03-06T00:00:00"/>
    <m/>
    <s v="qui"/>
    <x v="4"/>
    <x v="1"/>
    <m/>
    <s v="217845722"/>
  </r>
  <r>
    <n v="2178"/>
    <n v="46"/>
    <s v="Masculino"/>
    <s v="Qualidade"/>
    <s v="Inspetor"/>
    <s v="2º Turno"/>
    <x v="1"/>
    <s v="Não"/>
    <x v="2"/>
    <d v="2025-03-07T00:00:00"/>
    <m/>
    <s v="sex"/>
    <x v="4"/>
    <x v="1"/>
    <m/>
    <s v="217845723"/>
  </r>
  <r>
    <n v="2178"/>
    <n v="46"/>
    <s v="Masculino"/>
    <s v="Qualidade"/>
    <s v="Inspetor"/>
    <s v="2º Turno"/>
    <x v="1"/>
    <s v="Não"/>
    <x v="2"/>
    <d v="2025-03-08T00:00:00"/>
    <m/>
    <s v="sáb"/>
    <x v="4"/>
    <x v="1"/>
    <m/>
    <s v="217845724"/>
  </r>
  <r>
    <n v="2178"/>
    <n v="46"/>
    <s v="Masculino"/>
    <s v="Qualidade"/>
    <s v="Inspetor"/>
    <s v="2º Turno"/>
    <x v="1"/>
    <s v="Não"/>
    <x v="2"/>
    <d v="2025-03-09T00:00:00"/>
    <m/>
    <s v="dom"/>
    <x v="4"/>
    <x v="1"/>
    <m/>
    <s v="217845725"/>
  </r>
  <r>
    <n v="2178"/>
    <n v="46"/>
    <s v="Masculino"/>
    <s v="Qualidade"/>
    <s v="Inspetor"/>
    <s v="2º Turno"/>
    <x v="1"/>
    <s v="Não"/>
    <x v="2"/>
    <d v="2025-03-10T00:00:00"/>
    <m/>
    <s v="seg"/>
    <x v="4"/>
    <x v="1"/>
    <m/>
    <s v="217845726"/>
  </r>
  <r>
    <n v="2178"/>
    <n v="46"/>
    <s v="Masculino"/>
    <s v="Qualidade"/>
    <s v="Inspetor"/>
    <s v="2º Turno"/>
    <x v="1"/>
    <s v="Não"/>
    <x v="2"/>
    <d v="2025-03-11T00:00:00"/>
    <m/>
    <s v="ter"/>
    <x v="4"/>
    <x v="1"/>
    <m/>
    <s v="217845727"/>
  </r>
  <r>
    <n v="2178"/>
    <n v="46"/>
    <s v="Masculino"/>
    <s v="Qualidade"/>
    <s v="Inspetor"/>
    <s v="2º Turno"/>
    <x v="1"/>
    <s v="Não"/>
    <x v="2"/>
    <d v="2025-03-12T00:00:00"/>
    <m/>
    <s v="qua"/>
    <x v="4"/>
    <x v="1"/>
    <m/>
    <s v="217845728"/>
  </r>
  <r>
    <n v="2178"/>
    <n v="46"/>
    <s v="Masculino"/>
    <s v="Qualidade"/>
    <s v="Inspetor"/>
    <s v="2º Turno"/>
    <x v="1"/>
    <s v="Não"/>
    <x v="2"/>
    <d v="2025-03-13T00:00:00"/>
    <m/>
    <s v="qui"/>
    <x v="4"/>
    <x v="1"/>
    <m/>
    <s v="217845729"/>
  </r>
  <r>
    <n v="2178"/>
    <n v="46"/>
    <s v="Masculino"/>
    <s v="Qualidade"/>
    <s v="Inspetor"/>
    <s v="2º Turno"/>
    <x v="1"/>
    <s v="Não"/>
    <x v="2"/>
    <d v="2025-03-14T00:00:00"/>
    <m/>
    <s v="sex"/>
    <x v="4"/>
    <x v="1"/>
    <m/>
    <s v="217845730"/>
  </r>
  <r>
    <n v="2178"/>
    <n v="46"/>
    <s v="Masculino"/>
    <s v="Qualidade"/>
    <s v="Inspetor"/>
    <s v="2º Turno"/>
    <x v="1"/>
    <s v="Não"/>
    <x v="2"/>
    <d v="2025-03-15T00:00:00"/>
    <m/>
    <s v="sáb"/>
    <x v="4"/>
    <x v="1"/>
    <m/>
    <s v="217845731"/>
  </r>
  <r>
    <n v="2178"/>
    <n v="46"/>
    <s v="Masculino"/>
    <s v="Qualidade"/>
    <s v="Inspetor"/>
    <s v="2º Turno"/>
    <x v="1"/>
    <s v="Não"/>
    <x v="2"/>
    <d v="2025-03-16T00:00:00"/>
    <m/>
    <s v="dom"/>
    <x v="4"/>
    <x v="1"/>
    <m/>
    <s v="217845732"/>
  </r>
  <r>
    <n v="2178"/>
    <n v="46"/>
    <s v="Masculino"/>
    <s v="Qualidade"/>
    <s v="Inspetor"/>
    <s v="2º Turno"/>
    <x v="1"/>
    <s v="Não"/>
    <x v="2"/>
    <d v="2025-03-17T00:00:00"/>
    <m/>
    <s v="seg"/>
    <x v="4"/>
    <x v="1"/>
    <m/>
    <s v="217845733"/>
  </r>
  <r>
    <n v="2178"/>
    <n v="46"/>
    <s v="Masculino"/>
    <s v="Qualidade"/>
    <s v="Inspetor"/>
    <s v="2º Turno"/>
    <x v="1"/>
    <s v="Não"/>
    <x v="2"/>
    <d v="2025-03-18T00:00:00"/>
    <m/>
    <s v="ter"/>
    <x v="4"/>
    <x v="1"/>
    <m/>
    <s v="217845734"/>
  </r>
  <r>
    <n v="2178"/>
    <n v="46"/>
    <s v="Masculino"/>
    <s v="Qualidade"/>
    <s v="Inspetor"/>
    <s v="2º Turno"/>
    <x v="1"/>
    <s v="Não"/>
    <x v="2"/>
    <d v="2025-03-19T00:00:00"/>
    <m/>
    <s v="qua"/>
    <x v="4"/>
    <x v="1"/>
    <m/>
    <s v="217845735"/>
  </r>
  <r>
    <n v="2178"/>
    <n v="46"/>
    <s v="Masculino"/>
    <s v="Qualidade"/>
    <s v="Inspetor"/>
    <s v="2º Turno"/>
    <x v="1"/>
    <s v="Não"/>
    <x v="2"/>
    <d v="2025-03-20T00:00:00"/>
    <m/>
    <s v="qui"/>
    <x v="4"/>
    <x v="1"/>
    <m/>
    <s v="217845736"/>
  </r>
  <r>
    <n v="2178"/>
    <n v="46"/>
    <s v="Masculino"/>
    <s v="Qualidade"/>
    <s v="Inspetor"/>
    <s v="2º Turno"/>
    <x v="1"/>
    <s v="Não"/>
    <x v="2"/>
    <d v="2025-03-21T00:00:00"/>
    <m/>
    <s v="sex"/>
    <x v="4"/>
    <x v="1"/>
    <m/>
    <s v="217845737"/>
  </r>
  <r>
    <n v="2178"/>
    <n v="46"/>
    <s v="Masculino"/>
    <s v="Qualidade"/>
    <s v="Inspetor"/>
    <s v="2º Turno"/>
    <x v="1"/>
    <s v="Não"/>
    <x v="2"/>
    <d v="2025-03-22T00:00:00"/>
    <m/>
    <s v="sáb"/>
    <x v="4"/>
    <x v="1"/>
    <m/>
    <s v="217845738"/>
  </r>
  <r>
    <n v="2178"/>
    <n v="46"/>
    <s v="Masculino"/>
    <s v="Qualidade"/>
    <s v="Inspetor"/>
    <s v="2º Turno"/>
    <x v="1"/>
    <s v="Não"/>
    <x v="2"/>
    <d v="2025-03-23T00:00:00"/>
    <m/>
    <s v="dom"/>
    <x v="4"/>
    <x v="1"/>
    <m/>
    <s v="217845739"/>
  </r>
  <r>
    <n v="2178"/>
    <n v="46"/>
    <s v="Masculino"/>
    <s v="Qualidade"/>
    <s v="Inspetor"/>
    <s v="2º Turno"/>
    <x v="1"/>
    <s v="Não"/>
    <x v="2"/>
    <d v="2025-03-24T00:00:00"/>
    <m/>
    <s v="seg"/>
    <x v="4"/>
    <x v="1"/>
    <m/>
    <s v="217845740"/>
  </r>
  <r>
    <n v="2178"/>
    <n v="46"/>
    <s v="Masculino"/>
    <s v="Qualidade"/>
    <s v="Inspetor"/>
    <s v="2º Turno"/>
    <x v="1"/>
    <s v="Não"/>
    <x v="2"/>
    <d v="2025-03-25T00:00:00"/>
    <m/>
    <s v="ter"/>
    <x v="4"/>
    <x v="1"/>
    <m/>
    <s v="217845741"/>
  </r>
  <r>
    <n v="2178"/>
    <n v="46"/>
    <s v="Masculino"/>
    <s v="Qualidade"/>
    <s v="Inspetor"/>
    <s v="2º Turno"/>
    <x v="1"/>
    <s v="Não"/>
    <x v="2"/>
    <d v="2025-03-26T00:00:00"/>
    <m/>
    <s v="qua"/>
    <x v="4"/>
    <x v="1"/>
    <m/>
    <s v="217845742"/>
  </r>
  <r>
    <n v="2178"/>
    <n v="46"/>
    <s v="Masculino"/>
    <s v="Qualidade"/>
    <s v="Inspetor"/>
    <s v="2º Turno"/>
    <x v="1"/>
    <s v="Não"/>
    <x v="2"/>
    <d v="2025-03-27T00:00:00"/>
    <m/>
    <s v="qui"/>
    <x v="4"/>
    <x v="1"/>
    <m/>
    <s v="217845743"/>
  </r>
  <r>
    <n v="2178"/>
    <n v="46"/>
    <s v="Masculino"/>
    <s v="Qualidade"/>
    <s v="Inspetor"/>
    <s v="2º Turno"/>
    <x v="1"/>
    <s v="Não"/>
    <x v="2"/>
    <d v="2025-03-28T00:00:00"/>
    <m/>
    <s v="sex"/>
    <x v="4"/>
    <x v="1"/>
    <m/>
    <s v="217845744"/>
  </r>
  <r>
    <n v="2178"/>
    <n v="46"/>
    <s v="Masculino"/>
    <s v="Qualidade"/>
    <s v="Inspetor"/>
    <s v="2º Turno"/>
    <x v="1"/>
    <s v="Não"/>
    <x v="2"/>
    <d v="2025-03-29T00:00:00"/>
    <m/>
    <s v="sáb"/>
    <x v="4"/>
    <x v="1"/>
    <m/>
    <s v="217845745"/>
  </r>
  <r>
    <n v="2178"/>
    <n v="46"/>
    <s v="Masculino"/>
    <s v="Qualidade"/>
    <s v="Inspetor"/>
    <s v="2º Turno"/>
    <x v="1"/>
    <s v="Não"/>
    <x v="2"/>
    <d v="2025-03-30T00:00:00"/>
    <m/>
    <s v="dom"/>
    <x v="4"/>
    <x v="1"/>
    <m/>
    <s v="217845746"/>
  </r>
  <r>
    <n v="2178"/>
    <n v="46"/>
    <s v="Masculino"/>
    <s v="Qualidade"/>
    <s v="Inspetor"/>
    <s v="2º Turno"/>
    <x v="1"/>
    <s v="Não"/>
    <x v="2"/>
    <d v="2025-03-31T00:00:00"/>
    <m/>
    <s v="seg"/>
    <x v="4"/>
    <x v="1"/>
    <m/>
    <s v="217845747"/>
  </r>
  <r>
    <n v="2178"/>
    <n v="46"/>
    <s v="Masculino"/>
    <s v="Qualidade"/>
    <s v="Inspetor"/>
    <s v="2º Turno"/>
    <x v="1"/>
    <s v="Não"/>
    <x v="2"/>
    <d v="2025-04-01T00:00:00"/>
    <m/>
    <s v="ter"/>
    <x v="2"/>
    <x v="1"/>
    <m/>
    <s v="217845748"/>
  </r>
  <r>
    <n v="2178"/>
    <n v="46"/>
    <s v="Masculino"/>
    <s v="Qualidade"/>
    <s v="Inspetor"/>
    <s v="2º Turno"/>
    <x v="1"/>
    <s v="Não"/>
    <x v="2"/>
    <d v="2025-04-02T00:00:00"/>
    <m/>
    <s v="qua"/>
    <x v="2"/>
    <x v="1"/>
    <m/>
    <s v="217845749"/>
  </r>
  <r>
    <n v="2178"/>
    <n v="46"/>
    <s v="Masculino"/>
    <s v="Qualidade"/>
    <s v="Inspetor"/>
    <s v="2º Turno"/>
    <x v="1"/>
    <s v="Não"/>
    <x v="2"/>
    <d v="2025-04-03T00:00:00"/>
    <m/>
    <s v="qui"/>
    <x v="2"/>
    <x v="1"/>
    <m/>
    <s v="217845750"/>
  </r>
  <r>
    <n v="2178"/>
    <n v="46"/>
    <s v="Masculino"/>
    <s v="Qualidade"/>
    <s v="Inspetor"/>
    <s v="2º Turno"/>
    <x v="1"/>
    <s v="Não"/>
    <x v="2"/>
    <d v="2025-04-04T00:00:00"/>
    <m/>
    <s v="sex"/>
    <x v="2"/>
    <x v="1"/>
    <m/>
    <s v="217845751"/>
  </r>
  <r>
    <n v="2178"/>
    <n v="46"/>
    <s v="Masculino"/>
    <s v="Qualidade"/>
    <s v="Inspetor"/>
    <s v="2º Turno"/>
    <x v="1"/>
    <s v="Não"/>
    <x v="2"/>
    <d v="2025-04-05T00:00:00"/>
    <m/>
    <s v="sáb"/>
    <x v="2"/>
    <x v="1"/>
    <m/>
    <s v="217845752"/>
  </r>
  <r>
    <n v="2178"/>
    <n v="46"/>
    <s v="Masculino"/>
    <s v="Qualidade"/>
    <s v="Inspetor"/>
    <s v="2º Turno"/>
    <x v="1"/>
    <s v="Não"/>
    <x v="2"/>
    <d v="2025-04-06T00:00:00"/>
    <m/>
    <s v="dom"/>
    <x v="2"/>
    <x v="1"/>
    <m/>
    <s v="217845753"/>
  </r>
  <r>
    <n v="2178"/>
    <n v="46"/>
    <s v="Masculino"/>
    <s v="Qualidade"/>
    <s v="Inspetor"/>
    <s v="2º Turno"/>
    <x v="1"/>
    <s v="Não"/>
    <x v="2"/>
    <d v="2025-04-07T00:00:00"/>
    <m/>
    <s v="seg"/>
    <x v="2"/>
    <x v="1"/>
    <m/>
    <s v="217845754"/>
  </r>
  <r>
    <n v="2178"/>
    <n v="46"/>
    <s v="Masculino"/>
    <s v="Qualidade"/>
    <s v="Inspetor"/>
    <s v="2º Turno"/>
    <x v="1"/>
    <s v="Não"/>
    <x v="2"/>
    <d v="2025-04-08T00:00:00"/>
    <m/>
    <s v="ter"/>
    <x v="2"/>
    <x v="1"/>
    <m/>
    <s v="217845755"/>
  </r>
  <r>
    <n v="2178"/>
    <n v="46"/>
    <s v="Masculino"/>
    <s v="Qualidade"/>
    <s v="Inspetor"/>
    <s v="2º Turno"/>
    <x v="1"/>
    <s v="Não"/>
    <x v="2"/>
    <d v="2025-04-09T00:00:00"/>
    <m/>
    <s v="qua"/>
    <x v="2"/>
    <x v="1"/>
    <m/>
    <s v="217845756"/>
  </r>
  <r>
    <n v="2178"/>
    <n v="46"/>
    <s v="Masculino"/>
    <s v="Qualidade"/>
    <s v="Inspetor"/>
    <s v="2º Turno"/>
    <x v="1"/>
    <s v="Não"/>
    <x v="2"/>
    <d v="2025-04-10T00:00:00"/>
    <m/>
    <s v="qui"/>
    <x v="2"/>
    <x v="1"/>
    <m/>
    <s v="217845757"/>
  </r>
  <r>
    <n v="2178"/>
    <n v="46"/>
    <s v="Masculino"/>
    <s v="Qualidade"/>
    <s v="Inspetor"/>
    <s v="2º Turno"/>
    <x v="1"/>
    <s v="Não"/>
    <x v="2"/>
    <d v="2025-04-11T00:00:00"/>
    <m/>
    <s v="sex"/>
    <x v="2"/>
    <x v="1"/>
    <m/>
    <s v="217845758"/>
  </r>
  <r>
    <n v="2178"/>
    <n v="46"/>
    <s v="Masculino"/>
    <s v="Qualidade"/>
    <s v="Inspetor"/>
    <s v="2º Turno"/>
    <x v="1"/>
    <s v="Não"/>
    <x v="2"/>
    <d v="2025-04-12T00:00:00"/>
    <m/>
    <s v="sáb"/>
    <x v="2"/>
    <x v="1"/>
    <m/>
    <s v="217845759"/>
  </r>
  <r>
    <n v="2178"/>
    <n v="46"/>
    <s v="Masculino"/>
    <s v="Qualidade"/>
    <s v="Inspetor"/>
    <s v="2º Turno"/>
    <x v="1"/>
    <s v="Não"/>
    <x v="2"/>
    <d v="2025-04-13T00:00:00"/>
    <m/>
    <s v="dom"/>
    <x v="2"/>
    <x v="1"/>
    <m/>
    <s v="217845760"/>
  </r>
  <r>
    <n v="2178"/>
    <n v="46"/>
    <s v="Masculino"/>
    <s v="Qualidade"/>
    <s v="Inspetor"/>
    <s v="2º Turno"/>
    <x v="1"/>
    <s v="Não"/>
    <x v="2"/>
    <d v="2025-04-14T00:00:00"/>
    <m/>
    <s v="seg"/>
    <x v="2"/>
    <x v="1"/>
    <m/>
    <s v="217845761"/>
  </r>
  <r>
    <n v="2178"/>
    <n v="46"/>
    <s v="Masculino"/>
    <s v="Qualidade"/>
    <s v="Inspetor"/>
    <s v="2º Turno"/>
    <x v="1"/>
    <s v="Não"/>
    <x v="2"/>
    <d v="2025-04-15T00:00:00"/>
    <m/>
    <s v="ter"/>
    <x v="2"/>
    <x v="1"/>
    <m/>
    <s v="217845762"/>
  </r>
  <r>
    <n v="2178"/>
    <n v="46"/>
    <s v="Masculino"/>
    <s v="Qualidade"/>
    <s v="Inspetor"/>
    <s v="2º Turno"/>
    <x v="1"/>
    <s v="Não"/>
    <x v="2"/>
    <d v="2025-04-16T00:00:00"/>
    <m/>
    <s v="qua"/>
    <x v="2"/>
    <x v="1"/>
    <m/>
    <s v="217845763"/>
  </r>
  <r>
    <n v="2178"/>
    <n v="46"/>
    <s v="Masculino"/>
    <s v="Qualidade"/>
    <s v="Inspetor"/>
    <s v="2º Turno"/>
    <x v="1"/>
    <s v="Não"/>
    <x v="2"/>
    <d v="2025-04-17T00:00:00"/>
    <m/>
    <s v="qui"/>
    <x v="2"/>
    <x v="1"/>
    <m/>
    <s v="217845764"/>
  </r>
  <r>
    <n v="2178"/>
    <n v="46"/>
    <s v="Masculino"/>
    <s v="Qualidade"/>
    <s v="Inspetor"/>
    <s v="2º Turno"/>
    <x v="1"/>
    <s v="Não"/>
    <x v="2"/>
    <d v="2025-04-18T00:00:00"/>
    <m/>
    <s v="sex"/>
    <x v="2"/>
    <x v="1"/>
    <m/>
    <s v="217845765"/>
  </r>
  <r>
    <n v="2178"/>
    <n v="46"/>
    <s v="Masculino"/>
    <s v="Qualidade"/>
    <s v="Inspetor"/>
    <s v="2º Turno"/>
    <x v="1"/>
    <s v="Não"/>
    <x v="2"/>
    <d v="2025-04-19T00:00:00"/>
    <m/>
    <s v="sáb"/>
    <x v="2"/>
    <x v="1"/>
    <m/>
    <s v="217845766"/>
  </r>
  <r>
    <n v="2178"/>
    <n v="46"/>
    <s v="Masculino"/>
    <s v="Qualidade"/>
    <s v="Inspetor"/>
    <s v="2º Turno"/>
    <x v="1"/>
    <s v="Não"/>
    <x v="2"/>
    <d v="2025-04-20T00:00:00"/>
    <m/>
    <s v="dom"/>
    <x v="2"/>
    <x v="1"/>
    <m/>
    <s v="217845767"/>
  </r>
  <r>
    <n v="2178"/>
    <n v="46"/>
    <s v="Masculino"/>
    <s v="Qualidade"/>
    <s v="Inspetor"/>
    <s v="2º Turno"/>
    <x v="1"/>
    <s v="Não"/>
    <x v="2"/>
    <d v="2025-04-21T00:00:00"/>
    <m/>
    <s v="seg"/>
    <x v="2"/>
    <x v="1"/>
    <m/>
    <s v="217845768"/>
  </r>
  <r>
    <n v="2178"/>
    <n v="46"/>
    <s v="Masculino"/>
    <s v="Qualidade"/>
    <s v="Inspetor"/>
    <s v="2º Turno"/>
    <x v="1"/>
    <s v="Não"/>
    <x v="2"/>
    <d v="2025-04-22T00:00:00"/>
    <m/>
    <s v="ter"/>
    <x v="2"/>
    <x v="1"/>
    <m/>
    <s v="217845769"/>
  </r>
  <r>
    <n v="2178"/>
    <n v="46"/>
    <s v="Masculino"/>
    <s v="Qualidade"/>
    <s v="Inspetor"/>
    <s v="2º Turno"/>
    <x v="1"/>
    <s v="Não"/>
    <x v="2"/>
    <d v="2025-04-23T00:00:00"/>
    <m/>
    <s v="qua"/>
    <x v="2"/>
    <x v="1"/>
    <m/>
    <s v="217845770"/>
  </r>
  <r>
    <n v="2178"/>
    <n v="46"/>
    <s v="Masculino"/>
    <s v="Qualidade"/>
    <s v="Inspetor"/>
    <s v="2º Turno"/>
    <x v="1"/>
    <s v="Não"/>
    <x v="2"/>
    <d v="2025-04-24T00:00:00"/>
    <m/>
    <s v="qui"/>
    <x v="2"/>
    <x v="1"/>
    <m/>
    <s v="217845771"/>
  </r>
  <r>
    <n v="2178"/>
    <n v="46"/>
    <s v="Masculino"/>
    <s v="Qualidade"/>
    <s v="Inspetor"/>
    <s v="2º Turno"/>
    <x v="1"/>
    <s v="Não"/>
    <x v="2"/>
    <d v="2025-04-25T00:00:00"/>
    <m/>
    <s v="sex"/>
    <x v="2"/>
    <x v="1"/>
    <m/>
    <s v="217845772"/>
  </r>
  <r>
    <n v="2178"/>
    <n v="46"/>
    <s v="Masculino"/>
    <s v="Qualidade"/>
    <s v="Inspetor"/>
    <s v="2º Turno"/>
    <x v="1"/>
    <s v="Não"/>
    <x v="2"/>
    <d v="2025-04-26T00:00:00"/>
    <m/>
    <s v="sáb"/>
    <x v="2"/>
    <x v="1"/>
    <m/>
    <s v="217845773"/>
  </r>
  <r>
    <n v="2178"/>
    <n v="46"/>
    <s v="Masculino"/>
    <s v="Qualidade"/>
    <s v="Inspetor"/>
    <s v="2º Turno"/>
    <x v="1"/>
    <s v="Não"/>
    <x v="2"/>
    <d v="2025-04-27T00:00:00"/>
    <m/>
    <s v="dom"/>
    <x v="2"/>
    <x v="1"/>
    <m/>
    <s v="217845774"/>
  </r>
  <r>
    <n v="2178"/>
    <n v="46"/>
    <s v="Masculino"/>
    <s v="Qualidade"/>
    <s v="Inspetor"/>
    <s v="2º Turno"/>
    <x v="1"/>
    <s v="Não"/>
    <x v="2"/>
    <d v="2025-04-28T00:00:00"/>
    <m/>
    <s v="seg"/>
    <x v="2"/>
    <x v="1"/>
    <m/>
    <s v="217845775"/>
  </r>
  <r>
    <n v="2178"/>
    <n v="46"/>
    <s v="Masculino"/>
    <s v="Qualidade"/>
    <s v="Inspetor"/>
    <s v="2º Turno"/>
    <x v="1"/>
    <s v="Não"/>
    <x v="2"/>
    <d v="2025-04-29T00:00:00"/>
    <m/>
    <s v="ter"/>
    <x v="2"/>
    <x v="1"/>
    <m/>
    <s v="217845776"/>
  </r>
  <r>
    <n v="2178"/>
    <n v="46"/>
    <s v="Masculino"/>
    <s v="Qualidade"/>
    <s v="Inspetor"/>
    <s v="2º Turno"/>
    <x v="1"/>
    <s v="Não"/>
    <x v="2"/>
    <d v="2025-04-30T00:00:00"/>
    <m/>
    <s v="qua"/>
    <x v="2"/>
    <x v="1"/>
    <m/>
    <s v="217845777"/>
  </r>
  <r>
    <n v="2178"/>
    <n v="46"/>
    <s v="Masculino"/>
    <s v="Qualidade"/>
    <s v="Inspetor"/>
    <s v="2º Turno"/>
    <x v="1"/>
    <s v="Não"/>
    <x v="2"/>
    <d v="2025-05-01T00:00:00"/>
    <m/>
    <s v="qui"/>
    <x v="0"/>
    <x v="1"/>
    <m/>
    <s v="217845778"/>
  </r>
  <r>
    <n v="2178"/>
    <n v="46"/>
    <s v="Masculino"/>
    <s v="Qualidade"/>
    <s v="Inspetor"/>
    <s v="2º Turno"/>
    <x v="1"/>
    <s v="Não"/>
    <x v="2"/>
    <d v="2025-05-02T00:00:00"/>
    <m/>
    <s v="sex"/>
    <x v="0"/>
    <x v="1"/>
    <m/>
    <s v="217845779"/>
  </r>
  <r>
    <n v="2178"/>
    <n v="46"/>
    <s v="Masculino"/>
    <s v="Qualidade"/>
    <s v="Inspetor"/>
    <s v="2º Turno"/>
    <x v="1"/>
    <s v="Não"/>
    <x v="2"/>
    <d v="2025-05-03T00:00:00"/>
    <m/>
    <s v="sáb"/>
    <x v="0"/>
    <x v="1"/>
    <m/>
    <s v="217845780"/>
  </r>
  <r>
    <n v="2178"/>
    <n v="46"/>
    <s v="Masculino"/>
    <s v="Qualidade"/>
    <s v="Inspetor"/>
    <s v="2º Turno"/>
    <x v="1"/>
    <s v="Não"/>
    <x v="2"/>
    <d v="2025-05-04T00:00:00"/>
    <m/>
    <s v="dom"/>
    <x v="0"/>
    <x v="1"/>
    <m/>
    <s v="217845781"/>
  </r>
  <r>
    <n v="2178"/>
    <n v="46"/>
    <s v="Masculino"/>
    <s v="Qualidade"/>
    <s v="Inspetor"/>
    <s v="2º Turno"/>
    <x v="1"/>
    <s v="Não"/>
    <x v="2"/>
    <d v="2025-05-05T00:00:00"/>
    <m/>
    <s v="seg"/>
    <x v="0"/>
    <x v="1"/>
    <m/>
    <s v="217845782"/>
  </r>
  <r>
    <n v="2178"/>
    <n v="46"/>
    <s v="Masculino"/>
    <s v="Qualidade"/>
    <s v="Inspetor"/>
    <s v="2º Turno"/>
    <x v="1"/>
    <s v="Não"/>
    <x v="2"/>
    <d v="2025-05-06T00:00:00"/>
    <m/>
    <s v="ter"/>
    <x v="0"/>
    <x v="1"/>
    <m/>
    <s v="217845783"/>
  </r>
  <r>
    <n v="2178"/>
    <n v="46"/>
    <s v="Masculino"/>
    <s v="Qualidade"/>
    <s v="Inspetor"/>
    <s v="2º Turno"/>
    <x v="1"/>
    <s v="Não"/>
    <x v="2"/>
    <d v="2025-05-07T00:00:00"/>
    <m/>
    <s v="qua"/>
    <x v="0"/>
    <x v="1"/>
    <m/>
    <s v="217845784"/>
  </r>
  <r>
    <n v="2178"/>
    <n v="46"/>
    <s v="Masculino"/>
    <s v="Qualidade"/>
    <s v="Inspetor"/>
    <s v="2º Turno"/>
    <x v="1"/>
    <s v="Não"/>
    <x v="2"/>
    <d v="2025-05-08T00:00:00"/>
    <m/>
    <s v="qui"/>
    <x v="0"/>
    <x v="1"/>
    <m/>
    <s v="217845785"/>
  </r>
  <r>
    <n v="2178"/>
    <n v="46"/>
    <s v="Masculino"/>
    <s v="Qualidade"/>
    <s v="Inspetor"/>
    <s v="2º Turno"/>
    <x v="1"/>
    <s v="Não"/>
    <x v="2"/>
    <d v="2025-05-09T00:00:00"/>
    <m/>
    <s v="sex"/>
    <x v="0"/>
    <x v="1"/>
    <m/>
    <s v="217845786"/>
  </r>
  <r>
    <n v="2178"/>
    <n v="46"/>
    <s v="Masculino"/>
    <s v="Qualidade"/>
    <s v="Inspetor"/>
    <s v="2º Turno"/>
    <x v="1"/>
    <s v="Não"/>
    <x v="2"/>
    <d v="2025-05-10T00:00:00"/>
    <m/>
    <s v="sáb"/>
    <x v="0"/>
    <x v="1"/>
    <m/>
    <s v="217845787"/>
  </r>
  <r>
    <n v="2178"/>
    <n v="46"/>
    <s v="Masculino"/>
    <s v="Qualidade"/>
    <s v="Inspetor"/>
    <s v="2º Turno"/>
    <x v="1"/>
    <s v="Não"/>
    <x v="2"/>
    <d v="2025-05-11T00:00:00"/>
    <m/>
    <s v="dom"/>
    <x v="0"/>
    <x v="1"/>
    <m/>
    <s v="217845788"/>
  </r>
  <r>
    <n v="2178"/>
    <n v="46"/>
    <s v="Masculino"/>
    <s v="Qualidade"/>
    <s v="Inspetor"/>
    <s v="2º Turno"/>
    <x v="1"/>
    <s v="Não"/>
    <x v="2"/>
    <d v="2025-05-12T00:00:00"/>
    <m/>
    <s v="seg"/>
    <x v="0"/>
    <x v="1"/>
    <m/>
    <s v="217845789"/>
  </r>
  <r>
    <n v="2178"/>
    <n v="46"/>
    <s v="Masculino"/>
    <s v="Qualidade"/>
    <s v="Inspetor"/>
    <s v="2º Turno"/>
    <x v="1"/>
    <s v="Não"/>
    <x v="2"/>
    <d v="2025-05-13T00:00:00"/>
    <m/>
    <s v="ter"/>
    <x v="0"/>
    <x v="1"/>
    <m/>
    <s v="217845790"/>
  </r>
  <r>
    <n v="2178"/>
    <n v="46"/>
    <s v="Masculino"/>
    <s v="Qualidade"/>
    <s v="Inspetor"/>
    <s v="2º Turno"/>
    <x v="1"/>
    <s v="Não"/>
    <x v="2"/>
    <d v="2025-05-14T00:00:00"/>
    <m/>
    <s v="qua"/>
    <x v="0"/>
    <x v="1"/>
    <m/>
    <s v="217845791"/>
  </r>
  <r>
    <n v="2178"/>
    <n v="46"/>
    <s v="Masculino"/>
    <s v="Qualidade"/>
    <s v="Inspetor"/>
    <s v="2º Turno"/>
    <x v="1"/>
    <s v="Não"/>
    <x v="2"/>
    <d v="2025-05-15T00:00:00"/>
    <m/>
    <s v="qui"/>
    <x v="0"/>
    <x v="1"/>
    <m/>
    <s v="217845792"/>
  </r>
  <r>
    <n v="2178"/>
    <n v="46"/>
    <s v="Masculino"/>
    <s v="Qualidade"/>
    <s v="Inspetor"/>
    <s v="2º Turno"/>
    <x v="1"/>
    <s v="Não"/>
    <x v="2"/>
    <d v="2025-05-16T00:00:00"/>
    <m/>
    <s v="sex"/>
    <x v="0"/>
    <x v="1"/>
    <m/>
    <s v="217845793"/>
  </r>
  <r>
    <n v="2178"/>
    <n v="46"/>
    <s v="Masculino"/>
    <s v="Qualidade"/>
    <s v="Inspetor"/>
    <s v="2º Turno"/>
    <x v="1"/>
    <s v="Não"/>
    <x v="2"/>
    <d v="2025-05-17T00:00:00"/>
    <m/>
    <s v="sáb"/>
    <x v="0"/>
    <x v="1"/>
    <m/>
    <s v="217845794"/>
  </r>
  <r>
    <n v="1261"/>
    <n v="47"/>
    <s v="Masculino"/>
    <s v="Logistica"/>
    <s v="Operador"/>
    <s v="1º Turno"/>
    <x v="1"/>
    <s v="Não"/>
    <x v="0"/>
    <d v="2025-02-06T00:00:00"/>
    <m/>
    <s v="qui"/>
    <x v="3"/>
    <x v="1"/>
    <m/>
    <s v="126145694"/>
  </r>
  <r>
    <n v="1261"/>
    <n v="47"/>
    <s v="Masculino"/>
    <s v="Logistica"/>
    <s v="Operador"/>
    <s v="1º Turno"/>
    <x v="1"/>
    <s v="Não"/>
    <x v="0"/>
    <d v="2025-02-07T00:00:00"/>
    <m/>
    <s v="sex"/>
    <x v="3"/>
    <x v="1"/>
    <m/>
    <s v="126145695"/>
  </r>
  <r>
    <n v="1261"/>
    <n v="47"/>
    <s v="Masculino"/>
    <s v="Logistica"/>
    <s v="Operador"/>
    <s v="1º Turno"/>
    <x v="1"/>
    <s v="Não"/>
    <x v="0"/>
    <d v="2025-02-08T00:00:00"/>
    <m/>
    <s v="sáb"/>
    <x v="3"/>
    <x v="1"/>
    <m/>
    <s v="126145696"/>
  </r>
  <r>
    <n v="1261"/>
    <n v="47"/>
    <s v="Masculino"/>
    <s v="Logistica"/>
    <s v="Operador"/>
    <s v="1º Turno"/>
    <x v="1"/>
    <s v="Não"/>
    <x v="0"/>
    <d v="2025-02-09T00:00:00"/>
    <m/>
    <s v="dom"/>
    <x v="3"/>
    <x v="1"/>
    <m/>
    <s v="126145697"/>
  </r>
  <r>
    <n v="1261"/>
    <n v="47"/>
    <s v="Masculino"/>
    <s v="Logistica"/>
    <s v="Operador"/>
    <s v="1º Turno"/>
    <x v="1"/>
    <s v="Não"/>
    <x v="0"/>
    <d v="2025-02-10T00:00:00"/>
    <m/>
    <s v="seg"/>
    <x v="3"/>
    <x v="1"/>
    <m/>
    <s v="126145698"/>
  </r>
  <r>
    <n v="1261"/>
    <n v="47"/>
    <s v="Masculino"/>
    <s v="Logistica"/>
    <s v="Operador"/>
    <s v="1º Turno"/>
    <x v="1"/>
    <s v="Não"/>
    <x v="0"/>
    <d v="2025-02-11T00:00:00"/>
    <m/>
    <s v="ter"/>
    <x v="3"/>
    <x v="1"/>
    <m/>
    <s v="126145699"/>
  </r>
  <r>
    <n v="1261"/>
    <n v="47"/>
    <s v="Masculino"/>
    <s v="Logistica"/>
    <s v="Operador"/>
    <s v="1º Turno"/>
    <x v="1"/>
    <s v="Não"/>
    <x v="0"/>
    <d v="2025-02-12T00:00:00"/>
    <m/>
    <s v="qua"/>
    <x v="3"/>
    <x v="1"/>
    <m/>
    <s v="126145700"/>
  </r>
  <r>
    <n v="1261"/>
    <n v="47"/>
    <s v="Masculino"/>
    <s v="Logistica"/>
    <s v="Operador"/>
    <s v="1º Turno"/>
    <x v="1"/>
    <s v="Não"/>
    <x v="0"/>
    <d v="2025-02-13T00:00:00"/>
    <m/>
    <s v="qui"/>
    <x v="3"/>
    <x v="1"/>
    <m/>
    <s v="126145701"/>
  </r>
  <r>
    <n v="1261"/>
    <n v="47"/>
    <s v="Masculino"/>
    <s v="Logistica"/>
    <s v="Operador"/>
    <s v="1º Turno"/>
    <x v="1"/>
    <s v="Não"/>
    <x v="0"/>
    <d v="2025-02-14T00:00:00"/>
    <m/>
    <s v="sex"/>
    <x v="3"/>
    <x v="1"/>
    <m/>
    <s v="126145702"/>
  </r>
  <r>
    <n v="1261"/>
    <n v="47"/>
    <s v="Masculino"/>
    <s v="Logistica"/>
    <s v="Operador"/>
    <s v="1º Turno"/>
    <x v="1"/>
    <s v="Não"/>
    <x v="0"/>
    <d v="2025-02-15T00:00:00"/>
    <m/>
    <s v="sáb"/>
    <x v="3"/>
    <x v="1"/>
    <m/>
    <s v="126145703"/>
  </r>
  <r>
    <n v="1261"/>
    <n v="47"/>
    <s v="Masculino"/>
    <s v="Logistica"/>
    <s v="Operador"/>
    <s v="1º Turno"/>
    <x v="1"/>
    <s v="Não"/>
    <x v="0"/>
    <d v="2025-02-16T00:00:00"/>
    <m/>
    <s v="dom"/>
    <x v="3"/>
    <x v="1"/>
    <m/>
    <s v="126145704"/>
  </r>
  <r>
    <n v="1261"/>
    <n v="47"/>
    <s v="Masculino"/>
    <s v="Logistica"/>
    <s v="Operador"/>
    <s v="1º Turno"/>
    <x v="1"/>
    <s v="Não"/>
    <x v="0"/>
    <d v="2025-02-17T00:00:00"/>
    <m/>
    <s v="seg"/>
    <x v="3"/>
    <x v="1"/>
    <m/>
    <s v="126145705"/>
  </r>
  <r>
    <n v="1261"/>
    <n v="47"/>
    <s v="Masculino"/>
    <s v="Logistica"/>
    <s v="Operador"/>
    <s v="1º Turno"/>
    <x v="1"/>
    <s v="Não"/>
    <x v="0"/>
    <d v="2025-02-18T00:00:00"/>
    <m/>
    <s v="ter"/>
    <x v="3"/>
    <x v="1"/>
    <m/>
    <s v="126145706"/>
  </r>
  <r>
    <n v="1261"/>
    <n v="47"/>
    <s v="Masculino"/>
    <s v="Logistica"/>
    <s v="Operador"/>
    <s v="1º Turno"/>
    <x v="1"/>
    <s v="Não"/>
    <x v="0"/>
    <d v="2025-02-19T00:00:00"/>
    <m/>
    <s v="qua"/>
    <x v="3"/>
    <x v="1"/>
    <m/>
    <s v="126145707"/>
  </r>
  <r>
    <n v="1261"/>
    <n v="47"/>
    <s v="Masculino"/>
    <s v="Logistica"/>
    <s v="Operador"/>
    <s v="1º Turno"/>
    <x v="1"/>
    <s v="Não"/>
    <x v="0"/>
    <d v="2025-02-20T00:00:00"/>
    <m/>
    <s v="qui"/>
    <x v="3"/>
    <x v="1"/>
    <m/>
    <s v="126145708"/>
  </r>
  <r>
    <n v="1261"/>
    <n v="47"/>
    <s v="Masculino"/>
    <s v="Logistica"/>
    <s v="Operador"/>
    <s v="1º Turno"/>
    <x v="1"/>
    <s v="Não"/>
    <x v="0"/>
    <d v="2025-02-21T00:00:00"/>
    <m/>
    <s v="sex"/>
    <x v="3"/>
    <x v="1"/>
    <m/>
    <s v="126145709"/>
  </r>
  <r>
    <n v="1261"/>
    <n v="47"/>
    <s v="Masculino"/>
    <s v="Logistica"/>
    <s v="Operador"/>
    <s v="1º Turno"/>
    <x v="1"/>
    <s v="Não"/>
    <x v="0"/>
    <d v="2025-02-22T00:00:00"/>
    <m/>
    <s v="sáb"/>
    <x v="3"/>
    <x v="1"/>
    <m/>
    <s v="126145710"/>
  </r>
  <r>
    <n v="1261"/>
    <n v="47"/>
    <s v="Masculino"/>
    <s v="Logistica"/>
    <s v="Operador"/>
    <s v="1º Turno"/>
    <x v="1"/>
    <s v="Não"/>
    <x v="0"/>
    <d v="2025-02-23T00:00:00"/>
    <m/>
    <s v="dom"/>
    <x v="3"/>
    <x v="1"/>
    <m/>
    <s v="126145711"/>
  </r>
  <r>
    <n v="1261"/>
    <n v="47"/>
    <s v="Masculino"/>
    <s v="Logistica"/>
    <s v="Operador"/>
    <s v="1º Turno"/>
    <x v="1"/>
    <s v="Não"/>
    <x v="0"/>
    <d v="2025-02-24T00:00:00"/>
    <m/>
    <s v="seg"/>
    <x v="3"/>
    <x v="1"/>
    <m/>
    <s v="126145712"/>
  </r>
  <r>
    <n v="1261"/>
    <n v="47"/>
    <s v="Masculino"/>
    <s v="Logistica"/>
    <s v="Operador"/>
    <s v="1º Turno"/>
    <x v="1"/>
    <s v="Não"/>
    <x v="0"/>
    <d v="2025-02-25T00:00:00"/>
    <m/>
    <s v="ter"/>
    <x v="3"/>
    <x v="1"/>
    <m/>
    <s v="126145713"/>
  </r>
  <r>
    <n v="1261"/>
    <n v="47"/>
    <s v="Masculino"/>
    <s v="Logistica"/>
    <s v="Operador"/>
    <s v="1º Turno"/>
    <x v="1"/>
    <s v="Não"/>
    <x v="0"/>
    <d v="2025-02-26T00:00:00"/>
    <m/>
    <s v="qua"/>
    <x v="3"/>
    <x v="1"/>
    <m/>
    <s v="126145714"/>
  </r>
  <r>
    <n v="1261"/>
    <n v="47"/>
    <s v="Masculino"/>
    <s v="Logistica"/>
    <s v="Operador"/>
    <s v="1º Turno"/>
    <x v="1"/>
    <s v="Não"/>
    <x v="0"/>
    <d v="2025-02-27T00:00:00"/>
    <m/>
    <s v="qui"/>
    <x v="3"/>
    <x v="1"/>
    <m/>
    <s v="126145715"/>
  </r>
  <r>
    <n v="1261"/>
    <n v="47"/>
    <s v="Masculino"/>
    <s v="Logistica"/>
    <s v="Operador"/>
    <s v="1º Turno"/>
    <x v="1"/>
    <s v="Não"/>
    <x v="0"/>
    <d v="2025-02-28T00:00:00"/>
    <m/>
    <s v="sex"/>
    <x v="3"/>
    <x v="1"/>
    <m/>
    <s v="126145716"/>
  </r>
  <r>
    <n v="1261"/>
    <n v="47"/>
    <s v="Masculino"/>
    <s v="Logistica"/>
    <s v="Operador"/>
    <s v="1º Turno"/>
    <x v="1"/>
    <s v="Não"/>
    <x v="0"/>
    <d v="2025-03-01T00:00:00"/>
    <m/>
    <s v="sáb"/>
    <x v="4"/>
    <x v="1"/>
    <m/>
    <s v="126145717"/>
  </r>
  <r>
    <n v="1261"/>
    <n v="47"/>
    <s v="Masculino"/>
    <s v="Logistica"/>
    <s v="Operador"/>
    <s v="1º Turno"/>
    <x v="1"/>
    <s v="Não"/>
    <x v="0"/>
    <d v="2025-03-02T00:00:00"/>
    <m/>
    <s v="dom"/>
    <x v="4"/>
    <x v="1"/>
    <m/>
    <s v="126145718"/>
  </r>
  <r>
    <n v="1261"/>
    <n v="47"/>
    <s v="Masculino"/>
    <s v="Logistica"/>
    <s v="Operador"/>
    <s v="1º Turno"/>
    <x v="1"/>
    <s v="Não"/>
    <x v="0"/>
    <d v="2025-03-03T00:00:00"/>
    <m/>
    <s v="seg"/>
    <x v="4"/>
    <x v="1"/>
    <m/>
    <s v="126145719"/>
  </r>
  <r>
    <n v="1261"/>
    <n v="47"/>
    <s v="Masculino"/>
    <s v="Logistica"/>
    <s v="Operador"/>
    <s v="1º Turno"/>
    <x v="1"/>
    <s v="Não"/>
    <x v="0"/>
    <d v="2025-03-04T00:00:00"/>
    <m/>
    <s v="ter"/>
    <x v="4"/>
    <x v="1"/>
    <m/>
    <s v="126145720"/>
  </r>
  <r>
    <n v="1261"/>
    <n v="47"/>
    <s v="Masculino"/>
    <s v="Logistica"/>
    <s v="Operador"/>
    <s v="1º Turno"/>
    <x v="1"/>
    <s v="Não"/>
    <x v="0"/>
    <d v="2025-03-05T00:00:00"/>
    <m/>
    <s v="qua"/>
    <x v="4"/>
    <x v="1"/>
    <m/>
    <s v="126145721"/>
  </r>
  <r>
    <n v="1261"/>
    <n v="47"/>
    <s v="Masculino"/>
    <s v="Logistica"/>
    <s v="Operador"/>
    <s v="1º Turno"/>
    <x v="1"/>
    <s v="Não"/>
    <x v="0"/>
    <d v="2025-03-06T00:00:00"/>
    <m/>
    <s v="qui"/>
    <x v="4"/>
    <x v="1"/>
    <m/>
    <s v="126145722"/>
  </r>
  <r>
    <n v="1261"/>
    <n v="47"/>
    <s v="Masculino"/>
    <s v="Logistica"/>
    <s v="Operador"/>
    <s v="1º Turno"/>
    <x v="1"/>
    <s v="Não"/>
    <x v="0"/>
    <d v="2025-03-07T00:00:00"/>
    <m/>
    <s v="sex"/>
    <x v="4"/>
    <x v="1"/>
    <m/>
    <s v="126145723"/>
  </r>
  <r>
    <n v="1036"/>
    <n v="22"/>
    <s v="Masculino"/>
    <s v="Pintura"/>
    <s v="Operador"/>
    <s v="3º Turno"/>
    <x v="1"/>
    <s v="Não"/>
    <x v="0"/>
    <d v="2025-03-07T00:00:00"/>
    <m/>
    <s v="sex"/>
    <x v="4"/>
    <x v="1"/>
    <m/>
    <s v="103645723"/>
  </r>
  <r>
    <n v="1036"/>
    <n v="22"/>
    <s v="Masculino"/>
    <s v="Pintura"/>
    <s v="Operador"/>
    <s v="3º Turno"/>
    <x v="1"/>
    <s v="Não"/>
    <x v="0"/>
    <d v="2025-03-08T00:00:00"/>
    <m/>
    <s v="sáb"/>
    <x v="4"/>
    <x v="1"/>
    <m/>
    <s v="103645724"/>
  </r>
  <r>
    <n v="1036"/>
    <n v="22"/>
    <s v="Masculino"/>
    <s v="Pintura"/>
    <s v="Operador"/>
    <s v="3º Turno"/>
    <x v="1"/>
    <s v="Não"/>
    <x v="0"/>
    <d v="2025-03-09T00:00:00"/>
    <m/>
    <s v="dom"/>
    <x v="4"/>
    <x v="1"/>
    <m/>
    <s v="103645725"/>
  </r>
  <r>
    <n v="1036"/>
    <n v="22"/>
    <s v="Masculino"/>
    <s v="Pintura"/>
    <s v="Operador"/>
    <s v="3º Turno"/>
    <x v="1"/>
    <s v="Não"/>
    <x v="0"/>
    <d v="2025-03-10T00:00:00"/>
    <m/>
    <s v="seg"/>
    <x v="4"/>
    <x v="1"/>
    <m/>
    <s v="103645726"/>
  </r>
  <r>
    <n v="1036"/>
    <n v="22"/>
    <s v="Masculino"/>
    <s v="Pintura"/>
    <s v="Operador"/>
    <s v="3º Turno"/>
    <x v="1"/>
    <s v="Não"/>
    <x v="0"/>
    <d v="2025-03-11T00:00:00"/>
    <m/>
    <s v="ter"/>
    <x v="4"/>
    <x v="1"/>
    <m/>
    <s v="103645727"/>
  </r>
  <r>
    <n v="1036"/>
    <n v="22"/>
    <s v="Masculino"/>
    <s v="Pintura"/>
    <s v="Operador"/>
    <s v="3º Turno"/>
    <x v="1"/>
    <s v="Não"/>
    <x v="0"/>
    <d v="2025-03-12T00:00:00"/>
    <m/>
    <s v="qua"/>
    <x v="4"/>
    <x v="1"/>
    <m/>
    <s v="103645728"/>
  </r>
  <r>
    <n v="1036"/>
    <n v="22"/>
    <s v="Masculino"/>
    <s v="Pintura"/>
    <s v="Operador"/>
    <s v="3º Turno"/>
    <x v="1"/>
    <s v="Não"/>
    <x v="0"/>
    <d v="2025-03-13T00:00:00"/>
    <m/>
    <s v="qui"/>
    <x v="4"/>
    <x v="1"/>
    <m/>
    <s v="103645729"/>
  </r>
  <r>
    <n v="1036"/>
    <n v="22"/>
    <s v="Masculino"/>
    <s v="Pintura"/>
    <s v="Operador"/>
    <s v="3º Turno"/>
    <x v="1"/>
    <s v="Não"/>
    <x v="0"/>
    <d v="2025-03-14T00:00:00"/>
    <m/>
    <s v="sex"/>
    <x v="4"/>
    <x v="1"/>
    <m/>
    <s v="103645730"/>
  </r>
  <r>
    <n v="1036"/>
    <n v="22"/>
    <s v="Masculino"/>
    <s v="Pintura"/>
    <s v="Operador"/>
    <s v="3º Turno"/>
    <x v="1"/>
    <s v="Não"/>
    <x v="0"/>
    <d v="2025-03-15T00:00:00"/>
    <m/>
    <s v="sáb"/>
    <x v="4"/>
    <x v="1"/>
    <m/>
    <s v="103645731"/>
  </r>
  <r>
    <n v="1036"/>
    <n v="22"/>
    <s v="Masculino"/>
    <s v="Pintura"/>
    <s v="Operador"/>
    <s v="3º Turno"/>
    <x v="1"/>
    <s v="Não"/>
    <x v="0"/>
    <d v="2025-03-16T00:00:00"/>
    <m/>
    <s v="dom"/>
    <x v="4"/>
    <x v="1"/>
    <m/>
    <s v="103645732"/>
  </r>
  <r>
    <n v="1036"/>
    <n v="22"/>
    <s v="Masculino"/>
    <s v="Pintura"/>
    <s v="Operador"/>
    <s v="3º Turno"/>
    <x v="1"/>
    <s v="Não"/>
    <x v="0"/>
    <d v="2025-03-17T00:00:00"/>
    <m/>
    <s v="seg"/>
    <x v="4"/>
    <x v="1"/>
    <m/>
    <s v="103645733"/>
  </r>
  <r>
    <n v="1036"/>
    <n v="22"/>
    <s v="Masculino"/>
    <s v="Pintura"/>
    <s v="Operador"/>
    <s v="3º Turno"/>
    <x v="1"/>
    <s v="Não"/>
    <x v="0"/>
    <d v="2025-03-18T00:00:00"/>
    <m/>
    <s v="ter"/>
    <x v="4"/>
    <x v="1"/>
    <m/>
    <s v="103645734"/>
  </r>
  <r>
    <n v="1036"/>
    <n v="22"/>
    <s v="Masculino"/>
    <s v="Pintura"/>
    <s v="Operador"/>
    <s v="3º Turno"/>
    <x v="1"/>
    <s v="Não"/>
    <x v="0"/>
    <d v="2025-03-19T00:00:00"/>
    <m/>
    <s v="qua"/>
    <x v="4"/>
    <x v="1"/>
    <m/>
    <s v="103645735"/>
  </r>
  <r>
    <n v="1036"/>
    <n v="22"/>
    <s v="Masculino"/>
    <s v="Pintura"/>
    <s v="Operador"/>
    <s v="3º Turno"/>
    <x v="1"/>
    <s v="Não"/>
    <x v="0"/>
    <d v="2025-03-20T00:00:00"/>
    <m/>
    <s v="qui"/>
    <x v="4"/>
    <x v="1"/>
    <m/>
    <s v="103645736"/>
  </r>
  <r>
    <n v="1036"/>
    <n v="22"/>
    <s v="Masculino"/>
    <s v="Pintura"/>
    <s v="Operador"/>
    <s v="3º Turno"/>
    <x v="1"/>
    <s v="Não"/>
    <x v="0"/>
    <d v="2025-03-21T00:00:00"/>
    <m/>
    <s v="sex"/>
    <x v="4"/>
    <x v="1"/>
    <m/>
    <s v="103645737"/>
  </r>
  <r>
    <n v="1036"/>
    <n v="22"/>
    <s v="Masculino"/>
    <s v="Pintura"/>
    <s v="Operador"/>
    <s v="3º Turno"/>
    <x v="1"/>
    <s v="Não"/>
    <x v="0"/>
    <d v="2025-03-22T00:00:00"/>
    <m/>
    <s v="sáb"/>
    <x v="4"/>
    <x v="1"/>
    <m/>
    <s v="103645738"/>
  </r>
  <r>
    <n v="1036"/>
    <n v="22"/>
    <s v="Masculino"/>
    <s v="Pintura"/>
    <s v="Operador"/>
    <s v="3º Turno"/>
    <x v="1"/>
    <s v="Não"/>
    <x v="0"/>
    <d v="2025-03-23T00:00:00"/>
    <m/>
    <s v="dom"/>
    <x v="4"/>
    <x v="1"/>
    <m/>
    <s v="103645739"/>
  </r>
  <r>
    <n v="1036"/>
    <n v="22"/>
    <s v="Masculino"/>
    <s v="Pintura"/>
    <s v="Operador"/>
    <s v="3º Turno"/>
    <x v="1"/>
    <s v="Não"/>
    <x v="0"/>
    <d v="2025-03-24T00:00:00"/>
    <m/>
    <s v="seg"/>
    <x v="4"/>
    <x v="1"/>
    <m/>
    <s v="103645740"/>
  </r>
  <r>
    <n v="1036"/>
    <n v="22"/>
    <s v="Masculino"/>
    <s v="Pintura"/>
    <s v="Operador"/>
    <s v="3º Turno"/>
    <x v="1"/>
    <s v="Não"/>
    <x v="0"/>
    <d v="2025-03-25T00:00:00"/>
    <m/>
    <s v="ter"/>
    <x v="4"/>
    <x v="1"/>
    <m/>
    <s v="103645741"/>
  </r>
  <r>
    <n v="1036"/>
    <n v="22"/>
    <s v="Masculino"/>
    <s v="Pintura"/>
    <s v="Operador"/>
    <s v="3º Turno"/>
    <x v="1"/>
    <s v="Não"/>
    <x v="0"/>
    <d v="2025-03-26T00:00:00"/>
    <m/>
    <s v="qua"/>
    <x v="4"/>
    <x v="1"/>
    <m/>
    <s v="103645742"/>
  </r>
  <r>
    <n v="1036"/>
    <n v="22"/>
    <s v="Masculino"/>
    <s v="Pintura"/>
    <s v="Operador"/>
    <s v="3º Turno"/>
    <x v="1"/>
    <s v="Não"/>
    <x v="0"/>
    <d v="2025-03-27T00:00:00"/>
    <m/>
    <s v="qui"/>
    <x v="4"/>
    <x v="1"/>
    <m/>
    <s v="103645743"/>
  </r>
  <r>
    <n v="1036"/>
    <n v="22"/>
    <s v="Masculino"/>
    <s v="Pintura"/>
    <s v="Operador"/>
    <s v="3º Turno"/>
    <x v="1"/>
    <s v="Não"/>
    <x v="0"/>
    <d v="2025-03-28T00:00:00"/>
    <m/>
    <s v="sex"/>
    <x v="4"/>
    <x v="1"/>
    <m/>
    <s v="103645744"/>
  </r>
  <r>
    <n v="1036"/>
    <n v="22"/>
    <s v="Masculino"/>
    <s v="Pintura"/>
    <s v="Operador"/>
    <s v="3º Turno"/>
    <x v="1"/>
    <s v="Não"/>
    <x v="0"/>
    <d v="2025-03-29T00:00:00"/>
    <m/>
    <s v="sáb"/>
    <x v="4"/>
    <x v="1"/>
    <m/>
    <s v="103645745"/>
  </r>
  <r>
    <n v="1036"/>
    <n v="22"/>
    <s v="Masculino"/>
    <s v="Pintura"/>
    <s v="Operador"/>
    <s v="3º Turno"/>
    <x v="1"/>
    <s v="Não"/>
    <x v="0"/>
    <d v="2025-03-30T00:00:00"/>
    <m/>
    <s v="dom"/>
    <x v="4"/>
    <x v="1"/>
    <m/>
    <s v="103645746"/>
  </r>
  <r>
    <n v="1036"/>
    <n v="22"/>
    <s v="Masculino"/>
    <s v="Pintura"/>
    <s v="Operador"/>
    <s v="3º Turno"/>
    <x v="1"/>
    <s v="Não"/>
    <x v="0"/>
    <d v="2025-03-31T00:00:00"/>
    <m/>
    <s v="seg"/>
    <x v="4"/>
    <x v="1"/>
    <m/>
    <s v="103645747"/>
  </r>
  <r>
    <n v="1036"/>
    <n v="22"/>
    <s v="Masculino"/>
    <s v="Pintura"/>
    <s v="Operador"/>
    <s v="3º Turno"/>
    <x v="1"/>
    <s v="Não"/>
    <x v="0"/>
    <d v="2025-04-01T00:00:00"/>
    <m/>
    <s v="ter"/>
    <x v="2"/>
    <x v="1"/>
    <m/>
    <s v="103645748"/>
  </r>
  <r>
    <n v="1036"/>
    <n v="22"/>
    <s v="Masculino"/>
    <s v="Pintura"/>
    <s v="Operador"/>
    <s v="3º Turno"/>
    <x v="1"/>
    <s v="Não"/>
    <x v="0"/>
    <d v="2025-04-02T00:00:00"/>
    <m/>
    <s v="qua"/>
    <x v="2"/>
    <x v="1"/>
    <m/>
    <s v="103645749"/>
  </r>
  <r>
    <n v="1036"/>
    <n v="22"/>
    <s v="Masculino"/>
    <s v="Pintura"/>
    <s v="Operador"/>
    <s v="3º Turno"/>
    <x v="1"/>
    <s v="Não"/>
    <x v="0"/>
    <d v="2025-04-03T00:00:00"/>
    <m/>
    <s v="qui"/>
    <x v="2"/>
    <x v="1"/>
    <m/>
    <s v="103645750"/>
  </r>
  <r>
    <n v="1036"/>
    <n v="22"/>
    <s v="Masculino"/>
    <s v="Pintura"/>
    <s v="Operador"/>
    <s v="3º Turno"/>
    <x v="1"/>
    <s v="Não"/>
    <x v="0"/>
    <d v="2025-04-04T00:00:00"/>
    <m/>
    <s v="sex"/>
    <x v="2"/>
    <x v="1"/>
    <m/>
    <s v="103645751"/>
  </r>
  <r>
    <n v="1036"/>
    <n v="22"/>
    <s v="Masculino"/>
    <s v="Pintura"/>
    <s v="Operador"/>
    <s v="3º Turno"/>
    <x v="1"/>
    <s v="Não"/>
    <x v="0"/>
    <d v="2025-04-05T00:00:00"/>
    <m/>
    <s v="sáb"/>
    <x v="2"/>
    <x v="1"/>
    <m/>
    <s v="103645752"/>
  </r>
  <r>
    <n v="1036"/>
    <n v="22"/>
    <s v="Masculino"/>
    <s v="Pintura"/>
    <s v="Operador"/>
    <s v="3º Turno"/>
    <x v="1"/>
    <s v="Não"/>
    <x v="0"/>
    <d v="2025-04-06T00:00:00"/>
    <m/>
    <s v="dom"/>
    <x v="2"/>
    <x v="1"/>
    <m/>
    <s v="103645753"/>
  </r>
  <r>
    <n v="1036"/>
    <n v="22"/>
    <s v="Masculino"/>
    <s v="Pintura"/>
    <s v="Operador"/>
    <s v="3º Turno"/>
    <x v="1"/>
    <s v="Não"/>
    <x v="0"/>
    <d v="2025-04-07T00:00:00"/>
    <m/>
    <s v="seg"/>
    <x v="2"/>
    <x v="1"/>
    <m/>
    <s v="103645754"/>
  </r>
  <r>
    <n v="1036"/>
    <n v="22"/>
    <s v="Masculino"/>
    <s v="Pintura"/>
    <s v="Operador"/>
    <s v="3º Turno"/>
    <x v="1"/>
    <s v="Não"/>
    <x v="0"/>
    <d v="2025-04-08T00:00:00"/>
    <m/>
    <s v="ter"/>
    <x v="2"/>
    <x v="1"/>
    <m/>
    <s v="103645755"/>
  </r>
  <r>
    <n v="1036"/>
    <n v="22"/>
    <s v="Masculino"/>
    <s v="Pintura"/>
    <s v="Operador"/>
    <s v="3º Turno"/>
    <x v="1"/>
    <s v="Não"/>
    <x v="0"/>
    <d v="2025-04-09T00:00:00"/>
    <m/>
    <s v="qua"/>
    <x v="2"/>
    <x v="1"/>
    <m/>
    <s v="103645756"/>
  </r>
  <r>
    <n v="1036"/>
    <n v="22"/>
    <s v="Masculino"/>
    <s v="Pintura"/>
    <s v="Operador"/>
    <s v="3º Turno"/>
    <x v="1"/>
    <s v="Não"/>
    <x v="0"/>
    <d v="2025-04-10T00:00:00"/>
    <m/>
    <s v="qui"/>
    <x v="2"/>
    <x v="1"/>
    <m/>
    <s v="103645757"/>
  </r>
  <r>
    <n v="1036"/>
    <n v="22"/>
    <s v="Masculino"/>
    <s v="Pintura"/>
    <s v="Operador"/>
    <s v="3º Turno"/>
    <x v="1"/>
    <s v="Não"/>
    <x v="0"/>
    <d v="2025-04-11T00:00:00"/>
    <m/>
    <s v="sex"/>
    <x v="2"/>
    <x v="1"/>
    <m/>
    <s v="103645758"/>
  </r>
  <r>
    <n v="1036"/>
    <n v="22"/>
    <s v="Masculino"/>
    <s v="Pintura"/>
    <s v="Operador"/>
    <s v="3º Turno"/>
    <x v="1"/>
    <s v="Não"/>
    <x v="0"/>
    <d v="2025-04-12T00:00:00"/>
    <m/>
    <s v="sáb"/>
    <x v="2"/>
    <x v="1"/>
    <m/>
    <s v="103645759"/>
  </r>
  <r>
    <n v="1036"/>
    <n v="22"/>
    <s v="Masculino"/>
    <s v="Pintura"/>
    <s v="Operador"/>
    <s v="3º Turno"/>
    <x v="1"/>
    <s v="Não"/>
    <x v="0"/>
    <d v="2025-04-13T00:00:00"/>
    <m/>
    <s v="dom"/>
    <x v="2"/>
    <x v="1"/>
    <m/>
    <s v="103645760"/>
  </r>
  <r>
    <n v="1036"/>
    <n v="22"/>
    <s v="Masculino"/>
    <s v="Pintura"/>
    <s v="Operador"/>
    <s v="3º Turno"/>
    <x v="1"/>
    <s v="Não"/>
    <x v="0"/>
    <d v="2025-04-14T00:00:00"/>
    <m/>
    <s v="seg"/>
    <x v="2"/>
    <x v="1"/>
    <m/>
    <s v="103645761"/>
  </r>
  <r>
    <n v="1036"/>
    <n v="22"/>
    <s v="Masculino"/>
    <s v="Pintura"/>
    <s v="Operador"/>
    <s v="3º Turno"/>
    <x v="1"/>
    <s v="Não"/>
    <x v="0"/>
    <d v="2025-04-15T00:00:00"/>
    <m/>
    <s v="ter"/>
    <x v="2"/>
    <x v="1"/>
    <m/>
    <s v="103645762"/>
  </r>
  <r>
    <n v="1036"/>
    <n v="22"/>
    <s v="Masculino"/>
    <s v="Pintura"/>
    <s v="Operador"/>
    <s v="3º Turno"/>
    <x v="1"/>
    <s v="Não"/>
    <x v="0"/>
    <d v="2025-04-16T00:00:00"/>
    <m/>
    <s v="qua"/>
    <x v="2"/>
    <x v="1"/>
    <m/>
    <s v="103645763"/>
  </r>
  <r>
    <n v="1036"/>
    <n v="22"/>
    <s v="Masculino"/>
    <s v="Pintura"/>
    <s v="Operador"/>
    <s v="3º Turno"/>
    <x v="1"/>
    <s v="Não"/>
    <x v="0"/>
    <d v="2025-04-17T00:00:00"/>
    <m/>
    <s v="qui"/>
    <x v="2"/>
    <x v="1"/>
    <m/>
    <s v="103645764"/>
  </r>
  <r>
    <n v="1036"/>
    <n v="22"/>
    <s v="Masculino"/>
    <s v="Pintura"/>
    <s v="Operador"/>
    <s v="3º Turno"/>
    <x v="1"/>
    <s v="Não"/>
    <x v="0"/>
    <d v="2025-04-18T00:00:00"/>
    <m/>
    <s v="sex"/>
    <x v="2"/>
    <x v="1"/>
    <m/>
    <s v="103645765"/>
  </r>
  <r>
    <n v="1036"/>
    <n v="22"/>
    <s v="Masculino"/>
    <s v="Pintura"/>
    <s v="Operador"/>
    <s v="3º Turno"/>
    <x v="1"/>
    <s v="Não"/>
    <x v="0"/>
    <d v="2025-04-19T00:00:00"/>
    <m/>
    <s v="sáb"/>
    <x v="2"/>
    <x v="1"/>
    <m/>
    <s v="103645766"/>
  </r>
  <r>
    <n v="1036"/>
    <n v="22"/>
    <s v="Masculino"/>
    <s v="Pintura"/>
    <s v="Operador"/>
    <s v="3º Turno"/>
    <x v="1"/>
    <s v="Não"/>
    <x v="0"/>
    <d v="2025-04-20T00:00:00"/>
    <m/>
    <s v="dom"/>
    <x v="2"/>
    <x v="1"/>
    <m/>
    <s v="103645767"/>
  </r>
  <r>
    <n v="1036"/>
    <n v="22"/>
    <s v="Masculino"/>
    <s v="Pintura"/>
    <s v="Operador"/>
    <s v="3º Turno"/>
    <x v="1"/>
    <s v="Não"/>
    <x v="0"/>
    <d v="2025-04-21T00:00:00"/>
    <m/>
    <s v="seg"/>
    <x v="2"/>
    <x v="1"/>
    <m/>
    <s v="103645768"/>
  </r>
  <r>
    <n v="1036"/>
    <n v="22"/>
    <s v="Masculino"/>
    <s v="Pintura"/>
    <s v="Operador"/>
    <s v="3º Turno"/>
    <x v="1"/>
    <s v="Não"/>
    <x v="0"/>
    <d v="2025-04-22T00:00:00"/>
    <m/>
    <s v="ter"/>
    <x v="2"/>
    <x v="1"/>
    <m/>
    <s v="103645769"/>
  </r>
  <r>
    <n v="1036"/>
    <n v="22"/>
    <s v="Masculino"/>
    <s v="Pintura"/>
    <s v="Operador"/>
    <s v="3º Turno"/>
    <x v="1"/>
    <s v="Não"/>
    <x v="0"/>
    <d v="2025-04-23T00:00:00"/>
    <m/>
    <s v="qua"/>
    <x v="2"/>
    <x v="1"/>
    <m/>
    <s v="103645770"/>
  </r>
  <r>
    <n v="1036"/>
    <n v="22"/>
    <s v="Masculino"/>
    <s v="Pintura"/>
    <s v="Operador"/>
    <s v="3º Turno"/>
    <x v="1"/>
    <s v="Não"/>
    <x v="0"/>
    <d v="2025-04-24T00:00:00"/>
    <m/>
    <s v="qui"/>
    <x v="2"/>
    <x v="1"/>
    <m/>
    <s v="103645771"/>
  </r>
  <r>
    <n v="1036"/>
    <n v="22"/>
    <s v="Masculino"/>
    <s v="Pintura"/>
    <s v="Operador"/>
    <s v="3º Turno"/>
    <x v="1"/>
    <s v="Não"/>
    <x v="0"/>
    <d v="2025-04-25T00:00:00"/>
    <m/>
    <s v="sex"/>
    <x v="2"/>
    <x v="1"/>
    <m/>
    <s v="103645772"/>
  </r>
  <r>
    <n v="1036"/>
    <n v="22"/>
    <s v="Masculino"/>
    <s v="Pintura"/>
    <s v="Operador"/>
    <s v="3º Turno"/>
    <x v="1"/>
    <s v="Não"/>
    <x v="0"/>
    <d v="2025-04-26T00:00:00"/>
    <m/>
    <s v="sáb"/>
    <x v="2"/>
    <x v="1"/>
    <m/>
    <s v="103645773"/>
  </r>
  <r>
    <n v="1036"/>
    <n v="22"/>
    <s v="Masculino"/>
    <s v="Pintura"/>
    <s v="Operador"/>
    <s v="3º Turno"/>
    <x v="1"/>
    <s v="Não"/>
    <x v="0"/>
    <d v="2025-04-27T00:00:00"/>
    <m/>
    <s v="dom"/>
    <x v="2"/>
    <x v="1"/>
    <m/>
    <s v="103645774"/>
  </r>
  <r>
    <n v="1036"/>
    <n v="22"/>
    <s v="Masculino"/>
    <s v="Pintura"/>
    <s v="Operador"/>
    <s v="3º Turno"/>
    <x v="1"/>
    <s v="Não"/>
    <x v="0"/>
    <d v="2025-04-28T00:00:00"/>
    <m/>
    <s v="seg"/>
    <x v="2"/>
    <x v="1"/>
    <m/>
    <s v="103645775"/>
  </r>
  <r>
    <n v="1036"/>
    <n v="22"/>
    <s v="Masculino"/>
    <s v="Pintura"/>
    <s v="Operador"/>
    <s v="3º Turno"/>
    <x v="1"/>
    <s v="Não"/>
    <x v="0"/>
    <d v="2025-04-29T00:00:00"/>
    <m/>
    <s v="ter"/>
    <x v="2"/>
    <x v="1"/>
    <m/>
    <s v="103645776"/>
  </r>
  <r>
    <n v="1036"/>
    <n v="22"/>
    <s v="Masculino"/>
    <s v="Pintura"/>
    <s v="Operador"/>
    <s v="3º Turno"/>
    <x v="1"/>
    <s v="Não"/>
    <x v="0"/>
    <d v="2025-04-30T00:00:00"/>
    <m/>
    <s v="qua"/>
    <x v="2"/>
    <x v="1"/>
    <m/>
    <s v="103645777"/>
  </r>
  <r>
    <n v="1036"/>
    <n v="22"/>
    <s v="Masculino"/>
    <s v="Pintura"/>
    <s v="Operador"/>
    <s v="3º Turno"/>
    <x v="1"/>
    <s v="Não"/>
    <x v="0"/>
    <d v="2025-05-01T00:00:00"/>
    <m/>
    <s v="qui"/>
    <x v="0"/>
    <x v="1"/>
    <m/>
    <s v="103645778"/>
  </r>
  <r>
    <n v="1036"/>
    <n v="22"/>
    <s v="Masculino"/>
    <s v="Pintura"/>
    <s v="Operador"/>
    <s v="3º Turno"/>
    <x v="1"/>
    <s v="Não"/>
    <x v="0"/>
    <d v="2025-05-02T00:00:00"/>
    <m/>
    <s v="sex"/>
    <x v="0"/>
    <x v="1"/>
    <m/>
    <s v="103645779"/>
  </r>
  <r>
    <n v="1036"/>
    <n v="22"/>
    <s v="Masculino"/>
    <s v="Pintura"/>
    <s v="Operador"/>
    <s v="3º Turno"/>
    <x v="1"/>
    <s v="Não"/>
    <x v="0"/>
    <d v="2025-05-03T00:00:00"/>
    <m/>
    <s v="sáb"/>
    <x v="0"/>
    <x v="1"/>
    <m/>
    <s v="103645780"/>
  </r>
  <r>
    <n v="1036"/>
    <n v="22"/>
    <s v="Masculino"/>
    <s v="Pintura"/>
    <s v="Operador"/>
    <s v="3º Turno"/>
    <x v="1"/>
    <s v="Não"/>
    <x v="0"/>
    <d v="2025-05-04T00:00:00"/>
    <m/>
    <s v="dom"/>
    <x v="0"/>
    <x v="1"/>
    <m/>
    <s v="103645781"/>
  </r>
  <r>
    <n v="1036"/>
    <n v="22"/>
    <s v="Masculino"/>
    <s v="Pintura"/>
    <s v="Operador"/>
    <s v="3º Turno"/>
    <x v="1"/>
    <s v="Não"/>
    <x v="0"/>
    <d v="2025-05-05T00:00:00"/>
    <m/>
    <s v="seg"/>
    <x v="0"/>
    <x v="1"/>
    <m/>
    <s v="103645782"/>
  </r>
  <r>
    <n v="1036"/>
    <n v="22"/>
    <s v="Masculino"/>
    <s v="Pintura"/>
    <s v="Operador"/>
    <s v="3º Turno"/>
    <x v="1"/>
    <s v="Não"/>
    <x v="0"/>
    <d v="2025-05-06T00:00:00"/>
    <m/>
    <s v="ter"/>
    <x v="0"/>
    <x v="1"/>
    <m/>
    <s v="103645783"/>
  </r>
  <r>
    <n v="1036"/>
    <n v="22"/>
    <s v="Masculino"/>
    <s v="Pintura"/>
    <s v="Operador"/>
    <s v="3º Turno"/>
    <x v="1"/>
    <s v="Não"/>
    <x v="0"/>
    <d v="2025-05-07T00:00:00"/>
    <m/>
    <s v="qua"/>
    <x v="0"/>
    <x v="1"/>
    <m/>
    <s v="103645784"/>
  </r>
  <r>
    <n v="1036"/>
    <n v="22"/>
    <s v="Masculino"/>
    <s v="Pintura"/>
    <s v="Operador"/>
    <s v="3º Turno"/>
    <x v="1"/>
    <s v="Não"/>
    <x v="0"/>
    <d v="2025-05-08T00:00:00"/>
    <m/>
    <s v="qui"/>
    <x v="0"/>
    <x v="1"/>
    <m/>
    <s v="103645785"/>
  </r>
  <r>
    <n v="1036"/>
    <n v="22"/>
    <s v="Masculino"/>
    <s v="Pintura"/>
    <s v="Operador"/>
    <s v="3º Turno"/>
    <x v="1"/>
    <s v="Não"/>
    <x v="0"/>
    <d v="2025-05-09T00:00:00"/>
    <m/>
    <s v="sex"/>
    <x v="0"/>
    <x v="1"/>
    <m/>
    <s v="103645786"/>
  </r>
  <r>
    <n v="1036"/>
    <n v="22"/>
    <s v="Masculino"/>
    <s v="Pintura"/>
    <s v="Operador"/>
    <s v="3º Turno"/>
    <x v="1"/>
    <s v="Não"/>
    <x v="0"/>
    <d v="2025-05-10T00:00:00"/>
    <m/>
    <s v="sáb"/>
    <x v="0"/>
    <x v="1"/>
    <m/>
    <s v="103645787"/>
  </r>
  <r>
    <n v="1036"/>
    <n v="22"/>
    <s v="Masculino"/>
    <s v="Pintura"/>
    <s v="Operador"/>
    <s v="3º Turno"/>
    <x v="1"/>
    <s v="Não"/>
    <x v="0"/>
    <d v="2025-05-11T00:00:00"/>
    <m/>
    <s v="dom"/>
    <x v="0"/>
    <x v="1"/>
    <m/>
    <s v="103645788"/>
  </r>
  <r>
    <n v="1036"/>
    <n v="22"/>
    <s v="Masculino"/>
    <s v="Pintura"/>
    <s v="Operador"/>
    <s v="3º Turno"/>
    <x v="1"/>
    <s v="Não"/>
    <x v="0"/>
    <d v="2025-05-12T00:00:00"/>
    <m/>
    <s v="seg"/>
    <x v="0"/>
    <x v="1"/>
    <m/>
    <s v="103645789"/>
  </r>
  <r>
    <n v="1036"/>
    <n v="22"/>
    <s v="Masculino"/>
    <s v="Pintura"/>
    <s v="Operador"/>
    <s v="3º Turno"/>
    <x v="1"/>
    <s v="Não"/>
    <x v="0"/>
    <d v="2025-05-13T00:00:00"/>
    <m/>
    <s v="ter"/>
    <x v="0"/>
    <x v="1"/>
    <m/>
    <s v="103645790"/>
  </r>
  <r>
    <n v="1036"/>
    <n v="22"/>
    <s v="Masculino"/>
    <s v="Pintura"/>
    <s v="Operador"/>
    <s v="3º Turno"/>
    <x v="1"/>
    <s v="Não"/>
    <x v="0"/>
    <d v="2025-05-14T00:00:00"/>
    <m/>
    <s v="qua"/>
    <x v="0"/>
    <x v="1"/>
    <m/>
    <s v="103645791"/>
  </r>
  <r>
    <n v="1036"/>
    <n v="22"/>
    <s v="Masculino"/>
    <s v="Pintura"/>
    <s v="Operador"/>
    <s v="3º Turno"/>
    <x v="1"/>
    <s v="Não"/>
    <x v="0"/>
    <d v="2025-05-15T00:00:00"/>
    <m/>
    <s v="qui"/>
    <x v="0"/>
    <x v="1"/>
    <m/>
    <s v="103645792"/>
  </r>
  <r>
    <n v="1036"/>
    <n v="22"/>
    <s v="Masculino"/>
    <s v="Pintura"/>
    <s v="Operador"/>
    <s v="3º Turno"/>
    <x v="1"/>
    <s v="Não"/>
    <x v="0"/>
    <d v="2025-05-16T00:00:00"/>
    <m/>
    <s v="sex"/>
    <x v="0"/>
    <x v="1"/>
    <m/>
    <s v="103645793"/>
  </r>
  <r>
    <n v="1036"/>
    <n v="22"/>
    <s v="Masculino"/>
    <s v="Pintura"/>
    <s v="Operador"/>
    <s v="3º Turno"/>
    <x v="1"/>
    <s v="Não"/>
    <x v="0"/>
    <d v="2025-05-17T00:00:00"/>
    <m/>
    <s v="sáb"/>
    <x v="0"/>
    <x v="1"/>
    <m/>
    <s v="103645794"/>
  </r>
  <r>
    <n v="1036"/>
    <n v="22"/>
    <s v="Masculino"/>
    <s v="Pintura"/>
    <s v="Operador"/>
    <s v="3º Turno"/>
    <x v="1"/>
    <s v="Não"/>
    <x v="0"/>
    <d v="2025-05-18T00:00:00"/>
    <m/>
    <s v="dom"/>
    <x v="0"/>
    <x v="1"/>
    <m/>
    <s v="103645795"/>
  </r>
  <r>
    <n v="1036"/>
    <n v="22"/>
    <s v="Masculino"/>
    <s v="Pintura"/>
    <s v="Operador"/>
    <s v="3º Turno"/>
    <x v="1"/>
    <s v="Não"/>
    <x v="0"/>
    <d v="2025-05-19T00:00:00"/>
    <m/>
    <s v="seg"/>
    <x v="0"/>
    <x v="1"/>
    <m/>
    <s v="103645796"/>
  </r>
  <r>
    <n v="1036"/>
    <n v="22"/>
    <s v="Masculino"/>
    <s v="Pintura"/>
    <s v="Operador"/>
    <s v="3º Turno"/>
    <x v="1"/>
    <s v="Não"/>
    <x v="0"/>
    <d v="2025-05-20T00:00:00"/>
    <m/>
    <s v="ter"/>
    <x v="0"/>
    <x v="1"/>
    <m/>
    <s v="103645797"/>
  </r>
  <r>
    <n v="1036"/>
    <n v="22"/>
    <s v="Masculino"/>
    <s v="Pintura"/>
    <s v="Operador"/>
    <s v="3º Turno"/>
    <x v="1"/>
    <s v="Não"/>
    <x v="0"/>
    <d v="2025-05-21T00:00:00"/>
    <m/>
    <s v="qua"/>
    <x v="0"/>
    <x v="1"/>
    <m/>
    <s v="103645798"/>
  </r>
  <r>
    <n v="1036"/>
    <n v="22"/>
    <s v="Masculino"/>
    <s v="Pintura"/>
    <s v="Operador"/>
    <s v="3º Turno"/>
    <x v="1"/>
    <s v="Não"/>
    <x v="0"/>
    <d v="2025-05-22T00:00:00"/>
    <m/>
    <s v="qui"/>
    <x v="0"/>
    <x v="1"/>
    <m/>
    <s v="103645799"/>
  </r>
  <r>
    <n v="1036"/>
    <n v="22"/>
    <s v="Masculino"/>
    <s v="Pintura"/>
    <s v="Operador"/>
    <s v="3º Turno"/>
    <x v="1"/>
    <s v="Não"/>
    <x v="0"/>
    <d v="2025-05-23T00:00:00"/>
    <m/>
    <s v="sex"/>
    <x v="0"/>
    <x v="1"/>
    <m/>
    <s v="103645800"/>
  </r>
  <r>
    <n v="1036"/>
    <n v="22"/>
    <s v="Masculino"/>
    <s v="Pintura"/>
    <s v="Operador"/>
    <s v="3º Turno"/>
    <x v="1"/>
    <s v="Não"/>
    <x v="0"/>
    <d v="2025-05-24T00:00:00"/>
    <m/>
    <s v="sáb"/>
    <x v="0"/>
    <x v="1"/>
    <m/>
    <s v="103645801"/>
  </r>
  <r>
    <n v="1036"/>
    <n v="22"/>
    <s v="Masculino"/>
    <s v="Pintura"/>
    <s v="Operador"/>
    <s v="3º Turno"/>
    <x v="1"/>
    <s v="Não"/>
    <x v="0"/>
    <d v="2025-05-25T00:00:00"/>
    <m/>
    <s v="dom"/>
    <x v="0"/>
    <x v="1"/>
    <m/>
    <s v="103645802"/>
  </r>
  <r>
    <n v="1036"/>
    <n v="22"/>
    <s v="Masculino"/>
    <s v="Pintura"/>
    <s v="Operador"/>
    <s v="3º Turno"/>
    <x v="1"/>
    <s v="Não"/>
    <x v="0"/>
    <d v="2025-05-26T00:00:00"/>
    <m/>
    <s v="seg"/>
    <x v="0"/>
    <x v="1"/>
    <m/>
    <s v="103645803"/>
  </r>
  <r>
    <n v="1036"/>
    <n v="22"/>
    <s v="Masculino"/>
    <s v="Pintura"/>
    <s v="Operador"/>
    <s v="3º Turno"/>
    <x v="1"/>
    <s v="Não"/>
    <x v="0"/>
    <d v="2025-05-27T00:00:00"/>
    <m/>
    <s v="ter"/>
    <x v="0"/>
    <x v="1"/>
    <m/>
    <s v="103645804"/>
  </r>
  <r>
    <n v="1036"/>
    <n v="22"/>
    <s v="Masculino"/>
    <s v="Pintura"/>
    <s v="Operador"/>
    <s v="3º Turno"/>
    <x v="1"/>
    <s v="Não"/>
    <x v="0"/>
    <d v="2025-05-28T00:00:00"/>
    <m/>
    <s v="qua"/>
    <x v="0"/>
    <x v="1"/>
    <m/>
    <s v="103645805"/>
  </r>
  <r>
    <n v="1036"/>
    <n v="22"/>
    <s v="Masculino"/>
    <s v="Pintura"/>
    <s v="Operador"/>
    <s v="3º Turno"/>
    <x v="1"/>
    <s v="Não"/>
    <x v="0"/>
    <d v="2025-05-29T00:00:00"/>
    <m/>
    <s v="qui"/>
    <x v="0"/>
    <x v="1"/>
    <m/>
    <s v="103645806"/>
  </r>
  <r>
    <n v="1036"/>
    <n v="22"/>
    <s v="Masculino"/>
    <s v="Pintura"/>
    <s v="Operador"/>
    <s v="3º Turno"/>
    <x v="1"/>
    <s v="Não"/>
    <x v="0"/>
    <d v="2025-05-30T00:00:00"/>
    <m/>
    <s v="sex"/>
    <x v="0"/>
    <x v="1"/>
    <m/>
    <s v="103645807"/>
  </r>
  <r>
    <n v="1036"/>
    <n v="22"/>
    <s v="Masculino"/>
    <s v="Pintura"/>
    <s v="Operador"/>
    <s v="3º Turno"/>
    <x v="1"/>
    <s v="Não"/>
    <x v="0"/>
    <d v="2025-05-31T00:00:00"/>
    <m/>
    <s v="sáb"/>
    <x v="0"/>
    <x v="1"/>
    <m/>
    <s v="103645808"/>
  </r>
  <r>
    <n v="1036"/>
    <n v="22"/>
    <s v="Masculino"/>
    <s v="Pintura"/>
    <s v="Operador"/>
    <s v="3º Turno"/>
    <x v="1"/>
    <s v="Não"/>
    <x v="0"/>
    <d v="2025-06-01T00:00:00"/>
    <m/>
    <s v="dom"/>
    <x v="1"/>
    <x v="1"/>
    <m/>
    <s v="103645809"/>
  </r>
  <r>
    <n v="1036"/>
    <n v="22"/>
    <s v="Masculino"/>
    <s v="Pintura"/>
    <s v="Operador"/>
    <s v="3º Turno"/>
    <x v="1"/>
    <s v="Não"/>
    <x v="0"/>
    <d v="2025-06-02T00:00:00"/>
    <m/>
    <s v="seg"/>
    <x v="1"/>
    <x v="1"/>
    <m/>
    <s v="103645810"/>
  </r>
  <r>
    <n v="1036"/>
    <n v="22"/>
    <s v="Masculino"/>
    <s v="Pintura"/>
    <s v="Operador"/>
    <s v="3º Turno"/>
    <x v="1"/>
    <s v="Não"/>
    <x v="0"/>
    <d v="2025-06-03T00:00:00"/>
    <m/>
    <s v="ter"/>
    <x v="1"/>
    <x v="1"/>
    <m/>
    <s v="103645811"/>
  </r>
  <r>
    <n v="1036"/>
    <n v="22"/>
    <s v="Masculino"/>
    <s v="Pintura"/>
    <s v="Operador"/>
    <s v="3º Turno"/>
    <x v="1"/>
    <s v="Não"/>
    <x v="0"/>
    <d v="2025-06-04T00:00:00"/>
    <m/>
    <s v="qua"/>
    <x v="1"/>
    <x v="1"/>
    <m/>
    <s v="103645812"/>
  </r>
  <r>
    <n v="1036"/>
    <n v="22"/>
    <s v="Masculino"/>
    <s v="Pintura"/>
    <s v="Operador"/>
    <s v="3º Turno"/>
    <x v="1"/>
    <s v="Não"/>
    <x v="0"/>
    <d v="2025-06-05T00:00:00"/>
    <m/>
    <s v="qui"/>
    <x v="1"/>
    <x v="1"/>
    <m/>
    <s v="103645813"/>
  </r>
  <r>
    <n v="1036"/>
    <n v="22"/>
    <s v="Masculino"/>
    <s v="Pintura"/>
    <s v="Operador"/>
    <s v="3º Turno"/>
    <x v="1"/>
    <s v="Não"/>
    <x v="0"/>
    <d v="2025-06-06T00:00:00"/>
    <m/>
    <s v="sex"/>
    <x v="1"/>
    <x v="1"/>
    <m/>
    <s v="103645814"/>
  </r>
  <r>
    <n v="1036"/>
    <n v="22"/>
    <s v="Masculino"/>
    <s v="Pintura"/>
    <s v="Operador"/>
    <s v="3º Turno"/>
    <x v="1"/>
    <s v="Não"/>
    <x v="0"/>
    <d v="2025-06-07T00:00:00"/>
    <m/>
    <s v="sáb"/>
    <x v="1"/>
    <x v="1"/>
    <m/>
    <s v="103645815"/>
  </r>
  <r>
    <n v="1036"/>
    <n v="22"/>
    <s v="Masculino"/>
    <s v="Pintura"/>
    <s v="Operador"/>
    <s v="3º Turno"/>
    <x v="1"/>
    <s v="Não"/>
    <x v="0"/>
    <d v="2025-06-08T00:00:00"/>
    <m/>
    <s v="dom"/>
    <x v="1"/>
    <x v="1"/>
    <m/>
    <s v="103645816"/>
  </r>
  <r>
    <n v="1036"/>
    <n v="22"/>
    <s v="Masculino"/>
    <s v="Pintura"/>
    <s v="Operador"/>
    <s v="3º Turno"/>
    <x v="1"/>
    <s v="Não"/>
    <x v="0"/>
    <d v="2025-06-09T00:00:00"/>
    <m/>
    <s v="seg"/>
    <x v="1"/>
    <x v="1"/>
    <m/>
    <s v="103645817"/>
  </r>
  <r>
    <n v="1036"/>
    <n v="22"/>
    <s v="Masculino"/>
    <s v="Pintura"/>
    <s v="Operador"/>
    <s v="3º Turno"/>
    <x v="1"/>
    <s v="Não"/>
    <x v="0"/>
    <d v="2025-06-10T00:00:00"/>
    <m/>
    <s v="ter"/>
    <x v="1"/>
    <x v="1"/>
    <m/>
    <s v="103645818"/>
  </r>
  <r>
    <n v="1036"/>
    <n v="22"/>
    <s v="Masculino"/>
    <s v="Pintura"/>
    <s v="Operador"/>
    <s v="3º Turno"/>
    <x v="1"/>
    <s v="Não"/>
    <x v="0"/>
    <d v="2025-06-11T00:00:00"/>
    <m/>
    <s v="qua"/>
    <x v="1"/>
    <x v="1"/>
    <m/>
    <s v="103645819"/>
  </r>
  <r>
    <n v="1036"/>
    <n v="22"/>
    <s v="Masculino"/>
    <s v="Pintura"/>
    <s v="Operador"/>
    <s v="3º Turno"/>
    <x v="1"/>
    <s v="Não"/>
    <x v="0"/>
    <d v="2025-06-12T00:00:00"/>
    <m/>
    <s v="qui"/>
    <x v="1"/>
    <x v="1"/>
    <m/>
    <s v="103645820"/>
  </r>
  <r>
    <n v="1036"/>
    <n v="22"/>
    <s v="Masculino"/>
    <s v="Pintura"/>
    <s v="Operador"/>
    <s v="3º Turno"/>
    <x v="1"/>
    <s v="Não"/>
    <x v="0"/>
    <d v="2025-06-13T00:00:00"/>
    <m/>
    <s v="sex"/>
    <x v="1"/>
    <x v="1"/>
    <m/>
    <s v="103645821"/>
  </r>
  <r>
    <n v="1036"/>
    <n v="22"/>
    <s v="Masculino"/>
    <s v="Pintura"/>
    <s v="Operador"/>
    <s v="3º Turno"/>
    <x v="1"/>
    <s v="Não"/>
    <x v="0"/>
    <d v="2025-06-14T00:00:00"/>
    <m/>
    <s v="sáb"/>
    <x v="1"/>
    <x v="1"/>
    <m/>
    <s v="103645822"/>
  </r>
  <r>
    <n v="1036"/>
    <n v="22"/>
    <s v="Masculino"/>
    <s v="Pintura"/>
    <s v="Operador"/>
    <s v="3º Turno"/>
    <x v="1"/>
    <s v="Não"/>
    <x v="0"/>
    <d v="2025-06-15T00:00:00"/>
    <m/>
    <s v="dom"/>
    <x v="1"/>
    <x v="1"/>
    <m/>
    <s v="103645823"/>
  </r>
  <r>
    <n v="1036"/>
    <n v="22"/>
    <s v="Masculino"/>
    <s v="Pintura"/>
    <s v="Operador"/>
    <s v="3º Turno"/>
    <x v="1"/>
    <s v="Não"/>
    <x v="0"/>
    <d v="2025-06-16T00:00:00"/>
    <m/>
    <s v="seg"/>
    <x v="1"/>
    <x v="1"/>
    <m/>
    <s v="103645824"/>
  </r>
  <r>
    <n v="1036"/>
    <n v="22"/>
    <s v="Masculino"/>
    <s v="Pintura"/>
    <s v="Operador"/>
    <s v="3º Turno"/>
    <x v="1"/>
    <s v="Não"/>
    <x v="0"/>
    <d v="2025-06-17T00:00:00"/>
    <m/>
    <s v="ter"/>
    <x v="1"/>
    <x v="1"/>
    <m/>
    <s v="103645825"/>
  </r>
  <r>
    <n v="1036"/>
    <n v="22"/>
    <s v="Masculino"/>
    <s v="Pintura"/>
    <s v="Operador"/>
    <s v="3º Turno"/>
    <x v="1"/>
    <s v="Não"/>
    <x v="0"/>
    <d v="2025-06-18T00:00:00"/>
    <m/>
    <s v="qua"/>
    <x v="1"/>
    <x v="1"/>
    <m/>
    <s v="103645826"/>
  </r>
  <r>
    <n v="1036"/>
    <n v="22"/>
    <s v="Masculino"/>
    <s v="Pintura"/>
    <s v="Operador"/>
    <s v="3º Turno"/>
    <x v="1"/>
    <s v="Não"/>
    <x v="0"/>
    <d v="2025-06-19T00:00:00"/>
    <m/>
    <s v="qui"/>
    <x v="1"/>
    <x v="1"/>
    <m/>
    <s v="103645827"/>
  </r>
  <r>
    <n v="1036"/>
    <n v="22"/>
    <s v="Masculino"/>
    <s v="Pintura"/>
    <s v="Operador"/>
    <s v="3º Turno"/>
    <x v="1"/>
    <s v="Não"/>
    <x v="0"/>
    <d v="2025-06-20T00:00:00"/>
    <m/>
    <s v="sex"/>
    <x v="1"/>
    <x v="1"/>
    <m/>
    <s v="103645828"/>
  </r>
  <r>
    <n v="1036"/>
    <n v="22"/>
    <s v="Masculino"/>
    <s v="Pintura"/>
    <s v="Operador"/>
    <s v="3º Turno"/>
    <x v="1"/>
    <s v="Não"/>
    <x v="0"/>
    <d v="2025-06-21T00:00:00"/>
    <m/>
    <s v="sáb"/>
    <x v="1"/>
    <x v="1"/>
    <m/>
    <s v="103645829"/>
  </r>
  <r>
    <n v="1036"/>
    <n v="22"/>
    <s v="Masculino"/>
    <s v="Pintura"/>
    <s v="Operador"/>
    <s v="3º Turno"/>
    <x v="1"/>
    <s v="Não"/>
    <x v="0"/>
    <d v="2025-06-22T00:00:00"/>
    <m/>
    <s v="dom"/>
    <x v="1"/>
    <x v="1"/>
    <m/>
    <s v="103645830"/>
  </r>
  <r>
    <n v="1036"/>
    <n v="22"/>
    <s v="Masculino"/>
    <s v="Pintura"/>
    <s v="Operador"/>
    <s v="3º Turno"/>
    <x v="1"/>
    <s v="Não"/>
    <x v="0"/>
    <d v="2025-06-23T00:00:00"/>
    <m/>
    <s v="seg"/>
    <x v="1"/>
    <x v="1"/>
    <m/>
    <s v="103645831"/>
  </r>
  <r>
    <n v="1036"/>
    <n v="22"/>
    <s v="Masculino"/>
    <s v="Pintura"/>
    <s v="Operador"/>
    <s v="3º Turno"/>
    <x v="1"/>
    <s v="Não"/>
    <x v="0"/>
    <d v="2025-06-24T00:00:00"/>
    <m/>
    <s v="ter"/>
    <x v="1"/>
    <x v="1"/>
    <m/>
    <s v="103645832"/>
  </r>
  <r>
    <n v="1036"/>
    <n v="22"/>
    <s v="Masculino"/>
    <s v="Pintura"/>
    <s v="Operador"/>
    <s v="3º Turno"/>
    <x v="1"/>
    <s v="Não"/>
    <x v="0"/>
    <d v="2025-06-25T00:00:00"/>
    <m/>
    <s v="qua"/>
    <x v="1"/>
    <x v="1"/>
    <m/>
    <s v="103645833"/>
  </r>
  <r>
    <n v="1036"/>
    <n v="22"/>
    <s v="Masculino"/>
    <s v="Pintura"/>
    <s v="Operador"/>
    <s v="3º Turno"/>
    <x v="1"/>
    <s v="Não"/>
    <x v="0"/>
    <d v="2025-06-26T00:00:00"/>
    <m/>
    <s v="qui"/>
    <x v="1"/>
    <x v="1"/>
    <m/>
    <s v="103645834"/>
  </r>
  <r>
    <n v="1036"/>
    <n v="22"/>
    <s v="Masculino"/>
    <s v="Pintura"/>
    <s v="Operador"/>
    <s v="3º Turno"/>
    <x v="1"/>
    <s v="Não"/>
    <x v="0"/>
    <d v="2025-06-27T00:00:00"/>
    <m/>
    <s v="sex"/>
    <x v="1"/>
    <x v="1"/>
    <m/>
    <s v="103645835"/>
  </r>
  <r>
    <n v="1036"/>
    <n v="22"/>
    <s v="Masculino"/>
    <s v="Pintura"/>
    <s v="Operador"/>
    <s v="3º Turno"/>
    <x v="1"/>
    <s v="Não"/>
    <x v="0"/>
    <d v="2025-06-28T00:00:00"/>
    <m/>
    <s v="sáb"/>
    <x v="1"/>
    <x v="1"/>
    <m/>
    <s v="103645836"/>
  </r>
  <r>
    <n v="1036"/>
    <n v="22"/>
    <s v="Masculino"/>
    <s v="Pintura"/>
    <s v="Operador"/>
    <s v="3º Turno"/>
    <x v="1"/>
    <s v="Não"/>
    <x v="0"/>
    <d v="2025-06-29T00:00:00"/>
    <m/>
    <s v="dom"/>
    <x v="1"/>
    <x v="1"/>
    <m/>
    <s v="103645837"/>
  </r>
  <r>
    <n v="1036"/>
    <n v="22"/>
    <s v="Masculino"/>
    <s v="Pintura"/>
    <s v="Operador"/>
    <s v="3º Turno"/>
    <x v="1"/>
    <s v="Não"/>
    <x v="0"/>
    <d v="2025-06-30T00:00:00"/>
    <m/>
    <s v="seg"/>
    <x v="1"/>
    <x v="1"/>
    <m/>
    <s v="103645838"/>
  </r>
  <r>
    <n v="1036"/>
    <n v="22"/>
    <s v="Masculino"/>
    <s v="Pintura"/>
    <s v="Operador"/>
    <s v="3º Turno"/>
    <x v="1"/>
    <s v="Não"/>
    <x v="0"/>
    <d v="2025-07-01T00:00:00"/>
    <m/>
    <s v="ter"/>
    <x v="6"/>
    <x v="1"/>
    <m/>
    <s v="103645839"/>
  </r>
  <r>
    <n v="1036"/>
    <n v="22"/>
    <s v="Masculino"/>
    <s v="Pintura"/>
    <s v="Operador"/>
    <s v="3º Turno"/>
    <x v="1"/>
    <s v="Não"/>
    <x v="0"/>
    <d v="2025-07-02T00:00:00"/>
    <m/>
    <s v="qua"/>
    <x v="6"/>
    <x v="1"/>
    <m/>
    <s v="103645840"/>
  </r>
  <r>
    <n v="1036"/>
    <n v="22"/>
    <s v="Masculino"/>
    <s v="Pintura"/>
    <s v="Operador"/>
    <s v="3º Turno"/>
    <x v="1"/>
    <s v="Não"/>
    <x v="0"/>
    <d v="2025-07-03T00:00:00"/>
    <m/>
    <s v="qui"/>
    <x v="6"/>
    <x v="1"/>
    <m/>
    <s v="103645841"/>
  </r>
  <r>
    <n v="1036"/>
    <n v="22"/>
    <s v="Masculino"/>
    <s v="Pintura"/>
    <s v="Operador"/>
    <s v="3º Turno"/>
    <x v="1"/>
    <s v="Não"/>
    <x v="0"/>
    <d v="2025-07-04T00:00:00"/>
    <m/>
    <s v="sex"/>
    <x v="6"/>
    <x v="1"/>
    <m/>
    <s v="103645842"/>
  </r>
  <r>
    <n v="1036"/>
    <n v="22"/>
    <s v="Masculino"/>
    <s v="Pintura"/>
    <s v="Operador"/>
    <s v="3º Turno"/>
    <x v="1"/>
    <s v="Não"/>
    <x v="0"/>
    <d v="2025-07-05T00:00:00"/>
    <m/>
    <s v="sáb"/>
    <x v="6"/>
    <x v="1"/>
    <m/>
    <s v="103645843"/>
  </r>
  <r>
    <n v="1036"/>
    <n v="22"/>
    <s v="Masculino"/>
    <s v="Pintura"/>
    <s v="Operador"/>
    <s v="3º Turno"/>
    <x v="1"/>
    <s v="Não"/>
    <x v="0"/>
    <d v="2025-07-06T00:00:00"/>
    <m/>
    <s v="dom"/>
    <x v="6"/>
    <x v="1"/>
    <m/>
    <s v="103645844"/>
  </r>
  <r>
    <n v="1036"/>
    <n v="22"/>
    <s v="Masculino"/>
    <s v="Pintura"/>
    <s v="Operador"/>
    <s v="3º Turno"/>
    <x v="1"/>
    <s v="Não"/>
    <x v="0"/>
    <d v="2025-07-07T00:00:00"/>
    <m/>
    <s v="seg"/>
    <x v="6"/>
    <x v="1"/>
    <m/>
    <s v="103645845"/>
  </r>
  <r>
    <n v="1036"/>
    <n v="22"/>
    <s v="Masculino"/>
    <s v="Pintura"/>
    <s v="Operador"/>
    <s v="3º Turno"/>
    <x v="1"/>
    <s v="Não"/>
    <x v="0"/>
    <d v="2025-07-08T00:00:00"/>
    <m/>
    <s v="ter"/>
    <x v="6"/>
    <x v="1"/>
    <m/>
    <s v="103645846"/>
  </r>
  <r>
    <n v="1036"/>
    <n v="22"/>
    <s v="Masculino"/>
    <s v="Pintura"/>
    <s v="Operador"/>
    <s v="3º Turno"/>
    <x v="1"/>
    <s v="Não"/>
    <x v="0"/>
    <d v="2025-07-09T00:00:00"/>
    <m/>
    <s v="qua"/>
    <x v="6"/>
    <x v="1"/>
    <m/>
    <s v="103645847"/>
  </r>
  <r>
    <n v="1036"/>
    <n v="22"/>
    <s v="Masculino"/>
    <s v="Pintura"/>
    <s v="Operador"/>
    <s v="3º Turno"/>
    <x v="1"/>
    <s v="Não"/>
    <x v="0"/>
    <d v="2025-07-10T00:00:00"/>
    <m/>
    <s v="qui"/>
    <x v="6"/>
    <x v="1"/>
    <m/>
    <s v="103645848"/>
  </r>
  <r>
    <n v="1036"/>
    <n v="22"/>
    <s v="Masculino"/>
    <s v="Pintura"/>
    <s v="Operador"/>
    <s v="3º Turno"/>
    <x v="1"/>
    <s v="Não"/>
    <x v="0"/>
    <d v="2025-07-11T00:00:00"/>
    <m/>
    <s v="sex"/>
    <x v="6"/>
    <x v="1"/>
    <m/>
    <s v="103645849"/>
  </r>
  <r>
    <n v="1036"/>
    <n v="22"/>
    <s v="Masculino"/>
    <s v="Pintura"/>
    <s v="Operador"/>
    <s v="3º Turno"/>
    <x v="1"/>
    <s v="Não"/>
    <x v="0"/>
    <d v="2025-07-12T00:00:00"/>
    <m/>
    <s v="sáb"/>
    <x v="6"/>
    <x v="1"/>
    <m/>
    <s v="103645850"/>
  </r>
  <r>
    <n v="1036"/>
    <n v="22"/>
    <s v="Masculino"/>
    <s v="Pintura"/>
    <s v="Operador"/>
    <s v="3º Turno"/>
    <x v="1"/>
    <s v="Não"/>
    <x v="0"/>
    <d v="2025-07-13T00:00:00"/>
    <m/>
    <s v="dom"/>
    <x v="6"/>
    <x v="1"/>
    <m/>
    <s v="103645851"/>
  </r>
  <r>
    <n v="1036"/>
    <n v="22"/>
    <s v="Masculino"/>
    <s v="Pintura"/>
    <s v="Operador"/>
    <s v="3º Turno"/>
    <x v="1"/>
    <s v="Não"/>
    <x v="0"/>
    <d v="2025-07-14T00:00:00"/>
    <m/>
    <s v="seg"/>
    <x v="6"/>
    <x v="1"/>
    <m/>
    <s v="103645852"/>
  </r>
  <r>
    <n v="1036"/>
    <n v="22"/>
    <s v="Masculino"/>
    <s v="Pintura"/>
    <s v="Operador"/>
    <s v="3º Turno"/>
    <x v="1"/>
    <s v="Não"/>
    <x v="0"/>
    <d v="2025-07-15T00:00:00"/>
    <m/>
    <s v="ter"/>
    <x v="6"/>
    <x v="1"/>
    <m/>
    <s v="103645853"/>
  </r>
  <r>
    <n v="1036"/>
    <n v="22"/>
    <s v="Masculino"/>
    <s v="Pintura"/>
    <s v="Operador"/>
    <s v="3º Turno"/>
    <x v="1"/>
    <s v="Não"/>
    <x v="0"/>
    <d v="2025-07-16T00:00:00"/>
    <m/>
    <s v="qua"/>
    <x v="6"/>
    <x v="1"/>
    <m/>
    <s v="103645854"/>
  </r>
  <r>
    <n v="1036"/>
    <n v="22"/>
    <s v="Masculino"/>
    <s v="Pintura"/>
    <s v="Operador"/>
    <s v="3º Turno"/>
    <x v="1"/>
    <s v="Não"/>
    <x v="0"/>
    <d v="2025-07-17T00:00:00"/>
    <m/>
    <s v="qui"/>
    <x v="6"/>
    <x v="1"/>
    <m/>
    <s v="103645855"/>
  </r>
  <r>
    <n v="1036"/>
    <n v="22"/>
    <s v="Masculino"/>
    <s v="Pintura"/>
    <s v="Operador"/>
    <s v="3º Turno"/>
    <x v="1"/>
    <s v="Não"/>
    <x v="0"/>
    <d v="2025-07-18T00:00:00"/>
    <m/>
    <s v="sex"/>
    <x v="6"/>
    <x v="1"/>
    <m/>
    <s v="103645856"/>
  </r>
  <r>
    <n v="1036"/>
    <n v="22"/>
    <s v="Masculino"/>
    <s v="Pintura"/>
    <s v="Operador"/>
    <s v="3º Turno"/>
    <x v="1"/>
    <s v="Não"/>
    <x v="0"/>
    <d v="2025-07-19T00:00:00"/>
    <m/>
    <s v="sáb"/>
    <x v="6"/>
    <x v="1"/>
    <m/>
    <s v="103645857"/>
  </r>
  <r>
    <n v="1036"/>
    <n v="22"/>
    <s v="Masculino"/>
    <s v="Pintura"/>
    <s v="Operador"/>
    <s v="3º Turno"/>
    <x v="1"/>
    <s v="Não"/>
    <x v="0"/>
    <d v="2025-07-20T00:00:00"/>
    <m/>
    <s v="dom"/>
    <x v="6"/>
    <x v="1"/>
    <m/>
    <s v="103645858"/>
  </r>
  <r>
    <n v="1036"/>
    <n v="22"/>
    <s v="Masculino"/>
    <s v="Pintura"/>
    <s v="Operador"/>
    <s v="3º Turno"/>
    <x v="1"/>
    <s v="Não"/>
    <x v="0"/>
    <d v="2025-07-21T00:00:00"/>
    <m/>
    <s v="seg"/>
    <x v="6"/>
    <x v="1"/>
    <m/>
    <s v="103645859"/>
  </r>
  <r>
    <n v="1036"/>
    <n v="22"/>
    <s v="Masculino"/>
    <s v="Pintura"/>
    <s v="Operador"/>
    <s v="3º Turno"/>
    <x v="1"/>
    <s v="Não"/>
    <x v="0"/>
    <d v="2025-07-22T00:00:00"/>
    <m/>
    <s v="ter"/>
    <x v="6"/>
    <x v="1"/>
    <m/>
    <s v="103645860"/>
  </r>
  <r>
    <n v="1036"/>
    <n v="22"/>
    <s v="Masculino"/>
    <s v="Pintura"/>
    <s v="Operador"/>
    <s v="3º Turno"/>
    <x v="1"/>
    <s v="Não"/>
    <x v="0"/>
    <d v="2025-07-23T00:00:00"/>
    <m/>
    <s v="qua"/>
    <x v="6"/>
    <x v="1"/>
    <m/>
    <s v="103645861"/>
  </r>
  <r>
    <n v="1036"/>
    <n v="22"/>
    <s v="Masculino"/>
    <s v="Pintura"/>
    <s v="Operador"/>
    <s v="3º Turno"/>
    <x v="1"/>
    <s v="Não"/>
    <x v="0"/>
    <d v="2025-07-24T00:00:00"/>
    <m/>
    <s v="qui"/>
    <x v="6"/>
    <x v="1"/>
    <m/>
    <s v="103645862"/>
  </r>
  <r>
    <n v="1036"/>
    <n v="22"/>
    <s v="Masculino"/>
    <s v="Pintura"/>
    <s v="Operador"/>
    <s v="3º Turno"/>
    <x v="1"/>
    <s v="Não"/>
    <x v="0"/>
    <d v="2025-07-25T00:00:00"/>
    <m/>
    <s v="sex"/>
    <x v="6"/>
    <x v="1"/>
    <m/>
    <s v="103645863"/>
  </r>
  <r>
    <n v="1036"/>
    <n v="22"/>
    <s v="Masculino"/>
    <s v="Pintura"/>
    <s v="Operador"/>
    <s v="3º Turno"/>
    <x v="1"/>
    <s v="Não"/>
    <x v="0"/>
    <d v="2025-07-26T00:00:00"/>
    <m/>
    <s v="sáb"/>
    <x v="6"/>
    <x v="1"/>
    <m/>
    <s v="103645864"/>
  </r>
  <r>
    <n v="1036"/>
    <n v="22"/>
    <s v="Masculino"/>
    <s v="Pintura"/>
    <s v="Operador"/>
    <s v="3º Turno"/>
    <x v="1"/>
    <s v="Não"/>
    <x v="0"/>
    <d v="2025-07-27T00:00:00"/>
    <m/>
    <s v="dom"/>
    <x v="6"/>
    <x v="1"/>
    <m/>
    <s v="103645865"/>
  </r>
  <r>
    <n v="1036"/>
    <n v="22"/>
    <s v="Masculino"/>
    <s v="Pintura"/>
    <s v="Operador"/>
    <s v="3º Turno"/>
    <x v="1"/>
    <s v="Não"/>
    <x v="0"/>
    <d v="2025-07-28T00:00:00"/>
    <m/>
    <s v="seg"/>
    <x v="6"/>
    <x v="1"/>
    <m/>
    <s v="103645866"/>
  </r>
  <r>
    <n v="1036"/>
    <n v="22"/>
    <s v="Masculino"/>
    <s v="Pintura"/>
    <s v="Operador"/>
    <s v="3º Turno"/>
    <x v="1"/>
    <s v="Não"/>
    <x v="0"/>
    <d v="2025-07-29T00:00:00"/>
    <m/>
    <s v="ter"/>
    <x v="6"/>
    <x v="1"/>
    <m/>
    <s v="103645867"/>
  </r>
  <r>
    <n v="1036"/>
    <n v="22"/>
    <s v="Masculino"/>
    <s v="Pintura"/>
    <s v="Operador"/>
    <s v="3º Turno"/>
    <x v="1"/>
    <s v="Não"/>
    <x v="0"/>
    <d v="2025-07-30T00:00:00"/>
    <m/>
    <s v="qua"/>
    <x v="6"/>
    <x v="1"/>
    <m/>
    <s v="103645868"/>
  </r>
  <r>
    <n v="1036"/>
    <n v="22"/>
    <s v="Masculino"/>
    <s v="Pintura"/>
    <s v="Operador"/>
    <s v="3º Turno"/>
    <x v="1"/>
    <s v="Não"/>
    <x v="0"/>
    <d v="2025-07-31T00:00:00"/>
    <m/>
    <s v="qui"/>
    <x v="6"/>
    <x v="1"/>
    <m/>
    <s v="103645869"/>
  </r>
  <r>
    <n v="1036"/>
    <n v="22"/>
    <s v="Masculino"/>
    <s v="Pintura"/>
    <s v="Operador"/>
    <s v="3º Turno"/>
    <x v="1"/>
    <s v="Não"/>
    <x v="0"/>
    <d v="2025-08-01T00:00:00"/>
    <m/>
    <s v="sex"/>
    <x v="9"/>
    <x v="1"/>
    <m/>
    <s v="103645870"/>
  </r>
  <r>
    <n v="1036"/>
    <n v="22"/>
    <s v="Masculino"/>
    <s v="Pintura"/>
    <s v="Operador"/>
    <s v="3º Turno"/>
    <x v="1"/>
    <s v="Não"/>
    <x v="0"/>
    <d v="2025-08-02T00:00:00"/>
    <m/>
    <s v="sáb"/>
    <x v="9"/>
    <x v="1"/>
    <m/>
    <s v="103645871"/>
  </r>
  <r>
    <n v="1036"/>
    <n v="22"/>
    <s v="Masculino"/>
    <s v="Pintura"/>
    <s v="Operador"/>
    <s v="3º Turno"/>
    <x v="1"/>
    <s v="Não"/>
    <x v="0"/>
    <d v="2025-08-03T00:00:00"/>
    <m/>
    <s v="dom"/>
    <x v="9"/>
    <x v="1"/>
    <m/>
    <s v="103645872"/>
  </r>
  <r>
    <n v="1036"/>
    <n v="22"/>
    <s v="Masculino"/>
    <s v="Pintura"/>
    <s v="Operador"/>
    <s v="3º Turno"/>
    <x v="1"/>
    <s v="Não"/>
    <x v="0"/>
    <d v="2025-08-04T00:00:00"/>
    <m/>
    <s v="seg"/>
    <x v="9"/>
    <x v="1"/>
    <m/>
    <s v="103645873"/>
  </r>
  <r>
    <n v="1036"/>
    <n v="22"/>
    <s v="Masculino"/>
    <s v="Pintura"/>
    <s v="Operador"/>
    <s v="3º Turno"/>
    <x v="1"/>
    <s v="Não"/>
    <x v="0"/>
    <d v="2025-08-05T00:00:00"/>
    <m/>
    <s v="ter"/>
    <x v="9"/>
    <x v="1"/>
    <m/>
    <s v="103645874"/>
  </r>
  <r>
    <n v="1036"/>
    <n v="22"/>
    <s v="Masculino"/>
    <s v="Pintura"/>
    <s v="Operador"/>
    <s v="3º Turno"/>
    <x v="1"/>
    <s v="Não"/>
    <x v="0"/>
    <d v="2025-08-06T00:00:00"/>
    <m/>
    <s v="qua"/>
    <x v="9"/>
    <x v="1"/>
    <m/>
    <s v="103645875"/>
  </r>
  <r>
    <n v="1036"/>
    <n v="22"/>
    <s v="Masculino"/>
    <s v="Pintura"/>
    <s v="Operador"/>
    <s v="3º Turno"/>
    <x v="1"/>
    <s v="Não"/>
    <x v="0"/>
    <d v="2025-08-07T00:00:00"/>
    <m/>
    <s v="qui"/>
    <x v="9"/>
    <x v="1"/>
    <m/>
    <s v="103645876"/>
  </r>
  <r>
    <n v="1036"/>
    <n v="22"/>
    <s v="Masculino"/>
    <s v="Pintura"/>
    <s v="Operador"/>
    <s v="3º Turno"/>
    <x v="1"/>
    <s v="Não"/>
    <x v="0"/>
    <d v="2025-08-08T00:00:00"/>
    <m/>
    <s v="sex"/>
    <x v="9"/>
    <x v="1"/>
    <m/>
    <s v="103645877"/>
  </r>
  <r>
    <n v="1036"/>
    <n v="22"/>
    <s v="Masculino"/>
    <s v="Pintura"/>
    <s v="Operador"/>
    <s v="3º Turno"/>
    <x v="1"/>
    <s v="Não"/>
    <x v="0"/>
    <d v="2025-08-09T00:00:00"/>
    <m/>
    <s v="sáb"/>
    <x v="9"/>
    <x v="1"/>
    <m/>
    <s v="103645878"/>
  </r>
  <r>
    <n v="1036"/>
    <n v="22"/>
    <s v="Masculino"/>
    <s v="Pintura"/>
    <s v="Operador"/>
    <s v="3º Turno"/>
    <x v="1"/>
    <s v="Não"/>
    <x v="0"/>
    <d v="2025-08-10T00:00:00"/>
    <m/>
    <s v="dom"/>
    <x v="9"/>
    <x v="1"/>
    <m/>
    <s v="103645879"/>
  </r>
  <r>
    <n v="1036"/>
    <n v="22"/>
    <s v="Masculino"/>
    <s v="Pintura"/>
    <s v="Operador"/>
    <s v="3º Turno"/>
    <x v="1"/>
    <s v="Não"/>
    <x v="0"/>
    <d v="2025-08-11T00:00:00"/>
    <m/>
    <s v="seg"/>
    <x v="9"/>
    <x v="1"/>
    <m/>
    <s v="103645880"/>
  </r>
  <r>
    <n v="1036"/>
    <n v="22"/>
    <s v="Masculino"/>
    <s v="Pintura"/>
    <s v="Operador"/>
    <s v="3º Turno"/>
    <x v="1"/>
    <s v="Não"/>
    <x v="0"/>
    <d v="2025-08-12T00:00:00"/>
    <m/>
    <s v="ter"/>
    <x v="9"/>
    <x v="1"/>
    <m/>
    <s v="103645881"/>
  </r>
  <r>
    <n v="1036"/>
    <n v="22"/>
    <s v="Masculino"/>
    <s v="Pintura"/>
    <s v="Operador"/>
    <s v="3º Turno"/>
    <x v="1"/>
    <s v="Não"/>
    <x v="0"/>
    <d v="2025-08-13T00:00:00"/>
    <m/>
    <s v="qua"/>
    <x v="9"/>
    <x v="1"/>
    <m/>
    <s v="103645882"/>
  </r>
  <r>
    <n v="1036"/>
    <n v="22"/>
    <s v="Masculino"/>
    <s v="Pintura"/>
    <s v="Operador"/>
    <s v="3º Turno"/>
    <x v="1"/>
    <s v="Não"/>
    <x v="0"/>
    <d v="2025-08-14T00:00:00"/>
    <m/>
    <s v="qui"/>
    <x v="9"/>
    <x v="1"/>
    <m/>
    <s v="103645883"/>
  </r>
  <r>
    <n v="1036"/>
    <n v="22"/>
    <s v="Masculino"/>
    <s v="Pintura"/>
    <s v="Operador"/>
    <s v="3º Turno"/>
    <x v="1"/>
    <s v="Não"/>
    <x v="0"/>
    <d v="2025-08-15T00:00:00"/>
    <m/>
    <s v="sex"/>
    <x v="9"/>
    <x v="1"/>
    <m/>
    <s v="103645884"/>
  </r>
  <r>
    <n v="1036"/>
    <n v="22"/>
    <s v="Masculino"/>
    <s v="Pintura"/>
    <s v="Operador"/>
    <s v="3º Turno"/>
    <x v="1"/>
    <s v="Não"/>
    <x v="0"/>
    <d v="2025-08-16T00:00:00"/>
    <m/>
    <s v="sáb"/>
    <x v="9"/>
    <x v="1"/>
    <m/>
    <s v="103645885"/>
  </r>
  <r>
    <n v="1036"/>
    <n v="22"/>
    <s v="Masculino"/>
    <s v="Pintura"/>
    <s v="Operador"/>
    <s v="3º Turno"/>
    <x v="1"/>
    <s v="Não"/>
    <x v="0"/>
    <d v="2025-08-17T00:00:00"/>
    <m/>
    <s v="dom"/>
    <x v="9"/>
    <x v="1"/>
    <m/>
    <s v="103645886"/>
  </r>
  <r>
    <n v="1036"/>
    <n v="22"/>
    <s v="Masculino"/>
    <s v="Pintura"/>
    <s v="Operador"/>
    <s v="3º Turno"/>
    <x v="1"/>
    <s v="Não"/>
    <x v="0"/>
    <d v="2025-08-18T00:00:00"/>
    <m/>
    <s v="seg"/>
    <x v="9"/>
    <x v="1"/>
    <m/>
    <s v="103645887"/>
  </r>
  <r>
    <n v="1036"/>
    <n v="22"/>
    <s v="Masculino"/>
    <s v="Pintura"/>
    <s v="Operador"/>
    <s v="3º Turno"/>
    <x v="1"/>
    <s v="Não"/>
    <x v="0"/>
    <d v="2025-08-19T00:00:00"/>
    <m/>
    <s v="ter"/>
    <x v="9"/>
    <x v="1"/>
    <m/>
    <s v="103645888"/>
  </r>
  <r>
    <n v="1036"/>
    <n v="22"/>
    <s v="Masculino"/>
    <s v="Pintura"/>
    <s v="Operador"/>
    <s v="3º Turno"/>
    <x v="1"/>
    <s v="Não"/>
    <x v="0"/>
    <d v="2025-08-20T00:00:00"/>
    <m/>
    <s v="qua"/>
    <x v="9"/>
    <x v="1"/>
    <m/>
    <s v="103645889"/>
  </r>
  <r>
    <n v="1036"/>
    <n v="22"/>
    <s v="Masculino"/>
    <s v="Pintura"/>
    <s v="Operador"/>
    <s v="3º Turno"/>
    <x v="1"/>
    <s v="Não"/>
    <x v="0"/>
    <d v="2025-08-21T00:00:00"/>
    <m/>
    <s v="qui"/>
    <x v="9"/>
    <x v="1"/>
    <m/>
    <s v="103645890"/>
  </r>
  <r>
    <n v="1036"/>
    <n v="22"/>
    <s v="Masculino"/>
    <s v="Pintura"/>
    <s v="Operador"/>
    <s v="3º Turno"/>
    <x v="1"/>
    <s v="Não"/>
    <x v="0"/>
    <d v="2025-08-22T00:00:00"/>
    <m/>
    <s v="sex"/>
    <x v="9"/>
    <x v="1"/>
    <m/>
    <s v="103645891"/>
  </r>
  <r>
    <n v="1036"/>
    <n v="22"/>
    <s v="Masculino"/>
    <s v="Pintura"/>
    <s v="Operador"/>
    <s v="3º Turno"/>
    <x v="1"/>
    <s v="Não"/>
    <x v="0"/>
    <d v="2025-08-23T00:00:00"/>
    <m/>
    <s v="sáb"/>
    <x v="9"/>
    <x v="1"/>
    <m/>
    <s v="103645892"/>
  </r>
  <r>
    <n v="1036"/>
    <n v="22"/>
    <s v="Masculino"/>
    <s v="Pintura"/>
    <s v="Operador"/>
    <s v="3º Turno"/>
    <x v="1"/>
    <s v="Não"/>
    <x v="0"/>
    <d v="2025-08-24T00:00:00"/>
    <m/>
    <s v="dom"/>
    <x v="9"/>
    <x v="1"/>
    <m/>
    <s v="103645893"/>
  </r>
  <r>
    <n v="1036"/>
    <n v="22"/>
    <s v="Masculino"/>
    <s v="Pintura"/>
    <s v="Operador"/>
    <s v="3º Turno"/>
    <x v="1"/>
    <s v="Não"/>
    <x v="0"/>
    <d v="2025-08-25T00:00:00"/>
    <m/>
    <s v="seg"/>
    <x v="9"/>
    <x v="1"/>
    <m/>
    <s v="103645894"/>
  </r>
  <r>
    <n v="1036"/>
    <n v="22"/>
    <s v="Masculino"/>
    <s v="Pintura"/>
    <s v="Operador"/>
    <s v="3º Turno"/>
    <x v="1"/>
    <s v="Não"/>
    <x v="0"/>
    <d v="2025-08-26T00:00:00"/>
    <m/>
    <s v="ter"/>
    <x v="9"/>
    <x v="1"/>
    <m/>
    <s v="103645895"/>
  </r>
  <r>
    <n v="1036"/>
    <n v="22"/>
    <s v="Masculino"/>
    <s v="Pintura"/>
    <s v="Operador"/>
    <s v="3º Turno"/>
    <x v="1"/>
    <s v="Não"/>
    <x v="0"/>
    <d v="2025-08-27T00:00:00"/>
    <m/>
    <s v="qua"/>
    <x v="9"/>
    <x v="1"/>
    <m/>
    <s v="103645896"/>
  </r>
  <r>
    <n v="1036"/>
    <n v="22"/>
    <s v="Masculino"/>
    <s v="Pintura"/>
    <s v="Operador"/>
    <s v="3º Turno"/>
    <x v="1"/>
    <s v="Não"/>
    <x v="0"/>
    <d v="2025-08-28T00:00:00"/>
    <m/>
    <s v="qui"/>
    <x v="9"/>
    <x v="1"/>
    <m/>
    <s v="103645897"/>
  </r>
  <r>
    <n v="1036"/>
    <n v="22"/>
    <s v="Masculino"/>
    <s v="Pintura"/>
    <s v="Operador"/>
    <s v="3º Turno"/>
    <x v="1"/>
    <s v="Não"/>
    <x v="0"/>
    <d v="2025-08-29T00:00:00"/>
    <m/>
    <s v="sex"/>
    <x v="9"/>
    <x v="1"/>
    <m/>
    <s v="103645898"/>
  </r>
  <r>
    <n v="1036"/>
    <n v="22"/>
    <s v="Masculino"/>
    <s v="Pintura"/>
    <s v="Operador"/>
    <s v="3º Turno"/>
    <x v="1"/>
    <s v="Não"/>
    <x v="0"/>
    <d v="2025-08-30T00:00:00"/>
    <m/>
    <s v="sáb"/>
    <x v="9"/>
    <x v="1"/>
    <m/>
    <s v="103645899"/>
  </r>
  <r>
    <n v="1036"/>
    <n v="22"/>
    <s v="Masculino"/>
    <s v="Pintura"/>
    <s v="Operador"/>
    <s v="3º Turno"/>
    <x v="1"/>
    <s v="Não"/>
    <x v="0"/>
    <d v="2025-08-31T00:00:00"/>
    <m/>
    <s v="dom"/>
    <x v="9"/>
    <x v="1"/>
    <m/>
    <s v="103645900"/>
  </r>
  <r>
    <n v="1036"/>
    <n v="22"/>
    <s v="Masculino"/>
    <s v="Pintura"/>
    <s v="Operador"/>
    <s v="3º Turno"/>
    <x v="1"/>
    <s v="Não"/>
    <x v="0"/>
    <d v="2025-09-01T00:00:00"/>
    <m/>
    <s v="seg"/>
    <x v="7"/>
    <x v="1"/>
    <m/>
    <s v="103645901"/>
  </r>
  <r>
    <n v="1036"/>
    <n v="22"/>
    <s v="Masculino"/>
    <s v="Pintura"/>
    <s v="Operador"/>
    <s v="3º Turno"/>
    <x v="1"/>
    <s v="Não"/>
    <x v="0"/>
    <d v="2025-09-02T00:00:00"/>
    <m/>
    <s v="ter"/>
    <x v="7"/>
    <x v="1"/>
    <m/>
    <s v="103645902"/>
  </r>
  <r>
    <n v="1036"/>
    <n v="22"/>
    <s v="Masculino"/>
    <s v="Pintura"/>
    <s v="Operador"/>
    <s v="3º Turno"/>
    <x v="1"/>
    <s v="Não"/>
    <x v="0"/>
    <d v="2025-09-03T00:00:00"/>
    <m/>
    <s v="qua"/>
    <x v="7"/>
    <x v="1"/>
    <m/>
    <s v="103645903"/>
  </r>
  <r>
    <n v="1036"/>
    <n v="22"/>
    <s v="Masculino"/>
    <s v="Pintura"/>
    <s v="Operador"/>
    <s v="3º Turno"/>
    <x v="1"/>
    <s v="Não"/>
    <x v="0"/>
    <d v="2025-09-04T00:00:00"/>
    <m/>
    <s v="qui"/>
    <x v="7"/>
    <x v="1"/>
    <m/>
    <s v="103645904"/>
  </r>
  <r>
    <n v="1036"/>
    <n v="22"/>
    <s v="Masculino"/>
    <s v="Pintura"/>
    <s v="Operador"/>
    <s v="3º Turno"/>
    <x v="1"/>
    <s v="Não"/>
    <x v="0"/>
    <d v="2025-09-05T00:00:00"/>
    <m/>
    <s v="sex"/>
    <x v="7"/>
    <x v="1"/>
    <m/>
    <s v="103645905"/>
  </r>
  <r>
    <n v="1036"/>
    <n v="22"/>
    <s v="Masculino"/>
    <s v="Pintura"/>
    <s v="Operador"/>
    <s v="3º Turno"/>
    <x v="1"/>
    <s v="Não"/>
    <x v="0"/>
    <d v="2025-09-06T00:00:00"/>
    <m/>
    <s v="sáb"/>
    <x v="7"/>
    <x v="1"/>
    <m/>
    <s v="103645906"/>
  </r>
  <r>
    <n v="1036"/>
    <n v="22"/>
    <s v="Masculino"/>
    <s v="Pintura"/>
    <s v="Operador"/>
    <s v="3º Turno"/>
    <x v="1"/>
    <s v="Não"/>
    <x v="0"/>
    <d v="2025-09-07T00:00:00"/>
    <m/>
    <s v="dom"/>
    <x v="7"/>
    <x v="1"/>
    <m/>
    <s v="103645907"/>
  </r>
  <r>
    <n v="1036"/>
    <n v="22"/>
    <s v="Masculino"/>
    <s v="Pintura"/>
    <s v="Operador"/>
    <s v="3º Turno"/>
    <x v="1"/>
    <s v="Não"/>
    <x v="0"/>
    <d v="2025-09-08T00:00:00"/>
    <m/>
    <s v="seg"/>
    <x v="7"/>
    <x v="1"/>
    <m/>
    <s v="103645908"/>
  </r>
  <r>
    <n v="1036"/>
    <n v="22"/>
    <s v="Masculino"/>
    <s v="Pintura"/>
    <s v="Operador"/>
    <s v="3º Turno"/>
    <x v="1"/>
    <s v="Não"/>
    <x v="0"/>
    <d v="2025-09-09T00:00:00"/>
    <m/>
    <s v="ter"/>
    <x v="7"/>
    <x v="1"/>
    <m/>
    <s v="103645909"/>
  </r>
  <r>
    <n v="1036"/>
    <n v="22"/>
    <s v="Masculino"/>
    <s v="Pintura"/>
    <s v="Operador"/>
    <s v="3º Turno"/>
    <x v="1"/>
    <s v="Não"/>
    <x v="0"/>
    <d v="2025-09-10T00:00:00"/>
    <m/>
    <s v="qua"/>
    <x v="7"/>
    <x v="1"/>
    <m/>
    <s v="103645910"/>
  </r>
  <r>
    <n v="1036"/>
    <n v="22"/>
    <s v="Masculino"/>
    <s v="Pintura"/>
    <s v="Operador"/>
    <s v="3º Turno"/>
    <x v="1"/>
    <s v="Não"/>
    <x v="0"/>
    <d v="2025-09-11T00:00:00"/>
    <m/>
    <s v="qui"/>
    <x v="7"/>
    <x v="1"/>
    <m/>
    <s v="103645911"/>
  </r>
  <r>
    <n v="1036"/>
    <n v="22"/>
    <s v="Masculino"/>
    <s v="Pintura"/>
    <s v="Operador"/>
    <s v="3º Turno"/>
    <x v="1"/>
    <s v="Não"/>
    <x v="0"/>
    <d v="2025-09-12T00:00:00"/>
    <m/>
    <s v="sex"/>
    <x v="7"/>
    <x v="1"/>
    <m/>
    <s v="103645912"/>
  </r>
  <r>
    <n v="1036"/>
    <n v="22"/>
    <s v="Masculino"/>
    <s v="Pintura"/>
    <s v="Operador"/>
    <s v="3º Turno"/>
    <x v="1"/>
    <s v="Não"/>
    <x v="0"/>
    <d v="2025-09-13T00:00:00"/>
    <m/>
    <s v="sáb"/>
    <x v="7"/>
    <x v="1"/>
    <m/>
    <s v="103645913"/>
  </r>
  <r>
    <n v="1036"/>
    <n v="22"/>
    <s v="Masculino"/>
    <s v="Pintura"/>
    <s v="Operador"/>
    <s v="3º Turno"/>
    <x v="1"/>
    <s v="Não"/>
    <x v="0"/>
    <d v="2025-09-14T00:00:00"/>
    <m/>
    <s v="dom"/>
    <x v="7"/>
    <x v="1"/>
    <m/>
    <s v="103645914"/>
  </r>
  <r>
    <n v="1036"/>
    <n v="22"/>
    <s v="Masculino"/>
    <s v="Pintura"/>
    <s v="Operador"/>
    <s v="3º Turno"/>
    <x v="1"/>
    <s v="Não"/>
    <x v="0"/>
    <d v="2025-09-15T00:00:00"/>
    <m/>
    <s v="seg"/>
    <x v="7"/>
    <x v="1"/>
    <m/>
    <s v="103645915"/>
  </r>
  <r>
    <n v="1036"/>
    <n v="22"/>
    <s v="Masculino"/>
    <s v="Pintura"/>
    <s v="Operador"/>
    <s v="3º Turno"/>
    <x v="1"/>
    <s v="Não"/>
    <x v="0"/>
    <d v="2025-09-16T00:00:00"/>
    <m/>
    <s v="ter"/>
    <x v="7"/>
    <x v="1"/>
    <m/>
    <s v="103645916"/>
  </r>
  <r>
    <n v="1036"/>
    <n v="22"/>
    <s v="Masculino"/>
    <s v="Pintura"/>
    <s v="Operador"/>
    <s v="3º Turno"/>
    <x v="1"/>
    <s v="Não"/>
    <x v="0"/>
    <d v="2025-09-17T00:00:00"/>
    <m/>
    <s v="qua"/>
    <x v="7"/>
    <x v="1"/>
    <m/>
    <s v="103645917"/>
  </r>
  <r>
    <n v="1036"/>
    <n v="22"/>
    <s v="Masculino"/>
    <s v="Pintura"/>
    <s v="Operador"/>
    <s v="3º Turno"/>
    <x v="1"/>
    <s v="Não"/>
    <x v="0"/>
    <d v="2025-09-18T00:00:00"/>
    <m/>
    <s v="qui"/>
    <x v="7"/>
    <x v="1"/>
    <m/>
    <s v="103645918"/>
  </r>
  <r>
    <n v="1036"/>
    <n v="22"/>
    <s v="Masculino"/>
    <s v="Pintura"/>
    <s v="Operador"/>
    <s v="3º Turno"/>
    <x v="1"/>
    <s v="Não"/>
    <x v="0"/>
    <d v="2025-09-19T00:00:00"/>
    <m/>
    <s v="sex"/>
    <x v="7"/>
    <x v="1"/>
    <m/>
    <s v="103645919"/>
  </r>
  <r>
    <n v="1036"/>
    <n v="22"/>
    <s v="Masculino"/>
    <s v="Pintura"/>
    <s v="Operador"/>
    <s v="3º Turno"/>
    <x v="1"/>
    <s v="Não"/>
    <x v="0"/>
    <d v="2025-09-20T00:00:00"/>
    <m/>
    <s v="sáb"/>
    <x v="7"/>
    <x v="1"/>
    <m/>
    <s v="103645920"/>
  </r>
  <r>
    <n v="1036"/>
    <n v="22"/>
    <s v="Masculino"/>
    <s v="Pintura"/>
    <s v="Operador"/>
    <s v="3º Turno"/>
    <x v="1"/>
    <s v="Não"/>
    <x v="0"/>
    <d v="2025-09-21T00:00:00"/>
    <m/>
    <s v="dom"/>
    <x v="7"/>
    <x v="1"/>
    <m/>
    <s v="103645921"/>
  </r>
  <r>
    <n v="1036"/>
    <n v="22"/>
    <s v="Masculino"/>
    <s v="Pintura"/>
    <s v="Operador"/>
    <s v="3º Turno"/>
    <x v="1"/>
    <s v="Não"/>
    <x v="0"/>
    <d v="2025-09-22T00:00:00"/>
    <m/>
    <s v="seg"/>
    <x v="7"/>
    <x v="1"/>
    <m/>
    <s v="103645922"/>
  </r>
  <r>
    <n v="1036"/>
    <n v="22"/>
    <s v="Masculino"/>
    <s v="Pintura"/>
    <s v="Operador"/>
    <s v="3º Turno"/>
    <x v="1"/>
    <s v="Não"/>
    <x v="0"/>
    <d v="2025-09-23T00:00:00"/>
    <m/>
    <s v="ter"/>
    <x v="7"/>
    <x v="1"/>
    <m/>
    <s v="103645923"/>
  </r>
  <r>
    <n v="1036"/>
    <n v="22"/>
    <s v="Masculino"/>
    <s v="Pintura"/>
    <s v="Operador"/>
    <s v="3º Turno"/>
    <x v="1"/>
    <s v="Não"/>
    <x v="0"/>
    <d v="2025-09-24T00:00:00"/>
    <m/>
    <s v="qua"/>
    <x v="7"/>
    <x v="1"/>
    <m/>
    <s v="103645924"/>
  </r>
  <r>
    <n v="1036"/>
    <n v="22"/>
    <s v="Masculino"/>
    <s v="Pintura"/>
    <s v="Operador"/>
    <s v="3º Turno"/>
    <x v="1"/>
    <s v="Não"/>
    <x v="0"/>
    <d v="2025-09-25T00:00:00"/>
    <m/>
    <s v="qui"/>
    <x v="7"/>
    <x v="1"/>
    <m/>
    <s v="103645925"/>
  </r>
  <r>
    <n v="1036"/>
    <n v="22"/>
    <s v="Masculino"/>
    <s v="Pintura"/>
    <s v="Operador"/>
    <s v="3º Turno"/>
    <x v="1"/>
    <s v="Não"/>
    <x v="0"/>
    <d v="2025-09-26T00:00:00"/>
    <m/>
    <s v="sex"/>
    <x v="7"/>
    <x v="1"/>
    <m/>
    <s v="103645926"/>
  </r>
  <r>
    <n v="1036"/>
    <n v="22"/>
    <s v="Masculino"/>
    <s v="Pintura"/>
    <s v="Operador"/>
    <s v="3º Turno"/>
    <x v="1"/>
    <s v="Não"/>
    <x v="0"/>
    <d v="2025-09-27T00:00:00"/>
    <m/>
    <s v="sáb"/>
    <x v="7"/>
    <x v="1"/>
    <m/>
    <s v="103645927"/>
  </r>
  <r>
    <n v="1036"/>
    <n v="22"/>
    <s v="Masculino"/>
    <s v="Pintura"/>
    <s v="Operador"/>
    <s v="3º Turno"/>
    <x v="1"/>
    <s v="Não"/>
    <x v="0"/>
    <d v="2025-09-28T00:00:00"/>
    <m/>
    <s v="dom"/>
    <x v="7"/>
    <x v="1"/>
    <m/>
    <s v="103645928"/>
  </r>
  <r>
    <n v="1036"/>
    <n v="22"/>
    <s v="Masculino"/>
    <s v="Pintura"/>
    <s v="Operador"/>
    <s v="3º Turno"/>
    <x v="1"/>
    <s v="Não"/>
    <x v="0"/>
    <d v="2025-09-29T00:00:00"/>
    <m/>
    <s v="seg"/>
    <x v="7"/>
    <x v="1"/>
    <m/>
    <s v="103645929"/>
  </r>
  <r>
    <n v="1036"/>
    <n v="22"/>
    <s v="Masculino"/>
    <s v="Pintura"/>
    <s v="Operador"/>
    <s v="3º Turno"/>
    <x v="1"/>
    <s v="Não"/>
    <x v="0"/>
    <d v="2025-09-30T00:00:00"/>
    <m/>
    <s v="ter"/>
    <x v="7"/>
    <x v="1"/>
    <m/>
    <s v="103645930"/>
  </r>
  <r>
    <n v="1036"/>
    <n v="22"/>
    <s v="Masculino"/>
    <s v="Pintura"/>
    <s v="Operador"/>
    <s v="3º Turno"/>
    <x v="1"/>
    <s v="Não"/>
    <x v="0"/>
    <d v="2025-10-01T00:00:00"/>
    <m/>
    <s v="qua"/>
    <x v="11"/>
    <x v="1"/>
    <m/>
    <s v="103645931"/>
  </r>
  <r>
    <n v="1036"/>
    <n v="22"/>
    <s v="Masculino"/>
    <s v="Pintura"/>
    <s v="Operador"/>
    <s v="3º Turno"/>
    <x v="1"/>
    <s v="Não"/>
    <x v="0"/>
    <d v="2025-10-02T00:00:00"/>
    <m/>
    <s v="qui"/>
    <x v="11"/>
    <x v="1"/>
    <m/>
    <s v="103645932"/>
  </r>
  <r>
    <n v="1036"/>
    <n v="22"/>
    <s v="Masculino"/>
    <s v="Pintura"/>
    <s v="Operador"/>
    <s v="3º Turno"/>
    <x v="1"/>
    <s v="Não"/>
    <x v="0"/>
    <d v="2025-10-03T00:00:00"/>
    <m/>
    <s v="sex"/>
    <x v="11"/>
    <x v="1"/>
    <m/>
    <s v="103645933"/>
  </r>
  <r>
    <n v="1036"/>
    <n v="22"/>
    <s v="Masculino"/>
    <s v="Pintura"/>
    <s v="Operador"/>
    <s v="3º Turno"/>
    <x v="1"/>
    <s v="Não"/>
    <x v="0"/>
    <d v="2025-10-04T00:00:00"/>
    <m/>
    <s v="sáb"/>
    <x v="11"/>
    <x v="1"/>
    <m/>
    <s v="103645934"/>
  </r>
  <r>
    <n v="1036"/>
    <n v="22"/>
    <s v="Masculino"/>
    <s v="Pintura"/>
    <s v="Operador"/>
    <s v="3º Turno"/>
    <x v="1"/>
    <s v="Não"/>
    <x v="0"/>
    <d v="2025-10-05T00:00:00"/>
    <m/>
    <s v="dom"/>
    <x v="11"/>
    <x v="1"/>
    <m/>
    <s v="103645935"/>
  </r>
  <r>
    <n v="1036"/>
    <n v="22"/>
    <s v="Masculino"/>
    <s v="Pintura"/>
    <s v="Operador"/>
    <s v="3º Turno"/>
    <x v="1"/>
    <s v="Não"/>
    <x v="0"/>
    <d v="2025-10-06T00:00:00"/>
    <m/>
    <s v="seg"/>
    <x v="11"/>
    <x v="1"/>
    <m/>
    <s v="103645936"/>
  </r>
  <r>
    <n v="1036"/>
    <n v="22"/>
    <s v="Masculino"/>
    <s v="Pintura"/>
    <s v="Operador"/>
    <s v="3º Turno"/>
    <x v="1"/>
    <s v="Não"/>
    <x v="0"/>
    <d v="2025-10-07T00:00:00"/>
    <m/>
    <s v="ter"/>
    <x v="11"/>
    <x v="1"/>
    <m/>
    <s v="103645937"/>
  </r>
  <r>
    <n v="1036"/>
    <n v="22"/>
    <s v="Masculino"/>
    <s v="Pintura"/>
    <s v="Operador"/>
    <s v="3º Turno"/>
    <x v="1"/>
    <s v="Não"/>
    <x v="0"/>
    <d v="2025-10-08T00:00:00"/>
    <m/>
    <s v="qua"/>
    <x v="11"/>
    <x v="1"/>
    <m/>
    <s v="103645938"/>
  </r>
  <r>
    <n v="1036"/>
    <n v="22"/>
    <s v="Masculino"/>
    <s v="Pintura"/>
    <s v="Operador"/>
    <s v="3º Turno"/>
    <x v="1"/>
    <s v="Não"/>
    <x v="0"/>
    <d v="2025-10-09T00:00:00"/>
    <m/>
    <s v="qui"/>
    <x v="11"/>
    <x v="1"/>
    <m/>
    <s v="103645939"/>
  </r>
  <r>
    <n v="1036"/>
    <n v="22"/>
    <s v="Masculino"/>
    <s v="Pintura"/>
    <s v="Operador"/>
    <s v="3º Turno"/>
    <x v="1"/>
    <s v="Não"/>
    <x v="0"/>
    <d v="2025-10-10T00:00:00"/>
    <m/>
    <s v="sex"/>
    <x v="11"/>
    <x v="1"/>
    <m/>
    <s v="103645940"/>
  </r>
  <r>
    <n v="1036"/>
    <n v="22"/>
    <s v="Masculino"/>
    <s v="Pintura"/>
    <s v="Operador"/>
    <s v="3º Turno"/>
    <x v="1"/>
    <s v="Não"/>
    <x v="0"/>
    <d v="2025-10-11T00:00:00"/>
    <m/>
    <s v="sáb"/>
    <x v="11"/>
    <x v="1"/>
    <m/>
    <s v="103645941"/>
  </r>
  <r>
    <n v="1036"/>
    <n v="22"/>
    <s v="Masculino"/>
    <s v="Pintura"/>
    <s v="Operador"/>
    <s v="3º Turno"/>
    <x v="1"/>
    <s v="Não"/>
    <x v="0"/>
    <d v="2025-10-12T00:00:00"/>
    <m/>
    <s v="dom"/>
    <x v="11"/>
    <x v="1"/>
    <m/>
    <s v="103645942"/>
  </r>
  <r>
    <n v="1036"/>
    <n v="22"/>
    <s v="Masculino"/>
    <s v="Pintura"/>
    <s v="Operador"/>
    <s v="3º Turno"/>
    <x v="1"/>
    <s v="Não"/>
    <x v="0"/>
    <d v="2025-10-13T00:00:00"/>
    <m/>
    <s v="seg"/>
    <x v="11"/>
    <x v="1"/>
    <m/>
    <s v="103645943"/>
  </r>
  <r>
    <n v="1036"/>
    <n v="22"/>
    <s v="Masculino"/>
    <s v="Pintura"/>
    <s v="Operador"/>
    <s v="3º Turno"/>
    <x v="1"/>
    <s v="Não"/>
    <x v="0"/>
    <d v="2025-10-14T00:00:00"/>
    <m/>
    <s v="ter"/>
    <x v="11"/>
    <x v="1"/>
    <m/>
    <s v="103645944"/>
  </r>
  <r>
    <n v="1036"/>
    <n v="22"/>
    <s v="Masculino"/>
    <s v="Pintura"/>
    <s v="Operador"/>
    <s v="3º Turno"/>
    <x v="1"/>
    <s v="Não"/>
    <x v="0"/>
    <d v="2025-10-15T00:00:00"/>
    <m/>
    <s v="qua"/>
    <x v="11"/>
    <x v="1"/>
    <m/>
    <s v="103645945"/>
  </r>
  <r>
    <n v="1036"/>
    <n v="22"/>
    <s v="Masculino"/>
    <s v="Pintura"/>
    <s v="Operador"/>
    <s v="3º Turno"/>
    <x v="1"/>
    <s v="Não"/>
    <x v="0"/>
    <d v="2025-10-16T00:00:00"/>
    <m/>
    <s v="qui"/>
    <x v="11"/>
    <x v="1"/>
    <m/>
    <s v="103645946"/>
  </r>
  <r>
    <n v="1036"/>
    <n v="22"/>
    <s v="Masculino"/>
    <s v="Pintura"/>
    <s v="Operador"/>
    <s v="3º Turno"/>
    <x v="1"/>
    <s v="Não"/>
    <x v="0"/>
    <d v="2025-10-17T00:00:00"/>
    <m/>
    <s v="sex"/>
    <x v="11"/>
    <x v="1"/>
    <m/>
    <s v="103645947"/>
  </r>
  <r>
    <n v="1036"/>
    <n v="22"/>
    <s v="Masculino"/>
    <s v="Pintura"/>
    <s v="Operador"/>
    <s v="3º Turno"/>
    <x v="1"/>
    <s v="Não"/>
    <x v="0"/>
    <d v="2025-10-18T00:00:00"/>
    <m/>
    <s v="sáb"/>
    <x v="11"/>
    <x v="1"/>
    <m/>
    <s v="103645948"/>
  </r>
  <r>
    <n v="1036"/>
    <n v="22"/>
    <s v="Masculino"/>
    <s v="Pintura"/>
    <s v="Operador"/>
    <s v="3º Turno"/>
    <x v="1"/>
    <s v="Não"/>
    <x v="0"/>
    <d v="2025-10-19T00:00:00"/>
    <m/>
    <s v="dom"/>
    <x v="11"/>
    <x v="1"/>
    <m/>
    <s v="103645949"/>
  </r>
  <r>
    <n v="1036"/>
    <n v="22"/>
    <s v="Masculino"/>
    <s v="Pintura"/>
    <s v="Operador"/>
    <s v="3º Turno"/>
    <x v="1"/>
    <s v="Não"/>
    <x v="0"/>
    <d v="2025-10-20T00:00:00"/>
    <m/>
    <s v="seg"/>
    <x v="11"/>
    <x v="1"/>
    <m/>
    <s v="103645950"/>
  </r>
  <r>
    <n v="1036"/>
    <n v="22"/>
    <s v="Masculino"/>
    <s v="Pintura"/>
    <s v="Operador"/>
    <s v="3º Turno"/>
    <x v="1"/>
    <s v="Não"/>
    <x v="0"/>
    <d v="2025-10-21T00:00:00"/>
    <m/>
    <s v="ter"/>
    <x v="11"/>
    <x v="1"/>
    <m/>
    <s v="103645951"/>
  </r>
  <r>
    <n v="1036"/>
    <n v="22"/>
    <s v="Masculino"/>
    <s v="Pintura"/>
    <s v="Operador"/>
    <s v="3º Turno"/>
    <x v="1"/>
    <s v="Não"/>
    <x v="0"/>
    <d v="2025-10-22T00:00:00"/>
    <m/>
    <s v="qua"/>
    <x v="11"/>
    <x v="1"/>
    <m/>
    <s v="103645952"/>
  </r>
  <r>
    <n v="1036"/>
    <n v="22"/>
    <s v="Masculino"/>
    <s v="Pintura"/>
    <s v="Operador"/>
    <s v="3º Turno"/>
    <x v="1"/>
    <s v="Não"/>
    <x v="0"/>
    <d v="2025-10-23T00:00:00"/>
    <m/>
    <s v="qui"/>
    <x v="11"/>
    <x v="1"/>
    <m/>
    <s v="103645953"/>
  </r>
  <r>
    <n v="1036"/>
    <n v="22"/>
    <s v="Masculino"/>
    <s v="Pintura"/>
    <s v="Operador"/>
    <s v="3º Turno"/>
    <x v="1"/>
    <s v="Não"/>
    <x v="0"/>
    <d v="2025-10-24T00:00:00"/>
    <m/>
    <s v="sex"/>
    <x v="11"/>
    <x v="1"/>
    <m/>
    <s v="103645954"/>
  </r>
  <r>
    <n v="1036"/>
    <n v="22"/>
    <s v="Masculino"/>
    <s v="Pintura"/>
    <s v="Operador"/>
    <s v="3º Turno"/>
    <x v="1"/>
    <s v="Não"/>
    <x v="0"/>
    <d v="2025-10-25T00:00:00"/>
    <m/>
    <s v="sáb"/>
    <x v="11"/>
    <x v="1"/>
    <m/>
    <s v="103645955"/>
  </r>
  <r>
    <n v="1036"/>
    <n v="22"/>
    <s v="Masculino"/>
    <s v="Pintura"/>
    <s v="Operador"/>
    <s v="3º Turno"/>
    <x v="1"/>
    <s v="Não"/>
    <x v="0"/>
    <d v="2025-10-26T00:00:00"/>
    <m/>
    <s v="dom"/>
    <x v="11"/>
    <x v="1"/>
    <m/>
    <s v="103645956"/>
  </r>
  <r>
    <n v="1036"/>
    <n v="22"/>
    <s v="Masculino"/>
    <s v="Pintura"/>
    <s v="Operador"/>
    <s v="3º Turno"/>
    <x v="1"/>
    <s v="Não"/>
    <x v="0"/>
    <d v="2025-10-27T00:00:00"/>
    <m/>
    <s v="seg"/>
    <x v="11"/>
    <x v="1"/>
    <m/>
    <s v="103645957"/>
  </r>
  <r>
    <n v="1036"/>
    <n v="22"/>
    <s v="Masculino"/>
    <s v="Pintura"/>
    <s v="Operador"/>
    <s v="3º Turno"/>
    <x v="1"/>
    <s v="Não"/>
    <x v="0"/>
    <d v="2025-10-28T00:00:00"/>
    <m/>
    <s v="ter"/>
    <x v="11"/>
    <x v="1"/>
    <m/>
    <s v="103645958"/>
  </r>
  <r>
    <n v="1036"/>
    <n v="22"/>
    <s v="Masculino"/>
    <s v="Pintura"/>
    <s v="Operador"/>
    <s v="3º Turno"/>
    <x v="1"/>
    <s v="Não"/>
    <x v="0"/>
    <d v="2025-10-29T00:00:00"/>
    <m/>
    <s v="qua"/>
    <x v="11"/>
    <x v="1"/>
    <m/>
    <s v="103645959"/>
  </r>
  <r>
    <n v="1036"/>
    <n v="22"/>
    <s v="Masculino"/>
    <s v="Pintura"/>
    <s v="Operador"/>
    <s v="3º Turno"/>
    <x v="1"/>
    <s v="Não"/>
    <x v="0"/>
    <d v="2025-10-30T00:00:00"/>
    <m/>
    <s v="qui"/>
    <x v="11"/>
    <x v="1"/>
    <m/>
    <s v="103645960"/>
  </r>
  <r>
    <n v="1036"/>
    <n v="22"/>
    <s v="Masculino"/>
    <s v="Pintura"/>
    <s v="Operador"/>
    <s v="3º Turno"/>
    <x v="1"/>
    <s v="Não"/>
    <x v="0"/>
    <d v="2025-10-31T00:00:00"/>
    <m/>
    <s v="sex"/>
    <x v="11"/>
    <x v="1"/>
    <m/>
    <s v="103645961"/>
  </r>
  <r>
    <n v="1036"/>
    <n v="22"/>
    <s v="Masculino"/>
    <s v="Pintura"/>
    <s v="Operador"/>
    <s v="3º Turno"/>
    <x v="1"/>
    <s v="Não"/>
    <x v="0"/>
    <d v="2025-11-01T00:00:00"/>
    <m/>
    <s v="sáb"/>
    <x v="10"/>
    <x v="1"/>
    <m/>
    <s v="103645962"/>
  </r>
  <r>
    <n v="1036"/>
    <n v="22"/>
    <s v="Masculino"/>
    <s v="Pintura"/>
    <s v="Operador"/>
    <s v="3º Turno"/>
    <x v="1"/>
    <s v="Não"/>
    <x v="0"/>
    <d v="2025-11-02T00:00:00"/>
    <m/>
    <s v="dom"/>
    <x v="10"/>
    <x v="1"/>
    <m/>
    <s v="103645963"/>
  </r>
  <r>
    <n v="1036"/>
    <n v="22"/>
    <s v="Masculino"/>
    <s v="Pintura"/>
    <s v="Operador"/>
    <s v="3º Turno"/>
    <x v="1"/>
    <s v="Não"/>
    <x v="0"/>
    <d v="2025-11-03T00:00:00"/>
    <m/>
    <s v="seg"/>
    <x v="10"/>
    <x v="1"/>
    <m/>
    <s v="103645964"/>
  </r>
  <r>
    <n v="1036"/>
    <n v="22"/>
    <s v="Masculino"/>
    <s v="Pintura"/>
    <s v="Operador"/>
    <s v="3º Turno"/>
    <x v="1"/>
    <s v="Não"/>
    <x v="0"/>
    <d v="2025-11-04T00:00:00"/>
    <m/>
    <s v="ter"/>
    <x v="10"/>
    <x v="1"/>
    <m/>
    <s v="103645965"/>
  </r>
  <r>
    <n v="1036"/>
    <n v="22"/>
    <s v="Masculino"/>
    <s v="Pintura"/>
    <s v="Operador"/>
    <s v="3º Turno"/>
    <x v="1"/>
    <s v="Não"/>
    <x v="0"/>
    <d v="2025-11-05T00:00:00"/>
    <m/>
    <s v="qua"/>
    <x v="10"/>
    <x v="1"/>
    <m/>
    <s v="103645966"/>
  </r>
  <r>
    <n v="1036"/>
    <n v="22"/>
    <s v="Masculino"/>
    <s v="Pintura"/>
    <s v="Operador"/>
    <s v="3º Turno"/>
    <x v="1"/>
    <s v="Não"/>
    <x v="0"/>
    <d v="2025-11-06T00:00:00"/>
    <m/>
    <s v="qui"/>
    <x v="10"/>
    <x v="1"/>
    <m/>
    <s v="103645967"/>
  </r>
  <r>
    <n v="1036"/>
    <n v="22"/>
    <s v="Masculino"/>
    <s v="Pintura"/>
    <s v="Operador"/>
    <s v="3º Turno"/>
    <x v="1"/>
    <s v="Não"/>
    <x v="0"/>
    <d v="2025-11-07T00:00:00"/>
    <m/>
    <s v="sex"/>
    <x v="10"/>
    <x v="1"/>
    <m/>
    <s v="103645968"/>
  </r>
  <r>
    <n v="1036"/>
    <n v="22"/>
    <s v="Masculino"/>
    <s v="Pintura"/>
    <s v="Operador"/>
    <s v="3º Turno"/>
    <x v="1"/>
    <s v="Não"/>
    <x v="0"/>
    <d v="2025-11-08T00:00:00"/>
    <m/>
    <s v="sáb"/>
    <x v="10"/>
    <x v="1"/>
    <m/>
    <s v="103645969"/>
  </r>
  <r>
    <n v="1036"/>
    <n v="22"/>
    <s v="Masculino"/>
    <s v="Pintura"/>
    <s v="Operador"/>
    <s v="3º Turno"/>
    <x v="1"/>
    <s v="Não"/>
    <x v="0"/>
    <d v="2025-11-09T00:00:00"/>
    <m/>
    <s v="dom"/>
    <x v="10"/>
    <x v="1"/>
    <m/>
    <s v="103645970"/>
  </r>
  <r>
    <n v="1036"/>
    <n v="22"/>
    <s v="Masculino"/>
    <s v="Pintura"/>
    <s v="Operador"/>
    <s v="3º Turno"/>
    <x v="1"/>
    <s v="Não"/>
    <x v="0"/>
    <d v="2025-11-10T00:00:00"/>
    <m/>
    <s v="seg"/>
    <x v="10"/>
    <x v="1"/>
    <m/>
    <s v="103645971"/>
  </r>
  <r>
    <n v="1036"/>
    <n v="22"/>
    <s v="Masculino"/>
    <s v="Pintura"/>
    <s v="Operador"/>
    <s v="3º Turno"/>
    <x v="1"/>
    <s v="Não"/>
    <x v="0"/>
    <d v="2025-11-11T00:00:00"/>
    <m/>
    <s v="ter"/>
    <x v="10"/>
    <x v="1"/>
    <m/>
    <s v="103645972"/>
  </r>
  <r>
    <n v="1036"/>
    <n v="22"/>
    <s v="Masculino"/>
    <s v="Pintura"/>
    <s v="Operador"/>
    <s v="3º Turno"/>
    <x v="1"/>
    <s v="Não"/>
    <x v="0"/>
    <d v="2025-11-12T00:00:00"/>
    <m/>
    <s v="qua"/>
    <x v="10"/>
    <x v="1"/>
    <m/>
    <s v="103645973"/>
  </r>
  <r>
    <n v="1036"/>
    <n v="22"/>
    <s v="Masculino"/>
    <s v="Pintura"/>
    <s v="Operador"/>
    <s v="3º Turno"/>
    <x v="1"/>
    <s v="Não"/>
    <x v="0"/>
    <d v="2025-11-13T00:00:00"/>
    <m/>
    <s v="qui"/>
    <x v="10"/>
    <x v="1"/>
    <m/>
    <s v="103645974"/>
  </r>
  <r>
    <n v="1036"/>
    <n v="22"/>
    <s v="Masculino"/>
    <s v="Pintura"/>
    <s v="Operador"/>
    <s v="3º Turno"/>
    <x v="1"/>
    <s v="Não"/>
    <x v="0"/>
    <d v="2025-11-14T00:00:00"/>
    <m/>
    <s v="sex"/>
    <x v="10"/>
    <x v="1"/>
    <m/>
    <s v="103645975"/>
  </r>
  <r>
    <n v="1036"/>
    <n v="22"/>
    <s v="Masculino"/>
    <s v="Pintura"/>
    <s v="Operador"/>
    <s v="3º Turno"/>
    <x v="1"/>
    <s v="Não"/>
    <x v="0"/>
    <d v="2025-11-15T00:00:00"/>
    <m/>
    <s v="sáb"/>
    <x v="10"/>
    <x v="1"/>
    <m/>
    <s v="103645976"/>
  </r>
  <r>
    <n v="1036"/>
    <n v="22"/>
    <s v="Masculino"/>
    <s v="Pintura"/>
    <s v="Operador"/>
    <s v="3º Turno"/>
    <x v="1"/>
    <s v="Não"/>
    <x v="0"/>
    <d v="2025-11-16T00:00:00"/>
    <m/>
    <s v="dom"/>
    <x v="10"/>
    <x v="1"/>
    <m/>
    <s v="103645977"/>
  </r>
  <r>
    <n v="1036"/>
    <n v="22"/>
    <s v="Masculino"/>
    <s v="Pintura"/>
    <s v="Operador"/>
    <s v="3º Turno"/>
    <x v="1"/>
    <s v="Não"/>
    <x v="0"/>
    <d v="2025-11-17T00:00:00"/>
    <m/>
    <s v="seg"/>
    <x v="10"/>
    <x v="1"/>
    <m/>
    <s v="103645978"/>
  </r>
  <r>
    <n v="1036"/>
    <n v="22"/>
    <s v="Masculino"/>
    <s v="Pintura"/>
    <s v="Operador"/>
    <s v="3º Turno"/>
    <x v="1"/>
    <s v="Não"/>
    <x v="0"/>
    <d v="2025-11-18T00:00:00"/>
    <m/>
    <s v="ter"/>
    <x v="10"/>
    <x v="1"/>
    <m/>
    <s v="103645979"/>
  </r>
  <r>
    <n v="1036"/>
    <n v="22"/>
    <s v="Masculino"/>
    <s v="Pintura"/>
    <s v="Operador"/>
    <s v="3º Turno"/>
    <x v="1"/>
    <s v="Não"/>
    <x v="0"/>
    <d v="2025-11-19T00:00:00"/>
    <m/>
    <s v="qua"/>
    <x v="10"/>
    <x v="1"/>
    <m/>
    <s v="103645980"/>
  </r>
  <r>
    <n v="1036"/>
    <n v="22"/>
    <s v="Masculino"/>
    <s v="Pintura"/>
    <s v="Operador"/>
    <s v="3º Turno"/>
    <x v="1"/>
    <s v="Não"/>
    <x v="0"/>
    <d v="2025-11-20T00:00:00"/>
    <m/>
    <s v="qui"/>
    <x v="10"/>
    <x v="1"/>
    <m/>
    <s v="103645981"/>
  </r>
  <r>
    <n v="1036"/>
    <n v="22"/>
    <s v="Masculino"/>
    <s v="Pintura"/>
    <s v="Operador"/>
    <s v="3º Turno"/>
    <x v="1"/>
    <s v="Não"/>
    <x v="0"/>
    <d v="2025-11-21T00:00:00"/>
    <m/>
    <s v="sex"/>
    <x v="10"/>
    <x v="1"/>
    <m/>
    <s v="103645982"/>
  </r>
  <r>
    <n v="1036"/>
    <n v="22"/>
    <s v="Masculino"/>
    <s v="Pintura"/>
    <s v="Operador"/>
    <s v="3º Turno"/>
    <x v="1"/>
    <s v="Não"/>
    <x v="0"/>
    <d v="2025-11-22T00:00:00"/>
    <m/>
    <s v="sáb"/>
    <x v="10"/>
    <x v="1"/>
    <m/>
    <s v="103645983"/>
  </r>
  <r>
    <n v="1036"/>
    <n v="22"/>
    <s v="Masculino"/>
    <s v="Pintura"/>
    <s v="Operador"/>
    <s v="3º Turno"/>
    <x v="1"/>
    <s v="Não"/>
    <x v="0"/>
    <d v="2025-11-23T00:00:00"/>
    <m/>
    <s v="dom"/>
    <x v="10"/>
    <x v="1"/>
    <m/>
    <s v="103645984"/>
  </r>
  <r>
    <n v="1036"/>
    <n v="22"/>
    <s v="Masculino"/>
    <s v="Pintura"/>
    <s v="Operador"/>
    <s v="3º Turno"/>
    <x v="1"/>
    <s v="Não"/>
    <x v="0"/>
    <d v="2025-11-24T00:00:00"/>
    <m/>
    <s v="seg"/>
    <x v="10"/>
    <x v="1"/>
    <m/>
    <s v="103645985"/>
  </r>
  <r>
    <n v="1036"/>
    <n v="22"/>
    <s v="Masculino"/>
    <s v="Pintura"/>
    <s v="Operador"/>
    <s v="3º Turno"/>
    <x v="1"/>
    <s v="Não"/>
    <x v="0"/>
    <d v="2025-11-25T00:00:00"/>
    <m/>
    <s v="ter"/>
    <x v="10"/>
    <x v="1"/>
    <m/>
    <s v="103645986"/>
  </r>
  <r>
    <n v="1036"/>
    <n v="22"/>
    <s v="Masculino"/>
    <s v="Pintura"/>
    <s v="Operador"/>
    <s v="3º Turno"/>
    <x v="1"/>
    <s v="Não"/>
    <x v="0"/>
    <d v="2025-11-26T00:00:00"/>
    <m/>
    <s v="qua"/>
    <x v="10"/>
    <x v="1"/>
    <m/>
    <s v="103645987"/>
  </r>
  <r>
    <n v="1036"/>
    <n v="22"/>
    <s v="Masculino"/>
    <s v="Pintura"/>
    <s v="Operador"/>
    <s v="3º Turno"/>
    <x v="1"/>
    <s v="Não"/>
    <x v="0"/>
    <d v="2025-11-27T00:00:00"/>
    <m/>
    <s v="qui"/>
    <x v="10"/>
    <x v="1"/>
    <m/>
    <s v="103645988"/>
  </r>
  <r>
    <n v="1036"/>
    <n v="22"/>
    <s v="Masculino"/>
    <s v="Pintura"/>
    <s v="Operador"/>
    <s v="3º Turno"/>
    <x v="1"/>
    <s v="Não"/>
    <x v="0"/>
    <d v="2025-11-28T00:00:00"/>
    <m/>
    <s v="sex"/>
    <x v="10"/>
    <x v="1"/>
    <m/>
    <s v="103645989"/>
  </r>
  <r>
    <n v="1036"/>
    <n v="22"/>
    <s v="Masculino"/>
    <s v="Pintura"/>
    <s v="Operador"/>
    <s v="3º Turno"/>
    <x v="1"/>
    <s v="Não"/>
    <x v="0"/>
    <d v="2025-11-29T00:00:00"/>
    <m/>
    <s v="sáb"/>
    <x v="10"/>
    <x v="1"/>
    <m/>
    <s v="103645990"/>
  </r>
  <r>
    <n v="1036"/>
    <n v="22"/>
    <s v="Masculino"/>
    <s v="Pintura"/>
    <s v="Operador"/>
    <s v="3º Turno"/>
    <x v="1"/>
    <s v="Não"/>
    <x v="0"/>
    <d v="2025-11-30T00:00:00"/>
    <m/>
    <s v="dom"/>
    <x v="10"/>
    <x v="1"/>
    <m/>
    <s v="103645991"/>
  </r>
  <r>
    <n v="1036"/>
    <n v="22"/>
    <s v="Masculino"/>
    <s v="Pintura"/>
    <s v="Operador"/>
    <s v="3º Turno"/>
    <x v="1"/>
    <s v="Não"/>
    <x v="0"/>
    <d v="2025-12-01T00:00:00"/>
    <m/>
    <s v="seg"/>
    <x v="8"/>
    <x v="1"/>
    <m/>
    <s v="103645992"/>
  </r>
  <r>
    <n v="1036"/>
    <n v="22"/>
    <s v="Masculino"/>
    <s v="Pintura"/>
    <s v="Operador"/>
    <s v="3º Turno"/>
    <x v="1"/>
    <s v="Não"/>
    <x v="0"/>
    <d v="2025-12-02T00:00:00"/>
    <m/>
    <s v="ter"/>
    <x v="8"/>
    <x v="1"/>
    <m/>
    <s v="103645993"/>
  </r>
  <r>
    <n v="1036"/>
    <n v="22"/>
    <s v="Masculino"/>
    <s v="Pintura"/>
    <s v="Operador"/>
    <s v="3º Turno"/>
    <x v="1"/>
    <s v="Não"/>
    <x v="0"/>
    <d v="2025-12-03T00:00:00"/>
    <m/>
    <s v="qua"/>
    <x v="8"/>
    <x v="1"/>
    <m/>
    <s v="103645994"/>
  </r>
  <r>
    <n v="1036"/>
    <n v="22"/>
    <s v="Masculino"/>
    <s v="Pintura"/>
    <s v="Operador"/>
    <s v="3º Turno"/>
    <x v="1"/>
    <s v="Não"/>
    <x v="0"/>
    <d v="2025-12-04T00:00:00"/>
    <m/>
    <s v="qui"/>
    <x v="8"/>
    <x v="1"/>
    <m/>
    <s v="103645995"/>
  </r>
  <r>
    <n v="1036"/>
    <n v="22"/>
    <s v="Masculino"/>
    <s v="Pintura"/>
    <s v="Operador"/>
    <s v="3º Turno"/>
    <x v="1"/>
    <s v="Não"/>
    <x v="0"/>
    <d v="2025-12-05T00:00:00"/>
    <m/>
    <s v="sex"/>
    <x v="8"/>
    <x v="1"/>
    <m/>
    <s v="103645996"/>
  </r>
  <r>
    <n v="1036"/>
    <n v="22"/>
    <s v="Masculino"/>
    <s v="Pintura"/>
    <s v="Operador"/>
    <s v="3º Turno"/>
    <x v="1"/>
    <s v="Não"/>
    <x v="0"/>
    <d v="2025-12-06T00:00:00"/>
    <m/>
    <s v="sáb"/>
    <x v="8"/>
    <x v="1"/>
    <m/>
    <s v="103645997"/>
  </r>
  <r>
    <n v="1036"/>
    <n v="22"/>
    <s v="Masculino"/>
    <s v="Pintura"/>
    <s v="Operador"/>
    <s v="3º Turno"/>
    <x v="1"/>
    <s v="Não"/>
    <x v="0"/>
    <d v="2025-12-07T00:00:00"/>
    <m/>
    <s v="dom"/>
    <x v="8"/>
    <x v="1"/>
    <m/>
    <s v="103645998"/>
  </r>
  <r>
    <n v="1036"/>
    <n v="22"/>
    <s v="Masculino"/>
    <s v="Pintura"/>
    <s v="Operador"/>
    <s v="3º Turno"/>
    <x v="1"/>
    <s v="Não"/>
    <x v="0"/>
    <d v="2025-12-08T00:00:00"/>
    <m/>
    <s v="seg"/>
    <x v="8"/>
    <x v="1"/>
    <m/>
    <s v="103645999"/>
  </r>
  <r>
    <n v="1036"/>
    <n v="22"/>
    <s v="Masculino"/>
    <s v="Pintura"/>
    <s v="Operador"/>
    <s v="3º Turno"/>
    <x v="1"/>
    <s v="Não"/>
    <x v="0"/>
    <d v="2025-12-09T00:00:00"/>
    <m/>
    <s v="ter"/>
    <x v="8"/>
    <x v="1"/>
    <m/>
    <s v="103646000"/>
  </r>
  <r>
    <n v="1036"/>
    <n v="22"/>
    <s v="Masculino"/>
    <s v="Pintura"/>
    <s v="Operador"/>
    <s v="3º Turno"/>
    <x v="1"/>
    <s v="Não"/>
    <x v="0"/>
    <d v="2025-12-10T00:00:00"/>
    <m/>
    <s v="qua"/>
    <x v="8"/>
    <x v="1"/>
    <m/>
    <s v="103646001"/>
  </r>
  <r>
    <n v="1036"/>
    <n v="22"/>
    <s v="Masculino"/>
    <s v="Pintura"/>
    <s v="Operador"/>
    <s v="3º Turno"/>
    <x v="1"/>
    <s v="Não"/>
    <x v="0"/>
    <d v="2025-12-11T00:00:00"/>
    <m/>
    <s v="qui"/>
    <x v="8"/>
    <x v="1"/>
    <m/>
    <s v="103646002"/>
  </r>
  <r>
    <n v="1036"/>
    <n v="22"/>
    <s v="Masculino"/>
    <s v="Pintura"/>
    <s v="Operador"/>
    <s v="3º Turno"/>
    <x v="1"/>
    <s v="Não"/>
    <x v="0"/>
    <d v="2025-12-12T00:00:00"/>
    <m/>
    <s v="sex"/>
    <x v="8"/>
    <x v="1"/>
    <m/>
    <s v="103646003"/>
  </r>
  <r>
    <n v="1036"/>
    <n v="22"/>
    <s v="Masculino"/>
    <s v="Pintura"/>
    <s v="Operador"/>
    <s v="3º Turno"/>
    <x v="1"/>
    <s v="Não"/>
    <x v="0"/>
    <d v="2025-12-13T00:00:00"/>
    <m/>
    <s v="sáb"/>
    <x v="8"/>
    <x v="1"/>
    <m/>
    <s v="103646004"/>
  </r>
  <r>
    <n v="1036"/>
    <n v="22"/>
    <s v="Masculino"/>
    <s v="Pintura"/>
    <s v="Operador"/>
    <s v="3º Turno"/>
    <x v="1"/>
    <s v="Não"/>
    <x v="0"/>
    <d v="2025-12-14T00:00:00"/>
    <m/>
    <s v="dom"/>
    <x v="8"/>
    <x v="1"/>
    <m/>
    <s v="103646005"/>
  </r>
  <r>
    <n v="1036"/>
    <n v="22"/>
    <s v="Masculino"/>
    <s v="Pintura"/>
    <s v="Operador"/>
    <s v="3º Turno"/>
    <x v="1"/>
    <s v="Não"/>
    <x v="0"/>
    <d v="2025-12-15T00:00:00"/>
    <m/>
    <s v="seg"/>
    <x v="8"/>
    <x v="1"/>
    <m/>
    <s v="103646006"/>
  </r>
  <r>
    <n v="1036"/>
    <n v="22"/>
    <s v="Masculino"/>
    <s v="Pintura"/>
    <s v="Operador"/>
    <s v="3º Turno"/>
    <x v="1"/>
    <s v="Não"/>
    <x v="0"/>
    <d v="2025-12-16T00:00:00"/>
    <m/>
    <s v="ter"/>
    <x v="8"/>
    <x v="1"/>
    <m/>
    <s v="103646007"/>
  </r>
  <r>
    <n v="1036"/>
    <n v="22"/>
    <s v="Masculino"/>
    <s v="Pintura"/>
    <s v="Operador"/>
    <s v="3º Turno"/>
    <x v="1"/>
    <s v="Não"/>
    <x v="0"/>
    <d v="2025-12-17T00:00:00"/>
    <m/>
    <s v="qua"/>
    <x v="8"/>
    <x v="1"/>
    <m/>
    <s v="103646008"/>
  </r>
  <r>
    <n v="1036"/>
    <n v="22"/>
    <s v="Masculino"/>
    <s v="Pintura"/>
    <s v="Operador"/>
    <s v="3º Turno"/>
    <x v="1"/>
    <s v="Não"/>
    <x v="0"/>
    <d v="2025-12-18T00:00:00"/>
    <m/>
    <s v="qui"/>
    <x v="8"/>
    <x v="1"/>
    <m/>
    <s v="103646009"/>
  </r>
  <r>
    <n v="1036"/>
    <n v="22"/>
    <s v="Masculino"/>
    <s v="Pintura"/>
    <s v="Operador"/>
    <s v="3º Turno"/>
    <x v="1"/>
    <s v="Não"/>
    <x v="0"/>
    <d v="2025-12-19T00:00:00"/>
    <m/>
    <s v="sex"/>
    <x v="8"/>
    <x v="1"/>
    <m/>
    <s v="103646010"/>
  </r>
  <r>
    <n v="1036"/>
    <n v="22"/>
    <s v="Masculino"/>
    <s v="Pintura"/>
    <s v="Operador"/>
    <s v="3º Turno"/>
    <x v="1"/>
    <s v="Não"/>
    <x v="0"/>
    <d v="2025-12-20T00:00:00"/>
    <m/>
    <s v="sáb"/>
    <x v="8"/>
    <x v="1"/>
    <m/>
    <s v="103646011"/>
  </r>
  <r>
    <n v="1036"/>
    <n v="22"/>
    <s v="Masculino"/>
    <s v="Pintura"/>
    <s v="Operador"/>
    <s v="3º Turno"/>
    <x v="1"/>
    <s v="Não"/>
    <x v="0"/>
    <d v="2025-12-21T00:00:00"/>
    <m/>
    <s v="dom"/>
    <x v="8"/>
    <x v="1"/>
    <m/>
    <s v="103646012"/>
  </r>
  <r>
    <n v="1036"/>
    <n v="22"/>
    <s v="Masculino"/>
    <s v="Pintura"/>
    <s v="Operador"/>
    <s v="3º Turno"/>
    <x v="1"/>
    <s v="Não"/>
    <x v="0"/>
    <d v="2025-12-22T00:00:00"/>
    <m/>
    <s v="seg"/>
    <x v="8"/>
    <x v="1"/>
    <m/>
    <s v="103646013"/>
  </r>
  <r>
    <n v="1036"/>
    <n v="22"/>
    <s v="Masculino"/>
    <s v="Pintura"/>
    <s v="Operador"/>
    <s v="3º Turno"/>
    <x v="1"/>
    <s v="Não"/>
    <x v="0"/>
    <d v="2025-12-23T00:00:00"/>
    <m/>
    <s v="ter"/>
    <x v="8"/>
    <x v="1"/>
    <m/>
    <s v="103646014"/>
  </r>
  <r>
    <n v="1036"/>
    <n v="22"/>
    <s v="Masculino"/>
    <s v="Pintura"/>
    <s v="Operador"/>
    <s v="3º Turno"/>
    <x v="1"/>
    <s v="Não"/>
    <x v="0"/>
    <d v="2025-12-24T00:00:00"/>
    <m/>
    <s v="qua"/>
    <x v="8"/>
    <x v="1"/>
    <m/>
    <s v="103646015"/>
  </r>
  <r>
    <n v="1036"/>
    <n v="22"/>
    <s v="Masculino"/>
    <s v="Pintura"/>
    <s v="Operador"/>
    <s v="3º Turno"/>
    <x v="1"/>
    <s v="Não"/>
    <x v="0"/>
    <d v="2025-12-25T00:00:00"/>
    <m/>
    <s v="qui"/>
    <x v="8"/>
    <x v="1"/>
    <m/>
    <s v="103646016"/>
  </r>
  <r>
    <n v="1036"/>
    <n v="22"/>
    <s v="Masculino"/>
    <s v="Pintura"/>
    <s v="Operador"/>
    <s v="3º Turno"/>
    <x v="1"/>
    <s v="Não"/>
    <x v="0"/>
    <d v="2025-12-26T00:00:00"/>
    <m/>
    <s v="sex"/>
    <x v="8"/>
    <x v="1"/>
    <m/>
    <s v="103646017"/>
  </r>
  <r>
    <n v="1036"/>
    <n v="22"/>
    <s v="Masculino"/>
    <s v="Pintura"/>
    <s v="Operador"/>
    <s v="3º Turno"/>
    <x v="1"/>
    <s v="Não"/>
    <x v="0"/>
    <d v="2025-12-27T00:00:00"/>
    <m/>
    <s v="sáb"/>
    <x v="8"/>
    <x v="1"/>
    <m/>
    <s v="103646018"/>
  </r>
  <r>
    <n v="1036"/>
    <n v="22"/>
    <s v="Masculino"/>
    <s v="Pintura"/>
    <s v="Operador"/>
    <s v="3º Turno"/>
    <x v="1"/>
    <s v="Não"/>
    <x v="0"/>
    <d v="2025-12-28T00:00:00"/>
    <m/>
    <s v="dom"/>
    <x v="8"/>
    <x v="1"/>
    <m/>
    <s v="103646019"/>
  </r>
  <r>
    <n v="1036"/>
    <n v="22"/>
    <s v="Masculino"/>
    <s v="Pintura"/>
    <s v="Operador"/>
    <s v="3º Turno"/>
    <x v="1"/>
    <s v="Não"/>
    <x v="0"/>
    <d v="2025-12-29T00:00:00"/>
    <m/>
    <s v="seg"/>
    <x v="8"/>
    <x v="1"/>
    <m/>
    <s v="103646020"/>
  </r>
  <r>
    <n v="1036"/>
    <n v="22"/>
    <s v="Masculino"/>
    <s v="Pintura"/>
    <s v="Operador"/>
    <s v="3º Turno"/>
    <x v="1"/>
    <s v="Não"/>
    <x v="0"/>
    <d v="2025-12-30T00:00:00"/>
    <m/>
    <s v="ter"/>
    <x v="8"/>
    <x v="1"/>
    <m/>
    <s v="103646021"/>
  </r>
  <r>
    <n v="1036"/>
    <n v="22"/>
    <s v="Masculino"/>
    <s v="Pintura"/>
    <s v="Operador"/>
    <s v="3º Turno"/>
    <x v="1"/>
    <s v="Não"/>
    <x v="0"/>
    <d v="2025-12-31T00:00:00"/>
    <m/>
    <s v="qua"/>
    <x v="8"/>
    <x v="1"/>
    <m/>
    <s v="103646022"/>
  </r>
  <r>
    <n v="1036"/>
    <n v="22"/>
    <s v="Masculino"/>
    <s v="Pintura"/>
    <s v="Operador"/>
    <s v="3º Turno"/>
    <x v="1"/>
    <s v="Não"/>
    <x v="0"/>
    <d v="2026-01-01T00:00:00"/>
    <m/>
    <s v="qui"/>
    <x v="5"/>
    <x v="0"/>
    <m/>
    <s v="103646023"/>
  </r>
  <r>
    <n v="1036"/>
    <n v="22"/>
    <s v="Masculino"/>
    <s v="Pintura"/>
    <s v="Operador"/>
    <s v="3º Turno"/>
    <x v="1"/>
    <s v="Não"/>
    <x v="0"/>
    <d v="2026-01-02T00:00:00"/>
    <m/>
    <s v="sex"/>
    <x v="5"/>
    <x v="0"/>
    <m/>
    <s v="103646024"/>
  </r>
  <r>
    <n v="1036"/>
    <n v="22"/>
    <s v="Masculino"/>
    <s v="Pintura"/>
    <s v="Operador"/>
    <s v="3º Turno"/>
    <x v="1"/>
    <s v="Não"/>
    <x v="0"/>
    <d v="2026-01-03T00:00:00"/>
    <m/>
    <s v="sáb"/>
    <x v="5"/>
    <x v="0"/>
    <m/>
    <s v="103646025"/>
  </r>
  <r>
    <n v="1036"/>
    <n v="22"/>
    <s v="Masculino"/>
    <s v="Pintura"/>
    <s v="Operador"/>
    <s v="3º Turno"/>
    <x v="1"/>
    <s v="Não"/>
    <x v="0"/>
    <d v="2026-01-04T00:00:00"/>
    <m/>
    <s v="dom"/>
    <x v="5"/>
    <x v="0"/>
    <m/>
    <s v="103646026"/>
  </r>
  <r>
    <n v="1036"/>
    <n v="22"/>
    <s v="Masculino"/>
    <s v="Pintura"/>
    <s v="Operador"/>
    <s v="3º Turno"/>
    <x v="1"/>
    <s v="Não"/>
    <x v="0"/>
    <d v="2026-01-05T00:00:00"/>
    <m/>
    <s v="seg"/>
    <x v="5"/>
    <x v="0"/>
    <m/>
    <s v="103646027"/>
  </r>
  <r>
    <n v="1036"/>
    <n v="22"/>
    <s v="Masculino"/>
    <s v="Pintura"/>
    <s v="Operador"/>
    <s v="3º Turno"/>
    <x v="1"/>
    <s v="Não"/>
    <x v="0"/>
    <d v="2026-01-06T00:00:00"/>
    <m/>
    <s v="ter"/>
    <x v="5"/>
    <x v="0"/>
    <m/>
    <s v="103646028"/>
  </r>
  <r>
    <n v="1036"/>
    <n v="22"/>
    <s v="Masculino"/>
    <s v="Pintura"/>
    <s v="Operador"/>
    <s v="3º Turno"/>
    <x v="1"/>
    <s v="Não"/>
    <x v="0"/>
    <d v="2026-01-07T00:00:00"/>
    <m/>
    <s v="qua"/>
    <x v="5"/>
    <x v="0"/>
    <m/>
    <s v="103646029"/>
  </r>
  <r>
    <n v="1036"/>
    <n v="22"/>
    <s v="Masculino"/>
    <s v="Pintura"/>
    <s v="Operador"/>
    <s v="3º Turno"/>
    <x v="1"/>
    <s v="Não"/>
    <x v="0"/>
    <d v="2026-01-08T00:00:00"/>
    <m/>
    <s v="qui"/>
    <x v="5"/>
    <x v="0"/>
    <m/>
    <s v="103646030"/>
  </r>
  <r>
    <n v="1036"/>
    <n v="22"/>
    <s v="Masculino"/>
    <s v="Pintura"/>
    <s v="Operador"/>
    <s v="3º Turno"/>
    <x v="1"/>
    <s v="Não"/>
    <x v="0"/>
    <d v="2026-01-09T00:00:00"/>
    <m/>
    <s v="sex"/>
    <x v="5"/>
    <x v="0"/>
    <m/>
    <s v="103646031"/>
  </r>
  <r>
    <n v="1036"/>
    <n v="22"/>
    <s v="Masculino"/>
    <s v="Pintura"/>
    <s v="Operador"/>
    <s v="3º Turno"/>
    <x v="1"/>
    <s v="Não"/>
    <x v="0"/>
    <d v="2026-01-10T00:00:00"/>
    <m/>
    <s v="sáb"/>
    <x v="5"/>
    <x v="0"/>
    <m/>
    <s v="103646032"/>
  </r>
  <r>
    <n v="1036"/>
    <n v="22"/>
    <s v="Masculino"/>
    <s v="Pintura"/>
    <s v="Operador"/>
    <s v="3º Turno"/>
    <x v="1"/>
    <s v="Não"/>
    <x v="0"/>
    <d v="2026-01-11T00:00:00"/>
    <m/>
    <s v="dom"/>
    <x v="5"/>
    <x v="0"/>
    <m/>
    <s v="103646033"/>
  </r>
  <r>
    <n v="1036"/>
    <n v="22"/>
    <s v="Masculino"/>
    <s v="Pintura"/>
    <s v="Operador"/>
    <s v="3º Turno"/>
    <x v="1"/>
    <s v="Não"/>
    <x v="0"/>
    <d v="2026-01-12T00:00:00"/>
    <m/>
    <s v="seg"/>
    <x v="5"/>
    <x v="0"/>
    <m/>
    <s v="103646034"/>
  </r>
  <r>
    <n v="1036"/>
    <n v="22"/>
    <s v="Masculino"/>
    <s v="Pintura"/>
    <s v="Operador"/>
    <s v="3º Turno"/>
    <x v="1"/>
    <s v="Não"/>
    <x v="0"/>
    <d v="2026-01-13T00:00:00"/>
    <m/>
    <s v="ter"/>
    <x v="5"/>
    <x v="0"/>
    <m/>
    <s v="103646035"/>
  </r>
  <r>
    <n v="1036"/>
    <n v="22"/>
    <s v="Masculino"/>
    <s v="Pintura"/>
    <s v="Operador"/>
    <s v="3º Turno"/>
    <x v="1"/>
    <s v="Não"/>
    <x v="0"/>
    <d v="2026-01-14T00:00:00"/>
    <m/>
    <s v="qua"/>
    <x v="5"/>
    <x v="0"/>
    <m/>
    <s v="103646036"/>
  </r>
  <r>
    <n v="1036"/>
    <n v="22"/>
    <s v="Masculino"/>
    <s v="Pintura"/>
    <s v="Operador"/>
    <s v="3º Turno"/>
    <x v="1"/>
    <s v="Não"/>
    <x v="0"/>
    <d v="2026-01-15T00:00:00"/>
    <m/>
    <s v="qui"/>
    <x v="5"/>
    <x v="0"/>
    <m/>
    <s v="103646037"/>
  </r>
  <r>
    <n v="1036"/>
    <n v="22"/>
    <s v="Masculino"/>
    <s v="Pintura"/>
    <s v="Operador"/>
    <s v="3º Turno"/>
    <x v="1"/>
    <s v="Não"/>
    <x v="0"/>
    <d v="2026-01-16T00:00:00"/>
    <m/>
    <s v="sex"/>
    <x v="5"/>
    <x v="0"/>
    <m/>
    <s v="103646038"/>
  </r>
  <r>
    <n v="1036"/>
    <n v="22"/>
    <s v="Masculino"/>
    <s v="Pintura"/>
    <s v="Operador"/>
    <s v="3º Turno"/>
    <x v="1"/>
    <s v="Não"/>
    <x v="0"/>
    <d v="2026-01-17T00:00:00"/>
    <m/>
    <s v="sáb"/>
    <x v="5"/>
    <x v="0"/>
    <m/>
    <s v="103646039"/>
  </r>
  <r>
    <n v="1036"/>
    <n v="22"/>
    <s v="Masculino"/>
    <s v="Pintura"/>
    <s v="Operador"/>
    <s v="3º Turno"/>
    <x v="1"/>
    <s v="Não"/>
    <x v="0"/>
    <d v="2026-01-18T00:00:00"/>
    <m/>
    <s v="dom"/>
    <x v="5"/>
    <x v="0"/>
    <m/>
    <s v="103646040"/>
  </r>
  <r>
    <n v="1036"/>
    <n v="22"/>
    <s v="Masculino"/>
    <s v="Pintura"/>
    <s v="Operador"/>
    <s v="3º Turno"/>
    <x v="1"/>
    <s v="Não"/>
    <x v="0"/>
    <d v="2026-01-19T00:00:00"/>
    <m/>
    <s v="seg"/>
    <x v="5"/>
    <x v="0"/>
    <m/>
    <s v="103646041"/>
  </r>
  <r>
    <n v="1036"/>
    <n v="22"/>
    <s v="Masculino"/>
    <s v="Pintura"/>
    <s v="Operador"/>
    <s v="3º Turno"/>
    <x v="1"/>
    <s v="Não"/>
    <x v="0"/>
    <d v="2026-01-20T00:00:00"/>
    <m/>
    <s v="ter"/>
    <x v="5"/>
    <x v="0"/>
    <m/>
    <s v="103646042"/>
  </r>
  <r>
    <n v="1036"/>
    <n v="22"/>
    <s v="Masculino"/>
    <s v="Pintura"/>
    <s v="Operador"/>
    <s v="3º Turno"/>
    <x v="1"/>
    <s v="Não"/>
    <x v="0"/>
    <d v="2026-01-21T00:00:00"/>
    <m/>
    <s v="qua"/>
    <x v="5"/>
    <x v="0"/>
    <m/>
    <s v="103646043"/>
  </r>
  <r>
    <n v="1036"/>
    <n v="22"/>
    <s v="Masculino"/>
    <s v="Pintura"/>
    <s v="Operador"/>
    <s v="3º Turno"/>
    <x v="1"/>
    <s v="Não"/>
    <x v="0"/>
    <d v="2026-01-22T00:00:00"/>
    <m/>
    <s v="qui"/>
    <x v="5"/>
    <x v="0"/>
    <m/>
    <s v="103646044"/>
  </r>
  <r>
    <n v="1036"/>
    <n v="22"/>
    <s v="Masculino"/>
    <s v="Pintura"/>
    <s v="Operador"/>
    <s v="3º Turno"/>
    <x v="1"/>
    <s v="Não"/>
    <x v="0"/>
    <d v="2026-01-23T00:00:00"/>
    <m/>
    <s v="sex"/>
    <x v="5"/>
    <x v="0"/>
    <m/>
    <s v="103646045"/>
  </r>
  <r>
    <n v="1036"/>
    <n v="22"/>
    <s v="Masculino"/>
    <s v="Pintura"/>
    <s v="Operador"/>
    <s v="3º Turno"/>
    <x v="1"/>
    <s v="Não"/>
    <x v="0"/>
    <d v="2026-01-24T00:00:00"/>
    <m/>
    <s v="sáb"/>
    <x v="5"/>
    <x v="0"/>
    <m/>
    <s v="103646046"/>
  </r>
  <r>
    <n v="1036"/>
    <n v="22"/>
    <s v="Masculino"/>
    <s v="Pintura"/>
    <s v="Operador"/>
    <s v="3º Turno"/>
    <x v="1"/>
    <s v="Não"/>
    <x v="0"/>
    <d v="2026-01-25T00:00:00"/>
    <m/>
    <s v="dom"/>
    <x v="5"/>
    <x v="0"/>
    <m/>
    <s v="103646047"/>
  </r>
  <r>
    <n v="1036"/>
    <n v="22"/>
    <s v="Masculino"/>
    <s v="Pintura"/>
    <s v="Operador"/>
    <s v="3º Turno"/>
    <x v="1"/>
    <s v="Não"/>
    <x v="0"/>
    <d v="2026-01-26T00:00:00"/>
    <m/>
    <s v="seg"/>
    <x v="5"/>
    <x v="0"/>
    <m/>
    <s v="103646048"/>
  </r>
  <r>
    <n v="1036"/>
    <n v="22"/>
    <s v="Masculino"/>
    <s v="Pintura"/>
    <s v="Operador"/>
    <s v="3º Turno"/>
    <x v="1"/>
    <s v="Não"/>
    <x v="0"/>
    <d v="2026-01-27T00:00:00"/>
    <m/>
    <s v="ter"/>
    <x v="5"/>
    <x v="0"/>
    <m/>
    <s v="103646049"/>
  </r>
  <r>
    <n v="1036"/>
    <n v="22"/>
    <s v="Masculino"/>
    <s v="Pintura"/>
    <s v="Operador"/>
    <s v="3º Turno"/>
    <x v="1"/>
    <s v="Não"/>
    <x v="0"/>
    <d v="2026-01-28T00:00:00"/>
    <m/>
    <s v="qua"/>
    <x v="5"/>
    <x v="0"/>
    <m/>
    <s v="103646050"/>
  </r>
  <r>
    <n v="1036"/>
    <n v="22"/>
    <s v="Masculino"/>
    <s v="Pintura"/>
    <s v="Operador"/>
    <s v="3º Turno"/>
    <x v="1"/>
    <s v="Não"/>
    <x v="0"/>
    <d v="2026-01-29T00:00:00"/>
    <m/>
    <s v="qui"/>
    <x v="5"/>
    <x v="0"/>
    <m/>
    <s v="103646051"/>
  </r>
  <r>
    <n v="1036"/>
    <n v="22"/>
    <s v="Masculino"/>
    <s v="Pintura"/>
    <s v="Operador"/>
    <s v="3º Turno"/>
    <x v="1"/>
    <s v="Não"/>
    <x v="0"/>
    <d v="2026-01-30T00:00:00"/>
    <m/>
    <s v="sex"/>
    <x v="5"/>
    <x v="0"/>
    <m/>
    <s v="103646052"/>
  </r>
  <r>
    <n v="1036"/>
    <n v="22"/>
    <s v="Masculino"/>
    <s v="Pintura"/>
    <s v="Operador"/>
    <s v="3º Turno"/>
    <x v="1"/>
    <s v="Não"/>
    <x v="0"/>
    <d v="2026-01-31T00:00:00"/>
    <m/>
    <s v="sáb"/>
    <x v="5"/>
    <x v="0"/>
    <m/>
    <s v="103646053"/>
  </r>
  <r>
    <n v="1036"/>
    <n v="22"/>
    <s v="Masculino"/>
    <s v="Pintura"/>
    <s v="Operador"/>
    <s v="3º Turno"/>
    <x v="1"/>
    <s v="Não"/>
    <x v="0"/>
    <d v="2026-02-01T00:00:00"/>
    <m/>
    <s v="dom"/>
    <x v="3"/>
    <x v="0"/>
    <m/>
    <s v="103646054"/>
  </r>
  <r>
    <n v="1036"/>
    <n v="22"/>
    <s v="Masculino"/>
    <s v="Pintura"/>
    <s v="Operador"/>
    <s v="3º Turno"/>
    <x v="1"/>
    <s v="Não"/>
    <x v="0"/>
    <d v="2026-02-02T00:00:00"/>
    <m/>
    <s v="seg"/>
    <x v="3"/>
    <x v="0"/>
    <m/>
    <s v="103646055"/>
  </r>
  <r>
    <n v="1036"/>
    <n v="22"/>
    <s v="Masculino"/>
    <s v="Pintura"/>
    <s v="Operador"/>
    <s v="3º Turno"/>
    <x v="1"/>
    <s v="Não"/>
    <x v="0"/>
    <d v="2026-02-03T00:00:00"/>
    <m/>
    <s v="ter"/>
    <x v="3"/>
    <x v="0"/>
    <m/>
    <s v="103646056"/>
  </r>
  <r>
    <n v="1036"/>
    <n v="22"/>
    <s v="Masculino"/>
    <s v="Pintura"/>
    <s v="Operador"/>
    <s v="3º Turno"/>
    <x v="1"/>
    <s v="Não"/>
    <x v="0"/>
    <d v="2026-02-04T00:00:00"/>
    <m/>
    <s v="qua"/>
    <x v="3"/>
    <x v="0"/>
    <m/>
    <s v="103646057"/>
  </r>
  <r>
    <n v="1036"/>
    <n v="22"/>
    <s v="Masculino"/>
    <s v="Pintura"/>
    <s v="Operador"/>
    <s v="3º Turno"/>
    <x v="1"/>
    <s v="Não"/>
    <x v="0"/>
    <d v="2026-02-05T00:00:00"/>
    <m/>
    <s v="qui"/>
    <x v="3"/>
    <x v="0"/>
    <m/>
    <s v="103646058"/>
  </r>
  <r>
    <n v="1036"/>
    <n v="22"/>
    <s v="Masculino"/>
    <s v="Pintura"/>
    <s v="Operador"/>
    <s v="3º Turno"/>
    <x v="1"/>
    <s v="Não"/>
    <x v="0"/>
    <d v="2026-02-06T00:00:00"/>
    <m/>
    <s v="sex"/>
    <x v="3"/>
    <x v="0"/>
    <m/>
    <s v="103646059"/>
  </r>
  <r>
    <n v="1036"/>
    <n v="22"/>
    <s v="Masculino"/>
    <s v="Pintura"/>
    <s v="Operador"/>
    <s v="3º Turno"/>
    <x v="1"/>
    <s v="Não"/>
    <x v="0"/>
    <d v="2026-02-07T00:00:00"/>
    <m/>
    <s v="sáb"/>
    <x v="3"/>
    <x v="0"/>
    <m/>
    <s v="103646060"/>
  </r>
  <r>
    <n v="1036"/>
    <n v="22"/>
    <s v="Masculino"/>
    <s v="Pintura"/>
    <s v="Operador"/>
    <s v="3º Turno"/>
    <x v="1"/>
    <s v="Não"/>
    <x v="0"/>
    <d v="2026-02-08T00:00:00"/>
    <m/>
    <s v="dom"/>
    <x v="3"/>
    <x v="0"/>
    <m/>
    <s v="103646061"/>
  </r>
  <r>
    <n v="1036"/>
    <n v="22"/>
    <s v="Masculino"/>
    <s v="Pintura"/>
    <s v="Operador"/>
    <s v="3º Turno"/>
    <x v="1"/>
    <s v="Não"/>
    <x v="0"/>
    <d v="2026-02-09T00:00:00"/>
    <m/>
    <s v="seg"/>
    <x v="3"/>
    <x v="0"/>
    <m/>
    <s v="103646062"/>
  </r>
  <r>
    <n v="1036"/>
    <n v="22"/>
    <s v="Masculino"/>
    <s v="Pintura"/>
    <s v="Operador"/>
    <s v="3º Turno"/>
    <x v="1"/>
    <s v="Não"/>
    <x v="0"/>
    <d v="2026-02-10T00:00:00"/>
    <m/>
    <s v="ter"/>
    <x v="3"/>
    <x v="0"/>
    <m/>
    <s v="103646063"/>
  </r>
  <r>
    <n v="1036"/>
    <n v="22"/>
    <s v="Masculino"/>
    <s v="Pintura"/>
    <s v="Operador"/>
    <s v="3º Turno"/>
    <x v="1"/>
    <s v="Não"/>
    <x v="0"/>
    <d v="2026-02-11T00:00:00"/>
    <m/>
    <s v="qua"/>
    <x v="3"/>
    <x v="0"/>
    <m/>
    <s v="103646064"/>
  </r>
  <r>
    <n v="1036"/>
    <n v="22"/>
    <s v="Masculino"/>
    <s v="Pintura"/>
    <s v="Operador"/>
    <s v="3º Turno"/>
    <x v="1"/>
    <s v="Não"/>
    <x v="0"/>
    <d v="2026-02-12T00:00:00"/>
    <m/>
    <s v="qui"/>
    <x v="3"/>
    <x v="0"/>
    <m/>
    <s v="103646065"/>
  </r>
  <r>
    <n v="1036"/>
    <n v="22"/>
    <s v="Masculino"/>
    <s v="Pintura"/>
    <s v="Operador"/>
    <s v="3º Turno"/>
    <x v="1"/>
    <s v="Não"/>
    <x v="0"/>
    <d v="2026-02-13T00:00:00"/>
    <m/>
    <s v="sex"/>
    <x v="3"/>
    <x v="0"/>
    <m/>
    <s v="103646066"/>
  </r>
  <r>
    <n v="1036"/>
    <n v="22"/>
    <s v="Masculino"/>
    <s v="Pintura"/>
    <s v="Operador"/>
    <s v="3º Turno"/>
    <x v="1"/>
    <s v="Não"/>
    <x v="0"/>
    <d v="2026-02-14T00:00:00"/>
    <m/>
    <s v="sáb"/>
    <x v="3"/>
    <x v="0"/>
    <m/>
    <s v="103646067"/>
  </r>
  <r>
    <n v="1036"/>
    <n v="22"/>
    <s v="Masculino"/>
    <s v="Pintura"/>
    <s v="Operador"/>
    <s v="3º Turno"/>
    <x v="1"/>
    <s v="Não"/>
    <x v="0"/>
    <d v="2026-02-15T00:00:00"/>
    <m/>
    <s v="dom"/>
    <x v="3"/>
    <x v="0"/>
    <m/>
    <s v="103646068"/>
  </r>
  <r>
    <n v="1036"/>
    <n v="22"/>
    <s v="Masculino"/>
    <s v="Pintura"/>
    <s v="Operador"/>
    <s v="3º Turno"/>
    <x v="1"/>
    <s v="Não"/>
    <x v="0"/>
    <d v="2026-02-16T00:00:00"/>
    <m/>
    <s v="seg"/>
    <x v="3"/>
    <x v="0"/>
    <m/>
    <s v="103646069"/>
  </r>
  <r>
    <n v="1036"/>
    <n v="22"/>
    <s v="Masculino"/>
    <s v="Pintura"/>
    <s v="Operador"/>
    <s v="3º Turno"/>
    <x v="1"/>
    <s v="Não"/>
    <x v="0"/>
    <d v="2026-02-17T00:00:00"/>
    <m/>
    <s v="ter"/>
    <x v="3"/>
    <x v="0"/>
    <m/>
    <s v="103646070"/>
  </r>
  <r>
    <n v="1036"/>
    <n v="22"/>
    <s v="Masculino"/>
    <s v="Pintura"/>
    <s v="Operador"/>
    <s v="3º Turno"/>
    <x v="1"/>
    <s v="Não"/>
    <x v="0"/>
    <d v="2026-02-18T00:00:00"/>
    <m/>
    <s v="qua"/>
    <x v="3"/>
    <x v="0"/>
    <m/>
    <s v="103646071"/>
  </r>
  <r>
    <n v="1036"/>
    <n v="22"/>
    <s v="Masculino"/>
    <s v="Pintura"/>
    <s v="Operador"/>
    <s v="3º Turno"/>
    <x v="1"/>
    <s v="Não"/>
    <x v="0"/>
    <d v="2026-02-19T00:00:00"/>
    <m/>
    <s v="qui"/>
    <x v="3"/>
    <x v="0"/>
    <m/>
    <s v="103646072"/>
  </r>
  <r>
    <n v="1036"/>
    <n v="22"/>
    <s v="Masculino"/>
    <s v="Pintura"/>
    <s v="Operador"/>
    <s v="3º Turno"/>
    <x v="1"/>
    <s v="Não"/>
    <x v="0"/>
    <d v="2026-02-20T00:00:00"/>
    <m/>
    <s v="sex"/>
    <x v="3"/>
    <x v="0"/>
    <m/>
    <s v="103646073"/>
  </r>
  <r>
    <n v="1036"/>
    <n v="22"/>
    <s v="Masculino"/>
    <s v="Pintura"/>
    <s v="Operador"/>
    <s v="3º Turno"/>
    <x v="1"/>
    <s v="Não"/>
    <x v="0"/>
    <d v="2026-02-21T00:00:00"/>
    <m/>
    <s v="sáb"/>
    <x v="3"/>
    <x v="0"/>
    <m/>
    <s v="103646074"/>
  </r>
  <r>
    <n v="1036"/>
    <n v="22"/>
    <s v="Masculino"/>
    <s v="Pintura"/>
    <s v="Operador"/>
    <s v="3º Turno"/>
    <x v="1"/>
    <s v="Não"/>
    <x v="0"/>
    <d v="2026-02-22T00:00:00"/>
    <m/>
    <s v="dom"/>
    <x v="3"/>
    <x v="0"/>
    <m/>
    <s v="103646075"/>
  </r>
  <r>
    <n v="1036"/>
    <n v="22"/>
    <s v="Masculino"/>
    <s v="Pintura"/>
    <s v="Operador"/>
    <s v="3º Turno"/>
    <x v="1"/>
    <s v="Não"/>
    <x v="0"/>
    <d v="2026-02-23T00:00:00"/>
    <m/>
    <s v="seg"/>
    <x v="3"/>
    <x v="0"/>
    <m/>
    <s v="103646076"/>
  </r>
  <r>
    <n v="1036"/>
    <n v="22"/>
    <s v="Masculino"/>
    <s v="Pintura"/>
    <s v="Operador"/>
    <s v="3º Turno"/>
    <x v="1"/>
    <s v="Não"/>
    <x v="0"/>
    <d v="2026-02-24T00:00:00"/>
    <m/>
    <s v="ter"/>
    <x v="3"/>
    <x v="0"/>
    <m/>
    <s v="103646077"/>
  </r>
  <r>
    <n v="1036"/>
    <n v="22"/>
    <s v="Masculino"/>
    <s v="Pintura"/>
    <s v="Operador"/>
    <s v="3º Turno"/>
    <x v="1"/>
    <s v="Não"/>
    <x v="0"/>
    <d v="2026-02-25T00:00:00"/>
    <m/>
    <s v="qua"/>
    <x v="3"/>
    <x v="0"/>
    <m/>
    <s v="103646078"/>
  </r>
  <r>
    <n v="1036"/>
    <n v="22"/>
    <s v="Masculino"/>
    <s v="Pintura"/>
    <s v="Operador"/>
    <s v="3º Turno"/>
    <x v="1"/>
    <s v="Não"/>
    <x v="0"/>
    <d v="2026-02-26T00:00:00"/>
    <m/>
    <s v="qui"/>
    <x v="3"/>
    <x v="0"/>
    <m/>
    <s v="103646079"/>
  </r>
  <r>
    <n v="1036"/>
    <n v="22"/>
    <s v="Masculino"/>
    <s v="Pintura"/>
    <s v="Operador"/>
    <s v="3º Turno"/>
    <x v="1"/>
    <s v="Não"/>
    <x v="0"/>
    <d v="2026-02-27T00:00:00"/>
    <m/>
    <s v="sex"/>
    <x v="3"/>
    <x v="0"/>
    <m/>
    <s v="103646080"/>
  </r>
  <r>
    <n v="1036"/>
    <n v="22"/>
    <s v="Masculino"/>
    <s v="Pintura"/>
    <s v="Operador"/>
    <s v="3º Turno"/>
    <x v="1"/>
    <s v="Não"/>
    <x v="0"/>
    <d v="2026-02-28T00:00:00"/>
    <m/>
    <s v="sáb"/>
    <x v="3"/>
    <x v="0"/>
    <m/>
    <s v="103646081"/>
  </r>
  <r>
    <n v="1036"/>
    <n v="22"/>
    <s v="Masculino"/>
    <s v="Pintura"/>
    <s v="Operador"/>
    <s v="3º Turno"/>
    <x v="1"/>
    <s v="Não"/>
    <x v="0"/>
    <d v="2026-03-01T00:00:00"/>
    <m/>
    <s v="dom"/>
    <x v="4"/>
    <x v="0"/>
    <m/>
    <s v="103646082"/>
  </r>
  <r>
    <n v="1036"/>
    <n v="22"/>
    <s v="Masculino"/>
    <s v="Pintura"/>
    <s v="Operador"/>
    <s v="3º Turno"/>
    <x v="1"/>
    <s v="Não"/>
    <x v="0"/>
    <d v="2026-03-02T00:00:00"/>
    <m/>
    <s v="seg"/>
    <x v="4"/>
    <x v="0"/>
    <m/>
    <s v="103646083"/>
  </r>
  <r>
    <n v="1036"/>
    <n v="22"/>
    <s v="Masculino"/>
    <s v="Pintura"/>
    <s v="Operador"/>
    <s v="3º Turno"/>
    <x v="1"/>
    <s v="Não"/>
    <x v="0"/>
    <d v="2026-03-03T00:00:00"/>
    <m/>
    <s v="ter"/>
    <x v="4"/>
    <x v="0"/>
    <m/>
    <s v="103646084"/>
  </r>
  <r>
    <n v="1036"/>
    <n v="22"/>
    <s v="Masculino"/>
    <s v="Pintura"/>
    <s v="Operador"/>
    <s v="3º Turno"/>
    <x v="1"/>
    <s v="Não"/>
    <x v="0"/>
    <d v="2026-03-04T00:00:00"/>
    <m/>
    <s v="qua"/>
    <x v="4"/>
    <x v="0"/>
    <m/>
    <s v="103646085"/>
  </r>
  <r>
    <n v="1036"/>
    <n v="22"/>
    <s v="Masculino"/>
    <s v="Pintura"/>
    <s v="Operador"/>
    <s v="3º Turno"/>
    <x v="1"/>
    <s v="Não"/>
    <x v="0"/>
    <d v="2026-03-05T00:00:00"/>
    <m/>
    <s v="qui"/>
    <x v="4"/>
    <x v="0"/>
    <m/>
    <s v="103646086"/>
  </r>
  <r>
    <n v="1036"/>
    <n v="22"/>
    <s v="Masculino"/>
    <s v="Pintura"/>
    <s v="Operador"/>
    <s v="3º Turno"/>
    <x v="1"/>
    <s v="Não"/>
    <x v="0"/>
    <d v="2026-03-06T00:00:00"/>
    <m/>
    <s v="sex"/>
    <x v="4"/>
    <x v="0"/>
    <m/>
    <s v="103646087"/>
  </r>
  <r>
    <n v="1036"/>
    <n v="22"/>
    <s v="Masculino"/>
    <s v="Pintura"/>
    <s v="Operador"/>
    <s v="3º Turno"/>
    <x v="1"/>
    <s v="Não"/>
    <x v="0"/>
    <d v="2026-03-07T00:00:00"/>
    <m/>
    <s v="sáb"/>
    <x v="4"/>
    <x v="0"/>
    <m/>
    <s v="103646088"/>
  </r>
  <r>
    <n v="1036"/>
    <n v="22"/>
    <s v="Masculino"/>
    <s v="Pintura"/>
    <s v="Operador"/>
    <s v="3º Turno"/>
    <x v="1"/>
    <s v="Não"/>
    <x v="0"/>
    <d v="2026-03-08T00:00:00"/>
    <m/>
    <s v="dom"/>
    <x v="4"/>
    <x v="0"/>
    <m/>
    <s v="103646089"/>
  </r>
  <r>
    <n v="1036"/>
    <n v="22"/>
    <s v="Masculino"/>
    <s v="Pintura"/>
    <s v="Operador"/>
    <s v="3º Turno"/>
    <x v="1"/>
    <s v="Não"/>
    <x v="0"/>
    <d v="2026-03-09T00:00:00"/>
    <m/>
    <s v="seg"/>
    <x v="4"/>
    <x v="0"/>
    <m/>
    <s v="103646090"/>
  </r>
  <r>
    <n v="1036"/>
    <n v="22"/>
    <s v="Masculino"/>
    <s v="Pintura"/>
    <s v="Operador"/>
    <s v="3º Turno"/>
    <x v="1"/>
    <s v="Não"/>
    <x v="0"/>
    <d v="2026-03-10T00:00:00"/>
    <m/>
    <s v="ter"/>
    <x v="4"/>
    <x v="0"/>
    <m/>
    <s v="103646091"/>
  </r>
  <r>
    <n v="1036"/>
    <n v="22"/>
    <s v="Masculino"/>
    <s v="Pintura"/>
    <s v="Operador"/>
    <s v="3º Turno"/>
    <x v="1"/>
    <s v="Não"/>
    <x v="0"/>
    <d v="2026-03-11T00:00:00"/>
    <m/>
    <s v="qua"/>
    <x v="4"/>
    <x v="0"/>
    <m/>
    <s v="103646092"/>
  </r>
  <r>
    <n v="1036"/>
    <n v="22"/>
    <s v="Masculino"/>
    <s v="Pintura"/>
    <s v="Operador"/>
    <s v="3º Turno"/>
    <x v="1"/>
    <s v="Não"/>
    <x v="0"/>
    <d v="2026-03-12T00:00:00"/>
    <m/>
    <s v="qui"/>
    <x v="4"/>
    <x v="0"/>
    <m/>
    <s v="103646093"/>
  </r>
  <r>
    <n v="1036"/>
    <n v="22"/>
    <s v="Masculino"/>
    <s v="Pintura"/>
    <s v="Operador"/>
    <s v="3º Turno"/>
    <x v="1"/>
    <s v="Não"/>
    <x v="0"/>
    <d v="2026-03-13T00:00:00"/>
    <m/>
    <s v="sex"/>
    <x v="4"/>
    <x v="0"/>
    <m/>
    <s v="103646094"/>
  </r>
  <r>
    <n v="1036"/>
    <n v="22"/>
    <s v="Masculino"/>
    <s v="Pintura"/>
    <s v="Operador"/>
    <s v="3º Turno"/>
    <x v="1"/>
    <s v="Não"/>
    <x v="0"/>
    <d v="2026-03-14T00:00:00"/>
    <m/>
    <s v="sáb"/>
    <x v="4"/>
    <x v="0"/>
    <m/>
    <s v="103646095"/>
  </r>
  <r>
    <n v="1036"/>
    <n v="22"/>
    <s v="Masculino"/>
    <s v="Pintura"/>
    <s v="Operador"/>
    <s v="3º Turno"/>
    <x v="1"/>
    <s v="Não"/>
    <x v="0"/>
    <d v="2026-03-15T00:00:00"/>
    <m/>
    <s v="dom"/>
    <x v="4"/>
    <x v="0"/>
    <m/>
    <s v="103646096"/>
  </r>
  <r>
    <n v="1036"/>
    <n v="22"/>
    <s v="Masculino"/>
    <s v="Pintura"/>
    <s v="Operador"/>
    <s v="3º Turno"/>
    <x v="1"/>
    <s v="Não"/>
    <x v="0"/>
    <d v="2026-03-16T00:00:00"/>
    <m/>
    <s v="seg"/>
    <x v="4"/>
    <x v="0"/>
    <m/>
    <s v="103646097"/>
  </r>
  <r>
    <n v="1036"/>
    <n v="22"/>
    <s v="Masculino"/>
    <s v="Pintura"/>
    <s v="Operador"/>
    <s v="3º Turno"/>
    <x v="1"/>
    <s v="Não"/>
    <x v="0"/>
    <d v="2026-03-17T00:00:00"/>
    <m/>
    <s v="ter"/>
    <x v="4"/>
    <x v="0"/>
    <m/>
    <s v="103646098"/>
  </r>
  <r>
    <n v="1036"/>
    <n v="22"/>
    <s v="Masculino"/>
    <s v="Pintura"/>
    <s v="Operador"/>
    <s v="3º Turno"/>
    <x v="1"/>
    <s v="Não"/>
    <x v="0"/>
    <d v="2026-03-18T00:00:00"/>
    <m/>
    <s v="qua"/>
    <x v="4"/>
    <x v="0"/>
    <m/>
    <s v="103646099"/>
  </r>
  <r>
    <n v="1036"/>
    <n v="22"/>
    <s v="Masculino"/>
    <s v="Pintura"/>
    <s v="Operador"/>
    <s v="3º Turno"/>
    <x v="1"/>
    <s v="Não"/>
    <x v="0"/>
    <d v="2026-03-19T00:00:00"/>
    <m/>
    <s v="qui"/>
    <x v="4"/>
    <x v="0"/>
    <m/>
    <s v="103646100"/>
  </r>
  <r>
    <n v="1036"/>
    <n v="22"/>
    <s v="Masculino"/>
    <s v="Pintura"/>
    <s v="Operador"/>
    <s v="3º Turno"/>
    <x v="1"/>
    <s v="Não"/>
    <x v="0"/>
    <d v="2026-03-20T00:00:00"/>
    <m/>
    <s v="sex"/>
    <x v="4"/>
    <x v="0"/>
    <m/>
    <s v="103646101"/>
  </r>
  <r>
    <n v="1036"/>
    <n v="22"/>
    <s v="Masculino"/>
    <s v="Pintura"/>
    <s v="Operador"/>
    <s v="3º Turno"/>
    <x v="1"/>
    <s v="Não"/>
    <x v="0"/>
    <d v="2026-03-21T00:00:00"/>
    <m/>
    <s v="sáb"/>
    <x v="4"/>
    <x v="0"/>
    <m/>
    <s v="103646102"/>
  </r>
  <r>
    <n v="1036"/>
    <n v="22"/>
    <s v="Masculino"/>
    <s v="Pintura"/>
    <s v="Operador"/>
    <s v="3º Turno"/>
    <x v="1"/>
    <s v="Não"/>
    <x v="0"/>
    <d v="2026-03-22T00:00:00"/>
    <m/>
    <s v="dom"/>
    <x v="4"/>
    <x v="0"/>
    <m/>
    <s v="103646103"/>
  </r>
  <r>
    <n v="1036"/>
    <n v="22"/>
    <s v="Masculino"/>
    <s v="Pintura"/>
    <s v="Operador"/>
    <s v="3º Turno"/>
    <x v="1"/>
    <s v="Não"/>
    <x v="0"/>
    <d v="2026-03-23T00:00:00"/>
    <m/>
    <s v="seg"/>
    <x v="4"/>
    <x v="0"/>
    <m/>
    <s v="103646104"/>
  </r>
  <r>
    <n v="1036"/>
    <n v="22"/>
    <s v="Masculino"/>
    <s v="Pintura"/>
    <s v="Operador"/>
    <s v="3º Turno"/>
    <x v="1"/>
    <s v="Não"/>
    <x v="0"/>
    <d v="2026-03-24T00:00:00"/>
    <m/>
    <s v="ter"/>
    <x v="4"/>
    <x v="0"/>
    <m/>
    <s v="103646105"/>
  </r>
  <r>
    <n v="1036"/>
    <n v="22"/>
    <s v="Masculino"/>
    <s v="Pintura"/>
    <s v="Operador"/>
    <s v="3º Turno"/>
    <x v="1"/>
    <s v="Não"/>
    <x v="0"/>
    <d v="2026-03-25T00:00:00"/>
    <m/>
    <s v="qua"/>
    <x v="4"/>
    <x v="0"/>
    <m/>
    <s v="103646106"/>
  </r>
  <r>
    <n v="1036"/>
    <n v="22"/>
    <s v="Masculino"/>
    <s v="Pintura"/>
    <s v="Operador"/>
    <s v="3º Turno"/>
    <x v="1"/>
    <s v="Não"/>
    <x v="0"/>
    <d v="2026-03-26T00:00:00"/>
    <m/>
    <s v="qui"/>
    <x v="4"/>
    <x v="0"/>
    <m/>
    <s v="103646107"/>
  </r>
  <r>
    <n v="1036"/>
    <n v="22"/>
    <s v="Masculino"/>
    <s v="Pintura"/>
    <s v="Operador"/>
    <s v="3º Turno"/>
    <x v="1"/>
    <s v="Não"/>
    <x v="0"/>
    <d v="2026-03-27T00:00:00"/>
    <m/>
    <s v="sex"/>
    <x v="4"/>
    <x v="0"/>
    <m/>
    <s v="103646108"/>
  </r>
  <r>
    <n v="1036"/>
    <n v="22"/>
    <s v="Masculino"/>
    <s v="Pintura"/>
    <s v="Operador"/>
    <s v="3º Turno"/>
    <x v="1"/>
    <s v="Não"/>
    <x v="0"/>
    <d v="2026-03-28T00:00:00"/>
    <m/>
    <s v="sáb"/>
    <x v="4"/>
    <x v="0"/>
    <m/>
    <s v="103646109"/>
  </r>
  <r>
    <n v="1036"/>
    <n v="22"/>
    <s v="Masculino"/>
    <s v="Pintura"/>
    <s v="Operador"/>
    <s v="3º Turno"/>
    <x v="1"/>
    <s v="Não"/>
    <x v="0"/>
    <d v="2026-03-29T00:00:00"/>
    <m/>
    <s v="dom"/>
    <x v="4"/>
    <x v="0"/>
    <m/>
    <s v="103646110"/>
  </r>
  <r>
    <n v="1036"/>
    <n v="22"/>
    <s v="Masculino"/>
    <s v="Pintura"/>
    <s v="Operador"/>
    <s v="3º Turno"/>
    <x v="1"/>
    <s v="Não"/>
    <x v="0"/>
    <d v="2026-03-30T00:00:00"/>
    <m/>
    <s v="seg"/>
    <x v="4"/>
    <x v="0"/>
    <m/>
    <s v="103646111"/>
  </r>
  <r>
    <n v="1036"/>
    <n v="22"/>
    <s v="Masculino"/>
    <s v="Pintura"/>
    <s v="Operador"/>
    <s v="3º Turno"/>
    <x v="1"/>
    <s v="Não"/>
    <x v="0"/>
    <d v="2026-03-31T00:00:00"/>
    <m/>
    <s v="ter"/>
    <x v="4"/>
    <x v="0"/>
    <m/>
    <s v="103646112"/>
  </r>
  <r>
    <n v="1036"/>
    <n v="22"/>
    <s v="Masculino"/>
    <s v="Pintura"/>
    <s v="Operador"/>
    <s v="3º Turno"/>
    <x v="1"/>
    <s v="Não"/>
    <x v="0"/>
    <d v="2026-04-01T00:00:00"/>
    <m/>
    <s v="qua"/>
    <x v="2"/>
    <x v="0"/>
    <m/>
    <s v="103646113"/>
  </r>
  <r>
    <n v="1036"/>
    <n v="22"/>
    <s v="Masculino"/>
    <s v="Pintura"/>
    <s v="Operador"/>
    <s v="3º Turno"/>
    <x v="1"/>
    <s v="Não"/>
    <x v="0"/>
    <d v="2026-04-02T00:00:00"/>
    <m/>
    <s v="qui"/>
    <x v="2"/>
    <x v="0"/>
    <m/>
    <s v="103646114"/>
  </r>
  <r>
    <n v="1036"/>
    <n v="22"/>
    <s v="Masculino"/>
    <s v="Pintura"/>
    <s v="Operador"/>
    <s v="3º Turno"/>
    <x v="1"/>
    <s v="Não"/>
    <x v="0"/>
    <d v="2026-04-03T00:00:00"/>
    <m/>
    <s v="sex"/>
    <x v="2"/>
    <x v="0"/>
    <m/>
    <s v="103646115"/>
  </r>
  <r>
    <n v="1036"/>
    <n v="22"/>
    <s v="Masculino"/>
    <s v="Pintura"/>
    <s v="Operador"/>
    <s v="3º Turno"/>
    <x v="1"/>
    <s v="Não"/>
    <x v="0"/>
    <d v="2026-04-04T00:00:00"/>
    <m/>
    <s v="sáb"/>
    <x v="2"/>
    <x v="0"/>
    <m/>
    <s v="103646116"/>
  </r>
  <r>
    <n v="1036"/>
    <n v="22"/>
    <s v="Masculino"/>
    <s v="Pintura"/>
    <s v="Operador"/>
    <s v="3º Turno"/>
    <x v="1"/>
    <s v="Não"/>
    <x v="0"/>
    <d v="2026-04-05T00:00:00"/>
    <m/>
    <s v="dom"/>
    <x v="2"/>
    <x v="0"/>
    <m/>
    <s v="103646117"/>
  </r>
  <r>
    <n v="1036"/>
    <n v="22"/>
    <s v="Masculino"/>
    <s v="Pintura"/>
    <s v="Operador"/>
    <s v="3º Turno"/>
    <x v="1"/>
    <s v="Não"/>
    <x v="0"/>
    <d v="2026-04-06T00:00:00"/>
    <m/>
    <s v="seg"/>
    <x v="2"/>
    <x v="0"/>
    <m/>
    <s v="103646118"/>
  </r>
  <r>
    <n v="1036"/>
    <n v="22"/>
    <s v="Masculino"/>
    <s v="Pintura"/>
    <s v="Operador"/>
    <s v="3º Turno"/>
    <x v="1"/>
    <s v="Não"/>
    <x v="0"/>
    <d v="2026-04-07T00:00:00"/>
    <m/>
    <s v="ter"/>
    <x v="2"/>
    <x v="0"/>
    <m/>
    <s v="103646119"/>
  </r>
  <r>
    <n v="1036"/>
    <n v="22"/>
    <s v="Masculino"/>
    <s v="Pintura"/>
    <s v="Operador"/>
    <s v="3º Turno"/>
    <x v="1"/>
    <s v="Não"/>
    <x v="0"/>
    <d v="2026-04-08T00:00:00"/>
    <m/>
    <s v="qua"/>
    <x v="2"/>
    <x v="0"/>
    <m/>
    <s v="103646120"/>
  </r>
  <r>
    <n v="1036"/>
    <n v="22"/>
    <s v="Masculino"/>
    <s v="Pintura"/>
    <s v="Operador"/>
    <s v="3º Turno"/>
    <x v="1"/>
    <s v="Não"/>
    <x v="0"/>
    <d v="2026-04-09T00:00:00"/>
    <m/>
    <s v="qui"/>
    <x v="2"/>
    <x v="0"/>
    <m/>
    <s v="103646121"/>
  </r>
  <r>
    <n v="1036"/>
    <n v="22"/>
    <s v="Masculino"/>
    <s v="Pintura"/>
    <s v="Operador"/>
    <s v="3º Turno"/>
    <x v="1"/>
    <s v="Não"/>
    <x v="0"/>
    <d v="2026-04-10T00:00:00"/>
    <m/>
    <s v="sex"/>
    <x v="2"/>
    <x v="0"/>
    <m/>
    <s v="103646122"/>
  </r>
  <r>
    <n v="1062"/>
    <n v="22"/>
    <s v="Feminino"/>
    <s v="Montagem"/>
    <s v="Operador"/>
    <s v="3º Turno"/>
    <x v="1"/>
    <s v="Não"/>
    <x v="0"/>
    <d v="2025-01-06T00:00:00"/>
    <m/>
    <s v="seg"/>
    <x v="5"/>
    <x v="1"/>
    <m/>
    <s v="106245663"/>
  </r>
  <r>
    <n v="1062"/>
    <n v="22"/>
    <s v="Feminino"/>
    <s v="Montagem"/>
    <s v="Operador"/>
    <s v="3º Turno"/>
    <x v="1"/>
    <s v="Não"/>
    <x v="0"/>
    <d v="2025-01-07T00:00:00"/>
    <m/>
    <s v="ter"/>
    <x v="5"/>
    <x v="1"/>
    <m/>
    <s v="106245664"/>
  </r>
  <r>
    <n v="1062"/>
    <n v="22"/>
    <s v="Feminino"/>
    <s v="Montagem"/>
    <s v="Operador"/>
    <s v="3º Turno"/>
    <x v="1"/>
    <s v="Não"/>
    <x v="0"/>
    <d v="2025-01-08T00:00:00"/>
    <m/>
    <s v="qua"/>
    <x v="5"/>
    <x v="1"/>
    <m/>
    <s v="106245665"/>
  </r>
  <r>
    <n v="1062"/>
    <n v="22"/>
    <s v="Feminino"/>
    <s v="Montagem"/>
    <s v="Operador"/>
    <s v="3º Turno"/>
    <x v="1"/>
    <s v="Não"/>
    <x v="0"/>
    <d v="2025-01-09T00:00:00"/>
    <m/>
    <s v="qui"/>
    <x v="5"/>
    <x v="1"/>
    <m/>
    <s v="106245666"/>
  </r>
  <r>
    <n v="1062"/>
    <n v="22"/>
    <s v="Feminino"/>
    <s v="Montagem"/>
    <s v="Operador"/>
    <s v="3º Turno"/>
    <x v="1"/>
    <s v="Não"/>
    <x v="0"/>
    <d v="2025-01-10T00:00:00"/>
    <m/>
    <s v="sex"/>
    <x v="5"/>
    <x v="1"/>
    <m/>
    <s v="106245667"/>
  </r>
  <r>
    <n v="1062"/>
    <n v="22"/>
    <s v="Feminino"/>
    <s v="Montagem"/>
    <s v="Operador"/>
    <s v="3º Turno"/>
    <x v="1"/>
    <s v="Não"/>
    <x v="0"/>
    <d v="2025-01-11T00:00:00"/>
    <m/>
    <s v="sáb"/>
    <x v="5"/>
    <x v="1"/>
    <m/>
    <s v="106245668"/>
  </r>
  <r>
    <n v="1062"/>
    <n v="22"/>
    <s v="Feminino"/>
    <s v="Montagem"/>
    <s v="Operador"/>
    <s v="3º Turno"/>
    <x v="1"/>
    <s v="Não"/>
    <x v="0"/>
    <d v="2025-01-12T00:00:00"/>
    <m/>
    <s v="dom"/>
    <x v="5"/>
    <x v="1"/>
    <m/>
    <s v="106245669"/>
  </r>
  <r>
    <n v="1062"/>
    <n v="22"/>
    <s v="Feminino"/>
    <s v="Montagem"/>
    <s v="Operador"/>
    <s v="3º Turno"/>
    <x v="1"/>
    <s v="Não"/>
    <x v="0"/>
    <d v="2025-01-13T00:00:00"/>
    <m/>
    <s v="seg"/>
    <x v="5"/>
    <x v="1"/>
    <m/>
    <s v="106245670"/>
  </r>
  <r>
    <n v="1062"/>
    <n v="22"/>
    <s v="Feminino"/>
    <s v="Montagem"/>
    <s v="Operador"/>
    <s v="3º Turno"/>
    <x v="1"/>
    <s v="Não"/>
    <x v="0"/>
    <d v="2025-01-14T00:00:00"/>
    <m/>
    <s v="ter"/>
    <x v="5"/>
    <x v="1"/>
    <m/>
    <s v="106245671"/>
  </r>
  <r>
    <n v="1062"/>
    <n v="22"/>
    <s v="Feminino"/>
    <s v="Montagem"/>
    <s v="Operador"/>
    <s v="3º Turno"/>
    <x v="1"/>
    <s v="Não"/>
    <x v="0"/>
    <d v="2025-01-15T00:00:00"/>
    <m/>
    <s v="qua"/>
    <x v="5"/>
    <x v="1"/>
    <m/>
    <s v="106245672"/>
  </r>
  <r>
    <n v="1062"/>
    <n v="22"/>
    <s v="Feminino"/>
    <s v="Montagem"/>
    <s v="Operador"/>
    <s v="3º Turno"/>
    <x v="1"/>
    <s v="Não"/>
    <x v="0"/>
    <d v="2025-01-16T00:00:00"/>
    <m/>
    <s v="qui"/>
    <x v="5"/>
    <x v="1"/>
    <m/>
    <s v="106245673"/>
  </r>
  <r>
    <n v="1062"/>
    <n v="22"/>
    <s v="Feminino"/>
    <s v="Montagem"/>
    <s v="Operador"/>
    <s v="3º Turno"/>
    <x v="1"/>
    <s v="Não"/>
    <x v="0"/>
    <d v="2025-01-17T00:00:00"/>
    <m/>
    <s v="sex"/>
    <x v="5"/>
    <x v="1"/>
    <m/>
    <s v="106245674"/>
  </r>
  <r>
    <n v="1062"/>
    <n v="22"/>
    <s v="Feminino"/>
    <s v="Montagem"/>
    <s v="Operador"/>
    <s v="3º Turno"/>
    <x v="1"/>
    <s v="Não"/>
    <x v="0"/>
    <d v="2025-01-18T00:00:00"/>
    <m/>
    <s v="sáb"/>
    <x v="5"/>
    <x v="1"/>
    <m/>
    <s v="106245675"/>
  </r>
  <r>
    <n v="1062"/>
    <n v="22"/>
    <s v="Feminino"/>
    <s v="Montagem"/>
    <s v="Operador"/>
    <s v="3º Turno"/>
    <x v="1"/>
    <s v="Não"/>
    <x v="0"/>
    <d v="2025-01-19T00:00:00"/>
    <m/>
    <s v="dom"/>
    <x v="5"/>
    <x v="1"/>
    <m/>
    <s v="106245676"/>
  </r>
  <r>
    <n v="1062"/>
    <n v="22"/>
    <s v="Feminino"/>
    <s v="Montagem"/>
    <s v="Operador"/>
    <s v="3º Turno"/>
    <x v="1"/>
    <s v="Não"/>
    <x v="0"/>
    <d v="2025-01-20T00:00:00"/>
    <m/>
    <s v="seg"/>
    <x v="5"/>
    <x v="1"/>
    <m/>
    <s v="106245677"/>
  </r>
  <r>
    <n v="1062"/>
    <n v="22"/>
    <s v="Feminino"/>
    <s v="Montagem"/>
    <s v="Operador"/>
    <s v="3º Turno"/>
    <x v="1"/>
    <s v="Não"/>
    <x v="0"/>
    <d v="2025-01-21T00:00:00"/>
    <m/>
    <s v="ter"/>
    <x v="5"/>
    <x v="1"/>
    <m/>
    <s v="106245678"/>
  </r>
  <r>
    <n v="1062"/>
    <n v="22"/>
    <s v="Feminino"/>
    <s v="Montagem"/>
    <s v="Operador"/>
    <s v="3º Turno"/>
    <x v="1"/>
    <s v="Não"/>
    <x v="0"/>
    <d v="2025-01-22T00:00:00"/>
    <m/>
    <s v="qua"/>
    <x v="5"/>
    <x v="1"/>
    <m/>
    <s v="106245679"/>
  </r>
  <r>
    <n v="1888"/>
    <n v="22"/>
    <s v="Feminino"/>
    <s v="Soldagem"/>
    <s v="Operador"/>
    <s v="2º Turno"/>
    <x v="1"/>
    <s v="Não"/>
    <x v="1"/>
    <d v="2025-02-02T00:00:00"/>
    <m/>
    <s v="dom"/>
    <x v="3"/>
    <x v="1"/>
    <m/>
    <s v="188845690"/>
  </r>
  <r>
    <n v="1888"/>
    <n v="22"/>
    <s v="Feminino"/>
    <s v="Soldagem"/>
    <s v="Operador"/>
    <s v="2º Turno"/>
    <x v="1"/>
    <s v="Não"/>
    <x v="1"/>
    <d v="2025-02-03T00:00:00"/>
    <m/>
    <s v="seg"/>
    <x v="3"/>
    <x v="1"/>
    <m/>
    <s v="188845691"/>
  </r>
  <r>
    <n v="1888"/>
    <n v="22"/>
    <s v="Feminino"/>
    <s v="Soldagem"/>
    <s v="Operador"/>
    <s v="2º Turno"/>
    <x v="1"/>
    <s v="Não"/>
    <x v="1"/>
    <d v="2025-02-04T00:00:00"/>
    <m/>
    <s v="ter"/>
    <x v="3"/>
    <x v="1"/>
    <m/>
    <s v="188845692"/>
  </r>
  <r>
    <n v="1888"/>
    <n v="22"/>
    <s v="Feminino"/>
    <s v="Soldagem"/>
    <s v="Operador"/>
    <s v="2º Turno"/>
    <x v="1"/>
    <s v="Não"/>
    <x v="1"/>
    <d v="2025-02-05T00:00:00"/>
    <m/>
    <s v="qua"/>
    <x v="3"/>
    <x v="1"/>
    <m/>
    <s v="188845693"/>
  </r>
  <r>
    <n v="1888"/>
    <n v="22"/>
    <s v="Feminino"/>
    <s v="Soldagem"/>
    <s v="Operador"/>
    <s v="2º Turno"/>
    <x v="1"/>
    <s v="Não"/>
    <x v="1"/>
    <d v="2025-02-06T00:00:00"/>
    <m/>
    <s v="qui"/>
    <x v="3"/>
    <x v="1"/>
    <m/>
    <s v="188845694"/>
  </r>
  <r>
    <n v="1888"/>
    <n v="22"/>
    <s v="Feminino"/>
    <s v="Soldagem"/>
    <s v="Operador"/>
    <s v="2º Turno"/>
    <x v="1"/>
    <s v="Não"/>
    <x v="1"/>
    <d v="2025-02-07T00:00:00"/>
    <m/>
    <s v="sex"/>
    <x v="3"/>
    <x v="1"/>
    <m/>
    <s v="188845695"/>
  </r>
  <r>
    <n v="1888"/>
    <n v="22"/>
    <s v="Feminino"/>
    <s v="Soldagem"/>
    <s v="Operador"/>
    <s v="2º Turno"/>
    <x v="1"/>
    <s v="Não"/>
    <x v="1"/>
    <d v="2025-02-08T00:00:00"/>
    <m/>
    <s v="sáb"/>
    <x v="3"/>
    <x v="1"/>
    <m/>
    <s v="188845696"/>
  </r>
  <r>
    <n v="1888"/>
    <n v="22"/>
    <s v="Feminino"/>
    <s v="Soldagem"/>
    <s v="Operador"/>
    <s v="2º Turno"/>
    <x v="1"/>
    <s v="Não"/>
    <x v="1"/>
    <d v="2025-02-09T00:00:00"/>
    <m/>
    <s v="dom"/>
    <x v="3"/>
    <x v="1"/>
    <m/>
    <s v="188845697"/>
  </r>
  <r>
    <n v="1888"/>
    <n v="22"/>
    <s v="Feminino"/>
    <s v="Soldagem"/>
    <s v="Operador"/>
    <s v="2º Turno"/>
    <x v="1"/>
    <s v="Não"/>
    <x v="1"/>
    <d v="2025-02-10T00:00:00"/>
    <m/>
    <s v="seg"/>
    <x v="3"/>
    <x v="1"/>
    <m/>
    <s v="188845698"/>
  </r>
  <r>
    <n v="1888"/>
    <n v="22"/>
    <s v="Feminino"/>
    <s v="Soldagem"/>
    <s v="Operador"/>
    <s v="2º Turno"/>
    <x v="1"/>
    <s v="Não"/>
    <x v="1"/>
    <d v="2025-02-11T00:00:00"/>
    <m/>
    <s v="ter"/>
    <x v="3"/>
    <x v="1"/>
    <m/>
    <s v="188845699"/>
  </r>
  <r>
    <n v="1888"/>
    <n v="22"/>
    <s v="Feminino"/>
    <s v="Soldagem"/>
    <s v="Operador"/>
    <s v="2º Turno"/>
    <x v="1"/>
    <s v="Não"/>
    <x v="1"/>
    <d v="2025-02-12T00:00:00"/>
    <m/>
    <s v="qua"/>
    <x v="3"/>
    <x v="1"/>
    <m/>
    <s v="188845700"/>
  </r>
  <r>
    <n v="1888"/>
    <n v="22"/>
    <s v="Feminino"/>
    <s v="Soldagem"/>
    <s v="Operador"/>
    <s v="2º Turno"/>
    <x v="1"/>
    <s v="Não"/>
    <x v="1"/>
    <d v="2025-02-13T00:00:00"/>
    <m/>
    <s v="qui"/>
    <x v="3"/>
    <x v="1"/>
    <m/>
    <s v="188845701"/>
  </r>
  <r>
    <n v="1888"/>
    <n v="22"/>
    <s v="Feminino"/>
    <s v="Soldagem"/>
    <s v="Operador"/>
    <s v="2º Turno"/>
    <x v="1"/>
    <s v="Não"/>
    <x v="1"/>
    <d v="2025-02-14T00:00:00"/>
    <m/>
    <s v="sex"/>
    <x v="3"/>
    <x v="1"/>
    <m/>
    <s v="188845702"/>
  </r>
  <r>
    <n v="1888"/>
    <n v="22"/>
    <s v="Feminino"/>
    <s v="Soldagem"/>
    <s v="Operador"/>
    <s v="2º Turno"/>
    <x v="1"/>
    <s v="Não"/>
    <x v="1"/>
    <d v="2025-02-15T00:00:00"/>
    <m/>
    <s v="sáb"/>
    <x v="3"/>
    <x v="1"/>
    <m/>
    <s v="188845703"/>
  </r>
  <r>
    <n v="1888"/>
    <n v="22"/>
    <s v="Feminino"/>
    <s v="Soldagem"/>
    <s v="Operador"/>
    <s v="2º Turno"/>
    <x v="1"/>
    <s v="Não"/>
    <x v="1"/>
    <d v="2025-02-16T00:00:00"/>
    <m/>
    <s v="dom"/>
    <x v="3"/>
    <x v="1"/>
    <m/>
    <s v="188845704"/>
  </r>
  <r>
    <n v="1888"/>
    <n v="22"/>
    <s v="Feminino"/>
    <s v="Soldagem"/>
    <s v="Operador"/>
    <s v="2º Turno"/>
    <x v="1"/>
    <s v="Não"/>
    <x v="1"/>
    <d v="2025-02-17T00:00:00"/>
    <m/>
    <s v="seg"/>
    <x v="3"/>
    <x v="1"/>
    <m/>
    <s v="188845705"/>
  </r>
  <r>
    <n v="1888"/>
    <n v="22"/>
    <s v="Feminino"/>
    <s v="Soldagem"/>
    <s v="Operador"/>
    <s v="2º Turno"/>
    <x v="1"/>
    <s v="Não"/>
    <x v="1"/>
    <d v="2025-02-18T00:00:00"/>
    <m/>
    <s v="ter"/>
    <x v="3"/>
    <x v="1"/>
    <m/>
    <s v="188845706"/>
  </r>
  <r>
    <n v="1888"/>
    <n v="22"/>
    <s v="Feminino"/>
    <s v="Soldagem"/>
    <s v="Operador"/>
    <s v="2º Turno"/>
    <x v="1"/>
    <s v="Não"/>
    <x v="1"/>
    <d v="2025-02-19T00:00:00"/>
    <m/>
    <s v="qua"/>
    <x v="3"/>
    <x v="1"/>
    <m/>
    <s v="188845707"/>
  </r>
  <r>
    <n v="1888"/>
    <n v="22"/>
    <s v="Feminino"/>
    <s v="Soldagem"/>
    <s v="Operador"/>
    <s v="2º Turno"/>
    <x v="1"/>
    <s v="Não"/>
    <x v="1"/>
    <d v="2025-02-20T00:00:00"/>
    <m/>
    <s v="qui"/>
    <x v="3"/>
    <x v="1"/>
    <m/>
    <s v="188845708"/>
  </r>
  <r>
    <n v="1888"/>
    <n v="22"/>
    <s v="Feminino"/>
    <s v="Soldagem"/>
    <s v="Operador"/>
    <s v="2º Turno"/>
    <x v="1"/>
    <s v="Não"/>
    <x v="1"/>
    <d v="2025-02-21T00:00:00"/>
    <m/>
    <s v="sex"/>
    <x v="3"/>
    <x v="1"/>
    <m/>
    <s v="188845709"/>
  </r>
  <r>
    <n v="1888"/>
    <n v="22"/>
    <s v="Feminino"/>
    <s v="Soldagem"/>
    <s v="Operador"/>
    <s v="2º Turno"/>
    <x v="1"/>
    <s v="Não"/>
    <x v="1"/>
    <d v="2025-02-22T00:00:00"/>
    <m/>
    <s v="sáb"/>
    <x v="3"/>
    <x v="1"/>
    <m/>
    <s v="188845710"/>
  </r>
  <r>
    <n v="1888"/>
    <n v="22"/>
    <s v="Feminino"/>
    <s v="Soldagem"/>
    <s v="Operador"/>
    <s v="2º Turno"/>
    <x v="1"/>
    <s v="Não"/>
    <x v="1"/>
    <d v="2025-02-23T00:00:00"/>
    <m/>
    <s v="dom"/>
    <x v="3"/>
    <x v="1"/>
    <m/>
    <s v="188845711"/>
  </r>
  <r>
    <n v="1888"/>
    <n v="22"/>
    <s v="Feminino"/>
    <s v="Soldagem"/>
    <s v="Operador"/>
    <s v="2º Turno"/>
    <x v="1"/>
    <s v="Não"/>
    <x v="1"/>
    <d v="2025-02-24T00:00:00"/>
    <m/>
    <s v="seg"/>
    <x v="3"/>
    <x v="1"/>
    <m/>
    <s v="188845712"/>
  </r>
  <r>
    <n v="1888"/>
    <n v="22"/>
    <s v="Feminino"/>
    <s v="Soldagem"/>
    <s v="Operador"/>
    <s v="2º Turno"/>
    <x v="1"/>
    <s v="Não"/>
    <x v="1"/>
    <d v="2025-02-25T00:00:00"/>
    <m/>
    <s v="ter"/>
    <x v="3"/>
    <x v="1"/>
    <m/>
    <s v="188845713"/>
  </r>
  <r>
    <n v="1888"/>
    <n v="22"/>
    <s v="Feminino"/>
    <s v="Soldagem"/>
    <s v="Operador"/>
    <s v="2º Turno"/>
    <x v="1"/>
    <s v="Não"/>
    <x v="1"/>
    <d v="2025-02-26T00:00:00"/>
    <m/>
    <s v="qua"/>
    <x v="3"/>
    <x v="1"/>
    <m/>
    <s v="188845714"/>
  </r>
  <r>
    <n v="1888"/>
    <n v="22"/>
    <s v="Feminino"/>
    <s v="Soldagem"/>
    <s v="Operador"/>
    <s v="2º Turno"/>
    <x v="1"/>
    <s v="Não"/>
    <x v="1"/>
    <d v="2025-02-27T00:00:00"/>
    <m/>
    <s v="qui"/>
    <x v="3"/>
    <x v="1"/>
    <m/>
    <s v="188845715"/>
  </r>
  <r>
    <n v="1888"/>
    <n v="22"/>
    <s v="Feminino"/>
    <s v="Soldagem"/>
    <s v="Operador"/>
    <s v="2º Turno"/>
    <x v="1"/>
    <s v="Não"/>
    <x v="1"/>
    <d v="2025-02-28T00:00:00"/>
    <m/>
    <s v="sex"/>
    <x v="3"/>
    <x v="1"/>
    <m/>
    <s v="188845716"/>
  </r>
  <r>
    <n v="1888"/>
    <n v="22"/>
    <s v="Feminino"/>
    <s v="Soldagem"/>
    <s v="Operador"/>
    <s v="2º Turno"/>
    <x v="1"/>
    <s v="Não"/>
    <x v="1"/>
    <d v="2025-03-01T00:00:00"/>
    <m/>
    <s v="sáb"/>
    <x v="4"/>
    <x v="1"/>
    <m/>
    <s v="188845717"/>
  </r>
  <r>
    <n v="1888"/>
    <n v="22"/>
    <s v="Feminino"/>
    <s v="Soldagem"/>
    <s v="Operador"/>
    <s v="2º Turno"/>
    <x v="1"/>
    <s v="Não"/>
    <x v="1"/>
    <d v="2025-03-02T00:00:00"/>
    <m/>
    <s v="dom"/>
    <x v="4"/>
    <x v="1"/>
    <m/>
    <s v="188845718"/>
  </r>
  <r>
    <n v="1888"/>
    <n v="22"/>
    <s v="Feminino"/>
    <s v="Soldagem"/>
    <s v="Operador"/>
    <s v="2º Turno"/>
    <x v="1"/>
    <s v="Não"/>
    <x v="1"/>
    <d v="2025-03-03T00:00:00"/>
    <m/>
    <s v="seg"/>
    <x v="4"/>
    <x v="1"/>
    <m/>
    <s v="188845719"/>
  </r>
  <r>
    <n v="1888"/>
    <n v="22"/>
    <s v="Feminino"/>
    <s v="Soldagem"/>
    <s v="Operador"/>
    <s v="2º Turno"/>
    <x v="1"/>
    <s v="Não"/>
    <x v="1"/>
    <d v="2025-03-04T00:00:00"/>
    <m/>
    <s v="ter"/>
    <x v="4"/>
    <x v="1"/>
    <m/>
    <s v="188845720"/>
  </r>
  <r>
    <n v="1888"/>
    <n v="22"/>
    <s v="Feminino"/>
    <s v="Soldagem"/>
    <s v="Operador"/>
    <s v="2º Turno"/>
    <x v="1"/>
    <s v="Não"/>
    <x v="1"/>
    <d v="2025-03-05T00:00:00"/>
    <m/>
    <s v="qua"/>
    <x v="4"/>
    <x v="1"/>
    <m/>
    <s v="188845721"/>
  </r>
  <r>
    <n v="1888"/>
    <n v="22"/>
    <s v="Feminino"/>
    <s v="Soldagem"/>
    <s v="Operador"/>
    <s v="2º Turno"/>
    <x v="1"/>
    <s v="Não"/>
    <x v="1"/>
    <d v="2025-03-06T00:00:00"/>
    <m/>
    <s v="qui"/>
    <x v="4"/>
    <x v="1"/>
    <m/>
    <s v="188845722"/>
  </r>
  <r>
    <n v="1888"/>
    <n v="22"/>
    <s v="Feminino"/>
    <s v="Soldagem"/>
    <s v="Operador"/>
    <s v="2º Turno"/>
    <x v="1"/>
    <s v="Não"/>
    <x v="1"/>
    <d v="2025-03-07T00:00:00"/>
    <m/>
    <s v="sex"/>
    <x v="4"/>
    <x v="1"/>
    <m/>
    <s v="188845723"/>
  </r>
  <r>
    <n v="1888"/>
    <n v="22"/>
    <s v="Feminino"/>
    <s v="Soldagem"/>
    <s v="Operador"/>
    <s v="2º Turno"/>
    <x v="1"/>
    <s v="Não"/>
    <x v="1"/>
    <d v="2025-03-08T00:00:00"/>
    <m/>
    <s v="sáb"/>
    <x v="4"/>
    <x v="1"/>
    <m/>
    <s v="188845724"/>
  </r>
  <r>
    <n v="1888"/>
    <n v="22"/>
    <s v="Feminino"/>
    <s v="Soldagem"/>
    <s v="Operador"/>
    <s v="2º Turno"/>
    <x v="1"/>
    <s v="Não"/>
    <x v="1"/>
    <d v="2025-03-09T00:00:00"/>
    <m/>
    <s v="dom"/>
    <x v="4"/>
    <x v="1"/>
    <m/>
    <s v="188845725"/>
  </r>
  <r>
    <n v="1888"/>
    <n v="22"/>
    <s v="Feminino"/>
    <s v="Soldagem"/>
    <s v="Operador"/>
    <s v="2º Turno"/>
    <x v="1"/>
    <s v="Não"/>
    <x v="1"/>
    <d v="2025-03-10T00:00:00"/>
    <m/>
    <s v="seg"/>
    <x v="4"/>
    <x v="1"/>
    <m/>
    <s v="188845726"/>
  </r>
  <r>
    <n v="1888"/>
    <n v="22"/>
    <s v="Feminino"/>
    <s v="Soldagem"/>
    <s v="Operador"/>
    <s v="2º Turno"/>
    <x v="1"/>
    <s v="Não"/>
    <x v="1"/>
    <d v="2025-03-11T00:00:00"/>
    <m/>
    <s v="ter"/>
    <x v="4"/>
    <x v="1"/>
    <m/>
    <s v="188845727"/>
  </r>
  <r>
    <n v="1888"/>
    <n v="22"/>
    <s v="Feminino"/>
    <s v="Soldagem"/>
    <s v="Operador"/>
    <s v="2º Turno"/>
    <x v="1"/>
    <s v="Não"/>
    <x v="1"/>
    <d v="2025-03-12T00:00:00"/>
    <m/>
    <s v="qua"/>
    <x v="4"/>
    <x v="1"/>
    <m/>
    <s v="188845728"/>
  </r>
  <r>
    <n v="1888"/>
    <n v="22"/>
    <s v="Feminino"/>
    <s v="Soldagem"/>
    <s v="Operador"/>
    <s v="2º Turno"/>
    <x v="1"/>
    <s v="Não"/>
    <x v="1"/>
    <d v="2025-03-13T00:00:00"/>
    <m/>
    <s v="qui"/>
    <x v="4"/>
    <x v="1"/>
    <m/>
    <s v="188845729"/>
  </r>
  <r>
    <n v="1888"/>
    <n v="22"/>
    <s v="Feminino"/>
    <s v="Soldagem"/>
    <s v="Operador"/>
    <s v="2º Turno"/>
    <x v="1"/>
    <s v="Não"/>
    <x v="1"/>
    <d v="2025-03-14T00:00:00"/>
    <m/>
    <s v="sex"/>
    <x v="4"/>
    <x v="1"/>
    <m/>
    <s v="188845730"/>
  </r>
  <r>
    <n v="1888"/>
    <n v="22"/>
    <s v="Feminino"/>
    <s v="Soldagem"/>
    <s v="Operador"/>
    <s v="2º Turno"/>
    <x v="1"/>
    <s v="Não"/>
    <x v="1"/>
    <d v="2025-03-15T00:00:00"/>
    <m/>
    <s v="sáb"/>
    <x v="4"/>
    <x v="1"/>
    <m/>
    <s v="188845731"/>
  </r>
  <r>
    <n v="1888"/>
    <n v="22"/>
    <s v="Feminino"/>
    <s v="Soldagem"/>
    <s v="Operador"/>
    <s v="2º Turno"/>
    <x v="1"/>
    <s v="Não"/>
    <x v="1"/>
    <d v="2025-03-16T00:00:00"/>
    <m/>
    <s v="dom"/>
    <x v="4"/>
    <x v="1"/>
    <m/>
    <s v="188845732"/>
  </r>
  <r>
    <n v="1888"/>
    <n v="22"/>
    <s v="Feminino"/>
    <s v="Soldagem"/>
    <s v="Operador"/>
    <s v="2º Turno"/>
    <x v="1"/>
    <s v="Não"/>
    <x v="1"/>
    <d v="2025-03-17T00:00:00"/>
    <m/>
    <s v="seg"/>
    <x v="4"/>
    <x v="1"/>
    <m/>
    <s v="188845733"/>
  </r>
  <r>
    <n v="1888"/>
    <n v="22"/>
    <s v="Feminino"/>
    <s v="Soldagem"/>
    <s v="Operador"/>
    <s v="2º Turno"/>
    <x v="1"/>
    <s v="Não"/>
    <x v="1"/>
    <d v="2025-03-18T00:00:00"/>
    <m/>
    <s v="ter"/>
    <x v="4"/>
    <x v="1"/>
    <m/>
    <s v="188845734"/>
  </r>
  <r>
    <n v="1888"/>
    <n v="22"/>
    <s v="Feminino"/>
    <s v="Soldagem"/>
    <s v="Operador"/>
    <s v="2º Turno"/>
    <x v="1"/>
    <s v="Não"/>
    <x v="1"/>
    <d v="2025-03-19T00:00:00"/>
    <m/>
    <s v="qua"/>
    <x v="4"/>
    <x v="1"/>
    <m/>
    <s v="188845735"/>
  </r>
  <r>
    <n v="1888"/>
    <n v="22"/>
    <s v="Feminino"/>
    <s v="Soldagem"/>
    <s v="Operador"/>
    <s v="2º Turno"/>
    <x v="1"/>
    <s v="Não"/>
    <x v="1"/>
    <d v="2025-03-20T00:00:00"/>
    <m/>
    <s v="qui"/>
    <x v="4"/>
    <x v="1"/>
    <m/>
    <s v="188845736"/>
  </r>
  <r>
    <n v="1888"/>
    <n v="22"/>
    <s v="Feminino"/>
    <s v="Soldagem"/>
    <s v="Operador"/>
    <s v="2º Turno"/>
    <x v="1"/>
    <s v="Não"/>
    <x v="1"/>
    <d v="2025-03-21T00:00:00"/>
    <m/>
    <s v="sex"/>
    <x v="4"/>
    <x v="1"/>
    <m/>
    <s v="188845737"/>
  </r>
  <r>
    <n v="1888"/>
    <n v="22"/>
    <s v="Feminino"/>
    <s v="Soldagem"/>
    <s v="Operador"/>
    <s v="2º Turno"/>
    <x v="1"/>
    <s v="Não"/>
    <x v="1"/>
    <d v="2025-03-22T00:00:00"/>
    <m/>
    <s v="sáb"/>
    <x v="4"/>
    <x v="1"/>
    <m/>
    <s v="188845738"/>
  </r>
  <r>
    <n v="1888"/>
    <n v="22"/>
    <s v="Feminino"/>
    <s v="Soldagem"/>
    <s v="Operador"/>
    <s v="2º Turno"/>
    <x v="1"/>
    <s v="Não"/>
    <x v="1"/>
    <d v="2025-03-23T00:00:00"/>
    <m/>
    <s v="dom"/>
    <x v="4"/>
    <x v="1"/>
    <m/>
    <s v="188845739"/>
  </r>
  <r>
    <n v="1888"/>
    <n v="22"/>
    <s v="Feminino"/>
    <s v="Soldagem"/>
    <s v="Operador"/>
    <s v="2º Turno"/>
    <x v="1"/>
    <s v="Não"/>
    <x v="1"/>
    <d v="2025-03-24T00:00:00"/>
    <m/>
    <s v="seg"/>
    <x v="4"/>
    <x v="1"/>
    <m/>
    <s v="188845740"/>
  </r>
  <r>
    <n v="1888"/>
    <n v="22"/>
    <s v="Feminino"/>
    <s v="Soldagem"/>
    <s v="Operador"/>
    <s v="2º Turno"/>
    <x v="1"/>
    <s v="Não"/>
    <x v="1"/>
    <d v="2025-03-25T00:00:00"/>
    <m/>
    <s v="ter"/>
    <x v="4"/>
    <x v="1"/>
    <m/>
    <s v="188845741"/>
  </r>
  <r>
    <n v="1888"/>
    <n v="22"/>
    <s v="Feminino"/>
    <s v="Soldagem"/>
    <s v="Operador"/>
    <s v="2º Turno"/>
    <x v="1"/>
    <s v="Não"/>
    <x v="1"/>
    <d v="2025-03-26T00:00:00"/>
    <m/>
    <s v="qua"/>
    <x v="4"/>
    <x v="1"/>
    <m/>
    <s v="188845742"/>
  </r>
  <r>
    <n v="1888"/>
    <n v="22"/>
    <s v="Feminino"/>
    <s v="Soldagem"/>
    <s v="Operador"/>
    <s v="2º Turno"/>
    <x v="1"/>
    <s v="Não"/>
    <x v="1"/>
    <d v="2025-03-27T00:00:00"/>
    <m/>
    <s v="qui"/>
    <x v="4"/>
    <x v="1"/>
    <m/>
    <s v="188845743"/>
  </r>
  <r>
    <n v="1888"/>
    <n v="22"/>
    <s v="Feminino"/>
    <s v="Soldagem"/>
    <s v="Operador"/>
    <s v="2º Turno"/>
    <x v="1"/>
    <s v="Não"/>
    <x v="1"/>
    <d v="2025-03-28T00:00:00"/>
    <m/>
    <s v="sex"/>
    <x v="4"/>
    <x v="1"/>
    <m/>
    <s v="188845744"/>
  </r>
  <r>
    <n v="1888"/>
    <n v="22"/>
    <s v="Feminino"/>
    <s v="Soldagem"/>
    <s v="Operador"/>
    <s v="2º Turno"/>
    <x v="1"/>
    <s v="Não"/>
    <x v="1"/>
    <d v="2025-03-29T00:00:00"/>
    <m/>
    <s v="sáb"/>
    <x v="4"/>
    <x v="1"/>
    <m/>
    <s v="188845745"/>
  </r>
  <r>
    <n v="1888"/>
    <n v="22"/>
    <s v="Feminino"/>
    <s v="Soldagem"/>
    <s v="Operador"/>
    <s v="2º Turno"/>
    <x v="1"/>
    <s v="Não"/>
    <x v="1"/>
    <d v="2025-03-30T00:00:00"/>
    <m/>
    <s v="dom"/>
    <x v="4"/>
    <x v="1"/>
    <m/>
    <s v="188845746"/>
  </r>
  <r>
    <n v="1888"/>
    <n v="22"/>
    <s v="Feminino"/>
    <s v="Soldagem"/>
    <s v="Operador"/>
    <s v="2º Turno"/>
    <x v="1"/>
    <s v="Não"/>
    <x v="1"/>
    <d v="2025-03-31T00:00:00"/>
    <m/>
    <s v="seg"/>
    <x v="4"/>
    <x v="1"/>
    <m/>
    <s v="188845747"/>
  </r>
  <r>
    <n v="1888"/>
    <n v="22"/>
    <s v="Feminino"/>
    <s v="Soldagem"/>
    <s v="Operador"/>
    <s v="2º Turno"/>
    <x v="1"/>
    <s v="Não"/>
    <x v="1"/>
    <d v="2025-04-01T00:00:00"/>
    <m/>
    <s v="ter"/>
    <x v="2"/>
    <x v="1"/>
    <m/>
    <s v="188845748"/>
  </r>
  <r>
    <n v="1888"/>
    <n v="22"/>
    <s v="Feminino"/>
    <s v="Soldagem"/>
    <s v="Operador"/>
    <s v="2º Turno"/>
    <x v="1"/>
    <s v="Não"/>
    <x v="1"/>
    <d v="2025-04-02T00:00:00"/>
    <m/>
    <s v="qua"/>
    <x v="2"/>
    <x v="1"/>
    <m/>
    <s v="188845749"/>
  </r>
  <r>
    <n v="1888"/>
    <n v="22"/>
    <s v="Feminino"/>
    <s v="Soldagem"/>
    <s v="Operador"/>
    <s v="2º Turno"/>
    <x v="1"/>
    <s v="Não"/>
    <x v="1"/>
    <d v="2025-04-03T00:00:00"/>
    <m/>
    <s v="qui"/>
    <x v="2"/>
    <x v="1"/>
    <m/>
    <s v="188845750"/>
  </r>
  <r>
    <n v="1888"/>
    <n v="22"/>
    <s v="Feminino"/>
    <s v="Soldagem"/>
    <s v="Operador"/>
    <s v="2º Turno"/>
    <x v="1"/>
    <s v="Não"/>
    <x v="1"/>
    <d v="2025-04-04T00:00:00"/>
    <m/>
    <s v="sex"/>
    <x v="2"/>
    <x v="1"/>
    <m/>
    <s v="188845751"/>
  </r>
  <r>
    <n v="1888"/>
    <n v="22"/>
    <s v="Feminino"/>
    <s v="Soldagem"/>
    <s v="Operador"/>
    <s v="2º Turno"/>
    <x v="1"/>
    <s v="Não"/>
    <x v="1"/>
    <d v="2025-04-05T00:00:00"/>
    <m/>
    <s v="sáb"/>
    <x v="2"/>
    <x v="1"/>
    <m/>
    <s v="188845752"/>
  </r>
  <r>
    <n v="1888"/>
    <n v="22"/>
    <s v="Feminino"/>
    <s v="Soldagem"/>
    <s v="Operador"/>
    <s v="2º Turno"/>
    <x v="1"/>
    <s v="Não"/>
    <x v="1"/>
    <d v="2025-04-06T00:00:00"/>
    <m/>
    <s v="dom"/>
    <x v="2"/>
    <x v="1"/>
    <m/>
    <s v="188845753"/>
  </r>
  <r>
    <n v="1888"/>
    <n v="22"/>
    <s v="Feminino"/>
    <s v="Soldagem"/>
    <s v="Operador"/>
    <s v="2º Turno"/>
    <x v="1"/>
    <s v="Não"/>
    <x v="1"/>
    <d v="2025-04-07T00:00:00"/>
    <m/>
    <s v="seg"/>
    <x v="2"/>
    <x v="1"/>
    <m/>
    <s v="188845754"/>
  </r>
  <r>
    <n v="1888"/>
    <n v="22"/>
    <s v="Feminino"/>
    <s v="Soldagem"/>
    <s v="Operador"/>
    <s v="2º Turno"/>
    <x v="1"/>
    <s v="Não"/>
    <x v="1"/>
    <d v="2025-04-08T00:00:00"/>
    <m/>
    <s v="ter"/>
    <x v="2"/>
    <x v="1"/>
    <m/>
    <s v="188845755"/>
  </r>
  <r>
    <n v="1888"/>
    <n v="22"/>
    <s v="Feminino"/>
    <s v="Soldagem"/>
    <s v="Operador"/>
    <s v="2º Turno"/>
    <x v="1"/>
    <s v="Não"/>
    <x v="1"/>
    <d v="2025-04-09T00:00:00"/>
    <m/>
    <s v="qua"/>
    <x v="2"/>
    <x v="1"/>
    <m/>
    <s v="188845756"/>
  </r>
  <r>
    <n v="1888"/>
    <n v="22"/>
    <s v="Feminino"/>
    <s v="Soldagem"/>
    <s v="Operador"/>
    <s v="2º Turno"/>
    <x v="1"/>
    <s v="Não"/>
    <x v="1"/>
    <d v="2025-04-10T00:00:00"/>
    <m/>
    <s v="qui"/>
    <x v="2"/>
    <x v="1"/>
    <m/>
    <s v="188845757"/>
  </r>
  <r>
    <n v="1888"/>
    <n v="22"/>
    <s v="Feminino"/>
    <s v="Soldagem"/>
    <s v="Operador"/>
    <s v="2º Turno"/>
    <x v="1"/>
    <s v="Não"/>
    <x v="1"/>
    <d v="2025-04-11T00:00:00"/>
    <m/>
    <s v="sex"/>
    <x v="2"/>
    <x v="1"/>
    <m/>
    <s v="188845758"/>
  </r>
  <r>
    <n v="1888"/>
    <n v="22"/>
    <s v="Feminino"/>
    <s v="Soldagem"/>
    <s v="Operador"/>
    <s v="2º Turno"/>
    <x v="1"/>
    <s v="Não"/>
    <x v="1"/>
    <d v="2025-04-12T00:00:00"/>
    <m/>
    <s v="sáb"/>
    <x v="2"/>
    <x v="1"/>
    <m/>
    <s v="188845759"/>
  </r>
  <r>
    <n v="1888"/>
    <n v="22"/>
    <s v="Feminino"/>
    <s v="Soldagem"/>
    <s v="Operador"/>
    <s v="2º Turno"/>
    <x v="1"/>
    <s v="Não"/>
    <x v="1"/>
    <d v="2025-04-13T00:00:00"/>
    <m/>
    <s v="dom"/>
    <x v="2"/>
    <x v="1"/>
    <m/>
    <s v="188845760"/>
  </r>
  <r>
    <n v="1888"/>
    <n v="22"/>
    <s v="Feminino"/>
    <s v="Soldagem"/>
    <s v="Operador"/>
    <s v="2º Turno"/>
    <x v="1"/>
    <s v="Não"/>
    <x v="1"/>
    <d v="2025-04-14T00:00:00"/>
    <m/>
    <s v="seg"/>
    <x v="2"/>
    <x v="1"/>
    <m/>
    <s v="188845761"/>
  </r>
  <r>
    <n v="1888"/>
    <n v="22"/>
    <s v="Feminino"/>
    <s v="Soldagem"/>
    <s v="Operador"/>
    <s v="2º Turno"/>
    <x v="1"/>
    <s v="Não"/>
    <x v="1"/>
    <d v="2025-04-15T00:00:00"/>
    <m/>
    <s v="ter"/>
    <x v="2"/>
    <x v="1"/>
    <m/>
    <s v="188845762"/>
  </r>
  <r>
    <n v="1888"/>
    <n v="22"/>
    <s v="Feminino"/>
    <s v="Soldagem"/>
    <s v="Operador"/>
    <s v="2º Turno"/>
    <x v="1"/>
    <s v="Não"/>
    <x v="1"/>
    <d v="2025-04-16T00:00:00"/>
    <m/>
    <s v="qua"/>
    <x v="2"/>
    <x v="1"/>
    <m/>
    <s v="188845763"/>
  </r>
  <r>
    <n v="1888"/>
    <n v="22"/>
    <s v="Feminino"/>
    <s v="Soldagem"/>
    <s v="Operador"/>
    <s v="2º Turno"/>
    <x v="1"/>
    <s v="Não"/>
    <x v="1"/>
    <d v="2025-04-17T00:00:00"/>
    <m/>
    <s v="qui"/>
    <x v="2"/>
    <x v="1"/>
    <m/>
    <s v="188845764"/>
  </r>
  <r>
    <n v="1888"/>
    <n v="22"/>
    <s v="Feminino"/>
    <s v="Soldagem"/>
    <s v="Operador"/>
    <s v="2º Turno"/>
    <x v="1"/>
    <s v="Não"/>
    <x v="1"/>
    <d v="2025-04-18T00:00:00"/>
    <m/>
    <s v="sex"/>
    <x v="2"/>
    <x v="1"/>
    <m/>
    <s v="188845765"/>
  </r>
  <r>
    <n v="1888"/>
    <n v="22"/>
    <s v="Feminino"/>
    <s v="Soldagem"/>
    <s v="Operador"/>
    <s v="2º Turno"/>
    <x v="1"/>
    <s v="Não"/>
    <x v="1"/>
    <d v="2025-04-19T00:00:00"/>
    <m/>
    <s v="sáb"/>
    <x v="2"/>
    <x v="1"/>
    <m/>
    <s v="188845766"/>
  </r>
  <r>
    <n v="1888"/>
    <n v="22"/>
    <s v="Feminino"/>
    <s v="Soldagem"/>
    <s v="Operador"/>
    <s v="2º Turno"/>
    <x v="1"/>
    <s v="Não"/>
    <x v="1"/>
    <d v="2025-04-20T00:00:00"/>
    <m/>
    <s v="dom"/>
    <x v="2"/>
    <x v="1"/>
    <m/>
    <s v="188845767"/>
  </r>
  <r>
    <n v="1888"/>
    <n v="22"/>
    <s v="Feminino"/>
    <s v="Soldagem"/>
    <s v="Operador"/>
    <s v="2º Turno"/>
    <x v="1"/>
    <s v="Não"/>
    <x v="1"/>
    <d v="2025-04-21T00:00:00"/>
    <m/>
    <s v="seg"/>
    <x v="2"/>
    <x v="1"/>
    <m/>
    <s v="188845768"/>
  </r>
  <r>
    <n v="1888"/>
    <n v="22"/>
    <s v="Feminino"/>
    <s v="Soldagem"/>
    <s v="Operador"/>
    <s v="2º Turno"/>
    <x v="1"/>
    <s v="Não"/>
    <x v="1"/>
    <d v="2025-04-22T00:00:00"/>
    <m/>
    <s v="ter"/>
    <x v="2"/>
    <x v="1"/>
    <m/>
    <s v="188845769"/>
  </r>
  <r>
    <n v="1888"/>
    <n v="22"/>
    <s v="Feminino"/>
    <s v="Soldagem"/>
    <s v="Operador"/>
    <s v="2º Turno"/>
    <x v="1"/>
    <s v="Não"/>
    <x v="1"/>
    <d v="2025-04-23T00:00:00"/>
    <m/>
    <s v="qua"/>
    <x v="2"/>
    <x v="1"/>
    <m/>
    <s v="188845770"/>
  </r>
  <r>
    <n v="1888"/>
    <n v="22"/>
    <s v="Feminino"/>
    <s v="Soldagem"/>
    <s v="Operador"/>
    <s v="2º Turno"/>
    <x v="1"/>
    <s v="Não"/>
    <x v="1"/>
    <d v="2025-04-24T00:00:00"/>
    <m/>
    <s v="qui"/>
    <x v="2"/>
    <x v="1"/>
    <m/>
    <s v="188845771"/>
  </r>
  <r>
    <n v="1888"/>
    <n v="22"/>
    <s v="Feminino"/>
    <s v="Soldagem"/>
    <s v="Operador"/>
    <s v="2º Turno"/>
    <x v="1"/>
    <s v="Não"/>
    <x v="1"/>
    <d v="2025-04-25T00:00:00"/>
    <m/>
    <s v="sex"/>
    <x v="2"/>
    <x v="1"/>
    <m/>
    <s v="188845772"/>
  </r>
  <r>
    <n v="1888"/>
    <n v="22"/>
    <s v="Feminino"/>
    <s v="Soldagem"/>
    <s v="Operador"/>
    <s v="2º Turno"/>
    <x v="1"/>
    <s v="Não"/>
    <x v="1"/>
    <d v="2025-04-26T00:00:00"/>
    <m/>
    <s v="sáb"/>
    <x v="2"/>
    <x v="1"/>
    <m/>
    <s v="188845773"/>
  </r>
  <r>
    <n v="1888"/>
    <n v="22"/>
    <s v="Feminino"/>
    <s v="Soldagem"/>
    <s v="Operador"/>
    <s v="2º Turno"/>
    <x v="1"/>
    <s v="Não"/>
    <x v="1"/>
    <d v="2025-04-27T00:00:00"/>
    <m/>
    <s v="dom"/>
    <x v="2"/>
    <x v="1"/>
    <m/>
    <s v="188845774"/>
  </r>
  <r>
    <n v="1888"/>
    <n v="22"/>
    <s v="Feminino"/>
    <s v="Soldagem"/>
    <s v="Operador"/>
    <s v="2º Turno"/>
    <x v="1"/>
    <s v="Não"/>
    <x v="1"/>
    <d v="2025-04-28T00:00:00"/>
    <m/>
    <s v="seg"/>
    <x v="2"/>
    <x v="1"/>
    <m/>
    <s v="188845775"/>
  </r>
  <r>
    <n v="1888"/>
    <n v="22"/>
    <s v="Feminino"/>
    <s v="Soldagem"/>
    <s v="Operador"/>
    <s v="2º Turno"/>
    <x v="1"/>
    <s v="Não"/>
    <x v="1"/>
    <d v="2025-04-29T00:00:00"/>
    <m/>
    <s v="ter"/>
    <x v="2"/>
    <x v="1"/>
    <m/>
    <s v="188845776"/>
  </r>
  <r>
    <n v="1888"/>
    <n v="22"/>
    <s v="Feminino"/>
    <s v="Soldagem"/>
    <s v="Operador"/>
    <s v="2º Turno"/>
    <x v="1"/>
    <s v="Não"/>
    <x v="1"/>
    <d v="2025-04-30T00:00:00"/>
    <m/>
    <s v="qua"/>
    <x v="2"/>
    <x v="1"/>
    <m/>
    <s v="188845777"/>
  </r>
  <r>
    <n v="1888"/>
    <n v="22"/>
    <s v="Feminino"/>
    <s v="Soldagem"/>
    <s v="Operador"/>
    <s v="2º Turno"/>
    <x v="1"/>
    <s v="Não"/>
    <x v="1"/>
    <d v="2025-05-01T00:00:00"/>
    <m/>
    <s v="qui"/>
    <x v="0"/>
    <x v="1"/>
    <m/>
    <s v="188845778"/>
  </r>
  <r>
    <n v="1888"/>
    <n v="22"/>
    <s v="Feminino"/>
    <s v="Soldagem"/>
    <s v="Operador"/>
    <s v="2º Turno"/>
    <x v="1"/>
    <s v="Não"/>
    <x v="1"/>
    <d v="2025-05-02T00:00:00"/>
    <m/>
    <s v="sex"/>
    <x v="0"/>
    <x v="1"/>
    <m/>
    <s v="188845779"/>
  </r>
  <r>
    <n v="1888"/>
    <n v="22"/>
    <s v="Feminino"/>
    <s v="Soldagem"/>
    <s v="Operador"/>
    <s v="2º Turno"/>
    <x v="1"/>
    <s v="Não"/>
    <x v="1"/>
    <d v="2025-05-03T00:00:00"/>
    <m/>
    <s v="sáb"/>
    <x v="0"/>
    <x v="1"/>
    <m/>
    <s v="188845780"/>
  </r>
  <r>
    <n v="1888"/>
    <n v="22"/>
    <s v="Feminino"/>
    <s v="Soldagem"/>
    <s v="Operador"/>
    <s v="2º Turno"/>
    <x v="1"/>
    <s v="Não"/>
    <x v="1"/>
    <d v="2025-05-04T00:00:00"/>
    <m/>
    <s v="dom"/>
    <x v="0"/>
    <x v="1"/>
    <m/>
    <s v="188845781"/>
  </r>
  <r>
    <n v="1888"/>
    <n v="22"/>
    <s v="Feminino"/>
    <s v="Soldagem"/>
    <s v="Operador"/>
    <s v="2º Turno"/>
    <x v="1"/>
    <s v="Não"/>
    <x v="1"/>
    <d v="2025-05-05T00:00:00"/>
    <m/>
    <s v="seg"/>
    <x v="0"/>
    <x v="1"/>
    <m/>
    <s v="188845782"/>
  </r>
  <r>
    <n v="1888"/>
    <n v="22"/>
    <s v="Feminino"/>
    <s v="Soldagem"/>
    <s v="Operador"/>
    <s v="2º Turno"/>
    <x v="1"/>
    <s v="Não"/>
    <x v="1"/>
    <d v="2025-05-06T00:00:00"/>
    <m/>
    <s v="ter"/>
    <x v="0"/>
    <x v="1"/>
    <m/>
    <s v="188845783"/>
  </r>
  <r>
    <n v="1888"/>
    <n v="22"/>
    <s v="Feminino"/>
    <s v="Soldagem"/>
    <s v="Operador"/>
    <s v="2º Turno"/>
    <x v="1"/>
    <s v="Não"/>
    <x v="1"/>
    <d v="2025-05-07T00:00:00"/>
    <m/>
    <s v="qua"/>
    <x v="0"/>
    <x v="1"/>
    <m/>
    <s v="188845784"/>
  </r>
  <r>
    <n v="1888"/>
    <n v="22"/>
    <s v="Feminino"/>
    <s v="Soldagem"/>
    <s v="Operador"/>
    <s v="2º Turno"/>
    <x v="1"/>
    <s v="Não"/>
    <x v="1"/>
    <d v="2025-05-08T00:00:00"/>
    <m/>
    <s v="qui"/>
    <x v="0"/>
    <x v="1"/>
    <m/>
    <s v="188845785"/>
  </r>
  <r>
    <n v="1888"/>
    <n v="22"/>
    <s v="Feminino"/>
    <s v="Soldagem"/>
    <s v="Operador"/>
    <s v="2º Turno"/>
    <x v="1"/>
    <s v="Não"/>
    <x v="1"/>
    <d v="2025-05-09T00:00:00"/>
    <m/>
    <s v="sex"/>
    <x v="0"/>
    <x v="1"/>
    <m/>
    <s v="188845786"/>
  </r>
  <r>
    <n v="1888"/>
    <n v="22"/>
    <s v="Feminino"/>
    <s v="Soldagem"/>
    <s v="Operador"/>
    <s v="2º Turno"/>
    <x v="1"/>
    <s v="Não"/>
    <x v="1"/>
    <d v="2025-05-10T00:00:00"/>
    <m/>
    <s v="sáb"/>
    <x v="0"/>
    <x v="1"/>
    <m/>
    <s v="188845787"/>
  </r>
  <r>
    <n v="1888"/>
    <n v="22"/>
    <s v="Feminino"/>
    <s v="Soldagem"/>
    <s v="Operador"/>
    <s v="2º Turno"/>
    <x v="1"/>
    <s v="Não"/>
    <x v="1"/>
    <d v="2025-05-11T00:00:00"/>
    <m/>
    <s v="dom"/>
    <x v="0"/>
    <x v="1"/>
    <m/>
    <s v="188845788"/>
  </r>
  <r>
    <n v="1888"/>
    <n v="22"/>
    <s v="Feminino"/>
    <s v="Soldagem"/>
    <s v="Operador"/>
    <s v="2º Turno"/>
    <x v="1"/>
    <s v="Não"/>
    <x v="1"/>
    <d v="2025-05-12T00:00:00"/>
    <m/>
    <s v="seg"/>
    <x v="0"/>
    <x v="1"/>
    <m/>
    <s v="188845789"/>
  </r>
  <r>
    <n v="1888"/>
    <n v="22"/>
    <s v="Feminino"/>
    <s v="Soldagem"/>
    <s v="Operador"/>
    <s v="2º Turno"/>
    <x v="1"/>
    <s v="Não"/>
    <x v="1"/>
    <d v="2025-05-13T00:00:00"/>
    <m/>
    <s v="ter"/>
    <x v="0"/>
    <x v="1"/>
    <m/>
    <s v="188845790"/>
  </r>
  <r>
    <n v="1888"/>
    <n v="22"/>
    <s v="Feminino"/>
    <s v="Soldagem"/>
    <s v="Operador"/>
    <s v="2º Turno"/>
    <x v="1"/>
    <s v="Não"/>
    <x v="1"/>
    <d v="2025-05-14T00:00:00"/>
    <m/>
    <s v="qua"/>
    <x v="0"/>
    <x v="1"/>
    <m/>
    <s v="188845791"/>
  </r>
  <r>
    <n v="1888"/>
    <n v="22"/>
    <s v="Feminino"/>
    <s v="Soldagem"/>
    <s v="Operador"/>
    <s v="2º Turno"/>
    <x v="1"/>
    <s v="Não"/>
    <x v="1"/>
    <d v="2025-05-15T00:00:00"/>
    <m/>
    <s v="qui"/>
    <x v="0"/>
    <x v="1"/>
    <m/>
    <s v="188845792"/>
  </r>
  <r>
    <n v="1888"/>
    <n v="22"/>
    <s v="Feminino"/>
    <s v="Soldagem"/>
    <s v="Operador"/>
    <s v="2º Turno"/>
    <x v="1"/>
    <s v="Não"/>
    <x v="1"/>
    <d v="2025-05-16T00:00:00"/>
    <m/>
    <s v="sex"/>
    <x v="0"/>
    <x v="1"/>
    <m/>
    <s v="188845793"/>
  </r>
  <r>
    <n v="1888"/>
    <n v="22"/>
    <s v="Feminino"/>
    <s v="Soldagem"/>
    <s v="Operador"/>
    <s v="2º Turno"/>
    <x v="1"/>
    <s v="Não"/>
    <x v="1"/>
    <d v="2025-05-17T00:00:00"/>
    <m/>
    <s v="sáb"/>
    <x v="0"/>
    <x v="1"/>
    <m/>
    <s v="188845794"/>
  </r>
  <r>
    <n v="1888"/>
    <n v="22"/>
    <s v="Feminino"/>
    <s v="Soldagem"/>
    <s v="Operador"/>
    <s v="2º Turno"/>
    <x v="1"/>
    <s v="Não"/>
    <x v="1"/>
    <d v="2025-05-18T00:00:00"/>
    <m/>
    <s v="dom"/>
    <x v="0"/>
    <x v="1"/>
    <m/>
    <s v="188845795"/>
  </r>
  <r>
    <n v="1888"/>
    <n v="22"/>
    <s v="Feminino"/>
    <s v="Soldagem"/>
    <s v="Operador"/>
    <s v="2º Turno"/>
    <x v="1"/>
    <s v="Não"/>
    <x v="1"/>
    <d v="2025-05-19T00:00:00"/>
    <m/>
    <s v="seg"/>
    <x v="0"/>
    <x v="1"/>
    <m/>
    <s v="188845796"/>
  </r>
  <r>
    <n v="1888"/>
    <n v="22"/>
    <s v="Feminino"/>
    <s v="Soldagem"/>
    <s v="Operador"/>
    <s v="2º Turno"/>
    <x v="1"/>
    <s v="Não"/>
    <x v="1"/>
    <d v="2025-05-20T00:00:00"/>
    <m/>
    <s v="ter"/>
    <x v="0"/>
    <x v="1"/>
    <m/>
    <s v="188845797"/>
  </r>
  <r>
    <n v="1888"/>
    <n v="22"/>
    <s v="Feminino"/>
    <s v="Soldagem"/>
    <s v="Operador"/>
    <s v="2º Turno"/>
    <x v="1"/>
    <s v="Não"/>
    <x v="1"/>
    <d v="2025-05-21T00:00:00"/>
    <m/>
    <s v="qua"/>
    <x v="0"/>
    <x v="1"/>
    <m/>
    <s v="188845798"/>
  </r>
  <r>
    <n v="1888"/>
    <n v="22"/>
    <s v="Feminino"/>
    <s v="Soldagem"/>
    <s v="Operador"/>
    <s v="2º Turno"/>
    <x v="1"/>
    <s v="Não"/>
    <x v="1"/>
    <d v="2025-05-22T00:00:00"/>
    <m/>
    <s v="qui"/>
    <x v="0"/>
    <x v="1"/>
    <m/>
    <s v="188845799"/>
  </r>
  <r>
    <n v="1888"/>
    <n v="22"/>
    <s v="Feminino"/>
    <s v="Soldagem"/>
    <s v="Operador"/>
    <s v="2º Turno"/>
    <x v="1"/>
    <s v="Não"/>
    <x v="1"/>
    <d v="2025-05-23T00:00:00"/>
    <m/>
    <s v="sex"/>
    <x v="0"/>
    <x v="1"/>
    <m/>
    <s v="188845800"/>
  </r>
  <r>
    <n v="1888"/>
    <n v="22"/>
    <s v="Feminino"/>
    <s v="Soldagem"/>
    <s v="Operador"/>
    <s v="2º Turno"/>
    <x v="1"/>
    <s v="Não"/>
    <x v="1"/>
    <d v="2025-05-24T00:00:00"/>
    <m/>
    <s v="sáb"/>
    <x v="0"/>
    <x v="1"/>
    <m/>
    <s v="188845801"/>
  </r>
  <r>
    <n v="1888"/>
    <n v="22"/>
    <s v="Feminino"/>
    <s v="Soldagem"/>
    <s v="Operador"/>
    <s v="2º Turno"/>
    <x v="1"/>
    <s v="Não"/>
    <x v="1"/>
    <d v="2025-05-25T00:00:00"/>
    <m/>
    <s v="dom"/>
    <x v="0"/>
    <x v="1"/>
    <m/>
    <s v="188845802"/>
  </r>
  <r>
    <n v="1888"/>
    <n v="22"/>
    <s v="Feminino"/>
    <s v="Soldagem"/>
    <s v="Operador"/>
    <s v="2º Turno"/>
    <x v="1"/>
    <s v="Não"/>
    <x v="1"/>
    <d v="2025-05-26T00:00:00"/>
    <m/>
    <s v="seg"/>
    <x v="0"/>
    <x v="1"/>
    <m/>
    <s v="188845803"/>
  </r>
  <r>
    <n v="1888"/>
    <n v="22"/>
    <s v="Feminino"/>
    <s v="Soldagem"/>
    <s v="Operador"/>
    <s v="2º Turno"/>
    <x v="1"/>
    <s v="Não"/>
    <x v="1"/>
    <d v="2025-05-27T00:00:00"/>
    <m/>
    <s v="ter"/>
    <x v="0"/>
    <x v="1"/>
    <m/>
    <s v="188845804"/>
  </r>
  <r>
    <n v="1888"/>
    <n v="22"/>
    <s v="Feminino"/>
    <s v="Soldagem"/>
    <s v="Operador"/>
    <s v="2º Turno"/>
    <x v="1"/>
    <s v="Não"/>
    <x v="1"/>
    <d v="2025-05-28T00:00:00"/>
    <m/>
    <s v="qua"/>
    <x v="0"/>
    <x v="1"/>
    <m/>
    <s v="188845805"/>
  </r>
  <r>
    <n v="1888"/>
    <n v="22"/>
    <s v="Feminino"/>
    <s v="Soldagem"/>
    <s v="Operador"/>
    <s v="2º Turno"/>
    <x v="1"/>
    <s v="Não"/>
    <x v="1"/>
    <d v="2025-05-29T00:00:00"/>
    <m/>
    <s v="qui"/>
    <x v="0"/>
    <x v="1"/>
    <m/>
    <s v="188845806"/>
  </r>
  <r>
    <n v="1888"/>
    <n v="22"/>
    <s v="Feminino"/>
    <s v="Soldagem"/>
    <s v="Operador"/>
    <s v="2º Turno"/>
    <x v="1"/>
    <s v="Não"/>
    <x v="1"/>
    <d v="2025-05-30T00:00:00"/>
    <m/>
    <s v="sex"/>
    <x v="0"/>
    <x v="1"/>
    <m/>
    <s v="188845807"/>
  </r>
  <r>
    <n v="1888"/>
    <n v="22"/>
    <s v="Feminino"/>
    <s v="Soldagem"/>
    <s v="Operador"/>
    <s v="2º Turno"/>
    <x v="1"/>
    <s v="Não"/>
    <x v="1"/>
    <d v="2025-05-31T00:00:00"/>
    <m/>
    <s v="sáb"/>
    <x v="0"/>
    <x v="1"/>
    <m/>
    <s v="188845808"/>
  </r>
  <r>
    <n v="1888"/>
    <n v="22"/>
    <s v="Feminino"/>
    <s v="Soldagem"/>
    <s v="Operador"/>
    <s v="2º Turno"/>
    <x v="1"/>
    <s v="Não"/>
    <x v="1"/>
    <d v="2025-06-01T00:00:00"/>
    <m/>
    <s v="dom"/>
    <x v="1"/>
    <x v="1"/>
    <m/>
    <s v="188845809"/>
  </r>
  <r>
    <n v="1888"/>
    <n v="22"/>
    <s v="Feminino"/>
    <s v="Soldagem"/>
    <s v="Operador"/>
    <s v="2º Turno"/>
    <x v="1"/>
    <s v="Não"/>
    <x v="1"/>
    <d v="2025-06-02T00:00:00"/>
    <m/>
    <s v="seg"/>
    <x v="1"/>
    <x v="1"/>
    <m/>
    <s v="188845810"/>
  </r>
  <r>
    <n v="1888"/>
    <n v="22"/>
    <s v="Feminino"/>
    <s v="Soldagem"/>
    <s v="Operador"/>
    <s v="2º Turno"/>
    <x v="1"/>
    <s v="Não"/>
    <x v="1"/>
    <d v="2025-06-03T00:00:00"/>
    <m/>
    <s v="ter"/>
    <x v="1"/>
    <x v="1"/>
    <m/>
    <s v="188845811"/>
  </r>
  <r>
    <n v="1888"/>
    <n v="22"/>
    <s v="Feminino"/>
    <s v="Soldagem"/>
    <s v="Operador"/>
    <s v="2º Turno"/>
    <x v="1"/>
    <s v="Não"/>
    <x v="1"/>
    <d v="2025-06-04T00:00:00"/>
    <m/>
    <s v="qua"/>
    <x v="1"/>
    <x v="1"/>
    <m/>
    <s v="188845812"/>
  </r>
  <r>
    <n v="1888"/>
    <n v="22"/>
    <s v="Feminino"/>
    <s v="Soldagem"/>
    <s v="Operador"/>
    <s v="2º Turno"/>
    <x v="1"/>
    <s v="Não"/>
    <x v="1"/>
    <d v="2025-06-05T00:00:00"/>
    <m/>
    <s v="qui"/>
    <x v="1"/>
    <x v="1"/>
    <m/>
    <s v="188845813"/>
  </r>
  <r>
    <n v="1888"/>
    <n v="22"/>
    <s v="Feminino"/>
    <s v="Soldagem"/>
    <s v="Operador"/>
    <s v="2º Turno"/>
    <x v="1"/>
    <s v="Não"/>
    <x v="1"/>
    <d v="2025-06-06T00:00:00"/>
    <m/>
    <s v="sex"/>
    <x v="1"/>
    <x v="1"/>
    <m/>
    <s v="188845814"/>
  </r>
  <r>
    <n v="1888"/>
    <n v="22"/>
    <s v="Feminino"/>
    <s v="Soldagem"/>
    <s v="Operador"/>
    <s v="2º Turno"/>
    <x v="1"/>
    <s v="Não"/>
    <x v="1"/>
    <d v="2025-06-07T00:00:00"/>
    <m/>
    <s v="sáb"/>
    <x v="1"/>
    <x v="1"/>
    <m/>
    <s v="188845815"/>
  </r>
  <r>
    <n v="1888"/>
    <n v="22"/>
    <s v="Feminino"/>
    <s v="Soldagem"/>
    <s v="Operador"/>
    <s v="2º Turno"/>
    <x v="1"/>
    <s v="Não"/>
    <x v="1"/>
    <d v="2025-06-08T00:00:00"/>
    <m/>
    <s v="dom"/>
    <x v="1"/>
    <x v="1"/>
    <m/>
    <s v="188845816"/>
  </r>
  <r>
    <n v="1888"/>
    <n v="22"/>
    <s v="Feminino"/>
    <s v="Soldagem"/>
    <s v="Operador"/>
    <s v="2º Turno"/>
    <x v="1"/>
    <s v="Não"/>
    <x v="1"/>
    <d v="2025-06-09T00:00:00"/>
    <m/>
    <s v="seg"/>
    <x v="1"/>
    <x v="1"/>
    <m/>
    <s v="188845817"/>
  </r>
  <r>
    <n v="1888"/>
    <n v="22"/>
    <s v="Feminino"/>
    <s v="Soldagem"/>
    <s v="Operador"/>
    <s v="2º Turno"/>
    <x v="1"/>
    <s v="Não"/>
    <x v="1"/>
    <d v="2025-06-10T00:00:00"/>
    <m/>
    <s v="ter"/>
    <x v="1"/>
    <x v="1"/>
    <m/>
    <s v="188845818"/>
  </r>
  <r>
    <n v="1888"/>
    <n v="22"/>
    <s v="Feminino"/>
    <s v="Soldagem"/>
    <s v="Operador"/>
    <s v="2º Turno"/>
    <x v="1"/>
    <s v="Não"/>
    <x v="1"/>
    <d v="2025-06-11T00:00:00"/>
    <m/>
    <s v="qua"/>
    <x v="1"/>
    <x v="1"/>
    <m/>
    <s v="188845819"/>
  </r>
  <r>
    <n v="1888"/>
    <n v="22"/>
    <s v="Feminino"/>
    <s v="Soldagem"/>
    <s v="Operador"/>
    <s v="2º Turno"/>
    <x v="1"/>
    <s v="Não"/>
    <x v="1"/>
    <d v="2025-06-12T00:00:00"/>
    <m/>
    <s v="qui"/>
    <x v="1"/>
    <x v="1"/>
    <m/>
    <s v="188845820"/>
  </r>
  <r>
    <n v="1888"/>
    <n v="22"/>
    <s v="Feminino"/>
    <s v="Soldagem"/>
    <s v="Operador"/>
    <s v="2º Turno"/>
    <x v="1"/>
    <s v="Não"/>
    <x v="1"/>
    <d v="2025-06-13T00:00:00"/>
    <m/>
    <s v="sex"/>
    <x v="1"/>
    <x v="1"/>
    <m/>
    <s v="188845821"/>
  </r>
  <r>
    <n v="1888"/>
    <n v="22"/>
    <s v="Feminino"/>
    <s v="Soldagem"/>
    <s v="Operador"/>
    <s v="2º Turno"/>
    <x v="1"/>
    <s v="Não"/>
    <x v="1"/>
    <d v="2025-06-14T00:00:00"/>
    <m/>
    <s v="sáb"/>
    <x v="1"/>
    <x v="1"/>
    <m/>
    <s v="188845822"/>
  </r>
  <r>
    <n v="1888"/>
    <n v="22"/>
    <s v="Feminino"/>
    <s v="Soldagem"/>
    <s v="Operador"/>
    <s v="2º Turno"/>
    <x v="1"/>
    <s v="Não"/>
    <x v="1"/>
    <d v="2025-06-15T00:00:00"/>
    <m/>
    <s v="dom"/>
    <x v="1"/>
    <x v="1"/>
    <m/>
    <s v="188845823"/>
  </r>
  <r>
    <n v="1888"/>
    <n v="22"/>
    <s v="Feminino"/>
    <s v="Soldagem"/>
    <s v="Operador"/>
    <s v="2º Turno"/>
    <x v="1"/>
    <s v="Não"/>
    <x v="1"/>
    <d v="2025-06-16T00:00:00"/>
    <m/>
    <s v="seg"/>
    <x v="1"/>
    <x v="1"/>
    <m/>
    <s v="188845824"/>
  </r>
  <r>
    <n v="1888"/>
    <n v="22"/>
    <s v="Feminino"/>
    <s v="Soldagem"/>
    <s v="Operador"/>
    <s v="2º Turno"/>
    <x v="1"/>
    <s v="Não"/>
    <x v="1"/>
    <d v="2025-06-17T00:00:00"/>
    <m/>
    <s v="ter"/>
    <x v="1"/>
    <x v="1"/>
    <m/>
    <s v="188845825"/>
  </r>
  <r>
    <n v="1888"/>
    <n v="22"/>
    <s v="Feminino"/>
    <s v="Soldagem"/>
    <s v="Operador"/>
    <s v="2º Turno"/>
    <x v="1"/>
    <s v="Não"/>
    <x v="1"/>
    <d v="2025-06-18T00:00:00"/>
    <m/>
    <s v="qua"/>
    <x v="1"/>
    <x v="1"/>
    <m/>
    <s v="188845826"/>
  </r>
  <r>
    <n v="1888"/>
    <n v="22"/>
    <s v="Feminino"/>
    <s v="Soldagem"/>
    <s v="Operador"/>
    <s v="2º Turno"/>
    <x v="1"/>
    <s v="Não"/>
    <x v="1"/>
    <d v="2025-06-19T00:00:00"/>
    <m/>
    <s v="qui"/>
    <x v="1"/>
    <x v="1"/>
    <m/>
    <s v="188845827"/>
  </r>
  <r>
    <n v="1888"/>
    <n v="22"/>
    <s v="Feminino"/>
    <s v="Soldagem"/>
    <s v="Operador"/>
    <s v="2º Turno"/>
    <x v="1"/>
    <s v="Não"/>
    <x v="1"/>
    <d v="2025-06-20T00:00:00"/>
    <m/>
    <s v="sex"/>
    <x v="1"/>
    <x v="1"/>
    <m/>
    <s v="188845828"/>
  </r>
  <r>
    <n v="1888"/>
    <n v="22"/>
    <s v="Feminino"/>
    <s v="Soldagem"/>
    <s v="Operador"/>
    <s v="2º Turno"/>
    <x v="1"/>
    <s v="Não"/>
    <x v="1"/>
    <d v="2025-06-21T00:00:00"/>
    <m/>
    <s v="sáb"/>
    <x v="1"/>
    <x v="1"/>
    <m/>
    <s v="188845829"/>
  </r>
  <r>
    <n v="1888"/>
    <n v="22"/>
    <s v="Feminino"/>
    <s v="Soldagem"/>
    <s v="Operador"/>
    <s v="2º Turno"/>
    <x v="1"/>
    <s v="Não"/>
    <x v="1"/>
    <d v="2025-06-22T00:00:00"/>
    <m/>
    <s v="dom"/>
    <x v="1"/>
    <x v="1"/>
    <m/>
    <s v="188845830"/>
  </r>
  <r>
    <n v="1888"/>
    <n v="22"/>
    <s v="Feminino"/>
    <s v="Soldagem"/>
    <s v="Operador"/>
    <s v="2º Turno"/>
    <x v="1"/>
    <s v="Não"/>
    <x v="1"/>
    <d v="2025-06-23T00:00:00"/>
    <m/>
    <s v="seg"/>
    <x v="1"/>
    <x v="1"/>
    <m/>
    <s v="188845831"/>
  </r>
  <r>
    <n v="1888"/>
    <n v="22"/>
    <s v="Feminino"/>
    <s v="Soldagem"/>
    <s v="Operador"/>
    <s v="2º Turno"/>
    <x v="1"/>
    <s v="Não"/>
    <x v="1"/>
    <d v="2025-06-24T00:00:00"/>
    <m/>
    <s v="ter"/>
    <x v="1"/>
    <x v="1"/>
    <m/>
    <s v="188845832"/>
  </r>
  <r>
    <n v="1888"/>
    <n v="22"/>
    <s v="Feminino"/>
    <s v="Soldagem"/>
    <s v="Operador"/>
    <s v="2º Turno"/>
    <x v="1"/>
    <s v="Não"/>
    <x v="1"/>
    <d v="2025-06-25T00:00:00"/>
    <m/>
    <s v="qua"/>
    <x v="1"/>
    <x v="1"/>
    <m/>
    <s v="188845833"/>
  </r>
  <r>
    <n v="1888"/>
    <n v="22"/>
    <s v="Feminino"/>
    <s v="Soldagem"/>
    <s v="Operador"/>
    <s v="2º Turno"/>
    <x v="1"/>
    <s v="Não"/>
    <x v="1"/>
    <d v="2025-06-26T00:00:00"/>
    <m/>
    <s v="qui"/>
    <x v="1"/>
    <x v="1"/>
    <m/>
    <s v="188845834"/>
  </r>
  <r>
    <n v="1888"/>
    <n v="22"/>
    <s v="Feminino"/>
    <s v="Soldagem"/>
    <s v="Operador"/>
    <s v="2º Turno"/>
    <x v="1"/>
    <s v="Não"/>
    <x v="1"/>
    <d v="2025-06-27T00:00:00"/>
    <m/>
    <s v="sex"/>
    <x v="1"/>
    <x v="1"/>
    <m/>
    <s v="188845835"/>
  </r>
  <r>
    <n v="1888"/>
    <n v="22"/>
    <s v="Feminino"/>
    <s v="Soldagem"/>
    <s v="Operador"/>
    <s v="2º Turno"/>
    <x v="1"/>
    <s v="Não"/>
    <x v="1"/>
    <d v="2025-06-28T00:00:00"/>
    <m/>
    <s v="sáb"/>
    <x v="1"/>
    <x v="1"/>
    <m/>
    <s v="188845836"/>
  </r>
  <r>
    <n v="1888"/>
    <n v="22"/>
    <s v="Feminino"/>
    <s v="Soldagem"/>
    <s v="Operador"/>
    <s v="2º Turno"/>
    <x v="1"/>
    <s v="Não"/>
    <x v="1"/>
    <d v="2025-06-29T00:00:00"/>
    <m/>
    <s v="dom"/>
    <x v="1"/>
    <x v="1"/>
    <m/>
    <s v="188845837"/>
  </r>
  <r>
    <n v="1888"/>
    <n v="22"/>
    <s v="Feminino"/>
    <s v="Soldagem"/>
    <s v="Operador"/>
    <s v="2º Turno"/>
    <x v="1"/>
    <s v="Não"/>
    <x v="1"/>
    <d v="2025-06-30T00:00:00"/>
    <m/>
    <s v="seg"/>
    <x v="1"/>
    <x v="1"/>
    <m/>
    <s v="188845838"/>
  </r>
  <r>
    <n v="1888"/>
    <n v="22"/>
    <s v="Feminino"/>
    <s v="Soldagem"/>
    <s v="Operador"/>
    <s v="2º Turno"/>
    <x v="1"/>
    <s v="Não"/>
    <x v="1"/>
    <d v="2025-07-01T00:00:00"/>
    <m/>
    <s v="ter"/>
    <x v="6"/>
    <x v="1"/>
    <m/>
    <s v="188845839"/>
  </r>
  <r>
    <n v="1888"/>
    <n v="22"/>
    <s v="Feminino"/>
    <s v="Soldagem"/>
    <s v="Operador"/>
    <s v="2º Turno"/>
    <x v="1"/>
    <s v="Não"/>
    <x v="1"/>
    <d v="2025-07-02T00:00:00"/>
    <m/>
    <s v="qua"/>
    <x v="6"/>
    <x v="1"/>
    <m/>
    <s v="188845840"/>
  </r>
  <r>
    <n v="1888"/>
    <n v="22"/>
    <s v="Feminino"/>
    <s v="Soldagem"/>
    <s v="Operador"/>
    <s v="2º Turno"/>
    <x v="1"/>
    <s v="Não"/>
    <x v="1"/>
    <d v="2025-07-03T00:00:00"/>
    <m/>
    <s v="qui"/>
    <x v="6"/>
    <x v="1"/>
    <m/>
    <s v="188845841"/>
  </r>
  <r>
    <n v="1888"/>
    <n v="22"/>
    <s v="Feminino"/>
    <s v="Soldagem"/>
    <s v="Operador"/>
    <s v="2º Turno"/>
    <x v="1"/>
    <s v="Não"/>
    <x v="1"/>
    <d v="2025-07-04T00:00:00"/>
    <m/>
    <s v="sex"/>
    <x v="6"/>
    <x v="1"/>
    <m/>
    <s v="188845842"/>
  </r>
  <r>
    <n v="1888"/>
    <n v="22"/>
    <s v="Feminino"/>
    <s v="Soldagem"/>
    <s v="Operador"/>
    <s v="2º Turno"/>
    <x v="1"/>
    <s v="Não"/>
    <x v="1"/>
    <d v="2025-07-05T00:00:00"/>
    <m/>
    <s v="sáb"/>
    <x v="6"/>
    <x v="1"/>
    <m/>
    <s v="188845843"/>
  </r>
  <r>
    <n v="1888"/>
    <n v="22"/>
    <s v="Feminino"/>
    <s v="Soldagem"/>
    <s v="Operador"/>
    <s v="2º Turno"/>
    <x v="1"/>
    <s v="Não"/>
    <x v="1"/>
    <d v="2025-07-06T00:00:00"/>
    <m/>
    <s v="dom"/>
    <x v="6"/>
    <x v="1"/>
    <m/>
    <s v="188845844"/>
  </r>
  <r>
    <n v="1888"/>
    <n v="22"/>
    <s v="Feminino"/>
    <s v="Soldagem"/>
    <s v="Operador"/>
    <s v="2º Turno"/>
    <x v="1"/>
    <s v="Não"/>
    <x v="1"/>
    <d v="2025-07-07T00:00:00"/>
    <m/>
    <s v="seg"/>
    <x v="6"/>
    <x v="1"/>
    <m/>
    <s v="188845845"/>
  </r>
  <r>
    <n v="1888"/>
    <n v="22"/>
    <s v="Feminino"/>
    <s v="Soldagem"/>
    <s v="Operador"/>
    <s v="2º Turno"/>
    <x v="1"/>
    <s v="Não"/>
    <x v="1"/>
    <d v="2025-07-08T00:00:00"/>
    <m/>
    <s v="ter"/>
    <x v="6"/>
    <x v="1"/>
    <m/>
    <s v="188845846"/>
  </r>
  <r>
    <n v="1888"/>
    <n v="22"/>
    <s v="Feminino"/>
    <s v="Soldagem"/>
    <s v="Operador"/>
    <s v="2º Turno"/>
    <x v="1"/>
    <s v="Não"/>
    <x v="1"/>
    <d v="2025-07-09T00:00:00"/>
    <m/>
    <s v="qua"/>
    <x v="6"/>
    <x v="1"/>
    <m/>
    <s v="188845847"/>
  </r>
  <r>
    <n v="1888"/>
    <n v="22"/>
    <s v="Feminino"/>
    <s v="Soldagem"/>
    <s v="Operador"/>
    <s v="2º Turno"/>
    <x v="1"/>
    <s v="Não"/>
    <x v="1"/>
    <d v="2025-07-10T00:00:00"/>
    <m/>
    <s v="qui"/>
    <x v="6"/>
    <x v="1"/>
    <m/>
    <s v="188845848"/>
  </r>
  <r>
    <n v="1888"/>
    <n v="22"/>
    <s v="Feminino"/>
    <s v="Soldagem"/>
    <s v="Operador"/>
    <s v="2º Turno"/>
    <x v="1"/>
    <s v="Não"/>
    <x v="1"/>
    <d v="2025-07-11T00:00:00"/>
    <m/>
    <s v="sex"/>
    <x v="6"/>
    <x v="1"/>
    <m/>
    <s v="188845849"/>
  </r>
  <r>
    <n v="1888"/>
    <n v="22"/>
    <s v="Feminino"/>
    <s v="Soldagem"/>
    <s v="Operador"/>
    <s v="2º Turno"/>
    <x v="1"/>
    <s v="Não"/>
    <x v="1"/>
    <d v="2025-07-12T00:00:00"/>
    <m/>
    <s v="sáb"/>
    <x v="6"/>
    <x v="1"/>
    <m/>
    <s v="188845850"/>
  </r>
  <r>
    <n v="1888"/>
    <n v="22"/>
    <s v="Feminino"/>
    <s v="Soldagem"/>
    <s v="Operador"/>
    <s v="2º Turno"/>
    <x v="1"/>
    <s v="Não"/>
    <x v="1"/>
    <d v="2025-07-13T00:00:00"/>
    <m/>
    <s v="dom"/>
    <x v="6"/>
    <x v="1"/>
    <m/>
    <s v="188845851"/>
  </r>
  <r>
    <n v="1888"/>
    <n v="22"/>
    <s v="Feminino"/>
    <s v="Soldagem"/>
    <s v="Operador"/>
    <s v="2º Turno"/>
    <x v="1"/>
    <s v="Não"/>
    <x v="1"/>
    <d v="2025-07-14T00:00:00"/>
    <m/>
    <s v="seg"/>
    <x v="6"/>
    <x v="1"/>
    <m/>
    <s v="188845852"/>
  </r>
  <r>
    <n v="1888"/>
    <n v="22"/>
    <s v="Feminino"/>
    <s v="Soldagem"/>
    <s v="Operador"/>
    <s v="2º Turno"/>
    <x v="1"/>
    <s v="Não"/>
    <x v="1"/>
    <d v="2025-07-15T00:00:00"/>
    <m/>
    <s v="ter"/>
    <x v="6"/>
    <x v="1"/>
    <m/>
    <s v="188845853"/>
  </r>
  <r>
    <n v="1888"/>
    <n v="22"/>
    <s v="Feminino"/>
    <s v="Soldagem"/>
    <s v="Operador"/>
    <s v="2º Turno"/>
    <x v="1"/>
    <s v="Não"/>
    <x v="1"/>
    <d v="2025-07-16T00:00:00"/>
    <m/>
    <s v="qua"/>
    <x v="6"/>
    <x v="1"/>
    <m/>
    <s v="188845854"/>
  </r>
  <r>
    <n v="1888"/>
    <n v="22"/>
    <s v="Feminino"/>
    <s v="Soldagem"/>
    <s v="Operador"/>
    <s v="2º Turno"/>
    <x v="1"/>
    <s v="Não"/>
    <x v="1"/>
    <d v="2025-07-17T00:00:00"/>
    <m/>
    <s v="qui"/>
    <x v="6"/>
    <x v="1"/>
    <m/>
    <s v="188845855"/>
  </r>
  <r>
    <n v="1888"/>
    <n v="22"/>
    <s v="Feminino"/>
    <s v="Soldagem"/>
    <s v="Operador"/>
    <s v="2º Turno"/>
    <x v="1"/>
    <s v="Não"/>
    <x v="1"/>
    <d v="2025-07-18T00:00:00"/>
    <m/>
    <s v="sex"/>
    <x v="6"/>
    <x v="1"/>
    <m/>
    <s v="188845856"/>
  </r>
  <r>
    <n v="1888"/>
    <n v="22"/>
    <s v="Feminino"/>
    <s v="Soldagem"/>
    <s v="Operador"/>
    <s v="2º Turno"/>
    <x v="1"/>
    <s v="Não"/>
    <x v="1"/>
    <d v="2025-07-19T00:00:00"/>
    <m/>
    <s v="sáb"/>
    <x v="6"/>
    <x v="1"/>
    <m/>
    <s v="188845857"/>
  </r>
  <r>
    <n v="1888"/>
    <n v="22"/>
    <s v="Feminino"/>
    <s v="Soldagem"/>
    <s v="Operador"/>
    <s v="2º Turno"/>
    <x v="1"/>
    <s v="Não"/>
    <x v="1"/>
    <d v="2025-07-20T00:00:00"/>
    <m/>
    <s v="dom"/>
    <x v="6"/>
    <x v="1"/>
    <m/>
    <s v="188845858"/>
  </r>
  <r>
    <n v="1888"/>
    <n v="22"/>
    <s v="Feminino"/>
    <s v="Soldagem"/>
    <s v="Operador"/>
    <s v="2º Turno"/>
    <x v="1"/>
    <s v="Não"/>
    <x v="1"/>
    <d v="2025-07-21T00:00:00"/>
    <m/>
    <s v="seg"/>
    <x v="6"/>
    <x v="1"/>
    <m/>
    <s v="188845859"/>
  </r>
  <r>
    <n v="1888"/>
    <n v="22"/>
    <s v="Feminino"/>
    <s v="Soldagem"/>
    <s v="Operador"/>
    <s v="2º Turno"/>
    <x v="1"/>
    <s v="Não"/>
    <x v="1"/>
    <d v="2025-07-22T00:00:00"/>
    <m/>
    <s v="ter"/>
    <x v="6"/>
    <x v="1"/>
    <m/>
    <s v="188845860"/>
  </r>
  <r>
    <n v="1888"/>
    <n v="22"/>
    <s v="Feminino"/>
    <s v="Soldagem"/>
    <s v="Operador"/>
    <s v="2º Turno"/>
    <x v="1"/>
    <s v="Não"/>
    <x v="1"/>
    <d v="2025-07-23T00:00:00"/>
    <m/>
    <s v="qua"/>
    <x v="6"/>
    <x v="1"/>
    <m/>
    <s v="188845861"/>
  </r>
  <r>
    <n v="1888"/>
    <n v="22"/>
    <s v="Feminino"/>
    <s v="Soldagem"/>
    <s v="Operador"/>
    <s v="2º Turno"/>
    <x v="1"/>
    <s v="Não"/>
    <x v="1"/>
    <d v="2025-07-24T00:00:00"/>
    <m/>
    <s v="qui"/>
    <x v="6"/>
    <x v="1"/>
    <m/>
    <s v="188845862"/>
  </r>
  <r>
    <n v="1888"/>
    <n v="22"/>
    <s v="Feminino"/>
    <s v="Soldagem"/>
    <s v="Operador"/>
    <s v="2º Turno"/>
    <x v="1"/>
    <s v="Não"/>
    <x v="1"/>
    <d v="2025-07-25T00:00:00"/>
    <m/>
    <s v="sex"/>
    <x v="6"/>
    <x v="1"/>
    <m/>
    <s v="188845863"/>
  </r>
  <r>
    <n v="1888"/>
    <n v="22"/>
    <s v="Feminino"/>
    <s v="Soldagem"/>
    <s v="Operador"/>
    <s v="2º Turno"/>
    <x v="1"/>
    <s v="Não"/>
    <x v="1"/>
    <d v="2025-07-26T00:00:00"/>
    <m/>
    <s v="sáb"/>
    <x v="6"/>
    <x v="1"/>
    <m/>
    <s v="188845864"/>
  </r>
  <r>
    <n v="1888"/>
    <n v="22"/>
    <s v="Feminino"/>
    <s v="Soldagem"/>
    <s v="Operador"/>
    <s v="2º Turno"/>
    <x v="1"/>
    <s v="Não"/>
    <x v="1"/>
    <d v="2025-07-27T00:00:00"/>
    <m/>
    <s v="dom"/>
    <x v="6"/>
    <x v="1"/>
    <m/>
    <s v="188845865"/>
  </r>
  <r>
    <n v="1888"/>
    <n v="22"/>
    <s v="Feminino"/>
    <s v="Soldagem"/>
    <s v="Operador"/>
    <s v="2º Turno"/>
    <x v="1"/>
    <s v="Não"/>
    <x v="1"/>
    <d v="2025-07-28T00:00:00"/>
    <m/>
    <s v="seg"/>
    <x v="6"/>
    <x v="1"/>
    <m/>
    <s v="188845866"/>
  </r>
  <r>
    <n v="1888"/>
    <n v="22"/>
    <s v="Feminino"/>
    <s v="Soldagem"/>
    <s v="Operador"/>
    <s v="2º Turno"/>
    <x v="1"/>
    <s v="Não"/>
    <x v="1"/>
    <d v="2025-07-29T00:00:00"/>
    <m/>
    <s v="ter"/>
    <x v="6"/>
    <x v="1"/>
    <m/>
    <s v="188845867"/>
  </r>
  <r>
    <n v="1888"/>
    <n v="22"/>
    <s v="Feminino"/>
    <s v="Soldagem"/>
    <s v="Operador"/>
    <s v="2º Turno"/>
    <x v="1"/>
    <s v="Não"/>
    <x v="1"/>
    <d v="2025-07-30T00:00:00"/>
    <m/>
    <s v="qua"/>
    <x v="6"/>
    <x v="1"/>
    <m/>
    <s v="188845868"/>
  </r>
  <r>
    <n v="1888"/>
    <n v="22"/>
    <s v="Feminino"/>
    <s v="Soldagem"/>
    <s v="Operador"/>
    <s v="2º Turno"/>
    <x v="1"/>
    <s v="Não"/>
    <x v="1"/>
    <d v="2025-07-31T00:00:00"/>
    <m/>
    <s v="qui"/>
    <x v="6"/>
    <x v="1"/>
    <m/>
    <s v="188845869"/>
  </r>
  <r>
    <n v="1888"/>
    <n v="22"/>
    <s v="Feminino"/>
    <s v="Soldagem"/>
    <s v="Operador"/>
    <s v="2º Turno"/>
    <x v="1"/>
    <s v="Não"/>
    <x v="1"/>
    <d v="2025-08-01T00:00:00"/>
    <m/>
    <s v="sex"/>
    <x v="9"/>
    <x v="1"/>
    <m/>
    <s v="188845870"/>
  </r>
  <r>
    <n v="1888"/>
    <n v="22"/>
    <s v="Feminino"/>
    <s v="Soldagem"/>
    <s v="Operador"/>
    <s v="2º Turno"/>
    <x v="1"/>
    <s v="Não"/>
    <x v="1"/>
    <d v="2025-08-02T00:00:00"/>
    <m/>
    <s v="sáb"/>
    <x v="9"/>
    <x v="1"/>
    <m/>
    <s v="188845871"/>
  </r>
  <r>
    <n v="1888"/>
    <n v="22"/>
    <s v="Feminino"/>
    <s v="Soldagem"/>
    <s v="Operador"/>
    <s v="2º Turno"/>
    <x v="1"/>
    <s v="Não"/>
    <x v="1"/>
    <d v="2025-08-03T00:00:00"/>
    <m/>
    <s v="dom"/>
    <x v="9"/>
    <x v="1"/>
    <m/>
    <s v="188845872"/>
  </r>
  <r>
    <n v="1888"/>
    <n v="22"/>
    <s v="Feminino"/>
    <s v="Soldagem"/>
    <s v="Operador"/>
    <s v="2º Turno"/>
    <x v="1"/>
    <s v="Não"/>
    <x v="1"/>
    <d v="2025-08-04T00:00:00"/>
    <m/>
    <s v="seg"/>
    <x v="9"/>
    <x v="1"/>
    <m/>
    <s v="188845873"/>
  </r>
  <r>
    <n v="1888"/>
    <n v="22"/>
    <s v="Feminino"/>
    <s v="Soldagem"/>
    <s v="Operador"/>
    <s v="2º Turno"/>
    <x v="1"/>
    <s v="Não"/>
    <x v="1"/>
    <d v="2025-08-05T00:00:00"/>
    <m/>
    <s v="ter"/>
    <x v="9"/>
    <x v="1"/>
    <m/>
    <s v="188845874"/>
  </r>
  <r>
    <n v="1888"/>
    <n v="22"/>
    <s v="Feminino"/>
    <s v="Soldagem"/>
    <s v="Operador"/>
    <s v="2º Turno"/>
    <x v="1"/>
    <s v="Não"/>
    <x v="1"/>
    <d v="2025-08-06T00:00:00"/>
    <m/>
    <s v="qua"/>
    <x v="9"/>
    <x v="1"/>
    <m/>
    <s v="188845875"/>
  </r>
  <r>
    <n v="1888"/>
    <n v="22"/>
    <s v="Feminino"/>
    <s v="Soldagem"/>
    <s v="Operador"/>
    <s v="2º Turno"/>
    <x v="1"/>
    <s v="Não"/>
    <x v="1"/>
    <d v="2025-08-07T00:00:00"/>
    <m/>
    <s v="qui"/>
    <x v="9"/>
    <x v="1"/>
    <m/>
    <s v="188845876"/>
  </r>
  <r>
    <n v="1888"/>
    <n v="22"/>
    <s v="Feminino"/>
    <s v="Soldagem"/>
    <s v="Operador"/>
    <s v="2º Turno"/>
    <x v="1"/>
    <s v="Não"/>
    <x v="1"/>
    <d v="2025-08-08T00:00:00"/>
    <m/>
    <s v="sex"/>
    <x v="9"/>
    <x v="1"/>
    <m/>
    <s v="188845877"/>
  </r>
  <r>
    <n v="1888"/>
    <n v="22"/>
    <s v="Feminino"/>
    <s v="Soldagem"/>
    <s v="Operador"/>
    <s v="2º Turno"/>
    <x v="1"/>
    <s v="Não"/>
    <x v="1"/>
    <d v="2025-08-09T00:00:00"/>
    <m/>
    <s v="sáb"/>
    <x v="9"/>
    <x v="1"/>
    <m/>
    <s v="188845878"/>
  </r>
  <r>
    <n v="1888"/>
    <n v="22"/>
    <s v="Feminino"/>
    <s v="Soldagem"/>
    <s v="Operador"/>
    <s v="2º Turno"/>
    <x v="1"/>
    <s v="Não"/>
    <x v="1"/>
    <d v="2025-08-10T00:00:00"/>
    <m/>
    <s v="dom"/>
    <x v="9"/>
    <x v="1"/>
    <m/>
    <s v="188845879"/>
  </r>
  <r>
    <n v="1888"/>
    <n v="22"/>
    <s v="Feminino"/>
    <s v="Soldagem"/>
    <s v="Operador"/>
    <s v="2º Turno"/>
    <x v="1"/>
    <s v="Não"/>
    <x v="1"/>
    <d v="2025-08-11T00:00:00"/>
    <m/>
    <s v="seg"/>
    <x v="9"/>
    <x v="1"/>
    <m/>
    <s v="188845880"/>
  </r>
  <r>
    <n v="1888"/>
    <n v="22"/>
    <s v="Feminino"/>
    <s v="Soldagem"/>
    <s v="Operador"/>
    <s v="2º Turno"/>
    <x v="1"/>
    <s v="Não"/>
    <x v="1"/>
    <d v="2025-08-12T00:00:00"/>
    <m/>
    <s v="ter"/>
    <x v="9"/>
    <x v="1"/>
    <m/>
    <s v="188845881"/>
  </r>
  <r>
    <n v="1888"/>
    <n v="22"/>
    <s v="Feminino"/>
    <s v="Soldagem"/>
    <s v="Operador"/>
    <s v="2º Turno"/>
    <x v="1"/>
    <s v="Não"/>
    <x v="1"/>
    <d v="2025-08-13T00:00:00"/>
    <m/>
    <s v="qua"/>
    <x v="9"/>
    <x v="1"/>
    <m/>
    <s v="188845882"/>
  </r>
  <r>
    <n v="1888"/>
    <n v="22"/>
    <s v="Feminino"/>
    <s v="Soldagem"/>
    <s v="Operador"/>
    <s v="2º Turno"/>
    <x v="1"/>
    <s v="Não"/>
    <x v="1"/>
    <d v="2025-08-14T00:00:00"/>
    <m/>
    <s v="qui"/>
    <x v="9"/>
    <x v="1"/>
    <m/>
    <s v="188845883"/>
  </r>
  <r>
    <n v="1990"/>
    <n v="57"/>
    <s v="Masculino"/>
    <s v="Qualidade"/>
    <s v="Analista"/>
    <s v="3º Turno"/>
    <x v="1"/>
    <s v="Não"/>
    <x v="0"/>
    <d v="2025-03-05T00:00:00"/>
    <m/>
    <s v="qua"/>
    <x v="4"/>
    <x v="1"/>
    <m/>
    <s v="199045721"/>
  </r>
  <r>
    <n v="1990"/>
    <n v="57"/>
    <s v="Masculino"/>
    <s v="Qualidade"/>
    <s v="Analista"/>
    <s v="3º Turno"/>
    <x v="1"/>
    <s v="Não"/>
    <x v="0"/>
    <d v="2025-03-04T00:00:00"/>
    <m/>
    <s v="ter"/>
    <x v="4"/>
    <x v="1"/>
    <m/>
    <s v="199045720"/>
  </r>
  <r>
    <n v="1990"/>
    <n v="57"/>
    <s v="Masculino"/>
    <s v="Qualidade"/>
    <s v="Analista"/>
    <s v="3º Turno"/>
    <x v="1"/>
    <s v="Não"/>
    <x v="0"/>
    <d v="2025-03-03T00:00:00"/>
    <m/>
    <s v="seg"/>
    <x v="4"/>
    <x v="1"/>
    <m/>
    <s v="199045719"/>
  </r>
  <r>
    <n v="1990"/>
    <n v="57"/>
    <s v="Masculino"/>
    <s v="Qualidade"/>
    <s v="Analista"/>
    <s v="3º Turno"/>
    <x v="1"/>
    <s v="Não"/>
    <x v="0"/>
    <d v="2025-03-02T00:00:00"/>
    <m/>
    <s v="dom"/>
    <x v="4"/>
    <x v="1"/>
    <m/>
    <s v="199045718"/>
  </r>
  <r>
    <n v="1990"/>
    <n v="57"/>
    <s v="Masculino"/>
    <s v="Qualidade"/>
    <s v="Analista"/>
    <s v="3º Turno"/>
    <x v="1"/>
    <s v="Não"/>
    <x v="0"/>
    <d v="2025-03-01T00:00:00"/>
    <m/>
    <s v="sáb"/>
    <x v="4"/>
    <x v="1"/>
    <m/>
    <s v="199045717"/>
  </r>
  <r>
    <n v="1990"/>
    <n v="57"/>
    <s v="Masculino"/>
    <s v="Qualidade"/>
    <s v="Analista"/>
    <s v="3º Turno"/>
    <x v="1"/>
    <s v="Não"/>
    <x v="0"/>
    <d v="2025-02-28T00:00:00"/>
    <m/>
    <s v="sex"/>
    <x v="3"/>
    <x v="1"/>
    <m/>
    <s v="199045716"/>
  </r>
  <r>
    <n v="1990"/>
    <n v="57"/>
    <s v="Masculino"/>
    <s v="Qualidade"/>
    <s v="Analista"/>
    <s v="3º Turno"/>
    <x v="1"/>
    <s v="Não"/>
    <x v="0"/>
    <d v="2025-02-27T00:00:00"/>
    <m/>
    <s v="qui"/>
    <x v="3"/>
    <x v="1"/>
    <m/>
    <s v="199045715"/>
  </r>
  <r>
    <n v="1990"/>
    <n v="57"/>
    <s v="Masculino"/>
    <s v="Qualidade"/>
    <s v="Analista"/>
    <s v="3º Turno"/>
    <x v="1"/>
    <s v="Não"/>
    <x v="0"/>
    <d v="2025-02-26T00:00:00"/>
    <m/>
    <s v="qua"/>
    <x v="3"/>
    <x v="1"/>
    <m/>
    <s v="199045714"/>
  </r>
  <r>
    <n v="1990"/>
    <n v="57"/>
    <s v="Masculino"/>
    <s v="Qualidade"/>
    <s v="Analista"/>
    <s v="3º Turno"/>
    <x v="1"/>
    <s v="Não"/>
    <x v="0"/>
    <d v="2025-02-25T00:00:00"/>
    <m/>
    <s v="ter"/>
    <x v="3"/>
    <x v="1"/>
    <m/>
    <s v="199045713"/>
  </r>
  <r>
    <n v="1990"/>
    <n v="57"/>
    <s v="Masculino"/>
    <s v="Qualidade"/>
    <s v="Analista"/>
    <s v="3º Turno"/>
    <x v="1"/>
    <s v="Não"/>
    <x v="0"/>
    <d v="2025-02-24T00:00:00"/>
    <m/>
    <s v="seg"/>
    <x v="3"/>
    <x v="1"/>
    <m/>
    <s v="199045712"/>
  </r>
  <r>
    <n v="1990"/>
    <n v="57"/>
    <s v="Masculino"/>
    <s v="Qualidade"/>
    <s v="Analista"/>
    <s v="3º Turno"/>
    <x v="1"/>
    <s v="Não"/>
    <x v="0"/>
    <d v="2025-02-23T00:00:00"/>
    <m/>
    <s v="dom"/>
    <x v="3"/>
    <x v="1"/>
    <m/>
    <s v="199045711"/>
  </r>
  <r>
    <n v="1990"/>
    <n v="57"/>
    <s v="Masculino"/>
    <s v="Qualidade"/>
    <s v="Analista"/>
    <s v="3º Turno"/>
    <x v="1"/>
    <s v="Não"/>
    <x v="0"/>
    <d v="2025-02-22T00:00:00"/>
    <m/>
    <s v="sáb"/>
    <x v="3"/>
    <x v="1"/>
    <m/>
    <s v="199045710"/>
  </r>
  <r>
    <n v="1990"/>
    <n v="57"/>
    <s v="Masculino"/>
    <s v="Qualidade"/>
    <s v="Analista"/>
    <s v="3º Turno"/>
    <x v="1"/>
    <s v="Não"/>
    <x v="0"/>
    <d v="2025-02-21T00:00:00"/>
    <m/>
    <s v="sex"/>
    <x v="3"/>
    <x v="1"/>
    <m/>
    <s v="199045709"/>
  </r>
  <r>
    <n v="1990"/>
    <n v="57"/>
    <s v="Masculino"/>
    <s v="Qualidade"/>
    <s v="Analista"/>
    <s v="3º Turno"/>
    <x v="1"/>
    <s v="Não"/>
    <x v="0"/>
    <d v="2025-02-20T00:00:00"/>
    <m/>
    <s v="qui"/>
    <x v="3"/>
    <x v="1"/>
    <m/>
    <s v="199045708"/>
  </r>
  <r>
    <n v="1990"/>
    <n v="57"/>
    <s v="Masculino"/>
    <s v="Qualidade"/>
    <s v="Analista"/>
    <s v="3º Turno"/>
    <x v="1"/>
    <s v="Não"/>
    <x v="0"/>
    <d v="2025-02-19T00:00:00"/>
    <m/>
    <s v="qua"/>
    <x v="3"/>
    <x v="1"/>
    <m/>
    <s v="199045707"/>
  </r>
  <r>
    <n v="1990"/>
    <n v="57"/>
    <s v="Masculino"/>
    <s v="Qualidade"/>
    <s v="Analista"/>
    <s v="3º Turno"/>
    <x v="1"/>
    <s v="Não"/>
    <x v="0"/>
    <d v="2025-02-18T00:00:00"/>
    <m/>
    <s v="ter"/>
    <x v="3"/>
    <x v="1"/>
    <m/>
    <s v="199045706"/>
  </r>
  <r>
    <n v="1990"/>
    <n v="57"/>
    <s v="Masculino"/>
    <s v="Qualidade"/>
    <s v="Analista"/>
    <s v="3º Turno"/>
    <x v="1"/>
    <s v="Não"/>
    <x v="0"/>
    <d v="2025-02-17T00:00:00"/>
    <m/>
    <s v="seg"/>
    <x v="3"/>
    <x v="1"/>
    <m/>
    <s v="199045705"/>
  </r>
  <r>
    <n v="1990"/>
    <n v="57"/>
    <s v="Masculino"/>
    <s v="Qualidade"/>
    <s v="Analista"/>
    <s v="3º Turno"/>
    <x v="1"/>
    <s v="Não"/>
    <x v="0"/>
    <d v="2025-02-16T00:00:00"/>
    <m/>
    <s v="dom"/>
    <x v="3"/>
    <x v="1"/>
    <m/>
    <s v="199045704"/>
  </r>
  <r>
    <n v="1990"/>
    <n v="57"/>
    <s v="Masculino"/>
    <s v="Qualidade"/>
    <s v="Analista"/>
    <s v="3º Turno"/>
    <x v="1"/>
    <s v="Não"/>
    <x v="0"/>
    <d v="2025-02-15T00:00:00"/>
    <m/>
    <s v="sáb"/>
    <x v="3"/>
    <x v="1"/>
    <m/>
    <s v="199045703"/>
  </r>
  <r>
    <n v="1990"/>
    <n v="57"/>
    <s v="Masculino"/>
    <s v="Qualidade"/>
    <s v="Analista"/>
    <s v="3º Turno"/>
    <x v="1"/>
    <s v="Não"/>
    <x v="0"/>
    <d v="2025-02-14T00:00:00"/>
    <m/>
    <s v="sex"/>
    <x v="3"/>
    <x v="1"/>
    <m/>
    <s v="199045702"/>
  </r>
  <r>
    <n v="1990"/>
    <n v="57"/>
    <s v="Masculino"/>
    <s v="Qualidade"/>
    <s v="Analista"/>
    <s v="3º Turno"/>
    <x v="1"/>
    <s v="Não"/>
    <x v="0"/>
    <d v="2025-02-13T00:00:00"/>
    <m/>
    <s v="qui"/>
    <x v="3"/>
    <x v="1"/>
    <m/>
    <s v="199045701"/>
  </r>
  <r>
    <n v="1990"/>
    <n v="57"/>
    <s v="Masculino"/>
    <s v="Qualidade"/>
    <s v="Analista"/>
    <s v="3º Turno"/>
    <x v="1"/>
    <s v="Não"/>
    <x v="0"/>
    <d v="2025-02-12T00:00:00"/>
    <m/>
    <s v="qua"/>
    <x v="3"/>
    <x v="1"/>
    <m/>
    <s v="199045700"/>
  </r>
  <r>
    <n v="1990"/>
    <n v="57"/>
    <s v="Masculino"/>
    <s v="Qualidade"/>
    <s v="Analista"/>
    <s v="3º Turno"/>
    <x v="1"/>
    <s v="Não"/>
    <x v="0"/>
    <d v="2025-02-11T00:00:00"/>
    <m/>
    <s v="ter"/>
    <x v="3"/>
    <x v="1"/>
    <m/>
    <s v="199045699"/>
  </r>
  <r>
    <n v="1990"/>
    <n v="57"/>
    <s v="Masculino"/>
    <s v="Qualidade"/>
    <s v="Analista"/>
    <s v="3º Turno"/>
    <x v="1"/>
    <s v="Não"/>
    <x v="0"/>
    <d v="2025-02-10T00:00:00"/>
    <m/>
    <s v="seg"/>
    <x v="3"/>
    <x v="1"/>
    <m/>
    <s v="199045698"/>
  </r>
  <r>
    <n v="1990"/>
    <n v="57"/>
    <s v="Masculino"/>
    <s v="Qualidade"/>
    <s v="Analista"/>
    <s v="3º Turno"/>
    <x v="1"/>
    <s v="Não"/>
    <x v="0"/>
    <d v="2025-02-09T00:00:00"/>
    <m/>
    <s v="dom"/>
    <x v="3"/>
    <x v="1"/>
    <m/>
    <s v="199045697"/>
  </r>
  <r>
    <n v="1990"/>
    <n v="57"/>
    <s v="Masculino"/>
    <s v="Qualidade"/>
    <s v="Analista"/>
    <s v="3º Turno"/>
    <x v="1"/>
    <s v="Não"/>
    <x v="0"/>
    <d v="2025-02-08T00:00:00"/>
    <m/>
    <s v="sáb"/>
    <x v="3"/>
    <x v="1"/>
    <m/>
    <s v="199045696"/>
  </r>
  <r>
    <n v="1990"/>
    <n v="57"/>
    <s v="Masculino"/>
    <s v="Qualidade"/>
    <s v="Analista"/>
    <s v="3º Turno"/>
    <x v="1"/>
    <s v="Não"/>
    <x v="0"/>
    <d v="2025-02-07T00:00:00"/>
    <m/>
    <s v="sex"/>
    <x v="3"/>
    <x v="1"/>
    <m/>
    <s v="199045695"/>
  </r>
  <r>
    <n v="1990"/>
    <n v="57"/>
    <s v="Masculino"/>
    <s v="Qualidade"/>
    <s v="Analista"/>
    <s v="3º Turno"/>
    <x v="1"/>
    <s v="Não"/>
    <x v="0"/>
    <d v="2025-02-06T00:00:00"/>
    <m/>
    <s v="qui"/>
    <x v="3"/>
    <x v="1"/>
    <m/>
    <s v="199045694"/>
  </r>
  <r>
    <n v="1990"/>
    <n v="57"/>
    <s v="Masculino"/>
    <s v="Qualidade"/>
    <s v="Analista"/>
    <s v="3º Turno"/>
    <x v="1"/>
    <s v="Não"/>
    <x v="0"/>
    <d v="2025-02-05T00:00:00"/>
    <m/>
    <s v="qua"/>
    <x v="3"/>
    <x v="1"/>
    <m/>
    <s v="199045693"/>
  </r>
  <r>
    <n v="1990"/>
    <n v="57"/>
    <s v="Masculino"/>
    <s v="Qualidade"/>
    <s v="Analista"/>
    <s v="3º Turno"/>
    <x v="1"/>
    <s v="Não"/>
    <x v="0"/>
    <d v="2025-02-04T00:00:00"/>
    <m/>
    <s v="ter"/>
    <x v="3"/>
    <x v="1"/>
    <m/>
    <s v="199045692"/>
  </r>
  <r>
    <n v="1990"/>
    <n v="57"/>
    <s v="Masculino"/>
    <s v="Qualidade"/>
    <s v="Analista"/>
    <s v="3º Turno"/>
    <x v="1"/>
    <s v="Não"/>
    <x v="0"/>
    <d v="2025-02-03T00:00:00"/>
    <m/>
    <s v="seg"/>
    <x v="3"/>
    <x v="1"/>
    <m/>
    <s v="199045691"/>
  </r>
  <r>
    <n v="1990"/>
    <n v="57"/>
    <s v="Masculino"/>
    <s v="Qualidade"/>
    <s v="Analista"/>
    <s v="3º Turno"/>
    <x v="1"/>
    <s v="Não"/>
    <x v="0"/>
    <d v="2025-02-02T00:00:00"/>
    <m/>
    <s v="dom"/>
    <x v="3"/>
    <x v="1"/>
    <m/>
    <s v="199045690"/>
  </r>
  <r>
    <n v="1990"/>
    <n v="57"/>
    <s v="Masculino"/>
    <s v="Qualidade"/>
    <s v="Analista"/>
    <s v="3º Turno"/>
    <x v="1"/>
    <s v="Não"/>
    <x v="0"/>
    <d v="2025-02-01T00:00:00"/>
    <m/>
    <s v="sáb"/>
    <x v="3"/>
    <x v="1"/>
    <m/>
    <s v="199045689"/>
  </r>
  <r>
    <n v="1990"/>
    <n v="57"/>
    <s v="Masculino"/>
    <s v="Qualidade"/>
    <s v="Analista"/>
    <s v="3º Turno"/>
    <x v="1"/>
    <s v="Não"/>
    <x v="0"/>
    <d v="2025-01-31T00:00:00"/>
    <m/>
    <s v="sex"/>
    <x v="5"/>
    <x v="1"/>
    <m/>
    <s v="199045688"/>
  </r>
  <r>
    <n v="1990"/>
    <n v="57"/>
    <s v="Masculino"/>
    <s v="Qualidade"/>
    <s v="Analista"/>
    <s v="3º Turno"/>
    <x v="1"/>
    <s v="Não"/>
    <x v="0"/>
    <d v="2025-01-30T00:00:00"/>
    <m/>
    <s v="qui"/>
    <x v="5"/>
    <x v="1"/>
    <m/>
    <s v="199045687"/>
  </r>
  <r>
    <n v="1990"/>
    <n v="57"/>
    <s v="Masculino"/>
    <s v="Qualidade"/>
    <s v="Analista"/>
    <s v="3º Turno"/>
    <x v="1"/>
    <s v="Não"/>
    <x v="0"/>
    <d v="2025-01-29T00:00:00"/>
    <m/>
    <s v="qua"/>
    <x v="5"/>
    <x v="1"/>
    <m/>
    <s v="199045686"/>
  </r>
  <r>
    <n v="1990"/>
    <n v="57"/>
    <s v="Masculino"/>
    <s v="Qualidade"/>
    <s v="Analista"/>
    <s v="3º Turno"/>
    <x v="1"/>
    <s v="Não"/>
    <x v="0"/>
    <d v="2025-01-28T00:00:00"/>
    <m/>
    <s v="ter"/>
    <x v="5"/>
    <x v="1"/>
    <m/>
    <s v="199045685"/>
  </r>
  <r>
    <n v="1990"/>
    <n v="57"/>
    <s v="Masculino"/>
    <s v="Qualidade"/>
    <s v="Analista"/>
    <s v="3º Turno"/>
    <x v="1"/>
    <s v="Não"/>
    <x v="0"/>
    <d v="2025-01-27T00:00:00"/>
    <m/>
    <s v="seg"/>
    <x v="5"/>
    <x v="1"/>
    <m/>
    <s v="199045684"/>
  </r>
  <r>
    <n v="1990"/>
    <n v="57"/>
    <s v="Masculino"/>
    <s v="Qualidade"/>
    <s v="Analista"/>
    <s v="3º Turno"/>
    <x v="1"/>
    <s v="Não"/>
    <x v="0"/>
    <d v="2025-01-26T00:00:00"/>
    <m/>
    <s v="dom"/>
    <x v="5"/>
    <x v="1"/>
    <m/>
    <s v="199045683"/>
  </r>
  <r>
    <n v="1990"/>
    <n v="57"/>
    <s v="Masculino"/>
    <s v="Qualidade"/>
    <s v="Analista"/>
    <s v="3º Turno"/>
    <x v="1"/>
    <s v="Não"/>
    <x v="0"/>
    <d v="2025-01-25T00:00:00"/>
    <m/>
    <s v="sáb"/>
    <x v="5"/>
    <x v="1"/>
    <m/>
    <s v="199045682"/>
  </r>
  <r>
    <n v="1990"/>
    <n v="57"/>
    <s v="Masculino"/>
    <s v="Qualidade"/>
    <s v="Analista"/>
    <s v="3º Turno"/>
    <x v="1"/>
    <s v="Não"/>
    <x v="0"/>
    <d v="2025-01-24T00:00:00"/>
    <m/>
    <s v="sex"/>
    <x v="5"/>
    <x v="1"/>
    <m/>
    <s v="199045681"/>
  </r>
  <r>
    <n v="1990"/>
    <n v="57"/>
    <s v="Masculino"/>
    <s v="Qualidade"/>
    <s v="Analista"/>
    <s v="3º Turno"/>
    <x v="1"/>
    <s v="Não"/>
    <x v="0"/>
    <d v="2025-01-23T00:00:00"/>
    <m/>
    <s v="qui"/>
    <x v="5"/>
    <x v="1"/>
    <m/>
    <s v="199045680"/>
  </r>
  <r>
    <n v="1990"/>
    <n v="57"/>
    <s v="Masculino"/>
    <s v="Qualidade"/>
    <s v="Analista"/>
    <s v="3º Turno"/>
    <x v="1"/>
    <s v="Não"/>
    <x v="0"/>
    <d v="2025-01-22T00:00:00"/>
    <m/>
    <s v="qua"/>
    <x v="5"/>
    <x v="1"/>
    <m/>
    <s v="199045679"/>
  </r>
  <r>
    <n v="1990"/>
    <n v="57"/>
    <s v="Masculino"/>
    <s v="Qualidade"/>
    <s v="Analista"/>
    <s v="3º Turno"/>
    <x v="1"/>
    <s v="Não"/>
    <x v="0"/>
    <d v="2025-01-21T00:00:00"/>
    <m/>
    <s v="ter"/>
    <x v="5"/>
    <x v="1"/>
    <m/>
    <s v="199045678"/>
  </r>
  <r>
    <n v="1039"/>
    <n v="58"/>
    <s v="Masculino"/>
    <s v="Montagem"/>
    <s v="Operador"/>
    <s v="1º Turno"/>
    <x v="1"/>
    <s v="Não"/>
    <x v="0"/>
    <d v="2025-03-07T00:00:00"/>
    <m/>
    <s v="sex"/>
    <x v="4"/>
    <x v="1"/>
    <m/>
    <s v="103945723"/>
  </r>
  <r>
    <n v="1039"/>
    <n v="58"/>
    <s v="Masculino"/>
    <s v="Montagem"/>
    <s v="Operador"/>
    <s v="1º Turno"/>
    <x v="1"/>
    <s v="Não"/>
    <x v="0"/>
    <d v="2025-03-06T00:00:00"/>
    <m/>
    <s v="qui"/>
    <x v="4"/>
    <x v="1"/>
    <m/>
    <s v="103945722"/>
  </r>
  <r>
    <n v="1039"/>
    <n v="58"/>
    <s v="Masculino"/>
    <s v="Montagem"/>
    <s v="Operador"/>
    <s v="1º Turno"/>
    <x v="1"/>
    <s v="Não"/>
    <x v="0"/>
    <d v="2025-03-05T00:00:00"/>
    <m/>
    <s v="qua"/>
    <x v="4"/>
    <x v="1"/>
    <m/>
    <s v="103945721"/>
  </r>
  <r>
    <n v="1039"/>
    <n v="58"/>
    <s v="Masculino"/>
    <s v="Montagem"/>
    <s v="Operador"/>
    <s v="1º Turno"/>
    <x v="1"/>
    <s v="Não"/>
    <x v="0"/>
    <d v="2025-03-04T00:00:00"/>
    <m/>
    <s v="ter"/>
    <x v="4"/>
    <x v="1"/>
    <m/>
    <s v="103945720"/>
  </r>
  <r>
    <n v="1039"/>
    <n v="58"/>
    <s v="Masculino"/>
    <s v="Montagem"/>
    <s v="Operador"/>
    <s v="1º Turno"/>
    <x v="1"/>
    <s v="Não"/>
    <x v="0"/>
    <d v="2025-03-03T00:00:00"/>
    <m/>
    <s v="seg"/>
    <x v="4"/>
    <x v="1"/>
    <m/>
    <s v="103945719"/>
  </r>
  <r>
    <n v="1039"/>
    <n v="58"/>
    <s v="Masculino"/>
    <s v="Montagem"/>
    <s v="Operador"/>
    <s v="1º Turno"/>
    <x v="1"/>
    <s v="Não"/>
    <x v="0"/>
    <d v="2025-03-02T00:00:00"/>
    <m/>
    <s v="dom"/>
    <x v="4"/>
    <x v="1"/>
    <m/>
    <s v="103945718"/>
  </r>
  <r>
    <n v="1039"/>
    <n v="58"/>
    <s v="Masculino"/>
    <s v="Montagem"/>
    <s v="Operador"/>
    <s v="1º Turno"/>
    <x v="1"/>
    <s v="Não"/>
    <x v="0"/>
    <d v="2025-03-01T00:00:00"/>
    <m/>
    <s v="sáb"/>
    <x v="4"/>
    <x v="1"/>
    <m/>
    <s v="103945717"/>
  </r>
  <r>
    <n v="1039"/>
    <n v="58"/>
    <s v="Masculino"/>
    <s v="Montagem"/>
    <s v="Operador"/>
    <s v="1º Turno"/>
    <x v="1"/>
    <s v="Não"/>
    <x v="0"/>
    <d v="2025-02-28T00:00:00"/>
    <m/>
    <s v="sex"/>
    <x v="3"/>
    <x v="1"/>
    <m/>
    <s v="103945716"/>
  </r>
  <r>
    <n v="1039"/>
    <n v="58"/>
    <s v="Masculino"/>
    <s v="Montagem"/>
    <s v="Operador"/>
    <s v="1º Turno"/>
    <x v="1"/>
    <s v="Não"/>
    <x v="0"/>
    <d v="2025-02-27T00:00:00"/>
    <m/>
    <s v="qui"/>
    <x v="3"/>
    <x v="1"/>
    <m/>
    <s v="103945715"/>
  </r>
  <r>
    <n v="1039"/>
    <n v="58"/>
    <s v="Masculino"/>
    <s v="Montagem"/>
    <s v="Operador"/>
    <s v="1º Turno"/>
    <x v="1"/>
    <s v="Não"/>
    <x v="0"/>
    <d v="2025-02-26T00:00:00"/>
    <m/>
    <s v="qua"/>
    <x v="3"/>
    <x v="1"/>
    <m/>
    <s v="103945714"/>
  </r>
  <r>
    <n v="1039"/>
    <n v="58"/>
    <s v="Masculino"/>
    <s v="Montagem"/>
    <s v="Operador"/>
    <s v="1º Turno"/>
    <x v="1"/>
    <s v="Não"/>
    <x v="0"/>
    <d v="2025-02-25T00:00:00"/>
    <m/>
    <s v="ter"/>
    <x v="3"/>
    <x v="1"/>
    <m/>
    <s v="103945713"/>
  </r>
  <r>
    <n v="1039"/>
    <n v="58"/>
    <s v="Masculino"/>
    <s v="Montagem"/>
    <s v="Operador"/>
    <s v="1º Turno"/>
    <x v="1"/>
    <s v="Não"/>
    <x v="0"/>
    <d v="2025-02-24T00:00:00"/>
    <m/>
    <s v="seg"/>
    <x v="3"/>
    <x v="1"/>
    <m/>
    <s v="103945712"/>
  </r>
  <r>
    <n v="1039"/>
    <n v="58"/>
    <s v="Masculino"/>
    <s v="Montagem"/>
    <s v="Operador"/>
    <s v="1º Turno"/>
    <x v="1"/>
    <s v="Não"/>
    <x v="0"/>
    <d v="2025-02-23T00:00:00"/>
    <m/>
    <s v="dom"/>
    <x v="3"/>
    <x v="1"/>
    <m/>
    <s v="103945711"/>
  </r>
  <r>
    <n v="1039"/>
    <n v="58"/>
    <s v="Masculino"/>
    <s v="Montagem"/>
    <s v="Operador"/>
    <s v="1º Turno"/>
    <x v="1"/>
    <s v="Não"/>
    <x v="0"/>
    <d v="2025-02-22T00:00:00"/>
    <m/>
    <s v="sáb"/>
    <x v="3"/>
    <x v="1"/>
    <m/>
    <s v="103945710"/>
  </r>
  <r>
    <n v="1039"/>
    <n v="58"/>
    <s v="Masculino"/>
    <s v="Montagem"/>
    <s v="Operador"/>
    <s v="1º Turno"/>
    <x v="1"/>
    <s v="Não"/>
    <x v="0"/>
    <d v="2025-02-21T00:00:00"/>
    <m/>
    <s v="sex"/>
    <x v="3"/>
    <x v="1"/>
    <m/>
    <s v="103945709"/>
  </r>
  <r>
    <n v="1039"/>
    <n v="58"/>
    <s v="Masculino"/>
    <s v="Montagem"/>
    <s v="Operador"/>
    <s v="1º Turno"/>
    <x v="1"/>
    <s v="Não"/>
    <x v="0"/>
    <d v="2025-02-20T00:00:00"/>
    <m/>
    <s v="qui"/>
    <x v="3"/>
    <x v="1"/>
    <m/>
    <s v="103945708"/>
  </r>
  <r>
    <n v="1039"/>
    <n v="58"/>
    <s v="Masculino"/>
    <s v="Montagem"/>
    <s v="Operador"/>
    <s v="1º Turno"/>
    <x v="1"/>
    <s v="Não"/>
    <x v="0"/>
    <d v="2025-02-19T00:00:00"/>
    <m/>
    <s v="qua"/>
    <x v="3"/>
    <x v="1"/>
    <m/>
    <s v="103945707"/>
  </r>
  <r>
    <n v="1039"/>
    <n v="58"/>
    <s v="Masculino"/>
    <s v="Montagem"/>
    <s v="Operador"/>
    <s v="1º Turno"/>
    <x v="1"/>
    <s v="Não"/>
    <x v="0"/>
    <d v="2025-02-18T00:00:00"/>
    <m/>
    <s v="ter"/>
    <x v="3"/>
    <x v="1"/>
    <m/>
    <s v="103945706"/>
  </r>
  <r>
    <n v="1039"/>
    <n v="58"/>
    <s v="Masculino"/>
    <s v="Montagem"/>
    <s v="Operador"/>
    <s v="1º Turno"/>
    <x v="1"/>
    <s v="Não"/>
    <x v="0"/>
    <d v="2025-02-17T00:00:00"/>
    <m/>
    <s v="seg"/>
    <x v="3"/>
    <x v="1"/>
    <m/>
    <s v="103945705"/>
  </r>
  <r>
    <n v="1039"/>
    <n v="58"/>
    <s v="Masculino"/>
    <s v="Montagem"/>
    <s v="Operador"/>
    <s v="1º Turno"/>
    <x v="1"/>
    <s v="Não"/>
    <x v="0"/>
    <d v="2025-02-16T00:00:00"/>
    <m/>
    <s v="dom"/>
    <x v="3"/>
    <x v="1"/>
    <m/>
    <s v="103945704"/>
  </r>
  <r>
    <n v="1039"/>
    <n v="58"/>
    <s v="Masculino"/>
    <s v="Montagem"/>
    <s v="Operador"/>
    <s v="1º Turno"/>
    <x v="1"/>
    <s v="Não"/>
    <x v="0"/>
    <d v="2025-02-15T00:00:00"/>
    <m/>
    <s v="sáb"/>
    <x v="3"/>
    <x v="1"/>
    <m/>
    <s v="103945703"/>
  </r>
  <r>
    <n v="1039"/>
    <n v="58"/>
    <s v="Masculino"/>
    <s v="Montagem"/>
    <s v="Operador"/>
    <s v="1º Turno"/>
    <x v="1"/>
    <s v="Não"/>
    <x v="0"/>
    <d v="2025-02-14T00:00:00"/>
    <m/>
    <s v="sex"/>
    <x v="3"/>
    <x v="1"/>
    <m/>
    <s v="103945702"/>
  </r>
  <r>
    <n v="1039"/>
    <n v="58"/>
    <s v="Masculino"/>
    <s v="Montagem"/>
    <s v="Operador"/>
    <s v="1º Turno"/>
    <x v="1"/>
    <s v="Não"/>
    <x v="0"/>
    <d v="2025-02-13T00:00:00"/>
    <m/>
    <s v="qui"/>
    <x v="3"/>
    <x v="1"/>
    <m/>
    <s v="103945701"/>
  </r>
  <r>
    <n v="1039"/>
    <n v="58"/>
    <s v="Masculino"/>
    <s v="Montagem"/>
    <s v="Operador"/>
    <s v="1º Turno"/>
    <x v="1"/>
    <s v="Não"/>
    <x v="0"/>
    <d v="2025-02-12T00:00:00"/>
    <m/>
    <s v="qua"/>
    <x v="3"/>
    <x v="1"/>
    <m/>
    <s v="103945700"/>
  </r>
  <r>
    <n v="1039"/>
    <n v="58"/>
    <s v="Masculino"/>
    <s v="Montagem"/>
    <s v="Operador"/>
    <s v="1º Turno"/>
    <x v="1"/>
    <s v="Não"/>
    <x v="0"/>
    <d v="2025-02-11T00:00:00"/>
    <m/>
    <s v="ter"/>
    <x v="3"/>
    <x v="1"/>
    <m/>
    <s v="103945699"/>
  </r>
  <r>
    <n v="1039"/>
    <n v="58"/>
    <s v="Masculino"/>
    <s v="Montagem"/>
    <s v="Operador"/>
    <s v="1º Turno"/>
    <x v="1"/>
    <s v="Não"/>
    <x v="0"/>
    <d v="2025-02-10T00:00:00"/>
    <m/>
    <s v="seg"/>
    <x v="3"/>
    <x v="1"/>
    <m/>
    <s v="103945698"/>
  </r>
  <r>
    <n v="1039"/>
    <n v="58"/>
    <s v="Masculino"/>
    <s v="Montagem"/>
    <s v="Operador"/>
    <s v="1º Turno"/>
    <x v="1"/>
    <s v="Não"/>
    <x v="0"/>
    <d v="2025-02-09T00:00:00"/>
    <m/>
    <s v="dom"/>
    <x v="3"/>
    <x v="1"/>
    <m/>
    <s v="103945697"/>
  </r>
  <r>
    <n v="1039"/>
    <n v="58"/>
    <s v="Masculino"/>
    <s v="Montagem"/>
    <s v="Operador"/>
    <s v="1º Turno"/>
    <x v="1"/>
    <s v="Não"/>
    <x v="0"/>
    <d v="2025-02-08T00:00:00"/>
    <m/>
    <s v="sáb"/>
    <x v="3"/>
    <x v="1"/>
    <m/>
    <s v="103945696"/>
  </r>
  <r>
    <n v="1039"/>
    <n v="58"/>
    <s v="Masculino"/>
    <s v="Montagem"/>
    <s v="Operador"/>
    <s v="1º Turno"/>
    <x v="1"/>
    <s v="Não"/>
    <x v="0"/>
    <d v="2025-02-07T00:00:00"/>
    <m/>
    <s v="sex"/>
    <x v="3"/>
    <x v="1"/>
    <m/>
    <s v="103945695"/>
  </r>
  <r>
    <n v="1039"/>
    <n v="58"/>
    <s v="Masculino"/>
    <s v="Montagem"/>
    <s v="Operador"/>
    <s v="1º Turno"/>
    <x v="1"/>
    <s v="Não"/>
    <x v="0"/>
    <d v="2025-02-06T00:00:00"/>
    <m/>
    <s v="qui"/>
    <x v="3"/>
    <x v="1"/>
    <m/>
    <s v="103945694"/>
  </r>
  <r>
    <n v="1039"/>
    <n v="58"/>
    <s v="Masculino"/>
    <s v="Montagem"/>
    <s v="Operador"/>
    <s v="1º Turno"/>
    <x v="1"/>
    <s v="Não"/>
    <x v="0"/>
    <d v="2025-02-05T00:00:00"/>
    <m/>
    <s v="qua"/>
    <x v="3"/>
    <x v="1"/>
    <m/>
    <s v="103945693"/>
  </r>
  <r>
    <n v="1039"/>
    <n v="58"/>
    <s v="Masculino"/>
    <s v="Montagem"/>
    <s v="Operador"/>
    <s v="1º Turno"/>
    <x v="1"/>
    <s v="Não"/>
    <x v="0"/>
    <d v="2025-02-04T00:00:00"/>
    <m/>
    <s v="ter"/>
    <x v="3"/>
    <x v="1"/>
    <m/>
    <s v="103945692"/>
  </r>
  <r>
    <n v="1039"/>
    <n v="58"/>
    <s v="Masculino"/>
    <s v="Montagem"/>
    <s v="Operador"/>
    <s v="1º Turno"/>
    <x v="1"/>
    <s v="Não"/>
    <x v="0"/>
    <d v="2025-02-03T00:00:00"/>
    <m/>
    <s v="seg"/>
    <x v="3"/>
    <x v="1"/>
    <m/>
    <s v="103945691"/>
  </r>
  <r>
    <n v="1039"/>
    <n v="58"/>
    <s v="Masculino"/>
    <s v="Montagem"/>
    <s v="Operador"/>
    <s v="1º Turno"/>
    <x v="1"/>
    <s v="Não"/>
    <x v="0"/>
    <d v="2025-02-02T00:00:00"/>
    <m/>
    <s v="dom"/>
    <x v="3"/>
    <x v="1"/>
    <m/>
    <s v="103945690"/>
  </r>
  <r>
    <n v="1039"/>
    <n v="58"/>
    <s v="Masculino"/>
    <s v="Montagem"/>
    <s v="Operador"/>
    <s v="1º Turno"/>
    <x v="1"/>
    <s v="Não"/>
    <x v="0"/>
    <d v="2025-02-01T00:00:00"/>
    <m/>
    <s v="sáb"/>
    <x v="3"/>
    <x v="1"/>
    <m/>
    <s v="103945689"/>
  </r>
  <r>
    <n v="1039"/>
    <n v="58"/>
    <s v="Masculino"/>
    <s v="Montagem"/>
    <s v="Operador"/>
    <s v="1º Turno"/>
    <x v="1"/>
    <s v="Não"/>
    <x v="0"/>
    <d v="2025-01-31T00:00:00"/>
    <m/>
    <s v="sex"/>
    <x v="5"/>
    <x v="1"/>
    <m/>
    <s v="103945688"/>
  </r>
  <r>
    <n v="1039"/>
    <n v="58"/>
    <s v="Masculino"/>
    <s v="Montagem"/>
    <s v="Operador"/>
    <s v="1º Turno"/>
    <x v="1"/>
    <s v="Não"/>
    <x v="0"/>
    <d v="2025-01-30T00:00:00"/>
    <m/>
    <s v="qui"/>
    <x v="5"/>
    <x v="1"/>
    <m/>
    <s v="103945687"/>
  </r>
  <r>
    <n v="1039"/>
    <n v="58"/>
    <s v="Masculino"/>
    <s v="Montagem"/>
    <s v="Operador"/>
    <s v="1º Turno"/>
    <x v="1"/>
    <s v="Não"/>
    <x v="0"/>
    <d v="2025-01-29T00:00:00"/>
    <m/>
    <s v="qua"/>
    <x v="5"/>
    <x v="1"/>
    <m/>
    <s v="103945686"/>
  </r>
  <r>
    <n v="1039"/>
    <n v="58"/>
    <s v="Masculino"/>
    <s v="Montagem"/>
    <s v="Operador"/>
    <s v="1º Turno"/>
    <x v="1"/>
    <s v="Não"/>
    <x v="0"/>
    <d v="2025-01-28T00:00:00"/>
    <m/>
    <s v="ter"/>
    <x v="5"/>
    <x v="1"/>
    <m/>
    <s v="103945685"/>
  </r>
  <r>
    <n v="1039"/>
    <n v="58"/>
    <s v="Masculino"/>
    <s v="Montagem"/>
    <s v="Operador"/>
    <s v="1º Turno"/>
    <x v="1"/>
    <s v="Não"/>
    <x v="0"/>
    <d v="2025-01-27T00:00:00"/>
    <m/>
    <s v="seg"/>
    <x v="5"/>
    <x v="1"/>
    <m/>
    <s v="103945684"/>
  </r>
  <r>
    <n v="1039"/>
    <n v="58"/>
    <s v="Masculino"/>
    <s v="Montagem"/>
    <s v="Operador"/>
    <s v="1º Turno"/>
    <x v="1"/>
    <s v="Não"/>
    <x v="0"/>
    <d v="2025-01-26T00:00:00"/>
    <m/>
    <s v="dom"/>
    <x v="5"/>
    <x v="1"/>
    <m/>
    <s v="103945683"/>
  </r>
  <r>
    <n v="1039"/>
    <n v="58"/>
    <s v="Masculino"/>
    <s v="Montagem"/>
    <s v="Operador"/>
    <s v="1º Turno"/>
    <x v="1"/>
    <s v="Não"/>
    <x v="0"/>
    <d v="2025-01-25T00:00:00"/>
    <m/>
    <s v="sáb"/>
    <x v="5"/>
    <x v="1"/>
    <m/>
    <s v="103945682"/>
  </r>
  <r>
    <n v="1039"/>
    <n v="58"/>
    <s v="Masculino"/>
    <s v="Montagem"/>
    <s v="Operador"/>
    <s v="1º Turno"/>
    <x v="1"/>
    <s v="Não"/>
    <x v="0"/>
    <d v="2025-01-24T00:00:00"/>
    <m/>
    <s v="sex"/>
    <x v="5"/>
    <x v="1"/>
    <m/>
    <s v="103945681"/>
  </r>
  <r>
    <n v="1039"/>
    <n v="58"/>
    <s v="Masculino"/>
    <s v="Montagem"/>
    <s v="Operador"/>
    <s v="1º Turno"/>
    <x v="1"/>
    <s v="Não"/>
    <x v="0"/>
    <d v="2025-01-23T00:00:00"/>
    <m/>
    <s v="qui"/>
    <x v="5"/>
    <x v="1"/>
    <m/>
    <s v="103945680"/>
  </r>
  <r>
    <n v="1039"/>
    <n v="58"/>
    <s v="Masculino"/>
    <s v="Montagem"/>
    <s v="Operador"/>
    <s v="1º Turno"/>
    <x v="1"/>
    <s v="Não"/>
    <x v="0"/>
    <d v="2025-01-22T00:00:00"/>
    <m/>
    <s v="qua"/>
    <x v="5"/>
    <x v="1"/>
    <m/>
    <s v="103945679"/>
  </r>
  <r>
    <n v="1039"/>
    <n v="58"/>
    <s v="Masculino"/>
    <s v="Montagem"/>
    <s v="Operador"/>
    <s v="1º Turno"/>
    <x v="1"/>
    <s v="Não"/>
    <x v="0"/>
    <d v="2025-01-21T00:00:00"/>
    <m/>
    <s v="ter"/>
    <x v="5"/>
    <x v="1"/>
    <m/>
    <s v="103945678"/>
  </r>
  <r>
    <n v="1039"/>
    <n v="58"/>
    <s v="Masculino"/>
    <s v="Montagem"/>
    <s v="Operador"/>
    <s v="1º Turno"/>
    <x v="1"/>
    <s v="Não"/>
    <x v="0"/>
    <d v="2025-01-20T00:00:00"/>
    <m/>
    <s v="seg"/>
    <x v="5"/>
    <x v="1"/>
    <m/>
    <s v="103945677"/>
  </r>
  <r>
    <n v="1039"/>
    <n v="58"/>
    <s v="Masculino"/>
    <s v="Montagem"/>
    <s v="Operador"/>
    <s v="1º Turno"/>
    <x v="1"/>
    <s v="Não"/>
    <x v="0"/>
    <d v="2025-01-19T00:00:00"/>
    <m/>
    <s v="dom"/>
    <x v="5"/>
    <x v="1"/>
    <m/>
    <s v="103945676"/>
  </r>
  <r>
    <n v="1039"/>
    <n v="58"/>
    <s v="Masculino"/>
    <s v="Montagem"/>
    <s v="Operador"/>
    <s v="1º Turno"/>
    <x v="1"/>
    <s v="Não"/>
    <x v="0"/>
    <d v="2025-01-18T00:00:00"/>
    <m/>
    <s v="sáb"/>
    <x v="5"/>
    <x v="1"/>
    <m/>
    <s v="103945675"/>
  </r>
  <r>
    <n v="1039"/>
    <n v="58"/>
    <s v="Masculino"/>
    <s v="Montagem"/>
    <s v="Operador"/>
    <s v="1º Turno"/>
    <x v="1"/>
    <s v="Não"/>
    <x v="0"/>
    <d v="2025-01-17T00:00:00"/>
    <m/>
    <s v="sex"/>
    <x v="5"/>
    <x v="1"/>
    <m/>
    <s v="103945674"/>
  </r>
  <r>
    <n v="1039"/>
    <n v="58"/>
    <s v="Masculino"/>
    <s v="Montagem"/>
    <s v="Operador"/>
    <s v="1º Turno"/>
    <x v="1"/>
    <s v="Não"/>
    <x v="0"/>
    <d v="2025-01-16T00:00:00"/>
    <m/>
    <s v="qui"/>
    <x v="5"/>
    <x v="1"/>
    <m/>
    <s v="103945673"/>
  </r>
  <r>
    <n v="1039"/>
    <n v="58"/>
    <s v="Masculino"/>
    <s v="Montagem"/>
    <s v="Operador"/>
    <s v="1º Turno"/>
    <x v="1"/>
    <s v="Não"/>
    <x v="0"/>
    <d v="2025-01-15T00:00:00"/>
    <m/>
    <s v="qua"/>
    <x v="5"/>
    <x v="1"/>
    <m/>
    <s v="103945672"/>
  </r>
  <r>
    <n v="1039"/>
    <n v="58"/>
    <s v="Masculino"/>
    <s v="Montagem"/>
    <s v="Operador"/>
    <s v="1º Turno"/>
    <x v="1"/>
    <s v="Não"/>
    <x v="0"/>
    <d v="2025-01-14T00:00:00"/>
    <m/>
    <s v="ter"/>
    <x v="5"/>
    <x v="1"/>
    <m/>
    <s v="103945671"/>
  </r>
  <r>
    <n v="1039"/>
    <n v="58"/>
    <s v="Masculino"/>
    <s v="Montagem"/>
    <s v="Operador"/>
    <s v="1º Turno"/>
    <x v="1"/>
    <s v="Não"/>
    <x v="0"/>
    <d v="2025-01-13T00:00:00"/>
    <m/>
    <s v="seg"/>
    <x v="5"/>
    <x v="1"/>
    <m/>
    <s v="103945670"/>
  </r>
  <r>
    <n v="1039"/>
    <n v="58"/>
    <s v="Masculino"/>
    <s v="Montagem"/>
    <s v="Operador"/>
    <s v="1º Turno"/>
    <x v="1"/>
    <s v="Não"/>
    <x v="0"/>
    <d v="2025-01-12T00:00:00"/>
    <m/>
    <s v="dom"/>
    <x v="5"/>
    <x v="1"/>
    <m/>
    <s v="103945669"/>
  </r>
  <r>
    <n v="1039"/>
    <n v="58"/>
    <s v="Masculino"/>
    <s v="Montagem"/>
    <s v="Operador"/>
    <s v="1º Turno"/>
    <x v="1"/>
    <s v="Não"/>
    <x v="0"/>
    <d v="2025-01-11T00:00:00"/>
    <m/>
    <s v="sáb"/>
    <x v="5"/>
    <x v="1"/>
    <m/>
    <s v="103945668"/>
  </r>
  <r>
    <n v="1039"/>
    <n v="58"/>
    <s v="Masculino"/>
    <s v="Montagem"/>
    <s v="Operador"/>
    <s v="1º Turno"/>
    <x v="1"/>
    <s v="Não"/>
    <x v="0"/>
    <d v="2025-01-10T00:00:00"/>
    <m/>
    <s v="sex"/>
    <x v="5"/>
    <x v="1"/>
    <m/>
    <s v="103945667"/>
  </r>
  <r>
    <n v="1039"/>
    <n v="58"/>
    <s v="Masculino"/>
    <s v="Montagem"/>
    <s v="Operador"/>
    <s v="1º Turno"/>
    <x v="1"/>
    <s v="Não"/>
    <x v="0"/>
    <d v="2025-01-09T00:00:00"/>
    <m/>
    <s v="qui"/>
    <x v="5"/>
    <x v="1"/>
    <m/>
    <s v="103945666"/>
  </r>
  <r>
    <n v="1039"/>
    <n v="58"/>
    <s v="Masculino"/>
    <s v="Montagem"/>
    <s v="Operador"/>
    <s v="1º Turno"/>
    <x v="1"/>
    <s v="Não"/>
    <x v="0"/>
    <d v="2025-01-08T00:00:00"/>
    <m/>
    <s v="qua"/>
    <x v="5"/>
    <x v="1"/>
    <m/>
    <s v="103945665"/>
  </r>
  <r>
    <n v="1039"/>
    <n v="58"/>
    <s v="Masculino"/>
    <s v="Montagem"/>
    <s v="Operador"/>
    <s v="1º Turno"/>
    <x v="1"/>
    <s v="Não"/>
    <x v="0"/>
    <d v="2025-01-07T00:00:00"/>
    <m/>
    <s v="ter"/>
    <x v="5"/>
    <x v="1"/>
    <m/>
    <s v="103945664"/>
  </r>
  <r>
    <n v="1039"/>
    <n v="58"/>
    <s v="Masculino"/>
    <s v="Montagem"/>
    <s v="Operador"/>
    <s v="1º Turno"/>
    <x v="1"/>
    <s v="Não"/>
    <x v="0"/>
    <d v="2025-01-06T00:00:00"/>
    <m/>
    <s v="seg"/>
    <x v="5"/>
    <x v="1"/>
    <m/>
    <s v="103945663"/>
  </r>
  <r>
    <n v="1039"/>
    <n v="58"/>
    <s v="Masculino"/>
    <s v="Montagem"/>
    <s v="Operador"/>
    <s v="1º Turno"/>
    <x v="1"/>
    <s v="Não"/>
    <x v="0"/>
    <d v="2025-01-05T00:00:00"/>
    <m/>
    <s v="dom"/>
    <x v="5"/>
    <x v="1"/>
    <m/>
    <s v="103945662"/>
  </r>
  <r>
    <n v="1039"/>
    <n v="58"/>
    <s v="Masculino"/>
    <s v="Montagem"/>
    <s v="Operador"/>
    <s v="1º Turno"/>
    <x v="1"/>
    <s v="Não"/>
    <x v="0"/>
    <d v="2025-01-04T00:00:00"/>
    <m/>
    <s v="sáb"/>
    <x v="5"/>
    <x v="1"/>
    <m/>
    <s v="103945661"/>
  </r>
  <r>
    <n v="1039"/>
    <n v="58"/>
    <s v="Masculino"/>
    <s v="Montagem"/>
    <s v="Operador"/>
    <s v="1º Turno"/>
    <x v="1"/>
    <s v="Não"/>
    <x v="0"/>
    <d v="2025-01-03T00:00:00"/>
    <m/>
    <s v="sex"/>
    <x v="5"/>
    <x v="1"/>
    <m/>
    <s v="103945660"/>
  </r>
  <r>
    <n v="1039"/>
    <n v="58"/>
    <s v="Masculino"/>
    <s v="Montagem"/>
    <s v="Operador"/>
    <s v="1º Turno"/>
    <x v="1"/>
    <s v="Não"/>
    <x v="0"/>
    <d v="2025-01-02T00:00:00"/>
    <m/>
    <s v="qui"/>
    <x v="5"/>
    <x v="1"/>
    <m/>
    <s v="103945659"/>
  </r>
  <r>
    <n v="1039"/>
    <n v="58"/>
    <s v="Masculino"/>
    <s v="Montagem"/>
    <s v="Operador"/>
    <s v="1º Turno"/>
    <x v="1"/>
    <s v="Não"/>
    <x v="0"/>
    <d v="2025-01-01T00:00:00"/>
    <m/>
    <s v="qua"/>
    <x v="5"/>
    <x v="1"/>
    <m/>
    <s v="103945658"/>
  </r>
  <r>
    <n v="1039"/>
    <n v="58"/>
    <s v="Masculino"/>
    <s v="Montagem"/>
    <s v="Operador"/>
    <s v="1º Turno"/>
    <x v="1"/>
    <s v="Não"/>
    <x v="0"/>
    <d v="2025-12-31T00:00:00"/>
    <m/>
    <s v="qua"/>
    <x v="8"/>
    <x v="1"/>
    <m/>
    <s v="103946022"/>
  </r>
  <r>
    <n v="1039"/>
    <n v="58"/>
    <s v="Masculino"/>
    <s v="Montagem"/>
    <s v="Operador"/>
    <s v="1º Turno"/>
    <x v="1"/>
    <s v="Não"/>
    <x v="0"/>
    <d v="2025-12-30T00:00:00"/>
    <m/>
    <s v="ter"/>
    <x v="8"/>
    <x v="1"/>
    <m/>
    <s v="103946021"/>
  </r>
  <r>
    <n v="1039"/>
    <n v="58"/>
    <s v="Masculino"/>
    <s v="Montagem"/>
    <s v="Operador"/>
    <s v="1º Turno"/>
    <x v="1"/>
    <s v="Não"/>
    <x v="0"/>
    <d v="2025-12-29T00:00:00"/>
    <m/>
    <s v="seg"/>
    <x v="8"/>
    <x v="1"/>
    <m/>
    <s v="103946020"/>
  </r>
  <r>
    <n v="1039"/>
    <n v="58"/>
    <s v="Masculino"/>
    <s v="Montagem"/>
    <s v="Operador"/>
    <s v="1º Turno"/>
    <x v="1"/>
    <s v="Não"/>
    <x v="0"/>
    <d v="2025-12-28T00:00:00"/>
    <m/>
    <s v="dom"/>
    <x v="8"/>
    <x v="1"/>
    <m/>
    <s v="103946019"/>
  </r>
  <r>
    <n v="1039"/>
    <n v="58"/>
    <s v="Masculino"/>
    <s v="Montagem"/>
    <s v="Operador"/>
    <s v="1º Turno"/>
    <x v="1"/>
    <s v="Não"/>
    <x v="0"/>
    <d v="2025-12-27T00:00:00"/>
    <m/>
    <s v="sáb"/>
    <x v="8"/>
    <x v="1"/>
    <m/>
    <s v="103946018"/>
  </r>
  <r>
    <n v="1039"/>
    <n v="58"/>
    <s v="Masculino"/>
    <s v="Montagem"/>
    <s v="Operador"/>
    <s v="1º Turno"/>
    <x v="1"/>
    <s v="Não"/>
    <x v="0"/>
    <d v="2025-12-26T00:00:00"/>
    <m/>
    <s v="sex"/>
    <x v="8"/>
    <x v="1"/>
    <m/>
    <s v="103946017"/>
  </r>
  <r>
    <n v="1039"/>
    <n v="58"/>
    <s v="Masculino"/>
    <s v="Montagem"/>
    <s v="Operador"/>
    <s v="1º Turno"/>
    <x v="1"/>
    <s v="Não"/>
    <x v="0"/>
    <d v="2025-12-25T00:00:00"/>
    <m/>
    <s v="qui"/>
    <x v="8"/>
    <x v="1"/>
    <m/>
    <s v="103946016"/>
  </r>
  <r>
    <n v="1039"/>
    <n v="58"/>
    <s v="Masculino"/>
    <s v="Montagem"/>
    <s v="Operador"/>
    <s v="1º Turno"/>
    <x v="1"/>
    <s v="Não"/>
    <x v="0"/>
    <d v="2025-12-24T00:00:00"/>
    <m/>
    <s v="qua"/>
    <x v="8"/>
    <x v="1"/>
    <m/>
    <s v="103946015"/>
  </r>
  <r>
    <n v="1039"/>
    <n v="58"/>
    <s v="Masculino"/>
    <s v="Montagem"/>
    <s v="Operador"/>
    <s v="1º Turno"/>
    <x v="1"/>
    <s v="Não"/>
    <x v="0"/>
    <d v="2025-12-23T00:00:00"/>
    <m/>
    <s v="ter"/>
    <x v="8"/>
    <x v="1"/>
    <m/>
    <s v="103946014"/>
  </r>
  <r>
    <n v="1039"/>
    <n v="58"/>
    <s v="Masculino"/>
    <s v="Montagem"/>
    <s v="Operador"/>
    <s v="1º Turno"/>
    <x v="1"/>
    <s v="Não"/>
    <x v="0"/>
    <d v="2025-12-22T00:00:00"/>
    <m/>
    <s v="seg"/>
    <x v="8"/>
    <x v="1"/>
    <m/>
    <s v="103946013"/>
  </r>
  <r>
    <n v="1039"/>
    <n v="58"/>
    <s v="Masculino"/>
    <s v="Montagem"/>
    <s v="Operador"/>
    <s v="1º Turno"/>
    <x v="1"/>
    <s v="Não"/>
    <x v="0"/>
    <d v="2025-12-21T00:00:00"/>
    <m/>
    <s v="dom"/>
    <x v="8"/>
    <x v="1"/>
    <m/>
    <s v="103946012"/>
  </r>
  <r>
    <n v="1039"/>
    <n v="58"/>
    <s v="Masculino"/>
    <s v="Montagem"/>
    <s v="Operador"/>
    <s v="1º Turno"/>
    <x v="1"/>
    <s v="Não"/>
    <x v="0"/>
    <d v="2025-12-20T00:00:00"/>
    <m/>
    <s v="sáb"/>
    <x v="8"/>
    <x v="1"/>
    <m/>
    <s v="103946011"/>
  </r>
  <r>
    <n v="1039"/>
    <n v="58"/>
    <s v="Masculino"/>
    <s v="Montagem"/>
    <s v="Operador"/>
    <s v="1º Turno"/>
    <x v="1"/>
    <s v="Não"/>
    <x v="0"/>
    <d v="2025-12-19T00:00:00"/>
    <m/>
    <s v="sex"/>
    <x v="8"/>
    <x v="1"/>
    <m/>
    <s v="103946010"/>
  </r>
  <r>
    <n v="1039"/>
    <n v="58"/>
    <s v="Masculino"/>
    <s v="Montagem"/>
    <s v="Operador"/>
    <s v="1º Turno"/>
    <x v="1"/>
    <s v="Não"/>
    <x v="0"/>
    <d v="2025-12-18T00:00:00"/>
    <m/>
    <s v="qui"/>
    <x v="8"/>
    <x v="1"/>
    <m/>
    <s v="103946009"/>
  </r>
  <r>
    <n v="1039"/>
    <n v="58"/>
    <s v="Masculino"/>
    <s v="Montagem"/>
    <s v="Operador"/>
    <s v="1º Turno"/>
    <x v="1"/>
    <s v="Não"/>
    <x v="0"/>
    <d v="2025-12-17T00:00:00"/>
    <m/>
    <s v="qua"/>
    <x v="8"/>
    <x v="1"/>
    <m/>
    <s v="103946008"/>
  </r>
  <r>
    <n v="1039"/>
    <n v="58"/>
    <s v="Masculino"/>
    <s v="Montagem"/>
    <s v="Operador"/>
    <s v="1º Turno"/>
    <x v="1"/>
    <s v="Não"/>
    <x v="0"/>
    <d v="2025-12-16T00:00:00"/>
    <m/>
    <s v="ter"/>
    <x v="8"/>
    <x v="1"/>
    <m/>
    <s v="103946007"/>
  </r>
  <r>
    <n v="1039"/>
    <n v="58"/>
    <s v="Masculino"/>
    <s v="Montagem"/>
    <s v="Operador"/>
    <s v="1º Turno"/>
    <x v="1"/>
    <s v="Não"/>
    <x v="0"/>
    <d v="2025-12-15T00:00:00"/>
    <m/>
    <s v="seg"/>
    <x v="8"/>
    <x v="1"/>
    <m/>
    <s v="103946006"/>
  </r>
  <r>
    <n v="1039"/>
    <n v="58"/>
    <s v="Masculino"/>
    <s v="Montagem"/>
    <s v="Operador"/>
    <s v="1º Turno"/>
    <x v="1"/>
    <s v="Não"/>
    <x v="0"/>
    <d v="2025-12-14T00:00:00"/>
    <m/>
    <s v="dom"/>
    <x v="8"/>
    <x v="1"/>
    <m/>
    <s v="103946005"/>
  </r>
  <r>
    <n v="1039"/>
    <n v="58"/>
    <s v="Masculino"/>
    <s v="Montagem"/>
    <s v="Operador"/>
    <s v="1º Turno"/>
    <x v="1"/>
    <s v="Não"/>
    <x v="0"/>
    <d v="2025-12-13T00:00:00"/>
    <m/>
    <s v="sáb"/>
    <x v="8"/>
    <x v="1"/>
    <m/>
    <s v="103946004"/>
  </r>
  <r>
    <n v="1039"/>
    <n v="58"/>
    <s v="Masculino"/>
    <s v="Montagem"/>
    <s v="Operador"/>
    <s v="1º Turno"/>
    <x v="1"/>
    <s v="Não"/>
    <x v="0"/>
    <d v="2025-12-12T00:00:00"/>
    <m/>
    <s v="sex"/>
    <x v="8"/>
    <x v="1"/>
    <m/>
    <s v="103946003"/>
  </r>
  <r>
    <n v="1039"/>
    <n v="58"/>
    <s v="Masculino"/>
    <s v="Montagem"/>
    <s v="Operador"/>
    <s v="1º Turno"/>
    <x v="1"/>
    <s v="Não"/>
    <x v="0"/>
    <d v="2025-12-11T00:00:00"/>
    <m/>
    <s v="qui"/>
    <x v="8"/>
    <x v="1"/>
    <m/>
    <s v="103946002"/>
  </r>
  <r>
    <n v="1039"/>
    <n v="58"/>
    <s v="Masculino"/>
    <s v="Montagem"/>
    <s v="Operador"/>
    <s v="1º Turno"/>
    <x v="1"/>
    <s v="Não"/>
    <x v="0"/>
    <d v="2025-12-10T00:00:00"/>
    <m/>
    <s v="qua"/>
    <x v="8"/>
    <x v="1"/>
    <m/>
    <s v="103946001"/>
  </r>
  <r>
    <n v="1039"/>
    <n v="58"/>
    <s v="Masculino"/>
    <s v="Montagem"/>
    <s v="Operador"/>
    <s v="1º Turno"/>
    <x v="1"/>
    <s v="Não"/>
    <x v="0"/>
    <d v="2025-12-09T00:00:00"/>
    <m/>
    <s v="ter"/>
    <x v="8"/>
    <x v="1"/>
    <m/>
    <s v="103946000"/>
  </r>
  <r>
    <n v="1039"/>
    <n v="58"/>
    <s v="Masculino"/>
    <s v="Montagem"/>
    <s v="Operador"/>
    <s v="1º Turno"/>
    <x v="1"/>
    <s v="Não"/>
    <x v="0"/>
    <d v="2025-12-08T00:00:00"/>
    <m/>
    <s v="seg"/>
    <x v="8"/>
    <x v="1"/>
    <m/>
    <s v="103945999"/>
  </r>
  <r>
    <n v="1039"/>
    <n v="58"/>
    <s v="Masculino"/>
    <s v="Montagem"/>
    <s v="Operador"/>
    <s v="1º Turno"/>
    <x v="1"/>
    <s v="Não"/>
    <x v="0"/>
    <d v="2025-12-07T00:00:00"/>
    <m/>
    <s v="dom"/>
    <x v="8"/>
    <x v="1"/>
    <m/>
    <s v="103945998"/>
  </r>
  <r>
    <n v="1039"/>
    <n v="58"/>
    <s v="Masculino"/>
    <s v="Montagem"/>
    <s v="Operador"/>
    <s v="1º Turno"/>
    <x v="1"/>
    <s v="Não"/>
    <x v="0"/>
    <d v="2025-12-06T00:00:00"/>
    <m/>
    <s v="sáb"/>
    <x v="8"/>
    <x v="1"/>
    <m/>
    <s v="103945997"/>
  </r>
  <r>
    <n v="1039"/>
    <n v="58"/>
    <s v="Masculino"/>
    <s v="Montagem"/>
    <s v="Operador"/>
    <s v="1º Turno"/>
    <x v="1"/>
    <s v="Não"/>
    <x v="0"/>
    <d v="2025-12-05T00:00:00"/>
    <m/>
    <s v="sex"/>
    <x v="8"/>
    <x v="1"/>
    <m/>
    <s v="103945996"/>
  </r>
  <r>
    <n v="1039"/>
    <n v="58"/>
    <s v="Masculino"/>
    <s v="Montagem"/>
    <s v="Operador"/>
    <s v="1º Turno"/>
    <x v="1"/>
    <s v="Não"/>
    <x v="0"/>
    <d v="2025-12-04T00:00:00"/>
    <m/>
    <s v="qui"/>
    <x v="8"/>
    <x v="1"/>
    <m/>
    <s v="103945995"/>
  </r>
  <r>
    <n v="1039"/>
    <n v="58"/>
    <s v="Masculino"/>
    <s v="Montagem"/>
    <s v="Operador"/>
    <s v="1º Turno"/>
    <x v="1"/>
    <s v="Não"/>
    <x v="0"/>
    <d v="2025-12-03T00:00:00"/>
    <m/>
    <s v="qua"/>
    <x v="8"/>
    <x v="1"/>
    <m/>
    <s v="103945994"/>
  </r>
  <r>
    <n v="1039"/>
    <n v="58"/>
    <s v="Masculino"/>
    <s v="Montagem"/>
    <s v="Operador"/>
    <s v="1º Turno"/>
    <x v="1"/>
    <s v="Não"/>
    <x v="0"/>
    <d v="2025-12-02T00:00:00"/>
    <m/>
    <s v="ter"/>
    <x v="8"/>
    <x v="1"/>
    <m/>
    <s v="103945993"/>
  </r>
  <r>
    <n v="1039"/>
    <n v="58"/>
    <s v="Masculino"/>
    <s v="Montagem"/>
    <s v="Operador"/>
    <s v="1º Turno"/>
    <x v="1"/>
    <s v="Não"/>
    <x v="0"/>
    <d v="2025-12-01T00:00:00"/>
    <m/>
    <s v="seg"/>
    <x v="8"/>
    <x v="1"/>
    <m/>
    <s v="103945992"/>
  </r>
  <r>
    <n v="1039"/>
    <n v="58"/>
    <s v="Masculino"/>
    <s v="Montagem"/>
    <s v="Operador"/>
    <s v="1º Turno"/>
    <x v="1"/>
    <s v="Não"/>
    <x v="0"/>
    <d v="2025-11-30T00:00:00"/>
    <m/>
    <s v="dom"/>
    <x v="10"/>
    <x v="1"/>
    <m/>
    <s v="103945991"/>
  </r>
  <r>
    <n v="1039"/>
    <n v="58"/>
    <s v="Masculino"/>
    <s v="Montagem"/>
    <s v="Operador"/>
    <s v="1º Turno"/>
    <x v="1"/>
    <s v="Não"/>
    <x v="0"/>
    <d v="2025-11-29T00:00:00"/>
    <m/>
    <s v="sáb"/>
    <x v="10"/>
    <x v="1"/>
    <m/>
    <s v="103945990"/>
  </r>
  <r>
    <n v="1039"/>
    <n v="58"/>
    <s v="Masculino"/>
    <s v="Montagem"/>
    <s v="Operador"/>
    <s v="1º Turno"/>
    <x v="1"/>
    <s v="Não"/>
    <x v="0"/>
    <d v="2025-11-28T00:00:00"/>
    <m/>
    <s v="sex"/>
    <x v="10"/>
    <x v="1"/>
    <m/>
    <s v="103945989"/>
  </r>
  <r>
    <n v="1039"/>
    <n v="58"/>
    <s v="Masculino"/>
    <s v="Montagem"/>
    <s v="Operador"/>
    <s v="1º Turno"/>
    <x v="1"/>
    <s v="Não"/>
    <x v="0"/>
    <d v="2025-11-27T00:00:00"/>
    <m/>
    <s v="qui"/>
    <x v="10"/>
    <x v="1"/>
    <m/>
    <s v="103945988"/>
  </r>
  <r>
    <n v="1039"/>
    <n v="58"/>
    <s v="Masculino"/>
    <s v="Montagem"/>
    <s v="Operador"/>
    <s v="1º Turno"/>
    <x v="1"/>
    <s v="Não"/>
    <x v="0"/>
    <d v="2025-11-26T00:00:00"/>
    <m/>
    <s v="qua"/>
    <x v="10"/>
    <x v="1"/>
    <m/>
    <s v="103945987"/>
  </r>
  <r>
    <n v="1039"/>
    <n v="58"/>
    <s v="Masculino"/>
    <s v="Montagem"/>
    <s v="Operador"/>
    <s v="1º Turno"/>
    <x v="1"/>
    <s v="Não"/>
    <x v="0"/>
    <d v="2025-11-25T00:00:00"/>
    <m/>
    <s v="ter"/>
    <x v="10"/>
    <x v="1"/>
    <m/>
    <s v="103945986"/>
  </r>
  <r>
    <n v="1039"/>
    <n v="58"/>
    <s v="Masculino"/>
    <s v="Montagem"/>
    <s v="Operador"/>
    <s v="1º Turno"/>
    <x v="1"/>
    <s v="Não"/>
    <x v="0"/>
    <d v="2025-11-24T00:00:00"/>
    <m/>
    <s v="seg"/>
    <x v="10"/>
    <x v="1"/>
    <m/>
    <s v="103945985"/>
  </r>
  <r>
    <n v="1039"/>
    <n v="58"/>
    <s v="Masculino"/>
    <s v="Montagem"/>
    <s v="Operador"/>
    <s v="1º Turno"/>
    <x v="1"/>
    <s v="Não"/>
    <x v="0"/>
    <d v="2025-11-23T00:00:00"/>
    <m/>
    <s v="dom"/>
    <x v="10"/>
    <x v="1"/>
    <m/>
    <s v="103945984"/>
  </r>
  <r>
    <n v="1039"/>
    <n v="58"/>
    <s v="Masculino"/>
    <s v="Montagem"/>
    <s v="Operador"/>
    <s v="1º Turno"/>
    <x v="1"/>
    <s v="Não"/>
    <x v="0"/>
    <d v="2025-11-22T00:00:00"/>
    <m/>
    <s v="sáb"/>
    <x v="10"/>
    <x v="1"/>
    <m/>
    <s v="103945983"/>
  </r>
  <r>
    <n v="1039"/>
    <n v="58"/>
    <s v="Masculino"/>
    <s v="Montagem"/>
    <s v="Operador"/>
    <s v="1º Turno"/>
    <x v="1"/>
    <s v="Não"/>
    <x v="0"/>
    <d v="2025-11-21T00:00:00"/>
    <m/>
    <s v="sex"/>
    <x v="10"/>
    <x v="1"/>
    <m/>
    <s v="103945982"/>
  </r>
  <r>
    <n v="1039"/>
    <n v="58"/>
    <s v="Masculino"/>
    <s v="Montagem"/>
    <s v="Operador"/>
    <s v="1º Turno"/>
    <x v="1"/>
    <s v="Não"/>
    <x v="0"/>
    <d v="2025-11-20T00:00:00"/>
    <m/>
    <s v="qui"/>
    <x v="10"/>
    <x v="1"/>
    <m/>
    <s v="103945981"/>
  </r>
  <r>
    <n v="1039"/>
    <n v="58"/>
    <s v="Masculino"/>
    <s v="Montagem"/>
    <s v="Operador"/>
    <s v="1º Turno"/>
    <x v="1"/>
    <s v="Não"/>
    <x v="0"/>
    <d v="2025-11-19T00:00:00"/>
    <m/>
    <s v="qua"/>
    <x v="10"/>
    <x v="1"/>
    <m/>
    <s v="103945980"/>
  </r>
  <r>
    <n v="1039"/>
    <n v="58"/>
    <s v="Masculino"/>
    <s v="Montagem"/>
    <s v="Operador"/>
    <s v="1º Turno"/>
    <x v="1"/>
    <s v="Não"/>
    <x v="0"/>
    <d v="2025-11-18T00:00:00"/>
    <m/>
    <s v="ter"/>
    <x v="10"/>
    <x v="1"/>
    <m/>
    <s v="103945979"/>
  </r>
  <r>
    <n v="1039"/>
    <n v="58"/>
    <s v="Masculino"/>
    <s v="Montagem"/>
    <s v="Operador"/>
    <s v="1º Turno"/>
    <x v="1"/>
    <s v="Não"/>
    <x v="0"/>
    <d v="2025-11-17T00:00:00"/>
    <m/>
    <s v="seg"/>
    <x v="10"/>
    <x v="1"/>
    <m/>
    <s v="103945978"/>
  </r>
  <r>
    <n v="1039"/>
    <n v="58"/>
    <s v="Masculino"/>
    <s v="Montagem"/>
    <s v="Operador"/>
    <s v="1º Turno"/>
    <x v="1"/>
    <s v="Não"/>
    <x v="0"/>
    <d v="2025-11-16T00:00:00"/>
    <m/>
    <s v="dom"/>
    <x v="10"/>
    <x v="1"/>
    <m/>
    <s v="103945977"/>
  </r>
  <r>
    <n v="1039"/>
    <n v="58"/>
    <s v="Masculino"/>
    <s v="Montagem"/>
    <s v="Operador"/>
    <s v="1º Turno"/>
    <x v="1"/>
    <s v="Não"/>
    <x v="0"/>
    <d v="2025-11-15T00:00:00"/>
    <m/>
    <s v="sáb"/>
    <x v="10"/>
    <x v="1"/>
    <m/>
    <s v="103945976"/>
  </r>
  <r>
    <n v="1039"/>
    <n v="58"/>
    <s v="Masculino"/>
    <s v="Montagem"/>
    <s v="Operador"/>
    <s v="1º Turno"/>
    <x v="1"/>
    <s v="Não"/>
    <x v="0"/>
    <d v="2025-11-14T00:00:00"/>
    <m/>
    <s v="sex"/>
    <x v="10"/>
    <x v="1"/>
    <m/>
    <s v="103945975"/>
  </r>
  <r>
    <n v="1039"/>
    <n v="58"/>
    <s v="Masculino"/>
    <s v="Montagem"/>
    <s v="Operador"/>
    <s v="1º Turno"/>
    <x v="1"/>
    <s v="Não"/>
    <x v="0"/>
    <d v="2025-11-13T00:00:00"/>
    <m/>
    <s v="qui"/>
    <x v="10"/>
    <x v="1"/>
    <m/>
    <s v="103945974"/>
  </r>
  <r>
    <n v="1039"/>
    <n v="58"/>
    <s v="Masculino"/>
    <s v="Montagem"/>
    <s v="Operador"/>
    <s v="1º Turno"/>
    <x v="1"/>
    <s v="Não"/>
    <x v="0"/>
    <d v="2025-11-12T00:00:00"/>
    <m/>
    <s v="qua"/>
    <x v="10"/>
    <x v="1"/>
    <m/>
    <s v="103945973"/>
  </r>
  <r>
    <n v="1039"/>
    <n v="58"/>
    <s v="Masculino"/>
    <s v="Montagem"/>
    <s v="Operador"/>
    <s v="1º Turno"/>
    <x v="1"/>
    <s v="Não"/>
    <x v="0"/>
    <d v="2025-11-11T00:00:00"/>
    <m/>
    <s v="ter"/>
    <x v="10"/>
    <x v="1"/>
    <m/>
    <s v="103945972"/>
  </r>
  <r>
    <n v="1039"/>
    <n v="58"/>
    <s v="Masculino"/>
    <s v="Montagem"/>
    <s v="Operador"/>
    <s v="1º Turno"/>
    <x v="1"/>
    <s v="Não"/>
    <x v="0"/>
    <d v="2025-11-10T00:00:00"/>
    <m/>
    <s v="seg"/>
    <x v="10"/>
    <x v="1"/>
    <m/>
    <s v="103945971"/>
  </r>
  <r>
    <n v="1039"/>
    <n v="58"/>
    <s v="Masculino"/>
    <s v="Montagem"/>
    <s v="Operador"/>
    <s v="1º Turno"/>
    <x v="1"/>
    <s v="Não"/>
    <x v="0"/>
    <d v="2025-11-09T00:00:00"/>
    <m/>
    <s v="dom"/>
    <x v="10"/>
    <x v="1"/>
    <m/>
    <s v="103945970"/>
  </r>
  <r>
    <n v="1039"/>
    <n v="58"/>
    <s v="Masculino"/>
    <s v="Montagem"/>
    <s v="Operador"/>
    <s v="1º Turno"/>
    <x v="1"/>
    <s v="Não"/>
    <x v="0"/>
    <d v="2025-11-08T00:00:00"/>
    <m/>
    <s v="sáb"/>
    <x v="10"/>
    <x v="1"/>
    <m/>
    <s v="103945969"/>
  </r>
  <r>
    <n v="1039"/>
    <n v="58"/>
    <s v="Masculino"/>
    <s v="Montagem"/>
    <s v="Operador"/>
    <s v="1º Turno"/>
    <x v="1"/>
    <s v="Não"/>
    <x v="0"/>
    <d v="2025-11-07T00:00:00"/>
    <m/>
    <s v="sex"/>
    <x v="10"/>
    <x v="1"/>
    <m/>
    <s v="103945968"/>
  </r>
  <r>
    <n v="1039"/>
    <n v="58"/>
    <s v="Masculino"/>
    <s v="Montagem"/>
    <s v="Operador"/>
    <s v="1º Turno"/>
    <x v="1"/>
    <s v="Não"/>
    <x v="0"/>
    <d v="2025-11-06T00:00:00"/>
    <m/>
    <s v="qui"/>
    <x v="10"/>
    <x v="1"/>
    <m/>
    <s v="103945967"/>
  </r>
  <r>
    <n v="1039"/>
    <n v="58"/>
    <s v="Masculino"/>
    <s v="Montagem"/>
    <s v="Operador"/>
    <s v="1º Turno"/>
    <x v="1"/>
    <s v="Não"/>
    <x v="0"/>
    <d v="2025-11-05T00:00:00"/>
    <m/>
    <s v="qua"/>
    <x v="10"/>
    <x v="1"/>
    <m/>
    <s v="103945966"/>
  </r>
  <r>
    <n v="1039"/>
    <n v="58"/>
    <s v="Masculino"/>
    <s v="Montagem"/>
    <s v="Operador"/>
    <s v="1º Turno"/>
    <x v="1"/>
    <s v="Não"/>
    <x v="0"/>
    <d v="2025-11-04T00:00:00"/>
    <m/>
    <s v="ter"/>
    <x v="10"/>
    <x v="1"/>
    <m/>
    <s v="103945965"/>
  </r>
  <r>
    <n v="1039"/>
    <n v="58"/>
    <s v="Masculino"/>
    <s v="Montagem"/>
    <s v="Operador"/>
    <s v="1º Turno"/>
    <x v="1"/>
    <s v="Não"/>
    <x v="0"/>
    <d v="2025-11-03T00:00:00"/>
    <m/>
    <s v="seg"/>
    <x v="10"/>
    <x v="1"/>
    <m/>
    <s v="103945964"/>
  </r>
  <r>
    <n v="1039"/>
    <n v="58"/>
    <s v="Masculino"/>
    <s v="Montagem"/>
    <s v="Operador"/>
    <s v="1º Turno"/>
    <x v="1"/>
    <s v="Não"/>
    <x v="0"/>
    <d v="2025-11-02T00:00:00"/>
    <m/>
    <s v="dom"/>
    <x v="10"/>
    <x v="1"/>
    <m/>
    <s v="103945963"/>
  </r>
  <r>
    <n v="1039"/>
    <n v="58"/>
    <s v="Masculino"/>
    <s v="Montagem"/>
    <s v="Operador"/>
    <s v="1º Turno"/>
    <x v="1"/>
    <s v="Não"/>
    <x v="0"/>
    <d v="2025-11-01T00:00:00"/>
    <m/>
    <s v="sáb"/>
    <x v="10"/>
    <x v="1"/>
    <m/>
    <s v="103945962"/>
  </r>
  <r>
    <n v="1039"/>
    <n v="58"/>
    <s v="Masculino"/>
    <s v="Montagem"/>
    <s v="Operador"/>
    <s v="1º Turno"/>
    <x v="1"/>
    <s v="Não"/>
    <x v="0"/>
    <d v="2025-10-31T00:00:00"/>
    <m/>
    <s v="sex"/>
    <x v="11"/>
    <x v="1"/>
    <m/>
    <s v="103945961"/>
  </r>
  <r>
    <n v="1039"/>
    <n v="58"/>
    <s v="Masculino"/>
    <s v="Montagem"/>
    <s v="Operador"/>
    <s v="1º Turno"/>
    <x v="1"/>
    <s v="Não"/>
    <x v="0"/>
    <d v="2025-10-30T00:00:00"/>
    <m/>
    <s v="qui"/>
    <x v="11"/>
    <x v="1"/>
    <m/>
    <s v="103945960"/>
  </r>
  <r>
    <n v="1039"/>
    <n v="58"/>
    <s v="Masculino"/>
    <s v="Montagem"/>
    <s v="Operador"/>
    <s v="1º Turno"/>
    <x v="1"/>
    <s v="Não"/>
    <x v="0"/>
    <d v="2025-10-29T00:00:00"/>
    <m/>
    <s v="qua"/>
    <x v="11"/>
    <x v="1"/>
    <m/>
    <s v="103945959"/>
  </r>
  <r>
    <n v="1039"/>
    <n v="58"/>
    <s v="Masculino"/>
    <s v="Montagem"/>
    <s v="Operador"/>
    <s v="1º Turno"/>
    <x v="1"/>
    <s v="Não"/>
    <x v="0"/>
    <d v="2025-10-28T00:00:00"/>
    <m/>
    <s v="ter"/>
    <x v="11"/>
    <x v="1"/>
    <m/>
    <s v="103945958"/>
  </r>
  <r>
    <n v="1039"/>
    <n v="58"/>
    <s v="Masculino"/>
    <s v="Montagem"/>
    <s v="Operador"/>
    <s v="1º Turno"/>
    <x v="1"/>
    <s v="Não"/>
    <x v="0"/>
    <d v="2025-10-27T00:00:00"/>
    <m/>
    <s v="seg"/>
    <x v="11"/>
    <x v="1"/>
    <m/>
    <s v="103945957"/>
  </r>
  <r>
    <n v="1039"/>
    <n v="58"/>
    <s v="Masculino"/>
    <s v="Montagem"/>
    <s v="Operador"/>
    <s v="1º Turno"/>
    <x v="1"/>
    <s v="Não"/>
    <x v="0"/>
    <d v="2025-10-26T00:00:00"/>
    <m/>
    <s v="dom"/>
    <x v="11"/>
    <x v="1"/>
    <m/>
    <s v="103945956"/>
  </r>
  <r>
    <n v="1039"/>
    <n v="58"/>
    <s v="Masculino"/>
    <s v="Montagem"/>
    <s v="Operador"/>
    <s v="1º Turno"/>
    <x v="1"/>
    <s v="Não"/>
    <x v="0"/>
    <d v="2025-10-25T00:00:00"/>
    <m/>
    <s v="sáb"/>
    <x v="11"/>
    <x v="1"/>
    <m/>
    <s v="103945955"/>
  </r>
  <r>
    <n v="1039"/>
    <n v="58"/>
    <s v="Masculino"/>
    <s v="Montagem"/>
    <s v="Operador"/>
    <s v="1º Turno"/>
    <x v="1"/>
    <s v="Não"/>
    <x v="0"/>
    <d v="2025-10-24T00:00:00"/>
    <m/>
    <s v="sex"/>
    <x v="11"/>
    <x v="1"/>
    <m/>
    <s v="103945954"/>
  </r>
  <r>
    <n v="1039"/>
    <n v="58"/>
    <s v="Masculino"/>
    <s v="Montagem"/>
    <s v="Operador"/>
    <s v="1º Turno"/>
    <x v="1"/>
    <s v="Não"/>
    <x v="0"/>
    <d v="2025-10-23T00:00:00"/>
    <m/>
    <s v="qui"/>
    <x v="11"/>
    <x v="1"/>
    <m/>
    <s v="103945953"/>
  </r>
  <r>
    <n v="1039"/>
    <n v="58"/>
    <s v="Masculino"/>
    <s v="Montagem"/>
    <s v="Operador"/>
    <s v="1º Turno"/>
    <x v="1"/>
    <s v="Não"/>
    <x v="0"/>
    <d v="2025-10-22T00:00:00"/>
    <m/>
    <s v="qua"/>
    <x v="11"/>
    <x v="1"/>
    <m/>
    <s v="103945952"/>
  </r>
  <r>
    <n v="1039"/>
    <n v="58"/>
    <s v="Masculino"/>
    <s v="Montagem"/>
    <s v="Operador"/>
    <s v="1º Turno"/>
    <x v="1"/>
    <s v="Não"/>
    <x v="0"/>
    <d v="2025-10-21T00:00:00"/>
    <m/>
    <s v="ter"/>
    <x v="11"/>
    <x v="1"/>
    <m/>
    <s v="103945951"/>
  </r>
  <r>
    <n v="1039"/>
    <n v="58"/>
    <s v="Masculino"/>
    <s v="Montagem"/>
    <s v="Operador"/>
    <s v="1º Turno"/>
    <x v="1"/>
    <s v="Não"/>
    <x v="0"/>
    <d v="2025-10-20T00:00:00"/>
    <m/>
    <s v="seg"/>
    <x v="11"/>
    <x v="1"/>
    <m/>
    <s v="103945950"/>
  </r>
  <r>
    <n v="1039"/>
    <n v="58"/>
    <s v="Masculino"/>
    <s v="Montagem"/>
    <s v="Operador"/>
    <s v="1º Turno"/>
    <x v="1"/>
    <s v="Não"/>
    <x v="0"/>
    <d v="2025-10-19T00:00:00"/>
    <m/>
    <s v="dom"/>
    <x v="11"/>
    <x v="1"/>
    <m/>
    <s v="103945949"/>
  </r>
  <r>
    <n v="1039"/>
    <n v="58"/>
    <s v="Masculino"/>
    <s v="Montagem"/>
    <s v="Operador"/>
    <s v="1º Turno"/>
    <x v="1"/>
    <s v="Não"/>
    <x v="0"/>
    <d v="2025-10-18T00:00:00"/>
    <m/>
    <s v="sáb"/>
    <x v="11"/>
    <x v="1"/>
    <m/>
    <s v="103945948"/>
  </r>
  <r>
    <n v="1039"/>
    <n v="58"/>
    <s v="Masculino"/>
    <s v="Montagem"/>
    <s v="Operador"/>
    <s v="1º Turno"/>
    <x v="1"/>
    <s v="Não"/>
    <x v="0"/>
    <d v="2025-10-17T00:00:00"/>
    <m/>
    <s v="sex"/>
    <x v="11"/>
    <x v="1"/>
    <m/>
    <s v="103945947"/>
  </r>
  <r>
    <n v="1039"/>
    <n v="58"/>
    <s v="Masculino"/>
    <s v="Montagem"/>
    <s v="Operador"/>
    <s v="1º Turno"/>
    <x v="1"/>
    <s v="Não"/>
    <x v="0"/>
    <d v="2025-10-16T00:00:00"/>
    <m/>
    <s v="qui"/>
    <x v="11"/>
    <x v="1"/>
    <m/>
    <s v="103945946"/>
  </r>
  <r>
    <n v="1039"/>
    <n v="58"/>
    <s v="Masculino"/>
    <s v="Montagem"/>
    <s v="Operador"/>
    <s v="1º Turno"/>
    <x v="1"/>
    <s v="Não"/>
    <x v="0"/>
    <d v="2025-10-15T00:00:00"/>
    <m/>
    <s v="qua"/>
    <x v="11"/>
    <x v="1"/>
    <m/>
    <s v="103945945"/>
  </r>
  <r>
    <n v="1039"/>
    <n v="58"/>
    <s v="Masculino"/>
    <s v="Montagem"/>
    <s v="Operador"/>
    <s v="1º Turno"/>
    <x v="1"/>
    <s v="Não"/>
    <x v="0"/>
    <d v="2025-10-14T00:00:00"/>
    <m/>
    <s v="ter"/>
    <x v="11"/>
    <x v="1"/>
    <m/>
    <s v="103945944"/>
  </r>
  <r>
    <n v="1039"/>
    <n v="58"/>
    <s v="Masculino"/>
    <s v="Montagem"/>
    <s v="Operador"/>
    <s v="1º Turno"/>
    <x v="1"/>
    <s v="Não"/>
    <x v="0"/>
    <d v="2025-10-13T00:00:00"/>
    <m/>
    <s v="seg"/>
    <x v="11"/>
    <x v="1"/>
    <m/>
    <s v="103945943"/>
  </r>
  <r>
    <n v="1039"/>
    <n v="58"/>
    <s v="Masculino"/>
    <s v="Montagem"/>
    <s v="Operador"/>
    <s v="1º Turno"/>
    <x v="1"/>
    <s v="Não"/>
    <x v="0"/>
    <d v="2025-10-12T00:00:00"/>
    <m/>
    <s v="dom"/>
    <x v="11"/>
    <x v="1"/>
    <m/>
    <s v="103945942"/>
  </r>
  <r>
    <n v="1039"/>
    <n v="58"/>
    <s v="Masculino"/>
    <s v="Montagem"/>
    <s v="Operador"/>
    <s v="1º Turno"/>
    <x v="1"/>
    <s v="Não"/>
    <x v="0"/>
    <d v="2025-10-11T00:00:00"/>
    <m/>
    <s v="sáb"/>
    <x v="11"/>
    <x v="1"/>
    <m/>
    <s v="103945941"/>
  </r>
  <r>
    <n v="1039"/>
    <n v="58"/>
    <s v="Masculino"/>
    <s v="Montagem"/>
    <s v="Operador"/>
    <s v="1º Turno"/>
    <x v="1"/>
    <s v="Não"/>
    <x v="0"/>
    <d v="2025-10-10T00:00:00"/>
    <m/>
    <s v="sex"/>
    <x v="11"/>
    <x v="1"/>
    <m/>
    <s v="103945940"/>
  </r>
  <r>
    <n v="1039"/>
    <n v="58"/>
    <s v="Masculino"/>
    <s v="Montagem"/>
    <s v="Operador"/>
    <s v="1º Turno"/>
    <x v="1"/>
    <s v="Não"/>
    <x v="0"/>
    <d v="2025-10-09T00:00:00"/>
    <m/>
    <s v="qui"/>
    <x v="11"/>
    <x v="1"/>
    <m/>
    <s v="103945939"/>
  </r>
  <r>
    <n v="1039"/>
    <n v="58"/>
    <s v="Masculino"/>
    <s v="Montagem"/>
    <s v="Operador"/>
    <s v="1º Turno"/>
    <x v="1"/>
    <s v="Não"/>
    <x v="0"/>
    <d v="2025-10-08T00:00:00"/>
    <m/>
    <s v="qua"/>
    <x v="11"/>
    <x v="1"/>
    <m/>
    <s v="103945938"/>
  </r>
  <r>
    <n v="1039"/>
    <n v="58"/>
    <s v="Masculino"/>
    <s v="Montagem"/>
    <s v="Operador"/>
    <s v="1º Turno"/>
    <x v="1"/>
    <s v="Não"/>
    <x v="0"/>
    <d v="2025-10-07T00:00:00"/>
    <m/>
    <s v="ter"/>
    <x v="11"/>
    <x v="1"/>
    <m/>
    <s v="103945937"/>
  </r>
  <r>
    <n v="1039"/>
    <n v="58"/>
    <s v="Masculino"/>
    <s v="Montagem"/>
    <s v="Operador"/>
    <s v="1º Turno"/>
    <x v="1"/>
    <s v="Não"/>
    <x v="0"/>
    <d v="2025-10-06T00:00:00"/>
    <m/>
    <s v="seg"/>
    <x v="11"/>
    <x v="1"/>
    <m/>
    <s v="103945936"/>
  </r>
  <r>
    <n v="1039"/>
    <n v="58"/>
    <s v="Masculino"/>
    <s v="Montagem"/>
    <s v="Operador"/>
    <s v="1º Turno"/>
    <x v="1"/>
    <s v="Não"/>
    <x v="0"/>
    <d v="2025-10-05T00:00:00"/>
    <m/>
    <s v="dom"/>
    <x v="11"/>
    <x v="1"/>
    <m/>
    <s v="103945935"/>
  </r>
  <r>
    <n v="1039"/>
    <n v="58"/>
    <s v="Masculino"/>
    <s v="Montagem"/>
    <s v="Operador"/>
    <s v="1º Turno"/>
    <x v="1"/>
    <s v="Não"/>
    <x v="0"/>
    <d v="2025-10-04T00:00:00"/>
    <m/>
    <s v="sáb"/>
    <x v="11"/>
    <x v="1"/>
    <m/>
    <s v="103945934"/>
  </r>
  <r>
    <n v="1039"/>
    <n v="58"/>
    <s v="Masculino"/>
    <s v="Montagem"/>
    <s v="Operador"/>
    <s v="1º Turno"/>
    <x v="1"/>
    <s v="Não"/>
    <x v="0"/>
    <d v="2025-10-03T00:00:00"/>
    <m/>
    <s v="sex"/>
    <x v="11"/>
    <x v="1"/>
    <m/>
    <s v="103945933"/>
  </r>
  <r>
    <n v="1039"/>
    <n v="58"/>
    <s v="Masculino"/>
    <s v="Montagem"/>
    <s v="Operador"/>
    <s v="1º Turno"/>
    <x v="1"/>
    <s v="Não"/>
    <x v="0"/>
    <d v="2025-10-02T00:00:00"/>
    <m/>
    <s v="qui"/>
    <x v="11"/>
    <x v="1"/>
    <m/>
    <s v="103945932"/>
  </r>
  <r>
    <n v="1039"/>
    <n v="58"/>
    <s v="Masculino"/>
    <s v="Montagem"/>
    <s v="Operador"/>
    <s v="1º Turno"/>
    <x v="1"/>
    <s v="Não"/>
    <x v="0"/>
    <d v="2025-10-01T00:00:00"/>
    <m/>
    <s v="qua"/>
    <x v="11"/>
    <x v="1"/>
    <m/>
    <s v="103945931"/>
  </r>
  <r>
    <n v="1039"/>
    <n v="58"/>
    <s v="Masculino"/>
    <s v="Montagem"/>
    <s v="Operador"/>
    <s v="1º Turno"/>
    <x v="1"/>
    <s v="Não"/>
    <x v="0"/>
    <d v="2025-09-30T00:00:00"/>
    <m/>
    <s v="ter"/>
    <x v="7"/>
    <x v="1"/>
    <m/>
    <s v="103945930"/>
  </r>
  <r>
    <n v="1039"/>
    <n v="58"/>
    <s v="Masculino"/>
    <s v="Montagem"/>
    <s v="Operador"/>
    <s v="1º Turno"/>
    <x v="1"/>
    <s v="Não"/>
    <x v="0"/>
    <d v="2025-09-29T00:00:00"/>
    <m/>
    <s v="seg"/>
    <x v="7"/>
    <x v="1"/>
    <m/>
    <s v="103945929"/>
  </r>
  <r>
    <n v="1039"/>
    <n v="58"/>
    <s v="Masculino"/>
    <s v="Montagem"/>
    <s v="Operador"/>
    <s v="1º Turno"/>
    <x v="1"/>
    <s v="Não"/>
    <x v="0"/>
    <d v="2025-09-28T00:00:00"/>
    <m/>
    <s v="dom"/>
    <x v="7"/>
    <x v="1"/>
    <m/>
    <s v="103945928"/>
  </r>
  <r>
    <n v="1039"/>
    <n v="58"/>
    <s v="Masculino"/>
    <s v="Montagem"/>
    <s v="Operador"/>
    <s v="1º Turno"/>
    <x v="1"/>
    <s v="Não"/>
    <x v="0"/>
    <d v="2025-09-27T00:00:00"/>
    <m/>
    <s v="sáb"/>
    <x v="7"/>
    <x v="1"/>
    <m/>
    <s v="103945927"/>
  </r>
  <r>
    <n v="1039"/>
    <n v="58"/>
    <s v="Masculino"/>
    <s v="Montagem"/>
    <s v="Operador"/>
    <s v="1º Turno"/>
    <x v="1"/>
    <s v="Não"/>
    <x v="0"/>
    <d v="2025-09-26T00:00:00"/>
    <m/>
    <s v="sex"/>
    <x v="7"/>
    <x v="1"/>
    <m/>
    <s v="103945926"/>
  </r>
  <r>
    <n v="1039"/>
    <n v="58"/>
    <s v="Masculino"/>
    <s v="Montagem"/>
    <s v="Operador"/>
    <s v="1º Turno"/>
    <x v="1"/>
    <s v="Não"/>
    <x v="0"/>
    <d v="2025-09-25T00:00:00"/>
    <m/>
    <s v="qui"/>
    <x v="7"/>
    <x v="1"/>
    <m/>
    <s v="103945925"/>
  </r>
  <r>
    <n v="1039"/>
    <n v="58"/>
    <s v="Masculino"/>
    <s v="Montagem"/>
    <s v="Operador"/>
    <s v="1º Turno"/>
    <x v="1"/>
    <s v="Não"/>
    <x v="0"/>
    <d v="2025-09-24T00:00:00"/>
    <m/>
    <s v="qua"/>
    <x v="7"/>
    <x v="1"/>
    <m/>
    <s v="103945924"/>
  </r>
  <r>
    <n v="1039"/>
    <n v="58"/>
    <s v="Masculino"/>
    <s v="Montagem"/>
    <s v="Operador"/>
    <s v="1º Turno"/>
    <x v="1"/>
    <s v="Não"/>
    <x v="0"/>
    <d v="2025-09-23T00:00:00"/>
    <m/>
    <s v="ter"/>
    <x v="7"/>
    <x v="1"/>
    <m/>
    <s v="103945923"/>
  </r>
  <r>
    <n v="1001"/>
    <n v="58"/>
    <s v="Feminino"/>
    <s v="Montagem"/>
    <s v="Operador"/>
    <s v="2º Turno"/>
    <x v="1"/>
    <s v="Não"/>
    <x v="2"/>
    <d v="2025-03-04T00:00:00"/>
    <m/>
    <s v="ter"/>
    <x v="4"/>
    <x v="1"/>
    <m/>
    <s v="100145720"/>
  </r>
  <r>
    <n v="1001"/>
    <n v="58"/>
    <s v="Feminino"/>
    <s v="Montagem"/>
    <s v="Operador"/>
    <s v="2º Turno"/>
    <x v="1"/>
    <s v="Não"/>
    <x v="2"/>
    <d v="2025-03-06T00:00:00"/>
    <m/>
    <s v="qui"/>
    <x v="4"/>
    <x v="1"/>
    <m/>
    <s v="100145722"/>
  </r>
  <r>
    <n v="1001"/>
    <n v="58"/>
    <s v="Feminino"/>
    <s v="Montagem"/>
    <s v="Operador"/>
    <s v="2º Turno"/>
    <x v="1"/>
    <s v="Não"/>
    <x v="2"/>
    <d v="2025-03-08T00:00:00"/>
    <m/>
    <s v="sáb"/>
    <x v="4"/>
    <x v="1"/>
    <m/>
    <s v="100145724"/>
  </r>
  <r>
    <n v="1001"/>
    <n v="58"/>
    <s v="Feminino"/>
    <s v="Montagem"/>
    <s v="Operador"/>
    <s v="2º Turno"/>
    <x v="1"/>
    <s v="Não"/>
    <x v="2"/>
    <d v="2025-03-10T00:00:00"/>
    <m/>
    <s v="seg"/>
    <x v="4"/>
    <x v="1"/>
    <m/>
    <s v="100145726"/>
  </r>
  <r>
    <n v="1001"/>
    <n v="58"/>
    <s v="Feminino"/>
    <s v="Montagem"/>
    <s v="Operador"/>
    <s v="2º Turno"/>
    <x v="1"/>
    <s v="Não"/>
    <x v="2"/>
    <d v="2025-03-12T00:00:00"/>
    <m/>
    <s v="qua"/>
    <x v="4"/>
    <x v="1"/>
    <m/>
    <s v="100145728"/>
  </r>
  <r>
    <n v="1001"/>
    <n v="58"/>
    <s v="Feminino"/>
    <s v="Montagem"/>
    <s v="Operador"/>
    <s v="2º Turno"/>
    <x v="1"/>
    <s v="Não"/>
    <x v="2"/>
    <d v="2025-03-14T00:00:00"/>
    <m/>
    <s v="sex"/>
    <x v="4"/>
    <x v="1"/>
    <m/>
    <s v="100145730"/>
  </r>
  <r>
    <n v="1001"/>
    <n v="58"/>
    <s v="Feminino"/>
    <s v="Montagem"/>
    <s v="Operador"/>
    <s v="2º Turno"/>
    <x v="1"/>
    <s v="Não"/>
    <x v="2"/>
    <d v="2025-03-16T00:00:00"/>
    <m/>
    <s v="dom"/>
    <x v="4"/>
    <x v="1"/>
    <m/>
    <s v="100145732"/>
  </r>
  <r>
    <n v="1001"/>
    <n v="58"/>
    <s v="Feminino"/>
    <s v="Montagem"/>
    <s v="Operador"/>
    <s v="2º Turno"/>
    <x v="1"/>
    <s v="Não"/>
    <x v="2"/>
    <d v="2025-03-18T00:00:00"/>
    <m/>
    <s v="ter"/>
    <x v="4"/>
    <x v="1"/>
    <m/>
    <s v="100145734"/>
  </r>
  <r>
    <n v="1001"/>
    <n v="58"/>
    <s v="Feminino"/>
    <s v="Montagem"/>
    <s v="Operador"/>
    <s v="2º Turno"/>
    <x v="1"/>
    <s v="Não"/>
    <x v="2"/>
    <d v="2025-03-20T00:00:00"/>
    <m/>
    <s v="qui"/>
    <x v="4"/>
    <x v="1"/>
    <m/>
    <s v="100145736"/>
  </r>
  <r>
    <n v="1001"/>
    <n v="58"/>
    <s v="Feminino"/>
    <s v="Montagem"/>
    <s v="Operador"/>
    <s v="2º Turno"/>
    <x v="1"/>
    <s v="Não"/>
    <x v="2"/>
    <d v="2025-03-22T00:00:00"/>
    <m/>
    <s v="sáb"/>
    <x v="4"/>
    <x v="1"/>
    <m/>
    <s v="100145738"/>
  </r>
  <r>
    <n v="1001"/>
    <n v="58"/>
    <s v="Feminino"/>
    <s v="Montagem"/>
    <s v="Operador"/>
    <s v="2º Turno"/>
    <x v="1"/>
    <s v="Não"/>
    <x v="2"/>
    <d v="2025-03-24T00:00:00"/>
    <m/>
    <s v="seg"/>
    <x v="4"/>
    <x v="1"/>
    <m/>
    <s v="100145740"/>
  </r>
  <r>
    <n v="1001"/>
    <n v="58"/>
    <s v="Feminino"/>
    <s v="Montagem"/>
    <s v="Operador"/>
    <s v="2º Turno"/>
    <x v="1"/>
    <s v="Não"/>
    <x v="2"/>
    <d v="2025-03-26T00:00:00"/>
    <m/>
    <s v="qua"/>
    <x v="4"/>
    <x v="1"/>
    <m/>
    <s v="100145742"/>
  </r>
  <r>
    <n v="1001"/>
    <n v="58"/>
    <s v="Feminino"/>
    <s v="Montagem"/>
    <s v="Operador"/>
    <s v="2º Turno"/>
    <x v="1"/>
    <s v="Não"/>
    <x v="2"/>
    <d v="2025-03-28T00:00:00"/>
    <m/>
    <s v="sex"/>
    <x v="4"/>
    <x v="1"/>
    <m/>
    <s v="100145744"/>
  </r>
  <r>
    <n v="1001"/>
    <n v="58"/>
    <s v="Feminino"/>
    <s v="Montagem"/>
    <s v="Operador"/>
    <s v="2º Turno"/>
    <x v="1"/>
    <s v="Não"/>
    <x v="2"/>
    <d v="2025-03-30T00:00:00"/>
    <m/>
    <s v="dom"/>
    <x v="4"/>
    <x v="1"/>
    <m/>
    <s v="100145746"/>
  </r>
  <r>
    <n v="1001"/>
    <n v="58"/>
    <s v="Feminino"/>
    <s v="Montagem"/>
    <s v="Operador"/>
    <s v="2º Turno"/>
    <x v="1"/>
    <s v="Não"/>
    <x v="2"/>
    <d v="2025-04-01T00:00:00"/>
    <m/>
    <s v="ter"/>
    <x v="2"/>
    <x v="1"/>
    <m/>
    <s v="100145748"/>
  </r>
  <r>
    <n v="1001"/>
    <n v="58"/>
    <s v="Feminino"/>
    <s v="Montagem"/>
    <s v="Operador"/>
    <s v="2º Turno"/>
    <x v="1"/>
    <s v="Não"/>
    <x v="2"/>
    <d v="2025-04-03T00:00:00"/>
    <m/>
    <s v="qui"/>
    <x v="2"/>
    <x v="1"/>
    <m/>
    <s v="100145750"/>
  </r>
  <r>
    <n v="1001"/>
    <n v="58"/>
    <s v="Feminino"/>
    <s v="Montagem"/>
    <s v="Operador"/>
    <s v="2º Turno"/>
    <x v="1"/>
    <s v="Não"/>
    <x v="2"/>
    <d v="2025-04-05T00:00:00"/>
    <m/>
    <s v="sáb"/>
    <x v="2"/>
    <x v="1"/>
    <m/>
    <s v="100145752"/>
  </r>
  <r>
    <n v="1001"/>
    <n v="58"/>
    <s v="Feminino"/>
    <s v="Montagem"/>
    <s v="Operador"/>
    <s v="2º Turno"/>
    <x v="1"/>
    <s v="Não"/>
    <x v="2"/>
    <d v="2025-04-07T00:00:00"/>
    <m/>
    <s v="seg"/>
    <x v="2"/>
    <x v="1"/>
    <m/>
    <s v="100145754"/>
  </r>
  <r>
    <n v="1001"/>
    <n v="58"/>
    <s v="Feminino"/>
    <s v="Montagem"/>
    <s v="Operador"/>
    <s v="2º Turno"/>
    <x v="1"/>
    <s v="Não"/>
    <x v="2"/>
    <d v="2025-04-09T00:00:00"/>
    <m/>
    <s v="qua"/>
    <x v="2"/>
    <x v="1"/>
    <m/>
    <s v="100145756"/>
  </r>
  <r>
    <n v="1001"/>
    <n v="58"/>
    <s v="Feminino"/>
    <s v="Montagem"/>
    <s v="Operador"/>
    <s v="2º Turno"/>
    <x v="1"/>
    <s v="Não"/>
    <x v="2"/>
    <d v="2025-04-11T00:00:00"/>
    <m/>
    <s v="sex"/>
    <x v="2"/>
    <x v="1"/>
    <m/>
    <s v="100145758"/>
  </r>
  <r>
    <n v="1001"/>
    <n v="58"/>
    <s v="Feminino"/>
    <s v="Montagem"/>
    <s v="Operador"/>
    <s v="2º Turno"/>
    <x v="1"/>
    <s v="Não"/>
    <x v="2"/>
    <d v="2025-04-13T00:00:00"/>
    <m/>
    <s v="dom"/>
    <x v="2"/>
    <x v="1"/>
    <m/>
    <s v="100145760"/>
  </r>
  <r>
    <n v="1001"/>
    <n v="58"/>
    <s v="Feminino"/>
    <s v="Montagem"/>
    <s v="Operador"/>
    <s v="2º Turno"/>
    <x v="1"/>
    <s v="Não"/>
    <x v="2"/>
    <d v="2025-04-15T00:00:00"/>
    <m/>
    <s v="ter"/>
    <x v="2"/>
    <x v="1"/>
    <m/>
    <s v="100145762"/>
  </r>
  <r>
    <n v="1001"/>
    <n v="58"/>
    <s v="Feminino"/>
    <s v="Montagem"/>
    <s v="Operador"/>
    <s v="2º Turno"/>
    <x v="1"/>
    <s v="Não"/>
    <x v="2"/>
    <d v="2025-04-17T00:00:00"/>
    <m/>
    <s v="qui"/>
    <x v="2"/>
    <x v="1"/>
    <m/>
    <s v="100145764"/>
  </r>
  <r>
    <m/>
    <m/>
    <m/>
    <m/>
    <m/>
    <m/>
    <x v="6"/>
    <m/>
    <x v="3"/>
    <m/>
    <m/>
    <m/>
    <x v="12"/>
    <x v="2"/>
    <m/>
    <m/>
  </r>
  <r>
    <m/>
    <m/>
    <m/>
    <m/>
    <m/>
    <m/>
    <x v="6"/>
    <m/>
    <x v="3"/>
    <m/>
    <m/>
    <m/>
    <x v="12"/>
    <x v="2"/>
    <m/>
    <m/>
  </r>
  <r>
    <m/>
    <m/>
    <m/>
    <m/>
    <m/>
    <m/>
    <x v="6"/>
    <m/>
    <x v="3"/>
    <m/>
    <m/>
    <m/>
    <x v="12"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B03EA-6884-4B8F-A5E0-8B0AD19C37A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5:F13" firstHeaderRow="1" firstDataRow="2" firstDataCol="1" rowPageCount="1" colPageCount="1"/>
  <pivotFields count="16">
    <pivotField dataField="1" showAll="0"/>
    <pivotField showAll="0"/>
    <pivotField showAll="0"/>
    <pivotField showAll="0"/>
    <pivotField showAll="0"/>
    <pivotField showAll="0"/>
    <pivotField axis="axisRow" showAll="0">
      <items count="8">
        <item x="1"/>
        <item x="4"/>
        <item x="5"/>
        <item x="2"/>
        <item x="0"/>
        <item x="3"/>
        <item h="1" x="6"/>
        <item t="default"/>
      </items>
    </pivotField>
    <pivotField showAll="0"/>
    <pivotField axis="axisPage" showAll="0">
      <items count="5">
        <item x="2"/>
        <item x="1"/>
        <item x="0"/>
        <item x="3"/>
        <item t="default"/>
      </items>
    </pivotField>
    <pivotField numFmtId="14" showAll="0"/>
    <pivotField showAll="0"/>
    <pivotField showAll="0"/>
    <pivotField showAll="0"/>
    <pivotField axis="axisCol" showAll="0">
      <items count="5">
        <item x="1"/>
        <item x="0"/>
        <item x="2"/>
        <item m="1" x="3"/>
        <item t="default"/>
      </items>
    </pivotField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pageFields count="1">
    <pageField fld="8" hier="-1"/>
  </pageFields>
  <dataFields count="1">
    <dataField name="Contagem de ID" fld="0" subtotal="count" baseField="6" baseItem="0"/>
  </dataFields>
  <formats count="3">
    <format dxfId="3">
      <pivotArea outline="0" collapsedLevelsAreSubtotals="1" fieldPosition="0"/>
    </format>
    <format dxfId="2">
      <pivotArea dataOnly="0" labelOnly="1" fieldPosition="0">
        <references count="1">
          <reference field="13" count="0"/>
        </references>
      </pivotArea>
    </format>
    <format dxfId="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09DD0-A28E-446C-8165-0BC7A262F623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5:M19" firstHeaderRow="1" firstDataRow="2" firstDataCol="1" rowPageCount="1" colPageCount="1"/>
  <pivotFields count="16"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Page" showAll="0">
      <items count="5">
        <item x="2"/>
        <item x="1"/>
        <item x="0"/>
        <item x="3"/>
        <item t="default"/>
      </items>
    </pivotField>
    <pivotField numFmtId="14" showAll="0"/>
    <pivotField showAll="0"/>
    <pivotField showAll="0"/>
    <pivotField axis="axisRow" showAll="0">
      <items count="14">
        <item x="5"/>
        <item x="3"/>
        <item x="4"/>
        <item x="2"/>
        <item x="0"/>
        <item x="1"/>
        <item x="6"/>
        <item x="9"/>
        <item x="7"/>
        <item x="11"/>
        <item x="10"/>
        <item x="8"/>
        <item h="1" x="12"/>
        <item t="default"/>
      </items>
    </pivotField>
    <pivotField axis="axisCol" showAll="0">
      <items count="5">
        <item x="1"/>
        <item x="0"/>
        <item x="2"/>
        <item m="1" x="3"/>
        <item t="default"/>
      </items>
    </pivotField>
    <pivotField showAll="0"/>
    <pivotField showAll="0"/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3"/>
  </colFields>
  <colItems count="3">
    <i>
      <x/>
    </i>
    <i>
      <x v="1"/>
    </i>
    <i t="grand">
      <x/>
    </i>
  </colItems>
  <pageFields count="1">
    <pageField fld="8" hier="-1"/>
  </pageFields>
  <dataFields count="1">
    <dataField name="Contagem de FaltasAno" fld="6" subtotal="count" baseField="0" baseItem="0"/>
  </dataFields>
  <formats count="3">
    <format dxfId="6">
      <pivotArea outline="0" collapsedLevelsAreSubtotals="1" fieldPosition="0"/>
    </format>
    <format dxfId="5">
      <pivotArea dataOnly="0" labelOnly="1" fieldPosition="0">
        <references count="1">
          <reference field="13" count="0"/>
        </references>
      </pivotArea>
    </format>
    <format dxfId="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1201"/>
  <sheetViews>
    <sheetView topLeftCell="A1147" workbookViewId="0">
      <selection activeCell="Q1181" sqref="Q1181:Q1188"/>
    </sheetView>
  </sheetViews>
  <sheetFormatPr defaultRowHeight="14.4" x14ac:dyDescent="0.3"/>
  <cols>
    <col min="3" max="3" width="9.33203125" bestFit="1" customWidth="1"/>
    <col min="7" max="7" width="21.33203125" bestFit="1" customWidth="1"/>
    <col min="10" max="10" width="10.5546875" bestFit="1" customWidth="1"/>
    <col min="17" max="17" width="8.88671875" style="1"/>
    <col min="18" max="19" width="10.5546875" bestFit="1" customWidth="1"/>
    <col min="20" max="20" width="8.88671875" style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s="1" t="s">
        <v>35</v>
      </c>
      <c r="R1" t="s">
        <v>47</v>
      </c>
      <c r="S1" t="s">
        <v>46</v>
      </c>
      <c r="T1" s="1" t="s">
        <v>37</v>
      </c>
      <c r="U1" t="s">
        <v>38</v>
      </c>
      <c r="V1" s="1" t="s">
        <v>39</v>
      </c>
    </row>
    <row r="2" spans="1:23" hidden="1" x14ac:dyDescent="0.3">
      <c r="A2">
        <v>1780</v>
      </c>
      <c r="B2">
        <v>18</v>
      </c>
      <c r="C2" t="s">
        <v>15</v>
      </c>
      <c r="D2" t="s">
        <v>29</v>
      </c>
      <c r="E2" t="s">
        <v>17</v>
      </c>
      <c r="F2" t="s">
        <v>23</v>
      </c>
      <c r="G2">
        <v>55</v>
      </c>
      <c r="H2">
        <v>5622</v>
      </c>
      <c r="I2" t="s">
        <v>30</v>
      </c>
      <c r="J2" s="2">
        <v>44084</v>
      </c>
      <c r="K2">
        <v>35</v>
      </c>
      <c r="L2" t="s">
        <v>25</v>
      </c>
      <c r="M2">
        <v>4</v>
      </c>
      <c r="N2">
        <v>7</v>
      </c>
      <c r="O2">
        <v>2</v>
      </c>
      <c r="P2" t="s">
        <v>20</v>
      </c>
      <c r="Q2" s="1">
        <v>3</v>
      </c>
      <c r="R2" s="2">
        <v>46174</v>
      </c>
      <c r="S2" s="2">
        <v>45757</v>
      </c>
      <c r="T2" s="1" t="str">
        <f t="shared" ref="T2:T65" si="0">TEXT($J2,"ddd")</f>
        <v>qui</v>
      </c>
      <c r="U2" s="1" t="str">
        <f t="shared" ref="U2:U65" si="1">TEXT($J2,"mmm")</f>
        <v>set</v>
      </c>
      <c r="V2">
        <f t="shared" ref="V2:V65" si="2">YEAR(J2)</f>
        <v>2020</v>
      </c>
      <c r="W2">
        <f>_xlfn.XLOOKUP(A2,Absenteismo!A:A,Absenteismo!A:A,0)</f>
        <v>1780</v>
      </c>
    </row>
    <row r="3" spans="1:23" hidden="1" x14ac:dyDescent="0.3">
      <c r="A3">
        <v>1361</v>
      </c>
      <c r="B3">
        <v>18</v>
      </c>
      <c r="C3" t="s">
        <v>26</v>
      </c>
      <c r="D3" t="s">
        <v>29</v>
      </c>
      <c r="E3" t="s">
        <v>17</v>
      </c>
      <c r="F3" t="s">
        <v>18</v>
      </c>
      <c r="G3">
        <v>44</v>
      </c>
      <c r="H3">
        <v>4310</v>
      </c>
      <c r="I3" t="s">
        <v>30</v>
      </c>
      <c r="J3" s="2">
        <v>44476</v>
      </c>
      <c r="K3">
        <v>17</v>
      </c>
      <c r="L3" t="s">
        <v>25</v>
      </c>
      <c r="M3">
        <v>30</v>
      </c>
      <c r="N3">
        <v>1</v>
      </c>
      <c r="O3">
        <v>2</v>
      </c>
      <c r="P3" t="s">
        <v>20</v>
      </c>
      <c r="Q3" s="1">
        <v>1</v>
      </c>
      <c r="R3" s="2">
        <v>46174</v>
      </c>
      <c r="S3" s="2">
        <v>45815</v>
      </c>
      <c r="T3" s="1" t="str">
        <f t="shared" si="0"/>
        <v>qui</v>
      </c>
      <c r="U3" s="1" t="str">
        <f t="shared" si="1"/>
        <v>out</v>
      </c>
      <c r="V3">
        <f t="shared" si="2"/>
        <v>2021</v>
      </c>
      <c r="W3">
        <f>_xlfn.XLOOKUP(A3,Absenteismo!A:A,Absenteismo!A:A,0)</f>
        <v>1361</v>
      </c>
    </row>
    <row r="4" spans="1:23" hidden="1" x14ac:dyDescent="0.3">
      <c r="A4">
        <v>1180</v>
      </c>
      <c r="B4">
        <v>18</v>
      </c>
      <c r="C4" t="s">
        <v>15</v>
      </c>
      <c r="D4" t="s">
        <v>29</v>
      </c>
      <c r="E4" t="s">
        <v>17</v>
      </c>
      <c r="F4" t="s">
        <v>23</v>
      </c>
      <c r="G4">
        <v>55</v>
      </c>
      <c r="H4">
        <v>5622</v>
      </c>
      <c r="I4" t="s">
        <v>30</v>
      </c>
      <c r="J4" s="2">
        <v>44342</v>
      </c>
      <c r="K4">
        <v>35</v>
      </c>
      <c r="L4" t="s">
        <v>25</v>
      </c>
      <c r="M4">
        <v>4</v>
      </c>
      <c r="N4">
        <v>7</v>
      </c>
      <c r="O4">
        <v>2</v>
      </c>
      <c r="P4" t="s">
        <v>20</v>
      </c>
      <c r="Q4" s="1">
        <v>1</v>
      </c>
      <c r="R4" s="2">
        <v>46174</v>
      </c>
      <c r="S4" s="2">
        <v>46017</v>
      </c>
      <c r="T4" s="1" t="str">
        <f t="shared" si="0"/>
        <v>qua</v>
      </c>
      <c r="U4" s="1" t="str">
        <f t="shared" si="1"/>
        <v>mai</v>
      </c>
      <c r="V4">
        <f t="shared" si="2"/>
        <v>2021</v>
      </c>
      <c r="W4">
        <f>_xlfn.XLOOKUP(A4,Absenteismo!A:A,Absenteismo!A:A,0)</f>
        <v>1180</v>
      </c>
    </row>
    <row r="5" spans="1:23" hidden="1" x14ac:dyDescent="0.3">
      <c r="A5">
        <v>1661</v>
      </c>
      <c r="B5">
        <v>18</v>
      </c>
      <c r="C5" t="s">
        <v>26</v>
      </c>
      <c r="D5" t="s">
        <v>29</v>
      </c>
      <c r="E5" t="s">
        <v>17</v>
      </c>
      <c r="F5" t="s">
        <v>18</v>
      </c>
      <c r="G5">
        <v>44</v>
      </c>
      <c r="H5">
        <v>4310</v>
      </c>
      <c r="I5" t="s">
        <v>30</v>
      </c>
      <c r="J5" s="2">
        <v>44734</v>
      </c>
      <c r="K5">
        <v>17</v>
      </c>
      <c r="L5" t="s">
        <v>25</v>
      </c>
      <c r="M5">
        <v>30</v>
      </c>
      <c r="N5">
        <v>1</v>
      </c>
      <c r="O5">
        <v>2</v>
      </c>
      <c r="P5" t="s">
        <v>20</v>
      </c>
      <c r="Q5" s="1">
        <v>1</v>
      </c>
      <c r="R5" s="2">
        <v>46174</v>
      </c>
      <c r="S5" s="2">
        <v>46075</v>
      </c>
      <c r="T5" s="1" t="str">
        <f t="shared" si="0"/>
        <v>qua</v>
      </c>
      <c r="U5" s="1" t="str">
        <f t="shared" si="1"/>
        <v>jun</v>
      </c>
      <c r="V5">
        <f t="shared" si="2"/>
        <v>2022</v>
      </c>
      <c r="W5">
        <f>_xlfn.XLOOKUP(A5,Absenteismo!A:A,Absenteismo!A:A,0)</f>
        <v>1661</v>
      </c>
    </row>
    <row r="6" spans="1:23" x14ac:dyDescent="0.3">
      <c r="A6">
        <v>1061</v>
      </c>
      <c r="B6">
        <v>18</v>
      </c>
      <c r="C6" t="s">
        <v>26</v>
      </c>
      <c r="D6" t="s">
        <v>29</v>
      </c>
      <c r="E6" t="s">
        <v>17</v>
      </c>
      <c r="F6" t="s">
        <v>18</v>
      </c>
      <c r="G6">
        <v>44</v>
      </c>
      <c r="H6">
        <v>4310</v>
      </c>
      <c r="I6" t="s">
        <v>30</v>
      </c>
      <c r="J6" s="2">
        <v>44762</v>
      </c>
      <c r="K6">
        <v>17</v>
      </c>
      <c r="L6" t="s">
        <v>25</v>
      </c>
      <c r="M6">
        <v>30</v>
      </c>
      <c r="N6">
        <v>1</v>
      </c>
      <c r="O6">
        <v>2</v>
      </c>
      <c r="P6" t="s">
        <v>20</v>
      </c>
      <c r="Q6" s="1">
        <v>1</v>
      </c>
      <c r="R6" s="2">
        <v>46174</v>
      </c>
      <c r="S6" s="2">
        <v>46101</v>
      </c>
      <c r="T6" s="1" t="str">
        <f t="shared" si="0"/>
        <v>qua</v>
      </c>
      <c r="U6" s="1" t="str">
        <f t="shared" si="1"/>
        <v>jul</v>
      </c>
      <c r="V6">
        <f t="shared" si="2"/>
        <v>2022</v>
      </c>
      <c r="W6">
        <f>_xlfn.XLOOKUP(A6,Absenteismo!A:A,Absenteismo!A:A,0)</f>
        <v>0</v>
      </c>
    </row>
    <row r="7" spans="1:23" hidden="1" x14ac:dyDescent="0.3">
      <c r="A7">
        <v>1480</v>
      </c>
      <c r="B7">
        <v>18</v>
      </c>
      <c r="C7" t="s">
        <v>15</v>
      </c>
      <c r="D7" t="s">
        <v>29</v>
      </c>
      <c r="E7" t="s">
        <v>17</v>
      </c>
      <c r="F7" t="s">
        <v>23</v>
      </c>
      <c r="G7">
        <v>55</v>
      </c>
      <c r="H7">
        <v>5622</v>
      </c>
      <c r="I7" t="s">
        <v>30</v>
      </c>
      <c r="J7" s="2">
        <v>44522</v>
      </c>
      <c r="K7">
        <v>35</v>
      </c>
      <c r="L7" t="s">
        <v>25</v>
      </c>
      <c r="M7">
        <v>4</v>
      </c>
      <c r="N7">
        <v>7</v>
      </c>
      <c r="O7">
        <v>2</v>
      </c>
      <c r="P7" t="s">
        <v>20</v>
      </c>
      <c r="Q7" s="1">
        <v>3</v>
      </c>
      <c r="R7" s="2">
        <v>46174</v>
      </c>
      <c r="S7" s="2">
        <v>46195</v>
      </c>
      <c r="T7" s="1" t="str">
        <f t="shared" si="0"/>
        <v>seg</v>
      </c>
      <c r="U7" s="1" t="str">
        <f t="shared" si="1"/>
        <v>nov</v>
      </c>
      <c r="V7">
        <f t="shared" si="2"/>
        <v>2021</v>
      </c>
      <c r="W7">
        <f>_xlfn.XLOOKUP(A7,Absenteismo!A:A,Absenteismo!A:A,0)</f>
        <v>1480</v>
      </c>
    </row>
    <row r="8" spans="1:23" x14ac:dyDescent="0.3">
      <c r="A8">
        <v>1016</v>
      </c>
      <c r="B8">
        <v>18</v>
      </c>
      <c r="C8" t="s">
        <v>15</v>
      </c>
      <c r="D8" t="s">
        <v>27</v>
      </c>
      <c r="E8" t="s">
        <v>17</v>
      </c>
      <c r="F8" t="s">
        <v>23</v>
      </c>
      <c r="G8">
        <v>30</v>
      </c>
      <c r="H8">
        <v>3352</v>
      </c>
      <c r="I8" t="s">
        <v>30</v>
      </c>
      <c r="J8" s="2">
        <v>45220</v>
      </c>
      <c r="K8">
        <v>40</v>
      </c>
      <c r="L8" t="s">
        <v>20</v>
      </c>
      <c r="M8">
        <v>32</v>
      </c>
      <c r="N8">
        <v>3</v>
      </c>
      <c r="O8">
        <v>4</v>
      </c>
      <c r="P8" t="s">
        <v>25</v>
      </c>
      <c r="Q8" s="1">
        <v>2</v>
      </c>
      <c r="R8" s="2">
        <v>46174</v>
      </c>
      <c r="S8" s="2"/>
      <c r="T8" s="1" t="str">
        <f t="shared" si="0"/>
        <v>sáb</v>
      </c>
      <c r="U8" s="1" t="str">
        <f t="shared" si="1"/>
        <v>out</v>
      </c>
      <c r="V8">
        <f t="shared" si="2"/>
        <v>2023</v>
      </c>
      <c r="W8">
        <f>_xlfn.XLOOKUP(A8,Absenteismo!A:A,Absenteismo!A:A,0)</f>
        <v>0</v>
      </c>
    </row>
    <row r="9" spans="1:23" hidden="1" x14ac:dyDescent="0.3">
      <c r="A9">
        <v>1316</v>
      </c>
      <c r="B9">
        <v>18</v>
      </c>
      <c r="C9" t="s">
        <v>15</v>
      </c>
      <c r="D9" t="s">
        <v>27</v>
      </c>
      <c r="E9" t="s">
        <v>17</v>
      </c>
      <c r="F9" t="s">
        <v>23</v>
      </c>
      <c r="G9">
        <v>30</v>
      </c>
      <c r="H9">
        <v>3352</v>
      </c>
      <c r="I9" t="s">
        <v>30</v>
      </c>
      <c r="J9" s="2">
        <v>45261</v>
      </c>
      <c r="K9">
        <v>56</v>
      </c>
      <c r="L9" t="s">
        <v>20</v>
      </c>
      <c r="M9">
        <v>32</v>
      </c>
      <c r="N9">
        <v>3</v>
      </c>
      <c r="O9">
        <v>4</v>
      </c>
      <c r="P9" t="s">
        <v>25</v>
      </c>
      <c r="Q9" s="1">
        <v>2</v>
      </c>
      <c r="R9" s="2">
        <v>46174</v>
      </c>
      <c r="S9" s="2"/>
      <c r="T9" s="1" t="str">
        <f t="shared" si="0"/>
        <v>sex</v>
      </c>
      <c r="U9" s="1" t="str">
        <f t="shared" si="1"/>
        <v>dez</v>
      </c>
      <c r="V9">
        <f t="shared" si="2"/>
        <v>2023</v>
      </c>
      <c r="W9">
        <f>_xlfn.XLOOKUP(A9,Absenteismo!A:A,Absenteismo!A:A,0)</f>
        <v>1316</v>
      </c>
    </row>
    <row r="10" spans="1:23" hidden="1" x14ac:dyDescent="0.3">
      <c r="A10">
        <v>1616</v>
      </c>
      <c r="B10">
        <v>18</v>
      </c>
      <c r="C10" t="s">
        <v>15</v>
      </c>
      <c r="D10" t="s">
        <v>27</v>
      </c>
      <c r="E10" t="s">
        <v>17</v>
      </c>
      <c r="F10" t="s">
        <v>23</v>
      </c>
      <c r="G10">
        <v>30</v>
      </c>
      <c r="H10">
        <v>3352</v>
      </c>
      <c r="I10" t="s">
        <v>30</v>
      </c>
      <c r="J10" s="2">
        <v>44925</v>
      </c>
      <c r="K10">
        <v>56</v>
      </c>
      <c r="L10" t="s">
        <v>20</v>
      </c>
      <c r="M10">
        <v>32</v>
      </c>
      <c r="N10">
        <v>3</v>
      </c>
      <c r="O10">
        <v>4</v>
      </c>
      <c r="P10" t="s">
        <v>25</v>
      </c>
      <c r="Q10" s="1">
        <v>3</v>
      </c>
      <c r="R10" s="2">
        <v>46174</v>
      </c>
      <c r="S10" s="2"/>
      <c r="T10" s="1" t="str">
        <f t="shared" si="0"/>
        <v>sex</v>
      </c>
      <c r="U10" s="1" t="str">
        <f t="shared" si="1"/>
        <v>dez</v>
      </c>
      <c r="V10">
        <f t="shared" si="2"/>
        <v>2022</v>
      </c>
      <c r="W10">
        <f>_xlfn.XLOOKUP(A10,Absenteismo!A:A,Absenteismo!A:A,0)</f>
        <v>1616</v>
      </c>
    </row>
    <row r="11" spans="1:23" hidden="1" x14ac:dyDescent="0.3">
      <c r="A11">
        <v>1916</v>
      </c>
      <c r="B11">
        <v>18</v>
      </c>
      <c r="C11" t="s">
        <v>15</v>
      </c>
      <c r="D11" t="s">
        <v>27</v>
      </c>
      <c r="E11" t="s">
        <v>17</v>
      </c>
      <c r="F11" t="s">
        <v>23</v>
      </c>
      <c r="G11">
        <v>30</v>
      </c>
      <c r="H11">
        <v>3352</v>
      </c>
      <c r="I11" t="s">
        <v>30</v>
      </c>
      <c r="J11" s="2">
        <v>45226</v>
      </c>
      <c r="K11">
        <v>56</v>
      </c>
      <c r="L11" t="s">
        <v>20</v>
      </c>
      <c r="M11">
        <v>32</v>
      </c>
      <c r="N11">
        <v>3</v>
      </c>
      <c r="O11">
        <v>4</v>
      </c>
      <c r="P11" t="s">
        <v>25</v>
      </c>
      <c r="Q11" s="1">
        <v>1</v>
      </c>
      <c r="R11" s="2">
        <v>46174</v>
      </c>
      <c r="S11" s="2"/>
      <c r="T11" s="1" t="str">
        <f t="shared" si="0"/>
        <v>sex</v>
      </c>
      <c r="U11" s="1" t="str">
        <f t="shared" si="1"/>
        <v>out</v>
      </c>
      <c r="V11">
        <f t="shared" si="2"/>
        <v>2023</v>
      </c>
      <c r="W11">
        <f>_xlfn.XLOOKUP(A11,Absenteismo!A:A,Absenteismo!A:A,0)</f>
        <v>1916</v>
      </c>
    </row>
    <row r="12" spans="1:23" hidden="1" x14ac:dyDescent="0.3">
      <c r="A12">
        <v>1961</v>
      </c>
      <c r="B12">
        <v>18</v>
      </c>
      <c r="C12" t="s">
        <v>26</v>
      </c>
      <c r="D12" t="s">
        <v>29</v>
      </c>
      <c r="E12" t="s">
        <v>17</v>
      </c>
      <c r="F12" t="s">
        <v>18</v>
      </c>
      <c r="G12">
        <v>44</v>
      </c>
      <c r="H12">
        <v>4310</v>
      </c>
      <c r="I12" t="s">
        <v>30</v>
      </c>
      <c r="J12" s="2">
        <v>44486</v>
      </c>
      <c r="K12">
        <v>17</v>
      </c>
      <c r="L12" t="s">
        <v>25</v>
      </c>
      <c r="M12">
        <v>30</v>
      </c>
      <c r="N12">
        <v>1</v>
      </c>
      <c r="O12">
        <v>2</v>
      </c>
      <c r="P12" t="s">
        <v>25</v>
      </c>
      <c r="Q12" s="1">
        <v>1</v>
      </c>
      <c r="R12" s="2">
        <v>46174</v>
      </c>
      <c r="S12" s="2"/>
      <c r="T12" s="1" t="str">
        <f t="shared" si="0"/>
        <v>dom</v>
      </c>
      <c r="U12" s="1" t="str">
        <f t="shared" si="1"/>
        <v>out</v>
      </c>
      <c r="V12">
        <f t="shared" si="2"/>
        <v>2021</v>
      </c>
      <c r="W12">
        <f>_xlfn.XLOOKUP(A12,Absenteismo!A:A,Absenteismo!A:A,0)</f>
        <v>1961</v>
      </c>
    </row>
    <row r="13" spans="1:23" hidden="1" x14ac:dyDescent="0.3">
      <c r="A13">
        <v>2080</v>
      </c>
      <c r="B13">
        <v>18</v>
      </c>
      <c r="C13" t="s">
        <v>15</v>
      </c>
      <c r="D13" t="s">
        <v>29</v>
      </c>
      <c r="E13" t="s">
        <v>17</v>
      </c>
      <c r="F13" t="s">
        <v>23</v>
      </c>
      <c r="G13">
        <v>55</v>
      </c>
      <c r="H13">
        <v>5622</v>
      </c>
      <c r="I13" t="s">
        <v>30</v>
      </c>
      <c r="J13" s="2">
        <v>44319</v>
      </c>
      <c r="K13">
        <v>35</v>
      </c>
      <c r="L13" t="s">
        <v>25</v>
      </c>
      <c r="M13">
        <v>4</v>
      </c>
      <c r="N13">
        <v>7</v>
      </c>
      <c r="O13">
        <v>2</v>
      </c>
      <c r="P13" t="s">
        <v>25</v>
      </c>
      <c r="Q13" s="1">
        <v>3</v>
      </c>
      <c r="R13" s="2">
        <v>46174</v>
      </c>
      <c r="S13" s="2"/>
      <c r="T13" s="1" t="str">
        <f t="shared" si="0"/>
        <v>seg</v>
      </c>
      <c r="U13" s="1" t="str">
        <f t="shared" si="1"/>
        <v>mai</v>
      </c>
      <c r="V13">
        <f t="shared" si="2"/>
        <v>2021</v>
      </c>
      <c r="W13">
        <f>_xlfn.XLOOKUP(A13,Absenteismo!A:A,Absenteismo!A:A,0)</f>
        <v>2080</v>
      </c>
    </row>
    <row r="14" spans="1:23" hidden="1" x14ac:dyDescent="0.3">
      <c r="A14">
        <v>1269</v>
      </c>
      <c r="B14">
        <v>19</v>
      </c>
      <c r="C14" t="s">
        <v>26</v>
      </c>
      <c r="D14" t="s">
        <v>16</v>
      </c>
      <c r="E14" t="s">
        <v>17</v>
      </c>
      <c r="F14" t="s">
        <v>18</v>
      </c>
      <c r="G14">
        <v>68</v>
      </c>
      <c r="H14">
        <v>5728</v>
      </c>
      <c r="I14" t="s">
        <v>28</v>
      </c>
      <c r="J14" s="2">
        <v>43817</v>
      </c>
      <c r="K14">
        <v>15</v>
      </c>
      <c r="L14" t="s">
        <v>25</v>
      </c>
      <c r="M14">
        <v>6</v>
      </c>
      <c r="N14">
        <v>3</v>
      </c>
      <c r="O14">
        <v>3</v>
      </c>
      <c r="P14" t="s">
        <v>20</v>
      </c>
      <c r="Q14" s="1">
        <v>1</v>
      </c>
      <c r="R14" s="2">
        <v>46174</v>
      </c>
      <c r="S14" s="2">
        <v>45887</v>
      </c>
      <c r="T14" s="1" t="str">
        <f t="shared" si="0"/>
        <v>qua</v>
      </c>
      <c r="U14" s="1" t="str">
        <f t="shared" si="1"/>
        <v>dez</v>
      </c>
      <c r="V14">
        <f t="shared" si="2"/>
        <v>2019</v>
      </c>
      <c r="W14">
        <f>_xlfn.XLOOKUP(A14,Absenteismo!A:A,Absenteismo!A:A,0)</f>
        <v>1269</v>
      </c>
    </row>
    <row r="15" spans="1:23" hidden="1" x14ac:dyDescent="0.3">
      <c r="A15">
        <v>1569</v>
      </c>
      <c r="B15">
        <v>19</v>
      </c>
      <c r="C15" t="s">
        <v>26</v>
      </c>
      <c r="D15" t="s">
        <v>16</v>
      </c>
      <c r="E15" t="s">
        <v>17</v>
      </c>
      <c r="F15" t="s">
        <v>18</v>
      </c>
      <c r="G15">
        <v>68</v>
      </c>
      <c r="H15">
        <v>5728</v>
      </c>
      <c r="I15" t="s">
        <v>28</v>
      </c>
      <c r="J15" s="2">
        <v>43972</v>
      </c>
      <c r="K15">
        <v>15</v>
      </c>
      <c r="L15" t="s">
        <v>25</v>
      </c>
      <c r="M15">
        <v>6</v>
      </c>
      <c r="N15">
        <v>3</v>
      </c>
      <c r="O15">
        <v>3</v>
      </c>
      <c r="P15" t="s">
        <v>20</v>
      </c>
      <c r="Q15" s="1">
        <v>2</v>
      </c>
      <c r="R15" s="2">
        <v>46174</v>
      </c>
      <c r="S15" s="2">
        <v>46043</v>
      </c>
      <c r="T15" s="1" t="str">
        <f t="shared" si="0"/>
        <v>qui</v>
      </c>
      <c r="U15" s="1" t="str">
        <f t="shared" si="1"/>
        <v>mai</v>
      </c>
      <c r="V15">
        <f t="shared" si="2"/>
        <v>2020</v>
      </c>
      <c r="W15">
        <f>_xlfn.XLOOKUP(A15,Absenteismo!A:A,Absenteismo!A:A,0)</f>
        <v>1569</v>
      </c>
    </row>
    <row r="16" spans="1:23" hidden="1" x14ac:dyDescent="0.3">
      <c r="A16">
        <v>1869</v>
      </c>
      <c r="B16">
        <v>19</v>
      </c>
      <c r="C16" t="s">
        <v>26</v>
      </c>
      <c r="D16" t="s">
        <v>16</v>
      </c>
      <c r="E16" t="s">
        <v>17</v>
      </c>
      <c r="F16" t="s">
        <v>18</v>
      </c>
      <c r="G16">
        <v>68</v>
      </c>
      <c r="H16">
        <v>5728</v>
      </c>
      <c r="I16" t="s">
        <v>28</v>
      </c>
      <c r="J16" s="2">
        <v>44097</v>
      </c>
      <c r="K16">
        <v>15</v>
      </c>
      <c r="L16" t="s">
        <v>25</v>
      </c>
      <c r="M16">
        <v>6</v>
      </c>
      <c r="N16">
        <v>3</v>
      </c>
      <c r="O16">
        <v>3</v>
      </c>
      <c r="P16" t="s">
        <v>20</v>
      </c>
      <c r="Q16" s="1">
        <v>3</v>
      </c>
      <c r="R16" s="2">
        <v>46174</v>
      </c>
      <c r="S16" s="2">
        <v>46165</v>
      </c>
      <c r="T16" s="1" t="str">
        <f t="shared" si="0"/>
        <v>qua</v>
      </c>
      <c r="U16" s="1" t="str">
        <f t="shared" si="1"/>
        <v>set</v>
      </c>
      <c r="V16">
        <f t="shared" si="2"/>
        <v>2020</v>
      </c>
      <c r="W16">
        <f>_xlfn.XLOOKUP(A16,Absenteismo!A:A,Absenteismo!A:A,0)</f>
        <v>1869</v>
      </c>
    </row>
    <row r="17" spans="1:23" x14ac:dyDescent="0.3">
      <c r="A17">
        <v>1184</v>
      </c>
      <c r="B17">
        <v>19</v>
      </c>
      <c r="C17" t="s">
        <v>15</v>
      </c>
      <c r="D17" t="s">
        <v>16</v>
      </c>
      <c r="E17" t="s">
        <v>17</v>
      </c>
      <c r="F17" t="s">
        <v>23</v>
      </c>
      <c r="G17">
        <v>77</v>
      </c>
      <c r="H17">
        <v>3075</v>
      </c>
      <c r="I17" t="s">
        <v>33</v>
      </c>
      <c r="J17" s="2">
        <v>43427</v>
      </c>
      <c r="K17">
        <v>39</v>
      </c>
      <c r="L17" t="s">
        <v>20</v>
      </c>
      <c r="M17">
        <v>3</v>
      </c>
      <c r="N17">
        <v>3</v>
      </c>
      <c r="O17">
        <v>2</v>
      </c>
      <c r="P17" t="s">
        <v>25</v>
      </c>
      <c r="Q17" s="1">
        <v>3</v>
      </c>
      <c r="R17" s="2">
        <v>46174</v>
      </c>
      <c r="S17" s="2"/>
      <c r="T17" s="1" t="str">
        <f t="shared" si="0"/>
        <v>sex</v>
      </c>
      <c r="U17" s="1" t="str">
        <f t="shared" si="1"/>
        <v>nov</v>
      </c>
      <c r="V17">
        <f t="shared" si="2"/>
        <v>2018</v>
      </c>
      <c r="W17">
        <f>_xlfn.XLOOKUP(A17,Absenteismo!A:A,Absenteismo!A:A,0)</f>
        <v>0</v>
      </c>
    </row>
    <row r="18" spans="1:23" hidden="1" x14ac:dyDescent="0.3">
      <c r="A18">
        <v>1484</v>
      </c>
      <c r="B18">
        <v>19</v>
      </c>
      <c r="C18" t="s">
        <v>15</v>
      </c>
      <c r="D18" t="s">
        <v>16</v>
      </c>
      <c r="E18" t="s">
        <v>17</v>
      </c>
      <c r="F18" t="s">
        <v>23</v>
      </c>
      <c r="G18">
        <v>77</v>
      </c>
      <c r="H18">
        <v>3075</v>
      </c>
      <c r="I18" t="s">
        <v>33</v>
      </c>
      <c r="J18" s="2">
        <v>43605</v>
      </c>
      <c r="K18">
        <v>39</v>
      </c>
      <c r="L18" t="s">
        <v>20</v>
      </c>
      <c r="M18">
        <v>3</v>
      </c>
      <c r="N18">
        <v>3</v>
      </c>
      <c r="O18">
        <v>2</v>
      </c>
      <c r="P18" t="s">
        <v>25</v>
      </c>
      <c r="Q18" s="1">
        <v>3</v>
      </c>
      <c r="R18" s="2">
        <v>46174</v>
      </c>
      <c r="S18" s="2"/>
      <c r="T18" s="1" t="str">
        <f t="shared" si="0"/>
        <v>seg</v>
      </c>
      <c r="U18" s="1" t="str">
        <f t="shared" si="1"/>
        <v>mai</v>
      </c>
      <c r="V18">
        <f t="shared" si="2"/>
        <v>2019</v>
      </c>
      <c r="W18">
        <f>_xlfn.XLOOKUP(A18,Absenteismo!A:A,Absenteismo!A:A,0)</f>
        <v>1484</v>
      </c>
    </row>
    <row r="19" spans="1:23" hidden="1" x14ac:dyDescent="0.3">
      <c r="A19">
        <v>1784</v>
      </c>
      <c r="B19">
        <v>19</v>
      </c>
      <c r="C19" t="s">
        <v>15</v>
      </c>
      <c r="D19" t="s">
        <v>16</v>
      </c>
      <c r="E19" t="s">
        <v>17</v>
      </c>
      <c r="F19" t="s">
        <v>23</v>
      </c>
      <c r="G19">
        <v>77</v>
      </c>
      <c r="H19">
        <v>3075</v>
      </c>
      <c r="I19" t="s">
        <v>33</v>
      </c>
      <c r="J19" s="2">
        <v>43809</v>
      </c>
      <c r="K19">
        <v>39</v>
      </c>
      <c r="L19" t="s">
        <v>20</v>
      </c>
      <c r="M19">
        <v>3</v>
      </c>
      <c r="N19">
        <v>3</v>
      </c>
      <c r="O19">
        <v>2</v>
      </c>
      <c r="P19" t="s">
        <v>25</v>
      </c>
      <c r="Q19" s="1">
        <v>3</v>
      </c>
      <c r="R19" s="2">
        <v>46174</v>
      </c>
      <c r="S19" s="2"/>
      <c r="T19" s="1" t="str">
        <f t="shared" si="0"/>
        <v>ter</v>
      </c>
      <c r="U19" s="1" t="str">
        <f t="shared" si="1"/>
        <v>dez</v>
      </c>
      <c r="V19">
        <f t="shared" si="2"/>
        <v>2019</v>
      </c>
      <c r="W19">
        <f>_xlfn.XLOOKUP(A19,Absenteismo!A:A,Absenteismo!A:A,0)</f>
        <v>1784</v>
      </c>
    </row>
    <row r="20" spans="1:23" hidden="1" x14ac:dyDescent="0.3">
      <c r="A20">
        <v>2084</v>
      </c>
      <c r="B20">
        <v>19</v>
      </c>
      <c r="C20" t="s">
        <v>15</v>
      </c>
      <c r="D20" t="s">
        <v>16</v>
      </c>
      <c r="E20" t="s">
        <v>17</v>
      </c>
      <c r="F20" t="s">
        <v>23</v>
      </c>
      <c r="G20">
        <v>77</v>
      </c>
      <c r="H20">
        <v>3075</v>
      </c>
      <c r="I20" t="s">
        <v>33</v>
      </c>
      <c r="J20" s="2">
        <v>43781</v>
      </c>
      <c r="K20">
        <v>39</v>
      </c>
      <c r="L20" t="s">
        <v>20</v>
      </c>
      <c r="M20">
        <v>3</v>
      </c>
      <c r="N20">
        <v>3</v>
      </c>
      <c r="O20">
        <v>2</v>
      </c>
      <c r="P20" t="s">
        <v>25</v>
      </c>
      <c r="Q20" s="1">
        <v>2</v>
      </c>
      <c r="R20" s="2">
        <v>46174</v>
      </c>
      <c r="S20" s="2"/>
      <c r="T20" s="1" t="str">
        <f t="shared" si="0"/>
        <v>ter</v>
      </c>
      <c r="U20" s="1" t="str">
        <f t="shared" si="1"/>
        <v>nov</v>
      </c>
      <c r="V20">
        <f t="shared" si="2"/>
        <v>2019</v>
      </c>
      <c r="W20">
        <f>_xlfn.XLOOKUP(A20,Absenteismo!A:A,Absenteismo!A:A,0)</f>
        <v>2084</v>
      </c>
    </row>
    <row r="21" spans="1:23" hidden="1" x14ac:dyDescent="0.3">
      <c r="A21">
        <v>2169</v>
      </c>
      <c r="B21">
        <v>19</v>
      </c>
      <c r="C21" t="s">
        <v>26</v>
      </c>
      <c r="D21" t="s">
        <v>16</v>
      </c>
      <c r="E21" t="s">
        <v>17</v>
      </c>
      <c r="F21" t="s">
        <v>18</v>
      </c>
      <c r="G21">
        <v>68</v>
      </c>
      <c r="H21">
        <v>5728</v>
      </c>
      <c r="I21" t="s">
        <v>28</v>
      </c>
      <c r="J21" s="2">
        <v>43789</v>
      </c>
      <c r="K21">
        <v>15</v>
      </c>
      <c r="L21" t="s">
        <v>25</v>
      </c>
      <c r="M21">
        <v>6</v>
      </c>
      <c r="N21">
        <v>3</v>
      </c>
      <c r="O21">
        <v>3</v>
      </c>
      <c r="P21" t="s">
        <v>25</v>
      </c>
      <c r="Q21" s="1">
        <v>1</v>
      </c>
      <c r="R21" s="2">
        <v>46174</v>
      </c>
      <c r="S21" s="2"/>
      <c r="T21" s="1" t="str">
        <f t="shared" si="0"/>
        <v>qua</v>
      </c>
      <c r="U21" s="1" t="str">
        <f t="shared" si="1"/>
        <v>nov</v>
      </c>
      <c r="V21">
        <f t="shared" si="2"/>
        <v>2019</v>
      </c>
      <c r="W21">
        <f>_xlfn.XLOOKUP(A21,Absenteismo!A:A,Absenteismo!A:A,0)</f>
        <v>2169</v>
      </c>
    </row>
    <row r="22" spans="1:23" x14ac:dyDescent="0.3">
      <c r="A22">
        <v>1686</v>
      </c>
      <c r="B22">
        <v>20</v>
      </c>
      <c r="C22" t="s">
        <v>26</v>
      </c>
      <c r="D22" t="s">
        <v>22</v>
      </c>
      <c r="E22" t="s">
        <v>17</v>
      </c>
      <c r="F22" t="s">
        <v>23</v>
      </c>
      <c r="G22">
        <v>75</v>
      </c>
      <c r="H22">
        <v>5788</v>
      </c>
      <c r="I22" t="s">
        <v>19</v>
      </c>
      <c r="J22" s="2">
        <v>43739</v>
      </c>
      <c r="K22">
        <v>6</v>
      </c>
      <c r="L22" t="s">
        <v>25</v>
      </c>
      <c r="M22">
        <v>20</v>
      </c>
      <c r="N22">
        <v>11</v>
      </c>
      <c r="O22">
        <v>5</v>
      </c>
      <c r="P22" t="s">
        <v>20</v>
      </c>
      <c r="Q22" s="1">
        <v>2</v>
      </c>
      <c r="R22" s="2">
        <v>46174</v>
      </c>
      <c r="S22" s="2">
        <v>46023</v>
      </c>
      <c r="T22" s="1" t="str">
        <f t="shared" si="0"/>
        <v>ter</v>
      </c>
      <c r="U22" s="1" t="str">
        <f t="shared" si="1"/>
        <v>out</v>
      </c>
      <c r="V22">
        <f t="shared" si="2"/>
        <v>2019</v>
      </c>
      <c r="W22">
        <f>_xlfn.XLOOKUP(A22,Absenteismo!A:A,Absenteismo!A:A,0)</f>
        <v>0</v>
      </c>
    </row>
    <row r="23" spans="1:23" hidden="1" x14ac:dyDescent="0.3">
      <c r="A23">
        <v>1386</v>
      </c>
      <c r="B23">
        <v>20</v>
      </c>
      <c r="C23" t="s">
        <v>26</v>
      </c>
      <c r="D23" t="s">
        <v>22</v>
      </c>
      <c r="E23" t="s">
        <v>17</v>
      </c>
      <c r="F23" t="s">
        <v>23</v>
      </c>
      <c r="G23">
        <v>75</v>
      </c>
      <c r="H23">
        <v>5788</v>
      </c>
      <c r="I23" t="s">
        <v>19</v>
      </c>
      <c r="J23" s="2">
        <v>43848</v>
      </c>
      <c r="K23">
        <v>6</v>
      </c>
      <c r="L23" t="s">
        <v>25</v>
      </c>
      <c r="M23">
        <v>20</v>
      </c>
      <c r="N23">
        <v>11</v>
      </c>
      <c r="O23">
        <v>5</v>
      </c>
      <c r="P23" t="s">
        <v>20</v>
      </c>
      <c r="Q23" s="1">
        <v>1</v>
      </c>
      <c r="R23" s="2">
        <v>46174</v>
      </c>
      <c r="S23" s="2">
        <v>46130</v>
      </c>
      <c r="T23" s="1" t="str">
        <f t="shared" si="0"/>
        <v>sáb</v>
      </c>
      <c r="U23" s="1" t="str">
        <f t="shared" si="1"/>
        <v>jan</v>
      </c>
      <c r="V23">
        <f t="shared" si="2"/>
        <v>2020</v>
      </c>
      <c r="W23">
        <f>_xlfn.XLOOKUP(A23,Absenteismo!A:A,Absenteismo!A:A,0)</f>
        <v>1386</v>
      </c>
    </row>
    <row r="24" spans="1:23" hidden="1" x14ac:dyDescent="0.3">
      <c r="A24">
        <v>1086</v>
      </c>
      <c r="B24">
        <v>20</v>
      </c>
      <c r="C24" t="s">
        <v>26</v>
      </c>
      <c r="D24" t="s">
        <v>22</v>
      </c>
      <c r="E24" t="s">
        <v>17</v>
      </c>
      <c r="F24" t="s">
        <v>23</v>
      </c>
      <c r="G24">
        <v>75</v>
      </c>
      <c r="H24">
        <v>5788</v>
      </c>
      <c r="I24" t="s">
        <v>19</v>
      </c>
      <c r="J24" s="2">
        <v>43853</v>
      </c>
      <c r="K24">
        <v>6</v>
      </c>
      <c r="L24" t="s">
        <v>25</v>
      </c>
      <c r="M24">
        <v>20</v>
      </c>
      <c r="N24">
        <v>11</v>
      </c>
      <c r="O24">
        <v>5</v>
      </c>
      <c r="P24" t="s">
        <v>25</v>
      </c>
      <c r="Q24" s="1">
        <v>3</v>
      </c>
      <c r="R24" s="2">
        <v>46174</v>
      </c>
      <c r="S24" s="2"/>
      <c r="T24" s="1" t="str">
        <f t="shared" si="0"/>
        <v>qui</v>
      </c>
      <c r="U24" s="1" t="str">
        <f t="shared" si="1"/>
        <v>jan</v>
      </c>
      <c r="V24">
        <f t="shared" si="2"/>
        <v>2020</v>
      </c>
      <c r="W24">
        <f>_xlfn.XLOOKUP(A24,Absenteismo!A:A,Absenteismo!A:A,0)</f>
        <v>1086</v>
      </c>
    </row>
    <row r="25" spans="1:23" x14ac:dyDescent="0.3">
      <c r="A25">
        <v>1110</v>
      </c>
      <c r="B25">
        <v>20</v>
      </c>
      <c r="C25" t="s">
        <v>26</v>
      </c>
      <c r="D25" t="s">
        <v>16</v>
      </c>
      <c r="E25" t="s">
        <v>17</v>
      </c>
      <c r="F25" t="s">
        <v>23</v>
      </c>
      <c r="G25">
        <v>111</v>
      </c>
      <c r="H25">
        <v>5364</v>
      </c>
      <c r="I25" t="s">
        <v>28</v>
      </c>
      <c r="J25" s="2">
        <v>42394</v>
      </c>
      <c r="K25">
        <v>28</v>
      </c>
      <c r="L25" t="s">
        <v>20</v>
      </c>
      <c r="M25">
        <v>26</v>
      </c>
      <c r="N25">
        <v>4</v>
      </c>
      <c r="O25">
        <v>2</v>
      </c>
      <c r="P25" t="s">
        <v>25</v>
      </c>
      <c r="Q25" s="1">
        <v>2</v>
      </c>
      <c r="R25" s="2">
        <v>46174</v>
      </c>
      <c r="S25" s="2"/>
      <c r="T25" s="1" t="str">
        <f t="shared" si="0"/>
        <v>seg</v>
      </c>
      <c r="U25" s="1" t="str">
        <f t="shared" si="1"/>
        <v>jan</v>
      </c>
      <c r="V25">
        <f t="shared" si="2"/>
        <v>2016</v>
      </c>
      <c r="W25">
        <f>_xlfn.XLOOKUP(A25,Absenteismo!A:A,Absenteismo!A:A,0)</f>
        <v>0</v>
      </c>
    </row>
    <row r="26" spans="1:23" x14ac:dyDescent="0.3">
      <c r="A26">
        <v>1230</v>
      </c>
      <c r="B26">
        <v>20</v>
      </c>
      <c r="C26" t="s">
        <v>26</v>
      </c>
      <c r="D26" t="s">
        <v>29</v>
      </c>
      <c r="E26" t="s">
        <v>17</v>
      </c>
      <c r="F26" t="s">
        <v>18</v>
      </c>
      <c r="G26">
        <v>14</v>
      </c>
      <c r="H26">
        <v>4827</v>
      </c>
      <c r="I26" t="s">
        <v>24</v>
      </c>
      <c r="J26" s="2">
        <v>45558</v>
      </c>
      <c r="K26">
        <v>56</v>
      </c>
      <c r="L26" t="s">
        <v>25</v>
      </c>
      <c r="M26">
        <v>28</v>
      </c>
      <c r="N26">
        <v>4</v>
      </c>
      <c r="O26">
        <v>4</v>
      </c>
      <c r="P26" t="s">
        <v>25</v>
      </c>
      <c r="Q26" s="1">
        <v>3</v>
      </c>
      <c r="R26" s="2">
        <v>46174</v>
      </c>
      <c r="S26" s="2"/>
      <c r="T26" s="1" t="str">
        <f t="shared" si="0"/>
        <v>seg</v>
      </c>
      <c r="U26" s="1" t="str">
        <f t="shared" si="1"/>
        <v>set</v>
      </c>
      <c r="V26">
        <f t="shared" si="2"/>
        <v>2024</v>
      </c>
      <c r="W26">
        <f>_xlfn.XLOOKUP(A26,Absenteismo!A:A,Absenteismo!A:A,0)</f>
        <v>0</v>
      </c>
    </row>
    <row r="27" spans="1:23" hidden="1" x14ac:dyDescent="0.3">
      <c r="A27">
        <v>1410</v>
      </c>
      <c r="B27">
        <v>20</v>
      </c>
      <c r="C27" t="s">
        <v>26</v>
      </c>
      <c r="D27" t="s">
        <v>16</v>
      </c>
      <c r="E27" t="s">
        <v>17</v>
      </c>
      <c r="F27" t="s">
        <v>23</v>
      </c>
      <c r="G27">
        <v>111</v>
      </c>
      <c r="H27">
        <v>5364</v>
      </c>
      <c r="I27" t="s">
        <v>28</v>
      </c>
      <c r="J27" s="2">
        <v>42490</v>
      </c>
      <c r="K27">
        <v>28</v>
      </c>
      <c r="L27" t="s">
        <v>20</v>
      </c>
      <c r="M27">
        <v>26</v>
      </c>
      <c r="N27">
        <v>4</v>
      </c>
      <c r="O27">
        <v>2</v>
      </c>
      <c r="P27" t="s">
        <v>25</v>
      </c>
      <c r="Q27" s="1">
        <v>1</v>
      </c>
      <c r="R27" s="2">
        <v>46174</v>
      </c>
      <c r="S27" s="2"/>
      <c r="T27" s="1" t="str">
        <f t="shared" si="0"/>
        <v>sáb</v>
      </c>
      <c r="U27" s="1" t="str">
        <f t="shared" si="1"/>
        <v>abr</v>
      </c>
      <c r="V27">
        <f t="shared" si="2"/>
        <v>2016</v>
      </c>
      <c r="W27">
        <f>_xlfn.XLOOKUP(A27,Absenteismo!A:A,Absenteismo!A:A,0)</f>
        <v>1410</v>
      </c>
    </row>
    <row r="28" spans="1:23" x14ac:dyDescent="0.3">
      <c r="A28">
        <v>1530</v>
      </c>
      <c r="B28">
        <v>20</v>
      </c>
      <c r="C28" t="s">
        <v>26</v>
      </c>
      <c r="D28" t="s">
        <v>29</v>
      </c>
      <c r="E28" t="s">
        <v>17</v>
      </c>
      <c r="F28" t="s">
        <v>18</v>
      </c>
      <c r="G28">
        <v>14</v>
      </c>
      <c r="H28">
        <v>4827</v>
      </c>
      <c r="I28" t="s">
        <v>24</v>
      </c>
      <c r="J28" s="2">
        <v>45344</v>
      </c>
      <c r="K28">
        <v>56</v>
      </c>
      <c r="L28" t="s">
        <v>25</v>
      </c>
      <c r="M28">
        <v>28</v>
      </c>
      <c r="N28">
        <v>4</v>
      </c>
      <c r="O28">
        <v>4</v>
      </c>
      <c r="P28" t="s">
        <v>25</v>
      </c>
      <c r="Q28" s="1">
        <v>1</v>
      </c>
      <c r="R28" s="2">
        <v>46174</v>
      </c>
      <c r="S28" s="2"/>
      <c r="T28" s="1" t="str">
        <f t="shared" si="0"/>
        <v>qui</v>
      </c>
      <c r="U28" s="1" t="str">
        <f t="shared" si="1"/>
        <v>fev</v>
      </c>
      <c r="V28">
        <f t="shared" si="2"/>
        <v>2024</v>
      </c>
      <c r="W28">
        <f>_xlfn.XLOOKUP(A28,Absenteismo!A:A,Absenteismo!A:A,0)</f>
        <v>0</v>
      </c>
    </row>
    <row r="29" spans="1:23" hidden="1" x14ac:dyDescent="0.3">
      <c r="A29">
        <v>1710</v>
      </c>
      <c r="B29">
        <v>20</v>
      </c>
      <c r="C29" t="s">
        <v>26</v>
      </c>
      <c r="D29" t="s">
        <v>16</v>
      </c>
      <c r="E29" t="s">
        <v>17</v>
      </c>
      <c r="F29" t="s">
        <v>23</v>
      </c>
      <c r="G29">
        <v>111</v>
      </c>
      <c r="H29">
        <v>5364</v>
      </c>
      <c r="I29" t="s">
        <v>28</v>
      </c>
      <c r="J29" s="2">
        <v>42529</v>
      </c>
      <c r="K29">
        <v>28</v>
      </c>
      <c r="L29" t="s">
        <v>20</v>
      </c>
      <c r="M29">
        <v>26</v>
      </c>
      <c r="N29">
        <v>4</v>
      </c>
      <c r="O29">
        <v>2</v>
      </c>
      <c r="P29" t="s">
        <v>25</v>
      </c>
      <c r="Q29" s="1">
        <v>3</v>
      </c>
      <c r="R29" s="2">
        <v>46174</v>
      </c>
      <c r="S29" s="2"/>
      <c r="T29" s="1" t="str">
        <f t="shared" si="0"/>
        <v>qua</v>
      </c>
      <c r="U29" s="1" t="str">
        <f t="shared" si="1"/>
        <v>jun</v>
      </c>
      <c r="V29">
        <f t="shared" si="2"/>
        <v>2016</v>
      </c>
      <c r="W29">
        <f>_xlfn.XLOOKUP(A29,Absenteismo!A:A,Absenteismo!A:A,0)</f>
        <v>1710</v>
      </c>
    </row>
    <row r="30" spans="1:23" x14ac:dyDescent="0.3">
      <c r="A30">
        <v>1830</v>
      </c>
      <c r="B30">
        <v>20</v>
      </c>
      <c r="C30" t="s">
        <v>26</v>
      </c>
      <c r="D30" t="s">
        <v>29</v>
      </c>
      <c r="E30" t="s">
        <v>17</v>
      </c>
      <c r="F30" t="s">
        <v>18</v>
      </c>
      <c r="G30">
        <v>14</v>
      </c>
      <c r="H30">
        <v>4827</v>
      </c>
      <c r="I30" t="s">
        <v>24</v>
      </c>
      <c r="J30" s="2">
        <v>45703</v>
      </c>
      <c r="K30">
        <v>41</v>
      </c>
      <c r="L30" t="s">
        <v>25</v>
      </c>
      <c r="M30">
        <v>28</v>
      </c>
      <c r="N30">
        <v>4</v>
      </c>
      <c r="O30">
        <v>4</v>
      </c>
      <c r="P30" t="s">
        <v>25</v>
      </c>
      <c r="Q30" s="1">
        <v>3</v>
      </c>
      <c r="R30" s="2">
        <v>46174</v>
      </c>
      <c r="S30" s="2"/>
      <c r="T30" s="1" t="str">
        <f t="shared" si="0"/>
        <v>sáb</v>
      </c>
      <c r="U30" s="1" t="str">
        <f t="shared" si="1"/>
        <v>fev</v>
      </c>
      <c r="V30">
        <f t="shared" si="2"/>
        <v>2025</v>
      </c>
      <c r="W30">
        <f>_xlfn.XLOOKUP(A30,Absenteismo!A:A,Absenteismo!A:A,0)</f>
        <v>0</v>
      </c>
    </row>
    <row r="31" spans="1:23" hidden="1" x14ac:dyDescent="0.3">
      <c r="A31">
        <v>2010</v>
      </c>
      <c r="B31">
        <v>20</v>
      </c>
      <c r="C31" t="s">
        <v>26</v>
      </c>
      <c r="D31" t="s">
        <v>16</v>
      </c>
      <c r="E31" t="s">
        <v>17</v>
      </c>
      <c r="F31" t="s">
        <v>23</v>
      </c>
      <c r="G31">
        <v>111</v>
      </c>
      <c r="H31">
        <v>5364</v>
      </c>
      <c r="I31" t="s">
        <v>28</v>
      </c>
      <c r="J31" s="2">
        <v>42616</v>
      </c>
      <c r="K31">
        <v>28</v>
      </c>
      <c r="L31" t="s">
        <v>20</v>
      </c>
      <c r="M31">
        <v>26</v>
      </c>
      <c r="N31">
        <v>4</v>
      </c>
      <c r="O31">
        <v>2</v>
      </c>
      <c r="P31" t="s">
        <v>25</v>
      </c>
      <c r="Q31" s="1">
        <v>3</v>
      </c>
      <c r="R31" s="2">
        <v>46174</v>
      </c>
      <c r="S31" s="2"/>
      <c r="T31" s="1" t="str">
        <f t="shared" si="0"/>
        <v>sáb</v>
      </c>
      <c r="U31" s="1" t="str">
        <f t="shared" si="1"/>
        <v>set</v>
      </c>
      <c r="V31">
        <f t="shared" si="2"/>
        <v>2016</v>
      </c>
      <c r="W31">
        <f>_xlfn.XLOOKUP(A31,Absenteismo!A:A,Absenteismo!A:A,0)</f>
        <v>2010</v>
      </c>
    </row>
    <row r="32" spans="1:23" x14ac:dyDescent="0.3">
      <c r="A32">
        <v>2130</v>
      </c>
      <c r="B32">
        <v>20</v>
      </c>
      <c r="C32" t="s">
        <v>26</v>
      </c>
      <c r="D32" t="s">
        <v>29</v>
      </c>
      <c r="E32" t="s">
        <v>17</v>
      </c>
      <c r="F32" t="s">
        <v>18</v>
      </c>
      <c r="G32">
        <v>14</v>
      </c>
      <c r="H32">
        <v>4827</v>
      </c>
      <c r="I32" t="s">
        <v>24</v>
      </c>
      <c r="J32" s="2">
        <v>45590</v>
      </c>
      <c r="K32">
        <v>56</v>
      </c>
      <c r="L32" t="s">
        <v>25</v>
      </c>
      <c r="M32">
        <v>28</v>
      </c>
      <c r="N32">
        <v>4</v>
      </c>
      <c r="O32">
        <v>4</v>
      </c>
      <c r="P32" t="s">
        <v>25</v>
      </c>
      <c r="Q32" s="1">
        <v>2</v>
      </c>
      <c r="R32" s="2">
        <v>46174</v>
      </c>
      <c r="S32" s="2"/>
      <c r="T32" s="1" t="str">
        <f t="shared" si="0"/>
        <v>sex</v>
      </c>
      <c r="U32" s="1" t="str">
        <f t="shared" si="1"/>
        <v>out</v>
      </c>
      <c r="V32">
        <f t="shared" si="2"/>
        <v>2024</v>
      </c>
      <c r="W32">
        <f>_xlfn.XLOOKUP(A32,Absenteismo!A:A,Absenteismo!A:A,0)</f>
        <v>0</v>
      </c>
    </row>
    <row r="33" spans="1:23" hidden="1" x14ac:dyDescent="0.3">
      <c r="A33">
        <v>1986</v>
      </c>
      <c r="B33">
        <v>20</v>
      </c>
      <c r="C33" t="s">
        <v>26</v>
      </c>
      <c r="D33" t="s">
        <v>22</v>
      </c>
      <c r="E33" t="s">
        <v>17</v>
      </c>
      <c r="F33" t="s">
        <v>23</v>
      </c>
      <c r="G33">
        <v>75</v>
      </c>
      <c r="H33">
        <v>5788</v>
      </c>
      <c r="I33" t="s">
        <v>19</v>
      </c>
      <c r="J33" s="2">
        <v>43562</v>
      </c>
      <c r="K33">
        <v>6</v>
      </c>
      <c r="L33" t="s">
        <v>25</v>
      </c>
      <c r="M33">
        <v>20</v>
      </c>
      <c r="N33">
        <v>11</v>
      </c>
      <c r="O33">
        <v>5</v>
      </c>
      <c r="P33" t="s">
        <v>25</v>
      </c>
      <c r="Q33" s="1">
        <v>1</v>
      </c>
      <c r="R33" s="2">
        <v>46174</v>
      </c>
      <c r="S33" s="2"/>
      <c r="T33" s="1" t="str">
        <f t="shared" si="0"/>
        <v>dom</v>
      </c>
      <c r="U33" s="1" t="str">
        <f t="shared" si="1"/>
        <v>abr</v>
      </c>
      <c r="V33">
        <f t="shared" si="2"/>
        <v>2019</v>
      </c>
      <c r="W33">
        <f>_xlfn.XLOOKUP(A33,Absenteismo!A:A,Absenteismo!A:A,0)</f>
        <v>1986</v>
      </c>
    </row>
    <row r="34" spans="1:23" x14ac:dyDescent="0.3">
      <c r="A34">
        <v>1022</v>
      </c>
      <c r="B34">
        <v>21</v>
      </c>
      <c r="C34" t="s">
        <v>15</v>
      </c>
      <c r="D34" t="s">
        <v>29</v>
      </c>
      <c r="E34" t="s">
        <v>17</v>
      </c>
      <c r="F34" t="s">
        <v>21</v>
      </c>
      <c r="G34">
        <v>118</v>
      </c>
      <c r="H34">
        <v>7150</v>
      </c>
      <c r="I34" t="s">
        <v>19</v>
      </c>
      <c r="J34" s="2">
        <v>42452</v>
      </c>
      <c r="K34">
        <v>4</v>
      </c>
      <c r="L34" t="s">
        <v>25</v>
      </c>
      <c r="M34">
        <v>5</v>
      </c>
      <c r="N34">
        <v>2</v>
      </c>
      <c r="O34">
        <v>2</v>
      </c>
      <c r="P34" t="s">
        <v>25</v>
      </c>
      <c r="Q34" s="1">
        <v>2</v>
      </c>
      <c r="R34" s="2">
        <v>46174</v>
      </c>
      <c r="S34" s="2"/>
      <c r="T34" s="1" t="str">
        <f t="shared" si="0"/>
        <v>qua</v>
      </c>
      <c r="U34" s="1" t="str">
        <f t="shared" si="1"/>
        <v>mar</v>
      </c>
      <c r="V34">
        <f t="shared" si="2"/>
        <v>2016</v>
      </c>
      <c r="W34">
        <f>_xlfn.XLOOKUP(A34,Absenteismo!A:A,Absenteismo!A:A,0)</f>
        <v>0</v>
      </c>
    </row>
    <row r="35" spans="1:23" x14ac:dyDescent="0.3">
      <c r="A35">
        <v>1028</v>
      </c>
      <c r="B35">
        <v>21</v>
      </c>
      <c r="C35" t="s">
        <v>15</v>
      </c>
      <c r="D35" t="s">
        <v>27</v>
      </c>
      <c r="E35" t="s">
        <v>17</v>
      </c>
      <c r="F35" t="s">
        <v>18</v>
      </c>
      <c r="G35">
        <v>6</v>
      </c>
      <c r="H35">
        <v>2829</v>
      </c>
      <c r="I35" t="s">
        <v>24</v>
      </c>
      <c r="J35" s="2">
        <v>45985</v>
      </c>
      <c r="K35">
        <v>41</v>
      </c>
      <c r="L35" t="s">
        <v>20</v>
      </c>
      <c r="M35">
        <v>16</v>
      </c>
      <c r="N35">
        <v>2</v>
      </c>
      <c r="O35">
        <v>5</v>
      </c>
      <c r="P35" t="s">
        <v>25</v>
      </c>
      <c r="Q35" s="1">
        <v>1</v>
      </c>
      <c r="R35" s="2">
        <v>46174</v>
      </c>
      <c r="S35" s="2"/>
      <c r="T35" s="1" t="str">
        <f t="shared" si="0"/>
        <v>seg</v>
      </c>
      <c r="U35" s="1" t="str">
        <f t="shared" si="1"/>
        <v>nov</v>
      </c>
      <c r="V35">
        <f t="shared" si="2"/>
        <v>2025</v>
      </c>
      <c r="W35">
        <f>_xlfn.XLOOKUP(A35,Absenteismo!A:A,Absenteismo!A:A,0)</f>
        <v>0</v>
      </c>
    </row>
    <row r="36" spans="1:23" x14ac:dyDescent="0.3">
      <c r="A36">
        <v>1116</v>
      </c>
      <c r="B36">
        <v>21</v>
      </c>
      <c r="C36" t="s">
        <v>26</v>
      </c>
      <c r="D36" t="s">
        <v>22</v>
      </c>
      <c r="E36" t="s">
        <v>17</v>
      </c>
      <c r="F36" t="s">
        <v>23</v>
      </c>
      <c r="G36">
        <v>83</v>
      </c>
      <c r="H36">
        <v>3539</v>
      </c>
      <c r="I36" t="s">
        <v>28</v>
      </c>
      <c r="J36" s="2">
        <v>43240</v>
      </c>
      <c r="K36">
        <v>39</v>
      </c>
      <c r="L36" t="s">
        <v>20</v>
      </c>
      <c r="M36">
        <v>29</v>
      </c>
      <c r="N36">
        <v>9</v>
      </c>
      <c r="O36">
        <v>2</v>
      </c>
      <c r="P36" t="s">
        <v>25</v>
      </c>
      <c r="Q36" s="1">
        <v>2</v>
      </c>
      <c r="R36" s="2">
        <v>46174</v>
      </c>
      <c r="S36" s="2"/>
      <c r="T36" s="1" t="str">
        <f t="shared" si="0"/>
        <v>dom</v>
      </c>
      <c r="U36" s="1" t="str">
        <f t="shared" si="1"/>
        <v>mai</v>
      </c>
      <c r="V36">
        <f t="shared" si="2"/>
        <v>2018</v>
      </c>
      <c r="W36">
        <f>_xlfn.XLOOKUP(A36,Absenteismo!A:A,Absenteismo!A:A,0)</f>
        <v>0</v>
      </c>
    </row>
    <row r="37" spans="1:23" x14ac:dyDescent="0.3">
      <c r="A37">
        <v>1126</v>
      </c>
      <c r="B37">
        <v>21</v>
      </c>
      <c r="C37" t="s">
        <v>26</v>
      </c>
      <c r="D37" t="s">
        <v>22</v>
      </c>
      <c r="E37" t="s">
        <v>17</v>
      </c>
      <c r="F37" t="s">
        <v>21</v>
      </c>
      <c r="G37">
        <v>120</v>
      </c>
      <c r="H37">
        <v>3640</v>
      </c>
      <c r="I37" t="s">
        <v>28</v>
      </c>
      <c r="J37" s="2">
        <v>42271</v>
      </c>
      <c r="K37">
        <v>43</v>
      </c>
      <c r="L37" t="s">
        <v>20</v>
      </c>
      <c r="M37">
        <v>5</v>
      </c>
      <c r="N37">
        <v>12</v>
      </c>
      <c r="O37">
        <v>3</v>
      </c>
      <c r="P37" t="s">
        <v>25</v>
      </c>
      <c r="Q37" s="1">
        <v>1</v>
      </c>
      <c r="R37" s="2">
        <v>46174</v>
      </c>
      <c r="S37" s="2"/>
      <c r="T37" s="1" t="str">
        <f t="shared" si="0"/>
        <v>qui</v>
      </c>
      <c r="U37" s="1" t="str">
        <f t="shared" si="1"/>
        <v>set</v>
      </c>
      <c r="V37">
        <f t="shared" si="2"/>
        <v>2015</v>
      </c>
      <c r="W37">
        <f>_xlfn.XLOOKUP(A37,Absenteismo!A:A,Absenteismo!A:A,0)</f>
        <v>0</v>
      </c>
    </row>
    <row r="38" spans="1:23" hidden="1" x14ac:dyDescent="0.3">
      <c r="A38">
        <v>1136</v>
      </c>
      <c r="B38">
        <v>21</v>
      </c>
      <c r="C38" t="s">
        <v>26</v>
      </c>
      <c r="D38" t="s">
        <v>16</v>
      </c>
      <c r="E38" t="s">
        <v>17</v>
      </c>
      <c r="F38" t="s">
        <v>18</v>
      </c>
      <c r="G38">
        <v>56</v>
      </c>
      <c r="H38">
        <v>6076</v>
      </c>
      <c r="I38" t="s">
        <v>33</v>
      </c>
      <c r="J38" s="2">
        <v>44168</v>
      </c>
      <c r="K38">
        <v>43</v>
      </c>
      <c r="L38" t="s">
        <v>25</v>
      </c>
      <c r="M38">
        <v>21</v>
      </c>
      <c r="N38">
        <v>2</v>
      </c>
      <c r="O38">
        <v>5</v>
      </c>
      <c r="P38" t="s">
        <v>25</v>
      </c>
      <c r="Q38" s="1">
        <v>3</v>
      </c>
      <c r="R38" s="2">
        <v>46174</v>
      </c>
      <c r="S38" s="2"/>
      <c r="T38" s="1" t="str">
        <f t="shared" si="0"/>
        <v>qui</v>
      </c>
      <c r="U38" s="1" t="str">
        <f t="shared" si="1"/>
        <v>dez</v>
      </c>
      <c r="V38">
        <f t="shared" si="2"/>
        <v>2020</v>
      </c>
      <c r="W38">
        <f>_xlfn.XLOOKUP(A38,Absenteismo!A:A,Absenteismo!A:A,0)</f>
        <v>1136</v>
      </c>
    </row>
    <row r="39" spans="1:23" hidden="1" x14ac:dyDescent="0.3">
      <c r="A39">
        <v>1163</v>
      </c>
      <c r="B39">
        <v>21</v>
      </c>
      <c r="C39" t="s">
        <v>15</v>
      </c>
      <c r="D39" t="s">
        <v>29</v>
      </c>
      <c r="E39" t="s">
        <v>17</v>
      </c>
      <c r="F39" t="s">
        <v>21</v>
      </c>
      <c r="G39">
        <v>42</v>
      </c>
      <c r="H39">
        <v>6718</v>
      </c>
      <c r="I39" t="s">
        <v>28</v>
      </c>
      <c r="J39" s="2">
        <v>44576</v>
      </c>
      <c r="K39">
        <v>25</v>
      </c>
      <c r="L39" t="s">
        <v>20</v>
      </c>
      <c r="M39">
        <v>11</v>
      </c>
      <c r="N39">
        <v>7</v>
      </c>
      <c r="O39">
        <v>4</v>
      </c>
      <c r="P39" t="s">
        <v>25</v>
      </c>
      <c r="Q39" s="1">
        <v>3</v>
      </c>
      <c r="R39" s="2">
        <v>46174</v>
      </c>
      <c r="S39" s="2"/>
      <c r="T39" s="1" t="str">
        <f t="shared" si="0"/>
        <v>sáb</v>
      </c>
      <c r="U39" s="1" t="str">
        <f t="shared" si="1"/>
        <v>jan</v>
      </c>
      <c r="V39">
        <f t="shared" si="2"/>
        <v>2022</v>
      </c>
      <c r="W39">
        <f>_xlfn.XLOOKUP(A39,Absenteismo!A:A,Absenteismo!A:A,0)</f>
        <v>1163</v>
      </c>
    </row>
    <row r="40" spans="1:23" hidden="1" x14ac:dyDescent="0.3">
      <c r="A40">
        <v>1187</v>
      </c>
      <c r="B40">
        <v>21</v>
      </c>
      <c r="C40" t="s">
        <v>26</v>
      </c>
      <c r="D40" t="s">
        <v>31</v>
      </c>
      <c r="E40" t="s">
        <v>34</v>
      </c>
      <c r="F40" t="s">
        <v>21</v>
      </c>
      <c r="G40">
        <v>41</v>
      </c>
      <c r="H40">
        <v>6210</v>
      </c>
      <c r="I40" t="s">
        <v>33</v>
      </c>
      <c r="J40" s="2">
        <v>44732</v>
      </c>
      <c r="K40">
        <v>10</v>
      </c>
      <c r="L40" t="s">
        <v>20</v>
      </c>
      <c r="M40">
        <v>11</v>
      </c>
      <c r="N40">
        <v>12</v>
      </c>
      <c r="O40">
        <v>5</v>
      </c>
      <c r="P40" t="s">
        <v>25</v>
      </c>
      <c r="Q40" s="1">
        <v>1</v>
      </c>
      <c r="R40" s="2">
        <v>46174</v>
      </c>
      <c r="S40" s="2"/>
      <c r="T40" s="1" t="str">
        <f t="shared" si="0"/>
        <v>seg</v>
      </c>
      <c r="U40" s="1" t="str">
        <f t="shared" si="1"/>
        <v>jun</v>
      </c>
      <c r="V40">
        <f t="shared" si="2"/>
        <v>2022</v>
      </c>
      <c r="W40">
        <f>_xlfn.XLOOKUP(A40,Absenteismo!A:A,Absenteismo!A:A,0)</f>
        <v>1187</v>
      </c>
    </row>
    <row r="41" spans="1:23" hidden="1" x14ac:dyDescent="0.3">
      <c r="A41">
        <v>1237</v>
      </c>
      <c r="B41">
        <v>21</v>
      </c>
      <c r="C41" t="s">
        <v>15</v>
      </c>
      <c r="D41" t="s">
        <v>16</v>
      </c>
      <c r="E41" t="s">
        <v>17</v>
      </c>
      <c r="F41" t="s">
        <v>18</v>
      </c>
      <c r="G41">
        <v>3</v>
      </c>
      <c r="H41">
        <v>3817</v>
      </c>
      <c r="I41" t="s">
        <v>19</v>
      </c>
      <c r="J41" s="2">
        <v>46111</v>
      </c>
      <c r="K41">
        <v>29</v>
      </c>
      <c r="L41" t="s">
        <v>20</v>
      </c>
      <c r="M41">
        <v>27</v>
      </c>
      <c r="N41">
        <v>3</v>
      </c>
      <c r="O41">
        <v>3</v>
      </c>
      <c r="P41" t="s">
        <v>25</v>
      </c>
      <c r="Q41" s="1">
        <v>2</v>
      </c>
      <c r="R41" s="2">
        <v>46174</v>
      </c>
      <c r="S41" s="2"/>
      <c r="T41" s="1" t="str">
        <f t="shared" si="0"/>
        <v>seg</v>
      </c>
      <c r="U41" s="1" t="str">
        <f t="shared" si="1"/>
        <v>mar</v>
      </c>
      <c r="V41">
        <f t="shared" si="2"/>
        <v>2026</v>
      </c>
      <c r="W41">
        <f>_xlfn.XLOOKUP(A41,Absenteismo!A:A,Absenteismo!A:A,0)</f>
        <v>1237</v>
      </c>
    </row>
    <row r="42" spans="1:23" hidden="1" x14ac:dyDescent="0.3">
      <c r="A42">
        <v>1265</v>
      </c>
      <c r="B42">
        <v>21</v>
      </c>
      <c r="C42" t="s">
        <v>15</v>
      </c>
      <c r="D42" t="s">
        <v>31</v>
      </c>
      <c r="E42" t="s">
        <v>34</v>
      </c>
      <c r="F42" t="s">
        <v>21</v>
      </c>
      <c r="G42">
        <v>51</v>
      </c>
      <c r="H42">
        <v>6864</v>
      </c>
      <c r="I42" t="s">
        <v>30</v>
      </c>
      <c r="J42" s="2">
        <v>44234</v>
      </c>
      <c r="K42">
        <v>25</v>
      </c>
      <c r="L42" t="s">
        <v>20</v>
      </c>
      <c r="M42">
        <v>11</v>
      </c>
      <c r="N42">
        <v>5</v>
      </c>
      <c r="O42">
        <v>3</v>
      </c>
      <c r="P42" t="s">
        <v>25</v>
      </c>
      <c r="Q42" s="1">
        <v>2</v>
      </c>
      <c r="R42" s="2">
        <v>46174</v>
      </c>
      <c r="S42" s="2"/>
      <c r="T42" s="1" t="str">
        <f t="shared" si="0"/>
        <v>dom</v>
      </c>
      <c r="U42" s="1" t="str">
        <f t="shared" si="1"/>
        <v>fev</v>
      </c>
      <c r="V42">
        <f t="shared" si="2"/>
        <v>2021</v>
      </c>
      <c r="W42">
        <f>_xlfn.XLOOKUP(A42,Absenteismo!A:A,Absenteismo!A:A,0)</f>
        <v>1265</v>
      </c>
    </row>
    <row r="43" spans="1:23" hidden="1" x14ac:dyDescent="0.3">
      <c r="A43">
        <v>1270</v>
      </c>
      <c r="B43">
        <v>21</v>
      </c>
      <c r="C43" t="s">
        <v>15</v>
      </c>
      <c r="D43" t="s">
        <v>29</v>
      </c>
      <c r="E43" t="s">
        <v>17</v>
      </c>
      <c r="F43" t="s">
        <v>18</v>
      </c>
      <c r="G43">
        <v>46</v>
      </c>
      <c r="H43">
        <v>4223</v>
      </c>
      <c r="I43" t="s">
        <v>19</v>
      </c>
      <c r="J43" s="2">
        <v>44428</v>
      </c>
      <c r="K43">
        <v>16</v>
      </c>
      <c r="L43" t="s">
        <v>20</v>
      </c>
      <c r="M43">
        <v>22</v>
      </c>
      <c r="N43">
        <v>9</v>
      </c>
      <c r="O43">
        <v>2</v>
      </c>
      <c r="P43" t="s">
        <v>25</v>
      </c>
      <c r="Q43" s="1">
        <v>3</v>
      </c>
      <c r="R43" s="2">
        <v>46174</v>
      </c>
      <c r="S43" s="2"/>
      <c r="T43" s="1" t="str">
        <f t="shared" si="0"/>
        <v>sex</v>
      </c>
      <c r="U43" s="1" t="str">
        <f t="shared" si="1"/>
        <v>ago</v>
      </c>
      <c r="V43">
        <f t="shared" si="2"/>
        <v>2021</v>
      </c>
      <c r="W43">
        <f>_xlfn.XLOOKUP(A43,Absenteismo!A:A,Absenteismo!A:A,0)</f>
        <v>1270</v>
      </c>
    </row>
    <row r="44" spans="1:23" hidden="1" x14ac:dyDescent="0.3">
      <c r="A44">
        <v>1322</v>
      </c>
      <c r="B44">
        <v>21</v>
      </c>
      <c r="C44" t="s">
        <v>15</v>
      </c>
      <c r="D44" t="s">
        <v>29</v>
      </c>
      <c r="E44" t="s">
        <v>17</v>
      </c>
      <c r="F44" t="s">
        <v>21</v>
      </c>
      <c r="G44">
        <v>118</v>
      </c>
      <c r="H44">
        <v>7150</v>
      </c>
      <c r="I44" t="s">
        <v>19</v>
      </c>
      <c r="J44" s="2">
        <v>42378</v>
      </c>
      <c r="K44">
        <v>4</v>
      </c>
      <c r="L44" t="s">
        <v>25</v>
      </c>
      <c r="M44">
        <v>5</v>
      </c>
      <c r="N44">
        <v>2</v>
      </c>
      <c r="O44">
        <v>2</v>
      </c>
      <c r="P44" t="s">
        <v>25</v>
      </c>
      <c r="Q44" s="1">
        <v>2</v>
      </c>
      <c r="R44" s="2">
        <v>46174</v>
      </c>
      <c r="S44" s="2"/>
      <c r="T44" s="1" t="str">
        <f t="shared" si="0"/>
        <v>sáb</v>
      </c>
      <c r="U44" s="1" t="str">
        <f t="shared" si="1"/>
        <v>jan</v>
      </c>
      <c r="V44">
        <f t="shared" si="2"/>
        <v>2016</v>
      </c>
      <c r="W44">
        <f>_xlfn.XLOOKUP(A44,Absenteismo!A:A,Absenteismo!A:A,0)</f>
        <v>1322</v>
      </c>
    </row>
    <row r="45" spans="1:23" x14ac:dyDescent="0.3">
      <c r="A45">
        <v>1328</v>
      </c>
      <c r="B45">
        <v>21</v>
      </c>
      <c r="C45" t="s">
        <v>15</v>
      </c>
      <c r="D45" t="s">
        <v>27</v>
      </c>
      <c r="E45" t="s">
        <v>17</v>
      </c>
      <c r="F45" t="s">
        <v>18</v>
      </c>
      <c r="G45">
        <v>6</v>
      </c>
      <c r="H45">
        <v>2829</v>
      </c>
      <c r="I45" t="s">
        <v>24</v>
      </c>
      <c r="J45" s="2">
        <v>45960</v>
      </c>
      <c r="K45">
        <v>40</v>
      </c>
      <c r="L45" t="s">
        <v>20</v>
      </c>
      <c r="M45">
        <v>16</v>
      </c>
      <c r="N45">
        <v>2</v>
      </c>
      <c r="O45">
        <v>5</v>
      </c>
      <c r="P45" t="s">
        <v>25</v>
      </c>
      <c r="Q45" s="1">
        <v>3</v>
      </c>
      <c r="R45" s="2">
        <v>46174</v>
      </c>
      <c r="S45" s="2"/>
      <c r="T45" s="1" t="str">
        <f t="shared" si="0"/>
        <v>qui</v>
      </c>
      <c r="U45" s="1" t="str">
        <f t="shared" si="1"/>
        <v>out</v>
      </c>
      <c r="V45">
        <f t="shared" si="2"/>
        <v>2025</v>
      </c>
      <c r="W45">
        <f>_xlfn.XLOOKUP(A45,Absenteismo!A:A,Absenteismo!A:A,0)</f>
        <v>0</v>
      </c>
    </row>
    <row r="46" spans="1:23" hidden="1" x14ac:dyDescent="0.3">
      <c r="A46">
        <v>1416</v>
      </c>
      <c r="B46">
        <v>21</v>
      </c>
      <c r="C46" t="s">
        <v>26</v>
      </c>
      <c r="D46" t="s">
        <v>22</v>
      </c>
      <c r="E46" t="s">
        <v>17</v>
      </c>
      <c r="F46" t="s">
        <v>23</v>
      </c>
      <c r="G46">
        <v>83</v>
      </c>
      <c r="H46">
        <v>3539</v>
      </c>
      <c r="I46" t="s">
        <v>28</v>
      </c>
      <c r="J46" s="2">
        <v>43650</v>
      </c>
      <c r="K46">
        <v>39</v>
      </c>
      <c r="L46" t="s">
        <v>20</v>
      </c>
      <c r="M46">
        <v>29</v>
      </c>
      <c r="N46">
        <v>9</v>
      </c>
      <c r="O46">
        <v>2</v>
      </c>
      <c r="P46" t="s">
        <v>25</v>
      </c>
      <c r="Q46" s="1">
        <v>1</v>
      </c>
      <c r="R46" s="2">
        <v>46174</v>
      </c>
      <c r="S46" s="2"/>
      <c r="T46" s="1" t="str">
        <f t="shared" si="0"/>
        <v>qui</v>
      </c>
      <c r="U46" s="1" t="str">
        <f t="shared" si="1"/>
        <v>jul</v>
      </c>
      <c r="V46">
        <f t="shared" si="2"/>
        <v>2019</v>
      </c>
      <c r="W46">
        <f>_xlfn.XLOOKUP(A46,Absenteismo!A:A,Absenteismo!A:A,0)</f>
        <v>1416</v>
      </c>
    </row>
    <row r="47" spans="1:23" hidden="1" x14ac:dyDescent="0.3">
      <c r="A47">
        <v>1426</v>
      </c>
      <c r="B47">
        <v>21</v>
      </c>
      <c r="C47" t="s">
        <v>26</v>
      </c>
      <c r="D47" t="s">
        <v>22</v>
      </c>
      <c r="E47" t="s">
        <v>17</v>
      </c>
      <c r="F47" t="s">
        <v>21</v>
      </c>
      <c r="G47">
        <v>120</v>
      </c>
      <c r="H47">
        <v>3640</v>
      </c>
      <c r="I47" t="s">
        <v>28</v>
      </c>
      <c r="J47" s="2">
        <v>42372</v>
      </c>
      <c r="K47">
        <v>55</v>
      </c>
      <c r="L47" t="s">
        <v>20</v>
      </c>
      <c r="M47">
        <v>5</v>
      </c>
      <c r="N47">
        <v>12</v>
      </c>
      <c r="O47">
        <v>3</v>
      </c>
      <c r="P47" t="s">
        <v>25</v>
      </c>
      <c r="Q47" s="1">
        <v>3</v>
      </c>
      <c r="R47" s="2">
        <v>46174</v>
      </c>
      <c r="S47" s="2"/>
      <c r="T47" s="1" t="str">
        <f t="shared" si="0"/>
        <v>dom</v>
      </c>
      <c r="U47" s="1" t="str">
        <f t="shared" si="1"/>
        <v>jan</v>
      </c>
      <c r="V47">
        <f t="shared" si="2"/>
        <v>2016</v>
      </c>
      <c r="W47">
        <f>_xlfn.XLOOKUP(A47,Absenteismo!A:A,Absenteismo!A:A,0)</f>
        <v>1426</v>
      </c>
    </row>
    <row r="48" spans="1:23" hidden="1" x14ac:dyDescent="0.3">
      <c r="A48">
        <v>1436</v>
      </c>
      <c r="B48">
        <v>21</v>
      </c>
      <c r="C48" t="s">
        <v>26</v>
      </c>
      <c r="D48" t="s">
        <v>16</v>
      </c>
      <c r="E48" t="s">
        <v>17</v>
      </c>
      <c r="F48" t="s">
        <v>18</v>
      </c>
      <c r="G48">
        <v>56</v>
      </c>
      <c r="H48">
        <v>6076</v>
      </c>
      <c r="I48" t="s">
        <v>33</v>
      </c>
      <c r="J48" s="2">
        <v>44101</v>
      </c>
      <c r="K48">
        <v>58</v>
      </c>
      <c r="L48" t="s">
        <v>25</v>
      </c>
      <c r="M48">
        <v>21</v>
      </c>
      <c r="N48">
        <v>2</v>
      </c>
      <c r="O48">
        <v>5</v>
      </c>
      <c r="P48" t="s">
        <v>25</v>
      </c>
      <c r="Q48" s="1">
        <v>2</v>
      </c>
      <c r="R48" s="2">
        <v>46174</v>
      </c>
      <c r="S48" s="2"/>
      <c r="T48" s="1" t="str">
        <f t="shared" si="0"/>
        <v>dom</v>
      </c>
      <c r="U48" s="1" t="str">
        <f t="shared" si="1"/>
        <v>set</v>
      </c>
      <c r="V48">
        <f t="shared" si="2"/>
        <v>2020</v>
      </c>
      <c r="W48">
        <f>_xlfn.XLOOKUP(A48,Absenteismo!A:A,Absenteismo!A:A,0)</f>
        <v>1436</v>
      </c>
    </row>
    <row r="49" spans="1:23" hidden="1" x14ac:dyDescent="0.3">
      <c r="A49">
        <v>1463</v>
      </c>
      <c r="B49">
        <v>21</v>
      </c>
      <c r="C49" t="s">
        <v>15</v>
      </c>
      <c r="D49" t="s">
        <v>29</v>
      </c>
      <c r="E49" t="s">
        <v>17</v>
      </c>
      <c r="F49" t="s">
        <v>21</v>
      </c>
      <c r="G49">
        <v>42</v>
      </c>
      <c r="H49">
        <v>6718</v>
      </c>
      <c r="I49" t="s">
        <v>28</v>
      </c>
      <c r="J49" s="2">
        <v>44767</v>
      </c>
      <c r="K49">
        <v>25</v>
      </c>
      <c r="L49" t="s">
        <v>20</v>
      </c>
      <c r="M49">
        <v>11</v>
      </c>
      <c r="N49">
        <v>7</v>
      </c>
      <c r="O49">
        <v>4</v>
      </c>
      <c r="P49" t="s">
        <v>25</v>
      </c>
      <c r="Q49" s="1">
        <v>1</v>
      </c>
      <c r="R49" s="2">
        <v>46174</v>
      </c>
      <c r="S49" s="2"/>
      <c r="T49" s="1" t="str">
        <f t="shared" si="0"/>
        <v>seg</v>
      </c>
      <c r="U49" s="1" t="str">
        <f t="shared" si="1"/>
        <v>jul</v>
      </c>
      <c r="V49">
        <f t="shared" si="2"/>
        <v>2022</v>
      </c>
      <c r="W49">
        <f>_xlfn.XLOOKUP(A49,Absenteismo!A:A,Absenteismo!A:A,0)</f>
        <v>1463</v>
      </c>
    </row>
    <row r="50" spans="1:23" hidden="1" x14ac:dyDescent="0.3">
      <c r="A50">
        <v>1487</v>
      </c>
      <c r="B50">
        <v>21</v>
      </c>
      <c r="C50" t="s">
        <v>26</v>
      </c>
      <c r="D50" t="s">
        <v>31</v>
      </c>
      <c r="E50" t="s">
        <v>34</v>
      </c>
      <c r="F50" t="s">
        <v>21</v>
      </c>
      <c r="G50">
        <v>41</v>
      </c>
      <c r="H50">
        <v>6210</v>
      </c>
      <c r="I50" t="s">
        <v>33</v>
      </c>
      <c r="J50" s="2">
        <v>44523</v>
      </c>
      <c r="K50">
        <v>10</v>
      </c>
      <c r="L50" t="s">
        <v>20</v>
      </c>
      <c r="M50">
        <v>11</v>
      </c>
      <c r="N50">
        <v>12</v>
      </c>
      <c r="O50">
        <v>5</v>
      </c>
      <c r="P50" t="s">
        <v>25</v>
      </c>
      <c r="Q50" s="1">
        <v>1</v>
      </c>
      <c r="R50" s="2">
        <v>46174</v>
      </c>
      <c r="S50" s="2"/>
      <c r="T50" s="1" t="str">
        <f t="shared" si="0"/>
        <v>ter</v>
      </c>
      <c r="U50" s="1" t="str">
        <f t="shared" si="1"/>
        <v>nov</v>
      </c>
      <c r="V50">
        <f t="shared" si="2"/>
        <v>2021</v>
      </c>
      <c r="W50">
        <f>_xlfn.XLOOKUP(A50,Absenteismo!A:A,Absenteismo!A:A,0)</f>
        <v>1487</v>
      </c>
    </row>
    <row r="51" spans="1:23" hidden="1" x14ac:dyDescent="0.3">
      <c r="A51">
        <v>1537</v>
      </c>
      <c r="B51">
        <v>21</v>
      </c>
      <c r="C51" t="s">
        <v>15</v>
      </c>
      <c r="D51" t="s">
        <v>16</v>
      </c>
      <c r="E51" t="s">
        <v>17</v>
      </c>
      <c r="F51" t="s">
        <v>18</v>
      </c>
      <c r="G51">
        <v>3</v>
      </c>
      <c r="H51">
        <v>3817</v>
      </c>
      <c r="I51" t="s">
        <v>19</v>
      </c>
      <c r="J51" s="2">
        <v>45987</v>
      </c>
      <c r="K51">
        <v>29</v>
      </c>
      <c r="L51" t="s">
        <v>20</v>
      </c>
      <c r="M51">
        <v>27</v>
      </c>
      <c r="N51">
        <v>3</v>
      </c>
      <c r="O51">
        <v>3</v>
      </c>
      <c r="P51" t="s">
        <v>25</v>
      </c>
      <c r="Q51" s="1">
        <v>1</v>
      </c>
      <c r="R51" s="2">
        <v>46174</v>
      </c>
      <c r="S51" s="2"/>
      <c r="T51" s="1" t="str">
        <f t="shared" si="0"/>
        <v>qua</v>
      </c>
      <c r="U51" s="1" t="str">
        <f t="shared" si="1"/>
        <v>nov</v>
      </c>
      <c r="V51">
        <f t="shared" si="2"/>
        <v>2025</v>
      </c>
      <c r="W51">
        <f>_xlfn.XLOOKUP(A51,Absenteismo!A:A,Absenteismo!A:A,0)</f>
        <v>1537</v>
      </c>
    </row>
    <row r="52" spans="1:23" hidden="1" x14ac:dyDescent="0.3">
      <c r="A52">
        <v>1565</v>
      </c>
      <c r="B52">
        <v>21</v>
      </c>
      <c r="C52" t="s">
        <v>15</v>
      </c>
      <c r="D52" t="s">
        <v>31</v>
      </c>
      <c r="E52" t="s">
        <v>34</v>
      </c>
      <c r="F52" t="s">
        <v>21</v>
      </c>
      <c r="G52">
        <v>51</v>
      </c>
      <c r="H52">
        <v>6864</v>
      </c>
      <c r="I52" t="s">
        <v>30</v>
      </c>
      <c r="J52" s="2">
        <v>44643</v>
      </c>
      <c r="K52">
        <v>25</v>
      </c>
      <c r="L52" t="s">
        <v>20</v>
      </c>
      <c r="M52">
        <v>11</v>
      </c>
      <c r="N52">
        <v>5</v>
      </c>
      <c r="O52">
        <v>3</v>
      </c>
      <c r="P52" t="s">
        <v>25</v>
      </c>
      <c r="Q52" s="1">
        <v>1</v>
      </c>
      <c r="R52" s="2">
        <v>46174</v>
      </c>
      <c r="S52" s="2"/>
      <c r="T52" s="1" t="str">
        <f t="shared" si="0"/>
        <v>qua</v>
      </c>
      <c r="U52" s="1" t="str">
        <f t="shared" si="1"/>
        <v>mar</v>
      </c>
      <c r="V52">
        <f t="shared" si="2"/>
        <v>2022</v>
      </c>
      <c r="W52">
        <f>_xlfn.XLOOKUP(A52,Absenteismo!A:A,Absenteismo!A:A,0)</f>
        <v>1565</v>
      </c>
    </row>
    <row r="53" spans="1:23" hidden="1" x14ac:dyDescent="0.3">
      <c r="A53">
        <v>1570</v>
      </c>
      <c r="B53">
        <v>21</v>
      </c>
      <c r="C53" t="s">
        <v>15</v>
      </c>
      <c r="D53" t="s">
        <v>29</v>
      </c>
      <c r="E53" t="s">
        <v>17</v>
      </c>
      <c r="F53" t="s">
        <v>18</v>
      </c>
      <c r="G53">
        <v>46</v>
      </c>
      <c r="H53">
        <v>4223</v>
      </c>
      <c r="I53" t="s">
        <v>19</v>
      </c>
      <c r="J53" s="2">
        <v>44713</v>
      </c>
      <c r="K53">
        <v>16</v>
      </c>
      <c r="L53" t="s">
        <v>20</v>
      </c>
      <c r="M53">
        <v>22</v>
      </c>
      <c r="N53">
        <v>9</v>
      </c>
      <c r="O53">
        <v>2</v>
      </c>
      <c r="P53" t="s">
        <v>25</v>
      </c>
      <c r="Q53" s="1">
        <v>3</v>
      </c>
      <c r="R53" s="2">
        <v>46174</v>
      </c>
      <c r="S53" s="2"/>
      <c r="T53" s="1" t="str">
        <f t="shared" si="0"/>
        <v>qua</v>
      </c>
      <c r="U53" s="1" t="str">
        <f t="shared" si="1"/>
        <v>jun</v>
      </c>
      <c r="V53">
        <f t="shared" si="2"/>
        <v>2022</v>
      </c>
      <c r="W53">
        <f>_xlfn.XLOOKUP(A53,Absenteismo!A:A,Absenteismo!A:A,0)</f>
        <v>1570</v>
      </c>
    </row>
    <row r="54" spans="1:23" hidden="1" x14ac:dyDescent="0.3">
      <c r="A54">
        <v>1622</v>
      </c>
      <c r="B54">
        <v>21</v>
      </c>
      <c r="C54" t="s">
        <v>15</v>
      </c>
      <c r="D54" t="s">
        <v>29</v>
      </c>
      <c r="E54" t="s">
        <v>17</v>
      </c>
      <c r="F54" t="s">
        <v>21</v>
      </c>
      <c r="G54">
        <v>118</v>
      </c>
      <c r="H54">
        <v>7150</v>
      </c>
      <c r="I54" t="s">
        <v>19</v>
      </c>
      <c r="J54" s="2">
        <v>42184</v>
      </c>
      <c r="K54">
        <v>4</v>
      </c>
      <c r="L54" t="s">
        <v>25</v>
      </c>
      <c r="M54">
        <v>5</v>
      </c>
      <c r="N54">
        <v>2</v>
      </c>
      <c r="O54">
        <v>2</v>
      </c>
      <c r="P54" t="s">
        <v>25</v>
      </c>
      <c r="Q54" s="1">
        <v>3</v>
      </c>
      <c r="R54" s="2">
        <v>46174</v>
      </c>
      <c r="S54" s="2"/>
      <c r="T54" s="1" t="str">
        <f t="shared" si="0"/>
        <v>seg</v>
      </c>
      <c r="U54" s="1" t="str">
        <f t="shared" si="1"/>
        <v>jun</v>
      </c>
      <c r="V54">
        <f t="shared" si="2"/>
        <v>2015</v>
      </c>
      <c r="W54">
        <f>_xlfn.XLOOKUP(A54,Absenteismo!A:A,Absenteismo!A:A,0)</f>
        <v>1622</v>
      </c>
    </row>
    <row r="55" spans="1:23" x14ac:dyDescent="0.3">
      <c r="A55">
        <v>1628</v>
      </c>
      <c r="B55">
        <v>21</v>
      </c>
      <c r="C55" t="s">
        <v>15</v>
      </c>
      <c r="D55" t="s">
        <v>27</v>
      </c>
      <c r="E55" t="s">
        <v>17</v>
      </c>
      <c r="F55" t="s">
        <v>18</v>
      </c>
      <c r="G55">
        <v>6</v>
      </c>
      <c r="H55">
        <v>2829</v>
      </c>
      <c r="I55" t="s">
        <v>24</v>
      </c>
      <c r="J55" s="2">
        <v>45667</v>
      </c>
      <c r="K55">
        <v>40</v>
      </c>
      <c r="L55" t="s">
        <v>20</v>
      </c>
      <c r="M55">
        <v>16</v>
      </c>
      <c r="N55">
        <v>2</v>
      </c>
      <c r="O55">
        <v>5</v>
      </c>
      <c r="P55" t="s">
        <v>25</v>
      </c>
      <c r="Q55" s="1">
        <v>2</v>
      </c>
      <c r="R55" s="2">
        <v>46174</v>
      </c>
      <c r="S55" s="2"/>
      <c r="T55" s="1" t="str">
        <f t="shared" si="0"/>
        <v>sex</v>
      </c>
      <c r="U55" s="1" t="str">
        <f t="shared" si="1"/>
        <v>jan</v>
      </c>
      <c r="V55">
        <f t="shared" si="2"/>
        <v>2025</v>
      </c>
      <c r="W55">
        <f>_xlfn.XLOOKUP(A55,Absenteismo!A:A,Absenteismo!A:A,0)</f>
        <v>0</v>
      </c>
    </row>
    <row r="56" spans="1:23" hidden="1" x14ac:dyDescent="0.3">
      <c r="A56">
        <v>1716</v>
      </c>
      <c r="B56">
        <v>21</v>
      </c>
      <c r="C56" t="s">
        <v>26</v>
      </c>
      <c r="D56" t="s">
        <v>22</v>
      </c>
      <c r="E56" t="s">
        <v>17</v>
      </c>
      <c r="F56" t="s">
        <v>23</v>
      </c>
      <c r="G56">
        <v>83</v>
      </c>
      <c r="H56">
        <v>3539</v>
      </c>
      <c r="I56" t="s">
        <v>28</v>
      </c>
      <c r="J56" s="2">
        <v>43360</v>
      </c>
      <c r="K56">
        <v>39</v>
      </c>
      <c r="L56" t="s">
        <v>20</v>
      </c>
      <c r="M56">
        <v>29</v>
      </c>
      <c r="N56">
        <v>9</v>
      </c>
      <c r="O56">
        <v>2</v>
      </c>
      <c r="P56" t="s">
        <v>25</v>
      </c>
      <c r="Q56" s="1">
        <v>3</v>
      </c>
      <c r="R56" s="2">
        <v>46174</v>
      </c>
      <c r="S56" s="2"/>
      <c r="T56" s="1" t="str">
        <f t="shared" si="0"/>
        <v>seg</v>
      </c>
      <c r="U56" s="1" t="str">
        <f t="shared" si="1"/>
        <v>set</v>
      </c>
      <c r="V56">
        <f t="shared" si="2"/>
        <v>2018</v>
      </c>
      <c r="W56">
        <f>_xlfn.XLOOKUP(A56,Absenteismo!A:A,Absenteismo!A:A,0)</f>
        <v>1716</v>
      </c>
    </row>
    <row r="57" spans="1:23" hidden="1" x14ac:dyDescent="0.3">
      <c r="A57">
        <v>1726</v>
      </c>
      <c r="B57">
        <v>21</v>
      </c>
      <c r="C57" t="s">
        <v>26</v>
      </c>
      <c r="D57" t="s">
        <v>22</v>
      </c>
      <c r="E57" t="s">
        <v>17</v>
      </c>
      <c r="F57" t="s">
        <v>21</v>
      </c>
      <c r="G57">
        <v>120</v>
      </c>
      <c r="H57">
        <v>3640</v>
      </c>
      <c r="I57" t="s">
        <v>28</v>
      </c>
      <c r="J57" s="2">
        <v>42248</v>
      </c>
      <c r="K57">
        <v>55</v>
      </c>
      <c r="L57" t="s">
        <v>20</v>
      </c>
      <c r="M57">
        <v>5</v>
      </c>
      <c r="N57">
        <v>12</v>
      </c>
      <c r="O57">
        <v>3</v>
      </c>
      <c r="P57" t="s">
        <v>25</v>
      </c>
      <c r="Q57" s="1">
        <v>2</v>
      </c>
      <c r="R57" s="2">
        <v>46174</v>
      </c>
      <c r="S57" s="2"/>
      <c r="T57" s="1" t="str">
        <f t="shared" si="0"/>
        <v>ter</v>
      </c>
      <c r="U57" s="1" t="str">
        <f t="shared" si="1"/>
        <v>set</v>
      </c>
      <c r="V57">
        <f t="shared" si="2"/>
        <v>2015</v>
      </c>
      <c r="W57">
        <f>_xlfn.XLOOKUP(A57,Absenteismo!A:A,Absenteismo!A:A,0)</f>
        <v>1726</v>
      </c>
    </row>
    <row r="58" spans="1:23" hidden="1" x14ac:dyDescent="0.3">
      <c r="A58">
        <v>1736</v>
      </c>
      <c r="B58">
        <v>21</v>
      </c>
      <c r="C58" t="s">
        <v>26</v>
      </c>
      <c r="D58" t="s">
        <v>16</v>
      </c>
      <c r="E58" t="s">
        <v>17</v>
      </c>
      <c r="F58" t="s">
        <v>18</v>
      </c>
      <c r="G58">
        <v>56</v>
      </c>
      <c r="H58">
        <v>6076</v>
      </c>
      <c r="I58" t="s">
        <v>33</v>
      </c>
      <c r="J58" s="2">
        <v>44401</v>
      </c>
      <c r="K58">
        <v>58</v>
      </c>
      <c r="L58" t="s">
        <v>25</v>
      </c>
      <c r="M58">
        <v>21</v>
      </c>
      <c r="N58">
        <v>2</v>
      </c>
      <c r="O58">
        <v>5</v>
      </c>
      <c r="P58" t="s">
        <v>25</v>
      </c>
      <c r="Q58" s="1">
        <v>1</v>
      </c>
      <c r="R58" s="2">
        <v>46174</v>
      </c>
      <c r="S58" s="2"/>
      <c r="T58" s="1" t="str">
        <f t="shared" si="0"/>
        <v>sáb</v>
      </c>
      <c r="U58" s="1" t="str">
        <f t="shared" si="1"/>
        <v>jul</v>
      </c>
      <c r="V58">
        <f t="shared" si="2"/>
        <v>2021</v>
      </c>
      <c r="W58">
        <f>_xlfn.XLOOKUP(A58,Absenteismo!A:A,Absenteismo!A:A,0)</f>
        <v>1736</v>
      </c>
    </row>
    <row r="59" spans="1:23" hidden="1" x14ac:dyDescent="0.3">
      <c r="A59">
        <v>1763</v>
      </c>
      <c r="B59">
        <v>21</v>
      </c>
      <c r="C59" t="s">
        <v>15</v>
      </c>
      <c r="D59" t="s">
        <v>29</v>
      </c>
      <c r="E59" t="s">
        <v>17</v>
      </c>
      <c r="F59" t="s">
        <v>21</v>
      </c>
      <c r="G59">
        <v>42</v>
      </c>
      <c r="H59">
        <v>6718</v>
      </c>
      <c r="I59" t="s">
        <v>28</v>
      </c>
      <c r="J59" s="2">
        <v>44723</v>
      </c>
      <c r="K59">
        <v>25</v>
      </c>
      <c r="L59" t="s">
        <v>20</v>
      </c>
      <c r="M59">
        <v>11</v>
      </c>
      <c r="N59">
        <v>7</v>
      </c>
      <c r="O59">
        <v>4</v>
      </c>
      <c r="P59" t="s">
        <v>25</v>
      </c>
      <c r="Q59" s="1">
        <v>3</v>
      </c>
      <c r="R59" s="2">
        <v>46174</v>
      </c>
      <c r="S59" s="2"/>
      <c r="T59" s="1" t="str">
        <f t="shared" si="0"/>
        <v>sáb</v>
      </c>
      <c r="U59" s="1" t="str">
        <f t="shared" si="1"/>
        <v>jun</v>
      </c>
      <c r="V59">
        <f t="shared" si="2"/>
        <v>2022</v>
      </c>
      <c r="W59">
        <f>_xlfn.XLOOKUP(A59,Absenteismo!A:A,Absenteismo!A:A,0)</f>
        <v>1763</v>
      </c>
    </row>
    <row r="60" spans="1:23" hidden="1" x14ac:dyDescent="0.3">
      <c r="A60">
        <v>1787</v>
      </c>
      <c r="B60">
        <v>21</v>
      </c>
      <c r="C60" t="s">
        <v>26</v>
      </c>
      <c r="D60" t="s">
        <v>31</v>
      </c>
      <c r="E60" t="s">
        <v>34</v>
      </c>
      <c r="F60" t="s">
        <v>21</v>
      </c>
      <c r="G60">
        <v>41</v>
      </c>
      <c r="H60">
        <v>6210</v>
      </c>
      <c r="I60" t="s">
        <v>33</v>
      </c>
      <c r="J60" s="2">
        <v>44622</v>
      </c>
      <c r="K60">
        <v>10</v>
      </c>
      <c r="L60" t="s">
        <v>20</v>
      </c>
      <c r="M60">
        <v>11</v>
      </c>
      <c r="N60">
        <v>12</v>
      </c>
      <c r="O60">
        <v>5</v>
      </c>
      <c r="P60" t="s">
        <v>25</v>
      </c>
      <c r="Q60" s="1">
        <v>1</v>
      </c>
      <c r="R60" s="2">
        <v>46174</v>
      </c>
      <c r="S60" s="2"/>
      <c r="T60" s="1" t="str">
        <f t="shared" si="0"/>
        <v>qua</v>
      </c>
      <c r="U60" s="1" t="str">
        <f t="shared" si="1"/>
        <v>mar</v>
      </c>
      <c r="V60">
        <f t="shared" si="2"/>
        <v>2022</v>
      </c>
      <c r="W60">
        <f>_xlfn.XLOOKUP(A60,Absenteismo!A:A,Absenteismo!A:A,0)</f>
        <v>1787</v>
      </c>
    </row>
    <row r="61" spans="1:23" hidden="1" x14ac:dyDescent="0.3">
      <c r="A61">
        <v>1837</v>
      </c>
      <c r="B61">
        <v>21</v>
      </c>
      <c r="C61" t="s">
        <v>15</v>
      </c>
      <c r="D61" t="s">
        <v>16</v>
      </c>
      <c r="E61" t="s">
        <v>17</v>
      </c>
      <c r="F61" t="s">
        <v>18</v>
      </c>
      <c r="G61">
        <v>3</v>
      </c>
      <c r="H61">
        <v>3817</v>
      </c>
      <c r="I61" t="s">
        <v>19</v>
      </c>
      <c r="J61" s="2">
        <v>46103</v>
      </c>
      <c r="K61">
        <v>29</v>
      </c>
      <c r="L61" t="s">
        <v>20</v>
      </c>
      <c r="M61">
        <v>27</v>
      </c>
      <c r="N61">
        <v>3</v>
      </c>
      <c r="O61">
        <v>3</v>
      </c>
      <c r="P61" t="s">
        <v>25</v>
      </c>
      <c r="Q61" s="1">
        <v>3</v>
      </c>
      <c r="R61" s="2">
        <v>46174</v>
      </c>
      <c r="S61" s="2"/>
      <c r="T61" s="1" t="str">
        <f t="shared" si="0"/>
        <v>dom</v>
      </c>
      <c r="U61" s="1" t="str">
        <f t="shared" si="1"/>
        <v>mar</v>
      </c>
      <c r="V61">
        <f t="shared" si="2"/>
        <v>2026</v>
      </c>
      <c r="W61">
        <f>_xlfn.XLOOKUP(A61,Absenteismo!A:A,Absenteismo!A:A,0)</f>
        <v>1837</v>
      </c>
    </row>
    <row r="62" spans="1:23" hidden="1" x14ac:dyDescent="0.3">
      <c r="A62">
        <v>1865</v>
      </c>
      <c r="B62">
        <v>21</v>
      </c>
      <c r="C62" t="s">
        <v>15</v>
      </c>
      <c r="D62" t="s">
        <v>31</v>
      </c>
      <c r="E62" t="s">
        <v>34</v>
      </c>
      <c r="F62" t="s">
        <v>21</v>
      </c>
      <c r="G62">
        <v>51</v>
      </c>
      <c r="H62">
        <v>6864</v>
      </c>
      <c r="I62" t="s">
        <v>30</v>
      </c>
      <c r="J62" s="2">
        <v>44526</v>
      </c>
      <c r="K62">
        <v>25</v>
      </c>
      <c r="L62" t="s">
        <v>20</v>
      </c>
      <c r="M62">
        <v>11</v>
      </c>
      <c r="N62">
        <v>5</v>
      </c>
      <c r="O62">
        <v>3</v>
      </c>
      <c r="P62" t="s">
        <v>25</v>
      </c>
      <c r="Q62" s="1">
        <v>2</v>
      </c>
      <c r="R62" s="2">
        <v>46174</v>
      </c>
      <c r="S62" s="2"/>
      <c r="T62" s="1" t="str">
        <f t="shared" si="0"/>
        <v>sex</v>
      </c>
      <c r="U62" s="1" t="str">
        <f t="shared" si="1"/>
        <v>nov</v>
      </c>
      <c r="V62">
        <f t="shared" si="2"/>
        <v>2021</v>
      </c>
      <c r="W62">
        <f>_xlfn.XLOOKUP(A62,Absenteismo!A:A,Absenteismo!A:A,0)</f>
        <v>1865</v>
      </c>
    </row>
    <row r="63" spans="1:23" hidden="1" x14ac:dyDescent="0.3">
      <c r="A63">
        <v>1870</v>
      </c>
      <c r="B63">
        <v>21</v>
      </c>
      <c r="C63" t="s">
        <v>15</v>
      </c>
      <c r="D63" t="s">
        <v>29</v>
      </c>
      <c r="E63" t="s">
        <v>17</v>
      </c>
      <c r="F63" t="s">
        <v>18</v>
      </c>
      <c r="G63">
        <v>46</v>
      </c>
      <c r="H63">
        <v>4223</v>
      </c>
      <c r="I63" t="s">
        <v>19</v>
      </c>
      <c r="J63" s="2">
        <v>44549</v>
      </c>
      <c r="K63">
        <v>16</v>
      </c>
      <c r="L63" t="s">
        <v>20</v>
      </c>
      <c r="M63">
        <v>22</v>
      </c>
      <c r="N63">
        <v>9</v>
      </c>
      <c r="O63">
        <v>2</v>
      </c>
      <c r="P63" t="s">
        <v>25</v>
      </c>
      <c r="Q63" s="1">
        <v>1</v>
      </c>
      <c r="R63" s="2">
        <v>46174</v>
      </c>
      <c r="S63" s="2"/>
      <c r="T63" s="1" t="str">
        <f t="shared" si="0"/>
        <v>dom</v>
      </c>
      <c r="U63" s="1" t="str">
        <f t="shared" si="1"/>
        <v>dez</v>
      </c>
      <c r="V63">
        <f t="shared" si="2"/>
        <v>2021</v>
      </c>
      <c r="W63">
        <f>_xlfn.XLOOKUP(A63,Absenteismo!A:A,Absenteismo!A:A,0)</f>
        <v>1870</v>
      </c>
    </row>
    <row r="64" spans="1:23" hidden="1" x14ac:dyDescent="0.3">
      <c r="A64">
        <v>1922</v>
      </c>
      <c r="B64">
        <v>21</v>
      </c>
      <c r="C64" t="s">
        <v>15</v>
      </c>
      <c r="D64" t="s">
        <v>29</v>
      </c>
      <c r="E64" t="s">
        <v>17</v>
      </c>
      <c r="F64" t="s">
        <v>21</v>
      </c>
      <c r="G64">
        <v>118</v>
      </c>
      <c r="H64">
        <v>7150</v>
      </c>
      <c r="I64" t="s">
        <v>19</v>
      </c>
      <c r="J64" s="2">
        <v>42399</v>
      </c>
      <c r="K64">
        <v>4</v>
      </c>
      <c r="L64" t="s">
        <v>25</v>
      </c>
      <c r="M64">
        <v>5</v>
      </c>
      <c r="N64">
        <v>2</v>
      </c>
      <c r="O64">
        <v>2</v>
      </c>
      <c r="P64" t="s">
        <v>25</v>
      </c>
      <c r="Q64" s="1">
        <v>1</v>
      </c>
      <c r="R64" s="2">
        <v>46174</v>
      </c>
      <c r="S64" s="2"/>
      <c r="T64" s="1" t="str">
        <f t="shared" si="0"/>
        <v>sáb</v>
      </c>
      <c r="U64" s="1" t="str">
        <f t="shared" si="1"/>
        <v>jan</v>
      </c>
      <c r="V64">
        <f t="shared" si="2"/>
        <v>2016</v>
      </c>
      <c r="W64">
        <f>_xlfn.XLOOKUP(A64,Absenteismo!A:A,Absenteismo!A:A,0)</f>
        <v>1922</v>
      </c>
    </row>
    <row r="65" spans="1:23" x14ac:dyDescent="0.3">
      <c r="A65">
        <v>1928</v>
      </c>
      <c r="B65">
        <v>21</v>
      </c>
      <c r="C65" t="s">
        <v>15</v>
      </c>
      <c r="D65" t="s">
        <v>27</v>
      </c>
      <c r="E65" t="s">
        <v>17</v>
      </c>
      <c r="F65" t="s">
        <v>18</v>
      </c>
      <c r="G65">
        <v>6</v>
      </c>
      <c r="H65">
        <v>2829</v>
      </c>
      <c r="I65" t="s">
        <v>24</v>
      </c>
      <c r="J65" s="2">
        <v>45670</v>
      </c>
      <c r="K65">
        <v>40</v>
      </c>
      <c r="L65" t="s">
        <v>20</v>
      </c>
      <c r="M65">
        <v>16</v>
      </c>
      <c r="N65">
        <v>2</v>
      </c>
      <c r="O65">
        <v>5</v>
      </c>
      <c r="P65" t="s">
        <v>25</v>
      </c>
      <c r="Q65" s="1">
        <v>2</v>
      </c>
      <c r="R65" s="2">
        <v>46174</v>
      </c>
      <c r="S65" s="2"/>
      <c r="T65" s="1" t="str">
        <f t="shared" si="0"/>
        <v>seg</v>
      </c>
      <c r="U65" s="1" t="str">
        <f t="shared" si="1"/>
        <v>jan</v>
      </c>
      <c r="V65">
        <f t="shared" si="2"/>
        <v>2025</v>
      </c>
      <c r="W65">
        <f>_xlfn.XLOOKUP(A65,Absenteismo!A:A,Absenteismo!A:A,0)</f>
        <v>0</v>
      </c>
    </row>
    <row r="66" spans="1:23" hidden="1" x14ac:dyDescent="0.3">
      <c r="A66">
        <v>2016</v>
      </c>
      <c r="B66">
        <v>21</v>
      </c>
      <c r="C66" t="s">
        <v>26</v>
      </c>
      <c r="D66" t="s">
        <v>22</v>
      </c>
      <c r="E66" t="s">
        <v>17</v>
      </c>
      <c r="F66" t="s">
        <v>23</v>
      </c>
      <c r="G66">
        <v>83</v>
      </c>
      <c r="H66">
        <v>3539</v>
      </c>
      <c r="I66" t="s">
        <v>28</v>
      </c>
      <c r="J66" s="2">
        <v>43390</v>
      </c>
      <c r="K66">
        <v>39</v>
      </c>
      <c r="L66" t="s">
        <v>20</v>
      </c>
      <c r="M66">
        <v>29</v>
      </c>
      <c r="N66">
        <v>9</v>
      </c>
      <c r="O66">
        <v>2</v>
      </c>
      <c r="P66" t="s">
        <v>25</v>
      </c>
      <c r="Q66" s="1">
        <v>3</v>
      </c>
      <c r="R66" s="2">
        <v>46174</v>
      </c>
      <c r="S66" s="2"/>
      <c r="T66" s="1" t="str">
        <f t="shared" ref="T66:T129" si="3">TEXT($J66,"ddd")</f>
        <v>qua</v>
      </c>
      <c r="U66" s="1" t="str">
        <f t="shared" ref="U66:U129" si="4">TEXT($J66,"mmm")</f>
        <v>out</v>
      </c>
      <c r="V66">
        <f t="shared" ref="V66:V129" si="5">YEAR(J66)</f>
        <v>2018</v>
      </c>
      <c r="W66">
        <f>_xlfn.XLOOKUP(A66,Absenteismo!A:A,Absenteismo!A:A,0)</f>
        <v>2016</v>
      </c>
    </row>
    <row r="67" spans="1:23" hidden="1" x14ac:dyDescent="0.3">
      <c r="A67">
        <v>2026</v>
      </c>
      <c r="B67">
        <v>21</v>
      </c>
      <c r="C67" t="s">
        <v>26</v>
      </c>
      <c r="D67" t="s">
        <v>22</v>
      </c>
      <c r="E67" t="s">
        <v>17</v>
      </c>
      <c r="F67" t="s">
        <v>21</v>
      </c>
      <c r="G67">
        <v>120</v>
      </c>
      <c r="H67">
        <v>3640</v>
      </c>
      <c r="I67" t="s">
        <v>28</v>
      </c>
      <c r="J67" s="2">
        <v>42419</v>
      </c>
      <c r="K67">
        <v>55</v>
      </c>
      <c r="L67" t="s">
        <v>20</v>
      </c>
      <c r="M67">
        <v>5</v>
      </c>
      <c r="N67">
        <v>12</v>
      </c>
      <c r="O67">
        <v>3</v>
      </c>
      <c r="P67" t="s">
        <v>25</v>
      </c>
      <c r="Q67" s="1">
        <v>1</v>
      </c>
      <c r="R67" s="2">
        <v>46174</v>
      </c>
      <c r="S67" s="2"/>
      <c r="T67" s="1" t="str">
        <f t="shared" si="3"/>
        <v>sex</v>
      </c>
      <c r="U67" s="1" t="str">
        <f t="shared" si="4"/>
        <v>fev</v>
      </c>
      <c r="V67">
        <f t="shared" si="5"/>
        <v>2016</v>
      </c>
      <c r="W67">
        <f>_xlfn.XLOOKUP(A67,Absenteismo!A:A,Absenteismo!A:A,0)</f>
        <v>2026</v>
      </c>
    </row>
    <row r="68" spans="1:23" hidden="1" x14ac:dyDescent="0.3">
      <c r="A68">
        <v>2036</v>
      </c>
      <c r="B68">
        <v>21</v>
      </c>
      <c r="C68" t="s">
        <v>26</v>
      </c>
      <c r="D68" t="s">
        <v>16</v>
      </c>
      <c r="E68" t="s">
        <v>17</v>
      </c>
      <c r="F68" t="s">
        <v>18</v>
      </c>
      <c r="G68">
        <v>56</v>
      </c>
      <c r="H68">
        <v>6076</v>
      </c>
      <c r="I68" t="s">
        <v>33</v>
      </c>
      <c r="J68" s="2">
        <v>44450</v>
      </c>
      <c r="K68">
        <v>58</v>
      </c>
      <c r="L68" t="s">
        <v>25</v>
      </c>
      <c r="M68">
        <v>21</v>
      </c>
      <c r="N68">
        <v>2</v>
      </c>
      <c r="O68">
        <v>5</v>
      </c>
      <c r="P68" t="s">
        <v>25</v>
      </c>
      <c r="Q68" s="1">
        <v>2</v>
      </c>
      <c r="R68" s="2">
        <v>46174</v>
      </c>
      <c r="S68" s="2"/>
      <c r="T68" s="1" t="str">
        <f t="shared" si="3"/>
        <v>sáb</v>
      </c>
      <c r="U68" s="1" t="str">
        <f t="shared" si="4"/>
        <v>set</v>
      </c>
      <c r="V68">
        <f t="shared" si="5"/>
        <v>2021</v>
      </c>
      <c r="W68">
        <f>_xlfn.XLOOKUP(A68,Absenteismo!A:A,Absenteismo!A:A,0)</f>
        <v>2036</v>
      </c>
    </row>
    <row r="69" spans="1:23" hidden="1" x14ac:dyDescent="0.3">
      <c r="A69">
        <v>2063</v>
      </c>
      <c r="B69">
        <v>21</v>
      </c>
      <c r="C69" t="s">
        <v>15</v>
      </c>
      <c r="D69" t="s">
        <v>29</v>
      </c>
      <c r="E69" t="s">
        <v>17</v>
      </c>
      <c r="F69" t="s">
        <v>21</v>
      </c>
      <c r="G69">
        <v>42</v>
      </c>
      <c r="H69">
        <v>6718</v>
      </c>
      <c r="I69" t="s">
        <v>28</v>
      </c>
      <c r="J69" s="2">
        <v>44736</v>
      </c>
      <c r="K69">
        <v>25</v>
      </c>
      <c r="L69" t="s">
        <v>20</v>
      </c>
      <c r="M69">
        <v>11</v>
      </c>
      <c r="N69">
        <v>7</v>
      </c>
      <c r="O69">
        <v>4</v>
      </c>
      <c r="P69" t="s">
        <v>25</v>
      </c>
      <c r="Q69" s="1">
        <v>3</v>
      </c>
      <c r="R69" s="2">
        <v>46174</v>
      </c>
      <c r="S69" s="2"/>
      <c r="T69" s="1" t="str">
        <f t="shared" si="3"/>
        <v>sex</v>
      </c>
      <c r="U69" s="1" t="str">
        <f t="shared" si="4"/>
        <v>jun</v>
      </c>
      <c r="V69">
        <f t="shared" si="5"/>
        <v>2022</v>
      </c>
      <c r="W69">
        <f>_xlfn.XLOOKUP(A69,Absenteismo!A:A,Absenteismo!A:A,0)</f>
        <v>2063</v>
      </c>
    </row>
    <row r="70" spans="1:23" hidden="1" x14ac:dyDescent="0.3">
      <c r="A70">
        <v>2087</v>
      </c>
      <c r="B70">
        <v>21</v>
      </c>
      <c r="C70" t="s">
        <v>26</v>
      </c>
      <c r="D70" t="s">
        <v>31</v>
      </c>
      <c r="E70" t="s">
        <v>34</v>
      </c>
      <c r="F70" t="s">
        <v>21</v>
      </c>
      <c r="G70">
        <v>41</v>
      </c>
      <c r="H70">
        <v>6210</v>
      </c>
      <c r="I70" t="s">
        <v>33</v>
      </c>
      <c r="J70" s="2">
        <v>44835</v>
      </c>
      <c r="K70">
        <v>10</v>
      </c>
      <c r="L70" t="s">
        <v>20</v>
      </c>
      <c r="M70">
        <v>11</v>
      </c>
      <c r="N70">
        <v>12</v>
      </c>
      <c r="O70">
        <v>5</v>
      </c>
      <c r="P70" t="s">
        <v>25</v>
      </c>
      <c r="Q70" s="1">
        <v>1</v>
      </c>
      <c r="R70" s="2">
        <v>46174</v>
      </c>
      <c r="S70" s="2"/>
      <c r="T70" s="1" t="str">
        <f t="shared" si="3"/>
        <v>sáb</v>
      </c>
      <c r="U70" s="1" t="str">
        <f t="shared" si="4"/>
        <v>out</v>
      </c>
      <c r="V70">
        <f t="shared" si="5"/>
        <v>2022</v>
      </c>
      <c r="W70">
        <f>_xlfn.XLOOKUP(A70,Absenteismo!A:A,Absenteismo!A:A,0)</f>
        <v>2087</v>
      </c>
    </row>
    <row r="71" spans="1:23" hidden="1" x14ac:dyDescent="0.3">
      <c r="A71">
        <v>2137</v>
      </c>
      <c r="B71">
        <v>21</v>
      </c>
      <c r="C71" t="s">
        <v>15</v>
      </c>
      <c r="D71" t="s">
        <v>16</v>
      </c>
      <c r="E71" t="s">
        <v>17</v>
      </c>
      <c r="F71" t="s">
        <v>18</v>
      </c>
      <c r="G71">
        <v>3</v>
      </c>
      <c r="H71">
        <v>3817</v>
      </c>
      <c r="I71" t="s">
        <v>19</v>
      </c>
      <c r="J71" s="2">
        <v>46059</v>
      </c>
      <c r="K71">
        <v>29</v>
      </c>
      <c r="L71" t="s">
        <v>20</v>
      </c>
      <c r="M71">
        <v>27</v>
      </c>
      <c r="N71">
        <v>3</v>
      </c>
      <c r="O71">
        <v>3</v>
      </c>
      <c r="P71" t="s">
        <v>25</v>
      </c>
      <c r="Q71" s="1">
        <v>3</v>
      </c>
      <c r="R71" s="2">
        <v>46174</v>
      </c>
      <c r="S71" s="2"/>
      <c r="T71" s="1" t="str">
        <f t="shared" si="3"/>
        <v>sex</v>
      </c>
      <c r="U71" s="1" t="str">
        <f t="shared" si="4"/>
        <v>fev</v>
      </c>
      <c r="V71">
        <f t="shared" si="5"/>
        <v>2026</v>
      </c>
      <c r="W71">
        <f>_xlfn.XLOOKUP(A71,Absenteismo!A:A,Absenteismo!A:A,0)</f>
        <v>2137</v>
      </c>
    </row>
    <row r="72" spans="1:23" hidden="1" x14ac:dyDescent="0.3">
      <c r="A72">
        <v>2165</v>
      </c>
      <c r="B72">
        <v>21</v>
      </c>
      <c r="C72" t="s">
        <v>15</v>
      </c>
      <c r="D72" t="s">
        <v>31</v>
      </c>
      <c r="E72" t="s">
        <v>34</v>
      </c>
      <c r="F72" t="s">
        <v>21</v>
      </c>
      <c r="G72">
        <v>51</v>
      </c>
      <c r="H72">
        <v>6864</v>
      </c>
      <c r="I72" t="s">
        <v>30</v>
      </c>
      <c r="J72" s="2">
        <v>44254</v>
      </c>
      <c r="K72">
        <v>25</v>
      </c>
      <c r="L72" t="s">
        <v>20</v>
      </c>
      <c r="M72">
        <v>11</v>
      </c>
      <c r="N72">
        <v>5</v>
      </c>
      <c r="O72">
        <v>3</v>
      </c>
      <c r="P72" t="s">
        <v>25</v>
      </c>
      <c r="Q72" s="1">
        <v>3</v>
      </c>
      <c r="R72" s="2">
        <v>46174</v>
      </c>
      <c r="S72" s="2"/>
      <c r="T72" s="1" t="str">
        <f t="shared" si="3"/>
        <v>sáb</v>
      </c>
      <c r="U72" s="1" t="str">
        <f t="shared" si="4"/>
        <v>fev</v>
      </c>
      <c r="V72">
        <f t="shared" si="5"/>
        <v>2021</v>
      </c>
      <c r="W72">
        <f>_xlfn.XLOOKUP(A72,Absenteismo!A:A,Absenteismo!A:A,0)</f>
        <v>2165</v>
      </c>
    </row>
    <row r="73" spans="1:23" x14ac:dyDescent="0.3">
      <c r="A73">
        <v>2170</v>
      </c>
      <c r="B73">
        <v>21</v>
      </c>
      <c r="C73" t="s">
        <v>15</v>
      </c>
      <c r="D73" t="s">
        <v>29</v>
      </c>
      <c r="E73" t="s">
        <v>17</v>
      </c>
      <c r="F73" t="s">
        <v>18</v>
      </c>
      <c r="G73">
        <v>46</v>
      </c>
      <c r="H73">
        <v>4223</v>
      </c>
      <c r="I73" t="s">
        <v>19</v>
      </c>
      <c r="J73" s="2">
        <v>44583</v>
      </c>
      <c r="K73">
        <v>16</v>
      </c>
      <c r="L73" t="s">
        <v>20</v>
      </c>
      <c r="M73">
        <v>22</v>
      </c>
      <c r="N73">
        <v>9</v>
      </c>
      <c r="O73">
        <v>2</v>
      </c>
      <c r="P73" t="s">
        <v>25</v>
      </c>
      <c r="Q73" s="1">
        <v>2</v>
      </c>
      <c r="R73" s="2">
        <v>46174</v>
      </c>
      <c r="S73" s="2"/>
      <c r="T73" s="1" t="str">
        <f t="shared" si="3"/>
        <v>sáb</v>
      </c>
      <c r="U73" s="1" t="str">
        <f t="shared" si="4"/>
        <v>jan</v>
      </c>
      <c r="V73">
        <f t="shared" si="5"/>
        <v>2022</v>
      </c>
      <c r="W73">
        <f>_xlfn.XLOOKUP(A73,Absenteismo!A:A,Absenteismo!A:A,0)</f>
        <v>0</v>
      </c>
    </row>
    <row r="74" spans="1:23" hidden="1" x14ac:dyDescent="0.3">
      <c r="A74">
        <v>1114</v>
      </c>
      <c r="B74">
        <v>22</v>
      </c>
      <c r="C74" t="s">
        <v>15</v>
      </c>
      <c r="D74" t="s">
        <v>31</v>
      </c>
      <c r="E74" t="s">
        <v>34</v>
      </c>
      <c r="F74" t="s">
        <v>18</v>
      </c>
      <c r="G74">
        <v>97</v>
      </c>
      <c r="H74">
        <v>7418</v>
      </c>
      <c r="I74" t="s">
        <v>28</v>
      </c>
      <c r="J74" s="2">
        <v>42823</v>
      </c>
      <c r="K74">
        <v>29</v>
      </c>
      <c r="L74" t="s">
        <v>20</v>
      </c>
      <c r="M74">
        <v>20</v>
      </c>
      <c r="N74">
        <v>10</v>
      </c>
      <c r="O74">
        <v>4</v>
      </c>
      <c r="P74" t="s">
        <v>20</v>
      </c>
      <c r="Q74" s="1">
        <v>2</v>
      </c>
      <c r="R74" s="2">
        <v>46174</v>
      </c>
      <c r="S74" s="2">
        <v>45776</v>
      </c>
      <c r="T74" s="1" t="str">
        <f t="shared" si="3"/>
        <v>qua</v>
      </c>
      <c r="U74" s="1" t="str">
        <f t="shared" si="4"/>
        <v>mar</v>
      </c>
      <c r="V74">
        <f t="shared" si="5"/>
        <v>2017</v>
      </c>
      <c r="W74">
        <f>_xlfn.XLOOKUP(A74,Absenteismo!A:A,Absenteismo!A:A,0)</f>
        <v>1114</v>
      </c>
    </row>
    <row r="75" spans="1:23" x14ac:dyDescent="0.3">
      <c r="A75">
        <v>1288</v>
      </c>
      <c r="B75">
        <v>22</v>
      </c>
      <c r="C75" t="s">
        <v>15</v>
      </c>
      <c r="D75" t="s">
        <v>29</v>
      </c>
      <c r="E75" t="s">
        <v>17</v>
      </c>
      <c r="F75" t="s">
        <v>18</v>
      </c>
      <c r="G75">
        <v>71</v>
      </c>
      <c r="H75">
        <v>5471</v>
      </c>
      <c r="I75" t="s">
        <v>24</v>
      </c>
      <c r="J75" s="2">
        <v>43638</v>
      </c>
      <c r="K75">
        <v>34</v>
      </c>
      <c r="L75" t="s">
        <v>20</v>
      </c>
      <c r="M75">
        <v>0</v>
      </c>
      <c r="N75">
        <v>12</v>
      </c>
      <c r="O75">
        <v>5</v>
      </c>
      <c r="P75" t="s">
        <v>20</v>
      </c>
      <c r="Q75" s="1">
        <v>2</v>
      </c>
      <c r="R75" s="2">
        <v>46174</v>
      </c>
      <c r="S75" s="2">
        <v>45799</v>
      </c>
      <c r="T75" s="1" t="str">
        <f t="shared" si="3"/>
        <v>sáb</v>
      </c>
      <c r="U75" s="1" t="str">
        <f t="shared" si="4"/>
        <v>jun</v>
      </c>
      <c r="V75">
        <f t="shared" si="5"/>
        <v>2019</v>
      </c>
      <c r="W75">
        <f>_xlfn.XLOOKUP(A75,Absenteismo!A:A,Absenteismo!A:A,0)</f>
        <v>0</v>
      </c>
    </row>
    <row r="76" spans="1:23" hidden="1" x14ac:dyDescent="0.3">
      <c r="A76">
        <v>1215</v>
      </c>
      <c r="B76">
        <v>22</v>
      </c>
      <c r="C76" t="s">
        <v>26</v>
      </c>
      <c r="D76" t="s">
        <v>27</v>
      </c>
      <c r="E76" t="s">
        <v>17</v>
      </c>
      <c r="F76" t="s">
        <v>23</v>
      </c>
      <c r="G76">
        <v>82</v>
      </c>
      <c r="H76">
        <v>5280</v>
      </c>
      <c r="I76" t="s">
        <v>19</v>
      </c>
      <c r="J76" s="2">
        <v>43318</v>
      </c>
      <c r="K76">
        <v>17</v>
      </c>
      <c r="L76" t="s">
        <v>20</v>
      </c>
      <c r="M76">
        <v>27</v>
      </c>
      <c r="N76">
        <v>12</v>
      </c>
      <c r="O76">
        <v>5</v>
      </c>
      <c r="P76" t="s">
        <v>20</v>
      </c>
      <c r="Q76" s="1">
        <v>2</v>
      </c>
      <c r="R76" s="2">
        <v>46174</v>
      </c>
      <c r="S76" s="2">
        <v>45814</v>
      </c>
      <c r="T76" s="1" t="str">
        <f t="shared" si="3"/>
        <v>seg</v>
      </c>
      <c r="U76" s="1" t="str">
        <f t="shared" si="4"/>
        <v>ago</v>
      </c>
      <c r="V76">
        <f t="shared" si="5"/>
        <v>2018</v>
      </c>
      <c r="W76">
        <f>_xlfn.XLOOKUP(A76,Absenteismo!A:A,Absenteismo!A:A,0)</f>
        <v>1215</v>
      </c>
    </row>
    <row r="77" spans="1:23" hidden="1" x14ac:dyDescent="0.3">
      <c r="A77">
        <v>1515</v>
      </c>
      <c r="B77">
        <v>22</v>
      </c>
      <c r="C77" t="s">
        <v>26</v>
      </c>
      <c r="D77" t="s">
        <v>27</v>
      </c>
      <c r="E77" t="s">
        <v>17</v>
      </c>
      <c r="F77" t="s">
        <v>23</v>
      </c>
      <c r="G77">
        <v>82</v>
      </c>
      <c r="H77">
        <v>5280</v>
      </c>
      <c r="I77" t="s">
        <v>19</v>
      </c>
      <c r="J77" s="2">
        <v>43395</v>
      </c>
      <c r="K77">
        <v>17</v>
      </c>
      <c r="L77" t="s">
        <v>20</v>
      </c>
      <c r="M77">
        <v>27</v>
      </c>
      <c r="N77">
        <v>12</v>
      </c>
      <c r="O77">
        <v>5</v>
      </c>
      <c r="P77" t="s">
        <v>20</v>
      </c>
      <c r="Q77" s="1">
        <v>1</v>
      </c>
      <c r="R77" s="2">
        <v>46174</v>
      </c>
      <c r="S77" s="2">
        <v>45891</v>
      </c>
      <c r="T77" s="1" t="str">
        <f t="shared" si="3"/>
        <v>seg</v>
      </c>
      <c r="U77" s="1" t="str">
        <f t="shared" si="4"/>
        <v>out</v>
      </c>
      <c r="V77">
        <f t="shared" si="5"/>
        <v>2018</v>
      </c>
      <c r="W77">
        <f>_xlfn.XLOOKUP(A77,Absenteismo!A:A,Absenteismo!A:A,0)</f>
        <v>1515</v>
      </c>
    </row>
    <row r="78" spans="1:23" hidden="1" x14ac:dyDescent="0.3">
      <c r="A78">
        <v>1414</v>
      </c>
      <c r="B78">
        <v>22</v>
      </c>
      <c r="C78" t="s">
        <v>15</v>
      </c>
      <c r="D78" t="s">
        <v>31</v>
      </c>
      <c r="E78" t="s">
        <v>34</v>
      </c>
      <c r="F78" t="s">
        <v>18</v>
      </c>
      <c r="G78">
        <v>97</v>
      </c>
      <c r="H78">
        <v>7418</v>
      </c>
      <c r="I78" t="s">
        <v>28</v>
      </c>
      <c r="J78" s="2">
        <v>43070</v>
      </c>
      <c r="K78">
        <v>29</v>
      </c>
      <c r="L78" t="s">
        <v>20</v>
      </c>
      <c r="M78">
        <v>20</v>
      </c>
      <c r="N78">
        <v>10</v>
      </c>
      <c r="O78">
        <v>4</v>
      </c>
      <c r="P78" t="s">
        <v>20</v>
      </c>
      <c r="Q78" s="1">
        <v>2</v>
      </c>
      <c r="R78" s="2">
        <v>46174</v>
      </c>
      <c r="S78" s="2">
        <v>46022</v>
      </c>
      <c r="T78" s="1" t="str">
        <f t="shared" si="3"/>
        <v>sex</v>
      </c>
      <c r="U78" s="1" t="str">
        <f t="shared" si="4"/>
        <v>dez</v>
      </c>
      <c r="V78">
        <f t="shared" si="5"/>
        <v>2017</v>
      </c>
      <c r="W78">
        <f>_xlfn.XLOOKUP(A78,Absenteismo!A:A,Absenteismo!A:A,0)</f>
        <v>1414</v>
      </c>
    </row>
    <row r="79" spans="1:23" hidden="1" x14ac:dyDescent="0.3">
      <c r="A79">
        <v>1815</v>
      </c>
      <c r="B79">
        <v>22</v>
      </c>
      <c r="C79" t="s">
        <v>26</v>
      </c>
      <c r="D79" t="s">
        <v>27</v>
      </c>
      <c r="E79" t="s">
        <v>17</v>
      </c>
      <c r="F79" t="s">
        <v>23</v>
      </c>
      <c r="G79">
        <v>82</v>
      </c>
      <c r="H79">
        <v>5280</v>
      </c>
      <c r="I79" t="s">
        <v>19</v>
      </c>
      <c r="J79" s="2">
        <v>43563</v>
      </c>
      <c r="K79">
        <v>17</v>
      </c>
      <c r="L79" t="s">
        <v>20</v>
      </c>
      <c r="M79">
        <v>27</v>
      </c>
      <c r="N79">
        <v>12</v>
      </c>
      <c r="O79">
        <v>5</v>
      </c>
      <c r="P79" t="s">
        <v>20</v>
      </c>
      <c r="Q79" s="1">
        <v>3</v>
      </c>
      <c r="R79" s="2">
        <v>46174</v>
      </c>
      <c r="S79" s="2">
        <v>46061</v>
      </c>
      <c r="T79" s="1" t="str">
        <f t="shared" si="3"/>
        <v>seg</v>
      </c>
      <c r="U79" s="1" t="str">
        <f t="shared" si="4"/>
        <v>abr</v>
      </c>
      <c r="V79">
        <f t="shared" si="5"/>
        <v>2019</v>
      </c>
      <c r="W79">
        <f>_xlfn.XLOOKUP(A79,Absenteismo!A:A,Absenteismo!A:A,0)</f>
        <v>1815</v>
      </c>
    </row>
    <row r="80" spans="1:23" hidden="1" x14ac:dyDescent="0.3">
      <c r="A80">
        <v>1714</v>
      </c>
      <c r="B80">
        <v>22</v>
      </c>
      <c r="C80" t="s">
        <v>15</v>
      </c>
      <c r="D80" t="s">
        <v>31</v>
      </c>
      <c r="E80" t="s">
        <v>34</v>
      </c>
      <c r="F80" t="s">
        <v>18</v>
      </c>
      <c r="G80">
        <v>97</v>
      </c>
      <c r="H80">
        <v>7418</v>
      </c>
      <c r="I80" t="s">
        <v>28</v>
      </c>
      <c r="J80" s="2">
        <v>43243</v>
      </c>
      <c r="K80">
        <v>29</v>
      </c>
      <c r="L80" t="s">
        <v>20</v>
      </c>
      <c r="M80">
        <v>20</v>
      </c>
      <c r="N80">
        <v>10</v>
      </c>
      <c r="O80">
        <v>4</v>
      </c>
      <c r="P80" t="s">
        <v>20</v>
      </c>
      <c r="Q80" s="1">
        <v>3</v>
      </c>
      <c r="R80" s="2">
        <v>46174</v>
      </c>
      <c r="S80" s="2">
        <v>46196</v>
      </c>
      <c r="T80" s="1" t="str">
        <f t="shared" si="3"/>
        <v>qua</v>
      </c>
      <c r="U80" s="1" t="str">
        <f t="shared" si="4"/>
        <v>mai</v>
      </c>
      <c r="V80">
        <f t="shared" si="5"/>
        <v>2018</v>
      </c>
      <c r="W80">
        <f>_xlfn.XLOOKUP(A80,Absenteismo!A:A,Absenteismo!A:A,0)</f>
        <v>1714</v>
      </c>
    </row>
    <row r="81" spans="1:23" x14ac:dyDescent="0.3">
      <c r="A81">
        <v>1588</v>
      </c>
      <c r="B81">
        <v>22</v>
      </c>
      <c r="C81" t="s">
        <v>15</v>
      </c>
      <c r="D81" t="s">
        <v>29</v>
      </c>
      <c r="E81" t="s">
        <v>17</v>
      </c>
      <c r="F81" t="s">
        <v>18</v>
      </c>
      <c r="G81">
        <v>71</v>
      </c>
      <c r="H81">
        <v>5471</v>
      </c>
      <c r="I81" t="s">
        <v>24</v>
      </c>
      <c r="J81" s="2">
        <v>44041</v>
      </c>
      <c r="K81">
        <v>34</v>
      </c>
      <c r="L81" t="s">
        <v>20</v>
      </c>
      <c r="M81">
        <v>0</v>
      </c>
      <c r="N81">
        <v>12</v>
      </c>
      <c r="O81">
        <v>5</v>
      </c>
      <c r="P81" t="s">
        <v>20</v>
      </c>
      <c r="Q81" s="1">
        <v>3</v>
      </c>
      <c r="R81" s="2">
        <v>46174</v>
      </c>
      <c r="S81" s="2">
        <v>46202</v>
      </c>
      <c r="T81" s="1" t="str">
        <f t="shared" si="3"/>
        <v>qua</v>
      </c>
      <c r="U81" s="1" t="str">
        <f t="shared" si="4"/>
        <v>jul</v>
      </c>
      <c r="V81">
        <f t="shared" si="5"/>
        <v>2020</v>
      </c>
      <c r="W81">
        <f>_xlfn.XLOOKUP(A81,Absenteismo!A:A,Absenteismo!A:A,0)</f>
        <v>0</v>
      </c>
    </row>
    <row r="82" spans="1:23" hidden="1" x14ac:dyDescent="0.3">
      <c r="A82">
        <v>1036</v>
      </c>
      <c r="B82">
        <v>22</v>
      </c>
      <c r="C82" t="s">
        <v>26</v>
      </c>
      <c r="D82" t="s">
        <v>27</v>
      </c>
      <c r="E82" t="s">
        <v>17</v>
      </c>
      <c r="F82" t="s">
        <v>21</v>
      </c>
      <c r="G82">
        <v>109</v>
      </c>
      <c r="H82">
        <v>3820</v>
      </c>
      <c r="I82" t="s">
        <v>24</v>
      </c>
      <c r="J82" s="2">
        <v>42803</v>
      </c>
      <c r="K82">
        <v>33</v>
      </c>
      <c r="L82" t="s">
        <v>20</v>
      </c>
      <c r="M82">
        <v>26</v>
      </c>
      <c r="N82">
        <v>5</v>
      </c>
      <c r="O82">
        <v>5</v>
      </c>
      <c r="P82" t="s">
        <v>25</v>
      </c>
      <c r="Q82" s="1">
        <v>2</v>
      </c>
      <c r="R82" s="2">
        <v>46174</v>
      </c>
      <c r="S82" s="2"/>
      <c r="T82" s="1" t="str">
        <f t="shared" si="3"/>
        <v>qui</v>
      </c>
      <c r="U82" s="1" t="str">
        <f t="shared" si="4"/>
        <v>mar</v>
      </c>
      <c r="V82">
        <f t="shared" si="5"/>
        <v>2017</v>
      </c>
      <c r="W82">
        <f>_xlfn.XLOOKUP(A82,Absenteismo!A:A,Absenteismo!A:A,0)</f>
        <v>1036</v>
      </c>
    </row>
    <row r="83" spans="1:23" hidden="1" x14ac:dyDescent="0.3">
      <c r="A83">
        <v>1062</v>
      </c>
      <c r="B83">
        <v>22</v>
      </c>
      <c r="C83" t="s">
        <v>15</v>
      </c>
      <c r="D83" t="s">
        <v>16</v>
      </c>
      <c r="E83" t="s">
        <v>17</v>
      </c>
      <c r="F83" t="s">
        <v>21</v>
      </c>
      <c r="G83">
        <v>39</v>
      </c>
      <c r="H83">
        <v>3497</v>
      </c>
      <c r="I83" t="s">
        <v>19</v>
      </c>
      <c r="J83" s="2">
        <v>44823</v>
      </c>
      <c r="K83">
        <v>8</v>
      </c>
      <c r="L83" t="s">
        <v>20</v>
      </c>
      <c r="M83">
        <v>26</v>
      </c>
      <c r="N83">
        <v>9</v>
      </c>
      <c r="O83">
        <v>3</v>
      </c>
      <c r="P83" t="s">
        <v>25</v>
      </c>
      <c r="Q83" s="1">
        <v>3</v>
      </c>
      <c r="R83" s="2">
        <v>46174</v>
      </c>
      <c r="S83" s="2"/>
      <c r="T83" s="1" t="str">
        <f t="shared" si="3"/>
        <v>seg</v>
      </c>
      <c r="U83" s="1" t="str">
        <f t="shared" si="4"/>
        <v>set</v>
      </c>
      <c r="V83">
        <f t="shared" si="5"/>
        <v>2022</v>
      </c>
      <c r="W83">
        <f>_xlfn.XLOOKUP(A83,Absenteismo!A:A,Absenteismo!A:A,0)</f>
        <v>1062</v>
      </c>
    </row>
    <row r="84" spans="1:23" x14ac:dyDescent="0.3">
      <c r="A84">
        <v>1115</v>
      </c>
      <c r="B84">
        <v>22</v>
      </c>
      <c r="C84" t="s">
        <v>26</v>
      </c>
      <c r="D84" t="s">
        <v>29</v>
      </c>
      <c r="E84" t="s">
        <v>17</v>
      </c>
      <c r="F84" t="s">
        <v>18</v>
      </c>
      <c r="G84">
        <v>102</v>
      </c>
      <c r="H84">
        <v>5050</v>
      </c>
      <c r="I84" t="s">
        <v>28</v>
      </c>
      <c r="J84" s="2">
        <v>43055</v>
      </c>
      <c r="K84">
        <v>4</v>
      </c>
      <c r="L84" t="s">
        <v>20</v>
      </c>
      <c r="M84">
        <v>4</v>
      </c>
      <c r="N84">
        <v>4</v>
      </c>
      <c r="O84">
        <v>5</v>
      </c>
      <c r="P84" t="s">
        <v>25</v>
      </c>
      <c r="Q84" s="1">
        <v>2</v>
      </c>
      <c r="R84" s="2">
        <v>46174</v>
      </c>
      <c r="S84" s="2"/>
      <c r="T84" s="1" t="str">
        <f t="shared" si="3"/>
        <v>qui</v>
      </c>
      <c r="U84" s="1" t="str">
        <f t="shared" si="4"/>
        <v>nov</v>
      </c>
      <c r="V84">
        <f t="shared" si="5"/>
        <v>2017</v>
      </c>
      <c r="W84">
        <f>_xlfn.XLOOKUP(A84,Absenteismo!A:A,Absenteismo!A:A,0)</f>
        <v>0</v>
      </c>
    </row>
    <row r="85" spans="1:23" hidden="1" x14ac:dyDescent="0.3">
      <c r="A85">
        <v>1196</v>
      </c>
      <c r="B85">
        <v>22</v>
      </c>
      <c r="C85" t="s">
        <v>15</v>
      </c>
      <c r="D85" t="s">
        <v>22</v>
      </c>
      <c r="E85" t="s">
        <v>17</v>
      </c>
      <c r="F85" t="s">
        <v>18</v>
      </c>
      <c r="G85">
        <v>18</v>
      </c>
      <c r="H85">
        <v>4695</v>
      </c>
      <c r="I85" t="s">
        <v>30</v>
      </c>
      <c r="J85" s="2">
        <v>45431</v>
      </c>
      <c r="K85">
        <v>46</v>
      </c>
      <c r="L85" t="s">
        <v>20</v>
      </c>
      <c r="M85">
        <v>13</v>
      </c>
      <c r="N85">
        <v>8</v>
      </c>
      <c r="O85">
        <v>5</v>
      </c>
      <c r="P85" t="s">
        <v>25</v>
      </c>
      <c r="Q85" s="1">
        <v>3</v>
      </c>
      <c r="R85" s="2">
        <v>46174</v>
      </c>
      <c r="S85" s="2"/>
      <c r="T85" s="1" t="str">
        <f t="shared" si="3"/>
        <v>dom</v>
      </c>
      <c r="U85" s="1" t="str">
        <f t="shared" si="4"/>
        <v>mai</v>
      </c>
      <c r="V85">
        <f t="shared" si="5"/>
        <v>2024</v>
      </c>
      <c r="W85">
        <f>_xlfn.XLOOKUP(A85,Absenteismo!A:A,Absenteismo!A:A,0)</f>
        <v>1196</v>
      </c>
    </row>
    <row r="86" spans="1:23" x14ac:dyDescent="0.3">
      <c r="A86">
        <v>1205</v>
      </c>
      <c r="B86">
        <v>22</v>
      </c>
      <c r="C86" t="s">
        <v>26</v>
      </c>
      <c r="D86" t="s">
        <v>27</v>
      </c>
      <c r="E86" t="s">
        <v>17</v>
      </c>
      <c r="F86" t="s">
        <v>21</v>
      </c>
      <c r="G86">
        <v>77</v>
      </c>
      <c r="H86">
        <v>6049</v>
      </c>
      <c r="I86" t="s">
        <v>24</v>
      </c>
      <c r="J86" s="2">
        <v>43673</v>
      </c>
      <c r="K86">
        <v>2</v>
      </c>
      <c r="L86" t="s">
        <v>20</v>
      </c>
      <c r="M86">
        <v>28</v>
      </c>
      <c r="N86">
        <v>7</v>
      </c>
      <c r="O86">
        <v>3</v>
      </c>
      <c r="P86" t="s">
        <v>25</v>
      </c>
      <c r="Q86" s="1">
        <v>2</v>
      </c>
      <c r="R86" s="2">
        <v>46174</v>
      </c>
      <c r="S86" s="2"/>
      <c r="T86" s="1" t="str">
        <f t="shared" si="3"/>
        <v>sáb</v>
      </c>
      <c r="U86" s="1" t="str">
        <f t="shared" si="4"/>
        <v>jul</v>
      </c>
      <c r="V86">
        <f t="shared" si="5"/>
        <v>2019</v>
      </c>
      <c r="W86">
        <f>_xlfn.XLOOKUP(A86,Absenteismo!A:A,Absenteismo!A:A,0)</f>
        <v>0</v>
      </c>
    </row>
    <row r="87" spans="1:23" x14ac:dyDescent="0.3">
      <c r="A87">
        <v>1223</v>
      </c>
      <c r="B87">
        <v>22</v>
      </c>
      <c r="C87" t="s">
        <v>15</v>
      </c>
      <c r="D87" t="s">
        <v>22</v>
      </c>
      <c r="E87" t="s">
        <v>17</v>
      </c>
      <c r="F87" t="s">
        <v>21</v>
      </c>
      <c r="G87">
        <v>24</v>
      </c>
      <c r="H87">
        <v>5796</v>
      </c>
      <c r="I87" t="s">
        <v>24</v>
      </c>
      <c r="J87" s="2">
        <v>45064</v>
      </c>
      <c r="K87">
        <v>13</v>
      </c>
      <c r="L87" t="s">
        <v>20</v>
      </c>
      <c r="M87">
        <v>16</v>
      </c>
      <c r="N87">
        <v>10</v>
      </c>
      <c r="O87">
        <v>5</v>
      </c>
      <c r="P87" t="s">
        <v>25</v>
      </c>
      <c r="Q87" s="1">
        <v>1</v>
      </c>
      <c r="R87" s="2">
        <v>46174</v>
      </c>
      <c r="S87" s="2"/>
      <c r="T87" s="1" t="str">
        <f t="shared" si="3"/>
        <v>qui</v>
      </c>
      <c r="U87" s="1" t="str">
        <f t="shared" si="4"/>
        <v>mai</v>
      </c>
      <c r="V87">
        <f t="shared" si="5"/>
        <v>2023</v>
      </c>
      <c r="W87">
        <f>_xlfn.XLOOKUP(A87,Absenteismo!A:A,Absenteismo!A:A,0)</f>
        <v>0</v>
      </c>
    </row>
    <row r="88" spans="1:23" hidden="1" x14ac:dyDescent="0.3">
      <c r="A88">
        <v>1246</v>
      </c>
      <c r="B88">
        <v>22</v>
      </c>
      <c r="C88" t="s">
        <v>15</v>
      </c>
      <c r="D88" t="s">
        <v>29</v>
      </c>
      <c r="E88" t="s">
        <v>17</v>
      </c>
      <c r="F88" t="s">
        <v>23</v>
      </c>
      <c r="G88">
        <v>34</v>
      </c>
      <c r="H88">
        <v>4567</v>
      </c>
      <c r="I88" t="s">
        <v>30</v>
      </c>
      <c r="J88" s="2">
        <v>44944</v>
      </c>
      <c r="K88">
        <v>60</v>
      </c>
      <c r="L88" t="s">
        <v>20</v>
      </c>
      <c r="M88">
        <v>25</v>
      </c>
      <c r="N88">
        <v>8</v>
      </c>
      <c r="O88">
        <v>4</v>
      </c>
      <c r="P88" t="s">
        <v>25</v>
      </c>
      <c r="Q88" s="1">
        <v>1</v>
      </c>
      <c r="R88" s="2">
        <v>46174</v>
      </c>
      <c r="S88" s="2"/>
      <c r="T88" s="1" t="str">
        <f t="shared" si="3"/>
        <v>qua</v>
      </c>
      <c r="U88" s="1" t="str">
        <f t="shared" si="4"/>
        <v>jan</v>
      </c>
      <c r="V88">
        <f t="shared" si="5"/>
        <v>2023</v>
      </c>
      <c r="W88">
        <f>_xlfn.XLOOKUP(A88,Absenteismo!A:A,Absenteismo!A:A,0)</f>
        <v>1246</v>
      </c>
    </row>
    <row r="89" spans="1:23" hidden="1" x14ac:dyDescent="0.3">
      <c r="A89">
        <v>1251</v>
      </c>
      <c r="B89">
        <v>22</v>
      </c>
      <c r="C89" t="s">
        <v>26</v>
      </c>
      <c r="D89" t="s">
        <v>27</v>
      </c>
      <c r="E89" t="s">
        <v>17</v>
      </c>
      <c r="F89" t="s">
        <v>21</v>
      </c>
      <c r="G89">
        <v>81</v>
      </c>
      <c r="H89">
        <v>3431</v>
      </c>
      <c r="I89" t="s">
        <v>33</v>
      </c>
      <c r="J89" s="2">
        <v>43349</v>
      </c>
      <c r="K89">
        <v>30</v>
      </c>
      <c r="L89" t="s">
        <v>20</v>
      </c>
      <c r="M89">
        <v>3</v>
      </c>
      <c r="N89">
        <v>7</v>
      </c>
      <c r="O89">
        <v>3</v>
      </c>
      <c r="P89" t="s">
        <v>25</v>
      </c>
      <c r="Q89" s="1">
        <v>2</v>
      </c>
      <c r="R89" s="2">
        <v>46174</v>
      </c>
      <c r="S89" s="2"/>
      <c r="T89" s="1" t="str">
        <f t="shared" si="3"/>
        <v>qui</v>
      </c>
      <c r="U89" s="1" t="str">
        <f t="shared" si="4"/>
        <v>set</v>
      </c>
      <c r="V89">
        <f t="shared" si="5"/>
        <v>2018</v>
      </c>
      <c r="W89">
        <f>_xlfn.XLOOKUP(A89,Absenteismo!A:A,Absenteismo!A:A,0)</f>
        <v>1251</v>
      </c>
    </row>
    <row r="90" spans="1:23" hidden="1" x14ac:dyDescent="0.3">
      <c r="A90">
        <v>1279</v>
      </c>
      <c r="B90">
        <v>22</v>
      </c>
      <c r="C90" t="s">
        <v>15</v>
      </c>
      <c r="D90" t="s">
        <v>16</v>
      </c>
      <c r="E90" t="s">
        <v>17</v>
      </c>
      <c r="F90" t="s">
        <v>18</v>
      </c>
      <c r="G90">
        <v>34</v>
      </c>
      <c r="H90">
        <v>3657</v>
      </c>
      <c r="I90" t="s">
        <v>30</v>
      </c>
      <c r="J90" s="2">
        <v>44979</v>
      </c>
      <c r="K90">
        <v>22</v>
      </c>
      <c r="L90" t="s">
        <v>20</v>
      </c>
      <c r="M90">
        <v>24</v>
      </c>
      <c r="N90">
        <v>2</v>
      </c>
      <c r="O90">
        <v>2</v>
      </c>
      <c r="P90" t="s">
        <v>25</v>
      </c>
      <c r="Q90" s="1">
        <v>2</v>
      </c>
      <c r="R90" s="2">
        <v>46174</v>
      </c>
      <c r="S90" s="2"/>
      <c r="T90" s="1" t="str">
        <f t="shared" si="3"/>
        <v>qua</v>
      </c>
      <c r="U90" s="1" t="str">
        <f t="shared" si="4"/>
        <v>fev</v>
      </c>
      <c r="V90">
        <f t="shared" si="5"/>
        <v>2023</v>
      </c>
      <c r="W90">
        <f>_xlfn.XLOOKUP(A90,Absenteismo!A:A,Absenteismo!A:A,0)</f>
        <v>1279</v>
      </c>
    </row>
    <row r="91" spans="1:23" x14ac:dyDescent="0.3">
      <c r="A91">
        <v>1336</v>
      </c>
      <c r="B91">
        <v>22</v>
      </c>
      <c r="C91" t="s">
        <v>26</v>
      </c>
      <c r="D91" t="s">
        <v>27</v>
      </c>
      <c r="E91" t="s">
        <v>17</v>
      </c>
      <c r="F91" t="s">
        <v>21</v>
      </c>
      <c r="G91">
        <v>109</v>
      </c>
      <c r="H91">
        <v>3820</v>
      </c>
      <c r="I91" t="s">
        <v>24</v>
      </c>
      <c r="J91" s="2">
        <v>42666</v>
      </c>
      <c r="K91">
        <v>33</v>
      </c>
      <c r="L91" t="s">
        <v>20</v>
      </c>
      <c r="M91">
        <v>26</v>
      </c>
      <c r="N91">
        <v>5</v>
      </c>
      <c r="O91">
        <v>5</v>
      </c>
      <c r="P91" t="s">
        <v>25</v>
      </c>
      <c r="Q91" s="1">
        <v>2</v>
      </c>
      <c r="R91" s="2">
        <v>46174</v>
      </c>
      <c r="S91" s="2"/>
      <c r="T91" s="1" t="str">
        <f t="shared" si="3"/>
        <v>dom</v>
      </c>
      <c r="U91" s="1" t="str">
        <f t="shared" si="4"/>
        <v>out</v>
      </c>
      <c r="V91">
        <f t="shared" si="5"/>
        <v>2016</v>
      </c>
      <c r="W91">
        <f>_xlfn.XLOOKUP(A91,Absenteismo!A:A,Absenteismo!A:A,0)</f>
        <v>0</v>
      </c>
    </row>
    <row r="92" spans="1:23" hidden="1" x14ac:dyDescent="0.3">
      <c r="A92">
        <v>1362</v>
      </c>
      <c r="B92">
        <v>22</v>
      </c>
      <c r="C92" t="s">
        <v>15</v>
      </c>
      <c r="D92" t="s">
        <v>16</v>
      </c>
      <c r="E92" t="s">
        <v>17</v>
      </c>
      <c r="F92" t="s">
        <v>21</v>
      </c>
      <c r="G92">
        <v>39</v>
      </c>
      <c r="H92">
        <v>3497</v>
      </c>
      <c r="I92" t="s">
        <v>19</v>
      </c>
      <c r="J92" s="2">
        <v>44876</v>
      </c>
      <c r="K92">
        <v>8</v>
      </c>
      <c r="L92" t="s">
        <v>20</v>
      </c>
      <c r="M92">
        <v>26</v>
      </c>
      <c r="N92">
        <v>9</v>
      </c>
      <c r="O92">
        <v>3</v>
      </c>
      <c r="P92" t="s">
        <v>25</v>
      </c>
      <c r="Q92" s="1">
        <v>1</v>
      </c>
      <c r="R92" s="2">
        <v>46174</v>
      </c>
      <c r="S92" s="2"/>
      <c r="T92" s="1" t="str">
        <f t="shared" si="3"/>
        <v>sex</v>
      </c>
      <c r="U92" s="1" t="str">
        <f t="shared" si="4"/>
        <v>nov</v>
      </c>
      <c r="V92">
        <f t="shared" si="5"/>
        <v>2022</v>
      </c>
      <c r="W92">
        <f>_xlfn.XLOOKUP(A92,Absenteismo!A:A,Absenteismo!A:A,0)</f>
        <v>1362</v>
      </c>
    </row>
    <row r="93" spans="1:23" hidden="1" x14ac:dyDescent="0.3">
      <c r="A93">
        <v>1415</v>
      </c>
      <c r="B93">
        <v>22</v>
      </c>
      <c r="C93" t="s">
        <v>26</v>
      </c>
      <c r="D93" t="s">
        <v>29</v>
      </c>
      <c r="E93" t="s">
        <v>17</v>
      </c>
      <c r="F93" t="s">
        <v>18</v>
      </c>
      <c r="G93">
        <v>102</v>
      </c>
      <c r="H93">
        <v>5050</v>
      </c>
      <c r="I93" t="s">
        <v>28</v>
      </c>
      <c r="J93" s="2">
        <v>42712</v>
      </c>
      <c r="K93">
        <v>4</v>
      </c>
      <c r="L93" t="s">
        <v>20</v>
      </c>
      <c r="M93">
        <v>4</v>
      </c>
      <c r="N93">
        <v>4</v>
      </c>
      <c r="O93">
        <v>5</v>
      </c>
      <c r="P93" t="s">
        <v>25</v>
      </c>
      <c r="Q93" s="1">
        <v>2</v>
      </c>
      <c r="R93" s="2">
        <v>46174</v>
      </c>
      <c r="S93" s="2"/>
      <c r="T93" s="1" t="str">
        <f t="shared" si="3"/>
        <v>qui</v>
      </c>
      <c r="U93" s="1" t="str">
        <f t="shared" si="4"/>
        <v>dez</v>
      </c>
      <c r="V93">
        <f t="shared" si="5"/>
        <v>2016</v>
      </c>
      <c r="W93">
        <f>_xlfn.XLOOKUP(A93,Absenteismo!A:A,Absenteismo!A:A,0)</f>
        <v>1415</v>
      </c>
    </row>
    <row r="94" spans="1:23" hidden="1" x14ac:dyDescent="0.3">
      <c r="A94">
        <v>1496</v>
      </c>
      <c r="B94">
        <v>22</v>
      </c>
      <c r="C94" t="s">
        <v>15</v>
      </c>
      <c r="D94" t="s">
        <v>22</v>
      </c>
      <c r="E94" t="s">
        <v>17</v>
      </c>
      <c r="F94" t="s">
        <v>18</v>
      </c>
      <c r="G94">
        <v>18</v>
      </c>
      <c r="H94">
        <v>4695</v>
      </c>
      <c r="I94" t="s">
        <v>30</v>
      </c>
      <c r="J94" s="2">
        <v>45598</v>
      </c>
      <c r="K94">
        <v>46</v>
      </c>
      <c r="L94" t="s">
        <v>20</v>
      </c>
      <c r="M94">
        <v>13</v>
      </c>
      <c r="N94">
        <v>8</v>
      </c>
      <c r="O94">
        <v>5</v>
      </c>
      <c r="P94" t="s">
        <v>25</v>
      </c>
      <c r="Q94" s="1">
        <v>2</v>
      </c>
      <c r="R94" s="2">
        <v>46174</v>
      </c>
      <c r="S94" s="2"/>
      <c r="T94" s="1" t="str">
        <f t="shared" si="3"/>
        <v>sáb</v>
      </c>
      <c r="U94" s="1" t="str">
        <f t="shared" si="4"/>
        <v>nov</v>
      </c>
      <c r="V94">
        <f t="shared" si="5"/>
        <v>2024</v>
      </c>
      <c r="W94">
        <f>_xlfn.XLOOKUP(A94,Absenteismo!A:A,Absenteismo!A:A,0)</f>
        <v>1496</v>
      </c>
    </row>
    <row r="95" spans="1:23" x14ac:dyDescent="0.3">
      <c r="A95">
        <v>1505</v>
      </c>
      <c r="B95">
        <v>22</v>
      </c>
      <c r="C95" t="s">
        <v>26</v>
      </c>
      <c r="D95" t="s">
        <v>27</v>
      </c>
      <c r="E95" t="s">
        <v>17</v>
      </c>
      <c r="F95" t="s">
        <v>21</v>
      </c>
      <c r="G95">
        <v>77</v>
      </c>
      <c r="H95">
        <v>6049</v>
      </c>
      <c r="I95" t="s">
        <v>24</v>
      </c>
      <c r="J95" s="2">
        <v>43487</v>
      </c>
      <c r="K95">
        <v>2</v>
      </c>
      <c r="L95" t="s">
        <v>20</v>
      </c>
      <c r="M95">
        <v>28</v>
      </c>
      <c r="N95">
        <v>7</v>
      </c>
      <c r="O95">
        <v>3</v>
      </c>
      <c r="P95" t="s">
        <v>25</v>
      </c>
      <c r="Q95" s="1">
        <v>1</v>
      </c>
      <c r="R95" s="2">
        <v>46174</v>
      </c>
      <c r="S95" s="2"/>
      <c r="T95" s="1" t="str">
        <f t="shared" si="3"/>
        <v>ter</v>
      </c>
      <c r="U95" s="1" t="str">
        <f t="shared" si="4"/>
        <v>jan</v>
      </c>
      <c r="V95">
        <f t="shared" si="5"/>
        <v>2019</v>
      </c>
      <c r="W95">
        <f>_xlfn.XLOOKUP(A95,Absenteismo!A:A,Absenteismo!A:A,0)</f>
        <v>0</v>
      </c>
    </row>
    <row r="96" spans="1:23" x14ac:dyDescent="0.3">
      <c r="A96">
        <v>1523</v>
      </c>
      <c r="B96">
        <v>22</v>
      </c>
      <c r="C96" t="s">
        <v>15</v>
      </c>
      <c r="D96" t="s">
        <v>22</v>
      </c>
      <c r="E96" t="s">
        <v>17</v>
      </c>
      <c r="F96" t="s">
        <v>21</v>
      </c>
      <c r="G96">
        <v>24</v>
      </c>
      <c r="H96">
        <v>5796</v>
      </c>
      <c r="I96" t="s">
        <v>24</v>
      </c>
      <c r="J96" s="2">
        <v>45204</v>
      </c>
      <c r="K96">
        <v>13</v>
      </c>
      <c r="L96" t="s">
        <v>20</v>
      </c>
      <c r="M96">
        <v>16</v>
      </c>
      <c r="N96">
        <v>10</v>
      </c>
      <c r="O96">
        <v>5</v>
      </c>
      <c r="P96" t="s">
        <v>25</v>
      </c>
      <c r="Q96" s="1">
        <v>1</v>
      </c>
      <c r="R96" s="2">
        <v>46174</v>
      </c>
      <c r="S96" s="2"/>
      <c r="T96" s="1" t="str">
        <f t="shared" si="3"/>
        <v>qui</v>
      </c>
      <c r="U96" s="1" t="str">
        <f t="shared" si="4"/>
        <v>out</v>
      </c>
      <c r="V96">
        <f t="shared" si="5"/>
        <v>2023</v>
      </c>
      <c r="W96">
        <f>_xlfn.XLOOKUP(A96,Absenteismo!A:A,Absenteismo!A:A,0)</f>
        <v>0</v>
      </c>
    </row>
    <row r="97" spans="1:23" hidden="1" x14ac:dyDescent="0.3">
      <c r="A97">
        <v>1546</v>
      </c>
      <c r="B97">
        <v>22</v>
      </c>
      <c r="C97" t="s">
        <v>15</v>
      </c>
      <c r="D97" t="s">
        <v>29</v>
      </c>
      <c r="E97" t="s">
        <v>17</v>
      </c>
      <c r="F97" t="s">
        <v>23</v>
      </c>
      <c r="G97">
        <v>34</v>
      </c>
      <c r="H97">
        <v>4567</v>
      </c>
      <c r="I97" t="s">
        <v>30</v>
      </c>
      <c r="J97" s="2">
        <v>44977</v>
      </c>
      <c r="K97">
        <v>60</v>
      </c>
      <c r="L97" t="s">
        <v>20</v>
      </c>
      <c r="M97">
        <v>25</v>
      </c>
      <c r="N97">
        <v>8</v>
      </c>
      <c r="O97">
        <v>4</v>
      </c>
      <c r="P97" t="s">
        <v>25</v>
      </c>
      <c r="Q97" s="1">
        <v>2</v>
      </c>
      <c r="R97" s="2">
        <v>46174</v>
      </c>
      <c r="S97" s="2"/>
      <c r="T97" s="1" t="str">
        <f t="shared" si="3"/>
        <v>seg</v>
      </c>
      <c r="U97" s="1" t="str">
        <f t="shared" si="4"/>
        <v>fev</v>
      </c>
      <c r="V97">
        <f t="shared" si="5"/>
        <v>2023</v>
      </c>
      <c r="W97">
        <f>_xlfn.XLOOKUP(A97,Absenteismo!A:A,Absenteismo!A:A,0)</f>
        <v>1546</v>
      </c>
    </row>
    <row r="98" spans="1:23" hidden="1" x14ac:dyDescent="0.3">
      <c r="A98">
        <v>1551</v>
      </c>
      <c r="B98">
        <v>22</v>
      </c>
      <c r="C98" t="s">
        <v>26</v>
      </c>
      <c r="D98" t="s">
        <v>27</v>
      </c>
      <c r="E98" t="s">
        <v>17</v>
      </c>
      <c r="F98" t="s">
        <v>21</v>
      </c>
      <c r="G98">
        <v>81</v>
      </c>
      <c r="H98">
        <v>3431</v>
      </c>
      <c r="I98" t="s">
        <v>33</v>
      </c>
      <c r="J98" s="2">
        <v>43413</v>
      </c>
      <c r="K98">
        <v>30</v>
      </c>
      <c r="L98" t="s">
        <v>20</v>
      </c>
      <c r="M98">
        <v>3</v>
      </c>
      <c r="N98">
        <v>7</v>
      </c>
      <c r="O98">
        <v>3</v>
      </c>
      <c r="P98" t="s">
        <v>25</v>
      </c>
      <c r="Q98" s="1">
        <v>1</v>
      </c>
      <c r="R98" s="2">
        <v>46174</v>
      </c>
      <c r="S98" s="2"/>
      <c r="T98" s="1" t="str">
        <f t="shared" si="3"/>
        <v>sex</v>
      </c>
      <c r="U98" s="1" t="str">
        <f t="shared" si="4"/>
        <v>nov</v>
      </c>
      <c r="V98">
        <f t="shared" si="5"/>
        <v>2018</v>
      </c>
      <c r="W98">
        <f>_xlfn.XLOOKUP(A98,Absenteismo!A:A,Absenteismo!A:A,0)</f>
        <v>1551</v>
      </c>
    </row>
    <row r="99" spans="1:23" hidden="1" x14ac:dyDescent="0.3">
      <c r="A99">
        <v>1579</v>
      </c>
      <c r="B99">
        <v>22</v>
      </c>
      <c r="C99" t="s">
        <v>15</v>
      </c>
      <c r="D99" t="s">
        <v>16</v>
      </c>
      <c r="E99" t="s">
        <v>17</v>
      </c>
      <c r="F99" t="s">
        <v>18</v>
      </c>
      <c r="G99">
        <v>34</v>
      </c>
      <c r="H99">
        <v>3657</v>
      </c>
      <c r="I99" t="s">
        <v>30</v>
      </c>
      <c r="J99" s="2">
        <v>44882</v>
      </c>
      <c r="K99">
        <v>22</v>
      </c>
      <c r="L99" t="s">
        <v>20</v>
      </c>
      <c r="M99">
        <v>24</v>
      </c>
      <c r="N99">
        <v>2</v>
      </c>
      <c r="O99">
        <v>2</v>
      </c>
      <c r="P99" t="s">
        <v>25</v>
      </c>
      <c r="Q99" s="1">
        <v>2</v>
      </c>
      <c r="R99" s="2">
        <v>46174</v>
      </c>
      <c r="S99" s="2"/>
      <c r="T99" s="1" t="str">
        <f t="shared" si="3"/>
        <v>qui</v>
      </c>
      <c r="U99" s="1" t="str">
        <f t="shared" si="4"/>
        <v>nov</v>
      </c>
      <c r="V99">
        <f t="shared" si="5"/>
        <v>2022</v>
      </c>
      <c r="W99">
        <f>_xlfn.XLOOKUP(A99,Absenteismo!A:A,Absenteismo!A:A,0)</f>
        <v>1579</v>
      </c>
    </row>
    <row r="100" spans="1:23" x14ac:dyDescent="0.3">
      <c r="A100">
        <v>1636</v>
      </c>
      <c r="B100">
        <v>22</v>
      </c>
      <c r="C100" t="s">
        <v>26</v>
      </c>
      <c r="D100" t="s">
        <v>27</v>
      </c>
      <c r="E100" t="s">
        <v>17</v>
      </c>
      <c r="F100" t="s">
        <v>21</v>
      </c>
      <c r="G100">
        <v>109</v>
      </c>
      <c r="H100">
        <v>3820</v>
      </c>
      <c r="I100" t="s">
        <v>24</v>
      </c>
      <c r="J100" s="2">
        <v>42487</v>
      </c>
      <c r="K100">
        <v>33</v>
      </c>
      <c r="L100" t="s">
        <v>20</v>
      </c>
      <c r="M100">
        <v>26</v>
      </c>
      <c r="N100">
        <v>5</v>
      </c>
      <c r="O100">
        <v>5</v>
      </c>
      <c r="P100" t="s">
        <v>25</v>
      </c>
      <c r="Q100" s="1">
        <v>2</v>
      </c>
      <c r="R100" s="2">
        <v>46174</v>
      </c>
      <c r="S100" s="2"/>
      <c r="T100" s="1" t="str">
        <f t="shared" si="3"/>
        <v>qua</v>
      </c>
      <c r="U100" s="1" t="str">
        <f t="shared" si="4"/>
        <v>abr</v>
      </c>
      <c r="V100">
        <f t="shared" si="5"/>
        <v>2016</v>
      </c>
      <c r="W100">
        <f>_xlfn.XLOOKUP(A100,Absenteismo!A:A,Absenteismo!A:A,0)</f>
        <v>0</v>
      </c>
    </row>
    <row r="101" spans="1:23" hidden="1" x14ac:dyDescent="0.3">
      <c r="A101">
        <v>1662</v>
      </c>
      <c r="B101">
        <v>22</v>
      </c>
      <c r="C101" t="s">
        <v>15</v>
      </c>
      <c r="D101" t="s">
        <v>16</v>
      </c>
      <c r="E101" t="s">
        <v>17</v>
      </c>
      <c r="F101" t="s">
        <v>21</v>
      </c>
      <c r="G101">
        <v>39</v>
      </c>
      <c r="H101">
        <v>3497</v>
      </c>
      <c r="I101" t="s">
        <v>19</v>
      </c>
      <c r="J101" s="2">
        <v>44855</v>
      </c>
      <c r="K101">
        <v>8</v>
      </c>
      <c r="L101" t="s">
        <v>20</v>
      </c>
      <c r="M101">
        <v>26</v>
      </c>
      <c r="N101">
        <v>9</v>
      </c>
      <c r="O101">
        <v>3</v>
      </c>
      <c r="P101" t="s">
        <v>25</v>
      </c>
      <c r="Q101" s="1">
        <v>1</v>
      </c>
      <c r="R101" s="2">
        <v>46174</v>
      </c>
      <c r="S101" s="2"/>
      <c r="T101" s="1" t="str">
        <f t="shared" si="3"/>
        <v>sex</v>
      </c>
      <c r="U101" s="1" t="str">
        <f t="shared" si="4"/>
        <v>out</v>
      </c>
      <c r="V101">
        <f t="shared" si="5"/>
        <v>2022</v>
      </c>
      <c r="W101">
        <f>_xlfn.XLOOKUP(A101,Absenteismo!A:A,Absenteismo!A:A,0)</f>
        <v>1662</v>
      </c>
    </row>
    <row r="102" spans="1:23" hidden="1" x14ac:dyDescent="0.3">
      <c r="A102">
        <v>1715</v>
      </c>
      <c r="B102">
        <v>22</v>
      </c>
      <c r="C102" t="s">
        <v>26</v>
      </c>
      <c r="D102" t="s">
        <v>29</v>
      </c>
      <c r="E102" t="s">
        <v>17</v>
      </c>
      <c r="F102" t="s">
        <v>18</v>
      </c>
      <c r="G102">
        <v>102</v>
      </c>
      <c r="H102">
        <v>5050</v>
      </c>
      <c r="I102" t="s">
        <v>28</v>
      </c>
      <c r="J102" s="2">
        <v>42711</v>
      </c>
      <c r="K102">
        <v>4</v>
      </c>
      <c r="L102" t="s">
        <v>20</v>
      </c>
      <c r="M102">
        <v>4</v>
      </c>
      <c r="N102">
        <v>4</v>
      </c>
      <c r="O102">
        <v>5</v>
      </c>
      <c r="P102" t="s">
        <v>25</v>
      </c>
      <c r="Q102" s="1">
        <v>1</v>
      </c>
      <c r="R102" s="2">
        <v>46174</v>
      </c>
      <c r="S102" s="2"/>
      <c r="T102" s="1" t="str">
        <f t="shared" si="3"/>
        <v>qua</v>
      </c>
      <c r="U102" s="1" t="str">
        <f t="shared" si="4"/>
        <v>dez</v>
      </c>
      <c r="V102">
        <f t="shared" si="5"/>
        <v>2016</v>
      </c>
      <c r="W102">
        <f>_xlfn.XLOOKUP(A102,Absenteismo!A:A,Absenteismo!A:A,0)</f>
        <v>1715</v>
      </c>
    </row>
    <row r="103" spans="1:23" hidden="1" x14ac:dyDescent="0.3">
      <c r="A103">
        <v>1796</v>
      </c>
      <c r="B103">
        <v>22</v>
      </c>
      <c r="C103" t="s">
        <v>15</v>
      </c>
      <c r="D103" t="s">
        <v>22</v>
      </c>
      <c r="E103" t="s">
        <v>17</v>
      </c>
      <c r="F103" t="s">
        <v>18</v>
      </c>
      <c r="G103">
        <v>18</v>
      </c>
      <c r="H103">
        <v>4695</v>
      </c>
      <c r="I103" t="s">
        <v>30</v>
      </c>
      <c r="J103" s="2">
        <v>45343</v>
      </c>
      <c r="K103">
        <v>46</v>
      </c>
      <c r="L103" t="s">
        <v>20</v>
      </c>
      <c r="M103">
        <v>13</v>
      </c>
      <c r="N103">
        <v>8</v>
      </c>
      <c r="O103">
        <v>5</v>
      </c>
      <c r="P103" t="s">
        <v>25</v>
      </c>
      <c r="Q103" s="1">
        <v>2</v>
      </c>
      <c r="R103" s="2">
        <v>46174</v>
      </c>
      <c r="S103" s="2"/>
      <c r="T103" s="1" t="str">
        <f t="shared" si="3"/>
        <v>qua</v>
      </c>
      <c r="U103" s="1" t="str">
        <f t="shared" si="4"/>
        <v>fev</v>
      </c>
      <c r="V103">
        <f t="shared" si="5"/>
        <v>2024</v>
      </c>
      <c r="W103">
        <f>_xlfn.XLOOKUP(A103,Absenteismo!A:A,Absenteismo!A:A,0)</f>
        <v>1796</v>
      </c>
    </row>
    <row r="104" spans="1:23" x14ac:dyDescent="0.3">
      <c r="A104">
        <v>1805</v>
      </c>
      <c r="B104">
        <v>22</v>
      </c>
      <c r="C104" t="s">
        <v>26</v>
      </c>
      <c r="D104" t="s">
        <v>27</v>
      </c>
      <c r="E104" t="s">
        <v>17</v>
      </c>
      <c r="F104" t="s">
        <v>21</v>
      </c>
      <c r="G104">
        <v>77</v>
      </c>
      <c r="H104">
        <v>6049</v>
      </c>
      <c r="I104" t="s">
        <v>24</v>
      </c>
      <c r="J104" s="2">
        <v>43517</v>
      </c>
      <c r="K104">
        <v>2</v>
      </c>
      <c r="L104" t="s">
        <v>20</v>
      </c>
      <c r="M104">
        <v>28</v>
      </c>
      <c r="N104">
        <v>7</v>
      </c>
      <c r="O104">
        <v>3</v>
      </c>
      <c r="P104" t="s">
        <v>25</v>
      </c>
      <c r="Q104" s="1">
        <v>3</v>
      </c>
      <c r="R104" s="2">
        <v>46174</v>
      </c>
      <c r="S104" s="2"/>
      <c r="T104" s="1" t="str">
        <f t="shared" si="3"/>
        <v>qui</v>
      </c>
      <c r="U104" s="1" t="str">
        <f t="shared" si="4"/>
        <v>fev</v>
      </c>
      <c r="V104">
        <f t="shared" si="5"/>
        <v>2019</v>
      </c>
      <c r="W104">
        <f>_xlfn.XLOOKUP(A104,Absenteismo!A:A,Absenteismo!A:A,0)</f>
        <v>0</v>
      </c>
    </row>
    <row r="105" spans="1:23" x14ac:dyDescent="0.3">
      <c r="A105">
        <v>1823</v>
      </c>
      <c r="B105">
        <v>22</v>
      </c>
      <c r="C105" t="s">
        <v>15</v>
      </c>
      <c r="D105" t="s">
        <v>22</v>
      </c>
      <c r="E105" t="s">
        <v>17</v>
      </c>
      <c r="F105" t="s">
        <v>21</v>
      </c>
      <c r="G105">
        <v>24</v>
      </c>
      <c r="H105">
        <v>5796</v>
      </c>
      <c r="I105" t="s">
        <v>24</v>
      </c>
      <c r="J105" s="2">
        <v>45226</v>
      </c>
      <c r="K105">
        <v>13</v>
      </c>
      <c r="L105" t="s">
        <v>20</v>
      </c>
      <c r="M105">
        <v>16</v>
      </c>
      <c r="N105">
        <v>10</v>
      </c>
      <c r="O105">
        <v>5</v>
      </c>
      <c r="P105" t="s">
        <v>25</v>
      </c>
      <c r="Q105" s="1">
        <v>2</v>
      </c>
      <c r="R105" s="2">
        <v>46174</v>
      </c>
      <c r="S105" s="2"/>
      <c r="T105" s="1" t="str">
        <f t="shared" si="3"/>
        <v>sex</v>
      </c>
      <c r="U105" s="1" t="str">
        <f t="shared" si="4"/>
        <v>out</v>
      </c>
      <c r="V105">
        <f t="shared" si="5"/>
        <v>2023</v>
      </c>
      <c r="W105">
        <f>_xlfn.XLOOKUP(A105,Absenteismo!A:A,Absenteismo!A:A,0)</f>
        <v>0</v>
      </c>
    </row>
    <row r="106" spans="1:23" hidden="1" x14ac:dyDescent="0.3">
      <c r="A106">
        <v>1846</v>
      </c>
      <c r="B106">
        <v>22</v>
      </c>
      <c r="C106" t="s">
        <v>15</v>
      </c>
      <c r="D106" t="s">
        <v>29</v>
      </c>
      <c r="E106" t="s">
        <v>17</v>
      </c>
      <c r="F106" t="s">
        <v>23</v>
      </c>
      <c r="G106">
        <v>34</v>
      </c>
      <c r="H106">
        <v>4567</v>
      </c>
      <c r="I106" t="s">
        <v>30</v>
      </c>
      <c r="J106" s="2">
        <v>44856</v>
      </c>
      <c r="K106">
        <v>60</v>
      </c>
      <c r="L106" t="s">
        <v>20</v>
      </c>
      <c r="M106">
        <v>25</v>
      </c>
      <c r="N106">
        <v>8</v>
      </c>
      <c r="O106">
        <v>4</v>
      </c>
      <c r="P106" t="s">
        <v>25</v>
      </c>
      <c r="Q106" s="1">
        <v>2</v>
      </c>
      <c r="R106" s="2">
        <v>46174</v>
      </c>
      <c r="S106" s="2"/>
      <c r="T106" s="1" t="str">
        <f t="shared" si="3"/>
        <v>sáb</v>
      </c>
      <c r="U106" s="1" t="str">
        <f t="shared" si="4"/>
        <v>out</v>
      </c>
      <c r="V106">
        <f t="shared" si="5"/>
        <v>2022</v>
      </c>
      <c r="W106">
        <f>_xlfn.XLOOKUP(A106,Absenteismo!A:A,Absenteismo!A:A,0)</f>
        <v>1846</v>
      </c>
    </row>
    <row r="107" spans="1:23" hidden="1" x14ac:dyDescent="0.3">
      <c r="A107">
        <v>1851</v>
      </c>
      <c r="B107">
        <v>22</v>
      </c>
      <c r="C107" t="s">
        <v>26</v>
      </c>
      <c r="D107" t="s">
        <v>27</v>
      </c>
      <c r="E107" t="s">
        <v>17</v>
      </c>
      <c r="F107" t="s">
        <v>21</v>
      </c>
      <c r="G107">
        <v>81</v>
      </c>
      <c r="H107">
        <v>3431</v>
      </c>
      <c r="I107" t="s">
        <v>33</v>
      </c>
      <c r="J107" s="2">
        <v>43598</v>
      </c>
      <c r="K107">
        <v>30</v>
      </c>
      <c r="L107" t="s">
        <v>20</v>
      </c>
      <c r="M107">
        <v>3</v>
      </c>
      <c r="N107">
        <v>7</v>
      </c>
      <c r="O107">
        <v>3</v>
      </c>
      <c r="P107" t="s">
        <v>25</v>
      </c>
      <c r="Q107" s="1">
        <v>1</v>
      </c>
      <c r="R107" s="2">
        <v>46174</v>
      </c>
      <c r="S107" s="2"/>
      <c r="T107" s="1" t="str">
        <f t="shared" si="3"/>
        <v>seg</v>
      </c>
      <c r="U107" s="1" t="str">
        <f t="shared" si="4"/>
        <v>mai</v>
      </c>
      <c r="V107">
        <f t="shared" si="5"/>
        <v>2019</v>
      </c>
      <c r="W107">
        <f>_xlfn.XLOOKUP(A107,Absenteismo!A:A,Absenteismo!A:A,0)</f>
        <v>1851</v>
      </c>
    </row>
    <row r="108" spans="1:23" hidden="1" x14ac:dyDescent="0.3">
      <c r="A108">
        <v>1879</v>
      </c>
      <c r="B108">
        <v>22</v>
      </c>
      <c r="C108" t="s">
        <v>15</v>
      </c>
      <c r="D108" t="s">
        <v>16</v>
      </c>
      <c r="E108" t="s">
        <v>17</v>
      </c>
      <c r="F108" t="s">
        <v>18</v>
      </c>
      <c r="G108">
        <v>34</v>
      </c>
      <c r="H108">
        <v>3657</v>
      </c>
      <c r="I108" t="s">
        <v>30</v>
      </c>
      <c r="J108" s="2">
        <v>44808</v>
      </c>
      <c r="K108">
        <v>22</v>
      </c>
      <c r="L108" t="s">
        <v>20</v>
      </c>
      <c r="M108">
        <v>24</v>
      </c>
      <c r="N108">
        <v>2</v>
      </c>
      <c r="O108">
        <v>2</v>
      </c>
      <c r="P108" t="s">
        <v>25</v>
      </c>
      <c r="Q108" s="1">
        <v>3</v>
      </c>
      <c r="R108" s="2">
        <v>46174</v>
      </c>
      <c r="S108" s="2"/>
      <c r="T108" s="1" t="str">
        <f t="shared" si="3"/>
        <v>dom</v>
      </c>
      <c r="U108" s="1" t="str">
        <f t="shared" si="4"/>
        <v>set</v>
      </c>
      <c r="V108">
        <f t="shared" si="5"/>
        <v>2022</v>
      </c>
      <c r="W108">
        <f>_xlfn.XLOOKUP(A108,Absenteismo!A:A,Absenteismo!A:A,0)</f>
        <v>1879</v>
      </c>
    </row>
    <row r="109" spans="1:23" x14ac:dyDescent="0.3">
      <c r="A109">
        <v>1936</v>
      </c>
      <c r="B109">
        <v>22</v>
      </c>
      <c r="C109" t="s">
        <v>26</v>
      </c>
      <c r="D109" t="s">
        <v>27</v>
      </c>
      <c r="E109" t="s">
        <v>17</v>
      </c>
      <c r="F109" t="s">
        <v>21</v>
      </c>
      <c r="G109">
        <v>109</v>
      </c>
      <c r="H109">
        <v>3820</v>
      </c>
      <c r="I109" t="s">
        <v>24</v>
      </c>
      <c r="J109" s="2">
        <v>42690</v>
      </c>
      <c r="K109">
        <v>33</v>
      </c>
      <c r="L109" t="s">
        <v>20</v>
      </c>
      <c r="M109">
        <v>26</v>
      </c>
      <c r="N109">
        <v>5</v>
      </c>
      <c r="O109">
        <v>5</v>
      </c>
      <c r="P109" t="s">
        <v>25</v>
      </c>
      <c r="Q109" s="1">
        <v>2</v>
      </c>
      <c r="R109" s="2">
        <v>46174</v>
      </c>
      <c r="S109" s="2"/>
      <c r="T109" s="1" t="str">
        <f t="shared" si="3"/>
        <v>qua</v>
      </c>
      <c r="U109" s="1" t="str">
        <f t="shared" si="4"/>
        <v>nov</v>
      </c>
      <c r="V109">
        <f t="shared" si="5"/>
        <v>2016</v>
      </c>
      <c r="W109">
        <f>_xlfn.XLOOKUP(A109,Absenteismo!A:A,Absenteismo!A:A,0)</f>
        <v>0</v>
      </c>
    </row>
    <row r="110" spans="1:23" hidden="1" x14ac:dyDescent="0.3">
      <c r="A110">
        <v>1962</v>
      </c>
      <c r="B110">
        <v>22</v>
      </c>
      <c r="C110" t="s">
        <v>15</v>
      </c>
      <c r="D110" t="s">
        <v>16</v>
      </c>
      <c r="E110" t="s">
        <v>17</v>
      </c>
      <c r="F110" t="s">
        <v>21</v>
      </c>
      <c r="G110">
        <v>39</v>
      </c>
      <c r="H110">
        <v>3497</v>
      </c>
      <c r="I110" t="s">
        <v>19</v>
      </c>
      <c r="J110" s="2">
        <v>44843</v>
      </c>
      <c r="K110">
        <v>8</v>
      </c>
      <c r="L110" t="s">
        <v>20</v>
      </c>
      <c r="M110">
        <v>26</v>
      </c>
      <c r="N110">
        <v>9</v>
      </c>
      <c r="O110">
        <v>3</v>
      </c>
      <c r="P110" t="s">
        <v>25</v>
      </c>
      <c r="Q110" s="1">
        <v>2</v>
      </c>
      <c r="R110" s="2">
        <v>46174</v>
      </c>
      <c r="S110" s="2"/>
      <c r="T110" s="1" t="str">
        <f t="shared" si="3"/>
        <v>dom</v>
      </c>
      <c r="U110" s="1" t="str">
        <f t="shared" si="4"/>
        <v>out</v>
      </c>
      <c r="V110">
        <f t="shared" si="5"/>
        <v>2022</v>
      </c>
      <c r="W110">
        <f>_xlfn.XLOOKUP(A110,Absenteismo!A:A,Absenteismo!A:A,0)</f>
        <v>1962</v>
      </c>
    </row>
    <row r="111" spans="1:23" hidden="1" x14ac:dyDescent="0.3">
      <c r="A111">
        <v>2015</v>
      </c>
      <c r="B111">
        <v>22</v>
      </c>
      <c r="C111" t="s">
        <v>26</v>
      </c>
      <c r="D111" t="s">
        <v>29</v>
      </c>
      <c r="E111" t="s">
        <v>17</v>
      </c>
      <c r="F111" t="s">
        <v>18</v>
      </c>
      <c r="G111">
        <v>102</v>
      </c>
      <c r="H111">
        <v>5050</v>
      </c>
      <c r="I111" t="s">
        <v>28</v>
      </c>
      <c r="J111" s="2">
        <v>42872</v>
      </c>
      <c r="K111">
        <v>4</v>
      </c>
      <c r="L111" t="s">
        <v>20</v>
      </c>
      <c r="M111">
        <v>4</v>
      </c>
      <c r="N111">
        <v>4</v>
      </c>
      <c r="O111">
        <v>5</v>
      </c>
      <c r="P111" t="s">
        <v>25</v>
      </c>
      <c r="Q111" s="1">
        <v>2</v>
      </c>
      <c r="R111" s="2">
        <v>46174</v>
      </c>
      <c r="S111" s="2"/>
      <c r="T111" s="1" t="str">
        <f t="shared" si="3"/>
        <v>qua</v>
      </c>
      <c r="U111" s="1" t="str">
        <f t="shared" si="4"/>
        <v>mai</v>
      </c>
      <c r="V111">
        <f t="shared" si="5"/>
        <v>2017</v>
      </c>
      <c r="W111">
        <f>_xlfn.XLOOKUP(A111,Absenteismo!A:A,Absenteismo!A:A,0)</f>
        <v>2015</v>
      </c>
    </row>
    <row r="112" spans="1:23" hidden="1" x14ac:dyDescent="0.3">
      <c r="A112">
        <v>2096</v>
      </c>
      <c r="B112">
        <v>22</v>
      </c>
      <c r="C112" t="s">
        <v>15</v>
      </c>
      <c r="D112" t="s">
        <v>22</v>
      </c>
      <c r="E112" t="s">
        <v>17</v>
      </c>
      <c r="F112" t="s">
        <v>18</v>
      </c>
      <c r="G112">
        <v>18</v>
      </c>
      <c r="H112">
        <v>4695</v>
      </c>
      <c r="I112" t="s">
        <v>30</v>
      </c>
      <c r="J112" s="2">
        <v>45313</v>
      </c>
      <c r="K112">
        <v>46</v>
      </c>
      <c r="L112" t="s">
        <v>20</v>
      </c>
      <c r="M112">
        <v>13</v>
      </c>
      <c r="N112">
        <v>8</v>
      </c>
      <c r="O112">
        <v>5</v>
      </c>
      <c r="P112" t="s">
        <v>25</v>
      </c>
      <c r="Q112" s="1">
        <v>2</v>
      </c>
      <c r="R112" s="2">
        <v>46174</v>
      </c>
      <c r="S112" s="2"/>
      <c r="T112" s="1" t="str">
        <f t="shared" si="3"/>
        <v>seg</v>
      </c>
      <c r="U112" s="1" t="str">
        <f t="shared" si="4"/>
        <v>jan</v>
      </c>
      <c r="V112">
        <f t="shared" si="5"/>
        <v>2024</v>
      </c>
      <c r="W112">
        <f>_xlfn.XLOOKUP(A112,Absenteismo!A:A,Absenteismo!A:A,0)</f>
        <v>2096</v>
      </c>
    </row>
    <row r="113" spans="1:23" x14ac:dyDescent="0.3">
      <c r="A113">
        <v>2105</v>
      </c>
      <c r="B113">
        <v>22</v>
      </c>
      <c r="C113" t="s">
        <v>26</v>
      </c>
      <c r="D113" t="s">
        <v>27</v>
      </c>
      <c r="E113" t="s">
        <v>17</v>
      </c>
      <c r="F113" t="s">
        <v>21</v>
      </c>
      <c r="G113">
        <v>77</v>
      </c>
      <c r="H113">
        <v>6049</v>
      </c>
      <c r="I113" t="s">
        <v>24</v>
      </c>
      <c r="J113" s="2">
        <v>43508</v>
      </c>
      <c r="K113">
        <v>2</v>
      </c>
      <c r="L113" t="s">
        <v>20</v>
      </c>
      <c r="M113">
        <v>28</v>
      </c>
      <c r="N113">
        <v>7</v>
      </c>
      <c r="O113">
        <v>3</v>
      </c>
      <c r="P113" t="s">
        <v>25</v>
      </c>
      <c r="Q113" s="1">
        <v>1</v>
      </c>
      <c r="R113" s="2">
        <v>46174</v>
      </c>
      <c r="S113" s="2"/>
      <c r="T113" s="1" t="str">
        <f t="shared" si="3"/>
        <v>ter</v>
      </c>
      <c r="U113" s="1" t="str">
        <f t="shared" si="4"/>
        <v>fev</v>
      </c>
      <c r="V113">
        <f t="shared" si="5"/>
        <v>2019</v>
      </c>
      <c r="W113">
        <f>_xlfn.XLOOKUP(A113,Absenteismo!A:A,Absenteismo!A:A,0)</f>
        <v>0</v>
      </c>
    </row>
    <row r="114" spans="1:23" x14ac:dyDescent="0.3">
      <c r="A114">
        <v>2123</v>
      </c>
      <c r="B114">
        <v>22</v>
      </c>
      <c r="C114" t="s">
        <v>15</v>
      </c>
      <c r="D114" t="s">
        <v>22</v>
      </c>
      <c r="E114" t="s">
        <v>17</v>
      </c>
      <c r="F114" t="s">
        <v>21</v>
      </c>
      <c r="G114">
        <v>24</v>
      </c>
      <c r="H114">
        <v>5796</v>
      </c>
      <c r="I114" t="s">
        <v>24</v>
      </c>
      <c r="J114" s="2">
        <v>45180</v>
      </c>
      <c r="K114">
        <v>13</v>
      </c>
      <c r="L114" t="s">
        <v>20</v>
      </c>
      <c r="M114">
        <v>16</v>
      </c>
      <c r="N114">
        <v>10</v>
      </c>
      <c r="O114">
        <v>5</v>
      </c>
      <c r="P114" t="s">
        <v>25</v>
      </c>
      <c r="Q114" s="1">
        <v>2</v>
      </c>
      <c r="R114" s="2">
        <v>46174</v>
      </c>
      <c r="S114" s="2"/>
      <c r="T114" s="1" t="str">
        <f t="shared" si="3"/>
        <v>seg</v>
      </c>
      <c r="U114" s="1" t="str">
        <f t="shared" si="4"/>
        <v>set</v>
      </c>
      <c r="V114">
        <f t="shared" si="5"/>
        <v>2023</v>
      </c>
      <c r="W114">
        <f>_xlfn.XLOOKUP(A114,Absenteismo!A:A,Absenteismo!A:A,0)</f>
        <v>0</v>
      </c>
    </row>
    <row r="115" spans="1:23" hidden="1" x14ac:dyDescent="0.3">
      <c r="A115">
        <v>2146</v>
      </c>
      <c r="B115">
        <v>22</v>
      </c>
      <c r="C115" t="s">
        <v>15</v>
      </c>
      <c r="D115" t="s">
        <v>29</v>
      </c>
      <c r="E115" t="s">
        <v>17</v>
      </c>
      <c r="F115" t="s">
        <v>23</v>
      </c>
      <c r="G115">
        <v>34</v>
      </c>
      <c r="H115">
        <v>4567</v>
      </c>
      <c r="I115" t="s">
        <v>30</v>
      </c>
      <c r="J115" s="2">
        <v>44720</v>
      </c>
      <c r="K115">
        <v>60</v>
      </c>
      <c r="L115" t="s">
        <v>20</v>
      </c>
      <c r="M115">
        <v>25</v>
      </c>
      <c r="N115">
        <v>8</v>
      </c>
      <c r="O115">
        <v>4</v>
      </c>
      <c r="P115" t="s">
        <v>25</v>
      </c>
      <c r="Q115" s="1">
        <v>2</v>
      </c>
      <c r="R115" s="2">
        <v>46174</v>
      </c>
      <c r="S115" s="2"/>
      <c r="T115" s="1" t="str">
        <f t="shared" si="3"/>
        <v>qua</v>
      </c>
      <c r="U115" s="1" t="str">
        <f t="shared" si="4"/>
        <v>jun</v>
      </c>
      <c r="V115">
        <f t="shared" si="5"/>
        <v>2022</v>
      </c>
      <c r="W115">
        <f>_xlfn.XLOOKUP(A115,Absenteismo!A:A,Absenteismo!A:A,0)</f>
        <v>2146</v>
      </c>
    </row>
    <row r="116" spans="1:23" hidden="1" x14ac:dyDescent="0.3">
      <c r="A116">
        <v>2151</v>
      </c>
      <c r="B116">
        <v>22</v>
      </c>
      <c r="C116" t="s">
        <v>26</v>
      </c>
      <c r="D116" t="s">
        <v>27</v>
      </c>
      <c r="E116" t="s">
        <v>17</v>
      </c>
      <c r="F116" t="s">
        <v>21</v>
      </c>
      <c r="G116">
        <v>81</v>
      </c>
      <c r="H116">
        <v>3431</v>
      </c>
      <c r="I116" t="s">
        <v>33</v>
      </c>
      <c r="J116" s="2">
        <v>43647</v>
      </c>
      <c r="K116">
        <v>30</v>
      </c>
      <c r="L116" t="s">
        <v>20</v>
      </c>
      <c r="M116">
        <v>3</v>
      </c>
      <c r="N116">
        <v>7</v>
      </c>
      <c r="O116">
        <v>3</v>
      </c>
      <c r="P116" t="s">
        <v>25</v>
      </c>
      <c r="Q116" s="1">
        <v>2</v>
      </c>
      <c r="R116" s="2">
        <v>46174</v>
      </c>
      <c r="S116" s="2"/>
      <c r="T116" s="1" t="str">
        <f t="shared" si="3"/>
        <v>seg</v>
      </c>
      <c r="U116" s="1" t="str">
        <f t="shared" si="4"/>
        <v>jul</v>
      </c>
      <c r="V116">
        <f t="shared" si="5"/>
        <v>2019</v>
      </c>
      <c r="W116">
        <f>_xlfn.XLOOKUP(A116,Absenteismo!A:A,Absenteismo!A:A,0)</f>
        <v>2151</v>
      </c>
    </row>
    <row r="117" spans="1:23" hidden="1" x14ac:dyDescent="0.3">
      <c r="A117">
        <v>2179</v>
      </c>
      <c r="B117">
        <v>22</v>
      </c>
      <c r="C117" t="s">
        <v>15</v>
      </c>
      <c r="D117" t="s">
        <v>16</v>
      </c>
      <c r="E117" t="s">
        <v>17</v>
      </c>
      <c r="F117" t="s">
        <v>18</v>
      </c>
      <c r="G117">
        <v>34</v>
      </c>
      <c r="H117">
        <v>3657</v>
      </c>
      <c r="I117" t="s">
        <v>30</v>
      </c>
      <c r="J117" s="2">
        <v>45128</v>
      </c>
      <c r="K117">
        <v>22</v>
      </c>
      <c r="L117" t="s">
        <v>20</v>
      </c>
      <c r="M117">
        <v>24</v>
      </c>
      <c r="N117">
        <v>2</v>
      </c>
      <c r="O117">
        <v>2</v>
      </c>
      <c r="P117" t="s">
        <v>25</v>
      </c>
      <c r="Q117" s="1">
        <v>2</v>
      </c>
      <c r="R117" s="2">
        <v>46174</v>
      </c>
      <c r="S117" s="2"/>
      <c r="T117" s="1" t="str">
        <f t="shared" si="3"/>
        <v>sex</v>
      </c>
      <c r="U117" s="1" t="str">
        <f t="shared" si="4"/>
        <v>jul</v>
      </c>
      <c r="V117">
        <f t="shared" si="5"/>
        <v>2023</v>
      </c>
      <c r="W117">
        <f>_xlfn.XLOOKUP(A117,Absenteismo!A:A,Absenteismo!A:A,0)</f>
        <v>2179</v>
      </c>
    </row>
    <row r="118" spans="1:23" hidden="1" x14ac:dyDescent="0.3">
      <c r="A118">
        <v>1888</v>
      </c>
      <c r="B118">
        <v>22</v>
      </c>
      <c r="C118" t="s">
        <v>15</v>
      </c>
      <c r="D118" t="s">
        <v>29</v>
      </c>
      <c r="E118" t="s">
        <v>17</v>
      </c>
      <c r="F118" t="s">
        <v>18</v>
      </c>
      <c r="G118">
        <v>71</v>
      </c>
      <c r="H118">
        <v>5471</v>
      </c>
      <c r="I118" t="s">
        <v>24</v>
      </c>
      <c r="J118" s="2">
        <v>43602</v>
      </c>
      <c r="K118">
        <v>34</v>
      </c>
      <c r="L118" t="s">
        <v>20</v>
      </c>
      <c r="M118">
        <v>0</v>
      </c>
      <c r="N118">
        <v>12</v>
      </c>
      <c r="O118">
        <v>5</v>
      </c>
      <c r="P118" t="s">
        <v>25</v>
      </c>
      <c r="Q118" s="1">
        <v>2</v>
      </c>
      <c r="R118" s="2">
        <v>46174</v>
      </c>
      <c r="S118" s="2"/>
      <c r="T118" s="1" t="str">
        <f t="shared" si="3"/>
        <v>sex</v>
      </c>
      <c r="U118" s="1" t="str">
        <f t="shared" si="4"/>
        <v>mai</v>
      </c>
      <c r="V118">
        <f t="shared" si="5"/>
        <v>2019</v>
      </c>
      <c r="W118">
        <f>_xlfn.XLOOKUP(A118,Absenteismo!A:A,Absenteismo!A:A,0)</f>
        <v>1888</v>
      </c>
    </row>
    <row r="119" spans="1:23" hidden="1" x14ac:dyDescent="0.3">
      <c r="A119">
        <v>2014</v>
      </c>
      <c r="B119">
        <v>22</v>
      </c>
      <c r="C119" t="s">
        <v>15</v>
      </c>
      <c r="D119" t="s">
        <v>31</v>
      </c>
      <c r="E119" t="s">
        <v>34</v>
      </c>
      <c r="F119" t="s">
        <v>18</v>
      </c>
      <c r="G119">
        <v>97</v>
      </c>
      <c r="H119">
        <v>7418</v>
      </c>
      <c r="I119" t="s">
        <v>28</v>
      </c>
      <c r="J119" s="2">
        <v>43026</v>
      </c>
      <c r="K119">
        <v>29</v>
      </c>
      <c r="L119" t="s">
        <v>20</v>
      </c>
      <c r="M119">
        <v>20</v>
      </c>
      <c r="N119">
        <v>10</v>
      </c>
      <c r="O119">
        <v>4</v>
      </c>
      <c r="P119" t="s">
        <v>25</v>
      </c>
      <c r="Q119" s="1">
        <v>2</v>
      </c>
      <c r="R119" s="2">
        <v>46174</v>
      </c>
      <c r="S119" s="2"/>
      <c r="T119" s="1" t="str">
        <f t="shared" si="3"/>
        <v>qua</v>
      </c>
      <c r="U119" s="1" t="str">
        <f t="shared" si="4"/>
        <v>out</v>
      </c>
      <c r="V119">
        <f t="shared" si="5"/>
        <v>2017</v>
      </c>
      <c r="W119">
        <f>_xlfn.XLOOKUP(A119,Absenteismo!A:A,Absenteismo!A:A,0)</f>
        <v>2014</v>
      </c>
    </row>
    <row r="120" spans="1:23" hidden="1" x14ac:dyDescent="0.3">
      <c r="A120">
        <v>2115</v>
      </c>
      <c r="B120">
        <v>22</v>
      </c>
      <c r="C120" t="s">
        <v>26</v>
      </c>
      <c r="D120" t="s">
        <v>27</v>
      </c>
      <c r="E120" t="s">
        <v>17</v>
      </c>
      <c r="F120" t="s">
        <v>23</v>
      </c>
      <c r="G120">
        <v>82</v>
      </c>
      <c r="H120">
        <v>5280</v>
      </c>
      <c r="I120" t="s">
        <v>19</v>
      </c>
      <c r="J120" s="2">
        <v>43646</v>
      </c>
      <c r="K120">
        <v>17</v>
      </c>
      <c r="L120" t="s">
        <v>20</v>
      </c>
      <c r="M120">
        <v>27</v>
      </c>
      <c r="N120">
        <v>12</v>
      </c>
      <c r="O120">
        <v>5</v>
      </c>
      <c r="P120" t="s">
        <v>25</v>
      </c>
      <c r="Q120" s="1">
        <v>2</v>
      </c>
      <c r="R120" s="2">
        <v>46174</v>
      </c>
      <c r="S120" s="2"/>
      <c r="T120" s="1" t="str">
        <f t="shared" si="3"/>
        <v>dom</v>
      </c>
      <c r="U120" s="1" t="str">
        <f t="shared" si="4"/>
        <v>jun</v>
      </c>
      <c r="V120">
        <f t="shared" si="5"/>
        <v>2019</v>
      </c>
      <c r="W120">
        <f>_xlfn.XLOOKUP(A120,Absenteismo!A:A,Absenteismo!A:A,0)</f>
        <v>2115</v>
      </c>
    </row>
    <row r="121" spans="1:23" x14ac:dyDescent="0.3">
      <c r="A121">
        <v>2188</v>
      </c>
      <c r="B121">
        <v>22</v>
      </c>
      <c r="C121" t="s">
        <v>15</v>
      </c>
      <c r="D121" t="s">
        <v>29</v>
      </c>
      <c r="E121" t="s">
        <v>17</v>
      </c>
      <c r="F121" t="s">
        <v>18</v>
      </c>
      <c r="G121">
        <v>71</v>
      </c>
      <c r="H121">
        <v>5471</v>
      </c>
      <c r="I121" t="s">
        <v>24</v>
      </c>
      <c r="J121" s="2">
        <v>43595</v>
      </c>
      <c r="K121">
        <v>34</v>
      </c>
      <c r="L121" t="s">
        <v>20</v>
      </c>
      <c r="M121">
        <v>0</v>
      </c>
      <c r="N121">
        <v>12</v>
      </c>
      <c r="O121">
        <v>5</v>
      </c>
      <c r="P121" t="s">
        <v>25</v>
      </c>
      <c r="Q121" s="1">
        <v>2</v>
      </c>
      <c r="R121" s="2">
        <v>46174</v>
      </c>
      <c r="S121" s="2"/>
      <c r="T121" s="1" t="str">
        <f t="shared" si="3"/>
        <v>sex</v>
      </c>
      <c r="U121" s="1" t="str">
        <f t="shared" si="4"/>
        <v>mai</v>
      </c>
      <c r="V121">
        <f t="shared" si="5"/>
        <v>2019</v>
      </c>
      <c r="W121">
        <f>_xlfn.XLOOKUP(A121,Absenteismo!A:A,Absenteismo!A:A,0)</f>
        <v>0</v>
      </c>
    </row>
    <row r="122" spans="1:23" hidden="1" x14ac:dyDescent="0.3">
      <c r="A122">
        <v>1231</v>
      </c>
      <c r="B122">
        <v>23</v>
      </c>
      <c r="C122" t="s">
        <v>26</v>
      </c>
      <c r="D122" t="s">
        <v>22</v>
      </c>
      <c r="E122" t="s">
        <v>17</v>
      </c>
      <c r="F122" t="s">
        <v>23</v>
      </c>
      <c r="G122">
        <v>100</v>
      </c>
      <c r="H122">
        <v>4741</v>
      </c>
      <c r="I122" t="s">
        <v>19</v>
      </c>
      <c r="J122" s="2">
        <v>42716</v>
      </c>
      <c r="K122">
        <v>41</v>
      </c>
      <c r="L122" t="s">
        <v>20</v>
      </c>
      <c r="M122">
        <v>22</v>
      </c>
      <c r="N122">
        <v>11</v>
      </c>
      <c r="O122">
        <v>5</v>
      </c>
      <c r="P122" t="s">
        <v>20</v>
      </c>
      <c r="Q122" s="1">
        <v>3</v>
      </c>
      <c r="R122" s="2">
        <v>46174</v>
      </c>
      <c r="S122" s="2">
        <v>45759</v>
      </c>
      <c r="T122" s="1" t="str">
        <f t="shared" si="3"/>
        <v>seg</v>
      </c>
      <c r="U122" s="1" t="str">
        <f t="shared" si="4"/>
        <v>dez</v>
      </c>
      <c r="V122">
        <f t="shared" si="5"/>
        <v>2016</v>
      </c>
      <c r="W122">
        <f>_xlfn.XLOOKUP(A122,Absenteismo!A:A,Absenteismo!A:A,0)</f>
        <v>1231</v>
      </c>
    </row>
    <row r="123" spans="1:23" hidden="1" x14ac:dyDescent="0.3">
      <c r="A123">
        <v>1877</v>
      </c>
      <c r="B123">
        <v>23</v>
      </c>
      <c r="C123" t="s">
        <v>26</v>
      </c>
      <c r="D123" t="s">
        <v>29</v>
      </c>
      <c r="E123" t="s">
        <v>17</v>
      </c>
      <c r="F123" t="s">
        <v>18</v>
      </c>
      <c r="G123">
        <v>27</v>
      </c>
      <c r="H123">
        <v>4844</v>
      </c>
      <c r="I123" t="s">
        <v>30</v>
      </c>
      <c r="J123" s="2">
        <v>44955</v>
      </c>
      <c r="K123">
        <v>23</v>
      </c>
      <c r="L123" t="s">
        <v>20</v>
      </c>
      <c r="M123">
        <v>6</v>
      </c>
      <c r="N123">
        <v>11</v>
      </c>
      <c r="O123">
        <v>2</v>
      </c>
      <c r="P123" t="s">
        <v>20</v>
      </c>
      <c r="Q123" s="1">
        <v>3</v>
      </c>
      <c r="R123" s="2">
        <v>46174</v>
      </c>
      <c r="S123" s="2">
        <v>45776</v>
      </c>
      <c r="T123" s="1" t="str">
        <f t="shared" si="3"/>
        <v>dom</v>
      </c>
      <c r="U123" s="1" t="str">
        <f t="shared" si="4"/>
        <v>jan</v>
      </c>
      <c r="V123">
        <f t="shared" si="5"/>
        <v>2023</v>
      </c>
      <c r="W123">
        <f>_xlfn.XLOOKUP(A123,Absenteismo!A:A,Absenteismo!A:A,0)</f>
        <v>1877</v>
      </c>
    </row>
    <row r="124" spans="1:23" hidden="1" x14ac:dyDescent="0.3">
      <c r="A124">
        <v>2131</v>
      </c>
      <c r="B124">
        <v>23</v>
      </c>
      <c r="C124" t="s">
        <v>26</v>
      </c>
      <c r="D124" t="s">
        <v>22</v>
      </c>
      <c r="E124" t="s">
        <v>17</v>
      </c>
      <c r="F124" t="s">
        <v>23</v>
      </c>
      <c r="G124">
        <v>100</v>
      </c>
      <c r="H124">
        <v>4741</v>
      </c>
      <c r="I124" t="s">
        <v>19</v>
      </c>
      <c r="J124" s="2">
        <v>42820</v>
      </c>
      <c r="K124">
        <v>53</v>
      </c>
      <c r="L124" t="s">
        <v>25</v>
      </c>
      <c r="M124">
        <v>22</v>
      </c>
      <c r="N124">
        <v>11</v>
      </c>
      <c r="O124">
        <v>5</v>
      </c>
      <c r="P124" t="s">
        <v>20</v>
      </c>
      <c r="Q124" s="1">
        <v>2</v>
      </c>
      <c r="R124" s="2">
        <v>46174</v>
      </c>
      <c r="S124" s="2">
        <v>45864</v>
      </c>
      <c r="T124" s="1" t="str">
        <f t="shared" si="3"/>
        <v>dom</v>
      </c>
      <c r="U124" s="1" t="str">
        <f t="shared" si="4"/>
        <v>mar</v>
      </c>
      <c r="V124">
        <f t="shared" si="5"/>
        <v>2017</v>
      </c>
      <c r="W124">
        <f>_xlfn.XLOOKUP(A124,Absenteismo!A:A,Absenteismo!A:A,0)</f>
        <v>2131</v>
      </c>
    </row>
    <row r="125" spans="1:23" hidden="1" x14ac:dyDescent="0.3">
      <c r="A125">
        <v>1831</v>
      </c>
      <c r="B125">
        <v>23</v>
      </c>
      <c r="C125" t="s">
        <v>26</v>
      </c>
      <c r="D125" t="s">
        <v>22</v>
      </c>
      <c r="E125" t="s">
        <v>17</v>
      </c>
      <c r="F125" t="s">
        <v>23</v>
      </c>
      <c r="G125">
        <v>100</v>
      </c>
      <c r="H125">
        <v>4741</v>
      </c>
      <c r="I125" t="s">
        <v>19</v>
      </c>
      <c r="J125" s="2">
        <v>42888</v>
      </c>
      <c r="K125">
        <v>53</v>
      </c>
      <c r="L125" t="s">
        <v>25</v>
      </c>
      <c r="M125">
        <v>22</v>
      </c>
      <c r="N125">
        <v>11</v>
      </c>
      <c r="O125">
        <v>5</v>
      </c>
      <c r="P125" t="s">
        <v>20</v>
      </c>
      <c r="Q125" s="1">
        <v>1</v>
      </c>
      <c r="R125" s="2">
        <v>46174</v>
      </c>
      <c r="S125" s="2">
        <v>45932</v>
      </c>
      <c r="T125" s="1" t="str">
        <f t="shared" si="3"/>
        <v>sex</v>
      </c>
      <c r="U125" s="1" t="str">
        <f t="shared" si="4"/>
        <v>jun</v>
      </c>
      <c r="V125">
        <f t="shared" si="5"/>
        <v>2017</v>
      </c>
      <c r="W125">
        <f>_xlfn.XLOOKUP(A125,Absenteismo!A:A,Absenteismo!A:A,0)</f>
        <v>1831</v>
      </c>
    </row>
    <row r="126" spans="1:23" hidden="1" x14ac:dyDescent="0.3">
      <c r="A126">
        <v>1302</v>
      </c>
      <c r="B126">
        <v>23</v>
      </c>
      <c r="C126" t="s">
        <v>15</v>
      </c>
      <c r="D126" t="s">
        <v>16</v>
      </c>
      <c r="E126" t="s">
        <v>17</v>
      </c>
      <c r="F126" t="s">
        <v>21</v>
      </c>
      <c r="G126">
        <v>4</v>
      </c>
      <c r="H126">
        <v>7397</v>
      </c>
      <c r="I126" t="s">
        <v>19</v>
      </c>
      <c r="J126" s="2">
        <v>45850</v>
      </c>
      <c r="K126">
        <v>46</v>
      </c>
      <c r="L126" t="s">
        <v>20</v>
      </c>
      <c r="M126">
        <v>34</v>
      </c>
      <c r="N126">
        <v>6</v>
      </c>
      <c r="O126">
        <v>3</v>
      </c>
      <c r="P126" t="s">
        <v>20</v>
      </c>
      <c r="Q126" s="1">
        <v>3</v>
      </c>
      <c r="R126" s="2">
        <v>46174</v>
      </c>
      <c r="S126" s="2">
        <v>45973</v>
      </c>
      <c r="T126" s="1" t="str">
        <f t="shared" si="3"/>
        <v>sáb</v>
      </c>
      <c r="U126" s="1" t="str">
        <f t="shared" si="4"/>
        <v>jul</v>
      </c>
      <c r="V126">
        <f t="shared" si="5"/>
        <v>2025</v>
      </c>
      <c r="W126">
        <f>_xlfn.XLOOKUP(A126,Absenteismo!A:A,Absenteismo!A:A,0)</f>
        <v>1302</v>
      </c>
    </row>
    <row r="127" spans="1:23" hidden="1" x14ac:dyDescent="0.3">
      <c r="A127">
        <v>1580</v>
      </c>
      <c r="B127">
        <v>23</v>
      </c>
      <c r="C127" t="s">
        <v>26</v>
      </c>
      <c r="D127" t="s">
        <v>29</v>
      </c>
      <c r="E127" t="s">
        <v>17</v>
      </c>
      <c r="F127" t="s">
        <v>21</v>
      </c>
      <c r="G127">
        <v>115</v>
      </c>
      <c r="H127">
        <v>6754</v>
      </c>
      <c r="I127" t="s">
        <v>30</v>
      </c>
      <c r="J127" s="2">
        <v>42475</v>
      </c>
      <c r="K127">
        <v>28</v>
      </c>
      <c r="L127" t="s">
        <v>25</v>
      </c>
      <c r="M127">
        <v>10</v>
      </c>
      <c r="N127">
        <v>9</v>
      </c>
      <c r="O127">
        <v>5</v>
      </c>
      <c r="P127" t="s">
        <v>20</v>
      </c>
      <c r="Q127" s="1">
        <v>1</v>
      </c>
      <c r="R127" s="2">
        <v>46174</v>
      </c>
      <c r="S127" s="2">
        <v>45976</v>
      </c>
      <c r="T127" s="1" t="str">
        <f t="shared" si="3"/>
        <v>sex</v>
      </c>
      <c r="U127" s="1" t="str">
        <f t="shared" si="4"/>
        <v>abr</v>
      </c>
      <c r="V127">
        <f t="shared" si="5"/>
        <v>2016</v>
      </c>
      <c r="W127">
        <f>_xlfn.XLOOKUP(A127,Absenteismo!A:A,Absenteismo!A:A,0)</f>
        <v>1580</v>
      </c>
    </row>
    <row r="128" spans="1:23" hidden="1" x14ac:dyDescent="0.3">
      <c r="A128">
        <v>1280</v>
      </c>
      <c r="B128">
        <v>23</v>
      </c>
      <c r="C128" t="s">
        <v>26</v>
      </c>
      <c r="D128" t="s">
        <v>29</v>
      </c>
      <c r="E128" t="s">
        <v>17</v>
      </c>
      <c r="F128" t="s">
        <v>21</v>
      </c>
      <c r="G128">
        <v>115</v>
      </c>
      <c r="H128">
        <v>6754</v>
      </c>
      <c r="I128" t="s">
        <v>30</v>
      </c>
      <c r="J128" s="2">
        <v>42481</v>
      </c>
      <c r="K128">
        <v>28</v>
      </c>
      <c r="L128" t="s">
        <v>25</v>
      </c>
      <c r="M128">
        <v>10</v>
      </c>
      <c r="N128">
        <v>9</v>
      </c>
      <c r="O128">
        <v>5</v>
      </c>
      <c r="P128" t="s">
        <v>20</v>
      </c>
      <c r="Q128" s="1">
        <v>3</v>
      </c>
      <c r="R128" s="2">
        <v>46174</v>
      </c>
      <c r="S128" s="2">
        <v>45982</v>
      </c>
      <c r="T128" s="1" t="str">
        <f t="shared" si="3"/>
        <v>qui</v>
      </c>
      <c r="U128" s="1" t="str">
        <f t="shared" si="4"/>
        <v>abr</v>
      </c>
      <c r="V128">
        <f t="shared" si="5"/>
        <v>2016</v>
      </c>
      <c r="W128">
        <f>_xlfn.XLOOKUP(A128,Absenteismo!A:A,Absenteismo!A:A,0)</f>
        <v>1280</v>
      </c>
    </row>
    <row r="129" spans="1:23" hidden="1" x14ac:dyDescent="0.3">
      <c r="A129">
        <v>1577</v>
      </c>
      <c r="B129">
        <v>23</v>
      </c>
      <c r="C129" t="s">
        <v>26</v>
      </c>
      <c r="D129" t="s">
        <v>29</v>
      </c>
      <c r="E129" t="s">
        <v>17</v>
      </c>
      <c r="F129" t="s">
        <v>18</v>
      </c>
      <c r="G129">
        <v>27</v>
      </c>
      <c r="H129">
        <v>4844</v>
      </c>
      <c r="I129" t="s">
        <v>30</v>
      </c>
      <c r="J129" s="2">
        <v>45297</v>
      </c>
      <c r="K129">
        <v>23</v>
      </c>
      <c r="L129" t="s">
        <v>20</v>
      </c>
      <c r="M129">
        <v>6</v>
      </c>
      <c r="N129">
        <v>11</v>
      </c>
      <c r="O129">
        <v>2</v>
      </c>
      <c r="P129" t="s">
        <v>20</v>
      </c>
      <c r="Q129" s="1">
        <v>2</v>
      </c>
      <c r="R129" s="2">
        <v>46174</v>
      </c>
      <c r="S129" s="2">
        <v>46118</v>
      </c>
      <c r="T129" s="1" t="str">
        <f t="shared" si="3"/>
        <v>sáb</v>
      </c>
      <c r="U129" s="1" t="str">
        <f t="shared" si="4"/>
        <v>jan</v>
      </c>
      <c r="V129">
        <f t="shared" si="5"/>
        <v>2024</v>
      </c>
      <c r="W129">
        <f>_xlfn.XLOOKUP(A129,Absenteismo!A:A,Absenteismo!A:A,0)</f>
        <v>1577</v>
      </c>
    </row>
    <row r="130" spans="1:23" x14ac:dyDescent="0.3">
      <c r="A130">
        <v>1002</v>
      </c>
      <c r="B130">
        <v>23</v>
      </c>
      <c r="C130" t="s">
        <v>15</v>
      </c>
      <c r="D130" t="s">
        <v>16</v>
      </c>
      <c r="E130" t="s">
        <v>17</v>
      </c>
      <c r="F130" t="s">
        <v>21</v>
      </c>
      <c r="G130">
        <v>4</v>
      </c>
      <c r="H130">
        <v>7397</v>
      </c>
      <c r="I130" t="s">
        <v>19</v>
      </c>
      <c r="J130" s="2">
        <v>46019</v>
      </c>
      <c r="K130">
        <v>46</v>
      </c>
      <c r="L130" t="s">
        <v>20</v>
      </c>
      <c r="M130">
        <v>34</v>
      </c>
      <c r="N130">
        <v>6</v>
      </c>
      <c r="O130">
        <v>3</v>
      </c>
      <c r="P130" t="s">
        <v>20</v>
      </c>
      <c r="Q130" s="1">
        <v>2</v>
      </c>
      <c r="R130" s="2">
        <v>46174</v>
      </c>
      <c r="S130" s="2">
        <v>46140</v>
      </c>
      <c r="T130" s="1" t="str">
        <f t="shared" ref="T130:T193" si="6">TEXT($J130,"ddd")</f>
        <v>dom</v>
      </c>
      <c r="U130" s="1" t="str">
        <f t="shared" ref="U130:U193" si="7">TEXT($J130,"mmm")</f>
        <v>dez</v>
      </c>
      <c r="V130">
        <f t="shared" ref="V130:V193" si="8">YEAR(J130)</f>
        <v>2025</v>
      </c>
      <c r="W130">
        <f>_xlfn.XLOOKUP(A130,Absenteismo!A:A,Absenteismo!A:A,0)</f>
        <v>0</v>
      </c>
    </row>
    <row r="131" spans="1:23" hidden="1" x14ac:dyDescent="0.3">
      <c r="A131">
        <v>1531</v>
      </c>
      <c r="B131">
        <v>23</v>
      </c>
      <c r="C131" t="s">
        <v>26</v>
      </c>
      <c r="D131" t="s">
        <v>22</v>
      </c>
      <c r="E131" t="s">
        <v>17</v>
      </c>
      <c r="F131" t="s">
        <v>23</v>
      </c>
      <c r="G131">
        <v>100</v>
      </c>
      <c r="H131">
        <v>4741</v>
      </c>
      <c r="I131" t="s">
        <v>19</v>
      </c>
      <c r="J131" s="2">
        <v>43145</v>
      </c>
      <c r="K131">
        <v>41</v>
      </c>
      <c r="L131" t="s">
        <v>20</v>
      </c>
      <c r="M131">
        <v>22</v>
      </c>
      <c r="N131">
        <v>11</v>
      </c>
      <c r="O131">
        <v>5</v>
      </c>
      <c r="P131" t="s">
        <v>20</v>
      </c>
      <c r="Q131" s="1">
        <v>2</v>
      </c>
      <c r="R131" s="2">
        <v>46174</v>
      </c>
      <c r="S131" s="2">
        <v>46187</v>
      </c>
      <c r="T131" s="1" t="str">
        <f t="shared" si="6"/>
        <v>qua</v>
      </c>
      <c r="U131" s="1" t="str">
        <f t="shared" si="7"/>
        <v>fev</v>
      </c>
      <c r="V131">
        <f t="shared" si="8"/>
        <v>2018</v>
      </c>
      <c r="W131">
        <f>_xlfn.XLOOKUP(A131,Absenteismo!A:A,Absenteismo!A:A,0)</f>
        <v>1531</v>
      </c>
    </row>
    <row r="132" spans="1:23" hidden="1" x14ac:dyDescent="0.3">
      <c r="A132">
        <v>1277</v>
      </c>
      <c r="B132">
        <v>23</v>
      </c>
      <c r="C132" t="s">
        <v>26</v>
      </c>
      <c r="D132" t="s">
        <v>29</v>
      </c>
      <c r="E132" t="s">
        <v>17</v>
      </c>
      <c r="F132" t="s">
        <v>18</v>
      </c>
      <c r="G132">
        <v>27</v>
      </c>
      <c r="H132">
        <v>4844</v>
      </c>
      <c r="I132" t="s">
        <v>30</v>
      </c>
      <c r="J132" s="2">
        <v>45370</v>
      </c>
      <c r="K132">
        <v>23</v>
      </c>
      <c r="L132" t="s">
        <v>20</v>
      </c>
      <c r="M132">
        <v>6</v>
      </c>
      <c r="N132">
        <v>11</v>
      </c>
      <c r="O132">
        <v>2</v>
      </c>
      <c r="P132" t="s">
        <v>20</v>
      </c>
      <c r="Q132" s="1">
        <v>2</v>
      </c>
      <c r="R132" s="2">
        <v>46174</v>
      </c>
      <c r="S132" s="2">
        <v>46192</v>
      </c>
      <c r="T132" s="1" t="str">
        <f t="shared" si="6"/>
        <v>ter</v>
      </c>
      <c r="U132" s="1" t="str">
        <f t="shared" si="7"/>
        <v>mar</v>
      </c>
      <c r="V132">
        <f t="shared" si="8"/>
        <v>2024</v>
      </c>
      <c r="W132">
        <f>_xlfn.XLOOKUP(A132,Absenteismo!A:A,Absenteismo!A:A,0)</f>
        <v>1277</v>
      </c>
    </row>
    <row r="133" spans="1:23" x14ac:dyDescent="0.3">
      <c r="A133">
        <v>1132</v>
      </c>
      <c r="B133">
        <v>23</v>
      </c>
      <c r="C133" t="s">
        <v>26</v>
      </c>
      <c r="D133" t="s">
        <v>16</v>
      </c>
      <c r="E133" t="s">
        <v>17</v>
      </c>
      <c r="F133" t="s">
        <v>21</v>
      </c>
      <c r="G133">
        <v>70</v>
      </c>
      <c r="H133">
        <v>6956</v>
      </c>
      <c r="I133" t="s">
        <v>28</v>
      </c>
      <c r="J133" s="2">
        <v>43801</v>
      </c>
      <c r="K133">
        <v>36</v>
      </c>
      <c r="L133" t="s">
        <v>20</v>
      </c>
      <c r="M133">
        <v>30</v>
      </c>
      <c r="N133">
        <v>0</v>
      </c>
      <c r="O133">
        <v>5</v>
      </c>
      <c r="P133" t="s">
        <v>25</v>
      </c>
      <c r="Q133" s="1">
        <v>2</v>
      </c>
      <c r="R133" s="2">
        <v>46174</v>
      </c>
      <c r="S133" s="2"/>
      <c r="T133" s="1" t="str">
        <f t="shared" si="6"/>
        <v>seg</v>
      </c>
      <c r="U133" s="1" t="str">
        <f t="shared" si="7"/>
        <v>dez</v>
      </c>
      <c r="V133">
        <f t="shared" si="8"/>
        <v>2019</v>
      </c>
      <c r="W133">
        <f>_xlfn.XLOOKUP(A133,Absenteismo!A:A,Absenteismo!A:A,0)</f>
        <v>0</v>
      </c>
    </row>
    <row r="134" spans="1:23" x14ac:dyDescent="0.3">
      <c r="A134">
        <v>1138</v>
      </c>
      <c r="B134">
        <v>23</v>
      </c>
      <c r="C134" t="s">
        <v>26</v>
      </c>
      <c r="D134" t="s">
        <v>27</v>
      </c>
      <c r="E134" t="s">
        <v>17</v>
      </c>
      <c r="F134" t="s">
        <v>18</v>
      </c>
      <c r="G134">
        <v>58</v>
      </c>
      <c r="H134">
        <v>6290</v>
      </c>
      <c r="I134" t="s">
        <v>19</v>
      </c>
      <c r="J134" s="2">
        <v>44345</v>
      </c>
      <c r="K134">
        <v>55</v>
      </c>
      <c r="L134" t="s">
        <v>20</v>
      </c>
      <c r="M134">
        <v>28</v>
      </c>
      <c r="N134">
        <v>0</v>
      </c>
      <c r="O134">
        <v>4</v>
      </c>
      <c r="P134" t="s">
        <v>25</v>
      </c>
      <c r="Q134" s="1">
        <v>2</v>
      </c>
      <c r="R134" s="2">
        <v>46174</v>
      </c>
      <c r="S134" s="2"/>
      <c r="T134" s="1" t="str">
        <f t="shared" si="6"/>
        <v>sáb</v>
      </c>
      <c r="U134" s="1" t="str">
        <f t="shared" si="7"/>
        <v>mai</v>
      </c>
      <c r="V134">
        <f t="shared" si="8"/>
        <v>2021</v>
      </c>
      <c r="W134">
        <f>_xlfn.XLOOKUP(A134,Absenteismo!A:A,Absenteismo!A:A,0)</f>
        <v>0</v>
      </c>
    </row>
    <row r="135" spans="1:23" hidden="1" x14ac:dyDescent="0.3">
      <c r="A135">
        <v>1209</v>
      </c>
      <c r="B135">
        <v>23</v>
      </c>
      <c r="C135" t="s">
        <v>26</v>
      </c>
      <c r="D135" t="s">
        <v>22</v>
      </c>
      <c r="E135" t="s">
        <v>17</v>
      </c>
      <c r="F135" t="s">
        <v>23</v>
      </c>
      <c r="G135">
        <v>38</v>
      </c>
      <c r="H135">
        <v>6189</v>
      </c>
      <c r="I135" t="s">
        <v>33</v>
      </c>
      <c r="J135" s="2">
        <v>44789</v>
      </c>
      <c r="K135">
        <v>40</v>
      </c>
      <c r="L135" t="s">
        <v>20</v>
      </c>
      <c r="M135">
        <v>35</v>
      </c>
      <c r="N135">
        <v>3</v>
      </c>
      <c r="O135">
        <v>3</v>
      </c>
      <c r="P135" t="s">
        <v>25</v>
      </c>
      <c r="Q135" s="1">
        <v>2</v>
      </c>
      <c r="R135" s="2">
        <v>46174</v>
      </c>
      <c r="S135" s="2"/>
      <c r="T135" s="1" t="str">
        <f t="shared" si="6"/>
        <v>ter</v>
      </c>
      <c r="U135" s="1" t="str">
        <f t="shared" si="7"/>
        <v>ago</v>
      </c>
      <c r="V135">
        <f t="shared" si="8"/>
        <v>2022</v>
      </c>
      <c r="W135">
        <f>_xlfn.XLOOKUP(A135,Absenteismo!A:A,Absenteismo!A:A,0)</f>
        <v>1209</v>
      </c>
    </row>
    <row r="136" spans="1:23" x14ac:dyDescent="0.3">
      <c r="A136">
        <v>1219</v>
      </c>
      <c r="B136">
        <v>23</v>
      </c>
      <c r="C136" t="s">
        <v>15</v>
      </c>
      <c r="D136" t="s">
        <v>22</v>
      </c>
      <c r="E136" t="s">
        <v>17</v>
      </c>
      <c r="F136" t="s">
        <v>21</v>
      </c>
      <c r="G136">
        <v>19</v>
      </c>
      <c r="H136">
        <v>5653</v>
      </c>
      <c r="I136" t="s">
        <v>24</v>
      </c>
      <c r="J136" s="2">
        <v>45568</v>
      </c>
      <c r="K136">
        <v>22</v>
      </c>
      <c r="L136" t="s">
        <v>20</v>
      </c>
      <c r="M136">
        <v>13</v>
      </c>
      <c r="N136">
        <v>8</v>
      </c>
      <c r="O136">
        <v>5</v>
      </c>
      <c r="P136" t="s">
        <v>25</v>
      </c>
      <c r="Q136" s="1">
        <v>1</v>
      </c>
      <c r="R136" s="2">
        <v>46174</v>
      </c>
      <c r="S136" s="2"/>
      <c r="T136" s="1" t="str">
        <f t="shared" si="6"/>
        <v>qui</v>
      </c>
      <c r="U136" s="1" t="str">
        <f t="shared" si="7"/>
        <v>out</v>
      </c>
      <c r="V136">
        <f t="shared" si="8"/>
        <v>2024</v>
      </c>
      <c r="W136">
        <f>_xlfn.XLOOKUP(A136,Absenteismo!A:A,Absenteismo!A:A,0)</f>
        <v>0</v>
      </c>
    </row>
    <row r="137" spans="1:23" hidden="1" x14ac:dyDescent="0.3">
      <c r="A137">
        <v>1432</v>
      </c>
      <c r="B137">
        <v>23</v>
      </c>
      <c r="C137" t="s">
        <v>26</v>
      </c>
      <c r="D137" t="s">
        <v>16</v>
      </c>
      <c r="E137" t="s">
        <v>17</v>
      </c>
      <c r="F137" t="s">
        <v>21</v>
      </c>
      <c r="G137">
        <v>70</v>
      </c>
      <c r="H137">
        <v>6956</v>
      </c>
      <c r="I137" t="s">
        <v>28</v>
      </c>
      <c r="J137" s="2">
        <v>43741</v>
      </c>
      <c r="K137">
        <v>36</v>
      </c>
      <c r="L137" t="s">
        <v>20</v>
      </c>
      <c r="M137">
        <v>30</v>
      </c>
      <c r="N137">
        <v>0</v>
      </c>
      <c r="O137">
        <v>5</v>
      </c>
      <c r="P137" t="s">
        <v>25</v>
      </c>
      <c r="Q137" s="1">
        <v>2</v>
      </c>
      <c r="R137" s="2">
        <v>46174</v>
      </c>
      <c r="S137" s="2"/>
      <c r="T137" s="1" t="str">
        <f t="shared" si="6"/>
        <v>qui</v>
      </c>
      <c r="U137" s="1" t="str">
        <f t="shared" si="7"/>
        <v>out</v>
      </c>
      <c r="V137">
        <f t="shared" si="8"/>
        <v>2019</v>
      </c>
      <c r="W137">
        <f>_xlfn.XLOOKUP(A137,Absenteismo!A:A,Absenteismo!A:A,0)</f>
        <v>1432</v>
      </c>
    </row>
    <row r="138" spans="1:23" hidden="1" x14ac:dyDescent="0.3">
      <c r="A138">
        <v>1438</v>
      </c>
      <c r="B138">
        <v>23</v>
      </c>
      <c r="C138" t="s">
        <v>26</v>
      </c>
      <c r="D138" t="s">
        <v>27</v>
      </c>
      <c r="E138" t="s">
        <v>17</v>
      </c>
      <c r="F138" t="s">
        <v>18</v>
      </c>
      <c r="G138">
        <v>58</v>
      </c>
      <c r="H138">
        <v>6290</v>
      </c>
      <c r="I138" t="s">
        <v>19</v>
      </c>
      <c r="J138" s="2">
        <v>44372</v>
      </c>
      <c r="K138">
        <v>55</v>
      </c>
      <c r="L138" t="s">
        <v>20</v>
      </c>
      <c r="M138">
        <v>28</v>
      </c>
      <c r="N138">
        <v>0</v>
      </c>
      <c r="O138">
        <v>4</v>
      </c>
      <c r="P138" t="s">
        <v>25</v>
      </c>
      <c r="Q138" s="1">
        <v>1</v>
      </c>
      <c r="R138" s="2">
        <v>46174</v>
      </c>
      <c r="S138" s="2"/>
      <c r="T138" s="1" t="str">
        <f t="shared" si="6"/>
        <v>sex</v>
      </c>
      <c r="U138" s="1" t="str">
        <f t="shared" si="7"/>
        <v>jun</v>
      </c>
      <c r="V138">
        <f t="shared" si="8"/>
        <v>2021</v>
      </c>
      <c r="W138">
        <f>_xlfn.XLOOKUP(A138,Absenteismo!A:A,Absenteismo!A:A,0)</f>
        <v>1438</v>
      </c>
    </row>
    <row r="139" spans="1:23" hidden="1" x14ac:dyDescent="0.3">
      <c r="A139">
        <v>1509</v>
      </c>
      <c r="B139">
        <v>23</v>
      </c>
      <c r="C139" t="s">
        <v>26</v>
      </c>
      <c r="D139" t="s">
        <v>22</v>
      </c>
      <c r="E139" t="s">
        <v>17</v>
      </c>
      <c r="F139" t="s">
        <v>23</v>
      </c>
      <c r="G139">
        <v>38</v>
      </c>
      <c r="H139">
        <v>6189</v>
      </c>
      <c r="I139" t="s">
        <v>33</v>
      </c>
      <c r="J139" s="2">
        <v>44839</v>
      </c>
      <c r="K139">
        <v>40</v>
      </c>
      <c r="L139" t="s">
        <v>20</v>
      </c>
      <c r="M139">
        <v>35</v>
      </c>
      <c r="N139">
        <v>3</v>
      </c>
      <c r="O139">
        <v>3</v>
      </c>
      <c r="P139" t="s">
        <v>25</v>
      </c>
      <c r="Q139" s="1">
        <v>2</v>
      </c>
      <c r="R139" s="2">
        <v>46174</v>
      </c>
      <c r="S139" s="2"/>
      <c r="T139" s="1" t="str">
        <f t="shared" si="6"/>
        <v>qua</v>
      </c>
      <c r="U139" s="1" t="str">
        <f t="shared" si="7"/>
        <v>out</v>
      </c>
      <c r="V139">
        <f t="shared" si="8"/>
        <v>2022</v>
      </c>
      <c r="W139">
        <f>_xlfn.XLOOKUP(A139,Absenteismo!A:A,Absenteismo!A:A,0)</f>
        <v>1509</v>
      </c>
    </row>
    <row r="140" spans="1:23" x14ac:dyDescent="0.3">
      <c r="A140">
        <v>1519</v>
      </c>
      <c r="B140">
        <v>23</v>
      </c>
      <c r="C140" t="s">
        <v>15</v>
      </c>
      <c r="D140" t="s">
        <v>22</v>
      </c>
      <c r="E140" t="s">
        <v>17</v>
      </c>
      <c r="F140" t="s">
        <v>21</v>
      </c>
      <c r="G140">
        <v>19</v>
      </c>
      <c r="H140">
        <v>5653</v>
      </c>
      <c r="I140" t="s">
        <v>24</v>
      </c>
      <c r="J140" s="2">
        <v>45576</v>
      </c>
      <c r="K140">
        <v>22</v>
      </c>
      <c r="L140" t="s">
        <v>20</v>
      </c>
      <c r="M140">
        <v>13</v>
      </c>
      <c r="N140">
        <v>8</v>
      </c>
      <c r="O140">
        <v>5</v>
      </c>
      <c r="P140" t="s">
        <v>25</v>
      </c>
      <c r="Q140" s="1">
        <v>2</v>
      </c>
      <c r="R140" s="2">
        <v>46174</v>
      </c>
      <c r="S140" s="2"/>
      <c r="T140" s="1" t="str">
        <f t="shared" si="6"/>
        <v>sex</v>
      </c>
      <c r="U140" s="1" t="str">
        <f t="shared" si="7"/>
        <v>out</v>
      </c>
      <c r="V140">
        <f t="shared" si="8"/>
        <v>2024</v>
      </c>
      <c r="W140">
        <f>_xlfn.XLOOKUP(A140,Absenteismo!A:A,Absenteismo!A:A,0)</f>
        <v>0</v>
      </c>
    </row>
    <row r="141" spans="1:23" hidden="1" x14ac:dyDescent="0.3">
      <c r="A141">
        <v>1602</v>
      </c>
      <c r="B141">
        <v>23</v>
      </c>
      <c r="C141" t="s">
        <v>15</v>
      </c>
      <c r="D141" t="s">
        <v>16</v>
      </c>
      <c r="E141" t="s">
        <v>17</v>
      </c>
      <c r="F141" t="s">
        <v>21</v>
      </c>
      <c r="G141">
        <v>4</v>
      </c>
      <c r="H141">
        <v>7397</v>
      </c>
      <c r="I141" t="s">
        <v>19</v>
      </c>
      <c r="J141" s="2">
        <v>45667</v>
      </c>
      <c r="K141">
        <v>46</v>
      </c>
      <c r="L141" t="s">
        <v>20</v>
      </c>
      <c r="M141">
        <v>34</v>
      </c>
      <c r="N141">
        <v>6</v>
      </c>
      <c r="O141">
        <v>3</v>
      </c>
      <c r="P141" t="s">
        <v>25</v>
      </c>
      <c r="Q141" s="1">
        <v>2</v>
      </c>
      <c r="R141" s="2">
        <v>46174</v>
      </c>
      <c r="S141" s="2"/>
      <c r="T141" s="1" t="str">
        <f t="shared" si="6"/>
        <v>sex</v>
      </c>
      <c r="U141" s="1" t="str">
        <f t="shared" si="7"/>
        <v>jan</v>
      </c>
      <c r="V141">
        <f t="shared" si="8"/>
        <v>2025</v>
      </c>
      <c r="W141">
        <f>_xlfn.XLOOKUP(A141,Absenteismo!A:A,Absenteismo!A:A,0)</f>
        <v>1602</v>
      </c>
    </row>
    <row r="142" spans="1:23" hidden="1" x14ac:dyDescent="0.3">
      <c r="A142">
        <v>1732</v>
      </c>
      <c r="B142">
        <v>23</v>
      </c>
      <c r="C142" t="s">
        <v>26</v>
      </c>
      <c r="D142" t="s">
        <v>16</v>
      </c>
      <c r="E142" t="s">
        <v>17</v>
      </c>
      <c r="F142" t="s">
        <v>21</v>
      </c>
      <c r="G142">
        <v>70</v>
      </c>
      <c r="H142">
        <v>6956</v>
      </c>
      <c r="I142" t="s">
        <v>28</v>
      </c>
      <c r="J142" s="2">
        <v>43667</v>
      </c>
      <c r="K142">
        <v>36</v>
      </c>
      <c r="L142" t="s">
        <v>20</v>
      </c>
      <c r="M142">
        <v>30</v>
      </c>
      <c r="N142">
        <v>0</v>
      </c>
      <c r="O142">
        <v>5</v>
      </c>
      <c r="P142" t="s">
        <v>25</v>
      </c>
      <c r="Q142" s="1">
        <v>1</v>
      </c>
      <c r="R142" s="2">
        <v>46174</v>
      </c>
      <c r="S142" s="2"/>
      <c r="T142" s="1" t="str">
        <f t="shared" si="6"/>
        <v>dom</v>
      </c>
      <c r="U142" s="1" t="str">
        <f t="shared" si="7"/>
        <v>jul</v>
      </c>
      <c r="V142">
        <f t="shared" si="8"/>
        <v>2019</v>
      </c>
      <c r="W142">
        <f>_xlfn.XLOOKUP(A142,Absenteismo!A:A,Absenteismo!A:A,0)</f>
        <v>1732</v>
      </c>
    </row>
    <row r="143" spans="1:23" hidden="1" x14ac:dyDescent="0.3">
      <c r="A143">
        <v>1738</v>
      </c>
      <c r="B143">
        <v>23</v>
      </c>
      <c r="C143" t="s">
        <v>26</v>
      </c>
      <c r="D143" t="s">
        <v>27</v>
      </c>
      <c r="E143" t="s">
        <v>17</v>
      </c>
      <c r="F143" t="s">
        <v>18</v>
      </c>
      <c r="G143">
        <v>58</v>
      </c>
      <c r="H143">
        <v>6290</v>
      </c>
      <c r="I143" t="s">
        <v>19</v>
      </c>
      <c r="J143" s="2">
        <v>44433</v>
      </c>
      <c r="K143">
        <v>55</v>
      </c>
      <c r="L143" t="s">
        <v>20</v>
      </c>
      <c r="M143">
        <v>28</v>
      </c>
      <c r="N143">
        <v>0</v>
      </c>
      <c r="O143">
        <v>4</v>
      </c>
      <c r="P143" t="s">
        <v>25</v>
      </c>
      <c r="Q143" s="1">
        <v>3</v>
      </c>
      <c r="R143" s="2">
        <v>46174</v>
      </c>
      <c r="S143" s="2"/>
      <c r="T143" s="1" t="str">
        <f t="shared" si="6"/>
        <v>qua</v>
      </c>
      <c r="U143" s="1" t="str">
        <f t="shared" si="7"/>
        <v>ago</v>
      </c>
      <c r="V143">
        <f t="shared" si="8"/>
        <v>2021</v>
      </c>
      <c r="W143">
        <f>_xlfn.XLOOKUP(A143,Absenteismo!A:A,Absenteismo!A:A,0)</f>
        <v>1738</v>
      </c>
    </row>
    <row r="144" spans="1:23" hidden="1" x14ac:dyDescent="0.3">
      <c r="A144">
        <v>1809</v>
      </c>
      <c r="B144">
        <v>23</v>
      </c>
      <c r="C144" t="s">
        <v>26</v>
      </c>
      <c r="D144" t="s">
        <v>22</v>
      </c>
      <c r="E144" t="s">
        <v>17</v>
      </c>
      <c r="F144" t="s">
        <v>23</v>
      </c>
      <c r="G144">
        <v>38</v>
      </c>
      <c r="H144">
        <v>6189</v>
      </c>
      <c r="I144" t="s">
        <v>33</v>
      </c>
      <c r="J144" s="2">
        <v>44949</v>
      </c>
      <c r="K144">
        <v>40</v>
      </c>
      <c r="L144" t="s">
        <v>20</v>
      </c>
      <c r="M144">
        <v>35</v>
      </c>
      <c r="N144">
        <v>3</v>
      </c>
      <c r="O144">
        <v>3</v>
      </c>
      <c r="P144" t="s">
        <v>25</v>
      </c>
      <c r="Q144" s="1">
        <v>1</v>
      </c>
      <c r="R144" s="2">
        <v>46174</v>
      </c>
      <c r="S144" s="2"/>
      <c r="T144" s="1" t="str">
        <f t="shared" si="6"/>
        <v>seg</v>
      </c>
      <c r="U144" s="1" t="str">
        <f t="shared" si="7"/>
        <v>jan</v>
      </c>
      <c r="V144">
        <f t="shared" si="8"/>
        <v>2023</v>
      </c>
      <c r="W144">
        <f>_xlfn.XLOOKUP(A144,Absenteismo!A:A,Absenteismo!A:A,0)</f>
        <v>1809</v>
      </c>
    </row>
    <row r="145" spans="1:23" x14ac:dyDescent="0.3">
      <c r="A145">
        <v>1819</v>
      </c>
      <c r="B145">
        <v>23</v>
      </c>
      <c r="C145" t="s">
        <v>15</v>
      </c>
      <c r="D145" t="s">
        <v>22</v>
      </c>
      <c r="E145" t="s">
        <v>17</v>
      </c>
      <c r="F145" t="s">
        <v>21</v>
      </c>
      <c r="G145">
        <v>19</v>
      </c>
      <c r="H145">
        <v>5653</v>
      </c>
      <c r="I145" t="s">
        <v>24</v>
      </c>
      <c r="J145" s="2">
        <v>45604</v>
      </c>
      <c r="K145">
        <v>22</v>
      </c>
      <c r="L145" t="s">
        <v>20</v>
      </c>
      <c r="M145">
        <v>13</v>
      </c>
      <c r="N145">
        <v>8</v>
      </c>
      <c r="O145">
        <v>5</v>
      </c>
      <c r="P145" t="s">
        <v>25</v>
      </c>
      <c r="Q145" s="1">
        <v>3</v>
      </c>
      <c r="R145" s="2">
        <v>46174</v>
      </c>
      <c r="S145" s="2"/>
      <c r="T145" s="1" t="str">
        <f t="shared" si="6"/>
        <v>sex</v>
      </c>
      <c r="U145" s="1" t="str">
        <f t="shared" si="7"/>
        <v>nov</v>
      </c>
      <c r="V145">
        <f t="shared" si="8"/>
        <v>2024</v>
      </c>
      <c r="W145">
        <f>_xlfn.XLOOKUP(A145,Absenteismo!A:A,Absenteismo!A:A,0)</f>
        <v>0</v>
      </c>
    </row>
    <row r="146" spans="1:23" hidden="1" x14ac:dyDescent="0.3">
      <c r="A146">
        <v>1880</v>
      </c>
      <c r="B146">
        <v>23</v>
      </c>
      <c r="C146" t="s">
        <v>26</v>
      </c>
      <c r="D146" t="s">
        <v>29</v>
      </c>
      <c r="E146" t="s">
        <v>17</v>
      </c>
      <c r="F146" t="s">
        <v>21</v>
      </c>
      <c r="G146">
        <v>115</v>
      </c>
      <c r="H146">
        <v>6754</v>
      </c>
      <c r="I146" t="s">
        <v>30</v>
      </c>
      <c r="J146" s="2">
        <v>42250</v>
      </c>
      <c r="K146">
        <v>28</v>
      </c>
      <c r="L146" t="s">
        <v>25</v>
      </c>
      <c r="M146">
        <v>10</v>
      </c>
      <c r="N146">
        <v>9</v>
      </c>
      <c r="O146">
        <v>5</v>
      </c>
      <c r="P146" t="s">
        <v>25</v>
      </c>
      <c r="Q146" s="1">
        <v>3</v>
      </c>
      <c r="R146" s="2">
        <v>46174</v>
      </c>
      <c r="S146" s="2"/>
      <c r="T146" s="1" t="str">
        <f t="shared" si="6"/>
        <v>qui</v>
      </c>
      <c r="U146" s="1" t="str">
        <f t="shared" si="7"/>
        <v>set</v>
      </c>
      <c r="V146">
        <f t="shared" si="8"/>
        <v>2015</v>
      </c>
      <c r="W146">
        <f>_xlfn.XLOOKUP(A146,Absenteismo!A:A,Absenteismo!A:A,0)</f>
        <v>1880</v>
      </c>
    </row>
    <row r="147" spans="1:23" hidden="1" x14ac:dyDescent="0.3">
      <c r="A147">
        <v>2032</v>
      </c>
      <c r="B147">
        <v>23</v>
      </c>
      <c r="C147" t="s">
        <v>26</v>
      </c>
      <c r="D147" t="s">
        <v>16</v>
      </c>
      <c r="E147" t="s">
        <v>17</v>
      </c>
      <c r="F147" t="s">
        <v>21</v>
      </c>
      <c r="G147">
        <v>70</v>
      </c>
      <c r="H147">
        <v>6956</v>
      </c>
      <c r="I147" t="s">
        <v>28</v>
      </c>
      <c r="J147" s="2">
        <v>43686</v>
      </c>
      <c r="K147">
        <v>36</v>
      </c>
      <c r="L147" t="s">
        <v>20</v>
      </c>
      <c r="M147">
        <v>30</v>
      </c>
      <c r="N147">
        <v>0</v>
      </c>
      <c r="O147">
        <v>5</v>
      </c>
      <c r="P147" t="s">
        <v>25</v>
      </c>
      <c r="Q147" s="1">
        <v>2</v>
      </c>
      <c r="R147" s="2">
        <v>46174</v>
      </c>
      <c r="S147" s="2"/>
      <c r="T147" s="1" t="str">
        <f t="shared" si="6"/>
        <v>sex</v>
      </c>
      <c r="U147" s="1" t="str">
        <f t="shared" si="7"/>
        <v>ago</v>
      </c>
      <c r="V147">
        <f t="shared" si="8"/>
        <v>2019</v>
      </c>
      <c r="W147">
        <f>_xlfn.XLOOKUP(A147,Absenteismo!A:A,Absenteismo!A:A,0)</f>
        <v>2032</v>
      </c>
    </row>
    <row r="148" spans="1:23" hidden="1" x14ac:dyDescent="0.3">
      <c r="A148">
        <v>2038</v>
      </c>
      <c r="B148">
        <v>23</v>
      </c>
      <c r="C148" t="s">
        <v>26</v>
      </c>
      <c r="D148" t="s">
        <v>27</v>
      </c>
      <c r="E148" t="s">
        <v>17</v>
      </c>
      <c r="F148" t="s">
        <v>18</v>
      </c>
      <c r="G148">
        <v>58</v>
      </c>
      <c r="H148">
        <v>6290</v>
      </c>
      <c r="I148" t="s">
        <v>19</v>
      </c>
      <c r="J148" s="2">
        <v>44237</v>
      </c>
      <c r="K148">
        <v>55</v>
      </c>
      <c r="L148" t="s">
        <v>20</v>
      </c>
      <c r="M148">
        <v>28</v>
      </c>
      <c r="N148">
        <v>0</v>
      </c>
      <c r="O148">
        <v>4</v>
      </c>
      <c r="P148" t="s">
        <v>25</v>
      </c>
      <c r="Q148" s="1">
        <v>2</v>
      </c>
      <c r="R148" s="2">
        <v>46174</v>
      </c>
      <c r="S148" s="2"/>
      <c r="T148" s="1" t="str">
        <f t="shared" si="6"/>
        <v>qua</v>
      </c>
      <c r="U148" s="1" t="str">
        <f t="shared" si="7"/>
        <v>fev</v>
      </c>
      <c r="V148">
        <f t="shared" si="8"/>
        <v>2021</v>
      </c>
      <c r="W148">
        <f>_xlfn.XLOOKUP(A148,Absenteismo!A:A,Absenteismo!A:A,0)</f>
        <v>2038</v>
      </c>
    </row>
    <row r="149" spans="1:23" hidden="1" x14ac:dyDescent="0.3">
      <c r="A149">
        <v>2109</v>
      </c>
      <c r="B149">
        <v>23</v>
      </c>
      <c r="C149" t="s">
        <v>26</v>
      </c>
      <c r="D149" t="s">
        <v>22</v>
      </c>
      <c r="E149" t="s">
        <v>17</v>
      </c>
      <c r="F149" t="s">
        <v>23</v>
      </c>
      <c r="G149">
        <v>38</v>
      </c>
      <c r="H149">
        <v>6189</v>
      </c>
      <c r="I149" t="s">
        <v>33</v>
      </c>
      <c r="J149" s="2">
        <v>44911</v>
      </c>
      <c r="K149">
        <v>43</v>
      </c>
      <c r="L149" t="s">
        <v>20</v>
      </c>
      <c r="M149">
        <v>35</v>
      </c>
      <c r="N149">
        <v>3</v>
      </c>
      <c r="O149">
        <v>3</v>
      </c>
      <c r="P149" t="s">
        <v>25</v>
      </c>
      <c r="Q149" s="1">
        <v>1</v>
      </c>
      <c r="R149" s="2">
        <v>46174</v>
      </c>
      <c r="S149" s="2"/>
      <c r="T149" s="1" t="str">
        <f t="shared" si="6"/>
        <v>sex</v>
      </c>
      <c r="U149" s="1" t="str">
        <f t="shared" si="7"/>
        <v>dez</v>
      </c>
      <c r="V149">
        <f t="shared" si="8"/>
        <v>2022</v>
      </c>
      <c r="W149">
        <f>_xlfn.XLOOKUP(A149,Absenteismo!A:A,Absenteismo!A:A,0)</f>
        <v>2109</v>
      </c>
    </row>
    <row r="150" spans="1:23" x14ac:dyDescent="0.3">
      <c r="A150">
        <v>2119</v>
      </c>
      <c r="B150">
        <v>23</v>
      </c>
      <c r="C150" t="s">
        <v>15</v>
      </c>
      <c r="D150" t="s">
        <v>22</v>
      </c>
      <c r="E150" t="s">
        <v>17</v>
      </c>
      <c r="F150" t="s">
        <v>21</v>
      </c>
      <c r="G150">
        <v>19</v>
      </c>
      <c r="H150">
        <v>5653</v>
      </c>
      <c r="I150" t="s">
        <v>24</v>
      </c>
      <c r="J150" s="2">
        <v>45481</v>
      </c>
      <c r="K150">
        <v>22</v>
      </c>
      <c r="L150" t="s">
        <v>20</v>
      </c>
      <c r="M150">
        <v>13</v>
      </c>
      <c r="N150">
        <v>8</v>
      </c>
      <c r="O150">
        <v>5</v>
      </c>
      <c r="P150" t="s">
        <v>25</v>
      </c>
      <c r="Q150" s="1">
        <v>3</v>
      </c>
      <c r="R150" s="2">
        <v>46174</v>
      </c>
      <c r="S150" s="2"/>
      <c r="T150" s="1" t="str">
        <f t="shared" si="6"/>
        <v>seg</v>
      </c>
      <c r="U150" s="1" t="str">
        <f t="shared" si="7"/>
        <v>jul</v>
      </c>
      <c r="V150">
        <f t="shared" si="8"/>
        <v>2024</v>
      </c>
      <c r="W150">
        <f>_xlfn.XLOOKUP(A150,Absenteismo!A:A,Absenteismo!A:A,0)</f>
        <v>0</v>
      </c>
    </row>
    <row r="151" spans="1:23" hidden="1" x14ac:dyDescent="0.3">
      <c r="A151">
        <v>2177</v>
      </c>
      <c r="B151">
        <v>23</v>
      </c>
      <c r="C151" t="s">
        <v>26</v>
      </c>
      <c r="D151" t="s">
        <v>29</v>
      </c>
      <c r="E151" t="s">
        <v>17</v>
      </c>
      <c r="F151" t="s">
        <v>18</v>
      </c>
      <c r="G151">
        <v>27</v>
      </c>
      <c r="H151">
        <v>4844</v>
      </c>
      <c r="I151" t="s">
        <v>30</v>
      </c>
      <c r="J151" s="2">
        <v>45270</v>
      </c>
      <c r="K151">
        <v>23</v>
      </c>
      <c r="L151" t="s">
        <v>20</v>
      </c>
      <c r="M151">
        <v>6</v>
      </c>
      <c r="N151">
        <v>11</v>
      </c>
      <c r="O151">
        <v>2</v>
      </c>
      <c r="P151" t="s">
        <v>25</v>
      </c>
      <c r="Q151" s="1">
        <v>2</v>
      </c>
      <c r="R151" s="2">
        <v>46174</v>
      </c>
      <c r="S151" s="2"/>
      <c r="T151" s="1" t="str">
        <f t="shared" si="6"/>
        <v>dom</v>
      </c>
      <c r="U151" s="1" t="str">
        <f t="shared" si="7"/>
        <v>dez</v>
      </c>
      <c r="V151">
        <f t="shared" si="8"/>
        <v>2023</v>
      </c>
      <c r="W151">
        <f>_xlfn.XLOOKUP(A151,Absenteismo!A:A,Absenteismo!A:A,0)</f>
        <v>2177</v>
      </c>
    </row>
    <row r="152" spans="1:23" hidden="1" x14ac:dyDescent="0.3">
      <c r="A152">
        <v>2180</v>
      </c>
      <c r="B152">
        <v>23</v>
      </c>
      <c r="C152" t="s">
        <v>26</v>
      </c>
      <c r="D152" t="s">
        <v>29</v>
      </c>
      <c r="E152" t="s">
        <v>17</v>
      </c>
      <c r="F152" t="s">
        <v>21</v>
      </c>
      <c r="G152">
        <v>115</v>
      </c>
      <c r="H152">
        <v>6754</v>
      </c>
      <c r="I152" t="s">
        <v>30</v>
      </c>
      <c r="J152" s="2">
        <v>42445</v>
      </c>
      <c r="K152">
        <v>28</v>
      </c>
      <c r="L152" t="s">
        <v>25</v>
      </c>
      <c r="M152">
        <v>10</v>
      </c>
      <c r="N152">
        <v>9</v>
      </c>
      <c r="O152">
        <v>5</v>
      </c>
      <c r="P152" t="s">
        <v>25</v>
      </c>
      <c r="Q152" s="1">
        <v>2</v>
      </c>
      <c r="R152" s="2">
        <v>46174</v>
      </c>
      <c r="S152" s="2"/>
      <c r="T152" s="1" t="str">
        <f t="shared" si="6"/>
        <v>qua</v>
      </c>
      <c r="U152" s="1" t="str">
        <f t="shared" si="7"/>
        <v>mar</v>
      </c>
      <c r="V152">
        <f t="shared" si="8"/>
        <v>2016</v>
      </c>
      <c r="W152">
        <f>_xlfn.XLOOKUP(A152,Absenteismo!A:A,Absenteismo!A:A,0)</f>
        <v>2180</v>
      </c>
    </row>
    <row r="153" spans="1:23" hidden="1" x14ac:dyDescent="0.3">
      <c r="A153">
        <v>1902</v>
      </c>
      <c r="B153">
        <v>23</v>
      </c>
      <c r="C153" t="s">
        <v>15</v>
      </c>
      <c r="D153" t="s">
        <v>16</v>
      </c>
      <c r="E153" t="s">
        <v>17</v>
      </c>
      <c r="F153" t="s">
        <v>21</v>
      </c>
      <c r="G153">
        <v>4</v>
      </c>
      <c r="H153">
        <v>7397</v>
      </c>
      <c r="I153" t="s">
        <v>19</v>
      </c>
      <c r="J153" s="2">
        <v>45897</v>
      </c>
      <c r="K153">
        <v>46</v>
      </c>
      <c r="L153" t="s">
        <v>20</v>
      </c>
      <c r="M153">
        <v>34</v>
      </c>
      <c r="N153">
        <v>6</v>
      </c>
      <c r="O153">
        <v>3</v>
      </c>
      <c r="P153" t="s">
        <v>25</v>
      </c>
      <c r="Q153" s="1">
        <v>3</v>
      </c>
      <c r="R153" s="2">
        <v>46174</v>
      </c>
      <c r="S153" s="2"/>
      <c r="T153" s="1" t="str">
        <f t="shared" si="6"/>
        <v>qui</v>
      </c>
      <c r="U153" s="1" t="str">
        <f t="shared" si="7"/>
        <v>ago</v>
      </c>
      <c r="V153">
        <f t="shared" si="8"/>
        <v>2025</v>
      </c>
      <c r="W153">
        <f>_xlfn.XLOOKUP(A153,Absenteismo!A:A,Absenteismo!A:A,0)</f>
        <v>1902</v>
      </c>
    </row>
    <row r="154" spans="1:23" hidden="1" x14ac:dyDescent="0.3">
      <c r="A154">
        <v>1581</v>
      </c>
      <c r="B154">
        <v>24</v>
      </c>
      <c r="C154" t="s">
        <v>26</v>
      </c>
      <c r="D154" t="s">
        <v>16</v>
      </c>
      <c r="E154" t="s">
        <v>17</v>
      </c>
      <c r="F154" t="s">
        <v>23</v>
      </c>
      <c r="G154">
        <v>53</v>
      </c>
      <c r="H154">
        <v>7339</v>
      </c>
      <c r="I154" t="s">
        <v>28</v>
      </c>
      <c r="J154" s="2">
        <v>44160</v>
      </c>
      <c r="K154">
        <v>17</v>
      </c>
      <c r="L154" t="s">
        <v>20</v>
      </c>
      <c r="M154">
        <v>19</v>
      </c>
      <c r="N154">
        <v>3</v>
      </c>
      <c r="O154">
        <v>2</v>
      </c>
      <c r="P154" t="s">
        <v>20</v>
      </c>
      <c r="Q154" s="1">
        <v>1</v>
      </c>
      <c r="R154" s="2">
        <v>46174</v>
      </c>
      <c r="S154" s="2">
        <v>45772</v>
      </c>
      <c r="T154" s="1" t="str">
        <f t="shared" si="6"/>
        <v>qua</v>
      </c>
      <c r="U154" s="1" t="str">
        <f t="shared" si="7"/>
        <v>nov</v>
      </c>
      <c r="V154">
        <f t="shared" si="8"/>
        <v>2020</v>
      </c>
      <c r="W154">
        <f>_xlfn.XLOOKUP(A154,Absenteismo!A:A,Absenteismo!A:A,0)</f>
        <v>1581</v>
      </c>
    </row>
    <row r="155" spans="1:23" hidden="1" x14ac:dyDescent="0.3">
      <c r="A155">
        <v>1753</v>
      </c>
      <c r="B155">
        <v>24</v>
      </c>
      <c r="C155" t="s">
        <v>15</v>
      </c>
      <c r="D155" t="s">
        <v>16</v>
      </c>
      <c r="E155" t="s">
        <v>17</v>
      </c>
      <c r="F155" t="s">
        <v>18</v>
      </c>
      <c r="G155">
        <v>111</v>
      </c>
      <c r="H155">
        <v>6225</v>
      </c>
      <c r="I155" t="s">
        <v>19</v>
      </c>
      <c r="J155" s="2">
        <v>42407</v>
      </c>
      <c r="K155">
        <v>5</v>
      </c>
      <c r="L155" t="s">
        <v>25</v>
      </c>
      <c r="M155">
        <v>20</v>
      </c>
      <c r="N155">
        <v>9</v>
      </c>
      <c r="O155">
        <v>4</v>
      </c>
      <c r="P155" t="s">
        <v>20</v>
      </c>
      <c r="Q155" s="1">
        <v>2</v>
      </c>
      <c r="R155" s="2">
        <v>46174</v>
      </c>
      <c r="S155" s="2">
        <v>45784</v>
      </c>
      <c r="T155" s="1" t="str">
        <f t="shared" si="6"/>
        <v>dom</v>
      </c>
      <c r="U155" s="1" t="str">
        <f t="shared" si="7"/>
        <v>fev</v>
      </c>
      <c r="V155">
        <f t="shared" si="8"/>
        <v>2016</v>
      </c>
      <c r="W155">
        <f>_xlfn.XLOOKUP(A155,Absenteismo!A:A,Absenteismo!A:A,0)</f>
        <v>1753</v>
      </c>
    </row>
    <row r="156" spans="1:23" hidden="1" x14ac:dyDescent="0.3">
      <c r="A156">
        <v>1453</v>
      </c>
      <c r="B156">
        <v>24</v>
      </c>
      <c r="C156" t="s">
        <v>15</v>
      </c>
      <c r="D156" t="s">
        <v>16</v>
      </c>
      <c r="E156" t="s">
        <v>17</v>
      </c>
      <c r="F156" t="s">
        <v>18</v>
      </c>
      <c r="G156">
        <v>111</v>
      </c>
      <c r="H156">
        <v>6225</v>
      </c>
      <c r="I156" t="s">
        <v>19</v>
      </c>
      <c r="J156" s="2">
        <v>42452</v>
      </c>
      <c r="K156">
        <v>21</v>
      </c>
      <c r="L156" t="s">
        <v>25</v>
      </c>
      <c r="M156">
        <v>20</v>
      </c>
      <c r="N156">
        <v>9</v>
      </c>
      <c r="O156">
        <v>4</v>
      </c>
      <c r="P156" t="s">
        <v>20</v>
      </c>
      <c r="Q156" s="1">
        <v>2</v>
      </c>
      <c r="R156" s="2">
        <v>46174</v>
      </c>
      <c r="S156" s="2">
        <v>45831</v>
      </c>
      <c r="T156" s="1" t="str">
        <f t="shared" si="6"/>
        <v>qua</v>
      </c>
      <c r="U156" s="1" t="str">
        <f t="shared" si="7"/>
        <v>mar</v>
      </c>
      <c r="V156">
        <f t="shared" si="8"/>
        <v>2016</v>
      </c>
      <c r="W156">
        <f>_xlfn.XLOOKUP(A156,Absenteismo!A:A,Absenteismo!A:A,0)</f>
        <v>1453</v>
      </c>
    </row>
    <row r="157" spans="1:23" hidden="1" x14ac:dyDescent="0.3">
      <c r="A157">
        <v>1281</v>
      </c>
      <c r="B157">
        <v>24</v>
      </c>
      <c r="C157" t="s">
        <v>26</v>
      </c>
      <c r="D157" t="s">
        <v>16</v>
      </c>
      <c r="E157" t="s">
        <v>17</v>
      </c>
      <c r="F157" t="s">
        <v>23</v>
      </c>
      <c r="G157">
        <v>53</v>
      </c>
      <c r="H157">
        <v>7339</v>
      </c>
      <c r="I157" t="s">
        <v>28</v>
      </c>
      <c r="J157" s="2">
        <v>44228</v>
      </c>
      <c r="K157">
        <v>17</v>
      </c>
      <c r="L157" t="s">
        <v>20</v>
      </c>
      <c r="M157">
        <v>19</v>
      </c>
      <c r="N157">
        <v>3</v>
      </c>
      <c r="O157">
        <v>2</v>
      </c>
      <c r="P157" t="s">
        <v>20</v>
      </c>
      <c r="Q157" s="1">
        <v>2</v>
      </c>
      <c r="R157" s="2">
        <v>46174</v>
      </c>
      <c r="S157" s="2">
        <v>45839</v>
      </c>
      <c r="T157" s="1" t="str">
        <f t="shared" si="6"/>
        <v>seg</v>
      </c>
      <c r="U157" s="1" t="str">
        <f t="shared" si="7"/>
        <v>fev</v>
      </c>
      <c r="V157">
        <f t="shared" si="8"/>
        <v>2021</v>
      </c>
      <c r="W157">
        <f>_xlfn.XLOOKUP(A157,Absenteismo!A:A,Absenteismo!A:A,0)</f>
        <v>1281</v>
      </c>
    </row>
    <row r="158" spans="1:23" hidden="1" x14ac:dyDescent="0.3">
      <c r="A158">
        <v>1627</v>
      </c>
      <c r="B158">
        <v>24</v>
      </c>
      <c r="C158" t="s">
        <v>15</v>
      </c>
      <c r="D158" t="s">
        <v>16</v>
      </c>
      <c r="E158" t="s">
        <v>17</v>
      </c>
      <c r="F158" t="s">
        <v>21</v>
      </c>
      <c r="G158">
        <v>27</v>
      </c>
      <c r="H158">
        <v>5608</v>
      </c>
      <c r="I158" t="s">
        <v>19</v>
      </c>
      <c r="J158" s="2">
        <v>45022</v>
      </c>
      <c r="K158">
        <v>53</v>
      </c>
      <c r="L158" t="s">
        <v>25</v>
      </c>
      <c r="M158">
        <v>16</v>
      </c>
      <c r="N158">
        <v>8</v>
      </c>
      <c r="O158">
        <v>5</v>
      </c>
      <c r="P158" t="s">
        <v>20</v>
      </c>
      <c r="Q158" s="1">
        <v>1</v>
      </c>
      <c r="R158" s="2">
        <v>46174</v>
      </c>
      <c r="S158" s="2">
        <v>45844</v>
      </c>
      <c r="T158" s="1" t="str">
        <f t="shared" si="6"/>
        <v>qui</v>
      </c>
      <c r="U158" s="1" t="str">
        <f t="shared" si="7"/>
        <v>abr</v>
      </c>
      <c r="V158">
        <f t="shared" si="8"/>
        <v>2023</v>
      </c>
      <c r="W158">
        <f>_xlfn.XLOOKUP(A158,Absenteismo!A:A,Absenteismo!A:A,0)</f>
        <v>1627</v>
      </c>
    </row>
    <row r="159" spans="1:23" x14ac:dyDescent="0.3">
      <c r="A159">
        <v>1698</v>
      </c>
      <c r="B159">
        <v>24</v>
      </c>
      <c r="C159" t="s">
        <v>26</v>
      </c>
      <c r="D159" t="s">
        <v>27</v>
      </c>
      <c r="E159" t="s">
        <v>17</v>
      </c>
      <c r="F159" t="s">
        <v>18</v>
      </c>
      <c r="G159">
        <v>10</v>
      </c>
      <c r="H159">
        <v>3461</v>
      </c>
      <c r="I159" t="s">
        <v>24</v>
      </c>
      <c r="J159" s="2">
        <v>45612</v>
      </c>
      <c r="K159">
        <v>39</v>
      </c>
      <c r="L159" t="s">
        <v>20</v>
      </c>
      <c r="M159">
        <v>8</v>
      </c>
      <c r="N159">
        <v>4</v>
      </c>
      <c r="O159">
        <v>4</v>
      </c>
      <c r="P159" t="s">
        <v>20</v>
      </c>
      <c r="Q159" s="1">
        <v>3</v>
      </c>
      <c r="R159" s="2">
        <v>46174</v>
      </c>
      <c r="S159" s="2">
        <v>45916</v>
      </c>
      <c r="T159" s="1" t="str">
        <f t="shared" si="6"/>
        <v>sáb</v>
      </c>
      <c r="U159" s="1" t="str">
        <f t="shared" si="7"/>
        <v>nov</v>
      </c>
      <c r="V159">
        <f t="shared" si="8"/>
        <v>2024</v>
      </c>
      <c r="W159">
        <f>_xlfn.XLOOKUP(A159,Absenteismo!A:A,Absenteismo!A:A,0)</f>
        <v>0</v>
      </c>
    </row>
    <row r="160" spans="1:23" x14ac:dyDescent="0.3">
      <c r="A160">
        <v>1098</v>
      </c>
      <c r="B160">
        <v>24</v>
      </c>
      <c r="C160" t="s">
        <v>26</v>
      </c>
      <c r="D160" t="s">
        <v>27</v>
      </c>
      <c r="E160" t="s">
        <v>17</v>
      </c>
      <c r="F160" t="s">
        <v>18</v>
      </c>
      <c r="G160">
        <v>10</v>
      </c>
      <c r="H160">
        <v>3461</v>
      </c>
      <c r="I160" t="s">
        <v>24</v>
      </c>
      <c r="J160" s="2">
        <v>45650</v>
      </c>
      <c r="K160">
        <v>59</v>
      </c>
      <c r="L160" t="s">
        <v>25</v>
      </c>
      <c r="M160">
        <v>8</v>
      </c>
      <c r="N160">
        <v>4</v>
      </c>
      <c r="O160">
        <v>4</v>
      </c>
      <c r="P160" t="s">
        <v>20</v>
      </c>
      <c r="Q160" s="1">
        <v>3</v>
      </c>
      <c r="R160" s="2">
        <v>46174</v>
      </c>
      <c r="S160" s="2">
        <v>45954</v>
      </c>
      <c r="T160" s="1" t="str">
        <f t="shared" si="6"/>
        <v>ter</v>
      </c>
      <c r="U160" s="1" t="str">
        <f t="shared" si="7"/>
        <v>dez</v>
      </c>
      <c r="V160">
        <f t="shared" si="8"/>
        <v>2024</v>
      </c>
      <c r="W160">
        <f>_xlfn.XLOOKUP(A160,Absenteismo!A:A,Absenteismo!A:A,0)</f>
        <v>0</v>
      </c>
    </row>
    <row r="161" spans="1:23" x14ac:dyDescent="0.3">
      <c r="A161">
        <v>1398</v>
      </c>
      <c r="B161">
        <v>24</v>
      </c>
      <c r="C161" t="s">
        <v>26</v>
      </c>
      <c r="D161" t="s">
        <v>27</v>
      </c>
      <c r="E161" t="s">
        <v>17</v>
      </c>
      <c r="F161" t="s">
        <v>18</v>
      </c>
      <c r="G161">
        <v>10</v>
      </c>
      <c r="H161">
        <v>3461</v>
      </c>
      <c r="I161" t="s">
        <v>24</v>
      </c>
      <c r="J161" s="2">
        <v>45669</v>
      </c>
      <c r="K161">
        <v>39</v>
      </c>
      <c r="L161" t="s">
        <v>20</v>
      </c>
      <c r="M161">
        <v>8</v>
      </c>
      <c r="N161">
        <v>4</v>
      </c>
      <c r="O161">
        <v>4</v>
      </c>
      <c r="P161" t="s">
        <v>20</v>
      </c>
      <c r="Q161" s="1">
        <v>1</v>
      </c>
      <c r="R161" s="2">
        <v>46174</v>
      </c>
      <c r="S161" s="2">
        <v>45973</v>
      </c>
      <c r="T161" s="1" t="str">
        <f t="shared" si="6"/>
        <v>dom</v>
      </c>
      <c r="U161" s="1" t="str">
        <f t="shared" si="7"/>
        <v>jan</v>
      </c>
      <c r="V161">
        <f t="shared" si="8"/>
        <v>2025</v>
      </c>
      <c r="W161">
        <f>_xlfn.XLOOKUP(A161,Absenteismo!A:A,Absenteismo!A:A,0)</f>
        <v>0</v>
      </c>
    </row>
    <row r="162" spans="1:23" x14ac:dyDescent="0.3">
      <c r="A162">
        <v>1292</v>
      </c>
      <c r="B162">
        <v>24</v>
      </c>
      <c r="C162" t="s">
        <v>15</v>
      </c>
      <c r="D162" t="s">
        <v>16</v>
      </c>
      <c r="E162" t="s">
        <v>17</v>
      </c>
      <c r="F162" t="s">
        <v>21</v>
      </c>
      <c r="G162">
        <v>57</v>
      </c>
      <c r="H162">
        <v>5428</v>
      </c>
      <c r="I162" t="s">
        <v>24</v>
      </c>
      <c r="J162" s="2">
        <v>44245</v>
      </c>
      <c r="K162">
        <v>47</v>
      </c>
      <c r="L162" t="s">
        <v>20</v>
      </c>
      <c r="M162">
        <v>5</v>
      </c>
      <c r="N162">
        <v>3</v>
      </c>
      <c r="O162">
        <v>5</v>
      </c>
      <c r="P162" t="s">
        <v>20</v>
      </c>
      <c r="Q162" s="1">
        <v>3</v>
      </c>
      <c r="R162" s="2">
        <v>46174</v>
      </c>
      <c r="S162" s="2">
        <v>45979</v>
      </c>
      <c r="T162" s="1" t="str">
        <f t="shared" si="6"/>
        <v>qui</v>
      </c>
      <c r="U162" s="1" t="str">
        <f t="shared" si="7"/>
        <v>fev</v>
      </c>
      <c r="V162">
        <f t="shared" si="8"/>
        <v>2021</v>
      </c>
      <c r="W162">
        <f>_xlfn.XLOOKUP(A162,Absenteismo!A:A,Absenteismo!A:A,0)</f>
        <v>0</v>
      </c>
    </row>
    <row r="163" spans="1:23" hidden="1" x14ac:dyDescent="0.3">
      <c r="A163">
        <v>1327</v>
      </c>
      <c r="B163">
        <v>24</v>
      </c>
      <c r="C163" t="s">
        <v>15</v>
      </c>
      <c r="D163" t="s">
        <v>16</v>
      </c>
      <c r="E163" t="s">
        <v>17</v>
      </c>
      <c r="F163" t="s">
        <v>21</v>
      </c>
      <c r="G163">
        <v>27</v>
      </c>
      <c r="H163">
        <v>5608</v>
      </c>
      <c r="I163" t="s">
        <v>19</v>
      </c>
      <c r="J163" s="2">
        <v>45332</v>
      </c>
      <c r="K163">
        <v>53</v>
      </c>
      <c r="L163" t="s">
        <v>20</v>
      </c>
      <c r="M163">
        <v>16</v>
      </c>
      <c r="N163">
        <v>8</v>
      </c>
      <c r="O163">
        <v>5</v>
      </c>
      <c r="P163" t="s">
        <v>20</v>
      </c>
      <c r="Q163" s="1">
        <v>3</v>
      </c>
      <c r="R163" s="2">
        <v>46174</v>
      </c>
      <c r="S163" s="2">
        <v>46152</v>
      </c>
      <c r="T163" s="1" t="str">
        <f t="shared" si="6"/>
        <v>sáb</v>
      </c>
      <c r="U163" s="1" t="str">
        <f t="shared" si="7"/>
        <v>fev</v>
      </c>
      <c r="V163">
        <f t="shared" si="8"/>
        <v>2024</v>
      </c>
      <c r="W163">
        <f>_xlfn.XLOOKUP(A163,Absenteismo!A:A,Absenteismo!A:A,0)</f>
        <v>1327</v>
      </c>
    </row>
    <row r="164" spans="1:23" x14ac:dyDescent="0.3">
      <c r="A164">
        <v>1027</v>
      </c>
      <c r="B164">
        <v>24</v>
      </c>
      <c r="C164" t="s">
        <v>15</v>
      </c>
      <c r="D164" t="s">
        <v>16</v>
      </c>
      <c r="E164" t="s">
        <v>17</v>
      </c>
      <c r="F164" t="s">
        <v>21</v>
      </c>
      <c r="G164">
        <v>27</v>
      </c>
      <c r="H164">
        <v>5608</v>
      </c>
      <c r="I164" t="s">
        <v>19</v>
      </c>
      <c r="J164" s="2">
        <v>45342</v>
      </c>
      <c r="K164">
        <v>53</v>
      </c>
      <c r="L164" t="s">
        <v>20</v>
      </c>
      <c r="M164">
        <v>16</v>
      </c>
      <c r="N164">
        <v>8</v>
      </c>
      <c r="O164">
        <v>5</v>
      </c>
      <c r="P164" t="s">
        <v>20</v>
      </c>
      <c r="Q164" s="1">
        <v>3</v>
      </c>
      <c r="R164" s="2">
        <v>46174</v>
      </c>
      <c r="S164" s="2">
        <v>46162</v>
      </c>
      <c r="T164" s="1" t="str">
        <f t="shared" si="6"/>
        <v>ter</v>
      </c>
      <c r="U164" s="1" t="str">
        <f t="shared" si="7"/>
        <v>fev</v>
      </c>
      <c r="V164">
        <f t="shared" si="8"/>
        <v>2024</v>
      </c>
      <c r="W164">
        <f>_xlfn.XLOOKUP(A164,Absenteismo!A:A,Absenteismo!A:A,0)</f>
        <v>0</v>
      </c>
    </row>
    <row r="165" spans="1:23" x14ac:dyDescent="0.3">
      <c r="A165">
        <v>1153</v>
      </c>
      <c r="B165">
        <v>24</v>
      </c>
      <c r="C165" t="s">
        <v>15</v>
      </c>
      <c r="D165" t="s">
        <v>16</v>
      </c>
      <c r="E165" t="s">
        <v>17</v>
      </c>
      <c r="F165" t="s">
        <v>18</v>
      </c>
      <c r="G165">
        <v>111</v>
      </c>
      <c r="H165">
        <v>6225</v>
      </c>
      <c r="I165" t="s">
        <v>19</v>
      </c>
      <c r="J165" s="2">
        <v>42821</v>
      </c>
      <c r="K165">
        <v>21</v>
      </c>
      <c r="L165" t="s">
        <v>25</v>
      </c>
      <c r="M165">
        <v>20</v>
      </c>
      <c r="N165">
        <v>9</v>
      </c>
      <c r="O165">
        <v>4</v>
      </c>
      <c r="P165" t="s">
        <v>20</v>
      </c>
      <c r="Q165" s="1">
        <v>3</v>
      </c>
      <c r="R165" s="2">
        <v>46174</v>
      </c>
      <c r="S165" s="2">
        <v>46200</v>
      </c>
      <c r="T165" s="1" t="str">
        <f t="shared" si="6"/>
        <v>seg</v>
      </c>
      <c r="U165" s="1" t="str">
        <f t="shared" si="7"/>
        <v>mar</v>
      </c>
      <c r="V165">
        <f t="shared" si="8"/>
        <v>2017</v>
      </c>
      <c r="W165">
        <f>_xlfn.XLOOKUP(A165,Absenteismo!A:A,Absenteismo!A:A,0)</f>
        <v>0</v>
      </c>
    </row>
    <row r="166" spans="1:23" x14ac:dyDescent="0.3">
      <c r="A166">
        <v>1012</v>
      </c>
      <c r="B166">
        <v>24</v>
      </c>
      <c r="C166" t="s">
        <v>26</v>
      </c>
      <c r="D166" t="s">
        <v>22</v>
      </c>
      <c r="E166" t="s">
        <v>17</v>
      </c>
      <c r="F166" t="s">
        <v>21</v>
      </c>
      <c r="G166">
        <v>78</v>
      </c>
      <c r="H166">
        <v>4429</v>
      </c>
      <c r="I166" t="s">
        <v>19</v>
      </c>
      <c r="J166" s="2">
        <v>43557</v>
      </c>
      <c r="K166">
        <v>24</v>
      </c>
      <c r="L166" t="s">
        <v>20</v>
      </c>
      <c r="M166">
        <v>34</v>
      </c>
      <c r="N166">
        <v>12</v>
      </c>
      <c r="O166">
        <v>2</v>
      </c>
      <c r="P166" t="s">
        <v>25</v>
      </c>
      <c r="Q166" s="1">
        <v>3</v>
      </c>
      <c r="R166" s="2">
        <v>46174</v>
      </c>
      <c r="S166" s="2"/>
      <c r="T166" s="1" t="str">
        <f t="shared" si="6"/>
        <v>ter</v>
      </c>
      <c r="U166" s="1" t="str">
        <f t="shared" si="7"/>
        <v>abr</v>
      </c>
      <c r="V166">
        <f t="shared" si="8"/>
        <v>2019</v>
      </c>
      <c r="W166">
        <f>_xlfn.XLOOKUP(A166,Absenteismo!A:A,Absenteismo!A:A,0)</f>
        <v>0</v>
      </c>
    </row>
    <row r="167" spans="1:23" x14ac:dyDescent="0.3">
      <c r="A167">
        <v>1041</v>
      </c>
      <c r="B167">
        <v>24</v>
      </c>
      <c r="C167" t="s">
        <v>26</v>
      </c>
      <c r="D167" t="s">
        <v>16</v>
      </c>
      <c r="E167" t="s">
        <v>17</v>
      </c>
      <c r="F167" t="s">
        <v>21</v>
      </c>
      <c r="G167">
        <v>67</v>
      </c>
      <c r="H167">
        <v>6605</v>
      </c>
      <c r="I167" t="s">
        <v>30</v>
      </c>
      <c r="J167" s="2">
        <v>44014</v>
      </c>
      <c r="K167">
        <v>36</v>
      </c>
      <c r="L167" t="s">
        <v>20</v>
      </c>
      <c r="M167">
        <v>7</v>
      </c>
      <c r="N167">
        <v>7</v>
      </c>
      <c r="O167">
        <v>3</v>
      </c>
      <c r="P167" t="s">
        <v>25</v>
      </c>
      <c r="Q167" s="1">
        <v>2</v>
      </c>
      <c r="R167" s="2">
        <v>46174</v>
      </c>
      <c r="S167" s="2"/>
      <c r="T167" s="1" t="str">
        <f t="shared" si="6"/>
        <v>qui</v>
      </c>
      <c r="U167" s="1" t="str">
        <f t="shared" si="7"/>
        <v>jul</v>
      </c>
      <c r="V167">
        <f t="shared" si="8"/>
        <v>2020</v>
      </c>
      <c r="W167">
        <f>_xlfn.XLOOKUP(A167,Absenteismo!A:A,Absenteismo!A:A,0)</f>
        <v>0</v>
      </c>
    </row>
    <row r="168" spans="1:23" hidden="1" x14ac:dyDescent="0.3">
      <c r="A168">
        <v>1051</v>
      </c>
      <c r="B168">
        <v>24</v>
      </c>
      <c r="C168" t="s">
        <v>15</v>
      </c>
      <c r="D168" t="s">
        <v>31</v>
      </c>
      <c r="E168" t="s">
        <v>34</v>
      </c>
      <c r="F168" t="s">
        <v>18</v>
      </c>
      <c r="G168">
        <v>92</v>
      </c>
      <c r="H168">
        <v>4424</v>
      </c>
      <c r="I168" t="s">
        <v>30</v>
      </c>
      <c r="J168" s="2">
        <v>42954</v>
      </c>
      <c r="K168">
        <v>38</v>
      </c>
      <c r="L168" t="s">
        <v>20</v>
      </c>
      <c r="M168">
        <v>15</v>
      </c>
      <c r="N168">
        <v>1</v>
      </c>
      <c r="O168">
        <v>4</v>
      </c>
      <c r="P168" t="s">
        <v>25</v>
      </c>
      <c r="Q168" s="1">
        <v>3</v>
      </c>
      <c r="R168" s="2">
        <v>46174</v>
      </c>
      <c r="S168" s="2"/>
      <c r="T168" s="1" t="str">
        <f t="shared" si="6"/>
        <v>seg</v>
      </c>
      <c r="U168" s="1" t="str">
        <f t="shared" si="7"/>
        <v>ago</v>
      </c>
      <c r="V168">
        <f t="shared" si="8"/>
        <v>2017</v>
      </c>
      <c r="W168">
        <f>_xlfn.XLOOKUP(A168,Absenteismo!A:A,Absenteismo!A:A,0)</f>
        <v>1051</v>
      </c>
    </row>
    <row r="169" spans="1:23" hidden="1" x14ac:dyDescent="0.3">
      <c r="A169">
        <v>1080</v>
      </c>
      <c r="B169">
        <v>24</v>
      </c>
      <c r="C169" t="s">
        <v>15</v>
      </c>
      <c r="D169" t="s">
        <v>29</v>
      </c>
      <c r="E169" t="s">
        <v>17</v>
      </c>
      <c r="F169" t="s">
        <v>21</v>
      </c>
      <c r="G169">
        <v>39</v>
      </c>
      <c r="H169">
        <v>3037</v>
      </c>
      <c r="I169" t="s">
        <v>30</v>
      </c>
      <c r="J169" s="2">
        <v>44760</v>
      </c>
      <c r="K169">
        <v>21</v>
      </c>
      <c r="L169" t="s">
        <v>20</v>
      </c>
      <c r="M169">
        <v>18</v>
      </c>
      <c r="N169">
        <v>5</v>
      </c>
      <c r="O169">
        <v>4</v>
      </c>
      <c r="P169" t="s">
        <v>25</v>
      </c>
      <c r="Q169" s="1">
        <v>3</v>
      </c>
      <c r="R169" s="2">
        <v>46174</v>
      </c>
      <c r="S169" s="2"/>
      <c r="T169" s="1" t="str">
        <f t="shared" si="6"/>
        <v>seg</v>
      </c>
      <c r="U169" s="1" t="str">
        <f t="shared" si="7"/>
        <v>jul</v>
      </c>
      <c r="V169">
        <f t="shared" si="8"/>
        <v>2022</v>
      </c>
      <c r="W169">
        <f>_xlfn.XLOOKUP(A169,Absenteismo!A:A,Absenteismo!A:A,0)</f>
        <v>1080</v>
      </c>
    </row>
    <row r="170" spans="1:23" hidden="1" x14ac:dyDescent="0.3">
      <c r="A170">
        <v>1092</v>
      </c>
      <c r="B170">
        <v>24</v>
      </c>
      <c r="C170" t="s">
        <v>26</v>
      </c>
      <c r="D170" t="s">
        <v>27</v>
      </c>
      <c r="E170" t="s">
        <v>17</v>
      </c>
      <c r="F170" t="s">
        <v>18</v>
      </c>
      <c r="G170">
        <v>5</v>
      </c>
      <c r="H170">
        <v>5835</v>
      </c>
      <c r="I170" t="s">
        <v>19</v>
      </c>
      <c r="J170" s="2">
        <v>46041</v>
      </c>
      <c r="K170">
        <v>29</v>
      </c>
      <c r="L170" t="s">
        <v>20</v>
      </c>
      <c r="M170">
        <v>15</v>
      </c>
      <c r="N170">
        <v>5</v>
      </c>
      <c r="O170">
        <v>2</v>
      </c>
      <c r="P170" t="s">
        <v>25</v>
      </c>
      <c r="Q170" s="1">
        <v>1</v>
      </c>
      <c r="R170" s="2">
        <v>46174</v>
      </c>
      <c r="S170" s="2"/>
      <c r="T170" s="1" t="str">
        <f t="shared" si="6"/>
        <v>seg</v>
      </c>
      <c r="U170" s="1" t="str">
        <f t="shared" si="7"/>
        <v>jan</v>
      </c>
      <c r="V170">
        <f t="shared" si="8"/>
        <v>2026</v>
      </c>
      <c r="W170">
        <f>_xlfn.XLOOKUP(A170,Absenteismo!A:A,Absenteismo!A:A,0)</f>
        <v>1092</v>
      </c>
    </row>
    <row r="171" spans="1:23" x14ac:dyDescent="0.3">
      <c r="A171">
        <v>1220</v>
      </c>
      <c r="B171">
        <v>24</v>
      </c>
      <c r="C171" t="s">
        <v>26</v>
      </c>
      <c r="D171" t="s">
        <v>27</v>
      </c>
      <c r="E171" t="s">
        <v>17</v>
      </c>
      <c r="F171" t="s">
        <v>18</v>
      </c>
      <c r="G171">
        <v>41</v>
      </c>
      <c r="H171">
        <v>3350</v>
      </c>
      <c r="I171" t="s">
        <v>24</v>
      </c>
      <c r="J171" s="2">
        <v>44507</v>
      </c>
      <c r="K171">
        <v>3</v>
      </c>
      <c r="L171" t="s">
        <v>25</v>
      </c>
      <c r="M171">
        <v>7</v>
      </c>
      <c r="N171">
        <v>0</v>
      </c>
      <c r="O171">
        <v>4</v>
      </c>
      <c r="P171" t="s">
        <v>25</v>
      </c>
      <c r="Q171" s="1">
        <v>1</v>
      </c>
      <c r="R171" s="2">
        <v>46174</v>
      </c>
      <c r="S171" s="2"/>
      <c r="T171" s="1" t="str">
        <f t="shared" si="6"/>
        <v>dom</v>
      </c>
      <c r="U171" s="1" t="str">
        <f t="shared" si="7"/>
        <v>nov</v>
      </c>
      <c r="V171">
        <f t="shared" si="8"/>
        <v>2021</v>
      </c>
      <c r="W171">
        <f>_xlfn.XLOOKUP(A171,Absenteismo!A:A,Absenteismo!A:A,0)</f>
        <v>0</v>
      </c>
    </row>
    <row r="172" spans="1:23" hidden="1" x14ac:dyDescent="0.3">
      <c r="A172">
        <v>1263</v>
      </c>
      <c r="B172">
        <v>24</v>
      </c>
      <c r="C172" t="s">
        <v>15</v>
      </c>
      <c r="D172" t="s">
        <v>16</v>
      </c>
      <c r="E172" t="s">
        <v>17</v>
      </c>
      <c r="F172" t="s">
        <v>23</v>
      </c>
      <c r="G172">
        <v>107</v>
      </c>
      <c r="H172">
        <v>4620</v>
      </c>
      <c r="I172" t="s">
        <v>19</v>
      </c>
      <c r="J172" s="2">
        <v>42760</v>
      </c>
      <c r="K172">
        <v>13</v>
      </c>
      <c r="L172" t="s">
        <v>25</v>
      </c>
      <c r="M172">
        <v>23</v>
      </c>
      <c r="N172">
        <v>10</v>
      </c>
      <c r="O172">
        <v>2</v>
      </c>
      <c r="P172" t="s">
        <v>25</v>
      </c>
      <c r="Q172" s="1">
        <v>2</v>
      </c>
      <c r="R172" s="2">
        <v>46174</v>
      </c>
      <c r="S172" s="2"/>
      <c r="T172" s="1" t="str">
        <f t="shared" si="6"/>
        <v>qua</v>
      </c>
      <c r="U172" s="1" t="str">
        <f t="shared" si="7"/>
        <v>jan</v>
      </c>
      <c r="V172">
        <f t="shared" si="8"/>
        <v>2017</v>
      </c>
      <c r="W172">
        <f>_xlfn.XLOOKUP(A172,Absenteismo!A:A,Absenteismo!A:A,0)</f>
        <v>1263</v>
      </c>
    </row>
    <row r="173" spans="1:23" hidden="1" x14ac:dyDescent="0.3">
      <c r="A173">
        <v>1285</v>
      </c>
      <c r="B173">
        <v>24</v>
      </c>
      <c r="C173" t="s">
        <v>15</v>
      </c>
      <c r="D173" t="s">
        <v>27</v>
      </c>
      <c r="E173" t="s">
        <v>17</v>
      </c>
      <c r="F173" t="s">
        <v>21</v>
      </c>
      <c r="G173">
        <v>53</v>
      </c>
      <c r="H173">
        <v>4663</v>
      </c>
      <c r="I173" t="s">
        <v>28</v>
      </c>
      <c r="J173" s="2">
        <v>44270</v>
      </c>
      <c r="K173">
        <v>4</v>
      </c>
      <c r="L173" t="s">
        <v>25</v>
      </c>
      <c r="M173">
        <v>33</v>
      </c>
      <c r="N173">
        <v>6</v>
      </c>
      <c r="O173">
        <v>5</v>
      </c>
      <c r="P173" t="s">
        <v>25</v>
      </c>
      <c r="Q173" s="1">
        <v>3</v>
      </c>
      <c r="R173" s="2">
        <v>46174</v>
      </c>
      <c r="S173" s="2"/>
      <c r="T173" s="1" t="str">
        <f t="shared" si="6"/>
        <v>seg</v>
      </c>
      <c r="U173" s="1" t="str">
        <f t="shared" si="7"/>
        <v>mar</v>
      </c>
      <c r="V173">
        <f t="shared" si="8"/>
        <v>2021</v>
      </c>
      <c r="W173">
        <f>_xlfn.XLOOKUP(A173,Absenteismo!A:A,Absenteismo!A:A,0)</f>
        <v>1285</v>
      </c>
    </row>
    <row r="174" spans="1:23" hidden="1" x14ac:dyDescent="0.3">
      <c r="A174">
        <v>1312</v>
      </c>
      <c r="B174">
        <v>24</v>
      </c>
      <c r="C174" t="s">
        <v>26</v>
      </c>
      <c r="D174" t="s">
        <v>22</v>
      </c>
      <c r="E174" t="s">
        <v>17</v>
      </c>
      <c r="F174" t="s">
        <v>21</v>
      </c>
      <c r="G174">
        <v>78</v>
      </c>
      <c r="H174">
        <v>4429</v>
      </c>
      <c r="I174" t="s">
        <v>19</v>
      </c>
      <c r="J174" s="2">
        <v>43776</v>
      </c>
      <c r="K174">
        <v>24</v>
      </c>
      <c r="L174" t="s">
        <v>20</v>
      </c>
      <c r="M174">
        <v>34</v>
      </c>
      <c r="N174">
        <v>12</v>
      </c>
      <c r="O174">
        <v>2</v>
      </c>
      <c r="P174" t="s">
        <v>25</v>
      </c>
      <c r="Q174" s="1">
        <v>3</v>
      </c>
      <c r="R174" s="2">
        <v>46174</v>
      </c>
      <c r="S174" s="2"/>
      <c r="T174" s="1" t="str">
        <f t="shared" si="6"/>
        <v>qui</v>
      </c>
      <c r="U174" s="1" t="str">
        <f t="shared" si="7"/>
        <v>nov</v>
      </c>
      <c r="V174">
        <f t="shared" si="8"/>
        <v>2019</v>
      </c>
      <c r="W174">
        <f>_xlfn.XLOOKUP(A174,Absenteismo!A:A,Absenteismo!A:A,0)</f>
        <v>1312</v>
      </c>
    </row>
    <row r="175" spans="1:23" hidden="1" x14ac:dyDescent="0.3">
      <c r="A175">
        <v>1341</v>
      </c>
      <c r="B175">
        <v>24</v>
      </c>
      <c r="C175" t="s">
        <v>26</v>
      </c>
      <c r="D175" t="s">
        <v>16</v>
      </c>
      <c r="E175" t="s">
        <v>17</v>
      </c>
      <c r="F175" t="s">
        <v>21</v>
      </c>
      <c r="G175">
        <v>67</v>
      </c>
      <c r="H175">
        <v>6605</v>
      </c>
      <c r="I175" t="s">
        <v>30</v>
      </c>
      <c r="J175" s="2">
        <v>43818</v>
      </c>
      <c r="K175">
        <v>36</v>
      </c>
      <c r="L175" t="s">
        <v>20</v>
      </c>
      <c r="M175">
        <v>7</v>
      </c>
      <c r="N175">
        <v>7</v>
      </c>
      <c r="O175">
        <v>3</v>
      </c>
      <c r="P175" t="s">
        <v>25</v>
      </c>
      <c r="Q175" s="1">
        <v>3</v>
      </c>
      <c r="R175" s="2">
        <v>46174</v>
      </c>
      <c r="S175" s="2"/>
      <c r="T175" s="1" t="str">
        <f t="shared" si="6"/>
        <v>qui</v>
      </c>
      <c r="U175" s="1" t="str">
        <f t="shared" si="7"/>
        <v>dez</v>
      </c>
      <c r="V175">
        <f t="shared" si="8"/>
        <v>2019</v>
      </c>
      <c r="W175">
        <f>_xlfn.XLOOKUP(A175,Absenteismo!A:A,Absenteismo!A:A,0)</f>
        <v>1341</v>
      </c>
    </row>
    <row r="176" spans="1:23" hidden="1" x14ac:dyDescent="0.3">
      <c r="A176">
        <v>1351</v>
      </c>
      <c r="B176">
        <v>24</v>
      </c>
      <c r="C176" t="s">
        <v>15</v>
      </c>
      <c r="D176" t="s">
        <v>31</v>
      </c>
      <c r="E176" t="s">
        <v>34</v>
      </c>
      <c r="F176" t="s">
        <v>18</v>
      </c>
      <c r="G176">
        <v>92</v>
      </c>
      <c r="H176">
        <v>4424</v>
      </c>
      <c r="I176" t="s">
        <v>30</v>
      </c>
      <c r="J176" s="2">
        <v>42998</v>
      </c>
      <c r="K176">
        <v>38</v>
      </c>
      <c r="L176" t="s">
        <v>20</v>
      </c>
      <c r="M176">
        <v>15</v>
      </c>
      <c r="N176">
        <v>1</v>
      </c>
      <c r="O176">
        <v>4</v>
      </c>
      <c r="P176" t="s">
        <v>25</v>
      </c>
      <c r="Q176" s="1">
        <v>3</v>
      </c>
      <c r="R176" s="2">
        <v>46174</v>
      </c>
      <c r="S176" s="2"/>
      <c r="T176" s="1" t="str">
        <f t="shared" si="6"/>
        <v>qua</v>
      </c>
      <c r="U176" s="1" t="str">
        <f t="shared" si="7"/>
        <v>set</v>
      </c>
      <c r="V176">
        <f t="shared" si="8"/>
        <v>2017</v>
      </c>
      <c r="W176">
        <f>_xlfn.XLOOKUP(A176,Absenteismo!A:A,Absenteismo!A:A,0)</f>
        <v>1351</v>
      </c>
    </row>
    <row r="177" spans="1:23" hidden="1" x14ac:dyDescent="0.3">
      <c r="A177">
        <v>1380</v>
      </c>
      <c r="B177">
        <v>24</v>
      </c>
      <c r="C177" t="s">
        <v>15</v>
      </c>
      <c r="D177" t="s">
        <v>29</v>
      </c>
      <c r="E177" t="s">
        <v>17</v>
      </c>
      <c r="F177" t="s">
        <v>21</v>
      </c>
      <c r="G177">
        <v>39</v>
      </c>
      <c r="H177">
        <v>3037</v>
      </c>
      <c r="I177" t="s">
        <v>30</v>
      </c>
      <c r="J177" s="2">
        <v>44762</v>
      </c>
      <c r="K177">
        <v>21</v>
      </c>
      <c r="L177" t="s">
        <v>20</v>
      </c>
      <c r="M177">
        <v>18</v>
      </c>
      <c r="N177">
        <v>5</v>
      </c>
      <c r="O177">
        <v>4</v>
      </c>
      <c r="P177" t="s">
        <v>25</v>
      </c>
      <c r="Q177" s="1">
        <v>2</v>
      </c>
      <c r="R177" s="2">
        <v>46174</v>
      </c>
      <c r="S177" s="2"/>
      <c r="T177" s="1" t="str">
        <f t="shared" si="6"/>
        <v>qua</v>
      </c>
      <c r="U177" s="1" t="str">
        <f t="shared" si="7"/>
        <v>jul</v>
      </c>
      <c r="V177">
        <f t="shared" si="8"/>
        <v>2022</v>
      </c>
      <c r="W177">
        <f>_xlfn.XLOOKUP(A177,Absenteismo!A:A,Absenteismo!A:A,0)</f>
        <v>1380</v>
      </c>
    </row>
    <row r="178" spans="1:23" hidden="1" x14ac:dyDescent="0.3">
      <c r="A178">
        <v>1392</v>
      </c>
      <c r="B178">
        <v>24</v>
      </c>
      <c r="C178" t="s">
        <v>26</v>
      </c>
      <c r="D178" t="s">
        <v>27</v>
      </c>
      <c r="E178" t="s">
        <v>17</v>
      </c>
      <c r="F178" t="s">
        <v>18</v>
      </c>
      <c r="G178">
        <v>5</v>
      </c>
      <c r="H178">
        <v>5835</v>
      </c>
      <c r="I178" t="s">
        <v>19</v>
      </c>
      <c r="J178" s="2">
        <v>46051</v>
      </c>
      <c r="K178">
        <v>29</v>
      </c>
      <c r="L178" t="s">
        <v>20</v>
      </c>
      <c r="M178">
        <v>15</v>
      </c>
      <c r="N178">
        <v>5</v>
      </c>
      <c r="O178">
        <v>2</v>
      </c>
      <c r="P178" t="s">
        <v>25</v>
      </c>
      <c r="Q178" s="1">
        <v>3</v>
      </c>
      <c r="R178" s="2">
        <v>46174</v>
      </c>
      <c r="S178" s="2"/>
      <c r="T178" s="1" t="str">
        <f t="shared" si="6"/>
        <v>qui</v>
      </c>
      <c r="U178" s="1" t="str">
        <f t="shared" si="7"/>
        <v>jan</v>
      </c>
      <c r="V178">
        <f t="shared" si="8"/>
        <v>2026</v>
      </c>
      <c r="W178">
        <f>_xlfn.XLOOKUP(A178,Absenteismo!A:A,Absenteismo!A:A,0)</f>
        <v>1392</v>
      </c>
    </row>
    <row r="179" spans="1:23" x14ac:dyDescent="0.3">
      <c r="A179">
        <v>1520</v>
      </c>
      <c r="B179">
        <v>24</v>
      </c>
      <c r="C179" t="s">
        <v>26</v>
      </c>
      <c r="D179" t="s">
        <v>27</v>
      </c>
      <c r="E179" t="s">
        <v>17</v>
      </c>
      <c r="F179" t="s">
        <v>18</v>
      </c>
      <c r="G179">
        <v>41</v>
      </c>
      <c r="H179">
        <v>3350</v>
      </c>
      <c r="I179" t="s">
        <v>24</v>
      </c>
      <c r="J179" s="2">
        <v>44894</v>
      </c>
      <c r="K179">
        <v>3</v>
      </c>
      <c r="L179" t="s">
        <v>25</v>
      </c>
      <c r="M179">
        <v>7</v>
      </c>
      <c r="N179">
        <v>0</v>
      </c>
      <c r="O179">
        <v>4</v>
      </c>
      <c r="P179" t="s">
        <v>25</v>
      </c>
      <c r="Q179" s="1">
        <v>1</v>
      </c>
      <c r="R179" s="2">
        <v>46174</v>
      </c>
      <c r="S179" s="2"/>
      <c r="T179" s="1" t="str">
        <f t="shared" si="6"/>
        <v>ter</v>
      </c>
      <c r="U179" s="1" t="str">
        <f t="shared" si="7"/>
        <v>nov</v>
      </c>
      <c r="V179">
        <f t="shared" si="8"/>
        <v>2022</v>
      </c>
      <c r="W179">
        <f>_xlfn.XLOOKUP(A179,Absenteismo!A:A,Absenteismo!A:A,0)</f>
        <v>0</v>
      </c>
    </row>
    <row r="180" spans="1:23" hidden="1" x14ac:dyDescent="0.3">
      <c r="A180">
        <v>1563</v>
      </c>
      <c r="B180">
        <v>24</v>
      </c>
      <c r="C180" t="s">
        <v>15</v>
      </c>
      <c r="D180" t="s">
        <v>16</v>
      </c>
      <c r="E180" t="s">
        <v>17</v>
      </c>
      <c r="F180" t="s">
        <v>23</v>
      </c>
      <c r="G180">
        <v>107</v>
      </c>
      <c r="H180">
        <v>4620</v>
      </c>
      <c r="I180" t="s">
        <v>19</v>
      </c>
      <c r="J180" s="2">
        <v>42504</v>
      </c>
      <c r="K180">
        <v>13</v>
      </c>
      <c r="L180" t="s">
        <v>25</v>
      </c>
      <c r="M180">
        <v>23</v>
      </c>
      <c r="N180">
        <v>10</v>
      </c>
      <c r="O180">
        <v>2</v>
      </c>
      <c r="P180" t="s">
        <v>25</v>
      </c>
      <c r="Q180" s="1">
        <v>2</v>
      </c>
      <c r="R180" s="2">
        <v>46174</v>
      </c>
      <c r="S180" s="2"/>
      <c r="T180" s="1" t="str">
        <f t="shared" si="6"/>
        <v>sáb</v>
      </c>
      <c r="U180" s="1" t="str">
        <f t="shared" si="7"/>
        <v>mai</v>
      </c>
      <c r="V180">
        <f t="shared" si="8"/>
        <v>2016</v>
      </c>
      <c r="W180">
        <f>_xlfn.XLOOKUP(A180,Absenteismo!A:A,Absenteismo!A:A,0)</f>
        <v>1563</v>
      </c>
    </row>
    <row r="181" spans="1:23" hidden="1" x14ac:dyDescent="0.3">
      <c r="A181">
        <v>1585</v>
      </c>
      <c r="B181">
        <v>24</v>
      </c>
      <c r="C181" t="s">
        <v>15</v>
      </c>
      <c r="D181" t="s">
        <v>27</v>
      </c>
      <c r="E181" t="s">
        <v>17</v>
      </c>
      <c r="F181" t="s">
        <v>21</v>
      </c>
      <c r="G181">
        <v>53</v>
      </c>
      <c r="H181">
        <v>4663</v>
      </c>
      <c r="I181" t="s">
        <v>28</v>
      </c>
      <c r="J181" s="2">
        <v>44334</v>
      </c>
      <c r="K181">
        <v>4</v>
      </c>
      <c r="L181" t="s">
        <v>25</v>
      </c>
      <c r="M181">
        <v>33</v>
      </c>
      <c r="N181">
        <v>6</v>
      </c>
      <c r="O181">
        <v>5</v>
      </c>
      <c r="P181" t="s">
        <v>25</v>
      </c>
      <c r="Q181" s="1">
        <v>3</v>
      </c>
      <c r="R181" s="2">
        <v>46174</v>
      </c>
      <c r="S181" s="2"/>
      <c r="T181" s="1" t="str">
        <f t="shared" si="6"/>
        <v>ter</v>
      </c>
      <c r="U181" s="1" t="str">
        <f t="shared" si="7"/>
        <v>mai</v>
      </c>
      <c r="V181">
        <f t="shared" si="8"/>
        <v>2021</v>
      </c>
      <c r="W181">
        <f>_xlfn.XLOOKUP(A181,Absenteismo!A:A,Absenteismo!A:A,0)</f>
        <v>1585</v>
      </c>
    </row>
    <row r="182" spans="1:23" x14ac:dyDescent="0.3">
      <c r="A182">
        <v>1592</v>
      </c>
      <c r="B182">
        <v>24</v>
      </c>
      <c r="C182" t="s">
        <v>15</v>
      </c>
      <c r="D182" t="s">
        <v>16</v>
      </c>
      <c r="E182" t="s">
        <v>17</v>
      </c>
      <c r="F182" t="s">
        <v>21</v>
      </c>
      <c r="G182">
        <v>57</v>
      </c>
      <c r="H182">
        <v>5428</v>
      </c>
      <c r="I182" t="s">
        <v>24</v>
      </c>
      <c r="J182" s="2">
        <v>44282</v>
      </c>
      <c r="K182">
        <v>47</v>
      </c>
      <c r="L182" t="s">
        <v>20</v>
      </c>
      <c r="M182">
        <v>5</v>
      </c>
      <c r="N182">
        <v>3</v>
      </c>
      <c r="O182">
        <v>5</v>
      </c>
      <c r="P182" t="s">
        <v>25</v>
      </c>
      <c r="Q182" s="1">
        <v>1</v>
      </c>
      <c r="R182" s="2">
        <v>46174</v>
      </c>
      <c r="S182" s="2"/>
      <c r="T182" s="1" t="str">
        <f t="shared" si="6"/>
        <v>sáb</v>
      </c>
      <c r="U182" s="1" t="str">
        <f t="shared" si="7"/>
        <v>mar</v>
      </c>
      <c r="V182">
        <f t="shared" si="8"/>
        <v>2021</v>
      </c>
      <c r="W182">
        <f>_xlfn.XLOOKUP(A182,Absenteismo!A:A,Absenteismo!A:A,0)</f>
        <v>0</v>
      </c>
    </row>
    <row r="183" spans="1:23" hidden="1" x14ac:dyDescent="0.3">
      <c r="A183">
        <v>1612</v>
      </c>
      <c r="B183">
        <v>24</v>
      </c>
      <c r="C183" t="s">
        <v>26</v>
      </c>
      <c r="D183" t="s">
        <v>22</v>
      </c>
      <c r="E183" t="s">
        <v>17</v>
      </c>
      <c r="F183" t="s">
        <v>21</v>
      </c>
      <c r="G183">
        <v>78</v>
      </c>
      <c r="H183">
        <v>4429</v>
      </c>
      <c r="I183" t="s">
        <v>19</v>
      </c>
      <c r="J183" s="2">
        <v>43629</v>
      </c>
      <c r="K183">
        <v>24</v>
      </c>
      <c r="L183" t="s">
        <v>20</v>
      </c>
      <c r="M183">
        <v>34</v>
      </c>
      <c r="N183">
        <v>12</v>
      </c>
      <c r="O183">
        <v>2</v>
      </c>
      <c r="P183" t="s">
        <v>25</v>
      </c>
      <c r="Q183" s="1">
        <v>3</v>
      </c>
      <c r="R183" s="2">
        <v>46174</v>
      </c>
      <c r="S183" s="2"/>
      <c r="T183" s="1" t="str">
        <f t="shared" si="6"/>
        <v>qui</v>
      </c>
      <c r="U183" s="1" t="str">
        <f t="shared" si="7"/>
        <v>jun</v>
      </c>
      <c r="V183">
        <f t="shared" si="8"/>
        <v>2019</v>
      </c>
      <c r="W183">
        <f>_xlfn.XLOOKUP(A183,Absenteismo!A:A,Absenteismo!A:A,0)</f>
        <v>1612</v>
      </c>
    </row>
    <row r="184" spans="1:23" hidden="1" x14ac:dyDescent="0.3">
      <c r="A184">
        <v>1641</v>
      </c>
      <c r="B184">
        <v>24</v>
      </c>
      <c r="C184" t="s">
        <v>26</v>
      </c>
      <c r="D184" t="s">
        <v>16</v>
      </c>
      <c r="E184" t="s">
        <v>17</v>
      </c>
      <c r="F184" t="s">
        <v>21</v>
      </c>
      <c r="G184">
        <v>67</v>
      </c>
      <c r="H184">
        <v>6605</v>
      </c>
      <c r="I184" t="s">
        <v>30</v>
      </c>
      <c r="J184" s="2">
        <v>43752</v>
      </c>
      <c r="K184">
        <v>36</v>
      </c>
      <c r="L184" t="s">
        <v>20</v>
      </c>
      <c r="M184">
        <v>7</v>
      </c>
      <c r="N184">
        <v>7</v>
      </c>
      <c r="O184">
        <v>3</v>
      </c>
      <c r="P184" t="s">
        <v>25</v>
      </c>
      <c r="Q184" s="1">
        <v>1</v>
      </c>
      <c r="R184" s="2">
        <v>46174</v>
      </c>
      <c r="S184" s="2"/>
      <c r="T184" s="1" t="str">
        <f t="shared" si="6"/>
        <v>seg</v>
      </c>
      <c r="U184" s="1" t="str">
        <f t="shared" si="7"/>
        <v>out</v>
      </c>
      <c r="V184">
        <f t="shared" si="8"/>
        <v>2019</v>
      </c>
      <c r="W184">
        <f>_xlfn.XLOOKUP(A184,Absenteismo!A:A,Absenteismo!A:A,0)</f>
        <v>1641</v>
      </c>
    </row>
    <row r="185" spans="1:23" hidden="1" x14ac:dyDescent="0.3">
      <c r="A185">
        <v>1651</v>
      </c>
      <c r="B185">
        <v>24</v>
      </c>
      <c r="C185" t="s">
        <v>15</v>
      </c>
      <c r="D185" t="s">
        <v>31</v>
      </c>
      <c r="E185" t="s">
        <v>34</v>
      </c>
      <c r="F185" t="s">
        <v>18</v>
      </c>
      <c r="G185">
        <v>92</v>
      </c>
      <c r="H185">
        <v>4424</v>
      </c>
      <c r="I185" t="s">
        <v>30</v>
      </c>
      <c r="J185" s="2">
        <v>43323</v>
      </c>
      <c r="K185">
        <v>38</v>
      </c>
      <c r="L185" t="s">
        <v>20</v>
      </c>
      <c r="M185">
        <v>15</v>
      </c>
      <c r="N185">
        <v>1</v>
      </c>
      <c r="O185">
        <v>4</v>
      </c>
      <c r="P185" t="s">
        <v>25</v>
      </c>
      <c r="Q185" s="1">
        <v>1</v>
      </c>
      <c r="R185" s="2">
        <v>46174</v>
      </c>
      <c r="S185" s="2"/>
      <c r="T185" s="1" t="str">
        <f t="shared" si="6"/>
        <v>sáb</v>
      </c>
      <c r="U185" s="1" t="str">
        <f t="shared" si="7"/>
        <v>ago</v>
      </c>
      <c r="V185">
        <f t="shared" si="8"/>
        <v>2018</v>
      </c>
      <c r="W185">
        <f>_xlfn.XLOOKUP(A185,Absenteismo!A:A,Absenteismo!A:A,0)</f>
        <v>1651</v>
      </c>
    </row>
    <row r="186" spans="1:23" hidden="1" x14ac:dyDescent="0.3">
      <c r="A186">
        <v>1680</v>
      </c>
      <c r="B186">
        <v>24</v>
      </c>
      <c r="C186" t="s">
        <v>15</v>
      </c>
      <c r="D186" t="s">
        <v>29</v>
      </c>
      <c r="E186" t="s">
        <v>17</v>
      </c>
      <c r="F186" t="s">
        <v>21</v>
      </c>
      <c r="G186">
        <v>39</v>
      </c>
      <c r="H186">
        <v>3037</v>
      </c>
      <c r="I186" t="s">
        <v>30</v>
      </c>
      <c r="J186" s="2">
        <v>44856</v>
      </c>
      <c r="K186">
        <v>21</v>
      </c>
      <c r="L186" t="s">
        <v>20</v>
      </c>
      <c r="M186">
        <v>18</v>
      </c>
      <c r="N186">
        <v>5</v>
      </c>
      <c r="O186">
        <v>4</v>
      </c>
      <c r="P186" t="s">
        <v>25</v>
      </c>
      <c r="Q186" s="1">
        <v>1</v>
      </c>
      <c r="R186" s="2">
        <v>46174</v>
      </c>
      <c r="S186" s="2"/>
      <c r="T186" s="1" t="str">
        <f t="shared" si="6"/>
        <v>sáb</v>
      </c>
      <c r="U186" s="1" t="str">
        <f t="shared" si="7"/>
        <v>out</v>
      </c>
      <c r="V186">
        <f t="shared" si="8"/>
        <v>2022</v>
      </c>
      <c r="W186">
        <f>_xlfn.XLOOKUP(A186,Absenteismo!A:A,Absenteismo!A:A,0)</f>
        <v>1680</v>
      </c>
    </row>
    <row r="187" spans="1:23" hidden="1" x14ac:dyDescent="0.3">
      <c r="A187">
        <v>1692</v>
      </c>
      <c r="B187">
        <v>24</v>
      </c>
      <c r="C187" t="s">
        <v>26</v>
      </c>
      <c r="D187" t="s">
        <v>27</v>
      </c>
      <c r="E187" t="s">
        <v>17</v>
      </c>
      <c r="F187" t="s">
        <v>18</v>
      </c>
      <c r="G187">
        <v>5</v>
      </c>
      <c r="H187">
        <v>5835</v>
      </c>
      <c r="I187" t="s">
        <v>19</v>
      </c>
      <c r="J187" s="2">
        <v>45744</v>
      </c>
      <c r="K187">
        <v>29</v>
      </c>
      <c r="L187" t="s">
        <v>20</v>
      </c>
      <c r="M187">
        <v>15</v>
      </c>
      <c r="N187">
        <v>5</v>
      </c>
      <c r="O187">
        <v>2</v>
      </c>
      <c r="P187" t="s">
        <v>25</v>
      </c>
      <c r="Q187" s="1">
        <v>3</v>
      </c>
      <c r="R187" s="2">
        <v>46174</v>
      </c>
      <c r="S187" s="2"/>
      <c r="T187" s="1" t="str">
        <f t="shared" si="6"/>
        <v>sex</v>
      </c>
      <c r="U187" s="1" t="str">
        <f t="shared" si="7"/>
        <v>mar</v>
      </c>
      <c r="V187">
        <f t="shared" si="8"/>
        <v>2025</v>
      </c>
      <c r="W187">
        <f>_xlfn.XLOOKUP(A187,Absenteismo!A:A,Absenteismo!A:A,0)</f>
        <v>1692</v>
      </c>
    </row>
    <row r="188" spans="1:23" x14ac:dyDescent="0.3">
      <c r="A188">
        <v>1820</v>
      </c>
      <c r="B188">
        <v>24</v>
      </c>
      <c r="C188" t="s">
        <v>26</v>
      </c>
      <c r="D188" t="s">
        <v>27</v>
      </c>
      <c r="E188" t="s">
        <v>17</v>
      </c>
      <c r="F188" t="s">
        <v>18</v>
      </c>
      <c r="G188">
        <v>41</v>
      </c>
      <c r="H188">
        <v>3350</v>
      </c>
      <c r="I188" t="s">
        <v>24</v>
      </c>
      <c r="J188" s="2">
        <v>44837</v>
      </c>
      <c r="K188">
        <v>3</v>
      </c>
      <c r="L188" t="s">
        <v>25</v>
      </c>
      <c r="M188">
        <v>7</v>
      </c>
      <c r="N188">
        <v>0</v>
      </c>
      <c r="O188">
        <v>4</v>
      </c>
      <c r="P188" t="s">
        <v>25</v>
      </c>
      <c r="Q188" s="1">
        <v>1</v>
      </c>
      <c r="R188" s="2">
        <v>46174</v>
      </c>
      <c r="S188" s="2"/>
      <c r="T188" s="1" t="str">
        <f t="shared" si="6"/>
        <v>seg</v>
      </c>
      <c r="U188" s="1" t="str">
        <f t="shared" si="7"/>
        <v>out</v>
      </c>
      <c r="V188">
        <f t="shared" si="8"/>
        <v>2022</v>
      </c>
      <c r="W188">
        <f>_xlfn.XLOOKUP(A188,Absenteismo!A:A,Absenteismo!A:A,0)</f>
        <v>0</v>
      </c>
    </row>
    <row r="189" spans="1:23" hidden="1" x14ac:dyDescent="0.3">
      <c r="A189">
        <v>1863</v>
      </c>
      <c r="B189">
        <v>24</v>
      </c>
      <c r="C189" t="s">
        <v>15</v>
      </c>
      <c r="D189" t="s">
        <v>16</v>
      </c>
      <c r="E189" t="s">
        <v>17</v>
      </c>
      <c r="F189" t="s">
        <v>23</v>
      </c>
      <c r="G189">
        <v>107</v>
      </c>
      <c r="H189">
        <v>4620</v>
      </c>
      <c r="I189" t="s">
        <v>19</v>
      </c>
      <c r="J189" s="2">
        <v>42900</v>
      </c>
      <c r="K189">
        <v>13</v>
      </c>
      <c r="L189" t="s">
        <v>25</v>
      </c>
      <c r="M189">
        <v>23</v>
      </c>
      <c r="N189">
        <v>10</v>
      </c>
      <c r="O189">
        <v>2</v>
      </c>
      <c r="P189" t="s">
        <v>25</v>
      </c>
      <c r="Q189" s="1">
        <v>2</v>
      </c>
      <c r="R189" s="2">
        <v>46174</v>
      </c>
      <c r="S189" s="2"/>
      <c r="T189" s="1" t="str">
        <f t="shared" si="6"/>
        <v>qua</v>
      </c>
      <c r="U189" s="1" t="str">
        <f t="shared" si="7"/>
        <v>jun</v>
      </c>
      <c r="V189">
        <f t="shared" si="8"/>
        <v>2017</v>
      </c>
      <c r="W189">
        <f>_xlfn.XLOOKUP(A189,Absenteismo!A:A,Absenteismo!A:A,0)</f>
        <v>1863</v>
      </c>
    </row>
    <row r="190" spans="1:23" hidden="1" x14ac:dyDescent="0.3">
      <c r="A190">
        <v>1881</v>
      </c>
      <c r="B190">
        <v>24</v>
      </c>
      <c r="C190" t="s">
        <v>26</v>
      </c>
      <c r="D190" t="s">
        <v>16</v>
      </c>
      <c r="E190" t="s">
        <v>17</v>
      </c>
      <c r="F190" t="s">
        <v>23</v>
      </c>
      <c r="G190">
        <v>53</v>
      </c>
      <c r="H190">
        <v>7339</v>
      </c>
      <c r="I190" t="s">
        <v>28</v>
      </c>
      <c r="J190" s="2">
        <v>44372</v>
      </c>
      <c r="K190">
        <v>17</v>
      </c>
      <c r="L190" t="s">
        <v>20</v>
      </c>
      <c r="M190">
        <v>19</v>
      </c>
      <c r="N190">
        <v>3</v>
      </c>
      <c r="O190">
        <v>2</v>
      </c>
      <c r="P190" t="s">
        <v>25</v>
      </c>
      <c r="Q190" s="1">
        <v>3</v>
      </c>
      <c r="R190" s="2">
        <v>46174</v>
      </c>
      <c r="S190" s="2"/>
      <c r="T190" s="1" t="str">
        <f t="shared" si="6"/>
        <v>sex</v>
      </c>
      <c r="U190" s="1" t="str">
        <f t="shared" si="7"/>
        <v>jun</v>
      </c>
      <c r="V190">
        <f t="shared" si="8"/>
        <v>2021</v>
      </c>
      <c r="W190">
        <f>_xlfn.XLOOKUP(A190,Absenteismo!A:A,Absenteismo!A:A,0)</f>
        <v>1881</v>
      </c>
    </row>
    <row r="191" spans="1:23" hidden="1" x14ac:dyDescent="0.3">
      <c r="A191">
        <v>1885</v>
      </c>
      <c r="B191">
        <v>24</v>
      </c>
      <c r="C191" t="s">
        <v>15</v>
      </c>
      <c r="D191" t="s">
        <v>27</v>
      </c>
      <c r="E191" t="s">
        <v>17</v>
      </c>
      <c r="F191" t="s">
        <v>21</v>
      </c>
      <c r="G191">
        <v>53</v>
      </c>
      <c r="H191">
        <v>4663</v>
      </c>
      <c r="I191" t="s">
        <v>28</v>
      </c>
      <c r="J191" s="2">
        <v>44355</v>
      </c>
      <c r="K191">
        <v>4</v>
      </c>
      <c r="L191" t="s">
        <v>25</v>
      </c>
      <c r="M191">
        <v>33</v>
      </c>
      <c r="N191">
        <v>6</v>
      </c>
      <c r="O191">
        <v>5</v>
      </c>
      <c r="P191" t="s">
        <v>25</v>
      </c>
      <c r="Q191" s="1">
        <v>3</v>
      </c>
      <c r="R191" s="2">
        <v>46174</v>
      </c>
      <c r="S191" s="2"/>
      <c r="T191" s="1" t="str">
        <f t="shared" si="6"/>
        <v>ter</v>
      </c>
      <c r="U191" s="1" t="str">
        <f t="shared" si="7"/>
        <v>jun</v>
      </c>
      <c r="V191">
        <f t="shared" si="8"/>
        <v>2021</v>
      </c>
      <c r="W191">
        <f>_xlfn.XLOOKUP(A191,Absenteismo!A:A,Absenteismo!A:A,0)</f>
        <v>1885</v>
      </c>
    </row>
    <row r="192" spans="1:23" hidden="1" x14ac:dyDescent="0.3">
      <c r="A192">
        <v>1912</v>
      </c>
      <c r="B192">
        <v>24</v>
      </c>
      <c r="C192" t="s">
        <v>26</v>
      </c>
      <c r="D192" t="s">
        <v>22</v>
      </c>
      <c r="E192" t="s">
        <v>17</v>
      </c>
      <c r="F192" t="s">
        <v>21</v>
      </c>
      <c r="G192">
        <v>78</v>
      </c>
      <c r="H192">
        <v>4429</v>
      </c>
      <c r="I192" t="s">
        <v>19</v>
      </c>
      <c r="J192" s="2">
        <v>43824</v>
      </c>
      <c r="K192">
        <v>24</v>
      </c>
      <c r="L192" t="s">
        <v>20</v>
      </c>
      <c r="M192">
        <v>34</v>
      </c>
      <c r="N192">
        <v>12</v>
      </c>
      <c r="O192">
        <v>2</v>
      </c>
      <c r="P192" t="s">
        <v>25</v>
      </c>
      <c r="Q192" s="1">
        <v>2</v>
      </c>
      <c r="R192" s="2">
        <v>46174</v>
      </c>
      <c r="S192" s="2"/>
      <c r="T192" s="1" t="str">
        <f t="shared" si="6"/>
        <v>qua</v>
      </c>
      <c r="U192" s="1" t="str">
        <f t="shared" si="7"/>
        <v>dez</v>
      </c>
      <c r="V192">
        <f t="shared" si="8"/>
        <v>2019</v>
      </c>
      <c r="W192">
        <f>_xlfn.XLOOKUP(A192,Absenteismo!A:A,Absenteismo!A:A,0)</f>
        <v>1912</v>
      </c>
    </row>
    <row r="193" spans="1:23" hidden="1" x14ac:dyDescent="0.3">
      <c r="A193">
        <v>1941</v>
      </c>
      <c r="B193">
        <v>24</v>
      </c>
      <c r="C193" t="s">
        <v>26</v>
      </c>
      <c r="D193" t="s">
        <v>16</v>
      </c>
      <c r="E193" t="s">
        <v>17</v>
      </c>
      <c r="F193" t="s">
        <v>21</v>
      </c>
      <c r="G193">
        <v>67</v>
      </c>
      <c r="H193">
        <v>6605</v>
      </c>
      <c r="I193" t="s">
        <v>30</v>
      </c>
      <c r="J193" s="2">
        <v>43799</v>
      </c>
      <c r="K193">
        <v>36</v>
      </c>
      <c r="L193" t="s">
        <v>20</v>
      </c>
      <c r="M193">
        <v>7</v>
      </c>
      <c r="N193">
        <v>7</v>
      </c>
      <c r="O193">
        <v>3</v>
      </c>
      <c r="P193" t="s">
        <v>25</v>
      </c>
      <c r="Q193" s="1">
        <v>3</v>
      </c>
      <c r="R193" s="2">
        <v>46174</v>
      </c>
      <c r="S193" s="2"/>
      <c r="T193" s="1" t="str">
        <f t="shared" si="6"/>
        <v>sáb</v>
      </c>
      <c r="U193" s="1" t="str">
        <f t="shared" si="7"/>
        <v>nov</v>
      </c>
      <c r="V193">
        <f t="shared" si="8"/>
        <v>2019</v>
      </c>
      <c r="W193">
        <f>_xlfn.XLOOKUP(A193,Absenteismo!A:A,Absenteismo!A:A,0)</f>
        <v>1941</v>
      </c>
    </row>
    <row r="194" spans="1:23" hidden="1" x14ac:dyDescent="0.3">
      <c r="A194">
        <v>1951</v>
      </c>
      <c r="B194">
        <v>24</v>
      </c>
      <c r="C194" t="s">
        <v>15</v>
      </c>
      <c r="D194" t="s">
        <v>31</v>
      </c>
      <c r="E194" t="s">
        <v>34</v>
      </c>
      <c r="F194" t="s">
        <v>18</v>
      </c>
      <c r="G194">
        <v>92</v>
      </c>
      <c r="H194">
        <v>4424</v>
      </c>
      <c r="I194" t="s">
        <v>30</v>
      </c>
      <c r="J194" s="2">
        <v>43209</v>
      </c>
      <c r="K194">
        <v>38</v>
      </c>
      <c r="L194" t="s">
        <v>20</v>
      </c>
      <c r="M194">
        <v>15</v>
      </c>
      <c r="N194">
        <v>1</v>
      </c>
      <c r="O194">
        <v>4</v>
      </c>
      <c r="P194" t="s">
        <v>25</v>
      </c>
      <c r="Q194" s="1">
        <v>1</v>
      </c>
      <c r="R194" s="2">
        <v>46174</v>
      </c>
      <c r="S194" s="2"/>
      <c r="T194" s="1" t="str">
        <f t="shared" ref="T194:T257" si="9">TEXT($J194,"ddd")</f>
        <v>qui</v>
      </c>
      <c r="U194" s="1" t="str">
        <f t="shared" ref="U194:U257" si="10">TEXT($J194,"mmm")</f>
        <v>abr</v>
      </c>
      <c r="V194">
        <f t="shared" ref="V194:V257" si="11">YEAR(J194)</f>
        <v>2018</v>
      </c>
      <c r="W194">
        <f>_xlfn.XLOOKUP(A194,Absenteismo!A:A,Absenteismo!A:A,0)</f>
        <v>1951</v>
      </c>
    </row>
    <row r="195" spans="1:23" hidden="1" x14ac:dyDescent="0.3">
      <c r="A195">
        <v>1980</v>
      </c>
      <c r="B195">
        <v>24</v>
      </c>
      <c r="C195" t="s">
        <v>15</v>
      </c>
      <c r="D195" t="s">
        <v>29</v>
      </c>
      <c r="E195" t="s">
        <v>17</v>
      </c>
      <c r="F195" t="s">
        <v>21</v>
      </c>
      <c r="G195">
        <v>39</v>
      </c>
      <c r="H195">
        <v>3037</v>
      </c>
      <c r="I195" t="s">
        <v>30</v>
      </c>
      <c r="J195" s="2">
        <v>44842</v>
      </c>
      <c r="K195">
        <v>21</v>
      </c>
      <c r="L195" t="s">
        <v>20</v>
      </c>
      <c r="M195">
        <v>18</v>
      </c>
      <c r="N195">
        <v>5</v>
      </c>
      <c r="O195">
        <v>4</v>
      </c>
      <c r="P195" t="s">
        <v>25</v>
      </c>
      <c r="Q195" s="1">
        <v>2</v>
      </c>
      <c r="R195" s="2">
        <v>46174</v>
      </c>
      <c r="S195" s="2"/>
      <c r="T195" s="1" t="str">
        <f t="shared" si="9"/>
        <v>sáb</v>
      </c>
      <c r="U195" s="1" t="str">
        <f t="shared" si="10"/>
        <v>out</v>
      </c>
      <c r="V195">
        <f t="shared" si="11"/>
        <v>2022</v>
      </c>
      <c r="W195">
        <f>_xlfn.XLOOKUP(A195,Absenteismo!A:A,Absenteismo!A:A,0)</f>
        <v>1980</v>
      </c>
    </row>
    <row r="196" spans="1:23" hidden="1" x14ac:dyDescent="0.3">
      <c r="A196">
        <v>1992</v>
      </c>
      <c r="B196">
        <v>24</v>
      </c>
      <c r="C196" t="s">
        <v>26</v>
      </c>
      <c r="D196" t="s">
        <v>27</v>
      </c>
      <c r="E196" t="s">
        <v>17</v>
      </c>
      <c r="F196" t="s">
        <v>18</v>
      </c>
      <c r="G196">
        <v>5</v>
      </c>
      <c r="H196">
        <v>5835</v>
      </c>
      <c r="I196" t="s">
        <v>19</v>
      </c>
      <c r="J196" s="2">
        <v>45678</v>
      </c>
      <c r="K196">
        <v>29</v>
      </c>
      <c r="L196" t="s">
        <v>20</v>
      </c>
      <c r="M196">
        <v>15</v>
      </c>
      <c r="N196">
        <v>5</v>
      </c>
      <c r="O196">
        <v>2</v>
      </c>
      <c r="P196" t="s">
        <v>25</v>
      </c>
      <c r="Q196" s="1">
        <v>3</v>
      </c>
      <c r="R196" s="2">
        <v>46174</v>
      </c>
      <c r="S196" s="2"/>
      <c r="T196" s="1" t="str">
        <f t="shared" si="9"/>
        <v>ter</v>
      </c>
      <c r="U196" s="1" t="str">
        <f t="shared" si="10"/>
        <v>jan</v>
      </c>
      <c r="V196">
        <f t="shared" si="11"/>
        <v>2025</v>
      </c>
      <c r="W196">
        <f>_xlfn.XLOOKUP(A196,Absenteismo!A:A,Absenteismo!A:A,0)</f>
        <v>1992</v>
      </c>
    </row>
    <row r="197" spans="1:23" x14ac:dyDescent="0.3">
      <c r="A197">
        <v>2120</v>
      </c>
      <c r="B197">
        <v>24</v>
      </c>
      <c r="C197" t="s">
        <v>26</v>
      </c>
      <c r="D197" t="s">
        <v>27</v>
      </c>
      <c r="E197" t="s">
        <v>17</v>
      </c>
      <c r="F197" t="s">
        <v>18</v>
      </c>
      <c r="G197">
        <v>41</v>
      </c>
      <c r="H197">
        <v>3350</v>
      </c>
      <c r="I197" t="s">
        <v>24</v>
      </c>
      <c r="J197" s="2">
        <v>44518</v>
      </c>
      <c r="K197">
        <v>3</v>
      </c>
      <c r="L197" t="s">
        <v>25</v>
      </c>
      <c r="M197">
        <v>7</v>
      </c>
      <c r="N197">
        <v>0</v>
      </c>
      <c r="O197">
        <v>4</v>
      </c>
      <c r="P197" t="s">
        <v>25</v>
      </c>
      <c r="Q197" s="1">
        <v>2</v>
      </c>
      <c r="R197" s="2">
        <v>46174</v>
      </c>
      <c r="S197" s="2"/>
      <c r="T197" s="1" t="str">
        <f t="shared" si="9"/>
        <v>qui</v>
      </c>
      <c r="U197" s="1" t="str">
        <f t="shared" si="10"/>
        <v>nov</v>
      </c>
      <c r="V197">
        <f t="shared" si="11"/>
        <v>2021</v>
      </c>
      <c r="W197">
        <f>_xlfn.XLOOKUP(A197,Absenteismo!A:A,Absenteismo!A:A,0)</f>
        <v>0</v>
      </c>
    </row>
    <row r="198" spans="1:23" hidden="1" x14ac:dyDescent="0.3">
      <c r="A198">
        <v>2163</v>
      </c>
      <c r="B198">
        <v>24</v>
      </c>
      <c r="C198" t="s">
        <v>15</v>
      </c>
      <c r="D198" t="s">
        <v>16</v>
      </c>
      <c r="E198" t="s">
        <v>17</v>
      </c>
      <c r="F198" t="s">
        <v>23</v>
      </c>
      <c r="G198">
        <v>107</v>
      </c>
      <c r="H198">
        <v>4620</v>
      </c>
      <c r="I198" t="s">
        <v>19</v>
      </c>
      <c r="J198" s="2">
        <v>42530</v>
      </c>
      <c r="K198">
        <v>13</v>
      </c>
      <c r="L198" t="s">
        <v>25</v>
      </c>
      <c r="M198">
        <v>23</v>
      </c>
      <c r="N198">
        <v>10</v>
      </c>
      <c r="O198">
        <v>2</v>
      </c>
      <c r="P198" t="s">
        <v>25</v>
      </c>
      <c r="Q198" s="1">
        <v>1</v>
      </c>
      <c r="R198" s="2">
        <v>46174</v>
      </c>
      <c r="S198" s="2"/>
      <c r="T198" s="1" t="str">
        <f t="shared" si="9"/>
        <v>qui</v>
      </c>
      <c r="U198" s="1" t="str">
        <f t="shared" si="10"/>
        <v>jun</v>
      </c>
      <c r="V198">
        <f t="shared" si="11"/>
        <v>2016</v>
      </c>
      <c r="W198">
        <f>_xlfn.XLOOKUP(A198,Absenteismo!A:A,Absenteismo!A:A,0)</f>
        <v>2163</v>
      </c>
    </row>
    <row r="199" spans="1:23" hidden="1" x14ac:dyDescent="0.3">
      <c r="A199">
        <v>2181</v>
      </c>
      <c r="B199">
        <v>24</v>
      </c>
      <c r="C199" t="s">
        <v>26</v>
      </c>
      <c r="D199" t="s">
        <v>16</v>
      </c>
      <c r="E199" t="s">
        <v>17</v>
      </c>
      <c r="F199" t="s">
        <v>23</v>
      </c>
      <c r="G199">
        <v>53</v>
      </c>
      <c r="H199">
        <v>7339</v>
      </c>
      <c r="I199" t="s">
        <v>28</v>
      </c>
      <c r="J199" s="2">
        <v>44521</v>
      </c>
      <c r="K199">
        <v>17</v>
      </c>
      <c r="L199" t="s">
        <v>20</v>
      </c>
      <c r="M199">
        <v>19</v>
      </c>
      <c r="N199">
        <v>3</v>
      </c>
      <c r="O199">
        <v>2</v>
      </c>
      <c r="P199" t="s">
        <v>25</v>
      </c>
      <c r="Q199" s="1">
        <v>3</v>
      </c>
      <c r="R199" s="2">
        <v>46174</v>
      </c>
      <c r="S199" s="2"/>
      <c r="T199" s="1" t="str">
        <f t="shared" si="9"/>
        <v>dom</v>
      </c>
      <c r="U199" s="1" t="str">
        <f t="shared" si="10"/>
        <v>nov</v>
      </c>
      <c r="V199">
        <f t="shared" si="11"/>
        <v>2021</v>
      </c>
      <c r="W199">
        <f>_xlfn.XLOOKUP(A199,Absenteismo!A:A,Absenteismo!A:A,0)</f>
        <v>2181</v>
      </c>
    </row>
    <row r="200" spans="1:23" hidden="1" x14ac:dyDescent="0.3">
      <c r="A200">
        <v>2185</v>
      </c>
      <c r="B200">
        <v>24</v>
      </c>
      <c r="C200" t="s">
        <v>15</v>
      </c>
      <c r="D200" t="s">
        <v>27</v>
      </c>
      <c r="E200" t="s">
        <v>17</v>
      </c>
      <c r="F200" t="s">
        <v>21</v>
      </c>
      <c r="G200">
        <v>53</v>
      </c>
      <c r="H200">
        <v>4663</v>
      </c>
      <c r="I200" t="s">
        <v>28</v>
      </c>
      <c r="J200" s="2">
        <v>44339</v>
      </c>
      <c r="K200">
        <v>4</v>
      </c>
      <c r="L200" t="s">
        <v>25</v>
      </c>
      <c r="M200">
        <v>33</v>
      </c>
      <c r="N200">
        <v>6</v>
      </c>
      <c r="O200">
        <v>5</v>
      </c>
      <c r="P200" t="s">
        <v>25</v>
      </c>
      <c r="Q200" s="1">
        <v>1</v>
      </c>
      <c r="R200" s="2">
        <v>46174</v>
      </c>
      <c r="S200" s="2"/>
      <c r="T200" s="1" t="str">
        <f t="shared" si="9"/>
        <v>dom</v>
      </c>
      <c r="U200" s="1" t="str">
        <f t="shared" si="10"/>
        <v>mai</v>
      </c>
      <c r="V200">
        <f t="shared" si="11"/>
        <v>2021</v>
      </c>
      <c r="W200">
        <f>_xlfn.XLOOKUP(A200,Absenteismo!A:A,Absenteismo!A:A,0)</f>
        <v>2185</v>
      </c>
    </row>
    <row r="201" spans="1:23" x14ac:dyDescent="0.3">
      <c r="A201">
        <v>1892</v>
      </c>
      <c r="B201">
        <v>24</v>
      </c>
      <c r="C201" t="s">
        <v>15</v>
      </c>
      <c r="D201" t="s">
        <v>16</v>
      </c>
      <c r="E201" t="s">
        <v>17</v>
      </c>
      <c r="F201" t="s">
        <v>21</v>
      </c>
      <c r="G201">
        <v>57</v>
      </c>
      <c r="H201">
        <v>5428</v>
      </c>
      <c r="I201" t="s">
        <v>24</v>
      </c>
      <c r="J201" s="2">
        <v>44353</v>
      </c>
      <c r="K201">
        <v>47</v>
      </c>
      <c r="L201" t="s">
        <v>20</v>
      </c>
      <c r="M201">
        <v>5</v>
      </c>
      <c r="N201">
        <v>3</v>
      </c>
      <c r="O201">
        <v>5</v>
      </c>
      <c r="P201" t="s">
        <v>25</v>
      </c>
      <c r="Q201" s="1">
        <v>1</v>
      </c>
      <c r="R201" s="2">
        <v>46174</v>
      </c>
      <c r="S201" s="2"/>
      <c r="T201" s="1" t="str">
        <f t="shared" si="9"/>
        <v>dom</v>
      </c>
      <c r="U201" s="1" t="str">
        <f t="shared" si="10"/>
        <v>jun</v>
      </c>
      <c r="V201">
        <f t="shared" si="11"/>
        <v>2021</v>
      </c>
      <c r="W201">
        <f>_xlfn.XLOOKUP(A201,Absenteismo!A:A,Absenteismo!A:A,0)</f>
        <v>0</v>
      </c>
    </row>
    <row r="202" spans="1:23" hidden="1" x14ac:dyDescent="0.3">
      <c r="A202">
        <v>1927</v>
      </c>
      <c r="B202">
        <v>24</v>
      </c>
      <c r="C202" t="s">
        <v>15</v>
      </c>
      <c r="D202" t="s">
        <v>16</v>
      </c>
      <c r="E202" t="s">
        <v>17</v>
      </c>
      <c r="F202" t="s">
        <v>21</v>
      </c>
      <c r="G202">
        <v>27</v>
      </c>
      <c r="H202">
        <v>5608</v>
      </c>
      <c r="I202" t="s">
        <v>19</v>
      </c>
      <c r="J202" s="2">
        <v>45268</v>
      </c>
      <c r="K202">
        <v>54</v>
      </c>
      <c r="L202" t="s">
        <v>20</v>
      </c>
      <c r="M202">
        <v>16</v>
      </c>
      <c r="N202">
        <v>8</v>
      </c>
      <c r="O202">
        <v>5</v>
      </c>
      <c r="P202" t="s">
        <v>25</v>
      </c>
      <c r="Q202" s="1">
        <v>2</v>
      </c>
      <c r="R202" s="2">
        <v>46174</v>
      </c>
      <c r="S202" s="2"/>
      <c r="T202" s="1" t="str">
        <f t="shared" si="9"/>
        <v>sex</v>
      </c>
      <c r="U202" s="1" t="str">
        <f t="shared" si="10"/>
        <v>dez</v>
      </c>
      <c r="V202">
        <f t="shared" si="11"/>
        <v>2023</v>
      </c>
      <c r="W202">
        <f>_xlfn.XLOOKUP(A202,Absenteismo!A:A,Absenteismo!A:A,0)</f>
        <v>1927</v>
      </c>
    </row>
    <row r="203" spans="1:23" x14ac:dyDescent="0.3">
      <c r="A203">
        <v>1998</v>
      </c>
      <c r="B203">
        <v>24</v>
      </c>
      <c r="C203" t="s">
        <v>26</v>
      </c>
      <c r="D203" t="s">
        <v>27</v>
      </c>
      <c r="E203" t="s">
        <v>17</v>
      </c>
      <c r="F203" t="s">
        <v>18</v>
      </c>
      <c r="G203">
        <v>10</v>
      </c>
      <c r="H203">
        <v>3461</v>
      </c>
      <c r="I203" t="s">
        <v>24</v>
      </c>
      <c r="J203" s="2">
        <v>45749</v>
      </c>
      <c r="K203">
        <v>39</v>
      </c>
      <c r="L203" t="s">
        <v>20</v>
      </c>
      <c r="M203">
        <v>8</v>
      </c>
      <c r="N203">
        <v>4</v>
      </c>
      <c r="O203">
        <v>4</v>
      </c>
      <c r="P203" t="s">
        <v>25</v>
      </c>
      <c r="Q203" s="1">
        <v>1</v>
      </c>
      <c r="R203" s="2">
        <v>46174</v>
      </c>
      <c r="S203" s="2"/>
      <c r="T203" s="1" t="str">
        <f t="shared" si="9"/>
        <v>qua</v>
      </c>
      <c r="U203" s="1" t="str">
        <f t="shared" si="10"/>
        <v>abr</v>
      </c>
      <c r="V203">
        <f t="shared" si="11"/>
        <v>2025</v>
      </c>
      <c r="W203">
        <f>_xlfn.XLOOKUP(A203,Absenteismo!A:A,Absenteismo!A:A,0)</f>
        <v>0</v>
      </c>
    </row>
    <row r="204" spans="1:23" hidden="1" x14ac:dyDescent="0.3">
      <c r="A204">
        <v>2053</v>
      </c>
      <c r="B204">
        <v>24</v>
      </c>
      <c r="C204" t="s">
        <v>15</v>
      </c>
      <c r="D204" t="s">
        <v>16</v>
      </c>
      <c r="E204" t="s">
        <v>17</v>
      </c>
      <c r="F204" t="s">
        <v>18</v>
      </c>
      <c r="G204">
        <v>111</v>
      </c>
      <c r="H204">
        <v>6225</v>
      </c>
      <c r="I204" t="s">
        <v>19</v>
      </c>
      <c r="J204" s="2">
        <v>42588</v>
      </c>
      <c r="K204">
        <v>56</v>
      </c>
      <c r="L204" t="s">
        <v>25</v>
      </c>
      <c r="M204">
        <v>20</v>
      </c>
      <c r="N204">
        <v>9</v>
      </c>
      <c r="O204">
        <v>4</v>
      </c>
      <c r="P204" t="s">
        <v>25</v>
      </c>
      <c r="Q204" s="1">
        <v>3</v>
      </c>
      <c r="R204" s="2">
        <v>46174</v>
      </c>
      <c r="S204" s="2"/>
      <c r="T204" s="1" t="str">
        <f t="shared" si="9"/>
        <v>sáb</v>
      </c>
      <c r="U204" s="1" t="str">
        <f t="shared" si="10"/>
        <v>ago</v>
      </c>
      <c r="V204">
        <f t="shared" si="11"/>
        <v>2016</v>
      </c>
      <c r="W204">
        <f>_xlfn.XLOOKUP(A204,Absenteismo!A:A,Absenteismo!A:A,0)</f>
        <v>2053</v>
      </c>
    </row>
    <row r="205" spans="1:23" x14ac:dyDescent="0.3">
      <c r="A205">
        <v>2192</v>
      </c>
      <c r="B205">
        <v>24</v>
      </c>
      <c r="C205" t="s">
        <v>15</v>
      </c>
      <c r="D205" t="s">
        <v>16</v>
      </c>
      <c r="E205" t="s">
        <v>17</v>
      </c>
      <c r="F205" t="s">
        <v>21</v>
      </c>
      <c r="G205">
        <v>57</v>
      </c>
      <c r="H205">
        <v>5428</v>
      </c>
      <c r="I205" t="s">
        <v>24</v>
      </c>
      <c r="J205" s="2">
        <v>44420</v>
      </c>
      <c r="K205">
        <v>47</v>
      </c>
      <c r="L205" t="s">
        <v>20</v>
      </c>
      <c r="M205">
        <v>5</v>
      </c>
      <c r="N205">
        <v>3</v>
      </c>
      <c r="O205">
        <v>5</v>
      </c>
      <c r="P205" t="s">
        <v>25</v>
      </c>
      <c r="Q205" s="1">
        <v>2</v>
      </c>
      <c r="R205" s="2">
        <v>46174</v>
      </c>
      <c r="S205" s="2"/>
      <c r="T205" s="1" t="str">
        <f t="shared" si="9"/>
        <v>qui</v>
      </c>
      <c r="U205" s="1" t="str">
        <f t="shared" si="10"/>
        <v>ago</v>
      </c>
      <c r="V205">
        <f t="shared" si="11"/>
        <v>2021</v>
      </c>
      <c r="W205">
        <f>_xlfn.XLOOKUP(A205,Absenteismo!A:A,Absenteismo!A:A,0)</f>
        <v>0</v>
      </c>
    </row>
    <row r="206" spans="1:23" hidden="1" x14ac:dyDescent="0.3">
      <c r="A206">
        <v>1709</v>
      </c>
      <c r="B206">
        <v>25</v>
      </c>
      <c r="C206" t="s">
        <v>15</v>
      </c>
      <c r="D206" t="s">
        <v>29</v>
      </c>
      <c r="E206" t="s">
        <v>17</v>
      </c>
      <c r="F206" t="s">
        <v>18</v>
      </c>
      <c r="G206">
        <v>23</v>
      </c>
      <c r="H206">
        <v>3858</v>
      </c>
      <c r="I206" t="s">
        <v>33</v>
      </c>
      <c r="J206" s="2">
        <v>45137</v>
      </c>
      <c r="K206">
        <v>35</v>
      </c>
      <c r="L206" t="s">
        <v>20</v>
      </c>
      <c r="M206">
        <v>32</v>
      </c>
      <c r="N206">
        <v>8</v>
      </c>
      <c r="O206">
        <v>4</v>
      </c>
      <c r="P206" t="s">
        <v>20</v>
      </c>
      <c r="Q206" s="1">
        <v>3</v>
      </c>
      <c r="R206" s="2">
        <v>46174</v>
      </c>
      <c r="S206" s="2">
        <v>45838</v>
      </c>
      <c r="T206" s="1" t="str">
        <f t="shared" si="9"/>
        <v>dom</v>
      </c>
      <c r="U206" s="1" t="str">
        <f t="shared" si="10"/>
        <v>jul</v>
      </c>
      <c r="V206">
        <f t="shared" si="11"/>
        <v>2023</v>
      </c>
      <c r="W206">
        <f>_xlfn.XLOOKUP(A206,Absenteismo!A:A,Absenteismo!A:A,0)</f>
        <v>1709</v>
      </c>
    </row>
    <row r="207" spans="1:23" hidden="1" x14ac:dyDescent="0.3">
      <c r="A207">
        <v>1554</v>
      </c>
      <c r="B207">
        <v>25</v>
      </c>
      <c r="C207" t="s">
        <v>15</v>
      </c>
      <c r="D207" t="s">
        <v>16</v>
      </c>
      <c r="E207" t="s">
        <v>17</v>
      </c>
      <c r="F207" t="s">
        <v>21</v>
      </c>
      <c r="G207">
        <v>6</v>
      </c>
      <c r="H207">
        <v>6084</v>
      </c>
      <c r="I207" t="s">
        <v>30</v>
      </c>
      <c r="J207" s="2">
        <v>45668</v>
      </c>
      <c r="K207">
        <v>5</v>
      </c>
      <c r="L207" t="s">
        <v>20</v>
      </c>
      <c r="M207">
        <v>18</v>
      </c>
      <c r="N207">
        <v>12</v>
      </c>
      <c r="O207">
        <v>4</v>
      </c>
      <c r="P207" t="s">
        <v>20</v>
      </c>
      <c r="Q207" s="1">
        <v>2</v>
      </c>
      <c r="R207" s="2">
        <v>46174</v>
      </c>
      <c r="S207" s="2">
        <v>45849</v>
      </c>
      <c r="T207" s="1" t="str">
        <f t="shared" si="9"/>
        <v>sáb</v>
      </c>
      <c r="U207" s="1" t="str">
        <f t="shared" si="10"/>
        <v>jan</v>
      </c>
      <c r="V207">
        <f t="shared" si="11"/>
        <v>2025</v>
      </c>
      <c r="W207">
        <f>_xlfn.XLOOKUP(A207,Absenteismo!A:A,Absenteismo!A:A,0)</f>
        <v>1554</v>
      </c>
    </row>
    <row r="208" spans="1:23" hidden="1" x14ac:dyDescent="0.3">
      <c r="A208">
        <v>1423</v>
      </c>
      <c r="B208">
        <v>25</v>
      </c>
      <c r="C208" t="s">
        <v>15</v>
      </c>
      <c r="D208" t="s">
        <v>29</v>
      </c>
      <c r="E208" t="s">
        <v>17</v>
      </c>
      <c r="F208" t="s">
        <v>23</v>
      </c>
      <c r="G208">
        <v>21</v>
      </c>
      <c r="H208">
        <v>4281</v>
      </c>
      <c r="I208" t="s">
        <v>28</v>
      </c>
      <c r="J208" s="2">
        <v>45312</v>
      </c>
      <c r="K208">
        <v>52</v>
      </c>
      <c r="L208" t="s">
        <v>25</v>
      </c>
      <c r="M208">
        <v>28</v>
      </c>
      <c r="N208">
        <v>0</v>
      </c>
      <c r="O208">
        <v>5</v>
      </c>
      <c r="P208" t="s">
        <v>20</v>
      </c>
      <c r="Q208" s="1">
        <v>1</v>
      </c>
      <c r="R208" s="2">
        <v>46174</v>
      </c>
      <c r="S208" s="2">
        <v>45951</v>
      </c>
      <c r="T208" s="1" t="str">
        <f t="shared" si="9"/>
        <v>dom</v>
      </c>
      <c r="U208" s="1" t="str">
        <f t="shared" si="10"/>
        <v>jan</v>
      </c>
      <c r="V208">
        <f t="shared" si="11"/>
        <v>2024</v>
      </c>
      <c r="W208">
        <f>_xlfn.XLOOKUP(A208,Absenteismo!A:A,Absenteismo!A:A,0)</f>
        <v>1423</v>
      </c>
    </row>
    <row r="209" spans="1:23" x14ac:dyDescent="0.3">
      <c r="A209">
        <v>1120</v>
      </c>
      <c r="B209">
        <v>25</v>
      </c>
      <c r="C209" t="s">
        <v>15</v>
      </c>
      <c r="D209" t="s">
        <v>16</v>
      </c>
      <c r="E209" t="s">
        <v>17</v>
      </c>
      <c r="F209" t="s">
        <v>21</v>
      </c>
      <c r="G209">
        <v>85</v>
      </c>
      <c r="H209">
        <v>3958</v>
      </c>
      <c r="I209" t="s">
        <v>24</v>
      </c>
      <c r="J209" s="2">
        <v>43407</v>
      </c>
      <c r="K209">
        <v>20</v>
      </c>
      <c r="L209" t="s">
        <v>25</v>
      </c>
      <c r="M209">
        <v>25</v>
      </c>
      <c r="N209">
        <v>2</v>
      </c>
      <c r="O209">
        <v>2</v>
      </c>
      <c r="P209" t="s">
        <v>20</v>
      </c>
      <c r="Q209" s="1">
        <v>3</v>
      </c>
      <c r="R209" s="2">
        <v>46174</v>
      </c>
      <c r="S209" s="2">
        <v>45994</v>
      </c>
      <c r="T209" s="1" t="str">
        <f t="shared" si="9"/>
        <v>sáb</v>
      </c>
      <c r="U209" s="1" t="str">
        <f t="shared" si="10"/>
        <v>nov</v>
      </c>
      <c r="V209">
        <f t="shared" si="11"/>
        <v>2018</v>
      </c>
      <c r="W209">
        <f>_xlfn.XLOOKUP(A209,Absenteismo!A:A,Absenteismo!A:A,0)</f>
        <v>0</v>
      </c>
    </row>
    <row r="210" spans="1:23" hidden="1" x14ac:dyDescent="0.3">
      <c r="A210">
        <v>1854</v>
      </c>
      <c r="B210">
        <v>25</v>
      </c>
      <c r="C210" t="s">
        <v>15</v>
      </c>
      <c r="D210" t="s">
        <v>16</v>
      </c>
      <c r="E210" t="s">
        <v>17</v>
      </c>
      <c r="F210" t="s">
        <v>21</v>
      </c>
      <c r="G210">
        <v>6</v>
      </c>
      <c r="H210">
        <v>6084</v>
      </c>
      <c r="I210" t="s">
        <v>30</v>
      </c>
      <c r="J210" s="2">
        <v>45821</v>
      </c>
      <c r="K210">
        <v>5</v>
      </c>
      <c r="L210" t="s">
        <v>20</v>
      </c>
      <c r="M210">
        <v>18</v>
      </c>
      <c r="N210">
        <v>12</v>
      </c>
      <c r="O210">
        <v>4</v>
      </c>
      <c r="P210" t="s">
        <v>20</v>
      </c>
      <c r="Q210" s="1">
        <v>1</v>
      </c>
      <c r="R210" s="2">
        <v>46174</v>
      </c>
      <c r="S210" s="2">
        <v>46004</v>
      </c>
      <c r="T210" s="1" t="str">
        <f t="shared" si="9"/>
        <v>sex</v>
      </c>
      <c r="U210" s="1" t="str">
        <f t="shared" si="10"/>
        <v>jun</v>
      </c>
      <c r="V210">
        <f t="shared" si="11"/>
        <v>2025</v>
      </c>
      <c r="W210">
        <f>_xlfn.XLOOKUP(A210,Absenteismo!A:A,Absenteismo!A:A,0)</f>
        <v>1854</v>
      </c>
    </row>
    <row r="211" spans="1:23" hidden="1" x14ac:dyDescent="0.3">
      <c r="A211">
        <v>1161</v>
      </c>
      <c r="B211">
        <v>25</v>
      </c>
      <c r="C211" t="s">
        <v>15</v>
      </c>
      <c r="D211" t="s">
        <v>27</v>
      </c>
      <c r="E211" t="s">
        <v>17</v>
      </c>
      <c r="F211" t="s">
        <v>21</v>
      </c>
      <c r="G211">
        <v>62</v>
      </c>
      <c r="H211">
        <v>4196</v>
      </c>
      <c r="I211" t="s">
        <v>28</v>
      </c>
      <c r="J211" s="2">
        <v>44143</v>
      </c>
      <c r="K211">
        <v>41</v>
      </c>
      <c r="L211" t="s">
        <v>20</v>
      </c>
      <c r="M211">
        <v>24</v>
      </c>
      <c r="N211">
        <v>2</v>
      </c>
      <c r="O211">
        <v>3</v>
      </c>
      <c r="P211" t="s">
        <v>20</v>
      </c>
      <c r="Q211" s="1">
        <v>1</v>
      </c>
      <c r="R211" s="2">
        <v>46174</v>
      </c>
      <c r="S211" s="2">
        <v>46030</v>
      </c>
      <c r="T211" s="1" t="str">
        <f t="shared" si="9"/>
        <v>dom</v>
      </c>
      <c r="U211" s="1" t="str">
        <f t="shared" si="10"/>
        <v>nov</v>
      </c>
      <c r="V211">
        <f t="shared" si="11"/>
        <v>2020</v>
      </c>
      <c r="W211">
        <f>_xlfn.XLOOKUP(A211,Absenteismo!A:A,Absenteismo!A:A,0)</f>
        <v>1161</v>
      </c>
    </row>
    <row r="212" spans="1:23" hidden="1" x14ac:dyDescent="0.3">
      <c r="A212">
        <v>1254</v>
      </c>
      <c r="B212">
        <v>25</v>
      </c>
      <c r="C212" t="s">
        <v>15</v>
      </c>
      <c r="D212" t="s">
        <v>16</v>
      </c>
      <c r="E212" t="s">
        <v>17</v>
      </c>
      <c r="F212" t="s">
        <v>21</v>
      </c>
      <c r="G212">
        <v>6</v>
      </c>
      <c r="H212">
        <v>6084</v>
      </c>
      <c r="I212" t="s">
        <v>30</v>
      </c>
      <c r="J212" s="2">
        <v>45883</v>
      </c>
      <c r="K212">
        <v>53</v>
      </c>
      <c r="L212" t="s">
        <v>20</v>
      </c>
      <c r="M212">
        <v>18</v>
      </c>
      <c r="N212">
        <v>12</v>
      </c>
      <c r="O212">
        <v>4</v>
      </c>
      <c r="P212" t="s">
        <v>20</v>
      </c>
      <c r="Q212" s="1">
        <v>1</v>
      </c>
      <c r="R212" s="2">
        <v>46174</v>
      </c>
      <c r="S212" s="2">
        <v>46067</v>
      </c>
      <c r="T212" s="1" t="str">
        <f t="shared" si="9"/>
        <v>qui</v>
      </c>
      <c r="U212" s="1" t="str">
        <f t="shared" si="10"/>
        <v>ago</v>
      </c>
      <c r="V212">
        <f t="shared" si="11"/>
        <v>2025</v>
      </c>
      <c r="W212">
        <f>_xlfn.XLOOKUP(A212,Absenteismo!A:A,Absenteismo!A:A,0)</f>
        <v>1254</v>
      </c>
    </row>
    <row r="213" spans="1:23" hidden="1" x14ac:dyDescent="0.3">
      <c r="A213">
        <v>1409</v>
      </c>
      <c r="B213">
        <v>25</v>
      </c>
      <c r="C213" t="s">
        <v>15</v>
      </c>
      <c r="D213" t="s">
        <v>29</v>
      </c>
      <c r="E213" t="s">
        <v>17</v>
      </c>
      <c r="F213" t="s">
        <v>18</v>
      </c>
      <c r="G213">
        <v>23</v>
      </c>
      <c r="H213">
        <v>3858</v>
      </c>
      <c r="I213" t="s">
        <v>33</v>
      </c>
      <c r="J213" s="2">
        <v>45366</v>
      </c>
      <c r="K213">
        <v>35</v>
      </c>
      <c r="L213" t="s">
        <v>20</v>
      </c>
      <c r="M213">
        <v>32</v>
      </c>
      <c r="N213">
        <v>8</v>
      </c>
      <c r="O213">
        <v>4</v>
      </c>
      <c r="P213" t="s">
        <v>20</v>
      </c>
      <c r="Q213" s="1">
        <v>3</v>
      </c>
      <c r="R213" s="2">
        <v>46174</v>
      </c>
      <c r="S213" s="2">
        <v>46068</v>
      </c>
      <c r="T213" s="1" t="str">
        <f t="shared" si="9"/>
        <v>sex</v>
      </c>
      <c r="U213" s="1" t="str">
        <f t="shared" si="10"/>
        <v>mar</v>
      </c>
      <c r="V213">
        <f t="shared" si="11"/>
        <v>2024</v>
      </c>
      <c r="W213">
        <f>_xlfn.XLOOKUP(A213,Absenteismo!A:A,Absenteismo!A:A,0)</f>
        <v>1409</v>
      </c>
    </row>
    <row r="214" spans="1:23" hidden="1" x14ac:dyDescent="0.3">
      <c r="A214">
        <v>1109</v>
      </c>
      <c r="B214">
        <v>25</v>
      </c>
      <c r="C214" t="s">
        <v>15</v>
      </c>
      <c r="D214" t="s">
        <v>29</v>
      </c>
      <c r="E214" t="s">
        <v>17</v>
      </c>
      <c r="F214" t="s">
        <v>18</v>
      </c>
      <c r="G214">
        <v>23</v>
      </c>
      <c r="H214">
        <v>3858</v>
      </c>
      <c r="I214" t="s">
        <v>33</v>
      </c>
      <c r="J214" s="2">
        <v>45395</v>
      </c>
      <c r="K214">
        <v>35</v>
      </c>
      <c r="L214" t="s">
        <v>20</v>
      </c>
      <c r="M214">
        <v>32</v>
      </c>
      <c r="N214">
        <v>8</v>
      </c>
      <c r="O214">
        <v>4</v>
      </c>
      <c r="P214" t="s">
        <v>20</v>
      </c>
      <c r="Q214" s="1">
        <v>1</v>
      </c>
      <c r="R214" s="2">
        <v>46174</v>
      </c>
      <c r="S214" s="2">
        <v>46094</v>
      </c>
      <c r="T214" s="1" t="str">
        <f t="shared" si="9"/>
        <v>sáb</v>
      </c>
      <c r="U214" s="1" t="str">
        <f t="shared" si="10"/>
        <v>abr</v>
      </c>
      <c r="V214">
        <f t="shared" si="11"/>
        <v>2024</v>
      </c>
      <c r="W214">
        <f>_xlfn.XLOOKUP(A214,Absenteismo!A:A,Absenteismo!A:A,0)</f>
        <v>1109</v>
      </c>
    </row>
    <row r="215" spans="1:23" hidden="1" x14ac:dyDescent="0.3">
      <c r="A215">
        <v>1050</v>
      </c>
      <c r="B215">
        <v>25</v>
      </c>
      <c r="C215" t="s">
        <v>15</v>
      </c>
      <c r="D215" t="s">
        <v>29</v>
      </c>
      <c r="E215" t="s">
        <v>17</v>
      </c>
      <c r="F215" t="s">
        <v>18</v>
      </c>
      <c r="G215">
        <v>99</v>
      </c>
      <c r="H215">
        <v>5821</v>
      </c>
      <c r="I215" t="s">
        <v>19</v>
      </c>
      <c r="J215" s="2">
        <v>42959</v>
      </c>
      <c r="K215">
        <v>39</v>
      </c>
      <c r="L215" t="s">
        <v>20</v>
      </c>
      <c r="M215">
        <v>7</v>
      </c>
      <c r="N215">
        <v>12</v>
      </c>
      <c r="O215">
        <v>3</v>
      </c>
      <c r="P215" t="s">
        <v>25</v>
      </c>
      <c r="Q215" s="1">
        <v>3</v>
      </c>
      <c r="R215" s="2">
        <v>46174</v>
      </c>
      <c r="S215" s="2"/>
      <c r="T215" s="1" t="str">
        <f t="shared" si="9"/>
        <v>sáb</v>
      </c>
      <c r="U215" s="1" t="str">
        <f t="shared" si="10"/>
        <v>ago</v>
      </c>
      <c r="V215">
        <f t="shared" si="11"/>
        <v>2017</v>
      </c>
      <c r="W215">
        <f>_xlfn.XLOOKUP(A215,Absenteismo!A:A,Absenteismo!A:A,0)</f>
        <v>1050</v>
      </c>
    </row>
    <row r="216" spans="1:23" x14ac:dyDescent="0.3">
      <c r="A216">
        <v>1073</v>
      </c>
      <c r="B216">
        <v>25</v>
      </c>
      <c r="C216" t="s">
        <v>26</v>
      </c>
      <c r="D216" t="s">
        <v>31</v>
      </c>
      <c r="E216" t="s">
        <v>32</v>
      </c>
      <c r="F216" t="s">
        <v>18</v>
      </c>
      <c r="G216">
        <v>120</v>
      </c>
      <c r="H216">
        <v>5190</v>
      </c>
      <c r="I216" t="s">
        <v>28</v>
      </c>
      <c r="J216" s="2">
        <v>42516</v>
      </c>
      <c r="K216">
        <v>46</v>
      </c>
      <c r="L216" t="s">
        <v>20</v>
      </c>
      <c r="M216">
        <v>30</v>
      </c>
      <c r="N216">
        <v>7</v>
      </c>
      <c r="O216">
        <v>3</v>
      </c>
      <c r="P216" t="s">
        <v>25</v>
      </c>
      <c r="Q216" s="1">
        <v>2</v>
      </c>
      <c r="R216" s="2">
        <v>46174</v>
      </c>
      <c r="S216" s="2"/>
      <c r="T216" s="1" t="str">
        <f t="shared" si="9"/>
        <v>qui</v>
      </c>
      <c r="U216" s="1" t="str">
        <f t="shared" si="10"/>
        <v>mai</v>
      </c>
      <c r="V216">
        <f t="shared" si="11"/>
        <v>2016</v>
      </c>
      <c r="W216">
        <f>_xlfn.XLOOKUP(A216,Absenteismo!A:A,Absenteismo!A:A,0)</f>
        <v>0</v>
      </c>
    </row>
    <row r="217" spans="1:23" x14ac:dyDescent="0.3">
      <c r="A217">
        <v>1162</v>
      </c>
      <c r="B217">
        <v>25</v>
      </c>
      <c r="C217" t="s">
        <v>15</v>
      </c>
      <c r="D217" t="s">
        <v>16</v>
      </c>
      <c r="E217" t="s">
        <v>17</v>
      </c>
      <c r="F217" t="s">
        <v>18</v>
      </c>
      <c r="G217">
        <v>54</v>
      </c>
      <c r="H217">
        <v>4040</v>
      </c>
      <c r="I217" t="s">
        <v>33</v>
      </c>
      <c r="J217" s="2">
        <v>44455</v>
      </c>
      <c r="K217">
        <v>55</v>
      </c>
      <c r="L217" t="s">
        <v>20</v>
      </c>
      <c r="M217">
        <v>32</v>
      </c>
      <c r="N217">
        <v>12</v>
      </c>
      <c r="O217">
        <v>5</v>
      </c>
      <c r="P217" t="s">
        <v>25</v>
      </c>
      <c r="Q217" s="1">
        <v>2</v>
      </c>
      <c r="R217" s="2">
        <v>46174</v>
      </c>
      <c r="S217" s="2"/>
      <c r="T217" s="1" t="str">
        <f t="shared" si="9"/>
        <v>qui</v>
      </c>
      <c r="U217" s="1" t="str">
        <f t="shared" si="10"/>
        <v>set</v>
      </c>
      <c r="V217">
        <f t="shared" si="11"/>
        <v>2021</v>
      </c>
      <c r="W217">
        <f>_xlfn.XLOOKUP(A217,Absenteismo!A:A,Absenteismo!A:A,0)</f>
        <v>0</v>
      </c>
    </row>
    <row r="218" spans="1:23" hidden="1" x14ac:dyDescent="0.3">
      <c r="A218">
        <v>1350</v>
      </c>
      <c r="B218">
        <v>25</v>
      </c>
      <c r="C218" t="s">
        <v>15</v>
      </c>
      <c r="D218" t="s">
        <v>29</v>
      </c>
      <c r="E218" t="s">
        <v>17</v>
      </c>
      <c r="F218" t="s">
        <v>18</v>
      </c>
      <c r="G218">
        <v>99</v>
      </c>
      <c r="H218">
        <v>5821</v>
      </c>
      <c r="I218" t="s">
        <v>19</v>
      </c>
      <c r="J218" s="2">
        <v>42924</v>
      </c>
      <c r="K218">
        <v>39</v>
      </c>
      <c r="L218" t="s">
        <v>20</v>
      </c>
      <c r="M218">
        <v>7</v>
      </c>
      <c r="N218">
        <v>12</v>
      </c>
      <c r="O218">
        <v>3</v>
      </c>
      <c r="P218" t="s">
        <v>25</v>
      </c>
      <c r="Q218" s="1">
        <v>3</v>
      </c>
      <c r="R218" s="2">
        <v>46174</v>
      </c>
      <c r="S218" s="2"/>
      <c r="T218" s="1" t="str">
        <f t="shared" si="9"/>
        <v>sáb</v>
      </c>
      <c r="U218" s="1" t="str">
        <f t="shared" si="10"/>
        <v>jul</v>
      </c>
      <c r="V218">
        <f t="shared" si="11"/>
        <v>2017</v>
      </c>
      <c r="W218">
        <f>_xlfn.XLOOKUP(A218,Absenteismo!A:A,Absenteismo!A:A,0)</f>
        <v>1350</v>
      </c>
    </row>
    <row r="219" spans="1:23" hidden="1" x14ac:dyDescent="0.3">
      <c r="A219">
        <v>1373</v>
      </c>
      <c r="B219">
        <v>25</v>
      </c>
      <c r="C219" t="s">
        <v>26</v>
      </c>
      <c r="D219" t="s">
        <v>31</v>
      </c>
      <c r="E219" t="s">
        <v>32</v>
      </c>
      <c r="F219" t="s">
        <v>18</v>
      </c>
      <c r="G219">
        <v>120</v>
      </c>
      <c r="H219">
        <v>5190</v>
      </c>
      <c r="I219" t="s">
        <v>28</v>
      </c>
      <c r="J219" s="2">
        <v>42241</v>
      </c>
      <c r="K219">
        <v>46</v>
      </c>
      <c r="L219" t="s">
        <v>20</v>
      </c>
      <c r="M219">
        <v>30</v>
      </c>
      <c r="N219">
        <v>7</v>
      </c>
      <c r="O219">
        <v>3</v>
      </c>
      <c r="P219" t="s">
        <v>25</v>
      </c>
      <c r="Q219" s="1">
        <v>3</v>
      </c>
      <c r="R219" s="2">
        <v>46174</v>
      </c>
      <c r="S219" s="2"/>
      <c r="T219" s="1" t="str">
        <f t="shared" si="9"/>
        <v>ter</v>
      </c>
      <c r="U219" s="1" t="str">
        <f t="shared" si="10"/>
        <v>ago</v>
      </c>
      <c r="V219">
        <f t="shared" si="11"/>
        <v>2015</v>
      </c>
      <c r="W219">
        <f>_xlfn.XLOOKUP(A219,Absenteismo!A:A,Absenteismo!A:A,0)</f>
        <v>1373</v>
      </c>
    </row>
    <row r="220" spans="1:23" hidden="1" x14ac:dyDescent="0.3">
      <c r="A220">
        <v>1462</v>
      </c>
      <c r="B220">
        <v>25</v>
      </c>
      <c r="C220" t="s">
        <v>15</v>
      </c>
      <c r="D220" t="s">
        <v>16</v>
      </c>
      <c r="E220" t="s">
        <v>17</v>
      </c>
      <c r="F220" t="s">
        <v>18</v>
      </c>
      <c r="G220">
        <v>54</v>
      </c>
      <c r="H220">
        <v>4040</v>
      </c>
      <c r="I220" t="s">
        <v>33</v>
      </c>
      <c r="J220" s="2">
        <v>44216</v>
      </c>
      <c r="K220">
        <v>55</v>
      </c>
      <c r="L220" t="s">
        <v>20</v>
      </c>
      <c r="M220">
        <v>32</v>
      </c>
      <c r="N220">
        <v>12</v>
      </c>
      <c r="O220">
        <v>5</v>
      </c>
      <c r="P220" t="s">
        <v>25</v>
      </c>
      <c r="Q220" s="1">
        <v>1</v>
      </c>
      <c r="R220" s="2">
        <v>46174</v>
      </c>
      <c r="S220" s="2"/>
      <c r="T220" s="1" t="str">
        <f t="shared" si="9"/>
        <v>qua</v>
      </c>
      <c r="U220" s="1" t="str">
        <f t="shared" si="10"/>
        <v>jan</v>
      </c>
      <c r="V220">
        <f t="shared" si="11"/>
        <v>2021</v>
      </c>
      <c r="W220">
        <f>_xlfn.XLOOKUP(A220,Absenteismo!A:A,Absenteismo!A:A,0)</f>
        <v>1462</v>
      </c>
    </row>
    <row r="221" spans="1:23" hidden="1" x14ac:dyDescent="0.3">
      <c r="A221">
        <v>1650</v>
      </c>
      <c r="B221">
        <v>25</v>
      </c>
      <c r="C221" t="s">
        <v>15</v>
      </c>
      <c r="D221" t="s">
        <v>29</v>
      </c>
      <c r="E221" t="s">
        <v>17</v>
      </c>
      <c r="F221" t="s">
        <v>18</v>
      </c>
      <c r="G221">
        <v>99</v>
      </c>
      <c r="H221">
        <v>5821</v>
      </c>
      <c r="I221" t="s">
        <v>19</v>
      </c>
      <c r="J221" s="2">
        <v>42760</v>
      </c>
      <c r="K221">
        <v>39</v>
      </c>
      <c r="L221" t="s">
        <v>20</v>
      </c>
      <c r="M221">
        <v>7</v>
      </c>
      <c r="N221">
        <v>12</v>
      </c>
      <c r="O221">
        <v>3</v>
      </c>
      <c r="P221" t="s">
        <v>25</v>
      </c>
      <c r="Q221" s="1">
        <v>1</v>
      </c>
      <c r="R221" s="2">
        <v>46174</v>
      </c>
      <c r="S221" s="2"/>
      <c r="T221" s="1" t="str">
        <f t="shared" si="9"/>
        <v>qua</v>
      </c>
      <c r="U221" s="1" t="str">
        <f t="shared" si="10"/>
        <v>jan</v>
      </c>
      <c r="V221">
        <f t="shared" si="11"/>
        <v>2017</v>
      </c>
      <c r="W221">
        <f>_xlfn.XLOOKUP(A221,Absenteismo!A:A,Absenteismo!A:A,0)</f>
        <v>1650</v>
      </c>
    </row>
    <row r="222" spans="1:23" x14ac:dyDescent="0.3">
      <c r="A222">
        <v>1673</v>
      </c>
      <c r="B222">
        <v>25</v>
      </c>
      <c r="C222" t="s">
        <v>26</v>
      </c>
      <c r="D222" t="s">
        <v>31</v>
      </c>
      <c r="E222" t="s">
        <v>32</v>
      </c>
      <c r="F222" t="s">
        <v>18</v>
      </c>
      <c r="G222">
        <v>120</v>
      </c>
      <c r="H222">
        <v>5190</v>
      </c>
      <c r="I222" t="s">
        <v>28</v>
      </c>
      <c r="J222" s="2">
        <v>42266</v>
      </c>
      <c r="K222">
        <v>46</v>
      </c>
      <c r="L222" t="s">
        <v>20</v>
      </c>
      <c r="M222">
        <v>30</v>
      </c>
      <c r="N222">
        <v>7</v>
      </c>
      <c r="O222">
        <v>3</v>
      </c>
      <c r="P222" t="s">
        <v>25</v>
      </c>
      <c r="Q222" s="1">
        <v>2</v>
      </c>
      <c r="R222" s="2">
        <v>46174</v>
      </c>
      <c r="S222" s="2"/>
      <c r="T222" s="1" t="str">
        <f t="shared" si="9"/>
        <v>sáb</v>
      </c>
      <c r="U222" s="1" t="str">
        <f t="shared" si="10"/>
        <v>set</v>
      </c>
      <c r="V222">
        <f t="shared" si="11"/>
        <v>2015</v>
      </c>
      <c r="W222">
        <f>_xlfn.XLOOKUP(A222,Absenteismo!A:A,Absenteismo!A:A,0)</f>
        <v>0</v>
      </c>
    </row>
    <row r="223" spans="1:23" hidden="1" x14ac:dyDescent="0.3">
      <c r="A223">
        <v>1762</v>
      </c>
      <c r="B223">
        <v>25</v>
      </c>
      <c r="C223" t="s">
        <v>15</v>
      </c>
      <c r="D223" t="s">
        <v>16</v>
      </c>
      <c r="E223" t="s">
        <v>17</v>
      </c>
      <c r="F223" t="s">
        <v>18</v>
      </c>
      <c r="G223">
        <v>54</v>
      </c>
      <c r="H223">
        <v>4040</v>
      </c>
      <c r="I223" t="s">
        <v>33</v>
      </c>
      <c r="J223" s="2">
        <v>44397</v>
      </c>
      <c r="K223">
        <v>55</v>
      </c>
      <c r="L223" t="s">
        <v>20</v>
      </c>
      <c r="M223">
        <v>32</v>
      </c>
      <c r="N223">
        <v>12</v>
      </c>
      <c r="O223">
        <v>5</v>
      </c>
      <c r="P223" t="s">
        <v>25</v>
      </c>
      <c r="Q223" s="1">
        <v>2</v>
      </c>
      <c r="R223" s="2">
        <v>46174</v>
      </c>
      <c r="S223" s="2"/>
      <c r="T223" s="1" t="str">
        <f t="shared" si="9"/>
        <v>ter</v>
      </c>
      <c r="U223" s="1" t="str">
        <f t="shared" si="10"/>
        <v>jul</v>
      </c>
      <c r="V223">
        <f t="shared" si="11"/>
        <v>2021</v>
      </c>
      <c r="W223">
        <f>_xlfn.XLOOKUP(A223,Absenteismo!A:A,Absenteismo!A:A,0)</f>
        <v>1762</v>
      </c>
    </row>
    <row r="224" spans="1:23" hidden="1" x14ac:dyDescent="0.3">
      <c r="A224">
        <v>1950</v>
      </c>
      <c r="B224">
        <v>25</v>
      </c>
      <c r="C224" t="s">
        <v>15</v>
      </c>
      <c r="D224" t="s">
        <v>29</v>
      </c>
      <c r="E224" t="s">
        <v>17</v>
      </c>
      <c r="F224" t="s">
        <v>18</v>
      </c>
      <c r="G224">
        <v>99</v>
      </c>
      <c r="H224">
        <v>5821</v>
      </c>
      <c r="I224" t="s">
        <v>19</v>
      </c>
      <c r="J224" s="2">
        <v>42744</v>
      </c>
      <c r="K224">
        <v>39</v>
      </c>
      <c r="L224" t="s">
        <v>20</v>
      </c>
      <c r="M224">
        <v>7</v>
      </c>
      <c r="N224">
        <v>12</v>
      </c>
      <c r="O224">
        <v>3</v>
      </c>
      <c r="P224" t="s">
        <v>25</v>
      </c>
      <c r="Q224" s="1">
        <v>1</v>
      </c>
      <c r="R224" s="2">
        <v>46174</v>
      </c>
      <c r="S224" s="2"/>
      <c r="T224" s="1" t="str">
        <f t="shared" si="9"/>
        <v>seg</v>
      </c>
      <c r="U224" s="1" t="str">
        <f t="shared" si="10"/>
        <v>jan</v>
      </c>
      <c r="V224">
        <f t="shared" si="11"/>
        <v>2017</v>
      </c>
      <c r="W224">
        <f>_xlfn.XLOOKUP(A224,Absenteismo!A:A,Absenteismo!A:A,0)</f>
        <v>1950</v>
      </c>
    </row>
    <row r="225" spans="1:23" hidden="1" x14ac:dyDescent="0.3">
      <c r="A225">
        <v>1973</v>
      </c>
      <c r="B225">
        <v>25</v>
      </c>
      <c r="C225" t="s">
        <v>26</v>
      </c>
      <c r="D225" t="s">
        <v>31</v>
      </c>
      <c r="E225" t="s">
        <v>32</v>
      </c>
      <c r="F225" t="s">
        <v>18</v>
      </c>
      <c r="G225">
        <v>120</v>
      </c>
      <c r="H225">
        <v>5190</v>
      </c>
      <c r="I225" t="s">
        <v>28</v>
      </c>
      <c r="J225" s="2">
        <v>42479</v>
      </c>
      <c r="K225">
        <v>46</v>
      </c>
      <c r="L225" t="s">
        <v>20</v>
      </c>
      <c r="M225">
        <v>30</v>
      </c>
      <c r="N225">
        <v>7</v>
      </c>
      <c r="O225">
        <v>3</v>
      </c>
      <c r="P225" t="s">
        <v>25</v>
      </c>
      <c r="Q225" s="1">
        <v>3</v>
      </c>
      <c r="R225" s="2">
        <v>46174</v>
      </c>
      <c r="S225" s="2"/>
      <c r="T225" s="1" t="str">
        <f t="shared" si="9"/>
        <v>ter</v>
      </c>
      <c r="U225" s="1" t="str">
        <f t="shared" si="10"/>
        <v>abr</v>
      </c>
      <c r="V225">
        <f t="shared" si="11"/>
        <v>2016</v>
      </c>
      <c r="W225">
        <f>_xlfn.XLOOKUP(A225,Absenteismo!A:A,Absenteismo!A:A,0)</f>
        <v>1973</v>
      </c>
    </row>
    <row r="226" spans="1:23" hidden="1" x14ac:dyDescent="0.3">
      <c r="A226">
        <v>2062</v>
      </c>
      <c r="B226">
        <v>25</v>
      </c>
      <c r="C226" t="s">
        <v>15</v>
      </c>
      <c r="D226" t="s">
        <v>16</v>
      </c>
      <c r="E226" t="s">
        <v>17</v>
      </c>
      <c r="F226" t="s">
        <v>18</v>
      </c>
      <c r="G226">
        <v>54</v>
      </c>
      <c r="H226">
        <v>4040</v>
      </c>
      <c r="I226" t="s">
        <v>33</v>
      </c>
      <c r="J226" s="2">
        <v>44541</v>
      </c>
      <c r="K226">
        <v>55</v>
      </c>
      <c r="L226" t="s">
        <v>20</v>
      </c>
      <c r="M226">
        <v>32</v>
      </c>
      <c r="N226">
        <v>12</v>
      </c>
      <c r="O226">
        <v>5</v>
      </c>
      <c r="P226" t="s">
        <v>25</v>
      </c>
      <c r="Q226" s="1">
        <v>1</v>
      </c>
      <c r="R226" s="2">
        <v>46174</v>
      </c>
      <c r="S226" s="2"/>
      <c r="T226" s="1" t="str">
        <f t="shared" si="9"/>
        <v>sáb</v>
      </c>
      <c r="U226" s="1" t="str">
        <f t="shared" si="10"/>
        <v>dez</v>
      </c>
      <c r="V226">
        <f t="shared" si="11"/>
        <v>2021</v>
      </c>
      <c r="W226">
        <f>_xlfn.XLOOKUP(A226,Absenteismo!A:A,Absenteismo!A:A,0)</f>
        <v>2062</v>
      </c>
    </row>
    <row r="227" spans="1:23" hidden="1" x14ac:dyDescent="0.3">
      <c r="A227">
        <v>2009</v>
      </c>
      <c r="B227">
        <v>25</v>
      </c>
      <c r="C227" t="s">
        <v>15</v>
      </c>
      <c r="D227" t="s">
        <v>29</v>
      </c>
      <c r="E227" t="s">
        <v>17</v>
      </c>
      <c r="F227" t="s">
        <v>18</v>
      </c>
      <c r="G227">
        <v>23</v>
      </c>
      <c r="H227">
        <v>3858</v>
      </c>
      <c r="I227" t="s">
        <v>33</v>
      </c>
      <c r="J227" s="2">
        <v>45431</v>
      </c>
      <c r="K227">
        <v>35</v>
      </c>
      <c r="L227" t="s">
        <v>20</v>
      </c>
      <c r="M227">
        <v>32</v>
      </c>
      <c r="N227">
        <v>8</v>
      </c>
      <c r="O227">
        <v>4</v>
      </c>
      <c r="P227" t="s">
        <v>25</v>
      </c>
      <c r="Q227" s="1">
        <v>1</v>
      </c>
      <c r="R227" s="2">
        <v>46174</v>
      </c>
      <c r="S227" s="2"/>
      <c r="T227" s="1" t="str">
        <f t="shared" si="9"/>
        <v>dom</v>
      </c>
      <c r="U227" s="1" t="str">
        <f t="shared" si="10"/>
        <v>mai</v>
      </c>
      <c r="V227">
        <f t="shared" si="11"/>
        <v>2024</v>
      </c>
      <c r="W227">
        <f>_xlfn.XLOOKUP(A227,Absenteismo!A:A,Absenteismo!A:A,0)</f>
        <v>2009</v>
      </c>
    </row>
    <row r="228" spans="1:23" hidden="1" x14ac:dyDescent="0.3">
      <c r="A228">
        <v>2154</v>
      </c>
      <c r="B228">
        <v>25</v>
      </c>
      <c r="C228" t="s">
        <v>15</v>
      </c>
      <c r="D228" t="s">
        <v>16</v>
      </c>
      <c r="E228" t="s">
        <v>17</v>
      </c>
      <c r="F228" t="s">
        <v>21</v>
      </c>
      <c r="G228">
        <v>6</v>
      </c>
      <c r="H228">
        <v>6084</v>
      </c>
      <c r="I228" t="s">
        <v>30</v>
      </c>
      <c r="J228" s="2">
        <v>45996</v>
      </c>
      <c r="K228">
        <v>57</v>
      </c>
      <c r="L228" t="s">
        <v>20</v>
      </c>
      <c r="M228">
        <v>18</v>
      </c>
      <c r="N228">
        <v>12</v>
      </c>
      <c r="O228">
        <v>4</v>
      </c>
      <c r="P228" t="s">
        <v>25</v>
      </c>
      <c r="Q228" s="1">
        <v>1</v>
      </c>
      <c r="R228" s="2">
        <v>46174</v>
      </c>
      <c r="S228" s="2"/>
      <c r="T228" s="1" t="str">
        <f t="shared" si="9"/>
        <v>sex</v>
      </c>
      <c r="U228" s="1" t="str">
        <f t="shared" si="10"/>
        <v>dez</v>
      </c>
      <c r="V228">
        <f t="shared" si="11"/>
        <v>2025</v>
      </c>
      <c r="W228">
        <f>_xlfn.XLOOKUP(A228,Absenteismo!A:A,Absenteismo!A:A,0)</f>
        <v>2154</v>
      </c>
    </row>
    <row r="229" spans="1:23" hidden="1" x14ac:dyDescent="0.3">
      <c r="A229">
        <v>1704</v>
      </c>
      <c r="B229">
        <v>26</v>
      </c>
      <c r="C229" t="s">
        <v>15</v>
      </c>
      <c r="D229" t="s">
        <v>27</v>
      </c>
      <c r="E229" t="s">
        <v>17</v>
      </c>
      <c r="F229" t="s">
        <v>21</v>
      </c>
      <c r="G229">
        <v>107</v>
      </c>
      <c r="H229">
        <v>4990</v>
      </c>
      <c r="I229" t="s">
        <v>30</v>
      </c>
      <c r="J229" s="2">
        <v>42516</v>
      </c>
      <c r="K229">
        <v>12</v>
      </c>
      <c r="L229" t="s">
        <v>20</v>
      </c>
      <c r="M229">
        <v>19</v>
      </c>
      <c r="N229">
        <v>5</v>
      </c>
      <c r="O229">
        <v>4</v>
      </c>
      <c r="P229" t="s">
        <v>20</v>
      </c>
      <c r="Q229" s="1">
        <v>3</v>
      </c>
      <c r="R229" s="2">
        <v>46174</v>
      </c>
      <c r="S229" s="2">
        <v>45773</v>
      </c>
      <c r="T229" s="1" t="str">
        <f t="shared" si="9"/>
        <v>qui</v>
      </c>
      <c r="U229" s="1" t="str">
        <f t="shared" si="10"/>
        <v>mai</v>
      </c>
      <c r="V229">
        <f t="shared" si="11"/>
        <v>2016</v>
      </c>
      <c r="W229">
        <f>_xlfn.XLOOKUP(A229,Absenteismo!A:A,Absenteismo!A:A,0)</f>
        <v>1704</v>
      </c>
    </row>
    <row r="230" spans="1:23" hidden="1" x14ac:dyDescent="0.3">
      <c r="A230">
        <v>1826</v>
      </c>
      <c r="B230">
        <v>26</v>
      </c>
      <c r="C230" t="s">
        <v>26</v>
      </c>
      <c r="D230" t="s">
        <v>29</v>
      </c>
      <c r="E230" t="s">
        <v>17</v>
      </c>
      <c r="F230" t="s">
        <v>18</v>
      </c>
      <c r="G230">
        <v>82</v>
      </c>
      <c r="H230">
        <v>7202</v>
      </c>
      <c r="I230" t="s">
        <v>19</v>
      </c>
      <c r="J230" s="2">
        <v>43339</v>
      </c>
      <c r="K230">
        <v>36</v>
      </c>
      <c r="L230" t="s">
        <v>20</v>
      </c>
      <c r="M230">
        <v>18</v>
      </c>
      <c r="N230">
        <v>2</v>
      </c>
      <c r="O230">
        <v>3</v>
      </c>
      <c r="P230" t="s">
        <v>20</v>
      </c>
      <c r="Q230" s="1">
        <v>1</v>
      </c>
      <c r="R230" s="2">
        <v>46174</v>
      </c>
      <c r="S230" s="2">
        <v>45835</v>
      </c>
      <c r="T230" s="1" t="str">
        <f t="shared" si="9"/>
        <v>seg</v>
      </c>
      <c r="U230" s="1" t="str">
        <f t="shared" si="10"/>
        <v>ago</v>
      </c>
      <c r="V230">
        <f t="shared" si="11"/>
        <v>2018</v>
      </c>
      <c r="W230">
        <f>_xlfn.XLOOKUP(A230,Absenteismo!A:A,Absenteismo!A:A,0)</f>
        <v>1826</v>
      </c>
    </row>
    <row r="231" spans="1:23" hidden="1" x14ac:dyDescent="0.3">
      <c r="A231">
        <v>1526</v>
      </c>
      <c r="B231">
        <v>26</v>
      </c>
      <c r="C231" t="s">
        <v>26</v>
      </c>
      <c r="D231" t="s">
        <v>29</v>
      </c>
      <c r="E231" t="s">
        <v>17</v>
      </c>
      <c r="F231" t="s">
        <v>18</v>
      </c>
      <c r="G231">
        <v>82</v>
      </c>
      <c r="H231">
        <v>7202</v>
      </c>
      <c r="I231" t="s">
        <v>19</v>
      </c>
      <c r="J231" s="2">
        <v>43349</v>
      </c>
      <c r="K231">
        <v>36</v>
      </c>
      <c r="L231" t="s">
        <v>20</v>
      </c>
      <c r="M231">
        <v>18</v>
      </c>
      <c r="N231">
        <v>2</v>
      </c>
      <c r="O231">
        <v>3</v>
      </c>
      <c r="P231" t="s">
        <v>20</v>
      </c>
      <c r="Q231" s="1">
        <v>3</v>
      </c>
      <c r="R231" s="2">
        <v>46174</v>
      </c>
      <c r="S231" s="2">
        <v>45844</v>
      </c>
      <c r="T231" s="1" t="str">
        <f t="shared" si="9"/>
        <v>qui</v>
      </c>
      <c r="U231" s="1" t="str">
        <f t="shared" si="10"/>
        <v>set</v>
      </c>
      <c r="V231">
        <f t="shared" si="11"/>
        <v>2018</v>
      </c>
      <c r="W231">
        <f>_xlfn.XLOOKUP(A231,Absenteismo!A:A,Absenteismo!A:A,0)</f>
        <v>1526</v>
      </c>
    </row>
    <row r="232" spans="1:23" x14ac:dyDescent="0.3">
      <c r="A232">
        <v>1559</v>
      </c>
      <c r="B232">
        <v>26</v>
      </c>
      <c r="C232" t="s">
        <v>15</v>
      </c>
      <c r="D232" t="s">
        <v>16</v>
      </c>
      <c r="E232" t="s">
        <v>17</v>
      </c>
      <c r="F232" t="s">
        <v>18</v>
      </c>
      <c r="G232">
        <v>119</v>
      </c>
      <c r="H232">
        <v>6019</v>
      </c>
      <c r="I232" t="s">
        <v>24</v>
      </c>
      <c r="J232" s="2">
        <v>42226</v>
      </c>
      <c r="K232">
        <v>21</v>
      </c>
      <c r="L232" t="s">
        <v>20</v>
      </c>
      <c r="M232">
        <v>14</v>
      </c>
      <c r="N232">
        <v>1</v>
      </c>
      <c r="O232">
        <v>3</v>
      </c>
      <c r="P232" t="s">
        <v>20</v>
      </c>
      <c r="Q232" s="1">
        <v>3</v>
      </c>
      <c r="R232" s="2">
        <v>46174</v>
      </c>
      <c r="S232" s="2">
        <v>45848</v>
      </c>
      <c r="T232" s="1" t="str">
        <f t="shared" si="9"/>
        <v>seg</v>
      </c>
      <c r="U232" s="1" t="str">
        <f t="shared" si="10"/>
        <v>ago</v>
      </c>
      <c r="V232">
        <f t="shared" si="11"/>
        <v>2015</v>
      </c>
      <c r="W232">
        <f>_xlfn.XLOOKUP(A232,Absenteismo!A:A,Absenteismo!A:A,0)</f>
        <v>0</v>
      </c>
    </row>
    <row r="233" spans="1:23" x14ac:dyDescent="0.3">
      <c r="A233">
        <v>1420</v>
      </c>
      <c r="B233">
        <v>26</v>
      </c>
      <c r="C233" t="s">
        <v>15</v>
      </c>
      <c r="D233" t="s">
        <v>16</v>
      </c>
      <c r="E233" t="s">
        <v>17</v>
      </c>
      <c r="F233" t="s">
        <v>21</v>
      </c>
      <c r="G233">
        <v>85</v>
      </c>
      <c r="H233">
        <v>3958</v>
      </c>
      <c r="I233" t="s">
        <v>24</v>
      </c>
      <c r="J233" s="2">
        <v>43270</v>
      </c>
      <c r="K233">
        <v>20</v>
      </c>
      <c r="L233" t="s">
        <v>25</v>
      </c>
      <c r="M233">
        <v>25</v>
      </c>
      <c r="N233">
        <v>2</v>
      </c>
      <c r="O233">
        <v>2</v>
      </c>
      <c r="P233" t="s">
        <v>20</v>
      </c>
      <c r="Q233" s="1">
        <v>2</v>
      </c>
      <c r="R233" s="2">
        <v>46174</v>
      </c>
      <c r="S233" s="2">
        <v>45857</v>
      </c>
      <c r="T233" s="1" t="str">
        <f t="shared" si="9"/>
        <v>ter</v>
      </c>
      <c r="U233" s="1" t="str">
        <f t="shared" si="10"/>
        <v>jun</v>
      </c>
      <c r="V233">
        <f t="shared" si="11"/>
        <v>2018</v>
      </c>
      <c r="W233">
        <f>_xlfn.XLOOKUP(A233,Absenteismo!A:A,Absenteismo!A:A,0)</f>
        <v>0</v>
      </c>
    </row>
    <row r="234" spans="1:23" hidden="1" x14ac:dyDescent="0.3">
      <c r="A234">
        <v>1461</v>
      </c>
      <c r="B234">
        <v>26</v>
      </c>
      <c r="C234" t="s">
        <v>15</v>
      </c>
      <c r="D234" t="s">
        <v>27</v>
      </c>
      <c r="E234" t="s">
        <v>17</v>
      </c>
      <c r="F234" t="s">
        <v>21</v>
      </c>
      <c r="G234">
        <v>62</v>
      </c>
      <c r="H234">
        <v>4196</v>
      </c>
      <c r="I234" t="s">
        <v>28</v>
      </c>
      <c r="J234" s="2">
        <v>44026</v>
      </c>
      <c r="K234">
        <v>41</v>
      </c>
      <c r="L234" t="s">
        <v>20</v>
      </c>
      <c r="M234">
        <v>24</v>
      </c>
      <c r="N234">
        <v>2</v>
      </c>
      <c r="O234">
        <v>3</v>
      </c>
      <c r="P234" t="s">
        <v>20</v>
      </c>
      <c r="Q234" s="1">
        <v>2</v>
      </c>
      <c r="R234" s="2">
        <v>46174</v>
      </c>
      <c r="S234" s="2">
        <v>45914</v>
      </c>
      <c r="T234" s="1" t="str">
        <f t="shared" si="9"/>
        <v>ter</v>
      </c>
      <c r="U234" s="1" t="str">
        <f t="shared" si="10"/>
        <v>jul</v>
      </c>
      <c r="V234">
        <f t="shared" si="11"/>
        <v>2020</v>
      </c>
      <c r="W234">
        <f>_xlfn.XLOOKUP(A234,Absenteismo!A:A,Absenteismo!A:A,0)</f>
        <v>1461</v>
      </c>
    </row>
    <row r="235" spans="1:23" x14ac:dyDescent="0.3">
      <c r="A235">
        <v>1859</v>
      </c>
      <c r="B235">
        <v>26</v>
      </c>
      <c r="C235" t="s">
        <v>15</v>
      </c>
      <c r="D235" t="s">
        <v>16</v>
      </c>
      <c r="E235" t="s">
        <v>17</v>
      </c>
      <c r="F235" t="s">
        <v>18</v>
      </c>
      <c r="G235">
        <v>119</v>
      </c>
      <c r="H235">
        <v>6019</v>
      </c>
      <c r="I235" t="s">
        <v>24</v>
      </c>
      <c r="J235" s="2">
        <v>42310</v>
      </c>
      <c r="K235">
        <v>21</v>
      </c>
      <c r="L235" t="s">
        <v>20</v>
      </c>
      <c r="M235">
        <v>14</v>
      </c>
      <c r="N235">
        <v>1</v>
      </c>
      <c r="O235">
        <v>3</v>
      </c>
      <c r="P235" t="s">
        <v>20</v>
      </c>
      <c r="Q235" s="1">
        <v>2</v>
      </c>
      <c r="R235" s="2">
        <v>46174</v>
      </c>
      <c r="S235" s="2">
        <v>45932</v>
      </c>
      <c r="T235" s="1" t="str">
        <f t="shared" si="9"/>
        <v>seg</v>
      </c>
      <c r="U235" s="1" t="str">
        <f t="shared" si="10"/>
        <v>nov</v>
      </c>
      <c r="V235">
        <f t="shared" si="11"/>
        <v>2015</v>
      </c>
      <c r="W235">
        <f>_xlfn.XLOOKUP(A235,Absenteismo!A:A,Absenteismo!A:A,0)</f>
        <v>0</v>
      </c>
    </row>
    <row r="236" spans="1:23" hidden="1" x14ac:dyDescent="0.3">
      <c r="A236">
        <v>1226</v>
      </c>
      <c r="B236">
        <v>26</v>
      </c>
      <c r="C236" t="s">
        <v>26</v>
      </c>
      <c r="D236" t="s">
        <v>29</v>
      </c>
      <c r="E236" t="s">
        <v>17</v>
      </c>
      <c r="F236" t="s">
        <v>18</v>
      </c>
      <c r="G236">
        <v>82</v>
      </c>
      <c r="H236">
        <v>7202</v>
      </c>
      <c r="I236" t="s">
        <v>19</v>
      </c>
      <c r="J236" s="2">
        <v>43509</v>
      </c>
      <c r="K236">
        <v>36</v>
      </c>
      <c r="L236" t="s">
        <v>20</v>
      </c>
      <c r="M236">
        <v>18</v>
      </c>
      <c r="N236">
        <v>2</v>
      </c>
      <c r="O236">
        <v>3</v>
      </c>
      <c r="P236" t="s">
        <v>20</v>
      </c>
      <c r="Q236" s="1">
        <v>2</v>
      </c>
      <c r="R236" s="2">
        <v>46174</v>
      </c>
      <c r="S236" s="2">
        <v>46004</v>
      </c>
      <c r="T236" s="1" t="str">
        <f t="shared" si="9"/>
        <v>qua</v>
      </c>
      <c r="U236" s="1" t="str">
        <f t="shared" si="10"/>
        <v>fev</v>
      </c>
      <c r="V236">
        <f t="shared" si="11"/>
        <v>2019</v>
      </c>
      <c r="W236">
        <f>_xlfn.XLOOKUP(A236,Absenteismo!A:A,Absenteismo!A:A,0)</f>
        <v>1226</v>
      </c>
    </row>
    <row r="237" spans="1:23" hidden="1" x14ac:dyDescent="0.3">
      <c r="A237">
        <v>2126</v>
      </c>
      <c r="B237">
        <v>26</v>
      </c>
      <c r="C237" t="s">
        <v>26</v>
      </c>
      <c r="D237" t="s">
        <v>29</v>
      </c>
      <c r="E237" t="s">
        <v>17</v>
      </c>
      <c r="F237" t="s">
        <v>18</v>
      </c>
      <c r="G237">
        <v>82</v>
      </c>
      <c r="H237">
        <v>7202</v>
      </c>
      <c r="I237" t="s">
        <v>19</v>
      </c>
      <c r="J237" s="2">
        <v>43663</v>
      </c>
      <c r="K237">
        <v>36</v>
      </c>
      <c r="L237" t="s">
        <v>20</v>
      </c>
      <c r="M237">
        <v>18</v>
      </c>
      <c r="N237">
        <v>2</v>
      </c>
      <c r="O237">
        <v>3</v>
      </c>
      <c r="P237" t="s">
        <v>20</v>
      </c>
      <c r="Q237" s="1">
        <v>3</v>
      </c>
      <c r="R237" s="2">
        <v>46174</v>
      </c>
      <c r="S237" s="2">
        <v>46159</v>
      </c>
      <c r="T237" s="1" t="str">
        <f t="shared" si="9"/>
        <v>qua</v>
      </c>
      <c r="U237" s="1" t="str">
        <f t="shared" si="10"/>
        <v>jul</v>
      </c>
      <c r="V237">
        <f t="shared" si="11"/>
        <v>2019</v>
      </c>
      <c r="W237">
        <f>_xlfn.XLOOKUP(A237,Absenteismo!A:A,Absenteismo!A:A,0)</f>
        <v>2126</v>
      </c>
    </row>
    <row r="238" spans="1:23" x14ac:dyDescent="0.3">
      <c r="A238">
        <v>1259</v>
      </c>
      <c r="B238">
        <v>26</v>
      </c>
      <c r="C238" t="s">
        <v>15</v>
      </c>
      <c r="D238" t="s">
        <v>16</v>
      </c>
      <c r="E238" t="s">
        <v>17</v>
      </c>
      <c r="F238" t="s">
        <v>18</v>
      </c>
      <c r="G238">
        <v>119</v>
      </c>
      <c r="H238">
        <v>6019</v>
      </c>
      <c r="I238" t="s">
        <v>24</v>
      </c>
      <c r="J238" s="2">
        <v>42564</v>
      </c>
      <c r="K238">
        <v>21</v>
      </c>
      <c r="L238" t="s">
        <v>20</v>
      </c>
      <c r="M238">
        <v>14</v>
      </c>
      <c r="N238">
        <v>1</v>
      </c>
      <c r="O238">
        <v>3</v>
      </c>
      <c r="P238" t="s">
        <v>20</v>
      </c>
      <c r="Q238" s="1">
        <v>3</v>
      </c>
      <c r="R238" s="2">
        <v>46174</v>
      </c>
      <c r="S238" s="2">
        <v>46186</v>
      </c>
      <c r="T238" s="1" t="str">
        <f t="shared" si="9"/>
        <v>qua</v>
      </c>
      <c r="U238" s="1" t="str">
        <f t="shared" si="10"/>
        <v>jul</v>
      </c>
      <c r="V238">
        <f t="shared" si="11"/>
        <v>2016</v>
      </c>
      <c r="W238">
        <f>_xlfn.XLOOKUP(A238,Absenteismo!A:A,Absenteismo!A:A,0)</f>
        <v>0</v>
      </c>
    </row>
    <row r="239" spans="1:23" x14ac:dyDescent="0.3">
      <c r="A239">
        <v>1047</v>
      </c>
      <c r="B239">
        <v>26</v>
      </c>
      <c r="C239" t="s">
        <v>15</v>
      </c>
      <c r="D239" t="s">
        <v>31</v>
      </c>
      <c r="E239" t="s">
        <v>32</v>
      </c>
      <c r="F239" t="s">
        <v>23</v>
      </c>
      <c r="G239">
        <v>83</v>
      </c>
      <c r="H239">
        <v>6311</v>
      </c>
      <c r="I239" t="s">
        <v>19</v>
      </c>
      <c r="J239" s="2">
        <v>43648</v>
      </c>
      <c r="K239">
        <v>49</v>
      </c>
      <c r="L239" t="s">
        <v>20</v>
      </c>
      <c r="M239">
        <v>3</v>
      </c>
      <c r="N239">
        <v>4</v>
      </c>
      <c r="O239">
        <v>5</v>
      </c>
      <c r="P239" t="s">
        <v>25</v>
      </c>
      <c r="Q239" s="1">
        <v>2</v>
      </c>
      <c r="R239" s="2">
        <v>46174</v>
      </c>
      <c r="S239" s="2"/>
      <c r="T239" s="1" t="str">
        <f t="shared" si="9"/>
        <v>ter</v>
      </c>
      <c r="U239" s="1" t="str">
        <f t="shared" si="10"/>
        <v>jul</v>
      </c>
      <c r="V239">
        <f t="shared" si="11"/>
        <v>2019</v>
      </c>
      <c r="W239">
        <f>_xlfn.XLOOKUP(A239,Absenteismo!A:A,Absenteismo!A:A,0)</f>
        <v>0</v>
      </c>
    </row>
    <row r="240" spans="1:23" x14ac:dyDescent="0.3">
      <c r="A240">
        <v>1087</v>
      </c>
      <c r="B240">
        <v>26</v>
      </c>
      <c r="C240" t="s">
        <v>26</v>
      </c>
      <c r="D240" t="s">
        <v>29</v>
      </c>
      <c r="E240" t="s">
        <v>17</v>
      </c>
      <c r="F240" t="s">
        <v>18</v>
      </c>
      <c r="G240">
        <v>107</v>
      </c>
      <c r="H240">
        <v>4147</v>
      </c>
      <c r="I240" t="s">
        <v>24</v>
      </c>
      <c r="J240" s="2">
        <v>42644</v>
      </c>
      <c r="K240">
        <v>54</v>
      </c>
      <c r="L240" t="s">
        <v>25</v>
      </c>
      <c r="M240">
        <v>30</v>
      </c>
      <c r="N240">
        <v>12</v>
      </c>
      <c r="O240">
        <v>4</v>
      </c>
      <c r="P240" t="s">
        <v>25</v>
      </c>
      <c r="Q240" s="1">
        <v>3</v>
      </c>
      <c r="R240" s="2">
        <v>46174</v>
      </c>
      <c r="S240" s="2"/>
      <c r="T240" s="1" t="str">
        <f t="shared" si="9"/>
        <v>sáb</v>
      </c>
      <c r="U240" s="1" t="str">
        <f t="shared" si="10"/>
        <v>out</v>
      </c>
      <c r="V240">
        <f t="shared" si="11"/>
        <v>2016</v>
      </c>
      <c r="W240">
        <f>_xlfn.XLOOKUP(A240,Absenteismo!A:A,Absenteismo!A:A,0)</f>
        <v>0</v>
      </c>
    </row>
    <row r="241" spans="1:23" hidden="1" x14ac:dyDescent="0.3">
      <c r="A241">
        <v>1094</v>
      </c>
      <c r="B241">
        <v>26</v>
      </c>
      <c r="C241" t="s">
        <v>15</v>
      </c>
      <c r="D241" t="s">
        <v>16</v>
      </c>
      <c r="E241" t="s">
        <v>17</v>
      </c>
      <c r="F241" t="s">
        <v>21</v>
      </c>
      <c r="G241">
        <v>27</v>
      </c>
      <c r="H241">
        <v>4569</v>
      </c>
      <c r="I241" t="s">
        <v>19</v>
      </c>
      <c r="J241" s="2">
        <v>44992</v>
      </c>
      <c r="K241">
        <v>22</v>
      </c>
      <c r="L241" t="s">
        <v>20</v>
      </c>
      <c r="M241">
        <v>0</v>
      </c>
      <c r="N241">
        <v>4</v>
      </c>
      <c r="O241">
        <v>3</v>
      </c>
      <c r="P241" t="s">
        <v>25</v>
      </c>
      <c r="Q241" s="1">
        <v>3</v>
      </c>
      <c r="R241" s="2">
        <v>46174</v>
      </c>
      <c r="S241" s="2"/>
      <c r="T241" s="1" t="str">
        <f t="shared" si="9"/>
        <v>ter</v>
      </c>
      <c r="U241" s="1" t="str">
        <f t="shared" si="10"/>
        <v>mar</v>
      </c>
      <c r="V241">
        <f t="shared" si="11"/>
        <v>2023</v>
      </c>
      <c r="W241">
        <f>_xlfn.XLOOKUP(A241,Absenteismo!A:A,Absenteismo!A:A,0)</f>
        <v>1094</v>
      </c>
    </row>
    <row r="242" spans="1:23" x14ac:dyDescent="0.3">
      <c r="A242">
        <v>1143</v>
      </c>
      <c r="B242">
        <v>26</v>
      </c>
      <c r="C242" t="s">
        <v>15</v>
      </c>
      <c r="D242" t="s">
        <v>29</v>
      </c>
      <c r="E242" t="s">
        <v>17</v>
      </c>
      <c r="F242" t="s">
        <v>21</v>
      </c>
      <c r="G242">
        <v>57</v>
      </c>
      <c r="H242">
        <v>3519</v>
      </c>
      <c r="I242" t="s">
        <v>24</v>
      </c>
      <c r="J242" s="2">
        <v>44112</v>
      </c>
      <c r="K242">
        <v>43</v>
      </c>
      <c r="L242" t="s">
        <v>20</v>
      </c>
      <c r="M242">
        <v>4</v>
      </c>
      <c r="N242">
        <v>8</v>
      </c>
      <c r="O242">
        <v>4</v>
      </c>
      <c r="P242" t="s">
        <v>25</v>
      </c>
      <c r="Q242" s="1">
        <v>3</v>
      </c>
      <c r="R242" s="2">
        <v>46174</v>
      </c>
      <c r="S242" s="2"/>
      <c r="T242" s="1" t="str">
        <f t="shared" si="9"/>
        <v>qui</v>
      </c>
      <c r="U242" s="1" t="str">
        <f t="shared" si="10"/>
        <v>out</v>
      </c>
      <c r="V242">
        <f t="shared" si="11"/>
        <v>2020</v>
      </c>
      <c r="W242">
        <f>_xlfn.XLOOKUP(A242,Absenteismo!A:A,Absenteismo!A:A,0)</f>
        <v>0</v>
      </c>
    </row>
    <row r="243" spans="1:23" x14ac:dyDescent="0.3">
      <c r="A243">
        <v>1147</v>
      </c>
      <c r="B243">
        <v>26</v>
      </c>
      <c r="C243" t="s">
        <v>26</v>
      </c>
      <c r="D243" t="s">
        <v>29</v>
      </c>
      <c r="E243" t="s">
        <v>17</v>
      </c>
      <c r="F243" t="s">
        <v>23</v>
      </c>
      <c r="G243">
        <v>107</v>
      </c>
      <c r="H243">
        <v>3817</v>
      </c>
      <c r="I243" t="s">
        <v>28</v>
      </c>
      <c r="J243" s="2">
        <v>42856</v>
      </c>
      <c r="K243">
        <v>10</v>
      </c>
      <c r="L243" t="s">
        <v>20</v>
      </c>
      <c r="M243">
        <v>10</v>
      </c>
      <c r="N243">
        <v>5</v>
      </c>
      <c r="O243">
        <v>3</v>
      </c>
      <c r="P243" t="s">
        <v>25</v>
      </c>
      <c r="Q243" s="1">
        <v>3</v>
      </c>
      <c r="R243" s="2">
        <v>46174</v>
      </c>
      <c r="S243" s="2"/>
      <c r="T243" s="1" t="str">
        <f t="shared" si="9"/>
        <v>seg</v>
      </c>
      <c r="U243" s="1" t="str">
        <f t="shared" si="10"/>
        <v>mai</v>
      </c>
      <c r="V243">
        <f t="shared" si="11"/>
        <v>2017</v>
      </c>
      <c r="W243">
        <f>_xlfn.XLOOKUP(A243,Absenteismo!A:A,Absenteismo!A:A,0)</f>
        <v>0</v>
      </c>
    </row>
    <row r="244" spans="1:23" hidden="1" x14ac:dyDescent="0.3">
      <c r="A244">
        <v>1176</v>
      </c>
      <c r="B244">
        <v>26</v>
      </c>
      <c r="C244" t="s">
        <v>26</v>
      </c>
      <c r="D244" t="s">
        <v>16</v>
      </c>
      <c r="E244" t="s">
        <v>17</v>
      </c>
      <c r="F244" t="s">
        <v>21</v>
      </c>
      <c r="G244">
        <v>78</v>
      </c>
      <c r="H244">
        <v>5860</v>
      </c>
      <c r="I244" t="s">
        <v>33</v>
      </c>
      <c r="J244" s="2">
        <v>43678</v>
      </c>
      <c r="K244">
        <v>55</v>
      </c>
      <c r="L244" t="s">
        <v>20</v>
      </c>
      <c r="M244">
        <v>30</v>
      </c>
      <c r="N244">
        <v>12</v>
      </c>
      <c r="O244">
        <v>3</v>
      </c>
      <c r="P244" t="s">
        <v>25</v>
      </c>
      <c r="Q244" s="1">
        <v>2</v>
      </c>
      <c r="R244" s="2">
        <v>46174</v>
      </c>
      <c r="S244" s="2"/>
      <c r="T244" s="1" t="str">
        <f t="shared" si="9"/>
        <v>qui</v>
      </c>
      <c r="U244" s="1" t="str">
        <f t="shared" si="10"/>
        <v>ago</v>
      </c>
      <c r="V244">
        <f t="shared" si="11"/>
        <v>2019</v>
      </c>
      <c r="W244">
        <f>_xlfn.XLOOKUP(A244,Absenteismo!A:A,Absenteismo!A:A,0)</f>
        <v>1176</v>
      </c>
    </row>
    <row r="245" spans="1:23" hidden="1" x14ac:dyDescent="0.3">
      <c r="A245">
        <v>1232</v>
      </c>
      <c r="B245">
        <v>26</v>
      </c>
      <c r="C245" t="s">
        <v>15</v>
      </c>
      <c r="D245" t="s">
        <v>22</v>
      </c>
      <c r="E245" t="s">
        <v>17</v>
      </c>
      <c r="F245" t="s">
        <v>23</v>
      </c>
      <c r="G245">
        <v>73</v>
      </c>
      <c r="H245">
        <v>5673</v>
      </c>
      <c r="I245" t="s">
        <v>28</v>
      </c>
      <c r="J245" s="2">
        <v>43622</v>
      </c>
      <c r="K245">
        <v>18</v>
      </c>
      <c r="L245" t="s">
        <v>20</v>
      </c>
      <c r="M245">
        <v>10</v>
      </c>
      <c r="N245">
        <v>5</v>
      </c>
      <c r="O245">
        <v>4</v>
      </c>
      <c r="P245" t="s">
        <v>25</v>
      </c>
      <c r="Q245" s="1">
        <v>2</v>
      </c>
      <c r="R245" s="2">
        <v>46174</v>
      </c>
      <c r="S245" s="2"/>
      <c r="T245" s="1" t="str">
        <f t="shared" si="9"/>
        <v>qui</v>
      </c>
      <c r="U245" s="1" t="str">
        <f t="shared" si="10"/>
        <v>jun</v>
      </c>
      <c r="V245">
        <f t="shared" si="11"/>
        <v>2019</v>
      </c>
      <c r="W245">
        <f>_xlfn.XLOOKUP(A245,Absenteismo!A:A,Absenteismo!A:A,0)</f>
        <v>1232</v>
      </c>
    </row>
    <row r="246" spans="1:23" x14ac:dyDescent="0.3">
      <c r="A246">
        <v>1243</v>
      </c>
      <c r="B246">
        <v>26</v>
      </c>
      <c r="C246" t="s">
        <v>15</v>
      </c>
      <c r="D246" t="s">
        <v>16</v>
      </c>
      <c r="E246" t="s">
        <v>17</v>
      </c>
      <c r="F246" t="s">
        <v>23</v>
      </c>
      <c r="G246">
        <v>32</v>
      </c>
      <c r="H246">
        <v>7333</v>
      </c>
      <c r="I246" t="s">
        <v>28</v>
      </c>
      <c r="J246" s="2">
        <v>44911</v>
      </c>
      <c r="K246">
        <v>39</v>
      </c>
      <c r="L246" t="s">
        <v>20</v>
      </c>
      <c r="M246">
        <v>18</v>
      </c>
      <c r="N246">
        <v>12</v>
      </c>
      <c r="O246">
        <v>2</v>
      </c>
      <c r="P246" t="s">
        <v>25</v>
      </c>
      <c r="Q246" s="1">
        <v>1</v>
      </c>
      <c r="R246" s="2">
        <v>46174</v>
      </c>
      <c r="S246" s="2"/>
      <c r="T246" s="1" t="str">
        <f t="shared" si="9"/>
        <v>sex</v>
      </c>
      <c r="U246" s="1" t="str">
        <f t="shared" si="10"/>
        <v>dez</v>
      </c>
      <c r="V246">
        <f t="shared" si="11"/>
        <v>2022</v>
      </c>
      <c r="W246">
        <f>_xlfn.XLOOKUP(A246,Absenteismo!A:A,Absenteismo!A:A,0)</f>
        <v>0</v>
      </c>
    </row>
    <row r="247" spans="1:23" hidden="1" x14ac:dyDescent="0.3">
      <c r="A247">
        <v>1347</v>
      </c>
      <c r="B247">
        <v>26</v>
      </c>
      <c r="C247" t="s">
        <v>15</v>
      </c>
      <c r="D247" t="s">
        <v>31</v>
      </c>
      <c r="E247" t="s">
        <v>32</v>
      </c>
      <c r="F247" t="s">
        <v>23</v>
      </c>
      <c r="G247">
        <v>83</v>
      </c>
      <c r="H247">
        <v>6311</v>
      </c>
      <c r="I247" t="s">
        <v>19</v>
      </c>
      <c r="J247" s="2">
        <v>43256</v>
      </c>
      <c r="K247">
        <v>56</v>
      </c>
      <c r="L247" t="s">
        <v>20</v>
      </c>
      <c r="M247">
        <v>3</v>
      </c>
      <c r="N247">
        <v>4</v>
      </c>
      <c r="O247">
        <v>5</v>
      </c>
      <c r="P247" t="s">
        <v>25</v>
      </c>
      <c r="Q247" s="1">
        <v>3</v>
      </c>
      <c r="R247" s="2">
        <v>46174</v>
      </c>
      <c r="S247" s="2"/>
      <c r="T247" s="1" t="str">
        <f t="shared" si="9"/>
        <v>ter</v>
      </c>
      <c r="U247" s="1" t="str">
        <f t="shared" si="10"/>
        <v>jun</v>
      </c>
      <c r="V247">
        <f t="shared" si="11"/>
        <v>2018</v>
      </c>
      <c r="W247">
        <f>_xlfn.XLOOKUP(A247,Absenteismo!A:A,Absenteismo!A:A,0)</f>
        <v>1347</v>
      </c>
    </row>
    <row r="248" spans="1:23" x14ac:dyDescent="0.3">
      <c r="A248">
        <v>1387</v>
      </c>
      <c r="B248">
        <v>26</v>
      </c>
      <c r="C248" t="s">
        <v>26</v>
      </c>
      <c r="D248" t="s">
        <v>29</v>
      </c>
      <c r="E248" t="s">
        <v>17</v>
      </c>
      <c r="F248" t="s">
        <v>18</v>
      </c>
      <c r="G248">
        <v>107</v>
      </c>
      <c r="H248">
        <v>4147</v>
      </c>
      <c r="I248" t="s">
        <v>24</v>
      </c>
      <c r="J248" s="2">
        <v>42741</v>
      </c>
      <c r="K248">
        <v>59</v>
      </c>
      <c r="L248" t="s">
        <v>25</v>
      </c>
      <c r="M248">
        <v>30</v>
      </c>
      <c r="N248">
        <v>12</v>
      </c>
      <c r="O248">
        <v>4</v>
      </c>
      <c r="P248" t="s">
        <v>25</v>
      </c>
      <c r="Q248" s="1">
        <v>2</v>
      </c>
      <c r="R248" s="2">
        <v>46174</v>
      </c>
      <c r="S248" s="2"/>
      <c r="T248" s="1" t="str">
        <f t="shared" si="9"/>
        <v>sex</v>
      </c>
      <c r="U248" s="1" t="str">
        <f t="shared" si="10"/>
        <v>jan</v>
      </c>
      <c r="V248">
        <f t="shared" si="11"/>
        <v>2017</v>
      </c>
      <c r="W248">
        <f>_xlfn.XLOOKUP(A248,Absenteismo!A:A,Absenteismo!A:A,0)</f>
        <v>0</v>
      </c>
    </row>
    <row r="249" spans="1:23" hidden="1" x14ac:dyDescent="0.3">
      <c r="A249">
        <v>1394</v>
      </c>
      <c r="B249">
        <v>26</v>
      </c>
      <c r="C249" t="s">
        <v>15</v>
      </c>
      <c r="D249" t="s">
        <v>16</v>
      </c>
      <c r="E249" t="s">
        <v>17</v>
      </c>
      <c r="F249" t="s">
        <v>21</v>
      </c>
      <c r="G249">
        <v>27</v>
      </c>
      <c r="H249">
        <v>4569</v>
      </c>
      <c r="I249" t="s">
        <v>19</v>
      </c>
      <c r="J249" s="2">
        <v>45243</v>
      </c>
      <c r="K249">
        <v>22</v>
      </c>
      <c r="L249" t="s">
        <v>20</v>
      </c>
      <c r="M249">
        <v>0</v>
      </c>
      <c r="N249">
        <v>4</v>
      </c>
      <c r="O249">
        <v>3</v>
      </c>
      <c r="P249" t="s">
        <v>25</v>
      </c>
      <c r="Q249" s="1">
        <v>3</v>
      </c>
      <c r="R249" s="2">
        <v>46174</v>
      </c>
      <c r="S249" s="2"/>
      <c r="T249" s="1" t="str">
        <f t="shared" si="9"/>
        <v>seg</v>
      </c>
      <c r="U249" s="1" t="str">
        <f t="shared" si="10"/>
        <v>nov</v>
      </c>
      <c r="V249">
        <f t="shared" si="11"/>
        <v>2023</v>
      </c>
      <c r="W249">
        <f>_xlfn.XLOOKUP(A249,Absenteismo!A:A,Absenteismo!A:A,0)</f>
        <v>1394</v>
      </c>
    </row>
    <row r="250" spans="1:23" x14ac:dyDescent="0.3">
      <c r="A250">
        <v>1443</v>
      </c>
      <c r="B250">
        <v>26</v>
      </c>
      <c r="C250" t="s">
        <v>15</v>
      </c>
      <c r="D250" t="s">
        <v>29</v>
      </c>
      <c r="E250" t="s">
        <v>17</v>
      </c>
      <c r="F250" t="s">
        <v>21</v>
      </c>
      <c r="G250">
        <v>57</v>
      </c>
      <c r="H250">
        <v>3519</v>
      </c>
      <c r="I250" t="s">
        <v>24</v>
      </c>
      <c r="J250" s="2">
        <v>44406</v>
      </c>
      <c r="K250">
        <v>43</v>
      </c>
      <c r="L250" t="s">
        <v>20</v>
      </c>
      <c r="M250">
        <v>4</v>
      </c>
      <c r="N250">
        <v>8</v>
      </c>
      <c r="O250">
        <v>4</v>
      </c>
      <c r="P250" t="s">
        <v>25</v>
      </c>
      <c r="Q250" s="1">
        <v>2</v>
      </c>
      <c r="R250" s="2">
        <v>46174</v>
      </c>
      <c r="S250" s="2"/>
      <c r="T250" s="1" t="str">
        <f t="shared" si="9"/>
        <v>qui</v>
      </c>
      <c r="U250" s="1" t="str">
        <f t="shared" si="10"/>
        <v>jul</v>
      </c>
      <c r="V250">
        <f t="shared" si="11"/>
        <v>2021</v>
      </c>
      <c r="W250">
        <f>_xlfn.XLOOKUP(A250,Absenteismo!A:A,Absenteismo!A:A,0)</f>
        <v>0</v>
      </c>
    </row>
    <row r="251" spans="1:23" hidden="1" x14ac:dyDescent="0.3">
      <c r="A251">
        <v>1447</v>
      </c>
      <c r="B251">
        <v>26</v>
      </c>
      <c r="C251" t="s">
        <v>26</v>
      </c>
      <c r="D251" t="s">
        <v>29</v>
      </c>
      <c r="E251" t="s">
        <v>17</v>
      </c>
      <c r="F251" t="s">
        <v>23</v>
      </c>
      <c r="G251">
        <v>107</v>
      </c>
      <c r="H251">
        <v>3817</v>
      </c>
      <c r="I251" t="s">
        <v>28</v>
      </c>
      <c r="J251" s="2">
        <v>42762</v>
      </c>
      <c r="K251">
        <v>10</v>
      </c>
      <c r="L251" t="s">
        <v>20</v>
      </c>
      <c r="M251">
        <v>10</v>
      </c>
      <c r="N251">
        <v>5</v>
      </c>
      <c r="O251">
        <v>3</v>
      </c>
      <c r="P251" t="s">
        <v>25</v>
      </c>
      <c r="Q251" s="1">
        <v>3</v>
      </c>
      <c r="R251" s="2">
        <v>46174</v>
      </c>
      <c r="S251" s="2"/>
      <c r="T251" s="1" t="str">
        <f t="shared" si="9"/>
        <v>sex</v>
      </c>
      <c r="U251" s="1" t="str">
        <f t="shared" si="10"/>
        <v>jan</v>
      </c>
      <c r="V251">
        <f t="shared" si="11"/>
        <v>2017</v>
      </c>
      <c r="W251">
        <f>_xlfn.XLOOKUP(A251,Absenteismo!A:A,Absenteismo!A:A,0)</f>
        <v>1447</v>
      </c>
    </row>
    <row r="252" spans="1:23" hidden="1" x14ac:dyDescent="0.3">
      <c r="A252">
        <v>1476</v>
      </c>
      <c r="B252">
        <v>26</v>
      </c>
      <c r="C252" t="s">
        <v>26</v>
      </c>
      <c r="D252" t="s">
        <v>16</v>
      </c>
      <c r="E252" t="s">
        <v>17</v>
      </c>
      <c r="F252" t="s">
        <v>21</v>
      </c>
      <c r="G252">
        <v>78</v>
      </c>
      <c r="H252">
        <v>5860</v>
      </c>
      <c r="I252" t="s">
        <v>33</v>
      </c>
      <c r="J252" s="2">
        <v>43711</v>
      </c>
      <c r="K252">
        <v>55</v>
      </c>
      <c r="L252" t="s">
        <v>20</v>
      </c>
      <c r="M252">
        <v>30</v>
      </c>
      <c r="N252">
        <v>12</v>
      </c>
      <c r="O252">
        <v>3</v>
      </c>
      <c r="P252" t="s">
        <v>25</v>
      </c>
      <c r="Q252" s="1">
        <v>2</v>
      </c>
      <c r="R252" s="2">
        <v>46174</v>
      </c>
      <c r="S252" s="2"/>
      <c r="T252" s="1" t="str">
        <f t="shared" si="9"/>
        <v>ter</v>
      </c>
      <c r="U252" s="1" t="str">
        <f t="shared" si="10"/>
        <v>set</v>
      </c>
      <c r="V252">
        <f t="shared" si="11"/>
        <v>2019</v>
      </c>
      <c r="W252">
        <f>_xlfn.XLOOKUP(A252,Absenteismo!A:A,Absenteismo!A:A,0)</f>
        <v>1476</v>
      </c>
    </row>
    <row r="253" spans="1:23" hidden="1" x14ac:dyDescent="0.3">
      <c r="A253">
        <v>1532</v>
      </c>
      <c r="B253">
        <v>26</v>
      </c>
      <c r="C253" t="s">
        <v>15</v>
      </c>
      <c r="D253" t="s">
        <v>22</v>
      </c>
      <c r="E253" t="s">
        <v>17</v>
      </c>
      <c r="F253" t="s">
        <v>23</v>
      </c>
      <c r="G253">
        <v>73</v>
      </c>
      <c r="H253">
        <v>5673</v>
      </c>
      <c r="I253" t="s">
        <v>28</v>
      </c>
      <c r="J253" s="2">
        <v>43698</v>
      </c>
      <c r="K253">
        <v>18</v>
      </c>
      <c r="L253" t="s">
        <v>20</v>
      </c>
      <c r="M253">
        <v>10</v>
      </c>
      <c r="N253">
        <v>5</v>
      </c>
      <c r="O253">
        <v>4</v>
      </c>
      <c r="P253" t="s">
        <v>25</v>
      </c>
      <c r="Q253" s="1">
        <v>1</v>
      </c>
      <c r="R253" s="2">
        <v>46174</v>
      </c>
      <c r="S253" s="2"/>
      <c r="T253" s="1" t="str">
        <f t="shared" si="9"/>
        <v>qua</v>
      </c>
      <c r="U253" s="1" t="str">
        <f t="shared" si="10"/>
        <v>ago</v>
      </c>
      <c r="V253">
        <f t="shared" si="11"/>
        <v>2019</v>
      </c>
      <c r="W253">
        <f>_xlfn.XLOOKUP(A253,Absenteismo!A:A,Absenteismo!A:A,0)</f>
        <v>1532</v>
      </c>
    </row>
    <row r="254" spans="1:23" hidden="1" x14ac:dyDescent="0.3">
      <c r="A254">
        <v>1543</v>
      </c>
      <c r="B254">
        <v>26</v>
      </c>
      <c r="C254" t="s">
        <v>15</v>
      </c>
      <c r="D254" t="s">
        <v>16</v>
      </c>
      <c r="E254" t="s">
        <v>17</v>
      </c>
      <c r="F254" t="s">
        <v>23</v>
      </c>
      <c r="G254">
        <v>32</v>
      </c>
      <c r="H254">
        <v>7333</v>
      </c>
      <c r="I254" t="s">
        <v>28</v>
      </c>
      <c r="J254" s="2">
        <v>44790</v>
      </c>
      <c r="K254">
        <v>39</v>
      </c>
      <c r="L254" t="s">
        <v>20</v>
      </c>
      <c r="M254">
        <v>18</v>
      </c>
      <c r="N254">
        <v>12</v>
      </c>
      <c r="O254">
        <v>2</v>
      </c>
      <c r="P254" t="s">
        <v>25</v>
      </c>
      <c r="Q254" s="1">
        <v>3</v>
      </c>
      <c r="R254" s="2">
        <v>46174</v>
      </c>
      <c r="S254" s="2"/>
      <c r="T254" s="1" t="str">
        <f t="shared" si="9"/>
        <v>qua</v>
      </c>
      <c r="U254" s="1" t="str">
        <f t="shared" si="10"/>
        <v>ago</v>
      </c>
      <c r="V254">
        <f t="shared" si="11"/>
        <v>2022</v>
      </c>
      <c r="W254">
        <f>_xlfn.XLOOKUP(A254,Absenteismo!A:A,Absenteismo!A:A,0)</f>
        <v>1543</v>
      </c>
    </row>
    <row r="255" spans="1:23" hidden="1" x14ac:dyDescent="0.3">
      <c r="A255">
        <v>1647</v>
      </c>
      <c r="B255">
        <v>26</v>
      </c>
      <c r="C255" t="s">
        <v>15</v>
      </c>
      <c r="D255" t="s">
        <v>31</v>
      </c>
      <c r="E255" t="s">
        <v>32</v>
      </c>
      <c r="F255" t="s">
        <v>23</v>
      </c>
      <c r="G255">
        <v>83</v>
      </c>
      <c r="H255">
        <v>6311</v>
      </c>
      <c r="I255" t="s">
        <v>19</v>
      </c>
      <c r="J255" s="2">
        <v>43573</v>
      </c>
      <c r="K255">
        <v>56</v>
      </c>
      <c r="L255" t="s">
        <v>20</v>
      </c>
      <c r="M255">
        <v>3</v>
      </c>
      <c r="N255">
        <v>4</v>
      </c>
      <c r="O255">
        <v>5</v>
      </c>
      <c r="P255" t="s">
        <v>25</v>
      </c>
      <c r="Q255" s="1">
        <v>1</v>
      </c>
      <c r="R255" s="2">
        <v>46174</v>
      </c>
      <c r="S255" s="2"/>
      <c r="T255" s="1" t="str">
        <f t="shared" si="9"/>
        <v>qui</v>
      </c>
      <c r="U255" s="1" t="str">
        <f t="shared" si="10"/>
        <v>abr</v>
      </c>
      <c r="V255">
        <f t="shared" si="11"/>
        <v>2019</v>
      </c>
      <c r="W255">
        <f>_xlfn.XLOOKUP(A255,Absenteismo!A:A,Absenteismo!A:A,0)</f>
        <v>1647</v>
      </c>
    </row>
    <row r="256" spans="1:23" x14ac:dyDescent="0.3">
      <c r="A256">
        <v>1687</v>
      </c>
      <c r="B256">
        <v>26</v>
      </c>
      <c r="C256" t="s">
        <v>26</v>
      </c>
      <c r="D256" t="s">
        <v>29</v>
      </c>
      <c r="E256" t="s">
        <v>17</v>
      </c>
      <c r="F256" t="s">
        <v>18</v>
      </c>
      <c r="G256">
        <v>107</v>
      </c>
      <c r="H256">
        <v>4147</v>
      </c>
      <c r="I256" t="s">
        <v>24</v>
      </c>
      <c r="J256" s="2">
        <v>42558</v>
      </c>
      <c r="K256">
        <v>59</v>
      </c>
      <c r="L256" t="s">
        <v>25</v>
      </c>
      <c r="M256">
        <v>30</v>
      </c>
      <c r="N256">
        <v>12</v>
      </c>
      <c r="O256">
        <v>4</v>
      </c>
      <c r="P256" t="s">
        <v>25</v>
      </c>
      <c r="Q256" s="1">
        <v>3</v>
      </c>
      <c r="R256" s="2">
        <v>46174</v>
      </c>
      <c r="S256" s="2"/>
      <c r="T256" s="1" t="str">
        <f t="shared" si="9"/>
        <v>qui</v>
      </c>
      <c r="U256" s="1" t="str">
        <f t="shared" si="10"/>
        <v>jul</v>
      </c>
      <c r="V256">
        <f t="shared" si="11"/>
        <v>2016</v>
      </c>
      <c r="W256">
        <f>_xlfn.XLOOKUP(A256,Absenteismo!A:A,Absenteismo!A:A,0)</f>
        <v>0</v>
      </c>
    </row>
    <row r="257" spans="1:23" hidden="1" x14ac:dyDescent="0.3">
      <c r="A257">
        <v>1694</v>
      </c>
      <c r="B257">
        <v>26</v>
      </c>
      <c r="C257" t="s">
        <v>15</v>
      </c>
      <c r="D257" t="s">
        <v>16</v>
      </c>
      <c r="E257" t="s">
        <v>17</v>
      </c>
      <c r="F257" t="s">
        <v>21</v>
      </c>
      <c r="G257">
        <v>27</v>
      </c>
      <c r="H257">
        <v>4569</v>
      </c>
      <c r="I257" t="s">
        <v>19</v>
      </c>
      <c r="J257" s="2">
        <v>44987</v>
      </c>
      <c r="K257">
        <v>22</v>
      </c>
      <c r="L257" t="s">
        <v>20</v>
      </c>
      <c r="M257">
        <v>0</v>
      </c>
      <c r="N257">
        <v>4</v>
      </c>
      <c r="O257">
        <v>3</v>
      </c>
      <c r="P257" t="s">
        <v>25</v>
      </c>
      <c r="Q257" s="1">
        <v>2</v>
      </c>
      <c r="R257" s="2">
        <v>46174</v>
      </c>
      <c r="S257" s="2"/>
      <c r="T257" s="1" t="str">
        <f t="shared" si="9"/>
        <v>qui</v>
      </c>
      <c r="U257" s="1" t="str">
        <f t="shared" si="10"/>
        <v>mar</v>
      </c>
      <c r="V257">
        <f t="shared" si="11"/>
        <v>2023</v>
      </c>
      <c r="W257">
        <f>_xlfn.XLOOKUP(A257,Absenteismo!A:A,Absenteismo!A:A,0)</f>
        <v>1694</v>
      </c>
    </row>
    <row r="258" spans="1:23" x14ac:dyDescent="0.3">
      <c r="A258">
        <v>1743</v>
      </c>
      <c r="B258">
        <v>26</v>
      </c>
      <c r="C258" t="s">
        <v>15</v>
      </c>
      <c r="D258" t="s">
        <v>29</v>
      </c>
      <c r="E258" t="s">
        <v>17</v>
      </c>
      <c r="F258" t="s">
        <v>21</v>
      </c>
      <c r="G258">
        <v>57</v>
      </c>
      <c r="H258">
        <v>3519</v>
      </c>
      <c r="I258" t="s">
        <v>24</v>
      </c>
      <c r="J258" s="2">
        <v>44361</v>
      </c>
      <c r="K258">
        <v>43</v>
      </c>
      <c r="L258" t="s">
        <v>20</v>
      </c>
      <c r="M258">
        <v>4</v>
      </c>
      <c r="N258">
        <v>8</v>
      </c>
      <c r="O258">
        <v>4</v>
      </c>
      <c r="P258" t="s">
        <v>25</v>
      </c>
      <c r="Q258" s="1">
        <v>2</v>
      </c>
      <c r="R258" s="2">
        <v>46174</v>
      </c>
      <c r="S258" s="2"/>
      <c r="T258" s="1" t="str">
        <f t="shared" ref="T258:T321" si="12">TEXT($J258,"ddd")</f>
        <v>seg</v>
      </c>
      <c r="U258" s="1" t="str">
        <f t="shared" ref="U258:U321" si="13">TEXT($J258,"mmm")</f>
        <v>jun</v>
      </c>
      <c r="V258">
        <f t="shared" ref="V258:V321" si="14">YEAR(J258)</f>
        <v>2021</v>
      </c>
      <c r="W258">
        <f>_xlfn.XLOOKUP(A258,Absenteismo!A:A,Absenteismo!A:A,0)</f>
        <v>0</v>
      </c>
    </row>
    <row r="259" spans="1:23" hidden="1" x14ac:dyDescent="0.3">
      <c r="A259">
        <v>1747</v>
      </c>
      <c r="B259">
        <v>26</v>
      </c>
      <c r="C259" t="s">
        <v>26</v>
      </c>
      <c r="D259" t="s">
        <v>29</v>
      </c>
      <c r="E259" t="s">
        <v>17</v>
      </c>
      <c r="F259" t="s">
        <v>23</v>
      </c>
      <c r="G259">
        <v>107</v>
      </c>
      <c r="H259">
        <v>3817</v>
      </c>
      <c r="I259" t="s">
        <v>28</v>
      </c>
      <c r="J259" s="2">
        <v>42789</v>
      </c>
      <c r="K259">
        <v>10</v>
      </c>
      <c r="L259" t="s">
        <v>20</v>
      </c>
      <c r="M259">
        <v>10</v>
      </c>
      <c r="N259">
        <v>5</v>
      </c>
      <c r="O259">
        <v>3</v>
      </c>
      <c r="P259" t="s">
        <v>25</v>
      </c>
      <c r="Q259" s="1">
        <v>2</v>
      </c>
      <c r="R259" s="2">
        <v>46174</v>
      </c>
      <c r="S259" s="2"/>
      <c r="T259" s="1" t="str">
        <f t="shared" si="12"/>
        <v>qui</v>
      </c>
      <c r="U259" s="1" t="str">
        <f t="shared" si="13"/>
        <v>fev</v>
      </c>
      <c r="V259">
        <f t="shared" si="14"/>
        <v>2017</v>
      </c>
      <c r="W259">
        <f>_xlfn.XLOOKUP(A259,Absenteismo!A:A,Absenteismo!A:A,0)</f>
        <v>1747</v>
      </c>
    </row>
    <row r="260" spans="1:23" hidden="1" x14ac:dyDescent="0.3">
      <c r="A260">
        <v>1776</v>
      </c>
      <c r="B260">
        <v>26</v>
      </c>
      <c r="C260" t="s">
        <v>26</v>
      </c>
      <c r="D260" t="s">
        <v>16</v>
      </c>
      <c r="E260" t="s">
        <v>17</v>
      </c>
      <c r="F260" t="s">
        <v>21</v>
      </c>
      <c r="G260">
        <v>78</v>
      </c>
      <c r="H260">
        <v>5860</v>
      </c>
      <c r="I260" t="s">
        <v>33</v>
      </c>
      <c r="J260" s="2">
        <v>43730</v>
      </c>
      <c r="K260">
        <v>55</v>
      </c>
      <c r="L260" t="s">
        <v>20</v>
      </c>
      <c r="M260">
        <v>30</v>
      </c>
      <c r="N260">
        <v>12</v>
      </c>
      <c r="O260">
        <v>3</v>
      </c>
      <c r="P260" t="s">
        <v>25</v>
      </c>
      <c r="Q260" s="1">
        <v>1</v>
      </c>
      <c r="R260" s="2">
        <v>46174</v>
      </c>
      <c r="S260" s="2"/>
      <c r="T260" s="1" t="str">
        <f t="shared" si="12"/>
        <v>dom</v>
      </c>
      <c r="U260" s="1" t="str">
        <f t="shared" si="13"/>
        <v>set</v>
      </c>
      <c r="V260">
        <f t="shared" si="14"/>
        <v>2019</v>
      </c>
      <c r="W260">
        <f>_xlfn.XLOOKUP(A260,Absenteismo!A:A,Absenteismo!A:A,0)</f>
        <v>1776</v>
      </c>
    </row>
    <row r="261" spans="1:23" hidden="1" x14ac:dyDescent="0.3">
      <c r="A261">
        <v>1832</v>
      </c>
      <c r="B261">
        <v>26</v>
      </c>
      <c r="C261" t="s">
        <v>15</v>
      </c>
      <c r="D261" t="s">
        <v>22</v>
      </c>
      <c r="E261" t="s">
        <v>17</v>
      </c>
      <c r="F261" t="s">
        <v>23</v>
      </c>
      <c r="G261">
        <v>73</v>
      </c>
      <c r="H261">
        <v>5673</v>
      </c>
      <c r="I261" t="s">
        <v>28</v>
      </c>
      <c r="J261" s="2">
        <v>43611</v>
      </c>
      <c r="K261">
        <v>18</v>
      </c>
      <c r="L261" t="s">
        <v>20</v>
      </c>
      <c r="M261">
        <v>10</v>
      </c>
      <c r="N261">
        <v>5</v>
      </c>
      <c r="O261">
        <v>4</v>
      </c>
      <c r="P261" t="s">
        <v>25</v>
      </c>
      <c r="Q261" s="1">
        <v>1</v>
      </c>
      <c r="R261" s="2">
        <v>46174</v>
      </c>
      <c r="S261" s="2"/>
      <c r="T261" s="1" t="str">
        <f t="shared" si="12"/>
        <v>dom</v>
      </c>
      <c r="U261" s="1" t="str">
        <f t="shared" si="13"/>
        <v>mai</v>
      </c>
      <c r="V261">
        <f t="shared" si="14"/>
        <v>2019</v>
      </c>
      <c r="W261">
        <f>_xlfn.XLOOKUP(A261,Absenteismo!A:A,Absenteismo!A:A,0)</f>
        <v>1832</v>
      </c>
    </row>
    <row r="262" spans="1:23" hidden="1" x14ac:dyDescent="0.3">
      <c r="A262">
        <v>1843</v>
      </c>
      <c r="B262">
        <v>26</v>
      </c>
      <c r="C262" t="s">
        <v>15</v>
      </c>
      <c r="D262" t="s">
        <v>16</v>
      </c>
      <c r="E262" t="s">
        <v>17</v>
      </c>
      <c r="F262" t="s">
        <v>23</v>
      </c>
      <c r="G262">
        <v>32</v>
      </c>
      <c r="H262">
        <v>7333</v>
      </c>
      <c r="I262" t="s">
        <v>28</v>
      </c>
      <c r="J262" s="2">
        <v>44841</v>
      </c>
      <c r="K262">
        <v>39</v>
      </c>
      <c r="L262" t="s">
        <v>20</v>
      </c>
      <c r="M262">
        <v>18</v>
      </c>
      <c r="N262">
        <v>12</v>
      </c>
      <c r="O262">
        <v>2</v>
      </c>
      <c r="P262" t="s">
        <v>25</v>
      </c>
      <c r="Q262" s="1">
        <v>3</v>
      </c>
      <c r="R262" s="2">
        <v>46174</v>
      </c>
      <c r="S262" s="2"/>
      <c r="T262" s="1" t="str">
        <f t="shared" si="12"/>
        <v>sex</v>
      </c>
      <c r="U262" s="1" t="str">
        <f t="shared" si="13"/>
        <v>out</v>
      </c>
      <c r="V262">
        <f t="shared" si="14"/>
        <v>2022</v>
      </c>
      <c r="W262">
        <f>_xlfn.XLOOKUP(A262,Absenteismo!A:A,Absenteismo!A:A,0)</f>
        <v>1843</v>
      </c>
    </row>
    <row r="263" spans="1:23" hidden="1" x14ac:dyDescent="0.3">
      <c r="A263">
        <v>1947</v>
      </c>
      <c r="B263">
        <v>26</v>
      </c>
      <c r="C263" t="s">
        <v>15</v>
      </c>
      <c r="D263" t="s">
        <v>31</v>
      </c>
      <c r="E263" t="s">
        <v>32</v>
      </c>
      <c r="F263" t="s">
        <v>23</v>
      </c>
      <c r="G263">
        <v>83</v>
      </c>
      <c r="H263">
        <v>6311</v>
      </c>
      <c r="I263" t="s">
        <v>19</v>
      </c>
      <c r="J263" s="2">
        <v>43609</v>
      </c>
      <c r="K263">
        <v>56</v>
      </c>
      <c r="L263" t="s">
        <v>20</v>
      </c>
      <c r="M263">
        <v>3</v>
      </c>
      <c r="N263">
        <v>4</v>
      </c>
      <c r="O263">
        <v>5</v>
      </c>
      <c r="P263" t="s">
        <v>25</v>
      </c>
      <c r="Q263" s="1">
        <v>2</v>
      </c>
      <c r="R263" s="2">
        <v>46174</v>
      </c>
      <c r="S263" s="2"/>
      <c r="T263" s="1" t="str">
        <f t="shared" si="12"/>
        <v>sex</v>
      </c>
      <c r="U263" s="1" t="str">
        <f t="shared" si="13"/>
        <v>mai</v>
      </c>
      <c r="V263">
        <f t="shared" si="14"/>
        <v>2019</v>
      </c>
      <c r="W263">
        <f>_xlfn.XLOOKUP(A263,Absenteismo!A:A,Absenteismo!A:A,0)</f>
        <v>1947</v>
      </c>
    </row>
    <row r="264" spans="1:23" x14ac:dyDescent="0.3">
      <c r="A264">
        <v>1987</v>
      </c>
      <c r="B264">
        <v>26</v>
      </c>
      <c r="C264" t="s">
        <v>26</v>
      </c>
      <c r="D264" t="s">
        <v>29</v>
      </c>
      <c r="E264" t="s">
        <v>17</v>
      </c>
      <c r="F264" t="s">
        <v>18</v>
      </c>
      <c r="G264">
        <v>107</v>
      </c>
      <c r="H264">
        <v>4147</v>
      </c>
      <c r="I264" t="s">
        <v>24</v>
      </c>
      <c r="J264" s="2">
        <v>42892</v>
      </c>
      <c r="K264">
        <v>59</v>
      </c>
      <c r="L264" t="s">
        <v>25</v>
      </c>
      <c r="M264">
        <v>30</v>
      </c>
      <c r="N264">
        <v>12</v>
      </c>
      <c r="O264">
        <v>4</v>
      </c>
      <c r="P264" t="s">
        <v>25</v>
      </c>
      <c r="Q264" s="1">
        <v>3</v>
      </c>
      <c r="R264" s="2">
        <v>46174</v>
      </c>
      <c r="S264" s="2"/>
      <c r="T264" s="1" t="str">
        <f t="shared" si="12"/>
        <v>ter</v>
      </c>
      <c r="U264" s="1" t="str">
        <f t="shared" si="13"/>
        <v>jun</v>
      </c>
      <c r="V264">
        <f t="shared" si="14"/>
        <v>2017</v>
      </c>
      <c r="W264">
        <f>_xlfn.XLOOKUP(A264,Absenteismo!A:A,Absenteismo!A:A,0)</f>
        <v>0</v>
      </c>
    </row>
    <row r="265" spans="1:23" hidden="1" x14ac:dyDescent="0.3">
      <c r="A265">
        <v>1994</v>
      </c>
      <c r="B265">
        <v>26</v>
      </c>
      <c r="C265" t="s">
        <v>15</v>
      </c>
      <c r="D265" t="s">
        <v>16</v>
      </c>
      <c r="E265" t="s">
        <v>17</v>
      </c>
      <c r="F265" t="s">
        <v>21</v>
      </c>
      <c r="G265">
        <v>27</v>
      </c>
      <c r="H265">
        <v>4569</v>
      </c>
      <c r="I265" t="s">
        <v>19</v>
      </c>
      <c r="J265" s="2">
        <v>44996</v>
      </c>
      <c r="K265">
        <v>22</v>
      </c>
      <c r="L265" t="s">
        <v>20</v>
      </c>
      <c r="M265">
        <v>0</v>
      </c>
      <c r="N265">
        <v>4</v>
      </c>
      <c r="O265">
        <v>3</v>
      </c>
      <c r="P265" t="s">
        <v>25</v>
      </c>
      <c r="Q265" s="1">
        <v>3</v>
      </c>
      <c r="R265" s="2">
        <v>46174</v>
      </c>
      <c r="S265" s="2"/>
      <c r="T265" s="1" t="str">
        <f t="shared" si="12"/>
        <v>sáb</v>
      </c>
      <c r="U265" s="1" t="str">
        <f t="shared" si="13"/>
        <v>mar</v>
      </c>
      <c r="V265">
        <f t="shared" si="14"/>
        <v>2023</v>
      </c>
      <c r="W265">
        <f>_xlfn.XLOOKUP(A265,Absenteismo!A:A,Absenteismo!A:A,0)</f>
        <v>1994</v>
      </c>
    </row>
    <row r="266" spans="1:23" x14ac:dyDescent="0.3">
      <c r="A266">
        <v>2043</v>
      </c>
      <c r="B266">
        <v>26</v>
      </c>
      <c r="C266" t="s">
        <v>15</v>
      </c>
      <c r="D266" t="s">
        <v>29</v>
      </c>
      <c r="E266" t="s">
        <v>17</v>
      </c>
      <c r="F266" t="s">
        <v>21</v>
      </c>
      <c r="G266">
        <v>57</v>
      </c>
      <c r="H266">
        <v>3519</v>
      </c>
      <c r="I266" t="s">
        <v>24</v>
      </c>
      <c r="J266" s="2">
        <v>44294</v>
      </c>
      <c r="K266">
        <v>43</v>
      </c>
      <c r="L266" t="s">
        <v>20</v>
      </c>
      <c r="M266">
        <v>4</v>
      </c>
      <c r="N266">
        <v>8</v>
      </c>
      <c r="O266">
        <v>4</v>
      </c>
      <c r="P266" t="s">
        <v>25</v>
      </c>
      <c r="Q266" s="1">
        <v>1</v>
      </c>
      <c r="R266" s="2">
        <v>46174</v>
      </c>
      <c r="S266" s="2"/>
      <c r="T266" s="1" t="str">
        <f t="shared" si="12"/>
        <v>qui</v>
      </c>
      <c r="U266" s="1" t="str">
        <f t="shared" si="13"/>
        <v>abr</v>
      </c>
      <c r="V266">
        <f t="shared" si="14"/>
        <v>2021</v>
      </c>
      <c r="W266">
        <f>_xlfn.XLOOKUP(A266,Absenteismo!A:A,Absenteismo!A:A,0)</f>
        <v>0</v>
      </c>
    </row>
    <row r="267" spans="1:23" hidden="1" x14ac:dyDescent="0.3">
      <c r="A267">
        <v>2047</v>
      </c>
      <c r="B267">
        <v>26</v>
      </c>
      <c r="C267" t="s">
        <v>26</v>
      </c>
      <c r="D267" t="s">
        <v>29</v>
      </c>
      <c r="E267" t="s">
        <v>17</v>
      </c>
      <c r="F267" t="s">
        <v>23</v>
      </c>
      <c r="G267">
        <v>107</v>
      </c>
      <c r="H267">
        <v>3817</v>
      </c>
      <c r="I267" t="s">
        <v>28</v>
      </c>
      <c r="J267" s="2">
        <v>42900</v>
      </c>
      <c r="K267">
        <v>10</v>
      </c>
      <c r="L267" t="s">
        <v>20</v>
      </c>
      <c r="M267">
        <v>10</v>
      </c>
      <c r="N267">
        <v>5</v>
      </c>
      <c r="O267">
        <v>3</v>
      </c>
      <c r="P267" t="s">
        <v>25</v>
      </c>
      <c r="Q267" s="1">
        <v>3</v>
      </c>
      <c r="R267" s="2">
        <v>46174</v>
      </c>
      <c r="S267" s="2"/>
      <c r="T267" s="1" t="str">
        <f t="shared" si="12"/>
        <v>qua</v>
      </c>
      <c r="U267" s="1" t="str">
        <f t="shared" si="13"/>
        <v>jun</v>
      </c>
      <c r="V267">
        <f t="shared" si="14"/>
        <v>2017</v>
      </c>
      <c r="W267">
        <f>_xlfn.XLOOKUP(A267,Absenteismo!A:A,Absenteismo!A:A,0)</f>
        <v>2047</v>
      </c>
    </row>
    <row r="268" spans="1:23" hidden="1" x14ac:dyDescent="0.3">
      <c r="A268">
        <v>2076</v>
      </c>
      <c r="B268">
        <v>26</v>
      </c>
      <c r="C268" t="s">
        <v>26</v>
      </c>
      <c r="D268" t="s">
        <v>16</v>
      </c>
      <c r="E268" t="s">
        <v>17</v>
      </c>
      <c r="F268" t="s">
        <v>21</v>
      </c>
      <c r="G268">
        <v>78</v>
      </c>
      <c r="H268">
        <v>5860</v>
      </c>
      <c r="I268" t="s">
        <v>33</v>
      </c>
      <c r="J268" s="2">
        <v>43640</v>
      </c>
      <c r="K268">
        <v>55</v>
      </c>
      <c r="L268" t="s">
        <v>20</v>
      </c>
      <c r="M268">
        <v>30</v>
      </c>
      <c r="N268">
        <v>12</v>
      </c>
      <c r="O268">
        <v>3</v>
      </c>
      <c r="P268" t="s">
        <v>25</v>
      </c>
      <c r="Q268" s="1">
        <v>3</v>
      </c>
      <c r="R268" s="2">
        <v>46174</v>
      </c>
      <c r="S268" s="2"/>
      <c r="T268" s="1" t="str">
        <f t="shared" si="12"/>
        <v>seg</v>
      </c>
      <c r="U268" s="1" t="str">
        <f t="shared" si="13"/>
        <v>jun</v>
      </c>
      <c r="V268">
        <f t="shared" si="14"/>
        <v>2019</v>
      </c>
      <c r="W268">
        <f>_xlfn.XLOOKUP(A268,Absenteismo!A:A,Absenteismo!A:A,0)</f>
        <v>2076</v>
      </c>
    </row>
    <row r="269" spans="1:23" hidden="1" x14ac:dyDescent="0.3">
      <c r="A269">
        <v>2132</v>
      </c>
      <c r="B269">
        <v>26</v>
      </c>
      <c r="C269" t="s">
        <v>15</v>
      </c>
      <c r="D269" t="s">
        <v>22</v>
      </c>
      <c r="E269" t="s">
        <v>17</v>
      </c>
      <c r="F269" t="s">
        <v>23</v>
      </c>
      <c r="G269">
        <v>73</v>
      </c>
      <c r="H269">
        <v>5673</v>
      </c>
      <c r="I269" t="s">
        <v>28</v>
      </c>
      <c r="J269" s="2">
        <v>43615</v>
      </c>
      <c r="K269">
        <v>18</v>
      </c>
      <c r="L269" t="s">
        <v>20</v>
      </c>
      <c r="M269">
        <v>10</v>
      </c>
      <c r="N269">
        <v>5</v>
      </c>
      <c r="O269">
        <v>4</v>
      </c>
      <c r="P269" t="s">
        <v>25</v>
      </c>
      <c r="Q269" s="1">
        <v>1</v>
      </c>
      <c r="R269" s="2">
        <v>46174</v>
      </c>
      <c r="S269" s="2"/>
      <c r="T269" s="1" t="str">
        <f t="shared" si="12"/>
        <v>qui</v>
      </c>
      <c r="U269" s="1" t="str">
        <f t="shared" si="13"/>
        <v>mai</v>
      </c>
      <c r="V269">
        <f t="shared" si="14"/>
        <v>2019</v>
      </c>
      <c r="W269">
        <f>_xlfn.XLOOKUP(A269,Absenteismo!A:A,Absenteismo!A:A,0)</f>
        <v>2132</v>
      </c>
    </row>
    <row r="270" spans="1:23" hidden="1" x14ac:dyDescent="0.3">
      <c r="A270">
        <v>2143</v>
      </c>
      <c r="B270">
        <v>26</v>
      </c>
      <c r="C270" t="s">
        <v>15</v>
      </c>
      <c r="D270" t="s">
        <v>16</v>
      </c>
      <c r="E270" t="s">
        <v>17</v>
      </c>
      <c r="F270" t="s">
        <v>23</v>
      </c>
      <c r="G270">
        <v>32</v>
      </c>
      <c r="H270">
        <v>7333</v>
      </c>
      <c r="I270" t="s">
        <v>28</v>
      </c>
      <c r="J270" s="2">
        <v>45172</v>
      </c>
      <c r="K270">
        <v>39</v>
      </c>
      <c r="L270" t="s">
        <v>20</v>
      </c>
      <c r="M270">
        <v>18</v>
      </c>
      <c r="N270">
        <v>12</v>
      </c>
      <c r="O270">
        <v>2</v>
      </c>
      <c r="P270" t="s">
        <v>25</v>
      </c>
      <c r="Q270" s="1">
        <v>2</v>
      </c>
      <c r="R270" s="2">
        <v>46174</v>
      </c>
      <c r="S270" s="2"/>
      <c r="T270" s="1" t="str">
        <f t="shared" si="12"/>
        <v>dom</v>
      </c>
      <c r="U270" s="1" t="str">
        <f t="shared" si="13"/>
        <v>set</v>
      </c>
      <c r="V270">
        <f t="shared" si="14"/>
        <v>2023</v>
      </c>
      <c r="W270">
        <f>_xlfn.XLOOKUP(A270,Absenteismo!A:A,Absenteismo!A:A,0)</f>
        <v>2143</v>
      </c>
    </row>
    <row r="271" spans="1:23" x14ac:dyDescent="0.3">
      <c r="A271">
        <v>2159</v>
      </c>
      <c r="B271">
        <v>26</v>
      </c>
      <c r="C271" t="s">
        <v>15</v>
      </c>
      <c r="D271" t="s">
        <v>16</v>
      </c>
      <c r="E271" t="s">
        <v>17</v>
      </c>
      <c r="F271" t="s">
        <v>18</v>
      </c>
      <c r="G271">
        <v>119</v>
      </c>
      <c r="H271">
        <v>6019</v>
      </c>
      <c r="I271" t="s">
        <v>24</v>
      </c>
      <c r="J271" s="2">
        <v>42263</v>
      </c>
      <c r="K271">
        <v>21</v>
      </c>
      <c r="L271" t="s">
        <v>20</v>
      </c>
      <c r="M271">
        <v>14</v>
      </c>
      <c r="N271">
        <v>1</v>
      </c>
      <c r="O271">
        <v>3</v>
      </c>
      <c r="P271" t="s">
        <v>25</v>
      </c>
      <c r="Q271" s="1">
        <v>3</v>
      </c>
      <c r="R271" s="2">
        <v>46174</v>
      </c>
      <c r="S271" s="2"/>
      <c r="T271" s="1" t="str">
        <f t="shared" si="12"/>
        <v>qua</v>
      </c>
      <c r="U271" s="1" t="str">
        <f t="shared" si="13"/>
        <v>set</v>
      </c>
      <c r="V271">
        <f t="shared" si="14"/>
        <v>2015</v>
      </c>
      <c r="W271">
        <f>_xlfn.XLOOKUP(A271,Absenteismo!A:A,Absenteismo!A:A,0)</f>
        <v>0</v>
      </c>
    </row>
    <row r="272" spans="1:23" hidden="1" x14ac:dyDescent="0.3">
      <c r="A272">
        <v>1490</v>
      </c>
      <c r="B272">
        <v>27</v>
      </c>
      <c r="C272" t="s">
        <v>15</v>
      </c>
      <c r="D272" t="s">
        <v>22</v>
      </c>
      <c r="E272" t="s">
        <v>17</v>
      </c>
      <c r="F272" t="s">
        <v>23</v>
      </c>
      <c r="G272">
        <v>103</v>
      </c>
      <c r="H272">
        <v>7378</v>
      </c>
      <c r="I272" t="s">
        <v>19</v>
      </c>
      <c r="J272" s="2">
        <v>42619</v>
      </c>
      <c r="K272">
        <v>31</v>
      </c>
      <c r="L272" t="s">
        <v>20</v>
      </c>
      <c r="M272">
        <v>21</v>
      </c>
      <c r="N272">
        <v>4</v>
      </c>
      <c r="O272">
        <v>2</v>
      </c>
      <c r="P272" t="s">
        <v>20</v>
      </c>
      <c r="Q272" s="1">
        <v>3</v>
      </c>
      <c r="R272" s="2">
        <v>46174</v>
      </c>
      <c r="S272" s="2">
        <v>45753</v>
      </c>
      <c r="T272" s="1" t="str">
        <f t="shared" si="12"/>
        <v>ter</v>
      </c>
      <c r="U272" s="1" t="str">
        <f t="shared" si="13"/>
        <v>set</v>
      </c>
      <c r="V272">
        <f t="shared" si="14"/>
        <v>2016</v>
      </c>
      <c r="W272">
        <f>_xlfn.XLOOKUP(A272,Absenteismo!A:A,Absenteismo!A:A,0)</f>
        <v>1490</v>
      </c>
    </row>
    <row r="273" spans="1:23" hidden="1" x14ac:dyDescent="0.3">
      <c r="A273">
        <v>1377</v>
      </c>
      <c r="B273">
        <v>27</v>
      </c>
      <c r="C273" t="s">
        <v>26</v>
      </c>
      <c r="D273" t="s">
        <v>31</v>
      </c>
      <c r="E273" t="s">
        <v>32</v>
      </c>
      <c r="F273" t="s">
        <v>21</v>
      </c>
      <c r="G273">
        <v>76</v>
      </c>
      <c r="H273">
        <v>5519</v>
      </c>
      <c r="I273" t="s">
        <v>30</v>
      </c>
      <c r="J273" s="2">
        <v>43460</v>
      </c>
      <c r="K273">
        <v>21</v>
      </c>
      <c r="L273" t="s">
        <v>25</v>
      </c>
      <c r="M273">
        <v>6</v>
      </c>
      <c r="N273">
        <v>8</v>
      </c>
      <c r="O273">
        <v>5</v>
      </c>
      <c r="P273" t="s">
        <v>20</v>
      </c>
      <c r="Q273" s="1">
        <v>3</v>
      </c>
      <c r="R273" s="2">
        <v>46174</v>
      </c>
      <c r="S273" s="2">
        <v>45773</v>
      </c>
      <c r="T273" s="1" t="str">
        <f t="shared" si="12"/>
        <v>qua</v>
      </c>
      <c r="U273" s="1" t="str">
        <f t="shared" si="13"/>
        <v>dez</v>
      </c>
      <c r="V273">
        <f t="shared" si="14"/>
        <v>2018</v>
      </c>
      <c r="W273">
        <f>_xlfn.XLOOKUP(A273,Absenteismo!A:A,Absenteismo!A:A,0)</f>
        <v>1377</v>
      </c>
    </row>
    <row r="274" spans="1:23" hidden="1" x14ac:dyDescent="0.3">
      <c r="A274">
        <v>1298</v>
      </c>
      <c r="B274">
        <v>27</v>
      </c>
      <c r="C274" t="s">
        <v>26</v>
      </c>
      <c r="D274" t="s">
        <v>27</v>
      </c>
      <c r="E274" t="s">
        <v>17</v>
      </c>
      <c r="F274" t="s">
        <v>21</v>
      </c>
      <c r="G274">
        <v>83</v>
      </c>
      <c r="H274">
        <v>5055</v>
      </c>
      <c r="I274" t="s">
        <v>33</v>
      </c>
      <c r="J274" s="2">
        <v>43257</v>
      </c>
      <c r="K274">
        <v>41</v>
      </c>
      <c r="L274" t="s">
        <v>20</v>
      </c>
      <c r="M274">
        <v>22</v>
      </c>
      <c r="N274">
        <v>7</v>
      </c>
      <c r="O274">
        <v>4</v>
      </c>
      <c r="P274" t="s">
        <v>20</v>
      </c>
      <c r="Q274" s="1">
        <v>1</v>
      </c>
      <c r="R274" s="2">
        <v>46174</v>
      </c>
      <c r="S274" s="2">
        <v>45783</v>
      </c>
      <c r="T274" s="1" t="str">
        <f t="shared" si="12"/>
        <v>qua</v>
      </c>
      <c r="U274" s="1" t="str">
        <f t="shared" si="13"/>
        <v>jun</v>
      </c>
      <c r="V274">
        <f t="shared" si="14"/>
        <v>2018</v>
      </c>
      <c r="W274">
        <f>_xlfn.XLOOKUP(A274,Absenteismo!A:A,Absenteismo!A:A,0)</f>
        <v>1298</v>
      </c>
    </row>
    <row r="275" spans="1:23" hidden="1" x14ac:dyDescent="0.3">
      <c r="A275">
        <v>1761</v>
      </c>
      <c r="B275">
        <v>27</v>
      </c>
      <c r="C275" t="s">
        <v>15</v>
      </c>
      <c r="D275" t="s">
        <v>27</v>
      </c>
      <c r="E275" t="s">
        <v>17</v>
      </c>
      <c r="F275" t="s">
        <v>21</v>
      </c>
      <c r="G275">
        <v>62</v>
      </c>
      <c r="H275">
        <v>4196</v>
      </c>
      <c r="I275" t="s">
        <v>28</v>
      </c>
      <c r="J275" s="2">
        <v>43915</v>
      </c>
      <c r="K275">
        <v>41</v>
      </c>
      <c r="L275" t="s">
        <v>20</v>
      </c>
      <c r="M275">
        <v>24</v>
      </c>
      <c r="N275">
        <v>2</v>
      </c>
      <c r="O275">
        <v>3</v>
      </c>
      <c r="P275" t="s">
        <v>20</v>
      </c>
      <c r="Q275" s="1">
        <v>1</v>
      </c>
      <c r="R275" s="2">
        <v>46174</v>
      </c>
      <c r="S275" s="2">
        <v>45802</v>
      </c>
      <c r="T275" s="1" t="str">
        <f t="shared" si="12"/>
        <v>qua</v>
      </c>
      <c r="U275" s="1" t="str">
        <f t="shared" si="13"/>
        <v>mar</v>
      </c>
      <c r="V275">
        <f t="shared" si="14"/>
        <v>2020</v>
      </c>
      <c r="W275">
        <f>_xlfn.XLOOKUP(A275,Absenteismo!A:A,Absenteismo!A:A,0)</f>
        <v>1761</v>
      </c>
    </row>
    <row r="276" spans="1:23" x14ac:dyDescent="0.3">
      <c r="A276">
        <v>1066</v>
      </c>
      <c r="B276">
        <v>27</v>
      </c>
      <c r="C276" t="s">
        <v>26</v>
      </c>
      <c r="D276" t="s">
        <v>22</v>
      </c>
      <c r="E276" t="s">
        <v>17</v>
      </c>
      <c r="F276" t="s">
        <v>23</v>
      </c>
      <c r="G276">
        <v>8</v>
      </c>
      <c r="H276">
        <v>4159</v>
      </c>
      <c r="I276" t="s">
        <v>24</v>
      </c>
      <c r="J276" s="2">
        <v>45586</v>
      </c>
      <c r="K276">
        <v>59</v>
      </c>
      <c r="L276" t="s">
        <v>25</v>
      </c>
      <c r="M276">
        <v>18</v>
      </c>
      <c r="N276">
        <v>7</v>
      </c>
      <c r="O276">
        <v>2</v>
      </c>
      <c r="P276" t="s">
        <v>20</v>
      </c>
      <c r="Q276" s="1">
        <v>3</v>
      </c>
      <c r="R276" s="2">
        <v>46174</v>
      </c>
      <c r="S276" s="2">
        <v>45829</v>
      </c>
      <c r="T276" s="1" t="str">
        <f t="shared" si="12"/>
        <v>seg</v>
      </c>
      <c r="U276" s="1" t="str">
        <f t="shared" si="13"/>
        <v>out</v>
      </c>
      <c r="V276">
        <f t="shared" si="14"/>
        <v>2024</v>
      </c>
      <c r="W276">
        <f>_xlfn.XLOOKUP(A276,Absenteismo!A:A,Absenteismo!A:A,0)</f>
        <v>0</v>
      </c>
    </row>
    <row r="277" spans="1:23" hidden="1" x14ac:dyDescent="0.3">
      <c r="A277">
        <v>1705</v>
      </c>
      <c r="B277">
        <v>27</v>
      </c>
      <c r="C277" t="s">
        <v>26</v>
      </c>
      <c r="D277" t="s">
        <v>16</v>
      </c>
      <c r="E277" t="s">
        <v>17</v>
      </c>
      <c r="F277" t="s">
        <v>21</v>
      </c>
      <c r="G277">
        <v>82</v>
      </c>
      <c r="H277">
        <v>3051</v>
      </c>
      <c r="I277" t="s">
        <v>30</v>
      </c>
      <c r="J277" s="2">
        <v>43342</v>
      </c>
      <c r="K277">
        <v>25</v>
      </c>
      <c r="L277" t="s">
        <v>20</v>
      </c>
      <c r="M277">
        <v>24</v>
      </c>
      <c r="N277">
        <v>6</v>
      </c>
      <c r="O277">
        <v>5</v>
      </c>
      <c r="P277" t="s">
        <v>20</v>
      </c>
      <c r="Q277" s="1">
        <v>1</v>
      </c>
      <c r="R277" s="2">
        <v>46174</v>
      </c>
      <c r="S277" s="2">
        <v>45838</v>
      </c>
      <c r="T277" s="1" t="str">
        <f t="shared" si="12"/>
        <v>qui</v>
      </c>
      <c r="U277" s="1" t="str">
        <f t="shared" si="13"/>
        <v>ago</v>
      </c>
      <c r="V277">
        <f t="shared" si="14"/>
        <v>2018</v>
      </c>
      <c r="W277">
        <f>_xlfn.XLOOKUP(A277,Absenteismo!A:A,Absenteismo!A:A,0)</f>
        <v>1705</v>
      </c>
    </row>
    <row r="278" spans="1:23" x14ac:dyDescent="0.3">
      <c r="A278">
        <v>1366</v>
      </c>
      <c r="B278">
        <v>27</v>
      </c>
      <c r="C278" t="s">
        <v>26</v>
      </c>
      <c r="D278" t="s">
        <v>22</v>
      </c>
      <c r="E278" t="s">
        <v>17</v>
      </c>
      <c r="F278" t="s">
        <v>23</v>
      </c>
      <c r="G278">
        <v>8</v>
      </c>
      <c r="H278">
        <v>4159</v>
      </c>
      <c r="I278" t="s">
        <v>24</v>
      </c>
      <c r="J278" s="2">
        <v>45607</v>
      </c>
      <c r="K278">
        <v>59</v>
      </c>
      <c r="L278" t="s">
        <v>25</v>
      </c>
      <c r="M278">
        <v>18</v>
      </c>
      <c r="N278">
        <v>7</v>
      </c>
      <c r="O278">
        <v>2</v>
      </c>
      <c r="P278" t="s">
        <v>20</v>
      </c>
      <c r="Q278" s="1">
        <v>2</v>
      </c>
      <c r="R278" s="2">
        <v>46174</v>
      </c>
      <c r="S278" s="2">
        <v>45849</v>
      </c>
      <c r="T278" s="1" t="str">
        <f t="shared" si="12"/>
        <v>seg</v>
      </c>
      <c r="U278" s="1" t="str">
        <f t="shared" si="13"/>
        <v>nov</v>
      </c>
      <c r="V278">
        <f t="shared" si="14"/>
        <v>2024</v>
      </c>
      <c r="W278">
        <f>_xlfn.XLOOKUP(A278,Absenteismo!A:A,Absenteismo!A:A,0)</f>
        <v>0</v>
      </c>
    </row>
    <row r="279" spans="1:23" hidden="1" x14ac:dyDescent="0.3">
      <c r="A279">
        <v>1405</v>
      </c>
      <c r="B279">
        <v>27</v>
      </c>
      <c r="C279" t="s">
        <v>26</v>
      </c>
      <c r="D279" t="s">
        <v>16</v>
      </c>
      <c r="E279" t="s">
        <v>17</v>
      </c>
      <c r="F279" t="s">
        <v>21</v>
      </c>
      <c r="G279">
        <v>82</v>
      </c>
      <c r="H279">
        <v>3051</v>
      </c>
      <c r="I279" t="s">
        <v>30</v>
      </c>
      <c r="J279" s="2">
        <v>43356</v>
      </c>
      <c r="K279">
        <v>34</v>
      </c>
      <c r="L279" t="s">
        <v>20</v>
      </c>
      <c r="M279">
        <v>24</v>
      </c>
      <c r="N279">
        <v>6</v>
      </c>
      <c r="O279">
        <v>5</v>
      </c>
      <c r="P279" t="s">
        <v>20</v>
      </c>
      <c r="Q279" s="1">
        <v>2</v>
      </c>
      <c r="R279" s="2">
        <v>46174</v>
      </c>
      <c r="S279" s="2">
        <v>45851</v>
      </c>
      <c r="T279" s="1" t="str">
        <f t="shared" si="12"/>
        <v>qui</v>
      </c>
      <c r="U279" s="1" t="str">
        <f t="shared" si="13"/>
        <v>set</v>
      </c>
      <c r="V279">
        <f t="shared" si="14"/>
        <v>2018</v>
      </c>
      <c r="W279">
        <f>_xlfn.XLOOKUP(A279,Absenteismo!A:A,Absenteismo!A:A,0)</f>
        <v>1405</v>
      </c>
    </row>
    <row r="280" spans="1:23" hidden="1" x14ac:dyDescent="0.3">
      <c r="A280">
        <v>1677</v>
      </c>
      <c r="B280">
        <v>27</v>
      </c>
      <c r="C280" t="s">
        <v>26</v>
      </c>
      <c r="D280" t="s">
        <v>31</v>
      </c>
      <c r="E280" t="s">
        <v>32</v>
      </c>
      <c r="F280" t="s">
        <v>21</v>
      </c>
      <c r="G280">
        <v>76</v>
      </c>
      <c r="H280">
        <v>5519</v>
      </c>
      <c r="I280" t="s">
        <v>30</v>
      </c>
      <c r="J280" s="2">
        <v>43563</v>
      </c>
      <c r="K280">
        <v>5</v>
      </c>
      <c r="L280" t="s">
        <v>25</v>
      </c>
      <c r="M280">
        <v>6</v>
      </c>
      <c r="N280">
        <v>8</v>
      </c>
      <c r="O280">
        <v>5</v>
      </c>
      <c r="P280" t="s">
        <v>20</v>
      </c>
      <c r="Q280" s="1">
        <v>1</v>
      </c>
      <c r="R280" s="2">
        <v>46174</v>
      </c>
      <c r="S280" s="2">
        <v>45877</v>
      </c>
      <c r="T280" s="1" t="str">
        <f t="shared" si="12"/>
        <v>seg</v>
      </c>
      <c r="U280" s="1" t="str">
        <f t="shared" si="13"/>
        <v>abr</v>
      </c>
      <c r="V280">
        <f t="shared" si="14"/>
        <v>2019</v>
      </c>
      <c r="W280">
        <f>_xlfn.XLOOKUP(A280,Absenteismo!A:A,Absenteismo!A:A,0)</f>
        <v>1677</v>
      </c>
    </row>
    <row r="281" spans="1:23" hidden="1" x14ac:dyDescent="0.3">
      <c r="A281">
        <v>1105</v>
      </c>
      <c r="B281">
        <v>27</v>
      </c>
      <c r="C281" t="s">
        <v>26</v>
      </c>
      <c r="D281" t="s">
        <v>16</v>
      </c>
      <c r="E281" t="s">
        <v>17</v>
      </c>
      <c r="F281" t="s">
        <v>21</v>
      </c>
      <c r="G281">
        <v>82</v>
      </c>
      <c r="H281">
        <v>3051</v>
      </c>
      <c r="I281" t="s">
        <v>30</v>
      </c>
      <c r="J281" s="2">
        <v>43389</v>
      </c>
      <c r="K281">
        <v>15</v>
      </c>
      <c r="L281" t="s">
        <v>20</v>
      </c>
      <c r="M281">
        <v>24</v>
      </c>
      <c r="N281">
        <v>6</v>
      </c>
      <c r="O281">
        <v>5</v>
      </c>
      <c r="P281" t="s">
        <v>20</v>
      </c>
      <c r="Q281" s="1">
        <v>2</v>
      </c>
      <c r="R281" s="2">
        <v>46174</v>
      </c>
      <c r="S281" s="2">
        <v>45885</v>
      </c>
      <c r="T281" s="1" t="str">
        <f t="shared" si="12"/>
        <v>ter</v>
      </c>
      <c r="U281" s="1" t="str">
        <f t="shared" si="13"/>
        <v>out</v>
      </c>
      <c r="V281">
        <f t="shared" si="14"/>
        <v>2018</v>
      </c>
      <c r="W281">
        <f>_xlfn.XLOOKUP(A281,Absenteismo!A:A,Absenteismo!A:A,0)</f>
        <v>1105</v>
      </c>
    </row>
    <row r="282" spans="1:23" x14ac:dyDescent="0.3">
      <c r="A282">
        <v>1666</v>
      </c>
      <c r="B282">
        <v>27</v>
      </c>
      <c r="C282" t="s">
        <v>26</v>
      </c>
      <c r="D282" t="s">
        <v>22</v>
      </c>
      <c r="E282" t="s">
        <v>17</v>
      </c>
      <c r="F282" t="s">
        <v>23</v>
      </c>
      <c r="G282">
        <v>8</v>
      </c>
      <c r="H282">
        <v>4159</v>
      </c>
      <c r="I282" t="s">
        <v>24</v>
      </c>
      <c r="J282" s="2">
        <v>45740</v>
      </c>
      <c r="K282">
        <v>39</v>
      </c>
      <c r="L282" t="s">
        <v>20</v>
      </c>
      <c r="M282">
        <v>18</v>
      </c>
      <c r="N282">
        <v>7</v>
      </c>
      <c r="O282">
        <v>2</v>
      </c>
      <c r="P282" t="s">
        <v>20</v>
      </c>
      <c r="Q282" s="1">
        <v>2</v>
      </c>
      <c r="R282" s="2">
        <v>46174</v>
      </c>
      <c r="S282" s="2">
        <v>45985</v>
      </c>
      <c r="T282" s="1" t="str">
        <f t="shared" si="12"/>
        <v>seg</v>
      </c>
      <c r="U282" s="1" t="str">
        <f t="shared" si="13"/>
        <v>mar</v>
      </c>
      <c r="V282">
        <f t="shared" si="14"/>
        <v>2025</v>
      </c>
      <c r="W282">
        <f>_xlfn.XLOOKUP(A282,Absenteismo!A:A,Absenteismo!A:A,0)</f>
        <v>0</v>
      </c>
    </row>
    <row r="283" spans="1:23" x14ac:dyDescent="0.3">
      <c r="A283">
        <v>1123</v>
      </c>
      <c r="B283">
        <v>27</v>
      </c>
      <c r="C283" t="s">
        <v>15</v>
      </c>
      <c r="D283" t="s">
        <v>29</v>
      </c>
      <c r="E283" t="s">
        <v>17</v>
      </c>
      <c r="F283" t="s">
        <v>23</v>
      </c>
      <c r="G283">
        <v>21</v>
      </c>
      <c r="H283">
        <v>4281</v>
      </c>
      <c r="I283" t="s">
        <v>28</v>
      </c>
      <c r="J283" s="2">
        <v>45346</v>
      </c>
      <c r="K283">
        <v>55</v>
      </c>
      <c r="L283" t="s">
        <v>25</v>
      </c>
      <c r="M283">
        <v>28</v>
      </c>
      <c r="N283">
        <v>0</v>
      </c>
      <c r="O283">
        <v>5</v>
      </c>
      <c r="P283" t="s">
        <v>20</v>
      </c>
      <c r="Q283" s="1">
        <v>1</v>
      </c>
      <c r="R283" s="2">
        <v>46174</v>
      </c>
      <c r="S283" s="2">
        <v>45985</v>
      </c>
      <c r="T283" s="1" t="str">
        <f t="shared" si="12"/>
        <v>sáb</v>
      </c>
      <c r="U283" s="1" t="str">
        <f t="shared" si="13"/>
        <v>fev</v>
      </c>
      <c r="V283">
        <f t="shared" si="14"/>
        <v>2024</v>
      </c>
      <c r="W283">
        <f>_xlfn.XLOOKUP(A283,Absenteismo!A:A,Absenteismo!A:A,0)</f>
        <v>0</v>
      </c>
    </row>
    <row r="284" spans="1:23" hidden="1" x14ac:dyDescent="0.3">
      <c r="A284">
        <v>1031</v>
      </c>
      <c r="B284">
        <v>27</v>
      </c>
      <c r="C284" t="s">
        <v>15</v>
      </c>
      <c r="D284" t="s">
        <v>22</v>
      </c>
      <c r="E284" t="s">
        <v>17</v>
      </c>
      <c r="F284" t="s">
        <v>23</v>
      </c>
      <c r="G284">
        <v>113</v>
      </c>
      <c r="H284">
        <v>6177</v>
      </c>
      <c r="I284" t="s">
        <v>30</v>
      </c>
      <c r="J284" s="2">
        <v>42383</v>
      </c>
      <c r="K284">
        <v>12</v>
      </c>
      <c r="L284" t="s">
        <v>20</v>
      </c>
      <c r="M284">
        <v>21</v>
      </c>
      <c r="N284">
        <v>12</v>
      </c>
      <c r="O284">
        <v>5</v>
      </c>
      <c r="P284" t="s">
        <v>25</v>
      </c>
      <c r="Q284" s="1">
        <v>1</v>
      </c>
      <c r="R284" s="2">
        <v>46174</v>
      </c>
      <c r="S284" s="2"/>
      <c r="T284" s="1" t="str">
        <f t="shared" si="12"/>
        <v>qui</v>
      </c>
      <c r="U284" s="1" t="str">
        <f t="shared" si="13"/>
        <v>jan</v>
      </c>
      <c r="V284">
        <f t="shared" si="14"/>
        <v>2016</v>
      </c>
      <c r="W284">
        <f>_xlfn.XLOOKUP(A284,Absenteismo!A:A,Absenteismo!A:A,0)</f>
        <v>1031</v>
      </c>
    </row>
    <row r="285" spans="1:23" hidden="1" x14ac:dyDescent="0.3">
      <c r="A285">
        <v>1074</v>
      </c>
      <c r="B285">
        <v>27</v>
      </c>
      <c r="C285" t="s">
        <v>26</v>
      </c>
      <c r="D285" t="s">
        <v>16</v>
      </c>
      <c r="E285" t="s">
        <v>17</v>
      </c>
      <c r="F285" t="s">
        <v>21</v>
      </c>
      <c r="G285">
        <v>66</v>
      </c>
      <c r="H285">
        <v>3918</v>
      </c>
      <c r="I285" t="s">
        <v>30</v>
      </c>
      <c r="J285" s="2">
        <v>43947</v>
      </c>
      <c r="K285">
        <v>18</v>
      </c>
      <c r="L285" t="s">
        <v>20</v>
      </c>
      <c r="M285">
        <v>26</v>
      </c>
      <c r="N285">
        <v>5</v>
      </c>
      <c r="O285">
        <v>4</v>
      </c>
      <c r="P285" t="s">
        <v>25</v>
      </c>
      <c r="Q285" s="1">
        <v>3</v>
      </c>
      <c r="R285" s="2">
        <v>46174</v>
      </c>
      <c r="S285" s="2"/>
      <c r="T285" s="1" t="str">
        <f t="shared" si="12"/>
        <v>dom</v>
      </c>
      <c r="U285" s="1" t="str">
        <f t="shared" si="13"/>
        <v>abr</v>
      </c>
      <c r="V285">
        <f t="shared" si="14"/>
        <v>2020</v>
      </c>
      <c r="W285">
        <f>_xlfn.XLOOKUP(A285,Absenteismo!A:A,Absenteismo!A:A,0)</f>
        <v>1074</v>
      </c>
    </row>
    <row r="286" spans="1:23" hidden="1" x14ac:dyDescent="0.3">
      <c r="A286">
        <v>1077</v>
      </c>
      <c r="B286">
        <v>27</v>
      </c>
      <c r="C286" t="s">
        <v>26</v>
      </c>
      <c r="D286" t="s">
        <v>31</v>
      </c>
      <c r="E286" t="s">
        <v>32</v>
      </c>
      <c r="F286" t="s">
        <v>21</v>
      </c>
      <c r="G286">
        <v>76</v>
      </c>
      <c r="H286">
        <v>5519</v>
      </c>
      <c r="I286" t="s">
        <v>30</v>
      </c>
      <c r="J286" s="2">
        <v>43758</v>
      </c>
      <c r="K286">
        <v>43</v>
      </c>
      <c r="L286" t="s">
        <v>25</v>
      </c>
      <c r="M286">
        <v>6</v>
      </c>
      <c r="N286">
        <v>8</v>
      </c>
      <c r="O286">
        <v>5</v>
      </c>
      <c r="P286" t="s">
        <v>25</v>
      </c>
      <c r="Q286" s="1">
        <v>1</v>
      </c>
      <c r="R286" s="2">
        <v>46174</v>
      </c>
      <c r="S286" s="2"/>
      <c r="T286" s="1" t="str">
        <f t="shared" si="12"/>
        <v>dom</v>
      </c>
      <c r="U286" s="1" t="str">
        <f t="shared" si="13"/>
        <v>out</v>
      </c>
      <c r="V286">
        <f t="shared" si="14"/>
        <v>2019</v>
      </c>
      <c r="W286">
        <f>_xlfn.XLOOKUP(A286,Absenteismo!A:A,Absenteismo!A:A,0)</f>
        <v>1077</v>
      </c>
    </row>
    <row r="287" spans="1:23" x14ac:dyDescent="0.3">
      <c r="A287">
        <v>1078</v>
      </c>
      <c r="B287">
        <v>27</v>
      </c>
      <c r="C287" t="s">
        <v>26</v>
      </c>
      <c r="D287" t="s">
        <v>22</v>
      </c>
      <c r="E287" t="s">
        <v>17</v>
      </c>
      <c r="F287" t="s">
        <v>23</v>
      </c>
      <c r="G287">
        <v>10</v>
      </c>
      <c r="H287">
        <v>6646</v>
      </c>
      <c r="I287" t="s">
        <v>24</v>
      </c>
      <c r="J287" s="2">
        <v>45698</v>
      </c>
      <c r="K287">
        <v>22</v>
      </c>
      <c r="L287" t="s">
        <v>20</v>
      </c>
      <c r="M287">
        <v>25</v>
      </c>
      <c r="N287">
        <v>10</v>
      </c>
      <c r="O287">
        <v>2</v>
      </c>
      <c r="P287" t="s">
        <v>25</v>
      </c>
      <c r="Q287" s="1">
        <v>3</v>
      </c>
      <c r="R287" s="2">
        <v>46174</v>
      </c>
      <c r="S287" s="2"/>
      <c r="T287" s="1" t="str">
        <f t="shared" si="12"/>
        <v>seg</v>
      </c>
      <c r="U287" s="1" t="str">
        <f t="shared" si="13"/>
        <v>fev</v>
      </c>
      <c r="V287">
        <f t="shared" si="14"/>
        <v>2025</v>
      </c>
      <c r="W287">
        <f>_xlfn.XLOOKUP(A287,Absenteismo!A:A,Absenteismo!A:A,0)</f>
        <v>0</v>
      </c>
    </row>
    <row r="288" spans="1:23" x14ac:dyDescent="0.3">
      <c r="A288">
        <v>1130</v>
      </c>
      <c r="B288">
        <v>27</v>
      </c>
      <c r="C288" t="s">
        <v>26</v>
      </c>
      <c r="D288" t="s">
        <v>16</v>
      </c>
      <c r="E288" t="s">
        <v>17</v>
      </c>
      <c r="F288" t="s">
        <v>18</v>
      </c>
      <c r="G288">
        <v>31</v>
      </c>
      <c r="H288">
        <v>5267</v>
      </c>
      <c r="I288" t="s">
        <v>30</v>
      </c>
      <c r="J288" s="2">
        <v>44817</v>
      </c>
      <c r="K288">
        <v>4</v>
      </c>
      <c r="L288" t="s">
        <v>20</v>
      </c>
      <c r="M288">
        <v>29</v>
      </c>
      <c r="N288">
        <v>1</v>
      </c>
      <c r="O288">
        <v>2</v>
      </c>
      <c r="P288" t="s">
        <v>25</v>
      </c>
      <c r="Q288" s="1">
        <v>3</v>
      </c>
      <c r="R288" s="2">
        <v>46174</v>
      </c>
      <c r="S288" s="2"/>
      <c r="T288" s="1" t="str">
        <f t="shared" si="12"/>
        <v>ter</v>
      </c>
      <c r="U288" s="1" t="str">
        <f t="shared" si="13"/>
        <v>set</v>
      </c>
      <c r="V288">
        <f t="shared" si="14"/>
        <v>2022</v>
      </c>
      <c r="W288">
        <f>_xlfn.XLOOKUP(A288,Absenteismo!A:A,Absenteismo!A:A,0)</f>
        <v>0</v>
      </c>
    </row>
    <row r="289" spans="1:23" hidden="1" x14ac:dyDescent="0.3">
      <c r="A289">
        <v>1166</v>
      </c>
      <c r="B289">
        <v>27</v>
      </c>
      <c r="C289" t="s">
        <v>26</v>
      </c>
      <c r="D289" t="s">
        <v>16</v>
      </c>
      <c r="E289" t="s">
        <v>17</v>
      </c>
      <c r="F289" t="s">
        <v>21</v>
      </c>
      <c r="G289">
        <v>11</v>
      </c>
      <c r="H289">
        <v>5637</v>
      </c>
      <c r="I289" t="s">
        <v>33</v>
      </c>
      <c r="J289" s="2">
        <v>45616</v>
      </c>
      <c r="K289">
        <v>42</v>
      </c>
      <c r="L289" t="s">
        <v>20</v>
      </c>
      <c r="M289">
        <v>30</v>
      </c>
      <c r="N289">
        <v>3</v>
      </c>
      <c r="O289">
        <v>3</v>
      </c>
      <c r="P289" t="s">
        <v>25</v>
      </c>
      <c r="Q289" s="1">
        <v>3</v>
      </c>
      <c r="R289" s="2">
        <v>46174</v>
      </c>
      <c r="S289" s="2"/>
      <c r="T289" s="1" t="str">
        <f t="shared" si="12"/>
        <v>qua</v>
      </c>
      <c r="U289" s="1" t="str">
        <f t="shared" si="13"/>
        <v>nov</v>
      </c>
      <c r="V289">
        <f t="shared" si="14"/>
        <v>2024</v>
      </c>
      <c r="W289">
        <f>_xlfn.XLOOKUP(A289,Absenteismo!A:A,Absenteismo!A:A,0)</f>
        <v>1166</v>
      </c>
    </row>
    <row r="290" spans="1:23" x14ac:dyDescent="0.3">
      <c r="A290">
        <v>1178</v>
      </c>
      <c r="B290">
        <v>27</v>
      </c>
      <c r="C290" t="s">
        <v>15</v>
      </c>
      <c r="D290" t="s">
        <v>16</v>
      </c>
      <c r="E290" t="s">
        <v>17</v>
      </c>
      <c r="F290" t="s">
        <v>21</v>
      </c>
      <c r="G290">
        <v>57</v>
      </c>
      <c r="H290">
        <v>3752</v>
      </c>
      <c r="I290" t="s">
        <v>19</v>
      </c>
      <c r="J290" s="2">
        <v>44432</v>
      </c>
      <c r="K290">
        <v>46</v>
      </c>
      <c r="L290" t="s">
        <v>20</v>
      </c>
      <c r="M290">
        <v>5</v>
      </c>
      <c r="N290">
        <v>8</v>
      </c>
      <c r="O290">
        <v>5</v>
      </c>
      <c r="P290" t="s">
        <v>25</v>
      </c>
      <c r="Q290" s="1">
        <v>2</v>
      </c>
      <c r="R290" s="2">
        <v>46174</v>
      </c>
      <c r="S290" s="2"/>
      <c r="T290" s="1" t="str">
        <f t="shared" si="12"/>
        <v>ter</v>
      </c>
      <c r="U290" s="1" t="str">
        <f t="shared" si="13"/>
        <v>ago</v>
      </c>
      <c r="V290">
        <f t="shared" si="14"/>
        <v>2021</v>
      </c>
      <c r="W290">
        <f>_xlfn.XLOOKUP(A290,Absenteismo!A:A,Absenteismo!A:A,0)</f>
        <v>0</v>
      </c>
    </row>
    <row r="291" spans="1:23" x14ac:dyDescent="0.3">
      <c r="A291">
        <v>1186</v>
      </c>
      <c r="B291">
        <v>27</v>
      </c>
      <c r="C291" t="s">
        <v>15</v>
      </c>
      <c r="D291" t="s">
        <v>29</v>
      </c>
      <c r="E291" t="s">
        <v>17</v>
      </c>
      <c r="F291" t="s">
        <v>18</v>
      </c>
      <c r="G291">
        <v>8</v>
      </c>
      <c r="H291">
        <v>7360</v>
      </c>
      <c r="I291" t="s">
        <v>28</v>
      </c>
      <c r="J291" s="2">
        <v>45953</v>
      </c>
      <c r="K291">
        <v>57</v>
      </c>
      <c r="L291" t="s">
        <v>20</v>
      </c>
      <c r="M291">
        <v>11</v>
      </c>
      <c r="N291">
        <v>10</v>
      </c>
      <c r="O291">
        <v>5</v>
      </c>
      <c r="P291" t="s">
        <v>25</v>
      </c>
      <c r="Q291" s="1">
        <v>2</v>
      </c>
      <c r="R291" s="2">
        <v>46174</v>
      </c>
      <c r="S291" s="2"/>
      <c r="T291" s="1" t="str">
        <f t="shared" si="12"/>
        <v>qui</v>
      </c>
      <c r="U291" s="1" t="str">
        <f t="shared" si="13"/>
        <v>out</v>
      </c>
      <c r="V291">
        <f t="shared" si="14"/>
        <v>2025</v>
      </c>
      <c r="W291">
        <f>_xlfn.XLOOKUP(A291,Absenteismo!A:A,Absenteismo!A:A,0)</f>
        <v>0</v>
      </c>
    </row>
    <row r="292" spans="1:23" x14ac:dyDescent="0.3">
      <c r="A292">
        <v>1207</v>
      </c>
      <c r="B292">
        <v>27</v>
      </c>
      <c r="C292" t="s">
        <v>26</v>
      </c>
      <c r="D292" t="s">
        <v>27</v>
      </c>
      <c r="E292" t="s">
        <v>17</v>
      </c>
      <c r="F292" t="s">
        <v>21</v>
      </c>
      <c r="G292">
        <v>20</v>
      </c>
      <c r="H292">
        <v>5991</v>
      </c>
      <c r="I292" t="s">
        <v>24</v>
      </c>
      <c r="J292" s="2">
        <v>45541</v>
      </c>
      <c r="K292">
        <v>24</v>
      </c>
      <c r="L292" t="s">
        <v>20</v>
      </c>
      <c r="M292">
        <v>0</v>
      </c>
      <c r="N292">
        <v>4</v>
      </c>
      <c r="O292">
        <v>5</v>
      </c>
      <c r="P292" t="s">
        <v>25</v>
      </c>
      <c r="Q292" s="1">
        <v>1</v>
      </c>
      <c r="R292" s="2">
        <v>46174</v>
      </c>
      <c r="S292" s="2"/>
      <c r="T292" s="1" t="str">
        <f t="shared" si="12"/>
        <v>sex</v>
      </c>
      <c r="U292" s="1" t="str">
        <f t="shared" si="13"/>
        <v>set</v>
      </c>
      <c r="V292">
        <f t="shared" si="14"/>
        <v>2024</v>
      </c>
      <c r="W292">
        <f>_xlfn.XLOOKUP(A292,Absenteismo!A:A,Absenteismo!A:A,0)</f>
        <v>0</v>
      </c>
    </row>
    <row r="293" spans="1:23" hidden="1" x14ac:dyDescent="0.3">
      <c r="A293">
        <v>1273</v>
      </c>
      <c r="B293">
        <v>27</v>
      </c>
      <c r="C293" t="s">
        <v>15</v>
      </c>
      <c r="D293" t="s">
        <v>22</v>
      </c>
      <c r="E293" t="s">
        <v>17</v>
      </c>
      <c r="F293" t="s">
        <v>18</v>
      </c>
      <c r="G293">
        <v>10</v>
      </c>
      <c r="H293">
        <v>5860</v>
      </c>
      <c r="I293" t="s">
        <v>33</v>
      </c>
      <c r="J293" s="2">
        <v>45715</v>
      </c>
      <c r="K293">
        <v>38</v>
      </c>
      <c r="L293" t="s">
        <v>20</v>
      </c>
      <c r="M293">
        <v>19</v>
      </c>
      <c r="N293">
        <v>5</v>
      </c>
      <c r="O293">
        <v>3</v>
      </c>
      <c r="P293" t="s">
        <v>25</v>
      </c>
      <c r="Q293" s="1">
        <v>2</v>
      </c>
      <c r="R293" s="2">
        <v>46174</v>
      </c>
      <c r="S293" s="2"/>
      <c r="T293" s="1" t="str">
        <f t="shared" si="12"/>
        <v>qui</v>
      </c>
      <c r="U293" s="1" t="str">
        <f t="shared" si="13"/>
        <v>fev</v>
      </c>
      <c r="V293">
        <f t="shared" si="14"/>
        <v>2025</v>
      </c>
      <c r="W293">
        <f>_xlfn.XLOOKUP(A293,Absenteismo!A:A,Absenteismo!A:A,0)</f>
        <v>1273</v>
      </c>
    </row>
    <row r="294" spans="1:23" hidden="1" x14ac:dyDescent="0.3">
      <c r="A294">
        <v>1289</v>
      </c>
      <c r="B294">
        <v>27</v>
      </c>
      <c r="C294" t="s">
        <v>15</v>
      </c>
      <c r="D294" t="s">
        <v>29</v>
      </c>
      <c r="E294" t="s">
        <v>17</v>
      </c>
      <c r="F294" t="s">
        <v>21</v>
      </c>
      <c r="G294">
        <v>98</v>
      </c>
      <c r="H294">
        <v>3620</v>
      </c>
      <c r="I294" t="s">
        <v>30</v>
      </c>
      <c r="J294" s="2">
        <v>43182</v>
      </c>
      <c r="K294">
        <v>37</v>
      </c>
      <c r="L294" t="s">
        <v>20</v>
      </c>
      <c r="M294">
        <v>18</v>
      </c>
      <c r="N294">
        <v>8</v>
      </c>
      <c r="O294">
        <v>4</v>
      </c>
      <c r="P294" t="s">
        <v>25</v>
      </c>
      <c r="Q294" s="1">
        <v>1</v>
      </c>
      <c r="R294" s="2">
        <v>46174</v>
      </c>
      <c r="S294" s="2"/>
      <c r="T294" s="1" t="str">
        <f t="shared" si="12"/>
        <v>sex</v>
      </c>
      <c r="U294" s="1" t="str">
        <f t="shared" si="13"/>
        <v>mar</v>
      </c>
      <c r="V294">
        <f t="shared" si="14"/>
        <v>2018</v>
      </c>
      <c r="W294">
        <f>_xlfn.XLOOKUP(A294,Absenteismo!A:A,Absenteismo!A:A,0)</f>
        <v>1289</v>
      </c>
    </row>
    <row r="295" spans="1:23" hidden="1" x14ac:dyDescent="0.3">
      <c r="A295">
        <v>1331</v>
      </c>
      <c r="B295">
        <v>27</v>
      </c>
      <c r="C295" t="s">
        <v>15</v>
      </c>
      <c r="D295" t="s">
        <v>22</v>
      </c>
      <c r="E295" t="s">
        <v>17</v>
      </c>
      <c r="F295" t="s">
        <v>23</v>
      </c>
      <c r="G295">
        <v>113</v>
      </c>
      <c r="H295">
        <v>6177</v>
      </c>
      <c r="I295" t="s">
        <v>30</v>
      </c>
      <c r="J295" s="2">
        <v>42428</v>
      </c>
      <c r="K295">
        <v>12</v>
      </c>
      <c r="L295" t="s">
        <v>20</v>
      </c>
      <c r="M295">
        <v>21</v>
      </c>
      <c r="N295">
        <v>12</v>
      </c>
      <c r="O295">
        <v>5</v>
      </c>
      <c r="P295" t="s">
        <v>25</v>
      </c>
      <c r="Q295" s="1">
        <v>1</v>
      </c>
      <c r="R295" s="2">
        <v>46174</v>
      </c>
      <c r="S295" s="2"/>
      <c r="T295" s="1" t="str">
        <f t="shared" si="12"/>
        <v>dom</v>
      </c>
      <c r="U295" s="1" t="str">
        <f t="shared" si="13"/>
        <v>fev</v>
      </c>
      <c r="V295">
        <f t="shared" si="14"/>
        <v>2016</v>
      </c>
      <c r="W295">
        <f>_xlfn.XLOOKUP(A295,Absenteismo!A:A,Absenteismo!A:A,0)</f>
        <v>1331</v>
      </c>
    </row>
    <row r="296" spans="1:23" hidden="1" x14ac:dyDescent="0.3">
      <c r="A296">
        <v>1374</v>
      </c>
      <c r="B296">
        <v>27</v>
      </c>
      <c r="C296" t="s">
        <v>26</v>
      </c>
      <c r="D296" t="s">
        <v>16</v>
      </c>
      <c r="E296" t="s">
        <v>17</v>
      </c>
      <c r="F296" t="s">
        <v>21</v>
      </c>
      <c r="G296">
        <v>66</v>
      </c>
      <c r="H296">
        <v>3918</v>
      </c>
      <c r="I296" t="s">
        <v>30</v>
      </c>
      <c r="J296" s="2">
        <v>43891</v>
      </c>
      <c r="K296">
        <v>18</v>
      </c>
      <c r="L296" t="s">
        <v>20</v>
      </c>
      <c r="M296">
        <v>26</v>
      </c>
      <c r="N296">
        <v>5</v>
      </c>
      <c r="O296">
        <v>4</v>
      </c>
      <c r="P296" t="s">
        <v>25</v>
      </c>
      <c r="Q296" s="1">
        <v>3</v>
      </c>
      <c r="R296" s="2">
        <v>46174</v>
      </c>
      <c r="S296" s="2"/>
      <c r="T296" s="1" t="str">
        <f t="shared" si="12"/>
        <v>dom</v>
      </c>
      <c r="U296" s="1" t="str">
        <f t="shared" si="13"/>
        <v>mar</v>
      </c>
      <c r="V296">
        <f t="shared" si="14"/>
        <v>2020</v>
      </c>
      <c r="W296">
        <f>_xlfn.XLOOKUP(A296,Absenteismo!A:A,Absenteismo!A:A,0)</f>
        <v>1374</v>
      </c>
    </row>
    <row r="297" spans="1:23" x14ac:dyDescent="0.3">
      <c r="A297">
        <v>1378</v>
      </c>
      <c r="B297">
        <v>27</v>
      </c>
      <c r="C297" t="s">
        <v>26</v>
      </c>
      <c r="D297" t="s">
        <v>22</v>
      </c>
      <c r="E297" t="s">
        <v>17</v>
      </c>
      <c r="F297" t="s">
        <v>23</v>
      </c>
      <c r="G297">
        <v>10</v>
      </c>
      <c r="H297">
        <v>6646</v>
      </c>
      <c r="I297" t="s">
        <v>24</v>
      </c>
      <c r="J297" s="2">
        <v>45720</v>
      </c>
      <c r="K297">
        <v>22</v>
      </c>
      <c r="L297" t="s">
        <v>20</v>
      </c>
      <c r="M297">
        <v>25</v>
      </c>
      <c r="N297">
        <v>10</v>
      </c>
      <c r="O297">
        <v>2</v>
      </c>
      <c r="P297" t="s">
        <v>25</v>
      </c>
      <c r="Q297" s="1">
        <v>3</v>
      </c>
      <c r="R297" s="2">
        <v>46174</v>
      </c>
      <c r="S297" s="2"/>
      <c r="T297" s="1" t="str">
        <f t="shared" si="12"/>
        <v>ter</v>
      </c>
      <c r="U297" s="1" t="str">
        <f t="shared" si="13"/>
        <v>mar</v>
      </c>
      <c r="V297">
        <f t="shared" si="14"/>
        <v>2025</v>
      </c>
      <c r="W297">
        <f>_xlfn.XLOOKUP(A297,Absenteismo!A:A,Absenteismo!A:A,0)</f>
        <v>0</v>
      </c>
    </row>
    <row r="298" spans="1:23" hidden="1" x14ac:dyDescent="0.3">
      <c r="A298">
        <v>1430</v>
      </c>
      <c r="B298">
        <v>27</v>
      </c>
      <c r="C298" t="s">
        <v>26</v>
      </c>
      <c r="D298" t="s">
        <v>16</v>
      </c>
      <c r="E298" t="s">
        <v>17</v>
      </c>
      <c r="F298" t="s">
        <v>18</v>
      </c>
      <c r="G298">
        <v>31</v>
      </c>
      <c r="H298">
        <v>5267</v>
      </c>
      <c r="I298" t="s">
        <v>30</v>
      </c>
      <c r="J298" s="2">
        <v>44848</v>
      </c>
      <c r="K298">
        <v>4</v>
      </c>
      <c r="L298" t="s">
        <v>20</v>
      </c>
      <c r="M298">
        <v>29</v>
      </c>
      <c r="N298">
        <v>1</v>
      </c>
      <c r="O298">
        <v>2</v>
      </c>
      <c r="P298" t="s">
        <v>25</v>
      </c>
      <c r="Q298" s="1">
        <v>1</v>
      </c>
      <c r="R298" s="2">
        <v>46174</v>
      </c>
      <c r="S298" s="2"/>
      <c r="T298" s="1" t="str">
        <f t="shared" si="12"/>
        <v>sex</v>
      </c>
      <c r="U298" s="1" t="str">
        <f t="shared" si="13"/>
        <v>out</v>
      </c>
      <c r="V298">
        <f t="shared" si="14"/>
        <v>2022</v>
      </c>
      <c r="W298">
        <f>_xlfn.XLOOKUP(A298,Absenteismo!A:A,Absenteismo!A:A,0)</f>
        <v>1430</v>
      </c>
    </row>
    <row r="299" spans="1:23" hidden="1" x14ac:dyDescent="0.3">
      <c r="A299">
        <v>1466</v>
      </c>
      <c r="B299">
        <v>27</v>
      </c>
      <c r="C299" t="s">
        <v>26</v>
      </c>
      <c r="D299" t="s">
        <v>16</v>
      </c>
      <c r="E299" t="s">
        <v>17</v>
      </c>
      <c r="F299" t="s">
        <v>21</v>
      </c>
      <c r="G299">
        <v>11</v>
      </c>
      <c r="H299">
        <v>5637</v>
      </c>
      <c r="I299" t="s">
        <v>33</v>
      </c>
      <c r="J299" s="2">
        <v>45423</v>
      </c>
      <c r="K299">
        <v>42</v>
      </c>
      <c r="L299" t="s">
        <v>20</v>
      </c>
      <c r="M299">
        <v>30</v>
      </c>
      <c r="N299">
        <v>3</v>
      </c>
      <c r="O299">
        <v>3</v>
      </c>
      <c r="P299" t="s">
        <v>25</v>
      </c>
      <c r="Q299" s="1">
        <v>1</v>
      </c>
      <c r="R299" s="2">
        <v>46174</v>
      </c>
      <c r="S299" s="2"/>
      <c r="T299" s="1" t="str">
        <f t="shared" si="12"/>
        <v>sáb</v>
      </c>
      <c r="U299" s="1" t="str">
        <f t="shared" si="13"/>
        <v>mai</v>
      </c>
      <c r="V299">
        <f t="shared" si="14"/>
        <v>2024</v>
      </c>
      <c r="W299">
        <f>_xlfn.XLOOKUP(A299,Absenteismo!A:A,Absenteismo!A:A,0)</f>
        <v>1466</v>
      </c>
    </row>
    <row r="300" spans="1:23" hidden="1" x14ac:dyDescent="0.3">
      <c r="A300">
        <v>1478</v>
      </c>
      <c r="B300">
        <v>27</v>
      </c>
      <c r="C300" t="s">
        <v>15</v>
      </c>
      <c r="D300" t="s">
        <v>16</v>
      </c>
      <c r="E300" t="s">
        <v>17</v>
      </c>
      <c r="F300" t="s">
        <v>21</v>
      </c>
      <c r="G300">
        <v>57</v>
      </c>
      <c r="H300">
        <v>3752</v>
      </c>
      <c r="I300" t="s">
        <v>19</v>
      </c>
      <c r="J300" s="2">
        <v>44176</v>
      </c>
      <c r="K300">
        <v>46</v>
      </c>
      <c r="L300" t="s">
        <v>20</v>
      </c>
      <c r="M300">
        <v>5</v>
      </c>
      <c r="N300">
        <v>8</v>
      </c>
      <c r="O300">
        <v>5</v>
      </c>
      <c r="P300" t="s">
        <v>25</v>
      </c>
      <c r="Q300" s="1">
        <v>3</v>
      </c>
      <c r="R300" s="2">
        <v>46174</v>
      </c>
      <c r="S300" s="2"/>
      <c r="T300" s="1" t="str">
        <f t="shared" si="12"/>
        <v>sex</v>
      </c>
      <c r="U300" s="1" t="str">
        <f t="shared" si="13"/>
        <v>dez</v>
      </c>
      <c r="V300">
        <f t="shared" si="14"/>
        <v>2020</v>
      </c>
      <c r="W300">
        <f>_xlfn.XLOOKUP(A300,Absenteismo!A:A,Absenteismo!A:A,0)</f>
        <v>1478</v>
      </c>
    </row>
    <row r="301" spans="1:23" hidden="1" x14ac:dyDescent="0.3">
      <c r="A301">
        <v>1486</v>
      </c>
      <c r="B301">
        <v>27</v>
      </c>
      <c r="C301" t="s">
        <v>15</v>
      </c>
      <c r="D301" t="s">
        <v>29</v>
      </c>
      <c r="E301" t="s">
        <v>17</v>
      </c>
      <c r="F301" t="s">
        <v>18</v>
      </c>
      <c r="G301">
        <v>8</v>
      </c>
      <c r="H301">
        <v>7360</v>
      </c>
      <c r="I301" t="s">
        <v>28</v>
      </c>
      <c r="J301" s="2">
        <v>45936</v>
      </c>
      <c r="K301">
        <v>57</v>
      </c>
      <c r="L301" t="s">
        <v>20</v>
      </c>
      <c r="M301">
        <v>11</v>
      </c>
      <c r="N301">
        <v>10</v>
      </c>
      <c r="O301">
        <v>5</v>
      </c>
      <c r="P301" t="s">
        <v>25</v>
      </c>
      <c r="Q301" s="1">
        <v>3</v>
      </c>
      <c r="R301" s="2">
        <v>46174</v>
      </c>
      <c r="S301" s="2"/>
      <c r="T301" s="1" t="str">
        <f t="shared" si="12"/>
        <v>seg</v>
      </c>
      <c r="U301" s="1" t="str">
        <f t="shared" si="13"/>
        <v>out</v>
      </c>
      <c r="V301">
        <f t="shared" si="14"/>
        <v>2025</v>
      </c>
      <c r="W301">
        <f>_xlfn.XLOOKUP(A301,Absenteismo!A:A,Absenteismo!A:A,0)</f>
        <v>1486</v>
      </c>
    </row>
    <row r="302" spans="1:23" x14ac:dyDescent="0.3">
      <c r="A302">
        <v>1507</v>
      </c>
      <c r="B302">
        <v>27</v>
      </c>
      <c r="C302" t="s">
        <v>26</v>
      </c>
      <c r="D302" t="s">
        <v>27</v>
      </c>
      <c r="E302" t="s">
        <v>17</v>
      </c>
      <c r="F302" t="s">
        <v>21</v>
      </c>
      <c r="G302">
        <v>20</v>
      </c>
      <c r="H302">
        <v>5991</v>
      </c>
      <c r="I302" t="s">
        <v>24</v>
      </c>
      <c r="J302" s="2">
        <v>45531</v>
      </c>
      <c r="K302">
        <v>24</v>
      </c>
      <c r="L302" t="s">
        <v>20</v>
      </c>
      <c r="M302">
        <v>0</v>
      </c>
      <c r="N302">
        <v>4</v>
      </c>
      <c r="O302">
        <v>5</v>
      </c>
      <c r="P302" t="s">
        <v>25</v>
      </c>
      <c r="Q302" s="1">
        <v>3</v>
      </c>
      <c r="R302" s="2">
        <v>46174</v>
      </c>
      <c r="S302" s="2"/>
      <c r="T302" s="1" t="str">
        <f t="shared" si="12"/>
        <v>ter</v>
      </c>
      <c r="U302" s="1" t="str">
        <f t="shared" si="13"/>
        <v>ago</v>
      </c>
      <c r="V302">
        <f t="shared" si="14"/>
        <v>2024</v>
      </c>
      <c r="W302">
        <f>_xlfn.XLOOKUP(A302,Absenteismo!A:A,Absenteismo!A:A,0)</f>
        <v>0</v>
      </c>
    </row>
    <row r="303" spans="1:23" hidden="1" x14ac:dyDescent="0.3">
      <c r="A303">
        <v>1573</v>
      </c>
      <c r="B303">
        <v>27</v>
      </c>
      <c r="C303" t="s">
        <v>15</v>
      </c>
      <c r="D303" t="s">
        <v>22</v>
      </c>
      <c r="E303" t="s">
        <v>17</v>
      </c>
      <c r="F303" t="s">
        <v>18</v>
      </c>
      <c r="G303">
        <v>10</v>
      </c>
      <c r="H303">
        <v>5860</v>
      </c>
      <c r="I303" t="s">
        <v>33</v>
      </c>
      <c r="J303" s="2">
        <v>45563</v>
      </c>
      <c r="K303">
        <v>38</v>
      </c>
      <c r="L303" t="s">
        <v>20</v>
      </c>
      <c r="M303">
        <v>19</v>
      </c>
      <c r="N303">
        <v>5</v>
      </c>
      <c r="O303">
        <v>3</v>
      </c>
      <c r="P303" t="s">
        <v>25</v>
      </c>
      <c r="Q303" s="1">
        <v>3</v>
      </c>
      <c r="R303" s="2">
        <v>46174</v>
      </c>
      <c r="S303" s="2"/>
      <c r="T303" s="1" t="str">
        <f t="shared" si="12"/>
        <v>sáb</v>
      </c>
      <c r="U303" s="1" t="str">
        <f t="shared" si="13"/>
        <v>set</v>
      </c>
      <c r="V303">
        <f t="shared" si="14"/>
        <v>2024</v>
      </c>
      <c r="W303">
        <f>_xlfn.XLOOKUP(A303,Absenteismo!A:A,Absenteismo!A:A,0)</f>
        <v>1573</v>
      </c>
    </row>
    <row r="304" spans="1:23" hidden="1" x14ac:dyDescent="0.3">
      <c r="A304">
        <v>1589</v>
      </c>
      <c r="B304">
        <v>27</v>
      </c>
      <c r="C304" t="s">
        <v>15</v>
      </c>
      <c r="D304" t="s">
        <v>29</v>
      </c>
      <c r="E304" t="s">
        <v>17</v>
      </c>
      <c r="F304" t="s">
        <v>21</v>
      </c>
      <c r="G304">
        <v>98</v>
      </c>
      <c r="H304">
        <v>3620</v>
      </c>
      <c r="I304" t="s">
        <v>30</v>
      </c>
      <c r="J304" s="2">
        <v>43026</v>
      </c>
      <c r="K304">
        <v>37</v>
      </c>
      <c r="L304" t="s">
        <v>20</v>
      </c>
      <c r="M304">
        <v>18</v>
      </c>
      <c r="N304">
        <v>8</v>
      </c>
      <c r="O304">
        <v>4</v>
      </c>
      <c r="P304" t="s">
        <v>25</v>
      </c>
      <c r="Q304" s="1">
        <v>3</v>
      </c>
      <c r="R304" s="2">
        <v>46174</v>
      </c>
      <c r="S304" s="2"/>
      <c r="T304" s="1" t="str">
        <f t="shared" si="12"/>
        <v>qua</v>
      </c>
      <c r="U304" s="1" t="str">
        <f t="shared" si="13"/>
        <v>out</v>
      </c>
      <c r="V304">
        <f t="shared" si="14"/>
        <v>2017</v>
      </c>
      <c r="W304">
        <f>_xlfn.XLOOKUP(A304,Absenteismo!A:A,Absenteismo!A:A,0)</f>
        <v>1589</v>
      </c>
    </row>
    <row r="305" spans="1:23" hidden="1" x14ac:dyDescent="0.3">
      <c r="A305">
        <v>1631</v>
      </c>
      <c r="B305">
        <v>27</v>
      </c>
      <c r="C305" t="s">
        <v>15</v>
      </c>
      <c r="D305" t="s">
        <v>22</v>
      </c>
      <c r="E305" t="s">
        <v>17</v>
      </c>
      <c r="F305" t="s">
        <v>23</v>
      </c>
      <c r="G305">
        <v>113</v>
      </c>
      <c r="H305">
        <v>6177</v>
      </c>
      <c r="I305" t="s">
        <v>30</v>
      </c>
      <c r="J305" s="2">
        <v>42638</v>
      </c>
      <c r="K305">
        <v>12</v>
      </c>
      <c r="L305" t="s">
        <v>20</v>
      </c>
      <c r="M305">
        <v>21</v>
      </c>
      <c r="N305">
        <v>12</v>
      </c>
      <c r="O305">
        <v>5</v>
      </c>
      <c r="P305" t="s">
        <v>25</v>
      </c>
      <c r="Q305" s="1">
        <v>3</v>
      </c>
      <c r="R305" s="2">
        <v>46174</v>
      </c>
      <c r="S305" s="2"/>
      <c r="T305" s="1" t="str">
        <f t="shared" si="12"/>
        <v>dom</v>
      </c>
      <c r="U305" s="1" t="str">
        <f t="shared" si="13"/>
        <v>set</v>
      </c>
      <c r="V305">
        <f t="shared" si="14"/>
        <v>2016</v>
      </c>
      <c r="W305">
        <f>_xlfn.XLOOKUP(A305,Absenteismo!A:A,Absenteismo!A:A,0)</f>
        <v>1631</v>
      </c>
    </row>
    <row r="306" spans="1:23" x14ac:dyDescent="0.3">
      <c r="A306">
        <v>1674</v>
      </c>
      <c r="B306">
        <v>27</v>
      </c>
      <c r="C306" t="s">
        <v>26</v>
      </c>
      <c r="D306" t="s">
        <v>16</v>
      </c>
      <c r="E306" t="s">
        <v>17</v>
      </c>
      <c r="F306" t="s">
        <v>21</v>
      </c>
      <c r="G306">
        <v>66</v>
      </c>
      <c r="H306">
        <v>3918</v>
      </c>
      <c r="I306" t="s">
        <v>30</v>
      </c>
      <c r="J306" s="2">
        <v>43957</v>
      </c>
      <c r="K306">
        <v>18</v>
      </c>
      <c r="L306" t="s">
        <v>20</v>
      </c>
      <c r="M306">
        <v>26</v>
      </c>
      <c r="N306">
        <v>5</v>
      </c>
      <c r="O306">
        <v>4</v>
      </c>
      <c r="P306" t="s">
        <v>25</v>
      </c>
      <c r="Q306" s="1">
        <v>1</v>
      </c>
      <c r="R306" s="2">
        <v>46174</v>
      </c>
      <c r="S306" s="2"/>
      <c r="T306" s="1" t="str">
        <f t="shared" si="12"/>
        <v>qua</v>
      </c>
      <c r="U306" s="1" t="str">
        <f t="shared" si="13"/>
        <v>mai</v>
      </c>
      <c r="V306">
        <f t="shared" si="14"/>
        <v>2020</v>
      </c>
      <c r="W306">
        <f>_xlfn.XLOOKUP(A306,Absenteismo!A:A,Absenteismo!A:A,0)</f>
        <v>0</v>
      </c>
    </row>
    <row r="307" spans="1:23" x14ac:dyDescent="0.3">
      <c r="A307">
        <v>1678</v>
      </c>
      <c r="B307">
        <v>27</v>
      </c>
      <c r="C307" t="s">
        <v>26</v>
      </c>
      <c r="D307" t="s">
        <v>22</v>
      </c>
      <c r="E307" t="s">
        <v>17</v>
      </c>
      <c r="F307" t="s">
        <v>23</v>
      </c>
      <c r="G307">
        <v>10</v>
      </c>
      <c r="H307">
        <v>6646</v>
      </c>
      <c r="I307" t="s">
        <v>24</v>
      </c>
      <c r="J307" s="2">
        <v>45894</v>
      </c>
      <c r="K307">
        <v>22</v>
      </c>
      <c r="L307" t="s">
        <v>20</v>
      </c>
      <c r="M307">
        <v>25</v>
      </c>
      <c r="N307">
        <v>10</v>
      </c>
      <c r="O307">
        <v>2</v>
      </c>
      <c r="P307" t="s">
        <v>25</v>
      </c>
      <c r="Q307" s="1">
        <v>3</v>
      </c>
      <c r="R307" s="2">
        <v>46174</v>
      </c>
      <c r="S307" s="2"/>
      <c r="T307" s="1" t="str">
        <f t="shared" si="12"/>
        <v>seg</v>
      </c>
      <c r="U307" s="1" t="str">
        <f t="shared" si="13"/>
        <v>ago</v>
      </c>
      <c r="V307">
        <f t="shared" si="14"/>
        <v>2025</v>
      </c>
      <c r="W307">
        <f>_xlfn.XLOOKUP(A307,Absenteismo!A:A,Absenteismo!A:A,0)</f>
        <v>0</v>
      </c>
    </row>
    <row r="308" spans="1:23" hidden="1" x14ac:dyDescent="0.3">
      <c r="A308">
        <v>1730</v>
      </c>
      <c r="B308">
        <v>27</v>
      </c>
      <c r="C308" t="s">
        <v>26</v>
      </c>
      <c r="D308" t="s">
        <v>16</v>
      </c>
      <c r="E308" t="s">
        <v>17</v>
      </c>
      <c r="F308" t="s">
        <v>18</v>
      </c>
      <c r="G308">
        <v>31</v>
      </c>
      <c r="H308">
        <v>5267</v>
      </c>
      <c r="I308" t="s">
        <v>30</v>
      </c>
      <c r="J308" s="2">
        <v>44954</v>
      </c>
      <c r="K308">
        <v>4</v>
      </c>
      <c r="L308" t="s">
        <v>20</v>
      </c>
      <c r="M308">
        <v>29</v>
      </c>
      <c r="N308">
        <v>1</v>
      </c>
      <c r="O308">
        <v>2</v>
      </c>
      <c r="P308" t="s">
        <v>25</v>
      </c>
      <c r="Q308" s="1">
        <v>3</v>
      </c>
      <c r="R308" s="2">
        <v>46174</v>
      </c>
      <c r="S308" s="2"/>
      <c r="T308" s="1" t="str">
        <f t="shared" si="12"/>
        <v>sáb</v>
      </c>
      <c r="U308" s="1" t="str">
        <f t="shared" si="13"/>
        <v>jan</v>
      </c>
      <c r="V308">
        <f t="shared" si="14"/>
        <v>2023</v>
      </c>
      <c r="W308">
        <f>_xlfn.XLOOKUP(A308,Absenteismo!A:A,Absenteismo!A:A,0)</f>
        <v>1730</v>
      </c>
    </row>
    <row r="309" spans="1:23" hidden="1" x14ac:dyDescent="0.3">
      <c r="A309">
        <v>1766</v>
      </c>
      <c r="B309">
        <v>27</v>
      </c>
      <c r="C309" t="s">
        <v>26</v>
      </c>
      <c r="D309" t="s">
        <v>16</v>
      </c>
      <c r="E309" t="s">
        <v>17</v>
      </c>
      <c r="F309" t="s">
        <v>21</v>
      </c>
      <c r="G309">
        <v>11</v>
      </c>
      <c r="H309">
        <v>5637</v>
      </c>
      <c r="I309" t="s">
        <v>33</v>
      </c>
      <c r="J309" s="2">
        <v>45714</v>
      </c>
      <c r="K309">
        <v>42</v>
      </c>
      <c r="L309" t="s">
        <v>20</v>
      </c>
      <c r="M309">
        <v>30</v>
      </c>
      <c r="N309">
        <v>3</v>
      </c>
      <c r="O309">
        <v>3</v>
      </c>
      <c r="P309" t="s">
        <v>25</v>
      </c>
      <c r="Q309" s="1">
        <v>1</v>
      </c>
      <c r="R309" s="2">
        <v>46174</v>
      </c>
      <c r="S309" s="2"/>
      <c r="T309" s="1" t="str">
        <f t="shared" si="12"/>
        <v>qua</v>
      </c>
      <c r="U309" s="1" t="str">
        <f t="shared" si="13"/>
        <v>fev</v>
      </c>
      <c r="V309">
        <f t="shared" si="14"/>
        <v>2025</v>
      </c>
      <c r="W309">
        <f>_xlfn.XLOOKUP(A309,Absenteismo!A:A,Absenteismo!A:A,0)</f>
        <v>1766</v>
      </c>
    </row>
    <row r="310" spans="1:23" hidden="1" x14ac:dyDescent="0.3">
      <c r="A310">
        <v>1778</v>
      </c>
      <c r="B310">
        <v>27</v>
      </c>
      <c r="C310" t="s">
        <v>15</v>
      </c>
      <c r="D310" t="s">
        <v>16</v>
      </c>
      <c r="E310" t="s">
        <v>17</v>
      </c>
      <c r="F310" t="s">
        <v>21</v>
      </c>
      <c r="G310">
        <v>57</v>
      </c>
      <c r="H310">
        <v>3752</v>
      </c>
      <c r="I310" t="s">
        <v>19</v>
      </c>
      <c r="J310" s="2">
        <v>44393</v>
      </c>
      <c r="K310">
        <v>46</v>
      </c>
      <c r="L310" t="s">
        <v>20</v>
      </c>
      <c r="M310">
        <v>5</v>
      </c>
      <c r="N310">
        <v>8</v>
      </c>
      <c r="O310">
        <v>5</v>
      </c>
      <c r="P310" t="s">
        <v>25</v>
      </c>
      <c r="Q310" s="1">
        <v>2</v>
      </c>
      <c r="R310" s="2">
        <v>46174</v>
      </c>
      <c r="S310" s="2"/>
      <c r="T310" s="1" t="str">
        <f t="shared" si="12"/>
        <v>sex</v>
      </c>
      <c r="U310" s="1" t="str">
        <f t="shared" si="13"/>
        <v>jul</v>
      </c>
      <c r="V310">
        <f t="shared" si="14"/>
        <v>2021</v>
      </c>
      <c r="W310">
        <f>_xlfn.XLOOKUP(A310,Absenteismo!A:A,Absenteismo!A:A,0)</f>
        <v>1778</v>
      </c>
    </row>
    <row r="311" spans="1:23" hidden="1" x14ac:dyDescent="0.3">
      <c r="A311">
        <v>1786</v>
      </c>
      <c r="B311">
        <v>27</v>
      </c>
      <c r="C311" t="s">
        <v>15</v>
      </c>
      <c r="D311" t="s">
        <v>29</v>
      </c>
      <c r="E311" t="s">
        <v>17</v>
      </c>
      <c r="F311" t="s">
        <v>18</v>
      </c>
      <c r="G311">
        <v>8</v>
      </c>
      <c r="H311">
        <v>7360</v>
      </c>
      <c r="I311" t="s">
        <v>28</v>
      </c>
      <c r="J311" s="2">
        <v>45730</v>
      </c>
      <c r="K311">
        <v>57</v>
      </c>
      <c r="L311" t="s">
        <v>20</v>
      </c>
      <c r="M311">
        <v>11</v>
      </c>
      <c r="N311">
        <v>10</v>
      </c>
      <c r="O311">
        <v>5</v>
      </c>
      <c r="P311" t="s">
        <v>25</v>
      </c>
      <c r="Q311" s="1">
        <v>1</v>
      </c>
      <c r="R311" s="2">
        <v>46174</v>
      </c>
      <c r="S311" s="2"/>
      <c r="T311" s="1" t="str">
        <f t="shared" si="12"/>
        <v>sex</v>
      </c>
      <c r="U311" s="1" t="str">
        <f t="shared" si="13"/>
        <v>mar</v>
      </c>
      <c r="V311">
        <f t="shared" si="14"/>
        <v>2025</v>
      </c>
      <c r="W311">
        <f>_xlfn.XLOOKUP(A311,Absenteismo!A:A,Absenteismo!A:A,0)</f>
        <v>1786</v>
      </c>
    </row>
    <row r="312" spans="1:23" x14ac:dyDescent="0.3">
      <c r="A312">
        <v>1807</v>
      </c>
      <c r="B312">
        <v>27</v>
      </c>
      <c r="C312" t="s">
        <v>26</v>
      </c>
      <c r="D312" t="s">
        <v>27</v>
      </c>
      <c r="E312" t="s">
        <v>17</v>
      </c>
      <c r="F312" t="s">
        <v>21</v>
      </c>
      <c r="G312">
        <v>20</v>
      </c>
      <c r="H312">
        <v>5991</v>
      </c>
      <c r="I312" t="s">
        <v>24</v>
      </c>
      <c r="J312" s="2">
        <v>45377</v>
      </c>
      <c r="K312">
        <v>24</v>
      </c>
      <c r="L312" t="s">
        <v>20</v>
      </c>
      <c r="M312">
        <v>0</v>
      </c>
      <c r="N312">
        <v>4</v>
      </c>
      <c r="O312">
        <v>5</v>
      </c>
      <c r="P312" t="s">
        <v>25</v>
      </c>
      <c r="Q312" s="1">
        <v>1</v>
      </c>
      <c r="R312" s="2">
        <v>46174</v>
      </c>
      <c r="S312" s="2"/>
      <c r="T312" s="1" t="str">
        <f t="shared" si="12"/>
        <v>ter</v>
      </c>
      <c r="U312" s="1" t="str">
        <f t="shared" si="13"/>
        <v>mar</v>
      </c>
      <c r="V312">
        <f t="shared" si="14"/>
        <v>2024</v>
      </c>
      <c r="W312">
        <f>_xlfn.XLOOKUP(A312,Absenteismo!A:A,Absenteismo!A:A,0)</f>
        <v>0</v>
      </c>
    </row>
    <row r="313" spans="1:23" hidden="1" x14ac:dyDescent="0.3">
      <c r="A313">
        <v>1873</v>
      </c>
      <c r="B313">
        <v>27</v>
      </c>
      <c r="C313" t="s">
        <v>15</v>
      </c>
      <c r="D313" t="s">
        <v>22</v>
      </c>
      <c r="E313" t="s">
        <v>17</v>
      </c>
      <c r="F313" t="s">
        <v>18</v>
      </c>
      <c r="G313">
        <v>10</v>
      </c>
      <c r="H313">
        <v>5860</v>
      </c>
      <c r="I313" t="s">
        <v>33</v>
      </c>
      <c r="J313" s="2">
        <v>45784</v>
      </c>
      <c r="K313">
        <v>38</v>
      </c>
      <c r="L313" t="s">
        <v>20</v>
      </c>
      <c r="M313">
        <v>19</v>
      </c>
      <c r="N313">
        <v>5</v>
      </c>
      <c r="O313">
        <v>3</v>
      </c>
      <c r="P313" t="s">
        <v>25</v>
      </c>
      <c r="Q313" s="1">
        <v>3</v>
      </c>
      <c r="R313" s="2">
        <v>46174</v>
      </c>
      <c r="S313" s="2"/>
      <c r="T313" s="1" t="str">
        <f t="shared" si="12"/>
        <v>qua</v>
      </c>
      <c r="U313" s="1" t="str">
        <f t="shared" si="13"/>
        <v>mai</v>
      </c>
      <c r="V313">
        <f t="shared" si="14"/>
        <v>2025</v>
      </c>
      <c r="W313">
        <f>_xlfn.XLOOKUP(A313,Absenteismo!A:A,Absenteismo!A:A,0)</f>
        <v>1873</v>
      </c>
    </row>
    <row r="314" spans="1:23" hidden="1" x14ac:dyDescent="0.3">
      <c r="A314">
        <v>1889</v>
      </c>
      <c r="B314">
        <v>27</v>
      </c>
      <c r="C314" t="s">
        <v>15</v>
      </c>
      <c r="D314" t="s">
        <v>29</v>
      </c>
      <c r="E314" t="s">
        <v>17</v>
      </c>
      <c r="F314" t="s">
        <v>21</v>
      </c>
      <c r="G314">
        <v>98</v>
      </c>
      <c r="H314">
        <v>3620</v>
      </c>
      <c r="I314" t="s">
        <v>30</v>
      </c>
      <c r="J314" s="2">
        <v>43130</v>
      </c>
      <c r="K314">
        <v>37</v>
      </c>
      <c r="L314" t="s">
        <v>20</v>
      </c>
      <c r="M314">
        <v>18</v>
      </c>
      <c r="N314">
        <v>8</v>
      </c>
      <c r="O314">
        <v>4</v>
      </c>
      <c r="P314" t="s">
        <v>25</v>
      </c>
      <c r="Q314" s="1">
        <v>3</v>
      </c>
      <c r="R314" s="2">
        <v>46174</v>
      </c>
      <c r="S314" s="2"/>
      <c r="T314" s="1" t="str">
        <f t="shared" si="12"/>
        <v>ter</v>
      </c>
      <c r="U314" s="1" t="str">
        <f t="shared" si="13"/>
        <v>jan</v>
      </c>
      <c r="V314">
        <f t="shared" si="14"/>
        <v>2018</v>
      </c>
      <c r="W314">
        <f>_xlfn.XLOOKUP(A314,Absenteismo!A:A,Absenteismo!A:A,0)</f>
        <v>1889</v>
      </c>
    </row>
    <row r="315" spans="1:23" hidden="1" x14ac:dyDescent="0.3">
      <c r="A315">
        <v>1931</v>
      </c>
      <c r="B315">
        <v>27</v>
      </c>
      <c r="C315" t="s">
        <v>15</v>
      </c>
      <c r="D315" t="s">
        <v>22</v>
      </c>
      <c r="E315" t="s">
        <v>17</v>
      </c>
      <c r="F315" t="s">
        <v>23</v>
      </c>
      <c r="G315">
        <v>113</v>
      </c>
      <c r="H315">
        <v>6177</v>
      </c>
      <c r="I315" t="s">
        <v>30</v>
      </c>
      <c r="J315" s="2">
        <v>42529</v>
      </c>
      <c r="K315">
        <v>12</v>
      </c>
      <c r="L315" t="s">
        <v>20</v>
      </c>
      <c r="M315">
        <v>21</v>
      </c>
      <c r="N315">
        <v>12</v>
      </c>
      <c r="O315">
        <v>5</v>
      </c>
      <c r="P315" t="s">
        <v>25</v>
      </c>
      <c r="Q315" s="1">
        <v>1</v>
      </c>
      <c r="R315" s="2">
        <v>46174</v>
      </c>
      <c r="S315" s="2"/>
      <c r="T315" s="1" t="str">
        <f t="shared" si="12"/>
        <v>qua</v>
      </c>
      <c r="U315" s="1" t="str">
        <f t="shared" si="13"/>
        <v>jun</v>
      </c>
      <c r="V315">
        <f t="shared" si="14"/>
        <v>2016</v>
      </c>
      <c r="W315">
        <f>_xlfn.XLOOKUP(A315,Absenteismo!A:A,Absenteismo!A:A,0)</f>
        <v>1931</v>
      </c>
    </row>
    <row r="316" spans="1:23" hidden="1" x14ac:dyDescent="0.3">
      <c r="A316">
        <v>1974</v>
      </c>
      <c r="B316">
        <v>27</v>
      </c>
      <c r="C316" t="s">
        <v>26</v>
      </c>
      <c r="D316" t="s">
        <v>16</v>
      </c>
      <c r="E316" t="s">
        <v>17</v>
      </c>
      <c r="F316" t="s">
        <v>21</v>
      </c>
      <c r="G316">
        <v>66</v>
      </c>
      <c r="H316">
        <v>3918</v>
      </c>
      <c r="I316" t="s">
        <v>30</v>
      </c>
      <c r="J316" s="2">
        <v>43960</v>
      </c>
      <c r="K316">
        <v>18</v>
      </c>
      <c r="L316" t="s">
        <v>20</v>
      </c>
      <c r="M316">
        <v>26</v>
      </c>
      <c r="N316">
        <v>5</v>
      </c>
      <c r="O316">
        <v>4</v>
      </c>
      <c r="P316" t="s">
        <v>25</v>
      </c>
      <c r="Q316" s="1">
        <v>3</v>
      </c>
      <c r="R316" s="2">
        <v>46174</v>
      </c>
      <c r="S316" s="2"/>
      <c r="T316" s="1" t="str">
        <f t="shared" si="12"/>
        <v>sáb</v>
      </c>
      <c r="U316" s="1" t="str">
        <f t="shared" si="13"/>
        <v>mai</v>
      </c>
      <c r="V316">
        <f t="shared" si="14"/>
        <v>2020</v>
      </c>
      <c r="W316">
        <f>_xlfn.XLOOKUP(A316,Absenteismo!A:A,Absenteismo!A:A,0)</f>
        <v>1974</v>
      </c>
    </row>
    <row r="317" spans="1:23" x14ac:dyDescent="0.3">
      <c r="A317">
        <v>1978</v>
      </c>
      <c r="B317">
        <v>27</v>
      </c>
      <c r="C317" t="s">
        <v>26</v>
      </c>
      <c r="D317" t="s">
        <v>22</v>
      </c>
      <c r="E317" t="s">
        <v>17</v>
      </c>
      <c r="F317" t="s">
        <v>23</v>
      </c>
      <c r="G317">
        <v>10</v>
      </c>
      <c r="H317">
        <v>6646</v>
      </c>
      <c r="I317" t="s">
        <v>24</v>
      </c>
      <c r="J317" s="2">
        <v>45771</v>
      </c>
      <c r="K317">
        <v>22</v>
      </c>
      <c r="L317" t="s">
        <v>20</v>
      </c>
      <c r="M317">
        <v>25</v>
      </c>
      <c r="N317">
        <v>10</v>
      </c>
      <c r="O317">
        <v>2</v>
      </c>
      <c r="P317" t="s">
        <v>25</v>
      </c>
      <c r="Q317" s="1">
        <v>3</v>
      </c>
      <c r="R317" s="2">
        <v>46174</v>
      </c>
      <c r="S317" s="2"/>
      <c r="T317" s="1" t="str">
        <f t="shared" si="12"/>
        <v>qui</v>
      </c>
      <c r="U317" s="1" t="str">
        <f t="shared" si="13"/>
        <v>abr</v>
      </c>
      <c r="V317">
        <f t="shared" si="14"/>
        <v>2025</v>
      </c>
      <c r="W317">
        <f>_xlfn.XLOOKUP(A317,Absenteismo!A:A,Absenteismo!A:A,0)</f>
        <v>0</v>
      </c>
    </row>
    <row r="318" spans="1:23" hidden="1" x14ac:dyDescent="0.3">
      <c r="A318">
        <v>2030</v>
      </c>
      <c r="B318">
        <v>27</v>
      </c>
      <c r="C318" t="s">
        <v>26</v>
      </c>
      <c r="D318" t="s">
        <v>16</v>
      </c>
      <c r="E318" t="s">
        <v>17</v>
      </c>
      <c r="F318" t="s">
        <v>18</v>
      </c>
      <c r="G318">
        <v>31</v>
      </c>
      <c r="H318">
        <v>5267</v>
      </c>
      <c r="I318" t="s">
        <v>30</v>
      </c>
      <c r="J318" s="2">
        <v>45233</v>
      </c>
      <c r="K318">
        <v>4</v>
      </c>
      <c r="L318" t="s">
        <v>20</v>
      </c>
      <c r="M318">
        <v>29</v>
      </c>
      <c r="N318">
        <v>1</v>
      </c>
      <c r="O318">
        <v>2</v>
      </c>
      <c r="P318" t="s">
        <v>25</v>
      </c>
      <c r="Q318" s="1">
        <v>1</v>
      </c>
      <c r="R318" s="2">
        <v>46174</v>
      </c>
      <c r="S318" s="2"/>
      <c r="T318" s="1" t="str">
        <f t="shared" si="12"/>
        <v>sex</v>
      </c>
      <c r="U318" s="1" t="str">
        <f t="shared" si="13"/>
        <v>nov</v>
      </c>
      <c r="V318">
        <f t="shared" si="14"/>
        <v>2023</v>
      </c>
      <c r="W318">
        <f>_xlfn.XLOOKUP(A318,Absenteismo!A:A,Absenteismo!A:A,0)</f>
        <v>2030</v>
      </c>
    </row>
    <row r="319" spans="1:23" hidden="1" x14ac:dyDescent="0.3">
      <c r="A319">
        <v>2066</v>
      </c>
      <c r="B319">
        <v>27</v>
      </c>
      <c r="C319" t="s">
        <v>26</v>
      </c>
      <c r="D319" t="s">
        <v>16</v>
      </c>
      <c r="E319" t="s">
        <v>17</v>
      </c>
      <c r="F319" t="s">
        <v>21</v>
      </c>
      <c r="G319">
        <v>11</v>
      </c>
      <c r="H319">
        <v>5637</v>
      </c>
      <c r="I319" t="s">
        <v>33</v>
      </c>
      <c r="J319" s="2">
        <v>45671</v>
      </c>
      <c r="K319">
        <v>42</v>
      </c>
      <c r="L319" t="s">
        <v>20</v>
      </c>
      <c r="M319">
        <v>30</v>
      </c>
      <c r="N319">
        <v>3</v>
      </c>
      <c r="O319">
        <v>3</v>
      </c>
      <c r="P319" t="s">
        <v>25</v>
      </c>
      <c r="Q319" s="1">
        <v>1</v>
      </c>
      <c r="R319" s="2">
        <v>46174</v>
      </c>
      <c r="S319" s="2"/>
      <c r="T319" s="1" t="str">
        <f t="shared" si="12"/>
        <v>ter</v>
      </c>
      <c r="U319" s="1" t="str">
        <f t="shared" si="13"/>
        <v>jan</v>
      </c>
      <c r="V319">
        <f t="shared" si="14"/>
        <v>2025</v>
      </c>
      <c r="W319">
        <f>_xlfn.XLOOKUP(A319,Absenteismo!A:A,Absenteismo!A:A,0)</f>
        <v>2066</v>
      </c>
    </row>
    <row r="320" spans="1:23" hidden="1" x14ac:dyDescent="0.3">
      <c r="A320">
        <v>2078</v>
      </c>
      <c r="B320">
        <v>27</v>
      </c>
      <c r="C320" t="s">
        <v>15</v>
      </c>
      <c r="D320" t="s">
        <v>16</v>
      </c>
      <c r="E320" t="s">
        <v>17</v>
      </c>
      <c r="F320" t="s">
        <v>21</v>
      </c>
      <c r="G320">
        <v>57</v>
      </c>
      <c r="H320">
        <v>3752</v>
      </c>
      <c r="I320" t="s">
        <v>19</v>
      </c>
      <c r="J320" s="2">
        <v>44092</v>
      </c>
      <c r="K320">
        <v>46</v>
      </c>
      <c r="L320" t="s">
        <v>20</v>
      </c>
      <c r="M320">
        <v>5</v>
      </c>
      <c r="N320">
        <v>8</v>
      </c>
      <c r="O320">
        <v>5</v>
      </c>
      <c r="P320" t="s">
        <v>25</v>
      </c>
      <c r="Q320" s="1">
        <v>3</v>
      </c>
      <c r="R320" s="2">
        <v>46174</v>
      </c>
      <c r="S320" s="2"/>
      <c r="T320" s="1" t="str">
        <f t="shared" si="12"/>
        <v>sex</v>
      </c>
      <c r="U320" s="1" t="str">
        <f t="shared" si="13"/>
        <v>set</v>
      </c>
      <c r="V320">
        <f t="shared" si="14"/>
        <v>2020</v>
      </c>
      <c r="W320">
        <f>_xlfn.XLOOKUP(A320,Absenteismo!A:A,Absenteismo!A:A,0)</f>
        <v>2078</v>
      </c>
    </row>
    <row r="321" spans="1:23" hidden="1" x14ac:dyDescent="0.3">
      <c r="A321">
        <v>2086</v>
      </c>
      <c r="B321">
        <v>27</v>
      </c>
      <c r="C321" t="s">
        <v>15</v>
      </c>
      <c r="D321" t="s">
        <v>29</v>
      </c>
      <c r="E321" t="s">
        <v>17</v>
      </c>
      <c r="F321" t="s">
        <v>18</v>
      </c>
      <c r="G321">
        <v>8</v>
      </c>
      <c r="H321">
        <v>7360</v>
      </c>
      <c r="I321" t="s">
        <v>28</v>
      </c>
      <c r="J321" s="2">
        <v>45909</v>
      </c>
      <c r="K321">
        <v>43</v>
      </c>
      <c r="L321" t="s">
        <v>20</v>
      </c>
      <c r="M321">
        <v>11</v>
      </c>
      <c r="N321">
        <v>10</v>
      </c>
      <c r="O321">
        <v>5</v>
      </c>
      <c r="P321" t="s">
        <v>25</v>
      </c>
      <c r="Q321" s="1">
        <v>1</v>
      </c>
      <c r="R321" s="2">
        <v>46174</v>
      </c>
      <c r="S321" s="2"/>
      <c r="T321" s="1" t="str">
        <f t="shared" si="12"/>
        <v>ter</v>
      </c>
      <c r="U321" s="1" t="str">
        <f t="shared" si="13"/>
        <v>set</v>
      </c>
      <c r="V321">
        <f t="shared" si="14"/>
        <v>2025</v>
      </c>
      <c r="W321">
        <f>_xlfn.XLOOKUP(A321,Absenteismo!A:A,Absenteismo!A:A,0)</f>
        <v>2086</v>
      </c>
    </row>
    <row r="322" spans="1:23" x14ac:dyDescent="0.3">
      <c r="A322">
        <v>2107</v>
      </c>
      <c r="B322">
        <v>27</v>
      </c>
      <c r="C322" t="s">
        <v>26</v>
      </c>
      <c r="D322" t="s">
        <v>27</v>
      </c>
      <c r="E322" t="s">
        <v>17</v>
      </c>
      <c r="F322" t="s">
        <v>21</v>
      </c>
      <c r="G322">
        <v>20</v>
      </c>
      <c r="H322">
        <v>5991</v>
      </c>
      <c r="I322" t="s">
        <v>24</v>
      </c>
      <c r="J322" s="2">
        <v>45256</v>
      </c>
      <c r="K322">
        <v>24</v>
      </c>
      <c r="L322" t="s">
        <v>20</v>
      </c>
      <c r="M322">
        <v>0</v>
      </c>
      <c r="N322">
        <v>4</v>
      </c>
      <c r="O322">
        <v>5</v>
      </c>
      <c r="P322" t="s">
        <v>25</v>
      </c>
      <c r="Q322" s="1">
        <v>1</v>
      </c>
      <c r="R322" s="2">
        <v>46174</v>
      </c>
      <c r="S322" s="2"/>
      <c r="T322" s="1" t="str">
        <f t="shared" ref="T322:T385" si="15">TEXT($J322,"ddd")</f>
        <v>dom</v>
      </c>
      <c r="U322" s="1" t="str">
        <f t="shared" ref="U322:U385" si="16">TEXT($J322,"mmm")</f>
        <v>nov</v>
      </c>
      <c r="V322">
        <f t="shared" ref="V322:V385" si="17">YEAR(J322)</f>
        <v>2023</v>
      </c>
      <c r="W322">
        <f>_xlfn.XLOOKUP(A322,Absenteismo!A:A,Absenteismo!A:A,0)</f>
        <v>0</v>
      </c>
    </row>
    <row r="323" spans="1:23" x14ac:dyDescent="0.3">
      <c r="A323">
        <v>2173</v>
      </c>
      <c r="B323">
        <v>27</v>
      </c>
      <c r="C323" t="s">
        <v>15</v>
      </c>
      <c r="D323" t="s">
        <v>22</v>
      </c>
      <c r="E323" t="s">
        <v>17</v>
      </c>
      <c r="F323" t="s">
        <v>18</v>
      </c>
      <c r="G323">
        <v>10</v>
      </c>
      <c r="H323">
        <v>5860</v>
      </c>
      <c r="I323" t="s">
        <v>33</v>
      </c>
      <c r="J323" s="2">
        <v>45526</v>
      </c>
      <c r="K323">
        <v>38</v>
      </c>
      <c r="L323" t="s">
        <v>20</v>
      </c>
      <c r="M323">
        <v>19</v>
      </c>
      <c r="N323">
        <v>5</v>
      </c>
      <c r="O323">
        <v>3</v>
      </c>
      <c r="P323" t="s">
        <v>25</v>
      </c>
      <c r="Q323" s="1">
        <v>1</v>
      </c>
      <c r="R323" s="2">
        <v>46174</v>
      </c>
      <c r="S323" s="2"/>
      <c r="T323" s="1" t="str">
        <f t="shared" si="15"/>
        <v>qui</v>
      </c>
      <c r="U323" s="1" t="str">
        <f t="shared" si="16"/>
        <v>ago</v>
      </c>
      <c r="V323">
        <f t="shared" si="17"/>
        <v>2024</v>
      </c>
      <c r="W323">
        <f>_xlfn.XLOOKUP(A323,Absenteismo!A:A,Absenteismo!A:A,0)</f>
        <v>0</v>
      </c>
    </row>
    <row r="324" spans="1:23" x14ac:dyDescent="0.3">
      <c r="A324">
        <v>2189</v>
      </c>
      <c r="B324">
        <v>27</v>
      </c>
      <c r="C324" t="s">
        <v>15</v>
      </c>
      <c r="D324" t="s">
        <v>29</v>
      </c>
      <c r="E324" t="s">
        <v>17</v>
      </c>
      <c r="F324" t="s">
        <v>21</v>
      </c>
      <c r="G324">
        <v>98</v>
      </c>
      <c r="H324">
        <v>3620</v>
      </c>
      <c r="I324" t="s">
        <v>30</v>
      </c>
      <c r="J324" s="2">
        <v>42928</v>
      </c>
      <c r="K324">
        <v>37</v>
      </c>
      <c r="L324" t="s">
        <v>20</v>
      </c>
      <c r="M324">
        <v>18</v>
      </c>
      <c r="N324">
        <v>8</v>
      </c>
      <c r="O324">
        <v>4</v>
      </c>
      <c r="P324" t="s">
        <v>25</v>
      </c>
      <c r="Q324" s="1">
        <v>2</v>
      </c>
      <c r="R324" s="2">
        <v>46174</v>
      </c>
      <c r="S324" s="2"/>
      <c r="T324" s="1" t="str">
        <f t="shared" si="15"/>
        <v>qua</v>
      </c>
      <c r="U324" s="1" t="str">
        <f t="shared" si="16"/>
        <v>jul</v>
      </c>
      <c r="V324">
        <f t="shared" si="17"/>
        <v>2017</v>
      </c>
      <c r="W324">
        <f>_xlfn.XLOOKUP(A324,Absenteismo!A:A,Absenteismo!A:A,0)</f>
        <v>0</v>
      </c>
    </row>
    <row r="325" spans="1:23" x14ac:dyDescent="0.3">
      <c r="A325">
        <v>1966</v>
      </c>
      <c r="B325">
        <v>27</v>
      </c>
      <c r="C325" t="s">
        <v>26</v>
      </c>
      <c r="D325" t="s">
        <v>22</v>
      </c>
      <c r="E325" t="s">
        <v>17</v>
      </c>
      <c r="F325" t="s">
        <v>23</v>
      </c>
      <c r="G325">
        <v>8</v>
      </c>
      <c r="H325">
        <v>4159</v>
      </c>
      <c r="I325" t="s">
        <v>24</v>
      </c>
      <c r="J325" s="2">
        <v>45715</v>
      </c>
      <c r="K325">
        <v>39</v>
      </c>
      <c r="L325" t="s">
        <v>20</v>
      </c>
      <c r="M325">
        <v>18</v>
      </c>
      <c r="N325">
        <v>7</v>
      </c>
      <c r="O325">
        <v>2</v>
      </c>
      <c r="P325" t="s">
        <v>25</v>
      </c>
      <c r="Q325" s="1">
        <v>3</v>
      </c>
      <c r="R325" s="2">
        <v>46174</v>
      </c>
      <c r="S325" s="2"/>
      <c r="T325" s="1" t="str">
        <f t="shared" si="15"/>
        <v>qui</v>
      </c>
      <c r="U325" s="1" t="str">
        <f t="shared" si="16"/>
        <v>fev</v>
      </c>
      <c r="V325">
        <f t="shared" si="17"/>
        <v>2025</v>
      </c>
      <c r="W325">
        <f>_xlfn.XLOOKUP(A325,Absenteismo!A:A,Absenteismo!A:A,0)</f>
        <v>0</v>
      </c>
    </row>
    <row r="326" spans="1:23" hidden="1" x14ac:dyDescent="0.3">
      <c r="A326">
        <v>1977</v>
      </c>
      <c r="B326">
        <v>27</v>
      </c>
      <c r="C326" t="s">
        <v>26</v>
      </c>
      <c r="D326" t="s">
        <v>31</v>
      </c>
      <c r="E326" t="s">
        <v>32</v>
      </c>
      <c r="F326" t="s">
        <v>21</v>
      </c>
      <c r="G326">
        <v>76</v>
      </c>
      <c r="H326">
        <v>5519</v>
      </c>
      <c r="I326" t="s">
        <v>30</v>
      </c>
      <c r="J326" s="2">
        <v>43671</v>
      </c>
      <c r="K326">
        <v>56</v>
      </c>
      <c r="L326" t="s">
        <v>25</v>
      </c>
      <c r="M326">
        <v>6</v>
      </c>
      <c r="N326">
        <v>8</v>
      </c>
      <c r="O326">
        <v>5</v>
      </c>
      <c r="P326" t="s">
        <v>25</v>
      </c>
      <c r="Q326" s="1">
        <v>3</v>
      </c>
      <c r="R326" s="2">
        <v>46174</v>
      </c>
      <c r="S326" s="2"/>
      <c r="T326" s="1" t="str">
        <f t="shared" si="15"/>
        <v>qui</v>
      </c>
      <c r="U326" s="1" t="str">
        <f t="shared" si="16"/>
        <v>jul</v>
      </c>
      <c r="V326">
        <f t="shared" si="17"/>
        <v>2019</v>
      </c>
      <c r="W326">
        <f>_xlfn.XLOOKUP(A326,Absenteismo!A:A,Absenteismo!A:A,0)</f>
        <v>1977</v>
      </c>
    </row>
    <row r="327" spans="1:23" hidden="1" x14ac:dyDescent="0.3">
      <c r="A327">
        <v>2005</v>
      </c>
      <c r="B327">
        <v>27</v>
      </c>
      <c r="C327" t="s">
        <v>26</v>
      </c>
      <c r="D327" t="s">
        <v>16</v>
      </c>
      <c r="E327" t="s">
        <v>17</v>
      </c>
      <c r="F327" t="s">
        <v>21</v>
      </c>
      <c r="G327">
        <v>82</v>
      </c>
      <c r="H327">
        <v>3051</v>
      </c>
      <c r="I327" t="s">
        <v>30</v>
      </c>
      <c r="J327" s="2">
        <v>43262</v>
      </c>
      <c r="K327">
        <v>48</v>
      </c>
      <c r="L327" t="s">
        <v>20</v>
      </c>
      <c r="M327">
        <v>24</v>
      </c>
      <c r="N327">
        <v>6</v>
      </c>
      <c r="O327">
        <v>5</v>
      </c>
      <c r="P327" t="s">
        <v>25</v>
      </c>
      <c r="Q327" s="1">
        <v>1</v>
      </c>
      <c r="R327" s="2">
        <v>46174</v>
      </c>
      <c r="S327" s="2"/>
      <c r="T327" s="1" t="str">
        <f t="shared" si="15"/>
        <v>seg</v>
      </c>
      <c r="U327" s="1" t="str">
        <f t="shared" si="16"/>
        <v>jun</v>
      </c>
      <c r="V327">
        <f t="shared" si="17"/>
        <v>2018</v>
      </c>
      <c r="W327">
        <f>_xlfn.XLOOKUP(A327,Absenteismo!A:A,Absenteismo!A:A,0)</f>
        <v>2005</v>
      </c>
    </row>
    <row r="328" spans="1:23" hidden="1" x14ac:dyDescent="0.3">
      <c r="A328">
        <v>1775</v>
      </c>
      <c r="B328">
        <v>28</v>
      </c>
      <c r="C328" t="s">
        <v>26</v>
      </c>
      <c r="D328" t="s">
        <v>27</v>
      </c>
      <c r="E328" t="s">
        <v>17</v>
      </c>
      <c r="F328" t="s">
        <v>21</v>
      </c>
      <c r="G328">
        <v>99</v>
      </c>
      <c r="H328">
        <v>5347</v>
      </c>
      <c r="I328" t="s">
        <v>30</v>
      </c>
      <c r="J328" s="2">
        <v>42738</v>
      </c>
      <c r="K328">
        <v>41</v>
      </c>
      <c r="L328" t="s">
        <v>25</v>
      </c>
      <c r="M328">
        <v>18</v>
      </c>
      <c r="N328">
        <v>5</v>
      </c>
      <c r="O328">
        <v>3</v>
      </c>
      <c r="P328" t="s">
        <v>20</v>
      </c>
      <c r="Q328" s="1">
        <v>1</v>
      </c>
      <c r="R328" s="2">
        <v>46174</v>
      </c>
      <c r="S328" s="2">
        <v>45750</v>
      </c>
      <c r="T328" s="1" t="str">
        <f t="shared" si="15"/>
        <v>ter</v>
      </c>
      <c r="U328" s="1" t="str">
        <f t="shared" si="16"/>
        <v>jan</v>
      </c>
      <c r="V328">
        <f t="shared" si="17"/>
        <v>2017</v>
      </c>
      <c r="W328">
        <f>_xlfn.XLOOKUP(A328,Absenteismo!A:A,Absenteismo!A:A,0)</f>
        <v>1775</v>
      </c>
    </row>
    <row r="329" spans="1:23" hidden="1" x14ac:dyDescent="0.3">
      <c r="A329">
        <v>1283</v>
      </c>
      <c r="B329">
        <v>28</v>
      </c>
      <c r="C329" t="s">
        <v>26</v>
      </c>
      <c r="D329" t="s">
        <v>31</v>
      </c>
      <c r="E329" t="s">
        <v>34</v>
      </c>
      <c r="F329" t="s">
        <v>23</v>
      </c>
      <c r="G329">
        <v>40</v>
      </c>
      <c r="H329">
        <v>6056</v>
      </c>
      <c r="I329" t="s">
        <v>33</v>
      </c>
      <c r="J329" s="2">
        <v>44671</v>
      </c>
      <c r="K329">
        <v>32</v>
      </c>
      <c r="L329" t="s">
        <v>25</v>
      </c>
      <c r="M329">
        <v>16</v>
      </c>
      <c r="N329">
        <v>1</v>
      </c>
      <c r="O329">
        <v>5</v>
      </c>
      <c r="P329" t="s">
        <v>20</v>
      </c>
      <c r="Q329" s="1">
        <v>2</v>
      </c>
      <c r="R329" s="2">
        <v>46174</v>
      </c>
      <c r="S329" s="2">
        <v>45889</v>
      </c>
      <c r="T329" s="1" t="str">
        <f t="shared" si="15"/>
        <v>qua</v>
      </c>
      <c r="U329" s="1" t="str">
        <f t="shared" si="16"/>
        <v>abr</v>
      </c>
      <c r="V329">
        <f t="shared" si="17"/>
        <v>2022</v>
      </c>
      <c r="W329">
        <f>_xlfn.XLOOKUP(A329,Absenteismo!A:A,Absenteismo!A:A,0)</f>
        <v>1283</v>
      </c>
    </row>
    <row r="330" spans="1:23" hidden="1" x14ac:dyDescent="0.3">
      <c r="A330">
        <v>1475</v>
      </c>
      <c r="B330">
        <v>28</v>
      </c>
      <c r="C330" t="s">
        <v>26</v>
      </c>
      <c r="D330" t="s">
        <v>27</v>
      </c>
      <c r="E330" t="s">
        <v>17</v>
      </c>
      <c r="F330" t="s">
        <v>21</v>
      </c>
      <c r="G330">
        <v>99</v>
      </c>
      <c r="H330">
        <v>5347</v>
      </c>
      <c r="I330" t="s">
        <v>30</v>
      </c>
      <c r="J330" s="2">
        <v>42908</v>
      </c>
      <c r="K330">
        <v>41</v>
      </c>
      <c r="L330" t="s">
        <v>25</v>
      </c>
      <c r="M330">
        <v>18</v>
      </c>
      <c r="N330">
        <v>5</v>
      </c>
      <c r="O330">
        <v>3</v>
      </c>
      <c r="P330" t="s">
        <v>20</v>
      </c>
      <c r="Q330" s="1">
        <v>2</v>
      </c>
      <c r="R330" s="2">
        <v>46174</v>
      </c>
      <c r="S330" s="2">
        <v>45922</v>
      </c>
      <c r="T330" s="1" t="str">
        <f t="shared" si="15"/>
        <v>qui</v>
      </c>
      <c r="U330" s="1" t="str">
        <f t="shared" si="16"/>
        <v>jun</v>
      </c>
      <c r="V330">
        <f t="shared" si="17"/>
        <v>2017</v>
      </c>
      <c r="W330">
        <f>_xlfn.XLOOKUP(A330,Absenteismo!A:A,Absenteismo!A:A,0)</f>
        <v>1475</v>
      </c>
    </row>
    <row r="331" spans="1:23" hidden="1" x14ac:dyDescent="0.3">
      <c r="A331">
        <v>1801</v>
      </c>
      <c r="B331">
        <v>28</v>
      </c>
      <c r="C331" t="s">
        <v>15</v>
      </c>
      <c r="D331" t="s">
        <v>29</v>
      </c>
      <c r="E331" t="s">
        <v>17</v>
      </c>
      <c r="F331" t="s">
        <v>18</v>
      </c>
      <c r="G331">
        <v>83</v>
      </c>
      <c r="H331">
        <v>5513</v>
      </c>
      <c r="I331" t="s">
        <v>28</v>
      </c>
      <c r="J331" s="2">
        <v>43395</v>
      </c>
      <c r="K331">
        <v>55</v>
      </c>
      <c r="L331" t="s">
        <v>25</v>
      </c>
      <c r="M331">
        <v>33</v>
      </c>
      <c r="N331">
        <v>0</v>
      </c>
      <c r="O331">
        <v>3</v>
      </c>
      <c r="P331" t="s">
        <v>20</v>
      </c>
      <c r="Q331" s="1">
        <v>1</v>
      </c>
      <c r="R331" s="2">
        <v>46174</v>
      </c>
      <c r="S331" s="2">
        <v>45922</v>
      </c>
      <c r="T331" s="1" t="str">
        <f t="shared" si="15"/>
        <v>seg</v>
      </c>
      <c r="U331" s="1" t="str">
        <f t="shared" si="16"/>
        <v>out</v>
      </c>
      <c r="V331">
        <f t="shared" si="17"/>
        <v>2018</v>
      </c>
      <c r="W331">
        <f>_xlfn.XLOOKUP(A331,Absenteismo!A:A,Absenteismo!A:A,0)</f>
        <v>1801</v>
      </c>
    </row>
    <row r="332" spans="1:23" hidden="1" x14ac:dyDescent="0.3">
      <c r="A332">
        <v>1583</v>
      </c>
      <c r="B332">
        <v>28</v>
      </c>
      <c r="C332" t="s">
        <v>26</v>
      </c>
      <c r="D332" t="s">
        <v>31</v>
      </c>
      <c r="E332" t="s">
        <v>34</v>
      </c>
      <c r="F332" t="s">
        <v>23</v>
      </c>
      <c r="G332">
        <v>40</v>
      </c>
      <c r="H332">
        <v>6056</v>
      </c>
      <c r="I332" t="s">
        <v>33</v>
      </c>
      <c r="J332" s="2">
        <v>44782</v>
      </c>
      <c r="K332">
        <v>32</v>
      </c>
      <c r="L332" t="s">
        <v>25</v>
      </c>
      <c r="M332">
        <v>16</v>
      </c>
      <c r="N332">
        <v>1</v>
      </c>
      <c r="O332">
        <v>5</v>
      </c>
      <c r="P332" t="s">
        <v>20</v>
      </c>
      <c r="Q332" s="1">
        <v>2</v>
      </c>
      <c r="R332" s="2">
        <v>46174</v>
      </c>
      <c r="S332" s="2">
        <v>46000</v>
      </c>
      <c r="T332" s="1" t="str">
        <f t="shared" si="15"/>
        <v>ter</v>
      </c>
      <c r="U332" s="1" t="str">
        <f t="shared" si="16"/>
        <v>ago</v>
      </c>
      <c r="V332">
        <f t="shared" si="17"/>
        <v>2022</v>
      </c>
      <c r="W332">
        <f>_xlfn.XLOOKUP(A332,Absenteismo!A:A,Absenteismo!A:A,0)</f>
        <v>1583</v>
      </c>
    </row>
    <row r="333" spans="1:23" hidden="1" x14ac:dyDescent="0.3">
      <c r="A333">
        <v>1287</v>
      </c>
      <c r="B333">
        <v>28</v>
      </c>
      <c r="C333" t="s">
        <v>15</v>
      </c>
      <c r="D333" t="s">
        <v>22</v>
      </c>
      <c r="E333" t="s">
        <v>17</v>
      </c>
      <c r="F333" t="s">
        <v>23</v>
      </c>
      <c r="G333">
        <v>6</v>
      </c>
      <c r="H333">
        <v>6268</v>
      </c>
      <c r="I333" t="s">
        <v>30</v>
      </c>
      <c r="J333" s="2">
        <v>45917</v>
      </c>
      <c r="K333">
        <v>53</v>
      </c>
      <c r="L333" t="s">
        <v>20</v>
      </c>
      <c r="M333">
        <v>9</v>
      </c>
      <c r="N333">
        <v>9</v>
      </c>
      <c r="O333">
        <v>4</v>
      </c>
      <c r="P333" t="s">
        <v>20</v>
      </c>
      <c r="Q333" s="1">
        <v>2</v>
      </c>
      <c r="R333" s="2">
        <v>46174</v>
      </c>
      <c r="S333" s="2">
        <v>46098</v>
      </c>
      <c r="T333" s="1" t="str">
        <f t="shared" si="15"/>
        <v>qua</v>
      </c>
      <c r="U333" s="1" t="str">
        <f t="shared" si="16"/>
        <v>set</v>
      </c>
      <c r="V333">
        <f t="shared" si="17"/>
        <v>2025</v>
      </c>
      <c r="W333">
        <f>_xlfn.XLOOKUP(A333,Absenteismo!A:A,Absenteismo!A:A,0)</f>
        <v>1287</v>
      </c>
    </row>
    <row r="334" spans="1:23" hidden="1" x14ac:dyDescent="0.3">
      <c r="A334">
        <v>1201</v>
      </c>
      <c r="B334">
        <v>28</v>
      </c>
      <c r="C334" t="s">
        <v>15</v>
      </c>
      <c r="D334" t="s">
        <v>29</v>
      </c>
      <c r="E334" t="s">
        <v>17</v>
      </c>
      <c r="F334" t="s">
        <v>18</v>
      </c>
      <c r="G334">
        <v>83</v>
      </c>
      <c r="H334">
        <v>5513</v>
      </c>
      <c r="I334" t="s">
        <v>28</v>
      </c>
      <c r="J334" s="2">
        <v>43582</v>
      </c>
      <c r="K334">
        <v>41</v>
      </c>
      <c r="L334" t="s">
        <v>25</v>
      </c>
      <c r="M334">
        <v>33</v>
      </c>
      <c r="N334">
        <v>0</v>
      </c>
      <c r="O334">
        <v>3</v>
      </c>
      <c r="P334" t="s">
        <v>20</v>
      </c>
      <c r="Q334" s="1">
        <v>2</v>
      </c>
      <c r="R334" s="2">
        <v>46174</v>
      </c>
      <c r="S334" s="2">
        <v>46108</v>
      </c>
      <c r="T334" s="1" t="str">
        <f t="shared" si="15"/>
        <v>sáb</v>
      </c>
      <c r="U334" s="1" t="str">
        <f t="shared" si="16"/>
        <v>abr</v>
      </c>
      <c r="V334">
        <f t="shared" si="17"/>
        <v>2019</v>
      </c>
      <c r="W334">
        <f>_xlfn.XLOOKUP(A334,Absenteismo!A:A,Absenteismo!A:A,0)</f>
        <v>1201</v>
      </c>
    </row>
    <row r="335" spans="1:23" x14ac:dyDescent="0.3">
      <c r="A335">
        <v>1175</v>
      </c>
      <c r="B335">
        <v>28</v>
      </c>
      <c r="C335" t="s">
        <v>26</v>
      </c>
      <c r="D335" t="s">
        <v>27</v>
      </c>
      <c r="E335" t="s">
        <v>17</v>
      </c>
      <c r="F335" t="s">
        <v>21</v>
      </c>
      <c r="G335">
        <v>99</v>
      </c>
      <c r="H335">
        <v>5347</v>
      </c>
      <c r="I335" t="s">
        <v>30</v>
      </c>
      <c r="J335" s="2">
        <v>43140</v>
      </c>
      <c r="K335">
        <v>41</v>
      </c>
      <c r="L335" t="s">
        <v>25</v>
      </c>
      <c r="M335">
        <v>18</v>
      </c>
      <c r="N335">
        <v>5</v>
      </c>
      <c r="O335">
        <v>3</v>
      </c>
      <c r="P335" t="s">
        <v>20</v>
      </c>
      <c r="Q335" s="1">
        <v>2</v>
      </c>
      <c r="R335" s="2">
        <v>46174</v>
      </c>
      <c r="S335" s="2">
        <v>46151</v>
      </c>
      <c r="T335" s="1" t="str">
        <f t="shared" si="15"/>
        <v>sex</v>
      </c>
      <c r="U335" s="1" t="str">
        <f t="shared" si="16"/>
        <v>fev</v>
      </c>
      <c r="V335">
        <f t="shared" si="17"/>
        <v>2018</v>
      </c>
      <c r="W335">
        <f>_xlfn.XLOOKUP(A335,Absenteismo!A:A,Absenteismo!A:A,0)</f>
        <v>0</v>
      </c>
    </row>
    <row r="336" spans="1:23" hidden="1" x14ac:dyDescent="0.3">
      <c r="A336">
        <v>1501</v>
      </c>
      <c r="B336">
        <v>28</v>
      </c>
      <c r="C336" t="s">
        <v>15</v>
      </c>
      <c r="D336" t="s">
        <v>29</v>
      </c>
      <c r="E336" t="s">
        <v>17</v>
      </c>
      <c r="F336" t="s">
        <v>18</v>
      </c>
      <c r="G336">
        <v>83</v>
      </c>
      <c r="H336">
        <v>5513</v>
      </c>
      <c r="I336" t="s">
        <v>28</v>
      </c>
      <c r="J336" s="2">
        <v>43628</v>
      </c>
      <c r="K336">
        <v>41</v>
      </c>
      <c r="L336" t="s">
        <v>25</v>
      </c>
      <c r="M336">
        <v>33</v>
      </c>
      <c r="N336">
        <v>0</v>
      </c>
      <c r="O336">
        <v>3</v>
      </c>
      <c r="P336" t="s">
        <v>20</v>
      </c>
      <c r="Q336" s="1">
        <v>1</v>
      </c>
      <c r="R336" s="2">
        <v>46174</v>
      </c>
      <c r="S336" s="2">
        <v>46154</v>
      </c>
      <c r="T336" s="1" t="str">
        <f t="shared" si="15"/>
        <v>qua</v>
      </c>
      <c r="U336" s="1" t="str">
        <f t="shared" si="16"/>
        <v>jun</v>
      </c>
      <c r="V336">
        <f t="shared" si="17"/>
        <v>2019</v>
      </c>
      <c r="W336">
        <f>_xlfn.XLOOKUP(A336,Absenteismo!A:A,Absenteismo!A:A,0)</f>
        <v>1501</v>
      </c>
    </row>
    <row r="337" spans="1:23" x14ac:dyDescent="0.3">
      <c r="A337">
        <v>1144</v>
      </c>
      <c r="B337">
        <v>28</v>
      </c>
      <c r="C337" t="s">
        <v>15</v>
      </c>
      <c r="D337" t="s">
        <v>22</v>
      </c>
      <c r="E337" t="s">
        <v>17</v>
      </c>
      <c r="F337" t="s">
        <v>21</v>
      </c>
      <c r="G337">
        <v>29</v>
      </c>
      <c r="H337">
        <v>3794</v>
      </c>
      <c r="I337" t="s">
        <v>19</v>
      </c>
      <c r="J337" s="2">
        <v>45206</v>
      </c>
      <c r="K337">
        <v>43</v>
      </c>
      <c r="L337" t="s">
        <v>20</v>
      </c>
      <c r="M337">
        <v>31</v>
      </c>
      <c r="N337">
        <v>0</v>
      </c>
      <c r="O337">
        <v>4</v>
      </c>
      <c r="P337" t="s">
        <v>25</v>
      </c>
      <c r="Q337" s="1">
        <v>2</v>
      </c>
      <c r="R337" s="2">
        <v>46174</v>
      </c>
      <c r="S337" s="2"/>
      <c r="T337" s="1" t="str">
        <f t="shared" si="15"/>
        <v>sáb</v>
      </c>
      <c r="U337" s="1" t="str">
        <f t="shared" si="16"/>
        <v>out</v>
      </c>
      <c r="V337">
        <f t="shared" si="17"/>
        <v>2023</v>
      </c>
      <c r="W337">
        <f>_xlfn.XLOOKUP(A337,Absenteismo!A:A,Absenteismo!A:A,0)</f>
        <v>0</v>
      </c>
    </row>
    <row r="338" spans="1:23" hidden="1" x14ac:dyDescent="0.3">
      <c r="A338">
        <v>1154</v>
      </c>
      <c r="B338">
        <v>28</v>
      </c>
      <c r="C338" t="s">
        <v>26</v>
      </c>
      <c r="D338" t="s">
        <v>31</v>
      </c>
      <c r="E338" t="s">
        <v>34</v>
      </c>
      <c r="F338" t="s">
        <v>18</v>
      </c>
      <c r="G338">
        <v>113</v>
      </c>
      <c r="H338">
        <v>5327</v>
      </c>
      <c r="I338" t="s">
        <v>33</v>
      </c>
      <c r="J338" s="2">
        <v>42412</v>
      </c>
      <c r="K338">
        <v>2</v>
      </c>
      <c r="L338" t="s">
        <v>20</v>
      </c>
      <c r="M338">
        <v>25</v>
      </c>
      <c r="N338">
        <v>8</v>
      </c>
      <c r="O338">
        <v>5</v>
      </c>
      <c r="P338" t="s">
        <v>25</v>
      </c>
      <c r="Q338" s="1">
        <v>2</v>
      </c>
      <c r="R338" s="2">
        <v>46174</v>
      </c>
      <c r="S338" s="2"/>
      <c r="T338" s="1" t="str">
        <f t="shared" si="15"/>
        <v>sex</v>
      </c>
      <c r="U338" s="1" t="str">
        <f t="shared" si="16"/>
        <v>fev</v>
      </c>
      <c r="V338">
        <f t="shared" si="17"/>
        <v>2016</v>
      </c>
      <c r="W338">
        <f>_xlfn.XLOOKUP(A338,Absenteismo!A:A,Absenteismo!A:A,0)</f>
        <v>1154</v>
      </c>
    </row>
    <row r="339" spans="1:23" hidden="1" x14ac:dyDescent="0.3">
      <c r="A339">
        <v>1210</v>
      </c>
      <c r="B339">
        <v>28</v>
      </c>
      <c r="C339" t="s">
        <v>15</v>
      </c>
      <c r="D339" t="s">
        <v>16</v>
      </c>
      <c r="E339" t="s">
        <v>17</v>
      </c>
      <c r="F339" t="s">
        <v>18</v>
      </c>
      <c r="G339">
        <v>64</v>
      </c>
      <c r="H339">
        <v>3995</v>
      </c>
      <c r="I339" t="s">
        <v>30</v>
      </c>
      <c r="J339" s="2">
        <v>44115</v>
      </c>
      <c r="K339">
        <v>11</v>
      </c>
      <c r="L339" t="s">
        <v>20</v>
      </c>
      <c r="M339">
        <v>26</v>
      </c>
      <c r="N339">
        <v>4</v>
      </c>
      <c r="O339">
        <v>5</v>
      </c>
      <c r="P339" t="s">
        <v>25</v>
      </c>
      <c r="Q339" s="1">
        <v>2</v>
      </c>
      <c r="R339" s="2">
        <v>46174</v>
      </c>
      <c r="S339" s="2"/>
      <c r="T339" s="1" t="str">
        <f t="shared" si="15"/>
        <v>dom</v>
      </c>
      <c r="U339" s="1" t="str">
        <f t="shared" si="16"/>
        <v>out</v>
      </c>
      <c r="V339">
        <f t="shared" si="17"/>
        <v>2020</v>
      </c>
      <c r="W339">
        <f>_xlfn.XLOOKUP(A339,Absenteismo!A:A,Absenteismo!A:A,0)</f>
        <v>1210</v>
      </c>
    </row>
    <row r="340" spans="1:23" hidden="1" x14ac:dyDescent="0.3">
      <c r="A340">
        <v>1221</v>
      </c>
      <c r="B340">
        <v>28</v>
      </c>
      <c r="C340" t="s">
        <v>15</v>
      </c>
      <c r="D340" t="s">
        <v>29</v>
      </c>
      <c r="E340" t="s">
        <v>17</v>
      </c>
      <c r="F340" t="s">
        <v>21</v>
      </c>
      <c r="G340">
        <v>21</v>
      </c>
      <c r="H340">
        <v>5511</v>
      </c>
      <c r="I340" t="s">
        <v>28</v>
      </c>
      <c r="J340" s="2">
        <v>45447</v>
      </c>
      <c r="K340">
        <v>28</v>
      </c>
      <c r="L340" t="s">
        <v>25</v>
      </c>
      <c r="M340">
        <v>14</v>
      </c>
      <c r="N340">
        <v>12</v>
      </c>
      <c r="O340">
        <v>5</v>
      </c>
      <c r="P340" t="s">
        <v>25</v>
      </c>
      <c r="Q340" s="1">
        <v>2</v>
      </c>
      <c r="R340" s="2">
        <v>46174</v>
      </c>
      <c r="S340" s="2"/>
      <c r="T340" s="1" t="str">
        <f t="shared" si="15"/>
        <v>ter</v>
      </c>
      <c r="U340" s="1" t="str">
        <f t="shared" si="16"/>
        <v>jun</v>
      </c>
      <c r="V340">
        <f t="shared" si="17"/>
        <v>2024</v>
      </c>
      <c r="W340">
        <f>_xlfn.XLOOKUP(A340,Absenteismo!A:A,Absenteismo!A:A,0)</f>
        <v>1221</v>
      </c>
    </row>
    <row r="341" spans="1:23" hidden="1" x14ac:dyDescent="0.3">
      <c r="A341">
        <v>1444</v>
      </c>
      <c r="B341">
        <v>28</v>
      </c>
      <c r="C341" t="s">
        <v>15</v>
      </c>
      <c r="D341" t="s">
        <v>22</v>
      </c>
      <c r="E341" t="s">
        <v>17</v>
      </c>
      <c r="F341" t="s">
        <v>21</v>
      </c>
      <c r="G341">
        <v>29</v>
      </c>
      <c r="H341">
        <v>3794</v>
      </c>
      <c r="I341" t="s">
        <v>19</v>
      </c>
      <c r="J341" s="2">
        <v>45027</v>
      </c>
      <c r="K341">
        <v>41</v>
      </c>
      <c r="L341" t="s">
        <v>20</v>
      </c>
      <c r="M341">
        <v>31</v>
      </c>
      <c r="N341">
        <v>0</v>
      </c>
      <c r="O341">
        <v>4</v>
      </c>
      <c r="P341" t="s">
        <v>25</v>
      </c>
      <c r="Q341" s="1">
        <v>2</v>
      </c>
      <c r="R341" s="2">
        <v>46174</v>
      </c>
      <c r="S341" s="2"/>
      <c r="T341" s="1" t="str">
        <f t="shared" si="15"/>
        <v>ter</v>
      </c>
      <c r="U341" s="1" t="str">
        <f t="shared" si="16"/>
        <v>abr</v>
      </c>
      <c r="V341">
        <f t="shared" si="17"/>
        <v>2023</v>
      </c>
      <c r="W341">
        <f>_xlfn.XLOOKUP(A341,Absenteismo!A:A,Absenteismo!A:A,0)</f>
        <v>1444</v>
      </c>
    </row>
    <row r="342" spans="1:23" hidden="1" x14ac:dyDescent="0.3">
      <c r="A342">
        <v>1454</v>
      </c>
      <c r="B342">
        <v>28</v>
      </c>
      <c r="C342" t="s">
        <v>26</v>
      </c>
      <c r="D342" t="s">
        <v>31</v>
      </c>
      <c r="E342" t="s">
        <v>34</v>
      </c>
      <c r="F342" t="s">
        <v>18</v>
      </c>
      <c r="G342">
        <v>113</v>
      </c>
      <c r="H342">
        <v>5327</v>
      </c>
      <c r="I342" t="s">
        <v>33</v>
      </c>
      <c r="J342" s="2">
        <v>42396</v>
      </c>
      <c r="K342">
        <v>2</v>
      </c>
      <c r="L342" t="s">
        <v>20</v>
      </c>
      <c r="M342">
        <v>25</v>
      </c>
      <c r="N342">
        <v>8</v>
      </c>
      <c r="O342">
        <v>5</v>
      </c>
      <c r="P342" t="s">
        <v>25</v>
      </c>
      <c r="Q342" s="1">
        <v>1</v>
      </c>
      <c r="R342" s="2">
        <v>46174</v>
      </c>
      <c r="S342" s="2"/>
      <c r="T342" s="1" t="str">
        <f t="shared" si="15"/>
        <v>qua</v>
      </c>
      <c r="U342" s="1" t="str">
        <f t="shared" si="16"/>
        <v>jan</v>
      </c>
      <c r="V342">
        <f t="shared" si="17"/>
        <v>2016</v>
      </c>
      <c r="W342">
        <f>_xlfn.XLOOKUP(A342,Absenteismo!A:A,Absenteismo!A:A,0)</f>
        <v>1454</v>
      </c>
    </row>
    <row r="343" spans="1:23" hidden="1" x14ac:dyDescent="0.3">
      <c r="A343">
        <v>1510</v>
      </c>
      <c r="B343">
        <v>28</v>
      </c>
      <c r="C343" t="s">
        <v>15</v>
      </c>
      <c r="D343" t="s">
        <v>16</v>
      </c>
      <c r="E343" t="s">
        <v>17</v>
      </c>
      <c r="F343" t="s">
        <v>18</v>
      </c>
      <c r="G343">
        <v>64</v>
      </c>
      <c r="H343">
        <v>3995</v>
      </c>
      <c r="I343" t="s">
        <v>30</v>
      </c>
      <c r="J343" s="2">
        <v>43849</v>
      </c>
      <c r="K343">
        <v>11</v>
      </c>
      <c r="L343" t="s">
        <v>20</v>
      </c>
      <c r="M343">
        <v>26</v>
      </c>
      <c r="N343">
        <v>4</v>
      </c>
      <c r="O343">
        <v>5</v>
      </c>
      <c r="P343" t="s">
        <v>25</v>
      </c>
      <c r="Q343" s="1">
        <v>1</v>
      </c>
      <c r="R343" s="2">
        <v>46174</v>
      </c>
      <c r="S343" s="2"/>
      <c r="T343" s="1" t="str">
        <f t="shared" si="15"/>
        <v>dom</v>
      </c>
      <c r="U343" s="1" t="str">
        <f t="shared" si="16"/>
        <v>jan</v>
      </c>
      <c r="V343">
        <f t="shared" si="17"/>
        <v>2020</v>
      </c>
      <c r="W343">
        <f>_xlfn.XLOOKUP(A343,Absenteismo!A:A,Absenteismo!A:A,0)</f>
        <v>1510</v>
      </c>
    </row>
    <row r="344" spans="1:23" hidden="1" x14ac:dyDescent="0.3">
      <c r="A344">
        <v>1521</v>
      </c>
      <c r="B344">
        <v>28</v>
      </c>
      <c r="C344" t="s">
        <v>15</v>
      </c>
      <c r="D344" t="s">
        <v>29</v>
      </c>
      <c r="E344" t="s">
        <v>17</v>
      </c>
      <c r="F344" t="s">
        <v>21</v>
      </c>
      <c r="G344">
        <v>21</v>
      </c>
      <c r="H344">
        <v>5511</v>
      </c>
      <c r="I344" t="s">
        <v>28</v>
      </c>
      <c r="J344" s="2">
        <v>45213</v>
      </c>
      <c r="K344">
        <v>28</v>
      </c>
      <c r="L344" t="s">
        <v>25</v>
      </c>
      <c r="M344">
        <v>14</v>
      </c>
      <c r="N344">
        <v>12</v>
      </c>
      <c r="O344">
        <v>5</v>
      </c>
      <c r="P344" t="s">
        <v>25</v>
      </c>
      <c r="Q344" s="1">
        <v>3</v>
      </c>
      <c r="R344" s="2">
        <v>46174</v>
      </c>
      <c r="S344" s="2"/>
      <c r="T344" s="1" t="str">
        <f t="shared" si="15"/>
        <v>sáb</v>
      </c>
      <c r="U344" s="1" t="str">
        <f t="shared" si="16"/>
        <v>out</v>
      </c>
      <c r="V344">
        <f t="shared" si="17"/>
        <v>2023</v>
      </c>
      <c r="W344">
        <f>_xlfn.XLOOKUP(A344,Absenteismo!A:A,Absenteismo!A:A,0)</f>
        <v>1521</v>
      </c>
    </row>
    <row r="345" spans="1:23" hidden="1" x14ac:dyDescent="0.3">
      <c r="A345">
        <v>1587</v>
      </c>
      <c r="B345">
        <v>28</v>
      </c>
      <c r="C345" t="s">
        <v>15</v>
      </c>
      <c r="D345" t="s">
        <v>22</v>
      </c>
      <c r="E345" t="s">
        <v>17</v>
      </c>
      <c r="F345" t="s">
        <v>23</v>
      </c>
      <c r="G345">
        <v>6</v>
      </c>
      <c r="H345">
        <v>6268</v>
      </c>
      <c r="I345" t="s">
        <v>30</v>
      </c>
      <c r="J345" s="2">
        <v>45584</v>
      </c>
      <c r="K345">
        <v>54</v>
      </c>
      <c r="L345" t="s">
        <v>20</v>
      </c>
      <c r="M345">
        <v>9</v>
      </c>
      <c r="N345">
        <v>9</v>
      </c>
      <c r="O345">
        <v>4</v>
      </c>
      <c r="P345" t="s">
        <v>25</v>
      </c>
      <c r="Q345" s="1">
        <v>2</v>
      </c>
      <c r="R345" s="2">
        <v>46174</v>
      </c>
      <c r="S345" s="2"/>
      <c r="T345" s="1" t="str">
        <f t="shared" si="15"/>
        <v>sáb</v>
      </c>
      <c r="U345" s="1" t="str">
        <f t="shared" si="16"/>
        <v>out</v>
      </c>
      <c r="V345">
        <f t="shared" si="17"/>
        <v>2024</v>
      </c>
      <c r="W345">
        <f>_xlfn.XLOOKUP(A345,Absenteismo!A:A,Absenteismo!A:A,0)</f>
        <v>1587</v>
      </c>
    </row>
    <row r="346" spans="1:23" hidden="1" x14ac:dyDescent="0.3">
      <c r="A346">
        <v>1744</v>
      </c>
      <c r="B346">
        <v>28</v>
      </c>
      <c r="C346" t="s">
        <v>15</v>
      </c>
      <c r="D346" t="s">
        <v>22</v>
      </c>
      <c r="E346" t="s">
        <v>17</v>
      </c>
      <c r="F346" t="s">
        <v>21</v>
      </c>
      <c r="G346">
        <v>29</v>
      </c>
      <c r="H346">
        <v>3794</v>
      </c>
      <c r="I346" t="s">
        <v>19</v>
      </c>
      <c r="J346" s="2">
        <v>45096</v>
      </c>
      <c r="K346">
        <v>41</v>
      </c>
      <c r="L346" t="s">
        <v>20</v>
      </c>
      <c r="M346">
        <v>31</v>
      </c>
      <c r="N346">
        <v>0</v>
      </c>
      <c r="O346">
        <v>4</v>
      </c>
      <c r="P346" t="s">
        <v>25</v>
      </c>
      <c r="Q346" s="1">
        <v>3</v>
      </c>
      <c r="R346" s="2">
        <v>46174</v>
      </c>
      <c r="S346" s="2"/>
      <c r="T346" s="1" t="str">
        <f t="shared" si="15"/>
        <v>seg</v>
      </c>
      <c r="U346" s="1" t="str">
        <f t="shared" si="16"/>
        <v>jun</v>
      </c>
      <c r="V346">
        <f t="shared" si="17"/>
        <v>2023</v>
      </c>
      <c r="W346">
        <f>_xlfn.XLOOKUP(A346,Absenteismo!A:A,Absenteismo!A:A,0)</f>
        <v>1744</v>
      </c>
    </row>
    <row r="347" spans="1:23" hidden="1" x14ac:dyDescent="0.3">
      <c r="A347">
        <v>1754</v>
      </c>
      <c r="B347">
        <v>28</v>
      </c>
      <c r="C347" t="s">
        <v>26</v>
      </c>
      <c r="D347" t="s">
        <v>31</v>
      </c>
      <c r="E347" t="s">
        <v>34</v>
      </c>
      <c r="F347" t="s">
        <v>18</v>
      </c>
      <c r="G347">
        <v>113</v>
      </c>
      <c r="H347">
        <v>5327</v>
      </c>
      <c r="I347" t="s">
        <v>33</v>
      </c>
      <c r="J347" s="2">
        <v>42690</v>
      </c>
      <c r="K347">
        <v>2</v>
      </c>
      <c r="L347" t="s">
        <v>20</v>
      </c>
      <c r="M347">
        <v>25</v>
      </c>
      <c r="N347">
        <v>8</v>
      </c>
      <c r="O347">
        <v>5</v>
      </c>
      <c r="P347" t="s">
        <v>25</v>
      </c>
      <c r="Q347" s="1">
        <v>3</v>
      </c>
      <c r="R347" s="2">
        <v>46174</v>
      </c>
      <c r="S347" s="2"/>
      <c r="T347" s="1" t="str">
        <f t="shared" si="15"/>
        <v>qua</v>
      </c>
      <c r="U347" s="1" t="str">
        <f t="shared" si="16"/>
        <v>nov</v>
      </c>
      <c r="V347">
        <f t="shared" si="17"/>
        <v>2016</v>
      </c>
      <c r="W347">
        <f>_xlfn.XLOOKUP(A347,Absenteismo!A:A,Absenteismo!A:A,0)</f>
        <v>1754</v>
      </c>
    </row>
    <row r="348" spans="1:23" hidden="1" x14ac:dyDescent="0.3">
      <c r="A348">
        <v>1810</v>
      </c>
      <c r="B348">
        <v>28</v>
      </c>
      <c r="C348" t="s">
        <v>15</v>
      </c>
      <c r="D348" t="s">
        <v>16</v>
      </c>
      <c r="E348" t="s">
        <v>17</v>
      </c>
      <c r="F348" t="s">
        <v>18</v>
      </c>
      <c r="G348">
        <v>64</v>
      </c>
      <c r="H348">
        <v>3995</v>
      </c>
      <c r="I348" t="s">
        <v>30</v>
      </c>
      <c r="J348" s="2">
        <v>44136</v>
      </c>
      <c r="K348">
        <v>11</v>
      </c>
      <c r="L348" t="s">
        <v>20</v>
      </c>
      <c r="M348">
        <v>26</v>
      </c>
      <c r="N348">
        <v>4</v>
      </c>
      <c r="O348">
        <v>5</v>
      </c>
      <c r="P348" t="s">
        <v>25</v>
      </c>
      <c r="Q348" s="1">
        <v>2</v>
      </c>
      <c r="R348" s="2">
        <v>46174</v>
      </c>
      <c r="S348" s="2"/>
      <c r="T348" s="1" t="str">
        <f t="shared" si="15"/>
        <v>dom</v>
      </c>
      <c r="U348" s="1" t="str">
        <f t="shared" si="16"/>
        <v>nov</v>
      </c>
      <c r="V348">
        <f t="shared" si="17"/>
        <v>2020</v>
      </c>
      <c r="W348">
        <f>_xlfn.XLOOKUP(A348,Absenteismo!A:A,Absenteismo!A:A,0)</f>
        <v>1810</v>
      </c>
    </row>
    <row r="349" spans="1:23" hidden="1" x14ac:dyDescent="0.3">
      <c r="A349">
        <v>1821</v>
      </c>
      <c r="B349">
        <v>28</v>
      </c>
      <c r="C349" t="s">
        <v>15</v>
      </c>
      <c r="D349" t="s">
        <v>29</v>
      </c>
      <c r="E349" t="s">
        <v>17</v>
      </c>
      <c r="F349" t="s">
        <v>21</v>
      </c>
      <c r="G349">
        <v>21</v>
      </c>
      <c r="H349">
        <v>5511</v>
      </c>
      <c r="I349" t="s">
        <v>28</v>
      </c>
      <c r="J349" s="2">
        <v>45197</v>
      </c>
      <c r="K349">
        <v>28</v>
      </c>
      <c r="L349" t="s">
        <v>25</v>
      </c>
      <c r="M349">
        <v>14</v>
      </c>
      <c r="N349">
        <v>12</v>
      </c>
      <c r="O349">
        <v>5</v>
      </c>
      <c r="P349" t="s">
        <v>25</v>
      </c>
      <c r="Q349" s="1">
        <v>3</v>
      </c>
      <c r="R349" s="2">
        <v>46174</v>
      </c>
      <c r="S349" s="2"/>
      <c r="T349" s="1" t="str">
        <f t="shared" si="15"/>
        <v>qui</v>
      </c>
      <c r="U349" s="1" t="str">
        <f t="shared" si="16"/>
        <v>set</v>
      </c>
      <c r="V349">
        <f t="shared" si="17"/>
        <v>2023</v>
      </c>
      <c r="W349">
        <f>_xlfn.XLOOKUP(A349,Absenteismo!A:A,Absenteismo!A:A,0)</f>
        <v>1821</v>
      </c>
    </row>
    <row r="350" spans="1:23" hidden="1" x14ac:dyDescent="0.3">
      <c r="A350">
        <v>1887</v>
      </c>
      <c r="B350">
        <v>28</v>
      </c>
      <c r="C350" t="s">
        <v>15</v>
      </c>
      <c r="D350" t="s">
        <v>22</v>
      </c>
      <c r="E350" t="s">
        <v>17</v>
      </c>
      <c r="F350" t="s">
        <v>23</v>
      </c>
      <c r="G350">
        <v>6</v>
      </c>
      <c r="H350">
        <v>6268</v>
      </c>
      <c r="I350" t="s">
        <v>30</v>
      </c>
      <c r="J350" s="2">
        <v>45649</v>
      </c>
      <c r="K350">
        <v>54</v>
      </c>
      <c r="L350" t="s">
        <v>20</v>
      </c>
      <c r="M350">
        <v>9</v>
      </c>
      <c r="N350">
        <v>9</v>
      </c>
      <c r="O350">
        <v>4</v>
      </c>
      <c r="P350" t="s">
        <v>25</v>
      </c>
      <c r="Q350" s="1">
        <v>2</v>
      </c>
      <c r="R350" s="2">
        <v>46174</v>
      </c>
      <c r="S350" s="2"/>
      <c r="T350" s="1" t="str">
        <f t="shared" si="15"/>
        <v>seg</v>
      </c>
      <c r="U350" s="1" t="str">
        <f t="shared" si="16"/>
        <v>dez</v>
      </c>
      <c r="V350">
        <f t="shared" si="17"/>
        <v>2024</v>
      </c>
      <c r="W350">
        <f>_xlfn.XLOOKUP(A350,Absenteismo!A:A,Absenteismo!A:A,0)</f>
        <v>1887</v>
      </c>
    </row>
    <row r="351" spans="1:23" hidden="1" x14ac:dyDescent="0.3">
      <c r="A351">
        <v>2044</v>
      </c>
      <c r="B351">
        <v>28</v>
      </c>
      <c r="C351" t="s">
        <v>15</v>
      </c>
      <c r="D351" t="s">
        <v>22</v>
      </c>
      <c r="E351" t="s">
        <v>17</v>
      </c>
      <c r="F351" t="s">
        <v>21</v>
      </c>
      <c r="G351">
        <v>29</v>
      </c>
      <c r="H351">
        <v>3794</v>
      </c>
      <c r="I351" t="s">
        <v>19</v>
      </c>
      <c r="J351" s="2">
        <v>44988</v>
      </c>
      <c r="K351">
        <v>41</v>
      </c>
      <c r="L351" t="s">
        <v>20</v>
      </c>
      <c r="M351">
        <v>31</v>
      </c>
      <c r="N351">
        <v>0</v>
      </c>
      <c r="O351">
        <v>4</v>
      </c>
      <c r="P351" t="s">
        <v>25</v>
      </c>
      <c r="Q351" s="1">
        <v>3</v>
      </c>
      <c r="R351" s="2">
        <v>46174</v>
      </c>
      <c r="S351" s="2"/>
      <c r="T351" s="1" t="str">
        <f t="shared" si="15"/>
        <v>sex</v>
      </c>
      <c r="U351" s="1" t="str">
        <f t="shared" si="16"/>
        <v>mar</v>
      </c>
      <c r="V351">
        <f t="shared" si="17"/>
        <v>2023</v>
      </c>
      <c r="W351">
        <f>_xlfn.XLOOKUP(A351,Absenteismo!A:A,Absenteismo!A:A,0)</f>
        <v>2044</v>
      </c>
    </row>
    <row r="352" spans="1:23" hidden="1" x14ac:dyDescent="0.3">
      <c r="A352">
        <v>2054</v>
      </c>
      <c r="B352">
        <v>28</v>
      </c>
      <c r="C352" t="s">
        <v>26</v>
      </c>
      <c r="D352" t="s">
        <v>31</v>
      </c>
      <c r="E352" t="s">
        <v>34</v>
      </c>
      <c r="F352" t="s">
        <v>18</v>
      </c>
      <c r="G352">
        <v>113</v>
      </c>
      <c r="H352">
        <v>5327</v>
      </c>
      <c r="I352" t="s">
        <v>33</v>
      </c>
      <c r="J352" s="2">
        <v>42683</v>
      </c>
      <c r="K352">
        <v>2</v>
      </c>
      <c r="L352" t="s">
        <v>20</v>
      </c>
      <c r="M352">
        <v>25</v>
      </c>
      <c r="N352">
        <v>8</v>
      </c>
      <c r="O352">
        <v>5</v>
      </c>
      <c r="P352" t="s">
        <v>25</v>
      </c>
      <c r="Q352" s="1">
        <v>1</v>
      </c>
      <c r="R352" s="2">
        <v>46174</v>
      </c>
      <c r="S352" s="2"/>
      <c r="T352" s="1" t="str">
        <f t="shared" si="15"/>
        <v>qua</v>
      </c>
      <c r="U352" s="1" t="str">
        <f t="shared" si="16"/>
        <v>nov</v>
      </c>
      <c r="V352">
        <f t="shared" si="17"/>
        <v>2016</v>
      </c>
      <c r="W352">
        <f>_xlfn.XLOOKUP(A352,Absenteismo!A:A,Absenteismo!A:A,0)</f>
        <v>2054</v>
      </c>
    </row>
    <row r="353" spans="1:23" hidden="1" x14ac:dyDescent="0.3">
      <c r="A353">
        <v>2110</v>
      </c>
      <c r="B353">
        <v>28</v>
      </c>
      <c r="C353" t="s">
        <v>15</v>
      </c>
      <c r="D353" t="s">
        <v>16</v>
      </c>
      <c r="E353" t="s">
        <v>17</v>
      </c>
      <c r="F353" t="s">
        <v>18</v>
      </c>
      <c r="G353">
        <v>64</v>
      </c>
      <c r="H353">
        <v>3995</v>
      </c>
      <c r="I353" t="s">
        <v>30</v>
      </c>
      <c r="J353" s="2">
        <v>44001</v>
      </c>
      <c r="K353">
        <v>11</v>
      </c>
      <c r="L353" t="s">
        <v>20</v>
      </c>
      <c r="M353">
        <v>26</v>
      </c>
      <c r="N353">
        <v>4</v>
      </c>
      <c r="O353">
        <v>5</v>
      </c>
      <c r="P353" t="s">
        <v>25</v>
      </c>
      <c r="Q353" s="1">
        <v>1</v>
      </c>
      <c r="R353" s="2">
        <v>46174</v>
      </c>
      <c r="S353" s="2"/>
      <c r="T353" s="1" t="str">
        <f t="shared" si="15"/>
        <v>sex</v>
      </c>
      <c r="U353" s="1" t="str">
        <f t="shared" si="16"/>
        <v>jun</v>
      </c>
      <c r="V353">
        <f t="shared" si="17"/>
        <v>2020</v>
      </c>
      <c r="W353">
        <f>_xlfn.XLOOKUP(A353,Absenteismo!A:A,Absenteismo!A:A,0)</f>
        <v>2110</v>
      </c>
    </row>
    <row r="354" spans="1:23" hidden="1" x14ac:dyDescent="0.3">
      <c r="A354">
        <v>2121</v>
      </c>
      <c r="B354">
        <v>28</v>
      </c>
      <c r="C354" t="s">
        <v>15</v>
      </c>
      <c r="D354" t="s">
        <v>29</v>
      </c>
      <c r="E354" t="s">
        <v>17</v>
      </c>
      <c r="F354" t="s">
        <v>21</v>
      </c>
      <c r="G354">
        <v>21</v>
      </c>
      <c r="H354">
        <v>5511</v>
      </c>
      <c r="I354" t="s">
        <v>28</v>
      </c>
      <c r="J354" s="2">
        <v>45315</v>
      </c>
      <c r="K354">
        <v>28</v>
      </c>
      <c r="L354" t="s">
        <v>25</v>
      </c>
      <c r="M354">
        <v>14</v>
      </c>
      <c r="N354">
        <v>12</v>
      </c>
      <c r="O354">
        <v>5</v>
      </c>
      <c r="P354" t="s">
        <v>25</v>
      </c>
      <c r="Q354" s="1">
        <v>2</v>
      </c>
      <c r="R354" s="2">
        <v>46174</v>
      </c>
      <c r="S354" s="2"/>
      <c r="T354" s="1" t="str">
        <f t="shared" si="15"/>
        <v>qua</v>
      </c>
      <c r="U354" s="1" t="str">
        <f t="shared" si="16"/>
        <v>jan</v>
      </c>
      <c r="V354">
        <f t="shared" si="17"/>
        <v>2024</v>
      </c>
      <c r="W354">
        <f>_xlfn.XLOOKUP(A354,Absenteismo!A:A,Absenteismo!A:A,0)</f>
        <v>2121</v>
      </c>
    </row>
    <row r="355" spans="1:23" hidden="1" x14ac:dyDescent="0.3">
      <c r="A355">
        <v>2183</v>
      </c>
      <c r="B355">
        <v>28</v>
      </c>
      <c r="C355" t="s">
        <v>26</v>
      </c>
      <c r="D355" t="s">
        <v>31</v>
      </c>
      <c r="E355" t="s">
        <v>34</v>
      </c>
      <c r="F355" t="s">
        <v>23</v>
      </c>
      <c r="G355">
        <v>40</v>
      </c>
      <c r="H355">
        <v>6056</v>
      </c>
      <c r="I355" t="s">
        <v>33</v>
      </c>
      <c r="J355" s="2">
        <v>44804</v>
      </c>
      <c r="K355">
        <v>32</v>
      </c>
      <c r="L355" t="s">
        <v>25</v>
      </c>
      <c r="M355">
        <v>16</v>
      </c>
      <c r="N355">
        <v>1</v>
      </c>
      <c r="O355">
        <v>5</v>
      </c>
      <c r="P355" t="s">
        <v>25</v>
      </c>
      <c r="Q355" s="1">
        <v>1</v>
      </c>
      <c r="R355" s="2">
        <v>46174</v>
      </c>
      <c r="S355" s="2"/>
      <c r="T355" s="1" t="str">
        <f t="shared" si="15"/>
        <v>qua</v>
      </c>
      <c r="U355" s="1" t="str">
        <f t="shared" si="16"/>
        <v>ago</v>
      </c>
      <c r="V355">
        <f t="shared" si="17"/>
        <v>2022</v>
      </c>
      <c r="W355">
        <f>_xlfn.XLOOKUP(A355,Absenteismo!A:A,Absenteismo!A:A,0)</f>
        <v>2183</v>
      </c>
    </row>
    <row r="356" spans="1:23" x14ac:dyDescent="0.3">
      <c r="A356">
        <v>2187</v>
      </c>
      <c r="B356">
        <v>28</v>
      </c>
      <c r="C356" t="s">
        <v>15</v>
      </c>
      <c r="D356" t="s">
        <v>22</v>
      </c>
      <c r="E356" t="s">
        <v>17</v>
      </c>
      <c r="F356" t="s">
        <v>23</v>
      </c>
      <c r="G356">
        <v>6</v>
      </c>
      <c r="H356">
        <v>6268</v>
      </c>
      <c r="I356" t="s">
        <v>30</v>
      </c>
      <c r="J356" s="2">
        <v>45969</v>
      </c>
      <c r="K356">
        <v>54</v>
      </c>
      <c r="L356" t="s">
        <v>20</v>
      </c>
      <c r="M356">
        <v>9</v>
      </c>
      <c r="N356">
        <v>9</v>
      </c>
      <c r="O356">
        <v>4</v>
      </c>
      <c r="P356" t="s">
        <v>25</v>
      </c>
      <c r="Q356" s="1">
        <v>3</v>
      </c>
      <c r="R356" s="2">
        <v>46174</v>
      </c>
      <c r="S356" s="2"/>
      <c r="T356" s="1" t="str">
        <f t="shared" si="15"/>
        <v>sáb</v>
      </c>
      <c r="U356" s="1" t="str">
        <f t="shared" si="16"/>
        <v>nov</v>
      </c>
      <c r="V356">
        <f t="shared" si="17"/>
        <v>2025</v>
      </c>
      <c r="W356">
        <f>_xlfn.XLOOKUP(A356,Absenteismo!A:A,Absenteismo!A:A,0)</f>
        <v>0</v>
      </c>
    </row>
    <row r="357" spans="1:23" hidden="1" x14ac:dyDescent="0.3">
      <c r="A357">
        <v>1883</v>
      </c>
      <c r="B357">
        <v>28</v>
      </c>
      <c r="C357" t="s">
        <v>26</v>
      </c>
      <c r="D357" t="s">
        <v>31</v>
      </c>
      <c r="E357" t="s">
        <v>34</v>
      </c>
      <c r="F357" t="s">
        <v>23</v>
      </c>
      <c r="G357">
        <v>40</v>
      </c>
      <c r="H357">
        <v>6056</v>
      </c>
      <c r="I357" t="s">
        <v>33</v>
      </c>
      <c r="J357" s="2">
        <v>44972</v>
      </c>
      <c r="K357">
        <v>32</v>
      </c>
      <c r="L357" t="s">
        <v>25</v>
      </c>
      <c r="M357">
        <v>16</v>
      </c>
      <c r="N357">
        <v>1</v>
      </c>
      <c r="O357">
        <v>5</v>
      </c>
      <c r="P357" t="s">
        <v>25</v>
      </c>
      <c r="Q357" s="1">
        <v>2</v>
      </c>
      <c r="R357" s="2">
        <v>46174</v>
      </c>
      <c r="S357" s="2"/>
      <c r="T357" s="1" t="str">
        <f t="shared" si="15"/>
        <v>qua</v>
      </c>
      <c r="U357" s="1" t="str">
        <f t="shared" si="16"/>
        <v>fev</v>
      </c>
      <c r="V357">
        <f t="shared" si="17"/>
        <v>2023</v>
      </c>
      <c r="W357">
        <f>_xlfn.XLOOKUP(A357,Absenteismo!A:A,Absenteismo!A:A,0)</f>
        <v>1883</v>
      </c>
    </row>
    <row r="358" spans="1:23" hidden="1" x14ac:dyDescent="0.3">
      <c r="A358">
        <v>2075</v>
      </c>
      <c r="B358">
        <v>28</v>
      </c>
      <c r="C358" t="s">
        <v>26</v>
      </c>
      <c r="D358" t="s">
        <v>27</v>
      </c>
      <c r="E358" t="s">
        <v>17</v>
      </c>
      <c r="F358" t="s">
        <v>21</v>
      </c>
      <c r="G358">
        <v>99</v>
      </c>
      <c r="H358">
        <v>5347</v>
      </c>
      <c r="I358" t="s">
        <v>30</v>
      </c>
      <c r="J358" s="2">
        <v>42808</v>
      </c>
      <c r="K358">
        <v>41</v>
      </c>
      <c r="L358" t="s">
        <v>25</v>
      </c>
      <c r="M358">
        <v>18</v>
      </c>
      <c r="N358">
        <v>5</v>
      </c>
      <c r="O358">
        <v>3</v>
      </c>
      <c r="P358" t="s">
        <v>25</v>
      </c>
      <c r="Q358" s="1">
        <v>2</v>
      </c>
      <c r="R358" s="2">
        <v>46174</v>
      </c>
      <c r="S358" s="2"/>
      <c r="T358" s="1" t="str">
        <f t="shared" si="15"/>
        <v>ter</v>
      </c>
      <c r="U358" s="1" t="str">
        <f t="shared" si="16"/>
        <v>mar</v>
      </c>
      <c r="V358">
        <f t="shared" si="17"/>
        <v>2017</v>
      </c>
      <c r="W358">
        <f>_xlfn.XLOOKUP(A358,Absenteismo!A:A,Absenteismo!A:A,0)</f>
        <v>2075</v>
      </c>
    </row>
    <row r="359" spans="1:23" hidden="1" x14ac:dyDescent="0.3">
      <c r="A359">
        <v>2101</v>
      </c>
      <c r="B359">
        <v>28</v>
      </c>
      <c r="C359" t="s">
        <v>15</v>
      </c>
      <c r="D359" t="s">
        <v>29</v>
      </c>
      <c r="E359" t="s">
        <v>17</v>
      </c>
      <c r="F359" t="s">
        <v>18</v>
      </c>
      <c r="G359">
        <v>83</v>
      </c>
      <c r="H359">
        <v>5513</v>
      </c>
      <c r="I359" t="s">
        <v>28</v>
      </c>
      <c r="J359" s="2">
        <v>43525</v>
      </c>
      <c r="K359">
        <v>55</v>
      </c>
      <c r="L359" t="s">
        <v>25</v>
      </c>
      <c r="M359">
        <v>33</v>
      </c>
      <c r="N359">
        <v>0</v>
      </c>
      <c r="O359">
        <v>3</v>
      </c>
      <c r="P359" t="s">
        <v>25</v>
      </c>
      <c r="Q359" s="1">
        <v>2</v>
      </c>
      <c r="R359" s="2">
        <v>46174</v>
      </c>
      <c r="S359" s="2"/>
      <c r="T359" s="1" t="str">
        <f t="shared" si="15"/>
        <v>sex</v>
      </c>
      <c r="U359" s="1" t="str">
        <f t="shared" si="16"/>
        <v>mar</v>
      </c>
      <c r="V359">
        <f t="shared" si="17"/>
        <v>2019</v>
      </c>
      <c r="W359">
        <f>_xlfn.XLOOKUP(A359,Absenteismo!A:A,Absenteismo!A:A,0)</f>
        <v>2101</v>
      </c>
    </row>
    <row r="360" spans="1:23" hidden="1" x14ac:dyDescent="0.3">
      <c r="A360">
        <v>1822</v>
      </c>
      <c r="B360">
        <v>29</v>
      </c>
      <c r="C360" t="s">
        <v>26</v>
      </c>
      <c r="D360" t="s">
        <v>29</v>
      </c>
      <c r="E360" t="s">
        <v>17</v>
      </c>
      <c r="F360" t="s">
        <v>21</v>
      </c>
      <c r="G360">
        <v>79</v>
      </c>
      <c r="H360">
        <v>4416</v>
      </c>
      <c r="I360" t="s">
        <v>33</v>
      </c>
      <c r="J360" s="2">
        <v>43396</v>
      </c>
      <c r="K360">
        <v>58</v>
      </c>
      <c r="L360" t="s">
        <v>25</v>
      </c>
      <c r="M360">
        <v>0</v>
      </c>
      <c r="N360">
        <v>11</v>
      </c>
      <c r="O360">
        <v>3</v>
      </c>
      <c r="P360" t="s">
        <v>20</v>
      </c>
      <c r="Q360" s="1">
        <v>3</v>
      </c>
      <c r="R360" s="2">
        <v>46174</v>
      </c>
      <c r="S360" s="2">
        <v>45800</v>
      </c>
      <c r="T360" s="1" t="str">
        <f t="shared" si="15"/>
        <v>ter</v>
      </c>
      <c r="U360" s="1" t="str">
        <f t="shared" si="16"/>
        <v>out</v>
      </c>
      <c r="V360">
        <f t="shared" si="17"/>
        <v>2018</v>
      </c>
      <c r="W360">
        <f>_xlfn.XLOOKUP(A360,Absenteismo!A:A,Absenteismo!A:A,0)</f>
        <v>1822</v>
      </c>
    </row>
    <row r="361" spans="1:23" hidden="1" x14ac:dyDescent="0.3">
      <c r="A361">
        <v>1404</v>
      </c>
      <c r="B361">
        <v>29</v>
      </c>
      <c r="C361" t="s">
        <v>15</v>
      </c>
      <c r="D361" t="s">
        <v>27</v>
      </c>
      <c r="E361" t="s">
        <v>17</v>
      </c>
      <c r="F361" t="s">
        <v>21</v>
      </c>
      <c r="G361">
        <v>107</v>
      </c>
      <c r="H361">
        <v>4990</v>
      </c>
      <c r="I361" t="s">
        <v>30</v>
      </c>
      <c r="J361" s="2">
        <v>42597</v>
      </c>
      <c r="K361">
        <v>12</v>
      </c>
      <c r="L361" t="s">
        <v>20</v>
      </c>
      <c r="M361">
        <v>19</v>
      </c>
      <c r="N361">
        <v>5</v>
      </c>
      <c r="O361">
        <v>4</v>
      </c>
      <c r="P361" t="s">
        <v>20</v>
      </c>
      <c r="Q361" s="1">
        <v>1</v>
      </c>
      <c r="R361" s="2">
        <v>46174</v>
      </c>
      <c r="S361" s="2">
        <v>45853</v>
      </c>
      <c r="T361" s="1" t="str">
        <f t="shared" si="15"/>
        <v>seg</v>
      </c>
      <c r="U361" s="1" t="str">
        <f t="shared" si="16"/>
        <v>ago</v>
      </c>
      <c r="V361">
        <f t="shared" si="17"/>
        <v>2016</v>
      </c>
      <c r="W361">
        <f>_xlfn.XLOOKUP(A361,Absenteismo!A:A,Absenteismo!A:A,0)</f>
        <v>1404</v>
      </c>
    </row>
    <row r="362" spans="1:23" hidden="1" x14ac:dyDescent="0.3">
      <c r="A362">
        <v>1222</v>
      </c>
      <c r="B362">
        <v>29</v>
      </c>
      <c r="C362" t="s">
        <v>26</v>
      </c>
      <c r="D362" t="s">
        <v>29</v>
      </c>
      <c r="E362" t="s">
        <v>17</v>
      </c>
      <c r="F362" t="s">
        <v>21</v>
      </c>
      <c r="G362">
        <v>79</v>
      </c>
      <c r="H362">
        <v>4416</v>
      </c>
      <c r="I362" t="s">
        <v>33</v>
      </c>
      <c r="J362" s="2">
        <v>43489</v>
      </c>
      <c r="K362">
        <v>38</v>
      </c>
      <c r="L362" t="s">
        <v>20</v>
      </c>
      <c r="M362">
        <v>0</v>
      </c>
      <c r="N362">
        <v>11</v>
      </c>
      <c r="O362">
        <v>3</v>
      </c>
      <c r="P362" t="s">
        <v>20</v>
      </c>
      <c r="Q362" s="1">
        <v>3</v>
      </c>
      <c r="R362" s="2">
        <v>46174</v>
      </c>
      <c r="S362" s="2">
        <v>45893</v>
      </c>
      <c r="T362" s="1" t="str">
        <f t="shared" si="15"/>
        <v>qui</v>
      </c>
      <c r="U362" s="1" t="str">
        <f t="shared" si="16"/>
        <v>jan</v>
      </c>
      <c r="V362">
        <f t="shared" si="17"/>
        <v>2019</v>
      </c>
      <c r="W362">
        <f>_xlfn.XLOOKUP(A362,Absenteismo!A:A,Absenteismo!A:A,0)</f>
        <v>1222</v>
      </c>
    </row>
    <row r="363" spans="1:23" hidden="1" x14ac:dyDescent="0.3">
      <c r="A363">
        <v>1718</v>
      </c>
      <c r="B363">
        <v>29</v>
      </c>
      <c r="C363" t="s">
        <v>15</v>
      </c>
      <c r="D363" t="s">
        <v>16</v>
      </c>
      <c r="E363" t="s">
        <v>17</v>
      </c>
      <c r="F363" t="s">
        <v>18</v>
      </c>
      <c r="G363">
        <v>57</v>
      </c>
      <c r="H363">
        <v>7093</v>
      </c>
      <c r="I363" t="s">
        <v>28</v>
      </c>
      <c r="J363" s="2">
        <v>44190</v>
      </c>
      <c r="K363">
        <v>40</v>
      </c>
      <c r="L363" t="s">
        <v>20</v>
      </c>
      <c r="M363">
        <v>23</v>
      </c>
      <c r="N363">
        <v>4</v>
      </c>
      <c r="O363">
        <v>5</v>
      </c>
      <c r="P363" t="s">
        <v>20</v>
      </c>
      <c r="Q363" s="1">
        <v>1</v>
      </c>
      <c r="R363" s="2">
        <v>46174</v>
      </c>
      <c r="S363" s="2">
        <v>45925</v>
      </c>
      <c r="T363" s="1" t="str">
        <f t="shared" si="15"/>
        <v>sex</v>
      </c>
      <c r="U363" s="1" t="str">
        <f t="shared" si="16"/>
        <v>dez</v>
      </c>
      <c r="V363">
        <f t="shared" si="17"/>
        <v>2020</v>
      </c>
      <c r="W363">
        <f>_xlfn.XLOOKUP(A363,Absenteismo!A:A,Absenteismo!A:A,0)</f>
        <v>1718</v>
      </c>
    </row>
    <row r="364" spans="1:23" x14ac:dyDescent="0.3">
      <c r="A364">
        <v>1118</v>
      </c>
      <c r="B364">
        <v>29</v>
      </c>
      <c r="C364" t="s">
        <v>15</v>
      </c>
      <c r="D364" t="s">
        <v>16</v>
      </c>
      <c r="E364" t="s">
        <v>17</v>
      </c>
      <c r="F364" t="s">
        <v>18</v>
      </c>
      <c r="G364">
        <v>57</v>
      </c>
      <c r="H364">
        <v>7093</v>
      </c>
      <c r="I364" t="s">
        <v>28</v>
      </c>
      <c r="J364" s="2">
        <v>44194</v>
      </c>
      <c r="K364">
        <v>40</v>
      </c>
      <c r="L364" t="s">
        <v>20</v>
      </c>
      <c r="M364">
        <v>23</v>
      </c>
      <c r="N364">
        <v>4</v>
      </c>
      <c r="O364">
        <v>5</v>
      </c>
      <c r="P364" t="s">
        <v>20</v>
      </c>
      <c r="Q364" s="1">
        <v>3</v>
      </c>
      <c r="R364" s="2">
        <v>46174</v>
      </c>
      <c r="S364" s="2">
        <v>45929</v>
      </c>
      <c r="T364" s="1" t="str">
        <f t="shared" si="15"/>
        <v>ter</v>
      </c>
      <c r="U364" s="1" t="str">
        <f t="shared" si="16"/>
        <v>dez</v>
      </c>
      <c r="V364">
        <f t="shared" si="17"/>
        <v>2020</v>
      </c>
      <c r="W364">
        <f>_xlfn.XLOOKUP(A364,Absenteismo!A:A,Absenteismo!A:A,0)</f>
        <v>0</v>
      </c>
    </row>
    <row r="365" spans="1:23" x14ac:dyDescent="0.3">
      <c r="A365">
        <v>1720</v>
      </c>
      <c r="B365">
        <v>29</v>
      </c>
      <c r="C365" t="s">
        <v>15</v>
      </c>
      <c r="D365" t="s">
        <v>16</v>
      </c>
      <c r="E365" t="s">
        <v>17</v>
      </c>
      <c r="F365" t="s">
        <v>21</v>
      </c>
      <c r="G365">
        <v>85</v>
      </c>
      <c r="H365">
        <v>3958</v>
      </c>
      <c r="I365" t="s">
        <v>24</v>
      </c>
      <c r="J365" s="2">
        <v>43391</v>
      </c>
      <c r="K365">
        <v>20</v>
      </c>
      <c r="L365" t="s">
        <v>25</v>
      </c>
      <c r="M365">
        <v>25</v>
      </c>
      <c r="N365">
        <v>2</v>
      </c>
      <c r="O365">
        <v>2</v>
      </c>
      <c r="P365" t="s">
        <v>20</v>
      </c>
      <c r="Q365" s="1">
        <v>3</v>
      </c>
      <c r="R365" s="2">
        <v>46174</v>
      </c>
      <c r="S365" s="2">
        <v>45979</v>
      </c>
      <c r="T365" s="1" t="str">
        <f t="shared" si="15"/>
        <v>qui</v>
      </c>
      <c r="U365" s="1" t="str">
        <f t="shared" si="16"/>
        <v>out</v>
      </c>
      <c r="V365">
        <f t="shared" si="17"/>
        <v>2018</v>
      </c>
      <c r="W365">
        <f>_xlfn.XLOOKUP(A365,Absenteismo!A:A,Absenteismo!A:A,0)</f>
        <v>0</v>
      </c>
    </row>
    <row r="366" spans="1:23" hidden="1" x14ac:dyDescent="0.3">
      <c r="A366">
        <v>1790</v>
      </c>
      <c r="B366">
        <v>29</v>
      </c>
      <c r="C366" t="s">
        <v>15</v>
      </c>
      <c r="D366" t="s">
        <v>22</v>
      </c>
      <c r="E366" t="s">
        <v>17</v>
      </c>
      <c r="F366" t="s">
        <v>23</v>
      </c>
      <c r="G366">
        <v>103</v>
      </c>
      <c r="H366">
        <v>7378</v>
      </c>
      <c r="I366" t="s">
        <v>19</v>
      </c>
      <c r="J366" s="2">
        <v>42860</v>
      </c>
      <c r="K366">
        <v>51</v>
      </c>
      <c r="L366" t="s">
        <v>25</v>
      </c>
      <c r="M366">
        <v>21</v>
      </c>
      <c r="N366">
        <v>4</v>
      </c>
      <c r="O366">
        <v>2</v>
      </c>
      <c r="P366" t="s">
        <v>20</v>
      </c>
      <c r="Q366" s="1">
        <v>2</v>
      </c>
      <c r="R366" s="2">
        <v>46174</v>
      </c>
      <c r="S366" s="2">
        <v>45996</v>
      </c>
      <c r="T366" s="1" t="str">
        <f t="shared" si="15"/>
        <v>sex</v>
      </c>
      <c r="U366" s="1" t="str">
        <f t="shared" si="16"/>
        <v>mai</v>
      </c>
      <c r="V366">
        <f t="shared" si="17"/>
        <v>2017</v>
      </c>
      <c r="W366">
        <f>_xlfn.XLOOKUP(A366,Absenteismo!A:A,Absenteismo!A:A,0)</f>
        <v>1790</v>
      </c>
    </row>
    <row r="367" spans="1:23" hidden="1" x14ac:dyDescent="0.3">
      <c r="A367">
        <v>1359</v>
      </c>
      <c r="B367">
        <v>29</v>
      </c>
      <c r="C367" t="s">
        <v>15</v>
      </c>
      <c r="D367" t="s">
        <v>16</v>
      </c>
      <c r="E367" t="s">
        <v>17</v>
      </c>
      <c r="F367" t="s">
        <v>18</v>
      </c>
      <c r="G367">
        <v>36</v>
      </c>
      <c r="H367">
        <v>7097</v>
      </c>
      <c r="I367" t="s">
        <v>28</v>
      </c>
      <c r="J367" s="2">
        <v>44954</v>
      </c>
      <c r="K367">
        <v>19</v>
      </c>
      <c r="L367" t="s">
        <v>25</v>
      </c>
      <c r="M367">
        <v>12</v>
      </c>
      <c r="N367">
        <v>4</v>
      </c>
      <c r="O367">
        <v>3</v>
      </c>
      <c r="P367" t="s">
        <v>20</v>
      </c>
      <c r="Q367" s="1">
        <v>1</v>
      </c>
      <c r="R367" s="2">
        <v>46174</v>
      </c>
      <c r="S367" s="2">
        <v>46050</v>
      </c>
      <c r="T367" s="1" t="str">
        <f t="shared" si="15"/>
        <v>sáb</v>
      </c>
      <c r="U367" s="1" t="str">
        <f t="shared" si="16"/>
        <v>jan</v>
      </c>
      <c r="V367">
        <f t="shared" si="17"/>
        <v>2023</v>
      </c>
      <c r="W367">
        <f>_xlfn.XLOOKUP(A367,Absenteismo!A:A,Absenteismo!A:A,0)</f>
        <v>1359</v>
      </c>
    </row>
    <row r="368" spans="1:23" x14ac:dyDescent="0.3">
      <c r="A368">
        <v>1142</v>
      </c>
      <c r="B368">
        <v>29</v>
      </c>
      <c r="C368" t="s">
        <v>26</v>
      </c>
      <c r="D368" t="s">
        <v>29</v>
      </c>
      <c r="E368" t="s">
        <v>17</v>
      </c>
      <c r="F368" t="s">
        <v>21</v>
      </c>
      <c r="G368">
        <v>16</v>
      </c>
      <c r="H368">
        <v>4944</v>
      </c>
      <c r="I368" t="s">
        <v>24</v>
      </c>
      <c r="J368" s="2">
        <v>45585</v>
      </c>
      <c r="K368">
        <v>46</v>
      </c>
      <c r="L368" t="s">
        <v>20</v>
      </c>
      <c r="M368">
        <v>18</v>
      </c>
      <c r="N368">
        <v>11</v>
      </c>
      <c r="O368">
        <v>5</v>
      </c>
      <c r="P368" t="s">
        <v>20</v>
      </c>
      <c r="Q368" s="1">
        <v>3</v>
      </c>
      <c r="R368" s="2">
        <v>46174</v>
      </c>
      <c r="S368" s="2">
        <v>46073</v>
      </c>
      <c r="T368" s="1" t="str">
        <f t="shared" si="15"/>
        <v>dom</v>
      </c>
      <c r="U368" s="1" t="str">
        <f t="shared" si="16"/>
        <v>out</v>
      </c>
      <c r="V368">
        <f t="shared" si="17"/>
        <v>2024</v>
      </c>
      <c r="W368">
        <f>_xlfn.XLOOKUP(A368,Absenteismo!A:A,Absenteismo!A:A,0)</f>
        <v>0</v>
      </c>
    </row>
    <row r="369" spans="1:23" x14ac:dyDescent="0.3">
      <c r="A369">
        <v>1059</v>
      </c>
      <c r="B369">
        <v>29</v>
      </c>
      <c r="C369" t="s">
        <v>15</v>
      </c>
      <c r="D369" t="s">
        <v>16</v>
      </c>
      <c r="E369" t="s">
        <v>17</v>
      </c>
      <c r="F369" t="s">
        <v>18</v>
      </c>
      <c r="G369">
        <v>36</v>
      </c>
      <c r="H369">
        <v>7097</v>
      </c>
      <c r="I369" t="s">
        <v>28</v>
      </c>
      <c r="J369" s="2">
        <v>44987</v>
      </c>
      <c r="K369">
        <v>19</v>
      </c>
      <c r="L369" t="s">
        <v>25</v>
      </c>
      <c r="M369">
        <v>12</v>
      </c>
      <c r="N369">
        <v>4</v>
      </c>
      <c r="O369">
        <v>3</v>
      </c>
      <c r="P369" t="s">
        <v>20</v>
      </c>
      <c r="Q369" s="1">
        <v>2</v>
      </c>
      <c r="R369" s="2">
        <v>46174</v>
      </c>
      <c r="S369" s="2">
        <v>46083</v>
      </c>
      <c r="T369" s="1" t="str">
        <f t="shared" si="15"/>
        <v>qui</v>
      </c>
      <c r="U369" s="1" t="str">
        <f t="shared" si="16"/>
        <v>mar</v>
      </c>
      <c r="V369">
        <f t="shared" si="17"/>
        <v>2023</v>
      </c>
      <c r="W369">
        <f>_xlfn.XLOOKUP(A369,Absenteismo!A:A,Absenteismo!A:A,0)</f>
        <v>0</v>
      </c>
    </row>
    <row r="370" spans="1:23" hidden="1" x14ac:dyDescent="0.3">
      <c r="A370">
        <v>2122</v>
      </c>
      <c r="B370">
        <v>29</v>
      </c>
      <c r="C370" t="s">
        <v>26</v>
      </c>
      <c r="D370" t="s">
        <v>29</v>
      </c>
      <c r="E370" t="s">
        <v>17</v>
      </c>
      <c r="F370" t="s">
        <v>21</v>
      </c>
      <c r="G370">
        <v>79</v>
      </c>
      <c r="H370">
        <v>4416</v>
      </c>
      <c r="I370" t="s">
        <v>33</v>
      </c>
      <c r="J370" s="2">
        <v>43717</v>
      </c>
      <c r="K370">
        <v>58</v>
      </c>
      <c r="L370" t="s">
        <v>25</v>
      </c>
      <c r="M370">
        <v>0</v>
      </c>
      <c r="N370">
        <v>11</v>
      </c>
      <c r="O370">
        <v>3</v>
      </c>
      <c r="P370" t="s">
        <v>20</v>
      </c>
      <c r="Q370" s="1">
        <v>1</v>
      </c>
      <c r="R370" s="2">
        <v>46174</v>
      </c>
      <c r="S370" s="2">
        <v>46121</v>
      </c>
      <c r="T370" s="1" t="str">
        <f t="shared" si="15"/>
        <v>seg</v>
      </c>
      <c r="U370" s="1" t="str">
        <f t="shared" si="16"/>
        <v>set</v>
      </c>
      <c r="V370">
        <f t="shared" si="17"/>
        <v>2019</v>
      </c>
      <c r="W370">
        <f>_xlfn.XLOOKUP(A370,Absenteismo!A:A,Absenteismo!A:A,0)</f>
        <v>2122</v>
      </c>
    </row>
    <row r="371" spans="1:23" x14ac:dyDescent="0.3">
      <c r="A371">
        <v>1742</v>
      </c>
      <c r="B371">
        <v>29</v>
      </c>
      <c r="C371" t="s">
        <v>26</v>
      </c>
      <c r="D371" t="s">
        <v>29</v>
      </c>
      <c r="E371" t="s">
        <v>17</v>
      </c>
      <c r="F371" t="s">
        <v>21</v>
      </c>
      <c r="G371">
        <v>16</v>
      </c>
      <c r="H371">
        <v>4944</v>
      </c>
      <c r="I371" t="s">
        <v>24</v>
      </c>
      <c r="J371" s="2">
        <v>45645</v>
      </c>
      <c r="K371">
        <v>46</v>
      </c>
      <c r="L371" t="s">
        <v>20</v>
      </c>
      <c r="M371">
        <v>18</v>
      </c>
      <c r="N371">
        <v>11</v>
      </c>
      <c r="O371">
        <v>5</v>
      </c>
      <c r="P371" t="s">
        <v>20</v>
      </c>
      <c r="Q371" s="1">
        <v>2</v>
      </c>
      <c r="R371" s="2">
        <v>46174</v>
      </c>
      <c r="S371" s="2">
        <v>46131</v>
      </c>
      <c r="T371" s="1" t="str">
        <f t="shared" si="15"/>
        <v>qui</v>
      </c>
      <c r="U371" s="1" t="str">
        <f t="shared" si="16"/>
        <v>dez</v>
      </c>
      <c r="V371">
        <f t="shared" si="17"/>
        <v>2024</v>
      </c>
      <c r="W371">
        <f>_xlfn.XLOOKUP(A371,Absenteismo!A:A,Absenteismo!A:A,0)</f>
        <v>0</v>
      </c>
    </row>
    <row r="372" spans="1:23" x14ac:dyDescent="0.3">
      <c r="A372">
        <v>1442</v>
      </c>
      <c r="B372">
        <v>29</v>
      </c>
      <c r="C372" t="s">
        <v>26</v>
      </c>
      <c r="D372" t="s">
        <v>29</v>
      </c>
      <c r="E372" t="s">
        <v>17</v>
      </c>
      <c r="F372" t="s">
        <v>21</v>
      </c>
      <c r="G372">
        <v>16</v>
      </c>
      <c r="H372">
        <v>4944</v>
      </c>
      <c r="I372" t="s">
        <v>24</v>
      </c>
      <c r="J372" s="2">
        <v>45646</v>
      </c>
      <c r="K372">
        <v>46</v>
      </c>
      <c r="L372" t="s">
        <v>20</v>
      </c>
      <c r="M372">
        <v>18</v>
      </c>
      <c r="N372">
        <v>11</v>
      </c>
      <c r="O372">
        <v>5</v>
      </c>
      <c r="P372" t="s">
        <v>20</v>
      </c>
      <c r="Q372" s="1">
        <v>3</v>
      </c>
      <c r="R372" s="2">
        <v>46174</v>
      </c>
      <c r="S372" s="2">
        <v>46132</v>
      </c>
      <c r="T372" s="1" t="str">
        <f t="shared" si="15"/>
        <v>sex</v>
      </c>
      <c r="U372" s="1" t="str">
        <f t="shared" si="16"/>
        <v>dez</v>
      </c>
      <c r="V372">
        <f t="shared" si="17"/>
        <v>2024</v>
      </c>
      <c r="W372">
        <f>_xlfn.XLOOKUP(A372,Absenteismo!A:A,Absenteismo!A:A,0)</f>
        <v>0</v>
      </c>
    </row>
    <row r="373" spans="1:23" hidden="1" x14ac:dyDescent="0.3">
      <c r="A373">
        <v>1418</v>
      </c>
      <c r="B373">
        <v>29</v>
      </c>
      <c r="C373" t="s">
        <v>15</v>
      </c>
      <c r="D373" t="s">
        <v>16</v>
      </c>
      <c r="E373" t="s">
        <v>17</v>
      </c>
      <c r="F373" t="s">
        <v>18</v>
      </c>
      <c r="G373">
        <v>57</v>
      </c>
      <c r="H373">
        <v>7093</v>
      </c>
      <c r="I373" t="s">
        <v>28</v>
      </c>
      <c r="J373" s="2">
        <v>44440</v>
      </c>
      <c r="K373">
        <v>40</v>
      </c>
      <c r="L373" t="s">
        <v>20</v>
      </c>
      <c r="M373">
        <v>23</v>
      </c>
      <c r="N373">
        <v>4</v>
      </c>
      <c r="O373">
        <v>5</v>
      </c>
      <c r="P373" t="s">
        <v>20</v>
      </c>
      <c r="Q373" s="1">
        <v>1</v>
      </c>
      <c r="R373" s="2">
        <v>46174</v>
      </c>
      <c r="S373" s="2">
        <v>46174</v>
      </c>
      <c r="T373" s="1" t="str">
        <f t="shared" si="15"/>
        <v>qua</v>
      </c>
      <c r="U373" s="1" t="str">
        <f t="shared" si="16"/>
        <v>set</v>
      </c>
      <c r="V373">
        <f t="shared" si="17"/>
        <v>2021</v>
      </c>
      <c r="W373">
        <f>_xlfn.XLOOKUP(A373,Absenteismo!A:A,Absenteismo!A:A,0)</f>
        <v>1418</v>
      </c>
    </row>
    <row r="374" spans="1:23" hidden="1" x14ac:dyDescent="0.3">
      <c r="A374">
        <v>1522</v>
      </c>
      <c r="B374">
        <v>29</v>
      </c>
      <c r="C374" t="s">
        <v>26</v>
      </c>
      <c r="D374" t="s">
        <v>29</v>
      </c>
      <c r="E374" t="s">
        <v>17</v>
      </c>
      <c r="F374" t="s">
        <v>21</v>
      </c>
      <c r="G374">
        <v>79</v>
      </c>
      <c r="H374">
        <v>4416</v>
      </c>
      <c r="I374" t="s">
        <v>33</v>
      </c>
      <c r="J374" s="2">
        <v>43779</v>
      </c>
      <c r="K374">
        <v>58</v>
      </c>
      <c r="L374" t="s">
        <v>25</v>
      </c>
      <c r="M374">
        <v>0</v>
      </c>
      <c r="N374">
        <v>11</v>
      </c>
      <c r="O374">
        <v>3</v>
      </c>
      <c r="P374" t="s">
        <v>20</v>
      </c>
      <c r="Q374" s="1">
        <v>3</v>
      </c>
      <c r="R374" s="2">
        <v>46174</v>
      </c>
      <c r="S374" s="2">
        <v>46183</v>
      </c>
      <c r="T374" s="1" t="str">
        <f t="shared" si="15"/>
        <v>dom</v>
      </c>
      <c r="U374" s="1" t="str">
        <f t="shared" si="16"/>
        <v>nov</v>
      </c>
      <c r="V374">
        <f t="shared" si="17"/>
        <v>2019</v>
      </c>
      <c r="W374">
        <f>_xlfn.XLOOKUP(A374,Absenteismo!A:A,Absenteismo!A:A,0)</f>
        <v>1522</v>
      </c>
    </row>
    <row r="375" spans="1:23" hidden="1" x14ac:dyDescent="0.3">
      <c r="A375">
        <v>1659</v>
      </c>
      <c r="B375">
        <v>29</v>
      </c>
      <c r="C375" t="s">
        <v>15</v>
      </c>
      <c r="D375" t="s">
        <v>16</v>
      </c>
      <c r="E375" t="s">
        <v>17</v>
      </c>
      <c r="F375" t="s">
        <v>18</v>
      </c>
      <c r="G375">
        <v>36</v>
      </c>
      <c r="H375">
        <v>7097</v>
      </c>
      <c r="I375" t="s">
        <v>28</v>
      </c>
      <c r="J375" s="2">
        <v>45094</v>
      </c>
      <c r="K375">
        <v>19</v>
      </c>
      <c r="L375" t="s">
        <v>25</v>
      </c>
      <c r="M375">
        <v>12</v>
      </c>
      <c r="N375">
        <v>4</v>
      </c>
      <c r="O375">
        <v>3</v>
      </c>
      <c r="P375" t="s">
        <v>20</v>
      </c>
      <c r="Q375" s="1">
        <v>2</v>
      </c>
      <c r="R375" s="2">
        <v>46174</v>
      </c>
      <c r="S375" s="2">
        <v>46190</v>
      </c>
      <c r="T375" s="1" t="str">
        <f t="shared" si="15"/>
        <v>sáb</v>
      </c>
      <c r="U375" s="1" t="str">
        <f t="shared" si="16"/>
        <v>jun</v>
      </c>
      <c r="V375">
        <f t="shared" si="17"/>
        <v>2023</v>
      </c>
      <c r="W375">
        <f>_xlfn.XLOOKUP(A375,Absenteismo!A:A,Absenteismo!A:A,0)</f>
        <v>1659</v>
      </c>
    </row>
    <row r="376" spans="1:23" x14ac:dyDescent="0.3">
      <c r="A376">
        <v>1122</v>
      </c>
      <c r="B376">
        <v>29</v>
      </c>
      <c r="C376" t="s">
        <v>15</v>
      </c>
      <c r="D376" t="s">
        <v>16</v>
      </c>
      <c r="E376" t="s">
        <v>17</v>
      </c>
      <c r="F376" t="s">
        <v>18</v>
      </c>
      <c r="G376">
        <v>25</v>
      </c>
      <c r="H376">
        <v>4655</v>
      </c>
      <c r="I376" t="s">
        <v>19</v>
      </c>
      <c r="J376" s="2">
        <v>45212</v>
      </c>
      <c r="K376">
        <v>10</v>
      </c>
      <c r="L376" t="s">
        <v>20</v>
      </c>
      <c r="M376">
        <v>6</v>
      </c>
      <c r="N376">
        <v>8</v>
      </c>
      <c r="O376">
        <v>2</v>
      </c>
      <c r="P376" t="s">
        <v>25</v>
      </c>
      <c r="Q376" s="1">
        <v>2</v>
      </c>
      <c r="R376" s="2">
        <v>46174</v>
      </c>
      <c r="S376" s="2"/>
      <c r="T376" s="1" t="str">
        <f t="shared" si="15"/>
        <v>sex</v>
      </c>
      <c r="U376" s="1" t="str">
        <f t="shared" si="16"/>
        <v>out</v>
      </c>
      <c r="V376">
        <f t="shared" si="17"/>
        <v>2023</v>
      </c>
      <c r="W376">
        <f>_xlfn.XLOOKUP(A376,Absenteismo!A:A,Absenteismo!A:A,0)</f>
        <v>0</v>
      </c>
    </row>
    <row r="377" spans="1:23" x14ac:dyDescent="0.3">
      <c r="A377">
        <v>1170</v>
      </c>
      <c r="B377">
        <v>29</v>
      </c>
      <c r="C377" t="s">
        <v>15</v>
      </c>
      <c r="D377" t="s">
        <v>31</v>
      </c>
      <c r="E377" t="s">
        <v>34</v>
      </c>
      <c r="F377" t="s">
        <v>18</v>
      </c>
      <c r="G377">
        <v>24</v>
      </c>
      <c r="H377">
        <v>5171</v>
      </c>
      <c r="I377" t="s">
        <v>30</v>
      </c>
      <c r="J377" s="2">
        <v>45048</v>
      </c>
      <c r="K377">
        <v>1</v>
      </c>
      <c r="L377" t="s">
        <v>20</v>
      </c>
      <c r="M377">
        <v>6</v>
      </c>
      <c r="N377">
        <v>5</v>
      </c>
      <c r="O377">
        <v>4</v>
      </c>
      <c r="P377" t="s">
        <v>25</v>
      </c>
      <c r="Q377" s="1">
        <v>3</v>
      </c>
      <c r="R377" s="2">
        <v>46174</v>
      </c>
      <c r="S377" s="2"/>
      <c r="T377" s="1" t="str">
        <f t="shared" si="15"/>
        <v>ter</v>
      </c>
      <c r="U377" s="1" t="str">
        <f t="shared" si="16"/>
        <v>mai</v>
      </c>
      <c r="V377">
        <f t="shared" si="17"/>
        <v>2023</v>
      </c>
      <c r="W377">
        <f>_xlfn.XLOOKUP(A377,Absenteismo!A:A,Absenteismo!A:A,0)</f>
        <v>0</v>
      </c>
    </row>
    <row r="378" spans="1:23" x14ac:dyDescent="0.3">
      <c r="A378">
        <v>1181</v>
      </c>
      <c r="B378">
        <v>29</v>
      </c>
      <c r="C378" t="s">
        <v>15</v>
      </c>
      <c r="D378" t="s">
        <v>22</v>
      </c>
      <c r="E378" t="s">
        <v>17</v>
      </c>
      <c r="F378" t="s">
        <v>21</v>
      </c>
      <c r="G378">
        <v>83</v>
      </c>
      <c r="H378">
        <v>6243</v>
      </c>
      <c r="I378" t="s">
        <v>24</v>
      </c>
      <c r="J378" s="2">
        <v>43577</v>
      </c>
      <c r="K378">
        <v>41</v>
      </c>
      <c r="L378" t="s">
        <v>20</v>
      </c>
      <c r="M378">
        <v>24</v>
      </c>
      <c r="N378">
        <v>6</v>
      </c>
      <c r="O378">
        <v>2</v>
      </c>
      <c r="P378" t="s">
        <v>25</v>
      </c>
      <c r="Q378" s="1">
        <v>2</v>
      </c>
      <c r="R378" s="2">
        <v>46174</v>
      </c>
      <c r="S378" s="2"/>
      <c r="T378" s="1" t="str">
        <f t="shared" si="15"/>
        <v>seg</v>
      </c>
      <c r="U378" s="1" t="str">
        <f t="shared" si="16"/>
        <v>abr</v>
      </c>
      <c r="V378">
        <f t="shared" si="17"/>
        <v>2019</v>
      </c>
      <c r="W378">
        <f>_xlfn.XLOOKUP(A378,Absenteismo!A:A,Absenteismo!A:A,0)</f>
        <v>0</v>
      </c>
    </row>
    <row r="379" spans="1:23" hidden="1" x14ac:dyDescent="0.3">
      <c r="A379">
        <v>1422</v>
      </c>
      <c r="B379">
        <v>29</v>
      </c>
      <c r="C379" t="s">
        <v>15</v>
      </c>
      <c r="D379" t="s">
        <v>16</v>
      </c>
      <c r="E379" t="s">
        <v>17</v>
      </c>
      <c r="F379" t="s">
        <v>18</v>
      </c>
      <c r="G379">
        <v>25</v>
      </c>
      <c r="H379">
        <v>4655</v>
      </c>
      <c r="I379" t="s">
        <v>19</v>
      </c>
      <c r="J379" s="2">
        <v>45068</v>
      </c>
      <c r="K379">
        <v>10</v>
      </c>
      <c r="L379" t="s">
        <v>20</v>
      </c>
      <c r="M379">
        <v>6</v>
      </c>
      <c r="N379">
        <v>8</v>
      </c>
      <c r="O379">
        <v>2</v>
      </c>
      <c r="P379" t="s">
        <v>25</v>
      </c>
      <c r="Q379" s="1">
        <v>2</v>
      </c>
      <c r="R379" s="2">
        <v>46174</v>
      </c>
      <c r="S379" s="2"/>
      <c r="T379" s="1" t="str">
        <f t="shared" si="15"/>
        <v>seg</v>
      </c>
      <c r="U379" s="1" t="str">
        <f t="shared" si="16"/>
        <v>mai</v>
      </c>
      <c r="V379">
        <f t="shared" si="17"/>
        <v>2023</v>
      </c>
      <c r="W379">
        <f>_xlfn.XLOOKUP(A379,Absenteismo!A:A,Absenteismo!A:A,0)</f>
        <v>1422</v>
      </c>
    </row>
    <row r="380" spans="1:23" hidden="1" x14ac:dyDescent="0.3">
      <c r="A380">
        <v>1470</v>
      </c>
      <c r="B380">
        <v>29</v>
      </c>
      <c r="C380" t="s">
        <v>15</v>
      </c>
      <c r="D380" t="s">
        <v>31</v>
      </c>
      <c r="E380" t="s">
        <v>34</v>
      </c>
      <c r="F380" t="s">
        <v>18</v>
      </c>
      <c r="G380">
        <v>24</v>
      </c>
      <c r="H380">
        <v>5171</v>
      </c>
      <c r="I380" t="s">
        <v>30</v>
      </c>
      <c r="J380" s="2">
        <v>45078</v>
      </c>
      <c r="K380">
        <v>1</v>
      </c>
      <c r="L380" t="s">
        <v>20</v>
      </c>
      <c r="M380">
        <v>6</v>
      </c>
      <c r="N380">
        <v>5</v>
      </c>
      <c r="O380">
        <v>4</v>
      </c>
      <c r="P380" t="s">
        <v>25</v>
      </c>
      <c r="Q380" s="1">
        <v>3</v>
      </c>
      <c r="R380" s="2">
        <v>46174</v>
      </c>
      <c r="S380" s="2"/>
      <c r="T380" s="1" t="str">
        <f t="shared" si="15"/>
        <v>qui</v>
      </c>
      <c r="U380" s="1" t="str">
        <f t="shared" si="16"/>
        <v>jun</v>
      </c>
      <c r="V380">
        <f t="shared" si="17"/>
        <v>2023</v>
      </c>
      <c r="W380">
        <f>_xlfn.XLOOKUP(A380,Absenteismo!A:A,Absenteismo!A:A,0)</f>
        <v>1470</v>
      </c>
    </row>
    <row r="381" spans="1:23" x14ac:dyDescent="0.3">
      <c r="A381">
        <v>1481</v>
      </c>
      <c r="B381">
        <v>29</v>
      </c>
      <c r="C381" t="s">
        <v>15</v>
      </c>
      <c r="D381" t="s">
        <v>22</v>
      </c>
      <c r="E381" t="s">
        <v>17</v>
      </c>
      <c r="F381" t="s">
        <v>21</v>
      </c>
      <c r="G381">
        <v>83</v>
      </c>
      <c r="H381">
        <v>6243</v>
      </c>
      <c r="I381" t="s">
        <v>24</v>
      </c>
      <c r="J381" s="2">
        <v>43655</v>
      </c>
      <c r="K381">
        <v>58</v>
      </c>
      <c r="L381" t="s">
        <v>20</v>
      </c>
      <c r="M381">
        <v>24</v>
      </c>
      <c r="N381">
        <v>6</v>
      </c>
      <c r="O381">
        <v>2</v>
      </c>
      <c r="P381" t="s">
        <v>25</v>
      </c>
      <c r="Q381" s="1">
        <v>1</v>
      </c>
      <c r="R381" s="2">
        <v>46174</v>
      </c>
      <c r="S381" s="2"/>
      <c r="T381" s="1" t="str">
        <f t="shared" si="15"/>
        <v>ter</v>
      </c>
      <c r="U381" s="1" t="str">
        <f t="shared" si="16"/>
        <v>jul</v>
      </c>
      <c r="V381">
        <f t="shared" si="17"/>
        <v>2019</v>
      </c>
      <c r="W381">
        <f>_xlfn.XLOOKUP(A381,Absenteismo!A:A,Absenteismo!A:A,0)</f>
        <v>0</v>
      </c>
    </row>
    <row r="382" spans="1:23" hidden="1" x14ac:dyDescent="0.3">
      <c r="A382">
        <v>1722</v>
      </c>
      <c r="B382">
        <v>29</v>
      </c>
      <c r="C382" t="s">
        <v>15</v>
      </c>
      <c r="D382" t="s">
        <v>16</v>
      </c>
      <c r="E382" t="s">
        <v>17</v>
      </c>
      <c r="F382" t="s">
        <v>18</v>
      </c>
      <c r="G382">
        <v>25</v>
      </c>
      <c r="H382">
        <v>4655</v>
      </c>
      <c r="I382" t="s">
        <v>19</v>
      </c>
      <c r="J382" s="2">
        <v>45421</v>
      </c>
      <c r="K382">
        <v>10</v>
      </c>
      <c r="L382" t="s">
        <v>20</v>
      </c>
      <c r="M382">
        <v>6</v>
      </c>
      <c r="N382">
        <v>8</v>
      </c>
      <c r="O382">
        <v>2</v>
      </c>
      <c r="P382" t="s">
        <v>25</v>
      </c>
      <c r="Q382" s="1">
        <v>3</v>
      </c>
      <c r="R382" s="2">
        <v>46174</v>
      </c>
      <c r="S382" s="2"/>
      <c r="T382" s="1" t="str">
        <f t="shared" si="15"/>
        <v>qui</v>
      </c>
      <c r="U382" s="1" t="str">
        <f t="shared" si="16"/>
        <v>mai</v>
      </c>
      <c r="V382">
        <f t="shared" si="17"/>
        <v>2024</v>
      </c>
      <c r="W382">
        <f>_xlfn.XLOOKUP(A382,Absenteismo!A:A,Absenteismo!A:A,0)</f>
        <v>1722</v>
      </c>
    </row>
    <row r="383" spans="1:23" hidden="1" x14ac:dyDescent="0.3">
      <c r="A383">
        <v>1770</v>
      </c>
      <c r="B383">
        <v>29</v>
      </c>
      <c r="C383" t="s">
        <v>15</v>
      </c>
      <c r="D383" t="s">
        <v>31</v>
      </c>
      <c r="E383" t="s">
        <v>34</v>
      </c>
      <c r="F383" t="s">
        <v>18</v>
      </c>
      <c r="G383">
        <v>24</v>
      </c>
      <c r="H383">
        <v>5171</v>
      </c>
      <c r="I383" t="s">
        <v>30</v>
      </c>
      <c r="J383" s="2">
        <v>45020</v>
      </c>
      <c r="K383">
        <v>1</v>
      </c>
      <c r="L383" t="s">
        <v>20</v>
      </c>
      <c r="M383">
        <v>6</v>
      </c>
      <c r="N383">
        <v>5</v>
      </c>
      <c r="O383">
        <v>4</v>
      </c>
      <c r="P383" t="s">
        <v>25</v>
      </c>
      <c r="Q383" s="1">
        <v>1</v>
      </c>
      <c r="R383" s="2">
        <v>46174</v>
      </c>
      <c r="S383" s="2"/>
      <c r="T383" s="1" t="str">
        <f t="shared" si="15"/>
        <v>ter</v>
      </c>
      <c r="U383" s="1" t="str">
        <f t="shared" si="16"/>
        <v>abr</v>
      </c>
      <c r="V383">
        <f t="shared" si="17"/>
        <v>2023</v>
      </c>
      <c r="W383">
        <f>_xlfn.XLOOKUP(A383,Absenteismo!A:A,Absenteismo!A:A,0)</f>
        <v>1770</v>
      </c>
    </row>
    <row r="384" spans="1:23" x14ac:dyDescent="0.3">
      <c r="A384">
        <v>1781</v>
      </c>
      <c r="B384">
        <v>29</v>
      </c>
      <c r="C384" t="s">
        <v>15</v>
      </c>
      <c r="D384" t="s">
        <v>22</v>
      </c>
      <c r="E384" t="s">
        <v>17</v>
      </c>
      <c r="F384" t="s">
        <v>21</v>
      </c>
      <c r="G384">
        <v>83</v>
      </c>
      <c r="H384">
        <v>6243</v>
      </c>
      <c r="I384" t="s">
        <v>24</v>
      </c>
      <c r="J384" s="2">
        <v>43266</v>
      </c>
      <c r="K384">
        <v>58</v>
      </c>
      <c r="L384" t="s">
        <v>20</v>
      </c>
      <c r="M384">
        <v>24</v>
      </c>
      <c r="N384">
        <v>6</v>
      </c>
      <c r="O384">
        <v>2</v>
      </c>
      <c r="P384" t="s">
        <v>25</v>
      </c>
      <c r="Q384" s="1">
        <v>1</v>
      </c>
      <c r="R384" s="2">
        <v>46174</v>
      </c>
      <c r="S384" s="2"/>
      <c r="T384" s="1" t="str">
        <f t="shared" si="15"/>
        <v>sex</v>
      </c>
      <c r="U384" s="1" t="str">
        <f t="shared" si="16"/>
        <v>jun</v>
      </c>
      <c r="V384">
        <f t="shared" si="17"/>
        <v>2018</v>
      </c>
      <c r="W384">
        <f>_xlfn.XLOOKUP(A384,Absenteismo!A:A,Absenteismo!A:A,0)</f>
        <v>0</v>
      </c>
    </row>
    <row r="385" spans="1:23" hidden="1" x14ac:dyDescent="0.3">
      <c r="A385">
        <v>2022</v>
      </c>
      <c r="B385">
        <v>29</v>
      </c>
      <c r="C385" t="s">
        <v>15</v>
      </c>
      <c r="D385" t="s">
        <v>16</v>
      </c>
      <c r="E385" t="s">
        <v>17</v>
      </c>
      <c r="F385" t="s">
        <v>18</v>
      </c>
      <c r="G385">
        <v>25</v>
      </c>
      <c r="H385">
        <v>4655</v>
      </c>
      <c r="I385" t="s">
        <v>19</v>
      </c>
      <c r="J385" s="2">
        <v>45206</v>
      </c>
      <c r="K385">
        <v>10</v>
      </c>
      <c r="L385" t="s">
        <v>20</v>
      </c>
      <c r="M385">
        <v>6</v>
      </c>
      <c r="N385">
        <v>8</v>
      </c>
      <c r="O385">
        <v>2</v>
      </c>
      <c r="P385" t="s">
        <v>25</v>
      </c>
      <c r="Q385" s="1">
        <v>3</v>
      </c>
      <c r="R385" s="2">
        <v>46174</v>
      </c>
      <c r="S385" s="2"/>
      <c r="T385" s="1" t="str">
        <f t="shared" si="15"/>
        <v>sáb</v>
      </c>
      <c r="U385" s="1" t="str">
        <f t="shared" si="16"/>
        <v>out</v>
      </c>
      <c r="V385">
        <f t="shared" si="17"/>
        <v>2023</v>
      </c>
      <c r="W385">
        <f>_xlfn.XLOOKUP(A385,Absenteismo!A:A,Absenteismo!A:A,0)</f>
        <v>2022</v>
      </c>
    </row>
    <row r="386" spans="1:23" hidden="1" x14ac:dyDescent="0.3">
      <c r="A386">
        <v>2070</v>
      </c>
      <c r="B386">
        <v>29</v>
      </c>
      <c r="C386" t="s">
        <v>15</v>
      </c>
      <c r="D386" t="s">
        <v>31</v>
      </c>
      <c r="E386" t="s">
        <v>34</v>
      </c>
      <c r="F386" t="s">
        <v>18</v>
      </c>
      <c r="G386">
        <v>24</v>
      </c>
      <c r="H386">
        <v>5171</v>
      </c>
      <c r="I386" t="s">
        <v>30</v>
      </c>
      <c r="J386" s="2">
        <v>45252</v>
      </c>
      <c r="K386">
        <v>1</v>
      </c>
      <c r="L386" t="s">
        <v>20</v>
      </c>
      <c r="M386">
        <v>6</v>
      </c>
      <c r="N386">
        <v>5</v>
      </c>
      <c r="O386">
        <v>4</v>
      </c>
      <c r="P386" t="s">
        <v>25</v>
      </c>
      <c r="Q386" s="1">
        <v>3</v>
      </c>
      <c r="R386" s="2">
        <v>46174</v>
      </c>
      <c r="S386" s="2"/>
      <c r="T386" s="1" t="str">
        <f t="shared" ref="T386:T449" si="18">TEXT($J386,"ddd")</f>
        <v>qua</v>
      </c>
      <c r="U386" s="1" t="str">
        <f t="shared" ref="U386:U449" si="19">TEXT($J386,"mmm")</f>
        <v>nov</v>
      </c>
      <c r="V386">
        <f t="shared" ref="V386:V449" si="20">YEAR(J386)</f>
        <v>2023</v>
      </c>
      <c r="W386">
        <f>_xlfn.XLOOKUP(A386,Absenteismo!A:A,Absenteismo!A:A,0)</f>
        <v>2070</v>
      </c>
    </row>
    <row r="387" spans="1:23" x14ac:dyDescent="0.3">
      <c r="A387">
        <v>2081</v>
      </c>
      <c r="B387">
        <v>29</v>
      </c>
      <c r="C387" t="s">
        <v>15</v>
      </c>
      <c r="D387" t="s">
        <v>22</v>
      </c>
      <c r="E387" t="s">
        <v>17</v>
      </c>
      <c r="F387" t="s">
        <v>21</v>
      </c>
      <c r="G387">
        <v>83</v>
      </c>
      <c r="H387">
        <v>6243</v>
      </c>
      <c r="I387" t="s">
        <v>24</v>
      </c>
      <c r="J387" s="2">
        <v>43292</v>
      </c>
      <c r="K387">
        <v>43</v>
      </c>
      <c r="L387" t="s">
        <v>20</v>
      </c>
      <c r="M387">
        <v>24</v>
      </c>
      <c r="N387">
        <v>6</v>
      </c>
      <c r="O387">
        <v>2</v>
      </c>
      <c r="P387" t="s">
        <v>25</v>
      </c>
      <c r="Q387" s="1">
        <v>3</v>
      </c>
      <c r="R387" s="2">
        <v>46174</v>
      </c>
      <c r="S387" s="2"/>
      <c r="T387" s="1" t="str">
        <f t="shared" si="18"/>
        <v>qua</v>
      </c>
      <c r="U387" s="1" t="str">
        <f t="shared" si="19"/>
        <v>jul</v>
      </c>
      <c r="V387">
        <f t="shared" si="20"/>
        <v>2018</v>
      </c>
      <c r="W387">
        <f>_xlfn.XLOOKUP(A387,Absenteismo!A:A,Absenteismo!A:A,0)</f>
        <v>0</v>
      </c>
    </row>
    <row r="388" spans="1:23" hidden="1" x14ac:dyDescent="0.3">
      <c r="A388">
        <v>1959</v>
      </c>
      <c r="B388">
        <v>29</v>
      </c>
      <c r="C388" t="s">
        <v>15</v>
      </c>
      <c r="D388" t="s">
        <v>16</v>
      </c>
      <c r="E388" t="s">
        <v>17</v>
      </c>
      <c r="F388" t="s">
        <v>18</v>
      </c>
      <c r="G388">
        <v>36</v>
      </c>
      <c r="H388">
        <v>7097</v>
      </c>
      <c r="I388" t="s">
        <v>28</v>
      </c>
      <c r="J388" s="2">
        <v>44695</v>
      </c>
      <c r="K388">
        <v>19</v>
      </c>
      <c r="L388" t="s">
        <v>25</v>
      </c>
      <c r="M388">
        <v>12</v>
      </c>
      <c r="N388">
        <v>4</v>
      </c>
      <c r="O388">
        <v>3</v>
      </c>
      <c r="P388" t="s">
        <v>25</v>
      </c>
      <c r="Q388" s="1">
        <v>1</v>
      </c>
      <c r="R388" s="2">
        <v>46174</v>
      </c>
      <c r="S388" s="2"/>
      <c r="T388" s="1" t="str">
        <f t="shared" si="18"/>
        <v>sáb</v>
      </c>
      <c r="U388" s="1" t="str">
        <f t="shared" si="19"/>
        <v>mai</v>
      </c>
      <c r="V388">
        <f t="shared" si="20"/>
        <v>2022</v>
      </c>
      <c r="W388">
        <f>_xlfn.XLOOKUP(A388,Absenteismo!A:A,Absenteismo!A:A,0)</f>
        <v>1959</v>
      </c>
    </row>
    <row r="389" spans="1:23" hidden="1" x14ac:dyDescent="0.3">
      <c r="A389">
        <v>2018</v>
      </c>
      <c r="B389">
        <v>29</v>
      </c>
      <c r="C389" t="s">
        <v>15</v>
      </c>
      <c r="D389" t="s">
        <v>16</v>
      </c>
      <c r="E389" t="s">
        <v>17</v>
      </c>
      <c r="F389" t="s">
        <v>18</v>
      </c>
      <c r="G389">
        <v>57</v>
      </c>
      <c r="H389">
        <v>7093</v>
      </c>
      <c r="I389" t="s">
        <v>28</v>
      </c>
      <c r="J389" s="2">
        <v>44111</v>
      </c>
      <c r="K389">
        <v>40</v>
      </c>
      <c r="L389" t="s">
        <v>20</v>
      </c>
      <c r="M389">
        <v>23</v>
      </c>
      <c r="N389">
        <v>4</v>
      </c>
      <c r="O389">
        <v>5</v>
      </c>
      <c r="P389" t="s">
        <v>25</v>
      </c>
      <c r="Q389" s="1">
        <v>2</v>
      </c>
      <c r="R389" s="2">
        <v>46174</v>
      </c>
      <c r="S389" s="2"/>
      <c r="T389" s="1" t="str">
        <f t="shared" si="18"/>
        <v>qua</v>
      </c>
      <c r="U389" s="1" t="str">
        <f t="shared" si="19"/>
        <v>out</v>
      </c>
      <c r="V389">
        <f t="shared" si="20"/>
        <v>2020</v>
      </c>
      <c r="W389">
        <f>_xlfn.XLOOKUP(A389,Absenteismo!A:A,Absenteismo!A:A,0)</f>
        <v>2018</v>
      </c>
    </row>
    <row r="390" spans="1:23" x14ac:dyDescent="0.3">
      <c r="A390">
        <v>2042</v>
      </c>
      <c r="B390">
        <v>29</v>
      </c>
      <c r="C390" t="s">
        <v>26</v>
      </c>
      <c r="D390" t="s">
        <v>29</v>
      </c>
      <c r="E390" t="s">
        <v>17</v>
      </c>
      <c r="F390" t="s">
        <v>21</v>
      </c>
      <c r="G390">
        <v>16</v>
      </c>
      <c r="H390">
        <v>4944</v>
      </c>
      <c r="I390" t="s">
        <v>24</v>
      </c>
      <c r="J390" s="2">
        <v>45536</v>
      </c>
      <c r="K390">
        <v>46</v>
      </c>
      <c r="L390" t="s">
        <v>20</v>
      </c>
      <c r="M390">
        <v>18</v>
      </c>
      <c r="N390">
        <v>11</v>
      </c>
      <c r="O390">
        <v>5</v>
      </c>
      <c r="P390" t="s">
        <v>25</v>
      </c>
      <c r="Q390" s="1">
        <v>3</v>
      </c>
      <c r="R390" s="2">
        <v>46174</v>
      </c>
      <c r="S390" s="2"/>
      <c r="T390" s="1" t="str">
        <f t="shared" si="18"/>
        <v>dom</v>
      </c>
      <c r="U390" s="1" t="str">
        <f t="shared" si="19"/>
        <v>set</v>
      </c>
      <c r="V390">
        <f t="shared" si="20"/>
        <v>2024</v>
      </c>
      <c r="W390">
        <f>_xlfn.XLOOKUP(A390,Absenteismo!A:A,Absenteismo!A:A,0)</f>
        <v>0</v>
      </c>
    </row>
    <row r="391" spans="1:23" x14ac:dyDescent="0.3">
      <c r="A391">
        <v>1758</v>
      </c>
      <c r="B391">
        <v>30</v>
      </c>
      <c r="C391" t="s">
        <v>26</v>
      </c>
      <c r="D391" t="s">
        <v>29</v>
      </c>
      <c r="E391" t="s">
        <v>17</v>
      </c>
      <c r="F391" t="s">
        <v>23</v>
      </c>
      <c r="G391">
        <v>5</v>
      </c>
      <c r="H391">
        <v>3922</v>
      </c>
      <c r="I391" t="s">
        <v>24</v>
      </c>
      <c r="J391" s="2">
        <v>45604</v>
      </c>
      <c r="K391">
        <v>52</v>
      </c>
      <c r="L391" t="s">
        <v>20</v>
      </c>
      <c r="M391">
        <v>29</v>
      </c>
      <c r="N391">
        <v>2</v>
      </c>
      <c r="O391">
        <v>3</v>
      </c>
      <c r="P391" t="s">
        <v>20</v>
      </c>
      <c r="Q391" s="1">
        <v>1</v>
      </c>
      <c r="R391" s="2">
        <v>46174</v>
      </c>
      <c r="S391" s="2">
        <v>45755</v>
      </c>
      <c r="T391" s="1" t="str">
        <f t="shared" si="18"/>
        <v>sex</v>
      </c>
      <c r="U391" s="1" t="str">
        <f t="shared" si="19"/>
        <v>nov</v>
      </c>
      <c r="V391">
        <f t="shared" si="20"/>
        <v>2024</v>
      </c>
      <c r="W391">
        <f>_xlfn.XLOOKUP(A391,Absenteismo!A:A,Absenteismo!A:A,0)</f>
        <v>0</v>
      </c>
    </row>
    <row r="392" spans="1:23" x14ac:dyDescent="0.3">
      <c r="A392">
        <v>1019</v>
      </c>
      <c r="B392">
        <v>30</v>
      </c>
      <c r="C392" t="s">
        <v>26</v>
      </c>
      <c r="D392" t="s">
        <v>16</v>
      </c>
      <c r="E392" t="s">
        <v>17</v>
      </c>
      <c r="F392" t="s">
        <v>23</v>
      </c>
      <c r="G392">
        <v>36</v>
      </c>
      <c r="H392">
        <v>6589</v>
      </c>
      <c r="I392" t="s">
        <v>19</v>
      </c>
      <c r="J392" s="2">
        <v>44701</v>
      </c>
      <c r="K392">
        <v>53</v>
      </c>
      <c r="L392" t="s">
        <v>25</v>
      </c>
      <c r="M392">
        <v>28</v>
      </c>
      <c r="N392">
        <v>12</v>
      </c>
      <c r="O392">
        <v>2</v>
      </c>
      <c r="P392" t="s">
        <v>20</v>
      </c>
      <c r="Q392" s="1">
        <v>1</v>
      </c>
      <c r="R392" s="2">
        <v>46174</v>
      </c>
      <c r="S392" s="2">
        <v>45797</v>
      </c>
      <c r="T392" s="1" t="str">
        <f t="shared" si="18"/>
        <v>sex</v>
      </c>
      <c r="U392" s="1" t="str">
        <f t="shared" si="19"/>
        <v>mai</v>
      </c>
      <c r="V392">
        <f t="shared" si="20"/>
        <v>2022</v>
      </c>
      <c r="W392">
        <f>_xlfn.XLOOKUP(A392,Absenteismo!A:A,Absenteismo!A:A,0)</f>
        <v>0</v>
      </c>
    </row>
    <row r="393" spans="1:23" hidden="1" x14ac:dyDescent="0.3">
      <c r="A393">
        <v>1319</v>
      </c>
      <c r="B393">
        <v>30</v>
      </c>
      <c r="C393" t="s">
        <v>26</v>
      </c>
      <c r="D393" t="s">
        <v>16</v>
      </c>
      <c r="E393" t="s">
        <v>17</v>
      </c>
      <c r="F393" t="s">
        <v>23</v>
      </c>
      <c r="G393">
        <v>36</v>
      </c>
      <c r="H393">
        <v>6589</v>
      </c>
      <c r="I393" t="s">
        <v>19</v>
      </c>
      <c r="J393" s="2">
        <v>44707</v>
      </c>
      <c r="K393">
        <v>53</v>
      </c>
      <c r="L393" t="s">
        <v>25</v>
      </c>
      <c r="M393">
        <v>28</v>
      </c>
      <c r="N393">
        <v>12</v>
      </c>
      <c r="O393">
        <v>2</v>
      </c>
      <c r="P393" t="s">
        <v>20</v>
      </c>
      <c r="Q393" s="1">
        <v>2</v>
      </c>
      <c r="R393" s="2">
        <v>46174</v>
      </c>
      <c r="S393" s="2">
        <v>45803</v>
      </c>
      <c r="T393" s="1" t="str">
        <f t="shared" si="18"/>
        <v>qui</v>
      </c>
      <c r="U393" s="1" t="str">
        <f t="shared" si="19"/>
        <v>mai</v>
      </c>
      <c r="V393">
        <f t="shared" si="20"/>
        <v>2022</v>
      </c>
      <c r="W393">
        <f>_xlfn.XLOOKUP(A393,Absenteismo!A:A,Absenteismo!A:A,0)</f>
        <v>1319</v>
      </c>
    </row>
    <row r="394" spans="1:23" x14ac:dyDescent="0.3">
      <c r="A394">
        <v>1458</v>
      </c>
      <c r="B394">
        <v>30</v>
      </c>
      <c r="C394" t="s">
        <v>26</v>
      </c>
      <c r="D394" t="s">
        <v>29</v>
      </c>
      <c r="E394" t="s">
        <v>17</v>
      </c>
      <c r="F394" t="s">
        <v>23</v>
      </c>
      <c r="G394">
        <v>5</v>
      </c>
      <c r="H394">
        <v>3922</v>
      </c>
      <c r="I394" t="s">
        <v>24</v>
      </c>
      <c r="J394" s="2">
        <v>45677</v>
      </c>
      <c r="K394">
        <v>41</v>
      </c>
      <c r="L394" t="s">
        <v>20</v>
      </c>
      <c r="M394">
        <v>29</v>
      </c>
      <c r="N394">
        <v>2</v>
      </c>
      <c r="O394">
        <v>3</v>
      </c>
      <c r="P394" t="s">
        <v>20</v>
      </c>
      <c r="Q394" s="1">
        <v>3</v>
      </c>
      <c r="R394" s="2">
        <v>46174</v>
      </c>
      <c r="S394" s="2">
        <v>45828</v>
      </c>
      <c r="T394" s="1" t="str">
        <f t="shared" si="18"/>
        <v>seg</v>
      </c>
      <c r="U394" s="1" t="str">
        <f t="shared" si="19"/>
        <v>jan</v>
      </c>
      <c r="V394">
        <f t="shared" si="20"/>
        <v>2025</v>
      </c>
      <c r="W394">
        <f>_xlfn.XLOOKUP(A394,Absenteismo!A:A,Absenteismo!A:A,0)</f>
        <v>0</v>
      </c>
    </row>
    <row r="395" spans="1:23" hidden="1" x14ac:dyDescent="0.3">
      <c r="A395">
        <v>1619</v>
      </c>
      <c r="B395">
        <v>30</v>
      </c>
      <c r="C395" t="s">
        <v>26</v>
      </c>
      <c r="D395" t="s">
        <v>16</v>
      </c>
      <c r="E395" t="s">
        <v>17</v>
      </c>
      <c r="F395" t="s">
        <v>23</v>
      </c>
      <c r="G395">
        <v>36</v>
      </c>
      <c r="H395">
        <v>6589</v>
      </c>
      <c r="I395" t="s">
        <v>19</v>
      </c>
      <c r="J395" s="2">
        <v>44854</v>
      </c>
      <c r="K395">
        <v>21</v>
      </c>
      <c r="L395" t="s">
        <v>25</v>
      </c>
      <c r="M395">
        <v>28</v>
      </c>
      <c r="N395">
        <v>12</v>
      </c>
      <c r="O395">
        <v>2</v>
      </c>
      <c r="P395" t="s">
        <v>20</v>
      </c>
      <c r="Q395" s="1">
        <v>2</v>
      </c>
      <c r="R395" s="2">
        <v>46174</v>
      </c>
      <c r="S395" s="2">
        <v>45950</v>
      </c>
      <c r="T395" s="1" t="str">
        <f t="shared" si="18"/>
        <v>qui</v>
      </c>
      <c r="U395" s="1" t="str">
        <f t="shared" si="19"/>
        <v>out</v>
      </c>
      <c r="V395">
        <f t="shared" si="20"/>
        <v>2022</v>
      </c>
      <c r="W395">
        <f>_xlfn.XLOOKUP(A395,Absenteismo!A:A,Absenteismo!A:A,0)</f>
        <v>1619</v>
      </c>
    </row>
    <row r="396" spans="1:23" x14ac:dyDescent="0.3">
      <c r="A396">
        <v>1158</v>
      </c>
      <c r="B396">
        <v>30</v>
      </c>
      <c r="C396" t="s">
        <v>26</v>
      </c>
      <c r="D396" t="s">
        <v>29</v>
      </c>
      <c r="E396" t="s">
        <v>17</v>
      </c>
      <c r="F396" t="s">
        <v>23</v>
      </c>
      <c r="G396">
        <v>5</v>
      </c>
      <c r="H396">
        <v>3922</v>
      </c>
      <c r="I396" t="s">
        <v>24</v>
      </c>
      <c r="J396" s="2">
        <v>46034</v>
      </c>
      <c r="K396">
        <v>55</v>
      </c>
      <c r="L396" t="s">
        <v>20</v>
      </c>
      <c r="M396">
        <v>29</v>
      </c>
      <c r="N396">
        <v>2</v>
      </c>
      <c r="O396">
        <v>3</v>
      </c>
      <c r="P396" t="s">
        <v>20</v>
      </c>
      <c r="Q396" s="1">
        <v>1</v>
      </c>
      <c r="R396" s="2">
        <v>46174</v>
      </c>
      <c r="S396" s="2">
        <v>46185</v>
      </c>
      <c r="T396" s="1" t="str">
        <f t="shared" si="18"/>
        <v>seg</v>
      </c>
      <c r="U396" s="1" t="str">
        <f t="shared" si="19"/>
        <v>jan</v>
      </c>
      <c r="V396">
        <f t="shared" si="20"/>
        <v>2026</v>
      </c>
      <c r="W396">
        <f>_xlfn.XLOOKUP(A396,Absenteismo!A:A,Absenteismo!A:A,0)</f>
        <v>0</v>
      </c>
    </row>
    <row r="397" spans="1:23" x14ac:dyDescent="0.3">
      <c r="A397">
        <v>1071</v>
      </c>
      <c r="B397">
        <v>30</v>
      </c>
      <c r="C397" t="s">
        <v>26</v>
      </c>
      <c r="D397" t="s">
        <v>27</v>
      </c>
      <c r="E397" t="s">
        <v>17</v>
      </c>
      <c r="F397" t="s">
        <v>18</v>
      </c>
      <c r="G397">
        <v>81</v>
      </c>
      <c r="H397">
        <v>6421</v>
      </c>
      <c r="I397" t="s">
        <v>30</v>
      </c>
      <c r="J397" s="2">
        <v>43440</v>
      </c>
      <c r="K397">
        <v>14</v>
      </c>
      <c r="L397" t="s">
        <v>20</v>
      </c>
      <c r="M397">
        <v>8</v>
      </c>
      <c r="N397">
        <v>4</v>
      </c>
      <c r="O397">
        <v>5</v>
      </c>
      <c r="P397" t="s">
        <v>25</v>
      </c>
      <c r="Q397" s="1">
        <v>2</v>
      </c>
      <c r="R397" s="2">
        <v>46174</v>
      </c>
      <c r="S397" s="2"/>
      <c r="T397" s="1" t="str">
        <f t="shared" si="18"/>
        <v>qui</v>
      </c>
      <c r="U397" s="1" t="str">
        <f t="shared" si="19"/>
        <v>dez</v>
      </c>
      <c r="V397">
        <f t="shared" si="20"/>
        <v>2018</v>
      </c>
      <c r="W397">
        <f>_xlfn.XLOOKUP(A397,Absenteismo!A:A,Absenteismo!A:A,0)</f>
        <v>0</v>
      </c>
    </row>
    <row r="398" spans="1:23" x14ac:dyDescent="0.3">
      <c r="A398">
        <v>1135</v>
      </c>
      <c r="B398">
        <v>30</v>
      </c>
      <c r="C398" t="s">
        <v>15</v>
      </c>
      <c r="D398" t="s">
        <v>16</v>
      </c>
      <c r="E398" t="s">
        <v>17</v>
      </c>
      <c r="F398" t="s">
        <v>18</v>
      </c>
      <c r="G398">
        <v>66</v>
      </c>
      <c r="H398">
        <v>6062</v>
      </c>
      <c r="I398" t="s">
        <v>28</v>
      </c>
      <c r="J398" s="2">
        <v>44195</v>
      </c>
      <c r="K398">
        <v>31</v>
      </c>
      <c r="L398" t="s">
        <v>20</v>
      </c>
      <c r="M398">
        <v>12</v>
      </c>
      <c r="N398">
        <v>4</v>
      </c>
      <c r="O398">
        <v>4</v>
      </c>
      <c r="P398" t="s">
        <v>25</v>
      </c>
      <c r="Q398" s="1">
        <v>3</v>
      </c>
      <c r="R398" s="2">
        <v>46174</v>
      </c>
      <c r="S398" s="2"/>
      <c r="T398" s="1" t="str">
        <f t="shared" si="18"/>
        <v>qua</v>
      </c>
      <c r="U398" s="1" t="str">
        <f t="shared" si="19"/>
        <v>dez</v>
      </c>
      <c r="V398">
        <f t="shared" si="20"/>
        <v>2020</v>
      </c>
      <c r="W398">
        <f>_xlfn.XLOOKUP(A398,Absenteismo!A:A,Absenteismo!A:A,0)</f>
        <v>0</v>
      </c>
    </row>
    <row r="399" spans="1:23" x14ac:dyDescent="0.3">
      <c r="A399">
        <v>1169</v>
      </c>
      <c r="B399">
        <v>30</v>
      </c>
      <c r="C399" t="s">
        <v>26</v>
      </c>
      <c r="D399" t="s">
        <v>16</v>
      </c>
      <c r="E399" t="s">
        <v>17</v>
      </c>
      <c r="F399" t="s">
        <v>21</v>
      </c>
      <c r="G399">
        <v>8</v>
      </c>
      <c r="H399">
        <v>3532</v>
      </c>
      <c r="I399" t="s">
        <v>28</v>
      </c>
      <c r="J399" s="2">
        <v>45745</v>
      </c>
      <c r="K399">
        <v>15</v>
      </c>
      <c r="L399" t="s">
        <v>20</v>
      </c>
      <c r="M399">
        <v>2</v>
      </c>
      <c r="N399">
        <v>2</v>
      </c>
      <c r="O399">
        <v>5</v>
      </c>
      <c r="P399" t="s">
        <v>25</v>
      </c>
      <c r="Q399" s="1">
        <v>2</v>
      </c>
      <c r="R399" s="2">
        <v>46174</v>
      </c>
      <c r="S399" s="2"/>
      <c r="T399" s="1" t="str">
        <f t="shared" si="18"/>
        <v>sáb</v>
      </c>
      <c r="U399" s="1" t="str">
        <f t="shared" si="19"/>
        <v>mar</v>
      </c>
      <c r="V399">
        <f t="shared" si="20"/>
        <v>2025</v>
      </c>
      <c r="W399">
        <f>_xlfn.XLOOKUP(A399,Absenteismo!A:A,Absenteismo!A:A,0)</f>
        <v>0</v>
      </c>
    </row>
    <row r="400" spans="1:23" hidden="1" x14ac:dyDescent="0.3">
      <c r="A400">
        <v>1191</v>
      </c>
      <c r="B400">
        <v>30</v>
      </c>
      <c r="C400" t="s">
        <v>15</v>
      </c>
      <c r="D400" t="s">
        <v>27</v>
      </c>
      <c r="E400" t="s">
        <v>17</v>
      </c>
      <c r="F400" t="s">
        <v>18</v>
      </c>
      <c r="G400">
        <v>118</v>
      </c>
      <c r="H400">
        <v>4787</v>
      </c>
      <c r="I400" t="s">
        <v>28</v>
      </c>
      <c r="J400" s="2">
        <v>42384</v>
      </c>
      <c r="K400">
        <v>46</v>
      </c>
      <c r="L400" t="s">
        <v>20</v>
      </c>
      <c r="M400">
        <v>15</v>
      </c>
      <c r="N400">
        <v>8</v>
      </c>
      <c r="O400">
        <v>4</v>
      </c>
      <c r="P400" t="s">
        <v>25</v>
      </c>
      <c r="Q400" s="1">
        <v>3</v>
      </c>
      <c r="R400" s="2">
        <v>46174</v>
      </c>
      <c r="S400" s="2"/>
      <c r="T400" s="1" t="str">
        <f t="shared" si="18"/>
        <v>sex</v>
      </c>
      <c r="U400" s="1" t="str">
        <f t="shared" si="19"/>
        <v>jan</v>
      </c>
      <c r="V400">
        <f t="shared" si="20"/>
        <v>2016</v>
      </c>
      <c r="W400">
        <f>_xlfn.XLOOKUP(A400,Absenteismo!A:A,Absenteismo!A:A,0)</f>
        <v>1191</v>
      </c>
    </row>
    <row r="401" spans="1:23" x14ac:dyDescent="0.3">
      <c r="A401">
        <v>1194</v>
      </c>
      <c r="B401">
        <v>30</v>
      </c>
      <c r="C401" t="s">
        <v>26</v>
      </c>
      <c r="D401" t="s">
        <v>16</v>
      </c>
      <c r="E401" t="s">
        <v>17</v>
      </c>
      <c r="F401" t="s">
        <v>21</v>
      </c>
      <c r="G401">
        <v>107</v>
      </c>
      <c r="H401">
        <v>4813</v>
      </c>
      <c r="I401" t="s">
        <v>33</v>
      </c>
      <c r="J401" s="2">
        <v>42767</v>
      </c>
      <c r="K401">
        <v>36</v>
      </c>
      <c r="L401" t="s">
        <v>20</v>
      </c>
      <c r="M401">
        <v>21</v>
      </c>
      <c r="N401">
        <v>4</v>
      </c>
      <c r="O401">
        <v>5</v>
      </c>
      <c r="P401" t="s">
        <v>25</v>
      </c>
      <c r="Q401" s="1">
        <v>2</v>
      </c>
      <c r="R401" s="2">
        <v>46174</v>
      </c>
      <c r="S401" s="2"/>
      <c r="T401" s="1" t="str">
        <f t="shared" si="18"/>
        <v>qua</v>
      </c>
      <c r="U401" s="1" t="str">
        <f t="shared" si="19"/>
        <v>fev</v>
      </c>
      <c r="V401">
        <f t="shared" si="20"/>
        <v>2017</v>
      </c>
      <c r="W401">
        <f>_xlfn.XLOOKUP(A401,Absenteismo!A:A,Absenteismo!A:A,0)</f>
        <v>0</v>
      </c>
    </row>
    <row r="402" spans="1:23" hidden="1" x14ac:dyDescent="0.3">
      <c r="A402">
        <v>1256</v>
      </c>
      <c r="B402">
        <v>30</v>
      </c>
      <c r="C402" t="s">
        <v>15</v>
      </c>
      <c r="D402" t="s">
        <v>16</v>
      </c>
      <c r="E402" t="s">
        <v>17</v>
      </c>
      <c r="F402" t="s">
        <v>18</v>
      </c>
      <c r="G402">
        <v>4</v>
      </c>
      <c r="H402">
        <v>4708</v>
      </c>
      <c r="I402" t="s">
        <v>28</v>
      </c>
      <c r="J402" s="2">
        <v>46028</v>
      </c>
      <c r="K402">
        <v>23</v>
      </c>
      <c r="L402" t="s">
        <v>20</v>
      </c>
      <c r="M402">
        <v>0</v>
      </c>
      <c r="N402">
        <v>5</v>
      </c>
      <c r="O402">
        <v>2</v>
      </c>
      <c r="P402" t="s">
        <v>25</v>
      </c>
      <c r="Q402" s="1">
        <v>2</v>
      </c>
      <c r="R402" s="2">
        <v>46174</v>
      </c>
      <c r="S402" s="2"/>
      <c r="T402" s="1" t="str">
        <f t="shared" si="18"/>
        <v>ter</v>
      </c>
      <c r="U402" s="1" t="str">
        <f t="shared" si="19"/>
        <v>jan</v>
      </c>
      <c r="V402">
        <f t="shared" si="20"/>
        <v>2026</v>
      </c>
      <c r="W402">
        <f>_xlfn.XLOOKUP(A402,Absenteismo!A:A,Absenteismo!A:A,0)</f>
        <v>1256</v>
      </c>
    </row>
    <row r="403" spans="1:23" hidden="1" x14ac:dyDescent="0.3">
      <c r="A403">
        <v>1371</v>
      </c>
      <c r="B403">
        <v>30</v>
      </c>
      <c r="C403" t="s">
        <v>26</v>
      </c>
      <c r="D403" t="s">
        <v>27</v>
      </c>
      <c r="E403" t="s">
        <v>17</v>
      </c>
      <c r="F403" t="s">
        <v>18</v>
      </c>
      <c r="G403">
        <v>81</v>
      </c>
      <c r="H403">
        <v>6421</v>
      </c>
      <c r="I403" t="s">
        <v>30</v>
      </c>
      <c r="J403" s="2">
        <v>43369</v>
      </c>
      <c r="K403">
        <v>14</v>
      </c>
      <c r="L403" t="s">
        <v>20</v>
      </c>
      <c r="M403">
        <v>8</v>
      </c>
      <c r="N403">
        <v>4</v>
      </c>
      <c r="O403">
        <v>5</v>
      </c>
      <c r="P403" t="s">
        <v>25</v>
      </c>
      <c r="Q403" s="1">
        <v>1</v>
      </c>
      <c r="R403" s="2">
        <v>46174</v>
      </c>
      <c r="S403" s="2"/>
      <c r="T403" s="1" t="str">
        <f t="shared" si="18"/>
        <v>qua</v>
      </c>
      <c r="U403" s="1" t="str">
        <f t="shared" si="19"/>
        <v>set</v>
      </c>
      <c r="V403">
        <f t="shared" si="20"/>
        <v>2018</v>
      </c>
      <c r="W403">
        <f>_xlfn.XLOOKUP(A403,Absenteismo!A:A,Absenteismo!A:A,0)</f>
        <v>1371</v>
      </c>
    </row>
    <row r="404" spans="1:23" hidden="1" x14ac:dyDescent="0.3">
      <c r="A404">
        <v>1435</v>
      </c>
      <c r="B404">
        <v>30</v>
      </c>
      <c r="C404" t="s">
        <v>15</v>
      </c>
      <c r="D404" t="s">
        <v>16</v>
      </c>
      <c r="E404" t="s">
        <v>17</v>
      </c>
      <c r="F404" t="s">
        <v>18</v>
      </c>
      <c r="G404">
        <v>66</v>
      </c>
      <c r="H404">
        <v>6062</v>
      </c>
      <c r="I404" t="s">
        <v>28</v>
      </c>
      <c r="J404" s="2">
        <v>44117</v>
      </c>
      <c r="K404">
        <v>31</v>
      </c>
      <c r="L404" t="s">
        <v>20</v>
      </c>
      <c r="M404">
        <v>12</v>
      </c>
      <c r="N404">
        <v>4</v>
      </c>
      <c r="O404">
        <v>4</v>
      </c>
      <c r="P404" t="s">
        <v>25</v>
      </c>
      <c r="Q404" s="1">
        <v>1</v>
      </c>
      <c r="R404" s="2">
        <v>46174</v>
      </c>
      <c r="S404" s="2"/>
      <c r="T404" s="1" t="str">
        <f t="shared" si="18"/>
        <v>ter</v>
      </c>
      <c r="U404" s="1" t="str">
        <f t="shared" si="19"/>
        <v>out</v>
      </c>
      <c r="V404">
        <f t="shared" si="20"/>
        <v>2020</v>
      </c>
      <c r="W404">
        <f>_xlfn.XLOOKUP(A404,Absenteismo!A:A,Absenteismo!A:A,0)</f>
        <v>1435</v>
      </c>
    </row>
    <row r="405" spans="1:23" hidden="1" x14ac:dyDescent="0.3">
      <c r="A405">
        <v>1469</v>
      </c>
      <c r="B405">
        <v>30</v>
      </c>
      <c r="C405" t="s">
        <v>26</v>
      </c>
      <c r="D405" t="s">
        <v>16</v>
      </c>
      <c r="E405" t="s">
        <v>17</v>
      </c>
      <c r="F405" t="s">
        <v>21</v>
      </c>
      <c r="G405">
        <v>8</v>
      </c>
      <c r="H405">
        <v>3532</v>
      </c>
      <c r="I405" t="s">
        <v>28</v>
      </c>
      <c r="J405" s="2">
        <v>45685</v>
      </c>
      <c r="K405">
        <v>15</v>
      </c>
      <c r="L405" t="s">
        <v>20</v>
      </c>
      <c r="M405">
        <v>2</v>
      </c>
      <c r="N405">
        <v>2</v>
      </c>
      <c r="O405">
        <v>5</v>
      </c>
      <c r="P405" t="s">
        <v>25</v>
      </c>
      <c r="Q405" s="1">
        <v>1</v>
      </c>
      <c r="R405" s="2">
        <v>46174</v>
      </c>
      <c r="S405" s="2"/>
      <c r="T405" s="1" t="str">
        <f t="shared" si="18"/>
        <v>ter</v>
      </c>
      <c r="U405" s="1" t="str">
        <f t="shared" si="19"/>
        <v>jan</v>
      </c>
      <c r="V405">
        <f t="shared" si="20"/>
        <v>2025</v>
      </c>
      <c r="W405">
        <f>_xlfn.XLOOKUP(A405,Absenteismo!A:A,Absenteismo!A:A,0)</f>
        <v>1469</v>
      </c>
    </row>
    <row r="406" spans="1:23" hidden="1" x14ac:dyDescent="0.3">
      <c r="A406">
        <v>1491</v>
      </c>
      <c r="B406">
        <v>30</v>
      </c>
      <c r="C406" t="s">
        <v>15</v>
      </c>
      <c r="D406" t="s">
        <v>27</v>
      </c>
      <c r="E406" t="s">
        <v>17</v>
      </c>
      <c r="F406" t="s">
        <v>18</v>
      </c>
      <c r="G406">
        <v>118</v>
      </c>
      <c r="H406">
        <v>4787</v>
      </c>
      <c r="I406" t="s">
        <v>28</v>
      </c>
      <c r="J406" s="2">
        <v>42251</v>
      </c>
      <c r="K406">
        <v>46</v>
      </c>
      <c r="L406" t="s">
        <v>20</v>
      </c>
      <c r="M406">
        <v>15</v>
      </c>
      <c r="N406">
        <v>8</v>
      </c>
      <c r="O406">
        <v>4</v>
      </c>
      <c r="P406" t="s">
        <v>25</v>
      </c>
      <c r="Q406" s="1">
        <v>3</v>
      </c>
      <c r="R406" s="2">
        <v>46174</v>
      </c>
      <c r="S406" s="2"/>
      <c r="T406" s="1" t="str">
        <f t="shared" si="18"/>
        <v>sex</v>
      </c>
      <c r="U406" s="1" t="str">
        <f t="shared" si="19"/>
        <v>set</v>
      </c>
      <c r="V406">
        <f t="shared" si="20"/>
        <v>2015</v>
      </c>
      <c r="W406">
        <f>_xlfn.XLOOKUP(A406,Absenteismo!A:A,Absenteismo!A:A,0)</f>
        <v>1491</v>
      </c>
    </row>
    <row r="407" spans="1:23" hidden="1" x14ac:dyDescent="0.3">
      <c r="A407">
        <v>1494</v>
      </c>
      <c r="B407">
        <v>30</v>
      </c>
      <c r="C407" t="s">
        <v>26</v>
      </c>
      <c r="D407" t="s">
        <v>16</v>
      </c>
      <c r="E407" t="s">
        <v>17</v>
      </c>
      <c r="F407" t="s">
        <v>21</v>
      </c>
      <c r="G407">
        <v>107</v>
      </c>
      <c r="H407">
        <v>4813</v>
      </c>
      <c r="I407" t="s">
        <v>33</v>
      </c>
      <c r="J407" s="2">
        <v>42753</v>
      </c>
      <c r="K407">
        <v>36</v>
      </c>
      <c r="L407" t="s">
        <v>20</v>
      </c>
      <c r="M407">
        <v>21</v>
      </c>
      <c r="N407">
        <v>4</v>
      </c>
      <c r="O407">
        <v>5</v>
      </c>
      <c r="P407" t="s">
        <v>25</v>
      </c>
      <c r="Q407" s="1">
        <v>1</v>
      </c>
      <c r="R407" s="2">
        <v>46174</v>
      </c>
      <c r="S407" s="2"/>
      <c r="T407" s="1" t="str">
        <f t="shared" si="18"/>
        <v>qua</v>
      </c>
      <c r="U407" s="1" t="str">
        <f t="shared" si="19"/>
        <v>jan</v>
      </c>
      <c r="V407">
        <f t="shared" si="20"/>
        <v>2017</v>
      </c>
      <c r="W407">
        <f>_xlfn.XLOOKUP(A407,Absenteismo!A:A,Absenteismo!A:A,0)</f>
        <v>1494</v>
      </c>
    </row>
    <row r="408" spans="1:23" hidden="1" x14ac:dyDescent="0.3">
      <c r="A408">
        <v>1556</v>
      </c>
      <c r="B408">
        <v>30</v>
      </c>
      <c r="C408" t="s">
        <v>15</v>
      </c>
      <c r="D408" t="s">
        <v>16</v>
      </c>
      <c r="E408" t="s">
        <v>17</v>
      </c>
      <c r="F408" t="s">
        <v>18</v>
      </c>
      <c r="G408">
        <v>4</v>
      </c>
      <c r="H408">
        <v>4708</v>
      </c>
      <c r="I408" t="s">
        <v>28</v>
      </c>
      <c r="J408" s="2">
        <v>45914</v>
      </c>
      <c r="K408">
        <v>23</v>
      </c>
      <c r="L408" t="s">
        <v>20</v>
      </c>
      <c r="M408">
        <v>0</v>
      </c>
      <c r="N408">
        <v>5</v>
      </c>
      <c r="O408">
        <v>2</v>
      </c>
      <c r="P408" t="s">
        <v>25</v>
      </c>
      <c r="Q408" s="1">
        <v>3</v>
      </c>
      <c r="R408" s="2">
        <v>46174</v>
      </c>
      <c r="S408" s="2"/>
      <c r="T408" s="1" t="str">
        <f t="shared" si="18"/>
        <v>dom</v>
      </c>
      <c r="U408" s="1" t="str">
        <f t="shared" si="19"/>
        <v>set</v>
      </c>
      <c r="V408">
        <f t="shared" si="20"/>
        <v>2025</v>
      </c>
      <c r="W408">
        <f>_xlfn.XLOOKUP(A408,Absenteismo!A:A,Absenteismo!A:A,0)</f>
        <v>1556</v>
      </c>
    </row>
    <row r="409" spans="1:23" x14ac:dyDescent="0.3">
      <c r="A409">
        <v>1671</v>
      </c>
      <c r="B409">
        <v>30</v>
      </c>
      <c r="C409" t="s">
        <v>26</v>
      </c>
      <c r="D409" t="s">
        <v>27</v>
      </c>
      <c r="E409" t="s">
        <v>17</v>
      </c>
      <c r="F409" t="s">
        <v>18</v>
      </c>
      <c r="G409">
        <v>81</v>
      </c>
      <c r="H409">
        <v>6421</v>
      </c>
      <c r="I409" t="s">
        <v>30</v>
      </c>
      <c r="J409" s="2">
        <v>43526</v>
      </c>
      <c r="K409">
        <v>14</v>
      </c>
      <c r="L409" t="s">
        <v>20</v>
      </c>
      <c r="M409">
        <v>8</v>
      </c>
      <c r="N409">
        <v>4</v>
      </c>
      <c r="O409">
        <v>5</v>
      </c>
      <c r="P409" t="s">
        <v>25</v>
      </c>
      <c r="Q409" s="1">
        <v>1</v>
      </c>
      <c r="R409" s="2">
        <v>46174</v>
      </c>
      <c r="S409" s="2"/>
      <c r="T409" s="1" t="str">
        <f t="shared" si="18"/>
        <v>sáb</v>
      </c>
      <c r="U409" s="1" t="str">
        <f t="shared" si="19"/>
        <v>mar</v>
      </c>
      <c r="V409">
        <f t="shared" si="20"/>
        <v>2019</v>
      </c>
      <c r="W409">
        <f>_xlfn.XLOOKUP(A409,Absenteismo!A:A,Absenteismo!A:A,0)</f>
        <v>0</v>
      </c>
    </row>
    <row r="410" spans="1:23" hidden="1" x14ac:dyDescent="0.3">
      <c r="A410">
        <v>1735</v>
      </c>
      <c r="B410">
        <v>30</v>
      </c>
      <c r="C410" t="s">
        <v>15</v>
      </c>
      <c r="D410" t="s">
        <v>16</v>
      </c>
      <c r="E410" t="s">
        <v>17</v>
      </c>
      <c r="F410" t="s">
        <v>18</v>
      </c>
      <c r="G410">
        <v>66</v>
      </c>
      <c r="H410">
        <v>6062</v>
      </c>
      <c r="I410" t="s">
        <v>28</v>
      </c>
      <c r="J410" s="2">
        <v>44114</v>
      </c>
      <c r="K410">
        <v>31</v>
      </c>
      <c r="L410" t="s">
        <v>20</v>
      </c>
      <c r="M410">
        <v>12</v>
      </c>
      <c r="N410">
        <v>4</v>
      </c>
      <c r="O410">
        <v>4</v>
      </c>
      <c r="P410" t="s">
        <v>25</v>
      </c>
      <c r="Q410" s="1">
        <v>2</v>
      </c>
      <c r="R410" s="2">
        <v>46174</v>
      </c>
      <c r="S410" s="2"/>
      <c r="T410" s="1" t="str">
        <f t="shared" si="18"/>
        <v>sáb</v>
      </c>
      <c r="U410" s="1" t="str">
        <f t="shared" si="19"/>
        <v>out</v>
      </c>
      <c r="V410">
        <f t="shared" si="20"/>
        <v>2020</v>
      </c>
      <c r="W410">
        <f>_xlfn.XLOOKUP(A410,Absenteismo!A:A,Absenteismo!A:A,0)</f>
        <v>1735</v>
      </c>
    </row>
    <row r="411" spans="1:23" hidden="1" x14ac:dyDescent="0.3">
      <c r="A411">
        <v>1769</v>
      </c>
      <c r="B411">
        <v>30</v>
      </c>
      <c r="C411" t="s">
        <v>26</v>
      </c>
      <c r="D411" t="s">
        <v>16</v>
      </c>
      <c r="E411" t="s">
        <v>17</v>
      </c>
      <c r="F411" t="s">
        <v>21</v>
      </c>
      <c r="G411">
        <v>8</v>
      </c>
      <c r="H411">
        <v>3532</v>
      </c>
      <c r="I411" t="s">
        <v>28</v>
      </c>
      <c r="J411" s="2">
        <v>45943</v>
      </c>
      <c r="K411">
        <v>15</v>
      </c>
      <c r="L411" t="s">
        <v>20</v>
      </c>
      <c r="M411">
        <v>2</v>
      </c>
      <c r="N411">
        <v>2</v>
      </c>
      <c r="O411">
        <v>5</v>
      </c>
      <c r="P411" t="s">
        <v>25</v>
      </c>
      <c r="Q411" s="1">
        <v>2</v>
      </c>
      <c r="R411" s="2">
        <v>46174</v>
      </c>
      <c r="S411" s="2"/>
      <c r="T411" s="1" t="str">
        <f t="shared" si="18"/>
        <v>seg</v>
      </c>
      <c r="U411" s="1" t="str">
        <f t="shared" si="19"/>
        <v>out</v>
      </c>
      <c r="V411">
        <f t="shared" si="20"/>
        <v>2025</v>
      </c>
      <c r="W411">
        <f>_xlfn.XLOOKUP(A411,Absenteismo!A:A,Absenteismo!A:A,0)</f>
        <v>1769</v>
      </c>
    </row>
    <row r="412" spans="1:23" hidden="1" x14ac:dyDescent="0.3">
      <c r="A412">
        <v>1791</v>
      </c>
      <c r="B412">
        <v>30</v>
      </c>
      <c r="C412" t="s">
        <v>15</v>
      </c>
      <c r="D412" t="s">
        <v>27</v>
      </c>
      <c r="E412" t="s">
        <v>17</v>
      </c>
      <c r="F412" t="s">
        <v>18</v>
      </c>
      <c r="G412">
        <v>118</v>
      </c>
      <c r="H412">
        <v>4787</v>
      </c>
      <c r="I412" t="s">
        <v>28</v>
      </c>
      <c r="J412" s="2">
        <v>42419</v>
      </c>
      <c r="K412">
        <v>46</v>
      </c>
      <c r="L412" t="s">
        <v>20</v>
      </c>
      <c r="M412">
        <v>15</v>
      </c>
      <c r="N412">
        <v>8</v>
      </c>
      <c r="O412">
        <v>4</v>
      </c>
      <c r="P412" t="s">
        <v>25</v>
      </c>
      <c r="Q412" s="1">
        <v>2</v>
      </c>
      <c r="R412" s="2">
        <v>46174</v>
      </c>
      <c r="S412" s="2"/>
      <c r="T412" s="1" t="str">
        <f t="shared" si="18"/>
        <v>sex</v>
      </c>
      <c r="U412" s="1" t="str">
        <f t="shared" si="19"/>
        <v>fev</v>
      </c>
      <c r="V412">
        <f t="shared" si="20"/>
        <v>2016</v>
      </c>
      <c r="W412">
        <f>_xlfn.XLOOKUP(A412,Absenteismo!A:A,Absenteismo!A:A,0)</f>
        <v>1791</v>
      </c>
    </row>
    <row r="413" spans="1:23" hidden="1" x14ac:dyDescent="0.3">
      <c r="A413">
        <v>1794</v>
      </c>
      <c r="B413">
        <v>30</v>
      </c>
      <c r="C413" t="s">
        <v>26</v>
      </c>
      <c r="D413" t="s">
        <v>16</v>
      </c>
      <c r="E413" t="s">
        <v>17</v>
      </c>
      <c r="F413" t="s">
        <v>21</v>
      </c>
      <c r="G413">
        <v>107</v>
      </c>
      <c r="H413">
        <v>4813</v>
      </c>
      <c r="I413" t="s">
        <v>33</v>
      </c>
      <c r="J413" s="2">
        <v>42741</v>
      </c>
      <c r="K413">
        <v>36</v>
      </c>
      <c r="L413" t="s">
        <v>20</v>
      </c>
      <c r="M413">
        <v>21</v>
      </c>
      <c r="N413">
        <v>4</v>
      </c>
      <c r="O413">
        <v>5</v>
      </c>
      <c r="P413" t="s">
        <v>25</v>
      </c>
      <c r="Q413" s="1">
        <v>3</v>
      </c>
      <c r="R413" s="2">
        <v>46174</v>
      </c>
      <c r="S413" s="2"/>
      <c r="T413" s="1" t="str">
        <f t="shared" si="18"/>
        <v>sex</v>
      </c>
      <c r="U413" s="1" t="str">
        <f t="shared" si="19"/>
        <v>jan</v>
      </c>
      <c r="V413">
        <f t="shared" si="20"/>
        <v>2017</v>
      </c>
      <c r="W413">
        <f>_xlfn.XLOOKUP(A413,Absenteismo!A:A,Absenteismo!A:A,0)</f>
        <v>1794</v>
      </c>
    </row>
    <row r="414" spans="1:23" hidden="1" x14ac:dyDescent="0.3">
      <c r="A414">
        <v>1856</v>
      </c>
      <c r="B414">
        <v>30</v>
      </c>
      <c r="C414" t="s">
        <v>15</v>
      </c>
      <c r="D414" t="s">
        <v>16</v>
      </c>
      <c r="E414" t="s">
        <v>17</v>
      </c>
      <c r="F414" t="s">
        <v>18</v>
      </c>
      <c r="G414">
        <v>4</v>
      </c>
      <c r="H414">
        <v>4708</v>
      </c>
      <c r="I414" t="s">
        <v>28</v>
      </c>
      <c r="J414" s="2">
        <v>45787</v>
      </c>
      <c r="K414">
        <v>23</v>
      </c>
      <c r="L414" t="s">
        <v>20</v>
      </c>
      <c r="M414">
        <v>0</v>
      </c>
      <c r="N414">
        <v>5</v>
      </c>
      <c r="O414">
        <v>2</v>
      </c>
      <c r="P414" t="s">
        <v>25</v>
      </c>
      <c r="Q414" s="1">
        <v>1</v>
      </c>
      <c r="R414" s="2">
        <v>46174</v>
      </c>
      <c r="S414" s="2"/>
      <c r="T414" s="1" t="str">
        <f t="shared" si="18"/>
        <v>sáb</v>
      </c>
      <c r="U414" s="1" t="str">
        <f t="shared" si="19"/>
        <v>mai</v>
      </c>
      <c r="V414">
        <f t="shared" si="20"/>
        <v>2025</v>
      </c>
      <c r="W414">
        <f>_xlfn.XLOOKUP(A414,Absenteismo!A:A,Absenteismo!A:A,0)</f>
        <v>1856</v>
      </c>
    </row>
    <row r="415" spans="1:23" hidden="1" x14ac:dyDescent="0.3">
      <c r="A415">
        <v>1971</v>
      </c>
      <c r="B415">
        <v>30</v>
      </c>
      <c r="C415" t="s">
        <v>26</v>
      </c>
      <c r="D415" t="s">
        <v>27</v>
      </c>
      <c r="E415" t="s">
        <v>17</v>
      </c>
      <c r="F415" t="s">
        <v>18</v>
      </c>
      <c r="G415">
        <v>81</v>
      </c>
      <c r="H415">
        <v>6421</v>
      </c>
      <c r="I415" t="s">
        <v>30</v>
      </c>
      <c r="J415" s="2">
        <v>43675</v>
      </c>
      <c r="K415">
        <v>14</v>
      </c>
      <c r="L415" t="s">
        <v>20</v>
      </c>
      <c r="M415">
        <v>8</v>
      </c>
      <c r="N415">
        <v>4</v>
      </c>
      <c r="O415">
        <v>5</v>
      </c>
      <c r="P415" t="s">
        <v>25</v>
      </c>
      <c r="Q415" s="1">
        <v>2</v>
      </c>
      <c r="R415" s="2">
        <v>46174</v>
      </c>
      <c r="S415" s="2"/>
      <c r="T415" s="1" t="str">
        <f t="shared" si="18"/>
        <v>seg</v>
      </c>
      <c r="U415" s="1" t="str">
        <f t="shared" si="19"/>
        <v>jul</v>
      </c>
      <c r="V415">
        <f t="shared" si="20"/>
        <v>2019</v>
      </c>
      <c r="W415">
        <f>_xlfn.XLOOKUP(A415,Absenteismo!A:A,Absenteismo!A:A,0)</f>
        <v>1971</v>
      </c>
    </row>
    <row r="416" spans="1:23" hidden="1" x14ac:dyDescent="0.3">
      <c r="A416">
        <v>2035</v>
      </c>
      <c r="B416">
        <v>30</v>
      </c>
      <c r="C416" t="s">
        <v>15</v>
      </c>
      <c r="D416" t="s">
        <v>16</v>
      </c>
      <c r="E416" t="s">
        <v>17</v>
      </c>
      <c r="F416" t="s">
        <v>18</v>
      </c>
      <c r="G416">
        <v>66</v>
      </c>
      <c r="H416">
        <v>6062</v>
      </c>
      <c r="I416" t="s">
        <v>28</v>
      </c>
      <c r="J416" s="2">
        <v>43882</v>
      </c>
      <c r="K416">
        <v>31</v>
      </c>
      <c r="L416" t="s">
        <v>20</v>
      </c>
      <c r="M416">
        <v>12</v>
      </c>
      <c r="N416">
        <v>4</v>
      </c>
      <c r="O416">
        <v>4</v>
      </c>
      <c r="P416" t="s">
        <v>25</v>
      </c>
      <c r="Q416" s="1">
        <v>3</v>
      </c>
      <c r="R416" s="2">
        <v>46174</v>
      </c>
      <c r="S416" s="2"/>
      <c r="T416" s="1" t="str">
        <f t="shared" si="18"/>
        <v>sex</v>
      </c>
      <c r="U416" s="1" t="str">
        <f t="shared" si="19"/>
        <v>fev</v>
      </c>
      <c r="V416">
        <f t="shared" si="20"/>
        <v>2020</v>
      </c>
      <c r="W416">
        <f>_xlfn.XLOOKUP(A416,Absenteismo!A:A,Absenteismo!A:A,0)</f>
        <v>2035</v>
      </c>
    </row>
    <row r="417" spans="1:23" hidden="1" x14ac:dyDescent="0.3">
      <c r="A417">
        <v>2069</v>
      </c>
      <c r="B417">
        <v>30</v>
      </c>
      <c r="C417" t="s">
        <v>26</v>
      </c>
      <c r="D417" t="s">
        <v>16</v>
      </c>
      <c r="E417" t="s">
        <v>17</v>
      </c>
      <c r="F417" t="s">
        <v>21</v>
      </c>
      <c r="G417">
        <v>8</v>
      </c>
      <c r="H417">
        <v>3532</v>
      </c>
      <c r="I417" t="s">
        <v>28</v>
      </c>
      <c r="J417" s="2">
        <v>45847</v>
      </c>
      <c r="K417">
        <v>15</v>
      </c>
      <c r="L417" t="s">
        <v>20</v>
      </c>
      <c r="M417">
        <v>2</v>
      </c>
      <c r="N417">
        <v>2</v>
      </c>
      <c r="O417">
        <v>5</v>
      </c>
      <c r="P417" t="s">
        <v>25</v>
      </c>
      <c r="Q417" s="1">
        <v>2</v>
      </c>
      <c r="R417" s="2">
        <v>46174</v>
      </c>
      <c r="S417" s="2"/>
      <c r="T417" s="1" t="str">
        <f t="shared" si="18"/>
        <v>qua</v>
      </c>
      <c r="U417" s="1" t="str">
        <f t="shared" si="19"/>
        <v>jul</v>
      </c>
      <c r="V417">
        <f t="shared" si="20"/>
        <v>2025</v>
      </c>
      <c r="W417">
        <f>_xlfn.XLOOKUP(A417,Absenteismo!A:A,Absenteismo!A:A,0)</f>
        <v>2069</v>
      </c>
    </row>
    <row r="418" spans="1:23" hidden="1" x14ac:dyDescent="0.3">
      <c r="A418">
        <v>2091</v>
      </c>
      <c r="B418">
        <v>30</v>
      </c>
      <c r="C418" t="s">
        <v>15</v>
      </c>
      <c r="D418" t="s">
        <v>27</v>
      </c>
      <c r="E418" t="s">
        <v>17</v>
      </c>
      <c r="F418" t="s">
        <v>18</v>
      </c>
      <c r="G418">
        <v>118</v>
      </c>
      <c r="H418">
        <v>4787</v>
      </c>
      <c r="I418" t="s">
        <v>28</v>
      </c>
      <c r="J418" s="2">
        <v>42203</v>
      </c>
      <c r="K418">
        <v>46</v>
      </c>
      <c r="L418" t="s">
        <v>20</v>
      </c>
      <c r="M418">
        <v>15</v>
      </c>
      <c r="N418">
        <v>8</v>
      </c>
      <c r="O418">
        <v>4</v>
      </c>
      <c r="P418" t="s">
        <v>25</v>
      </c>
      <c r="Q418" s="1">
        <v>2</v>
      </c>
      <c r="R418" s="2">
        <v>46174</v>
      </c>
      <c r="S418" s="2"/>
      <c r="T418" s="1" t="str">
        <f t="shared" si="18"/>
        <v>sáb</v>
      </c>
      <c r="U418" s="1" t="str">
        <f t="shared" si="19"/>
        <v>jul</v>
      </c>
      <c r="V418">
        <f t="shared" si="20"/>
        <v>2015</v>
      </c>
      <c r="W418">
        <f>_xlfn.XLOOKUP(A418,Absenteismo!A:A,Absenteismo!A:A,0)</f>
        <v>2091</v>
      </c>
    </row>
    <row r="419" spans="1:23" hidden="1" x14ac:dyDescent="0.3">
      <c r="A419">
        <v>2094</v>
      </c>
      <c r="B419">
        <v>30</v>
      </c>
      <c r="C419" t="s">
        <v>26</v>
      </c>
      <c r="D419" t="s">
        <v>16</v>
      </c>
      <c r="E419" t="s">
        <v>17</v>
      </c>
      <c r="F419" t="s">
        <v>21</v>
      </c>
      <c r="G419">
        <v>107</v>
      </c>
      <c r="H419">
        <v>4813</v>
      </c>
      <c r="I419" t="s">
        <v>33</v>
      </c>
      <c r="J419" s="2">
        <v>42769</v>
      </c>
      <c r="K419">
        <v>36</v>
      </c>
      <c r="L419" t="s">
        <v>20</v>
      </c>
      <c r="M419">
        <v>21</v>
      </c>
      <c r="N419">
        <v>4</v>
      </c>
      <c r="O419">
        <v>5</v>
      </c>
      <c r="P419" t="s">
        <v>25</v>
      </c>
      <c r="Q419" s="1">
        <v>3</v>
      </c>
      <c r="R419" s="2">
        <v>46174</v>
      </c>
      <c r="S419" s="2"/>
      <c r="T419" s="1" t="str">
        <f t="shared" si="18"/>
        <v>sex</v>
      </c>
      <c r="U419" s="1" t="str">
        <f t="shared" si="19"/>
        <v>fev</v>
      </c>
      <c r="V419">
        <f t="shared" si="20"/>
        <v>2017</v>
      </c>
      <c r="W419">
        <f>_xlfn.XLOOKUP(A419,Absenteismo!A:A,Absenteismo!A:A,0)</f>
        <v>2094</v>
      </c>
    </row>
    <row r="420" spans="1:23" hidden="1" x14ac:dyDescent="0.3">
      <c r="A420">
        <v>2156</v>
      </c>
      <c r="B420">
        <v>30</v>
      </c>
      <c r="C420" t="s">
        <v>15</v>
      </c>
      <c r="D420" t="s">
        <v>16</v>
      </c>
      <c r="E420" t="s">
        <v>17</v>
      </c>
      <c r="F420" t="s">
        <v>18</v>
      </c>
      <c r="G420">
        <v>4</v>
      </c>
      <c r="H420">
        <v>4708</v>
      </c>
      <c r="I420" t="s">
        <v>28</v>
      </c>
      <c r="J420" s="2">
        <v>45783</v>
      </c>
      <c r="K420">
        <v>23</v>
      </c>
      <c r="L420" t="s">
        <v>20</v>
      </c>
      <c r="M420">
        <v>0</v>
      </c>
      <c r="N420">
        <v>5</v>
      </c>
      <c r="O420">
        <v>2</v>
      </c>
      <c r="P420" t="s">
        <v>25</v>
      </c>
      <c r="Q420" s="1">
        <v>2</v>
      </c>
      <c r="R420" s="2">
        <v>46174</v>
      </c>
      <c r="S420" s="2"/>
      <c r="T420" s="1" t="str">
        <f t="shared" si="18"/>
        <v>ter</v>
      </c>
      <c r="U420" s="1" t="str">
        <f t="shared" si="19"/>
        <v>mai</v>
      </c>
      <c r="V420">
        <f t="shared" si="20"/>
        <v>2025</v>
      </c>
      <c r="W420">
        <f>_xlfn.XLOOKUP(A420,Absenteismo!A:A,Absenteismo!A:A,0)</f>
        <v>2156</v>
      </c>
    </row>
    <row r="421" spans="1:23" hidden="1" x14ac:dyDescent="0.3">
      <c r="A421">
        <v>1919</v>
      </c>
      <c r="B421">
        <v>30</v>
      </c>
      <c r="C421" t="s">
        <v>26</v>
      </c>
      <c r="D421" t="s">
        <v>16</v>
      </c>
      <c r="E421" t="s">
        <v>17</v>
      </c>
      <c r="F421" t="s">
        <v>23</v>
      </c>
      <c r="G421">
        <v>36</v>
      </c>
      <c r="H421">
        <v>6589</v>
      </c>
      <c r="I421" t="s">
        <v>19</v>
      </c>
      <c r="J421" s="2">
        <v>45093</v>
      </c>
      <c r="K421">
        <v>56</v>
      </c>
      <c r="L421" t="s">
        <v>25</v>
      </c>
      <c r="M421">
        <v>28</v>
      </c>
      <c r="N421">
        <v>12</v>
      </c>
      <c r="O421">
        <v>2</v>
      </c>
      <c r="P421" t="s">
        <v>25</v>
      </c>
      <c r="Q421" s="1">
        <v>3</v>
      </c>
      <c r="R421" s="2">
        <v>46174</v>
      </c>
      <c r="S421" s="2"/>
      <c r="T421" s="1" t="str">
        <f t="shared" si="18"/>
        <v>sex</v>
      </c>
      <c r="U421" s="1" t="str">
        <f t="shared" si="19"/>
        <v>jun</v>
      </c>
      <c r="V421">
        <f t="shared" si="20"/>
        <v>2023</v>
      </c>
      <c r="W421">
        <f>_xlfn.XLOOKUP(A421,Absenteismo!A:A,Absenteismo!A:A,0)</f>
        <v>1919</v>
      </c>
    </row>
    <row r="422" spans="1:23" x14ac:dyDescent="0.3">
      <c r="A422">
        <v>2058</v>
      </c>
      <c r="B422">
        <v>30</v>
      </c>
      <c r="C422" t="s">
        <v>26</v>
      </c>
      <c r="D422" t="s">
        <v>29</v>
      </c>
      <c r="E422" t="s">
        <v>17</v>
      </c>
      <c r="F422" t="s">
        <v>23</v>
      </c>
      <c r="G422">
        <v>5</v>
      </c>
      <c r="H422">
        <v>3922</v>
      </c>
      <c r="I422" t="s">
        <v>24</v>
      </c>
      <c r="J422" s="2">
        <v>45743</v>
      </c>
      <c r="K422">
        <v>42</v>
      </c>
      <c r="L422" t="s">
        <v>20</v>
      </c>
      <c r="M422">
        <v>29</v>
      </c>
      <c r="N422">
        <v>2</v>
      </c>
      <c r="O422">
        <v>3</v>
      </c>
      <c r="P422" t="s">
        <v>25</v>
      </c>
      <c r="Q422" s="1">
        <v>3</v>
      </c>
      <c r="R422" s="2">
        <v>46174</v>
      </c>
      <c r="S422" s="2"/>
      <c r="T422" s="1" t="str">
        <f t="shared" si="18"/>
        <v>qui</v>
      </c>
      <c r="U422" s="1" t="str">
        <f t="shared" si="19"/>
        <v>mar</v>
      </c>
      <c r="V422">
        <f t="shared" si="20"/>
        <v>2025</v>
      </c>
      <c r="W422">
        <f>_xlfn.XLOOKUP(A422,Absenteismo!A:A,Absenteismo!A:A,0)</f>
        <v>0</v>
      </c>
    </row>
    <row r="423" spans="1:23" x14ac:dyDescent="0.3">
      <c r="A423">
        <v>1248</v>
      </c>
      <c r="B423">
        <v>31</v>
      </c>
      <c r="C423" t="s">
        <v>15</v>
      </c>
      <c r="D423" t="s">
        <v>29</v>
      </c>
      <c r="E423" t="s">
        <v>17</v>
      </c>
      <c r="F423" t="s">
        <v>18</v>
      </c>
      <c r="G423">
        <v>76</v>
      </c>
      <c r="H423">
        <v>3341</v>
      </c>
      <c r="I423" t="s">
        <v>24</v>
      </c>
      <c r="J423" s="2">
        <v>43482</v>
      </c>
      <c r="K423">
        <v>55</v>
      </c>
      <c r="L423" t="s">
        <v>20</v>
      </c>
      <c r="M423">
        <v>15</v>
      </c>
      <c r="N423">
        <v>0</v>
      </c>
      <c r="O423">
        <v>3</v>
      </c>
      <c r="P423" t="s">
        <v>20</v>
      </c>
      <c r="Q423" s="1">
        <v>1</v>
      </c>
      <c r="R423" s="2">
        <v>46174</v>
      </c>
      <c r="S423" s="2">
        <v>45794</v>
      </c>
      <c r="T423" s="1" t="str">
        <f t="shared" si="18"/>
        <v>qui</v>
      </c>
      <c r="U423" s="1" t="str">
        <f t="shared" si="19"/>
        <v>jan</v>
      </c>
      <c r="V423">
        <f t="shared" si="20"/>
        <v>2019</v>
      </c>
      <c r="W423">
        <f>_xlfn.XLOOKUP(A423,Absenteismo!A:A,Absenteismo!A:A,0)</f>
        <v>0</v>
      </c>
    </row>
    <row r="424" spans="1:23" x14ac:dyDescent="0.3">
      <c r="A424">
        <v>1548</v>
      </c>
      <c r="B424">
        <v>31</v>
      </c>
      <c r="C424" t="s">
        <v>15</v>
      </c>
      <c r="D424" t="s">
        <v>29</v>
      </c>
      <c r="E424" t="s">
        <v>17</v>
      </c>
      <c r="F424" t="s">
        <v>18</v>
      </c>
      <c r="G424">
        <v>76</v>
      </c>
      <c r="H424">
        <v>3341</v>
      </c>
      <c r="I424" t="s">
        <v>24</v>
      </c>
      <c r="J424" s="2">
        <v>43518</v>
      </c>
      <c r="K424">
        <v>55</v>
      </c>
      <c r="L424" t="s">
        <v>20</v>
      </c>
      <c r="M424">
        <v>15</v>
      </c>
      <c r="N424">
        <v>0</v>
      </c>
      <c r="O424">
        <v>3</v>
      </c>
      <c r="P424" t="s">
        <v>20</v>
      </c>
      <c r="Q424" s="1">
        <v>2</v>
      </c>
      <c r="R424" s="2">
        <v>46174</v>
      </c>
      <c r="S424" s="2">
        <v>45830</v>
      </c>
      <c r="T424" s="1" t="str">
        <f t="shared" si="18"/>
        <v>sex</v>
      </c>
      <c r="U424" s="1" t="str">
        <f t="shared" si="19"/>
        <v>fev</v>
      </c>
      <c r="V424">
        <f t="shared" si="20"/>
        <v>2019</v>
      </c>
      <c r="W424">
        <f>_xlfn.XLOOKUP(A424,Absenteismo!A:A,Absenteismo!A:A,0)</f>
        <v>0</v>
      </c>
    </row>
    <row r="425" spans="1:23" hidden="1" x14ac:dyDescent="0.3">
      <c r="A425">
        <v>1617</v>
      </c>
      <c r="B425">
        <v>31</v>
      </c>
      <c r="C425" t="s">
        <v>15</v>
      </c>
      <c r="D425" t="s">
        <v>27</v>
      </c>
      <c r="E425" t="s">
        <v>17</v>
      </c>
      <c r="F425" t="s">
        <v>21</v>
      </c>
      <c r="G425">
        <v>74</v>
      </c>
      <c r="H425">
        <v>6672</v>
      </c>
      <c r="I425" t="s">
        <v>19</v>
      </c>
      <c r="J425" s="2">
        <v>43603</v>
      </c>
      <c r="K425">
        <v>55</v>
      </c>
      <c r="L425" t="s">
        <v>20</v>
      </c>
      <c r="M425">
        <v>26</v>
      </c>
      <c r="N425">
        <v>3</v>
      </c>
      <c r="O425">
        <v>2</v>
      </c>
      <c r="P425" t="s">
        <v>20</v>
      </c>
      <c r="Q425" s="1">
        <v>2</v>
      </c>
      <c r="R425" s="2">
        <v>46174</v>
      </c>
      <c r="S425" s="2">
        <v>45856</v>
      </c>
      <c r="T425" s="1" t="str">
        <f t="shared" si="18"/>
        <v>sáb</v>
      </c>
      <c r="U425" s="1" t="str">
        <f t="shared" si="19"/>
        <v>mai</v>
      </c>
      <c r="V425">
        <f t="shared" si="20"/>
        <v>2019</v>
      </c>
      <c r="W425">
        <f>_xlfn.XLOOKUP(A425,Absenteismo!A:A,Absenteismo!A:A,0)</f>
        <v>1617</v>
      </c>
    </row>
    <row r="426" spans="1:23" hidden="1" x14ac:dyDescent="0.3">
      <c r="A426">
        <v>1317</v>
      </c>
      <c r="B426">
        <v>31</v>
      </c>
      <c r="C426" t="s">
        <v>15</v>
      </c>
      <c r="D426" t="s">
        <v>27</v>
      </c>
      <c r="E426" t="s">
        <v>17</v>
      </c>
      <c r="F426" t="s">
        <v>21</v>
      </c>
      <c r="G426">
        <v>74</v>
      </c>
      <c r="H426">
        <v>6672</v>
      </c>
      <c r="I426" t="s">
        <v>19</v>
      </c>
      <c r="J426" s="2">
        <v>43644</v>
      </c>
      <c r="K426">
        <v>46</v>
      </c>
      <c r="L426" t="s">
        <v>20</v>
      </c>
      <c r="M426">
        <v>26</v>
      </c>
      <c r="N426">
        <v>3</v>
      </c>
      <c r="O426">
        <v>2</v>
      </c>
      <c r="P426" t="s">
        <v>20</v>
      </c>
      <c r="Q426" s="1">
        <v>2</v>
      </c>
      <c r="R426" s="2">
        <v>46174</v>
      </c>
      <c r="S426" s="2">
        <v>45897</v>
      </c>
      <c r="T426" s="1" t="str">
        <f t="shared" si="18"/>
        <v>sex</v>
      </c>
      <c r="U426" s="1" t="str">
        <f t="shared" si="19"/>
        <v>jun</v>
      </c>
      <c r="V426">
        <f t="shared" si="20"/>
        <v>2019</v>
      </c>
      <c r="W426">
        <f>_xlfn.XLOOKUP(A426,Absenteismo!A:A,Absenteismo!A:A,0)</f>
        <v>1317</v>
      </c>
    </row>
    <row r="427" spans="1:23" x14ac:dyDescent="0.3">
      <c r="A427">
        <v>1017</v>
      </c>
      <c r="B427">
        <v>31</v>
      </c>
      <c r="C427" t="s">
        <v>15</v>
      </c>
      <c r="D427" t="s">
        <v>27</v>
      </c>
      <c r="E427" t="s">
        <v>17</v>
      </c>
      <c r="F427" t="s">
        <v>21</v>
      </c>
      <c r="G427">
        <v>74</v>
      </c>
      <c r="H427">
        <v>6672</v>
      </c>
      <c r="I427" t="s">
        <v>19</v>
      </c>
      <c r="J427" s="2">
        <v>43725</v>
      </c>
      <c r="K427">
        <v>52</v>
      </c>
      <c r="L427" t="s">
        <v>25</v>
      </c>
      <c r="M427">
        <v>26</v>
      </c>
      <c r="N427">
        <v>3</v>
      </c>
      <c r="O427">
        <v>2</v>
      </c>
      <c r="P427" t="s">
        <v>20</v>
      </c>
      <c r="Q427" s="1">
        <v>3</v>
      </c>
      <c r="R427" s="2">
        <v>46174</v>
      </c>
      <c r="S427" s="2">
        <v>45978</v>
      </c>
      <c r="T427" s="1" t="str">
        <f t="shared" si="18"/>
        <v>ter</v>
      </c>
      <c r="U427" s="1" t="str">
        <f t="shared" si="19"/>
        <v>set</v>
      </c>
      <c r="V427">
        <f t="shared" si="20"/>
        <v>2019</v>
      </c>
      <c r="W427">
        <f>_xlfn.XLOOKUP(A427,Absenteismo!A:A,Absenteismo!A:A,0)</f>
        <v>0</v>
      </c>
    </row>
    <row r="428" spans="1:23" hidden="1" x14ac:dyDescent="0.3">
      <c r="A428">
        <v>1723</v>
      </c>
      <c r="B428">
        <v>31</v>
      </c>
      <c r="C428" t="s">
        <v>15</v>
      </c>
      <c r="D428" t="s">
        <v>29</v>
      </c>
      <c r="E428" t="s">
        <v>17</v>
      </c>
      <c r="F428" t="s">
        <v>23</v>
      </c>
      <c r="G428">
        <v>21</v>
      </c>
      <c r="H428">
        <v>4281</v>
      </c>
      <c r="I428" t="s">
        <v>28</v>
      </c>
      <c r="J428" s="2">
        <v>45403</v>
      </c>
      <c r="K428">
        <v>52</v>
      </c>
      <c r="L428" t="s">
        <v>25</v>
      </c>
      <c r="M428">
        <v>28</v>
      </c>
      <c r="N428">
        <v>0</v>
      </c>
      <c r="O428">
        <v>5</v>
      </c>
      <c r="P428" t="s">
        <v>20</v>
      </c>
      <c r="Q428" s="1">
        <v>1</v>
      </c>
      <c r="R428" s="2">
        <v>46174</v>
      </c>
      <c r="S428" s="2">
        <v>46043</v>
      </c>
      <c r="T428" s="1" t="str">
        <f t="shared" si="18"/>
        <v>dom</v>
      </c>
      <c r="U428" s="1" t="str">
        <f t="shared" si="19"/>
        <v>abr</v>
      </c>
      <c r="V428">
        <f t="shared" si="20"/>
        <v>2024</v>
      </c>
      <c r="W428">
        <f>_xlfn.XLOOKUP(A428,Absenteismo!A:A,Absenteismo!A:A,0)</f>
        <v>1723</v>
      </c>
    </row>
    <row r="429" spans="1:23" hidden="1" x14ac:dyDescent="0.3">
      <c r="A429">
        <v>1582</v>
      </c>
      <c r="B429">
        <v>31</v>
      </c>
      <c r="C429" t="s">
        <v>26</v>
      </c>
      <c r="D429" t="s">
        <v>16</v>
      </c>
      <c r="E429" t="s">
        <v>17</v>
      </c>
      <c r="F429" t="s">
        <v>18</v>
      </c>
      <c r="G429">
        <v>1</v>
      </c>
      <c r="H429">
        <v>6302</v>
      </c>
      <c r="I429" t="s">
        <v>30</v>
      </c>
      <c r="J429" s="2">
        <v>46023</v>
      </c>
      <c r="K429">
        <v>19</v>
      </c>
      <c r="L429" t="s">
        <v>25</v>
      </c>
      <c r="M429">
        <v>30</v>
      </c>
      <c r="N429">
        <v>3</v>
      </c>
      <c r="O429">
        <v>2</v>
      </c>
      <c r="P429" t="s">
        <v>20</v>
      </c>
      <c r="Q429" s="1">
        <v>3</v>
      </c>
      <c r="R429" s="2">
        <v>46174</v>
      </c>
      <c r="S429" s="2">
        <v>46054</v>
      </c>
      <c r="T429" s="1" t="str">
        <f t="shared" si="18"/>
        <v>qui</v>
      </c>
      <c r="U429" s="1" t="str">
        <f t="shared" si="19"/>
        <v>jan</v>
      </c>
      <c r="V429">
        <f t="shared" si="20"/>
        <v>2026</v>
      </c>
      <c r="W429">
        <f>_xlfn.XLOOKUP(A429,Absenteismo!A:A,Absenteismo!A:A,0)</f>
        <v>1582</v>
      </c>
    </row>
    <row r="430" spans="1:23" x14ac:dyDescent="0.3">
      <c r="A430">
        <v>1848</v>
      </c>
      <c r="B430">
        <v>31</v>
      </c>
      <c r="C430" t="s">
        <v>15</v>
      </c>
      <c r="D430" t="s">
        <v>29</v>
      </c>
      <c r="E430" t="s">
        <v>17</v>
      </c>
      <c r="F430" t="s">
        <v>18</v>
      </c>
      <c r="G430">
        <v>76</v>
      </c>
      <c r="H430">
        <v>3341</v>
      </c>
      <c r="I430" t="s">
        <v>24</v>
      </c>
      <c r="J430" s="2">
        <v>43867</v>
      </c>
      <c r="K430">
        <v>55</v>
      </c>
      <c r="L430" t="s">
        <v>20</v>
      </c>
      <c r="M430">
        <v>15</v>
      </c>
      <c r="N430">
        <v>0</v>
      </c>
      <c r="O430">
        <v>3</v>
      </c>
      <c r="P430" t="s">
        <v>20</v>
      </c>
      <c r="Q430" s="1">
        <v>2</v>
      </c>
      <c r="R430" s="2">
        <v>46174</v>
      </c>
      <c r="S430" s="2">
        <v>46179</v>
      </c>
      <c r="T430" s="1" t="str">
        <f t="shared" si="18"/>
        <v>qui</v>
      </c>
      <c r="U430" s="1" t="str">
        <f t="shared" si="19"/>
        <v>fev</v>
      </c>
      <c r="V430">
        <f t="shared" si="20"/>
        <v>2020</v>
      </c>
      <c r="W430">
        <f>_xlfn.XLOOKUP(A430,Absenteismo!A:A,Absenteismo!A:A,0)</f>
        <v>0</v>
      </c>
    </row>
    <row r="431" spans="1:23" x14ac:dyDescent="0.3">
      <c r="A431">
        <v>1104</v>
      </c>
      <c r="B431">
        <v>31</v>
      </c>
      <c r="C431" t="s">
        <v>15</v>
      </c>
      <c r="D431" t="s">
        <v>27</v>
      </c>
      <c r="E431" t="s">
        <v>17</v>
      </c>
      <c r="F431" t="s">
        <v>21</v>
      </c>
      <c r="G431">
        <v>107</v>
      </c>
      <c r="H431">
        <v>4990</v>
      </c>
      <c r="I431" t="s">
        <v>30</v>
      </c>
      <c r="J431" s="2">
        <v>42931</v>
      </c>
      <c r="K431">
        <v>12</v>
      </c>
      <c r="L431" t="s">
        <v>20</v>
      </c>
      <c r="M431">
        <v>19</v>
      </c>
      <c r="N431">
        <v>5</v>
      </c>
      <c r="O431">
        <v>4</v>
      </c>
      <c r="P431" t="s">
        <v>20</v>
      </c>
      <c r="Q431" s="1">
        <v>3</v>
      </c>
      <c r="R431" s="2">
        <v>46174</v>
      </c>
      <c r="S431" s="2">
        <v>46188</v>
      </c>
      <c r="T431" s="1" t="str">
        <f t="shared" si="18"/>
        <v>sáb</v>
      </c>
      <c r="U431" s="1" t="str">
        <f t="shared" si="19"/>
        <v>jul</v>
      </c>
      <c r="V431">
        <f t="shared" si="20"/>
        <v>2017</v>
      </c>
      <c r="W431">
        <f>_xlfn.XLOOKUP(A431,Absenteismo!A:A,Absenteismo!A:A,0)</f>
        <v>0</v>
      </c>
    </row>
    <row r="432" spans="1:23" x14ac:dyDescent="0.3">
      <c r="A432">
        <v>2148</v>
      </c>
      <c r="B432">
        <v>31</v>
      </c>
      <c r="C432" t="s">
        <v>15</v>
      </c>
      <c r="D432" t="s">
        <v>29</v>
      </c>
      <c r="E432" t="s">
        <v>17</v>
      </c>
      <c r="F432" t="s">
        <v>18</v>
      </c>
      <c r="G432">
        <v>76</v>
      </c>
      <c r="H432">
        <v>3341</v>
      </c>
      <c r="I432" t="s">
        <v>24</v>
      </c>
      <c r="J432" s="2">
        <v>43883</v>
      </c>
      <c r="K432">
        <v>55</v>
      </c>
      <c r="L432" t="s">
        <v>20</v>
      </c>
      <c r="M432">
        <v>15</v>
      </c>
      <c r="N432">
        <v>0</v>
      </c>
      <c r="O432">
        <v>3</v>
      </c>
      <c r="P432" t="s">
        <v>20</v>
      </c>
      <c r="Q432" s="1">
        <v>1</v>
      </c>
      <c r="R432" s="2">
        <v>46174</v>
      </c>
      <c r="S432" s="2">
        <v>46195</v>
      </c>
      <c r="T432" s="1" t="str">
        <f t="shared" si="18"/>
        <v>sáb</v>
      </c>
      <c r="U432" s="1" t="str">
        <f t="shared" si="19"/>
        <v>fev</v>
      </c>
      <c r="V432">
        <f t="shared" si="20"/>
        <v>2020</v>
      </c>
      <c r="W432">
        <f>_xlfn.XLOOKUP(A432,Absenteismo!A:A,Absenteismo!A:A,0)</f>
        <v>0</v>
      </c>
    </row>
    <row r="433" spans="1:23" x14ac:dyDescent="0.3">
      <c r="A433">
        <v>1045</v>
      </c>
      <c r="B433">
        <v>31</v>
      </c>
      <c r="C433" t="s">
        <v>26</v>
      </c>
      <c r="D433" t="s">
        <v>29</v>
      </c>
      <c r="E433" t="s">
        <v>17</v>
      </c>
      <c r="F433" t="s">
        <v>21</v>
      </c>
      <c r="G433">
        <v>90</v>
      </c>
      <c r="H433">
        <v>2960</v>
      </c>
      <c r="I433" t="s">
        <v>28</v>
      </c>
      <c r="J433" s="2">
        <v>43274</v>
      </c>
      <c r="K433">
        <v>25</v>
      </c>
      <c r="L433" t="s">
        <v>20</v>
      </c>
      <c r="M433">
        <v>22</v>
      </c>
      <c r="N433">
        <v>4</v>
      </c>
      <c r="O433">
        <v>5</v>
      </c>
      <c r="P433" t="s">
        <v>25</v>
      </c>
      <c r="Q433" s="1">
        <v>3</v>
      </c>
      <c r="R433" s="2">
        <v>46174</v>
      </c>
      <c r="S433" s="2"/>
      <c r="T433" s="1" t="str">
        <f t="shared" si="18"/>
        <v>sáb</v>
      </c>
      <c r="U433" s="1" t="str">
        <f t="shared" si="19"/>
        <v>jun</v>
      </c>
      <c r="V433">
        <f t="shared" si="20"/>
        <v>2018</v>
      </c>
      <c r="W433">
        <f>_xlfn.XLOOKUP(A433,Absenteismo!A:A,Absenteismo!A:A,0)</f>
        <v>0</v>
      </c>
    </row>
    <row r="434" spans="1:23" x14ac:dyDescent="0.3">
      <c r="A434">
        <v>1155</v>
      </c>
      <c r="B434">
        <v>31</v>
      </c>
      <c r="C434" t="s">
        <v>26</v>
      </c>
      <c r="D434" t="s">
        <v>16</v>
      </c>
      <c r="E434" t="s">
        <v>17</v>
      </c>
      <c r="F434" t="s">
        <v>18</v>
      </c>
      <c r="G434">
        <v>64</v>
      </c>
      <c r="H434">
        <v>6655</v>
      </c>
      <c r="I434" t="s">
        <v>24</v>
      </c>
      <c r="J434" s="2">
        <v>43928</v>
      </c>
      <c r="K434">
        <v>35</v>
      </c>
      <c r="L434" t="s">
        <v>20</v>
      </c>
      <c r="M434">
        <v>6</v>
      </c>
      <c r="N434">
        <v>6</v>
      </c>
      <c r="O434">
        <v>3</v>
      </c>
      <c r="P434" t="s">
        <v>25</v>
      </c>
      <c r="Q434" s="1">
        <v>1</v>
      </c>
      <c r="R434" s="2">
        <v>46174</v>
      </c>
      <c r="S434" s="2"/>
      <c r="T434" s="1" t="str">
        <f t="shared" si="18"/>
        <v>ter</v>
      </c>
      <c r="U434" s="1" t="str">
        <f t="shared" si="19"/>
        <v>abr</v>
      </c>
      <c r="V434">
        <f t="shared" si="20"/>
        <v>2020</v>
      </c>
      <c r="W434">
        <f>_xlfn.XLOOKUP(A434,Absenteismo!A:A,Absenteismo!A:A,0)</f>
        <v>0</v>
      </c>
    </row>
    <row r="435" spans="1:23" hidden="1" x14ac:dyDescent="0.3">
      <c r="A435">
        <v>1345</v>
      </c>
      <c r="B435">
        <v>31</v>
      </c>
      <c r="C435" t="s">
        <v>26</v>
      </c>
      <c r="D435" t="s">
        <v>29</v>
      </c>
      <c r="E435" t="s">
        <v>17</v>
      </c>
      <c r="F435" t="s">
        <v>21</v>
      </c>
      <c r="G435">
        <v>90</v>
      </c>
      <c r="H435">
        <v>2960</v>
      </c>
      <c r="I435" t="s">
        <v>28</v>
      </c>
      <c r="J435" s="2">
        <v>43300</v>
      </c>
      <c r="K435">
        <v>25</v>
      </c>
      <c r="L435" t="s">
        <v>20</v>
      </c>
      <c r="M435">
        <v>22</v>
      </c>
      <c r="N435">
        <v>4</v>
      </c>
      <c r="O435">
        <v>5</v>
      </c>
      <c r="P435" t="s">
        <v>25</v>
      </c>
      <c r="Q435" s="1">
        <v>1</v>
      </c>
      <c r="R435" s="2">
        <v>46174</v>
      </c>
      <c r="S435" s="2"/>
      <c r="T435" s="1" t="str">
        <f t="shared" si="18"/>
        <v>qui</v>
      </c>
      <c r="U435" s="1" t="str">
        <f t="shared" si="19"/>
        <v>jul</v>
      </c>
      <c r="V435">
        <f t="shared" si="20"/>
        <v>2018</v>
      </c>
      <c r="W435">
        <f>_xlfn.XLOOKUP(A435,Absenteismo!A:A,Absenteismo!A:A,0)</f>
        <v>1345</v>
      </c>
    </row>
    <row r="436" spans="1:23" x14ac:dyDescent="0.3">
      <c r="A436">
        <v>1455</v>
      </c>
      <c r="B436">
        <v>31</v>
      </c>
      <c r="C436" t="s">
        <v>26</v>
      </c>
      <c r="D436" t="s">
        <v>16</v>
      </c>
      <c r="E436" t="s">
        <v>17</v>
      </c>
      <c r="F436" t="s">
        <v>18</v>
      </c>
      <c r="G436">
        <v>64</v>
      </c>
      <c r="H436">
        <v>6655</v>
      </c>
      <c r="I436" t="s">
        <v>24</v>
      </c>
      <c r="J436" s="2">
        <v>44017</v>
      </c>
      <c r="K436">
        <v>35</v>
      </c>
      <c r="L436" t="s">
        <v>20</v>
      </c>
      <c r="M436">
        <v>6</v>
      </c>
      <c r="N436">
        <v>6</v>
      </c>
      <c r="O436">
        <v>3</v>
      </c>
      <c r="P436" t="s">
        <v>25</v>
      </c>
      <c r="Q436" s="1">
        <v>3</v>
      </c>
      <c r="R436" s="2">
        <v>46174</v>
      </c>
      <c r="S436" s="2"/>
      <c r="T436" s="1" t="str">
        <f t="shared" si="18"/>
        <v>dom</v>
      </c>
      <c r="U436" s="1" t="str">
        <f t="shared" si="19"/>
        <v>jul</v>
      </c>
      <c r="V436">
        <f t="shared" si="20"/>
        <v>2020</v>
      </c>
      <c r="W436">
        <f>_xlfn.XLOOKUP(A436,Absenteismo!A:A,Absenteismo!A:A,0)</f>
        <v>0</v>
      </c>
    </row>
    <row r="437" spans="1:23" hidden="1" x14ac:dyDescent="0.3">
      <c r="A437">
        <v>1645</v>
      </c>
      <c r="B437">
        <v>31</v>
      </c>
      <c r="C437" t="s">
        <v>26</v>
      </c>
      <c r="D437" t="s">
        <v>29</v>
      </c>
      <c r="E437" t="s">
        <v>17</v>
      </c>
      <c r="F437" t="s">
        <v>21</v>
      </c>
      <c r="G437">
        <v>90</v>
      </c>
      <c r="H437">
        <v>2960</v>
      </c>
      <c r="I437" t="s">
        <v>28</v>
      </c>
      <c r="J437" s="2">
        <v>43231</v>
      </c>
      <c r="K437">
        <v>25</v>
      </c>
      <c r="L437" t="s">
        <v>20</v>
      </c>
      <c r="M437">
        <v>22</v>
      </c>
      <c r="N437">
        <v>4</v>
      </c>
      <c r="O437">
        <v>5</v>
      </c>
      <c r="P437" t="s">
        <v>25</v>
      </c>
      <c r="Q437" s="1">
        <v>3</v>
      </c>
      <c r="R437" s="2">
        <v>46174</v>
      </c>
      <c r="S437" s="2"/>
      <c r="T437" s="1" t="str">
        <f t="shared" si="18"/>
        <v>sex</v>
      </c>
      <c r="U437" s="1" t="str">
        <f t="shared" si="19"/>
        <v>mai</v>
      </c>
      <c r="V437">
        <f t="shared" si="20"/>
        <v>2018</v>
      </c>
      <c r="W437">
        <f>_xlfn.XLOOKUP(A437,Absenteismo!A:A,Absenteismo!A:A,0)</f>
        <v>1645</v>
      </c>
    </row>
    <row r="438" spans="1:23" x14ac:dyDescent="0.3">
      <c r="A438">
        <v>1755</v>
      </c>
      <c r="B438">
        <v>31</v>
      </c>
      <c r="C438" t="s">
        <v>26</v>
      </c>
      <c r="D438" t="s">
        <v>16</v>
      </c>
      <c r="E438" t="s">
        <v>17</v>
      </c>
      <c r="F438" t="s">
        <v>18</v>
      </c>
      <c r="G438">
        <v>64</v>
      </c>
      <c r="H438">
        <v>6655</v>
      </c>
      <c r="I438" t="s">
        <v>24</v>
      </c>
      <c r="J438" s="2">
        <v>43989</v>
      </c>
      <c r="K438">
        <v>35</v>
      </c>
      <c r="L438" t="s">
        <v>20</v>
      </c>
      <c r="M438">
        <v>6</v>
      </c>
      <c r="N438">
        <v>6</v>
      </c>
      <c r="O438">
        <v>3</v>
      </c>
      <c r="P438" t="s">
        <v>25</v>
      </c>
      <c r="Q438" s="1">
        <v>2</v>
      </c>
      <c r="R438" s="2">
        <v>46174</v>
      </c>
      <c r="S438" s="2"/>
      <c r="T438" s="1" t="str">
        <f t="shared" si="18"/>
        <v>dom</v>
      </c>
      <c r="U438" s="1" t="str">
        <f t="shared" si="19"/>
        <v>jun</v>
      </c>
      <c r="V438">
        <f t="shared" si="20"/>
        <v>2020</v>
      </c>
      <c r="W438">
        <f>_xlfn.XLOOKUP(A438,Absenteismo!A:A,Absenteismo!A:A,0)</f>
        <v>0</v>
      </c>
    </row>
    <row r="439" spans="1:23" hidden="1" x14ac:dyDescent="0.3">
      <c r="A439">
        <v>1945</v>
      </c>
      <c r="B439">
        <v>31</v>
      </c>
      <c r="C439" t="s">
        <v>26</v>
      </c>
      <c r="D439" t="s">
        <v>29</v>
      </c>
      <c r="E439" t="s">
        <v>17</v>
      </c>
      <c r="F439" t="s">
        <v>21</v>
      </c>
      <c r="G439">
        <v>90</v>
      </c>
      <c r="H439">
        <v>2960</v>
      </c>
      <c r="I439" t="s">
        <v>28</v>
      </c>
      <c r="J439" s="2">
        <v>43243</v>
      </c>
      <c r="K439">
        <v>25</v>
      </c>
      <c r="L439" t="s">
        <v>20</v>
      </c>
      <c r="M439">
        <v>22</v>
      </c>
      <c r="N439">
        <v>4</v>
      </c>
      <c r="O439">
        <v>5</v>
      </c>
      <c r="P439" t="s">
        <v>25</v>
      </c>
      <c r="Q439" s="1">
        <v>2</v>
      </c>
      <c r="R439" s="2">
        <v>46174</v>
      </c>
      <c r="S439" s="2"/>
      <c r="T439" s="1" t="str">
        <f t="shared" si="18"/>
        <v>qua</v>
      </c>
      <c r="U439" s="1" t="str">
        <f t="shared" si="19"/>
        <v>mai</v>
      </c>
      <c r="V439">
        <f t="shared" si="20"/>
        <v>2018</v>
      </c>
      <c r="W439">
        <f>_xlfn.XLOOKUP(A439,Absenteismo!A:A,Absenteismo!A:A,0)</f>
        <v>1945</v>
      </c>
    </row>
    <row r="440" spans="1:23" x14ac:dyDescent="0.3">
      <c r="A440">
        <v>2055</v>
      </c>
      <c r="B440">
        <v>31</v>
      </c>
      <c r="C440" t="s">
        <v>26</v>
      </c>
      <c r="D440" t="s">
        <v>16</v>
      </c>
      <c r="E440" t="s">
        <v>17</v>
      </c>
      <c r="F440" t="s">
        <v>18</v>
      </c>
      <c r="G440">
        <v>64</v>
      </c>
      <c r="H440">
        <v>6655</v>
      </c>
      <c r="I440" t="s">
        <v>24</v>
      </c>
      <c r="J440" s="2">
        <v>44056</v>
      </c>
      <c r="K440">
        <v>35</v>
      </c>
      <c r="L440" t="s">
        <v>20</v>
      </c>
      <c r="M440">
        <v>6</v>
      </c>
      <c r="N440">
        <v>6</v>
      </c>
      <c r="O440">
        <v>3</v>
      </c>
      <c r="P440" t="s">
        <v>25</v>
      </c>
      <c r="Q440" s="1">
        <v>3</v>
      </c>
      <c r="R440" s="2">
        <v>46174</v>
      </c>
      <c r="S440" s="2"/>
      <c r="T440" s="1" t="str">
        <f t="shared" si="18"/>
        <v>qui</v>
      </c>
      <c r="U440" s="1" t="str">
        <f t="shared" si="19"/>
        <v>ago</v>
      </c>
      <c r="V440">
        <f t="shared" si="20"/>
        <v>2020</v>
      </c>
      <c r="W440">
        <f>_xlfn.XLOOKUP(A440,Absenteismo!A:A,Absenteismo!A:A,0)</f>
        <v>0</v>
      </c>
    </row>
    <row r="441" spans="1:23" hidden="1" x14ac:dyDescent="0.3">
      <c r="A441">
        <v>1917</v>
      </c>
      <c r="B441">
        <v>31</v>
      </c>
      <c r="C441" t="s">
        <v>15</v>
      </c>
      <c r="D441" t="s">
        <v>27</v>
      </c>
      <c r="E441" t="s">
        <v>17</v>
      </c>
      <c r="F441" t="s">
        <v>21</v>
      </c>
      <c r="G441">
        <v>74</v>
      </c>
      <c r="H441">
        <v>6672</v>
      </c>
      <c r="I441" t="s">
        <v>19</v>
      </c>
      <c r="J441" s="2">
        <v>43633</v>
      </c>
      <c r="K441">
        <v>41</v>
      </c>
      <c r="L441" t="s">
        <v>20</v>
      </c>
      <c r="M441">
        <v>26</v>
      </c>
      <c r="N441">
        <v>3</v>
      </c>
      <c r="O441">
        <v>2</v>
      </c>
      <c r="P441" t="s">
        <v>25</v>
      </c>
      <c r="Q441" s="1">
        <v>1</v>
      </c>
      <c r="R441" s="2">
        <v>46174</v>
      </c>
      <c r="S441" s="2"/>
      <c r="T441" s="1" t="str">
        <f t="shared" si="18"/>
        <v>seg</v>
      </c>
      <c r="U441" s="1" t="str">
        <f t="shared" si="19"/>
        <v>jun</v>
      </c>
      <c r="V441">
        <f t="shared" si="20"/>
        <v>2019</v>
      </c>
      <c r="W441">
        <f>_xlfn.XLOOKUP(A441,Absenteismo!A:A,Absenteismo!A:A,0)</f>
        <v>1917</v>
      </c>
    </row>
    <row r="442" spans="1:23" hidden="1" x14ac:dyDescent="0.3">
      <c r="A442">
        <v>1597</v>
      </c>
      <c r="B442">
        <v>32</v>
      </c>
      <c r="C442" t="s">
        <v>15</v>
      </c>
      <c r="D442" t="s">
        <v>16</v>
      </c>
      <c r="E442" t="s">
        <v>17</v>
      </c>
      <c r="F442" t="s">
        <v>18</v>
      </c>
      <c r="G442">
        <v>66</v>
      </c>
      <c r="H442">
        <v>2964</v>
      </c>
      <c r="I442" t="s">
        <v>30</v>
      </c>
      <c r="J442" s="2">
        <v>43762</v>
      </c>
      <c r="K442">
        <v>31</v>
      </c>
      <c r="L442" t="s">
        <v>25</v>
      </c>
      <c r="M442">
        <v>11</v>
      </c>
      <c r="N442">
        <v>9</v>
      </c>
      <c r="O442">
        <v>2</v>
      </c>
      <c r="P442" t="s">
        <v>20</v>
      </c>
      <c r="Q442" s="1">
        <v>1</v>
      </c>
      <c r="R442" s="2">
        <v>46174</v>
      </c>
      <c r="S442" s="2">
        <v>45771</v>
      </c>
      <c r="T442" s="1" t="str">
        <f t="shared" si="18"/>
        <v>qui</v>
      </c>
      <c r="U442" s="1" t="str">
        <f t="shared" si="19"/>
        <v>out</v>
      </c>
      <c r="V442">
        <f t="shared" si="20"/>
        <v>2019</v>
      </c>
      <c r="W442">
        <f>_xlfn.XLOOKUP(A442,Absenteismo!A:A,Absenteismo!A:A,0)</f>
        <v>1597</v>
      </c>
    </row>
    <row r="443" spans="1:23" hidden="1" x14ac:dyDescent="0.3">
      <c r="A443">
        <v>2139</v>
      </c>
      <c r="B443">
        <v>32</v>
      </c>
      <c r="C443" t="s">
        <v>26</v>
      </c>
      <c r="D443" t="s">
        <v>27</v>
      </c>
      <c r="E443" t="s">
        <v>17</v>
      </c>
      <c r="F443" t="s">
        <v>21</v>
      </c>
      <c r="G443">
        <v>13</v>
      </c>
      <c r="H443">
        <v>2808</v>
      </c>
      <c r="I443" t="s">
        <v>19</v>
      </c>
      <c r="J443" s="2">
        <v>45412</v>
      </c>
      <c r="K443">
        <v>31</v>
      </c>
      <c r="L443" t="s">
        <v>20</v>
      </c>
      <c r="M443">
        <v>14</v>
      </c>
      <c r="N443">
        <v>8</v>
      </c>
      <c r="O443">
        <v>5</v>
      </c>
      <c r="P443" t="s">
        <v>20</v>
      </c>
      <c r="Q443" s="1">
        <v>1</v>
      </c>
      <c r="R443" s="2">
        <v>46174</v>
      </c>
      <c r="S443" s="2">
        <v>45807</v>
      </c>
      <c r="T443" s="1" t="str">
        <f t="shared" si="18"/>
        <v>ter</v>
      </c>
      <c r="U443" s="1" t="str">
        <f t="shared" si="19"/>
        <v>abr</v>
      </c>
      <c r="V443">
        <f t="shared" si="20"/>
        <v>2024</v>
      </c>
      <c r="W443">
        <f>_xlfn.XLOOKUP(A443,Absenteismo!A:A,Absenteismo!A:A,0)</f>
        <v>2139</v>
      </c>
    </row>
    <row r="444" spans="1:23" hidden="1" x14ac:dyDescent="0.3">
      <c r="A444">
        <v>2118</v>
      </c>
      <c r="B444">
        <v>32</v>
      </c>
      <c r="C444" t="s">
        <v>15</v>
      </c>
      <c r="D444" t="s">
        <v>29</v>
      </c>
      <c r="E444" t="s">
        <v>17</v>
      </c>
      <c r="F444" t="s">
        <v>18</v>
      </c>
      <c r="G444">
        <v>60</v>
      </c>
      <c r="H444">
        <v>6899</v>
      </c>
      <c r="I444" t="s">
        <v>19</v>
      </c>
      <c r="J444" s="2">
        <v>44035</v>
      </c>
      <c r="K444">
        <v>23</v>
      </c>
      <c r="L444" t="s">
        <v>25</v>
      </c>
      <c r="M444">
        <v>30</v>
      </c>
      <c r="N444">
        <v>1</v>
      </c>
      <c r="O444">
        <v>4</v>
      </c>
      <c r="P444" t="s">
        <v>20</v>
      </c>
      <c r="Q444" s="1">
        <v>3</v>
      </c>
      <c r="R444" s="2">
        <v>46174</v>
      </c>
      <c r="S444" s="2">
        <v>45861</v>
      </c>
      <c r="T444" s="1" t="str">
        <f t="shared" si="18"/>
        <v>qui</v>
      </c>
      <c r="U444" s="1" t="str">
        <f t="shared" si="19"/>
        <v>jul</v>
      </c>
      <c r="V444">
        <f t="shared" si="20"/>
        <v>2020</v>
      </c>
      <c r="W444">
        <f>_xlfn.XLOOKUP(A444,Absenteismo!A:A,Absenteismo!A:A,0)</f>
        <v>2118</v>
      </c>
    </row>
    <row r="445" spans="1:23" hidden="1" x14ac:dyDescent="0.3">
      <c r="A445">
        <v>1542</v>
      </c>
      <c r="B445">
        <v>32</v>
      </c>
      <c r="C445" t="s">
        <v>15</v>
      </c>
      <c r="D445" t="s">
        <v>31</v>
      </c>
      <c r="E445" t="s">
        <v>34</v>
      </c>
      <c r="F445" t="s">
        <v>23</v>
      </c>
      <c r="G445">
        <v>12</v>
      </c>
      <c r="H445">
        <v>3623</v>
      </c>
      <c r="I445" t="s">
        <v>19</v>
      </c>
      <c r="J445" s="2">
        <v>45517</v>
      </c>
      <c r="K445">
        <v>5</v>
      </c>
      <c r="L445" t="s">
        <v>20</v>
      </c>
      <c r="M445">
        <v>24</v>
      </c>
      <c r="N445">
        <v>5</v>
      </c>
      <c r="O445">
        <v>5</v>
      </c>
      <c r="P445" t="s">
        <v>20</v>
      </c>
      <c r="Q445" s="1">
        <v>1</v>
      </c>
      <c r="R445" s="2">
        <v>46174</v>
      </c>
      <c r="S445" s="2">
        <v>45882</v>
      </c>
      <c r="T445" s="1" t="str">
        <f t="shared" si="18"/>
        <v>ter</v>
      </c>
      <c r="U445" s="1" t="str">
        <f t="shared" si="19"/>
        <v>ago</v>
      </c>
      <c r="V445">
        <f t="shared" si="20"/>
        <v>2024</v>
      </c>
      <c r="W445">
        <f>_xlfn.XLOOKUP(A445,Absenteismo!A:A,Absenteismo!A:A,0)</f>
        <v>1542</v>
      </c>
    </row>
    <row r="446" spans="1:23" hidden="1" x14ac:dyDescent="0.3">
      <c r="A446">
        <v>1518</v>
      </c>
      <c r="B446">
        <v>32</v>
      </c>
      <c r="C446" t="s">
        <v>15</v>
      </c>
      <c r="D446" t="s">
        <v>29</v>
      </c>
      <c r="E446" t="s">
        <v>17</v>
      </c>
      <c r="F446" t="s">
        <v>18</v>
      </c>
      <c r="G446">
        <v>60</v>
      </c>
      <c r="H446">
        <v>6899</v>
      </c>
      <c r="I446" t="s">
        <v>19</v>
      </c>
      <c r="J446" s="2">
        <v>44080</v>
      </c>
      <c r="K446">
        <v>23</v>
      </c>
      <c r="L446" t="s">
        <v>25</v>
      </c>
      <c r="M446">
        <v>30</v>
      </c>
      <c r="N446">
        <v>1</v>
      </c>
      <c r="O446">
        <v>4</v>
      </c>
      <c r="P446" t="s">
        <v>20</v>
      </c>
      <c r="Q446" s="1">
        <v>2</v>
      </c>
      <c r="R446" s="2">
        <v>46174</v>
      </c>
      <c r="S446" s="2">
        <v>45906</v>
      </c>
      <c r="T446" s="1" t="str">
        <f t="shared" si="18"/>
        <v>dom</v>
      </c>
      <c r="U446" s="1" t="str">
        <f t="shared" si="19"/>
        <v>set</v>
      </c>
      <c r="V446">
        <f t="shared" si="20"/>
        <v>2020</v>
      </c>
      <c r="W446">
        <f>_xlfn.XLOOKUP(A446,Absenteismo!A:A,Absenteismo!A:A,0)</f>
        <v>1518</v>
      </c>
    </row>
    <row r="447" spans="1:23" x14ac:dyDescent="0.3">
      <c r="A447">
        <v>1485</v>
      </c>
      <c r="B447">
        <v>32</v>
      </c>
      <c r="C447" t="s">
        <v>15</v>
      </c>
      <c r="D447" t="s">
        <v>22</v>
      </c>
      <c r="E447" t="s">
        <v>17</v>
      </c>
      <c r="F447" t="s">
        <v>23</v>
      </c>
      <c r="G447">
        <v>18</v>
      </c>
      <c r="H447">
        <v>6927</v>
      </c>
      <c r="I447" t="s">
        <v>24</v>
      </c>
      <c r="J447" s="2">
        <v>45359</v>
      </c>
      <c r="K447">
        <v>15</v>
      </c>
      <c r="L447" t="s">
        <v>25</v>
      </c>
      <c r="M447">
        <v>20</v>
      </c>
      <c r="N447">
        <v>9</v>
      </c>
      <c r="O447">
        <v>4</v>
      </c>
      <c r="P447" t="s">
        <v>20</v>
      </c>
      <c r="Q447" s="1">
        <v>2</v>
      </c>
      <c r="R447" s="2">
        <v>46174</v>
      </c>
      <c r="S447" s="2">
        <v>45908</v>
      </c>
      <c r="T447" s="1" t="str">
        <f t="shared" si="18"/>
        <v>sex</v>
      </c>
      <c r="U447" s="1" t="str">
        <f t="shared" si="19"/>
        <v>mar</v>
      </c>
      <c r="V447">
        <f t="shared" si="20"/>
        <v>2024</v>
      </c>
      <c r="W447">
        <f>_xlfn.XLOOKUP(A447,Absenteismo!A:A,Absenteismo!A:A,0)</f>
        <v>0</v>
      </c>
    </row>
    <row r="448" spans="1:23" hidden="1" x14ac:dyDescent="0.3">
      <c r="A448">
        <v>1818</v>
      </c>
      <c r="B448">
        <v>32</v>
      </c>
      <c r="C448" t="s">
        <v>15</v>
      </c>
      <c r="D448" t="s">
        <v>29</v>
      </c>
      <c r="E448" t="s">
        <v>17</v>
      </c>
      <c r="F448" t="s">
        <v>18</v>
      </c>
      <c r="G448">
        <v>60</v>
      </c>
      <c r="H448">
        <v>6899</v>
      </c>
      <c r="I448" t="s">
        <v>19</v>
      </c>
      <c r="J448" s="2">
        <v>44097</v>
      </c>
      <c r="K448">
        <v>23</v>
      </c>
      <c r="L448" t="s">
        <v>25</v>
      </c>
      <c r="M448">
        <v>30</v>
      </c>
      <c r="N448">
        <v>1</v>
      </c>
      <c r="O448">
        <v>4</v>
      </c>
      <c r="P448" t="s">
        <v>20</v>
      </c>
      <c r="Q448" s="1">
        <v>3</v>
      </c>
      <c r="R448" s="2">
        <v>46174</v>
      </c>
      <c r="S448" s="2">
        <v>45923</v>
      </c>
      <c r="T448" s="1" t="str">
        <f t="shared" si="18"/>
        <v>qua</v>
      </c>
      <c r="U448" s="1" t="str">
        <f t="shared" si="19"/>
        <v>set</v>
      </c>
      <c r="V448">
        <f t="shared" si="20"/>
        <v>2020</v>
      </c>
      <c r="W448">
        <f>_xlfn.XLOOKUP(A448,Absenteismo!A:A,Absenteismo!A:A,0)</f>
        <v>1818</v>
      </c>
    </row>
    <row r="449" spans="1:23" x14ac:dyDescent="0.3">
      <c r="A449">
        <v>1785</v>
      </c>
      <c r="B449">
        <v>32</v>
      </c>
      <c r="C449" t="s">
        <v>15</v>
      </c>
      <c r="D449" t="s">
        <v>22</v>
      </c>
      <c r="E449" t="s">
        <v>17</v>
      </c>
      <c r="F449" t="s">
        <v>23</v>
      </c>
      <c r="G449">
        <v>18</v>
      </c>
      <c r="H449">
        <v>6927</v>
      </c>
      <c r="I449" t="s">
        <v>24</v>
      </c>
      <c r="J449" s="2">
        <v>45419</v>
      </c>
      <c r="K449">
        <v>15</v>
      </c>
      <c r="L449" t="s">
        <v>25</v>
      </c>
      <c r="M449">
        <v>20</v>
      </c>
      <c r="N449">
        <v>9</v>
      </c>
      <c r="O449">
        <v>4</v>
      </c>
      <c r="P449" t="s">
        <v>20</v>
      </c>
      <c r="Q449" s="1">
        <v>2</v>
      </c>
      <c r="R449" s="2">
        <v>46174</v>
      </c>
      <c r="S449" s="2">
        <v>45968</v>
      </c>
      <c r="T449" s="1" t="str">
        <f t="shared" si="18"/>
        <v>ter</v>
      </c>
      <c r="U449" s="1" t="str">
        <f t="shared" si="19"/>
        <v>mai</v>
      </c>
      <c r="V449">
        <f t="shared" si="20"/>
        <v>2024</v>
      </c>
      <c r="W449">
        <f>_xlfn.XLOOKUP(A449,Absenteismo!A:A,Absenteismo!A:A,0)</f>
        <v>0</v>
      </c>
    </row>
    <row r="450" spans="1:23" hidden="1" x14ac:dyDescent="0.3">
      <c r="A450">
        <v>1572</v>
      </c>
      <c r="B450">
        <v>32</v>
      </c>
      <c r="C450" t="s">
        <v>15</v>
      </c>
      <c r="D450" t="s">
        <v>29</v>
      </c>
      <c r="E450" t="s">
        <v>17</v>
      </c>
      <c r="F450" t="s">
        <v>23</v>
      </c>
      <c r="G450">
        <v>43</v>
      </c>
      <c r="H450">
        <v>4450</v>
      </c>
      <c r="I450" t="s">
        <v>19</v>
      </c>
      <c r="J450" s="2">
        <v>44669</v>
      </c>
      <c r="K450">
        <v>22</v>
      </c>
      <c r="L450" t="s">
        <v>20</v>
      </c>
      <c r="M450">
        <v>20</v>
      </c>
      <c r="N450">
        <v>0</v>
      </c>
      <c r="O450">
        <v>2</v>
      </c>
      <c r="P450" t="s">
        <v>20</v>
      </c>
      <c r="Q450" s="1">
        <v>2</v>
      </c>
      <c r="R450" s="2">
        <v>46174</v>
      </c>
      <c r="S450" s="2">
        <v>45979</v>
      </c>
      <c r="T450" s="1" t="str">
        <f t="shared" ref="T450:T513" si="21">TEXT($J450,"ddd")</f>
        <v>seg</v>
      </c>
      <c r="U450" s="1" t="str">
        <f t="shared" ref="U450:U513" si="22">TEXT($J450,"mmm")</f>
        <v>abr</v>
      </c>
      <c r="V450">
        <f t="shared" ref="V450:V513" si="23">YEAR(J450)</f>
        <v>2022</v>
      </c>
      <c r="W450">
        <f>_xlfn.XLOOKUP(A450,Absenteismo!A:A,Absenteismo!A:A,0)</f>
        <v>1572</v>
      </c>
    </row>
    <row r="451" spans="1:23" hidden="1" x14ac:dyDescent="0.3">
      <c r="A451">
        <v>1539</v>
      </c>
      <c r="B451">
        <v>32</v>
      </c>
      <c r="C451" t="s">
        <v>26</v>
      </c>
      <c r="D451" t="s">
        <v>27</v>
      </c>
      <c r="E451" t="s">
        <v>17</v>
      </c>
      <c r="F451" t="s">
        <v>21</v>
      </c>
      <c r="G451">
        <v>13</v>
      </c>
      <c r="H451">
        <v>2808</v>
      </c>
      <c r="I451" t="s">
        <v>19</v>
      </c>
      <c r="J451" s="2">
        <v>45602</v>
      </c>
      <c r="K451">
        <v>31</v>
      </c>
      <c r="L451" t="s">
        <v>20</v>
      </c>
      <c r="M451">
        <v>14</v>
      </c>
      <c r="N451">
        <v>8</v>
      </c>
      <c r="O451">
        <v>5</v>
      </c>
      <c r="P451" t="s">
        <v>20</v>
      </c>
      <c r="Q451" s="1">
        <v>2</v>
      </c>
      <c r="R451" s="2">
        <v>46174</v>
      </c>
      <c r="S451" s="2">
        <v>45997</v>
      </c>
      <c r="T451" s="1" t="str">
        <f t="shared" si="21"/>
        <v>qua</v>
      </c>
      <c r="U451" s="1" t="str">
        <f t="shared" si="22"/>
        <v>nov</v>
      </c>
      <c r="V451">
        <f t="shared" si="23"/>
        <v>2024</v>
      </c>
      <c r="W451">
        <f>_xlfn.XLOOKUP(A451,Absenteismo!A:A,Absenteismo!A:A,0)</f>
        <v>1539</v>
      </c>
    </row>
    <row r="452" spans="1:23" hidden="1" x14ac:dyDescent="0.3">
      <c r="A452">
        <v>1272</v>
      </c>
      <c r="B452">
        <v>32</v>
      </c>
      <c r="C452" t="s">
        <v>15</v>
      </c>
      <c r="D452" t="s">
        <v>29</v>
      </c>
      <c r="E452" t="s">
        <v>17</v>
      </c>
      <c r="F452" t="s">
        <v>23</v>
      </c>
      <c r="G452">
        <v>43</v>
      </c>
      <c r="H452">
        <v>4450</v>
      </c>
      <c r="I452" t="s">
        <v>19</v>
      </c>
      <c r="J452" s="2">
        <v>44688</v>
      </c>
      <c r="K452">
        <v>22</v>
      </c>
      <c r="L452" t="s">
        <v>20</v>
      </c>
      <c r="M452">
        <v>20</v>
      </c>
      <c r="N452">
        <v>0</v>
      </c>
      <c r="O452">
        <v>2</v>
      </c>
      <c r="P452" t="s">
        <v>20</v>
      </c>
      <c r="Q452" s="1">
        <v>2</v>
      </c>
      <c r="R452" s="2">
        <v>46174</v>
      </c>
      <c r="S452" s="2">
        <v>45998</v>
      </c>
      <c r="T452" s="1" t="str">
        <f t="shared" si="21"/>
        <v>sáb</v>
      </c>
      <c r="U452" s="1" t="str">
        <f t="shared" si="22"/>
        <v>mai</v>
      </c>
      <c r="V452">
        <f t="shared" si="23"/>
        <v>2022</v>
      </c>
      <c r="W452">
        <f>_xlfn.XLOOKUP(A452,Absenteismo!A:A,Absenteismo!A:A,0)</f>
        <v>1272</v>
      </c>
    </row>
    <row r="453" spans="1:23" x14ac:dyDescent="0.3">
      <c r="A453">
        <v>1185</v>
      </c>
      <c r="B453">
        <v>32</v>
      </c>
      <c r="C453" t="s">
        <v>15</v>
      </c>
      <c r="D453" t="s">
        <v>22</v>
      </c>
      <c r="E453" t="s">
        <v>17</v>
      </c>
      <c r="F453" t="s">
        <v>23</v>
      </c>
      <c r="G453">
        <v>18</v>
      </c>
      <c r="H453">
        <v>6927</v>
      </c>
      <c r="I453" t="s">
        <v>24</v>
      </c>
      <c r="J453" s="2">
        <v>45484</v>
      </c>
      <c r="K453">
        <v>15</v>
      </c>
      <c r="L453" t="s">
        <v>25</v>
      </c>
      <c r="M453">
        <v>20</v>
      </c>
      <c r="N453">
        <v>9</v>
      </c>
      <c r="O453">
        <v>4</v>
      </c>
      <c r="P453" t="s">
        <v>20</v>
      </c>
      <c r="Q453" s="1">
        <v>2</v>
      </c>
      <c r="R453" s="2">
        <v>46174</v>
      </c>
      <c r="S453" s="2">
        <v>46033</v>
      </c>
      <c r="T453" s="1" t="str">
        <f t="shared" si="21"/>
        <v>qui</v>
      </c>
      <c r="U453" s="1" t="str">
        <f t="shared" si="22"/>
        <v>jul</v>
      </c>
      <c r="V453">
        <f t="shared" si="23"/>
        <v>2024</v>
      </c>
      <c r="W453">
        <f>_xlfn.XLOOKUP(A453,Absenteismo!A:A,Absenteismo!A:A,0)</f>
        <v>0</v>
      </c>
    </row>
    <row r="454" spans="1:23" hidden="1" x14ac:dyDescent="0.3">
      <c r="A454">
        <v>1872</v>
      </c>
      <c r="B454">
        <v>32</v>
      </c>
      <c r="C454" t="s">
        <v>15</v>
      </c>
      <c r="D454" t="s">
        <v>29</v>
      </c>
      <c r="E454" t="s">
        <v>17</v>
      </c>
      <c r="F454" t="s">
        <v>23</v>
      </c>
      <c r="G454">
        <v>43</v>
      </c>
      <c r="H454">
        <v>4450</v>
      </c>
      <c r="I454" t="s">
        <v>19</v>
      </c>
      <c r="J454" s="2">
        <v>44743</v>
      </c>
      <c r="K454">
        <v>22</v>
      </c>
      <c r="L454" t="s">
        <v>20</v>
      </c>
      <c r="M454">
        <v>20</v>
      </c>
      <c r="N454">
        <v>0</v>
      </c>
      <c r="O454">
        <v>2</v>
      </c>
      <c r="P454" t="s">
        <v>20</v>
      </c>
      <c r="Q454" s="1">
        <v>1</v>
      </c>
      <c r="R454" s="2">
        <v>46174</v>
      </c>
      <c r="S454" s="2">
        <v>46053</v>
      </c>
      <c r="T454" s="1" t="str">
        <f t="shared" si="21"/>
        <v>sex</v>
      </c>
      <c r="U454" s="1" t="str">
        <f t="shared" si="22"/>
        <v>jul</v>
      </c>
      <c r="V454">
        <f t="shared" si="23"/>
        <v>2022</v>
      </c>
      <c r="W454">
        <f>_xlfn.XLOOKUP(A454,Absenteismo!A:A,Absenteismo!A:A,0)</f>
        <v>1872</v>
      </c>
    </row>
    <row r="455" spans="1:23" hidden="1" x14ac:dyDescent="0.3">
      <c r="A455">
        <v>1297</v>
      </c>
      <c r="B455">
        <v>32</v>
      </c>
      <c r="C455" t="s">
        <v>15</v>
      </c>
      <c r="D455" t="s">
        <v>16</v>
      </c>
      <c r="E455" t="s">
        <v>17</v>
      </c>
      <c r="F455" t="s">
        <v>18</v>
      </c>
      <c r="G455">
        <v>66</v>
      </c>
      <c r="H455">
        <v>2964</v>
      </c>
      <c r="I455" t="s">
        <v>30</v>
      </c>
      <c r="J455" s="2">
        <v>44123</v>
      </c>
      <c r="K455">
        <v>51</v>
      </c>
      <c r="L455" t="s">
        <v>25</v>
      </c>
      <c r="M455">
        <v>11</v>
      </c>
      <c r="N455">
        <v>9</v>
      </c>
      <c r="O455">
        <v>2</v>
      </c>
      <c r="P455" t="s">
        <v>20</v>
      </c>
      <c r="Q455" s="1">
        <v>2</v>
      </c>
      <c r="R455" s="2">
        <v>46174</v>
      </c>
      <c r="S455" s="2">
        <v>46131</v>
      </c>
      <c r="T455" s="1" t="str">
        <f t="shared" si="21"/>
        <v>seg</v>
      </c>
      <c r="U455" s="1" t="str">
        <f t="shared" si="22"/>
        <v>out</v>
      </c>
      <c r="V455">
        <f t="shared" si="23"/>
        <v>2020</v>
      </c>
      <c r="W455">
        <f>_xlfn.XLOOKUP(A455,Absenteismo!A:A,Absenteismo!A:A,0)</f>
        <v>1297</v>
      </c>
    </row>
    <row r="456" spans="1:23" hidden="1" x14ac:dyDescent="0.3">
      <c r="A456">
        <v>1839</v>
      </c>
      <c r="B456">
        <v>32</v>
      </c>
      <c r="C456" t="s">
        <v>26</v>
      </c>
      <c r="D456" t="s">
        <v>27</v>
      </c>
      <c r="E456" t="s">
        <v>17</v>
      </c>
      <c r="F456" t="s">
        <v>21</v>
      </c>
      <c r="G456">
        <v>13</v>
      </c>
      <c r="H456">
        <v>2808</v>
      </c>
      <c r="I456" t="s">
        <v>19</v>
      </c>
      <c r="J456" s="2">
        <v>45774</v>
      </c>
      <c r="K456">
        <v>31</v>
      </c>
      <c r="L456" t="s">
        <v>20</v>
      </c>
      <c r="M456">
        <v>14</v>
      </c>
      <c r="N456">
        <v>8</v>
      </c>
      <c r="O456">
        <v>5</v>
      </c>
      <c r="P456" t="s">
        <v>20</v>
      </c>
      <c r="Q456" s="1">
        <v>2</v>
      </c>
      <c r="R456" s="2">
        <v>46174</v>
      </c>
      <c r="S456" s="2">
        <v>46169</v>
      </c>
      <c r="T456" s="1" t="str">
        <f t="shared" si="21"/>
        <v>dom</v>
      </c>
      <c r="U456" s="1" t="str">
        <f t="shared" si="22"/>
        <v>abr</v>
      </c>
      <c r="V456">
        <f t="shared" si="23"/>
        <v>2025</v>
      </c>
      <c r="W456">
        <f>_xlfn.XLOOKUP(A456,Absenteismo!A:A,Absenteismo!A:A,0)</f>
        <v>1839</v>
      </c>
    </row>
    <row r="457" spans="1:23" hidden="1" x14ac:dyDescent="0.3">
      <c r="A457">
        <v>1218</v>
      </c>
      <c r="B457">
        <v>32</v>
      </c>
      <c r="C457" t="s">
        <v>15</v>
      </c>
      <c r="D457" t="s">
        <v>29</v>
      </c>
      <c r="E457" t="s">
        <v>17</v>
      </c>
      <c r="F457" t="s">
        <v>18</v>
      </c>
      <c r="G457">
        <v>60</v>
      </c>
      <c r="H457">
        <v>6899</v>
      </c>
      <c r="I457" t="s">
        <v>19</v>
      </c>
      <c r="J457" s="2">
        <v>44349</v>
      </c>
      <c r="K457">
        <v>23</v>
      </c>
      <c r="L457" t="s">
        <v>25</v>
      </c>
      <c r="M457">
        <v>30</v>
      </c>
      <c r="N457">
        <v>1</v>
      </c>
      <c r="O457">
        <v>4</v>
      </c>
      <c r="P457" t="s">
        <v>20</v>
      </c>
      <c r="Q457" s="1">
        <v>2</v>
      </c>
      <c r="R457" s="2">
        <v>46174</v>
      </c>
      <c r="S457" s="2">
        <v>46175</v>
      </c>
      <c r="T457" s="1" t="str">
        <f t="shared" si="21"/>
        <v>qua</v>
      </c>
      <c r="U457" s="1" t="str">
        <f t="shared" si="22"/>
        <v>jun</v>
      </c>
      <c r="V457">
        <f t="shared" si="23"/>
        <v>2021</v>
      </c>
      <c r="W457">
        <f>_xlfn.XLOOKUP(A457,Absenteismo!A:A,Absenteismo!A:A,0)</f>
        <v>1218</v>
      </c>
    </row>
    <row r="458" spans="1:23" hidden="1" x14ac:dyDescent="0.3">
      <c r="A458">
        <v>1239</v>
      </c>
      <c r="B458">
        <v>32</v>
      </c>
      <c r="C458" t="s">
        <v>26</v>
      </c>
      <c r="D458" t="s">
        <v>27</v>
      </c>
      <c r="E458" t="s">
        <v>17</v>
      </c>
      <c r="F458" t="s">
        <v>21</v>
      </c>
      <c r="G458">
        <v>13</v>
      </c>
      <c r="H458">
        <v>2808</v>
      </c>
      <c r="I458" t="s">
        <v>19</v>
      </c>
      <c r="J458" s="2">
        <v>45799</v>
      </c>
      <c r="K458">
        <v>51</v>
      </c>
      <c r="L458" t="s">
        <v>25</v>
      </c>
      <c r="M458">
        <v>14</v>
      </c>
      <c r="N458">
        <v>8</v>
      </c>
      <c r="O458">
        <v>5</v>
      </c>
      <c r="P458" t="s">
        <v>20</v>
      </c>
      <c r="Q458" s="1">
        <v>1</v>
      </c>
      <c r="R458" s="2">
        <v>46174</v>
      </c>
      <c r="S458" s="2">
        <v>46195</v>
      </c>
      <c r="T458" s="1" t="str">
        <f t="shared" si="21"/>
        <v>qui</v>
      </c>
      <c r="U458" s="1" t="str">
        <f t="shared" si="22"/>
        <v>mai</v>
      </c>
      <c r="V458">
        <f t="shared" si="23"/>
        <v>2025</v>
      </c>
      <c r="W458">
        <f>_xlfn.XLOOKUP(A458,Absenteismo!A:A,Absenteismo!A:A,0)</f>
        <v>1239</v>
      </c>
    </row>
    <row r="459" spans="1:23" x14ac:dyDescent="0.3">
      <c r="A459">
        <v>1033</v>
      </c>
      <c r="B459">
        <v>32</v>
      </c>
      <c r="C459" t="s">
        <v>15</v>
      </c>
      <c r="D459" t="s">
        <v>16</v>
      </c>
      <c r="E459" t="s">
        <v>17</v>
      </c>
      <c r="F459" t="s">
        <v>23</v>
      </c>
      <c r="G459">
        <v>52</v>
      </c>
      <c r="H459">
        <v>5489</v>
      </c>
      <c r="I459" t="s">
        <v>24</v>
      </c>
      <c r="J459" s="2">
        <v>44511</v>
      </c>
      <c r="K459">
        <v>43</v>
      </c>
      <c r="L459" t="s">
        <v>20</v>
      </c>
      <c r="M459">
        <v>17</v>
      </c>
      <c r="N459">
        <v>5</v>
      </c>
      <c r="O459">
        <v>5</v>
      </c>
      <c r="P459" t="s">
        <v>25</v>
      </c>
      <c r="Q459" s="1">
        <v>3</v>
      </c>
      <c r="R459" s="2">
        <v>46174</v>
      </c>
      <c r="S459" s="2"/>
      <c r="T459" s="1" t="str">
        <f t="shared" si="21"/>
        <v>qui</v>
      </c>
      <c r="U459" s="1" t="str">
        <f t="shared" si="22"/>
        <v>nov</v>
      </c>
      <c r="V459">
        <f t="shared" si="23"/>
        <v>2021</v>
      </c>
      <c r="W459">
        <f>_xlfn.XLOOKUP(A459,Absenteismo!A:A,Absenteismo!A:A,0)</f>
        <v>0</v>
      </c>
    </row>
    <row r="460" spans="1:23" x14ac:dyDescent="0.3">
      <c r="A460">
        <v>1097</v>
      </c>
      <c r="B460">
        <v>32</v>
      </c>
      <c r="C460" t="s">
        <v>15</v>
      </c>
      <c r="D460" t="s">
        <v>27</v>
      </c>
      <c r="E460" t="s">
        <v>17</v>
      </c>
      <c r="F460" t="s">
        <v>21</v>
      </c>
      <c r="G460">
        <v>67</v>
      </c>
      <c r="H460">
        <v>5270</v>
      </c>
      <c r="I460" t="s">
        <v>33</v>
      </c>
      <c r="J460" s="2">
        <v>43953</v>
      </c>
      <c r="K460">
        <v>42</v>
      </c>
      <c r="L460" t="s">
        <v>25</v>
      </c>
      <c r="M460">
        <v>3</v>
      </c>
      <c r="N460">
        <v>7</v>
      </c>
      <c r="O460">
        <v>5</v>
      </c>
      <c r="P460" t="s">
        <v>25</v>
      </c>
      <c r="Q460" s="1">
        <v>3</v>
      </c>
      <c r="R460" s="2">
        <v>46174</v>
      </c>
      <c r="S460" s="2"/>
      <c r="T460" s="1" t="str">
        <f t="shared" si="21"/>
        <v>sáb</v>
      </c>
      <c r="U460" s="1" t="str">
        <f t="shared" si="22"/>
        <v>mai</v>
      </c>
      <c r="V460">
        <f t="shared" si="23"/>
        <v>2020</v>
      </c>
      <c r="W460">
        <f>_xlfn.XLOOKUP(A460,Absenteismo!A:A,Absenteismo!A:A,0)</f>
        <v>0</v>
      </c>
    </row>
    <row r="461" spans="1:23" x14ac:dyDescent="0.3">
      <c r="A461">
        <v>1100</v>
      </c>
      <c r="B461">
        <v>32</v>
      </c>
      <c r="C461" t="s">
        <v>26</v>
      </c>
      <c r="D461" t="s">
        <v>16</v>
      </c>
      <c r="E461" t="s">
        <v>17</v>
      </c>
      <c r="F461" t="s">
        <v>18</v>
      </c>
      <c r="G461">
        <v>52</v>
      </c>
      <c r="H461">
        <v>6207</v>
      </c>
      <c r="I461" t="s">
        <v>30</v>
      </c>
      <c r="J461" s="2">
        <v>44258</v>
      </c>
      <c r="K461">
        <v>21</v>
      </c>
      <c r="L461" t="s">
        <v>20</v>
      </c>
      <c r="M461">
        <v>16</v>
      </c>
      <c r="N461">
        <v>5</v>
      </c>
      <c r="O461">
        <v>3</v>
      </c>
      <c r="P461" t="s">
        <v>25</v>
      </c>
      <c r="Q461" s="1">
        <v>3</v>
      </c>
      <c r="R461" s="2">
        <v>46174</v>
      </c>
      <c r="S461" s="2"/>
      <c r="T461" s="1" t="str">
        <f t="shared" si="21"/>
        <v>qua</v>
      </c>
      <c r="U461" s="1" t="str">
        <f t="shared" si="22"/>
        <v>mar</v>
      </c>
      <c r="V461">
        <f t="shared" si="23"/>
        <v>2021</v>
      </c>
      <c r="W461">
        <f>_xlfn.XLOOKUP(A461,Absenteismo!A:A,Absenteismo!A:A,0)</f>
        <v>0</v>
      </c>
    </row>
    <row r="462" spans="1:23" x14ac:dyDescent="0.3">
      <c r="A462">
        <v>1188</v>
      </c>
      <c r="B462">
        <v>32</v>
      </c>
      <c r="C462" t="s">
        <v>26</v>
      </c>
      <c r="D462" t="s">
        <v>22</v>
      </c>
      <c r="E462" t="s">
        <v>17</v>
      </c>
      <c r="F462" t="s">
        <v>23</v>
      </c>
      <c r="G462">
        <v>104</v>
      </c>
      <c r="H462">
        <v>6593</v>
      </c>
      <c r="I462" t="s">
        <v>30</v>
      </c>
      <c r="J462" s="2">
        <v>43018</v>
      </c>
      <c r="K462">
        <v>36</v>
      </c>
      <c r="L462" t="s">
        <v>20</v>
      </c>
      <c r="M462">
        <v>26</v>
      </c>
      <c r="N462">
        <v>8</v>
      </c>
      <c r="O462">
        <v>3</v>
      </c>
      <c r="P462" t="s">
        <v>25</v>
      </c>
      <c r="Q462" s="1">
        <v>1</v>
      </c>
      <c r="R462" s="2">
        <v>46174</v>
      </c>
      <c r="S462" s="2"/>
      <c r="T462" s="1" t="str">
        <f t="shared" si="21"/>
        <v>ter</v>
      </c>
      <c r="U462" s="1" t="str">
        <f t="shared" si="22"/>
        <v>out</v>
      </c>
      <c r="V462">
        <f t="shared" si="23"/>
        <v>2017</v>
      </c>
      <c r="W462">
        <f>_xlfn.XLOOKUP(A462,Absenteismo!A:A,Absenteismo!A:A,0)</f>
        <v>0</v>
      </c>
    </row>
    <row r="463" spans="1:23" hidden="1" x14ac:dyDescent="0.3">
      <c r="A463">
        <v>1200</v>
      </c>
      <c r="B463">
        <v>32</v>
      </c>
      <c r="C463" t="s">
        <v>26</v>
      </c>
      <c r="D463" t="s">
        <v>27</v>
      </c>
      <c r="E463" t="s">
        <v>17</v>
      </c>
      <c r="F463" t="s">
        <v>23</v>
      </c>
      <c r="G463">
        <v>84</v>
      </c>
      <c r="H463">
        <v>3059</v>
      </c>
      <c r="I463" t="s">
        <v>30</v>
      </c>
      <c r="J463" s="2">
        <v>43529</v>
      </c>
      <c r="K463">
        <v>26</v>
      </c>
      <c r="L463" t="s">
        <v>20</v>
      </c>
      <c r="M463">
        <v>35</v>
      </c>
      <c r="N463">
        <v>7</v>
      </c>
      <c r="O463">
        <v>2</v>
      </c>
      <c r="P463" t="s">
        <v>25</v>
      </c>
      <c r="Q463" s="1">
        <v>2</v>
      </c>
      <c r="R463" s="2">
        <v>46174</v>
      </c>
      <c r="S463" s="2"/>
      <c r="T463" s="1" t="str">
        <f t="shared" si="21"/>
        <v>ter</v>
      </c>
      <c r="U463" s="1" t="str">
        <f t="shared" si="22"/>
        <v>mar</v>
      </c>
      <c r="V463">
        <f t="shared" si="23"/>
        <v>2019</v>
      </c>
      <c r="W463">
        <f>_xlfn.XLOOKUP(A463,Absenteismo!A:A,Absenteismo!A:A,0)</f>
        <v>1200</v>
      </c>
    </row>
    <row r="464" spans="1:23" hidden="1" x14ac:dyDescent="0.3">
      <c r="A464">
        <v>1258</v>
      </c>
      <c r="B464">
        <v>32</v>
      </c>
      <c r="C464" t="s">
        <v>26</v>
      </c>
      <c r="D464" t="s">
        <v>27</v>
      </c>
      <c r="E464" t="s">
        <v>17</v>
      </c>
      <c r="F464" t="s">
        <v>18</v>
      </c>
      <c r="G464">
        <v>59</v>
      </c>
      <c r="H464">
        <v>3495</v>
      </c>
      <c r="I464" t="s">
        <v>28</v>
      </c>
      <c r="J464" s="2">
        <v>44065</v>
      </c>
      <c r="K464">
        <v>7</v>
      </c>
      <c r="L464" t="s">
        <v>20</v>
      </c>
      <c r="M464">
        <v>25</v>
      </c>
      <c r="N464">
        <v>1</v>
      </c>
      <c r="O464">
        <v>2</v>
      </c>
      <c r="P464" t="s">
        <v>25</v>
      </c>
      <c r="Q464" s="1">
        <v>2</v>
      </c>
      <c r="R464" s="2">
        <v>46174</v>
      </c>
      <c r="S464" s="2"/>
      <c r="T464" s="1" t="str">
        <f t="shared" si="21"/>
        <v>sáb</v>
      </c>
      <c r="U464" s="1" t="str">
        <f t="shared" si="22"/>
        <v>ago</v>
      </c>
      <c r="V464">
        <f t="shared" si="23"/>
        <v>2020</v>
      </c>
      <c r="W464">
        <f>_xlfn.XLOOKUP(A464,Absenteismo!A:A,Absenteismo!A:A,0)</f>
        <v>1258</v>
      </c>
    </row>
    <row r="465" spans="1:23" x14ac:dyDescent="0.3">
      <c r="A465">
        <v>1333</v>
      </c>
      <c r="B465">
        <v>32</v>
      </c>
      <c r="C465" t="s">
        <v>15</v>
      </c>
      <c r="D465" t="s">
        <v>16</v>
      </c>
      <c r="E465" t="s">
        <v>17</v>
      </c>
      <c r="F465" t="s">
        <v>23</v>
      </c>
      <c r="G465">
        <v>52</v>
      </c>
      <c r="H465">
        <v>5489</v>
      </c>
      <c r="I465" t="s">
        <v>24</v>
      </c>
      <c r="J465" s="2">
        <v>44187</v>
      </c>
      <c r="K465">
        <v>56</v>
      </c>
      <c r="L465" t="s">
        <v>20</v>
      </c>
      <c r="M465">
        <v>17</v>
      </c>
      <c r="N465">
        <v>5</v>
      </c>
      <c r="O465">
        <v>5</v>
      </c>
      <c r="P465" t="s">
        <v>25</v>
      </c>
      <c r="Q465" s="1">
        <v>3</v>
      </c>
      <c r="R465" s="2">
        <v>46174</v>
      </c>
      <c r="S465" s="2"/>
      <c r="T465" s="1" t="str">
        <f t="shared" si="21"/>
        <v>ter</v>
      </c>
      <c r="U465" s="1" t="str">
        <f t="shared" si="22"/>
        <v>dez</v>
      </c>
      <c r="V465">
        <f t="shared" si="23"/>
        <v>2020</v>
      </c>
      <c r="W465">
        <f>_xlfn.XLOOKUP(A465,Absenteismo!A:A,Absenteismo!A:A,0)</f>
        <v>0</v>
      </c>
    </row>
    <row r="466" spans="1:23" hidden="1" x14ac:dyDescent="0.3">
      <c r="A466">
        <v>1397</v>
      </c>
      <c r="B466">
        <v>32</v>
      </c>
      <c r="C466" t="s">
        <v>15</v>
      </c>
      <c r="D466" t="s">
        <v>27</v>
      </c>
      <c r="E466" t="s">
        <v>17</v>
      </c>
      <c r="F466" t="s">
        <v>21</v>
      </c>
      <c r="G466">
        <v>67</v>
      </c>
      <c r="H466">
        <v>5270</v>
      </c>
      <c r="I466" t="s">
        <v>33</v>
      </c>
      <c r="J466" s="2">
        <v>43780</v>
      </c>
      <c r="K466">
        <v>42</v>
      </c>
      <c r="L466" t="s">
        <v>25</v>
      </c>
      <c r="M466">
        <v>3</v>
      </c>
      <c r="N466">
        <v>7</v>
      </c>
      <c r="O466">
        <v>5</v>
      </c>
      <c r="P466" t="s">
        <v>25</v>
      </c>
      <c r="Q466" s="1">
        <v>2</v>
      </c>
      <c r="R466" s="2">
        <v>46174</v>
      </c>
      <c r="S466" s="2"/>
      <c r="T466" s="1" t="str">
        <f t="shared" si="21"/>
        <v>seg</v>
      </c>
      <c r="U466" s="1" t="str">
        <f t="shared" si="22"/>
        <v>nov</v>
      </c>
      <c r="V466">
        <f t="shared" si="23"/>
        <v>2019</v>
      </c>
      <c r="W466">
        <f>_xlfn.XLOOKUP(A466,Absenteismo!A:A,Absenteismo!A:A,0)</f>
        <v>1397</v>
      </c>
    </row>
    <row r="467" spans="1:23" hidden="1" x14ac:dyDescent="0.3">
      <c r="A467">
        <v>1400</v>
      </c>
      <c r="B467">
        <v>32</v>
      </c>
      <c r="C467" t="s">
        <v>26</v>
      </c>
      <c r="D467" t="s">
        <v>16</v>
      </c>
      <c r="E467" t="s">
        <v>17</v>
      </c>
      <c r="F467" t="s">
        <v>18</v>
      </c>
      <c r="G467">
        <v>52</v>
      </c>
      <c r="H467">
        <v>6207</v>
      </c>
      <c r="I467" t="s">
        <v>30</v>
      </c>
      <c r="J467" s="2">
        <v>44470</v>
      </c>
      <c r="K467">
        <v>21</v>
      </c>
      <c r="L467" t="s">
        <v>20</v>
      </c>
      <c r="M467">
        <v>16</v>
      </c>
      <c r="N467">
        <v>5</v>
      </c>
      <c r="O467">
        <v>3</v>
      </c>
      <c r="P467" t="s">
        <v>25</v>
      </c>
      <c r="Q467" s="1">
        <v>3</v>
      </c>
      <c r="R467" s="2">
        <v>46174</v>
      </c>
      <c r="S467" s="2"/>
      <c r="T467" s="1" t="str">
        <f t="shared" si="21"/>
        <v>sex</v>
      </c>
      <c r="U467" s="1" t="str">
        <f t="shared" si="22"/>
        <v>out</v>
      </c>
      <c r="V467">
        <f t="shared" si="23"/>
        <v>2021</v>
      </c>
      <c r="W467">
        <f>_xlfn.XLOOKUP(A467,Absenteismo!A:A,Absenteismo!A:A,0)</f>
        <v>1400</v>
      </c>
    </row>
    <row r="468" spans="1:23" hidden="1" x14ac:dyDescent="0.3">
      <c r="A468">
        <v>1488</v>
      </c>
      <c r="B468">
        <v>32</v>
      </c>
      <c r="C468" t="s">
        <v>26</v>
      </c>
      <c r="D468" t="s">
        <v>22</v>
      </c>
      <c r="E468" t="s">
        <v>17</v>
      </c>
      <c r="F468" t="s">
        <v>23</v>
      </c>
      <c r="G468">
        <v>104</v>
      </c>
      <c r="H468">
        <v>6593</v>
      </c>
      <c r="I468" t="s">
        <v>30</v>
      </c>
      <c r="J468" s="2">
        <v>42876</v>
      </c>
      <c r="K468">
        <v>36</v>
      </c>
      <c r="L468" t="s">
        <v>20</v>
      </c>
      <c r="M468">
        <v>26</v>
      </c>
      <c r="N468">
        <v>8</v>
      </c>
      <c r="O468">
        <v>3</v>
      </c>
      <c r="P468" t="s">
        <v>25</v>
      </c>
      <c r="Q468" s="1">
        <v>3</v>
      </c>
      <c r="R468" s="2">
        <v>46174</v>
      </c>
      <c r="S468" s="2"/>
      <c r="T468" s="1" t="str">
        <f t="shared" si="21"/>
        <v>dom</v>
      </c>
      <c r="U468" s="1" t="str">
        <f t="shared" si="22"/>
        <v>mai</v>
      </c>
      <c r="V468">
        <f t="shared" si="23"/>
        <v>2017</v>
      </c>
      <c r="W468">
        <f>_xlfn.XLOOKUP(A468,Absenteismo!A:A,Absenteismo!A:A,0)</f>
        <v>1488</v>
      </c>
    </row>
    <row r="469" spans="1:23" hidden="1" x14ac:dyDescent="0.3">
      <c r="A469">
        <v>1500</v>
      </c>
      <c r="B469">
        <v>32</v>
      </c>
      <c r="C469" t="s">
        <v>26</v>
      </c>
      <c r="D469" t="s">
        <v>27</v>
      </c>
      <c r="E469" t="s">
        <v>17</v>
      </c>
      <c r="F469" t="s">
        <v>23</v>
      </c>
      <c r="G469">
        <v>84</v>
      </c>
      <c r="H469">
        <v>3059</v>
      </c>
      <c r="I469" t="s">
        <v>30</v>
      </c>
      <c r="J469" s="2">
        <v>43506</v>
      </c>
      <c r="K469">
        <v>26</v>
      </c>
      <c r="L469" t="s">
        <v>20</v>
      </c>
      <c r="M469">
        <v>35</v>
      </c>
      <c r="N469">
        <v>7</v>
      </c>
      <c r="O469">
        <v>2</v>
      </c>
      <c r="P469" t="s">
        <v>25</v>
      </c>
      <c r="Q469" s="1">
        <v>1</v>
      </c>
      <c r="R469" s="2">
        <v>46174</v>
      </c>
      <c r="S469" s="2"/>
      <c r="T469" s="1" t="str">
        <f t="shared" si="21"/>
        <v>dom</v>
      </c>
      <c r="U469" s="1" t="str">
        <f t="shared" si="22"/>
        <v>fev</v>
      </c>
      <c r="V469">
        <f t="shared" si="23"/>
        <v>2019</v>
      </c>
      <c r="W469">
        <f>_xlfn.XLOOKUP(A469,Absenteismo!A:A,Absenteismo!A:A,0)</f>
        <v>1500</v>
      </c>
    </row>
    <row r="470" spans="1:23" hidden="1" x14ac:dyDescent="0.3">
      <c r="A470">
        <v>1558</v>
      </c>
      <c r="B470">
        <v>32</v>
      </c>
      <c r="C470" t="s">
        <v>26</v>
      </c>
      <c r="D470" t="s">
        <v>27</v>
      </c>
      <c r="E470" t="s">
        <v>17</v>
      </c>
      <c r="F470" t="s">
        <v>18</v>
      </c>
      <c r="G470">
        <v>59</v>
      </c>
      <c r="H470">
        <v>3495</v>
      </c>
      <c r="I470" t="s">
        <v>28</v>
      </c>
      <c r="J470" s="2">
        <v>44355</v>
      </c>
      <c r="K470">
        <v>7</v>
      </c>
      <c r="L470" t="s">
        <v>20</v>
      </c>
      <c r="M470">
        <v>25</v>
      </c>
      <c r="N470">
        <v>1</v>
      </c>
      <c r="O470">
        <v>2</v>
      </c>
      <c r="P470" t="s">
        <v>25</v>
      </c>
      <c r="Q470" s="1">
        <v>2</v>
      </c>
      <c r="R470" s="2">
        <v>46174</v>
      </c>
      <c r="S470" s="2"/>
      <c r="T470" s="1" t="str">
        <f t="shared" si="21"/>
        <v>ter</v>
      </c>
      <c r="U470" s="1" t="str">
        <f t="shared" si="22"/>
        <v>jun</v>
      </c>
      <c r="V470">
        <f t="shared" si="23"/>
        <v>2021</v>
      </c>
      <c r="W470">
        <f>_xlfn.XLOOKUP(A470,Absenteismo!A:A,Absenteismo!A:A,0)</f>
        <v>1558</v>
      </c>
    </row>
    <row r="471" spans="1:23" x14ac:dyDescent="0.3">
      <c r="A471">
        <v>1633</v>
      </c>
      <c r="B471">
        <v>32</v>
      </c>
      <c r="C471" t="s">
        <v>15</v>
      </c>
      <c r="D471" t="s">
        <v>16</v>
      </c>
      <c r="E471" t="s">
        <v>17</v>
      </c>
      <c r="F471" t="s">
        <v>23</v>
      </c>
      <c r="G471">
        <v>52</v>
      </c>
      <c r="H471">
        <v>5489</v>
      </c>
      <c r="I471" t="s">
        <v>24</v>
      </c>
      <c r="J471" s="2">
        <v>44362</v>
      </c>
      <c r="K471">
        <v>56</v>
      </c>
      <c r="L471" t="s">
        <v>20</v>
      </c>
      <c r="M471">
        <v>17</v>
      </c>
      <c r="N471">
        <v>5</v>
      </c>
      <c r="O471">
        <v>5</v>
      </c>
      <c r="P471" t="s">
        <v>25</v>
      </c>
      <c r="Q471" s="1">
        <v>1</v>
      </c>
      <c r="R471" s="2">
        <v>46174</v>
      </c>
      <c r="S471" s="2"/>
      <c r="T471" s="1" t="str">
        <f t="shared" si="21"/>
        <v>ter</v>
      </c>
      <c r="U471" s="1" t="str">
        <f t="shared" si="22"/>
        <v>jun</v>
      </c>
      <c r="V471">
        <f t="shared" si="23"/>
        <v>2021</v>
      </c>
      <c r="W471">
        <f>_xlfn.XLOOKUP(A471,Absenteismo!A:A,Absenteismo!A:A,0)</f>
        <v>0</v>
      </c>
    </row>
    <row r="472" spans="1:23" hidden="1" x14ac:dyDescent="0.3">
      <c r="A472">
        <v>1697</v>
      </c>
      <c r="B472">
        <v>32</v>
      </c>
      <c r="C472" t="s">
        <v>15</v>
      </c>
      <c r="D472" t="s">
        <v>27</v>
      </c>
      <c r="E472" t="s">
        <v>17</v>
      </c>
      <c r="F472" t="s">
        <v>21</v>
      </c>
      <c r="G472">
        <v>67</v>
      </c>
      <c r="H472">
        <v>5270</v>
      </c>
      <c r="I472" t="s">
        <v>33</v>
      </c>
      <c r="J472" s="2">
        <v>43942</v>
      </c>
      <c r="K472">
        <v>42</v>
      </c>
      <c r="L472" t="s">
        <v>25</v>
      </c>
      <c r="M472">
        <v>3</v>
      </c>
      <c r="N472">
        <v>7</v>
      </c>
      <c r="O472">
        <v>5</v>
      </c>
      <c r="P472" t="s">
        <v>25</v>
      </c>
      <c r="Q472" s="1">
        <v>2</v>
      </c>
      <c r="R472" s="2">
        <v>46174</v>
      </c>
      <c r="S472" s="2"/>
      <c r="T472" s="1" t="str">
        <f t="shared" si="21"/>
        <v>ter</v>
      </c>
      <c r="U472" s="1" t="str">
        <f t="shared" si="22"/>
        <v>abr</v>
      </c>
      <c r="V472">
        <f t="shared" si="23"/>
        <v>2020</v>
      </c>
      <c r="W472">
        <f>_xlfn.XLOOKUP(A472,Absenteismo!A:A,Absenteismo!A:A,0)</f>
        <v>1697</v>
      </c>
    </row>
    <row r="473" spans="1:23" hidden="1" x14ac:dyDescent="0.3">
      <c r="A473">
        <v>1700</v>
      </c>
      <c r="B473">
        <v>32</v>
      </c>
      <c r="C473" t="s">
        <v>26</v>
      </c>
      <c r="D473" t="s">
        <v>16</v>
      </c>
      <c r="E473" t="s">
        <v>17</v>
      </c>
      <c r="F473" t="s">
        <v>18</v>
      </c>
      <c r="G473">
        <v>52</v>
      </c>
      <c r="H473">
        <v>6207</v>
      </c>
      <c r="I473" t="s">
        <v>30</v>
      </c>
      <c r="J473" s="2">
        <v>44263</v>
      </c>
      <c r="K473">
        <v>21</v>
      </c>
      <c r="L473" t="s">
        <v>20</v>
      </c>
      <c r="M473">
        <v>16</v>
      </c>
      <c r="N473">
        <v>5</v>
      </c>
      <c r="O473">
        <v>3</v>
      </c>
      <c r="P473" t="s">
        <v>25</v>
      </c>
      <c r="Q473" s="1">
        <v>3</v>
      </c>
      <c r="R473" s="2">
        <v>46174</v>
      </c>
      <c r="S473" s="2"/>
      <c r="T473" s="1" t="str">
        <f t="shared" si="21"/>
        <v>seg</v>
      </c>
      <c r="U473" s="1" t="str">
        <f t="shared" si="22"/>
        <v>mar</v>
      </c>
      <c r="V473">
        <f t="shared" si="23"/>
        <v>2021</v>
      </c>
      <c r="W473">
        <f>_xlfn.XLOOKUP(A473,Absenteismo!A:A,Absenteismo!A:A,0)</f>
        <v>1700</v>
      </c>
    </row>
    <row r="474" spans="1:23" hidden="1" x14ac:dyDescent="0.3">
      <c r="A474">
        <v>1788</v>
      </c>
      <c r="B474">
        <v>32</v>
      </c>
      <c r="C474" t="s">
        <v>26</v>
      </c>
      <c r="D474" t="s">
        <v>22</v>
      </c>
      <c r="E474" t="s">
        <v>17</v>
      </c>
      <c r="F474" t="s">
        <v>23</v>
      </c>
      <c r="G474">
        <v>104</v>
      </c>
      <c r="H474">
        <v>6593</v>
      </c>
      <c r="I474" t="s">
        <v>30</v>
      </c>
      <c r="J474" s="2">
        <v>42806</v>
      </c>
      <c r="K474">
        <v>36</v>
      </c>
      <c r="L474" t="s">
        <v>20</v>
      </c>
      <c r="M474">
        <v>26</v>
      </c>
      <c r="N474">
        <v>8</v>
      </c>
      <c r="O474">
        <v>3</v>
      </c>
      <c r="P474" t="s">
        <v>25</v>
      </c>
      <c r="Q474" s="1">
        <v>3</v>
      </c>
      <c r="R474" s="2">
        <v>46174</v>
      </c>
      <c r="S474" s="2"/>
      <c r="T474" s="1" t="str">
        <f t="shared" si="21"/>
        <v>dom</v>
      </c>
      <c r="U474" s="1" t="str">
        <f t="shared" si="22"/>
        <v>mar</v>
      </c>
      <c r="V474">
        <f t="shared" si="23"/>
        <v>2017</v>
      </c>
      <c r="W474">
        <f>_xlfn.XLOOKUP(A474,Absenteismo!A:A,Absenteismo!A:A,0)</f>
        <v>1788</v>
      </c>
    </row>
    <row r="475" spans="1:23" hidden="1" x14ac:dyDescent="0.3">
      <c r="A475">
        <v>1800</v>
      </c>
      <c r="B475">
        <v>32</v>
      </c>
      <c r="C475" t="s">
        <v>26</v>
      </c>
      <c r="D475" t="s">
        <v>27</v>
      </c>
      <c r="E475" t="s">
        <v>17</v>
      </c>
      <c r="F475" t="s">
        <v>23</v>
      </c>
      <c r="G475">
        <v>84</v>
      </c>
      <c r="H475">
        <v>3059</v>
      </c>
      <c r="I475" t="s">
        <v>30</v>
      </c>
      <c r="J475" s="2">
        <v>43199</v>
      </c>
      <c r="K475">
        <v>26</v>
      </c>
      <c r="L475" t="s">
        <v>20</v>
      </c>
      <c r="M475">
        <v>35</v>
      </c>
      <c r="N475">
        <v>7</v>
      </c>
      <c r="O475">
        <v>2</v>
      </c>
      <c r="P475" t="s">
        <v>25</v>
      </c>
      <c r="Q475" s="1">
        <v>3</v>
      </c>
      <c r="R475" s="2">
        <v>46174</v>
      </c>
      <c r="S475" s="2"/>
      <c r="T475" s="1" t="str">
        <f t="shared" si="21"/>
        <v>seg</v>
      </c>
      <c r="U475" s="1" t="str">
        <f t="shared" si="22"/>
        <v>abr</v>
      </c>
      <c r="V475">
        <f t="shared" si="23"/>
        <v>2018</v>
      </c>
      <c r="W475">
        <f>_xlfn.XLOOKUP(A475,Absenteismo!A:A,Absenteismo!A:A,0)</f>
        <v>1800</v>
      </c>
    </row>
    <row r="476" spans="1:23" hidden="1" x14ac:dyDescent="0.3">
      <c r="A476">
        <v>1858</v>
      </c>
      <c r="B476">
        <v>32</v>
      </c>
      <c r="C476" t="s">
        <v>26</v>
      </c>
      <c r="D476" t="s">
        <v>27</v>
      </c>
      <c r="E476" t="s">
        <v>17</v>
      </c>
      <c r="F476" t="s">
        <v>18</v>
      </c>
      <c r="G476">
        <v>59</v>
      </c>
      <c r="H476">
        <v>3495</v>
      </c>
      <c r="I476" t="s">
        <v>28</v>
      </c>
      <c r="J476" s="2">
        <v>44176</v>
      </c>
      <c r="K476">
        <v>7</v>
      </c>
      <c r="L476" t="s">
        <v>20</v>
      </c>
      <c r="M476">
        <v>25</v>
      </c>
      <c r="N476">
        <v>1</v>
      </c>
      <c r="O476">
        <v>2</v>
      </c>
      <c r="P476" t="s">
        <v>25</v>
      </c>
      <c r="Q476" s="1">
        <v>2</v>
      </c>
      <c r="R476" s="2">
        <v>46174</v>
      </c>
      <c r="S476" s="2"/>
      <c r="T476" s="1" t="str">
        <f t="shared" si="21"/>
        <v>sex</v>
      </c>
      <c r="U476" s="1" t="str">
        <f t="shared" si="22"/>
        <v>dez</v>
      </c>
      <c r="V476">
        <f t="shared" si="23"/>
        <v>2020</v>
      </c>
      <c r="W476">
        <f>_xlfn.XLOOKUP(A476,Absenteismo!A:A,Absenteismo!A:A,0)</f>
        <v>1858</v>
      </c>
    </row>
    <row r="477" spans="1:23" x14ac:dyDescent="0.3">
      <c r="A477">
        <v>1933</v>
      </c>
      <c r="B477">
        <v>32</v>
      </c>
      <c r="C477" t="s">
        <v>15</v>
      </c>
      <c r="D477" t="s">
        <v>16</v>
      </c>
      <c r="E477" t="s">
        <v>17</v>
      </c>
      <c r="F477" t="s">
        <v>23</v>
      </c>
      <c r="G477">
        <v>52</v>
      </c>
      <c r="H477">
        <v>5489</v>
      </c>
      <c r="I477" t="s">
        <v>24</v>
      </c>
      <c r="J477" s="2">
        <v>44399</v>
      </c>
      <c r="K477">
        <v>56</v>
      </c>
      <c r="L477" t="s">
        <v>20</v>
      </c>
      <c r="M477">
        <v>17</v>
      </c>
      <c r="N477">
        <v>5</v>
      </c>
      <c r="O477">
        <v>5</v>
      </c>
      <c r="P477" t="s">
        <v>25</v>
      </c>
      <c r="Q477" s="1">
        <v>3</v>
      </c>
      <c r="R477" s="2">
        <v>46174</v>
      </c>
      <c r="S477" s="2"/>
      <c r="T477" s="1" t="str">
        <f t="shared" si="21"/>
        <v>qui</v>
      </c>
      <c r="U477" s="1" t="str">
        <f t="shared" si="22"/>
        <v>jul</v>
      </c>
      <c r="V477">
        <f t="shared" si="23"/>
        <v>2021</v>
      </c>
      <c r="W477">
        <f>_xlfn.XLOOKUP(A477,Absenteismo!A:A,Absenteismo!A:A,0)</f>
        <v>0</v>
      </c>
    </row>
    <row r="478" spans="1:23" hidden="1" x14ac:dyDescent="0.3">
      <c r="A478">
        <v>1997</v>
      </c>
      <c r="B478">
        <v>32</v>
      </c>
      <c r="C478" t="s">
        <v>15</v>
      </c>
      <c r="D478" t="s">
        <v>27</v>
      </c>
      <c r="E478" t="s">
        <v>17</v>
      </c>
      <c r="F478" t="s">
        <v>21</v>
      </c>
      <c r="G478">
        <v>67</v>
      </c>
      <c r="H478">
        <v>5270</v>
      </c>
      <c r="I478" t="s">
        <v>33</v>
      </c>
      <c r="J478" s="2">
        <v>43893</v>
      </c>
      <c r="K478">
        <v>42</v>
      </c>
      <c r="L478" t="s">
        <v>25</v>
      </c>
      <c r="M478">
        <v>3</v>
      </c>
      <c r="N478">
        <v>7</v>
      </c>
      <c r="O478">
        <v>5</v>
      </c>
      <c r="P478" t="s">
        <v>25</v>
      </c>
      <c r="Q478" s="1">
        <v>2</v>
      </c>
      <c r="R478" s="2">
        <v>46174</v>
      </c>
      <c r="S478" s="2"/>
      <c r="T478" s="1" t="str">
        <f t="shared" si="21"/>
        <v>ter</v>
      </c>
      <c r="U478" s="1" t="str">
        <f t="shared" si="22"/>
        <v>mar</v>
      </c>
      <c r="V478">
        <f t="shared" si="23"/>
        <v>2020</v>
      </c>
      <c r="W478">
        <f>_xlfn.XLOOKUP(A478,Absenteismo!A:A,Absenteismo!A:A,0)</f>
        <v>1997</v>
      </c>
    </row>
    <row r="479" spans="1:23" hidden="1" x14ac:dyDescent="0.3">
      <c r="A479">
        <v>2000</v>
      </c>
      <c r="B479">
        <v>32</v>
      </c>
      <c r="C479" t="s">
        <v>26</v>
      </c>
      <c r="D479" t="s">
        <v>16</v>
      </c>
      <c r="E479" t="s">
        <v>17</v>
      </c>
      <c r="F479" t="s">
        <v>18</v>
      </c>
      <c r="G479">
        <v>52</v>
      </c>
      <c r="H479">
        <v>6207</v>
      </c>
      <c r="I479" t="s">
        <v>30</v>
      </c>
      <c r="J479" s="2">
        <v>44542</v>
      </c>
      <c r="K479">
        <v>21</v>
      </c>
      <c r="L479" t="s">
        <v>20</v>
      </c>
      <c r="M479">
        <v>16</v>
      </c>
      <c r="N479">
        <v>5</v>
      </c>
      <c r="O479">
        <v>3</v>
      </c>
      <c r="P479" t="s">
        <v>25</v>
      </c>
      <c r="Q479" s="1">
        <v>1</v>
      </c>
      <c r="R479" s="2">
        <v>46174</v>
      </c>
      <c r="S479" s="2"/>
      <c r="T479" s="1" t="str">
        <f t="shared" si="21"/>
        <v>dom</v>
      </c>
      <c r="U479" s="1" t="str">
        <f t="shared" si="22"/>
        <v>dez</v>
      </c>
      <c r="V479">
        <f t="shared" si="23"/>
        <v>2021</v>
      </c>
      <c r="W479">
        <f>_xlfn.XLOOKUP(A479,Absenteismo!A:A,Absenteismo!A:A,0)</f>
        <v>2000</v>
      </c>
    </row>
    <row r="480" spans="1:23" hidden="1" x14ac:dyDescent="0.3">
      <c r="A480">
        <v>2088</v>
      </c>
      <c r="B480">
        <v>32</v>
      </c>
      <c r="C480" t="s">
        <v>26</v>
      </c>
      <c r="D480" t="s">
        <v>22</v>
      </c>
      <c r="E480" t="s">
        <v>17</v>
      </c>
      <c r="F480" t="s">
        <v>23</v>
      </c>
      <c r="G480">
        <v>104</v>
      </c>
      <c r="H480">
        <v>6593</v>
      </c>
      <c r="I480" t="s">
        <v>30</v>
      </c>
      <c r="J480" s="2">
        <v>42974</v>
      </c>
      <c r="K480">
        <v>36</v>
      </c>
      <c r="L480" t="s">
        <v>20</v>
      </c>
      <c r="M480">
        <v>26</v>
      </c>
      <c r="N480">
        <v>8</v>
      </c>
      <c r="O480">
        <v>3</v>
      </c>
      <c r="P480" t="s">
        <v>25</v>
      </c>
      <c r="Q480" s="1">
        <v>2</v>
      </c>
      <c r="R480" s="2">
        <v>46174</v>
      </c>
      <c r="S480" s="2"/>
      <c r="T480" s="1" t="str">
        <f t="shared" si="21"/>
        <v>dom</v>
      </c>
      <c r="U480" s="1" t="str">
        <f t="shared" si="22"/>
        <v>ago</v>
      </c>
      <c r="V480">
        <f t="shared" si="23"/>
        <v>2017</v>
      </c>
      <c r="W480">
        <f>_xlfn.XLOOKUP(A480,Absenteismo!A:A,Absenteismo!A:A,0)</f>
        <v>2088</v>
      </c>
    </row>
    <row r="481" spans="1:23" hidden="1" x14ac:dyDescent="0.3">
      <c r="A481">
        <v>2100</v>
      </c>
      <c r="B481">
        <v>32</v>
      </c>
      <c r="C481" t="s">
        <v>26</v>
      </c>
      <c r="D481" t="s">
        <v>27</v>
      </c>
      <c r="E481" t="s">
        <v>17</v>
      </c>
      <c r="F481" t="s">
        <v>23</v>
      </c>
      <c r="G481">
        <v>84</v>
      </c>
      <c r="H481">
        <v>3059</v>
      </c>
      <c r="I481" t="s">
        <v>30</v>
      </c>
      <c r="J481" s="2">
        <v>43472</v>
      </c>
      <c r="K481">
        <v>26</v>
      </c>
      <c r="L481" t="s">
        <v>20</v>
      </c>
      <c r="M481">
        <v>35</v>
      </c>
      <c r="N481">
        <v>7</v>
      </c>
      <c r="O481">
        <v>2</v>
      </c>
      <c r="P481" t="s">
        <v>25</v>
      </c>
      <c r="Q481" s="1">
        <v>2</v>
      </c>
      <c r="R481" s="2">
        <v>46174</v>
      </c>
      <c r="S481" s="2"/>
      <c r="T481" s="1" t="str">
        <f t="shared" si="21"/>
        <v>seg</v>
      </c>
      <c r="U481" s="1" t="str">
        <f t="shared" si="22"/>
        <v>jan</v>
      </c>
      <c r="V481">
        <f t="shared" si="23"/>
        <v>2019</v>
      </c>
      <c r="W481">
        <f>_xlfn.XLOOKUP(A481,Absenteismo!A:A,Absenteismo!A:A,0)</f>
        <v>2100</v>
      </c>
    </row>
    <row r="482" spans="1:23" hidden="1" x14ac:dyDescent="0.3">
      <c r="A482">
        <v>2158</v>
      </c>
      <c r="B482">
        <v>32</v>
      </c>
      <c r="C482" t="s">
        <v>26</v>
      </c>
      <c r="D482" t="s">
        <v>27</v>
      </c>
      <c r="E482" t="s">
        <v>17</v>
      </c>
      <c r="F482" t="s">
        <v>18</v>
      </c>
      <c r="G482">
        <v>59</v>
      </c>
      <c r="H482">
        <v>3495</v>
      </c>
      <c r="I482" t="s">
        <v>28</v>
      </c>
      <c r="J482" s="2">
        <v>43975</v>
      </c>
      <c r="K482">
        <v>7</v>
      </c>
      <c r="L482" t="s">
        <v>20</v>
      </c>
      <c r="M482">
        <v>25</v>
      </c>
      <c r="N482">
        <v>1</v>
      </c>
      <c r="O482">
        <v>2</v>
      </c>
      <c r="P482" t="s">
        <v>25</v>
      </c>
      <c r="Q482" s="1">
        <v>2</v>
      </c>
      <c r="R482" s="2">
        <v>46174</v>
      </c>
      <c r="S482" s="2"/>
      <c r="T482" s="1" t="str">
        <f t="shared" si="21"/>
        <v>dom</v>
      </c>
      <c r="U482" s="1" t="str">
        <f t="shared" si="22"/>
        <v>mai</v>
      </c>
      <c r="V482">
        <f t="shared" si="23"/>
        <v>2020</v>
      </c>
      <c r="W482">
        <f>_xlfn.XLOOKUP(A482,Absenteismo!A:A,Absenteismo!A:A,0)</f>
        <v>2158</v>
      </c>
    </row>
    <row r="483" spans="1:23" x14ac:dyDescent="0.3">
      <c r="A483">
        <v>2172</v>
      </c>
      <c r="B483">
        <v>32</v>
      </c>
      <c r="C483" t="s">
        <v>15</v>
      </c>
      <c r="D483" t="s">
        <v>29</v>
      </c>
      <c r="E483" t="s">
        <v>17</v>
      </c>
      <c r="F483" t="s">
        <v>23</v>
      </c>
      <c r="G483">
        <v>43</v>
      </c>
      <c r="H483">
        <v>4450</v>
      </c>
      <c r="I483" t="s">
        <v>19</v>
      </c>
      <c r="J483" s="2">
        <v>44781</v>
      </c>
      <c r="K483">
        <v>22</v>
      </c>
      <c r="L483" t="s">
        <v>20</v>
      </c>
      <c r="M483">
        <v>20</v>
      </c>
      <c r="N483">
        <v>0</v>
      </c>
      <c r="O483">
        <v>2</v>
      </c>
      <c r="P483" t="s">
        <v>25</v>
      </c>
      <c r="Q483" s="1">
        <v>2</v>
      </c>
      <c r="R483" s="2">
        <v>46174</v>
      </c>
      <c r="S483" s="2"/>
      <c r="T483" s="1" t="str">
        <f t="shared" si="21"/>
        <v>seg</v>
      </c>
      <c r="U483" s="1" t="str">
        <f t="shared" si="22"/>
        <v>ago</v>
      </c>
      <c r="V483">
        <f t="shared" si="23"/>
        <v>2022</v>
      </c>
      <c r="W483">
        <f>_xlfn.XLOOKUP(A483,Absenteismo!A:A,Absenteismo!A:A,0)</f>
        <v>0</v>
      </c>
    </row>
    <row r="484" spans="1:23" hidden="1" x14ac:dyDescent="0.3">
      <c r="A484">
        <v>1897</v>
      </c>
      <c r="B484">
        <v>32</v>
      </c>
      <c r="C484" t="s">
        <v>15</v>
      </c>
      <c r="D484" t="s">
        <v>16</v>
      </c>
      <c r="E484" t="s">
        <v>17</v>
      </c>
      <c r="F484" t="s">
        <v>18</v>
      </c>
      <c r="G484">
        <v>66</v>
      </c>
      <c r="H484">
        <v>2964</v>
      </c>
      <c r="I484" t="s">
        <v>30</v>
      </c>
      <c r="J484" s="2">
        <v>43907</v>
      </c>
      <c r="K484">
        <v>31</v>
      </c>
      <c r="L484" t="s">
        <v>25</v>
      </c>
      <c r="M484">
        <v>11</v>
      </c>
      <c r="N484">
        <v>9</v>
      </c>
      <c r="O484">
        <v>2</v>
      </c>
      <c r="P484" t="s">
        <v>25</v>
      </c>
      <c r="Q484" s="1">
        <v>3</v>
      </c>
      <c r="R484" s="2">
        <v>46174</v>
      </c>
      <c r="S484" s="2"/>
      <c r="T484" s="1" t="str">
        <f t="shared" si="21"/>
        <v>ter</v>
      </c>
      <c r="U484" s="1" t="str">
        <f t="shared" si="22"/>
        <v>mar</v>
      </c>
      <c r="V484">
        <f t="shared" si="23"/>
        <v>2020</v>
      </c>
      <c r="W484">
        <f>_xlfn.XLOOKUP(A484,Absenteismo!A:A,Absenteismo!A:A,0)</f>
        <v>1897</v>
      </c>
    </row>
    <row r="485" spans="1:23" x14ac:dyDescent="0.3">
      <c r="A485">
        <v>2085</v>
      </c>
      <c r="B485">
        <v>32</v>
      </c>
      <c r="C485" t="s">
        <v>15</v>
      </c>
      <c r="D485" t="s">
        <v>22</v>
      </c>
      <c r="E485" t="s">
        <v>17</v>
      </c>
      <c r="F485" t="s">
        <v>23</v>
      </c>
      <c r="G485">
        <v>18</v>
      </c>
      <c r="H485">
        <v>6927</v>
      </c>
      <c r="I485" t="s">
        <v>24</v>
      </c>
      <c r="J485" s="2">
        <v>45467</v>
      </c>
      <c r="K485">
        <v>15</v>
      </c>
      <c r="L485" t="s">
        <v>25</v>
      </c>
      <c r="M485">
        <v>20</v>
      </c>
      <c r="N485">
        <v>9</v>
      </c>
      <c r="O485">
        <v>4</v>
      </c>
      <c r="P485" t="s">
        <v>25</v>
      </c>
      <c r="Q485" s="1">
        <v>3</v>
      </c>
      <c r="R485" s="2">
        <v>46174</v>
      </c>
      <c r="S485" s="2"/>
      <c r="T485" s="1" t="str">
        <f t="shared" si="21"/>
        <v>seg</v>
      </c>
      <c r="U485" s="1" t="str">
        <f t="shared" si="22"/>
        <v>jun</v>
      </c>
      <c r="V485">
        <f t="shared" si="23"/>
        <v>2024</v>
      </c>
      <c r="W485">
        <f>_xlfn.XLOOKUP(A485,Absenteismo!A:A,Absenteismo!A:A,0)</f>
        <v>0</v>
      </c>
    </row>
    <row r="486" spans="1:23" x14ac:dyDescent="0.3">
      <c r="A486">
        <v>2197</v>
      </c>
      <c r="B486">
        <v>32</v>
      </c>
      <c r="C486" t="s">
        <v>15</v>
      </c>
      <c r="D486" t="s">
        <v>16</v>
      </c>
      <c r="E486" t="s">
        <v>17</v>
      </c>
      <c r="F486" t="s">
        <v>18</v>
      </c>
      <c r="G486">
        <v>66</v>
      </c>
      <c r="H486">
        <v>2964</v>
      </c>
      <c r="I486" t="s">
        <v>30</v>
      </c>
      <c r="J486" s="2">
        <v>44059</v>
      </c>
      <c r="K486">
        <v>31</v>
      </c>
      <c r="L486" t="s">
        <v>25</v>
      </c>
      <c r="M486">
        <v>11</v>
      </c>
      <c r="N486">
        <v>9</v>
      </c>
      <c r="O486">
        <v>2</v>
      </c>
      <c r="P486" t="s">
        <v>25</v>
      </c>
      <c r="Q486" s="1">
        <v>3</v>
      </c>
      <c r="R486" s="2">
        <v>46174</v>
      </c>
      <c r="S486" s="2"/>
      <c r="T486" s="1" t="str">
        <f t="shared" si="21"/>
        <v>dom</v>
      </c>
      <c r="U486" s="1" t="str">
        <f t="shared" si="22"/>
        <v>ago</v>
      </c>
      <c r="V486">
        <f t="shared" si="23"/>
        <v>2020</v>
      </c>
      <c r="W486">
        <f>_xlfn.XLOOKUP(A486,Absenteismo!A:A,Absenteismo!A:A,0)</f>
        <v>0</v>
      </c>
    </row>
    <row r="487" spans="1:23" hidden="1" x14ac:dyDescent="0.3">
      <c r="A487">
        <v>1332</v>
      </c>
      <c r="B487">
        <v>33</v>
      </c>
      <c r="C487" t="s">
        <v>26</v>
      </c>
      <c r="D487" t="s">
        <v>16</v>
      </c>
      <c r="E487" t="s">
        <v>17</v>
      </c>
      <c r="F487" t="s">
        <v>21</v>
      </c>
      <c r="G487">
        <v>14</v>
      </c>
      <c r="H487">
        <v>5933</v>
      </c>
      <c r="I487" t="s">
        <v>30</v>
      </c>
      <c r="J487" s="2">
        <v>45391</v>
      </c>
      <c r="K487">
        <v>46</v>
      </c>
      <c r="L487" t="s">
        <v>20</v>
      </c>
      <c r="M487">
        <v>12</v>
      </c>
      <c r="N487">
        <v>7</v>
      </c>
      <c r="O487">
        <v>4</v>
      </c>
      <c r="P487" t="s">
        <v>20</v>
      </c>
      <c r="Q487" s="1">
        <v>1</v>
      </c>
      <c r="R487" s="2">
        <v>46174</v>
      </c>
      <c r="S487" s="2">
        <v>45817</v>
      </c>
      <c r="T487" s="1" t="str">
        <f t="shared" si="21"/>
        <v>ter</v>
      </c>
      <c r="U487" s="1" t="str">
        <f t="shared" si="22"/>
        <v>abr</v>
      </c>
      <c r="V487">
        <f t="shared" si="23"/>
        <v>2024</v>
      </c>
      <c r="W487">
        <f>_xlfn.XLOOKUP(A487,Absenteismo!A:A,Absenteismo!A:A,0)</f>
        <v>1332</v>
      </c>
    </row>
    <row r="488" spans="1:23" hidden="1" x14ac:dyDescent="0.3">
      <c r="A488">
        <v>1032</v>
      </c>
      <c r="B488">
        <v>33</v>
      </c>
      <c r="C488" t="s">
        <v>26</v>
      </c>
      <c r="D488" t="s">
        <v>16</v>
      </c>
      <c r="E488" t="s">
        <v>17</v>
      </c>
      <c r="F488" t="s">
        <v>21</v>
      </c>
      <c r="G488">
        <v>14</v>
      </c>
      <c r="H488">
        <v>5933</v>
      </c>
      <c r="I488" t="s">
        <v>30</v>
      </c>
      <c r="J488" s="2">
        <v>45433</v>
      </c>
      <c r="K488">
        <v>12</v>
      </c>
      <c r="L488" t="s">
        <v>20</v>
      </c>
      <c r="M488">
        <v>12</v>
      </c>
      <c r="N488">
        <v>7</v>
      </c>
      <c r="O488">
        <v>4</v>
      </c>
      <c r="P488" t="s">
        <v>20</v>
      </c>
      <c r="Q488" s="1">
        <v>3</v>
      </c>
      <c r="R488" s="2">
        <v>46174</v>
      </c>
      <c r="S488" s="2">
        <v>45859</v>
      </c>
      <c r="T488" s="1" t="str">
        <f t="shared" si="21"/>
        <v>ter</v>
      </c>
      <c r="U488" s="1" t="str">
        <f t="shared" si="22"/>
        <v>mai</v>
      </c>
      <c r="V488">
        <f t="shared" si="23"/>
        <v>2024</v>
      </c>
      <c r="W488">
        <f>_xlfn.XLOOKUP(A488,Absenteismo!A:A,Absenteismo!A:A,0)</f>
        <v>1032</v>
      </c>
    </row>
    <row r="489" spans="1:23" hidden="1" x14ac:dyDescent="0.3">
      <c r="A489">
        <v>1381</v>
      </c>
      <c r="B489">
        <v>33</v>
      </c>
      <c r="C489" t="s">
        <v>26</v>
      </c>
      <c r="D489" t="s">
        <v>29</v>
      </c>
      <c r="E489" t="s">
        <v>17</v>
      </c>
      <c r="F489" t="s">
        <v>23</v>
      </c>
      <c r="G489">
        <v>22</v>
      </c>
      <c r="H489">
        <v>4234</v>
      </c>
      <c r="I489" t="s">
        <v>30</v>
      </c>
      <c r="J489" s="2">
        <v>45194</v>
      </c>
      <c r="K489">
        <v>40</v>
      </c>
      <c r="L489" t="s">
        <v>25</v>
      </c>
      <c r="M489">
        <v>15</v>
      </c>
      <c r="N489">
        <v>7</v>
      </c>
      <c r="O489">
        <v>3</v>
      </c>
      <c r="P489" t="s">
        <v>20</v>
      </c>
      <c r="Q489" s="1">
        <v>3</v>
      </c>
      <c r="R489" s="2">
        <v>46174</v>
      </c>
      <c r="S489" s="2">
        <v>45863</v>
      </c>
      <c r="T489" s="1" t="str">
        <f t="shared" si="21"/>
        <v>seg</v>
      </c>
      <c r="U489" s="1" t="str">
        <f t="shared" si="22"/>
        <v>set</v>
      </c>
      <c r="V489">
        <f t="shared" si="23"/>
        <v>2023</v>
      </c>
      <c r="W489">
        <f>_xlfn.XLOOKUP(A489,Absenteismo!A:A,Absenteismo!A:A,0)</f>
        <v>1381</v>
      </c>
    </row>
    <row r="490" spans="1:23" hidden="1" x14ac:dyDescent="0.3">
      <c r="A490">
        <v>1286</v>
      </c>
      <c r="B490">
        <v>33</v>
      </c>
      <c r="C490" t="s">
        <v>26</v>
      </c>
      <c r="D490" t="s">
        <v>16</v>
      </c>
      <c r="E490" t="s">
        <v>17</v>
      </c>
      <c r="F490" t="s">
        <v>18</v>
      </c>
      <c r="G490">
        <v>116</v>
      </c>
      <c r="H490">
        <v>3084</v>
      </c>
      <c r="I490" t="s">
        <v>28</v>
      </c>
      <c r="J490" s="2">
        <v>42394</v>
      </c>
      <c r="K490">
        <v>37</v>
      </c>
      <c r="L490" t="s">
        <v>25</v>
      </c>
      <c r="M490">
        <v>9</v>
      </c>
      <c r="N490">
        <v>1</v>
      </c>
      <c r="O490">
        <v>5</v>
      </c>
      <c r="P490" t="s">
        <v>20</v>
      </c>
      <c r="Q490" s="1">
        <v>1</v>
      </c>
      <c r="R490" s="2">
        <v>46174</v>
      </c>
      <c r="S490" s="2">
        <v>45925</v>
      </c>
      <c r="T490" s="1" t="str">
        <f t="shared" si="21"/>
        <v>seg</v>
      </c>
      <c r="U490" s="1" t="str">
        <f t="shared" si="22"/>
        <v>jan</v>
      </c>
      <c r="V490">
        <f t="shared" si="23"/>
        <v>2016</v>
      </c>
      <c r="W490">
        <f>_xlfn.XLOOKUP(A490,Absenteismo!A:A,Absenteismo!A:A,0)</f>
        <v>1286</v>
      </c>
    </row>
    <row r="491" spans="1:23" hidden="1" x14ac:dyDescent="0.3">
      <c r="A491">
        <v>1817</v>
      </c>
      <c r="B491">
        <v>33</v>
      </c>
      <c r="C491" t="s">
        <v>26</v>
      </c>
      <c r="D491" t="s">
        <v>16</v>
      </c>
      <c r="E491" t="s">
        <v>17</v>
      </c>
      <c r="F491" t="s">
        <v>21</v>
      </c>
      <c r="G491">
        <v>6</v>
      </c>
      <c r="H491">
        <v>7413</v>
      </c>
      <c r="I491" t="s">
        <v>33</v>
      </c>
      <c r="J491" s="2">
        <v>45752</v>
      </c>
      <c r="K491">
        <v>5</v>
      </c>
      <c r="L491" t="s">
        <v>20</v>
      </c>
      <c r="M491">
        <v>27</v>
      </c>
      <c r="N491">
        <v>1</v>
      </c>
      <c r="O491">
        <v>2</v>
      </c>
      <c r="P491" t="s">
        <v>20</v>
      </c>
      <c r="Q491" s="1">
        <v>1</v>
      </c>
      <c r="R491" s="2">
        <v>46174</v>
      </c>
      <c r="S491" s="2">
        <v>45935</v>
      </c>
      <c r="T491" s="1" t="str">
        <f t="shared" si="21"/>
        <v>sáb</v>
      </c>
      <c r="U491" s="1" t="str">
        <f t="shared" si="22"/>
        <v>abr</v>
      </c>
      <c r="V491">
        <f t="shared" si="23"/>
        <v>2025</v>
      </c>
      <c r="W491">
        <f>_xlfn.XLOOKUP(A491,Absenteismo!A:A,Absenteismo!A:A,0)</f>
        <v>1817</v>
      </c>
    </row>
    <row r="492" spans="1:23" hidden="1" x14ac:dyDescent="0.3">
      <c r="A492">
        <v>1323</v>
      </c>
      <c r="B492">
        <v>33</v>
      </c>
      <c r="C492" t="s">
        <v>26</v>
      </c>
      <c r="D492" t="s">
        <v>16</v>
      </c>
      <c r="E492" t="s">
        <v>17</v>
      </c>
      <c r="F492" t="s">
        <v>21</v>
      </c>
      <c r="G492">
        <v>32</v>
      </c>
      <c r="H492">
        <v>3125</v>
      </c>
      <c r="I492" t="s">
        <v>28</v>
      </c>
      <c r="J492" s="2">
        <v>44982</v>
      </c>
      <c r="K492">
        <v>6</v>
      </c>
      <c r="L492" t="s">
        <v>20</v>
      </c>
      <c r="M492">
        <v>33</v>
      </c>
      <c r="N492">
        <v>5</v>
      </c>
      <c r="O492">
        <v>4</v>
      </c>
      <c r="P492" t="s">
        <v>20</v>
      </c>
      <c r="Q492" s="1">
        <v>1</v>
      </c>
      <c r="R492" s="2">
        <v>46174</v>
      </c>
      <c r="S492" s="2">
        <v>45955</v>
      </c>
      <c r="T492" s="1" t="str">
        <f t="shared" si="21"/>
        <v>sáb</v>
      </c>
      <c r="U492" s="1" t="str">
        <f t="shared" si="22"/>
        <v>fev</v>
      </c>
      <c r="V492">
        <f t="shared" si="23"/>
        <v>2023</v>
      </c>
      <c r="W492">
        <f>_xlfn.XLOOKUP(A492,Absenteismo!A:A,Absenteismo!A:A,0)</f>
        <v>1323</v>
      </c>
    </row>
    <row r="493" spans="1:23" hidden="1" x14ac:dyDescent="0.3">
      <c r="A493">
        <v>1681</v>
      </c>
      <c r="B493">
        <v>33</v>
      </c>
      <c r="C493" t="s">
        <v>26</v>
      </c>
      <c r="D493" t="s">
        <v>29</v>
      </c>
      <c r="E493" t="s">
        <v>17</v>
      </c>
      <c r="F493" t="s">
        <v>23</v>
      </c>
      <c r="G493">
        <v>22</v>
      </c>
      <c r="H493">
        <v>4234</v>
      </c>
      <c r="I493" t="s">
        <v>30</v>
      </c>
      <c r="J493" s="2">
        <v>45308</v>
      </c>
      <c r="K493">
        <v>40</v>
      </c>
      <c r="L493" t="s">
        <v>25</v>
      </c>
      <c r="M493">
        <v>15</v>
      </c>
      <c r="N493">
        <v>7</v>
      </c>
      <c r="O493">
        <v>3</v>
      </c>
      <c r="P493" t="s">
        <v>20</v>
      </c>
      <c r="Q493" s="1">
        <v>3</v>
      </c>
      <c r="R493" s="2">
        <v>46174</v>
      </c>
      <c r="S493" s="2">
        <v>45978</v>
      </c>
      <c r="T493" s="1" t="str">
        <f t="shared" si="21"/>
        <v>qua</v>
      </c>
      <c r="U493" s="1" t="str">
        <f t="shared" si="22"/>
        <v>jan</v>
      </c>
      <c r="V493">
        <f t="shared" si="23"/>
        <v>2024</v>
      </c>
      <c r="W493">
        <f>_xlfn.XLOOKUP(A493,Absenteismo!A:A,Absenteismo!A:A,0)</f>
        <v>1681</v>
      </c>
    </row>
    <row r="494" spans="1:23" hidden="1" x14ac:dyDescent="0.3">
      <c r="A494">
        <v>1517</v>
      </c>
      <c r="B494">
        <v>33</v>
      </c>
      <c r="C494" t="s">
        <v>26</v>
      </c>
      <c r="D494" t="s">
        <v>16</v>
      </c>
      <c r="E494" t="s">
        <v>17</v>
      </c>
      <c r="F494" t="s">
        <v>21</v>
      </c>
      <c r="G494">
        <v>6</v>
      </c>
      <c r="H494">
        <v>7413</v>
      </c>
      <c r="I494" t="s">
        <v>33</v>
      </c>
      <c r="J494" s="2">
        <v>45803</v>
      </c>
      <c r="K494">
        <v>5</v>
      </c>
      <c r="L494" t="s">
        <v>20</v>
      </c>
      <c r="M494">
        <v>27</v>
      </c>
      <c r="N494">
        <v>1</v>
      </c>
      <c r="O494">
        <v>2</v>
      </c>
      <c r="P494" t="s">
        <v>20</v>
      </c>
      <c r="Q494" s="1">
        <v>1</v>
      </c>
      <c r="R494" s="2">
        <v>46174</v>
      </c>
      <c r="S494" s="2">
        <v>45987</v>
      </c>
      <c r="T494" s="1" t="str">
        <f t="shared" si="21"/>
        <v>seg</v>
      </c>
      <c r="U494" s="1" t="str">
        <f t="shared" si="22"/>
        <v>mai</v>
      </c>
      <c r="V494">
        <f t="shared" si="23"/>
        <v>2025</v>
      </c>
      <c r="W494">
        <f>_xlfn.XLOOKUP(A494,Absenteismo!A:A,Absenteismo!A:A,0)</f>
        <v>1517</v>
      </c>
    </row>
    <row r="495" spans="1:23" x14ac:dyDescent="0.3">
      <c r="A495">
        <v>1023</v>
      </c>
      <c r="B495">
        <v>33</v>
      </c>
      <c r="C495" t="s">
        <v>26</v>
      </c>
      <c r="D495" t="s">
        <v>16</v>
      </c>
      <c r="E495" t="s">
        <v>17</v>
      </c>
      <c r="F495" t="s">
        <v>21</v>
      </c>
      <c r="G495">
        <v>32</v>
      </c>
      <c r="H495">
        <v>3125</v>
      </c>
      <c r="I495" t="s">
        <v>28</v>
      </c>
      <c r="J495" s="2">
        <v>45035</v>
      </c>
      <c r="K495">
        <v>6</v>
      </c>
      <c r="L495" t="s">
        <v>20</v>
      </c>
      <c r="M495">
        <v>33</v>
      </c>
      <c r="N495">
        <v>5</v>
      </c>
      <c r="O495">
        <v>4</v>
      </c>
      <c r="P495" t="s">
        <v>20</v>
      </c>
      <c r="Q495" s="1">
        <v>2</v>
      </c>
      <c r="R495" s="2">
        <v>46174</v>
      </c>
      <c r="S495" s="2">
        <v>46010</v>
      </c>
      <c r="T495" s="1" t="str">
        <f t="shared" si="21"/>
        <v>qua</v>
      </c>
      <c r="U495" s="1" t="str">
        <f t="shared" si="22"/>
        <v>abr</v>
      </c>
      <c r="V495">
        <f t="shared" si="23"/>
        <v>2023</v>
      </c>
      <c r="W495">
        <f>_xlfn.XLOOKUP(A495,Absenteismo!A:A,Absenteismo!A:A,0)</f>
        <v>0</v>
      </c>
    </row>
    <row r="496" spans="1:23" hidden="1" x14ac:dyDescent="0.3">
      <c r="A496">
        <v>1276</v>
      </c>
      <c r="B496">
        <v>33</v>
      </c>
      <c r="C496" t="s">
        <v>15</v>
      </c>
      <c r="D496" t="s">
        <v>27</v>
      </c>
      <c r="E496" t="s">
        <v>17</v>
      </c>
      <c r="F496" t="s">
        <v>23</v>
      </c>
      <c r="G496">
        <v>120</v>
      </c>
      <c r="H496">
        <v>6864</v>
      </c>
      <c r="I496" t="s">
        <v>19</v>
      </c>
      <c r="J496" s="2">
        <v>42359</v>
      </c>
      <c r="K496">
        <v>22</v>
      </c>
      <c r="L496" t="s">
        <v>20</v>
      </c>
      <c r="M496">
        <v>15</v>
      </c>
      <c r="N496">
        <v>5</v>
      </c>
      <c r="O496">
        <v>4</v>
      </c>
      <c r="P496" t="s">
        <v>20</v>
      </c>
      <c r="Q496" s="1">
        <v>3</v>
      </c>
      <c r="R496" s="2">
        <v>46174</v>
      </c>
      <c r="S496" s="2">
        <v>46012</v>
      </c>
      <c r="T496" s="1" t="str">
        <f t="shared" si="21"/>
        <v>seg</v>
      </c>
      <c r="U496" s="1" t="str">
        <f t="shared" si="22"/>
        <v>dez</v>
      </c>
      <c r="V496">
        <f t="shared" si="23"/>
        <v>2015</v>
      </c>
      <c r="W496">
        <f>_xlfn.XLOOKUP(A496,Absenteismo!A:A,Absenteismo!A:A,0)</f>
        <v>1276</v>
      </c>
    </row>
    <row r="497" spans="1:23" hidden="1" x14ac:dyDescent="0.3">
      <c r="A497">
        <v>1586</v>
      </c>
      <c r="B497">
        <v>33</v>
      </c>
      <c r="C497" t="s">
        <v>26</v>
      </c>
      <c r="D497" t="s">
        <v>16</v>
      </c>
      <c r="E497" t="s">
        <v>17</v>
      </c>
      <c r="F497" t="s">
        <v>18</v>
      </c>
      <c r="G497">
        <v>116</v>
      </c>
      <c r="H497">
        <v>3084</v>
      </c>
      <c r="I497" t="s">
        <v>28</v>
      </c>
      <c r="J497" s="2">
        <v>42501</v>
      </c>
      <c r="K497">
        <v>37</v>
      </c>
      <c r="L497" t="s">
        <v>25</v>
      </c>
      <c r="M497">
        <v>9</v>
      </c>
      <c r="N497">
        <v>1</v>
      </c>
      <c r="O497">
        <v>5</v>
      </c>
      <c r="P497" t="s">
        <v>20</v>
      </c>
      <c r="Q497" s="1">
        <v>2</v>
      </c>
      <c r="R497" s="2">
        <v>46174</v>
      </c>
      <c r="S497" s="2">
        <v>46033</v>
      </c>
      <c r="T497" s="1" t="str">
        <f t="shared" si="21"/>
        <v>qua</v>
      </c>
      <c r="U497" s="1" t="str">
        <f t="shared" si="22"/>
        <v>mai</v>
      </c>
      <c r="V497">
        <f t="shared" si="23"/>
        <v>2016</v>
      </c>
      <c r="W497">
        <f>_xlfn.XLOOKUP(A497,Absenteismo!A:A,Absenteismo!A:A,0)</f>
        <v>1586</v>
      </c>
    </row>
    <row r="498" spans="1:23" x14ac:dyDescent="0.3">
      <c r="A498">
        <v>1081</v>
      </c>
      <c r="B498">
        <v>33</v>
      </c>
      <c r="C498" t="s">
        <v>26</v>
      </c>
      <c r="D498" t="s">
        <v>29</v>
      </c>
      <c r="E498" t="s">
        <v>17</v>
      </c>
      <c r="F498" t="s">
        <v>23</v>
      </c>
      <c r="G498">
        <v>22</v>
      </c>
      <c r="H498">
        <v>4234</v>
      </c>
      <c r="I498" t="s">
        <v>30</v>
      </c>
      <c r="J498" s="2">
        <v>45400</v>
      </c>
      <c r="K498">
        <v>40</v>
      </c>
      <c r="L498" t="s">
        <v>25</v>
      </c>
      <c r="M498">
        <v>15</v>
      </c>
      <c r="N498">
        <v>7</v>
      </c>
      <c r="O498">
        <v>3</v>
      </c>
      <c r="P498" t="s">
        <v>20</v>
      </c>
      <c r="Q498" s="1">
        <v>3</v>
      </c>
      <c r="R498" s="2">
        <v>46174</v>
      </c>
      <c r="S498" s="2">
        <v>46071</v>
      </c>
      <c r="T498" s="1" t="str">
        <f t="shared" si="21"/>
        <v>qui</v>
      </c>
      <c r="U498" s="1" t="str">
        <f t="shared" si="22"/>
        <v>abr</v>
      </c>
      <c r="V498">
        <f t="shared" si="23"/>
        <v>2024</v>
      </c>
      <c r="W498">
        <f>_xlfn.XLOOKUP(A498,Absenteismo!A:A,Absenteismo!A:A,0)</f>
        <v>0</v>
      </c>
    </row>
    <row r="499" spans="1:23" hidden="1" x14ac:dyDescent="0.3">
      <c r="A499">
        <v>1217</v>
      </c>
      <c r="B499">
        <v>33</v>
      </c>
      <c r="C499" t="s">
        <v>26</v>
      </c>
      <c r="D499" t="s">
        <v>16</v>
      </c>
      <c r="E499" t="s">
        <v>17</v>
      </c>
      <c r="F499" t="s">
        <v>21</v>
      </c>
      <c r="G499">
        <v>6</v>
      </c>
      <c r="H499">
        <v>7413</v>
      </c>
      <c r="I499" t="s">
        <v>33</v>
      </c>
      <c r="J499" s="2">
        <v>45926</v>
      </c>
      <c r="K499">
        <v>12</v>
      </c>
      <c r="L499" t="s">
        <v>20</v>
      </c>
      <c r="M499">
        <v>27</v>
      </c>
      <c r="N499">
        <v>1</v>
      </c>
      <c r="O499">
        <v>2</v>
      </c>
      <c r="P499" t="s">
        <v>20</v>
      </c>
      <c r="Q499" s="1">
        <v>3</v>
      </c>
      <c r="R499" s="2">
        <v>46174</v>
      </c>
      <c r="S499" s="2">
        <v>46107</v>
      </c>
      <c r="T499" s="1" t="str">
        <f t="shared" si="21"/>
        <v>sex</v>
      </c>
      <c r="U499" s="1" t="str">
        <f t="shared" si="22"/>
        <v>set</v>
      </c>
      <c r="V499">
        <f t="shared" si="23"/>
        <v>2025</v>
      </c>
      <c r="W499">
        <f>_xlfn.XLOOKUP(A499,Absenteismo!A:A,Absenteismo!A:A,0)</f>
        <v>1217</v>
      </c>
    </row>
    <row r="500" spans="1:23" hidden="1" x14ac:dyDescent="0.3">
      <c r="A500">
        <v>1623</v>
      </c>
      <c r="B500">
        <v>33</v>
      </c>
      <c r="C500" t="s">
        <v>26</v>
      </c>
      <c r="D500" t="s">
        <v>16</v>
      </c>
      <c r="E500" t="s">
        <v>17</v>
      </c>
      <c r="F500" t="s">
        <v>21</v>
      </c>
      <c r="G500">
        <v>32</v>
      </c>
      <c r="H500">
        <v>3125</v>
      </c>
      <c r="I500" t="s">
        <v>28</v>
      </c>
      <c r="J500" s="2">
        <v>45156</v>
      </c>
      <c r="K500">
        <v>6</v>
      </c>
      <c r="L500" t="s">
        <v>20</v>
      </c>
      <c r="M500">
        <v>33</v>
      </c>
      <c r="N500">
        <v>5</v>
      </c>
      <c r="O500">
        <v>4</v>
      </c>
      <c r="P500" t="s">
        <v>20</v>
      </c>
      <c r="Q500" s="1">
        <v>3</v>
      </c>
      <c r="R500" s="2">
        <v>46174</v>
      </c>
      <c r="S500" s="2">
        <v>46130</v>
      </c>
      <c r="T500" s="1" t="str">
        <f t="shared" si="21"/>
        <v>sex</v>
      </c>
      <c r="U500" s="1" t="str">
        <f t="shared" si="22"/>
        <v>ago</v>
      </c>
      <c r="V500">
        <f t="shared" si="23"/>
        <v>2023</v>
      </c>
      <c r="W500">
        <f>_xlfn.XLOOKUP(A500,Absenteismo!A:A,Absenteismo!A:A,0)</f>
        <v>1623</v>
      </c>
    </row>
    <row r="501" spans="1:23" hidden="1" x14ac:dyDescent="0.3">
      <c r="A501">
        <v>1632</v>
      </c>
      <c r="B501">
        <v>33</v>
      </c>
      <c r="C501" t="s">
        <v>26</v>
      </c>
      <c r="D501" t="s">
        <v>16</v>
      </c>
      <c r="E501" t="s">
        <v>17</v>
      </c>
      <c r="F501" t="s">
        <v>21</v>
      </c>
      <c r="G501">
        <v>14</v>
      </c>
      <c r="H501">
        <v>5933</v>
      </c>
      <c r="I501" t="s">
        <v>30</v>
      </c>
      <c r="J501" s="2">
        <v>45709</v>
      </c>
      <c r="K501">
        <v>46</v>
      </c>
      <c r="L501" t="s">
        <v>20</v>
      </c>
      <c r="M501">
        <v>12</v>
      </c>
      <c r="N501">
        <v>7</v>
      </c>
      <c r="O501">
        <v>4</v>
      </c>
      <c r="P501" t="s">
        <v>20</v>
      </c>
      <c r="Q501" s="1">
        <v>1</v>
      </c>
      <c r="R501" s="2">
        <v>46174</v>
      </c>
      <c r="S501" s="2">
        <v>46133</v>
      </c>
      <c r="T501" s="1" t="str">
        <f t="shared" si="21"/>
        <v>sex</v>
      </c>
      <c r="U501" s="1" t="str">
        <f t="shared" si="22"/>
        <v>fev</v>
      </c>
      <c r="V501">
        <f t="shared" si="23"/>
        <v>2025</v>
      </c>
      <c r="W501">
        <f>_xlfn.XLOOKUP(A501,Absenteismo!A:A,Absenteismo!A:A,0)</f>
        <v>1632</v>
      </c>
    </row>
    <row r="502" spans="1:23" x14ac:dyDescent="0.3">
      <c r="A502">
        <v>1043</v>
      </c>
      <c r="B502">
        <v>33</v>
      </c>
      <c r="C502" t="s">
        <v>26</v>
      </c>
      <c r="D502" t="s">
        <v>22</v>
      </c>
      <c r="E502" t="s">
        <v>17</v>
      </c>
      <c r="F502" t="s">
        <v>21</v>
      </c>
      <c r="G502">
        <v>63</v>
      </c>
      <c r="H502">
        <v>4759</v>
      </c>
      <c r="I502" t="s">
        <v>24</v>
      </c>
      <c r="J502" s="2">
        <v>43907</v>
      </c>
      <c r="K502">
        <v>29</v>
      </c>
      <c r="L502" t="s">
        <v>20</v>
      </c>
      <c r="M502">
        <v>18</v>
      </c>
      <c r="N502">
        <v>3</v>
      </c>
      <c r="O502">
        <v>4</v>
      </c>
      <c r="P502" t="s">
        <v>25</v>
      </c>
      <c r="Q502" s="1">
        <v>1</v>
      </c>
      <c r="R502" s="2">
        <v>46174</v>
      </c>
      <c r="S502" s="2"/>
      <c r="T502" s="1" t="str">
        <f t="shared" si="21"/>
        <v>ter</v>
      </c>
      <c r="U502" s="1" t="str">
        <f t="shared" si="22"/>
        <v>mar</v>
      </c>
      <c r="V502">
        <f t="shared" si="23"/>
        <v>2020</v>
      </c>
      <c r="W502">
        <f>_xlfn.XLOOKUP(A502,Absenteismo!A:A,Absenteismo!A:A,0)</f>
        <v>0</v>
      </c>
    </row>
    <row r="503" spans="1:23" x14ac:dyDescent="0.3">
      <c r="A503">
        <v>1124</v>
      </c>
      <c r="B503">
        <v>33</v>
      </c>
      <c r="C503" t="s">
        <v>26</v>
      </c>
      <c r="D503" t="s">
        <v>27</v>
      </c>
      <c r="E503" t="s">
        <v>17</v>
      </c>
      <c r="F503" t="s">
        <v>21</v>
      </c>
      <c r="G503">
        <v>101</v>
      </c>
      <c r="H503">
        <v>6477</v>
      </c>
      <c r="I503" t="s">
        <v>19</v>
      </c>
      <c r="J503" s="2">
        <v>42730</v>
      </c>
      <c r="K503">
        <v>35</v>
      </c>
      <c r="L503" t="s">
        <v>20</v>
      </c>
      <c r="M503">
        <v>30</v>
      </c>
      <c r="N503">
        <v>3</v>
      </c>
      <c r="O503">
        <v>4</v>
      </c>
      <c r="P503" t="s">
        <v>25</v>
      </c>
      <c r="Q503" s="1">
        <v>3</v>
      </c>
      <c r="R503" s="2">
        <v>46174</v>
      </c>
      <c r="S503" s="2"/>
      <c r="T503" s="1" t="str">
        <f t="shared" si="21"/>
        <v>seg</v>
      </c>
      <c r="U503" s="1" t="str">
        <f t="shared" si="22"/>
        <v>dez</v>
      </c>
      <c r="V503">
        <f t="shared" si="23"/>
        <v>2016</v>
      </c>
      <c r="W503">
        <f>_xlfn.XLOOKUP(A503,Absenteismo!A:A,Absenteismo!A:A,0)</f>
        <v>0</v>
      </c>
    </row>
    <row r="504" spans="1:23" hidden="1" x14ac:dyDescent="0.3">
      <c r="A504">
        <v>1234</v>
      </c>
      <c r="B504">
        <v>33</v>
      </c>
      <c r="C504" t="s">
        <v>26</v>
      </c>
      <c r="D504" t="s">
        <v>29</v>
      </c>
      <c r="E504" t="s">
        <v>17</v>
      </c>
      <c r="F504" t="s">
        <v>21</v>
      </c>
      <c r="G504">
        <v>81</v>
      </c>
      <c r="H504">
        <v>5001</v>
      </c>
      <c r="I504" t="s">
        <v>33</v>
      </c>
      <c r="J504" s="2">
        <v>43601</v>
      </c>
      <c r="K504">
        <v>25</v>
      </c>
      <c r="L504" t="s">
        <v>20</v>
      </c>
      <c r="M504">
        <v>5</v>
      </c>
      <c r="N504">
        <v>6</v>
      </c>
      <c r="O504">
        <v>4</v>
      </c>
      <c r="P504" t="s">
        <v>25</v>
      </c>
      <c r="Q504" s="1">
        <v>2</v>
      </c>
      <c r="R504" s="2">
        <v>46174</v>
      </c>
      <c r="S504" s="2"/>
      <c r="T504" s="1" t="str">
        <f t="shared" si="21"/>
        <v>qui</v>
      </c>
      <c r="U504" s="1" t="str">
        <f t="shared" si="22"/>
        <v>mai</v>
      </c>
      <c r="V504">
        <f t="shared" si="23"/>
        <v>2019</v>
      </c>
      <c r="W504">
        <f>_xlfn.XLOOKUP(A504,Absenteismo!A:A,Absenteismo!A:A,0)</f>
        <v>1234</v>
      </c>
    </row>
    <row r="505" spans="1:23" x14ac:dyDescent="0.3">
      <c r="A505">
        <v>1343</v>
      </c>
      <c r="B505">
        <v>33</v>
      </c>
      <c r="C505" t="s">
        <v>26</v>
      </c>
      <c r="D505" t="s">
        <v>22</v>
      </c>
      <c r="E505" t="s">
        <v>17</v>
      </c>
      <c r="F505" t="s">
        <v>21</v>
      </c>
      <c r="G505">
        <v>63</v>
      </c>
      <c r="H505">
        <v>4759</v>
      </c>
      <c r="I505" t="s">
        <v>24</v>
      </c>
      <c r="J505" s="2">
        <v>44039</v>
      </c>
      <c r="K505">
        <v>29</v>
      </c>
      <c r="L505" t="s">
        <v>20</v>
      </c>
      <c r="M505">
        <v>18</v>
      </c>
      <c r="N505">
        <v>3</v>
      </c>
      <c r="O505">
        <v>4</v>
      </c>
      <c r="P505" t="s">
        <v>25</v>
      </c>
      <c r="Q505" s="1">
        <v>1</v>
      </c>
      <c r="R505" s="2">
        <v>46174</v>
      </c>
      <c r="S505" s="2"/>
      <c r="T505" s="1" t="str">
        <f t="shared" si="21"/>
        <v>seg</v>
      </c>
      <c r="U505" s="1" t="str">
        <f t="shared" si="22"/>
        <v>jul</v>
      </c>
      <c r="V505">
        <f t="shared" si="23"/>
        <v>2020</v>
      </c>
      <c r="W505">
        <f>_xlfn.XLOOKUP(A505,Absenteismo!A:A,Absenteismo!A:A,0)</f>
        <v>0</v>
      </c>
    </row>
    <row r="506" spans="1:23" hidden="1" x14ac:dyDescent="0.3">
      <c r="A506">
        <v>1424</v>
      </c>
      <c r="B506">
        <v>33</v>
      </c>
      <c r="C506" t="s">
        <v>26</v>
      </c>
      <c r="D506" t="s">
        <v>27</v>
      </c>
      <c r="E506" t="s">
        <v>17</v>
      </c>
      <c r="F506" t="s">
        <v>21</v>
      </c>
      <c r="G506">
        <v>101</v>
      </c>
      <c r="H506">
        <v>6477</v>
      </c>
      <c r="I506" t="s">
        <v>19</v>
      </c>
      <c r="J506" s="2">
        <v>42963</v>
      </c>
      <c r="K506">
        <v>35</v>
      </c>
      <c r="L506" t="s">
        <v>20</v>
      </c>
      <c r="M506">
        <v>30</v>
      </c>
      <c r="N506">
        <v>3</v>
      </c>
      <c r="O506">
        <v>4</v>
      </c>
      <c r="P506" t="s">
        <v>25</v>
      </c>
      <c r="Q506" s="1">
        <v>3</v>
      </c>
      <c r="R506" s="2">
        <v>46174</v>
      </c>
      <c r="S506" s="2"/>
      <c r="T506" s="1" t="str">
        <f t="shared" si="21"/>
        <v>qua</v>
      </c>
      <c r="U506" s="1" t="str">
        <f t="shared" si="22"/>
        <v>ago</v>
      </c>
      <c r="V506">
        <f t="shared" si="23"/>
        <v>2017</v>
      </c>
      <c r="W506">
        <f>_xlfn.XLOOKUP(A506,Absenteismo!A:A,Absenteismo!A:A,0)</f>
        <v>1424</v>
      </c>
    </row>
    <row r="507" spans="1:23" hidden="1" x14ac:dyDescent="0.3">
      <c r="A507">
        <v>1534</v>
      </c>
      <c r="B507">
        <v>33</v>
      </c>
      <c r="C507" t="s">
        <v>26</v>
      </c>
      <c r="D507" t="s">
        <v>29</v>
      </c>
      <c r="E507" t="s">
        <v>17</v>
      </c>
      <c r="F507" t="s">
        <v>21</v>
      </c>
      <c r="G507">
        <v>81</v>
      </c>
      <c r="H507">
        <v>5001</v>
      </c>
      <c r="I507" t="s">
        <v>33</v>
      </c>
      <c r="J507" s="2">
        <v>43319</v>
      </c>
      <c r="K507">
        <v>25</v>
      </c>
      <c r="L507" t="s">
        <v>20</v>
      </c>
      <c r="M507">
        <v>5</v>
      </c>
      <c r="N507">
        <v>6</v>
      </c>
      <c r="O507">
        <v>4</v>
      </c>
      <c r="P507" t="s">
        <v>25</v>
      </c>
      <c r="Q507" s="1">
        <v>1</v>
      </c>
      <c r="R507" s="2">
        <v>46174</v>
      </c>
      <c r="S507" s="2"/>
      <c r="T507" s="1" t="str">
        <f t="shared" si="21"/>
        <v>ter</v>
      </c>
      <c r="U507" s="1" t="str">
        <f t="shared" si="22"/>
        <v>ago</v>
      </c>
      <c r="V507">
        <f t="shared" si="23"/>
        <v>2018</v>
      </c>
      <c r="W507">
        <f>_xlfn.XLOOKUP(A507,Absenteismo!A:A,Absenteismo!A:A,0)</f>
        <v>1534</v>
      </c>
    </row>
    <row r="508" spans="1:23" x14ac:dyDescent="0.3">
      <c r="A508">
        <v>1643</v>
      </c>
      <c r="B508">
        <v>33</v>
      </c>
      <c r="C508" t="s">
        <v>26</v>
      </c>
      <c r="D508" t="s">
        <v>22</v>
      </c>
      <c r="E508" t="s">
        <v>17</v>
      </c>
      <c r="F508" t="s">
        <v>21</v>
      </c>
      <c r="G508">
        <v>63</v>
      </c>
      <c r="H508">
        <v>4759</v>
      </c>
      <c r="I508" t="s">
        <v>24</v>
      </c>
      <c r="J508" s="2">
        <v>44152</v>
      </c>
      <c r="K508">
        <v>29</v>
      </c>
      <c r="L508" t="s">
        <v>20</v>
      </c>
      <c r="M508">
        <v>18</v>
      </c>
      <c r="N508">
        <v>3</v>
      </c>
      <c r="O508">
        <v>4</v>
      </c>
      <c r="P508" t="s">
        <v>25</v>
      </c>
      <c r="Q508" s="1">
        <v>2</v>
      </c>
      <c r="R508" s="2">
        <v>46174</v>
      </c>
      <c r="S508" s="2"/>
      <c r="T508" s="1" t="str">
        <f t="shared" si="21"/>
        <v>ter</v>
      </c>
      <c r="U508" s="1" t="str">
        <f t="shared" si="22"/>
        <v>nov</v>
      </c>
      <c r="V508">
        <f t="shared" si="23"/>
        <v>2020</v>
      </c>
      <c r="W508">
        <f>_xlfn.XLOOKUP(A508,Absenteismo!A:A,Absenteismo!A:A,0)</f>
        <v>0</v>
      </c>
    </row>
    <row r="509" spans="1:23" hidden="1" x14ac:dyDescent="0.3">
      <c r="A509">
        <v>1724</v>
      </c>
      <c r="B509">
        <v>33</v>
      </c>
      <c r="C509" t="s">
        <v>26</v>
      </c>
      <c r="D509" t="s">
        <v>27</v>
      </c>
      <c r="E509" t="s">
        <v>17</v>
      </c>
      <c r="F509" t="s">
        <v>21</v>
      </c>
      <c r="G509">
        <v>101</v>
      </c>
      <c r="H509">
        <v>6477</v>
      </c>
      <c r="I509" t="s">
        <v>19</v>
      </c>
      <c r="J509" s="2">
        <v>42915</v>
      </c>
      <c r="K509">
        <v>35</v>
      </c>
      <c r="L509" t="s">
        <v>20</v>
      </c>
      <c r="M509">
        <v>30</v>
      </c>
      <c r="N509">
        <v>3</v>
      </c>
      <c r="O509">
        <v>4</v>
      </c>
      <c r="P509" t="s">
        <v>25</v>
      </c>
      <c r="Q509" s="1">
        <v>1</v>
      </c>
      <c r="R509" s="2">
        <v>46174</v>
      </c>
      <c r="S509" s="2"/>
      <c r="T509" s="1" t="str">
        <f t="shared" si="21"/>
        <v>qui</v>
      </c>
      <c r="U509" s="1" t="str">
        <f t="shared" si="22"/>
        <v>jun</v>
      </c>
      <c r="V509">
        <f t="shared" si="23"/>
        <v>2017</v>
      </c>
      <c r="W509">
        <f>_xlfn.XLOOKUP(A509,Absenteismo!A:A,Absenteismo!A:A,0)</f>
        <v>1724</v>
      </c>
    </row>
    <row r="510" spans="1:23" hidden="1" x14ac:dyDescent="0.3">
      <c r="A510">
        <v>1834</v>
      </c>
      <c r="B510">
        <v>33</v>
      </c>
      <c r="C510" t="s">
        <v>26</v>
      </c>
      <c r="D510" t="s">
        <v>29</v>
      </c>
      <c r="E510" t="s">
        <v>17</v>
      </c>
      <c r="F510" t="s">
        <v>21</v>
      </c>
      <c r="G510">
        <v>81</v>
      </c>
      <c r="H510">
        <v>5001</v>
      </c>
      <c r="I510" t="s">
        <v>33</v>
      </c>
      <c r="J510" s="2">
        <v>43568</v>
      </c>
      <c r="K510">
        <v>25</v>
      </c>
      <c r="L510" t="s">
        <v>20</v>
      </c>
      <c r="M510">
        <v>5</v>
      </c>
      <c r="N510">
        <v>6</v>
      </c>
      <c r="O510">
        <v>4</v>
      </c>
      <c r="P510" t="s">
        <v>25</v>
      </c>
      <c r="Q510" s="1">
        <v>1</v>
      </c>
      <c r="R510" s="2">
        <v>46174</v>
      </c>
      <c r="S510" s="2"/>
      <c r="T510" s="1" t="str">
        <f t="shared" si="21"/>
        <v>sáb</v>
      </c>
      <c r="U510" s="1" t="str">
        <f t="shared" si="22"/>
        <v>abr</v>
      </c>
      <c r="V510">
        <f t="shared" si="23"/>
        <v>2019</v>
      </c>
      <c r="W510">
        <f>_xlfn.XLOOKUP(A510,Absenteismo!A:A,Absenteismo!A:A,0)</f>
        <v>1834</v>
      </c>
    </row>
    <row r="511" spans="1:23" x14ac:dyDescent="0.3">
      <c r="A511">
        <v>1943</v>
      </c>
      <c r="B511">
        <v>33</v>
      </c>
      <c r="C511" t="s">
        <v>26</v>
      </c>
      <c r="D511" t="s">
        <v>22</v>
      </c>
      <c r="E511" t="s">
        <v>17</v>
      </c>
      <c r="F511" t="s">
        <v>21</v>
      </c>
      <c r="G511">
        <v>63</v>
      </c>
      <c r="H511">
        <v>4759</v>
      </c>
      <c r="I511" t="s">
        <v>24</v>
      </c>
      <c r="J511" s="2">
        <v>43971</v>
      </c>
      <c r="K511">
        <v>29</v>
      </c>
      <c r="L511" t="s">
        <v>20</v>
      </c>
      <c r="M511">
        <v>18</v>
      </c>
      <c r="N511">
        <v>3</v>
      </c>
      <c r="O511">
        <v>4</v>
      </c>
      <c r="P511" t="s">
        <v>25</v>
      </c>
      <c r="Q511" s="1">
        <v>3</v>
      </c>
      <c r="R511" s="2">
        <v>46174</v>
      </c>
      <c r="S511" s="2"/>
      <c r="T511" s="1" t="str">
        <f t="shared" si="21"/>
        <v>qua</v>
      </c>
      <c r="U511" s="1" t="str">
        <f t="shared" si="22"/>
        <v>mai</v>
      </c>
      <c r="V511">
        <f t="shared" si="23"/>
        <v>2020</v>
      </c>
      <c r="W511">
        <f>_xlfn.XLOOKUP(A511,Absenteismo!A:A,Absenteismo!A:A,0)</f>
        <v>0</v>
      </c>
    </row>
    <row r="512" spans="1:23" hidden="1" x14ac:dyDescent="0.3">
      <c r="A512">
        <v>2024</v>
      </c>
      <c r="B512">
        <v>33</v>
      </c>
      <c r="C512" t="s">
        <v>26</v>
      </c>
      <c r="D512" t="s">
        <v>27</v>
      </c>
      <c r="E512" t="s">
        <v>17</v>
      </c>
      <c r="F512" t="s">
        <v>21</v>
      </c>
      <c r="G512">
        <v>101</v>
      </c>
      <c r="H512">
        <v>6477</v>
      </c>
      <c r="I512" t="s">
        <v>19</v>
      </c>
      <c r="J512" s="2">
        <v>42832</v>
      </c>
      <c r="K512">
        <v>35</v>
      </c>
      <c r="L512" t="s">
        <v>20</v>
      </c>
      <c r="M512">
        <v>30</v>
      </c>
      <c r="N512">
        <v>3</v>
      </c>
      <c r="O512">
        <v>4</v>
      </c>
      <c r="P512" t="s">
        <v>25</v>
      </c>
      <c r="Q512" s="1">
        <v>2</v>
      </c>
      <c r="R512" s="2">
        <v>46174</v>
      </c>
      <c r="S512" s="2"/>
      <c r="T512" s="1" t="str">
        <f t="shared" si="21"/>
        <v>sex</v>
      </c>
      <c r="U512" s="1" t="str">
        <f t="shared" si="22"/>
        <v>abr</v>
      </c>
      <c r="V512">
        <f t="shared" si="23"/>
        <v>2017</v>
      </c>
      <c r="W512">
        <f>_xlfn.XLOOKUP(A512,Absenteismo!A:A,Absenteismo!A:A,0)</f>
        <v>2024</v>
      </c>
    </row>
    <row r="513" spans="1:23" hidden="1" x14ac:dyDescent="0.3">
      <c r="A513">
        <v>2134</v>
      </c>
      <c r="B513">
        <v>33</v>
      </c>
      <c r="C513" t="s">
        <v>26</v>
      </c>
      <c r="D513" t="s">
        <v>29</v>
      </c>
      <c r="E513" t="s">
        <v>17</v>
      </c>
      <c r="F513" t="s">
        <v>21</v>
      </c>
      <c r="G513">
        <v>81</v>
      </c>
      <c r="H513">
        <v>5001</v>
      </c>
      <c r="I513" t="s">
        <v>33</v>
      </c>
      <c r="J513" s="2">
        <v>43565</v>
      </c>
      <c r="K513">
        <v>25</v>
      </c>
      <c r="L513" t="s">
        <v>20</v>
      </c>
      <c r="M513">
        <v>5</v>
      </c>
      <c r="N513">
        <v>6</v>
      </c>
      <c r="O513">
        <v>4</v>
      </c>
      <c r="P513" t="s">
        <v>25</v>
      </c>
      <c r="Q513" s="1">
        <v>2</v>
      </c>
      <c r="R513" s="2">
        <v>46174</v>
      </c>
      <c r="S513" s="2"/>
      <c r="T513" s="1" t="str">
        <f t="shared" si="21"/>
        <v>qua</v>
      </c>
      <c r="U513" s="1" t="str">
        <f t="shared" si="22"/>
        <v>abr</v>
      </c>
      <c r="V513">
        <f t="shared" si="23"/>
        <v>2019</v>
      </c>
      <c r="W513">
        <f>_xlfn.XLOOKUP(A513,Absenteismo!A:A,Absenteismo!A:A,0)</f>
        <v>2134</v>
      </c>
    </row>
    <row r="514" spans="1:23" hidden="1" x14ac:dyDescent="0.3">
      <c r="A514">
        <v>2186</v>
      </c>
      <c r="B514">
        <v>33</v>
      </c>
      <c r="C514" t="s">
        <v>26</v>
      </c>
      <c r="D514" t="s">
        <v>16</v>
      </c>
      <c r="E514" t="s">
        <v>17</v>
      </c>
      <c r="F514" t="s">
        <v>18</v>
      </c>
      <c r="G514">
        <v>116</v>
      </c>
      <c r="H514">
        <v>3084</v>
      </c>
      <c r="I514" t="s">
        <v>28</v>
      </c>
      <c r="J514" s="2">
        <v>42291</v>
      </c>
      <c r="K514">
        <v>37</v>
      </c>
      <c r="L514" t="s">
        <v>25</v>
      </c>
      <c r="M514">
        <v>9</v>
      </c>
      <c r="N514">
        <v>1</v>
      </c>
      <c r="O514">
        <v>5</v>
      </c>
      <c r="P514" t="s">
        <v>25</v>
      </c>
      <c r="Q514" s="1">
        <v>3</v>
      </c>
      <c r="R514" s="2">
        <v>46174</v>
      </c>
      <c r="S514" s="2"/>
      <c r="T514" s="1" t="str">
        <f t="shared" ref="T514:T577" si="24">TEXT($J514,"ddd")</f>
        <v>qua</v>
      </c>
      <c r="U514" s="1" t="str">
        <f t="shared" ref="U514:U577" si="25">TEXT($J514,"mmm")</f>
        <v>out</v>
      </c>
      <c r="V514">
        <f t="shared" ref="V514:V577" si="26">YEAR(J514)</f>
        <v>2015</v>
      </c>
      <c r="W514">
        <f>_xlfn.XLOOKUP(A514,Absenteismo!A:A,Absenteismo!A:A,0)</f>
        <v>2186</v>
      </c>
    </row>
    <row r="515" spans="1:23" hidden="1" x14ac:dyDescent="0.3">
      <c r="A515">
        <v>1886</v>
      </c>
      <c r="B515">
        <v>33</v>
      </c>
      <c r="C515" t="s">
        <v>26</v>
      </c>
      <c r="D515" t="s">
        <v>16</v>
      </c>
      <c r="E515" t="s">
        <v>17</v>
      </c>
      <c r="F515" t="s">
        <v>18</v>
      </c>
      <c r="G515">
        <v>116</v>
      </c>
      <c r="H515">
        <v>3084</v>
      </c>
      <c r="I515" t="s">
        <v>28</v>
      </c>
      <c r="J515" s="2">
        <v>42293</v>
      </c>
      <c r="K515">
        <v>37</v>
      </c>
      <c r="L515" t="s">
        <v>25</v>
      </c>
      <c r="M515">
        <v>9</v>
      </c>
      <c r="N515">
        <v>1</v>
      </c>
      <c r="O515">
        <v>5</v>
      </c>
      <c r="P515" t="s">
        <v>25</v>
      </c>
      <c r="Q515" s="1">
        <v>3</v>
      </c>
      <c r="R515" s="2">
        <v>46174</v>
      </c>
      <c r="S515" s="2"/>
      <c r="T515" s="1" t="str">
        <f t="shared" si="24"/>
        <v>sex</v>
      </c>
      <c r="U515" s="1" t="str">
        <f t="shared" si="25"/>
        <v>out</v>
      </c>
      <c r="V515">
        <f t="shared" si="26"/>
        <v>2015</v>
      </c>
      <c r="W515">
        <f>_xlfn.XLOOKUP(A515,Absenteismo!A:A,Absenteismo!A:A,0)</f>
        <v>1886</v>
      </c>
    </row>
    <row r="516" spans="1:23" hidden="1" x14ac:dyDescent="0.3">
      <c r="A516">
        <v>1923</v>
      </c>
      <c r="B516">
        <v>33</v>
      </c>
      <c r="C516" t="s">
        <v>26</v>
      </c>
      <c r="D516" t="s">
        <v>16</v>
      </c>
      <c r="E516" t="s">
        <v>17</v>
      </c>
      <c r="F516" t="s">
        <v>21</v>
      </c>
      <c r="G516">
        <v>32</v>
      </c>
      <c r="H516">
        <v>3125</v>
      </c>
      <c r="I516" t="s">
        <v>28</v>
      </c>
      <c r="J516" s="2">
        <v>45048</v>
      </c>
      <c r="K516">
        <v>6</v>
      </c>
      <c r="L516" t="s">
        <v>20</v>
      </c>
      <c r="M516">
        <v>33</v>
      </c>
      <c r="N516">
        <v>5</v>
      </c>
      <c r="O516">
        <v>4</v>
      </c>
      <c r="P516" t="s">
        <v>25</v>
      </c>
      <c r="Q516" s="1">
        <v>2</v>
      </c>
      <c r="R516" s="2">
        <v>46174</v>
      </c>
      <c r="S516" s="2"/>
      <c r="T516" s="1" t="str">
        <f t="shared" si="24"/>
        <v>ter</v>
      </c>
      <c r="U516" s="1" t="str">
        <f t="shared" si="25"/>
        <v>mai</v>
      </c>
      <c r="V516">
        <f t="shared" si="26"/>
        <v>2023</v>
      </c>
      <c r="W516">
        <f>_xlfn.XLOOKUP(A516,Absenteismo!A:A,Absenteismo!A:A,0)</f>
        <v>1923</v>
      </c>
    </row>
    <row r="517" spans="1:23" hidden="1" x14ac:dyDescent="0.3">
      <c r="A517">
        <v>1932</v>
      </c>
      <c r="B517">
        <v>33</v>
      </c>
      <c r="C517" t="s">
        <v>26</v>
      </c>
      <c r="D517" t="s">
        <v>16</v>
      </c>
      <c r="E517" t="s">
        <v>17</v>
      </c>
      <c r="F517" t="s">
        <v>21</v>
      </c>
      <c r="G517">
        <v>14</v>
      </c>
      <c r="H517">
        <v>5933</v>
      </c>
      <c r="I517" t="s">
        <v>30</v>
      </c>
      <c r="J517" s="2">
        <v>45750</v>
      </c>
      <c r="K517">
        <v>55</v>
      </c>
      <c r="L517" t="s">
        <v>20</v>
      </c>
      <c r="M517">
        <v>12</v>
      </c>
      <c r="N517">
        <v>7</v>
      </c>
      <c r="O517">
        <v>4</v>
      </c>
      <c r="P517" t="s">
        <v>25</v>
      </c>
      <c r="Q517" s="1">
        <v>2</v>
      </c>
      <c r="R517" s="2">
        <v>46174</v>
      </c>
      <c r="S517" s="2"/>
      <c r="T517" s="1" t="str">
        <f t="shared" si="24"/>
        <v>qui</v>
      </c>
      <c r="U517" s="1" t="str">
        <f t="shared" si="25"/>
        <v>abr</v>
      </c>
      <c r="V517">
        <f t="shared" si="26"/>
        <v>2025</v>
      </c>
      <c r="W517">
        <f>_xlfn.XLOOKUP(A517,Absenteismo!A:A,Absenteismo!A:A,0)</f>
        <v>1932</v>
      </c>
    </row>
    <row r="518" spans="1:23" hidden="1" x14ac:dyDescent="0.3">
      <c r="A518">
        <v>1981</v>
      </c>
      <c r="B518">
        <v>33</v>
      </c>
      <c r="C518" t="s">
        <v>26</v>
      </c>
      <c r="D518" t="s">
        <v>29</v>
      </c>
      <c r="E518" t="s">
        <v>17</v>
      </c>
      <c r="F518" t="s">
        <v>23</v>
      </c>
      <c r="G518">
        <v>22</v>
      </c>
      <c r="H518">
        <v>4234</v>
      </c>
      <c r="I518" t="s">
        <v>30</v>
      </c>
      <c r="J518" s="2">
        <v>45450</v>
      </c>
      <c r="K518">
        <v>40</v>
      </c>
      <c r="L518" t="s">
        <v>25</v>
      </c>
      <c r="M518">
        <v>15</v>
      </c>
      <c r="N518">
        <v>7</v>
      </c>
      <c r="O518">
        <v>3</v>
      </c>
      <c r="P518" t="s">
        <v>25</v>
      </c>
      <c r="Q518" s="1">
        <v>3</v>
      </c>
      <c r="R518" s="2">
        <v>46174</v>
      </c>
      <c r="S518" s="2"/>
      <c r="T518" s="1" t="str">
        <f t="shared" si="24"/>
        <v>sex</v>
      </c>
      <c r="U518" s="1" t="str">
        <f t="shared" si="25"/>
        <v>jun</v>
      </c>
      <c r="V518">
        <f t="shared" si="26"/>
        <v>2024</v>
      </c>
      <c r="W518">
        <f>_xlfn.XLOOKUP(A518,Absenteismo!A:A,Absenteismo!A:A,0)</f>
        <v>1981</v>
      </c>
    </row>
    <row r="519" spans="1:23" hidden="1" x14ac:dyDescent="0.3">
      <c r="A519">
        <v>2117</v>
      </c>
      <c r="B519">
        <v>33</v>
      </c>
      <c r="C519" t="s">
        <v>26</v>
      </c>
      <c r="D519" t="s">
        <v>16</v>
      </c>
      <c r="E519" t="s">
        <v>17</v>
      </c>
      <c r="F519" t="s">
        <v>21</v>
      </c>
      <c r="G519">
        <v>6</v>
      </c>
      <c r="H519">
        <v>7413</v>
      </c>
      <c r="I519" t="s">
        <v>33</v>
      </c>
      <c r="J519" s="2">
        <v>45994</v>
      </c>
      <c r="K519">
        <v>49</v>
      </c>
      <c r="L519" t="s">
        <v>20</v>
      </c>
      <c r="M519">
        <v>27</v>
      </c>
      <c r="N519">
        <v>1</v>
      </c>
      <c r="O519">
        <v>2</v>
      </c>
      <c r="P519" t="s">
        <v>25</v>
      </c>
      <c r="Q519" s="1">
        <v>1</v>
      </c>
      <c r="R519" s="2">
        <v>46174</v>
      </c>
      <c r="S519" s="2"/>
      <c r="T519" s="1" t="str">
        <f t="shared" si="24"/>
        <v>qua</v>
      </c>
      <c r="U519" s="1" t="str">
        <f t="shared" si="25"/>
        <v>dez</v>
      </c>
      <c r="V519">
        <f t="shared" si="26"/>
        <v>2025</v>
      </c>
      <c r="W519">
        <f>_xlfn.XLOOKUP(A519,Absenteismo!A:A,Absenteismo!A:A,0)</f>
        <v>2117</v>
      </c>
    </row>
    <row r="520" spans="1:23" hidden="1" x14ac:dyDescent="0.3">
      <c r="A520">
        <v>1590</v>
      </c>
      <c r="B520">
        <v>34</v>
      </c>
      <c r="C520" t="s">
        <v>26</v>
      </c>
      <c r="D520" t="s">
        <v>27</v>
      </c>
      <c r="E520" t="s">
        <v>17</v>
      </c>
      <c r="F520" t="s">
        <v>21</v>
      </c>
      <c r="G520">
        <v>78</v>
      </c>
      <c r="H520">
        <v>6675</v>
      </c>
      <c r="I520" t="s">
        <v>30</v>
      </c>
      <c r="J520" s="2">
        <v>43393</v>
      </c>
      <c r="K520">
        <v>12</v>
      </c>
      <c r="L520" t="s">
        <v>20</v>
      </c>
      <c r="M520">
        <v>9</v>
      </c>
      <c r="N520">
        <v>9</v>
      </c>
      <c r="O520">
        <v>5</v>
      </c>
      <c r="P520" t="s">
        <v>20</v>
      </c>
      <c r="Q520" s="1">
        <v>3</v>
      </c>
      <c r="R520" s="2">
        <v>46174</v>
      </c>
      <c r="S520" s="2">
        <v>45767</v>
      </c>
      <c r="T520" s="1" t="str">
        <f t="shared" si="24"/>
        <v>sáb</v>
      </c>
      <c r="U520" s="1" t="str">
        <f t="shared" si="25"/>
        <v>out</v>
      </c>
      <c r="V520">
        <f t="shared" si="26"/>
        <v>2018</v>
      </c>
      <c r="W520">
        <f>_xlfn.XLOOKUP(A520,Absenteismo!A:A,Absenteismo!A:A,0)</f>
        <v>1590</v>
      </c>
    </row>
    <row r="521" spans="1:23" hidden="1" x14ac:dyDescent="0.3">
      <c r="A521">
        <v>1664</v>
      </c>
      <c r="B521">
        <v>34</v>
      </c>
      <c r="C521" t="s">
        <v>15</v>
      </c>
      <c r="D521" t="s">
        <v>16</v>
      </c>
      <c r="E521" t="s">
        <v>17</v>
      </c>
      <c r="F521" t="s">
        <v>23</v>
      </c>
      <c r="G521">
        <v>71</v>
      </c>
      <c r="H521">
        <v>3414</v>
      </c>
      <c r="I521" t="s">
        <v>19</v>
      </c>
      <c r="J521" s="2">
        <v>43640</v>
      </c>
      <c r="K521">
        <v>1</v>
      </c>
      <c r="L521" t="s">
        <v>20</v>
      </c>
      <c r="M521">
        <v>30</v>
      </c>
      <c r="N521">
        <v>4</v>
      </c>
      <c r="O521">
        <v>2</v>
      </c>
      <c r="P521" t="s">
        <v>20</v>
      </c>
      <c r="Q521" s="1">
        <v>1</v>
      </c>
      <c r="R521" s="2">
        <v>46174</v>
      </c>
      <c r="S521" s="2">
        <v>45801</v>
      </c>
      <c r="T521" s="1" t="str">
        <f t="shared" si="24"/>
        <v>seg</v>
      </c>
      <c r="U521" s="1" t="str">
        <f t="shared" si="25"/>
        <v>jun</v>
      </c>
      <c r="V521">
        <f t="shared" si="26"/>
        <v>2019</v>
      </c>
      <c r="W521">
        <f>_xlfn.XLOOKUP(A521,Absenteismo!A:A,Absenteismo!A:A,0)</f>
        <v>1664</v>
      </c>
    </row>
    <row r="522" spans="1:23" x14ac:dyDescent="0.3">
      <c r="A522">
        <v>1133</v>
      </c>
      <c r="B522">
        <v>34</v>
      </c>
      <c r="C522" t="s">
        <v>15</v>
      </c>
      <c r="D522" t="s">
        <v>29</v>
      </c>
      <c r="E522" t="s">
        <v>17</v>
      </c>
      <c r="F522" t="s">
        <v>23</v>
      </c>
      <c r="G522">
        <v>45</v>
      </c>
      <c r="H522">
        <v>4775</v>
      </c>
      <c r="I522" t="s">
        <v>30</v>
      </c>
      <c r="J522" s="2">
        <v>44437</v>
      </c>
      <c r="K522">
        <v>55</v>
      </c>
      <c r="L522" t="s">
        <v>20</v>
      </c>
      <c r="M522">
        <v>21</v>
      </c>
      <c r="N522">
        <v>2</v>
      </c>
      <c r="O522">
        <v>2</v>
      </c>
      <c r="P522" t="s">
        <v>20</v>
      </c>
      <c r="Q522" s="1">
        <v>2</v>
      </c>
      <c r="R522" s="2">
        <v>46174</v>
      </c>
      <c r="S522" s="2">
        <v>45806</v>
      </c>
      <c r="T522" s="1" t="str">
        <f t="shared" si="24"/>
        <v>dom</v>
      </c>
      <c r="U522" s="1" t="str">
        <f t="shared" si="25"/>
        <v>ago</v>
      </c>
      <c r="V522">
        <f t="shared" si="26"/>
        <v>2021</v>
      </c>
      <c r="W522">
        <f>_xlfn.XLOOKUP(A522,Absenteismo!A:A,Absenteismo!A:A,0)</f>
        <v>0</v>
      </c>
    </row>
    <row r="523" spans="1:23" hidden="1" x14ac:dyDescent="0.3">
      <c r="A523">
        <v>1576</v>
      </c>
      <c r="B523">
        <v>34</v>
      </c>
      <c r="C523" t="s">
        <v>15</v>
      </c>
      <c r="D523" t="s">
        <v>27</v>
      </c>
      <c r="E523" t="s">
        <v>17</v>
      </c>
      <c r="F523" t="s">
        <v>23</v>
      </c>
      <c r="G523">
        <v>120</v>
      </c>
      <c r="H523">
        <v>6864</v>
      </c>
      <c r="I523" t="s">
        <v>19</v>
      </c>
      <c r="J523" s="2">
        <v>42169</v>
      </c>
      <c r="K523">
        <v>22</v>
      </c>
      <c r="L523" t="s">
        <v>20</v>
      </c>
      <c r="M523">
        <v>15</v>
      </c>
      <c r="N523">
        <v>5</v>
      </c>
      <c r="O523">
        <v>4</v>
      </c>
      <c r="P523" t="s">
        <v>20</v>
      </c>
      <c r="Q523" s="1">
        <v>2</v>
      </c>
      <c r="R523" s="2">
        <v>46174</v>
      </c>
      <c r="S523" s="2">
        <v>45822</v>
      </c>
      <c r="T523" s="1" t="str">
        <f t="shared" si="24"/>
        <v>dom</v>
      </c>
      <c r="U523" s="1" t="str">
        <f t="shared" si="25"/>
        <v>jun</v>
      </c>
      <c r="V523">
        <f t="shared" si="26"/>
        <v>2015</v>
      </c>
      <c r="W523">
        <f>_xlfn.XLOOKUP(A523,Absenteismo!A:A,Absenteismo!A:A,0)</f>
        <v>1576</v>
      </c>
    </row>
    <row r="524" spans="1:23" hidden="1" x14ac:dyDescent="0.3">
      <c r="A524">
        <v>1552</v>
      </c>
      <c r="B524">
        <v>34</v>
      </c>
      <c r="C524" t="s">
        <v>15</v>
      </c>
      <c r="D524" t="s">
        <v>22</v>
      </c>
      <c r="E524" t="s">
        <v>17</v>
      </c>
      <c r="F524" t="s">
        <v>21</v>
      </c>
      <c r="G524">
        <v>93</v>
      </c>
      <c r="H524">
        <v>3744</v>
      </c>
      <c r="I524" t="s">
        <v>19</v>
      </c>
      <c r="J524" s="2">
        <v>42998</v>
      </c>
      <c r="K524">
        <v>34</v>
      </c>
      <c r="L524" t="s">
        <v>20</v>
      </c>
      <c r="M524">
        <v>2</v>
      </c>
      <c r="N524">
        <v>0</v>
      </c>
      <c r="O524">
        <v>3</v>
      </c>
      <c r="P524" t="s">
        <v>20</v>
      </c>
      <c r="Q524" s="1">
        <v>3</v>
      </c>
      <c r="R524" s="2">
        <v>46174</v>
      </c>
      <c r="S524" s="2">
        <v>45828</v>
      </c>
      <c r="T524" s="1" t="str">
        <f t="shared" si="24"/>
        <v>qua</v>
      </c>
      <c r="U524" s="1" t="str">
        <f t="shared" si="25"/>
        <v>set</v>
      </c>
      <c r="V524">
        <f t="shared" si="26"/>
        <v>2017</v>
      </c>
      <c r="W524">
        <f>_xlfn.XLOOKUP(A524,Absenteismo!A:A,Absenteismo!A:A,0)</f>
        <v>1552</v>
      </c>
    </row>
    <row r="525" spans="1:23" hidden="1" x14ac:dyDescent="0.3">
      <c r="A525">
        <v>1252</v>
      </c>
      <c r="B525">
        <v>34</v>
      </c>
      <c r="C525" t="s">
        <v>15</v>
      </c>
      <c r="D525" t="s">
        <v>22</v>
      </c>
      <c r="E525" t="s">
        <v>17</v>
      </c>
      <c r="F525" t="s">
        <v>21</v>
      </c>
      <c r="G525">
        <v>93</v>
      </c>
      <c r="H525">
        <v>3744</v>
      </c>
      <c r="I525" t="s">
        <v>19</v>
      </c>
      <c r="J525" s="2">
        <v>43095</v>
      </c>
      <c r="K525">
        <v>41</v>
      </c>
      <c r="L525" t="s">
        <v>20</v>
      </c>
      <c r="M525">
        <v>2</v>
      </c>
      <c r="N525">
        <v>0</v>
      </c>
      <c r="O525">
        <v>3</v>
      </c>
      <c r="P525" t="s">
        <v>20</v>
      </c>
      <c r="Q525" s="1">
        <v>2</v>
      </c>
      <c r="R525" s="2">
        <v>46174</v>
      </c>
      <c r="S525" s="2">
        <v>45926</v>
      </c>
      <c r="T525" s="1" t="str">
        <f t="shared" si="24"/>
        <v>ter</v>
      </c>
      <c r="U525" s="1" t="str">
        <f t="shared" si="25"/>
        <v>dez</v>
      </c>
      <c r="V525">
        <f t="shared" si="26"/>
        <v>2017</v>
      </c>
      <c r="W525">
        <f>_xlfn.XLOOKUP(A525,Absenteismo!A:A,Absenteismo!A:A,0)</f>
        <v>1252</v>
      </c>
    </row>
    <row r="526" spans="1:23" hidden="1" x14ac:dyDescent="0.3">
      <c r="A526">
        <v>1852</v>
      </c>
      <c r="B526">
        <v>34</v>
      </c>
      <c r="C526" t="s">
        <v>15</v>
      </c>
      <c r="D526" t="s">
        <v>22</v>
      </c>
      <c r="E526" t="s">
        <v>17</v>
      </c>
      <c r="F526" t="s">
        <v>21</v>
      </c>
      <c r="G526">
        <v>93</v>
      </c>
      <c r="H526">
        <v>3744</v>
      </c>
      <c r="I526" t="s">
        <v>19</v>
      </c>
      <c r="J526" s="2">
        <v>43143</v>
      </c>
      <c r="K526">
        <v>45</v>
      </c>
      <c r="L526" t="s">
        <v>20</v>
      </c>
      <c r="M526">
        <v>2</v>
      </c>
      <c r="N526">
        <v>0</v>
      </c>
      <c r="O526">
        <v>3</v>
      </c>
      <c r="P526" t="s">
        <v>20</v>
      </c>
      <c r="Q526" s="1">
        <v>1</v>
      </c>
      <c r="R526" s="2">
        <v>46174</v>
      </c>
      <c r="S526" s="2">
        <v>45973</v>
      </c>
      <c r="T526" s="1" t="str">
        <f t="shared" si="24"/>
        <v>seg</v>
      </c>
      <c r="U526" s="1" t="str">
        <f t="shared" si="25"/>
        <v>fev</v>
      </c>
      <c r="V526">
        <f t="shared" si="26"/>
        <v>2018</v>
      </c>
      <c r="W526">
        <f>_xlfn.XLOOKUP(A526,Absenteismo!A:A,Absenteismo!A:A,0)</f>
        <v>1852</v>
      </c>
    </row>
    <row r="527" spans="1:23" hidden="1" x14ac:dyDescent="0.3">
      <c r="A527">
        <v>1733</v>
      </c>
      <c r="B527">
        <v>34</v>
      </c>
      <c r="C527" t="s">
        <v>15</v>
      </c>
      <c r="D527" t="s">
        <v>29</v>
      </c>
      <c r="E527" t="s">
        <v>17</v>
      </c>
      <c r="F527" t="s">
        <v>23</v>
      </c>
      <c r="G527">
        <v>45</v>
      </c>
      <c r="H527">
        <v>4775</v>
      </c>
      <c r="I527" t="s">
        <v>30</v>
      </c>
      <c r="J527" s="2">
        <v>44618</v>
      </c>
      <c r="K527">
        <v>40</v>
      </c>
      <c r="L527" t="s">
        <v>20</v>
      </c>
      <c r="M527">
        <v>21</v>
      </c>
      <c r="N527">
        <v>2</v>
      </c>
      <c r="O527">
        <v>2</v>
      </c>
      <c r="P527" t="s">
        <v>20</v>
      </c>
      <c r="Q527" s="1">
        <v>3</v>
      </c>
      <c r="R527" s="2">
        <v>46174</v>
      </c>
      <c r="S527" s="2">
        <v>45987</v>
      </c>
      <c r="T527" s="1" t="str">
        <f t="shared" si="24"/>
        <v>sáb</v>
      </c>
      <c r="U527" s="1" t="str">
        <f t="shared" si="25"/>
        <v>fev</v>
      </c>
      <c r="V527">
        <f t="shared" si="26"/>
        <v>2022</v>
      </c>
      <c r="W527">
        <f>_xlfn.XLOOKUP(A527,Absenteismo!A:A,Absenteismo!A:A,0)</f>
        <v>1733</v>
      </c>
    </row>
    <row r="528" spans="1:23" hidden="1" x14ac:dyDescent="0.3">
      <c r="A528">
        <v>1242</v>
      </c>
      <c r="B528">
        <v>34</v>
      </c>
      <c r="C528" t="s">
        <v>15</v>
      </c>
      <c r="D528" t="s">
        <v>31</v>
      </c>
      <c r="E528" t="s">
        <v>34</v>
      </c>
      <c r="F528" t="s">
        <v>23</v>
      </c>
      <c r="G528">
        <v>12</v>
      </c>
      <c r="H528">
        <v>3623</v>
      </c>
      <c r="I528" t="s">
        <v>19</v>
      </c>
      <c r="J528" s="2">
        <v>45714</v>
      </c>
      <c r="K528">
        <v>5</v>
      </c>
      <c r="L528" t="s">
        <v>20</v>
      </c>
      <c r="M528">
        <v>24</v>
      </c>
      <c r="N528">
        <v>5</v>
      </c>
      <c r="O528">
        <v>5</v>
      </c>
      <c r="P528" t="s">
        <v>20</v>
      </c>
      <c r="Q528" s="1">
        <v>3</v>
      </c>
      <c r="R528" s="2">
        <v>46174</v>
      </c>
      <c r="S528" s="2">
        <v>46079</v>
      </c>
      <c r="T528" s="1" t="str">
        <f t="shared" si="24"/>
        <v>qua</v>
      </c>
      <c r="U528" s="1" t="str">
        <f t="shared" si="25"/>
        <v>fev</v>
      </c>
      <c r="V528">
        <f t="shared" si="26"/>
        <v>2025</v>
      </c>
      <c r="W528">
        <f>_xlfn.XLOOKUP(A528,Absenteismo!A:A,Absenteismo!A:A,0)</f>
        <v>1242</v>
      </c>
    </row>
    <row r="529" spans="1:23" hidden="1" x14ac:dyDescent="0.3">
      <c r="A529">
        <v>1364</v>
      </c>
      <c r="B529">
        <v>34</v>
      </c>
      <c r="C529" t="s">
        <v>15</v>
      </c>
      <c r="D529" t="s">
        <v>16</v>
      </c>
      <c r="E529" t="s">
        <v>17</v>
      </c>
      <c r="F529" t="s">
        <v>23</v>
      </c>
      <c r="G529">
        <v>71</v>
      </c>
      <c r="H529">
        <v>3414</v>
      </c>
      <c r="I529" t="s">
        <v>19</v>
      </c>
      <c r="J529" s="2">
        <v>43944</v>
      </c>
      <c r="K529">
        <v>1</v>
      </c>
      <c r="L529" t="s">
        <v>20</v>
      </c>
      <c r="M529">
        <v>30</v>
      </c>
      <c r="N529">
        <v>4</v>
      </c>
      <c r="O529">
        <v>2</v>
      </c>
      <c r="P529" t="s">
        <v>20</v>
      </c>
      <c r="Q529" s="1">
        <v>2</v>
      </c>
      <c r="R529" s="2">
        <v>46174</v>
      </c>
      <c r="S529" s="2">
        <v>46104</v>
      </c>
      <c r="T529" s="1" t="str">
        <f t="shared" si="24"/>
        <v>qui</v>
      </c>
      <c r="U529" s="1" t="str">
        <f t="shared" si="25"/>
        <v>abr</v>
      </c>
      <c r="V529">
        <f t="shared" si="26"/>
        <v>2020</v>
      </c>
      <c r="W529">
        <f>_xlfn.XLOOKUP(A529,Absenteismo!A:A,Absenteismo!A:A,0)</f>
        <v>1364</v>
      </c>
    </row>
    <row r="530" spans="1:23" hidden="1" x14ac:dyDescent="0.3">
      <c r="A530">
        <v>1433</v>
      </c>
      <c r="B530">
        <v>34</v>
      </c>
      <c r="C530" t="s">
        <v>15</v>
      </c>
      <c r="D530" t="s">
        <v>29</v>
      </c>
      <c r="E530" t="s">
        <v>17</v>
      </c>
      <c r="F530" t="s">
        <v>23</v>
      </c>
      <c r="G530">
        <v>45</v>
      </c>
      <c r="H530">
        <v>4775</v>
      </c>
      <c r="I530" t="s">
        <v>30</v>
      </c>
      <c r="J530" s="2">
        <v>44758</v>
      </c>
      <c r="K530">
        <v>40</v>
      </c>
      <c r="L530" t="s">
        <v>20</v>
      </c>
      <c r="M530">
        <v>21</v>
      </c>
      <c r="N530">
        <v>2</v>
      </c>
      <c r="O530">
        <v>2</v>
      </c>
      <c r="P530" t="s">
        <v>20</v>
      </c>
      <c r="Q530" s="1">
        <v>3</v>
      </c>
      <c r="R530" s="2">
        <v>46174</v>
      </c>
      <c r="S530" s="2">
        <v>46128</v>
      </c>
      <c r="T530" s="1" t="str">
        <f t="shared" si="24"/>
        <v>sáb</v>
      </c>
      <c r="U530" s="1" t="str">
        <f t="shared" si="25"/>
        <v>jul</v>
      </c>
      <c r="V530">
        <f t="shared" si="26"/>
        <v>2022</v>
      </c>
      <c r="W530">
        <f>_xlfn.XLOOKUP(A530,Absenteismo!A:A,Absenteismo!A:A,0)</f>
        <v>1433</v>
      </c>
    </row>
    <row r="531" spans="1:23" hidden="1" x14ac:dyDescent="0.3">
      <c r="A531">
        <v>1290</v>
      </c>
      <c r="B531">
        <v>34</v>
      </c>
      <c r="C531" t="s">
        <v>26</v>
      </c>
      <c r="D531" t="s">
        <v>27</v>
      </c>
      <c r="E531" t="s">
        <v>17</v>
      </c>
      <c r="F531" t="s">
        <v>21</v>
      </c>
      <c r="G531">
        <v>78</v>
      </c>
      <c r="H531">
        <v>6675</v>
      </c>
      <c r="I531" t="s">
        <v>30</v>
      </c>
      <c r="J531" s="2">
        <v>43774</v>
      </c>
      <c r="K531">
        <v>12</v>
      </c>
      <c r="L531" t="s">
        <v>20</v>
      </c>
      <c r="M531">
        <v>9</v>
      </c>
      <c r="N531">
        <v>9</v>
      </c>
      <c r="O531">
        <v>5</v>
      </c>
      <c r="P531" t="s">
        <v>20</v>
      </c>
      <c r="Q531" s="1">
        <v>1</v>
      </c>
      <c r="R531" s="2">
        <v>46174</v>
      </c>
      <c r="S531" s="2">
        <v>46147</v>
      </c>
      <c r="T531" s="1" t="str">
        <f t="shared" si="24"/>
        <v>ter</v>
      </c>
      <c r="U531" s="1" t="str">
        <f t="shared" si="25"/>
        <v>nov</v>
      </c>
      <c r="V531">
        <f t="shared" si="26"/>
        <v>2019</v>
      </c>
      <c r="W531">
        <f>_xlfn.XLOOKUP(A531,Absenteismo!A:A,Absenteismo!A:A,0)</f>
        <v>1290</v>
      </c>
    </row>
    <row r="532" spans="1:23" x14ac:dyDescent="0.3">
      <c r="A532">
        <v>1064</v>
      </c>
      <c r="B532">
        <v>34</v>
      </c>
      <c r="C532" t="s">
        <v>15</v>
      </c>
      <c r="D532" t="s">
        <v>16</v>
      </c>
      <c r="E532" t="s">
        <v>17</v>
      </c>
      <c r="F532" t="s">
        <v>23</v>
      </c>
      <c r="G532">
        <v>71</v>
      </c>
      <c r="H532">
        <v>3414</v>
      </c>
      <c r="I532" t="s">
        <v>19</v>
      </c>
      <c r="J532" s="2">
        <v>43988</v>
      </c>
      <c r="K532">
        <v>1</v>
      </c>
      <c r="L532" t="s">
        <v>20</v>
      </c>
      <c r="M532">
        <v>30</v>
      </c>
      <c r="N532">
        <v>4</v>
      </c>
      <c r="O532">
        <v>2</v>
      </c>
      <c r="P532" t="s">
        <v>25</v>
      </c>
      <c r="Q532" s="1">
        <v>3</v>
      </c>
      <c r="R532" s="2">
        <v>46174</v>
      </c>
      <c r="S532" s="2"/>
      <c r="T532" s="1" t="str">
        <f t="shared" si="24"/>
        <v>sáb</v>
      </c>
      <c r="U532" s="1" t="str">
        <f t="shared" si="25"/>
        <v>jun</v>
      </c>
      <c r="V532">
        <f t="shared" si="26"/>
        <v>2020</v>
      </c>
      <c r="W532">
        <f>_xlfn.XLOOKUP(A532,Absenteismo!A:A,Absenteismo!A:A,0)</f>
        <v>0</v>
      </c>
    </row>
    <row r="533" spans="1:23" hidden="1" x14ac:dyDescent="0.3">
      <c r="A533">
        <v>1096</v>
      </c>
      <c r="B533">
        <v>34</v>
      </c>
      <c r="C533" t="s">
        <v>15</v>
      </c>
      <c r="D533" t="s">
        <v>16</v>
      </c>
      <c r="E533" t="s">
        <v>17</v>
      </c>
      <c r="F533" t="s">
        <v>18</v>
      </c>
      <c r="G533">
        <v>68</v>
      </c>
      <c r="H533">
        <v>3731</v>
      </c>
      <c r="I533" t="s">
        <v>30</v>
      </c>
      <c r="J533" s="2">
        <v>43699</v>
      </c>
      <c r="K533">
        <v>31</v>
      </c>
      <c r="L533" t="s">
        <v>20</v>
      </c>
      <c r="M533">
        <v>23</v>
      </c>
      <c r="N533">
        <v>8</v>
      </c>
      <c r="O533">
        <v>2</v>
      </c>
      <c r="P533" t="s">
        <v>25</v>
      </c>
      <c r="Q533" s="1">
        <v>1</v>
      </c>
      <c r="R533" s="2">
        <v>46174</v>
      </c>
      <c r="S533" s="2"/>
      <c r="T533" s="1" t="str">
        <f t="shared" si="24"/>
        <v>qui</v>
      </c>
      <c r="U533" s="1" t="str">
        <f t="shared" si="25"/>
        <v>ago</v>
      </c>
      <c r="V533">
        <f t="shared" si="26"/>
        <v>2019</v>
      </c>
      <c r="W533">
        <f>_xlfn.XLOOKUP(A533,Absenteismo!A:A,Absenteismo!A:A,0)</f>
        <v>1096</v>
      </c>
    </row>
    <row r="534" spans="1:23" x14ac:dyDescent="0.3">
      <c r="A534">
        <v>1164</v>
      </c>
      <c r="B534">
        <v>34</v>
      </c>
      <c r="C534" t="s">
        <v>26</v>
      </c>
      <c r="D534" t="s">
        <v>16</v>
      </c>
      <c r="E534" t="s">
        <v>17</v>
      </c>
      <c r="F534" t="s">
        <v>23</v>
      </c>
      <c r="G534">
        <v>36</v>
      </c>
      <c r="H534">
        <v>7371</v>
      </c>
      <c r="I534" t="s">
        <v>24</v>
      </c>
      <c r="J534" s="2">
        <v>45080</v>
      </c>
      <c r="K534">
        <v>15</v>
      </c>
      <c r="L534" t="s">
        <v>25</v>
      </c>
      <c r="M534">
        <v>19</v>
      </c>
      <c r="N534">
        <v>12</v>
      </c>
      <c r="O534">
        <v>4</v>
      </c>
      <c r="P534" t="s">
        <v>25</v>
      </c>
      <c r="Q534" s="1">
        <v>1</v>
      </c>
      <c r="R534" s="2">
        <v>46174</v>
      </c>
      <c r="S534" s="2"/>
      <c r="T534" s="1" t="str">
        <f t="shared" si="24"/>
        <v>sáb</v>
      </c>
      <c r="U534" s="1" t="str">
        <f t="shared" si="25"/>
        <v>jun</v>
      </c>
      <c r="V534">
        <f t="shared" si="26"/>
        <v>2023</v>
      </c>
      <c r="W534">
        <f>_xlfn.XLOOKUP(A534,Absenteismo!A:A,Absenteismo!A:A,0)</f>
        <v>0</v>
      </c>
    </row>
    <row r="535" spans="1:23" x14ac:dyDescent="0.3">
      <c r="A535">
        <v>1172</v>
      </c>
      <c r="B535">
        <v>34</v>
      </c>
      <c r="C535" t="s">
        <v>15</v>
      </c>
      <c r="D535" t="s">
        <v>16</v>
      </c>
      <c r="E535" t="s">
        <v>17</v>
      </c>
      <c r="F535" t="s">
        <v>18</v>
      </c>
      <c r="G535">
        <v>102</v>
      </c>
      <c r="H535">
        <v>5216</v>
      </c>
      <c r="I535" t="s">
        <v>28</v>
      </c>
      <c r="J535" s="2">
        <v>42927</v>
      </c>
      <c r="K535">
        <v>54</v>
      </c>
      <c r="L535" t="s">
        <v>20</v>
      </c>
      <c r="M535">
        <v>11</v>
      </c>
      <c r="N535">
        <v>9</v>
      </c>
      <c r="O535">
        <v>5</v>
      </c>
      <c r="P535" t="s">
        <v>25</v>
      </c>
      <c r="Q535" s="1">
        <v>2</v>
      </c>
      <c r="R535" s="2">
        <v>46174</v>
      </c>
      <c r="S535" s="2"/>
      <c r="T535" s="1" t="str">
        <f t="shared" si="24"/>
        <v>ter</v>
      </c>
      <c r="U535" s="1" t="str">
        <f t="shared" si="25"/>
        <v>jul</v>
      </c>
      <c r="V535">
        <f t="shared" si="26"/>
        <v>2017</v>
      </c>
      <c r="W535">
        <f>_xlfn.XLOOKUP(A535,Absenteismo!A:A,Absenteismo!A:A,0)</f>
        <v>0</v>
      </c>
    </row>
    <row r="536" spans="1:23" x14ac:dyDescent="0.3">
      <c r="A536">
        <v>1189</v>
      </c>
      <c r="B536">
        <v>34</v>
      </c>
      <c r="C536" t="s">
        <v>15</v>
      </c>
      <c r="D536" t="s">
        <v>16</v>
      </c>
      <c r="E536" t="s">
        <v>17</v>
      </c>
      <c r="F536" t="s">
        <v>23</v>
      </c>
      <c r="G536">
        <v>119</v>
      </c>
      <c r="H536">
        <v>6484</v>
      </c>
      <c r="I536" t="s">
        <v>24</v>
      </c>
      <c r="J536" s="2">
        <v>42383</v>
      </c>
      <c r="K536">
        <v>6</v>
      </c>
      <c r="L536" t="s">
        <v>20</v>
      </c>
      <c r="M536">
        <v>12</v>
      </c>
      <c r="N536">
        <v>0</v>
      </c>
      <c r="O536">
        <v>4</v>
      </c>
      <c r="P536" t="s">
        <v>25</v>
      </c>
      <c r="Q536" s="1">
        <v>3</v>
      </c>
      <c r="R536" s="2">
        <v>46174</v>
      </c>
      <c r="S536" s="2"/>
      <c r="T536" s="1" t="str">
        <f t="shared" si="24"/>
        <v>qui</v>
      </c>
      <c r="U536" s="1" t="str">
        <f t="shared" si="25"/>
        <v>jan</v>
      </c>
      <c r="V536">
        <f t="shared" si="26"/>
        <v>2016</v>
      </c>
      <c r="W536">
        <f>_xlfn.XLOOKUP(A536,Absenteismo!A:A,Absenteismo!A:A,0)</f>
        <v>0</v>
      </c>
    </row>
    <row r="537" spans="1:23" hidden="1" x14ac:dyDescent="0.3">
      <c r="A537">
        <v>1264</v>
      </c>
      <c r="B537">
        <v>34</v>
      </c>
      <c r="C537" t="s">
        <v>15</v>
      </c>
      <c r="D537" t="s">
        <v>16</v>
      </c>
      <c r="E537" t="s">
        <v>17</v>
      </c>
      <c r="F537" t="s">
        <v>23</v>
      </c>
      <c r="G537">
        <v>26</v>
      </c>
      <c r="H537">
        <v>6432</v>
      </c>
      <c r="I537" t="s">
        <v>19</v>
      </c>
      <c r="J537" s="2">
        <v>45247</v>
      </c>
      <c r="K537">
        <v>6</v>
      </c>
      <c r="L537" t="s">
        <v>25</v>
      </c>
      <c r="M537">
        <v>21</v>
      </c>
      <c r="N537">
        <v>1</v>
      </c>
      <c r="O537">
        <v>2</v>
      </c>
      <c r="P537" t="s">
        <v>25</v>
      </c>
      <c r="Q537" s="1">
        <v>3</v>
      </c>
      <c r="R537" s="2">
        <v>46174</v>
      </c>
      <c r="S537" s="2"/>
      <c r="T537" s="1" t="str">
        <f t="shared" si="24"/>
        <v>sex</v>
      </c>
      <c r="U537" s="1" t="str">
        <f t="shared" si="25"/>
        <v>nov</v>
      </c>
      <c r="V537">
        <f t="shared" si="26"/>
        <v>2023</v>
      </c>
      <c r="W537">
        <f>_xlfn.XLOOKUP(A537,Absenteismo!A:A,Absenteismo!A:A,0)</f>
        <v>1264</v>
      </c>
    </row>
    <row r="538" spans="1:23" hidden="1" x14ac:dyDescent="0.3">
      <c r="A538">
        <v>1396</v>
      </c>
      <c r="B538">
        <v>34</v>
      </c>
      <c r="C538" t="s">
        <v>15</v>
      </c>
      <c r="D538" t="s">
        <v>16</v>
      </c>
      <c r="E538" t="s">
        <v>17</v>
      </c>
      <c r="F538" t="s">
        <v>18</v>
      </c>
      <c r="G538">
        <v>68</v>
      </c>
      <c r="H538">
        <v>3731</v>
      </c>
      <c r="I538" t="s">
        <v>30</v>
      </c>
      <c r="J538" s="2">
        <v>43692</v>
      </c>
      <c r="K538">
        <v>31</v>
      </c>
      <c r="L538" t="s">
        <v>20</v>
      </c>
      <c r="M538">
        <v>23</v>
      </c>
      <c r="N538">
        <v>8</v>
      </c>
      <c r="O538">
        <v>2</v>
      </c>
      <c r="P538" t="s">
        <v>25</v>
      </c>
      <c r="Q538" s="1">
        <v>1</v>
      </c>
      <c r="R538" s="2">
        <v>46174</v>
      </c>
      <c r="S538" s="2"/>
      <c r="T538" s="1" t="str">
        <f t="shared" si="24"/>
        <v>qui</v>
      </c>
      <c r="U538" s="1" t="str">
        <f t="shared" si="25"/>
        <v>ago</v>
      </c>
      <c r="V538">
        <f t="shared" si="26"/>
        <v>2019</v>
      </c>
      <c r="W538">
        <f>_xlfn.XLOOKUP(A538,Absenteismo!A:A,Absenteismo!A:A,0)</f>
        <v>1396</v>
      </c>
    </row>
    <row r="539" spans="1:23" x14ac:dyDescent="0.3">
      <c r="A539">
        <v>1464</v>
      </c>
      <c r="B539">
        <v>34</v>
      </c>
      <c r="C539" t="s">
        <v>26</v>
      </c>
      <c r="D539" t="s">
        <v>16</v>
      </c>
      <c r="E539" t="s">
        <v>17</v>
      </c>
      <c r="F539" t="s">
        <v>23</v>
      </c>
      <c r="G539">
        <v>36</v>
      </c>
      <c r="H539">
        <v>7371</v>
      </c>
      <c r="I539" t="s">
        <v>24</v>
      </c>
      <c r="J539" s="2">
        <v>44754</v>
      </c>
      <c r="K539">
        <v>15</v>
      </c>
      <c r="L539" t="s">
        <v>25</v>
      </c>
      <c r="M539">
        <v>19</v>
      </c>
      <c r="N539">
        <v>12</v>
      </c>
      <c r="O539">
        <v>4</v>
      </c>
      <c r="P539" t="s">
        <v>25</v>
      </c>
      <c r="Q539" s="1">
        <v>2</v>
      </c>
      <c r="R539" s="2">
        <v>46174</v>
      </c>
      <c r="S539" s="2"/>
      <c r="T539" s="1" t="str">
        <f t="shared" si="24"/>
        <v>ter</v>
      </c>
      <c r="U539" s="1" t="str">
        <f t="shared" si="25"/>
        <v>jul</v>
      </c>
      <c r="V539">
        <f t="shared" si="26"/>
        <v>2022</v>
      </c>
      <c r="W539">
        <f>_xlfn.XLOOKUP(A539,Absenteismo!A:A,Absenteismo!A:A,0)</f>
        <v>0</v>
      </c>
    </row>
    <row r="540" spans="1:23" hidden="1" x14ac:dyDescent="0.3">
      <c r="A540">
        <v>1472</v>
      </c>
      <c r="B540">
        <v>34</v>
      </c>
      <c r="C540" t="s">
        <v>15</v>
      </c>
      <c r="D540" t="s">
        <v>16</v>
      </c>
      <c r="E540" t="s">
        <v>17</v>
      </c>
      <c r="F540" t="s">
        <v>18</v>
      </c>
      <c r="G540">
        <v>102</v>
      </c>
      <c r="H540">
        <v>5216</v>
      </c>
      <c r="I540" t="s">
        <v>28</v>
      </c>
      <c r="J540" s="2">
        <v>43070</v>
      </c>
      <c r="K540">
        <v>54</v>
      </c>
      <c r="L540" t="s">
        <v>20</v>
      </c>
      <c r="M540">
        <v>11</v>
      </c>
      <c r="N540">
        <v>9</v>
      </c>
      <c r="O540">
        <v>5</v>
      </c>
      <c r="P540" t="s">
        <v>25</v>
      </c>
      <c r="Q540" s="1">
        <v>1</v>
      </c>
      <c r="R540" s="2">
        <v>46174</v>
      </c>
      <c r="S540" s="2"/>
      <c r="T540" s="1" t="str">
        <f t="shared" si="24"/>
        <v>sex</v>
      </c>
      <c r="U540" s="1" t="str">
        <f t="shared" si="25"/>
        <v>dez</v>
      </c>
      <c r="V540">
        <f t="shared" si="26"/>
        <v>2017</v>
      </c>
      <c r="W540">
        <f>_xlfn.XLOOKUP(A540,Absenteismo!A:A,Absenteismo!A:A,0)</f>
        <v>1472</v>
      </c>
    </row>
    <row r="541" spans="1:23" x14ac:dyDescent="0.3">
      <c r="A541">
        <v>1489</v>
      </c>
      <c r="B541">
        <v>34</v>
      </c>
      <c r="C541" t="s">
        <v>15</v>
      </c>
      <c r="D541" t="s">
        <v>16</v>
      </c>
      <c r="E541" t="s">
        <v>17</v>
      </c>
      <c r="F541" t="s">
        <v>23</v>
      </c>
      <c r="G541">
        <v>119</v>
      </c>
      <c r="H541">
        <v>6484</v>
      </c>
      <c r="I541" t="s">
        <v>24</v>
      </c>
      <c r="J541" s="2">
        <v>42566</v>
      </c>
      <c r="K541">
        <v>6</v>
      </c>
      <c r="L541" t="s">
        <v>20</v>
      </c>
      <c r="M541">
        <v>12</v>
      </c>
      <c r="N541">
        <v>0</v>
      </c>
      <c r="O541">
        <v>4</v>
      </c>
      <c r="P541" t="s">
        <v>25</v>
      </c>
      <c r="Q541" s="1">
        <v>1</v>
      </c>
      <c r="R541" s="2">
        <v>46174</v>
      </c>
      <c r="S541" s="2"/>
      <c r="T541" s="1" t="str">
        <f t="shared" si="24"/>
        <v>sex</v>
      </c>
      <c r="U541" s="1" t="str">
        <f t="shared" si="25"/>
        <v>jul</v>
      </c>
      <c r="V541">
        <f t="shared" si="26"/>
        <v>2016</v>
      </c>
      <c r="W541">
        <f>_xlfn.XLOOKUP(A541,Absenteismo!A:A,Absenteismo!A:A,0)</f>
        <v>0</v>
      </c>
    </row>
    <row r="542" spans="1:23" hidden="1" x14ac:dyDescent="0.3">
      <c r="A542">
        <v>1564</v>
      </c>
      <c r="B542">
        <v>34</v>
      </c>
      <c r="C542" t="s">
        <v>15</v>
      </c>
      <c r="D542" t="s">
        <v>16</v>
      </c>
      <c r="E542" t="s">
        <v>17</v>
      </c>
      <c r="F542" t="s">
        <v>23</v>
      </c>
      <c r="G542">
        <v>26</v>
      </c>
      <c r="H542">
        <v>6432</v>
      </c>
      <c r="I542" t="s">
        <v>19</v>
      </c>
      <c r="J542" s="2">
        <v>45270</v>
      </c>
      <c r="K542">
        <v>6</v>
      </c>
      <c r="L542" t="s">
        <v>25</v>
      </c>
      <c r="M542">
        <v>21</v>
      </c>
      <c r="N542">
        <v>1</v>
      </c>
      <c r="O542">
        <v>2</v>
      </c>
      <c r="P542" t="s">
        <v>25</v>
      </c>
      <c r="Q542" s="1">
        <v>1</v>
      </c>
      <c r="R542" s="2">
        <v>46174</v>
      </c>
      <c r="S542" s="2"/>
      <c r="T542" s="1" t="str">
        <f t="shared" si="24"/>
        <v>dom</v>
      </c>
      <c r="U542" s="1" t="str">
        <f t="shared" si="25"/>
        <v>dez</v>
      </c>
      <c r="V542">
        <f t="shared" si="26"/>
        <v>2023</v>
      </c>
      <c r="W542">
        <f>_xlfn.XLOOKUP(A542,Absenteismo!A:A,Absenteismo!A:A,0)</f>
        <v>1564</v>
      </c>
    </row>
    <row r="543" spans="1:23" hidden="1" x14ac:dyDescent="0.3">
      <c r="A543">
        <v>1696</v>
      </c>
      <c r="B543">
        <v>34</v>
      </c>
      <c r="C543" t="s">
        <v>15</v>
      </c>
      <c r="D543" t="s">
        <v>16</v>
      </c>
      <c r="E543" t="s">
        <v>17</v>
      </c>
      <c r="F543" t="s">
        <v>18</v>
      </c>
      <c r="G543">
        <v>68</v>
      </c>
      <c r="H543">
        <v>3731</v>
      </c>
      <c r="I543" t="s">
        <v>30</v>
      </c>
      <c r="J543" s="2">
        <v>43933</v>
      </c>
      <c r="K543">
        <v>31</v>
      </c>
      <c r="L543" t="s">
        <v>20</v>
      </c>
      <c r="M543">
        <v>23</v>
      </c>
      <c r="N543">
        <v>8</v>
      </c>
      <c r="O543">
        <v>2</v>
      </c>
      <c r="P543" t="s">
        <v>25</v>
      </c>
      <c r="Q543" s="1">
        <v>1</v>
      </c>
      <c r="R543" s="2">
        <v>46174</v>
      </c>
      <c r="S543" s="2"/>
      <c r="T543" s="1" t="str">
        <f t="shared" si="24"/>
        <v>dom</v>
      </c>
      <c r="U543" s="1" t="str">
        <f t="shared" si="25"/>
        <v>abr</v>
      </c>
      <c r="V543">
        <f t="shared" si="26"/>
        <v>2020</v>
      </c>
      <c r="W543">
        <f>_xlfn.XLOOKUP(A543,Absenteismo!A:A,Absenteismo!A:A,0)</f>
        <v>1696</v>
      </c>
    </row>
    <row r="544" spans="1:23" x14ac:dyDescent="0.3">
      <c r="A544">
        <v>1764</v>
      </c>
      <c r="B544">
        <v>34</v>
      </c>
      <c r="C544" t="s">
        <v>26</v>
      </c>
      <c r="D544" t="s">
        <v>16</v>
      </c>
      <c r="E544" t="s">
        <v>17</v>
      </c>
      <c r="F544" t="s">
        <v>23</v>
      </c>
      <c r="G544">
        <v>36</v>
      </c>
      <c r="H544">
        <v>7371</v>
      </c>
      <c r="I544" t="s">
        <v>24</v>
      </c>
      <c r="J544" s="2">
        <v>44858</v>
      </c>
      <c r="K544">
        <v>15</v>
      </c>
      <c r="L544" t="s">
        <v>25</v>
      </c>
      <c r="M544">
        <v>19</v>
      </c>
      <c r="N544">
        <v>12</v>
      </c>
      <c r="O544">
        <v>4</v>
      </c>
      <c r="P544" t="s">
        <v>25</v>
      </c>
      <c r="Q544" s="1">
        <v>2</v>
      </c>
      <c r="R544" s="2">
        <v>46174</v>
      </c>
      <c r="S544" s="2"/>
      <c r="T544" s="1" t="str">
        <f t="shared" si="24"/>
        <v>seg</v>
      </c>
      <c r="U544" s="1" t="str">
        <f t="shared" si="25"/>
        <v>out</v>
      </c>
      <c r="V544">
        <f t="shared" si="26"/>
        <v>2022</v>
      </c>
      <c r="W544">
        <f>_xlfn.XLOOKUP(A544,Absenteismo!A:A,Absenteismo!A:A,0)</f>
        <v>0</v>
      </c>
    </row>
    <row r="545" spans="1:23" hidden="1" x14ac:dyDescent="0.3">
      <c r="A545">
        <v>1772</v>
      </c>
      <c r="B545">
        <v>34</v>
      </c>
      <c r="C545" t="s">
        <v>15</v>
      </c>
      <c r="D545" t="s">
        <v>16</v>
      </c>
      <c r="E545" t="s">
        <v>17</v>
      </c>
      <c r="F545" t="s">
        <v>18</v>
      </c>
      <c r="G545">
        <v>102</v>
      </c>
      <c r="H545">
        <v>5216</v>
      </c>
      <c r="I545" t="s">
        <v>28</v>
      </c>
      <c r="J545" s="2">
        <v>43060</v>
      </c>
      <c r="K545">
        <v>54</v>
      </c>
      <c r="L545" t="s">
        <v>20</v>
      </c>
      <c r="M545">
        <v>11</v>
      </c>
      <c r="N545">
        <v>9</v>
      </c>
      <c r="O545">
        <v>5</v>
      </c>
      <c r="P545" t="s">
        <v>25</v>
      </c>
      <c r="Q545" s="1">
        <v>2</v>
      </c>
      <c r="R545" s="2">
        <v>46174</v>
      </c>
      <c r="S545" s="2"/>
      <c r="T545" s="1" t="str">
        <f t="shared" si="24"/>
        <v>ter</v>
      </c>
      <c r="U545" s="1" t="str">
        <f t="shared" si="25"/>
        <v>nov</v>
      </c>
      <c r="V545">
        <f t="shared" si="26"/>
        <v>2017</v>
      </c>
      <c r="W545">
        <f>_xlfn.XLOOKUP(A545,Absenteismo!A:A,Absenteismo!A:A,0)</f>
        <v>1772</v>
      </c>
    </row>
    <row r="546" spans="1:23" x14ac:dyDescent="0.3">
      <c r="A546">
        <v>1789</v>
      </c>
      <c r="B546">
        <v>34</v>
      </c>
      <c r="C546" t="s">
        <v>15</v>
      </c>
      <c r="D546" t="s">
        <v>16</v>
      </c>
      <c r="E546" t="s">
        <v>17</v>
      </c>
      <c r="F546" t="s">
        <v>23</v>
      </c>
      <c r="G546">
        <v>119</v>
      </c>
      <c r="H546">
        <v>6484</v>
      </c>
      <c r="I546" t="s">
        <v>24</v>
      </c>
      <c r="J546" s="2">
        <v>42264</v>
      </c>
      <c r="K546">
        <v>6</v>
      </c>
      <c r="L546" t="s">
        <v>20</v>
      </c>
      <c r="M546">
        <v>12</v>
      </c>
      <c r="N546">
        <v>0</v>
      </c>
      <c r="O546">
        <v>4</v>
      </c>
      <c r="P546" t="s">
        <v>25</v>
      </c>
      <c r="Q546" s="1">
        <v>1</v>
      </c>
      <c r="R546" s="2">
        <v>46174</v>
      </c>
      <c r="S546" s="2"/>
      <c r="T546" s="1" t="str">
        <f t="shared" si="24"/>
        <v>qui</v>
      </c>
      <c r="U546" s="1" t="str">
        <f t="shared" si="25"/>
        <v>set</v>
      </c>
      <c r="V546">
        <f t="shared" si="26"/>
        <v>2015</v>
      </c>
      <c r="W546">
        <f>_xlfn.XLOOKUP(A546,Absenteismo!A:A,Absenteismo!A:A,0)</f>
        <v>0</v>
      </c>
    </row>
    <row r="547" spans="1:23" hidden="1" x14ac:dyDescent="0.3">
      <c r="A547">
        <v>1864</v>
      </c>
      <c r="B547">
        <v>34</v>
      </c>
      <c r="C547" t="s">
        <v>15</v>
      </c>
      <c r="D547" t="s">
        <v>16</v>
      </c>
      <c r="E547" t="s">
        <v>17</v>
      </c>
      <c r="F547" t="s">
        <v>23</v>
      </c>
      <c r="G547">
        <v>26</v>
      </c>
      <c r="H547">
        <v>6432</v>
      </c>
      <c r="I547" t="s">
        <v>19</v>
      </c>
      <c r="J547" s="2">
        <v>45073</v>
      </c>
      <c r="K547">
        <v>6</v>
      </c>
      <c r="L547" t="s">
        <v>25</v>
      </c>
      <c r="M547">
        <v>21</v>
      </c>
      <c r="N547">
        <v>1</v>
      </c>
      <c r="O547">
        <v>2</v>
      </c>
      <c r="P547" t="s">
        <v>25</v>
      </c>
      <c r="Q547" s="1">
        <v>1</v>
      </c>
      <c r="R547" s="2">
        <v>46174</v>
      </c>
      <c r="S547" s="2"/>
      <c r="T547" s="1" t="str">
        <f t="shared" si="24"/>
        <v>sáb</v>
      </c>
      <c r="U547" s="1" t="str">
        <f t="shared" si="25"/>
        <v>mai</v>
      </c>
      <c r="V547">
        <f t="shared" si="26"/>
        <v>2023</v>
      </c>
      <c r="W547">
        <f>_xlfn.XLOOKUP(A547,Absenteismo!A:A,Absenteismo!A:A,0)</f>
        <v>1864</v>
      </c>
    </row>
    <row r="548" spans="1:23" hidden="1" x14ac:dyDescent="0.3">
      <c r="A548">
        <v>1890</v>
      </c>
      <c r="B548">
        <v>34</v>
      </c>
      <c r="C548" t="s">
        <v>26</v>
      </c>
      <c r="D548" t="s">
        <v>27</v>
      </c>
      <c r="E548" t="s">
        <v>17</v>
      </c>
      <c r="F548" t="s">
        <v>21</v>
      </c>
      <c r="G548">
        <v>78</v>
      </c>
      <c r="H548">
        <v>6675</v>
      </c>
      <c r="I548" t="s">
        <v>30</v>
      </c>
      <c r="J548" s="2">
        <v>43760</v>
      </c>
      <c r="K548">
        <v>12</v>
      </c>
      <c r="L548" t="s">
        <v>20</v>
      </c>
      <c r="M548">
        <v>9</v>
      </c>
      <c r="N548">
        <v>9</v>
      </c>
      <c r="O548">
        <v>5</v>
      </c>
      <c r="P548" t="s">
        <v>25</v>
      </c>
      <c r="Q548" s="1">
        <v>1</v>
      </c>
      <c r="R548" s="2">
        <v>46174</v>
      </c>
      <c r="S548" s="2"/>
      <c r="T548" s="1" t="str">
        <f t="shared" si="24"/>
        <v>ter</v>
      </c>
      <c r="U548" s="1" t="str">
        <f t="shared" si="25"/>
        <v>out</v>
      </c>
      <c r="V548">
        <f t="shared" si="26"/>
        <v>2019</v>
      </c>
      <c r="W548">
        <f>_xlfn.XLOOKUP(A548,Absenteismo!A:A,Absenteismo!A:A,0)</f>
        <v>1890</v>
      </c>
    </row>
    <row r="549" spans="1:23" hidden="1" x14ac:dyDescent="0.3">
      <c r="A549">
        <v>1996</v>
      </c>
      <c r="B549">
        <v>34</v>
      </c>
      <c r="C549" t="s">
        <v>15</v>
      </c>
      <c r="D549" t="s">
        <v>16</v>
      </c>
      <c r="E549" t="s">
        <v>17</v>
      </c>
      <c r="F549" t="s">
        <v>18</v>
      </c>
      <c r="G549">
        <v>68</v>
      </c>
      <c r="H549">
        <v>3731</v>
      </c>
      <c r="I549" t="s">
        <v>30</v>
      </c>
      <c r="J549" s="2">
        <v>43954</v>
      </c>
      <c r="K549">
        <v>31</v>
      </c>
      <c r="L549" t="s">
        <v>20</v>
      </c>
      <c r="M549">
        <v>23</v>
      </c>
      <c r="N549">
        <v>8</v>
      </c>
      <c r="O549">
        <v>2</v>
      </c>
      <c r="P549" t="s">
        <v>25</v>
      </c>
      <c r="Q549" s="1">
        <v>3</v>
      </c>
      <c r="R549" s="2">
        <v>46174</v>
      </c>
      <c r="S549" s="2"/>
      <c r="T549" s="1" t="str">
        <f t="shared" si="24"/>
        <v>dom</v>
      </c>
      <c r="U549" s="1" t="str">
        <f t="shared" si="25"/>
        <v>mai</v>
      </c>
      <c r="V549">
        <f t="shared" si="26"/>
        <v>2020</v>
      </c>
      <c r="W549">
        <f>_xlfn.XLOOKUP(A549,Absenteismo!A:A,Absenteismo!A:A,0)</f>
        <v>1996</v>
      </c>
    </row>
    <row r="550" spans="1:23" x14ac:dyDescent="0.3">
      <c r="A550">
        <v>2064</v>
      </c>
      <c r="B550">
        <v>34</v>
      </c>
      <c r="C550" t="s">
        <v>26</v>
      </c>
      <c r="D550" t="s">
        <v>16</v>
      </c>
      <c r="E550" t="s">
        <v>17</v>
      </c>
      <c r="F550" t="s">
        <v>23</v>
      </c>
      <c r="G550">
        <v>36</v>
      </c>
      <c r="H550">
        <v>7371</v>
      </c>
      <c r="I550" t="s">
        <v>24</v>
      </c>
      <c r="J550" s="2">
        <v>44692</v>
      </c>
      <c r="K550">
        <v>15</v>
      </c>
      <c r="L550" t="s">
        <v>25</v>
      </c>
      <c r="M550">
        <v>19</v>
      </c>
      <c r="N550">
        <v>12</v>
      </c>
      <c r="O550">
        <v>4</v>
      </c>
      <c r="P550" t="s">
        <v>25</v>
      </c>
      <c r="Q550" s="1">
        <v>3</v>
      </c>
      <c r="R550" s="2">
        <v>46174</v>
      </c>
      <c r="S550" s="2"/>
      <c r="T550" s="1" t="str">
        <f t="shared" si="24"/>
        <v>qua</v>
      </c>
      <c r="U550" s="1" t="str">
        <f t="shared" si="25"/>
        <v>mai</v>
      </c>
      <c r="V550">
        <f t="shared" si="26"/>
        <v>2022</v>
      </c>
      <c r="W550">
        <f>_xlfn.XLOOKUP(A550,Absenteismo!A:A,Absenteismo!A:A,0)</f>
        <v>0</v>
      </c>
    </row>
    <row r="551" spans="1:23" hidden="1" x14ac:dyDescent="0.3">
      <c r="A551">
        <v>2072</v>
      </c>
      <c r="B551">
        <v>34</v>
      </c>
      <c r="C551" t="s">
        <v>15</v>
      </c>
      <c r="D551" t="s">
        <v>16</v>
      </c>
      <c r="E551" t="s">
        <v>17</v>
      </c>
      <c r="F551" t="s">
        <v>18</v>
      </c>
      <c r="G551">
        <v>102</v>
      </c>
      <c r="H551">
        <v>5216</v>
      </c>
      <c r="I551" t="s">
        <v>28</v>
      </c>
      <c r="J551" s="2">
        <v>43090</v>
      </c>
      <c r="K551">
        <v>54</v>
      </c>
      <c r="L551" t="s">
        <v>20</v>
      </c>
      <c r="M551">
        <v>11</v>
      </c>
      <c r="N551">
        <v>9</v>
      </c>
      <c r="O551">
        <v>5</v>
      </c>
      <c r="P551" t="s">
        <v>25</v>
      </c>
      <c r="Q551" s="1">
        <v>2</v>
      </c>
      <c r="R551" s="2">
        <v>46174</v>
      </c>
      <c r="S551" s="2"/>
      <c r="T551" s="1" t="str">
        <f t="shared" si="24"/>
        <v>qui</v>
      </c>
      <c r="U551" s="1" t="str">
        <f t="shared" si="25"/>
        <v>dez</v>
      </c>
      <c r="V551">
        <f t="shared" si="26"/>
        <v>2017</v>
      </c>
      <c r="W551">
        <f>_xlfn.XLOOKUP(A551,Absenteismo!A:A,Absenteismo!A:A,0)</f>
        <v>2072</v>
      </c>
    </row>
    <row r="552" spans="1:23" x14ac:dyDescent="0.3">
      <c r="A552">
        <v>2089</v>
      </c>
      <c r="B552">
        <v>34</v>
      </c>
      <c r="C552" t="s">
        <v>15</v>
      </c>
      <c r="D552" t="s">
        <v>16</v>
      </c>
      <c r="E552" t="s">
        <v>17</v>
      </c>
      <c r="F552" t="s">
        <v>23</v>
      </c>
      <c r="G552">
        <v>119</v>
      </c>
      <c r="H552">
        <v>6484</v>
      </c>
      <c r="I552" t="s">
        <v>24</v>
      </c>
      <c r="J552" s="2">
        <v>42271</v>
      </c>
      <c r="K552">
        <v>6</v>
      </c>
      <c r="L552" t="s">
        <v>20</v>
      </c>
      <c r="M552">
        <v>12</v>
      </c>
      <c r="N552">
        <v>0</v>
      </c>
      <c r="O552">
        <v>4</v>
      </c>
      <c r="P552" t="s">
        <v>25</v>
      </c>
      <c r="Q552" s="1">
        <v>3</v>
      </c>
      <c r="R552" s="2">
        <v>46174</v>
      </c>
      <c r="S552" s="2"/>
      <c r="T552" s="1" t="str">
        <f t="shared" si="24"/>
        <v>qui</v>
      </c>
      <c r="U552" s="1" t="str">
        <f t="shared" si="25"/>
        <v>set</v>
      </c>
      <c r="V552">
        <f t="shared" si="26"/>
        <v>2015</v>
      </c>
      <c r="W552">
        <f>_xlfn.XLOOKUP(A552,Absenteismo!A:A,Absenteismo!A:A,0)</f>
        <v>0</v>
      </c>
    </row>
    <row r="553" spans="1:23" hidden="1" x14ac:dyDescent="0.3">
      <c r="A553">
        <v>2164</v>
      </c>
      <c r="B553">
        <v>34</v>
      </c>
      <c r="C553" t="s">
        <v>15</v>
      </c>
      <c r="D553" t="s">
        <v>16</v>
      </c>
      <c r="E553" t="s">
        <v>17</v>
      </c>
      <c r="F553" t="s">
        <v>23</v>
      </c>
      <c r="G553">
        <v>26</v>
      </c>
      <c r="H553">
        <v>6432</v>
      </c>
      <c r="I553" t="s">
        <v>19</v>
      </c>
      <c r="J553" s="2">
        <v>45064</v>
      </c>
      <c r="K553">
        <v>6</v>
      </c>
      <c r="L553" t="s">
        <v>25</v>
      </c>
      <c r="M553">
        <v>21</v>
      </c>
      <c r="N553">
        <v>1</v>
      </c>
      <c r="O553">
        <v>2</v>
      </c>
      <c r="P553" t="s">
        <v>25</v>
      </c>
      <c r="Q553" s="1">
        <v>3</v>
      </c>
      <c r="R553" s="2">
        <v>46174</v>
      </c>
      <c r="S553" s="2"/>
      <c r="T553" s="1" t="str">
        <f t="shared" si="24"/>
        <v>qui</v>
      </c>
      <c r="U553" s="1" t="str">
        <f t="shared" si="25"/>
        <v>mai</v>
      </c>
      <c r="V553">
        <f t="shared" si="26"/>
        <v>2023</v>
      </c>
      <c r="W553">
        <f>_xlfn.XLOOKUP(A553,Absenteismo!A:A,Absenteismo!A:A,0)</f>
        <v>2164</v>
      </c>
    </row>
    <row r="554" spans="1:23" hidden="1" x14ac:dyDescent="0.3">
      <c r="A554">
        <v>1964</v>
      </c>
      <c r="B554">
        <v>34</v>
      </c>
      <c r="C554" t="s">
        <v>15</v>
      </c>
      <c r="D554" t="s">
        <v>16</v>
      </c>
      <c r="E554" t="s">
        <v>17</v>
      </c>
      <c r="F554" t="s">
        <v>23</v>
      </c>
      <c r="G554">
        <v>71</v>
      </c>
      <c r="H554">
        <v>3414</v>
      </c>
      <c r="I554" t="s">
        <v>19</v>
      </c>
      <c r="J554" s="2">
        <v>43690</v>
      </c>
      <c r="K554">
        <v>1</v>
      </c>
      <c r="L554" t="s">
        <v>20</v>
      </c>
      <c r="M554">
        <v>30</v>
      </c>
      <c r="N554">
        <v>4</v>
      </c>
      <c r="O554">
        <v>2</v>
      </c>
      <c r="P554" t="s">
        <v>25</v>
      </c>
      <c r="Q554" s="1">
        <v>3</v>
      </c>
      <c r="R554" s="2">
        <v>46174</v>
      </c>
      <c r="S554" s="2"/>
      <c r="T554" s="1" t="str">
        <f t="shared" si="24"/>
        <v>ter</v>
      </c>
      <c r="U554" s="1" t="str">
        <f t="shared" si="25"/>
        <v>ago</v>
      </c>
      <c r="V554">
        <f t="shared" si="26"/>
        <v>2019</v>
      </c>
      <c r="W554">
        <f>_xlfn.XLOOKUP(A554,Absenteismo!A:A,Absenteismo!A:A,0)</f>
        <v>1964</v>
      </c>
    </row>
    <row r="555" spans="1:23" hidden="1" x14ac:dyDescent="0.3">
      <c r="A555">
        <v>2033</v>
      </c>
      <c r="B555">
        <v>34</v>
      </c>
      <c r="C555" t="s">
        <v>15</v>
      </c>
      <c r="D555" t="s">
        <v>29</v>
      </c>
      <c r="E555" t="s">
        <v>17</v>
      </c>
      <c r="F555" t="s">
        <v>23</v>
      </c>
      <c r="G555">
        <v>45</v>
      </c>
      <c r="H555">
        <v>4775</v>
      </c>
      <c r="I555" t="s">
        <v>30</v>
      </c>
      <c r="J555" s="2">
        <v>44576</v>
      </c>
      <c r="K555">
        <v>40</v>
      </c>
      <c r="L555" t="s">
        <v>20</v>
      </c>
      <c r="M555">
        <v>21</v>
      </c>
      <c r="N555">
        <v>2</v>
      </c>
      <c r="O555">
        <v>2</v>
      </c>
      <c r="P555" t="s">
        <v>25</v>
      </c>
      <c r="Q555" s="1">
        <v>2</v>
      </c>
      <c r="R555" s="2">
        <v>46174</v>
      </c>
      <c r="S555" s="2"/>
      <c r="T555" s="1" t="str">
        <f t="shared" si="24"/>
        <v>sáb</v>
      </c>
      <c r="U555" s="1" t="str">
        <f t="shared" si="25"/>
        <v>jan</v>
      </c>
      <c r="V555">
        <f t="shared" si="26"/>
        <v>2022</v>
      </c>
      <c r="W555">
        <f>_xlfn.XLOOKUP(A555,Absenteismo!A:A,Absenteismo!A:A,0)</f>
        <v>2033</v>
      </c>
    </row>
    <row r="556" spans="1:23" hidden="1" x14ac:dyDescent="0.3">
      <c r="A556">
        <v>2152</v>
      </c>
      <c r="B556">
        <v>34</v>
      </c>
      <c r="C556" t="s">
        <v>15</v>
      </c>
      <c r="D556" t="s">
        <v>22</v>
      </c>
      <c r="E556" t="s">
        <v>17</v>
      </c>
      <c r="F556" t="s">
        <v>21</v>
      </c>
      <c r="G556">
        <v>93</v>
      </c>
      <c r="H556">
        <v>3744</v>
      </c>
      <c r="I556" t="s">
        <v>19</v>
      </c>
      <c r="J556" s="2">
        <v>43200</v>
      </c>
      <c r="K556">
        <v>48</v>
      </c>
      <c r="L556" t="s">
        <v>20</v>
      </c>
      <c r="M556">
        <v>2</v>
      </c>
      <c r="N556">
        <v>0</v>
      </c>
      <c r="O556">
        <v>3</v>
      </c>
      <c r="P556" t="s">
        <v>25</v>
      </c>
      <c r="Q556" s="1">
        <v>1</v>
      </c>
      <c r="R556" s="2">
        <v>46174</v>
      </c>
      <c r="S556" s="2"/>
      <c r="T556" s="1" t="str">
        <f t="shared" si="24"/>
        <v>ter</v>
      </c>
      <c r="U556" s="1" t="str">
        <f t="shared" si="25"/>
        <v>abr</v>
      </c>
      <c r="V556">
        <f t="shared" si="26"/>
        <v>2018</v>
      </c>
      <c r="W556">
        <f>_xlfn.XLOOKUP(A556,Absenteismo!A:A,Absenteismo!A:A,0)</f>
        <v>2152</v>
      </c>
    </row>
    <row r="557" spans="1:23" x14ac:dyDescent="0.3">
      <c r="A557">
        <v>2190</v>
      </c>
      <c r="B557">
        <v>34</v>
      </c>
      <c r="C557" t="s">
        <v>26</v>
      </c>
      <c r="D557" t="s">
        <v>27</v>
      </c>
      <c r="E557" t="s">
        <v>17</v>
      </c>
      <c r="F557" t="s">
        <v>21</v>
      </c>
      <c r="G557">
        <v>78</v>
      </c>
      <c r="H557">
        <v>6675</v>
      </c>
      <c r="I557" t="s">
        <v>30</v>
      </c>
      <c r="J557" s="2">
        <v>43391</v>
      </c>
      <c r="K557">
        <v>12</v>
      </c>
      <c r="L557" t="s">
        <v>20</v>
      </c>
      <c r="M557">
        <v>9</v>
      </c>
      <c r="N557">
        <v>9</v>
      </c>
      <c r="O557">
        <v>5</v>
      </c>
      <c r="P557" t="s">
        <v>25</v>
      </c>
      <c r="Q557" s="1">
        <v>2</v>
      </c>
      <c r="R557" s="2">
        <v>46174</v>
      </c>
      <c r="S557" s="2"/>
      <c r="T557" s="1" t="str">
        <f t="shared" si="24"/>
        <v>qui</v>
      </c>
      <c r="U557" s="1" t="str">
        <f t="shared" si="25"/>
        <v>out</v>
      </c>
      <c r="V557">
        <f t="shared" si="26"/>
        <v>2018</v>
      </c>
      <c r="W557">
        <f>_xlfn.XLOOKUP(A557,Absenteismo!A:A,Absenteismo!A:A,0)</f>
        <v>0</v>
      </c>
    </row>
    <row r="558" spans="1:23" x14ac:dyDescent="0.3">
      <c r="A558">
        <v>1167</v>
      </c>
      <c r="B558">
        <v>35</v>
      </c>
      <c r="C558" t="s">
        <v>26</v>
      </c>
      <c r="D558" t="s">
        <v>16</v>
      </c>
      <c r="E558" t="s">
        <v>17</v>
      </c>
      <c r="F558" t="s">
        <v>21</v>
      </c>
      <c r="G558">
        <v>95</v>
      </c>
      <c r="H558">
        <v>4760</v>
      </c>
      <c r="I558" t="s">
        <v>19</v>
      </c>
      <c r="J558" s="2">
        <v>42925</v>
      </c>
      <c r="K558">
        <v>4</v>
      </c>
      <c r="L558" t="s">
        <v>20</v>
      </c>
      <c r="M558">
        <v>33</v>
      </c>
      <c r="N558">
        <v>3</v>
      </c>
      <c r="O558">
        <v>3</v>
      </c>
      <c r="P558" t="s">
        <v>20</v>
      </c>
      <c r="Q558" s="1">
        <v>2</v>
      </c>
      <c r="R558" s="2">
        <v>46174</v>
      </c>
      <c r="S558" s="2">
        <v>45817</v>
      </c>
      <c r="T558" s="1" t="str">
        <f t="shared" si="24"/>
        <v>dom</v>
      </c>
      <c r="U558" s="1" t="str">
        <f t="shared" si="25"/>
        <v>jul</v>
      </c>
      <c r="V558">
        <f t="shared" si="26"/>
        <v>2017</v>
      </c>
      <c r="W558">
        <f>_xlfn.XLOOKUP(A558,Absenteismo!A:A,Absenteismo!A:A,0)</f>
        <v>0</v>
      </c>
    </row>
    <row r="559" spans="1:23" x14ac:dyDescent="0.3">
      <c r="A559">
        <v>1866</v>
      </c>
      <c r="B559">
        <v>35</v>
      </c>
      <c r="C559" t="s">
        <v>26</v>
      </c>
      <c r="D559" t="s">
        <v>29</v>
      </c>
      <c r="E559" t="s">
        <v>17</v>
      </c>
      <c r="F559" t="s">
        <v>23</v>
      </c>
      <c r="G559">
        <v>5</v>
      </c>
      <c r="H559">
        <v>4813</v>
      </c>
      <c r="I559" t="s">
        <v>24</v>
      </c>
      <c r="J559" s="2">
        <v>45724</v>
      </c>
      <c r="K559">
        <v>32</v>
      </c>
      <c r="L559" t="s">
        <v>20</v>
      </c>
      <c r="M559">
        <v>35</v>
      </c>
      <c r="N559">
        <v>7</v>
      </c>
      <c r="O559">
        <v>2</v>
      </c>
      <c r="P559" t="s">
        <v>20</v>
      </c>
      <c r="Q559" s="1">
        <v>3</v>
      </c>
      <c r="R559" s="2">
        <v>46174</v>
      </c>
      <c r="S559" s="2">
        <v>45877</v>
      </c>
      <c r="T559" s="1" t="str">
        <f t="shared" si="24"/>
        <v>sáb</v>
      </c>
      <c r="U559" s="1" t="str">
        <f t="shared" si="25"/>
        <v>mar</v>
      </c>
      <c r="V559">
        <f t="shared" si="26"/>
        <v>2025</v>
      </c>
      <c r="W559">
        <f>_xlfn.XLOOKUP(A559,Absenteismo!A:A,Absenteismo!A:A,0)</f>
        <v>0</v>
      </c>
    </row>
    <row r="560" spans="1:23" x14ac:dyDescent="0.3">
      <c r="A560">
        <v>1266</v>
      </c>
      <c r="B560">
        <v>35</v>
      </c>
      <c r="C560" t="s">
        <v>26</v>
      </c>
      <c r="D560" t="s">
        <v>29</v>
      </c>
      <c r="E560" t="s">
        <v>17</v>
      </c>
      <c r="F560" t="s">
        <v>23</v>
      </c>
      <c r="G560">
        <v>5</v>
      </c>
      <c r="H560">
        <v>4813</v>
      </c>
      <c r="I560" t="s">
        <v>24</v>
      </c>
      <c r="J560" s="2">
        <v>45789</v>
      </c>
      <c r="K560">
        <v>32</v>
      </c>
      <c r="L560" t="s">
        <v>20</v>
      </c>
      <c r="M560">
        <v>35</v>
      </c>
      <c r="N560">
        <v>7</v>
      </c>
      <c r="O560">
        <v>2</v>
      </c>
      <c r="P560" t="s">
        <v>20</v>
      </c>
      <c r="Q560" s="1">
        <v>3</v>
      </c>
      <c r="R560" s="2">
        <v>46174</v>
      </c>
      <c r="S560" s="2">
        <v>45942</v>
      </c>
      <c r="T560" s="1" t="str">
        <f t="shared" si="24"/>
        <v>seg</v>
      </c>
      <c r="U560" s="1" t="str">
        <f t="shared" si="25"/>
        <v>mai</v>
      </c>
      <c r="V560">
        <f t="shared" si="26"/>
        <v>2025</v>
      </c>
      <c r="W560">
        <f>_xlfn.XLOOKUP(A560,Absenteismo!A:A,Absenteismo!A:A,0)</f>
        <v>0</v>
      </c>
    </row>
    <row r="561" spans="1:23" x14ac:dyDescent="0.3">
      <c r="A561">
        <v>1566</v>
      </c>
      <c r="B561">
        <v>35</v>
      </c>
      <c r="C561" t="s">
        <v>26</v>
      </c>
      <c r="D561" t="s">
        <v>29</v>
      </c>
      <c r="E561" t="s">
        <v>17</v>
      </c>
      <c r="F561" t="s">
        <v>23</v>
      </c>
      <c r="G561">
        <v>5</v>
      </c>
      <c r="H561">
        <v>4813</v>
      </c>
      <c r="I561" t="s">
        <v>24</v>
      </c>
      <c r="J561" s="2">
        <v>45796</v>
      </c>
      <c r="K561">
        <v>32</v>
      </c>
      <c r="L561" t="s">
        <v>20</v>
      </c>
      <c r="M561">
        <v>35</v>
      </c>
      <c r="N561">
        <v>7</v>
      </c>
      <c r="O561">
        <v>2</v>
      </c>
      <c r="P561" t="s">
        <v>20</v>
      </c>
      <c r="Q561" s="1">
        <v>3</v>
      </c>
      <c r="R561" s="2">
        <v>46174</v>
      </c>
      <c r="S561" s="2">
        <v>45949</v>
      </c>
      <c r="T561" s="1" t="str">
        <f t="shared" si="24"/>
        <v>seg</v>
      </c>
      <c r="U561" s="1" t="str">
        <f t="shared" si="25"/>
        <v>mai</v>
      </c>
      <c r="V561">
        <f t="shared" si="26"/>
        <v>2025</v>
      </c>
      <c r="W561">
        <f>_xlfn.XLOOKUP(A561,Absenteismo!A:A,Absenteismo!A:A,0)</f>
        <v>0</v>
      </c>
    </row>
    <row r="562" spans="1:23" hidden="1" x14ac:dyDescent="0.3">
      <c r="A562">
        <v>1767</v>
      </c>
      <c r="B562">
        <v>35</v>
      </c>
      <c r="C562" t="s">
        <v>26</v>
      </c>
      <c r="D562" t="s">
        <v>16</v>
      </c>
      <c r="E562" t="s">
        <v>17</v>
      </c>
      <c r="F562" t="s">
        <v>21</v>
      </c>
      <c r="G562">
        <v>95</v>
      </c>
      <c r="H562">
        <v>4760</v>
      </c>
      <c r="I562" t="s">
        <v>19</v>
      </c>
      <c r="J562" s="2">
        <v>43157</v>
      </c>
      <c r="K562">
        <v>4</v>
      </c>
      <c r="L562" t="s">
        <v>20</v>
      </c>
      <c r="M562">
        <v>33</v>
      </c>
      <c r="N562">
        <v>3</v>
      </c>
      <c r="O562">
        <v>3</v>
      </c>
      <c r="P562" t="s">
        <v>20</v>
      </c>
      <c r="Q562" s="1">
        <v>2</v>
      </c>
      <c r="R562" s="2">
        <v>46174</v>
      </c>
      <c r="S562" s="2">
        <v>46048</v>
      </c>
      <c r="T562" s="1" t="str">
        <f t="shared" si="24"/>
        <v>seg</v>
      </c>
      <c r="U562" s="1" t="str">
        <f t="shared" si="25"/>
        <v>fev</v>
      </c>
      <c r="V562">
        <f t="shared" si="26"/>
        <v>2018</v>
      </c>
      <c r="W562">
        <f>_xlfn.XLOOKUP(A562,Absenteismo!A:A,Absenteismo!A:A,0)</f>
        <v>1767</v>
      </c>
    </row>
    <row r="563" spans="1:23" hidden="1" x14ac:dyDescent="0.3">
      <c r="A563">
        <v>1467</v>
      </c>
      <c r="B563">
        <v>35</v>
      </c>
      <c r="C563" t="s">
        <v>26</v>
      </c>
      <c r="D563" t="s">
        <v>16</v>
      </c>
      <c r="E563" t="s">
        <v>17</v>
      </c>
      <c r="F563" t="s">
        <v>21</v>
      </c>
      <c r="G563">
        <v>95</v>
      </c>
      <c r="H563">
        <v>4760</v>
      </c>
      <c r="I563" t="s">
        <v>19</v>
      </c>
      <c r="J563" s="2">
        <v>43175</v>
      </c>
      <c r="K563">
        <v>4</v>
      </c>
      <c r="L563" t="s">
        <v>20</v>
      </c>
      <c r="M563">
        <v>33</v>
      </c>
      <c r="N563">
        <v>3</v>
      </c>
      <c r="O563">
        <v>3</v>
      </c>
      <c r="P563" t="s">
        <v>20</v>
      </c>
      <c r="Q563" s="1">
        <v>3</v>
      </c>
      <c r="R563" s="2">
        <v>46174</v>
      </c>
      <c r="S563" s="2">
        <v>46069</v>
      </c>
      <c r="T563" s="1" t="str">
        <f t="shared" si="24"/>
        <v>sex</v>
      </c>
      <c r="U563" s="1" t="str">
        <f t="shared" si="25"/>
        <v>mar</v>
      </c>
      <c r="V563">
        <f t="shared" si="26"/>
        <v>2018</v>
      </c>
      <c r="W563">
        <f>_xlfn.XLOOKUP(A563,Absenteismo!A:A,Absenteismo!A:A,0)</f>
        <v>1467</v>
      </c>
    </row>
    <row r="564" spans="1:23" x14ac:dyDescent="0.3">
      <c r="A564">
        <v>1003</v>
      </c>
      <c r="B564">
        <v>35</v>
      </c>
      <c r="C564" t="s">
        <v>15</v>
      </c>
      <c r="D564" t="s">
        <v>22</v>
      </c>
      <c r="E564" t="s">
        <v>17</v>
      </c>
      <c r="F564" t="s">
        <v>23</v>
      </c>
      <c r="G564">
        <v>90</v>
      </c>
      <c r="H564">
        <v>6262</v>
      </c>
      <c r="I564" t="s">
        <v>24</v>
      </c>
      <c r="J564" s="2">
        <v>43221</v>
      </c>
      <c r="K564">
        <v>18</v>
      </c>
      <c r="L564" t="s">
        <v>20</v>
      </c>
      <c r="M564">
        <v>21</v>
      </c>
      <c r="N564">
        <v>1</v>
      </c>
      <c r="O564">
        <v>2</v>
      </c>
      <c r="P564" t="s">
        <v>25</v>
      </c>
      <c r="Q564" s="1">
        <v>2</v>
      </c>
      <c r="R564" s="2">
        <v>46174</v>
      </c>
      <c r="S564" s="2"/>
      <c r="T564" s="1" t="str">
        <f t="shared" si="24"/>
        <v>ter</v>
      </c>
      <c r="U564" s="1" t="str">
        <f t="shared" si="25"/>
        <v>mai</v>
      </c>
      <c r="V564">
        <f t="shared" si="26"/>
        <v>2018</v>
      </c>
      <c r="W564">
        <f>_xlfn.XLOOKUP(A564,Absenteismo!A:A,Absenteismo!A:A,0)</f>
        <v>0</v>
      </c>
    </row>
    <row r="565" spans="1:23" x14ac:dyDescent="0.3">
      <c r="A565">
        <v>1056</v>
      </c>
      <c r="B565">
        <v>35</v>
      </c>
      <c r="C565" t="s">
        <v>15</v>
      </c>
      <c r="D565" t="s">
        <v>29</v>
      </c>
      <c r="E565" t="s">
        <v>17</v>
      </c>
      <c r="F565" t="s">
        <v>23</v>
      </c>
      <c r="G565">
        <v>11</v>
      </c>
      <c r="H565">
        <v>4777</v>
      </c>
      <c r="I565" t="s">
        <v>33</v>
      </c>
      <c r="J565" s="2">
        <v>45551</v>
      </c>
      <c r="K565">
        <v>32</v>
      </c>
      <c r="L565" t="s">
        <v>20</v>
      </c>
      <c r="M565">
        <v>15</v>
      </c>
      <c r="N565">
        <v>11</v>
      </c>
      <c r="O565">
        <v>5</v>
      </c>
      <c r="P565" t="s">
        <v>25</v>
      </c>
      <c r="Q565" s="1">
        <v>3</v>
      </c>
      <c r="R565" s="2">
        <v>46174</v>
      </c>
      <c r="S565" s="2"/>
      <c r="T565" s="1" t="str">
        <f t="shared" si="24"/>
        <v>seg</v>
      </c>
      <c r="U565" s="1" t="str">
        <f t="shared" si="25"/>
        <v>set</v>
      </c>
      <c r="V565">
        <f t="shared" si="26"/>
        <v>2024</v>
      </c>
      <c r="W565">
        <f>_xlfn.XLOOKUP(A565,Absenteismo!A:A,Absenteismo!A:A,0)</f>
        <v>0</v>
      </c>
    </row>
    <row r="566" spans="1:23" hidden="1" x14ac:dyDescent="0.3">
      <c r="A566">
        <v>1208</v>
      </c>
      <c r="B566">
        <v>35</v>
      </c>
      <c r="C566" t="s">
        <v>15</v>
      </c>
      <c r="D566" t="s">
        <v>16</v>
      </c>
      <c r="E566" t="s">
        <v>17</v>
      </c>
      <c r="F566" t="s">
        <v>23</v>
      </c>
      <c r="G566">
        <v>56</v>
      </c>
      <c r="H566">
        <v>6476</v>
      </c>
      <c r="I566" t="s">
        <v>28</v>
      </c>
      <c r="J566" s="2">
        <v>44220</v>
      </c>
      <c r="K566">
        <v>36</v>
      </c>
      <c r="L566" t="s">
        <v>20</v>
      </c>
      <c r="M566">
        <v>6</v>
      </c>
      <c r="N566">
        <v>0</v>
      </c>
      <c r="O566">
        <v>2</v>
      </c>
      <c r="P566" t="s">
        <v>25</v>
      </c>
      <c r="Q566" s="1">
        <v>2</v>
      </c>
      <c r="R566" s="2">
        <v>46174</v>
      </c>
      <c r="S566" s="2"/>
      <c r="T566" s="1" t="str">
        <f t="shared" si="24"/>
        <v>dom</v>
      </c>
      <c r="U566" s="1" t="str">
        <f t="shared" si="25"/>
        <v>jan</v>
      </c>
      <c r="V566">
        <f t="shared" si="26"/>
        <v>2021</v>
      </c>
      <c r="W566">
        <f>_xlfn.XLOOKUP(A566,Absenteismo!A:A,Absenteismo!A:A,0)</f>
        <v>1208</v>
      </c>
    </row>
    <row r="567" spans="1:23" x14ac:dyDescent="0.3">
      <c r="A567">
        <v>1233</v>
      </c>
      <c r="B567">
        <v>35</v>
      </c>
      <c r="C567" t="s">
        <v>15</v>
      </c>
      <c r="D567" t="s">
        <v>16</v>
      </c>
      <c r="E567" t="s">
        <v>17</v>
      </c>
      <c r="F567" t="s">
        <v>18</v>
      </c>
      <c r="G567">
        <v>118</v>
      </c>
      <c r="H567">
        <v>3285</v>
      </c>
      <c r="I567" t="s">
        <v>24</v>
      </c>
      <c r="J567" s="2">
        <v>42536</v>
      </c>
      <c r="K567">
        <v>56</v>
      </c>
      <c r="L567" t="s">
        <v>20</v>
      </c>
      <c r="M567">
        <v>8</v>
      </c>
      <c r="N567">
        <v>3</v>
      </c>
      <c r="O567">
        <v>3</v>
      </c>
      <c r="P567" t="s">
        <v>25</v>
      </c>
      <c r="Q567" s="1">
        <v>3</v>
      </c>
      <c r="R567" s="2">
        <v>46174</v>
      </c>
      <c r="S567" s="2"/>
      <c r="T567" s="1" t="str">
        <f t="shared" si="24"/>
        <v>qua</v>
      </c>
      <c r="U567" s="1" t="str">
        <f t="shared" si="25"/>
        <v>jun</v>
      </c>
      <c r="V567">
        <f t="shared" si="26"/>
        <v>2016</v>
      </c>
      <c r="W567">
        <f>_xlfn.XLOOKUP(A567,Absenteismo!A:A,Absenteismo!A:A,0)</f>
        <v>0</v>
      </c>
    </row>
    <row r="568" spans="1:23" x14ac:dyDescent="0.3">
      <c r="A568">
        <v>1303</v>
      </c>
      <c r="B568">
        <v>35</v>
      </c>
      <c r="C568" t="s">
        <v>15</v>
      </c>
      <c r="D568" t="s">
        <v>22</v>
      </c>
      <c r="E568" t="s">
        <v>17</v>
      </c>
      <c r="F568" t="s">
        <v>23</v>
      </c>
      <c r="G568">
        <v>90</v>
      </c>
      <c r="H568">
        <v>6262</v>
      </c>
      <c r="I568" t="s">
        <v>24</v>
      </c>
      <c r="J568" s="2">
        <v>43278</v>
      </c>
      <c r="K568">
        <v>18</v>
      </c>
      <c r="L568" t="s">
        <v>20</v>
      </c>
      <c r="M568">
        <v>21</v>
      </c>
      <c r="N568">
        <v>1</v>
      </c>
      <c r="O568">
        <v>2</v>
      </c>
      <c r="P568" t="s">
        <v>25</v>
      </c>
      <c r="Q568" s="1">
        <v>3</v>
      </c>
      <c r="R568" s="2">
        <v>46174</v>
      </c>
      <c r="S568" s="2"/>
      <c r="T568" s="1" t="str">
        <f t="shared" si="24"/>
        <v>qua</v>
      </c>
      <c r="U568" s="1" t="str">
        <f t="shared" si="25"/>
        <v>jun</v>
      </c>
      <c r="V568">
        <f t="shared" si="26"/>
        <v>2018</v>
      </c>
      <c r="W568">
        <f>_xlfn.XLOOKUP(A568,Absenteismo!A:A,Absenteismo!A:A,0)</f>
        <v>0</v>
      </c>
    </row>
    <row r="569" spans="1:23" hidden="1" x14ac:dyDescent="0.3">
      <c r="A569">
        <v>1356</v>
      </c>
      <c r="B569">
        <v>35</v>
      </c>
      <c r="C569" t="s">
        <v>15</v>
      </c>
      <c r="D569" t="s">
        <v>29</v>
      </c>
      <c r="E569" t="s">
        <v>17</v>
      </c>
      <c r="F569" t="s">
        <v>23</v>
      </c>
      <c r="G569">
        <v>11</v>
      </c>
      <c r="H569">
        <v>4777</v>
      </c>
      <c r="I569" t="s">
        <v>33</v>
      </c>
      <c r="J569" s="2">
        <v>45476</v>
      </c>
      <c r="K569">
        <v>32</v>
      </c>
      <c r="L569" t="s">
        <v>20</v>
      </c>
      <c r="M569">
        <v>15</v>
      </c>
      <c r="N569">
        <v>11</v>
      </c>
      <c r="O569">
        <v>5</v>
      </c>
      <c r="P569" t="s">
        <v>25</v>
      </c>
      <c r="Q569" s="1">
        <v>2</v>
      </c>
      <c r="R569" s="2">
        <v>46174</v>
      </c>
      <c r="S569" s="2"/>
      <c r="T569" s="1" t="str">
        <f t="shared" si="24"/>
        <v>qua</v>
      </c>
      <c r="U569" s="1" t="str">
        <f t="shared" si="25"/>
        <v>jul</v>
      </c>
      <c r="V569">
        <f t="shared" si="26"/>
        <v>2024</v>
      </c>
      <c r="W569">
        <f>_xlfn.XLOOKUP(A569,Absenteismo!A:A,Absenteismo!A:A,0)</f>
        <v>1356</v>
      </c>
    </row>
    <row r="570" spans="1:23" hidden="1" x14ac:dyDescent="0.3">
      <c r="A570">
        <v>1508</v>
      </c>
      <c r="B570">
        <v>35</v>
      </c>
      <c r="C570" t="s">
        <v>15</v>
      </c>
      <c r="D570" t="s">
        <v>16</v>
      </c>
      <c r="E570" t="s">
        <v>17</v>
      </c>
      <c r="F570" t="s">
        <v>23</v>
      </c>
      <c r="G570">
        <v>56</v>
      </c>
      <c r="H570">
        <v>6476</v>
      </c>
      <c r="I570" t="s">
        <v>28</v>
      </c>
      <c r="J570" s="2">
        <v>44433</v>
      </c>
      <c r="K570">
        <v>36</v>
      </c>
      <c r="L570" t="s">
        <v>20</v>
      </c>
      <c r="M570">
        <v>6</v>
      </c>
      <c r="N570">
        <v>0</v>
      </c>
      <c r="O570">
        <v>2</v>
      </c>
      <c r="P570" t="s">
        <v>25</v>
      </c>
      <c r="Q570" s="1">
        <v>1</v>
      </c>
      <c r="R570" s="2">
        <v>46174</v>
      </c>
      <c r="S570" s="2"/>
      <c r="T570" s="1" t="str">
        <f t="shared" si="24"/>
        <v>qua</v>
      </c>
      <c r="U570" s="1" t="str">
        <f t="shared" si="25"/>
        <v>ago</v>
      </c>
      <c r="V570">
        <f t="shared" si="26"/>
        <v>2021</v>
      </c>
      <c r="W570">
        <f>_xlfn.XLOOKUP(A570,Absenteismo!A:A,Absenteismo!A:A,0)</f>
        <v>1508</v>
      </c>
    </row>
    <row r="571" spans="1:23" x14ac:dyDescent="0.3">
      <c r="A571">
        <v>1533</v>
      </c>
      <c r="B571">
        <v>35</v>
      </c>
      <c r="C571" t="s">
        <v>15</v>
      </c>
      <c r="D571" t="s">
        <v>16</v>
      </c>
      <c r="E571" t="s">
        <v>17</v>
      </c>
      <c r="F571" t="s">
        <v>18</v>
      </c>
      <c r="G571">
        <v>118</v>
      </c>
      <c r="H571">
        <v>3285</v>
      </c>
      <c r="I571" t="s">
        <v>24</v>
      </c>
      <c r="J571" s="2">
        <v>42421</v>
      </c>
      <c r="K571">
        <v>56</v>
      </c>
      <c r="L571" t="s">
        <v>20</v>
      </c>
      <c r="M571">
        <v>8</v>
      </c>
      <c r="N571">
        <v>3</v>
      </c>
      <c r="O571">
        <v>3</v>
      </c>
      <c r="P571" t="s">
        <v>25</v>
      </c>
      <c r="Q571" s="1">
        <v>1</v>
      </c>
      <c r="R571" s="2">
        <v>46174</v>
      </c>
      <c r="S571" s="2"/>
      <c r="T571" s="1" t="str">
        <f t="shared" si="24"/>
        <v>dom</v>
      </c>
      <c r="U571" s="1" t="str">
        <f t="shared" si="25"/>
        <v>fev</v>
      </c>
      <c r="V571">
        <f t="shared" si="26"/>
        <v>2016</v>
      </c>
      <c r="W571">
        <f>_xlfn.XLOOKUP(A571,Absenteismo!A:A,Absenteismo!A:A,0)</f>
        <v>0</v>
      </c>
    </row>
    <row r="572" spans="1:23" x14ac:dyDescent="0.3">
      <c r="A572">
        <v>1603</v>
      </c>
      <c r="B572">
        <v>35</v>
      </c>
      <c r="C572" t="s">
        <v>15</v>
      </c>
      <c r="D572" t="s">
        <v>22</v>
      </c>
      <c r="E572" t="s">
        <v>17</v>
      </c>
      <c r="F572" t="s">
        <v>23</v>
      </c>
      <c r="G572">
        <v>90</v>
      </c>
      <c r="H572">
        <v>6262</v>
      </c>
      <c r="I572" t="s">
        <v>24</v>
      </c>
      <c r="J572" s="2">
        <v>43085</v>
      </c>
      <c r="K572">
        <v>18</v>
      </c>
      <c r="L572" t="s">
        <v>20</v>
      </c>
      <c r="M572">
        <v>21</v>
      </c>
      <c r="N572">
        <v>1</v>
      </c>
      <c r="O572">
        <v>2</v>
      </c>
      <c r="P572" t="s">
        <v>25</v>
      </c>
      <c r="Q572" s="1">
        <v>1</v>
      </c>
      <c r="R572" s="2">
        <v>46174</v>
      </c>
      <c r="S572" s="2"/>
      <c r="T572" s="1" t="str">
        <f t="shared" si="24"/>
        <v>sáb</v>
      </c>
      <c r="U572" s="1" t="str">
        <f t="shared" si="25"/>
        <v>dez</v>
      </c>
      <c r="V572">
        <f t="shared" si="26"/>
        <v>2017</v>
      </c>
      <c r="W572">
        <f>_xlfn.XLOOKUP(A572,Absenteismo!A:A,Absenteismo!A:A,0)</f>
        <v>0</v>
      </c>
    </row>
    <row r="573" spans="1:23" hidden="1" x14ac:dyDescent="0.3">
      <c r="A573">
        <v>1656</v>
      </c>
      <c r="B573">
        <v>35</v>
      </c>
      <c r="C573" t="s">
        <v>15</v>
      </c>
      <c r="D573" t="s">
        <v>29</v>
      </c>
      <c r="E573" t="s">
        <v>17</v>
      </c>
      <c r="F573" t="s">
        <v>23</v>
      </c>
      <c r="G573">
        <v>11</v>
      </c>
      <c r="H573">
        <v>4777</v>
      </c>
      <c r="I573" t="s">
        <v>33</v>
      </c>
      <c r="J573" s="2">
        <v>45603</v>
      </c>
      <c r="K573">
        <v>32</v>
      </c>
      <c r="L573" t="s">
        <v>20</v>
      </c>
      <c r="M573">
        <v>15</v>
      </c>
      <c r="N573">
        <v>11</v>
      </c>
      <c r="O573">
        <v>5</v>
      </c>
      <c r="P573" t="s">
        <v>25</v>
      </c>
      <c r="Q573" s="1">
        <v>3</v>
      </c>
      <c r="R573" s="2">
        <v>46174</v>
      </c>
      <c r="S573" s="2"/>
      <c r="T573" s="1" t="str">
        <f t="shared" si="24"/>
        <v>qui</v>
      </c>
      <c r="U573" s="1" t="str">
        <f t="shared" si="25"/>
        <v>nov</v>
      </c>
      <c r="V573">
        <f t="shared" si="26"/>
        <v>2024</v>
      </c>
      <c r="W573">
        <f>_xlfn.XLOOKUP(A573,Absenteismo!A:A,Absenteismo!A:A,0)</f>
        <v>1656</v>
      </c>
    </row>
    <row r="574" spans="1:23" hidden="1" x14ac:dyDescent="0.3">
      <c r="A574">
        <v>1808</v>
      </c>
      <c r="B574">
        <v>35</v>
      </c>
      <c r="C574" t="s">
        <v>15</v>
      </c>
      <c r="D574" t="s">
        <v>16</v>
      </c>
      <c r="E574" t="s">
        <v>17</v>
      </c>
      <c r="F574" t="s">
        <v>23</v>
      </c>
      <c r="G574">
        <v>56</v>
      </c>
      <c r="H574">
        <v>6476</v>
      </c>
      <c r="I574" t="s">
        <v>28</v>
      </c>
      <c r="J574" s="2">
        <v>44278</v>
      </c>
      <c r="K574">
        <v>36</v>
      </c>
      <c r="L574" t="s">
        <v>20</v>
      </c>
      <c r="M574">
        <v>6</v>
      </c>
      <c r="N574">
        <v>0</v>
      </c>
      <c r="O574">
        <v>2</v>
      </c>
      <c r="P574" t="s">
        <v>25</v>
      </c>
      <c r="Q574" s="1">
        <v>3</v>
      </c>
      <c r="R574" s="2">
        <v>46174</v>
      </c>
      <c r="S574" s="2"/>
      <c r="T574" s="1" t="str">
        <f t="shared" si="24"/>
        <v>ter</v>
      </c>
      <c r="U574" s="1" t="str">
        <f t="shared" si="25"/>
        <v>mar</v>
      </c>
      <c r="V574">
        <f t="shared" si="26"/>
        <v>2021</v>
      </c>
      <c r="W574">
        <f>_xlfn.XLOOKUP(A574,Absenteismo!A:A,Absenteismo!A:A,0)</f>
        <v>1808</v>
      </c>
    </row>
    <row r="575" spans="1:23" x14ac:dyDescent="0.3">
      <c r="A575">
        <v>1833</v>
      </c>
      <c r="B575">
        <v>35</v>
      </c>
      <c r="C575" t="s">
        <v>15</v>
      </c>
      <c r="D575" t="s">
        <v>16</v>
      </c>
      <c r="E575" t="s">
        <v>17</v>
      </c>
      <c r="F575" t="s">
        <v>18</v>
      </c>
      <c r="G575">
        <v>118</v>
      </c>
      <c r="H575">
        <v>3285</v>
      </c>
      <c r="I575" t="s">
        <v>24</v>
      </c>
      <c r="J575" s="2">
        <v>42164</v>
      </c>
      <c r="K575">
        <v>41</v>
      </c>
      <c r="L575" t="s">
        <v>20</v>
      </c>
      <c r="M575">
        <v>8</v>
      </c>
      <c r="N575">
        <v>3</v>
      </c>
      <c r="O575">
        <v>3</v>
      </c>
      <c r="P575" t="s">
        <v>25</v>
      </c>
      <c r="Q575" s="1">
        <v>3</v>
      </c>
      <c r="R575" s="2">
        <v>46174</v>
      </c>
      <c r="S575" s="2"/>
      <c r="T575" s="1" t="str">
        <f t="shared" si="24"/>
        <v>ter</v>
      </c>
      <c r="U575" s="1" t="str">
        <f t="shared" si="25"/>
        <v>jun</v>
      </c>
      <c r="V575">
        <f t="shared" si="26"/>
        <v>2015</v>
      </c>
      <c r="W575">
        <f>_xlfn.XLOOKUP(A575,Absenteismo!A:A,Absenteismo!A:A,0)</f>
        <v>0</v>
      </c>
    </row>
    <row r="576" spans="1:23" x14ac:dyDescent="0.3">
      <c r="A576">
        <v>1903</v>
      </c>
      <c r="B576">
        <v>35</v>
      </c>
      <c r="C576" t="s">
        <v>15</v>
      </c>
      <c r="D576" t="s">
        <v>22</v>
      </c>
      <c r="E576" t="s">
        <v>17</v>
      </c>
      <c r="F576" t="s">
        <v>23</v>
      </c>
      <c r="G576">
        <v>90</v>
      </c>
      <c r="H576">
        <v>6262</v>
      </c>
      <c r="I576" t="s">
        <v>24</v>
      </c>
      <c r="J576" s="2">
        <v>43388</v>
      </c>
      <c r="K576">
        <v>18</v>
      </c>
      <c r="L576" t="s">
        <v>20</v>
      </c>
      <c r="M576">
        <v>21</v>
      </c>
      <c r="N576">
        <v>1</v>
      </c>
      <c r="O576">
        <v>2</v>
      </c>
      <c r="P576" t="s">
        <v>25</v>
      </c>
      <c r="Q576" s="1">
        <v>1</v>
      </c>
      <c r="R576" s="2">
        <v>46174</v>
      </c>
      <c r="S576" s="2"/>
      <c r="T576" s="1" t="str">
        <f t="shared" si="24"/>
        <v>seg</v>
      </c>
      <c r="U576" s="1" t="str">
        <f t="shared" si="25"/>
        <v>out</v>
      </c>
      <c r="V576">
        <f t="shared" si="26"/>
        <v>2018</v>
      </c>
      <c r="W576">
        <f>_xlfn.XLOOKUP(A576,Absenteismo!A:A,Absenteismo!A:A,0)</f>
        <v>0</v>
      </c>
    </row>
    <row r="577" spans="1:23" hidden="1" x14ac:dyDescent="0.3">
      <c r="A577">
        <v>1956</v>
      </c>
      <c r="B577">
        <v>35</v>
      </c>
      <c r="C577" t="s">
        <v>15</v>
      </c>
      <c r="D577" t="s">
        <v>29</v>
      </c>
      <c r="E577" t="s">
        <v>17</v>
      </c>
      <c r="F577" t="s">
        <v>23</v>
      </c>
      <c r="G577">
        <v>11</v>
      </c>
      <c r="H577">
        <v>4777</v>
      </c>
      <c r="I577" t="s">
        <v>33</v>
      </c>
      <c r="J577" s="2">
        <v>45639</v>
      </c>
      <c r="K577">
        <v>32</v>
      </c>
      <c r="L577" t="s">
        <v>20</v>
      </c>
      <c r="M577">
        <v>15</v>
      </c>
      <c r="N577">
        <v>11</v>
      </c>
      <c r="O577">
        <v>5</v>
      </c>
      <c r="P577" t="s">
        <v>25</v>
      </c>
      <c r="Q577" s="1">
        <v>3</v>
      </c>
      <c r="R577" s="2">
        <v>46174</v>
      </c>
      <c r="S577" s="2"/>
      <c r="T577" s="1" t="str">
        <f t="shared" si="24"/>
        <v>sex</v>
      </c>
      <c r="U577" s="1" t="str">
        <f t="shared" si="25"/>
        <v>dez</v>
      </c>
      <c r="V577">
        <f t="shared" si="26"/>
        <v>2024</v>
      </c>
      <c r="W577">
        <f>_xlfn.XLOOKUP(A577,Absenteismo!A:A,Absenteismo!A:A,0)</f>
        <v>1956</v>
      </c>
    </row>
    <row r="578" spans="1:23" hidden="1" x14ac:dyDescent="0.3">
      <c r="A578">
        <v>2108</v>
      </c>
      <c r="B578">
        <v>35</v>
      </c>
      <c r="C578" t="s">
        <v>15</v>
      </c>
      <c r="D578" t="s">
        <v>16</v>
      </c>
      <c r="E578" t="s">
        <v>17</v>
      </c>
      <c r="F578" t="s">
        <v>23</v>
      </c>
      <c r="G578">
        <v>56</v>
      </c>
      <c r="H578">
        <v>6476</v>
      </c>
      <c r="I578" t="s">
        <v>28</v>
      </c>
      <c r="J578" s="2">
        <v>44487</v>
      </c>
      <c r="K578">
        <v>36</v>
      </c>
      <c r="L578" t="s">
        <v>20</v>
      </c>
      <c r="M578">
        <v>6</v>
      </c>
      <c r="N578">
        <v>0</v>
      </c>
      <c r="O578">
        <v>2</v>
      </c>
      <c r="P578" t="s">
        <v>25</v>
      </c>
      <c r="Q578" s="1">
        <v>3</v>
      </c>
      <c r="R578" s="2">
        <v>46174</v>
      </c>
      <c r="S578" s="2"/>
      <c r="T578" s="1" t="str">
        <f t="shared" ref="T578:T641" si="27">TEXT($J578,"ddd")</f>
        <v>seg</v>
      </c>
      <c r="U578" s="1" t="str">
        <f t="shared" ref="U578:U641" si="28">TEXT($J578,"mmm")</f>
        <v>out</v>
      </c>
      <c r="V578">
        <f t="shared" ref="V578:V641" si="29">YEAR(J578)</f>
        <v>2021</v>
      </c>
      <c r="W578">
        <f>_xlfn.XLOOKUP(A578,Absenteismo!A:A,Absenteismo!A:A,0)</f>
        <v>2108</v>
      </c>
    </row>
    <row r="579" spans="1:23" x14ac:dyDescent="0.3">
      <c r="A579">
        <v>2133</v>
      </c>
      <c r="B579">
        <v>35</v>
      </c>
      <c r="C579" t="s">
        <v>15</v>
      </c>
      <c r="D579" t="s">
        <v>16</v>
      </c>
      <c r="E579" t="s">
        <v>17</v>
      </c>
      <c r="F579" t="s">
        <v>18</v>
      </c>
      <c r="G579">
        <v>118</v>
      </c>
      <c r="H579">
        <v>3285</v>
      </c>
      <c r="I579" t="s">
        <v>24</v>
      </c>
      <c r="J579" s="2">
        <v>42563</v>
      </c>
      <c r="K579">
        <v>56</v>
      </c>
      <c r="L579" t="s">
        <v>20</v>
      </c>
      <c r="M579">
        <v>8</v>
      </c>
      <c r="N579">
        <v>3</v>
      </c>
      <c r="O579">
        <v>3</v>
      </c>
      <c r="P579" t="s">
        <v>25</v>
      </c>
      <c r="Q579" s="1">
        <v>2</v>
      </c>
      <c r="R579" s="2">
        <v>46174</v>
      </c>
      <c r="S579" s="2"/>
      <c r="T579" s="1" t="str">
        <f t="shared" si="27"/>
        <v>ter</v>
      </c>
      <c r="U579" s="1" t="str">
        <f t="shared" si="28"/>
        <v>jul</v>
      </c>
      <c r="V579">
        <f t="shared" si="29"/>
        <v>2016</v>
      </c>
      <c r="W579">
        <f>_xlfn.XLOOKUP(A579,Absenteismo!A:A,Absenteismo!A:A,0)</f>
        <v>0</v>
      </c>
    </row>
    <row r="580" spans="1:23" x14ac:dyDescent="0.3">
      <c r="A580">
        <v>2166</v>
      </c>
      <c r="B580">
        <v>35</v>
      </c>
      <c r="C580" t="s">
        <v>26</v>
      </c>
      <c r="D580" t="s">
        <v>29</v>
      </c>
      <c r="E580" t="s">
        <v>17</v>
      </c>
      <c r="F580" t="s">
        <v>23</v>
      </c>
      <c r="G580">
        <v>5</v>
      </c>
      <c r="H580">
        <v>4813</v>
      </c>
      <c r="I580" t="s">
        <v>24</v>
      </c>
      <c r="J580" s="2">
        <v>45931</v>
      </c>
      <c r="K580">
        <v>32</v>
      </c>
      <c r="L580" t="s">
        <v>20</v>
      </c>
      <c r="M580">
        <v>35</v>
      </c>
      <c r="N580">
        <v>7</v>
      </c>
      <c r="O580">
        <v>2</v>
      </c>
      <c r="P580" t="s">
        <v>25</v>
      </c>
      <c r="Q580" s="1">
        <v>1</v>
      </c>
      <c r="R580" s="2">
        <v>46174</v>
      </c>
      <c r="S580" s="2"/>
      <c r="T580" s="1" t="str">
        <f t="shared" si="27"/>
        <v>qua</v>
      </c>
      <c r="U580" s="1" t="str">
        <f t="shared" si="28"/>
        <v>out</v>
      </c>
      <c r="V580">
        <f t="shared" si="29"/>
        <v>2025</v>
      </c>
      <c r="W580">
        <f>_xlfn.XLOOKUP(A580,Absenteismo!A:A,Absenteismo!A:A,0)</f>
        <v>0</v>
      </c>
    </row>
    <row r="581" spans="1:23" hidden="1" x14ac:dyDescent="0.3">
      <c r="A581">
        <v>2067</v>
      </c>
      <c r="B581">
        <v>35</v>
      </c>
      <c r="C581" t="s">
        <v>26</v>
      </c>
      <c r="D581" t="s">
        <v>16</v>
      </c>
      <c r="E581" t="s">
        <v>17</v>
      </c>
      <c r="F581" t="s">
        <v>21</v>
      </c>
      <c r="G581">
        <v>95</v>
      </c>
      <c r="H581">
        <v>4760</v>
      </c>
      <c r="I581" t="s">
        <v>19</v>
      </c>
      <c r="J581" s="2">
        <v>43217</v>
      </c>
      <c r="K581">
        <v>4</v>
      </c>
      <c r="L581" t="s">
        <v>20</v>
      </c>
      <c r="M581">
        <v>33</v>
      </c>
      <c r="N581">
        <v>3</v>
      </c>
      <c r="O581">
        <v>3</v>
      </c>
      <c r="P581" t="s">
        <v>25</v>
      </c>
      <c r="Q581" s="1">
        <v>3</v>
      </c>
      <c r="R581" s="2">
        <v>46174</v>
      </c>
      <c r="S581" s="2"/>
      <c r="T581" s="1" t="str">
        <f t="shared" si="27"/>
        <v>sex</v>
      </c>
      <c r="U581" s="1" t="str">
        <f t="shared" si="28"/>
        <v>abr</v>
      </c>
      <c r="V581">
        <f t="shared" si="29"/>
        <v>2018</v>
      </c>
      <c r="W581">
        <f>_xlfn.XLOOKUP(A581,Absenteismo!A:A,Absenteismo!A:A,0)</f>
        <v>2067</v>
      </c>
    </row>
    <row r="582" spans="1:23" hidden="1" x14ac:dyDescent="0.3">
      <c r="A582">
        <v>1798</v>
      </c>
      <c r="B582">
        <v>36</v>
      </c>
      <c r="C582" t="s">
        <v>15</v>
      </c>
      <c r="D582" t="s">
        <v>29</v>
      </c>
      <c r="E582" t="s">
        <v>17</v>
      </c>
      <c r="F582" t="s">
        <v>21</v>
      </c>
      <c r="G582">
        <v>87</v>
      </c>
      <c r="H582">
        <v>6327</v>
      </c>
      <c r="I582" t="s">
        <v>19</v>
      </c>
      <c r="J582" s="2">
        <v>43124</v>
      </c>
      <c r="K582">
        <v>7</v>
      </c>
      <c r="L582" t="s">
        <v>25</v>
      </c>
      <c r="M582">
        <v>33</v>
      </c>
      <c r="N582">
        <v>2</v>
      </c>
      <c r="O582">
        <v>3</v>
      </c>
      <c r="P582" t="s">
        <v>20</v>
      </c>
      <c r="Q582" s="1">
        <v>2</v>
      </c>
      <c r="R582" s="2">
        <v>46174</v>
      </c>
      <c r="S582" s="2">
        <v>45771</v>
      </c>
      <c r="T582" s="1" t="str">
        <f t="shared" si="27"/>
        <v>qua</v>
      </c>
      <c r="U582" s="1" t="str">
        <f t="shared" si="28"/>
        <v>jan</v>
      </c>
      <c r="V582">
        <f t="shared" si="29"/>
        <v>2018</v>
      </c>
      <c r="W582">
        <f>_xlfn.XLOOKUP(A582,Absenteismo!A:A,Absenteismo!A:A,0)</f>
        <v>1798</v>
      </c>
    </row>
    <row r="583" spans="1:23" hidden="1" x14ac:dyDescent="0.3">
      <c r="A583">
        <v>1198</v>
      </c>
      <c r="B583">
        <v>36</v>
      </c>
      <c r="C583" t="s">
        <v>15</v>
      </c>
      <c r="D583" t="s">
        <v>29</v>
      </c>
      <c r="E583" t="s">
        <v>17</v>
      </c>
      <c r="F583" t="s">
        <v>21</v>
      </c>
      <c r="G583">
        <v>87</v>
      </c>
      <c r="H583">
        <v>6327</v>
      </c>
      <c r="I583" t="s">
        <v>19</v>
      </c>
      <c r="J583" s="2">
        <v>43245</v>
      </c>
      <c r="K583">
        <v>7</v>
      </c>
      <c r="L583" t="s">
        <v>25</v>
      </c>
      <c r="M583">
        <v>33</v>
      </c>
      <c r="N583">
        <v>2</v>
      </c>
      <c r="O583">
        <v>3</v>
      </c>
      <c r="P583" t="s">
        <v>20</v>
      </c>
      <c r="Q583" s="1">
        <v>3</v>
      </c>
      <c r="R583" s="2">
        <v>46174</v>
      </c>
      <c r="S583" s="2">
        <v>45894</v>
      </c>
      <c r="T583" s="1" t="str">
        <f t="shared" si="27"/>
        <v>sex</v>
      </c>
      <c r="U583" s="1" t="str">
        <f t="shared" si="28"/>
        <v>mai</v>
      </c>
      <c r="V583">
        <f t="shared" si="29"/>
        <v>2018</v>
      </c>
      <c r="W583">
        <f>_xlfn.XLOOKUP(A583,Absenteismo!A:A,Absenteismo!A:A,0)</f>
        <v>1198</v>
      </c>
    </row>
    <row r="584" spans="1:23" hidden="1" x14ac:dyDescent="0.3">
      <c r="A584">
        <v>1498</v>
      </c>
      <c r="B584">
        <v>36</v>
      </c>
      <c r="C584" t="s">
        <v>15</v>
      </c>
      <c r="D584" t="s">
        <v>29</v>
      </c>
      <c r="E584" t="s">
        <v>17</v>
      </c>
      <c r="F584" t="s">
        <v>21</v>
      </c>
      <c r="G584">
        <v>87</v>
      </c>
      <c r="H584">
        <v>6327</v>
      </c>
      <c r="I584" t="s">
        <v>19</v>
      </c>
      <c r="J584" s="2">
        <v>43279</v>
      </c>
      <c r="K584">
        <v>7</v>
      </c>
      <c r="L584" t="s">
        <v>25</v>
      </c>
      <c r="M584">
        <v>33</v>
      </c>
      <c r="N584">
        <v>2</v>
      </c>
      <c r="O584">
        <v>3</v>
      </c>
      <c r="P584" t="s">
        <v>20</v>
      </c>
      <c r="Q584" s="1">
        <v>3</v>
      </c>
      <c r="R584" s="2">
        <v>46174</v>
      </c>
      <c r="S584" s="2">
        <v>45928</v>
      </c>
      <c r="T584" s="1" t="str">
        <f t="shared" si="27"/>
        <v>qui</v>
      </c>
      <c r="U584" s="1" t="str">
        <f t="shared" si="28"/>
        <v>jun</v>
      </c>
      <c r="V584">
        <f t="shared" si="29"/>
        <v>2018</v>
      </c>
      <c r="W584">
        <f>_xlfn.XLOOKUP(A584,Absenteismo!A:A,Absenteismo!A:A,0)</f>
        <v>1498</v>
      </c>
    </row>
    <row r="585" spans="1:23" hidden="1" x14ac:dyDescent="0.3">
      <c r="A585">
        <v>1429</v>
      </c>
      <c r="B585">
        <v>36</v>
      </c>
      <c r="C585" t="s">
        <v>26</v>
      </c>
      <c r="D585" t="s">
        <v>27</v>
      </c>
      <c r="E585" t="s">
        <v>17</v>
      </c>
      <c r="F585" t="s">
        <v>23</v>
      </c>
      <c r="G585">
        <v>98</v>
      </c>
      <c r="H585">
        <v>6642</v>
      </c>
      <c r="I585" t="s">
        <v>33</v>
      </c>
      <c r="J585" s="2">
        <v>43165</v>
      </c>
      <c r="K585">
        <v>40</v>
      </c>
      <c r="L585" t="s">
        <v>20</v>
      </c>
      <c r="M585">
        <v>5</v>
      </c>
      <c r="N585">
        <v>0</v>
      </c>
      <c r="O585">
        <v>4</v>
      </c>
      <c r="P585" t="s">
        <v>20</v>
      </c>
      <c r="Q585" s="1">
        <v>3</v>
      </c>
      <c r="R585" s="2">
        <v>46174</v>
      </c>
      <c r="S585" s="2">
        <v>46148</v>
      </c>
      <c r="T585" s="1" t="str">
        <f t="shared" si="27"/>
        <v>ter</v>
      </c>
      <c r="U585" s="1" t="str">
        <f t="shared" si="28"/>
        <v>mar</v>
      </c>
      <c r="V585">
        <f t="shared" si="29"/>
        <v>2018</v>
      </c>
      <c r="W585">
        <f>_xlfn.XLOOKUP(A585,Absenteismo!A:A,Absenteismo!A:A,0)</f>
        <v>1429</v>
      </c>
    </row>
    <row r="586" spans="1:23" hidden="1" x14ac:dyDescent="0.3">
      <c r="A586">
        <v>1729</v>
      </c>
      <c r="B586">
        <v>36</v>
      </c>
      <c r="C586" t="s">
        <v>26</v>
      </c>
      <c r="D586" t="s">
        <v>27</v>
      </c>
      <c r="E586" t="s">
        <v>17</v>
      </c>
      <c r="F586" t="s">
        <v>23</v>
      </c>
      <c r="G586">
        <v>98</v>
      </c>
      <c r="H586">
        <v>6642</v>
      </c>
      <c r="I586" t="s">
        <v>33</v>
      </c>
      <c r="J586" s="2">
        <v>43184</v>
      </c>
      <c r="K586">
        <v>40</v>
      </c>
      <c r="L586" t="s">
        <v>20</v>
      </c>
      <c r="M586">
        <v>5</v>
      </c>
      <c r="N586">
        <v>0</v>
      </c>
      <c r="O586">
        <v>4</v>
      </c>
      <c r="P586" t="s">
        <v>20</v>
      </c>
      <c r="Q586" s="1">
        <v>3</v>
      </c>
      <c r="R586" s="2">
        <v>46174</v>
      </c>
      <c r="S586" s="2">
        <v>46167</v>
      </c>
      <c r="T586" s="1" t="str">
        <f t="shared" si="27"/>
        <v>dom</v>
      </c>
      <c r="U586" s="1" t="str">
        <f t="shared" si="28"/>
        <v>mar</v>
      </c>
      <c r="V586">
        <f t="shared" si="29"/>
        <v>2018</v>
      </c>
      <c r="W586">
        <f>_xlfn.XLOOKUP(A586,Absenteismo!A:A,Absenteismo!A:A,0)</f>
        <v>1729</v>
      </c>
    </row>
    <row r="587" spans="1:23" x14ac:dyDescent="0.3">
      <c r="A587">
        <v>1129</v>
      </c>
      <c r="B587">
        <v>36</v>
      </c>
      <c r="C587" t="s">
        <v>26</v>
      </c>
      <c r="D587" t="s">
        <v>27</v>
      </c>
      <c r="E587" t="s">
        <v>17</v>
      </c>
      <c r="F587" t="s">
        <v>23</v>
      </c>
      <c r="G587">
        <v>98</v>
      </c>
      <c r="H587">
        <v>6642</v>
      </c>
      <c r="I587" t="s">
        <v>33</v>
      </c>
      <c r="J587" s="2">
        <v>43219</v>
      </c>
      <c r="K587">
        <v>40</v>
      </c>
      <c r="L587" t="s">
        <v>20</v>
      </c>
      <c r="M587">
        <v>5</v>
      </c>
      <c r="N587">
        <v>0</v>
      </c>
      <c r="O587">
        <v>4</v>
      </c>
      <c r="P587" t="s">
        <v>20</v>
      </c>
      <c r="Q587" s="1">
        <v>2</v>
      </c>
      <c r="R587" s="2">
        <v>46174</v>
      </c>
      <c r="S587" s="2">
        <v>46202</v>
      </c>
      <c r="T587" s="1" t="str">
        <f t="shared" si="27"/>
        <v>dom</v>
      </c>
      <c r="U587" s="1" t="str">
        <f t="shared" si="28"/>
        <v>abr</v>
      </c>
      <c r="V587">
        <f t="shared" si="29"/>
        <v>2018</v>
      </c>
      <c r="W587">
        <f>_xlfn.XLOOKUP(A587,Absenteismo!A:A,Absenteismo!A:A,0)</f>
        <v>0</v>
      </c>
    </row>
    <row r="588" spans="1:23" hidden="1" x14ac:dyDescent="0.3">
      <c r="A588">
        <v>1065</v>
      </c>
      <c r="B588">
        <v>36</v>
      </c>
      <c r="C588" t="s">
        <v>26</v>
      </c>
      <c r="D588" t="s">
        <v>16</v>
      </c>
      <c r="E588" t="s">
        <v>17</v>
      </c>
      <c r="F588" t="s">
        <v>23</v>
      </c>
      <c r="G588">
        <v>119</v>
      </c>
      <c r="H588">
        <v>4967</v>
      </c>
      <c r="I588" t="s">
        <v>28</v>
      </c>
      <c r="J588" s="2">
        <v>42494</v>
      </c>
      <c r="K588">
        <v>43</v>
      </c>
      <c r="L588" t="s">
        <v>25</v>
      </c>
      <c r="M588">
        <v>12</v>
      </c>
      <c r="N588">
        <v>6</v>
      </c>
      <c r="O588">
        <v>2</v>
      </c>
      <c r="P588" t="s">
        <v>25</v>
      </c>
      <c r="Q588" s="1">
        <v>2</v>
      </c>
      <c r="R588" s="2">
        <v>46174</v>
      </c>
      <c r="S588" s="2"/>
      <c r="T588" s="1" t="str">
        <f t="shared" si="27"/>
        <v>qua</v>
      </c>
      <c r="U588" s="1" t="str">
        <f t="shared" si="28"/>
        <v>mai</v>
      </c>
      <c r="V588">
        <f t="shared" si="29"/>
        <v>2016</v>
      </c>
      <c r="W588">
        <f>_xlfn.XLOOKUP(A588,Absenteismo!A:A,Absenteismo!A:A,0)</f>
        <v>1065</v>
      </c>
    </row>
    <row r="589" spans="1:23" hidden="1" x14ac:dyDescent="0.3">
      <c r="A589">
        <v>1075</v>
      </c>
      <c r="B589">
        <v>36</v>
      </c>
      <c r="C589" t="s">
        <v>26</v>
      </c>
      <c r="D589" t="s">
        <v>22</v>
      </c>
      <c r="E589" t="s">
        <v>17</v>
      </c>
      <c r="F589" t="s">
        <v>21</v>
      </c>
      <c r="G589">
        <v>85</v>
      </c>
      <c r="H589">
        <v>6811</v>
      </c>
      <c r="I589" t="s">
        <v>19</v>
      </c>
      <c r="J589" s="2">
        <v>43472</v>
      </c>
      <c r="K589">
        <v>29</v>
      </c>
      <c r="L589" t="s">
        <v>20</v>
      </c>
      <c r="M589">
        <v>22</v>
      </c>
      <c r="N589">
        <v>5</v>
      </c>
      <c r="O589">
        <v>5</v>
      </c>
      <c r="P589" t="s">
        <v>25</v>
      </c>
      <c r="Q589" s="1">
        <v>1</v>
      </c>
      <c r="R589" s="2">
        <v>46174</v>
      </c>
      <c r="S589" s="2"/>
      <c r="T589" s="1" t="str">
        <f t="shared" si="27"/>
        <v>seg</v>
      </c>
      <c r="U589" s="1" t="str">
        <f t="shared" si="28"/>
        <v>jan</v>
      </c>
      <c r="V589">
        <f t="shared" si="29"/>
        <v>2019</v>
      </c>
      <c r="W589">
        <f>_xlfn.XLOOKUP(A589,Absenteismo!A:A,Absenteismo!A:A,0)</f>
        <v>1075</v>
      </c>
    </row>
    <row r="590" spans="1:23" x14ac:dyDescent="0.3">
      <c r="A590">
        <v>1085</v>
      </c>
      <c r="B590">
        <v>36</v>
      </c>
      <c r="C590" t="s">
        <v>15</v>
      </c>
      <c r="D590" t="s">
        <v>27</v>
      </c>
      <c r="E590" t="s">
        <v>17</v>
      </c>
      <c r="F590" t="s">
        <v>18</v>
      </c>
      <c r="G590">
        <v>29</v>
      </c>
      <c r="H590">
        <v>4357</v>
      </c>
      <c r="I590" t="s">
        <v>28</v>
      </c>
      <c r="J590" s="2">
        <v>45176</v>
      </c>
      <c r="K590">
        <v>17</v>
      </c>
      <c r="L590" t="s">
        <v>20</v>
      </c>
      <c r="M590">
        <v>8</v>
      </c>
      <c r="N590">
        <v>10</v>
      </c>
      <c r="O590">
        <v>2</v>
      </c>
      <c r="P590" t="s">
        <v>25</v>
      </c>
      <c r="Q590" s="1">
        <v>1</v>
      </c>
      <c r="R590" s="2">
        <v>46174</v>
      </c>
      <c r="S590" s="2"/>
      <c r="T590" s="1" t="str">
        <f t="shared" si="27"/>
        <v>qui</v>
      </c>
      <c r="U590" s="1" t="str">
        <f t="shared" si="28"/>
        <v>set</v>
      </c>
      <c r="V590">
        <f t="shared" si="29"/>
        <v>2023</v>
      </c>
      <c r="W590">
        <f>_xlfn.XLOOKUP(A590,Absenteismo!A:A,Absenteismo!A:A,0)</f>
        <v>0</v>
      </c>
    </row>
    <row r="591" spans="1:23" hidden="1" x14ac:dyDescent="0.3">
      <c r="A591">
        <v>1275</v>
      </c>
      <c r="B591">
        <v>36</v>
      </c>
      <c r="C591" t="s">
        <v>15</v>
      </c>
      <c r="D591" t="s">
        <v>16</v>
      </c>
      <c r="E591" t="s">
        <v>17</v>
      </c>
      <c r="F591" t="s">
        <v>23</v>
      </c>
      <c r="G591">
        <v>90</v>
      </c>
      <c r="H591">
        <v>7492</v>
      </c>
      <c r="I591" t="s">
        <v>33</v>
      </c>
      <c r="J591" s="2">
        <v>43097</v>
      </c>
      <c r="K591">
        <v>55</v>
      </c>
      <c r="L591" t="s">
        <v>25</v>
      </c>
      <c r="M591">
        <v>2</v>
      </c>
      <c r="N591">
        <v>2</v>
      </c>
      <c r="O591">
        <v>4</v>
      </c>
      <c r="P591" t="s">
        <v>25</v>
      </c>
      <c r="Q591" s="1">
        <v>1</v>
      </c>
      <c r="R591" s="2">
        <v>46174</v>
      </c>
      <c r="S591" s="2"/>
      <c r="T591" s="1" t="str">
        <f t="shared" si="27"/>
        <v>qui</v>
      </c>
      <c r="U591" s="1" t="str">
        <f t="shared" si="28"/>
        <v>dez</v>
      </c>
      <c r="V591">
        <f t="shared" si="29"/>
        <v>2017</v>
      </c>
      <c r="W591">
        <f>_xlfn.XLOOKUP(A591,Absenteismo!A:A,Absenteismo!A:A,0)</f>
        <v>1275</v>
      </c>
    </row>
    <row r="592" spans="1:23" hidden="1" x14ac:dyDescent="0.3">
      <c r="A592">
        <v>1365</v>
      </c>
      <c r="B592">
        <v>36</v>
      </c>
      <c r="C592" t="s">
        <v>26</v>
      </c>
      <c r="D592" t="s">
        <v>16</v>
      </c>
      <c r="E592" t="s">
        <v>17</v>
      </c>
      <c r="F592" t="s">
        <v>23</v>
      </c>
      <c r="G592">
        <v>119</v>
      </c>
      <c r="H592">
        <v>4967</v>
      </c>
      <c r="I592" t="s">
        <v>28</v>
      </c>
      <c r="J592" s="2">
        <v>42421</v>
      </c>
      <c r="K592">
        <v>43</v>
      </c>
      <c r="L592" t="s">
        <v>25</v>
      </c>
      <c r="M592">
        <v>12</v>
      </c>
      <c r="N592">
        <v>6</v>
      </c>
      <c r="O592">
        <v>2</v>
      </c>
      <c r="P592" t="s">
        <v>25</v>
      </c>
      <c r="Q592" s="1">
        <v>3</v>
      </c>
      <c r="R592" s="2">
        <v>46174</v>
      </c>
      <c r="S592" s="2"/>
      <c r="T592" s="1" t="str">
        <f t="shared" si="27"/>
        <v>dom</v>
      </c>
      <c r="U592" s="1" t="str">
        <f t="shared" si="28"/>
        <v>fev</v>
      </c>
      <c r="V592">
        <f t="shared" si="29"/>
        <v>2016</v>
      </c>
      <c r="W592">
        <f>_xlfn.XLOOKUP(A592,Absenteismo!A:A,Absenteismo!A:A,0)</f>
        <v>1365</v>
      </c>
    </row>
    <row r="593" spans="1:23" hidden="1" x14ac:dyDescent="0.3">
      <c r="A593">
        <v>1375</v>
      </c>
      <c r="B593">
        <v>36</v>
      </c>
      <c r="C593" t="s">
        <v>26</v>
      </c>
      <c r="D593" t="s">
        <v>22</v>
      </c>
      <c r="E593" t="s">
        <v>17</v>
      </c>
      <c r="F593" t="s">
        <v>21</v>
      </c>
      <c r="G593">
        <v>85</v>
      </c>
      <c r="H593">
        <v>6811</v>
      </c>
      <c r="I593" t="s">
        <v>19</v>
      </c>
      <c r="J593" s="2">
        <v>43433</v>
      </c>
      <c r="K593">
        <v>29</v>
      </c>
      <c r="L593" t="s">
        <v>20</v>
      </c>
      <c r="M593">
        <v>22</v>
      </c>
      <c r="N593">
        <v>5</v>
      </c>
      <c r="O593">
        <v>5</v>
      </c>
      <c r="P593" t="s">
        <v>25</v>
      </c>
      <c r="Q593" s="1">
        <v>1</v>
      </c>
      <c r="R593" s="2">
        <v>46174</v>
      </c>
      <c r="S593" s="2"/>
      <c r="T593" s="1" t="str">
        <f t="shared" si="27"/>
        <v>qui</v>
      </c>
      <c r="U593" s="1" t="str">
        <f t="shared" si="28"/>
        <v>nov</v>
      </c>
      <c r="V593">
        <f t="shared" si="29"/>
        <v>2018</v>
      </c>
      <c r="W593">
        <f>_xlfn.XLOOKUP(A593,Absenteismo!A:A,Absenteismo!A:A,0)</f>
        <v>1375</v>
      </c>
    </row>
    <row r="594" spans="1:23" hidden="1" x14ac:dyDescent="0.3">
      <c r="A594">
        <v>1385</v>
      </c>
      <c r="B594">
        <v>36</v>
      </c>
      <c r="C594" t="s">
        <v>15</v>
      </c>
      <c r="D594" t="s">
        <v>27</v>
      </c>
      <c r="E594" t="s">
        <v>17</v>
      </c>
      <c r="F594" t="s">
        <v>18</v>
      </c>
      <c r="G594">
        <v>29</v>
      </c>
      <c r="H594">
        <v>4357</v>
      </c>
      <c r="I594" t="s">
        <v>28</v>
      </c>
      <c r="J594" s="2">
        <v>45161</v>
      </c>
      <c r="K594">
        <v>17</v>
      </c>
      <c r="L594" t="s">
        <v>20</v>
      </c>
      <c r="M594">
        <v>8</v>
      </c>
      <c r="N594">
        <v>10</v>
      </c>
      <c r="O594">
        <v>2</v>
      </c>
      <c r="P594" t="s">
        <v>25</v>
      </c>
      <c r="Q594" s="1">
        <v>2</v>
      </c>
      <c r="R594" s="2">
        <v>46174</v>
      </c>
      <c r="S594" s="2"/>
      <c r="T594" s="1" t="str">
        <f t="shared" si="27"/>
        <v>qua</v>
      </c>
      <c r="U594" s="1" t="str">
        <f t="shared" si="28"/>
        <v>ago</v>
      </c>
      <c r="V594">
        <f t="shared" si="29"/>
        <v>2023</v>
      </c>
      <c r="W594">
        <f>_xlfn.XLOOKUP(A594,Absenteismo!A:A,Absenteismo!A:A,0)</f>
        <v>1385</v>
      </c>
    </row>
    <row r="595" spans="1:23" hidden="1" x14ac:dyDescent="0.3">
      <c r="A595">
        <v>1575</v>
      </c>
      <c r="B595">
        <v>36</v>
      </c>
      <c r="C595" t="s">
        <v>15</v>
      </c>
      <c r="D595" t="s">
        <v>16</v>
      </c>
      <c r="E595" t="s">
        <v>17</v>
      </c>
      <c r="F595" t="s">
        <v>23</v>
      </c>
      <c r="G595">
        <v>90</v>
      </c>
      <c r="H595">
        <v>7492</v>
      </c>
      <c r="I595" t="s">
        <v>33</v>
      </c>
      <c r="J595" s="2">
        <v>43416</v>
      </c>
      <c r="K595">
        <v>55</v>
      </c>
      <c r="L595" t="s">
        <v>25</v>
      </c>
      <c r="M595">
        <v>2</v>
      </c>
      <c r="N595">
        <v>2</v>
      </c>
      <c r="O595">
        <v>4</v>
      </c>
      <c r="P595" t="s">
        <v>25</v>
      </c>
      <c r="Q595" s="1">
        <v>2</v>
      </c>
      <c r="R595" s="2">
        <v>46174</v>
      </c>
      <c r="S595" s="2"/>
      <c r="T595" s="1" t="str">
        <f t="shared" si="27"/>
        <v>seg</v>
      </c>
      <c r="U595" s="1" t="str">
        <f t="shared" si="28"/>
        <v>nov</v>
      </c>
      <c r="V595">
        <f t="shared" si="29"/>
        <v>2018</v>
      </c>
      <c r="W595">
        <f>_xlfn.XLOOKUP(A595,Absenteismo!A:A,Absenteismo!A:A,0)</f>
        <v>1575</v>
      </c>
    </row>
    <row r="596" spans="1:23" hidden="1" x14ac:dyDescent="0.3">
      <c r="A596">
        <v>1665</v>
      </c>
      <c r="B596">
        <v>36</v>
      </c>
      <c r="C596" t="s">
        <v>26</v>
      </c>
      <c r="D596" t="s">
        <v>16</v>
      </c>
      <c r="E596" t="s">
        <v>17</v>
      </c>
      <c r="F596" t="s">
        <v>23</v>
      </c>
      <c r="G596">
        <v>119</v>
      </c>
      <c r="H596">
        <v>4967</v>
      </c>
      <c r="I596" t="s">
        <v>28</v>
      </c>
      <c r="J596" s="2">
        <v>42383</v>
      </c>
      <c r="K596">
        <v>43</v>
      </c>
      <c r="L596" t="s">
        <v>25</v>
      </c>
      <c r="M596">
        <v>12</v>
      </c>
      <c r="N596">
        <v>6</v>
      </c>
      <c r="O596">
        <v>2</v>
      </c>
      <c r="P596" t="s">
        <v>25</v>
      </c>
      <c r="Q596" s="1">
        <v>3</v>
      </c>
      <c r="R596" s="2">
        <v>46174</v>
      </c>
      <c r="S596" s="2"/>
      <c r="T596" s="1" t="str">
        <f t="shared" si="27"/>
        <v>qui</v>
      </c>
      <c r="U596" s="1" t="str">
        <f t="shared" si="28"/>
        <v>jan</v>
      </c>
      <c r="V596">
        <f t="shared" si="29"/>
        <v>2016</v>
      </c>
      <c r="W596">
        <f>_xlfn.XLOOKUP(A596,Absenteismo!A:A,Absenteismo!A:A,0)</f>
        <v>1665</v>
      </c>
    </row>
    <row r="597" spans="1:23" x14ac:dyDescent="0.3">
      <c r="A597">
        <v>1675</v>
      </c>
      <c r="B597">
        <v>36</v>
      </c>
      <c r="C597" t="s">
        <v>26</v>
      </c>
      <c r="D597" t="s">
        <v>22</v>
      </c>
      <c r="E597" t="s">
        <v>17</v>
      </c>
      <c r="F597" t="s">
        <v>21</v>
      </c>
      <c r="G597">
        <v>85</v>
      </c>
      <c r="H597">
        <v>6811</v>
      </c>
      <c r="I597" t="s">
        <v>19</v>
      </c>
      <c r="J597" s="2">
        <v>43166</v>
      </c>
      <c r="K597">
        <v>29</v>
      </c>
      <c r="L597" t="s">
        <v>20</v>
      </c>
      <c r="M597">
        <v>22</v>
      </c>
      <c r="N597">
        <v>5</v>
      </c>
      <c r="O597">
        <v>5</v>
      </c>
      <c r="P597" t="s">
        <v>25</v>
      </c>
      <c r="Q597" s="1">
        <v>2</v>
      </c>
      <c r="R597" s="2">
        <v>46174</v>
      </c>
      <c r="S597" s="2"/>
      <c r="T597" s="1" t="str">
        <f t="shared" si="27"/>
        <v>qua</v>
      </c>
      <c r="U597" s="1" t="str">
        <f t="shared" si="28"/>
        <v>mar</v>
      </c>
      <c r="V597">
        <f t="shared" si="29"/>
        <v>2018</v>
      </c>
      <c r="W597">
        <f>_xlfn.XLOOKUP(A597,Absenteismo!A:A,Absenteismo!A:A,0)</f>
        <v>0</v>
      </c>
    </row>
    <row r="598" spans="1:23" x14ac:dyDescent="0.3">
      <c r="A598">
        <v>1685</v>
      </c>
      <c r="B598">
        <v>36</v>
      </c>
      <c r="C598" t="s">
        <v>15</v>
      </c>
      <c r="D598" t="s">
        <v>27</v>
      </c>
      <c r="E598" t="s">
        <v>17</v>
      </c>
      <c r="F598" t="s">
        <v>18</v>
      </c>
      <c r="G598">
        <v>29</v>
      </c>
      <c r="H598">
        <v>4357</v>
      </c>
      <c r="I598" t="s">
        <v>28</v>
      </c>
      <c r="J598" s="2">
        <v>45160</v>
      </c>
      <c r="K598">
        <v>17</v>
      </c>
      <c r="L598" t="s">
        <v>20</v>
      </c>
      <c r="M598">
        <v>8</v>
      </c>
      <c r="N598">
        <v>10</v>
      </c>
      <c r="O598">
        <v>2</v>
      </c>
      <c r="P598" t="s">
        <v>25</v>
      </c>
      <c r="Q598" s="1">
        <v>3</v>
      </c>
      <c r="R598" s="2">
        <v>46174</v>
      </c>
      <c r="S598" s="2"/>
      <c r="T598" s="1" t="str">
        <f t="shared" si="27"/>
        <v>ter</v>
      </c>
      <c r="U598" s="1" t="str">
        <f t="shared" si="28"/>
        <v>ago</v>
      </c>
      <c r="V598">
        <f t="shared" si="29"/>
        <v>2023</v>
      </c>
      <c r="W598">
        <f>_xlfn.XLOOKUP(A598,Absenteismo!A:A,Absenteismo!A:A,0)</f>
        <v>0</v>
      </c>
    </row>
    <row r="599" spans="1:23" hidden="1" x14ac:dyDescent="0.3">
      <c r="A599">
        <v>1875</v>
      </c>
      <c r="B599">
        <v>36</v>
      </c>
      <c r="C599" t="s">
        <v>15</v>
      </c>
      <c r="D599" t="s">
        <v>16</v>
      </c>
      <c r="E599" t="s">
        <v>17</v>
      </c>
      <c r="F599" t="s">
        <v>23</v>
      </c>
      <c r="G599">
        <v>90</v>
      </c>
      <c r="H599">
        <v>7492</v>
      </c>
      <c r="I599" t="s">
        <v>33</v>
      </c>
      <c r="J599" s="2">
        <v>43269</v>
      </c>
      <c r="K599">
        <v>41</v>
      </c>
      <c r="L599" t="s">
        <v>25</v>
      </c>
      <c r="M599">
        <v>2</v>
      </c>
      <c r="N599">
        <v>2</v>
      </c>
      <c r="O599">
        <v>4</v>
      </c>
      <c r="P599" t="s">
        <v>25</v>
      </c>
      <c r="Q599" s="1">
        <v>2</v>
      </c>
      <c r="R599" s="2">
        <v>46174</v>
      </c>
      <c r="S599" s="2"/>
      <c r="T599" s="1" t="str">
        <f t="shared" si="27"/>
        <v>seg</v>
      </c>
      <c r="U599" s="1" t="str">
        <f t="shared" si="28"/>
        <v>jun</v>
      </c>
      <c r="V599">
        <f t="shared" si="29"/>
        <v>2018</v>
      </c>
      <c r="W599">
        <f>_xlfn.XLOOKUP(A599,Absenteismo!A:A,Absenteismo!A:A,0)</f>
        <v>1875</v>
      </c>
    </row>
    <row r="600" spans="1:23" hidden="1" x14ac:dyDescent="0.3">
      <c r="A600">
        <v>1965</v>
      </c>
      <c r="B600">
        <v>36</v>
      </c>
      <c r="C600" t="s">
        <v>26</v>
      </c>
      <c r="D600" t="s">
        <v>16</v>
      </c>
      <c r="E600" t="s">
        <v>17</v>
      </c>
      <c r="F600" t="s">
        <v>23</v>
      </c>
      <c r="G600">
        <v>119</v>
      </c>
      <c r="H600">
        <v>4967</v>
      </c>
      <c r="I600" t="s">
        <v>28</v>
      </c>
      <c r="J600" s="2">
        <v>42270</v>
      </c>
      <c r="K600">
        <v>43</v>
      </c>
      <c r="L600" t="s">
        <v>25</v>
      </c>
      <c r="M600">
        <v>12</v>
      </c>
      <c r="N600">
        <v>6</v>
      </c>
      <c r="O600">
        <v>2</v>
      </c>
      <c r="P600" t="s">
        <v>25</v>
      </c>
      <c r="Q600" s="1">
        <v>2</v>
      </c>
      <c r="R600" s="2">
        <v>46174</v>
      </c>
      <c r="S600" s="2"/>
      <c r="T600" s="1" t="str">
        <f t="shared" si="27"/>
        <v>qua</v>
      </c>
      <c r="U600" s="1" t="str">
        <f t="shared" si="28"/>
        <v>set</v>
      </c>
      <c r="V600">
        <f t="shared" si="29"/>
        <v>2015</v>
      </c>
      <c r="W600">
        <f>_xlfn.XLOOKUP(A600,Absenteismo!A:A,Absenteismo!A:A,0)</f>
        <v>1965</v>
      </c>
    </row>
    <row r="601" spans="1:23" hidden="1" x14ac:dyDescent="0.3">
      <c r="A601">
        <v>1975</v>
      </c>
      <c r="B601">
        <v>36</v>
      </c>
      <c r="C601" t="s">
        <v>26</v>
      </c>
      <c r="D601" t="s">
        <v>22</v>
      </c>
      <c r="E601" t="s">
        <v>17</v>
      </c>
      <c r="F601" t="s">
        <v>21</v>
      </c>
      <c r="G601">
        <v>85</v>
      </c>
      <c r="H601">
        <v>6811</v>
      </c>
      <c r="I601" t="s">
        <v>19</v>
      </c>
      <c r="J601" s="2">
        <v>43611</v>
      </c>
      <c r="K601">
        <v>29</v>
      </c>
      <c r="L601" t="s">
        <v>20</v>
      </c>
      <c r="M601">
        <v>22</v>
      </c>
      <c r="N601">
        <v>5</v>
      </c>
      <c r="O601">
        <v>5</v>
      </c>
      <c r="P601" t="s">
        <v>25</v>
      </c>
      <c r="Q601" s="1">
        <v>3</v>
      </c>
      <c r="R601" s="2">
        <v>46174</v>
      </c>
      <c r="S601" s="2"/>
      <c r="T601" s="1" t="str">
        <f t="shared" si="27"/>
        <v>dom</v>
      </c>
      <c r="U601" s="1" t="str">
        <f t="shared" si="28"/>
        <v>mai</v>
      </c>
      <c r="V601">
        <f t="shared" si="29"/>
        <v>2019</v>
      </c>
      <c r="W601">
        <f>_xlfn.XLOOKUP(A601,Absenteismo!A:A,Absenteismo!A:A,0)</f>
        <v>1975</v>
      </c>
    </row>
    <row r="602" spans="1:23" hidden="1" x14ac:dyDescent="0.3">
      <c r="A602">
        <v>1985</v>
      </c>
      <c r="B602">
        <v>36</v>
      </c>
      <c r="C602" t="s">
        <v>15</v>
      </c>
      <c r="D602" t="s">
        <v>27</v>
      </c>
      <c r="E602" t="s">
        <v>17</v>
      </c>
      <c r="F602" t="s">
        <v>18</v>
      </c>
      <c r="G602">
        <v>29</v>
      </c>
      <c r="H602">
        <v>4357</v>
      </c>
      <c r="I602" t="s">
        <v>28</v>
      </c>
      <c r="J602" s="2">
        <v>44910</v>
      </c>
      <c r="K602">
        <v>17</v>
      </c>
      <c r="L602" t="s">
        <v>20</v>
      </c>
      <c r="M602">
        <v>8</v>
      </c>
      <c r="N602">
        <v>10</v>
      </c>
      <c r="O602">
        <v>2</v>
      </c>
      <c r="P602" t="s">
        <v>25</v>
      </c>
      <c r="Q602" s="1">
        <v>2</v>
      </c>
      <c r="R602" s="2">
        <v>46174</v>
      </c>
      <c r="S602" s="2"/>
      <c r="T602" s="1" t="str">
        <f t="shared" si="27"/>
        <v>qui</v>
      </c>
      <c r="U602" s="1" t="str">
        <f t="shared" si="28"/>
        <v>dez</v>
      </c>
      <c r="V602">
        <f t="shared" si="29"/>
        <v>2022</v>
      </c>
      <c r="W602">
        <f>_xlfn.XLOOKUP(A602,Absenteismo!A:A,Absenteismo!A:A,0)</f>
        <v>1985</v>
      </c>
    </row>
    <row r="603" spans="1:23" hidden="1" x14ac:dyDescent="0.3">
      <c r="A603">
        <v>2175</v>
      </c>
      <c r="B603">
        <v>36</v>
      </c>
      <c r="C603" t="s">
        <v>15</v>
      </c>
      <c r="D603" t="s">
        <v>16</v>
      </c>
      <c r="E603" t="s">
        <v>17</v>
      </c>
      <c r="F603" t="s">
        <v>23</v>
      </c>
      <c r="G603">
        <v>90</v>
      </c>
      <c r="H603">
        <v>7492</v>
      </c>
      <c r="I603" t="s">
        <v>33</v>
      </c>
      <c r="J603" s="2">
        <v>43367</v>
      </c>
      <c r="K603">
        <v>55</v>
      </c>
      <c r="L603" t="s">
        <v>25</v>
      </c>
      <c r="M603">
        <v>2</v>
      </c>
      <c r="N603">
        <v>2</v>
      </c>
      <c r="O603">
        <v>4</v>
      </c>
      <c r="P603" t="s">
        <v>25</v>
      </c>
      <c r="Q603" s="1">
        <v>3</v>
      </c>
      <c r="R603" s="2">
        <v>46174</v>
      </c>
      <c r="S603" s="2"/>
      <c r="T603" s="1" t="str">
        <f t="shared" si="27"/>
        <v>seg</v>
      </c>
      <c r="U603" s="1" t="str">
        <f t="shared" si="28"/>
        <v>set</v>
      </c>
      <c r="V603">
        <f t="shared" si="29"/>
        <v>2018</v>
      </c>
      <c r="W603">
        <f>_xlfn.XLOOKUP(A603,Absenteismo!A:A,Absenteismo!A:A,0)</f>
        <v>2175</v>
      </c>
    </row>
    <row r="604" spans="1:23" hidden="1" x14ac:dyDescent="0.3">
      <c r="A604">
        <v>2029</v>
      </c>
      <c r="B604">
        <v>36</v>
      </c>
      <c r="C604" t="s">
        <v>26</v>
      </c>
      <c r="D604" t="s">
        <v>27</v>
      </c>
      <c r="E604" t="s">
        <v>17</v>
      </c>
      <c r="F604" t="s">
        <v>23</v>
      </c>
      <c r="G604">
        <v>98</v>
      </c>
      <c r="H604">
        <v>6642</v>
      </c>
      <c r="I604" t="s">
        <v>33</v>
      </c>
      <c r="J604" s="2">
        <v>42777</v>
      </c>
      <c r="K604">
        <v>40</v>
      </c>
      <c r="L604" t="s">
        <v>20</v>
      </c>
      <c r="M604">
        <v>5</v>
      </c>
      <c r="N604">
        <v>0</v>
      </c>
      <c r="O604">
        <v>4</v>
      </c>
      <c r="P604" t="s">
        <v>25</v>
      </c>
      <c r="Q604" s="1">
        <v>2</v>
      </c>
      <c r="R604" s="2">
        <v>46174</v>
      </c>
      <c r="S604" s="2"/>
      <c r="T604" s="1" t="str">
        <f t="shared" si="27"/>
        <v>sáb</v>
      </c>
      <c r="U604" s="1" t="str">
        <f t="shared" si="28"/>
        <v>fev</v>
      </c>
      <c r="V604">
        <f t="shared" si="29"/>
        <v>2017</v>
      </c>
      <c r="W604">
        <f>_xlfn.XLOOKUP(A604,Absenteismo!A:A,Absenteismo!A:A,0)</f>
        <v>2029</v>
      </c>
    </row>
    <row r="605" spans="1:23" hidden="1" x14ac:dyDescent="0.3">
      <c r="A605">
        <v>2098</v>
      </c>
      <c r="B605">
        <v>36</v>
      </c>
      <c r="C605" t="s">
        <v>15</v>
      </c>
      <c r="D605" t="s">
        <v>29</v>
      </c>
      <c r="E605" t="s">
        <v>17</v>
      </c>
      <c r="F605" t="s">
        <v>21</v>
      </c>
      <c r="G605">
        <v>87</v>
      </c>
      <c r="H605">
        <v>6327</v>
      </c>
      <c r="I605" t="s">
        <v>19</v>
      </c>
      <c r="J605" s="2">
        <v>43315</v>
      </c>
      <c r="K605">
        <v>7</v>
      </c>
      <c r="L605" t="s">
        <v>25</v>
      </c>
      <c r="M605">
        <v>33</v>
      </c>
      <c r="N605">
        <v>2</v>
      </c>
      <c r="O605">
        <v>3</v>
      </c>
      <c r="P605" t="s">
        <v>25</v>
      </c>
      <c r="Q605" s="1">
        <v>2</v>
      </c>
      <c r="R605" s="2">
        <v>46174</v>
      </c>
      <c r="S605" s="2"/>
      <c r="T605" s="1" t="str">
        <f t="shared" si="27"/>
        <v>sex</v>
      </c>
      <c r="U605" s="1" t="str">
        <f t="shared" si="28"/>
        <v>ago</v>
      </c>
      <c r="V605">
        <f t="shared" si="29"/>
        <v>2018</v>
      </c>
      <c r="W605">
        <f>_xlfn.XLOOKUP(A605,Absenteismo!A:A,Absenteismo!A:A,0)</f>
        <v>2098</v>
      </c>
    </row>
    <row r="606" spans="1:23" x14ac:dyDescent="0.3">
      <c r="A606">
        <v>2144</v>
      </c>
      <c r="B606">
        <v>37</v>
      </c>
      <c r="C606" t="s">
        <v>15</v>
      </c>
      <c r="D606" t="s">
        <v>29</v>
      </c>
      <c r="E606" t="s">
        <v>17</v>
      </c>
      <c r="F606" t="s">
        <v>21</v>
      </c>
      <c r="G606">
        <v>25</v>
      </c>
      <c r="H606">
        <v>6009</v>
      </c>
      <c r="I606" t="s">
        <v>24</v>
      </c>
      <c r="J606" s="2">
        <v>45048</v>
      </c>
      <c r="K606">
        <v>52</v>
      </c>
      <c r="L606" t="s">
        <v>20</v>
      </c>
      <c r="M606">
        <v>15</v>
      </c>
      <c r="N606">
        <v>7</v>
      </c>
      <c r="O606">
        <v>5</v>
      </c>
      <c r="P606" t="s">
        <v>20</v>
      </c>
      <c r="Q606" s="1">
        <v>1</v>
      </c>
      <c r="R606" s="2">
        <v>46174</v>
      </c>
      <c r="S606" s="2">
        <v>45810</v>
      </c>
      <c r="T606" s="1" t="str">
        <f t="shared" si="27"/>
        <v>ter</v>
      </c>
      <c r="U606" s="1" t="str">
        <f t="shared" si="28"/>
        <v>mai</v>
      </c>
      <c r="V606">
        <f t="shared" si="29"/>
        <v>2023</v>
      </c>
      <c r="W606">
        <f>_xlfn.XLOOKUP(A606,Absenteismo!A:A,Absenteismo!A:A,0)</f>
        <v>0</v>
      </c>
    </row>
    <row r="607" spans="1:23" hidden="1" x14ac:dyDescent="0.3">
      <c r="A607">
        <v>1367</v>
      </c>
      <c r="B607">
        <v>37</v>
      </c>
      <c r="C607" t="s">
        <v>26</v>
      </c>
      <c r="D607" t="s">
        <v>31</v>
      </c>
      <c r="E607" t="s">
        <v>34</v>
      </c>
      <c r="F607" t="s">
        <v>18</v>
      </c>
      <c r="G607">
        <v>11</v>
      </c>
      <c r="H607">
        <v>3126</v>
      </c>
      <c r="I607" t="s">
        <v>33</v>
      </c>
      <c r="J607" s="2">
        <v>45508</v>
      </c>
      <c r="K607">
        <v>34</v>
      </c>
      <c r="L607" t="s">
        <v>20</v>
      </c>
      <c r="M607">
        <v>16</v>
      </c>
      <c r="N607">
        <v>0</v>
      </c>
      <c r="O607">
        <v>2</v>
      </c>
      <c r="P607" t="s">
        <v>20</v>
      </c>
      <c r="Q607" s="1">
        <v>3</v>
      </c>
      <c r="R607" s="2">
        <v>46174</v>
      </c>
      <c r="S607" s="2">
        <v>45842</v>
      </c>
      <c r="T607" s="1" t="str">
        <f t="shared" si="27"/>
        <v>dom</v>
      </c>
      <c r="U607" s="1" t="str">
        <f t="shared" si="28"/>
        <v>ago</v>
      </c>
      <c r="V607">
        <f t="shared" si="29"/>
        <v>2024</v>
      </c>
      <c r="W607">
        <f>_xlfn.XLOOKUP(A607,Absenteismo!A:A,Absenteismo!A:A,0)</f>
        <v>1367</v>
      </c>
    </row>
    <row r="608" spans="1:23" hidden="1" x14ac:dyDescent="0.3">
      <c r="A608">
        <v>1408</v>
      </c>
      <c r="B608">
        <v>37</v>
      </c>
      <c r="C608" t="s">
        <v>15</v>
      </c>
      <c r="D608" t="s">
        <v>16</v>
      </c>
      <c r="E608" t="s">
        <v>17</v>
      </c>
      <c r="F608" t="s">
        <v>21</v>
      </c>
      <c r="G608">
        <v>8</v>
      </c>
      <c r="H608">
        <v>2862</v>
      </c>
      <c r="I608" t="s">
        <v>19</v>
      </c>
      <c r="J608" s="2">
        <v>45612</v>
      </c>
      <c r="K608">
        <v>20</v>
      </c>
      <c r="L608" t="s">
        <v>25</v>
      </c>
      <c r="M608">
        <v>8</v>
      </c>
      <c r="N608">
        <v>12</v>
      </c>
      <c r="O608">
        <v>4</v>
      </c>
      <c r="P608" t="s">
        <v>20</v>
      </c>
      <c r="Q608" s="1">
        <v>3</v>
      </c>
      <c r="R608" s="2">
        <v>46174</v>
      </c>
      <c r="S608" s="2">
        <v>45854</v>
      </c>
      <c r="T608" s="1" t="str">
        <f t="shared" si="27"/>
        <v>sáb</v>
      </c>
      <c r="U608" s="1" t="str">
        <f t="shared" si="28"/>
        <v>nov</v>
      </c>
      <c r="V608">
        <f t="shared" si="29"/>
        <v>2024</v>
      </c>
      <c r="W608">
        <f>_xlfn.XLOOKUP(A608,Absenteismo!A:A,Absenteismo!A:A,0)</f>
        <v>1408</v>
      </c>
    </row>
    <row r="609" spans="1:23" hidden="1" x14ac:dyDescent="0.3">
      <c r="A609">
        <v>1667</v>
      </c>
      <c r="B609">
        <v>37</v>
      </c>
      <c r="C609" t="s">
        <v>26</v>
      </c>
      <c r="D609" t="s">
        <v>31</v>
      </c>
      <c r="E609" t="s">
        <v>34</v>
      </c>
      <c r="F609" t="s">
        <v>18</v>
      </c>
      <c r="G609">
        <v>11</v>
      </c>
      <c r="H609">
        <v>3126</v>
      </c>
      <c r="I609" t="s">
        <v>33</v>
      </c>
      <c r="J609" s="2">
        <v>45586</v>
      </c>
      <c r="K609">
        <v>25</v>
      </c>
      <c r="L609" t="s">
        <v>20</v>
      </c>
      <c r="M609">
        <v>16</v>
      </c>
      <c r="N609">
        <v>0</v>
      </c>
      <c r="O609">
        <v>2</v>
      </c>
      <c r="P609" t="s">
        <v>20</v>
      </c>
      <c r="Q609" s="1">
        <v>3</v>
      </c>
      <c r="R609" s="2">
        <v>46174</v>
      </c>
      <c r="S609" s="2">
        <v>45921</v>
      </c>
      <c r="T609" s="1" t="str">
        <f t="shared" si="27"/>
        <v>seg</v>
      </c>
      <c r="U609" s="1" t="str">
        <f t="shared" si="28"/>
        <v>out</v>
      </c>
      <c r="V609">
        <f t="shared" si="29"/>
        <v>2024</v>
      </c>
      <c r="W609">
        <f>_xlfn.XLOOKUP(A609,Absenteismo!A:A,Absenteismo!A:A,0)</f>
        <v>1667</v>
      </c>
    </row>
    <row r="610" spans="1:23" x14ac:dyDescent="0.3">
      <c r="A610">
        <v>1067</v>
      </c>
      <c r="B610">
        <v>37</v>
      </c>
      <c r="C610" t="s">
        <v>26</v>
      </c>
      <c r="D610" t="s">
        <v>31</v>
      </c>
      <c r="E610" t="s">
        <v>34</v>
      </c>
      <c r="F610" t="s">
        <v>18</v>
      </c>
      <c r="G610">
        <v>11</v>
      </c>
      <c r="H610">
        <v>3126</v>
      </c>
      <c r="I610" t="s">
        <v>33</v>
      </c>
      <c r="J610" s="2">
        <v>45613</v>
      </c>
      <c r="K610">
        <v>15</v>
      </c>
      <c r="L610" t="s">
        <v>20</v>
      </c>
      <c r="M610">
        <v>16</v>
      </c>
      <c r="N610">
        <v>0</v>
      </c>
      <c r="O610">
        <v>2</v>
      </c>
      <c r="P610" t="s">
        <v>20</v>
      </c>
      <c r="Q610" s="1">
        <v>3</v>
      </c>
      <c r="R610" s="2">
        <v>46174</v>
      </c>
      <c r="S610" s="2">
        <v>45947</v>
      </c>
      <c r="T610" s="1" t="str">
        <f t="shared" si="27"/>
        <v>dom</v>
      </c>
      <c r="U610" s="1" t="str">
        <f t="shared" si="28"/>
        <v>nov</v>
      </c>
      <c r="V610">
        <f t="shared" si="29"/>
        <v>2024</v>
      </c>
      <c r="W610">
        <f>_xlfn.XLOOKUP(A610,Absenteismo!A:A,Absenteismo!A:A,0)</f>
        <v>0</v>
      </c>
    </row>
    <row r="611" spans="1:23" x14ac:dyDescent="0.3">
      <c r="A611">
        <v>1244</v>
      </c>
      <c r="B611">
        <v>37</v>
      </c>
      <c r="C611" t="s">
        <v>15</v>
      </c>
      <c r="D611" t="s">
        <v>29</v>
      </c>
      <c r="E611" t="s">
        <v>17</v>
      </c>
      <c r="F611" t="s">
        <v>21</v>
      </c>
      <c r="G611">
        <v>25</v>
      </c>
      <c r="H611">
        <v>6009</v>
      </c>
      <c r="I611" t="s">
        <v>24</v>
      </c>
      <c r="J611" s="2">
        <v>45195</v>
      </c>
      <c r="K611">
        <v>52</v>
      </c>
      <c r="L611" t="s">
        <v>25</v>
      </c>
      <c r="M611">
        <v>15</v>
      </c>
      <c r="N611">
        <v>7</v>
      </c>
      <c r="O611">
        <v>5</v>
      </c>
      <c r="P611" t="s">
        <v>20</v>
      </c>
      <c r="Q611" s="1">
        <v>2</v>
      </c>
      <c r="R611" s="2">
        <v>46174</v>
      </c>
      <c r="S611" s="2">
        <v>45956</v>
      </c>
      <c r="T611" s="1" t="str">
        <f t="shared" si="27"/>
        <v>ter</v>
      </c>
      <c r="U611" s="1" t="str">
        <f t="shared" si="28"/>
        <v>set</v>
      </c>
      <c r="V611">
        <f t="shared" si="29"/>
        <v>2023</v>
      </c>
      <c r="W611">
        <f>_xlfn.XLOOKUP(A611,Absenteismo!A:A,Absenteismo!A:A,0)</f>
        <v>0</v>
      </c>
    </row>
    <row r="612" spans="1:23" x14ac:dyDescent="0.3">
      <c r="A612">
        <v>1544</v>
      </c>
      <c r="B612">
        <v>37</v>
      </c>
      <c r="C612" t="s">
        <v>15</v>
      </c>
      <c r="D612" t="s">
        <v>29</v>
      </c>
      <c r="E612" t="s">
        <v>17</v>
      </c>
      <c r="F612" t="s">
        <v>21</v>
      </c>
      <c r="G612">
        <v>25</v>
      </c>
      <c r="H612">
        <v>6009</v>
      </c>
      <c r="I612" t="s">
        <v>24</v>
      </c>
      <c r="J612" s="2">
        <v>45233</v>
      </c>
      <c r="K612">
        <v>52</v>
      </c>
      <c r="L612" t="s">
        <v>20</v>
      </c>
      <c r="M612">
        <v>15</v>
      </c>
      <c r="N612">
        <v>7</v>
      </c>
      <c r="O612">
        <v>5</v>
      </c>
      <c r="P612" t="s">
        <v>20</v>
      </c>
      <c r="Q612" s="1">
        <v>2</v>
      </c>
      <c r="R612" s="2">
        <v>46174</v>
      </c>
      <c r="S612" s="2">
        <v>45994</v>
      </c>
      <c r="T612" s="1" t="str">
        <f t="shared" si="27"/>
        <v>sex</v>
      </c>
      <c r="U612" s="1" t="str">
        <f t="shared" si="28"/>
        <v>nov</v>
      </c>
      <c r="V612">
        <f t="shared" si="29"/>
        <v>2023</v>
      </c>
      <c r="W612">
        <f>_xlfn.XLOOKUP(A612,Absenteismo!A:A,Absenteismo!A:A,0)</f>
        <v>0</v>
      </c>
    </row>
    <row r="613" spans="1:23" hidden="1" x14ac:dyDescent="0.3">
      <c r="A613">
        <v>1708</v>
      </c>
      <c r="B613">
        <v>37</v>
      </c>
      <c r="C613" t="s">
        <v>15</v>
      </c>
      <c r="D613" t="s">
        <v>16</v>
      </c>
      <c r="E613" t="s">
        <v>17</v>
      </c>
      <c r="F613" t="s">
        <v>21</v>
      </c>
      <c r="G613">
        <v>8</v>
      </c>
      <c r="H613">
        <v>2862</v>
      </c>
      <c r="I613" t="s">
        <v>19</v>
      </c>
      <c r="J613" s="2">
        <v>45796</v>
      </c>
      <c r="K613">
        <v>20</v>
      </c>
      <c r="L613" t="s">
        <v>25</v>
      </c>
      <c r="M613">
        <v>8</v>
      </c>
      <c r="N613">
        <v>12</v>
      </c>
      <c r="O613">
        <v>4</v>
      </c>
      <c r="P613" t="s">
        <v>20</v>
      </c>
      <c r="Q613" s="1">
        <v>2</v>
      </c>
      <c r="R613" s="2">
        <v>46174</v>
      </c>
      <c r="S613" s="2">
        <v>46041</v>
      </c>
      <c r="T613" s="1" t="str">
        <f t="shared" si="27"/>
        <v>seg</v>
      </c>
      <c r="U613" s="1" t="str">
        <f t="shared" si="28"/>
        <v>mai</v>
      </c>
      <c r="V613">
        <f t="shared" si="29"/>
        <v>2025</v>
      </c>
      <c r="W613">
        <f>_xlfn.XLOOKUP(A613,Absenteismo!A:A,Absenteismo!A:A,0)</f>
        <v>1708</v>
      </c>
    </row>
    <row r="614" spans="1:23" hidden="1" x14ac:dyDescent="0.3">
      <c r="A614">
        <v>1660</v>
      </c>
      <c r="B614">
        <v>37</v>
      </c>
      <c r="C614" t="s">
        <v>15</v>
      </c>
      <c r="D614" t="s">
        <v>27</v>
      </c>
      <c r="E614" t="s">
        <v>17</v>
      </c>
      <c r="F614" t="s">
        <v>23</v>
      </c>
      <c r="G614">
        <v>36</v>
      </c>
      <c r="H614">
        <v>3172</v>
      </c>
      <c r="I614" t="s">
        <v>30</v>
      </c>
      <c r="J614" s="2">
        <v>44959</v>
      </c>
      <c r="K614">
        <v>36</v>
      </c>
      <c r="L614" t="s">
        <v>20</v>
      </c>
      <c r="M614">
        <v>8</v>
      </c>
      <c r="N614">
        <v>10</v>
      </c>
      <c r="O614">
        <v>5</v>
      </c>
      <c r="P614" t="s">
        <v>20</v>
      </c>
      <c r="Q614" s="1">
        <v>2</v>
      </c>
      <c r="R614" s="2">
        <v>46174</v>
      </c>
      <c r="S614" s="2">
        <v>46055</v>
      </c>
      <c r="T614" s="1" t="str">
        <f t="shared" si="27"/>
        <v>qui</v>
      </c>
      <c r="U614" s="1" t="str">
        <f t="shared" si="28"/>
        <v>fev</v>
      </c>
      <c r="V614">
        <f t="shared" si="29"/>
        <v>2023</v>
      </c>
      <c r="W614">
        <f>_xlfn.XLOOKUP(A614,Absenteismo!A:A,Absenteismo!A:A,0)</f>
        <v>1660</v>
      </c>
    </row>
    <row r="615" spans="1:23" x14ac:dyDescent="0.3">
      <c r="A615">
        <v>1108</v>
      </c>
      <c r="B615">
        <v>37</v>
      </c>
      <c r="C615" t="s">
        <v>15</v>
      </c>
      <c r="D615" t="s">
        <v>16</v>
      </c>
      <c r="E615" t="s">
        <v>17</v>
      </c>
      <c r="F615" t="s">
        <v>21</v>
      </c>
      <c r="G615">
        <v>8</v>
      </c>
      <c r="H615">
        <v>2862</v>
      </c>
      <c r="I615" t="s">
        <v>19</v>
      </c>
      <c r="J615" s="2">
        <v>45876</v>
      </c>
      <c r="K615">
        <v>20</v>
      </c>
      <c r="L615" t="s">
        <v>25</v>
      </c>
      <c r="M615">
        <v>8</v>
      </c>
      <c r="N615">
        <v>12</v>
      </c>
      <c r="O615">
        <v>4</v>
      </c>
      <c r="P615" t="s">
        <v>20</v>
      </c>
      <c r="Q615" s="1">
        <v>2</v>
      </c>
      <c r="R615" s="2">
        <v>46174</v>
      </c>
      <c r="S615" s="2">
        <v>46119</v>
      </c>
      <c r="T615" s="1" t="str">
        <f t="shared" si="27"/>
        <v>qui</v>
      </c>
      <c r="U615" s="1" t="str">
        <f t="shared" si="28"/>
        <v>ago</v>
      </c>
      <c r="V615">
        <f t="shared" si="29"/>
        <v>2025</v>
      </c>
      <c r="W615">
        <f>_xlfn.XLOOKUP(A615,Absenteismo!A:A,Absenteismo!A:A,0)</f>
        <v>0</v>
      </c>
    </row>
    <row r="616" spans="1:23" hidden="1" x14ac:dyDescent="0.3">
      <c r="A616">
        <v>1360</v>
      </c>
      <c r="B616">
        <v>37</v>
      </c>
      <c r="C616" t="s">
        <v>15</v>
      </c>
      <c r="D616" t="s">
        <v>27</v>
      </c>
      <c r="E616" t="s">
        <v>17</v>
      </c>
      <c r="F616" t="s">
        <v>23</v>
      </c>
      <c r="G616">
        <v>36</v>
      </c>
      <c r="H616">
        <v>3172</v>
      </c>
      <c r="I616" t="s">
        <v>30</v>
      </c>
      <c r="J616" s="2">
        <v>45093</v>
      </c>
      <c r="K616">
        <v>36</v>
      </c>
      <c r="L616" t="s">
        <v>20</v>
      </c>
      <c r="M616">
        <v>8</v>
      </c>
      <c r="N616">
        <v>10</v>
      </c>
      <c r="O616">
        <v>5</v>
      </c>
      <c r="P616" t="s">
        <v>20</v>
      </c>
      <c r="Q616" s="1">
        <v>3</v>
      </c>
      <c r="R616" s="2">
        <v>46174</v>
      </c>
      <c r="S616" s="2">
        <v>46189</v>
      </c>
      <c r="T616" s="1" t="str">
        <f t="shared" si="27"/>
        <v>sex</v>
      </c>
      <c r="U616" s="1" t="str">
        <f t="shared" si="28"/>
        <v>jun</v>
      </c>
      <c r="V616">
        <f t="shared" si="29"/>
        <v>2023</v>
      </c>
      <c r="W616">
        <f>_xlfn.XLOOKUP(A616,Absenteismo!A:A,Absenteismo!A:A,0)</f>
        <v>1360</v>
      </c>
    </row>
    <row r="617" spans="1:23" x14ac:dyDescent="0.3">
      <c r="A617">
        <v>1060</v>
      </c>
      <c r="B617">
        <v>37</v>
      </c>
      <c r="C617" t="s">
        <v>15</v>
      </c>
      <c r="D617" t="s">
        <v>27</v>
      </c>
      <c r="E617" t="s">
        <v>17</v>
      </c>
      <c r="F617" t="s">
        <v>23</v>
      </c>
      <c r="G617">
        <v>36</v>
      </c>
      <c r="H617">
        <v>3172</v>
      </c>
      <c r="I617" t="s">
        <v>30</v>
      </c>
      <c r="J617" s="2">
        <v>45107</v>
      </c>
      <c r="K617">
        <v>36</v>
      </c>
      <c r="L617" t="s">
        <v>20</v>
      </c>
      <c r="M617">
        <v>8</v>
      </c>
      <c r="N617">
        <v>10</v>
      </c>
      <c r="O617">
        <v>5</v>
      </c>
      <c r="P617" t="s">
        <v>20</v>
      </c>
      <c r="Q617" s="1">
        <v>2</v>
      </c>
      <c r="R617" s="2">
        <v>46174</v>
      </c>
      <c r="S617" s="2">
        <v>46203</v>
      </c>
      <c r="T617" s="1" t="str">
        <f t="shared" si="27"/>
        <v>sex</v>
      </c>
      <c r="U617" s="1" t="str">
        <f t="shared" si="28"/>
        <v>jun</v>
      </c>
      <c r="V617">
        <f t="shared" si="29"/>
        <v>2023</v>
      </c>
      <c r="W617">
        <f>_xlfn.XLOOKUP(A617,Absenteismo!A:A,Absenteismo!A:A,0)</f>
        <v>0</v>
      </c>
    </row>
    <row r="618" spans="1:23" x14ac:dyDescent="0.3">
      <c r="A618">
        <v>1030</v>
      </c>
      <c r="B618">
        <v>37</v>
      </c>
      <c r="C618" t="s">
        <v>26</v>
      </c>
      <c r="D618" t="s">
        <v>22</v>
      </c>
      <c r="E618" t="s">
        <v>17</v>
      </c>
      <c r="F618" t="s">
        <v>23</v>
      </c>
      <c r="G618">
        <v>116</v>
      </c>
      <c r="H618">
        <v>5731</v>
      </c>
      <c r="I618" t="s">
        <v>19</v>
      </c>
      <c r="J618" s="2">
        <v>42586</v>
      </c>
      <c r="K618">
        <v>54</v>
      </c>
      <c r="L618" t="s">
        <v>20</v>
      </c>
      <c r="M618">
        <v>6</v>
      </c>
      <c r="N618">
        <v>5</v>
      </c>
      <c r="O618">
        <v>5</v>
      </c>
      <c r="P618" t="s">
        <v>25</v>
      </c>
      <c r="Q618" s="1">
        <v>2</v>
      </c>
      <c r="R618" s="2">
        <v>46174</v>
      </c>
      <c r="S618" s="2"/>
      <c r="T618" s="1" t="str">
        <f t="shared" si="27"/>
        <v>qui</v>
      </c>
      <c r="U618" s="1" t="str">
        <f t="shared" si="28"/>
        <v>ago</v>
      </c>
      <c r="V618">
        <f t="shared" si="29"/>
        <v>2016</v>
      </c>
      <c r="W618">
        <f>_xlfn.XLOOKUP(A618,Absenteismo!A:A,Absenteismo!A:A,0)</f>
        <v>0</v>
      </c>
    </row>
    <row r="619" spans="1:23" x14ac:dyDescent="0.3">
      <c r="A619">
        <v>1083</v>
      </c>
      <c r="B619">
        <v>37</v>
      </c>
      <c r="C619" t="s">
        <v>26</v>
      </c>
      <c r="D619" t="s">
        <v>27</v>
      </c>
      <c r="E619" t="s">
        <v>17</v>
      </c>
      <c r="F619" t="s">
        <v>18</v>
      </c>
      <c r="G619">
        <v>109</v>
      </c>
      <c r="H619">
        <v>5274</v>
      </c>
      <c r="I619" t="s">
        <v>19</v>
      </c>
      <c r="J619" s="2">
        <v>42430</v>
      </c>
      <c r="K619">
        <v>25</v>
      </c>
      <c r="L619" t="s">
        <v>25</v>
      </c>
      <c r="M619">
        <v>6</v>
      </c>
      <c r="N619">
        <v>3</v>
      </c>
      <c r="O619">
        <v>5</v>
      </c>
      <c r="P619" t="s">
        <v>25</v>
      </c>
      <c r="Q619" s="1">
        <v>3</v>
      </c>
      <c r="R619" s="2">
        <v>46174</v>
      </c>
      <c r="S619" s="2"/>
      <c r="T619" s="1" t="str">
        <f t="shared" si="27"/>
        <v>ter</v>
      </c>
      <c r="U619" s="1" t="str">
        <f t="shared" si="28"/>
        <v>mar</v>
      </c>
      <c r="V619">
        <f t="shared" si="29"/>
        <v>2016</v>
      </c>
      <c r="W619">
        <f>_xlfn.XLOOKUP(A619,Absenteismo!A:A,Absenteismo!A:A,0)</f>
        <v>0</v>
      </c>
    </row>
    <row r="620" spans="1:23" x14ac:dyDescent="0.3">
      <c r="A620">
        <v>1160</v>
      </c>
      <c r="B620">
        <v>37</v>
      </c>
      <c r="C620" t="s">
        <v>26</v>
      </c>
      <c r="D620" t="s">
        <v>22</v>
      </c>
      <c r="E620" t="s">
        <v>17</v>
      </c>
      <c r="F620" t="s">
        <v>18</v>
      </c>
      <c r="G620">
        <v>43</v>
      </c>
      <c r="H620">
        <v>3697</v>
      </c>
      <c r="I620" t="s">
        <v>33</v>
      </c>
      <c r="J620" s="2">
        <v>44770</v>
      </c>
      <c r="K620">
        <v>38</v>
      </c>
      <c r="L620" t="s">
        <v>20</v>
      </c>
      <c r="M620">
        <v>1</v>
      </c>
      <c r="N620">
        <v>9</v>
      </c>
      <c r="O620">
        <v>5</v>
      </c>
      <c r="P620" t="s">
        <v>25</v>
      </c>
      <c r="Q620" s="1">
        <v>1</v>
      </c>
      <c r="R620" s="2">
        <v>46174</v>
      </c>
      <c r="S620" s="2"/>
      <c r="T620" s="1" t="str">
        <f t="shared" si="27"/>
        <v>qui</v>
      </c>
      <c r="U620" s="1" t="str">
        <f t="shared" si="28"/>
        <v>jul</v>
      </c>
      <c r="V620">
        <f t="shared" si="29"/>
        <v>2022</v>
      </c>
      <c r="W620">
        <f>_xlfn.XLOOKUP(A620,Absenteismo!A:A,Absenteismo!A:A,0)</f>
        <v>0</v>
      </c>
    </row>
    <row r="621" spans="1:23" x14ac:dyDescent="0.3">
      <c r="A621">
        <v>1238</v>
      </c>
      <c r="B621">
        <v>37</v>
      </c>
      <c r="C621" t="s">
        <v>15</v>
      </c>
      <c r="D621" t="s">
        <v>22</v>
      </c>
      <c r="E621" t="s">
        <v>17</v>
      </c>
      <c r="F621" t="s">
        <v>18</v>
      </c>
      <c r="G621">
        <v>12</v>
      </c>
      <c r="H621">
        <v>5752</v>
      </c>
      <c r="I621" t="s">
        <v>24</v>
      </c>
      <c r="J621" s="2">
        <v>45562</v>
      </c>
      <c r="K621">
        <v>6</v>
      </c>
      <c r="L621" t="s">
        <v>20</v>
      </c>
      <c r="M621">
        <v>10</v>
      </c>
      <c r="N621">
        <v>0</v>
      </c>
      <c r="O621">
        <v>5</v>
      </c>
      <c r="P621" t="s">
        <v>25</v>
      </c>
      <c r="Q621" s="1">
        <v>3</v>
      </c>
      <c r="R621" s="2">
        <v>46174</v>
      </c>
      <c r="S621" s="2"/>
      <c r="T621" s="1" t="str">
        <f t="shared" si="27"/>
        <v>sex</v>
      </c>
      <c r="U621" s="1" t="str">
        <f t="shared" si="28"/>
        <v>set</v>
      </c>
      <c r="V621">
        <f t="shared" si="29"/>
        <v>2024</v>
      </c>
      <c r="W621">
        <f>_xlfn.XLOOKUP(A621,Absenteismo!A:A,Absenteismo!A:A,0)</f>
        <v>0</v>
      </c>
    </row>
    <row r="622" spans="1:23" hidden="1" x14ac:dyDescent="0.3">
      <c r="A622">
        <v>1241</v>
      </c>
      <c r="B622">
        <v>37</v>
      </c>
      <c r="C622" t="s">
        <v>15</v>
      </c>
      <c r="D622" t="s">
        <v>29</v>
      </c>
      <c r="E622" t="s">
        <v>17</v>
      </c>
      <c r="F622" t="s">
        <v>23</v>
      </c>
      <c r="G622">
        <v>83</v>
      </c>
      <c r="H622">
        <v>3970</v>
      </c>
      <c r="I622" t="s">
        <v>30</v>
      </c>
      <c r="J622" s="2">
        <v>43250</v>
      </c>
      <c r="K622">
        <v>34</v>
      </c>
      <c r="L622" t="s">
        <v>20</v>
      </c>
      <c r="M622">
        <v>10</v>
      </c>
      <c r="N622">
        <v>7</v>
      </c>
      <c r="O622">
        <v>4</v>
      </c>
      <c r="P622" t="s">
        <v>25</v>
      </c>
      <c r="Q622" s="1">
        <v>3</v>
      </c>
      <c r="R622" s="2">
        <v>46174</v>
      </c>
      <c r="S622" s="2"/>
      <c r="T622" s="1" t="str">
        <f t="shared" si="27"/>
        <v>qua</v>
      </c>
      <c r="U622" s="1" t="str">
        <f t="shared" si="28"/>
        <v>mai</v>
      </c>
      <c r="V622">
        <f t="shared" si="29"/>
        <v>2018</v>
      </c>
      <c r="W622">
        <f>_xlfn.XLOOKUP(A622,Absenteismo!A:A,Absenteismo!A:A,0)</f>
        <v>1241</v>
      </c>
    </row>
    <row r="623" spans="1:23" hidden="1" x14ac:dyDescent="0.3">
      <c r="A623">
        <v>1299</v>
      </c>
      <c r="B623">
        <v>37</v>
      </c>
      <c r="C623" t="s">
        <v>26</v>
      </c>
      <c r="D623" t="s">
        <v>29</v>
      </c>
      <c r="E623" t="s">
        <v>17</v>
      </c>
      <c r="F623" t="s">
        <v>23</v>
      </c>
      <c r="G623">
        <v>66</v>
      </c>
      <c r="H623">
        <v>5865</v>
      </c>
      <c r="I623" t="s">
        <v>28</v>
      </c>
      <c r="J623" s="2">
        <v>44046</v>
      </c>
      <c r="K623">
        <v>42</v>
      </c>
      <c r="L623" t="s">
        <v>20</v>
      </c>
      <c r="M623">
        <v>18</v>
      </c>
      <c r="N623">
        <v>4</v>
      </c>
      <c r="O623">
        <v>2</v>
      </c>
      <c r="P623" t="s">
        <v>25</v>
      </c>
      <c r="Q623" s="1">
        <v>2</v>
      </c>
      <c r="R623" s="2">
        <v>46174</v>
      </c>
      <c r="S623" s="2"/>
      <c r="T623" s="1" t="str">
        <f t="shared" si="27"/>
        <v>seg</v>
      </c>
      <c r="U623" s="1" t="str">
        <f t="shared" si="28"/>
        <v>ago</v>
      </c>
      <c r="V623">
        <f t="shared" si="29"/>
        <v>2020</v>
      </c>
      <c r="W623">
        <f>_xlfn.XLOOKUP(A623,Absenteismo!A:A,Absenteismo!A:A,0)</f>
        <v>1299</v>
      </c>
    </row>
    <row r="624" spans="1:23" hidden="1" x14ac:dyDescent="0.3">
      <c r="A624">
        <v>1330</v>
      </c>
      <c r="B624">
        <v>37</v>
      </c>
      <c r="C624" t="s">
        <v>26</v>
      </c>
      <c r="D624" t="s">
        <v>22</v>
      </c>
      <c r="E624" t="s">
        <v>17</v>
      </c>
      <c r="F624" t="s">
        <v>23</v>
      </c>
      <c r="G624">
        <v>116</v>
      </c>
      <c r="H624">
        <v>5731</v>
      </c>
      <c r="I624" t="s">
        <v>19</v>
      </c>
      <c r="J624" s="2">
        <v>42235</v>
      </c>
      <c r="K624">
        <v>54</v>
      </c>
      <c r="L624" t="s">
        <v>20</v>
      </c>
      <c r="M624">
        <v>6</v>
      </c>
      <c r="N624">
        <v>5</v>
      </c>
      <c r="O624">
        <v>5</v>
      </c>
      <c r="P624" t="s">
        <v>25</v>
      </c>
      <c r="Q624" s="1">
        <v>1</v>
      </c>
      <c r="R624" s="2">
        <v>46174</v>
      </c>
      <c r="S624" s="2"/>
      <c r="T624" s="1" t="str">
        <f t="shared" si="27"/>
        <v>qua</v>
      </c>
      <c r="U624" s="1" t="str">
        <f t="shared" si="28"/>
        <v>ago</v>
      </c>
      <c r="V624">
        <f t="shared" si="29"/>
        <v>2015</v>
      </c>
      <c r="W624">
        <f>_xlfn.XLOOKUP(A624,Absenteismo!A:A,Absenteismo!A:A,0)</f>
        <v>1330</v>
      </c>
    </row>
    <row r="625" spans="1:23" hidden="1" x14ac:dyDescent="0.3">
      <c r="A625">
        <v>1383</v>
      </c>
      <c r="B625">
        <v>37</v>
      </c>
      <c r="C625" t="s">
        <v>26</v>
      </c>
      <c r="D625" t="s">
        <v>27</v>
      </c>
      <c r="E625" t="s">
        <v>17</v>
      </c>
      <c r="F625" t="s">
        <v>18</v>
      </c>
      <c r="G625">
        <v>109</v>
      </c>
      <c r="H625">
        <v>5274</v>
      </c>
      <c r="I625" t="s">
        <v>19</v>
      </c>
      <c r="J625" s="2">
        <v>42470</v>
      </c>
      <c r="K625">
        <v>25</v>
      </c>
      <c r="L625" t="s">
        <v>25</v>
      </c>
      <c r="M625">
        <v>6</v>
      </c>
      <c r="N625">
        <v>3</v>
      </c>
      <c r="O625">
        <v>5</v>
      </c>
      <c r="P625" t="s">
        <v>25</v>
      </c>
      <c r="Q625" s="1">
        <v>1</v>
      </c>
      <c r="R625" s="2">
        <v>46174</v>
      </c>
      <c r="S625" s="2"/>
      <c r="T625" s="1" t="str">
        <f t="shared" si="27"/>
        <v>dom</v>
      </c>
      <c r="U625" s="1" t="str">
        <f t="shared" si="28"/>
        <v>abr</v>
      </c>
      <c r="V625">
        <f t="shared" si="29"/>
        <v>2016</v>
      </c>
      <c r="W625">
        <f>_xlfn.XLOOKUP(A625,Absenteismo!A:A,Absenteismo!A:A,0)</f>
        <v>1383</v>
      </c>
    </row>
    <row r="626" spans="1:23" hidden="1" x14ac:dyDescent="0.3">
      <c r="A626">
        <v>1460</v>
      </c>
      <c r="B626">
        <v>37</v>
      </c>
      <c r="C626" t="s">
        <v>26</v>
      </c>
      <c r="D626" t="s">
        <v>22</v>
      </c>
      <c r="E626" t="s">
        <v>17</v>
      </c>
      <c r="F626" t="s">
        <v>18</v>
      </c>
      <c r="G626">
        <v>43</v>
      </c>
      <c r="H626">
        <v>3697</v>
      </c>
      <c r="I626" t="s">
        <v>33</v>
      </c>
      <c r="J626" s="2">
        <v>44639</v>
      </c>
      <c r="K626">
        <v>38</v>
      </c>
      <c r="L626" t="s">
        <v>20</v>
      </c>
      <c r="M626">
        <v>1</v>
      </c>
      <c r="N626">
        <v>9</v>
      </c>
      <c r="O626">
        <v>5</v>
      </c>
      <c r="P626" t="s">
        <v>25</v>
      </c>
      <c r="Q626" s="1">
        <v>3</v>
      </c>
      <c r="R626" s="2">
        <v>46174</v>
      </c>
      <c r="S626" s="2"/>
      <c r="T626" s="1" t="str">
        <f t="shared" si="27"/>
        <v>sáb</v>
      </c>
      <c r="U626" s="1" t="str">
        <f t="shared" si="28"/>
        <v>mar</v>
      </c>
      <c r="V626">
        <f t="shared" si="29"/>
        <v>2022</v>
      </c>
      <c r="W626">
        <f>_xlfn.XLOOKUP(A626,Absenteismo!A:A,Absenteismo!A:A,0)</f>
        <v>1460</v>
      </c>
    </row>
    <row r="627" spans="1:23" x14ac:dyDescent="0.3">
      <c r="A627">
        <v>1538</v>
      </c>
      <c r="B627">
        <v>37</v>
      </c>
      <c r="C627" t="s">
        <v>15</v>
      </c>
      <c r="D627" t="s">
        <v>22</v>
      </c>
      <c r="E627" t="s">
        <v>17</v>
      </c>
      <c r="F627" t="s">
        <v>18</v>
      </c>
      <c r="G627">
        <v>12</v>
      </c>
      <c r="H627">
        <v>5752</v>
      </c>
      <c r="I627" t="s">
        <v>24</v>
      </c>
      <c r="J627" s="2">
        <v>45787</v>
      </c>
      <c r="K627">
        <v>6</v>
      </c>
      <c r="L627" t="s">
        <v>20</v>
      </c>
      <c r="M627">
        <v>10</v>
      </c>
      <c r="N627">
        <v>0</v>
      </c>
      <c r="O627">
        <v>5</v>
      </c>
      <c r="P627" t="s">
        <v>25</v>
      </c>
      <c r="Q627" s="1">
        <v>3</v>
      </c>
      <c r="R627" s="2">
        <v>46174</v>
      </c>
      <c r="S627" s="2"/>
      <c r="T627" s="1" t="str">
        <f t="shared" si="27"/>
        <v>sáb</v>
      </c>
      <c r="U627" s="1" t="str">
        <f t="shared" si="28"/>
        <v>mai</v>
      </c>
      <c r="V627">
        <f t="shared" si="29"/>
        <v>2025</v>
      </c>
      <c r="W627">
        <f>_xlfn.XLOOKUP(A627,Absenteismo!A:A,Absenteismo!A:A,0)</f>
        <v>0</v>
      </c>
    </row>
    <row r="628" spans="1:23" hidden="1" x14ac:dyDescent="0.3">
      <c r="A628">
        <v>1541</v>
      </c>
      <c r="B628">
        <v>37</v>
      </c>
      <c r="C628" t="s">
        <v>15</v>
      </c>
      <c r="D628" t="s">
        <v>29</v>
      </c>
      <c r="E628" t="s">
        <v>17</v>
      </c>
      <c r="F628" t="s">
        <v>23</v>
      </c>
      <c r="G628">
        <v>83</v>
      </c>
      <c r="H628">
        <v>3970</v>
      </c>
      <c r="I628" t="s">
        <v>30</v>
      </c>
      <c r="J628" s="2">
        <v>43359</v>
      </c>
      <c r="K628">
        <v>34</v>
      </c>
      <c r="L628" t="s">
        <v>20</v>
      </c>
      <c r="M628">
        <v>10</v>
      </c>
      <c r="N628">
        <v>7</v>
      </c>
      <c r="O628">
        <v>4</v>
      </c>
      <c r="P628" t="s">
        <v>25</v>
      </c>
      <c r="Q628" s="1">
        <v>3</v>
      </c>
      <c r="R628" s="2">
        <v>46174</v>
      </c>
      <c r="S628" s="2"/>
      <c r="T628" s="1" t="str">
        <f t="shared" si="27"/>
        <v>dom</v>
      </c>
      <c r="U628" s="1" t="str">
        <f t="shared" si="28"/>
        <v>set</v>
      </c>
      <c r="V628">
        <f t="shared" si="29"/>
        <v>2018</v>
      </c>
      <c r="W628">
        <f>_xlfn.XLOOKUP(A628,Absenteismo!A:A,Absenteismo!A:A,0)</f>
        <v>1541</v>
      </c>
    </row>
    <row r="629" spans="1:23" hidden="1" x14ac:dyDescent="0.3">
      <c r="A629">
        <v>1599</v>
      </c>
      <c r="B629">
        <v>37</v>
      </c>
      <c r="C629" t="s">
        <v>26</v>
      </c>
      <c r="D629" t="s">
        <v>29</v>
      </c>
      <c r="E629" t="s">
        <v>17</v>
      </c>
      <c r="F629" t="s">
        <v>23</v>
      </c>
      <c r="G629">
        <v>66</v>
      </c>
      <c r="H629">
        <v>5865</v>
      </c>
      <c r="I629" t="s">
        <v>28</v>
      </c>
      <c r="J629" s="2">
        <v>43894</v>
      </c>
      <c r="K629">
        <v>42</v>
      </c>
      <c r="L629" t="s">
        <v>20</v>
      </c>
      <c r="M629">
        <v>18</v>
      </c>
      <c r="N629">
        <v>4</v>
      </c>
      <c r="O629">
        <v>2</v>
      </c>
      <c r="P629" t="s">
        <v>25</v>
      </c>
      <c r="Q629" s="1">
        <v>1</v>
      </c>
      <c r="R629" s="2">
        <v>46174</v>
      </c>
      <c r="S629" s="2"/>
      <c r="T629" s="1" t="str">
        <f t="shared" si="27"/>
        <v>qua</v>
      </c>
      <c r="U629" s="1" t="str">
        <f t="shared" si="28"/>
        <v>mar</v>
      </c>
      <c r="V629">
        <f t="shared" si="29"/>
        <v>2020</v>
      </c>
      <c r="W629">
        <f>_xlfn.XLOOKUP(A629,Absenteismo!A:A,Absenteismo!A:A,0)</f>
        <v>1599</v>
      </c>
    </row>
    <row r="630" spans="1:23" hidden="1" x14ac:dyDescent="0.3">
      <c r="A630">
        <v>1630</v>
      </c>
      <c r="B630">
        <v>37</v>
      </c>
      <c r="C630" t="s">
        <v>26</v>
      </c>
      <c r="D630" t="s">
        <v>22</v>
      </c>
      <c r="E630" t="s">
        <v>17</v>
      </c>
      <c r="F630" t="s">
        <v>23</v>
      </c>
      <c r="G630">
        <v>116</v>
      </c>
      <c r="H630">
        <v>5731</v>
      </c>
      <c r="I630" t="s">
        <v>19</v>
      </c>
      <c r="J630" s="2">
        <v>42385</v>
      </c>
      <c r="K630">
        <v>54</v>
      </c>
      <c r="L630" t="s">
        <v>20</v>
      </c>
      <c r="M630">
        <v>6</v>
      </c>
      <c r="N630">
        <v>5</v>
      </c>
      <c r="O630">
        <v>5</v>
      </c>
      <c r="P630" t="s">
        <v>25</v>
      </c>
      <c r="Q630" s="1">
        <v>3</v>
      </c>
      <c r="R630" s="2">
        <v>46174</v>
      </c>
      <c r="S630" s="2"/>
      <c r="T630" s="1" t="str">
        <f t="shared" si="27"/>
        <v>sáb</v>
      </c>
      <c r="U630" s="1" t="str">
        <f t="shared" si="28"/>
        <v>jan</v>
      </c>
      <c r="V630">
        <f t="shared" si="29"/>
        <v>2016</v>
      </c>
      <c r="W630">
        <f>_xlfn.XLOOKUP(A630,Absenteismo!A:A,Absenteismo!A:A,0)</f>
        <v>1630</v>
      </c>
    </row>
    <row r="631" spans="1:23" x14ac:dyDescent="0.3">
      <c r="A631">
        <v>1683</v>
      </c>
      <c r="B631">
        <v>37</v>
      </c>
      <c r="C631" t="s">
        <v>26</v>
      </c>
      <c r="D631" t="s">
        <v>27</v>
      </c>
      <c r="E631" t="s">
        <v>17</v>
      </c>
      <c r="F631" t="s">
        <v>18</v>
      </c>
      <c r="G631">
        <v>109</v>
      </c>
      <c r="H631">
        <v>5274</v>
      </c>
      <c r="I631" t="s">
        <v>19</v>
      </c>
      <c r="J631" s="2">
        <v>42722</v>
      </c>
      <c r="K631">
        <v>25</v>
      </c>
      <c r="L631" t="s">
        <v>25</v>
      </c>
      <c r="M631">
        <v>6</v>
      </c>
      <c r="N631">
        <v>3</v>
      </c>
      <c r="O631">
        <v>5</v>
      </c>
      <c r="P631" t="s">
        <v>25</v>
      </c>
      <c r="Q631" s="1">
        <v>1</v>
      </c>
      <c r="R631" s="2">
        <v>46174</v>
      </c>
      <c r="S631" s="2"/>
      <c r="T631" s="1" t="str">
        <f t="shared" si="27"/>
        <v>dom</v>
      </c>
      <c r="U631" s="1" t="str">
        <f t="shared" si="28"/>
        <v>dez</v>
      </c>
      <c r="V631">
        <f t="shared" si="29"/>
        <v>2016</v>
      </c>
      <c r="W631">
        <f>_xlfn.XLOOKUP(A631,Absenteismo!A:A,Absenteismo!A:A,0)</f>
        <v>0</v>
      </c>
    </row>
    <row r="632" spans="1:23" hidden="1" x14ac:dyDescent="0.3">
      <c r="A632">
        <v>1760</v>
      </c>
      <c r="B632">
        <v>37</v>
      </c>
      <c r="C632" t="s">
        <v>26</v>
      </c>
      <c r="D632" t="s">
        <v>22</v>
      </c>
      <c r="E632" t="s">
        <v>17</v>
      </c>
      <c r="F632" t="s">
        <v>18</v>
      </c>
      <c r="G632">
        <v>43</v>
      </c>
      <c r="H632">
        <v>3697</v>
      </c>
      <c r="I632" t="s">
        <v>33</v>
      </c>
      <c r="J632" s="2">
        <v>44465</v>
      </c>
      <c r="K632">
        <v>38</v>
      </c>
      <c r="L632" t="s">
        <v>20</v>
      </c>
      <c r="M632">
        <v>1</v>
      </c>
      <c r="N632">
        <v>9</v>
      </c>
      <c r="O632">
        <v>5</v>
      </c>
      <c r="P632" t="s">
        <v>25</v>
      </c>
      <c r="Q632" s="1">
        <v>1</v>
      </c>
      <c r="R632" s="2">
        <v>46174</v>
      </c>
      <c r="S632" s="2"/>
      <c r="T632" s="1" t="str">
        <f t="shared" si="27"/>
        <v>dom</v>
      </c>
      <c r="U632" s="1" t="str">
        <f t="shared" si="28"/>
        <v>set</v>
      </c>
      <c r="V632">
        <f t="shared" si="29"/>
        <v>2021</v>
      </c>
      <c r="W632">
        <f>_xlfn.XLOOKUP(A632,Absenteismo!A:A,Absenteismo!A:A,0)</f>
        <v>1760</v>
      </c>
    </row>
    <row r="633" spans="1:23" x14ac:dyDescent="0.3">
      <c r="A633">
        <v>1838</v>
      </c>
      <c r="B633">
        <v>37</v>
      </c>
      <c r="C633" t="s">
        <v>15</v>
      </c>
      <c r="D633" t="s">
        <v>22</v>
      </c>
      <c r="E633" t="s">
        <v>17</v>
      </c>
      <c r="F633" t="s">
        <v>18</v>
      </c>
      <c r="G633">
        <v>12</v>
      </c>
      <c r="H633">
        <v>5752</v>
      </c>
      <c r="I633" t="s">
        <v>24</v>
      </c>
      <c r="J633" s="2">
        <v>45826</v>
      </c>
      <c r="K633">
        <v>6</v>
      </c>
      <c r="L633" t="s">
        <v>20</v>
      </c>
      <c r="M633">
        <v>10</v>
      </c>
      <c r="N633">
        <v>0</v>
      </c>
      <c r="O633">
        <v>5</v>
      </c>
      <c r="P633" t="s">
        <v>25</v>
      </c>
      <c r="Q633" s="1">
        <v>3</v>
      </c>
      <c r="R633" s="2">
        <v>46174</v>
      </c>
      <c r="S633" s="2"/>
      <c r="T633" s="1" t="str">
        <f t="shared" si="27"/>
        <v>qua</v>
      </c>
      <c r="U633" s="1" t="str">
        <f t="shared" si="28"/>
        <v>jun</v>
      </c>
      <c r="V633">
        <f t="shared" si="29"/>
        <v>2025</v>
      </c>
      <c r="W633">
        <f>_xlfn.XLOOKUP(A633,Absenteismo!A:A,Absenteismo!A:A,0)</f>
        <v>0</v>
      </c>
    </row>
    <row r="634" spans="1:23" hidden="1" x14ac:dyDescent="0.3">
      <c r="A634">
        <v>1841</v>
      </c>
      <c r="B634">
        <v>37</v>
      </c>
      <c r="C634" t="s">
        <v>15</v>
      </c>
      <c r="D634" t="s">
        <v>29</v>
      </c>
      <c r="E634" t="s">
        <v>17</v>
      </c>
      <c r="F634" t="s">
        <v>23</v>
      </c>
      <c r="G634">
        <v>83</v>
      </c>
      <c r="H634">
        <v>3970</v>
      </c>
      <c r="I634" t="s">
        <v>30</v>
      </c>
      <c r="J634" s="2">
        <v>43407</v>
      </c>
      <c r="K634">
        <v>34</v>
      </c>
      <c r="L634" t="s">
        <v>20</v>
      </c>
      <c r="M634">
        <v>10</v>
      </c>
      <c r="N634">
        <v>7</v>
      </c>
      <c r="O634">
        <v>4</v>
      </c>
      <c r="P634" t="s">
        <v>25</v>
      </c>
      <c r="Q634" s="1">
        <v>1</v>
      </c>
      <c r="R634" s="2">
        <v>46174</v>
      </c>
      <c r="S634" s="2"/>
      <c r="T634" s="1" t="str">
        <f t="shared" si="27"/>
        <v>sáb</v>
      </c>
      <c r="U634" s="1" t="str">
        <f t="shared" si="28"/>
        <v>nov</v>
      </c>
      <c r="V634">
        <f t="shared" si="29"/>
        <v>2018</v>
      </c>
      <c r="W634">
        <f>_xlfn.XLOOKUP(A634,Absenteismo!A:A,Absenteismo!A:A,0)</f>
        <v>1841</v>
      </c>
    </row>
    <row r="635" spans="1:23" hidden="1" x14ac:dyDescent="0.3">
      <c r="A635">
        <v>1899</v>
      </c>
      <c r="B635">
        <v>37</v>
      </c>
      <c r="C635" t="s">
        <v>26</v>
      </c>
      <c r="D635" t="s">
        <v>29</v>
      </c>
      <c r="E635" t="s">
        <v>17</v>
      </c>
      <c r="F635" t="s">
        <v>23</v>
      </c>
      <c r="G635">
        <v>66</v>
      </c>
      <c r="H635">
        <v>5865</v>
      </c>
      <c r="I635" t="s">
        <v>28</v>
      </c>
      <c r="J635" s="2">
        <v>43764</v>
      </c>
      <c r="K635">
        <v>42</v>
      </c>
      <c r="L635" t="s">
        <v>20</v>
      </c>
      <c r="M635">
        <v>18</v>
      </c>
      <c r="N635">
        <v>4</v>
      </c>
      <c r="O635">
        <v>2</v>
      </c>
      <c r="P635" t="s">
        <v>25</v>
      </c>
      <c r="Q635" s="1">
        <v>3</v>
      </c>
      <c r="R635" s="2">
        <v>46174</v>
      </c>
      <c r="S635" s="2"/>
      <c r="T635" s="1" t="str">
        <f t="shared" si="27"/>
        <v>sáb</v>
      </c>
      <c r="U635" s="1" t="str">
        <f t="shared" si="28"/>
        <v>out</v>
      </c>
      <c r="V635">
        <f t="shared" si="29"/>
        <v>2019</v>
      </c>
      <c r="W635">
        <f>_xlfn.XLOOKUP(A635,Absenteismo!A:A,Absenteismo!A:A,0)</f>
        <v>1899</v>
      </c>
    </row>
    <row r="636" spans="1:23" hidden="1" x14ac:dyDescent="0.3">
      <c r="A636">
        <v>1930</v>
      </c>
      <c r="B636">
        <v>37</v>
      </c>
      <c r="C636" t="s">
        <v>26</v>
      </c>
      <c r="D636" t="s">
        <v>22</v>
      </c>
      <c r="E636" t="s">
        <v>17</v>
      </c>
      <c r="F636" t="s">
        <v>23</v>
      </c>
      <c r="G636">
        <v>116</v>
      </c>
      <c r="H636">
        <v>5731</v>
      </c>
      <c r="I636" t="s">
        <v>19</v>
      </c>
      <c r="J636" s="2">
        <v>42227</v>
      </c>
      <c r="K636">
        <v>54</v>
      </c>
      <c r="L636" t="s">
        <v>20</v>
      </c>
      <c r="M636">
        <v>6</v>
      </c>
      <c r="N636">
        <v>5</v>
      </c>
      <c r="O636">
        <v>5</v>
      </c>
      <c r="P636" t="s">
        <v>25</v>
      </c>
      <c r="Q636" s="1">
        <v>3</v>
      </c>
      <c r="R636" s="2">
        <v>46174</v>
      </c>
      <c r="S636" s="2"/>
      <c r="T636" s="1" t="str">
        <f t="shared" si="27"/>
        <v>ter</v>
      </c>
      <c r="U636" s="1" t="str">
        <f t="shared" si="28"/>
        <v>ago</v>
      </c>
      <c r="V636">
        <f t="shared" si="29"/>
        <v>2015</v>
      </c>
      <c r="W636">
        <f>_xlfn.XLOOKUP(A636,Absenteismo!A:A,Absenteismo!A:A,0)</f>
        <v>1930</v>
      </c>
    </row>
    <row r="637" spans="1:23" hidden="1" x14ac:dyDescent="0.3">
      <c r="A637">
        <v>1983</v>
      </c>
      <c r="B637">
        <v>37</v>
      </c>
      <c r="C637" t="s">
        <v>26</v>
      </c>
      <c r="D637" t="s">
        <v>27</v>
      </c>
      <c r="E637" t="s">
        <v>17</v>
      </c>
      <c r="F637" t="s">
        <v>18</v>
      </c>
      <c r="G637">
        <v>109</v>
      </c>
      <c r="H637">
        <v>5274</v>
      </c>
      <c r="I637" t="s">
        <v>19</v>
      </c>
      <c r="J637" s="2">
        <v>42478</v>
      </c>
      <c r="K637">
        <v>25</v>
      </c>
      <c r="L637" t="s">
        <v>25</v>
      </c>
      <c r="M637">
        <v>6</v>
      </c>
      <c r="N637">
        <v>3</v>
      </c>
      <c r="O637">
        <v>5</v>
      </c>
      <c r="P637" t="s">
        <v>25</v>
      </c>
      <c r="Q637" s="1">
        <v>3</v>
      </c>
      <c r="R637" s="2">
        <v>46174</v>
      </c>
      <c r="S637" s="2"/>
      <c r="T637" s="1" t="str">
        <f t="shared" si="27"/>
        <v>seg</v>
      </c>
      <c r="U637" s="1" t="str">
        <f t="shared" si="28"/>
        <v>abr</v>
      </c>
      <c r="V637">
        <f t="shared" si="29"/>
        <v>2016</v>
      </c>
      <c r="W637">
        <f>_xlfn.XLOOKUP(A637,Absenteismo!A:A,Absenteismo!A:A,0)</f>
        <v>1983</v>
      </c>
    </row>
    <row r="638" spans="1:23" hidden="1" x14ac:dyDescent="0.3">
      <c r="A638">
        <v>2060</v>
      </c>
      <c r="B638">
        <v>37</v>
      </c>
      <c r="C638" t="s">
        <v>26</v>
      </c>
      <c r="D638" t="s">
        <v>22</v>
      </c>
      <c r="E638" t="s">
        <v>17</v>
      </c>
      <c r="F638" t="s">
        <v>18</v>
      </c>
      <c r="G638">
        <v>43</v>
      </c>
      <c r="H638">
        <v>3697</v>
      </c>
      <c r="I638" t="s">
        <v>33</v>
      </c>
      <c r="J638" s="2">
        <v>44478</v>
      </c>
      <c r="K638">
        <v>38</v>
      </c>
      <c r="L638" t="s">
        <v>20</v>
      </c>
      <c r="M638">
        <v>1</v>
      </c>
      <c r="N638">
        <v>9</v>
      </c>
      <c r="O638">
        <v>5</v>
      </c>
      <c r="P638" t="s">
        <v>25</v>
      </c>
      <c r="Q638" s="1">
        <v>3</v>
      </c>
      <c r="R638" s="2">
        <v>46174</v>
      </c>
      <c r="S638" s="2"/>
      <c r="T638" s="1" t="str">
        <f t="shared" si="27"/>
        <v>sáb</v>
      </c>
      <c r="U638" s="1" t="str">
        <f t="shared" si="28"/>
        <v>out</v>
      </c>
      <c r="V638">
        <f t="shared" si="29"/>
        <v>2021</v>
      </c>
      <c r="W638">
        <f>_xlfn.XLOOKUP(A638,Absenteismo!A:A,Absenteismo!A:A,0)</f>
        <v>2060</v>
      </c>
    </row>
    <row r="639" spans="1:23" x14ac:dyDescent="0.3">
      <c r="A639">
        <v>2138</v>
      </c>
      <c r="B639">
        <v>37</v>
      </c>
      <c r="C639" t="s">
        <v>15</v>
      </c>
      <c r="D639" t="s">
        <v>22</v>
      </c>
      <c r="E639" t="s">
        <v>17</v>
      </c>
      <c r="F639" t="s">
        <v>18</v>
      </c>
      <c r="G639">
        <v>12</v>
      </c>
      <c r="H639">
        <v>5752</v>
      </c>
      <c r="I639" t="s">
        <v>24</v>
      </c>
      <c r="J639" s="2">
        <v>45434</v>
      </c>
      <c r="K639">
        <v>6</v>
      </c>
      <c r="L639" t="s">
        <v>20</v>
      </c>
      <c r="M639">
        <v>10</v>
      </c>
      <c r="N639">
        <v>0</v>
      </c>
      <c r="O639">
        <v>5</v>
      </c>
      <c r="P639" t="s">
        <v>25</v>
      </c>
      <c r="Q639" s="1">
        <v>3</v>
      </c>
      <c r="R639" s="2">
        <v>46174</v>
      </c>
      <c r="S639" s="2"/>
      <c r="T639" s="1" t="str">
        <f t="shared" si="27"/>
        <v>qua</v>
      </c>
      <c r="U639" s="1" t="str">
        <f t="shared" si="28"/>
        <v>mai</v>
      </c>
      <c r="V639">
        <f t="shared" si="29"/>
        <v>2024</v>
      </c>
      <c r="W639">
        <f>_xlfn.XLOOKUP(A639,Absenteismo!A:A,Absenteismo!A:A,0)</f>
        <v>0</v>
      </c>
    </row>
    <row r="640" spans="1:23" hidden="1" x14ac:dyDescent="0.3">
      <c r="A640">
        <v>2141</v>
      </c>
      <c r="B640">
        <v>37</v>
      </c>
      <c r="C640" t="s">
        <v>15</v>
      </c>
      <c r="D640" t="s">
        <v>29</v>
      </c>
      <c r="E640" t="s">
        <v>17</v>
      </c>
      <c r="F640" t="s">
        <v>23</v>
      </c>
      <c r="G640">
        <v>83</v>
      </c>
      <c r="H640">
        <v>3970</v>
      </c>
      <c r="I640" t="s">
        <v>30</v>
      </c>
      <c r="J640" s="2">
        <v>43567</v>
      </c>
      <c r="K640">
        <v>34</v>
      </c>
      <c r="L640" t="s">
        <v>20</v>
      </c>
      <c r="M640">
        <v>10</v>
      </c>
      <c r="N640">
        <v>7</v>
      </c>
      <c r="O640">
        <v>4</v>
      </c>
      <c r="P640" t="s">
        <v>25</v>
      </c>
      <c r="Q640" s="1">
        <v>1</v>
      </c>
      <c r="R640" s="2">
        <v>46174</v>
      </c>
      <c r="S640" s="2"/>
      <c r="T640" s="1" t="str">
        <f t="shared" si="27"/>
        <v>sex</v>
      </c>
      <c r="U640" s="1" t="str">
        <f t="shared" si="28"/>
        <v>abr</v>
      </c>
      <c r="V640">
        <f t="shared" si="29"/>
        <v>2019</v>
      </c>
      <c r="W640">
        <f>_xlfn.XLOOKUP(A640,Absenteismo!A:A,Absenteismo!A:A,0)</f>
        <v>2141</v>
      </c>
    </row>
    <row r="641" spans="1:23" x14ac:dyDescent="0.3">
      <c r="A641">
        <v>2199</v>
      </c>
      <c r="B641">
        <v>37</v>
      </c>
      <c r="C641" t="s">
        <v>26</v>
      </c>
      <c r="D641" t="s">
        <v>29</v>
      </c>
      <c r="E641" t="s">
        <v>17</v>
      </c>
      <c r="F641" t="s">
        <v>23</v>
      </c>
      <c r="G641">
        <v>66</v>
      </c>
      <c r="H641">
        <v>5865</v>
      </c>
      <c r="I641" t="s">
        <v>28</v>
      </c>
      <c r="J641" s="2">
        <v>43883</v>
      </c>
      <c r="K641">
        <v>42</v>
      </c>
      <c r="L641" t="s">
        <v>20</v>
      </c>
      <c r="M641">
        <v>18</v>
      </c>
      <c r="N641">
        <v>4</v>
      </c>
      <c r="O641">
        <v>2</v>
      </c>
      <c r="P641" t="s">
        <v>25</v>
      </c>
      <c r="Q641" s="1">
        <v>1</v>
      </c>
      <c r="R641" s="2">
        <v>46174</v>
      </c>
      <c r="S641" s="2"/>
      <c r="T641" s="1" t="str">
        <f t="shared" si="27"/>
        <v>sáb</v>
      </c>
      <c r="U641" s="1" t="str">
        <f t="shared" si="28"/>
        <v>fev</v>
      </c>
      <c r="V641">
        <f t="shared" si="29"/>
        <v>2020</v>
      </c>
      <c r="W641">
        <f>_xlfn.XLOOKUP(A641,Absenteismo!A:A,Absenteismo!A:A,0)</f>
        <v>0</v>
      </c>
    </row>
    <row r="642" spans="1:23" x14ac:dyDescent="0.3">
      <c r="A642">
        <v>1844</v>
      </c>
      <c r="B642">
        <v>37</v>
      </c>
      <c r="C642" t="s">
        <v>15</v>
      </c>
      <c r="D642" t="s">
        <v>29</v>
      </c>
      <c r="E642" t="s">
        <v>17</v>
      </c>
      <c r="F642" t="s">
        <v>21</v>
      </c>
      <c r="G642">
        <v>25</v>
      </c>
      <c r="H642">
        <v>6009</v>
      </c>
      <c r="I642" t="s">
        <v>24</v>
      </c>
      <c r="J642" s="2">
        <v>45264</v>
      </c>
      <c r="K642">
        <v>42</v>
      </c>
      <c r="L642" t="s">
        <v>20</v>
      </c>
      <c r="M642">
        <v>15</v>
      </c>
      <c r="N642">
        <v>7</v>
      </c>
      <c r="O642">
        <v>5</v>
      </c>
      <c r="P642" t="s">
        <v>25</v>
      </c>
      <c r="Q642" s="1">
        <v>2</v>
      </c>
      <c r="R642" s="2">
        <v>46174</v>
      </c>
      <c r="S642" s="2"/>
      <c r="T642" s="1" t="str">
        <f t="shared" ref="T642:T705" si="30">TEXT($J642,"ddd")</f>
        <v>seg</v>
      </c>
      <c r="U642" s="1" t="str">
        <f t="shared" ref="U642:U705" si="31">TEXT($J642,"mmm")</f>
        <v>dez</v>
      </c>
      <c r="V642">
        <f t="shared" ref="V642:V705" si="32">YEAR(J642)</f>
        <v>2023</v>
      </c>
      <c r="W642">
        <f>_xlfn.XLOOKUP(A642,Absenteismo!A:A,Absenteismo!A:A,0)</f>
        <v>0</v>
      </c>
    </row>
    <row r="643" spans="1:23" hidden="1" x14ac:dyDescent="0.3">
      <c r="A643">
        <v>1960</v>
      </c>
      <c r="B643">
        <v>37</v>
      </c>
      <c r="C643" t="s">
        <v>15</v>
      </c>
      <c r="D643" t="s">
        <v>27</v>
      </c>
      <c r="E643" t="s">
        <v>17</v>
      </c>
      <c r="F643" t="s">
        <v>23</v>
      </c>
      <c r="G643">
        <v>36</v>
      </c>
      <c r="H643">
        <v>3172</v>
      </c>
      <c r="I643" t="s">
        <v>30</v>
      </c>
      <c r="J643" s="2">
        <v>45061</v>
      </c>
      <c r="K643">
        <v>36</v>
      </c>
      <c r="L643" t="s">
        <v>20</v>
      </c>
      <c r="M643">
        <v>8</v>
      </c>
      <c r="N643">
        <v>10</v>
      </c>
      <c r="O643">
        <v>5</v>
      </c>
      <c r="P643" t="s">
        <v>25</v>
      </c>
      <c r="Q643" s="1">
        <v>1</v>
      </c>
      <c r="R643" s="2">
        <v>46174</v>
      </c>
      <c r="S643" s="2"/>
      <c r="T643" s="1" t="str">
        <f t="shared" si="30"/>
        <v>seg</v>
      </c>
      <c r="U643" s="1" t="str">
        <f t="shared" si="31"/>
        <v>mai</v>
      </c>
      <c r="V643">
        <f t="shared" si="32"/>
        <v>2023</v>
      </c>
      <c r="W643">
        <f>_xlfn.XLOOKUP(A643,Absenteismo!A:A,Absenteismo!A:A,0)</f>
        <v>1960</v>
      </c>
    </row>
    <row r="644" spans="1:23" hidden="1" x14ac:dyDescent="0.3">
      <c r="A644">
        <v>1967</v>
      </c>
      <c r="B644">
        <v>37</v>
      </c>
      <c r="C644" t="s">
        <v>26</v>
      </c>
      <c r="D644" t="s">
        <v>31</v>
      </c>
      <c r="E644" t="s">
        <v>34</v>
      </c>
      <c r="F644" t="s">
        <v>18</v>
      </c>
      <c r="G644">
        <v>11</v>
      </c>
      <c r="H644">
        <v>3126</v>
      </c>
      <c r="I644" t="s">
        <v>33</v>
      </c>
      <c r="J644" s="2">
        <v>45644</v>
      </c>
      <c r="K644">
        <v>48</v>
      </c>
      <c r="L644" t="s">
        <v>20</v>
      </c>
      <c r="M644">
        <v>16</v>
      </c>
      <c r="N644">
        <v>0</v>
      </c>
      <c r="O644">
        <v>2</v>
      </c>
      <c r="P644" t="s">
        <v>25</v>
      </c>
      <c r="Q644" s="1">
        <v>1</v>
      </c>
      <c r="R644" s="2">
        <v>46174</v>
      </c>
      <c r="S644" s="2"/>
      <c r="T644" s="1" t="str">
        <f t="shared" si="30"/>
        <v>qua</v>
      </c>
      <c r="U644" s="1" t="str">
        <f t="shared" si="31"/>
        <v>dez</v>
      </c>
      <c r="V644">
        <f t="shared" si="32"/>
        <v>2024</v>
      </c>
      <c r="W644">
        <f>_xlfn.XLOOKUP(A644,Absenteismo!A:A,Absenteismo!A:A,0)</f>
        <v>1967</v>
      </c>
    </row>
    <row r="645" spans="1:23" hidden="1" x14ac:dyDescent="0.3">
      <c r="A645">
        <v>2008</v>
      </c>
      <c r="B645">
        <v>37</v>
      </c>
      <c r="C645" t="s">
        <v>15</v>
      </c>
      <c r="D645" t="s">
        <v>16</v>
      </c>
      <c r="E645" t="s">
        <v>17</v>
      </c>
      <c r="F645" t="s">
        <v>21</v>
      </c>
      <c r="G645">
        <v>8</v>
      </c>
      <c r="H645">
        <v>2862</v>
      </c>
      <c r="I645" t="s">
        <v>19</v>
      </c>
      <c r="J645" s="2">
        <v>45792</v>
      </c>
      <c r="K645">
        <v>20</v>
      </c>
      <c r="L645" t="s">
        <v>25</v>
      </c>
      <c r="M645">
        <v>8</v>
      </c>
      <c r="N645">
        <v>12</v>
      </c>
      <c r="O645">
        <v>4</v>
      </c>
      <c r="P645" t="s">
        <v>25</v>
      </c>
      <c r="Q645" s="1">
        <v>2</v>
      </c>
      <c r="R645" s="2">
        <v>46174</v>
      </c>
      <c r="S645" s="2"/>
      <c r="T645" s="1" t="str">
        <f t="shared" si="30"/>
        <v>qui</v>
      </c>
      <c r="U645" s="1" t="str">
        <f t="shared" si="31"/>
        <v>mai</v>
      </c>
      <c r="V645">
        <f t="shared" si="32"/>
        <v>2025</v>
      </c>
      <c r="W645">
        <f>_xlfn.XLOOKUP(A645,Absenteismo!A:A,Absenteismo!A:A,0)</f>
        <v>2008</v>
      </c>
    </row>
    <row r="646" spans="1:23" hidden="1" x14ac:dyDescent="0.3">
      <c r="A646">
        <v>1493</v>
      </c>
      <c r="B646">
        <v>38</v>
      </c>
      <c r="C646" t="s">
        <v>15</v>
      </c>
      <c r="D646" t="s">
        <v>29</v>
      </c>
      <c r="E646" t="s">
        <v>17</v>
      </c>
      <c r="F646" t="s">
        <v>18</v>
      </c>
      <c r="G646">
        <v>6</v>
      </c>
      <c r="H646">
        <v>7408</v>
      </c>
      <c r="I646" t="s">
        <v>19</v>
      </c>
      <c r="J646" s="2">
        <v>45572</v>
      </c>
      <c r="K646">
        <v>34</v>
      </c>
      <c r="L646" t="s">
        <v>20</v>
      </c>
      <c r="M646">
        <v>16</v>
      </c>
      <c r="N646">
        <v>8</v>
      </c>
      <c r="O646">
        <v>5</v>
      </c>
      <c r="P646" t="s">
        <v>20</v>
      </c>
      <c r="Q646" s="1">
        <v>2</v>
      </c>
      <c r="R646" s="2">
        <v>46174</v>
      </c>
      <c r="S646" s="2">
        <v>45754</v>
      </c>
      <c r="T646" s="1" t="str">
        <f t="shared" si="30"/>
        <v>seg</v>
      </c>
      <c r="U646" s="1" t="str">
        <f t="shared" si="31"/>
        <v>out</v>
      </c>
      <c r="V646">
        <f t="shared" si="32"/>
        <v>2024</v>
      </c>
      <c r="W646">
        <f>_xlfn.XLOOKUP(A646,Absenteismo!A:A,Absenteismo!A:A,0)</f>
        <v>1493</v>
      </c>
    </row>
    <row r="647" spans="1:23" hidden="1" x14ac:dyDescent="0.3">
      <c r="A647">
        <v>1793</v>
      </c>
      <c r="B647">
        <v>38</v>
      </c>
      <c r="C647" t="s">
        <v>15</v>
      </c>
      <c r="D647" t="s">
        <v>29</v>
      </c>
      <c r="E647" t="s">
        <v>17</v>
      </c>
      <c r="F647" t="s">
        <v>18</v>
      </c>
      <c r="G647">
        <v>6</v>
      </c>
      <c r="H647">
        <v>7408</v>
      </c>
      <c r="I647" t="s">
        <v>19</v>
      </c>
      <c r="J647" s="2">
        <v>45604</v>
      </c>
      <c r="K647">
        <v>12</v>
      </c>
      <c r="L647" t="s">
        <v>20</v>
      </c>
      <c r="M647">
        <v>16</v>
      </c>
      <c r="N647">
        <v>8</v>
      </c>
      <c r="O647">
        <v>5</v>
      </c>
      <c r="P647" t="s">
        <v>20</v>
      </c>
      <c r="Q647" s="1">
        <v>2</v>
      </c>
      <c r="R647" s="2">
        <v>46174</v>
      </c>
      <c r="S647" s="2">
        <v>45785</v>
      </c>
      <c r="T647" s="1" t="str">
        <f t="shared" si="30"/>
        <v>sex</v>
      </c>
      <c r="U647" s="1" t="str">
        <f t="shared" si="31"/>
        <v>nov</v>
      </c>
      <c r="V647">
        <f t="shared" si="32"/>
        <v>2024</v>
      </c>
      <c r="W647">
        <f>_xlfn.XLOOKUP(A647,Absenteismo!A:A,Absenteismo!A:A,0)</f>
        <v>1793</v>
      </c>
    </row>
    <row r="648" spans="1:23" hidden="1" x14ac:dyDescent="0.3">
      <c r="A648">
        <v>1193</v>
      </c>
      <c r="B648">
        <v>38</v>
      </c>
      <c r="C648" t="s">
        <v>15</v>
      </c>
      <c r="D648" t="s">
        <v>29</v>
      </c>
      <c r="E648" t="s">
        <v>17</v>
      </c>
      <c r="F648" t="s">
        <v>18</v>
      </c>
      <c r="G648">
        <v>6</v>
      </c>
      <c r="H648">
        <v>7408</v>
      </c>
      <c r="I648" t="s">
        <v>19</v>
      </c>
      <c r="J648" s="2">
        <v>45644</v>
      </c>
      <c r="K648">
        <v>41</v>
      </c>
      <c r="L648" t="s">
        <v>20</v>
      </c>
      <c r="M648">
        <v>16</v>
      </c>
      <c r="N648">
        <v>8</v>
      </c>
      <c r="O648">
        <v>5</v>
      </c>
      <c r="P648" t="s">
        <v>20</v>
      </c>
      <c r="Q648" s="1">
        <v>2</v>
      </c>
      <c r="R648" s="2">
        <v>46174</v>
      </c>
      <c r="S648" s="2">
        <v>45826</v>
      </c>
      <c r="T648" s="1" t="str">
        <f t="shared" si="30"/>
        <v>qua</v>
      </c>
      <c r="U648" s="1" t="str">
        <f t="shared" si="31"/>
        <v>dez</v>
      </c>
      <c r="V648">
        <f t="shared" si="32"/>
        <v>2024</v>
      </c>
      <c r="W648">
        <f>_xlfn.XLOOKUP(A648,Absenteismo!A:A,Absenteismo!A:A,0)</f>
        <v>1193</v>
      </c>
    </row>
    <row r="649" spans="1:23" x14ac:dyDescent="0.3">
      <c r="A649">
        <v>1024</v>
      </c>
      <c r="B649">
        <v>38</v>
      </c>
      <c r="C649" t="s">
        <v>15</v>
      </c>
      <c r="D649" t="s">
        <v>16</v>
      </c>
      <c r="E649" t="s">
        <v>17</v>
      </c>
      <c r="F649" t="s">
        <v>23</v>
      </c>
      <c r="G649">
        <v>86</v>
      </c>
      <c r="H649">
        <v>5257</v>
      </c>
      <c r="I649" t="s">
        <v>33</v>
      </c>
      <c r="J649" s="2">
        <v>43373</v>
      </c>
      <c r="K649">
        <v>21</v>
      </c>
      <c r="L649" t="s">
        <v>25</v>
      </c>
      <c r="M649">
        <v>4</v>
      </c>
      <c r="N649">
        <v>0</v>
      </c>
      <c r="O649">
        <v>5</v>
      </c>
      <c r="P649" t="s">
        <v>25</v>
      </c>
      <c r="Q649" s="1">
        <v>2</v>
      </c>
      <c r="R649" s="2">
        <v>46174</v>
      </c>
      <c r="S649" s="2"/>
      <c r="T649" s="1" t="str">
        <f t="shared" si="30"/>
        <v>dom</v>
      </c>
      <c r="U649" s="1" t="str">
        <f t="shared" si="31"/>
        <v>set</v>
      </c>
      <c r="V649">
        <f t="shared" si="32"/>
        <v>2018</v>
      </c>
      <c r="W649">
        <f>_xlfn.XLOOKUP(A649,Absenteismo!A:A,Absenteismo!A:A,0)</f>
        <v>0</v>
      </c>
    </row>
    <row r="650" spans="1:23" x14ac:dyDescent="0.3">
      <c r="A650">
        <v>1076</v>
      </c>
      <c r="B650">
        <v>38</v>
      </c>
      <c r="C650" t="s">
        <v>15</v>
      </c>
      <c r="D650" t="s">
        <v>31</v>
      </c>
      <c r="E650" t="s">
        <v>32</v>
      </c>
      <c r="F650" t="s">
        <v>21</v>
      </c>
      <c r="G650">
        <v>50</v>
      </c>
      <c r="H650">
        <v>4713</v>
      </c>
      <c r="I650" t="s">
        <v>33</v>
      </c>
      <c r="J650" s="2">
        <v>44535</v>
      </c>
      <c r="K650">
        <v>3</v>
      </c>
      <c r="L650" t="s">
        <v>20</v>
      </c>
      <c r="M650">
        <v>30</v>
      </c>
      <c r="N650">
        <v>11</v>
      </c>
      <c r="O650">
        <v>5</v>
      </c>
      <c r="P650" t="s">
        <v>25</v>
      </c>
      <c r="Q650" s="1">
        <v>1</v>
      </c>
      <c r="R650" s="2">
        <v>46174</v>
      </c>
      <c r="S650" s="2"/>
      <c r="T650" s="1" t="str">
        <f t="shared" si="30"/>
        <v>dom</v>
      </c>
      <c r="U650" s="1" t="str">
        <f t="shared" si="31"/>
        <v>dez</v>
      </c>
      <c r="V650">
        <f t="shared" si="32"/>
        <v>2021</v>
      </c>
      <c r="W650">
        <f>_xlfn.XLOOKUP(A650,Absenteismo!A:A,Absenteismo!A:A,0)</f>
        <v>0</v>
      </c>
    </row>
    <row r="651" spans="1:23" x14ac:dyDescent="0.3">
      <c r="A651">
        <v>1111</v>
      </c>
      <c r="B651">
        <v>38</v>
      </c>
      <c r="C651" t="s">
        <v>15</v>
      </c>
      <c r="D651" t="s">
        <v>22</v>
      </c>
      <c r="E651" t="s">
        <v>17</v>
      </c>
      <c r="F651" t="s">
        <v>21</v>
      </c>
      <c r="G651">
        <v>59</v>
      </c>
      <c r="H651">
        <v>5764</v>
      </c>
      <c r="I651" t="s">
        <v>30</v>
      </c>
      <c r="J651" s="2">
        <v>43955</v>
      </c>
      <c r="K651">
        <v>28</v>
      </c>
      <c r="L651" t="s">
        <v>25</v>
      </c>
      <c r="M651">
        <v>15</v>
      </c>
      <c r="N651">
        <v>6</v>
      </c>
      <c r="O651">
        <v>5</v>
      </c>
      <c r="P651" t="s">
        <v>25</v>
      </c>
      <c r="Q651" s="1">
        <v>2</v>
      </c>
      <c r="R651" s="2">
        <v>46174</v>
      </c>
      <c r="S651" s="2"/>
      <c r="T651" s="1" t="str">
        <f t="shared" si="30"/>
        <v>seg</v>
      </c>
      <c r="U651" s="1" t="str">
        <f t="shared" si="31"/>
        <v>mai</v>
      </c>
      <c r="V651">
        <f t="shared" si="32"/>
        <v>2020</v>
      </c>
      <c r="W651">
        <f>_xlfn.XLOOKUP(A651,Absenteismo!A:A,Absenteismo!A:A,0)</f>
        <v>0</v>
      </c>
    </row>
    <row r="652" spans="1:23" x14ac:dyDescent="0.3">
      <c r="A652">
        <v>1152</v>
      </c>
      <c r="B652">
        <v>38</v>
      </c>
      <c r="C652" t="s">
        <v>26</v>
      </c>
      <c r="D652" t="s">
        <v>31</v>
      </c>
      <c r="E652" t="s">
        <v>32</v>
      </c>
      <c r="F652" t="s">
        <v>18</v>
      </c>
      <c r="G652">
        <v>66</v>
      </c>
      <c r="H652">
        <v>7401</v>
      </c>
      <c r="I652" t="s">
        <v>30</v>
      </c>
      <c r="J652" s="2">
        <v>43798</v>
      </c>
      <c r="K652">
        <v>21</v>
      </c>
      <c r="L652" t="s">
        <v>20</v>
      </c>
      <c r="M652">
        <v>7</v>
      </c>
      <c r="N652">
        <v>4</v>
      </c>
      <c r="O652">
        <v>5</v>
      </c>
      <c r="P652" t="s">
        <v>25</v>
      </c>
      <c r="Q652" s="1">
        <v>3</v>
      </c>
      <c r="R652" s="2">
        <v>46174</v>
      </c>
      <c r="S652" s="2"/>
      <c r="T652" s="1" t="str">
        <f t="shared" si="30"/>
        <v>sex</v>
      </c>
      <c r="U652" s="1" t="str">
        <f t="shared" si="31"/>
        <v>nov</v>
      </c>
      <c r="V652">
        <f t="shared" si="32"/>
        <v>2019</v>
      </c>
      <c r="W652">
        <f>_xlfn.XLOOKUP(A652,Absenteismo!A:A,Absenteismo!A:A,0)</f>
        <v>0</v>
      </c>
    </row>
    <row r="653" spans="1:23" hidden="1" x14ac:dyDescent="0.3">
      <c r="A653">
        <v>1324</v>
      </c>
      <c r="B653">
        <v>38</v>
      </c>
      <c r="C653" t="s">
        <v>15</v>
      </c>
      <c r="D653" t="s">
        <v>16</v>
      </c>
      <c r="E653" t="s">
        <v>17</v>
      </c>
      <c r="F653" t="s">
        <v>23</v>
      </c>
      <c r="G653">
        <v>86</v>
      </c>
      <c r="H653">
        <v>5257</v>
      </c>
      <c r="I653" t="s">
        <v>33</v>
      </c>
      <c r="J653" s="2">
        <v>43446</v>
      </c>
      <c r="K653">
        <v>21</v>
      </c>
      <c r="L653" t="s">
        <v>25</v>
      </c>
      <c r="M653">
        <v>4</v>
      </c>
      <c r="N653">
        <v>0</v>
      </c>
      <c r="O653">
        <v>5</v>
      </c>
      <c r="P653" t="s">
        <v>25</v>
      </c>
      <c r="Q653" s="1">
        <v>2</v>
      </c>
      <c r="R653" s="2">
        <v>46174</v>
      </c>
      <c r="S653" s="2"/>
      <c r="T653" s="1" t="str">
        <f t="shared" si="30"/>
        <v>qua</v>
      </c>
      <c r="U653" s="1" t="str">
        <f t="shared" si="31"/>
        <v>dez</v>
      </c>
      <c r="V653">
        <f t="shared" si="32"/>
        <v>2018</v>
      </c>
      <c r="W653">
        <f>_xlfn.XLOOKUP(A653,Absenteismo!A:A,Absenteismo!A:A,0)</f>
        <v>1324</v>
      </c>
    </row>
    <row r="654" spans="1:23" hidden="1" x14ac:dyDescent="0.3">
      <c r="A654">
        <v>1376</v>
      </c>
      <c r="B654">
        <v>38</v>
      </c>
      <c r="C654" t="s">
        <v>15</v>
      </c>
      <c r="D654" t="s">
        <v>31</v>
      </c>
      <c r="E654" t="s">
        <v>32</v>
      </c>
      <c r="F654" t="s">
        <v>21</v>
      </c>
      <c r="G654">
        <v>50</v>
      </c>
      <c r="H654">
        <v>4713</v>
      </c>
      <c r="I654" t="s">
        <v>33</v>
      </c>
      <c r="J654" s="2">
        <v>44281</v>
      </c>
      <c r="K654">
        <v>3</v>
      </c>
      <c r="L654" t="s">
        <v>20</v>
      </c>
      <c r="M654">
        <v>30</v>
      </c>
      <c r="N654">
        <v>11</v>
      </c>
      <c r="O654">
        <v>5</v>
      </c>
      <c r="P654" t="s">
        <v>25</v>
      </c>
      <c r="Q654" s="1">
        <v>2</v>
      </c>
      <c r="R654" s="2">
        <v>46174</v>
      </c>
      <c r="S654" s="2"/>
      <c r="T654" s="1" t="str">
        <f t="shared" si="30"/>
        <v>sex</v>
      </c>
      <c r="U654" s="1" t="str">
        <f t="shared" si="31"/>
        <v>mar</v>
      </c>
      <c r="V654">
        <f t="shared" si="32"/>
        <v>2021</v>
      </c>
      <c r="W654">
        <f>_xlfn.XLOOKUP(A654,Absenteismo!A:A,Absenteismo!A:A,0)</f>
        <v>1376</v>
      </c>
    </row>
    <row r="655" spans="1:23" hidden="1" x14ac:dyDescent="0.3">
      <c r="A655">
        <v>1411</v>
      </c>
      <c r="B655">
        <v>38</v>
      </c>
      <c r="C655" t="s">
        <v>15</v>
      </c>
      <c r="D655" t="s">
        <v>22</v>
      </c>
      <c r="E655" t="s">
        <v>17</v>
      </c>
      <c r="F655" t="s">
        <v>21</v>
      </c>
      <c r="G655">
        <v>59</v>
      </c>
      <c r="H655">
        <v>5764</v>
      </c>
      <c r="I655" t="s">
        <v>30</v>
      </c>
      <c r="J655" s="2">
        <v>44201</v>
      </c>
      <c r="K655">
        <v>28</v>
      </c>
      <c r="L655" t="s">
        <v>25</v>
      </c>
      <c r="M655">
        <v>15</v>
      </c>
      <c r="N655">
        <v>6</v>
      </c>
      <c r="O655">
        <v>5</v>
      </c>
      <c r="P655" t="s">
        <v>25</v>
      </c>
      <c r="Q655" s="1">
        <v>3</v>
      </c>
      <c r="R655" s="2">
        <v>46174</v>
      </c>
      <c r="S655" s="2"/>
      <c r="T655" s="1" t="str">
        <f t="shared" si="30"/>
        <v>ter</v>
      </c>
      <c r="U655" s="1" t="str">
        <f t="shared" si="31"/>
        <v>jan</v>
      </c>
      <c r="V655">
        <f t="shared" si="32"/>
        <v>2021</v>
      </c>
      <c r="W655">
        <f>_xlfn.XLOOKUP(A655,Absenteismo!A:A,Absenteismo!A:A,0)</f>
        <v>1411</v>
      </c>
    </row>
    <row r="656" spans="1:23" hidden="1" x14ac:dyDescent="0.3">
      <c r="A656">
        <v>1452</v>
      </c>
      <c r="B656">
        <v>38</v>
      </c>
      <c r="C656" t="s">
        <v>26</v>
      </c>
      <c r="D656" t="s">
        <v>31</v>
      </c>
      <c r="E656" t="s">
        <v>32</v>
      </c>
      <c r="F656" t="s">
        <v>18</v>
      </c>
      <c r="G656">
        <v>66</v>
      </c>
      <c r="H656">
        <v>7401</v>
      </c>
      <c r="I656" t="s">
        <v>30</v>
      </c>
      <c r="J656" s="2">
        <v>43965</v>
      </c>
      <c r="K656">
        <v>21</v>
      </c>
      <c r="L656" t="s">
        <v>20</v>
      </c>
      <c r="M656">
        <v>7</v>
      </c>
      <c r="N656">
        <v>4</v>
      </c>
      <c r="O656">
        <v>5</v>
      </c>
      <c r="P656" t="s">
        <v>25</v>
      </c>
      <c r="Q656" s="1">
        <v>2</v>
      </c>
      <c r="R656" s="2">
        <v>46174</v>
      </c>
      <c r="S656" s="2"/>
      <c r="T656" s="1" t="str">
        <f t="shared" si="30"/>
        <v>qui</v>
      </c>
      <c r="U656" s="1" t="str">
        <f t="shared" si="31"/>
        <v>mai</v>
      </c>
      <c r="V656">
        <f t="shared" si="32"/>
        <v>2020</v>
      </c>
      <c r="W656">
        <f>_xlfn.XLOOKUP(A656,Absenteismo!A:A,Absenteismo!A:A,0)</f>
        <v>1452</v>
      </c>
    </row>
    <row r="657" spans="1:23" hidden="1" x14ac:dyDescent="0.3">
      <c r="A657">
        <v>1624</v>
      </c>
      <c r="B657">
        <v>38</v>
      </c>
      <c r="C657" t="s">
        <v>15</v>
      </c>
      <c r="D657" t="s">
        <v>16</v>
      </c>
      <c r="E657" t="s">
        <v>17</v>
      </c>
      <c r="F657" t="s">
        <v>23</v>
      </c>
      <c r="G657">
        <v>86</v>
      </c>
      <c r="H657">
        <v>5257</v>
      </c>
      <c r="I657" t="s">
        <v>33</v>
      </c>
      <c r="J657" s="2">
        <v>43361</v>
      </c>
      <c r="K657">
        <v>21</v>
      </c>
      <c r="L657" t="s">
        <v>25</v>
      </c>
      <c r="M657">
        <v>4</v>
      </c>
      <c r="N657">
        <v>0</v>
      </c>
      <c r="O657">
        <v>5</v>
      </c>
      <c r="P657" t="s">
        <v>25</v>
      </c>
      <c r="Q657" s="1">
        <v>2</v>
      </c>
      <c r="R657" s="2">
        <v>46174</v>
      </c>
      <c r="S657" s="2"/>
      <c r="T657" s="1" t="str">
        <f t="shared" si="30"/>
        <v>ter</v>
      </c>
      <c r="U657" s="1" t="str">
        <f t="shared" si="31"/>
        <v>set</v>
      </c>
      <c r="V657">
        <f t="shared" si="32"/>
        <v>2018</v>
      </c>
      <c r="W657">
        <f>_xlfn.XLOOKUP(A657,Absenteismo!A:A,Absenteismo!A:A,0)</f>
        <v>1624</v>
      </c>
    </row>
    <row r="658" spans="1:23" hidden="1" x14ac:dyDescent="0.3">
      <c r="A658">
        <v>1676</v>
      </c>
      <c r="B658">
        <v>38</v>
      </c>
      <c r="C658" t="s">
        <v>15</v>
      </c>
      <c r="D658" t="s">
        <v>31</v>
      </c>
      <c r="E658" t="s">
        <v>32</v>
      </c>
      <c r="F658" t="s">
        <v>21</v>
      </c>
      <c r="G658">
        <v>50</v>
      </c>
      <c r="H658">
        <v>4713</v>
      </c>
      <c r="I658" t="s">
        <v>33</v>
      </c>
      <c r="J658" s="2">
        <v>44271</v>
      </c>
      <c r="K658">
        <v>3</v>
      </c>
      <c r="L658" t="s">
        <v>20</v>
      </c>
      <c r="M658">
        <v>30</v>
      </c>
      <c r="N658">
        <v>11</v>
      </c>
      <c r="O658">
        <v>5</v>
      </c>
      <c r="P658" t="s">
        <v>25</v>
      </c>
      <c r="Q658" s="1">
        <v>1</v>
      </c>
      <c r="R658" s="2">
        <v>46174</v>
      </c>
      <c r="S658" s="2"/>
      <c r="T658" s="1" t="str">
        <f t="shared" si="30"/>
        <v>ter</v>
      </c>
      <c r="U658" s="1" t="str">
        <f t="shared" si="31"/>
        <v>mar</v>
      </c>
      <c r="V658">
        <f t="shared" si="32"/>
        <v>2021</v>
      </c>
      <c r="W658">
        <f>_xlfn.XLOOKUP(A658,Absenteismo!A:A,Absenteismo!A:A,0)</f>
        <v>1676</v>
      </c>
    </row>
    <row r="659" spans="1:23" hidden="1" x14ac:dyDescent="0.3">
      <c r="A659">
        <v>1711</v>
      </c>
      <c r="B659">
        <v>38</v>
      </c>
      <c r="C659" t="s">
        <v>15</v>
      </c>
      <c r="D659" t="s">
        <v>22</v>
      </c>
      <c r="E659" t="s">
        <v>17</v>
      </c>
      <c r="F659" t="s">
        <v>21</v>
      </c>
      <c r="G659">
        <v>59</v>
      </c>
      <c r="H659">
        <v>5764</v>
      </c>
      <c r="I659" t="s">
        <v>30</v>
      </c>
      <c r="J659" s="2">
        <v>44117</v>
      </c>
      <c r="K659">
        <v>28</v>
      </c>
      <c r="L659" t="s">
        <v>25</v>
      </c>
      <c r="M659">
        <v>15</v>
      </c>
      <c r="N659">
        <v>6</v>
      </c>
      <c r="O659">
        <v>5</v>
      </c>
      <c r="P659" t="s">
        <v>25</v>
      </c>
      <c r="Q659" s="1">
        <v>1</v>
      </c>
      <c r="R659" s="2">
        <v>46174</v>
      </c>
      <c r="S659" s="2"/>
      <c r="T659" s="1" t="str">
        <f t="shared" si="30"/>
        <v>ter</v>
      </c>
      <c r="U659" s="1" t="str">
        <f t="shared" si="31"/>
        <v>out</v>
      </c>
      <c r="V659">
        <f t="shared" si="32"/>
        <v>2020</v>
      </c>
      <c r="W659">
        <f>_xlfn.XLOOKUP(A659,Absenteismo!A:A,Absenteismo!A:A,0)</f>
        <v>1711</v>
      </c>
    </row>
    <row r="660" spans="1:23" hidden="1" x14ac:dyDescent="0.3">
      <c r="A660">
        <v>1752</v>
      </c>
      <c r="B660">
        <v>38</v>
      </c>
      <c r="C660" t="s">
        <v>26</v>
      </c>
      <c r="D660" t="s">
        <v>31</v>
      </c>
      <c r="E660" t="s">
        <v>32</v>
      </c>
      <c r="F660" t="s">
        <v>18</v>
      </c>
      <c r="G660">
        <v>66</v>
      </c>
      <c r="H660">
        <v>7401</v>
      </c>
      <c r="I660" t="s">
        <v>30</v>
      </c>
      <c r="J660" s="2">
        <v>43839</v>
      </c>
      <c r="K660">
        <v>21</v>
      </c>
      <c r="L660" t="s">
        <v>20</v>
      </c>
      <c r="M660">
        <v>7</v>
      </c>
      <c r="N660">
        <v>4</v>
      </c>
      <c r="O660">
        <v>5</v>
      </c>
      <c r="P660" t="s">
        <v>25</v>
      </c>
      <c r="Q660" s="1">
        <v>2</v>
      </c>
      <c r="R660" s="2">
        <v>46174</v>
      </c>
      <c r="S660" s="2"/>
      <c r="T660" s="1" t="str">
        <f t="shared" si="30"/>
        <v>qui</v>
      </c>
      <c r="U660" s="1" t="str">
        <f t="shared" si="31"/>
        <v>jan</v>
      </c>
      <c r="V660">
        <f t="shared" si="32"/>
        <v>2020</v>
      </c>
      <c r="W660">
        <f>_xlfn.XLOOKUP(A660,Absenteismo!A:A,Absenteismo!A:A,0)</f>
        <v>1752</v>
      </c>
    </row>
    <row r="661" spans="1:23" hidden="1" x14ac:dyDescent="0.3">
      <c r="A661">
        <v>1924</v>
      </c>
      <c r="B661">
        <v>38</v>
      </c>
      <c r="C661" t="s">
        <v>15</v>
      </c>
      <c r="D661" t="s">
        <v>16</v>
      </c>
      <c r="E661" t="s">
        <v>17</v>
      </c>
      <c r="F661" t="s">
        <v>23</v>
      </c>
      <c r="G661">
        <v>86</v>
      </c>
      <c r="H661">
        <v>5257</v>
      </c>
      <c r="I661" t="s">
        <v>33</v>
      </c>
      <c r="J661" s="2">
        <v>43376</v>
      </c>
      <c r="K661">
        <v>21</v>
      </c>
      <c r="L661" t="s">
        <v>25</v>
      </c>
      <c r="M661">
        <v>4</v>
      </c>
      <c r="N661">
        <v>0</v>
      </c>
      <c r="O661">
        <v>5</v>
      </c>
      <c r="P661" t="s">
        <v>25</v>
      </c>
      <c r="Q661" s="1">
        <v>2</v>
      </c>
      <c r="R661" s="2">
        <v>46174</v>
      </c>
      <c r="S661" s="2"/>
      <c r="T661" s="1" t="str">
        <f t="shared" si="30"/>
        <v>qua</v>
      </c>
      <c r="U661" s="1" t="str">
        <f t="shared" si="31"/>
        <v>out</v>
      </c>
      <c r="V661">
        <f t="shared" si="32"/>
        <v>2018</v>
      </c>
      <c r="W661">
        <f>_xlfn.XLOOKUP(A661,Absenteismo!A:A,Absenteismo!A:A,0)</f>
        <v>1924</v>
      </c>
    </row>
    <row r="662" spans="1:23" hidden="1" x14ac:dyDescent="0.3">
      <c r="A662">
        <v>1976</v>
      </c>
      <c r="B662">
        <v>38</v>
      </c>
      <c r="C662" t="s">
        <v>15</v>
      </c>
      <c r="D662" t="s">
        <v>31</v>
      </c>
      <c r="E662" t="s">
        <v>32</v>
      </c>
      <c r="F662" t="s">
        <v>21</v>
      </c>
      <c r="G662">
        <v>50</v>
      </c>
      <c r="H662">
        <v>4713</v>
      </c>
      <c r="I662" t="s">
        <v>33</v>
      </c>
      <c r="J662" s="2">
        <v>44480</v>
      </c>
      <c r="K662">
        <v>3</v>
      </c>
      <c r="L662" t="s">
        <v>20</v>
      </c>
      <c r="M662">
        <v>30</v>
      </c>
      <c r="N662">
        <v>11</v>
      </c>
      <c r="O662">
        <v>5</v>
      </c>
      <c r="P662" t="s">
        <v>25</v>
      </c>
      <c r="Q662" s="1">
        <v>2</v>
      </c>
      <c r="R662" s="2">
        <v>46174</v>
      </c>
      <c r="S662" s="2"/>
      <c r="T662" s="1" t="str">
        <f t="shared" si="30"/>
        <v>seg</v>
      </c>
      <c r="U662" s="1" t="str">
        <f t="shared" si="31"/>
        <v>out</v>
      </c>
      <c r="V662">
        <f t="shared" si="32"/>
        <v>2021</v>
      </c>
      <c r="W662">
        <f>_xlfn.XLOOKUP(A662,Absenteismo!A:A,Absenteismo!A:A,0)</f>
        <v>1976</v>
      </c>
    </row>
    <row r="663" spans="1:23" hidden="1" x14ac:dyDescent="0.3">
      <c r="A663">
        <v>2011</v>
      </c>
      <c r="B663">
        <v>38</v>
      </c>
      <c r="C663" t="s">
        <v>15</v>
      </c>
      <c r="D663" t="s">
        <v>22</v>
      </c>
      <c r="E663" t="s">
        <v>17</v>
      </c>
      <c r="F663" t="s">
        <v>21</v>
      </c>
      <c r="G663">
        <v>59</v>
      </c>
      <c r="H663">
        <v>5764</v>
      </c>
      <c r="I663" t="s">
        <v>30</v>
      </c>
      <c r="J663" s="2">
        <v>44337</v>
      </c>
      <c r="K663">
        <v>28</v>
      </c>
      <c r="L663" t="s">
        <v>25</v>
      </c>
      <c r="M663">
        <v>15</v>
      </c>
      <c r="N663">
        <v>6</v>
      </c>
      <c r="O663">
        <v>5</v>
      </c>
      <c r="P663" t="s">
        <v>25</v>
      </c>
      <c r="Q663" s="1">
        <v>2</v>
      </c>
      <c r="R663" s="2">
        <v>46174</v>
      </c>
      <c r="S663" s="2"/>
      <c r="T663" s="1" t="str">
        <f t="shared" si="30"/>
        <v>sex</v>
      </c>
      <c r="U663" s="1" t="str">
        <f t="shared" si="31"/>
        <v>mai</v>
      </c>
      <c r="V663">
        <f t="shared" si="32"/>
        <v>2021</v>
      </c>
      <c r="W663">
        <f>_xlfn.XLOOKUP(A663,Absenteismo!A:A,Absenteismo!A:A,0)</f>
        <v>2011</v>
      </c>
    </row>
    <row r="664" spans="1:23" hidden="1" x14ac:dyDescent="0.3">
      <c r="A664">
        <v>2052</v>
      </c>
      <c r="B664">
        <v>38</v>
      </c>
      <c r="C664" t="s">
        <v>26</v>
      </c>
      <c r="D664" t="s">
        <v>31</v>
      </c>
      <c r="E664" t="s">
        <v>32</v>
      </c>
      <c r="F664" t="s">
        <v>18</v>
      </c>
      <c r="G664">
        <v>66</v>
      </c>
      <c r="H664">
        <v>7401</v>
      </c>
      <c r="I664" t="s">
        <v>30</v>
      </c>
      <c r="J664" s="2">
        <v>43829</v>
      </c>
      <c r="K664">
        <v>21</v>
      </c>
      <c r="L664" t="s">
        <v>20</v>
      </c>
      <c r="M664">
        <v>7</v>
      </c>
      <c r="N664">
        <v>4</v>
      </c>
      <c r="O664">
        <v>5</v>
      </c>
      <c r="P664" t="s">
        <v>25</v>
      </c>
      <c r="Q664" s="1">
        <v>1</v>
      </c>
      <c r="R664" s="2">
        <v>46174</v>
      </c>
      <c r="S664" s="2"/>
      <c r="T664" s="1" t="str">
        <f t="shared" si="30"/>
        <v>seg</v>
      </c>
      <c r="U664" s="1" t="str">
        <f t="shared" si="31"/>
        <v>dez</v>
      </c>
      <c r="V664">
        <f t="shared" si="32"/>
        <v>2019</v>
      </c>
      <c r="W664">
        <f>_xlfn.XLOOKUP(A664,Absenteismo!A:A,Absenteismo!A:A,0)</f>
        <v>2052</v>
      </c>
    </row>
    <row r="665" spans="1:23" hidden="1" x14ac:dyDescent="0.3">
      <c r="A665">
        <v>2093</v>
      </c>
      <c r="B665">
        <v>38</v>
      </c>
      <c r="C665" t="s">
        <v>15</v>
      </c>
      <c r="D665" t="s">
        <v>29</v>
      </c>
      <c r="E665" t="s">
        <v>17</v>
      </c>
      <c r="F665" t="s">
        <v>18</v>
      </c>
      <c r="G665">
        <v>6</v>
      </c>
      <c r="H665">
        <v>7408</v>
      </c>
      <c r="I665" t="s">
        <v>19</v>
      </c>
      <c r="J665" s="2">
        <v>45993</v>
      </c>
      <c r="K665">
        <v>48</v>
      </c>
      <c r="L665" t="s">
        <v>20</v>
      </c>
      <c r="M665">
        <v>16</v>
      </c>
      <c r="N665">
        <v>8</v>
      </c>
      <c r="O665">
        <v>5</v>
      </c>
      <c r="P665" t="s">
        <v>25</v>
      </c>
      <c r="Q665" s="1">
        <v>3</v>
      </c>
      <c r="R665" s="2">
        <v>46174</v>
      </c>
      <c r="S665" s="2"/>
      <c r="T665" s="1" t="str">
        <f t="shared" si="30"/>
        <v>ter</v>
      </c>
      <c r="U665" s="1" t="str">
        <f t="shared" si="31"/>
        <v>dez</v>
      </c>
      <c r="V665">
        <f t="shared" si="32"/>
        <v>2025</v>
      </c>
      <c r="W665">
        <f>_xlfn.XLOOKUP(A665,Absenteismo!A:A,Absenteismo!A:A,0)</f>
        <v>2093</v>
      </c>
    </row>
    <row r="666" spans="1:23" hidden="1" x14ac:dyDescent="0.3">
      <c r="A666">
        <v>1434</v>
      </c>
      <c r="B666">
        <v>39</v>
      </c>
      <c r="C666" t="s">
        <v>15</v>
      </c>
      <c r="D666" t="s">
        <v>22</v>
      </c>
      <c r="E666" t="s">
        <v>17</v>
      </c>
      <c r="F666" t="s">
        <v>21</v>
      </c>
      <c r="G666">
        <v>60</v>
      </c>
      <c r="H666">
        <v>6720</v>
      </c>
      <c r="I666" t="s">
        <v>19</v>
      </c>
      <c r="J666" s="2">
        <v>44032</v>
      </c>
      <c r="K666">
        <v>52</v>
      </c>
      <c r="L666" t="s">
        <v>20</v>
      </c>
      <c r="M666">
        <v>29</v>
      </c>
      <c r="N666">
        <v>0</v>
      </c>
      <c r="O666">
        <v>4</v>
      </c>
      <c r="P666" t="s">
        <v>20</v>
      </c>
      <c r="Q666" s="1">
        <v>2</v>
      </c>
      <c r="R666" s="2">
        <v>46174</v>
      </c>
      <c r="S666" s="2">
        <v>45858</v>
      </c>
      <c r="T666" s="1" t="str">
        <f t="shared" si="30"/>
        <v>seg</v>
      </c>
      <c r="U666" s="1" t="str">
        <f t="shared" si="31"/>
        <v>jul</v>
      </c>
      <c r="V666">
        <f t="shared" si="32"/>
        <v>2020</v>
      </c>
      <c r="W666">
        <f>_xlfn.XLOOKUP(A666,Absenteismo!A:A,Absenteismo!A:A,0)</f>
        <v>1434</v>
      </c>
    </row>
    <row r="667" spans="1:23" hidden="1" x14ac:dyDescent="0.3">
      <c r="A667">
        <v>1134</v>
      </c>
      <c r="B667">
        <v>39</v>
      </c>
      <c r="C667" t="s">
        <v>15</v>
      </c>
      <c r="D667" t="s">
        <v>22</v>
      </c>
      <c r="E667" t="s">
        <v>17</v>
      </c>
      <c r="F667" t="s">
        <v>21</v>
      </c>
      <c r="G667">
        <v>60</v>
      </c>
      <c r="H667">
        <v>6720</v>
      </c>
      <c r="I667" t="s">
        <v>19</v>
      </c>
      <c r="J667" s="2">
        <v>44043</v>
      </c>
      <c r="K667">
        <v>55</v>
      </c>
      <c r="L667" t="s">
        <v>20</v>
      </c>
      <c r="M667">
        <v>29</v>
      </c>
      <c r="N667">
        <v>0</v>
      </c>
      <c r="O667">
        <v>4</v>
      </c>
      <c r="P667" t="s">
        <v>20</v>
      </c>
      <c r="Q667" s="1">
        <v>1</v>
      </c>
      <c r="R667" s="2">
        <v>46174</v>
      </c>
      <c r="S667" s="2">
        <v>45869</v>
      </c>
      <c r="T667" s="1" t="str">
        <f t="shared" si="30"/>
        <v>sex</v>
      </c>
      <c r="U667" s="1" t="str">
        <f t="shared" si="31"/>
        <v>jul</v>
      </c>
      <c r="V667">
        <f t="shared" si="32"/>
        <v>2020</v>
      </c>
      <c r="W667">
        <f>_xlfn.XLOOKUP(A667,Absenteismo!A:A,Absenteismo!A:A,0)</f>
        <v>1134</v>
      </c>
    </row>
    <row r="668" spans="1:23" hidden="1" x14ac:dyDescent="0.3">
      <c r="A668">
        <v>1734</v>
      </c>
      <c r="B668">
        <v>39</v>
      </c>
      <c r="C668" t="s">
        <v>15</v>
      </c>
      <c r="D668" t="s">
        <v>22</v>
      </c>
      <c r="E668" t="s">
        <v>17</v>
      </c>
      <c r="F668" t="s">
        <v>21</v>
      </c>
      <c r="G668">
        <v>60</v>
      </c>
      <c r="H668">
        <v>6720</v>
      </c>
      <c r="I668" t="s">
        <v>19</v>
      </c>
      <c r="J668" s="2">
        <v>44051</v>
      </c>
      <c r="K668">
        <v>52</v>
      </c>
      <c r="L668" t="s">
        <v>20</v>
      </c>
      <c r="M668">
        <v>29</v>
      </c>
      <c r="N668">
        <v>0</v>
      </c>
      <c r="O668">
        <v>4</v>
      </c>
      <c r="P668" t="s">
        <v>20</v>
      </c>
      <c r="Q668" s="1">
        <v>2</v>
      </c>
      <c r="R668" s="2">
        <v>46174</v>
      </c>
      <c r="S668" s="2">
        <v>45877</v>
      </c>
      <c r="T668" s="1" t="str">
        <f t="shared" si="30"/>
        <v>sáb</v>
      </c>
      <c r="U668" s="1" t="str">
        <f t="shared" si="31"/>
        <v>ago</v>
      </c>
      <c r="V668">
        <f t="shared" si="32"/>
        <v>2020</v>
      </c>
      <c r="W668">
        <f>_xlfn.XLOOKUP(A668,Absenteismo!A:A,Absenteismo!A:A,0)</f>
        <v>1734</v>
      </c>
    </row>
    <row r="669" spans="1:23" x14ac:dyDescent="0.3">
      <c r="A669">
        <v>1088</v>
      </c>
      <c r="B669">
        <v>39</v>
      </c>
      <c r="C669" t="s">
        <v>15</v>
      </c>
      <c r="D669" t="s">
        <v>29</v>
      </c>
      <c r="E669" t="s">
        <v>17</v>
      </c>
      <c r="F669" t="s">
        <v>23</v>
      </c>
      <c r="G669">
        <v>19</v>
      </c>
      <c r="H669">
        <v>4648</v>
      </c>
      <c r="I669" t="s">
        <v>33</v>
      </c>
      <c r="J669" s="2">
        <v>45345</v>
      </c>
      <c r="K669">
        <v>55</v>
      </c>
      <c r="L669" t="s">
        <v>25</v>
      </c>
      <c r="M669">
        <v>23</v>
      </c>
      <c r="N669">
        <v>1</v>
      </c>
      <c r="O669">
        <v>5</v>
      </c>
      <c r="P669" t="s">
        <v>20</v>
      </c>
      <c r="Q669" s="1">
        <v>3</v>
      </c>
      <c r="R669" s="2">
        <v>46174</v>
      </c>
      <c r="S669" s="2">
        <v>45923</v>
      </c>
      <c r="T669" s="1" t="str">
        <f t="shared" si="30"/>
        <v>sex</v>
      </c>
      <c r="U669" s="1" t="str">
        <f t="shared" si="31"/>
        <v>fev</v>
      </c>
      <c r="V669">
        <f t="shared" si="32"/>
        <v>2024</v>
      </c>
      <c r="W669">
        <f>_xlfn.XLOOKUP(A669,Absenteismo!A:A,Absenteismo!A:A,0)</f>
        <v>0</v>
      </c>
    </row>
    <row r="670" spans="1:23" hidden="1" x14ac:dyDescent="0.3">
      <c r="A670">
        <v>1688</v>
      </c>
      <c r="B670">
        <v>39</v>
      </c>
      <c r="C670" t="s">
        <v>15</v>
      </c>
      <c r="D670" t="s">
        <v>29</v>
      </c>
      <c r="E670" t="s">
        <v>17</v>
      </c>
      <c r="F670" t="s">
        <v>23</v>
      </c>
      <c r="G670">
        <v>19</v>
      </c>
      <c r="H670">
        <v>4648</v>
      </c>
      <c r="I670" t="s">
        <v>33</v>
      </c>
      <c r="J670" s="2">
        <v>45534</v>
      </c>
      <c r="K670">
        <v>55</v>
      </c>
      <c r="L670" t="s">
        <v>25</v>
      </c>
      <c r="M670">
        <v>23</v>
      </c>
      <c r="N670">
        <v>1</v>
      </c>
      <c r="O670">
        <v>5</v>
      </c>
      <c r="P670" t="s">
        <v>20</v>
      </c>
      <c r="Q670" s="1">
        <v>2</v>
      </c>
      <c r="R670" s="2">
        <v>46174</v>
      </c>
      <c r="S670" s="2">
        <v>46111</v>
      </c>
      <c r="T670" s="1" t="str">
        <f t="shared" si="30"/>
        <v>sex</v>
      </c>
      <c r="U670" s="1" t="str">
        <f t="shared" si="31"/>
        <v>ago</v>
      </c>
      <c r="V670">
        <f t="shared" si="32"/>
        <v>2024</v>
      </c>
      <c r="W670">
        <f>_xlfn.XLOOKUP(A670,Absenteismo!A:A,Absenteismo!A:A,0)</f>
        <v>1688</v>
      </c>
    </row>
    <row r="671" spans="1:23" hidden="1" x14ac:dyDescent="0.3">
      <c r="A671">
        <v>1388</v>
      </c>
      <c r="B671">
        <v>39</v>
      </c>
      <c r="C671" t="s">
        <v>15</v>
      </c>
      <c r="D671" t="s">
        <v>29</v>
      </c>
      <c r="E671" t="s">
        <v>17</v>
      </c>
      <c r="F671" t="s">
        <v>23</v>
      </c>
      <c r="G671">
        <v>19</v>
      </c>
      <c r="H671">
        <v>4648</v>
      </c>
      <c r="I671" t="s">
        <v>33</v>
      </c>
      <c r="J671" s="2">
        <v>45625</v>
      </c>
      <c r="K671">
        <v>40</v>
      </c>
      <c r="L671" t="s">
        <v>25</v>
      </c>
      <c r="M671">
        <v>23</v>
      </c>
      <c r="N671">
        <v>1</v>
      </c>
      <c r="O671">
        <v>5</v>
      </c>
      <c r="P671" t="s">
        <v>20</v>
      </c>
      <c r="Q671" s="1">
        <v>3</v>
      </c>
      <c r="R671" s="2">
        <v>46174</v>
      </c>
      <c r="S671" s="2">
        <v>46202</v>
      </c>
      <c r="T671" s="1" t="str">
        <f t="shared" si="30"/>
        <v>sex</v>
      </c>
      <c r="U671" s="1" t="str">
        <f t="shared" si="31"/>
        <v>nov</v>
      </c>
      <c r="V671">
        <f t="shared" si="32"/>
        <v>2024</v>
      </c>
      <c r="W671">
        <f>_xlfn.XLOOKUP(A671,Absenteismo!A:A,Absenteismo!A:A,0)</f>
        <v>1388</v>
      </c>
    </row>
    <row r="672" spans="1:23" x14ac:dyDescent="0.3">
      <c r="A672">
        <v>1119</v>
      </c>
      <c r="B672">
        <v>39</v>
      </c>
      <c r="C672" t="s">
        <v>15</v>
      </c>
      <c r="D672" t="s">
        <v>22</v>
      </c>
      <c r="E672" t="s">
        <v>17</v>
      </c>
      <c r="F672" t="s">
        <v>21</v>
      </c>
      <c r="G672">
        <v>43</v>
      </c>
      <c r="H672">
        <v>3339</v>
      </c>
      <c r="I672" t="s">
        <v>24</v>
      </c>
      <c r="J672" s="2">
        <v>44507</v>
      </c>
      <c r="K672">
        <v>7</v>
      </c>
      <c r="L672" t="s">
        <v>20</v>
      </c>
      <c r="M672">
        <v>24</v>
      </c>
      <c r="N672">
        <v>4</v>
      </c>
      <c r="O672">
        <v>4</v>
      </c>
      <c r="P672" t="s">
        <v>25</v>
      </c>
      <c r="Q672" s="1">
        <v>1</v>
      </c>
      <c r="R672" s="2">
        <v>46174</v>
      </c>
      <c r="S672" s="2"/>
      <c r="T672" s="1" t="str">
        <f t="shared" si="30"/>
        <v>dom</v>
      </c>
      <c r="U672" s="1" t="str">
        <f t="shared" si="31"/>
        <v>nov</v>
      </c>
      <c r="V672">
        <f t="shared" si="32"/>
        <v>2021</v>
      </c>
      <c r="W672">
        <f>_xlfn.XLOOKUP(A672,Absenteismo!A:A,Absenteismo!A:A,0)</f>
        <v>0</v>
      </c>
    </row>
    <row r="673" spans="1:23" hidden="1" x14ac:dyDescent="0.3">
      <c r="A673">
        <v>1240</v>
      </c>
      <c r="B673">
        <v>39</v>
      </c>
      <c r="C673" t="s">
        <v>15</v>
      </c>
      <c r="D673" t="s">
        <v>31</v>
      </c>
      <c r="E673" t="s">
        <v>34</v>
      </c>
      <c r="F673" t="s">
        <v>21</v>
      </c>
      <c r="G673">
        <v>17</v>
      </c>
      <c r="H673">
        <v>6713</v>
      </c>
      <c r="I673" t="s">
        <v>30</v>
      </c>
      <c r="J673" s="2">
        <v>45540</v>
      </c>
      <c r="K673">
        <v>15</v>
      </c>
      <c r="L673" t="s">
        <v>20</v>
      </c>
      <c r="M673">
        <v>6</v>
      </c>
      <c r="N673">
        <v>1</v>
      </c>
      <c r="O673">
        <v>4</v>
      </c>
      <c r="P673" t="s">
        <v>25</v>
      </c>
      <c r="Q673" s="1">
        <v>2</v>
      </c>
      <c r="R673" s="2">
        <v>46174</v>
      </c>
      <c r="S673" s="2"/>
      <c r="T673" s="1" t="str">
        <f t="shared" si="30"/>
        <v>qui</v>
      </c>
      <c r="U673" s="1" t="str">
        <f t="shared" si="31"/>
        <v>set</v>
      </c>
      <c r="V673">
        <f t="shared" si="32"/>
        <v>2024</v>
      </c>
      <c r="W673">
        <f>_xlfn.XLOOKUP(A673,Absenteismo!A:A,Absenteismo!A:A,0)</f>
        <v>1240</v>
      </c>
    </row>
    <row r="674" spans="1:23" x14ac:dyDescent="0.3">
      <c r="A674">
        <v>1291</v>
      </c>
      <c r="B674">
        <v>39</v>
      </c>
      <c r="C674" t="s">
        <v>15</v>
      </c>
      <c r="D674" t="s">
        <v>16</v>
      </c>
      <c r="E674" t="s">
        <v>17</v>
      </c>
      <c r="F674" t="s">
        <v>18</v>
      </c>
      <c r="G674">
        <v>118</v>
      </c>
      <c r="H674">
        <v>5000</v>
      </c>
      <c r="I674" t="s">
        <v>24</v>
      </c>
      <c r="J674" s="2">
        <v>42493</v>
      </c>
      <c r="K674">
        <v>2</v>
      </c>
      <c r="L674" t="s">
        <v>20</v>
      </c>
      <c r="M674">
        <v>19</v>
      </c>
      <c r="N674">
        <v>4</v>
      </c>
      <c r="O674">
        <v>4</v>
      </c>
      <c r="P674" t="s">
        <v>25</v>
      </c>
      <c r="Q674" s="1">
        <v>2</v>
      </c>
      <c r="R674" s="2">
        <v>46174</v>
      </c>
      <c r="S674" s="2"/>
      <c r="T674" s="1" t="str">
        <f t="shared" si="30"/>
        <v>ter</v>
      </c>
      <c r="U674" s="1" t="str">
        <f t="shared" si="31"/>
        <v>mai</v>
      </c>
      <c r="V674">
        <f t="shared" si="32"/>
        <v>2016</v>
      </c>
      <c r="W674">
        <f>_xlfn.XLOOKUP(A674,Absenteismo!A:A,Absenteismo!A:A,0)</f>
        <v>0</v>
      </c>
    </row>
    <row r="675" spans="1:23" hidden="1" x14ac:dyDescent="0.3">
      <c r="A675">
        <v>1300</v>
      </c>
      <c r="B675">
        <v>39</v>
      </c>
      <c r="C675" t="s">
        <v>26</v>
      </c>
      <c r="D675" t="s">
        <v>27</v>
      </c>
      <c r="E675" t="s">
        <v>17</v>
      </c>
      <c r="F675" t="s">
        <v>18</v>
      </c>
      <c r="G675">
        <v>34</v>
      </c>
      <c r="H675">
        <v>5247</v>
      </c>
      <c r="I675" t="s">
        <v>19</v>
      </c>
      <c r="J675" s="2">
        <v>44729</v>
      </c>
      <c r="K675">
        <v>10</v>
      </c>
      <c r="L675" t="s">
        <v>20</v>
      </c>
      <c r="M675">
        <v>15</v>
      </c>
      <c r="N675">
        <v>0</v>
      </c>
      <c r="O675">
        <v>5</v>
      </c>
      <c r="P675" t="s">
        <v>25</v>
      </c>
      <c r="Q675" s="1">
        <v>3</v>
      </c>
      <c r="R675" s="2">
        <v>46174</v>
      </c>
      <c r="S675" s="2"/>
      <c r="T675" s="1" t="str">
        <f t="shared" si="30"/>
        <v>sex</v>
      </c>
      <c r="U675" s="1" t="str">
        <f t="shared" si="31"/>
        <v>jun</v>
      </c>
      <c r="V675">
        <f t="shared" si="32"/>
        <v>2022</v>
      </c>
      <c r="W675">
        <f>_xlfn.XLOOKUP(A675,Absenteismo!A:A,Absenteismo!A:A,0)</f>
        <v>1300</v>
      </c>
    </row>
    <row r="676" spans="1:23" x14ac:dyDescent="0.3">
      <c r="A676">
        <v>1419</v>
      </c>
      <c r="B676">
        <v>39</v>
      </c>
      <c r="C676" t="s">
        <v>15</v>
      </c>
      <c r="D676" t="s">
        <v>22</v>
      </c>
      <c r="E676" t="s">
        <v>17</v>
      </c>
      <c r="F676" t="s">
        <v>21</v>
      </c>
      <c r="G676">
        <v>43</v>
      </c>
      <c r="H676">
        <v>3339</v>
      </c>
      <c r="I676" t="s">
        <v>24</v>
      </c>
      <c r="J676" s="2">
        <v>44726</v>
      </c>
      <c r="K676">
        <v>7</v>
      </c>
      <c r="L676" t="s">
        <v>20</v>
      </c>
      <c r="M676">
        <v>24</v>
      </c>
      <c r="N676">
        <v>4</v>
      </c>
      <c r="O676">
        <v>4</v>
      </c>
      <c r="P676" t="s">
        <v>25</v>
      </c>
      <c r="Q676" s="1">
        <v>1</v>
      </c>
      <c r="R676" s="2">
        <v>46174</v>
      </c>
      <c r="S676" s="2"/>
      <c r="T676" s="1" t="str">
        <f t="shared" si="30"/>
        <v>ter</v>
      </c>
      <c r="U676" s="1" t="str">
        <f t="shared" si="31"/>
        <v>jun</v>
      </c>
      <c r="V676">
        <f t="shared" si="32"/>
        <v>2022</v>
      </c>
      <c r="W676">
        <f>_xlfn.XLOOKUP(A676,Absenteismo!A:A,Absenteismo!A:A,0)</f>
        <v>0</v>
      </c>
    </row>
    <row r="677" spans="1:23" hidden="1" x14ac:dyDescent="0.3">
      <c r="A677">
        <v>1540</v>
      </c>
      <c r="B677">
        <v>39</v>
      </c>
      <c r="C677" t="s">
        <v>15</v>
      </c>
      <c r="D677" t="s">
        <v>31</v>
      </c>
      <c r="E677" t="s">
        <v>34</v>
      </c>
      <c r="F677" t="s">
        <v>21</v>
      </c>
      <c r="G677">
        <v>17</v>
      </c>
      <c r="H677">
        <v>6713</v>
      </c>
      <c r="I677" t="s">
        <v>30</v>
      </c>
      <c r="J677" s="2">
        <v>45618</v>
      </c>
      <c r="K677">
        <v>15</v>
      </c>
      <c r="L677" t="s">
        <v>20</v>
      </c>
      <c r="M677">
        <v>6</v>
      </c>
      <c r="N677">
        <v>1</v>
      </c>
      <c r="O677">
        <v>4</v>
      </c>
      <c r="P677" t="s">
        <v>25</v>
      </c>
      <c r="Q677" s="1">
        <v>3</v>
      </c>
      <c r="R677" s="2">
        <v>46174</v>
      </c>
      <c r="S677" s="2"/>
      <c r="T677" s="1" t="str">
        <f t="shared" si="30"/>
        <v>sex</v>
      </c>
      <c r="U677" s="1" t="str">
        <f t="shared" si="31"/>
        <v>nov</v>
      </c>
      <c r="V677">
        <f t="shared" si="32"/>
        <v>2024</v>
      </c>
      <c r="W677">
        <f>_xlfn.XLOOKUP(A677,Absenteismo!A:A,Absenteismo!A:A,0)</f>
        <v>1540</v>
      </c>
    </row>
    <row r="678" spans="1:23" x14ac:dyDescent="0.3">
      <c r="A678">
        <v>1591</v>
      </c>
      <c r="B678">
        <v>39</v>
      </c>
      <c r="C678" t="s">
        <v>15</v>
      </c>
      <c r="D678" t="s">
        <v>16</v>
      </c>
      <c r="E678" t="s">
        <v>17</v>
      </c>
      <c r="F678" t="s">
        <v>18</v>
      </c>
      <c r="G678">
        <v>118</v>
      </c>
      <c r="H678">
        <v>5000</v>
      </c>
      <c r="I678" t="s">
        <v>24</v>
      </c>
      <c r="J678" s="2">
        <v>42211</v>
      </c>
      <c r="K678">
        <v>2</v>
      </c>
      <c r="L678" t="s">
        <v>20</v>
      </c>
      <c r="M678">
        <v>19</v>
      </c>
      <c r="N678">
        <v>4</v>
      </c>
      <c r="O678">
        <v>4</v>
      </c>
      <c r="P678" t="s">
        <v>25</v>
      </c>
      <c r="Q678" s="1">
        <v>3</v>
      </c>
      <c r="R678" s="2">
        <v>46174</v>
      </c>
      <c r="S678" s="2"/>
      <c r="T678" s="1" t="str">
        <f t="shared" si="30"/>
        <v>dom</v>
      </c>
      <c r="U678" s="1" t="str">
        <f t="shared" si="31"/>
        <v>jul</v>
      </c>
      <c r="V678">
        <f t="shared" si="32"/>
        <v>2015</v>
      </c>
      <c r="W678">
        <f>_xlfn.XLOOKUP(A678,Absenteismo!A:A,Absenteismo!A:A,0)</f>
        <v>0</v>
      </c>
    </row>
    <row r="679" spans="1:23" hidden="1" x14ac:dyDescent="0.3">
      <c r="A679">
        <v>1600</v>
      </c>
      <c r="B679">
        <v>39</v>
      </c>
      <c r="C679" t="s">
        <v>26</v>
      </c>
      <c r="D679" t="s">
        <v>27</v>
      </c>
      <c r="E679" t="s">
        <v>17</v>
      </c>
      <c r="F679" t="s">
        <v>18</v>
      </c>
      <c r="G679">
        <v>34</v>
      </c>
      <c r="H679">
        <v>5247</v>
      </c>
      <c r="I679" t="s">
        <v>19</v>
      </c>
      <c r="J679" s="2">
        <v>44953</v>
      </c>
      <c r="K679">
        <v>10</v>
      </c>
      <c r="L679" t="s">
        <v>20</v>
      </c>
      <c r="M679">
        <v>15</v>
      </c>
      <c r="N679">
        <v>0</v>
      </c>
      <c r="O679">
        <v>5</v>
      </c>
      <c r="P679" t="s">
        <v>25</v>
      </c>
      <c r="Q679" s="1">
        <v>1</v>
      </c>
      <c r="R679" s="2">
        <v>46174</v>
      </c>
      <c r="S679" s="2"/>
      <c r="T679" s="1" t="str">
        <f t="shared" si="30"/>
        <v>sex</v>
      </c>
      <c r="U679" s="1" t="str">
        <f t="shared" si="31"/>
        <v>jan</v>
      </c>
      <c r="V679">
        <f t="shared" si="32"/>
        <v>2023</v>
      </c>
      <c r="W679">
        <f>_xlfn.XLOOKUP(A679,Absenteismo!A:A,Absenteismo!A:A,0)</f>
        <v>1600</v>
      </c>
    </row>
    <row r="680" spans="1:23" x14ac:dyDescent="0.3">
      <c r="A680">
        <v>1719</v>
      </c>
      <c r="B680">
        <v>39</v>
      </c>
      <c r="C680" t="s">
        <v>15</v>
      </c>
      <c r="D680" t="s">
        <v>22</v>
      </c>
      <c r="E680" t="s">
        <v>17</v>
      </c>
      <c r="F680" t="s">
        <v>21</v>
      </c>
      <c r="G680">
        <v>43</v>
      </c>
      <c r="H680">
        <v>3339</v>
      </c>
      <c r="I680" t="s">
        <v>24</v>
      </c>
      <c r="J680" s="2">
        <v>44535</v>
      </c>
      <c r="K680">
        <v>7</v>
      </c>
      <c r="L680" t="s">
        <v>20</v>
      </c>
      <c r="M680">
        <v>24</v>
      </c>
      <c r="N680">
        <v>4</v>
      </c>
      <c r="O680">
        <v>4</v>
      </c>
      <c r="P680" t="s">
        <v>25</v>
      </c>
      <c r="Q680" s="1">
        <v>1</v>
      </c>
      <c r="R680" s="2">
        <v>46174</v>
      </c>
      <c r="S680" s="2"/>
      <c r="T680" s="1" t="str">
        <f t="shared" si="30"/>
        <v>dom</v>
      </c>
      <c r="U680" s="1" t="str">
        <f t="shared" si="31"/>
        <v>dez</v>
      </c>
      <c r="V680">
        <f t="shared" si="32"/>
        <v>2021</v>
      </c>
      <c r="W680">
        <f>_xlfn.XLOOKUP(A680,Absenteismo!A:A,Absenteismo!A:A,0)</f>
        <v>0</v>
      </c>
    </row>
    <row r="681" spans="1:23" hidden="1" x14ac:dyDescent="0.3">
      <c r="A681">
        <v>1840</v>
      </c>
      <c r="B681">
        <v>39</v>
      </c>
      <c r="C681" t="s">
        <v>15</v>
      </c>
      <c r="D681" t="s">
        <v>31</v>
      </c>
      <c r="E681" t="s">
        <v>34</v>
      </c>
      <c r="F681" t="s">
        <v>21</v>
      </c>
      <c r="G681">
        <v>17</v>
      </c>
      <c r="H681">
        <v>6713</v>
      </c>
      <c r="I681" t="s">
        <v>30</v>
      </c>
      <c r="J681" s="2">
        <v>45597</v>
      </c>
      <c r="K681">
        <v>15</v>
      </c>
      <c r="L681" t="s">
        <v>20</v>
      </c>
      <c r="M681">
        <v>6</v>
      </c>
      <c r="N681">
        <v>1</v>
      </c>
      <c r="O681">
        <v>4</v>
      </c>
      <c r="P681" t="s">
        <v>25</v>
      </c>
      <c r="Q681" s="1">
        <v>1</v>
      </c>
      <c r="R681" s="2">
        <v>46174</v>
      </c>
      <c r="S681" s="2"/>
      <c r="T681" s="1" t="str">
        <f t="shared" si="30"/>
        <v>sex</v>
      </c>
      <c r="U681" s="1" t="str">
        <f t="shared" si="31"/>
        <v>nov</v>
      </c>
      <c r="V681">
        <f t="shared" si="32"/>
        <v>2024</v>
      </c>
      <c r="W681">
        <f>_xlfn.XLOOKUP(A681,Absenteismo!A:A,Absenteismo!A:A,0)</f>
        <v>1840</v>
      </c>
    </row>
    <row r="682" spans="1:23" x14ac:dyDescent="0.3">
      <c r="A682">
        <v>1891</v>
      </c>
      <c r="B682">
        <v>39</v>
      </c>
      <c r="C682" t="s">
        <v>15</v>
      </c>
      <c r="D682" t="s">
        <v>16</v>
      </c>
      <c r="E682" t="s">
        <v>17</v>
      </c>
      <c r="F682" t="s">
        <v>18</v>
      </c>
      <c r="G682">
        <v>118</v>
      </c>
      <c r="H682">
        <v>5000</v>
      </c>
      <c r="I682" t="s">
        <v>24</v>
      </c>
      <c r="J682" s="2">
        <v>42375</v>
      </c>
      <c r="K682">
        <v>2</v>
      </c>
      <c r="L682" t="s">
        <v>20</v>
      </c>
      <c r="M682">
        <v>19</v>
      </c>
      <c r="N682">
        <v>4</v>
      </c>
      <c r="O682">
        <v>4</v>
      </c>
      <c r="P682" t="s">
        <v>25</v>
      </c>
      <c r="Q682" s="1">
        <v>3</v>
      </c>
      <c r="R682" s="2">
        <v>46174</v>
      </c>
      <c r="S682" s="2"/>
      <c r="T682" s="1" t="str">
        <f t="shared" si="30"/>
        <v>qua</v>
      </c>
      <c r="U682" s="1" t="str">
        <f t="shared" si="31"/>
        <v>jan</v>
      </c>
      <c r="V682">
        <f t="shared" si="32"/>
        <v>2016</v>
      </c>
      <c r="W682">
        <f>_xlfn.XLOOKUP(A682,Absenteismo!A:A,Absenteismo!A:A,0)</f>
        <v>0</v>
      </c>
    </row>
    <row r="683" spans="1:23" hidden="1" x14ac:dyDescent="0.3">
      <c r="A683">
        <v>1900</v>
      </c>
      <c r="B683">
        <v>39</v>
      </c>
      <c r="C683" t="s">
        <v>26</v>
      </c>
      <c r="D683" t="s">
        <v>27</v>
      </c>
      <c r="E683" t="s">
        <v>17</v>
      </c>
      <c r="F683" t="s">
        <v>18</v>
      </c>
      <c r="G683">
        <v>34</v>
      </c>
      <c r="H683">
        <v>5247</v>
      </c>
      <c r="I683" t="s">
        <v>19</v>
      </c>
      <c r="J683" s="2">
        <v>45049</v>
      </c>
      <c r="K683">
        <v>10</v>
      </c>
      <c r="L683" t="s">
        <v>20</v>
      </c>
      <c r="M683">
        <v>15</v>
      </c>
      <c r="N683">
        <v>0</v>
      </c>
      <c r="O683">
        <v>5</v>
      </c>
      <c r="P683" t="s">
        <v>25</v>
      </c>
      <c r="Q683" s="1">
        <v>2</v>
      </c>
      <c r="R683" s="2">
        <v>46174</v>
      </c>
      <c r="S683" s="2"/>
      <c r="T683" s="1" t="str">
        <f t="shared" si="30"/>
        <v>qua</v>
      </c>
      <c r="U683" s="1" t="str">
        <f t="shared" si="31"/>
        <v>mai</v>
      </c>
      <c r="V683">
        <f t="shared" si="32"/>
        <v>2023</v>
      </c>
      <c r="W683">
        <f>_xlfn.XLOOKUP(A683,Absenteismo!A:A,Absenteismo!A:A,0)</f>
        <v>1900</v>
      </c>
    </row>
    <row r="684" spans="1:23" x14ac:dyDescent="0.3">
      <c r="A684">
        <v>2019</v>
      </c>
      <c r="B684">
        <v>39</v>
      </c>
      <c r="C684" t="s">
        <v>15</v>
      </c>
      <c r="D684" t="s">
        <v>22</v>
      </c>
      <c r="E684" t="s">
        <v>17</v>
      </c>
      <c r="F684" t="s">
        <v>21</v>
      </c>
      <c r="G684">
        <v>43</v>
      </c>
      <c r="H684">
        <v>3339</v>
      </c>
      <c r="I684" t="s">
        <v>24</v>
      </c>
      <c r="J684" s="2">
        <v>44598</v>
      </c>
      <c r="K684">
        <v>7</v>
      </c>
      <c r="L684" t="s">
        <v>20</v>
      </c>
      <c r="M684">
        <v>24</v>
      </c>
      <c r="N684">
        <v>4</v>
      </c>
      <c r="O684">
        <v>4</v>
      </c>
      <c r="P684" t="s">
        <v>25</v>
      </c>
      <c r="Q684" s="1">
        <v>2</v>
      </c>
      <c r="R684" s="2">
        <v>46174</v>
      </c>
      <c r="S684" s="2"/>
      <c r="T684" s="1" t="str">
        <f t="shared" si="30"/>
        <v>dom</v>
      </c>
      <c r="U684" s="1" t="str">
        <f t="shared" si="31"/>
        <v>fev</v>
      </c>
      <c r="V684">
        <f t="shared" si="32"/>
        <v>2022</v>
      </c>
      <c r="W684">
        <f>_xlfn.XLOOKUP(A684,Absenteismo!A:A,Absenteismo!A:A,0)</f>
        <v>0</v>
      </c>
    </row>
    <row r="685" spans="1:23" hidden="1" x14ac:dyDescent="0.3">
      <c r="A685">
        <v>2140</v>
      </c>
      <c r="B685">
        <v>39</v>
      </c>
      <c r="C685" t="s">
        <v>15</v>
      </c>
      <c r="D685" t="s">
        <v>31</v>
      </c>
      <c r="E685" t="s">
        <v>34</v>
      </c>
      <c r="F685" t="s">
        <v>21</v>
      </c>
      <c r="G685">
        <v>17</v>
      </c>
      <c r="H685">
        <v>6713</v>
      </c>
      <c r="I685" t="s">
        <v>30</v>
      </c>
      <c r="J685" s="2">
        <v>45619</v>
      </c>
      <c r="K685">
        <v>15</v>
      </c>
      <c r="L685" t="s">
        <v>20</v>
      </c>
      <c r="M685">
        <v>6</v>
      </c>
      <c r="N685">
        <v>1</v>
      </c>
      <c r="O685">
        <v>4</v>
      </c>
      <c r="P685" t="s">
        <v>25</v>
      </c>
      <c r="Q685" s="1">
        <v>2</v>
      </c>
      <c r="R685" s="2">
        <v>46174</v>
      </c>
      <c r="S685" s="2"/>
      <c r="T685" s="1" t="str">
        <f t="shared" si="30"/>
        <v>sáb</v>
      </c>
      <c r="U685" s="1" t="str">
        <f t="shared" si="31"/>
        <v>nov</v>
      </c>
      <c r="V685">
        <f t="shared" si="32"/>
        <v>2024</v>
      </c>
      <c r="W685">
        <f>_xlfn.XLOOKUP(A685,Absenteismo!A:A,Absenteismo!A:A,0)</f>
        <v>2140</v>
      </c>
    </row>
    <row r="686" spans="1:23" x14ac:dyDescent="0.3">
      <c r="A686">
        <v>2191</v>
      </c>
      <c r="B686">
        <v>39</v>
      </c>
      <c r="C686" t="s">
        <v>15</v>
      </c>
      <c r="D686" t="s">
        <v>16</v>
      </c>
      <c r="E686" t="s">
        <v>17</v>
      </c>
      <c r="F686" t="s">
        <v>18</v>
      </c>
      <c r="G686">
        <v>118</v>
      </c>
      <c r="H686">
        <v>5000</v>
      </c>
      <c r="I686" t="s">
        <v>24</v>
      </c>
      <c r="J686" s="2">
        <v>42534</v>
      </c>
      <c r="K686">
        <v>2</v>
      </c>
      <c r="L686" t="s">
        <v>20</v>
      </c>
      <c r="M686">
        <v>19</v>
      </c>
      <c r="N686">
        <v>4</v>
      </c>
      <c r="O686">
        <v>4</v>
      </c>
      <c r="P686" t="s">
        <v>25</v>
      </c>
      <c r="Q686" s="1">
        <v>1</v>
      </c>
      <c r="R686" s="2">
        <v>46174</v>
      </c>
      <c r="S686" s="2"/>
      <c r="T686" s="1" t="str">
        <f t="shared" si="30"/>
        <v>seg</v>
      </c>
      <c r="U686" s="1" t="str">
        <f t="shared" si="31"/>
        <v>jun</v>
      </c>
      <c r="V686">
        <f t="shared" si="32"/>
        <v>2016</v>
      </c>
      <c r="W686">
        <f>_xlfn.XLOOKUP(A686,Absenteismo!A:A,Absenteismo!A:A,0)</f>
        <v>0</v>
      </c>
    </row>
    <row r="687" spans="1:23" x14ac:dyDescent="0.3">
      <c r="A687">
        <v>2200</v>
      </c>
      <c r="B687">
        <v>39</v>
      </c>
      <c r="C687" t="s">
        <v>26</v>
      </c>
      <c r="D687" t="s">
        <v>27</v>
      </c>
      <c r="E687" t="s">
        <v>17</v>
      </c>
      <c r="F687" t="s">
        <v>18</v>
      </c>
      <c r="G687">
        <v>34</v>
      </c>
      <c r="H687">
        <v>5247</v>
      </c>
      <c r="I687" t="s">
        <v>19</v>
      </c>
      <c r="J687" s="2">
        <v>44769</v>
      </c>
      <c r="K687">
        <v>10</v>
      </c>
      <c r="L687" t="s">
        <v>20</v>
      </c>
      <c r="M687">
        <v>15</v>
      </c>
      <c r="N687">
        <v>0</v>
      </c>
      <c r="O687">
        <v>5</v>
      </c>
      <c r="P687" t="s">
        <v>25</v>
      </c>
      <c r="Q687" s="1">
        <v>3</v>
      </c>
      <c r="R687" s="2">
        <v>46174</v>
      </c>
      <c r="S687" s="2"/>
      <c r="T687" s="1" t="str">
        <f t="shared" si="30"/>
        <v>qua</v>
      </c>
      <c r="U687" s="1" t="str">
        <f t="shared" si="31"/>
        <v>jul</v>
      </c>
      <c r="V687">
        <f t="shared" si="32"/>
        <v>2022</v>
      </c>
      <c r="W687">
        <f>_xlfn.XLOOKUP(A687,Absenteismo!A:A,Absenteismo!A:A,0)</f>
        <v>0</v>
      </c>
    </row>
    <row r="688" spans="1:23" hidden="1" x14ac:dyDescent="0.3">
      <c r="A688">
        <v>1988</v>
      </c>
      <c r="B688">
        <v>39</v>
      </c>
      <c r="C688" t="s">
        <v>15</v>
      </c>
      <c r="D688" t="s">
        <v>29</v>
      </c>
      <c r="E688" t="s">
        <v>17</v>
      </c>
      <c r="F688" t="s">
        <v>23</v>
      </c>
      <c r="G688">
        <v>19</v>
      </c>
      <c r="H688">
        <v>4648</v>
      </c>
      <c r="I688" t="s">
        <v>33</v>
      </c>
      <c r="J688" s="2">
        <v>45494</v>
      </c>
      <c r="K688">
        <v>55</v>
      </c>
      <c r="L688" t="s">
        <v>25</v>
      </c>
      <c r="M688">
        <v>23</v>
      </c>
      <c r="N688">
        <v>1</v>
      </c>
      <c r="O688">
        <v>5</v>
      </c>
      <c r="P688" t="s">
        <v>25</v>
      </c>
      <c r="Q688" s="1">
        <v>1</v>
      </c>
      <c r="R688" s="2">
        <v>46174</v>
      </c>
      <c r="S688" s="2"/>
      <c r="T688" s="1" t="str">
        <f t="shared" si="30"/>
        <v>dom</v>
      </c>
      <c r="U688" s="1" t="str">
        <f t="shared" si="31"/>
        <v>jul</v>
      </c>
      <c r="V688">
        <f t="shared" si="32"/>
        <v>2024</v>
      </c>
      <c r="W688">
        <f>_xlfn.XLOOKUP(A688,Absenteismo!A:A,Absenteismo!A:A,0)</f>
        <v>1988</v>
      </c>
    </row>
    <row r="689" spans="1:23" hidden="1" x14ac:dyDescent="0.3">
      <c r="A689">
        <v>2034</v>
      </c>
      <c r="B689">
        <v>39</v>
      </c>
      <c r="C689" t="s">
        <v>15</v>
      </c>
      <c r="D689" t="s">
        <v>22</v>
      </c>
      <c r="E689" t="s">
        <v>17</v>
      </c>
      <c r="F689" t="s">
        <v>21</v>
      </c>
      <c r="G689">
        <v>60</v>
      </c>
      <c r="H689">
        <v>6720</v>
      </c>
      <c r="I689" t="s">
        <v>19</v>
      </c>
      <c r="J689" s="2">
        <v>44341</v>
      </c>
      <c r="K689">
        <v>42</v>
      </c>
      <c r="L689" t="s">
        <v>20</v>
      </c>
      <c r="M689">
        <v>29</v>
      </c>
      <c r="N689">
        <v>0</v>
      </c>
      <c r="O689">
        <v>4</v>
      </c>
      <c r="P689" t="s">
        <v>25</v>
      </c>
      <c r="Q689" s="1">
        <v>2</v>
      </c>
      <c r="R689" s="2">
        <v>46174</v>
      </c>
      <c r="S689" s="2"/>
      <c r="T689" s="1" t="str">
        <f t="shared" si="30"/>
        <v>ter</v>
      </c>
      <c r="U689" s="1" t="str">
        <f t="shared" si="31"/>
        <v>mai</v>
      </c>
      <c r="V689">
        <f t="shared" si="32"/>
        <v>2021</v>
      </c>
      <c r="W689">
        <f>_xlfn.XLOOKUP(A689,Absenteismo!A:A,Absenteismo!A:A,0)</f>
        <v>2034</v>
      </c>
    </row>
    <row r="690" spans="1:23" hidden="1" x14ac:dyDescent="0.3">
      <c r="A690">
        <v>1850</v>
      </c>
      <c r="B690">
        <v>40</v>
      </c>
      <c r="C690" t="s">
        <v>26</v>
      </c>
      <c r="D690" t="s">
        <v>16</v>
      </c>
      <c r="E690" t="s">
        <v>17</v>
      </c>
      <c r="F690" t="s">
        <v>23</v>
      </c>
      <c r="G690">
        <v>96</v>
      </c>
      <c r="H690">
        <v>5001</v>
      </c>
      <c r="I690" t="s">
        <v>30</v>
      </c>
      <c r="J690" s="2">
        <v>42826</v>
      </c>
      <c r="K690">
        <v>40</v>
      </c>
      <c r="L690" t="s">
        <v>25</v>
      </c>
      <c r="M690">
        <v>21</v>
      </c>
      <c r="N690">
        <v>12</v>
      </c>
      <c r="O690">
        <v>5</v>
      </c>
      <c r="P690" t="s">
        <v>20</v>
      </c>
      <c r="Q690" s="1">
        <v>3</v>
      </c>
      <c r="R690" s="2">
        <v>46174</v>
      </c>
      <c r="S690" s="2">
        <v>45748</v>
      </c>
      <c r="T690" s="1" t="str">
        <f t="shared" si="30"/>
        <v>sáb</v>
      </c>
      <c r="U690" s="1" t="str">
        <f t="shared" si="31"/>
        <v>abr</v>
      </c>
      <c r="V690">
        <f t="shared" si="32"/>
        <v>2017</v>
      </c>
      <c r="W690">
        <f>_xlfn.XLOOKUP(A690,Absenteismo!A:A,Absenteismo!A:A,0)</f>
        <v>1850</v>
      </c>
    </row>
    <row r="691" spans="1:23" hidden="1" x14ac:dyDescent="0.3">
      <c r="A691">
        <v>1862</v>
      </c>
      <c r="B691">
        <v>40</v>
      </c>
      <c r="C691" t="s">
        <v>26</v>
      </c>
      <c r="D691" t="s">
        <v>29</v>
      </c>
      <c r="E691" t="s">
        <v>17</v>
      </c>
      <c r="F691" t="s">
        <v>21</v>
      </c>
      <c r="G691">
        <v>39</v>
      </c>
      <c r="H691">
        <v>4931</v>
      </c>
      <c r="I691" t="s">
        <v>19</v>
      </c>
      <c r="J691" s="2">
        <v>44621</v>
      </c>
      <c r="K691">
        <v>2</v>
      </c>
      <c r="L691" t="s">
        <v>25</v>
      </c>
      <c r="M691">
        <v>28</v>
      </c>
      <c r="N691">
        <v>8</v>
      </c>
      <c r="O691">
        <v>3</v>
      </c>
      <c r="P691" t="s">
        <v>20</v>
      </c>
      <c r="Q691" s="1">
        <v>1</v>
      </c>
      <c r="R691" s="2">
        <v>46174</v>
      </c>
      <c r="S691" s="2">
        <v>45806</v>
      </c>
      <c r="T691" s="1" t="str">
        <f t="shared" si="30"/>
        <v>ter</v>
      </c>
      <c r="U691" s="1" t="str">
        <f t="shared" si="31"/>
        <v>mar</v>
      </c>
      <c r="V691">
        <f t="shared" si="32"/>
        <v>2022</v>
      </c>
      <c r="W691">
        <f>_xlfn.XLOOKUP(A691,Absenteismo!A:A,Absenteismo!A:A,0)</f>
        <v>1862</v>
      </c>
    </row>
    <row r="692" spans="1:23" hidden="1" x14ac:dyDescent="0.3">
      <c r="A692">
        <v>1250</v>
      </c>
      <c r="B692">
        <v>40</v>
      </c>
      <c r="C692" t="s">
        <v>26</v>
      </c>
      <c r="D692" t="s">
        <v>16</v>
      </c>
      <c r="E692" t="s">
        <v>17</v>
      </c>
      <c r="F692" t="s">
        <v>23</v>
      </c>
      <c r="G692">
        <v>96</v>
      </c>
      <c r="H692">
        <v>5001</v>
      </c>
      <c r="I692" t="s">
        <v>30</v>
      </c>
      <c r="J692" s="2">
        <v>42888</v>
      </c>
      <c r="K692">
        <v>53</v>
      </c>
      <c r="L692" t="s">
        <v>25</v>
      </c>
      <c r="M692">
        <v>21</v>
      </c>
      <c r="N692">
        <v>12</v>
      </c>
      <c r="O692">
        <v>5</v>
      </c>
      <c r="P692" t="s">
        <v>20</v>
      </c>
      <c r="Q692" s="1">
        <v>2</v>
      </c>
      <c r="R692" s="2">
        <v>46174</v>
      </c>
      <c r="S692" s="2">
        <v>45810</v>
      </c>
      <c r="T692" s="1" t="str">
        <f t="shared" si="30"/>
        <v>sex</v>
      </c>
      <c r="U692" s="1" t="str">
        <f t="shared" si="31"/>
        <v>jun</v>
      </c>
      <c r="V692">
        <f t="shared" si="32"/>
        <v>2017</v>
      </c>
      <c r="W692">
        <f>_xlfn.XLOOKUP(A692,Absenteismo!A:A,Absenteismo!A:A,0)</f>
        <v>1250</v>
      </c>
    </row>
    <row r="693" spans="1:23" hidden="1" x14ac:dyDescent="0.3">
      <c r="A693">
        <v>1550</v>
      </c>
      <c r="B693">
        <v>40</v>
      </c>
      <c r="C693" t="s">
        <v>26</v>
      </c>
      <c r="D693" t="s">
        <v>16</v>
      </c>
      <c r="E693" t="s">
        <v>17</v>
      </c>
      <c r="F693" t="s">
        <v>23</v>
      </c>
      <c r="G693">
        <v>96</v>
      </c>
      <c r="H693">
        <v>5001</v>
      </c>
      <c r="I693" t="s">
        <v>30</v>
      </c>
      <c r="J693" s="2">
        <v>42907</v>
      </c>
      <c r="K693">
        <v>52</v>
      </c>
      <c r="L693" t="s">
        <v>25</v>
      </c>
      <c r="M693">
        <v>21</v>
      </c>
      <c r="N693">
        <v>12</v>
      </c>
      <c r="O693">
        <v>5</v>
      </c>
      <c r="P693" t="s">
        <v>20</v>
      </c>
      <c r="Q693" s="1">
        <v>1</v>
      </c>
      <c r="R693" s="2">
        <v>46174</v>
      </c>
      <c r="S693" s="2">
        <v>45829</v>
      </c>
      <c r="T693" s="1" t="str">
        <f t="shared" si="30"/>
        <v>qua</v>
      </c>
      <c r="U693" s="1" t="str">
        <f t="shared" si="31"/>
        <v>jun</v>
      </c>
      <c r="V693">
        <f t="shared" si="32"/>
        <v>2017</v>
      </c>
      <c r="W693">
        <f>_xlfn.XLOOKUP(A693,Absenteismo!A:A,Absenteismo!A:A,0)</f>
        <v>1550</v>
      </c>
    </row>
    <row r="694" spans="1:23" hidden="1" x14ac:dyDescent="0.3">
      <c r="A694">
        <v>1262</v>
      </c>
      <c r="B694">
        <v>40</v>
      </c>
      <c r="C694" t="s">
        <v>26</v>
      </c>
      <c r="D694" t="s">
        <v>29</v>
      </c>
      <c r="E694" t="s">
        <v>17</v>
      </c>
      <c r="F694" t="s">
        <v>21</v>
      </c>
      <c r="G694">
        <v>39</v>
      </c>
      <c r="H694">
        <v>4931</v>
      </c>
      <c r="I694" t="s">
        <v>19</v>
      </c>
      <c r="J694" s="2">
        <v>44736</v>
      </c>
      <c r="K694">
        <v>2</v>
      </c>
      <c r="L694" t="s">
        <v>25</v>
      </c>
      <c r="M694">
        <v>28</v>
      </c>
      <c r="N694">
        <v>8</v>
      </c>
      <c r="O694">
        <v>3</v>
      </c>
      <c r="P694" t="s">
        <v>20</v>
      </c>
      <c r="Q694" s="1">
        <v>2</v>
      </c>
      <c r="R694" s="2">
        <v>46174</v>
      </c>
      <c r="S694" s="2">
        <v>45924</v>
      </c>
      <c r="T694" s="1" t="str">
        <f t="shared" si="30"/>
        <v>sex</v>
      </c>
      <c r="U694" s="1" t="str">
        <f t="shared" si="31"/>
        <v>jun</v>
      </c>
      <c r="V694">
        <f t="shared" si="32"/>
        <v>2022</v>
      </c>
      <c r="W694">
        <f>_xlfn.XLOOKUP(A694,Absenteismo!A:A,Absenteismo!A:A,0)</f>
        <v>1262</v>
      </c>
    </row>
    <row r="695" spans="1:23" hidden="1" x14ac:dyDescent="0.3">
      <c r="A695">
        <v>1349</v>
      </c>
      <c r="B695">
        <v>40</v>
      </c>
      <c r="C695" t="s">
        <v>15</v>
      </c>
      <c r="D695" t="s">
        <v>27</v>
      </c>
      <c r="E695" t="s">
        <v>17</v>
      </c>
      <c r="F695" t="s">
        <v>21</v>
      </c>
      <c r="G695">
        <v>6</v>
      </c>
      <c r="H695">
        <v>3054</v>
      </c>
      <c r="I695" t="s">
        <v>19</v>
      </c>
      <c r="J695" s="2">
        <v>45787</v>
      </c>
      <c r="K695">
        <v>13</v>
      </c>
      <c r="L695" t="s">
        <v>25</v>
      </c>
      <c r="M695">
        <v>9</v>
      </c>
      <c r="N695">
        <v>3</v>
      </c>
      <c r="O695">
        <v>3</v>
      </c>
      <c r="P695" t="s">
        <v>20</v>
      </c>
      <c r="Q695" s="1">
        <v>2</v>
      </c>
      <c r="R695" s="2">
        <v>46174</v>
      </c>
      <c r="S695" s="2">
        <v>45971</v>
      </c>
      <c r="T695" s="1" t="str">
        <f t="shared" si="30"/>
        <v>sáb</v>
      </c>
      <c r="U695" s="1" t="str">
        <f t="shared" si="31"/>
        <v>mai</v>
      </c>
      <c r="V695">
        <f t="shared" si="32"/>
        <v>2025</v>
      </c>
      <c r="W695">
        <f>_xlfn.XLOOKUP(A695,Absenteismo!A:A,Absenteismo!A:A,0)</f>
        <v>1349</v>
      </c>
    </row>
    <row r="696" spans="1:23" hidden="1" x14ac:dyDescent="0.3">
      <c r="A696">
        <v>1649</v>
      </c>
      <c r="B696">
        <v>40</v>
      </c>
      <c r="C696" t="s">
        <v>15</v>
      </c>
      <c r="D696" t="s">
        <v>27</v>
      </c>
      <c r="E696" t="s">
        <v>17</v>
      </c>
      <c r="F696" t="s">
        <v>21</v>
      </c>
      <c r="G696">
        <v>6</v>
      </c>
      <c r="H696">
        <v>3054</v>
      </c>
      <c r="I696" t="s">
        <v>19</v>
      </c>
      <c r="J696" s="2">
        <v>45917</v>
      </c>
      <c r="K696">
        <v>13</v>
      </c>
      <c r="L696" t="s">
        <v>25</v>
      </c>
      <c r="M696">
        <v>9</v>
      </c>
      <c r="N696">
        <v>3</v>
      </c>
      <c r="O696">
        <v>3</v>
      </c>
      <c r="P696" t="s">
        <v>20</v>
      </c>
      <c r="Q696" s="1">
        <v>2</v>
      </c>
      <c r="R696" s="2">
        <v>46174</v>
      </c>
      <c r="S696" s="2">
        <v>46098</v>
      </c>
      <c r="T696" s="1" t="str">
        <f t="shared" si="30"/>
        <v>qua</v>
      </c>
      <c r="U696" s="1" t="str">
        <f t="shared" si="31"/>
        <v>set</v>
      </c>
      <c r="V696">
        <f t="shared" si="32"/>
        <v>2025</v>
      </c>
      <c r="W696">
        <f>_xlfn.XLOOKUP(A696,Absenteismo!A:A,Absenteismo!A:A,0)</f>
        <v>1649</v>
      </c>
    </row>
    <row r="697" spans="1:23" hidden="1" x14ac:dyDescent="0.3">
      <c r="A697">
        <v>1562</v>
      </c>
      <c r="B697">
        <v>40</v>
      </c>
      <c r="C697" t="s">
        <v>26</v>
      </c>
      <c r="D697" t="s">
        <v>29</v>
      </c>
      <c r="E697" t="s">
        <v>17</v>
      </c>
      <c r="F697" t="s">
        <v>21</v>
      </c>
      <c r="G697">
        <v>39</v>
      </c>
      <c r="H697">
        <v>4931</v>
      </c>
      <c r="I697" t="s">
        <v>19</v>
      </c>
      <c r="J697" s="2">
        <v>44986</v>
      </c>
      <c r="K697">
        <v>2</v>
      </c>
      <c r="L697" t="s">
        <v>25</v>
      </c>
      <c r="M697">
        <v>28</v>
      </c>
      <c r="N697">
        <v>8</v>
      </c>
      <c r="O697">
        <v>3</v>
      </c>
      <c r="P697" t="s">
        <v>20</v>
      </c>
      <c r="Q697" s="1">
        <v>2</v>
      </c>
      <c r="R697" s="2">
        <v>46174</v>
      </c>
      <c r="S697" s="2">
        <v>46174</v>
      </c>
      <c r="T697" s="1" t="str">
        <f t="shared" si="30"/>
        <v>qua</v>
      </c>
      <c r="U697" s="1" t="str">
        <f t="shared" si="31"/>
        <v>mar</v>
      </c>
      <c r="V697">
        <f t="shared" si="32"/>
        <v>2023</v>
      </c>
      <c r="W697">
        <f>_xlfn.XLOOKUP(A697,Absenteismo!A:A,Absenteismo!A:A,0)</f>
        <v>1562</v>
      </c>
    </row>
    <row r="698" spans="1:23" x14ac:dyDescent="0.3">
      <c r="A698">
        <v>1004</v>
      </c>
      <c r="B698">
        <v>40</v>
      </c>
      <c r="C698" t="s">
        <v>26</v>
      </c>
      <c r="D698" t="s">
        <v>27</v>
      </c>
      <c r="E698" t="s">
        <v>17</v>
      </c>
      <c r="F698" t="s">
        <v>23</v>
      </c>
      <c r="G698">
        <v>94</v>
      </c>
      <c r="H698">
        <v>6563</v>
      </c>
      <c r="I698" t="s">
        <v>28</v>
      </c>
      <c r="J698" s="2">
        <v>43296</v>
      </c>
      <c r="K698">
        <v>8</v>
      </c>
      <c r="L698" t="s">
        <v>25</v>
      </c>
      <c r="M698">
        <v>24</v>
      </c>
      <c r="N698">
        <v>1</v>
      </c>
      <c r="O698">
        <v>4</v>
      </c>
      <c r="P698" t="s">
        <v>25</v>
      </c>
      <c r="Q698" s="1">
        <v>3</v>
      </c>
      <c r="R698" s="2">
        <v>46174</v>
      </c>
      <c r="S698" s="2"/>
      <c r="T698" s="1" t="str">
        <f t="shared" si="30"/>
        <v>dom</v>
      </c>
      <c r="U698" s="1" t="str">
        <f t="shared" si="31"/>
        <v>jul</v>
      </c>
      <c r="V698">
        <f t="shared" si="32"/>
        <v>2018</v>
      </c>
      <c r="W698">
        <f>_xlfn.XLOOKUP(A698,Absenteismo!A:A,Absenteismo!A:A,0)</f>
        <v>0</v>
      </c>
    </row>
    <row r="699" spans="1:23" hidden="1" x14ac:dyDescent="0.3">
      <c r="A699">
        <v>1049</v>
      </c>
      <c r="B699">
        <v>40</v>
      </c>
      <c r="C699" t="s">
        <v>15</v>
      </c>
      <c r="D699" t="s">
        <v>27</v>
      </c>
      <c r="E699" t="s">
        <v>17</v>
      </c>
      <c r="F699" t="s">
        <v>21</v>
      </c>
      <c r="G699">
        <v>6</v>
      </c>
      <c r="H699">
        <v>3054</v>
      </c>
      <c r="I699" t="s">
        <v>19</v>
      </c>
      <c r="J699" s="2">
        <v>45888</v>
      </c>
      <c r="K699">
        <v>13</v>
      </c>
      <c r="L699" t="s">
        <v>25</v>
      </c>
      <c r="M699">
        <v>9</v>
      </c>
      <c r="N699">
        <v>3</v>
      </c>
      <c r="O699">
        <v>3</v>
      </c>
      <c r="P699" t="s">
        <v>25</v>
      </c>
      <c r="Q699" s="1">
        <v>2</v>
      </c>
      <c r="R699" s="2">
        <v>46174</v>
      </c>
      <c r="S699" s="2"/>
      <c r="T699" s="1" t="str">
        <f t="shared" si="30"/>
        <v>ter</v>
      </c>
      <c r="U699" s="1" t="str">
        <f t="shared" si="31"/>
        <v>ago</v>
      </c>
      <c r="V699">
        <f t="shared" si="32"/>
        <v>2025</v>
      </c>
      <c r="W699">
        <f>_xlfn.XLOOKUP(A699,Absenteismo!A:A,Absenteismo!A:A,0)</f>
        <v>1049</v>
      </c>
    </row>
    <row r="700" spans="1:23" hidden="1" x14ac:dyDescent="0.3">
      <c r="A700">
        <v>1113</v>
      </c>
      <c r="B700">
        <v>40</v>
      </c>
      <c r="C700" t="s">
        <v>26</v>
      </c>
      <c r="D700" t="s">
        <v>27</v>
      </c>
      <c r="E700" t="s">
        <v>17</v>
      </c>
      <c r="F700" t="s">
        <v>21</v>
      </c>
      <c r="G700">
        <v>105</v>
      </c>
      <c r="H700">
        <v>4009</v>
      </c>
      <c r="I700" t="s">
        <v>19</v>
      </c>
      <c r="J700" s="2">
        <v>42814</v>
      </c>
      <c r="K700">
        <v>7</v>
      </c>
      <c r="L700" t="s">
        <v>20</v>
      </c>
      <c r="M700">
        <v>12</v>
      </c>
      <c r="N700">
        <v>2</v>
      </c>
      <c r="O700">
        <v>3</v>
      </c>
      <c r="P700" t="s">
        <v>25</v>
      </c>
      <c r="Q700" s="1">
        <v>2</v>
      </c>
      <c r="R700" s="2">
        <v>46174</v>
      </c>
      <c r="S700" s="2"/>
      <c r="T700" s="1" t="str">
        <f t="shared" si="30"/>
        <v>seg</v>
      </c>
      <c r="U700" s="1" t="str">
        <f t="shared" si="31"/>
        <v>mar</v>
      </c>
      <c r="V700">
        <f t="shared" si="32"/>
        <v>2017</v>
      </c>
      <c r="W700">
        <f>_xlfn.XLOOKUP(A700,Absenteismo!A:A,Absenteismo!A:A,0)</f>
        <v>1113</v>
      </c>
    </row>
    <row r="701" spans="1:23" hidden="1" x14ac:dyDescent="0.3">
      <c r="A701">
        <v>1268</v>
      </c>
      <c r="B701">
        <v>40</v>
      </c>
      <c r="C701" t="s">
        <v>26</v>
      </c>
      <c r="D701" t="s">
        <v>29</v>
      </c>
      <c r="E701" t="s">
        <v>17</v>
      </c>
      <c r="F701" t="s">
        <v>18</v>
      </c>
      <c r="G701">
        <v>45</v>
      </c>
      <c r="H701">
        <v>7433</v>
      </c>
      <c r="I701" t="s">
        <v>28</v>
      </c>
      <c r="J701" s="2">
        <v>44698</v>
      </c>
      <c r="K701">
        <v>21</v>
      </c>
      <c r="L701" t="s">
        <v>20</v>
      </c>
      <c r="M701">
        <v>11</v>
      </c>
      <c r="N701">
        <v>0</v>
      </c>
      <c r="O701">
        <v>4</v>
      </c>
      <c r="P701" t="s">
        <v>25</v>
      </c>
      <c r="Q701" s="1">
        <v>2</v>
      </c>
      <c r="R701" s="2">
        <v>46174</v>
      </c>
      <c r="S701" s="2"/>
      <c r="T701" s="1" t="str">
        <f t="shared" si="30"/>
        <v>ter</v>
      </c>
      <c r="U701" s="1" t="str">
        <f t="shared" si="31"/>
        <v>mai</v>
      </c>
      <c r="V701">
        <f t="shared" si="32"/>
        <v>2022</v>
      </c>
      <c r="W701">
        <f>_xlfn.XLOOKUP(A701,Absenteismo!A:A,Absenteismo!A:A,0)</f>
        <v>1268</v>
      </c>
    </row>
    <row r="702" spans="1:23" hidden="1" x14ac:dyDescent="0.3">
      <c r="A702">
        <v>1271</v>
      </c>
      <c r="B702">
        <v>40</v>
      </c>
      <c r="C702" t="s">
        <v>15</v>
      </c>
      <c r="D702" t="s">
        <v>29</v>
      </c>
      <c r="E702" t="s">
        <v>17</v>
      </c>
      <c r="F702" t="s">
        <v>23</v>
      </c>
      <c r="G702">
        <v>108</v>
      </c>
      <c r="H702">
        <v>6832</v>
      </c>
      <c r="I702" t="s">
        <v>28</v>
      </c>
      <c r="J702" s="2">
        <v>42557</v>
      </c>
      <c r="K702">
        <v>20</v>
      </c>
      <c r="L702" t="s">
        <v>20</v>
      </c>
      <c r="M702">
        <v>2</v>
      </c>
      <c r="N702">
        <v>1</v>
      </c>
      <c r="O702">
        <v>2</v>
      </c>
      <c r="P702" t="s">
        <v>25</v>
      </c>
      <c r="Q702" s="1">
        <v>3</v>
      </c>
      <c r="R702" s="2">
        <v>46174</v>
      </c>
      <c r="S702" s="2"/>
      <c r="T702" s="1" t="str">
        <f t="shared" si="30"/>
        <v>qua</v>
      </c>
      <c r="U702" s="1" t="str">
        <f t="shared" si="31"/>
        <v>jul</v>
      </c>
      <c r="V702">
        <f t="shared" si="32"/>
        <v>2016</v>
      </c>
      <c r="W702">
        <f>_xlfn.XLOOKUP(A702,Absenteismo!A:A,Absenteismo!A:A,0)</f>
        <v>1271</v>
      </c>
    </row>
    <row r="703" spans="1:23" x14ac:dyDescent="0.3">
      <c r="A703">
        <v>1296</v>
      </c>
      <c r="B703">
        <v>40</v>
      </c>
      <c r="C703" t="s">
        <v>26</v>
      </c>
      <c r="D703" t="s">
        <v>16</v>
      </c>
      <c r="E703" t="s">
        <v>17</v>
      </c>
      <c r="F703" t="s">
        <v>18</v>
      </c>
      <c r="G703">
        <v>96</v>
      </c>
      <c r="H703">
        <v>3540</v>
      </c>
      <c r="I703" t="s">
        <v>24</v>
      </c>
      <c r="J703" s="2">
        <v>43216</v>
      </c>
      <c r="K703">
        <v>2</v>
      </c>
      <c r="L703" t="s">
        <v>20</v>
      </c>
      <c r="M703">
        <v>10</v>
      </c>
      <c r="N703">
        <v>9</v>
      </c>
      <c r="O703">
        <v>3</v>
      </c>
      <c r="P703" t="s">
        <v>25</v>
      </c>
      <c r="Q703" s="1">
        <v>3</v>
      </c>
      <c r="R703" s="2">
        <v>46174</v>
      </c>
      <c r="S703" s="2"/>
      <c r="T703" s="1" t="str">
        <f t="shared" si="30"/>
        <v>qui</v>
      </c>
      <c r="U703" s="1" t="str">
        <f t="shared" si="31"/>
        <v>abr</v>
      </c>
      <c r="V703">
        <f t="shared" si="32"/>
        <v>2018</v>
      </c>
      <c r="W703">
        <f>_xlfn.XLOOKUP(A703,Absenteismo!A:A,Absenteismo!A:A,0)</f>
        <v>0</v>
      </c>
    </row>
    <row r="704" spans="1:23" hidden="1" x14ac:dyDescent="0.3">
      <c r="A704">
        <v>1304</v>
      </c>
      <c r="B704">
        <v>40</v>
      </c>
      <c r="C704" t="s">
        <v>26</v>
      </c>
      <c r="D704" t="s">
        <v>27</v>
      </c>
      <c r="E704" t="s">
        <v>17</v>
      </c>
      <c r="F704" t="s">
        <v>23</v>
      </c>
      <c r="G704">
        <v>94</v>
      </c>
      <c r="H704">
        <v>6563</v>
      </c>
      <c r="I704" t="s">
        <v>28</v>
      </c>
      <c r="J704" s="2">
        <v>43290</v>
      </c>
      <c r="K704">
        <v>8</v>
      </c>
      <c r="L704" t="s">
        <v>25</v>
      </c>
      <c r="M704">
        <v>24</v>
      </c>
      <c r="N704">
        <v>1</v>
      </c>
      <c r="O704">
        <v>4</v>
      </c>
      <c r="P704" t="s">
        <v>25</v>
      </c>
      <c r="Q704" s="1">
        <v>3</v>
      </c>
      <c r="R704" s="2">
        <v>46174</v>
      </c>
      <c r="S704" s="2"/>
      <c r="T704" s="1" t="str">
        <f t="shared" si="30"/>
        <v>seg</v>
      </c>
      <c r="U704" s="1" t="str">
        <f t="shared" si="31"/>
        <v>jul</v>
      </c>
      <c r="V704">
        <f t="shared" si="32"/>
        <v>2018</v>
      </c>
      <c r="W704">
        <f>_xlfn.XLOOKUP(A704,Absenteismo!A:A,Absenteismo!A:A,0)</f>
        <v>1304</v>
      </c>
    </row>
    <row r="705" spans="1:23" hidden="1" x14ac:dyDescent="0.3">
      <c r="A705">
        <v>1413</v>
      </c>
      <c r="B705">
        <v>40</v>
      </c>
      <c r="C705" t="s">
        <v>26</v>
      </c>
      <c r="D705" t="s">
        <v>27</v>
      </c>
      <c r="E705" t="s">
        <v>17</v>
      </c>
      <c r="F705" t="s">
        <v>21</v>
      </c>
      <c r="G705">
        <v>105</v>
      </c>
      <c r="H705">
        <v>4009</v>
      </c>
      <c r="I705" t="s">
        <v>19</v>
      </c>
      <c r="J705" s="2">
        <v>42635</v>
      </c>
      <c r="K705">
        <v>7</v>
      </c>
      <c r="L705" t="s">
        <v>20</v>
      </c>
      <c r="M705">
        <v>12</v>
      </c>
      <c r="N705">
        <v>2</v>
      </c>
      <c r="O705">
        <v>3</v>
      </c>
      <c r="P705" t="s">
        <v>25</v>
      </c>
      <c r="Q705" s="1">
        <v>2</v>
      </c>
      <c r="R705" s="2">
        <v>46174</v>
      </c>
      <c r="S705" s="2"/>
      <c r="T705" s="1" t="str">
        <f t="shared" si="30"/>
        <v>qui</v>
      </c>
      <c r="U705" s="1" t="str">
        <f t="shared" si="31"/>
        <v>set</v>
      </c>
      <c r="V705">
        <f t="shared" si="32"/>
        <v>2016</v>
      </c>
      <c r="W705">
        <f>_xlfn.XLOOKUP(A705,Absenteismo!A:A,Absenteismo!A:A,0)</f>
        <v>1413</v>
      </c>
    </row>
    <row r="706" spans="1:23" hidden="1" x14ac:dyDescent="0.3">
      <c r="A706">
        <v>1568</v>
      </c>
      <c r="B706">
        <v>40</v>
      </c>
      <c r="C706" t="s">
        <v>26</v>
      </c>
      <c r="D706" t="s">
        <v>29</v>
      </c>
      <c r="E706" t="s">
        <v>17</v>
      </c>
      <c r="F706" t="s">
        <v>18</v>
      </c>
      <c r="G706">
        <v>45</v>
      </c>
      <c r="H706">
        <v>7433</v>
      </c>
      <c r="I706" t="s">
        <v>28</v>
      </c>
      <c r="J706" s="2">
        <v>44495</v>
      </c>
      <c r="K706">
        <v>21</v>
      </c>
      <c r="L706" t="s">
        <v>20</v>
      </c>
      <c r="M706">
        <v>11</v>
      </c>
      <c r="N706">
        <v>0</v>
      </c>
      <c r="O706">
        <v>4</v>
      </c>
      <c r="P706" t="s">
        <v>25</v>
      </c>
      <c r="Q706" s="1">
        <v>3</v>
      </c>
      <c r="R706" s="2">
        <v>46174</v>
      </c>
      <c r="S706" s="2"/>
      <c r="T706" s="1" t="str">
        <f t="shared" ref="T706:T769" si="33">TEXT($J706,"ddd")</f>
        <v>ter</v>
      </c>
      <c r="U706" s="1" t="str">
        <f t="shared" ref="U706:U769" si="34">TEXT($J706,"mmm")</f>
        <v>out</v>
      </c>
      <c r="V706">
        <f t="shared" ref="V706:V769" si="35">YEAR(J706)</f>
        <v>2021</v>
      </c>
      <c r="W706">
        <f>_xlfn.XLOOKUP(A706,Absenteismo!A:A,Absenteismo!A:A,0)</f>
        <v>1568</v>
      </c>
    </row>
    <row r="707" spans="1:23" hidden="1" x14ac:dyDescent="0.3">
      <c r="A707">
        <v>1571</v>
      </c>
      <c r="B707">
        <v>40</v>
      </c>
      <c r="C707" t="s">
        <v>15</v>
      </c>
      <c r="D707" t="s">
        <v>29</v>
      </c>
      <c r="E707" t="s">
        <v>17</v>
      </c>
      <c r="F707" t="s">
        <v>23</v>
      </c>
      <c r="G707">
        <v>108</v>
      </c>
      <c r="H707">
        <v>6832</v>
      </c>
      <c r="I707" t="s">
        <v>28</v>
      </c>
      <c r="J707" s="2">
        <v>42763</v>
      </c>
      <c r="K707">
        <v>20</v>
      </c>
      <c r="L707" t="s">
        <v>20</v>
      </c>
      <c r="M707">
        <v>2</v>
      </c>
      <c r="N707">
        <v>1</v>
      </c>
      <c r="O707">
        <v>2</v>
      </c>
      <c r="P707" t="s">
        <v>25</v>
      </c>
      <c r="Q707" s="1">
        <v>2</v>
      </c>
      <c r="R707" s="2">
        <v>46174</v>
      </c>
      <c r="S707" s="2"/>
      <c r="T707" s="1" t="str">
        <f t="shared" si="33"/>
        <v>sáb</v>
      </c>
      <c r="U707" s="1" t="str">
        <f t="shared" si="34"/>
        <v>jan</v>
      </c>
      <c r="V707">
        <f t="shared" si="35"/>
        <v>2017</v>
      </c>
      <c r="W707">
        <f>_xlfn.XLOOKUP(A707,Absenteismo!A:A,Absenteismo!A:A,0)</f>
        <v>1571</v>
      </c>
    </row>
    <row r="708" spans="1:23" x14ac:dyDescent="0.3">
      <c r="A708">
        <v>1596</v>
      </c>
      <c r="B708">
        <v>40</v>
      </c>
      <c r="C708" t="s">
        <v>26</v>
      </c>
      <c r="D708" t="s">
        <v>16</v>
      </c>
      <c r="E708" t="s">
        <v>17</v>
      </c>
      <c r="F708" t="s">
        <v>18</v>
      </c>
      <c r="G708">
        <v>96</v>
      </c>
      <c r="H708">
        <v>3540</v>
      </c>
      <c r="I708" t="s">
        <v>24</v>
      </c>
      <c r="J708" s="2">
        <v>42880</v>
      </c>
      <c r="K708">
        <v>2</v>
      </c>
      <c r="L708" t="s">
        <v>20</v>
      </c>
      <c r="M708">
        <v>10</v>
      </c>
      <c r="N708">
        <v>9</v>
      </c>
      <c r="O708">
        <v>3</v>
      </c>
      <c r="P708" t="s">
        <v>25</v>
      </c>
      <c r="Q708" s="1">
        <v>3</v>
      </c>
      <c r="R708" s="2">
        <v>46174</v>
      </c>
      <c r="S708" s="2"/>
      <c r="T708" s="1" t="str">
        <f t="shared" si="33"/>
        <v>qui</v>
      </c>
      <c r="U708" s="1" t="str">
        <f t="shared" si="34"/>
        <v>mai</v>
      </c>
      <c r="V708">
        <f t="shared" si="35"/>
        <v>2017</v>
      </c>
      <c r="W708">
        <f>_xlfn.XLOOKUP(A708,Absenteismo!A:A,Absenteismo!A:A,0)</f>
        <v>0</v>
      </c>
    </row>
    <row r="709" spans="1:23" hidden="1" x14ac:dyDescent="0.3">
      <c r="A709">
        <v>1604</v>
      </c>
      <c r="B709">
        <v>40</v>
      </c>
      <c r="C709" t="s">
        <v>26</v>
      </c>
      <c r="D709" t="s">
        <v>27</v>
      </c>
      <c r="E709" t="s">
        <v>17</v>
      </c>
      <c r="F709" t="s">
        <v>23</v>
      </c>
      <c r="G709">
        <v>94</v>
      </c>
      <c r="H709">
        <v>6563</v>
      </c>
      <c r="I709" t="s">
        <v>28</v>
      </c>
      <c r="J709" s="2">
        <v>43030</v>
      </c>
      <c r="K709">
        <v>8</v>
      </c>
      <c r="L709" t="s">
        <v>25</v>
      </c>
      <c r="M709">
        <v>24</v>
      </c>
      <c r="N709">
        <v>1</v>
      </c>
      <c r="O709">
        <v>4</v>
      </c>
      <c r="P709" t="s">
        <v>25</v>
      </c>
      <c r="Q709" s="1">
        <v>3</v>
      </c>
      <c r="R709" s="2">
        <v>46174</v>
      </c>
      <c r="S709" s="2"/>
      <c r="T709" s="1" t="str">
        <f t="shared" si="33"/>
        <v>dom</v>
      </c>
      <c r="U709" s="1" t="str">
        <f t="shared" si="34"/>
        <v>out</v>
      </c>
      <c r="V709">
        <f t="shared" si="35"/>
        <v>2017</v>
      </c>
      <c r="W709">
        <f>_xlfn.XLOOKUP(A709,Absenteismo!A:A,Absenteismo!A:A,0)</f>
        <v>1604</v>
      </c>
    </row>
    <row r="710" spans="1:23" hidden="1" x14ac:dyDescent="0.3">
      <c r="A710">
        <v>1713</v>
      </c>
      <c r="B710">
        <v>40</v>
      </c>
      <c r="C710" t="s">
        <v>26</v>
      </c>
      <c r="D710" t="s">
        <v>27</v>
      </c>
      <c r="E710" t="s">
        <v>17</v>
      </c>
      <c r="F710" t="s">
        <v>21</v>
      </c>
      <c r="G710">
        <v>105</v>
      </c>
      <c r="H710">
        <v>4009</v>
      </c>
      <c r="I710" t="s">
        <v>19</v>
      </c>
      <c r="J710" s="2">
        <v>42929</v>
      </c>
      <c r="K710">
        <v>7</v>
      </c>
      <c r="L710" t="s">
        <v>20</v>
      </c>
      <c r="M710">
        <v>12</v>
      </c>
      <c r="N710">
        <v>2</v>
      </c>
      <c r="O710">
        <v>3</v>
      </c>
      <c r="P710" t="s">
        <v>25</v>
      </c>
      <c r="Q710" s="1">
        <v>2</v>
      </c>
      <c r="R710" s="2">
        <v>46174</v>
      </c>
      <c r="S710" s="2"/>
      <c r="T710" s="1" t="str">
        <f t="shared" si="33"/>
        <v>qui</v>
      </c>
      <c r="U710" s="1" t="str">
        <f t="shared" si="34"/>
        <v>jul</v>
      </c>
      <c r="V710">
        <f t="shared" si="35"/>
        <v>2017</v>
      </c>
      <c r="W710">
        <f>_xlfn.XLOOKUP(A710,Absenteismo!A:A,Absenteismo!A:A,0)</f>
        <v>1713</v>
      </c>
    </row>
    <row r="711" spans="1:23" hidden="1" x14ac:dyDescent="0.3">
      <c r="A711">
        <v>1868</v>
      </c>
      <c r="B711">
        <v>40</v>
      </c>
      <c r="C711" t="s">
        <v>26</v>
      </c>
      <c r="D711" t="s">
        <v>29</v>
      </c>
      <c r="E711" t="s">
        <v>17</v>
      </c>
      <c r="F711" t="s">
        <v>18</v>
      </c>
      <c r="G711">
        <v>45</v>
      </c>
      <c r="H711">
        <v>7433</v>
      </c>
      <c r="I711" t="s">
        <v>28</v>
      </c>
      <c r="J711" s="2">
        <v>44502</v>
      </c>
      <c r="K711">
        <v>21</v>
      </c>
      <c r="L711" t="s">
        <v>20</v>
      </c>
      <c r="M711">
        <v>11</v>
      </c>
      <c r="N711">
        <v>0</v>
      </c>
      <c r="O711">
        <v>4</v>
      </c>
      <c r="P711" t="s">
        <v>25</v>
      </c>
      <c r="Q711" s="1">
        <v>3</v>
      </c>
      <c r="R711" s="2">
        <v>46174</v>
      </c>
      <c r="S711" s="2"/>
      <c r="T711" s="1" t="str">
        <f t="shared" si="33"/>
        <v>ter</v>
      </c>
      <c r="U711" s="1" t="str">
        <f t="shared" si="34"/>
        <v>nov</v>
      </c>
      <c r="V711">
        <f t="shared" si="35"/>
        <v>2021</v>
      </c>
      <c r="W711">
        <f>_xlfn.XLOOKUP(A711,Absenteismo!A:A,Absenteismo!A:A,0)</f>
        <v>1868</v>
      </c>
    </row>
    <row r="712" spans="1:23" hidden="1" x14ac:dyDescent="0.3">
      <c r="A712">
        <v>1871</v>
      </c>
      <c r="B712">
        <v>40</v>
      </c>
      <c r="C712" t="s">
        <v>15</v>
      </c>
      <c r="D712" t="s">
        <v>29</v>
      </c>
      <c r="E712" t="s">
        <v>17</v>
      </c>
      <c r="F712" t="s">
        <v>23</v>
      </c>
      <c r="G712">
        <v>108</v>
      </c>
      <c r="H712">
        <v>6832</v>
      </c>
      <c r="I712" t="s">
        <v>28</v>
      </c>
      <c r="J712" s="2">
        <v>42469</v>
      </c>
      <c r="K712">
        <v>20</v>
      </c>
      <c r="L712" t="s">
        <v>20</v>
      </c>
      <c r="M712">
        <v>2</v>
      </c>
      <c r="N712">
        <v>1</v>
      </c>
      <c r="O712">
        <v>2</v>
      </c>
      <c r="P712" t="s">
        <v>25</v>
      </c>
      <c r="Q712" s="1">
        <v>1</v>
      </c>
      <c r="R712" s="2">
        <v>46174</v>
      </c>
      <c r="S712" s="2"/>
      <c r="T712" s="1" t="str">
        <f t="shared" si="33"/>
        <v>sáb</v>
      </c>
      <c r="U712" s="1" t="str">
        <f t="shared" si="34"/>
        <v>abr</v>
      </c>
      <c r="V712">
        <f t="shared" si="35"/>
        <v>2016</v>
      </c>
      <c r="W712">
        <f>_xlfn.XLOOKUP(A712,Absenteismo!A:A,Absenteismo!A:A,0)</f>
        <v>1871</v>
      </c>
    </row>
    <row r="713" spans="1:23" x14ac:dyDescent="0.3">
      <c r="A713">
        <v>1896</v>
      </c>
      <c r="B713">
        <v>40</v>
      </c>
      <c r="C713" t="s">
        <v>26</v>
      </c>
      <c r="D713" t="s">
        <v>16</v>
      </c>
      <c r="E713" t="s">
        <v>17</v>
      </c>
      <c r="F713" t="s">
        <v>18</v>
      </c>
      <c r="G713">
        <v>96</v>
      </c>
      <c r="H713">
        <v>3540</v>
      </c>
      <c r="I713" t="s">
        <v>24</v>
      </c>
      <c r="J713" s="2">
        <v>42827</v>
      </c>
      <c r="K713">
        <v>2</v>
      </c>
      <c r="L713" t="s">
        <v>20</v>
      </c>
      <c r="M713">
        <v>10</v>
      </c>
      <c r="N713">
        <v>9</v>
      </c>
      <c r="O713">
        <v>3</v>
      </c>
      <c r="P713" t="s">
        <v>25</v>
      </c>
      <c r="Q713" s="1">
        <v>3</v>
      </c>
      <c r="R713" s="2">
        <v>46174</v>
      </c>
      <c r="S713" s="2"/>
      <c r="T713" s="1" t="str">
        <f t="shared" si="33"/>
        <v>dom</v>
      </c>
      <c r="U713" s="1" t="str">
        <f t="shared" si="34"/>
        <v>abr</v>
      </c>
      <c r="V713">
        <f t="shared" si="35"/>
        <v>2017</v>
      </c>
      <c r="W713">
        <f>_xlfn.XLOOKUP(A713,Absenteismo!A:A,Absenteismo!A:A,0)</f>
        <v>0</v>
      </c>
    </row>
    <row r="714" spans="1:23" hidden="1" x14ac:dyDescent="0.3">
      <c r="A714">
        <v>1904</v>
      </c>
      <c r="B714">
        <v>40</v>
      </c>
      <c r="C714" t="s">
        <v>26</v>
      </c>
      <c r="D714" t="s">
        <v>27</v>
      </c>
      <c r="E714" t="s">
        <v>17</v>
      </c>
      <c r="F714" t="s">
        <v>23</v>
      </c>
      <c r="G714">
        <v>94</v>
      </c>
      <c r="H714">
        <v>6563</v>
      </c>
      <c r="I714" t="s">
        <v>28</v>
      </c>
      <c r="J714" s="2">
        <v>43183</v>
      </c>
      <c r="K714">
        <v>8</v>
      </c>
      <c r="L714" t="s">
        <v>25</v>
      </c>
      <c r="M714">
        <v>24</v>
      </c>
      <c r="N714">
        <v>1</v>
      </c>
      <c r="O714">
        <v>4</v>
      </c>
      <c r="P714" t="s">
        <v>25</v>
      </c>
      <c r="Q714" s="1">
        <v>1</v>
      </c>
      <c r="R714" s="2">
        <v>46174</v>
      </c>
      <c r="S714" s="2"/>
      <c r="T714" s="1" t="str">
        <f t="shared" si="33"/>
        <v>sáb</v>
      </c>
      <c r="U714" s="1" t="str">
        <f t="shared" si="34"/>
        <v>mar</v>
      </c>
      <c r="V714">
        <f t="shared" si="35"/>
        <v>2018</v>
      </c>
      <c r="W714">
        <f>_xlfn.XLOOKUP(A714,Absenteismo!A:A,Absenteismo!A:A,0)</f>
        <v>1904</v>
      </c>
    </row>
    <row r="715" spans="1:23" hidden="1" x14ac:dyDescent="0.3">
      <c r="A715">
        <v>2013</v>
      </c>
      <c r="B715">
        <v>40</v>
      </c>
      <c r="C715" t="s">
        <v>26</v>
      </c>
      <c r="D715" t="s">
        <v>27</v>
      </c>
      <c r="E715" t="s">
        <v>17</v>
      </c>
      <c r="F715" t="s">
        <v>21</v>
      </c>
      <c r="G715">
        <v>105</v>
      </c>
      <c r="H715">
        <v>4009</v>
      </c>
      <c r="I715" t="s">
        <v>19</v>
      </c>
      <c r="J715" s="2">
        <v>42676</v>
      </c>
      <c r="K715">
        <v>7</v>
      </c>
      <c r="L715" t="s">
        <v>20</v>
      </c>
      <c r="M715">
        <v>12</v>
      </c>
      <c r="N715">
        <v>2</v>
      </c>
      <c r="O715">
        <v>3</v>
      </c>
      <c r="P715" t="s">
        <v>25</v>
      </c>
      <c r="Q715" s="1">
        <v>3</v>
      </c>
      <c r="R715" s="2">
        <v>46174</v>
      </c>
      <c r="S715" s="2"/>
      <c r="T715" s="1" t="str">
        <f t="shared" si="33"/>
        <v>qua</v>
      </c>
      <c r="U715" s="1" t="str">
        <f t="shared" si="34"/>
        <v>nov</v>
      </c>
      <c r="V715">
        <f t="shared" si="35"/>
        <v>2016</v>
      </c>
      <c r="W715">
        <f>_xlfn.XLOOKUP(A715,Absenteismo!A:A,Absenteismo!A:A,0)</f>
        <v>2013</v>
      </c>
    </row>
    <row r="716" spans="1:23" hidden="1" x14ac:dyDescent="0.3">
      <c r="A716">
        <v>2162</v>
      </c>
      <c r="B716">
        <v>40</v>
      </c>
      <c r="C716" t="s">
        <v>26</v>
      </c>
      <c r="D716" t="s">
        <v>29</v>
      </c>
      <c r="E716" t="s">
        <v>17</v>
      </c>
      <c r="F716" t="s">
        <v>21</v>
      </c>
      <c r="G716">
        <v>39</v>
      </c>
      <c r="H716">
        <v>4931</v>
      </c>
      <c r="I716" t="s">
        <v>19</v>
      </c>
      <c r="J716" s="2">
        <v>44909</v>
      </c>
      <c r="K716">
        <v>2</v>
      </c>
      <c r="L716" t="s">
        <v>25</v>
      </c>
      <c r="M716">
        <v>28</v>
      </c>
      <c r="N716">
        <v>8</v>
      </c>
      <c r="O716">
        <v>3</v>
      </c>
      <c r="P716" t="s">
        <v>25</v>
      </c>
      <c r="Q716" s="1">
        <v>3</v>
      </c>
      <c r="R716" s="2">
        <v>46174</v>
      </c>
      <c r="S716" s="2"/>
      <c r="T716" s="1" t="str">
        <f t="shared" si="33"/>
        <v>qua</v>
      </c>
      <c r="U716" s="1" t="str">
        <f t="shared" si="34"/>
        <v>dez</v>
      </c>
      <c r="V716">
        <f t="shared" si="35"/>
        <v>2022</v>
      </c>
      <c r="W716">
        <f>_xlfn.XLOOKUP(A716,Absenteismo!A:A,Absenteismo!A:A,0)</f>
        <v>2162</v>
      </c>
    </row>
    <row r="717" spans="1:23" hidden="1" x14ac:dyDescent="0.3">
      <c r="A717">
        <v>2168</v>
      </c>
      <c r="B717">
        <v>40</v>
      </c>
      <c r="C717" t="s">
        <v>26</v>
      </c>
      <c r="D717" t="s">
        <v>29</v>
      </c>
      <c r="E717" t="s">
        <v>17</v>
      </c>
      <c r="F717" t="s">
        <v>18</v>
      </c>
      <c r="G717">
        <v>45</v>
      </c>
      <c r="H717">
        <v>7433</v>
      </c>
      <c r="I717" t="s">
        <v>28</v>
      </c>
      <c r="J717" s="2">
        <v>44425</v>
      </c>
      <c r="K717">
        <v>21</v>
      </c>
      <c r="L717" t="s">
        <v>20</v>
      </c>
      <c r="M717">
        <v>11</v>
      </c>
      <c r="N717">
        <v>0</v>
      </c>
      <c r="O717">
        <v>4</v>
      </c>
      <c r="P717" t="s">
        <v>25</v>
      </c>
      <c r="Q717" s="1">
        <v>2</v>
      </c>
      <c r="R717" s="2">
        <v>46174</v>
      </c>
      <c r="S717" s="2"/>
      <c r="T717" s="1" t="str">
        <f t="shared" si="33"/>
        <v>ter</v>
      </c>
      <c r="U717" s="1" t="str">
        <f t="shared" si="34"/>
        <v>ago</v>
      </c>
      <c r="V717">
        <f t="shared" si="35"/>
        <v>2021</v>
      </c>
      <c r="W717">
        <f>_xlfn.XLOOKUP(A717,Absenteismo!A:A,Absenteismo!A:A,0)</f>
        <v>2168</v>
      </c>
    </row>
    <row r="718" spans="1:23" hidden="1" x14ac:dyDescent="0.3">
      <c r="A718">
        <v>2171</v>
      </c>
      <c r="B718">
        <v>40</v>
      </c>
      <c r="C718" t="s">
        <v>15</v>
      </c>
      <c r="D718" t="s">
        <v>29</v>
      </c>
      <c r="E718" t="s">
        <v>17</v>
      </c>
      <c r="F718" t="s">
        <v>23</v>
      </c>
      <c r="G718">
        <v>108</v>
      </c>
      <c r="H718">
        <v>6832</v>
      </c>
      <c r="I718" t="s">
        <v>28</v>
      </c>
      <c r="J718" s="2">
        <v>42797</v>
      </c>
      <c r="K718">
        <v>20</v>
      </c>
      <c r="L718" t="s">
        <v>20</v>
      </c>
      <c r="M718">
        <v>2</v>
      </c>
      <c r="N718">
        <v>1</v>
      </c>
      <c r="O718">
        <v>2</v>
      </c>
      <c r="P718" t="s">
        <v>25</v>
      </c>
      <c r="Q718" s="1">
        <v>3</v>
      </c>
      <c r="R718" s="2">
        <v>46174</v>
      </c>
      <c r="S718" s="2"/>
      <c r="T718" s="1" t="str">
        <f t="shared" si="33"/>
        <v>sex</v>
      </c>
      <c r="U718" s="1" t="str">
        <f t="shared" si="34"/>
        <v>mar</v>
      </c>
      <c r="V718">
        <f t="shared" si="35"/>
        <v>2017</v>
      </c>
      <c r="W718">
        <f>_xlfn.XLOOKUP(A718,Absenteismo!A:A,Absenteismo!A:A,0)</f>
        <v>2171</v>
      </c>
    </row>
    <row r="719" spans="1:23" x14ac:dyDescent="0.3">
      <c r="A719">
        <v>2196</v>
      </c>
      <c r="B719">
        <v>40</v>
      </c>
      <c r="C719" t="s">
        <v>26</v>
      </c>
      <c r="D719" t="s">
        <v>16</v>
      </c>
      <c r="E719" t="s">
        <v>17</v>
      </c>
      <c r="F719" t="s">
        <v>18</v>
      </c>
      <c r="G719">
        <v>96</v>
      </c>
      <c r="H719">
        <v>3540</v>
      </c>
      <c r="I719" t="s">
        <v>24</v>
      </c>
      <c r="J719" s="2">
        <v>43045</v>
      </c>
      <c r="K719">
        <v>2</v>
      </c>
      <c r="L719" t="s">
        <v>20</v>
      </c>
      <c r="M719">
        <v>10</v>
      </c>
      <c r="N719">
        <v>9</v>
      </c>
      <c r="O719">
        <v>3</v>
      </c>
      <c r="P719" t="s">
        <v>25</v>
      </c>
      <c r="Q719" s="1">
        <v>2</v>
      </c>
      <c r="R719" s="2">
        <v>46174</v>
      </c>
      <c r="S719" s="2"/>
      <c r="T719" s="1" t="str">
        <f t="shared" si="33"/>
        <v>seg</v>
      </c>
      <c r="U719" s="1" t="str">
        <f t="shared" si="34"/>
        <v>nov</v>
      </c>
      <c r="V719">
        <f t="shared" si="35"/>
        <v>2017</v>
      </c>
      <c r="W719">
        <f>_xlfn.XLOOKUP(A719,Absenteismo!A:A,Absenteismo!A:A,0)</f>
        <v>0</v>
      </c>
    </row>
    <row r="720" spans="1:23" hidden="1" x14ac:dyDescent="0.3">
      <c r="A720">
        <v>1949</v>
      </c>
      <c r="B720">
        <v>40</v>
      </c>
      <c r="C720" t="s">
        <v>15</v>
      </c>
      <c r="D720" t="s">
        <v>27</v>
      </c>
      <c r="E720" t="s">
        <v>17</v>
      </c>
      <c r="F720" t="s">
        <v>21</v>
      </c>
      <c r="G720">
        <v>6</v>
      </c>
      <c r="H720">
        <v>3054</v>
      </c>
      <c r="I720" t="s">
        <v>19</v>
      </c>
      <c r="J720" s="2">
        <v>45737</v>
      </c>
      <c r="K720">
        <v>13</v>
      </c>
      <c r="L720" t="s">
        <v>25</v>
      </c>
      <c r="M720">
        <v>9</v>
      </c>
      <c r="N720">
        <v>3</v>
      </c>
      <c r="O720">
        <v>3</v>
      </c>
      <c r="P720" t="s">
        <v>25</v>
      </c>
      <c r="Q720" s="1">
        <v>1</v>
      </c>
      <c r="R720" s="2">
        <v>46174</v>
      </c>
      <c r="S720" s="2"/>
      <c r="T720" s="1" t="str">
        <f t="shared" si="33"/>
        <v>sex</v>
      </c>
      <c r="U720" s="1" t="str">
        <f t="shared" si="34"/>
        <v>mar</v>
      </c>
      <c r="V720">
        <f t="shared" si="35"/>
        <v>2025</v>
      </c>
      <c r="W720">
        <f>_xlfn.XLOOKUP(A720,Absenteismo!A:A,Absenteismo!A:A,0)</f>
        <v>1949</v>
      </c>
    </row>
    <row r="721" spans="1:23" hidden="1" x14ac:dyDescent="0.3">
      <c r="A721">
        <v>2150</v>
      </c>
      <c r="B721">
        <v>40</v>
      </c>
      <c r="C721" t="s">
        <v>26</v>
      </c>
      <c r="D721" t="s">
        <v>16</v>
      </c>
      <c r="E721" t="s">
        <v>17</v>
      </c>
      <c r="F721" t="s">
        <v>23</v>
      </c>
      <c r="G721">
        <v>96</v>
      </c>
      <c r="H721">
        <v>5001</v>
      </c>
      <c r="I721" t="s">
        <v>30</v>
      </c>
      <c r="J721" s="2">
        <v>43013</v>
      </c>
      <c r="K721">
        <v>40</v>
      </c>
      <c r="L721" t="s">
        <v>25</v>
      </c>
      <c r="M721">
        <v>21</v>
      </c>
      <c r="N721">
        <v>12</v>
      </c>
      <c r="O721">
        <v>5</v>
      </c>
      <c r="P721" t="s">
        <v>25</v>
      </c>
      <c r="Q721" s="1">
        <v>2</v>
      </c>
      <c r="R721" s="2">
        <v>46174</v>
      </c>
      <c r="S721" s="2"/>
      <c r="T721" s="1" t="str">
        <f t="shared" si="33"/>
        <v>qui</v>
      </c>
      <c r="U721" s="1" t="str">
        <f t="shared" si="34"/>
        <v>out</v>
      </c>
      <c r="V721">
        <f t="shared" si="35"/>
        <v>2017</v>
      </c>
      <c r="W721">
        <f>_xlfn.XLOOKUP(A721,Absenteismo!A:A,Absenteismo!A:A,0)</f>
        <v>2150</v>
      </c>
    </row>
    <row r="722" spans="1:23" x14ac:dyDescent="0.3">
      <c r="A722">
        <v>1137</v>
      </c>
      <c r="B722">
        <v>41</v>
      </c>
      <c r="C722" t="s">
        <v>26</v>
      </c>
      <c r="D722" t="s">
        <v>22</v>
      </c>
      <c r="E722" t="s">
        <v>17</v>
      </c>
      <c r="F722" t="s">
        <v>21</v>
      </c>
      <c r="G722">
        <v>55</v>
      </c>
      <c r="H722">
        <v>3446</v>
      </c>
      <c r="I722" t="s">
        <v>33</v>
      </c>
      <c r="J722" s="2">
        <v>44099</v>
      </c>
      <c r="K722">
        <v>59</v>
      </c>
      <c r="L722" t="s">
        <v>25</v>
      </c>
      <c r="M722">
        <v>11</v>
      </c>
      <c r="N722">
        <v>8</v>
      </c>
      <c r="O722">
        <v>4</v>
      </c>
      <c r="P722" t="s">
        <v>20</v>
      </c>
      <c r="Q722" s="1">
        <v>1</v>
      </c>
      <c r="R722" s="2">
        <v>46174</v>
      </c>
      <c r="S722" s="2">
        <v>45772</v>
      </c>
      <c r="T722" s="1" t="str">
        <f t="shared" si="33"/>
        <v>sex</v>
      </c>
      <c r="U722" s="1" t="str">
        <f t="shared" si="34"/>
        <v>set</v>
      </c>
      <c r="V722">
        <f t="shared" si="35"/>
        <v>2020</v>
      </c>
      <c r="W722">
        <f>_xlfn.XLOOKUP(A722,Absenteismo!A:A,Absenteismo!A:A,0)</f>
        <v>0</v>
      </c>
    </row>
    <row r="723" spans="1:23" hidden="1" x14ac:dyDescent="0.3">
      <c r="A723">
        <v>2135</v>
      </c>
      <c r="B723">
        <v>41</v>
      </c>
      <c r="C723" t="s">
        <v>26</v>
      </c>
      <c r="D723" t="s">
        <v>31</v>
      </c>
      <c r="E723" t="s">
        <v>34</v>
      </c>
      <c r="F723" t="s">
        <v>21</v>
      </c>
      <c r="G723">
        <v>1</v>
      </c>
      <c r="H723">
        <v>3563</v>
      </c>
      <c r="I723" t="s">
        <v>33</v>
      </c>
      <c r="J723" s="2">
        <v>45758</v>
      </c>
      <c r="K723">
        <v>41</v>
      </c>
      <c r="L723" t="s">
        <v>20</v>
      </c>
      <c r="M723">
        <v>22</v>
      </c>
      <c r="N723">
        <v>1</v>
      </c>
      <c r="O723">
        <v>5</v>
      </c>
      <c r="P723" t="s">
        <v>20</v>
      </c>
      <c r="Q723" s="1">
        <v>1</v>
      </c>
      <c r="R723" s="2">
        <v>46174</v>
      </c>
      <c r="S723" s="2">
        <v>45788</v>
      </c>
      <c r="T723" s="1" t="str">
        <f t="shared" si="33"/>
        <v>sex</v>
      </c>
      <c r="U723" s="1" t="str">
        <f t="shared" si="34"/>
        <v>abr</v>
      </c>
      <c r="V723">
        <f t="shared" si="35"/>
        <v>2025</v>
      </c>
      <c r="W723">
        <f>_xlfn.XLOOKUP(A723,Absenteismo!A:A,Absenteismo!A:A,0)</f>
        <v>2135</v>
      </c>
    </row>
    <row r="724" spans="1:23" hidden="1" x14ac:dyDescent="0.3">
      <c r="A724">
        <v>1741</v>
      </c>
      <c r="B724">
        <v>41</v>
      </c>
      <c r="C724" t="s">
        <v>26</v>
      </c>
      <c r="D724" t="s">
        <v>29</v>
      </c>
      <c r="E724" t="s">
        <v>17</v>
      </c>
      <c r="F724" t="s">
        <v>23</v>
      </c>
      <c r="G724">
        <v>74</v>
      </c>
      <c r="H724">
        <v>3927</v>
      </c>
      <c r="I724" t="s">
        <v>28</v>
      </c>
      <c r="J724" s="2">
        <v>43612</v>
      </c>
      <c r="K724">
        <v>24</v>
      </c>
      <c r="L724" t="s">
        <v>20</v>
      </c>
      <c r="M724">
        <v>17</v>
      </c>
      <c r="N724">
        <v>3</v>
      </c>
      <c r="O724">
        <v>2</v>
      </c>
      <c r="P724" t="s">
        <v>20</v>
      </c>
      <c r="Q724" s="1">
        <v>3</v>
      </c>
      <c r="R724" s="2">
        <v>46174</v>
      </c>
      <c r="S724" s="2">
        <v>45865</v>
      </c>
      <c r="T724" s="1" t="str">
        <f t="shared" si="33"/>
        <v>seg</v>
      </c>
      <c r="U724" s="1" t="str">
        <f t="shared" si="34"/>
        <v>mai</v>
      </c>
      <c r="V724">
        <f t="shared" si="35"/>
        <v>2019</v>
      </c>
      <c r="W724">
        <f>_xlfn.XLOOKUP(A724,Absenteismo!A:A,Absenteismo!A:A,0)</f>
        <v>1741</v>
      </c>
    </row>
    <row r="725" spans="1:23" hidden="1" x14ac:dyDescent="0.3">
      <c r="A725">
        <v>1737</v>
      </c>
      <c r="B725">
        <v>41</v>
      </c>
      <c r="C725" t="s">
        <v>26</v>
      </c>
      <c r="D725" t="s">
        <v>22</v>
      </c>
      <c r="E725" t="s">
        <v>17</v>
      </c>
      <c r="F725" t="s">
        <v>21</v>
      </c>
      <c r="G725">
        <v>55</v>
      </c>
      <c r="H725">
        <v>3446</v>
      </c>
      <c r="I725" t="s">
        <v>33</v>
      </c>
      <c r="J725" s="2">
        <v>44217</v>
      </c>
      <c r="K725">
        <v>39</v>
      </c>
      <c r="L725" t="s">
        <v>25</v>
      </c>
      <c r="M725">
        <v>11</v>
      </c>
      <c r="N725">
        <v>8</v>
      </c>
      <c r="O725">
        <v>4</v>
      </c>
      <c r="P725" t="s">
        <v>20</v>
      </c>
      <c r="Q725" s="1">
        <v>2</v>
      </c>
      <c r="R725" s="2">
        <v>46174</v>
      </c>
      <c r="S725" s="2">
        <v>45890</v>
      </c>
      <c r="T725" s="1" t="str">
        <f t="shared" si="33"/>
        <v>qui</v>
      </c>
      <c r="U725" s="1" t="str">
        <f t="shared" si="34"/>
        <v>jan</v>
      </c>
      <c r="V725">
        <f t="shared" si="35"/>
        <v>2021</v>
      </c>
      <c r="W725">
        <f>_xlfn.XLOOKUP(A725,Absenteismo!A:A,Absenteismo!A:A,0)</f>
        <v>1737</v>
      </c>
    </row>
    <row r="726" spans="1:23" hidden="1" x14ac:dyDescent="0.3">
      <c r="A726">
        <v>1535</v>
      </c>
      <c r="B726">
        <v>41</v>
      </c>
      <c r="C726" t="s">
        <v>26</v>
      </c>
      <c r="D726" t="s">
        <v>31</v>
      </c>
      <c r="E726" t="s">
        <v>34</v>
      </c>
      <c r="F726" t="s">
        <v>21</v>
      </c>
      <c r="G726">
        <v>1</v>
      </c>
      <c r="H726">
        <v>3563</v>
      </c>
      <c r="I726" t="s">
        <v>33</v>
      </c>
      <c r="J726" s="2">
        <v>45889</v>
      </c>
      <c r="K726">
        <v>41</v>
      </c>
      <c r="L726" t="s">
        <v>20</v>
      </c>
      <c r="M726">
        <v>22</v>
      </c>
      <c r="N726">
        <v>1</v>
      </c>
      <c r="O726">
        <v>5</v>
      </c>
      <c r="P726" t="s">
        <v>20</v>
      </c>
      <c r="Q726" s="1">
        <v>2</v>
      </c>
      <c r="R726" s="2">
        <v>46174</v>
      </c>
      <c r="S726" s="2">
        <v>45920</v>
      </c>
      <c r="T726" s="1" t="str">
        <f t="shared" si="33"/>
        <v>qua</v>
      </c>
      <c r="U726" s="1" t="str">
        <f t="shared" si="34"/>
        <v>ago</v>
      </c>
      <c r="V726">
        <f t="shared" si="35"/>
        <v>2025</v>
      </c>
      <c r="W726">
        <f>_xlfn.XLOOKUP(A726,Absenteismo!A:A,Absenteismo!A:A,0)</f>
        <v>1535</v>
      </c>
    </row>
    <row r="727" spans="1:23" hidden="1" x14ac:dyDescent="0.3">
      <c r="A727">
        <v>1428</v>
      </c>
      <c r="B727">
        <v>41</v>
      </c>
      <c r="C727" t="s">
        <v>15</v>
      </c>
      <c r="D727" t="s">
        <v>29</v>
      </c>
      <c r="E727" t="s">
        <v>17</v>
      </c>
      <c r="F727" t="s">
        <v>23</v>
      </c>
      <c r="G727">
        <v>48</v>
      </c>
      <c r="H727">
        <v>4639</v>
      </c>
      <c r="I727" t="s">
        <v>30</v>
      </c>
      <c r="J727" s="2">
        <v>44485</v>
      </c>
      <c r="K727">
        <v>21</v>
      </c>
      <c r="L727" t="s">
        <v>25</v>
      </c>
      <c r="M727">
        <v>21</v>
      </c>
      <c r="N727">
        <v>12</v>
      </c>
      <c r="O727">
        <v>3</v>
      </c>
      <c r="P727" t="s">
        <v>20</v>
      </c>
      <c r="Q727" s="1">
        <v>1</v>
      </c>
      <c r="R727" s="2">
        <v>46174</v>
      </c>
      <c r="S727" s="2">
        <v>45946</v>
      </c>
      <c r="T727" s="1" t="str">
        <f t="shared" si="33"/>
        <v>sáb</v>
      </c>
      <c r="U727" s="1" t="str">
        <f t="shared" si="34"/>
        <v>out</v>
      </c>
      <c r="V727">
        <f t="shared" si="35"/>
        <v>2021</v>
      </c>
      <c r="W727">
        <f>_xlfn.XLOOKUP(A727,Absenteismo!A:A,Absenteismo!A:A,0)</f>
        <v>1428</v>
      </c>
    </row>
    <row r="728" spans="1:23" hidden="1" x14ac:dyDescent="0.3">
      <c r="A728">
        <v>1835</v>
      </c>
      <c r="B728">
        <v>41</v>
      </c>
      <c r="C728" t="s">
        <v>26</v>
      </c>
      <c r="D728" t="s">
        <v>31</v>
      </c>
      <c r="E728" t="s">
        <v>34</v>
      </c>
      <c r="F728" t="s">
        <v>21</v>
      </c>
      <c r="G728">
        <v>1</v>
      </c>
      <c r="H728">
        <v>3563</v>
      </c>
      <c r="I728" t="s">
        <v>33</v>
      </c>
      <c r="J728" s="2">
        <v>45927</v>
      </c>
      <c r="K728">
        <v>41</v>
      </c>
      <c r="L728" t="s">
        <v>20</v>
      </c>
      <c r="M728">
        <v>22</v>
      </c>
      <c r="N728">
        <v>1</v>
      </c>
      <c r="O728">
        <v>5</v>
      </c>
      <c r="P728" t="s">
        <v>20</v>
      </c>
      <c r="Q728" s="1">
        <v>1</v>
      </c>
      <c r="R728" s="2">
        <v>46174</v>
      </c>
      <c r="S728" s="2">
        <v>45957</v>
      </c>
      <c r="T728" s="1" t="str">
        <f t="shared" si="33"/>
        <v>sáb</v>
      </c>
      <c r="U728" s="1" t="str">
        <f t="shared" si="34"/>
        <v>set</v>
      </c>
      <c r="V728">
        <f t="shared" si="35"/>
        <v>2025</v>
      </c>
      <c r="W728">
        <f>_xlfn.XLOOKUP(A728,Absenteismo!A:A,Absenteismo!A:A,0)</f>
        <v>1835</v>
      </c>
    </row>
    <row r="729" spans="1:23" hidden="1" x14ac:dyDescent="0.3">
      <c r="A729">
        <v>1441</v>
      </c>
      <c r="B729">
        <v>41</v>
      </c>
      <c r="C729" t="s">
        <v>26</v>
      </c>
      <c r="D729" t="s">
        <v>29</v>
      </c>
      <c r="E729" t="s">
        <v>17</v>
      </c>
      <c r="F729" t="s">
        <v>23</v>
      </c>
      <c r="G729">
        <v>74</v>
      </c>
      <c r="H729">
        <v>3927</v>
      </c>
      <c r="I729" t="s">
        <v>28</v>
      </c>
      <c r="J729" s="2">
        <v>43715</v>
      </c>
      <c r="K729">
        <v>24</v>
      </c>
      <c r="L729" t="s">
        <v>20</v>
      </c>
      <c r="M729">
        <v>17</v>
      </c>
      <c r="N729">
        <v>3</v>
      </c>
      <c r="O729">
        <v>2</v>
      </c>
      <c r="P729" t="s">
        <v>20</v>
      </c>
      <c r="Q729" s="1">
        <v>2</v>
      </c>
      <c r="R729" s="2">
        <v>46174</v>
      </c>
      <c r="S729" s="2">
        <v>45968</v>
      </c>
      <c r="T729" s="1" t="str">
        <f t="shared" si="33"/>
        <v>sáb</v>
      </c>
      <c r="U729" s="1" t="str">
        <f t="shared" si="34"/>
        <v>set</v>
      </c>
      <c r="V729">
        <f t="shared" si="35"/>
        <v>2019</v>
      </c>
      <c r="W729">
        <f>_xlfn.XLOOKUP(A729,Absenteismo!A:A,Absenteismo!A:A,0)</f>
        <v>1441</v>
      </c>
    </row>
    <row r="730" spans="1:23" hidden="1" x14ac:dyDescent="0.3">
      <c r="A730">
        <v>1728</v>
      </c>
      <c r="B730">
        <v>41</v>
      </c>
      <c r="C730" t="s">
        <v>15</v>
      </c>
      <c r="D730" t="s">
        <v>29</v>
      </c>
      <c r="E730" t="s">
        <v>17</v>
      </c>
      <c r="F730" t="s">
        <v>23</v>
      </c>
      <c r="G730">
        <v>48</v>
      </c>
      <c r="H730">
        <v>4639</v>
      </c>
      <c r="I730" t="s">
        <v>30</v>
      </c>
      <c r="J730" s="2">
        <v>44572</v>
      </c>
      <c r="K730">
        <v>21</v>
      </c>
      <c r="L730" t="s">
        <v>25</v>
      </c>
      <c r="M730">
        <v>21</v>
      </c>
      <c r="N730">
        <v>12</v>
      </c>
      <c r="O730">
        <v>3</v>
      </c>
      <c r="P730" t="s">
        <v>20</v>
      </c>
      <c r="Q730" s="1">
        <v>2</v>
      </c>
      <c r="R730" s="2">
        <v>46174</v>
      </c>
      <c r="S730" s="2">
        <v>46033</v>
      </c>
      <c r="T730" s="1" t="str">
        <f t="shared" si="33"/>
        <v>ter</v>
      </c>
      <c r="U730" s="1" t="str">
        <f t="shared" si="34"/>
        <v>jan</v>
      </c>
      <c r="V730">
        <f t="shared" si="35"/>
        <v>2022</v>
      </c>
      <c r="W730">
        <f>_xlfn.XLOOKUP(A730,Absenteismo!A:A,Absenteismo!A:A,0)</f>
        <v>1728</v>
      </c>
    </row>
    <row r="731" spans="1:23" x14ac:dyDescent="0.3">
      <c r="A731">
        <v>1128</v>
      </c>
      <c r="B731">
        <v>41</v>
      </c>
      <c r="C731" t="s">
        <v>15</v>
      </c>
      <c r="D731" t="s">
        <v>29</v>
      </c>
      <c r="E731" t="s">
        <v>17</v>
      </c>
      <c r="F731" t="s">
        <v>23</v>
      </c>
      <c r="G731">
        <v>48</v>
      </c>
      <c r="H731">
        <v>4639</v>
      </c>
      <c r="I731" t="s">
        <v>30</v>
      </c>
      <c r="J731" s="2">
        <v>44600</v>
      </c>
      <c r="K731">
        <v>21</v>
      </c>
      <c r="L731" t="s">
        <v>25</v>
      </c>
      <c r="M731">
        <v>21</v>
      </c>
      <c r="N731">
        <v>12</v>
      </c>
      <c r="O731">
        <v>3</v>
      </c>
      <c r="P731" t="s">
        <v>20</v>
      </c>
      <c r="Q731" s="1">
        <v>1</v>
      </c>
      <c r="R731" s="2">
        <v>46174</v>
      </c>
      <c r="S731" s="2">
        <v>46061</v>
      </c>
      <c r="T731" s="1" t="str">
        <f t="shared" si="33"/>
        <v>ter</v>
      </c>
      <c r="U731" s="1" t="str">
        <f t="shared" si="34"/>
        <v>fev</v>
      </c>
      <c r="V731">
        <f t="shared" si="35"/>
        <v>2022</v>
      </c>
      <c r="W731">
        <f>_xlfn.XLOOKUP(A731,Absenteismo!A:A,Absenteismo!A:A,0)</f>
        <v>0</v>
      </c>
    </row>
    <row r="732" spans="1:23" x14ac:dyDescent="0.3">
      <c r="A732">
        <v>1141</v>
      </c>
      <c r="B732">
        <v>41</v>
      </c>
      <c r="C732" t="s">
        <v>26</v>
      </c>
      <c r="D732" t="s">
        <v>29</v>
      </c>
      <c r="E732" t="s">
        <v>17</v>
      </c>
      <c r="F732" t="s">
        <v>23</v>
      </c>
      <c r="G732">
        <v>74</v>
      </c>
      <c r="H732">
        <v>3927</v>
      </c>
      <c r="I732" t="s">
        <v>28</v>
      </c>
      <c r="J732" s="2">
        <v>43844</v>
      </c>
      <c r="K732">
        <v>24</v>
      </c>
      <c r="L732" t="s">
        <v>20</v>
      </c>
      <c r="M732">
        <v>17</v>
      </c>
      <c r="N732">
        <v>3</v>
      </c>
      <c r="O732">
        <v>2</v>
      </c>
      <c r="P732" t="s">
        <v>20</v>
      </c>
      <c r="Q732" s="1">
        <v>1</v>
      </c>
      <c r="R732" s="2">
        <v>46174</v>
      </c>
      <c r="S732" s="2">
        <v>46095</v>
      </c>
      <c r="T732" s="1" t="str">
        <f t="shared" si="33"/>
        <v>ter</v>
      </c>
      <c r="U732" s="1" t="str">
        <f t="shared" si="34"/>
        <v>jan</v>
      </c>
      <c r="V732">
        <f t="shared" si="35"/>
        <v>2020</v>
      </c>
      <c r="W732">
        <f>_xlfn.XLOOKUP(A732,Absenteismo!A:A,Absenteismo!A:A,0)</f>
        <v>0</v>
      </c>
    </row>
    <row r="733" spans="1:23" hidden="1" x14ac:dyDescent="0.3">
      <c r="A733">
        <v>1437</v>
      </c>
      <c r="B733">
        <v>41</v>
      </c>
      <c r="C733" t="s">
        <v>26</v>
      </c>
      <c r="D733" t="s">
        <v>22</v>
      </c>
      <c r="E733" t="s">
        <v>17</v>
      </c>
      <c r="F733" t="s">
        <v>21</v>
      </c>
      <c r="G733">
        <v>55</v>
      </c>
      <c r="H733">
        <v>3446</v>
      </c>
      <c r="I733" t="s">
        <v>33</v>
      </c>
      <c r="J733" s="2">
        <v>44424</v>
      </c>
      <c r="K733">
        <v>39</v>
      </c>
      <c r="L733" t="s">
        <v>25</v>
      </c>
      <c r="M733">
        <v>11</v>
      </c>
      <c r="N733">
        <v>8</v>
      </c>
      <c r="O733">
        <v>4</v>
      </c>
      <c r="P733" t="s">
        <v>20</v>
      </c>
      <c r="Q733" s="1">
        <v>1</v>
      </c>
      <c r="R733" s="2">
        <v>46174</v>
      </c>
      <c r="S733" s="2">
        <v>46097</v>
      </c>
      <c r="T733" s="1" t="str">
        <f t="shared" si="33"/>
        <v>seg</v>
      </c>
      <c r="U733" s="1" t="str">
        <f t="shared" si="34"/>
        <v>ago</v>
      </c>
      <c r="V733">
        <f t="shared" si="35"/>
        <v>2021</v>
      </c>
      <c r="W733">
        <f>_xlfn.XLOOKUP(A733,Absenteismo!A:A,Absenteismo!A:A,0)</f>
        <v>1437</v>
      </c>
    </row>
    <row r="734" spans="1:23" hidden="1" x14ac:dyDescent="0.3">
      <c r="A734">
        <v>1235</v>
      </c>
      <c r="B734">
        <v>41</v>
      </c>
      <c r="C734" t="s">
        <v>26</v>
      </c>
      <c r="D734" t="s">
        <v>31</v>
      </c>
      <c r="E734" t="s">
        <v>34</v>
      </c>
      <c r="F734" t="s">
        <v>21</v>
      </c>
      <c r="G734">
        <v>1</v>
      </c>
      <c r="H734">
        <v>3563</v>
      </c>
      <c r="I734" t="s">
        <v>33</v>
      </c>
      <c r="J734" s="2">
        <v>46125</v>
      </c>
      <c r="K734">
        <v>41</v>
      </c>
      <c r="L734" t="s">
        <v>20</v>
      </c>
      <c r="M734">
        <v>22</v>
      </c>
      <c r="N734">
        <v>1</v>
      </c>
      <c r="O734">
        <v>5</v>
      </c>
      <c r="P734" t="s">
        <v>20</v>
      </c>
      <c r="Q734" s="1">
        <v>1</v>
      </c>
      <c r="R734" s="2">
        <v>46174</v>
      </c>
      <c r="S734" s="2">
        <v>46155</v>
      </c>
      <c r="T734" s="1" t="str">
        <f t="shared" si="33"/>
        <v>seg</v>
      </c>
      <c r="U734" s="1" t="str">
        <f t="shared" si="34"/>
        <v>abr</v>
      </c>
      <c r="V734">
        <f t="shared" si="35"/>
        <v>2026</v>
      </c>
      <c r="W734">
        <f>_xlfn.XLOOKUP(A734,Absenteismo!A:A,Absenteismo!A:A,0)</f>
        <v>1235</v>
      </c>
    </row>
    <row r="735" spans="1:23" x14ac:dyDescent="0.3">
      <c r="A735">
        <v>1093</v>
      </c>
      <c r="B735">
        <v>41</v>
      </c>
      <c r="C735" t="s">
        <v>26</v>
      </c>
      <c r="D735" t="s">
        <v>16</v>
      </c>
      <c r="E735" t="s">
        <v>17</v>
      </c>
      <c r="F735" t="s">
        <v>18</v>
      </c>
      <c r="G735">
        <v>25</v>
      </c>
      <c r="H735">
        <v>3800</v>
      </c>
      <c r="I735" t="s">
        <v>33</v>
      </c>
      <c r="J735" s="2">
        <v>45234</v>
      </c>
      <c r="K735">
        <v>6</v>
      </c>
      <c r="L735" t="s">
        <v>20</v>
      </c>
      <c r="M735">
        <v>1</v>
      </c>
      <c r="N735">
        <v>0</v>
      </c>
      <c r="O735">
        <v>4</v>
      </c>
      <c r="P735" t="s">
        <v>25</v>
      </c>
      <c r="Q735" s="1">
        <v>2</v>
      </c>
      <c r="R735" s="2">
        <v>46174</v>
      </c>
      <c r="S735" s="2"/>
      <c r="T735" s="1" t="str">
        <f t="shared" si="33"/>
        <v>sáb</v>
      </c>
      <c r="U735" s="1" t="str">
        <f t="shared" si="34"/>
        <v>nov</v>
      </c>
      <c r="V735">
        <f t="shared" si="35"/>
        <v>2023</v>
      </c>
      <c r="W735">
        <f>_xlfn.XLOOKUP(A735,Absenteismo!A:A,Absenteismo!A:A,0)</f>
        <v>0</v>
      </c>
    </row>
    <row r="736" spans="1:23" hidden="1" x14ac:dyDescent="0.3">
      <c r="A736">
        <v>1106</v>
      </c>
      <c r="B736">
        <v>41</v>
      </c>
      <c r="C736" t="s">
        <v>26</v>
      </c>
      <c r="D736" t="s">
        <v>27</v>
      </c>
      <c r="E736" t="s">
        <v>17</v>
      </c>
      <c r="F736" t="s">
        <v>21</v>
      </c>
      <c r="G736">
        <v>77</v>
      </c>
      <c r="H736">
        <v>3495</v>
      </c>
      <c r="I736" t="s">
        <v>30</v>
      </c>
      <c r="J736" s="2">
        <v>43511</v>
      </c>
      <c r="K736">
        <v>10</v>
      </c>
      <c r="L736" t="s">
        <v>20</v>
      </c>
      <c r="M736">
        <v>3</v>
      </c>
      <c r="N736">
        <v>10</v>
      </c>
      <c r="O736">
        <v>2</v>
      </c>
      <c r="P736" t="s">
        <v>25</v>
      </c>
      <c r="Q736" s="1">
        <v>2</v>
      </c>
      <c r="R736" s="2">
        <v>46174</v>
      </c>
      <c r="S736" s="2"/>
      <c r="T736" s="1" t="str">
        <f t="shared" si="33"/>
        <v>sex</v>
      </c>
      <c r="U736" s="1" t="str">
        <f t="shared" si="34"/>
        <v>fev</v>
      </c>
      <c r="V736">
        <f t="shared" si="35"/>
        <v>2019</v>
      </c>
      <c r="W736">
        <f>_xlfn.XLOOKUP(A736,Absenteismo!A:A,Absenteismo!A:A,0)</f>
        <v>1106</v>
      </c>
    </row>
    <row r="737" spans="1:23" hidden="1" x14ac:dyDescent="0.3">
      <c r="A737">
        <v>1145</v>
      </c>
      <c r="B737">
        <v>41</v>
      </c>
      <c r="C737" t="s">
        <v>26</v>
      </c>
      <c r="D737" t="s">
        <v>22</v>
      </c>
      <c r="E737" t="s">
        <v>17</v>
      </c>
      <c r="F737" t="s">
        <v>21</v>
      </c>
      <c r="G737">
        <v>17</v>
      </c>
      <c r="H737">
        <v>3506</v>
      </c>
      <c r="I737" t="s">
        <v>30</v>
      </c>
      <c r="J737" s="2">
        <v>45267</v>
      </c>
      <c r="K737">
        <v>20</v>
      </c>
      <c r="L737" t="s">
        <v>20</v>
      </c>
      <c r="M737">
        <v>30</v>
      </c>
      <c r="N737">
        <v>8</v>
      </c>
      <c r="O737">
        <v>5</v>
      </c>
      <c r="P737" t="s">
        <v>25</v>
      </c>
      <c r="Q737" s="1">
        <v>3</v>
      </c>
      <c r="R737" s="2">
        <v>46174</v>
      </c>
      <c r="S737" s="2"/>
      <c r="T737" s="1" t="str">
        <f t="shared" si="33"/>
        <v>qui</v>
      </c>
      <c r="U737" s="1" t="str">
        <f t="shared" si="34"/>
        <v>dez</v>
      </c>
      <c r="V737">
        <f t="shared" si="35"/>
        <v>2023</v>
      </c>
      <c r="W737">
        <f>_xlfn.XLOOKUP(A737,Absenteismo!A:A,Absenteismo!A:A,0)</f>
        <v>1145</v>
      </c>
    </row>
    <row r="738" spans="1:23" x14ac:dyDescent="0.3">
      <c r="A738">
        <v>1156</v>
      </c>
      <c r="B738">
        <v>41</v>
      </c>
      <c r="C738" t="s">
        <v>26</v>
      </c>
      <c r="D738" t="s">
        <v>29</v>
      </c>
      <c r="E738" t="s">
        <v>17</v>
      </c>
      <c r="F738" t="s">
        <v>18</v>
      </c>
      <c r="G738">
        <v>7</v>
      </c>
      <c r="H738">
        <v>7471</v>
      </c>
      <c r="I738" t="s">
        <v>28</v>
      </c>
      <c r="J738" s="2">
        <v>45815</v>
      </c>
      <c r="K738">
        <v>13</v>
      </c>
      <c r="L738" t="s">
        <v>20</v>
      </c>
      <c r="M738">
        <v>18</v>
      </c>
      <c r="N738">
        <v>1</v>
      </c>
      <c r="O738">
        <v>5</v>
      </c>
      <c r="P738" t="s">
        <v>25</v>
      </c>
      <c r="Q738" s="1">
        <v>2</v>
      </c>
      <c r="R738" s="2">
        <v>46174</v>
      </c>
      <c r="S738" s="2"/>
      <c r="T738" s="1" t="str">
        <f t="shared" si="33"/>
        <v>sáb</v>
      </c>
      <c r="U738" s="1" t="str">
        <f t="shared" si="34"/>
        <v>jun</v>
      </c>
      <c r="V738">
        <f t="shared" si="35"/>
        <v>2025</v>
      </c>
      <c r="W738">
        <f>_xlfn.XLOOKUP(A738,Absenteismo!A:A,Absenteismo!A:A,0)</f>
        <v>0</v>
      </c>
    </row>
    <row r="739" spans="1:23" hidden="1" x14ac:dyDescent="0.3">
      <c r="A739">
        <v>1211</v>
      </c>
      <c r="B739">
        <v>41</v>
      </c>
      <c r="C739" t="s">
        <v>26</v>
      </c>
      <c r="D739" t="s">
        <v>31</v>
      </c>
      <c r="E739" t="s">
        <v>34</v>
      </c>
      <c r="F739" t="s">
        <v>21</v>
      </c>
      <c r="G739">
        <v>79</v>
      </c>
      <c r="H739">
        <v>4401</v>
      </c>
      <c r="I739" t="s">
        <v>33</v>
      </c>
      <c r="J739" s="2">
        <v>43671</v>
      </c>
      <c r="K739">
        <v>7</v>
      </c>
      <c r="L739" t="s">
        <v>20</v>
      </c>
      <c r="M739">
        <v>0</v>
      </c>
      <c r="N739">
        <v>6</v>
      </c>
      <c r="O739">
        <v>4</v>
      </c>
      <c r="P739" t="s">
        <v>25</v>
      </c>
      <c r="Q739" s="1">
        <v>3</v>
      </c>
      <c r="R739" s="2">
        <v>46174</v>
      </c>
      <c r="S739" s="2"/>
      <c r="T739" s="1" t="str">
        <f t="shared" si="33"/>
        <v>qui</v>
      </c>
      <c r="U739" s="1" t="str">
        <f t="shared" si="34"/>
        <v>jul</v>
      </c>
      <c r="V739">
        <f t="shared" si="35"/>
        <v>2019</v>
      </c>
      <c r="W739">
        <f>_xlfn.XLOOKUP(A739,Absenteismo!A:A,Absenteismo!A:A,0)</f>
        <v>1211</v>
      </c>
    </row>
    <row r="740" spans="1:23" hidden="1" x14ac:dyDescent="0.3">
      <c r="A740">
        <v>1253</v>
      </c>
      <c r="B740">
        <v>41</v>
      </c>
      <c r="C740" t="s">
        <v>26</v>
      </c>
      <c r="D740" t="s">
        <v>31</v>
      </c>
      <c r="E740" t="s">
        <v>32</v>
      </c>
      <c r="F740" t="s">
        <v>23</v>
      </c>
      <c r="G740">
        <v>71</v>
      </c>
      <c r="H740">
        <v>6235</v>
      </c>
      <c r="I740" t="s">
        <v>19</v>
      </c>
      <c r="J740" s="2">
        <v>44029</v>
      </c>
      <c r="K740">
        <v>21</v>
      </c>
      <c r="L740" t="s">
        <v>20</v>
      </c>
      <c r="M740">
        <v>20</v>
      </c>
      <c r="N740">
        <v>4</v>
      </c>
      <c r="O740">
        <v>2</v>
      </c>
      <c r="P740" t="s">
        <v>25</v>
      </c>
      <c r="Q740" s="1">
        <v>1</v>
      </c>
      <c r="R740" s="2">
        <v>46174</v>
      </c>
      <c r="S740" s="2"/>
      <c r="T740" s="1" t="str">
        <f t="shared" si="33"/>
        <v>sex</v>
      </c>
      <c r="U740" s="1" t="str">
        <f t="shared" si="34"/>
        <v>jul</v>
      </c>
      <c r="V740">
        <f t="shared" si="35"/>
        <v>2020</v>
      </c>
      <c r="W740">
        <f>_xlfn.XLOOKUP(A740,Absenteismo!A:A,Absenteismo!A:A,0)</f>
        <v>1253</v>
      </c>
    </row>
    <row r="741" spans="1:23" hidden="1" x14ac:dyDescent="0.3">
      <c r="A741">
        <v>1393</v>
      </c>
      <c r="B741">
        <v>41</v>
      </c>
      <c r="C741" t="s">
        <v>26</v>
      </c>
      <c r="D741" t="s">
        <v>16</v>
      </c>
      <c r="E741" t="s">
        <v>17</v>
      </c>
      <c r="F741" t="s">
        <v>18</v>
      </c>
      <c r="G741">
        <v>25</v>
      </c>
      <c r="H741">
        <v>3800</v>
      </c>
      <c r="I741" t="s">
        <v>33</v>
      </c>
      <c r="J741" s="2">
        <v>45109</v>
      </c>
      <c r="K741">
        <v>6</v>
      </c>
      <c r="L741" t="s">
        <v>20</v>
      </c>
      <c r="M741">
        <v>1</v>
      </c>
      <c r="N741">
        <v>0</v>
      </c>
      <c r="O741">
        <v>4</v>
      </c>
      <c r="P741" t="s">
        <v>25</v>
      </c>
      <c r="Q741" s="1">
        <v>3</v>
      </c>
      <c r="R741" s="2">
        <v>46174</v>
      </c>
      <c r="S741" s="2"/>
      <c r="T741" s="1" t="str">
        <f t="shared" si="33"/>
        <v>dom</v>
      </c>
      <c r="U741" s="1" t="str">
        <f t="shared" si="34"/>
        <v>jul</v>
      </c>
      <c r="V741">
        <f t="shared" si="35"/>
        <v>2023</v>
      </c>
      <c r="W741">
        <f>_xlfn.XLOOKUP(A741,Absenteismo!A:A,Absenteismo!A:A,0)</f>
        <v>1393</v>
      </c>
    </row>
    <row r="742" spans="1:23" hidden="1" x14ac:dyDescent="0.3">
      <c r="A742">
        <v>1406</v>
      </c>
      <c r="B742">
        <v>41</v>
      </c>
      <c r="C742" t="s">
        <v>26</v>
      </c>
      <c r="D742" t="s">
        <v>27</v>
      </c>
      <c r="E742" t="s">
        <v>17</v>
      </c>
      <c r="F742" t="s">
        <v>21</v>
      </c>
      <c r="G742">
        <v>77</v>
      </c>
      <c r="H742">
        <v>3495</v>
      </c>
      <c r="I742" t="s">
        <v>30</v>
      </c>
      <c r="J742" s="2">
        <v>43528</v>
      </c>
      <c r="K742">
        <v>10</v>
      </c>
      <c r="L742" t="s">
        <v>20</v>
      </c>
      <c r="M742">
        <v>3</v>
      </c>
      <c r="N742">
        <v>10</v>
      </c>
      <c r="O742">
        <v>2</v>
      </c>
      <c r="P742" t="s">
        <v>25</v>
      </c>
      <c r="Q742" s="1">
        <v>1</v>
      </c>
      <c r="R742" s="2">
        <v>46174</v>
      </c>
      <c r="S742" s="2"/>
      <c r="T742" s="1" t="str">
        <f t="shared" si="33"/>
        <v>seg</v>
      </c>
      <c r="U742" s="1" t="str">
        <f t="shared" si="34"/>
        <v>mar</v>
      </c>
      <c r="V742">
        <f t="shared" si="35"/>
        <v>2019</v>
      </c>
      <c r="W742">
        <f>_xlfn.XLOOKUP(A742,Absenteismo!A:A,Absenteismo!A:A,0)</f>
        <v>1406</v>
      </c>
    </row>
    <row r="743" spans="1:23" hidden="1" x14ac:dyDescent="0.3">
      <c r="A743">
        <v>1445</v>
      </c>
      <c r="B743">
        <v>41</v>
      </c>
      <c r="C743" t="s">
        <v>26</v>
      </c>
      <c r="D743" t="s">
        <v>22</v>
      </c>
      <c r="E743" t="s">
        <v>17</v>
      </c>
      <c r="F743" t="s">
        <v>21</v>
      </c>
      <c r="G743">
        <v>17</v>
      </c>
      <c r="H743">
        <v>3506</v>
      </c>
      <c r="I743" t="s">
        <v>30</v>
      </c>
      <c r="J743" s="2">
        <v>45521</v>
      </c>
      <c r="K743">
        <v>20</v>
      </c>
      <c r="L743" t="s">
        <v>20</v>
      </c>
      <c r="M743">
        <v>30</v>
      </c>
      <c r="N743">
        <v>8</v>
      </c>
      <c r="O743">
        <v>5</v>
      </c>
      <c r="P743" t="s">
        <v>25</v>
      </c>
      <c r="Q743" s="1">
        <v>2</v>
      </c>
      <c r="R743" s="2">
        <v>46174</v>
      </c>
      <c r="S743" s="2"/>
      <c r="T743" s="1" t="str">
        <f t="shared" si="33"/>
        <v>sáb</v>
      </c>
      <c r="U743" s="1" t="str">
        <f t="shared" si="34"/>
        <v>ago</v>
      </c>
      <c r="V743">
        <f t="shared" si="35"/>
        <v>2024</v>
      </c>
      <c r="W743">
        <f>_xlfn.XLOOKUP(A743,Absenteismo!A:A,Absenteismo!A:A,0)</f>
        <v>1445</v>
      </c>
    </row>
    <row r="744" spans="1:23" hidden="1" x14ac:dyDescent="0.3">
      <c r="A744">
        <v>1456</v>
      </c>
      <c r="B744">
        <v>41</v>
      </c>
      <c r="C744" t="s">
        <v>26</v>
      </c>
      <c r="D744" t="s">
        <v>29</v>
      </c>
      <c r="E744" t="s">
        <v>17</v>
      </c>
      <c r="F744" t="s">
        <v>18</v>
      </c>
      <c r="G744">
        <v>7</v>
      </c>
      <c r="H744">
        <v>7471</v>
      </c>
      <c r="I744" t="s">
        <v>28</v>
      </c>
      <c r="J744" s="2">
        <v>45990</v>
      </c>
      <c r="K744">
        <v>13</v>
      </c>
      <c r="L744" t="s">
        <v>20</v>
      </c>
      <c r="M744">
        <v>18</v>
      </c>
      <c r="N744">
        <v>1</v>
      </c>
      <c r="O744">
        <v>5</v>
      </c>
      <c r="P744" t="s">
        <v>25</v>
      </c>
      <c r="Q744" s="1">
        <v>2</v>
      </c>
      <c r="R744" s="2">
        <v>46174</v>
      </c>
      <c r="S744" s="2"/>
      <c r="T744" s="1" t="str">
        <f t="shared" si="33"/>
        <v>sáb</v>
      </c>
      <c r="U744" s="1" t="str">
        <f t="shared" si="34"/>
        <v>nov</v>
      </c>
      <c r="V744">
        <f t="shared" si="35"/>
        <v>2025</v>
      </c>
      <c r="W744">
        <f>_xlfn.XLOOKUP(A744,Absenteismo!A:A,Absenteismo!A:A,0)</f>
        <v>1456</v>
      </c>
    </row>
    <row r="745" spans="1:23" hidden="1" x14ac:dyDescent="0.3">
      <c r="A745">
        <v>1511</v>
      </c>
      <c r="B745">
        <v>41</v>
      </c>
      <c r="C745" t="s">
        <v>26</v>
      </c>
      <c r="D745" t="s">
        <v>31</v>
      </c>
      <c r="E745" t="s">
        <v>34</v>
      </c>
      <c r="F745" t="s">
        <v>21</v>
      </c>
      <c r="G745">
        <v>79</v>
      </c>
      <c r="H745">
        <v>4401</v>
      </c>
      <c r="I745" t="s">
        <v>33</v>
      </c>
      <c r="J745" s="2">
        <v>43486</v>
      </c>
      <c r="K745">
        <v>7</v>
      </c>
      <c r="L745" t="s">
        <v>20</v>
      </c>
      <c r="M745">
        <v>0</v>
      </c>
      <c r="N745">
        <v>6</v>
      </c>
      <c r="O745">
        <v>4</v>
      </c>
      <c r="P745" t="s">
        <v>25</v>
      </c>
      <c r="Q745" s="1">
        <v>2</v>
      </c>
      <c r="R745" s="2">
        <v>46174</v>
      </c>
      <c r="S745" s="2"/>
      <c r="T745" s="1" t="str">
        <f t="shared" si="33"/>
        <v>seg</v>
      </c>
      <c r="U745" s="1" t="str">
        <f t="shared" si="34"/>
        <v>jan</v>
      </c>
      <c r="V745">
        <f t="shared" si="35"/>
        <v>2019</v>
      </c>
      <c r="W745">
        <f>_xlfn.XLOOKUP(A745,Absenteismo!A:A,Absenteismo!A:A,0)</f>
        <v>1511</v>
      </c>
    </row>
    <row r="746" spans="1:23" hidden="1" x14ac:dyDescent="0.3">
      <c r="A746">
        <v>1553</v>
      </c>
      <c r="B746">
        <v>41</v>
      </c>
      <c r="C746" t="s">
        <v>26</v>
      </c>
      <c r="D746" t="s">
        <v>31</v>
      </c>
      <c r="E746" t="s">
        <v>32</v>
      </c>
      <c r="F746" t="s">
        <v>23</v>
      </c>
      <c r="G746">
        <v>71</v>
      </c>
      <c r="H746">
        <v>6235</v>
      </c>
      <c r="I746" t="s">
        <v>19</v>
      </c>
      <c r="J746" s="2">
        <v>43657</v>
      </c>
      <c r="K746">
        <v>21</v>
      </c>
      <c r="L746" t="s">
        <v>20</v>
      </c>
      <c r="M746">
        <v>20</v>
      </c>
      <c r="N746">
        <v>4</v>
      </c>
      <c r="O746">
        <v>2</v>
      </c>
      <c r="P746" t="s">
        <v>25</v>
      </c>
      <c r="Q746" s="1">
        <v>1</v>
      </c>
      <c r="R746" s="2">
        <v>46174</v>
      </c>
      <c r="S746" s="2"/>
      <c r="T746" s="1" t="str">
        <f t="shared" si="33"/>
        <v>qui</v>
      </c>
      <c r="U746" s="1" t="str">
        <f t="shared" si="34"/>
        <v>jul</v>
      </c>
      <c r="V746">
        <f t="shared" si="35"/>
        <v>2019</v>
      </c>
      <c r="W746">
        <f>_xlfn.XLOOKUP(A746,Absenteismo!A:A,Absenteismo!A:A,0)</f>
        <v>1553</v>
      </c>
    </row>
    <row r="747" spans="1:23" hidden="1" x14ac:dyDescent="0.3">
      <c r="A747">
        <v>1693</v>
      </c>
      <c r="B747">
        <v>41</v>
      </c>
      <c r="C747" t="s">
        <v>26</v>
      </c>
      <c r="D747" t="s">
        <v>16</v>
      </c>
      <c r="E747" t="s">
        <v>17</v>
      </c>
      <c r="F747" t="s">
        <v>18</v>
      </c>
      <c r="G747">
        <v>25</v>
      </c>
      <c r="H747">
        <v>3800</v>
      </c>
      <c r="I747" t="s">
        <v>33</v>
      </c>
      <c r="J747" s="2">
        <v>45264</v>
      </c>
      <c r="K747">
        <v>6</v>
      </c>
      <c r="L747" t="s">
        <v>20</v>
      </c>
      <c r="M747">
        <v>1</v>
      </c>
      <c r="N747">
        <v>0</v>
      </c>
      <c r="O747">
        <v>4</v>
      </c>
      <c r="P747" t="s">
        <v>25</v>
      </c>
      <c r="Q747" s="1">
        <v>2</v>
      </c>
      <c r="R747" s="2">
        <v>46174</v>
      </c>
      <c r="S747" s="2"/>
      <c r="T747" s="1" t="str">
        <f t="shared" si="33"/>
        <v>seg</v>
      </c>
      <c r="U747" s="1" t="str">
        <f t="shared" si="34"/>
        <v>dez</v>
      </c>
      <c r="V747">
        <f t="shared" si="35"/>
        <v>2023</v>
      </c>
      <c r="W747">
        <f>_xlfn.XLOOKUP(A747,Absenteismo!A:A,Absenteismo!A:A,0)</f>
        <v>1693</v>
      </c>
    </row>
    <row r="748" spans="1:23" hidden="1" x14ac:dyDescent="0.3">
      <c r="A748">
        <v>1706</v>
      </c>
      <c r="B748">
        <v>41</v>
      </c>
      <c r="C748" t="s">
        <v>26</v>
      </c>
      <c r="D748" t="s">
        <v>27</v>
      </c>
      <c r="E748" t="s">
        <v>17</v>
      </c>
      <c r="F748" t="s">
        <v>21</v>
      </c>
      <c r="G748">
        <v>77</v>
      </c>
      <c r="H748">
        <v>3495</v>
      </c>
      <c r="I748" t="s">
        <v>30</v>
      </c>
      <c r="J748" s="2">
        <v>43600</v>
      </c>
      <c r="K748">
        <v>10</v>
      </c>
      <c r="L748" t="s">
        <v>20</v>
      </c>
      <c r="M748">
        <v>3</v>
      </c>
      <c r="N748">
        <v>10</v>
      </c>
      <c r="O748">
        <v>2</v>
      </c>
      <c r="P748" t="s">
        <v>25</v>
      </c>
      <c r="Q748" s="1">
        <v>3</v>
      </c>
      <c r="R748" s="2">
        <v>46174</v>
      </c>
      <c r="S748" s="2"/>
      <c r="T748" s="1" t="str">
        <f t="shared" si="33"/>
        <v>qua</v>
      </c>
      <c r="U748" s="1" t="str">
        <f t="shared" si="34"/>
        <v>mai</v>
      </c>
      <c r="V748">
        <f t="shared" si="35"/>
        <v>2019</v>
      </c>
      <c r="W748">
        <f>_xlfn.XLOOKUP(A748,Absenteismo!A:A,Absenteismo!A:A,0)</f>
        <v>1706</v>
      </c>
    </row>
    <row r="749" spans="1:23" hidden="1" x14ac:dyDescent="0.3">
      <c r="A749">
        <v>1745</v>
      </c>
      <c r="B749">
        <v>41</v>
      </c>
      <c r="C749" t="s">
        <v>26</v>
      </c>
      <c r="D749" t="s">
        <v>22</v>
      </c>
      <c r="E749" t="s">
        <v>17</v>
      </c>
      <c r="F749" t="s">
        <v>21</v>
      </c>
      <c r="G749">
        <v>17</v>
      </c>
      <c r="H749">
        <v>3506</v>
      </c>
      <c r="I749" t="s">
        <v>30</v>
      </c>
      <c r="J749" s="2">
        <v>45459</v>
      </c>
      <c r="K749">
        <v>20</v>
      </c>
      <c r="L749" t="s">
        <v>20</v>
      </c>
      <c r="M749">
        <v>30</v>
      </c>
      <c r="N749">
        <v>8</v>
      </c>
      <c r="O749">
        <v>5</v>
      </c>
      <c r="P749" t="s">
        <v>25</v>
      </c>
      <c r="Q749" s="1">
        <v>1</v>
      </c>
      <c r="R749" s="2">
        <v>46174</v>
      </c>
      <c r="S749" s="2"/>
      <c r="T749" s="1" t="str">
        <f t="shared" si="33"/>
        <v>dom</v>
      </c>
      <c r="U749" s="1" t="str">
        <f t="shared" si="34"/>
        <v>jun</v>
      </c>
      <c r="V749">
        <f t="shared" si="35"/>
        <v>2024</v>
      </c>
      <c r="W749">
        <f>_xlfn.XLOOKUP(A749,Absenteismo!A:A,Absenteismo!A:A,0)</f>
        <v>1745</v>
      </c>
    </row>
    <row r="750" spans="1:23" hidden="1" x14ac:dyDescent="0.3">
      <c r="A750">
        <v>1756</v>
      </c>
      <c r="B750">
        <v>41</v>
      </c>
      <c r="C750" t="s">
        <v>26</v>
      </c>
      <c r="D750" t="s">
        <v>29</v>
      </c>
      <c r="E750" t="s">
        <v>17</v>
      </c>
      <c r="F750" t="s">
        <v>18</v>
      </c>
      <c r="G750">
        <v>7</v>
      </c>
      <c r="H750">
        <v>7471</v>
      </c>
      <c r="I750" t="s">
        <v>28</v>
      </c>
      <c r="J750" s="2">
        <v>45553</v>
      </c>
      <c r="K750">
        <v>13</v>
      </c>
      <c r="L750" t="s">
        <v>20</v>
      </c>
      <c r="M750">
        <v>18</v>
      </c>
      <c r="N750">
        <v>1</v>
      </c>
      <c r="O750">
        <v>5</v>
      </c>
      <c r="P750" t="s">
        <v>25</v>
      </c>
      <c r="Q750" s="1">
        <v>3</v>
      </c>
      <c r="R750" s="2">
        <v>46174</v>
      </c>
      <c r="S750" s="2"/>
      <c r="T750" s="1" t="str">
        <f t="shared" si="33"/>
        <v>qua</v>
      </c>
      <c r="U750" s="1" t="str">
        <f t="shared" si="34"/>
        <v>set</v>
      </c>
      <c r="V750">
        <f t="shared" si="35"/>
        <v>2024</v>
      </c>
      <c r="W750">
        <f>_xlfn.XLOOKUP(A750,Absenteismo!A:A,Absenteismo!A:A,0)</f>
        <v>1756</v>
      </c>
    </row>
    <row r="751" spans="1:23" hidden="1" x14ac:dyDescent="0.3">
      <c r="A751">
        <v>1811</v>
      </c>
      <c r="B751">
        <v>41</v>
      </c>
      <c r="C751" t="s">
        <v>26</v>
      </c>
      <c r="D751" t="s">
        <v>31</v>
      </c>
      <c r="E751" t="s">
        <v>34</v>
      </c>
      <c r="F751" t="s">
        <v>21</v>
      </c>
      <c r="G751">
        <v>79</v>
      </c>
      <c r="H751">
        <v>4401</v>
      </c>
      <c r="I751" t="s">
        <v>33</v>
      </c>
      <c r="J751" s="2">
        <v>43487</v>
      </c>
      <c r="K751">
        <v>7</v>
      </c>
      <c r="L751" t="s">
        <v>20</v>
      </c>
      <c r="M751">
        <v>0</v>
      </c>
      <c r="N751">
        <v>6</v>
      </c>
      <c r="O751">
        <v>4</v>
      </c>
      <c r="P751" t="s">
        <v>25</v>
      </c>
      <c r="Q751" s="1">
        <v>3</v>
      </c>
      <c r="R751" s="2">
        <v>46174</v>
      </c>
      <c r="S751" s="2"/>
      <c r="T751" s="1" t="str">
        <f t="shared" si="33"/>
        <v>ter</v>
      </c>
      <c r="U751" s="1" t="str">
        <f t="shared" si="34"/>
        <v>jan</v>
      </c>
      <c r="V751">
        <f t="shared" si="35"/>
        <v>2019</v>
      </c>
      <c r="W751">
        <f>_xlfn.XLOOKUP(A751,Absenteismo!A:A,Absenteismo!A:A,0)</f>
        <v>1811</v>
      </c>
    </row>
    <row r="752" spans="1:23" hidden="1" x14ac:dyDescent="0.3">
      <c r="A752">
        <v>1853</v>
      </c>
      <c r="B752">
        <v>41</v>
      </c>
      <c r="C752" t="s">
        <v>26</v>
      </c>
      <c r="D752" t="s">
        <v>31</v>
      </c>
      <c r="E752" t="s">
        <v>32</v>
      </c>
      <c r="F752" t="s">
        <v>23</v>
      </c>
      <c r="G752">
        <v>71</v>
      </c>
      <c r="H752">
        <v>6235</v>
      </c>
      <c r="I752" t="s">
        <v>19</v>
      </c>
      <c r="J752" s="2">
        <v>43841</v>
      </c>
      <c r="K752">
        <v>21</v>
      </c>
      <c r="L752" t="s">
        <v>20</v>
      </c>
      <c r="M752">
        <v>20</v>
      </c>
      <c r="N752">
        <v>4</v>
      </c>
      <c r="O752">
        <v>2</v>
      </c>
      <c r="P752" t="s">
        <v>25</v>
      </c>
      <c r="Q752" s="1">
        <v>1</v>
      </c>
      <c r="R752" s="2">
        <v>46174</v>
      </c>
      <c r="S752" s="2"/>
      <c r="T752" s="1" t="str">
        <f t="shared" si="33"/>
        <v>sáb</v>
      </c>
      <c r="U752" s="1" t="str">
        <f t="shared" si="34"/>
        <v>jan</v>
      </c>
      <c r="V752">
        <f t="shared" si="35"/>
        <v>2020</v>
      </c>
      <c r="W752">
        <f>_xlfn.XLOOKUP(A752,Absenteismo!A:A,Absenteismo!A:A,0)</f>
        <v>1853</v>
      </c>
    </row>
    <row r="753" spans="1:23" hidden="1" x14ac:dyDescent="0.3">
      <c r="A753">
        <v>1993</v>
      </c>
      <c r="B753">
        <v>41</v>
      </c>
      <c r="C753" t="s">
        <v>26</v>
      </c>
      <c r="D753" t="s">
        <v>16</v>
      </c>
      <c r="E753" t="s">
        <v>17</v>
      </c>
      <c r="F753" t="s">
        <v>18</v>
      </c>
      <c r="G753">
        <v>25</v>
      </c>
      <c r="H753">
        <v>3800</v>
      </c>
      <c r="I753" t="s">
        <v>33</v>
      </c>
      <c r="J753" s="2">
        <v>45041</v>
      </c>
      <c r="K753">
        <v>6</v>
      </c>
      <c r="L753" t="s">
        <v>20</v>
      </c>
      <c r="M753">
        <v>1</v>
      </c>
      <c r="N753">
        <v>0</v>
      </c>
      <c r="O753">
        <v>4</v>
      </c>
      <c r="P753" t="s">
        <v>25</v>
      </c>
      <c r="Q753" s="1">
        <v>2</v>
      </c>
      <c r="R753" s="2">
        <v>46174</v>
      </c>
      <c r="S753" s="2"/>
      <c r="T753" s="1" t="str">
        <f t="shared" si="33"/>
        <v>ter</v>
      </c>
      <c r="U753" s="1" t="str">
        <f t="shared" si="34"/>
        <v>abr</v>
      </c>
      <c r="V753">
        <f t="shared" si="35"/>
        <v>2023</v>
      </c>
      <c r="W753">
        <f>_xlfn.XLOOKUP(A753,Absenteismo!A:A,Absenteismo!A:A,0)</f>
        <v>1993</v>
      </c>
    </row>
    <row r="754" spans="1:23" hidden="1" x14ac:dyDescent="0.3">
      <c r="A754">
        <v>2006</v>
      </c>
      <c r="B754">
        <v>41</v>
      </c>
      <c r="C754" t="s">
        <v>26</v>
      </c>
      <c r="D754" t="s">
        <v>27</v>
      </c>
      <c r="E754" t="s">
        <v>17</v>
      </c>
      <c r="F754" t="s">
        <v>21</v>
      </c>
      <c r="G754">
        <v>77</v>
      </c>
      <c r="H754">
        <v>3495</v>
      </c>
      <c r="I754" t="s">
        <v>30</v>
      </c>
      <c r="J754" s="2">
        <v>43754</v>
      </c>
      <c r="K754">
        <v>10</v>
      </c>
      <c r="L754" t="s">
        <v>20</v>
      </c>
      <c r="M754">
        <v>3</v>
      </c>
      <c r="N754">
        <v>10</v>
      </c>
      <c r="O754">
        <v>2</v>
      </c>
      <c r="P754" t="s">
        <v>25</v>
      </c>
      <c r="Q754" s="1">
        <v>2</v>
      </c>
      <c r="R754" s="2">
        <v>46174</v>
      </c>
      <c r="S754" s="2"/>
      <c r="T754" s="1" t="str">
        <f t="shared" si="33"/>
        <v>qua</v>
      </c>
      <c r="U754" s="1" t="str">
        <f t="shared" si="34"/>
        <v>out</v>
      </c>
      <c r="V754">
        <f t="shared" si="35"/>
        <v>2019</v>
      </c>
      <c r="W754">
        <f>_xlfn.XLOOKUP(A754,Absenteismo!A:A,Absenteismo!A:A,0)</f>
        <v>2006</v>
      </c>
    </row>
    <row r="755" spans="1:23" hidden="1" x14ac:dyDescent="0.3">
      <c r="A755">
        <v>2045</v>
      </c>
      <c r="B755">
        <v>41</v>
      </c>
      <c r="C755" t="s">
        <v>26</v>
      </c>
      <c r="D755" t="s">
        <v>22</v>
      </c>
      <c r="E755" t="s">
        <v>17</v>
      </c>
      <c r="F755" t="s">
        <v>21</v>
      </c>
      <c r="G755">
        <v>17</v>
      </c>
      <c r="H755">
        <v>3506</v>
      </c>
      <c r="I755" t="s">
        <v>30</v>
      </c>
      <c r="J755" s="2">
        <v>45319</v>
      </c>
      <c r="K755">
        <v>20</v>
      </c>
      <c r="L755" t="s">
        <v>20</v>
      </c>
      <c r="M755">
        <v>30</v>
      </c>
      <c r="N755">
        <v>8</v>
      </c>
      <c r="O755">
        <v>5</v>
      </c>
      <c r="P755" t="s">
        <v>25</v>
      </c>
      <c r="Q755" s="1">
        <v>1</v>
      </c>
      <c r="R755" s="2">
        <v>46174</v>
      </c>
      <c r="S755" s="2"/>
      <c r="T755" s="1" t="str">
        <f t="shared" si="33"/>
        <v>dom</v>
      </c>
      <c r="U755" s="1" t="str">
        <f t="shared" si="34"/>
        <v>jan</v>
      </c>
      <c r="V755">
        <f t="shared" si="35"/>
        <v>2024</v>
      </c>
      <c r="W755">
        <f>_xlfn.XLOOKUP(A755,Absenteismo!A:A,Absenteismo!A:A,0)</f>
        <v>2045</v>
      </c>
    </row>
    <row r="756" spans="1:23" hidden="1" x14ac:dyDescent="0.3">
      <c r="A756">
        <v>2056</v>
      </c>
      <c r="B756">
        <v>41</v>
      </c>
      <c r="C756" t="s">
        <v>26</v>
      </c>
      <c r="D756" t="s">
        <v>29</v>
      </c>
      <c r="E756" t="s">
        <v>17</v>
      </c>
      <c r="F756" t="s">
        <v>18</v>
      </c>
      <c r="G756">
        <v>7</v>
      </c>
      <c r="H756">
        <v>7471</v>
      </c>
      <c r="I756" t="s">
        <v>28</v>
      </c>
      <c r="J756" s="2">
        <v>45936</v>
      </c>
      <c r="K756">
        <v>13</v>
      </c>
      <c r="L756" t="s">
        <v>20</v>
      </c>
      <c r="M756">
        <v>18</v>
      </c>
      <c r="N756">
        <v>1</v>
      </c>
      <c r="O756">
        <v>5</v>
      </c>
      <c r="P756" t="s">
        <v>25</v>
      </c>
      <c r="Q756" s="1">
        <v>2</v>
      </c>
      <c r="R756" s="2">
        <v>46174</v>
      </c>
      <c r="S756" s="2"/>
      <c r="T756" s="1" t="str">
        <f t="shared" si="33"/>
        <v>seg</v>
      </c>
      <c r="U756" s="1" t="str">
        <f t="shared" si="34"/>
        <v>out</v>
      </c>
      <c r="V756">
        <f t="shared" si="35"/>
        <v>2025</v>
      </c>
      <c r="W756">
        <f>_xlfn.XLOOKUP(A756,Absenteismo!A:A,Absenteismo!A:A,0)</f>
        <v>2056</v>
      </c>
    </row>
    <row r="757" spans="1:23" hidden="1" x14ac:dyDescent="0.3">
      <c r="A757">
        <v>2111</v>
      </c>
      <c r="B757">
        <v>41</v>
      </c>
      <c r="C757" t="s">
        <v>26</v>
      </c>
      <c r="D757" t="s">
        <v>31</v>
      </c>
      <c r="E757" t="s">
        <v>34</v>
      </c>
      <c r="F757" t="s">
        <v>21</v>
      </c>
      <c r="G757">
        <v>79</v>
      </c>
      <c r="H757">
        <v>4401</v>
      </c>
      <c r="I757" t="s">
        <v>33</v>
      </c>
      <c r="J757" s="2">
        <v>43666</v>
      </c>
      <c r="K757">
        <v>7</v>
      </c>
      <c r="L757" t="s">
        <v>20</v>
      </c>
      <c r="M757">
        <v>0</v>
      </c>
      <c r="N757">
        <v>6</v>
      </c>
      <c r="O757">
        <v>4</v>
      </c>
      <c r="P757" t="s">
        <v>25</v>
      </c>
      <c r="Q757" s="1">
        <v>1</v>
      </c>
      <c r="R757" s="2">
        <v>46174</v>
      </c>
      <c r="S757" s="2"/>
      <c r="T757" s="1" t="str">
        <f t="shared" si="33"/>
        <v>sáb</v>
      </c>
      <c r="U757" s="1" t="str">
        <f t="shared" si="34"/>
        <v>jul</v>
      </c>
      <c r="V757">
        <f t="shared" si="35"/>
        <v>2019</v>
      </c>
      <c r="W757">
        <f>_xlfn.XLOOKUP(A757,Absenteismo!A:A,Absenteismo!A:A,0)</f>
        <v>2111</v>
      </c>
    </row>
    <row r="758" spans="1:23" hidden="1" x14ac:dyDescent="0.3">
      <c r="A758">
        <v>2153</v>
      </c>
      <c r="B758">
        <v>41</v>
      </c>
      <c r="C758" t="s">
        <v>26</v>
      </c>
      <c r="D758" t="s">
        <v>31</v>
      </c>
      <c r="E758" t="s">
        <v>32</v>
      </c>
      <c r="F758" t="s">
        <v>23</v>
      </c>
      <c r="G758">
        <v>71</v>
      </c>
      <c r="H758">
        <v>6235</v>
      </c>
      <c r="I758" t="s">
        <v>19</v>
      </c>
      <c r="J758" s="2">
        <v>44003</v>
      </c>
      <c r="K758">
        <v>21</v>
      </c>
      <c r="L758" t="s">
        <v>20</v>
      </c>
      <c r="M758">
        <v>20</v>
      </c>
      <c r="N758">
        <v>4</v>
      </c>
      <c r="O758">
        <v>2</v>
      </c>
      <c r="P758" t="s">
        <v>25</v>
      </c>
      <c r="Q758" s="1">
        <v>3</v>
      </c>
      <c r="R758" s="2">
        <v>46174</v>
      </c>
      <c r="S758" s="2"/>
      <c r="T758" s="1" t="str">
        <f t="shared" si="33"/>
        <v>dom</v>
      </c>
      <c r="U758" s="1" t="str">
        <f t="shared" si="34"/>
        <v>jun</v>
      </c>
      <c r="V758">
        <f t="shared" si="35"/>
        <v>2020</v>
      </c>
      <c r="W758">
        <f>_xlfn.XLOOKUP(A758,Absenteismo!A:A,Absenteismo!A:A,0)</f>
        <v>2153</v>
      </c>
    </row>
    <row r="759" spans="1:23" x14ac:dyDescent="0.3">
      <c r="A759">
        <v>2201</v>
      </c>
      <c r="B759">
        <v>41</v>
      </c>
      <c r="C759" t="s">
        <v>26</v>
      </c>
      <c r="D759" t="s">
        <v>29</v>
      </c>
      <c r="E759" t="s">
        <v>17</v>
      </c>
      <c r="F759" t="s">
        <v>21</v>
      </c>
      <c r="G759">
        <v>2</v>
      </c>
      <c r="H759">
        <v>4629</v>
      </c>
      <c r="I759" t="s">
        <v>28</v>
      </c>
      <c r="J759" s="2">
        <v>45971</v>
      </c>
      <c r="K759">
        <v>22</v>
      </c>
      <c r="L759" t="s">
        <v>20</v>
      </c>
      <c r="M759">
        <v>12</v>
      </c>
      <c r="N759">
        <v>9</v>
      </c>
      <c r="O759">
        <v>8</v>
      </c>
      <c r="P759" t="s">
        <v>25</v>
      </c>
      <c r="Q759" s="1">
        <v>1</v>
      </c>
      <c r="R759" s="2">
        <v>46174</v>
      </c>
      <c r="S759" s="2"/>
      <c r="T759" s="1" t="str">
        <f t="shared" si="33"/>
        <v>seg</v>
      </c>
      <c r="U759" s="1" t="str">
        <f t="shared" si="34"/>
        <v>nov</v>
      </c>
      <c r="V759">
        <f t="shared" si="35"/>
        <v>2025</v>
      </c>
      <c r="W759">
        <f>_xlfn.XLOOKUP(A759,Absenteismo!A:A,Absenteismo!A:A,0)</f>
        <v>0</v>
      </c>
    </row>
    <row r="760" spans="1:23" hidden="1" x14ac:dyDescent="0.3">
      <c r="A760">
        <v>2028</v>
      </c>
      <c r="B760">
        <v>41</v>
      </c>
      <c r="C760" t="s">
        <v>15</v>
      </c>
      <c r="D760" t="s">
        <v>29</v>
      </c>
      <c r="E760" t="s">
        <v>17</v>
      </c>
      <c r="F760" t="s">
        <v>23</v>
      </c>
      <c r="G760">
        <v>48</v>
      </c>
      <c r="H760">
        <v>4639</v>
      </c>
      <c r="I760" t="s">
        <v>30</v>
      </c>
      <c r="J760" s="2">
        <v>44595</v>
      </c>
      <c r="K760">
        <v>21</v>
      </c>
      <c r="L760" t="s">
        <v>25</v>
      </c>
      <c r="M760">
        <v>21</v>
      </c>
      <c r="N760">
        <v>12</v>
      </c>
      <c r="O760">
        <v>3</v>
      </c>
      <c r="P760" t="s">
        <v>25</v>
      </c>
      <c r="Q760" s="1">
        <v>3</v>
      </c>
      <c r="R760" s="2">
        <v>46174</v>
      </c>
      <c r="S760" s="2"/>
      <c r="T760" s="1" t="str">
        <f t="shared" si="33"/>
        <v>qui</v>
      </c>
      <c r="U760" s="1" t="str">
        <f t="shared" si="34"/>
        <v>fev</v>
      </c>
      <c r="V760">
        <f t="shared" si="35"/>
        <v>2022</v>
      </c>
      <c r="W760">
        <f>_xlfn.XLOOKUP(A760,Absenteismo!A:A,Absenteismo!A:A,0)</f>
        <v>2028</v>
      </c>
    </row>
    <row r="761" spans="1:23" hidden="1" x14ac:dyDescent="0.3">
      <c r="A761">
        <v>2037</v>
      </c>
      <c r="B761">
        <v>41</v>
      </c>
      <c r="C761" t="s">
        <v>26</v>
      </c>
      <c r="D761" t="s">
        <v>22</v>
      </c>
      <c r="E761" t="s">
        <v>17</v>
      </c>
      <c r="F761" t="s">
        <v>21</v>
      </c>
      <c r="G761">
        <v>55</v>
      </c>
      <c r="H761">
        <v>3446</v>
      </c>
      <c r="I761" t="s">
        <v>33</v>
      </c>
      <c r="J761" s="2">
        <v>44391</v>
      </c>
      <c r="K761">
        <v>39</v>
      </c>
      <c r="L761" t="s">
        <v>25</v>
      </c>
      <c r="M761">
        <v>11</v>
      </c>
      <c r="N761">
        <v>8</v>
      </c>
      <c r="O761">
        <v>4</v>
      </c>
      <c r="P761" t="s">
        <v>25</v>
      </c>
      <c r="Q761" s="1">
        <v>2</v>
      </c>
      <c r="R761" s="2">
        <v>46174</v>
      </c>
      <c r="S761" s="2"/>
      <c r="T761" s="1" t="str">
        <f t="shared" si="33"/>
        <v>qua</v>
      </c>
      <c r="U761" s="1" t="str">
        <f t="shared" si="34"/>
        <v>jul</v>
      </c>
      <c r="V761">
        <f t="shared" si="35"/>
        <v>2021</v>
      </c>
      <c r="W761">
        <f>_xlfn.XLOOKUP(A761,Absenteismo!A:A,Absenteismo!A:A,0)</f>
        <v>2037</v>
      </c>
    </row>
    <row r="762" spans="1:23" hidden="1" x14ac:dyDescent="0.3">
      <c r="A762">
        <v>2041</v>
      </c>
      <c r="B762">
        <v>41</v>
      </c>
      <c r="C762" t="s">
        <v>26</v>
      </c>
      <c r="D762" t="s">
        <v>29</v>
      </c>
      <c r="E762" t="s">
        <v>17</v>
      </c>
      <c r="F762" t="s">
        <v>23</v>
      </c>
      <c r="G762">
        <v>74</v>
      </c>
      <c r="H762">
        <v>3927</v>
      </c>
      <c r="I762" t="s">
        <v>28</v>
      </c>
      <c r="J762" s="2">
        <v>43882</v>
      </c>
      <c r="K762">
        <v>24</v>
      </c>
      <c r="L762" t="s">
        <v>20</v>
      </c>
      <c r="M762">
        <v>17</v>
      </c>
      <c r="N762">
        <v>3</v>
      </c>
      <c r="O762">
        <v>2</v>
      </c>
      <c r="P762" t="s">
        <v>25</v>
      </c>
      <c r="Q762" s="1">
        <v>1</v>
      </c>
      <c r="R762" s="2">
        <v>46174</v>
      </c>
      <c r="S762" s="2"/>
      <c r="T762" s="1" t="str">
        <f t="shared" si="33"/>
        <v>sex</v>
      </c>
      <c r="U762" s="1" t="str">
        <f t="shared" si="34"/>
        <v>fev</v>
      </c>
      <c r="V762">
        <f t="shared" si="35"/>
        <v>2020</v>
      </c>
      <c r="W762">
        <f>_xlfn.XLOOKUP(A762,Absenteismo!A:A,Absenteismo!A:A,0)</f>
        <v>2041</v>
      </c>
    </row>
    <row r="763" spans="1:23" hidden="1" x14ac:dyDescent="0.3">
      <c r="A763">
        <v>1721</v>
      </c>
      <c r="B763">
        <v>42</v>
      </c>
      <c r="C763" t="s">
        <v>26</v>
      </c>
      <c r="D763" t="s">
        <v>22</v>
      </c>
      <c r="E763" t="s">
        <v>17</v>
      </c>
      <c r="F763" t="s">
        <v>21</v>
      </c>
      <c r="G763">
        <v>90</v>
      </c>
      <c r="H763">
        <v>7112</v>
      </c>
      <c r="I763" t="s">
        <v>30</v>
      </c>
      <c r="J763" s="2">
        <v>43062</v>
      </c>
      <c r="K763">
        <v>52</v>
      </c>
      <c r="L763" t="s">
        <v>20</v>
      </c>
      <c r="M763">
        <v>32</v>
      </c>
      <c r="N763">
        <v>5</v>
      </c>
      <c r="O763">
        <v>2</v>
      </c>
      <c r="P763" t="s">
        <v>20</v>
      </c>
      <c r="Q763" s="1">
        <v>2</v>
      </c>
      <c r="R763" s="2">
        <v>46174</v>
      </c>
      <c r="S763" s="2">
        <v>45800</v>
      </c>
      <c r="T763" s="1" t="str">
        <f t="shared" si="33"/>
        <v>qui</v>
      </c>
      <c r="U763" s="1" t="str">
        <f t="shared" si="34"/>
        <v>nov</v>
      </c>
      <c r="V763">
        <f t="shared" si="35"/>
        <v>2017</v>
      </c>
      <c r="W763">
        <f>_xlfn.XLOOKUP(A763,Absenteismo!A:A,Absenteismo!A:A,0)</f>
        <v>1721</v>
      </c>
    </row>
    <row r="764" spans="1:23" x14ac:dyDescent="0.3">
      <c r="A764">
        <v>1007</v>
      </c>
      <c r="B764">
        <v>42</v>
      </c>
      <c r="C764" t="s">
        <v>26</v>
      </c>
      <c r="D764" t="s">
        <v>31</v>
      </c>
      <c r="E764" t="s">
        <v>32</v>
      </c>
      <c r="F764" t="s">
        <v>21</v>
      </c>
      <c r="G764">
        <v>42</v>
      </c>
      <c r="H764">
        <v>3258</v>
      </c>
      <c r="I764" t="s">
        <v>19</v>
      </c>
      <c r="J764" s="2">
        <v>44564</v>
      </c>
      <c r="K764">
        <v>41</v>
      </c>
      <c r="L764" t="s">
        <v>20</v>
      </c>
      <c r="M764">
        <v>20</v>
      </c>
      <c r="N764">
        <v>6</v>
      </c>
      <c r="O764">
        <v>4</v>
      </c>
      <c r="P764" t="s">
        <v>20</v>
      </c>
      <c r="Q764" s="1">
        <v>3</v>
      </c>
      <c r="R764" s="2">
        <v>46174</v>
      </c>
      <c r="S764" s="2">
        <v>45841</v>
      </c>
      <c r="T764" s="1" t="str">
        <f t="shared" si="33"/>
        <v>seg</v>
      </c>
      <c r="U764" s="1" t="str">
        <f t="shared" si="34"/>
        <v>jan</v>
      </c>
      <c r="V764">
        <f t="shared" si="35"/>
        <v>2022</v>
      </c>
      <c r="W764">
        <f>_xlfn.XLOOKUP(A764,Absenteismo!A:A,Absenteismo!A:A,0)</f>
        <v>0</v>
      </c>
    </row>
    <row r="765" spans="1:23" hidden="1" x14ac:dyDescent="0.3">
      <c r="A765">
        <v>1421</v>
      </c>
      <c r="B765">
        <v>42</v>
      </c>
      <c r="C765" t="s">
        <v>26</v>
      </c>
      <c r="D765" t="s">
        <v>22</v>
      </c>
      <c r="E765" t="s">
        <v>17</v>
      </c>
      <c r="F765" t="s">
        <v>21</v>
      </c>
      <c r="G765">
        <v>90</v>
      </c>
      <c r="H765">
        <v>7112</v>
      </c>
      <c r="I765" t="s">
        <v>30</v>
      </c>
      <c r="J765" s="2">
        <v>43126</v>
      </c>
      <c r="K765">
        <v>52</v>
      </c>
      <c r="L765" t="s">
        <v>20</v>
      </c>
      <c r="M765">
        <v>32</v>
      </c>
      <c r="N765">
        <v>5</v>
      </c>
      <c r="O765">
        <v>2</v>
      </c>
      <c r="P765" t="s">
        <v>20</v>
      </c>
      <c r="Q765" s="1">
        <v>2</v>
      </c>
      <c r="R765" s="2">
        <v>46174</v>
      </c>
      <c r="S765" s="2">
        <v>45864</v>
      </c>
      <c r="T765" s="1" t="str">
        <f t="shared" si="33"/>
        <v>sex</v>
      </c>
      <c r="U765" s="1" t="str">
        <f t="shared" si="34"/>
        <v>jan</v>
      </c>
      <c r="V765">
        <f t="shared" si="35"/>
        <v>2018</v>
      </c>
      <c r="W765">
        <f>_xlfn.XLOOKUP(A765,Absenteismo!A:A,Absenteismo!A:A,0)</f>
        <v>1421</v>
      </c>
    </row>
    <row r="766" spans="1:23" hidden="1" x14ac:dyDescent="0.3">
      <c r="A766">
        <v>1257</v>
      </c>
      <c r="B766">
        <v>42</v>
      </c>
      <c r="C766" t="s">
        <v>26</v>
      </c>
      <c r="D766" t="s">
        <v>16</v>
      </c>
      <c r="E766" t="s">
        <v>17</v>
      </c>
      <c r="F766" t="s">
        <v>21</v>
      </c>
      <c r="G766">
        <v>31</v>
      </c>
      <c r="H766">
        <v>6239</v>
      </c>
      <c r="I766" t="s">
        <v>33</v>
      </c>
      <c r="J766" s="2">
        <v>44924</v>
      </c>
      <c r="K766">
        <v>4</v>
      </c>
      <c r="L766" t="s">
        <v>25</v>
      </c>
      <c r="M766">
        <v>9</v>
      </c>
      <c r="N766">
        <v>11</v>
      </c>
      <c r="O766">
        <v>4</v>
      </c>
      <c r="P766" t="s">
        <v>20</v>
      </c>
      <c r="Q766" s="1">
        <v>2</v>
      </c>
      <c r="R766" s="2">
        <v>46174</v>
      </c>
      <c r="S766" s="2">
        <v>45867</v>
      </c>
      <c r="T766" s="1" t="str">
        <f t="shared" si="33"/>
        <v>qui</v>
      </c>
      <c r="U766" s="1" t="str">
        <f t="shared" si="34"/>
        <v>dez</v>
      </c>
      <c r="V766">
        <f t="shared" si="35"/>
        <v>2022</v>
      </c>
      <c r="W766">
        <f>_xlfn.XLOOKUP(A766,Absenteismo!A:A,Absenteismo!A:A,0)</f>
        <v>1257</v>
      </c>
    </row>
    <row r="767" spans="1:23" x14ac:dyDescent="0.3">
      <c r="A767">
        <v>1512</v>
      </c>
      <c r="B767">
        <v>42</v>
      </c>
      <c r="C767" t="s">
        <v>26</v>
      </c>
      <c r="D767" t="s">
        <v>29</v>
      </c>
      <c r="E767" t="s">
        <v>17</v>
      </c>
      <c r="F767" t="s">
        <v>18</v>
      </c>
      <c r="G767">
        <v>105</v>
      </c>
      <c r="H767">
        <v>3915</v>
      </c>
      <c r="I767" t="s">
        <v>24</v>
      </c>
      <c r="J767" s="2">
        <v>42704</v>
      </c>
      <c r="K767">
        <v>21</v>
      </c>
      <c r="L767" t="s">
        <v>20</v>
      </c>
      <c r="M767">
        <v>12</v>
      </c>
      <c r="N767">
        <v>7</v>
      </c>
      <c r="O767">
        <v>4</v>
      </c>
      <c r="P767" t="s">
        <v>20</v>
      </c>
      <c r="Q767" s="1">
        <v>1</v>
      </c>
      <c r="R767" s="2">
        <v>46174</v>
      </c>
      <c r="S767" s="2">
        <v>45899</v>
      </c>
      <c r="T767" s="1" t="str">
        <f t="shared" si="33"/>
        <v>qua</v>
      </c>
      <c r="U767" s="1" t="str">
        <f t="shared" si="34"/>
        <v>nov</v>
      </c>
      <c r="V767">
        <f t="shared" si="35"/>
        <v>2016</v>
      </c>
      <c r="W767">
        <f>_xlfn.XLOOKUP(A767,Absenteismo!A:A,Absenteismo!A:A,0)</f>
        <v>0</v>
      </c>
    </row>
    <row r="768" spans="1:23" hidden="1" x14ac:dyDescent="0.3">
      <c r="A768">
        <v>1284</v>
      </c>
      <c r="B768">
        <v>42</v>
      </c>
      <c r="C768" t="s">
        <v>26</v>
      </c>
      <c r="D768" t="s">
        <v>16</v>
      </c>
      <c r="E768" t="s">
        <v>17</v>
      </c>
      <c r="F768" t="s">
        <v>23</v>
      </c>
      <c r="G768">
        <v>34</v>
      </c>
      <c r="H768">
        <v>6402</v>
      </c>
      <c r="I768" t="s">
        <v>33</v>
      </c>
      <c r="J768" s="2">
        <v>44880</v>
      </c>
      <c r="K768">
        <v>17</v>
      </c>
      <c r="L768" t="s">
        <v>20</v>
      </c>
      <c r="M768">
        <v>17</v>
      </c>
      <c r="N768">
        <v>9</v>
      </c>
      <c r="O768">
        <v>2</v>
      </c>
      <c r="P768" t="s">
        <v>20</v>
      </c>
      <c r="Q768" s="1">
        <v>3</v>
      </c>
      <c r="R768" s="2">
        <v>46174</v>
      </c>
      <c r="S768" s="2">
        <v>45915</v>
      </c>
      <c r="T768" s="1" t="str">
        <f t="shared" si="33"/>
        <v>ter</v>
      </c>
      <c r="U768" s="1" t="str">
        <f t="shared" si="34"/>
        <v>nov</v>
      </c>
      <c r="V768">
        <f t="shared" si="35"/>
        <v>2022</v>
      </c>
      <c r="W768">
        <f>_xlfn.XLOOKUP(A768,Absenteismo!A:A,Absenteismo!A:A,0)</f>
        <v>1284</v>
      </c>
    </row>
    <row r="769" spans="1:23" hidden="1" x14ac:dyDescent="0.3">
      <c r="A769">
        <v>1584</v>
      </c>
      <c r="B769">
        <v>42</v>
      </c>
      <c r="C769" t="s">
        <v>26</v>
      </c>
      <c r="D769" t="s">
        <v>16</v>
      </c>
      <c r="E769" t="s">
        <v>17</v>
      </c>
      <c r="F769" t="s">
        <v>23</v>
      </c>
      <c r="G769">
        <v>34</v>
      </c>
      <c r="H769">
        <v>6402</v>
      </c>
      <c r="I769" t="s">
        <v>33</v>
      </c>
      <c r="J769" s="2">
        <v>44900</v>
      </c>
      <c r="K769">
        <v>17</v>
      </c>
      <c r="L769" t="s">
        <v>20</v>
      </c>
      <c r="M769">
        <v>17</v>
      </c>
      <c r="N769">
        <v>9</v>
      </c>
      <c r="O769">
        <v>2</v>
      </c>
      <c r="P769" t="s">
        <v>20</v>
      </c>
      <c r="Q769" s="1">
        <v>1</v>
      </c>
      <c r="R769" s="2">
        <v>46174</v>
      </c>
      <c r="S769" s="2">
        <v>45935</v>
      </c>
      <c r="T769" s="1" t="str">
        <f t="shared" si="33"/>
        <v>seg</v>
      </c>
      <c r="U769" s="1" t="str">
        <f t="shared" si="34"/>
        <v>dez</v>
      </c>
      <c r="V769">
        <f t="shared" si="35"/>
        <v>2022</v>
      </c>
      <c r="W769">
        <f>_xlfn.XLOOKUP(A769,Absenteismo!A:A,Absenteismo!A:A,0)</f>
        <v>1584</v>
      </c>
    </row>
    <row r="770" spans="1:23" hidden="1" x14ac:dyDescent="0.3">
      <c r="A770">
        <v>1206</v>
      </c>
      <c r="B770">
        <v>42</v>
      </c>
      <c r="C770" t="s">
        <v>26</v>
      </c>
      <c r="D770" t="s">
        <v>16</v>
      </c>
      <c r="E770" t="s">
        <v>17</v>
      </c>
      <c r="F770" t="s">
        <v>21</v>
      </c>
      <c r="G770">
        <v>85</v>
      </c>
      <c r="H770">
        <v>5913</v>
      </c>
      <c r="I770" t="s">
        <v>30</v>
      </c>
      <c r="J770" s="2">
        <v>43376</v>
      </c>
      <c r="K770">
        <v>41</v>
      </c>
      <c r="L770" t="s">
        <v>20</v>
      </c>
      <c r="M770">
        <v>15</v>
      </c>
      <c r="N770">
        <v>11</v>
      </c>
      <c r="O770">
        <v>2</v>
      </c>
      <c r="P770" t="s">
        <v>20</v>
      </c>
      <c r="Q770" s="1">
        <v>2</v>
      </c>
      <c r="R770" s="2">
        <v>46174</v>
      </c>
      <c r="S770" s="2">
        <v>45964</v>
      </c>
      <c r="T770" s="1" t="str">
        <f t="shared" ref="T770:T833" si="36">TEXT($J770,"ddd")</f>
        <v>qua</v>
      </c>
      <c r="U770" s="1" t="str">
        <f t="shared" ref="U770:U833" si="37">TEXT($J770,"mmm")</f>
        <v>out</v>
      </c>
      <c r="V770">
        <f t="shared" ref="V770:V833" si="38">YEAR(J770)</f>
        <v>2018</v>
      </c>
      <c r="W770">
        <f>_xlfn.XLOOKUP(A770,Absenteismo!A:A,Absenteismo!A:A,0)</f>
        <v>1206</v>
      </c>
    </row>
    <row r="771" spans="1:23" x14ac:dyDescent="0.3">
      <c r="A771">
        <v>1121</v>
      </c>
      <c r="B771">
        <v>42</v>
      </c>
      <c r="C771" t="s">
        <v>26</v>
      </c>
      <c r="D771" t="s">
        <v>22</v>
      </c>
      <c r="E771" t="s">
        <v>17</v>
      </c>
      <c r="F771" t="s">
        <v>21</v>
      </c>
      <c r="G771">
        <v>90</v>
      </c>
      <c r="H771">
        <v>7112</v>
      </c>
      <c r="I771" t="s">
        <v>30</v>
      </c>
      <c r="J771" s="2">
        <v>43256</v>
      </c>
      <c r="K771">
        <v>52</v>
      </c>
      <c r="L771" t="s">
        <v>25</v>
      </c>
      <c r="M771">
        <v>32</v>
      </c>
      <c r="N771">
        <v>5</v>
      </c>
      <c r="O771">
        <v>2</v>
      </c>
      <c r="P771" t="s">
        <v>20</v>
      </c>
      <c r="Q771" s="1">
        <v>3</v>
      </c>
      <c r="R771" s="2">
        <v>46174</v>
      </c>
      <c r="S771" s="2">
        <v>45996</v>
      </c>
      <c r="T771" s="1" t="str">
        <f t="shared" si="36"/>
        <v>ter</v>
      </c>
      <c r="U771" s="1" t="str">
        <f t="shared" si="37"/>
        <v>jun</v>
      </c>
      <c r="V771">
        <f t="shared" si="38"/>
        <v>2018</v>
      </c>
      <c r="W771">
        <f>_xlfn.XLOOKUP(A771,Absenteismo!A:A,Absenteismo!A:A,0)</f>
        <v>0</v>
      </c>
    </row>
    <row r="772" spans="1:23" hidden="1" x14ac:dyDescent="0.3">
      <c r="A772">
        <v>1557</v>
      </c>
      <c r="B772">
        <v>42</v>
      </c>
      <c r="C772" t="s">
        <v>26</v>
      </c>
      <c r="D772" t="s">
        <v>16</v>
      </c>
      <c r="E772" t="s">
        <v>17</v>
      </c>
      <c r="F772" t="s">
        <v>21</v>
      </c>
      <c r="G772">
        <v>31</v>
      </c>
      <c r="H772">
        <v>6239</v>
      </c>
      <c r="I772" t="s">
        <v>33</v>
      </c>
      <c r="J772" s="2">
        <v>45092</v>
      </c>
      <c r="K772">
        <v>4</v>
      </c>
      <c r="L772" t="s">
        <v>25</v>
      </c>
      <c r="M772">
        <v>9</v>
      </c>
      <c r="N772">
        <v>11</v>
      </c>
      <c r="O772">
        <v>4</v>
      </c>
      <c r="P772" t="s">
        <v>20</v>
      </c>
      <c r="Q772" s="1">
        <v>3</v>
      </c>
      <c r="R772" s="2">
        <v>46174</v>
      </c>
      <c r="S772" s="2">
        <v>46037</v>
      </c>
      <c r="T772" s="1" t="str">
        <f t="shared" si="36"/>
        <v>qui</v>
      </c>
      <c r="U772" s="1" t="str">
        <f t="shared" si="37"/>
        <v>jun</v>
      </c>
      <c r="V772">
        <f t="shared" si="38"/>
        <v>2023</v>
      </c>
      <c r="W772">
        <f>_xlfn.XLOOKUP(A772,Absenteismo!A:A,Absenteismo!A:A,0)</f>
        <v>1557</v>
      </c>
    </row>
    <row r="773" spans="1:23" hidden="1" x14ac:dyDescent="0.3">
      <c r="A773">
        <v>1806</v>
      </c>
      <c r="B773">
        <v>42</v>
      </c>
      <c r="C773" t="s">
        <v>26</v>
      </c>
      <c r="D773" t="s">
        <v>16</v>
      </c>
      <c r="E773" t="s">
        <v>17</v>
      </c>
      <c r="F773" t="s">
        <v>21</v>
      </c>
      <c r="G773">
        <v>85</v>
      </c>
      <c r="H773">
        <v>5913</v>
      </c>
      <c r="I773" t="s">
        <v>30</v>
      </c>
      <c r="J773" s="2">
        <v>43463</v>
      </c>
      <c r="K773">
        <v>53</v>
      </c>
      <c r="L773" t="s">
        <v>20</v>
      </c>
      <c r="M773">
        <v>15</v>
      </c>
      <c r="N773">
        <v>11</v>
      </c>
      <c r="O773">
        <v>2</v>
      </c>
      <c r="P773" t="s">
        <v>20</v>
      </c>
      <c r="Q773" s="1">
        <v>1</v>
      </c>
      <c r="R773" s="2">
        <v>46174</v>
      </c>
      <c r="S773" s="2">
        <v>46051</v>
      </c>
      <c r="T773" s="1" t="str">
        <f t="shared" si="36"/>
        <v>sáb</v>
      </c>
      <c r="U773" s="1" t="str">
        <f t="shared" si="37"/>
        <v>dez</v>
      </c>
      <c r="V773">
        <f t="shared" si="38"/>
        <v>2018</v>
      </c>
      <c r="W773">
        <f>_xlfn.XLOOKUP(A773,Absenteismo!A:A,Absenteismo!A:A,0)</f>
        <v>1806</v>
      </c>
    </row>
    <row r="774" spans="1:23" hidden="1" x14ac:dyDescent="0.3">
      <c r="A774">
        <v>1857</v>
      </c>
      <c r="B774">
        <v>42</v>
      </c>
      <c r="C774" t="s">
        <v>26</v>
      </c>
      <c r="D774" t="s">
        <v>16</v>
      </c>
      <c r="E774" t="s">
        <v>17</v>
      </c>
      <c r="F774" t="s">
        <v>21</v>
      </c>
      <c r="G774">
        <v>31</v>
      </c>
      <c r="H774">
        <v>6239</v>
      </c>
      <c r="I774" t="s">
        <v>33</v>
      </c>
      <c r="J774" s="2">
        <v>45108</v>
      </c>
      <c r="K774">
        <v>4</v>
      </c>
      <c r="L774" t="s">
        <v>25</v>
      </c>
      <c r="M774">
        <v>9</v>
      </c>
      <c r="N774">
        <v>11</v>
      </c>
      <c r="O774">
        <v>4</v>
      </c>
      <c r="P774" t="s">
        <v>20</v>
      </c>
      <c r="Q774" s="1">
        <v>1</v>
      </c>
      <c r="R774" s="2">
        <v>46174</v>
      </c>
      <c r="S774" s="2">
        <v>46053</v>
      </c>
      <c r="T774" s="1" t="str">
        <f t="shared" si="36"/>
        <v>sáb</v>
      </c>
      <c r="U774" s="1" t="str">
        <f t="shared" si="37"/>
        <v>jul</v>
      </c>
      <c r="V774">
        <f t="shared" si="38"/>
        <v>2023</v>
      </c>
      <c r="W774">
        <f>_xlfn.XLOOKUP(A774,Absenteismo!A:A,Absenteismo!A:A,0)</f>
        <v>1857</v>
      </c>
    </row>
    <row r="775" spans="1:23" hidden="1" x14ac:dyDescent="0.3">
      <c r="A775">
        <v>1307</v>
      </c>
      <c r="B775">
        <v>42</v>
      </c>
      <c r="C775" t="s">
        <v>26</v>
      </c>
      <c r="D775" t="s">
        <v>31</v>
      </c>
      <c r="E775" t="s">
        <v>32</v>
      </c>
      <c r="F775" t="s">
        <v>21</v>
      </c>
      <c r="G775">
        <v>42</v>
      </c>
      <c r="H775">
        <v>3258</v>
      </c>
      <c r="I775" t="s">
        <v>19</v>
      </c>
      <c r="J775" s="2">
        <v>44864</v>
      </c>
      <c r="K775">
        <v>53</v>
      </c>
      <c r="L775" t="s">
        <v>20</v>
      </c>
      <c r="M775">
        <v>20</v>
      </c>
      <c r="N775">
        <v>6</v>
      </c>
      <c r="O775">
        <v>4</v>
      </c>
      <c r="P775" t="s">
        <v>20</v>
      </c>
      <c r="Q775" s="1">
        <v>1</v>
      </c>
      <c r="R775" s="2">
        <v>46174</v>
      </c>
      <c r="S775" s="2">
        <v>46142</v>
      </c>
      <c r="T775" s="1" t="str">
        <f t="shared" si="36"/>
        <v>dom</v>
      </c>
      <c r="U775" s="1" t="str">
        <f t="shared" si="37"/>
        <v>out</v>
      </c>
      <c r="V775">
        <f t="shared" si="38"/>
        <v>2022</v>
      </c>
      <c r="W775">
        <f>_xlfn.XLOOKUP(A775,Absenteismo!A:A,Absenteismo!A:A,0)</f>
        <v>1307</v>
      </c>
    </row>
    <row r="776" spans="1:23" x14ac:dyDescent="0.3">
      <c r="A776">
        <v>1212</v>
      </c>
      <c r="B776">
        <v>42</v>
      </c>
      <c r="C776" t="s">
        <v>26</v>
      </c>
      <c r="D776" t="s">
        <v>29</v>
      </c>
      <c r="E776" t="s">
        <v>17</v>
      </c>
      <c r="F776" t="s">
        <v>18</v>
      </c>
      <c r="G776">
        <v>105</v>
      </c>
      <c r="H776">
        <v>3915</v>
      </c>
      <c r="I776" t="s">
        <v>24</v>
      </c>
      <c r="J776" s="2">
        <v>42972</v>
      </c>
      <c r="K776">
        <v>21</v>
      </c>
      <c r="L776" t="s">
        <v>20</v>
      </c>
      <c r="M776">
        <v>12</v>
      </c>
      <c r="N776">
        <v>7</v>
      </c>
      <c r="O776">
        <v>4</v>
      </c>
      <c r="P776" t="s">
        <v>20</v>
      </c>
      <c r="Q776" s="1">
        <v>3</v>
      </c>
      <c r="R776" s="2">
        <v>46174</v>
      </c>
      <c r="S776" s="2">
        <v>46167</v>
      </c>
      <c r="T776" s="1" t="str">
        <f t="shared" si="36"/>
        <v>sex</v>
      </c>
      <c r="U776" s="1" t="str">
        <f t="shared" si="37"/>
        <v>ago</v>
      </c>
      <c r="V776">
        <f t="shared" si="38"/>
        <v>2017</v>
      </c>
      <c r="W776">
        <f>_xlfn.XLOOKUP(A776,Absenteismo!A:A,Absenteismo!A:A,0)</f>
        <v>0</v>
      </c>
    </row>
    <row r="777" spans="1:23" x14ac:dyDescent="0.3">
      <c r="A777">
        <v>1812</v>
      </c>
      <c r="B777">
        <v>42</v>
      </c>
      <c r="C777" t="s">
        <v>26</v>
      </c>
      <c r="D777" t="s">
        <v>29</v>
      </c>
      <c r="E777" t="s">
        <v>17</v>
      </c>
      <c r="F777" t="s">
        <v>18</v>
      </c>
      <c r="G777">
        <v>105</v>
      </c>
      <c r="H777">
        <v>3915</v>
      </c>
      <c r="I777" t="s">
        <v>24</v>
      </c>
      <c r="J777" s="2">
        <v>42989</v>
      </c>
      <c r="K777">
        <v>21</v>
      </c>
      <c r="L777" t="s">
        <v>20</v>
      </c>
      <c r="M777">
        <v>12</v>
      </c>
      <c r="N777">
        <v>7</v>
      </c>
      <c r="O777">
        <v>4</v>
      </c>
      <c r="P777" t="s">
        <v>20</v>
      </c>
      <c r="Q777" s="1">
        <v>2</v>
      </c>
      <c r="R777" s="2">
        <v>46174</v>
      </c>
      <c r="S777" s="2">
        <v>46184</v>
      </c>
      <c r="T777" s="1" t="str">
        <f t="shared" si="36"/>
        <v>seg</v>
      </c>
      <c r="U777" s="1" t="str">
        <f t="shared" si="37"/>
        <v>set</v>
      </c>
      <c r="V777">
        <f t="shared" si="38"/>
        <v>2017</v>
      </c>
      <c r="W777">
        <f>_xlfn.XLOOKUP(A777,Absenteismo!A:A,Absenteismo!A:A,0)</f>
        <v>0</v>
      </c>
    </row>
    <row r="778" spans="1:23" hidden="1" x14ac:dyDescent="0.3">
      <c r="A778">
        <v>1506</v>
      </c>
      <c r="B778">
        <v>42</v>
      </c>
      <c r="C778" t="s">
        <v>26</v>
      </c>
      <c r="D778" t="s">
        <v>16</v>
      </c>
      <c r="E778" t="s">
        <v>17</v>
      </c>
      <c r="F778" t="s">
        <v>21</v>
      </c>
      <c r="G778">
        <v>85</v>
      </c>
      <c r="H778">
        <v>5913</v>
      </c>
      <c r="I778" t="s">
        <v>30</v>
      </c>
      <c r="J778" s="2">
        <v>43614</v>
      </c>
      <c r="K778">
        <v>40</v>
      </c>
      <c r="L778" t="s">
        <v>20</v>
      </c>
      <c r="M778">
        <v>15</v>
      </c>
      <c r="N778">
        <v>11</v>
      </c>
      <c r="O778">
        <v>2</v>
      </c>
      <c r="P778" t="s">
        <v>20</v>
      </c>
      <c r="Q778" s="1">
        <v>1</v>
      </c>
      <c r="R778" s="2">
        <v>46174</v>
      </c>
      <c r="S778" s="2">
        <v>46202</v>
      </c>
      <c r="T778" s="1" t="str">
        <f t="shared" si="36"/>
        <v>qua</v>
      </c>
      <c r="U778" s="1" t="str">
        <f t="shared" si="37"/>
        <v>mai</v>
      </c>
      <c r="V778">
        <f t="shared" si="38"/>
        <v>2019</v>
      </c>
      <c r="W778">
        <f>_xlfn.XLOOKUP(A778,Absenteismo!A:A,Absenteismo!A:A,0)</f>
        <v>1506</v>
      </c>
    </row>
    <row r="779" spans="1:23" x14ac:dyDescent="0.3">
      <c r="A779">
        <v>1021</v>
      </c>
      <c r="B779">
        <v>42</v>
      </c>
      <c r="C779" t="s">
        <v>26</v>
      </c>
      <c r="D779" t="s">
        <v>31</v>
      </c>
      <c r="E779" t="s">
        <v>34</v>
      </c>
      <c r="F779" t="s">
        <v>18</v>
      </c>
      <c r="G779">
        <v>55</v>
      </c>
      <c r="H779">
        <v>7352</v>
      </c>
      <c r="I779" t="s">
        <v>33</v>
      </c>
      <c r="J779" s="2">
        <v>44130</v>
      </c>
      <c r="K779">
        <v>10</v>
      </c>
      <c r="L779" t="s">
        <v>20</v>
      </c>
      <c r="M779">
        <v>13</v>
      </c>
      <c r="N779">
        <v>0</v>
      </c>
      <c r="O779">
        <v>2</v>
      </c>
      <c r="P779" t="s">
        <v>25</v>
      </c>
      <c r="Q779" s="1">
        <v>1</v>
      </c>
      <c r="R779" s="2">
        <v>46174</v>
      </c>
      <c r="S779" s="2"/>
      <c r="T779" s="1" t="str">
        <f t="shared" si="36"/>
        <v>seg</v>
      </c>
      <c r="U779" s="1" t="str">
        <f t="shared" si="37"/>
        <v>out</v>
      </c>
      <c r="V779">
        <f t="shared" si="38"/>
        <v>2020</v>
      </c>
      <c r="W779">
        <f>_xlfn.XLOOKUP(A779,Absenteismo!A:A,Absenteismo!A:A,0)</f>
        <v>0</v>
      </c>
    </row>
    <row r="780" spans="1:23" x14ac:dyDescent="0.3">
      <c r="A780">
        <v>1063</v>
      </c>
      <c r="B780">
        <v>42</v>
      </c>
      <c r="C780" t="s">
        <v>26</v>
      </c>
      <c r="D780" t="s">
        <v>31</v>
      </c>
      <c r="E780" t="s">
        <v>34</v>
      </c>
      <c r="F780" t="s">
        <v>21</v>
      </c>
      <c r="G780">
        <v>55</v>
      </c>
      <c r="H780">
        <v>5301</v>
      </c>
      <c r="I780" t="s">
        <v>28</v>
      </c>
      <c r="J780" s="2">
        <v>44096</v>
      </c>
      <c r="K780">
        <v>40</v>
      </c>
      <c r="L780" t="s">
        <v>20</v>
      </c>
      <c r="M780">
        <v>6</v>
      </c>
      <c r="N780">
        <v>12</v>
      </c>
      <c r="O780">
        <v>3</v>
      </c>
      <c r="P780" t="s">
        <v>25</v>
      </c>
      <c r="Q780" s="1">
        <v>3</v>
      </c>
      <c r="R780" s="2">
        <v>46174</v>
      </c>
      <c r="S780" s="2"/>
      <c r="T780" s="1" t="str">
        <f t="shared" si="36"/>
        <v>ter</v>
      </c>
      <c r="U780" s="1" t="str">
        <f t="shared" si="37"/>
        <v>set</v>
      </c>
      <c r="V780">
        <f t="shared" si="38"/>
        <v>2020</v>
      </c>
      <c r="W780">
        <f>_xlfn.XLOOKUP(A780,Absenteismo!A:A,Absenteismo!A:A,0)</f>
        <v>0</v>
      </c>
    </row>
    <row r="781" spans="1:23" x14ac:dyDescent="0.3">
      <c r="A781">
        <v>1192</v>
      </c>
      <c r="B781">
        <v>42</v>
      </c>
      <c r="C781" t="s">
        <v>26</v>
      </c>
      <c r="D781" t="s">
        <v>29</v>
      </c>
      <c r="E781" t="s">
        <v>17</v>
      </c>
      <c r="F781" t="s">
        <v>18</v>
      </c>
      <c r="G781">
        <v>40</v>
      </c>
      <c r="H781">
        <v>4942</v>
      </c>
      <c r="I781" t="s">
        <v>24</v>
      </c>
      <c r="J781" s="2">
        <v>44610</v>
      </c>
      <c r="K781">
        <v>33</v>
      </c>
      <c r="L781" t="s">
        <v>25</v>
      </c>
      <c r="M781">
        <v>29</v>
      </c>
      <c r="N781">
        <v>1</v>
      </c>
      <c r="O781">
        <v>5</v>
      </c>
      <c r="P781" t="s">
        <v>25</v>
      </c>
      <c r="Q781" s="1">
        <v>2</v>
      </c>
      <c r="R781" s="2">
        <v>46174</v>
      </c>
      <c r="S781" s="2"/>
      <c r="T781" s="1" t="str">
        <f t="shared" si="36"/>
        <v>sex</v>
      </c>
      <c r="U781" s="1" t="str">
        <f t="shared" si="37"/>
        <v>fev</v>
      </c>
      <c r="V781">
        <f t="shared" si="38"/>
        <v>2022</v>
      </c>
      <c r="W781">
        <f>_xlfn.XLOOKUP(A781,Absenteismo!A:A,Absenteismo!A:A,0)</f>
        <v>0</v>
      </c>
    </row>
    <row r="782" spans="1:23" hidden="1" x14ac:dyDescent="0.3">
      <c r="A782">
        <v>1267</v>
      </c>
      <c r="B782">
        <v>42</v>
      </c>
      <c r="C782" t="s">
        <v>15</v>
      </c>
      <c r="D782" t="s">
        <v>29</v>
      </c>
      <c r="E782" t="s">
        <v>17</v>
      </c>
      <c r="F782" t="s">
        <v>21</v>
      </c>
      <c r="G782">
        <v>114</v>
      </c>
      <c r="H782">
        <v>7107</v>
      </c>
      <c r="I782" t="s">
        <v>19</v>
      </c>
      <c r="J782" s="2">
        <v>42562</v>
      </c>
      <c r="K782">
        <v>41</v>
      </c>
      <c r="L782" t="s">
        <v>25</v>
      </c>
      <c r="M782">
        <v>34</v>
      </c>
      <c r="N782">
        <v>12</v>
      </c>
      <c r="O782">
        <v>2</v>
      </c>
      <c r="P782" t="s">
        <v>25</v>
      </c>
      <c r="Q782" s="1">
        <v>1</v>
      </c>
      <c r="R782" s="2">
        <v>46174</v>
      </c>
      <c r="S782" s="2"/>
      <c r="T782" s="1" t="str">
        <f t="shared" si="36"/>
        <v>seg</v>
      </c>
      <c r="U782" s="1" t="str">
        <f t="shared" si="37"/>
        <v>jul</v>
      </c>
      <c r="V782">
        <f t="shared" si="38"/>
        <v>2016</v>
      </c>
      <c r="W782">
        <f>_xlfn.XLOOKUP(A782,Absenteismo!A:A,Absenteismo!A:A,0)</f>
        <v>1267</v>
      </c>
    </row>
    <row r="783" spans="1:23" hidden="1" x14ac:dyDescent="0.3">
      <c r="A783">
        <v>1321</v>
      </c>
      <c r="B783">
        <v>42</v>
      </c>
      <c r="C783" t="s">
        <v>26</v>
      </c>
      <c r="D783" t="s">
        <v>31</v>
      </c>
      <c r="E783" t="s">
        <v>34</v>
      </c>
      <c r="F783" t="s">
        <v>18</v>
      </c>
      <c r="G783">
        <v>55</v>
      </c>
      <c r="H783">
        <v>7352</v>
      </c>
      <c r="I783" t="s">
        <v>33</v>
      </c>
      <c r="J783" s="2">
        <v>44216</v>
      </c>
      <c r="K783">
        <v>10</v>
      </c>
      <c r="L783" t="s">
        <v>20</v>
      </c>
      <c r="M783">
        <v>13</v>
      </c>
      <c r="N783">
        <v>0</v>
      </c>
      <c r="O783">
        <v>2</v>
      </c>
      <c r="P783" t="s">
        <v>25</v>
      </c>
      <c r="Q783" s="1">
        <v>1</v>
      </c>
      <c r="R783" s="2">
        <v>46174</v>
      </c>
      <c r="S783" s="2"/>
      <c r="T783" s="1" t="str">
        <f t="shared" si="36"/>
        <v>qua</v>
      </c>
      <c r="U783" s="1" t="str">
        <f t="shared" si="37"/>
        <v>jan</v>
      </c>
      <c r="V783">
        <f t="shared" si="38"/>
        <v>2021</v>
      </c>
      <c r="W783">
        <f>_xlfn.XLOOKUP(A783,Absenteismo!A:A,Absenteismo!A:A,0)</f>
        <v>1321</v>
      </c>
    </row>
    <row r="784" spans="1:23" hidden="1" x14ac:dyDescent="0.3">
      <c r="A784">
        <v>1363</v>
      </c>
      <c r="B784">
        <v>42</v>
      </c>
      <c r="C784" t="s">
        <v>26</v>
      </c>
      <c r="D784" t="s">
        <v>31</v>
      </c>
      <c r="E784" t="s">
        <v>34</v>
      </c>
      <c r="F784" t="s">
        <v>21</v>
      </c>
      <c r="G784">
        <v>55</v>
      </c>
      <c r="H784">
        <v>5301</v>
      </c>
      <c r="I784" t="s">
        <v>28</v>
      </c>
      <c r="J784" s="2">
        <v>44393</v>
      </c>
      <c r="K784">
        <v>40</v>
      </c>
      <c r="L784" t="s">
        <v>20</v>
      </c>
      <c r="M784">
        <v>6</v>
      </c>
      <c r="N784">
        <v>12</v>
      </c>
      <c r="O784">
        <v>3</v>
      </c>
      <c r="P784" t="s">
        <v>25</v>
      </c>
      <c r="Q784" s="1">
        <v>3</v>
      </c>
      <c r="R784" s="2">
        <v>46174</v>
      </c>
      <c r="S784" s="2"/>
      <c r="T784" s="1" t="str">
        <f t="shared" si="36"/>
        <v>sex</v>
      </c>
      <c r="U784" s="1" t="str">
        <f t="shared" si="37"/>
        <v>jul</v>
      </c>
      <c r="V784">
        <f t="shared" si="38"/>
        <v>2021</v>
      </c>
      <c r="W784">
        <f>_xlfn.XLOOKUP(A784,Absenteismo!A:A,Absenteismo!A:A,0)</f>
        <v>1363</v>
      </c>
    </row>
    <row r="785" spans="1:23" x14ac:dyDescent="0.3">
      <c r="A785">
        <v>1492</v>
      </c>
      <c r="B785">
        <v>42</v>
      </c>
      <c r="C785" t="s">
        <v>26</v>
      </c>
      <c r="D785" t="s">
        <v>29</v>
      </c>
      <c r="E785" t="s">
        <v>17</v>
      </c>
      <c r="F785" t="s">
        <v>18</v>
      </c>
      <c r="G785">
        <v>40</v>
      </c>
      <c r="H785">
        <v>4942</v>
      </c>
      <c r="I785" t="s">
        <v>24</v>
      </c>
      <c r="J785" s="2">
        <v>44647</v>
      </c>
      <c r="K785">
        <v>33</v>
      </c>
      <c r="L785" t="s">
        <v>25</v>
      </c>
      <c r="M785">
        <v>29</v>
      </c>
      <c r="N785">
        <v>1</v>
      </c>
      <c r="O785">
        <v>5</v>
      </c>
      <c r="P785" t="s">
        <v>25</v>
      </c>
      <c r="Q785" s="1">
        <v>2</v>
      </c>
      <c r="R785" s="2">
        <v>46174</v>
      </c>
      <c r="S785" s="2"/>
      <c r="T785" s="1" t="str">
        <f t="shared" si="36"/>
        <v>dom</v>
      </c>
      <c r="U785" s="1" t="str">
        <f t="shared" si="37"/>
        <v>mar</v>
      </c>
      <c r="V785">
        <f t="shared" si="38"/>
        <v>2022</v>
      </c>
      <c r="W785">
        <f>_xlfn.XLOOKUP(A785,Absenteismo!A:A,Absenteismo!A:A,0)</f>
        <v>0</v>
      </c>
    </row>
    <row r="786" spans="1:23" hidden="1" x14ac:dyDescent="0.3">
      <c r="A786">
        <v>1567</v>
      </c>
      <c r="B786">
        <v>42</v>
      </c>
      <c r="C786" t="s">
        <v>15</v>
      </c>
      <c r="D786" t="s">
        <v>29</v>
      </c>
      <c r="E786" t="s">
        <v>17</v>
      </c>
      <c r="F786" t="s">
        <v>21</v>
      </c>
      <c r="G786">
        <v>114</v>
      </c>
      <c r="H786">
        <v>7107</v>
      </c>
      <c r="I786" t="s">
        <v>19</v>
      </c>
      <c r="J786" s="2">
        <v>42392</v>
      </c>
      <c r="K786">
        <v>41</v>
      </c>
      <c r="L786" t="s">
        <v>25</v>
      </c>
      <c r="M786">
        <v>34</v>
      </c>
      <c r="N786">
        <v>12</v>
      </c>
      <c r="O786">
        <v>2</v>
      </c>
      <c r="P786" t="s">
        <v>25</v>
      </c>
      <c r="Q786" s="1">
        <v>3</v>
      </c>
      <c r="R786" s="2">
        <v>46174</v>
      </c>
      <c r="S786" s="2"/>
      <c r="T786" s="1" t="str">
        <f t="shared" si="36"/>
        <v>sáb</v>
      </c>
      <c r="U786" s="1" t="str">
        <f t="shared" si="37"/>
        <v>jan</v>
      </c>
      <c r="V786">
        <f t="shared" si="38"/>
        <v>2016</v>
      </c>
      <c r="W786">
        <f>_xlfn.XLOOKUP(A786,Absenteismo!A:A,Absenteismo!A:A,0)</f>
        <v>1567</v>
      </c>
    </row>
    <row r="787" spans="1:23" hidden="1" x14ac:dyDescent="0.3">
      <c r="A787">
        <v>1607</v>
      </c>
      <c r="B787">
        <v>42</v>
      </c>
      <c r="C787" t="s">
        <v>26</v>
      </c>
      <c r="D787" t="s">
        <v>31</v>
      </c>
      <c r="E787" t="s">
        <v>32</v>
      </c>
      <c r="F787" t="s">
        <v>21</v>
      </c>
      <c r="G787">
        <v>42</v>
      </c>
      <c r="H787">
        <v>3258</v>
      </c>
      <c r="I787" t="s">
        <v>19</v>
      </c>
      <c r="J787" s="2">
        <v>44702</v>
      </c>
      <c r="K787">
        <v>43</v>
      </c>
      <c r="L787" t="s">
        <v>20</v>
      </c>
      <c r="M787">
        <v>20</v>
      </c>
      <c r="N787">
        <v>6</v>
      </c>
      <c r="O787">
        <v>4</v>
      </c>
      <c r="P787" t="s">
        <v>25</v>
      </c>
      <c r="Q787" s="1">
        <v>3</v>
      </c>
      <c r="R787" s="2">
        <v>46174</v>
      </c>
      <c r="S787" s="2"/>
      <c r="T787" s="1" t="str">
        <f t="shared" si="36"/>
        <v>sáb</v>
      </c>
      <c r="U787" s="1" t="str">
        <f t="shared" si="37"/>
        <v>mai</v>
      </c>
      <c r="V787">
        <f t="shared" si="38"/>
        <v>2022</v>
      </c>
      <c r="W787">
        <f>_xlfn.XLOOKUP(A787,Absenteismo!A:A,Absenteismo!A:A,0)</f>
        <v>1607</v>
      </c>
    </row>
    <row r="788" spans="1:23" hidden="1" x14ac:dyDescent="0.3">
      <c r="A788">
        <v>1621</v>
      </c>
      <c r="B788">
        <v>42</v>
      </c>
      <c r="C788" t="s">
        <v>26</v>
      </c>
      <c r="D788" t="s">
        <v>31</v>
      </c>
      <c r="E788" t="s">
        <v>34</v>
      </c>
      <c r="F788" t="s">
        <v>18</v>
      </c>
      <c r="G788">
        <v>55</v>
      </c>
      <c r="H788">
        <v>7352</v>
      </c>
      <c r="I788" t="s">
        <v>33</v>
      </c>
      <c r="J788" s="2">
        <v>44139</v>
      </c>
      <c r="K788">
        <v>10</v>
      </c>
      <c r="L788" t="s">
        <v>20</v>
      </c>
      <c r="M788">
        <v>13</v>
      </c>
      <c r="N788">
        <v>0</v>
      </c>
      <c r="O788">
        <v>2</v>
      </c>
      <c r="P788" t="s">
        <v>25</v>
      </c>
      <c r="Q788" s="1">
        <v>3</v>
      </c>
      <c r="R788" s="2">
        <v>46174</v>
      </c>
      <c r="S788" s="2"/>
      <c r="T788" s="1" t="str">
        <f t="shared" si="36"/>
        <v>qua</v>
      </c>
      <c r="U788" s="1" t="str">
        <f t="shared" si="37"/>
        <v>nov</v>
      </c>
      <c r="V788">
        <f t="shared" si="38"/>
        <v>2020</v>
      </c>
      <c r="W788">
        <f>_xlfn.XLOOKUP(A788,Absenteismo!A:A,Absenteismo!A:A,0)</f>
        <v>1621</v>
      </c>
    </row>
    <row r="789" spans="1:23" hidden="1" x14ac:dyDescent="0.3">
      <c r="A789">
        <v>1663</v>
      </c>
      <c r="B789">
        <v>42</v>
      </c>
      <c r="C789" t="s">
        <v>26</v>
      </c>
      <c r="D789" t="s">
        <v>31</v>
      </c>
      <c r="E789" t="s">
        <v>34</v>
      </c>
      <c r="F789" t="s">
        <v>21</v>
      </c>
      <c r="G789">
        <v>55</v>
      </c>
      <c r="H789">
        <v>5301</v>
      </c>
      <c r="I789" t="s">
        <v>28</v>
      </c>
      <c r="J789" s="2">
        <v>44298</v>
      </c>
      <c r="K789">
        <v>40</v>
      </c>
      <c r="L789" t="s">
        <v>20</v>
      </c>
      <c r="M789">
        <v>6</v>
      </c>
      <c r="N789">
        <v>12</v>
      </c>
      <c r="O789">
        <v>3</v>
      </c>
      <c r="P789" t="s">
        <v>25</v>
      </c>
      <c r="Q789" s="1">
        <v>1</v>
      </c>
      <c r="R789" s="2">
        <v>46174</v>
      </c>
      <c r="S789" s="2"/>
      <c r="T789" s="1" t="str">
        <f t="shared" si="36"/>
        <v>seg</v>
      </c>
      <c r="U789" s="1" t="str">
        <f t="shared" si="37"/>
        <v>abr</v>
      </c>
      <c r="V789">
        <f t="shared" si="38"/>
        <v>2021</v>
      </c>
      <c r="W789">
        <f>_xlfn.XLOOKUP(A789,Absenteismo!A:A,Absenteismo!A:A,0)</f>
        <v>1663</v>
      </c>
    </row>
    <row r="790" spans="1:23" x14ac:dyDescent="0.3">
      <c r="A790">
        <v>1792</v>
      </c>
      <c r="B790">
        <v>42</v>
      </c>
      <c r="C790" t="s">
        <v>26</v>
      </c>
      <c r="D790" t="s">
        <v>29</v>
      </c>
      <c r="E790" t="s">
        <v>17</v>
      </c>
      <c r="F790" t="s">
        <v>18</v>
      </c>
      <c r="G790">
        <v>40</v>
      </c>
      <c r="H790">
        <v>4942</v>
      </c>
      <c r="I790" t="s">
        <v>24</v>
      </c>
      <c r="J790" s="2">
        <v>44969</v>
      </c>
      <c r="K790">
        <v>33</v>
      </c>
      <c r="L790" t="s">
        <v>25</v>
      </c>
      <c r="M790">
        <v>29</v>
      </c>
      <c r="N790">
        <v>1</v>
      </c>
      <c r="O790">
        <v>5</v>
      </c>
      <c r="P790" t="s">
        <v>25</v>
      </c>
      <c r="Q790" s="1">
        <v>1</v>
      </c>
      <c r="R790" s="2">
        <v>46174</v>
      </c>
      <c r="S790" s="2"/>
      <c r="T790" s="1" t="str">
        <f t="shared" si="36"/>
        <v>dom</v>
      </c>
      <c r="U790" s="1" t="str">
        <f t="shared" si="37"/>
        <v>fev</v>
      </c>
      <c r="V790">
        <f t="shared" si="38"/>
        <v>2023</v>
      </c>
      <c r="W790">
        <f>_xlfn.XLOOKUP(A790,Absenteismo!A:A,Absenteismo!A:A,0)</f>
        <v>0</v>
      </c>
    </row>
    <row r="791" spans="1:23" hidden="1" x14ac:dyDescent="0.3">
      <c r="A791">
        <v>1867</v>
      </c>
      <c r="B791">
        <v>42</v>
      </c>
      <c r="C791" t="s">
        <v>15</v>
      </c>
      <c r="D791" t="s">
        <v>29</v>
      </c>
      <c r="E791" t="s">
        <v>17</v>
      </c>
      <c r="F791" t="s">
        <v>21</v>
      </c>
      <c r="G791">
        <v>114</v>
      </c>
      <c r="H791">
        <v>7107</v>
      </c>
      <c r="I791" t="s">
        <v>19</v>
      </c>
      <c r="J791" s="2">
        <v>42503</v>
      </c>
      <c r="K791">
        <v>41</v>
      </c>
      <c r="L791" t="s">
        <v>25</v>
      </c>
      <c r="M791">
        <v>34</v>
      </c>
      <c r="N791">
        <v>12</v>
      </c>
      <c r="O791">
        <v>2</v>
      </c>
      <c r="P791" t="s">
        <v>25</v>
      </c>
      <c r="Q791" s="1">
        <v>3</v>
      </c>
      <c r="R791" s="2">
        <v>46174</v>
      </c>
      <c r="S791" s="2"/>
      <c r="T791" s="1" t="str">
        <f t="shared" si="36"/>
        <v>sex</v>
      </c>
      <c r="U791" s="1" t="str">
        <f t="shared" si="37"/>
        <v>mai</v>
      </c>
      <c r="V791">
        <f t="shared" si="38"/>
        <v>2016</v>
      </c>
      <c r="W791">
        <f>_xlfn.XLOOKUP(A791,Absenteismo!A:A,Absenteismo!A:A,0)</f>
        <v>1867</v>
      </c>
    </row>
    <row r="792" spans="1:23" hidden="1" x14ac:dyDescent="0.3">
      <c r="A792">
        <v>1884</v>
      </c>
      <c r="B792">
        <v>42</v>
      </c>
      <c r="C792" t="s">
        <v>26</v>
      </c>
      <c r="D792" t="s">
        <v>16</v>
      </c>
      <c r="E792" t="s">
        <v>17</v>
      </c>
      <c r="F792" t="s">
        <v>23</v>
      </c>
      <c r="G792">
        <v>34</v>
      </c>
      <c r="H792">
        <v>6402</v>
      </c>
      <c r="I792" t="s">
        <v>33</v>
      </c>
      <c r="J792" s="2">
        <v>44905</v>
      </c>
      <c r="K792">
        <v>17</v>
      </c>
      <c r="L792" t="s">
        <v>20</v>
      </c>
      <c r="M792">
        <v>17</v>
      </c>
      <c r="N792">
        <v>9</v>
      </c>
      <c r="O792">
        <v>2</v>
      </c>
      <c r="P792" t="s">
        <v>25</v>
      </c>
      <c r="Q792" s="1">
        <v>2</v>
      </c>
      <c r="R792" s="2">
        <v>46174</v>
      </c>
      <c r="S792" s="2"/>
      <c r="T792" s="1" t="str">
        <f t="shared" si="36"/>
        <v>sáb</v>
      </c>
      <c r="U792" s="1" t="str">
        <f t="shared" si="37"/>
        <v>dez</v>
      </c>
      <c r="V792">
        <f t="shared" si="38"/>
        <v>2022</v>
      </c>
      <c r="W792">
        <f>_xlfn.XLOOKUP(A792,Absenteismo!A:A,Absenteismo!A:A,0)</f>
        <v>1884</v>
      </c>
    </row>
    <row r="793" spans="1:23" hidden="1" x14ac:dyDescent="0.3">
      <c r="A793">
        <v>1921</v>
      </c>
      <c r="B793">
        <v>42</v>
      </c>
      <c r="C793" t="s">
        <v>26</v>
      </c>
      <c r="D793" t="s">
        <v>31</v>
      </c>
      <c r="E793" t="s">
        <v>34</v>
      </c>
      <c r="F793" t="s">
        <v>18</v>
      </c>
      <c r="G793">
        <v>55</v>
      </c>
      <c r="H793">
        <v>7352</v>
      </c>
      <c r="I793" t="s">
        <v>33</v>
      </c>
      <c r="J793" s="2">
        <v>44199</v>
      </c>
      <c r="K793">
        <v>10</v>
      </c>
      <c r="L793" t="s">
        <v>20</v>
      </c>
      <c r="M793">
        <v>13</v>
      </c>
      <c r="N793">
        <v>0</v>
      </c>
      <c r="O793">
        <v>2</v>
      </c>
      <c r="P793" t="s">
        <v>25</v>
      </c>
      <c r="Q793" s="1">
        <v>2</v>
      </c>
      <c r="R793" s="2">
        <v>46174</v>
      </c>
      <c r="S793" s="2"/>
      <c r="T793" s="1" t="str">
        <f t="shared" si="36"/>
        <v>dom</v>
      </c>
      <c r="U793" s="1" t="str">
        <f t="shared" si="37"/>
        <v>jan</v>
      </c>
      <c r="V793">
        <f t="shared" si="38"/>
        <v>2021</v>
      </c>
      <c r="W793">
        <f>_xlfn.XLOOKUP(A793,Absenteismo!A:A,Absenteismo!A:A,0)</f>
        <v>1921</v>
      </c>
    </row>
    <row r="794" spans="1:23" hidden="1" x14ac:dyDescent="0.3">
      <c r="A794">
        <v>1963</v>
      </c>
      <c r="B794">
        <v>42</v>
      </c>
      <c r="C794" t="s">
        <v>26</v>
      </c>
      <c r="D794" t="s">
        <v>31</v>
      </c>
      <c r="E794" t="s">
        <v>34</v>
      </c>
      <c r="F794" t="s">
        <v>21</v>
      </c>
      <c r="G794">
        <v>55</v>
      </c>
      <c r="H794">
        <v>5301</v>
      </c>
      <c r="I794" t="s">
        <v>28</v>
      </c>
      <c r="J794" s="2">
        <v>44446</v>
      </c>
      <c r="K794">
        <v>40</v>
      </c>
      <c r="L794" t="s">
        <v>20</v>
      </c>
      <c r="M794">
        <v>6</v>
      </c>
      <c r="N794">
        <v>12</v>
      </c>
      <c r="O794">
        <v>3</v>
      </c>
      <c r="P794" t="s">
        <v>25</v>
      </c>
      <c r="Q794" s="1">
        <v>1</v>
      </c>
      <c r="R794" s="2">
        <v>46174</v>
      </c>
      <c r="S794" s="2"/>
      <c r="T794" s="1" t="str">
        <f t="shared" si="36"/>
        <v>ter</v>
      </c>
      <c r="U794" s="1" t="str">
        <f t="shared" si="37"/>
        <v>set</v>
      </c>
      <c r="V794">
        <f t="shared" si="38"/>
        <v>2021</v>
      </c>
      <c r="W794">
        <f>_xlfn.XLOOKUP(A794,Absenteismo!A:A,Absenteismo!A:A,0)</f>
        <v>1963</v>
      </c>
    </row>
    <row r="795" spans="1:23" x14ac:dyDescent="0.3">
      <c r="A795">
        <v>2092</v>
      </c>
      <c r="B795">
        <v>42</v>
      </c>
      <c r="C795" t="s">
        <v>26</v>
      </c>
      <c r="D795" t="s">
        <v>29</v>
      </c>
      <c r="E795" t="s">
        <v>17</v>
      </c>
      <c r="F795" t="s">
        <v>18</v>
      </c>
      <c r="G795">
        <v>40</v>
      </c>
      <c r="H795">
        <v>4942</v>
      </c>
      <c r="I795" t="s">
        <v>24</v>
      </c>
      <c r="J795" s="2">
        <v>44790</v>
      </c>
      <c r="K795">
        <v>33</v>
      </c>
      <c r="L795" t="s">
        <v>25</v>
      </c>
      <c r="M795">
        <v>29</v>
      </c>
      <c r="N795">
        <v>1</v>
      </c>
      <c r="O795">
        <v>5</v>
      </c>
      <c r="P795" t="s">
        <v>25</v>
      </c>
      <c r="Q795" s="1">
        <v>1</v>
      </c>
      <c r="R795" s="2">
        <v>46174</v>
      </c>
      <c r="S795" s="2"/>
      <c r="T795" s="1" t="str">
        <f t="shared" si="36"/>
        <v>qua</v>
      </c>
      <c r="U795" s="1" t="str">
        <f t="shared" si="37"/>
        <v>ago</v>
      </c>
      <c r="V795">
        <f t="shared" si="38"/>
        <v>2022</v>
      </c>
      <c r="W795">
        <f>_xlfn.XLOOKUP(A795,Absenteismo!A:A,Absenteismo!A:A,0)</f>
        <v>0</v>
      </c>
    </row>
    <row r="796" spans="1:23" hidden="1" x14ac:dyDescent="0.3">
      <c r="A796">
        <v>2157</v>
      </c>
      <c r="B796">
        <v>42</v>
      </c>
      <c r="C796" t="s">
        <v>26</v>
      </c>
      <c r="D796" t="s">
        <v>16</v>
      </c>
      <c r="E796" t="s">
        <v>17</v>
      </c>
      <c r="F796" t="s">
        <v>21</v>
      </c>
      <c r="G796">
        <v>31</v>
      </c>
      <c r="H796">
        <v>6239</v>
      </c>
      <c r="I796" t="s">
        <v>33</v>
      </c>
      <c r="J796" s="2">
        <v>44809</v>
      </c>
      <c r="K796">
        <v>4</v>
      </c>
      <c r="L796" t="s">
        <v>25</v>
      </c>
      <c r="M796">
        <v>9</v>
      </c>
      <c r="N796">
        <v>11</v>
      </c>
      <c r="O796">
        <v>4</v>
      </c>
      <c r="P796" t="s">
        <v>25</v>
      </c>
      <c r="Q796" s="1">
        <v>3</v>
      </c>
      <c r="R796" s="2">
        <v>46174</v>
      </c>
      <c r="S796" s="2"/>
      <c r="T796" s="1" t="str">
        <f t="shared" si="36"/>
        <v>seg</v>
      </c>
      <c r="U796" s="1" t="str">
        <f t="shared" si="37"/>
        <v>set</v>
      </c>
      <c r="V796">
        <f t="shared" si="38"/>
        <v>2022</v>
      </c>
      <c r="W796">
        <f>_xlfn.XLOOKUP(A796,Absenteismo!A:A,Absenteismo!A:A,0)</f>
        <v>2157</v>
      </c>
    </row>
    <row r="797" spans="1:23" hidden="1" x14ac:dyDescent="0.3">
      <c r="A797">
        <v>2167</v>
      </c>
      <c r="B797">
        <v>42</v>
      </c>
      <c r="C797" t="s">
        <v>15</v>
      </c>
      <c r="D797" t="s">
        <v>29</v>
      </c>
      <c r="E797" t="s">
        <v>17</v>
      </c>
      <c r="F797" t="s">
        <v>21</v>
      </c>
      <c r="G797">
        <v>114</v>
      </c>
      <c r="H797">
        <v>7107</v>
      </c>
      <c r="I797" t="s">
        <v>19</v>
      </c>
      <c r="J797" s="2">
        <v>42414</v>
      </c>
      <c r="K797">
        <v>41</v>
      </c>
      <c r="L797" t="s">
        <v>25</v>
      </c>
      <c r="M797">
        <v>34</v>
      </c>
      <c r="N797">
        <v>12</v>
      </c>
      <c r="O797">
        <v>2</v>
      </c>
      <c r="P797" t="s">
        <v>25</v>
      </c>
      <c r="Q797" s="1">
        <v>2</v>
      </c>
      <c r="R797" s="2">
        <v>46174</v>
      </c>
      <c r="S797" s="2"/>
      <c r="T797" s="1" t="str">
        <f t="shared" si="36"/>
        <v>dom</v>
      </c>
      <c r="U797" s="1" t="str">
        <f t="shared" si="37"/>
        <v>fev</v>
      </c>
      <c r="V797">
        <f t="shared" si="38"/>
        <v>2016</v>
      </c>
      <c r="W797">
        <f>_xlfn.XLOOKUP(A797,Absenteismo!A:A,Absenteismo!A:A,0)</f>
        <v>2167</v>
      </c>
    </row>
    <row r="798" spans="1:23" hidden="1" x14ac:dyDescent="0.3">
      <c r="A798">
        <v>2184</v>
      </c>
      <c r="B798">
        <v>42</v>
      </c>
      <c r="C798" t="s">
        <v>26</v>
      </c>
      <c r="D798" t="s">
        <v>16</v>
      </c>
      <c r="E798" t="s">
        <v>17</v>
      </c>
      <c r="F798" t="s">
        <v>23</v>
      </c>
      <c r="G798">
        <v>34</v>
      </c>
      <c r="H798">
        <v>6402</v>
      </c>
      <c r="I798" t="s">
        <v>33</v>
      </c>
      <c r="J798" s="2">
        <v>44891</v>
      </c>
      <c r="K798">
        <v>17</v>
      </c>
      <c r="L798" t="s">
        <v>20</v>
      </c>
      <c r="M798">
        <v>17</v>
      </c>
      <c r="N798">
        <v>9</v>
      </c>
      <c r="O798">
        <v>2</v>
      </c>
      <c r="P798" t="s">
        <v>25</v>
      </c>
      <c r="Q798" s="1">
        <v>2</v>
      </c>
      <c r="R798" s="2">
        <v>46174</v>
      </c>
      <c r="S798" s="2"/>
      <c r="T798" s="1" t="str">
        <f t="shared" si="36"/>
        <v>sáb</v>
      </c>
      <c r="U798" s="1" t="str">
        <f t="shared" si="37"/>
        <v>nov</v>
      </c>
      <c r="V798">
        <f t="shared" si="38"/>
        <v>2022</v>
      </c>
      <c r="W798">
        <f>_xlfn.XLOOKUP(A798,Absenteismo!A:A,Absenteismo!A:A,0)</f>
        <v>2184</v>
      </c>
    </row>
    <row r="799" spans="1:23" hidden="1" x14ac:dyDescent="0.3">
      <c r="A799">
        <v>1907</v>
      </c>
      <c r="B799">
        <v>42</v>
      </c>
      <c r="C799" t="s">
        <v>26</v>
      </c>
      <c r="D799" t="s">
        <v>31</v>
      </c>
      <c r="E799" t="s">
        <v>32</v>
      </c>
      <c r="F799" t="s">
        <v>21</v>
      </c>
      <c r="G799">
        <v>42</v>
      </c>
      <c r="H799">
        <v>3258</v>
      </c>
      <c r="I799" t="s">
        <v>19</v>
      </c>
      <c r="J799" s="2">
        <v>44570</v>
      </c>
      <c r="K799">
        <v>43</v>
      </c>
      <c r="L799" t="s">
        <v>20</v>
      </c>
      <c r="M799">
        <v>20</v>
      </c>
      <c r="N799">
        <v>6</v>
      </c>
      <c r="O799">
        <v>4</v>
      </c>
      <c r="P799" t="s">
        <v>25</v>
      </c>
      <c r="Q799" s="1">
        <v>1</v>
      </c>
      <c r="R799" s="2">
        <v>46174</v>
      </c>
      <c r="S799" s="2"/>
      <c r="T799" s="1" t="str">
        <f t="shared" si="36"/>
        <v>dom</v>
      </c>
      <c r="U799" s="1" t="str">
        <f t="shared" si="37"/>
        <v>jan</v>
      </c>
      <c r="V799">
        <f t="shared" si="38"/>
        <v>2022</v>
      </c>
      <c r="W799">
        <f>_xlfn.XLOOKUP(A799,Absenteismo!A:A,Absenteismo!A:A,0)</f>
        <v>1907</v>
      </c>
    </row>
    <row r="800" spans="1:23" hidden="1" x14ac:dyDescent="0.3">
      <c r="A800">
        <v>2021</v>
      </c>
      <c r="B800">
        <v>42</v>
      </c>
      <c r="C800" t="s">
        <v>26</v>
      </c>
      <c r="D800" t="s">
        <v>22</v>
      </c>
      <c r="E800" t="s">
        <v>17</v>
      </c>
      <c r="F800" t="s">
        <v>21</v>
      </c>
      <c r="G800">
        <v>90</v>
      </c>
      <c r="H800">
        <v>7112</v>
      </c>
      <c r="I800" t="s">
        <v>30</v>
      </c>
      <c r="J800" s="2">
        <v>43234</v>
      </c>
      <c r="K800">
        <v>42</v>
      </c>
      <c r="L800" t="s">
        <v>20</v>
      </c>
      <c r="M800">
        <v>32</v>
      </c>
      <c r="N800">
        <v>5</v>
      </c>
      <c r="O800">
        <v>2</v>
      </c>
      <c r="P800" t="s">
        <v>25</v>
      </c>
      <c r="Q800" s="1">
        <v>3</v>
      </c>
      <c r="R800" s="2">
        <v>46174</v>
      </c>
      <c r="S800" s="2"/>
      <c r="T800" s="1" t="str">
        <f t="shared" si="36"/>
        <v>seg</v>
      </c>
      <c r="U800" s="1" t="str">
        <f t="shared" si="37"/>
        <v>mai</v>
      </c>
      <c r="V800">
        <f t="shared" si="38"/>
        <v>2018</v>
      </c>
      <c r="W800">
        <f>_xlfn.XLOOKUP(A800,Absenteismo!A:A,Absenteismo!A:A,0)</f>
        <v>2021</v>
      </c>
    </row>
    <row r="801" spans="1:23" hidden="1" x14ac:dyDescent="0.3">
      <c r="A801">
        <v>2106</v>
      </c>
      <c r="B801">
        <v>42</v>
      </c>
      <c r="C801" t="s">
        <v>26</v>
      </c>
      <c r="D801" t="s">
        <v>16</v>
      </c>
      <c r="E801" t="s">
        <v>17</v>
      </c>
      <c r="F801" t="s">
        <v>21</v>
      </c>
      <c r="G801">
        <v>85</v>
      </c>
      <c r="H801">
        <v>5913</v>
      </c>
      <c r="I801" t="s">
        <v>30</v>
      </c>
      <c r="J801" s="2">
        <v>43527</v>
      </c>
      <c r="K801">
        <v>40</v>
      </c>
      <c r="L801" t="s">
        <v>20</v>
      </c>
      <c r="M801">
        <v>15</v>
      </c>
      <c r="N801">
        <v>11</v>
      </c>
      <c r="O801">
        <v>2</v>
      </c>
      <c r="P801" t="s">
        <v>25</v>
      </c>
      <c r="Q801" s="1">
        <v>2</v>
      </c>
      <c r="R801" s="2">
        <v>46174</v>
      </c>
      <c r="S801" s="2"/>
      <c r="T801" s="1" t="str">
        <f t="shared" si="36"/>
        <v>dom</v>
      </c>
      <c r="U801" s="1" t="str">
        <f t="shared" si="37"/>
        <v>mar</v>
      </c>
      <c r="V801">
        <f t="shared" si="38"/>
        <v>2019</v>
      </c>
      <c r="W801">
        <f>_xlfn.XLOOKUP(A801,Absenteismo!A:A,Absenteismo!A:A,0)</f>
        <v>2106</v>
      </c>
    </row>
    <row r="802" spans="1:23" x14ac:dyDescent="0.3">
      <c r="A802">
        <v>2112</v>
      </c>
      <c r="B802">
        <v>42</v>
      </c>
      <c r="C802" t="s">
        <v>26</v>
      </c>
      <c r="D802" t="s">
        <v>29</v>
      </c>
      <c r="E802" t="s">
        <v>17</v>
      </c>
      <c r="F802" t="s">
        <v>18</v>
      </c>
      <c r="G802">
        <v>105</v>
      </c>
      <c r="H802">
        <v>3915</v>
      </c>
      <c r="I802" t="s">
        <v>24</v>
      </c>
      <c r="J802" s="2">
        <v>42745</v>
      </c>
      <c r="K802">
        <v>21</v>
      </c>
      <c r="L802" t="s">
        <v>20</v>
      </c>
      <c r="M802">
        <v>12</v>
      </c>
      <c r="N802">
        <v>7</v>
      </c>
      <c r="O802">
        <v>4</v>
      </c>
      <c r="P802" t="s">
        <v>25</v>
      </c>
      <c r="Q802" s="1">
        <v>1</v>
      </c>
      <c r="R802" s="2">
        <v>46174</v>
      </c>
      <c r="S802" s="2"/>
      <c r="T802" s="1" t="str">
        <f t="shared" si="36"/>
        <v>ter</v>
      </c>
      <c r="U802" s="1" t="str">
        <f t="shared" si="37"/>
        <v>jan</v>
      </c>
      <c r="V802">
        <f t="shared" si="38"/>
        <v>2017</v>
      </c>
      <c r="W802">
        <f>_xlfn.XLOOKUP(A802,Absenteismo!A:A,Absenteismo!A:A,0)</f>
        <v>0</v>
      </c>
    </row>
    <row r="803" spans="1:23" x14ac:dyDescent="0.3">
      <c r="A803">
        <v>1070</v>
      </c>
      <c r="B803">
        <v>43</v>
      </c>
      <c r="C803" t="s">
        <v>15</v>
      </c>
      <c r="D803" t="s">
        <v>29</v>
      </c>
      <c r="E803" t="s">
        <v>17</v>
      </c>
      <c r="F803" t="s">
        <v>18</v>
      </c>
      <c r="G803">
        <v>33</v>
      </c>
      <c r="H803">
        <v>5448</v>
      </c>
      <c r="I803" t="s">
        <v>30</v>
      </c>
      <c r="J803" s="2">
        <v>44748</v>
      </c>
      <c r="K803">
        <v>47</v>
      </c>
      <c r="L803" t="s">
        <v>20</v>
      </c>
      <c r="M803">
        <v>32</v>
      </c>
      <c r="N803">
        <v>0</v>
      </c>
      <c r="O803">
        <v>5</v>
      </c>
      <c r="P803" t="s">
        <v>20</v>
      </c>
      <c r="Q803" s="1">
        <v>1</v>
      </c>
      <c r="R803" s="2">
        <v>46174</v>
      </c>
      <c r="S803" s="2">
        <v>45753</v>
      </c>
      <c r="T803" s="1" t="str">
        <f t="shared" si="36"/>
        <v>qua</v>
      </c>
      <c r="U803" s="1" t="str">
        <f t="shared" si="37"/>
        <v>jul</v>
      </c>
      <c r="V803">
        <f t="shared" si="38"/>
        <v>2022</v>
      </c>
      <c r="W803">
        <f>_xlfn.XLOOKUP(A803,Absenteismo!A:A,Absenteismo!A:A,0)</f>
        <v>0</v>
      </c>
    </row>
    <row r="804" spans="1:23" hidden="1" x14ac:dyDescent="0.3">
      <c r="A804">
        <v>1751</v>
      </c>
      <c r="B804">
        <v>43</v>
      </c>
      <c r="C804" t="s">
        <v>26</v>
      </c>
      <c r="D804" t="s">
        <v>29</v>
      </c>
      <c r="E804" t="s">
        <v>17</v>
      </c>
      <c r="F804" t="s">
        <v>21</v>
      </c>
      <c r="G804">
        <v>8</v>
      </c>
      <c r="H804">
        <v>4094</v>
      </c>
      <c r="I804" t="s">
        <v>33</v>
      </c>
      <c r="J804" s="2">
        <v>45588</v>
      </c>
      <c r="K804">
        <v>27</v>
      </c>
      <c r="L804" t="s">
        <v>20</v>
      </c>
      <c r="M804">
        <v>13</v>
      </c>
      <c r="N804">
        <v>5</v>
      </c>
      <c r="O804">
        <v>3</v>
      </c>
      <c r="P804" t="s">
        <v>20</v>
      </c>
      <c r="Q804" s="1">
        <v>1</v>
      </c>
      <c r="R804" s="2">
        <v>46174</v>
      </c>
      <c r="S804" s="2">
        <v>45831</v>
      </c>
      <c r="T804" s="1" t="str">
        <f t="shared" si="36"/>
        <v>qua</v>
      </c>
      <c r="U804" s="1" t="str">
        <f t="shared" si="37"/>
        <v>out</v>
      </c>
      <c r="V804">
        <f t="shared" si="38"/>
        <v>2024</v>
      </c>
      <c r="W804">
        <f>_xlfn.XLOOKUP(A804,Absenteismo!A:A,Absenteismo!A:A,0)</f>
        <v>1751</v>
      </c>
    </row>
    <row r="805" spans="1:23" hidden="1" x14ac:dyDescent="0.3">
      <c r="A805">
        <v>1451</v>
      </c>
      <c r="B805">
        <v>43</v>
      </c>
      <c r="C805" t="s">
        <v>26</v>
      </c>
      <c r="D805" t="s">
        <v>29</v>
      </c>
      <c r="E805" t="s">
        <v>17</v>
      </c>
      <c r="F805" t="s">
        <v>21</v>
      </c>
      <c r="G805">
        <v>8</v>
      </c>
      <c r="H805">
        <v>4094</v>
      </c>
      <c r="I805" t="s">
        <v>33</v>
      </c>
      <c r="J805" s="2">
        <v>45642</v>
      </c>
      <c r="K805">
        <v>27</v>
      </c>
      <c r="L805" t="s">
        <v>20</v>
      </c>
      <c r="M805">
        <v>13</v>
      </c>
      <c r="N805">
        <v>5</v>
      </c>
      <c r="O805">
        <v>3</v>
      </c>
      <c r="P805" t="s">
        <v>20</v>
      </c>
      <c r="Q805" s="1">
        <v>3</v>
      </c>
      <c r="R805" s="2">
        <v>46174</v>
      </c>
      <c r="S805" s="2">
        <v>45885</v>
      </c>
      <c r="T805" s="1" t="str">
        <f t="shared" si="36"/>
        <v>seg</v>
      </c>
      <c r="U805" s="1" t="str">
        <f t="shared" si="37"/>
        <v>dez</v>
      </c>
      <c r="V805">
        <f t="shared" si="38"/>
        <v>2024</v>
      </c>
      <c r="W805">
        <f>_xlfn.XLOOKUP(A805,Absenteismo!A:A,Absenteismo!A:A,0)</f>
        <v>1451</v>
      </c>
    </row>
    <row r="806" spans="1:23" hidden="1" x14ac:dyDescent="0.3">
      <c r="A806">
        <v>1213</v>
      </c>
      <c r="B806">
        <v>43</v>
      </c>
      <c r="C806" t="s">
        <v>26</v>
      </c>
      <c r="D806" t="s">
        <v>16</v>
      </c>
      <c r="E806" t="s">
        <v>17</v>
      </c>
      <c r="F806" t="s">
        <v>21</v>
      </c>
      <c r="G806">
        <v>82</v>
      </c>
      <c r="H806">
        <v>6822</v>
      </c>
      <c r="I806" t="s">
        <v>28</v>
      </c>
      <c r="J806" s="2">
        <v>43424</v>
      </c>
      <c r="K806">
        <v>53</v>
      </c>
      <c r="L806" t="s">
        <v>20</v>
      </c>
      <c r="M806">
        <v>24</v>
      </c>
      <c r="N806">
        <v>4</v>
      </c>
      <c r="O806">
        <v>5</v>
      </c>
      <c r="P806" t="s">
        <v>20</v>
      </c>
      <c r="Q806" s="1">
        <v>1</v>
      </c>
      <c r="R806" s="2">
        <v>46174</v>
      </c>
      <c r="S806" s="2">
        <v>45920</v>
      </c>
      <c r="T806" s="1" t="str">
        <f t="shared" si="36"/>
        <v>ter</v>
      </c>
      <c r="U806" s="1" t="str">
        <f t="shared" si="37"/>
        <v>nov</v>
      </c>
      <c r="V806">
        <f t="shared" si="38"/>
        <v>2018</v>
      </c>
      <c r="W806">
        <f>_xlfn.XLOOKUP(A806,Absenteismo!A:A,Absenteismo!A:A,0)</f>
        <v>1213</v>
      </c>
    </row>
    <row r="807" spans="1:23" hidden="1" x14ac:dyDescent="0.3">
      <c r="A807">
        <v>1670</v>
      </c>
      <c r="B807">
        <v>43</v>
      </c>
      <c r="C807" t="s">
        <v>15</v>
      </c>
      <c r="D807" t="s">
        <v>29</v>
      </c>
      <c r="E807" t="s">
        <v>17</v>
      </c>
      <c r="F807" t="s">
        <v>18</v>
      </c>
      <c r="G807">
        <v>33</v>
      </c>
      <c r="H807">
        <v>5448</v>
      </c>
      <c r="I807" t="s">
        <v>30</v>
      </c>
      <c r="J807" s="2">
        <v>44919</v>
      </c>
      <c r="K807">
        <v>40</v>
      </c>
      <c r="L807" t="s">
        <v>20</v>
      </c>
      <c r="M807">
        <v>32</v>
      </c>
      <c r="N807">
        <v>0</v>
      </c>
      <c r="O807">
        <v>5</v>
      </c>
      <c r="P807" t="s">
        <v>20</v>
      </c>
      <c r="Q807" s="1">
        <v>1</v>
      </c>
      <c r="R807" s="2">
        <v>46174</v>
      </c>
      <c r="S807" s="2">
        <v>45924</v>
      </c>
      <c r="T807" s="1" t="str">
        <f t="shared" si="36"/>
        <v>sáb</v>
      </c>
      <c r="U807" s="1" t="str">
        <f t="shared" si="37"/>
        <v>dez</v>
      </c>
      <c r="V807">
        <f t="shared" si="38"/>
        <v>2022</v>
      </c>
      <c r="W807">
        <f>_xlfn.XLOOKUP(A807,Absenteismo!A:A,Absenteismo!A:A,0)</f>
        <v>1670</v>
      </c>
    </row>
    <row r="808" spans="1:23" x14ac:dyDescent="0.3">
      <c r="A808">
        <v>1151</v>
      </c>
      <c r="B808">
        <v>43</v>
      </c>
      <c r="C808" t="s">
        <v>26</v>
      </c>
      <c r="D808" t="s">
        <v>29</v>
      </c>
      <c r="E808" t="s">
        <v>17</v>
      </c>
      <c r="F808" t="s">
        <v>21</v>
      </c>
      <c r="G808">
        <v>8</v>
      </c>
      <c r="H808">
        <v>4094</v>
      </c>
      <c r="I808" t="s">
        <v>33</v>
      </c>
      <c r="J808" s="2">
        <v>45692</v>
      </c>
      <c r="K808">
        <v>27</v>
      </c>
      <c r="L808" t="s">
        <v>20</v>
      </c>
      <c r="M808">
        <v>13</v>
      </c>
      <c r="N808">
        <v>5</v>
      </c>
      <c r="O808">
        <v>3</v>
      </c>
      <c r="P808" t="s">
        <v>20</v>
      </c>
      <c r="Q808" s="1">
        <v>1</v>
      </c>
      <c r="R808" s="2">
        <v>46174</v>
      </c>
      <c r="S808" s="2">
        <v>45934</v>
      </c>
      <c r="T808" s="1" t="str">
        <f t="shared" si="36"/>
        <v>ter</v>
      </c>
      <c r="U808" s="1" t="str">
        <f t="shared" si="37"/>
        <v>fev</v>
      </c>
      <c r="V808">
        <f t="shared" si="38"/>
        <v>2025</v>
      </c>
      <c r="W808">
        <f>_xlfn.XLOOKUP(A808,Absenteismo!A:A,Absenteismo!A:A,0)</f>
        <v>0</v>
      </c>
    </row>
    <row r="809" spans="1:23" hidden="1" x14ac:dyDescent="0.3">
      <c r="A809">
        <v>1370</v>
      </c>
      <c r="B809">
        <v>43</v>
      </c>
      <c r="C809" t="s">
        <v>15</v>
      </c>
      <c r="D809" t="s">
        <v>29</v>
      </c>
      <c r="E809" t="s">
        <v>17</v>
      </c>
      <c r="F809" t="s">
        <v>18</v>
      </c>
      <c r="G809">
        <v>33</v>
      </c>
      <c r="H809">
        <v>5448</v>
      </c>
      <c r="I809" t="s">
        <v>30</v>
      </c>
      <c r="J809" s="2">
        <v>44968</v>
      </c>
      <c r="K809">
        <v>53</v>
      </c>
      <c r="L809" t="s">
        <v>25</v>
      </c>
      <c r="M809">
        <v>32</v>
      </c>
      <c r="N809">
        <v>0</v>
      </c>
      <c r="O809">
        <v>5</v>
      </c>
      <c r="P809" t="s">
        <v>20</v>
      </c>
      <c r="Q809" s="1">
        <v>3</v>
      </c>
      <c r="R809" s="2">
        <v>46174</v>
      </c>
      <c r="S809" s="2">
        <v>45972</v>
      </c>
      <c r="T809" s="1" t="str">
        <f t="shared" si="36"/>
        <v>sáb</v>
      </c>
      <c r="U809" s="1" t="str">
        <f t="shared" si="37"/>
        <v>fev</v>
      </c>
      <c r="V809">
        <f t="shared" si="38"/>
        <v>2023</v>
      </c>
      <c r="W809">
        <f>_xlfn.XLOOKUP(A809,Absenteismo!A:A,Absenteismo!A:A,0)</f>
        <v>1370</v>
      </c>
    </row>
    <row r="810" spans="1:23" hidden="1" x14ac:dyDescent="0.3">
      <c r="A810">
        <v>1513</v>
      </c>
      <c r="B810">
        <v>43</v>
      </c>
      <c r="C810" t="s">
        <v>26</v>
      </c>
      <c r="D810" t="s">
        <v>16</v>
      </c>
      <c r="E810" t="s">
        <v>17</v>
      </c>
      <c r="F810" t="s">
        <v>21</v>
      </c>
      <c r="G810">
        <v>82</v>
      </c>
      <c r="H810">
        <v>6822</v>
      </c>
      <c r="I810" t="s">
        <v>28</v>
      </c>
      <c r="J810" s="2">
        <v>43548</v>
      </c>
      <c r="K810">
        <v>41</v>
      </c>
      <c r="L810" t="s">
        <v>20</v>
      </c>
      <c r="M810">
        <v>24</v>
      </c>
      <c r="N810">
        <v>4</v>
      </c>
      <c r="O810">
        <v>5</v>
      </c>
      <c r="P810" t="s">
        <v>20</v>
      </c>
      <c r="Q810" s="1">
        <v>2</v>
      </c>
      <c r="R810" s="2">
        <v>46174</v>
      </c>
      <c r="S810" s="2">
        <v>46046</v>
      </c>
      <c r="T810" s="1" t="str">
        <f t="shared" si="36"/>
        <v>dom</v>
      </c>
      <c r="U810" s="1" t="str">
        <f t="shared" si="37"/>
        <v>mar</v>
      </c>
      <c r="V810">
        <f t="shared" si="38"/>
        <v>2019</v>
      </c>
      <c r="W810">
        <f>_xlfn.XLOOKUP(A810,Absenteismo!A:A,Absenteismo!A:A,0)</f>
        <v>1513</v>
      </c>
    </row>
    <row r="811" spans="1:23" hidden="1" x14ac:dyDescent="0.3">
      <c r="A811">
        <v>1813</v>
      </c>
      <c r="B811">
        <v>43</v>
      </c>
      <c r="C811" t="s">
        <v>26</v>
      </c>
      <c r="D811" t="s">
        <v>16</v>
      </c>
      <c r="E811" t="s">
        <v>17</v>
      </c>
      <c r="F811" t="s">
        <v>21</v>
      </c>
      <c r="G811">
        <v>82</v>
      </c>
      <c r="H811">
        <v>6822</v>
      </c>
      <c r="I811" t="s">
        <v>28</v>
      </c>
      <c r="J811" s="2">
        <v>43605</v>
      </c>
      <c r="K811">
        <v>41</v>
      </c>
      <c r="L811" t="s">
        <v>20</v>
      </c>
      <c r="M811">
        <v>24</v>
      </c>
      <c r="N811">
        <v>4</v>
      </c>
      <c r="O811">
        <v>5</v>
      </c>
      <c r="P811" t="s">
        <v>20</v>
      </c>
      <c r="Q811" s="1">
        <v>3</v>
      </c>
      <c r="R811" s="2">
        <v>46174</v>
      </c>
      <c r="S811" s="2">
        <v>46101</v>
      </c>
      <c r="T811" s="1" t="str">
        <f t="shared" si="36"/>
        <v>seg</v>
      </c>
      <c r="U811" s="1" t="str">
        <f t="shared" si="37"/>
        <v>mai</v>
      </c>
      <c r="V811">
        <f t="shared" si="38"/>
        <v>2019</v>
      </c>
      <c r="W811">
        <f>_xlfn.XLOOKUP(A811,Absenteismo!A:A,Absenteismo!A:A,0)</f>
        <v>1813</v>
      </c>
    </row>
    <row r="812" spans="1:23" x14ac:dyDescent="0.3">
      <c r="A812">
        <v>1015</v>
      </c>
      <c r="B812">
        <v>43</v>
      </c>
      <c r="C812" t="s">
        <v>26</v>
      </c>
      <c r="D812" t="s">
        <v>29</v>
      </c>
      <c r="E812" t="s">
        <v>17</v>
      </c>
      <c r="F812" t="s">
        <v>21</v>
      </c>
      <c r="G812">
        <v>58</v>
      </c>
      <c r="H812">
        <v>3791</v>
      </c>
      <c r="I812" t="s">
        <v>19</v>
      </c>
      <c r="J812" s="2">
        <v>44429</v>
      </c>
      <c r="K812">
        <v>15</v>
      </c>
      <c r="L812" t="s">
        <v>20</v>
      </c>
      <c r="M812">
        <v>1</v>
      </c>
      <c r="N812">
        <v>9</v>
      </c>
      <c r="O812">
        <v>3</v>
      </c>
      <c r="P812" t="s">
        <v>25</v>
      </c>
      <c r="Q812" s="1">
        <v>3</v>
      </c>
      <c r="R812" s="2">
        <v>46174</v>
      </c>
      <c r="S812" s="2"/>
      <c r="T812" s="1" t="str">
        <f t="shared" si="36"/>
        <v>sáb</v>
      </c>
      <c r="U812" s="1" t="str">
        <f t="shared" si="37"/>
        <v>ago</v>
      </c>
      <c r="V812">
        <f t="shared" si="38"/>
        <v>2021</v>
      </c>
      <c r="W812">
        <f>_xlfn.XLOOKUP(A812,Absenteismo!A:A,Absenteismo!A:A,0)</f>
        <v>0</v>
      </c>
    </row>
    <row r="813" spans="1:23" x14ac:dyDescent="0.3">
      <c r="A813">
        <v>1112</v>
      </c>
      <c r="B813">
        <v>43</v>
      </c>
      <c r="C813" t="s">
        <v>26</v>
      </c>
      <c r="D813" t="s">
        <v>27</v>
      </c>
      <c r="E813" t="s">
        <v>17</v>
      </c>
      <c r="F813" t="s">
        <v>23</v>
      </c>
      <c r="G813">
        <v>43</v>
      </c>
      <c r="H813">
        <v>4177</v>
      </c>
      <c r="I813" t="s">
        <v>30</v>
      </c>
      <c r="J813" s="2">
        <v>44717</v>
      </c>
      <c r="K813">
        <v>33</v>
      </c>
      <c r="L813" t="s">
        <v>20</v>
      </c>
      <c r="M813">
        <v>33</v>
      </c>
      <c r="N813">
        <v>8</v>
      </c>
      <c r="O813">
        <v>3</v>
      </c>
      <c r="P813" t="s">
        <v>25</v>
      </c>
      <c r="Q813" s="1">
        <v>1</v>
      </c>
      <c r="R813" s="2">
        <v>46174</v>
      </c>
      <c r="S813" s="2"/>
      <c r="T813" s="1" t="str">
        <f t="shared" si="36"/>
        <v>dom</v>
      </c>
      <c r="U813" s="1" t="str">
        <f t="shared" si="37"/>
        <v>jun</v>
      </c>
      <c r="V813">
        <f t="shared" si="38"/>
        <v>2022</v>
      </c>
      <c r="W813">
        <f>_xlfn.XLOOKUP(A813,Absenteismo!A:A,Absenteismo!A:A,0)</f>
        <v>0</v>
      </c>
    </row>
    <row r="814" spans="1:23" hidden="1" x14ac:dyDescent="0.3">
      <c r="A814">
        <v>1315</v>
      </c>
      <c r="B814">
        <v>43</v>
      </c>
      <c r="C814" t="s">
        <v>26</v>
      </c>
      <c r="D814" t="s">
        <v>29</v>
      </c>
      <c r="E814" t="s">
        <v>17</v>
      </c>
      <c r="F814" t="s">
        <v>21</v>
      </c>
      <c r="G814">
        <v>58</v>
      </c>
      <c r="H814">
        <v>3791</v>
      </c>
      <c r="I814" t="s">
        <v>19</v>
      </c>
      <c r="J814" s="2">
        <v>44110</v>
      </c>
      <c r="K814">
        <v>15</v>
      </c>
      <c r="L814" t="s">
        <v>20</v>
      </c>
      <c r="M814">
        <v>1</v>
      </c>
      <c r="N814">
        <v>9</v>
      </c>
      <c r="O814">
        <v>3</v>
      </c>
      <c r="P814" t="s">
        <v>25</v>
      </c>
      <c r="Q814" s="1">
        <v>3</v>
      </c>
      <c r="R814" s="2">
        <v>46174</v>
      </c>
      <c r="S814" s="2"/>
      <c r="T814" s="1" t="str">
        <f t="shared" si="36"/>
        <v>ter</v>
      </c>
      <c r="U814" s="1" t="str">
        <f t="shared" si="37"/>
        <v>out</v>
      </c>
      <c r="V814">
        <f t="shared" si="38"/>
        <v>2020</v>
      </c>
      <c r="W814">
        <f>_xlfn.XLOOKUP(A814,Absenteismo!A:A,Absenteismo!A:A,0)</f>
        <v>1315</v>
      </c>
    </row>
    <row r="815" spans="1:23" hidden="1" x14ac:dyDescent="0.3">
      <c r="A815">
        <v>1412</v>
      </c>
      <c r="B815">
        <v>43</v>
      </c>
      <c r="C815" t="s">
        <v>26</v>
      </c>
      <c r="D815" t="s">
        <v>27</v>
      </c>
      <c r="E815" t="s">
        <v>17</v>
      </c>
      <c r="F815" t="s">
        <v>23</v>
      </c>
      <c r="G815">
        <v>43</v>
      </c>
      <c r="H815">
        <v>4177</v>
      </c>
      <c r="I815" t="s">
        <v>30</v>
      </c>
      <c r="J815" s="2">
        <v>44765</v>
      </c>
      <c r="K815">
        <v>33</v>
      </c>
      <c r="L815" t="s">
        <v>20</v>
      </c>
      <c r="M815">
        <v>33</v>
      </c>
      <c r="N815">
        <v>8</v>
      </c>
      <c r="O815">
        <v>3</v>
      </c>
      <c r="P815" t="s">
        <v>25</v>
      </c>
      <c r="Q815" s="1">
        <v>2</v>
      </c>
      <c r="R815" s="2">
        <v>46174</v>
      </c>
      <c r="S815" s="2"/>
      <c r="T815" s="1" t="str">
        <f t="shared" si="36"/>
        <v>sáb</v>
      </c>
      <c r="U815" s="1" t="str">
        <f t="shared" si="37"/>
        <v>jul</v>
      </c>
      <c r="V815">
        <f t="shared" si="38"/>
        <v>2022</v>
      </c>
      <c r="W815">
        <f>_xlfn.XLOOKUP(A815,Absenteismo!A:A,Absenteismo!A:A,0)</f>
        <v>1412</v>
      </c>
    </row>
    <row r="816" spans="1:23" hidden="1" x14ac:dyDescent="0.3">
      <c r="A816">
        <v>1615</v>
      </c>
      <c r="B816">
        <v>43</v>
      </c>
      <c r="C816" t="s">
        <v>26</v>
      </c>
      <c r="D816" t="s">
        <v>29</v>
      </c>
      <c r="E816" t="s">
        <v>17</v>
      </c>
      <c r="F816" t="s">
        <v>21</v>
      </c>
      <c r="G816">
        <v>58</v>
      </c>
      <c r="H816">
        <v>3791</v>
      </c>
      <c r="I816" t="s">
        <v>19</v>
      </c>
      <c r="J816" s="2">
        <v>44164</v>
      </c>
      <c r="K816">
        <v>15</v>
      </c>
      <c r="L816" t="s">
        <v>20</v>
      </c>
      <c r="M816">
        <v>1</v>
      </c>
      <c r="N816">
        <v>9</v>
      </c>
      <c r="O816">
        <v>3</v>
      </c>
      <c r="P816" t="s">
        <v>25</v>
      </c>
      <c r="Q816" s="1">
        <v>3</v>
      </c>
      <c r="R816" s="2">
        <v>46174</v>
      </c>
      <c r="S816" s="2"/>
      <c r="T816" s="1" t="str">
        <f t="shared" si="36"/>
        <v>dom</v>
      </c>
      <c r="U816" s="1" t="str">
        <f t="shared" si="37"/>
        <v>nov</v>
      </c>
      <c r="V816">
        <f t="shared" si="38"/>
        <v>2020</v>
      </c>
      <c r="W816">
        <f>_xlfn.XLOOKUP(A816,Absenteismo!A:A,Absenteismo!A:A,0)</f>
        <v>1615</v>
      </c>
    </row>
    <row r="817" spans="1:23" hidden="1" x14ac:dyDescent="0.3">
      <c r="A817">
        <v>1712</v>
      </c>
      <c r="B817">
        <v>43</v>
      </c>
      <c r="C817" t="s">
        <v>26</v>
      </c>
      <c r="D817" t="s">
        <v>27</v>
      </c>
      <c r="E817" t="s">
        <v>17</v>
      </c>
      <c r="F817" t="s">
        <v>23</v>
      </c>
      <c r="G817">
        <v>43</v>
      </c>
      <c r="H817">
        <v>4177</v>
      </c>
      <c r="I817" t="s">
        <v>30</v>
      </c>
      <c r="J817" s="2">
        <v>44535</v>
      </c>
      <c r="K817">
        <v>33</v>
      </c>
      <c r="L817" t="s">
        <v>20</v>
      </c>
      <c r="M817">
        <v>33</v>
      </c>
      <c r="N817">
        <v>8</v>
      </c>
      <c r="O817">
        <v>3</v>
      </c>
      <c r="P817" t="s">
        <v>25</v>
      </c>
      <c r="Q817" s="1">
        <v>3</v>
      </c>
      <c r="R817" s="2">
        <v>46174</v>
      </c>
      <c r="S817" s="2"/>
      <c r="T817" s="1" t="str">
        <f t="shared" si="36"/>
        <v>dom</v>
      </c>
      <c r="U817" s="1" t="str">
        <f t="shared" si="37"/>
        <v>dez</v>
      </c>
      <c r="V817">
        <f t="shared" si="38"/>
        <v>2021</v>
      </c>
      <c r="W817">
        <f>_xlfn.XLOOKUP(A817,Absenteismo!A:A,Absenteismo!A:A,0)</f>
        <v>1712</v>
      </c>
    </row>
    <row r="818" spans="1:23" hidden="1" x14ac:dyDescent="0.3">
      <c r="A818">
        <v>1915</v>
      </c>
      <c r="B818">
        <v>43</v>
      </c>
      <c r="C818" t="s">
        <v>26</v>
      </c>
      <c r="D818" t="s">
        <v>29</v>
      </c>
      <c r="E818" t="s">
        <v>17</v>
      </c>
      <c r="F818" t="s">
        <v>21</v>
      </c>
      <c r="G818">
        <v>58</v>
      </c>
      <c r="H818">
        <v>3791</v>
      </c>
      <c r="I818" t="s">
        <v>19</v>
      </c>
      <c r="J818" s="2">
        <v>44032</v>
      </c>
      <c r="K818">
        <v>15</v>
      </c>
      <c r="L818" t="s">
        <v>20</v>
      </c>
      <c r="M818">
        <v>1</v>
      </c>
      <c r="N818">
        <v>9</v>
      </c>
      <c r="O818">
        <v>3</v>
      </c>
      <c r="P818" t="s">
        <v>25</v>
      </c>
      <c r="Q818" s="1">
        <v>3</v>
      </c>
      <c r="R818" s="2">
        <v>46174</v>
      </c>
      <c r="S818" s="2"/>
      <c r="T818" s="1" t="str">
        <f t="shared" si="36"/>
        <v>seg</v>
      </c>
      <c r="U818" s="1" t="str">
        <f t="shared" si="37"/>
        <v>jul</v>
      </c>
      <c r="V818">
        <f t="shared" si="38"/>
        <v>2020</v>
      </c>
      <c r="W818">
        <f>_xlfn.XLOOKUP(A818,Absenteismo!A:A,Absenteismo!A:A,0)</f>
        <v>1915</v>
      </c>
    </row>
    <row r="819" spans="1:23" hidden="1" x14ac:dyDescent="0.3">
      <c r="A819">
        <v>2012</v>
      </c>
      <c r="B819">
        <v>43</v>
      </c>
      <c r="C819" t="s">
        <v>26</v>
      </c>
      <c r="D819" t="s">
        <v>27</v>
      </c>
      <c r="E819" t="s">
        <v>17</v>
      </c>
      <c r="F819" t="s">
        <v>23</v>
      </c>
      <c r="G819">
        <v>43</v>
      </c>
      <c r="H819">
        <v>4177</v>
      </c>
      <c r="I819" t="s">
        <v>30</v>
      </c>
      <c r="J819" s="2">
        <v>44537</v>
      </c>
      <c r="K819">
        <v>33</v>
      </c>
      <c r="L819" t="s">
        <v>20</v>
      </c>
      <c r="M819">
        <v>33</v>
      </c>
      <c r="N819">
        <v>8</v>
      </c>
      <c r="O819">
        <v>3</v>
      </c>
      <c r="P819" t="s">
        <v>25</v>
      </c>
      <c r="Q819" s="1">
        <v>2</v>
      </c>
      <c r="R819" s="2">
        <v>46174</v>
      </c>
      <c r="S819" s="2"/>
      <c r="T819" s="1" t="str">
        <f t="shared" si="36"/>
        <v>ter</v>
      </c>
      <c r="U819" s="1" t="str">
        <f t="shared" si="37"/>
        <v>dez</v>
      </c>
      <c r="V819">
        <f t="shared" si="38"/>
        <v>2021</v>
      </c>
      <c r="W819">
        <f>_xlfn.XLOOKUP(A819,Absenteismo!A:A,Absenteismo!A:A,0)</f>
        <v>2012</v>
      </c>
    </row>
    <row r="820" spans="1:23" hidden="1" x14ac:dyDescent="0.3">
      <c r="A820">
        <v>1970</v>
      </c>
      <c r="B820">
        <v>43</v>
      </c>
      <c r="C820" t="s">
        <v>15</v>
      </c>
      <c r="D820" t="s">
        <v>29</v>
      </c>
      <c r="E820" t="s">
        <v>17</v>
      </c>
      <c r="F820" t="s">
        <v>18</v>
      </c>
      <c r="G820">
        <v>33</v>
      </c>
      <c r="H820">
        <v>5448</v>
      </c>
      <c r="I820" t="s">
        <v>30</v>
      </c>
      <c r="J820" s="2">
        <v>44823</v>
      </c>
      <c r="K820">
        <v>40</v>
      </c>
      <c r="L820" t="s">
        <v>20</v>
      </c>
      <c r="M820">
        <v>32</v>
      </c>
      <c r="N820">
        <v>0</v>
      </c>
      <c r="O820">
        <v>5</v>
      </c>
      <c r="P820" t="s">
        <v>25</v>
      </c>
      <c r="Q820" s="1">
        <v>2</v>
      </c>
      <c r="R820" s="2">
        <v>46174</v>
      </c>
      <c r="S820" s="2"/>
      <c r="T820" s="1" t="str">
        <f t="shared" si="36"/>
        <v>seg</v>
      </c>
      <c r="U820" s="1" t="str">
        <f t="shared" si="37"/>
        <v>set</v>
      </c>
      <c r="V820">
        <f t="shared" si="38"/>
        <v>2022</v>
      </c>
      <c r="W820">
        <f>_xlfn.XLOOKUP(A820,Absenteismo!A:A,Absenteismo!A:A,0)</f>
        <v>1970</v>
      </c>
    </row>
    <row r="821" spans="1:23" hidden="1" x14ac:dyDescent="0.3">
      <c r="A821">
        <v>2051</v>
      </c>
      <c r="B821">
        <v>43</v>
      </c>
      <c r="C821" t="s">
        <v>26</v>
      </c>
      <c r="D821" t="s">
        <v>29</v>
      </c>
      <c r="E821" t="s">
        <v>17</v>
      </c>
      <c r="F821" t="s">
        <v>21</v>
      </c>
      <c r="G821">
        <v>8</v>
      </c>
      <c r="H821">
        <v>4094</v>
      </c>
      <c r="I821" t="s">
        <v>33</v>
      </c>
      <c r="J821" s="2">
        <v>45680</v>
      </c>
      <c r="K821">
        <v>27</v>
      </c>
      <c r="L821" t="s">
        <v>20</v>
      </c>
      <c r="M821">
        <v>13</v>
      </c>
      <c r="N821">
        <v>5</v>
      </c>
      <c r="O821">
        <v>3</v>
      </c>
      <c r="P821" t="s">
        <v>25</v>
      </c>
      <c r="Q821" s="1">
        <v>2</v>
      </c>
      <c r="R821" s="2">
        <v>46174</v>
      </c>
      <c r="S821" s="2"/>
      <c r="T821" s="1" t="str">
        <f t="shared" si="36"/>
        <v>qui</v>
      </c>
      <c r="U821" s="1" t="str">
        <f t="shared" si="37"/>
        <v>jan</v>
      </c>
      <c r="V821">
        <f t="shared" si="38"/>
        <v>2025</v>
      </c>
      <c r="W821">
        <f>_xlfn.XLOOKUP(A821,Absenteismo!A:A,Absenteismo!A:A,0)</f>
        <v>2051</v>
      </c>
    </row>
    <row r="822" spans="1:23" hidden="1" x14ac:dyDescent="0.3">
      <c r="A822">
        <v>2113</v>
      </c>
      <c r="B822">
        <v>43</v>
      </c>
      <c r="C822" t="s">
        <v>26</v>
      </c>
      <c r="D822" t="s">
        <v>16</v>
      </c>
      <c r="E822" t="s">
        <v>17</v>
      </c>
      <c r="F822" t="s">
        <v>21</v>
      </c>
      <c r="G822">
        <v>82</v>
      </c>
      <c r="H822">
        <v>6822</v>
      </c>
      <c r="I822" t="s">
        <v>28</v>
      </c>
      <c r="J822" s="2">
        <v>43536</v>
      </c>
      <c r="K822">
        <v>41</v>
      </c>
      <c r="L822" t="s">
        <v>20</v>
      </c>
      <c r="M822">
        <v>24</v>
      </c>
      <c r="N822">
        <v>4</v>
      </c>
      <c r="O822">
        <v>5</v>
      </c>
      <c r="P822" t="s">
        <v>25</v>
      </c>
      <c r="Q822" s="1">
        <v>3</v>
      </c>
      <c r="R822" s="2">
        <v>46174</v>
      </c>
      <c r="S822" s="2"/>
      <c r="T822" s="1" t="str">
        <f t="shared" si="36"/>
        <v>ter</v>
      </c>
      <c r="U822" s="1" t="str">
        <f t="shared" si="37"/>
        <v>mar</v>
      </c>
      <c r="V822">
        <f t="shared" si="38"/>
        <v>2019</v>
      </c>
      <c r="W822">
        <f>_xlfn.XLOOKUP(A822,Absenteismo!A:A,Absenteismo!A:A,0)</f>
        <v>2113</v>
      </c>
    </row>
    <row r="823" spans="1:23" hidden="1" x14ac:dyDescent="0.3">
      <c r="A823">
        <v>1293</v>
      </c>
      <c r="B823">
        <v>44</v>
      </c>
      <c r="C823" t="s">
        <v>26</v>
      </c>
      <c r="D823" t="s">
        <v>22</v>
      </c>
      <c r="E823" t="s">
        <v>17</v>
      </c>
      <c r="F823" t="s">
        <v>18</v>
      </c>
      <c r="G823">
        <v>106</v>
      </c>
      <c r="H823">
        <v>3260</v>
      </c>
      <c r="I823" t="s">
        <v>28</v>
      </c>
      <c r="J823" s="2">
        <v>42571</v>
      </c>
      <c r="K823">
        <v>53</v>
      </c>
      <c r="L823" t="s">
        <v>20</v>
      </c>
      <c r="M823">
        <v>19</v>
      </c>
      <c r="N823">
        <v>11</v>
      </c>
      <c r="O823">
        <v>5</v>
      </c>
      <c r="P823" t="s">
        <v>20</v>
      </c>
      <c r="Q823" s="1">
        <v>3</v>
      </c>
      <c r="R823" s="2">
        <v>46174</v>
      </c>
      <c r="S823" s="2">
        <v>45797</v>
      </c>
      <c r="T823" s="1" t="str">
        <f t="shared" si="36"/>
        <v>qua</v>
      </c>
      <c r="U823" s="1" t="str">
        <f t="shared" si="37"/>
        <v>jul</v>
      </c>
      <c r="V823">
        <f t="shared" si="38"/>
        <v>2016</v>
      </c>
      <c r="W823">
        <f>_xlfn.XLOOKUP(A823,Absenteismo!A:A,Absenteismo!A:A,0)</f>
        <v>1293</v>
      </c>
    </row>
    <row r="824" spans="1:23" hidden="1" x14ac:dyDescent="0.3">
      <c r="A824">
        <v>1593</v>
      </c>
      <c r="B824">
        <v>44</v>
      </c>
      <c r="C824" t="s">
        <v>26</v>
      </c>
      <c r="D824" t="s">
        <v>22</v>
      </c>
      <c r="E824" t="s">
        <v>17</v>
      </c>
      <c r="F824" t="s">
        <v>18</v>
      </c>
      <c r="G824">
        <v>106</v>
      </c>
      <c r="H824">
        <v>3260</v>
      </c>
      <c r="I824" t="s">
        <v>28</v>
      </c>
      <c r="J824" s="2">
        <v>42656</v>
      </c>
      <c r="K824">
        <v>53</v>
      </c>
      <c r="L824" t="s">
        <v>20</v>
      </c>
      <c r="M824">
        <v>19</v>
      </c>
      <c r="N824">
        <v>11</v>
      </c>
      <c r="O824">
        <v>5</v>
      </c>
      <c r="P824" t="s">
        <v>20</v>
      </c>
      <c r="Q824" s="1">
        <v>3</v>
      </c>
      <c r="R824" s="2">
        <v>46174</v>
      </c>
      <c r="S824" s="2">
        <v>45882</v>
      </c>
      <c r="T824" s="1" t="str">
        <f t="shared" si="36"/>
        <v>qui</v>
      </c>
      <c r="U824" s="1" t="str">
        <f t="shared" si="37"/>
        <v>out</v>
      </c>
      <c r="V824">
        <f t="shared" si="38"/>
        <v>2016</v>
      </c>
      <c r="W824">
        <f>_xlfn.XLOOKUP(A824,Absenteismo!A:A,Absenteismo!A:A,0)</f>
        <v>1593</v>
      </c>
    </row>
    <row r="825" spans="1:23" hidden="1" x14ac:dyDescent="0.3">
      <c r="A825">
        <v>1046</v>
      </c>
      <c r="B825">
        <v>44</v>
      </c>
      <c r="C825" t="s">
        <v>15</v>
      </c>
      <c r="D825" t="s">
        <v>29</v>
      </c>
      <c r="E825" t="s">
        <v>17</v>
      </c>
      <c r="F825" t="s">
        <v>18</v>
      </c>
      <c r="G825">
        <v>56</v>
      </c>
      <c r="H825">
        <v>6778</v>
      </c>
      <c r="I825" t="s">
        <v>30</v>
      </c>
      <c r="J825" s="2">
        <v>44464</v>
      </c>
      <c r="K825">
        <v>25</v>
      </c>
      <c r="L825" t="s">
        <v>20</v>
      </c>
      <c r="M825">
        <v>25</v>
      </c>
      <c r="N825">
        <v>11</v>
      </c>
      <c r="O825">
        <v>3</v>
      </c>
      <c r="P825" t="s">
        <v>25</v>
      </c>
      <c r="Q825" s="1">
        <v>2</v>
      </c>
      <c r="R825" s="2">
        <v>46174</v>
      </c>
      <c r="S825" s="2"/>
      <c r="T825" s="1" t="str">
        <f t="shared" si="36"/>
        <v>sáb</v>
      </c>
      <c r="U825" s="1" t="str">
        <f t="shared" si="37"/>
        <v>set</v>
      </c>
      <c r="V825">
        <f t="shared" si="38"/>
        <v>2021</v>
      </c>
      <c r="W825">
        <f>_xlfn.XLOOKUP(A825,Absenteismo!A:A,Absenteismo!A:A,0)</f>
        <v>1046</v>
      </c>
    </row>
    <row r="826" spans="1:23" x14ac:dyDescent="0.3">
      <c r="A826">
        <v>1053</v>
      </c>
      <c r="B826">
        <v>44</v>
      </c>
      <c r="C826" t="s">
        <v>26</v>
      </c>
      <c r="D826" t="s">
        <v>16</v>
      </c>
      <c r="E826" t="s">
        <v>17</v>
      </c>
      <c r="F826" t="s">
        <v>18</v>
      </c>
      <c r="G826">
        <v>82</v>
      </c>
      <c r="H826">
        <v>6566</v>
      </c>
      <c r="I826" t="s">
        <v>19</v>
      </c>
      <c r="J826" s="2">
        <v>43671</v>
      </c>
      <c r="K826">
        <v>28</v>
      </c>
      <c r="L826" t="s">
        <v>20</v>
      </c>
      <c r="M826">
        <v>33</v>
      </c>
      <c r="N826">
        <v>10</v>
      </c>
      <c r="O826">
        <v>4</v>
      </c>
      <c r="P826" t="s">
        <v>25</v>
      </c>
      <c r="Q826" s="1">
        <v>3</v>
      </c>
      <c r="R826" s="2">
        <v>46174</v>
      </c>
      <c r="S826" s="2"/>
      <c r="T826" s="1" t="str">
        <f t="shared" si="36"/>
        <v>qui</v>
      </c>
      <c r="U826" s="1" t="str">
        <f t="shared" si="37"/>
        <v>jul</v>
      </c>
      <c r="V826">
        <f t="shared" si="38"/>
        <v>2019</v>
      </c>
      <c r="W826">
        <f>_xlfn.XLOOKUP(A826,Absenteismo!A:A,Absenteismo!A:A,0)</f>
        <v>0</v>
      </c>
    </row>
    <row r="827" spans="1:23" x14ac:dyDescent="0.3">
      <c r="A827">
        <v>1168</v>
      </c>
      <c r="B827">
        <v>44</v>
      </c>
      <c r="C827" t="s">
        <v>26</v>
      </c>
      <c r="D827" t="s">
        <v>27</v>
      </c>
      <c r="E827" t="s">
        <v>17</v>
      </c>
      <c r="F827" t="s">
        <v>23</v>
      </c>
      <c r="G827">
        <v>88</v>
      </c>
      <c r="H827">
        <v>3926</v>
      </c>
      <c r="I827" t="s">
        <v>30</v>
      </c>
      <c r="J827" s="2">
        <v>43345</v>
      </c>
      <c r="K827">
        <v>36</v>
      </c>
      <c r="L827" t="s">
        <v>25</v>
      </c>
      <c r="M827">
        <v>10</v>
      </c>
      <c r="N827">
        <v>6</v>
      </c>
      <c r="O827">
        <v>5</v>
      </c>
      <c r="P827" t="s">
        <v>25</v>
      </c>
      <c r="Q827" s="1">
        <v>3</v>
      </c>
      <c r="R827" s="2">
        <v>46174</v>
      </c>
      <c r="S827" s="2"/>
      <c r="T827" s="1" t="str">
        <f t="shared" si="36"/>
        <v>dom</v>
      </c>
      <c r="U827" s="1" t="str">
        <f t="shared" si="37"/>
        <v>set</v>
      </c>
      <c r="V827">
        <f t="shared" si="38"/>
        <v>2018</v>
      </c>
      <c r="W827">
        <f>_xlfn.XLOOKUP(A827,Absenteismo!A:A,Absenteismo!A:A,0)</f>
        <v>0</v>
      </c>
    </row>
    <row r="828" spans="1:23" hidden="1" x14ac:dyDescent="0.3">
      <c r="A828">
        <v>1346</v>
      </c>
      <c r="B828">
        <v>44</v>
      </c>
      <c r="C828" t="s">
        <v>15</v>
      </c>
      <c r="D828" t="s">
        <v>29</v>
      </c>
      <c r="E828" t="s">
        <v>17</v>
      </c>
      <c r="F828" t="s">
        <v>18</v>
      </c>
      <c r="G828">
        <v>56</v>
      </c>
      <c r="H828">
        <v>6778</v>
      </c>
      <c r="I828" t="s">
        <v>30</v>
      </c>
      <c r="J828" s="2">
        <v>44249</v>
      </c>
      <c r="K828">
        <v>25</v>
      </c>
      <c r="L828" t="s">
        <v>20</v>
      </c>
      <c r="M828">
        <v>25</v>
      </c>
      <c r="N828">
        <v>11</v>
      </c>
      <c r="O828">
        <v>3</v>
      </c>
      <c r="P828" t="s">
        <v>25</v>
      </c>
      <c r="Q828" s="1">
        <v>3</v>
      </c>
      <c r="R828" s="2">
        <v>46174</v>
      </c>
      <c r="S828" s="2"/>
      <c r="T828" s="1" t="str">
        <f t="shared" si="36"/>
        <v>seg</v>
      </c>
      <c r="U828" s="1" t="str">
        <f t="shared" si="37"/>
        <v>fev</v>
      </c>
      <c r="V828">
        <f t="shared" si="38"/>
        <v>2021</v>
      </c>
      <c r="W828">
        <f>_xlfn.XLOOKUP(A828,Absenteismo!A:A,Absenteismo!A:A,0)</f>
        <v>1346</v>
      </c>
    </row>
    <row r="829" spans="1:23" hidden="1" x14ac:dyDescent="0.3">
      <c r="A829">
        <v>1353</v>
      </c>
      <c r="B829">
        <v>44</v>
      </c>
      <c r="C829" t="s">
        <v>26</v>
      </c>
      <c r="D829" t="s">
        <v>16</v>
      </c>
      <c r="E829" t="s">
        <v>17</v>
      </c>
      <c r="F829" t="s">
        <v>18</v>
      </c>
      <c r="G829">
        <v>82</v>
      </c>
      <c r="H829">
        <v>6566</v>
      </c>
      <c r="I829" t="s">
        <v>19</v>
      </c>
      <c r="J829" s="2">
        <v>43541</v>
      </c>
      <c r="K829">
        <v>28</v>
      </c>
      <c r="L829" t="s">
        <v>20</v>
      </c>
      <c r="M829">
        <v>33</v>
      </c>
      <c r="N829">
        <v>10</v>
      </c>
      <c r="O829">
        <v>4</v>
      </c>
      <c r="P829" t="s">
        <v>25</v>
      </c>
      <c r="Q829" s="1">
        <v>3</v>
      </c>
      <c r="R829" s="2">
        <v>46174</v>
      </c>
      <c r="S829" s="2"/>
      <c r="T829" s="1" t="str">
        <f t="shared" si="36"/>
        <v>dom</v>
      </c>
      <c r="U829" s="1" t="str">
        <f t="shared" si="37"/>
        <v>mar</v>
      </c>
      <c r="V829">
        <f t="shared" si="38"/>
        <v>2019</v>
      </c>
      <c r="W829">
        <f>_xlfn.XLOOKUP(A829,Absenteismo!A:A,Absenteismo!A:A,0)</f>
        <v>1353</v>
      </c>
    </row>
    <row r="830" spans="1:23" hidden="1" x14ac:dyDescent="0.3">
      <c r="A830">
        <v>1468</v>
      </c>
      <c r="B830">
        <v>44</v>
      </c>
      <c r="C830" t="s">
        <v>26</v>
      </c>
      <c r="D830" t="s">
        <v>27</v>
      </c>
      <c r="E830" t="s">
        <v>17</v>
      </c>
      <c r="F830" t="s">
        <v>23</v>
      </c>
      <c r="G830">
        <v>88</v>
      </c>
      <c r="H830">
        <v>3926</v>
      </c>
      <c r="I830" t="s">
        <v>30</v>
      </c>
      <c r="J830" s="2">
        <v>43472</v>
      </c>
      <c r="K830">
        <v>36</v>
      </c>
      <c r="L830" t="s">
        <v>25</v>
      </c>
      <c r="M830">
        <v>10</v>
      </c>
      <c r="N830">
        <v>6</v>
      </c>
      <c r="O830">
        <v>5</v>
      </c>
      <c r="P830" t="s">
        <v>25</v>
      </c>
      <c r="Q830" s="1">
        <v>2</v>
      </c>
      <c r="R830" s="2">
        <v>46174</v>
      </c>
      <c r="S830" s="2"/>
      <c r="T830" s="1" t="str">
        <f t="shared" si="36"/>
        <v>seg</v>
      </c>
      <c r="U830" s="1" t="str">
        <f t="shared" si="37"/>
        <v>jan</v>
      </c>
      <c r="V830">
        <f t="shared" si="38"/>
        <v>2019</v>
      </c>
      <c r="W830">
        <f>_xlfn.XLOOKUP(A830,Absenteismo!A:A,Absenteismo!A:A,0)</f>
        <v>1468</v>
      </c>
    </row>
    <row r="831" spans="1:23" hidden="1" x14ac:dyDescent="0.3">
      <c r="A831">
        <v>1646</v>
      </c>
      <c r="B831">
        <v>44</v>
      </c>
      <c r="C831" t="s">
        <v>15</v>
      </c>
      <c r="D831" t="s">
        <v>29</v>
      </c>
      <c r="E831" t="s">
        <v>17</v>
      </c>
      <c r="F831" t="s">
        <v>18</v>
      </c>
      <c r="G831">
        <v>56</v>
      </c>
      <c r="H831">
        <v>6778</v>
      </c>
      <c r="I831" t="s">
        <v>30</v>
      </c>
      <c r="J831" s="2">
        <v>44237</v>
      </c>
      <c r="K831">
        <v>25</v>
      </c>
      <c r="L831" t="s">
        <v>20</v>
      </c>
      <c r="M831">
        <v>25</v>
      </c>
      <c r="N831">
        <v>11</v>
      </c>
      <c r="O831">
        <v>3</v>
      </c>
      <c r="P831" t="s">
        <v>25</v>
      </c>
      <c r="Q831" s="1">
        <v>1</v>
      </c>
      <c r="R831" s="2">
        <v>46174</v>
      </c>
      <c r="S831" s="2"/>
      <c r="T831" s="1" t="str">
        <f t="shared" si="36"/>
        <v>qua</v>
      </c>
      <c r="U831" s="1" t="str">
        <f t="shared" si="37"/>
        <v>fev</v>
      </c>
      <c r="V831">
        <f t="shared" si="38"/>
        <v>2021</v>
      </c>
      <c r="W831">
        <f>_xlfn.XLOOKUP(A831,Absenteismo!A:A,Absenteismo!A:A,0)</f>
        <v>1646</v>
      </c>
    </row>
    <row r="832" spans="1:23" hidden="1" x14ac:dyDescent="0.3">
      <c r="A832">
        <v>1653</v>
      </c>
      <c r="B832">
        <v>44</v>
      </c>
      <c r="C832" t="s">
        <v>26</v>
      </c>
      <c r="D832" t="s">
        <v>16</v>
      </c>
      <c r="E832" t="s">
        <v>17</v>
      </c>
      <c r="F832" t="s">
        <v>18</v>
      </c>
      <c r="G832">
        <v>82</v>
      </c>
      <c r="H832">
        <v>6566</v>
      </c>
      <c r="I832" t="s">
        <v>19</v>
      </c>
      <c r="J832" s="2">
        <v>43285</v>
      </c>
      <c r="K832">
        <v>28</v>
      </c>
      <c r="L832" t="s">
        <v>20</v>
      </c>
      <c r="M832">
        <v>33</v>
      </c>
      <c r="N832">
        <v>10</v>
      </c>
      <c r="O832">
        <v>4</v>
      </c>
      <c r="P832" t="s">
        <v>25</v>
      </c>
      <c r="Q832" s="1">
        <v>3</v>
      </c>
      <c r="R832" s="2">
        <v>46174</v>
      </c>
      <c r="S832" s="2"/>
      <c r="T832" s="1" t="str">
        <f t="shared" si="36"/>
        <v>qua</v>
      </c>
      <c r="U832" s="1" t="str">
        <f t="shared" si="37"/>
        <v>jul</v>
      </c>
      <c r="V832">
        <f t="shared" si="38"/>
        <v>2018</v>
      </c>
      <c r="W832">
        <f>_xlfn.XLOOKUP(A832,Absenteismo!A:A,Absenteismo!A:A,0)</f>
        <v>1653</v>
      </c>
    </row>
    <row r="833" spans="1:23" hidden="1" x14ac:dyDescent="0.3">
      <c r="A833">
        <v>1768</v>
      </c>
      <c r="B833">
        <v>44</v>
      </c>
      <c r="C833" t="s">
        <v>26</v>
      </c>
      <c r="D833" t="s">
        <v>27</v>
      </c>
      <c r="E833" t="s">
        <v>17</v>
      </c>
      <c r="F833" t="s">
        <v>23</v>
      </c>
      <c r="G833">
        <v>88</v>
      </c>
      <c r="H833">
        <v>3926</v>
      </c>
      <c r="I833" t="s">
        <v>30</v>
      </c>
      <c r="J833" s="2">
        <v>43295</v>
      </c>
      <c r="K833">
        <v>36</v>
      </c>
      <c r="L833" t="s">
        <v>25</v>
      </c>
      <c r="M833">
        <v>10</v>
      </c>
      <c r="N833">
        <v>6</v>
      </c>
      <c r="O833">
        <v>5</v>
      </c>
      <c r="P833" t="s">
        <v>25</v>
      </c>
      <c r="Q833" s="1">
        <v>2</v>
      </c>
      <c r="R833" s="2">
        <v>46174</v>
      </c>
      <c r="S833" s="2"/>
      <c r="T833" s="1" t="str">
        <f t="shared" si="36"/>
        <v>sáb</v>
      </c>
      <c r="U833" s="1" t="str">
        <f t="shared" si="37"/>
        <v>jul</v>
      </c>
      <c r="V833">
        <f t="shared" si="38"/>
        <v>2018</v>
      </c>
      <c r="W833">
        <f>_xlfn.XLOOKUP(A833,Absenteismo!A:A,Absenteismo!A:A,0)</f>
        <v>1768</v>
      </c>
    </row>
    <row r="834" spans="1:23" hidden="1" x14ac:dyDescent="0.3">
      <c r="A834">
        <v>1946</v>
      </c>
      <c r="B834">
        <v>44</v>
      </c>
      <c r="C834" t="s">
        <v>15</v>
      </c>
      <c r="D834" t="s">
        <v>29</v>
      </c>
      <c r="E834" t="s">
        <v>17</v>
      </c>
      <c r="F834" t="s">
        <v>18</v>
      </c>
      <c r="G834">
        <v>56</v>
      </c>
      <c r="H834">
        <v>6778</v>
      </c>
      <c r="I834" t="s">
        <v>30</v>
      </c>
      <c r="J834" s="2">
        <v>44258</v>
      </c>
      <c r="K834">
        <v>25</v>
      </c>
      <c r="L834" t="s">
        <v>20</v>
      </c>
      <c r="M834">
        <v>25</v>
      </c>
      <c r="N834">
        <v>11</v>
      </c>
      <c r="O834">
        <v>3</v>
      </c>
      <c r="P834" t="s">
        <v>25</v>
      </c>
      <c r="Q834" s="1">
        <v>3</v>
      </c>
      <c r="R834" s="2">
        <v>46174</v>
      </c>
      <c r="S834" s="2"/>
      <c r="T834" s="1" t="str">
        <f t="shared" ref="T834:T897" si="39">TEXT($J834,"ddd")</f>
        <v>qua</v>
      </c>
      <c r="U834" s="1" t="str">
        <f t="shared" ref="U834:U897" si="40">TEXT($J834,"mmm")</f>
        <v>mar</v>
      </c>
      <c r="V834">
        <f t="shared" ref="V834:V897" si="41">YEAR(J834)</f>
        <v>2021</v>
      </c>
      <c r="W834">
        <f>_xlfn.XLOOKUP(A834,Absenteismo!A:A,Absenteismo!A:A,0)</f>
        <v>1946</v>
      </c>
    </row>
    <row r="835" spans="1:23" hidden="1" x14ac:dyDescent="0.3">
      <c r="A835">
        <v>1953</v>
      </c>
      <c r="B835">
        <v>44</v>
      </c>
      <c r="C835" t="s">
        <v>26</v>
      </c>
      <c r="D835" t="s">
        <v>16</v>
      </c>
      <c r="E835" t="s">
        <v>17</v>
      </c>
      <c r="F835" t="s">
        <v>18</v>
      </c>
      <c r="G835">
        <v>82</v>
      </c>
      <c r="H835">
        <v>6566</v>
      </c>
      <c r="I835" t="s">
        <v>19</v>
      </c>
      <c r="J835" s="2">
        <v>43541</v>
      </c>
      <c r="K835">
        <v>28</v>
      </c>
      <c r="L835" t="s">
        <v>20</v>
      </c>
      <c r="M835">
        <v>33</v>
      </c>
      <c r="N835">
        <v>10</v>
      </c>
      <c r="O835">
        <v>4</v>
      </c>
      <c r="P835" t="s">
        <v>25</v>
      </c>
      <c r="Q835" s="1">
        <v>1</v>
      </c>
      <c r="R835" s="2">
        <v>46174</v>
      </c>
      <c r="S835" s="2"/>
      <c r="T835" s="1" t="str">
        <f t="shared" si="39"/>
        <v>dom</v>
      </c>
      <c r="U835" s="1" t="str">
        <f t="shared" si="40"/>
        <v>mar</v>
      </c>
      <c r="V835">
        <f t="shared" si="41"/>
        <v>2019</v>
      </c>
      <c r="W835">
        <f>_xlfn.XLOOKUP(A835,Absenteismo!A:A,Absenteismo!A:A,0)</f>
        <v>1953</v>
      </c>
    </row>
    <row r="836" spans="1:23" hidden="1" x14ac:dyDescent="0.3">
      <c r="A836">
        <v>2068</v>
      </c>
      <c r="B836">
        <v>44</v>
      </c>
      <c r="C836" t="s">
        <v>26</v>
      </c>
      <c r="D836" t="s">
        <v>27</v>
      </c>
      <c r="E836" t="s">
        <v>17</v>
      </c>
      <c r="F836" t="s">
        <v>23</v>
      </c>
      <c r="G836">
        <v>88</v>
      </c>
      <c r="H836">
        <v>3926</v>
      </c>
      <c r="I836" t="s">
        <v>30</v>
      </c>
      <c r="J836" s="2">
        <v>43111</v>
      </c>
      <c r="K836">
        <v>36</v>
      </c>
      <c r="L836" t="s">
        <v>25</v>
      </c>
      <c r="M836">
        <v>10</v>
      </c>
      <c r="N836">
        <v>6</v>
      </c>
      <c r="O836">
        <v>5</v>
      </c>
      <c r="P836" t="s">
        <v>25</v>
      </c>
      <c r="Q836" s="1">
        <v>2</v>
      </c>
      <c r="R836" s="2">
        <v>46174</v>
      </c>
      <c r="S836" s="2"/>
      <c r="T836" s="1" t="str">
        <f t="shared" si="39"/>
        <v>qui</v>
      </c>
      <c r="U836" s="1" t="str">
        <f t="shared" si="40"/>
        <v>jan</v>
      </c>
      <c r="V836">
        <f t="shared" si="41"/>
        <v>2018</v>
      </c>
      <c r="W836">
        <f>_xlfn.XLOOKUP(A836,Absenteismo!A:A,Absenteismo!A:A,0)</f>
        <v>2068</v>
      </c>
    </row>
    <row r="837" spans="1:23" hidden="1" x14ac:dyDescent="0.3">
      <c r="A837">
        <v>1893</v>
      </c>
      <c r="B837">
        <v>44</v>
      </c>
      <c r="C837" t="s">
        <v>26</v>
      </c>
      <c r="D837" t="s">
        <v>22</v>
      </c>
      <c r="E837" t="s">
        <v>17</v>
      </c>
      <c r="F837" t="s">
        <v>18</v>
      </c>
      <c r="G837">
        <v>106</v>
      </c>
      <c r="H837">
        <v>3260</v>
      </c>
      <c r="I837" t="s">
        <v>28</v>
      </c>
      <c r="J837" s="2">
        <v>42633</v>
      </c>
      <c r="K837">
        <v>41</v>
      </c>
      <c r="L837" t="s">
        <v>20</v>
      </c>
      <c r="M837">
        <v>19</v>
      </c>
      <c r="N837">
        <v>11</v>
      </c>
      <c r="O837">
        <v>5</v>
      </c>
      <c r="P837" t="s">
        <v>25</v>
      </c>
      <c r="Q837" s="1">
        <v>3</v>
      </c>
      <c r="R837" s="2">
        <v>46174</v>
      </c>
      <c r="S837" s="2"/>
      <c r="T837" s="1" t="str">
        <f t="shared" si="39"/>
        <v>ter</v>
      </c>
      <c r="U837" s="1" t="str">
        <f t="shared" si="40"/>
        <v>set</v>
      </c>
      <c r="V837">
        <f t="shared" si="41"/>
        <v>2016</v>
      </c>
      <c r="W837">
        <f>_xlfn.XLOOKUP(A837,Absenteismo!A:A,Absenteismo!A:A,0)</f>
        <v>1893</v>
      </c>
    </row>
    <row r="838" spans="1:23" x14ac:dyDescent="0.3">
      <c r="A838">
        <v>2193</v>
      </c>
      <c r="B838">
        <v>44</v>
      </c>
      <c r="C838" t="s">
        <v>26</v>
      </c>
      <c r="D838" t="s">
        <v>22</v>
      </c>
      <c r="E838" t="s">
        <v>17</v>
      </c>
      <c r="F838" t="s">
        <v>18</v>
      </c>
      <c r="G838">
        <v>106</v>
      </c>
      <c r="H838">
        <v>3260</v>
      </c>
      <c r="I838" t="s">
        <v>28</v>
      </c>
      <c r="J838" s="2">
        <v>42584</v>
      </c>
      <c r="K838">
        <v>41</v>
      </c>
      <c r="L838" t="s">
        <v>20</v>
      </c>
      <c r="M838">
        <v>19</v>
      </c>
      <c r="N838">
        <v>11</v>
      </c>
      <c r="O838">
        <v>5</v>
      </c>
      <c r="P838" t="s">
        <v>25</v>
      </c>
      <c r="Q838" s="1">
        <v>2</v>
      </c>
      <c r="R838" s="2">
        <v>46174</v>
      </c>
      <c r="S838" s="2"/>
      <c r="T838" s="1" t="str">
        <f t="shared" si="39"/>
        <v>ter</v>
      </c>
      <c r="U838" s="1" t="str">
        <f t="shared" si="40"/>
        <v>ago</v>
      </c>
      <c r="V838">
        <f t="shared" si="41"/>
        <v>2016</v>
      </c>
      <c r="W838">
        <f>_xlfn.XLOOKUP(A838,Absenteismo!A:A,Absenteismo!A:A,0)</f>
        <v>0</v>
      </c>
    </row>
    <row r="839" spans="1:23" hidden="1" x14ac:dyDescent="0.3">
      <c r="A839">
        <v>1629</v>
      </c>
      <c r="B839">
        <v>45</v>
      </c>
      <c r="C839" t="s">
        <v>15</v>
      </c>
      <c r="D839" t="s">
        <v>16</v>
      </c>
      <c r="E839" t="s">
        <v>17</v>
      </c>
      <c r="F839" t="s">
        <v>21</v>
      </c>
      <c r="G839">
        <v>116</v>
      </c>
      <c r="H839">
        <v>4021</v>
      </c>
      <c r="I839" t="s">
        <v>28</v>
      </c>
      <c r="J839" s="2">
        <v>42313</v>
      </c>
      <c r="K839">
        <v>3</v>
      </c>
      <c r="L839" t="s">
        <v>25</v>
      </c>
      <c r="M839">
        <v>35</v>
      </c>
      <c r="N839">
        <v>2</v>
      </c>
      <c r="O839">
        <v>5</v>
      </c>
      <c r="P839" t="s">
        <v>20</v>
      </c>
      <c r="Q839" s="1">
        <v>1</v>
      </c>
      <c r="R839" s="2">
        <v>46174</v>
      </c>
      <c r="S839" s="2">
        <v>45843</v>
      </c>
      <c r="T839" s="1" t="str">
        <f t="shared" si="39"/>
        <v>qui</v>
      </c>
      <c r="U839" s="1" t="str">
        <f t="shared" si="40"/>
        <v>nov</v>
      </c>
      <c r="V839">
        <f t="shared" si="41"/>
        <v>2015</v>
      </c>
      <c r="W839">
        <f>_xlfn.XLOOKUP(A839,Absenteismo!A:A,Absenteismo!A:A,0)</f>
        <v>1629</v>
      </c>
    </row>
    <row r="840" spans="1:23" hidden="1" x14ac:dyDescent="0.3">
      <c r="A840">
        <v>1849</v>
      </c>
      <c r="B840">
        <v>45</v>
      </c>
      <c r="C840" t="s">
        <v>15</v>
      </c>
      <c r="D840" t="s">
        <v>29</v>
      </c>
      <c r="E840" t="s">
        <v>17</v>
      </c>
      <c r="F840" t="s">
        <v>21</v>
      </c>
      <c r="G840">
        <v>8</v>
      </c>
      <c r="H840">
        <v>5333</v>
      </c>
      <c r="I840" t="s">
        <v>19</v>
      </c>
      <c r="J840" s="2">
        <v>45705</v>
      </c>
      <c r="K840">
        <v>8</v>
      </c>
      <c r="L840" t="s">
        <v>20</v>
      </c>
      <c r="M840">
        <v>8</v>
      </c>
      <c r="N840">
        <v>11</v>
      </c>
      <c r="O840">
        <v>2</v>
      </c>
      <c r="P840" t="s">
        <v>20</v>
      </c>
      <c r="Q840" s="1">
        <v>2</v>
      </c>
      <c r="R840" s="2">
        <v>46174</v>
      </c>
      <c r="S840" s="2">
        <v>45947</v>
      </c>
      <c r="T840" s="1" t="str">
        <f t="shared" si="39"/>
        <v>seg</v>
      </c>
      <c r="U840" s="1" t="str">
        <f t="shared" si="40"/>
        <v>fev</v>
      </c>
      <c r="V840">
        <f t="shared" si="41"/>
        <v>2025</v>
      </c>
      <c r="W840">
        <f>_xlfn.XLOOKUP(A840,Absenteismo!A:A,Absenteismo!A:A,0)</f>
        <v>1849</v>
      </c>
    </row>
    <row r="841" spans="1:23" hidden="1" x14ac:dyDescent="0.3">
      <c r="A841">
        <v>1549</v>
      </c>
      <c r="B841">
        <v>45</v>
      </c>
      <c r="C841" t="s">
        <v>15</v>
      </c>
      <c r="D841" t="s">
        <v>29</v>
      </c>
      <c r="E841" t="s">
        <v>17</v>
      </c>
      <c r="F841" t="s">
        <v>21</v>
      </c>
      <c r="G841">
        <v>8</v>
      </c>
      <c r="H841">
        <v>5333</v>
      </c>
      <c r="I841" t="s">
        <v>19</v>
      </c>
      <c r="J841" s="2">
        <v>45763</v>
      </c>
      <c r="K841">
        <v>8</v>
      </c>
      <c r="L841" t="s">
        <v>20</v>
      </c>
      <c r="M841">
        <v>8</v>
      </c>
      <c r="N841">
        <v>11</v>
      </c>
      <c r="O841">
        <v>2</v>
      </c>
      <c r="P841" t="s">
        <v>20</v>
      </c>
      <c r="Q841" s="1">
        <v>3</v>
      </c>
      <c r="R841" s="2">
        <v>46174</v>
      </c>
      <c r="S841" s="2">
        <v>46007</v>
      </c>
      <c r="T841" s="1" t="str">
        <f t="shared" si="39"/>
        <v>qua</v>
      </c>
      <c r="U841" s="1" t="str">
        <f t="shared" si="40"/>
        <v>abr</v>
      </c>
      <c r="V841">
        <f t="shared" si="41"/>
        <v>2025</v>
      </c>
      <c r="W841">
        <f>_xlfn.XLOOKUP(A841,Absenteismo!A:A,Absenteismo!A:A,0)</f>
        <v>1549</v>
      </c>
    </row>
    <row r="842" spans="1:23" hidden="1" x14ac:dyDescent="0.3">
      <c r="A842">
        <v>2149</v>
      </c>
      <c r="B842">
        <v>45</v>
      </c>
      <c r="C842" t="s">
        <v>15</v>
      </c>
      <c r="D842" t="s">
        <v>29</v>
      </c>
      <c r="E842" t="s">
        <v>17</v>
      </c>
      <c r="F842" t="s">
        <v>21</v>
      </c>
      <c r="G842">
        <v>8</v>
      </c>
      <c r="H842">
        <v>5333</v>
      </c>
      <c r="I842" t="s">
        <v>19</v>
      </c>
      <c r="J842" s="2">
        <v>45780</v>
      </c>
      <c r="K842">
        <v>8</v>
      </c>
      <c r="L842" t="s">
        <v>20</v>
      </c>
      <c r="M842">
        <v>8</v>
      </c>
      <c r="N842">
        <v>11</v>
      </c>
      <c r="O842">
        <v>2</v>
      </c>
      <c r="P842" t="s">
        <v>20</v>
      </c>
      <c r="Q842" s="1">
        <v>2</v>
      </c>
      <c r="R842" s="2">
        <v>46174</v>
      </c>
      <c r="S842" s="2">
        <v>46025</v>
      </c>
      <c r="T842" s="1" t="str">
        <f t="shared" si="39"/>
        <v>sáb</v>
      </c>
      <c r="U842" s="1" t="str">
        <f t="shared" si="40"/>
        <v>mai</v>
      </c>
      <c r="V842">
        <f t="shared" si="41"/>
        <v>2025</v>
      </c>
      <c r="W842">
        <f>_xlfn.XLOOKUP(A842,Absenteismo!A:A,Absenteismo!A:A,0)</f>
        <v>2149</v>
      </c>
    </row>
    <row r="843" spans="1:23" hidden="1" x14ac:dyDescent="0.3">
      <c r="A843">
        <v>1249</v>
      </c>
      <c r="B843">
        <v>45</v>
      </c>
      <c r="C843" t="s">
        <v>15</v>
      </c>
      <c r="D843" t="s">
        <v>29</v>
      </c>
      <c r="E843" t="s">
        <v>17</v>
      </c>
      <c r="F843" t="s">
        <v>21</v>
      </c>
      <c r="G843">
        <v>8</v>
      </c>
      <c r="H843">
        <v>5333</v>
      </c>
      <c r="I843" t="s">
        <v>19</v>
      </c>
      <c r="J843" s="2">
        <v>45812</v>
      </c>
      <c r="K843">
        <v>8</v>
      </c>
      <c r="L843" t="s">
        <v>20</v>
      </c>
      <c r="M843">
        <v>8</v>
      </c>
      <c r="N843">
        <v>11</v>
      </c>
      <c r="O843">
        <v>2</v>
      </c>
      <c r="P843" t="s">
        <v>20</v>
      </c>
      <c r="Q843" s="1">
        <v>2</v>
      </c>
      <c r="R843" s="2">
        <v>46174</v>
      </c>
      <c r="S843" s="2">
        <v>46057</v>
      </c>
      <c r="T843" s="1" t="str">
        <f t="shared" si="39"/>
        <v>qua</v>
      </c>
      <c r="U843" s="1" t="str">
        <f t="shared" si="40"/>
        <v>jun</v>
      </c>
      <c r="V843">
        <f t="shared" si="41"/>
        <v>2025</v>
      </c>
      <c r="W843">
        <f>_xlfn.XLOOKUP(A843,Absenteismo!A:A,Absenteismo!A:A,0)</f>
        <v>1249</v>
      </c>
    </row>
    <row r="844" spans="1:23" hidden="1" x14ac:dyDescent="0.3">
      <c r="A844">
        <v>1329</v>
      </c>
      <c r="B844">
        <v>45</v>
      </c>
      <c r="C844" t="s">
        <v>15</v>
      </c>
      <c r="D844" t="s">
        <v>16</v>
      </c>
      <c r="E844" t="s">
        <v>17</v>
      </c>
      <c r="F844" t="s">
        <v>21</v>
      </c>
      <c r="G844">
        <v>116</v>
      </c>
      <c r="H844">
        <v>4021</v>
      </c>
      <c r="I844" t="s">
        <v>28</v>
      </c>
      <c r="J844" s="2">
        <v>42560</v>
      </c>
      <c r="K844">
        <v>3</v>
      </c>
      <c r="L844" t="s">
        <v>25</v>
      </c>
      <c r="M844">
        <v>35</v>
      </c>
      <c r="N844">
        <v>2</v>
      </c>
      <c r="O844">
        <v>5</v>
      </c>
      <c r="P844" t="s">
        <v>20</v>
      </c>
      <c r="Q844" s="1">
        <v>3</v>
      </c>
      <c r="R844" s="2">
        <v>46174</v>
      </c>
      <c r="S844" s="2">
        <v>46090</v>
      </c>
      <c r="T844" s="1" t="str">
        <f t="shared" si="39"/>
        <v>sáb</v>
      </c>
      <c r="U844" s="1" t="str">
        <f t="shared" si="40"/>
        <v>jul</v>
      </c>
      <c r="V844">
        <f t="shared" si="41"/>
        <v>2016</v>
      </c>
      <c r="W844">
        <f>_xlfn.XLOOKUP(A844,Absenteismo!A:A,Absenteismo!A:A,0)</f>
        <v>1329</v>
      </c>
    </row>
    <row r="845" spans="1:23" hidden="1" x14ac:dyDescent="0.3">
      <c r="A845">
        <v>1318</v>
      </c>
      <c r="B845">
        <v>45</v>
      </c>
      <c r="C845" t="s">
        <v>26</v>
      </c>
      <c r="D845" t="s">
        <v>29</v>
      </c>
      <c r="E845" t="s">
        <v>17</v>
      </c>
      <c r="F845" t="s">
        <v>18</v>
      </c>
      <c r="G845">
        <v>111</v>
      </c>
      <c r="H845">
        <v>3243</v>
      </c>
      <c r="I845" t="s">
        <v>30</v>
      </c>
      <c r="J845" s="2">
        <v>42756</v>
      </c>
      <c r="K845">
        <v>4</v>
      </c>
      <c r="L845" t="s">
        <v>20</v>
      </c>
      <c r="M845">
        <v>21</v>
      </c>
      <c r="N845">
        <v>12</v>
      </c>
      <c r="O845">
        <v>2</v>
      </c>
      <c r="P845" t="s">
        <v>20</v>
      </c>
      <c r="Q845" s="1">
        <v>1</v>
      </c>
      <c r="R845" s="2">
        <v>46174</v>
      </c>
      <c r="S845" s="2">
        <v>46133</v>
      </c>
      <c r="T845" s="1" t="str">
        <f t="shared" si="39"/>
        <v>sáb</v>
      </c>
      <c r="U845" s="1" t="str">
        <f t="shared" si="40"/>
        <v>jan</v>
      </c>
      <c r="V845">
        <f t="shared" si="41"/>
        <v>2017</v>
      </c>
      <c r="W845">
        <f>_xlfn.XLOOKUP(A845,Absenteismo!A:A,Absenteismo!A:A,0)</f>
        <v>1318</v>
      </c>
    </row>
    <row r="846" spans="1:23" x14ac:dyDescent="0.3">
      <c r="A846">
        <v>1009</v>
      </c>
      <c r="B846">
        <v>45</v>
      </c>
      <c r="C846" t="s">
        <v>26</v>
      </c>
      <c r="D846" t="s">
        <v>29</v>
      </c>
      <c r="E846" t="s">
        <v>17</v>
      </c>
      <c r="F846" t="s">
        <v>23</v>
      </c>
      <c r="G846">
        <v>66</v>
      </c>
      <c r="H846">
        <v>6842</v>
      </c>
      <c r="I846" t="s">
        <v>30</v>
      </c>
      <c r="J846" s="2">
        <v>43800</v>
      </c>
      <c r="K846">
        <v>49</v>
      </c>
      <c r="L846" t="s">
        <v>20</v>
      </c>
      <c r="M846">
        <v>7</v>
      </c>
      <c r="N846">
        <v>2</v>
      </c>
      <c r="O846">
        <v>3</v>
      </c>
      <c r="P846" t="s">
        <v>25</v>
      </c>
      <c r="Q846" s="1">
        <v>2</v>
      </c>
      <c r="R846" s="2">
        <v>46174</v>
      </c>
      <c r="S846" s="2"/>
      <c r="T846" s="1" t="str">
        <f t="shared" si="39"/>
        <v>dom</v>
      </c>
      <c r="U846" s="1" t="str">
        <f t="shared" si="40"/>
        <v>dez</v>
      </c>
      <c r="V846">
        <f t="shared" si="41"/>
        <v>2019</v>
      </c>
      <c r="W846">
        <f>_xlfn.XLOOKUP(A846,Absenteismo!A:A,Absenteismo!A:A,0)</f>
        <v>0</v>
      </c>
    </row>
    <row r="847" spans="1:23" x14ac:dyDescent="0.3">
      <c r="A847">
        <v>1010</v>
      </c>
      <c r="B847">
        <v>45</v>
      </c>
      <c r="C847" t="s">
        <v>15</v>
      </c>
      <c r="D847" t="s">
        <v>29</v>
      </c>
      <c r="E847" t="s">
        <v>17</v>
      </c>
      <c r="F847" t="s">
        <v>21</v>
      </c>
      <c r="G847">
        <v>60</v>
      </c>
      <c r="H847">
        <v>7134</v>
      </c>
      <c r="I847" t="s">
        <v>24</v>
      </c>
      <c r="J847" s="2">
        <v>43960</v>
      </c>
      <c r="K847">
        <v>36</v>
      </c>
      <c r="L847" t="s">
        <v>25</v>
      </c>
      <c r="M847">
        <v>0</v>
      </c>
      <c r="N847">
        <v>10</v>
      </c>
      <c r="O847">
        <v>2</v>
      </c>
      <c r="P847" t="s">
        <v>25</v>
      </c>
      <c r="Q847" s="1">
        <v>3</v>
      </c>
      <c r="R847" s="2">
        <v>46174</v>
      </c>
      <c r="S847" s="2"/>
      <c r="T847" s="1" t="str">
        <f t="shared" si="39"/>
        <v>sáb</v>
      </c>
      <c r="U847" s="1" t="str">
        <f t="shared" si="40"/>
        <v>mai</v>
      </c>
      <c r="V847">
        <f t="shared" si="41"/>
        <v>2020</v>
      </c>
      <c r="W847">
        <f>_xlfn.XLOOKUP(A847,Absenteismo!A:A,Absenteismo!A:A,0)</f>
        <v>0</v>
      </c>
    </row>
    <row r="848" spans="1:23" x14ac:dyDescent="0.3">
      <c r="A848">
        <v>1018</v>
      </c>
      <c r="B848">
        <v>45</v>
      </c>
      <c r="C848" t="s">
        <v>26</v>
      </c>
      <c r="D848" t="s">
        <v>29</v>
      </c>
      <c r="E848" t="s">
        <v>17</v>
      </c>
      <c r="F848" t="s">
        <v>18</v>
      </c>
      <c r="G848">
        <v>111</v>
      </c>
      <c r="H848">
        <v>3243</v>
      </c>
      <c r="I848" t="s">
        <v>30</v>
      </c>
      <c r="J848" s="2">
        <v>42482</v>
      </c>
      <c r="K848">
        <v>4</v>
      </c>
      <c r="L848" t="s">
        <v>20</v>
      </c>
      <c r="M848">
        <v>21</v>
      </c>
      <c r="N848">
        <v>12</v>
      </c>
      <c r="O848">
        <v>2</v>
      </c>
      <c r="P848" t="s">
        <v>25</v>
      </c>
      <c r="Q848" s="1">
        <v>1</v>
      </c>
      <c r="R848" s="2">
        <v>46174</v>
      </c>
      <c r="S848" s="2"/>
      <c r="T848" s="1" t="str">
        <f t="shared" si="39"/>
        <v>sex</v>
      </c>
      <c r="U848" s="1" t="str">
        <f t="shared" si="40"/>
        <v>abr</v>
      </c>
      <c r="V848">
        <f t="shared" si="41"/>
        <v>2016</v>
      </c>
      <c r="W848">
        <f>_xlfn.XLOOKUP(A848,Absenteismo!A:A,Absenteismo!A:A,0)</f>
        <v>0</v>
      </c>
    </row>
    <row r="849" spans="1:23" x14ac:dyDescent="0.3">
      <c r="A849">
        <v>1029</v>
      </c>
      <c r="B849">
        <v>45</v>
      </c>
      <c r="C849" t="s">
        <v>15</v>
      </c>
      <c r="D849" t="s">
        <v>16</v>
      </c>
      <c r="E849" t="s">
        <v>17</v>
      </c>
      <c r="F849" t="s">
        <v>21</v>
      </c>
      <c r="G849">
        <v>116</v>
      </c>
      <c r="H849">
        <v>4021</v>
      </c>
      <c r="I849" t="s">
        <v>28</v>
      </c>
      <c r="J849" s="2">
        <v>42322</v>
      </c>
      <c r="K849">
        <v>3</v>
      </c>
      <c r="L849" t="s">
        <v>25</v>
      </c>
      <c r="M849">
        <v>35</v>
      </c>
      <c r="N849">
        <v>2</v>
      </c>
      <c r="O849">
        <v>5</v>
      </c>
      <c r="P849" t="s">
        <v>25</v>
      </c>
      <c r="Q849" s="1">
        <v>2</v>
      </c>
      <c r="R849" s="2">
        <v>46174</v>
      </c>
      <c r="S849" s="2"/>
      <c r="T849" s="1" t="str">
        <f t="shared" si="39"/>
        <v>sáb</v>
      </c>
      <c r="U849" s="1" t="str">
        <f t="shared" si="40"/>
        <v>nov</v>
      </c>
      <c r="V849">
        <f t="shared" si="41"/>
        <v>2015</v>
      </c>
      <c r="W849">
        <f>_xlfn.XLOOKUP(A849,Absenteismo!A:A,Absenteismo!A:A,0)</f>
        <v>0</v>
      </c>
    </row>
    <row r="850" spans="1:23" x14ac:dyDescent="0.3">
      <c r="A850">
        <v>1038</v>
      </c>
      <c r="B850">
        <v>45</v>
      </c>
      <c r="C850" t="s">
        <v>26</v>
      </c>
      <c r="D850" t="s">
        <v>29</v>
      </c>
      <c r="E850" t="s">
        <v>17</v>
      </c>
      <c r="F850" t="s">
        <v>18</v>
      </c>
      <c r="G850">
        <v>87</v>
      </c>
      <c r="H850">
        <v>4550</v>
      </c>
      <c r="I850" t="s">
        <v>28</v>
      </c>
      <c r="J850" s="2">
        <v>43509</v>
      </c>
      <c r="K850">
        <v>31</v>
      </c>
      <c r="L850" t="s">
        <v>20</v>
      </c>
      <c r="M850">
        <v>10</v>
      </c>
      <c r="N850">
        <v>10</v>
      </c>
      <c r="O850">
        <v>2</v>
      </c>
      <c r="P850" t="s">
        <v>25</v>
      </c>
      <c r="Q850" s="1">
        <v>2</v>
      </c>
      <c r="R850" s="2">
        <v>46174</v>
      </c>
      <c r="S850" s="2"/>
      <c r="T850" s="1" t="str">
        <f t="shared" si="39"/>
        <v>qua</v>
      </c>
      <c r="U850" s="1" t="str">
        <f t="shared" si="40"/>
        <v>fev</v>
      </c>
      <c r="V850">
        <f t="shared" si="41"/>
        <v>2019</v>
      </c>
      <c r="W850">
        <f>_xlfn.XLOOKUP(A850,Absenteismo!A:A,Absenteismo!A:A,0)</f>
        <v>0</v>
      </c>
    </row>
    <row r="851" spans="1:23" x14ac:dyDescent="0.3">
      <c r="A851">
        <v>1107</v>
      </c>
      <c r="B851">
        <v>45</v>
      </c>
      <c r="C851" t="s">
        <v>26</v>
      </c>
      <c r="D851" t="s">
        <v>27</v>
      </c>
      <c r="E851" t="s">
        <v>17</v>
      </c>
      <c r="F851" t="s">
        <v>18</v>
      </c>
      <c r="G851">
        <v>35</v>
      </c>
      <c r="H851">
        <v>4565</v>
      </c>
      <c r="I851" t="s">
        <v>28</v>
      </c>
      <c r="J851" s="2">
        <v>44764</v>
      </c>
      <c r="K851">
        <v>8</v>
      </c>
      <c r="L851" t="s">
        <v>20</v>
      </c>
      <c r="M851">
        <v>7</v>
      </c>
      <c r="N851">
        <v>4</v>
      </c>
      <c r="O851">
        <v>5</v>
      </c>
      <c r="P851" t="s">
        <v>25</v>
      </c>
      <c r="Q851" s="1">
        <v>2</v>
      </c>
      <c r="R851" s="2">
        <v>46174</v>
      </c>
      <c r="S851" s="2"/>
      <c r="T851" s="1" t="str">
        <f t="shared" si="39"/>
        <v>sex</v>
      </c>
      <c r="U851" s="1" t="str">
        <f t="shared" si="40"/>
        <v>jul</v>
      </c>
      <c r="V851">
        <f t="shared" si="41"/>
        <v>2022</v>
      </c>
      <c r="W851">
        <f>_xlfn.XLOOKUP(A851,Absenteismo!A:A,Absenteismo!A:A,0)</f>
        <v>0</v>
      </c>
    </row>
    <row r="852" spans="1:23" x14ac:dyDescent="0.3">
      <c r="A852">
        <v>1139</v>
      </c>
      <c r="B852">
        <v>45</v>
      </c>
      <c r="C852" t="s">
        <v>26</v>
      </c>
      <c r="D852" t="s">
        <v>27</v>
      </c>
      <c r="E852" t="s">
        <v>17</v>
      </c>
      <c r="F852" t="s">
        <v>23</v>
      </c>
      <c r="G852">
        <v>10</v>
      </c>
      <c r="H852">
        <v>6127</v>
      </c>
      <c r="I852" t="s">
        <v>24</v>
      </c>
      <c r="J852" s="2">
        <v>45802</v>
      </c>
      <c r="K852">
        <v>33</v>
      </c>
      <c r="L852" t="s">
        <v>25</v>
      </c>
      <c r="M852">
        <v>10</v>
      </c>
      <c r="N852">
        <v>0</v>
      </c>
      <c r="O852">
        <v>3</v>
      </c>
      <c r="P852" t="s">
        <v>25</v>
      </c>
      <c r="Q852" s="1">
        <v>3</v>
      </c>
      <c r="R852" s="2">
        <v>46174</v>
      </c>
      <c r="S852" s="2"/>
      <c r="T852" s="1" t="str">
        <f t="shared" si="39"/>
        <v>dom</v>
      </c>
      <c r="U852" s="1" t="str">
        <f t="shared" si="40"/>
        <v>mai</v>
      </c>
      <c r="V852">
        <f t="shared" si="41"/>
        <v>2025</v>
      </c>
      <c r="W852">
        <f>_xlfn.XLOOKUP(A852,Absenteismo!A:A,Absenteismo!A:A,0)</f>
        <v>0</v>
      </c>
    </row>
    <row r="853" spans="1:23" x14ac:dyDescent="0.3">
      <c r="A853">
        <v>1236</v>
      </c>
      <c r="B853">
        <v>45</v>
      </c>
      <c r="C853" t="s">
        <v>15</v>
      </c>
      <c r="D853" t="s">
        <v>29</v>
      </c>
      <c r="E853" t="s">
        <v>17</v>
      </c>
      <c r="F853" t="s">
        <v>18</v>
      </c>
      <c r="G853">
        <v>107</v>
      </c>
      <c r="H853">
        <v>5123</v>
      </c>
      <c r="I853" t="s">
        <v>24</v>
      </c>
      <c r="J853" s="2">
        <v>42634</v>
      </c>
      <c r="K853">
        <v>36</v>
      </c>
      <c r="L853" t="s">
        <v>20</v>
      </c>
      <c r="M853">
        <v>31</v>
      </c>
      <c r="N853">
        <v>12</v>
      </c>
      <c r="O853">
        <v>4</v>
      </c>
      <c r="P853" t="s">
        <v>25</v>
      </c>
      <c r="Q853" s="1">
        <v>3</v>
      </c>
      <c r="R853" s="2">
        <v>46174</v>
      </c>
      <c r="S853" s="2"/>
      <c r="T853" s="1" t="str">
        <f t="shared" si="39"/>
        <v>qua</v>
      </c>
      <c r="U853" s="1" t="str">
        <f t="shared" si="40"/>
        <v>set</v>
      </c>
      <c r="V853">
        <f t="shared" si="41"/>
        <v>2016</v>
      </c>
      <c r="W853">
        <f>_xlfn.XLOOKUP(A853,Absenteismo!A:A,Absenteismo!A:A,0)</f>
        <v>0</v>
      </c>
    </row>
    <row r="854" spans="1:23" hidden="1" x14ac:dyDescent="0.3">
      <c r="A854">
        <v>1274</v>
      </c>
      <c r="B854">
        <v>45</v>
      </c>
      <c r="C854" t="s">
        <v>26</v>
      </c>
      <c r="D854" t="s">
        <v>27</v>
      </c>
      <c r="E854" t="s">
        <v>17</v>
      </c>
      <c r="F854" t="s">
        <v>23</v>
      </c>
      <c r="G854">
        <v>91</v>
      </c>
      <c r="H854">
        <v>7403</v>
      </c>
      <c r="I854" t="s">
        <v>28</v>
      </c>
      <c r="J854" s="2">
        <v>42994</v>
      </c>
      <c r="K854">
        <v>41</v>
      </c>
      <c r="L854" t="s">
        <v>20</v>
      </c>
      <c r="M854">
        <v>11</v>
      </c>
      <c r="N854">
        <v>6</v>
      </c>
      <c r="O854">
        <v>4</v>
      </c>
      <c r="P854" t="s">
        <v>25</v>
      </c>
      <c r="Q854" s="1">
        <v>3</v>
      </c>
      <c r="R854" s="2">
        <v>46174</v>
      </c>
      <c r="S854" s="2"/>
      <c r="T854" s="1" t="str">
        <f t="shared" si="39"/>
        <v>sáb</v>
      </c>
      <c r="U854" s="1" t="str">
        <f t="shared" si="40"/>
        <v>set</v>
      </c>
      <c r="V854">
        <f t="shared" si="41"/>
        <v>2017</v>
      </c>
      <c r="W854">
        <f>_xlfn.XLOOKUP(A854,Absenteismo!A:A,Absenteismo!A:A,0)</f>
        <v>1274</v>
      </c>
    </row>
    <row r="855" spans="1:23" hidden="1" x14ac:dyDescent="0.3">
      <c r="A855">
        <v>1309</v>
      </c>
      <c r="B855">
        <v>45</v>
      </c>
      <c r="C855" t="s">
        <v>26</v>
      </c>
      <c r="D855" t="s">
        <v>29</v>
      </c>
      <c r="E855" t="s">
        <v>17</v>
      </c>
      <c r="F855" t="s">
        <v>23</v>
      </c>
      <c r="G855">
        <v>66</v>
      </c>
      <c r="H855">
        <v>6842</v>
      </c>
      <c r="I855" t="s">
        <v>30</v>
      </c>
      <c r="J855" s="2">
        <v>43741</v>
      </c>
      <c r="K855">
        <v>49</v>
      </c>
      <c r="L855" t="s">
        <v>20</v>
      </c>
      <c r="M855">
        <v>7</v>
      </c>
      <c r="N855">
        <v>2</v>
      </c>
      <c r="O855">
        <v>3</v>
      </c>
      <c r="P855" t="s">
        <v>25</v>
      </c>
      <c r="Q855" s="1">
        <v>3</v>
      </c>
      <c r="R855" s="2">
        <v>46174</v>
      </c>
      <c r="S855" s="2"/>
      <c r="T855" s="1" t="str">
        <f t="shared" si="39"/>
        <v>qui</v>
      </c>
      <c r="U855" s="1" t="str">
        <f t="shared" si="40"/>
        <v>out</v>
      </c>
      <c r="V855">
        <f t="shared" si="41"/>
        <v>2019</v>
      </c>
      <c r="W855">
        <f>_xlfn.XLOOKUP(A855,Absenteismo!A:A,Absenteismo!A:A,0)</f>
        <v>1309</v>
      </c>
    </row>
    <row r="856" spans="1:23" x14ac:dyDescent="0.3">
      <c r="A856">
        <v>1310</v>
      </c>
      <c r="B856">
        <v>45</v>
      </c>
      <c r="C856" t="s">
        <v>15</v>
      </c>
      <c r="D856" t="s">
        <v>29</v>
      </c>
      <c r="E856" t="s">
        <v>17</v>
      </c>
      <c r="F856" t="s">
        <v>21</v>
      </c>
      <c r="G856">
        <v>60</v>
      </c>
      <c r="H856">
        <v>7134</v>
      </c>
      <c r="I856" t="s">
        <v>24</v>
      </c>
      <c r="J856" s="2">
        <v>44039</v>
      </c>
      <c r="K856">
        <v>36</v>
      </c>
      <c r="L856" t="s">
        <v>25</v>
      </c>
      <c r="M856">
        <v>0</v>
      </c>
      <c r="N856">
        <v>10</v>
      </c>
      <c r="O856">
        <v>2</v>
      </c>
      <c r="P856" t="s">
        <v>25</v>
      </c>
      <c r="Q856" s="1">
        <v>3</v>
      </c>
      <c r="R856" s="2">
        <v>46174</v>
      </c>
      <c r="S856" s="2"/>
      <c r="T856" s="1" t="str">
        <f t="shared" si="39"/>
        <v>seg</v>
      </c>
      <c r="U856" s="1" t="str">
        <f t="shared" si="40"/>
        <v>jul</v>
      </c>
      <c r="V856">
        <f t="shared" si="41"/>
        <v>2020</v>
      </c>
      <c r="W856">
        <f>_xlfn.XLOOKUP(A856,Absenteismo!A:A,Absenteismo!A:A,0)</f>
        <v>0</v>
      </c>
    </row>
    <row r="857" spans="1:23" hidden="1" x14ac:dyDescent="0.3">
      <c r="A857">
        <v>1338</v>
      </c>
      <c r="B857">
        <v>45</v>
      </c>
      <c r="C857" t="s">
        <v>26</v>
      </c>
      <c r="D857" t="s">
        <v>29</v>
      </c>
      <c r="E857" t="s">
        <v>17</v>
      </c>
      <c r="F857" t="s">
        <v>18</v>
      </c>
      <c r="G857">
        <v>87</v>
      </c>
      <c r="H857">
        <v>4550</v>
      </c>
      <c r="I857" t="s">
        <v>28</v>
      </c>
      <c r="J857" s="2">
        <v>43490</v>
      </c>
      <c r="K857">
        <v>31</v>
      </c>
      <c r="L857" t="s">
        <v>20</v>
      </c>
      <c r="M857">
        <v>10</v>
      </c>
      <c r="N857">
        <v>10</v>
      </c>
      <c r="O857">
        <v>2</v>
      </c>
      <c r="P857" t="s">
        <v>25</v>
      </c>
      <c r="Q857" s="1">
        <v>1</v>
      </c>
      <c r="R857" s="2">
        <v>46174</v>
      </c>
      <c r="S857" s="2"/>
      <c r="T857" s="1" t="str">
        <f t="shared" si="39"/>
        <v>sex</v>
      </c>
      <c r="U857" s="1" t="str">
        <f t="shared" si="40"/>
        <v>jan</v>
      </c>
      <c r="V857">
        <f t="shared" si="41"/>
        <v>2019</v>
      </c>
      <c r="W857">
        <f>_xlfn.XLOOKUP(A857,Absenteismo!A:A,Absenteismo!A:A,0)</f>
        <v>1338</v>
      </c>
    </row>
    <row r="858" spans="1:23" hidden="1" x14ac:dyDescent="0.3">
      <c r="A858">
        <v>1407</v>
      </c>
      <c r="B858">
        <v>45</v>
      </c>
      <c r="C858" t="s">
        <v>26</v>
      </c>
      <c r="D858" t="s">
        <v>27</v>
      </c>
      <c r="E858" t="s">
        <v>17</v>
      </c>
      <c r="F858" t="s">
        <v>18</v>
      </c>
      <c r="G858">
        <v>35</v>
      </c>
      <c r="H858">
        <v>4565</v>
      </c>
      <c r="I858" t="s">
        <v>28</v>
      </c>
      <c r="J858" s="2">
        <v>45107</v>
      </c>
      <c r="K858">
        <v>8</v>
      </c>
      <c r="L858" t="s">
        <v>20</v>
      </c>
      <c r="M858">
        <v>7</v>
      </c>
      <c r="N858">
        <v>4</v>
      </c>
      <c r="O858">
        <v>5</v>
      </c>
      <c r="P858" t="s">
        <v>25</v>
      </c>
      <c r="Q858" s="1">
        <v>2</v>
      </c>
      <c r="R858" s="2">
        <v>46174</v>
      </c>
      <c r="S858" s="2"/>
      <c r="T858" s="1" t="str">
        <f t="shared" si="39"/>
        <v>sex</v>
      </c>
      <c r="U858" s="1" t="str">
        <f t="shared" si="40"/>
        <v>jun</v>
      </c>
      <c r="V858">
        <f t="shared" si="41"/>
        <v>2023</v>
      </c>
      <c r="W858">
        <f>_xlfn.XLOOKUP(A858,Absenteismo!A:A,Absenteismo!A:A,0)</f>
        <v>1407</v>
      </c>
    </row>
    <row r="859" spans="1:23" x14ac:dyDescent="0.3">
      <c r="A859">
        <v>1439</v>
      </c>
      <c r="B859">
        <v>45</v>
      </c>
      <c r="C859" t="s">
        <v>26</v>
      </c>
      <c r="D859" t="s">
        <v>27</v>
      </c>
      <c r="E859" t="s">
        <v>17</v>
      </c>
      <c r="F859" t="s">
        <v>23</v>
      </c>
      <c r="G859">
        <v>10</v>
      </c>
      <c r="H859">
        <v>6127</v>
      </c>
      <c r="I859" t="s">
        <v>24</v>
      </c>
      <c r="J859" s="2">
        <v>45877</v>
      </c>
      <c r="K859">
        <v>33</v>
      </c>
      <c r="L859" t="s">
        <v>25</v>
      </c>
      <c r="M859">
        <v>10</v>
      </c>
      <c r="N859">
        <v>0</v>
      </c>
      <c r="O859">
        <v>3</v>
      </c>
      <c r="P859" t="s">
        <v>25</v>
      </c>
      <c r="Q859" s="1">
        <v>1</v>
      </c>
      <c r="R859" s="2">
        <v>46174</v>
      </c>
      <c r="S859" s="2"/>
      <c r="T859" s="1" t="str">
        <f t="shared" si="39"/>
        <v>sex</v>
      </c>
      <c r="U859" s="1" t="str">
        <f t="shared" si="40"/>
        <v>ago</v>
      </c>
      <c r="V859">
        <f t="shared" si="41"/>
        <v>2025</v>
      </c>
      <c r="W859">
        <f>_xlfn.XLOOKUP(A859,Absenteismo!A:A,Absenteismo!A:A,0)</f>
        <v>0</v>
      </c>
    </row>
    <row r="860" spans="1:23" x14ac:dyDescent="0.3">
      <c r="A860">
        <v>1536</v>
      </c>
      <c r="B860">
        <v>45</v>
      </c>
      <c r="C860" t="s">
        <v>15</v>
      </c>
      <c r="D860" t="s">
        <v>29</v>
      </c>
      <c r="E860" t="s">
        <v>17</v>
      </c>
      <c r="F860" t="s">
        <v>18</v>
      </c>
      <c r="G860">
        <v>107</v>
      </c>
      <c r="H860">
        <v>5123</v>
      </c>
      <c r="I860" t="s">
        <v>24</v>
      </c>
      <c r="J860" s="2">
        <v>42494</v>
      </c>
      <c r="K860">
        <v>36</v>
      </c>
      <c r="L860" t="s">
        <v>20</v>
      </c>
      <c r="M860">
        <v>31</v>
      </c>
      <c r="N860">
        <v>12</v>
      </c>
      <c r="O860">
        <v>4</v>
      </c>
      <c r="P860" t="s">
        <v>25</v>
      </c>
      <c r="Q860" s="1">
        <v>1</v>
      </c>
      <c r="R860" s="2">
        <v>46174</v>
      </c>
      <c r="S860" s="2"/>
      <c r="T860" s="1" t="str">
        <f t="shared" si="39"/>
        <v>qua</v>
      </c>
      <c r="U860" s="1" t="str">
        <f t="shared" si="40"/>
        <v>mai</v>
      </c>
      <c r="V860">
        <f t="shared" si="41"/>
        <v>2016</v>
      </c>
      <c r="W860">
        <f>_xlfn.XLOOKUP(A860,Absenteismo!A:A,Absenteismo!A:A,0)</f>
        <v>0</v>
      </c>
    </row>
    <row r="861" spans="1:23" hidden="1" x14ac:dyDescent="0.3">
      <c r="A861">
        <v>1574</v>
      </c>
      <c r="B861">
        <v>45</v>
      </c>
      <c r="C861" t="s">
        <v>26</v>
      </c>
      <c r="D861" t="s">
        <v>27</v>
      </c>
      <c r="E861" t="s">
        <v>17</v>
      </c>
      <c r="F861" t="s">
        <v>23</v>
      </c>
      <c r="G861">
        <v>91</v>
      </c>
      <c r="H861">
        <v>7403</v>
      </c>
      <c r="I861" t="s">
        <v>28</v>
      </c>
      <c r="J861" s="2">
        <v>43007</v>
      </c>
      <c r="K861">
        <v>41</v>
      </c>
      <c r="L861" t="s">
        <v>20</v>
      </c>
      <c r="M861">
        <v>11</v>
      </c>
      <c r="N861">
        <v>6</v>
      </c>
      <c r="O861">
        <v>4</v>
      </c>
      <c r="P861" t="s">
        <v>25</v>
      </c>
      <c r="Q861" s="1">
        <v>2</v>
      </c>
      <c r="R861" s="2">
        <v>46174</v>
      </c>
      <c r="S861" s="2"/>
      <c r="T861" s="1" t="str">
        <f t="shared" si="39"/>
        <v>sex</v>
      </c>
      <c r="U861" s="1" t="str">
        <f t="shared" si="40"/>
        <v>set</v>
      </c>
      <c r="V861">
        <f t="shared" si="41"/>
        <v>2017</v>
      </c>
      <c r="W861">
        <f>_xlfn.XLOOKUP(A861,Absenteismo!A:A,Absenteismo!A:A,0)</f>
        <v>1574</v>
      </c>
    </row>
    <row r="862" spans="1:23" hidden="1" x14ac:dyDescent="0.3">
      <c r="A862">
        <v>1609</v>
      </c>
      <c r="B862">
        <v>45</v>
      </c>
      <c r="C862" t="s">
        <v>26</v>
      </c>
      <c r="D862" t="s">
        <v>29</v>
      </c>
      <c r="E862" t="s">
        <v>17</v>
      </c>
      <c r="F862" t="s">
        <v>23</v>
      </c>
      <c r="G862">
        <v>66</v>
      </c>
      <c r="H862">
        <v>6842</v>
      </c>
      <c r="I862" t="s">
        <v>30</v>
      </c>
      <c r="J862" s="2">
        <v>44117</v>
      </c>
      <c r="K862">
        <v>49</v>
      </c>
      <c r="L862" t="s">
        <v>20</v>
      </c>
      <c r="M862">
        <v>7</v>
      </c>
      <c r="N862">
        <v>2</v>
      </c>
      <c r="O862">
        <v>3</v>
      </c>
      <c r="P862" t="s">
        <v>25</v>
      </c>
      <c r="Q862" s="1">
        <v>2</v>
      </c>
      <c r="R862" s="2">
        <v>46174</v>
      </c>
      <c r="S862" s="2"/>
      <c r="T862" s="1" t="str">
        <f t="shared" si="39"/>
        <v>ter</v>
      </c>
      <c r="U862" s="1" t="str">
        <f t="shared" si="40"/>
        <v>out</v>
      </c>
      <c r="V862">
        <f t="shared" si="41"/>
        <v>2020</v>
      </c>
      <c r="W862">
        <f>_xlfn.XLOOKUP(A862,Absenteismo!A:A,Absenteismo!A:A,0)</f>
        <v>1609</v>
      </c>
    </row>
    <row r="863" spans="1:23" x14ac:dyDescent="0.3">
      <c r="A863">
        <v>1610</v>
      </c>
      <c r="B863">
        <v>45</v>
      </c>
      <c r="C863" t="s">
        <v>15</v>
      </c>
      <c r="D863" t="s">
        <v>29</v>
      </c>
      <c r="E863" t="s">
        <v>17</v>
      </c>
      <c r="F863" t="s">
        <v>21</v>
      </c>
      <c r="G863">
        <v>60</v>
      </c>
      <c r="H863">
        <v>7134</v>
      </c>
      <c r="I863" t="s">
        <v>24</v>
      </c>
      <c r="J863" s="2">
        <v>43996</v>
      </c>
      <c r="K863">
        <v>36</v>
      </c>
      <c r="L863" t="s">
        <v>25</v>
      </c>
      <c r="M863">
        <v>0</v>
      </c>
      <c r="N863">
        <v>10</v>
      </c>
      <c r="O863">
        <v>2</v>
      </c>
      <c r="P863" t="s">
        <v>25</v>
      </c>
      <c r="Q863" s="1">
        <v>1</v>
      </c>
      <c r="R863" s="2">
        <v>46174</v>
      </c>
      <c r="S863" s="2"/>
      <c r="T863" s="1" t="str">
        <f t="shared" si="39"/>
        <v>dom</v>
      </c>
      <c r="U863" s="1" t="str">
        <f t="shared" si="40"/>
        <v>jun</v>
      </c>
      <c r="V863">
        <f t="shared" si="41"/>
        <v>2020</v>
      </c>
      <c r="W863">
        <f>_xlfn.XLOOKUP(A863,Absenteismo!A:A,Absenteismo!A:A,0)</f>
        <v>0</v>
      </c>
    </row>
    <row r="864" spans="1:23" hidden="1" x14ac:dyDescent="0.3">
      <c r="A864">
        <v>1618</v>
      </c>
      <c r="B864">
        <v>45</v>
      </c>
      <c r="C864" t="s">
        <v>26</v>
      </c>
      <c r="D864" t="s">
        <v>29</v>
      </c>
      <c r="E864" t="s">
        <v>17</v>
      </c>
      <c r="F864" t="s">
        <v>18</v>
      </c>
      <c r="G864">
        <v>111</v>
      </c>
      <c r="H864">
        <v>3243</v>
      </c>
      <c r="I864" t="s">
        <v>30</v>
      </c>
      <c r="J864" s="2">
        <v>42643</v>
      </c>
      <c r="K864">
        <v>4</v>
      </c>
      <c r="L864" t="s">
        <v>20</v>
      </c>
      <c r="M864">
        <v>21</v>
      </c>
      <c r="N864">
        <v>12</v>
      </c>
      <c r="O864">
        <v>2</v>
      </c>
      <c r="P864" t="s">
        <v>25</v>
      </c>
      <c r="Q864" s="1">
        <v>2</v>
      </c>
      <c r="R864" s="2">
        <v>46174</v>
      </c>
      <c r="S864" s="2"/>
      <c r="T864" s="1" t="str">
        <f t="shared" si="39"/>
        <v>sex</v>
      </c>
      <c r="U864" s="1" t="str">
        <f t="shared" si="40"/>
        <v>set</v>
      </c>
      <c r="V864">
        <f t="shared" si="41"/>
        <v>2016</v>
      </c>
      <c r="W864">
        <f>_xlfn.XLOOKUP(A864,Absenteismo!A:A,Absenteismo!A:A,0)</f>
        <v>1618</v>
      </c>
    </row>
    <row r="865" spans="1:23" hidden="1" x14ac:dyDescent="0.3">
      <c r="A865">
        <v>1638</v>
      </c>
      <c r="B865">
        <v>45</v>
      </c>
      <c r="C865" t="s">
        <v>26</v>
      </c>
      <c r="D865" t="s">
        <v>29</v>
      </c>
      <c r="E865" t="s">
        <v>17</v>
      </c>
      <c r="F865" t="s">
        <v>18</v>
      </c>
      <c r="G865">
        <v>87</v>
      </c>
      <c r="H865">
        <v>4550</v>
      </c>
      <c r="I865" t="s">
        <v>28</v>
      </c>
      <c r="J865" s="2">
        <v>43427</v>
      </c>
      <c r="K865">
        <v>31</v>
      </c>
      <c r="L865" t="s">
        <v>20</v>
      </c>
      <c r="M865">
        <v>10</v>
      </c>
      <c r="N865">
        <v>10</v>
      </c>
      <c r="O865">
        <v>2</v>
      </c>
      <c r="P865" t="s">
        <v>25</v>
      </c>
      <c r="Q865" s="1">
        <v>3</v>
      </c>
      <c r="R865" s="2">
        <v>46174</v>
      </c>
      <c r="S865" s="2"/>
      <c r="T865" s="1" t="str">
        <f t="shared" si="39"/>
        <v>sex</v>
      </c>
      <c r="U865" s="1" t="str">
        <f t="shared" si="40"/>
        <v>nov</v>
      </c>
      <c r="V865">
        <f t="shared" si="41"/>
        <v>2018</v>
      </c>
      <c r="W865">
        <f>_xlfn.XLOOKUP(A865,Absenteismo!A:A,Absenteismo!A:A,0)</f>
        <v>1638</v>
      </c>
    </row>
    <row r="866" spans="1:23" hidden="1" x14ac:dyDescent="0.3">
      <c r="A866">
        <v>1707</v>
      </c>
      <c r="B866">
        <v>45</v>
      </c>
      <c r="C866" t="s">
        <v>26</v>
      </c>
      <c r="D866" t="s">
        <v>27</v>
      </c>
      <c r="E866" t="s">
        <v>17</v>
      </c>
      <c r="F866" t="s">
        <v>18</v>
      </c>
      <c r="G866">
        <v>35</v>
      </c>
      <c r="H866">
        <v>4565</v>
      </c>
      <c r="I866" t="s">
        <v>28</v>
      </c>
      <c r="J866" s="2">
        <v>44887</v>
      </c>
      <c r="K866">
        <v>8</v>
      </c>
      <c r="L866" t="s">
        <v>20</v>
      </c>
      <c r="M866">
        <v>7</v>
      </c>
      <c r="N866">
        <v>4</v>
      </c>
      <c r="O866">
        <v>5</v>
      </c>
      <c r="P866" t="s">
        <v>25</v>
      </c>
      <c r="Q866" s="1">
        <v>3</v>
      </c>
      <c r="R866" s="2">
        <v>46174</v>
      </c>
      <c r="S866" s="2"/>
      <c r="T866" s="1" t="str">
        <f t="shared" si="39"/>
        <v>ter</v>
      </c>
      <c r="U866" s="1" t="str">
        <f t="shared" si="40"/>
        <v>nov</v>
      </c>
      <c r="V866">
        <f t="shared" si="41"/>
        <v>2022</v>
      </c>
      <c r="W866">
        <f>_xlfn.XLOOKUP(A866,Absenteismo!A:A,Absenteismo!A:A,0)</f>
        <v>1707</v>
      </c>
    </row>
    <row r="867" spans="1:23" x14ac:dyDescent="0.3">
      <c r="A867">
        <v>1739</v>
      </c>
      <c r="B867">
        <v>45</v>
      </c>
      <c r="C867" t="s">
        <v>26</v>
      </c>
      <c r="D867" t="s">
        <v>27</v>
      </c>
      <c r="E867" t="s">
        <v>17</v>
      </c>
      <c r="F867" t="s">
        <v>23</v>
      </c>
      <c r="G867">
        <v>10</v>
      </c>
      <c r="H867">
        <v>6127</v>
      </c>
      <c r="I867" t="s">
        <v>24</v>
      </c>
      <c r="J867" s="2">
        <v>45784</v>
      </c>
      <c r="K867">
        <v>33</v>
      </c>
      <c r="L867" t="s">
        <v>25</v>
      </c>
      <c r="M867">
        <v>10</v>
      </c>
      <c r="N867">
        <v>0</v>
      </c>
      <c r="O867">
        <v>3</v>
      </c>
      <c r="P867" t="s">
        <v>25</v>
      </c>
      <c r="Q867" s="1">
        <v>3</v>
      </c>
      <c r="R867" s="2">
        <v>46174</v>
      </c>
      <c r="S867" s="2"/>
      <c r="T867" s="1" t="str">
        <f t="shared" si="39"/>
        <v>qua</v>
      </c>
      <c r="U867" s="1" t="str">
        <f t="shared" si="40"/>
        <v>mai</v>
      </c>
      <c r="V867">
        <f t="shared" si="41"/>
        <v>2025</v>
      </c>
      <c r="W867">
        <f>_xlfn.XLOOKUP(A867,Absenteismo!A:A,Absenteismo!A:A,0)</f>
        <v>0</v>
      </c>
    </row>
    <row r="868" spans="1:23" x14ac:dyDescent="0.3">
      <c r="A868">
        <v>1836</v>
      </c>
      <c r="B868">
        <v>45</v>
      </c>
      <c r="C868" t="s">
        <v>15</v>
      </c>
      <c r="D868" t="s">
        <v>29</v>
      </c>
      <c r="E868" t="s">
        <v>17</v>
      </c>
      <c r="F868" t="s">
        <v>18</v>
      </c>
      <c r="G868">
        <v>107</v>
      </c>
      <c r="H868">
        <v>5123</v>
      </c>
      <c r="I868" t="s">
        <v>24</v>
      </c>
      <c r="J868" s="2">
        <v>42919</v>
      </c>
      <c r="K868">
        <v>36</v>
      </c>
      <c r="L868" t="s">
        <v>20</v>
      </c>
      <c r="M868">
        <v>31</v>
      </c>
      <c r="N868">
        <v>12</v>
      </c>
      <c r="O868">
        <v>4</v>
      </c>
      <c r="P868" t="s">
        <v>25</v>
      </c>
      <c r="Q868" s="1">
        <v>1</v>
      </c>
      <c r="R868" s="2">
        <v>46174</v>
      </c>
      <c r="S868" s="2"/>
      <c r="T868" s="1" t="str">
        <f t="shared" si="39"/>
        <v>seg</v>
      </c>
      <c r="U868" s="1" t="str">
        <f t="shared" si="40"/>
        <v>jul</v>
      </c>
      <c r="V868">
        <f t="shared" si="41"/>
        <v>2017</v>
      </c>
      <c r="W868">
        <f>_xlfn.XLOOKUP(A868,Absenteismo!A:A,Absenteismo!A:A,0)</f>
        <v>0</v>
      </c>
    </row>
    <row r="869" spans="1:23" hidden="1" x14ac:dyDescent="0.3">
      <c r="A869">
        <v>1874</v>
      </c>
      <c r="B869">
        <v>45</v>
      </c>
      <c r="C869" t="s">
        <v>26</v>
      </c>
      <c r="D869" t="s">
        <v>27</v>
      </c>
      <c r="E869" t="s">
        <v>17</v>
      </c>
      <c r="F869" t="s">
        <v>23</v>
      </c>
      <c r="G869">
        <v>91</v>
      </c>
      <c r="H869">
        <v>7403</v>
      </c>
      <c r="I869" t="s">
        <v>28</v>
      </c>
      <c r="J869" s="2">
        <v>43184</v>
      </c>
      <c r="K869">
        <v>41</v>
      </c>
      <c r="L869" t="s">
        <v>20</v>
      </c>
      <c r="M869">
        <v>11</v>
      </c>
      <c r="N869">
        <v>6</v>
      </c>
      <c r="O869">
        <v>4</v>
      </c>
      <c r="P869" t="s">
        <v>25</v>
      </c>
      <c r="Q869" s="1">
        <v>2</v>
      </c>
      <c r="R869" s="2">
        <v>46174</v>
      </c>
      <c r="S869" s="2"/>
      <c r="T869" s="1" t="str">
        <f t="shared" si="39"/>
        <v>dom</v>
      </c>
      <c r="U869" s="1" t="str">
        <f t="shared" si="40"/>
        <v>mar</v>
      </c>
      <c r="V869">
        <f t="shared" si="41"/>
        <v>2018</v>
      </c>
      <c r="W869">
        <f>_xlfn.XLOOKUP(A869,Absenteismo!A:A,Absenteismo!A:A,0)</f>
        <v>1874</v>
      </c>
    </row>
    <row r="870" spans="1:23" hidden="1" x14ac:dyDescent="0.3">
      <c r="A870">
        <v>1909</v>
      </c>
      <c r="B870">
        <v>45</v>
      </c>
      <c r="C870" t="s">
        <v>26</v>
      </c>
      <c r="D870" t="s">
        <v>29</v>
      </c>
      <c r="E870" t="s">
        <v>17</v>
      </c>
      <c r="F870" t="s">
        <v>23</v>
      </c>
      <c r="G870">
        <v>66</v>
      </c>
      <c r="H870">
        <v>6842</v>
      </c>
      <c r="I870" t="s">
        <v>30</v>
      </c>
      <c r="J870" s="2">
        <v>44142</v>
      </c>
      <c r="K870">
        <v>49</v>
      </c>
      <c r="L870" t="s">
        <v>20</v>
      </c>
      <c r="M870">
        <v>7</v>
      </c>
      <c r="N870">
        <v>2</v>
      </c>
      <c r="O870">
        <v>3</v>
      </c>
      <c r="P870" t="s">
        <v>25</v>
      </c>
      <c r="Q870" s="1">
        <v>2</v>
      </c>
      <c r="R870" s="2">
        <v>46174</v>
      </c>
      <c r="S870" s="2"/>
      <c r="T870" s="1" t="str">
        <f t="shared" si="39"/>
        <v>sáb</v>
      </c>
      <c r="U870" s="1" t="str">
        <f t="shared" si="40"/>
        <v>nov</v>
      </c>
      <c r="V870">
        <f t="shared" si="41"/>
        <v>2020</v>
      </c>
      <c r="W870">
        <f>_xlfn.XLOOKUP(A870,Absenteismo!A:A,Absenteismo!A:A,0)</f>
        <v>1909</v>
      </c>
    </row>
    <row r="871" spans="1:23" x14ac:dyDescent="0.3">
      <c r="A871">
        <v>1910</v>
      </c>
      <c r="B871">
        <v>45</v>
      </c>
      <c r="C871" t="s">
        <v>15</v>
      </c>
      <c r="D871" t="s">
        <v>29</v>
      </c>
      <c r="E871" t="s">
        <v>17</v>
      </c>
      <c r="F871" t="s">
        <v>21</v>
      </c>
      <c r="G871">
        <v>60</v>
      </c>
      <c r="H871">
        <v>7134</v>
      </c>
      <c r="I871" t="s">
        <v>24</v>
      </c>
      <c r="J871" s="2">
        <v>44296</v>
      </c>
      <c r="K871">
        <v>36</v>
      </c>
      <c r="L871" t="s">
        <v>25</v>
      </c>
      <c r="M871">
        <v>0</v>
      </c>
      <c r="N871">
        <v>10</v>
      </c>
      <c r="O871">
        <v>2</v>
      </c>
      <c r="P871" t="s">
        <v>25</v>
      </c>
      <c r="Q871" s="1">
        <v>1</v>
      </c>
      <c r="R871" s="2">
        <v>46174</v>
      </c>
      <c r="S871" s="2"/>
      <c r="T871" s="1" t="str">
        <f t="shared" si="39"/>
        <v>sáb</v>
      </c>
      <c r="U871" s="1" t="str">
        <f t="shared" si="40"/>
        <v>abr</v>
      </c>
      <c r="V871">
        <f t="shared" si="41"/>
        <v>2021</v>
      </c>
      <c r="W871">
        <f>_xlfn.XLOOKUP(A871,Absenteismo!A:A,Absenteismo!A:A,0)</f>
        <v>0</v>
      </c>
    </row>
    <row r="872" spans="1:23" hidden="1" x14ac:dyDescent="0.3">
      <c r="A872">
        <v>1938</v>
      </c>
      <c r="B872">
        <v>45</v>
      </c>
      <c r="C872" t="s">
        <v>26</v>
      </c>
      <c r="D872" t="s">
        <v>29</v>
      </c>
      <c r="E872" t="s">
        <v>17</v>
      </c>
      <c r="F872" t="s">
        <v>18</v>
      </c>
      <c r="G872">
        <v>87</v>
      </c>
      <c r="H872">
        <v>4550</v>
      </c>
      <c r="I872" t="s">
        <v>28</v>
      </c>
      <c r="J872" s="2">
        <v>43532</v>
      </c>
      <c r="K872">
        <v>31</v>
      </c>
      <c r="L872" t="s">
        <v>20</v>
      </c>
      <c r="M872">
        <v>10</v>
      </c>
      <c r="N872">
        <v>10</v>
      </c>
      <c r="O872">
        <v>2</v>
      </c>
      <c r="P872" t="s">
        <v>25</v>
      </c>
      <c r="Q872" s="1">
        <v>3</v>
      </c>
      <c r="R872" s="2">
        <v>46174</v>
      </c>
      <c r="S872" s="2"/>
      <c r="T872" s="1" t="str">
        <f t="shared" si="39"/>
        <v>sex</v>
      </c>
      <c r="U872" s="1" t="str">
        <f t="shared" si="40"/>
        <v>mar</v>
      </c>
      <c r="V872">
        <f t="shared" si="41"/>
        <v>2019</v>
      </c>
      <c r="W872">
        <f>_xlfn.XLOOKUP(A872,Absenteismo!A:A,Absenteismo!A:A,0)</f>
        <v>1938</v>
      </c>
    </row>
    <row r="873" spans="1:23" hidden="1" x14ac:dyDescent="0.3">
      <c r="A873">
        <v>2007</v>
      </c>
      <c r="B873">
        <v>45</v>
      </c>
      <c r="C873" t="s">
        <v>26</v>
      </c>
      <c r="D873" t="s">
        <v>27</v>
      </c>
      <c r="E873" t="s">
        <v>17</v>
      </c>
      <c r="F873" t="s">
        <v>18</v>
      </c>
      <c r="G873">
        <v>35</v>
      </c>
      <c r="H873">
        <v>4565</v>
      </c>
      <c r="I873" t="s">
        <v>28</v>
      </c>
      <c r="J873" s="2">
        <v>45124</v>
      </c>
      <c r="K873">
        <v>8</v>
      </c>
      <c r="L873" t="s">
        <v>20</v>
      </c>
      <c r="M873">
        <v>7</v>
      </c>
      <c r="N873">
        <v>4</v>
      </c>
      <c r="O873">
        <v>5</v>
      </c>
      <c r="P873" t="s">
        <v>25</v>
      </c>
      <c r="Q873" s="1">
        <v>2</v>
      </c>
      <c r="R873" s="2">
        <v>46174</v>
      </c>
      <c r="S873" s="2"/>
      <c r="T873" s="1" t="str">
        <f t="shared" si="39"/>
        <v>seg</v>
      </c>
      <c r="U873" s="1" t="str">
        <f t="shared" si="40"/>
        <v>jul</v>
      </c>
      <c r="V873">
        <f t="shared" si="41"/>
        <v>2023</v>
      </c>
      <c r="W873">
        <f>_xlfn.XLOOKUP(A873,Absenteismo!A:A,Absenteismo!A:A,0)</f>
        <v>2007</v>
      </c>
    </row>
    <row r="874" spans="1:23" x14ac:dyDescent="0.3">
      <c r="A874">
        <v>2039</v>
      </c>
      <c r="B874">
        <v>45</v>
      </c>
      <c r="C874" t="s">
        <v>26</v>
      </c>
      <c r="D874" t="s">
        <v>27</v>
      </c>
      <c r="E874" t="s">
        <v>17</v>
      </c>
      <c r="F874" t="s">
        <v>23</v>
      </c>
      <c r="G874">
        <v>10</v>
      </c>
      <c r="H874">
        <v>6127</v>
      </c>
      <c r="I874" t="s">
        <v>24</v>
      </c>
      <c r="J874" s="2">
        <v>45658</v>
      </c>
      <c r="K874">
        <v>33</v>
      </c>
      <c r="L874" t="s">
        <v>25</v>
      </c>
      <c r="M874">
        <v>10</v>
      </c>
      <c r="N874">
        <v>0</v>
      </c>
      <c r="O874">
        <v>3</v>
      </c>
      <c r="P874" t="s">
        <v>25</v>
      </c>
      <c r="Q874" s="1">
        <v>1</v>
      </c>
      <c r="R874" s="2">
        <v>46174</v>
      </c>
      <c r="S874" s="2"/>
      <c r="T874" s="1" t="str">
        <f t="shared" si="39"/>
        <v>qua</v>
      </c>
      <c r="U874" s="1" t="str">
        <f t="shared" si="40"/>
        <v>jan</v>
      </c>
      <c r="V874">
        <f t="shared" si="41"/>
        <v>2025</v>
      </c>
      <c r="W874">
        <f>_xlfn.XLOOKUP(A874,Absenteismo!A:A,Absenteismo!A:A,0)</f>
        <v>0</v>
      </c>
    </row>
    <row r="875" spans="1:23" x14ac:dyDescent="0.3">
      <c r="A875">
        <v>2136</v>
      </c>
      <c r="B875">
        <v>45</v>
      </c>
      <c r="C875" t="s">
        <v>15</v>
      </c>
      <c r="D875" t="s">
        <v>29</v>
      </c>
      <c r="E875" t="s">
        <v>17</v>
      </c>
      <c r="F875" t="s">
        <v>18</v>
      </c>
      <c r="G875">
        <v>107</v>
      </c>
      <c r="H875">
        <v>5123</v>
      </c>
      <c r="I875" t="s">
        <v>24</v>
      </c>
      <c r="J875" s="2">
        <v>42733</v>
      </c>
      <c r="K875">
        <v>36</v>
      </c>
      <c r="L875" t="s">
        <v>20</v>
      </c>
      <c r="M875">
        <v>31</v>
      </c>
      <c r="N875">
        <v>12</v>
      </c>
      <c r="O875">
        <v>4</v>
      </c>
      <c r="P875" t="s">
        <v>25</v>
      </c>
      <c r="Q875" s="1">
        <v>3</v>
      </c>
      <c r="R875" s="2">
        <v>46174</v>
      </c>
      <c r="S875" s="2"/>
      <c r="T875" s="1" t="str">
        <f t="shared" si="39"/>
        <v>qui</v>
      </c>
      <c r="U875" s="1" t="str">
        <f t="shared" si="40"/>
        <v>dez</v>
      </c>
      <c r="V875">
        <f t="shared" si="41"/>
        <v>2016</v>
      </c>
      <c r="W875">
        <f>_xlfn.XLOOKUP(A875,Absenteismo!A:A,Absenteismo!A:A,0)</f>
        <v>0</v>
      </c>
    </row>
    <row r="876" spans="1:23" x14ac:dyDescent="0.3">
      <c r="A876">
        <v>2174</v>
      </c>
      <c r="B876">
        <v>45</v>
      </c>
      <c r="C876" t="s">
        <v>26</v>
      </c>
      <c r="D876" t="s">
        <v>27</v>
      </c>
      <c r="E876" t="s">
        <v>17</v>
      </c>
      <c r="F876" t="s">
        <v>23</v>
      </c>
      <c r="G876">
        <v>91</v>
      </c>
      <c r="H876">
        <v>7403</v>
      </c>
      <c r="I876" t="s">
        <v>28</v>
      </c>
      <c r="J876" s="2">
        <v>43355</v>
      </c>
      <c r="K876">
        <v>41</v>
      </c>
      <c r="L876" t="s">
        <v>20</v>
      </c>
      <c r="M876">
        <v>11</v>
      </c>
      <c r="N876">
        <v>6</v>
      </c>
      <c r="O876">
        <v>4</v>
      </c>
      <c r="P876" t="s">
        <v>25</v>
      </c>
      <c r="Q876" s="1">
        <v>1</v>
      </c>
      <c r="R876" s="2">
        <v>46174</v>
      </c>
      <c r="S876" s="2"/>
      <c r="T876" s="1" t="str">
        <f t="shared" si="39"/>
        <v>qua</v>
      </c>
      <c r="U876" s="1" t="str">
        <f t="shared" si="40"/>
        <v>set</v>
      </c>
      <c r="V876">
        <f t="shared" si="41"/>
        <v>2018</v>
      </c>
      <c r="W876">
        <f>_xlfn.XLOOKUP(A876,Absenteismo!A:A,Absenteismo!A:A,0)</f>
        <v>0</v>
      </c>
    </row>
    <row r="877" spans="1:23" hidden="1" x14ac:dyDescent="0.3">
      <c r="A877">
        <v>1918</v>
      </c>
      <c r="B877">
        <v>45</v>
      </c>
      <c r="C877" t="s">
        <v>26</v>
      </c>
      <c r="D877" t="s">
        <v>29</v>
      </c>
      <c r="E877" t="s">
        <v>17</v>
      </c>
      <c r="F877" t="s">
        <v>18</v>
      </c>
      <c r="G877">
        <v>111</v>
      </c>
      <c r="H877">
        <v>3243</v>
      </c>
      <c r="I877" t="s">
        <v>30</v>
      </c>
      <c r="J877" s="2">
        <v>42599</v>
      </c>
      <c r="K877">
        <v>4</v>
      </c>
      <c r="L877" t="s">
        <v>20</v>
      </c>
      <c r="M877">
        <v>21</v>
      </c>
      <c r="N877">
        <v>12</v>
      </c>
      <c r="O877">
        <v>2</v>
      </c>
      <c r="P877" t="s">
        <v>25</v>
      </c>
      <c r="Q877" s="1">
        <v>1</v>
      </c>
      <c r="R877" s="2">
        <v>46174</v>
      </c>
      <c r="S877" s="2"/>
      <c r="T877" s="1" t="str">
        <f t="shared" si="39"/>
        <v>qua</v>
      </c>
      <c r="U877" s="1" t="str">
        <f t="shared" si="40"/>
        <v>ago</v>
      </c>
      <c r="V877">
        <f t="shared" si="41"/>
        <v>2016</v>
      </c>
      <c r="W877">
        <f>_xlfn.XLOOKUP(A877,Absenteismo!A:A,Absenteismo!A:A,0)</f>
        <v>1918</v>
      </c>
    </row>
    <row r="878" spans="1:23" hidden="1" x14ac:dyDescent="0.3">
      <c r="A878">
        <v>1929</v>
      </c>
      <c r="B878">
        <v>45</v>
      </c>
      <c r="C878" t="s">
        <v>15</v>
      </c>
      <c r="D878" t="s">
        <v>16</v>
      </c>
      <c r="E878" t="s">
        <v>17</v>
      </c>
      <c r="F878" t="s">
        <v>21</v>
      </c>
      <c r="G878">
        <v>116</v>
      </c>
      <c r="H878">
        <v>4021</v>
      </c>
      <c r="I878" t="s">
        <v>28</v>
      </c>
      <c r="J878" s="2">
        <v>42389</v>
      </c>
      <c r="K878">
        <v>3</v>
      </c>
      <c r="L878" t="s">
        <v>25</v>
      </c>
      <c r="M878">
        <v>35</v>
      </c>
      <c r="N878">
        <v>2</v>
      </c>
      <c r="O878">
        <v>5</v>
      </c>
      <c r="P878" t="s">
        <v>25</v>
      </c>
      <c r="Q878" s="1">
        <v>1</v>
      </c>
      <c r="R878" s="2">
        <v>46174</v>
      </c>
      <c r="S878" s="2"/>
      <c r="T878" s="1" t="str">
        <f t="shared" si="39"/>
        <v>qua</v>
      </c>
      <c r="U878" s="1" t="str">
        <f t="shared" si="40"/>
        <v>jan</v>
      </c>
      <c r="V878">
        <f t="shared" si="41"/>
        <v>2016</v>
      </c>
      <c r="W878">
        <f>_xlfn.XLOOKUP(A878,Absenteismo!A:A,Absenteismo!A:A,0)</f>
        <v>1929</v>
      </c>
    </row>
    <row r="879" spans="1:23" hidden="1" x14ac:dyDescent="0.3">
      <c r="A879">
        <v>1326</v>
      </c>
      <c r="B879">
        <v>46</v>
      </c>
      <c r="C879" t="s">
        <v>26</v>
      </c>
      <c r="D879" t="s">
        <v>27</v>
      </c>
      <c r="E879" t="s">
        <v>17</v>
      </c>
      <c r="F879" t="s">
        <v>21</v>
      </c>
      <c r="G879">
        <v>68</v>
      </c>
      <c r="H879">
        <v>2864</v>
      </c>
      <c r="I879" t="s">
        <v>28</v>
      </c>
      <c r="J879" s="2">
        <v>43834</v>
      </c>
      <c r="K879">
        <v>20</v>
      </c>
      <c r="L879" t="s">
        <v>25</v>
      </c>
      <c r="M879">
        <v>6</v>
      </c>
      <c r="N879">
        <v>2</v>
      </c>
      <c r="O879">
        <v>4</v>
      </c>
      <c r="P879" t="s">
        <v>20</v>
      </c>
      <c r="Q879" s="1">
        <v>1</v>
      </c>
      <c r="R879" s="2">
        <v>46174</v>
      </c>
      <c r="S879" s="2">
        <v>45904</v>
      </c>
      <c r="T879" s="1" t="str">
        <f t="shared" si="39"/>
        <v>sáb</v>
      </c>
      <c r="U879" s="1" t="str">
        <f t="shared" si="40"/>
        <v>jan</v>
      </c>
      <c r="V879">
        <f t="shared" si="41"/>
        <v>2020</v>
      </c>
      <c r="W879">
        <f>_xlfn.XLOOKUP(A879,Absenteismo!A:A,Absenteismo!A:A,0)</f>
        <v>1326</v>
      </c>
    </row>
    <row r="880" spans="1:23" hidden="1" x14ac:dyDescent="0.3">
      <c r="A880">
        <v>1626</v>
      </c>
      <c r="B880">
        <v>46</v>
      </c>
      <c r="C880" t="s">
        <v>26</v>
      </c>
      <c r="D880" t="s">
        <v>27</v>
      </c>
      <c r="E880" t="s">
        <v>17</v>
      </c>
      <c r="F880" t="s">
        <v>21</v>
      </c>
      <c r="G880">
        <v>68</v>
      </c>
      <c r="H880">
        <v>2864</v>
      </c>
      <c r="I880" t="s">
        <v>28</v>
      </c>
      <c r="J880" s="2">
        <v>43842</v>
      </c>
      <c r="K880">
        <v>20</v>
      </c>
      <c r="L880" t="s">
        <v>25</v>
      </c>
      <c r="M880">
        <v>6</v>
      </c>
      <c r="N880">
        <v>2</v>
      </c>
      <c r="O880">
        <v>4</v>
      </c>
      <c r="P880" t="s">
        <v>20</v>
      </c>
      <c r="Q880" s="1">
        <v>3</v>
      </c>
      <c r="R880" s="2">
        <v>46174</v>
      </c>
      <c r="S880" s="2">
        <v>45912</v>
      </c>
      <c r="T880" s="1" t="str">
        <f t="shared" si="39"/>
        <v>dom</v>
      </c>
      <c r="U880" s="1" t="str">
        <f t="shared" si="40"/>
        <v>jan</v>
      </c>
      <c r="V880">
        <f t="shared" si="41"/>
        <v>2020</v>
      </c>
      <c r="W880">
        <f>_xlfn.XLOOKUP(A880,Absenteismo!A:A,Absenteismo!A:A,0)</f>
        <v>1626</v>
      </c>
    </row>
    <row r="881" spans="1:23" x14ac:dyDescent="0.3">
      <c r="A881">
        <v>1278</v>
      </c>
      <c r="B881">
        <v>46</v>
      </c>
      <c r="C881" t="s">
        <v>26</v>
      </c>
      <c r="D881" t="s">
        <v>31</v>
      </c>
      <c r="E881" t="s">
        <v>34</v>
      </c>
      <c r="F881" t="s">
        <v>18</v>
      </c>
      <c r="G881">
        <v>113</v>
      </c>
      <c r="H881">
        <v>5902</v>
      </c>
      <c r="I881" t="s">
        <v>24</v>
      </c>
      <c r="J881" s="2">
        <v>42683</v>
      </c>
      <c r="K881">
        <v>35</v>
      </c>
      <c r="L881" t="s">
        <v>20</v>
      </c>
      <c r="M881">
        <v>30</v>
      </c>
      <c r="N881">
        <v>12</v>
      </c>
      <c r="O881">
        <v>3</v>
      </c>
      <c r="P881" t="s">
        <v>20</v>
      </c>
      <c r="Q881" s="1">
        <v>3</v>
      </c>
      <c r="R881" s="2">
        <v>46174</v>
      </c>
      <c r="S881" s="2">
        <v>46121</v>
      </c>
      <c r="T881" s="1" t="str">
        <f t="shared" si="39"/>
        <v>qua</v>
      </c>
      <c r="U881" s="1" t="str">
        <f t="shared" si="40"/>
        <v>nov</v>
      </c>
      <c r="V881">
        <f t="shared" si="41"/>
        <v>2016</v>
      </c>
      <c r="W881">
        <f>_xlfn.XLOOKUP(A881,Absenteismo!A:A,Absenteismo!A:A,0)</f>
        <v>0</v>
      </c>
    </row>
    <row r="882" spans="1:23" x14ac:dyDescent="0.3">
      <c r="A882">
        <v>1578</v>
      </c>
      <c r="B882">
        <v>46</v>
      </c>
      <c r="C882" t="s">
        <v>26</v>
      </c>
      <c r="D882" t="s">
        <v>31</v>
      </c>
      <c r="E882" t="s">
        <v>34</v>
      </c>
      <c r="F882" t="s">
        <v>18</v>
      </c>
      <c r="G882">
        <v>113</v>
      </c>
      <c r="H882">
        <v>5902</v>
      </c>
      <c r="I882" t="s">
        <v>24</v>
      </c>
      <c r="J882" s="2">
        <v>42744</v>
      </c>
      <c r="K882">
        <v>35</v>
      </c>
      <c r="L882" t="s">
        <v>20</v>
      </c>
      <c r="M882">
        <v>30</v>
      </c>
      <c r="N882">
        <v>12</v>
      </c>
      <c r="O882">
        <v>3</v>
      </c>
      <c r="P882" t="s">
        <v>20</v>
      </c>
      <c r="Q882" s="1">
        <v>1</v>
      </c>
      <c r="R882" s="2">
        <v>46174</v>
      </c>
      <c r="S882" s="2">
        <v>46182</v>
      </c>
      <c r="T882" s="1" t="str">
        <f t="shared" si="39"/>
        <v>seg</v>
      </c>
      <c r="U882" s="1" t="str">
        <f t="shared" si="40"/>
        <v>jan</v>
      </c>
      <c r="V882">
        <f t="shared" si="41"/>
        <v>2017</v>
      </c>
      <c r="W882">
        <f>_xlfn.XLOOKUP(A882,Absenteismo!A:A,Absenteismo!A:A,0)</f>
        <v>0</v>
      </c>
    </row>
    <row r="883" spans="1:23" x14ac:dyDescent="0.3">
      <c r="A883">
        <v>1878</v>
      </c>
      <c r="B883">
        <v>46</v>
      </c>
      <c r="C883" t="s">
        <v>26</v>
      </c>
      <c r="D883" t="s">
        <v>31</v>
      </c>
      <c r="E883" t="s">
        <v>34</v>
      </c>
      <c r="F883" t="s">
        <v>18</v>
      </c>
      <c r="G883">
        <v>113</v>
      </c>
      <c r="H883">
        <v>5902</v>
      </c>
      <c r="I883" t="s">
        <v>24</v>
      </c>
      <c r="J883" s="2">
        <v>42745</v>
      </c>
      <c r="K883">
        <v>35</v>
      </c>
      <c r="L883" t="s">
        <v>20</v>
      </c>
      <c r="M883">
        <v>30</v>
      </c>
      <c r="N883">
        <v>12</v>
      </c>
      <c r="O883">
        <v>3</v>
      </c>
      <c r="P883" t="s">
        <v>20</v>
      </c>
      <c r="Q883" s="1">
        <v>1</v>
      </c>
      <c r="R883" s="2">
        <v>46174</v>
      </c>
      <c r="S883" s="2">
        <v>46183</v>
      </c>
      <c r="T883" s="1" t="str">
        <f t="shared" si="39"/>
        <v>ter</v>
      </c>
      <c r="U883" s="1" t="str">
        <f t="shared" si="40"/>
        <v>jan</v>
      </c>
      <c r="V883">
        <f t="shared" si="41"/>
        <v>2017</v>
      </c>
      <c r="W883">
        <f>_xlfn.XLOOKUP(A883,Absenteismo!A:A,Absenteismo!A:A,0)</f>
        <v>0</v>
      </c>
    </row>
    <row r="884" spans="1:23" hidden="1" x14ac:dyDescent="0.3">
      <c r="A884">
        <v>1026</v>
      </c>
      <c r="B884">
        <v>46</v>
      </c>
      <c r="C884" t="s">
        <v>26</v>
      </c>
      <c r="D884" t="s">
        <v>27</v>
      </c>
      <c r="E884" t="s">
        <v>17</v>
      </c>
      <c r="F884" t="s">
        <v>21</v>
      </c>
      <c r="G884">
        <v>68</v>
      </c>
      <c r="H884">
        <v>2864</v>
      </c>
      <c r="I884" t="s">
        <v>28</v>
      </c>
      <c r="J884" s="2">
        <v>44023</v>
      </c>
      <c r="K884">
        <v>20</v>
      </c>
      <c r="L884" t="s">
        <v>25</v>
      </c>
      <c r="M884">
        <v>6</v>
      </c>
      <c r="N884">
        <v>2</v>
      </c>
      <c r="O884">
        <v>4</v>
      </c>
      <c r="P884" t="s">
        <v>25</v>
      </c>
      <c r="Q884" s="1">
        <v>3</v>
      </c>
      <c r="R884" s="2">
        <v>46174</v>
      </c>
      <c r="S884" s="2"/>
      <c r="T884" s="1" t="str">
        <f t="shared" si="39"/>
        <v>sáb</v>
      </c>
      <c r="U884" s="1" t="str">
        <f t="shared" si="40"/>
        <v>jul</v>
      </c>
      <c r="V884">
        <f t="shared" si="41"/>
        <v>2020</v>
      </c>
      <c r="W884">
        <f>_xlfn.XLOOKUP(A884,Absenteismo!A:A,Absenteismo!A:A,0)</f>
        <v>1026</v>
      </c>
    </row>
    <row r="885" spans="1:23" x14ac:dyDescent="0.3">
      <c r="A885">
        <v>1140</v>
      </c>
      <c r="B885">
        <v>46</v>
      </c>
      <c r="C885" t="s">
        <v>15</v>
      </c>
      <c r="D885" t="s">
        <v>16</v>
      </c>
      <c r="E885" t="s">
        <v>17</v>
      </c>
      <c r="F885" t="s">
        <v>23</v>
      </c>
      <c r="G885">
        <v>100</v>
      </c>
      <c r="H885">
        <v>5800</v>
      </c>
      <c r="I885" t="s">
        <v>24</v>
      </c>
      <c r="J885" s="2">
        <v>42839</v>
      </c>
      <c r="K885">
        <v>25</v>
      </c>
      <c r="L885" t="s">
        <v>25</v>
      </c>
      <c r="M885">
        <v>2</v>
      </c>
      <c r="N885">
        <v>9</v>
      </c>
      <c r="O885">
        <v>3</v>
      </c>
      <c r="P885" t="s">
        <v>25</v>
      </c>
      <c r="Q885" s="1">
        <v>2</v>
      </c>
      <c r="R885" s="2">
        <v>46174</v>
      </c>
      <c r="S885" s="2"/>
      <c r="T885" s="1" t="str">
        <f t="shared" si="39"/>
        <v>sex</v>
      </c>
      <c r="U885" s="1" t="str">
        <f t="shared" si="40"/>
        <v>abr</v>
      </c>
      <c r="V885">
        <f t="shared" si="41"/>
        <v>2017</v>
      </c>
      <c r="W885">
        <f>_xlfn.XLOOKUP(A885,Absenteismo!A:A,Absenteismo!A:A,0)</f>
        <v>0</v>
      </c>
    </row>
    <row r="886" spans="1:23" hidden="1" x14ac:dyDescent="0.3">
      <c r="A886">
        <v>1174</v>
      </c>
      <c r="B886">
        <v>46</v>
      </c>
      <c r="C886" t="s">
        <v>26</v>
      </c>
      <c r="D886" t="s">
        <v>31</v>
      </c>
      <c r="E886" t="s">
        <v>34</v>
      </c>
      <c r="F886" t="s">
        <v>21</v>
      </c>
      <c r="G886">
        <v>93</v>
      </c>
      <c r="H886">
        <v>7493</v>
      </c>
      <c r="I886" t="s">
        <v>30</v>
      </c>
      <c r="J886" s="2">
        <v>43137</v>
      </c>
      <c r="K886">
        <v>17</v>
      </c>
      <c r="L886" t="s">
        <v>20</v>
      </c>
      <c r="M886">
        <v>15</v>
      </c>
      <c r="N886">
        <v>0</v>
      </c>
      <c r="O886">
        <v>2</v>
      </c>
      <c r="P886" t="s">
        <v>25</v>
      </c>
      <c r="Q886" s="1">
        <v>1</v>
      </c>
      <c r="R886" s="2">
        <v>46174</v>
      </c>
      <c r="S886" s="2"/>
      <c r="T886" s="1" t="str">
        <f t="shared" si="39"/>
        <v>ter</v>
      </c>
      <c r="U886" s="1" t="str">
        <f t="shared" si="40"/>
        <v>fev</v>
      </c>
      <c r="V886">
        <f t="shared" si="41"/>
        <v>2018</v>
      </c>
      <c r="W886">
        <f>_xlfn.XLOOKUP(A886,Absenteismo!A:A,Absenteismo!A:A,0)</f>
        <v>1174</v>
      </c>
    </row>
    <row r="887" spans="1:23" hidden="1" x14ac:dyDescent="0.3">
      <c r="A887">
        <v>1227</v>
      </c>
      <c r="B887">
        <v>46</v>
      </c>
      <c r="C887" t="s">
        <v>15</v>
      </c>
      <c r="D887" t="s">
        <v>22</v>
      </c>
      <c r="E887" t="s">
        <v>17</v>
      </c>
      <c r="F887" t="s">
        <v>23</v>
      </c>
      <c r="G887">
        <v>63</v>
      </c>
      <c r="H887">
        <v>3918</v>
      </c>
      <c r="I887" t="s">
        <v>19</v>
      </c>
      <c r="J887" s="2">
        <v>44075</v>
      </c>
      <c r="K887">
        <v>43</v>
      </c>
      <c r="L887" t="s">
        <v>20</v>
      </c>
      <c r="M887">
        <v>35</v>
      </c>
      <c r="N887">
        <v>8</v>
      </c>
      <c r="O887">
        <v>5</v>
      </c>
      <c r="P887" t="s">
        <v>25</v>
      </c>
      <c r="Q887" s="1">
        <v>3</v>
      </c>
      <c r="R887" s="2">
        <v>46174</v>
      </c>
      <c r="S887" s="2"/>
      <c r="T887" s="1" t="str">
        <f t="shared" si="39"/>
        <v>ter</v>
      </c>
      <c r="U887" s="1" t="str">
        <f t="shared" si="40"/>
        <v>set</v>
      </c>
      <c r="V887">
        <f t="shared" si="41"/>
        <v>2020</v>
      </c>
      <c r="W887">
        <f>_xlfn.XLOOKUP(A887,Absenteismo!A:A,Absenteismo!A:A,0)</f>
        <v>1227</v>
      </c>
    </row>
    <row r="888" spans="1:23" x14ac:dyDescent="0.3">
      <c r="A888">
        <v>1440</v>
      </c>
      <c r="B888">
        <v>46</v>
      </c>
      <c r="C888" t="s">
        <v>15</v>
      </c>
      <c r="D888" t="s">
        <v>16</v>
      </c>
      <c r="E888" t="s">
        <v>17</v>
      </c>
      <c r="F888" t="s">
        <v>23</v>
      </c>
      <c r="G888">
        <v>100</v>
      </c>
      <c r="H888">
        <v>5800</v>
      </c>
      <c r="I888" t="s">
        <v>24</v>
      </c>
      <c r="J888" s="2">
        <v>42718</v>
      </c>
      <c r="K888">
        <v>25</v>
      </c>
      <c r="L888" t="s">
        <v>25</v>
      </c>
      <c r="M888">
        <v>2</v>
      </c>
      <c r="N888">
        <v>9</v>
      </c>
      <c r="O888">
        <v>3</v>
      </c>
      <c r="P888" t="s">
        <v>25</v>
      </c>
      <c r="Q888" s="1">
        <v>2</v>
      </c>
      <c r="R888" s="2">
        <v>46174</v>
      </c>
      <c r="S888" s="2"/>
      <c r="T888" s="1" t="str">
        <f t="shared" si="39"/>
        <v>qua</v>
      </c>
      <c r="U888" s="1" t="str">
        <f t="shared" si="40"/>
        <v>dez</v>
      </c>
      <c r="V888">
        <f t="shared" si="41"/>
        <v>2016</v>
      </c>
      <c r="W888">
        <f>_xlfn.XLOOKUP(A888,Absenteismo!A:A,Absenteismo!A:A,0)</f>
        <v>0</v>
      </c>
    </row>
    <row r="889" spans="1:23" hidden="1" x14ac:dyDescent="0.3">
      <c r="A889">
        <v>1474</v>
      </c>
      <c r="B889">
        <v>46</v>
      </c>
      <c r="C889" t="s">
        <v>26</v>
      </c>
      <c r="D889" t="s">
        <v>31</v>
      </c>
      <c r="E889" t="s">
        <v>34</v>
      </c>
      <c r="F889" t="s">
        <v>21</v>
      </c>
      <c r="G889">
        <v>93</v>
      </c>
      <c r="H889">
        <v>7493</v>
      </c>
      <c r="I889" t="s">
        <v>30</v>
      </c>
      <c r="J889" s="2">
        <v>43183</v>
      </c>
      <c r="K889">
        <v>17</v>
      </c>
      <c r="L889" t="s">
        <v>20</v>
      </c>
      <c r="M889">
        <v>15</v>
      </c>
      <c r="N889">
        <v>0</v>
      </c>
      <c r="O889">
        <v>2</v>
      </c>
      <c r="P889" t="s">
        <v>25</v>
      </c>
      <c r="Q889" s="1">
        <v>3</v>
      </c>
      <c r="R889" s="2">
        <v>46174</v>
      </c>
      <c r="S889" s="2"/>
      <c r="T889" s="1" t="str">
        <f t="shared" si="39"/>
        <v>sáb</v>
      </c>
      <c r="U889" s="1" t="str">
        <f t="shared" si="40"/>
        <v>mar</v>
      </c>
      <c r="V889">
        <f t="shared" si="41"/>
        <v>2018</v>
      </c>
      <c r="W889">
        <f>_xlfn.XLOOKUP(A889,Absenteismo!A:A,Absenteismo!A:A,0)</f>
        <v>1474</v>
      </c>
    </row>
    <row r="890" spans="1:23" hidden="1" x14ac:dyDescent="0.3">
      <c r="A890">
        <v>1527</v>
      </c>
      <c r="B890">
        <v>46</v>
      </c>
      <c r="C890" t="s">
        <v>15</v>
      </c>
      <c r="D890" t="s">
        <v>22</v>
      </c>
      <c r="E890" t="s">
        <v>17</v>
      </c>
      <c r="F890" t="s">
        <v>23</v>
      </c>
      <c r="G890">
        <v>63</v>
      </c>
      <c r="H890">
        <v>3918</v>
      </c>
      <c r="I890" t="s">
        <v>19</v>
      </c>
      <c r="J890" s="2">
        <v>43937</v>
      </c>
      <c r="K890">
        <v>43</v>
      </c>
      <c r="L890" t="s">
        <v>20</v>
      </c>
      <c r="M890">
        <v>35</v>
      </c>
      <c r="N890">
        <v>8</v>
      </c>
      <c r="O890">
        <v>5</v>
      </c>
      <c r="P890" t="s">
        <v>25</v>
      </c>
      <c r="Q890" s="1">
        <v>2</v>
      </c>
      <c r="R890" s="2">
        <v>46174</v>
      </c>
      <c r="S890" s="2"/>
      <c r="T890" s="1" t="str">
        <f t="shared" si="39"/>
        <v>qui</v>
      </c>
      <c r="U890" s="1" t="str">
        <f t="shared" si="40"/>
        <v>abr</v>
      </c>
      <c r="V890">
        <f t="shared" si="41"/>
        <v>2020</v>
      </c>
      <c r="W890">
        <f>_xlfn.XLOOKUP(A890,Absenteismo!A:A,Absenteismo!A:A,0)</f>
        <v>1527</v>
      </c>
    </row>
    <row r="891" spans="1:23" x14ac:dyDescent="0.3">
      <c r="A891">
        <v>1740</v>
      </c>
      <c r="B891">
        <v>46</v>
      </c>
      <c r="C891" t="s">
        <v>15</v>
      </c>
      <c r="D891" t="s">
        <v>16</v>
      </c>
      <c r="E891" t="s">
        <v>17</v>
      </c>
      <c r="F891" t="s">
        <v>23</v>
      </c>
      <c r="G891">
        <v>100</v>
      </c>
      <c r="H891">
        <v>5800</v>
      </c>
      <c r="I891" t="s">
        <v>24</v>
      </c>
      <c r="J891" s="2">
        <v>42854</v>
      </c>
      <c r="K891">
        <v>25</v>
      </c>
      <c r="L891" t="s">
        <v>25</v>
      </c>
      <c r="M891">
        <v>2</v>
      </c>
      <c r="N891">
        <v>9</v>
      </c>
      <c r="O891">
        <v>3</v>
      </c>
      <c r="P891" t="s">
        <v>25</v>
      </c>
      <c r="Q891" s="1">
        <v>2</v>
      </c>
      <c r="R891" s="2">
        <v>46174</v>
      </c>
      <c r="S891" s="2"/>
      <c r="T891" s="1" t="str">
        <f t="shared" si="39"/>
        <v>sáb</v>
      </c>
      <c r="U891" s="1" t="str">
        <f t="shared" si="40"/>
        <v>abr</v>
      </c>
      <c r="V891">
        <f t="shared" si="41"/>
        <v>2017</v>
      </c>
      <c r="W891">
        <f>_xlfn.XLOOKUP(A891,Absenteismo!A:A,Absenteismo!A:A,0)</f>
        <v>0</v>
      </c>
    </row>
    <row r="892" spans="1:23" hidden="1" x14ac:dyDescent="0.3">
      <c r="A892">
        <v>1774</v>
      </c>
      <c r="B892">
        <v>46</v>
      </c>
      <c r="C892" t="s">
        <v>26</v>
      </c>
      <c r="D892" t="s">
        <v>31</v>
      </c>
      <c r="E892" t="s">
        <v>34</v>
      </c>
      <c r="F892" t="s">
        <v>21</v>
      </c>
      <c r="G892">
        <v>93</v>
      </c>
      <c r="H892">
        <v>7493</v>
      </c>
      <c r="I892" t="s">
        <v>30</v>
      </c>
      <c r="J892" s="2">
        <v>43005</v>
      </c>
      <c r="K892">
        <v>17</v>
      </c>
      <c r="L892" t="s">
        <v>20</v>
      </c>
      <c r="M892">
        <v>15</v>
      </c>
      <c r="N892">
        <v>0</v>
      </c>
      <c r="O892">
        <v>2</v>
      </c>
      <c r="P892" t="s">
        <v>25</v>
      </c>
      <c r="Q892" s="1">
        <v>1</v>
      </c>
      <c r="R892" s="2">
        <v>46174</v>
      </c>
      <c r="S892" s="2"/>
      <c r="T892" s="1" t="str">
        <f t="shared" si="39"/>
        <v>qua</v>
      </c>
      <c r="U892" s="1" t="str">
        <f t="shared" si="40"/>
        <v>set</v>
      </c>
      <c r="V892">
        <f t="shared" si="41"/>
        <v>2017</v>
      </c>
      <c r="W892">
        <f>_xlfn.XLOOKUP(A892,Absenteismo!A:A,Absenteismo!A:A,0)</f>
        <v>1774</v>
      </c>
    </row>
    <row r="893" spans="1:23" hidden="1" x14ac:dyDescent="0.3">
      <c r="A893">
        <v>1827</v>
      </c>
      <c r="B893">
        <v>46</v>
      </c>
      <c r="C893" t="s">
        <v>15</v>
      </c>
      <c r="D893" t="s">
        <v>22</v>
      </c>
      <c r="E893" t="s">
        <v>17</v>
      </c>
      <c r="F893" t="s">
        <v>23</v>
      </c>
      <c r="G893">
        <v>63</v>
      </c>
      <c r="H893">
        <v>3918</v>
      </c>
      <c r="I893" t="s">
        <v>19</v>
      </c>
      <c r="J893" s="2">
        <v>44250</v>
      </c>
      <c r="K893">
        <v>41</v>
      </c>
      <c r="L893" t="s">
        <v>20</v>
      </c>
      <c r="M893">
        <v>35</v>
      </c>
      <c r="N893">
        <v>8</v>
      </c>
      <c r="O893">
        <v>5</v>
      </c>
      <c r="P893" t="s">
        <v>25</v>
      </c>
      <c r="Q893" s="1">
        <v>2</v>
      </c>
      <c r="R893" s="2">
        <v>46174</v>
      </c>
      <c r="S893" s="2"/>
      <c r="T893" s="1" t="str">
        <f t="shared" si="39"/>
        <v>ter</v>
      </c>
      <c r="U893" s="1" t="str">
        <f t="shared" si="40"/>
        <v>fev</v>
      </c>
      <c r="V893">
        <f t="shared" si="41"/>
        <v>2021</v>
      </c>
      <c r="W893">
        <f>_xlfn.XLOOKUP(A893,Absenteismo!A:A,Absenteismo!A:A,0)</f>
        <v>1827</v>
      </c>
    </row>
    <row r="894" spans="1:23" x14ac:dyDescent="0.3">
      <c r="A894">
        <v>2040</v>
      </c>
      <c r="B894">
        <v>46</v>
      </c>
      <c r="C894" t="s">
        <v>15</v>
      </c>
      <c r="D894" t="s">
        <v>16</v>
      </c>
      <c r="E894" t="s">
        <v>17</v>
      </c>
      <c r="F894" t="s">
        <v>23</v>
      </c>
      <c r="G894">
        <v>100</v>
      </c>
      <c r="H894">
        <v>5800</v>
      </c>
      <c r="I894" t="s">
        <v>24</v>
      </c>
      <c r="J894" s="2">
        <v>42801</v>
      </c>
      <c r="K894">
        <v>25</v>
      </c>
      <c r="L894" t="s">
        <v>25</v>
      </c>
      <c r="M894">
        <v>2</v>
      </c>
      <c r="N894">
        <v>9</v>
      </c>
      <c r="O894">
        <v>3</v>
      </c>
      <c r="P894" t="s">
        <v>25</v>
      </c>
      <c r="Q894" s="1">
        <v>2</v>
      </c>
      <c r="R894" s="2">
        <v>46174</v>
      </c>
      <c r="S894" s="2"/>
      <c r="T894" s="1" t="str">
        <f t="shared" si="39"/>
        <v>ter</v>
      </c>
      <c r="U894" s="1" t="str">
        <f t="shared" si="40"/>
        <v>mar</v>
      </c>
      <c r="V894">
        <f t="shared" si="41"/>
        <v>2017</v>
      </c>
      <c r="W894">
        <f>_xlfn.XLOOKUP(A894,Absenteismo!A:A,Absenteismo!A:A,0)</f>
        <v>0</v>
      </c>
    </row>
    <row r="895" spans="1:23" hidden="1" x14ac:dyDescent="0.3">
      <c r="A895">
        <v>2074</v>
      </c>
      <c r="B895">
        <v>46</v>
      </c>
      <c r="C895" t="s">
        <v>26</v>
      </c>
      <c r="D895" t="s">
        <v>31</v>
      </c>
      <c r="E895" t="s">
        <v>34</v>
      </c>
      <c r="F895" t="s">
        <v>21</v>
      </c>
      <c r="G895">
        <v>93</v>
      </c>
      <c r="H895">
        <v>7493</v>
      </c>
      <c r="I895" t="s">
        <v>30</v>
      </c>
      <c r="J895" s="2">
        <v>42975</v>
      </c>
      <c r="K895">
        <v>17</v>
      </c>
      <c r="L895" t="s">
        <v>20</v>
      </c>
      <c r="M895">
        <v>15</v>
      </c>
      <c r="N895">
        <v>0</v>
      </c>
      <c r="O895">
        <v>2</v>
      </c>
      <c r="P895" t="s">
        <v>25</v>
      </c>
      <c r="Q895" s="1">
        <v>3</v>
      </c>
      <c r="R895" s="2">
        <v>46174</v>
      </c>
      <c r="S895" s="2"/>
      <c r="T895" s="1" t="str">
        <f t="shared" si="39"/>
        <v>seg</v>
      </c>
      <c r="U895" s="1" t="str">
        <f t="shared" si="40"/>
        <v>ago</v>
      </c>
      <c r="V895">
        <f t="shared" si="41"/>
        <v>2017</v>
      </c>
      <c r="W895">
        <f>_xlfn.XLOOKUP(A895,Absenteismo!A:A,Absenteismo!A:A,0)</f>
        <v>2074</v>
      </c>
    </row>
    <row r="896" spans="1:23" hidden="1" x14ac:dyDescent="0.3">
      <c r="A896">
        <v>2127</v>
      </c>
      <c r="B896">
        <v>46</v>
      </c>
      <c r="C896" t="s">
        <v>15</v>
      </c>
      <c r="D896" t="s">
        <v>22</v>
      </c>
      <c r="E896" t="s">
        <v>17</v>
      </c>
      <c r="F896" t="s">
        <v>23</v>
      </c>
      <c r="G896">
        <v>63</v>
      </c>
      <c r="H896">
        <v>3918</v>
      </c>
      <c r="I896" t="s">
        <v>19</v>
      </c>
      <c r="J896" s="2">
        <v>44078</v>
      </c>
      <c r="K896">
        <v>43</v>
      </c>
      <c r="L896" t="s">
        <v>20</v>
      </c>
      <c r="M896">
        <v>35</v>
      </c>
      <c r="N896">
        <v>8</v>
      </c>
      <c r="O896">
        <v>5</v>
      </c>
      <c r="P896" t="s">
        <v>25</v>
      </c>
      <c r="Q896" s="1">
        <v>1</v>
      </c>
      <c r="R896" s="2">
        <v>46174</v>
      </c>
      <c r="S896" s="2"/>
      <c r="T896" s="1" t="str">
        <f t="shared" si="39"/>
        <v>sex</v>
      </c>
      <c r="U896" s="1" t="str">
        <f t="shared" si="40"/>
        <v>set</v>
      </c>
      <c r="V896">
        <f t="shared" si="41"/>
        <v>2020</v>
      </c>
      <c r="W896">
        <f>_xlfn.XLOOKUP(A896,Absenteismo!A:A,Absenteismo!A:A,0)</f>
        <v>2127</v>
      </c>
    </row>
    <row r="897" spans="1:23" hidden="1" x14ac:dyDescent="0.3">
      <c r="A897">
        <v>2178</v>
      </c>
      <c r="B897">
        <v>46</v>
      </c>
      <c r="C897" t="s">
        <v>26</v>
      </c>
      <c r="D897" t="s">
        <v>31</v>
      </c>
      <c r="E897" t="s">
        <v>34</v>
      </c>
      <c r="F897" t="s">
        <v>18</v>
      </c>
      <c r="G897">
        <v>113</v>
      </c>
      <c r="H897">
        <v>5902</v>
      </c>
      <c r="I897" t="s">
        <v>24</v>
      </c>
      <c r="J897" s="2">
        <v>42386</v>
      </c>
      <c r="K897">
        <v>35</v>
      </c>
      <c r="L897" t="s">
        <v>20</v>
      </c>
      <c r="M897">
        <v>30</v>
      </c>
      <c r="N897">
        <v>12</v>
      </c>
      <c r="O897">
        <v>3</v>
      </c>
      <c r="P897" t="s">
        <v>25</v>
      </c>
      <c r="Q897" s="1">
        <v>1</v>
      </c>
      <c r="R897" s="2">
        <v>46174</v>
      </c>
      <c r="S897" s="2"/>
      <c r="T897" s="1" t="str">
        <f t="shared" si="39"/>
        <v>dom</v>
      </c>
      <c r="U897" s="1" t="str">
        <f t="shared" si="40"/>
        <v>jan</v>
      </c>
      <c r="V897">
        <f t="shared" si="41"/>
        <v>2016</v>
      </c>
      <c r="W897">
        <f>_xlfn.XLOOKUP(A897,Absenteismo!A:A,Absenteismo!A:A,0)</f>
        <v>2178</v>
      </c>
    </row>
    <row r="898" spans="1:23" hidden="1" x14ac:dyDescent="0.3">
      <c r="A898">
        <v>1926</v>
      </c>
      <c r="B898">
        <v>46</v>
      </c>
      <c r="C898" t="s">
        <v>26</v>
      </c>
      <c r="D898" t="s">
        <v>27</v>
      </c>
      <c r="E898" t="s">
        <v>17</v>
      </c>
      <c r="F898" t="s">
        <v>21</v>
      </c>
      <c r="G898">
        <v>68</v>
      </c>
      <c r="H898">
        <v>2864</v>
      </c>
      <c r="I898" t="s">
        <v>28</v>
      </c>
      <c r="J898" s="2">
        <v>43688</v>
      </c>
      <c r="K898">
        <v>20</v>
      </c>
      <c r="L898" t="s">
        <v>25</v>
      </c>
      <c r="M898">
        <v>6</v>
      </c>
      <c r="N898">
        <v>2</v>
      </c>
      <c r="O898">
        <v>4</v>
      </c>
      <c r="P898" t="s">
        <v>25</v>
      </c>
      <c r="Q898" s="1">
        <v>2</v>
      </c>
      <c r="R898" s="2">
        <v>46174</v>
      </c>
      <c r="S898" s="2"/>
      <c r="T898" s="1" t="str">
        <f t="shared" ref="T898:T961" si="42">TEXT($J898,"ddd")</f>
        <v>dom</v>
      </c>
      <c r="U898" s="1" t="str">
        <f t="shared" ref="U898:U961" si="43">TEXT($J898,"mmm")</f>
        <v>ago</v>
      </c>
      <c r="V898">
        <f t="shared" ref="V898:V961" si="44">YEAR(J898)</f>
        <v>2019</v>
      </c>
      <c r="W898">
        <f>_xlfn.XLOOKUP(A898,Absenteismo!A:A,Absenteismo!A:A,0)</f>
        <v>1926</v>
      </c>
    </row>
    <row r="899" spans="1:23" x14ac:dyDescent="0.3">
      <c r="A899">
        <v>1006</v>
      </c>
      <c r="B899">
        <v>47</v>
      </c>
      <c r="C899" t="s">
        <v>26</v>
      </c>
      <c r="D899" t="s">
        <v>16</v>
      </c>
      <c r="E899" t="s">
        <v>17</v>
      </c>
      <c r="F899" t="s">
        <v>18</v>
      </c>
      <c r="G899">
        <v>27</v>
      </c>
      <c r="H899">
        <v>4987</v>
      </c>
      <c r="I899" t="s">
        <v>30</v>
      </c>
      <c r="J899" s="2">
        <v>44991</v>
      </c>
      <c r="K899">
        <v>59</v>
      </c>
      <c r="L899" t="s">
        <v>25</v>
      </c>
      <c r="M899">
        <v>34</v>
      </c>
      <c r="N899">
        <v>11</v>
      </c>
      <c r="O899">
        <v>3</v>
      </c>
      <c r="P899" t="s">
        <v>20</v>
      </c>
      <c r="Q899" s="1">
        <v>2</v>
      </c>
      <c r="R899" s="2">
        <v>46174</v>
      </c>
      <c r="S899" s="2">
        <v>45814</v>
      </c>
      <c r="T899" s="1" t="str">
        <f t="shared" si="42"/>
        <v>seg</v>
      </c>
      <c r="U899" s="1" t="str">
        <f t="shared" si="43"/>
        <v>mar</v>
      </c>
      <c r="V899">
        <f t="shared" si="44"/>
        <v>2023</v>
      </c>
      <c r="W899">
        <f>_xlfn.XLOOKUP(A899,Absenteismo!A:A,Absenteismo!A:A,0)</f>
        <v>0</v>
      </c>
    </row>
    <row r="900" spans="1:23" hidden="1" x14ac:dyDescent="0.3">
      <c r="A900">
        <v>1606</v>
      </c>
      <c r="B900">
        <v>47</v>
      </c>
      <c r="C900" t="s">
        <v>26</v>
      </c>
      <c r="D900" t="s">
        <v>16</v>
      </c>
      <c r="E900" t="s">
        <v>17</v>
      </c>
      <c r="F900" t="s">
        <v>18</v>
      </c>
      <c r="G900">
        <v>27</v>
      </c>
      <c r="H900">
        <v>4987</v>
      </c>
      <c r="I900" t="s">
        <v>30</v>
      </c>
      <c r="J900" s="2">
        <v>45095</v>
      </c>
      <c r="K900">
        <v>39</v>
      </c>
      <c r="L900" t="s">
        <v>20</v>
      </c>
      <c r="M900">
        <v>34</v>
      </c>
      <c r="N900">
        <v>11</v>
      </c>
      <c r="O900">
        <v>3</v>
      </c>
      <c r="P900" t="s">
        <v>20</v>
      </c>
      <c r="Q900" s="1">
        <v>1</v>
      </c>
      <c r="R900" s="2">
        <v>46174</v>
      </c>
      <c r="S900" s="2">
        <v>45918</v>
      </c>
      <c r="T900" s="1" t="str">
        <f t="shared" si="42"/>
        <v>dom</v>
      </c>
      <c r="U900" s="1" t="str">
        <f t="shared" si="43"/>
        <v>jun</v>
      </c>
      <c r="V900">
        <f t="shared" si="44"/>
        <v>2023</v>
      </c>
      <c r="W900">
        <f>_xlfn.XLOOKUP(A900,Absenteismo!A:A,Absenteismo!A:A,0)</f>
        <v>1606</v>
      </c>
    </row>
    <row r="901" spans="1:23" hidden="1" x14ac:dyDescent="0.3">
      <c r="A901">
        <v>1306</v>
      </c>
      <c r="B901">
        <v>47</v>
      </c>
      <c r="C901" t="s">
        <v>26</v>
      </c>
      <c r="D901" t="s">
        <v>16</v>
      </c>
      <c r="E901" t="s">
        <v>17</v>
      </c>
      <c r="F901" t="s">
        <v>18</v>
      </c>
      <c r="G901">
        <v>27</v>
      </c>
      <c r="H901">
        <v>4987</v>
      </c>
      <c r="I901" t="s">
        <v>30</v>
      </c>
      <c r="J901" s="2">
        <v>45363</v>
      </c>
      <c r="K901">
        <v>59</v>
      </c>
      <c r="L901" t="s">
        <v>25</v>
      </c>
      <c r="M901">
        <v>34</v>
      </c>
      <c r="N901">
        <v>11</v>
      </c>
      <c r="O901">
        <v>3</v>
      </c>
      <c r="P901" t="s">
        <v>20</v>
      </c>
      <c r="Q901" s="1">
        <v>3</v>
      </c>
      <c r="R901" s="2">
        <v>46174</v>
      </c>
      <c r="S901" s="2">
        <v>46185</v>
      </c>
      <c r="T901" s="1" t="str">
        <f t="shared" si="42"/>
        <v>ter</v>
      </c>
      <c r="U901" s="1" t="str">
        <f t="shared" si="43"/>
        <v>mar</v>
      </c>
      <c r="V901">
        <f t="shared" si="44"/>
        <v>2024</v>
      </c>
      <c r="W901">
        <f>_xlfn.XLOOKUP(A901,Absenteismo!A:A,Absenteismo!A:A,0)</f>
        <v>1306</v>
      </c>
    </row>
    <row r="902" spans="1:23" x14ac:dyDescent="0.3">
      <c r="A902">
        <v>1048</v>
      </c>
      <c r="B902">
        <v>47</v>
      </c>
      <c r="C902" t="s">
        <v>26</v>
      </c>
      <c r="D902" t="s">
        <v>16</v>
      </c>
      <c r="E902" t="s">
        <v>17</v>
      </c>
      <c r="F902" t="s">
        <v>18</v>
      </c>
      <c r="G902">
        <v>36</v>
      </c>
      <c r="H902">
        <v>6253</v>
      </c>
      <c r="I902" t="s">
        <v>24</v>
      </c>
      <c r="J902" s="2">
        <v>44794</v>
      </c>
      <c r="K902">
        <v>55</v>
      </c>
      <c r="L902" t="s">
        <v>20</v>
      </c>
      <c r="M902">
        <v>1</v>
      </c>
      <c r="N902">
        <v>11</v>
      </c>
      <c r="O902">
        <v>2</v>
      </c>
      <c r="P902" t="s">
        <v>25</v>
      </c>
      <c r="Q902" s="1">
        <v>3</v>
      </c>
      <c r="R902" s="2">
        <v>46174</v>
      </c>
      <c r="S902" s="2"/>
      <c r="T902" s="1" t="str">
        <f t="shared" si="42"/>
        <v>dom</v>
      </c>
      <c r="U902" s="1" t="str">
        <f t="shared" si="43"/>
        <v>ago</v>
      </c>
      <c r="V902">
        <f t="shared" si="44"/>
        <v>2022</v>
      </c>
      <c r="W902">
        <f>_xlfn.XLOOKUP(A902,Absenteismo!A:A,Absenteismo!A:A,0)</f>
        <v>0</v>
      </c>
    </row>
    <row r="903" spans="1:23" x14ac:dyDescent="0.3">
      <c r="A903">
        <v>1055</v>
      </c>
      <c r="B903">
        <v>47</v>
      </c>
      <c r="C903" t="s">
        <v>26</v>
      </c>
      <c r="D903" t="s">
        <v>16</v>
      </c>
      <c r="E903" t="s">
        <v>17</v>
      </c>
      <c r="F903" t="s">
        <v>18</v>
      </c>
      <c r="G903">
        <v>109</v>
      </c>
      <c r="H903">
        <v>5462</v>
      </c>
      <c r="I903" t="s">
        <v>19</v>
      </c>
      <c r="J903" s="2">
        <v>42444</v>
      </c>
      <c r="K903">
        <v>32</v>
      </c>
      <c r="L903" t="s">
        <v>20</v>
      </c>
      <c r="M903">
        <v>16</v>
      </c>
      <c r="N903">
        <v>5</v>
      </c>
      <c r="O903">
        <v>4</v>
      </c>
      <c r="P903" t="s">
        <v>25</v>
      </c>
      <c r="Q903" s="1">
        <v>1</v>
      </c>
      <c r="R903" s="2">
        <v>46174</v>
      </c>
      <c r="S903" s="2"/>
      <c r="T903" s="1" t="str">
        <f t="shared" si="42"/>
        <v>ter</v>
      </c>
      <c r="U903" s="1" t="str">
        <f t="shared" si="43"/>
        <v>mar</v>
      </c>
      <c r="V903">
        <f t="shared" si="44"/>
        <v>2016</v>
      </c>
      <c r="W903">
        <f>_xlfn.XLOOKUP(A903,Absenteismo!A:A,Absenteismo!A:A,0)</f>
        <v>0</v>
      </c>
    </row>
    <row r="904" spans="1:23" hidden="1" x14ac:dyDescent="0.3">
      <c r="A904">
        <v>1179</v>
      </c>
      <c r="B904">
        <v>47</v>
      </c>
      <c r="C904" t="s">
        <v>15</v>
      </c>
      <c r="D904" t="s">
        <v>29</v>
      </c>
      <c r="E904" t="s">
        <v>17</v>
      </c>
      <c r="F904" t="s">
        <v>18</v>
      </c>
      <c r="G904">
        <v>73</v>
      </c>
      <c r="H904">
        <v>3272</v>
      </c>
      <c r="I904" t="s">
        <v>28</v>
      </c>
      <c r="J904" s="2">
        <v>43735</v>
      </c>
      <c r="K904">
        <v>30</v>
      </c>
      <c r="L904" t="s">
        <v>20</v>
      </c>
      <c r="M904">
        <v>19</v>
      </c>
      <c r="N904">
        <v>11</v>
      </c>
      <c r="O904">
        <v>2</v>
      </c>
      <c r="P904" t="s">
        <v>25</v>
      </c>
      <c r="Q904" s="1">
        <v>2</v>
      </c>
      <c r="R904" s="2">
        <v>46174</v>
      </c>
      <c r="S904" s="2"/>
      <c r="T904" s="1" t="str">
        <f t="shared" si="42"/>
        <v>sex</v>
      </c>
      <c r="U904" s="1" t="str">
        <f t="shared" si="43"/>
        <v>set</v>
      </c>
      <c r="V904">
        <f t="shared" si="44"/>
        <v>2019</v>
      </c>
      <c r="W904">
        <f>_xlfn.XLOOKUP(A904,Absenteismo!A:A,Absenteismo!A:A,0)</f>
        <v>1179</v>
      </c>
    </row>
    <row r="905" spans="1:23" x14ac:dyDescent="0.3">
      <c r="A905">
        <v>1183</v>
      </c>
      <c r="B905">
        <v>47</v>
      </c>
      <c r="C905" t="s">
        <v>26</v>
      </c>
      <c r="D905" t="s">
        <v>29</v>
      </c>
      <c r="E905" t="s">
        <v>17</v>
      </c>
      <c r="F905" t="s">
        <v>23</v>
      </c>
      <c r="G905">
        <v>32</v>
      </c>
      <c r="H905">
        <v>6573</v>
      </c>
      <c r="I905" t="s">
        <v>24</v>
      </c>
      <c r="J905" s="2">
        <v>45086</v>
      </c>
      <c r="K905">
        <v>10</v>
      </c>
      <c r="L905" t="s">
        <v>20</v>
      </c>
      <c r="M905">
        <v>7</v>
      </c>
      <c r="N905">
        <v>0</v>
      </c>
      <c r="O905">
        <v>5</v>
      </c>
      <c r="P905" t="s">
        <v>25</v>
      </c>
      <c r="Q905" s="1">
        <v>1</v>
      </c>
      <c r="R905" s="2">
        <v>46174</v>
      </c>
      <c r="S905" s="2"/>
      <c r="T905" s="1" t="str">
        <f t="shared" si="42"/>
        <v>sex</v>
      </c>
      <c r="U905" s="1" t="str">
        <f t="shared" si="43"/>
        <v>jun</v>
      </c>
      <c r="V905">
        <f t="shared" si="44"/>
        <v>2023</v>
      </c>
      <c r="W905">
        <f>_xlfn.XLOOKUP(A905,Absenteismo!A:A,Absenteismo!A:A,0)</f>
        <v>0</v>
      </c>
    </row>
    <row r="906" spans="1:23" hidden="1" x14ac:dyDescent="0.3">
      <c r="A906">
        <v>1261</v>
      </c>
      <c r="B906">
        <v>47</v>
      </c>
      <c r="C906" t="s">
        <v>26</v>
      </c>
      <c r="D906" t="s">
        <v>22</v>
      </c>
      <c r="E906" t="s">
        <v>17</v>
      </c>
      <c r="F906" t="s">
        <v>23</v>
      </c>
      <c r="G906">
        <v>21</v>
      </c>
      <c r="H906">
        <v>5292</v>
      </c>
      <c r="I906" t="s">
        <v>28</v>
      </c>
      <c r="J906" s="2">
        <v>45225</v>
      </c>
      <c r="K906">
        <v>3</v>
      </c>
      <c r="L906" t="s">
        <v>20</v>
      </c>
      <c r="M906">
        <v>20</v>
      </c>
      <c r="N906">
        <v>2</v>
      </c>
      <c r="O906">
        <v>2</v>
      </c>
      <c r="P906" t="s">
        <v>25</v>
      </c>
      <c r="Q906" s="1">
        <v>3</v>
      </c>
      <c r="R906" s="2">
        <v>46174</v>
      </c>
      <c r="S906" s="2"/>
      <c r="T906" s="1" t="str">
        <f t="shared" si="42"/>
        <v>qui</v>
      </c>
      <c r="U906" s="1" t="str">
        <f t="shared" si="43"/>
        <v>out</v>
      </c>
      <c r="V906">
        <f t="shared" si="44"/>
        <v>2023</v>
      </c>
      <c r="W906">
        <f>_xlfn.XLOOKUP(A906,Absenteismo!A:A,Absenteismo!A:A,0)</f>
        <v>1261</v>
      </c>
    </row>
    <row r="907" spans="1:23" hidden="1" x14ac:dyDescent="0.3">
      <c r="A907">
        <v>1295</v>
      </c>
      <c r="B907">
        <v>47</v>
      </c>
      <c r="C907" t="s">
        <v>26</v>
      </c>
      <c r="D907" t="s">
        <v>27</v>
      </c>
      <c r="E907" t="s">
        <v>17</v>
      </c>
      <c r="F907" t="s">
        <v>23</v>
      </c>
      <c r="G907">
        <v>88</v>
      </c>
      <c r="H907">
        <v>3050</v>
      </c>
      <c r="I907" t="s">
        <v>19</v>
      </c>
      <c r="J907" s="2">
        <v>43374</v>
      </c>
      <c r="K907">
        <v>24</v>
      </c>
      <c r="L907" t="s">
        <v>20</v>
      </c>
      <c r="M907">
        <v>28</v>
      </c>
      <c r="N907">
        <v>2</v>
      </c>
      <c r="O907">
        <v>5</v>
      </c>
      <c r="P907" t="s">
        <v>25</v>
      </c>
      <c r="Q907" s="1">
        <v>2</v>
      </c>
      <c r="R907" s="2">
        <v>46174</v>
      </c>
      <c r="S907" s="2"/>
      <c r="T907" s="1" t="str">
        <f t="shared" si="42"/>
        <v>seg</v>
      </c>
      <c r="U907" s="1" t="str">
        <f t="shared" si="43"/>
        <v>out</v>
      </c>
      <c r="V907">
        <f t="shared" si="44"/>
        <v>2018</v>
      </c>
      <c r="W907">
        <f>_xlfn.XLOOKUP(A907,Absenteismo!A:A,Absenteismo!A:A,0)</f>
        <v>1295</v>
      </c>
    </row>
    <row r="908" spans="1:23" x14ac:dyDescent="0.3">
      <c r="A908">
        <v>1348</v>
      </c>
      <c r="B908">
        <v>47</v>
      </c>
      <c r="C908" t="s">
        <v>26</v>
      </c>
      <c r="D908" t="s">
        <v>16</v>
      </c>
      <c r="E908" t="s">
        <v>17</v>
      </c>
      <c r="F908" t="s">
        <v>18</v>
      </c>
      <c r="G908">
        <v>36</v>
      </c>
      <c r="H908">
        <v>6253</v>
      </c>
      <c r="I908" t="s">
        <v>24</v>
      </c>
      <c r="J908" s="2">
        <v>44824</v>
      </c>
      <c r="K908">
        <v>54</v>
      </c>
      <c r="L908" t="s">
        <v>20</v>
      </c>
      <c r="M908">
        <v>1</v>
      </c>
      <c r="N908">
        <v>11</v>
      </c>
      <c r="O908">
        <v>2</v>
      </c>
      <c r="P908" t="s">
        <v>25</v>
      </c>
      <c r="Q908" s="1">
        <v>3</v>
      </c>
      <c r="R908" s="2">
        <v>46174</v>
      </c>
      <c r="S908" s="2"/>
      <c r="T908" s="1" t="str">
        <f t="shared" si="42"/>
        <v>ter</v>
      </c>
      <c r="U908" s="1" t="str">
        <f t="shared" si="43"/>
        <v>set</v>
      </c>
      <c r="V908">
        <f t="shared" si="44"/>
        <v>2022</v>
      </c>
      <c r="W908">
        <f>_xlfn.XLOOKUP(A908,Absenteismo!A:A,Absenteismo!A:A,0)</f>
        <v>0</v>
      </c>
    </row>
    <row r="909" spans="1:23" hidden="1" x14ac:dyDescent="0.3">
      <c r="A909">
        <v>1355</v>
      </c>
      <c r="B909">
        <v>47</v>
      </c>
      <c r="C909" t="s">
        <v>26</v>
      </c>
      <c r="D909" t="s">
        <v>16</v>
      </c>
      <c r="E909" t="s">
        <v>17</v>
      </c>
      <c r="F909" t="s">
        <v>18</v>
      </c>
      <c r="G909">
        <v>109</v>
      </c>
      <c r="H909">
        <v>5462</v>
      </c>
      <c r="I909" t="s">
        <v>19</v>
      </c>
      <c r="J909" s="2">
        <v>42634</v>
      </c>
      <c r="K909">
        <v>32</v>
      </c>
      <c r="L909" t="s">
        <v>20</v>
      </c>
      <c r="M909">
        <v>16</v>
      </c>
      <c r="N909">
        <v>5</v>
      </c>
      <c r="O909">
        <v>4</v>
      </c>
      <c r="P909" t="s">
        <v>25</v>
      </c>
      <c r="Q909" s="1">
        <v>2</v>
      </c>
      <c r="R909" s="2">
        <v>46174</v>
      </c>
      <c r="S909" s="2"/>
      <c r="T909" s="1" t="str">
        <f t="shared" si="42"/>
        <v>qua</v>
      </c>
      <c r="U909" s="1" t="str">
        <f t="shared" si="43"/>
        <v>set</v>
      </c>
      <c r="V909">
        <f t="shared" si="44"/>
        <v>2016</v>
      </c>
      <c r="W909">
        <f>_xlfn.XLOOKUP(A909,Absenteismo!A:A,Absenteismo!A:A,0)</f>
        <v>1355</v>
      </c>
    </row>
    <row r="910" spans="1:23" hidden="1" x14ac:dyDescent="0.3">
      <c r="A910">
        <v>1479</v>
      </c>
      <c r="B910">
        <v>47</v>
      </c>
      <c r="C910" t="s">
        <v>15</v>
      </c>
      <c r="D910" t="s">
        <v>29</v>
      </c>
      <c r="E910" t="s">
        <v>17</v>
      </c>
      <c r="F910" t="s">
        <v>18</v>
      </c>
      <c r="G910">
        <v>73</v>
      </c>
      <c r="H910">
        <v>3272</v>
      </c>
      <c r="I910" t="s">
        <v>28</v>
      </c>
      <c r="J910" s="2">
        <v>43662</v>
      </c>
      <c r="K910">
        <v>30</v>
      </c>
      <c r="L910" t="s">
        <v>20</v>
      </c>
      <c r="M910">
        <v>19</v>
      </c>
      <c r="N910">
        <v>11</v>
      </c>
      <c r="O910">
        <v>2</v>
      </c>
      <c r="P910" t="s">
        <v>25</v>
      </c>
      <c r="Q910" s="1">
        <v>1</v>
      </c>
      <c r="R910" s="2">
        <v>46174</v>
      </c>
      <c r="S910" s="2"/>
      <c r="T910" s="1" t="str">
        <f t="shared" si="42"/>
        <v>ter</v>
      </c>
      <c r="U910" s="1" t="str">
        <f t="shared" si="43"/>
        <v>jul</v>
      </c>
      <c r="V910">
        <f t="shared" si="44"/>
        <v>2019</v>
      </c>
      <c r="W910">
        <f>_xlfn.XLOOKUP(A910,Absenteismo!A:A,Absenteismo!A:A,0)</f>
        <v>1479</v>
      </c>
    </row>
    <row r="911" spans="1:23" x14ac:dyDescent="0.3">
      <c r="A911">
        <v>1483</v>
      </c>
      <c r="B911">
        <v>47</v>
      </c>
      <c r="C911" t="s">
        <v>26</v>
      </c>
      <c r="D911" t="s">
        <v>29</v>
      </c>
      <c r="E911" t="s">
        <v>17</v>
      </c>
      <c r="F911" t="s">
        <v>23</v>
      </c>
      <c r="G911">
        <v>32</v>
      </c>
      <c r="H911">
        <v>6573</v>
      </c>
      <c r="I911" t="s">
        <v>24</v>
      </c>
      <c r="J911" s="2">
        <v>45125</v>
      </c>
      <c r="K911">
        <v>10</v>
      </c>
      <c r="L911" t="s">
        <v>20</v>
      </c>
      <c r="M911">
        <v>7</v>
      </c>
      <c r="N911">
        <v>0</v>
      </c>
      <c r="O911">
        <v>5</v>
      </c>
      <c r="P911" t="s">
        <v>25</v>
      </c>
      <c r="Q911" s="1">
        <v>2</v>
      </c>
      <c r="R911" s="2">
        <v>46174</v>
      </c>
      <c r="S911" s="2"/>
      <c r="T911" s="1" t="str">
        <f t="shared" si="42"/>
        <v>ter</v>
      </c>
      <c r="U911" s="1" t="str">
        <f t="shared" si="43"/>
        <v>jul</v>
      </c>
      <c r="V911">
        <f t="shared" si="44"/>
        <v>2023</v>
      </c>
      <c r="W911">
        <f>_xlfn.XLOOKUP(A911,Absenteismo!A:A,Absenteismo!A:A,0)</f>
        <v>0</v>
      </c>
    </row>
    <row r="912" spans="1:23" hidden="1" x14ac:dyDescent="0.3">
      <c r="A912">
        <v>1561</v>
      </c>
      <c r="B912">
        <v>47</v>
      </c>
      <c r="C912" t="s">
        <v>26</v>
      </c>
      <c r="D912" t="s">
        <v>22</v>
      </c>
      <c r="E912" t="s">
        <v>17</v>
      </c>
      <c r="F912" t="s">
        <v>23</v>
      </c>
      <c r="G912">
        <v>21</v>
      </c>
      <c r="H912">
        <v>5292</v>
      </c>
      <c r="I912" t="s">
        <v>28</v>
      </c>
      <c r="J912" s="2">
        <v>45190</v>
      </c>
      <c r="K912">
        <v>3</v>
      </c>
      <c r="L912" t="s">
        <v>20</v>
      </c>
      <c r="M912">
        <v>20</v>
      </c>
      <c r="N912">
        <v>2</v>
      </c>
      <c r="O912">
        <v>2</v>
      </c>
      <c r="P912" t="s">
        <v>25</v>
      </c>
      <c r="Q912" s="1">
        <v>2</v>
      </c>
      <c r="R912" s="2">
        <v>46174</v>
      </c>
      <c r="S912" s="2"/>
      <c r="T912" s="1" t="str">
        <f t="shared" si="42"/>
        <v>qui</v>
      </c>
      <c r="U912" s="1" t="str">
        <f t="shared" si="43"/>
        <v>set</v>
      </c>
      <c r="V912">
        <f t="shared" si="44"/>
        <v>2023</v>
      </c>
      <c r="W912">
        <f>_xlfn.XLOOKUP(A912,Absenteismo!A:A,Absenteismo!A:A,0)</f>
        <v>1561</v>
      </c>
    </row>
    <row r="913" spans="1:23" hidden="1" x14ac:dyDescent="0.3">
      <c r="A913">
        <v>1595</v>
      </c>
      <c r="B913">
        <v>47</v>
      </c>
      <c r="C913" t="s">
        <v>26</v>
      </c>
      <c r="D913" t="s">
        <v>27</v>
      </c>
      <c r="E913" t="s">
        <v>17</v>
      </c>
      <c r="F913" t="s">
        <v>23</v>
      </c>
      <c r="G913">
        <v>88</v>
      </c>
      <c r="H913">
        <v>3050</v>
      </c>
      <c r="I913" t="s">
        <v>19</v>
      </c>
      <c r="J913" s="2">
        <v>43183</v>
      </c>
      <c r="K913">
        <v>24</v>
      </c>
      <c r="L913" t="s">
        <v>20</v>
      </c>
      <c r="M913">
        <v>28</v>
      </c>
      <c r="N913">
        <v>2</v>
      </c>
      <c r="O913">
        <v>5</v>
      </c>
      <c r="P913" t="s">
        <v>25</v>
      </c>
      <c r="Q913" s="1">
        <v>1</v>
      </c>
      <c r="R913" s="2">
        <v>46174</v>
      </c>
      <c r="S913" s="2"/>
      <c r="T913" s="1" t="str">
        <f t="shared" si="42"/>
        <v>sáb</v>
      </c>
      <c r="U913" s="1" t="str">
        <f t="shared" si="43"/>
        <v>mar</v>
      </c>
      <c r="V913">
        <f t="shared" si="44"/>
        <v>2018</v>
      </c>
      <c r="W913">
        <f>_xlfn.XLOOKUP(A913,Absenteismo!A:A,Absenteismo!A:A,0)</f>
        <v>1595</v>
      </c>
    </row>
    <row r="914" spans="1:23" x14ac:dyDescent="0.3">
      <c r="A914">
        <v>1648</v>
      </c>
      <c r="B914">
        <v>47</v>
      </c>
      <c r="C914" t="s">
        <v>26</v>
      </c>
      <c r="D914" t="s">
        <v>16</v>
      </c>
      <c r="E914" t="s">
        <v>17</v>
      </c>
      <c r="F914" t="s">
        <v>18</v>
      </c>
      <c r="G914">
        <v>36</v>
      </c>
      <c r="H914">
        <v>6253</v>
      </c>
      <c r="I914" t="s">
        <v>24</v>
      </c>
      <c r="J914" s="2">
        <v>44717</v>
      </c>
      <c r="K914">
        <v>54</v>
      </c>
      <c r="L914" t="s">
        <v>20</v>
      </c>
      <c r="M914">
        <v>1</v>
      </c>
      <c r="N914">
        <v>11</v>
      </c>
      <c r="O914">
        <v>2</v>
      </c>
      <c r="P914" t="s">
        <v>25</v>
      </c>
      <c r="Q914" s="1">
        <v>1</v>
      </c>
      <c r="R914" s="2">
        <v>46174</v>
      </c>
      <c r="S914" s="2"/>
      <c r="T914" s="1" t="str">
        <f t="shared" si="42"/>
        <v>dom</v>
      </c>
      <c r="U914" s="1" t="str">
        <f t="shared" si="43"/>
        <v>jun</v>
      </c>
      <c r="V914">
        <f t="shared" si="44"/>
        <v>2022</v>
      </c>
      <c r="W914">
        <f>_xlfn.XLOOKUP(A914,Absenteismo!A:A,Absenteismo!A:A,0)</f>
        <v>0</v>
      </c>
    </row>
    <row r="915" spans="1:23" hidden="1" x14ac:dyDescent="0.3">
      <c r="A915">
        <v>1655</v>
      </c>
      <c r="B915">
        <v>47</v>
      </c>
      <c r="C915" t="s">
        <v>26</v>
      </c>
      <c r="D915" t="s">
        <v>16</v>
      </c>
      <c r="E915" t="s">
        <v>17</v>
      </c>
      <c r="F915" t="s">
        <v>18</v>
      </c>
      <c r="G915">
        <v>109</v>
      </c>
      <c r="H915">
        <v>5462</v>
      </c>
      <c r="I915" t="s">
        <v>19</v>
      </c>
      <c r="J915" s="2">
        <v>42616</v>
      </c>
      <c r="K915">
        <v>32</v>
      </c>
      <c r="L915" t="s">
        <v>20</v>
      </c>
      <c r="M915">
        <v>16</v>
      </c>
      <c r="N915">
        <v>5</v>
      </c>
      <c r="O915">
        <v>4</v>
      </c>
      <c r="P915" t="s">
        <v>25</v>
      </c>
      <c r="Q915" s="1">
        <v>2</v>
      </c>
      <c r="R915" s="2">
        <v>46174</v>
      </c>
      <c r="S915" s="2"/>
      <c r="T915" s="1" t="str">
        <f t="shared" si="42"/>
        <v>sáb</v>
      </c>
      <c r="U915" s="1" t="str">
        <f t="shared" si="43"/>
        <v>set</v>
      </c>
      <c r="V915">
        <f t="shared" si="44"/>
        <v>2016</v>
      </c>
      <c r="W915">
        <f>_xlfn.XLOOKUP(A915,Absenteismo!A:A,Absenteismo!A:A,0)</f>
        <v>1655</v>
      </c>
    </row>
    <row r="916" spans="1:23" hidden="1" x14ac:dyDescent="0.3">
      <c r="A916">
        <v>1779</v>
      </c>
      <c r="B916">
        <v>47</v>
      </c>
      <c r="C916" t="s">
        <v>15</v>
      </c>
      <c r="D916" t="s">
        <v>29</v>
      </c>
      <c r="E916" t="s">
        <v>17</v>
      </c>
      <c r="F916" t="s">
        <v>18</v>
      </c>
      <c r="G916">
        <v>73</v>
      </c>
      <c r="H916">
        <v>3272</v>
      </c>
      <c r="I916" t="s">
        <v>28</v>
      </c>
      <c r="J916" s="2">
        <v>43525</v>
      </c>
      <c r="K916">
        <v>30</v>
      </c>
      <c r="L916" t="s">
        <v>20</v>
      </c>
      <c r="M916">
        <v>19</v>
      </c>
      <c r="N916">
        <v>11</v>
      </c>
      <c r="O916">
        <v>2</v>
      </c>
      <c r="P916" t="s">
        <v>25</v>
      </c>
      <c r="Q916" s="1">
        <v>2</v>
      </c>
      <c r="R916" s="2">
        <v>46174</v>
      </c>
      <c r="S916" s="2"/>
      <c r="T916" s="1" t="str">
        <f t="shared" si="42"/>
        <v>sex</v>
      </c>
      <c r="U916" s="1" t="str">
        <f t="shared" si="43"/>
        <v>mar</v>
      </c>
      <c r="V916">
        <f t="shared" si="44"/>
        <v>2019</v>
      </c>
      <c r="W916">
        <f>_xlfn.XLOOKUP(A916,Absenteismo!A:A,Absenteismo!A:A,0)</f>
        <v>1779</v>
      </c>
    </row>
    <row r="917" spans="1:23" x14ac:dyDescent="0.3">
      <c r="A917">
        <v>1783</v>
      </c>
      <c r="B917">
        <v>47</v>
      </c>
      <c r="C917" t="s">
        <v>26</v>
      </c>
      <c r="D917" t="s">
        <v>29</v>
      </c>
      <c r="E917" t="s">
        <v>17</v>
      </c>
      <c r="F917" t="s">
        <v>23</v>
      </c>
      <c r="G917">
        <v>32</v>
      </c>
      <c r="H917">
        <v>6573</v>
      </c>
      <c r="I917" t="s">
        <v>24</v>
      </c>
      <c r="J917" s="2">
        <v>45072</v>
      </c>
      <c r="K917">
        <v>10</v>
      </c>
      <c r="L917" t="s">
        <v>20</v>
      </c>
      <c r="M917">
        <v>7</v>
      </c>
      <c r="N917">
        <v>0</v>
      </c>
      <c r="O917">
        <v>5</v>
      </c>
      <c r="P917" t="s">
        <v>25</v>
      </c>
      <c r="Q917" s="1">
        <v>1</v>
      </c>
      <c r="R917" s="2">
        <v>46174</v>
      </c>
      <c r="S917" s="2"/>
      <c r="T917" s="1" t="str">
        <f t="shared" si="42"/>
        <v>sex</v>
      </c>
      <c r="U917" s="1" t="str">
        <f t="shared" si="43"/>
        <v>mai</v>
      </c>
      <c r="V917">
        <f t="shared" si="44"/>
        <v>2023</v>
      </c>
      <c r="W917">
        <f>_xlfn.XLOOKUP(A917,Absenteismo!A:A,Absenteismo!A:A,0)</f>
        <v>0</v>
      </c>
    </row>
    <row r="918" spans="1:23" hidden="1" x14ac:dyDescent="0.3">
      <c r="A918">
        <v>1861</v>
      </c>
      <c r="B918">
        <v>47</v>
      </c>
      <c r="C918" t="s">
        <v>26</v>
      </c>
      <c r="D918" t="s">
        <v>22</v>
      </c>
      <c r="E918" t="s">
        <v>17</v>
      </c>
      <c r="F918" t="s">
        <v>23</v>
      </c>
      <c r="G918">
        <v>21</v>
      </c>
      <c r="H918">
        <v>5292</v>
      </c>
      <c r="I918" t="s">
        <v>28</v>
      </c>
      <c r="J918" s="2">
        <v>45434</v>
      </c>
      <c r="K918">
        <v>3</v>
      </c>
      <c r="L918" t="s">
        <v>20</v>
      </c>
      <c r="M918">
        <v>20</v>
      </c>
      <c r="N918">
        <v>2</v>
      </c>
      <c r="O918">
        <v>2</v>
      </c>
      <c r="P918" t="s">
        <v>25</v>
      </c>
      <c r="Q918" s="1">
        <v>1</v>
      </c>
      <c r="R918" s="2">
        <v>46174</v>
      </c>
      <c r="S918" s="2"/>
      <c r="T918" s="1" t="str">
        <f t="shared" si="42"/>
        <v>qua</v>
      </c>
      <c r="U918" s="1" t="str">
        <f t="shared" si="43"/>
        <v>mai</v>
      </c>
      <c r="V918">
        <f t="shared" si="44"/>
        <v>2024</v>
      </c>
      <c r="W918">
        <f>_xlfn.XLOOKUP(A918,Absenteismo!A:A,Absenteismo!A:A,0)</f>
        <v>1861</v>
      </c>
    </row>
    <row r="919" spans="1:23" hidden="1" x14ac:dyDescent="0.3">
      <c r="A919">
        <v>1895</v>
      </c>
      <c r="B919">
        <v>47</v>
      </c>
      <c r="C919" t="s">
        <v>26</v>
      </c>
      <c r="D919" t="s">
        <v>27</v>
      </c>
      <c r="E919" t="s">
        <v>17</v>
      </c>
      <c r="F919" t="s">
        <v>23</v>
      </c>
      <c r="G919">
        <v>88</v>
      </c>
      <c r="H919">
        <v>3050</v>
      </c>
      <c r="I919" t="s">
        <v>19</v>
      </c>
      <c r="J919" s="2">
        <v>43310</v>
      </c>
      <c r="K919">
        <v>24</v>
      </c>
      <c r="L919" t="s">
        <v>20</v>
      </c>
      <c r="M919">
        <v>28</v>
      </c>
      <c r="N919">
        <v>2</v>
      </c>
      <c r="O919">
        <v>5</v>
      </c>
      <c r="P919" t="s">
        <v>25</v>
      </c>
      <c r="Q919" s="1">
        <v>2</v>
      </c>
      <c r="R919" s="2">
        <v>46174</v>
      </c>
      <c r="S919" s="2"/>
      <c r="T919" s="1" t="str">
        <f t="shared" si="42"/>
        <v>dom</v>
      </c>
      <c r="U919" s="1" t="str">
        <f t="shared" si="43"/>
        <v>jul</v>
      </c>
      <c r="V919">
        <f t="shared" si="44"/>
        <v>2018</v>
      </c>
      <c r="W919">
        <f>_xlfn.XLOOKUP(A919,Absenteismo!A:A,Absenteismo!A:A,0)</f>
        <v>1895</v>
      </c>
    </row>
    <row r="920" spans="1:23" x14ac:dyDescent="0.3">
      <c r="A920">
        <v>1948</v>
      </c>
      <c r="B920">
        <v>47</v>
      </c>
      <c r="C920" t="s">
        <v>26</v>
      </c>
      <c r="D920" t="s">
        <v>16</v>
      </c>
      <c r="E920" t="s">
        <v>17</v>
      </c>
      <c r="F920" t="s">
        <v>18</v>
      </c>
      <c r="G920">
        <v>36</v>
      </c>
      <c r="H920">
        <v>6253</v>
      </c>
      <c r="I920" t="s">
        <v>24</v>
      </c>
      <c r="J920" s="2">
        <v>45075</v>
      </c>
      <c r="K920">
        <v>54</v>
      </c>
      <c r="L920" t="s">
        <v>20</v>
      </c>
      <c r="M920">
        <v>1</v>
      </c>
      <c r="N920">
        <v>11</v>
      </c>
      <c r="O920">
        <v>2</v>
      </c>
      <c r="P920" t="s">
        <v>25</v>
      </c>
      <c r="Q920" s="1">
        <v>3</v>
      </c>
      <c r="R920" s="2">
        <v>46174</v>
      </c>
      <c r="S920" s="2"/>
      <c r="T920" s="1" t="str">
        <f t="shared" si="42"/>
        <v>seg</v>
      </c>
      <c r="U920" s="1" t="str">
        <f t="shared" si="43"/>
        <v>mai</v>
      </c>
      <c r="V920">
        <f t="shared" si="44"/>
        <v>2023</v>
      </c>
      <c r="W920">
        <f>_xlfn.XLOOKUP(A920,Absenteismo!A:A,Absenteismo!A:A,0)</f>
        <v>0</v>
      </c>
    </row>
    <row r="921" spans="1:23" hidden="1" x14ac:dyDescent="0.3">
      <c r="A921">
        <v>1955</v>
      </c>
      <c r="B921">
        <v>47</v>
      </c>
      <c r="C921" t="s">
        <v>26</v>
      </c>
      <c r="D921" t="s">
        <v>16</v>
      </c>
      <c r="E921" t="s">
        <v>17</v>
      </c>
      <c r="F921" t="s">
        <v>18</v>
      </c>
      <c r="G921">
        <v>109</v>
      </c>
      <c r="H921">
        <v>5462</v>
      </c>
      <c r="I921" t="s">
        <v>19</v>
      </c>
      <c r="J921" s="2">
        <v>42852</v>
      </c>
      <c r="K921">
        <v>32</v>
      </c>
      <c r="L921" t="s">
        <v>20</v>
      </c>
      <c r="M921">
        <v>16</v>
      </c>
      <c r="N921">
        <v>5</v>
      </c>
      <c r="O921">
        <v>4</v>
      </c>
      <c r="P921" t="s">
        <v>25</v>
      </c>
      <c r="Q921" s="1">
        <v>2</v>
      </c>
      <c r="R921" s="2">
        <v>46174</v>
      </c>
      <c r="S921" s="2"/>
      <c r="T921" s="1" t="str">
        <f t="shared" si="42"/>
        <v>qui</v>
      </c>
      <c r="U921" s="1" t="str">
        <f t="shared" si="43"/>
        <v>abr</v>
      </c>
      <c r="V921">
        <f t="shared" si="44"/>
        <v>2017</v>
      </c>
      <c r="W921">
        <f>_xlfn.XLOOKUP(A921,Absenteismo!A:A,Absenteismo!A:A,0)</f>
        <v>1955</v>
      </c>
    </row>
    <row r="922" spans="1:23" hidden="1" x14ac:dyDescent="0.3">
      <c r="A922">
        <v>2079</v>
      </c>
      <c r="B922">
        <v>47</v>
      </c>
      <c r="C922" t="s">
        <v>15</v>
      </c>
      <c r="D922" t="s">
        <v>29</v>
      </c>
      <c r="E922" t="s">
        <v>17</v>
      </c>
      <c r="F922" t="s">
        <v>18</v>
      </c>
      <c r="G922">
        <v>73</v>
      </c>
      <c r="H922">
        <v>3272</v>
      </c>
      <c r="I922" t="s">
        <v>28</v>
      </c>
      <c r="J922" s="2">
        <v>43795</v>
      </c>
      <c r="K922">
        <v>30</v>
      </c>
      <c r="L922" t="s">
        <v>20</v>
      </c>
      <c r="M922">
        <v>19</v>
      </c>
      <c r="N922">
        <v>11</v>
      </c>
      <c r="O922">
        <v>2</v>
      </c>
      <c r="P922" t="s">
        <v>25</v>
      </c>
      <c r="Q922" s="1">
        <v>1</v>
      </c>
      <c r="R922" s="2">
        <v>46174</v>
      </c>
      <c r="S922" s="2"/>
      <c r="T922" s="1" t="str">
        <f t="shared" si="42"/>
        <v>ter</v>
      </c>
      <c r="U922" s="1" t="str">
        <f t="shared" si="43"/>
        <v>nov</v>
      </c>
      <c r="V922">
        <f t="shared" si="44"/>
        <v>2019</v>
      </c>
      <c r="W922">
        <f>_xlfn.XLOOKUP(A922,Absenteismo!A:A,Absenteismo!A:A,0)</f>
        <v>2079</v>
      </c>
    </row>
    <row r="923" spans="1:23" x14ac:dyDescent="0.3">
      <c r="A923">
        <v>2083</v>
      </c>
      <c r="B923">
        <v>47</v>
      </c>
      <c r="C923" t="s">
        <v>26</v>
      </c>
      <c r="D923" t="s">
        <v>29</v>
      </c>
      <c r="E923" t="s">
        <v>17</v>
      </c>
      <c r="F923" t="s">
        <v>23</v>
      </c>
      <c r="G923">
        <v>32</v>
      </c>
      <c r="H923">
        <v>6573</v>
      </c>
      <c r="I923" t="s">
        <v>24</v>
      </c>
      <c r="J923" s="2">
        <v>44999</v>
      </c>
      <c r="K923">
        <v>10</v>
      </c>
      <c r="L923" t="s">
        <v>20</v>
      </c>
      <c r="M923">
        <v>7</v>
      </c>
      <c r="N923">
        <v>0</v>
      </c>
      <c r="O923">
        <v>5</v>
      </c>
      <c r="P923" t="s">
        <v>25</v>
      </c>
      <c r="Q923" s="1">
        <v>2</v>
      </c>
      <c r="R923" s="2">
        <v>46174</v>
      </c>
      <c r="S923" s="2"/>
      <c r="T923" s="1" t="str">
        <f t="shared" si="42"/>
        <v>ter</v>
      </c>
      <c r="U923" s="1" t="str">
        <f t="shared" si="43"/>
        <v>mar</v>
      </c>
      <c r="V923">
        <f t="shared" si="44"/>
        <v>2023</v>
      </c>
      <c r="W923">
        <f>_xlfn.XLOOKUP(A923,Absenteismo!A:A,Absenteismo!A:A,0)</f>
        <v>0</v>
      </c>
    </row>
    <row r="924" spans="1:23" hidden="1" x14ac:dyDescent="0.3">
      <c r="A924">
        <v>2161</v>
      </c>
      <c r="B924">
        <v>47</v>
      </c>
      <c r="C924" t="s">
        <v>26</v>
      </c>
      <c r="D924" t="s">
        <v>22</v>
      </c>
      <c r="E924" t="s">
        <v>17</v>
      </c>
      <c r="F924" t="s">
        <v>23</v>
      </c>
      <c r="G924">
        <v>21</v>
      </c>
      <c r="H924">
        <v>5292</v>
      </c>
      <c r="I924" t="s">
        <v>28</v>
      </c>
      <c r="J924" s="2">
        <v>45386</v>
      </c>
      <c r="K924">
        <v>3</v>
      </c>
      <c r="L924" t="s">
        <v>20</v>
      </c>
      <c r="M924">
        <v>20</v>
      </c>
      <c r="N924">
        <v>2</v>
      </c>
      <c r="O924">
        <v>2</v>
      </c>
      <c r="P924" t="s">
        <v>25</v>
      </c>
      <c r="Q924" s="1">
        <v>1</v>
      </c>
      <c r="R924" s="2">
        <v>46174</v>
      </c>
      <c r="S924" s="2"/>
      <c r="T924" s="1" t="str">
        <f t="shared" si="42"/>
        <v>qui</v>
      </c>
      <c r="U924" s="1" t="str">
        <f t="shared" si="43"/>
        <v>abr</v>
      </c>
      <c r="V924">
        <f t="shared" si="44"/>
        <v>2024</v>
      </c>
      <c r="W924">
        <f>_xlfn.XLOOKUP(A924,Absenteismo!A:A,Absenteismo!A:A,0)</f>
        <v>2161</v>
      </c>
    </row>
    <row r="925" spans="1:23" x14ac:dyDescent="0.3">
      <c r="A925">
        <v>2195</v>
      </c>
      <c r="B925">
        <v>47</v>
      </c>
      <c r="C925" t="s">
        <v>26</v>
      </c>
      <c r="D925" t="s">
        <v>27</v>
      </c>
      <c r="E925" t="s">
        <v>17</v>
      </c>
      <c r="F925" t="s">
        <v>23</v>
      </c>
      <c r="G925">
        <v>88</v>
      </c>
      <c r="H925">
        <v>3050</v>
      </c>
      <c r="I925" t="s">
        <v>19</v>
      </c>
      <c r="J925" s="2">
        <v>43252</v>
      </c>
      <c r="K925">
        <v>24</v>
      </c>
      <c r="L925" t="s">
        <v>20</v>
      </c>
      <c r="M925">
        <v>28</v>
      </c>
      <c r="N925">
        <v>2</v>
      </c>
      <c r="O925">
        <v>5</v>
      </c>
      <c r="P925" t="s">
        <v>25</v>
      </c>
      <c r="Q925" s="1">
        <v>2</v>
      </c>
      <c r="R925" s="2">
        <v>46174</v>
      </c>
      <c r="S925" s="2"/>
      <c r="T925" s="1" t="str">
        <f t="shared" si="42"/>
        <v>sex</v>
      </c>
      <c r="U925" s="1" t="str">
        <f t="shared" si="43"/>
        <v>jun</v>
      </c>
      <c r="V925">
        <f t="shared" si="44"/>
        <v>2018</v>
      </c>
      <c r="W925">
        <f>_xlfn.XLOOKUP(A925,Absenteismo!A:A,Absenteismo!A:A,0)</f>
        <v>0</v>
      </c>
    </row>
    <row r="926" spans="1:23" hidden="1" x14ac:dyDescent="0.3">
      <c r="A926">
        <v>1906</v>
      </c>
      <c r="B926">
        <v>47</v>
      </c>
      <c r="C926" t="s">
        <v>26</v>
      </c>
      <c r="D926" t="s">
        <v>16</v>
      </c>
      <c r="E926" t="s">
        <v>17</v>
      </c>
      <c r="F926" t="s">
        <v>18</v>
      </c>
      <c r="G926">
        <v>27</v>
      </c>
      <c r="H926">
        <v>4987</v>
      </c>
      <c r="I926" t="s">
        <v>30</v>
      </c>
      <c r="J926" s="2">
        <v>44981</v>
      </c>
      <c r="K926">
        <v>39</v>
      </c>
      <c r="L926" t="s">
        <v>20</v>
      </c>
      <c r="M926">
        <v>34</v>
      </c>
      <c r="N926">
        <v>11</v>
      </c>
      <c r="O926">
        <v>3</v>
      </c>
      <c r="P926" t="s">
        <v>25</v>
      </c>
      <c r="Q926" s="1">
        <v>2</v>
      </c>
      <c r="R926" s="2">
        <v>46174</v>
      </c>
      <c r="S926" s="2"/>
      <c r="T926" s="1" t="str">
        <f t="shared" si="42"/>
        <v>sex</v>
      </c>
      <c r="U926" s="1" t="str">
        <f t="shared" si="43"/>
        <v>fev</v>
      </c>
      <c r="V926">
        <f t="shared" si="44"/>
        <v>2023</v>
      </c>
      <c r="W926">
        <f>_xlfn.XLOOKUP(A926,Absenteismo!A:A,Absenteismo!A:A,0)</f>
        <v>1906</v>
      </c>
    </row>
    <row r="927" spans="1:23" hidden="1" x14ac:dyDescent="0.3">
      <c r="A927">
        <v>1101</v>
      </c>
      <c r="B927">
        <v>48</v>
      </c>
      <c r="C927" t="s">
        <v>15</v>
      </c>
      <c r="D927" t="s">
        <v>16</v>
      </c>
      <c r="E927" t="s">
        <v>17</v>
      </c>
      <c r="F927" t="s">
        <v>23</v>
      </c>
      <c r="G927">
        <v>12</v>
      </c>
      <c r="H927">
        <v>6337</v>
      </c>
      <c r="I927" t="s">
        <v>30</v>
      </c>
      <c r="J927" s="2">
        <v>45544</v>
      </c>
      <c r="K927">
        <v>48</v>
      </c>
      <c r="L927" t="s">
        <v>20</v>
      </c>
      <c r="M927">
        <v>8</v>
      </c>
      <c r="N927">
        <v>8</v>
      </c>
      <c r="O927">
        <v>2</v>
      </c>
      <c r="P927" t="s">
        <v>25</v>
      </c>
      <c r="Q927" s="1">
        <v>3</v>
      </c>
      <c r="R927" s="2">
        <v>46174</v>
      </c>
      <c r="S927" s="2"/>
      <c r="T927" s="1" t="str">
        <f t="shared" si="42"/>
        <v>seg</v>
      </c>
      <c r="U927" s="1" t="str">
        <f t="shared" si="43"/>
        <v>set</v>
      </c>
      <c r="V927">
        <f t="shared" si="44"/>
        <v>2024</v>
      </c>
      <c r="W927">
        <f>_xlfn.XLOOKUP(A927,Absenteismo!A:A,Absenteismo!A:A,0)</f>
        <v>1101</v>
      </c>
    </row>
    <row r="928" spans="1:23" x14ac:dyDescent="0.3">
      <c r="A928">
        <v>1103</v>
      </c>
      <c r="B928">
        <v>48</v>
      </c>
      <c r="C928" t="s">
        <v>15</v>
      </c>
      <c r="D928" t="s">
        <v>22</v>
      </c>
      <c r="E928" t="s">
        <v>17</v>
      </c>
      <c r="F928" t="s">
        <v>18</v>
      </c>
      <c r="G928">
        <v>109</v>
      </c>
      <c r="H928">
        <v>7356</v>
      </c>
      <c r="I928" t="s">
        <v>24</v>
      </c>
      <c r="J928" s="2">
        <v>42848</v>
      </c>
      <c r="K928">
        <v>8</v>
      </c>
      <c r="L928" t="s">
        <v>20</v>
      </c>
      <c r="M928">
        <v>14</v>
      </c>
      <c r="N928">
        <v>12</v>
      </c>
      <c r="O928">
        <v>5</v>
      </c>
      <c r="P928" t="s">
        <v>25</v>
      </c>
      <c r="Q928" s="1">
        <v>2</v>
      </c>
      <c r="R928" s="2">
        <v>46174</v>
      </c>
      <c r="S928" s="2"/>
      <c r="T928" s="1" t="str">
        <f t="shared" si="42"/>
        <v>dom</v>
      </c>
      <c r="U928" s="1" t="str">
        <f t="shared" si="43"/>
        <v>abr</v>
      </c>
      <c r="V928">
        <f t="shared" si="44"/>
        <v>2017</v>
      </c>
      <c r="W928">
        <f>_xlfn.XLOOKUP(A928,Absenteismo!A:A,Absenteismo!A:A,0)</f>
        <v>0</v>
      </c>
    </row>
    <row r="929" spans="1:23" hidden="1" x14ac:dyDescent="0.3">
      <c r="A929">
        <v>1401</v>
      </c>
      <c r="B929">
        <v>48</v>
      </c>
      <c r="C929" t="s">
        <v>15</v>
      </c>
      <c r="D929" t="s">
        <v>16</v>
      </c>
      <c r="E929" t="s">
        <v>17</v>
      </c>
      <c r="F929" t="s">
        <v>23</v>
      </c>
      <c r="G929">
        <v>12</v>
      </c>
      <c r="H929">
        <v>6337</v>
      </c>
      <c r="I929" t="s">
        <v>30</v>
      </c>
      <c r="J929" s="2">
        <v>45461</v>
      </c>
      <c r="K929">
        <v>48</v>
      </c>
      <c r="L929" t="s">
        <v>20</v>
      </c>
      <c r="M929">
        <v>8</v>
      </c>
      <c r="N929">
        <v>8</v>
      </c>
      <c r="O929">
        <v>2</v>
      </c>
      <c r="P929" t="s">
        <v>25</v>
      </c>
      <c r="Q929" s="1">
        <v>3</v>
      </c>
      <c r="R929" s="2">
        <v>46174</v>
      </c>
      <c r="S929" s="2"/>
      <c r="T929" s="1" t="str">
        <f t="shared" si="42"/>
        <v>ter</v>
      </c>
      <c r="U929" s="1" t="str">
        <f t="shared" si="43"/>
        <v>jun</v>
      </c>
      <c r="V929">
        <f t="shared" si="44"/>
        <v>2024</v>
      </c>
      <c r="W929">
        <f>_xlfn.XLOOKUP(A929,Absenteismo!A:A,Absenteismo!A:A,0)</f>
        <v>1401</v>
      </c>
    </row>
    <row r="930" spans="1:23" x14ac:dyDescent="0.3">
      <c r="A930">
        <v>1403</v>
      </c>
      <c r="B930">
        <v>48</v>
      </c>
      <c r="C930" t="s">
        <v>15</v>
      </c>
      <c r="D930" t="s">
        <v>22</v>
      </c>
      <c r="E930" t="s">
        <v>17</v>
      </c>
      <c r="F930" t="s">
        <v>18</v>
      </c>
      <c r="G930">
        <v>109</v>
      </c>
      <c r="H930">
        <v>7356</v>
      </c>
      <c r="I930" t="s">
        <v>24</v>
      </c>
      <c r="J930" s="2">
        <v>42716</v>
      </c>
      <c r="K930">
        <v>8</v>
      </c>
      <c r="L930" t="s">
        <v>20</v>
      </c>
      <c r="M930">
        <v>14</v>
      </c>
      <c r="N930">
        <v>12</v>
      </c>
      <c r="O930">
        <v>5</v>
      </c>
      <c r="P930" t="s">
        <v>25</v>
      </c>
      <c r="Q930" s="1">
        <v>3</v>
      </c>
      <c r="R930" s="2">
        <v>46174</v>
      </c>
      <c r="S930" s="2"/>
      <c r="T930" s="1" t="str">
        <f t="shared" si="42"/>
        <v>seg</v>
      </c>
      <c r="U930" s="1" t="str">
        <f t="shared" si="43"/>
        <v>dez</v>
      </c>
      <c r="V930">
        <f t="shared" si="44"/>
        <v>2016</v>
      </c>
      <c r="W930">
        <f>_xlfn.XLOOKUP(A930,Absenteismo!A:A,Absenteismo!A:A,0)</f>
        <v>0</v>
      </c>
    </row>
    <row r="931" spans="1:23" hidden="1" x14ac:dyDescent="0.3">
      <c r="A931">
        <v>1701</v>
      </c>
      <c r="B931">
        <v>48</v>
      </c>
      <c r="C931" t="s">
        <v>15</v>
      </c>
      <c r="D931" t="s">
        <v>16</v>
      </c>
      <c r="E931" t="s">
        <v>17</v>
      </c>
      <c r="F931" t="s">
        <v>23</v>
      </c>
      <c r="G931">
        <v>12</v>
      </c>
      <c r="H931">
        <v>6337</v>
      </c>
      <c r="I931" t="s">
        <v>30</v>
      </c>
      <c r="J931" s="2">
        <v>45703</v>
      </c>
      <c r="K931">
        <v>48</v>
      </c>
      <c r="L931" t="s">
        <v>20</v>
      </c>
      <c r="M931">
        <v>8</v>
      </c>
      <c r="N931">
        <v>8</v>
      </c>
      <c r="O931">
        <v>2</v>
      </c>
      <c r="P931" t="s">
        <v>25</v>
      </c>
      <c r="Q931" s="1">
        <v>2</v>
      </c>
      <c r="R931" s="2">
        <v>46174</v>
      </c>
      <c r="S931" s="2"/>
      <c r="T931" s="1" t="str">
        <f t="shared" si="42"/>
        <v>sáb</v>
      </c>
      <c r="U931" s="1" t="str">
        <f t="shared" si="43"/>
        <v>fev</v>
      </c>
      <c r="V931">
        <f t="shared" si="44"/>
        <v>2025</v>
      </c>
      <c r="W931">
        <f>_xlfn.XLOOKUP(A931,Absenteismo!A:A,Absenteismo!A:A,0)</f>
        <v>1701</v>
      </c>
    </row>
    <row r="932" spans="1:23" x14ac:dyDescent="0.3">
      <c r="A932">
        <v>1703</v>
      </c>
      <c r="B932">
        <v>48</v>
      </c>
      <c r="C932" t="s">
        <v>15</v>
      </c>
      <c r="D932" t="s">
        <v>22</v>
      </c>
      <c r="E932" t="s">
        <v>17</v>
      </c>
      <c r="F932" t="s">
        <v>18</v>
      </c>
      <c r="G932">
        <v>109</v>
      </c>
      <c r="H932">
        <v>7356</v>
      </c>
      <c r="I932" t="s">
        <v>24</v>
      </c>
      <c r="J932" s="2">
        <v>42750</v>
      </c>
      <c r="K932">
        <v>8</v>
      </c>
      <c r="L932" t="s">
        <v>20</v>
      </c>
      <c r="M932">
        <v>14</v>
      </c>
      <c r="N932">
        <v>12</v>
      </c>
      <c r="O932">
        <v>5</v>
      </c>
      <c r="P932" t="s">
        <v>25</v>
      </c>
      <c r="Q932" s="1">
        <v>1</v>
      </c>
      <c r="R932" s="2">
        <v>46174</v>
      </c>
      <c r="S932" s="2"/>
      <c r="T932" s="1" t="str">
        <f t="shared" si="42"/>
        <v>dom</v>
      </c>
      <c r="U932" s="1" t="str">
        <f t="shared" si="43"/>
        <v>jan</v>
      </c>
      <c r="V932">
        <f t="shared" si="44"/>
        <v>2017</v>
      </c>
      <c r="W932">
        <f>_xlfn.XLOOKUP(A932,Absenteismo!A:A,Absenteismo!A:A,0)</f>
        <v>0</v>
      </c>
    </row>
    <row r="933" spans="1:23" hidden="1" x14ac:dyDescent="0.3">
      <c r="A933">
        <v>2001</v>
      </c>
      <c r="B933">
        <v>48</v>
      </c>
      <c r="C933" t="s">
        <v>15</v>
      </c>
      <c r="D933" t="s">
        <v>16</v>
      </c>
      <c r="E933" t="s">
        <v>17</v>
      </c>
      <c r="F933" t="s">
        <v>23</v>
      </c>
      <c r="G933">
        <v>12</v>
      </c>
      <c r="H933">
        <v>6337</v>
      </c>
      <c r="I933" t="s">
        <v>30</v>
      </c>
      <c r="J933" s="2">
        <v>45456</v>
      </c>
      <c r="K933">
        <v>48</v>
      </c>
      <c r="L933" t="s">
        <v>20</v>
      </c>
      <c r="M933">
        <v>8</v>
      </c>
      <c r="N933">
        <v>8</v>
      </c>
      <c r="O933">
        <v>2</v>
      </c>
      <c r="P933" t="s">
        <v>25</v>
      </c>
      <c r="Q933" s="1">
        <v>3</v>
      </c>
      <c r="R933" s="2">
        <v>46174</v>
      </c>
      <c r="S933" s="2"/>
      <c r="T933" s="1" t="str">
        <f t="shared" si="42"/>
        <v>qui</v>
      </c>
      <c r="U933" s="1" t="str">
        <f t="shared" si="43"/>
        <v>jun</v>
      </c>
      <c r="V933">
        <f t="shared" si="44"/>
        <v>2024</v>
      </c>
      <c r="W933">
        <f>_xlfn.XLOOKUP(A933,Absenteismo!A:A,Absenteismo!A:A,0)</f>
        <v>2001</v>
      </c>
    </row>
    <row r="934" spans="1:23" x14ac:dyDescent="0.3">
      <c r="A934">
        <v>2003</v>
      </c>
      <c r="B934">
        <v>48</v>
      </c>
      <c r="C934" t="s">
        <v>15</v>
      </c>
      <c r="D934" t="s">
        <v>22</v>
      </c>
      <c r="E934" t="s">
        <v>17</v>
      </c>
      <c r="F934" t="s">
        <v>18</v>
      </c>
      <c r="G934">
        <v>109</v>
      </c>
      <c r="H934">
        <v>7356</v>
      </c>
      <c r="I934" t="s">
        <v>24</v>
      </c>
      <c r="J934" s="2">
        <v>42798</v>
      </c>
      <c r="K934">
        <v>8</v>
      </c>
      <c r="L934" t="s">
        <v>20</v>
      </c>
      <c r="M934">
        <v>14</v>
      </c>
      <c r="N934">
        <v>12</v>
      </c>
      <c r="O934">
        <v>5</v>
      </c>
      <c r="P934" t="s">
        <v>25</v>
      </c>
      <c r="Q934" s="1">
        <v>3</v>
      </c>
      <c r="R934" s="2">
        <v>46174</v>
      </c>
      <c r="S934" s="2"/>
      <c r="T934" s="1" t="str">
        <f t="shared" si="42"/>
        <v>sáb</v>
      </c>
      <c r="U934" s="1" t="str">
        <f t="shared" si="43"/>
        <v>mar</v>
      </c>
      <c r="V934">
        <f t="shared" si="44"/>
        <v>2017</v>
      </c>
      <c r="W934">
        <f>_xlfn.XLOOKUP(A934,Absenteismo!A:A,Absenteismo!A:A,0)</f>
        <v>0</v>
      </c>
    </row>
    <row r="935" spans="1:23" x14ac:dyDescent="0.3">
      <c r="A935">
        <v>1072</v>
      </c>
      <c r="B935">
        <v>49</v>
      </c>
      <c r="C935" t="s">
        <v>15</v>
      </c>
      <c r="D935" t="s">
        <v>16</v>
      </c>
      <c r="E935" t="s">
        <v>17</v>
      </c>
      <c r="F935" t="s">
        <v>21</v>
      </c>
      <c r="G935">
        <v>78</v>
      </c>
      <c r="H935">
        <v>4760</v>
      </c>
      <c r="I935" t="s">
        <v>19</v>
      </c>
      <c r="J935" s="2">
        <v>43394</v>
      </c>
      <c r="K935">
        <v>20</v>
      </c>
      <c r="L935" t="s">
        <v>20</v>
      </c>
      <c r="M935">
        <v>35</v>
      </c>
      <c r="N935">
        <v>6</v>
      </c>
      <c r="O935">
        <v>2</v>
      </c>
      <c r="P935" t="s">
        <v>20</v>
      </c>
      <c r="Q935" s="1">
        <v>2</v>
      </c>
      <c r="R935" s="2">
        <v>46174</v>
      </c>
      <c r="S935" s="2">
        <v>45768</v>
      </c>
      <c r="T935" s="1" t="str">
        <f t="shared" si="42"/>
        <v>dom</v>
      </c>
      <c r="U935" s="1" t="str">
        <f t="shared" si="43"/>
        <v>out</v>
      </c>
      <c r="V935">
        <f t="shared" si="44"/>
        <v>2018</v>
      </c>
      <c r="W935">
        <f>_xlfn.XLOOKUP(A935,Absenteismo!A:A,Absenteismo!A:A,0)</f>
        <v>0</v>
      </c>
    </row>
    <row r="936" spans="1:23" hidden="1" x14ac:dyDescent="0.3">
      <c r="A936">
        <v>1372</v>
      </c>
      <c r="B936">
        <v>49</v>
      </c>
      <c r="C936" t="s">
        <v>15</v>
      </c>
      <c r="D936" t="s">
        <v>16</v>
      </c>
      <c r="E936" t="s">
        <v>17</v>
      </c>
      <c r="F936" t="s">
        <v>21</v>
      </c>
      <c r="G936">
        <v>78</v>
      </c>
      <c r="H936">
        <v>4760</v>
      </c>
      <c r="I936" t="s">
        <v>19</v>
      </c>
      <c r="J936" s="2">
        <v>43406</v>
      </c>
      <c r="K936">
        <v>20</v>
      </c>
      <c r="L936" t="s">
        <v>20</v>
      </c>
      <c r="M936">
        <v>35</v>
      </c>
      <c r="N936">
        <v>6</v>
      </c>
      <c r="O936">
        <v>2</v>
      </c>
      <c r="P936" t="s">
        <v>20</v>
      </c>
      <c r="Q936" s="1">
        <v>1</v>
      </c>
      <c r="R936" s="2">
        <v>46174</v>
      </c>
      <c r="S936" s="2">
        <v>45779</v>
      </c>
      <c r="T936" s="1" t="str">
        <f t="shared" si="42"/>
        <v>sex</v>
      </c>
      <c r="U936" s="1" t="str">
        <f t="shared" si="43"/>
        <v>nov</v>
      </c>
      <c r="V936">
        <f t="shared" si="44"/>
        <v>2018</v>
      </c>
      <c r="W936">
        <f>_xlfn.XLOOKUP(A936,Absenteismo!A:A,Absenteismo!A:A,0)</f>
        <v>1372</v>
      </c>
    </row>
    <row r="937" spans="1:23" x14ac:dyDescent="0.3">
      <c r="A937">
        <v>1431</v>
      </c>
      <c r="B937">
        <v>49</v>
      </c>
      <c r="C937" t="s">
        <v>15</v>
      </c>
      <c r="D937" t="s">
        <v>27</v>
      </c>
      <c r="E937" t="s">
        <v>17</v>
      </c>
      <c r="F937" t="s">
        <v>21</v>
      </c>
      <c r="G937">
        <v>31</v>
      </c>
      <c r="H937">
        <v>3976</v>
      </c>
      <c r="I937" t="s">
        <v>24</v>
      </c>
      <c r="J937" s="2">
        <v>44970</v>
      </c>
      <c r="K937">
        <v>28</v>
      </c>
      <c r="L937" t="s">
        <v>20</v>
      </c>
      <c r="M937">
        <v>22</v>
      </c>
      <c r="N937">
        <v>3</v>
      </c>
      <c r="O937">
        <v>5</v>
      </c>
      <c r="P937" t="s">
        <v>20</v>
      </c>
      <c r="Q937" s="1">
        <v>2</v>
      </c>
      <c r="R937" s="2">
        <v>46174</v>
      </c>
      <c r="S937" s="2">
        <v>45913</v>
      </c>
      <c r="T937" s="1" t="str">
        <f t="shared" si="42"/>
        <v>seg</v>
      </c>
      <c r="U937" s="1" t="str">
        <f t="shared" si="43"/>
        <v>fev</v>
      </c>
      <c r="V937">
        <f t="shared" si="44"/>
        <v>2023</v>
      </c>
      <c r="W937">
        <f>_xlfn.XLOOKUP(A937,Absenteismo!A:A,Absenteismo!A:A,0)</f>
        <v>0</v>
      </c>
    </row>
    <row r="938" spans="1:23" x14ac:dyDescent="0.3">
      <c r="A938">
        <v>1131</v>
      </c>
      <c r="B938">
        <v>49</v>
      </c>
      <c r="C938" t="s">
        <v>15</v>
      </c>
      <c r="D938" t="s">
        <v>27</v>
      </c>
      <c r="E938" t="s">
        <v>17</v>
      </c>
      <c r="F938" t="s">
        <v>21</v>
      </c>
      <c r="G938">
        <v>31</v>
      </c>
      <c r="H938">
        <v>3976</v>
      </c>
      <c r="I938" t="s">
        <v>24</v>
      </c>
      <c r="J938" s="2">
        <v>45039</v>
      </c>
      <c r="K938">
        <v>28</v>
      </c>
      <c r="L938" t="s">
        <v>20</v>
      </c>
      <c r="M938">
        <v>22</v>
      </c>
      <c r="N938">
        <v>3</v>
      </c>
      <c r="O938">
        <v>5</v>
      </c>
      <c r="P938" t="s">
        <v>20</v>
      </c>
      <c r="Q938" s="1">
        <v>2</v>
      </c>
      <c r="R938" s="2">
        <v>46174</v>
      </c>
      <c r="S938" s="2">
        <v>45984</v>
      </c>
      <c r="T938" s="1" t="str">
        <f t="shared" si="42"/>
        <v>dom</v>
      </c>
      <c r="U938" s="1" t="str">
        <f t="shared" si="43"/>
        <v>abr</v>
      </c>
      <c r="V938">
        <f t="shared" si="44"/>
        <v>2023</v>
      </c>
      <c r="W938">
        <f>_xlfn.XLOOKUP(A938,Absenteismo!A:A,Absenteismo!A:A,0)</f>
        <v>0</v>
      </c>
    </row>
    <row r="939" spans="1:23" hidden="1" x14ac:dyDescent="0.3">
      <c r="A939">
        <v>1672</v>
      </c>
      <c r="B939">
        <v>49</v>
      </c>
      <c r="C939" t="s">
        <v>15</v>
      </c>
      <c r="D939" t="s">
        <v>16</v>
      </c>
      <c r="E939" t="s">
        <v>17</v>
      </c>
      <c r="F939" t="s">
        <v>21</v>
      </c>
      <c r="G939">
        <v>78</v>
      </c>
      <c r="H939">
        <v>4760</v>
      </c>
      <c r="I939" t="s">
        <v>19</v>
      </c>
      <c r="J939" s="2">
        <v>43629</v>
      </c>
      <c r="K939">
        <v>20</v>
      </c>
      <c r="L939" t="s">
        <v>20</v>
      </c>
      <c r="M939">
        <v>35</v>
      </c>
      <c r="N939">
        <v>6</v>
      </c>
      <c r="O939">
        <v>2</v>
      </c>
      <c r="P939" t="s">
        <v>20</v>
      </c>
      <c r="Q939" s="1">
        <v>2</v>
      </c>
      <c r="R939" s="2">
        <v>46174</v>
      </c>
      <c r="S939" s="2">
        <v>46004</v>
      </c>
      <c r="T939" s="1" t="str">
        <f t="shared" si="42"/>
        <v>qui</v>
      </c>
      <c r="U939" s="1" t="str">
        <f t="shared" si="43"/>
        <v>jun</v>
      </c>
      <c r="V939">
        <f t="shared" si="44"/>
        <v>2019</v>
      </c>
      <c r="W939">
        <f>_xlfn.XLOOKUP(A939,Absenteismo!A:A,Absenteismo!A:A,0)</f>
        <v>1672</v>
      </c>
    </row>
    <row r="940" spans="1:23" hidden="1" x14ac:dyDescent="0.3">
      <c r="A940">
        <v>1369</v>
      </c>
      <c r="B940">
        <v>49</v>
      </c>
      <c r="C940" t="s">
        <v>15</v>
      </c>
      <c r="D940" t="s">
        <v>29</v>
      </c>
      <c r="E940" t="s">
        <v>17</v>
      </c>
      <c r="F940" t="s">
        <v>18</v>
      </c>
      <c r="G940">
        <v>43</v>
      </c>
      <c r="H940">
        <v>5430</v>
      </c>
      <c r="I940" t="s">
        <v>30</v>
      </c>
      <c r="J940" s="2">
        <v>44712</v>
      </c>
      <c r="K940">
        <v>55</v>
      </c>
      <c r="L940" t="s">
        <v>20</v>
      </c>
      <c r="M940">
        <v>26</v>
      </c>
      <c r="N940">
        <v>11</v>
      </c>
      <c r="O940">
        <v>5</v>
      </c>
      <c r="P940" t="s">
        <v>20</v>
      </c>
      <c r="Q940" s="1">
        <v>1</v>
      </c>
      <c r="R940" s="2">
        <v>46174</v>
      </c>
      <c r="S940" s="2">
        <v>46022</v>
      </c>
      <c r="T940" s="1" t="str">
        <f t="shared" si="42"/>
        <v>ter</v>
      </c>
      <c r="U940" s="1" t="str">
        <f t="shared" si="43"/>
        <v>mai</v>
      </c>
      <c r="V940">
        <f t="shared" si="44"/>
        <v>2022</v>
      </c>
      <c r="W940">
        <f>_xlfn.XLOOKUP(A940,Absenteismo!A:A,Absenteismo!A:A,0)</f>
        <v>1369</v>
      </c>
    </row>
    <row r="941" spans="1:23" x14ac:dyDescent="0.3">
      <c r="A941">
        <v>1731</v>
      </c>
      <c r="B941">
        <v>49</v>
      </c>
      <c r="C941" t="s">
        <v>15</v>
      </c>
      <c r="D941" t="s">
        <v>27</v>
      </c>
      <c r="E941" t="s">
        <v>17</v>
      </c>
      <c r="F941" t="s">
        <v>21</v>
      </c>
      <c r="G941">
        <v>31</v>
      </c>
      <c r="H941">
        <v>3976</v>
      </c>
      <c r="I941" t="s">
        <v>24</v>
      </c>
      <c r="J941" s="2">
        <v>45106</v>
      </c>
      <c r="K941">
        <v>28</v>
      </c>
      <c r="L941" t="s">
        <v>20</v>
      </c>
      <c r="M941">
        <v>22</v>
      </c>
      <c r="N941">
        <v>3</v>
      </c>
      <c r="O941">
        <v>5</v>
      </c>
      <c r="P941" t="s">
        <v>20</v>
      </c>
      <c r="Q941" s="1">
        <v>3</v>
      </c>
      <c r="R941" s="2">
        <v>46174</v>
      </c>
      <c r="S941" s="2">
        <v>46051</v>
      </c>
      <c r="T941" s="1" t="str">
        <f t="shared" si="42"/>
        <v>qui</v>
      </c>
      <c r="U941" s="1" t="str">
        <f t="shared" si="43"/>
        <v>jun</v>
      </c>
      <c r="V941">
        <f t="shared" si="44"/>
        <v>2023</v>
      </c>
      <c r="W941">
        <f>_xlfn.XLOOKUP(A941,Absenteismo!A:A,Absenteismo!A:A,0)</f>
        <v>0</v>
      </c>
    </row>
    <row r="942" spans="1:23" hidden="1" x14ac:dyDescent="0.3">
      <c r="A942">
        <v>1669</v>
      </c>
      <c r="B942">
        <v>49</v>
      </c>
      <c r="C942" t="s">
        <v>15</v>
      </c>
      <c r="D942" t="s">
        <v>29</v>
      </c>
      <c r="E942" t="s">
        <v>17</v>
      </c>
      <c r="F942" t="s">
        <v>18</v>
      </c>
      <c r="G942">
        <v>43</v>
      </c>
      <c r="H942">
        <v>5430</v>
      </c>
      <c r="I942" t="s">
        <v>30</v>
      </c>
      <c r="J942" s="2">
        <v>44833</v>
      </c>
      <c r="K942">
        <v>55</v>
      </c>
      <c r="L942" t="s">
        <v>20</v>
      </c>
      <c r="M942">
        <v>26</v>
      </c>
      <c r="N942">
        <v>11</v>
      </c>
      <c r="O942">
        <v>5</v>
      </c>
      <c r="P942" t="s">
        <v>20</v>
      </c>
      <c r="Q942" s="1">
        <v>2</v>
      </c>
      <c r="R942" s="2">
        <v>46174</v>
      </c>
      <c r="S942" s="2">
        <v>46141</v>
      </c>
      <c r="T942" s="1" t="str">
        <f t="shared" si="42"/>
        <v>qui</v>
      </c>
      <c r="U942" s="1" t="str">
        <f t="shared" si="43"/>
        <v>set</v>
      </c>
      <c r="V942">
        <f t="shared" si="44"/>
        <v>2022</v>
      </c>
      <c r="W942">
        <f>_xlfn.XLOOKUP(A942,Absenteismo!A:A,Absenteismo!A:A,0)</f>
        <v>1669</v>
      </c>
    </row>
    <row r="943" spans="1:23" x14ac:dyDescent="0.3">
      <c r="A943">
        <v>1069</v>
      </c>
      <c r="B943">
        <v>49</v>
      </c>
      <c r="C943" t="s">
        <v>15</v>
      </c>
      <c r="D943" t="s">
        <v>29</v>
      </c>
      <c r="E943" t="s">
        <v>17</v>
      </c>
      <c r="F943" t="s">
        <v>18</v>
      </c>
      <c r="G943">
        <v>43</v>
      </c>
      <c r="H943">
        <v>5430</v>
      </c>
      <c r="I943" t="s">
        <v>30</v>
      </c>
      <c r="J943" s="2">
        <v>44892</v>
      </c>
      <c r="K943">
        <v>15</v>
      </c>
      <c r="L943" t="s">
        <v>20</v>
      </c>
      <c r="M943">
        <v>26</v>
      </c>
      <c r="N943">
        <v>11</v>
      </c>
      <c r="O943">
        <v>5</v>
      </c>
      <c r="P943" t="s">
        <v>20</v>
      </c>
      <c r="Q943" s="1">
        <v>2</v>
      </c>
      <c r="R943" s="2">
        <v>46174</v>
      </c>
      <c r="S943" s="2">
        <v>46200</v>
      </c>
      <c r="T943" s="1" t="str">
        <f t="shared" si="42"/>
        <v>dom</v>
      </c>
      <c r="U943" s="1" t="str">
        <f t="shared" si="43"/>
        <v>nov</v>
      </c>
      <c r="V943">
        <f t="shared" si="44"/>
        <v>2022</v>
      </c>
      <c r="W943">
        <f>_xlfn.XLOOKUP(A943,Absenteismo!A:A,Absenteismo!A:A,0)</f>
        <v>0</v>
      </c>
    </row>
    <row r="944" spans="1:23" x14ac:dyDescent="0.3">
      <c r="A944">
        <v>1013</v>
      </c>
      <c r="B944">
        <v>49</v>
      </c>
      <c r="C944" t="s">
        <v>15</v>
      </c>
      <c r="D944" t="s">
        <v>16</v>
      </c>
      <c r="E944" t="s">
        <v>17</v>
      </c>
      <c r="F944" t="s">
        <v>18</v>
      </c>
      <c r="G944">
        <v>113</v>
      </c>
      <c r="H944">
        <v>5319</v>
      </c>
      <c r="I944" t="s">
        <v>19</v>
      </c>
      <c r="J944" s="2">
        <v>42730</v>
      </c>
      <c r="K944">
        <v>4</v>
      </c>
      <c r="L944" t="s">
        <v>20</v>
      </c>
      <c r="M944">
        <v>5</v>
      </c>
      <c r="N944">
        <v>1</v>
      </c>
      <c r="O944">
        <v>5</v>
      </c>
      <c r="P944" t="s">
        <v>25</v>
      </c>
      <c r="Q944" s="1">
        <v>1</v>
      </c>
      <c r="R944" s="2">
        <v>46174</v>
      </c>
      <c r="S944" s="2"/>
      <c r="T944" s="1" t="str">
        <f t="shared" si="42"/>
        <v>seg</v>
      </c>
      <c r="U944" s="1" t="str">
        <f t="shared" si="43"/>
        <v>dez</v>
      </c>
      <c r="V944">
        <f t="shared" si="44"/>
        <v>2016</v>
      </c>
      <c r="W944">
        <f>_xlfn.XLOOKUP(A944,Absenteismo!A:A,Absenteismo!A:A,0)</f>
        <v>0</v>
      </c>
    </row>
    <row r="945" spans="1:23" x14ac:dyDescent="0.3">
      <c r="A945">
        <v>1057</v>
      </c>
      <c r="B945">
        <v>49</v>
      </c>
      <c r="C945" t="s">
        <v>26</v>
      </c>
      <c r="D945" t="s">
        <v>22</v>
      </c>
      <c r="E945" t="s">
        <v>17</v>
      </c>
      <c r="F945" t="s">
        <v>23</v>
      </c>
      <c r="G945">
        <v>38</v>
      </c>
      <c r="H945">
        <v>4615</v>
      </c>
      <c r="I945" t="s">
        <v>33</v>
      </c>
      <c r="J945" s="2">
        <v>45011</v>
      </c>
      <c r="K945">
        <v>55</v>
      </c>
      <c r="L945" t="s">
        <v>20</v>
      </c>
      <c r="M945">
        <v>23</v>
      </c>
      <c r="N945">
        <v>7</v>
      </c>
      <c r="O945">
        <v>4</v>
      </c>
      <c r="P945" t="s">
        <v>25</v>
      </c>
      <c r="Q945" s="1">
        <v>2</v>
      </c>
      <c r="R945" s="2">
        <v>46174</v>
      </c>
      <c r="S945" s="2"/>
      <c r="T945" s="1" t="str">
        <f t="shared" si="42"/>
        <v>dom</v>
      </c>
      <c r="U945" s="1" t="str">
        <f t="shared" si="43"/>
        <v>mar</v>
      </c>
      <c r="V945">
        <f t="shared" si="44"/>
        <v>2023</v>
      </c>
      <c r="W945">
        <f>_xlfn.XLOOKUP(A945,Absenteismo!A:A,Absenteismo!A:A,0)</f>
        <v>0</v>
      </c>
    </row>
    <row r="946" spans="1:23" x14ac:dyDescent="0.3">
      <c r="A946">
        <v>1091</v>
      </c>
      <c r="B946">
        <v>49</v>
      </c>
      <c r="C946" t="s">
        <v>15</v>
      </c>
      <c r="D946" t="s">
        <v>16</v>
      </c>
      <c r="E946" t="s">
        <v>17</v>
      </c>
      <c r="F946" t="s">
        <v>21</v>
      </c>
      <c r="G946">
        <v>18</v>
      </c>
      <c r="H946">
        <v>5983</v>
      </c>
      <c r="I946" t="s">
        <v>33</v>
      </c>
      <c r="J946" s="2">
        <v>45573</v>
      </c>
      <c r="K946">
        <v>24</v>
      </c>
      <c r="L946" t="s">
        <v>20</v>
      </c>
      <c r="M946">
        <v>34</v>
      </c>
      <c r="N946">
        <v>6</v>
      </c>
      <c r="O946">
        <v>3</v>
      </c>
      <c r="P946" t="s">
        <v>25</v>
      </c>
      <c r="Q946" s="1">
        <v>2</v>
      </c>
      <c r="R946" s="2">
        <v>46174</v>
      </c>
      <c r="S946" s="2"/>
      <c r="T946" s="1" t="str">
        <f t="shared" si="42"/>
        <v>ter</v>
      </c>
      <c r="U946" s="1" t="str">
        <f t="shared" si="43"/>
        <v>out</v>
      </c>
      <c r="V946">
        <f t="shared" si="44"/>
        <v>2024</v>
      </c>
      <c r="W946">
        <f>_xlfn.XLOOKUP(A946,Absenteismo!A:A,Absenteismo!A:A,0)</f>
        <v>0</v>
      </c>
    </row>
    <row r="947" spans="1:23" x14ac:dyDescent="0.3">
      <c r="A947">
        <v>1165</v>
      </c>
      <c r="B947">
        <v>49</v>
      </c>
      <c r="C947" t="s">
        <v>26</v>
      </c>
      <c r="D947" t="s">
        <v>29</v>
      </c>
      <c r="E947" t="s">
        <v>17</v>
      </c>
      <c r="F947" t="s">
        <v>21</v>
      </c>
      <c r="G947">
        <v>120</v>
      </c>
      <c r="H947">
        <v>5040</v>
      </c>
      <c r="I947" t="s">
        <v>24</v>
      </c>
      <c r="J947" s="2">
        <v>42457</v>
      </c>
      <c r="K947">
        <v>8</v>
      </c>
      <c r="L947" t="s">
        <v>20</v>
      </c>
      <c r="M947">
        <v>34</v>
      </c>
      <c r="N947">
        <v>6</v>
      </c>
      <c r="O947">
        <v>5</v>
      </c>
      <c r="P947" t="s">
        <v>25</v>
      </c>
      <c r="Q947" s="1">
        <v>3</v>
      </c>
      <c r="R947" s="2">
        <v>46174</v>
      </c>
      <c r="S947" s="2"/>
      <c r="T947" s="1" t="str">
        <f t="shared" si="42"/>
        <v>seg</v>
      </c>
      <c r="U947" s="1" t="str">
        <f t="shared" si="43"/>
        <v>mar</v>
      </c>
      <c r="V947">
        <f t="shared" si="44"/>
        <v>2016</v>
      </c>
      <c r="W947">
        <f>_xlfn.XLOOKUP(A947,Absenteismo!A:A,Absenteismo!A:A,0)</f>
        <v>0</v>
      </c>
    </row>
    <row r="948" spans="1:23" x14ac:dyDescent="0.3">
      <c r="A948">
        <v>1195</v>
      </c>
      <c r="B948">
        <v>49</v>
      </c>
      <c r="C948" t="s">
        <v>26</v>
      </c>
      <c r="D948" t="s">
        <v>16</v>
      </c>
      <c r="E948" t="s">
        <v>17</v>
      </c>
      <c r="F948" t="s">
        <v>18</v>
      </c>
      <c r="G948">
        <v>22</v>
      </c>
      <c r="H948">
        <v>3946</v>
      </c>
      <c r="I948" t="s">
        <v>28</v>
      </c>
      <c r="J948" s="2">
        <v>45166</v>
      </c>
      <c r="K948">
        <v>32</v>
      </c>
      <c r="L948" t="s">
        <v>20</v>
      </c>
      <c r="M948">
        <v>34</v>
      </c>
      <c r="N948">
        <v>10</v>
      </c>
      <c r="O948">
        <v>2</v>
      </c>
      <c r="P948" t="s">
        <v>25</v>
      </c>
      <c r="Q948" s="1">
        <v>3</v>
      </c>
      <c r="R948" s="2">
        <v>46174</v>
      </c>
      <c r="S948" s="2"/>
      <c r="T948" s="1" t="str">
        <f t="shared" si="42"/>
        <v>seg</v>
      </c>
      <c r="U948" s="1" t="str">
        <f t="shared" si="43"/>
        <v>ago</v>
      </c>
      <c r="V948">
        <f t="shared" si="44"/>
        <v>2023</v>
      </c>
      <c r="W948">
        <f>_xlfn.XLOOKUP(A948,Absenteismo!A:A,Absenteismo!A:A,0)</f>
        <v>0</v>
      </c>
    </row>
    <row r="949" spans="1:23" hidden="1" x14ac:dyDescent="0.3">
      <c r="A949">
        <v>1228</v>
      </c>
      <c r="B949">
        <v>49</v>
      </c>
      <c r="C949" t="s">
        <v>26</v>
      </c>
      <c r="D949" t="s">
        <v>27</v>
      </c>
      <c r="E949" t="s">
        <v>17</v>
      </c>
      <c r="F949" t="s">
        <v>18</v>
      </c>
      <c r="G949">
        <v>63</v>
      </c>
      <c r="H949">
        <v>4170</v>
      </c>
      <c r="I949" t="s">
        <v>30</v>
      </c>
      <c r="J949" s="2">
        <v>44186</v>
      </c>
      <c r="K949">
        <v>37</v>
      </c>
      <c r="L949" t="s">
        <v>20</v>
      </c>
      <c r="M949">
        <v>14</v>
      </c>
      <c r="N949">
        <v>4</v>
      </c>
      <c r="O949">
        <v>2</v>
      </c>
      <c r="P949" t="s">
        <v>25</v>
      </c>
      <c r="Q949" s="1">
        <v>3</v>
      </c>
      <c r="R949" s="2">
        <v>46174</v>
      </c>
      <c r="S949" s="2"/>
      <c r="T949" s="1" t="str">
        <f t="shared" si="42"/>
        <v>seg</v>
      </c>
      <c r="U949" s="1" t="str">
        <f t="shared" si="43"/>
        <v>dez</v>
      </c>
      <c r="V949">
        <f t="shared" si="44"/>
        <v>2020</v>
      </c>
      <c r="W949">
        <f>_xlfn.XLOOKUP(A949,Absenteismo!A:A,Absenteismo!A:A,0)</f>
        <v>1228</v>
      </c>
    </row>
    <row r="950" spans="1:23" x14ac:dyDescent="0.3">
      <c r="A950">
        <v>1245</v>
      </c>
      <c r="B950">
        <v>49</v>
      </c>
      <c r="C950" t="s">
        <v>15</v>
      </c>
      <c r="D950" t="s">
        <v>29</v>
      </c>
      <c r="E950" t="s">
        <v>17</v>
      </c>
      <c r="F950" t="s">
        <v>23</v>
      </c>
      <c r="G950">
        <v>47</v>
      </c>
      <c r="H950">
        <v>5392</v>
      </c>
      <c r="I950" t="s">
        <v>19</v>
      </c>
      <c r="J950" s="2">
        <v>44641</v>
      </c>
      <c r="K950">
        <v>25</v>
      </c>
      <c r="L950" t="s">
        <v>25</v>
      </c>
      <c r="M950">
        <v>26</v>
      </c>
      <c r="N950">
        <v>5</v>
      </c>
      <c r="O950">
        <v>3</v>
      </c>
      <c r="P950" t="s">
        <v>25</v>
      </c>
      <c r="Q950" s="1">
        <v>3</v>
      </c>
      <c r="R950" s="2">
        <v>46174</v>
      </c>
      <c r="S950" s="2"/>
      <c r="T950" s="1" t="str">
        <f t="shared" si="42"/>
        <v>seg</v>
      </c>
      <c r="U950" s="1" t="str">
        <f t="shared" si="43"/>
        <v>mar</v>
      </c>
      <c r="V950">
        <f t="shared" si="44"/>
        <v>2022</v>
      </c>
      <c r="W950">
        <f>_xlfn.XLOOKUP(A950,Absenteismo!A:A,Absenteismo!A:A,0)</f>
        <v>0</v>
      </c>
    </row>
    <row r="951" spans="1:23" hidden="1" x14ac:dyDescent="0.3">
      <c r="A951">
        <v>1313</v>
      </c>
      <c r="B951">
        <v>49</v>
      </c>
      <c r="C951" t="s">
        <v>15</v>
      </c>
      <c r="D951" t="s">
        <v>16</v>
      </c>
      <c r="E951" t="s">
        <v>17</v>
      </c>
      <c r="F951" t="s">
        <v>18</v>
      </c>
      <c r="G951">
        <v>113</v>
      </c>
      <c r="H951">
        <v>5319</v>
      </c>
      <c r="I951" t="s">
        <v>19</v>
      </c>
      <c r="J951" s="2">
        <v>42595</v>
      </c>
      <c r="K951">
        <v>4</v>
      </c>
      <c r="L951" t="s">
        <v>20</v>
      </c>
      <c r="M951">
        <v>5</v>
      </c>
      <c r="N951">
        <v>1</v>
      </c>
      <c r="O951">
        <v>5</v>
      </c>
      <c r="P951" t="s">
        <v>25</v>
      </c>
      <c r="Q951" s="1">
        <v>1</v>
      </c>
      <c r="R951" s="2">
        <v>46174</v>
      </c>
      <c r="S951" s="2"/>
      <c r="T951" s="1" t="str">
        <f t="shared" si="42"/>
        <v>sáb</v>
      </c>
      <c r="U951" s="1" t="str">
        <f t="shared" si="43"/>
        <v>ago</v>
      </c>
      <c r="V951">
        <f t="shared" si="44"/>
        <v>2016</v>
      </c>
      <c r="W951">
        <f>_xlfn.XLOOKUP(A951,Absenteismo!A:A,Absenteismo!A:A,0)</f>
        <v>1313</v>
      </c>
    </row>
    <row r="952" spans="1:23" hidden="1" x14ac:dyDescent="0.3">
      <c r="A952">
        <v>1357</v>
      </c>
      <c r="B952">
        <v>49</v>
      </c>
      <c r="C952" t="s">
        <v>26</v>
      </c>
      <c r="D952" t="s">
        <v>22</v>
      </c>
      <c r="E952" t="s">
        <v>17</v>
      </c>
      <c r="F952" t="s">
        <v>23</v>
      </c>
      <c r="G952">
        <v>38</v>
      </c>
      <c r="H952">
        <v>4615</v>
      </c>
      <c r="I952" t="s">
        <v>33</v>
      </c>
      <c r="J952" s="2">
        <v>44631</v>
      </c>
      <c r="K952">
        <v>55</v>
      </c>
      <c r="L952" t="s">
        <v>20</v>
      </c>
      <c r="M952">
        <v>23</v>
      </c>
      <c r="N952">
        <v>7</v>
      </c>
      <c r="O952">
        <v>4</v>
      </c>
      <c r="P952" t="s">
        <v>25</v>
      </c>
      <c r="Q952" s="1">
        <v>1</v>
      </c>
      <c r="R952" s="2">
        <v>46174</v>
      </c>
      <c r="S952" s="2"/>
      <c r="T952" s="1" t="str">
        <f t="shared" si="42"/>
        <v>sex</v>
      </c>
      <c r="U952" s="1" t="str">
        <f t="shared" si="43"/>
        <v>mar</v>
      </c>
      <c r="V952">
        <f t="shared" si="44"/>
        <v>2022</v>
      </c>
      <c r="W952">
        <f>_xlfn.XLOOKUP(A952,Absenteismo!A:A,Absenteismo!A:A,0)</f>
        <v>1357</v>
      </c>
    </row>
    <row r="953" spans="1:23" hidden="1" x14ac:dyDescent="0.3">
      <c r="A953">
        <v>1391</v>
      </c>
      <c r="B953">
        <v>49</v>
      </c>
      <c r="C953" t="s">
        <v>15</v>
      </c>
      <c r="D953" t="s">
        <v>16</v>
      </c>
      <c r="E953" t="s">
        <v>17</v>
      </c>
      <c r="F953" t="s">
        <v>21</v>
      </c>
      <c r="G953">
        <v>18</v>
      </c>
      <c r="H953">
        <v>5983</v>
      </c>
      <c r="I953" t="s">
        <v>33</v>
      </c>
      <c r="J953" s="2">
        <v>45321</v>
      </c>
      <c r="K953">
        <v>24</v>
      </c>
      <c r="L953" t="s">
        <v>20</v>
      </c>
      <c r="M953">
        <v>34</v>
      </c>
      <c r="N953">
        <v>6</v>
      </c>
      <c r="O953">
        <v>3</v>
      </c>
      <c r="P953" t="s">
        <v>25</v>
      </c>
      <c r="Q953" s="1">
        <v>2</v>
      </c>
      <c r="R953" s="2">
        <v>46174</v>
      </c>
      <c r="S953" s="2"/>
      <c r="T953" s="1" t="str">
        <f t="shared" si="42"/>
        <v>ter</v>
      </c>
      <c r="U953" s="1" t="str">
        <f t="shared" si="43"/>
        <v>jan</v>
      </c>
      <c r="V953">
        <f t="shared" si="44"/>
        <v>2024</v>
      </c>
      <c r="W953">
        <f>_xlfn.XLOOKUP(A953,Absenteismo!A:A,Absenteismo!A:A,0)</f>
        <v>1391</v>
      </c>
    </row>
    <row r="954" spans="1:23" x14ac:dyDescent="0.3">
      <c r="A954">
        <v>1465</v>
      </c>
      <c r="B954">
        <v>49</v>
      </c>
      <c r="C954" t="s">
        <v>26</v>
      </c>
      <c r="D954" t="s">
        <v>29</v>
      </c>
      <c r="E954" t="s">
        <v>17</v>
      </c>
      <c r="F954" t="s">
        <v>21</v>
      </c>
      <c r="G954">
        <v>120</v>
      </c>
      <c r="H954">
        <v>5040</v>
      </c>
      <c r="I954" t="s">
        <v>24</v>
      </c>
      <c r="J954" s="2">
        <v>42142</v>
      </c>
      <c r="K954">
        <v>8</v>
      </c>
      <c r="L954" t="s">
        <v>20</v>
      </c>
      <c r="M954">
        <v>34</v>
      </c>
      <c r="N954">
        <v>6</v>
      </c>
      <c r="O954">
        <v>5</v>
      </c>
      <c r="P954" t="s">
        <v>25</v>
      </c>
      <c r="Q954" s="1">
        <v>3</v>
      </c>
      <c r="R954" s="2">
        <v>46174</v>
      </c>
      <c r="S954" s="2"/>
      <c r="T954" s="1" t="str">
        <f t="shared" si="42"/>
        <v>seg</v>
      </c>
      <c r="U954" s="1" t="str">
        <f t="shared" si="43"/>
        <v>mai</v>
      </c>
      <c r="V954">
        <f t="shared" si="44"/>
        <v>2015</v>
      </c>
      <c r="W954">
        <f>_xlfn.XLOOKUP(A954,Absenteismo!A:A,Absenteismo!A:A,0)</f>
        <v>0</v>
      </c>
    </row>
    <row r="955" spans="1:23" hidden="1" x14ac:dyDescent="0.3">
      <c r="A955">
        <v>1495</v>
      </c>
      <c r="B955">
        <v>49</v>
      </c>
      <c r="C955" t="s">
        <v>26</v>
      </c>
      <c r="D955" t="s">
        <v>16</v>
      </c>
      <c r="E955" t="s">
        <v>17</v>
      </c>
      <c r="F955" t="s">
        <v>18</v>
      </c>
      <c r="G955">
        <v>22</v>
      </c>
      <c r="H955">
        <v>3946</v>
      </c>
      <c r="I955" t="s">
        <v>28</v>
      </c>
      <c r="J955" s="2">
        <v>45492</v>
      </c>
      <c r="K955">
        <v>32</v>
      </c>
      <c r="L955" t="s">
        <v>20</v>
      </c>
      <c r="M955">
        <v>34</v>
      </c>
      <c r="N955">
        <v>10</v>
      </c>
      <c r="O955">
        <v>2</v>
      </c>
      <c r="P955" t="s">
        <v>25</v>
      </c>
      <c r="Q955" s="1">
        <v>3</v>
      </c>
      <c r="R955" s="2">
        <v>46174</v>
      </c>
      <c r="S955" s="2"/>
      <c r="T955" s="1" t="str">
        <f t="shared" si="42"/>
        <v>sex</v>
      </c>
      <c r="U955" s="1" t="str">
        <f t="shared" si="43"/>
        <v>jul</v>
      </c>
      <c r="V955">
        <f t="shared" si="44"/>
        <v>2024</v>
      </c>
      <c r="W955">
        <f>_xlfn.XLOOKUP(A955,Absenteismo!A:A,Absenteismo!A:A,0)</f>
        <v>1495</v>
      </c>
    </row>
    <row r="956" spans="1:23" hidden="1" x14ac:dyDescent="0.3">
      <c r="A956">
        <v>1528</v>
      </c>
      <c r="B956">
        <v>49</v>
      </c>
      <c r="C956" t="s">
        <v>26</v>
      </c>
      <c r="D956" t="s">
        <v>27</v>
      </c>
      <c r="E956" t="s">
        <v>17</v>
      </c>
      <c r="F956" t="s">
        <v>18</v>
      </c>
      <c r="G956">
        <v>63</v>
      </c>
      <c r="H956">
        <v>4170</v>
      </c>
      <c r="I956" t="s">
        <v>30</v>
      </c>
      <c r="J956" s="2">
        <v>43971</v>
      </c>
      <c r="K956">
        <v>37</v>
      </c>
      <c r="L956" t="s">
        <v>20</v>
      </c>
      <c r="M956">
        <v>14</v>
      </c>
      <c r="N956">
        <v>4</v>
      </c>
      <c r="O956">
        <v>2</v>
      </c>
      <c r="P956" t="s">
        <v>25</v>
      </c>
      <c r="Q956" s="1">
        <v>3</v>
      </c>
      <c r="R956" s="2">
        <v>46174</v>
      </c>
      <c r="S956" s="2"/>
      <c r="T956" s="1" t="str">
        <f t="shared" si="42"/>
        <v>qua</v>
      </c>
      <c r="U956" s="1" t="str">
        <f t="shared" si="43"/>
        <v>mai</v>
      </c>
      <c r="V956">
        <f t="shared" si="44"/>
        <v>2020</v>
      </c>
      <c r="W956">
        <f>_xlfn.XLOOKUP(A956,Absenteismo!A:A,Absenteismo!A:A,0)</f>
        <v>1528</v>
      </c>
    </row>
    <row r="957" spans="1:23" hidden="1" x14ac:dyDescent="0.3">
      <c r="A957">
        <v>1545</v>
      </c>
      <c r="B957">
        <v>49</v>
      </c>
      <c r="C957" t="s">
        <v>15</v>
      </c>
      <c r="D957" t="s">
        <v>29</v>
      </c>
      <c r="E957" t="s">
        <v>17</v>
      </c>
      <c r="F957" t="s">
        <v>23</v>
      </c>
      <c r="G957">
        <v>47</v>
      </c>
      <c r="H957">
        <v>5392</v>
      </c>
      <c r="I957" t="s">
        <v>19</v>
      </c>
      <c r="J957" s="2">
        <v>44318</v>
      </c>
      <c r="K957">
        <v>25</v>
      </c>
      <c r="L957" t="s">
        <v>25</v>
      </c>
      <c r="M957">
        <v>26</v>
      </c>
      <c r="N957">
        <v>5</v>
      </c>
      <c r="O957">
        <v>3</v>
      </c>
      <c r="P957" t="s">
        <v>25</v>
      </c>
      <c r="Q957" s="1">
        <v>1</v>
      </c>
      <c r="R957" s="2">
        <v>46174</v>
      </c>
      <c r="S957" s="2"/>
      <c r="T957" s="1" t="str">
        <f t="shared" si="42"/>
        <v>dom</v>
      </c>
      <c r="U957" s="1" t="str">
        <f t="shared" si="43"/>
        <v>mai</v>
      </c>
      <c r="V957">
        <f t="shared" si="44"/>
        <v>2021</v>
      </c>
      <c r="W957">
        <f>_xlfn.XLOOKUP(A957,Absenteismo!A:A,Absenteismo!A:A,0)</f>
        <v>1545</v>
      </c>
    </row>
    <row r="958" spans="1:23" hidden="1" x14ac:dyDescent="0.3">
      <c r="A958">
        <v>1613</v>
      </c>
      <c r="B958">
        <v>49</v>
      </c>
      <c r="C958" t="s">
        <v>15</v>
      </c>
      <c r="D958" t="s">
        <v>16</v>
      </c>
      <c r="E958" t="s">
        <v>17</v>
      </c>
      <c r="F958" t="s">
        <v>18</v>
      </c>
      <c r="G958">
        <v>113</v>
      </c>
      <c r="H958">
        <v>5319</v>
      </c>
      <c r="I958" t="s">
        <v>19</v>
      </c>
      <c r="J958" s="2">
        <v>42678</v>
      </c>
      <c r="K958">
        <v>4</v>
      </c>
      <c r="L958" t="s">
        <v>20</v>
      </c>
      <c r="M958">
        <v>5</v>
      </c>
      <c r="N958">
        <v>1</v>
      </c>
      <c r="O958">
        <v>5</v>
      </c>
      <c r="P958" t="s">
        <v>25</v>
      </c>
      <c r="Q958" s="1">
        <v>3</v>
      </c>
      <c r="R958" s="2">
        <v>46174</v>
      </c>
      <c r="S958" s="2"/>
      <c r="T958" s="1" t="str">
        <f t="shared" si="42"/>
        <v>sex</v>
      </c>
      <c r="U958" s="1" t="str">
        <f t="shared" si="43"/>
        <v>nov</v>
      </c>
      <c r="V958">
        <f t="shared" si="44"/>
        <v>2016</v>
      </c>
      <c r="W958">
        <f>_xlfn.XLOOKUP(A958,Absenteismo!A:A,Absenteismo!A:A,0)</f>
        <v>1613</v>
      </c>
    </row>
    <row r="959" spans="1:23" hidden="1" x14ac:dyDescent="0.3">
      <c r="A959">
        <v>1657</v>
      </c>
      <c r="B959">
        <v>49</v>
      </c>
      <c r="C959" t="s">
        <v>26</v>
      </c>
      <c r="D959" t="s">
        <v>22</v>
      </c>
      <c r="E959" t="s">
        <v>17</v>
      </c>
      <c r="F959" t="s">
        <v>23</v>
      </c>
      <c r="G959">
        <v>38</v>
      </c>
      <c r="H959">
        <v>4615</v>
      </c>
      <c r="I959" t="s">
        <v>33</v>
      </c>
      <c r="J959" s="2">
        <v>44689</v>
      </c>
      <c r="K959">
        <v>55</v>
      </c>
      <c r="L959" t="s">
        <v>20</v>
      </c>
      <c r="M959">
        <v>23</v>
      </c>
      <c r="N959">
        <v>7</v>
      </c>
      <c r="O959">
        <v>4</v>
      </c>
      <c r="P959" t="s">
        <v>25</v>
      </c>
      <c r="Q959" s="1">
        <v>2</v>
      </c>
      <c r="R959" s="2">
        <v>46174</v>
      </c>
      <c r="S959" s="2"/>
      <c r="T959" s="1" t="str">
        <f t="shared" si="42"/>
        <v>dom</v>
      </c>
      <c r="U959" s="1" t="str">
        <f t="shared" si="43"/>
        <v>mai</v>
      </c>
      <c r="V959">
        <f t="shared" si="44"/>
        <v>2022</v>
      </c>
      <c r="W959">
        <f>_xlfn.XLOOKUP(A959,Absenteismo!A:A,Absenteismo!A:A,0)</f>
        <v>1657</v>
      </c>
    </row>
    <row r="960" spans="1:23" hidden="1" x14ac:dyDescent="0.3">
      <c r="A960">
        <v>1691</v>
      </c>
      <c r="B960">
        <v>49</v>
      </c>
      <c r="C960" t="s">
        <v>15</v>
      </c>
      <c r="D960" t="s">
        <v>16</v>
      </c>
      <c r="E960" t="s">
        <v>17</v>
      </c>
      <c r="F960" t="s">
        <v>21</v>
      </c>
      <c r="G960">
        <v>18</v>
      </c>
      <c r="H960">
        <v>5983</v>
      </c>
      <c r="I960" t="s">
        <v>33</v>
      </c>
      <c r="J960" s="2">
        <v>45465</v>
      </c>
      <c r="K960">
        <v>24</v>
      </c>
      <c r="L960" t="s">
        <v>20</v>
      </c>
      <c r="M960">
        <v>34</v>
      </c>
      <c r="N960">
        <v>6</v>
      </c>
      <c r="O960">
        <v>3</v>
      </c>
      <c r="P960" t="s">
        <v>25</v>
      </c>
      <c r="Q960" s="1">
        <v>2</v>
      </c>
      <c r="R960" s="2">
        <v>46174</v>
      </c>
      <c r="S960" s="2"/>
      <c r="T960" s="1" t="str">
        <f t="shared" si="42"/>
        <v>sáb</v>
      </c>
      <c r="U960" s="1" t="str">
        <f t="shared" si="43"/>
        <v>jun</v>
      </c>
      <c r="V960">
        <f t="shared" si="44"/>
        <v>2024</v>
      </c>
      <c r="W960">
        <f>_xlfn.XLOOKUP(A960,Absenteismo!A:A,Absenteismo!A:A,0)</f>
        <v>1691</v>
      </c>
    </row>
    <row r="961" spans="1:23" x14ac:dyDescent="0.3">
      <c r="A961">
        <v>1765</v>
      </c>
      <c r="B961">
        <v>49</v>
      </c>
      <c r="C961" t="s">
        <v>26</v>
      </c>
      <c r="D961" t="s">
        <v>29</v>
      </c>
      <c r="E961" t="s">
        <v>17</v>
      </c>
      <c r="F961" t="s">
        <v>21</v>
      </c>
      <c r="G961">
        <v>120</v>
      </c>
      <c r="H961">
        <v>5040</v>
      </c>
      <c r="I961" t="s">
        <v>24</v>
      </c>
      <c r="J961" s="2">
        <v>42243</v>
      </c>
      <c r="K961">
        <v>8</v>
      </c>
      <c r="L961" t="s">
        <v>20</v>
      </c>
      <c r="M961">
        <v>34</v>
      </c>
      <c r="N961">
        <v>6</v>
      </c>
      <c r="O961">
        <v>5</v>
      </c>
      <c r="P961" t="s">
        <v>25</v>
      </c>
      <c r="Q961" s="1">
        <v>3</v>
      </c>
      <c r="R961" s="2">
        <v>46174</v>
      </c>
      <c r="S961" s="2"/>
      <c r="T961" s="1" t="str">
        <f t="shared" si="42"/>
        <v>qui</v>
      </c>
      <c r="U961" s="1" t="str">
        <f t="shared" si="43"/>
        <v>ago</v>
      </c>
      <c r="V961">
        <f t="shared" si="44"/>
        <v>2015</v>
      </c>
      <c r="W961">
        <f>_xlfn.XLOOKUP(A961,Absenteismo!A:A,Absenteismo!A:A,0)</f>
        <v>0</v>
      </c>
    </row>
    <row r="962" spans="1:23" hidden="1" x14ac:dyDescent="0.3">
      <c r="A962">
        <v>1795</v>
      </c>
      <c r="B962">
        <v>49</v>
      </c>
      <c r="C962" t="s">
        <v>26</v>
      </c>
      <c r="D962" t="s">
        <v>16</v>
      </c>
      <c r="E962" t="s">
        <v>17</v>
      </c>
      <c r="F962" t="s">
        <v>18</v>
      </c>
      <c r="G962">
        <v>22</v>
      </c>
      <c r="H962">
        <v>3946</v>
      </c>
      <c r="I962" t="s">
        <v>28</v>
      </c>
      <c r="J962" s="2">
        <v>45385</v>
      </c>
      <c r="K962">
        <v>32</v>
      </c>
      <c r="L962" t="s">
        <v>20</v>
      </c>
      <c r="M962">
        <v>34</v>
      </c>
      <c r="N962">
        <v>10</v>
      </c>
      <c r="O962">
        <v>2</v>
      </c>
      <c r="P962" t="s">
        <v>25</v>
      </c>
      <c r="Q962" s="1">
        <v>1</v>
      </c>
      <c r="R962" s="2">
        <v>46174</v>
      </c>
      <c r="S962" s="2"/>
      <c r="T962" s="1" t="str">
        <f t="shared" ref="T962:T1025" si="45">TEXT($J962,"ddd")</f>
        <v>qua</v>
      </c>
      <c r="U962" s="1" t="str">
        <f t="shared" ref="U962:U1025" si="46">TEXT($J962,"mmm")</f>
        <v>abr</v>
      </c>
      <c r="V962">
        <f t="shared" ref="V962:V1025" si="47">YEAR(J962)</f>
        <v>2024</v>
      </c>
      <c r="W962">
        <f>_xlfn.XLOOKUP(A962,Absenteismo!A:A,Absenteismo!A:A,0)</f>
        <v>1795</v>
      </c>
    </row>
    <row r="963" spans="1:23" hidden="1" x14ac:dyDescent="0.3">
      <c r="A963">
        <v>1828</v>
      </c>
      <c r="B963">
        <v>49</v>
      </c>
      <c r="C963" t="s">
        <v>26</v>
      </c>
      <c r="D963" t="s">
        <v>27</v>
      </c>
      <c r="E963" t="s">
        <v>17</v>
      </c>
      <c r="F963" t="s">
        <v>18</v>
      </c>
      <c r="G963">
        <v>63</v>
      </c>
      <c r="H963">
        <v>4170</v>
      </c>
      <c r="I963" t="s">
        <v>30</v>
      </c>
      <c r="J963" s="2">
        <v>44019</v>
      </c>
      <c r="K963">
        <v>37</v>
      </c>
      <c r="L963" t="s">
        <v>20</v>
      </c>
      <c r="M963">
        <v>14</v>
      </c>
      <c r="N963">
        <v>4</v>
      </c>
      <c r="O963">
        <v>2</v>
      </c>
      <c r="P963" t="s">
        <v>25</v>
      </c>
      <c r="Q963" s="1">
        <v>1</v>
      </c>
      <c r="R963" s="2">
        <v>46174</v>
      </c>
      <c r="S963" s="2"/>
      <c r="T963" s="1" t="str">
        <f t="shared" si="45"/>
        <v>ter</v>
      </c>
      <c r="U963" s="1" t="str">
        <f t="shared" si="46"/>
        <v>jul</v>
      </c>
      <c r="V963">
        <f t="shared" si="47"/>
        <v>2020</v>
      </c>
      <c r="W963">
        <f>_xlfn.XLOOKUP(A963,Absenteismo!A:A,Absenteismo!A:A,0)</f>
        <v>1828</v>
      </c>
    </row>
    <row r="964" spans="1:23" hidden="1" x14ac:dyDescent="0.3">
      <c r="A964">
        <v>1845</v>
      </c>
      <c r="B964">
        <v>49</v>
      </c>
      <c r="C964" t="s">
        <v>15</v>
      </c>
      <c r="D964" t="s">
        <v>29</v>
      </c>
      <c r="E964" t="s">
        <v>17</v>
      </c>
      <c r="F964" t="s">
        <v>23</v>
      </c>
      <c r="G964">
        <v>47</v>
      </c>
      <c r="H964">
        <v>5392</v>
      </c>
      <c r="I964" t="s">
        <v>19</v>
      </c>
      <c r="J964" s="2">
        <v>44638</v>
      </c>
      <c r="K964">
        <v>25</v>
      </c>
      <c r="L964" t="s">
        <v>25</v>
      </c>
      <c r="M964">
        <v>26</v>
      </c>
      <c r="N964">
        <v>5</v>
      </c>
      <c r="O964">
        <v>3</v>
      </c>
      <c r="P964" t="s">
        <v>25</v>
      </c>
      <c r="Q964" s="1">
        <v>2</v>
      </c>
      <c r="R964" s="2">
        <v>46174</v>
      </c>
      <c r="S964" s="2"/>
      <c r="T964" s="1" t="str">
        <f t="shared" si="45"/>
        <v>sex</v>
      </c>
      <c r="U964" s="1" t="str">
        <f t="shared" si="46"/>
        <v>mar</v>
      </c>
      <c r="V964">
        <f t="shared" si="47"/>
        <v>2022</v>
      </c>
      <c r="W964">
        <f>_xlfn.XLOOKUP(A964,Absenteismo!A:A,Absenteismo!A:A,0)</f>
        <v>1845</v>
      </c>
    </row>
    <row r="965" spans="1:23" hidden="1" x14ac:dyDescent="0.3">
      <c r="A965">
        <v>1913</v>
      </c>
      <c r="B965">
        <v>49</v>
      </c>
      <c r="C965" t="s">
        <v>15</v>
      </c>
      <c r="D965" t="s">
        <v>16</v>
      </c>
      <c r="E965" t="s">
        <v>17</v>
      </c>
      <c r="F965" t="s">
        <v>18</v>
      </c>
      <c r="G965">
        <v>113</v>
      </c>
      <c r="H965">
        <v>5319</v>
      </c>
      <c r="I965" t="s">
        <v>19</v>
      </c>
      <c r="J965" s="2">
        <v>42411</v>
      </c>
      <c r="K965">
        <v>4</v>
      </c>
      <c r="L965" t="s">
        <v>20</v>
      </c>
      <c r="M965">
        <v>5</v>
      </c>
      <c r="N965">
        <v>1</v>
      </c>
      <c r="O965">
        <v>5</v>
      </c>
      <c r="P965" t="s">
        <v>25</v>
      </c>
      <c r="Q965" s="1">
        <v>2</v>
      </c>
      <c r="R965" s="2">
        <v>46174</v>
      </c>
      <c r="S965" s="2"/>
      <c r="T965" s="1" t="str">
        <f t="shared" si="45"/>
        <v>qui</v>
      </c>
      <c r="U965" s="1" t="str">
        <f t="shared" si="46"/>
        <v>fev</v>
      </c>
      <c r="V965">
        <f t="shared" si="47"/>
        <v>2016</v>
      </c>
      <c r="W965">
        <f>_xlfn.XLOOKUP(A965,Absenteismo!A:A,Absenteismo!A:A,0)</f>
        <v>1913</v>
      </c>
    </row>
    <row r="966" spans="1:23" hidden="1" x14ac:dyDescent="0.3">
      <c r="A966">
        <v>1957</v>
      </c>
      <c r="B966">
        <v>49</v>
      </c>
      <c r="C966" t="s">
        <v>26</v>
      </c>
      <c r="D966" t="s">
        <v>22</v>
      </c>
      <c r="E966" t="s">
        <v>17</v>
      </c>
      <c r="F966" t="s">
        <v>23</v>
      </c>
      <c r="G966">
        <v>38</v>
      </c>
      <c r="H966">
        <v>4615</v>
      </c>
      <c r="I966" t="s">
        <v>33</v>
      </c>
      <c r="J966" s="2">
        <v>44606</v>
      </c>
      <c r="K966">
        <v>55</v>
      </c>
      <c r="L966" t="s">
        <v>20</v>
      </c>
      <c r="M966">
        <v>23</v>
      </c>
      <c r="N966">
        <v>7</v>
      </c>
      <c r="O966">
        <v>4</v>
      </c>
      <c r="P966" t="s">
        <v>25</v>
      </c>
      <c r="Q966" s="1">
        <v>1</v>
      </c>
      <c r="R966" s="2">
        <v>46174</v>
      </c>
      <c r="S966" s="2"/>
      <c r="T966" s="1" t="str">
        <f t="shared" si="45"/>
        <v>seg</v>
      </c>
      <c r="U966" s="1" t="str">
        <f t="shared" si="46"/>
        <v>fev</v>
      </c>
      <c r="V966">
        <f t="shared" si="47"/>
        <v>2022</v>
      </c>
      <c r="W966">
        <f>_xlfn.XLOOKUP(A966,Absenteismo!A:A,Absenteismo!A:A,0)</f>
        <v>1957</v>
      </c>
    </row>
    <row r="967" spans="1:23" hidden="1" x14ac:dyDescent="0.3">
      <c r="A967">
        <v>1991</v>
      </c>
      <c r="B967">
        <v>49</v>
      </c>
      <c r="C967" t="s">
        <v>15</v>
      </c>
      <c r="D967" t="s">
        <v>16</v>
      </c>
      <c r="E967" t="s">
        <v>17</v>
      </c>
      <c r="F967" t="s">
        <v>21</v>
      </c>
      <c r="G967">
        <v>18</v>
      </c>
      <c r="H967">
        <v>5983</v>
      </c>
      <c r="I967" t="s">
        <v>33</v>
      </c>
      <c r="J967" s="2">
        <v>45277</v>
      </c>
      <c r="K967">
        <v>24</v>
      </c>
      <c r="L967" t="s">
        <v>20</v>
      </c>
      <c r="M967">
        <v>34</v>
      </c>
      <c r="N967">
        <v>6</v>
      </c>
      <c r="O967">
        <v>3</v>
      </c>
      <c r="P967" t="s">
        <v>25</v>
      </c>
      <c r="Q967" s="1">
        <v>1</v>
      </c>
      <c r="R967" s="2">
        <v>46174</v>
      </c>
      <c r="S967" s="2"/>
      <c r="T967" s="1" t="str">
        <f t="shared" si="45"/>
        <v>dom</v>
      </c>
      <c r="U967" s="1" t="str">
        <f t="shared" si="46"/>
        <v>dez</v>
      </c>
      <c r="V967">
        <f t="shared" si="47"/>
        <v>2023</v>
      </c>
      <c r="W967">
        <f>_xlfn.XLOOKUP(A967,Absenteismo!A:A,Absenteismo!A:A,0)</f>
        <v>1991</v>
      </c>
    </row>
    <row r="968" spans="1:23" x14ac:dyDescent="0.3">
      <c r="A968">
        <v>2065</v>
      </c>
      <c r="B968">
        <v>49</v>
      </c>
      <c r="C968" t="s">
        <v>26</v>
      </c>
      <c r="D968" t="s">
        <v>29</v>
      </c>
      <c r="E968" t="s">
        <v>17</v>
      </c>
      <c r="F968" t="s">
        <v>21</v>
      </c>
      <c r="G968">
        <v>120</v>
      </c>
      <c r="H968">
        <v>5040</v>
      </c>
      <c r="I968" t="s">
        <v>24</v>
      </c>
      <c r="J968" s="2">
        <v>42369</v>
      </c>
      <c r="K968">
        <v>8</v>
      </c>
      <c r="L968" t="s">
        <v>20</v>
      </c>
      <c r="M968">
        <v>34</v>
      </c>
      <c r="N968">
        <v>6</v>
      </c>
      <c r="O968">
        <v>5</v>
      </c>
      <c r="P968" t="s">
        <v>25</v>
      </c>
      <c r="Q968" s="1">
        <v>3</v>
      </c>
      <c r="R968" s="2">
        <v>46174</v>
      </c>
      <c r="S968" s="2"/>
      <c r="T968" s="1" t="str">
        <f t="shared" si="45"/>
        <v>qui</v>
      </c>
      <c r="U968" s="1" t="str">
        <f t="shared" si="46"/>
        <v>dez</v>
      </c>
      <c r="V968">
        <f t="shared" si="47"/>
        <v>2015</v>
      </c>
      <c r="W968">
        <f>_xlfn.XLOOKUP(A968,Absenteismo!A:A,Absenteismo!A:A,0)</f>
        <v>0</v>
      </c>
    </row>
    <row r="969" spans="1:23" hidden="1" x14ac:dyDescent="0.3">
      <c r="A969">
        <v>2095</v>
      </c>
      <c r="B969">
        <v>49</v>
      </c>
      <c r="C969" t="s">
        <v>26</v>
      </c>
      <c r="D969" t="s">
        <v>16</v>
      </c>
      <c r="E969" t="s">
        <v>17</v>
      </c>
      <c r="F969" t="s">
        <v>18</v>
      </c>
      <c r="G969">
        <v>22</v>
      </c>
      <c r="H969">
        <v>3946</v>
      </c>
      <c r="I969" t="s">
        <v>28</v>
      </c>
      <c r="J969" s="2">
        <v>45435</v>
      </c>
      <c r="K969">
        <v>32</v>
      </c>
      <c r="L969" t="s">
        <v>20</v>
      </c>
      <c r="M969">
        <v>34</v>
      </c>
      <c r="N969">
        <v>10</v>
      </c>
      <c r="O969">
        <v>2</v>
      </c>
      <c r="P969" t="s">
        <v>25</v>
      </c>
      <c r="Q969" s="1">
        <v>3</v>
      </c>
      <c r="R969" s="2">
        <v>46174</v>
      </c>
      <c r="S969" s="2"/>
      <c r="T969" s="1" t="str">
        <f t="shared" si="45"/>
        <v>qui</v>
      </c>
      <c r="U969" s="1" t="str">
        <f t="shared" si="46"/>
        <v>mai</v>
      </c>
      <c r="V969">
        <f t="shared" si="47"/>
        <v>2024</v>
      </c>
      <c r="W969">
        <f>_xlfn.XLOOKUP(A969,Absenteismo!A:A,Absenteismo!A:A,0)</f>
        <v>2095</v>
      </c>
    </row>
    <row r="970" spans="1:23" hidden="1" x14ac:dyDescent="0.3">
      <c r="A970">
        <v>2128</v>
      </c>
      <c r="B970">
        <v>49</v>
      </c>
      <c r="C970" t="s">
        <v>26</v>
      </c>
      <c r="D970" t="s">
        <v>27</v>
      </c>
      <c r="E970" t="s">
        <v>17</v>
      </c>
      <c r="F970" t="s">
        <v>18</v>
      </c>
      <c r="G970">
        <v>63</v>
      </c>
      <c r="H970">
        <v>4170</v>
      </c>
      <c r="I970" t="s">
        <v>30</v>
      </c>
      <c r="J970" s="2">
        <v>43983</v>
      </c>
      <c r="K970">
        <v>37</v>
      </c>
      <c r="L970" t="s">
        <v>20</v>
      </c>
      <c r="M970">
        <v>14</v>
      </c>
      <c r="N970">
        <v>4</v>
      </c>
      <c r="O970">
        <v>2</v>
      </c>
      <c r="P970" t="s">
        <v>25</v>
      </c>
      <c r="Q970" s="1">
        <v>3</v>
      </c>
      <c r="R970" s="2">
        <v>46174</v>
      </c>
      <c r="S970" s="2"/>
      <c r="T970" s="1" t="str">
        <f t="shared" si="45"/>
        <v>seg</v>
      </c>
      <c r="U970" s="1" t="str">
        <f t="shared" si="46"/>
        <v>jun</v>
      </c>
      <c r="V970">
        <f t="shared" si="47"/>
        <v>2020</v>
      </c>
      <c r="W970">
        <f>_xlfn.XLOOKUP(A970,Absenteismo!A:A,Absenteismo!A:A,0)</f>
        <v>2128</v>
      </c>
    </row>
    <row r="971" spans="1:23" hidden="1" x14ac:dyDescent="0.3">
      <c r="A971">
        <v>2145</v>
      </c>
      <c r="B971">
        <v>49</v>
      </c>
      <c r="C971" t="s">
        <v>15</v>
      </c>
      <c r="D971" t="s">
        <v>29</v>
      </c>
      <c r="E971" t="s">
        <v>17</v>
      </c>
      <c r="F971" t="s">
        <v>23</v>
      </c>
      <c r="G971">
        <v>47</v>
      </c>
      <c r="H971">
        <v>5392</v>
      </c>
      <c r="I971" t="s">
        <v>19</v>
      </c>
      <c r="J971" s="2">
        <v>44750</v>
      </c>
      <c r="K971">
        <v>25</v>
      </c>
      <c r="L971" t="s">
        <v>25</v>
      </c>
      <c r="M971">
        <v>26</v>
      </c>
      <c r="N971">
        <v>5</v>
      </c>
      <c r="O971">
        <v>3</v>
      </c>
      <c r="P971" t="s">
        <v>25</v>
      </c>
      <c r="Q971" s="1">
        <v>2</v>
      </c>
      <c r="R971" s="2">
        <v>46174</v>
      </c>
      <c r="S971" s="2"/>
      <c r="T971" s="1" t="str">
        <f t="shared" si="45"/>
        <v>sex</v>
      </c>
      <c r="U971" s="1" t="str">
        <f t="shared" si="46"/>
        <v>jul</v>
      </c>
      <c r="V971">
        <f t="shared" si="47"/>
        <v>2022</v>
      </c>
      <c r="W971">
        <f>_xlfn.XLOOKUP(A971,Absenteismo!A:A,Absenteismo!A:A,0)</f>
        <v>2145</v>
      </c>
    </row>
    <row r="972" spans="1:23" hidden="1" x14ac:dyDescent="0.3">
      <c r="A972">
        <v>1969</v>
      </c>
      <c r="B972">
        <v>49</v>
      </c>
      <c r="C972" t="s">
        <v>15</v>
      </c>
      <c r="D972" t="s">
        <v>29</v>
      </c>
      <c r="E972" t="s">
        <v>17</v>
      </c>
      <c r="F972" t="s">
        <v>18</v>
      </c>
      <c r="G972">
        <v>43</v>
      </c>
      <c r="H972">
        <v>5430</v>
      </c>
      <c r="I972" t="s">
        <v>30</v>
      </c>
      <c r="J972" s="2">
        <v>44836</v>
      </c>
      <c r="K972">
        <v>55</v>
      </c>
      <c r="L972" t="s">
        <v>20</v>
      </c>
      <c r="M972">
        <v>26</v>
      </c>
      <c r="N972">
        <v>11</v>
      </c>
      <c r="O972">
        <v>5</v>
      </c>
      <c r="P972" t="s">
        <v>25</v>
      </c>
      <c r="Q972" s="1">
        <v>2</v>
      </c>
      <c r="R972" s="2">
        <v>46174</v>
      </c>
      <c r="S972" s="2"/>
      <c r="T972" s="1" t="str">
        <f t="shared" si="45"/>
        <v>dom</v>
      </c>
      <c r="U972" s="1" t="str">
        <f t="shared" si="46"/>
        <v>out</v>
      </c>
      <c r="V972">
        <f t="shared" si="47"/>
        <v>2022</v>
      </c>
      <c r="W972">
        <f>_xlfn.XLOOKUP(A972,Absenteismo!A:A,Absenteismo!A:A,0)</f>
        <v>1969</v>
      </c>
    </row>
    <row r="973" spans="1:23" hidden="1" x14ac:dyDescent="0.3">
      <c r="A973">
        <v>1972</v>
      </c>
      <c r="B973">
        <v>49</v>
      </c>
      <c r="C973" t="s">
        <v>15</v>
      </c>
      <c r="D973" t="s">
        <v>16</v>
      </c>
      <c r="E973" t="s">
        <v>17</v>
      </c>
      <c r="F973" t="s">
        <v>21</v>
      </c>
      <c r="G973">
        <v>78</v>
      </c>
      <c r="H973">
        <v>4760</v>
      </c>
      <c r="I973" t="s">
        <v>19</v>
      </c>
      <c r="J973" s="2">
        <v>43829</v>
      </c>
      <c r="K973">
        <v>20</v>
      </c>
      <c r="L973" t="s">
        <v>20</v>
      </c>
      <c r="M973">
        <v>35</v>
      </c>
      <c r="N973">
        <v>6</v>
      </c>
      <c r="O973">
        <v>2</v>
      </c>
      <c r="P973" t="s">
        <v>25</v>
      </c>
      <c r="Q973" s="1">
        <v>3</v>
      </c>
      <c r="R973" s="2">
        <v>46174</v>
      </c>
      <c r="S973" s="2"/>
      <c r="T973" s="1" t="str">
        <f t="shared" si="45"/>
        <v>seg</v>
      </c>
      <c r="U973" s="1" t="str">
        <f t="shared" si="46"/>
        <v>dez</v>
      </c>
      <c r="V973">
        <f t="shared" si="47"/>
        <v>2019</v>
      </c>
      <c r="W973">
        <f>_xlfn.XLOOKUP(A973,Absenteismo!A:A,Absenteismo!A:A,0)</f>
        <v>1972</v>
      </c>
    </row>
    <row r="974" spans="1:23" x14ac:dyDescent="0.3">
      <c r="A974">
        <v>2031</v>
      </c>
      <c r="B974">
        <v>49</v>
      </c>
      <c r="C974" t="s">
        <v>15</v>
      </c>
      <c r="D974" t="s">
        <v>27</v>
      </c>
      <c r="E974" t="s">
        <v>17</v>
      </c>
      <c r="F974" t="s">
        <v>21</v>
      </c>
      <c r="G974">
        <v>31</v>
      </c>
      <c r="H974">
        <v>3976</v>
      </c>
      <c r="I974" t="s">
        <v>24</v>
      </c>
      <c r="J974" s="2">
        <v>45116</v>
      </c>
      <c r="K974">
        <v>28</v>
      </c>
      <c r="L974" t="s">
        <v>20</v>
      </c>
      <c r="M974">
        <v>22</v>
      </c>
      <c r="N974">
        <v>3</v>
      </c>
      <c r="O974">
        <v>5</v>
      </c>
      <c r="P974" t="s">
        <v>25</v>
      </c>
      <c r="Q974" s="1">
        <v>2</v>
      </c>
      <c r="R974" s="2">
        <v>46174</v>
      </c>
      <c r="S974" s="2"/>
      <c r="T974" s="1" t="str">
        <f t="shared" si="45"/>
        <v>dom</v>
      </c>
      <c r="U974" s="1" t="str">
        <f t="shared" si="46"/>
        <v>jul</v>
      </c>
      <c r="V974">
        <f t="shared" si="47"/>
        <v>2023</v>
      </c>
      <c r="W974">
        <f>_xlfn.XLOOKUP(A974,Absenteismo!A:A,Absenteismo!A:A,0)</f>
        <v>0</v>
      </c>
    </row>
    <row r="975" spans="1:23" hidden="1" x14ac:dyDescent="0.3">
      <c r="A975">
        <v>1473</v>
      </c>
      <c r="B975">
        <v>50</v>
      </c>
      <c r="C975" t="s">
        <v>26</v>
      </c>
      <c r="D975" t="s">
        <v>16</v>
      </c>
      <c r="E975" t="s">
        <v>17</v>
      </c>
      <c r="F975" t="s">
        <v>21</v>
      </c>
      <c r="G975">
        <v>13</v>
      </c>
      <c r="H975">
        <v>4313</v>
      </c>
      <c r="I975" t="s">
        <v>19</v>
      </c>
      <c r="J975" s="2">
        <v>45465</v>
      </c>
      <c r="K975">
        <v>51</v>
      </c>
      <c r="L975" t="s">
        <v>25</v>
      </c>
      <c r="M975">
        <v>15</v>
      </c>
      <c r="N975">
        <v>0</v>
      </c>
      <c r="O975">
        <v>4</v>
      </c>
      <c r="P975" t="s">
        <v>20</v>
      </c>
      <c r="Q975" s="1">
        <v>1</v>
      </c>
      <c r="R975" s="2">
        <v>46174</v>
      </c>
      <c r="S975" s="2">
        <v>45860</v>
      </c>
      <c r="T975" s="1" t="str">
        <f t="shared" si="45"/>
        <v>sáb</v>
      </c>
      <c r="U975" s="1" t="str">
        <f t="shared" si="46"/>
        <v>jun</v>
      </c>
      <c r="V975">
        <f t="shared" si="47"/>
        <v>2024</v>
      </c>
      <c r="W975">
        <f>_xlfn.XLOOKUP(A975,Absenteismo!A:A,Absenteismo!A:A,0)</f>
        <v>1473</v>
      </c>
    </row>
    <row r="976" spans="1:23" hidden="1" x14ac:dyDescent="0.3">
      <c r="A976">
        <v>1335</v>
      </c>
      <c r="B976">
        <v>50</v>
      </c>
      <c r="C976" t="s">
        <v>15</v>
      </c>
      <c r="D976" t="s">
        <v>29</v>
      </c>
      <c r="E976" t="s">
        <v>17</v>
      </c>
      <c r="F976" t="s">
        <v>21</v>
      </c>
      <c r="G976">
        <v>25</v>
      </c>
      <c r="H976">
        <v>4886</v>
      </c>
      <c r="I976" t="s">
        <v>30</v>
      </c>
      <c r="J976" s="2">
        <v>45115</v>
      </c>
      <c r="K976">
        <v>46</v>
      </c>
      <c r="L976" t="s">
        <v>20</v>
      </c>
      <c r="M976">
        <v>33</v>
      </c>
      <c r="N976">
        <v>12</v>
      </c>
      <c r="O976">
        <v>3</v>
      </c>
      <c r="P976" t="s">
        <v>20</v>
      </c>
      <c r="Q976" s="1">
        <v>2</v>
      </c>
      <c r="R976" s="2">
        <v>46174</v>
      </c>
      <c r="S976" s="2">
        <v>45877</v>
      </c>
      <c r="T976" s="1" t="str">
        <f t="shared" si="45"/>
        <v>sáb</v>
      </c>
      <c r="U976" s="1" t="str">
        <f t="shared" si="46"/>
        <v>jul</v>
      </c>
      <c r="V976">
        <f t="shared" si="47"/>
        <v>2023</v>
      </c>
      <c r="W976">
        <f>_xlfn.XLOOKUP(A976,Absenteismo!A:A,Absenteismo!A:A,0)</f>
        <v>1335</v>
      </c>
    </row>
    <row r="977" spans="1:23" hidden="1" x14ac:dyDescent="0.3">
      <c r="A977">
        <v>1635</v>
      </c>
      <c r="B977">
        <v>50</v>
      </c>
      <c r="C977" t="s">
        <v>15</v>
      </c>
      <c r="D977" t="s">
        <v>29</v>
      </c>
      <c r="E977" t="s">
        <v>17</v>
      </c>
      <c r="F977" t="s">
        <v>21</v>
      </c>
      <c r="G977">
        <v>25</v>
      </c>
      <c r="H977">
        <v>4886</v>
      </c>
      <c r="I977" t="s">
        <v>30</v>
      </c>
      <c r="J977" s="2">
        <v>45181</v>
      </c>
      <c r="K977">
        <v>46</v>
      </c>
      <c r="L977" t="s">
        <v>20</v>
      </c>
      <c r="M977">
        <v>33</v>
      </c>
      <c r="N977">
        <v>12</v>
      </c>
      <c r="O977">
        <v>3</v>
      </c>
      <c r="P977" t="s">
        <v>20</v>
      </c>
      <c r="Q977" s="1">
        <v>1</v>
      </c>
      <c r="R977" s="2">
        <v>46174</v>
      </c>
      <c r="S977" s="2">
        <v>45942</v>
      </c>
      <c r="T977" s="1" t="str">
        <f t="shared" si="45"/>
        <v>ter</v>
      </c>
      <c r="U977" s="1" t="str">
        <f t="shared" si="46"/>
        <v>set</v>
      </c>
      <c r="V977">
        <f t="shared" si="47"/>
        <v>2023</v>
      </c>
      <c r="W977">
        <f>_xlfn.XLOOKUP(A977,Absenteismo!A:A,Absenteismo!A:A,0)</f>
        <v>1635</v>
      </c>
    </row>
    <row r="978" spans="1:23" hidden="1" x14ac:dyDescent="0.3">
      <c r="A978">
        <v>1773</v>
      </c>
      <c r="B978">
        <v>50</v>
      </c>
      <c r="C978" t="s">
        <v>26</v>
      </c>
      <c r="D978" t="s">
        <v>16</v>
      </c>
      <c r="E978" t="s">
        <v>17</v>
      </c>
      <c r="F978" t="s">
        <v>21</v>
      </c>
      <c r="G978">
        <v>13</v>
      </c>
      <c r="H978">
        <v>4313</v>
      </c>
      <c r="I978" t="s">
        <v>19</v>
      </c>
      <c r="J978" s="2">
        <v>45713</v>
      </c>
      <c r="K978">
        <v>31</v>
      </c>
      <c r="L978" t="s">
        <v>20</v>
      </c>
      <c r="M978">
        <v>15</v>
      </c>
      <c r="N978">
        <v>0</v>
      </c>
      <c r="O978">
        <v>4</v>
      </c>
      <c r="P978" t="s">
        <v>20</v>
      </c>
      <c r="Q978" s="1">
        <v>2</v>
      </c>
      <c r="R978" s="2">
        <v>46174</v>
      </c>
      <c r="S978" s="2">
        <v>46106</v>
      </c>
      <c r="T978" s="1" t="str">
        <f t="shared" si="45"/>
        <v>ter</v>
      </c>
      <c r="U978" s="1" t="str">
        <f t="shared" si="46"/>
        <v>fev</v>
      </c>
      <c r="V978">
        <f t="shared" si="47"/>
        <v>2025</v>
      </c>
      <c r="W978">
        <f>_xlfn.XLOOKUP(A978,Absenteismo!A:A,Absenteismo!A:A,0)</f>
        <v>1773</v>
      </c>
    </row>
    <row r="979" spans="1:23" x14ac:dyDescent="0.3">
      <c r="A979">
        <v>1173</v>
      </c>
      <c r="B979">
        <v>50</v>
      </c>
      <c r="C979" t="s">
        <v>26</v>
      </c>
      <c r="D979" t="s">
        <v>16</v>
      </c>
      <c r="E979" t="s">
        <v>17</v>
      </c>
      <c r="F979" t="s">
        <v>21</v>
      </c>
      <c r="G979">
        <v>13</v>
      </c>
      <c r="H979">
        <v>4313</v>
      </c>
      <c r="I979" t="s">
        <v>19</v>
      </c>
      <c r="J979" s="2">
        <v>45730</v>
      </c>
      <c r="K979">
        <v>51</v>
      </c>
      <c r="L979" t="s">
        <v>25</v>
      </c>
      <c r="M979">
        <v>15</v>
      </c>
      <c r="N979">
        <v>0</v>
      </c>
      <c r="O979">
        <v>4</v>
      </c>
      <c r="P979" t="s">
        <v>20</v>
      </c>
      <c r="Q979" s="1">
        <v>1</v>
      </c>
      <c r="R979" s="2">
        <v>46174</v>
      </c>
      <c r="S979" s="2">
        <v>46126</v>
      </c>
      <c r="T979" s="1" t="str">
        <f t="shared" si="45"/>
        <v>sex</v>
      </c>
      <c r="U979" s="1" t="str">
        <f t="shared" si="46"/>
        <v>mar</v>
      </c>
      <c r="V979">
        <f t="shared" si="47"/>
        <v>2025</v>
      </c>
      <c r="W979">
        <f>_xlfn.XLOOKUP(A979,Absenteismo!A:A,Absenteismo!A:A,0)</f>
        <v>0</v>
      </c>
    </row>
    <row r="980" spans="1:23" hidden="1" x14ac:dyDescent="0.3">
      <c r="A980">
        <v>1035</v>
      </c>
      <c r="B980">
        <v>50</v>
      </c>
      <c r="C980" t="s">
        <v>15</v>
      </c>
      <c r="D980" t="s">
        <v>29</v>
      </c>
      <c r="E980" t="s">
        <v>17</v>
      </c>
      <c r="F980" t="s">
        <v>21</v>
      </c>
      <c r="G980">
        <v>25</v>
      </c>
      <c r="H980">
        <v>4886</v>
      </c>
      <c r="I980" t="s">
        <v>30</v>
      </c>
      <c r="J980" s="2">
        <v>45276</v>
      </c>
      <c r="K980">
        <v>46</v>
      </c>
      <c r="L980" t="s">
        <v>20</v>
      </c>
      <c r="M980">
        <v>33</v>
      </c>
      <c r="N980">
        <v>12</v>
      </c>
      <c r="O980">
        <v>3</v>
      </c>
      <c r="P980" t="s">
        <v>25</v>
      </c>
      <c r="Q980" s="1">
        <v>3</v>
      </c>
      <c r="R980" s="2">
        <v>46174</v>
      </c>
      <c r="S980" s="2"/>
      <c r="T980" s="1" t="str">
        <f t="shared" si="45"/>
        <v>sáb</v>
      </c>
      <c r="U980" s="1" t="str">
        <f t="shared" si="46"/>
        <v>dez</v>
      </c>
      <c r="V980">
        <f t="shared" si="47"/>
        <v>2023</v>
      </c>
      <c r="W980">
        <f>_xlfn.XLOOKUP(A980,Absenteismo!A:A,Absenteismo!A:A,0)</f>
        <v>1035</v>
      </c>
    </row>
    <row r="981" spans="1:23" hidden="1" x14ac:dyDescent="0.3">
      <c r="A981">
        <v>1127</v>
      </c>
      <c r="B981">
        <v>50</v>
      </c>
      <c r="C981" t="s">
        <v>15</v>
      </c>
      <c r="D981" t="s">
        <v>22</v>
      </c>
      <c r="E981" t="s">
        <v>17</v>
      </c>
      <c r="F981" t="s">
        <v>23</v>
      </c>
      <c r="G981">
        <v>117</v>
      </c>
      <c r="H981">
        <v>4618</v>
      </c>
      <c r="I981" t="s">
        <v>33</v>
      </c>
      <c r="J981" s="2">
        <v>42453</v>
      </c>
      <c r="K981">
        <v>43</v>
      </c>
      <c r="L981" t="s">
        <v>20</v>
      </c>
      <c r="M981">
        <v>1</v>
      </c>
      <c r="N981">
        <v>6</v>
      </c>
      <c r="O981">
        <v>2</v>
      </c>
      <c r="P981" t="s">
        <v>25</v>
      </c>
      <c r="Q981" s="1">
        <v>2</v>
      </c>
      <c r="R981" s="2">
        <v>46174</v>
      </c>
      <c r="S981" s="2"/>
      <c r="T981" s="1" t="str">
        <f t="shared" si="45"/>
        <v>qui</v>
      </c>
      <c r="U981" s="1" t="str">
        <f t="shared" si="46"/>
        <v>mar</v>
      </c>
      <c r="V981">
        <f t="shared" si="47"/>
        <v>2016</v>
      </c>
      <c r="W981">
        <f>_xlfn.XLOOKUP(A981,Absenteismo!A:A,Absenteismo!A:A,0)</f>
        <v>1127</v>
      </c>
    </row>
    <row r="982" spans="1:23" hidden="1" x14ac:dyDescent="0.3">
      <c r="A982">
        <v>1247</v>
      </c>
      <c r="B982">
        <v>50</v>
      </c>
      <c r="C982" t="s">
        <v>26</v>
      </c>
      <c r="D982" t="s">
        <v>29</v>
      </c>
      <c r="E982" t="s">
        <v>17</v>
      </c>
      <c r="F982" t="s">
        <v>18</v>
      </c>
      <c r="G982">
        <v>11</v>
      </c>
      <c r="H982">
        <v>7195</v>
      </c>
      <c r="I982" t="s">
        <v>28</v>
      </c>
      <c r="J982" s="2">
        <v>45686</v>
      </c>
      <c r="K982">
        <v>40</v>
      </c>
      <c r="L982" t="s">
        <v>20</v>
      </c>
      <c r="M982">
        <v>5</v>
      </c>
      <c r="N982">
        <v>4</v>
      </c>
      <c r="O982">
        <v>2</v>
      </c>
      <c r="P982" t="s">
        <v>25</v>
      </c>
      <c r="Q982" s="1">
        <v>2</v>
      </c>
      <c r="R982" s="2">
        <v>46174</v>
      </c>
      <c r="S982" s="2"/>
      <c r="T982" s="1" t="str">
        <f t="shared" si="45"/>
        <v>qua</v>
      </c>
      <c r="U982" s="1" t="str">
        <f t="shared" si="46"/>
        <v>jan</v>
      </c>
      <c r="V982">
        <f t="shared" si="47"/>
        <v>2025</v>
      </c>
      <c r="W982">
        <f>_xlfn.XLOOKUP(A982,Absenteismo!A:A,Absenteismo!A:A,0)</f>
        <v>1247</v>
      </c>
    </row>
    <row r="983" spans="1:23" hidden="1" x14ac:dyDescent="0.3">
      <c r="A983">
        <v>1427</v>
      </c>
      <c r="B983">
        <v>50</v>
      </c>
      <c r="C983" t="s">
        <v>15</v>
      </c>
      <c r="D983" t="s">
        <v>22</v>
      </c>
      <c r="E983" t="s">
        <v>17</v>
      </c>
      <c r="F983" t="s">
        <v>23</v>
      </c>
      <c r="G983">
        <v>117</v>
      </c>
      <c r="H983">
        <v>4618</v>
      </c>
      <c r="I983" t="s">
        <v>33</v>
      </c>
      <c r="J983" s="2">
        <v>42219</v>
      </c>
      <c r="K983">
        <v>57</v>
      </c>
      <c r="L983" t="s">
        <v>20</v>
      </c>
      <c r="M983">
        <v>1</v>
      </c>
      <c r="N983">
        <v>6</v>
      </c>
      <c r="O983">
        <v>2</v>
      </c>
      <c r="P983" t="s">
        <v>25</v>
      </c>
      <c r="Q983" s="1">
        <v>3</v>
      </c>
      <c r="R983" s="2">
        <v>46174</v>
      </c>
      <c r="S983" s="2"/>
      <c r="T983" s="1" t="str">
        <f t="shared" si="45"/>
        <v>seg</v>
      </c>
      <c r="U983" s="1" t="str">
        <f t="shared" si="46"/>
        <v>ago</v>
      </c>
      <c r="V983">
        <f t="shared" si="47"/>
        <v>2015</v>
      </c>
      <c r="W983">
        <f>_xlfn.XLOOKUP(A983,Absenteismo!A:A,Absenteismo!A:A,0)</f>
        <v>1427</v>
      </c>
    </row>
    <row r="984" spans="1:23" hidden="1" x14ac:dyDescent="0.3">
      <c r="A984">
        <v>1547</v>
      </c>
      <c r="B984">
        <v>50</v>
      </c>
      <c r="C984" t="s">
        <v>26</v>
      </c>
      <c r="D984" t="s">
        <v>29</v>
      </c>
      <c r="E984" t="s">
        <v>17</v>
      </c>
      <c r="F984" t="s">
        <v>18</v>
      </c>
      <c r="G984">
        <v>11</v>
      </c>
      <c r="H984">
        <v>7195</v>
      </c>
      <c r="I984" t="s">
        <v>28</v>
      </c>
      <c r="J984" s="2">
        <v>45671</v>
      </c>
      <c r="K984">
        <v>40</v>
      </c>
      <c r="L984" t="s">
        <v>20</v>
      </c>
      <c r="M984">
        <v>5</v>
      </c>
      <c r="N984">
        <v>4</v>
      </c>
      <c r="O984">
        <v>2</v>
      </c>
      <c r="P984" t="s">
        <v>25</v>
      </c>
      <c r="Q984" s="1">
        <v>3</v>
      </c>
      <c r="R984" s="2">
        <v>46174</v>
      </c>
      <c r="S984" s="2"/>
      <c r="T984" s="1" t="str">
        <f t="shared" si="45"/>
        <v>ter</v>
      </c>
      <c r="U984" s="1" t="str">
        <f t="shared" si="46"/>
        <v>jan</v>
      </c>
      <c r="V984">
        <f t="shared" si="47"/>
        <v>2025</v>
      </c>
      <c r="W984">
        <f>_xlfn.XLOOKUP(A984,Absenteismo!A:A,Absenteismo!A:A,0)</f>
        <v>1547</v>
      </c>
    </row>
    <row r="985" spans="1:23" hidden="1" x14ac:dyDescent="0.3">
      <c r="A985">
        <v>1727</v>
      </c>
      <c r="B985">
        <v>50</v>
      </c>
      <c r="C985" t="s">
        <v>15</v>
      </c>
      <c r="D985" t="s">
        <v>22</v>
      </c>
      <c r="E985" t="s">
        <v>17</v>
      </c>
      <c r="F985" t="s">
        <v>23</v>
      </c>
      <c r="G985">
        <v>117</v>
      </c>
      <c r="H985">
        <v>4618</v>
      </c>
      <c r="I985" t="s">
        <v>33</v>
      </c>
      <c r="J985" s="2">
        <v>42499</v>
      </c>
      <c r="K985">
        <v>57</v>
      </c>
      <c r="L985" t="s">
        <v>20</v>
      </c>
      <c r="M985">
        <v>1</v>
      </c>
      <c r="N985">
        <v>6</v>
      </c>
      <c r="O985">
        <v>2</v>
      </c>
      <c r="P985" t="s">
        <v>25</v>
      </c>
      <c r="Q985" s="1">
        <v>1</v>
      </c>
      <c r="R985" s="2">
        <v>46174</v>
      </c>
      <c r="S985" s="2"/>
      <c r="T985" s="1" t="str">
        <f t="shared" si="45"/>
        <v>seg</v>
      </c>
      <c r="U985" s="1" t="str">
        <f t="shared" si="46"/>
        <v>mai</v>
      </c>
      <c r="V985">
        <f t="shared" si="47"/>
        <v>2016</v>
      </c>
      <c r="W985">
        <f>_xlfn.XLOOKUP(A985,Absenteismo!A:A,Absenteismo!A:A,0)</f>
        <v>1727</v>
      </c>
    </row>
    <row r="986" spans="1:23" hidden="1" x14ac:dyDescent="0.3">
      <c r="A986">
        <v>1847</v>
      </c>
      <c r="B986">
        <v>50</v>
      </c>
      <c r="C986" t="s">
        <v>26</v>
      </c>
      <c r="D986" t="s">
        <v>29</v>
      </c>
      <c r="E986" t="s">
        <v>17</v>
      </c>
      <c r="F986" t="s">
        <v>18</v>
      </c>
      <c r="G986">
        <v>11</v>
      </c>
      <c r="H986">
        <v>7195</v>
      </c>
      <c r="I986" t="s">
        <v>28</v>
      </c>
      <c r="J986" s="2">
        <v>45825</v>
      </c>
      <c r="K986">
        <v>40</v>
      </c>
      <c r="L986" t="s">
        <v>20</v>
      </c>
      <c r="M986">
        <v>5</v>
      </c>
      <c r="N986">
        <v>4</v>
      </c>
      <c r="O986">
        <v>2</v>
      </c>
      <c r="P986" t="s">
        <v>25</v>
      </c>
      <c r="Q986" s="1">
        <v>1</v>
      </c>
      <c r="R986" s="2">
        <v>46174</v>
      </c>
      <c r="S986" s="2"/>
      <c r="T986" s="1" t="str">
        <f t="shared" si="45"/>
        <v>ter</v>
      </c>
      <c r="U986" s="1" t="str">
        <f t="shared" si="46"/>
        <v>jun</v>
      </c>
      <c r="V986">
        <f t="shared" si="47"/>
        <v>2025</v>
      </c>
      <c r="W986">
        <f>_xlfn.XLOOKUP(A986,Absenteismo!A:A,Absenteismo!A:A,0)</f>
        <v>1847</v>
      </c>
    </row>
    <row r="987" spans="1:23" hidden="1" x14ac:dyDescent="0.3">
      <c r="A987">
        <v>2027</v>
      </c>
      <c r="B987">
        <v>50</v>
      </c>
      <c r="C987" t="s">
        <v>15</v>
      </c>
      <c r="D987" t="s">
        <v>22</v>
      </c>
      <c r="E987" t="s">
        <v>17</v>
      </c>
      <c r="F987" t="s">
        <v>23</v>
      </c>
      <c r="G987">
        <v>117</v>
      </c>
      <c r="H987">
        <v>4618</v>
      </c>
      <c r="I987" t="s">
        <v>33</v>
      </c>
      <c r="J987" s="2">
        <v>42359</v>
      </c>
      <c r="K987">
        <v>57</v>
      </c>
      <c r="L987" t="s">
        <v>20</v>
      </c>
      <c r="M987">
        <v>1</v>
      </c>
      <c r="N987">
        <v>6</v>
      </c>
      <c r="O987">
        <v>2</v>
      </c>
      <c r="P987" t="s">
        <v>25</v>
      </c>
      <c r="Q987" s="1">
        <v>1</v>
      </c>
      <c r="R987" s="2">
        <v>46174</v>
      </c>
      <c r="S987" s="2"/>
      <c r="T987" s="1" t="str">
        <f t="shared" si="45"/>
        <v>seg</v>
      </c>
      <c r="U987" s="1" t="str">
        <f t="shared" si="46"/>
        <v>dez</v>
      </c>
      <c r="V987">
        <f t="shared" si="47"/>
        <v>2015</v>
      </c>
      <c r="W987">
        <f>_xlfn.XLOOKUP(A987,Absenteismo!A:A,Absenteismo!A:A,0)</f>
        <v>2027</v>
      </c>
    </row>
    <row r="988" spans="1:23" hidden="1" x14ac:dyDescent="0.3">
      <c r="A988">
        <v>2147</v>
      </c>
      <c r="B988">
        <v>50</v>
      </c>
      <c r="C988" t="s">
        <v>26</v>
      </c>
      <c r="D988" t="s">
        <v>29</v>
      </c>
      <c r="E988" t="s">
        <v>17</v>
      </c>
      <c r="F988" t="s">
        <v>18</v>
      </c>
      <c r="G988">
        <v>11</v>
      </c>
      <c r="H988">
        <v>7195</v>
      </c>
      <c r="I988" t="s">
        <v>28</v>
      </c>
      <c r="J988" s="2">
        <v>45552</v>
      </c>
      <c r="K988">
        <v>40</v>
      </c>
      <c r="L988" t="s">
        <v>20</v>
      </c>
      <c r="M988">
        <v>5</v>
      </c>
      <c r="N988">
        <v>4</v>
      </c>
      <c r="O988">
        <v>2</v>
      </c>
      <c r="P988" t="s">
        <v>25</v>
      </c>
      <c r="Q988" s="1">
        <v>3</v>
      </c>
      <c r="R988" s="2">
        <v>46174</v>
      </c>
      <c r="S988" s="2"/>
      <c r="T988" s="1" t="str">
        <f t="shared" si="45"/>
        <v>ter</v>
      </c>
      <c r="U988" s="1" t="str">
        <f t="shared" si="46"/>
        <v>set</v>
      </c>
      <c r="V988">
        <f t="shared" si="47"/>
        <v>2024</v>
      </c>
      <c r="W988">
        <f>_xlfn.XLOOKUP(A988,Absenteismo!A:A,Absenteismo!A:A,0)</f>
        <v>2147</v>
      </c>
    </row>
    <row r="989" spans="1:23" hidden="1" x14ac:dyDescent="0.3">
      <c r="A989">
        <v>1935</v>
      </c>
      <c r="B989">
        <v>50</v>
      </c>
      <c r="C989" t="s">
        <v>15</v>
      </c>
      <c r="D989" t="s">
        <v>29</v>
      </c>
      <c r="E989" t="s">
        <v>17</v>
      </c>
      <c r="F989" t="s">
        <v>21</v>
      </c>
      <c r="G989">
        <v>25</v>
      </c>
      <c r="H989">
        <v>4886</v>
      </c>
      <c r="I989" t="s">
        <v>30</v>
      </c>
      <c r="J989" s="2">
        <v>45330</v>
      </c>
      <c r="K989">
        <v>46</v>
      </c>
      <c r="L989" t="s">
        <v>20</v>
      </c>
      <c r="M989">
        <v>33</v>
      </c>
      <c r="N989">
        <v>12</v>
      </c>
      <c r="O989">
        <v>3</v>
      </c>
      <c r="P989" t="s">
        <v>25</v>
      </c>
      <c r="Q989" s="1">
        <v>3</v>
      </c>
      <c r="R989" s="2">
        <v>46174</v>
      </c>
      <c r="S989" s="2"/>
      <c r="T989" s="1" t="str">
        <f t="shared" si="45"/>
        <v>qui</v>
      </c>
      <c r="U989" s="1" t="str">
        <f t="shared" si="46"/>
        <v>fev</v>
      </c>
      <c r="V989">
        <f t="shared" si="47"/>
        <v>2024</v>
      </c>
      <c r="W989">
        <f>_xlfn.XLOOKUP(A989,Absenteismo!A:A,Absenteismo!A:A,0)</f>
        <v>1935</v>
      </c>
    </row>
    <row r="990" spans="1:23" hidden="1" x14ac:dyDescent="0.3">
      <c r="A990">
        <v>2073</v>
      </c>
      <c r="B990">
        <v>50</v>
      </c>
      <c r="C990" t="s">
        <v>26</v>
      </c>
      <c r="D990" t="s">
        <v>16</v>
      </c>
      <c r="E990" t="s">
        <v>17</v>
      </c>
      <c r="F990" t="s">
        <v>21</v>
      </c>
      <c r="G990">
        <v>13</v>
      </c>
      <c r="H990">
        <v>4313</v>
      </c>
      <c r="I990" t="s">
        <v>19</v>
      </c>
      <c r="J990" s="2">
        <v>45392</v>
      </c>
      <c r="K990">
        <v>31</v>
      </c>
      <c r="L990" t="s">
        <v>20</v>
      </c>
      <c r="M990">
        <v>15</v>
      </c>
      <c r="N990">
        <v>0</v>
      </c>
      <c r="O990">
        <v>4</v>
      </c>
      <c r="P990" t="s">
        <v>25</v>
      </c>
      <c r="Q990" s="1">
        <v>1</v>
      </c>
      <c r="R990" s="2">
        <v>46174</v>
      </c>
      <c r="S990" s="2"/>
      <c r="T990" s="1" t="str">
        <f t="shared" si="45"/>
        <v>qua</v>
      </c>
      <c r="U990" s="1" t="str">
        <f t="shared" si="46"/>
        <v>abr</v>
      </c>
      <c r="V990">
        <f t="shared" si="47"/>
        <v>2024</v>
      </c>
      <c r="W990">
        <f>_xlfn.XLOOKUP(A990,Absenteismo!A:A,Absenteismo!A:A,0)</f>
        <v>2073</v>
      </c>
    </row>
    <row r="991" spans="1:23" hidden="1" x14ac:dyDescent="0.3">
      <c r="A991">
        <v>1294</v>
      </c>
      <c r="B991">
        <v>51</v>
      </c>
      <c r="C991" t="s">
        <v>15</v>
      </c>
      <c r="D991" t="s">
        <v>16</v>
      </c>
      <c r="E991" t="s">
        <v>17</v>
      </c>
      <c r="F991" t="s">
        <v>23</v>
      </c>
      <c r="G991">
        <v>108</v>
      </c>
      <c r="H991">
        <v>3272</v>
      </c>
      <c r="I991" t="s">
        <v>19</v>
      </c>
      <c r="J991" s="2">
        <v>42507</v>
      </c>
      <c r="K991">
        <v>3</v>
      </c>
      <c r="L991" t="s">
        <v>20</v>
      </c>
      <c r="M991">
        <v>23</v>
      </c>
      <c r="N991">
        <v>11</v>
      </c>
      <c r="O991">
        <v>3</v>
      </c>
      <c r="P991" t="s">
        <v>20</v>
      </c>
      <c r="Q991" s="1">
        <v>3</v>
      </c>
      <c r="R991" s="2">
        <v>46174</v>
      </c>
      <c r="S991" s="2">
        <v>45794</v>
      </c>
      <c r="T991" s="1" t="str">
        <f t="shared" si="45"/>
        <v>ter</v>
      </c>
      <c r="U991" s="1" t="str">
        <f t="shared" si="46"/>
        <v>mai</v>
      </c>
      <c r="V991">
        <f t="shared" si="47"/>
        <v>2016</v>
      </c>
      <c r="W991">
        <f>_xlfn.XLOOKUP(A991,Absenteismo!A:A,Absenteismo!A:A,0)</f>
        <v>1294</v>
      </c>
    </row>
    <row r="992" spans="1:23" hidden="1" x14ac:dyDescent="0.3">
      <c r="A992">
        <v>1642</v>
      </c>
      <c r="B992">
        <v>51</v>
      </c>
      <c r="C992" t="s">
        <v>26</v>
      </c>
      <c r="D992" t="s">
        <v>31</v>
      </c>
      <c r="E992" t="s">
        <v>34</v>
      </c>
      <c r="F992" t="s">
        <v>21</v>
      </c>
      <c r="G992">
        <v>105</v>
      </c>
      <c r="H992">
        <v>6935</v>
      </c>
      <c r="I992" t="s">
        <v>33</v>
      </c>
      <c r="J992" s="2">
        <v>42660</v>
      </c>
      <c r="K992">
        <v>53</v>
      </c>
      <c r="L992" t="s">
        <v>25</v>
      </c>
      <c r="M992">
        <v>28</v>
      </c>
      <c r="N992">
        <v>2</v>
      </c>
      <c r="O992">
        <v>5</v>
      </c>
      <c r="P992" t="s">
        <v>20</v>
      </c>
      <c r="Q992" s="1">
        <v>1</v>
      </c>
      <c r="R992" s="2">
        <v>46174</v>
      </c>
      <c r="S992" s="2">
        <v>45855</v>
      </c>
      <c r="T992" s="1" t="str">
        <f t="shared" si="45"/>
        <v>seg</v>
      </c>
      <c r="U992" s="1" t="str">
        <f t="shared" si="46"/>
        <v>out</v>
      </c>
      <c r="V992">
        <f t="shared" si="47"/>
        <v>2016</v>
      </c>
      <c r="W992">
        <f>_xlfn.XLOOKUP(A992,Absenteismo!A:A,Absenteismo!A:A,0)</f>
        <v>1642</v>
      </c>
    </row>
    <row r="993" spans="1:23" hidden="1" x14ac:dyDescent="0.3">
      <c r="A993">
        <v>1342</v>
      </c>
      <c r="B993">
        <v>51</v>
      </c>
      <c r="C993" t="s">
        <v>26</v>
      </c>
      <c r="D993" t="s">
        <v>31</v>
      </c>
      <c r="E993" t="s">
        <v>34</v>
      </c>
      <c r="F993" t="s">
        <v>21</v>
      </c>
      <c r="G993">
        <v>105</v>
      </c>
      <c r="H993">
        <v>6935</v>
      </c>
      <c r="I993" t="s">
        <v>33</v>
      </c>
      <c r="J993" s="2">
        <v>42843</v>
      </c>
      <c r="K993">
        <v>46</v>
      </c>
      <c r="L993" t="s">
        <v>25</v>
      </c>
      <c r="M993">
        <v>28</v>
      </c>
      <c r="N993">
        <v>2</v>
      </c>
      <c r="O993">
        <v>5</v>
      </c>
      <c r="P993" t="s">
        <v>20</v>
      </c>
      <c r="Q993" s="1">
        <v>3</v>
      </c>
      <c r="R993" s="2">
        <v>46174</v>
      </c>
      <c r="S993" s="2">
        <v>46040</v>
      </c>
      <c r="T993" s="1" t="str">
        <f t="shared" si="45"/>
        <v>ter</v>
      </c>
      <c r="U993" s="1" t="str">
        <f t="shared" si="46"/>
        <v>abr</v>
      </c>
      <c r="V993">
        <f t="shared" si="47"/>
        <v>2017</v>
      </c>
      <c r="W993">
        <f>_xlfn.XLOOKUP(A993,Absenteismo!A:A,Absenteismo!A:A,0)</f>
        <v>1342</v>
      </c>
    </row>
    <row r="994" spans="1:23" x14ac:dyDescent="0.3">
      <c r="A994">
        <v>1042</v>
      </c>
      <c r="B994">
        <v>51</v>
      </c>
      <c r="C994" t="s">
        <v>26</v>
      </c>
      <c r="D994" t="s">
        <v>31</v>
      </c>
      <c r="E994" t="s">
        <v>34</v>
      </c>
      <c r="F994" t="s">
        <v>21</v>
      </c>
      <c r="G994">
        <v>105</v>
      </c>
      <c r="H994">
        <v>6935</v>
      </c>
      <c r="I994" t="s">
        <v>33</v>
      </c>
      <c r="J994" s="2">
        <v>42963</v>
      </c>
      <c r="K994">
        <v>53</v>
      </c>
      <c r="L994" t="s">
        <v>25</v>
      </c>
      <c r="M994">
        <v>28</v>
      </c>
      <c r="N994">
        <v>2</v>
      </c>
      <c r="O994">
        <v>5</v>
      </c>
      <c r="P994" t="s">
        <v>20</v>
      </c>
      <c r="Q994" s="1">
        <v>2</v>
      </c>
      <c r="R994" s="2">
        <v>46174</v>
      </c>
      <c r="S994" s="2">
        <v>46158</v>
      </c>
      <c r="T994" s="1" t="str">
        <f t="shared" si="45"/>
        <v>qua</v>
      </c>
      <c r="U994" s="1" t="str">
        <f t="shared" si="46"/>
        <v>ago</v>
      </c>
      <c r="V994">
        <f t="shared" si="47"/>
        <v>2017</v>
      </c>
      <c r="W994">
        <f>_xlfn.XLOOKUP(A994,Absenteismo!A:A,Absenteismo!A:A,0)</f>
        <v>0</v>
      </c>
    </row>
    <row r="995" spans="1:23" x14ac:dyDescent="0.3">
      <c r="A995">
        <v>1148</v>
      </c>
      <c r="B995">
        <v>51</v>
      </c>
      <c r="C995" t="s">
        <v>26</v>
      </c>
      <c r="D995" t="s">
        <v>22</v>
      </c>
      <c r="E995" t="s">
        <v>17</v>
      </c>
      <c r="F995" t="s">
        <v>18</v>
      </c>
      <c r="G995">
        <v>26</v>
      </c>
      <c r="H995">
        <v>7312</v>
      </c>
      <c r="I995" t="s">
        <v>24</v>
      </c>
      <c r="J995" s="2">
        <v>45384</v>
      </c>
      <c r="K995">
        <v>9</v>
      </c>
      <c r="L995" t="s">
        <v>20</v>
      </c>
      <c r="M995">
        <v>34</v>
      </c>
      <c r="N995">
        <v>1</v>
      </c>
      <c r="O995">
        <v>3</v>
      </c>
      <c r="P995" t="s">
        <v>25</v>
      </c>
      <c r="Q995" s="1">
        <v>1</v>
      </c>
      <c r="R995" s="2">
        <v>46174</v>
      </c>
      <c r="S995" s="2"/>
      <c r="T995" s="1" t="str">
        <f t="shared" si="45"/>
        <v>ter</v>
      </c>
      <c r="U995" s="1" t="str">
        <f t="shared" si="46"/>
        <v>abr</v>
      </c>
      <c r="V995">
        <f t="shared" si="47"/>
        <v>2024</v>
      </c>
      <c r="W995">
        <f>_xlfn.XLOOKUP(A995,Absenteismo!A:A,Absenteismo!A:A,0)</f>
        <v>0</v>
      </c>
    </row>
    <row r="996" spans="1:23" x14ac:dyDescent="0.3">
      <c r="A996">
        <v>1199</v>
      </c>
      <c r="B996">
        <v>51</v>
      </c>
      <c r="C996" t="s">
        <v>26</v>
      </c>
      <c r="D996" t="s">
        <v>22</v>
      </c>
      <c r="E996" t="s">
        <v>17</v>
      </c>
      <c r="F996" t="s">
        <v>18</v>
      </c>
      <c r="G996">
        <v>102</v>
      </c>
      <c r="H996">
        <v>6051</v>
      </c>
      <c r="I996" t="s">
        <v>30</v>
      </c>
      <c r="J996" s="2">
        <v>42708</v>
      </c>
      <c r="K996">
        <v>24</v>
      </c>
      <c r="L996" t="s">
        <v>25</v>
      </c>
      <c r="M996">
        <v>29</v>
      </c>
      <c r="N996">
        <v>9</v>
      </c>
      <c r="O996">
        <v>3</v>
      </c>
      <c r="P996" t="s">
        <v>25</v>
      </c>
      <c r="Q996" s="1">
        <v>1</v>
      </c>
      <c r="R996" s="2">
        <v>46174</v>
      </c>
      <c r="S996" s="2"/>
      <c r="T996" s="1" t="str">
        <f t="shared" si="45"/>
        <v>dom</v>
      </c>
      <c r="U996" s="1" t="str">
        <f t="shared" si="46"/>
        <v>dez</v>
      </c>
      <c r="V996">
        <f t="shared" si="47"/>
        <v>2016</v>
      </c>
      <c r="W996">
        <f>_xlfn.XLOOKUP(A996,Absenteismo!A:A,Absenteismo!A:A,0)</f>
        <v>0</v>
      </c>
    </row>
    <row r="997" spans="1:23" x14ac:dyDescent="0.3">
      <c r="A997">
        <v>1448</v>
      </c>
      <c r="B997">
        <v>51</v>
      </c>
      <c r="C997" t="s">
        <v>26</v>
      </c>
      <c r="D997" t="s">
        <v>22</v>
      </c>
      <c r="E997" t="s">
        <v>17</v>
      </c>
      <c r="F997" t="s">
        <v>18</v>
      </c>
      <c r="G997">
        <v>26</v>
      </c>
      <c r="H997">
        <v>7312</v>
      </c>
      <c r="I997" t="s">
        <v>24</v>
      </c>
      <c r="J997" s="2">
        <v>44978</v>
      </c>
      <c r="K997">
        <v>9</v>
      </c>
      <c r="L997" t="s">
        <v>20</v>
      </c>
      <c r="M997">
        <v>34</v>
      </c>
      <c r="N997">
        <v>1</v>
      </c>
      <c r="O997">
        <v>3</v>
      </c>
      <c r="P997" t="s">
        <v>25</v>
      </c>
      <c r="Q997" s="1">
        <v>3</v>
      </c>
      <c r="R997" s="2">
        <v>46174</v>
      </c>
      <c r="S997" s="2"/>
      <c r="T997" s="1" t="str">
        <f t="shared" si="45"/>
        <v>ter</v>
      </c>
      <c r="U997" s="1" t="str">
        <f t="shared" si="46"/>
        <v>fev</v>
      </c>
      <c r="V997">
        <f t="shared" si="47"/>
        <v>2023</v>
      </c>
      <c r="W997">
        <f>_xlfn.XLOOKUP(A997,Absenteismo!A:A,Absenteismo!A:A,0)</f>
        <v>0</v>
      </c>
    </row>
    <row r="998" spans="1:23" hidden="1" x14ac:dyDescent="0.3">
      <c r="A998">
        <v>1499</v>
      </c>
      <c r="B998">
        <v>51</v>
      </c>
      <c r="C998" t="s">
        <v>26</v>
      </c>
      <c r="D998" t="s">
        <v>22</v>
      </c>
      <c r="E998" t="s">
        <v>17</v>
      </c>
      <c r="F998" t="s">
        <v>18</v>
      </c>
      <c r="G998">
        <v>102</v>
      </c>
      <c r="H998">
        <v>6051</v>
      </c>
      <c r="I998" t="s">
        <v>30</v>
      </c>
      <c r="J998" s="2">
        <v>42762</v>
      </c>
      <c r="K998">
        <v>24</v>
      </c>
      <c r="L998" t="s">
        <v>25</v>
      </c>
      <c r="M998">
        <v>29</v>
      </c>
      <c r="N998">
        <v>9</v>
      </c>
      <c r="O998">
        <v>3</v>
      </c>
      <c r="P998" t="s">
        <v>25</v>
      </c>
      <c r="Q998" s="1">
        <v>1</v>
      </c>
      <c r="R998" s="2">
        <v>46174</v>
      </c>
      <c r="S998" s="2"/>
      <c r="T998" s="1" t="str">
        <f t="shared" si="45"/>
        <v>sex</v>
      </c>
      <c r="U998" s="1" t="str">
        <f t="shared" si="46"/>
        <v>jan</v>
      </c>
      <c r="V998">
        <f t="shared" si="47"/>
        <v>2017</v>
      </c>
      <c r="W998">
        <f>_xlfn.XLOOKUP(A998,Absenteismo!A:A,Absenteismo!A:A,0)</f>
        <v>1499</v>
      </c>
    </row>
    <row r="999" spans="1:23" hidden="1" x14ac:dyDescent="0.3">
      <c r="A999">
        <v>1594</v>
      </c>
      <c r="B999">
        <v>51</v>
      </c>
      <c r="C999" t="s">
        <v>15</v>
      </c>
      <c r="D999" t="s">
        <v>16</v>
      </c>
      <c r="E999" t="s">
        <v>17</v>
      </c>
      <c r="F999" t="s">
        <v>23</v>
      </c>
      <c r="G999">
        <v>108</v>
      </c>
      <c r="H999">
        <v>3272</v>
      </c>
      <c r="I999" t="s">
        <v>19</v>
      </c>
      <c r="J999" s="2">
        <v>42525</v>
      </c>
      <c r="K999">
        <v>3</v>
      </c>
      <c r="L999" t="s">
        <v>20</v>
      </c>
      <c r="M999">
        <v>23</v>
      </c>
      <c r="N999">
        <v>11</v>
      </c>
      <c r="O999">
        <v>3</v>
      </c>
      <c r="P999" t="s">
        <v>25</v>
      </c>
      <c r="Q999" s="1">
        <v>1</v>
      </c>
      <c r="R999" s="2">
        <v>46174</v>
      </c>
      <c r="S999" s="2"/>
      <c r="T999" s="1" t="str">
        <f t="shared" si="45"/>
        <v>sáb</v>
      </c>
      <c r="U999" s="1" t="str">
        <f t="shared" si="46"/>
        <v>jun</v>
      </c>
      <c r="V999">
        <f t="shared" si="47"/>
        <v>2016</v>
      </c>
      <c r="W999">
        <f>_xlfn.XLOOKUP(A999,Absenteismo!A:A,Absenteismo!A:A,0)</f>
        <v>1594</v>
      </c>
    </row>
    <row r="1000" spans="1:23" x14ac:dyDescent="0.3">
      <c r="A1000">
        <v>1748</v>
      </c>
      <c r="B1000">
        <v>51</v>
      </c>
      <c r="C1000" t="s">
        <v>26</v>
      </c>
      <c r="D1000" t="s">
        <v>22</v>
      </c>
      <c r="E1000" t="s">
        <v>17</v>
      </c>
      <c r="F1000" t="s">
        <v>18</v>
      </c>
      <c r="G1000">
        <v>26</v>
      </c>
      <c r="H1000">
        <v>7312</v>
      </c>
      <c r="I1000" t="s">
        <v>24</v>
      </c>
      <c r="J1000" s="2">
        <v>45192</v>
      </c>
      <c r="K1000">
        <v>9</v>
      </c>
      <c r="L1000" t="s">
        <v>20</v>
      </c>
      <c r="M1000">
        <v>34</v>
      </c>
      <c r="N1000">
        <v>1</v>
      </c>
      <c r="O1000">
        <v>3</v>
      </c>
      <c r="P1000" t="s">
        <v>25</v>
      </c>
      <c r="Q1000" s="1">
        <v>2</v>
      </c>
      <c r="R1000" s="2">
        <v>46174</v>
      </c>
      <c r="S1000" s="2"/>
      <c r="T1000" s="1" t="str">
        <f t="shared" si="45"/>
        <v>sáb</v>
      </c>
      <c r="U1000" s="1" t="str">
        <f t="shared" si="46"/>
        <v>set</v>
      </c>
      <c r="V1000">
        <f t="shared" si="47"/>
        <v>2023</v>
      </c>
      <c r="W1000">
        <f>_xlfn.XLOOKUP(A1000,Absenteismo!A:A,Absenteismo!A:A,0)</f>
        <v>0</v>
      </c>
    </row>
    <row r="1001" spans="1:23" hidden="1" x14ac:dyDescent="0.3">
      <c r="A1001">
        <v>1799</v>
      </c>
      <c r="B1001">
        <v>51</v>
      </c>
      <c r="C1001" t="s">
        <v>26</v>
      </c>
      <c r="D1001" t="s">
        <v>22</v>
      </c>
      <c r="E1001" t="s">
        <v>17</v>
      </c>
      <c r="F1001" t="s">
        <v>18</v>
      </c>
      <c r="G1001">
        <v>102</v>
      </c>
      <c r="H1001">
        <v>6051</v>
      </c>
      <c r="I1001" t="s">
        <v>30</v>
      </c>
      <c r="J1001" s="2">
        <v>42697</v>
      </c>
      <c r="K1001">
        <v>24</v>
      </c>
      <c r="L1001" t="s">
        <v>25</v>
      </c>
      <c r="M1001">
        <v>29</v>
      </c>
      <c r="N1001">
        <v>9</v>
      </c>
      <c r="O1001">
        <v>3</v>
      </c>
      <c r="P1001" t="s">
        <v>25</v>
      </c>
      <c r="Q1001" s="1">
        <v>1</v>
      </c>
      <c r="R1001" s="2">
        <v>46174</v>
      </c>
      <c r="S1001" s="2"/>
      <c r="T1001" s="1" t="str">
        <f t="shared" si="45"/>
        <v>qua</v>
      </c>
      <c r="U1001" s="1" t="str">
        <f t="shared" si="46"/>
        <v>nov</v>
      </c>
      <c r="V1001">
        <f t="shared" si="47"/>
        <v>2016</v>
      </c>
      <c r="W1001">
        <f>_xlfn.XLOOKUP(A1001,Absenteismo!A:A,Absenteismo!A:A,0)</f>
        <v>1799</v>
      </c>
    </row>
    <row r="1002" spans="1:23" hidden="1" x14ac:dyDescent="0.3">
      <c r="A1002">
        <v>1894</v>
      </c>
      <c r="B1002">
        <v>51</v>
      </c>
      <c r="C1002" t="s">
        <v>15</v>
      </c>
      <c r="D1002" t="s">
        <v>16</v>
      </c>
      <c r="E1002" t="s">
        <v>17</v>
      </c>
      <c r="F1002" t="s">
        <v>23</v>
      </c>
      <c r="G1002">
        <v>108</v>
      </c>
      <c r="H1002">
        <v>3272</v>
      </c>
      <c r="I1002" t="s">
        <v>19</v>
      </c>
      <c r="J1002" s="2">
        <v>42779</v>
      </c>
      <c r="K1002">
        <v>3</v>
      </c>
      <c r="L1002" t="s">
        <v>20</v>
      </c>
      <c r="M1002">
        <v>23</v>
      </c>
      <c r="N1002">
        <v>11</v>
      </c>
      <c r="O1002">
        <v>3</v>
      </c>
      <c r="P1002" t="s">
        <v>25</v>
      </c>
      <c r="Q1002" s="1">
        <v>3</v>
      </c>
      <c r="R1002" s="2">
        <v>46174</v>
      </c>
      <c r="S1002" s="2"/>
      <c r="T1002" s="1" t="str">
        <f t="shared" si="45"/>
        <v>seg</v>
      </c>
      <c r="U1002" s="1" t="str">
        <f t="shared" si="46"/>
        <v>fev</v>
      </c>
      <c r="V1002">
        <f t="shared" si="47"/>
        <v>2017</v>
      </c>
      <c r="W1002">
        <f>_xlfn.XLOOKUP(A1002,Absenteismo!A:A,Absenteismo!A:A,0)</f>
        <v>1894</v>
      </c>
    </row>
    <row r="1003" spans="1:23" x14ac:dyDescent="0.3">
      <c r="A1003">
        <v>2048</v>
      </c>
      <c r="B1003">
        <v>51</v>
      </c>
      <c r="C1003" t="s">
        <v>26</v>
      </c>
      <c r="D1003" t="s">
        <v>22</v>
      </c>
      <c r="E1003" t="s">
        <v>17</v>
      </c>
      <c r="F1003" t="s">
        <v>18</v>
      </c>
      <c r="G1003">
        <v>26</v>
      </c>
      <c r="H1003">
        <v>7312</v>
      </c>
      <c r="I1003" t="s">
        <v>24</v>
      </c>
      <c r="J1003" s="2">
        <v>45030</v>
      </c>
      <c r="K1003">
        <v>9</v>
      </c>
      <c r="L1003" t="s">
        <v>20</v>
      </c>
      <c r="M1003">
        <v>34</v>
      </c>
      <c r="N1003">
        <v>1</v>
      </c>
      <c r="O1003">
        <v>3</v>
      </c>
      <c r="P1003" t="s">
        <v>25</v>
      </c>
      <c r="Q1003" s="1">
        <v>3</v>
      </c>
      <c r="R1003" s="2">
        <v>46174</v>
      </c>
      <c r="S1003" s="2"/>
      <c r="T1003" s="1" t="str">
        <f t="shared" si="45"/>
        <v>sex</v>
      </c>
      <c r="U1003" s="1" t="str">
        <f t="shared" si="46"/>
        <v>abr</v>
      </c>
      <c r="V1003">
        <f t="shared" si="47"/>
        <v>2023</v>
      </c>
      <c r="W1003">
        <f>_xlfn.XLOOKUP(A1003,Absenteismo!A:A,Absenteismo!A:A,0)</f>
        <v>0</v>
      </c>
    </row>
    <row r="1004" spans="1:23" hidden="1" x14ac:dyDescent="0.3">
      <c r="A1004">
        <v>2099</v>
      </c>
      <c r="B1004">
        <v>51</v>
      </c>
      <c r="C1004" t="s">
        <v>26</v>
      </c>
      <c r="D1004" t="s">
        <v>22</v>
      </c>
      <c r="E1004" t="s">
        <v>17</v>
      </c>
      <c r="F1004" t="s">
        <v>18</v>
      </c>
      <c r="G1004">
        <v>102</v>
      </c>
      <c r="H1004">
        <v>6051</v>
      </c>
      <c r="I1004" t="s">
        <v>30</v>
      </c>
      <c r="J1004" s="2">
        <v>42867</v>
      </c>
      <c r="K1004">
        <v>24</v>
      </c>
      <c r="L1004" t="s">
        <v>25</v>
      </c>
      <c r="M1004">
        <v>29</v>
      </c>
      <c r="N1004">
        <v>9</v>
      </c>
      <c r="O1004">
        <v>3</v>
      </c>
      <c r="P1004" t="s">
        <v>25</v>
      </c>
      <c r="Q1004" s="1">
        <v>2</v>
      </c>
      <c r="R1004" s="2">
        <v>46174</v>
      </c>
      <c r="S1004" s="2"/>
      <c r="T1004" s="1" t="str">
        <f t="shared" si="45"/>
        <v>sex</v>
      </c>
      <c r="U1004" s="1" t="str">
        <f t="shared" si="46"/>
        <v>mai</v>
      </c>
      <c r="V1004">
        <f t="shared" si="47"/>
        <v>2017</v>
      </c>
      <c r="W1004">
        <f>_xlfn.XLOOKUP(A1004,Absenteismo!A:A,Absenteismo!A:A,0)</f>
        <v>2099</v>
      </c>
    </row>
    <row r="1005" spans="1:23" hidden="1" x14ac:dyDescent="0.3">
      <c r="A1005">
        <v>1942</v>
      </c>
      <c r="B1005">
        <v>51</v>
      </c>
      <c r="C1005" t="s">
        <v>26</v>
      </c>
      <c r="D1005" t="s">
        <v>31</v>
      </c>
      <c r="E1005" t="s">
        <v>34</v>
      </c>
      <c r="F1005" t="s">
        <v>21</v>
      </c>
      <c r="G1005">
        <v>105</v>
      </c>
      <c r="H1005">
        <v>6935</v>
      </c>
      <c r="I1005" t="s">
        <v>33</v>
      </c>
      <c r="J1005" s="2">
        <v>42840</v>
      </c>
      <c r="K1005">
        <v>54</v>
      </c>
      <c r="L1005" t="s">
        <v>25</v>
      </c>
      <c r="M1005">
        <v>28</v>
      </c>
      <c r="N1005">
        <v>2</v>
      </c>
      <c r="O1005">
        <v>5</v>
      </c>
      <c r="P1005" t="s">
        <v>25</v>
      </c>
      <c r="Q1005" s="1">
        <v>1</v>
      </c>
      <c r="R1005" s="2">
        <v>46174</v>
      </c>
      <c r="S1005" s="2"/>
      <c r="T1005" s="1" t="str">
        <f t="shared" si="45"/>
        <v>sáb</v>
      </c>
      <c r="U1005" s="1" t="str">
        <f t="shared" si="46"/>
        <v>abr</v>
      </c>
      <c r="V1005">
        <f t="shared" si="47"/>
        <v>2017</v>
      </c>
      <c r="W1005">
        <f>_xlfn.XLOOKUP(A1005,Absenteismo!A:A,Absenteismo!A:A,0)</f>
        <v>1942</v>
      </c>
    </row>
    <row r="1006" spans="1:23" hidden="1" x14ac:dyDescent="0.3">
      <c r="A1006">
        <v>2194</v>
      </c>
      <c r="B1006">
        <v>51</v>
      </c>
      <c r="C1006" t="s">
        <v>15</v>
      </c>
      <c r="D1006" t="s">
        <v>16</v>
      </c>
      <c r="E1006" t="s">
        <v>17</v>
      </c>
      <c r="F1006" t="s">
        <v>23</v>
      </c>
      <c r="G1006">
        <v>108</v>
      </c>
      <c r="H1006">
        <v>3272</v>
      </c>
      <c r="I1006" t="s">
        <v>19</v>
      </c>
      <c r="J1006" s="2">
        <v>42699</v>
      </c>
      <c r="K1006">
        <v>3</v>
      </c>
      <c r="L1006" t="s">
        <v>20</v>
      </c>
      <c r="M1006">
        <v>23</v>
      </c>
      <c r="N1006">
        <v>11</v>
      </c>
      <c r="O1006">
        <v>3</v>
      </c>
      <c r="P1006" t="s">
        <v>25</v>
      </c>
      <c r="Q1006" s="1">
        <v>2</v>
      </c>
      <c r="R1006" s="2">
        <v>46174</v>
      </c>
      <c r="S1006" s="2"/>
      <c r="T1006" s="1" t="str">
        <f t="shared" si="45"/>
        <v>sex</v>
      </c>
      <c r="U1006" s="1" t="str">
        <f t="shared" si="46"/>
        <v>nov</v>
      </c>
      <c r="V1006">
        <f t="shared" si="47"/>
        <v>2016</v>
      </c>
      <c r="W1006">
        <f>_xlfn.XLOOKUP(A1006,Absenteismo!A:A,Absenteismo!A:A,0)</f>
        <v>2194</v>
      </c>
    </row>
    <row r="1007" spans="1:23" x14ac:dyDescent="0.3">
      <c r="A1007">
        <v>1079</v>
      </c>
      <c r="B1007">
        <v>52</v>
      </c>
      <c r="C1007" t="s">
        <v>26</v>
      </c>
      <c r="D1007" t="s">
        <v>31</v>
      </c>
      <c r="E1007" t="s">
        <v>34</v>
      </c>
      <c r="F1007" t="s">
        <v>21</v>
      </c>
      <c r="G1007">
        <v>5</v>
      </c>
      <c r="H1007">
        <v>3360</v>
      </c>
      <c r="I1007" t="s">
        <v>19</v>
      </c>
      <c r="J1007" s="2">
        <v>45616</v>
      </c>
      <c r="K1007">
        <v>41</v>
      </c>
      <c r="L1007" t="s">
        <v>20</v>
      </c>
      <c r="M1007">
        <v>18</v>
      </c>
      <c r="N1007">
        <v>3</v>
      </c>
      <c r="O1007">
        <v>2</v>
      </c>
      <c r="P1007" t="s">
        <v>20</v>
      </c>
      <c r="Q1007" s="1">
        <v>2</v>
      </c>
      <c r="R1007" s="2">
        <v>46174</v>
      </c>
      <c r="S1007" s="2">
        <v>45767</v>
      </c>
      <c r="T1007" s="1" t="str">
        <f t="shared" si="45"/>
        <v>qua</v>
      </c>
      <c r="U1007" s="1" t="str">
        <f t="shared" si="46"/>
        <v>nov</v>
      </c>
      <c r="V1007">
        <f t="shared" si="47"/>
        <v>2024</v>
      </c>
      <c r="W1007">
        <f>_xlfn.XLOOKUP(A1007,Absenteismo!A:A,Absenteismo!A:A,0)</f>
        <v>0</v>
      </c>
    </row>
    <row r="1008" spans="1:23" x14ac:dyDescent="0.3">
      <c r="A1008">
        <v>1054</v>
      </c>
      <c r="B1008">
        <v>52</v>
      </c>
      <c r="C1008" t="s">
        <v>26</v>
      </c>
      <c r="D1008" t="s">
        <v>29</v>
      </c>
      <c r="E1008" t="s">
        <v>17</v>
      </c>
      <c r="F1008" t="s">
        <v>21</v>
      </c>
      <c r="G1008">
        <v>76</v>
      </c>
      <c r="H1008">
        <v>4998</v>
      </c>
      <c r="I1008" t="s">
        <v>24</v>
      </c>
      <c r="J1008" s="2">
        <v>43476</v>
      </c>
      <c r="K1008">
        <v>53</v>
      </c>
      <c r="L1008" t="s">
        <v>20</v>
      </c>
      <c r="M1008">
        <v>5</v>
      </c>
      <c r="N1008">
        <v>4</v>
      </c>
      <c r="O1008">
        <v>5</v>
      </c>
      <c r="P1008" t="s">
        <v>20</v>
      </c>
      <c r="Q1008" s="1">
        <v>1</v>
      </c>
      <c r="R1008" s="2">
        <v>46174</v>
      </c>
      <c r="S1008" s="2">
        <v>45788</v>
      </c>
      <c r="T1008" s="1" t="str">
        <f t="shared" si="45"/>
        <v>sex</v>
      </c>
      <c r="U1008" s="1" t="str">
        <f t="shared" si="46"/>
        <v>jan</v>
      </c>
      <c r="V1008">
        <f t="shared" si="47"/>
        <v>2019</v>
      </c>
      <c r="W1008">
        <f>_xlfn.XLOOKUP(A1008,Absenteismo!A:A,Absenteismo!A:A,0)</f>
        <v>0</v>
      </c>
    </row>
    <row r="1009" spans="1:23" hidden="1" x14ac:dyDescent="0.3">
      <c r="A1009">
        <v>1504</v>
      </c>
      <c r="B1009">
        <v>52</v>
      </c>
      <c r="C1009" t="s">
        <v>26</v>
      </c>
      <c r="D1009" t="s">
        <v>29</v>
      </c>
      <c r="E1009" t="s">
        <v>17</v>
      </c>
      <c r="F1009" t="s">
        <v>21</v>
      </c>
      <c r="G1009">
        <v>18</v>
      </c>
      <c r="H1009">
        <v>3442</v>
      </c>
      <c r="I1009" t="s">
        <v>28</v>
      </c>
      <c r="J1009" s="2">
        <v>45243</v>
      </c>
      <c r="K1009">
        <v>34</v>
      </c>
      <c r="L1009" t="s">
        <v>25</v>
      </c>
      <c r="M1009">
        <v>3</v>
      </c>
      <c r="N1009">
        <v>1</v>
      </c>
      <c r="O1009">
        <v>5</v>
      </c>
      <c r="P1009" t="s">
        <v>20</v>
      </c>
      <c r="Q1009" s="1">
        <v>1</v>
      </c>
      <c r="R1009" s="2">
        <v>46174</v>
      </c>
      <c r="S1009" s="2">
        <v>45790</v>
      </c>
      <c r="T1009" s="1" t="str">
        <f t="shared" si="45"/>
        <v>seg</v>
      </c>
      <c r="U1009" s="1" t="str">
        <f t="shared" si="46"/>
        <v>nov</v>
      </c>
      <c r="V1009">
        <f t="shared" si="47"/>
        <v>2023</v>
      </c>
      <c r="W1009">
        <f>_xlfn.XLOOKUP(A1009,Absenteismo!A:A,Absenteismo!A:A,0)</f>
        <v>1504</v>
      </c>
    </row>
    <row r="1010" spans="1:23" hidden="1" x14ac:dyDescent="0.3">
      <c r="A1010">
        <v>1804</v>
      </c>
      <c r="B1010">
        <v>52</v>
      </c>
      <c r="C1010" t="s">
        <v>26</v>
      </c>
      <c r="D1010" t="s">
        <v>29</v>
      </c>
      <c r="E1010" t="s">
        <v>17</v>
      </c>
      <c r="F1010" t="s">
        <v>21</v>
      </c>
      <c r="G1010">
        <v>18</v>
      </c>
      <c r="H1010">
        <v>3442</v>
      </c>
      <c r="I1010" t="s">
        <v>28</v>
      </c>
      <c r="J1010" s="2">
        <v>45244</v>
      </c>
      <c r="K1010">
        <v>12</v>
      </c>
      <c r="L1010" t="s">
        <v>25</v>
      </c>
      <c r="M1010">
        <v>3</v>
      </c>
      <c r="N1010">
        <v>1</v>
      </c>
      <c r="O1010">
        <v>5</v>
      </c>
      <c r="P1010" t="s">
        <v>20</v>
      </c>
      <c r="Q1010" s="1">
        <v>1</v>
      </c>
      <c r="R1010" s="2">
        <v>46174</v>
      </c>
      <c r="S1010" s="2">
        <v>45791</v>
      </c>
      <c r="T1010" s="1" t="str">
        <f t="shared" si="45"/>
        <v>ter</v>
      </c>
      <c r="U1010" s="1" t="str">
        <f t="shared" si="46"/>
        <v>nov</v>
      </c>
      <c r="V1010">
        <f t="shared" si="47"/>
        <v>2023</v>
      </c>
      <c r="W1010">
        <f>_xlfn.XLOOKUP(A1010,Absenteismo!A:A,Absenteismo!A:A,0)</f>
        <v>1804</v>
      </c>
    </row>
    <row r="1011" spans="1:23" x14ac:dyDescent="0.3">
      <c r="A1011">
        <v>1654</v>
      </c>
      <c r="B1011">
        <v>52</v>
      </c>
      <c r="C1011" t="s">
        <v>26</v>
      </c>
      <c r="D1011" t="s">
        <v>29</v>
      </c>
      <c r="E1011" t="s">
        <v>17</v>
      </c>
      <c r="F1011" t="s">
        <v>21</v>
      </c>
      <c r="G1011">
        <v>76</v>
      </c>
      <c r="H1011">
        <v>4998</v>
      </c>
      <c r="I1011" t="s">
        <v>24</v>
      </c>
      <c r="J1011" s="2">
        <v>43550</v>
      </c>
      <c r="K1011">
        <v>25</v>
      </c>
      <c r="L1011" t="s">
        <v>20</v>
      </c>
      <c r="M1011">
        <v>5</v>
      </c>
      <c r="N1011">
        <v>4</v>
      </c>
      <c r="O1011">
        <v>5</v>
      </c>
      <c r="P1011" t="s">
        <v>20</v>
      </c>
      <c r="Q1011" s="1">
        <v>3</v>
      </c>
      <c r="R1011" s="2">
        <v>46174</v>
      </c>
      <c r="S1011" s="2">
        <v>45864</v>
      </c>
      <c r="T1011" s="1" t="str">
        <f t="shared" si="45"/>
        <v>ter</v>
      </c>
      <c r="U1011" s="1" t="str">
        <f t="shared" si="46"/>
        <v>mar</v>
      </c>
      <c r="V1011">
        <f t="shared" si="47"/>
        <v>2019</v>
      </c>
      <c r="W1011">
        <f>_xlfn.XLOOKUP(A1011,Absenteismo!A:A,Absenteismo!A:A,0)</f>
        <v>0</v>
      </c>
    </row>
    <row r="1012" spans="1:23" hidden="1" x14ac:dyDescent="0.3">
      <c r="A1012">
        <v>1320</v>
      </c>
      <c r="B1012">
        <v>52</v>
      </c>
      <c r="C1012" t="s">
        <v>15</v>
      </c>
      <c r="D1012" t="s">
        <v>31</v>
      </c>
      <c r="E1012" t="s">
        <v>32</v>
      </c>
      <c r="F1012" t="s">
        <v>23</v>
      </c>
      <c r="G1012">
        <v>53</v>
      </c>
      <c r="H1012">
        <v>6778</v>
      </c>
      <c r="I1012" t="s">
        <v>33</v>
      </c>
      <c r="J1012" s="2">
        <v>44315</v>
      </c>
      <c r="K1012">
        <v>14</v>
      </c>
      <c r="L1012" t="s">
        <v>25</v>
      </c>
      <c r="M1012">
        <v>3</v>
      </c>
      <c r="N1012">
        <v>2</v>
      </c>
      <c r="O1012">
        <v>5</v>
      </c>
      <c r="P1012" t="s">
        <v>20</v>
      </c>
      <c r="Q1012" s="1">
        <v>2</v>
      </c>
      <c r="R1012" s="2">
        <v>46174</v>
      </c>
      <c r="S1012" s="2">
        <v>45929</v>
      </c>
      <c r="T1012" s="1" t="str">
        <f t="shared" si="45"/>
        <v>qui</v>
      </c>
      <c r="U1012" s="1" t="str">
        <f t="shared" si="46"/>
        <v>abr</v>
      </c>
      <c r="V1012">
        <f t="shared" si="47"/>
        <v>2021</v>
      </c>
      <c r="W1012">
        <f>_xlfn.XLOOKUP(A1012,Absenteismo!A:A,Absenteismo!A:A,0)</f>
        <v>1320</v>
      </c>
    </row>
    <row r="1013" spans="1:23" hidden="1" x14ac:dyDescent="0.3">
      <c r="A1013">
        <v>1695</v>
      </c>
      <c r="B1013">
        <v>52</v>
      </c>
      <c r="C1013" t="s">
        <v>26</v>
      </c>
      <c r="D1013" t="s">
        <v>22</v>
      </c>
      <c r="E1013" t="s">
        <v>17</v>
      </c>
      <c r="F1013" t="s">
        <v>23</v>
      </c>
      <c r="G1013">
        <v>85</v>
      </c>
      <c r="H1013">
        <v>3011</v>
      </c>
      <c r="I1013" t="s">
        <v>19</v>
      </c>
      <c r="J1013" s="2">
        <v>43408</v>
      </c>
      <c r="K1013">
        <v>1</v>
      </c>
      <c r="L1013" t="s">
        <v>20</v>
      </c>
      <c r="M1013">
        <v>15</v>
      </c>
      <c r="N1013">
        <v>9</v>
      </c>
      <c r="O1013">
        <v>4</v>
      </c>
      <c r="P1013" t="s">
        <v>20</v>
      </c>
      <c r="Q1013" s="1">
        <v>1</v>
      </c>
      <c r="R1013" s="2">
        <v>46174</v>
      </c>
      <c r="S1013" s="2">
        <v>45995</v>
      </c>
      <c r="T1013" s="1" t="str">
        <f t="shared" si="45"/>
        <v>dom</v>
      </c>
      <c r="U1013" s="1" t="str">
        <f t="shared" si="46"/>
        <v>nov</v>
      </c>
      <c r="V1013">
        <f t="shared" si="47"/>
        <v>2018</v>
      </c>
      <c r="W1013">
        <f>_xlfn.XLOOKUP(A1013,Absenteismo!A:A,Absenteismo!A:A,0)</f>
        <v>1695</v>
      </c>
    </row>
    <row r="1014" spans="1:23" hidden="1" x14ac:dyDescent="0.3">
      <c r="A1014">
        <v>1204</v>
      </c>
      <c r="B1014">
        <v>52</v>
      </c>
      <c r="C1014" t="s">
        <v>26</v>
      </c>
      <c r="D1014" t="s">
        <v>29</v>
      </c>
      <c r="E1014" t="s">
        <v>17</v>
      </c>
      <c r="F1014" t="s">
        <v>21</v>
      </c>
      <c r="G1014">
        <v>18</v>
      </c>
      <c r="H1014">
        <v>3442</v>
      </c>
      <c r="I1014" t="s">
        <v>28</v>
      </c>
      <c r="J1014" s="2">
        <v>45469</v>
      </c>
      <c r="K1014">
        <v>41</v>
      </c>
      <c r="L1014" t="s">
        <v>25</v>
      </c>
      <c r="M1014">
        <v>3</v>
      </c>
      <c r="N1014">
        <v>1</v>
      </c>
      <c r="O1014">
        <v>5</v>
      </c>
      <c r="P1014" t="s">
        <v>20</v>
      </c>
      <c r="Q1014" s="1">
        <v>1</v>
      </c>
      <c r="R1014" s="2">
        <v>46174</v>
      </c>
      <c r="S1014" s="2">
        <v>46017</v>
      </c>
      <c r="T1014" s="1" t="str">
        <f t="shared" si="45"/>
        <v>qua</v>
      </c>
      <c r="U1014" s="1" t="str">
        <f t="shared" si="46"/>
        <v>jun</v>
      </c>
      <c r="V1014">
        <f t="shared" si="47"/>
        <v>2024</v>
      </c>
      <c r="W1014">
        <f>_xlfn.XLOOKUP(A1014,Absenteismo!A:A,Absenteismo!A:A,0)</f>
        <v>1204</v>
      </c>
    </row>
    <row r="1015" spans="1:23" hidden="1" x14ac:dyDescent="0.3">
      <c r="A1015">
        <v>1689</v>
      </c>
      <c r="B1015">
        <v>52</v>
      </c>
      <c r="C1015" t="s">
        <v>15</v>
      </c>
      <c r="D1015" t="s">
        <v>29</v>
      </c>
      <c r="E1015" t="s">
        <v>17</v>
      </c>
      <c r="F1015" t="s">
        <v>21</v>
      </c>
      <c r="G1015">
        <v>96</v>
      </c>
      <c r="H1015">
        <v>4947</v>
      </c>
      <c r="I1015" t="s">
        <v>28</v>
      </c>
      <c r="J1015" s="2">
        <v>43116</v>
      </c>
      <c r="K1015">
        <v>25</v>
      </c>
      <c r="L1015" t="s">
        <v>25</v>
      </c>
      <c r="M1015">
        <v>23</v>
      </c>
      <c r="N1015">
        <v>1</v>
      </c>
      <c r="O1015">
        <v>3</v>
      </c>
      <c r="P1015" t="s">
        <v>20</v>
      </c>
      <c r="Q1015" s="1">
        <v>2</v>
      </c>
      <c r="R1015" s="2">
        <v>46174</v>
      </c>
      <c r="S1015" s="2">
        <v>46038</v>
      </c>
      <c r="T1015" s="1" t="str">
        <f t="shared" si="45"/>
        <v>ter</v>
      </c>
      <c r="U1015" s="1" t="str">
        <f t="shared" si="46"/>
        <v>jan</v>
      </c>
      <c r="V1015">
        <f t="shared" si="47"/>
        <v>2018</v>
      </c>
      <c r="W1015">
        <f>_xlfn.XLOOKUP(A1015,Absenteismo!A:A,Absenteismo!A:A,0)</f>
        <v>1689</v>
      </c>
    </row>
    <row r="1016" spans="1:23" hidden="1" x14ac:dyDescent="0.3">
      <c r="A1016">
        <v>1395</v>
      </c>
      <c r="B1016">
        <v>52</v>
      </c>
      <c r="C1016" t="s">
        <v>26</v>
      </c>
      <c r="D1016" t="s">
        <v>22</v>
      </c>
      <c r="E1016" t="s">
        <v>17</v>
      </c>
      <c r="F1016" t="s">
        <v>23</v>
      </c>
      <c r="G1016">
        <v>85</v>
      </c>
      <c r="H1016">
        <v>3011</v>
      </c>
      <c r="I1016" t="s">
        <v>19</v>
      </c>
      <c r="J1016" s="2">
        <v>43453</v>
      </c>
      <c r="K1016">
        <v>1</v>
      </c>
      <c r="L1016" t="s">
        <v>20</v>
      </c>
      <c r="M1016">
        <v>15</v>
      </c>
      <c r="N1016">
        <v>9</v>
      </c>
      <c r="O1016">
        <v>4</v>
      </c>
      <c r="P1016" t="s">
        <v>20</v>
      </c>
      <c r="Q1016" s="1">
        <v>2</v>
      </c>
      <c r="R1016" s="2">
        <v>46174</v>
      </c>
      <c r="S1016" s="2">
        <v>46041</v>
      </c>
      <c r="T1016" s="1" t="str">
        <f t="shared" si="45"/>
        <v>qua</v>
      </c>
      <c r="U1016" s="1" t="str">
        <f t="shared" si="46"/>
        <v>dez</v>
      </c>
      <c r="V1016">
        <f t="shared" si="47"/>
        <v>2018</v>
      </c>
      <c r="W1016">
        <f>_xlfn.XLOOKUP(A1016,Absenteismo!A:A,Absenteismo!A:A,0)</f>
        <v>1395</v>
      </c>
    </row>
    <row r="1017" spans="1:23" hidden="1" x14ac:dyDescent="0.3">
      <c r="A1017">
        <v>1379</v>
      </c>
      <c r="B1017">
        <v>52</v>
      </c>
      <c r="C1017" t="s">
        <v>26</v>
      </c>
      <c r="D1017" t="s">
        <v>31</v>
      </c>
      <c r="E1017" t="s">
        <v>34</v>
      </c>
      <c r="F1017" t="s">
        <v>21</v>
      </c>
      <c r="G1017">
        <v>5</v>
      </c>
      <c r="H1017">
        <v>3360</v>
      </c>
      <c r="I1017" t="s">
        <v>19</v>
      </c>
      <c r="J1017" s="2">
        <v>45894</v>
      </c>
      <c r="K1017">
        <v>41</v>
      </c>
      <c r="L1017" t="s">
        <v>20</v>
      </c>
      <c r="M1017">
        <v>18</v>
      </c>
      <c r="N1017">
        <v>3</v>
      </c>
      <c r="O1017">
        <v>2</v>
      </c>
      <c r="P1017" t="s">
        <v>20</v>
      </c>
      <c r="Q1017" s="1">
        <v>3</v>
      </c>
      <c r="R1017" s="2">
        <v>46174</v>
      </c>
      <c r="S1017" s="2">
        <v>46047</v>
      </c>
      <c r="T1017" s="1" t="str">
        <f t="shared" si="45"/>
        <v>seg</v>
      </c>
      <c r="U1017" s="1" t="str">
        <f t="shared" si="46"/>
        <v>ago</v>
      </c>
      <c r="V1017">
        <f t="shared" si="47"/>
        <v>2025</v>
      </c>
      <c r="W1017">
        <f>_xlfn.XLOOKUP(A1017,Absenteismo!A:A,Absenteismo!A:A,0)</f>
        <v>1379</v>
      </c>
    </row>
    <row r="1018" spans="1:23" hidden="1" x14ac:dyDescent="0.3">
      <c r="A1018">
        <v>1389</v>
      </c>
      <c r="B1018">
        <v>52</v>
      </c>
      <c r="C1018" t="s">
        <v>15</v>
      </c>
      <c r="D1018" t="s">
        <v>29</v>
      </c>
      <c r="E1018" t="s">
        <v>17</v>
      </c>
      <c r="F1018" t="s">
        <v>21</v>
      </c>
      <c r="G1018">
        <v>96</v>
      </c>
      <c r="H1018">
        <v>4947</v>
      </c>
      <c r="I1018" t="s">
        <v>28</v>
      </c>
      <c r="J1018" s="2">
        <v>43153</v>
      </c>
      <c r="K1018">
        <v>25</v>
      </c>
      <c r="L1018" t="s">
        <v>25</v>
      </c>
      <c r="M1018">
        <v>23</v>
      </c>
      <c r="N1018">
        <v>1</v>
      </c>
      <c r="O1018">
        <v>3</v>
      </c>
      <c r="P1018" t="s">
        <v>20</v>
      </c>
      <c r="Q1018" s="1">
        <v>2</v>
      </c>
      <c r="R1018" s="2">
        <v>46174</v>
      </c>
      <c r="S1018" s="2">
        <v>46075</v>
      </c>
      <c r="T1018" s="1" t="str">
        <f t="shared" si="45"/>
        <v>qui</v>
      </c>
      <c r="U1018" s="1" t="str">
        <f t="shared" si="46"/>
        <v>fev</v>
      </c>
      <c r="V1018">
        <f t="shared" si="47"/>
        <v>2018</v>
      </c>
      <c r="W1018">
        <f>_xlfn.XLOOKUP(A1018,Absenteismo!A:A,Absenteismo!A:A,0)</f>
        <v>1389</v>
      </c>
    </row>
    <row r="1019" spans="1:23" hidden="1" x14ac:dyDescent="0.3">
      <c r="A1019">
        <v>1679</v>
      </c>
      <c r="B1019">
        <v>52</v>
      </c>
      <c r="C1019" t="s">
        <v>26</v>
      </c>
      <c r="D1019" t="s">
        <v>31</v>
      </c>
      <c r="E1019" t="s">
        <v>34</v>
      </c>
      <c r="F1019" t="s">
        <v>21</v>
      </c>
      <c r="G1019">
        <v>5</v>
      </c>
      <c r="H1019">
        <v>3360</v>
      </c>
      <c r="I1019" t="s">
        <v>19</v>
      </c>
      <c r="J1019" s="2">
        <v>45939</v>
      </c>
      <c r="K1019">
        <v>41</v>
      </c>
      <c r="L1019" t="s">
        <v>20</v>
      </c>
      <c r="M1019">
        <v>18</v>
      </c>
      <c r="N1019">
        <v>3</v>
      </c>
      <c r="O1019">
        <v>2</v>
      </c>
      <c r="P1019" t="s">
        <v>20</v>
      </c>
      <c r="Q1019" s="1">
        <v>1</v>
      </c>
      <c r="R1019" s="2">
        <v>46174</v>
      </c>
      <c r="S1019" s="2">
        <v>46090</v>
      </c>
      <c r="T1019" s="1" t="str">
        <f t="shared" si="45"/>
        <v>qui</v>
      </c>
      <c r="U1019" s="1" t="str">
        <f t="shared" si="46"/>
        <v>out</v>
      </c>
      <c r="V1019">
        <f t="shared" si="47"/>
        <v>2025</v>
      </c>
      <c r="W1019">
        <f>_xlfn.XLOOKUP(A1019,Absenteismo!A:A,Absenteismo!A:A,0)</f>
        <v>1679</v>
      </c>
    </row>
    <row r="1020" spans="1:23" hidden="1" x14ac:dyDescent="0.3">
      <c r="A1020">
        <v>1620</v>
      </c>
      <c r="B1020">
        <v>52</v>
      </c>
      <c r="C1020" t="s">
        <v>15</v>
      </c>
      <c r="D1020" t="s">
        <v>31</v>
      </c>
      <c r="E1020" t="s">
        <v>32</v>
      </c>
      <c r="F1020" t="s">
        <v>23</v>
      </c>
      <c r="G1020">
        <v>53</v>
      </c>
      <c r="H1020">
        <v>6778</v>
      </c>
      <c r="I1020" t="s">
        <v>33</v>
      </c>
      <c r="J1020" s="2">
        <v>44497</v>
      </c>
      <c r="K1020">
        <v>14</v>
      </c>
      <c r="L1020" t="s">
        <v>25</v>
      </c>
      <c r="M1020">
        <v>3</v>
      </c>
      <c r="N1020">
        <v>2</v>
      </c>
      <c r="O1020">
        <v>5</v>
      </c>
      <c r="P1020" t="s">
        <v>20</v>
      </c>
      <c r="Q1020" s="1">
        <v>2</v>
      </c>
      <c r="R1020" s="2">
        <v>46174</v>
      </c>
      <c r="S1020" s="2">
        <v>46109</v>
      </c>
      <c r="T1020" s="1" t="str">
        <f t="shared" si="45"/>
        <v>qui</v>
      </c>
      <c r="U1020" s="1" t="str">
        <f t="shared" si="46"/>
        <v>out</v>
      </c>
      <c r="V1020">
        <f t="shared" si="47"/>
        <v>2021</v>
      </c>
      <c r="W1020">
        <f>_xlfn.XLOOKUP(A1020,Absenteismo!A:A,Absenteismo!A:A,0)</f>
        <v>1620</v>
      </c>
    </row>
    <row r="1021" spans="1:23" hidden="1" x14ac:dyDescent="0.3">
      <c r="A1021">
        <v>1089</v>
      </c>
      <c r="B1021">
        <v>52</v>
      </c>
      <c r="C1021" t="s">
        <v>15</v>
      </c>
      <c r="D1021" t="s">
        <v>29</v>
      </c>
      <c r="E1021" t="s">
        <v>17</v>
      </c>
      <c r="F1021" t="s">
        <v>21</v>
      </c>
      <c r="G1021">
        <v>96</v>
      </c>
      <c r="H1021">
        <v>4947</v>
      </c>
      <c r="I1021" t="s">
        <v>28</v>
      </c>
      <c r="J1021" s="2">
        <v>43214</v>
      </c>
      <c r="K1021">
        <v>25</v>
      </c>
      <c r="L1021" t="s">
        <v>25</v>
      </c>
      <c r="M1021">
        <v>23</v>
      </c>
      <c r="N1021">
        <v>1</v>
      </c>
      <c r="O1021">
        <v>3</v>
      </c>
      <c r="P1021" t="s">
        <v>20</v>
      </c>
      <c r="Q1021" s="1">
        <v>3</v>
      </c>
      <c r="R1021" s="2">
        <v>46174</v>
      </c>
      <c r="S1021" s="2">
        <v>46136</v>
      </c>
      <c r="T1021" s="1" t="str">
        <f t="shared" si="45"/>
        <v>ter</v>
      </c>
      <c r="U1021" s="1" t="str">
        <f t="shared" si="46"/>
        <v>abr</v>
      </c>
      <c r="V1021">
        <f t="shared" si="47"/>
        <v>2018</v>
      </c>
      <c r="W1021">
        <f>_xlfn.XLOOKUP(A1021,Absenteismo!A:A,Absenteismo!A:A,0)</f>
        <v>1089</v>
      </c>
    </row>
    <row r="1022" spans="1:23" hidden="1" x14ac:dyDescent="0.3">
      <c r="A1022">
        <v>1095</v>
      </c>
      <c r="B1022">
        <v>52</v>
      </c>
      <c r="C1022" t="s">
        <v>26</v>
      </c>
      <c r="D1022" t="s">
        <v>22</v>
      </c>
      <c r="E1022" t="s">
        <v>17</v>
      </c>
      <c r="F1022" t="s">
        <v>23</v>
      </c>
      <c r="G1022">
        <v>85</v>
      </c>
      <c r="H1022">
        <v>3011</v>
      </c>
      <c r="I1022" t="s">
        <v>19</v>
      </c>
      <c r="J1022" s="2">
        <v>43557</v>
      </c>
      <c r="K1022">
        <v>1</v>
      </c>
      <c r="L1022" t="s">
        <v>20</v>
      </c>
      <c r="M1022">
        <v>15</v>
      </c>
      <c r="N1022">
        <v>9</v>
      </c>
      <c r="O1022">
        <v>4</v>
      </c>
      <c r="P1022" t="s">
        <v>20</v>
      </c>
      <c r="Q1022" s="1">
        <v>1</v>
      </c>
      <c r="R1022" s="2">
        <v>46174</v>
      </c>
      <c r="S1022" s="2">
        <v>46144</v>
      </c>
      <c r="T1022" s="1" t="str">
        <f t="shared" si="45"/>
        <v>ter</v>
      </c>
      <c r="U1022" s="1" t="str">
        <f t="shared" si="46"/>
        <v>abr</v>
      </c>
      <c r="V1022">
        <f t="shared" si="47"/>
        <v>2019</v>
      </c>
      <c r="W1022">
        <f>_xlfn.XLOOKUP(A1022,Absenteismo!A:A,Absenteismo!A:A,0)</f>
        <v>1095</v>
      </c>
    </row>
    <row r="1023" spans="1:23" x14ac:dyDescent="0.3">
      <c r="A1023">
        <v>1354</v>
      </c>
      <c r="B1023">
        <v>52</v>
      </c>
      <c r="C1023" t="s">
        <v>26</v>
      </c>
      <c r="D1023" t="s">
        <v>29</v>
      </c>
      <c r="E1023" t="s">
        <v>17</v>
      </c>
      <c r="F1023" t="s">
        <v>21</v>
      </c>
      <c r="G1023">
        <v>76</v>
      </c>
      <c r="H1023">
        <v>4998</v>
      </c>
      <c r="I1023" t="s">
        <v>24</v>
      </c>
      <c r="J1023" s="2">
        <v>43835</v>
      </c>
      <c r="K1023">
        <v>53</v>
      </c>
      <c r="L1023" t="s">
        <v>20</v>
      </c>
      <c r="M1023">
        <v>5</v>
      </c>
      <c r="N1023">
        <v>4</v>
      </c>
      <c r="O1023">
        <v>5</v>
      </c>
      <c r="P1023" t="s">
        <v>20</v>
      </c>
      <c r="Q1023" s="1">
        <v>3</v>
      </c>
      <c r="R1023" s="2">
        <v>46174</v>
      </c>
      <c r="S1023" s="2">
        <v>46147</v>
      </c>
      <c r="T1023" s="1" t="str">
        <f t="shared" si="45"/>
        <v>dom</v>
      </c>
      <c r="U1023" s="1" t="str">
        <f t="shared" si="46"/>
        <v>jan</v>
      </c>
      <c r="V1023">
        <f t="shared" si="47"/>
        <v>2020</v>
      </c>
      <c r="W1023">
        <f>_xlfn.XLOOKUP(A1023,Absenteismo!A:A,Absenteismo!A:A,0)</f>
        <v>0</v>
      </c>
    </row>
    <row r="1024" spans="1:23" x14ac:dyDescent="0.3">
      <c r="A1024">
        <v>1011</v>
      </c>
      <c r="B1024">
        <v>52</v>
      </c>
      <c r="C1024" t="s">
        <v>26</v>
      </c>
      <c r="D1024" t="s">
        <v>22</v>
      </c>
      <c r="E1024" t="s">
        <v>17</v>
      </c>
      <c r="F1024" t="s">
        <v>18</v>
      </c>
      <c r="G1024">
        <v>15</v>
      </c>
      <c r="H1024">
        <v>5204</v>
      </c>
      <c r="I1024" t="s">
        <v>33</v>
      </c>
      <c r="J1024" s="2">
        <v>45665</v>
      </c>
      <c r="K1024">
        <v>11</v>
      </c>
      <c r="L1024" t="s">
        <v>20</v>
      </c>
      <c r="M1024">
        <v>16</v>
      </c>
      <c r="N1024">
        <v>8</v>
      </c>
      <c r="O1024">
        <v>3</v>
      </c>
      <c r="P1024" t="s">
        <v>25</v>
      </c>
      <c r="Q1024" s="1">
        <v>2</v>
      </c>
      <c r="R1024" s="2">
        <v>46174</v>
      </c>
      <c r="S1024" s="2"/>
      <c r="T1024" s="1" t="str">
        <f t="shared" si="45"/>
        <v>qua</v>
      </c>
      <c r="U1024" s="1" t="str">
        <f t="shared" si="46"/>
        <v>jan</v>
      </c>
      <c r="V1024">
        <f t="shared" si="47"/>
        <v>2025</v>
      </c>
      <c r="W1024">
        <f>_xlfn.XLOOKUP(A1024,Absenteismo!A:A,Absenteismo!A:A,0)</f>
        <v>0</v>
      </c>
    </row>
    <row r="1025" spans="1:23" x14ac:dyDescent="0.3">
      <c r="A1025">
        <v>1014</v>
      </c>
      <c r="B1025">
        <v>52</v>
      </c>
      <c r="C1025" t="s">
        <v>15</v>
      </c>
      <c r="D1025" t="s">
        <v>16</v>
      </c>
      <c r="E1025" t="s">
        <v>17</v>
      </c>
      <c r="F1025" t="s">
        <v>18</v>
      </c>
      <c r="G1025">
        <v>71</v>
      </c>
      <c r="H1025">
        <v>4152</v>
      </c>
      <c r="I1025" t="s">
        <v>24</v>
      </c>
      <c r="J1025" s="2">
        <v>43619</v>
      </c>
      <c r="K1025">
        <v>34</v>
      </c>
      <c r="L1025" t="s">
        <v>25</v>
      </c>
      <c r="M1025">
        <v>27</v>
      </c>
      <c r="N1025">
        <v>3</v>
      </c>
      <c r="O1025">
        <v>3</v>
      </c>
      <c r="P1025" t="s">
        <v>25</v>
      </c>
      <c r="Q1025" s="1">
        <v>3</v>
      </c>
      <c r="R1025" s="2">
        <v>46174</v>
      </c>
      <c r="S1025" s="2"/>
      <c r="T1025" s="1" t="str">
        <f t="shared" si="45"/>
        <v>seg</v>
      </c>
      <c r="U1025" s="1" t="str">
        <f t="shared" si="46"/>
        <v>jun</v>
      </c>
      <c r="V1025">
        <f t="shared" si="47"/>
        <v>2019</v>
      </c>
      <c r="W1025">
        <f>_xlfn.XLOOKUP(A1025,Absenteismo!A:A,Absenteismo!A:A,0)</f>
        <v>0</v>
      </c>
    </row>
    <row r="1026" spans="1:23" x14ac:dyDescent="0.3">
      <c r="A1026">
        <v>1020</v>
      </c>
      <c r="B1026">
        <v>52</v>
      </c>
      <c r="C1026" t="s">
        <v>15</v>
      </c>
      <c r="D1026" t="s">
        <v>31</v>
      </c>
      <c r="E1026" t="s">
        <v>32</v>
      </c>
      <c r="F1026" t="s">
        <v>23</v>
      </c>
      <c r="G1026">
        <v>53</v>
      </c>
      <c r="H1026">
        <v>6778</v>
      </c>
      <c r="I1026" t="s">
        <v>33</v>
      </c>
      <c r="J1026" s="2">
        <v>44415</v>
      </c>
      <c r="K1026">
        <v>14</v>
      </c>
      <c r="L1026" t="s">
        <v>25</v>
      </c>
      <c r="M1026">
        <v>3</v>
      </c>
      <c r="N1026">
        <v>2</v>
      </c>
      <c r="O1026">
        <v>5</v>
      </c>
      <c r="P1026" t="s">
        <v>25</v>
      </c>
      <c r="Q1026" s="1">
        <v>2</v>
      </c>
      <c r="R1026" s="2">
        <v>46174</v>
      </c>
      <c r="S1026" s="2"/>
      <c r="T1026" s="1" t="str">
        <f t="shared" ref="T1026:T1089" si="48">TEXT($J1026,"ddd")</f>
        <v>sáb</v>
      </c>
      <c r="U1026" s="1" t="str">
        <f t="shared" ref="U1026:U1089" si="49">TEXT($J1026,"mmm")</f>
        <v>ago</v>
      </c>
      <c r="V1026">
        <f t="shared" ref="V1026:V1089" si="50">YEAR(J1026)</f>
        <v>2021</v>
      </c>
      <c r="W1026">
        <f>_xlfn.XLOOKUP(A1026,Absenteismo!A:A,Absenteismo!A:A,0)</f>
        <v>0</v>
      </c>
    </row>
    <row r="1027" spans="1:23" hidden="1" x14ac:dyDescent="0.3">
      <c r="A1027">
        <v>1034</v>
      </c>
      <c r="B1027">
        <v>52</v>
      </c>
      <c r="C1027" t="s">
        <v>26</v>
      </c>
      <c r="D1027" t="s">
        <v>31</v>
      </c>
      <c r="E1027" t="s">
        <v>32</v>
      </c>
      <c r="F1027" t="s">
        <v>18</v>
      </c>
      <c r="G1027">
        <v>23</v>
      </c>
      <c r="H1027">
        <v>4974</v>
      </c>
      <c r="I1027" t="s">
        <v>30</v>
      </c>
      <c r="J1027" s="2">
        <v>45226</v>
      </c>
      <c r="K1027">
        <v>7</v>
      </c>
      <c r="L1027" t="s">
        <v>20</v>
      </c>
      <c r="M1027">
        <v>22</v>
      </c>
      <c r="N1027">
        <v>11</v>
      </c>
      <c r="O1027">
        <v>4</v>
      </c>
      <c r="P1027" t="s">
        <v>25</v>
      </c>
      <c r="Q1027" s="1">
        <v>1</v>
      </c>
      <c r="R1027" s="2">
        <v>46174</v>
      </c>
      <c r="S1027" s="2"/>
      <c r="T1027" s="1" t="str">
        <f t="shared" si="48"/>
        <v>sex</v>
      </c>
      <c r="U1027" s="1" t="str">
        <f t="shared" si="49"/>
        <v>out</v>
      </c>
      <c r="V1027">
        <f t="shared" si="50"/>
        <v>2023</v>
      </c>
      <c r="W1027">
        <f>_xlfn.XLOOKUP(A1027,Absenteismo!A:A,Absenteismo!A:A,0)</f>
        <v>1034</v>
      </c>
    </row>
    <row r="1028" spans="1:23" x14ac:dyDescent="0.3">
      <c r="A1028">
        <v>1044</v>
      </c>
      <c r="B1028">
        <v>52</v>
      </c>
      <c r="C1028" t="s">
        <v>15</v>
      </c>
      <c r="D1028" t="s">
        <v>16</v>
      </c>
      <c r="E1028" t="s">
        <v>17</v>
      </c>
      <c r="F1028" t="s">
        <v>23</v>
      </c>
      <c r="G1028">
        <v>50</v>
      </c>
      <c r="H1028">
        <v>4051</v>
      </c>
      <c r="I1028" t="s">
        <v>19</v>
      </c>
      <c r="J1028" s="2">
        <v>44431</v>
      </c>
      <c r="K1028">
        <v>5</v>
      </c>
      <c r="L1028" t="s">
        <v>20</v>
      </c>
      <c r="M1028">
        <v>21</v>
      </c>
      <c r="N1028">
        <v>8</v>
      </c>
      <c r="O1028">
        <v>5</v>
      </c>
      <c r="P1028" t="s">
        <v>25</v>
      </c>
      <c r="Q1028" s="1">
        <v>2</v>
      </c>
      <c r="R1028" s="2">
        <v>46174</v>
      </c>
      <c r="S1028" s="2"/>
      <c r="T1028" s="1" t="str">
        <f t="shared" si="48"/>
        <v>seg</v>
      </c>
      <c r="U1028" s="1" t="str">
        <f t="shared" si="49"/>
        <v>ago</v>
      </c>
      <c r="V1028">
        <f t="shared" si="50"/>
        <v>2021</v>
      </c>
      <c r="W1028">
        <f>_xlfn.XLOOKUP(A1028,Absenteismo!A:A,Absenteismo!A:A,0)</f>
        <v>0</v>
      </c>
    </row>
    <row r="1029" spans="1:23" hidden="1" x14ac:dyDescent="0.3">
      <c r="A1029">
        <v>1171</v>
      </c>
      <c r="B1029">
        <v>52</v>
      </c>
      <c r="C1029" t="s">
        <v>26</v>
      </c>
      <c r="D1029" t="s">
        <v>22</v>
      </c>
      <c r="E1029" t="s">
        <v>17</v>
      </c>
      <c r="F1029" t="s">
        <v>23</v>
      </c>
      <c r="G1029">
        <v>109</v>
      </c>
      <c r="H1029">
        <v>6930</v>
      </c>
      <c r="I1029" t="s">
        <v>33</v>
      </c>
      <c r="J1029" s="2">
        <v>42845</v>
      </c>
      <c r="K1029">
        <v>18</v>
      </c>
      <c r="L1029" t="s">
        <v>20</v>
      </c>
      <c r="M1029">
        <v>7</v>
      </c>
      <c r="N1029">
        <v>5</v>
      </c>
      <c r="O1029">
        <v>3</v>
      </c>
      <c r="P1029" t="s">
        <v>25</v>
      </c>
      <c r="Q1029" s="1">
        <v>2</v>
      </c>
      <c r="R1029" s="2">
        <v>46174</v>
      </c>
      <c r="S1029" s="2"/>
      <c r="T1029" s="1" t="str">
        <f t="shared" si="48"/>
        <v>qui</v>
      </c>
      <c r="U1029" s="1" t="str">
        <f t="shared" si="49"/>
        <v>abr</v>
      </c>
      <c r="V1029">
        <f t="shared" si="50"/>
        <v>2017</v>
      </c>
      <c r="W1029">
        <f>_xlfn.XLOOKUP(A1029,Absenteismo!A:A,Absenteismo!A:A,0)</f>
        <v>1171</v>
      </c>
    </row>
    <row r="1030" spans="1:23" hidden="1" x14ac:dyDescent="0.3">
      <c r="A1030">
        <v>1182</v>
      </c>
      <c r="B1030">
        <v>52</v>
      </c>
      <c r="C1030" t="s">
        <v>15</v>
      </c>
      <c r="D1030" t="s">
        <v>27</v>
      </c>
      <c r="E1030" t="s">
        <v>17</v>
      </c>
      <c r="F1030" t="s">
        <v>18</v>
      </c>
      <c r="G1030">
        <v>16</v>
      </c>
      <c r="H1030">
        <v>4262</v>
      </c>
      <c r="I1030" t="s">
        <v>28</v>
      </c>
      <c r="J1030" s="2">
        <v>45423</v>
      </c>
      <c r="K1030">
        <v>26</v>
      </c>
      <c r="L1030" t="s">
        <v>20</v>
      </c>
      <c r="M1030">
        <v>14</v>
      </c>
      <c r="N1030">
        <v>0</v>
      </c>
      <c r="O1030">
        <v>2</v>
      </c>
      <c r="P1030" t="s">
        <v>25</v>
      </c>
      <c r="Q1030" s="1">
        <v>3</v>
      </c>
      <c r="R1030" s="2">
        <v>46174</v>
      </c>
      <c r="S1030" s="2"/>
      <c r="T1030" s="1" t="str">
        <f t="shared" si="48"/>
        <v>sáb</v>
      </c>
      <c r="U1030" s="1" t="str">
        <f t="shared" si="49"/>
        <v>mai</v>
      </c>
      <c r="V1030">
        <f t="shared" si="50"/>
        <v>2024</v>
      </c>
      <c r="W1030">
        <f>_xlfn.XLOOKUP(A1030,Absenteismo!A:A,Absenteismo!A:A,0)</f>
        <v>1182</v>
      </c>
    </row>
    <row r="1031" spans="1:23" hidden="1" x14ac:dyDescent="0.3">
      <c r="A1031">
        <v>1229</v>
      </c>
      <c r="B1031">
        <v>52</v>
      </c>
      <c r="C1031" t="s">
        <v>26</v>
      </c>
      <c r="D1031" t="s">
        <v>16</v>
      </c>
      <c r="E1031" t="s">
        <v>17</v>
      </c>
      <c r="F1031" t="s">
        <v>18</v>
      </c>
      <c r="G1031">
        <v>73</v>
      </c>
      <c r="H1031">
        <v>6857</v>
      </c>
      <c r="I1031" t="s">
        <v>28</v>
      </c>
      <c r="J1031" s="2">
        <v>43699</v>
      </c>
      <c r="K1031">
        <v>33</v>
      </c>
      <c r="L1031" t="s">
        <v>20</v>
      </c>
      <c r="M1031">
        <v>7</v>
      </c>
      <c r="N1031">
        <v>4</v>
      </c>
      <c r="O1031">
        <v>4</v>
      </c>
      <c r="P1031" t="s">
        <v>25</v>
      </c>
      <c r="Q1031" s="1">
        <v>2</v>
      </c>
      <c r="R1031" s="2">
        <v>46174</v>
      </c>
      <c r="S1031" s="2"/>
      <c r="T1031" s="1" t="str">
        <f t="shared" si="48"/>
        <v>qui</v>
      </c>
      <c r="U1031" s="1" t="str">
        <f t="shared" si="49"/>
        <v>ago</v>
      </c>
      <c r="V1031">
        <f t="shared" si="50"/>
        <v>2019</v>
      </c>
      <c r="W1031">
        <f>_xlfn.XLOOKUP(A1031,Absenteismo!A:A,Absenteismo!A:A,0)</f>
        <v>1229</v>
      </c>
    </row>
    <row r="1032" spans="1:23" hidden="1" x14ac:dyDescent="0.3">
      <c r="A1032">
        <v>1311</v>
      </c>
      <c r="B1032">
        <v>52</v>
      </c>
      <c r="C1032" t="s">
        <v>26</v>
      </c>
      <c r="D1032" t="s">
        <v>22</v>
      </c>
      <c r="E1032" t="s">
        <v>17</v>
      </c>
      <c r="F1032" t="s">
        <v>18</v>
      </c>
      <c r="G1032">
        <v>15</v>
      </c>
      <c r="H1032">
        <v>5204</v>
      </c>
      <c r="I1032" t="s">
        <v>33</v>
      </c>
      <c r="J1032" s="2">
        <v>45294</v>
      </c>
      <c r="K1032">
        <v>11</v>
      </c>
      <c r="L1032" t="s">
        <v>20</v>
      </c>
      <c r="M1032">
        <v>16</v>
      </c>
      <c r="N1032">
        <v>8</v>
      </c>
      <c r="O1032">
        <v>3</v>
      </c>
      <c r="P1032" t="s">
        <v>25</v>
      </c>
      <c r="Q1032" s="1">
        <v>3</v>
      </c>
      <c r="R1032" s="2">
        <v>46174</v>
      </c>
      <c r="S1032" s="2"/>
      <c r="T1032" s="1" t="str">
        <f t="shared" si="48"/>
        <v>qua</v>
      </c>
      <c r="U1032" s="1" t="str">
        <f t="shared" si="49"/>
        <v>jan</v>
      </c>
      <c r="V1032">
        <f t="shared" si="50"/>
        <v>2024</v>
      </c>
      <c r="W1032">
        <f>_xlfn.XLOOKUP(A1032,Absenteismo!A:A,Absenteismo!A:A,0)</f>
        <v>1311</v>
      </c>
    </row>
    <row r="1033" spans="1:23" x14ac:dyDescent="0.3">
      <c r="A1033">
        <v>1314</v>
      </c>
      <c r="B1033">
        <v>52</v>
      </c>
      <c r="C1033" t="s">
        <v>15</v>
      </c>
      <c r="D1033" t="s">
        <v>16</v>
      </c>
      <c r="E1033" t="s">
        <v>17</v>
      </c>
      <c r="F1033" t="s">
        <v>18</v>
      </c>
      <c r="G1033">
        <v>71</v>
      </c>
      <c r="H1033">
        <v>4152</v>
      </c>
      <c r="I1033" t="s">
        <v>24</v>
      </c>
      <c r="J1033" s="2">
        <v>43590</v>
      </c>
      <c r="K1033">
        <v>34</v>
      </c>
      <c r="L1033" t="s">
        <v>25</v>
      </c>
      <c r="M1033">
        <v>27</v>
      </c>
      <c r="N1033">
        <v>3</v>
      </c>
      <c r="O1033">
        <v>3</v>
      </c>
      <c r="P1033" t="s">
        <v>25</v>
      </c>
      <c r="Q1033" s="1">
        <v>3</v>
      </c>
      <c r="R1033" s="2">
        <v>46174</v>
      </c>
      <c r="S1033" s="2"/>
      <c r="T1033" s="1" t="str">
        <f t="shared" si="48"/>
        <v>dom</v>
      </c>
      <c r="U1033" s="1" t="str">
        <f t="shared" si="49"/>
        <v>mai</v>
      </c>
      <c r="V1033">
        <f t="shared" si="50"/>
        <v>2019</v>
      </c>
      <c r="W1033">
        <f>_xlfn.XLOOKUP(A1033,Absenteismo!A:A,Absenteismo!A:A,0)</f>
        <v>0</v>
      </c>
    </row>
    <row r="1034" spans="1:23" hidden="1" x14ac:dyDescent="0.3">
      <c r="A1034">
        <v>1334</v>
      </c>
      <c r="B1034">
        <v>52</v>
      </c>
      <c r="C1034" t="s">
        <v>26</v>
      </c>
      <c r="D1034" t="s">
        <v>31</v>
      </c>
      <c r="E1034" t="s">
        <v>32</v>
      </c>
      <c r="F1034" t="s">
        <v>18</v>
      </c>
      <c r="G1034">
        <v>23</v>
      </c>
      <c r="H1034">
        <v>4974</v>
      </c>
      <c r="I1034" t="s">
        <v>30</v>
      </c>
      <c r="J1034" s="2">
        <v>45413</v>
      </c>
      <c r="K1034">
        <v>7</v>
      </c>
      <c r="L1034" t="s">
        <v>20</v>
      </c>
      <c r="M1034">
        <v>22</v>
      </c>
      <c r="N1034">
        <v>11</v>
      </c>
      <c r="O1034">
        <v>4</v>
      </c>
      <c r="P1034" t="s">
        <v>25</v>
      </c>
      <c r="Q1034" s="1">
        <v>3</v>
      </c>
      <c r="R1034" s="2">
        <v>46174</v>
      </c>
      <c r="S1034" s="2"/>
      <c r="T1034" s="1" t="str">
        <f t="shared" si="48"/>
        <v>qua</v>
      </c>
      <c r="U1034" s="1" t="str">
        <f t="shared" si="49"/>
        <v>mai</v>
      </c>
      <c r="V1034">
        <f t="shared" si="50"/>
        <v>2024</v>
      </c>
      <c r="W1034">
        <f>_xlfn.XLOOKUP(A1034,Absenteismo!A:A,Absenteismo!A:A,0)</f>
        <v>1334</v>
      </c>
    </row>
    <row r="1035" spans="1:23" hidden="1" x14ac:dyDescent="0.3">
      <c r="A1035">
        <v>1344</v>
      </c>
      <c r="B1035">
        <v>52</v>
      </c>
      <c r="C1035" t="s">
        <v>15</v>
      </c>
      <c r="D1035" t="s">
        <v>16</v>
      </c>
      <c r="E1035" t="s">
        <v>17</v>
      </c>
      <c r="F1035" t="s">
        <v>23</v>
      </c>
      <c r="G1035">
        <v>50</v>
      </c>
      <c r="H1035">
        <v>4051</v>
      </c>
      <c r="I1035" t="s">
        <v>19</v>
      </c>
      <c r="J1035" s="2">
        <v>44370</v>
      </c>
      <c r="K1035">
        <v>5</v>
      </c>
      <c r="L1035" t="s">
        <v>20</v>
      </c>
      <c r="M1035">
        <v>21</v>
      </c>
      <c r="N1035">
        <v>8</v>
      </c>
      <c r="O1035">
        <v>5</v>
      </c>
      <c r="P1035" t="s">
        <v>25</v>
      </c>
      <c r="Q1035" s="1">
        <v>1</v>
      </c>
      <c r="R1035" s="2">
        <v>46174</v>
      </c>
      <c r="S1035" s="2"/>
      <c r="T1035" s="1" t="str">
        <f t="shared" si="48"/>
        <v>qua</v>
      </c>
      <c r="U1035" s="1" t="str">
        <f t="shared" si="49"/>
        <v>jun</v>
      </c>
      <c r="V1035">
        <f t="shared" si="50"/>
        <v>2021</v>
      </c>
      <c r="W1035">
        <f>_xlfn.XLOOKUP(A1035,Absenteismo!A:A,Absenteismo!A:A,0)</f>
        <v>1344</v>
      </c>
    </row>
    <row r="1036" spans="1:23" hidden="1" x14ac:dyDescent="0.3">
      <c r="A1036">
        <v>1471</v>
      </c>
      <c r="B1036">
        <v>52</v>
      </c>
      <c r="C1036" t="s">
        <v>26</v>
      </c>
      <c r="D1036" t="s">
        <v>22</v>
      </c>
      <c r="E1036" t="s">
        <v>17</v>
      </c>
      <c r="F1036" t="s">
        <v>23</v>
      </c>
      <c r="G1036">
        <v>109</v>
      </c>
      <c r="H1036">
        <v>6930</v>
      </c>
      <c r="I1036" t="s">
        <v>33</v>
      </c>
      <c r="J1036" s="2">
        <v>42820</v>
      </c>
      <c r="K1036">
        <v>18</v>
      </c>
      <c r="L1036" t="s">
        <v>20</v>
      </c>
      <c r="M1036">
        <v>7</v>
      </c>
      <c r="N1036">
        <v>5</v>
      </c>
      <c r="O1036">
        <v>3</v>
      </c>
      <c r="P1036" t="s">
        <v>25</v>
      </c>
      <c r="Q1036" s="1">
        <v>1</v>
      </c>
      <c r="R1036" s="2">
        <v>46174</v>
      </c>
      <c r="S1036" s="2"/>
      <c r="T1036" s="1" t="str">
        <f t="shared" si="48"/>
        <v>dom</v>
      </c>
      <c r="U1036" s="1" t="str">
        <f t="shared" si="49"/>
        <v>mar</v>
      </c>
      <c r="V1036">
        <f t="shared" si="50"/>
        <v>2017</v>
      </c>
      <c r="W1036">
        <f>_xlfn.XLOOKUP(A1036,Absenteismo!A:A,Absenteismo!A:A,0)</f>
        <v>1471</v>
      </c>
    </row>
    <row r="1037" spans="1:23" hidden="1" x14ac:dyDescent="0.3">
      <c r="A1037">
        <v>1482</v>
      </c>
      <c r="B1037">
        <v>52</v>
      </c>
      <c r="C1037" t="s">
        <v>15</v>
      </c>
      <c r="D1037" t="s">
        <v>27</v>
      </c>
      <c r="E1037" t="s">
        <v>17</v>
      </c>
      <c r="F1037" t="s">
        <v>18</v>
      </c>
      <c r="G1037">
        <v>16</v>
      </c>
      <c r="H1037">
        <v>4262</v>
      </c>
      <c r="I1037" t="s">
        <v>28</v>
      </c>
      <c r="J1037" s="2">
        <v>45277</v>
      </c>
      <c r="K1037">
        <v>26</v>
      </c>
      <c r="L1037" t="s">
        <v>20</v>
      </c>
      <c r="M1037">
        <v>14</v>
      </c>
      <c r="N1037">
        <v>0</v>
      </c>
      <c r="O1037">
        <v>2</v>
      </c>
      <c r="P1037" t="s">
        <v>25</v>
      </c>
      <c r="Q1037" s="1">
        <v>2</v>
      </c>
      <c r="R1037" s="2">
        <v>46174</v>
      </c>
      <c r="S1037" s="2"/>
      <c r="T1037" s="1" t="str">
        <f t="shared" si="48"/>
        <v>dom</v>
      </c>
      <c r="U1037" s="1" t="str">
        <f t="shared" si="49"/>
        <v>dez</v>
      </c>
      <c r="V1037">
        <f t="shared" si="50"/>
        <v>2023</v>
      </c>
      <c r="W1037">
        <f>_xlfn.XLOOKUP(A1037,Absenteismo!A:A,Absenteismo!A:A,0)</f>
        <v>1482</v>
      </c>
    </row>
    <row r="1038" spans="1:23" hidden="1" x14ac:dyDescent="0.3">
      <c r="A1038">
        <v>1529</v>
      </c>
      <c r="B1038">
        <v>52</v>
      </c>
      <c r="C1038" t="s">
        <v>26</v>
      </c>
      <c r="D1038" t="s">
        <v>16</v>
      </c>
      <c r="E1038" t="s">
        <v>17</v>
      </c>
      <c r="F1038" t="s">
        <v>18</v>
      </c>
      <c r="G1038">
        <v>73</v>
      </c>
      <c r="H1038">
        <v>6857</v>
      </c>
      <c r="I1038" t="s">
        <v>28</v>
      </c>
      <c r="J1038" s="2">
        <v>43902</v>
      </c>
      <c r="K1038">
        <v>33</v>
      </c>
      <c r="L1038" t="s">
        <v>20</v>
      </c>
      <c r="M1038">
        <v>7</v>
      </c>
      <c r="N1038">
        <v>4</v>
      </c>
      <c r="O1038">
        <v>4</v>
      </c>
      <c r="P1038" t="s">
        <v>25</v>
      </c>
      <c r="Q1038" s="1">
        <v>1</v>
      </c>
      <c r="R1038" s="2">
        <v>46174</v>
      </c>
      <c r="S1038" s="2"/>
      <c r="T1038" s="1" t="str">
        <f t="shared" si="48"/>
        <v>qui</v>
      </c>
      <c r="U1038" s="1" t="str">
        <f t="shared" si="49"/>
        <v>mar</v>
      </c>
      <c r="V1038">
        <f t="shared" si="50"/>
        <v>2020</v>
      </c>
      <c r="W1038">
        <f>_xlfn.XLOOKUP(A1038,Absenteismo!A:A,Absenteismo!A:A,0)</f>
        <v>1529</v>
      </c>
    </row>
    <row r="1039" spans="1:23" hidden="1" x14ac:dyDescent="0.3">
      <c r="A1039">
        <v>1611</v>
      </c>
      <c r="B1039">
        <v>52</v>
      </c>
      <c r="C1039" t="s">
        <v>26</v>
      </c>
      <c r="D1039" t="s">
        <v>22</v>
      </c>
      <c r="E1039" t="s">
        <v>17</v>
      </c>
      <c r="F1039" t="s">
        <v>18</v>
      </c>
      <c r="G1039">
        <v>15</v>
      </c>
      <c r="H1039">
        <v>5204</v>
      </c>
      <c r="I1039" t="s">
        <v>33</v>
      </c>
      <c r="J1039" s="2">
        <v>45560</v>
      </c>
      <c r="K1039">
        <v>11</v>
      </c>
      <c r="L1039" t="s">
        <v>20</v>
      </c>
      <c r="M1039">
        <v>16</v>
      </c>
      <c r="N1039">
        <v>8</v>
      </c>
      <c r="O1039">
        <v>3</v>
      </c>
      <c r="P1039" t="s">
        <v>25</v>
      </c>
      <c r="Q1039" s="1">
        <v>2</v>
      </c>
      <c r="R1039" s="2">
        <v>46174</v>
      </c>
      <c r="S1039" s="2"/>
      <c r="T1039" s="1" t="str">
        <f t="shared" si="48"/>
        <v>qua</v>
      </c>
      <c r="U1039" s="1" t="str">
        <f t="shared" si="49"/>
        <v>set</v>
      </c>
      <c r="V1039">
        <f t="shared" si="50"/>
        <v>2024</v>
      </c>
      <c r="W1039">
        <f>_xlfn.XLOOKUP(A1039,Absenteismo!A:A,Absenteismo!A:A,0)</f>
        <v>1611</v>
      </c>
    </row>
    <row r="1040" spans="1:23" x14ac:dyDescent="0.3">
      <c r="A1040">
        <v>1614</v>
      </c>
      <c r="B1040">
        <v>52</v>
      </c>
      <c r="C1040" t="s">
        <v>15</v>
      </c>
      <c r="D1040" t="s">
        <v>16</v>
      </c>
      <c r="E1040" t="s">
        <v>17</v>
      </c>
      <c r="F1040" t="s">
        <v>18</v>
      </c>
      <c r="G1040">
        <v>71</v>
      </c>
      <c r="H1040">
        <v>4152</v>
      </c>
      <c r="I1040" t="s">
        <v>24</v>
      </c>
      <c r="J1040" s="2">
        <v>43866</v>
      </c>
      <c r="K1040">
        <v>34</v>
      </c>
      <c r="L1040" t="s">
        <v>25</v>
      </c>
      <c r="M1040">
        <v>27</v>
      </c>
      <c r="N1040">
        <v>3</v>
      </c>
      <c r="O1040">
        <v>3</v>
      </c>
      <c r="P1040" t="s">
        <v>25</v>
      </c>
      <c r="Q1040" s="1">
        <v>2</v>
      </c>
      <c r="R1040" s="2">
        <v>46174</v>
      </c>
      <c r="S1040" s="2"/>
      <c r="T1040" s="1" t="str">
        <f t="shared" si="48"/>
        <v>qua</v>
      </c>
      <c r="U1040" s="1" t="str">
        <f t="shared" si="49"/>
        <v>fev</v>
      </c>
      <c r="V1040">
        <f t="shared" si="50"/>
        <v>2020</v>
      </c>
      <c r="W1040">
        <f>_xlfn.XLOOKUP(A1040,Absenteismo!A:A,Absenteismo!A:A,0)</f>
        <v>0</v>
      </c>
    </row>
    <row r="1041" spans="1:23" hidden="1" x14ac:dyDescent="0.3">
      <c r="A1041">
        <v>1634</v>
      </c>
      <c r="B1041">
        <v>52</v>
      </c>
      <c r="C1041" t="s">
        <v>26</v>
      </c>
      <c r="D1041" t="s">
        <v>31</v>
      </c>
      <c r="E1041" t="s">
        <v>32</v>
      </c>
      <c r="F1041" t="s">
        <v>18</v>
      </c>
      <c r="G1041">
        <v>23</v>
      </c>
      <c r="H1041">
        <v>4974</v>
      </c>
      <c r="I1041" t="s">
        <v>30</v>
      </c>
      <c r="J1041" s="2">
        <v>45304</v>
      </c>
      <c r="K1041">
        <v>7</v>
      </c>
      <c r="L1041" t="s">
        <v>20</v>
      </c>
      <c r="M1041">
        <v>22</v>
      </c>
      <c r="N1041">
        <v>11</v>
      </c>
      <c r="O1041">
        <v>4</v>
      </c>
      <c r="P1041" t="s">
        <v>25</v>
      </c>
      <c r="Q1041" s="1">
        <v>1</v>
      </c>
      <c r="R1041" s="2">
        <v>46174</v>
      </c>
      <c r="S1041" s="2"/>
      <c r="T1041" s="1" t="str">
        <f t="shared" si="48"/>
        <v>sáb</v>
      </c>
      <c r="U1041" s="1" t="str">
        <f t="shared" si="49"/>
        <v>jan</v>
      </c>
      <c r="V1041">
        <f t="shared" si="50"/>
        <v>2024</v>
      </c>
      <c r="W1041">
        <f>_xlfn.XLOOKUP(A1041,Absenteismo!A:A,Absenteismo!A:A,0)</f>
        <v>1634</v>
      </c>
    </row>
    <row r="1042" spans="1:23" hidden="1" x14ac:dyDescent="0.3">
      <c r="A1042">
        <v>1644</v>
      </c>
      <c r="B1042">
        <v>52</v>
      </c>
      <c r="C1042" t="s">
        <v>15</v>
      </c>
      <c r="D1042" t="s">
        <v>16</v>
      </c>
      <c r="E1042" t="s">
        <v>17</v>
      </c>
      <c r="F1042" t="s">
        <v>23</v>
      </c>
      <c r="G1042">
        <v>50</v>
      </c>
      <c r="H1042">
        <v>4051</v>
      </c>
      <c r="I1042" t="s">
        <v>19</v>
      </c>
      <c r="J1042" s="2">
        <v>44434</v>
      </c>
      <c r="K1042">
        <v>5</v>
      </c>
      <c r="L1042" t="s">
        <v>20</v>
      </c>
      <c r="M1042">
        <v>21</v>
      </c>
      <c r="N1042">
        <v>8</v>
      </c>
      <c r="O1042">
        <v>5</v>
      </c>
      <c r="P1042" t="s">
        <v>25</v>
      </c>
      <c r="Q1042" s="1">
        <v>1</v>
      </c>
      <c r="R1042" s="2">
        <v>46174</v>
      </c>
      <c r="S1042" s="2"/>
      <c r="T1042" s="1" t="str">
        <f t="shared" si="48"/>
        <v>qui</v>
      </c>
      <c r="U1042" s="1" t="str">
        <f t="shared" si="49"/>
        <v>ago</v>
      </c>
      <c r="V1042">
        <f t="shared" si="50"/>
        <v>2021</v>
      </c>
      <c r="W1042">
        <f>_xlfn.XLOOKUP(A1042,Absenteismo!A:A,Absenteismo!A:A,0)</f>
        <v>1644</v>
      </c>
    </row>
    <row r="1043" spans="1:23" hidden="1" x14ac:dyDescent="0.3">
      <c r="A1043">
        <v>1771</v>
      </c>
      <c r="B1043">
        <v>52</v>
      </c>
      <c r="C1043" t="s">
        <v>26</v>
      </c>
      <c r="D1043" t="s">
        <v>22</v>
      </c>
      <c r="E1043" t="s">
        <v>17</v>
      </c>
      <c r="F1043" t="s">
        <v>23</v>
      </c>
      <c r="G1043">
        <v>109</v>
      </c>
      <c r="H1043">
        <v>6930</v>
      </c>
      <c r="I1043" t="s">
        <v>33</v>
      </c>
      <c r="J1043" s="2">
        <v>42745</v>
      </c>
      <c r="K1043">
        <v>18</v>
      </c>
      <c r="L1043" t="s">
        <v>20</v>
      </c>
      <c r="M1043">
        <v>7</v>
      </c>
      <c r="N1043">
        <v>5</v>
      </c>
      <c r="O1043">
        <v>3</v>
      </c>
      <c r="P1043" t="s">
        <v>25</v>
      </c>
      <c r="Q1043" s="1">
        <v>3</v>
      </c>
      <c r="R1043" s="2">
        <v>46174</v>
      </c>
      <c r="S1043" s="2"/>
      <c r="T1043" s="1" t="str">
        <f t="shared" si="48"/>
        <v>ter</v>
      </c>
      <c r="U1043" s="1" t="str">
        <f t="shared" si="49"/>
        <v>jan</v>
      </c>
      <c r="V1043">
        <f t="shared" si="50"/>
        <v>2017</v>
      </c>
      <c r="W1043">
        <f>_xlfn.XLOOKUP(A1043,Absenteismo!A:A,Absenteismo!A:A,0)</f>
        <v>1771</v>
      </c>
    </row>
    <row r="1044" spans="1:23" hidden="1" x14ac:dyDescent="0.3">
      <c r="A1044">
        <v>1782</v>
      </c>
      <c r="B1044">
        <v>52</v>
      </c>
      <c r="C1044" t="s">
        <v>15</v>
      </c>
      <c r="D1044" t="s">
        <v>27</v>
      </c>
      <c r="E1044" t="s">
        <v>17</v>
      </c>
      <c r="F1044" t="s">
        <v>18</v>
      </c>
      <c r="G1044">
        <v>16</v>
      </c>
      <c r="H1044">
        <v>4262</v>
      </c>
      <c r="I1044" t="s">
        <v>28</v>
      </c>
      <c r="J1044" s="2">
        <v>45712</v>
      </c>
      <c r="K1044">
        <v>26</v>
      </c>
      <c r="L1044" t="s">
        <v>20</v>
      </c>
      <c r="M1044">
        <v>14</v>
      </c>
      <c r="N1044">
        <v>0</v>
      </c>
      <c r="O1044">
        <v>2</v>
      </c>
      <c r="P1044" t="s">
        <v>25</v>
      </c>
      <c r="Q1044" s="1">
        <v>3</v>
      </c>
      <c r="R1044" s="2">
        <v>46174</v>
      </c>
      <c r="S1044" s="2"/>
      <c r="T1044" s="1" t="str">
        <f t="shared" si="48"/>
        <v>seg</v>
      </c>
      <c r="U1044" s="1" t="str">
        <f t="shared" si="49"/>
        <v>fev</v>
      </c>
      <c r="V1044">
        <f t="shared" si="50"/>
        <v>2025</v>
      </c>
      <c r="W1044">
        <f>_xlfn.XLOOKUP(A1044,Absenteismo!A:A,Absenteismo!A:A,0)</f>
        <v>1782</v>
      </c>
    </row>
    <row r="1045" spans="1:23" hidden="1" x14ac:dyDescent="0.3">
      <c r="A1045">
        <v>1829</v>
      </c>
      <c r="B1045">
        <v>52</v>
      </c>
      <c r="C1045" t="s">
        <v>26</v>
      </c>
      <c r="D1045" t="s">
        <v>16</v>
      </c>
      <c r="E1045" t="s">
        <v>17</v>
      </c>
      <c r="F1045" t="s">
        <v>18</v>
      </c>
      <c r="G1045">
        <v>73</v>
      </c>
      <c r="H1045">
        <v>6857</v>
      </c>
      <c r="I1045" t="s">
        <v>28</v>
      </c>
      <c r="J1045" s="2">
        <v>43816</v>
      </c>
      <c r="K1045">
        <v>33</v>
      </c>
      <c r="L1045" t="s">
        <v>20</v>
      </c>
      <c r="M1045">
        <v>7</v>
      </c>
      <c r="N1045">
        <v>4</v>
      </c>
      <c r="O1045">
        <v>4</v>
      </c>
      <c r="P1045" t="s">
        <v>25</v>
      </c>
      <c r="Q1045" s="1">
        <v>1</v>
      </c>
      <c r="R1045" s="2">
        <v>46174</v>
      </c>
      <c r="S1045" s="2"/>
      <c r="T1045" s="1" t="str">
        <f t="shared" si="48"/>
        <v>ter</v>
      </c>
      <c r="U1045" s="1" t="str">
        <f t="shared" si="49"/>
        <v>dez</v>
      </c>
      <c r="V1045">
        <f t="shared" si="50"/>
        <v>2019</v>
      </c>
      <c r="W1045">
        <f>_xlfn.XLOOKUP(A1045,Absenteismo!A:A,Absenteismo!A:A,0)</f>
        <v>1829</v>
      </c>
    </row>
    <row r="1046" spans="1:23" hidden="1" x14ac:dyDescent="0.3">
      <c r="A1046">
        <v>1911</v>
      </c>
      <c r="B1046">
        <v>52</v>
      </c>
      <c r="C1046" t="s">
        <v>26</v>
      </c>
      <c r="D1046" t="s">
        <v>22</v>
      </c>
      <c r="E1046" t="s">
        <v>17</v>
      </c>
      <c r="F1046" t="s">
        <v>18</v>
      </c>
      <c r="G1046">
        <v>15</v>
      </c>
      <c r="H1046">
        <v>5204</v>
      </c>
      <c r="I1046" t="s">
        <v>33</v>
      </c>
      <c r="J1046" s="2">
        <v>45295</v>
      </c>
      <c r="K1046">
        <v>11</v>
      </c>
      <c r="L1046" t="s">
        <v>20</v>
      </c>
      <c r="M1046">
        <v>16</v>
      </c>
      <c r="N1046">
        <v>8</v>
      </c>
      <c r="O1046">
        <v>3</v>
      </c>
      <c r="P1046" t="s">
        <v>25</v>
      </c>
      <c r="Q1046" s="1">
        <v>3</v>
      </c>
      <c r="R1046" s="2">
        <v>46174</v>
      </c>
      <c r="S1046" s="2"/>
      <c r="T1046" s="1" t="str">
        <f t="shared" si="48"/>
        <v>qui</v>
      </c>
      <c r="U1046" s="1" t="str">
        <f t="shared" si="49"/>
        <v>jan</v>
      </c>
      <c r="V1046">
        <f t="shared" si="50"/>
        <v>2024</v>
      </c>
      <c r="W1046">
        <f>_xlfn.XLOOKUP(A1046,Absenteismo!A:A,Absenteismo!A:A,0)</f>
        <v>1911</v>
      </c>
    </row>
    <row r="1047" spans="1:23" x14ac:dyDescent="0.3">
      <c r="A1047">
        <v>1914</v>
      </c>
      <c r="B1047">
        <v>52</v>
      </c>
      <c r="C1047" t="s">
        <v>15</v>
      </c>
      <c r="D1047" t="s">
        <v>16</v>
      </c>
      <c r="E1047" t="s">
        <v>17</v>
      </c>
      <c r="F1047" t="s">
        <v>18</v>
      </c>
      <c r="G1047">
        <v>71</v>
      </c>
      <c r="H1047">
        <v>4152</v>
      </c>
      <c r="I1047" t="s">
        <v>24</v>
      </c>
      <c r="J1047" s="2">
        <v>44008</v>
      </c>
      <c r="K1047">
        <v>34</v>
      </c>
      <c r="L1047" t="s">
        <v>25</v>
      </c>
      <c r="M1047">
        <v>27</v>
      </c>
      <c r="N1047">
        <v>3</v>
      </c>
      <c r="O1047">
        <v>3</v>
      </c>
      <c r="P1047" t="s">
        <v>25</v>
      </c>
      <c r="Q1047" s="1">
        <v>1</v>
      </c>
      <c r="R1047" s="2">
        <v>46174</v>
      </c>
      <c r="S1047" s="2"/>
      <c r="T1047" s="1" t="str">
        <f t="shared" si="48"/>
        <v>sex</v>
      </c>
      <c r="U1047" s="1" t="str">
        <f t="shared" si="49"/>
        <v>jun</v>
      </c>
      <c r="V1047">
        <f t="shared" si="50"/>
        <v>2020</v>
      </c>
      <c r="W1047">
        <f>_xlfn.XLOOKUP(A1047,Absenteismo!A:A,Absenteismo!A:A,0)</f>
        <v>0</v>
      </c>
    </row>
    <row r="1048" spans="1:23" hidden="1" x14ac:dyDescent="0.3">
      <c r="A1048">
        <v>1934</v>
      </c>
      <c r="B1048">
        <v>52</v>
      </c>
      <c r="C1048" t="s">
        <v>26</v>
      </c>
      <c r="D1048" t="s">
        <v>31</v>
      </c>
      <c r="E1048" t="s">
        <v>32</v>
      </c>
      <c r="F1048" t="s">
        <v>18</v>
      </c>
      <c r="G1048">
        <v>23</v>
      </c>
      <c r="H1048">
        <v>4974</v>
      </c>
      <c r="I1048" t="s">
        <v>30</v>
      </c>
      <c r="J1048" s="2">
        <v>45259</v>
      </c>
      <c r="K1048">
        <v>7</v>
      </c>
      <c r="L1048" t="s">
        <v>20</v>
      </c>
      <c r="M1048">
        <v>22</v>
      </c>
      <c r="N1048">
        <v>11</v>
      </c>
      <c r="O1048">
        <v>4</v>
      </c>
      <c r="P1048" t="s">
        <v>25</v>
      </c>
      <c r="Q1048" s="1">
        <v>1</v>
      </c>
      <c r="R1048" s="2">
        <v>46174</v>
      </c>
      <c r="S1048" s="2"/>
      <c r="T1048" s="1" t="str">
        <f t="shared" si="48"/>
        <v>qua</v>
      </c>
      <c r="U1048" s="1" t="str">
        <f t="shared" si="49"/>
        <v>nov</v>
      </c>
      <c r="V1048">
        <f t="shared" si="50"/>
        <v>2023</v>
      </c>
      <c r="W1048">
        <f>_xlfn.XLOOKUP(A1048,Absenteismo!A:A,Absenteismo!A:A,0)</f>
        <v>1934</v>
      </c>
    </row>
    <row r="1049" spans="1:23" hidden="1" x14ac:dyDescent="0.3">
      <c r="A1049">
        <v>1944</v>
      </c>
      <c r="B1049">
        <v>52</v>
      </c>
      <c r="C1049" t="s">
        <v>15</v>
      </c>
      <c r="D1049" t="s">
        <v>16</v>
      </c>
      <c r="E1049" t="s">
        <v>17</v>
      </c>
      <c r="F1049" t="s">
        <v>23</v>
      </c>
      <c r="G1049">
        <v>50</v>
      </c>
      <c r="H1049">
        <v>4051</v>
      </c>
      <c r="I1049" t="s">
        <v>19</v>
      </c>
      <c r="J1049" s="2">
        <v>44581</v>
      </c>
      <c r="K1049">
        <v>5</v>
      </c>
      <c r="L1049" t="s">
        <v>20</v>
      </c>
      <c r="M1049">
        <v>21</v>
      </c>
      <c r="N1049">
        <v>8</v>
      </c>
      <c r="O1049">
        <v>5</v>
      </c>
      <c r="P1049" t="s">
        <v>25</v>
      </c>
      <c r="Q1049" s="1">
        <v>1</v>
      </c>
      <c r="R1049" s="2">
        <v>46174</v>
      </c>
      <c r="S1049" s="2"/>
      <c r="T1049" s="1" t="str">
        <f t="shared" si="48"/>
        <v>qui</v>
      </c>
      <c r="U1049" s="1" t="str">
        <f t="shared" si="49"/>
        <v>jan</v>
      </c>
      <c r="V1049">
        <f t="shared" si="50"/>
        <v>2022</v>
      </c>
      <c r="W1049">
        <f>_xlfn.XLOOKUP(A1049,Absenteismo!A:A,Absenteismo!A:A,0)</f>
        <v>1944</v>
      </c>
    </row>
    <row r="1050" spans="1:23" hidden="1" x14ac:dyDescent="0.3">
      <c r="A1050">
        <v>2071</v>
      </c>
      <c r="B1050">
        <v>52</v>
      </c>
      <c r="C1050" t="s">
        <v>26</v>
      </c>
      <c r="D1050" t="s">
        <v>22</v>
      </c>
      <c r="E1050" t="s">
        <v>17</v>
      </c>
      <c r="F1050" t="s">
        <v>23</v>
      </c>
      <c r="G1050">
        <v>109</v>
      </c>
      <c r="H1050">
        <v>6930</v>
      </c>
      <c r="I1050" t="s">
        <v>33</v>
      </c>
      <c r="J1050" s="2">
        <v>42543</v>
      </c>
      <c r="K1050">
        <v>18</v>
      </c>
      <c r="L1050" t="s">
        <v>20</v>
      </c>
      <c r="M1050">
        <v>7</v>
      </c>
      <c r="N1050">
        <v>5</v>
      </c>
      <c r="O1050">
        <v>3</v>
      </c>
      <c r="P1050" t="s">
        <v>25</v>
      </c>
      <c r="Q1050" s="1">
        <v>2</v>
      </c>
      <c r="R1050" s="2">
        <v>46174</v>
      </c>
      <c r="S1050" s="2"/>
      <c r="T1050" s="1" t="str">
        <f t="shared" si="48"/>
        <v>qua</v>
      </c>
      <c r="U1050" s="1" t="str">
        <f t="shared" si="49"/>
        <v>jun</v>
      </c>
      <c r="V1050">
        <f t="shared" si="50"/>
        <v>2016</v>
      </c>
      <c r="W1050">
        <f>_xlfn.XLOOKUP(A1050,Absenteismo!A:A,Absenteismo!A:A,0)</f>
        <v>2071</v>
      </c>
    </row>
    <row r="1051" spans="1:23" hidden="1" x14ac:dyDescent="0.3">
      <c r="A1051">
        <v>2082</v>
      </c>
      <c r="B1051">
        <v>52</v>
      </c>
      <c r="C1051" t="s">
        <v>15</v>
      </c>
      <c r="D1051" t="s">
        <v>27</v>
      </c>
      <c r="E1051" t="s">
        <v>17</v>
      </c>
      <c r="F1051" t="s">
        <v>18</v>
      </c>
      <c r="G1051">
        <v>16</v>
      </c>
      <c r="H1051">
        <v>4262</v>
      </c>
      <c r="I1051" t="s">
        <v>28</v>
      </c>
      <c r="J1051" s="2">
        <v>45555</v>
      </c>
      <c r="K1051">
        <v>26</v>
      </c>
      <c r="L1051" t="s">
        <v>20</v>
      </c>
      <c r="M1051">
        <v>14</v>
      </c>
      <c r="N1051">
        <v>0</v>
      </c>
      <c r="O1051">
        <v>2</v>
      </c>
      <c r="P1051" t="s">
        <v>25</v>
      </c>
      <c r="Q1051" s="1">
        <v>2</v>
      </c>
      <c r="R1051" s="2">
        <v>46174</v>
      </c>
      <c r="S1051" s="2"/>
      <c r="T1051" s="1" t="str">
        <f t="shared" si="48"/>
        <v>sex</v>
      </c>
      <c r="U1051" s="1" t="str">
        <f t="shared" si="49"/>
        <v>set</v>
      </c>
      <c r="V1051">
        <f t="shared" si="50"/>
        <v>2024</v>
      </c>
      <c r="W1051">
        <f>_xlfn.XLOOKUP(A1051,Absenteismo!A:A,Absenteismo!A:A,0)</f>
        <v>2082</v>
      </c>
    </row>
    <row r="1052" spans="1:23" hidden="1" x14ac:dyDescent="0.3">
      <c r="A1052">
        <v>2129</v>
      </c>
      <c r="B1052">
        <v>52</v>
      </c>
      <c r="C1052" t="s">
        <v>26</v>
      </c>
      <c r="D1052" t="s">
        <v>16</v>
      </c>
      <c r="E1052" t="s">
        <v>17</v>
      </c>
      <c r="F1052" t="s">
        <v>18</v>
      </c>
      <c r="G1052">
        <v>73</v>
      </c>
      <c r="H1052">
        <v>6857</v>
      </c>
      <c r="I1052" t="s">
        <v>28</v>
      </c>
      <c r="J1052" s="2">
        <v>43625</v>
      </c>
      <c r="K1052">
        <v>33</v>
      </c>
      <c r="L1052" t="s">
        <v>20</v>
      </c>
      <c r="M1052">
        <v>7</v>
      </c>
      <c r="N1052">
        <v>4</v>
      </c>
      <c r="O1052">
        <v>4</v>
      </c>
      <c r="P1052" t="s">
        <v>25</v>
      </c>
      <c r="Q1052" s="1">
        <v>3</v>
      </c>
      <c r="R1052" s="2">
        <v>46174</v>
      </c>
      <c r="S1052" s="2"/>
      <c r="T1052" s="1" t="str">
        <f t="shared" si="48"/>
        <v>dom</v>
      </c>
      <c r="U1052" s="1" t="str">
        <f t="shared" si="49"/>
        <v>jun</v>
      </c>
      <c r="V1052">
        <f t="shared" si="50"/>
        <v>2019</v>
      </c>
      <c r="W1052">
        <f>_xlfn.XLOOKUP(A1052,Absenteismo!A:A,Absenteismo!A:A,0)</f>
        <v>2129</v>
      </c>
    </row>
    <row r="1053" spans="1:23" hidden="1" x14ac:dyDescent="0.3">
      <c r="A1053">
        <v>1920</v>
      </c>
      <c r="B1053">
        <v>52</v>
      </c>
      <c r="C1053" t="s">
        <v>15</v>
      </c>
      <c r="D1053" t="s">
        <v>31</v>
      </c>
      <c r="E1053" t="s">
        <v>32</v>
      </c>
      <c r="F1053" t="s">
        <v>23</v>
      </c>
      <c r="G1053">
        <v>53</v>
      </c>
      <c r="H1053">
        <v>6778</v>
      </c>
      <c r="I1053" t="s">
        <v>33</v>
      </c>
      <c r="J1053" s="2">
        <v>44449</v>
      </c>
      <c r="K1053">
        <v>14</v>
      </c>
      <c r="L1053" t="s">
        <v>25</v>
      </c>
      <c r="M1053">
        <v>3</v>
      </c>
      <c r="N1053">
        <v>2</v>
      </c>
      <c r="O1053">
        <v>5</v>
      </c>
      <c r="P1053" t="s">
        <v>25</v>
      </c>
      <c r="Q1053" s="1">
        <v>1</v>
      </c>
      <c r="R1053" s="2">
        <v>46174</v>
      </c>
      <c r="S1053" s="2"/>
      <c r="T1053" s="1" t="str">
        <f t="shared" si="48"/>
        <v>sex</v>
      </c>
      <c r="U1053" s="1" t="str">
        <f t="shared" si="49"/>
        <v>set</v>
      </c>
      <c r="V1053">
        <f t="shared" si="50"/>
        <v>2021</v>
      </c>
      <c r="W1053">
        <f>_xlfn.XLOOKUP(A1053,Absenteismo!A:A,Absenteismo!A:A,0)</f>
        <v>1920</v>
      </c>
    </row>
    <row r="1054" spans="1:23" x14ac:dyDescent="0.3">
      <c r="A1054">
        <v>1954</v>
      </c>
      <c r="B1054">
        <v>52</v>
      </c>
      <c r="C1054" t="s">
        <v>26</v>
      </c>
      <c r="D1054" t="s">
        <v>29</v>
      </c>
      <c r="E1054" t="s">
        <v>17</v>
      </c>
      <c r="F1054" t="s">
        <v>21</v>
      </c>
      <c r="G1054">
        <v>76</v>
      </c>
      <c r="H1054">
        <v>4998</v>
      </c>
      <c r="I1054" t="s">
        <v>24</v>
      </c>
      <c r="J1054" s="2">
        <v>43534</v>
      </c>
      <c r="K1054">
        <v>55</v>
      </c>
      <c r="L1054" t="s">
        <v>20</v>
      </c>
      <c r="M1054">
        <v>5</v>
      </c>
      <c r="N1054">
        <v>4</v>
      </c>
      <c r="O1054">
        <v>5</v>
      </c>
      <c r="P1054" t="s">
        <v>25</v>
      </c>
      <c r="Q1054" s="1">
        <v>3</v>
      </c>
      <c r="R1054" s="2">
        <v>46174</v>
      </c>
      <c r="S1054" s="2"/>
      <c r="T1054" s="1" t="str">
        <f t="shared" si="48"/>
        <v>dom</v>
      </c>
      <c r="U1054" s="1" t="str">
        <f t="shared" si="49"/>
        <v>mar</v>
      </c>
      <c r="V1054">
        <f t="shared" si="50"/>
        <v>2019</v>
      </c>
      <c r="W1054">
        <f>_xlfn.XLOOKUP(A1054,Absenteismo!A:A,Absenteismo!A:A,0)</f>
        <v>0</v>
      </c>
    </row>
    <row r="1055" spans="1:23" hidden="1" x14ac:dyDescent="0.3">
      <c r="A1055">
        <v>1979</v>
      </c>
      <c r="B1055">
        <v>52</v>
      </c>
      <c r="C1055" t="s">
        <v>26</v>
      </c>
      <c r="D1055" t="s">
        <v>31</v>
      </c>
      <c r="E1055" t="s">
        <v>34</v>
      </c>
      <c r="F1055" t="s">
        <v>21</v>
      </c>
      <c r="G1055">
        <v>5</v>
      </c>
      <c r="H1055">
        <v>3360</v>
      </c>
      <c r="I1055" t="s">
        <v>19</v>
      </c>
      <c r="J1055" s="2">
        <v>45677</v>
      </c>
      <c r="K1055">
        <v>41</v>
      </c>
      <c r="L1055" t="s">
        <v>20</v>
      </c>
      <c r="M1055">
        <v>18</v>
      </c>
      <c r="N1055">
        <v>3</v>
      </c>
      <c r="O1055">
        <v>2</v>
      </c>
      <c r="P1055" t="s">
        <v>25</v>
      </c>
      <c r="Q1055" s="1">
        <v>2</v>
      </c>
      <c r="R1055" s="2">
        <v>46174</v>
      </c>
      <c r="S1055" s="2"/>
      <c r="T1055" s="1" t="str">
        <f t="shared" si="48"/>
        <v>seg</v>
      </c>
      <c r="U1055" s="1" t="str">
        <f t="shared" si="49"/>
        <v>jan</v>
      </c>
      <c r="V1055">
        <f t="shared" si="50"/>
        <v>2025</v>
      </c>
      <c r="W1055">
        <f>_xlfn.XLOOKUP(A1055,Absenteismo!A:A,Absenteismo!A:A,0)</f>
        <v>1979</v>
      </c>
    </row>
    <row r="1056" spans="1:23" hidden="1" x14ac:dyDescent="0.3">
      <c r="A1056">
        <v>1989</v>
      </c>
      <c r="B1056">
        <v>52</v>
      </c>
      <c r="C1056" t="s">
        <v>15</v>
      </c>
      <c r="D1056" t="s">
        <v>29</v>
      </c>
      <c r="E1056" t="s">
        <v>17</v>
      </c>
      <c r="F1056" t="s">
        <v>21</v>
      </c>
      <c r="G1056">
        <v>96</v>
      </c>
      <c r="H1056">
        <v>4947</v>
      </c>
      <c r="I1056" t="s">
        <v>28</v>
      </c>
      <c r="J1056" s="2">
        <v>43193</v>
      </c>
      <c r="K1056">
        <v>25</v>
      </c>
      <c r="L1056" t="s">
        <v>25</v>
      </c>
      <c r="M1056">
        <v>23</v>
      </c>
      <c r="N1056">
        <v>1</v>
      </c>
      <c r="O1056">
        <v>3</v>
      </c>
      <c r="P1056" t="s">
        <v>25</v>
      </c>
      <c r="Q1056" s="1">
        <v>3</v>
      </c>
      <c r="R1056" s="2">
        <v>46174</v>
      </c>
      <c r="S1056" s="2"/>
      <c r="T1056" s="1" t="str">
        <f t="shared" si="48"/>
        <v>ter</v>
      </c>
      <c r="U1056" s="1" t="str">
        <f t="shared" si="49"/>
        <v>abr</v>
      </c>
      <c r="V1056">
        <f t="shared" si="50"/>
        <v>2018</v>
      </c>
      <c r="W1056">
        <f>_xlfn.XLOOKUP(A1056,Absenteismo!A:A,Absenteismo!A:A,0)</f>
        <v>1989</v>
      </c>
    </row>
    <row r="1057" spans="1:23" hidden="1" x14ac:dyDescent="0.3">
      <c r="A1057">
        <v>1995</v>
      </c>
      <c r="B1057">
        <v>52</v>
      </c>
      <c r="C1057" t="s">
        <v>26</v>
      </c>
      <c r="D1057" t="s">
        <v>22</v>
      </c>
      <c r="E1057" t="s">
        <v>17</v>
      </c>
      <c r="F1057" t="s">
        <v>23</v>
      </c>
      <c r="G1057">
        <v>85</v>
      </c>
      <c r="H1057">
        <v>3011</v>
      </c>
      <c r="I1057" t="s">
        <v>19</v>
      </c>
      <c r="J1057" s="2">
        <v>43184</v>
      </c>
      <c r="K1057">
        <v>1</v>
      </c>
      <c r="L1057" t="s">
        <v>20</v>
      </c>
      <c r="M1057">
        <v>15</v>
      </c>
      <c r="N1057">
        <v>9</v>
      </c>
      <c r="O1057">
        <v>4</v>
      </c>
      <c r="P1057" t="s">
        <v>25</v>
      </c>
      <c r="Q1057" s="1">
        <v>2</v>
      </c>
      <c r="R1057" s="2">
        <v>46174</v>
      </c>
      <c r="S1057" s="2"/>
      <c r="T1057" s="1" t="str">
        <f t="shared" si="48"/>
        <v>dom</v>
      </c>
      <c r="U1057" s="1" t="str">
        <f t="shared" si="49"/>
        <v>mar</v>
      </c>
      <c r="V1057">
        <f t="shared" si="50"/>
        <v>2018</v>
      </c>
      <c r="W1057">
        <f>_xlfn.XLOOKUP(A1057,Absenteismo!A:A,Absenteismo!A:A,0)</f>
        <v>1995</v>
      </c>
    </row>
    <row r="1058" spans="1:23" hidden="1" x14ac:dyDescent="0.3">
      <c r="A1058">
        <v>2104</v>
      </c>
      <c r="B1058">
        <v>52</v>
      </c>
      <c r="C1058" t="s">
        <v>26</v>
      </c>
      <c r="D1058" t="s">
        <v>29</v>
      </c>
      <c r="E1058" t="s">
        <v>17</v>
      </c>
      <c r="F1058" t="s">
        <v>21</v>
      </c>
      <c r="G1058">
        <v>18</v>
      </c>
      <c r="H1058">
        <v>3442</v>
      </c>
      <c r="I1058" t="s">
        <v>28</v>
      </c>
      <c r="J1058" s="2">
        <v>45622</v>
      </c>
      <c r="K1058">
        <v>48</v>
      </c>
      <c r="L1058" t="s">
        <v>25</v>
      </c>
      <c r="M1058">
        <v>3</v>
      </c>
      <c r="N1058">
        <v>1</v>
      </c>
      <c r="O1058">
        <v>5</v>
      </c>
      <c r="P1058" t="s">
        <v>25</v>
      </c>
      <c r="Q1058" s="1">
        <v>1</v>
      </c>
      <c r="R1058" s="2">
        <v>46174</v>
      </c>
      <c r="S1058" s="2"/>
      <c r="T1058" s="1" t="str">
        <f t="shared" si="48"/>
        <v>ter</v>
      </c>
      <c r="U1058" s="1" t="str">
        <f t="shared" si="49"/>
        <v>nov</v>
      </c>
      <c r="V1058">
        <f t="shared" si="50"/>
        <v>2024</v>
      </c>
      <c r="W1058">
        <f>_xlfn.XLOOKUP(A1058,Absenteismo!A:A,Absenteismo!A:A,0)</f>
        <v>2104</v>
      </c>
    </row>
    <row r="1059" spans="1:23" hidden="1" x14ac:dyDescent="0.3">
      <c r="A1059">
        <v>1702</v>
      </c>
      <c r="B1059">
        <v>53</v>
      </c>
      <c r="C1059" t="s">
        <v>26</v>
      </c>
      <c r="D1059" t="s">
        <v>27</v>
      </c>
      <c r="E1059" t="s">
        <v>17</v>
      </c>
      <c r="F1059" t="s">
        <v>18</v>
      </c>
      <c r="G1059">
        <v>46</v>
      </c>
      <c r="H1059">
        <v>6264</v>
      </c>
      <c r="I1059" t="s">
        <v>30</v>
      </c>
      <c r="J1059" s="2">
        <v>44415</v>
      </c>
      <c r="K1059">
        <v>19</v>
      </c>
      <c r="L1059" t="s">
        <v>20</v>
      </c>
      <c r="M1059">
        <v>22</v>
      </c>
      <c r="N1059">
        <v>1</v>
      </c>
      <c r="O1059">
        <v>3</v>
      </c>
      <c r="P1059" t="s">
        <v>20</v>
      </c>
      <c r="Q1059" s="1">
        <v>2</v>
      </c>
      <c r="R1059" s="2">
        <v>46174</v>
      </c>
      <c r="S1059" s="2">
        <v>45815</v>
      </c>
      <c r="T1059" s="1" t="str">
        <f t="shared" si="48"/>
        <v>sáb</v>
      </c>
      <c r="U1059" s="1" t="str">
        <f t="shared" si="49"/>
        <v>ago</v>
      </c>
      <c r="V1059">
        <f t="shared" si="50"/>
        <v>2021</v>
      </c>
      <c r="W1059">
        <f>_xlfn.XLOOKUP(A1059,Absenteismo!A:A,Absenteismo!A:A,0)</f>
        <v>1702</v>
      </c>
    </row>
    <row r="1060" spans="1:23" hidden="1" x14ac:dyDescent="0.3">
      <c r="A1060">
        <v>1637</v>
      </c>
      <c r="B1060">
        <v>53</v>
      </c>
      <c r="C1060" t="s">
        <v>15</v>
      </c>
      <c r="D1060" t="s">
        <v>16</v>
      </c>
      <c r="E1060" t="s">
        <v>17</v>
      </c>
      <c r="F1060" t="s">
        <v>21</v>
      </c>
      <c r="G1060">
        <v>49</v>
      </c>
      <c r="H1060">
        <v>4225</v>
      </c>
      <c r="I1060" t="s">
        <v>28</v>
      </c>
      <c r="J1060" s="2">
        <v>44350</v>
      </c>
      <c r="K1060">
        <v>37</v>
      </c>
      <c r="L1060" t="s">
        <v>20</v>
      </c>
      <c r="M1060">
        <v>35</v>
      </c>
      <c r="N1060">
        <v>0</v>
      </c>
      <c r="O1060">
        <v>4</v>
      </c>
      <c r="P1060" t="s">
        <v>20</v>
      </c>
      <c r="Q1060" s="1">
        <v>1</v>
      </c>
      <c r="R1060" s="2">
        <v>46174</v>
      </c>
      <c r="S1060" s="2">
        <v>45841</v>
      </c>
      <c r="T1060" s="1" t="str">
        <f t="shared" si="48"/>
        <v>qui</v>
      </c>
      <c r="U1060" s="1" t="str">
        <f t="shared" si="49"/>
        <v>jun</v>
      </c>
      <c r="V1060">
        <f t="shared" si="50"/>
        <v>2021</v>
      </c>
      <c r="W1060">
        <f>_xlfn.XLOOKUP(A1060,Absenteismo!A:A,Absenteismo!A:A,0)</f>
        <v>1637</v>
      </c>
    </row>
    <row r="1061" spans="1:23" x14ac:dyDescent="0.3">
      <c r="A1061">
        <v>1102</v>
      </c>
      <c r="B1061">
        <v>53</v>
      </c>
      <c r="C1061" t="s">
        <v>26</v>
      </c>
      <c r="D1061" t="s">
        <v>27</v>
      </c>
      <c r="E1061" t="s">
        <v>17</v>
      </c>
      <c r="F1061" t="s">
        <v>18</v>
      </c>
      <c r="G1061">
        <v>46</v>
      </c>
      <c r="H1061">
        <v>6264</v>
      </c>
      <c r="I1061" t="s">
        <v>30</v>
      </c>
      <c r="J1061" s="2">
        <v>44472</v>
      </c>
      <c r="K1061">
        <v>19</v>
      </c>
      <c r="L1061" t="s">
        <v>20</v>
      </c>
      <c r="M1061">
        <v>22</v>
      </c>
      <c r="N1061">
        <v>1</v>
      </c>
      <c r="O1061">
        <v>3</v>
      </c>
      <c r="P1061" t="s">
        <v>20</v>
      </c>
      <c r="Q1061" s="1">
        <v>3</v>
      </c>
      <c r="R1061" s="2">
        <v>46174</v>
      </c>
      <c r="S1061" s="2">
        <v>45872</v>
      </c>
      <c r="T1061" s="1" t="str">
        <f t="shared" si="48"/>
        <v>dom</v>
      </c>
      <c r="U1061" s="1" t="str">
        <f t="shared" si="49"/>
        <v>out</v>
      </c>
      <c r="V1061">
        <f t="shared" si="50"/>
        <v>2021</v>
      </c>
      <c r="W1061">
        <f>_xlfn.XLOOKUP(A1061,Absenteismo!A:A,Absenteismo!A:A,0)</f>
        <v>0</v>
      </c>
    </row>
    <row r="1062" spans="1:23" x14ac:dyDescent="0.3">
      <c r="A1062">
        <v>1037</v>
      </c>
      <c r="B1062">
        <v>53</v>
      </c>
      <c r="C1062" t="s">
        <v>15</v>
      </c>
      <c r="D1062" t="s">
        <v>16</v>
      </c>
      <c r="E1062" t="s">
        <v>17</v>
      </c>
      <c r="F1062" t="s">
        <v>21</v>
      </c>
      <c r="G1062">
        <v>49</v>
      </c>
      <c r="H1062">
        <v>4225</v>
      </c>
      <c r="I1062" t="s">
        <v>28</v>
      </c>
      <c r="J1062" s="2">
        <v>44505</v>
      </c>
      <c r="K1062">
        <v>37</v>
      </c>
      <c r="L1062" t="s">
        <v>20</v>
      </c>
      <c r="M1062">
        <v>35</v>
      </c>
      <c r="N1062">
        <v>0</v>
      </c>
      <c r="O1062">
        <v>4</v>
      </c>
      <c r="P1062" t="s">
        <v>20</v>
      </c>
      <c r="Q1062" s="1">
        <v>2</v>
      </c>
      <c r="R1062" s="2">
        <v>46174</v>
      </c>
      <c r="S1062" s="2">
        <v>45996</v>
      </c>
      <c r="T1062" s="1" t="str">
        <f t="shared" si="48"/>
        <v>sex</v>
      </c>
      <c r="U1062" s="1" t="str">
        <f t="shared" si="49"/>
        <v>nov</v>
      </c>
      <c r="V1062">
        <f t="shared" si="50"/>
        <v>2021</v>
      </c>
      <c r="W1062">
        <f>_xlfn.XLOOKUP(A1062,Absenteismo!A:A,Absenteismo!A:A,0)</f>
        <v>0</v>
      </c>
    </row>
    <row r="1063" spans="1:23" hidden="1" x14ac:dyDescent="0.3">
      <c r="A1063">
        <v>1402</v>
      </c>
      <c r="B1063">
        <v>53</v>
      </c>
      <c r="C1063" t="s">
        <v>26</v>
      </c>
      <c r="D1063" t="s">
        <v>27</v>
      </c>
      <c r="E1063" t="s">
        <v>17</v>
      </c>
      <c r="F1063" t="s">
        <v>18</v>
      </c>
      <c r="G1063">
        <v>46</v>
      </c>
      <c r="H1063">
        <v>6264</v>
      </c>
      <c r="I1063" t="s">
        <v>30</v>
      </c>
      <c r="J1063" s="2">
        <v>44663</v>
      </c>
      <c r="K1063">
        <v>19</v>
      </c>
      <c r="L1063" t="s">
        <v>20</v>
      </c>
      <c r="M1063">
        <v>22</v>
      </c>
      <c r="N1063">
        <v>1</v>
      </c>
      <c r="O1063">
        <v>3</v>
      </c>
      <c r="P1063" t="s">
        <v>20</v>
      </c>
      <c r="Q1063" s="1">
        <v>1</v>
      </c>
      <c r="R1063" s="2">
        <v>46174</v>
      </c>
      <c r="S1063" s="2">
        <v>46065</v>
      </c>
      <c r="T1063" s="1" t="str">
        <f t="shared" si="48"/>
        <v>ter</v>
      </c>
      <c r="U1063" s="1" t="str">
        <f t="shared" si="49"/>
        <v>abr</v>
      </c>
      <c r="V1063">
        <f t="shared" si="50"/>
        <v>2022</v>
      </c>
      <c r="W1063">
        <f>_xlfn.XLOOKUP(A1063,Absenteismo!A:A,Absenteismo!A:A,0)</f>
        <v>1402</v>
      </c>
    </row>
    <row r="1064" spans="1:23" hidden="1" x14ac:dyDescent="0.3">
      <c r="A1064">
        <v>1337</v>
      </c>
      <c r="B1064">
        <v>53</v>
      </c>
      <c r="C1064" t="s">
        <v>15</v>
      </c>
      <c r="D1064" t="s">
        <v>16</v>
      </c>
      <c r="E1064" t="s">
        <v>17</v>
      </c>
      <c r="F1064" t="s">
        <v>21</v>
      </c>
      <c r="G1064">
        <v>49</v>
      </c>
      <c r="H1064">
        <v>4225</v>
      </c>
      <c r="I1064" t="s">
        <v>28</v>
      </c>
      <c r="J1064" s="2">
        <v>44581</v>
      </c>
      <c r="K1064">
        <v>37</v>
      </c>
      <c r="L1064" t="s">
        <v>20</v>
      </c>
      <c r="M1064">
        <v>35</v>
      </c>
      <c r="N1064">
        <v>0</v>
      </c>
      <c r="O1064">
        <v>4</v>
      </c>
      <c r="P1064" t="s">
        <v>20</v>
      </c>
      <c r="Q1064" s="1">
        <v>2</v>
      </c>
      <c r="R1064" s="2">
        <v>46174</v>
      </c>
      <c r="S1064" s="2">
        <v>46073</v>
      </c>
      <c r="T1064" s="1" t="str">
        <f t="shared" si="48"/>
        <v>qui</v>
      </c>
      <c r="U1064" s="1" t="str">
        <f t="shared" si="49"/>
        <v>jan</v>
      </c>
      <c r="V1064">
        <f t="shared" si="50"/>
        <v>2022</v>
      </c>
      <c r="W1064">
        <f>_xlfn.XLOOKUP(A1064,Absenteismo!A:A,Absenteismo!A:A,0)</f>
        <v>1337</v>
      </c>
    </row>
    <row r="1065" spans="1:23" x14ac:dyDescent="0.3">
      <c r="A1065">
        <v>1058</v>
      </c>
      <c r="B1065">
        <v>53</v>
      </c>
      <c r="C1065" t="s">
        <v>26</v>
      </c>
      <c r="D1065" t="s">
        <v>29</v>
      </c>
      <c r="E1065" t="s">
        <v>17</v>
      </c>
      <c r="F1065" t="s">
        <v>18</v>
      </c>
      <c r="G1065">
        <v>35</v>
      </c>
      <c r="H1065">
        <v>5311</v>
      </c>
      <c r="I1065" t="s">
        <v>24</v>
      </c>
      <c r="J1065" s="2">
        <v>44966</v>
      </c>
      <c r="K1065">
        <v>15</v>
      </c>
      <c r="L1065" t="s">
        <v>20</v>
      </c>
      <c r="M1065">
        <v>12</v>
      </c>
      <c r="N1065">
        <v>5</v>
      </c>
      <c r="O1065">
        <v>2</v>
      </c>
      <c r="P1065" t="s">
        <v>25</v>
      </c>
      <c r="Q1065" s="1">
        <v>3</v>
      </c>
      <c r="R1065" s="2">
        <v>46174</v>
      </c>
      <c r="S1065" s="2"/>
      <c r="T1065" s="1" t="str">
        <f t="shared" si="48"/>
        <v>qui</v>
      </c>
      <c r="U1065" s="1" t="str">
        <f t="shared" si="49"/>
        <v>fev</v>
      </c>
      <c r="V1065">
        <f t="shared" si="50"/>
        <v>2023</v>
      </c>
      <c r="W1065">
        <f>_xlfn.XLOOKUP(A1065,Absenteismo!A:A,Absenteismo!A:A,0)</f>
        <v>0</v>
      </c>
    </row>
    <row r="1066" spans="1:23" hidden="1" x14ac:dyDescent="0.3">
      <c r="A1066">
        <v>1157</v>
      </c>
      <c r="B1066">
        <v>53</v>
      </c>
      <c r="C1066" t="s">
        <v>26</v>
      </c>
      <c r="D1066" t="s">
        <v>22</v>
      </c>
      <c r="E1066" t="s">
        <v>17</v>
      </c>
      <c r="F1066" t="s">
        <v>21</v>
      </c>
      <c r="G1066">
        <v>88</v>
      </c>
      <c r="H1066">
        <v>3773</v>
      </c>
      <c r="I1066" t="s">
        <v>19</v>
      </c>
      <c r="J1066" s="2">
        <v>43092</v>
      </c>
      <c r="K1066">
        <v>7</v>
      </c>
      <c r="L1066" t="s">
        <v>20</v>
      </c>
      <c r="M1066">
        <v>21</v>
      </c>
      <c r="N1066">
        <v>8</v>
      </c>
      <c r="O1066">
        <v>4</v>
      </c>
      <c r="P1066" t="s">
        <v>25</v>
      </c>
      <c r="Q1066" s="1">
        <v>3</v>
      </c>
      <c r="R1066" s="2">
        <v>46174</v>
      </c>
      <c r="S1066" s="2"/>
      <c r="T1066" s="1" t="str">
        <f t="shared" si="48"/>
        <v>sáb</v>
      </c>
      <c r="U1066" s="1" t="str">
        <f t="shared" si="49"/>
        <v>dez</v>
      </c>
      <c r="V1066">
        <f t="shared" si="50"/>
        <v>2017</v>
      </c>
      <c r="W1066">
        <f>_xlfn.XLOOKUP(A1066,Absenteismo!A:A,Absenteismo!A:A,0)</f>
        <v>1157</v>
      </c>
    </row>
    <row r="1067" spans="1:23" x14ac:dyDescent="0.3">
      <c r="A1067">
        <v>1255</v>
      </c>
      <c r="B1067">
        <v>53</v>
      </c>
      <c r="C1067" t="s">
        <v>26</v>
      </c>
      <c r="D1067" t="s">
        <v>16</v>
      </c>
      <c r="E1067" t="s">
        <v>17</v>
      </c>
      <c r="F1067" t="s">
        <v>23</v>
      </c>
      <c r="G1067">
        <v>38</v>
      </c>
      <c r="H1067">
        <v>7418</v>
      </c>
      <c r="I1067" t="s">
        <v>24</v>
      </c>
      <c r="J1067" s="2">
        <v>44598</v>
      </c>
      <c r="K1067">
        <v>48</v>
      </c>
      <c r="L1067" t="s">
        <v>20</v>
      </c>
      <c r="M1067">
        <v>29</v>
      </c>
      <c r="N1067">
        <v>5</v>
      </c>
      <c r="O1067">
        <v>5</v>
      </c>
      <c r="P1067" t="s">
        <v>25</v>
      </c>
      <c r="Q1067" s="1">
        <v>2</v>
      </c>
      <c r="R1067" s="2">
        <v>46174</v>
      </c>
      <c r="S1067" s="2"/>
      <c r="T1067" s="1" t="str">
        <f t="shared" si="48"/>
        <v>dom</v>
      </c>
      <c r="U1067" s="1" t="str">
        <f t="shared" si="49"/>
        <v>fev</v>
      </c>
      <c r="V1067">
        <f t="shared" si="50"/>
        <v>2022</v>
      </c>
      <c r="W1067">
        <f>_xlfn.XLOOKUP(A1067,Absenteismo!A:A,Absenteismo!A:A,0)</f>
        <v>0</v>
      </c>
    </row>
    <row r="1068" spans="1:23" x14ac:dyDescent="0.3">
      <c r="A1068">
        <v>1358</v>
      </c>
      <c r="B1068">
        <v>53</v>
      </c>
      <c r="C1068" t="s">
        <v>26</v>
      </c>
      <c r="D1068" t="s">
        <v>29</v>
      </c>
      <c r="E1068" t="s">
        <v>17</v>
      </c>
      <c r="F1068" t="s">
        <v>18</v>
      </c>
      <c r="G1068">
        <v>35</v>
      </c>
      <c r="H1068">
        <v>5311</v>
      </c>
      <c r="I1068" t="s">
        <v>24</v>
      </c>
      <c r="J1068" s="2">
        <v>44927</v>
      </c>
      <c r="K1068">
        <v>15</v>
      </c>
      <c r="L1068" t="s">
        <v>20</v>
      </c>
      <c r="M1068">
        <v>12</v>
      </c>
      <c r="N1068">
        <v>5</v>
      </c>
      <c r="O1068">
        <v>2</v>
      </c>
      <c r="P1068" t="s">
        <v>25</v>
      </c>
      <c r="Q1068" s="1">
        <v>2</v>
      </c>
      <c r="R1068" s="2">
        <v>46174</v>
      </c>
      <c r="S1068" s="2"/>
      <c r="T1068" s="1" t="str">
        <f t="shared" si="48"/>
        <v>dom</v>
      </c>
      <c r="U1068" s="1" t="str">
        <f t="shared" si="49"/>
        <v>jan</v>
      </c>
      <c r="V1068">
        <f t="shared" si="50"/>
        <v>2023</v>
      </c>
      <c r="W1068">
        <f>_xlfn.XLOOKUP(A1068,Absenteismo!A:A,Absenteismo!A:A,0)</f>
        <v>0</v>
      </c>
    </row>
    <row r="1069" spans="1:23" hidden="1" x14ac:dyDescent="0.3">
      <c r="A1069">
        <v>1457</v>
      </c>
      <c r="B1069">
        <v>53</v>
      </c>
      <c r="C1069" t="s">
        <v>26</v>
      </c>
      <c r="D1069" t="s">
        <v>22</v>
      </c>
      <c r="E1069" t="s">
        <v>17</v>
      </c>
      <c r="F1069" t="s">
        <v>21</v>
      </c>
      <c r="G1069">
        <v>88</v>
      </c>
      <c r="H1069">
        <v>3773</v>
      </c>
      <c r="I1069" t="s">
        <v>19</v>
      </c>
      <c r="J1069" s="2">
        <v>43152</v>
      </c>
      <c r="K1069">
        <v>7</v>
      </c>
      <c r="L1069" t="s">
        <v>20</v>
      </c>
      <c r="M1069">
        <v>21</v>
      </c>
      <c r="N1069">
        <v>8</v>
      </c>
      <c r="O1069">
        <v>4</v>
      </c>
      <c r="P1069" t="s">
        <v>25</v>
      </c>
      <c r="Q1069" s="1">
        <v>1</v>
      </c>
      <c r="R1069" s="2">
        <v>46174</v>
      </c>
      <c r="S1069" s="2"/>
      <c r="T1069" s="1" t="str">
        <f t="shared" si="48"/>
        <v>qua</v>
      </c>
      <c r="U1069" s="1" t="str">
        <f t="shared" si="49"/>
        <v>fev</v>
      </c>
      <c r="V1069">
        <f t="shared" si="50"/>
        <v>2018</v>
      </c>
      <c r="W1069">
        <f>_xlfn.XLOOKUP(A1069,Absenteismo!A:A,Absenteismo!A:A,0)</f>
        <v>1457</v>
      </c>
    </row>
    <row r="1070" spans="1:23" x14ac:dyDescent="0.3">
      <c r="A1070">
        <v>1555</v>
      </c>
      <c r="B1070">
        <v>53</v>
      </c>
      <c r="C1070" t="s">
        <v>26</v>
      </c>
      <c r="D1070" t="s">
        <v>16</v>
      </c>
      <c r="E1070" t="s">
        <v>17</v>
      </c>
      <c r="F1070" t="s">
        <v>23</v>
      </c>
      <c r="G1070">
        <v>38</v>
      </c>
      <c r="H1070">
        <v>7418</v>
      </c>
      <c r="I1070" t="s">
        <v>24</v>
      </c>
      <c r="J1070" s="2">
        <v>44731</v>
      </c>
      <c r="K1070">
        <v>48</v>
      </c>
      <c r="L1070" t="s">
        <v>20</v>
      </c>
      <c r="M1070">
        <v>29</v>
      </c>
      <c r="N1070">
        <v>5</v>
      </c>
      <c r="O1070">
        <v>5</v>
      </c>
      <c r="P1070" t="s">
        <v>25</v>
      </c>
      <c r="Q1070" s="1">
        <v>1</v>
      </c>
      <c r="R1070" s="2">
        <v>46174</v>
      </c>
      <c r="S1070" s="2"/>
      <c r="T1070" s="1" t="str">
        <f t="shared" si="48"/>
        <v>dom</v>
      </c>
      <c r="U1070" s="1" t="str">
        <f t="shared" si="49"/>
        <v>jun</v>
      </c>
      <c r="V1070">
        <f t="shared" si="50"/>
        <v>2022</v>
      </c>
      <c r="W1070">
        <f>_xlfn.XLOOKUP(A1070,Absenteismo!A:A,Absenteismo!A:A,0)</f>
        <v>0</v>
      </c>
    </row>
    <row r="1071" spans="1:23" x14ac:dyDescent="0.3">
      <c r="A1071">
        <v>1658</v>
      </c>
      <c r="B1071">
        <v>53</v>
      </c>
      <c r="C1071" t="s">
        <v>26</v>
      </c>
      <c r="D1071" t="s">
        <v>29</v>
      </c>
      <c r="E1071" t="s">
        <v>17</v>
      </c>
      <c r="F1071" t="s">
        <v>18</v>
      </c>
      <c r="G1071">
        <v>35</v>
      </c>
      <c r="H1071">
        <v>5311</v>
      </c>
      <c r="I1071" t="s">
        <v>24</v>
      </c>
      <c r="J1071" s="2">
        <v>45104</v>
      </c>
      <c r="K1071">
        <v>15</v>
      </c>
      <c r="L1071" t="s">
        <v>20</v>
      </c>
      <c r="M1071">
        <v>12</v>
      </c>
      <c r="N1071">
        <v>5</v>
      </c>
      <c r="O1071">
        <v>2</v>
      </c>
      <c r="P1071" t="s">
        <v>25</v>
      </c>
      <c r="Q1071" s="1">
        <v>1</v>
      </c>
      <c r="R1071" s="2">
        <v>46174</v>
      </c>
      <c r="S1071" s="2"/>
      <c r="T1071" s="1" t="str">
        <f t="shared" si="48"/>
        <v>ter</v>
      </c>
      <c r="U1071" s="1" t="str">
        <f t="shared" si="49"/>
        <v>jun</v>
      </c>
      <c r="V1071">
        <f t="shared" si="50"/>
        <v>2023</v>
      </c>
      <c r="W1071">
        <f>_xlfn.XLOOKUP(A1071,Absenteismo!A:A,Absenteismo!A:A,0)</f>
        <v>0</v>
      </c>
    </row>
    <row r="1072" spans="1:23" hidden="1" x14ac:dyDescent="0.3">
      <c r="A1072">
        <v>1757</v>
      </c>
      <c r="B1072">
        <v>53</v>
      </c>
      <c r="C1072" t="s">
        <v>26</v>
      </c>
      <c r="D1072" t="s">
        <v>22</v>
      </c>
      <c r="E1072" t="s">
        <v>17</v>
      </c>
      <c r="F1072" t="s">
        <v>21</v>
      </c>
      <c r="G1072">
        <v>88</v>
      </c>
      <c r="H1072">
        <v>3773</v>
      </c>
      <c r="I1072" t="s">
        <v>19</v>
      </c>
      <c r="J1072" s="2">
        <v>43271</v>
      </c>
      <c r="K1072">
        <v>7</v>
      </c>
      <c r="L1072" t="s">
        <v>20</v>
      </c>
      <c r="M1072">
        <v>21</v>
      </c>
      <c r="N1072">
        <v>8</v>
      </c>
      <c r="O1072">
        <v>4</v>
      </c>
      <c r="P1072" t="s">
        <v>25</v>
      </c>
      <c r="Q1072" s="1">
        <v>2</v>
      </c>
      <c r="R1072" s="2">
        <v>46174</v>
      </c>
      <c r="S1072" s="2"/>
      <c r="T1072" s="1" t="str">
        <f t="shared" si="48"/>
        <v>qua</v>
      </c>
      <c r="U1072" s="1" t="str">
        <f t="shared" si="49"/>
        <v>jun</v>
      </c>
      <c r="V1072">
        <f t="shared" si="50"/>
        <v>2018</v>
      </c>
      <c r="W1072">
        <f>_xlfn.XLOOKUP(A1072,Absenteismo!A:A,Absenteismo!A:A,0)</f>
        <v>1757</v>
      </c>
    </row>
    <row r="1073" spans="1:23" x14ac:dyDescent="0.3">
      <c r="A1073">
        <v>1855</v>
      </c>
      <c r="B1073">
        <v>53</v>
      </c>
      <c r="C1073" t="s">
        <v>26</v>
      </c>
      <c r="D1073" t="s">
        <v>16</v>
      </c>
      <c r="E1073" t="s">
        <v>17</v>
      </c>
      <c r="F1073" t="s">
        <v>23</v>
      </c>
      <c r="G1073">
        <v>38</v>
      </c>
      <c r="H1073">
        <v>7418</v>
      </c>
      <c r="I1073" t="s">
        <v>24</v>
      </c>
      <c r="J1073" s="2">
        <v>45014</v>
      </c>
      <c r="K1073">
        <v>48</v>
      </c>
      <c r="L1073" t="s">
        <v>20</v>
      </c>
      <c r="M1073">
        <v>29</v>
      </c>
      <c r="N1073">
        <v>5</v>
      </c>
      <c r="O1073">
        <v>5</v>
      </c>
      <c r="P1073" t="s">
        <v>25</v>
      </c>
      <c r="Q1073" s="1">
        <v>3</v>
      </c>
      <c r="R1073" s="2">
        <v>46174</v>
      </c>
      <c r="S1073" s="2"/>
      <c r="T1073" s="1" t="str">
        <f t="shared" si="48"/>
        <v>qua</v>
      </c>
      <c r="U1073" s="1" t="str">
        <f t="shared" si="49"/>
        <v>mar</v>
      </c>
      <c r="V1073">
        <f t="shared" si="50"/>
        <v>2023</v>
      </c>
      <c r="W1073">
        <f>_xlfn.XLOOKUP(A1073,Absenteismo!A:A,Absenteismo!A:A,0)</f>
        <v>0</v>
      </c>
    </row>
    <row r="1074" spans="1:23" x14ac:dyDescent="0.3">
      <c r="A1074">
        <v>1958</v>
      </c>
      <c r="B1074">
        <v>53</v>
      </c>
      <c r="C1074" t="s">
        <v>26</v>
      </c>
      <c r="D1074" t="s">
        <v>29</v>
      </c>
      <c r="E1074" t="s">
        <v>17</v>
      </c>
      <c r="F1074" t="s">
        <v>18</v>
      </c>
      <c r="G1074">
        <v>35</v>
      </c>
      <c r="H1074">
        <v>5311</v>
      </c>
      <c r="I1074" t="s">
        <v>24</v>
      </c>
      <c r="J1074" s="2">
        <v>45088</v>
      </c>
      <c r="K1074">
        <v>15</v>
      </c>
      <c r="L1074" t="s">
        <v>20</v>
      </c>
      <c r="M1074">
        <v>12</v>
      </c>
      <c r="N1074">
        <v>5</v>
      </c>
      <c r="O1074">
        <v>2</v>
      </c>
      <c r="P1074" t="s">
        <v>25</v>
      </c>
      <c r="Q1074" s="1">
        <v>3</v>
      </c>
      <c r="R1074" s="2">
        <v>46174</v>
      </c>
      <c r="S1074" s="2"/>
      <c r="T1074" s="1" t="str">
        <f t="shared" si="48"/>
        <v>dom</v>
      </c>
      <c r="U1074" s="1" t="str">
        <f t="shared" si="49"/>
        <v>jun</v>
      </c>
      <c r="V1074">
        <f t="shared" si="50"/>
        <v>2023</v>
      </c>
      <c r="W1074">
        <f>_xlfn.XLOOKUP(A1074,Absenteismo!A:A,Absenteismo!A:A,0)</f>
        <v>0</v>
      </c>
    </row>
    <row r="1075" spans="1:23" hidden="1" x14ac:dyDescent="0.3">
      <c r="A1075">
        <v>2057</v>
      </c>
      <c r="B1075">
        <v>53</v>
      </c>
      <c r="C1075" t="s">
        <v>26</v>
      </c>
      <c r="D1075" t="s">
        <v>22</v>
      </c>
      <c r="E1075" t="s">
        <v>17</v>
      </c>
      <c r="F1075" t="s">
        <v>21</v>
      </c>
      <c r="G1075">
        <v>88</v>
      </c>
      <c r="H1075">
        <v>3773</v>
      </c>
      <c r="I1075" t="s">
        <v>19</v>
      </c>
      <c r="J1075" s="2">
        <v>43087</v>
      </c>
      <c r="K1075">
        <v>7</v>
      </c>
      <c r="L1075" t="s">
        <v>20</v>
      </c>
      <c r="M1075">
        <v>21</v>
      </c>
      <c r="N1075">
        <v>8</v>
      </c>
      <c r="O1075">
        <v>4</v>
      </c>
      <c r="P1075" t="s">
        <v>25</v>
      </c>
      <c r="Q1075" s="1">
        <v>1</v>
      </c>
      <c r="R1075" s="2">
        <v>46174</v>
      </c>
      <c r="S1075" s="2"/>
      <c r="T1075" s="1" t="str">
        <f t="shared" si="48"/>
        <v>seg</v>
      </c>
      <c r="U1075" s="1" t="str">
        <f t="shared" si="49"/>
        <v>dez</v>
      </c>
      <c r="V1075">
        <f t="shared" si="50"/>
        <v>2017</v>
      </c>
      <c r="W1075">
        <f>_xlfn.XLOOKUP(A1075,Absenteismo!A:A,Absenteismo!A:A,0)</f>
        <v>2057</v>
      </c>
    </row>
    <row r="1076" spans="1:23" x14ac:dyDescent="0.3">
      <c r="A1076">
        <v>2155</v>
      </c>
      <c r="B1076">
        <v>53</v>
      </c>
      <c r="C1076" t="s">
        <v>26</v>
      </c>
      <c r="D1076" t="s">
        <v>16</v>
      </c>
      <c r="E1076" t="s">
        <v>17</v>
      </c>
      <c r="F1076" t="s">
        <v>23</v>
      </c>
      <c r="G1076">
        <v>38</v>
      </c>
      <c r="H1076">
        <v>7418</v>
      </c>
      <c r="I1076" t="s">
        <v>24</v>
      </c>
      <c r="J1076" s="2">
        <v>44677</v>
      </c>
      <c r="K1076">
        <v>48</v>
      </c>
      <c r="L1076" t="s">
        <v>20</v>
      </c>
      <c r="M1076">
        <v>29</v>
      </c>
      <c r="N1076">
        <v>5</v>
      </c>
      <c r="O1076">
        <v>5</v>
      </c>
      <c r="P1076" t="s">
        <v>25</v>
      </c>
      <c r="Q1076" s="1">
        <v>1</v>
      </c>
      <c r="R1076" s="2">
        <v>46174</v>
      </c>
      <c r="S1076" s="2"/>
      <c r="T1076" s="1" t="str">
        <f t="shared" si="48"/>
        <v>ter</v>
      </c>
      <c r="U1076" s="1" t="str">
        <f t="shared" si="49"/>
        <v>abr</v>
      </c>
      <c r="V1076">
        <f t="shared" si="50"/>
        <v>2022</v>
      </c>
      <c r="W1076">
        <f>_xlfn.XLOOKUP(A1076,Absenteismo!A:A,Absenteismo!A:A,0)</f>
        <v>0</v>
      </c>
    </row>
    <row r="1077" spans="1:23" hidden="1" x14ac:dyDescent="0.3">
      <c r="A1077">
        <v>1937</v>
      </c>
      <c r="B1077">
        <v>53</v>
      </c>
      <c r="C1077" t="s">
        <v>15</v>
      </c>
      <c r="D1077" t="s">
        <v>16</v>
      </c>
      <c r="E1077" t="s">
        <v>17</v>
      </c>
      <c r="F1077" t="s">
        <v>21</v>
      </c>
      <c r="G1077">
        <v>49</v>
      </c>
      <c r="H1077">
        <v>4225</v>
      </c>
      <c r="I1077" t="s">
        <v>28</v>
      </c>
      <c r="J1077" s="2">
        <v>44688</v>
      </c>
      <c r="K1077">
        <v>37</v>
      </c>
      <c r="L1077" t="s">
        <v>20</v>
      </c>
      <c r="M1077">
        <v>35</v>
      </c>
      <c r="N1077">
        <v>0</v>
      </c>
      <c r="O1077">
        <v>4</v>
      </c>
      <c r="P1077" t="s">
        <v>25</v>
      </c>
      <c r="Q1077" s="1">
        <v>1</v>
      </c>
      <c r="R1077" s="2">
        <v>46174</v>
      </c>
      <c r="S1077" s="2"/>
      <c r="T1077" s="1" t="str">
        <f t="shared" si="48"/>
        <v>sáb</v>
      </c>
      <c r="U1077" s="1" t="str">
        <f t="shared" si="49"/>
        <v>mai</v>
      </c>
      <c r="V1077">
        <f t="shared" si="50"/>
        <v>2022</v>
      </c>
      <c r="W1077">
        <f>_xlfn.XLOOKUP(A1077,Absenteismo!A:A,Absenteismo!A:A,0)</f>
        <v>1937</v>
      </c>
    </row>
    <row r="1078" spans="1:23" hidden="1" x14ac:dyDescent="0.3">
      <c r="A1078">
        <v>2002</v>
      </c>
      <c r="B1078">
        <v>53</v>
      </c>
      <c r="C1078" t="s">
        <v>26</v>
      </c>
      <c r="D1078" t="s">
        <v>27</v>
      </c>
      <c r="E1078" t="s">
        <v>17</v>
      </c>
      <c r="F1078" t="s">
        <v>18</v>
      </c>
      <c r="G1078">
        <v>46</v>
      </c>
      <c r="H1078">
        <v>6264</v>
      </c>
      <c r="I1078" t="s">
        <v>30</v>
      </c>
      <c r="J1078" s="2">
        <v>44664</v>
      </c>
      <c r="K1078">
        <v>19</v>
      </c>
      <c r="L1078" t="s">
        <v>20</v>
      </c>
      <c r="M1078">
        <v>22</v>
      </c>
      <c r="N1078">
        <v>1</v>
      </c>
      <c r="O1078">
        <v>3</v>
      </c>
      <c r="P1078" t="s">
        <v>25</v>
      </c>
      <c r="Q1078" s="1">
        <v>3</v>
      </c>
      <c r="R1078" s="2">
        <v>46174</v>
      </c>
      <c r="S1078" s="2"/>
      <c r="T1078" s="1" t="str">
        <f t="shared" si="48"/>
        <v>qua</v>
      </c>
      <c r="U1078" s="1" t="str">
        <f t="shared" si="49"/>
        <v>abr</v>
      </c>
      <c r="V1078">
        <f t="shared" si="50"/>
        <v>2022</v>
      </c>
      <c r="W1078">
        <f>_xlfn.XLOOKUP(A1078,Absenteismo!A:A,Absenteismo!A:A,0)</f>
        <v>2002</v>
      </c>
    </row>
    <row r="1079" spans="1:23" x14ac:dyDescent="0.3">
      <c r="A1079">
        <v>1008</v>
      </c>
      <c r="B1079">
        <v>54</v>
      </c>
      <c r="C1079" t="s">
        <v>26</v>
      </c>
      <c r="D1079" t="s">
        <v>16</v>
      </c>
      <c r="E1079" t="s">
        <v>17</v>
      </c>
      <c r="F1079" t="s">
        <v>18</v>
      </c>
      <c r="G1079">
        <v>51</v>
      </c>
      <c r="H1079">
        <v>6558</v>
      </c>
      <c r="I1079" t="s">
        <v>19</v>
      </c>
      <c r="J1079" s="2">
        <v>44582</v>
      </c>
      <c r="K1079">
        <v>17</v>
      </c>
      <c r="L1079" t="s">
        <v>20</v>
      </c>
      <c r="M1079">
        <v>35</v>
      </c>
      <c r="N1079">
        <v>8</v>
      </c>
      <c r="O1079">
        <v>4</v>
      </c>
      <c r="P1079" t="s">
        <v>25</v>
      </c>
      <c r="Q1079" s="1">
        <v>1</v>
      </c>
      <c r="R1079" s="2">
        <v>46174</v>
      </c>
      <c r="S1079" s="2"/>
      <c r="T1079" s="1" t="str">
        <f t="shared" si="48"/>
        <v>sex</v>
      </c>
      <c r="U1079" s="1" t="str">
        <f t="shared" si="49"/>
        <v>jan</v>
      </c>
      <c r="V1079">
        <f t="shared" si="50"/>
        <v>2022</v>
      </c>
      <c r="W1079">
        <f>_xlfn.XLOOKUP(A1079,Absenteismo!A:A,Absenteismo!A:A,0)</f>
        <v>0</v>
      </c>
    </row>
    <row r="1080" spans="1:23" x14ac:dyDescent="0.3">
      <c r="A1080">
        <v>1025</v>
      </c>
      <c r="B1080">
        <v>54</v>
      </c>
      <c r="C1080" t="s">
        <v>15</v>
      </c>
      <c r="D1080" t="s">
        <v>16</v>
      </c>
      <c r="E1080" t="s">
        <v>17</v>
      </c>
      <c r="F1080" t="s">
        <v>23</v>
      </c>
      <c r="G1080">
        <v>65</v>
      </c>
      <c r="H1080">
        <v>4972</v>
      </c>
      <c r="I1080" t="s">
        <v>19</v>
      </c>
      <c r="J1080" s="2">
        <v>43854</v>
      </c>
      <c r="K1080">
        <v>60</v>
      </c>
      <c r="L1080" t="s">
        <v>20</v>
      </c>
      <c r="M1080">
        <v>4</v>
      </c>
      <c r="N1080">
        <v>3</v>
      </c>
      <c r="O1080">
        <v>4</v>
      </c>
      <c r="P1080" t="s">
        <v>25</v>
      </c>
      <c r="Q1080" s="1">
        <v>1</v>
      </c>
      <c r="R1080" s="2">
        <v>46174</v>
      </c>
      <c r="S1080" s="2"/>
      <c r="T1080" s="1" t="str">
        <f t="shared" si="48"/>
        <v>sex</v>
      </c>
      <c r="U1080" s="1" t="str">
        <f t="shared" si="49"/>
        <v>jan</v>
      </c>
      <c r="V1080">
        <f t="shared" si="50"/>
        <v>2020</v>
      </c>
      <c r="W1080">
        <f>_xlfn.XLOOKUP(A1080,Absenteismo!A:A,Absenteismo!A:A,0)</f>
        <v>0</v>
      </c>
    </row>
    <row r="1081" spans="1:23" x14ac:dyDescent="0.3">
      <c r="A1081">
        <v>1068</v>
      </c>
      <c r="B1081">
        <v>54</v>
      </c>
      <c r="C1081" t="s">
        <v>15</v>
      </c>
      <c r="D1081" t="s">
        <v>31</v>
      </c>
      <c r="E1081" t="s">
        <v>34</v>
      </c>
      <c r="F1081" t="s">
        <v>21</v>
      </c>
      <c r="G1081">
        <v>6</v>
      </c>
      <c r="H1081">
        <v>4235</v>
      </c>
      <c r="I1081" t="s">
        <v>33</v>
      </c>
      <c r="J1081" s="2">
        <v>45953</v>
      </c>
      <c r="K1081">
        <v>34</v>
      </c>
      <c r="L1081" t="s">
        <v>20</v>
      </c>
      <c r="M1081">
        <v>17</v>
      </c>
      <c r="N1081">
        <v>2</v>
      </c>
      <c r="O1081">
        <v>5</v>
      </c>
      <c r="P1081" t="s">
        <v>25</v>
      </c>
      <c r="Q1081" s="1">
        <v>2</v>
      </c>
      <c r="R1081" s="2">
        <v>46174</v>
      </c>
      <c r="S1081" s="2"/>
      <c r="T1081" s="1" t="str">
        <f t="shared" si="48"/>
        <v>qui</v>
      </c>
      <c r="U1081" s="1" t="str">
        <f t="shared" si="49"/>
        <v>out</v>
      </c>
      <c r="V1081">
        <f t="shared" si="50"/>
        <v>2025</v>
      </c>
      <c r="W1081">
        <f>_xlfn.XLOOKUP(A1081,Absenteismo!A:A,Absenteismo!A:A,0)</f>
        <v>0</v>
      </c>
    </row>
    <row r="1082" spans="1:23" x14ac:dyDescent="0.3">
      <c r="A1082">
        <v>1084</v>
      </c>
      <c r="B1082">
        <v>54</v>
      </c>
      <c r="C1082" t="s">
        <v>26</v>
      </c>
      <c r="D1082" t="s">
        <v>31</v>
      </c>
      <c r="E1082" t="s">
        <v>34</v>
      </c>
      <c r="F1082" t="s">
        <v>23</v>
      </c>
      <c r="G1082">
        <v>107</v>
      </c>
      <c r="H1082">
        <v>6042</v>
      </c>
      <c r="I1082" t="s">
        <v>24</v>
      </c>
      <c r="J1082" s="2">
        <v>42933</v>
      </c>
      <c r="K1082">
        <v>1</v>
      </c>
      <c r="L1082" t="s">
        <v>20</v>
      </c>
      <c r="M1082">
        <v>3</v>
      </c>
      <c r="N1082">
        <v>9</v>
      </c>
      <c r="O1082">
        <v>5</v>
      </c>
      <c r="P1082" t="s">
        <v>25</v>
      </c>
      <c r="Q1082" s="1">
        <v>1</v>
      </c>
      <c r="R1082" s="2">
        <v>46174</v>
      </c>
      <c r="S1082" s="2"/>
      <c r="T1082" s="1" t="str">
        <f t="shared" si="48"/>
        <v>seg</v>
      </c>
      <c r="U1082" s="1" t="str">
        <f t="shared" si="49"/>
        <v>jul</v>
      </c>
      <c r="V1082">
        <f t="shared" si="50"/>
        <v>2017</v>
      </c>
      <c r="W1082">
        <f>_xlfn.XLOOKUP(A1082,Absenteismo!A:A,Absenteismo!A:A,0)</f>
        <v>0</v>
      </c>
    </row>
    <row r="1083" spans="1:23" hidden="1" x14ac:dyDescent="0.3">
      <c r="A1083">
        <v>1117</v>
      </c>
      <c r="B1083">
        <v>54</v>
      </c>
      <c r="C1083" t="s">
        <v>15</v>
      </c>
      <c r="D1083" t="s">
        <v>16</v>
      </c>
      <c r="E1083" t="s">
        <v>17</v>
      </c>
      <c r="F1083" t="s">
        <v>18</v>
      </c>
      <c r="G1083">
        <v>65</v>
      </c>
      <c r="H1083">
        <v>4035</v>
      </c>
      <c r="I1083" t="s">
        <v>30</v>
      </c>
      <c r="J1083" s="2">
        <v>43857</v>
      </c>
      <c r="K1083">
        <v>29</v>
      </c>
      <c r="L1083" t="s">
        <v>20</v>
      </c>
      <c r="M1083">
        <v>21</v>
      </c>
      <c r="N1083">
        <v>11</v>
      </c>
      <c r="O1083">
        <v>2</v>
      </c>
      <c r="P1083" t="s">
        <v>25</v>
      </c>
      <c r="Q1083" s="1">
        <v>1</v>
      </c>
      <c r="R1083" s="2">
        <v>46174</v>
      </c>
      <c r="S1083" s="2"/>
      <c r="T1083" s="1" t="str">
        <f t="shared" si="48"/>
        <v>seg</v>
      </c>
      <c r="U1083" s="1" t="str">
        <f t="shared" si="49"/>
        <v>jan</v>
      </c>
      <c r="V1083">
        <f t="shared" si="50"/>
        <v>2020</v>
      </c>
      <c r="W1083">
        <f>_xlfn.XLOOKUP(A1083,Absenteismo!A:A,Absenteismo!A:A,0)</f>
        <v>1117</v>
      </c>
    </row>
    <row r="1084" spans="1:23" x14ac:dyDescent="0.3">
      <c r="A1084">
        <v>1125</v>
      </c>
      <c r="B1084">
        <v>54</v>
      </c>
      <c r="C1084" t="s">
        <v>26</v>
      </c>
      <c r="D1084" t="s">
        <v>29</v>
      </c>
      <c r="E1084" t="s">
        <v>17</v>
      </c>
      <c r="F1084" t="s">
        <v>18</v>
      </c>
      <c r="G1084">
        <v>100</v>
      </c>
      <c r="H1084">
        <v>5928</v>
      </c>
      <c r="I1084" t="s">
        <v>28</v>
      </c>
      <c r="J1084" s="2">
        <v>42779</v>
      </c>
      <c r="K1084">
        <v>34</v>
      </c>
      <c r="L1084" t="s">
        <v>20</v>
      </c>
      <c r="M1084">
        <v>10</v>
      </c>
      <c r="N1084">
        <v>3</v>
      </c>
      <c r="O1084">
        <v>3</v>
      </c>
      <c r="P1084" t="s">
        <v>25</v>
      </c>
      <c r="Q1084" s="1">
        <v>2</v>
      </c>
      <c r="R1084" s="2">
        <v>46174</v>
      </c>
      <c r="S1084" s="2"/>
      <c r="T1084" s="1" t="str">
        <f t="shared" si="48"/>
        <v>seg</v>
      </c>
      <c r="U1084" s="1" t="str">
        <f t="shared" si="49"/>
        <v>fev</v>
      </c>
      <c r="V1084">
        <f t="shared" si="50"/>
        <v>2017</v>
      </c>
      <c r="W1084">
        <f>_xlfn.XLOOKUP(A1084,Absenteismo!A:A,Absenteismo!A:A,0)</f>
        <v>0</v>
      </c>
    </row>
    <row r="1085" spans="1:23" x14ac:dyDescent="0.3">
      <c r="A1085">
        <v>1146</v>
      </c>
      <c r="B1085">
        <v>54</v>
      </c>
      <c r="C1085" t="s">
        <v>15</v>
      </c>
      <c r="D1085" t="s">
        <v>16</v>
      </c>
      <c r="E1085" t="s">
        <v>17</v>
      </c>
      <c r="F1085" t="s">
        <v>18</v>
      </c>
      <c r="G1085">
        <v>83</v>
      </c>
      <c r="H1085">
        <v>3407</v>
      </c>
      <c r="I1085" t="s">
        <v>33</v>
      </c>
      <c r="J1085" s="2">
        <v>43584</v>
      </c>
      <c r="K1085">
        <v>30</v>
      </c>
      <c r="L1085" t="s">
        <v>20</v>
      </c>
      <c r="M1085">
        <v>22</v>
      </c>
      <c r="N1085">
        <v>2</v>
      </c>
      <c r="O1085">
        <v>3</v>
      </c>
      <c r="P1085" t="s">
        <v>25</v>
      </c>
      <c r="Q1085" s="1">
        <v>3</v>
      </c>
      <c r="R1085" s="2">
        <v>46174</v>
      </c>
      <c r="S1085" s="2"/>
      <c r="T1085" s="1" t="str">
        <f t="shared" si="48"/>
        <v>seg</v>
      </c>
      <c r="U1085" s="1" t="str">
        <f t="shared" si="49"/>
        <v>abr</v>
      </c>
      <c r="V1085">
        <f t="shared" si="50"/>
        <v>2019</v>
      </c>
      <c r="W1085">
        <f>_xlfn.XLOOKUP(A1085,Absenteismo!A:A,Absenteismo!A:A,0)</f>
        <v>0</v>
      </c>
    </row>
    <row r="1086" spans="1:23" hidden="1" x14ac:dyDescent="0.3">
      <c r="A1086">
        <v>1150</v>
      </c>
      <c r="B1086">
        <v>54</v>
      </c>
      <c r="C1086" t="s">
        <v>26</v>
      </c>
      <c r="D1086" t="s">
        <v>27</v>
      </c>
      <c r="E1086" t="s">
        <v>17</v>
      </c>
      <c r="F1086" t="s">
        <v>21</v>
      </c>
      <c r="G1086">
        <v>54</v>
      </c>
      <c r="H1086">
        <v>3048</v>
      </c>
      <c r="I1086" t="s">
        <v>33</v>
      </c>
      <c r="J1086" s="2">
        <v>44540</v>
      </c>
      <c r="K1086">
        <v>41</v>
      </c>
      <c r="L1086" t="s">
        <v>20</v>
      </c>
      <c r="M1086">
        <v>18</v>
      </c>
      <c r="N1086">
        <v>10</v>
      </c>
      <c r="O1086">
        <v>4</v>
      </c>
      <c r="P1086" t="s">
        <v>25</v>
      </c>
      <c r="Q1086" s="1">
        <v>3</v>
      </c>
      <c r="R1086" s="2">
        <v>46174</v>
      </c>
      <c r="S1086" s="2"/>
      <c r="T1086" s="1" t="str">
        <f t="shared" si="48"/>
        <v>sex</v>
      </c>
      <c r="U1086" s="1" t="str">
        <f t="shared" si="49"/>
        <v>dez</v>
      </c>
      <c r="V1086">
        <f t="shared" si="50"/>
        <v>2021</v>
      </c>
      <c r="W1086">
        <f>_xlfn.XLOOKUP(A1086,Absenteismo!A:A,Absenteismo!A:A,0)</f>
        <v>1150</v>
      </c>
    </row>
    <row r="1087" spans="1:23" hidden="1" x14ac:dyDescent="0.3">
      <c r="A1087">
        <v>1202</v>
      </c>
      <c r="B1087">
        <v>54</v>
      </c>
      <c r="C1087" t="s">
        <v>26</v>
      </c>
      <c r="D1087" t="s">
        <v>16</v>
      </c>
      <c r="E1087" t="s">
        <v>17</v>
      </c>
      <c r="F1087" t="s">
        <v>23</v>
      </c>
      <c r="G1087">
        <v>88</v>
      </c>
      <c r="H1087">
        <v>5096</v>
      </c>
      <c r="I1087" t="s">
        <v>28</v>
      </c>
      <c r="J1087" s="2">
        <v>43230</v>
      </c>
      <c r="K1087">
        <v>37</v>
      </c>
      <c r="L1087" t="s">
        <v>20</v>
      </c>
      <c r="M1087">
        <v>11</v>
      </c>
      <c r="N1087">
        <v>5</v>
      </c>
      <c r="O1087">
        <v>2</v>
      </c>
      <c r="P1087" t="s">
        <v>25</v>
      </c>
      <c r="Q1087" s="1">
        <v>2</v>
      </c>
      <c r="R1087" s="2">
        <v>46174</v>
      </c>
      <c r="S1087" s="2"/>
      <c r="T1087" s="1" t="str">
        <f t="shared" si="48"/>
        <v>qui</v>
      </c>
      <c r="U1087" s="1" t="str">
        <f t="shared" si="49"/>
        <v>mai</v>
      </c>
      <c r="V1087">
        <f t="shared" si="50"/>
        <v>2018</v>
      </c>
      <c r="W1087">
        <f>_xlfn.XLOOKUP(A1087,Absenteismo!A:A,Absenteismo!A:A,0)</f>
        <v>1202</v>
      </c>
    </row>
    <row r="1088" spans="1:23" hidden="1" x14ac:dyDescent="0.3">
      <c r="A1088">
        <v>1214</v>
      </c>
      <c r="B1088">
        <v>54</v>
      </c>
      <c r="C1088" t="s">
        <v>15</v>
      </c>
      <c r="D1088" t="s">
        <v>29</v>
      </c>
      <c r="E1088" t="s">
        <v>17</v>
      </c>
      <c r="F1088" t="s">
        <v>21</v>
      </c>
      <c r="G1088">
        <v>24</v>
      </c>
      <c r="H1088">
        <v>7306</v>
      </c>
      <c r="I1088" t="s">
        <v>30</v>
      </c>
      <c r="J1088" s="2">
        <v>45350</v>
      </c>
      <c r="K1088">
        <v>47</v>
      </c>
      <c r="L1088" t="s">
        <v>20</v>
      </c>
      <c r="M1088">
        <v>13</v>
      </c>
      <c r="N1088">
        <v>7</v>
      </c>
      <c r="O1088">
        <v>4</v>
      </c>
      <c r="P1088" t="s">
        <v>25</v>
      </c>
      <c r="Q1088" s="1">
        <v>2</v>
      </c>
      <c r="R1088" s="2">
        <v>46174</v>
      </c>
      <c r="S1088" s="2"/>
      <c r="T1088" s="1" t="str">
        <f t="shared" si="48"/>
        <v>qua</v>
      </c>
      <c r="U1088" s="1" t="str">
        <f t="shared" si="49"/>
        <v>fev</v>
      </c>
      <c r="V1088">
        <f t="shared" si="50"/>
        <v>2024</v>
      </c>
      <c r="W1088">
        <f>_xlfn.XLOOKUP(A1088,Absenteismo!A:A,Absenteismo!A:A,0)</f>
        <v>1214</v>
      </c>
    </row>
    <row r="1089" spans="1:23" hidden="1" x14ac:dyDescent="0.3">
      <c r="A1089">
        <v>1308</v>
      </c>
      <c r="B1089">
        <v>54</v>
      </c>
      <c r="C1089" t="s">
        <v>26</v>
      </c>
      <c r="D1089" t="s">
        <v>16</v>
      </c>
      <c r="E1089" t="s">
        <v>17</v>
      </c>
      <c r="F1089" t="s">
        <v>18</v>
      </c>
      <c r="G1089">
        <v>51</v>
      </c>
      <c r="H1089">
        <v>6558</v>
      </c>
      <c r="I1089" t="s">
        <v>19</v>
      </c>
      <c r="J1089" s="2">
        <v>44432</v>
      </c>
      <c r="K1089">
        <v>17</v>
      </c>
      <c r="L1089" t="s">
        <v>20</v>
      </c>
      <c r="M1089">
        <v>35</v>
      </c>
      <c r="N1089">
        <v>8</v>
      </c>
      <c r="O1089">
        <v>4</v>
      </c>
      <c r="P1089" t="s">
        <v>25</v>
      </c>
      <c r="Q1089" s="1">
        <v>3</v>
      </c>
      <c r="R1089" s="2">
        <v>46174</v>
      </c>
      <c r="S1089" s="2"/>
      <c r="T1089" s="1" t="str">
        <f t="shared" si="48"/>
        <v>ter</v>
      </c>
      <c r="U1089" s="1" t="str">
        <f t="shared" si="49"/>
        <v>ago</v>
      </c>
      <c r="V1089">
        <f t="shared" si="50"/>
        <v>2021</v>
      </c>
      <c r="W1089">
        <f>_xlfn.XLOOKUP(A1089,Absenteismo!A:A,Absenteismo!A:A,0)</f>
        <v>1308</v>
      </c>
    </row>
    <row r="1090" spans="1:23" hidden="1" x14ac:dyDescent="0.3">
      <c r="A1090">
        <v>1325</v>
      </c>
      <c r="B1090">
        <v>54</v>
      </c>
      <c r="C1090" t="s">
        <v>15</v>
      </c>
      <c r="D1090" t="s">
        <v>16</v>
      </c>
      <c r="E1090" t="s">
        <v>17</v>
      </c>
      <c r="F1090" t="s">
        <v>23</v>
      </c>
      <c r="G1090">
        <v>65</v>
      </c>
      <c r="H1090">
        <v>4972</v>
      </c>
      <c r="I1090" t="s">
        <v>19</v>
      </c>
      <c r="J1090" s="2">
        <v>44176</v>
      </c>
      <c r="K1090">
        <v>60</v>
      </c>
      <c r="L1090" t="s">
        <v>20</v>
      </c>
      <c r="M1090">
        <v>4</v>
      </c>
      <c r="N1090">
        <v>3</v>
      </c>
      <c r="O1090">
        <v>4</v>
      </c>
      <c r="P1090" t="s">
        <v>25</v>
      </c>
      <c r="Q1090" s="1">
        <v>3</v>
      </c>
      <c r="R1090" s="2">
        <v>46174</v>
      </c>
      <c r="S1090" s="2"/>
      <c r="T1090" s="1" t="str">
        <f t="shared" ref="T1090:T1153" si="51">TEXT($J1090,"ddd")</f>
        <v>sex</v>
      </c>
      <c r="U1090" s="1" t="str">
        <f t="shared" ref="U1090:U1153" si="52">TEXT($J1090,"mmm")</f>
        <v>dez</v>
      </c>
      <c r="V1090">
        <f t="shared" ref="V1090:V1153" si="53">YEAR(J1090)</f>
        <v>2020</v>
      </c>
      <c r="W1090">
        <f>_xlfn.XLOOKUP(A1090,Absenteismo!A:A,Absenteismo!A:A,0)</f>
        <v>1325</v>
      </c>
    </row>
    <row r="1091" spans="1:23" hidden="1" x14ac:dyDescent="0.3">
      <c r="A1091">
        <v>1368</v>
      </c>
      <c r="B1091">
        <v>54</v>
      </c>
      <c r="C1091" t="s">
        <v>15</v>
      </c>
      <c r="D1091" t="s">
        <v>31</v>
      </c>
      <c r="E1091" t="s">
        <v>34</v>
      </c>
      <c r="F1091" t="s">
        <v>21</v>
      </c>
      <c r="G1091">
        <v>6</v>
      </c>
      <c r="H1091">
        <v>4235</v>
      </c>
      <c r="I1091" t="s">
        <v>33</v>
      </c>
      <c r="J1091" s="2">
        <v>45655</v>
      </c>
      <c r="K1091">
        <v>34</v>
      </c>
      <c r="L1091" t="s">
        <v>20</v>
      </c>
      <c r="M1091">
        <v>17</v>
      </c>
      <c r="N1091">
        <v>2</v>
      </c>
      <c r="O1091">
        <v>5</v>
      </c>
      <c r="P1091" t="s">
        <v>25</v>
      </c>
      <c r="Q1091" s="1">
        <v>2</v>
      </c>
      <c r="R1091" s="2">
        <v>46174</v>
      </c>
      <c r="S1091" s="2"/>
      <c r="T1091" s="1" t="str">
        <f t="shared" si="51"/>
        <v>dom</v>
      </c>
      <c r="U1091" s="1" t="str">
        <f t="shared" si="52"/>
        <v>dez</v>
      </c>
      <c r="V1091">
        <f t="shared" si="53"/>
        <v>2024</v>
      </c>
      <c r="W1091">
        <f>_xlfn.XLOOKUP(A1091,Absenteismo!A:A,Absenteismo!A:A,0)</f>
        <v>1368</v>
      </c>
    </row>
    <row r="1092" spans="1:23" x14ac:dyDescent="0.3">
      <c r="A1092">
        <v>1384</v>
      </c>
      <c r="B1092">
        <v>54</v>
      </c>
      <c r="C1092" t="s">
        <v>26</v>
      </c>
      <c r="D1092" t="s">
        <v>31</v>
      </c>
      <c r="E1092" t="s">
        <v>34</v>
      </c>
      <c r="F1092" t="s">
        <v>23</v>
      </c>
      <c r="G1092">
        <v>107</v>
      </c>
      <c r="H1092">
        <v>6042</v>
      </c>
      <c r="I1092" t="s">
        <v>24</v>
      </c>
      <c r="J1092" s="2">
        <v>42795</v>
      </c>
      <c r="K1092">
        <v>1</v>
      </c>
      <c r="L1092" t="s">
        <v>20</v>
      </c>
      <c r="M1092">
        <v>3</v>
      </c>
      <c r="N1092">
        <v>9</v>
      </c>
      <c r="O1092">
        <v>5</v>
      </c>
      <c r="P1092" t="s">
        <v>25</v>
      </c>
      <c r="Q1092" s="1">
        <v>1</v>
      </c>
      <c r="R1092" s="2">
        <v>46174</v>
      </c>
      <c r="S1092" s="2"/>
      <c r="T1092" s="1" t="str">
        <f t="shared" si="51"/>
        <v>qua</v>
      </c>
      <c r="U1092" s="1" t="str">
        <f t="shared" si="52"/>
        <v>mar</v>
      </c>
      <c r="V1092">
        <f t="shared" si="53"/>
        <v>2017</v>
      </c>
      <c r="W1092">
        <f>_xlfn.XLOOKUP(A1092,Absenteismo!A:A,Absenteismo!A:A,0)</f>
        <v>0</v>
      </c>
    </row>
    <row r="1093" spans="1:23" hidden="1" x14ac:dyDescent="0.3">
      <c r="A1093">
        <v>1417</v>
      </c>
      <c r="B1093">
        <v>54</v>
      </c>
      <c r="C1093" t="s">
        <v>15</v>
      </c>
      <c r="D1093" t="s">
        <v>16</v>
      </c>
      <c r="E1093" t="s">
        <v>17</v>
      </c>
      <c r="F1093" t="s">
        <v>18</v>
      </c>
      <c r="G1093">
        <v>65</v>
      </c>
      <c r="H1093">
        <v>4035</v>
      </c>
      <c r="I1093" t="s">
        <v>30</v>
      </c>
      <c r="J1093" s="2">
        <v>43839</v>
      </c>
      <c r="K1093">
        <v>29</v>
      </c>
      <c r="L1093" t="s">
        <v>20</v>
      </c>
      <c r="M1093">
        <v>21</v>
      </c>
      <c r="N1093">
        <v>11</v>
      </c>
      <c r="O1093">
        <v>2</v>
      </c>
      <c r="P1093" t="s">
        <v>25</v>
      </c>
      <c r="Q1093" s="1">
        <v>1</v>
      </c>
      <c r="R1093" s="2">
        <v>46174</v>
      </c>
      <c r="S1093" s="2"/>
      <c r="T1093" s="1" t="str">
        <f t="shared" si="51"/>
        <v>qui</v>
      </c>
      <c r="U1093" s="1" t="str">
        <f t="shared" si="52"/>
        <v>jan</v>
      </c>
      <c r="V1093">
        <f t="shared" si="53"/>
        <v>2020</v>
      </c>
      <c r="W1093">
        <f>_xlfn.XLOOKUP(A1093,Absenteismo!A:A,Absenteismo!A:A,0)</f>
        <v>1417</v>
      </c>
    </row>
    <row r="1094" spans="1:23" hidden="1" x14ac:dyDescent="0.3">
      <c r="A1094">
        <v>1425</v>
      </c>
      <c r="B1094">
        <v>54</v>
      </c>
      <c r="C1094" t="s">
        <v>26</v>
      </c>
      <c r="D1094" t="s">
        <v>29</v>
      </c>
      <c r="E1094" t="s">
        <v>17</v>
      </c>
      <c r="F1094" t="s">
        <v>18</v>
      </c>
      <c r="G1094">
        <v>100</v>
      </c>
      <c r="H1094">
        <v>5928</v>
      </c>
      <c r="I1094" t="s">
        <v>28</v>
      </c>
      <c r="J1094" s="2">
        <v>43138</v>
      </c>
      <c r="K1094">
        <v>34</v>
      </c>
      <c r="L1094" t="s">
        <v>20</v>
      </c>
      <c r="M1094">
        <v>10</v>
      </c>
      <c r="N1094">
        <v>3</v>
      </c>
      <c r="O1094">
        <v>3</v>
      </c>
      <c r="P1094" t="s">
        <v>25</v>
      </c>
      <c r="Q1094" s="1">
        <v>2</v>
      </c>
      <c r="R1094" s="2">
        <v>46174</v>
      </c>
      <c r="S1094" s="2"/>
      <c r="T1094" s="1" t="str">
        <f t="shared" si="51"/>
        <v>qua</v>
      </c>
      <c r="U1094" s="1" t="str">
        <f t="shared" si="52"/>
        <v>fev</v>
      </c>
      <c r="V1094">
        <f t="shared" si="53"/>
        <v>2018</v>
      </c>
      <c r="W1094">
        <f>_xlfn.XLOOKUP(A1094,Absenteismo!A:A,Absenteismo!A:A,0)</f>
        <v>1425</v>
      </c>
    </row>
    <row r="1095" spans="1:23" hidden="1" x14ac:dyDescent="0.3">
      <c r="A1095">
        <v>1446</v>
      </c>
      <c r="B1095">
        <v>54</v>
      </c>
      <c r="C1095" t="s">
        <v>15</v>
      </c>
      <c r="D1095" t="s">
        <v>16</v>
      </c>
      <c r="E1095" t="s">
        <v>17</v>
      </c>
      <c r="F1095" t="s">
        <v>18</v>
      </c>
      <c r="G1095">
        <v>83</v>
      </c>
      <c r="H1095">
        <v>3407</v>
      </c>
      <c r="I1095" t="s">
        <v>33</v>
      </c>
      <c r="J1095" s="2">
        <v>43316</v>
      </c>
      <c r="K1095">
        <v>30</v>
      </c>
      <c r="L1095" t="s">
        <v>20</v>
      </c>
      <c r="M1095">
        <v>22</v>
      </c>
      <c r="N1095">
        <v>2</v>
      </c>
      <c r="O1095">
        <v>3</v>
      </c>
      <c r="P1095" t="s">
        <v>25</v>
      </c>
      <c r="Q1095" s="1">
        <v>3</v>
      </c>
      <c r="R1095" s="2">
        <v>46174</v>
      </c>
      <c r="S1095" s="2"/>
      <c r="T1095" s="1" t="str">
        <f t="shared" si="51"/>
        <v>sáb</v>
      </c>
      <c r="U1095" s="1" t="str">
        <f t="shared" si="52"/>
        <v>ago</v>
      </c>
      <c r="V1095">
        <f t="shared" si="53"/>
        <v>2018</v>
      </c>
      <c r="W1095">
        <f>_xlfn.XLOOKUP(A1095,Absenteismo!A:A,Absenteismo!A:A,0)</f>
        <v>1446</v>
      </c>
    </row>
    <row r="1096" spans="1:23" hidden="1" x14ac:dyDescent="0.3">
      <c r="A1096">
        <v>1450</v>
      </c>
      <c r="B1096">
        <v>54</v>
      </c>
      <c r="C1096" t="s">
        <v>26</v>
      </c>
      <c r="D1096" t="s">
        <v>27</v>
      </c>
      <c r="E1096" t="s">
        <v>17</v>
      </c>
      <c r="F1096" t="s">
        <v>21</v>
      </c>
      <c r="G1096">
        <v>54</v>
      </c>
      <c r="H1096">
        <v>3048</v>
      </c>
      <c r="I1096" t="s">
        <v>33</v>
      </c>
      <c r="J1096" s="2">
        <v>44470</v>
      </c>
      <c r="K1096">
        <v>57</v>
      </c>
      <c r="L1096" t="s">
        <v>20</v>
      </c>
      <c r="M1096">
        <v>18</v>
      </c>
      <c r="N1096">
        <v>10</v>
      </c>
      <c r="O1096">
        <v>4</v>
      </c>
      <c r="P1096" t="s">
        <v>25</v>
      </c>
      <c r="Q1096" s="1">
        <v>1</v>
      </c>
      <c r="R1096" s="2">
        <v>46174</v>
      </c>
      <c r="S1096" s="2"/>
      <c r="T1096" s="1" t="str">
        <f t="shared" si="51"/>
        <v>sex</v>
      </c>
      <c r="U1096" s="1" t="str">
        <f t="shared" si="52"/>
        <v>out</v>
      </c>
      <c r="V1096">
        <f t="shared" si="53"/>
        <v>2021</v>
      </c>
      <c r="W1096">
        <f>_xlfn.XLOOKUP(A1096,Absenteismo!A:A,Absenteismo!A:A,0)</f>
        <v>1450</v>
      </c>
    </row>
    <row r="1097" spans="1:23" hidden="1" x14ac:dyDescent="0.3">
      <c r="A1097">
        <v>1502</v>
      </c>
      <c r="B1097">
        <v>54</v>
      </c>
      <c r="C1097" t="s">
        <v>26</v>
      </c>
      <c r="D1097" t="s">
        <v>16</v>
      </c>
      <c r="E1097" t="s">
        <v>17</v>
      </c>
      <c r="F1097" t="s">
        <v>23</v>
      </c>
      <c r="G1097">
        <v>88</v>
      </c>
      <c r="H1097">
        <v>5096</v>
      </c>
      <c r="I1097" t="s">
        <v>28</v>
      </c>
      <c r="J1097" s="2">
        <v>43104</v>
      </c>
      <c r="K1097">
        <v>37</v>
      </c>
      <c r="L1097" t="s">
        <v>20</v>
      </c>
      <c r="M1097">
        <v>11</v>
      </c>
      <c r="N1097">
        <v>5</v>
      </c>
      <c r="O1097">
        <v>2</v>
      </c>
      <c r="P1097" t="s">
        <v>25</v>
      </c>
      <c r="Q1097" s="1">
        <v>1</v>
      </c>
      <c r="R1097" s="2">
        <v>46174</v>
      </c>
      <c r="S1097" s="2"/>
      <c r="T1097" s="1" t="str">
        <f t="shared" si="51"/>
        <v>qui</v>
      </c>
      <c r="U1097" s="1" t="str">
        <f t="shared" si="52"/>
        <v>jan</v>
      </c>
      <c r="V1097">
        <f t="shared" si="53"/>
        <v>2018</v>
      </c>
      <c r="W1097">
        <f>_xlfn.XLOOKUP(A1097,Absenteismo!A:A,Absenteismo!A:A,0)</f>
        <v>1502</v>
      </c>
    </row>
    <row r="1098" spans="1:23" hidden="1" x14ac:dyDescent="0.3">
      <c r="A1098">
        <v>1514</v>
      </c>
      <c r="B1098">
        <v>54</v>
      </c>
      <c r="C1098" t="s">
        <v>15</v>
      </c>
      <c r="D1098" t="s">
        <v>29</v>
      </c>
      <c r="E1098" t="s">
        <v>17</v>
      </c>
      <c r="F1098" t="s">
        <v>21</v>
      </c>
      <c r="G1098">
        <v>24</v>
      </c>
      <c r="H1098">
        <v>7306</v>
      </c>
      <c r="I1098" t="s">
        <v>30</v>
      </c>
      <c r="J1098" s="2">
        <v>45320</v>
      </c>
      <c r="K1098">
        <v>47</v>
      </c>
      <c r="L1098" t="s">
        <v>20</v>
      </c>
      <c r="M1098">
        <v>13</v>
      </c>
      <c r="N1098">
        <v>7</v>
      </c>
      <c r="O1098">
        <v>4</v>
      </c>
      <c r="P1098" t="s">
        <v>25</v>
      </c>
      <c r="Q1098" s="1">
        <v>1</v>
      </c>
      <c r="R1098" s="2">
        <v>46174</v>
      </c>
      <c r="S1098" s="2"/>
      <c r="T1098" s="1" t="str">
        <f t="shared" si="51"/>
        <v>seg</v>
      </c>
      <c r="U1098" s="1" t="str">
        <f t="shared" si="52"/>
        <v>jan</v>
      </c>
      <c r="V1098">
        <f t="shared" si="53"/>
        <v>2024</v>
      </c>
      <c r="W1098">
        <f>_xlfn.XLOOKUP(A1098,Absenteismo!A:A,Absenteismo!A:A,0)</f>
        <v>1514</v>
      </c>
    </row>
    <row r="1099" spans="1:23" hidden="1" x14ac:dyDescent="0.3">
      <c r="A1099">
        <v>1608</v>
      </c>
      <c r="B1099">
        <v>54</v>
      </c>
      <c r="C1099" t="s">
        <v>26</v>
      </c>
      <c r="D1099" t="s">
        <v>16</v>
      </c>
      <c r="E1099" t="s">
        <v>17</v>
      </c>
      <c r="F1099" t="s">
        <v>18</v>
      </c>
      <c r="G1099">
        <v>51</v>
      </c>
      <c r="H1099">
        <v>6558</v>
      </c>
      <c r="I1099" t="s">
        <v>19</v>
      </c>
      <c r="J1099" s="2">
        <v>44416</v>
      </c>
      <c r="K1099">
        <v>17</v>
      </c>
      <c r="L1099" t="s">
        <v>20</v>
      </c>
      <c r="M1099">
        <v>35</v>
      </c>
      <c r="N1099">
        <v>8</v>
      </c>
      <c r="O1099">
        <v>4</v>
      </c>
      <c r="P1099" t="s">
        <v>25</v>
      </c>
      <c r="Q1099" s="1">
        <v>2</v>
      </c>
      <c r="R1099" s="2">
        <v>46174</v>
      </c>
      <c r="S1099" s="2"/>
      <c r="T1099" s="1" t="str">
        <f t="shared" si="51"/>
        <v>dom</v>
      </c>
      <c r="U1099" s="1" t="str">
        <f t="shared" si="52"/>
        <v>ago</v>
      </c>
      <c r="V1099">
        <f t="shared" si="53"/>
        <v>2021</v>
      </c>
      <c r="W1099">
        <f>_xlfn.XLOOKUP(A1099,Absenteismo!A:A,Absenteismo!A:A,0)</f>
        <v>1608</v>
      </c>
    </row>
    <row r="1100" spans="1:23" hidden="1" x14ac:dyDescent="0.3">
      <c r="A1100">
        <v>1625</v>
      </c>
      <c r="B1100">
        <v>54</v>
      </c>
      <c r="C1100" t="s">
        <v>15</v>
      </c>
      <c r="D1100" t="s">
        <v>16</v>
      </c>
      <c r="E1100" t="s">
        <v>17</v>
      </c>
      <c r="F1100" t="s">
        <v>23</v>
      </c>
      <c r="G1100">
        <v>65</v>
      </c>
      <c r="H1100">
        <v>4972</v>
      </c>
      <c r="I1100" t="s">
        <v>19</v>
      </c>
      <c r="J1100" s="2">
        <v>43800</v>
      </c>
      <c r="K1100">
        <v>60</v>
      </c>
      <c r="L1100" t="s">
        <v>20</v>
      </c>
      <c r="M1100">
        <v>4</v>
      </c>
      <c r="N1100">
        <v>3</v>
      </c>
      <c r="O1100">
        <v>4</v>
      </c>
      <c r="P1100" t="s">
        <v>25</v>
      </c>
      <c r="Q1100" s="1">
        <v>3</v>
      </c>
      <c r="R1100" s="2">
        <v>46174</v>
      </c>
      <c r="S1100" s="2"/>
      <c r="T1100" s="1" t="str">
        <f t="shared" si="51"/>
        <v>dom</v>
      </c>
      <c r="U1100" s="1" t="str">
        <f t="shared" si="52"/>
        <v>dez</v>
      </c>
      <c r="V1100">
        <f t="shared" si="53"/>
        <v>2019</v>
      </c>
      <c r="W1100">
        <f>_xlfn.XLOOKUP(A1100,Absenteismo!A:A,Absenteismo!A:A,0)</f>
        <v>1625</v>
      </c>
    </row>
    <row r="1101" spans="1:23" hidden="1" x14ac:dyDescent="0.3">
      <c r="A1101">
        <v>1668</v>
      </c>
      <c r="B1101">
        <v>54</v>
      </c>
      <c r="C1101" t="s">
        <v>15</v>
      </c>
      <c r="D1101" t="s">
        <v>31</v>
      </c>
      <c r="E1101" t="s">
        <v>34</v>
      </c>
      <c r="F1101" t="s">
        <v>21</v>
      </c>
      <c r="G1101">
        <v>6</v>
      </c>
      <c r="H1101">
        <v>4235</v>
      </c>
      <c r="I1101" t="s">
        <v>33</v>
      </c>
      <c r="J1101" s="2">
        <v>45883</v>
      </c>
      <c r="K1101">
        <v>34</v>
      </c>
      <c r="L1101" t="s">
        <v>20</v>
      </c>
      <c r="M1101">
        <v>17</v>
      </c>
      <c r="N1101">
        <v>2</v>
      </c>
      <c r="O1101">
        <v>5</v>
      </c>
      <c r="P1101" t="s">
        <v>25</v>
      </c>
      <c r="Q1101" s="1">
        <v>3</v>
      </c>
      <c r="R1101" s="2">
        <v>46174</v>
      </c>
      <c r="S1101" s="2"/>
      <c r="T1101" s="1" t="str">
        <f t="shared" si="51"/>
        <v>qui</v>
      </c>
      <c r="U1101" s="1" t="str">
        <f t="shared" si="52"/>
        <v>ago</v>
      </c>
      <c r="V1101">
        <f t="shared" si="53"/>
        <v>2025</v>
      </c>
      <c r="W1101">
        <f>_xlfn.XLOOKUP(A1101,Absenteismo!A:A,Absenteismo!A:A,0)</f>
        <v>1668</v>
      </c>
    </row>
    <row r="1102" spans="1:23" x14ac:dyDescent="0.3">
      <c r="A1102">
        <v>1684</v>
      </c>
      <c r="B1102">
        <v>54</v>
      </c>
      <c r="C1102" t="s">
        <v>26</v>
      </c>
      <c r="D1102" t="s">
        <v>31</v>
      </c>
      <c r="E1102" t="s">
        <v>34</v>
      </c>
      <c r="F1102" t="s">
        <v>23</v>
      </c>
      <c r="G1102">
        <v>107</v>
      </c>
      <c r="H1102">
        <v>6042</v>
      </c>
      <c r="I1102" t="s">
        <v>24</v>
      </c>
      <c r="J1102" s="2">
        <v>42595</v>
      </c>
      <c r="K1102">
        <v>1</v>
      </c>
      <c r="L1102" t="s">
        <v>20</v>
      </c>
      <c r="M1102">
        <v>3</v>
      </c>
      <c r="N1102">
        <v>9</v>
      </c>
      <c r="O1102">
        <v>5</v>
      </c>
      <c r="P1102" t="s">
        <v>25</v>
      </c>
      <c r="Q1102" s="1">
        <v>2</v>
      </c>
      <c r="R1102" s="2">
        <v>46174</v>
      </c>
      <c r="S1102" s="2"/>
      <c r="T1102" s="1" t="str">
        <f t="shared" si="51"/>
        <v>sáb</v>
      </c>
      <c r="U1102" s="1" t="str">
        <f t="shared" si="52"/>
        <v>ago</v>
      </c>
      <c r="V1102">
        <f t="shared" si="53"/>
        <v>2016</v>
      </c>
      <c r="W1102">
        <f>_xlfn.XLOOKUP(A1102,Absenteismo!A:A,Absenteismo!A:A,0)</f>
        <v>0</v>
      </c>
    </row>
    <row r="1103" spans="1:23" hidden="1" x14ac:dyDescent="0.3">
      <c r="A1103">
        <v>1717</v>
      </c>
      <c r="B1103">
        <v>54</v>
      </c>
      <c r="C1103" t="s">
        <v>15</v>
      </c>
      <c r="D1103" t="s">
        <v>16</v>
      </c>
      <c r="E1103" t="s">
        <v>17</v>
      </c>
      <c r="F1103" t="s">
        <v>18</v>
      </c>
      <c r="G1103">
        <v>65</v>
      </c>
      <c r="H1103">
        <v>4035</v>
      </c>
      <c r="I1103" t="s">
        <v>30</v>
      </c>
      <c r="J1103" s="2">
        <v>44092</v>
      </c>
      <c r="K1103">
        <v>29</v>
      </c>
      <c r="L1103" t="s">
        <v>20</v>
      </c>
      <c r="M1103">
        <v>21</v>
      </c>
      <c r="N1103">
        <v>11</v>
      </c>
      <c r="O1103">
        <v>2</v>
      </c>
      <c r="P1103" t="s">
        <v>25</v>
      </c>
      <c r="Q1103" s="1">
        <v>3</v>
      </c>
      <c r="R1103" s="2">
        <v>46174</v>
      </c>
      <c r="S1103" s="2"/>
      <c r="T1103" s="1" t="str">
        <f t="shared" si="51"/>
        <v>sex</v>
      </c>
      <c r="U1103" s="1" t="str">
        <f t="shared" si="52"/>
        <v>set</v>
      </c>
      <c r="V1103">
        <f t="shared" si="53"/>
        <v>2020</v>
      </c>
      <c r="W1103">
        <f>_xlfn.XLOOKUP(A1103,Absenteismo!A:A,Absenteismo!A:A,0)</f>
        <v>1717</v>
      </c>
    </row>
    <row r="1104" spans="1:23" hidden="1" x14ac:dyDescent="0.3">
      <c r="A1104">
        <v>1725</v>
      </c>
      <c r="B1104">
        <v>54</v>
      </c>
      <c r="C1104" t="s">
        <v>26</v>
      </c>
      <c r="D1104" t="s">
        <v>29</v>
      </c>
      <c r="E1104" t="s">
        <v>17</v>
      </c>
      <c r="F1104" t="s">
        <v>18</v>
      </c>
      <c r="G1104">
        <v>100</v>
      </c>
      <c r="H1104">
        <v>5928</v>
      </c>
      <c r="I1104" t="s">
        <v>28</v>
      </c>
      <c r="J1104" s="2">
        <v>42954</v>
      </c>
      <c r="K1104">
        <v>34</v>
      </c>
      <c r="L1104" t="s">
        <v>20</v>
      </c>
      <c r="M1104">
        <v>10</v>
      </c>
      <c r="N1104">
        <v>3</v>
      </c>
      <c r="O1104">
        <v>3</v>
      </c>
      <c r="P1104" t="s">
        <v>25</v>
      </c>
      <c r="Q1104" s="1">
        <v>3</v>
      </c>
      <c r="R1104" s="2">
        <v>46174</v>
      </c>
      <c r="S1104" s="2"/>
      <c r="T1104" s="1" t="str">
        <f t="shared" si="51"/>
        <v>seg</v>
      </c>
      <c r="U1104" s="1" t="str">
        <f t="shared" si="52"/>
        <v>ago</v>
      </c>
      <c r="V1104">
        <f t="shared" si="53"/>
        <v>2017</v>
      </c>
      <c r="W1104">
        <f>_xlfn.XLOOKUP(A1104,Absenteismo!A:A,Absenteismo!A:A,0)</f>
        <v>1725</v>
      </c>
    </row>
    <row r="1105" spans="1:23" hidden="1" x14ac:dyDescent="0.3">
      <c r="A1105">
        <v>1746</v>
      </c>
      <c r="B1105">
        <v>54</v>
      </c>
      <c r="C1105" t="s">
        <v>15</v>
      </c>
      <c r="D1105" t="s">
        <v>16</v>
      </c>
      <c r="E1105" t="s">
        <v>17</v>
      </c>
      <c r="F1105" t="s">
        <v>18</v>
      </c>
      <c r="G1105">
        <v>83</v>
      </c>
      <c r="H1105">
        <v>3407</v>
      </c>
      <c r="I1105" t="s">
        <v>33</v>
      </c>
      <c r="J1105" s="2">
        <v>43391</v>
      </c>
      <c r="K1105">
        <v>30</v>
      </c>
      <c r="L1105" t="s">
        <v>20</v>
      </c>
      <c r="M1105">
        <v>22</v>
      </c>
      <c r="N1105">
        <v>2</v>
      </c>
      <c r="O1105">
        <v>3</v>
      </c>
      <c r="P1105" t="s">
        <v>25</v>
      </c>
      <c r="Q1105" s="1">
        <v>3</v>
      </c>
      <c r="R1105" s="2">
        <v>46174</v>
      </c>
      <c r="S1105" s="2"/>
      <c r="T1105" s="1" t="str">
        <f t="shared" si="51"/>
        <v>qui</v>
      </c>
      <c r="U1105" s="1" t="str">
        <f t="shared" si="52"/>
        <v>out</v>
      </c>
      <c r="V1105">
        <f t="shared" si="53"/>
        <v>2018</v>
      </c>
      <c r="W1105">
        <f>_xlfn.XLOOKUP(A1105,Absenteismo!A:A,Absenteismo!A:A,0)</f>
        <v>1746</v>
      </c>
    </row>
    <row r="1106" spans="1:23" hidden="1" x14ac:dyDescent="0.3">
      <c r="A1106">
        <v>1750</v>
      </c>
      <c r="B1106">
        <v>54</v>
      </c>
      <c r="C1106" t="s">
        <v>26</v>
      </c>
      <c r="D1106" t="s">
        <v>27</v>
      </c>
      <c r="E1106" t="s">
        <v>17</v>
      </c>
      <c r="F1106" t="s">
        <v>21</v>
      </c>
      <c r="G1106">
        <v>54</v>
      </c>
      <c r="H1106">
        <v>3048</v>
      </c>
      <c r="I1106" t="s">
        <v>33</v>
      </c>
      <c r="J1106" s="2">
        <v>44257</v>
      </c>
      <c r="K1106">
        <v>57</v>
      </c>
      <c r="L1106" t="s">
        <v>20</v>
      </c>
      <c r="M1106">
        <v>18</v>
      </c>
      <c r="N1106">
        <v>10</v>
      </c>
      <c r="O1106">
        <v>4</v>
      </c>
      <c r="P1106" t="s">
        <v>25</v>
      </c>
      <c r="Q1106" s="1">
        <v>2</v>
      </c>
      <c r="R1106" s="2">
        <v>46174</v>
      </c>
      <c r="S1106" s="2"/>
      <c r="T1106" s="1" t="str">
        <f t="shared" si="51"/>
        <v>ter</v>
      </c>
      <c r="U1106" s="1" t="str">
        <f t="shared" si="52"/>
        <v>mar</v>
      </c>
      <c r="V1106">
        <f t="shared" si="53"/>
        <v>2021</v>
      </c>
      <c r="W1106">
        <f>_xlfn.XLOOKUP(A1106,Absenteismo!A:A,Absenteismo!A:A,0)</f>
        <v>1750</v>
      </c>
    </row>
    <row r="1107" spans="1:23" hidden="1" x14ac:dyDescent="0.3">
      <c r="A1107">
        <v>1802</v>
      </c>
      <c r="B1107">
        <v>54</v>
      </c>
      <c r="C1107" t="s">
        <v>26</v>
      </c>
      <c r="D1107" t="s">
        <v>16</v>
      </c>
      <c r="E1107" t="s">
        <v>17</v>
      </c>
      <c r="F1107" t="s">
        <v>23</v>
      </c>
      <c r="G1107">
        <v>88</v>
      </c>
      <c r="H1107">
        <v>5096</v>
      </c>
      <c r="I1107" t="s">
        <v>28</v>
      </c>
      <c r="J1107" s="2">
        <v>43262</v>
      </c>
      <c r="K1107">
        <v>37</v>
      </c>
      <c r="L1107" t="s">
        <v>20</v>
      </c>
      <c r="M1107">
        <v>11</v>
      </c>
      <c r="N1107">
        <v>5</v>
      </c>
      <c r="O1107">
        <v>2</v>
      </c>
      <c r="P1107" t="s">
        <v>25</v>
      </c>
      <c r="Q1107" s="1">
        <v>1</v>
      </c>
      <c r="R1107" s="2">
        <v>46174</v>
      </c>
      <c r="S1107" s="2"/>
      <c r="T1107" s="1" t="str">
        <f t="shared" si="51"/>
        <v>seg</v>
      </c>
      <c r="U1107" s="1" t="str">
        <f t="shared" si="52"/>
        <v>jun</v>
      </c>
      <c r="V1107">
        <f t="shared" si="53"/>
        <v>2018</v>
      </c>
      <c r="W1107">
        <f>_xlfn.XLOOKUP(A1107,Absenteismo!A:A,Absenteismo!A:A,0)</f>
        <v>1802</v>
      </c>
    </row>
    <row r="1108" spans="1:23" hidden="1" x14ac:dyDescent="0.3">
      <c r="A1108">
        <v>1814</v>
      </c>
      <c r="B1108">
        <v>54</v>
      </c>
      <c r="C1108" t="s">
        <v>15</v>
      </c>
      <c r="D1108" t="s">
        <v>29</v>
      </c>
      <c r="E1108" t="s">
        <v>17</v>
      </c>
      <c r="F1108" t="s">
        <v>21</v>
      </c>
      <c r="G1108">
        <v>24</v>
      </c>
      <c r="H1108">
        <v>7306</v>
      </c>
      <c r="I1108" t="s">
        <v>30</v>
      </c>
      <c r="J1108" s="2">
        <v>45143</v>
      </c>
      <c r="K1108">
        <v>47</v>
      </c>
      <c r="L1108" t="s">
        <v>20</v>
      </c>
      <c r="M1108">
        <v>13</v>
      </c>
      <c r="N1108">
        <v>7</v>
      </c>
      <c r="O1108">
        <v>4</v>
      </c>
      <c r="P1108" t="s">
        <v>25</v>
      </c>
      <c r="Q1108" s="1">
        <v>3</v>
      </c>
      <c r="R1108" s="2">
        <v>46174</v>
      </c>
      <c r="S1108" s="2"/>
      <c r="T1108" s="1" t="str">
        <f t="shared" si="51"/>
        <v>sáb</v>
      </c>
      <c r="U1108" s="1" t="str">
        <f t="shared" si="52"/>
        <v>ago</v>
      </c>
      <c r="V1108">
        <f t="shared" si="53"/>
        <v>2023</v>
      </c>
      <c r="W1108">
        <f>_xlfn.XLOOKUP(A1108,Absenteismo!A:A,Absenteismo!A:A,0)</f>
        <v>1814</v>
      </c>
    </row>
    <row r="1109" spans="1:23" hidden="1" x14ac:dyDescent="0.3">
      <c r="A1109">
        <v>1882</v>
      </c>
      <c r="B1109">
        <v>54</v>
      </c>
      <c r="C1109" t="s">
        <v>26</v>
      </c>
      <c r="D1109" t="s">
        <v>16</v>
      </c>
      <c r="E1109" t="s">
        <v>17</v>
      </c>
      <c r="F1109" t="s">
        <v>18</v>
      </c>
      <c r="G1109">
        <v>1</v>
      </c>
      <c r="H1109">
        <v>6302</v>
      </c>
      <c r="I1109" t="s">
        <v>30</v>
      </c>
      <c r="J1109" s="2">
        <v>46078</v>
      </c>
      <c r="K1109">
        <v>19</v>
      </c>
      <c r="L1109" t="s">
        <v>25</v>
      </c>
      <c r="M1109">
        <v>30</v>
      </c>
      <c r="N1109">
        <v>3</v>
      </c>
      <c r="O1109">
        <v>2</v>
      </c>
      <c r="P1109" t="s">
        <v>25</v>
      </c>
      <c r="Q1109" s="1">
        <v>1</v>
      </c>
      <c r="R1109" s="2">
        <v>46174</v>
      </c>
      <c r="S1109" s="2"/>
      <c r="T1109" s="1" t="str">
        <f t="shared" si="51"/>
        <v>qua</v>
      </c>
      <c r="U1109" s="1" t="str">
        <f t="shared" si="52"/>
        <v>fev</v>
      </c>
      <c r="V1109">
        <f t="shared" si="53"/>
        <v>2026</v>
      </c>
      <c r="W1109">
        <f>_xlfn.XLOOKUP(A1109,Absenteismo!A:A,Absenteismo!A:A,0)</f>
        <v>1882</v>
      </c>
    </row>
    <row r="1110" spans="1:23" hidden="1" x14ac:dyDescent="0.3">
      <c r="A1110">
        <v>1908</v>
      </c>
      <c r="B1110">
        <v>54</v>
      </c>
      <c r="C1110" t="s">
        <v>26</v>
      </c>
      <c r="D1110" t="s">
        <v>16</v>
      </c>
      <c r="E1110" t="s">
        <v>17</v>
      </c>
      <c r="F1110" t="s">
        <v>18</v>
      </c>
      <c r="G1110">
        <v>51</v>
      </c>
      <c r="H1110">
        <v>6558</v>
      </c>
      <c r="I1110" t="s">
        <v>19</v>
      </c>
      <c r="J1110" s="2">
        <v>44497</v>
      </c>
      <c r="K1110">
        <v>17</v>
      </c>
      <c r="L1110" t="s">
        <v>20</v>
      </c>
      <c r="M1110">
        <v>35</v>
      </c>
      <c r="N1110">
        <v>8</v>
      </c>
      <c r="O1110">
        <v>4</v>
      </c>
      <c r="P1110" t="s">
        <v>25</v>
      </c>
      <c r="Q1110" s="1">
        <v>3</v>
      </c>
      <c r="R1110" s="2">
        <v>46174</v>
      </c>
      <c r="S1110" s="2"/>
      <c r="T1110" s="1" t="str">
        <f t="shared" si="51"/>
        <v>qui</v>
      </c>
      <c r="U1110" s="1" t="str">
        <f t="shared" si="52"/>
        <v>out</v>
      </c>
      <c r="V1110">
        <f t="shared" si="53"/>
        <v>2021</v>
      </c>
      <c r="W1110">
        <f>_xlfn.XLOOKUP(A1110,Absenteismo!A:A,Absenteismo!A:A,0)</f>
        <v>1908</v>
      </c>
    </row>
    <row r="1111" spans="1:23" hidden="1" x14ac:dyDescent="0.3">
      <c r="A1111">
        <v>1925</v>
      </c>
      <c r="B1111">
        <v>54</v>
      </c>
      <c r="C1111" t="s">
        <v>15</v>
      </c>
      <c r="D1111" t="s">
        <v>16</v>
      </c>
      <c r="E1111" t="s">
        <v>17</v>
      </c>
      <c r="F1111" t="s">
        <v>23</v>
      </c>
      <c r="G1111">
        <v>65</v>
      </c>
      <c r="H1111">
        <v>4972</v>
      </c>
      <c r="I1111" t="s">
        <v>19</v>
      </c>
      <c r="J1111" s="2">
        <v>43801</v>
      </c>
      <c r="K1111">
        <v>60</v>
      </c>
      <c r="L1111" t="s">
        <v>20</v>
      </c>
      <c r="M1111">
        <v>4</v>
      </c>
      <c r="N1111">
        <v>3</v>
      </c>
      <c r="O1111">
        <v>4</v>
      </c>
      <c r="P1111" t="s">
        <v>25</v>
      </c>
      <c r="Q1111" s="1">
        <v>3</v>
      </c>
      <c r="R1111" s="2">
        <v>46174</v>
      </c>
      <c r="S1111" s="2"/>
      <c r="T1111" s="1" t="str">
        <f t="shared" si="51"/>
        <v>seg</v>
      </c>
      <c r="U1111" s="1" t="str">
        <f t="shared" si="52"/>
        <v>dez</v>
      </c>
      <c r="V1111">
        <f t="shared" si="53"/>
        <v>2019</v>
      </c>
      <c r="W1111">
        <f>_xlfn.XLOOKUP(A1111,Absenteismo!A:A,Absenteismo!A:A,0)</f>
        <v>1925</v>
      </c>
    </row>
    <row r="1112" spans="1:23" hidden="1" x14ac:dyDescent="0.3">
      <c r="A1112">
        <v>1968</v>
      </c>
      <c r="B1112">
        <v>54</v>
      </c>
      <c r="C1112" t="s">
        <v>15</v>
      </c>
      <c r="D1112" t="s">
        <v>31</v>
      </c>
      <c r="E1112" t="s">
        <v>34</v>
      </c>
      <c r="F1112" t="s">
        <v>21</v>
      </c>
      <c r="G1112">
        <v>6</v>
      </c>
      <c r="H1112">
        <v>4235</v>
      </c>
      <c r="I1112" t="s">
        <v>33</v>
      </c>
      <c r="J1112" s="2">
        <v>45942</v>
      </c>
      <c r="K1112">
        <v>34</v>
      </c>
      <c r="L1112" t="s">
        <v>20</v>
      </c>
      <c r="M1112">
        <v>17</v>
      </c>
      <c r="N1112">
        <v>2</v>
      </c>
      <c r="O1112">
        <v>5</v>
      </c>
      <c r="P1112" t="s">
        <v>25</v>
      </c>
      <c r="Q1112" s="1">
        <v>3</v>
      </c>
      <c r="R1112" s="2">
        <v>46174</v>
      </c>
      <c r="S1112" s="2"/>
      <c r="T1112" s="1" t="str">
        <f t="shared" si="51"/>
        <v>dom</v>
      </c>
      <c r="U1112" s="1" t="str">
        <f t="shared" si="52"/>
        <v>out</v>
      </c>
      <c r="V1112">
        <f t="shared" si="53"/>
        <v>2025</v>
      </c>
      <c r="W1112">
        <f>_xlfn.XLOOKUP(A1112,Absenteismo!A:A,Absenteismo!A:A,0)</f>
        <v>1968</v>
      </c>
    </row>
    <row r="1113" spans="1:23" x14ac:dyDescent="0.3">
      <c r="A1113">
        <v>1984</v>
      </c>
      <c r="B1113">
        <v>54</v>
      </c>
      <c r="C1113" t="s">
        <v>26</v>
      </c>
      <c r="D1113" t="s">
        <v>31</v>
      </c>
      <c r="E1113" t="s">
        <v>34</v>
      </c>
      <c r="F1113" t="s">
        <v>23</v>
      </c>
      <c r="G1113">
        <v>107</v>
      </c>
      <c r="H1113">
        <v>6042</v>
      </c>
      <c r="I1113" t="s">
        <v>24</v>
      </c>
      <c r="J1113" s="2">
        <v>42905</v>
      </c>
      <c r="K1113">
        <v>1</v>
      </c>
      <c r="L1113" t="s">
        <v>20</v>
      </c>
      <c r="M1113">
        <v>3</v>
      </c>
      <c r="N1113">
        <v>9</v>
      </c>
      <c r="O1113">
        <v>5</v>
      </c>
      <c r="P1113" t="s">
        <v>25</v>
      </c>
      <c r="Q1113" s="1">
        <v>1</v>
      </c>
      <c r="R1113" s="2">
        <v>46174</v>
      </c>
      <c r="S1113" s="2"/>
      <c r="T1113" s="1" t="str">
        <f t="shared" si="51"/>
        <v>seg</v>
      </c>
      <c r="U1113" s="1" t="str">
        <f t="shared" si="52"/>
        <v>jun</v>
      </c>
      <c r="V1113">
        <f t="shared" si="53"/>
        <v>2017</v>
      </c>
      <c r="W1113">
        <f>_xlfn.XLOOKUP(A1113,Absenteismo!A:A,Absenteismo!A:A,0)</f>
        <v>0</v>
      </c>
    </row>
    <row r="1114" spans="1:23" hidden="1" x14ac:dyDescent="0.3">
      <c r="A1114">
        <v>2017</v>
      </c>
      <c r="B1114">
        <v>54</v>
      </c>
      <c r="C1114" t="s">
        <v>15</v>
      </c>
      <c r="D1114" t="s">
        <v>16</v>
      </c>
      <c r="E1114" t="s">
        <v>17</v>
      </c>
      <c r="F1114" t="s">
        <v>18</v>
      </c>
      <c r="G1114">
        <v>65</v>
      </c>
      <c r="H1114">
        <v>4035</v>
      </c>
      <c r="I1114" t="s">
        <v>30</v>
      </c>
      <c r="J1114" s="2">
        <v>43833</v>
      </c>
      <c r="K1114">
        <v>29</v>
      </c>
      <c r="L1114" t="s">
        <v>20</v>
      </c>
      <c r="M1114">
        <v>21</v>
      </c>
      <c r="N1114">
        <v>11</v>
      </c>
      <c r="O1114">
        <v>2</v>
      </c>
      <c r="P1114" t="s">
        <v>25</v>
      </c>
      <c r="Q1114" s="1">
        <v>3</v>
      </c>
      <c r="R1114" s="2">
        <v>46174</v>
      </c>
      <c r="S1114" s="2"/>
      <c r="T1114" s="1" t="str">
        <f t="shared" si="51"/>
        <v>sex</v>
      </c>
      <c r="U1114" s="1" t="str">
        <f t="shared" si="52"/>
        <v>jan</v>
      </c>
      <c r="V1114">
        <f t="shared" si="53"/>
        <v>2020</v>
      </c>
      <c r="W1114">
        <f>_xlfn.XLOOKUP(A1114,Absenteismo!A:A,Absenteismo!A:A,0)</f>
        <v>2017</v>
      </c>
    </row>
    <row r="1115" spans="1:23" hidden="1" x14ac:dyDescent="0.3">
      <c r="A1115">
        <v>2025</v>
      </c>
      <c r="B1115">
        <v>54</v>
      </c>
      <c r="C1115" t="s">
        <v>26</v>
      </c>
      <c r="D1115" t="s">
        <v>29</v>
      </c>
      <c r="E1115" t="s">
        <v>17</v>
      </c>
      <c r="F1115" t="s">
        <v>18</v>
      </c>
      <c r="G1115">
        <v>100</v>
      </c>
      <c r="H1115">
        <v>5928</v>
      </c>
      <c r="I1115" t="s">
        <v>28</v>
      </c>
      <c r="J1115" s="2">
        <v>42831</v>
      </c>
      <c r="K1115">
        <v>34</v>
      </c>
      <c r="L1115" t="s">
        <v>20</v>
      </c>
      <c r="M1115">
        <v>10</v>
      </c>
      <c r="N1115">
        <v>3</v>
      </c>
      <c r="O1115">
        <v>3</v>
      </c>
      <c r="P1115" t="s">
        <v>25</v>
      </c>
      <c r="Q1115" s="1">
        <v>1</v>
      </c>
      <c r="R1115" s="2">
        <v>46174</v>
      </c>
      <c r="S1115" s="2"/>
      <c r="T1115" s="1" t="str">
        <f t="shared" si="51"/>
        <v>qui</v>
      </c>
      <c r="U1115" s="1" t="str">
        <f t="shared" si="52"/>
        <v>abr</v>
      </c>
      <c r="V1115">
        <f t="shared" si="53"/>
        <v>2017</v>
      </c>
      <c r="W1115">
        <f>_xlfn.XLOOKUP(A1115,Absenteismo!A:A,Absenteismo!A:A,0)</f>
        <v>2025</v>
      </c>
    </row>
    <row r="1116" spans="1:23" hidden="1" x14ac:dyDescent="0.3">
      <c r="A1116">
        <v>2046</v>
      </c>
      <c r="B1116">
        <v>54</v>
      </c>
      <c r="C1116" t="s">
        <v>15</v>
      </c>
      <c r="D1116" t="s">
        <v>16</v>
      </c>
      <c r="E1116" t="s">
        <v>17</v>
      </c>
      <c r="F1116" t="s">
        <v>18</v>
      </c>
      <c r="G1116">
        <v>83</v>
      </c>
      <c r="H1116">
        <v>3407</v>
      </c>
      <c r="I1116" t="s">
        <v>33</v>
      </c>
      <c r="J1116" s="2">
        <v>43401</v>
      </c>
      <c r="K1116">
        <v>30</v>
      </c>
      <c r="L1116" t="s">
        <v>20</v>
      </c>
      <c r="M1116">
        <v>22</v>
      </c>
      <c r="N1116">
        <v>2</v>
      </c>
      <c r="O1116">
        <v>3</v>
      </c>
      <c r="P1116" t="s">
        <v>25</v>
      </c>
      <c r="Q1116" s="1">
        <v>3</v>
      </c>
      <c r="R1116" s="2">
        <v>46174</v>
      </c>
      <c r="S1116" s="2"/>
      <c r="T1116" s="1" t="str">
        <f t="shared" si="51"/>
        <v>dom</v>
      </c>
      <c r="U1116" s="1" t="str">
        <f t="shared" si="52"/>
        <v>out</v>
      </c>
      <c r="V1116">
        <f t="shared" si="53"/>
        <v>2018</v>
      </c>
      <c r="W1116">
        <f>_xlfn.XLOOKUP(A1116,Absenteismo!A:A,Absenteismo!A:A,0)</f>
        <v>2046</v>
      </c>
    </row>
    <row r="1117" spans="1:23" hidden="1" x14ac:dyDescent="0.3">
      <c r="A1117">
        <v>2050</v>
      </c>
      <c r="B1117">
        <v>54</v>
      </c>
      <c r="C1117" t="s">
        <v>26</v>
      </c>
      <c r="D1117" t="s">
        <v>27</v>
      </c>
      <c r="E1117" t="s">
        <v>17</v>
      </c>
      <c r="F1117" t="s">
        <v>21</v>
      </c>
      <c r="G1117">
        <v>54</v>
      </c>
      <c r="H1117">
        <v>3048</v>
      </c>
      <c r="I1117" t="s">
        <v>33</v>
      </c>
      <c r="J1117" s="2">
        <v>44258</v>
      </c>
      <c r="K1117">
        <v>57</v>
      </c>
      <c r="L1117" t="s">
        <v>20</v>
      </c>
      <c r="M1117">
        <v>18</v>
      </c>
      <c r="N1117">
        <v>10</v>
      </c>
      <c r="O1117">
        <v>4</v>
      </c>
      <c r="P1117" t="s">
        <v>25</v>
      </c>
      <c r="Q1117" s="1">
        <v>1</v>
      </c>
      <c r="R1117" s="2">
        <v>46174</v>
      </c>
      <c r="S1117" s="2"/>
      <c r="T1117" s="1" t="str">
        <f t="shared" si="51"/>
        <v>qua</v>
      </c>
      <c r="U1117" s="1" t="str">
        <f t="shared" si="52"/>
        <v>mar</v>
      </c>
      <c r="V1117">
        <f t="shared" si="53"/>
        <v>2021</v>
      </c>
      <c r="W1117">
        <f>_xlfn.XLOOKUP(A1117,Absenteismo!A:A,Absenteismo!A:A,0)</f>
        <v>2050</v>
      </c>
    </row>
    <row r="1118" spans="1:23" hidden="1" x14ac:dyDescent="0.3">
      <c r="A1118">
        <v>2102</v>
      </c>
      <c r="B1118">
        <v>54</v>
      </c>
      <c r="C1118" t="s">
        <v>26</v>
      </c>
      <c r="D1118" t="s">
        <v>16</v>
      </c>
      <c r="E1118" t="s">
        <v>17</v>
      </c>
      <c r="F1118" t="s">
        <v>23</v>
      </c>
      <c r="G1118">
        <v>88</v>
      </c>
      <c r="H1118">
        <v>5096</v>
      </c>
      <c r="I1118" t="s">
        <v>28</v>
      </c>
      <c r="J1118" s="2">
        <v>43293</v>
      </c>
      <c r="K1118">
        <v>37</v>
      </c>
      <c r="L1118" t="s">
        <v>20</v>
      </c>
      <c r="M1118">
        <v>11</v>
      </c>
      <c r="N1118">
        <v>5</v>
      </c>
      <c r="O1118">
        <v>2</v>
      </c>
      <c r="P1118" t="s">
        <v>25</v>
      </c>
      <c r="Q1118" s="1">
        <v>3</v>
      </c>
      <c r="R1118" s="2">
        <v>46174</v>
      </c>
      <c r="S1118" s="2"/>
      <c r="T1118" s="1" t="str">
        <f t="shared" si="51"/>
        <v>qui</v>
      </c>
      <c r="U1118" s="1" t="str">
        <f t="shared" si="52"/>
        <v>jul</v>
      </c>
      <c r="V1118">
        <f t="shared" si="53"/>
        <v>2018</v>
      </c>
      <c r="W1118">
        <f>_xlfn.XLOOKUP(A1118,Absenteismo!A:A,Absenteismo!A:A,0)</f>
        <v>2102</v>
      </c>
    </row>
    <row r="1119" spans="1:23" hidden="1" x14ac:dyDescent="0.3">
      <c r="A1119">
        <v>2114</v>
      </c>
      <c r="B1119">
        <v>54</v>
      </c>
      <c r="C1119" t="s">
        <v>15</v>
      </c>
      <c r="D1119" t="s">
        <v>29</v>
      </c>
      <c r="E1119" t="s">
        <v>17</v>
      </c>
      <c r="F1119" t="s">
        <v>21</v>
      </c>
      <c r="G1119">
        <v>24</v>
      </c>
      <c r="H1119">
        <v>7306</v>
      </c>
      <c r="I1119" t="s">
        <v>30</v>
      </c>
      <c r="J1119" s="2">
        <v>45406</v>
      </c>
      <c r="K1119">
        <v>47</v>
      </c>
      <c r="L1119" t="s">
        <v>20</v>
      </c>
      <c r="M1119">
        <v>13</v>
      </c>
      <c r="N1119">
        <v>7</v>
      </c>
      <c r="O1119">
        <v>4</v>
      </c>
      <c r="P1119" t="s">
        <v>25</v>
      </c>
      <c r="Q1119" s="1">
        <v>1</v>
      </c>
      <c r="R1119" s="2">
        <v>46174</v>
      </c>
      <c r="S1119" s="2"/>
      <c r="T1119" s="1" t="str">
        <f t="shared" si="51"/>
        <v>qua</v>
      </c>
      <c r="U1119" s="1" t="str">
        <f t="shared" si="52"/>
        <v>abr</v>
      </c>
      <c r="V1119">
        <f t="shared" si="53"/>
        <v>2024</v>
      </c>
      <c r="W1119">
        <f>_xlfn.XLOOKUP(A1119,Absenteismo!A:A,Absenteismo!A:A,0)</f>
        <v>2114</v>
      </c>
    </row>
    <row r="1120" spans="1:23" hidden="1" x14ac:dyDescent="0.3">
      <c r="A1120">
        <v>2182</v>
      </c>
      <c r="B1120">
        <v>54</v>
      </c>
      <c r="C1120" t="s">
        <v>26</v>
      </c>
      <c r="D1120" t="s">
        <v>16</v>
      </c>
      <c r="E1120" t="s">
        <v>17</v>
      </c>
      <c r="F1120" t="s">
        <v>18</v>
      </c>
      <c r="G1120">
        <v>1</v>
      </c>
      <c r="H1120">
        <v>6302</v>
      </c>
      <c r="I1120" t="s">
        <v>30</v>
      </c>
      <c r="J1120" s="2">
        <v>46005</v>
      </c>
      <c r="K1120">
        <v>19</v>
      </c>
      <c r="L1120" t="s">
        <v>25</v>
      </c>
      <c r="M1120">
        <v>30</v>
      </c>
      <c r="N1120">
        <v>3</v>
      </c>
      <c r="O1120">
        <v>2</v>
      </c>
      <c r="P1120" t="s">
        <v>25</v>
      </c>
      <c r="Q1120" s="1">
        <v>2</v>
      </c>
      <c r="R1120" s="2">
        <v>46174</v>
      </c>
      <c r="S1120" s="2"/>
      <c r="T1120" s="1" t="str">
        <f t="shared" si="51"/>
        <v>dom</v>
      </c>
      <c r="U1120" s="1" t="str">
        <f t="shared" si="52"/>
        <v>dez</v>
      </c>
      <c r="V1120">
        <f t="shared" si="53"/>
        <v>2025</v>
      </c>
      <c r="W1120">
        <f>_xlfn.XLOOKUP(A1120,Absenteismo!A:A,Absenteismo!A:A,0)</f>
        <v>2182</v>
      </c>
    </row>
    <row r="1121" spans="1:23" x14ac:dyDescent="0.3">
      <c r="A1121">
        <v>1149</v>
      </c>
      <c r="B1121">
        <v>55</v>
      </c>
      <c r="C1121" t="s">
        <v>15</v>
      </c>
      <c r="D1121" t="s">
        <v>16</v>
      </c>
      <c r="E1121" t="s">
        <v>17</v>
      </c>
      <c r="F1121" t="s">
        <v>21</v>
      </c>
      <c r="G1121">
        <v>93</v>
      </c>
      <c r="H1121">
        <v>5565</v>
      </c>
      <c r="I1121" t="s">
        <v>28</v>
      </c>
      <c r="J1121" s="2">
        <v>42954</v>
      </c>
      <c r="K1121">
        <v>3</v>
      </c>
      <c r="L1121" t="s">
        <v>25</v>
      </c>
      <c r="M1121">
        <v>1</v>
      </c>
      <c r="N1121">
        <v>1</v>
      </c>
      <c r="O1121">
        <v>2</v>
      </c>
      <c r="P1121" t="s">
        <v>25</v>
      </c>
      <c r="Q1121" s="1">
        <v>1</v>
      </c>
      <c r="R1121" s="2">
        <v>46174</v>
      </c>
      <c r="S1121" s="2"/>
      <c r="T1121" s="1" t="str">
        <f t="shared" si="51"/>
        <v>seg</v>
      </c>
      <c r="U1121" s="1" t="str">
        <f t="shared" si="52"/>
        <v>ago</v>
      </c>
      <c r="V1121">
        <f t="shared" si="53"/>
        <v>2017</v>
      </c>
      <c r="W1121">
        <f>_xlfn.XLOOKUP(A1121,Absenteismo!A:A,Absenteismo!A:A,0)</f>
        <v>0</v>
      </c>
    </row>
    <row r="1122" spans="1:23" hidden="1" x14ac:dyDescent="0.3">
      <c r="A1122">
        <v>1203</v>
      </c>
      <c r="B1122">
        <v>55</v>
      </c>
      <c r="C1122" t="s">
        <v>15</v>
      </c>
      <c r="D1122" t="s">
        <v>22</v>
      </c>
      <c r="E1122" t="s">
        <v>17</v>
      </c>
      <c r="F1122" t="s">
        <v>21</v>
      </c>
      <c r="G1122">
        <v>106</v>
      </c>
      <c r="H1122">
        <v>6062</v>
      </c>
      <c r="I1122" t="s">
        <v>30</v>
      </c>
      <c r="J1122" s="2">
        <v>42724</v>
      </c>
      <c r="K1122">
        <v>20</v>
      </c>
      <c r="L1122" t="s">
        <v>20</v>
      </c>
      <c r="M1122">
        <v>15</v>
      </c>
      <c r="N1122">
        <v>9</v>
      </c>
      <c r="O1122">
        <v>5</v>
      </c>
      <c r="P1122" t="s">
        <v>25</v>
      </c>
      <c r="Q1122" s="1">
        <v>1</v>
      </c>
      <c r="R1122" s="2">
        <v>46174</v>
      </c>
      <c r="S1122" s="2"/>
      <c r="T1122" s="1" t="str">
        <f t="shared" si="51"/>
        <v>ter</v>
      </c>
      <c r="U1122" s="1" t="str">
        <f t="shared" si="52"/>
        <v>dez</v>
      </c>
      <c r="V1122">
        <f t="shared" si="53"/>
        <v>2016</v>
      </c>
      <c r="W1122">
        <f>_xlfn.XLOOKUP(A1122,Absenteismo!A:A,Absenteismo!A:A,0)</f>
        <v>1203</v>
      </c>
    </row>
    <row r="1123" spans="1:23" x14ac:dyDescent="0.3">
      <c r="A1123">
        <v>1225</v>
      </c>
      <c r="B1123">
        <v>55</v>
      </c>
      <c r="C1123" t="s">
        <v>15</v>
      </c>
      <c r="D1123" t="s">
        <v>27</v>
      </c>
      <c r="E1123" t="s">
        <v>17</v>
      </c>
      <c r="F1123" t="s">
        <v>18</v>
      </c>
      <c r="G1123">
        <v>16</v>
      </c>
      <c r="H1123">
        <v>4754</v>
      </c>
      <c r="I1123" t="s">
        <v>24</v>
      </c>
      <c r="J1123" s="2">
        <v>45506</v>
      </c>
      <c r="K1123">
        <v>8</v>
      </c>
      <c r="L1123" t="s">
        <v>20</v>
      </c>
      <c r="M1123">
        <v>9</v>
      </c>
      <c r="N1123">
        <v>8</v>
      </c>
      <c r="O1123">
        <v>5</v>
      </c>
      <c r="P1123" t="s">
        <v>25</v>
      </c>
      <c r="Q1123" s="1">
        <v>3</v>
      </c>
      <c r="R1123" s="2">
        <v>46174</v>
      </c>
      <c r="S1123" s="2"/>
      <c r="T1123" s="1" t="str">
        <f t="shared" si="51"/>
        <v>sex</v>
      </c>
      <c r="U1123" s="1" t="str">
        <f t="shared" si="52"/>
        <v>ago</v>
      </c>
      <c r="V1123">
        <f t="shared" si="53"/>
        <v>2024</v>
      </c>
      <c r="W1123">
        <f>_xlfn.XLOOKUP(A1123,Absenteismo!A:A,Absenteismo!A:A,0)</f>
        <v>0</v>
      </c>
    </row>
    <row r="1124" spans="1:23" x14ac:dyDescent="0.3">
      <c r="A1124">
        <v>1260</v>
      </c>
      <c r="B1124">
        <v>55</v>
      </c>
      <c r="C1124" t="s">
        <v>15</v>
      </c>
      <c r="D1124" t="s">
        <v>16</v>
      </c>
      <c r="E1124" t="s">
        <v>17</v>
      </c>
      <c r="F1124" t="s">
        <v>23</v>
      </c>
      <c r="G1124">
        <v>58</v>
      </c>
      <c r="H1124">
        <v>6617</v>
      </c>
      <c r="I1124" t="s">
        <v>24</v>
      </c>
      <c r="J1124" s="2">
        <v>44093</v>
      </c>
      <c r="K1124">
        <v>27</v>
      </c>
      <c r="L1124" t="s">
        <v>20</v>
      </c>
      <c r="M1124">
        <v>22</v>
      </c>
      <c r="N1124">
        <v>12</v>
      </c>
      <c r="O1124">
        <v>3</v>
      </c>
      <c r="P1124" t="s">
        <v>25</v>
      </c>
      <c r="Q1124" s="1">
        <v>1</v>
      </c>
      <c r="R1124" s="2">
        <v>46174</v>
      </c>
      <c r="S1124" s="2"/>
      <c r="T1124" s="1" t="str">
        <f t="shared" si="51"/>
        <v>sáb</v>
      </c>
      <c r="U1124" s="1" t="str">
        <f t="shared" si="52"/>
        <v>set</v>
      </c>
      <c r="V1124">
        <f t="shared" si="53"/>
        <v>2020</v>
      </c>
      <c r="W1124">
        <f>_xlfn.XLOOKUP(A1124,Absenteismo!A:A,Absenteismo!A:A,0)</f>
        <v>0</v>
      </c>
    </row>
    <row r="1125" spans="1:23" hidden="1" x14ac:dyDescent="0.3">
      <c r="A1125">
        <v>1449</v>
      </c>
      <c r="B1125">
        <v>55</v>
      </c>
      <c r="C1125" t="s">
        <v>15</v>
      </c>
      <c r="D1125" t="s">
        <v>16</v>
      </c>
      <c r="E1125" t="s">
        <v>17</v>
      </c>
      <c r="F1125" t="s">
        <v>21</v>
      </c>
      <c r="G1125">
        <v>93</v>
      </c>
      <c r="H1125">
        <v>5565</v>
      </c>
      <c r="I1125" t="s">
        <v>28</v>
      </c>
      <c r="J1125" s="2">
        <v>43216</v>
      </c>
      <c r="K1125">
        <v>3</v>
      </c>
      <c r="L1125" t="s">
        <v>25</v>
      </c>
      <c r="M1125">
        <v>1</v>
      </c>
      <c r="N1125">
        <v>1</v>
      </c>
      <c r="O1125">
        <v>2</v>
      </c>
      <c r="P1125" t="s">
        <v>25</v>
      </c>
      <c r="Q1125" s="1">
        <v>3</v>
      </c>
      <c r="R1125" s="2">
        <v>46174</v>
      </c>
      <c r="S1125" s="2"/>
      <c r="T1125" s="1" t="str">
        <f t="shared" si="51"/>
        <v>qui</v>
      </c>
      <c r="U1125" s="1" t="str">
        <f t="shared" si="52"/>
        <v>abr</v>
      </c>
      <c r="V1125">
        <f t="shared" si="53"/>
        <v>2018</v>
      </c>
      <c r="W1125">
        <f>_xlfn.XLOOKUP(A1125,Absenteismo!A:A,Absenteismo!A:A,0)</f>
        <v>1449</v>
      </c>
    </row>
    <row r="1126" spans="1:23" hidden="1" x14ac:dyDescent="0.3">
      <c r="A1126">
        <v>1503</v>
      </c>
      <c r="B1126">
        <v>55</v>
      </c>
      <c r="C1126" t="s">
        <v>15</v>
      </c>
      <c r="D1126" t="s">
        <v>22</v>
      </c>
      <c r="E1126" t="s">
        <v>17</v>
      </c>
      <c r="F1126" t="s">
        <v>21</v>
      </c>
      <c r="G1126">
        <v>106</v>
      </c>
      <c r="H1126">
        <v>6062</v>
      </c>
      <c r="I1126" t="s">
        <v>30</v>
      </c>
      <c r="J1126" s="2">
        <v>42720</v>
      </c>
      <c r="K1126">
        <v>20</v>
      </c>
      <c r="L1126" t="s">
        <v>20</v>
      </c>
      <c r="M1126">
        <v>15</v>
      </c>
      <c r="N1126">
        <v>9</v>
      </c>
      <c r="O1126">
        <v>5</v>
      </c>
      <c r="P1126" t="s">
        <v>25</v>
      </c>
      <c r="Q1126" s="1">
        <v>1</v>
      </c>
      <c r="R1126" s="2">
        <v>46174</v>
      </c>
      <c r="S1126" s="2"/>
      <c r="T1126" s="1" t="str">
        <f t="shared" si="51"/>
        <v>sex</v>
      </c>
      <c r="U1126" s="1" t="str">
        <f t="shared" si="52"/>
        <v>dez</v>
      </c>
      <c r="V1126">
        <f t="shared" si="53"/>
        <v>2016</v>
      </c>
      <c r="W1126">
        <f>_xlfn.XLOOKUP(A1126,Absenteismo!A:A,Absenteismo!A:A,0)</f>
        <v>1503</v>
      </c>
    </row>
    <row r="1127" spans="1:23" x14ac:dyDescent="0.3">
      <c r="A1127">
        <v>1525</v>
      </c>
      <c r="B1127">
        <v>55</v>
      </c>
      <c r="C1127" t="s">
        <v>15</v>
      </c>
      <c r="D1127" t="s">
        <v>27</v>
      </c>
      <c r="E1127" t="s">
        <v>17</v>
      </c>
      <c r="F1127" t="s">
        <v>18</v>
      </c>
      <c r="G1127">
        <v>16</v>
      </c>
      <c r="H1127">
        <v>4754</v>
      </c>
      <c r="I1127" t="s">
        <v>24</v>
      </c>
      <c r="J1127" s="2">
        <v>45376</v>
      </c>
      <c r="K1127">
        <v>8</v>
      </c>
      <c r="L1127" t="s">
        <v>20</v>
      </c>
      <c r="M1127">
        <v>9</v>
      </c>
      <c r="N1127">
        <v>8</v>
      </c>
      <c r="O1127">
        <v>5</v>
      </c>
      <c r="P1127" t="s">
        <v>25</v>
      </c>
      <c r="Q1127" s="1">
        <v>3</v>
      </c>
      <c r="R1127" s="2">
        <v>46174</v>
      </c>
      <c r="S1127" s="2"/>
      <c r="T1127" s="1" t="str">
        <f t="shared" si="51"/>
        <v>seg</v>
      </c>
      <c r="U1127" s="1" t="str">
        <f t="shared" si="52"/>
        <v>mar</v>
      </c>
      <c r="V1127">
        <f t="shared" si="53"/>
        <v>2024</v>
      </c>
      <c r="W1127">
        <f>_xlfn.XLOOKUP(A1127,Absenteismo!A:A,Absenteismo!A:A,0)</f>
        <v>0</v>
      </c>
    </row>
    <row r="1128" spans="1:23" x14ac:dyDescent="0.3">
      <c r="A1128">
        <v>1560</v>
      </c>
      <c r="B1128">
        <v>55</v>
      </c>
      <c r="C1128" t="s">
        <v>15</v>
      </c>
      <c r="D1128" t="s">
        <v>16</v>
      </c>
      <c r="E1128" t="s">
        <v>17</v>
      </c>
      <c r="F1128" t="s">
        <v>23</v>
      </c>
      <c r="G1128">
        <v>58</v>
      </c>
      <c r="H1128">
        <v>6617</v>
      </c>
      <c r="I1128" t="s">
        <v>24</v>
      </c>
      <c r="J1128" s="2">
        <v>44352</v>
      </c>
      <c r="K1128">
        <v>27</v>
      </c>
      <c r="L1128" t="s">
        <v>20</v>
      </c>
      <c r="M1128">
        <v>22</v>
      </c>
      <c r="N1128">
        <v>12</v>
      </c>
      <c r="O1128">
        <v>3</v>
      </c>
      <c r="P1128" t="s">
        <v>25</v>
      </c>
      <c r="Q1128" s="1">
        <v>2</v>
      </c>
      <c r="R1128" s="2">
        <v>46174</v>
      </c>
      <c r="S1128" s="2"/>
      <c r="T1128" s="1" t="str">
        <f t="shared" si="51"/>
        <v>sáb</v>
      </c>
      <c r="U1128" s="1" t="str">
        <f t="shared" si="52"/>
        <v>jun</v>
      </c>
      <c r="V1128">
        <f t="shared" si="53"/>
        <v>2021</v>
      </c>
      <c r="W1128">
        <f>_xlfn.XLOOKUP(A1128,Absenteismo!A:A,Absenteismo!A:A,0)</f>
        <v>0</v>
      </c>
    </row>
    <row r="1129" spans="1:23" hidden="1" x14ac:dyDescent="0.3">
      <c r="A1129">
        <v>1749</v>
      </c>
      <c r="B1129">
        <v>55</v>
      </c>
      <c r="C1129" t="s">
        <v>15</v>
      </c>
      <c r="D1129" t="s">
        <v>16</v>
      </c>
      <c r="E1129" t="s">
        <v>17</v>
      </c>
      <c r="F1129" t="s">
        <v>21</v>
      </c>
      <c r="G1129">
        <v>93</v>
      </c>
      <c r="H1129">
        <v>5565</v>
      </c>
      <c r="I1129" t="s">
        <v>28</v>
      </c>
      <c r="J1129" s="2">
        <v>43027</v>
      </c>
      <c r="K1129">
        <v>3</v>
      </c>
      <c r="L1129" t="s">
        <v>25</v>
      </c>
      <c r="M1129">
        <v>1</v>
      </c>
      <c r="N1129">
        <v>1</v>
      </c>
      <c r="O1129">
        <v>2</v>
      </c>
      <c r="P1129" t="s">
        <v>25</v>
      </c>
      <c r="Q1129" s="1">
        <v>1</v>
      </c>
      <c r="R1129" s="2">
        <v>46174</v>
      </c>
      <c r="S1129" s="2"/>
      <c r="T1129" s="1" t="str">
        <f t="shared" si="51"/>
        <v>qui</v>
      </c>
      <c r="U1129" s="1" t="str">
        <f t="shared" si="52"/>
        <v>out</v>
      </c>
      <c r="V1129">
        <f t="shared" si="53"/>
        <v>2017</v>
      </c>
      <c r="W1129">
        <f>_xlfn.XLOOKUP(A1129,Absenteismo!A:A,Absenteismo!A:A,0)</f>
        <v>1749</v>
      </c>
    </row>
    <row r="1130" spans="1:23" hidden="1" x14ac:dyDescent="0.3">
      <c r="A1130">
        <v>1803</v>
      </c>
      <c r="B1130">
        <v>55</v>
      </c>
      <c r="C1130" t="s">
        <v>15</v>
      </c>
      <c r="D1130" t="s">
        <v>22</v>
      </c>
      <c r="E1130" t="s">
        <v>17</v>
      </c>
      <c r="F1130" t="s">
        <v>21</v>
      </c>
      <c r="G1130">
        <v>106</v>
      </c>
      <c r="H1130">
        <v>6062</v>
      </c>
      <c r="I1130" t="s">
        <v>30</v>
      </c>
      <c r="J1130" s="2">
        <v>42680</v>
      </c>
      <c r="K1130">
        <v>20</v>
      </c>
      <c r="L1130" t="s">
        <v>20</v>
      </c>
      <c r="M1130">
        <v>15</v>
      </c>
      <c r="N1130">
        <v>9</v>
      </c>
      <c r="O1130">
        <v>5</v>
      </c>
      <c r="P1130" t="s">
        <v>25</v>
      </c>
      <c r="Q1130" s="1">
        <v>3</v>
      </c>
      <c r="R1130" s="2">
        <v>46174</v>
      </c>
      <c r="S1130" s="2"/>
      <c r="T1130" s="1" t="str">
        <f t="shared" si="51"/>
        <v>dom</v>
      </c>
      <c r="U1130" s="1" t="str">
        <f t="shared" si="52"/>
        <v>nov</v>
      </c>
      <c r="V1130">
        <f t="shared" si="53"/>
        <v>2016</v>
      </c>
      <c r="W1130">
        <f>_xlfn.XLOOKUP(A1130,Absenteismo!A:A,Absenteismo!A:A,0)</f>
        <v>1803</v>
      </c>
    </row>
    <row r="1131" spans="1:23" x14ac:dyDescent="0.3">
      <c r="A1131">
        <v>1825</v>
      </c>
      <c r="B1131">
        <v>55</v>
      </c>
      <c r="C1131" t="s">
        <v>15</v>
      </c>
      <c r="D1131" t="s">
        <v>27</v>
      </c>
      <c r="E1131" t="s">
        <v>17</v>
      </c>
      <c r="F1131" t="s">
        <v>18</v>
      </c>
      <c r="G1131">
        <v>16</v>
      </c>
      <c r="H1131">
        <v>4754</v>
      </c>
      <c r="I1131" t="s">
        <v>24</v>
      </c>
      <c r="J1131" s="2">
        <v>45673</v>
      </c>
      <c r="K1131">
        <v>8</v>
      </c>
      <c r="L1131" t="s">
        <v>20</v>
      </c>
      <c r="M1131">
        <v>9</v>
      </c>
      <c r="N1131">
        <v>8</v>
      </c>
      <c r="O1131">
        <v>5</v>
      </c>
      <c r="P1131" t="s">
        <v>25</v>
      </c>
      <c r="Q1131" s="1">
        <v>1</v>
      </c>
      <c r="R1131" s="2">
        <v>46174</v>
      </c>
      <c r="S1131" s="2"/>
      <c r="T1131" s="1" t="str">
        <f t="shared" si="51"/>
        <v>qui</v>
      </c>
      <c r="U1131" s="1" t="str">
        <f t="shared" si="52"/>
        <v>jan</v>
      </c>
      <c r="V1131">
        <f t="shared" si="53"/>
        <v>2025</v>
      </c>
      <c r="W1131">
        <f>_xlfn.XLOOKUP(A1131,Absenteismo!A:A,Absenteismo!A:A,0)</f>
        <v>0</v>
      </c>
    </row>
    <row r="1132" spans="1:23" x14ac:dyDescent="0.3">
      <c r="A1132">
        <v>1860</v>
      </c>
      <c r="B1132">
        <v>55</v>
      </c>
      <c r="C1132" t="s">
        <v>15</v>
      </c>
      <c r="D1132" t="s">
        <v>16</v>
      </c>
      <c r="E1132" t="s">
        <v>17</v>
      </c>
      <c r="F1132" t="s">
        <v>23</v>
      </c>
      <c r="G1132">
        <v>58</v>
      </c>
      <c r="H1132">
        <v>6617</v>
      </c>
      <c r="I1132" t="s">
        <v>24</v>
      </c>
      <c r="J1132" s="2">
        <v>44217</v>
      </c>
      <c r="K1132">
        <v>27</v>
      </c>
      <c r="L1132" t="s">
        <v>20</v>
      </c>
      <c r="M1132">
        <v>22</v>
      </c>
      <c r="N1132">
        <v>12</v>
      </c>
      <c r="O1132">
        <v>3</v>
      </c>
      <c r="P1132" t="s">
        <v>25</v>
      </c>
      <c r="Q1132" s="1">
        <v>2</v>
      </c>
      <c r="R1132" s="2">
        <v>46174</v>
      </c>
      <c r="S1132" s="2"/>
      <c r="T1132" s="1" t="str">
        <f t="shared" si="51"/>
        <v>qui</v>
      </c>
      <c r="U1132" s="1" t="str">
        <f t="shared" si="52"/>
        <v>jan</v>
      </c>
      <c r="V1132">
        <f t="shared" si="53"/>
        <v>2021</v>
      </c>
      <c r="W1132">
        <f>_xlfn.XLOOKUP(A1132,Absenteismo!A:A,Absenteismo!A:A,0)</f>
        <v>0</v>
      </c>
    </row>
    <row r="1133" spans="1:23" hidden="1" x14ac:dyDescent="0.3">
      <c r="A1133">
        <v>2049</v>
      </c>
      <c r="B1133">
        <v>55</v>
      </c>
      <c r="C1133" t="s">
        <v>15</v>
      </c>
      <c r="D1133" t="s">
        <v>16</v>
      </c>
      <c r="E1133" t="s">
        <v>17</v>
      </c>
      <c r="F1133" t="s">
        <v>21</v>
      </c>
      <c r="G1133">
        <v>93</v>
      </c>
      <c r="H1133">
        <v>5565</v>
      </c>
      <c r="I1133" t="s">
        <v>28</v>
      </c>
      <c r="J1133" s="2">
        <v>43150</v>
      </c>
      <c r="K1133">
        <v>3</v>
      </c>
      <c r="L1133" t="s">
        <v>25</v>
      </c>
      <c r="M1133">
        <v>1</v>
      </c>
      <c r="N1133">
        <v>1</v>
      </c>
      <c r="O1133">
        <v>2</v>
      </c>
      <c r="P1133" t="s">
        <v>25</v>
      </c>
      <c r="Q1133" s="1">
        <v>1</v>
      </c>
      <c r="R1133" s="2">
        <v>46174</v>
      </c>
      <c r="S1133" s="2"/>
      <c r="T1133" s="1" t="str">
        <f t="shared" si="51"/>
        <v>seg</v>
      </c>
      <c r="U1133" s="1" t="str">
        <f t="shared" si="52"/>
        <v>fev</v>
      </c>
      <c r="V1133">
        <f t="shared" si="53"/>
        <v>2018</v>
      </c>
      <c r="W1133">
        <f>_xlfn.XLOOKUP(A1133,Absenteismo!A:A,Absenteismo!A:A,0)</f>
        <v>2049</v>
      </c>
    </row>
    <row r="1134" spans="1:23" hidden="1" x14ac:dyDescent="0.3">
      <c r="A1134">
        <v>2103</v>
      </c>
      <c r="B1134">
        <v>55</v>
      </c>
      <c r="C1134" t="s">
        <v>15</v>
      </c>
      <c r="D1134" t="s">
        <v>22</v>
      </c>
      <c r="E1134" t="s">
        <v>17</v>
      </c>
      <c r="F1134" t="s">
        <v>21</v>
      </c>
      <c r="G1134">
        <v>106</v>
      </c>
      <c r="H1134">
        <v>6062</v>
      </c>
      <c r="I1134" t="s">
        <v>30</v>
      </c>
      <c r="J1134" s="2">
        <v>42848</v>
      </c>
      <c r="K1134">
        <v>20</v>
      </c>
      <c r="L1134" t="s">
        <v>20</v>
      </c>
      <c r="M1134">
        <v>15</v>
      </c>
      <c r="N1134">
        <v>9</v>
      </c>
      <c r="O1134">
        <v>5</v>
      </c>
      <c r="P1134" t="s">
        <v>25</v>
      </c>
      <c r="Q1134" s="1">
        <v>1</v>
      </c>
      <c r="R1134" s="2">
        <v>46174</v>
      </c>
      <c r="S1134" s="2"/>
      <c r="T1134" s="1" t="str">
        <f t="shared" si="51"/>
        <v>dom</v>
      </c>
      <c r="U1134" s="1" t="str">
        <f t="shared" si="52"/>
        <v>abr</v>
      </c>
      <c r="V1134">
        <f t="shared" si="53"/>
        <v>2017</v>
      </c>
      <c r="W1134">
        <f>_xlfn.XLOOKUP(A1134,Absenteismo!A:A,Absenteismo!A:A,0)</f>
        <v>2103</v>
      </c>
    </row>
    <row r="1135" spans="1:23" x14ac:dyDescent="0.3">
      <c r="A1135">
        <v>2125</v>
      </c>
      <c r="B1135">
        <v>55</v>
      </c>
      <c r="C1135" t="s">
        <v>15</v>
      </c>
      <c r="D1135" t="s">
        <v>27</v>
      </c>
      <c r="E1135" t="s">
        <v>17</v>
      </c>
      <c r="F1135" t="s">
        <v>18</v>
      </c>
      <c r="G1135">
        <v>16</v>
      </c>
      <c r="H1135">
        <v>4754</v>
      </c>
      <c r="I1135" t="s">
        <v>24</v>
      </c>
      <c r="J1135" s="2">
        <v>45580</v>
      </c>
      <c r="K1135">
        <v>8</v>
      </c>
      <c r="L1135" t="s">
        <v>20</v>
      </c>
      <c r="M1135">
        <v>9</v>
      </c>
      <c r="N1135">
        <v>8</v>
      </c>
      <c r="O1135">
        <v>5</v>
      </c>
      <c r="P1135" t="s">
        <v>25</v>
      </c>
      <c r="Q1135" s="1">
        <v>3</v>
      </c>
      <c r="R1135" s="2">
        <v>46174</v>
      </c>
      <c r="S1135" s="2"/>
      <c r="T1135" s="1" t="str">
        <f t="shared" si="51"/>
        <v>ter</v>
      </c>
      <c r="U1135" s="1" t="str">
        <f t="shared" si="52"/>
        <v>out</v>
      </c>
      <c r="V1135">
        <f t="shared" si="53"/>
        <v>2024</v>
      </c>
      <c r="W1135">
        <f>_xlfn.XLOOKUP(A1135,Absenteismo!A:A,Absenteismo!A:A,0)</f>
        <v>0</v>
      </c>
    </row>
    <row r="1136" spans="1:23" x14ac:dyDescent="0.3">
      <c r="A1136">
        <v>2160</v>
      </c>
      <c r="B1136">
        <v>55</v>
      </c>
      <c r="C1136" t="s">
        <v>15</v>
      </c>
      <c r="D1136" t="s">
        <v>16</v>
      </c>
      <c r="E1136" t="s">
        <v>17</v>
      </c>
      <c r="F1136" t="s">
        <v>23</v>
      </c>
      <c r="G1136">
        <v>58</v>
      </c>
      <c r="H1136">
        <v>6617</v>
      </c>
      <c r="I1136" t="s">
        <v>24</v>
      </c>
      <c r="J1136" s="2">
        <v>44225</v>
      </c>
      <c r="K1136">
        <v>27</v>
      </c>
      <c r="L1136" t="s">
        <v>20</v>
      </c>
      <c r="M1136">
        <v>22</v>
      </c>
      <c r="N1136">
        <v>12</v>
      </c>
      <c r="O1136">
        <v>3</v>
      </c>
      <c r="P1136" t="s">
        <v>25</v>
      </c>
      <c r="Q1136" s="1">
        <v>1</v>
      </c>
      <c r="R1136" s="2">
        <v>46174</v>
      </c>
      <c r="S1136" s="2"/>
      <c r="T1136" s="1" t="str">
        <f t="shared" si="51"/>
        <v>sex</v>
      </c>
      <c r="U1136" s="1" t="str">
        <f t="shared" si="52"/>
        <v>jan</v>
      </c>
      <c r="V1136">
        <f t="shared" si="53"/>
        <v>2021</v>
      </c>
      <c r="W1136">
        <f>_xlfn.XLOOKUP(A1136,Absenteismo!A:A,Absenteismo!A:A,0)</f>
        <v>0</v>
      </c>
    </row>
    <row r="1137" spans="1:23" hidden="1" x14ac:dyDescent="0.3">
      <c r="A1137">
        <v>2061</v>
      </c>
      <c r="B1137">
        <v>55</v>
      </c>
      <c r="C1137" t="s">
        <v>15</v>
      </c>
      <c r="D1137" t="s">
        <v>27</v>
      </c>
      <c r="E1137" t="s">
        <v>17</v>
      </c>
      <c r="F1137" t="s">
        <v>21</v>
      </c>
      <c r="G1137">
        <v>62</v>
      </c>
      <c r="H1137">
        <v>4196</v>
      </c>
      <c r="I1137" t="s">
        <v>28</v>
      </c>
      <c r="J1137" s="2">
        <v>44227</v>
      </c>
      <c r="K1137">
        <v>41</v>
      </c>
      <c r="L1137" t="s">
        <v>20</v>
      </c>
      <c r="M1137">
        <v>24</v>
      </c>
      <c r="N1137">
        <v>2</v>
      </c>
      <c r="O1137">
        <v>3</v>
      </c>
      <c r="P1137" t="s">
        <v>25</v>
      </c>
      <c r="Q1137" s="1">
        <v>2</v>
      </c>
      <c r="R1137" s="2">
        <v>46174</v>
      </c>
      <c r="S1137" s="2"/>
      <c r="T1137" s="1" t="str">
        <f t="shared" si="51"/>
        <v>dom</v>
      </c>
      <c r="U1137" s="1" t="str">
        <f t="shared" si="52"/>
        <v>jan</v>
      </c>
      <c r="V1137">
        <f t="shared" si="53"/>
        <v>2021</v>
      </c>
      <c r="W1137">
        <f>_xlfn.XLOOKUP(A1137,Absenteismo!A:A,Absenteismo!A:A,0)</f>
        <v>2061</v>
      </c>
    </row>
    <row r="1138" spans="1:23" hidden="1" x14ac:dyDescent="0.3">
      <c r="A1138">
        <v>1516</v>
      </c>
      <c r="B1138">
        <v>56</v>
      </c>
      <c r="C1138" t="s">
        <v>26</v>
      </c>
      <c r="D1138" t="s">
        <v>29</v>
      </c>
      <c r="E1138" t="s">
        <v>17</v>
      </c>
      <c r="F1138" t="s">
        <v>21</v>
      </c>
      <c r="G1138">
        <v>65</v>
      </c>
      <c r="H1138">
        <v>6226</v>
      </c>
      <c r="I1138" t="s">
        <v>28</v>
      </c>
      <c r="J1138" s="2">
        <v>43814</v>
      </c>
      <c r="K1138">
        <v>3</v>
      </c>
      <c r="L1138" t="s">
        <v>20</v>
      </c>
      <c r="M1138">
        <v>23</v>
      </c>
      <c r="N1138">
        <v>11</v>
      </c>
      <c r="O1138">
        <v>2</v>
      </c>
      <c r="P1138" t="s">
        <v>20</v>
      </c>
      <c r="Q1138" s="1">
        <v>3</v>
      </c>
      <c r="R1138" s="2">
        <v>46174</v>
      </c>
      <c r="S1138" s="2">
        <v>45792</v>
      </c>
      <c r="T1138" s="1" t="str">
        <f t="shared" si="51"/>
        <v>dom</v>
      </c>
      <c r="U1138" s="1" t="str">
        <f t="shared" si="52"/>
        <v>dez</v>
      </c>
      <c r="V1138">
        <f t="shared" si="53"/>
        <v>2019</v>
      </c>
      <c r="W1138">
        <f>_xlfn.XLOOKUP(A1138,Absenteismo!A:A,Absenteismo!A:A,0)</f>
        <v>1516</v>
      </c>
    </row>
    <row r="1139" spans="1:23" hidden="1" x14ac:dyDescent="0.3">
      <c r="A1139">
        <v>1598</v>
      </c>
      <c r="B1139">
        <v>56</v>
      </c>
      <c r="C1139" t="s">
        <v>26</v>
      </c>
      <c r="D1139" t="s">
        <v>27</v>
      </c>
      <c r="E1139" t="s">
        <v>17</v>
      </c>
      <c r="F1139" t="s">
        <v>21</v>
      </c>
      <c r="G1139">
        <v>83</v>
      </c>
      <c r="H1139">
        <v>5055</v>
      </c>
      <c r="I1139" t="s">
        <v>33</v>
      </c>
      <c r="J1139" s="2">
        <v>43267</v>
      </c>
      <c r="K1139">
        <v>25</v>
      </c>
      <c r="L1139" t="s">
        <v>20</v>
      </c>
      <c r="M1139">
        <v>22</v>
      </c>
      <c r="N1139">
        <v>7</v>
      </c>
      <c r="O1139">
        <v>4</v>
      </c>
      <c r="P1139" t="s">
        <v>20</v>
      </c>
      <c r="Q1139" s="1">
        <v>3</v>
      </c>
      <c r="R1139" s="2">
        <v>46174</v>
      </c>
      <c r="S1139" s="2">
        <v>45793</v>
      </c>
      <c r="T1139" s="1" t="str">
        <f t="shared" si="51"/>
        <v>sáb</v>
      </c>
      <c r="U1139" s="1" t="str">
        <f t="shared" si="52"/>
        <v>jun</v>
      </c>
      <c r="V1139">
        <f t="shared" si="53"/>
        <v>2018</v>
      </c>
      <c r="W1139">
        <f>_xlfn.XLOOKUP(A1139,Absenteismo!A:A,Absenteismo!A:A,0)</f>
        <v>1598</v>
      </c>
    </row>
    <row r="1140" spans="1:23" hidden="1" x14ac:dyDescent="0.3">
      <c r="A1140">
        <v>1216</v>
      </c>
      <c r="B1140">
        <v>56</v>
      </c>
      <c r="C1140" t="s">
        <v>26</v>
      </c>
      <c r="D1140" t="s">
        <v>29</v>
      </c>
      <c r="E1140" t="s">
        <v>17</v>
      </c>
      <c r="F1140" t="s">
        <v>21</v>
      </c>
      <c r="G1140">
        <v>65</v>
      </c>
      <c r="H1140">
        <v>6226</v>
      </c>
      <c r="I1140" t="s">
        <v>28</v>
      </c>
      <c r="J1140" s="2">
        <v>44025</v>
      </c>
      <c r="K1140">
        <v>3</v>
      </c>
      <c r="L1140" t="s">
        <v>20</v>
      </c>
      <c r="M1140">
        <v>23</v>
      </c>
      <c r="N1140">
        <v>11</v>
      </c>
      <c r="O1140">
        <v>2</v>
      </c>
      <c r="P1140" t="s">
        <v>20</v>
      </c>
      <c r="Q1140" s="1">
        <v>2</v>
      </c>
      <c r="R1140" s="2">
        <v>46174</v>
      </c>
      <c r="S1140" s="2">
        <v>46004</v>
      </c>
      <c r="T1140" s="1" t="str">
        <f t="shared" si="51"/>
        <v>seg</v>
      </c>
      <c r="U1140" s="1" t="str">
        <f t="shared" si="52"/>
        <v>jul</v>
      </c>
      <c r="V1140">
        <f t="shared" si="53"/>
        <v>2020</v>
      </c>
      <c r="W1140">
        <f>_xlfn.XLOOKUP(A1140,Absenteismo!A:A,Absenteismo!A:A,0)</f>
        <v>1216</v>
      </c>
    </row>
    <row r="1141" spans="1:23" hidden="1" x14ac:dyDescent="0.3">
      <c r="A1141">
        <v>1282</v>
      </c>
      <c r="B1141">
        <v>56</v>
      </c>
      <c r="C1141" t="s">
        <v>26</v>
      </c>
      <c r="D1141" t="s">
        <v>16</v>
      </c>
      <c r="E1141" t="s">
        <v>17</v>
      </c>
      <c r="F1141" t="s">
        <v>18</v>
      </c>
      <c r="G1141">
        <v>1</v>
      </c>
      <c r="H1141">
        <v>6302</v>
      </c>
      <c r="I1141" t="s">
        <v>30</v>
      </c>
      <c r="J1141" s="2">
        <v>45989</v>
      </c>
      <c r="K1141">
        <v>19</v>
      </c>
      <c r="L1141" t="s">
        <v>25</v>
      </c>
      <c r="M1141">
        <v>30</v>
      </c>
      <c r="N1141">
        <v>3</v>
      </c>
      <c r="O1141">
        <v>2</v>
      </c>
      <c r="P1141" t="s">
        <v>20</v>
      </c>
      <c r="Q1141" s="1">
        <v>1</v>
      </c>
      <c r="R1141" s="2">
        <v>46174</v>
      </c>
      <c r="S1141" s="2">
        <v>46019</v>
      </c>
      <c r="T1141" s="1" t="str">
        <f t="shared" si="51"/>
        <v>sex</v>
      </c>
      <c r="U1141" s="1" t="str">
        <f t="shared" si="52"/>
        <v>nov</v>
      </c>
      <c r="V1141">
        <f t="shared" si="53"/>
        <v>2025</v>
      </c>
      <c r="W1141">
        <f>_xlfn.XLOOKUP(A1141,Absenteismo!A:A,Absenteismo!A:A,0)</f>
        <v>1282</v>
      </c>
    </row>
    <row r="1142" spans="1:23" hidden="1" x14ac:dyDescent="0.3">
      <c r="A1142">
        <v>1190</v>
      </c>
      <c r="B1142">
        <v>56</v>
      </c>
      <c r="C1142" t="s">
        <v>15</v>
      </c>
      <c r="D1142" t="s">
        <v>22</v>
      </c>
      <c r="E1142" t="s">
        <v>17</v>
      </c>
      <c r="F1142" t="s">
        <v>23</v>
      </c>
      <c r="G1142">
        <v>103</v>
      </c>
      <c r="H1142">
        <v>7378</v>
      </c>
      <c r="I1142" t="s">
        <v>19</v>
      </c>
      <c r="J1142" s="2">
        <v>42917</v>
      </c>
      <c r="K1142">
        <v>51</v>
      </c>
      <c r="L1142" t="s">
        <v>25</v>
      </c>
      <c r="M1142">
        <v>21</v>
      </c>
      <c r="N1142">
        <v>4</v>
      </c>
      <c r="O1142">
        <v>2</v>
      </c>
      <c r="P1142" t="s">
        <v>20</v>
      </c>
      <c r="Q1142" s="1">
        <v>2</v>
      </c>
      <c r="R1142" s="2">
        <v>46174</v>
      </c>
      <c r="S1142" s="2">
        <v>46053</v>
      </c>
      <c r="T1142" s="1" t="str">
        <f t="shared" si="51"/>
        <v>sáb</v>
      </c>
      <c r="U1142" s="1" t="str">
        <f t="shared" si="52"/>
        <v>jul</v>
      </c>
      <c r="V1142">
        <f t="shared" si="53"/>
        <v>2017</v>
      </c>
      <c r="W1142">
        <f>_xlfn.XLOOKUP(A1142,Absenteismo!A:A,Absenteismo!A:A,0)</f>
        <v>1190</v>
      </c>
    </row>
    <row r="1143" spans="1:23" x14ac:dyDescent="0.3">
      <c r="A1143">
        <v>1352</v>
      </c>
      <c r="B1143">
        <v>56</v>
      </c>
      <c r="C1143" t="s">
        <v>15</v>
      </c>
      <c r="D1143" t="s">
        <v>22</v>
      </c>
      <c r="E1143" t="s">
        <v>17</v>
      </c>
      <c r="F1143" t="s">
        <v>21</v>
      </c>
      <c r="G1143">
        <v>101</v>
      </c>
      <c r="H1143">
        <v>3136</v>
      </c>
      <c r="I1143" t="s">
        <v>24</v>
      </c>
      <c r="J1143" s="2">
        <v>43022</v>
      </c>
      <c r="K1143">
        <v>35</v>
      </c>
      <c r="L1143" t="s">
        <v>20</v>
      </c>
      <c r="M1143">
        <v>23</v>
      </c>
      <c r="N1143">
        <v>1</v>
      </c>
      <c r="O1143">
        <v>4</v>
      </c>
      <c r="P1143" t="s">
        <v>20</v>
      </c>
      <c r="Q1143" s="1">
        <v>1</v>
      </c>
      <c r="R1143" s="2">
        <v>46174</v>
      </c>
      <c r="S1143" s="2">
        <v>46095</v>
      </c>
      <c r="T1143" s="1" t="str">
        <f t="shared" si="51"/>
        <v>sáb</v>
      </c>
      <c r="U1143" s="1" t="str">
        <f t="shared" si="52"/>
        <v>out</v>
      </c>
      <c r="V1143">
        <f t="shared" si="53"/>
        <v>2017</v>
      </c>
      <c r="W1143">
        <f>_xlfn.XLOOKUP(A1143,Absenteismo!A:A,Absenteismo!A:A,0)</f>
        <v>0</v>
      </c>
    </row>
    <row r="1144" spans="1:23" x14ac:dyDescent="0.3">
      <c r="A1144">
        <v>1652</v>
      </c>
      <c r="B1144">
        <v>56</v>
      </c>
      <c r="C1144" t="s">
        <v>15</v>
      </c>
      <c r="D1144" t="s">
        <v>22</v>
      </c>
      <c r="E1144" t="s">
        <v>17</v>
      </c>
      <c r="F1144" t="s">
        <v>21</v>
      </c>
      <c r="G1144">
        <v>101</v>
      </c>
      <c r="H1144">
        <v>3136</v>
      </c>
      <c r="I1144" t="s">
        <v>24</v>
      </c>
      <c r="J1144" s="2">
        <v>43065</v>
      </c>
      <c r="K1144">
        <v>35</v>
      </c>
      <c r="L1144" t="s">
        <v>20</v>
      </c>
      <c r="M1144">
        <v>23</v>
      </c>
      <c r="N1144">
        <v>1</v>
      </c>
      <c r="O1144">
        <v>4</v>
      </c>
      <c r="P1144" t="s">
        <v>20</v>
      </c>
      <c r="Q1144" s="1">
        <v>3</v>
      </c>
      <c r="R1144" s="2">
        <v>46174</v>
      </c>
      <c r="S1144" s="2">
        <v>46138</v>
      </c>
      <c r="T1144" s="1" t="str">
        <f t="shared" si="51"/>
        <v>dom</v>
      </c>
      <c r="U1144" s="1" t="str">
        <f t="shared" si="52"/>
        <v>nov</v>
      </c>
      <c r="V1144">
        <f t="shared" si="53"/>
        <v>2017</v>
      </c>
      <c r="W1144">
        <f>_xlfn.XLOOKUP(A1144,Absenteismo!A:A,Absenteismo!A:A,0)</f>
        <v>0</v>
      </c>
    </row>
    <row r="1145" spans="1:23" hidden="1" x14ac:dyDescent="0.3">
      <c r="A1145">
        <v>1816</v>
      </c>
      <c r="B1145">
        <v>56</v>
      </c>
      <c r="C1145" t="s">
        <v>26</v>
      </c>
      <c r="D1145" t="s">
        <v>29</v>
      </c>
      <c r="E1145" t="s">
        <v>17</v>
      </c>
      <c r="F1145" t="s">
        <v>21</v>
      </c>
      <c r="G1145">
        <v>65</v>
      </c>
      <c r="H1145">
        <v>6226</v>
      </c>
      <c r="I1145" t="s">
        <v>28</v>
      </c>
      <c r="J1145" s="2">
        <v>44186</v>
      </c>
      <c r="K1145">
        <v>3</v>
      </c>
      <c r="L1145" t="s">
        <v>20</v>
      </c>
      <c r="M1145">
        <v>23</v>
      </c>
      <c r="N1145">
        <v>11</v>
      </c>
      <c r="O1145">
        <v>2</v>
      </c>
      <c r="P1145" t="s">
        <v>20</v>
      </c>
      <c r="Q1145" s="1">
        <v>1</v>
      </c>
      <c r="R1145" s="2">
        <v>46174</v>
      </c>
      <c r="S1145" s="2">
        <v>46163</v>
      </c>
      <c r="T1145" s="1" t="str">
        <f t="shared" si="51"/>
        <v>seg</v>
      </c>
      <c r="U1145" s="1" t="str">
        <f t="shared" si="52"/>
        <v>dez</v>
      </c>
      <c r="V1145">
        <f t="shared" si="53"/>
        <v>2020</v>
      </c>
      <c r="W1145">
        <f>_xlfn.XLOOKUP(A1145,Absenteismo!A:A,Absenteismo!A:A,0)</f>
        <v>1816</v>
      </c>
    </row>
    <row r="1146" spans="1:23" x14ac:dyDescent="0.3">
      <c r="A1146">
        <v>1052</v>
      </c>
      <c r="B1146">
        <v>56</v>
      </c>
      <c r="C1146" t="s">
        <v>15</v>
      </c>
      <c r="D1146" t="s">
        <v>22</v>
      </c>
      <c r="E1146" t="s">
        <v>17</v>
      </c>
      <c r="F1146" t="s">
        <v>21</v>
      </c>
      <c r="G1146">
        <v>101</v>
      </c>
      <c r="H1146">
        <v>3136</v>
      </c>
      <c r="I1146" t="s">
        <v>24</v>
      </c>
      <c r="J1146" s="2">
        <v>42930</v>
      </c>
      <c r="K1146">
        <v>35</v>
      </c>
      <c r="L1146" t="s">
        <v>20</v>
      </c>
      <c r="M1146">
        <v>23</v>
      </c>
      <c r="N1146">
        <v>1</v>
      </c>
      <c r="O1146">
        <v>4</v>
      </c>
      <c r="P1146" t="s">
        <v>25</v>
      </c>
      <c r="Q1146" s="1">
        <v>3</v>
      </c>
      <c r="R1146" s="2">
        <v>46174</v>
      </c>
      <c r="S1146" s="2"/>
      <c r="T1146" s="1" t="str">
        <f t="shared" si="51"/>
        <v>sex</v>
      </c>
      <c r="U1146" s="1" t="str">
        <f t="shared" si="52"/>
        <v>jul</v>
      </c>
      <c r="V1146">
        <f t="shared" si="53"/>
        <v>2017</v>
      </c>
      <c r="W1146">
        <f>_xlfn.XLOOKUP(A1146,Absenteismo!A:A,Absenteismo!A:A,0)</f>
        <v>0</v>
      </c>
    </row>
    <row r="1147" spans="1:23" x14ac:dyDescent="0.3">
      <c r="A1147">
        <v>1099</v>
      </c>
      <c r="B1147">
        <v>56</v>
      </c>
      <c r="C1147" t="s">
        <v>26</v>
      </c>
      <c r="D1147" t="s">
        <v>29</v>
      </c>
      <c r="E1147" t="s">
        <v>17</v>
      </c>
      <c r="F1147" t="s">
        <v>21</v>
      </c>
      <c r="G1147">
        <v>56</v>
      </c>
      <c r="H1147">
        <v>3612</v>
      </c>
      <c r="I1147" t="s">
        <v>30</v>
      </c>
      <c r="J1147" s="2">
        <v>44420</v>
      </c>
      <c r="K1147">
        <v>43</v>
      </c>
      <c r="L1147" t="s">
        <v>20</v>
      </c>
      <c r="M1147">
        <v>35</v>
      </c>
      <c r="N1147">
        <v>11</v>
      </c>
      <c r="O1147">
        <v>3</v>
      </c>
      <c r="P1147" t="s">
        <v>25</v>
      </c>
      <c r="Q1147" s="1">
        <v>2</v>
      </c>
      <c r="R1147" s="2">
        <v>46174</v>
      </c>
      <c r="S1147" s="2"/>
      <c r="T1147" s="1" t="str">
        <f t="shared" si="51"/>
        <v>qui</v>
      </c>
      <c r="U1147" s="1" t="str">
        <f t="shared" si="52"/>
        <v>ago</v>
      </c>
      <c r="V1147">
        <f t="shared" si="53"/>
        <v>2021</v>
      </c>
      <c r="W1147">
        <f>_xlfn.XLOOKUP(A1147,Absenteismo!A:A,Absenteismo!A:A,0)</f>
        <v>0</v>
      </c>
    </row>
    <row r="1148" spans="1:23" x14ac:dyDescent="0.3">
      <c r="A1148">
        <v>1177</v>
      </c>
      <c r="B1148">
        <v>56</v>
      </c>
      <c r="C1148" t="s">
        <v>15</v>
      </c>
      <c r="D1148" t="s">
        <v>29</v>
      </c>
      <c r="E1148" t="s">
        <v>17</v>
      </c>
      <c r="F1148" t="s">
        <v>21</v>
      </c>
      <c r="G1148">
        <v>91</v>
      </c>
      <c r="H1148">
        <v>5763</v>
      </c>
      <c r="I1148" t="s">
        <v>30</v>
      </c>
      <c r="J1148" s="2">
        <v>43335</v>
      </c>
      <c r="K1148">
        <v>41</v>
      </c>
      <c r="L1148" t="s">
        <v>20</v>
      </c>
      <c r="M1148">
        <v>3</v>
      </c>
      <c r="N1148">
        <v>8</v>
      </c>
      <c r="O1148">
        <v>3</v>
      </c>
      <c r="P1148" t="s">
        <v>25</v>
      </c>
      <c r="Q1148" s="1">
        <v>3</v>
      </c>
      <c r="R1148" s="2">
        <v>46174</v>
      </c>
      <c r="S1148" s="2"/>
      <c r="T1148" s="1" t="str">
        <f t="shared" si="51"/>
        <v>qui</v>
      </c>
      <c r="U1148" s="1" t="str">
        <f t="shared" si="52"/>
        <v>ago</v>
      </c>
      <c r="V1148">
        <f t="shared" si="53"/>
        <v>2018</v>
      </c>
      <c r="W1148">
        <f>_xlfn.XLOOKUP(A1148,Absenteismo!A:A,Absenteismo!A:A,0)</f>
        <v>0</v>
      </c>
    </row>
    <row r="1149" spans="1:23" hidden="1" x14ac:dyDescent="0.3">
      <c r="A1149">
        <v>1399</v>
      </c>
      <c r="B1149">
        <v>56</v>
      </c>
      <c r="C1149" t="s">
        <v>26</v>
      </c>
      <c r="D1149" t="s">
        <v>29</v>
      </c>
      <c r="E1149" t="s">
        <v>17</v>
      </c>
      <c r="F1149" t="s">
        <v>21</v>
      </c>
      <c r="G1149">
        <v>56</v>
      </c>
      <c r="H1149">
        <v>3612</v>
      </c>
      <c r="I1149" t="s">
        <v>30</v>
      </c>
      <c r="J1149" s="2">
        <v>44186</v>
      </c>
      <c r="K1149">
        <v>55</v>
      </c>
      <c r="L1149" t="s">
        <v>20</v>
      </c>
      <c r="M1149">
        <v>35</v>
      </c>
      <c r="N1149">
        <v>11</v>
      </c>
      <c r="O1149">
        <v>3</v>
      </c>
      <c r="P1149" t="s">
        <v>25</v>
      </c>
      <c r="Q1149" s="1">
        <v>1</v>
      </c>
      <c r="R1149" s="2">
        <v>46174</v>
      </c>
      <c r="S1149" s="2"/>
      <c r="T1149" s="1" t="str">
        <f t="shared" si="51"/>
        <v>seg</v>
      </c>
      <c r="U1149" s="1" t="str">
        <f t="shared" si="52"/>
        <v>dez</v>
      </c>
      <c r="V1149">
        <f t="shared" si="53"/>
        <v>2020</v>
      </c>
      <c r="W1149">
        <f>_xlfn.XLOOKUP(A1149,Absenteismo!A:A,Absenteismo!A:A,0)</f>
        <v>1399</v>
      </c>
    </row>
    <row r="1150" spans="1:23" hidden="1" x14ac:dyDescent="0.3">
      <c r="A1150">
        <v>1477</v>
      </c>
      <c r="B1150">
        <v>56</v>
      </c>
      <c r="C1150" t="s">
        <v>15</v>
      </c>
      <c r="D1150" t="s">
        <v>29</v>
      </c>
      <c r="E1150" t="s">
        <v>17</v>
      </c>
      <c r="F1150" t="s">
        <v>21</v>
      </c>
      <c r="G1150">
        <v>91</v>
      </c>
      <c r="H1150">
        <v>5763</v>
      </c>
      <c r="I1150" t="s">
        <v>30</v>
      </c>
      <c r="J1150" s="2">
        <v>43171</v>
      </c>
      <c r="K1150">
        <v>59</v>
      </c>
      <c r="L1150" t="s">
        <v>20</v>
      </c>
      <c r="M1150">
        <v>3</v>
      </c>
      <c r="N1150">
        <v>8</v>
      </c>
      <c r="O1150">
        <v>3</v>
      </c>
      <c r="P1150" t="s">
        <v>25</v>
      </c>
      <c r="Q1150" s="1">
        <v>3</v>
      </c>
      <c r="R1150" s="2">
        <v>46174</v>
      </c>
      <c r="S1150" s="2"/>
      <c r="T1150" s="1" t="str">
        <f t="shared" si="51"/>
        <v>seg</v>
      </c>
      <c r="U1150" s="1" t="str">
        <f t="shared" si="52"/>
        <v>mar</v>
      </c>
      <c r="V1150">
        <f t="shared" si="53"/>
        <v>2018</v>
      </c>
      <c r="W1150">
        <f>_xlfn.XLOOKUP(A1150,Absenteismo!A:A,Absenteismo!A:A,0)</f>
        <v>1477</v>
      </c>
    </row>
    <row r="1151" spans="1:23" hidden="1" x14ac:dyDescent="0.3">
      <c r="A1151">
        <v>1699</v>
      </c>
      <c r="B1151">
        <v>56</v>
      </c>
      <c r="C1151" t="s">
        <v>26</v>
      </c>
      <c r="D1151" t="s">
        <v>29</v>
      </c>
      <c r="E1151" t="s">
        <v>17</v>
      </c>
      <c r="F1151" t="s">
        <v>21</v>
      </c>
      <c r="G1151">
        <v>56</v>
      </c>
      <c r="H1151">
        <v>3612</v>
      </c>
      <c r="I1151" t="s">
        <v>30</v>
      </c>
      <c r="J1151" s="2">
        <v>44401</v>
      </c>
      <c r="K1151">
        <v>55</v>
      </c>
      <c r="L1151" t="s">
        <v>20</v>
      </c>
      <c r="M1151">
        <v>35</v>
      </c>
      <c r="N1151">
        <v>11</v>
      </c>
      <c r="O1151">
        <v>3</v>
      </c>
      <c r="P1151" t="s">
        <v>25</v>
      </c>
      <c r="Q1151" s="1">
        <v>3</v>
      </c>
      <c r="R1151" s="2">
        <v>46174</v>
      </c>
      <c r="S1151" s="2"/>
      <c r="T1151" s="1" t="str">
        <f t="shared" si="51"/>
        <v>sáb</v>
      </c>
      <c r="U1151" s="1" t="str">
        <f t="shared" si="52"/>
        <v>jul</v>
      </c>
      <c r="V1151">
        <f t="shared" si="53"/>
        <v>2021</v>
      </c>
      <c r="W1151">
        <f>_xlfn.XLOOKUP(A1151,Absenteismo!A:A,Absenteismo!A:A,0)</f>
        <v>1699</v>
      </c>
    </row>
    <row r="1152" spans="1:23" hidden="1" x14ac:dyDescent="0.3">
      <c r="A1152">
        <v>1777</v>
      </c>
      <c r="B1152">
        <v>56</v>
      </c>
      <c r="C1152" t="s">
        <v>15</v>
      </c>
      <c r="D1152" t="s">
        <v>29</v>
      </c>
      <c r="E1152" t="s">
        <v>17</v>
      </c>
      <c r="F1152" t="s">
        <v>21</v>
      </c>
      <c r="G1152">
        <v>91</v>
      </c>
      <c r="H1152">
        <v>5763</v>
      </c>
      <c r="I1152" t="s">
        <v>30</v>
      </c>
      <c r="J1152" s="2">
        <v>43093</v>
      </c>
      <c r="K1152">
        <v>59</v>
      </c>
      <c r="L1152" t="s">
        <v>20</v>
      </c>
      <c r="M1152">
        <v>3</v>
      </c>
      <c r="N1152">
        <v>8</v>
      </c>
      <c r="O1152">
        <v>3</v>
      </c>
      <c r="P1152" t="s">
        <v>25</v>
      </c>
      <c r="Q1152" s="1">
        <v>2</v>
      </c>
      <c r="R1152" s="2">
        <v>46174</v>
      </c>
      <c r="S1152" s="2"/>
      <c r="T1152" s="1" t="str">
        <f t="shared" si="51"/>
        <v>dom</v>
      </c>
      <c r="U1152" s="1" t="str">
        <f t="shared" si="52"/>
        <v>dez</v>
      </c>
      <c r="V1152">
        <f t="shared" si="53"/>
        <v>2017</v>
      </c>
      <c r="W1152">
        <f>_xlfn.XLOOKUP(A1152,Absenteismo!A:A,Absenteismo!A:A,0)</f>
        <v>1777</v>
      </c>
    </row>
    <row r="1153" spans="1:23" hidden="1" x14ac:dyDescent="0.3">
      <c r="A1153">
        <v>1999</v>
      </c>
      <c r="B1153">
        <v>56</v>
      </c>
      <c r="C1153" t="s">
        <v>26</v>
      </c>
      <c r="D1153" t="s">
        <v>29</v>
      </c>
      <c r="E1153" t="s">
        <v>17</v>
      </c>
      <c r="F1153" t="s">
        <v>21</v>
      </c>
      <c r="G1153">
        <v>56</v>
      </c>
      <c r="H1153">
        <v>3612</v>
      </c>
      <c r="I1153" t="s">
        <v>30</v>
      </c>
      <c r="J1153" s="2">
        <v>44238</v>
      </c>
      <c r="K1153">
        <v>55</v>
      </c>
      <c r="L1153" t="s">
        <v>20</v>
      </c>
      <c r="M1153">
        <v>35</v>
      </c>
      <c r="N1153">
        <v>11</v>
      </c>
      <c r="O1153">
        <v>3</v>
      </c>
      <c r="P1153" t="s">
        <v>25</v>
      </c>
      <c r="Q1153" s="1">
        <v>1</v>
      </c>
      <c r="R1153" s="2">
        <v>46174</v>
      </c>
      <c r="S1153" s="2"/>
      <c r="T1153" s="1" t="str">
        <f t="shared" si="51"/>
        <v>qui</v>
      </c>
      <c r="U1153" s="1" t="str">
        <f t="shared" si="52"/>
        <v>fev</v>
      </c>
      <c r="V1153">
        <f t="shared" si="53"/>
        <v>2021</v>
      </c>
      <c r="W1153">
        <f>_xlfn.XLOOKUP(A1153,Absenteismo!A:A,Absenteismo!A:A,0)</f>
        <v>1999</v>
      </c>
    </row>
    <row r="1154" spans="1:23" hidden="1" x14ac:dyDescent="0.3">
      <c r="A1154">
        <v>2077</v>
      </c>
      <c r="B1154">
        <v>56</v>
      </c>
      <c r="C1154" t="s">
        <v>15</v>
      </c>
      <c r="D1154" t="s">
        <v>29</v>
      </c>
      <c r="E1154" t="s">
        <v>17</v>
      </c>
      <c r="F1154" t="s">
        <v>21</v>
      </c>
      <c r="G1154">
        <v>91</v>
      </c>
      <c r="H1154">
        <v>5763</v>
      </c>
      <c r="I1154" t="s">
        <v>30</v>
      </c>
      <c r="J1154" s="2">
        <v>43322</v>
      </c>
      <c r="K1154">
        <v>43</v>
      </c>
      <c r="L1154" t="s">
        <v>20</v>
      </c>
      <c r="M1154">
        <v>3</v>
      </c>
      <c r="N1154">
        <v>8</v>
      </c>
      <c r="O1154">
        <v>3</v>
      </c>
      <c r="P1154" t="s">
        <v>25</v>
      </c>
      <c r="Q1154" s="1">
        <v>1</v>
      </c>
      <c r="R1154" s="2">
        <v>46174</v>
      </c>
      <c r="S1154" s="2"/>
      <c r="T1154" s="1" t="str">
        <f t="shared" ref="T1154:T1201" si="54">TEXT($J1154,"ddd")</f>
        <v>sex</v>
      </c>
      <c r="U1154" s="1" t="str">
        <f t="shared" ref="U1154:U1201" si="55">TEXT($J1154,"mmm")</f>
        <v>ago</v>
      </c>
      <c r="V1154">
        <f t="shared" ref="V1154:V1201" si="56">YEAR(J1154)</f>
        <v>2018</v>
      </c>
      <c r="W1154">
        <f>_xlfn.XLOOKUP(A1154,Absenteismo!A:A,Absenteismo!A:A,0)</f>
        <v>2077</v>
      </c>
    </row>
    <row r="1155" spans="1:23" hidden="1" x14ac:dyDescent="0.3">
      <c r="A1155">
        <v>1898</v>
      </c>
      <c r="B1155">
        <v>56</v>
      </c>
      <c r="C1155" t="s">
        <v>26</v>
      </c>
      <c r="D1155" t="s">
        <v>27</v>
      </c>
      <c r="E1155" t="s">
        <v>17</v>
      </c>
      <c r="F1155" t="s">
        <v>21</v>
      </c>
      <c r="G1155">
        <v>83</v>
      </c>
      <c r="H1155">
        <v>5055</v>
      </c>
      <c r="I1155" t="s">
        <v>33</v>
      </c>
      <c r="J1155" s="2">
        <v>43543</v>
      </c>
      <c r="K1155">
        <v>58</v>
      </c>
      <c r="L1155" t="s">
        <v>20</v>
      </c>
      <c r="M1155">
        <v>22</v>
      </c>
      <c r="N1155">
        <v>7</v>
      </c>
      <c r="O1155">
        <v>4</v>
      </c>
      <c r="P1155" t="s">
        <v>25</v>
      </c>
      <c r="Q1155" s="1">
        <v>2</v>
      </c>
      <c r="R1155" s="2">
        <v>46174</v>
      </c>
      <c r="S1155" s="2"/>
      <c r="T1155" s="1" t="str">
        <f t="shared" si="54"/>
        <v>ter</v>
      </c>
      <c r="U1155" s="1" t="str">
        <f t="shared" si="55"/>
        <v>mar</v>
      </c>
      <c r="V1155">
        <f t="shared" si="56"/>
        <v>2019</v>
      </c>
      <c r="W1155">
        <f>_xlfn.XLOOKUP(A1155,Absenteismo!A:A,Absenteismo!A:A,0)</f>
        <v>1898</v>
      </c>
    </row>
    <row r="1156" spans="1:23" x14ac:dyDescent="0.3">
      <c r="A1156">
        <v>1952</v>
      </c>
      <c r="B1156">
        <v>56</v>
      </c>
      <c r="C1156" t="s">
        <v>15</v>
      </c>
      <c r="D1156" t="s">
        <v>22</v>
      </c>
      <c r="E1156" t="s">
        <v>17</v>
      </c>
      <c r="F1156" t="s">
        <v>21</v>
      </c>
      <c r="G1156">
        <v>101</v>
      </c>
      <c r="H1156">
        <v>3136</v>
      </c>
      <c r="I1156" t="s">
        <v>24</v>
      </c>
      <c r="J1156" s="2">
        <v>43051</v>
      </c>
      <c r="K1156">
        <v>35</v>
      </c>
      <c r="L1156" t="s">
        <v>20</v>
      </c>
      <c r="M1156">
        <v>23</v>
      </c>
      <c r="N1156">
        <v>1</v>
      </c>
      <c r="O1156">
        <v>4</v>
      </c>
      <c r="P1156" t="s">
        <v>25</v>
      </c>
      <c r="Q1156" s="1">
        <v>2</v>
      </c>
      <c r="R1156" s="2">
        <v>46174</v>
      </c>
      <c r="S1156" s="2"/>
      <c r="T1156" s="1" t="str">
        <f t="shared" si="54"/>
        <v>dom</v>
      </c>
      <c r="U1156" s="1" t="str">
        <f t="shared" si="55"/>
        <v>nov</v>
      </c>
      <c r="V1156">
        <f t="shared" si="56"/>
        <v>2017</v>
      </c>
      <c r="W1156">
        <f>_xlfn.XLOOKUP(A1156,Absenteismo!A:A,Absenteismo!A:A,0)</f>
        <v>0</v>
      </c>
    </row>
    <row r="1157" spans="1:23" x14ac:dyDescent="0.3">
      <c r="A1157">
        <v>2020</v>
      </c>
      <c r="B1157">
        <v>56</v>
      </c>
      <c r="C1157" t="s">
        <v>15</v>
      </c>
      <c r="D1157" t="s">
        <v>16</v>
      </c>
      <c r="E1157" t="s">
        <v>17</v>
      </c>
      <c r="F1157" t="s">
        <v>21</v>
      </c>
      <c r="G1157">
        <v>85</v>
      </c>
      <c r="H1157">
        <v>3958</v>
      </c>
      <c r="I1157" t="s">
        <v>24</v>
      </c>
      <c r="J1157" s="2">
        <v>43579</v>
      </c>
      <c r="K1157">
        <v>20</v>
      </c>
      <c r="L1157" t="s">
        <v>25</v>
      </c>
      <c r="M1157">
        <v>25</v>
      </c>
      <c r="N1157">
        <v>2</v>
      </c>
      <c r="O1157">
        <v>2</v>
      </c>
      <c r="P1157" t="s">
        <v>25</v>
      </c>
      <c r="Q1157" s="1">
        <v>1</v>
      </c>
      <c r="R1157" s="2">
        <v>46174</v>
      </c>
      <c r="S1157" s="2"/>
      <c r="T1157" s="1" t="str">
        <f t="shared" si="54"/>
        <v>qua</v>
      </c>
      <c r="U1157" s="1" t="str">
        <f t="shared" si="55"/>
        <v>abr</v>
      </c>
      <c r="V1157">
        <f t="shared" si="56"/>
        <v>2019</v>
      </c>
      <c r="W1157">
        <f>_xlfn.XLOOKUP(A1157,Absenteismo!A:A,Absenteismo!A:A,0)</f>
        <v>0</v>
      </c>
    </row>
    <row r="1158" spans="1:23" hidden="1" x14ac:dyDescent="0.3">
      <c r="A1158">
        <v>2090</v>
      </c>
      <c r="B1158">
        <v>56</v>
      </c>
      <c r="C1158" t="s">
        <v>15</v>
      </c>
      <c r="D1158" t="s">
        <v>22</v>
      </c>
      <c r="E1158" t="s">
        <v>17</v>
      </c>
      <c r="F1158" t="s">
        <v>23</v>
      </c>
      <c r="G1158">
        <v>103</v>
      </c>
      <c r="H1158">
        <v>7378</v>
      </c>
      <c r="I1158" t="s">
        <v>19</v>
      </c>
      <c r="J1158" s="2">
        <v>43002</v>
      </c>
      <c r="K1158">
        <v>31</v>
      </c>
      <c r="L1158" t="s">
        <v>20</v>
      </c>
      <c r="M1158">
        <v>21</v>
      </c>
      <c r="N1158">
        <v>4</v>
      </c>
      <c r="O1158">
        <v>2</v>
      </c>
      <c r="P1158" t="s">
        <v>25</v>
      </c>
      <c r="Q1158" s="1">
        <v>2</v>
      </c>
      <c r="R1158" s="2">
        <v>46174</v>
      </c>
      <c r="S1158" s="2"/>
      <c r="T1158" s="1" t="str">
        <f t="shared" si="54"/>
        <v>dom</v>
      </c>
      <c r="U1158" s="1" t="str">
        <f t="shared" si="55"/>
        <v>set</v>
      </c>
      <c r="V1158">
        <f t="shared" si="56"/>
        <v>2017</v>
      </c>
      <c r="W1158">
        <f>_xlfn.XLOOKUP(A1158,Absenteismo!A:A,Absenteismo!A:A,0)</f>
        <v>2090</v>
      </c>
    </row>
    <row r="1159" spans="1:23" hidden="1" x14ac:dyDescent="0.3">
      <c r="A1159">
        <v>2116</v>
      </c>
      <c r="B1159">
        <v>56</v>
      </c>
      <c r="C1159" t="s">
        <v>26</v>
      </c>
      <c r="D1159" t="s">
        <v>29</v>
      </c>
      <c r="E1159" t="s">
        <v>17</v>
      </c>
      <c r="F1159" t="s">
        <v>21</v>
      </c>
      <c r="G1159">
        <v>65</v>
      </c>
      <c r="H1159">
        <v>6226</v>
      </c>
      <c r="I1159" t="s">
        <v>28</v>
      </c>
      <c r="J1159" s="2">
        <v>43831</v>
      </c>
      <c r="K1159">
        <v>3</v>
      </c>
      <c r="L1159" t="s">
        <v>20</v>
      </c>
      <c r="M1159">
        <v>23</v>
      </c>
      <c r="N1159">
        <v>11</v>
      </c>
      <c r="O1159">
        <v>2</v>
      </c>
      <c r="P1159" t="s">
        <v>25</v>
      </c>
      <c r="Q1159" s="1">
        <v>3</v>
      </c>
      <c r="R1159" s="2">
        <v>46174</v>
      </c>
      <c r="S1159" s="2"/>
      <c r="T1159" s="1" t="str">
        <f t="shared" si="54"/>
        <v>qua</v>
      </c>
      <c r="U1159" s="1" t="str">
        <f t="shared" si="55"/>
        <v>jan</v>
      </c>
      <c r="V1159">
        <f t="shared" si="56"/>
        <v>2020</v>
      </c>
      <c r="W1159">
        <f>_xlfn.XLOOKUP(A1159,Absenteismo!A:A,Absenteismo!A:A,0)</f>
        <v>2116</v>
      </c>
    </row>
    <row r="1160" spans="1:23" x14ac:dyDescent="0.3">
      <c r="A1160">
        <v>1390</v>
      </c>
      <c r="B1160">
        <v>57</v>
      </c>
      <c r="C1160" t="s">
        <v>26</v>
      </c>
      <c r="D1160" t="s">
        <v>31</v>
      </c>
      <c r="E1160" t="s">
        <v>32</v>
      </c>
      <c r="F1160" t="s">
        <v>21</v>
      </c>
      <c r="G1160">
        <v>9</v>
      </c>
      <c r="H1160">
        <v>6603</v>
      </c>
      <c r="I1160" t="s">
        <v>24</v>
      </c>
      <c r="J1160" s="2">
        <v>45557</v>
      </c>
      <c r="K1160">
        <v>52</v>
      </c>
      <c r="L1160" t="s">
        <v>20</v>
      </c>
      <c r="M1160">
        <v>8</v>
      </c>
      <c r="N1160">
        <v>0</v>
      </c>
      <c r="O1160">
        <v>2</v>
      </c>
      <c r="P1160" t="s">
        <v>20</v>
      </c>
      <c r="Q1160" s="1">
        <v>1</v>
      </c>
      <c r="R1160" s="2">
        <v>46174</v>
      </c>
      <c r="S1160" s="2">
        <v>45830</v>
      </c>
      <c r="T1160" s="1" t="str">
        <f t="shared" si="54"/>
        <v>dom</v>
      </c>
      <c r="U1160" s="1" t="str">
        <f t="shared" si="55"/>
        <v>set</v>
      </c>
      <c r="V1160">
        <f t="shared" si="56"/>
        <v>2024</v>
      </c>
      <c r="W1160">
        <f>_xlfn.XLOOKUP(A1160,Absenteismo!A:A,Absenteismo!A:A,0)</f>
        <v>0</v>
      </c>
    </row>
    <row r="1161" spans="1:23" hidden="1" x14ac:dyDescent="0.3">
      <c r="A1161">
        <v>1876</v>
      </c>
      <c r="B1161">
        <v>57</v>
      </c>
      <c r="C1161" t="s">
        <v>15</v>
      </c>
      <c r="D1161" t="s">
        <v>27</v>
      </c>
      <c r="E1161" t="s">
        <v>17</v>
      </c>
      <c r="F1161" t="s">
        <v>23</v>
      </c>
      <c r="G1161">
        <v>120</v>
      </c>
      <c r="H1161">
        <v>6864</v>
      </c>
      <c r="I1161" t="s">
        <v>19</v>
      </c>
      <c r="J1161" s="2">
        <v>42245</v>
      </c>
      <c r="K1161">
        <v>22</v>
      </c>
      <c r="L1161" t="s">
        <v>20</v>
      </c>
      <c r="M1161">
        <v>15</v>
      </c>
      <c r="N1161">
        <v>5</v>
      </c>
      <c r="O1161">
        <v>4</v>
      </c>
      <c r="P1161" t="s">
        <v>20</v>
      </c>
      <c r="Q1161" s="1">
        <v>2</v>
      </c>
      <c r="R1161" s="2">
        <v>46174</v>
      </c>
      <c r="S1161" s="2">
        <v>45898</v>
      </c>
      <c r="T1161" s="1" t="str">
        <f t="shared" si="54"/>
        <v>sáb</v>
      </c>
      <c r="U1161" s="1" t="str">
        <f t="shared" si="55"/>
        <v>ago</v>
      </c>
      <c r="V1161">
        <f t="shared" si="56"/>
        <v>2015</v>
      </c>
      <c r="W1161">
        <f>_xlfn.XLOOKUP(A1161,Absenteismo!A:A,Absenteismo!A:A,0)</f>
        <v>1876</v>
      </c>
    </row>
    <row r="1162" spans="1:23" hidden="1" x14ac:dyDescent="0.3">
      <c r="A1162">
        <v>1305</v>
      </c>
      <c r="B1162">
        <v>57</v>
      </c>
      <c r="C1162" t="s">
        <v>26</v>
      </c>
      <c r="D1162" t="s">
        <v>29</v>
      </c>
      <c r="E1162" t="s">
        <v>17</v>
      </c>
      <c r="F1162" t="s">
        <v>21</v>
      </c>
      <c r="G1162">
        <v>9</v>
      </c>
      <c r="H1162">
        <v>3175</v>
      </c>
      <c r="I1162" t="s">
        <v>19</v>
      </c>
      <c r="J1162" s="2">
        <v>45679</v>
      </c>
      <c r="K1162">
        <v>53</v>
      </c>
      <c r="L1162" t="s">
        <v>20</v>
      </c>
      <c r="M1162">
        <v>5</v>
      </c>
      <c r="N1162">
        <v>3</v>
      </c>
      <c r="O1162">
        <v>2</v>
      </c>
      <c r="P1162" t="s">
        <v>20</v>
      </c>
      <c r="Q1162" s="1">
        <v>3</v>
      </c>
      <c r="R1162" s="2">
        <v>46174</v>
      </c>
      <c r="S1162" s="2">
        <v>45952</v>
      </c>
      <c r="T1162" s="1" t="str">
        <f t="shared" si="54"/>
        <v>qua</v>
      </c>
      <c r="U1162" s="1" t="str">
        <f t="shared" si="55"/>
        <v>jan</v>
      </c>
      <c r="V1162">
        <f t="shared" si="56"/>
        <v>2025</v>
      </c>
      <c r="W1162">
        <f>_xlfn.XLOOKUP(A1162,Absenteismo!A:A,Absenteismo!A:A,0)</f>
        <v>1305</v>
      </c>
    </row>
    <row r="1163" spans="1:23" x14ac:dyDescent="0.3">
      <c r="A1163">
        <v>1690</v>
      </c>
      <c r="B1163">
        <v>57</v>
      </c>
      <c r="C1163" t="s">
        <v>26</v>
      </c>
      <c r="D1163" t="s">
        <v>31</v>
      </c>
      <c r="E1163" t="s">
        <v>32</v>
      </c>
      <c r="F1163" t="s">
        <v>21</v>
      </c>
      <c r="G1163">
        <v>9</v>
      </c>
      <c r="H1163">
        <v>6603</v>
      </c>
      <c r="I1163" t="s">
        <v>24</v>
      </c>
      <c r="J1163" s="2">
        <v>45694</v>
      </c>
      <c r="K1163">
        <v>52</v>
      </c>
      <c r="L1163" t="s">
        <v>20</v>
      </c>
      <c r="M1163">
        <v>8</v>
      </c>
      <c r="N1163">
        <v>0</v>
      </c>
      <c r="O1163">
        <v>2</v>
      </c>
      <c r="P1163" t="s">
        <v>20</v>
      </c>
      <c r="Q1163" s="1">
        <v>2</v>
      </c>
      <c r="R1163" s="2">
        <v>46174</v>
      </c>
      <c r="S1163" s="2">
        <v>45967</v>
      </c>
      <c r="T1163" s="1" t="str">
        <f t="shared" si="54"/>
        <v>qui</v>
      </c>
      <c r="U1163" s="1" t="str">
        <f t="shared" si="55"/>
        <v>fev</v>
      </c>
      <c r="V1163">
        <f t="shared" si="56"/>
        <v>2025</v>
      </c>
      <c r="W1163">
        <f>_xlfn.XLOOKUP(A1163,Absenteismo!A:A,Absenteismo!A:A,0)</f>
        <v>0</v>
      </c>
    </row>
    <row r="1164" spans="1:23" x14ac:dyDescent="0.3">
      <c r="A1164">
        <v>1005</v>
      </c>
      <c r="B1164">
        <v>57</v>
      </c>
      <c r="C1164" t="s">
        <v>26</v>
      </c>
      <c r="D1164" t="s">
        <v>29</v>
      </c>
      <c r="E1164" t="s">
        <v>17</v>
      </c>
      <c r="F1164" t="s">
        <v>21</v>
      </c>
      <c r="G1164">
        <v>9</v>
      </c>
      <c r="H1164">
        <v>3175</v>
      </c>
      <c r="I1164" t="s">
        <v>19</v>
      </c>
      <c r="J1164" s="2">
        <v>45704</v>
      </c>
      <c r="K1164">
        <v>40</v>
      </c>
      <c r="L1164" t="s">
        <v>20</v>
      </c>
      <c r="M1164">
        <v>5</v>
      </c>
      <c r="N1164">
        <v>3</v>
      </c>
      <c r="O1164">
        <v>2</v>
      </c>
      <c r="P1164" t="s">
        <v>20</v>
      </c>
      <c r="Q1164" s="1">
        <v>2</v>
      </c>
      <c r="R1164" s="2">
        <v>46174</v>
      </c>
      <c r="S1164" s="2">
        <v>45977</v>
      </c>
      <c r="T1164" s="1" t="str">
        <f t="shared" si="54"/>
        <v>dom</v>
      </c>
      <c r="U1164" s="1" t="str">
        <f t="shared" si="55"/>
        <v>fev</v>
      </c>
      <c r="V1164">
        <f t="shared" si="56"/>
        <v>2025</v>
      </c>
      <c r="W1164">
        <f>_xlfn.XLOOKUP(A1164,Absenteismo!A:A,Absenteismo!A:A,0)</f>
        <v>0</v>
      </c>
    </row>
    <row r="1165" spans="1:23" hidden="1" x14ac:dyDescent="0.3">
      <c r="A1165">
        <v>1605</v>
      </c>
      <c r="B1165">
        <v>57</v>
      </c>
      <c r="C1165" t="s">
        <v>26</v>
      </c>
      <c r="D1165" t="s">
        <v>29</v>
      </c>
      <c r="E1165" t="s">
        <v>17</v>
      </c>
      <c r="F1165" t="s">
        <v>21</v>
      </c>
      <c r="G1165">
        <v>9</v>
      </c>
      <c r="H1165">
        <v>3175</v>
      </c>
      <c r="I1165" t="s">
        <v>19</v>
      </c>
      <c r="J1165" s="2">
        <v>45866</v>
      </c>
      <c r="K1165">
        <v>53</v>
      </c>
      <c r="L1165" t="s">
        <v>25</v>
      </c>
      <c r="M1165">
        <v>5</v>
      </c>
      <c r="N1165">
        <v>3</v>
      </c>
      <c r="O1165">
        <v>2</v>
      </c>
      <c r="P1165" t="s">
        <v>20</v>
      </c>
      <c r="Q1165" s="1">
        <v>3</v>
      </c>
      <c r="R1165" s="2">
        <v>46174</v>
      </c>
      <c r="S1165" s="2">
        <v>46140</v>
      </c>
      <c r="T1165" s="1" t="str">
        <f t="shared" si="54"/>
        <v>seg</v>
      </c>
      <c r="U1165" s="1" t="str">
        <f t="shared" si="55"/>
        <v>jul</v>
      </c>
      <c r="V1165">
        <f t="shared" si="56"/>
        <v>2025</v>
      </c>
      <c r="W1165">
        <f>_xlfn.XLOOKUP(A1165,Absenteismo!A:A,Absenteismo!A:A,0)</f>
        <v>1605</v>
      </c>
    </row>
    <row r="1166" spans="1:23" x14ac:dyDescent="0.3">
      <c r="A1166">
        <v>1040</v>
      </c>
      <c r="B1166">
        <v>57</v>
      </c>
      <c r="C1166" t="s">
        <v>15</v>
      </c>
      <c r="D1166" t="s">
        <v>29</v>
      </c>
      <c r="E1166" t="s">
        <v>17</v>
      </c>
      <c r="F1166" t="s">
        <v>21</v>
      </c>
      <c r="G1166">
        <v>74</v>
      </c>
      <c r="H1166">
        <v>4392</v>
      </c>
      <c r="I1166" t="s">
        <v>33</v>
      </c>
      <c r="J1166" s="2">
        <v>43728</v>
      </c>
      <c r="K1166">
        <v>32</v>
      </c>
      <c r="L1166" t="s">
        <v>20</v>
      </c>
      <c r="M1166">
        <v>9</v>
      </c>
      <c r="N1166">
        <v>10</v>
      </c>
      <c r="O1166">
        <v>2</v>
      </c>
      <c r="P1166" t="s">
        <v>25</v>
      </c>
      <c r="Q1166" s="1">
        <v>2</v>
      </c>
      <c r="R1166" s="2">
        <v>46174</v>
      </c>
      <c r="S1166" s="2"/>
      <c r="T1166" s="1" t="str">
        <f t="shared" si="54"/>
        <v>sex</v>
      </c>
      <c r="U1166" s="1" t="str">
        <f t="shared" si="55"/>
        <v>set</v>
      </c>
      <c r="V1166">
        <f t="shared" si="56"/>
        <v>2019</v>
      </c>
      <c r="W1166">
        <f>_xlfn.XLOOKUP(A1166,Absenteismo!A:A,Absenteismo!A:A,0)</f>
        <v>0</v>
      </c>
    </row>
    <row r="1167" spans="1:23" x14ac:dyDescent="0.3">
      <c r="A1167">
        <v>1090</v>
      </c>
      <c r="B1167">
        <v>57</v>
      </c>
      <c r="C1167" t="s">
        <v>26</v>
      </c>
      <c r="D1167" t="s">
        <v>31</v>
      </c>
      <c r="E1167" t="s">
        <v>32</v>
      </c>
      <c r="F1167" t="s">
        <v>21</v>
      </c>
      <c r="G1167">
        <v>9</v>
      </c>
      <c r="H1167">
        <v>6603</v>
      </c>
      <c r="I1167" t="s">
        <v>24</v>
      </c>
      <c r="J1167" s="2">
        <v>45842</v>
      </c>
      <c r="K1167">
        <v>42</v>
      </c>
      <c r="L1167" t="s">
        <v>20</v>
      </c>
      <c r="M1167">
        <v>8</v>
      </c>
      <c r="N1167">
        <v>0</v>
      </c>
      <c r="O1167">
        <v>2</v>
      </c>
      <c r="P1167" t="s">
        <v>25</v>
      </c>
      <c r="Q1167" s="1">
        <v>1</v>
      </c>
      <c r="R1167" s="2">
        <v>46174</v>
      </c>
      <c r="S1167" s="2"/>
      <c r="T1167" s="1" t="str">
        <f t="shared" si="54"/>
        <v>sex</v>
      </c>
      <c r="U1167" s="1" t="str">
        <f t="shared" si="55"/>
        <v>jul</v>
      </c>
      <c r="V1167">
        <f t="shared" si="56"/>
        <v>2025</v>
      </c>
      <c r="W1167">
        <f>_xlfn.XLOOKUP(A1167,Absenteismo!A:A,Absenteismo!A:A,0)</f>
        <v>0</v>
      </c>
    </row>
    <row r="1168" spans="1:23" hidden="1" x14ac:dyDescent="0.3">
      <c r="A1168">
        <v>1159</v>
      </c>
      <c r="B1168">
        <v>57</v>
      </c>
      <c r="C1168" t="s">
        <v>26</v>
      </c>
      <c r="D1168" t="s">
        <v>16</v>
      </c>
      <c r="E1168" t="s">
        <v>17</v>
      </c>
      <c r="F1168" t="s">
        <v>21</v>
      </c>
      <c r="G1168">
        <v>95</v>
      </c>
      <c r="H1168">
        <v>5251</v>
      </c>
      <c r="I1168" t="s">
        <v>28</v>
      </c>
      <c r="J1168" s="2">
        <v>43216</v>
      </c>
      <c r="K1168">
        <v>22</v>
      </c>
      <c r="L1168" t="s">
        <v>20</v>
      </c>
      <c r="M1168">
        <v>32</v>
      </c>
      <c r="N1168">
        <v>8</v>
      </c>
      <c r="O1168">
        <v>5</v>
      </c>
      <c r="P1168" t="s">
        <v>25</v>
      </c>
      <c r="Q1168" s="1">
        <v>3</v>
      </c>
      <c r="R1168" s="2">
        <v>46174</v>
      </c>
      <c r="S1168" s="2"/>
      <c r="T1168" s="1" t="str">
        <f t="shared" si="54"/>
        <v>qui</v>
      </c>
      <c r="U1168" s="1" t="str">
        <f t="shared" si="55"/>
        <v>abr</v>
      </c>
      <c r="V1168">
        <f t="shared" si="56"/>
        <v>2018</v>
      </c>
      <c r="W1168">
        <f>_xlfn.XLOOKUP(A1168,Absenteismo!A:A,Absenteismo!A:A,0)</f>
        <v>1159</v>
      </c>
    </row>
    <row r="1169" spans="1:23" hidden="1" x14ac:dyDescent="0.3">
      <c r="A1169">
        <v>1197</v>
      </c>
      <c r="B1169">
        <v>57</v>
      </c>
      <c r="C1169" t="s">
        <v>26</v>
      </c>
      <c r="D1169" t="s">
        <v>27</v>
      </c>
      <c r="E1169" t="s">
        <v>17</v>
      </c>
      <c r="F1169" t="s">
        <v>23</v>
      </c>
      <c r="G1169">
        <v>1</v>
      </c>
      <c r="H1169">
        <v>7159</v>
      </c>
      <c r="I1169" t="s">
        <v>28</v>
      </c>
      <c r="J1169" s="2">
        <v>45843</v>
      </c>
      <c r="K1169">
        <v>27</v>
      </c>
      <c r="L1169" t="s">
        <v>20</v>
      </c>
      <c r="M1169">
        <v>33</v>
      </c>
      <c r="N1169">
        <v>11</v>
      </c>
      <c r="O1169">
        <v>4</v>
      </c>
      <c r="P1169" t="s">
        <v>25</v>
      </c>
      <c r="Q1169" s="1">
        <v>2</v>
      </c>
      <c r="R1169" s="2">
        <v>46174</v>
      </c>
      <c r="S1169" s="2"/>
      <c r="T1169" s="1" t="str">
        <f t="shared" si="54"/>
        <v>sáb</v>
      </c>
      <c r="U1169" s="1" t="str">
        <f t="shared" si="55"/>
        <v>jul</v>
      </c>
      <c r="V1169">
        <f t="shared" si="56"/>
        <v>2025</v>
      </c>
      <c r="W1169">
        <f>_xlfn.XLOOKUP(A1169,Absenteismo!A:A,Absenteismo!A:A,0)</f>
        <v>1197</v>
      </c>
    </row>
    <row r="1170" spans="1:23" hidden="1" x14ac:dyDescent="0.3">
      <c r="A1170">
        <v>1340</v>
      </c>
      <c r="B1170">
        <v>57</v>
      </c>
      <c r="C1170" t="s">
        <v>15</v>
      </c>
      <c r="D1170" t="s">
        <v>29</v>
      </c>
      <c r="E1170" t="s">
        <v>17</v>
      </c>
      <c r="F1170" t="s">
        <v>21</v>
      </c>
      <c r="G1170">
        <v>74</v>
      </c>
      <c r="H1170">
        <v>4392</v>
      </c>
      <c r="I1170" t="s">
        <v>33</v>
      </c>
      <c r="J1170" s="2">
        <v>43505</v>
      </c>
      <c r="K1170">
        <v>32</v>
      </c>
      <c r="L1170" t="s">
        <v>20</v>
      </c>
      <c r="M1170">
        <v>9</v>
      </c>
      <c r="N1170">
        <v>10</v>
      </c>
      <c r="O1170">
        <v>2</v>
      </c>
      <c r="P1170" t="s">
        <v>25</v>
      </c>
      <c r="Q1170" s="1">
        <v>3</v>
      </c>
      <c r="R1170" s="2">
        <v>46174</v>
      </c>
      <c r="S1170" s="2"/>
      <c r="T1170" s="1" t="str">
        <f t="shared" si="54"/>
        <v>sáb</v>
      </c>
      <c r="U1170" s="1" t="str">
        <f t="shared" si="55"/>
        <v>fev</v>
      </c>
      <c r="V1170">
        <f t="shared" si="56"/>
        <v>2019</v>
      </c>
      <c r="W1170">
        <f>_xlfn.XLOOKUP(A1170,Absenteismo!A:A,Absenteismo!A:A,0)</f>
        <v>1340</v>
      </c>
    </row>
    <row r="1171" spans="1:23" hidden="1" x14ac:dyDescent="0.3">
      <c r="A1171">
        <v>1459</v>
      </c>
      <c r="B1171">
        <v>57</v>
      </c>
      <c r="C1171" t="s">
        <v>26</v>
      </c>
      <c r="D1171" t="s">
        <v>16</v>
      </c>
      <c r="E1171" t="s">
        <v>17</v>
      </c>
      <c r="F1171" t="s">
        <v>21</v>
      </c>
      <c r="G1171">
        <v>95</v>
      </c>
      <c r="H1171">
        <v>5251</v>
      </c>
      <c r="I1171" t="s">
        <v>28</v>
      </c>
      <c r="J1171" s="2">
        <v>43029</v>
      </c>
      <c r="K1171">
        <v>22</v>
      </c>
      <c r="L1171" t="s">
        <v>20</v>
      </c>
      <c r="M1171">
        <v>32</v>
      </c>
      <c r="N1171">
        <v>8</v>
      </c>
      <c r="O1171">
        <v>5</v>
      </c>
      <c r="P1171" t="s">
        <v>25</v>
      </c>
      <c r="Q1171" s="1">
        <v>1</v>
      </c>
      <c r="R1171" s="2">
        <v>46174</v>
      </c>
      <c r="S1171" s="2"/>
      <c r="T1171" s="1" t="str">
        <f t="shared" si="54"/>
        <v>sáb</v>
      </c>
      <c r="U1171" s="1" t="str">
        <f t="shared" si="55"/>
        <v>out</v>
      </c>
      <c r="V1171">
        <f t="shared" si="56"/>
        <v>2017</v>
      </c>
      <c r="W1171">
        <f>_xlfn.XLOOKUP(A1171,Absenteismo!A:A,Absenteismo!A:A,0)</f>
        <v>1459</v>
      </c>
    </row>
    <row r="1172" spans="1:23" hidden="1" x14ac:dyDescent="0.3">
      <c r="A1172">
        <v>1497</v>
      </c>
      <c r="B1172">
        <v>57</v>
      </c>
      <c r="C1172" t="s">
        <v>26</v>
      </c>
      <c r="D1172" t="s">
        <v>27</v>
      </c>
      <c r="E1172" t="s">
        <v>17</v>
      </c>
      <c r="F1172" t="s">
        <v>23</v>
      </c>
      <c r="G1172">
        <v>1</v>
      </c>
      <c r="H1172">
        <v>7159</v>
      </c>
      <c r="I1172" t="s">
        <v>28</v>
      </c>
      <c r="J1172" s="2">
        <v>46098</v>
      </c>
      <c r="K1172">
        <v>27</v>
      </c>
      <c r="L1172" t="s">
        <v>20</v>
      </c>
      <c r="M1172">
        <v>33</v>
      </c>
      <c r="N1172">
        <v>11</v>
      </c>
      <c r="O1172">
        <v>4</v>
      </c>
      <c r="P1172" t="s">
        <v>25</v>
      </c>
      <c r="Q1172" s="1">
        <v>3</v>
      </c>
      <c r="R1172" s="2">
        <v>46174</v>
      </c>
      <c r="S1172" s="2"/>
      <c r="T1172" s="1" t="str">
        <f t="shared" si="54"/>
        <v>ter</v>
      </c>
      <c r="U1172" s="1" t="str">
        <f t="shared" si="55"/>
        <v>mar</v>
      </c>
      <c r="V1172">
        <f t="shared" si="56"/>
        <v>2026</v>
      </c>
      <c r="W1172">
        <f>_xlfn.XLOOKUP(A1172,Absenteismo!A:A,Absenteismo!A:A,0)</f>
        <v>1497</v>
      </c>
    </row>
    <row r="1173" spans="1:23" hidden="1" x14ac:dyDescent="0.3">
      <c r="A1173">
        <v>1640</v>
      </c>
      <c r="B1173">
        <v>57</v>
      </c>
      <c r="C1173" t="s">
        <v>15</v>
      </c>
      <c r="D1173" t="s">
        <v>29</v>
      </c>
      <c r="E1173" t="s">
        <v>17</v>
      </c>
      <c r="F1173" t="s">
        <v>21</v>
      </c>
      <c r="G1173">
        <v>74</v>
      </c>
      <c r="H1173">
        <v>4392</v>
      </c>
      <c r="I1173" t="s">
        <v>33</v>
      </c>
      <c r="J1173" s="2">
        <v>43657</v>
      </c>
      <c r="K1173">
        <v>32</v>
      </c>
      <c r="L1173" t="s">
        <v>20</v>
      </c>
      <c r="M1173">
        <v>9</v>
      </c>
      <c r="N1173">
        <v>10</v>
      </c>
      <c r="O1173">
        <v>2</v>
      </c>
      <c r="P1173" t="s">
        <v>25</v>
      </c>
      <c r="Q1173" s="1">
        <v>2</v>
      </c>
      <c r="R1173" s="2">
        <v>46174</v>
      </c>
      <c r="S1173" s="2"/>
      <c r="T1173" s="1" t="str">
        <f t="shared" si="54"/>
        <v>qui</v>
      </c>
      <c r="U1173" s="1" t="str">
        <f t="shared" si="55"/>
        <v>jul</v>
      </c>
      <c r="V1173">
        <f t="shared" si="56"/>
        <v>2019</v>
      </c>
      <c r="W1173">
        <f>_xlfn.XLOOKUP(A1173,Absenteismo!A:A,Absenteismo!A:A,0)</f>
        <v>1640</v>
      </c>
    </row>
    <row r="1174" spans="1:23" hidden="1" x14ac:dyDescent="0.3">
      <c r="A1174">
        <v>1759</v>
      </c>
      <c r="B1174">
        <v>57</v>
      </c>
      <c r="C1174" t="s">
        <v>26</v>
      </c>
      <c r="D1174" t="s">
        <v>16</v>
      </c>
      <c r="E1174" t="s">
        <v>17</v>
      </c>
      <c r="F1174" t="s">
        <v>21</v>
      </c>
      <c r="G1174">
        <v>95</v>
      </c>
      <c r="H1174">
        <v>5251</v>
      </c>
      <c r="I1174" t="s">
        <v>28</v>
      </c>
      <c r="J1174" s="2">
        <v>43052</v>
      </c>
      <c r="K1174">
        <v>22</v>
      </c>
      <c r="L1174" t="s">
        <v>20</v>
      </c>
      <c r="M1174">
        <v>32</v>
      </c>
      <c r="N1174">
        <v>8</v>
      </c>
      <c r="O1174">
        <v>5</v>
      </c>
      <c r="P1174" t="s">
        <v>25</v>
      </c>
      <c r="Q1174" s="1">
        <v>3</v>
      </c>
      <c r="R1174" s="2">
        <v>46174</v>
      </c>
      <c r="S1174" s="2"/>
      <c r="T1174" s="1" t="str">
        <f t="shared" si="54"/>
        <v>seg</v>
      </c>
      <c r="U1174" s="1" t="str">
        <f t="shared" si="55"/>
        <v>nov</v>
      </c>
      <c r="V1174">
        <f t="shared" si="56"/>
        <v>2017</v>
      </c>
      <c r="W1174">
        <f>_xlfn.XLOOKUP(A1174,Absenteismo!A:A,Absenteismo!A:A,0)</f>
        <v>1759</v>
      </c>
    </row>
    <row r="1175" spans="1:23" hidden="1" x14ac:dyDescent="0.3">
      <c r="A1175">
        <v>1797</v>
      </c>
      <c r="B1175">
        <v>57</v>
      </c>
      <c r="C1175" t="s">
        <v>26</v>
      </c>
      <c r="D1175" t="s">
        <v>27</v>
      </c>
      <c r="E1175" t="s">
        <v>17</v>
      </c>
      <c r="F1175" t="s">
        <v>23</v>
      </c>
      <c r="G1175">
        <v>1</v>
      </c>
      <c r="H1175">
        <v>7159</v>
      </c>
      <c r="I1175" t="s">
        <v>28</v>
      </c>
      <c r="J1175" s="2">
        <v>46144</v>
      </c>
      <c r="K1175">
        <v>27</v>
      </c>
      <c r="L1175" t="s">
        <v>20</v>
      </c>
      <c r="M1175">
        <v>33</v>
      </c>
      <c r="N1175">
        <v>11</v>
      </c>
      <c r="O1175">
        <v>4</v>
      </c>
      <c r="P1175" t="s">
        <v>25</v>
      </c>
      <c r="Q1175" s="1">
        <v>1</v>
      </c>
      <c r="R1175" s="2">
        <v>46174</v>
      </c>
      <c r="S1175" s="2"/>
      <c r="T1175" s="1" t="str">
        <f t="shared" si="54"/>
        <v>sáb</v>
      </c>
      <c r="U1175" s="1" t="str">
        <f t="shared" si="55"/>
        <v>mai</v>
      </c>
      <c r="V1175">
        <f t="shared" si="56"/>
        <v>2026</v>
      </c>
      <c r="W1175">
        <f>_xlfn.XLOOKUP(A1175,Absenteismo!A:A,Absenteismo!A:A,0)</f>
        <v>1797</v>
      </c>
    </row>
    <row r="1176" spans="1:23" hidden="1" x14ac:dyDescent="0.3">
      <c r="A1176">
        <v>1940</v>
      </c>
      <c r="B1176">
        <v>57</v>
      </c>
      <c r="C1176" t="s">
        <v>15</v>
      </c>
      <c r="D1176" t="s">
        <v>29</v>
      </c>
      <c r="E1176" t="s">
        <v>17</v>
      </c>
      <c r="F1176" t="s">
        <v>21</v>
      </c>
      <c r="G1176">
        <v>74</v>
      </c>
      <c r="H1176">
        <v>4392</v>
      </c>
      <c r="I1176" t="s">
        <v>33</v>
      </c>
      <c r="J1176" s="2">
        <v>43598</v>
      </c>
      <c r="K1176">
        <v>32</v>
      </c>
      <c r="L1176" t="s">
        <v>20</v>
      </c>
      <c r="M1176">
        <v>9</v>
      </c>
      <c r="N1176">
        <v>10</v>
      </c>
      <c r="O1176">
        <v>2</v>
      </c>
      <c r="P1176" t="s">
        <v>25</v>
      </c>
      <c r="Q1176" s="1">
        <v>2</v>
      </c>
      <c r="R1176" s="2">
        <v>46174</v>
      </c>
      <c r="S1176" s="2"/>
      <c r="T1176" s="1" t="str">
        <f t="shared" si="54"/>
        <v>seg</v>
      </c>
      <c r="U1176" s="1" t="str">
        <f t="shared" si="55"/>
        <v>mai</v>
      </c>
      <c r="V1176">
        <f t="shared" si="56"/>
        <v>2019</v>
      </c>
      <c r="W1176">
        <f>_xlfn.XLOOKUP(A1176,Absenteismo!A:A,Absenteismo!A:A,0)</f>
        <v>1940</v>
      </c>
    </row>
    <row r="1177" spans="1:23" hidden="1" x14ac:dyDescent="0.3">
      <c r="A1177">
        <v>2059</v>
      </c>
      <c r="B1177">
        <v>57</v>
      </c>
      <c r="C1177" t="s">
        <v>26</v>
      </c>
      <c r="D1177" t="s">
        <v>16</v>
      </c>
      <c r="E1177" t="s">
        <v>17</v>
      </c>
      <c r="F1177" t="s">
        <v>21</v>
      </c>
      <c r="G1177">
        <v>95</v>
      </c>
      <c r="H1177">
        <v>5251</v>
      </c>
      <c r="I1177" t="s">
        <v>28</v>
      </c>
      <c r="J1177" s="2">
        <v>43275</v>
      </c>
      <c r="K1177">
        <v>22</v>
      </c>
      <c r="L1177" t="s">
        <v>20</v>
      </c>
      <c r="M1177">
        <v>32</v>
      </c>
      <c r="N1177">
        <v>8</v>
      </c>
      <c r="O1177">
        <v>5</v>
      </c>
      <c r="P1177" t="s">
        <v>25</v>
      </c>
      <c r="Q1177" s="1">
        <v>2</v>
      </c>
      <c r="R1177" s="2">
        <v>46174</v>
      </c>
      <c r="S1177" s="2"/>
      <c r="T1177" s="1" t="str">
        <f t="shared" si="54"/>
        <v>dom</v>
      </c>
      <c r="U1177" s="1" t="str">
        <f t="shared" si="55"/>
        <v>jun</v>
      </c>
      <c r="V1177">
        <f t="shared" si="56"/>
        <v>2018</v>
      </c>
      <c r="W1177">
        <f>_xlfn.XLOOKUP(A1177,Absenteismo!A:A,Absenteismo!A:A,0)</f>
        <v>2059</v>
      </c>
    </row>
    <row r="1178" spans="1:23" hidden="1" x14ac:dyDescent="0.3">
      <c r="A1178">
        <v>2097</v>
      </c>
      <c r="B1178">
        <v>57</v>
      </c>
      <c r="C1178" t="s">
        <v>26</v>
      </c>
      <c r="D1178" t="s">
        <v>27</v>
      </c>
      <c r="E1178" t="s">
        <v>17</v>
      </c>
      <c r="F1178" t="s">
        <v>23</v>
      </c>
      <c r="G1178">
        <v>1</v>
      </c>
      <c r="H1178">
        <v>7159</v>
      </c>
      <c r="I1178" t="s">
        <v>28</v>
      </c>
      <c r="J1178" s="2">
        <v>45992</v>
      </c>
      <c r="K1178">
        <v>27</v>
      </c>
      <c r="L1178" t="s">
        <v>20</v>
      </c>
      <c r="M1178">
        <v>33</v>
      </c>
      <c r="N1178">
        <v>11</v>
      </c>
      <c r="O1178">
        <v>4</v>
      </c>
      <c r="P1178" t="s">
        <v>25</v>
      </c>
      <c r="Q1178" s="1">
        <v>2</v>
      </c>
      <c r="R1178" s="2">
        <v>46174</v>
      </c>
      <c r="S1178" s="2"/>
      <c r="T1178" s="1" t="str">
        <f t="shared" si="54"/>
        <v>seg</v>
      </c>
      <c r="U1178" s="1" t="str">
        <f t="shared" si="55"/>
        <v>dez</v>
      </c>
      <c r="V1178">
        <f t="shared" si="56"/>
        <v>2025</v>
      </c>
      <c r="W1178">
        <f>_xlfn.XLOOKUP(A1178,Absenteismo!A:A,Absenteismo!A:A,0)</f>
        <v>2097</v>
      </c>
    </row>
    <row r="1179" spans="1:23" x14ac:dyDescent="0.3">
      <c r="A1179">
        <v>2176</v>
      </c>
      <c r="B1179">
        <v>57</v>
      </c>
      <c r="C1179" t="s">
        <v>15</v>
      </c>
      <c r="D1179" t="s">
        <v>27</v>
      </c>
      <c r="E1179" t="s">
        <v>17</v>
      </c>
      <c r="F1179" t="s">
        <v>23</v>
      </c>
      <c r="G1179">
        <v>120</v>
      </c>
      <c r="H1179">
        <v>6864</v>
      </c>
      <c r="I1179" t="s">
        <v>19</v>
      </c>
      <c r="J1179" s="2">
        <v>42374</v>
      </c>
      <c r="K1179">
        <v>22</v>
      </c>
      <c r="L1179" t="s">
        <v>20</v>
      </c>
      <c r="M1179">
        <v>15</v>
      </c>
      <c r="N1179">
        <v>5</v>
      </c>
      <c r="O1179">
        <v>4</v>
      </c>
      <c r="P1179" t="s">
        <v>25</v>
      </c>
      <c r="Q1179" s="1">
        <v>1</v>
      </c>
      <c r="R1179" s="2">
        <v>46174</v>
      </c>
      <c r="S1179" s="2"/>
      <c r="T1179" s="1" t="str">
        <f t="shared" si="54"/>
        <v>ter</v>
      </c>
      <c r="U1179" s="1" t="str">
        <f t="shared" si="55"/>
        <v>jan</v>
      </c>
      <c r="V1179">
        <f t="shared" si="56"/>
        <v>2016</v>
      </c>
      <c r="W1179">
        <f>_xlfn.XLOOKUP(A1179,Absenteismo!A:A,Absenteismo!A:A,0)</f>
        <v>0</v>
      </c>
    </row>
    <row r="1180" spans="1:23" hidden="1" x14ac:dyDescent="0.3">
      <c r="A1180">
        <v>1905</v>
      </c>
      <c r="B1180">
        <v>57</v>
      </c>
      <c r="C1180" t="s">
        <v>26</v>
      </c>
      <c r="D1180" t="s">
        <v>29</v>
      </c>
      <c r="E1180" t="s">
        <v>17</v>
      </c>
      <c r="F1180" t="s">
        <v>21</v>
      </c>
      <c r="G1180">
        <v>9</v>
      </c>
      <c r="H1180">
        <v>3175</v>
      </c>
      <c r="I1180" t="s">
        <v>19</v>
      </c>
      <c r="J1180" s="2">
        <v>45508</v>
      </c>
      <c r="K1180">
        <v>40</v>
      </c>
      <c r="L1180" t="s">
        <v>20</v>
      </c>
      <c r="M1180">
        <v>5</v>
      </c>
      <c r="N1180">
        <v>3</v>
      </c>
      <c r="O1180">
        <v>2</v>
      </c>
      <c r="P1180" t="s">
        <v>25</v>
      </c>
      <c r="Q1180" s="1">
        <v>3</v>
      </c>
      <c r="R1180" s="2">
        <v>46174</v>
      </c>
      <c r="S1180" s="2"/>
      <c r="T1180" s="1" t="str">
        <f t="shared" si="54"/>
        <v>dom</v>
      </c>
      <c r="U1180" s="1" t="str">
        <f t="shared" si="55"/>
        <v>ago</v>
      </c>
      <c r="V1180">
        <f t="shared" si="56"/>
        <v>2024</v>
      </c>
      <c r="W1180">
        <f>_xlfn.XLOOKUP(A1180,Absenteismo!A:A,Absenteismo!A:A,0)</f>
        <v>1905</v>
      </c>
    </row>
    <row r="1181" spans="1:23" x14ac:dyDescent="0.3">
      <c r="A1181">
        <v>1990</v>
      </c>
      <c r="B1181">
        <v>57</v>
      </c>
      <c r="C1181" t="s">
        <v>26</v>
      </c>
      <c r="D1181" t="s">
        <v>31</v>
      </c>
      <c r="E1181" t="s">
        <v>32</v>
      </c>
      <c r="F1181" t="s">
        <v>21</v>
      </c>
      <c r="G1181">
        <v>9</v>
      </c>
      <c r="H1181">
        <v>6603</v>
      </c>
      <c r="I1181" t="s">
        <v>24</v>
      </c>
      <c r="J1181" s="2">
        <v>45618</v>
      </c>
      <c r="K1181">
        <v>42</v>
      </c>
      <c r="L1181" t="s">
        <v>20</v>
      </c>
      <c r="M1181">
        <v>8</v>
      </c>
      <c r="N1181">
        <v>0</v>
      </c>
      <c r="O1181">
        <v>2</v>
      </c>
      <c r="P1181" t="s">
        <v>25</v>
      </c>
      <c r="Q1181" s="1">
        <v>3</v>
      </c>
      <c r="R1181" s="2">
        <v>46174</v>
      </c>
      <c r="S1181" s="2"/>
      <c r="T1181" s="1" t="str">
        <f t="shared" si="54"/>
        <v>sex</v>
      </c>
      <c r="U1181" s="1" t="str">
        <f t="shared" si="55"/>
        <v>nov</v>
      </c>
      <c r="V1181">
        <f t="shared" si="56"/>
        <v>2024</v>
      </c>
      <c r="W1181">
        <f>_xlfn.XLOOKUP(A1181,Absenteismo!A:A,Absenteismo!A:A,0)</f>
        <v>1990</v>
      </c>
    </row>
    <row r="1182" spans="1:23" hidden="1" x14ac:dyDescent="0.3">
      <c r="A1182">
        <v>2004</v>
      </c>
      <c r="B1182">
        <v>57</v>
      </c>
      <c r="C1182" t="s">
        <v>15</v>
      </c>
      <c r="D1182" t="s">
        <v>27</v>
      </c>
      <c r="E1182" t="s">
        <v>17</v>
      </c>
      <c r="F1182" t="s">
        <v>21</v>
      </c>
      <c r="G1182">
        <v>107</v>
      </c>
      <c r="H1182">
        <v>4990</v>
      </c>
      <c r="I1182" t="s">
        <v>30</v>
      </c>
      <c r="J1182" s="2">
        <v>42491</v>
      </c>
      <c r="K1182">
        <v>12</v>
      </c>
      <c r="L1182" t="s">
        <v>20</v>
      </c>
      <c r="M1182">
        <v>19</v>
      </c>
      <c r="N1182">
        <v>5</v>
      </c>
      <c r="O1182">
        <v>4</v>
      </c>
      <c r="P1182" t="s">
        <v>25</v>
      </c>
      <c r="Q1182" s="1">
        <v>3</v>
      </c>
      <c r="R1182" s="2">
        <v>46174</v>
      </c>
      <c r="S1182" s="2"/>
      <c r="T1182" s="1" t="str">
        <f t="shared" si="54"/>
        <v>dom</v>
      </c>
      <c r="U1182" s="1" t="str">
        <f t="shared" si="55"/>
        <v>mai</v>
      </c>
      <c r="V1182">
        <f t="shared" si="56"/>
        <v>2016</v>
      </c>
      <c r="W1182">
        <f>_xlfn.XLOOKUP(A1182,Absenteismo!A:A,Absenteismo!A:A,0)</f>
        <v>2004</v>
      </c>
    </row>
    <row r="1183" spans="1:23" hidden="1" x14ac:dyDescent="0.3">
      <c r="A1183">
        <v>2023</v>
      </c>
      <c r="B1183">
        <v>57</v>
      </c>
      <c r="C1183" t="s">
        <v>15</v>
      </c>
      <c r="D1183" t="s">
        <v>29</v>
      </c>
      <c r="E1183" t="s">
        <v>17</v>
      </c>
      <c r="F1183" t="s">
        <v>23</v>
      </c>
      <c r="G1183">
        <v>21</v>
      </c>
      <c r="H1183">
        <v>4281</v>
      </c>
      <c r="I1183" t="s">
        <v>28</v>
      </c>
      <c r="J1183" s="2">
        <v>45115</v>
      </c>
      <c r="K1183">
        <v>42</v>
      </c>
      <c r="L1183" t="s">
        <v>25</v>
      </c>
      <c r="M1183">
        <v>28</v>
      </c>
      <c r="N1183">
        <v>0</v>
      </c>
      <c r="O1183">
        <v>5</v>
      </c>
      <c r="P1183" t="s">
        <v>25</v>
      </c>
      <c r="Q1183" s="1">
        <v>1</v>
      </c>
      <c r="R1183" s="2">
        <v>46174</v>
      </c>
      <c r="S1183" s="2"/>
      <c r="T1183" s="1" t="str">
        <f t="shared" si="54"/>
        <v>sáb</v>
      </c>
      <c r="U1183" s="1" t="str">
        <f t="shared" si="55"/>
        <v>jul</v>
      </c>
      <c r="V1183">
        <f t="shared" si="56"/>
        <v>2023</v>
      </c>
      <c r="W1183">
        <f>_xlfn.XLOOKUP(A1183,Absenteismo!A:A,Absenteismo!A:A,0)</f>
        <v>2023</v>
      </c>
    </row>
    <row r="1184" spans="1:23" hidden="1" x14ac:dyDescent="0.3">
      <c r="A1184">
        <v>2142</v>
      </c>
      <c r="B1184">
        <v>58</v>
      </c>
      <c r="C1184" t="s">
        <v>15</v>
      </c>
      <c r="D1184" t="s">
        <v>31</v>
      </c>
      <c r="E1184" t="s">
        <v>34</v>
      </c>
      <c r="F1184" t="s">
        <v>23</v>
      </c>
      <c r="G1184">
        <v>12</v>
      </c>
      <c r="H1184">
        <v>3623</v>
      </c>
      <c r="I1184" t="s">
        <v>19</v>
      </c>
      <c r="J1184" s="2">
        <v>45650</v>
      </c>
      <c r="K1184">
        <v>5</v>
      </c>
      <c r="L1184" t="s">
        <v>20</v>
      </c>
      <c r="M1184">
        <v>24</v>
      </c>
      <c r="N1184">
        <v>5</v>
      </c>
      <c r="O1184">
        <v>5</v>
      </c>
      <c r="P1184" t="s">
        <v>20</v>
      </c>
      <c r="Q1184" s="1">
        <v>3</v>
      </c>
      <c r="R1184" s="2">
        <v>46174</v>
      </c>
      <c r="S1184" s="2">
        <v>46015</v>
      </c>
      <c r="T1184" s="1" t="str">
        <f t="shared" si="54"/>
        <v>ter</v>
      </c>
      <c r="U1184" s="1" t="str">
        <f t="shared" si="55"/>
        <v>dez</v>
      </c>
      <c r="V1184">
        <f t="shared" si="56"/>
        <v>2024</v>
      </c>
      <c r="W1184">
        <f>_xlfn.XLOOKUP(A1184,Absenteismo!A:A,Absenteismo!A:A,0)</f>
        <v>2142</v>
      </c>
    </row>
    <row r="1185" spans="1:23" hidden="1" x14ac:dyDescent="0.3">
      <c r="A1185">
        <v>1301</v>
      </c>
      <c r="B1185">
        <v>58</v>
      </c>
      <c r="C1185" t="s">
        <v>15</v>
      </c>
      <c r="D1185" t="s">
        <v>16</v>
      </c>
      <c r="E1185" t="s">
        <v>17</v>
      </c>
      <c r="F1185" t="s">
        <v>18</v>
      </c>
      <c r="G1185">
        <v>32</v>
      </c>
      <c r="H1185">
        <v>4628</v>
      </c>
      <c r="I1185" t="s">
        <v>19</v>
      </c>
      <c r="J1185" s="2">
        <v>45084</v>
      </c>
      <c r="K1185">
        <v>12</v>
      </c>
      <c r="L1185" t="s">
        <v>20</v>
      </c>
      <c r="M1185">
        <v>34</v>
      </c>
      <c r="N1185">
        <v>1</v>
      </c>
      <c r="O1185">
        <v>5</v>
      </c>
      <c r="P1185" t="s">
        <v>20</v>
      </c>
      <c r="Q1185" s="1">
        <v>2</v>
      </c>
      <c r="R1185" s="2">
        <v>46174</v>
      </c>
      <c r="S1185" s="2">
        <v>46060</v>
      </c>
      <c r="T1185" s="1" t="str">
        <f t="shared" si="54"/>
        <v>qua</v>
      </c>
      <c r="U1185" s="1" t="str">
        <f t="shared" si="55"/>
        <v>jun</v>
      </c>
      <c r="V1185">
        <f t="shared" si="56"/>
        <v>2023</v>
      </c>
      <c r="W1185">
        <f>_xlfn.XLOOKUP(A1185,Absenteismo!A:A,Absenteismo!A:A,0)</f>
        <v>1301</v>
      </c>
    </row>
    <row r="1186" spans="1:23" hidden="1" x14ac:dyDescent="0.3">
      <c r="A1186">
        <v>1601</v>
      </c>
      <c r="B1186">
        <v>58</v>
      </c>
      <c r="C1186" t="s">
        <v>15</v>
      </c>
      <c r="D1186" t="s">
        <v>16</v>
      </c>
      <c r="E1186" t="s">
        <v>17</v>
      </c>
      <c r="F1186" t="s">
        <v>18</v>
      </c>
      <c r="G1186">
        <v>32</v>
      </c>
      <c r="H1186">
        <v>4628</v>
      </c>
      <c r="I1186" t="s">
        <v>19</v>
      </c>
      <c r="J1186" s="2">
        <v>45210</v>
      </c>
      <c r="K1186">
        <v>45</v>
      </c>
      <c r="L1186" t="s">
        <v>20</v>
      </c>
      <c r="M1186">
        <v>34</v>
      </c>
      <c r="N1186">
        <v>1</v>
      </c>
      <c r="O1186">
        <v>5</v>
      </c>
      <c r="P1186" t="s">
        <v>20</v>
      </c>
      <c r="Q1186" s="1">
        <v>1</v>
      </c>
      <c r="R1186" s="2">
        <v>46174</v>
      </c>
      <c r="S1186" s="2">
        <v>46184</v>
      </c>
      <c r="T1186" s="1" t="str">
        <f t="shared" si="54"/>
        <v>qua</v>
      </c>
      <c r="U1186" s="1" t="str">
        <f t="shared" si="55"/>
        <v>out</v>
      </c>
      <c r="V1186">
        <f t="shared" si="56"/>
        <v>2023</v>
      </c>
      <c r="W1186">
        <f>_xlfn.XLOOKUP(A1186,Absenteismo!A:A,Absenteismo!A:A,0)</f>
        <v>1601</v>
      </c>
    </row>
    <row r="1187" spans="1:23" x14ac:dyDescent="0.3">
      <c r="A1187">
        <v>1001</v>
      </c>
      <c r="B1187">
        <v>58</v>
      </c>
      <c r="C1187" t="s">
        <v>15</v>
      </c>
      <c r="D1187" t="s">
        <v>16</v>
      </c>
      <c r="E1187" t="s">
        <v>17</v>
      </c>
      <c r="F1187" t="s">
        <v>18</v>
      </c>
      <c r="G1187">
        <v>32</v>
      </c>
      <c r="H1187">
        <v>4628</v>
      </c>
      <c r="I1187" t="s">
        <v>19</v>
      </c>
      <c r="J1187" s="2">
        <v>44889</v>
      </c>
      <c r="K1187">
        <v>48</v>
      </c>
      <c r="L1187" t="s">
        <v>20</v>
      </c>
      <c r="M1187">
        <v>34</v>
      </c>
      <c r="N1187">
        <v>1</v>
      </c>
      <c r="O1187">
        <v>5</v>
      </c>
      <c r="P1187" t="s">
        <v>25</v>
      </c>
      <c r="Q1187" s="1">
        <v>1</v>
      </c>
      <c r="R1187" s="2">
        <v>46174</v>
      </c>
      <c r="S1187" s="2"/>
      <c r="T1187" s="1" t="str">
        <f t="shared" si="54"/>
        <v>qui</v>
      </c>
      <c r="U1187" s="1" t="str">
        <f t="shared" si="55"/>
        <v>nov</v>
      </c>
      <c r="V1187">
        <f t="shared" si="56"/>
        <v>2022</v>
      </c>
      <c r="W1187">
        <f>_xlfn.XLOOKUP(A1187,Absenteismo!A:A,Absenteismo!A:A,0)</f>
        <v>1001</v>
      </c>
    </row>
    <row r="1188" spans="1:23" x14ac:dyDescent="0.3">
      <c r="A1188">
        <v>1039</v>
      </c>
      <c r="B1188">
        <v>58</v>
      </c>
      <c r="C1188" t="s">
        <v>26</v>
      </c>
      <c r="D1188" t="s">
        <v>16</v>
      </c>
      <c r="E1188" t="s">
        <v>17</v>
      </c>
      <c r="F1188" t="s">
        <v>23</v>
      </c>
      <c r="G1188">
        <v>87</v>
      </c>
      <c r="H1188">
        <v>5342</v>
      </c>
      <c r="I1188" t="s">
        <v>19</v>
      </c>
      <c r="J1188" s="2">
        <v>43374</v>
      </c>
      <c r="K1188">
        <v>55</v>
      </c>
      <c r="L1188" t="s">
        <v>20</v>
      </c>
      <c r="M1188">
        <v>1</v>
      </c>
      <c r="N1188">
        <v>0</v>
      </c>
      <c r="O1188">
        <v>3</v>
      </c>
      <c r="P1188" t="s">
        <v>25</v>
      </c>
      <c r="Q1188" s="1">
        <v>3</v>
      </c>
      <c r="R1188" s="2">
        <v>46174</v>
      </c>
      <c r="S1188" s="2"/>
      <c r="T1188" s="1" t="str">
        <f t="shared" si="54"/>
        <v>seg</v>
      </c>
      <c r="U1188" s="1" t="str">
        <f t="shared" si="55"/>
        <v>out</v>
      </c>
      <c r="V1188">
        <f t="shared" si="56"/>
        <v>2018</v>
      </c>
      <c r="W1188">
        <f>_xlfn.XLOOKUP(A1188,Absenteismo!A:A,Absenteismo!A:A,0)</f>
        <v>1039</v>
      </c>
    </row>
    <row r="1189" spans="1:23" x14ac:dyDescent="0.3">
      <c r="A1189">
        <v>1082</v>
      </c>
      <c r="B1189">
        <v>58</v>
      </c>
      <c r="C1189" t="s">
        <v>26</v>
      </c>
      <c r="D1189" t="s">
        <v>29</v>
      </c>
      <c r="E1189" t="s">
        <v>17</v>
      </c>
      <c r="F1189" t="s">
        <v>21</v>
      </c>
      <c r="G1189">
        <v>2</v>
      </c>
      <c r="H1189">
        <v>6611</v>
      </c>
      <c r="I1189" t="s">
        <v>24</v>
      </c>
      <c r="J1189" s="2">
        <v>45702</v>
      </c>
      <c r="K1189">
        <v>54</v>
      </c>
      <c r="L1189" t="s">
        <v>20</v>
      </c>
      <c r="M1189">
        <v>4</v>
      </c>
      <c r="N1189">
        <v>7</v>
      </c>
      <c r="O1189">
        <v>4</v>
      </c>
      <c r="P1189" t="s">
        <v>25</v>
      </c>
      <c r="Q1189" s="1">
        <v>3</v>
      </c>
      <c r="R1189" s="2">
        <v>46174</v>
      </c>
      <c r="S1189" s="2"/>
      <c r="T1189" s="1" t="str">
        <f t="shared" si="54"/>
        <v>sex</v>
      </c>
      <c r="U1189" s="1" t="str">
        <f t="shared" si="55"/>
        <v>fev</v>
      </c>
      <c r="V1189">
        <f t="shared" si="56"/>
        <v>2025</v>
      </c>
      <c r="W1189">
        <f>_xlfn.XLOOKUP(A1189,Absenteismo!A:A,Absenteismo!A:A,0)</f>
        <v>0</v>
      </c>
    </row>
    <row r="1190" spans="1:23" x14ac:dyDescent="0.3">
      <c r="A1190">
        <v>1224</v>
      </c>
      <c r="B1190">
        <v>58</v>
      </c>
      <c r="C1190" t="s">
        <v>26</v>
      </c>
      <c r="D1190" t="s">
        <v>29</v>
      </c>
      <c r="E1190" t="s">
        <v>17</v>
      </c>
      <c r="F1190" t="s">
        <v>21</v>
      </c>
      <c r="G1190">
        <v>51</v>
      </c>
      <c r="H1190">
        <v>3735</v>
      </c>
      <c r="I1190" t="s">
        <v>24</v>
      </c>
      <c r="J1190" s="2">
        <v>44197</v>
      </c>
      <c r="K1190">
        <v>23</v>
      </c>
      <c r="L1190" t="s">
        <v>25</v>
      </c>
      <c r="M1190">
        <v>11</v>
      </c>
      <c r="N1190">
        <v>10</v>
      </c>
      <c r="O1190">
        <v>4</v>
      </c>
      <c r="P1190" t="s">
        <v>25</v>
      </c>
      <c r="Q1190" s="1">
        <v>2</v>
      </c>
      <c r="R1190" s="2">
        <v>46174</v>
      </c>
      <c r="S1190" s="2"/>
      <c r="T1190" s="1" t="str">
        <f t="shared" si="54"/>
        <v>sex</v>
      </c>
      <c r="U1190" s="1" t="str">
        <f t="shared" si="55"/>
        <v>jan</v>
      </c>
      <c r="V1190">
        <f t="shared" si="56"/>
        <v>2021</v>
      </c>
      <c r="W1190">
        <f>_xlfn.XLOOKUP(A1190,Absenteismo!A:A,Absenteismo!A:A,0)</f>
        <v>0</v>
      </c>
    </row>
    <row r="1191" spans="1:23" hidden="1" x14ac:dyDescent="0.3">
      <c r="A1191">
        <v>1339</v>
      </c>
      <c r="B1191">
        <v>58</v>
      </c>
      <c r="C1191" t="s">
        <v>26</v>
      </c>
      <c r="D1191" t="s">
        <v>16</v>
      </c>
      <c r="E1191" t="s">
        <v>17</v>
      </c>
      <c r="F1191" t="s">
        <v>23</v>
      </c>
      <c r="G1191">
        <v>87</v>
      </c>
      <c r="H1191">
        <v>5342</v>
      </c>
      <c r="I1191" t="s">
        <v>19</v>
      </c>
      <c r="J1191" s="2">
        <v>43450</v>
      </c>
      <c r="K1191">
        <v>42</v>
      </c>
      <c r="L1191" t="s">
        <v>20</v>
      </c>
      <c r="M1191">
        <v>1</v>
      </c>
      <c r="N1191">
        <v>0</v>
      </c>
      <c r="O1191">
        <v>3</v>
      </c>
      <c r="P1191" t="s">
        <v>25</v>
      </c>
      <c r="Q1191" s="1">
        <v>3</v>
      </c>
      <c r="R1191" s="2">
        <v>46174</v>
      </c>
      <c r="S1191" s="2"/>
      <c r="T1191" s="1" t="str">
        <f t="shared" si="54"/>
        <v>dom</v>
      </c>
      <c r="U1191" s="1" t="str">
        <f t="shared" si="55"/>
        <v>dez</v>
      </c>
      <c r="V1191">
        <f t="shared" si="56"/>
        <v>2018</v>
      </c>
      <c r="W1191">
        <f>_xlfn.XLOOKUP(A1191,Absenteismo!A:A,Absenteismo!A:A,0)</f>
        <v>1339</v>
      </c>
    </row>
    <row r="1192" spans="1:23" x14ac:dyDescent="0.3">
      <c r="A1192">
        <v>1382</v>
      </c>
      <c r="B1192">
        <v>58</v>
      </c>
      <c r="C1192" t="s">
        <v>26</v>
      </c>
      <c r="D1192" t="s">
        <v>29</v>
      </c>
      <c r="E1192" t="s">
        <v>17</v>
      </c>
      <c r="F1192" t="s">
        <v>21</v>
      </c>
      <c r="G1192">
        <v>2</v>
      </c>
      <c r="H1192">
        <v>6611</v>
      </c>
      <c r="I1192" t="s">
        <v>24</v>
      </c>
      <c r="J1192" s="2">
        <v>45771</v>
      </c>
      <c r="K1192">
        <v>54</v>
      </c>
      <c r="L1192" t="s">
        <v>20</v>
      </c>
      <c r="M1192">
        <v>4</v>
      </c>
      <c r="N1192">
        <v>7</v>
      </c>
      <c r="O1192">
        <v>4</v>
      </c>
      <c r="P1192" t="s">
        <v>25</v>
      </c>
      <c r="Q1192" s="1">
        <v>3</v>
      </c>
      <c r="R1192" s="2">
        <v>46174</v>
      </c>
      <c r="S1192" s="2"/>
      <c r="T1192" s="1" t="str">
        <f t="shared" si="54"/>
        <v>qui</v>
      </c>
      <c r="U1192" s="1" t="str">
        <f t="shared" si="55"/>
        <v>abr</v>
      </c>
      <c r="V1192">
        <f t="shared" si="56"/>
        <v>2025</v>
      </c>
      <c r="W1192">
        <f>_xlfn.XLOOKUP(A1192,Absenteismo!A:A,Absenteismo!A:A,0)</f>
        <v>0</v>
      </c>
    </row>
    <row r="1193" spans="1:23" x14ac:dyDescent="0.3">
      <c r="A1193">
        <v>1524</v>
      </c>
      <c r="B1193">
        <v>58</v>
      </c>
      <c r="C1193" t="s">
        <v>26</v>
      </c>
      <c r="D1193" t="s">
        <v>29</v>
      </c>
      <c r="E1193" t="s">
        <v>17</v>
      </c>
      <c r="F1193" t="s">
        <v>21</v>
      </c>
      <c r="G1193">
        <v>51</v>
      </c>
      <c r="H1193">
        <v>3735</v>
      </c>
      <c r="I1193" t="s">
        <v>24</v>
      </c>
      <c r="J1193" s="2">
        <v>44550</v>
      </c>
      <c r="K1193">
        <v>23</v>
      </c>
      <c r="L1193" t="s">
        <v>25</v>
      </c>
      <c r="M1193">
        <v>11</v>
      </c>
      <c r="N1193">
        <v>10</v>
      </c>
      <c r="O1193">
        <v>4</v>
      </c>
      <c r="P1193" t="s">
        <v>25</v>
      </c>
      <c r="Q1193" s="1">
        <v>2</v>
      </c>
      <c r="R1193" s="2">
        <v>46174</v>
      </c>
      <c r="S1193" s="2"/>
      <c r="T1193" s="1" t="str">
        <f t="shared" si="54"/>
        <v>seg</v>
      </c>
      <c r="U1193" s="1" t="str">
        <f t="shared" si="55"/>
        <v>dez</v>
      </c>
      <c r="V1193">
        <f t="shared" si="56"/>
        <v>2021</v>
      </c>
      <c r="W1193">
        <f>_xlfn.XLOOKUP(A1193,Absenteismo!A:A,Absenteismo!A:A,0)</f>
        <v>0</v>
      </c>
    </row>
    <row r="1194" spans="1:23" hidden="1" x14ac:dyDescent="0.3">
      <c r="A1194">
        <v>1639</v>
      </c>
      <c r="B1194">
        <v>58</v>
      </c>
      <c r="C1194" t="s">
        <v>26</v>
      </c>
      <c r="D1194" t="s">
        <v>16</v>
      </c>
      <c r="E1194" t="s">
        <v>17</v>
      </c>
      <c r="F1194" t="s">
        <v>23</v>
      </c>
      <c r="G1194">
        <v>87</v>
      </c>
      <c r="H1194">
        <v>5342</v>
      </c>
      <c r="I1194" t="s">
        <v>19</v>
      </c>
      <c r="J1194" s="2">
        <v>43428</v>
      </c>
      <c r="K1194">
        <v>42</v>
      </c>
      <c r="L1194" t="s">
        <v>20</v>
      </c>
      <c r="M1194">
        <v>1</v>
      </c>
      <c r="N1194">
        <v>0</v>
      </c>
      <c r="O1194">
        <v>3</v>
      </c>
      <c r="P1194" t="s">
        <v>25</v>
      </c>
      <c r="Q1194" s="1">
        <v>1</v>
      </c>
      <c r="R1194" s="2">
        <v>46174</v>
      </c>
      <c r="S1194" s="2"/>
      <c r="T1194" s="1" t="str">
        <f t="shared" si="54"/>
        <v>sáb</v>
      </c>
      <c r="U1194" s="1" t="str">
        <f t="shared" si="55"/>
        <v>nov</v>
      </c>
      <c r="V1194">
        <f t="shared" si="56"/>
        <v>2018</v>
      </c>
      <c r="W1194">
        <f>_xlfn.XLOOKUP(A1194,Absenteismo!A:A,Absenteismo!A:A,0)</f>
        <v>1639</v>
      </c>
    </row>
    <row r="1195" spans="1:23" x14ac:dyDescent="0.3">
      <c r="A1195">
        <v>1682</v>
      </c>
      <c r="B1195">
        <v>58</v>
      </c>
      <c r="C1195" t="s">
        <v>26</v>
      </c>
      <c r="D1195" t="s">
        <v>29</v>
      </c>
      <c r="E1195" t="s">
        <v>17</v>
      </c>
      <c r="F1195" t="s">
        <v>21</v>
      </c>
      <c r="G1195">
        <v>2</v>
      </c>
      <c r="H1195">
        <v>6611</v>
      </c>
      <c r="I1195" t="s">
        <v>24</v>
      </c>
      <c r="J1195" s="2">
        <v>45725</v>
      </c>
      <c r="K1195">
        <v>54</v>
      </c>
      <c r="L1195" t="s">
        <v>20</v>
      </c>
      <c r="M1195">
        <v>4</v>
      </c>
      <c r="N1195">
        <v>7</v>
      </c>
      <c r="O1195">
        <v>4</v>
      </c>
      <c r="P1195" t="s">
        <v>25</v>
      </c>
      <c r="Q1195" s="1">
        <v>2</v>
      </c>
      <c r="R1195" s="2">
        <v>46174</v>
      </c>
      <c r="S1195" s="2"/>
      <c r="T1195" s="1" t="str">
        <f t="shared" si="54"/>
        <v>dom</v>
      </c>
      <c r="U1195" s="1" t="str">
        <f t="shared" si="55"/>
        <v>mar</v>
      </c>
      <c r="V1195">
        <f t="shared" si="56"/>
        <v>2025</v>
      </c>
      <c r="W1195">
        <f>_xlfn.XLOOKUP(A1195,Absenteismo!A:A,Absenteismo!A:A,0)</f>
        <v>0</v>
      </c>
    </row>
    <row r="1196" spans="1:23" x14ac:dyDescent="0.3">
      <c r="A1196">
        <v>1824</v>
      </c>
      <c r="B1196">
        <v>58</v>
      </c>
      <c r="C1196" t="s">
        <v>26</v>
      </c>
      <c r="D1196" t="s">
        <v>29</v>
      </c>
      <c r="E1196" t="s">
        <v>17</v>
      </c>
      <c r="F1196" t="s">
        <v>21</v>
      </c>
      <c r="G1196">
        <v>51</v>
      </c>
      <c r="H1196">
        <v>3735</v>
      </c>
      <c r="I1196" t="s">
        <v>24</v>
      </c>
      <c r="J1196" s="2">
        <v>44622</v>
      </c>
      <c r="K1196">
        <v>23</v>
      </c>
      <c r="L1196" t="s">
        <v>25</v>
      </c>
      <c r="M1196">
        <v>11</v>
      </c>
      <c r="N1196">
        <v>10</v>
      </c>
      <c r="O1196">
        <v>4</v>
      </c>
      <c r="P1196" t="s">
        <v>25</v>
      </c>
      <c r="Q1196" s="1">
        <v>2</v>
      </c>
      <c r="R1196" s="2">
        <v>46174</v>
      </c>
      <c r="S1196" s="2"/>
      <c r="T1196" s="1" t="str">
        <f t="shared" si="54"/>
        <v>qua</v>
      </c>
      <c r="U1196" s="1" t="str">
        <f t="shared" si="55"/>
        <v>mar</v>
      </c>
      <c r="V1196">
        <f t="shared" si="56"/>
        <v>2022</v>
      </c>
      <c r="W1196">
        <f>_xlfn.XLOOKUP(A1196,Absenteismo!A:A,Absenteismo!A:A,0)</f>
        <v>0</v>
      </c>
    </row>
    <row r="1197" spans="1:23" hidden="1" x14ac:dyDescent="0.3">
      <c r="A1197">
        <v>1939</v>
      </c>
      <c r="B1197">
        <v>58</v>
      </c>
      <c r="C1197" t="s">
        <v>26</v>
      </c>
      <c r="D1197" t="s">
        <v>16</v>
      </c>
      <c r="E1197" t="s">
        <v>17</v>
      </c>
      <c r="F1197" t="s">
        <v>23</v>
      </c>
      <c r="G1197">
        <v>87</v>
      </c>
      <c r="H1197">
        <v>5342</v>
      </c>
      <c r="I1197" t="s">
        <v>19</v>
      </c>
      <c r="J1197" s="2">
        <v>43289</v>
      </c>
      <c r="K1197">
        <v>42</v>
      </c>
      <c r="L1197" t="s">
        <v>20</v>
      </c>
      <c r="M1197">
        <v>1</v>
      </c>
      <c r="N1197">
        <v>0</v>
      </c>
      <c r="O1197">
        <v>3</v>
      </c>
      <c r="P1197" t="s">
        <v>25</v>
      </c>
      <c r="Q1197" s="1">
        <v>2</v>
      </c>
      <c r="R1197" s="2">
        <v>46174</v>
      </c>
      <c r="S1197" s="2"/>
      <c r="T1197" s="1" t="str">
        <f t="shared" si="54"/>
        <v>dom</v>
      </c>
      <c r="U1197" s="1" t="str">
        <f t="shared" si="55"/>
        <v>jul</v>
      </c>
      <c r="V1197">
        <f t="shared" si="56"/>
        <v>2018</v>
      </c>
      <c r="W1197">
        <f>_xlfn.XLOOKUP(A1197,Absenteismo!A:A,Absenteismo!A:A,0)</f>
        <v>1939</v>
      </c>
    </row>
    <row r="1198" spans="1:23" x14ac:dyDescent="0.3">
      <c r="A1198">
        <v>1982</v>
      </c>
      <c r="B1198">
        <v>58</v>
      </c>
      <c r="C1198" t="s">
        <v>26</v>
      </c>
      <c r="D1198" t="s">
        <v>29</v>
      </c>
      <c r="E1198" t="s">
        <v>17</v>
      </c>
      <c r="F1198" t="s">
        <v>21</v>
      </c>
      <c r="G1198">
        <v>2</v>
      </c>
      <c r="H1198">
        <v>6611</v>
      </c>
      <c r="I1198" t="s">
        <v>24</v>
      </c>
      <c r="J1198" s="2">
        <v>46072</v>
      </c>
      <c r="K1198">
        <v>54</v>
      </c>
      <c r="L1198" t="s">
        <v>20</v>
      </c>
      <c r="M1198">
        <v>4</v>
      </c>
      <c r="N1198">
        <v>7</v>
      </c>
      <c r="O1198">
        <v>4</v>
      </c>
      <c r="P1198" t="s">
        <v>25</v>
      </c>
      <c r="Q1198" s="1">
        <v>3</v>
      </c>
      <c r="R1198" s="2">
        <v>46174</v>
      </c>
      <c r="S1198" s="2"/>
      <c r="T1198" s="1" t="str">
        <f t="shared" si="54"/>
        <v>qui</v>
      </c>
      <c r="U1198" s="1" t="str">
        <f t="shared" si="55"/>
        <v>fev</v>
      </c>
      <c r="V1198">
        <f t="shared" si="56"/>
        <v>2026</v>
      </c>
      <c r="W1198">
        <f>_xlfn.XLOOKUP(A1198,Absenteismo!A:A,Absenteismo!A:A,0)</f>
        <v>0</v>
      </c>
    </row>
    <row r="1199" spans="1:23" x14ac:dyDescent="0.3">
      <c r="A1199">
        <v>2124</v>
      </c>
      <c r="B1199">
        <v>58</v>
      </c>
      <c r="C1199" t="s">
        <v>26</v>
      </c>
      <c r="D1199" t="s">
        <v>29</v>
      </c>
      <c r="E1199" t="s">
        <v>17</v>
      </c>
      <c r="F1199" t="s">
        <v>21</v>
      </c>
      <c r="G1199">
        <v>51</v>
      </c>
      <c r="H1199">
        <v>3735</v>
      </c>
      <c r="I1199" t="s">
        <v>24</v>
      </c>
      <c r="J1199" s="2">
        <v>44649</v>
      </c>
      <c r="K1199">
        <v>23</v>
      </c>
      <c r="L1199" t="s">
        <v>25</v>
      </c>
      <c r="M1199">
        <v>11</v>
      </c>
      <c r="N1199">
        <v>10</v>
      </c>
      <c r="O1199">
        <v>4</v>
      </c>
      <c r="P1199" t="s">
        <v>25</v>
      </c>
      <c r="Q1199" s="1">
        <v>2</v>
      </c>
      <c r="R1199" s="2">
        <v>46174</v>
      </c>
      <c r="S1199" s="2"/>
      <c r="T1199" s="1" t="str">
        <f t="shared" si="54"/>
        <v>ter</v>
      </c>
      <c r="U1199" s="1" t="str">
        <f t="shared" si="55"/>
        <v>mar</v>
      </c>
      <c r="V1199">
        <f t="shared" si="56"/>
        <v>2022</v>
      </c>
      <c r="W1199">
        <f>_xlfn.XLOOKUP(A1199,Absenteismo!A:A,Absenteismo!A:A,0)</f>
        <v>0</v>
      </c>
    </row>
    <row r="1200" spans="1:23" hidden="1" x14ac:dyDescent="0.3">
      <c r="A1200">
        <v>1842</v>
      </c>
      <c r="B1200">
        <v>58</v>
      </c>
      <c r="C1200" t="s">
        <v>15</v>
      </c>
      <c r="D1200" t="s">
        <v>31</v>
      </c>
      <c r="E1200" t="s">
        <v>34</v>
      </c>
      <c r="F1200" t="s">
        <v>23</v>
      </c>
      <c r="G1200">
        <v>12</v>
      </c>
      <c r="H1200">
        <v>3623</v>
      </c>
      <c r="I1200" t="s">
        <v>19</v>
      </c>
      <c r="J1200" s="2">
        <v>45496</v>
      </c>
      <c r="K1200">
        <v>49</v>
      </c>
      <c r="L1200" t="s">
        <v>20</v>
      </c>
      <c r="M1200">
        <v>24</v>
      </c>
      <c r="N1200">
        <v>5</v>
      </c>
      <c r="O1200">
        <v>5</v>
      </c>
      <c r="P1200" t="s">
        <v>25</v>
      </c>
      <c r="Q1200" s="1">
        <v>2</v>
      </c>
      <c r="R1200" s="2">
        <v>46174</v>
      </c>
      <c r="S1200" s="2"/>
      <c r="T1200" s="1" t="str">
        <f t="shared" si="54"/>
        <v>ter</v>
      </c>
      <c r="U1200" s="1" t="str">
        <f t="shared" si="55"/>
        <v>jul</v>
      </c>
      <c r="V1200">
        <f t="shared" si="56"/>
        <v>2024</v>
      </c>
      <c r="W1200">
        <f>_xlfn.XLOOKUP(A1200,Absenteismo!A:A,Absenteismo!A:A,0)</f>
        <v>1842</v>
      </c>
    </row>
    <row r="1201" spans="1:23" hidden="1" x14ac:dyDescent="0.3">
      <c r="A1201">
        <v>1901</v>
      </c>
      <c r="B1201">
        <v>58</v>
      </c>
      <c r="C1201" t="s">
        <v>15</v>
      </c>
      <c r="D1201" t="s">
        <v>16</v>
      </c>
      <c r="E1201" t="s">
        <v>17</v>
      </c>
      <c r="F1201" t="s">
        <v>18</v>
      </c>
      <c r="G1201">
        <v>32</v>
      </c>
      <c r="H1201">
        <v>4628</v>
      </c>
      <c r="I1201" t="s">
        <v>19</v>
      </c>
      <c r="J1201" s="2">
        <v>44909</v>
      </c>
      <c r="K1201">
        <v>48</v>
      </c>
      <c r="L1201" t="s">
        <v>20</v>
      </c>
      <c r="M1201">
        <v>34</v>
      </c>
      <c r="N1201">
        <v>1</v>
      </c>
      <c r="O1201">
        <v>5</v>
      </c>
      <c r="P1201" t="s">
        <v>25</v>
      </c>
      <c r="Q1201" s="1">
        <v>2</v>
      </c>
      <c r="R1201" s="2">
        <v>46174</v>
      </c>
      <c r="S1201" s="2"/>
      <c r="T1201" s="1" t="str">
        <f t="shared" si="54"/>
        <v>qua</v>
      </c>
      <c r="U1201" s="1" t="str">
        <f t="shared" si="55"/>
        <v>dez</v>
      </c>
      <c r="V1201">
        <f t="shared" si="56"/>
        <v>2022</v>
      </c>
      <c r="W1201">
        <f>_xlfn.XLOOKUP(A1201,Absenteismo!A:A,Absenteismo!A:A,0)</f>
        <v>1901</v>
      </c>
    </row>
  </sheetData>
  <autoFilter ref="A1:W1201" xr:uid="{00000000-0001-0000-0000-000000000000}">
    <filterColumn colId="22">
      <filters>
        <filter val="0"/>
      </filters>
    </filterColumn>
  </autoFilter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D517-AD87-4830-8349-5628E3FF1300}">
  <dimension ref="A1:Q6820"/>
  <sheetViews>
    <sheetView zoomScale="90" zoomScaleNormal="90" workbookViewId="0">
      <selection activeCell="K2" sqref="K2:K1029"/>
    </sheetView>
  </sheetViews>
  <sheetFormatPr defaultRowHeight="14.4" x14ac:dyDescent="0.3"/>
  <cols>
    <col min="3" max="3" width="10" customWidth="1"/>
    <col min="7" max="7" width="12.21875" bestFit="1" customWidth="1"/>
    <col min="9" max="9" width="8.88671875" style="1"/>
    <col min="10" max="10" width="11.6640625" customWidth="1"/>
    <col min="11" max="11" width="11.6640625" bestFit="1" customWidth="1"/>
    <col min="12" max="12" width="8.88671875" style="1"/>
    <col min="15" max="15" width="15.33203125" bestFit="1" customWidth="1"/>
    <col min="16" max="17" width="11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  <c r="H1" t="s">
        <v>14</v>
      </c>
      <c r="I1" s="1" t="s">
        <v>35</v>
      </c>
      <c r="J1" t="s">
        <v>36</v>
      </c>
      <c r="K1" t="s">
        <v>47</v>
      </c>
      <c r="L1" s="1" t="s">
        <v>37</v>
      </c>
      <c r="M1" t="s">
        <v>38</v>
      </c>
      <c r="N1" s="1" t="s">
        <v>39</v>
      </c>
      <c r="O1" t="s">
        <v>46</v>
      </c>
      <c r="P1" s="2" t="s">
        <v>80</v>
      </c>
    </row>
    <row r="2" spans="1:16" x14ac:dyDescent="0.3">
      <c r="A2">
        <v>1968</v>
      </c>
      <c r="B2">
        <v>54</v>
      </c>
      <c r="C2" t="s">
        <v>15</v>
      </c>
      <c r="D2" t="s">
        <v>31</v>
      </c>
      <c r="E2" t="s">
        <v>34</v>
      </c>
      <c r="F2" t="s">
        <v>21</v>
      </c>
      <c r="G2" t="s">
        <v>41</v>
      </c>
      <c r="H2" t="s">
        <v>25</v>
      </c>
      <c r="I2" s="1">
        <v>3</v>
      </c>
      <c r="J2" s="2">
        <v>46153</v>
      </c>
      <c r="K2" s="2">
        <f>DATE(YEAR(J2),MONTH(J2),1)</f>
        <v>46143</v>
      </c>
      <c r="L2" s="1" t="str">
        <f>TEXT(J2,"ddd")</f>
        <v>seg</v>
      </c>
      <c r="M2" s="1" t="str">
        <f>TEXT($J2,"mmm")</f>
        <v>mai</v>
      </c>
      <c r="N2">
        <f>YEAR(J2)</f>
        <v>2026</v>
      </c>
      <c r="O2" s="2"/>
      <c r="P2" t="str">
        <f>CONCATENATE(A2,J2)</f>
        <v>196846153</v>
      </c>
    </row>
    <row r="3" spans="1:16" x14ac:dyDescent="0.3">
      <c r="A3">
        <v>1968</v>
      </c>
      <c r="B3">
        <v>54</v>
      </c>
      <c r="C3" t="s">
        <v>15</v>
      </c>
      <c r="D3" t="s">
        <v>31</v>
      </c>
      <c r="E3" t="s">
        <v>34</v>
      </c>
      <c r="F3" t="s">
        <v>21</v>
      </c>
      <c r="G3" t="s">
        <v>41</v>
      </c>
      <c r="H3" t="s">
        <v>25</v>
      </c>
      <c r="I3" s="1">
        <v>3</v>
      </c>
      <c r="J3" s="2">
        <v>46173</v>
      </c>
      <c r="K3" s="2">
        <f t="shared" ref="K3:K66" si="0">DATE(YEAR(J3),MONTH(J3),1)</f>
        <v>46143</v>
      </c>
      <c r="L3" s="1" t="s">
        <v>55</v>
      </c>
      <c r="M3" s="1" t="s">
        <v>49</v>
      </c>
      <c r="N3">
        <v>2025</v>
      </c>
      <c r="O3" s="2"/>
      <c r="P3" t="str">
        <f t="shared" ref="P3:P66" si="1">CONCATENATE(A3,J3)</f>
        <v>196846173</v>
      </c>
    </row>
    <row r="4" spans="1:16" x14ac:dyDescent="0.3">
      <c r="A4">
        <v>1972</v>
      </c>
      <c r="B4">
        <v>49</v>
      </c>
      <c r="C4" t="s">
        <v>15</v>
      </c>
      <c r="D4" t="s">
        <v>16</v>
      </c>
      <c r="E4" t="s">
        <v>17</v>
      </c>
      <c r="F4" t="s">
        <v>21</v>
      </c>
      <c r="G4" t="s">
        <v>41</v>
      </c>
      <c r="H4" t="s">
        <v>25</v>
      </c>
      <c r="I4" s="1">
        <v>3</v>
      </c>
      <c r="J4" s="2">
        <v>46157</v>
      </c>
      <c r="K4" s="2">
        <f t="shared" si="0"/>
        <v>46143</v>
      </c>
      <c r="L4" s="1" t="str">
        <f>TEXT(J4,"ddd")</f>
        <v>sex</v>
      </c>
      <c r="M4" s="1" t="str">
        <f>TEXT($J4,"mmm")</f>
        <v>mai</v>
      </c>
      <c r="N4">
        <f>YEAR(J4)</f>
        <v>2026</v>
      </c>
      <c r="O4" s="2"/>
      <c r="P4" t="str">
        <f t="shared" si="1"/>
        <v>197246157</v>
      </c>
    </row>
    <row r="5" spans="1:16" x14ac:dyDescent="0.3">
      <c r="A5">
        <v>1972</v>
      </c>
      <c r="B5">
        <v>49</v>
      </c>
      <c r="C5" t="s">
        <v>15</v>
      </c>
      <c r="D5" t="s">
        <v>16</v>
      </c>
      <c r="E5" t="s">
        <v>17</v>
      </c>
      <c r="F5" t="s">
        <v>21</v>
      </c>
      <c r="G5" t="s">
        <v>41</v>
      </c>
      <c r="H5" t="s">
        <v>25</v>
      </c>
      <c r="I5" s="1">
        <v>3</v>
      </c>
      <c r="J5" s="2">
        <v>46138</v>
      </c>
      <c r="K5" s="2">
        <f t="shared" si="0"/>
        <v>46113</v>
      </c>
      <c r="L5" s="1" t="s">
        <v>52</v>
      </c>
      <c r="M5" s="1" t="s">
        <v>49</v>
      </c>
      <c r="N5">
        <v>2025</v>
      </c>
      <c r="O5" s="2"/>
      <c r="P5" t="str">
        <f t="shared" si="1"/>
        <v>197246138</v>
      </c>
    </row>
    <row r="6" spans="1:16" x14ac:dyDescent="0.3">
      <c r="A6">
        <v>1976</v>
      </c>
      <c r="B6">
        <v>38</v>
      </c>
      <c r="C6" t="s">
        <v>15</v>
      </c>
      <c r="D6" t="s">
        <v>31</v>
      </c>
      <c r="E6" t="s">
        <v>32</v>
      </c>
      <c r="F6" t="s">
        <v>21</v>
      </c>
      <c r="G6" t="s">
        <v>41</v>
      </c>
      <c r="H6" t="s">
        <v>25</v>
      </c>
      <c r="I6" s="1">
        <v>2</v>
      </c>
      <c r="J6" s="2">
        <v>46181</v>
      </c>
      <c r="K6" s="2">
        <f t="shared" si="0"/>
        <v>46174</v>
      </c>
      <c r="L6" s="1" t="str">
        <f>TEXT(J6,"ddd")</f>
        <v>seg</v>
      </c>
      <c r="M6" s="1" t="str">
        <f>TEXT($J6,"mmm")</f>
        <v>jun</v>
      </c>
      <c r="N6">
        <f>YEAR(J6)</f>
        <v>2026</v>
      </c>
      <c r="O6" s="2"/>
      <c r="P6" t="str">
        <f t="shared" si="1"/>
        <v>197646181</v>
      </c>
    </row>
    <row r="7" spans="1:16" x14ac:dyDescent="0.3">
      <c r="A7">
        <v>1976</v>
      </c>
      <c r="B7">
        <v>38</v>
      </c>
      <c r="C7" t="s">
        <v>15</v>
      </c>
      <c r="D7" t="s">
        <v>31</v>
      </c>
      <c r="E7" t="s">
        <v>32</v>
      </c>
      <c r="F7" t="s">
        <v>21</v>
      </c>
      <c r="G7" t="s">
        <v>41</v>
      </c>
      <c r="H7" t="s">
        <v>25</v>
      </c>
      <c r="I7" s="1">
        <v>2</v>
      </c>
      <c r="J7" s="2">
        <v>46173</v>
      </c>
      <c r="K7" s="2">
        <f t="shared" si="0"/>
        <v>46143</v>
      </c>
      <c r="L7" s="1" t="str">
        <f>TEXT(J7,"ddd")</f>
        <v>dom</v>
      </c>
      <c r="M7" s="1" t="str">
        <f>TEXT($J7,"mmm")</f>
        <v>mai</v>
      </c>
      <c r="N7">
        <f>YEAR(J7)</f>
        <v>2026</v>
      </c>
      <c r="O7" s="2"/>
      <c r="P7" t="str">
        <f t="shared" si="1"/>
        <v>197646173</v>
      </c>
    </row>
    <row r="8" spans="1:16" x14ac:dyDescent="0.3">
      <c r="A8">
        <v>1976</v>
      </c>
      <c r="B8">
        <v>38</v>
      </c>
      <c r="C8" t="s">
        <v>15</v>
      </c>
      <c r="D8" t="s">
        <v>31</v>
      </c>
      <c r="E8" t="s">
        <v>32</v>
      </c>
      <c r="F8" t="s">
        <v>21</v>
      </c>
      <c r="G8" t="s">
        <v>41</v>
      </c>
      <c r="H8" t="s">
        <v>25</v>
      </c>
      <c r="I8" s="1">
        <v>2</v>
      </c>
      <c r="J8" s="2">
        <v>46130</v>
      </c>
      <c r="K8" s="2">
        <f t="shared" si="0"/>
        <v>46113</v>
      </c>
      <c r="L8" s="1" t="s">
        <v>53</v>
      </c>
      <c r="M8" s="1" t="s">
        <v>48</v>
      </c>
      <c r="N8">
        <v>2025</v>
      </c>
      <c r="O8" s="2"/>
      <c r="P8" t="str">
        <f t="shared" si="1"/>
        <v>197646130</v>
      </c>
    </row>
    <row r="9" spans="1:16" x14ac:dyDescent="0.3">
      <c r="A9">
        <v>1976</v>
      </c>
      <c r="B9">
        <v>38</v>
      </c>
      <c r="C9" t="s">
        <v>15</v>
      </c>
      <c r="D9" t="s">
        <v>31</v>
      </c>
      <c r="E9" t="s">
        <v>32</v>
      </c>
      <c r="F9" t="s">
        <v>21</v>
      </c>
      <c r="G9" t="s">
        <v>41</v>
      </c>
      <c r="H9" t="s">
        <v>25</v>
      </c>
      <c r="I9" s="1">
        <v>2</v>
      </c>
      <c r="J9" s="2">
        <v>46150</v>
      </c>
      <c r="K9" s="2">
        <f t="shared" si="0"/>
        <v>46143</v>
      </c>
      <c r="L9" s="1" t="s">
        <v>52</v>
      </c>
      <c r="M9" s="1" t="s">
        <v>49</v>
      </c>
      <c r="N9">
        <v>2025</v>
      </c>
      <c r="O9" s="2"/>
      <c r="P9" t="str">
        <f t="shared" si="1"/>
        <v>197646150</v>
      </c>
    </row>
    <row r="10" spans="1:16" x14ac:dyDescent="0.3">
      <c r="A10">
        <v>1977</v>
      </c>
      <c r="B10">
        <v>27</v>
      </c>
      <c r="C10" t="s">
        <v>26</v>
      </c>
      <c r="D10" t="s">
        <v>31</v>
      </c>
      <c r="E10" t="s">
        <v>32</v>
      </c>
      <c r="F10" t="s">
        <v>21</v>
      </c>
      <c r="G10" t="s">
        <v>41</v>
      </c>
      <c r="H10" t="s">
        <v>25</v>
      </c>
      <c r="I10" s="1">
        <v>3</v>
      </c>
      <c r="J10" s="2">
        <v>46138</v>
      </c>
      <c r="K10" s="2">
        <f t="shared" si="0"/>
        <v>46113</v>
      </c>
      <c r="L10" s="1" t="str">
        <f>TEXT(J10,"ddd")</f>
        <v>dom</v>
      </c>
      <c r="M10" s="1" t="str">
        <f>TEXT($J10,"mmm")</f>
        <v>abr</v>
      </c>
      <c r="N10">
        <f>YEAR(J10)</f>
        <v>2026</v>
      </c>
      <c r="O10" s="2"/>
      <c r="P10" t="str">
        <f t="shared" si="1"/>
        <v>197746138</v>
      </c>
    </row>
    <row r="11" spans="1:16" x14ac:dyDescent="0.3">
      <c r="A11">
        <v>1977</v>
      </c>
      <c r="B11">
        <v>27</v>
      </c>
      <c r="C11" t="s">
        <v>26</v>
      </c>
      <c r="D11" t="s">
        <v>31</v>
      </c>
      <c r="E11" t="s">
        <v>32</v>
      </c>
      <c r="F11" t="s">
        <v>21</v>
      </c>
      <c r="G11" t="s">
        <v>41</v>
      </c>
      <c r="H11" t="s">
        <v>25</v>
      </c>
      <c r="I11" s="1">
        <v>3</v>
      </c>
      <c r="J11" s="2">
        <v>46170</v>
      </c>
      <c r="K11" s="2">
        <f t="shared" si="0"/>
        <v>46143</v>
      </c>
      <c r="L11" s="1" t="str">
        <f>TEXT(J11,"ddd")</f>
        <v>qui</v>
      </c>
      <c r="M11" s="1" t="str">
        <f>TEXT($J11,"mmm")</f>
        <v>mai</v>
      </c>
      <c r="N11">
        <f>YEAR(J11)</f>
        <v>2026</v>
      </c>
      <c r="O11" s="2"/>
      <c r="P11" t="str">
        <f t="shared" si="1"/>
        <v>197746170</v>
      </c>
    </row>
    <row r="12" spans="1:16" x14ac:dyDescent="0.3">
      <c r="A12">
        <v>1977</v>
      </c>
      <c r="B12">
        <v>27</v>
      </c>
      <c r="C12" t="s">
        <v>26</v>
      </c>
      <c r="D12" t="s">
        <v>31</v>
      </c>
      <c r="E12" t="s">
        <v>32</v>
      </c>
      <c r="F12" t="s">
        <v>21</v>
      </c>
      <c r="G12" t="s">
        <v>41</v>
      </c>
      <c r="H12" t="s">
        <v>25</v>
      </c>
      <c r="I12" s="1">
        <v>3</v>
      </c>
      <c r="J12" s="2">
        <v>46164</v>
      </c>
      <c r="K12" s="2">
        <f t="shared" si="0"/>
        <v>46143</v>
      </c>
      <c r="L12" s="1" t="s">
        <v>52</v>
      </c>
      <c r="M12" s="1" t="s">
        <v>49</v>
      </c>
      <c r="N12">
        <v>2025</v>
      </c>
      <c r="O12" s="2"/>
      <c r="P12" t="str">
        <f t="shared" si="1"/>
        <v>197746164</v>
      </c>
    </row>
    <row r="13" spans="1:16" x14ac:dyDescent="0.3">
      <c r="A13">
        <v>1977</v>
      </c>
      <c r="B13">
        <v>27</v>
      </c>
      <c r="C13" t="s">
        <v>26</v>
      </c>
      <c r="D13" t="s">
        <v>31</v>
      </c>
      <c r="E13" t="s">
        <v>32</v>
      </c>
      <c r="F13" t="s">
        <v>21</v>
      </c>
      <c r="G13" t="s">
        <v>41</v>
      </c>
      <c r="H13" t="s">
        <v>25</v>
      </c>
      <c r="I13" s="1">
        <v>3</v>
      </c>
      <c r="J13" s="2">
        <v>46168</v>
      </c>
      <c r="K13" s="2">
        <f t="shared" si="0"/>
        <v>46143</v>
      </c>
      <c r="L13" s="1" t="s">
        <v>56</v>
      </c>
      <c r="M13" s="1" t="s">
        <v>49</v>
      </c>
      <c r="N13">
        <v>2025</v>
      </c>
      <c r="O13" s="2"/>
      <c r="P13" t="str">
        <f t="shared" si="1"/>
        <v>197746168</v>
      </c>
    </row>
    <row r="14" spans="1:16" x14ac:dyDescent="0.3">
      <c r="A14">
        <v>1980</v>
      </c>
      <c r="B14">
        <v>24</v>
      </c>
      <c r="C14" t="s">
        <v>15</v>
      </c>
      <c r="D14" t="s">
        <v>29</v>
      </c>
      <c r="E14" t="s">
        <v>17</v>
      </c>
      <c r="F14" t="s">
        <v>21</v>
      </c>
      <c r="G14" t="s">
        <v>41</v>
      </c>
      <c r="H14" t="s">
        <v>25</v>
      </c>
      <c r="I14" s="1">
        <v>2</v>
      </c>
      <c r="J14" s="2">
        <v>46134</v>
      </c>
      <c r="K14" s="2">
        <f t="shared" si="0"/>
        <v>46113</v>
      </c>
      <c r="L14" s="1" t="str">
        <f>TEXT(J14,"ddd")</f>
        <v>qua</v>
      </c>
      <c r="M14" s="1" t="str">
        <f>TEXT($J14,"mmm")</f>
        <v>abr</v>
      </c>
      <c r="N14">
        <f>YEAR(J14)</f>
        <v>2026</v>
      </c>
      <c r="O14" s="2"/>
      <c r="P14" t="str">
        <f t="shared" si="1"/>
        <v>198046134</v>
      </c>
    </row>
    <row r="15" spans="1:16" x14ac:dyDescent="0.3">
      <c r="A15">
        <v>1980</v>
      </c>
      <c r="B15">
        <v>24</v>
      </c>
      <c r="C15" t="s">
        <v>15</v>
      </c>
      <c r="D15" t="s">
        <v>29</v>
      </c>
      <c r="E15" t="s">
        <v>17</v>
      </c>
      <c r="F15" t="s">
        <v>21</v>
      </c>
      <c r="G15" t="s">
        <v>41</v>
      </c>
      <c r="H15" t="s">
        <v>25</v>
      </c>
      <c r="I15" s="1">
        <v>2</v>
      </c>
      <c r="J15" s="2">
        <v>46173</v>
      </c>
      <c r="K15" s="2">
        <f t="shared" si="0"/>
        <v>46143</v>
      </c>
      <c r="L15" s="1" t="s">
        <v>50</v>
      </c>
      <c r="M15" s="1" t="s">
        <v>48</v>
      </c>
      <c r="N15">
        <v>2025</v>
      </c>
      <c r="O15" s="2"/>
      <c r="P15" t="str">
        <f t="shared" si="1"/>
        <v>198046173</v>
      </c>
    </row>
    <row r="16" spans="1:16" x14ac:dyDescent="0.3">
      <c r="A16">
        <v>1983</v>
      </c>
      <c r="B16">
        <v>37</v>
      </c>
      <c r="C16" t="s">
        <v>26</v>
      </c>
      <c r="D16" t="s">
        <v>27</v>
      </c>
      <c r="E16" t="s">
        <v>17</v>
      </c>
      <c r="F16" t="s">
        <v>18</v>
      </c>
      <c r="G16" t="s">
        <v>41</v>
      </c>
      <c r="H16" t="s">
        <v>25</v>
      </c>
      <c r="I16" s="1">
        <v>3</v>
      </c>
      <c r="J16" s="2">
        <v>46170</v>
      </c>
      <c r="K16" s="2">
        <f t="shared" si="0"/>
        <v>46143</v>
      </c>
      <c r="L16" s="1" t="str">
        <f>TEXT(J16,"ddd")</f>
        <v>qui</v>
      </c>
      <c r="M16" s="1" t="str">
        <f>TEXT($J16,"mmm")</f>
        <v>mai</v>
      </c>
      <c r="N16">
        <f>YEAR(J16)</f>
        <v>2026</v>
      </c>
      <c r="O16" s="2"/>
      <c r="P16" t="str">
        <f t="shared" si="1"/>
        <v>198346170</v>
      </c>
    </row>
    <row r="17" spans="1:16" x14ac:dyDescent="0.3">
      <c r="A17">
        <v>1983</v>
      </c>
      <c r="B17">
        <v>37</v>
      </c>
      <c r="C17" t="s">
        <v>26</v>
      </c>
      <c r="D17" t="s">
        <v>27</v>
      </c>
      <c r="E17" t="s">
        <v>17</v>
      </c>
      <c r="F17" t="s">
        <v>18</v>
      </c>
      <c r="G17" t="s">
        <v>41</v>
      </c>
      <c r="H17" t="s">
        <v>25</v>
      </c>
      <c r="I17" s="1">
        <v>3</v>
      </c>
      <c r="J17" s="2">
        <v>46138</v>
      </c>
      <c r="K17" s="2">
        <f t="shared" si="0"/>
        <v>46113</v>
      </c>
      <c r="L17" s="1" t="str">
        <f>TEXT(J17,"ddd")</f>
        <v>dom</v>
      </c>
      <c r="M17" s="1" t="str">
        <f>TEXT($J17,"mmm")</f>
        <v>abr</v>
      </c>
      <c r="N17">
        <f>YEAR(J17)</f>
        <v>2026</v>
      </c>
      <c r="O17" s="2"/>
      <c r="P17" t="str">
        <f t="shared" si="1"/>
        <v>198346138</v>
      </c>
    </row>
    <row r="18" spans="1:16" x14ac:dyDescent="0.3">
      <c r="A18">
        <v>1983</v>
      </c>
      <c r="B18">
        <v>37</v>
      </c>
      <c r="C18" t="s">
        <v>26</v>
      </c>
      <c r="D18" t="s">
        <v>27</v>
      </c>
      <c r="E18" t="s">
        <v>17</v>
      </c>
      <c r="F18" t="s">
        <v>18</v>
      </c>
      <c r="G18" t="s">
        <v>41</v>
      </c>
      <c r="H18" t="s">
        <v>25</v>
      </c>
      <c r="I18" s="1">
        <v>3</v>
      </c>
      <c r="J18" s="2">
        <v>46156</v>
      </c>
      <c r="K18" s="2">
        <f t="shared" si="0"/>
        <v>46143</v>
      </c>
      <c r="L18" s="1" t="s">
        <v>51</v>
      </c>
      <c r="M18" s="1" t="s">
        <v>49</v>
      </c>
      <c r="N18">
        <v>2025</v>
      </c>
      <c r="O18" s="2"/>
      <c r="P18" t="str">
        <f t="shared" si="1"/>
        <v>198346156</v>
      </c>
    </row>
    <row r="19" spans="1:16" x14ac:dyDescent="0.3">
      <c r="A19">
        <v>1983</v>
      </c>
      <c r="B19">
        <v>37</v>
      </c>
      <c r="C19" t="s">
        <v>26</v>
      </c>
      <c r="D19" t="s">
        <v>27</v>
      </c>
      <c r="E19" t="s">
        <v>17</v>
      </c>
      <c r="F19" t="s">
        <v>18</v>
      </c>
      <c r="G19" t="s">
        <v>41</v>
      </c>
      <c r="H19" t="s">
        <v>25</v>
      </c>
      <c r="I19" s="1">
        <v>3</v>
      </c>
      <c r="J19" s="2">
        <v>46173</v>
      </c>
      <c r="K19" s="2">
        <f t="shared" si="0"/>
        <v>46143</v>
      </c>
      <c r="L19" s="1" t="s">
        <v>54</v>
      </c>
      <c r="M19" s="1" t="s">
        <v>49</v>
      </c>
      <c r="N19">
        <v>2025</v>
      </c>
      <c r="O19" s="2"/>
      <c r="P19" t="str">
        <f t="shared" si="1"/>
        <v>198346173</v>
      </c>
    </row>
    <row r="20" spans="1:16" x14ac:dyDescent="0.3">
      <c r="A20">
        <v>1986</v>
      </c>
      <c r="B20">
        <v>20</v>
      </c>
      <c r="C20" t="s">
        <v>26</v>
      </c>
      <c r="D20" t="s">
        <v>22</v>
      </c>
      <c r="E20" t="s">
        <v>17</v>
      </c>
      <c r="F20" t="s">
        <v>23</v>
      </c>
      <c r="G20" t="s">
        <v>41</v>
      </c>
      <c r="H20" t="s">
        <v>25</v>
      </c>
      <c r="I20" s="1">
        <v>1</v>
      </c>
      <c r="J20" s="2">
        <v>46170</v>
      </c>
      <c r="K20" s="2">
        <f t="shared" si="0"/>
        <v>46143</v>
      </c>
      <c r="L20" s="1" t="str">
        <f>TEXT(J20,"ddd")</f>
        <v>qui</v>
      </c>
      <c r="M20" s="1" t="str">
        <f>TEXT($J20,"mmm")</f>
        <v>mai</v>
      </c>
      <c r="N20">
        <f>YEAR(J20)</f>
        <v>2026</v>
      </c>
      <c r="O20" s="2"/>
      <c r="P20" t="str">
        <f t="shared" si="1"/>
        <v>198646170</v>
      </c>
    </row>
    <row r="21" spans="1:16" x14ac:dyDescent="0.3">
      <c r="A21">
        <v>1986</v>
      </c>
      <c r="B21">
        <v>20</v>
      </c>
      <c r="C21" t="s">
        <v>26</v>
      </c>
      <c r="D21" t="s">
        <v>22</v>
      </c>
      <c r="E21" t="s">
        <v>17</v>
      </c>
      <c r="F21" t="s">
        <v>23</v>
      </c>
      <c r="G21" t="s">
        <v>41</v>
      </c>
      <c r="H21" t="s">
        <v>25</v>
      </c>
      <c r="I21" s="1">
        <v>1</v>
      </c>
      <c r="J21" s="2">
        <v>46123</v>
      </c>
      <c r="K21" s="2">
        <f t="shared" si="0"/>
        <v>46113</v>
      </c>
      <c r="L21" s="1" t="s">
        <v>53</v>
      </c>
      <c r="M21" s="1" t="s">
        <v>48</v>
      </c>
      <c r="N21">
        <v>2025</v>
      </c>
      <c r="O21" s="2"/>
      <c r="P21" t="str">
        <f t="shared" si="1"/>
        <v>198646123</v>
      </c>
    </row>
    <row r="22" spans="1:16" x14ac:dyDescent="0.3">
      <c r="A22">
        <v>1988</v>
      </c>
      <c r="B22">
        <v>39</v>
      </c>
      <c r="C22" t="s">
        <v>15</v>
      </c>
      <c r="D22" t="s">
        <v>29</v>
      </c>
      <c r="E22" t="s">
        <v>17</v>
      </c>
      <c r="F22" t="s">
        <v>23</v>
      </c>
      <c r="G22" t="s">
        <v>41</v>
      </c>
      <c r="H22" t="s">
        <v>25</v>
      </c>
      <c r="I22" s="1">
        <v>1</v>
      </c>
      <c r="J22" s="2">
        <v>46173</v>
      </c>
      <c r="K22" s="2">
        <f t="shared" si="0"/>
        <v>46143</v>
      </c>
      <c r="L22" s="1" t="str">
        <f>TEXT(J22,"ddd")</f>
        <v>dom</v>
      </c>
      <c r="M22" s="1" t="str">
        <f>TEXT($J22,"mmm")</f>
        <v>mai</v>
      </c>
      <c r="N22">
        <f>YEAR(J22)</f>
        <v>2026</v>
      </c>
      <c r="O22" s="2"/>
      <c r="P22" t="str">
        <f t="shared" si="1"/>
        <v>198846173</v>
      </c>
    </row>
    <row r="23" spans="1:16" x14ac:dyDescent="0.3">
      <c r="A23">
        <v>1988</v>
      </c>
      <c r="B23">
        <v>39</v>
      </c>
      <c r="C23" t="s">
        <v>15</v>
      </c>
      <c r="D23" t="s">
        <v>29</v>
      </c>
      <c r="E23" t="s">
        <v>17</v>
      </c>
      <c r="F23" t="s">
        <v>23</v>
      </c>
      <c r="G23" t="s">
        <v>41</v>
      </c>
      <c r="H23" t="s">
        <v>25</v>
      </c>
      <c r="I23" s="1">
        <v>1</v>
      </c>
      <c r="J23" s="2">
        <v>46170</v>
      </c>
      <c r="K23" s="2">
        <f t="shared" si="0"/>
        <v>46143</v>
      </c>
      <c r="L23" s="1" t="str">
        <f>TEXT(J23,"ddd")</f>
        <v>qui</v>
      </c>
      <c r="M23" s="1" t="str">
        <f>TEXT($J23,"mmm")</f>
        <v>mai</v>
      </c>
      <c r="N23">
        <f>YEAR(J23)</f>
        <v>2026</v>
      </c>
      <c r="O23" s="2"/>
      <c r="P23" t="str">
        <f t="shared" si="1"/>
        <v>198846170</v>
      </c>
    </row>
    <row r="24" spans="1:16" x14ac:dyDescent="0.3">
      <c r="A24">
        <v>1988</v>
      </c>
      <c r="B24">
        <v>39</v>
      </c>
      <c r="C24" t="s">
        <v>15</v>
      </c>
      <c r="D24" t="s">
        <v>29</v>
      </c>
      <c r="E24" t="s">
        <v>17</v>
      </c>
      <c r="F24" t="s">
        <v>23</v>
      </c>
      <c r="G24" t="s">
        <v>41</v>
      </c>
      <c r="H24" t="s">
        <v>25</v>
      </c>
      <c r="I24" s="1">
        <v>1</v>
      </c>
      <c r="J24" s="2">
        <v>46138</v>
      </c>
      <c r="K24" s="2">
        <f t="shared" si="0"/>
        <v>46113</v>
      </c>
      <c r="L24" s="1" t="str">
        <f>TEXT(J24,"ddd")</f>
        <v>dom</v>
      </c>
      <c r="M24" s="1" t="str">
        <f>TEXT($J24,"mmm")</f>
        <v>abr</v>
      </c>
      <c r="N24">
        <f>YEAR(J24)</f>
        <v>2026</v>
      </c>
      <c r="O24" s="2"/>
      <c r="P24" t="str">
        <f t="shared" si="1"/>
        <v>198846138</v>
      </c>
    </row>
    <row r="25" spans="1:16" x14ac:dyDescent="0.3">
      <c r="A25">
        <v>1988</v>
      </c>
      <c r="B25">
        <v>39</v>
      </c>
      <c r="C25" t="s">
        <v>15</v>
      </c>
      <c r="D25" t="s">
        <v>29</v>
      </c>
      <c r="E25" t="s">
        <v>17</v>
      </c>
      <c r="F25" t="s">
        <v>23</v>
      </c>
      <c r="G25" t="s">
        <v>41</v>
      </c>
      <c r="H25" t="s">
        <v>25</v>
      </c>
      <c r="I25" s="1">
        <v>1</v>
      </c>
      <c r="J25" s="2">
        <v>46131</v>
      </c>
      <c r="K25" s="2">
        <f t="shared" si="0"/>
        <v>46113</v>
      </c>
      <c r="L25" s="1" t="s">
        <v>54</v>
      </c>
      <c r="M25" s="1" t="s">
        <v>48</v>
      </c>
      <c r="N25">
        <v>2025</v>
      </c>
      <c r="O25" s="2"/>
      <c r="P25" t="str">
        <f t="shared" si="1"/>
        <v>198846131</v>
      </c>
    </row>
    <row r="26" spans="1:16" x14ac:dyDescent="0.3">
      <c r="A26">
        <v>1988</v>
      </c>
      <c r="B26">
        <v>39</v>
      </c>
      <c r="C26" t="s">
        <v>15</v>
      </c>
      <c r="D26" t="s">
        <v>29</v>
      </c>
      <c r="E26" t="s">
        <v>17</v>
      </c>
      <c r="F26" t="s">
        <v>23</v>
      </c>
      <c r="G26" t="s">
        <v>41</v>
      </c>
      <c r="H26" t="s">
        <v>25</v>
      </c>
      <c r="I26" s="1">
        <v>1</v>
      </c>
      <c r="J26" s="2">
        <v>46135</v>
      </c>
      <c r="K26" s="2">
        <f t="shared" si="0"/>
        <v>46113</v>
      </c>
      <c r="L26" s="1" t="s">
        <v>51</v>
      </c>
      <c r="M26" s="1" t="s">
        <v>48</v>
      </c>
      <c r="N26">
        <v>2025</v>
      </c>
      <c r="O26" s="2"/>
      <c r="P26" t="str">
        <f t="shared" si="1"/>
        <v>198846135</v>
      </c>
    </row>
    <row r="27" spans="1:16" x14ac:dyDescent="0.3">
      <c r="A27">
        <v>1988</v>
      </c>
      <c r="B27">
        <v>39</v>
      </c>
      <c r="C27" t="s">
        <v>15</v>
      </c>
      <c r="D27" t="s">
        <v>29</v>
      </c>
      <c r="E27" t="s">
        <v>17</v>
      </c>
      <c r="F27" t="s">
        <v>23</v>
      </c>
      <c r="G27" t="s">
        <v>41</v>
      </c>
      <c r="H27" t="s">
        <v>25</v>
      </c>
      <c r="I27" s="1">
        <v>1</v>
      </c>
      <c r="J27" s="2">
        <v>46162</v>
      </c>
      <c r="K27" s="2">
        <f t="shared" si="0"/>
        <v>46143</v>
      </c>
      <c r="L27" s="1" t="s">
        <v>50</v>
      </c>
      <c r="M27" s="1" t="s">
        <v>49</v>
      </c>
      <c r="N27">
        <v>2025</v>
      </c>
      <c r="O27" s="2"/>
      <c r="P27" t="str">
        <f t="shared" si="1"/>
        <v>198846162</v>
      </c>
    </row>
    <row r="28" spans="1:16" x14ac:dyDescent="0.3">
      <c r="A28">
        <v>1991</v>
      </c>
      <c r="B28">
        <v>49</v>
      </c>
      <c r="C28" t="s">
        <v>15</v>
      </c>
      <c r="D28" t="s">
        <v>16</v>
      </c>
      <c r="E28" t="s">
        <v>17</v>
      </c>
      <c r="F28" t="s">
        <v>21</v>
      </c>
      <c r="G28" t="s">
        <v>41</v>
      </c>
      <c r="H28" t="s">
        <v>25</v>
      </c>
      <c r="I28" s="1">
        <v>1</v>
      </c>
      <c r="J28" s="2">
        <v>46055</v>
      </c>
      <c r="K28" s="2">
        <f t="shared" si="0"/>
        <v>46054</v>
      </c>
      <c r="L28" s="1" t="str">
        <f>TEXT(J28,"ddd")</f>
        <v>seg</v>
      </c>
      <c r="M28" s="1" t="str">
        <f>TEXT($J28,"mmm")</f>
        <v>fev</v>
      </c>
      <c r="N28">
        <f>YEAR(J28)</f>
        <v>2026</v>
      </c>
      <c r="O28" s="2"/>
      <c r="P28" t="str">
        <f t="shared" si="1"/>
        <v>199146055</v>
      </c>
    </row>
    <row r="29" spans="1:16" x14ac:dyDescent="0.3">
      <c r="A29">
        <v>1991</v>
      </c>
      <c r="B29">
        <v>49</v>
      </c>
      <c r="C29" t="s">
        <v>15</v>
      </c>
      <c r="D29" t="s">
        <v>16</v>
      </c>
      <c r="E29" t="s">
        <v>17</v>
      </c>
      <c r="F29" t="s">
        <v>21</v>
      </c>
      <c r="G29" t="s">
        <v>41</v>
      </c>
      <c r="H29" t="s">
        <v>25</v>
      </c>
      <c r="I29" s="1">
        <v>1</v>
      </c>
      <c r="J29" s="2">
        <v>46165</v>
      </c>
      <c r="K29" s="2">
        <f t="shared" si="0"/>
        <v>46143</v>
      </c>
      <c r="L29" s="1" t="s">
        <v>53</v>
      </c>
      <c r="M29" s="1" t="s">
        <v>49</v>
      </c>
      <c r="N29">
        <v>2025</v>
      </c>
      <c r="O29" s="2"/>
      <c r="P29" t="str">
        <f t="shared" si="1"/>
        <v>199146165</v>
      </c>
    </row>
    <row r="30" spans="1:16" x14ac:dyDescent="0.3">
      <c r="A30">
        <v>1994</v>
      </c>
      <c r="B30">
        <v>26</v>
      </c>
      <c r="C30" t="s">
        <v>15</v>
      </c>
      <c r="D30" t="s">
        <v>16</v>
      </c>
      <c r="E30" t="s">
        <v>17</v>
      </c>
      <c r="F30" t="s">
        <v>21</v>
      </c>
      <c r="G30" t="s">
        <v>41</v>
      </c>
      <c r="H30" t="s">
        <v>25</v>
      </c>
      <c r="I30" s="1">
        <v>3</v>
      </c>
      <c r="J30" s="2">
        <v>46124</v>
      </c>
      <c r="K30" s="2">
        <f t="shared" si="0"/>
        <v>46113</v>
      </c>
      <c r="L30" s="1" t="str">
        <f>TEXT(J30,"ddd")</f>
        <v>dom</v>
      </c>
      <c r="M30" s="1" t="str">
        <f>TEXT($J30,"mmm")</f>
        <v>abr</v>
      </c>
      <c r="N30">
        <f>YEAR(J30)</f>
        <v>2026</v>
      </c>
      <c r="O30" s="2"/>
      <c r="P30" t="str">
        <f t="shared" si="1"/>
        <v>199446124</v>
      </c>
    </row>
    <row r="31" spans="1:16" x14ac:dyDescent="0.3">
      <c r="A31">
        <v>1994</v>
      </c>
      <c r="B31">
        <v>26</v>
      </c>
      <c r="C31" t="s">
        <v>15</v>
      </c>
      <c r="D31" t="s">
        <v>16</v>
      </c>
      <c r="E31" t="s">
        <v>17</v>
      </c>
      <c r="F31" t="s">
        <v>21</v>
      </c>
      <c r="G31" t="s">
        <v>41</v>
      </c>
      <c r="H31" t="s">
        <v>25</v>
      </c>
      <c r="I31" s="1">
        <v>3</v>
      </c>
      <c r="J31" s="2">
        <v>46165</v>
      </c>
      <c r="K31" s="2">
        <f t="shared" si="0"/>
        <v>46143</v>
      </c>
      <c r="L31" s="1" t="str">
        <f>TEXT(J31,"ddd")</f>
        <v>sáb</v>
      </c>
      <c r="M31" s="1" t="str">
        <f>TEXT($J31,"mmm")</f>
        <v>mai</v>
      </c>
      <c r="N31">
        <f>YEAR(J31)</f>
        <v>2026</v>
      </c>
      <c r="O31" s="2"/>
      <c r="P31" t="str">
        <f t="shared" si="1"/>
        <v>199446165</v>
      </c>
    </row>
    <row r="32" spans="1:16" x14ac:dyDescent="0.3">
      <c r="A32">
        <v>1994</v>
      </c>
      <c r="B32">
        <v>26</v>
      </c>
      <c r="C32" t="s">
        <v>15</v>
      </c>
      <c r="D32" t="s">
        <v>16</v>
      </c>
      <c r="E32" t="s">
        <v>17</v>
      </c>
      <c r="F32" t="s">
        <v>21</v>
      </c>
      <c r="G32" t="s">
        <v>41</v>
      </c>
      <c r="H32" t="s">
        <v>25</v>
      </c>
      <c r="I32" s="1">
        <v>3</v>
      </c>
      <c r="J32" s="2">
        <v>46173</v>
      </c>
      <c r="K32" s="2">
        <f t="shared" si="0"/>
        <v>46143</v>
      </c>
      <c r="L32" s="1" t="s">
        <v>54</v>
      </c>
      <c r="M32" s="1" t="s">
        <v>48</v>
      </c>
      <c r="N32">
        <v>2025</v>
      </c>
      <c r="O32" s="2"/>
      <c r="P32" t="str">
        <f t="shared" si="1"/>
        <v>199446173</v>
      </c>
    </row>
    <row r="33" spans="1:16" x14ac:dyDescent="0.3">
      <c r="A33">
        <v>1994</v>
      </c>
      <c r="B33">
        <v>26</v>
      </c>
      <c r="C33" t="s">
        <v>15</v>
      </c>
      <c r="D33" t="s">
        <v>16</v>
      </c>
      <c r="E33" t="s">
        <v>17</v>
      </c>
      <c r="F33" t="s">
        <v>21</v>
      </c>
      <c r="G33" t="s">
        <v>41</v>
      </c>
      <c r="H33" t="s">
        <v>25</v>
      </c>
      <c r="I33" s="1">
        <v>3</v>
      </c>
      <c r="J33" s="2">
        <v>46174</v>
      </c>
      <c r="K33" s="2">
        <f t="shared" si="0"/>
        <v>46174</v>
      </c>
      <c r="L33" s="1" t="s">
        <v>53</v>
      </c>
      <c r="M33" s="1" t="s">
        <v>49</v>
      </c>
      <c r="N33">
        <v>2025</v>
      </c>
      <c r="O33" s="2"/>
      <c r="P33" t="str">
        <f t="shared" si="1"/>
        <v>199446174</v>
      </c>
    </row>
    <row r="34" spans="1:16" x14ac:dyDescent="0.3">
      <c r="A34">
        <v>1995</v>
      </c>
      <c r="B34">
        <v>52</v>
      </c>
      <c r="C34" t="s">
        <v>26</v>
      </c>
      <c r="D34" t="s">
        <v>22</v>
      </c>
      <c r="E34" t="s">
        <v>17</v>
      </c>
      <c r="F34" t="s">
        <v>23</v>
      </c>
      <c r="G34" t="s">
        <v>41</v>
      </c>
      <c r="H34" t="s">
        <v>25</v>
      </c>
      <c r="I34" s="1">
        <v>2</v>
      </c>
      <c r="J34" s="2">
        <v>46201</v>
      </c>
      <c r="K34" s="2">
        <f t="shared" si="0"/>
        <v>46174</v>
      </c>
      <c r="L34" s="1" t="str">
        <f>TEXT(J34,"ddd")</f>
        <v>dom</v>
      </c>
      <c r="M34" s="1" t="str">
        <f>TEXT($J34,"mmm")</f>
        <v>jun</v>
      </c>
      <c r="N34">
        <f>YEAR(J34)</f>
        <v>2026</v>
      </c>
      <c r="O34" s="2"/>
      <c r="P34" t="str">
        <f t="shared" si="1"/>
        <v>199546201</v>
      </c>
    </row>
    <row r="35" spans="1:16" x14ac:dyDescent="0.3">
      <c r="A35">
        <v>1995</v>
      </c>
      <c r="B35">
        <v>52</v>
      </c>
      <c r="C35" t="s">
        <v>26</v>
      </c>
      <c r="D35" t="s">
        <v>22</v>
      </c>
      <c r="E35" t="s">
        <v>17</v>
      </c>
      <c r="F35" t="s">
        <v>23</v>
      </c>
      <c r="G35" t="s">
        <v>41</v>
      </c>
      <c r="H35" t="s">
        <v>25</v>
      </c>
      <c r="I35" s="1">
        <v>2</v>
      </c>
      <c r="J35" s="2">
        <v>46162</v>
      </c>
      <c r="K35" s="2">
        <f t="shared" si="0"/>
        <v>46143</v>
      </c>
      <c r="L35" s="1" t="s">
        <v>50</v>
      </c>
      <c r="M35" s="1" t="s">
        <v>49</v>
      </c>
      <c r="N35">
        <v>2025</v>
      </c>
      <c r="O35" s="2"/>
      <c r="P35" t="str">
        <f t="shared" si="1"/>
        <v>199546162</v>
      </c>
    </row>
    <row r="36" spans="1:16" x14ac:dyDescent="0.3">
      <c r="A36">
        <v>1997</v>
      </c>
      <c r="B36">
        <v>32</v>
      </c>
      <c r="C36" t="s">
        <v>15</v>
      </c>
      <c r="D36" t="s">
        <v>27</v>
      </c>
      <c r="E36" t="s">
        <v>17</v>
      </c>
      <c r="F36" t="s">
        <v>21</v>
      </c>
      <c r="G36" t="s">
        <v>41</v>
      </c>
      <c r="H36" t="s">
        <v>25</v>
      </c>
      <c r="I36" s="1">
        <v>2</v>
      </c>
      <c r="J36" s="2">
        <v>46129</v>
      </c>
      <c r="K36" s="2">
        <f t="shared" si="0"/>
        <v>46113</v>
      </c>
      <c r="L36" s="1" t="str">
        <f>TEXT(J36,"ddd")</f>
        <v>sex</v>
      </c>
      <c r="M36" s="1" t="str">
        <f>TEXT($J36,"mmm")</f>
        <v>abr</v>
      </c>
      <c r="N36">
        <f>YEAR(J36)</f>
        <v>2026</v>
      </c>
      <c r="O36" s="2"/>
      <c r="P36" t="str">
        <f t="shared" si="1"/>
        <v>199746129</v>
      </c>
    </row>
    <row r="37" spans="1:16" x14ac:dyDescent="0.3">
      <c r="A37">
        <v>1997</v>
      </c>
      <c r="B37">
        <v>32</v>
      </c>
      <c r="C37" t="s">
        <v>15</v>
      </c>
      <c r="D37" t="s">
        <v>27</v>
      </c>
      <c r="E37" t="s">
        <v>17</v>
      </c>
      <c r="F37" t="s">
        <v>21</v>
      </c>
      <c r="G37" t="s">
        <v>41</v>
      </c>
      <c r="H37" t="s">
        <v>25</v>
      </c>
      <c r="I37" s="1">
        <v>2</v>
      </c>
      <c r="J37" s="2">
        <v>46174</v>
      </c>
      <c r="K37" s="2">
        <f t="shared" si="0"/>
        <v>46174</v>
      </c>
      <c r="L37" s="1" t="str">
        <f>TEXT(J37,"ddd")</f>
        <v>seg</v>
      </c>
      <c r="M37" s="1" t="str">
        <f>TEXT($J37,"mmm")</f>
        <v>jun</v>
      </c>
      <c r="N37">
        <f>YEAR(J37)</f>
        <v>2026</v>
      </c>
      <c r="O37" s="2"/>
      <c r="P37" t="str">
        <f t="shared" si="1"/>
        <v>199746174</v>
      </c>
    </row>
    <row r="38" spans="1:16" x14ac:dyDescent="0.3">
      <c r="A38">
        <v>1997</v>
      </c>
      <c r="B38">
        <v>32</v>
      </c>
      <c r="C38" t="s">
        <v>15</v>
      </c>
      <c r="D38" t="s">
        <v>27</v>
      </c>
      <c r="E38" t="s">
        <v>17</v>
      </c>
      <c r="F38" t="s">
        <v>21</v>
      </c>
      <c r="G38" t="s">
        <v>41</v>
      </c>
      <c r="H38" t="s">
        <v>25</v>
      </c>
      <c r="I38" s="1">
        <v>2</v>
      </c>
      <c r="J38" s="2">
        <v>46173</v>
      </c>
      <c r="K38" s="2">
        <f t="shared" si="0"/>
        <v>46143</v>
      </c>
      <c r="L38" s="1" t="str">
        <f>TEXT(J38,"ddd")</f>
        <v>dom</v>
      </c>
      <c r="M38" s="1" t="str">
        <f>TEXT($J38,"mmm")</f>
        <v>mai</v>
      </c>
      <c r="N38">
        <f>YEAR(J38)</f>
        <v>2026</v>
      </c>
      <c r="O38" s="2"/>
      <c r="P38" t="str">
        <f t="shared" si="1"/>
        <v>199746173</v>
      </c>
    </row>
    <row r="39" spans="1:16" x14ac:dyDescent="0.3">
      <c r="A39">
        <v>1997</v>
      </c>
      <c r="B39">
        <v>32</v>
      </c>
      <c r="C39" t="s">
        <v>15</v>
      </c>
      <c r="D39" t="s">
        <v>27</v>
      </c>
      <c r="E39" t="s">
        <v>17</v>
      </c>
      <c r="F39" t="s">
        <v>21</v>
      </c>
      <c r="G39" t="s">
        <v>41</v>
      </c>
      <c r="H39" t="s">
        <v>25</v>
      </c>
      <c r="I39" s="1">
        <v>2</v>
      </c>
      <c r="J39" s="2">
        <v>46201</v>
      </c>
      <c r="K39" s="2">
        <f t="shared" si="0"/>
        <v>46174</v>
      </c>
      <c r="L39" s="1" t="s">
        <v>52</v>
      </c>
      <c r="M39" s="1" t="s">
        <v>48</v>
      </c>
      <c r="N39">
        <v>2025</v>
      </c>
      <c r="O39" s="2"/>
      <c r="P39" t="str">
        <f t="shared" si="1"/>
        <v>199746201</v>
      </c>
    </row>
    <row r="40" spans="1:16" x14ac:dyDescent="0.3">
      <c r="A40">
        <v>1997</v>
      </c>
      <c r="B40">
        <v>32</v>
      </c>
      <c r="C40" t="s">
        <v>15</v>
      </c>
      <c r="D40" t="s">
        <v>27</v>
      </c>
      <c r="E40" t="s">
        <v>17</v>
      </c>
      <c r="F40" t="s">
        <v>21</v>
      </c>
      <c r="G40" t="s">
        <v>41</v>
      </c>
      <c r="H40" t="s">
        <v>25</v>
      </c>
      <c r="I40" s="1">
        <v>2</v>
      </c>
      <c r="J40" s="2">
        <v>46159</v>
      </c>
      <c r="K40" s="2">
        <f t="shared" si="0"/>
        <v>46143</v>
      </c>
      <c r="L40" s="1" t="s">
        <v>54</v>
      </c>
      <c r="M40" s="1" t="s">
        <v>49</v>
      </c>
      <c r="N40">
        <v>2025</v>
      </c>
      <c r="O40" s="2"/>
      <c r="P40" t="str">
        <f t="shared" si="1"/>
        <v>199746159</v>
      </c>
    </row>
    <row r="41" spans="1:16" x14ac:dyDescent="0.3">
      <c r="A41">
        <v>1997</v>
      </c>
      <c r="B41">
        <v>32</v>
      </c>
      <c r="C41" t="s">
        <v>15</v>
      </c>
      <c r="D41" t="s">
        <v>27</v>
      </c>
      <c r="E41" t="s">
        <v>17</v>
      </c>
      <c r="F41" t="s">
        <v>21</v>
      </c>
      <c r="G41" t="s">
        <v>41</v>
      </c>
      <c r="H41" t="s">
        <v>25</v>
      </c>
      <c r="I41" s="1">
        <v>2</v>
      </c>
      <c r="J41" s="2">
        <v>46169</v>
      </c>
      <c r="K41" s="2">
        <f t="shared" si="0"/>
        <v>46143</v>
      </c>
      <c r="L41" s="1" t="s">
        <v>50</v>
      </c>
      <c r="M41" s="1" t="s">
        <v>49</v>
      </c>
      <c r="N41">
        <v>2025</v>
      </c>
      <c r="O41" s="2"/>
      <c r="P41" t="str">
        <f t="shared" si="1"/>
        <v>199746169</v>
      </c>
    </row>
    <row r="42" spans="1:16" x14ac:dyDescent="0.3">
      <c r="A42">
        <v>1999</v>
      </c>
      <c r="B42">
        <v>56</v>
      </c>
      <c r="C42" t="s">
        <v>26</v>
      </c>
      <c r="D42" t="s">
        <v>29</v>
      </c>
      <c r="E42" t="s">
        <v>17</v>
      </c>
      <c r="F42" t="s">
        <v>21</v>
      </c>
      <c r="G42" t="s">
        <v>41</v>
      </c>
      <c r="H42" t="s">
        <v>25</v>
      </c>
      <c r="I42" s="1">
        <v>1</v>
      </c>
      <c r="J42" s="2">
        <v>46194</v>
      </c>
      <c r="K42" s="2">
        <f t="shared" si="0"/>
        <v>46174</v>
      </c>
      <c r="L42" s="1" t="str">
        <f>TEXT(J42,"ddd")</f>
        <v>dom</v>
      </c>
      <c r="M42" s="1" t="str">
        <f>TEXT($J42,"mmm")</f>
        <v>jun</v>
      </c>
      <c r="N42">
        <f>YEAR(J42)</f>
        <v>2026</v>
      </c>
      <c r="O42" s="2"/>
      <c r="P42" t="str">
        <f t="shared" si="1"/>
        <v>199946194</v>
      </c>
    </row>
    <row r="43" spans="1:16" x14ac:dyDescent="0.3">
      <c r="A43">
        <v>1999</v>
      </c>
      <c r="B43">
        <v>56</v>
      </c>
      <c r="C43" t="s">
        <v>26</v>
      </c>
      <c r="D43" t="s">
        <v>29</v>
      </c>
      <c r="E43" t="s">
        <v>17</v>
      </c>
      <c r="F43" t="s">
        <v>21</v>
      </c>
      <c r="G43" t="s">
        <v>41</v>
      </c>
      <c r="H43" t="s">
        <v>25</v>
      </c>
      <c r="I43" s="1">
        <v>1</v>
      </c>
      <c r="J43" s="2">
        <v>46188</v>
      </c>
      <c r="K43" s="2">
        <f t="shared" si="0"/>
        <v>46174</v>
      </c>
      <c r="L43" s="1" t="str">
        <f>TEXT(J43,"ddd")</f>
        <v>seg</v>
      </c>
      <c r="M43" s="1" t="str">
        <f>TEXT($J43,"mmm")</f>
        <v>jun</v>
      </c>
      <c r="N43">
        <f>YEAR(J43)</f>
        <v>2026</v>
      </c>
      <c r="O43" s="2"/>
      <c r="P43" t="str">
        <f t="shared" si="1"/>
        <v>199946188</v>
      </c>
    </row>
    <row r="44" spans="1:16" x14ac:dyDescent="0.3">
      <c r="A44">
        <v>1999</v>
      </c>
      <c r="B44">
        <v>56</v>
      </c>
      <c r="C44" t="s">
        <v>26</v>
      </c>
      <c r="D44" t="s">
        <v>29</v>
      </c>
      <c r="E44" t="s">
        <v>17</v>
      </c>
      <c r="F44" t="s">
        <v>21</v>
      </c>
      <c r="G44" t="s">
        <v>41</v>
      </c>
      <c r="H44" t="s">
        <v>25</v>
      </c>
      <c r="I44" s="1">
        <v>1</v>
      </c>
      <c r="J44" s="2">
        <v>46174</v>
      </c>
      <c r="K44" s="2">
        <f t="shared" si="0"/>
        <v>46174</v>
      </c>
      <c r="L44" s="1" t="str">
        <f>TEXT(J44,"ddd")</f>
        <v>seg</v>
      </c>
      <c r="M44" s="1" t="str">
        <f>TEXT($J44,"mmm")</f>
        <v>jun</v>
      </c>
      <c r="N44">
        <f>YEAR(J44)</f>
        <v>2026</v>
      </c>
      <c r="O44" s="2"/>
      <c r="P44" t="str">
        <f t="shared" si="1"/>
        <v>199946174</v>
      </c>
    </row>
    <row r="45" spans="1:16" x14ac:dyDescent="0.3">
      <c r="A45">
        <v>1999</v>
      </c>
      <c r="B45">
        <v>56</v>
      </c>
      <c r="C45" t="s">
        <v>26</v>
      </c>
      <c r="D45" t="s">
        <v>29</v>
      </c>
      <c r="E45" t="s">
        <v>17</v>
      </c>
      <c r="F45" t="s">
        <v>21</v>
      </c>
      <c r="G45" t="s">
        <v>41</v>
      </c>
      <c r="H45" t="s">
        <v>25</v>
      </c>
      <c r="I45" s="1">
        <v>1</v>
      </c>
      <c r="J45" s="2">
        <v>46131</v>
      </c>
      <c r="K45" s="2">
        <f t="shared" si="0"/>
        <v>46113</v>
      </c>
      <c r="L45" s="1" t="s">
        <v>54</v>
      </c>
      <c r="M45" s="1" t="s">
        <v>48</v>
      </c>
      <c r="N45">
        <v>2025</v>
      </c>
      <c r="O45" s="2"/>
      <c r="P45" t="str">
        <f t="shared" si="1"/>
        <v>199946131</v>
      </c>
    </row>
    <row r="46" spans="1:16" x14ac:dyDescent="0.3">
      <c r="A46">
        <v>1999</v>
      </c>
      <c r="B46">
        <v>56</v>
      </c>
      <c r="C46" t="s">
        <v>26</v>
      </c>
      <c r="D46" t="s">
        <v>29</v>
      </c>
      <c r="E46" t="s">
        <v>17</v>
      </c>
      <c r="F46" t="s">
        <v>21</v>
      </c>
      <c r="G46" t="s">
        <v>41</v>
      </c>
      <c r="H46" t="s">
        <v>25</v>
      </c>
      <c r="I46" s="1">
        <v>1</v>
      </c>
      <c r="J46" s="2">
        <v>46201</v>
      </c>
      <c r="K46" s="2">
        <f t="shared" si="0"/>
        <v>46174</v>
      </c>
      <c r="L46" s="1" t="s">
        <v>56</v>
      </c>
      <c r="M46" s="1" t="s">
        <v>48</v>
      </c>
      <c r="N46">
        <v>2025</v>
      </c>
      <c r="O46" s="2"/>
      <c r="P46" t="str">
        <f t="shared" si="1"/>
        <v>199946201</v>
      </c>
    </row>
    <row r="47" spans="1:16" x14ac:dyDescent="0.3">
      <c r="A47">
        <v>1999</v>
      </c>
      <c r="B47">
        <v>56</v>
      </c>
      <c r="C47" t="s">
        <v>26</v>
      </c>
      <c r="D47" t="s">
        <v>29</v>
      </c>
      <c r="E47" t="s">
        <v>17</v>
      </c>
      <c r="F47" t="s">
        <v>21</v>
      </c>
      <c r="G47" t="s">
        <v>41</v>
      </c>
      <c r="H47" t="s">
        <v>25</v>
      </c>
      <c r="I47" s="1">
        <v>1</v>
      </c>
      <c r="J47" s="2">
        <v>46154</v>
      </c>
      <c r="K47" s="2">
        <f t="shared" si="0"/>
        <v>46143</v>
      </c>
      <c r="L47" s="1" t="s">
        <v>56</v>
      </c>
      <c r="M47" s="1" t="s">
        <v>49</v>
      </c>
      <c r="N47">
        <v>2025</v>
      </c>
      <c r="O47" s="2"/>
      <c r="P47" t="str">
        <f t="shared" si="1"/>
        <v>199946154</v>
      </c>
    </row>
    <row r="48" spans="1:16" x14ac:dyDescent="0.3">
      <c r="A48">
        <v>2001</v>
      </c>
      <c r="B48">
        <v>48</v>
      </c>
      <c r="C48" t="s">
        <v>15</v>
      </c>
      <c r="D48" t="s">
        <v>16</v>
      </c>
      <c r="E48" t="s">
        <v>17</v>
      </c>
      <c r="F48" t="s">
        <v>23</v>
      </c>
      <c r="G48" t="s">
        <v>41</v>
      </c>
      <c r="H48" t="s">
        <v>25</v>
      </c>
      <c r="I48" s="1">
        <v>3</v>
      </c>
      <c r="J48" s="2">
        <v>46173</v>
      </c>
      <c r="K48" s="2">
        <f t="shared" si="0"/>
        <v>46143</v>
      </c>
      <c r="L48" s="1" t="str">
        <f>TEXT(J48,"ddd")</f>
        <v>dom</v>
      </c>
      <c r="M48" s="1" t="str">
        <f>TEXT($J48,"mmm")</f>
        <v>mai</v>
      </c>
      <c r="N48">
        <f>YEAR(J48)</f>
        <v>2026</v>
      </c>
      <c r="O48" s="2"/>
      <c r="P48" t="str">
        <f t="shared" si="1"/>
        <v>200146173</v>
      </c>
    </row>
    <row r="49" spans="1:16" x14ac:dyDescent="0.3">
      <c r="A49">
        <v>2001</v>
      </c>
      <c r="B49">
        <v>48</v>
      </c>
      <c r="C49" t="s">
        <v>15</v>
      </c>
      <c r="D49" t="s">
        <v>16</v>
      </c>
      <c r="E49" t="s">
        <v>17</v>
      </c>
      <c r="F49" t="s">
        <v>23</v>
      </c>
      <c r="G49" t="s">
        <v>41</v>
      </c>
      <c r="H49" t="s">
        <v>25</v>
      </c>
      <c r="I49" s="1">
        <v>3</v>
      </c>
      <c r="J49" s="2">
        <v>46148</v>
      </c>
      <c r="K49" s="2">
        <f t="shared" si="0"/>
        <v>46143</v>
      </c>
      <c r="L49" s="1" t="s">
        <v>50</v>
      </c>
      <c r="M49" s="1" t="s">
        <v>49</v>
      </c>
      <c r="N49">
        <v>2025</v>
      </c>
      <c r="O49" s="2"/>
      <c r="P49" t="str">
        <f t="shared" si="1"/>
        <v>200146148</v>
      </c>
    </row>
    <row r="50" spans="1:16" x14ac:dyDescent="0.3">
      <c r="A50">
        <v>2002</v>
      </c>
      <c r="B50">
        <v>53</v>
      </c>
      <c r="C50" t="s">
        <v>26</v>
      </c>
      <c r="D50" t="s">
        <v>27</v>
      </c>
      <c r="E50" t="s">
        <v>17</v>
      </c>
      <c r="F50" t="s">
        <v>18</v>
      </c>
      <c r="G50" t="s">
        <v>41</v>
      </c>
      <c r="H50" t="s">
        <v>25</v>
      </c>
      <c r="I50" s="1">
        <v>3</v>
      </c>
      <c r="J50" s="2">
        <v>46166</v>
      </c>
      <c r="K50" s="2">
        <f t="shared" si="0"/>
        <v>46143</v>
      </c>
      <c r="L50" s="1" t="str">
        <f>TEXT(J50,"ddd")</f>
        <v>dom</v>
      </c>
      <c r="M50" s="1" t="str">
        <f>TEXT($J50,"mmm")</f>
        <v>mai</v>
      </c>
      <c r="N50">
        <f>YEAR(J50)</f>
        <v>2026</v>
      </c>
      <c r="O50" s="2"/>
      <c r="P50" t="str">
        <f t="shared" si="1"/>
        <v>200246166</v>
      </c>
    </row>
    <row r="51" spans="1:16" x14ac:dyDescent="0.3">
      <c r="A51">
        <v>2002</v>
      </c>
      <c r="B51">
        <v>53</v>
      </c>
      <c r="C51" t="s">
        <v>26</v>
      </c>
      <c r="D51" t="s">
        <v>27</v>
      </c>
      <c r="E51" t="s">
        <v>17</v>
      </c>
      <c r="F51" t="s">
        <v>18</v>
      </c>
      <c r="G51" t="s">
        <v>41</v>
      </c>
      <c r="H51" t="s">
        <v>25</v>
      </c>
      <c r="I51" s="1">
        <v>3</v>
      </c>
      <c r="J51" s="2">
        <v>46194</v>
      </c>
      <c r="K51" s="2">
        <f t="shared" si="0"/>
        <v>46174</v>
      </c>
      <c r="L51" s="1" t="str">
        <f>TEXT(J51,"ddd")</f>
        <v>dom</v>
      </c>
      <c r="M51" s="1" t="str">
        <f>TEXT($J51,"mmm")</f>
        <v>jun</v>
      </c>
      <c r="N51">
        <f>YEAR(J51)</f>
        <v>2026</v>
      </c>
      <c r="O51" s="2"/>
      <c r="P51" t="str">
        <f t="shared" si="1"/>
        <v>200246194</v>
      </c>
    </row>
    <row r="52" spans="1:16" x14ac:dyDescent="0.3">
      <c r="A52">
        <v>2002</v>
      </c>
      <c r="B52">
        <v>53</v>
      </c>
      <c r="C52" t="s">
        <v>26</v>
      </c>
      <c r="D52" t="s">
        <v>27</v>
      </c>
      <c r="E52" t="s">
        <v>17</v>
      </c>
      <c r="F52" t="s">
        <v>18</v>
      </c>
      <c r="G52" t="s">
        <v>41</v>
      </c>
      <c r="H52" t="s">
        <v>25</v>
      </c>
      <c r="I52" s="1">
        <v>3</v>
      </c>
      <c r="J52" s="2">
        <v>46201</v>
      </c>
      <c r="K52" s="2">
        <f t="shared" si="0"/>
        <v>46174</v>
      </c>
      <c r="L52" s="1" t="s">
        <v>54</v>
      </c>
      <c r="M52" s="1" t="s">
        <v>49</v>
      </c>
      <c r="N52">
        <v>2025</v>
      </c>
      <c r="O52" s="2"/>
      <c r="P52" t="str">
        <f t="shared" si="1"/>
        <v>200246201</v>
      </c>
    </row>
    <row r="53" spans="1:16" x14ac:dyDescent="0.3">
      <c r="A53">
        <v>2002</v>
      </c>
      <c r="B53">
        <v>53</v>
      </c>
      <c r="C53" t="s">
        <v>26</v>
      </c>
      <c r="D53" t="s">
        <v>27</v>
      </c>
      <c r="E53" t="s">
        <v>17</v>
      </c>
      <c r="F53" t="s">
        <v>18</v>
      </c>
      <c r="G53" t="s">
        <v>41</v>
      </c>
      <c r="H53" t="s">
        <v>25</v>
      </c>
      <c r="I53" s="1">
        <v>3</v>
      </c>
      <c r="J53" s="2">
        <v>46167</v>
      </c>
      <c r="K53" s="2">
        <f t="shared" si="0"/>
        <v>46143</v>
      </c>
      <c r="L53" s="1" t="s">
        <v>55</v>
      </c>
      <c r="M53" s="1" t="s">
        <v>49</v>
      </c>
      <c r="N53">
        <v>2025</v>
      </c>
      <c r="O53" s="2"/>
      <c r="P53" t="str">
        <f t="shared" si="1"/>
        <v>200246167</v>
      </c>
    </row>
    <row r="54" spans="1:16" x14ac:dyDescent="0.3">
      <c r="A54">
        <v>2006</v>
      </c>
      <c r="B54">
        <v>41</v>
      </c>
      <c r="C54" t="s">
        <v>26</v>
      </c>
      <c r="D54" t="s">
        <v>27</v>
      </c>
      <c r="E54" t="s">
        <v>17</v>
      </c>
      <c r="F54" t="s">
        <v>21</v>
      </c>
      <c r="G54" t="s">
        <v>41</v>
      </c>
      <c r="H54" t="s">
        <v>25</v>
      </c>
      <c r="I54" s="1">
        <v>2</v>
      </c>
      <c r="J54" s="2">
        <v>46164</v>
      </c>
      <c r="K54" s="2">
        <f t="shared" si="0"/>
        <v>46143</v>
      </c>
      <c r="L54" s="1" t="str">
        <f>TEXT(J54,"ddd")</f>
        <v>sex</v>
      </c>
      <c r="M54" s="1" t="str">
        <f>TEXT($J54,"mmm")</f>
        <v>mai</v>
      </c>
      <c r="N54">
        <f>YEAR(J54)</f>
        <v>2026</v>
      </c>
      <c r="O54" s="2"/>
      <c r="P54" t="str">
        <f t="shared" si="1"/>
        <v>200646164</v>
      </c>
    </row>
    <row r="55" spans="1:16" x14ac:dyDescent="0.3">
      <c r="A55">
        <v>2006</v>
      </c>
      <c r="B55">
        <v>41</v>
      </c>
      <c r="C55" t="s">
        <v>26</v>
      </c>
      <c r="D55" t="s">
        <v>27</v>
      </c>
      <c r="E55" t="s">
        <v>17</v>
      </c>
      <c r="F55" t="s">
        <v>21</v>
      </c>
      <c r="G55" t="s">
        <v>41</v>
      </c>
      <c r="H55" t="s">
        <v>25</v>
      </c>
      <c r="I55" s="1">
        <v>2</v>
      </c>
      <c r="J55" s="2">
        <v>46144</v>
      </c>
      <c r="K55" s="2">
        <f t="shared" si="0"/>
        <v>46143</v>
      </c>
      <c r="L55" s="1" t="s">
        <v>53</v>
      </c>
      <c r="M55" s="1" t="s">
        <v>49</v>
      </c>
      <c r="N55">
        <v>2025</v>
      </c>
      <c r="O55" s="2"/>
      <c r="P55" t="str">
        <f t="shared" si="1"/>
        <v>200646144</v>
      </c>
    </row>
    <row r="56" spans="1:16" x14ac:dyDescent="0.3">
      <c r="A56">
        <v>2007</v>
      </c>
      <c r="B56">
        <v>45</v>
      </c>
      <c r="C56" t="s">
        <v>26</v>
      </c>
      <c r="D56" t="s">
        <v>27</v>
      </c>
      <c r="E56" t="s">
        <v>17</v>
      </c>
      <c r="F56" t="s">
        <v>18</v>
      </c>
      <c r="G56" t="s">
        <v>41</v>
      </c>
      <c r="H56" t="s">
        <v>25</v>
      </c>
      <c r="I56" s="1">
        <v>2</v>
      </c>
      <c r="J56" s="2">
        <v>46144</v>
      </c>
      <c r="K56" s="2">
        <f t="shared" si="0"/>
        <v>46143</v>
      </c>
      <c r="L56" s="1" t="str">
        <f>TEXT(J56,"ddd")</f>
        <v>sáb</v>
      </c>
      <c r="M56" s="1" t="str">
        <f>TEXT($J56,"mmm")</f>
        <v>mai</v>
      </c>
      <c r="N56">
        <f>YEAR(J56)</f>
        <v>2026</v>
      </c>
      <c r="O56" s="2"/>
      <c r="P56" t="str">
        <f t="shared" si="1"/>
        <v>200746144</v>
      </c>
    </row>
    <row r="57" spans="1:16" x14ac:dyDescent="0.3">
      <c r="A57">
        <v>2007</v>
      </c>
      <c r="B57">
        <v>45</v>
      </c>
      <c r="C57" t="s">
        <v>26</v>
      </c>
      <c r="D57" t="s">
        <v>27</v>
      </c>
      <c r="E57" t="s">
        <v>17</v>
      </c>
      <c r="F57" t="s">
        <v>18</v>
      </c>
      <c r="G57" t="s">
        <v>41</v>
      </c>
      <c r="H57" t="s">
        <v>25</v>
      </c>
      <c r="I57" s="1">
        <v>2</v>
      </c>
      <c r="J57" s="2">
        <v>46201</v>
      </c>
      <c r="K57" s="2">
        <f t="shared" si="0"/>
        <v>46174</v>
      </c>
      <c r="L57" s="1" t="str">
        <f>TEXT(J57,"ddd")</f>
        <v>dom</v>
      </c>
      <c r="M57" s="1" t="str">
        <f>TEXT($J57,"mmm")</f>
        <v>jun</v>
      </c>
      <c r="N57">
        <f>YEAR(J57)</f>
        <v>2026</v>
      </c>
      <c r="O57" s="2"/>
      <c r="P57" t="str">
        <f t="shared" si="1"/>
        <v>200746201</v>
      </c>
    </row>
    <row r="58" spans="1:16" x14ac:dyDescent="0.3">
      <c r="A58">
        <v>2007</v>
      </c>
      <c r="B58">
        <v>45</v>
      </c>
      <c r="C58" t="s">
        <v>26</v>
      </c>
      <c r="D58" t="s">
        <v>27</v>
      </c>
      <c r="E58" t="s">
        <v>17</v>
      </c>
      <c r="F58" t="s">
        <v>18</v>
      </c>
      <c r="G58" t="s">
        <v>41</v>
      </c>
      <c r="H58" t="s">
        <v>25</v>
      </c>
      <c r="I58" s="1">
        <v>2</v>
      </c>
      <c r="J58" s="2">
        <v>46173</v>
      </c>
      <c r="K58" s="2">
        <f t="shared" si="0"/>
        <v>46143</v>
      </c>
      <c r="L58" s="1" t="s">
        <v>53</v>
      </c>
      <c r="M58" s="1" t="s">
        <v>49</v>
      </c>
      <c r="N58">
        <v>2025</v>
      </c>
      <c r="O58" s="2"/>
      <c r="P58" t="str">
        <f t="shared" si="1"/>
        <v>200746173</v>
      </c>
    </row>
    <row r="59" spans="1:16" x14ac:dyDescent="0.3">
      <c r="A59">
        <v>2007</v>
      </c>
      <c r="B59">
        <v>45</v>
      </c>
      <c r="C59" t="s">
        <v>26</v>
      </c>
      <c r="D59" t="s">
        <v>27</v>
      </c>
      <c r="E59" t="s">
        <v>17</v>
      </c>
      <c r="F59" t="s">
        <v>18</v>
      </c>
      <c r="G59" t="s">
        <v>41</v>
      </c>
      <c r="H59" t="s">
        <v>25</v>
      </c>
      <c r="I59" s="1">
        <v>2</v>
      </c>
      <c r="J59" s="2">
        <v>46156</v>
      </c>
      <c r="K59" s="2">
        <f t="shared" si="0"/>
        <v>46143</v>
      </c>
      <c r="L59" s="1" t="s">
        <v>51</v>
      </c>
      <c r="M59" s="1" t="s">
        <v>49</v>
      </c>
      <c r="N59">
        <v>2025</v>
      </c>
      <c r="O59" s="2"/>
      <c r="P59" t="str">
        <f t="shared" si="1"/>
        <v>200746156</v>
      </c>
    </row>
    <row r="60" spans="1:16" x14ac:dyDescent="0.3">
      <c r="A60">
        <v>2008</v>
      </c>
      <c r="B60">
        <v>37</v>
      </c>
      <c r="C60" t="s">
        <v>15</v>
      </c>
      <c r="D60" t="s">
        <v>16</v>
      </c>
      <c r="E60" t="s">
        <v>17</v>
      </c>
      <c r="F60" t="s">
        <v>21</v>
      </c>
      <c r="G60" t="s">
        <v>41</v>
      </c>
      <c r="H60" t="s">
        <v>25</v>
      </c>
      <c r="I60" s="1">
        <v>2</v>
      </c>
      <c r="J60" s="2">
        <v>46148</v>
      </c>
      <c r="K60" s="2">
        <f t="shared" si="0"/>
        <v>46143</v>
      </c>
      <c r="L60" s="1" t="str">
        <f>TEXT(J60,"ddd")</f>
        <v>qua</v>
      </c>
      <c r="M60" s="1" t="str">
        <f>TEXT($J60,"mmm")</f>
        <v>mai</v>
      </c>
      <c r="N60">
        <f>YEAR(J60)</f>
        <v>2026</v>
      </c>
      <c r="O60" s="2"/>
      <c r="P60" t="str">
        <f t="shared" si="1"/>
        <v>200846148</v>
      </c>
    </row>
    <row r="61" spans="1:16" x14ac:dyDescent="0.3">
      <c r="A61">
        <v>2008</v>
      </c>
      <c r="B61">
        <v>37</v>
      </c>
      <c r="C61" t="s">
        <v>15</v>
      </c>
      <c r="D61" t="s">
        <v>16</v>
      </c>
      <c r="E61" t="s">
        <v>17</v>
      </c>
      <c r="F61" t="s">
        <v>21</v>
      </c>
      <c r="G61" t="s">
        <v>41</v>
      </c>
      <c r="H61" t="s">
        <v>25</v>
      </c>
      <c r="I61" s="1">
        <v>2</v>
      </c>
      <c r="J61" s="2">
        <v>46194</v>
      </c>
      <c r="K61" s="2">
        <f t="shared" si="0"/>
        <v>46174</v>
      </c>
      <c r="L61" s="1" t="s">
        <v>50</v>
      </c>
      <c r="M61" s="1" t="s">
        <v>49</v>
      </c>
      <c r="N61">
        <v>2025</v>
      </c>
      <c r="O61" s="2"/>
      <c r="P61" t="str">
        <f t="shared" si="1"/>
        <v>200846194</v>
      </c>
    </row>
    <row r="62" spans="1:16" x14ac:dyDescent="0.3">
      <c r="A62">
        <v>2010</v>
      </c>
      <c r="B62">
        <v>20</v>
      </c>
      <c r="C62" t="s">
        <v>26</v>
      </c>
      <c r="D62" t="s">
        <v>16</v>
      </c>
      <c r="E62" t="s">
        <v>17</v>
      </c>
      <c r="F62" t="s">
        <v>23</v>
      </c>
      <c r="G62" t="s">
        <v>41</v>
      </c>
      <c r="H62" t="s">
        <v>25</v>
      </c>
      <c r="I62" s="1">
        <v>3</v>
      </c>
      <c r="J62" s="2">
        <v>46123</v>
      </c>
      <c r="K62" s="2">
        <f t="shared" si="0"/>
        <v>46113</v>
      </c>
      <c r="L62" s="1" t="str">
        <f>TEXT(J62,"ddd")</f>
        <v>sáb</v>
      </c>
      <c r="M62" s="1" t="str">
        <f>TEXT($J62,"mmm")</f>
        <v>abr</v>
      </c>
      <c r="N62">
        <f>YEAR(J62)</f>
        <v>2026</v>
      </c>
      <c r="O62" s="2"/>
      <c r="P62" t="str">
        <f t="shared" si="1"/>
        <v>201046123</v>
      </c>
    </row>
    <row r="63" spans="1:16" x14ac:dyDescent="0.3">
      <c r="A63">
        <v>2010</v>
      </c>
      <c r="B63">
        <v>20</v>
      </c>
      <c r="C63" t="s">
        <v>26</v>
      </c>
      <c r="D63" t="s">
        <v>16</v>
      </c>
      <c r="E63" t="s">
        <v>17</v>
      </c>
      <c r="F63" t="s">
        <v>23</v>
      </c>
      <c r="G63" t="s">
        <v>41</v>
      </c>
      <c r="H63" t="s">
        <v>25</v>
      </c>
      <c r="I63" s="1">
        <v>3</v>
      </c>
      <c r="J63" s="2">
        <v>46184</v>
      </c>
      <c r="K63" s="2">
        <f t="shared" si="0"/>
        <v>46174</v>
      </c>
      <c r="L63" s="1" t="str">
        <f>TEXT(J63,"ddd")</f>
        <v>qui</v>
      </c>
      <c r="M63" s="1" t="str">
        <f>TEXT($J63,"mmm")</f>
        <v>jun</v>
      </c>
      <c r="N63">
        <f>YEAR(J63)</f>
        <v>2026</v>
      </c>
      <c r="O63" s="2"/>
      <c r="P63" t="str">
        <f t="shared" si="1"/>
        <v>201046184</v>
      </c>
    </row>
    <row r="64" spans="1:16" x14ac:dyDescent="0.3">
      <c r="A64">
        <v>2010</v>
      </c>
      <c r="B64">
        <v>20</v>
      </c>
      <c r="C64" t="s">
        <v>26</v>
      </c>
      <c r="D64" t="s">
        <v>16</v>
      </c>
      <c r="E64" t="s">
        <v>17</v>
      </c>
      <c r="F64" t="s">
        <v>23</v>
      </c>
      <c r="G64" t="s">
        <v>41</v>
      </c>
      <c r="H64" t="s">
        <v>25</v>
      </c>
      <c r="I64" s="1">
        <v>3</v>
      </c>
      <c r="J64" s="2">
        <v>46194</v>
      </c>
      <c r="K64" s="2">
        <f t="shared" si="0"/>
        <v>46174</v>
      </c>
      <c r="L64" s="1" t="s">
        <v>53</v>
      </c>
      <c r="M64" s="1" t="s">
        <v>48</v>
      </c>
      <c r="N64">
        <v>2025</v>
      </c>
      <c r="O64" s="2"/>
      <c r="P64" t="str">
        <f t="shared" si="1"/>
        <v>201046194</v>
      </c>
    </row>
    <row r="65" spans="1:16" x14ac:dyDescent="0.3">
      <c r="A65">
        <v>2010</v>
      </c>
      <c r="B65">
        <v>20</v>
      </c>
      <c r="C65" t="s">
        <v>26</v>
      </c>
      <c r="D65" t="s">
        <v>16</v>
      </c>
      <c r="E65" t="s">
        <v>17</v>
      </c>
      <c r="F65" t="s">
        <v>23</v>
      </c>
      <c r="G65" t="s">
        <v>41</v>
      </c>
      <c r="H65" t="s">
        <v>25</v>
      </c>
      <c r="I65" s="1">
        <v>3</v>
      </c>
      <c r="J65" s="2">
        <v>46170</v>
      </c>
      <c r="K65" s="2">
        <f t="shared" si="0"/>
        <v>46143</v>
      </c>
      <c r="L65" s="1" t="s">
        <v>51</v>
      </c>
      <c r="M65" s="1" t="s">
        <v>49</v>
      </c>
      <c r="N65">
        <v>2025</v>
      </c>
      <c r="O65" s="2"/>
      <c r="P65" t="str">
        <f t="shared" si="1"/>
        <v>201046170</v>
      </c>
    </row>
    <row r="66" spans="1:16" x14ac:dyDescent="0.3">
      <c r="A66">
        <v>2011</v>
      </c>
      <c r="B66">
        <v>38</v>
      </c>
      <c r="C66" t="s">
        <v>15</v>
      </c>
      <c r="D66" t="s">
        <v>22</v>
      </c>
      <c r="E66" t="s">
        <v>17</v>
      </c>
      <c r="F66" t="s">
        <v>21</v>
      </c>
      <c r="G66" t="s">
        <v>41</v>
      </c>
      <c r="H66" t="s">
        <v>25</v>
      </c>
      <c r="I66" s="1">
        <v>2</v>
      </c>
      <c r="J66" s="2">
        <v>46173</v>
      </c>
      <c r="K66" s="2">
        <f t="shared" si="0"/>
        <v>46143</v>
      </c>
      <c r="L66" s="1" t="str">
        <f>TEXT(J66,"ddd")</f>
        <v>dom</v>
      </c>
      <c r="M66" s="1" t="str">
        <f>TEXT($J66,"mmm")</f>
        <v>mai</v>
      </c>
      <c r="N66">
        <f>YEAR(J66)</f>
        <v>2026</v>
      </c>
      <c r="O66" s="2"/>
      <c r="P66" t="str">
        <f t="shared" si="1"/>
        <v>201146173</v>
      </c>
    </row>
    <row r="67" spans="1:16" x14ac:dyDescent="0.3">
      <c r="A67">
        <v>2011</v>
      </c>
      <c r="B67">
        <v>38</v>
      </c>
      <c r="C67" t="s">
        <v>15</v>
      </c>
      <c r="D67" t="s">
        <v>22</v>
      </c>
      <c r="E67" t="s">
        <v>17</v>
      </c>
      <c r="F67" t="s">
        <v>21</v>
      </c>
      <c r="G67" t="s">
        <v>41</v>
      </c>
      <c r="H67" t="s">
        <v>25</v>
      </c>
      <c r="I67" s="1">
        <v>2</v>
      </c>
      <c r="J67" s="2">
        <v>46130</v>
      </c>
      <c r="K67" s="2">
        <f t="shared" ref="K67:K130" si="2">DATE(YEAR(J67),MONTH(J67),1)</f>
        <v>46113</v>
      </c>
      <c r="L67" s="1" t="s">
        <v>53</v>
      </c>
      <c r="M67" s="1" t="s">
        <v>48</v>
      </c>
      <c r="N67">
        <v>2025</v>
      </c>
      <c r="O67" s="2"/>
      <c r="P67" t="str">
        <f t="shared" ref="P67:P129" si="3">CONCATENATE(A67,J67)</f>
        <v>201146130</v>
      </c>
    </row>
    <row r="68" spans="1:16" x14ac:dyDescent="0.3">
      <c r="A68">
        <v>2013</v>
      </c>
      <c r="B68">
        <v>40</v>
      </c>
      <c r="C68" t="s">
        <v>26</v>
      </c>
      <c r="D68" t="s">
        <v>27</v>
      </c>
      <c r="E68" t="s">
        <v>17</v>
      </c>
      <c r="F68" t="s">
        <v>21</v>
      </c>
      <c r="G68" t="s">
        <v>41</v>
      </c>
      <c r="H68" t="s">
        <v>25</v>
      </c>
      <c r="I68" s="1">
        <v>3</v>
      </c>
      <c r="J68" s="2">
        <v>46194</v>
      </c>
      <c r="K68" s="2">
        <f t="shared" si="2"/>
        <v>46174</v>
      </c>
      <c r="L68" s="1" t="str">
        <f>TEXT(J68,"ddd")</f>
        <v>dom</v>
      </c>
      <c r="M68" s="1" t="str">
        <f>TEXT($J68,"mmm")</f>
        <v>jun</v>
      </c>
      <c r="N68">
        <f>YEAR(J68)</f>
        <v>2026</v>
      </c>
      <c r="O68" s="2"/>
      <c r="P68" t="str">
        <f t="shared" si="3"/>
        <v>201346194</v>
      </c>
    </row>
    <row r="69" spans="1:16" x14ac:dyDescent="0.3">
      <c r="A69">
        <v>2013</v>
      </c>
      <c r="B69">
        <v>40</v>
      </c>
      <c r="C69" t="s">
        <v>26</v>
      </c>
      <c r="D69" t="s">
        <v>27</v>
      </c>
      <c r="E69" t="s">
        <v>17</v>
      </c>
      <c r="F69" t="s">
        <v>21</v>
      </c>
      <c r="G69" t="s">
        <v>41</v>
      </c>
      <c r="H69" t="s">
        <v>25</v>
      </c>
      <c r="I69" s="1">
        <v>3</v>
      </c>
      <c r="J69" s="2">
        <v>46162</v>
      </c>
      <c r="K69" s="2">
        <f t="shared" si="2"/>
        <v>46143</v>
      </c>
      <c r="L69" s="1" t="s">
        <v>50</v>
      </c>
      <c r="M69" s="1" t="s">
        <v>49</v>
      </c>
      <c r="N69">
        <v>2025</v>
      </c>
      <c r="O69" s="2"/>
      <c r="P69" t="str">
        <f t="shared" si="3"/>
        <v>201346162</v>
      </c>
    </row>
    <row r="70" spans="1:16" x14ac:dyDescent="0.3">
      <c r="A70">
        <v>2014</v>
      </c>
      <c r="B70">
        <v>22</v>
      </c>
      <c r="C70" t="s">
        <v>15</v>
      </c>
      <c r="D70" t="s">
        <v>31</v>
      </c>
      <c r="E70" t="s">
        <v>34</v>
      </c>
      <c r="F70" t="s">
        <v>18</v>
      </c>
      <c r="G70" t="s">
        <v>41</v>
      </c>
      <c r="H70" t="s">
        <v>25</v>
      </c>
      <c r="I70" s="1">
        <v>2</v>
      </c>
      <c r="J70" s="2">
        <v>46184</v>
      </c>
      <c r="K70" s="2">
        <f t="shared" si="2"/>
        <v>46174</v>
      </c>
      <c r="L70" s="1" t="str">
        <f>TEXT(J70,"ddd")</f>
        <v>qui</v>
      </c>
      <c r="M70" s="1" t="str">
        <f>TEXT($J70,"mmm")</f>
        <v>jun</v>
      </c>
      <c r="N70">
        <f>YEAR(J70)</f>
        <v>2026</v>
      </c>
      <c r="O70" s="2"/>
      <c r="P70" t="str">
        <f t="shared" si="3"/>
        <v>201446184</v>
      </c>
    </row>
    <row r="71" spans="1:16" x14ac:dyDescent="0.3">
      <c r="A71">
        <v>2014</v>
      </c>
      <c r="B71">
        <v>22</v>
      </c>
      <c r="C71" t="s">
        <v>15</v>
      </c>
      <c r="D71" t="s">
        <v>31</v>
      </c>
      <c r="E71" t="s">
        <v>34</v>
      </c>
      <c r="F71" t="s">
        <v>18</v>
      </c>
      <c r="G71" t="s">
        <v>41</v>
      </c>
      <c r="H71" t="s">
        <v>25</v>
      </c>
      <c r="I71" s="1">
        <v>2</v>
      </c>
      <c r="J71" s="2">
        <v>46164</v>
      </c>
      <c r="K71" s="2">
        <f t="shared" si="2"/>
        <v>46143</v>
      </c>
      <c r="L71" s="1" t="s">
        <v>52</v>
      </c>
      <c r="M71" s="1" t="s">
        <v>49</v>
      </c>
      <c r="N71">
        <v>2025</v>
      </c>
      <c r="O71" s="2"/>
      <c r="P71" t="str">
        <f t="shared" si="3"/>
        <v>201446164</v>
      </c>
    </row>
    <row r="72" spans="1:16" x14ac:dyDescent="0.3">
      <c r="A72">
        <v>2016</v>
      </c>
      <c r="B72">
        <v>21</v>
      </c>
      <c r="C72" t="s">
        <v>26</v>
      </c>
      <c r="D72" t="s">
        <v>22</v>
      </c>
      <c r="E72" t="s">
        <v>17</v>
      </c>
      <c r="F72" t="s">
        <v>23</v>
      </c>
      <c r="G72" t="s">
        <v>41</v>
      </c>
      <c r="H72" t="s">
        <v>25</v>
      </c>
      <c r="I72" s="1">
        <v>3</v>
      </c>
      <c r="J72" s="2">
        <v>46166</v>
      </c>
      <c r="K72" s="2">
        <f t="shared" si="2"/>
        <v>46143</v>
      </c>
      <c r="L72" s="1" t="str">
        <f>TEXT(J72,"ddd")</f>
        <v>dom</v>
      </c>
      <c r="M72" s="1" t="str">
        <f>TEXT($J72,"mmm")</f>
        <v>mai</v>
      </c>
      <c r="N72">
        <f>YEAR(J72)</f>
        <v>2026</v>
      </c>
      <c r="O72" s="2"/>
      <c r="P72" t="str">
        <f t="shared" si="3"/>
        <v>201646166</v>
      </c>
    </row>
    <row r="73" spans="1:16" x14ac:dyDescent="0.3">
      <c r="A73">
        <v>2016</v>
      </c>
      <c r="B73">
        <v>21</v>
      </c>
      <c r="C73" t="s">
        <v>26</v>
      </c>
      <c r="D73" t="s">
        <v>22</v>
      </c>
      <c r="E73" t="s">
        <v>17</v>
      </c>
      <c r="F73" t="s">
        <v>23</v>
      </c>
      <c r="G73" t="s">
        <v>41</v>
      </c>
      <c r="H73" t="s">
        <v>25</v>
      </c>
      <c r="I73" s="1">
        <v>3</v>
      </c>
      <c r="J73" s="2">
        <v>46201</v>
      </c>
      <c r="K73" s="2">
        <f t="shared" si="2"/>
        <v>46174</v>
      </c>
      <c r="L73" s="1" t="s">
        <v>54</v>
      </c>
      <c r="M73" s="1" t="s">
        <v>49</v>
      </c>
      <c r="N73">
        <v>2025</v>
      </c>
      <c r="O73" s="2"/>
      <c r="P73" t="str">
        <f t="shared" si="3"/>
        <v>201646201</v>
      </c>
    </row>
    <row r="74" spans="1:16" x14ac:dyDescent="0.3">
      <c r="A74">
        <v>2018</v>
      </c>
      <c r="B74">
        <v>29</v>
      </c>
      <c r="C74" t="s">
        <v>15</v>
      </c>
      <c r="D74" t="s">
        <v>16</v>
      </c>
      <c r="E74" t="s">
        <v>17</v>
      </c>
      <c r="F74" t="s">
        <v>18</v>
      </c>
      <c r="G74" t="s">
        <v>41</v>
      </c>
      <c r="H74" t="s">
        <v>25</v>
      </c>
      <c r="I74" s="1">
        <v>2</v>
      </c>
      <c r="J74" s="2">
        <v>46173</v>
      </c>
      <c r="K74" s="2">
        <f t="shared" si="2"/>
        <v>46143</v>
      </c>
      <c r="L74" s="1" t="str">
        <f>TEXT(J74,"ddd")</f>
        <v>dom</v>
      </c>
      <c r="M74" s="1" t="str">
        <f>TEXT($J74,"mmm")</f>
        <v>mai</v>
      </c>
      <c r="N74">
        <f>YEAR(J74)</f>
        <v>2026</v>
      </c>
      <c r="O74" s="2"/>
      <c r="P74" t="str">
        <f t="shared" si="3"/>
        <v>201846173</v>
      </c>
    </row>
    <row r="75" spans="1:16" x14ac:dyDescent="0.3">
      <c r="A75">
        <v>2018</v>
      </c>
      <c r="B75">
        <v>29</v>
      </c>
      <c r="C75" t="s">
        <v>15</v>
      </c>
      <c r="D75" t="s">
        <v>16</v>
      </c>
      <c r="E75" t="s">
        <v>17</v>
      </c>
      <c r="F75" t="s">
        <v>18</v>
      </c>
      <c r="G75" t="s">
        <v>41</v>
      </c>
      <c r="H75" t="s">
        <v>25</v>
      </c>
      <c r="I75" s="1">
        <v>2</v>
      </c>
      <c r="J75" s="2">
        <v>46154</v>
      </c>
      <c r="K75" s="2">
        <f t="shared" si="2"/>
        <v>46143</v>
      </c>
      <c r="L75" s="1" t="s">
        <v>56</v>
      </c>
      <c r="M75" s="1" t="s">
        <v>49</v>
      </c>
      <c r="N75">
        <v>2025</v>
      </c>
      <c r="O75" s="2"/>
      <c r="P75" t="str">
        <f t="shared" si="3"/>
        <v>201846154</v>
      </c>
    </row>
    <row r="76" spans="1:16" x14ac:dyDescent="0.3">
      <c r="A76">
        <v>2021</v>
      </c>
      <c r="B76">
        <v>42</v>
      </c>
      <c r="C76" t="s">
        <v>26</v>
      </c>
      <c r="D76" t="s">
        <v>22</v>
      </c>
      <c r="E76" t="s">
        <v>17</v>
      </c>
      <c r="F76" t="s">
        <v>21</v>
      </c>
      <c r="G76" t="s">
        <v>41</v>
      </c>
      <c r="H76" t="s">
        <v>25</v>
      </c>
      <c r="I76" s="1">
        <v>3</v>
      </c>
      <c r="J76" s="2">
        <v>46128</v>
      </c>
      <c r="K76" s="2">
        <f t="shared" si="2"/>
        <v>46113</v>
      </c>
      <c r="L76" s="1" t="str">
        <f>TEXT(J76,"ddd")</f>
        <v>qui</v>
      </c>
      <c r="M76" s="1" t="str">
        <f>TEXT($J76,"mmm")</f>
        <v>abr</v>
      </c>
      <c r="N76">
        <f>YEAR(J76)</f>
        <v>2026</v>
      </c>
      <c r="O76" s="2"/>
      <c r="P76" t="str">
        <f t="shared" si="3"/>
        <v>202146128</v>
      </c>
    </row>
    <row r="77" spans="1:16" x14ac:dyDescent="0.3">
      <c r="A77">
        <v>2021</v>
      </c>
      <c r="B77">
        <v>42</v>
      </c>
      <c r="C77" t="s">
        <v>26</v>
      </c>
      <c r="D77" t="s">
        <v>22</v>
      </c>
      <c r="E77" t="s">
        <v>17</v>
      </c>
      <c r="F77" t="s">
        <v>21</v>
      </c>
      <c r="G77" t="s">
        <v>41</v>
      </c>
      <c r="H77" t="s">
        <v>25</v>
      </c>
      <c r="I77" s="1">
        <v>3</v>
      </c>
      <c r="J77" s="2">
        <v>46132</v>
      </c>
      <c r="K77" s="2">
        <f t="shared" si="2"/>
        <v>46113</v>
      </c>
      <c r="L77" s="1" t="str">
        <f>TEXT(J77,"ddd")</f>
        <v>seg</v>
      </c>
      <c r="M77" s="1" t="str">
        <f>TEXT($J77,"mmm")</f>
        <v>abr</v>
      </c>
      <c r="N77">
        <f>YEAR(J77)</f>
        <v>2026</v>
      </c>
      <c r="O77" s="2"/>
      <c r="P77" t="str">
        <f t="shared" si="3"/>
        <v>202146132</v>
      </c>
    </row>
    <row r="78" spans="1:16" x14ac:dyDescent="0.3">
      <c r="A78">
        <v>2021</v>
      </c>
      <c r="B78">
        <v>42</v>
      </c>
      <c r="C78" t="s">
        <v>26</v>
      </c>
      <c r="D78" t="s">
        <v>22</v>
      </c>
      <c r="E78" t="s">
        <v>17</v>
      </c>
      <c r="F78" t="s">
        <v>21</v>
      </c>
      <c r="G78" t="s">
        <v>41</v>
      </c>
      <c r="H78" t="s">
        <v>25</v>
      </c>
      <c r="I78" s="1">
        <v>3</v>
      </c>
      <c r="J78" s="2">
        <v>46182</v>
      </c>
      <c r="K78" s="2">
        <f t="shared" si="2"/>
        <v>46174</v>
      </c>
      <c r="L78" s="1" t="s">
        <v>51</v>
      </c>
      <c r="M78" s="1" t="s">
        <v>48</v>
      </c>
      <c r="N78">
        <v>2025</v>
      </c>
      <c r="O78" s="2"/>
      <c r="P78" t="str">
        <f t="shared" si="3"/>
        <v>202146182</v>
      </c>
    </row>
    <row r="79" spans="1:16" x14ac:dyDescent="0.3">
      <c r="A79">
        <v>2021</v>
      </c>
      <c r="B79">
        <v>42</v>
      </c>
      <c r="C79" t="s">
        <v>26</v>
      </c>
      <c r="D79" t="s">
        <v>22</v>
      </c>
      <c r="E79" t="s">
        <v>17</v>
      </c>
      <c r="F79" t="s">
        <v>21</v>
      </c>
      <c r="G79" t="s">
        <v>41</v>
      </c>
      <c r="H79" t="s">
        <v>25</v>
      </c>
      <c r="I79" s="1">
        <v>3</v>
      </c>
      <c r="J79" s="2">
        <v>46201</v>
      </c>
      <c r="K79" s="2">
        <f t="shared" si="2"/>
        <v>46174</v>
      </c>
      <c r="L79" s="1" t="s">
        <v>55</v>
      </c>
      <c r="M79" s="1" t="s">
        <v>48</v>
      </c>
      <c r="N79">
        <v>2025</v>
      </c>
      <c r="O79" s="2"/>
      <c r="P79" t="str">
        <f t="shared" si="3"/>
        <v>202146201</v>
      </c>
    </row>
    <row r="80" spans="1:16" x14ac:dyDescent="0.3">
      <c r="A80">
        <v>2023</v>
      </c>
      <c r="B80">
        <v>57</v>
      </c>
      <c r="C80" t="s">
        <v>15</v>
      </c>
      <c r="D80" t="s">
        <v>29</v>
      </c>
      <c r="E80" t="s">
        <v>17</v>
      </c>
      <c r="F80" t="s">
        <v>23</v>
      </c>
      <c r="G80" t="s">
        <v>41</v>
      </c>
      <c r="H80" t="s">
        <v>25</v>
      </c>
      <c r="I80" s="1">
        <v>1</v>
      </c>
      <c r="J80" s="2">
        <v>46169</v>
      </c>
      <c r="K80" s="2">
        <f t="shared" si="2"/>
        <v>46143</v>
      </c>
      <c r="L80" s="1" t="str">
        <f>TEXT(J80,"ddd")</f>
        <v>qua</v>
      </c>
      <c r="M80" s="1" t="str">
        <f>TEXT($J80,"mmm")</f>
        <v>mai</v>
      </c>
      <c r="N80">
        <f>YEAR(J80)</f>
        <v>2026</v>
      </c>
      <c r="O80" s="2"/>
      <c r="P80" t="str">
        <f t="shared" si="3"/>
        <v>202346169</v>
      </c>
    </row>
    <row r="81" spans="1:16" x14ac:dyDescent="0.3">
      <c r="A81">
        <v>2023</v>
      </c>
      <c r="B81">
        <v>57</v>
      </c>
      <c r="C81" t="s">
        <v>15</v>
      </c>
      <c r="D81" t="s">
        <v>29</v>
      </c>
      <c r="E81" t="s">
        <v>17</v>
      </c>
      <c r="F81" t="s">
        <v>23</v>
      </c>
      <c r="G81" t="s">
        <v>41</v>
      </c>
      <c r="H81" t="s">
        <v>25</v>
      </c>
      <c r="I81" s="1">
        <v>1</v>
      </c>
      <c r="J81" s="2">
        <v>46167</v>
      </c>
      <c r="K81" s="2">
        <f t="shared" si="2"/>
        <v>46143</v>
      </c>
      <c r="L81" s="1" t="s">
        <v>50</v>
      </c>
      <c r="M81" s="1" t="s">
        <v>49</v>
      </c>
      <c r="N81">
        <v>2025</v>
      </c>
      <c r="O81" s="2"/>
      <c r="P81" t="str">
        <f t="shared" si="3"/>
        <v>202346167</v>
      </c>
    </row>
    <row r="82" spans="1:16" x14ac:dyDescent="0.3">
      <c r="A82">
        <v>2024</v>
      </c>
      <c r="B82">
        <v>33</v>
      </c>
      <c r="C82" t="s">
        <v>26</v>
      </c>
      <c r="D82" t="s">
        <v>27</v>
      </c>
      <c r="E82" t="s">
        <v>17</v>
      </c>
      <c r="F82" t="s">
        <v>21</v>
      </c>
      <c r="G82" t="s">
        <v>41</v>
      </c>
      <c r="H82" t="s">
        <v>25</v>
      </c>
      <c r="I82" s="1">
        <v>2</v>
      </c>
      <c r="J82" s="2">
        <v>46150</v>
      </c>
      <c r="K82" s="2">
        <f t="shared" si="2"/>
        <v>46143</v>
      </c>
      <c r="L82" s="1" t="str">
        <f>TEXT(J82,"ddd")</f>
        <v>sex</v>
      </c>
      <c r="M82" s="1" t="str">
        <f>TEXT($J82,"mmm")</f>
        <v>mai</v>
      </c>
      <c r="N82">
        <f>YEAR(J82)</f>
        <v>2026</v>
      </c>
      <c r="O82" s="2"/>
      <c r="P82" t="str">
        <f t="shared" si="3"/>
        <v>202446150</v>
      </c>
    </row>
    <row r="83" spans="1:16" x14ac:dyDescent="0.3">
      <c r="A83">
        <v>2024</v>
      </c>
      <c r="B83">
        <v>33</v>
      </c>
      <c r="C83" t="s">
        <v>26</v>
      </c>
      <c r="D83" t="s">
        <v>27</v>
      </c>
      <c r="E83" t="s">
        <v>17</v>
      </c>
      <c r="F83" t="s">
        <v>21</v>
      </c>
      <c r="G83" t="s">
        <v>41</v>
      </c>
      <c r="H83" t="s">
        <v>25</v>
      </c>
      <c r="I83" s="1">
        <v>2</v>
      </c>
      <c r="J83" s="2">
        <v>46201</v>
      </c>
      <c r="K83" s="2">
        <f t="shared" si="2"/>
        <v>46174</v>
      </c>
      <c r="L83" s="1" t="str">
        <f>TEXT(J83,"ddd")</f>
        <v>dom</v>
      </c>
      <c r="M83" s="1" t="str">
        <f>TEXT($J83,"mmm")</f>
        <v>jun</v>
      </c>
      <c r="N83">
        <f>YEAR(J83)</f>
        <v>2026</v>
      </c>
      <c r="O83" s="2"/>
      <c r="P83" t="str">
        <f t="shared" si="3"/>
        <v>202446201</v>
      </c>
    </row>
    <row r="84" spans="1:16" x14ac:dyDescent="0.3">
      <c r="A84">
        <v>2024</v>
      </c>
      <c r="B84">
        <v>33</v>
      </c>
      <c r="C84" t="s">
        <v>26</v>
      </c>
      <c r="D84" t="s">
        <v>27</v>
      </c>
      <c r="E84" t="s">
        <v>17</v>
      </c>
      <c r="F84" t="s">
        <v>21</v>
      </c>
      <c r="G84" t="s">
        <v>41</v>
      </c>
      <c r="H84" t="s">
        <v>25</v>
      </c>
      <c r="I84" s="1">
        <v>2</v>
      </c>
      <c r="J84" s="2">
        <v>46166</v>
      </c>
      <c r="K84" s="2">
        <f t="shared" si="2"/>
        <v>46143</v>
      </c>
      <c r="L84" s="1" t="str">
        <f>TEXT(J84,"ddd")</f>
        <v>dom</v>
      </c>
      <c r="M84" s="1" t="str">
        <f>TEXT($J84,"mmm")</f>
        <v>mai</v>
      </c>
      <c r="N84">
        <f>YEAR(J84)</f>
        <v>2026</v>
      </c>
      <c r="O84" s="2"/>
      <c r="P84" t="str">
        <f t="shared" si="3"/>
        <v>202446166</v>
      </c>
    </row>
    <row r="85" spans="1:16" x14ac:dyDescent="0.3">
      <c r="A85">
        <v>2024</v>
      </c>
      <c r="B85">
        <v>33</v>
      </c>
      <c r="C85" t="s">
        <v>26</v>
      </c>
      <c r="D85" t="s">
        <v>27</v>
      </c>
      <c r="E85" t="s">
        <v>17</v>
      </c>
      <c r="F85" t="s">
        <v>21</v>
      </c>
      <c r="G85" t="s">
        <v>41</v>
      </c>
      <c r="H85" t="s">
        <v>25</v>
      </c>
      <c r="I85" s="1">
        <v>2</v>
      </c>
      <c r="J85" s="2">
        <v>46173</v>
      </c>
      <c r="K85" s="2">
        <f t="shared" si="2"/>
        <v>46143</v>
      </c>
      <c r="L85" s="1" t="s">
        <v>52</v>
      </c>
      <c r="M85" s="1" t="s">
        <v>49</v>
      </c>
      <c r="N85">
        <v>2025</v>
      </c>
      <c r="O85" s="2"/>
      <c r="P85" t="str">
        <f t="shared" si="3"/>
        <v>202446173</v>
      </c>
    </row>
    <row r="86" spans="1:16" x14ac:dyDescent="0.3">
      <c r="A86">
        <v>2024</v>
      </c>
      <c r="B86">
        <v>33</v>
      </c>
      <c r="C86" t="s">
        <v>26</v>
      </c>
      <c r="D86" t="s">
        <v>27</v>
      </c>
      <c r="E86" t="s">
        <v>17</v>
      </c>
      <c r="F86" t="s">
        <v>21</v>
      </c>
      <c r="G86" t="s">
        <v>41</v>
      </c>
      <c r="H86" t="s">
        <v>25</v>
      </c>
      <c r="I86" s="1">
        <v>2</v>
      </c>
      <c r="J86" s="2">
        <v>46158</v>
      </c>
      <c r="K86" s="2">
        <f t="shared" si="2"/>
        <v>46143</v>
      </c>
      <c r="L86" s="1" t="s">
        <v>53</v>
      </c>
      <c r="M86" s="1" t="s">
        <v>49</v>
      </c>
      <c r="N86">
        <v>2025</v>
      </c>
      <c r="O86" s="2"/>
      <c r="P86" t="str">
        <f t="shared" si="3"/>
        <v>202446158</v>
      </c>
    </row>
    <row r="87" spans="1:16" x14ac:dyDescent="0.3">
      <c r="A87">
        <v>2024</v>
      </c>
      <c r="B87">
        <v>33</v>
      </c>
      <c r="C87" t="s">
        <v>26</v>
      </c>
      <c r="D87" t="s">
        <v>27</v>
      </c>
      <c r="E87" t="s">
        <v>17</v>
      </c>
      <c r="F87" t="s">
        <v>21</v>
      </c>
      <c r="G87" t="s">
        <v>41</v>
      </c>
      <c r="H87" t="s">
        <v>25</v>
      </c>
      <c r="I87" s="1">
        <v>2</v>
      </c>
      <c r="J87" s="2">
        <v>46182</v>
      </c>
      <c r="K87" s="2">
        <f t="shared" si="2"/>
        <v>46174</v>
      </c>
      <c r="L87" s="1" t="s">
        <v>54</v>
      </c>
      <c r="M87" s="1" t="s">
        <v>49</v>
      </c>
      <c r="N87">
        <v>2025</v>
      </c>
      <c r="O87" s="2"/>
      <c r="P87" t="str">
        <f t="shared" si="3"/>
        <v>202446182</v>
      </c>
    </row>
    <row r="88" spans="1:16" x14ac:dyDescent="0.3">
      <c r="A88">
        <v>2028</v>
      </c>
      <c r="B88">
        <v>41</v>
      </c>
      <c r="C88" t="s">
        <v>15</v>
      </c>
      <c r="D88" t="s">
        <v>29</v>
      </c>
      <c r="E88" t="s">
        <v>17</v>
      </c>
      <c r="F88" t="s">
        <v>23</v>
      </c>
      <c r="G88" t="s">
        <v>41</v>
      </c>
      <c r="H88" t="s">
        <v>25</v>
      </c>
      <c r="I88" s="1">
        <v>3</v>
      </c>
      <c r="J88" s="2">
        <v>46158</v>
      </c>
      <c r="K88" s="2">
        <f t="shared" si="2"/>
        <v>46143</v>
      </c>
      <c r="L88" s="1" t="str">
        <f>TEXT(J88,"ddd")</f>
        <v>sáb</v>
      </c>
      <c r="M88" s="1" t="str">
        <f>TEXT($J88,"mmm")</f>
        <v>mai</v>
      </c>
      <c r="N88">
        <f>YEAR(J88)</f>
        <v>2026</v>
      </c>
      <c r="O88" s="2"/>
      <c r="P88" t="str">
        <f t="shared" si="3"/>
        <v>202846158</v>
      </c>
    </row>
    <row r="89" spans="1:16" x14ac:dyDescent="0.3">
      <c r="A89">
        <v>2028</v>
      </c>
      <c r="B89">
        <v>41</v>
      </c>
      <c r="C89" t="s">
        <v>15</v>
      </c>
      <c r="D89" t="s">
        <v>29</v>
      </c>
      <c r="E89" t="s">
        <v>17</v>
      </c>
      <c r="F89" t="s">
        <v>23</v>
      </c>
      <c r="G89" t="s">
        <v>41</v>
      </c>
      <c r="H89" t="s">
        <v>25</v>
      </c>
      <c r="I89" s="1">
        <v>3</v>
      </c>
      <c r="J89" s="2">
        <v>46194</v>
      </c>
      <c r="K89" s="2">
        <f t="shared" si="2"/>
        <v>46174</v>
      </c>
      <c r="L89" s="1" t="s">
        <v>53</v>
      </c>
      <c r="M89" s="1" t="s">
        <v>49</v>
      </c>
      <c r="N89">
        <v>2025</v>
      </c>
      <c r="O89" s="2"/>
      <c r="P89" t="str">
        <f t="shared" si="3"/>
        <v>202846194</v>
      </c>
    </row>
    <row r="90" spans="1:16" x14ac:dyDescent="0.3">
      <c r="A90">
        <v>2029</v>
      </c>
      <c r="B90">
        <v>36</v>
      </c>
      <c r="C90" t="s">
        <v>26</v>
      </c>
      <c r="D90" t="s">
        <v>27</v>
      </c>
      <c r="E90" t="s">
        <v>17</v>
      </c>
      <c r="F90" t="s">
        <v>23</v>
      </c>
      <c r="G90" t="s">
        <v>41</v>
      </c>
      <c r="H90" t="s">
        <v>25</v>
      </c>
      <c r="I90" s="1">
        <v>2</v>
      </c>
      <c r="J90" s="2">
        <v>46124</v>
      </c>
      <c r="K90" s="2">
        <f t="shared" si="2"/>
        <v>46113</v>
      </c>
      <c r="L90" s="1" t="str">
        <f>TEXT(J90,"ddd")</f>
        <v>dom</v>
      </c>
      <c r="M90" s="1" t="str">
        <f>TEXT($J90,"mmm")</f>
        <v>abr</v>
      </c>
      <c r="N90">
        <f>YEAR(J90)</f>
        <v>2026</v>
      </c>
      <c r="O90" s="2"/>
      <c r="P90" t="str">
        <f t="shared" si="3"/>
        <v>202946124</v>
      </c>
    </row>
    <row r="91" spans="1:16" x14ac:dyDescent="0.3">
      <c r="A91">
        <v>2029</v>
      </c>
      <c r="B91">
        <v>36</v>
      </c>
      <c r="C91" t="s">
        <v>26</v>
      </c>
      <c r="D91" t="s">
        <v>27</v>
      </c>
      <c r="E91" t="s">
        <v>17</v>
      </c>
      <c r="F91" t="s">
        <v>23</v>
      </c>
      <c r="G91" t="s">
        <v>41</v>
      </c>
      <c r="H91" t="s">
        <v>25</v>
      </c>
      <c r="I91" s="1">
        <v>2</v>
      </c>
      <c r="J91" s="2">
        <v>46167</v>
      </c>
      <c r="K91" s="2">
        <f t="shared" si="2"/>
        <v>46143</v>
      </c>
      <c r="L91" s="1" t="s">
        <v>54</v>
      </c>
      <c r="M91" s="1" t="s">
        <v>48</v>
      </c>
      <c r="N91">
        <v>2025</v>
      </c>
      <c r="O91" s="2"/>
      <c r="P91" t="str">
        <f t="shared" si="3"/>
        <v>202946167</v>
      </c>
    </row>
    <row r="92" spans="1:16" x14ac:dyDescent="0.3">
      <c r="A92">
        <v>2030</v>
      </c>
      <c r="B92">
        <v>27</v>
      </c>
      <c r="C92" t="s">
        <v>26</v>
      </c>
      <c r="D92" t="s">
        <v>16</v>
      </c>
      <c r="E92" t="s">
        <v>17</v>
      </c>
      <c r="F92" t="s">
        <v>18</v>
      </c>
      <c r="G92" t="s">
        <v>41</v>
      </c>
      <c r="H92" t="s">
        <v>25</v>
      </c>
      <c r="I92" s="1">
        <v>1</v>
      </c>
      <c r="J92" s="2">
        <v>46122</v>
      </c>
      <c r="K92" s="2">
        <f t="shared" si="2"/>
        <v>46113</v>
      </c>
      <c r="L92" s="1" t="str">
        <f>TEXT(J92,"ddd")</f>
        <v>sex</v>
      </c>
      <c r="M92" s="1" t="str">
        <f>TEXT($J92,"mmm")</f>
        <v>abr</v>
      </c>
      <c r="N92">
        <f>YEAR(J92)</f>
        <v>2026</v>
      </c>
      <c r="O92" s="2"/>
      <c r="P92" t="str">
        <f t="shared" si="3"/>
        <v>203046122</v>
      </c>
    </row>
    <row r="93" spans="1:16" x14ac:dyDescent="0.3">
      <c r="A93">
        <v>2030</v>
      </c>
      <c r="B93">
        <v>27</v>
      </c>
      <c r="C93" t="s">
        <v>26</v>
      </c>
      <c r="D93" t="s">
        <v>16</v>
      </c>
      <c r="E93" t="s">
        <v>17</v>
      </c>
      <c r="F93" t="s">
        <v>18</v>
      </c>
      <c r="G93" t="s">
        <v>41</v>
      </c>
      <c r="H93" t="s">
        <v>25</v>
      </c>
      <c r="I93" s="1">
        <v>1</v>
      </c>
      <c r="J93" s="2">
        <v>46182</v>
      </c>
      <c r="K93" s="2">
        <f t="shared" si="2"/>
        <v>46174</v>
      </c>
      <c r="L93" s="1" t="s">
        <v>52</v>
      </c>
      <c r="M93" s="1" t="s">
        <v>48</v>
      </c>
      <c r="N93">
        <v>2025</v>
      </c>
      <c r="O93" s="2"/>
      <c r="P93" t="str">
        <f t="shared" si="3"/>
        <v>203046182</v>
      </c>
    </row>
    <row r="94" spans="1:16" x14ac:dyDescent="0.3">
      <c r="A94">
        <v>2033</v>
      </c>
      <c r="B94">
        <v>34</v>
      </c>
      <c r="C94" t="s">
        <v>15</v>
      </c>
      <c r="D94" t="s">
        <v>29</v>
      </c>
      <c r="E94" t="s">
        <v>17</v>
      </c>
      <c r="F94" t="s">
        <v>23</v>
      </c>
      <c r="G94" t="s">
        <v>41</v>
      </c>
      <c r="H94" t="s">
        <v>25</v>
      </c>
      <c r="I94" s="1">
        <v>2</v>
      </c>
      <c r="J94" s="2">
        <v>46167</v>
      </c>
      <c r="K94" s="2">
        <f t="shared" si="2"/>
        <v>46143</v>
      </c>
      <c r="L94" s="1" t="str">
        <f>TEXT(J94,"ddd")</f>
        <v>seg</v>
      </c>
      <c r="M94" s="1" t="str">
        <f>TEXT($J94,"mmm")</f>
        <v>mai</v>
      </c>
      <c r="N94">
        <f>YEAR(J94)</f>
        <v>2026</v>
      </c>
      <c r="O94" s="2"/>
      <c r="P94" t="str">
        <f t="shared" si="3"/>
        <v>203346167</v>
      </c>
    </row>
    <row r="95" spans="1:16" x14ac:dyDescent="0.3">
      <c r="A95">
        <v>2033</v>
      </c>
      <c r="B95">
        <v>34</v>
      </c>
      <c r="C95" t="s">
        <v>15</v>
      </c>
      <c r="D95" t="s">
        <v>29</v>
      </c>
      <c r="E95" t="s">
        <v>17</v>
      </c>
      <c r="F95" t="s">
        <v>23</v>
      </c>
      <c r="G95" t="s">
        <v>41</v>
      </c>
      <c r="H95" t="s">
        <v>25</v>
      </c>
      <c r="I95" s="1">
        <v>2</v>
      </c>
      <c r="J95" s="2">
        <v>46173</v>
      </c>
      <c r="K95" s="2">
        <f t="shared" si="2"/>
        <v>46143</v>
      </c>
      <c r="L95" s="1" t="s">
        <v>54</v>
      </c>
      <c r="M95" s="1" t="s">
        <v>49</v>
      </c>
      <c r="N95">
        <v>2025</v>
      </c>
      <c r="O95" s="2"/>
      <c r="P95" t="str">
        <f t="shared" si="3"/>
        <v>203346173</v>
      </c>
    </row>
    <row r="96" spans="1:16" x14ac:dyDescent="0.3">
      <c r="A96">
        <v>2034</v>
      </c>
      <c r="B96">
        <v>39</v>
      </c>
      <c r="C96" t="s">
        <v>15</v>
      </c>
      <c r="D96" t="s">
        <v>22</v>
      </c>
      <c r="E96" t="s">
        <v>17</v>
      </c>
      <c r="F96" t="s">
        <v>21</v>
      </c>
      <c r="G96" t="s">
        <v>41</v>
      </c>
      <c r="H96" t="s">
        <v>25</v>
      </c>
      <c r="I96" s="1">
        <v>2</v>
      </c>
      <c r="J96" s="2">
        <v>46173</v>
      </c>
      <c r="K96" s="2">
        <f t="shared" si="2"/>
        <v>46143</v>
      </c>
      <c r="L96" s="1" t="str">
        <f>TEXT(J96,"ddd")</f>
        <v>dom</v>
      </c>
      <c r="M96" s="1" t="str">
        <f>TEXT($J96,"mmm")</f>
        <v>mai</v>
      </c>
      <c r="N96">
        <f>YEAR(J96)</f>
        <v>2026</v>
      </c>
      <c r="O96" s="2"/>
      <c r="P96" t="str">
        <f t="shared" si="3"/>
        <v>203446173</v>
      </c>
    </row>
    <row r="97" spans="1:16" x14ac:dyDescent="0.3">
      <c r="A97">
        <v>2034</v>
      </c>
      <c r="B97">
        <v>39</v>
      </c>
      <c r="C97" t="s">
        <v>15</v>
      </c>
      <c r="D97" t="s">
        <v>22</v>
      </c>
      <c r="E97" t="s">
        <v>17</v>
      </c>
      <c r="F97" t="s">
        <v>21</v>
      </c>
      <c r="G97" t="s">
        <v>41</v>
      </c>
      <c r="H97" t="s">
        <v>25</v>
      </c>
      <c r="I97" s="1">
        <v>2</v>
      </c>
      <c r="J97" s="2">
        <v>46161</v>
      </c>
      <c r="K97" s="2">
        <f t="shared" si="2"/>
        <v>46143</v>
      </c>
      <c r="L97" s="1" t="s">
        <v>56</v>
      </c>
      <c r="M97" s="1" t="s">
        <v>49</v>
      </c>
      <c r="N97">
        <v>2025</v>
      </c>
      <c r="O97" s="2"/>
      <c r="P97" t="str">
        <f t="shared" si="3"/>
        <v>203446161</v>
      </c>
    </row>
    <row r="98" spans="1:16" x14ac:dyDescent="0.3">
      <c r="A98">
        <v>2035</v>
      </c>
      <c r="B98">
        <v>30</v>
      </c>
      <c r="C98" t="s">
        <v>15</v>
      </c>
      <c r="D98" t="s">
        <v>16</v>
      </c>
      <c r="E98" t="s">
        <v>17</v>
      </c>
      <c r="F98" t="s">
        <v>18</v>
      </c>
      <c r="G98" t="s">
        <v>41</v>
      </c>
      <c r="H98" t="s">
        <v>25</v>
      </c>
      <c r="I98" s="1">
        <v>3</v>
      </c>
      <c r="J98" s="2">
        <v>46125</v>
      </c>
      <c r="K98" s="2">
        <f t="shared" si="2"/>
        <v>46113</v>
      </c>
      <c r="L98" s="1" t="str">
        <f>TEXT(J98,"ddd")</f>
        <v>seg</v>
      </c>
      <c r="M98" s="1" t="str">
        <f>TEXT($J98,"mmm")</f>
        <v>abr</v>
      </c>
      <c r="N98">
        <f>YEAR(J98)</f>
        <v>2026</v>
      </c>
      <c r="O98" s="2"/>
      <c r="P98" t="str">
        <f t="shared" si="3"/>
        <v>203546125</v>
      </c>
    </row>
    <row r="99" spans="1:16" x14ac:dyDescent="0.3">
      <c r="A99">
        <v>2035</v>
      </c>
      <c r="B99">
        <v>30</v>
      </c>
      <c r="C99" t="s">
        <v>15</v>
      </c>
      <c r="D99" t="s">
        <v>16</v>
      </c>
      <c r="E99" t="s">
        <v>17</v>
      </c>
      <c r="F99" t="s">
        <v>18</v>
      </c>
      <c r="G99" t="s">
        <v>41</v>
      </c>
      <c r="H99" t="s">
        <v>25</v>
      </c>
      <c r="I99" s="1">
        <v>3</v>
      </c>
      <c r="J99" s="2">
        <v>46194</v>
      </c>
      <c r="K99" s="2">
        <f t="shared" si="2"/>
        <v>46174</v>
      </c>
      <c r="L99" s="1" t="s">
        <v>55</v>
      </c>
      <c r="M99" s="1" t="s">
        <v>48</v>
      </c>
      <c r="N99">
        <v>2025</v>
      </c>
      <c r="O99" s="2"/>
      <c r="P99" t="str">
        <f t="shared" si="3"/>
        <v>203546194</v>
      </c>
    </row>
    <row r="100" spans="1:16" x14ac:dyDescent="0.3">
      <c r="A100">
        <v>2036</v>
      </c>
      <c r="B100">
        <v>21</v>
      </c>
      <c r="C100" t="s">
        <v>26</v>
      </c>
      <c r="D100" t="s">
        <v>16</v>
      </c>
      <c r="E100" t="s">
        <v>17</v>
      </c>
      <c r="F100" t="s">
        <v>18</v>
      </c>
      <c r="G100" t="s">
        <v>41</v>
      </c>
      <c r="H100" t="s">
        <v>25</v>
      </c>
      <c r="I100" s="1">
        <v>2</v>
      </c>
      <c r="J100" s="2">
        <v>46167</v>
      </c>
      <c r="K100" s="2">
        <f t="shared" si="2"/>
        <v>46143</v>
      </c>
      <c r="L100" s="1" t="str">
        <f>TEXT(J100,"ddd")</f>
        <v>seg</v>
      </c>
      <c r="M100" s="1" t="str">
        <f>TEXT($J100,"mmm")</f>
        <v>mai</v>
      </c>
      <c r="N100">
        <f>YEAR(J100)</f>
        <v>2026</v>
      </c>
      <c r="O100" s="2"/>
      <c r="P100" t="str">
        <f t="shared" si="3"/>
        <v>203646167</v>
      </c>
    </row>
    <row r="101" spans="1:16" x14ac:dyDescent="0.3">
      <c r="A101">
        <v>2036</v>
      </c>
      <c r="B101">
        <v>21</v>
      </c>
      <c r="C101" t="s">
        <v>26</v>
      </c>
      <c r="D101" t="s">
        <v>16</v>
      </c>
      <c r="E101" t="s">
        <v>17</v>
      </c>
      <c r="F101" t="s">
        <v>18</v>
      </c>
      <c r="G101" t="s">
        <v>41</v>
      </c>
      <c r="H101" t="s">
        <v>25</v>
      </c>
      <c r="I101" s="1">
        <v>2</v>
      </c>
      <c r="J101" s="2">
        <v>46125</v>
      </c>
      <c r="K101" s="2">
        <f t="shared" si="2"/>
        <v>46113</v>
      </c>
      <c r="L101" s="1" t="s">
        <v>55</v>
      </c>
      <c r="M101" s="1" t="s">
        <v>48</v>
      </c>
      <c r="N101">
        <v>2025</v>
      </c>
      <c r="O101" s="2"/>
      <c r="P101" t="str">
        <f t="shared" si="3"/>
        <v>203646125</v>
      </c>
    </row>
    <row r="102" spans="1:16" x14ac:dyDescent="0.3">
      <c r="A102">
        <v>2037</v>
      </c>
      <c r="B102">
        <v>41</v>
      </c>
      <c r="C102" t="s">
        <v>26</v>
      </c>
      <c r="D102" t="s">
        <v>22</v>
      </c>
      <c r="E102" t="s">
        <v>17</v>
      </c>
      <c r="F102" t="s">
        <v>21</v>
      </c>
      <c r="G102" t="s">
        <v>41</v>
      </c>
      <c r="H102" t="s">
        <v>25</v>
      </c>
      <c r="I102" s="1">
        <v>2</v>
      </c>
      <c r="J102" s="2">
        <v>46173</v>
      </c>
      <c r="K102" s="2">
        <f t="shared" si="2"/>
        <v>46143</v>
      </c>
      <c r="L102" s="1" t="str">
        <f>TEXT(J102,"ddd")</f>
        <v>dom</v>
      </c>
      <c r="M102" s="1" t="str">
        <f>TEXT($J102,"mmm")</f>
        <v>mai</v>
      </c>
      <c r="N102">
        <f>YEAR(J102)</f>
        <v>2026</v>
      </c>
      <c r="O102" s="2"/>
      <c r="P102" t="str">
        <f t="shared" si="3"/>
        <v>203746173</v>
      </c>
    </row>
    <row r="103" spans="1:16" x14ac:dyDescent="0.3">
      <c r="A103">
        <v>2037</v>
      </c>
      <c r="B103">
        <v>41</v>
      </c>
      <c r="C103" t="s">
        <v>26</v>
      </c>
      <c r="D103" t="s">
        <v>22</v>
      </c>
      <c r="E103" t="s">
        <v>17</v>
      </c>
      <c r="F103" t="s">
        <v>21</v>
      </c>
      <c r="G103" t="s">
        <v>41</v>
      </c>
      <c r="H103" t="s">
        <v>25</v>
      </c>
      <c r="I103" s="1">
        <v>2</v>
      </c>
      <c r="J103" s="2">
        <v>46170</v>
      </c>
      <c r="K103" s="2">
        <f t="shared" si="2"/>
        <v>46143</v>
      </c>
      <c r="L103" s="1" t="s">
        <v>51</v>
      </c>
      <c r="M103" s="1" t="s">
        <v>49</v>
      </c>
      <c r="N103">
        <v>2025</v>
      </c>
      <c r="O103" s="2"/>
      <c r="P103" t="str">
        <f t="shared" si="3"/>
        <v>203746170</v>
      </c>
    </row>
    <row r="104" spans="1:16" x14ac:dyDescent="0.3">
      <c r="A104">
        <v>2041</v>
      </c>
      <c r="B104">
        <v>41</v>
      </c>
      <c r="C104" t="s">
        <v>26</v>
      </c>
      <c r="D104" t="s">
        <v>29</v>
      </c>
      <c r="E104" t="s">
        <v>17</v>
      </c>
      <c r="F104" t="s">
        <v>23</v>
      </c>
      <c r="G104" t="s">
        <v>41</v>
      </c>
      <c r="H104" t="s">
        <v>25</v>
      </c>
      <c r="I104" s="1">
        <v>1</v>
      </c>
      <c r="J104" s="2">
        <v>46182</v>
      </c>
      <c r="K104" s="2">
        <f t="shared" si="2"/>
        <v>46174</v>
      </c>
      <c r="L104" s="1" t="str">
        <f>TEXT(J104,"ddd")</f>
        <v>ter</v>
      </c>
      <c r="M104" s="1" t="str">
        <f>TEXT($J104,"mmm")</f>
        <v>jun</v>
      </c>
      <c r="N104">
        <f>YEAR(J104)</f>
        <v>2026</v>
      </c>
      <c r="O104" s="2"/>
      <c r="P104" t="str">
        <f t="shared" si="3"/>
        <v>204146182</v>
      </c>
    </row>
    <row r="105" spans="1:16" x14ac:dyDescent="0.3">
      <c r="A105">
        <v>2041</v>
      </c>
      <c r="B105">
        <v>41</v>
      </c>
      <c r="C105" t="s">
        <v>26</v>
      </c>
      <c r="D105" t="s">
        <v>29</v>
      </c>
      <c r="E105" t="s">
        <v>17</v>
      </c>
      <c r="F105" t="s">
        <v>23</v>
      </c>
      <c r="G105" t="s">
        <v>41</v>
      </c>
      <c r="H105" t="s">
        <v>25</v>
      </c>
      <c r="I105" s="1">
        <v>1</v>
      </c>
      <c r="J105" s="2">
        <v>46126</v>
      </c>
      <c r="K105" s="2">
        <f t="shared" si="2"/>
        <v>46113</v>
      </c>
      <c r="L105" s="1" t="s">
        <v>56</v>
      </c>
      <c r="M105" s="1" t="s">
        <v>48</v>
      </c>
      <c r="N105">
        <v>2025</v>
      </c>
      <c r="O105" s="2"/>
      <c r="P105" t="str">
        <f t="shared" si="3"/>
        <v>204146126</v>
      </c>
    </row>
    <row r="106" spans="1:16" x14ac:dyDescent="0.3">
      <c r="A106">
        <v>2044</v>
      </c>
      <c r="B106">
        <v>28</v>
      </c>
      <c r="C106" t="s">
        <v>15</v>
      </c>
      <c r="D106" t="s">
        <v>22</v>
      </c>
      <c r="E106" t="s">
        <v>17</v>
      </c>
      <c r="F106" t="s">
        <v>21</v>
      </c>
      <c r="G106" t="s">
        <v>41</v>
      </c>
      <c r="H106" t="s">
        <v>25</v>
      </c>
      <c r="I106" s="1">
        <v>3</v>
      </c>
      <c r="J106" s="2">
        <v>46167</v>
      </c>
      <c r="K106" s="2">
        <f t="shared" si="2"/>
        <v>46143</v>
      </c>
      <c r="L106" s="1" t="str">
        <f>TEXT(J106,"ddd")</f>
        <v>seg</v>
      </c>
      <c r="M106" s="1" t="str">
        <f>TEXT($J106,"mmm")</f>
        <v>mai</v>
      </c>
      <c r="N106">
        <f>YEAR(J106)</f>
        <v>2026</v>
      </c>
      <c r="O106" s="2"/>
      <c r="P106" t="str">
        <f t="shared" si="3"/>
        <v>204446167</v>
      </c>
    </row>
    <row r="107" spans="1:16" x14ac:dyDescent="0.3">
      <c r="A107">
        <v>2044</v>
      </c>
      <c r="B107">
        <v>28</v>
      </c>
      <c r="C107" t="s">
        <v>15</v>
      </c>
      <c r="D107" t="s">
        <v>22</v>
      </c>
      <c r="E107" t="s">
        <v>17</v>
      </c>
      <c r="F107" t="s">
        <v>21</v>
      </c>
      <c r="G107" t="s">
        <v>41</v>
      </c>
      <c r="H107" t="s">
        <v>25</v>
      </c>
      <c r="I107" s="1">
        <v>3</v>
      </c>
      <c r="J107" s="2">
        <v>46170</v>
      </c>
      <c r="K107" s="2">
        <f t="shared" si="2"/>
        <v>46143</v>
      </c>
      <c r="L107" s="1" t="s">
        <v>51</v>
      </c>
      <c r="M107" s="1" t="s">
        <v>49</v>
      </c>
      <c r="N107">
        <v>2025</v>
      </c>
      <c r="O107" s="2"/>
      <c r="P107" t="str">
        <f t="shared" si="3"/>
        <v>204446170</v>
      </c>
    </row>
    <row r="108" spans="1:16" x14ac:dyDescent="0.3">
      <c r="A108">
        <v>2045</v>
      </c>
      <c r="B108">
        <v>41</v>
      </c>
      <c r="C108" t="s">
        <v>26</v>
      </c>
      <c r="D108" t="s">
        <v>22</v>
      </c>
      <c r="E108" t="s">
        <v>17</v>
      </c>
      <c r="F108" t="s">
        <v>21</v>
      </c>
      <c r="G108" t="s">
        <v>41</v>
      </c>
      <c r="H108" t="s">
        <v>25</v>
      </c>
      <c r="I108" s="1">
        <v>1</v>
      </c>
      <c r="J108" s="2">
        <v>46194</v>
      </c>
      <c r="K108" s="2">
        <f t="shared" si="2"/>
        <v>46174</v>
      </c>
      <c r="L108" s="1" t="str">
        <f>TEXT(J108,"ddd")</f>
        <v>dom</v>
      </c>
      <c r="M108" s="1" t="str">
        <f>TEXT($J108,"mmm")</f>
        <v>jun</v>
      </c>
      <c r="N108">
        <f>YEAR(J108)</f>
        <v>2026</v>
      </c>
      <c r="O108" s="2"/>
      <c r="P108" t="str">
        <f t="shared" si="3"/>
        <v>204546194</v>
      </c>
    </row>
    <row r="109" spans="1:16" x14ac:dyDescent="0.3">
      <c r="A109">
        <v>2045</v>
      </c>
      <c r="B109">
        <v>41</v>
      </c>
      <c r="C109" t="s">
        <v>26</v>
      </c>
      <c r="D109" t="s">
        <v>22</v>
      </c>
      <c r="E109" t="s">
        <v>17</v>
      </c>
      <c r="F109" t="s">
        <v>21</v>
      </c>
      <c r="G109" t="s">
        <v>41</v>
      </c>
      <c r="H109" t="s">
        <v>25</v>
      </c>
      <c r="I109" s="1">
        <v>1</v>
      </c>
      <c r="J109" s="2">
        <v>46147</v>
      </c>
      <c r="K109" s="2">
        <f t="shared" si="2"/>
        <v>46143</v>
      </c>
      <c r="L109" s="1" t="str">
        <f>TEXT(J109,"ddd")</f>
        <v>ter</v>
      </c>
      <c r="M109" s="1" t="str">
        <f>TEXT($J109,"mmm")</f>
        <v>mai</v>
      </c>
      <c r="N109">
        <f>YEAR(J109)</f>
        <v>2026</v>
      </c>
      <c r="O109" s="2"/>
      <c r="P109" t="str">
        <f t="shared" si="3"/>
        <v>204546147</v>
      </c>
    </row>
    <row r="110" spans="1:16" x14ac:dyDescent="0.3">
      <c r="A110">
        <v>2045</v>
      </c>
      <c r="B110">
        <v>41</v>
      </c>
      <c r="C110" t="s">
        <v>26</v>
      </c>
      <c r="D110" t="s">
        <v>22</v>
      </c>
      <c r="E110" t="s">
        <v>17</v>
      </c>
      <c r="F110" t="s">
        <v>21</v>
      </c>
      <c r="G110" t="s">
        <v>41</v>
      </c>
      <c r="H110" t="s">
        <v>25</v>
      </c>
      <c r="I110" s="1">
        <v>1</v>
      </c>
      <c r="J110" s="2">
        <v>46129</v>
      </c>
      <c r="K110" s="2">
        <f t="shared" si="2"/>
        <v>46113</v>
      </c>
      <c r="L110" s="1" t="s">
        <v>52</v>
      </c>
      <c r="M110" s="1" t="s">
        <v>48</v>
      </c>
      <c r="N110">
        <v>2025</v>
      </c>
      <c r="O110" s="2"/>
      <c r="P110" t="str">
        <f t="shared" si="3"/>
        <v>204546129</v>
      </c>
    </row>
    <row r="111" spans="1:16" x14ac:dyDescent="0.3">
      <c r="A111">
        <v>2045</v>
      </c>
      <c r="B111">
        <v>41</v>
      </c>
      <c r="C111" t="s">
        <v>26</v>
      </c>
      <c r="D111" t="s">
        <v>22</v>
      </c>
      <c r="E111" t="s">
        <v>17</v>
      </c>
      <c r="F111" t="s">
        <v>21</v>
      </c>
      <c r="G111" t="s">
        <v>41</v>
      </c>
      <c r="H111" t="s">
        <v>25</v>
      </c>
      <c r="I111" s="1">
        <v>1</v>
      </c>
      <c r="J111" s="2">
        <v>46182</v>
      </c>
      <c r="K111" s="2">
        <f t="shared" si="2"/>
        <v>46174</v>
      </c>
      <c r="L111" s="1" t="s">
        <v>56</v>
      </c>
      <c r="M111" s="1" t="s">
        <v>49</v>
      </c>
      <c r="N111">
        <v>2025</v>
      </c>
      <c r="O111" s="2"/>
      <c r="P111" t="str">
        <f t="shared" si="3"/>
        <v>204546182</v>
      </c>
    </row>
    <row r="112" spans="1:16" x14ac:dyDescent="0.3">
      <c r="A112">
        <v>2046</v>
      </c>
      <c r="B112">
        <v>54</v>
      </c>
      <c r="C112" t="s">
        <v>15</v>
      </c>
      <c r="D112" t="s">
        <v>16</v>
      </c>
      <c r="E112" t="s">
        <v>17</v>
      </c>
      <c r="F112" t="s">
        <v>18</v>
      </c>
      <c r="G112" t="s">
        <v>41</v>
      </c>
      <c r="H112" t="s">
        <v>25</v>
      </c>
      <c r="I112" s="1">
        <v>3</v>
      </c>
      <c r="J112" s="2">
        <v>46151</v>
      </c>
      <c r="K112" s="2">
        <f t="shared" si="2"/>
        <v>46143</v>
      </c>
      <c r="L112" s="1" t="str">
        <f>TEXT(J112,"ddd")</f>
        <v>sáb</v>
      </c>
      <c r="M112" s="1" t="str">
        <f>TEXT($J112,"mmm")</f>
        <v>mai</v>
      </c>
      <c r="N112">
        <f>YEAR(J112)</f>
        <v>2026</v>
      </c>
      <c r="O112" s="2"/>
      <c r="P112" t="str">
        <f t="shared" si="3"/>
        <v>204646151</v>
      </c>
    </row>
    <row r="113" spans="1:16" x14ac:dyDescent="0.3">
      <c r="A113">
        <v>2049</v>
      </c>
      <c r="B113">
        <v>55</v>
      </c>
      <c r="C113" t="s">
        <v>15</v>
      </c>
      <c r="D113" t="s">
        <v>16</v>
      </c>
      <c r="E113" t="s">
        <v>17</v>
      </c>
      <c r="F113" t="s">
        <v>21</v>
      </c>
      <c r="G113" t="s">
        <v>41</v>
      </c>
      <c r="H113" t="s">
        <v>25</v>
      </c>
      <c r="I113" s="1">
        <v>1</v>
      </c>
      <c r="J113" s="2">
        <v>46167</v>
      </c>
      <c r="K113" s="2">
        <f t="shared" si="2"/>
        <v>46143</v>
      </c>
      <c r="L113" s="1" t="str">
        <f>TEXT(J113,"ddd")</f>
        <v>seg</v>
      </c>
      <c r="M113" s="1" t="str">
        <f>TEXT($J113,"mmm")</f>
        <v>mai</v>
      </c>
      <c r="N113">
        <f>YEAR(J113)</f>
        <v>2026</v>
      </c>
      <c r="O113" s="2"/>
      <c r="P113" t="str">
        <f t="shared" si="3"/>
        <v>204946167</v>
      </c>
    </row>
    <row r="114" spans="1:16" x14ac:dyDescent="0.3">
      <c r="A114">
        <v>2049</v>
      </c>
      <c r="B114">
        <v>55</v>
      </c>
      <c r="C114" t="s">
        <v>15</v>
      </c>
      <c r="D114" t="s">
        <v>16</v>
      </c>
      <c r="E114" t="s">
        <v>17</v>
      </c>
      <c r="F114" t="s">
        <v>21</v>
      </c>
      <c r="G114" t="s">
        <v>41</v>
      </c>
      <c r="H114" t="s">
        <v>25</v>
      </c>
      <c r="I114" s="1">
        <v>1</v>
      </c>
      <c r="J114" s="2">
        <v>46194</v>
      </c>
      <c r="K114" s="2">
        <f t="shared" si="2"/>
        <v>46174</v>
      </c>
      <c r="L114" s="1" t="str">
        <f>TEXT(J114,"ddd")</f>
        <v>dom</v>
      </c>
      <c r="M114" s="1" t="str">
        <f>TEXT($J114,"mmm")</f>
        <v>jun</v>
      </c>
      <c r="N114">
        <f>YEAR(J114)</f>
        <v>2026</v>
      </c>
      <c r="O114" s="2"/>
      <c r="P114" t="str">
        <f t="shared" si="3"/>
        <v>204946194</v>
      </c>
    </row>
    <row r="115" spans="1:16" x14ac:dyDescent="0.3">
      <c r="A115">
        <v>2049</v>
      </c>
      <c r="B115">
        <v>55</v>
      </c>
      <c r="C115" t="s">
        <v>15</v>
      </c>
      <c r="D115" t="s">
        <v>16</v>
      </c>
      <c r="E115" t="s">
        <v>17</v>
      </c>
      <c r="F115" t="s">
        <v>21</v>
      </c>
      <c r="G115" t="s">
        <v>41</v>
      </c>
      <c r="H115" t="s">
        <v>25</v>
      </c>
      <c r="I115" s="1">
        <v>1</v>
      </c>
      <c r="J115" s="2">
        <v>46122</v>
      </c>
      <c r="K115" s="2">
        <f t="shared" si="2"/>
        <v>46113</v>
      </c>
      <c r="L115" s="1" t="s">
        <v>52</v>
      </c>
      <c r="M115" s="1" t="s">
        <v>48</v>
      </c>
      <c r="N115">
        <v>2025</v>
      </c>
      <c r="O115" s="2"/>
      <c r="P115" t="str">
        <f t="shared" si="3"/>
        <v>204946122</v>
      </c>
    </row>
    <row r="116" spans="1:16" x14ac:dyDescent="0.3">
      <c r="A116">
        <v>2049</v>
      </c>
      <c r="B116">
        <v>55</v>
      </c>
      <c r="C116" t="s">
        <v>15</v>
      </c>
      <c r="D116" t="s">
        <v>16</v>
      </c>
      <c r="E116" t="s">
        <v>17</v>
      </c>
      <c r="F116" t="s">
        <v>21</v>
      </c>
      <c r="G116" t="s">
        <v>41</v>
      </c>
      <c r="H116" t="s">
        <v>25</v>
      </c>
      <c r="I116" s="1">
        <v>1</v>
      </c>
      <c r="J116" s="2">
        <v>46144</v>
      </c>
      <c r="K116" s="2">
        <f t="shared" si="2"/>
        <v>46143</v>
      </c>
      <c r="L116" s="1" t="s">
        <v>53</v>
      </c>
      <c r="M116" s="1" t="s">
        <v>49</v>
      </c>
      <c r="N116">
        <v>2025</v>
      </c>
      <c r="O116" s="2"/>
      <c r="P116" t="str">
        <f t="shared" si="3"/>
        <v>204946144</v>
      </c>
    </row>
    <row r="117" spans="1:16" x14ac:dyDescent="0.3">
      <c r="A117">
        <v>2050</v>
      </c>
      <c r="B117">
        <v>54</v>
      </c>
      <c r="C117" t="s">
        <v>26</v>
      </c>
      <c r="D117" t="s">
        <v>27</v>
      </c>
      <c r="E117" t="s">
        <v>17</v>
      </c>
      <c r="F117" t="s">
        <v>21</v>
      </c>
      <c r="G117" t="s">
        <v>41</v>
      </c>
      <c r="H117" t="s">
        <v>25</v>
      </c>
      <c r="I117" s="1">
        <v>1</v>
      </c>
      <c r="J117" s="2">
        <v>46151</v>
      </c>
      <c r="K117" s="2">
        <f t="shared" si="2"/>
        <v>46143</v>
      </c>
      <c r="L117" s="1" t="str">
        <f>TEXT(J117,"ddd")</f>
        <v>sáb</v>
      </c>
      <c r="M117" s="1" t="str">
        <f>TEXT($J117,"mmm")</f>
        <v>mai</v>
      </c>
      <c r="N117">
        <f>YEAR(J117)</f>
        <v>2026</v>
      </c>
      <c r="O117" s="2"/>
      <c r="P117" t="str">
        <f t="shared" si="3"/>
        <v>205046151</v>
      </c>
    </row>
    <row r="118" spans="1:16" x14ac:dyDescent="0.3">
      <c r="A118">
        <v>2050</v>
      </c>
      <c r="B118">
        <v>54</v>
      </c>
      <c r="C118" t="s">
        <v>26</v>
      </c>
      <c r="D118" t="s">
        <v>27</v>
      </c>
      <c r="E118" t="s">
        <v>17</v>
      </c>
      <c r="F118" t="s">
        <v>21</v>
      </c>
      <c r="G118" t="s">
        <v>41</v>
      </c>
      <c r="H118" t="s">
        <v>25</v>
      </c>
      <c r="I118" s="1">
        <v>1</v>
      </c>
      <c r="J118" s="2">
        <v>46182</v>
      </c>
      <c r="K118" s="2">
        <f t="shared" si="2"/>
        <v>46174</v>
      </c>
      <c r="L118" s="1" t="s">
        <v>53</v>
      </c>
      <c r="M118" s="1" t="s">
        <v>49</v>
      </c>
      <c r="N118">
        <v>2025</v>
      </c>
      <c r="O118" s="2"/>
      <c r="P118" t="str">
        <f t="shared" si="3"/>
        <v>205046182</v>
      </c>
    </row>
    <row r="119" spans="1:16" x14ac:dyDescent="0.3">
      <c r="A119">
        <v>2052</v>
      </c>
      <c r="B119">
        <v>38</v>
      </c>
      <c r="C119" t="s">
        <v>26</v>
      </c>
      <c r="D119" t="s">
        <v>31</v>
      </c>
      <c r="E119" t="s">
        <v>32</v>
      </c>
      <c r="F119" t="s">
        <v>18</v>
      </c>
      <c r="G119" t="s">
        <v>41</v>
      </c>
      <c r="H119" t="s">
        <v>25</v>
      </c>
      <c r="I119" s="1">
        <v>1</v>
      </c>
      <c r="J119" s="2">
        <v>46194</v>
      </c>
      <c r="K119" s="2">
        <f t="shared" si="2"/>
        <v>46174</v>
      </c>
      <c r="L119" s="1" t="str">
        <f>TEXT(J119,"ddd")</f>
        <v>dom</v>
      </c>
      <c r="M119" s="1" t="str">
        <f>TEXT($J119,"mmm")</f>
        <v>jun</v>
      </c>
      <c r="N119">
        <f>YEAR(J119)</f>
        <v>2026</v>
      </c>
      <c r="O119" s="2"/>
      <c r="P119" t="str">
        <f t="shared" si="3"/>
        <v>205246194</v>
      </c>
    </row>
    <row r="120" spans="1:16" x14ac:dyDescent="0.3">
      <c r="A120">
        <v>2052</v>
      </c>
      <c r="B120">
        <v>38</v>
      </c>
      <c r="C120" t="s">
        <v>26</v>
      </c>
      <c r="D120" t="s">
        <v>31</v>
      </c>
      <c r="E120" t="s">
        <v>32</v>
      </c>
      <c r="F120" t="s">
        <v>18</v>
      </c>
      <c r="G120" t="s">
        <v>41</v>
      </c>
      <c r="H120" t="s">
        <v>25</v>
      </c>
      <c r="I120" s="1">
        <v>1</v>
      </c>
      <c r="J120" s="2">
        <v>46170</v>
      </c>
      <c r="K120" s="2">
        <f t="shared" si="2"/>
        <v>46143</v>
      </c>
      <c r="L120" s="1" t="s">
        <v>51</v>
      </c>
      <c r="M120" s="1" t="s">
        <v>49</v>
      </c>
      <c r="N120">
        <v>2025</v>
      </c>
      <c r="O120" s="2"/>
      <c r="P120" t="str">
        <f t="shared" si="3"/>
        <v>205246170</v>
      </c>
    </row>
    <row r="121" spans="1:16" x14ac:dyDescent="0.3">
      <c r="A121">
        <v>2054</v>
      </c>
      <c r="B121">
        <v>28</v>
      </c>
      <c r="C121" t="s">
        <v>26</v>
      </c>
      <c r="D121" t="s">
        <v>31</v>
      </c>
      <c r="E121" t="s">
        <v>34</v>
      </c>
      <c r="F121" t="s">
        <v>18</v>
      </c>
      <c r="G121" t="s">
        <v>41</v>
      </c>
      <c r="H121" t="s">
        <v>25</v>
      </c>
      <c r="I121" s="1">
        <v>1</v>
      </c>
      <c r="J121" s="2">
        <v>46167</v>
      </c>
      <c r="K121" s="2">
        <f t="shared" si="2"/>
        <v>46143</v>
      </c>
      <c r="L121" s="1" t="str">
        <f>TEXT(J121,"ddd")</f>
        <v>seg</v>
      </c>
      <c r="M121" s="1" t="str">
        <f>TEXT($J121,"mmm")</f>
        <v>mai</v>
      </c>
      <c r="N121">
        <f>YEAR(J121)</f>
        <v>2026</v>
      </c>
      <c r="O121" s="2"/>
      <c r="P121" t="str">
        <f t="shared" si="3"/>
        <v>205446167</v>
      </c>
    </row>
    <row r="122" spans="1:16" x14ac:dyDescent="0.3">
      <c r="A122">
        <v>2054</v>
      </c>
      <c r="B122">
        <v>28</v>
      </c>
      <c r="C122" t="s">
        <v>26</v>
      </c>
      <c r="D122" t="s">
        <v>31</v>
      </c>
      <c r="E122" t="s">
        <v>34</v>
      </c>
      <c r="F122" t="s">
        <v>18</v>
      </c>
      <c r="G122" t="s">
        <v>41</v>
      </c>
      <c r="H122" t="s">
        <v>25</v>
      </c>
      <c r="I122" s="1">
        <v>1</v>
      </c>
      <c r="J122" s="2">
        <v>46165</v>
      </c>
      <c r="K122" s="2">
        <f t="shared" si="2"/>
        <v>46143</v>
      </c>
      <c r="L122" s="1" t="str">
        <f>TEXT(J122,"ddd")</f>
        <v>sáb</v>
      </c>
      <c r="M122" s="1" t="str">
        <f>TEXT($J122,"mmm")</f>
        <v>mai</v>
      </c>
      <c r="N122">
        <f>YEAR(J122)</f>
        <v>2026</v>
      </c>
      <c r="O122" s="2"/>
      <c r="P122" t="str">
        <f t="shared" si="3"/>
        <v>205446165</v>
      </c>
    </row>
    <row r="123" spans="1:16" x14ac:dyDescent="0.3">
      <c r="A123">
        <v>2054</v>
      </c>
      <c r="B123">
        <v>28</v>
      </c>
      <c r="C123" t="s">
        <v>26</v>
      </c>
      <c r="D123" t="s">
        <v>31</v>
      </c>
      <c r="E123" t="s">
        <v>34</v>
      </c>
      <c r="F123" t="s">
        <v>18</v>
      </c>
      <c r="G123" t="s">
        <v>41</v>
      </c>
      <c r="H123" t="s">
        <v>25</v>
      </c>
      <c r="I123" s="1">
        <v>1</v>
      </c>
      <c r="J123" s="2">
        <v>46150</v>
      </c>
      <c r="K123" s="2">
        <f t="shared" si="2"/>
        <v>46143</v>
      </c>
      <c r="L123" s="1" t="s">
        <v>52</v>
      </c>
      <c r="M123" s="1" t="s">
        <v>49</v>
      </c>
      <c r="N123">
        <v>2025</v>
      </c>
      <c r="O123" s="2"/>
      <c r="P123" t="str">
        <f t="shared" si="3"/>
        <v>205446150</v>
      </c>
    </row>
    <row r="124" spans="1:16" x14ac:dyDescent="0.3">
      <c r="A124">
        <v>2054</v>
      </c>
      <c r="B124">
        <v>28</v>
      </c>
      <c r="C124" t="s">
        <v>26</v>
      </c>
      <c r="D124" t="s">
        <v>31</v>
      </c>
      <c r="E124" t="s">
        <v>34</v>
      </c>
      <c r="F124" t="s">
        <v>18</v>
      </c>
      <c r="G124" t="s">
        <v>41</v>
      </c>
      <c r="H124" t="s">
        <v>25</v>
      </c>
      <c r="I124" s="1">
        <v>1</v>
      </c>
      <c r="J124" s="2">
        <v>46164</v>
      </c>
      <c r="K124" s="2">
        <f t="shared" si="2"/>
        <v>46143</v>
      </c>
      <c r="L124" s="1" t="s">
        <v>52</v>
      </c>
      <c r="M124" s="1" t="s">
        <v>49</v>
      </c>
      <c r="N124">
        <v>2025</v>
      </c>
      <c r="O124" s="2"/>
      <c r="P124" t="str">
        <f t="shared" si="3"/>
        <v>205446164</v>
      </c>
    </row>
    <row r="125" spans="1:16" x14ac:dyDescent="0.3">
      <c r="A125">
        <v>2056</v>
      </c>
      <c r="B125">
        <v>41</v>
      </c>
      <c r="C125" t="s">
        <v>26</v>
      </c>
      <c r="D125" t="s">
        <v>29</v>
      </c>
      <c r="E125" t="s">
        <v>17</v>
      </c>
      <c r="F125" t="s">
        <v>18</v>
      </c>
      <c r="G125" t="s">
        <v>41</v>
      </c>
      <c r="H125" t="s">
        <v>25</v>
      </c>
      <c r="I125" s="1">
        <v>2</v>
      </c>
      <c r="J125" s="2">
        <v>46147</v>
      </c>
      <c r="K125" s="2">
        <f t="shared" si="2"/>
        <v>46143</v>
      </c>
      <c r="L125" s="1" t="str">
        <f>TEXT(J125,"ddd")</f>
        <v>ter</v>
      </c>
      <c r="M125" s="1" t="str">
        <f>TEXT($J125,"mmm")</f>
        <v>mai</v>
      </c>
      <c r="N125">
        <f>YEAR(J125)</f>
        <v>2026</v>
      </c>
      <c r="O125" s="2"/>
      <c r="P125" t="str">
        <f t="shared" si="3"/>
        <v>205646147</v>
      </c>
    </row>
    <row r="126" spans="1:16" x14ac:dyDescent="0.3">
      <c r="A126">
        <v>2056</v>
      </c>
      <c r="B126">
        <v>41</v>
      </c>
      <c r="C126" t="s">
        <v>26</v>
      </c>
      <c r="D126" t="s">
        <v>29</v>
      </c>
      <c r="E126" t="s">
        <v>17</v>
      </c>
      <c r="F126" t="s">
        <v>18</v>
      </c>
      <c r="G126" t="s">
        <v>41</v>
      </c>
      <c r="H126" t="s">
        <v>25</v>
      </c>
      <c r="I126" s="1">
        <v>2</v>
      </c>
      <c r="J126" s="2">
        <v>46194</v>
      </c>
      <c r="K126" s="2">
        <f t="shared" si="2"/>
        <v>46174</v>
      </c>
      <c r="L126" s="1" t="s">
        <v>56</v>
      </c>
      <c r="M126" s="1" t="s">
        <v>49</v>
      </c>
      <c r="N126">
        <v>2025</v>
      </c>
      <c r="O126" s="2"/>
      <c r="P126" t="str">
        <f t="shared" si="3"/>
        <v>205646194</v>
      </c>
    </row>
    <row r="127" spans="1:16" x14ac:dyDescent="0.3">
      <c r="A127">
        <v>2057</v>
      </c>
      <c r="B127">
        <v>53</v>
      </c>
      <c r="C127" t="s">
        <v>26</v>
      </c>
      <c r="D127" t="s">
        <v>22</v>
      </c>
      <c r="E127" t="s">
        <v>17</v>
      </c>
      <c r="F127" t="s">
        <v>21</v>
      </c>
      <c r="G127" t="s">
        <v>41</v>
      </c>
      <c r="H127" t="s">
        <v>25</v>
      </c>
      <c r="I127" s="1">
        <v>1</v>
      </c>
      <c r="J127" s="2">
        <v>46126</v>
      </c>
      <c r="K127" s="2">
        <f t="shared" si="2"/>
        <v>46113</v>
      </c>
      <c r="L127" s="1" t="str">
        <f>TEXT(J127,"ddd")</f>
        <v>ter</v>
      </c>
      <c r="M127" s="1" t="str">
        <f>TEXT($J127,"mmm")</f>
        <v>abr</v>
      </c>
      <c r="N127">
        <f>YEAR(J127)</f>
        <v>2026</v>
      </c>
      <c r="O127" s="2"/>
      <c r="P127" t="str">
        <f t="shared" si="3"/>
        <v>205746126</v>
      </c>
    </row>
    <row r="128" spans="1:16" x14ac:dyDescent="0.3">
      <c r="A128">
        <v>2057</v>
      </c>
      <c r="B128">
        <v>53</v>
      </c>
      <c r="C128" t="s">
        <v>26</v>
      </c>
      <c r="D128" t="s">
        <v>22</v>
      </c>
      <c r="E128" t="s">
        <v>17</v>
      </c>
      <c r="F128" t="s">
        <v>21</v>
      </c>
      <c r="G128" t="s">
        <v>41</v>
      </c>
      <c r="H128" t="s">
        <v>25</v>
      </c>
      <c r="I128" s="1">
        <v>1</v>
      </c>
      <c r="J128" s="2">
        <v>46127</v>
      </c>
      <c r="K128" s="2">
        <f t="shared" si="2"/>
        <v>46113</v>
      </c>
      <c r="L128" s="1" t="str">
        <f>TEXT(J128,"ddd")</f>
        <v>qua</v>
      </c>
      <c r="M128" s="1" t="str">
        <f>TEXT($J128,"mmm")</f>
        <v>abr</v>
      </c>
      <c r="N128">
        <f>YEAR(J128)</f>
        <v>2026</v>
      </c>
      <c r="O128" s="2"/>
      <c r="P128" t="str">
        <f t="shared" si="3"/>
        <v>205746127</v>
      </c>
    </row>
    <row r="129" spans="1:16" x14ac:dyDescent="0.3">
      <c r="A129">
        <v>2057</v>
      </c>
      <c r="B129">
        <v>53</v>
      </c>
      <c r="C129" t="s">
        <v>26</v>
      </c>
      <c r="D129" t="s">
        <v>22</v>
      </c>
      <c r="E129" t="s">
        <v>17</v>
      </c>
      <c r="F129" t="s">
        <v>21</v>
      </c>
      <c r="G129" t="s">
        <v>41</v>
      </c>
      <c r="H129" t="s">
        <v>25</v>
      </c>
      <c r="I129" s="1">
        <v>1</v>
      </c>
      <c r="J129" s="2">
        <v>46182</v>
      </c>
      <c r="K129" s="2">
        <f t="shared" si="2"/>
        <v>46174</v>
      </c>
      <c r="L129" s="1" t="s">
        <v>56</v>
      </c>
      <c r="M129" s="1" t="s">
        <v>48</v>
      </c>
      <c r="N129">
        <v>2025</v>
      </c>
      <c r="O129" s="2"/>
      <c r="P129" t="str">
        <f t="shared" si="3"/>
        <v>205746182</v>
      </c>
    </row>
    <row r="130" spans="1:16" x14ac:dyDescent="0.3">
      <c r="A130">
        <v>2057</v>
      </c>
      <c r="B130">
        <v>53</v>
      </c>
      <c r="C130" t="s">
        <v>26</v>
      </c>
      <c r="D130" t="s">
        <v>22</v>
      </c>
      <c r="E130" t="s">
        <v>17</v>
      </c>
      <c r="F130" t="s">
        <v>21</v>
      </c>
      <c r="G130" t="s">
        <v>41</v>
      </c>
      <c r="H130" t="s">
        <v>25</v>
      </c>
      <c r="I130" s="1">
        <v>1</v>
      </c>
      <c r="J130" s="2">
        <v>46194</v>
      </c>
      <c r="K130" s="2">
        <f t="shared" si="2"/>
        <v>46174</v>
      </c>
      <c r="L130" s="1" t="s">
        <v>50</v>
      </c>
      <c r="M130" s="1" t="s">
        <v>48</v>
      </c>
      <c r="N130">
        <v>2025</v>
      </c>
      <c r="O130" s="2"/>
      <c r="P130" t="str">
        <f t="shared" ref="P130:P193" si="4">CONCATENATE(A130,J130)</f>
        <v>205746194</v>
      </c>
    </row>
    <row r="131" spans="1:16" x14ac:dyDescent="0.3">
      <c r="A131">
        <v>2059</v>
      </c>
      <c r="B131">
        <v>57</v>
      </c>
      <c r="C131" t="s">
        <v>26</v>
      </c>
      <c r="D131" t="s">
        <v>16</v>
      </c>
      <c r="E131" t="s">
        <v>17</v>
      </c>
      <c r="F131" t="s">
        <v>21</v>
      </c>
      <c r="G131" t="s">
        <v>41</v>
      </c>
      <c r="H131" t="s">
        <v>25</v>
      </c>
      <c r="I131" s="1">
        <v>2</v>
      </c>
      <c r="J131" s="2">
        <v>46123</v>
      </c>
      <c r="K131" s="2">
        <f t="shared" ref="K131:K194" si="5">DATE(YEAR(J131),MONTH(J131),1)</f>
        <v>46113</v>
      </c>
      <c r="L131" s="1" t="str">
        <f>TEXT(J131,"ddd")</f>
        <v>sáb</v>
      </c>
      <c r="M131" s="1" t="str">
        <f>TEXT($J131,"mmm")</f>
        <v>abr</v>
      </c>
      <c r="N131">
        <f>YEAR(J131)</f>
        <v>2026</v>
      </c>
      <c r="O131" s="2"/>
      <c r="P131" t="str">
        <f t="shared" si="4"/>
        <v>205946123</v>
      </c>
    </row>
    <row r="132" spans="1:16" x14ac:dyDescent="0.3">
      <c r="A132">
        <v>2059</v>
      </c>
      <c r="B132">
        <v>57</v>
      </c>
      <c r="C132" t="s">
        <v>26</v>
      </c>
      <c r="D132" t="s">
        <v>16</v>
      </c>
      <c r="E132" t="s">
        <v>17</v>
      </c>
      <c r="F132" t="s">
        <v>21</v>
      </c>
      <c r="G132" t="s">
        <v>41</v>
      </c>
      <c r="H132" t="s">
        <v>25</v>
      </c>
      <c r="I132" s="1">
        <v>2</v>
      </c>
      <c r="J132" s="2">
        <v>46167</v>
      </c>
      <c r="K132" s="2">
        <f t="shared" si="5"/>
        <v>46143</v>
      </c>
      <c r="L132" s="1" t="s">
        <v>53</v>
      </c>
      <c r="M132" s="1" t="s">
        <v>48</v>
      </c>
      <c r="N132">
        <v>2025</v>
      </c>
      <c r="O132" s="2"/>
      <c r="P132" t="str">
        <f t="shared" si="4"/>
        <v>205946167</v>
      </c>
    </row>
    <row r="133" spans="1:16" x14ac:dyDescent="0.3">
      <c r="A133">
        <v>2061</v>
      </c>
      <c r="B133">
        <v>55</v>
      </c>
      <c r="C133" t="s">
        <v>15</v>
      </c>
      <c r="D133" t="s">
        <v>27</v>
      </c>
      <c r="E133" t="s">
        <v>17</v>
      </c>
      <c r="F133" t="s">
        <v>21</v>
      </c>
      <c r="G133" t="s">
        <v>41</v>
      </c>
      <c r="H133" t="s">
        <v>25</v>
      </c>
      <c r="I133" s="1">
        <v>2</v>
      </c>
      <c r="J133" s="2">
        <v>46157</v>
      </c>
      <c r="K133" s="2">
        <f t="shared" si="5"/>
        <v>46143</v>
      </c>
      <c r="L133" s="1" t="str">
        <f>TEXT(J133,"ddd")</f>
        <v>sex</v>
      </c>
      <c r="M133" s="1" t="str">
        <f>TEXT($J133,"mmm")</f>
        <v>mai</v>
      </c>
      <c r="N133">
        <f>YEAR(J133)</f>
        <v>2026</v>
      </c>
      <c r="O133" s="2"/>
      <c r="P133" t="str">
        <f t="shared" si="4"/>
        <v>206146157</v>
      </c>
    </row>
    <row r="134" spans="1:16" x14ac:dyDescent="0.3">
      <c r="A134">
        <v>2061</v>
      </c>
      <c r="B134">
        <v>55</v>
      </c>
      <c r="C134" t="s">
        <v>15</v>
      </c>
      <c r="D134" t="s">
        <v>27</v>
      </c>
      <c r="E134" t="s">
        <v>17</v>
      </c>
      <c r="F134" t="s">
        <v>21</v>
      </c>
      <c r="G134" t="s">
        <v>41</v>
      </c>
      <c r="H134" t="s">
        <v>25</v>
      </c>
      <c r="I134" s="1">
        <v>2</v>
      </c>
      <c r="J134" s="2">
        <v>46182</v>
      </c>
      <c r="K134" s="2">
        <f t="shared" si="5"/>
        <v>46174</v>
      </c>
      <c r="L134" s="1" t="s">
        <v>52</v>
      </c>
      <c r="M134" s="1" t="s">
        <v>49</v>
      </c>
      <c r="N134">
        <v>2025</v>
      </c>
      <c r="O134" s="2"/>
      <c r="P134" t="str">
        <f t="shared" si="4"/>
        <v>206146182</v>
      </c>
    </row>
    <row r="135" spans="1:16" x14ac:dyDescent="0.3">
      <c r="A135">
        <v>2062</v>
      </c>
      <c r="B135">
        <v>25</v>
      </c>
      <c r="C135" t="s">
        <v>15</v>
      </c>
      <c r="D135" t="s">
        <v>16</v>
      </c>
      <c r="E135" t="s">
        <v>17</v>
      </c>
      <c r="F135" t="s">
        <v>18</v>
      </c>
      <c r="G135" t="s">
        <v>41</v>
      </c>
      <c r="H135" t="s">
        <v>25</v>
      </c>
      <c r="I135" s="1">
        <v>1</v>
      </c>
      <c r="J135" s="2">
        <v>46167</v>
      </c>
      <c r="K135" s="2">
        <f t="shared" si="5"/>
        <v>46143</v>
      </c>
      <c r="L135" s="1" t="str">
        <f>TEXT(J135,"ddd")</f>
        <v>seg</v>
      </c>
      <c r="M135" s="1" t="str">
        <f>TEXT($J135,"mmm")</f>
        <v>mai</v>
      </c>
      <c r="N135">
        <f>YEAR(J135)</f>
        <v>2026</v>
      </c>
      <c r="O135" s="2"/>
      <c r="P135" t="str">
        <f t="shared" si="4"/>
        <v>206246167</v>
      </c>
    </row>
    <row r="136" spans="1:16" x14ac:dyDescent="0.3">
      <c r="A136">
        <v>2062</v>
      </c>
      <c r="B136">
        <v>25</v>
      </c>
      <c r="C136" t="s">
        <v>15</v>
      </c>
      <c r="D136" t="s">
        <v>16</v>
      </c>
      <c r="E136" t="s">
        <v>17</v>
      </c>
      <c r="F136" t="s">
        <v>18</v>
      </c>
      <c r="G136" t="s">
        <v>41</v>
      </c>
      <c r="H136" t="s">
        <v>25</v>
      </c>
      <c r="I136" s="1">
        <v>1</v>
      </c>
      <c r="J136" s="2">
        <v>46171</v>
      </c>
      <c r="K136" s="2">
        <f t="shared" si="5"/>
        <v>46143</v>
      </c>
      <c r="L136" s="1" t="str">
        <f>TEXT(J136,"ddd")</f>
        <v>sex</v>
      </c>
      <c r="M136" s="1" t="str">
        <f>TEXT($J136,"mmm")</f>
        <v>mai</v>
      </c>
      <c r="N136">
        <f>YEAR(J136)</f>
        <v>2026</v>
      </c>
      <c r="O136" s="2"/>
      <c r="P136" t="str">
        <f t="shared" si="4"/>
        <v>206246171</v>
      </c>
    </row>
    <row r="137" spans="1:16" x14ac:dyDescent="0.3">
      <c r="A137">
        <v>2062</v>
      </c>
      <c r="B137">
        <v>25</v>
      </c>
      <c r="C137" t="s">
        <v>15</v>
      </c>
      <c r="D137" t="s">
        <v>16</v>
      </c>
      <c r="E137" t="s">
        <v>17</v>
      </c>
      <c r="F137" t="s">
        <v>18</v>
      </c>
      <c r="G137" t="s">
        <v>41</v>
      </c>
      <c r="H137" t="s">
        <v>25</v>
      </c>
      <c r="I137" s="1">
        <v>1</v>
      </c>
      <c r="J137" s="2">
        <v>46160</v>
      </c>
      <c r="K137" s="2">
        <f t="shared" si="5"/>
        <v>46143</v>
      </c>
      <c r="L137" s="1" t="s">
        <v>55</v>
      </c>
      <c r="M137" s="1" t="s">
        <v>49</v>
      </c>
      <c r="N137">
        <v>2025</v>
      </c>
      <c r="O137" s="2"/>
      <c r="P137" t="str">
        <f t="shared" si="4"/>
        <v>206246160</v>
      </c>
    </row>
    <row r="138" spans="1:16" x14ac:dyDescent="0.3">
      <c r="A138">
        <v>2062</v>
      </c>
      <c r="B138">
        <v>25</v>
      </c>
      <c r="C138" t="s">
        <v>15</v>
      </c>
      <c r="D138" t="s">
        <v>16</v>
      </c>
      <c r="E138" t="s">
        <v>17</v>
      </c>
      <c r="F138" t="s">
        <v>18</v>
      </c>
      <c r="G138" t="s">
        <v>41</v>
      </c>
      <c r="H138" t="s">
        <v>25</v>
      </c>
      <c r="I138" s="1">
        <v>1</v>
      </c>
      <c r="J138" s="2">
        <v>46165</v>
      </c>
      <c r="K138" s="2">
        <f t="shared" si="5"/>
        <v>46143</v>
      </c>
      <c r="L138" s="1" t="s">
        <v>52</v>
      </c>
      <c r="M138" s="1" t="s">
        <v>49</v>
      </c>
      <c r="N138">
        <v>2025</v>
      </c>
      <c r="O138" s="2"/>
      <c r="P138" t="str">
        <f t="shared" si="4"/>
        <v>206246165</v>
      </c>
    </row>
    <row r="139" spans="1:16" x14ac:dyDescent="0.3">
      <c r="A139">
        <v>2066</v>
      </c>
      <c r="B139">
        <v>27</v>
      </c>
      <c r="C139" t="s">
        <v>26</v>
      </c>
      <c r="D139" t="s">
        <v>16</v>
      </c>
      <c r="E139" t="s">
        <v>17</v>
      </c>
      <c r="F139" t="s">
        <v>21</v>
      </c>
      <c r="G139" t="s">
        <v>41</v>
      </c>
      <c r="H139" t="s">
        <v>25</v>
      </c>
      <c r="I139" s="1">
        <v>1</v>
      </c>
      <c r="J139" s="2">
        <v>46133</v>
      </c>
      <c r="K139" s="2">
        <f t="shared" si="5"/>
        <v>46113</v>
      </c>
      <c r="L139" s="1" t="str">
        <f>TEXT(J139,"ddd")</f>
        <v>ter</v>
      </c>
      <c r="M139" s="1" t="str">
        <f>TEXT($J139,"mmm")</f>
        <v>abr</v>
      </c>
      <c r="N139">
        <f>YEAR(J139)</f>
        <v>2026</v>
      </c>
      <c r="O139" s="2"/>
      <c r="P139" t="str">
        <f t="shared" si="4"/>
        <v>206646133</v>
      </c>
    </row>
    <row r="140" spans="1:16" x14ac:dyDescent="0.3">
      <c r="A140">
        <v>2066</v>
      </c>
      <c r="B140">
        <v>27</v>
      </c>
      <c r="C140" t="s">
        <v>26</v>
      </c>
      <c r="D140" t="s">
        <v>16</v>
      </c>
      <c r="E140" t="s">
        <v>17</v>
      </c>
      <c r="F140" t="s">
        <v>21</v>
      </c>
      <c r="G140" t="s">
        <v>41</v>
      </c>
      <c r="H140" t="s">
        <v>25</v>
      </c>
      <c r="I140" s="1">
        <v>1</v>
      </c>
      <c r="J140" s="2">
        <v>46182</v>
      </c>
      <c r="K140" s="2">
        <f t="shared" si="5"/>
        <v>46174</v>
      </c>
      <c r="L140" s="1" t="s">
        <v>56</v>
      </c>
      <c r="M140" s="1" t="s">
        <v>48</v>
      </c>
      <c r="N140">
        <v>2025</v>
      </c>
      <c r="O140" s="2"/>
      <c r="P140" t="str">
        <f t="shared" si="4"/>
        <v>206646182</v>
      </c>
    </row>
    <row r="141" spans="1:16" x14ac:dyDescent="0.3">
      <c r="A141">
        <v>2067</v>
      </c>
      <c r="B141">
        <v>35</v>
      </c>
      <c r="C141" t="s">
        <v>26</v>
      </c>
      <c r="D141" t="s">
        <v>16</v>
      </c>
      <c r="E141" t="s">
        <v>17</v>
      </c>
      <c r="F141" t="s">
        <v>21</v>
      </c>
      <c r="G141" t="s">
        <v>41</v>
      </c>
      <c r="H141" t="s">
        <v>25</v>
      </c>
      <c r="I141" s="1">
        <v>3</v>
      </c>
      <c r="J141" s="2">
        <v>46165</v>
      </c>
      <c r="K141" s="2">
        <f t="shared" si="5"/>
        <v>46143</v>
      </c>
      <c r="L141" s="1" t="str">
        <f>TEXT(J141,"ddd")</f>
        <v>sáb</v>
      </c>
      <c r="M141" s="1" t="str">
        <f>TEXT($J141,"mmm")</f>
        <v>mai</v>
      </c>
      <c r="N141">
        <f>YEAR(J141)</f>
        <v>2026</v>
      </c>
      <c r="O141" s="2"/>
      <c r="P141" t="str">
        <f t="shared" si="4"/>
        <v>206746165</v>
      </c>
    </row>
    <row r="142" spans="1:16" x14ac:dyDescent="0.3">
      <c r="A142">
        <v>2067</v>
      </c>
      <c r="B142">
        <v>35</v>
      </c>
      <c r="C142" t="s">
        <v>26</v>
      </c>
      <c r="D142" t="s">
        <v>16</v>
      </c>
      <c r="E142" t="s">
        <v>17</v>
      </c>
      <c r="F142" t="s">
        <v>21</v>
      </c>
      <c r="G142" t="s">
        <v>41</v>
      </c>
      <c r="H142" t="s">
        <v>25</v>
      </c>
      <c r="I142" s="1">
        <v>3</v>
      </c>
      <c r="J142" s="2">
        <v>46194</v>
      </c>
      <c r="K142" s="2">
        <f t="shared" si="5"/>
        <v>46174</v>
      </c>
      <c r="L142" s="1" t="str">
        <f>TEXT(J142,"ddd")</f>
        <v>dom</v>
      </c>
      <c r="M142" s="1" t="str">
        <f>TEXT($J142,"mmm")</f>
        <v>jun</v>
      </c>
      <c r="N142">
        <f>YEAR(J142)</f>
        <v>2026</v>
      </c>
      <c r="O142" s="2"/>
      <c r="P142" t="str">
        <f t="shared" si="4"/>
        <v>206746194</v>
      </c>
    </row>
    <row r="143" spans="1:16" x14ac:dyDescent="0.3">
      <c r="A143">
        <v>2067</v>
      </c>
      <c r="B143">
        <v>35</v>
      </c>
      <c r="C143" t="s">
        <v>26</v>
      </c>
      <c r="D143" t="s">
        <v>16</v>
      </c>
      <c r="E143" t="s">
        <v>17</v>
      </c>
      <c r="F143" t="s">
        <v>21</v>
      </c>
      <c r="G143" t="s">
        <v>41</v>
      </c>
      <c r="H143" t="s">
        <v>25</v>
      </c>
      <c r="I143" s="1">
        <v>3</v>
      </c>
      <c r="J143" s="2">
        <v>46125</v>
      </c>
      <c r="K143" s="2">
        <f t="shared" si="5"/>
        <v>46113</v>
      </c>
      <c r="L143" s="1" t="s">
        <v>55</v>
      </c>
      <c r="M143" s="1" t="s">
        <v>48</v>
      </c>
      <c r="N143">
        <v>2025</v>
      </c>
      <c r="O143" s="2"/>
      <c r="P143" t="str">
        <f t="shared" si="4"/>
        <v>206746125</v>
      </c>
    </row>
    <row r="144" spans="1:16" x14ac:dyDescent="0.3">
      <c r="A144">
        <v>2067</v>
      </c>
      <c r="B144">
        <v>35</v>
      </c>
      <c r="C144" t="s">
        <v>26</v>
      </c>
      <c r="D144" t="s">
        <v>16</v>
      </c>
      <c r="E144" t="s">
        <v>17</v>
      </c>
      <c r="F144" t="s">
        <v>21</v>
      </c>
      <c r="G144" t="s">
        <v>41</v>
      </c>
      <c r="H144" t="s">
        <v>25</v>
      </c>
      <c r="I144" s="1">
        <v>3</v>
      </c>
      <c r="J144" s="2">
        <v>46126</v>
      </c>
      <c r="K144" s="2">
        <f t="shared" si="5"/>
        <v>46113</v>
      </c>
      <c r="L144" s="1" t="s">
        <v>56</v>
      </c>
      <c r="M144" s="1" t="s">
        <v>48</v>
      </c>
      <c r="N144">
        <v>2025</v>
      </c>
      <c r="O144" s="2"/>
      <c r="P144" t="str">
        <f t="shared" si="4"/>
        <v>206746126</v>
      </c>
    </row>
    <row r="145" spans="1:16" x14ac:dyDescent="0.3">
      <c r="A145">
        <v>2068</v>
      </c>
      <c r="B145">
        <v>44</v>
      </c>
      <c r="C145" t="s">
        <v>26</v>
      </c>
      <c r="D145" t="s">
        <v>27</v>
      </c>
      <c r="E145" t="s">
        <v>17</v>
      </c>
      <c r="F145" t="s">
        <v>23</v>
      </c>
      <c r="G145" t="s">
        <v>41</v>
      </c>
      <c r="H145" t="s">
        <v>25</v>
      </c>
      <c r="I145" s="1">
        <v>2</v>
      </c>
      <c r="J145" s="2">
        <v>46194</v>
      </c>
      <c r="K145" s="2">
        <f t="shared" si="5"/>
        <v>46174</v>
      </c>
      <c r="L145" s="1" t="str">
        <f>TEXT(J145,"ddd")</f>
        <v>dom</v>
      </c>
      <c r="M145" s="1" t="str">
        <f>TEXT($J145,"mmm")</f>
        <v>jun</v>
      </c>
      <c r="N145">
        <f>YEAR(J145)</f>
        <v>2026</v>
      </c>
      <c r="O145" s="2"/>
      <c r="P145" t="str">
        <f t="shared" si="4"/>
        <v>206846194</v>
      </c>
    </row>
    <row r="146" spans="1:16" x14ac:dyDescent="0.3">
      <c r="A146">
        <v>2068</v>
      </c>
      <c r="B146">
        <v>44</v>
      </c>
      <c r="C146" t="s">
        <v>26</v>
      </c>
      <c r="D146" t="s">
        <v>27</v>
      </c>
      <c r="E146" t="s">
        <v>17</v>
      </c>
      <c r="F146" t="s">
        <v>23</v>
      </c>
      <c r="G146" t="s">
        <v>41</v>
      </c>
      <c r="H146" t="s">
        <v>25</v>
      </c>
      <c r="I146" s="1">
        <v>2</v>
      </c>
      <c r="J146" s="2">
        <v>46134</v>
      </c>
      <c r="K146" s="2">
        <f t="shared" si="5"/>
        <v>46113</v>
      </c>
      <c r="L146" s="1" t="s">
        <v>50</v>
      </c>
      <c r="M146" s="1" t="s">
        <v>48</v>
      </c>
      <c r="N146">
        <v>2025</v>
      </c>
      <c r="O146" s="2"/>
      <c r="P146" t="str">
        <f t="shared" si="4"/>
        <v>206846134</v>
      </c>
    </row>
    <row r="147" spans="1:16" x14ac:dyDescent="0.3">
      <c r="A147">
        <v>2070</v>
      </c>
      <c r="B147">
        <v>29</v>
      </c>
      <c r="C147" t="s">
        <v>15</v>
      </c>
      <c r="D147" t="s">
        <v>31</v>
      </c>
      <c r="E147" t="s">
        <v>34</v>
      </c>
      <c r="F147" t="s">
        <v>18</v>
      </c>
      <c r="G147" t="s">
        <v>41</v>
      </c>
      <c r="H147" t="s">
        <v>25</v>
      </c>
      <c r="I147" s="1">
        <v>3</v>
      </c>
      <c r="J147" s="2">
        <v>46128</v>
      </c>
      <c r="K147" s="2">
        <f t="shared" si="5"/>
        <v>46113</v>
      </c>
      <c r="L147" s="1" t="str">
        <f>TEXT(J147,"ddd")</f>
        <v>qui</v>
      </c>
      <c r="M147" s="1" t="str">
        <f>TEXT($J147,"mmm")</f>
        <v>abr</v>
      </c>
      <c r="N147">
        <f>YEAR(J147)</f>
        <v>2026</v>
      </c>
      <c r="O147" s="2"/>
      <c r="P147" t="str">
        <f t="shared" si="4"/>
        <v>207046128</v>
      </c>
    </row>
    <row r="148" spans="1:16" x14ac:dyDescent="0.3">
      <c r="A148">
        <v>2070</v>
      </c>
      <c r="B148">
        <v>29</v>
      </c>
      <c r="C148" t="s">
        <v>15</v>
      </c>
      <c r="D148" t="s">
        <v>31</v>
      </c>
      <c r="E148" t="s">
        <v>34</v>
      </c>
      <c r="F148" t="s">
        <v>18</v>
      </c>
      <c r="G148" t="s">
        <v>41</v>
      </c>
      <c r="H148" t="s">
        <v>25</v>
      </c>
      <c r="I148" s="1">
        <v>3</v>
      </c>
      <c r="J148" s="2">
        <v>46126</v>
      </c>
      <c r="K148" s="2">
        <f t="shared" si="5"/>
        <v>46113</v>
      </c>
      <c r="L148" s="1" t="s">
        <v>51</v>
      </c>
      <c r="M148" s="1" t="s">
        <v>48</v>
      </c>
      <c r="N148">
        <v>2025</v>
      </c>
      <c r="O148" s="2"/>
      <c r="P148" t="str">
        <f t="shared" si="4"/>
        <v>207046126</v>
      </c>
    </row>
    <row r="149" spans="1:16" x14ac:dyDescent="0.3">
      <c r="A149">
        <v>2071</v>
      </c>
      <c r="B149">
        <v>52</v>
      </c>
      <c r="C149" t="s">
        <v>26</v>
      </c>
      <c r="D149" t="s">
        <v>22</v>
      </c>
      <c r="E149" t="s">
        <v>17</v>
      </c>
      <c r="F149" t="s">
        <v>23</v>
      </c>
      <c r="G149" t="s">
        <v>41</v>
      </c>
      <c r="H149" t="s">
        <v>25</v>
      </c>
      <c r="I149" s="1">
        <v>2</v>
      </c>
      <c r="J149" s="2">
        <v>46156</v>
      </c>
      <c r="K149" s="2">
        <f t="shared" si="5"/>
        <v>46143</v>
      </c>
      <c r="L149" s="1" t="str">
        <f>TEXT(J149,"ddd")</f>
        <v>qui</v>
      </c>
      <c r="M149" s="1" t="str">
        <f>TEXT($J149,"mmm")</f>
        <v>mai</v>
      </c>
      <c r="N149">
        <f>YEAR(J149)</f>
        <v>2026</v>
      </c>
      <c r="O149" s="2"/>
      <c r="P149" t="str">
        <f t="shared" si="4"/>
        <v>207146156</v>
      </c>
    </row>
    <row r="150" spans="1:16" x14ac:dyDescent="0.3">
      <c r="A150">
        <v>2071</v>
      </c>
      <c r="B150">
        <v>52</v>
      </c>
      <c r="C150" t="s">
        <v>26</v>
      </c>
      <c r="D150" t="s">
        <v>22</v>
      </c>
      <c r="E150" t="s">
        <v>17</v>
      </c>
      <c r="F150" t="s">
        <v>23</v>
      </c>
      <c r="G150" t="s">
        <v>41</v>
      </c>
      <c r="H150" t="s">
        <v>25</v>
      </c>
      <c r="I150" s="1">
        <v>2</v>
      </c>
      <c r="J150" s="2">
        <v>46182</v>
      </c>
      <c r="K150" s="2">
        <f t="shared" si="5"/>
        <v>46174</v>
      </c>
      <c r="L150" s="1" t="s">
        <v>51</v>
      </c>
      <c r="M150" s="1" t="s">
        <v>49</v>
      </c>
      <c r="N150">
        <v>2025</v>
      </c>
      <c r="O150" s="2"/>
      <c r="P150" t="str">
        <f t="shared" si="4"/>
        <v>207146182</v>
      </c>
    </row>
    <row r="151" spans="1:16" x14ac:dyDescent="0.3">
      <c r="A151">
        <v>2072</v>
      </c>
      <c r="B151">
        <v>34</v>
      </c>
      <c r="C151" t="s">
        <v>15</v>
      </c>
      <c r="D151" t="s">
        <v>16</v>
      </c>
      <c r="E151" t="s">
        <v>17</v>
      </c>
      <c r="F151" t="s">
        <v>18</v>
      </c>
      <c r="G151" t="s">
        <v>41</v>
      </c>
      <c r="H151" t="s">
        <v>25</v>
      </c>
      <c r="I151" s="1">
        <v>2</v>
      </c>
      <c r="J151" s="2">
        <v>46194</v>
      </c>
      <c r="K151" s="2">
        <f t="shared" si="5"/>
        <v>46174</v>
      </c>
      <c r="L151" s="1" t="str">
        <f>TEXT(J151,"ddd")</f>
        <v>dom</v>
      </c>
      <c r="M151" s="1" t="str">
        <f>TEXT($J151,"mmm")</f>
        <v>jun</v>
      </c>
      <c r="N151">
        <f>YEAR(J151)</f>
        <v>2026</v>
      </c>
      <c r="O151" s="2"/>
      <c r="P151" t="str">
        <f t="shared" si="4"/>
        <v>207246194</v>
      </c>
    </row>
    <row r="152" spans="1:16" x14ac:dyDescent="0.3">
      <c r="A152">
        <v>2072</v>
      </c>
      <c r="B152">
        <v>34</v>
      </c>
      <c r="C152" t="s">
        <v>15</v>
      </c>
      <c r="D152" t="s">
        <v>16</v>
      </c>
      <c r="E152" t="s">
        <v>17</v>
      </c>
      <c r="F152" t="s">
        <v>18</v>
      </c>
      <c r="G152" t="s">
        <v>41</v>
      </c>
      <c r="H152" t="s">
        <v>25</v>
      </c>
      <c r="I152" s="1">
        <v>2</v>
      </c>
      <c r="J152" s="2">
        <v>46166</v>
      </c>
      <c r="K152" s="2">
        <f t="shared" si="5"/>
        <v>46143</v>
      </c>
      <c r="L152" s="1" t="s">
        <v>54</v>
      </c>
      <c r="M152" s="1" t="s">
        <v>49</v>
      </c>
      <c r="N152">
        <v>2025</v>
      </c>
      <c r="O152" s="2"/>
      <c r="P152" t="str">
        <f t="shared" si="4"/>
        <v>207246166</v>
      </c>
    </row>
    <row r="153" spans="1:16" x14ac:dyDescent="0.3">
      <c r="A153">
        <v>2073</v>
      </c>
      <c r="B153">
        <v>50</v>
      </c>
      <c r="C153" t="s">
        <v>26</v>
      </c>
      <c r="D153" t="s">
        <v>16</v>
      </c>
      <c r="E153" t="s">
        <v>17</v>
      </c>
      <c r="F153" t="s">
        <v>21</v>
      </c>
      <c r="G153" t="s">
        <v>41</v>
      </c>
      <c r="H153" t="s">
        <v>25</v>
      </c>
      <c r="I153" s="1">
        <v>1</v>
      </c>
      <c r="J153" s="2">
        <v>46165</v>
      </c>
      <c r="K153" s="2">
        <f t="shared" si="5"/>
        <v>46143</v>
      </c>
      <c r="L153" s="1" t="str">
        <f>TEXT(J153,"ddd")</f>
        <v>sáb</v>
      </c>
      <c r="M153" s="1" t="str">
        <f>TEXT($J153,"mmm")</f>
        <v>mai</v>
      </c>
      <c r="N153">
        <f>YEAR(J153)</f>
        <v>2026</v>
      </c>
      <c r="O153" s="2"/>
      <c r="P153" t="str">
        <f t="shared" si="4"/>
        <v>207346165</v>
      </c>
    </row>
    <row r="154" spans="1:16" x14ac:dyDescent="0.3">
      <c r="A154">
        <v>2073</v>
      </c>
      <c r="B154">
        <v>50</v>
      </c>
      <c r="C154" t="s">
        <v>26</v>
      </c>
      <c r="D154" t="s">
        <v>16</v>
      </c>
      <c r="E154" t="s">
        <v>17</v>
      </c>
      <c r="F154" t="s">
        <v>21</v>
      </c>
      <c r="G154" t="s">
        <v>41</v>
      </c>
      <c r="H154" t="s">
        <v>25</v>
      </c>
      <c r="I154" s="1">
        <v>1</v>
      </c>
      <c r="J154" s="2">
        <v>46126</v>
      </c>
      <c r="K154" s="2">
        <f t="shared" si="5"/>
        <v>46113</v>
      </c>
      <c r="L154" s="1" t="str">
        <f>TEXT(J154,"ddd")</f>
        <v>ter</v>
      </c>
      <c r="M154" s="1" t="str">
        <f>TEXT($J154,"mmm")</f>
        <v>abr</v>
      </c>
      <c r="N154">
        <f>YEAR(J154)</f>
        <v>2026</v>
      </c>
      <c r="O154" s="2"/>
      <c r="P154" t="str">
        <f t="shared" si="4"/>
        <v>207346126</v>
      </c>
    </row>
    <row r="155" spans="1:16" x14ac:dyDescent="0.3">
      <c r="A155">
        <v>2073</v>
      </c>
      <c r="B155">
        <v>50</v>
      </c>
      <c r="C155" t="s">
        <v>26</v>
      </c>
      <c r="D155" t="s">
        <v>16</v>
      </c>
      <c r="E155" t="s">
        <v>17</v>
      </c>
      <c r="F155" t="s">
        <v>21</v>
      </c>
      <c r="G155" t="s">
        <v>41</v>
      </c>
      <c r="H155" t="s">
        <v>25</v>
      </c>
      <c r="I155" s="1">
        <v>1</v>
      </c>
      <c r="J155" s="2">
        <v>46127</v>
      </c>
      <c r="K155" s="2">
        <f t="shared" si="5"/>
        <v>46113</v>
      </c>
      <c r="L155" s="1" t="s">
        <v>50</v>
      </c>
      <c r="M155" s="1" t="s">
        <v>48</v>
      </c>
      <c r="N155">
        <v>2025</v>
      </c>
      <c r="O155" s="2"/>
      <c r="P155" t="str">
        <f t="shared" si="4"/>
        <v>207346127</v>
      </c>
    </row>
    <row r="156" spans="1:16" x14ac:dyDescent="0.3">
      <c r="A156">
        <v>2073</v>
      </c>
      <c r="B156">
        <v>50</v>
      </c>
      <c r="C156" t="s">
        <v>26</v>
      </c>
      <c r="D156" t="s">
        <v>16</v>
      </c>
      <c r="E156" t="s">
        <v>17</v>
      </c>
      <c r="F156" t="s">
        <v>21</v>
      </c>
      <c r="G156" t="s">
        <v>41</v>
      </c>
      <c r="H156" t="s">
        <v>25</v>
      </c>
      <c r="I156" s="1">
        <v>1</v>
      </c>
      <c r="J156" s="2">
        <v>46173</v>
      </c>
      <c r="K156" s="2">
        <f t="shared" si="5"/>
        <v>46143</v>
      </c>
      <c r="L156" s="1" t="s">
        <v>54</v>
      </c>
      <c r="M156" s="1" t="s">
        <v>49</v>
      </c>
      <c r="N156">
        <v>2025</v>
      </c>
      <c r="O156" s="2"/>
      <c r="P156" t="str">
        <f t="shared" si="4"/>
        <v>207346173</v>
      </c>
    </row>
    <row r="157" spans="1:16" x14ac:dyDescent="0.3">
      <c r="A157">
        <v>2074</v>
      </c>
      <c r="B157">
        <v>46</v>
      </c>
      <c r="C157" t="s">
        <v>26</v>
      </c>
      <c r="D157" t="s">
        <v>31</v>
      </c>
      <c r="E157" t="s">
        <v>34</v>
      </c>
      <c r="F157" t="s">
        <v>21</v>
      </c>
      <c r="G157" t="s">
        <v>41</v>
      </c>
      <c r="H157" t="s">
        <v>25</v>
      </c>
      <c r="I157" s="1">
        <v>3</v>
      </c>
      <c r="J157" s="2">
        <v>46129</v>
      </c>
      <c r="K157" s="2">
        <f t="shared" si="5"/>
        <v>46113</v>
      </c>
      <c r="L157" s="1" t="str">
        <f>TEXT(J157,"ddd")</f>
        <v>sex</v>
      </c>
      <c r="M157" s="1" t="str">
        <f>TEXT($J157,"mmm")</f>
        <v>abr</v>
      </c>
      <c r="N157">
        <f>YEAR(J157)</f>
        <v>2026</v>
      </c>
      <c r="O157" s="2"/>
      <c r="P157" t="str">
        <f t="shared" si="4"/>
        <v>207446129</v>
      </c>
    </row>
    <row r="158" spans="1:16" x14ac:dyDescent="0.3">
      <c r="A158">
        <v>2074</v>
      </c>
      <c r="B158">
        <v>46</v>
      </c>
      <c r="C158" t="s">
        <v>26</v>
      </c>
      <c r="D158" t="s">
        <v>31</v>
      </c>
      <c r="E158" t="s">
        <v>34</v>
      </c>
      <c r="F158" t="s">
        <v>21</v>
      </c>
      <c r="G158" t="s">
        <v>41</v>
      </c>
      <c r="H158" t="s">
        <v>25</v>
      </c>
      <c r="I158" s="1">
        <v>3</v>
      </c>
      <c r="J158" s="2">
        <v>46194</v>
      </c>
      <c r="K158" s="2">
        <f t="shared" si="5"/>
        <v>46174</v>
      </c>
      <c r="L158" s="1" t="s">
        <v>52</v>
      </c>
      <c r="M158" s="1" t="s">
        <v>48</v>
      </c>
      <c r="N158">
        <v>2025</v>
      </c>
      <c r="O158" s="2"/>
      <c r="P158" t="str">
        <f t="shared" si="4"/>
        <v>207446194</v>
      </c>
    </row>
    <row r="159" spans="1:16" x14ac:dyDescent="0.3">
      <c r="A159">
        <v>2077</v>
      </c>
      <c r="B159">
        <v>56</v>
      </c>
      <c r="C159" t="s">
        <v>15</v>
      </c>
      <c r="D159" t="s">
        <v>29</v>
      </c>
      <c r="E159" t="s">
        <v>17</v>
      </c>
      <c r="F159" t="s">
        <v>21</v>
      </c>
      <c r="G159" t="s">
        <v>41</v>
      </c>
      <c r="H159" t="s">
        <v>25</v>
      </c>
      <c r="I159" s="1">
        <v>1</v>
      </c>
      <c r="J159" s="2">
        <v>46157</v>
      </c>
      <c r="K159" s="2">
        <f t="shared" si="5"/>
        <v>46143</v>
      </c>
      <c r="L159" s="1" t="str">
        <f>TEXT(J159,"ddd")</f>
        <v>sex</v>
      </c>
      <c r="M159" s="1" t="str">
        <f>TEXT($J159,"mmm")</f>
        <v>mai</v>
      </c>
      <c r="N159">
        <f>YEAR(J159)</f>
        <v>2026</v>
      </c>
      <c r="O159" s="2"/>
      <c r="P159" t="str">
        <f t="shared" si="4"/>
        <v>207746157</v>
      </c>
    </row>
    <row r="160" spans="1:16" x14ac:dyDescent="0.3">
      <c r="A160">
        <v>2077</v>
      </c>
      <c r="B160">
        <v>56</v>
      </c>
      <c r="C160" t="s">
        <v>15</v>
      </c>
      <c r="D160" t="s">
        <v>29</v>
      </c>
      <c r="E160" t="s">
        <v>17</v>
      </c>
      <c r="F160" t="s">
        <v>21</v>
      </c>
      <c r="G160" t="s">
        <v>41</v>
      </c>
      <c r="H160" t="s">
        <v>25</v>
      </c>
      <c r="I160" s="1">
        <v>1</v>
      </c>
      <c r="J160" s="2">
        <v>46167</v>
      </c>
      <c r="K160" s="2">
        <f t="shared" si="5"/>
        <v>46143</v>
      </c>
      <c r="L160" s="1" t="str">
        <f>TEXT(J160,"ddd")</f>
        <v>seg</v>
      </c>
      <c r="M160" s="1" t="str">
        <f>TEXT($J160,"mmm")</f>
        <v>mai</v>
      </c>
      <c r="N160">
        <f>YEAR(J160)</f>
        <v>2026</v>
      </c>
      <c r="O160" s="2"/>
      <c r="P160" t="str">
        <f t="shared" si="4"/>
        <v>207746167</v>
      </c>
    </row>
    <row r="161" spans="1:16" x14ac:dyDescent="0.3">
      <c r="A161">
        <v>2077</v>
      </c>
      <c r="B161">
        <v>56</v>
      </c>
      <c r="C161" t="s">
        <v>15</v>
      </c>
      <c r="D161" t="s">
        <v>29</v>
      </c>
      <c r="E161" t="s">
        <v>17</v>
      </c>
      <c r="F161" t="s">
        <v>21</v>
      </c>
      <c r="G161" t="s">
        <v>41</v>
      </c>
      <c r="H161" t="s">
        <v>25</v>
      </c>
      <c r="I161" s="1">
        <v>1</v>
      </c>
      <c r="J161" s="2">
        <v>46194</v>
      </c>
      <c r="K161" s="2">
        <f t="shared" si="5"/>
        <v>46174</v>
      </c>
      <c r="L161" s="1" t="s">
        <v>52</v>
      </c>
      <c r="M161" s="1" t="s">
        <v>49</v>
      </c>
      <c r="N161">
        <v>2025</v>
      </c>
      <c r="O161" s="2"/>
      <c r="P161" t="str">
        <f t="shared" si="4"/>
        <v>207746194</v>
      </c>
    </row>
    <row r="162" spans="1:16" x14ac:dyDescent="0.3">
      <c r="A162">
        <v>2077</v>
      </c>
      <c r="B162">
        <v>56</v>
      </c>
      <c r="C162" t="s">
        <v>15</v>
      </c>
      <c r="D162" t="s">
        <v>29</v>
      </c>
      <c r="E162" t="s">
        <v>17</v>
      </c>
      <c r="F162" t="s">
        <v>21</v>
      </c>
      <c r="G162" t="s">
        <v>41</v>
      </c>
      <c r="H162" t="s">
        <v>25</v>
      </c>
      <c r="I162" s="1">
        <v>1</v>
      </c>
      <c r="J162" s="2">
        <v>46126</v>
      </c>
      <c r="K162" s="2">
        <f t="shared" si="5"/>
        <v>46113</v>
      </c>
      <c r="L162" s="1" t="s">
        <v>55</v>
      </c>
      <c r="M162" s="1" t="s">
        <v>49</v>
      </c>
      <c r="N162">
        <v>2025</v>
      </c>
      <c r="O162" s="2"/>
      <c r="P162" t="str">
        <f t="shared" si="4"/>
        <v>207746126</v>
      </c>
    </row>
    <row r="163" spans="1:16" x14ac:dyDescent="0.3">
      <c r="A163">
        <v>2078</v>
      </c>
      <c r="B163">
        <v>27</v>
      </c>
      <c r="C163" t="s">
        <v>15</v>
      </c>
      <c r="D163" t="s">
        <v>16</v>
      </c>
      <c r="E163" t="s">
        <v>17</v>
      </c>
      <c r="F163" t="s">
        <v>21</v>
      </c>
      <c r="G163" t="s">
        <v>41</v>
      </c>
      <c r="H163" t="s">
        <v>25</v>
      </c>
      <c r="I163" s="1">
        <v>3</v>
      </c>
      <c r="J163" s="2">
        <v>46126</v>
      </c>
      <c r="K163" s="2">
        <f t="shared" si="5"/>
        <v>46113</v>
      </c>
      <c r="L163" s="1" t="str">
        <f>TEXT(J163,"ddd")</f>
        <v>ter</v>
      </c>
      <c r="M163" s="1" t="str">
        <f>TEXT($J163,"mmm")</f>
        <v>abr</v>
      </c>
      <c r="N163">
        <f>YEAR(J163)</f>
        <v>2026</v>
      </c>
      <c r="O163" s="2"/>
      <c r="P163" t="str">
        <f t="shared" si="4"/>
        <v>207846126</v>
      </c>
    </row>
    <row r="164" spans="1:16" x14ac:dyDescent="0.3">
      <c r="A164">
        <v>2078</v>
      </c>
      <c r="B164">
        <v>27</v>
      </c>
      <c r="C164" t="s">
        <v>15</v>
      </c>
      <c r="D164" t="s">
        <v>16</v>
      </c>
      <c r="E164" t="s">
        <v>17</v>
      </c>
      <c r="F164" t="s">
        <v>21</v>
      </c>
      <c r="G164" t="s">
        <v>41</v>
      </c>
      <c r="H164" t="s">
        <v>25</v>
      </c>
      <c r="I164" s="1">
        <v>3</v>
      </c>
      <c r="J164" s="2">
        <v>46194</v>
      </c>
      <c r="K164" s="2">
        <f t="shared" si="5"/>
        <v>46174</v>
      </c>
      <c r="L164" s="1" t="s">
        <v>56</v>
      </c>
      <c r="M164" s="1" t="s">
        <v>48</v>
      </c>
      <c r="N164">
        <v>2025</v>
      </c>
      <c r="O164" s="2"/>
      <c r="P164" t="str">
        <f t="shared" si="4"/>
        <v>207846194</v>
      </c>
    </row>
    <row r="165" spans="1:16" x14ac:dyDescent="0.3">
      <c r="A165">
        <v>2079</v>
      </c>
      <c r="B165">
        <v>47</v>
      </c>
      <c r="C165" t="s">
        <v>15</v>
      </c>
      <c r="D165" t="s">
        <v>29</v>
      </c>
      <c r="E165" t="s">
        <v>17</v>
      </c>
      <c r="F165" t="s">
        <v>18</v>
      </c>
      <c r="G165" t="s">
        <v>41</v>
      </c>
      <c r="H165" t="s">
        <v>25</v>
      </c>
      <c r="I165" s="1">
        <v>1</v>
      </c>
      <c r="J165" s="2">
        <v>46194</v>
      </c>
      <c r="K165" s="2">
        <f t="shared" si="5"/>
        <v>46174</v>
      </c>
      <c r="L165" s="1" t="str">
        <f>TEXT(J165,"ddd")</f>
        <v>dom</v>
      </c>
      <c r="M165" s="1" t="str">
        <f>TEXT($J165,"mmm")</f>
        <v>jun</v>
      </c>
      <c r="N165">
        <f>YEAR(J165)</f>
        <v>2026</v>
      </c>
      <c r="O165" s="2"/>
      <c r="P165" t="str">
        <f t="shared" si="4"/>
        <v>207946194</v>
      </c>
    </row>
    <row r="166" spans="1:16" x14ac:dyDescent="0.3">
      <c r="A166">
        <v>2079</v>
      </c>
      <c r="B166">
        <v>47</v>
      </c>
      <c r="C166" t="s">
        <v>15</v>
      </c>
      <c r="D166" t="s">
        <v>29</v>
      </c>
      <c r="E166" t="s">
        <v>17</v>
      </c>
      <c r="F166" t="s">
        <v>18</v>
      </c>
      <c r="G166" t="s">
        <v>41</v>
      </c>
      <c r="H166" t="s">
        <v>25</v>
      </c>
      <c r="I166" s="1">
        <v>1</v>
      </c>
      <c r="J166" s="2">
        <v>46165</v>
      </c>
      <c r="K166" s="2">
        <f t="shared" si="5"/>
        <v>46143</v>
      </c>
      <c r="L166" s="1" t="str">
        <f>TEXT(J166,"ddd")</f>
        <v>sáb</v>
      </c>
      <c r="M166" s="1" t="str">
        <f>TEXT($J166,"mmm")</f>
        <v>mai</v>
      </c>
      <c r="N166">
        <f>YEAR(J166)</f>
        <v>2026</v>
      </c>
      <c r="O166" s="2"/>
      <c r="P166" t="str">
        <f t="shared" si="4"/>
        <v>207946165</v>
      </c>
    </row>
    <row r="167" spans="1:16" x14ac:dyDescent="0.3">
      <c r="A167">
        <v>2079</v>
      </c>
      <c r="B167">
        <v>47</v>
      </c>
      <c r="C167" t="s">
        <v>15</v>
      </c>
      <c r="D167" t="s">
        <v>29</v>
      </c>
      <c r="E167" t="s">
        <v>17</v>
      </c>
      <c r="F167" t="s">
        <v>18</v>
      </c>
      <c r="G167" t="s">
        <v>41</v>
      </c>
      <c r="H167" t="s">
        <v>25</v>
      </c>
      <c r="I167" s="1">
        <v>1</v>
      </c>
      <c r="J167" s="2">
        <v>46164</v>
      </c>
      <c r="K167" s="2">
        <f t="shared" si="5"/>
        <v>46143</v>
      </c>
      <c r="L167" s="1" t="s">
        <v>52</v>
      </c>
      <c r="M167" s="1" t="s">
        <v>49</v>
      </c>
      <c r="N167">
        <v>2025</v>
      </c>
      <c r="O167" s="2"/>
      <c r="P167" t="str">
        <f t="shared" si="4"/>
        <v>207946164</v>
      </c>
    </row>
    <row r="168" spans="1:16" x14ac:dyDescent="0.3">
      <c r="A168">
        <v>2079</v>
      </c>
      <c r="B168">
        <v>47</v>
      </c>
      <c r="C168" t="s">
        <v>15</v>
      </c>
      <c r="D168" t="s">
        <v>29</v>
      </c>
      <c r="E168" t="s">
        <v>17</v>
      </c>
      <c r="F168" t="s">
        <v>18</v>
      </c>
      <c r="G168" t="s">
        <v>41</v>
      </c>
      <c r="H168" t="s">
        <v>25</v>
      </c>
      <c r="I168" s="1">
        <v>1</v>
      </c>
      <c r="J168" s="2">
        <v>46167</v>
      </c>
      <c r="K168" s="2">
        <f t="shared" si="5"/>
        <v>46143</v>
      </c>
      <c r="L168" s="1" t="s">
        <v>55</v>
      </c>
      <c r="M168" s="1" t="s">
        <v>49</v>
      </c>
      <c r="N168">
        <v>2025</v>
      </c>
      <c r="O168" s="2"/>
      <c r="P168" t="str">
        <f t="shared" si="4"/>
        <v>207946167</v>
      </c>
    </row>
    <row r="169" spans="1:16" x14ac:dyDescent="0.3">
      <c r="A169">
        <v>2084</v>
      </c>
      <c r="B169">
        <v>19</v>
      </c>
      <c r="C169" t="s">
        <v>15</v>
      </c>
      <c r="D169" t="s">
        <v>16</v>
      </c>
      <c r="E169" t="s">
        <v>17</v>
      </c>
      <c r="F169" t="s">
        <v>23</v>
      </c>
      <c r="G169" t="s">
        <v>41</v>
      </c>
      <c r="H169" t="s">
        <v>25</v>
      </c>
      <c r="I169" s="1">
        <v>2</v>
      </c>
      <c r="J169" s="2">
        <v>46134</v>
      </c>
      <c r="K169" s="2">
        <f t="shared" si="5"/>
        <v>46113</v>
      </c>
      <c r="L169" s="1" t="str">
        <f>TEXT(J169,"ddd")</f>
        <v>qua</v>
      </c>
      <c r="M169" s="1" t="str">
        <f>TEXT($J169,"mmm")</f>
        <v>abr</v>
      </c>
      <c r="N169">
        <f>YEAR(J169)</f>
        <v>2026</v>
      </c>
      <c r="O169" s="2"/>
      <c r="P169" t="str">
        <f t="shared" si="4"/>
        <v>208446134</v>
      </c>
    </row>
    <row r="170" spans="1:16" x14ac:dyDescent="0.3">
      <c r="A170">
        <v>2084</v>
      </c>
      <c r="B170">
        <v>19</v>
      </c>
      <c r="C170" t="s">
        <v>15</v>
      </c>
      <c r="D170" t="s">
        <v>16</v>
      </c>
      <c r="E170" t="s">
        <v>17</v>
      </c>
      <c r="F170" t="s">
        <v>23</v>
      </c>
      <c r="G170" t="s">
        <v>41</v>
      </c>
      <c r="H170" t="s">
        <v>25</v>
      </c>
      <c r="I170" s="1">
        <v>2</v>
      </c>
      <c r="J170" s="2">
        <v>46126</v>
      </c>
      <c r="K170" s="2">
        <f t="shared" si="5"/>
        <v>46113</v>
      </c>
      <c r="L170" s="1" t="s">
        <v>50</v>
      </c>
      <c r="M170" s="1" t="s">
        <v>48</v>
      </c>
      <c r="N170">
        <v>2025</v>
      </c>
      <c r="O170" s="2"/>
      <c r="P170" t="str">
        <f t="shared" si="4"/>
        <v>208446126</v>
      </c>
    </row>
    <row r="171" spans="1:16" x14ac:dyDescent="0.3">
      <c r="A171">
        <v>2090</v>
      </c>
      <c r="B171">
        <v>56</v>
      </c>
      <c r="C171" t="s">
        <v>15</v>
      </c>
      <c r="D171" t="s">
        <v>22</v>
      </c>
      <c r="E171" t="s">
        <v>17</v>
      </c>
      <c r="F171" t="s">
        <v>23</v>
      </c>
      <c r="G171" t="s">
        <v>41</v>
      </c>
      <c r="H171" t="s">
        <v>25</v>
      </c>
      <c r="I171" s="1">
        <v>2</v>
      </c>
      <c r="J171" s="2">
        <v>46166</v>
      </c>
      <c r="K171" s="2">
        <f t="shared" si="5"/>
        <v>46143</v>
      </c>
      <c r="L171" s="1" t="str">
        <f>TEXT(J171,"ddd")</f>
        <v>dom</v>
      </c>
      <c r="M171" s="1" t="str">
        <f>TEXT($J171,"mmm")</f>
        <v>mai</v>
      </c>
      <c r="N171">
        <f>YEAR(J171)</f>
        <v>2026</v>
      </c>
      <c r="O171" s="2"/>
      <c r="P171" t="str">
        <f t="shared" si="4"/>
        <v>209046166</v>
      </c>
    </row>
    <row r="172" spans="1:16" x14ac:dyDescent="0.3">
      <c r="A172">
        <v>2090</v>
      </c>
      <c r="B172">
        <v>56</v>
      </c>
      <c r="C172" t="s">
        <v>15</v>
      </c>
      <c r="D172" t="s">
        <v>22</v>
      </c>
      <c r="E172" t="s">
        <v>17</v>
      </c>
      <c r="F172" t="s">
        <v>23</v>
      </c>
      <c r="G172" t="s">
        <v>41</v>
      </c>
      <c r="H172" t="s">
        <v>25</v>
      </c>
      <c r="I172" s="1">
        <v>2</v>
      </c>
      <c r="J172" s="2">
        <v>46170</v>
      </c>
      <c r="K172" s="2">
        <f t="shared" si="5"/>
        <v>46143</v>
      </c>
      <c r="L172" s="1" t="str">
        <f>TEXT(J172,"ddd")</f>
        <v>qui</v>
      </c>
      <c r="M172" s="1" t="str">
        <f>TEXT($J172,"mmm")</f>
        <v>mai</v>
      </c>
      <c r="N172">
        <f>YEAR(J172)</f>
        <v>2026</v>
      </c>
      <c r="O172" s="2"/>
      <c r="P172" t="str">
        <f t="shared" si="4"/>
        <v>209046170</v>
      </c>
    </row>
    <row r="173" spans="1:16" x14ac:dyDescent="0.3">
      <c r="A173">
        <v>2090</v>
      </c>
      <c r="B173">
        <v>56</v>
      </c>
      <c r="C173" t="s">
        <v>15</v>
      </c>
      <c r="D173" t="s">
        <v>22</v>
      </c>
      <c r="E173" t="s">
        <v>17</v>
      </c>
      <c r="F173" t="s">
        <v>23</v>
      </c>
      <c r="G173" t="s">
        <v>41</v>
      </c>
      <c r="H173" t="s">
        <v>25</v>
      </c>
      <c r="I173" s="1">
        <v>2</v>
      </c>
      <c r="J173" s="2">
        <v>46165</v>
      </c>
      <c r="K173" s="2">
        <f t="shared" si="5"/>
        <v>46143</v>
      </c>
      <c r="L173" s="1" t="s">
        <v>54</v>
      </c>
      <c r="M173" s="1" t="s">
        <v>49</v>
      </c>
      <c r="N173">
        <v>2025</v>
      </c>
      <c r="O173" s="2"/>
      <c r="P173" t="str">
        <f t="shared" si="4"/>
        <v>209046165</v>
      </c>
    </row>
    <row r="174" spans="1:16" x14ac:dyDescent="0.3">
      <c r="A174">
        <v>2090</v>
      </c>
      <c r="B174">
        <v>56</v>
      </c>
      <c r="C174" t="s">
        <v>15</v>
      </c>
      <c r="D174" t="s">
        <v>22</v>
      </c>
      <c r="E174" t="s">
        <v>17</v>
      </c>
      <c r="F174" t="s">
        <v>23</v>
      </c>
      <c r="G174" t="s">
        <v>41</v>
      </c>
      <c r="H174" t="s">
        <v>25</v>
      </c>
      <c r="I174" s="1">
        <v>2</v>
      </c>
      <c r="J174" s="2">
        <v>46194</v>
      </c>
      <c r="K174" s="2">
        <f t="shared" si="5"/>
        <v>46174</v>
      </c>
      <c r="L174" s="1" t="s">
        <v>51</v>
      </c>
      <c r="M174" s="1" t="s">
        <v>49</v>
      </c>
      <c r="N174">
        <v>2025</v>
      </c>
      <c r="O174" s="2"/>
      <c r="P174" t="str">
        <f t="shared" si="4"/>
        <v>209046194</v>
      </c>
    </row>
    <row r="175" spans="1:16" x14ac:dyDescent="0.3">
      <c r="A175">
        <v>2091</v>
      </c>
      <c r="B175">
        <v>30</v>
      </c>
      <c r="C175" t="s">
        <v>15</v>
      </c>
      <c r="D175" t="s">
        <v>27</v>
      </c>
      <c r="E175" t="s">
        <v>17</v>
      </c>
      <c r="F175" t="s">
        <v>18</v>
      </c>
      <c r="G175" t="s">
        <v>41</v>
      </c>
      <c r="H175" t="s">
        <v>25</v>
      </c>
      <c r="I175" s="1">
        <v>2</v>
      </c>
      <c r="J175" s="2">
        <v>46133</v>
      </c>
      <c r="K175" s="2">
        <f t="shared" si="5"/>
        <v>46113</v>
      </c>
      <c r="L175" s="1" t="str">
        <f>TEXT(J175,"ddd")</f>
        <v>ter</v>
      </c>
      <c r="M175" s="1" t="str">
        <f>TEXT($J175,"mmm")</f>
        <v>abr</v>
      </c>
      <c r="N175">
        <f>YEAR(J175)</f>
        <v>2026</v>
      </c>
      <c r="O175" s="2"/>
      <c r="P175" t="str">
        <f t="shared" si="4"/>
        <v>209146133</v>
      </c>
    </row>
    <row r="176" spans="1:16" x14ac:dyDescent="0.3">
      <c r="A176">
        <v>2091</v>
      </c>
      <c r="B176">
        <v>30</v>
      </c>
      <c r="C176" t="s">
        <v>15</v>
      </c>
      <c r="D176" t="s">
        <v>27</v>
      </c>
      <c r="E176" t="s">
        <v>17</v>
      </c>
      <c r="F176" t="s">
        <v>18</v>
      </c>
      <c r="G176" t="s">
        <v>41</v>
      </c>
      <c r="H176" t="s">
        <v>25</v>
      </c>
      <c r="I176" s="1">
        <v>2</v>
      </c>
      <c r="J176" s="2">
        <v>46126</v>
      </c>
      <c r="K176" s="2">
        <f t="shared" si="5"/>
        <v>46113</v>
      </c>
      <c r="L176" s="1" t="s">
        <v>56</v>
      </c>
      <c r="M176" s="1" t="s">
        <v>48</v>
      </c>
      <c r="N176">
        <v>2025</v>
      </c>
      <c r="O176" s="2"/>
      <c r="P176" t="str">
        <f t="shared" si="4"/>
        <v>209146126</v>
      </c>
    </row>
    <row r="177" spans="1:16" x14ac:dyDescent="0.3">
      <c r="A177">
        <v>2093</v>
      </c>
      <c r="B177">
        <v>38</v>
      </c>
      <c r="C177" t="s">
        <v>15</v>
      </c>
      <c r="D177" t="s">
        <v>29</v>
      </c>
      <c r="E177" t="s">
        <v>17</v>
      </c>
      <c r="F177" t="s">
        <v>18</v>
      </c>
      <c r="G177" t="s">
        <v>41</v>
      </c>
      <c r="H177" t="s">
        <v>25</v>
      </c>
      <c r="I177" s="1">
        <v>3</v>
      </c>
      <c r="J177" s="2">
        <v>46164</v>
      </c>
      <c r="K177" s="2">
        <f t="shared" si="5"/>
        <v>46143</v>
      </c>
      <c r="L177" s="1" t="str">
        <f>TEXT(J177,"ddd")</f>
        <v>sex</v>
      </c>
      <c r="M177" s="1" t="str">
        <f>TEXT($J177,"mmm")</f>
        <v>mai</v>
      </c>
      <c r="N177">
        <f>YEAR(J177)</f>
        <v>2026</v>
      </c>
      <c r="O177" s="2"/>
      <c r="P177" t="str">
        <f t="shared" si="4"/>
        <v>209346164</v>
      </c>
    </row>
    <row r="178" spans="1:16" x14ac:dyDescent="0.3">
      <c r="A178">
        <v>2093</v>
      </c>
      <c r="B178">
        <v>38</v>
      </c>
      <c r="C178" t="s">
        <v>15</v>
      </c>
      <c r="D178" t="s">
        <v>29</v>
      </c>
      <c r="E178" t="s">
        <v>17</v>
      </c>
      <c r="F178" t="s">
        <v>18</v>
      </c>
      <c r="G178" t="s">
        <v>41</v>
      </c>
      <c r="H178" t="s">
        <v>25</v>
      </c>
      <c r="I178" s="1">
        <v>3</v>
      </c>
      <c r="J178" s="2">
        <v>46126</v>
      </c>
      <c r="K178" s="2">
        <f t="shared" si="5"/>
        <v>46113</v>
      </c>
      <c r="L178" s="1" t="s">
        <v>52</v>
      </c>
      <c r="M178" s="1" t="s">
        <v>49</v>
      </c>
      <c r="N178">
        <v>2025</v>
      </c>
      <c r="O178" s="2"/>
      <c r="P178" t="str">
        <f t="shared" si="4"/>
        <v>209346126</v>
      </c>
    </row>
    <row r="179" spans="1:16" x14ac:dyDescent="0.3">
      <c r="A179">
        <v>2095</v>
      </c>
      <c r="B179">
        <v>49</v>
      </c>
      <c r="C179" t="s">
        <v>26</v>
      </c>
      <c r="D179" t="s">
        <v>16</v>
      </c>
      <c r="E179" t="s">
        <v>17</v>
      </c>
      <c r="F179" t="s">
        <v>18</v>
      </c>
      <c r="G179" t="s">
        <v>41</v>
      </c>
      <c r="H179" t="s">
        <v>25</v>
      </c>
      <c r="I179" s="1">
        <v>3</v>
      </c>
      <c r="J179" s="2">
        <v>46160</v>
      </c>
      <c r="K179" s="2">
        <f t="shared" si="5"/>
        <v>46143</v>
      </c>
      <c r="L179" s="1" t="str">
        <f>TEXT(J179,"ddd")</f>
        <v>seg</v>
      </c>
      <c r="M179" s="1" t="str">
        <f>TEXT($J179,"mmm")</f>
        <v>mai</v>
      </c>
      <c r="N179">
        <f>YEAR(J179)</f>
        <v>2026</v>
      </c>
      <c r="O179" s="2"/>
      <c r="P179" t="str">
        <f t="shared" si="4"/>
        <v>209546160</v>
      </c>
    </row>
    <row r="180" spans="1:16" x14ac:dyDescent="0.3">
      <c r="A180">
        <v>2095</v>
      </c>
      <c r="B180">
        <v>49</v>
      </c>
      <c r="C180" t="s">
        <v>26</v>
      </c>
      <c r="D180" t="s">
        <v>16</v>
      </c>
      <c r="E180" t="s">
        <v>17</v>
      </c>
      <c r="F180" t="s">
        <v>18</v>
      </c>
      <c r="G180" t="s">
        <v>41</v>
      </c>
      <c r="H180" t="s">
        <v>25</v>
      </c>
      <c r="I180" s="1">
        <v>3</v>
      </c>
      <c r="J180" s="2">
        <v>46194</v>
      </c>
      <c r="K180" s="2">
        <f t="shared" si="5"/>
        <v>46174</v>
      </c>
      <c r="L180" s="1" t="s">
        <v>55</v>
      </c>
      <c r="M180" s="1" t="s">
        <v>49</v>
      </c>
      <c r="N180">
        <v>2025</v>
      </c>
      <c r="O180" s="2"/>
      <c r="P180" t="str">
        <f t="shared" si="4"/>
        <v>209546194</v>
      </c>
    </row>
    <row r="181" spans="1:16" x14ac:dyDescent="0.3">
      <c r="A181">
        <v>2097</v>
      </c>
      <c r="B181">
        <v>57</v>
      </c>
      <c r="C181" t="s">
        <v>26</v>
      </c>
      <c r="D181" t="s">
        <v>27</v>
      </c>
      <c r="E181" t="s">
        <v>17</v>
      </c>
      <c r="F181" t="s">
        <v>23</v>
      </c>
      <c r="G181" t="s">
        <v>41</v>
      </c>
      <c r="H181" t="s">
        <v>25</v>
      </c>
      <c r="I181" s="1">
        <v>2</v>
      </c>
      <c r="J181" s="2">
        <v>46165</v>
      </c>
      <c r="K181" s="2">
        <f t="shared" si="5"/>
        <v>46143</v>
      </c>
      <c r="L181" s="1" t="str">
        <f>TEXT(J181,"ddd")</f>
        <v>sáb</v>
      </c>
      <c r="M181" s="1" t="str">
        <f>TEXT($J181,"mmm")</f>
        <v>mai</v>
      </c>
      <c r="N181">
        <f>YEAR(J181)</f>
        <v>2026</v>
      </c>
      <c r="O181" s="2"/>
      <c r="P181" t="str">
        <f t="shared" si="4"/>
        <v>209746165</v>
      </c>
    </row>
    <row r="182" spans="1:16" x14ac:dyDescent="0.3">
      <c r="A182">
        <v>2097</v>
      </c>
      <c r="B182">
        <v>57</v>
      </c>
      <c r="C182" t="s">
        <v>26</v>
      </c>
      <c r="D182" t="s">
        <v>27</v>
      </c>
      <c r="E182" t="s">
        <v>17</v>
      </c>
      <c r="F182" t="s">
        <v>23</v>
      </c>
      <c r="G182" t="s">
        <v>41</v>
      </c>
      <c r="H182" t="s">
        <v>25</v>
      </c>
      <c r="I182" s="1">
        <v>2</v>
      </c>
      <c r="J182" s="2">
        <v>46126</v>
      </c>
      <c r="K182" s="2">
        <f t="shared" si="5"/>
        <v>46113</v>
      </c>
      <c r="L182" s="1" t="str">
        <f>TEXT(J182,"ddd")</f>
        <v>ter</v>
      </c>
      <c r="M182" s="1" t="str">
        <f>TEXT($J182,"mmm")</f>
        <v>abr</v>
      </c>
      <c r="N182">
        <f>YEAR(J182)</f>
        <v>2026</v>
      </c>
      <c r="O182" s="2"/>
      <c r="P182" t="str">
        <f t="shared" si="4"/>
        <v>209746126</v>
      </c>
    </row>
    <row r="183" spans="1:16" x14ac:dyDescent="0.3">
      <c r="A183">
        <v>2097</v>
      </c>
      <c r="B183">
        <v>57</v>
      </c>
      <c r="C183" t="s">
        <v>26</v>
      </c>
      <c r="D183" t="s">
        <v>27</v>
      </c>
      <c r="E183" t="s">
        <v>17</v>
      </c>
      <c r="F183" t="s">
        <v>23</v>
      </c>
      <c r="G183" t="s">
        <v>41</v>
      </c>
      <c r="H183" t="s">
        <v>25</v>
      </c>
      <c r="I183" s="1">
        <v>2</v>
      </c>
      <c r="J183" s="2">
        <v>46145</v>
      </c>
      <c r="K183" s="2">
        <f t="shared" si="5"/>
        <v>46143</v>
      </c>
      <c r="L183" s="1" t="s">
        <v>54</v>
      </c>
      <c r="M183" s="1" t="s">
        <v>49</v>
      </c>
      <c r="N183">
        <v>2025</v>
      </c>
      <c r="O183" s="2"/>
      <c r="P183" t="str">
        <f t="shared" si="4"/>
        <v>209746145</v>
      </c>
    </row>
    <row r="184" spans="1:16" x14ac:dyDescent="0.3">
      <c r="A184">
        <v>2097</v>
      </c>
      <c r="B184">
        <v>57</v>
      </c>
      <c r="C184" t="s">
        <v>26</v>
      </c>
      <c r="D184" t="s">
        <v>27</v>
      </c>
      <c r="E184" t="s">
        <v>17</v>
      </c>
      <c r="F184" t="s">
        <v>23</v>
      </c>
      <c r="G184" t="s">
        <v>41</v>
      </c>
      <c r="H184" t="s">
        <v>25</v>
      </c>
      <c r="I184" s="1">
        <v>2</v>
      </c>
      <c r="J184" s="2">
        <v>46161</v>
      </c>
      <c r="K184" s="2">
        <f t="shared" si="5"/>
        <v>46143</v>
      </c>
      <c r="L184" s="1" t="s">
        <v>56</v>
      </c>
      <c r="M184" s="1" t="s">
        <v>49</v>
      </c>
      <c r="N184">
        <v>2025</v>
      </c>
      <c r="O184" s="2"/>
      <c r="P184" t="str">
        <f t="shared" si="4"/>
        <v>209746161</v>
      </c>
    </row>
    <row r="185" spans="1:16" x14ac:dyDescent="0.3">
      <c r="A185">
        <v>2098</v>
      </c>
      <c r="B185">
        <v>36</v>
      </c>
      <c r="C185" t="s">
        <v>15</v>
      </c>
      <c r="D185" t="s">
        <v>29</v>
      </c>
      <c r="E185" t="s">
        <v>17</v>
      </c>
      <c r="F185" t="s">
        <v>21</v>
      </c>
      <c r="G185" t="s">
        <v>41</v>
      </c>
      <c r="H185" t="s">
        <v>25</v>
      </c>
      <c r="I185" s="1">
        <v>2</v>
      </c>
      <c r="J185" s="2">
        <v>46130</v>
      </c>
      <c r="K185" s="2">
        <f t="shared" si="5"/>
        <v>46113</v>
      </c>
      <c r="L185" s="1" t="str">
        <f>TEXT(J185,"ddd")</f>
        <v>sáb</v>
      </c>
      <c r="M185" s="1" t="str">
        <f>TEXT($J185,"mmm")</f>
        <v>abr</v>
      </c>
      <c r="N185">
        <f>YEAR(J185)</f>
        <v>2026</v>
      </c>
      <c r="O185" s="2"/>
      <c r="P185" t="str">
        <f t="shared" si="4"/>
        <v>209846130</v>
      </c>
    </row>
    <row r="186" spans="1:16" x14ac:dyDescent="0.3">
      <c r="A186">
        <v>2098</v>
      </c>
      <c r="B186">
        <v>36</v>
      </c>
      <c r="C186" t="s">
        <v>15</v>
      </c>
      <c r="D186" t="s">
        <v>29</v>
      </c>
      <c r="E186" t="s">
        <v>17</v>
      </c>
      <c r="F186" t="s">
        <v>21</v>
      </c>
      <c r="G186" t="s">
        <v>41</v>
      </c>
      <c r="H186" t="s">
        <v>25</v>
      </c>
      <c r="I186" s="1">
        <v>2</v>
      </c>
      <c r="J186" s="2">
        <v>46126</v>
      </c>
      <c r="K186" s="2">
        <f t="shared" si="5"/>
        <v>46113</v>
      </c>
      <c r="L186" s="1" t="str">
        <f>TEXT(J186,"ddd")</f>
        <v>ter</v>
      </c>
      <c r="M186" s="1" t="str">
        <f>TEXT($J186,"mmm")</f>
        <v>abr</v>
      </c>
      <c r="N186">
        <f>YEAR(J186)</f>
        <v>2026</v>
      </c>
      <c r="O186" s="2"/>
      <c r="P186" t="str">
        <f t="shared" si="4"/>
        <v>209846126</v>
      </c>
    </row>
    <row r="187" spans="1:16" x14ac:dyDescent="0.3">
      <c r="A187">
        <v>2098</v>
      </c>
      <c r="B187">
        <v>36</v>
      </c>
      <c r="C187" t="s">
        <v>15</v>
      </c>
      <c r="D187" t="s">
        <v>29</v>
      </c>
      <c r="E187" t="s">
        <v>17</v>
      </c>
      <c r="F187" t="s">
        <v>21</v>
      </c>
      <c r="G187" t="s">
        <v>41</v>
      </c>
      <c r="H187" t="s">
        <v>25</v>
      </c>
      <c r="I187" s="1">
        <v>2</v>
      </c>
      <c r="J187" s="2">
        <v>46128</v>
      </c>
      <c r="K187" s="2">
        <f t="shared" si="5"/>
        <v>46113</v>
      </c>
      <c r="L187" s="1" t="s">
        <v>53</v>
      </c>
      <c r="M187" s="1" t="s">
        <v>48</v>
      </c>
      <c r="N187">
        <v>2025</v>
      </c>
      <c r="O187" s="2"/>
      <c r="P187" t="str">
        <f t="shared" si="4"/>
        <v>209846128</v>
      </c>
    </row>
    <row r="188" spans="1:16" x14ac:dyDescent="0.3">
      <c r="A188">
        <v>2098</v>
      </c>
      <c r="B188">
        <v>36</v>
      </c>
      <c r="C188" t="s">
        <v>15</v>
      </c>
      <c r="D188" t="s">
        <v>29</v>
      </c>
      <c r="E188" t="s">
        <v>17</v>
      </c>
      <c r="F188" t="s">
        <v>21</v>
      </c>
      <c r="G188" t="s">
        <v>41</v>
      </c>
      <c r="H188" t="s">
        <v>25</v>
      </c>
      <c r="I188" s="1">
        <v>2</v>
      </c>
      <c r="J188" s="2">
        <v>46160</v>
      </c>
      <c r="K188" s="2">
        <f t="shared" si="5"/>
        <v>46143</v>
      </c>
      <c r="L188" s="1" t="s">
        <v>55</v>
      </c>
      <c r="M188" s="1" t="s">
        <v>49</v>
      </c>
      <c r="N188">
        <v>2025</v>
      </c>
      <c r="O188" s="2"/>
      <c r="P188" t="str">
        <f t="shared" si="4"/>
        <v>209846160</v>
      </c>
    </row>
    <row r="189" spans="1:16" x14ac:dyDescent="0.3">
      <c r="A189">
        <v>2099</v>
      </c>
      <c r="B189">
        <v>51</v>
      </c>
      <c r="C189" t="s">
        <v>26</v>
      </c>
      <c r="D189" t="s">
        <v>22</v>
      </c>
      <c r="E189" t="s">
        <v>17</v>
      </c>
      <c r="F189" t="s">
        <v>18</v>
      </c>
      <c r="G189" t="s">
        <v>41</v>
      </c>
      <c r="H189" t="s">
        <v>25</v>
      </c>
      <c r="I189" s="1">
        <v>2</v>
      </c>
      <c r="J189" s="2">
        <v>46168</v>
      </c>
      <c r="K189" s="2">
        <f t="shared" si="5"/>
        <v>46143</v>
      </c>
      <c r="L189" s="1" t="str">
        <f>TEXT(J189,"ddd")</f>
        <v>ter</v>
      </c>
      <c r="M189" s="1" t="str">
        <f>TEXT($J189,"mmm")</f>
        <v>mai</v>
      </c>
      <c r="N189">
        <f>YEAR(J189)</f>
        <v>2026</v>
      </c>
      <c r="O189" s="2"/>
      <c r="P189" t="str">
        <f t="shared" si="4"/>
        <v>209946168</v>
      </c>
    </row>
    <row r="190" spans="1:16" x14ac:dyDescent="0.3">
      <c r="A190">
        <v>2099</v>
      </c>
      <c r="B190">
        <v>51</v>
      </c>
      <c r="C190" t="s">
        <v>26</v>
      </c>
      <c r="D190" t="s">
        <v>22</v>
      </c>
      <c r="E190" t="s">
        <v>17</v>
      </c>
      <c r="F190" t="s">
        <v>18</v>
      </c>
      <c r="G190" t="s">
        <v>41</v>
      </c>
      <c r="H190" t="s">
        <v>25</v>
      </c>
      <c r="I190" s="1">
        <v>2</v>
      </c>
      <c r="J190" s="2">
        <v>46126</v>
      </c>
      <c r="K190" s="2">
        <f t="shared" si="5"/>
        <v>46113</v>
      </c>
      <c r="L190" s="1" t="s">
        <v>56</v>
      </c>
      <c r="M190" s="1" t="s">
        <v>49</v>
      </c>
      <c r="N190">
        <v>2025</v>
      </c>
      <c r="O190" s="2"/>
      <c r="P190" t="str">
        <f t="shared" si="4"/>
        <v>209946126</v>
      </c>
    </row>
    <row r="191" spans="1:16" x14ac:dyDescent="0.3">
      <c r="A191">
        <v>2100</v>
      </c>
      <c r="B191">
        <v>32</v>
      </c>
      <c r="C191" t="s">
        <v>26</v>
      </c>
      <c r="D191" t="s">
        <v>27</v>
      </c>
      <c r="E191" t="s">
        <v>17</v>
      </c>
      <c r="F191" t="s">
        <v>23</v>
      </c>
      <c r="G191" t="s">
        <v>41</v>
      </c>
      <c r="H191" t="s">
        <v>25</v>
      </c>
      <c r="I191" s="1">
        <v>2</v>
      </c>
      <c r="J191" s="2">
        <v>46194</v>
      </c>
      <c r="K191" s="2">
        <f t="shared" si="5"/>
        <v>46174</v>
      </c>
      <c r="L191" s="1" t="str">
        <f>TEXT(J191,"ddd")</f>
        <v>dom</v>
      </c>
      <c r="M191" s="1" t="str">
        <f>TEXT($J191,"mmm")</f>
        <v>jun</v>
      </c>
      <c r="N191">
        <f>YEAR(J191)</f>
        <v>2026</v>
      </c>
      <c r="O191" s="2"/>
      <c r="P191" t="str">
        <f t="shared" si="4"/>
        <v>210046194</v>
      </c>
    </row>
    <row r="192" spans="1:16" x14ac:dyDescent="0.3">
      <c r="A192">
        <v>2100</v>
      </c>
      <c r="B192">
        <v>32</v>
      </c>
      <c r="C192" t="s">
        <v>26</v>
      </c>
      <c r="D192" t="s">
        <v>27</v>
      </c>
      <c r="E192" t="s">
        <v>17</v>
      </c>
      <c r="F192" t="s">
        <v>23</v>
      </c>
      <c r="G192" t="s">
        <v>41</v>
      </c>
      <c r="H192" t="s">
        <v>25</v>
      </c>
      <c r="I192" s="1">
        <v>2</v>
      </c>
      <c r="J192" s="2">
        <v>46128</v>
      </c>
      <c r="K192" s="2">
        <f t="shared" si="5"/>
        <v>46113</v>
      </c>
      <c r="L192" s="1" t="s">
        <v>51</v>
      </c>
      <c r="M192" s="1" t="s">
        <v>48</v>
      </c>
      <c r="N192">
        <v>2025</v>
      </c>
      <c r="O192" s="2"/>
      <c r="P192" t="str">
        <f t="shared" si="4"/>
        <v>210046128</v>
      </c>
    </row>
    <row r="193" spans="1:16" x14ac:dyDescent="0.3">
      <c r="A193">
        <v>2101</v>
      </c>
      <c r="B193">
        <v>28</v>
      </c>
      <c r="C193" t="s">
        <v>15</v>
      </c>
      <c r="D193" t="s">
        <v>29</v>
      </c>
      <c r="E193" t="s">
        <v>17</v>
      </c>
      <c r="F193" t="s">
        <v>18</v>
      </c>
      <c r="G193" t="s">
        <v>41</v>
      </c>
      <c r="H193" t="s">
        <v>25</v>
      </c>
      <c r="I193" s="1">
        <v>2</v>
      </c>
      <c r="J193" s="2">
        <v>46129</v>
      </c>
      <c r="K193" s="2">
        <f t="shared" si="5"/>
        <v>46113</v>
      </c>
      <c r="L193" s="1" t="str">
        <f>TEXT(J193,"ddd")</f>
        <v>sex</v>
      </c>
      <c r="M193" s="1" t="str">
        <f>TEXT($J193,"mmm")</f>
        <v>abr</v>
      </c>
      <c r="N193">
        <f>YEAR(J193)</f>
        <v>2026</v>
      </c>
      <c r="O193" s="2"/>
      <c r="P193" t="str">
        <f t="shared" si="4"/>
        <v>210146129</v>
      </c>
    </row>
    <row r="194" spans="1:16" x14ac:dyDescent="0.3">
      <c r="A194">
        <v>2101</v>
      </c>
      <c r="B194">
        <v>28</v>
      </c>
      <c r="C194" t="s">
        <v>15</v>
      </c>
      <c r="D194" t="s">
        <v>29</v>
      </c>
      <c r="E194" t="s">
        <v>17</v>
      </c>
      <c r="F194" t="s">
        <v>18</v>
      </c>
      <c r="G194" t="s">
        <v>41</v>
      </c>
      <c r="H194" t="s">
        <v>25</v>
      </c>
      <c r="I194" s="1">
        <v>2</v>
      </c>
      <c r="J194" s="2">
        <v>46128</v>
      </c>
      <c r="K194" s="2">
        <f t="shared" si="5"/>
        <v>46113</v>
      </c>
      <c r="L194" s="1" t="str">
        <f>TEXT(J194,"ddd")</f>
        <v>qui</v>
      </c>
      <c r="M194" s="1" t="str">
        <f>TEXT($J194,"mmm")</f>
        <v>abr</v>
      </c>
      <c r="N194">
        <f>YEAR(J194)</f>
        <v>2026</v>
      </c>
      <c r="O194" s="2"/>
      <c r="P194" t="str">
        <f t="shared" ref="P194:P257" si="6">CONCATENATE(A194,J194)</f>
        <v>210146128</v>
      </c>
    </row>
    <row r="195" spans="1:16" x14ac:dyDescent="0.3">
      <c r="A195">
        <v>2101</v>
      </c>
      <c r="B195">
        <v>28</v>
      </c>
      <c r="C195" t="s">
        <v>15</v>
      </c>
      <c r="D195" t="s">
        <v>29</v>
      </c>
      <c r="E195" t="s">
        <v>17</v>
      </c>
      <c r="F195" t="s">
        <v>18</v>
      </c>
      <c r="G195" t="s">
        <v>41</v>
      </c>
      <c r="H195" t="s">
        <v>25</v>
      </c>
      <c r="I195" s="1">
        <v>2</v>
      </c>
      <c r="J195" s="2">
        <v>46126</v>
      </c>
      <c r="K195" s="2">
        <f t="shared" ref="K195:K258" si="7">DATE(YEAR(J195),MONTH(J195),1)</f>
        <v>46113</v>
      </c>
      <c r="L195" s="1" t="s">
        <v>52</v>
      </c>
      <c r="M195" s="1" t="s">
        <v>48</v>
      </c>
      <c r="N195">
        <v>2025</v>
      </c>
      <c r="O195" s="2"/>
      <c r="P195" t="str">
        <f t="shared" si="6"/>
        <v>210146126</v>
      </c>
    </row>
    <row r="196" spans="1:16" x14ac:dyDescent="0.3">
      <c r="A196">
        <v>2101</v>
      </c>
      <c r="B196">
        <v>28</v>
      </c>
      <c r="C196" t="s">
        <v>15</v>
      </c>
      <c r="D196" t="s">
        <v>29</v>
      </c>
      <c r="E196" t="s">
        <v>17</v>
      </c>
      <c r="F196" t="s">
        <v>18</v>
      </c>
      <c r="G196" t="s">
        <v>41</v>
      </c>
      <c r="H196" t="s">
        <v>25</v>
      </c>
      <c r="I196" s="1">
        <v>2</v>
      </c>
      <c r="J196" s="2">
        <v>46131</v>
      </c>
      <c r="K196" s="2">
        <f t="shared" si="7"/>
        <v>46113</v>
      </c>
      <c r="L196" s="1" t="s">
        <v>54</v>
      </c>
      <c r="M196" s="1" t="s">
        <v>48</v>
      </c>
      <c r="N196">
        <v>2025</v>
      </c>
      <c r="O196" s="2"/>
      <c r="P196" t="str">
        <f t="shared" si="6"/>
        <v>210146131</v>
      </c>
    </row>
    <row r="197" spans="1:16" x14ac:dyDescent="0.3">
      <c r="A197">
        <v>2102</v>
      </c>
      <c r="B197">
        <v>54</v>
      </c>
      <c r="C197" t="s">
        <v>26</v>
      </c>
      <c r="D197" t="s">
        <v>16</v>
      </c>
      <c r="E197" t="s">
        <v>17</v>
      </c>
      <c r="F197" t="s">
        <v>23</v>
      </c>
      <c r="G197" t="s">
        <v>41</v>
      </c>
      <c r="H197" t="s">
        <v>25</v>
      </c>
      <c r="I197" s="1">
        <v>3</v>
      </c>
      <c r="J197" s="2">
        <v>46126</v>
      </c>
      <c r="K197" s="2">
        <f t="shared" si="7"/>
        <v>46113</v>
      </c>
      <c r="L197" s="1" t="str">
        <f>TEXT(J197,"ddd")</f>
        <v>ter</v>
      </c>
      <c r="M197" s="1" t="str">
        <f>TEXT($J197,"mmm")</f>
        <v>abr</v>
      </c>
      <c r="N197">
        <f>YEAR(J197)</f>
        <v>2026</v>
      </c>
      <c r="O197" s="2"/>
      <c r="P197" t="str">
        <f t="shared" si="6"/>
        <v>210246126</v>
      </c>
    </row>
    <row r="198" spans="1:16" x14ac:dyDescent="0.3">
      <c r="A198">
        <v>2102</v>
      </c>
      <c r="B198">
        <v>54</v>
      </c>
      <c r="C198" t="s">
        <v>26</v>
      </c>
      <c r="D198" t="s">
        <v>16</v>
      </c>
      <c r="E198" t="s">
        <v>17</v>
      </c>
      <c r="F198" t="s">
        <v>23</v>
      </c>
      <c r="G198" t="s">
        <v>41</v>
      </c>
      <c r="H198" t="s">
        <v>25</v>
      </c>
      <c r="I198" s="1">
        <v>3</v>
      </c>
      <c r="J198" s="2">
        <v>46159</v>
      </c>
      <c r="K198" s="2">
        <f t="shared" si="7"/>
        <v>46143</v>
      </c>
      <c r="L198" s="1" t="str">
        <f>TEXT(J198,"ddd")</f>
        <v>dom</v>
      </c>
      <c r="M198" s="1" t="str">
        <f>TEXT($J198,"mmm")</f>
        <v>mai</v>
      </c>
      <c r="N198">
        <f>YEAR(J198)</f>
        <v>2026</v>
      </c>
      <c r="O198" s="2"/>
      <c r="P198" t="str">
        <f t="shared" si="6"/>
        <v>210246159</v>
      </c>
    </row>
    <row r="199" spans="1:16" x14ac:dyDescent="0.3">
      <c r="A199">
        <v>2102</v>
      </c>
      <c r="B199">
        <v>54</v>
      </c>
      <c r="C199" t="s">
        <v>26</v>
      </c>
      <c r="D199" t="s">
        <v>16</v>
      </c>
      <c r="E199" t="s">
        <v>17</v>
      </c>
      <c r="F199" t="s">
        <v>23</v>
      </c>
      <c r="G199" t="s">
        <v>41</v>
      </c>
      <c r="H199" t="s">
        <v>25</v>
      </c>
      <c r="I199" s="1">
        <v>3</v>
      </c>
      <c r="J199" s="2">
        <v>46146</v>
      </c>
      <c r="K199" s="2">
        <f t="shared" si="7"/>
        <v>46143</v>
      </c>
      <c r="L199" s="1" t="s">
        <v>55</v>
      </c>
      <c r="M199" s="1" t="s">
        <v>49</v>
      </c>
      <c r="N199">
        <v>2025</v>
      </c>
      <c r="O199" s="2"/>
      <c r="P199" t="str">
        <f t="shared" si="6"/>
        <v>210246146</v>
      </c>
    </row>
    <row r="200" spans="1:16" x14ac:dyDescent="0.3">
      <c r="A200">
        <v>2102</v>
      </c>
      <c r="B200">
        <v>54</v>
      </c>
      <c r="C200" t="s">
        <v>26</v>
      </c>
      <c r="D200" t="s">
        <v>16</v>
      </c>
      <c r="E200" t="s">
        <v>17</v>
      </c>
      <c r="F200" t="s">
        <v>23</v>
      </c>
      <c r="G200" t="s">
        <v>41</v>
      </c>
      <c r="H200" t="s">
        <v>25</v>
      </c>
      <c r="I200" s="1">
        <v>3</v>
      </c>
      <c r="J200" s="2">
        <v>46128</v>
      </c>
      <c r="K200" s="2">
        <f t="shared" si="7"/>
        <v>46113</v>
      </c>
      <c r="L200" s="1" t="s">
        <v>54</v>
      </c>
      <c r="M200" s="1" t="s">
        <v>49</v>
      </c>
      <c r="N200">
        <v>2025</v>
      </c>
      <c r="O200" s="2"/>
      <c r="P200" t="str">
        <f t="shared" si="6"/>
        <v>210246128</v>
      </c>
    </row>
    <row r="201" spans="1:16" x14ac:dyDescent="0.3">
      <c r="A201">
        <v>2106</v>
      </c>
      <c r="B201">
        <v>42</v>
      </c>
      <c r="C201" t="s">
        <v>26</v>
      </c>
      <c r="D201" t="s">
        <v>16</v>
      </c>
      <c r="E201" t="s">
        <v>17</v>
      </c>
      <c r="F201" t="s">
        <v>21</v>
      </c>
      <c r="G201" t="s">
        <v>41</v>
      </c>
      <c r="H201" t="s">
        <v>25</v>
      </c>
      <c r="I201" s="1">
        <v>2</v>
      </c>
      <c r="J201" s="2">
        <v>46128</v>
      </c>
      <c r="K201" s="2">
        <f t="shared" si="7"/>
        <v>46113</v>
      </c>
      <c r="L201" s="1" t="str">
        <f>TEXT(J201,"ddd")</f>
        <v>qui</v>
      </c>
      <c r="M201" s="1" t="str">
        <f>TEXT($J201,"mmm")</f>
        <v>abr</v>
      </c>
      <c r="N201">
        <f>YEAR(J201)</f>
        <v>2026</v>
      </c>
      <c r="O201" s="2"/>
      <c r="P201" t="str">
        <f t="shared" si="6"/>
        <v>210646128</v>
      </c>
    </row>
    <row r="202" spans="1:16" x14ac:dyDescent="0.3">
      <c r="A202">
        <v>2106</v>
      </c>
      <c r="B202">
        <v>42</v>
      </c>
      <c r="C202" t="s">
        <v>26</v>
      </c>
      <c r="D202" t="s">
        <v>16</v>
      </c>
      <c r="E202" t="s">
        <v>17</v>
      </c>
      <c r="F202" t="s">
        <v>21</v>
      </c>
      <c r="G202" t="s">
        <v>41</v>
      </c>
      <c r="H202" t="s">
        <v>25</v>
      </c>
      <c r="I202" s="1">
        <v>2</v>
      </c>
      <c r="J202" s="2">
        <v>46170</v>
      </c>
      <c r="K202" s="2">
        <f t="shared" si="7"/>
        <v>46143</v>
      </c>
      <c r="L202" s="1" t="s">
        <v>51</v>
      </c>
      <c r="M202" s="1" t="s">
        <v>49</v>
      </c>
      <c r="N202">
        <v>2025</v>
      </c>
      <c r="O202" s="2"/>
      <c r="P202" t="str">
        <f t="shared" si="6"/>
        <v>210646170</v>
      </c>
    </row>
    <row r="203" spans="1:16" x14ac:dyDescent="0.3">
      <c r="A203">
        <v>2108</v>
      </c>
      <c r="B203">
        <v>35</v>
      </c>
      <c r="C203" t="s">
        <v>15</v>
      </c>
      <c r="D203" t="s">
        <v>16</v>
      </c>
      <c r="E203" t="s">
        <v>17</v>
      </c>
      <c r="F203" t="s">
        <v>23</v>
      </c>
      <c r="G203" t="s">
        <v>41</v>
      </c>
      <c r="H203" t="s">
        <v>25</v>
      </c>
      <c r="I203" s="1">
        <v>3</v>
      </c>
      <c r="J203" s="2">
        <v>46126</v>
      </c>
      <c r="K203" s="2">
        <f t="shared" si="7"/>
        <v>46113</v>
      </c>
      <c r="L203" s="1" t="str">
        <f>TEXT(J203,"ddd")</f>
        <v>ter</v>
      </c>
      <c r="M203" s="1" t="str">
        <f>TEXT($J203,"mmm")</f>
        <v>abr</v>
      </c>
      <c r="N203">
        <f>YEAR(J203)</f>
        <v>2026</v>
      </c>
      <c r="O203" s="2"/>
      <c r="P203" t="str">
        <f t="shared" si="6"/>
        <v>210846126</v>
      </c>
    </row>
    <row r="204" spans="1:16" x14ac:dyDescent="0.3">
      <c r="A204">
        <v>2108</v>
      </c>
      <c r="B204">
        <v>35</v>
      </c>
      <c r="C204" t="s">
        <v>15</v>
      </c>
      <c r="D204" t="s">
        <v>16</v>
      </c>
      <c r="E204" t="s">
        <v>17</v>
      </c>
      <c r="F204" t="s">
        <v>23</v>
      </c>
      <c r="G204" t="s">
        <v>41</v>
      </c>
      <c r="H204" t="s">
        <v>25</v>
      </c>
      <c r="I204" s="1">
        <v>3</v>
      </c>
      <c r="J204" s="2">
        <v>46145</v>
      </c>
      <c r="K204" s="2">
        <f t="shared" si="7"/>
        <v>46143</v>
      </c>
      <c r="L204" s="1" t="s">
        <v>54</v>
      </c>
      <c r="M204" s="1" t="s">
        <v>49</v>
      </c>
      <c r="N204">
        <v>2025</v>
      </c>
      <c r="O204" s="2"/>
      <c r="P204" t="str">
        <f t="shared" si="6"/>
        <v>210846145</v>
      </c>
    </row>
    <row r="205" spans="1:16" x14ac:dyDescent="0.3">
      <c r="A205">
        <v>2109</v>
      </c>
      <c r="B205">
        <v>23</v>
      </c>
      <c r="C205" t="s">
        <v>26</v>
      </c>
      <c r="D205" t="s">
        <v>22</v>
      </c>
      <c r="E205" t="s">
        <v>17</v>
      </c>
      <c r="F205" t="s">
        <v>23</v>
      </c>
      <c r="G205" t="s">
        <v>41</v>
      </c>
      <c r="H205" t="s">
        <v>25</v>
      </c>
      <c r="I205" s="1">
        <v>1</v>
      </c>
      <c r="J205" s="2">
        <v>46166</v>
      </c>
      <c r="K205" s="2">
        <f t="shared" si="7"/>
        <v>46143</v>
      </c>
      <c r="L205" s="1" t="str">
        <f>TEXT(J205,"ddd")</f>
        <v>dom</v>
      </c>
      <c r="M205" s="1" t="str">
        <f>TEXT($J205,"mmm")</f>
        <v>mai</v>
      </c>
      <c r="N205">
        <f>YEAR(J205)</f>
        <v>2026</v>
      </c>
      <c r="O205" s="2"/>
      <c r="P205" t="str">
        <f t="shared" si="6"/>
        <v>210946166</v>
      </c>
    </row>
    <row r="206" spans="1:16" x14ac:dyDescent="0.3">
      <c r="A206">
        <v>2109</v>
      </c>
      <c r="B206">
        <v>23</v>
      </c>
      <c r="C206" t="s">
        <v>26</v>
      </c>
      <c r="D206" t="s">
        <v>22</v>
      </c>
      <c r="E206" t="s">
        <v>17</v>
      </c>
      <c r="F206" t="s">
        <v>23</v>
      </c>
      <c r="G206" t="s">
        <v>41</v>
      </c>
      <c r="H206" t="s">
        <v>25</v>
      </c>
      <c r="I206" s="1">
        <v>1</v>
      </c>
      <c r="J206" s="2">
        <v>46171</v>
      </c>
      <c r="K206" s="2">
        <f t="shared" si="7"/>
        <v>46143</v>
      </c>
      <c r="L206" s="1" t="str">
        <f>TEXT(J206,"ddd")</f>
        <v>sex</v>
      </c>
      <c r="M206" s="1" t="str">
        <f>TEXT($J206,"mmm")</f>
        <v>mai</v>
      </c>
      <c r="N206">
        <f>YEAR(J206)</f>
        <v>2026</v>
      </c>
      <c r="O206" s="2"/>
      <c r="P206" t="str">
        <f t="shared" si="6"/>
        <v>210946171</v>
      </c>
    </row>
    <row r="207" spans="1:16" x14ac:dyDescent="0.3">
      <c r="A207">
        <v>2109</v>
      </c>
      <c r="B207">
        <v>23</v>
      </c>
      <c r="C207" t="s">
        <v>26</v>
      </c>
      <c r="D207" t="s">
        <v>22</v>
      </c>
      <c r="E207" t="s">
        <v>17</v>
      </c>
      <c r="F207" t="s">
        <v>23</v>
      </c>
      <c r="G207" t="s">
        <v>41</v>
      </c>
      <c r="H207" t="s">
        <v>25</v>
      </c>
      <c r="I207" s="1">
        <v>1</v>
      </c>
      <c r="J207" s="2">
        <v>46126</v>
      </c>
      <c r="K207" s="2">
        <f t="shared" si="7"/>
        <v>46113</v>
      </c>
      <c r="L207" s="1" t="s">
        <v>54</v>
      </c>
      <c r="M207" s="1" t="s">
        <v>49</v>
      </c>
      <c r="N207">
        <v>2025</v>
      </c>
      <c r="O207" s="2"/>
      <c r="P207" t="str">
        <f t="shared" si="6"/>
        <v>210946126</v>
      </c>
    </row>
    <row r="208" spans="1:16" x14ac:dyDescent="0.3">
      <c r="A208">
        <v>2109</v>
      </c>
      <c r="B208">
        <v>23</v>
      </c>
      <c r="C208" t="s">
        <v>26</v>
      </c>
      <c r="D208" t="s">
        <v>22</v>
      </c>
      <c r="E208" t="s">
        <v>17</v>
      </c>
      <c r="F208" t="s">
        <v>23</v>
      </c>
      <c r="G208" t="s">
        <v>41</v>
      </c>
      <c r="H208" t="s">
        <v>25</v>
      </c>
      <c r="I208" s="1">
        <v>1</v>
      </c>
      <c r="J208" s="2">
        <v>46128</v>
      </c>
      <c r="K208" s="2">
        <f t="shared" si="7"/>
        <v>46113</v>
      </c>
      <c r="L208" s="1" t="s">
        <v>52</v>
      </c>
      <c r="M208" s="1" t="s">
        <v>49</v>
      </c>
      <c r="N208">
        <v>2025</v>
      </c>
      <c r="O208" s="2"/>
      <c r="P208" t="str">
        <f t="shared" si="6"/>
        <v>210946128</v>
      </c>
    </row>
    <row r="209" spans="1:16" x14ac:dyDescent="0.3">
      <c r="A209">
        <v>2111</v>
      </c>
      <c r="B209">
        <v>41</v>
      </c>
      <c r="C209" t="s">
        <v>26</v>
      </c>
      <c r="D209" t="s">
        <v>31</v>
      </c>
      <c r="E209" t="s">
        <v>34</v>
      </c>
      <c r="F209" t="s">
        <v>21</v>
      </c>
      <c r="G209" t="s">
        <v>41</v>
      </c>
      <c r="H209" t="s">
        <v>25</v>
      </c>
      <c r="I209" s="1">
        <v>1</v>
      </c>
      <c r="J209" s="2">
        <v>46128</v>
      </c>
      <c r="K209" s="2">
        <f t="shared" si="7"/>
        <v>46113</v>
      </c>
      <c r="L209" s="1" t="str">
        <f>TEXT(J209,"ddd")</f>
        <v>qui</v>
      </c>
      <c r="M209" s="1" t="str">
        <f>TEXT($J209,"mmm")</f>
        <v>abr</v>
      </c>
      <c r="N209">
        <f>YEAR(J209)</f>
        <v>2026</v>
      </c>
      <c r="O209" s="2"/>
      <c r="P209" t="str">
        <f t="shared" si="6"/>
        <v>211146128</v>
      </c>
    </row>
    <row r="210" spans="1:16" x14ac:dyDescent="0.3">
      <c r="A210">
        <v>2111</v>
      </c>
      <c r="B210">
        <v>41</v>
      </c>
      <c r="C210" t="s">
        <v>26</v>
      </c>
      <c r="D210" t="s">
        <v>31</v>
      </c>
      <c r="E210" t="s">
        <v>34</v>
      </c>
      <c r="F210" t="s">
        <v>21</v>
      </c>
      <c r="G210" t="s">
        <v>41</v>
      </c>
      <c r="H210" t="s">
        <v>25</v>
      </c>
      <c r="I210" s="1">
        <v>1</v>
      </c>
      <c r="J210" s="2">
        <v>46146</v>
      </c>
      <c r="K210" s="2">
        <f t="shared" si="7"/>
        <v>46143</v>
      </c>
      <c r="L210" s="1" t="s">
        <v>55</v>
      </c>
      <c r="M210" s="1" t="s">
        <v>49</v>
      </c>
      <c r="N210">
        <v>2025</v>
      </c>
      <c r="O210" s="2"/>
      <c r="P210" t="str">
        <f t="shared" si="6"/>
        <v>211146146</v>
      </c>
    </row>
    <row r="211" spans="1:16" x14ac:dyDescent="0.3">
      <c r="A211">
        <v>2113</v>
      </c>
      <c r="B211">
        <v>43</v>
      </c>
      <c r="C211" t="s">
        <v>26</v>
      </c>
      <c r="D211" t="s">
        <v>16</v>
      </c>
      <c r="E211" t="s">
        <v>17</v>
      </c>
      <c r="F211" t="s">
        <v>21</v>
      </c>
      <c r="G211" t="s">
        <v>41</v>
      </c>
      <c r="H211" t="s">
        <v>25</v>
      </c>
      <c r="I211" s="1">
        <v>3</v>
      </c>
      <c r="J211" s="2">
        <v>46126</v>
      </c>
      <c r="K211" s="2">
        <f t="shared" si="7"/>
        <v>46113</v>
      </c>
      <c r="L211" s="1" t="str">
        <f>TEXT(J211,"ddd")</f>
        <v>ter</v>
      </c>
      <c r="M211" s="1" t="str">
        <f>TEXT($J211,"mmm")</f>
        <v>abr</v>
      </c>
      <c r="N211">
        <f>YEAR(J211)</f>
        <v>2026</v>
      </c>
      <c r="O211" s="2"/>
      <c r="P211" t="str">
        <f t="shared" si="6"/>
        <v>211346126</v>
      </c>
    </row>
    <row r="212" spans="1:16" x14ac:dyDescent="0.3">
      <c r="A212">
        <v>2113</v>
      </c>
      <c r="B212">
        <v>43</v>
      </c>
      <c r="C212" t="s">
        <v>26</v>
      </c>
      <c r="D212" t="s">
        <v>16</v>
      </c>
      <c r="E212" t="s">
        <v>17</v>
      </c>
      <c r="F212" t="s">
        <v>21</v>
      </c>
      <c r="G212" t="s">
        <v>41</v>
      </c>
      <c r="H212" t="s">
        <v>25</v>
      </c>
      <c r="I212" s="1">
        <v>3</v>
      </c>
      <c r="J212" s="2">
        <v>46160</v>
      </c>
      <c r="K212" s="2">
        <f t="shared" si="7"/>
        <v>46143</v>
      </c>
      <c r="L212" s="1" t="str">
        <f>TEXT(J212,"ddd")</f>
        <v>seg</v>
      </c>
      <c r="M212" s="1" t="str">
        <f>TEXT($J212,"mmm")</f>
        <v>mai</v>
      </c>
      <c r="N212">
        <f>YEAR(J212)</f>
        <v>2026</v>
      </c>
      <c r="O212" s="2"/>
      <c r="P212" t="str">
        <f t="shared" si="6"/>
        <v>211346160</v>
      </c>
    </row>
    <row r="213" spans="1:16" x14ac:dyDescent="0.3">
      <c r="A213">
        <v>2113</v>
      </c>
      <c r="B213">
        <v>43</v>
      </c>
      <c r="C213" t="s">
        <v>26</v>
      </c>
      <c r="D213" t="s">
        <v>16</v>
      </c>
      <c r="E213" t="s">
        <v>17</v>
      </c>
      <c r="F213" t="s">
        <v>21</v>
      </c>
      <c r="G213" t="s">
        <v>41</v>
      </c>
      <c r="H213" t="s">
        <v>25</v>
      </c>
      <c r="I213" s="1">
        <v>3</v>
      </c>
      <c r="J213" s="2">
        <v>46125</v>
      </c>
      <c r="K213" s="2">
        <f t="shared" si="7"/>
        <v>46113</v>
      </c>
      <c r="L213" s="1" t="s">
        <v>55</v>
      </c>
      <c r="M213" s="1" t="s">
        <v>48</v>
      </c>
      <c r="N213">
        <v>2025</v>
      </c>
      <c r="O213" s="2"/>
      <c r="P213" t="str">
        <f t="shared" si="6"/>
        <v>211346125</v>
      </c>
    </row>
    <row r="214" spans="1:16" x14ac:dyDescent="0.3">
      <c r="A214">
        <v>2113</v>
      </c>
      <c r="B214">
        <v>43</v>
      </c>
      <c r="C214" t="s">
        <v>26</v>
      </c>
      <c r="D214" t="s">
        <v>16</v>
      </c>
      <c r="E214" t="s">
        <v>17</v>
      </c>
      <c r="F214" t="s">
        <v>21</v>
      </c>
      <c r="G214" t="s">
        <v>41</v>
      </c>
      <c r="H214" t="s">
        <v>25</v>
      </c>
      <c r="I214" s="1">
        <v>3</v>
      </c>
      <c r="J214" s="2">
        <v>46124</v>
      </c>
      <c r="K214" s="2">
        <f t="shared" si="7"/>
        <v>46113</v>
      </c>
      <c r="L214" s="1" t="s">
        <v>55</v>
      </c>
      <c r="M214" s="1" t="s">
        <v>49</v>
      </c>
      <c r="N214">
        <v>2025</v>
      </c>
      <c r="O214" s="2"/>
      <c r="P214" t="str">
        <f t="shared" si="6"/>
        <v>211346124</v>
      </c>
    </row>
    <row r="215" spans="1:16" x14ac:dyDescent="0.3">
      <c r="A215">
        <v>2114</v>
      </c>
      <c r="B215">
        <v>54</v>
      </c>
      <c r="C215" t="s">
        <v>15</v>
      </c>
      <c r="D215" t="s">
        <v>29</v>
      </c>
      <c r="E215" t="s">
        <v>17</v>
      </c>
      <c r="F215" t="s">
        <v>21</v>
      </c>
      <c r="G215" t="s">
        <v>41</v>
      </c>
      <c r="H215" t="s">
        <v>25</v>
      </c>
      <c r="I215" s="1">
        <v>1</v>
      </c>
      <c r="J215" s="2">
        <v>46128</v>
      </c>
      <c r="K215" s="2">
        <f t="shared" si="7"/>
        <v>46113</v>
      </c>
      <c r="L215" s="1" t="str">
        <f>TEXT(J215,"ddd")</f>
        <v>qui</v>
      </c>
      <c r="M215" s="1" t="str">
        <f>TEXT($J215,"mmm")</f>
        <v>abr</v>
      </c>
      <c r="N215">
        <f>YEAR(J215)</f>
        <v>2026</v>
      </c>
      <c r="O215" s="2"/>
      <c r="P215" t="str">
        <f t="shared" si="6"/>
        <v>211446128</v>
      </c>
    </row>
    <row r="216" spans="1:16" x14ac:dyDescent="0.3">
      <c r="A216">
        <v>2114</v>
      </c>
      <c r="B216">
        <v>54</v>
      </c>
      <c r="C216" t="s">
        <v>15</v>
      </c>
      <c r="D216" t="s">
        <v>29</v>
      </c>
      <c r="E216" t="s">
        <v>17</v>
      </c>
      <c r="F216" t="s">
        <v>21</v>
      </c>
      <c r="G216" t="s">
        <v>41</v>
      </c>
      <c r="H216" t="s">
        <v>25</v>
      </c>
      <c r="I216" s="1">
        <v>1</v>
      </c>
      <c r="J216" s="2">
        <v>46154</v>
      </c>
      <c r="K216" s="2">
        <f t="shared" si="7"/>
        <v>46143</v>
      </c>
      <c r="L216" s="1" t="s">
        <v>56</v>
      </c>
      <c r="M216" s="1" t="s">
        <v>49</v>
      </c>
      <c r="N216">
        <v>2025</v>
      </c>
      <c r="O216" s="2"/>
      <c r="P216" t="str">
        <f t="shared" si="6"/>
        <v>211446154</v>
      </c>
    </row>
    <row r="217" spans="1:16" x14ac:dyDescent="0.3">
      <c r="A217">
        <v>2115</v>
      </c>
      <c r="B217">
        <v>22</v>
      </c>
      <c r="C217" t="s">
        <v>26</v>
      </c>
      <c r="D217" t="s">
        <v>27</v>
      </c>
      <c r="E217" t="s">
        <v>17</v>
      </c>
      <c r="F217" t="s">
        <v>23</v>
      </c>
      <c r="G217" t="s">
        <v>41</v>
      </c>
      <c r="H217" t="s">
        <v>25</v>
      </c>
      <c r="I217" s="1">
        <v>2</v>
      </c>
      <c r="J217" s="2">
        <v>46126</v>
      </c>
      <c r="K217" s="2">
        <f t="shared" si="7"/>
        <v>46113</v>
      </c>
      <c r="L217" s="1" t="str">
        <f>TEXT(J217,"ddd")</f>
        <v>ter</v>
      </c>
      <c r="M217" s="1" t="str">
        <f>TEXT($J217,"mmm")</f>
        <v>abr</v>
      </c>
      <c r="N217">
        <f>YEAR(J217)</f>
        <v>2026</v>
      </c>
      <c r="O217" s="2"/>
      <c r="P217" t="str">
        <f t="shared" si="6"/>
        <v>211546126</v>
      </c>
    </row>
    <row r="218" spans="1:16" x14ac:dyDescent="0.3">
      <c r="A218">
        <v>2115</v>
      </c>
      <c r="B218">
        <v>22</v>
      </c>
      <c r="C218" t="s">
        <v>26</v>
      </c>
      <c r="D218" t="s">
        <v>27</v>
      </c>
      <c r="E218" t="s">
        <v>17</v>
      </c>
      <c r="F218" t="s">
        <v>23</v>
      </c>
      <c r="G218" t="s">
        <v>41</v>
      </c>
      <c r="H218" t="s">
        <v>25</v>
      </c>
      <c r="I218" s="1">
        <v>2</v>
      </c>
      <c r="J218" s="2">
        <v>46157</v>
      </c>
      <c r="K218" s="2">
        <f t="shared" si="7"/>
        <v>46143</v>
      </c>
      <c r="L218" s="1" t="s">
        <v>52</v>
      </c>
      <c r="M218" s="1" t="s">
        <v>49</v>
      </c>
      <c r="N218">
        <v>2025</v>
      </c>
      <c r="O218" s="2"/>
      <c r="P218" t="str">
        <f t="shared" si="6"/>
        <v>211546157</v>
      </c>
    </row>
    <row r="219" spans="1:16" x14ac:dyDescent="0.3">
      <c r="A219">
        <v>2121</v>
      </c>
      <c r="B219">
        <v>28</v>
      </c>
      <c r="C219" t="s">
        <v>15</v>
      </c>
      <c r="D219" t="s">
        <v>29</v>
      </c>
      <c r="E219" t="s">
        <v>17</v>
      </c>
      <c r="F219" t="s">
        <v>21</v>
      </c>
      <c r="G219" t="s">
        <v>41</v>
      </c>
      <c r="H219" t="s">
        <v>25</v>
      </c>
      <c r="I219" s="1">
        <v>2</v>
      </c>
      <c r="J219" s="2">
        <v>46136</v>
      </c>
      <c r="K219" s="2">
        <f t="shared" si="7"/>
        <v>46113</v>
      </c>
      <c r="L219" s="1" t="str">
        <f>TEXT(J219,"ddd")</f>
        <v>sex</v>
      </c>
      <c r="M219" s="1" t="str">
        <f>TEXT($J219,"mmm")</f>
        <v>abr</v>
      </c>
      <c r="N219">
        <f>YEAR(J219)</f>
        <v>2026</v>
      </c>
      <c r="O219" s="2"/>
      <c r="P219" t="str">
        <f t="shared" si="6"/>
        <v>212146136</v>
      </c>
    </row>
    <row r="220" spans="1:16" x14ac:dyDescent="0.3">
      <c r="A220">
        <v>2121</v>
      </c>
      <c r="B220">
        <v>28</v>
      </c>
      <c r="C220" t="s">
        <v>15</v>
      </c>
      <c r="D220" t="s">
        <v>29</v>
      </c>
      <c r="E220" t="s">
        <v>17</v>
      </c>
      <c r="F220" t="s">
        <v>21</v>
      </c>
      <c r="G220" t="s">
        <v>41</v>
      </c>
      <c r="H220" t="s">
        <v>25</v>
      </c>
      <c r="I220" s="1">
        <v>2</v>
      </c>
      <c r="J220" s="2">
        <v>46126</v>
      </c>
      <c r="K220" s="2">
        <f t="shared" si="7"/>
        <v>46113</v>
      </c>
      <c r="L220" s="1" t="s">
        <v>52</v>
      </c>
      <c r="M220" s="1" t="s">
        <v>48</v>
      </c>
      <c r="N220">
        <v>2025</v>
      </c>
      <c r="O220" s="2"/>
      <c r="P220" t="str">
        <f t="shared" si="6"/>
        <v>212146126</v>
      </c>
    </row>
    <row r="221" spans="1:16" x14ac:dyDescent="0.3">
      <c r="A221">
        <v>2127</v>
      </c>
      <c r="B221">
        <v>46</v>
      </c>
      <c r="C221" t="s">
        <v>15</v>
      </c>
      <c r="D221" t="s">
        <v>22</v>
      </c>
      <c r="E221" t="s">
        <v>17</v>
      </c>
      <c r="F221" t="s">
        <v>23</v>
      </c>
      <c r="G221" t="s">
        <v>41</v>
      </c>
      <c r="H221" t="s">
        <v>25</v>
      </c>
      <c r="I221" s="1">
        <v>1</v>
      </c>
      <c r="J221" s="2">
        <v>46126</v>
      </c>
      <c r="K221" s="2">
        <f t="shared" si="7"/>
        <v>46113</v>
      </c>
      <c r="L221" s="1" t="str">
        <f>TEXT(J221,"ddd")</f>
        <v>ter</v>
      </c>
      <c r="M221" s="1" t="str">
        <f>TEXT($J221,"mmm")</f>
        <v>abr</v>
      </c>
      <c r="N221">
        <f>YEAR(J221)</f>
        <v>2026</v>
      </c>
      <c r="O221" s="2"/>
      <c r="P221" t="str">
        <f t="shared" si="6"/>
        <v>212746126</v>
      </c>
    </row>
    <row r="222" spans="1:16" x14ac:dyDescent="0.3">
      <c r="A222">
        <v>2127</v>
      </c>
      <c r="B222">
        <v>46</v>
      </c>
      <c r="C222" t="s">
        <v>15</v>
      </c>
      <c r="D222" t="s">
        <v>22</v>
      </c>
      <c r="E222" t="s">
        <v>17</v>
      </c>
      <c r="F222" t="s">
        <v>23</v>
      </c>
      <c r="G222" t="s">
        <v>41</v>
      </c>
      <c r="H222" t="s">
        <v>25</v>
      </c>
      <c r="I222" s="1">
        <v>1</v>
      </c>
      <c r="J222" s="2">
        <v>46153</v>
      </c>
      <c r="K222" s="2">
        <f t="shared" si="7"/>
        <v>46143</v>
      </c>
      <c r="L222" s="1" t="s">
        <v>55</v>
      </c>
      <c r="M222" s="1" t="s">
        <v>49</v>
      </c>
      <c r="N222">
        <v>2025</v>
      </c>
      <c r="O222" s="2"/>
      <c r="P222" t="str">
        <f t="shared" si="6"/>
        <v>212746153</v>
      </c>
    </row>
    <row r="223" spans="1:16" x14ac:dyDescent="0.3">
      <c r="A223">
        <v>2128</v>
      </c>
      <c r="B223">
        <v>49</v>
      </c>
      <c r="C223" t="s">
        <v>26</v>
      </c>
      <c r="D223" t="s">
        <v>27</v>
      </c>
      <c r="E223" t="s">
        <v>17</v>
      </c>
      <c r="F223" t="s">
        <v>18</v>
      </c>
      <c r="G223" t="s">
        <v>41</v>
      </c>
      <c r="H223" t="s">
        <v>25</v>
      </c>
      <c r="I223" s="1">
        <v>3</v>
      </c>
      <c r="J223" s="2">
        <v>46128</v>
      </c>
      <c r="K223" s="2">
        <f t="shared" si="7"/>
        <v>46113</v>
      </c>
      <c r="L223" s="1" t="str">
        <f>TEXT(J223,"ddd")</f>
        <v>qui</v>
      </c>
      <c r="M223" s="1" t="str">
        <f>TEXT($J223,"mmm")</f>
        <v>abr</v>
      </c>
      <c r="N223">
        <f>YEAR(J223)</f>
        <v>2026</v>
      </c>
      <c r="O223" s="2"/>
      <c r="P223" t="str">
        <f t="shared" si="6"/>
        <v>212846128</v>
      </c>
    </row>
    <row r="224" spans="1:16" x14ac:dyDescent="0.3">
      <c r="A224">
        <v>2128</v>
      </c>
      <c r="B224">
        <v>49</v>
      </c>
      <c r="C224" t="s">
        <v>26</v>
      </c>
      <c r="D224" t="s">
        <v>27</v>
      </c>
      <c r="E224" t="s">
        <v>17</v>
      </c>
      <c r="F224" t="s">
        <v>18</v>
      </c>
      <c r="G224" t="s">
        <v>41</v>
      </c>
      <c r="H224" t="s">
        <v>25</v>
      </c>
      <c r="I224" s="1">
        <v>3</v>
      </c>
      <c r="J224" s="2">
        <v>46173</v>
      </c>
      <c r="K224" s="2">
        <f t="shared" si="7"/>
        <v>46143</v>
      </c>
      <c r="L224" s="1" t="s">
        <v>54</v>
      </c>
      <c r="M224" s="1" t="s">
        <v>49</v>
      </c>
      <c r="N224">
        <v>2025</v>
      </c>
      <c r="O224" s="2"/>
      <c r="P224" t="str">
        <f t="shared" si="6"/>
        <v>212846173</v>
      </c>
    </row>
    <row r="225" spans="1:16" x14ac:dyDescent="0.3">
      <c r="A225">
        <v>2137</v>
      </c>
      <c r="B225">
        <v>21</v>
      </c>
      <c r="C225" t="s">
        <v>15</v>
      </c>
      <c r="D225" t="s">
        <v>16</v>
      </c>
      <c r="E225" t="s">
        <v>17</v>
      </c>
      <c r="F225" t="s">
        <v>18</v>
      </c>
      <c r="G225" t="s">
        <v>41</v>
      </c>
      <c r="H225" t="s">
        <v>25</v>
      </c>
      <c r="I225" s="1">
        <v>3</v>
      </c>
      <c r="J225" s="2">
        <v>46161</v>
      </c>
      <c r="K225" s="2">
        <f t="shared" si="7"/>
        <v>46143</v>
      </c>
      <c r="L225" s="1" t="str">
        <f>TEXT(J225,"ddd")</f>
        <v>ter</v>
      </c>
      <c r="M225" s="1" t="str">
        <f>TEXT($J225,"mmm")</f>
        <v>mai</v>
      </c>
      <c r="N225">
        <f>YEAR(J225)</f>
        <v>2026</v>
      </c>
      <c r="O225" s="2"/>
      <c r="P225" t="str">
        <f t="shared" si="6"/>
        <v>213746161</v>
      </c>
    </row>
    <row r="226" spans="1:16" x14ac:dyDescent="0.3">
      <c r="A226">
        <v>2137</v>
      </c>
      <c r="B226">
        <v>21</v>
      </c>
      <c r="C226" t="s">
        <v>15</v>
      </c>
      <c r="D226" t="s">
        <v>16</v>
      </c>
      <c r="E226" t="s">
        <v>17</v>
      </c>
      <c r="F226" t="s">
        <v>18</v>
      </c>
      <c r="G226" t="s">
        <v>41</v>
      </c>
      <c r="H226" t="s">
        <v>25</v>
      </c>
      <c r="I226" s="1">
        <v>3</v>
      </c>
      <c r="J226" s="2">
        <v>46126</v>
      </c>
      <c r="K226" s="2">
        <f t="shared" si="7"/>
        <v>46113</v>
      </c>
      <c r="L226" s="1" t="s">
        <v>56</v>
      </c>
      <c r="M226" s="1" t="s">
        <v>49</v>
      </c>
      <c r="N226">
        <v>2025</v>
      </c>
      <c r="O226" s="2"/>
      <c r="P226" t="str">
        <f t="shared" si="6"/>
        <v>213746126</v>
      </c>
    </row>
    <row r="227" spans="1:16" x14ac:dyDescent="0.3">
      <c r="A227">
        <v>2140</v>
      </c>
      <c r="B227">
        <v>39</v>
      </c>
      <c r="C227" t="s">
        <v>15</v>
      </c>
      <c r="D227" t="s">
        <v>31</v>
      </c>
      <c r="E227" t="s">
        <v>34</v>
      </c>
      <c r="F227" t="s">
        <v>21</v>
      </c>
      <c r="G227" t="s">
        <v>41</v>
      </c>
      <c r="H227" t="s">
        <v>25</v>
      </c>
      <c r="I227" s="1">
        <v>2</v>
      </c>
      <c r="J227" s="2">
        <v>46154</v>
      </c>
      <c r="K227" s="2">
        <f t="shared" si="7"/>
        <v>46143</v>
      </c>
      <c r="L227" s="1" t="str">
        <f>TEXT(J227,"ddd")</f>
        <v>ter</v>
      </c>
      <c r="M227" s="1" t="str">
        <f>TEXT($J227,"mmm")</f>
        <v>mai</v>
      </c>
      <c r="N227">
        <f>YEAR(J227)</f>
        <v>2026</v>
      </c>
      <c r="O227" s="2"/>
      <c r="P227" t="str">
        <f t="shared" si="6"/>
        <v>214046154</v>
      </c>
    </row>
    <row r="228" spans="1:16" x14ac:dyDescent="0.3">
      <c r="A228">
        <v>2140</v>
      </c>
      <c r="B228">
        <v>39</v>
      </c>
      <c r="C228" t="s">
        <v>15</v>
      </c>
      <c r="D228" t="s">
        <v>31</v>
      </c>
      <c r="E228" t="s">
        <v>34</v>
      </c>
      <c r="F228" t="s">
        <v>21</v>
      </c>
      <c r="G228" t="s">
        <v>41</v>
      </c>
      <c r="H228" t="s">
        <v>25</v>
      </c>
      <c r="I228" s="1">
        <v>2</v>
      </c>
      <c r="J228" s="2">
        <v>46126</v>
      </c>
      <c r="K228" s="2">
        <f t="shared" si="7"/>
        <v>46113</v>
      </c>
      <c r="L228" s="1" t="s">
        <v>56</v>
      </c>
      <c r="M228" s="1" t="s">
        <v>49</v>
      </c>
      <c r="N228">
        <v>2025</v>
      </c>
      <c r="O228" s="2"/>
      <c r="P228" t="str">
        <f t="shared" si="6"/>
        <v>214046126</v>
      </c>
    </row>
    <row r="229" spans="1:16" x14ac:dyDescent="0.3">
      <c r="A229">
        <v>2141</v>
      </c>
      <c r="B229">
        <v>37</v>
      </c>
      <c r="C229" t="s">
        <v>15</v>
      </c>
      <c r="D229" t="s">
        <v>29</v>
      </c>
      <c r="E229" t="s">
        <v>17</v>
      </c>
      <c r="F229" t="s">
        <v>23</v>
      </c>
      <c r="G229" t="s">
        <v>41</v>
      </c>
      <c r="H229" t="s">
        <v>25</v>
      </c>
      <c r="I229" s="1">
        <v>1</v>
      </c>
      <c r="J229" s="2">
        <v>46128</v>
      </c>
      <c r="K229" s="2">
        <f t="shared" si="7"/>
        <v>46113</v>
      </c>
      <c r="L229" s="1" t="str">
        <f>TEXT(J229,"ddd")</f>
        <v>qui</v>
      </c>
      <c r="M229" s="1" t="str">
        <f>TEXT($J229,"mmm")</f>
        <v>abr</v>
      </c>
      <c r="N229">
        <f>YEAR(J229)</f>
        <v>2026</v>
      </c>
      <c r="O229" s="2"/>
      <c r="P229" t="str">
        <f t="shared" si="6"/>
        <v>214146128</v>
      </c>
    </row>
    <row r="230" spans="1:16" x14ac:dyDescent="0.3">
      <c r="A230">
        <v>2141</v>
      </c>
      <c r="B230">
        <v>37</v>
      </c>
      <c r="C230" t="s">
        <v>15</v>
      </c>
      <c r="D230" t="s">
        <v>29</v>
      </c>
      <c r="E230" t="s">
        <v>17</v>
      </c>
      <c r="F230" t="s">
        <v>23</v>
      </c>
      <c r="G230" t="s">
        <v>41</v>
      </c>
      <c r="H230" t="s">
        <v>25</v>
      </c>
      <c r="I230" s="1">
        <v>1</v>
      </c>
      <c r="J230" s="2">
        <v>46158</v>
      </c>
      <c r="K230" s="2">
        <f t="shared" si="7"/>
        <v>46143</v>
      </c>
      <c r="L230" s="1" t="s">
        <v>53</v>
      </c>
      <c r="M230" s="1" t="s">
        <v>49</v>
      </c>
      <c r="N230">
        <v>2025</v>
      </c>
      <c r="O230" s="2"/>
      <c r="P230" t="str">
        <f t="shared" si="6"/>
        <v>214146158</v>
      </c>
    </row>
    <row r="231" spans="1:16" x14ac:dyDescent="0.3">
      <c r="A231">
        <v>2151</v>
      </c>
      <c r="B231">
        <v>22</v>
      </c>
      <c r="C231" t="s">
        <v>26</v>
      </c>
      <c r="D231" t="s">
        <v>27</v>
      </c>
      <c r="E231" t="s">
        <v>17</v>
      </c>
      <c r="F231" t="s">
        <v>21</v>
      </c>
      <c r="G231" t="s">
        <v>41</v>
      </c>
      <c r="H231" t="s">
        <v>25</v>
      </c>
      <c r="I231" s="1">
        <v>2</v>
      </c>
      <c r="J231" s="2">
        <v>46136</v>
      </c>
      <c r="K231" s="2">
        <f t="shared" si="7"/>
        <v>46113</v>
      </c>
      <c r="L231" s="1" t="str">
        <f>TEXT(J231,"ddd")</f>
        <v>sex</v>
      </c>
      <c r="M231" s="1" t="str">
        <f>TEXT($J231,"mmm")</f>
        <v>abr</v>
      </c>
      <c r="N231">
        <f>YEAR(J231)</f>
        <v>2026</v>
      </c>
      <c r="O231" s="2"/>
      <c r="P231" t="str">
        <f t="shared" si="6"/>
        <v>215146136</v>
      </c>
    </row>
    <row r="232" spans="1:16" x14ac:dyDescent="0.3">
      <c r="A232">
        <v>2151</v>
      </c>
      <c r="B232">
        <v>22</v>
      </c>
      <c r="C232" t="s">
        <v>26</v>
      </c>
      <c r="D232" t="s">
        <v>27</v>
      </c>
      <c r="E232" t="s">
        <v>17</v>
      </c>
      <c r="F232" t="s">
        <v>21</v>
      </c>
      <c r="G232" t="s">
        <v>41</v>
      </c>
      <c r="H232" t="s">
        <v>25</v>
      </c>
      <c r="I232" s="1">
        <v>2</v>
      </c>
      <c r="J232" s="2">
        <v>46126</v>
      </c>
      <c r="K232" s="2">
        <f t="shared" si="7"/>
        <v>46113</v>
      </c>
      <c r="L232" s="1" t="s">
        <v>52</v>
      </c>
      <c r="M232" s="1" t="s">
        <v>48</v>
      </c>
      <c r="N232">
        <v>2025</v>
      </c>
      <c r="O232" s="2"/>
      <c r="P232" t="str">
        <f t="shared" si="6"/>
        <v>215146126</v>
      </c>
    </row>
    <row r="233" spans="1:16" x14ac:dyDescent="0.3">
      <c r="A233">
        <v>2154</v>
      </c>
      <c r="B233">
        <v>25</v>
      </c>
      <c r="C233" t="s">
        <v>15</v>
      </c>
      <c r="D233" t="s">
        <v>16</v>
      </c>
      <c r="E233" t="s">
        <v>17</v>
      </c>
      <c r="F233" t="s">
        <v>21</v>
      </c>
      <c r="G233" t="s">
        <v>41</v>
      </c>
      <c r="H233" t="s">
        <v>25</v>
      </c>
      <c r="I233" s="1">
        <v>1</v>
      </c>
      <c r="J233" s="2">
        <v>46122</v>
      </c>
      <c r="K233" s="2">
        <f t="shared" si="7"/>
        <v>46113</v>
      </c>
      <c r="L233" s="1" t="str">
        <f>TEXT(J233,"ddd")</f>
        <v>sex</v>
      </c>
      <c r="M233" s="1" t="str">
        <f>TEXT($J233,"mmm")</f>
        <v>abr</v>
      </c>
      <c r="N233">
        <f>YEAR(J233)</f>
        <v>2026</v>
      </c>
      <c r="O233" s="2"/>
      <c r="P233" t="str">
        <f t="shared" si="6"/>
        <v>215446122</v>
      </c>
    </row>
    <row r="234" spans="1:16" x14ac:dyDescent="0.3">
      <c r="A234">
        <v>2154</v>
      </c>
      <c r="B234">
        <v>25</v>
      </c>
      <c r="C234" t="s">
        <v>15</v>
      </c>
      <c r="D234" t="s">
        <v>16</v>
      </c>
      <c r="E234" t="s">
        <v>17</v>
      </c>
      <c r="F234" t="s">
        <v>21</v>
      </c>
      <c r="G234" t="s">
        <v>41</v>
      </c>
      <c r="H234" t="s">
        <v>25</v>
      </c>
      <c r="I234" s="1">
        <v>1</v>
      </c>
      <c r="J234" s="2">
        <v>46123</v>
      </c>
      <c r="K234" s="2">
        <f t="shared" si="7"/>
        <v>46113</v>
      </c>
      <c r="L234" s="1" t="str">
        <f>TEXT(J234,"ddd")</f>
        <v>sáb</v>
      </c>
      <c r="M234" s="1" t="str">
        <f>TEXT($J234,"mmm")</f>
        <v>abr</v>
      </c>
      <c r="N234">
        <f>YEAR(J234)</f>
        <v>2026</v>
      </c>
      <c r="O234" s="2"/>
      <c r="P234" t="str">
        <f t="shared" si="6"/>
        <v>215446123</v>
      </c>
    </row>
    <row r="235" spans="1:16" x14ac:dyDescent="0.3">
      <c r="A235">
        <v>2154</v>
      </c>
      <c r="B235">
        <v>25</v>
      </c>
      <c r="C235" t="s">
        <v>15</v>
      </c>
      <c r="D235" t="s">
        <v>16</v>
      </c>
      <c r="E235" t="s">
        <v>17</v>
      </c>
      <c r="F235" t="s">
        <v>21</v>
      </c>
      <c r="G235" t="s">
        <v>41</v>
      </c>
      <c r="H235" t="s">
        <v>25</v>
      </c>
      <c r="I235" s="1">
        <v>1</v>
      </c>
      <c r="J235" s="2">
        <v>46165</v>
      </c>
      <c r="K235" s="2">
        <f t="shared" si="7"/>
        <v>46143</v>
      </c>
      <c r="L235" s="1" t="s">
        <v>53</v>
      </c>
      <c r="M235" s="1" t="s">
        <v>49</v>
      </c>
      <c r="N235">
        <v>2025</v>
      </c>
      <c r="O235" s="2"/>
      <c r="P235" t="str">
        <f t="shared" si="6"/>
        <v>215446165</v>
      </c>
    </row>
    <row r="236" spans="1:16" x14ac:dyDescent="0.3">
      <c r="A236">
        <v>2154</v>
      </c>
      <c r="B236">
        <v>25</v>
      </c>
      <c r="C236" t="s">
        <v>15</v>
      </c>
      <c r="D236" t="s">
        <v>16</v>
      </c>
      <c r="E236" t="s">
        <v>17</v>
      </c>
      <c r="F236" t="s">
        <v>21</v>
      </c>
      <c r="G236" t="s">
        <v>41</v>
      </c>
      <c r="H236" t="s">
        <v>25</v>
      </c>
      <c r="I236" s="1">
        <v>1</v>
      </c>
      <c r="J236" s="2">
        <v>46173</v>
      </c>
      <c r="K236" s="2">
        <f t="shared" si="7"/>
        <v>46143</v>
      </c>
      <c r="L236" s="1" t="s">
        <v>54</v>
      </c>
      <c r="M236" s="1" t="s">
        <v>49</v>
      </c>
      <c r="N236">
        <v>2025</v>
      </c>
      <c r="O236" s="2"/>
      <c r="P236" t="str">
        <f t="shared" si="6"/>
        <v>215446173</v>
      </c>
    </row>
    <row r="237" spans="1:16" x14ac:dyDescent="0.3">
      <c r="A237">
        <v>2157</v>
      </c>
      <c r="B237">
        <v>42</v>
      </c>
      <c r="C237" t="s">
        <v>26</v>
      </c>
      <c r="D237" t="s">
        <v>16</v>
      </c>
      <c r="E237" t="s">
        <v>17</v>
      </c>
      <c r="F237" t="s">
        <v>21</v>
      </c>
      <c r="G237" t="s">
        <v>41</v>
      </c>
      <c r="H237" t="s">
        <v>25</v>
      </c>
      <c r="I237" s="1">
        <v>3</v>
      </c>
      <c r="J237" s="2">
        <v>46126</v>
      </c>
      <c r="K237" s="2">
        <f t="shared" si="7"/>
        <v>46113</v>
      </c>
      <c r="L237" s="1" t="str">
        <f>TEXT(J237,"ddd")</f>
        <v>ter</v>
      </c>
      <c r="M237" s="1" t="str">
        <f>TEXT($J237,"mmm")</f>
        <v>abr</v>
      </c>
      <c r="N237">
        <f>YEAR(J237)</f>
        <v>2026</v>
      </c>
      <c r="O237" s="2"/>
      <c r="P237" t="str">
        <f t="shared" si="6"/>
        <v>215746126</v>
      </c>
    </row>
    <row r="238" spans="1:16" x14ac:dyDescent="0.3">
      <c r="A238">
        <v>2157</v>
      </c>
      <c r="B238">
        <v>42</v>
      </c>
      <c r="C238" t="s">
        <v>26</v>
      </c>
      <c r="D238" t="s">
        <v>16</v>
      </c>
      <c r="E238" t="s">
        <v>17</v>
      </c>
      <c r="F238" t="s">
        <v>21</v>
      </c>
      <c r="G238" t="s">
        <v>41</v>
      </c>
      <c r="H238" t="s">
        <v>25</v>
      </c>
      <c r="I238" s="1">
        <v>3</v>
      </c>
      <c r="J238" s="2">
        <v>46132</v>
      </c>
      <c r="K238" s="2">
        <f t="shared" si="7"/>
        <v>46113</v>
      </c>
      <c r="L238" s="1" t="s">
        <v>55</v>
      </c>
      <c r="M238" s="1" t="s">
        <v>48</v>
      </c>
      <c r="N238">
        <v>2025</v>
      </c>
      <c r="O238" s="2"/>
      <c r="P238" t="str">
        <f t="shared" si="6"/>
        <v>215746132</v>
      </c>
    </row>
    <row r="239" spans="1:16" x14ac:dyDescent="0.3">
      <c r="A239">
        <v>2158</v>
      </c>
      <c r="B239">
        <v>32</v>
      </c>
      <c r="C239" t="s">
        <v>26</v>
      </c>
      <c r="D239" t="s">
        <v>27</v>
      </c>
      <c r="E239" t="s">
        <v>17</v>
      </c>
      <c r="F239" t="s">
        <v>18</v>
      </c>
      <c r="G239" t="s">
        <v>41</v>
      </c>
      <c r="H239" t="s">
        <v>25</v>
      </c>
      <c r="I239" s="1">
        <v>2</v>
      </c>
      <c r="J239" s="2">
        <v>46131</v>
      </c>
      <c r="K239" s="2">
        <f t="shared" si="7"/>
        <v>46113</v>
      </c>
      <c r="L239" s="1" t="str">
        <f>TEXT(J239,"ddd")</f>
        <v>dom</v>
      </c>
      <c r="M239" s="1" t="str">
        <f>TEXT($J239,"mmm")</f>
        <v>abr</v>
      </c>
      <c r="N239">
        <f>YEAR(J239)</f>
        <v>2026</v>
      </c>
      <c r="O239" s="2"/>
      <c r="P239" t="str">
        <f t="shared" si="6"/>
        <v>215846131</v>
      </c>
    </row>
    <row r="240" spans="1:16" x14ac:dyDescent="0.3">
      <c r="A240">
        <v>2158</v>
      </c>
      <c r="B240">
        <v>32</v>
      </c>
      <c r="C240" t="s">
        <v>26</v>
      </c>
      <c r="D240" t="s">
        <v>27</v>
      </c>
      <c r="E240" t="s">
        <v>17</v>
      </c>
      <c r="F240" t="s">
        <v>18</v>
      </c>
      <c r="G240" t="s">
        <v>41</v>
      </c>
      <c r="H240" t="s">
        <v>25</v>
      </c>
      <c r="I240" s="1">
        <v>2</v>
      </c>
      <c r="J240" s="2">
        <v>46122</v>
      </c>
      <c r="K240" s="2">
        <f t="shared" si="7"/>
        <v>46113</v>
      </c>
      <c r="L240" s="1" t="s">
        <v>54</v>
      </c>
      <c r="M240" s="1" t="s">
        <v>48</v>
      </c>
      <c r="N240">
        <v>2025</v>
      </c>
      <c r="O240" s="2"/>
      <c r="P240" t="str">
        <f t="shared" si="6"/>
        <v>215846122</v>
      </c>
    </row>
    <row r="241" spans="1:16" x14ac:dyDescent="0.3">
      <c r="A241">
        <v>2161</v>
      </c>
      <c r="B241">
        <v>47</v>
      </c>
      <c r="C241" t="s">
        <v>26</v>
      </c>
      <c r="D241" t="s">
        <v>22</v>
      </c>
      <c r="E241" t="s">
        <v>17</v>
      </c>
      <c r="F241" t="s">
        <v>23</v>
      </c>
      <c r="G241" t="s">
        <v>41</v>
      </c>
      <c r="H241" t="s">
        <v>25</v>
      </c>
      <c r="I241" s="1">
        <v>1</v>
      </c>
      <c r="J241" s="2">
        <v>46123</v>
      </c>
      <c r="K241" s="2">
        <f t="shared" si="7"/>
        <v>46113</v>
      </c>
      <c r="L241" s="1" t="str">
        <f>TEXT(J241,"ddd")</f>
        <v>sáb</v>
      </c>
      <c r="M241" s="1" t="str">
        <f>TEXT($J241,"mmm")</f>
        <v>abr</v>
      </c>
      <c r="N241">
        <f>YEAR(J241)</f>
        <v>2026</v>
      </c>
      <c r="O241" s="2"/>
      <c r="P241" t="str">
        <f t="shared" si="6"/>
        <v>216146123</v>
      </c>
    </row>
    <row r="242" spans="1:16" x14ac:dyDescent="0.3">
      <c r="A242">
        <v>2161</v>
      </c>
      <c r="B242">
        <v>47</v>
      </c>
      <c r="C242" t="s">
        <v>26</v>
      </c>
      <c r="D242" t="s">
        <v>22</v>
      </c>
      <c r="E242" t="s">
        <v>17</v>
      </c>
      <c r="F242" t="s">
        <v>23</v>
      </c>
      <c r="G242" t="s">
        <v>41</v>
      </c>
      <c r="H242" t="s">
        <v>25</v>
      </c>
      <c r="I242" s="1">
        <v>1</v>
      </c>
      <c r="J242" s="2">
        <v>46172</v>
      </c>
      <c r="K242" s="2">
        <f t="shared" si="7"/>
        <v>46143</v>
      </c>
      <c r="L242" s="1" t="str">
        <f>TEXT(J242,"ddd")</f>
        <v>sáb</v>
      </c>
      <c r="M242" s="1" t="str">
        <f>TEXT($J242,"mmm")</f>
        <v>mai</v>
      </c>
      <c r="N242">
        <f>YEAR(J242)</f>
        <v>2026</v>
      </c>
      <c r="O242" s="2"/>
      <c r="P242" t="str">
        <f t="shared" si="6"/>
        <v>216146172</v>
      </c>
    </row>
    <row r="243" spans="1:16" x14ac:dyDescent="0.3">
      <c r="A243">
        <v>2161</v>
      </c>
      <c r="B243">
        <v>47</v>
      </c>
      <c r="C243" t="s">
        <v>26</v>
      </c>
      <c r="D243" t="s">
        <v>22</v>
      </c>
      <c r="E243" t="s">
        <v>17</v>
      </c>
      <c r="F243" t="s">
        <v>23</v>
      </c>
      <c r="G243" t="s">
        <v>41</v>
      </c>
      <c r="H243" t="s">
        <v>25</v>
      </c>
      <c r="I243" s="1">
        <v>1</v>
      </c>
      <c r="J243" s="2">
        <v>46125</v>
      </c>
      <c r="K243" s="2">
        <f t="shared" si="7"/>
        <v>46113</v>
      </c>
      <c r="L243" s="1" t="s">
        <v>55</v>
      </c>
      <c r="M243" s="1" t="s">
        <v>48</v>
      </c>
      <c r="N243">
        <v>2025</v>
      </c>
      <c r="O243" s="2"/>
      <c r="P243" t="str">
        <f t="shared" si="6"/>
        <v>216146125</v>
      </c>
    </row>
    <row r="244" spans="1:16" x14ac:dyDescent="0.3">
      <c r="A244">
        <v>2161</v>
      </c>
      <c r="B244">
        <v>47</v>
      </c>
      <c r="C244" t="s">
        <v>26</v>
      </c>
      <c r="D244" t="s">
        <v>22</v>
      </c>
      <c r="E244" t="s">
        <v>17</v>
      </c>
      <c r="F244" t="s">
        <v>23</v>
      </c>
      <c r="G244" t="s">
        <v>41</v>
      </c>
      <c r="H244" t="s">
        <v>25</v>
      </c>
      <c r="I244" s="1">
        <v>1</v>
      </c>
      <c r="J244" s="2">
        <v>46170</v>
      </c>
      <c r="K244" s="2">
        <f t="shared" si="7"/>
        <v>46143</v>
      </c>
      <c r="L244" s="1" t="s">
        <v>53</v>
      </c>
      <c r="M244" s="1" t="s">
        <v>49</v>
      </c>
      <c r="N244">
        <v>2025</v>
      </c>
      <c r="O244" s="2"/>
      <c r="P244" t="str">
        <f t="shared" si="6"/>
        <v>216146170</v>
      </c>
    </row>
    <row r="245" spans="1:16" x14ac:dyDescent="0.3">
      <c r="A245">
        <v>2164</v>
      </c>
      <c r="B245">
        <v>34</v>
      </c>
      <c r="C245" t="s">
        <v>15</v>
      </c>
      <c r="D245" t="s">
        <v>16</v>
      </c>
      <c r="E245" t="s">
        <v>17</v>
      </c>
      <c r="F245" t="s">
        <v>23</v>
      </c>
      <c r="G245" t="s">
        <v>41</v>
      </c>
      <c r="H245" t="s">
        <v>25</v>
      </c>
      <c r="I245" s="1">
        <v>3</v>
      </c>
      <c r="J245" s="2">
        <v>46122</v>
      </c>
      <c r="K245" s="2">
        <f t="shared" si="7"/>
        <v>46113</v>
      </c>
      <c r="L245" s="1" t="str">
        <f>TEXT(J245,"ddd")</f>
        <v>sex</v>
      </c>
      <c r="M245" s="1" t="str">
        <f>TEXT($J245,"mmm")</f>
        <v>abr</v>
      </c>
      <c r="N245">
        <f>YEAR(J245)</f>
        <v>2026</v>
      </c>
      <c r="O245" s="2"/>
      <c r="P245" t="str">
        <f t="shared" si="6"/>
        <v>216446122</v>
      </c>
    </row>
    <row r="246" spans="1:16" x14ac:dyDescent="0.3">
      <c r="A246">
        <v>2164</v>
      </c>
      <c r="B246">
        <v>34</v>
      </c>
      <c r="C246" t="s">
        <v>15</v>
      </c>
      <c r="D246" t="s">
        <v>16</v>
      </c>
      <c r="E246" t="s">
        <v>17</v>
      </c>
      <c r="F246" t="s">
        <v>23</v>
      </c>
      <c r="G246" t="s">
        <v>41</v>
      </c>
      <c r="H246" t="s">
        <v>25</v>
      </c>
      <c r="I246" s="1">
        <v>3</v>
      </c>
      <c r="J246" s="2">
        <v>46123</v>
      </c>
      <c r="K246" s="2">
        <f t="shared" si="7"/>
        <v>46113</v>
      </c>
      <c r="L246" s="1" t="s">
        <v>53</v>
      </c>
      <c r="M246" s="1" t="s">
        <v>48</v>
      </c>
      <c r="N246">
        <v>2025</v>
      </c>
      <c r="O246" s="2"/>
      <c r="P246" t="str">
        <f t="shared" si="6"/>
        <v>216446123</v>
      </c>
    </row>
    <row r="247" spans="1:16" x14ac:dyDescent="0.3">
      <c r="A247">
        <v>2165</v>
      </c>
      <c r="B247">
        <v>21</v>
      </c>
      <c r="C247" t="s">
        <v>15</v>
      </c>
      <c r="D247" t="s">
        <v>31</v>
      </c>
      <c r="E247" t="s">
        <v>34</v>
      </c>
      <c r="F247" t="s">
        <v>21</v>
      </c>
      <c r="G247" t="s">
        <v>41</v>
      </c>
      <c r="H247" t="s">
        <v>25</v>
      </c>
      <c r="I247" s="1">
        <v>3</v>
      </c>
      <c r="J247" s="2">
        <v>46125</v>
      </c>
      <c r="K247" s="2">
        <f t="shared" si="7"/>
        <v>46113</v>
      </c>
      <c r="L247" s="1" t="str">
        <f>TEXT(J247,"ddd")</f>
        <v>seg</v>
      </c>
      <c r="M247" s="1" t="str">
        <f>TEXT($J247,"mmm")</f>
        <v>abr</v>
      </c>
      <c r="N247">
        <f>YEAR(J247)</f>
        <v>2026</v>
      </c>
      <c r="O247" s="2"/>
      <c r="P247" t="str">
        <f t="shared" si="6"/>
        <v>216546125</v>
      </c>
    </row>
    <row r="248" spans="1:16" x14ac:dyDescent="0.3">
      <c r="A248">
        <v>2165</v>
      </c>
      <c r="B248">
        <v>21</v>
      </c>
      <c r="C248" t="s">
        <v>15</v>
      </c>
      <c r="D248" t="s">
        <v>31</v>
      </c>
      <c r="E248" t="s">
        <v>34</v>
      </c>
      <c r="F248" t="s">
        <v>21</v>
      </c>
      <c r="G248" t="s">
        <v>41</v>
      </c>
      <c r="H248" t="s">
        <v>25</v>
      </c>
      <c r="I248" s="1">
        <v>3</v>
      </c>
      <c r="J248" s="2">
        <v>46145</v>
      </c>
      <c r="K248" s="2">
        <f t="shared" si="7"/>
        <v>46143</v>
      </c>
      <c r="L248" s="1" t="str">
        <f>TEXT(J248,"ddd")</f>
        <v>dom</v>
      </c>
      <c r="M248" s="1" t="str">
        <f>TEXT($J248,"mmm")</f>
        <v>mai</v>
      </c>
      <c r="N248">
        <f>YEAR(J248)</f>
        <v>2026</v>
      </c>
      <c r="O248" s="2"/>
      <c r="P248" t="str">
        <f t="shared" si="6"/>
        <v>216546145</v>
      </c>
    </row>
    <row r="249" spans="1:16" x14ac:dyDescent="0.3">
      <c r="A249">
        <v>2165</v>
      </c>
      <c r="B249">
        <v>21</v>
      </c>
      <c r="C249" t="s">
        <v>15</v>
      </c>
      <c r="D249" t="s">
        <v>31</v>
      </c>
      <c r="E249" t="s">
        <v>34</v>
      </c>
      <c r="F249" t="s">
        <v>21</v>
      </c>
      <c r="G249" t="s">
        <v>41</v>
      </c>
      <c r="H249" t="s">
        <v>25</v>
      </c>
      <c r="I249" s="1">
        <v>3</v>
      </c>
      <c r="J249" s="2">
        <v>46170</v>
      </c>
      <c r="K249" s="2">
        <f t="shared" si="7"/>
        <v>46143</v>
      </c>
      <c r="L249" s="1" t="s">
        <v>55</v>
      </c>
      <c r="M249" s="1" t="s">
        <v>48</v>
      </c>
      <c r="N249">
        <v>2025</v>
      </c>
      <c r="O249" s="2"/>
      <c r="P249" t="str">
        <f t="shared" si="6"/>
        <v>216546170</v>
      </c>
    </row>
    <row r="250" spans="1:16" x14ac:dyDescent="0.3">
      <c r="A250">
        <v>2165</v>
      </c>
      <c r="B250">
        <v>21</v>
      </c>
      <c r="C250" t="s">
        <v>15</v>
      </c>
      <c r="D250" t="s">
        <v>31</v>
      </c>
      <c r="E250" t="s">
        <v>34</v>
      </c>
      <c r="F250" t="s">
        <v>21</v>
      </c>
      <c r="G250" t="s">
        <v>41</v>
      </c>
      <c r="H250" t="s">
        <v>25</v>
      </c>
      <c r="I250" s="1">
        <v>3</v>
      </c>
      <c r="J250" s="2">
        <v>46126</v>
      </c>
      <c r="K250" s="2">
        <f t="shared" si="7"/>
        <v>46113</v>
      </c>
      <c r="L250" s="1" t="s">
        <v>54</v>
      </c>
      <c r="M250" s="1" t="s">
        <v>49</v>
      </c>
      <c r="N250">
        <v>2025</v>
      </c>
      <c r="O250" s="2"/>
      <c r="P250" t="str">
        <f t="shared" si="6"/>
        <v>216546126</v>
      </c>
    </row>
    <row r="251" spans="1:16" x14ac:dyDescent="0.3">
      <c r="A251">
        <v>2167</v>
      </c>
      <c r="B251">
        <v>42</v>
      </c>
      <c r="C251" t="s">
        <v>15</v>
      </c>
      <c r="D251" t="s">
        <v>29</v>
      </c>
      <c r="E251" t="s">
        <v>17</v>
      </c>
      <c r="F251" t="s">
        <v>21</v>
      </c>
      <c r="G251" t="s">
        <v>41</v>
      </c>
      <c r="H251" t="s">
        <v>25</v>
      </c>
      <c r="I251" s="1">
        <v>2</v>
      </c>
      <c r="J251" s="2">
        <v>46168</v>
      </c>
      <c r="K251" s="2">
        <f t="shared" si="7"/>
        <v>46143</v>
      </c>
      <c r="L251" s="1" t="str">
        <f>TEXT(J251,"ddd")</f>
        <v>ter</v>
      </c>
      <c r="M251" s="1" t="str">
        <f>TEXT($J251,"mmm")</f>
        <v>mai</v>
      </c>
      <c r="N251">
        <f>YEAR(J251)</f>
        <v>2026</v>
      </c>
      <c r="O251" s="2"/>
      <c r="P251" t="str">
        <f t="shared" si="6"/>
        <v>216746168</v>
      </c>
    </row>
    <row r="252" spans="1:16" x14ac:dyDescent="0.3">
      <c r="A252">
        <v>2167</v>
      </c>
      <c r="B252">
        <v>42</v>
      </c>
      <c r="C252" t="s">
        <v>15</v>
      </c>
      <c r="D252" t="s">
        <v>29</v>
      </c>
      <c r="E252" t="s">
        <v>17</v>
      </c>
      <c r="F252" t="s">
        <v>21</v>
      </c>
      <c r="G252" t="s">
        <v>41</v>
      </c>
      <c r="H252" t="s">
        <v>25</v>
      </c>
      <c r="I252" s="1">
        <v>2</v>
      </c>
      <c r="J252" s="2">
        <v>46122</v>
      </c>
      <c r="K252" s="2">
        <f t="shared" si="7"/>
        <v>46113</v>
      </c>
      <c r="L252" s="1" t="s">
        <v>56</v>
      </c>
      <c r="M252" s="1" t="s">
        <v>49</v>
      </c>
      <c r="N252">
        <v>2025</v>
      </c>
      <c r="O252" s="2"/>
      <c r="P252" t="str">
        <f t="shared" si="6"/>
        <v>216746122</v>
      </c>
    </row>
    <row r="253" spans="1:16" x14ac:dyDescent="0.3">
      <c r="A253">
        <v>2168</v>
      </c>
      <c r="B253">
        <v>40</v>
      </c>
      <c r="C253" t="s">
        <v>26</v>
      </c>
      <c r="D253" t="s">
        <v>29</v>
      </c>
      <c r="E253" t="s">
        <v>17</v>
      </c>
      <c r="F253" t="s">
        <v>18</v>
      </c>
      <c r="G253" t="s">
        <v>41</v>
      </c>
      <c r="H253" t="s">
        <v>25</v>
      </c>
      <c r="I253" s="1">
        <v>2</v>
      </c>
      <c r="J253" s="2">
        <v>46123</v>
      </c>
      <c r="K253" s="2">
        <f t="shared" si="7"/>
        <v>46113</v>
      </c>
      <c r="L253" s="1" t="str">
        <f>TEXT(J253,"ddd")</f>
        <v>sáb</v>
      </c>
      <c r="M253" s="1" t="str">
        <f>TEXT($J253,"mmm")</f>
        <v>abr</v>
      </c>
      <c r="N253">
        <f>YEAR(J253)</f>
        <v>2026</v>
      </c>
      <c r="O253" s="2"/>
      <c r="P253" t="str">
        <f t="shared" si="6"/>
        <v>216846123</v>
      </c>
    </row>
    <row r="254" spans="1:16" x14ac:dyDescent="0.3">
      <c r="A254">
        <v>2168</v>
      </c>
      <c r="B254">
        <v>40</v>
      </c>
      <c r="C254" t="s">
        <v>26</v>
      </c>
      <c r="D254" t="s">
        <v>29</v>
      </c>
      <c r="E254" t="s">
        <v>17</v>
      </c>
      <c r="F254" t="s">
        <v>18</v>
      </c>
      <c r="G254" t="s">
        <v>41</v>
      </c>
      <c r="H254" t="s">
        <v>25</v>
      </c>
      <c r="I254" s="1">
        <v>2</v>
      </c>
      <c r="J254" s="2">
        <v>46126</v>
      </c>
      <c r="K254" s="2">
        <f t="shared" si="7"/>
        <v>46113</v>
      </c>
      <c r="L254" s="1" t="str">
        <f>TEXT(J254,"ddd")</f>
        <v>ter</v>
      </c>
      <c r="M254" s="1" t="str">
        <f>TEXT($J254,"mmm")</f>
        <v>abr</v>
      </c>
      <c r="N254">
        <f>YEAR(J254)</f>
        <v>2026</v>
      </c>
      <c r="O254" s="2"/>
      <c r="P254" t="str">
        <f t="shared" si="6"/>
        <v>216846126</v>
      </c>
    </row>
    <row r="255" spans="1:16" x14ac:dyDescent="0.3">
      <c r="A255">
        <v>2168</v>
      </c>
      <c r="B255">
        <v>40</v>
      </c>
      <c r="C255" t="s">
        <v>26</v>
      </c>
      <c r="D255" t="s">
        <v>29</v>
      </c>
      <c r="E255" t="s">
        <v>17</v>
      </c>
      <c r="F255" t="s">
        <v>18</v>
      </c>
      <c r="G255" t="s">
        <v>41</v>
      </c>
      <c r="H255" t="s">
        <v>25</v>
      </c>
      <c r="I255" s="1">
        <v>2</v>
      </c>
      <c r="J255" s="2">
        <v>46125</v>
      </c>
      <c r="K255" s="2">
        <f t="shared" si="7"/>
        <v>46113</v>
      </c>
      <c r="L255" s="1" t="s">
        <v>55</v>
      </c>
      <c r="M255" s="1" t="s">
        <v>48</v>
      </c>
      <c r="N255">
        <v>2025</v>
      </c>
      <c r="O255" s="2"/>
      <c r="P255" t="str">
        <f t="shared" si="6"/>
        <v>216846125</v>
      </c>
    </row>
    <row r="256" spans="1:16" x14ac:dyDescent="0.3">
      <c r="A256">
        <v>2168</v>
      </c>
      <c r="B256">
        <v>40</v>
      </c>
      <c r="C256" t="s">
        <v>26</v>
      </c>
      <c r="D256" t="s">
        <v>29</v>
      </c>
      <c r="E256" t="s">
        <v>17</v>
      </c>
      <c r="F256" t="s">
        <v>18</v>
      </c>
      <c r="G256" t="s">
        <v>41</v>
      </c>
      <c r="H256" t="s">
        <v>25</v>
      </c>
      <c r="I256" s="1">
        <v>2</v>
      </c>
      <c r="J256" s="2">
        <v>46157</v>
      </c>
      <c r="K256" s="2">
        <f t="shared" si="7"/>
        <v>46143</v>
      </c>
      <c r="L256" s="1" t="s">
        <v>52</v>
      </c>
      <c r="M256" s="1" t="s">
        <v>49</v>
      </c>
      <c r="N256">
        <v>2025</v>
      </c>
      <c r="O256" s="2"/>
      <c r="P256" t="str">
        <f t="shared" si="6"/>
        <v>216846157</v>
      </c>
    </row>
    <row r="257" spans="1:16" x14ac:dyDescent="0.3">
      <c r="A257">
        <v>2171</v>
      </c>
      <c r="B257">
        <v>40</v>
      </c>
      <c r="C257" t="s">
        <v>15</v>
      </c>
      <c r="D257" t="s">
        <v>29</v>
      </c>
      <c r="E257" t="s">
        <v>17</v>
      </c>
      <c r="F257" t="s">
        <v>23</v>
      </c>
      <c r="G257" t="s">
        <v>41</v>
      </c>
      <c r="H257" t="s">
        <v>25</v>
      </c>
      <c r="I257" s="1">
        <v>3</v>
      </c>
      <c r="J257" s="2">
        <v>46123</v>
      </c>
      <c r="K257" s="2">
        <f t="shared" si="7"/>
        <v>46113</v>
      </c>
      <c r="L257" s="1" t="str">
        <f>TEXT(J257,"ddd")</f>
        <v>sáb</v>
      </c>
      <c r="M257" s="1" t="str">
        <f>TEXT($J257,"mmm")</f>
        <v>abr</v>
      </c>
      <c r="N257">
        <f>YEAR(J257)</f>
        <v>2026</v>
      </c>
      <c r="O257" s="2"/>
      <c r="P257" t="str">
        <f t="shared" si="6"/>
        <v>217146123</v>
      </c>
    </row>
    <row r="258" spans="1:16" x14ac:dyDescent="0.3">
      <c r="A258">
        <v>2171</v>
      </c>
      <c r="B258">
        <v>40</v>
      </c>
      <c r="C258" t="s">
        <v>15</v>
      </c>
      <c r="D258" t="s">
        <v>29</v>
      </c>
      <c r="E258" t="s">
        <v>17</v>
      </c>
      <c r="F258" t="s">
        <v>23</v>
      </c>
      <c r="G258" t="s">
        <v>41</v>
      </c>
      <c r="H258" t="s">
        <v>25</v>
      </c>
      <c r="I258" s="1">
        <v>3</v>
      </c>
      <c r="J258" s="2">
        <v>46126</v>
      </c>
      <c r="K258" s="2">
        <f t="shared" si="7"/>
        <v>46113</v>
      </c>
      <c r="L258" s="1" t="s">
        <v>53</v>
      </c>
      <c r="M258" s="1" t="s">
        <v>48</v>
      </c>
      <c r="N258">
        <v>2025</v>
      </c>
      <c r="O258" s="2"/>
      <c r="P258" t="str">
        <f t="shared" ref="P258:P321" si="8">CONCATENATE(A258,J258)</f>
        <v>217146126</v>
      </c>
    </row>
    <row r="259" spans="1:16" x14ac:dyDescent="0.3">
      <c r="A259">
        <v>2175</v>
      </c>
      <c r="B259">
        <v>36</v>
      </c>
      <c r="C259" t="s">
        <v>15</v>
      </c>
      <c r="D259" t="s">
        <v>16</v>
      </c>
      <c r="E259" t="s">
        <v>17</v>
      </c>
      <c r="F259" t="s">
        <v>23</v>
      </c>
      <c r="G259" t="s">
        <v>41</v>
      </c>
      <c r="H259" t="s">
        <v>25</v>
      </c>
      <c r="I259" s="1">
        <v>3</v>
      </c>
      <c r="J259" s="2">
        <v>46160</v>
      </c>
      <c r="K259" s="2">
        <f t="shared" ref="K259:K322" si="9">DATE(YEAR(J259),MONTH(J259),1)</f>
        <v>46143</v>
      </c>
      <c r="L259" s="1" t="str">
        <f>TEXT(J259,"ddd")</f>
        <v>seg</v>
      </c>
      <c r="M259" s="1" t="str">
        <f>TEXT($J259,"mmm")</f>
        <v>mai</v>
      </c>
      <c r="N259">
        <f>YEAR(J259)</f>
        <v>2026</v>
      </c>
      <c r="O259" s="2"/>
      <c r="P259" t="str">
        <f t="shared" si="8"/>
        <v>217546160</v>
      </c>
    </row>
    <row r="260" spans="1:16" x14ac:dyDescent="0.3">
      <c r="A260">
        <v>2175</v>
      </c>
      <c r="B260">
        <v>36</v>
      </c>
      <c r="C260" t="s">
        <v>15</v>
      </c>
      <c r="D260" t="s">
        <v>16</v>
      </c>
      <c r="E260" t="s">
        <v>17</v>
      </c>
      <c r="F260" t="s">
        <v>23</v>
      </c>
      <c r="G260" t="s">
        <v>41</v>
      </c>
      <c r="H260" t="s">
        <v>25</v>
      </c>
      <c r="I260" s="1">
        <v>3</v>
      </c>
      <c r="J260" s="2">
        <v>46153</v>
      </c>
      <c r="K260" s="2">
        <f t="shared" si="9"/>
        <v>46143</v>
      </c>
      <c r="L260" s="1" t="s">
        <v>55</v>
      </c>
      <c r="M260" s="1" t="s">
        <v>49</v>
      </c>
      <c r="N260">
        <v>2025</v>
      </c>
      <c r="O260" s="2"/>
      <c r="P260" t="str">
        <f t="shared" si="8"/>
        <v>217546153</v>
      </c>
    </row>
    <row r="261" spans="1:16" x14ac:dyDescent="0.3">
      <c r="A261">
        <v>2179</v>
      </c>
      <c r="B261">
        <v>22</v>
      </c>
      <c r="C261" t="s">
        <v>15</v>
      </c>
      <c r="D261" t="s">
        <v>16</v>
      </c>
      <c r="E261" t="s">
        <v>17</v>
      </c>
      <c r="F261" t="s">
        <v>18</v>
      </c>
      <c r="G261" t="s">
        <v>41</v>
      </c>
      <c r="H261" t="s">
        <v>25</v>
      </c>
      <c r="I261" s="1">
        <v>2</v>
      </c>
      <c r="J261" s="2">
        <v>46127</v>
      </c>
      <c r="K261" s="2">
        <f t="shared" si="9"/>
        <v>46113</v>
      </c>
      <c r="L261" s="1" t="str">
        <f>TEXT(J261,"ddd")</f>
        <v>qua</v>
      </c>
      <c r="M261" s="1" t="str">
        <f>TEXT($J261,"mmm")</f>
        <v>abr</v>
      </c>
      <c r="N261">
        <f>YEAR(J261)</f>
        <v>2026</v>
      </c>
      <c r="O261" s="2"/>
      <c r="P261" t="str">
        <f t="shared" si="8"/>
        <v>217946127</v>
      </c>
    </row>
    <row r="262" spans="1:16" x14ac:dyDescent="0.3">
      <c r="A262">
        <v>2179</v>
      </c>
      <c r="B262">
        <v>22</v>
      </c>
      <c r="C262" t="s">
        <v>15</v>
      </c>
      <c r="D262" t="s">
        <v>16</v>
      </c>
      <c r="E262" t="s">
        <v>17</v>
      </c>
      <c r="F262" t="s">
        <v>18</v>
      </c>
      <c r="G262" t="s">
        <v>41</v>
      </c>
      <c r="H262" t="s">
        <v>25</v>
      </c>
      <c r="I262" s="1">
        <v>2</v>
      </c>
      <c r="J262" s="2">
        <v>46122</v>
      </c>
      <c r="K262" s="2">
        <f t="shared" si="9"/>
        <v>46113</v>
      </c>
      <c r="L262" s="1" t="str">
        <f>TEXT(J262,"ddd")</f>
        <v>sex</v>
      </c>
      <c r="M262" s="1" t="str">
        <f>TEXT($J262,"mmm")</f>
        <v>abr</v>
      </c>
      <c r="N262">
        <f>YEAR(J262)</f>
        <v>2026</v>
      </c>
      <c r="O262" s="2"/>
      <c r="P262" t="str">
        <f t="shared" si="8"/>
        <v>217946122</v>
      </c>
    </row>
    <row r="263" spans="1:16" x14ac:dyDescent="0.3">
      <c r="A263">
        <v>2179</v>
      </c>
      <c r="B263">
        <v>22</v>
      </c>
      <c r="C263" t="s">
        <v>15</v>
      </c>
      <c r="D263" t="s">
        <v>16</v>
      </c>
      <c r="E263" t="s">
        <v>17</v>
      </c>
      <c r="F263" t="s">
        <v>18</v>
      </c>
      <c r="G263" t="s">
        <v>41</v>
      </c>
      <c r="H263" t="s">
        <v>25</v>
      </c>
      <c r="I263" s="1">
        <v>2</v>
      </c>
      <c r="J263" s="2">
        <v>46170</v>
      </c>
      <c r="K263" s="2">
        <f t="shared" si="9"/>
        <v>46143</v>
      </c>
      <c r="L263" s="1" t="s">
        <v>50</v>
      </c>
      <c r="M263" s="1" t="s">
        <v>48</v>
      </c>
      <c r="N263">
        <v>2025</v>
      </c>
      <c r="O263" s="2"/>
      <c r="P263" t="str">
        <f t="shared" si="8"/>
        <v>217946170</v>
      </c>
    </row>
    <row r="264" spans="1:16" x14ac:dyDescent="0.3">
      <c r="A264">
        <v>2179</v>
      </c>
      <c r="B264">
        <v>22</v>
      </c>
      <c r="C264" t="s">
        <v>15</v>
      </c>
      <c r="D264" t="s">
        <v>16</v>
      </c>
      <c r="E264" t="s">
        <v>17</v>
      </c>
      <c r="F264" t="s">
        <v>18</v>
      </c>
      <c r="G264" t="s">
        <v>41</v>
      </c>
      <c r="H264" t="s">
        <v>25</v>
      </c>
      <c r="I264" s="1">
        <v>2</v>
      </c>
      <c r="J264" s="2">
        <v>46159</v>
      </c>
      <c r="K264" s="2">
        <f t="shared" si="9"/>
        <v>46143</v>
      </c>
      <c r="L264" s="1" t="s">
        <v>54</v>
      </c>
      <c r="M264" s="1" t="s">
        <v>49</v>
      </c>
      <c r="N264">
        <v>2025</v>
      </c>
      <c r="O264" s="2"/>
      <c r="P264" t="str">
        <f t="shared" si="8"/>
        <v>217946159</v>
      </c>
    </row>
    <row r="265" spans="1:16" x14ac:dyDescent="0.3">
      <c r="A265">
        <v>2180</v>
      </c>
      <c r="B265">
        <v>23</v>
      </c>
      <c r="C265" t="s">
        <v>26</v>
      </c>
      <c r="D265" t="s">
        <v>29</v>
      </c>
      <c r="E265" t="s">
        <v>17</v>
      </c>
      <c r="F265" t="s">
        <v>21</v>
      </c>
      <c r="G265" t="s">
        <v>41</v>
      </c>
      <c r="H265" t="s">
        <v>25</v>
      </c>
      <c r="I265" s="1">
        <v>2</v>
      </c>
      <c r="J265" s="2">
        <v>46162</v>
      </c>
      <c r="K265" s="2">
        <f t="shared" si="9"/>
        <v>46143</v>
      </c>
      <c r="L265" s="1" t="str">
        <f>TEXT(J265,"ddd")</f>
        <v>qua</v>
      </c>
      <c r="M265" s="1" t="str">
        <f>TEXT($J265,"mmm")</f>
        <v>mai</v>
      </c>
      <c r="N265">
        <f>YEAR(J265)</f>
        <v>2026</v>
      </c>
      <c r="O265" s="2"/>
      <c r="P265" t="str">
        <f t="shared" si="8"/>
        <v>218046162</v>
      </c>
    </row>
    <row r="266" spans="1:16" x14ac:dyDescent="0.3">
      <c r="A266">
        <v>2180</v>
      </c>
      <c r="B266">
        <v>23</v>
      </c>
      <c r="C266" t="s">
        <v>26</v>
      </c>
      <c r="D266" t="s">
        <v>29</v>
      </c>
      <c r="E266" t="s">
        <v>17</v>
      </c>
      <c r="F266" t="s">
        <v>21</v>
      </c>
      <c r="G266" t="s">
        <v>41</v>
      </c>
      <c r="H266" t="s">
        <v>25</v>
      </c>
      <c r="I266" s="1">
        <v>2</v>
      </c>
      <c r="J266" s="2">
        <v>46123</v>
      </c>
      <c r="K266" s="2">
        <f t="shared" si="9"/>
        <v>46113</v>
      </c>
      <c r="L266" s="1" t="s">
        <v>50</v>
      </c>
      <c r="M266" s="1" t="s">
        <v>49</v>
      </c>
      <c r="N266">
        <v>2025</v>
      </c>
      <c r="O266" s="2"/>
      <c r="P266" t="str">
        <f t="shared" si="8"/>
        <v>218046123</v>
      </c>
    </row>
    <row r="267" spans="1:16" x14ac:dyDescent="0.3">
      <c r="A267">
        <v>2181</v>
      </c>
      <c r="B267">
        <v>24</v>
      </c>
      <c r="C267" t="s">
        <v>26</v>
      </c>
      <c r="D267" t="s">
        <v>16</v>
      </c>
      <c r="E267" t="s">
        <v>17</v>
      </c>
      <c r="F267" t="s">
        <v>23</v>
      </c>
      <c r="G267" t="s">
        <v>41</v>
      </c>
      <c r="H267" t="s">
        <v>25</v>
      </c>
      <c r="I267" s="1">
        <v>3</v>
      </c>
      <c r="J267" s="2">
        <v>46145</v>
      </c>
      <c r="K267" s="2">
        <f t="shared" si="9"/>
        <v>46143</v>
      </c>
      <c r="L267" s="1" t="str">
        <f>TEXT(J267,"ddd")</f>
        <v>dom</v>
      </c>
      <c r="M267" s="1" t="str">
        <f>TEXT($J267,"mmm")</f>
        <v>mai</v>
      </c>
      <c r="N267">
        <f>YEAR(J267)</f>
        <v>2026</v>
      </c>
      <c r="O267" s="2"/>
      <c r="P267" t="str">
        <f t="shared" si="8"/>
        <v>218146145</v>
      </c>
    </row>
    <row r="268" spans="1:16" x14ac:dyDescent="0.3">
      <c r="A268">
        <v>2181</v>
      </c>
      <c r="B268">
        <v>24</v>
      </c>
      <c r="C268" t="s">
        <v>26</v>
      </c>
      <c r="D268" t="s">
        <v>16</v>
      </c>
      <c r="E268" t="s">
        <v>17</v>
      </c>
      <c r="F268" t="s">
        <v>23</v>
      </c>
      <c r="G268" t="s">
        <v>41</v>
      </c>
      <c r="H268" t="s">
        <v>25</v>
      </c>
      <c r="I268" s="1">
        <v>3</v>
      </c>
      <c r="J268" s="2">
        <v>46170</v>
      </c>
      <c r="K268" s="2">
        <f t="shared" si="9"/>
        <v>46143</v>
      </c>
      <c r="L268" s="1" t="str">
        <f>TEXT(J268,"ddd")</f>
        <v>qui</v>
      </c>
      <c r="M268" s="1" t="str">
        <f>TEXT($J268,"mmm")</f>
        <v>mai</v>
      </c>
      <c r="N268">
        <f>YEAR(J268)</f>
        <v>2026</v>
      </c>
      <c r="O268" s="2"/>
      <c r="P268" t="str">
        <f t="shared" si="8"/>
        <v>218146170</v>
      </c>
    </row>
    <row r="269" spans="1:16" x14ac:dyDescent="0.3">
      <c r="A269">
        <v>2181</v>
      </c>
      <c r="B269">
        <v>24</v>
      </c>
      <c r="C269" t="s">
        <v>26</v>
      </c>
      <c r="D269" t="s">
        <v>16</v>
      </c>
      <c r="E269" t="s">
        <v>17</v>
      </c>
      <c r="F269" t="s">
        <v>23</v>
      </c>
      <c r="G269" t="s">
        <v>41</v>
      </c>
      <c r="H269" t="s">
        <v>25</v>
      </c>
      <c r="I269" s="1">
        <v>3</v>
      </c>
      <c r="J269" s="2">
        <v>46140</v>
      </c>
      <c r="K269" s="2">
        <f t="shared" si="9"/>
        <v>46113</v>
      </c>
      <c r="L269" s="1" t="s">
        <v>54</v>
      </c>
      <c r="M269" s="1" t="s">
        <v>49</v>
      </c>
      <c r="N269">
        <v>2025</v>
      </c>
      <c r="O269" s="2"/>
      <c r="P269" t="str">
        <f t="shared" si="8"/>
        <v>218146140</v>
      </c>
    </row>
    <row r="270" spans="1:16" x14ac:dyDescent="0.3">
      <c r="A270">
        <v>2181</v>
      </c>
      <c r="B270">
        <v>24</v>
      </c>
      <c r="C270" t="s">
        <v>26</v>
      </c>
      <c r="D270" t="s">
        <v>16</v>
      </c>
      <c r="E270" t="s">
        <v>17</v>
      </c>
      <c r="F270" t="s">
        <v>23</v>
      </c>
      <c r="G270" t="s">
        <v>41</v>
      </c>
      <c r="H270" t="s">
        <v>25</v>
      </c>
      <c r="I270" s="1">
        <v>3</v>
      </c>
      <c r="J270" s="2">
        <v>46166</v>
      </c>
      <c r="K270" s="2">
        <f t="shared" si="9"/>
        <v>46143</v>
      </c>
      <c r="L270" s="1" t="s">
        <v>54</v>
      </c>
      <c r="M270" s="1" t="s">
        <v>49</v>
      </c>
      <c r="N270">
        <v>2025</v>
      </c>
      <c r="O270" s="2"/>
      <c r="P270" t="str">
        <f t="shared" si="8"/>
        <v>218146166</v>
      </c>
    </row>
    <row r="271" spans="1:16" x14ac:dyDescent="0.3">
      <c r="A271">
        <v>2183</v>
      </c>
      <c r="B271">
        <v>28</v>
      </c>
      <c r="C271" t="s">
        <v>26</v>
      </c>
      <c r="D271" t="s">
        <v>31</v>
      </c>
      <c r="E271" t="s">
        <v>34</v>
      </c>
      <c r="F271" t="s">
        <v>23</v>
      </c>
      <c r="G271" t="s">
        <v>41</v>
      </c>
      <c r="H271" t="s">
        <v>25</v>
      </c>
      <c r="I271" s="1">
        <v>1</v>
      </c>
      <c r="J271" s="2">
        <v>46123</v>
      </c>
      <c r="K271" s="2">
        <f t="shared" si="9"/>
        <v>46113</v>
      </c>
      <c r="L271" s="1" t="str">
        <f>TEXT(J271,"ddd")</f>
        <v>sáb</v>
      </c>
      <c r="M271" s="1" t="str">
        <f>TEXT($J271,"mmm")</f>
        <v>abr</v>
      </c>
      <c r="N271">
        <f>YEAR(J271)</f>
        <v>2026</v>
      </c>
      <c r="O271" s="2"/>
      <c r="P271" t="str">
        <f t="shared" si="8"/>
        <v>218346123</v>
      </c>
    </row>
    <row r="272" spans="1:16" x14ac:dyDescent="0.3">
      <c r="A272">
        <v>2183</v>
      </c>
      <c r="B272">
        <v>28</v>
      </c>
      <c r="C272" t="s">
        <v>26</v>
      </c>
      <c r="D272" t="s">
        <v>31</v>
      </c>
      <c r="E272" t="s">
        <v>34</v>
      </c>
      <c r="F272" t="s">
        <v>23</v>
      </c>
      <c r="G272" t="s">
        <v>41</v>
      </c>
      <c r="H272" t="s">
        <v>25</v>
      </c>
      <c r="I272" s="1">
        <v>1</v>
      </c>
      <c r="J272" s="2">
        <v>46160</v>
      </c>
      <c r="K272" s="2">
        <f t="shared" si="9"/>
        <v>46143</v>
      </c>
      <c r="L272" s="1" t="str">
        <f>TEXT(J272,"ddd")</f>
        <v>seg</v>
      </c>
      <c r="M272" s="1" t="str">
        <f>TEXT($J272,"mmm")</f>
        <v>mai</v>
      </c>
      <c r="N272">
        <f>YEAR(J272)</f>
        <v>2026</v>
      </c>
      <c r="O272" s="2"/>
      <c r="P272" t="str">
        <f t="shared" si="8"/>
        <v>218346160</v>
      </c>
    </row>
    <row r="273" spans="1:16" x14ac:dyDescent="0.3">
      <c r="A273">
        <v>2183</v>
      </c>
      <c r="B273">
        <v>28</v>
      </c>
      <c r="C273" t="s">
        <v>26</v>
      </c>
      <c r="D273" t="s">
        <v>31</v>
      </c>
      <c r="E273" t="s">
        <v>34</v>
      </c>
      <c r="F273" t="s">
        <v>23</v>
      </c>
      <c r="G273" t="s">
        <v>41</v>
      </c>
      <c r="H273" t="s">
        <v>25</v>
      </c>
      <c r="I273" s="1">
        <v>1</v>
      </c>
      <c r="J273" s="2">
        <v>46128</v>
      </c>
      <c r="K273" s="2">
        <f t="shared" si="9"/>
        <v>46113</v>
      </c>
      <c r="L273" s="1" t="s">
        <v>51</v>
      </c>
      <c r="M273" s="1" t="s">
        <v>48</v>
      </c>
      <c r="N273">
        <v>2025</v>
      </c>
      <c r="O273" s="2"/>
      <c r="P273" t="str">
        <f t="shared" si="8"/>
        <v>218346128</v>
      </c>
    </row>
    <row r="274" spans="1:16" x14ac:dyDescent="0.3">
      <c r="A274">
        <v>2183</v>
      </c>
      <c r="B274">
        <v>28</v>
      </c>
      <c r="C274" t="s">
        <v>26</v>
      </c>
      <c r="D274" t="s">
        <v>31</v>
      </c>
      <c r="E274" t="s">
        <v>34</v>
      </c>
      <c r="F274" t="s">
        <v>23</v>
      </c>
      <c r="G274" t="s">
        <v>41</v>
      </c>
      <c r="H274" t="s">
        <v>25</v>
      </c>
      <c r="I274" s="1">
        <v>1</v>
      </c>
      <c r="J274" s="2">
        <v>46162</v>
      </c>
      <c r="K274" s="2">
        <f t="shared" si="9"/>
        <v>46143</v>
      </c>
      <c r="L274" s="1" t="s">
        <v>50</v>
      </c>
      <c r="M274" s="1" t="s">
        <v>49</v>
      </c>
      <c r="N274">
        <v>2025</v>
      </c>
      <c r="O274" s="2"/>
      <c r="P274" t="str">
        <f t="shared" si="8"/>
        <v>218346162</v>
      </c>
    </row>
    <row r="275" spans="1:16" x14ac:dyDescent="0.3">
      <c r="A275">
        <v>2184</v>
      </c>
      <c r="B275">
        <v>42</v>
      </c>
      <c r="C275" t="s">
        <v>26</v>
      </c>
      <c r="D275" t="s">
        <v>16</v>
      </c>
      <c r="E275" t="s">
        <v>17</v>
      </c>
      <c r="F275" t="s">
        <v>23</v>
      </c>
      <c r="G275" t="s">
        <v>41</v>
      </c>
      <c r="H275" t="s">
        <v>25</v>
      </c>
      <c r="I275" s="1">
        <v>2</v>
      </c>
      <c r="J275" s="2">
        <v>46123</v>
      </c>
      <c r="K275" s="2">
        <f t="shared" si="9"/>
        <v>46113</v>
      </c>
      <c r="L275" s="1" t="str">
        <f>TEXT(J275,"ddd")</f>
        <v>sáb</v>
      </c>
      <c r="M275" s="1" t="str">
        <f>TEXT($J275,"mmm")</f>
        <v>abr</v>
      </c>
      <c r="N275">
        <f>YEAR(J275)</f>
        <v>2026</v>
      </c>
      <c r="O275" s="2"/>
      <c r="P275" t="str">
        <f t="shared" si="8"/>
        <v>218446123</v>
      </c>
    </row>
    <row r="276" spans="1:16" x14ac:dyDescent="0.3">
      <c r="A276">
        <v>2184</v>
      </c>
      <c r="B276">
        <v>42</v>
      </c>
      <c r="C276" t="s">
        <v>26</v>
      </c>
      <c r="D276" t="s">
        <v>16</v>
      </c>
      <c r="E276" t="s">
        <v>17</v>
      </c>
      <c r="F276" t="s">
        <v>23</v>
      </c>
      <c r="G276" t="s">
        <v>41</v>
      </c>
      <c r="H276" t="s">
        <v>25</v>
      </c>
      <c r="I276" s="1">
        <v>2</v>
      </c>
      <c r="J276" s="2">
        <v>46173</v>
      </c>
      <c r="K276" s="2">
        <f t="shared" si="9"/>
        <v>46143</v>
      </c>
      <c r="L276" s="1" t="s">
        <v>54</v>
      </c>
      <c r="M276" s="1" t="s">
        <v>49</v>
      </c>
      <c r="N276">
        <v>2025</v>
      </c>
      <c r="O276" s="2"/>
      <c r="P276" t="str">
        <f t="shared" si="8"/>
        <v>218446173</v>
      </c>
    </row>
    <row r="277" spans="1:16" x14ac:dyDescent="0.3">
      <c r="A277">
        <v>2186</v>
      </c>
      <c r="B277">
        <v>33</v>
      </c>
      <c r="C277" t="s">
        <v>26</v>
      </c>
      <c r="D277" t="s">
        <v>16</v>
      </c>
      <c r="E277" t="s">
        <v>17</v>
      </c>
      <c r="F277" t="s">
        <v>18</v>
      </c>
      <c r="G277" t="s">
        <v>41</v>
      </c>
      <c r="H277" t="s">
        <v>25</v>
      </c>
      <c r="I277" s="1">
        <v>3</v>
      </c>
      <c r="J277" s="2">
        <v>46158</v>
      </c>
      <c r="K277" s="2">
        <f t="shared" si="9"/>
        <v>46143</v>
      </c>
      <c r="L277" s="1" t="str">
        <f>TEXT(J277,"ddd")</f>
        <v>sáb</v>
      </c>
      <c r="M277" s="1" t="str">
        <f>TEXT($J277,"mmm")</f>
        <v>mai</v>
      </c>
      <c r="N277">
        <f>YEAR(J277)</f>
        <v>2026</v>
      </c>
      <c r="O277" s="2"/>
      <c r="P277" t="str">
        <f t="shared" si="8"/>
        <v>218646158</v>
      </c>
    </row>
    <row r="278" spans="1:16" x14ac:dyDescent="0.3">
      <c r="A278">
        <v>2186</v>
      </c>
      <c r="B278">
        <v>33</v>
      </c>
      <c r="C278" t="s">
        <v>26</v>
      </c>
      <c r="D278" t="s">
        <v>16</v>
      </c>
      <c r="E278" t="s">
        <v>17</v>
      </c>
      <c r="F278" t="s">
        <v>18</v>
      </c>
      <c r="G278" t="s">
        <v>41</v>
      </c>
      <c r="H278" t="s">
        <v>25</v>
      </c>
      <c r="I278" s="1">
        <v>3</v>
      </c>
      <c r="J278" s="2">
        <v>46173</v>
      </c>
      <c r="K278" s="2">
        <f t="shared" si="9"/>
        <v>46143</v>
      </c>
      <c r="L278" s="1" t="s">
        <v>54</v>
      </c>
      <c r="M278" s="1" t="s">
        <v>49</v>
      </c>
      <c r="N278">
        <v>2025</v>
      </c>
      <c r="O278" s="2"/>
      <c r="P278" t="str">
        <f t="shared" si="8"/>
        <v>218646173</v>
      </c>
    </row>
    <row r="279" spans="1:16" x14ac:dyDescent="0.3">
      <c r="A279">
        <v>2194</v>
      </c>
      <c r="B279">
        <v>51</v>
      </c>
      <c r="C279" t="s">
        <v>15</v>
      </c>
      <c r="D279" t="s">
        <v>16</v>
      </c>
      <c r="E279" t="s">
        <v>17</v>
      </c>
      <c r="F279" t="s">
        <v>23</v>
      </c>
      <c r="G279" t="s">
        <v>41</v>
      </c>
      <c r="H279" t="s">
        <v>25</v>
      </c>
      <c r="I279" s="1">
        <v>2</v>
      </c>
      <c r="J279" s="2">
        <v>46154</v>
      </c>
      <c r="K279" s="2">
        <f t="shared" si="9"/>
        <v>46143</v>
      </c>
      <c r="L279" s="1" t="str">
        <f>TEXT(J279,"ddd")</f>
        <v>ter</v>
      </c>
      <c r="M279" s="1" t="str">
        <f>TEXT($J279,"mmm")</f>
        <v>mai</v>
      </c>
      <c r="N279">
        <f>YEAR(J279)</f>
        <v>2026</v>
      </c>
      <c r="O279" s="2"/>
      <c r="P279" t="str">
        <f t="shared" si="8"/>
        <v>219446154</v>
      </c>
    </row>
    <row r="280" spans="1:16" x14ac:dyDescent="0.3">
      <c r="A280">
        <v>2194</v>
      </c>
      <c r="B280">
        <v>51</v>
      </c>
      <c r="C280" t="s">
        <v>15</v>
      </c>
      <c r="D280" t="s">
        <v>16</v>
      </c>
      <c r="E280" t="s">
        <v>17</v>
      </c>
      <c r="F280" t="s">
        <v>23</v>
      </c>
      <c r="G280" t="s">
        <v>41</v>
      </c>
      <c r="H280" t="s">
        <v>25</v>
      </c>
      <c r="I280" s="1">
        <v>2</v>
      </c>
      <c r="J280" s="2">
        <v>46158</v>
      </c>
      <c r="K280" s="2">
        <f t="shared" si="9"/>
        <v>46143</v>
      </c>
      <c r="L280" s="1" t="s">
        <v>56</v>
      </c>
      <c r="M280" s="1" t="s">
        <v>49</v>
      </c>
      <c r="N280">
        <v>2025</v>
      </c>
      <c r="O280" s="2"/>
      <c r="P280" t="str">
        <f t="shared" si="8"/>
        <v>219446158</v>
      </c>
    </row>
    <row r="281" spans="1:16" x14ac:dyDescent="0.3">
      <c r="A281">
        <v>1932</v>
      </c>
      <c r="B281">
        <v>33</v>
      </c>
      <c r="C281" t="s">
        <v>26</v>
      </c>
      <c r="D281" t="s">
        <v>16</v>
      </c>
      <c r="E281" t="s">
        <v>17</v>
      </c>
      <c r="F281" t="s">
        <v>21</v>
      </c>
      <c r="G281" t="s">
        <v>41</v>
      </c>
      <c r="H281" t="s">
        <v>25</v>
      </c>
      <c r="I281" s="1">
        <v>2</v>
      </c>
      <c r="J281" s="2">
        <v>46141</v>
      </c>
      <c r="K281" s="2">
        <f t="shared" si="9"/>
        <v>46113</v>
      </c>
      <c r="L281" s="1" t="str">
        <f>TEXT(J281,"ddd")</f>
        <v>qua</v>
      </c>
      <c r="M281" s="1" t="str">
        <f>TEXT($J281,"mmm")</f>
        <v>abr</v>
      </c>
      <c r="N281">
        <f>YEAR(J281)</f>
        <v>2026</v>
      </c>
      <c r="O281" s="2"/>
      <c r="P281" t="str">
        <f t="shared" si="8"/>
        <v>193246141</v>
      </c>
    </row>
    <row r="282" spans="1:16" x14ac:dyDescent="0.3">
      <c r="A282">
        <v>1932</v>
      </c>
      <c r="B282">
        <v>33</v>
      </c>
      <c r="C282" t="s">
        <v>26</v>
      </c>
      <c r="D282" t="s">
        <v>16</v>
      </c>
      <c r="E282" t="s">
        <v>17</v>
      </c>
      <c r="F282" t="s">
        <v>21</v>
      </c>
      <c r="G282" t="s">
        <v>41</v>
      </c>
      <c r="H282" t="s">
        <v>25</v>
      </c>
      <c r="I282" s="1">
        <v>2</v>
      </c>
      <c r="J282" s="2">
        <v>46156</v>
      </c>
      <c r="K282" s="2">
        <f t="shared" si="9"/>
        <v>46143</v>
      </c>
      <c r="L282" s="1" t="s">
        <v>51</v>
      </c>
      <c r="M282" s="1" t="s">
        <v>49</v>
      </c>
      <c r="N282">
        <v>2025</v>
      </c>
      <c r="O282" s="2"/>
      <c r="P282" t="str">
        <f t="shared" si="8"/>
        <v>193246156</v>
      </c>
    </row>
    <row r="283" spans="1:16" x14ac:dyDescent="0.3">
      <c r="A283">
        <v>1937</v>
      </c>
      <c r="B283">
        <v>53</v>
      </c>
      <c r="C283" t="s">
        <v>15</v>
      </c>
      <c r="D283" t="s">
        <v>16</v>
      </c>
      <c r="E283" t="s">
        <v>17</v>
      </c>
      <c r="F283" t="s">
        <v>21</v>
      </c>
      <c r="G283" t="s">
        <v>41</v>
      </c>
      <c r="H283" t="s">
        <v>25</v>
      </c>
      <c r="I283" s="1">
        <v>1</v>
      </c>
      <c r="J283" s="2">
        <v>46134</v>
      </c>
      <c r="K283" s="2">
        <f t="shared" si="9"/>
        <v>46113</v>
      </c>
      <c r="L283" s="1" t="str">
        <f>TEXT(J283,"ddd")</f>
        <v>qua</v>
      </c>
      <c r="M283" s="1" t="str">
        <f>TEXT($J283,"mmm")</f>
        <v>abr</v>
      </c>
      <c r="N283">
        <f>YEAR(J283)</f>
        <v>2026</v>
      </c>
      <c r="O283" s="2"/>
      <c r="P283" t="str">
        <f t="shared" si="8"/>
        <v>193746134</v>
      </c>
    </row>
    <row r="284" spans="1:16" x14ac:dyDescent="0.3">
      <c r="A284">
        <v>1937</v>
      </c>
      <c r="B284">
        <v>53</v>
      </c>
      <c r="C284" t="s">
        <v>15</v>
      </c>
      <c r="D284" t="s">
        <v>16</v>
      </c>
      <c r="E284" t="s">
        <v>17</v>
      </c>
      <c r="F284" t="s">
        <v>21</v>
      </c>
      <c r="G284" t="s">
        <v>41</v>
      </c>
      <c r="H284" t="s">
        <v>25</v>
      </c>
      <c r="I284" s="1">
        <v>1</v>
      </c>
      <c r="J284" s="2">
        <v>46119</v>
      </c>
      <c r="K284" s="2">
        <f t="shared" si="9"/>
        <v>46113</v>
      </c>
      <c r="L284" s="1" t="s">
        <v>50</v>
      </c>
      <c r="M284" s="1" t="s">
        <v>48</v>
      </c>
      <c r="N284">
        <v>2025</v>
      </c>
      <c r="O284" s="2"/>
      <c r="P284" t="str">
        <f t="shared" si="8"/>
        <v>193746119</v>
      </c>
    </row>
    <row r="285" spans="1:16" x14ac:dyDescent="0.3">
      <c r="A285">
        <v>1938</v>
      </c>
      <c r="B285">
        <v>45</v>
      </c>
      <c r="C285" t="s">
        <v>26</v>
      </c>
      <c r="D285" t="s">
        <v>29</v>
      </c>
      <c r="E285" t="s">
        <v>17</v>
      </c>
      <c r="F285" t="s">
        <v>18</v>
      </c>
      <c r="G285" t="s">
        <v>41</v>
      </c>
      <c r="H285" t="s">
        <v>25</v>
      </c>
      <c r="I285" s="1">
        <v>3</v>
      </c>
      <c r="J285" s="2">
        <v>46124</v>
      </c>
      <c r="K285" s="2">
        <f t="shared" si="9"/>
        <v>46113</v>
      </c>
      <c r="L285" s="1" t="str">
        <f>TEXT(J285,"ddd")</f>
        <v>dom</v>
      </c>
      <c r="M285" s="1" t="str">
        <f>TEXT($J285,"mmm")</f>
        <v>abr</v>
      </c>
      <c r="N285">
        <f>YEAR(J285)</f>
        <v>2026</v>
      </c>
      <c r="O285" s="2"/>
      <c r="P285" t="str">
        <f t="shared" si="8"/>
        <v>193846124</v>
      </c>
    </row>
    <row r="286" spans="1:16" x14ac:dyDescent="0.3">
      <c r="A286">
        <v>1938</v>
      </c>
      <c r="B286">
        <v>45</v>
      </c>
      <c r="C286" t="s">
        <v>26</v>
      </c>
      <c r="D286" t="s">
        <v>29</v>
      </c>
      <c r="E286" t="s">
        <v>17</v>
      </c>
      <c r="F286" t="s">
        <v>18</v>
      </c>
      <c r="G286" t="s">
        <v>41</v>
      </c>
      <c r="H286" t="s">
        <v>25</v>
      </c>
      <c r="I286" s="1">
        <v>3</v>
      </c>
      <c r="J286" s="2">
        <v>46126</v>
      </c>
      <c r="K286" s="2">
        <f t="shared" si="9"/>
        <v>46113</v>
      </c>
      <c r="L286" s="1" t="s">
        <v>56</v>
      </c>
      <c r="M286" s="1" t="s">
        <v>48</v>
      </c>
      <c r="N286">
        <v>2025</v>
      </c>
      <c r="O286" s="2"/>
      <c r="P286" t="str">
        <f t="shared" si="8"/>
        <v>193846126</v>
      </c>
    </row>
    <row r="287" spans="1:16" x14ac:dyDescent="0.3">
      <c r="A287">
        <v>1945</v>
      </c>
      <c r="B287">
        <v>31</v>
      </c>
      <c r="C287" t="s">
        <v>26</v>
      </c>
      <c r="D287" t="s">
        <v>29</v>
      </c>
      <c r="E287" t="s">
        <v>17</v>
      </c>
      <c r="F287" t="s">
        <v>21</v>
      </c>
      <c r="G287" t="s">
        <v>41</v>
      </c>
      <c r="H287" t="s">
        <v>25</v>
      </c>
      <c r="I287" s="1">
        <v>2</v>
      </c>
      <c r="J287" s="2">
        <v>46158</v>
      </c>
      <c r="K287" s="2">
        <f t="shared" si="9"/>
        <v>46143</v>
      </c>
      <c r="L287" s="1" t="str">
        <f>TEXT(J287,"ddd")</f>
        <v>sáb</v>
      </c>
      <c r="M287" s="1" t="str">
        <f>TEXT($J287,"mmm")</f>
        <v>mai</v>
      </c>
      <c r="N287">
        <f>YEAR(J287)</f>
        <v>2026</v>
      </c>
      <c r="O287" s="2"/>
      <c r="P287" t="str">
        <f t="shared" si="8"/>
        <v>194546158</v>
      </c>
    </row>
    <row r="288" spans="1:16" x14ac:dyDescent="0.3">
      <c r="A288">
        <v>1945</v>
      </c>
      <c r="B288">
        <v>31</v>
      </c>
      <c r="C288" t="s">
        <v>26</v>
      </c>
      <c r="D288" t="s">
        <v>29</v>
      </c>
      <c r="E288" t="s">
        <v>17</v>
      </c>
      <c r="F288" t="s">
        <v>21</v>
      </c>
      <c r="G288" t="s">
        <v>41</v>
      </c>
      <c r="H288" t="s">
        <v>25</v>
      </c>
      <c r="I288" s="1">
        <v>2</v>
      </c>
      <c r="J288" s="2">
        <v>46119</v>
      </c>
      <c r="K288" s="2">
        <f t="shared" si="9"/>
        <v>46113</v>
      </c>
      <c r="L288" s="1" t="s">
        <v>53</v>
      </c>
      <c r="M288" s="1" t="s">
        <v>49</v>
      </c>
      <c r="N288">
        <v>2025</v>
      </c>
      <c r="O288" s="2"/>
      <c r="P288" t="str">
        <f t="shared" si="8"/>
        <v>194546119</v>
      </c>
    </row>
    <row r="289" spans="1:16" x14ac:dyDescent="0.3">
      <c r="A289">
        <v>1947</v>
      </c>
      <c r="B289">
        <v>26</v>
      </c>
      <c r="C289" t="s">
        <v>15</v>
      </c>
      <c r="D289" t="s">
        <v>31</v>
      </c>
      <c r="E289" t="s">
        <v>32</v>
      </c>
      <c r="F289" t="s">
        <v>23</v>
      </c>
      <c r="G289" t="s">
        <v>41</v>
      </c>
      <c r="H289" t="s">
        <v>25</v>
      </c>
      <c r="I289" s="1">
        <v>2</v>
      </c>
      <c r="J289" s="2">
        <v>46145</v>
      </c>
      <c r="K289" s="2">
        <f t="shared" si="9"/>
        <v>46143</v>
      </c>
      <c r="L289" s="1" t="str">
        <f>TEXT(J289,"ddd")</f>
        <v>dom</v>
      </c>
      <c r="M289" s="1" t="str">
        <f>TEXT($J289,"mmm")</f>
        <v>mai</v>
      </c>
      <c r="N289">
        <f>YEAR(J289)</f>
        <v>2026</v>
      </c>
      <c r="O289" s="2"/>
      <c r="P289" t="str">
        <f t="shared" si="8"/>
        <v>194746145</v>
      </c>
    </row>
    <row r="290" spans="1:16" x14ac:dyDescent="0.3">
      <c r="A290">
        <v>1947</v>
      </c>
      <c r="B290">
        <v>26</v>
      </c>
      <c r="C290" t="s">
        <v>15</v>
      </c>
      <c r="D290" t="s">
        <v>31</v>
      </c>
      <c r="E290" t="s">
        <v>32</v>
      </c>
      <c r="F290" t="s">
        <v>23</v>
      </c>
      <c r="G290" t="s">
        <v>41</v>
      </c>
      <c r="H290" t="s">
        <v>25</v>
      </c>
      <c r="I290" s="1">
        <v>2</v>
      </c>
      <c r="J290" s="2">
        <v>46119</v>
      </c>
      <c r="K290" s="2">
        <f t="shared" si="9"/>
        <v>46113</v>
      </c>
      <c r="L290" s="1" t="str">
        <f>TEXT(J290,"ddd")</f>
        <v>ter</v>
      </c>
      <c r="M290" s="1" t="str">
        <f>TEXT($J290,"mmm")</f>
        <v>abr</v>
      </c>
      <c r="N290">
        <f>YEAR(J290)</f>
        <v>2026</v>
      </c>
      <c r="O290" s="2"/>
      <c r="P290" t="str">
        <f t="shared" si="8"/>
        <v>194746119</v>
      </c>
    </row>
    <row r="291" spans="1:16" x14ac:dyDescent="0.3">
      <c r="A291">
        <v>1947</v>
      </c>
      <c r="B291">
        <v>26</v>
      </c>
      <c r="C291" t="s">
        <v>15</v>
      </c>
      <c r="D291" t="s">
        <v>31</v>
      </c>
      <c r="E291" t="s">
        <v>32</v>
      </c>
      <c r="F291" t="s">
        <v>23</v>
      </c>
      <c r="G291" t="s">
        <v>41</v>
      </c>
      <c r="H291" t="s">
        <v>25</v>
      </c>
      <c r="I291" s="1">
        <v>2</v>
      </c>
      <c r="J291" s="2">
        <v>46126</v>
      </c>
      <c r="K291" s="2">
        <f t="shared" si="9"/>
        <v>46113</v>
      </c>
      <c r="L291" s="1" t="s">
        <v>54</v>
      </c>
      <c r="M291" s="1" t="s">
        <v>49</v>
      </c>
      <c r="N291">
        <v>2025</v>
      </c>
      <c r="O291" s="2"/>
      <c r="P291" t="str">
        <f t="shared" si="8"/>
        <v>194746126</v>
      </c>
    </row>
    <row r="292" spans="1:16" x14ac:dyDescent="0.3">
      <c r="A292">
        <v>1947</v>
      </c>
      <c r="B292">
        <v>26</v>
      </c>
      <c r="C292" t="s">
        <v>15</v>
      </c>
      <c r="D292" t="s">
        <v>31</v>
      </c>
      <c r="E292" t="s">
        <v>32</v>
      </c>
      <c r="F292" t="s">
        <v>23</v>
      </c>
      <c r="G292" t="s">
        <v>41</v>
      </c>
      <c r="H292" t="s">
        <v>25</v>
      </c>
      <c r="I292" s="1">
        <v>2</v>
      </c>
      <c r="J292" s="2">
        <v>46169</v>
      </c>
      <c r="K292" s="2">
        <f t="shared" si="9"/>
        <v>46143</v>
      </c>
      <c r="L292" s="1" t="s">
        <v>50</v>
      </c>
      <c r="M292" s="1" t="s">
        <v>49</v>
      </c>
      <c r="N292">
        <v>2025</v>
      </c>
      <c r="O292" s="2"/>
      <c r="P292" t="str">
        <f t="shared" si="8"/>
        <v>194746169</v>
      </c>
    </row>
    <row r="293" spans="1:16" x14ac:dyDescent="0.3">
      <c r="A293">
        <v>1949</v>
      </c>
      <c r="B293">
        <v>40</v>
      </c>
      <c r="C293" t="s">
        <v>15</v>
      </c>
      <c r="D293" t="s">
        <v>27</v>
      </c>
      <c r="E293" t="s">
        <v>17</v>
      </c>
      <c r="F293" t="s">
        <v>21</v>
      </c>
      <c r="G293" t="s">
        <v>41</v>
      </c>
      <c r="H293" t="s">
        <v>25</v>
      </c>
      <c r="I293" s="1">
        <v>1</v>
      </c>
      <c r="J293" s="2">
        <v>46163</v>
      </c>
      <c r="K293" s="2">
        <f t="shared" si="9"/>
        <v>46143</v>
      </c>
      <c r="L293" s="1" t="str">
        <f>TEXT(J293,"ddd")</f>
        <v>qui</v>
      </c>
      <c r="M293" s="1" t="str">
        <f>TEXT($J293,"mmm")</f>
        <v>mai</v>
      </c>
      <c r="N293">
        <f>YEAR(J293)</f>
        <v>2026</v>
      </c>
      <c r="O293" s="2"/>
      <c r="P293" t="str">
        <f t="shared" si="8"/>
        <v>194946163</v>
      </c>
    </row>
    <row r="294" spans="1:16" x14ac:dyDescent="0.3">
      <c r="A294">
        <v>1949</v>
      </c>
      <c r="B294">
        <v>40</v>
      </c>
      <c r="C294" t="s">
        <v>15</v>
      </c>
      <c r="D294" t="s">
        <v>27</v>
      </c>
      <c r="E294" t="s">
        <v>17</v>
      </c>
      <c r="F294" t="s">
        <v>21</v>
      </c>
      <c r="G294" t="s">
        <v>41</v>
      </c>
      <c r="H294" t="s">
        <v>25</v>
      </c>
      <c r="I294" s="1">
        <v>1</v>
      </c>
      <c r="J294" s="2">
        <v>46119</v>
      </c>
      <c r="K294" s="2">
        <f t="shared" si="9"/>
        <v>46113</v>
      </c>
      <c r="L294" s="1" t="s">
        <v>51</v>
      </c>
      <c r="M294" s="1" t="s">
        <v>49</v>
      </c>
      <c r="N294">
        <v>2025</v>
      </c>
      <c r="O294" s="2"/>
      <c r="P294" t="str">
        <f t="shared" si="8"/>
        <v>194946119</v>
      </c>
    </row>
    <row r="295" spans="1:16" x14ac:dyDescent="0.3">
      <c r="A295">
        <v>1951</v>
      </c>
      <c r="B295">
        <v>24</v>
      </c>
      <c r="C295" t="s">
        <v>15</v>
      </c>
      <c r="D295" t="s">
        <v>31</v>
      </c>
      <c r="E295" t="s">
        <v>34</v>
      </c>
      <c r="F295" t="s">
        <v>18</v>
      </c>
      <c r="G295" t="s">
        <v>41</v>
      </c>
      <c r="H295" t="s">
        <v>25</v>
      </c>
      <c r="I295" s="1">
        <v>1</v>
      </c>
      <c r="J295" s="2">
        <v>46170</v>
      </c>
      <c r="K295" s="2">
        <f t="shared" si="9"/>
        <v>46143</v>
      </c>
      <c r="L295" s="1" t="str">
        <f>TEXT(J295,"ddd")</f>
        <v>qui</v>
      </c>
      <c r="M295" s="1" t="str">
        <f>TEXT($J295,"mmm")</f>
        <v>mai</v>
      </c>
      <c r="N295">
        <f>YEAR(J295)</f>
        <v>2026</v>
      </c>
      <c r="O295" s="2"/>
      <c r="P295" t="str">
        <f t="shared" si="8"/>
        <v>195146170</v>
      </c>
    </row>
    <row r="296" spans="1:16" x14ac:dyDescent="0.3">
      <c r="A296">
        <v>1951</v>
      </c>
      <c r="B296">
        <v>24</v>
      </c>
      <c r="C296" t="s">
        <v>15</v>
      </c>
      <c r="D296" t="s">
        <v>31</v>
      </c>
      <c r="E296" t="s">
        <v>34</v>
      </c>
      <c r="F296" t="s">
        <v>18</v>
      </c>
      <c r="G296" t="s">
        <v>41</v>
      </c>
      <c r="H296" t="s">
        <v>25</v>
      </c>
      <c r="I296" s="1">
        <v>1</v>
      </c>
      <c r="J296" s="2">
        <v>46126</v>
      </c>
      <c r="K296" s="2">
        <f t="shared" si="9"/>
        <v>46113</v>
      </c>
      <c r="L296" s="1" t="s">
        <v>51</v>
      </c>
      <c r="M296" s="1" t="s">
        <v>49</v>
      </c>
      <c r="N296">
        <v>2025</v>
      </c>
      <c r="O296" s="2"/>
      <c r="P296" t="str">
        <f t="shared" si="8"/>
        <v>195146126</v>
      </c>
    </row>
    <row r="297" spans="1:16" x14ac:dyDescent="0.3">
      <c r="A297">
        <v>1953</v>
      </c>
      <c r="B297">
        <v>44</v>
      </c>
      <c r="C297" t="s">
        <v>26</v>
      </c>
      <c r="D297" t="s">
        <v>16</v>
      </c>
      <c r="E297" t="s">
        <v>17</v>
      </c>
      <c r="F297" t="s">
        <v>18</v>
      </c>
      <c r="G297" t="s">
        <v>41</v>
      </c>
      <c r="H297" t="s">
        <v>25</v>
      </c>
      <c r="I297" s="1">
        <v>1</v>
      </c>
      <c r="J297" s="2">
        <v>46122</v>
      </c>
      <c r="K297" s="2">
        <f t="shared" si="9"/>
        <v>46113</v>
      </c>
      <c r="L297" s="1" t="str">
        <f>TEXT(J297,"ddd")</f>
        <v>sex</v>
      </c>
      <c r="M297" s="1" t="str">
        <f>TEXT($J297,"mmm")</f>
        <v>abr</v>
      </c>
      <c r="N297">
        <f>YEAR(J297)</f>
        <v>2026</v>
      </c>
      <c r="O297" s="2"/>
      <c r="P297" t="str">
        <f t="shared" si="8"/>
        <v>195346122</v>
      </c>
    </row>
    <row r="298" spans="1:16" x14ac:dyDescent="0.3">
      <c r="A298">
        <v>1953</v>
      </c>
      <c r="B298">
        <v>44</v>
      </c>
      <c r="C298" t="s">
        <v>26</v>
      </c>
      <c r="D298" t="s">
        <v>16</v>
      </c>
      <c r="E298" t="s">
        <v>17</v>
      </c>
      <c r="F298" t="s">
        <v>18</v>
      </c>
      <c r="G298" t="s">
        <v>41</v>
      </c>
      <c r="H298" t="s">
        <v>25</v>
      </c>
      <c r="I298" s="1">
        <v>1</v>
      </c>
      <c r="J298" s="2">
        <v>46152</v>
      </c>
      <c r="K298" s="2">
        <f t="shared" si="9"/>
        <v>46143</v>
      </c>
      <c r="L298" s="1" t="str">
        <f>TEXT(J298,"ddd")</f>
        <v>dom</v>
      </c>
      <c r="M298" s="1" t="str">
        <f>TEXT($J298,"mmm")</f>
        <v>mai</v>
      </c>
      <c r="N298">
        <f>YEAR(J298)</f>
        <v>2026</v>
      </c>
      <c r="O298" s="2"/>
      <c r="P298" t="str">
        <f t="shared" si="8"/>
        <v>195346152</v>
      </c>
    </row>
    <row r="299" spans="1:16" x14ac:dyDescent="0.3">
      <c r="A299">
        <v>1953</v>
      </c>
      <c r="B299">
        <v>44</v>
      </c>
      <c r="C299" t="s">
        <v>26</v>
      </c>
      <c r="D299" t="s">
        <v>16</v>
      </c>
      <c r="E299" t="s">
        <v>17</v>
      </c>
      <c r="F299" t="s">
        <v>18</v>
      </c>
      <c r="G299" t="s">
        <v>41</v>
      </c>
      <c r="H299" t="s">
        <v>25</v>
      </c>
      <c r="I299" s="1">
        <v>1</v>
      </c>
      <c r="J299" s="2">
        <v>46104</v>
      </c>
      <c r="K299" s="2">
        <f t="shared" si="9"/>
        <v>46082</v>
      </c>
      <c r="L299" s="1" t="str">
        <f>TEXT(J299,"ddd")</f>
        <v>seg</v>
      </c>
      <c r="M299" s="1" t="str">
        <f>TEXT($J299,"mmm")</f>
        <v>mar</v>
      </c>
      <c r="N299">
        <f>YEAR(J299)</f>
        <v>2026</v>
      </c>
      <c r="O299" s="2"/>
      <c r="P299" t="str">
        <f t="shared" si="8"/>
        <v>195346104</v>
      </c>
    </row>
    <row r="300" spans="1:16" x14ac:dyDescent="0.3">
      <c r="A300">
        <v>1953</v>
      </c>
      <c r="B300">
        <v>44</v>
      </c>
      <c r="C300" t="s">
        <v>26</v>
      </c>
      <c r="D300" t="s">
        <v>16</v>
      </c>
      <c r="E300" t="s">
        <v>17</v>
      </c>
      <c r="F300" t="s">
        <v>18</v>
      </c>
      <c r="G300" t="s">
        <v>41</v>
      </c>
      <c r="H300" t="s">
        <v>25</v>
      </c>
      <c r="I300" s="1">
        <v>1</v>
      </c>
      <c r="J300" s="2">
        <v>46126</v>
      </c>
      <c r="K300" s="2">
        <f t="shared" si="9"/>
        <v>46113</v>
      </c>
      <c r="L300" s="1" t="s">
        <v>52</v>
      </c>
      <c r="M300" s="1" t="s">
        <v>48</v>
      </c>
      <c r="N300">
        <v>2025</v>
      </c>
      <c r="O300" s="2"/>
      <c r="P300" t="str">
        <f t="shared" si="8"/>
        <v>195346126</v>
      </c>
    </row>
    <row r="301" spans="1:16" x14ac:dyDescent="0.3">
      <c r="A301">
        <v>1953</v>
      </c>
      <c r="B301">
        <v>44</v>
      </c>
      <c r="C301" t="s">
        <v>26</v>
      </c>
      <c r="D301" t="s">
        <v>16</v>
      </c>
      <c r="E301" t="s">
        <v>17</v>
      </c>
      <c r="F301" t="s">
        <v>18</v>
      </c>
      <c r="G301" t="s">
        <v>41</v>
      </c>
      <c r="H301" t="s">
        <v>25</v>
      </c>
      <c r="I301" s="1">
        <v>1</v>
      </c>
      <c r="J301" s="2">
        <v>46119</v>
      </c>
      <c r="K301" s="2">
        <f t="shared" si="9"/>
        <v>46113</v>
      </c>
      <c r="L301" s="1" t="s">
        <v>54</v>
      </c>
      <c r="M301" s="1" t="s">
        <v>49</v>
      </c>
      <c r="N301">
        <v>2025</v>
      </c>
      <c r="O301" s="2"/>
      <c r="P301" t="str">
        <f t="shared" si="8"/>
        <v>195346119</v>
      </c>
    </row>
    <row r="302" spans="1:16" x14ac:dyDescent="0.3">
      <c r="A302">
        <v>1953</v>
      </c>
      <c r="B302">
        <v>44</v>
      </c>
      <c r="C302" t="s">
        <v>26</v>
      </c>
      <c r="D302" t="s">
        <v>16</v>
      </c>
      <c r="E302" t="s">
        <v>17</v>
      </c>
      <c r="F302" t="s">
        <v>18</v>
      </c>
      <c r="G302" t="s">
        <v>41</v>
      </c>
      <c r="H302" t="s">
        <v>25</v>
      </c>
      <c r="I302" s="1">
        <v>1</v>
      </c>
      <c r="J302" s="2">
        <v>46173</v>
      </c>
      <c r="K302" s="2">
        <f t="shared" si="9"/>
        <v>46143</v>
      </c>
      <c r="L302" s="1" t="s">
        <v>54</v>
      </c>
      <c r="M302" s="1" t="s">
        <v>49</v>
      </c>
      <c r="N302">
        <v>2025</v>
      </c>
      <c r="O302" s="2"/>
      <c r="P302" t="str">
        <f t="shared" si="8"/>
        <v>195346173</v>
      </c>
    </row>
    <row r="303" spans="1:16" x14ac:dyDescent="0.3">
      <c r="A303">
        <v>1955</v>
      </c>
      <c r="B303">
        <v>47</v>
      </c>
      <c r="C303" t="s">
        <v>26</v>
      </c>
      <c r="D303" t="s">
        <v>16</v>
      </c>
      <c r="E303" t="s">
        <v>17</v>
      </c>
      <c r="F303" t="s">
        <v>18</v>
      </c>
      <c r="G303" t="s">
        <v>41</v>
      </c>
      <c r="H303" t="s">
        <v>25</v>
      </c>
      <c r="I303" s="1">
        <v>2</v>
      </c>
      <c r="J303" s="2">
        <v>46089</v>
      </c>
      <c r="K303" s="2">
        <f t="shared" si="9"/>
        <v>46082</v>
      </c>
      <c r="L303" s="1" t="str">
        <f>TEXT(J303,"ddd")</f>
        <v>dom</v>
      </c>
      <c r="M303" s="1" t="str">
        <f>TEXT($J303,"mmm")</f>
        <v>mar</v>
      </c>
      <c r="N303">
        <f>YEAR(J303)</f>
        <v>2026</v>
      </c>
      <c r="O303" s="2"/>
      <c r="P303" t="str">
        <f t="shared" si="8"/>
        <v>195546089</v>
      </c>
    </row>
    <row r="304" spans="1:16" x14ac:dyDescent="0.3">
      <c r="A304">
        <v>1955</v>
      </c>
      <c r="B304">
        <v>47</v>
      </c>
      <c r="C304" t="s">
        <v>26</v>
      </c>
      <c r="D304" t="s">
        <v>16</v>
      </c>
      <c r="E304" t="s">
        <v>17</v>
      </c>
      <c r="F304" t="s">
        <v>18</v>
      </c>
      <c r="G304" t="s">
        <v>41</v>
      </c>
      <c r="H304" t="s">
        <v>25</v>
      </c>
      <c r="I304" s="1">
        <v>2</v>
      </c>
      <c r="J304" s="2">
        <v>46119</v>
      </c>
      <c r="K304" s="2">
        <f t="shared" si="9"/>
        <v>46113</v>
      </c>
      <c r="L304" s="1" t="str">
        <f>TEXT(J304,"ddd")</f>
        <v>ter</v>
      </c>
      <c r="M304" s="1" t="str">
        <f>TEXT($J304,"mmm")</f>
        <v>abr</v>
      </c>
      <c r="N304">
        <f>YEAR(J304)</f>
        <v>2026</v>
      </c>
      <c r="O304" s="2"/>
      <c r="P304" t="str">
        <f t="shared" si="8"/>
        <v>195546119</v>
      </c>
    </row>
    <row r="305" spans="1:16" x14ac:dyDescent="0.3">
      <c r="A305">
        <v>1955</v>
      </c>
      <c r="B305">
        <v>47</v>
      </c>
      <c r="C305" t="s">
        <v>26</v>
      </c>
      <c r="D305" t="s">
        <v>16</v>
      </c>
      <c r="E305" t="s">
        <v>17</v>
      </c>
      <c r="F305" t="s">
        <v>18</v>
      </c>
      <c r="G305" t="s">
        <v>41</v>
      </c>
      <c r="H305" t="s">
        <v>25</v>
      </c>
      <c r="I305" s="1">
        <v>2</v>
      </c>
      <c r="J305" s="2">
        <v>46125</v>
      </c>
      <c r="K305" s="2">
        <f t="shared" si="9"/>
        <v>46113</v>
      </c>
      <c r="L305" s="1" t="s">
        <v>55</v>
      </c>
      <c r="M305" s="1" t="s">
        <v>48</v>
      </c>
      <c r="N305">
        <v>2025</v>
      </c>
      <c r="O305" s="2"/>
      <c r="P305" t="str">
        <f t="shared" si="8"/>
        <v>195546125</v>
      </c>
    </row>
    <row r="306" spans="1:16" x14ac:dyDescent="0.3">
      <c r="A306">
        <v>1955</v>
      </c>
      <c r="B306">
        <v>47</v>
      </c>
      <c r="C306" t="s">
        <v>26</v>
      </c>
      <c r="D306" t="s">
        <v>16</v>
      </c>
      <c r="E306" t="s">
        <v>17</v>
      </c>
      <c r="F306" t="s">
        <v>18</v>
      </c>
      <c r="G306" t="s">
        <v>41</v>
      </c>
      <c r="H306" t="s">
        <v>25</v>
      </c>
      <c r="I306" s="1">
        <v>2</v>
      </c>
      <c r="J306" s="2">
        <v>46173</v>
      </c>
      <c r="K306" s="2">
        <f t="shared" si="9"/>
        <v>46143</v>
      </c>
      <c r="L306" s="1" t="s">
        <v>54</v>
      </c>
      <c r="M306" s="1" t="s">
        <v>49</v>
      </c>
      <c r="N306">
        <v>2025</v>
      </c>
      <c r="O306" s="2"/>
      <c r="P306" t="str">
        <f t="shared" si="8"/>
        <v>195546173</v>
      </c>
    </row>
    <row r="307" spans="1:16" x14ac:dyDescent="0.3">
      <c r="A307">
        <v>1959</v>
      </c>
      <c r="B307">
        <v>29</v>
      </c>
      <c r="C307" t="s">
        <v>15</v>
      </c>
      <c r="D307" t="s">
        <v>16</v>
      </c>
      <c r="E307" t="s">
        <v>17</v>
      </c>
      <c r="F307" t="s">
        <v>18</v>
      </c>
      <c r="G307" t="s">
        <v>41</v>
      </c>
      <c r="H307" t="s">
        <v>25</v>
      </c>
      <c r="I307" s="1">
        <v>1</v>
      </c>
      <c r="J307" s="2">
        <v>46126</v>
      </c>
      <c r="K307" s="2">
        <f t="shared" si="9"/>
        <v>46113</v>
      </c>
      <c r="L307" s="1" t="str">
        <f>TEXT(J307,"ddd")</f>
        <v>ter</v>
      </c>
      <c r="M307" s="1" t="str">
        <f>TEXT($J307,"mmm")</f>
        <v>abr</v>
      </c>
      <c r="N307">
        <f>YEAR(J307)</f>
        <v>2026</v>
      </c>
      <c r="O307" s="2"/>
      <c r="P307" t="str">
        <f t="shared" si="8"/>
        <v>195946126</v>
      </c>
    </row>
    <row r="308" spans="1:16" x14ac:dyDescent="0.3">
      <c r="A308">
        <v>1959</v>
      </c>
      <c r="B308">
        <v>29</v>
      </c>
      <c r="C308" t="s">
        <v>15</v>
      </c>
      <c r="D308" t="s">
        <v>16</v>
      </c>
      <c r="E308" t="s">
        <v>17</v>
      </c>
      <c r="F308" t="s">
        <v>18</v>
      </c>
      <c r="G308" t="s">
        <v>41</v>
      </c>
      <c r="H308" t="s">
        <v>25</v>
      </c>
      <c r="I308" s="1">
        <v>1</v>
      </c>
      <c r="J308" s="2">
        <v>46172</v>
      </c>
      <c r="K308" s="2">
        <f t="shared" si="9"/>
        <v>46143</v>
      </c>
      <c r="L308" s="1" t="s">
        <v>53</v>
      </c>
      <c r="M308" s="1" t="s">
        <v>49</v>
      </c>
      <c r="N308">
        <v>2025</v>
      </c>
      <c r="O308" s="2"/>
      <c r="P308" t="str">
        <f t="shared" si="8"/>
        <v>195946172</v>
      </c>
    </row>
    <row r="309" spans="1:16" x14ac:dyDescent="0.3">
      <c r="A309">
        <v>1960</v>
      </c>
      <c r="B309">
        <v>37</v>
      </c>
      <c r="C309" t="s">
        <v>15</v>
      </c>
      <c r="D309" t="s">
        <v>27</v>
      </c>
      <c r="E309" t="s">
        <v>17</v>
      </c>
      <c r="F309" t="s">
        <v>23</v>
      </c>
      <c r="G309" t="s">
        <v>41</v>
      </c>
      <c r="H309" t="s">
        <v>25</v>
      </c>
      <c r="I309" s="1">
        <v>1</v>
      </c>
      <c r="J309" s="2">
        <v>46089</v>
      </c>
      <c r="K309" s="2">
        <f t="shared" si="9"/>
        <v>46082</v>
      </c>
      <c r="L309" s="1" t="str">
        <f>TEXT(J309,"ddd")</f>
        <v>dom</v>
      </c>
      <c r="M309" s="1" t="str">
        <f>TEXT($J309,"mmm")</f>
        <v>mar</v>
      </c>
      <c r="N309">
        <f>YEAR(J309)</f>
        <v>2026</v>
      </c>
      <c r="O309" s="2"/>
      <c r="P309" t="str">
        <f t="shared" si="8"/>
        <v>196046089</v>
      </c>
    </row>
    <row r="310" spans="1:16" x14ac:dyDescent="0.3">
      <c r="A310">
        <v>1960</v>
      </c>
      <c r="B310">
        <v>37</v>
      </c>
      <c r="C310" t="s">
        <v>15</v>
      </c>
      <c r="D310" t="s">
        <v>27</v>
      </c>
      <c r="E310" t="s">
        <v>17</v>
      </c>
      <c r="F310" t="s">
        <v>23</v>
      </c>
      <c r="G310" t="s">
        <v>41</v>
      </c>
      <c r="H310" t="s">
        <v>25</v>
      </c>
      <c r="I310" s="1">
        <v>1</v>
      </c>
      <c r="J310" s="2">
        <v>46125</v>
      </c>
      <c r="K310" s="2">
        <f t="shared" si="9"/>
        <v>46113</v>
      </c>
      <c r="L310" s="1" t="s">
        <v>55</v>
      </c>
      <c r="M310" s="1" t="s">
        <v>48</v>
      </c>
      <c r="N310">
        <v>2025</v>
      </c>
      <c r="O310" s="2"/>
      <c r="P310" t="str">
        <f t="shared" si="8"/>
        <v>196046125</v>
      </c>
    </row>
    <row r="311" spans="1:16" x14ac:dyDescent="0.3">
      <c r="A311">
        <v>1961</v>
      </c>
      <c r="B311">
        <v>18</v>
      </c>
      <c r="C311" t="s">
        <v>26</v>
      </c>
      <c r="D311" t="s">
        <v>29</v>
      </c>
      <c r="E311" t="s">
        <v>17</v>
      </c>
      <c r="F311" t="s">
        <v>18</v>
      </c>
      <c r="G311" t="s">
        <v>41</v>
      </c>
      <c r="H311" t="s">
        <v>25</v>
      </c>
      <c r="I311" s="1">
        <v>1</v>
      </c>
      <c r="J311" s="2">
        <v>46126</v>
      </c>
      <c r="K311" s="2">
        <f t="shared" si="9"/>
        <v>46113</v>
      </c>
      <c r="L311" s="1" t="str">
        <f>TEXT(J311,"ddd")</f>
        <v>ter</v>
      </c>
      <c r="M311" s="1" t="str">
        <f>TEXT($J311,"mmm")</f>
        <v>abr</v>
      </c>
      <c r="N311">
        <f>YEAR(J311)</f>
        <v>2026</v>
      </c>
      <c r="O311" s="2"/>
      <c r="P311" t="str">
        <f t="shared" si="8"/>
        <v>196146126</v>
      </c>
    </row>
    <row r="312" spans="1:16" x14ac:dyDescent="0.3">
      <c r="A312">
        <v>1961</v>
      </c>
      <c r="B312">
        <v>18</v>
      </c>
      <c r="C312" t="s">
        <v>26</v>
      </c>
      <c r="D312" t="s">
        <v>29</v>
      </c>
      <c r="E312" t="s">
        <v>17</v>
      </c>
      <c r="F312" t="s">
        <v>18</v>
      </c>
      <c r="G312" t="s">
        <v>41</v>
      </c>
      <c r="H312" t="s">
        <v>25</v>
      </c>
      <c r="I312" s="1">
        <v>1</v>
      </c>
      <c r="J312" s="2">
        <v>46172</v>
      </c>
      <c r="K312" s="2">
        <f t="shared" si="9"/>
        <v>46143</v>
      </c>
      <c r="L312" s="1" t="s">
        <v>53</v>
      </c>
      <c r="M312" s="1" t="s">
        <v>49</v>
      </c>
      <c r="N312">
        <v>2025</v>
      </c>
      <c r="O312" s="2"/>
      <c r="P312" t="str">
        <f t="shared" si="8"/>
        <v>196146172</v>
      </c>
    </row>
    <row r="313" spans="1:16" x14ac:dyDescent="0.3">
      <c r="A313">
        <v>1962</v>
      </c>
      <c r="B313">
        <v>22</v>
      </c>
      <c r="C313" t="s">
        <v>15</v>
      </c>
      <c r="D313" t="s">
        <v>16</v>
      </c>
      <c r="E313" t="s">
        <v>17</v>
      </c>
      <c r="F313" t="s">
        <v>21</v>
      </c>
      <c r="G313" t="s">
        <v>41</v>
      </c>
      <c r="H313" t="s">
        <v>25</v>
      </c>
      <c r="I313" s="1">
        <v>2</v>
      </c>
      <c r="J313" s="2">
        <v>46137</v>
      </c>
      <c r="K313" s="2">
        <f t="shared" si="9"/>
        <v>46113</v>
      </c>
      <c r="L313" s="1" t="str">
        <f>TEXT(J313,"ddd")</f>
        <v>sáb</v>
      </c>
      <c r="M313" s="1" t="str">
        <f>TEXT($J313,"mmm")</f>
        <v>abr</v>
      </c>
      <c r="N313">
        <f>YEAR(J313)</f>
        <v>2026</v>
      </c>
      <c r="O313" s="2"/>
      <c r="P313" t="str">
        <f t="shared" si="8"/>
        <v>196246137</v>
      </c>
    </row>
    <row r="314" spans="1:16" x14ac:dyDescent="0.3">
      <c r="A314">
        <v>1962</v>
      </c>
      <c r="B314">
        <v>22</v>
      </c>
      <c r="C314" t="s">
        <v>15</v>
      </c>
      <c r="D314" t="s">
        <v>16</v>
      </c>
      <c r="E314" t="s">
        <v>17</v>
      </c>
      <c r="F314" t="s">
        <v>21</v>
      </c>
      <c r="G314" t="s">
        <v>41</v>
      </c>
      <c r="H314" t="s">
        <v>25</v>
      </c>
      <c r="I314" s="1">
        <v>2</v>
      </c>
      <c r="J314" s="2">
        <v>46126</v>
      </c>
      <c r="K314" s="2">
        <f t="shared" si="9"/>
        <v>46113</v>
      </c>
      <c r="L314" s="1" t="s">
        <v>53</v>
      </c>
      <c r="M314" s="1" t="s">
        <v>48</v>
      </c>
      <c r="N314">
        <v>2025</v>
      </c>
      <c r="O314" s="2"/>
      <c r="P314" t="str">
        <f t="shared" si="8"/>
        <v>196246126</v>
      </c>
    </row>
    <row r="315" spans="1:16" x14ac:dyDescent="0.3">
      <c r="A315">
        <v>1963</v>
      </c>
      <c r="B315">
        <v>42</v>
      </c>
      <c r="C315" t="s">
        <v>26</v>
      </c>
      <c r="D315" t="s">
        <v>31</v>
      </c>
      <c r="E315" t="s">
        <v>34</v>
      </c>
      <c r="F315" t="s">
        <v>21</v>
      </c>
      <c r="G315" t="s">
        <v>41</v>
      </c>
      <c r="H315" t="s">
        <v>25</v>
      </c>
      <c r="I315" s="1">
        <v>1</v>
      </c>
      <c r="J315" s="2">
        <v>46089</v>
      </c>
      <c r="K315" s="2">
        <f t="shared" si="9"/>
        <v>46082</v>
      </c>
      <c r="L315" s="1" t="str">
        <f>TEXT(J315,"ddd")</f>
        <v>dom</v>
      </c>
      <c r="M315" s="1" t="str">
        <f>TEXT($J315,"mmm")</f>
        <v>mar</v>
      </c>
      <c r="N315">
        <f>YEAR(J315)</f>
        <v>2026</v>
      </c>
      <c r="O315" s="2"/>
      <c r="P315" t="str">
        <f t="shared" si="8"/>
        <v>196346089</v>
      </c>
    </row>
    <row r="316" spans="1:16" x14ac:dyDescent="0.3">
      <c r="A316">
        <v>1963</v>
      </c>
      <c r="B316">
        <v>42</v>
      </c>
      <c r="C316" t="s">
        <v>26</v>
      </c>
      <c r="D316" t="s">
        <v>31</v>
      </c>
      <c r="E316" t="s">
        <v>34</v>
      </c>
      <c r="F316" t="s">
        <v>21</v>
      </c>
      <c r="G316" t="s">
        <v>41</v>
      </c>
      <c r="H316" t="s">
        <v>25</v>
      </c>
      <c r="I316" s="1">
        <v>1</v>
      </c>
      <c r="J316" s="2">
        <v>46167</v>
      </c>
      <c r="K316" s="2">
        <f t="shared" si="9"/>
        <v>46143</v>
      </c>
      <c r="L316" s="1" t="s">
        <v>55</v>
      </c>
      <c r="M316" s="1" t="s">
        <v>49</v>
      </c>
      <c r="N316">
        <v>2025</v>
      </c>
      <c r="O316" s="2"/>
      <c r="P316" t="str">
        <f t="shared" si="8"/>
        <v>196346167</v>
      </c>
    </row>
    <row r="317" spans="1:16" x14ac:dyDescent="0.3">
      <c r="A317">
        <v>1965</v>
      </c>
      <c r="B317">
        <v>36</v>
      </c>
      <c r="C317" t="s">
        <v>26</v>
      </c>
      <c r="D317" t="s">
        <v>16</v>
      </c>
      <c r="E317" t="s">
        <v>17</v>
      </c>
      <c r="F317" t="s">
        <v>23</v>
      </c>
      <c r="G317" t="s">
        <v>41</v>
      </c>
      <c r="H317" t="s">
        <v>25</v>
      </c>
      <c r="I317" s="1">
        <v>2</v>
      </c>
      <c r="J317" s="2">
        <v>46143</v>
      </c>
      <c r="K317" s="2">
        <f t="shared" si="9"/>
        <v>46143</v>
      </c>
      <c r="L317" s="1" t="str">
        <f>TEXT(J317,"ddd")</f>
        <v>sex</v>
      </c>
      <c r="M317" s="1" t="str">
        <f>TEXT($J317,"mmm")</f>
        <v>mai</v>
      </c>
      <c r="N317">
        <f>YEAR(J317)</f>
        <v>2026</v>
      </c>
      <c r="O317" s="2"/>
      <c r="P317" t="str">
        <f t="shared" si="8"/>
        <v>196546143</v>
      </c>
    </row>
    <row r="318" spans="1:16" x14ac:dyDescent="0.3">
      <c r="A318">
        <v>1965</v>
      </c>
      <c r="B318">
        <v>36</v>
      </c>
      <c r="C318" t="s">
        <v>26</v>
      </c>
      <c r="D318" t="s">
        <v>16</v>
      </c>
      <c r="E318" t="s">
        <v>17</v>
      </c>
      <c r="F318" t="s">
        <v>23</v>
      </c>
      <c r="G318" t="s">
        <v>41</v>
      </c>
      <c r="H318" t="s">
        <v>25</v>
      </c>
      <c r="I318" s="1">
        <v>2</v>
      </c>
      <c r="J318" s="2">
        <v>46089</v>
      </c>
      <c r="K318" s="2">
        <f t="shared" si="9"/>
        <v>46082</v>
      </c>
      <c r="L318" s="1" t="s">
        <v>52</v>
      </c>
      <c r="M318" s="1" t="s">
        <v>49</v>
      </c>
      <c r="N318">
        <v>2025</v>
      </c>
      <c r="O318" s="2"/>
      <c r="P318" t="str">
        <f t="shared" si="8"/>
        <v>196546089</v>
      </c>
    </row>
    <row r="319" spans="1:16" x14ac:dyDescent="0.3">
      <c r="A319">
        <v>1969</v>
      </c>
      <c r="B319">
        <v>49</v>
      </c>
      <c r="C319" t="s">
        <v>15</v>
      </c>
      <c r="D319" t="s">
        <v>29</v>
      </c>
      <c r="E319" t="s">
        <v>17</v>
      </c>
      <c r="F319" t="s">
        <v>18</v>
      </c>
      <c r="G319" t="s">
        <v>41</v>
      </c>
      <c r="H319" t="s">
        <v>25</v>
      </c>
      <c r="I319" s="1">
        <v>2</v>
      </c>
      <c r="J319" s="2">
        <v>46089</v>
      </c>
      <c r="K319" s="2">
        <f t="shared" si="9"/>
        <v>46082</v>
      </c>
      <c r="L319" s="1" t="str">
        <f>TEXT(J319,"ddd")</f>
        <v>dom</v>
      </c>
      <c r="M319" s="1" t="str">
        <f>TEXT($J319,"mmm")</f>
        <v>mar</v>
      </c>
      <c r="N319">
        <f>YEAR(J319)</f>
        <v>2026</v>
      </c>
      <c r="O319" s="2"/>
      <c r="P319" t="str">
        <f t="shared" si="8"/>
        <v>196946089</v>
      </c>
    </row>
    <row r="320" spans="1:16" x14ac:dyDescent="0.3">
      <c r="A320">
        <v>1969</v>
      </c>
      <c r="B320">
        <v>49</v>
      </c>
      <c r="C320" t="s">
        <v>15</v>
      </c>
      <c r="D320" t="s">
        <v>29</v>
      </c>
      <c r="E320" t="s">
        <v>17</v>
      </c>
      <c r="F320" t="s">
        <v>18</v>
      </c>
      <c r="G320" t="s">
        <v>41</v>
      </c>
      <c r="H320" t="s">
        <v>25</v>
      </c>
      <c r="I320" s="1">
        <v>2</v>
      </c>
      <c r="J320" s="2">
        <v>46156</v>
      </c>
      <c r="K320" s="2">
        <f t="shared" si="9"/>
        <v>46143</v>
      </c>
      <c r="L320" s="1" t="s">
        <v>51</v>
      </c>
      <c r="M320" s="1" t="s">
        <v>49</v>
      </c>
      <c r="N320">
        <v>2025</v>
      </c>
      <c r="O320" s="2"/>
      <c r="P320" t="str">
        <f t="shared" si="8"/>
        <v>196946156</v>
      </c>
    </row>
    <row r="321" spans="1:16" x14ac:dyDescent="0.3">
      <c r="A321">
        <v>1971</v>
      </c>
      <c r="B321">
        <v>30</v>
      </c>
      <c r="C321" t="s">
        <v>26</v>
      </c>
      <c r="D321" t="s">
        <v>27</v>
      </c>
      <c r="E321" t="s">
        <v>17</v>
      </c>
      <c r="F321" t="s">
        <v>18</v>
      </c>
      <c r="G321" t="s">
        <v>41</v>
      </c>
      <c r="H321" t="s">
        <v>25</v>
      </c>
      <c r="I321" s="1">
        <v>2</v>
      </c>
      <c r="J321" s="2">
        <v>46165</v>
      </c>
      <c r="K321" s="2">
        <f t="shared" si="9"/>
        <v>46143</v>
      </c>
      <c r="L321" s="1" t="str">
        <f>TEXT(J321,"ddd")</f>
        <v>sáb</v>
      </c>
      <c r="M321" s="1" t="str">
        <f>TEXT($J321,"mmm")</f>
        <v>mai</v>
      </c>
      <c r="N321">
        <f>YEAR(J321)</f>
        <v>2026</v>
      </c>
      <c r="O321" s="2"/>
      <c r="P321" t="str">
        <f t="shared" si="8"/>
        <v>197146165</v>
      </c>
    </row>
    <row r="322" spans="1:16" x14ac:dyDescent="0.3">
      <c r="A322">
        <v>1971</v>
      </c>
      <c r="B322">
        <v>30</v>
      </c>
      <c r="C322" t="s">
        <v>26</v>
      </c>
      <c r="D322" t="s">
        <v>27</v>
      </c>
      <c r="E322" t="s">
        <v>17</v>
      </c>
      <c r="F322" t="s">
        <v>18</v>
      </c>
      <c r="G322" t="s">
        <v>41</v>
      </c>
      <c r="H322" t="s">
        <v>25</v>
      </c>
      <c r="I322" s="1">
        <v>2</v>
      </c>
      <c r="J322" s="2">
        <v>46089</v>
      </c>
      <c r="K322" s="2">
        <f t="shared" si="9"/>
        <v>46082</v>
      </c>
      <c r="L322" s="1" t="s">
        <v>53</v>
      </c>
      <c r="M322" s="1" t="s">
        <v>49</v>
      </c>
      <c r="N322">
        <v>2025</v>
      </c>
      <c r="O322" s="2"/>
      <c r="P322" t="str">
        <f t="shared" ref="P322:P385" si="10">CONCATENATE(A322,J322)</f>
        <v>197146089</v>
      </c>
    </row>
    <row r="323" spans="1:16" x14ac:dyDescent="0.3">
      <c r="A323">
        <v>1973</v>
      </c>
      <c r="B323">
        <v>25</v>
      </c>
      <c r="C323" t="s">
        <v>26</v>
      </c>
      <c r="D323" t="s">
        <v>31</v>
      </c>
      <c r="E323" t="s">
        <v>32</v>
      </c>
      <c r="F323" t="s">
        <v>18</v>
      </c>
      <c r="G323" t="s">
        <v>41</v>
      </c>
      <c r="H323" t="s">
        <v>25</v>
      </c>
      <c r="I323" s="1">
        <v>3</v>
      </c>
      <c r="J323" s="2">
        <v>46089</v>
      </c>
      <c r="K323" s="2">
        <f t="shared" ref="K323:K386" si="11">DATE(YEAR(J323),MONTH(J323),1)</f>
        <v>46082</v>
      </c>
      <c r="L323" s="1" t="str">
        <f>TEXT(J323,"ddd")</f>
        <v>dom</v>
      </c>
      <c r="M323" s="1" t="str">
        <f>TEXT($J323,"mmm")</f>
        <v>mar</v>
      </c>
      <c r="N323">
        <f>YEAR(J323)</f>
        <v>2026</v>
      </c>
      <c r="O323" s="2"/>
      <c r="P323" t="str">
        <f t="shared" si="10"/>
        <v>197346089</v>
      </c>
    </row>
    <row r="324" spans="1:16" x14ac:dyDescent="0.3">
      <c r="A324">
        <v>1973</v>
      </c>
      <c r="B324">
        <v>25</v>
      </c>
      <c r="C324" t="s">
        <v>26</v>
      </c>
      <c r="D324" t="s">
        <v>31</v>
      </c>
      <c r="E324" t="s">
        <v>32</v>
      </c>
      <c r="F324" t="s">
        <v>18</v>
      </c>
      <c r="G324" t="s">
        <v>41</v>
      </c>
      <c r="H324" t="s">
        <v>25</v>
      </c>
      <c r="I324" s="1">
        <v>3</v>
      </c>
      <c r="J324" s="2">
        <v>46163</v>
      </c>
      <c r="K324" s="2">
        <f t="shared" si="11"/>
        <v>46143</v>
      </c>
      <c r="L324" s="1" t="s">
        <v>51</v>
      </c>
      <c r="M324" s="1" t="s">
        <v>49</v>
      </c>
      <c r="N324">
        <v>2025</v>
      </c>
      <c r="O324" s="2"/>
      <c r="P324" t="str">
        <f t="shared" si="10"/>
        <v>197346163</v>
      </c>
    </row>
    <row r="325" spans="1:16" x14ac:dyDescent="0.3">
      <c r="A325">
        <v>1976</v>
      </c>
      <c r="B325">
        <v>38</v>
      </c>
      <c r="C325" t="s">
        <v>15</v>
      </c>
      <c r="D325" t="s">
        <v>31</v>
      </c>
      <c r="E325" t="s">
        <v>32</v>
      </c>
      <c r="F325" t="s">
        <v>21</v>
      </c>
      <c r="G325" t="s">
        <v>41</v>
      </c>
      <c r="H325" t="s">
        <v>25</v>
      </c>
      <c r="I325" s="1">
        <v>2</v>
      </c>
      <c r="J325" s="2">
        <v>46126</v>
      </c>
      <c r="K325" s="2">
        <f t="shared" si="11"/>
        <v>46113</v>
      </c>
      <c r="L325" s="1" t="str">
        <f>TEXT(J325,"ddd")</f>
        <v>ter</v>
      </c>
      <c r="M325" s="1" t="str">
        <f>TEXT($J325,"mmm")</f>
        <v>abr</v>
      </c>
      <c r="N325">
        <f>YEAR(J325)</f>
        <v>2026</v>
      </c>
      <c r="O325" s="2"/>
      <c r="P325" t="str">
        <f t="shared" si="10"/>
        <v>197646126</v>
      </c>
    </row>
    <row r="326" spans="1:16" x14ac:dyDescent="0.3">
      <c r="A326">
        <v>1976</v>
      </c>
      <c r="B326">
        <v>38</v>
      </c>
      <c r="C326" t="s">
        <v>15</v>
      </c>
      <c r="D326" t="s">
        <v>31</v>
      </c>
      <c r="E326" t="s">
        <v>32</v>
      </c>
      <c r="F326" t="s">
        <v>21</v>
      </c>
      <c r="G326" t="s">
        <v>41</v>
      </c>
      <c r="H326" t="s">
        <v>25</v>
      </c>
      <c r="I326" s="1">
        <v>2</v>
      </c>
      <c r="J326" s="2">
        <v>46143</v>
      </c>
      <c r="K326" s="2">
        <f t="shared" si="11"/>
        <v>46143</v>
      </c>
      <c r="L326" s="1" t="s">
        <v>52</v>
      </c>
      <c r="M326" s="1" t="s">
        <v>49</v>
      </c>
      <c r="N326">
        <v>2025</v>
      </c>
      <c r="O326" s="2"/>
      <c r="P326" t="str">
        <f t="shared" si="10"/>
        <v>197646143</v>
      </c>
    </row>
    <row r="327" spans="1:16" x14ac:dyDescent="0.3">
      <c r="A327">
        <v>1977</v>
      </c>
      <c r="B327">
        <v>27</v>
      </c>
      <c r="C327" t="s">
        <v>26</v>
      </c>
      <c r="D327" t="s">
        <v>31</v>
      </c>
      <c r="E327" t="s">
        <v>32</v>
      </c>
      <c r="F327" t="s">
        <v>21</v>
      </c>
      <c r="G327" t="s">
        <v>41</v>
      </c>
      <c r="H327" t="s">
        <v>25</v>
      </c>
      <c r="I327" s="1">
        <v>3</v>
      </c>
      <c r="J327" s="2">
        <v>46126</v>
      </c>
      <c r="K327" s="2">
        <f t="shared" si="11"/>
        <v>46113</v>
      </c>
      <c r="L327" s="1" t="str">
        <f>TEXT(J327,"ddd")</f>
        <v>ter</v>
      </c>
      <c r="M327" s="1" t="str">
        <f>TEXT($J327,"mmm")</f>
        <v>abr</v>
      </c>
      <c r="N327">
        <f>YEAR(J327)</f>
        <v>2026</v>
      </c>
      <c r="O327" s="2"/>
      <c r="P327" t="str">
        <f t="shared" si="10"/>
        <v>197746126</v>
      </c>
    </row>
    <row r="328" spans="1:16" x14ac:dyDescent="0.3">
      <c r="A328">
        <v>1977</v>
      </c>
      <c r="B328">
        <v>27</v>
      </c>
      <c r="C328" t="s">
        <v>26</v>
      </c>
      <c r="D328" t="s">
        <v>31</v>
      </c>
      <c r="E328" t="s">
        <v>32</v>
      </c>
      <c r="F328" t="s">
        <v>21</v>
      </c>
      <c r="G328" t="s">
        <v>41</v>
      </c>
      <c r="H328" t="s">
        <v>25</v>
      </c>
      <c r="I328" s="1">
        <v>3</v>
      </c>
      <c r="J328" s="2">
        <v>46157</v>
      </c>
      <c r="K328" s="2">
        <f t="shared" si="11"/>
        <v>46143</v>
      </c>
      <c r="L328" s="1" t="s">
        <v>52</v>
      </c>
      <c r="M328" s="1" t="s">
        <v>49</v>
      </c>
      <c r="N328">
        <v>2025</v>
      </c>
      <c r="O328" s="2"/>
      <c r="P328" t="str">
        <f t="shared" si="10"/>
        <v>197746157</v>
      </c>
    </row>
    <row r="329" spans="1:16" x14ac:dyDescent="0.3">
      <c r="A329">
        <v>1049</v>
      </c>
      <c r="B329">
        <v>40</v>
      </c>
      <c r="C329" t="s">
        <v>15</v>
      </c>
      <c r="D329" t="s">
        <v>27</v>
      </c>
      <c r="E329" t="s">
        <v>17</v>
      </c>
      <c r="F329" t="s">
        <v>21</v>
      </c>
      <c r="G329" t="s">
        <v>43</v>
      </c>
      <c r="H329" t="s">
        <v>25</v>
      </c>
      <c r="I329" s="1">
        <v>2</v>
      </c>
      <c r="J329" s="2">
        <v>46162</v>
      </c>
      <c r="K329" s="2">
        <f t="shared" si="11"/>
        <v>46143</v>
      </c>
      <c r="L329" s="1" t="str">
        <f>TEXT(J329,"ddd")</f>
        <v>qua</v>
      </c>
      <c r="M329" s="1" t="str">
        <f>TEXT($J329,"mmm")</f>
        <v>mai</v>
      </c>
      <c r="N329">
        <f>YEAR(J329)</f>
        <v>2026</v>
      </c>
      <c r="O329" s="2"/>
      <c r="P329" t="str">
        <f t="shared" si="10"/>
        <v>104946162</v>
      </c>
    </row>
    <row r="330" spans="1:16" x14ac:dyDescent="0.3">
      <c r="A330">
        <v>1049</v>
      </c>
      <c r="B330">
        <v>40</v>
      </c>
      <c r="C330" t="s">
        <v>15</v>
      </c>
      <c r="D330" t="s">
        <v>27</v>
      </c>
      <c r="E330" t="s">
        <v>17</v>
      </c>
      <c r="F330" t="s">
        <v>21</v>
      </c>
      <c r="G330" t="s">
        <v>43</v>
      </c>
      <c r="H330" t="s">
        <v>25</v>
      </c>
      <c r="I330" s="1">
        <v>2</v>
      </c>
      <c r="J330" s="2">
        <v>46163</v>
      </c>
      <c r="K330" s="2">
        <f t="shared" si="11"/>
        <v>46143</v>
      </c>
      <c r="L330" s="1" t="s">
        <v>50</v>
      </c>
      <c r="M330" s="1" t="s">
        <v>49</v>
      </c>
      <c r="N330">
        <v>2025</v>
      </c>
      <c r="O330" s="2"/>
      <c r="P330" t="str">
        <f t="shared" si="10"/>
        <v>104946163</v>
      </c>
    </row>
    <row r="331" spans="1:16" x14ac:dyDescent="0.3">
      <c r="A331">
        <v>1050</v>
      </c>
      <c r="B331">
        <v>25</v>
      </c>
      <c r="C331" t="s">
        <v>15</v>
      </c>
      <c r="D331" t="s">
        <v>29</v>
      </c>
      <c r="E331" t="s">
        <v>17</v>
      </c>
      <c r="F331" t="s">
        <v>18</v>
      </c>
      <c r="G331" t="s">
        <v>41</v>
      </c>
      <c r="H331" t="s">
        <v>25</v>
      </c>
      <c r="I331" s="1">
        <v>3</v>
      </c>
      <c r="J331" s="2">
        <v>46147</v>
      </c>
      <c r="K331" s="2">
        <f t="shared" si="11"/>
        <v>46143</v>
      </c>
      <c r="L331" s="1" t="str">
        <f>TEXT(J331,"ddd")</f>
        <v>ter</v>
      </c>
      <c r="M331" s="1" t="str">
        <f>TEXT($J331,"mmm")</f>
        <v>mai</v>
      </c>
      <c r="N331">
        <f>YEAR(J331)</f>
        <v>2026</v>
      </c>
      <c r="O331" s="2"/>
      <c r="P331" t="str">
        <f t="shared" si="10"/>
        <v>105046147</v>
      </c>
    </row>
    <row r="332" spans="1:16" x14ac:dyDescent="0.3">
      <c r="A332">
        <v>1050</v>
      </c>
      <c r="B332">
        <v>25</v>
      </c>
      <c r="C332" t="s">
        <v>15</v>
      </c>
      <c r="D332" t="s">
        <v>29</v>
      </c>
      <c r="E332" t="s">
        <v>17</v>
      </c>
      <c r="F332" t="s">
        <v>18</v>
      </c>
      <c r="G332" t="s">
        <v>43</v>
      </c>
      <c r="H332" t="s">
        <v>25</v>
      </c>
      <c r="I332" s="1">
        <v>3</v>
      </c>
      <c r="J332" s="2">
        <v>46151</v>
      </c>
      <c r="K332" s="2">
        <f t="shared" si="11"/>
        <v>46143</v>
      </c>
      <c r="L332" s="1" t="str">
        <f>TEXT(J332,"ddd")</f>
        <v>sáb</v>
      </c>
      <c r="M332" s="1" t="str">
        <f>TEXT($J332,"mmm")</f>
        <v>mai</v>
      </c>
      <c r="N332">
        <f>YEAR(J332)</f>
        <v>2026</v>
      </c>
      <c r="O332" s="2"/>
      <c r="P332" t="str">
        <f t="shared" si="10"/>
        <v>105046151</v>
      </c>
    </row>
    <row r="333" spans="1:16" x14ac:dyDescent="0.3">
      <c r="A333">
        <v>1050</v>
      </c>
      <c r="B333">
        <v>25</v>
      </c>
      <c r="C333" t="s">
        <v>15</v>
      </c>
      <c r="D333" t="s">
        <v>29</v>
      </c>
      <c r="E333" t="s">
        <v>17</v>
      </c>
      <c r="F333" t="s">
        <v>18</v>
      </c>
      <c r="G333" t="s">
        <v>41</v>
      </c>
      <c r="H333" t="s">
        <v>25</v>
      </c>
      <c r="I333" s="1">
        <v>3</v>
      </c>
      <c r="J333" s="2">
        <v>46148</v>
      </c>
      <c r="K333" s="2">
        <f t="shared" si="11"/>
        <v>46143</v>
      </c>
      <c r="L333" s="1" t="s">
        <v>56</v>
      </c>
      <c r="M333" s="1" t="s">
        <v>49</v>
      </c>
      <c r="N333">
        <v>2025</v>
      </c>
      <c r="O333" s="2"/>
      <c r="P333" t="str">
        <f t="shared" si="10"/>
        <v>105046148</v>
      </c>
    </row>
    <row r="334" spans="1:16" x14ac:dyDescent="0.3">
      <c r="A334">
        <v>1050</v>
      </c>
      <c r="B334">
        <v>25</v>
      </c>
      <c r="C334" t="s">
        <v>15</v>
      </c>
      <c r="D334" t="s">
        <v>29</v>
      </c>
      <c r="E334" t="s">
        <v>17</v>
      </c>
      <c r="F334" t="s">
        <v>18</v>
      </c>
      <c r="G334" t="s">
        <v>43</v>
      </c>
      <c r="H334" t="s">
        <v>25</v>
      </c>
      <c r="I334" s="1">
        <v>3</v>
      </c>
      <c r="J334" s="2">
        <v>46150</v>
      </c>
      <c r="K334" s="2">
        <f t="shared" si="11"/>
        <v>46143</v>
      </c>
      <c r="L334" s="1" t="s">
        <v>52</v>
      </c>
      <c r="M334" s="1" t="s">
        <v>49</v>
      </c>
      <c r="N334">
        <v>2025</v>
      </c>
      <c r="O334" s="2"/>
      <c r="P334" t="str">
        <f t="shared" si="10"/>
        <v>105046150</v>
      </c>
    </row>
    <row r="335" spans="1:16" x14ac:dyDescent="0.3">
      <c r="A335">
        <v>1051</v>
      </c>
      <c r="B335">
        <v>24</v>
      </c>
      <c r="C335" t="s">
        <v>15</v>
      </c>
      <c r="D335" t="s">
        <v>31</v>
      </c>
      <c r="E335" t="s">
        <v>34</v>
      </c>
      <c r="F335" t="s">
        <v>18</v>
      </c>
      <c r="G335" t="s">
        <v>41</v>
      </c>
      <c r="H335" t="s">
        <v>25</v>
      </c>
      <c r="I335" s="1">
        <v>3</v>
      </c>
      <c r="J335" s="2">
        <v>46135</v>
      </c>
      <c r="K335" s="2">
        <f t="shared" si="11"/>
        <v>46113</v>
      </c>
      <c r="L335" s="1" t="str">
        <f>TEXT(J335,"ddd")</f>
        <v>qui</v>
      </c>
      <c r="M335" s="1" t="str">
        <f>TEXT($J335,"mmm")</f>
        <v>abr</v>
      </c>
      <c r="N335">
        <f>YEAR(J335)</f>
        <v>2026</v>
      </c>
      <c r="O335" s="2"/>
      <c r="P335" t="str">
        <f t="shared" si="10"/>
        <v>105146135</v>
      </c>
    </row>
    <row r="336" spans="1:16" x14ac:dyDescent="0.3">
      <c r="A336">
        <v>1051</v>
      </c>
      <c r="B336">
        <v>24</v>
      </c>
      <c r="C336" t="s">
        <v>15</v>
      </c>
      <c r="D336" t="s">
        <v>31</v>
      </c>
      <c r="E336" t="s">
        <v>34</v>
      </c>
      <c r="F336" t="s">
        <v>18</v>
      </c>
      <c r="G336" t="s">
        <v>41</v>
      </c>
      <c r="H336" t="s">
        <v>25</v>
      </c>
      <c r="I336" s="1">
        <v>3</v>
      </c>
      <c r="J336" s="2">
        <v>46134</v>
      </c>
      <c r="K336" s="2">
        <f t="shared" si="11"/>
        <v>46113</v>
      </c>
      <c r="L336" s="1" t="s">
        <v>51</v>
      </c>
      <c r="M336" s="1" t="s">
        <v>48</v>
      </c>
      <c r="N336">
        <v>2025</v>
      </c>
      <c r="O336" s="2"/>
      <c r="P336" t="str">
        <f t="shared" si="10"/>
        <v>105146134</v>
      </c>
    </row>
    <row r="337" spans="1:16" x14ac:dyDescent="0.3">
      <c r="A337">
        <v>1096</v>
      </c>
      <c r="B337">
        <v>34</v>
      </c>
      <c r="C337" t="s">
        <v>15</v>
      </c>
      <c r="D337" t="s">
        <v>16</v>
      </c>
      <c r="E337" t="s">
        <v>17</v>
      </c>
      <c r="F337" t="s">
        <v>18</v>
      </c>
      <c r="G337" t="s">
        <v>41</v>
      </c>
      <c r="H337" t="s">
        <v>25</v>
      </c>
      <c r="I337" s="1">
        <v>1</v>
      </c>
      <c r="J337" s="2">
        <v>46173</v>
      </c>
      <c r="K337" s="2">
        <f t="shared" si="11"/>
        <v>46143</v>
      </c>
      <c r="L337" s="1" t="str">
        <f>TEXT(J337,"ddd")</f>
        <v>dom</v>
      </c>
      <c r="M337" s="1" t="str">
        <f>TEXT($J337,"mmm")</f>
        <v>mai</v>
      </c>
      <c r="N337">
        <f>YEAR(J337)</f>
        <v>2026</v>
      </c>
      <c r="O337" s="2"/>
      <c r="P337" t="str">
        <f t="shared" si="10"/>
        <v>109646173</v>
      </c>
    </row>
    <row r="338" spans="1:16" x14ac:dyDescent="0.3">
      <c r="A338">
        <v>1096</v>
      </c>
      <c r="B338">
        <v>34</v>
      </c>
      <c r="C338" t="s">
        <v>15</v>
      </c>
      <c r="D338" t="s">
        <v>16</v>
      </c>
      <c r="E338" t="s">
        <v>17</v>
      </c>
      <c r="F338" t="s">
        <v>18</v>
      </c>
      <c r="G338" t="s">
        <v>41</v>
      </c>
      <c r="H338" t="s">
        <v>25</v>
      </c>
      <c r="I338" s="1">
        <v>1</v>
      </c>
      <c r="J338" s="2">
        <v>46172</v>
      </c>
      <c r="K338" s="2">
        <f t="shared" si="11"/>
        <v>46143</v>
      </c>
      <c r="L338" s="1" t="s">
        <v>54</v>
      </c>
      <c r="M338" s="1" t="s">
        <v>49</v>
      </c>
      <c r="N338">
        <v>2025</v>
      </c>
      <c r="O338" s="2"/>
      <c r="P338" t="str">
        <f t="shared" si="10"/>
        <v>109646172</v>
      </c>
    </row>
    <row r="339" spans="1:16" x14ac:dyDescent="0.3">
      <c r="A339">
        <v>1113</v>
      </c>
      <c r="B339">
        <v>40</v>
      </c>
      <c r="C339" t="s">
        <v>26</v>
      </c>
      <c r="D339" t="s">
        <v>27</v>
      </c>
      <c r="E339" t="s">
        <v>17</v>
      </c>
      <c r="F339" t="s">
        <v>21</v>
      </c>
      <c r="G339" t="s">
        <v>41</v>
      </c>
      <c r="H339" t="s">
        <v>25</v>
      </c>
      <c r="I339" s="1">
        <v>2</v>
      </c>
      <c r="J339" s="2">
        <v>46164</v>
      </c>
      <c r="K339" s="2">
        <f t="shared" si="11"/>
        <v>46143</v>
      </c>
      <c r="L339" s="1" t="str">
        <f>TEXT(J339,"ddd")</f>
        <v>sex</v>
      </c>
      <c r="M339" s="1" t="str">
        <f>TEXT($J339,"mmm")</f>
        <v>mai</v>
      </c>
      <c r="N339">
        <f>YEAR(J339)</f>
        <v>2026</v>
      </c>
      <c r="O339" s="2"/>
      <c r="P339" t="str">
        <f t="shared" si="10"/>
        <v>111346164</v>
      </c>
    </row>
    <row r="340" spans="1:16" x14ac:dyDescent="0.3">
      <c r="A340">
        <v>1113</v>
      </c>
      <c r="B340">
        <v>40</v>
      </c>
      <c r="C340" t="s">
        <v>26</v>
      </c>
      <c r="D340" t="s">
        <v>27</v>
      </c>
      <c r="E340" t="s">
        <v>17</v>
      </c>
      <c r="F340" t="s">
        <v>21</v>
      </c>
      <c r="G340" t="s">
        <v>41</v>
      </c>
      <c r="H340" t="s">
        <v>25</v>
      </c>
      <c r="I340" s="1">
        <v>2</v>
      </c>
      <c r="J340" s="2">
        <v>46172</v>
      </c>
      <c r="K340" s="2">
        <f t="shared" si="11"/>
        <v>46143</v>
      </c>
      <c r="L340" s="1" t="s">
        <v>52</v>
      </c>
      <c r="M340" s="1" t="s">
        <v>49</v>
      </c>
      <c r="N340">
        <v>2025</v>
      </c>
      <c r="O340" s="2"/>
      <c r="P340" t="str">
        <f t="shared" si="10"/>
        <v>111346172</v>
      </c>
    </row>
    <row r="341" spans="1:16" x14ac:dyDescent="0.3">
      <c r="A341">
        <v>1117</v>
      </c>
      <c r="B341">
        <v>54</v>
      </c>
      <c r="C341" t="s">
        <v>15</v>
      </c>
      <c r="D341" t="s">
        <v>16</v>
      </c>
      <c r="E341" t="s">
        <v>17</v>
      </c>
      <c r="F341" t="s">
        <v>18</v>
      </c>
      <c r="G341" t="s">
        <v>43</v>
      </c>
      <c r="H341" t="s">
        <v>25</v>
      </c>
      <c r="I341" s="1">
        <v>1</v>
      </c>
      <c r="J341" s="2">
        <v>46167</v>
      </c>
      <c r="K341" s="2">
        <f t="shared" si="11"/>
        <v>46143</v>
      </c>
      <c r="L341" s="1" t="str">
        <f>TEXT(J341,"ddd")</f>
        <v>seg</v>
      </c>
      <c r="M341" s="1" t="str">
        <f>TEXT($J341,"mmm")</f>
        <v>mai</v>
      </c>
      <c r="N341">
        <f>YEAR(J341)</f>
        <v>2026</v>
      </c>
      <c r="O341" s="2"/>
      <c r="P341" t="str">
        <f t="shared" si="10"/>
        <v>111746167</v>
      </c>
    </row>
    <row r="342" spans="1:16" x14ac:dyDescent="0.3">
      <c r="A342">
        <v>1117</v>
      </c>
      <c r="B342">
        <v>54</v>
      </c>
      <c r="C342" t="s">
        <v>15</v>
      </c>
      <c r="D342" t="s">
        <v>16</v>
      </c>
      <c r="E342" t="s">
        <v>17</v>
      </c>
      <c r="F342" t="s">
        <v>18</v>
      </c>
      <c r="G342" t="s">
        <v>43</v>
      </c>
      <c r="H342" t="s">
        <v>25</v>
      </c>
      <c r="I342" s="1">
        <v>1</v>
      </c>
      <c r="J342" s="2">
        <v>46163</v>
      </c>
      <c r="K342" s="2">
        <f t="shared" si="11"/>
        <v>46143</v>
      </c>
      <c r="L342" s="1" t="s">
        <v>55</v>
      </c>
      <c r="M342" s="1" t="s">
        <v>49</v>
      </c>
      <c r="N342">
        <v>2025</v>
      </c>
      <c r="O342" s="2"/>
      <c r="P342" t="str">
        <f t="shared" si="10"/>
        <v>111746163</v>
      </c>
    </row>
    <row r="343" spans="1:16" x14ac:dyDescent="0.3">
      <c r="A343">
        <v>1127</v>
      </c>
      <c r="B343">
        <v>50</v>
      </c>
      <c r="C343" t="s">
        <v>15</v>
      </c>
      <c r="D343" t="s">
        <v>22</v>
      </c>
      <c r="E343" t="s">
        <v>17</v>
      </c>
      <c r="F343" t="s">
        <v>23</v>
      </c>
      <c r="G343" t="s">
        <v>41</v>
      </c>
      <c r="H343" t="s">
        <v>25</v>
      </c>
      <c r="I343" s="1">
        <v>2</v>
      </c>
      <c r="J343" s="2">
        <v>46172</v>
      </c>
      <c r="K343" s="2">
        <f t="shared" si="11"/>
        <v>46143</v>
      </c>
      <c r="L343" s="1" t="str">
        <f>TEXT(J343,"ddd")</f>
        <v>sáb</v>
      </c>
      <c r="M343" s="1" t="str">
        <f>TEXT($J343,"mmm")</f>
        <v>mai</v>
      </c>
      <c r="N343">
        <f>YEAR(J343)</f>
        <v>2026</v>
      </c>
      <c r="O343" s="2"/>
      <c r="P343" t="str">
        <f t="shared" si="10"/>
        <v>112746172</v>
      </c>
    </row>
    <row r="344" spans="1:16" x14ac:dyDescent="0.3">
      <c r="A344">
        <v>1127</v>
      </c>
      <c r="B344">
        <v>50</v>
      </c>
      <c r="C344" t="s">
        <v>15</v>
      </c>
      <c r="D344" t="s">
        <v>22</v>
      </c>
      <c r="E344" t="s">
        <v>17</v>
      </c>
      <c r="F344" t="s">
        <v>23</v>
      </c>
      <c r="G344" t="s">
        <v>41</v>
      </c>
      <c r="H344" t="s">
        <v>25</v>
      </c>
      <c r="I344" s="1">
        <v>2</v>
      </c>
      <c r="J344" s="2">
        <v>46167</v>
      </c>
      <c r="K344" s="2">
        <f t="shared" si="11"/>
        <v>46143</v>
      </c>
      <c r="L344" s="1" t="str">
        <f>TEXT(J344,"ddd")</f>
        <v>seg</v>
      </c>
      <c r="M344" s="1" t="str">
        <f>TEXT($J344,"mmm")</f>
        <v>mai</v>
      </c>
      <c r="N344">
        <f>YEAR(J344)</f>
        <v>2026</v>
      </c>
      <c r="O344" s="2"/>
      <c r="P344" t="str">
        <f t="shared" si="10"/>
        <v>112746167</v>
      </c>
    </row>
    <row r="345" spans="1:16" x14ac:dyDescent="0.3">
      <c r="A345">
        <v>1127</v>
      </c>
      <c r="B345">
        <v>50</v>
      </c>
      <c r="C345" t="s">
        <v>15</v>
      </c>
      <c r="D345" t="s">
        <v>22</v>
      </c>
      <c r="E345" t="s">
        <v>17</v>
      </c>
      <c r="F345" t="s">
        <v>23</v>
      </c>
      <c r="G345" t="s">
        <v>41</v>
      </c>
      <c r="H345" t="s">
        <v>25</v>
      </c>
      <c r="I345" s="1">
        <v>2</v>
      </c>
      <c r="J345" s="2">
        <v>46150</v>
      </c>
      <c r="K345" s="2">
        <f t="shared" si="11"/>
        <v>46143</v>
      </c>
      <c r="L345" s="1" t="s">
        <v>52</v>
      </c>
      <c r="M345" s="1" t="s">
        <v>49</v>
      </c>
      <c r="N345">
        <v>2025</v>
      </c>
      <c r="O345" s="2"/>
      <c r="P345" t="str">
        <f t="shared" si="10"/>
        <v>112746150</v>
      </c>
    </row>
    <row r="346" spans="1:16" x14ac:dyDescent="0.3">
      <c r="A346">
        <v>1127</v>
      </c>
      <c r="B346">
        <v>50</v>
      </c>
      <c r="C346" t="s">
        <v>15</v>
      </c>
      <c r="D346" t="s">
        <v>22</v>
      </c>
      <c r="E346" t="s">
        <v>17</v>
      </c>
      <c r="F346" t="s">
        <v>23</v>
      </c>
      <c r="G346" t="s">
        <v>41</v>
      </c>
      <c r="H346" t="s">
        <v>25</v>
      </c>
      <c r="I346" s="1">
        <v>2</v>
      </c>
      <c r="J346" s="2">
        <v>46168</v>
      </c>
      <c r="K346" s="2">
        <f t="shared" si="11"/>
        <v>46143</v>
      </c>
      <c r="L346" s="1" t="s">
        <v>56</v>
      </c>
      <c r="M346" s="1" t="s">
        <v>49</v>
      </c>
      <c r="N346">
        <v>2025</v>
      </c>
      <c r="O346" s="2"/>
      <c r="P346" t="str">
        <f t="shared" si="10"/>
        <v>112746168</v>
      </c>
    </row>
    <row r="347" spans="1:16" x14ac:dyDescent="0.3">
      <c r="A347">
        <v>1163</v>
      </c>
      <c r="B347">
        <v>21</v>
      </c>
      <c r="C347" t="s">
        <v>15</v>
      </c>
      <c r="D347" t="s">
        <v>29</v>
      </c>
      <c r="E347" t="s">
        <v>17</v>
      </c>
      <c r="F347" t="s">
        <v>21</v>
      </c>
      <c r="G347" t="s">
        <v>43</v>
      </c>
      <c r="H347" t="s">
        <v>25</v>
      </c>
      <c r="I347" s="1">
        <v>3</v>
      </c>
      <c r="J347" s="2">
        <v>46163</v>
      </c>
      <c r="K347" s="2">
        <f t="shared" si="11"/>
        <v>46143</v>
      </c>
      <c r="L347" s="1" t="str">
        <f>TEXT(J347,"ddd")</f>
        <v>qui</v>
      </c>
      <c r="M347" s="1" t="str">
        <f>TEXT($J347,"mmm")</f>
        <v>mai</v>
      </c>
      <c r="N347">
        <f>YEAR(J347)</f>
        <v>2026</v>
      </c>
      <c r="O347" s="2"/>
      <c r="P347" t="str">
        <f t="shared" si="10"/>
        <v>116346163</v>
      </c>
    </row>
    <row r="348" spans="1:16" x14ac:dyDescent="0.3">
      <c r="A348">
        <v>1163</v>
      </c>
      <c r="B348">
        <v>21</v>
      </c>
      <c r="C348" t="s">
        <v>15</v>
      </c>
      <c r="D348" t="s">
        <v>29</v>
      </c>
      <c r="E348" t="s">
        <v>17</v>
      </c>
      <c r="F348" t="s">
        <v>21</v>
      </c>
      <c r="G348" t="s">
        <v>43</v>
      </c>
      <c r="H348" t="s">
        <v>25</v>
      </c>
      <c r="I348" s="1">
        <v>3</v>
      </c>
      <c r="J348" s="2">
        <v>46150</v>
      </c>
      <c r="K348" s="2">
        <f t="shared" si="11"/>
        <v>46143</v>
      </c>
      <c r="L348" s="1" t="str">
        <f>TEXT(J348,"ddd")</f>
        <v>sex</v>
      </c>
      <c r="M348" s="1" t="str">
        <f>TEXT($J348,"mmm")</f>
        <v>mai</v>
      </c>
      <c r="N348">
        <f>YEAR(J348)</f>
        <v>2026</v>
      </c>
      <c r="O348" s="2"/>
      <c r="P348" t="str">
        <f t="shared" si="10"/>
        <v>116346150</v>
      </c>
    </row>
    <row r="349" spans="1:16" x14ac:dyDescent="0.3">
      <c r="A349">
        <v>1163</v>
      </c>
      <c r="B349">
        <v>21</v>
      </c>
      <c r="C349" t="s">
        <v>15</v>
      </c>
      <c r="D349" t="s">
        <v>29</v>
      </c>
      <c r="E349" t="s">
        <v>17</v>
      </c>
      <c r="F349" t="s">
        <v>21</v>
      </c>
      <c r="G349" t="s">
        <v>43</v>
      </c>
      <c r="H349" t="s">
        <v>25</v>
      </c>
      <c r="I349" s="1">
        <v>3</v>
      </c>
      <c r="J349" s="2">
        <v>46149</v>
      </c>
      <c r="K349" s="2">
        <f t="shared" si="11"/>
        <v>46143</v>
      </c>
      <c r="L349" s="1" t="s">
        <v>51</v>
      </c>
      <c r="M349" s="1" t="s">
        <v>49</v>
      </c>
      <c r="N349">
        <v>2025</v>
      </c>
      <c r="O349" s="2"/>
      <c r="P349" t="str">
        <f t="shared" si="10"/>
        <v>116346149</v>
      </c>
    </row>
    <row r="350" spans="1:16" x14ac:dyDescent="0.3">
      <c r="A350">
        <v>1163</v>
      </c>
      <c r="B350">
        <v>21</v>
      </c>
      <c r="C350" t="s">
        <v>15</v>
      </c>
      <c r="D350" t="s">
        <v>29</v>
      </c>
      <c r="E350" t="s">
        <v>17</v>
      </c>
      <c r="F350" t="s">
        <v>21</v>
      </c>
      <c r="G350" t="s">
        <v>43</v>
      </c>
      <c r="H350" t="s">
        <v>25</v>
      </c>
      <c r="I350" s="1">
        <v>3</v>
      </c>
      <c r="J350" s="2">
        <v>46172</v>
      </c>
      <c r="K350" s="2">
        <f t="shared" si="11"/>
        <v>46143</v>
      </c>
      <c r="L350" s="1" t="s">
        <v>52</v>
      </c>
      <c r="M350" s="1" t="s">
        <v>49</v>
      </c>
      <c r="N350">
        <v>2025</v>
      </c>
      <c r="O350" s="2"/>
      <c r="P350" t="str">
        <f t="shared" si="10"/>
        <v>116346172</v>
      </c>
    </row>
    <row r="351" spans="1:16" x14ac:dyDescent="0.3">
      <c r="A351">
        <v>1176</v>
      </c>
      <c r="B351">
        <v>26</v>
      </c>
      <c r="C351" t="s">
        <v>26</v>
      </c>
      <c r="D351" t="s">
        <v>16</v>
      </c>
      <c r="E351" t="s">
        <v>17</v>
      </c>
      <c r="F351" t="s">
        <v>21</v>
      </c>
      <c r="G351" t="s">
        <v>41</v>
      </c>
      <c r="H351" t="s">
        <v>25</v>
      </c>
      <c r="I351" s="1">
        <v>2</v>
      </c>
      <c r="J351" s="2">
        <v>46166</v>
      </c>
      <c r="K351" s="2">
        <f t="shared" si="11"/>
        <v>46143</v>
      </c>
      <c r="L351" s="1" t="str">
        <f>TEXT(J351,"ddd")</f>
        <v>dom</v>
      </c>
      <c r="M351" s="1" t="str">
        <f>TEXT($J351,"mmm")</f>
        <v>mai</v>
      </c>
      <c r="N351">
        <f>YEAR(J351)</f>
        <v>2026</v>
      </c>
      <c r="O351" s="2"/>
      <c r="P351" t="str">
        <f t="shared" si="10"/>
        <v>117646166</v>
      </c>
    </row>
    <row r="352" spans="1:16" x14ac:dyDescent="0.3">
      <c r="A352">
        <v>1176</v>
      </c>
      <c r="B352">
        <v>26</v>
      </c>
      <c r="C352" t="s">
        <v>26</v>
      </c>
      <c r="D352" t="s">
        <v>16</v>
      </c>
      <c r="E352" t="s">
        <v>17</v>
      </c>
      <c r="F352" t="s">
        <v>21</v>
      </c>
      <c r="G352" t="s">
        <v>41</v>
      </c>
      <c r="H352" t="s">
        <v>25</v>
      </c>
      <c r="I352" s="1">
        <v>2</v>
      </c>
      <c r="J352" s="2">
        <v>46170</v>
      </c>
      <c r="K352" s="2">
        <f t="shared" si="11"/>
        <v>46143</v>
      </c>
      <c r="L352" s="1" t="str">
        <f>TEXT(J352,"ddd")</f>
        <v>qui</v>
      </c>
      <c r="M352" s="1" t="str">
        <f>TEXT($J352,"mmm")</f>
        <v>mai</v>
      </c>
      <c r="N352">
        <f>YEAR(J352)</f>
        <v>2026</v>
      </c>
      <c r="O352" s="2"/>
      <c r="P352" t="str">
        <f t="shared" si="10"/>
        <v>117646170</v>
      </c>
    </row>
    <row r="353" spans="1:16" x14ac:dyDescent="0.3">
      <c r="A353">
        <v>1176</v>
      </c>
      <c r="B353">
        <v>26</v>
      </c>
      <c r="C353" t="s">
        <v>26</v>
      </c>
      <c r="D353" t="s">
        <v>16</v>
      </c>
      <c r="E353" t="s">
        <v>17</v>
      </c>
      <c r="F353" t="s">
        <v>21</v>
      </c>
      <c r="G353" t="s">
        <v>41</v>
      </c>
      <c r="H353" t="s">
        <v>25</v>
      </c>
      <c r="I353" s="1">
        <v>2</v>
      </c>
      <c r="J353" s="2">
        <v>46148</v>
      </c>
      <c r="K353" s="2">
        <f t="shared" si="11"/>
        <v>46143</v>
      </c>
      <c r="L353" s="1" t="s">
        <v>50</v>
      </c>
      <c r="M353" s="1" t="s">
        <v>49</v>
      </c>
      <c r="N353">
        <v>2025</v>
      </c>
      <c r="O353" s="2"/>
      <c r="P353" t="str">
        <f t="shared" si="10"/>
        <v>117646148</v>
      </c>
    </row>
    <row r="354" spans="1:16" x14ac:dyDescent="0.3">
      <c r="A354">
        <v>1176</v>
      </c>
      <c r="B354">
        <v>26</v>
      </c>
      <c r="C354" t="s">
        <v>26</v>
      </c>
      <c r="D354" t="s">
        <v>16</v>
      </c>
      <c r="E354" t="s">
        <v>17</v>
      </c>
      <c r="F354" t="s">
        <v>21</v>
      </c>
      <c r="G354" t="s">
        <v>41</v>
      </c>
      <c r="H354" t="s">
        <v>25</v>
      </c>
      <c r="I354" s="1">
        <v>2</v>
      </c>
      <c r="J354" s="2">
        <v>46172</v>
      </c>
      <c r="K354" s="2">
        <f t="shared" si="11"/>
        <v>46143</v>
      </c>
      <c r="L354" s="1" t="s">
        <v>51</v>
      </c>
      <c r="M354" s="1" t="s">
        <v>49</v>
      </c>
      <c r="N354">
        <v>2025</v>
      </c>
      <c r="O354" s="2"/>
      <c r="P354" t="str">
        <f t="shared" si="10"/>
        <v>117646172</v>
      </c>
    </row>
    <row r="355" spans="1:16" x14ac:dyDescent="0.3">
      <c r="A355">
        <v>1197</v>
      </c>
      <c r="B355">
        <v>57</v>
      </c>
      <c r="C355" t="s">
        <v>26</v>
      </c>
      <c r="D355" t="s">
        <v>27</v>
      </c>
      <c r="E355" t="s">
        <v>17</v>
      </c>
      <c r="F355" t="s">
        <v>23</v>
      </c>
      <c r="G355" t="s">
        <v>43</v>
      </c>
      <c r="H355" t="s">
        <v>25</v>
      </c>
      <c r="I355" s="1">
        <v>2</v>
      </c>
      <c r="J355" s="2">
        <v>46144</v>
      </c>
      <c r="K355" s="2">
        <f t="shared" si="11"/>
        <v>46143</v>
      </c>
      <c r="L355" s="1" t="str">
        <f>TEXT(J355,"ddd")</f>
        <v>sáb</v>
      </c>
      <c r="M355" s="1" t="str">
        <f>TEXT($J355,"mmm")</f>
        <v>mai</v>
      </c>
      <c r="N355">
        <f>YEAR(J355)</f>
        <v>2026</v>
      </c>
      <c r="O355" s="2"/>
      <c r="P355" t="str">
        <f t="shared" si="10"/>
        <v>119746144</v>
      </c>
    </row>
    <row r="356" spans="1:16" x14ac:dyDescent="0.3">
      <c r="A356">
        <v>1197</v>
      </c>
      <c r="B356">
        <v>57</v>
      </c>
      <c r="C356" t="s">
        <v>26</v>
      </c>
      <c r="D356" t="s">
        <v>27</v>
      </c>
      <c r="E356" t="s">
        <v>17</v>
      </c>
      <c r="F356" t="s">
        <v>23</v>
      </c>
      <c r="G356" t="s">
        <v>43</v>
      </c>
      <c r="H356" t="s">
        <v>25</v>
      </c>
      <c r="I356" s="1">
        <v>2</v>
      </c>
      <c r="J356" s="2">
        <v>46163</v>
      </c>
      <c r="K356" s="2">
        <f t="shared" si="11"/>
        <v>46143</v>
      </c>
      <c r="L356" s="1" t="str">
        <f>TEXT(J356,"ddd")</f>
        <v>qui</v>
      </c>
      <c r="M356" s="1" t="str">
        <f>TEXT($J356,"mmm")</f>
        <v>mai</v>
      </c>
      <c r="N356">
        <f>YEAR(J356)</f>
        <v>2026</v>
      </c>
      <c r="O356" s="2"/>
      <c r="P356" t="str">
        <f t="shared" si="10"/>
        <v>119746163</v>
      </c>
    </row>
    <row r="357" spans="1:16" x14ac:dyDescent="0.3">
      <c r="A357">
        <v>1197</v>
      </c>
      <c r="B357">
        <v>57</v>
      </c>
      <c r="C357" t="s">
        <v>26</v>
      </c>
      <c r="D357" t="s">
        <v>27</v>
      </c>
      <c r="E357" t="s">
        <v>17</v>
      </c>
      <c r="F357" t="s">
        <v>23</v>
      </c>
      <c r="G357" t="s">
        <v>43</v>
      </c>
      <c r="H357" t="s">
        <v>25</v>
      </c>
      <c r="I357" s="1">
        <v>2</v>
      </c>
      <c r="J357" s="2">
        <v>46146</v>
      </c>
      <c r="K357" s="2">
        <f t="shared" si="11"/>
        <v>46143</v>
      </c>
      <c r="L357" s="1" t="s">
        <v>55</v>
      </c>
      <c r="M357" s="1" t="s">
        <v>49</v>
      </c>
      <c r="N357">
        <v>2025</v>
      </c>
      <c r="O357" s="2"/>
      <c r="P357" t="str">
        <f t="shared" si="10"/>
        <v>119746146</v>
      </c>
    </row>
    <row r="358" spans="1:16" x14ac:dyDescent="0.3">
      <c r="A358">
        <v>1197</v>
      </c>
      <c r="B358">
        <v>57</v>
      </c>
      <c r="C358" t="s">
        <v>26</v>
      </c>
      <c r="D358" t="s">
        <v>27</v>
      </c>
      <c r="E358" t="s">
        <v>17</v>
      </c>
      <c r="F358" t="s">
        <v>23</v>
      </c>
      <c r="G358" t="s">
        <v>43</v>
      </c>
      <c r="H358" t="s">
        <v>25</v>
      </c>
      <c r="I358" s="1">
        <v>2</v>
      </c>
      <c r="J358" s="2">
        <v>46155</v>
      </c>
      <c r="K358" s="2">
        <f t="shared" si="11"/>
        <v>46143</v>
      </c>
      <c r="L358" s="1" t="s">
        <v>50</v>
      </c>
      <c r="M358" s="1" t="s">
        <v>49</v>
      </c>
      <c r="N358">
        <v>2025</v>
      </c>
      <c r="O358" s="2"/>
      <c r="P358" t="str">
        <f t="shared" si="10"/>
        <v>119746155</v>
      </c>
    </row>
    <row r="359" spans="1:16" x14ac:dyDescent="0.3">
      <c r="A359">
        <v>1203</v>
      </c>
      <c r="B359">
        <v>55</v>
      </c>
      <c r="C359" t="s">
        <v>15</v>
      </c>
      <c r="D359" t="s">
        <v>22</v>
      </c>
      <c r="E359" t="s">
        <v>17</v>
      </c>
      <c r="F359" t="s">
        <v>21</v>
      </c>
      <c r="G359" t="s">
        <v>41</v>
      </c>
      <c r="H359" t="s">
        <v>25</v>
      </c>
      <c r="I359" s="1">
        <v>1</v>
      </c>
      <c r="J359" s="2">
        <v>46147</v>
      </c>
      <c r="K359" s="2">
        <f t="shared" si="11"/>
        <v>46143</v>
      </c>
      <c r="L359" s="1" t="str">
        <f>TEXT(J359,"ddd")</f>
        <v>ter</v>
      </c>
      <c r="M359" s="1" t="str">
        <f>TEXT($J359,"mmm")</f>
        <v>mai</v>
      </c>
      <c r="N359">
        <f>YEAR(J359)</f>
        <v>2026</v>
      </c>
      <c r="O359" s="2"/>
      <c r="P359" t="str">
        <f t="shared" si="10"/>
        <v>120346147</v>
      </c>
    </row>
    <row r="360" spans="1:16" x14ac:dyDescent="0.3">
      <c r="A360">
        <v>1203</v>
      </c>
      <c r="B360">
        <v>55</v>
      </c>
      <c r="C360" t="s">
        <v>15</v>
      </c>
      <c r="D360" t="s">
        <v>22</v>
      </c>
      <c r="E360" t="s">
        <v>17</v>
      </c>
      <c r="F360" t="s">
        <v>21</v>
      </c>
      <c r="G360" t="s">
        <v>41</v>
      </c>
      <c r="H360" t="s">
        <v>25</v>
      </c>
      <c r="I360" s="1">
        <v>1</v>
      </c>
      <c r="J360" s="2">
        <v>46142</v>
      </c>
      <c r="K360" s="2">
        <f t="shared" si="11"/>
        <v>46113</v>
      </c>
      <c r="L360" s="1" t="s">
        <v>56</v>
      </c>
      <c r="M360" s="1" t="s">
        <v>49</v>
      </c>
      <c r="N360">
        <v>2025</v>
      </c>
      <c r="O360" s="2"/>
      <c r="P360" t="str">
        <f t="shared" si="10"/>
        <v>120346142</v>
      </c>
    </row>
    <row r="361" spans="1:16" x14ac:dyDescent="0.3">
      <c r="A361">
        <v>1210</v>
      </c>
      <c r="B361">
        <v>28</v>
      </c>
      <c r="C361" t="s">
        <v>15</v>
      </c>
      <c r="D361" t="s">
        <v>16</v>
      </c>
      <c r="E361" t="s">
        <v>17</v>
      </c>
      <c r="F361" t="s">
        <v>18</v>
      </c>
      <c r="G361" t="s">
        <v>41</v>
      </c>
      <c r="H361" t="s">
        <v>25</v>
      </c>
      <c r="I361" s="1">
        <v>2</v>
      </c>
      <c r="J361" s="2">
        <v>46173</v>
      </c>
      <c r="K361" s="2">
        <f t="shared" si="11"/>
        <v>46143</v>
      </c>
      <c r="L361" s="1" t="str">
        <f>TEXT(J361,"ddd")</f>
        <v>dom</v>
      </c>
      <c r="M361" s="1" t="str">
        <f>TEXT($J361,"mmm")</f>
        <v>mai</v>
      </c>
      <c r="N361">
        <f>YEAR(J361)</f>
        <v>2026</v>
      </c>
      <c r="O361" s="2"/>
      <c r="P361" t="str">
        <f t="shared" si="10"/>
        <v>121046173</v>
      </c>
    </row>
    <row r="362" spans="1:16" x14ac:dyDescent="0.3">
      <c r="A362">
        <v>1210</v>
      </c>
      <c r="B362">
        <v>28</v>
      </c>
      <c r="C362" t="s">
        <v>15</v>
      </c>
      <c r="D362" t="s">
        <v>16</v>
      </c>
      <c r="E362" t="s">
        <v>17</v>
      </c>
      <c r="F362" t="s">
        <v>18</v>
      </c>
      <c r="G362" t="s">
        <v>41</v>
      </c>
      <c r="H362" t="s">
        <v>25</v>
      </c>
      <c r="I362" s="1">
        <v>2</v>
      </c>
      <c r="J362" s="2">
        <v>46166</v>
      </c>
      <c r="K362" s="2">
        <f t="shared" si="11"/>
        <v>46143</v>
      </c>
      <c r="L362" s="1" t="s">
        <v>54</v>
      </c>
      <c r="M362" s="1" t="s">
        <v>49</v>
      </c>
      <c r="N362">
        <v>2025</v>
      </c>
      <c r="O362" s="2"/>
      <c r="P362" t="str">
        <f t="shared" si="10"/>
        <v>121046166</v>
      </c>
    </row>
    <row r="363" spans="1:16" x14ac:dyDescent="0.3">
      <c r="A363">
        <v>1214</v>
      </c>
      <c r="B363">
        <v>54</v>
      </c>
      <c r="C363" t="s">
        <v>15</v>
      </c>
      <c r="D363" t="s">
        <v>29</v>
      </c>
      <c r="E363" t="s">
        <v>17</v>
      </c>
      <c r="F363" t="s">
        <v>21</v>
      </c>
      <c r="G363" t="s">
        <v>41</v>
      </c>
      <c r="H363" t="s">
        <v>25</v>
      </c>
      <c r="I363" s="1">
        <v>2</v>
      </c>
      <c r="J363" s="2">
        <v>46140</v>
      </c>
      <c r="K363" s="2">
        <f t="shared" si="11"/>
        <v>46113</v>
      </c>
      <c r="L363" s="1" t="str">
        <f>TEXT(J363,"ddd")</f>
        <v>ter</v>
      </c>
      <c r="M363" s="1" t="str">
        <f>TEXT($J363,"mmm")</f>
        <v>abr</v>
      </c>
      <c r="N363">
        <f>YEAR(J363)</f>
        <v>2026</v>
      </c>
      <c r="O363" s="2"/>
      <c r="P363" t="str">
        <f t="shared" si="10"/>
        <v>121446140</v>
      </c>
    </row>
    <row r="364" spans="1:16" x14ac:dyDescent="0.3">
      <c r="A364">
        <v>1214</v>
      </c>
      <c r="B364">
        <v>54</v>
      </c>
      <c r="C364" t="s">
        <v>15</v>
      </c>
      <c r="D364" t="s">
        <v>29</v>
      </c>
      <c r="E364" t="s">
        <v>17</v>
      </c>
      <c r="F364" t="s">
        <v>21</v>
      </c>
      <c r="G364" t="s">
        <v>41</v>
      </c>
      <c r="H364" t="s">
        <v>25</v>
      </c>
      <c r="I364" s="1">
        <v>2</v>
      </c>
      <c r="J364" s="2">
        <v>46126</v>
      </c>
      <c r="K364" s="2">
        <f t="shared" si="11"/>
        <v>46113</v>
      </c>
      <c r="L364" s="1" t="str">
        <f>TEXT(J364,"ddd")</f>
        <v>ter</v>
      </c>
      <c r="M364" s="1" t="str">
        <f>TEXT($J364,"mmm")</f>
        <v>abr</v>
      </c>
      <c r="N364">
        <f>YEAR(J364)</f>
        <v>2026</v>
      </c>
      <c r="O364" s="2"/>
      <c r="P364" t="str">
        <f t="shared" si="10"/>
        <v>121446126</v>
      </c>
    </row>
    <row r="365" spans="1:16" x14ac:dyDescent="0.3">
      <c r="A365">
        <v>1214</v>
      </c>
      <c r="B365">
        <v>54</v>
      </c>
      <c r="C365" t="s">
        <v>15</v>
      </c>
      <c r="D365" t="s">
        <v>29</v>
      </c>
      <c r="E365" t="s">
        <v>17</v>
      </c>
      <c r="F365" t="s">
        <v>21</v>
      </c>
      <c r="G365" t="s">
        <v>41</v>
      </c>
      <c r="H365" t="s">
        <v>25</v>
      </c>
      <c r="I365" s="1">
        <v>2</v>
      </c>
      <c r="J365" s="2">
        <v>46128</v>
      </c>
      <c r="K365" s="2">
        <f t="shared" si="11"/>
        <v>46113</v>
      </c>
      <c r="L365" s="1" t="s">
        <v>51</v>
      </c>
      <c r="M365" s="1" t="s">
        <v>48</v>
      </c>
      <c r="N365">
        <v>2025</v>
      </c>
      <c r="O365" s="2"/>
      <c r="P365" t="str">
        <f t="shared" si="10"/>
        <v>121446128</v>
      </c>
    </row>
    <row r="366" spans="1:16" x14ac:dyDescent="0.3">
      <c r="A366">
        <v>1214</v>
      </c>
      <c r="B366">
        <v>54</v>
      </c>
      <c r="C366" t="s">
        <v>15</v>
      </c>
      <c r="D366" t="s">
        <v>29</v>
      </c>
      <c r="E366" t="s">
        <v>17</v>
      </c>
      <c r="F366" t="s">
        <v>21</v>
      </c>
      <c r="G366" t="s">
        <v>41</v>
      </c>
      <c r="H366" t="s">
        <v>25</v>
      </c>
      <c r="I366" s="1">
        <v>2</v>
      </c>
      <c r="J366" s="2">
        <v>46154</v>
      </c>
      <c r="K366" s="2">
        <f t="shared" si="11"/>
        <v>46143</v>
      </c>
      <c r="L366" s="1" t="s">
        <v>56</v>
      </c>
      <c r="M366" s="1" t="s">
        <v>49</v>
      </c>
      <c r="N366">
        <v>2025</v>
      </c>
      <c r="O366" s="2"/>
      <c r="P366" t="str">
        <f t="shared" si="10"/>
        <v>121446154</v>
      </c>
    </row>
    <row r="367" spans="1:16" x14ac:dyDescent="0.3">
      <c r="A367">
        <v>1240</v>
      </c>
      <c r="B367">
        <v>39</v>
      </c>
      <c r="C367" t="s">
        <v>15</v>
      </c>
      <c r="D367" t="s">
        <v>31</v>
      </c>
      <c r="E367" t="s">
        <v>34</v>
      </c>
      <c r="F367" t="s">
        <v>21</v>
      </c>
      <c r="G367" t="s">
        <v>41</v>
      </c>
      <c r="H367" t="s">
        <v>25</v>
      </c>
      <c r="I367" s="1">
        <v>2</v>
      </c>
      <c r="J367" s="2">
        <v>46142</v>
      </c>
      <c r="K367" s="2">
        <f t="shared" si="11"/>
        <v>46113</v>
      </c>
      <c r="L367" s="1" t="str">
        <f>TEXT(J367,"ddd")</f>
        <v>qui</v>
      </c>
      <c r="M367" s="1" t="str">
        <f>TEXT($J367,"mmm")</f>
        <v>abr</v>
      </c>
      <c r="N367">
        <f>YEAR(J367)</f>
        <v>2026</v>
      </c>
      <c r="O367" s="2"/>
      <c r="P367" t="str">
        <f t="shared" si="10"/>
        <v>124046142</v>
      </c>
    </row>
    <row r="368" spans="1:16" x14ac:dyDescent="0.3">
      <c r="A368">
        <v>1240</v>
      </c>
      <c r="B368">
        <v>39</v>
      </c>
      <c r="C368" t="s">
        <v>15</v>
      </c>
      <c r="D368" t="s">
        <v>31</v>
      </c>
      <c r="E368" t="s">
        <v>34</v>
      </c>
      <c r="F368" t="s">
        <v>21</v>
      </c>
      <c r="G368" t="s">
        <v>41</v>
      </c>
      <c r="H368" t="s">
        <v>25</v>
      </c>
      <c r="I368" s="1">
        <v>2</v>
      </c>
      <c r="J368" s="2">
        <v>46162</v>
      </c>
      <c r="K368" s="2">
        <f t="shared" si="11"/>
        <v>46143</v>
      </c>
      <c r="L368" s="1" t="str">
        <f>TEXT(J368,"ddd")</f>
        <v>qua</v>
      </c>
      <c r="M368" s="1" t="str">
        <f>TEXT($J368,"mmm")</f>
        <v>mai</v>
      </c>
      <c r="N368">
        <f>YEAR(J368)</f>
        <v>2026</v>
      </c>
      <c r="O368" s="2"/>
      <c r="P368" t="str">
        <f t="shared" si="10"/>
        <v>124046162</v>
      </c>
    </row>
    <row r="369" spans="1:16" x14ac:dyDescent="0.3">
      <c r="A369">
        <v>1240</v>
      </c>
      <c r="B369">
        <v>39</v>
      </c>
      <c r="C369" t="s">
        <v>15</v>
      </c>
      <c r="D369" t="s">
        <v>31</v>
      </c>
      <c r="E369" t="s">
        <v>34</v>
      </c>
      <c r="F369" t="s">
        <v>21</v>
      </c>
      <c r="G369" t="s">
        <v>41</v>
      </c>
      <c r="H369" t="s">
        <v>25</v>
      </c>
      <c r="I369" s="1">
        <v>2</v>
      </c>
      <c r="J369" s="2">
        <v>46125</v>
      </c>
      <c r="K369" s="2">
        <f t="shared" si="11"/>
        <v>46113</v>
      </c>
      <c r="L369" s="1" t="s">
        <v>55</v>
      </c>
      <c r="M369" s="1" t="s">
        <v>48</v>
      </c>
      <c r="N369">
        <v>2025</v>
      </c>
      <c r="O369" s="2"/>
      <c r="P369" t="str">
        <f t="shared" si="10"/>
        <v>124046125</v>
      </c>
    </row>
    <row r="370" spans="1:16" x14ac:dyDescent="0.3">
      <c r="A370">
        <v>1240</v>
      </c>
      <c r="B370">
        <v>39</v>
      </c>
      <c r="C370" t="s">
        <v>15</v>
      </c>
      <c r="D370" t="s">
        <v>31</v>
      </c>
      <c r="E370" t="s">
        <v>34</v>
      </c>
      <c r="F370" t="s">
        <v>21</v>
      </c>
      <c r="G370" t="s">
        <v>41</v>
      </c>
      <c r="H370" t="s">
        <v>25</v>
      </c>
      <c r="I370" s="1">
        <v>2</v>
      </c>
      <c r="J370" s="2">
        <v>46123</v>
      </c>
      <c r="K370" s="2">
        <f t="shared" si="11"/>
        <v>46113</v>
      </c>
      <c r="L370" s="1" t="s">
        <v>50</v>
      </c>
      <c r="M370" s="1" t="s">
        <v>49</v>
      </c>
      <c r="N370">
        <v>2025</v>
      </c>
      <c r="O370" s="2"/>
      <c r="P370" t="str">
        <f t="shared" si="10"/>
        <v>124046123</v>
      </c>
    </row>
    <row r="371" spans="1:16" x14ac:dyDescent="0.3">
      <c r="A371">
        <v>1241</v>
      </c>
      <c r="B371">
        <v>37</v>
      </c>
      <c r="C371" t="s">
        <v>15</v>
      </c>
      <c r="D371" t="s">
        <v>29</v>
      </c>
      <c r="E371" t="s">
        <v>17</v>
      </c>
      <c r="F371" t="s">
        <v>23</v>
      </c>
      <c r="G371" t="s">
        <v>43</v>
      </c>
      <c r="H371" t="s">
        <v>25</v>
      </c>
      <c r="I371" s="1">
        <v>3</v>
      </c>
      <c r="J371" s="2">
        <v>46126</v>
      </c>
      <c r="K371" s="2">
        <f t="shared" si="11"/>
        <v>46113</v>
      </c>
      <c r="L371" s="1" t="str">
        <f>TEXT(J371,"ddd")</f>
        <v>ter</v>
      </c>
      <c r="M371" s="1" t="str">
        <f>TEXT($J371,"mmm")</f>
        <v>abr</v>
      </c>
      <c r="N371">
        <f>YEAR(J371)</f>
        <v>2026</v>
      </c>
      <c r="O371" s="2"/>
      <c r="P371" t="str">
        <f t="shared" si="10"/>
        <v>124146126</v>
      </c>
    </row>
    <row r="372" spans="1:16" x14ac:dyDescent="0.3">
      <c r="A372">
        <v>1241</v>
      </c>
      <c r="B372">
        <v>37</v>
      </c>
      <c r="C372" t="s">
        <v>15</v>
      </c>
      <c r="D372" t="s">
        <v>29</v>
      </c>
      <c r="E372" t="s">
        <v>17</v>
      </c>
      <c r="F372" t="s">
        <v>23</v>
      </c>
      <c r="G372" t="s">
        <v>43</v>
      </c>
      <c r="H372" t="s">
        <v>25</v>
      </c>
      <c r="I372" s="1">
        <v>3</v>
      </c>
      <c r="J372" s="2">
        <v>46151</v>
      </c>
      <c r="K372" s="2">
        <f t="shared" si="11"/>
        <v>46143</v>
      </c>
      <c r="L372" s="1" t="s">
        <v>53</v>
      </c>
      <c r="M372" s="1" t="s">
        <v>49</v>
      </c>
      <c r="N372">
        <v>2025</v>
      </c>
      <c r="O372" s="2"/>
      <c r="P372" t="str">
        <f t="shared" si="10"/>
        <v>124146151</v>
      </c>
    </row>
    <row r="373" spans="1:16" x14ac:dyDescent="0.3">
      <c r="A373">
        <v>1253</v>
      </c>
      <c r="B373">
        <v>41</v>
      </c>
      <c r="C373" t="s">
        <v>26</v>
      </c>
      <c r="D373" t="s">
        <v>31</v>
      </c>
      <c r="E373" t="s">
        <v>32</v>
      </c>
      <c r="F373" t="s">
        <v>23</v>
      </c>
      <c r="G373" t="s">
        <v>43</v>
      </c>
      <c r="H373" t="s">
        <v>25</v>
      </c>
      <c r="I373" s="1">
        <v>1</v>
      </c>
      <c r="J373" s="2">
        <v>46140</v>
      </c>
      <c r="K373" s="2">
        <f t="shared" si="11"/>
        <v>46113</v>
      </c>
      <c r="L373" s="1" t="str">
        <f>TEXT(J373,"ddd")</f>
        <v>ter</v>
      </c>
      <c r="M373" s="1" t="str">
        <f>TEXT($J373,"mmm")</f>
        <v>abr</v>
      </c>
      <c r="N373">
        <f>YEAR(J373)</f>
        <v>2026</v>
      </c>
      <c r="O373" s="2"/>
      <c r="P373" t="str">
        <f t="shared" si="10"/>
        <v>125346140</v>
      </c>
    </row>
    <row r="374" spans="1:16" x14ac:dyDescent="0.3">
      <c r="A374">
        <v>1253</v>
      </c>
      <c r="B374">
        <v>41</v>
      </c>
      <c r="C374" t="s">
        <v>26</v>
      </c>
      <c r="D374" t="s">
        <v>31</v>
      </c>
      <c r="E374" t="s">
        <v>32</v>
      </c>
      <c r="F374" t="s">
        <v>23</v>
      </c>
      <c r="G374" t="s">
        <v>43</v>
      </c>
      <c r="H374" t="s">
        <v>25</v>
      </c>
      <c r="I374" s="1">
        <v>1</v>
      </c>
      <c r="J374" s="2">
        <v>46146</v>
      </c>
      <c r="K374" s="2">
        <f t="shared" si="11"/>
        <v>46143</v>
      </c>
      <c r="L374" s="1" t="s">
        <v>55</v>
      </c>
      <c r="M374" s="1" t="s">
        <v>49</v>
      </c>
      <c r="N374">
        <v>2025</v>
      </c>
      <c r="O374" s="2"/>
      <c r="P374" t="str">
        <f t="shared" si="10"/>
        <v>125346146</v>
      </c>
    </row>
    <row r="375" spans="1:16" x14ac:dyDescent="0.3">
      <c r="A375">
        <v>1263</v>
      </c>
      <c r="B375">
        <v>24</v>
      </c>
      <c r="C375" t="s">
        <v>15</v>
      </c>
      <c r="D375" t="s">
        <v>16</v>
      </c>
      <c r="E375" t="s">
        <v>17</v>
      </c>
      <c r="F375" t="s">
        <v>23</v>
      </c>
      <c r="G375" t="s">
        <v>41</v>
      </c>
      <c r="H375" t="s">
        <v>25</v>
      </c>
      <c r="I375" s="1">
        <v>2</v>
      </c>
      <c r="J375" s="2">
        <v>46142</v>
      </c>
      <c r="K375" s="2">
        <f t="shared" si="11"/>
        <v>46113</v>
      </c>
      <c r="L375" s="1" t="str">
        <f>TEXT(J375,"ddd")</f>
        <v>qui</v>
      </c>
      <c r="M375" s="1" t="str">
        <f>TEXT($J375,"mmm")</f>
        <v>abr</v>
      </c>
      <c r="N375">
        <f>YEAR(J375)</f>
        <v>2026</v>
      </c>
      <c r="O375" s="2"/>
      <c r="P375" t="str">
        <f t="shared" si="10"/>
        <v>126346142</v>
      </c>
    </row>
    <row r="376" spans="1:16" x14ac:dyDescent="0.3">
      <c r="A376">
        <v>1263</v>
      </c>
      <c r="B376">
        <v>24</v>
      </c>
      <c r="C376" t="s">
        <v>15</v>
      </c>
      <c r="D376" t="s">
        <v>16</v>
      </c>
      <c r="E376" t="s">
        <v>17</v>
      </c>
      <c r="F376" t="s">
        <v>23</v>
      </c>
      <c r="G376" t="s">
        <v>41</v>
      </c>
      <c r="H376" t="s">
        <v>25</v>
      </c>
      <c r="I376" s="1">
        <v>2</v>
      </c>
      <c r="J376" s="2">
        <v>46156</v>
      </c>
      <c r="K376" s="2">
        <f t="shared" si="11"/>
        <v>46143</v>
      </c>
      <c r="L376" s="1" t="s">
        <v>51</v>
      </c>
      <c r="M376" s="1" t="s">
        <v>49</v>
      </c>
      <c r="N376">
        <v>2025</v>
      </c>
      <c r="O376" s="2"/>
      <c r="P376" t="str">
        <f t="shared" si="10"/>
        <v>126346156</v>
      </c>
    </row>
    <row r="377" spans="1:16" x14ac:dyDescent="0.3">
      <c r="A377">
        <v>1267</v>
      </c>
      <c r="B377">
        <v>42</v>
      </c>
      <c r="C377" t="s">
        <v>15</v>
      </c>
      <c r="D377" t="s">
        <v>29</v>
      </c>
      <c r="E377" t="s">
        <v>17</v>
      </c>
      <c r="F377" t="s">
        <v>21</v>
      </c>
      <c r="G377" t="s">
        <v>41</v>
      </c>
      <c r="H377" t="s">
        <v>25</v>
      </c>
      <c r="I377" s="1">
        <v>1</v>
      </c>
      <c r="J377" s="2">
        <v>46129</v>
      </c>
      <c r="K377" s="2">
        <f t="shared" si="11"/>
        <v>46113</v>
      </c>
      <c r="L377" s="1" t="str">
        <f>TEXT(J377,"ddd")</f>
        <v>sex</v>
      </c>
      <c r="M377" s="1" t="str">
        <f>TEXT($J377,"mmm")</f>
        <v>abr</v>
      </c>
      <c r="N377">
        <f>YEAR(J377)</f>
        <v>2026</v>
      </c>
      <c r="O377" s="2"/>
      <c r="P377" t="str">
        <f t="shared" si="10"/>
        <v>126746129</v>
      </c>
    </row>
    <row r="378" spans="1:16" x14ac:dyDescent="0.3">
      <c r="A378">
        <v>1267</v>
      </c>
      <c r="B378">
        <v>42</v>
      </c>
      <c r="C378" t="s">
        <v>15</v>
      </c>
      <c r="D378" t="s">
        <v>29</v>
      </c>
      <c r="E378" t="s">
        <v>17</v>
      </c>
      <c r="F378" t="s">
        <v>21</v>
      </c>
      <c r="G378" t="s">
        <v>41</v>
      </c>
      <c r="H378" t="s">
        <v>25</v>
      </c>
      <c r="I378" s="1">
        <v>1</v>
      </c>
      <c r="J378" s="2">
        <v>46126</v>
      </c>
      <c r="K378" s="2">
        <f t="shared" si="11"/>
        <v>46113</v>
      </c>
      <c r="L378" s="1" t="s">
        <v>52</v>
      </c>
      <c r="M378" s="1" t="s">
        <v>48</v>
      </c>
      <c r="N378">
        <v>2025</v>
      </c>
      <c r="O378" s="2"/>
      <c r="P378" t="str">
        <f t="shared" si="10"/>
        <v>126746126</v>
      </c>
    </row>
    <row r="379" spans="1:16" x14ac:dyDescent="0.3">
      <c r="A379">
        <v>1289</v>
      </c>
      <c r="B379">
        <v>27</v>
      </c>
      <c r="C379" t="s">
        <v>15</v>
      </c>
      <c r="D379" t="s">
        <v>29</v>
      </c>
      <c r="E379" t="s">
        <v>17</v>
      </c>
      <c r="F379" t="s">
        <v>21</v>
      </c>
      <c r="G379" t="s">
        <v>41</v>
      </c>
      <c r="H379" t="s">
        <v>25</v>
      </c>
      <c r="I379" s="1">
        <v>1</v>
      </c>
      <c r="J379" s="2">
        <v>46140</v>
      </c>
      <c r="K379" s="2">
        <f t="shared" si="11"/>
        <v>46113</v>
      </c>
      <c r="L379" s="1" t="str">
        <f>TEXT(J379,"ddd")</f>
        <v>ter</v>
      </c>
      <c r="M379" s="1" t="str">
        <f>TEXT($J379,"mmm")</f>
        <v>abr</v>
      </c>
      <c r="N379">
        <f>YEAR(J379)</f>
        <v>2026</v>
      </c>
      <c r="O379" s="2"/>
      <c r="P379" t="str">
        <f t="shared" si="10"/>
        <v>128946140</v>
      </c>
    </row>
    <row r="380" spans="1:16" x14ac:dyDescent="0.3">
      <c r="A380">
        <v>1289</v>
      </c>
      <c r="B380">
        <v>27</v>
      </c>
      <c r="C380" t="s">
        <v>15</v>
      </c>
      <c r="D380" t="s">
        <v>29</v>
      </c>
      <c r="E380" t="s">
        <v>17</v>
      </c>
      <c r="F380" t="s">
        <v>21</v>
      </c>
      <c r="G380" t="s">
        <v>41</v>
      </c>
      <c r="H380" t="s">
        <v>25</v>
      </c>
      <c r="I380" s="1">
        <v>1</v>
      </c>
      <c r="J380" s="2">
        <v>46136</v>
      </c>
      <c r="K380" s="2">
        <f t="shared" si="11"/>
        <v>46113</v>
      </c>
      <c r="L380" s="1" t="s">
        <v>52</v>
      </c>
      <c r="M380" s="1" t="s">
        <v>48</v>
      </c>
      <c r="N380">
        <v>2025</v>
      </c>
      <c r="O380" s="2"/>
      <c r="P380" t="str">
        <f t="shared" si="10"/>
        <v>128946136</v>
      </c>
    </row>
    <row r="381" spans="1:16" x14ac:dyDescent="0.3">
      <c r="A381">
        <v>1299</v>
      </c>
      <c r="B381">
        <v>37</v>
      </c>
      <c r="C381" t="s">
        <v>26</v>
      </c>
      <c r="D381" t="s">
        <v>29</v>
      </c>
      <c r="E381" t="s">
        <v>17</v>
      </c>
      <c r="F381" t="s">
        <v>23</v>
      </c>
      <c r="G381" t="s">
        <v>43</v>
      </c>
      <c r="H381" t="s">
        <v>25</v>
      </c>
      <c r="I381" s="1">
        <v>2</v>
      </c>
      <c r="J381" s="2">
        <v>46144</v>
      </c>
      <c r="K381" s="2">
        <f t="shared" si="11"/>
        <v>46143</v>
      </c>
      <c r="L381" s="1" t="str">
        <f>TEXT(J381,"ddd")</f>
        <v>sáb</v>
      </c>
      <c r="M381" s="1" t="str">
        <f>TEXT($J381,"mmm")</f>
        <v>mai</v>
      </c>
      <c r="N381">
        <f>YEAR(J381)</f>
        <v>2026</v>
      </c>
      <c r="O381" s="2"/>
      <c r="P381" t="str">
        <f t="shared" si="10"/>
        <v>129946144</v>
      </c>
    </row>
    <row r="382" spans="1:16" x14ac:dyDescent="0.3">
      <c r="A382">
        <v>1299</v>
      </c>
      <c r="B382">
        <v>37</v>
      </c>
      <c r="C382" t="s">
        <v>26</v>
      </c>
      <c r="D382" t="s">
        <v>29</v>
      </c>
      <c r="E382" t="s">
        <v>17</v>
      </c>
      <c r="F382" t="s">
        <v>23</v>
      </c>
      <c r="G382" t="s">
        <v>43</v>
      </c>
      <c r="H382" t="s">
        <v>25</v>
      </c>
      <c r="I382" s="1">
        <v>2</v>
      </c>
      <c r="J382" s="2">
        <v>46142</v>
      </c>
      <c r="K382" s="2">
        <f t="shared" si="11"/>
        <v>46113</v>
      </c>
      <c r="L382" s="1" t="str">
        <f>TEXT(J382,"ddd")</f>
        <v>qui</v>
      </c>
      <c r="M382" s="1" t="str">
        <f>TEXT($J382,"mmm")</f>
        <v>abr</v>
      </c>
      <c r="N382">
        <f>YEAR(J382)</f>
        <v>2026</v>
      </c>
      <c r="O382" s="2"/>
      <c r="P382" t="str">
        <f t="shared" si="10"/>
        <v>129946142</v>
      </c>
    </row>
    <row r="383" spans="1:16" x14ac:dyDescent="0.3">
      <c r="A383">
        <v>1299</v>
      </c>
      <c r="B383">
        <v>37</v>
      </c>
      <c r="C383" t="s">
        <v>26</v>
      </c>
      <c r="D383" t="s">
        <v>29</v>
      </c>
      <c r="E383" t="s">
        <v>17</v>
      </c>
      <c r="F383" t="s">
        <v>23</v>
      </c>
      <c r="G383" t="s">
        <v>43</v>
      </c>
      <c r="H383" t="s">
        <v>25</v>
      </c>
      <c r="I383" s="1">
        <v>2</v>
      </c>
      <c r="J383" s="2">
        <v>46146</v>
      </c>
      <c r="K383" s="2">
        <f t="shared" si="11"/>
        <v>46143</v>
      </c>
      <c r="L383" s="1" t="s">
        <v>55</v>
      </c>
      <c r="M383" s="1" t="s">
        <v>49</v>
      </c>
      <c r="N383">
        <v>2025</v>
      </c>
      <c r="O383" s="2"/>
      <c r="P383" t="str">
        <f t="shared" si="10"/>
        <v>129946146</v>
      </c>
    </row>
    <row r="384" spans="1:16" x14ac:dyDescent="0.3">
      <c r="A384">
        <v>1299</v>
      </c>
      <c r="B384">
        <v>37</v>
      </c>
      <c r="C384" t="s">
        <v>26</v>
      </c>
      <c r="D384" t="s">
        <v>29</v>
      </c>
      <c r="E384" t="s">
        <v>17</v>
      </c>
      <c r="F384" t="s">
        <v>23</v>
      </c>
      <c r="G384" t="s">
        <v>43</v>
      </c>
      <c r="H384" t="s">
        <v>25</v>
      </c>
      <c r="I384" s="1">
        <v>2</v>
      </c>
      <c r="J384" s="2">
        <v>46166</v>
      </c>
      <c r="K384" s="2">
        <f t="shared" si="11"/>
        <v>46143</v>
      </c>
      <c r="L384" s="1" t="s">
        <v>54</v>
      </c>
      <c r="M384" s="1" t="s">
        <v>49</v>
      </c>
      <c r="N384">
        <v>2025</v>
      </c>
      <c r="O384" s="2"/>
      <c r="P384" t="str">
        <f t="shared" si="10"/>
        <v>129946166</v>
      </c>
    </row>
    <row r="385" spans="1:16" x14ac:dyDescent="0.3">
      <c r="A385">
        <v>1300</v>
      </c>
      <c r="B385">
        <v>39</v>
      </c>
      <c r="C385" t="s">
        <v>26</v>
      </c>
      <c r="D385" t="s">
        <v>27</v>
      </c>
      <c r="E385" t="s">
        <v>17</v>
      </c>
      <c r="F385" t="s">
        <v>18</v>
      </c>
      <c r="G385" t="s">
        <v>41</v>
      </c>
      <c r="H385" t="s">
        <v>25</v>
      </c>
      <c r="I385" s="1">
        <v>3</v>
      </c>
      <c r="J385" s="2">
        <v>46127</v>
      </c>
      <c r="K385" s="2">
        <f t="shared" si="11"/>
        <v>46113</v>
      </c>
      <c r="L385" s="1" t="str">
        <f>TEXT(J385,"ddd")</f>
        <v>qua</v>
      </c>
      <c r="M385" s="1" t="str">
        <f>TEXT($J385,"mmm")</f>
        <v>abr</v>
      </c>
      <c r="N385">
        <f>YEAR(J385)</f>
        <v>2026</v>
      </c>
      <c r="O385" s="2"/>
      <c r="P385" t="str">
        <f t="shared" si="10"/>
        <v>130046127</v>
      </c>
    </row>
    <row r="386" spans="1:16" x14ac:dyDescent="0.3">
      <c r="A386">
        <v>1300</v>
      </c>
      <c r="B386">
        <v>39</v>
      </c>
      <c r="C386" t="s">
        <v>26</v>
      </c>
      <c r="D386" t="s">
        <v>27</v>
      </c>
      <c r="E386" t="s">
        <v>17</v>
      </c>
      <c r="F386" t="s">
        <v>18</v>
      </c>
      <c r="G386" t="s">
        <v>41</v>
      </c>
      <c r="H386" t="s">
        <v>25</v>
      </c>
      <c r="I386" s="1">
        <v>3</v>
      </c>
      <c r="J386" s="2">
        <v>46162</v>
      </c>
      <c r="K386" s="2">
        <f t="shared" si="11"/>
        <v>46143</v>
      </c>
      <c r="L386" s="1" t="str">
        <f>TEXT(J386,"ddd")</f>
        <v>qua</v>
      </c>
      <c r="M386" s="1" t="str">
        <f>TEXT($J386,"mmm")</f>
        <v>mai</v>
      </c>
      <c r="N386">
        <f>YEAR(J386)</f>
        <v>2026</v>
      </c>
      <c r="O386" s="2"/>
      <c r="P386" t="str">
        <f t="shared" ref="P386:P449" si="12">CONCATENATE(A386,J386)</f>
        <v>130046162</v>
      </c>
    </row>
    <row r="387" spans="1:16" x14ac:dyDescent="0.3">
      <c r="A387">
        <v>1300</v>
      </c>
      <c r="B387">
        <v>39</v>
      </c>
      <c r="C387" t="s">
        <v>26</v>
      </c>
      <c r="D387" t="s">
        <v>27</v>
      </c>
      <c r="E387" t="s">
        <v>17</v>
      </c>
      <c r="F387" t="s">
        <v>18</v>
      </c>
      <c r="G387" t="s">
        <v>41</v>
      </c>
      <c r="H387" t="s">
        <v>25</v>
      </c>
      <c r="I387" s="1">
        <v>3</v>
      </c>
      <c r="J387" s="2">
        <v>46136</v>
      </c>
      <c r="K387" s="2">
        <f t="shared" ref="K387:K450" si="13">DATE(YEAR(J387),MONTH(J387),1)</f>
        <v>46113</v>
      </c>
      <c r="L387" s="1" t="s">
        <v>52</v>
      </c>
      <c r="M387" s="1" t="s">
        <v>48</v>
      </c>
      <c r="N387">
        <v>2025</v>
      </c>
      <c r="O387" s="2"/>
      <c r="P387" t="str">
        <f t="shared" si="12"/>
        <v>130046136</v>
      </c>
    </row>
    <row r="388" spans="1:16" x14ac:dyDescent="0.3">
      <c r="A388">
        <v>1300</v>
      </c>
      <c r="B388">
        <v>39</v>
      </c>
      <c r="C388" t="s">
        <v>26</v>
      </c>
      <c r="D388" t="s">
        <v>27</v>
      </c>
      <c r="E388" t="s">
        <v>17</v>
      </c>
      <c r="F388" t="s">
        <v>18</v>
      </c>
      <c r="G388" t="s">
        <v>41</v>
      </c>
      <c r="H388" t="s">
        <v>25</v>
      </c>
      <c r="I388" s="1">
        <v>3</v>
      </c>
      <c r="J388" s="2">
        <v>46158</v>
      </c>
      <c r="K388" s="2">
        <f t="shared" si="13"/>
        <v>46143</v>
      </c>
      <c r="L388" s="1" t="s">
        <v>53</v>
      </c>
      <c r="M388" s="1" t="s">
        <v>49</v>
      </c>
      <c r="N388">
        <v>2025</v>
      </c>
      <c r="O388" s="2"/>
      <c r="P388" t="str">
        <f t="shared" si="12"/>
        <v>130046158</v>
      </c>
    </row>
    <row r="389" spans="1:16" x14ac:dyDescent="0.3">
      <c r="A389">
        <v>1308</v>
      </c>
      <c r="B389">
        <v>54</v>
      </c>
      <c r="C389" t="s">
        <v>26</v>
      </c>
      <c r="D389" t="s">
        <v>16</v>
      </c>
      <c r="E389" t="s">
        <v>17</v>
      </c>
      <c r="F389" t="s">
        <v>18</v>
      </c>
      <c r="G389" t="s">
        <v>41</v>
      </c>
      <c r="H389" t="s">
        <v>25</v>
      </c>
      <c r="I389" s="1">
        <v>3</v>
      </c>
      <c r="J389" s="2">
        <v>46147</v>
      </c>
      <c r="K389" s="2">
        <f t="shared" si="13"/>
        <v>46143</v>
      </c>
      <c r="L389" s="1" t="str">
        <f>TEXT(J389,"ddd")</f>
        <v>ter</v>
      </c>
      <c r="M389" s="1" t="str">
        <f>TEXT($J389,"mmm")</f>
        <v>mai</v>
      </c>
      <c r="N389">
        <f>YEAR(J389)</f>
        <v>2026</v>
      </c>
      <c r="O389" s="2"/>
      <c r="P389" t="str">
        <f t="shared" si="12"/>
        <v>130846147</v>
      </c>
    </row>
    <row r="390" spans="1:16" x14ac:dyDescent="0.3">
      <c r="A390">
        <v>1308</v>
      </c>
      <c r="B390">
        <v>54</v>
      </c>
      <c r="C390" t="s">
        <v>26</v>
      </c>
      <c r="D390" t="s">
        <v>16</v>
      </c>
      <c r="E390" t="s">
        <v>17</v>
      </c>
      <c r="F390" t="s">
        <v>18</v>
      </c>
      <c r="G390" t="s">
        <v>41</v>
      </c>
      <c r="H390" t="s">
        <v>25</v>
      </c>
      <c r="I390" s="1">
        <v>3</v>
      </c>
      <c r="J390" s="2">
        <v>46144</v>
      </c>
      <c r="K390" s="2">
        <f t="shared" si="13"/>
        <v>46143</v>
      </c>
      <c r="L390" s="1" t="s">
        <v>56</v>
      </c>
      <c r="M390" s="1" t="s">
        <v>49</v>
      </c>
      <c r="N390">
        <v>2025</v>
      </c>
      <c r="O390" s="2"/>
      <c r="P390" t="str">
        <f t="shared" si="12"/>
        <v>130846144</v>
      </c>
    </row>
    <row r="391" spans="1:16" x14ac:dyDescent="0.3">
      <c r="A391">
        <v>1309</v>
      </c>
      <c r="B391">
        <v>45</v>
      </c>
      <c r="C391" t="s">
        <v>26</v>
      </c>
      <c r="D391" t="s">
        <v>29</v>
      </c>
      <c r="E391" t="s">
        <v>17</v>
      </c>
      <c r="F391" t="s">
        <v>23</v>
      </c>
      <c r="G391" t="s">
        <v>43</v>
      </c>
      <c r="H391" t="s">
        <v>25</v>
      </c>
      <c r="I391" s="1">
        <v>3</v>
      </c>
      <c r="J391" s="2">
        <v>46144</v>
      </c>
      <c r="K391" s="2">
        <f t="shared" si="13"/>
        <v>46143</v>
      </c>
      <c r="L391" s="1" t="str">
        <f>TEXT(J391,"ddd")</f>
        <v>sáb</v>
      </c>
      <c r="M391" s="1" t="str">
        <f>TEXT($J391,"mmm")</f>
        <v>mai</v>
      </c>
      <c r="N391">
        <f>YEAR(J391)</f>
        <v>2026</v>
      </c>
      <c r="O391" s="2"/>
      <c r="P391" t="str">
        <f t="shared" si="12"/>
        <v>130946144</v>
      </c>
    </row>
    <row r="392" spans="1:16" x14ac:dyDescent="0.3">
      <c r="A392">
        <v>1309</v>
      </c>
      <c r="B392">
        <v>45</v>
      </c>
      <c r="C392" t="s">
        <v>26</v>
      </c>
      <c r="D392" t="s">
        <v>29</v>
      </c>
      <c r="E392" t="s">
        <v>17</v>
      </c>
      <c r="F392" t="s">
        <v>23</v>
      </c>
      <c r="G392" t="s">
        <v>43</v>
      </c>
      <c r="H392" t="s">
        <v>25</v>
      </c>
      <c r="I392" s="1">
        <v>3</v>
      </c>
      <c r="J392" s="2">
        <v>46145</v>
      </c>
      <c r="K392" s="2">
        <f t="shared" si="13"/>
        <v>46143</v>
      </c>
      <c r="L392" s="1" t="s">
        <v>54</v>
      </c>
      <c r="M392" s="1" t="s">
        <v>49</v>
      </c>
      <c r="N392">
        <v>2025</v>
      </c>
      <c r="O392" s="2"/>
      <c r="P392" t="str">
        <f t="shared" si="12"/>
        <v>130946145</v>
      </c>
    </row>
    <row r="393" spans="1:16" x14ac:dyDescent="0.3">
      <c r="A393">
        <v>1311</v>
      </c>
      <c r="B393">
        <v>52</v>
      </c>
      <c r="C393" t="s">
        <v>26</v>
      </c>
      <c r="D393" t="s">
        <v>22</v>
      </c>
      <c r="E393" t="s">
        <v>17</v>
      </c>
      <c r="F393" t="s">
        <v>18</v>
      </c>
      <c r="G393" t="s">
        <v>41</v>
      </c>
      <c r="H393" t="s">
        <v>25</v>
      </c>
      <c r="I393" s="1">
        <v>3</v>
      </c>
      <c r="J393" s="2">
        <v>46159</v>
      </c>
      <c r="K393" s="2">
        <f t="shared" si="13"/>
        <v>46143</v>
      </c>
      <c r="L393" s="1" t="str">
        <f>TEXT(J393,"ddd")</f>
        <v>dom</v>
      </c>
      <c r="M393" s="1" t="str">
        <f>TEXT($J393,"mmm")</f>
        <v>mai</v>
      </c>
      <c r="N393">
        <f>YEAR(J393)</f>
        <v>2026</v>
      </c>
      <c r="O393" s="2"/>
      <c r="P393" t="str">
        <f t="shared" si="12"/>
        <v>131146159</v>
      </c>
    </row>
    <row r="394" spans="1:16" x14ac:dyDescent="0.3">
      <c r="A394">
        <v>1311</v>
      </c>
      <c r="B394">
        <v>52</v>
      </c>
      <c r="C394" t="s">
        <v>26</v>
      </c>
      <c r="D394" t="s">
        <v>22</v>
      </c>
      <c r="E394" t="s">
        <v>17</v>
      </c>
      <c r="F394" t="s">
        <v>18</v>
      </c>
      <c r="G394" t="s">
        <v>41</v>
      </c>
      <c r="H394" t="s">
        <v>25</v>
      </c>
      <c r="I394" s="1">
        <v>3</v>
      </c>
      <c r="J394" s="2">
        <v>46162</v>
      </c>
      <c r="K394" s="2">
        <f t="shared" si="13"/>
        <v>46143</v>
      </c>
      <c r="L394" s="1" t="s">
        <v>54</v>
      </c>
      <c r="M394" s="1" t="s">
        <v>49</v>
      </c>
      <c r="N394">
        <v>2025</v>
      </c>
      <c r="O394" s="2"/>
      <c r="P394" t="str">
        <f t="shared" si="12"/>
        <v>131146162</v>
      </c>
    </row>
    <row r="395" spans="1:16" x14ac:dyDescent="0.3">
      <c r="A395">
        <v>1312</v>
      </c>
      <c r="B395">
        <v>24</v>
      </c>
      <c r="C395" t="s">
        <v>26</v>
      </c>
      <c r="D395" t="s">
        <v>22</v>
      </c>
      <c r="E395" t="s">
        <v>17</v>
      </c>
      <c r="F395" t="s">
        <v>21</v>
      </c>
      <c r="G395" t="s">
        <v>41</v>
      </c>
      <c r="H395" t="s">
        <v>25</v>
      </c>
      <c r="I395" s="1">
        <v>3</v>
      </c>
      <c r="J395" s="2">
        <v>46135</v>
      </c>
      <c r="K395" s="2">
        <f t="shared" si="13"/>
        <v>46113</v>
      </c>
      <c r="L395" s="1" t="str">
        <f>TEXT(J395,"ddd")</f>
        <v>qui</v>
      </c>
      <c r="M395" s="1" t="str">
        <f>TEXT($J395,"mmm")</f>
        <v>abr</v>
      </c>
      <c r="N395">
        <f>YEAR(J395)</f>
        <v>2026</v>
      </c>
      <c r="O395" s="2"/>
      <c r="P395" t="str">
        <f t="shared" si="12"/>
        <v>131246135</v>
      </c>
    </row>
    <row r="396" spans="1:16" x14ac:dyDescent="0.3">
      <c r="A396">
        <v>1312</v>
      </c>
      <c r="B396">
        <v>24</v>
      </c>
      <c r="C396" t="s">
        <v>26</v>
      </c>
      <c r="D396" t="s">
        <v>22</v>
      </c>
      <c r="E396" t="s">
        <v>17</v>
      </c>
      <c r="F396" t="s">
        <v>21</v>
      </c>
      <c r="G396" t="s">
        <v>41</v>
      </c>
      <c r="H396" t="s">
        <v>25</v>
      </c>
      <c r="I396" s="1">
        <v>3</v>
      </c>
      <c r="J396" s="2">
        <v>46150</v>
      </c>
      <c r="K396" s="2">
        <f t="shared" si="13"/>
        <v>46143</v>
      </c>
      <c r="L396" s="1" t="s">
        <v>52</v>
      </c>
      <c r="M396" s="1" t="s">
        <v>49</v>
      </c>
      <c r="N396">
        <v>2025</v>
      </c>
      <c r="O396" s="2"/>
      <c r="P396" t="str">
        <f t="shared" si="12"/>
        <v>131246150</v>
      </c>
    </row>
    <row r="397" spans="1:16" x14ac:dyDescent="0.3">
      <c r="A397">
        <v>1316</v>
      </c>
      <c r="B397">
        <v>18</v>
      </c>
      <c r="C397" t="s">
        <v>15</v>
      </c>
      <c r="D397" t="s">
        <v>27</v>
      </c>
      <c r="E397" t="s">
        <v>17</v>
      </c>
      <c r="F397" t="s">
        <v>23</v>
      </c>
      <c r="G397" t="s">
        <v>41</v>
      </c>
      <c r="H397" t="s">
        <v>25</v>
      </c>
      <c r="I397" s="1">
        <v>2</v>
      </c>
      <c r="J397" s="2">
        <v>46129</v>
      </c>
      <c r="K397" s="2">
        <f t="shared" si="13"/>
        <v>46113</v>
      </c>
      <c r="L397" s="1" t="str">
        <f>TEXT(J397,"ddd")</f>
        <v>sex</v>
      </c>
      <c r="M397" s="1" t="str">
        <f>TEXT($J397,"mmm")</f>
        <v>abr</v>
      </c>
      <c r="N397">
        <f>YEAR(J397)</f>
        <v>2026</v>
      </c>
      <c r="O397" s="2"/>
      <c r="P397" t="str">
        <f t="shared" si="12"/>
        <v>131646129</v>
      </c>
    </row>
    <row r="398" spans="1:16" x14ac:dyDescent="0.3">
      <c r="A398">
        <v>1316</v>
      </c>
      <c r="B398">
        <v>18</v>
      </c>
      <c r="C398" t="s">
        <v>15</v>
      </c>
      <c r="D398" t="s">
        <v>27</v>
      </c>
      <c r="E398" t="s">
        <v>17</v>
      </c>
      <c r="F398" t="s">
        <v>23</v>
      </c>
      <c r="G398" t="s">
        <v>41</v>
      </c>
      <c r="H398" t="s">
        <v>25</v>
      </c>
      <c r="I398" s="1">
        <v>2</v>
      </c>
      <c r="J398" s="2">
        <v>46135</v>
      </c>
      <c r="K398" s="2">
        <f t="shared" si="13"/>
        <v>46113</v>
      </c>
      <c r="L398" s="1" t="s">
        <v>52</v>
      </c>
      <c r="M398" s="1" t="s">
        <v>48</v>
      </c>
      <c r="N398">
        <v>2025</v>
      </c>
      <c r="O398" s="2"/>
      <c r="P398" t="str">
        <f t="shared" si="12"/>
        <v>131646135</v>
      </c>
    </row>
    <row r="399" spans="1:16" x14ac:dyDescent="0.3">
      <c r="A399">
        <v>1321</v>
      </c>
      <c r="B399">
        <v>42</v>
      </c>
      <c r="C399" t="s">
        <v>26</v>
      </c>
      <c r="D399" t="s">
        <v>31</v>
      </c>
      <c r="E399" t="s">
        <v>34</v>
      </c>
      <c r="F399" t="s">
        <v>18</v>
      </c>
      <c r="G399" t="s">
        <v>43</v>
      </c>
      <c r="H399" t="s">
        <v>25</v>
      </c>
      <c r="I399" s="1">
        <v>1</v>
      </c>
      <c r="J399" s="2">
        <v>46162</v>
      </c>
      <c r="K399" s="2">
        <f t="shared" si="13"/>
        <v>46143</v>
      </c>
      <c r="L399" s="1" t="str">
        <f>TEXT(J399,"ddd")</f>
        <v>qua</v>
      </c>
      <c r="M399" s="1" t="str">
        <f>TEXT($J399,"mmm")</f>
        <v>mai</v>
      </c>
      <c r="N399">
        <f>YEAR(J399)</f>
        <v>2026</v>
      </c>
      <c r="O399" s="2"/>
      <c r="P399" t="str">
        <f t="shared" si="12"/>
        <v>132146162</v>
      </c>
    </row>
    <row r="400" spans="1:16" x14ac:dyDescent="0.3">
      <c r="A400">
        <v>1321</v>
      </c>
      <c r="B400">
        <v>42</v>
      </c>
      <c r="C400" t="s">
        <v>26</v>
      </c>
      <c r="D400" t="s">
        <v>31</v>
      </c>
      <c r="E400" t="s">
        <v>34</v>
      </c>
      <c r="F400" t="s">
        <v>18</v>
      </c>
      <c r="G400" t="s">
        <v>43</v>
      </c>
      <c r="H400" t="s">
        <v>25</v>
      </c>
      <c r="I400" s="1">
        <v>1</v>
      </c>
      <c r="J400" s="2">
        <v>46164</v>
      </c>
      <c r="K400" s="2">
        <f t="shared" si="13"/>
        <v>46143</v>
      </c>
      <c r="L400" s="1" t="s">
        <v>52</v>
      </c>
      <c r="M400" s="1" t="s">
        <v>49</v>
      </c>
      <c r="N400">
        <v>2025</v>
      </c>
      <c r="O400" s="2"/>
      <c r="P400" t="str">
        <f t="shared" si="12"/>
        <v>132146164</v>
      </c>
    </row>
    <row r="401" spans="1:16" x14ac:dyDescent="0.3">
      <c r="A401">
        <v>1324</v>
      </c>
      <c r="B401">
        <v>38</v>
      </c>
      <c r="C401" t="s">
        <v>15</v>
      </c>
      <c r="D401" t="s">
        <v>16</v>
      </c>
      <c r="E401" t="s">
        <v>17</v>
      </c>
      <c r="F401" t="s">
        <v>23</v>
      </c>
      <c r="G401" t="s">
        <v>41</v>
      </c>
      <c r="H401" t="s">
        <v>25</v>
      </c>
      <c r="I401" s="1">
        <v>2</v>
      </c>
      <c r="J401" s="2">
        <v>46153</v>
      </c>
      <c r="K401" s="2">
        <f t="shared" si="13"/>
        <v>46143</v>
      </c>
      <c r="L401" s="1" t="str">
        <f>TEXT(J401,"ddd")</f>
        <v>seg</v>
      </c>
      <c r="M401" s="1" t="str">
        <f>TEXT($J401,"mmm")</f>
        <v>mai</v>
      </c>
      <c r="N401">
        <f>YEAR(J401)</f>
        <v>2026</v>
      </c>
      <c r="O401" s="2"/>
      <c r="P401" t="str">
        <f t="shared" si="12"/>
        <v>132446153</v>
      </c>
    </row>
    <row r="402" spans="1:16" x14ac:dyDescent="0.3">
      <c r="A402">
        <v>1324</v>
      </c>
      <c r="B402">
        <v>38</v>
      </c>
      <c r="C402" t="s">
        <v>15</v>
      </c>
      <c r="D402" t="s">
        <v>16</v>
      </c>
      <c r="E402" t="s">
        <v>17</v>
      </c>
      <c r="F402" t="s">
        <v>23</v>
      </c>
      <c r="G402" t="s">
        <v>41</v>
      </c>
      <c r="H402" t="s">
        <v>25</v>
      </c>
      <c r="I402" s="1">
        <v>2</v>
      </c>
      <c r="J402" s="2">
        <v>46135</v>
      </c>
      <c r="K402" s="2">
        <f t="shared" si="13"/>
        <v>46113</v>
      </c>
      <c r="L402" s="1" t="s">
        <v>55</v>
      </c>
      <c r="M402" s="1" t="s">
        <v>49</v>
      </c>
      <c r="N402">
        <v>2025</v>
      </c>
      <c r="O402" s="2"/>
      <c r="P402" t="str">
        <f t="shared" si="12"/>
        <v>132446135</v>
      </c>
    </row>
    <row r="403" spans="1:16" x14ac:dyDescent="0.3">
      <c r="A403">
        <v>1331</v>
      </c>
      <c r="B403">
        <v>27</v>
      </c>
      <c r="C403" t="s">
        <v>15</v>
      </c>
      <c r="D403" t="s">
        <v>22</v>
      </c>
      <c r="E403" t="s">
        <v>17</v>
      </c>
      <c r="F403" t="s">
        <v>23</v>
      </c>
      <c r="G403" t="s">
        <v>41</v>
      </c>
      <c r="H403" t="s">
        <v>25</v>
      </c>
      <c r="I403" s="1">
        <v>1</v>
      </c>
      <c r="J403" s="2">
        <v>46137</v>
      </c>
      <c r="K403" s="2">
        <f t="shared" si="13"/>
        <v>46113</v>
      </c>
      <c r="L403" s="1" t="str">
        <f>TEXT(J403,"ddd")</f>
        <v>sáb</v>
      </c>
      <c r="M403" s="1" t="str">
        <f>TEXT($J403,"mmm")</f>
        <v>abr</v>
      </c>
      <c r="N403">
        <f>YEAR(J403)</f>
        <v>2026</v>
      </c>
      <c r="O403" s="2"/>
      <c r="P403" t="str">
        <f t="shared" si="12"/>
        <v>133146137</v>
      </c>
    </row>
    <row r="404" spans="1:16" x14ac:dyDescent="0.3">
      <c r="A404">
        <v>1331</v>
      </c>
      <c r="B404">
        <v>27</v>
      </c>
      <c r="C404" t="s">
        <v>15</v>
      </c>
      <c r="D404" t="s">
        <v>22</v>
      </c>
      <c r="E404" t="s">
        <v>17</v>
      </c>
      <c r="F404" t="s">
        <v>23</v>
      </c>
      <c r="G404" t="s">
        <v>41</v>
      </c>
      <c r="H404" t="s">
        <v>25</v>
      </c>
      <c r="I404" s="1">
        <v>1</v>
      </c>
      <c r="J404" s="2">
        <v>46142</v>
      </c>
      <c r="K404" s="2">
        <f t="shared" si="13"/>
        <v>46113</v>
      </c>
      <c r="L404" s="1" t="s">
        <v>53</v>
      </c>
      <c r="M404" s="1" t="s">
        <v>48</v>
      </c>
      <c r="N404">
        <v>2025</v>
      </c>
      <c r="O404" s="2"/>
      <c r="P404" t="str">
        <f t="shared" si="12"/>
        <v>133146142</v>
      </c>
    </row>
    <row r="405" spans="1:16" x14ac:dyDescent="0.3">
      <c r="A405">
        <v>1334</v>
      </c>
      <c r="B405">
        <v>52</v>
      </c>
      <c r="C405" t="s">
        <v>26</v>
      </c>
      <c r="D405" t="s">
        <v>31</v>
      </c>
      <c r="E405" t="s">
        <v>32</v>
      </c>
      <c r="F405" t="s">
        <v>18</v>
      </c>
      <c r="G405" t="s">
        <v>41</v>
      </c>
      <c r="H405" t="s">
        <v>25</v>
      </c>
      <c r="I405" s="1">
        <v>3</v>
      </c>
      <c r="J405" s="2">
        <v>46142</v>
      </c>
      <c r="K405" s="2">
        <f t="shared" si="13"/>
        <v>46113</v>
      </c>
      <c r="L405" s="1" t="str">
        <f>TEXT(J405,"ddd")</f>
        <v>qui</v>
      </c>
      <c r="M405" s="1" t="str">
        <f>TEXT($J405,"mmm")</f>
        <v>abr</v>
      </c>
      <c r="N405">
        <f>YEAR(J405)</f>
        <v>2026</v>
      </c>
      <c r="O405" s="2"/>
      <c r="P405" t="str">
        <f t="shared" si="12"/>
        <v>133446142</v>
      </c>
    </row>
    <row r="406" spans="1:16" x14ac:dyDescent="0.3">
      <c r="A406">
        <v>1334</v>
      </c>
      <c r="B406">
        <v>52</v>
      </c>
      <c r="C406" t="s">
        <v>26</v>
      </c>
      <c r="D406" t="s">
        <v>31</v>
      </c>
      <c r="E406" t="s">
        <v>32</v>
      </c>
      <c r="F406" t="s">
        <v>18</v>
      </c>
      <c r="G406" t="s">
        <v>41</v>
      </c>
      <c r="H406" t="s">
        <v>25</v>
      </c>
      <c r="I406" s="1">
        <v>3</v>
      </c>
      <c r="J406" s="2">
        <v>46172</v>
      </c>
      <c r="K406" s="2">
        <f t="shared" si="13"/>
        <v>46143</v>
      </c>
      <c r="L406" s="1" t="s">
        <v>53</v>
      </c>
      <c r="M406" s="1" t="s">
        <v>49</v>
      </c>
      <c r="N406">
        <v>2025</v>
      </c>
      <c r="O406" s="2"/>
      <c r="P406" t="str">
        <f t="shared" si="12"/>
        <v>133446172</v>
      </c>
    </row>
    <row r="407" spans="1:16" x14ac:dyDescent="0.3">
      <c r="A407">
        <v>1339</v>
      </c>
      <c r="B407">
        <v>58</v>
      </c>
      <c r="C407" t="s">
        <v>26</v>
      </c>
      <c r="D407" t="s">
        <v>16</v>
      </c>
      <c r="E407" t="s">
        <v>17</v>
      </c>
      <c r="F407" t="s">
        <v>23</v>
      </c>
      <c r="G407" t="s">
        <v>41</v>
      </c>
      <c r="H407" t="s">
        <v>25</v>
      </c>
      <c r="I407" s="1">
        <v>3</v>
      </c>
      <c r="J407" s="2">
        <v>46172</v>
      </c>
      <c r="K407" s="2">
        <f t="shared" si="13"/>
        <v>46143</v>
      </c>
      <c r="L407" s="1" t="str">
        <f>TEXT(J407,"ddd")</f>
        <v>sáb</v>
      </c>
      <c r="M407" s="1" t="str">
        <f>TEXT($J407,"mmm")</f>
        <v>mai</v>
      </c>
      <c r="N407">
        <f>YEAR(J407)</f>
        <v>2026</v>
      </c>
      <c r="O407" s="2"/>
      <c r="P407" t="str">
        <f t="shared" si="12"/>
        <v>133946172</v>
      </c>
    </row>
    <row r="408" spans="1:16" x14ac:dyDescent="0.3">
      <c r="A408">
        <v>1339</v>
      </c>
      <c r="B408">
        <v>58</v>
      </c>
      <c r="C408" t="s">
        <v>26</v>
      </c>
      <c r="D408" t="s">
        <v>16</v>
      </c>
      <c r="E408" t="s">
        <v>17</v>
      </c>
      <c r="F408" t="s">
        <v>23</v>
      </c>
      <c r="G408" t="s">
        <v>41</v>
      </c>
      <c r="H408" t="s">
        <v>25</v>
      </c>
      <c r="I408" s="1">
        <v>3</v>
      </c>
      <c r="J408" s="2">
        <v>46135</v>
      </c>
      <c r="K408" s="2">
        <f t="shared" si="13"/>
        <v>46113</v>
      </c>
      <c r="L408" s="1" t="s">
        <v>53</v>
      </c>
      <c r="M408" s="1" t="s">
        <v>49</v>
      </c>
      <c r="N408">
        <v>2025</v>
      </c>
      <c r="O408" s="2"/>
      <c r="P408" t="str">
        <f t="shared" si="12"/>
        <v>133946135</v>
      </c>
    </row>
    <row r="409" spans="1:16" x14ac:dyDescent="0.3">
      <c r="A409">
        <v>1350</v>
      </c>
      <c r="B409">
        <v>25</v>
      </c>
      <c r="C409" t="s">
        <v>15</v>
      </c>
      <c r="D409" t="s">
        <v>29</v>
      </c>
      <c r="E409" t="s">
        <v>17</v>
      </c>
      <c r="F409" t="s">
        <v>18</v>
      </c>
      <c r="G409" t="s">
        <v>41</v>
      </c>
      <c r="H409" t="s">
        <v>25</v>
      </c>
      <c r="I409" s="1">
        <v>3</v>
      </c>
      <c r="J409" s="2">
        <v>46166</v>
      </c>
      <c r="K409" s="2">
        <f t="shared" si="13"/>
        <v>46143</v>
      </c>
      <c r="L409" s="1" t="str">
        <f>TEXT(J409,"ddd")</f>
        <v>dom</v>
      </c>
      <c r="M409" s="1" t="str">
        <f>TEXT($J409,"mmm")</f>
        <v>mai</v>
      </c>
      <c r="N409">
        <f>YEAR(J409)</f>
        <v>2026</v>
      </c>
      <c r="O409" s="2"/>
      <c r="P409" t="str">
        <f t="shared" si="12"/>
        <v>135046166</v>
      </c>
    </row>
    <row r="410" spans="1:16" x14ac:dyDescent="0.3">
      <c r="A410">
        <v>1350</v>
      </c>
      <c r="B410">
        <v>25</v>
      </c>
      <c r="C410" t="s">
        <v>15</v>
      </c>
      <c r="D410" t="s">
        <v>29</v>
      </c>
      <c r="E410" t="s">
        <v>17</v>
      </c>
      <c r="F410" t="s">
        <v>18</v>
      </c>
      <c r="G410" t="s">
        <v>41</v>
      </c>
      <c r="H410" t="s">
        <v>25</v>
      </c>
      <c r="I410" s="1">
        <v>3</v>
      </c>
      <c r="J410" s="2">
        <v>46162</v>
      </c>
      <c r="K410" s="2">
        <f t="shared" si="13"/>
        <v>46143</v>
      </c>
      <c r="L410" s="1" t="s">
        <v>54</v>
      </c>
      <c r="M410" s="1" t="s">
        <v>49</v>
      </c>
      <c r="N410">
        <v>2025</v>
      </c>
      <c r="O410" s="2"/>
      <c r="P410" t="str">
        <f t="shared" si="12"/>
        <v>135046162</v>
      </c>
    </row>
    <row r="411" spans="1:16" x14ac:dyDescent="0.3">
      <c r="A411">
        <v>1351</v>
      </c>
      <c r="B411">
        <v>24</v>
      </c>
      <c r="C411" t="s">
        <v>15</v>
      </c>
      <c r="D411" t="s">
        <v>31</v>
      </c>
      <c r="E411" t="s">
        <v>34</v>
      </c>
      <c r="F411" t="s">
        <v>18</v>
      </c>
      <c r="G411" t="s">
        <v>41</v>
      </c>
      <c r="H411" t="s">
        <v>25</v>
      </c>
      <c r="I411" s="1">
        <v>3</v>
      </c>
      <c r="J411" s="2">
        <v>46128</v>
      </c>
      <c r="K411" s="2">
        <f t="shared" si="13"/>
        <v>46113</v>
      </c>
      <c r="L411" s="1" t="str">
        <f>TEXT(J411,"ddd")</f>
        <v>qui</v>
      </c>
      <c r="M411" s="1" t="str">
        <f>TEXT($J411,"mmm")</f>
        <v>abr</v>
      </c>
      <c r="N411">
        <f>YEAR(J411)</f>
        <v>2026</v>
      </c>
      <c r="O411" s="2"/>
      <c r="P411" t="str">
        <f t="shared" si="12"/>
        <v>135146128</v>
      </c>
    </row>
    <row r="412" spans="1:16" x14ac:dyDescent="0.3">
      <c r="A412">
        <v>1351</v>
      </c>
      <c r="B412">
        <v>24</v>
      </c>
      <c r="C412" t="s">
        <v>15</v>
      </c>
      <c r="D412" t="s">
        <v>31</v>
      </c>
      <c r="E412" t="s">
        <v>34</v>
      </c>
      <c r="F412" t="s">
        <v>18</v>
      </c>
      <c r="G412" t="s">
        <v>41</v>
      </c>
      <c r="H412" t="s">
        <v>25</v>
      </c>
      <c r="I412" s="1">
        <v>3</v>
      </c>
      <c r="J412" s="2">
        <v>46162</v>
      </c>
      <c r="K412" s="2">
        <f t="shared" si="13"/>
        <v>46143</v>
      </c>
      <c r="L412" s="1" t="s">
        <v>51</v>
      </c>
      <c r="M412" s="1" t="s">
        <v>48</v>
      </c>
      <c r="N412">
        <v>2025</v>
      </c>
      <c r="O412" s="2"/>
      <c r="P412" t="str">
        <f t="shared" si="12"/>
        <v>135146162</v>
      </c>
    </row>
    <row r="413" spans="1:16" x14ac:dyDescent="0.3">
      <c r="A413">
        <v>1362</v>
      </c>
      <c r="B413">
        <v>22</v>
      </c>
      <c r="C413" t="s">
        <v>15</v>
      </c>
      <c r="D413" t="s">
        <v>16</v>
      </c>
      <c r="E413" t="s">
        <v>17</v>
      </c>
      <c r="F413" t="s">
        <v>21</v>
      </c>
      <c r="G413" t="s">
        <v>41</v>
      </c>
      <c r="H413" t="s">
        <v>25</v>
      </c>
      <c r="I413" s="1">
        <v>1</v>
      </c>
      <c r="J413" s="2">
        <v>46127</v>
      </c>
      <c r="K413" s="2">
        <f t="shared" si="13"/>
        <v>46113</v>
      </c>
      <c r="L413" s="1" t="str">
        <f>TEXT(J413,"ddd")</f>
        <v>qua</v>
      </c>
      <c r="M413" s="1" t="str">
        <f>TEXT($J413,"mmm")</f>
        <v>abr</v>
      </c>
      <c r="N413">
        <f>YEAR(J413)</f>
        <v>2026</v>
      </c>
      <c r="O413" s="2"/>
      <c r="P413" t="str">
        <f t="shared" si="12"/>
        <v>136246127</v>
      </c>
    </row>
    <row r="414" spans="1:16" x14ac:dyDescent="0.3">
      <c r="A414">
        <v>1362</v>
      </c>
      <c r="B414">
        <v>22</v>
      </c>
      <c r="C414" t="s">
        <v>15</v>
      </c>
      <c r="D414" t="s">
        <v>16</v>
      </c>
      <c r="E414" t="s">
        <v>17</v>
      </c>
      <c r="F414" t="s">
        <v>21</v>
      </c>
      <c r="G414" t="s">
        <v>41</v>
      </c>
      <c r="H414" t="s">
        <v>25</v>
      </c>
      <c r="I414" s="1">
        <v>1</v>
      </c>
      <c r="J414" s="2">
        <v>46141</v>
      </c>
      <c r="K414" s="2">
        <f t="shared" si="13"/>
        <v>46113</v>
      </c>
      <c r="L414" s="1" t="str">
        <f>TEXT(J414,"ddd")</f>
        <v>qua</v>
      </c>
      <c r="M414" s="1" t="str">
        <f>TEXT($J414,"mmm")</f>
        <v>abr</v>
      </c>
      <c r="N414">
        <f>YEAR(J414)</f>
        <v>2026</v>
      </c>
      <c r="O414" s="2"/>
      <c r="P414" t="str">
        <f t="shared" si="12"/>
        <v>136246141</v>
      </c>
    </row>
    <row r="415" spans="1:16" x14ac:dyDescent="0.3">
      <c r="A415">
        <v>1362</v>
      </c>
      <c r="B415">
        <v>22</v>
      </c>
      <c r="C415" t="s">
        <v>15</v>
      </c>
      <c r="D415" t="s">
        <v>16</v>
      </c>
      <c r="E415" t="s">
        <v>17</v>
      </c>
      <c r="F415" t="s">
        <v>21</v>
      </c>
      <c r="G415" t="s">
        <v>41</v>
      </c>
      <c r="H415" t="s">
        <v>25</v>
      </c>
      <c r="I415" s="1">
        <v>1</v>
      </c>
      <c r="J415" s="2">
        <v>46162</v>
      </c>
      <c r="K415" s="2">
        <f t="shared" si="13"/>
        <v>46143</v>
      </c>
      <c r="L415" s="1" t="s">
        <v>50</v>
      </c>
      <c r="M415" s="1" t="s">
        <v>48</v>
      </c>
      <c r="N415">
        <v>2025</v>
      </c>
      <c r="O415" s="2"/>
      <c r="P415" t="str">
        <f t="shared" si="12"/>
        <v>136246162</v>
      </c>
    </row>
    <row r="416" spans="1:16" x14ac:dyDescent="0.3">
      <c r="A416">
        <v>1362</v>
      </c>
      <c r="B416">
        <v>22</v>
      </c>
      <c r="C416" t="s">
        <v>15</v>
      </c>
      <c r="D416" t="s">
        <v>16</v>
      </c>
      <c r="E416" t="s">
        <v>17</v>
      </c>
      <c r="F416" t="s">
        <v>21</v>
      </c>
      <c r="G416" t="s">
        <v>41</v>
      </c>
      <c r="H416" t="s">
        <v>25</v>
      </c>
      <c r="I416" s="1">
        <v>1</v>
      </c>
      <c r="J416" s="2">
        <v>46136</v>
      </c>
      <c r="K416" s="2">
        <f t="shared" si="13"/>
        <v>46113</v>
      </c>
      <c r="L416" s="1" t="s">
        <v>52</v>
      </c>
      <c r="M416" s="1" t="s">
        <v>48</v>
      </c>
      <c r="N416">
        <v>2025</v>
      </c>
      <c r="O416" s="2"/>
      <c r="P416" t="str">
        <f t="shared" si="12"/>
        <v>136246136</v>
      </c>
    </row>
    <row r="417" spans="1:16" x14ac:dyDescent="0.3">
      <c r="A417">
        <v>1373</v>
      </c>
      <c r="B417">
        <v>25</v>
      </c>
      <c r="C417" t="s">
        <v>26</v>
      </c>
      <c r="D417" t="s">
        <v>31</v>
      </c>
      <c r="E417" t="s">
        <v>32</v>
      </c>
      <c r="F417" t="s">
        <v>18</v>
      </c>
      <c r="G417" t="s">
        <v>41</v>
      </c>
      <c r="H417" t="s">
        <v>25</v>
      </c>
      <c r="I417" s="1">
        <v>3</v>
      </c>
      <c r="J417" s="2">
        <v>46135</v>
      </c>
      <c r="K417" s="2">
        <f t="shared" si="13"/>
        <v>46113</v>
      </c>
      <c r="L417" s="1" t="str">
        <f>TEXT(J417,"ddd")</f>
        <v>qui</v>
      </c>
      <c r="M417" s="1" t="str">
        <f>TEXT($J417,"mmm")</f>
        <v>abr</v>
      </c>
      <c r="N417">
        <f>YEAR(J417)</f>
        <v>2026</v>
      </c>
      <c r="O417" s="2"/>
      <c r="P417" t="str">
        <f t="shared" si="12"/>
        <v>137346135</v>
      </c>
    </row>
    <row r="418" spans="1:16" x14ac:dyDescent="0.3">
      <c r="A418">
        <v>1373</v>
      </c>
      <c r="B418">
        <v>25</v>
      </c>
      <c r="C418" t="s">
        <v>26</v>
      </c>
      <c r="D418" t="s">
        <v>31</v>
      </c>
      <c r="E418" t="s">
        <v>32</v>
      </c>
      <c r="F418" t="s">
        <v>18</v>
      </c>
      <c r="G418" t="s">
        <v>41</v>
      </c>
      <c r="H418" t="s">
        <v>25</v>
      </c>
      <c r="I418" s="1">
        <v>3</v>
      </c>
      <c r="J418" s="2">
        <v>46136</v>
      </c>
      <c r="K418" s="2">
        <f t="shared" si="13"/>
        <v>46113</v>
      </c>
      <c r="L418" s="1" t="s">
        <v>52</v>
      </c>
      <c r="M418" s="1" t="s">
        <v>48</v>
      </c>
      <c r="N418">
        <v>2025</v>
      </c>
      <c r="O418" s="2"/>
      <c r="P418" t="str">
        <f t="shared" si="12"/>
        <v>137346136</v>
      </c>
    </row>
    <row r="419" spans="1:16" x14ac:dyDescent="0.3">
      <c r="A419">
        <v>1380</v>
      </c>
      <c r="B419">
        <v>24</v>
      </c>
      <c r="C419" t="s">
        <v>15</v>
      </c>
      <c r="D419" t="s">
        <v>29</v>
      </c>
      <c r="E419" t="s">
        <v>17</v>
      </c>
      <c r="F419" t="s">
        <v>21</v>
      </c>
      <c r="G419" t="s">
        <v>41</v>
      </c>
      <c r="H419" t="s">
        <v>25</v>
      </c>
      <c r="I419" s="1">
        <v>2</v>
      </c>
      <c r="J419" s="2">
        <v>46166</v>
      </c>
      <c r="K419" s="2">
        <f t="shared" si="13"/>
        <v>46143</v>
      </c>
      <c r="L419" s="1" t="str">
        <f>TEXT(J419,"ddd")</f>
        <v>dom</v>
      </c>
      <c r="M419" s="1" t="str">
        <f>TEXT($J419,"mmm")</f>
        <v>mai</v>
      </c>
      <c r="N419">
        <f>YEAR(J419)</f>
        <v>2026</v>
      </c>
      <c r="O419" s="2"/>
      <c r="P419" t="str">
        <f t="shared" si="12"/>
        <v>138046166</v>
      </c>
    </row>
    <row r="420" spans="1:16" x14ac:dyDescent="0.3">
      <c r="A420">
        <v>1380</v>
      </c>
      <c r="B420">
        <v>24</v>
      </c>
      <c r="C420" t="s">
        <v>15</v>
      </c>
      <c r="D420" t="s">
        <v>29</v>
      </c>
      <c r="E420" t="s">
        <v>17</v>
      </c>
      <c r="F420" t="s">
        <v>21</v>
      </c>
      <c r="G420" t="s">
        <v>41</v>
      </c>
      <c r="H420" t="s">
        <v>25</v>
      </c>
      <c r="I420" s="1">
        <v>2</v>
      </c>
      <c r="J420" s="2">
        <v>46171</v>
      </c>
      <c r="K420" s="2">
        <f t="shared" si="13"/>
        <v>46143</v>
      </c>
      <c r="L420" s="1" t="s">
        <v>54</v>
      </c>
      <c r="M420" s="1" t="s">
        <v>49</v>
      </c>
      <c r="N420">
        <v>2025</v>
      </c>
      <c r="O420" s="2"/>
      <c r="P420" t="str">
        <f t="shared" si="12"/>
        <v>138046171</v>
      </c>
    </row>
    <row r="421" spans="1:16" x14ac:dyDescent="0.3">
      <c r="A421">
        <v>1385</v>
      </c>
      <c r="B421">
        <v>36</v>
      </c>
      <c r="C421" t="s">
        <v>15</v>
      </c>
      <c r="D421" t="s">
        <v>27</v>
      </c>
      <c r="E421" t="s">
        <v>17</v>
      </c>
      <c r="F421" t="s">
        <v>18</v>
      </c>
      <c r="G421" t="s">
        <v>41</v>
      </c>
      <c r="H421" t="s">
        <v>25</v>
      </c>
      <c r="I421" s="1">
        <v>2</v>
      </c>
      <c r="J421" s="2">
        <v>46127</v>
      </c>
      <c r="K421" s="2">
        <f t="shared" si="13"/>
        <v>46113</v>
      </c>
      <c r="L421" s="1" t="str">
        <f>TEXT(J421,"ddd")</f>
        <v>qua</v>
      </c>
      <c r="M421" s="1" t="str">
        <f>TEXT($J421,"mmm")</f>
        <v>abr</v>
      </c>
      <c r="N421">
        <f>YEAR(J421)</f>
        <v>2026</v>
      </c>
      <c r="O421" s="2"/>
      <c r="P421" t="str">
        <f t="shared" si="12"/>
        <v>138546127</v>
      </c>
    </row>
    <row r="422" spans="1:16" x14ac:dyDescent="0.3">
      <c r="A422">
        <v>1385</v>
      </c>
      <c r="B422">
        <v>36</v>
      </c>
      <c r="C422" t="s">
        <v>15</v>
      </c>
      <c r="D422" t="s">
        <v>27</v>
      </c>
      <c r="E422" t="s">
        <v>17</v>
      </c>
      <c r="F422" t="s">
        <v>18</v>
      </c>
      <c r="G422" t="s">
        <v>41</v>
      </c>
      <c r="H422" t="s">
        <v>25</v>
      </c>
      <c r="I422" s="1">
        <v>2</v>
      </c>
      <c r="J422" s="2">
        <v>46160</v>
      </c>
      <c r="K422" s="2">
        <f t="shared" si="13"/>
        <v>46143</v>
      </c>
      <c r="L422" s="1" t="s">
        <v>50</v>
      </c>
      <c r="M422" s="1" t="s">
        <v>48</v>
      </c>
      <c r="N422">
        <v>2025</v>
      </c>
      <c r="O422" s="2"/>
      <c r="P422" t="str">
        <f t="shared" si="12"/>
        <v>138546160</v>
      </c>
    </row>
    <row r="423" spans="1:16" x14ac:dyDescent="0.3">
      <c r="A423">
        <v>1396</v>
      </c>
      <c r="B423">
        <v>34</v>
      </c>
      <c r="C423" t="s">
        <v>15</v>
      </c>
      <c r="D423" t="s">
        <v>16</v>
      </c>
      <c r="E423" t="s">
        <v>17</v>
      </c>
      <c r="F423" t="s">
        <v>18</v>
      </c>
      <c r="G423" t="s">
        <v>41</v>
      </c>
      <c r="H423" t="s">
        <v>25</v>
      </c>
      <c r="I423" s="1">
        <v>1</v>
      </c>
      <c r="J423" s="2">
        <v>46160</v>
      </c>
      <c r="K423" s="2">
        <f t="shared" si="13"/>
        <v>46143</v>
      </c>
      <c r="L423" s="1" t="str">
        <f>TEXT(J423,"ddd")</f>
        <v>seg</v>
      </c>
      <c r="M423" s="1" t="str">
        <f>TEXT($J423,"mmm")</f>
        <v>mai</v>
      </c>
      <c r="N423">
        <f>YEAR(J423)</f>
        <v>2026</v>
      </c>
      <c r="O423" s="2"/>
      <c r="P423" t="str">
        <f t="shared" si="12"/>
        <v>139646160</v>
      </c>
    </row>
    <row r="424" spans="1:16" x14ac:dyDescent="0.3">
      <c r="A424">
        <v>1396</v>
      </c>
      <c r="B424">
        <v>34</v>
      </c>
      <c r="C424" t="s">
        <v>15</v>
      </c>
      <c r="D424" t="s">
        <v>16</v>
      </c>
      <c r="E424" t="s">
        <v>17</v>
      </c>
      <c r="F424" t="s">
        <v>18</v>
      </c>
      <c r="G424" t="s">
        <v>41</v>
      </c>
      <c r="H424" t="s">
        <v>25</v>
      </c>
      <c r="I424" s="1">
        <v>1</v>
      </c>
      <c r="J424" s="2">
        <v>46163</v>
      </c>
      <c r="K424" s="2">
        <f t="shared" si="13"/>
        <v>46143</v>
      </c>
      <c r="L424" s="1" t="s">
        <v>55</v>
      </c>
      <c r="M424" s="1" t="s">
        <v>49</v>
      </c>
      <c r="N424">
        <v>2025</v>
      </c>
      <c r="O424" s="2"/>
      <c r="P424" t="str">
        <f t="shared" si="12"/>
        <v>139646163</v>
      </c>
    </row>
    <row r="425" spans="1:16" x14ac:dyDescent="0.3">
      <c r="A425">
        <v>1410</v>
      </c>
      <c r="B425">
        <v>20</v>
      </c>
      <c r="C425" t="s">
        <v>26</v>
      </c>
      <c r="D425" t="s">
        <v>16</v>
      </c>
      <c r="E425" t="s">
        <v>17</v>
      </c>
      <c r="F425" t="s">
        <v>23</v>
      </c>
      <c r="G425" t="s">
        <v>41</v>
      </c>
      <c r="H425" t="s">
        <v>25</v>
      </c>
      <c r="I425" s="1">
        <v>1</v>
      </c>
      <c r="J425" s="2">
        <v>46171</v>
      </c>
      <c r="K425" s="2">
        <f t="shared" si="13"/>
        <v>46143</v>
      </c>
      <c r="L425" s="1" t="str">
        <f>TEXT(J425,"ddd")</f>
        <v>sex</v>
      </c>
      <c r="M425" s="1" t="str">
        <f>TEXT($J425,"mmm")</f>
        <v>mai</v>
      </c>
      <c r="N425">
        <f>YEAR(J425)</f>
        <v>2026</v>
      </c>
      <c r="O425" s="2"/>
      <c r="P425" t="str">
        <f t="shared" si="12"/>
        <v>141046171</v>
      </c>
    </row>
    <row r="426" spans="1:16" x14ac:dyDescent="0.3">
      <c r="A426">
        <v>1410</v>
      </c>
      <c r="B426">
        <v>20</v>
      </c>
      <c r="C426" t="s">
        <v>26</v>
      </c>
      <c r="D426" t="s">
        <v>16</v>
      </c>
      <c r="E426" t="s">
        <v>17</v>
      </c>
      <c r="F426" t="s">
        <v>23</v>
      </c>
      <c r="G426" t="s">
        <v>41</v>
      </c>
      <c r="H426" t="s">
        <v>25</v>
      </c>
      <c r="I426" s="1">
        <v>1</v>
      </c>
      <c r="J426" s="2">
        <v>46166</v>
      </c>
      <c r="K426" s="2">
        <f t="shared" si="13"/>
        <v>46143</v>
      </c>
      <c r="L426" s="1" t="s">
        <v>54</v>
      </c>
      <c r="M426" s="1" t="s">
        <v>49</v>
      </c>
      <c r="N426">
        <v>2025</v>
      </c>
      <c r="O426" s="2"/>
      <c r="P426" t="str">
        <f t="shared" si="12"/>
        <v>141046166</v>
      </c>
    </row>
    <row r="427" spans="1:16" x14ac:dyDescent="0.3">
      <c r="A427">
        <v>1412</v>
      </c>
      <c r="B427">
        <v>43</v>
      </c>
      <c r="C427" t="s">
        <v>26</v>
      </c>
      <c r="D427" t="s">
        <v>27</v>
      </c>
      <c r="E427" t="s">
        <v>17</v>
      </c>
      <c r="F427" t="s">
        <v>23</v>
      </c>
      <c r="G427" t="s">
        <v>43</v>
      </c>
      <c r="H427" t="s">
        <v>25</v>
      </c>
      <c r="I427" s="1">
        <v>2</v>
      </c>
      <c r="J427" s="2">
        <v>46160</v>
      </c>
      <c r="K427" s="2">
        <f t="shared" si="13"/>
        <v>46143</v>
      </c>
      <c r="L427" s="1" t="str">
        <f>TEXT(J427,"ddd")</f>
        <v>seg</v>
      </c>
      <c r="M427" s="1" t="str">
        <f>TEXT($J427,"mmm")</f>
        <v>mai</v>
      </c>
      <c r="N427">
        <f>YEAR(J427)</f>
        <v>2026</v>
      </c>
      <c r="O427" s="2"/>
      <c r="P427" t="str">
        <f t="shared" si="12"/>
        <v>141246160</v>
      </c>
    </row>
    <row r="428" spans="1:16" x14ac:dyDescent="0.3">
      <c r="A428">
        <v>1412</v>
      </c>
      <c r="B428">
        <v>43</v>
      </c>
      <c r="C428" t="s">
        <v>26</v>
      </c>
      <c r="D428" t="s">
        <v>27</v>
      </c>
      <c r="E428" t="s">
        <v>17</v>
      </c>
      <c r="F428" t="s">
        <v>23</v>
      </c>
      <c r="G428" t="s">
        <v>43</v>
      </c>
      <c r="H428" t="s">
        <v>25</v>
      </c>
      <c r="I428" s="1">
        <v>2</v>
      </c>
      <c r="J428" s="2">
        <v>46163</v>
      </c>
      <c r="K428" s="2">
        <f t="shared" si="13"/>
        <v>46143</v>
      </c>
      <c r="L428" s="1" t="s">
        <v>55</v>
      </c>
      <c r="M428" s="1" t="s">
        <v>49</v>
      </c>
      <c r="N428">
        <v>2025</v>
      </c>
      <c r="O428" s="2"/>
      <c r="P428" t="str">
        <f t="shared" si="12"/>
        <v>141246163</v>
      </c>
    </row>
    <row r="429" spans="1:16" x14ac:dyDescent="0.3">
      <c r="A429">
        <v>1422</v>
      </c>
      <c r="B429">
        <v>29</v>
      </c>
      <c r="C429" t="s">
        <v>15</v>
      </c>
      <c r="D429" t="s">
        <v>16</v>
      </c>
      <c r="E429" t="s">
        <v>17</v>
      </c>
      <c r="F429" t="s">
        <v>18</v>
      </c>
      <c r="G429" t="s">
        <v>41</v>
      </c>
      <c r="H429" t="s">
        <v>25</v>
      </c>
      <c r="I429" s="1">
        <v>2</v>
      </c>
      <c r="J429" s="2">
        <v>46123</v>
      </c>
      <c r="K429" s="2">
        <f t="shared" si="13"/>
        <v>46113</v>
      </c>
      <c r="L429" s="1" t="str">
        <f>TEXT(J429,"ddd")</f>
        <v>sáb</v>
      </c>
      <c r="M429" s="1" t="str">
        <f>TEXT($J429,"mmm")</f>
        <v>abr</v>
      </c>
      <c r="N429">
        <f>YEAR(J429)</f>
        <v>2026</v>
      </c>
      <c r="O429" s="2"/>
      <c r="P429" t="str">
        <f t="shared" si="12"/>
        <v>142246123</v>
      </c>
    </row>
    <row r="430" spans="1:16" x14ac:dyDescent="0.3">
      <c r="A430">
        <v>1422</v>
      </c>
      <c r="B430">
        <v>29</v>
      </c>
      <c r="C430" t="s">
        <v>15</v>
      </c>
      <c r="D430" t="s">
        <v>16</v>
      </c>
      <c r="E430" t="s">
        <v>17</v>
      </c>
      <c r="F430" t="s">
        <v>18</v>
      </c>
      <c r="G430" t="s">
        <v>41</v>
      </c>
      <c r="H430" t="s">
        <v>25</v>
      </c>
      <c r="I430" s="1">
        <v>2</v>
      </c>
      <c r="J430" s="2">
        <v>46163</v>
      </c>
      <c r="K430" s="2">
        <f t="shared" si="13"/>
        <v>46143</v>
      </c>
      <c r="L430" s="1" t="s">
        <v>53</v>
      </c>
      <c r="M430" s="1" t="s">
        <v>48</v>
      </c>
      <c r="N430">
        <v>2025</v>
      </c>
      <c r="O430" s="2"/>
      <c r="P430" t="str">
        <f t="shared" si="12"/>
        <v>142246163</v>
      </c>
    </row>
    <row r="431" spans="1:16" x14ac:dyDescent="0.3">
      <c r="A431">
        <v>1425</v>
      </c>
      <c r="B431">
        <v>54</v>
      </c>
      <c r="C431" t="s">
        <v>26</v>
      </c>
      <c r="D431" t="s">
        <v>29</v>
      </c>
      <c r="E431" t="s">
        <v>17</v>
      </c>
      <c r="F431" t="s">
        <v>18</v>
      </c>
      <c r="G431" t="s">
        <v>41</v>
      </c>
      <c r="H431" t="s">
        <v>25</v>
      </c>
      <c r="I431" s="1">
        <v>2</v>
      </c>
      <c r="J431" s="2">
        <v>46157</v>
      </c>
      <c r="K431" s="2">
        <f t="shared" si="13"/>
        <v>46143</v>
      </c>
      <c r="L431" s="1" t="str">
        <f>TEXT(J431,"ddd")</f>
        <v>sex</v>
      </c>
      <c r="M431" s="1" t="str">
        <f>TEXT($J431,"mmm")</f>
        <v>mai</v>
      </c>
      <c r="N431">
        <f>YEAR(J431)</f>
        <v>2026</v>
      </c>
      <c r="O431" s="2"/>
      <c r="P431" t="str">
        <f t="shared" si="12"/>
        <v>142546157</v>
      </c>
    </row>
    <row r="432" spans="1:16" x14ac:dyDescent="0.3">
      <c r="A432">
        <v>1425</v>
      </c>
      <c r="B432">
        <v>54</v>
      </c>
      <c r="C432" t="s">
        <v>26</v>
      </c>
      <c r="D432" t="s">
        <v>29</v>
      </c>
      <c r="E432" t="s">
        <v>17</v>
      </c>
      <c r="F432" t="s">
        <v>18</v>
      </c>
      <c r="G432" t="s">
        <v>41</v>
      </c>
      <c r="H432" t="s">
        <v>25</v>
      </c>
      <c r="I432" s="1">
        <v>2</v>
      </c>
      <c r="J432" s="2">
        <v>46176</v>
      </c>
      <c r="K432" s="2">
        <f t="shared" si="13"/>
        <v>46174</v>
      </c>
      <c r="L432" s="1" t="s">
        <v>52</v>
      </c>
      <c r="M432" s="1" t="s">
        <v>49</v>
      </c>
      <c r="N432">
        <v>2025</v>
      </c>
      <c r="O432" s="2"/>
      <c r="P432" t="str">
        <f t="shared" si="12"/>
        <v>142546176</v>
      </c>
    </row>
    <row r="433" spans="1:16" x14ac:dyDescent="0.3">
      <c r="A433">
        <v>1430</v>
      </c>
      <c r="B433">
        <v>27</v>
      </c>
      <c r="C433" t="s">
        <v>26</v>
      </c>
      <c r="D433" t="s">
        <v>16</v>
      </c>
      <c r="E433" t="s">
        <v>17</v>
      </c>
      <c r="F433" t="s">
        <v>18</v>
      </c>
      <c r="G433" t="s">
        <v>41</v>
      </c>
      <c r="H433" t="s">
        <v>25</v>
      </c>
      <c r="I433" s="1">
        <v>1</v>
      </c>
      <c r="J433" s="2">
        <v>46143</v>
      </c>
      <c r="K433" s="2">
        <f t="shared" si="13"/>
        <v>46143</v>
      </c>
      <c r="L433" s="1" t="str">
        <f>TEXT(J433,"ddd")</f>
        <v>sex</v>
      </c>
      <c r="M433" s="1" t="str">
        <f>TEXT($J433,"mmm")</f>
        <v>mai</v>
      </c>
      <c r="N433">
        <f>YEAR(J433)</f>
        <v>2026</v>
      </c>
      <c r="O433" s="2"/>
      <c r="P433" t="str">
        <f t="shared" si="12"/>
        <v>143046143</v>
      </c>
    </row>
    <row r="434" spans="1:16" x14ac:dyDescent="0.3">
      <c r="A434">
        <v>1430</v>
      </c>
      <c r="B434">
        <v>27</v>
      </c>
      <c r="C434" t="s">
        <v>26</v>
      </c>
      <c r="D434" t="s">
        <v>16</v>
      </c>
      <c r="E434" t="s">
        <v>17</v>
      </c>
      <c r="F434" t="s">
        <v>18</v>
      </c>
      <c r="G434" t="s">
        <v>41</v>
      </c>
      <c r="H434" t="s">
        <v>25</v>
      </c>
      <c r="I434" s="1">
        <v>1</v>
      </c>
      <c r="J434" s="2">
        <v>46163</v>
      </c>
      <c r="K434" s="2">
        <f t="shared" si="13"/>
        <v>46143</v>
      </c>
      <c r="L434" s="1" t="s">
        <v>52</v>
      </c>
      <c r="M434" s="1" t="s">
        <v>49</v>
      </c>
      <c r="N434">
        <v>2025</v>
      </c>
      <c r="O434" s="2"/>
      <c r="P434" t="str">
        <f t="shared" si="12"/>
        <v>143046163</v>
      </c>
    </row>
    <row r="435" spans="1:16" x14ac:dyDescent="0.3">
      <c r="A435">
        <v>1435</v>
      </c>
      <c r="B435">
        <v>30</v>
      </c>
      <c r="C435" t="s">
        <v>15</v>
      </c>
      <c r="D435" t="s">
        <v>16</v>
      </c>
      <c r="E435" t="s">
        <v>17</v>
      </c>
      <c r="F435" t="s">
        <v>18</v>
      </c>
      <c r="G435" t="s">
        <v>43</v>
      </c>
      <c r="H435" t="s">
        <v>25</v>
      </c>
      <c r="I435" s="1">
        <v>1</v>
      </c>
      <c r="J435" s="2">
        <v>46160</v>
      </c>
      <c r="K435" s="2">
        <f t="shared" si="13"/>
        <v>46143</v>
      </c>
      <c r="L435" s="1" t="str">
        <f>TEXT(J435,"ddd")</f>
        <v>seg</v>
      </c>
      <c r="M435" s="1" t="str">
        <f>TEXT($J435,"mmm")</f>
        <v>mai</v>
      </c>
      <c r="N435">
        <f>YEAR(J435)</f>
        <v>2026</v>
      </c>
      <c r="O435" s="2"/>
      <c r="P435" t="str">
        <f t="shared" si="12"/>
        <v>143546160</v>
      </c>
    </row>
    <row r="436" spans="1:16" x14ac:dyDescent="0.3">
      <c r="A436">
        <v>1435</v>
      </c>
      <c r="B436">
        <v>30</v>
      </c>
      <c r="C436" t="s">
        <v>15</v>
      </c>
      <c r="D436" t="s">
        <v>16</v>
      </c>
      <c r="E436" t="s">
        <v>17</v>
      </c>
      <c r="F436" t="s">
        <v>18</v>
      </c>
      <c r="G436" t="s">
        <v>43</v>
      </c>
      <c r="H436" t="s">
        <v>25</v>
      </c>
      <c r="I436" s="1">
        <v>1</v>
      </c>
      <c r="J436" s="2">
        <v>46163</v>
      </c>
      <c r="K436" s="2">
        <f t="shared" si="13"/>
        <v>46143</v>
      </c>
      <c r="L436" s="1" t="s">
        <v>55</v>
      </c>
      <c r="M436" s="1" t="s">
        <v>49</v>
      </c>
      <c r="N436">
        <v>2025</v>
      </c>
      <c r="O436" s="2"/>
      <c r="P436" t="str">
        <f t="shared" si="12"/>
        <v>143546163</v>
      </c>
    </row>
    <row r="437" spans="1:16" x14ac:dyDescent="0.3">
      <c r="A437">
        <v>1436</v>
      </c>
      <c r="B437">
        <v>21</v>
      </c>
      <c r="C437" t="s">
        <v>26</v>
      </c>
      <c r="D437" t="s">
        <v>16</v>
      </c>
      <c r="E437" t="s">
        <v>17</v>
      </c>
      <c r="F437" t="s">
        <v>18</v>
      </c>
      <c r="G437" t="s">
        <v>41</v>
      </c>
      <c r="H437" t="s">
        <v>25</v>
      </c>
      <c r="I437" s="1">
        <v>2</v>
      </c>
      <c r="J437" s="2">
        <v>46163</v>
      </c>
      <c r="K437" s="2">
        <f t="shared" si="13"/>
        <v>46143</v>
      </c>
      <c r="L437" s="1" t="str">
        <f>TEXT(J437,"ddd")</f>
        <v>qui</v>
      </c>
      <c r="M437" s="1" t="str">
        <f>TEXT($J437,"mmm")</f>
        <v>mai</v>
      </c>
      <c r="N437">
        <f>YEAR(J437)</f>
        <v>2026</v>
      </c>
      <c r="O437" s="2"/>
      <c r="P437" t="str">
        <f t="shared" si="12"/>
        <v>143646163</v>
      </c>
    </row>
    <row r="438" spans="1:16" x14ac:dyDescent="0.3">
      <c r="A438">
        <v>1436</v>
      </c>
      <c r="B438">
        <v>21</v>
      </c>
      <c r="C438" t="s">
        <v>26</v>
      </c>
      <c r="D438" t="s">
        <v>16</v>
      </c>
      <c r="E438" t="s">
        <v>17</v>
      </c>
      <c r="F438" t="s">
        <v>18</v>
      </c>
      <c r="G438" t="s">
        <v>41</v>
      </c>
      <c r="H438" t="s">
        <v>25</v>
      </c>
      <c r="I438" s="1">
        <v>2</v>
      </c>
      <c r="J438" s="2">
        <v>46148</v>
      </c>
      <c r="K438" s="2">
        <f t="shared" si="13"/>
        <v>46143</v>
      </c>
      <c r="L438" s="1" t="s">
        <v>50</v>
      </c>
      <c r="M438" s="1" t="s">
        <v>49</v>
      </c>
      <c r="N438">
        <v>2025</v>
      </c>
      <c r="O438" s="2"/>
      <c r="P438" t="str">
        <f t="shared" si="12"/>
        <v>143646148</v>
      </c>
    </row>
    <row r="439" spans="1:16" x14ac:dyDescent="0.3">
      <c r="A439">
        <v>1444</v>
      </c>
      <c r="B439">
        <v>28</v>
      </c>
      <c r="C439" t="s">
        <v>15</v>
      </c>
      <c r="D439" t="s">
        <v>22</v>
      </c>
      <c r="E439" t="s">
        <v>17</v>
      </c>
      <c r="F439" t="s">
        <v>21</v>
      </c>
      <c r="G439" t="s">
        <v>41</v>
      </c>
      <c r="H439" t="s">
        <v>25</v>
      </c>
      <c r="I439" s="1">
        <v>2</v>
      </c>
      <c r="J439" s="2">
        <v>46146</v>
      </c>
      <c r="K439" s="2">
        <f t="shared" si="13"/>
        <v>46143</v>
      </c>
      <c r="L439" s="1" t="str">
        <f>TEXT(J439,"ddd")</f>
        <v>seg</v>
      </c>
      <c r="M439" s="1" t="str">
        <f>TEXT($J439,"mmm")</f>
        <v>mai</v>
      </c>
      <c r="N439">
        <f>YEAR(J439)</f>
        <v>2026</v>
      </c>
      <c r="O439" s="2"/>
      <c r="P439" t="str">
        <f t="shared" si="12"/>
        <v>144446146</v>
      </c>
    </row>
    <row r="440" spans="1:16" x14ac:dyDescent="0.3">
      <c r="A440">
        <v>1444</v>
      </c>
      <c r="B440">
        <v>28</v>
      </c>
      <c r="C440" t="s">
        <v>15</v>
      </c>
      <c r="D440" t="s">
        <v>22</v>
      </c>
      <c r="E440" t="s">
        <v>17</v>
      </c>
      <c r="F440" t="s">
        <v>21</v>
      </c>
      <c r="G440" t="s">
        <v>41</v>
      </c>
      <c r="H440" t="s">
        <v>25</v>
      </c>
      <c r="I440" s="1">
        <v>2</v>
      </c>
      <c r="J440" s="2">
        <v>46176</v>
      </c>
      <c r="K440" s="2">
        <f t="shared" si="13"/>
        <v>46174</v>
      </c>
      <c r="L440" s="1" t="s">
        <v>55</v>
      </c>
      <c r="M440" s="1" t="s">
        <v>49</v>
      </c>
      <c r="N440">
        <v>2025</v>
      </c>
      <c r="O440" s="2"/>
      <c r="P440" t="str">
        <f t="shared" si="12"/>
        <v>144446176</v>
      </c>
    </row>
    <row r="441" spans="1:16" x14ac:dyDescent="0.3">
      <c r="A441">
        <v>1447</v>
      </c>
      <c r="B441">
        <v>26</v>
      </c>
      <c r="C441" t="s">
        <v>26</v>
      </c>
      <c r="D441" t="s">
        <v>29</v>
      </c>
      <c r="E441" t="s">
        <v>17</v>
      </c>
      <c r="F441" t="s">
        <v>23</v>
      </c>
      <c r="G441" t="s">
        <v>41</v>
      </c>
      <c r="H441" t="s">
        <v>25</v>
      </c>
      <c r="I441" s="1">
        <v>3</v>
      </c>
      <c r="J441" s="2">
        <v>46134</v>
      </c>
      <c r="K441" s="2">
        <f t="shared" si="13"/>
        <v>46113</v>
      </c>
      <c r="L441" s="1" t="str">
        <f>TEXT(J441,"ddd")</f>
        <v>qua</v>
      </c>
      <c r="M441" s="1" t="str">
        <f>TEXT($J441,"mmm")</f>
        <v>abr</v>
      </c>
      <c r="N441">
        <f>YEAR(J441)</f>
        <v>2026</v>
      </c>
      <c r="O441" s="2"/>
      <c r="P441" t="str">
        <f t="shared" si="12"/>
        <v>144746134</v>
      </c>
    </row>
    <row r="442" spans="1:16" x14ac:dyDescent="0.3">
      <c r="A442">
        <v>1447</v>
      </c>
      <c r="B442">
        <v>26</v>
      </c>
      <c r="C442" t="s">
        <v>26</v>
      </c>
      <c r="D442" t="s">
        <v>29</v>
      </c>
      <c r="E442" t="s">
        <v>17</v>
      </c>
      <c r="F442" t="s">
        <v>23</v>
      </c>
      <c r="G442" t="s">
        <v>41</v>
      </c>
      <c r="H442" t="s">
        <v>25</v>
      </c>
      <c r="I442" s="1">
        <v>3</v>
      </c>
      <c r="J442" s="2">
        <v>46163</v>
      </c>
      <c r="K442" s="2">
        <f t="shared" si="13"/>
        <v>46143</v>
      </c>
      <c r="L442" s="1" t="s">
        <v>50</v>
      </c>
      <c r="M442" s="1" t="s">
        <v>48</v>
      </c>
      <c r="N442">
        <v>2025</v>
      </c>
      <c r="O442" s="2"/>
      <c r="P442" t="str">
        <f t="shared" si="12"/>
        <v>144746163</v>
      </c>
    </row>
    <row r="443" spans="1:16" x14ac:dyDescent="0.3">
      <c r="A443">
        <v>1452</v>
      </c>
      <c r="B443">
        <v>38</v>
      </c>
      <c r="C443" t="s">
        <v>26</v>
      </c>
      <c r="D443" t="s">
        <v>31</v>
      </c>
      <c r="E443" t="s">
        <v>32</v>
      </c>
      <c r="F443" t="s">
        <v>18</v>
      </c>
      <c r="G443" t="s">
        <v>41</v>
      </c>
      <c r="H443" t="s">
        <v>25</v>
      </c>
      <c r="I443" s="1">
        <v>2</v>
      </c>
      <c r="J443" s="2">
        <v>46126</v>
      </c>
      <c r="K443" s="2">
        <f t="shared" si="13"/>
        <v>46113</v>
      </c>
      <c r="L443" s="1" t="str">
        <f>TEXT(J443,"ddd")</f>
        <v>ter</v>
      </c>
      <c r="M443" s="1" t="str">
        <f>TEXT($J443,"mmm")</f>
        <v>abr</v>
      </c>
      <c r="N443">
        <f>YEAR(J443)</f>
        <v>2026</v>
      </c>
      <c r="O443" s="2"/>
      <c r="P443" t="str">
        <f t="shared" si="12"/>
        <v>145246126</v>
      </c>
    </row>
    <row r="444" spans="1:16" x14ac:dyDescent="0.3">
      <c r="A444">
        <v>1452</v>
      </c>
      <c r="B444">
        <v>38</v>
      </c>
      <c r="C444" t="s">
        <v>26</v>
      </c>
      <c r="D444" t="s">
        <v>31</v>
      </c>
      <c r="E444" t="s">
        <v>32</v>
      </c>
      <c r="F444" t="s">
        <v>18</v>
      </c>
      <c r="G444" t="s">
        <v>41</v>
      </c>
      <c r="H444" t="s">
        <v>25</v>
      </c>
      <c r="I444" s="1">
        <v>2</v>
      </c>
      <c r="J444" s="2">
        <v>46166</v>
      </c>
      <c r="K444" s="2">
        <f t="shared" si="13"/>
        <v>46143</v>
      </c>
      <c r="L444" s="1" t="str">
        <f>TEXT(J444,"ddd")</f>
        <v>dom</v>
      </c>
      <c r="M444" s="1" t="str">
        <f>TEXT($J444,"mmm")</f>
        <v>mai</v>
      </c>
      <c r="N444">
        <f>YEAR(J444)</f>
        <v>2026</v>
      </c>
      <c r="O444" s="2"/>
      <c r="P444" t="str">
        <f t="shared" si="12"/>
        <v>145246166</v>
      </c>
    </row>
    <row r="445" spans="1:16" x14ac:dyDescent="0.3">
      <c r="A445">
        <v>1452</v>
      </c>
      <c r="B445">
        <v>38</v>
      </c>
      <c r="C445" t="s">
        <v>26</v>
      </c>
      <c r="D445" t="s">
        <v>31</v>
      </c>
      <c r="E445" t="s">
        <v>32</v>
      </c>
      <c r="F445" t="s">
        <v>18</v>
      </c>
      <c r="G445" t="s">
        <v>41</v>
      </c>
      <c r="H445" t="s">
        <v>25</v>
      </c>
      <c r="I445" s="1">
        <v>2</v>
      </c>
      <c r="J445" s="2">
        <v>46163</v>
      </c>
      <c r="K445" s="2">
        <f t="shared" si="13"/>
        <v>46143</v>
      </c>
      <c r="L445" s="1" t="s">
        <v>56</v>
      </c>
      <c r="M445" s="1" t="s">
        <v>48</v>
      </c>
      <c r="N445">
        <v>2025</v>
      </c>
      <c r="O445" s="2"/>
      <c r="P445" t="str">
        <f t="shared" si="12"/>
        <v>145246163</v>
      </c>
    </row>
    <row r="446" spans="1:16" x14ac:dyDescent="0.3">
      <c r="A446">
        <v>1452</v>
      </c>
      <c r="B446">
        <v>38</v>
      </c>
      <c r="C446" t="s">
        <v>26</v>
      </c>
      <c r="D446" t="s">
        <v>31</v>
      </c>
      <c r="E446" t="s">
        <v>32</v>
      </c>
      <c r="F446" t="s">
        <v>18</v>
      </c>
      <c r="G446" t="s">
        <v>41</v>
      </c>
      <c r="H446" t="s">
        <v>25</v>
      </c>
      <c r="I446" s="1">
        <v>2</v>
      </c>
      <c r="J446" s="2">
        <v>46156</v>
      </c>
      <c r="K446" s="2">
        <f t="shared" si="13"/>
        <v>46143</v>
      </c>
      <c r="L446" s="1" t="s">
        <v>51</v>
      </c>
      <c r="M446" s="1" t="s">
        <v>49</v>
      </c>
      <c r="N446">
        <v>2025</v>
      </c>
      <c r="O446" s="2"/>
      <c r="P446" t="str">
        <f t="shared" si="12"/>
        <v>145246156</v>
      </c>
    </row>
    <row r="447" spans="1:16" x14ac:dyDescent="0.3">
      <c r="A447">
        <v>1456</v>
      </c>
      <c r="B447">
        <v>41</v>
      </c>
      <c r="C447" t="s">
        <v>26</v>
      </c>
      <c r="D447" t="s">
        <v>29</v>
      </c>
      <c r="E447" t="s">
        <v>17</v>
      </c>
      <c r="F447" t="s">
        <v>18</v>
      </c>
      <c r="G447" t="s">
        <v>41</v>
      </c>
      <c r="H447" t="s">
        <v>25</v>
      </c>
      <c r="I447" s="1">
        <v>2</v>
      </c>
      <c r="J447" s="2">
        <v>46176</v>
      </c>
      <c r="K447" s="2">
        <f t="shared" si="13"/>
        <v>46174</v>
      </c>
      <c r="L447" s="1" t="str">
        <f>TEXT(J447,"ddd")</f>
        <v>qua</v>
      </c>
      <c r="M447" s="1" t="str">
        <f>TEXT($J447,"mmm")</f>
        <v>jun</v>
      </c>
      <c r="N447">
        <f>YEAR(J447)</f>
        <v>2026</v>
      </c>
      <c r="O447" s="2"/>
      <c r="P447" t="str">
        <f t="shared" si="12"/>
        <v>145646176</v>
      </c>
    </row>
    <row r="448" spans="1:16" x14ac:dyDescent="0.3">
      <c r="A448">
        <v>1456</v>
      </c>
      <c r="B448">
        <v>41</v>
      </c>
      <c r="C448" t="s">
        <v>26</v>
      </c>
      <c r="D448" t="s">
        <v>29</v>
      </c>
      <c r="E448" t="s">
        <v>17</v>
      </c>
      <c r="F448" t="s">
        <v>18</v>
      </c>
      <c r="G448" t="s">
        <v>41</v>
      </c>
      <c r="H448" t="s">
        <v>25</v>
      </c>
      <c r="I448" s="1">
        <v>2</v>
      </c>
      <c r="J448" s="2">
        <v>46162</v>
      </c>
      <c r="K448" s="2">
        <f t="shared" si="13"/>
        <v>46143</v>
      </c>
      <c r="L448" s="1" t="s">
        <v>50</v>
      </c>
      <c r="M448" s="1" t="s">
        <v>49</v>
      </c>
      <c r="N448">
        <v>2025</v>
      </c>
      <c r="O448" s="2"/>
      <c r="P448" t="str">
        <f t="shared" si="12"/>
        <v>145646162</v>
      </c>
    </row>
    <row r="449" spans="1:16" x14ac:dyDescent="0.3">
      <c r="A449">
        <v>1457</v>
      </c>
      <c r="B449">
        <v>53</v>
      </c>
      <c r="C449" t="s">
        <v>26</v>
      </c>
      <c r="D449" t="s">
        <v>22</v>
      </c>
      <c r="E449" t="s">
        <v>17</v>
      </c>
      <c r="F449" t="s">
        <v>21</v>
      </c>
      <c r="G449" t="s">
        <v>43</v>
      </c>
      <c r="H449" t="s">
        <v>25</v>
      </c>
      <c r="I449" s="1">
        <v>1</v>
      </c>
      <c r="J449" s="2">
        <v>46155</v>
      </c>
      <c r="K449" s="2">
        <f t="shared" si="13"/>
        <v>46143</v>
      </c>
      <c r="L449" s="1" t="str">
        <f>TEXT(J449,"ddd")</f>
        <v>qua</v>
      </c>
      <c r="M449" s="1" t="str">
        <f>TEXT($J449,"mmm")</f>
        <v>mai</v>
      </c>
      <c r="N449">
        <f>YEAR(J449)</f>
        <v>2026</v>
      </c>
      <c r="O449" s="2"/>
      <c r="P449" t="str">
        <f t="shared" si="12"/>
        <v>145746155</v>
      </c>
    </row>
    <row r="450" spans="1:16" x14ac:dyDescent="0.3">
      <c r="A450">
        <v>1457</v>
      </c>
      <c r="B450">
        <v>53</v>
      </c>
      <c r="C450" t="s">
        <v>26</v>
      </c>
      <c r="D450" t="s">
        <v>22</v>
      </c>
      <c r="E450" t="s">
        <v>17</v>
      </c>
      <c r="F450" t="s">
        <v>21</v>
      </c>
      <c r="G450" t="s">
        <v>43</v>
      </c>
      <c r="H450" t="s">
        <v>25</v>
      </c>
      <c r="I450" s="1">
        <v>1</v>
      </c>
      <c r="J450" s="2">
        <v>46163</v>
      </c>
      <c r="K450" s="2">
        <f t="shared" si="13"/>
        <v>46143</v>
      </c>
      <c r="L450" s="1" t="s">
        <v>50</v>
      </c>
      <c r="M450" s="1" t="s">
        <v>49</v>
      </c>
      <c r="N450">
        <v>2025</v>
      </c>
      <c r="O450" s="2"/>
      <c r="P450" t="str">
        <f t="shared" ref="P450:P513" si="14">CONCATENATE(A450,J450)</f>
        <v>145746163</v>
      </c>
    </row>
    <row r="451" spans="1:16" x14ac:dyDescent="0.3">
      <c r="A451">
        <v>1460</v>
      </c>
      <c r="B451">
        <v>37</v>
      </c>
      <c r="C451" t="s">
        <v>26</v>
      </c>
      <c r="D451" t="s">
        <v>22</v>
      </c>
      <c r="E451" t="s">
        <v>17</v>
      </c>
      <c r="F451" t="s">
        <v>18</v>
      </c>
      <c r="G451" t="s">
        <v>41</v>
      </c>
      <c r="H451" t="s">
        <v>25</v>
      </c>
      <c r="I451" s="1">
        <v>3</v>
      </c>
      <c r="J451" s="2">
        <v>46176</v>
      </c>
      <c r="K451" s="2">
        <f t="shared" ref="K451:K514" si="15">DATE(YEAR(J451),MONTH(J451),1)</f>
        <v>46174</v>
      </c>
      <c r="L451" s="1" t="str">
        <f>TEXT(J451,"ddd")</f>
        <v>qua</v>
      </c>
      <c r="M451" s="1" t="str">
        <f>TEXT($J451,"mmm")</f>
        <v>jun</v>
      </c>
      <c r="N451">
        <f>YEAR(J451)</f>
        <v>2026</v>
      </c>
      <c r="O451" s="2"/>
      <c r="P451" t="str">
        <f t="shared" si="14"/>
        <v>146046176</v>
      </c>
    </row>
    <row r="452" spans="1:16" x14ac:dyDescent="0.3">
      <c r="A452">
        <v>1460</v>
      </c>
      <c r="B452">
        <v>37</v>
      </c>
      <c r="C452" t="s">
        <v>26</v>
      </c>
      <c r="D452" t="s">
        <v>22</v>
      </c>
      <c r="E452" t="s">
        <v>17</v>
      </c>
      <c r="F452" t="s">
        <v>18</v>
      </c>
      <c r="G452" t="s">
        <v>41</v>
      </c>
      <c r="H452" t="s">
        <v>25</v>
      </c>
      <c r="I452" s="1">
        <v>3</v>
      </c>
      <c r="J452" s="2">
        <v>46159</v>
      </c>
      <c r="K452" s="2">
        <f t="shared" si="15"/>
        <v>46143</v>
      </c>
      <c r="L452" s="1" t="s">
        <v>54</v>
      </c>
      <c r="M452" s="1" t="s">
        <v>49</v>
      </c>
      <c r="N452">
        <v>2025</v>
      </c>
      <c r="O452" s="2"/>
      <c r="P452" t="str">
        <f t="shared" si="14"/>
        <v>146046159</v>
      </c>
    </row>
    <row r="453" spans="1:16" x14ac:dyDescent="0.3">
      <c r="A453">
        <v>1463</v>
      </c>
      <c r="B453">
        <v>21</v>
      </c>
      <c r="C453" t="s">
        <v>15</v>
      </c>
      <c r="D453" t="s">
        <v>29</v>
      </c>
      <c r="E453" t="s">
        <v>17</v>
      </c>
      <c r="F453" t="s">
        <v>21</v>
      </c>
      <c r="G453" t="s">
        <v>41</v>
      </c>
      <c r="H453" t="s">
        <v>25</v>
      </c>
      <c r="I453" s="1">
        <v>1</v>
      </c>
      <c r="J453" s="2">
        <v>46166</v>
      </c>
      <c r="K453" s="2">
        <f t="shared" si="15"/>
        <v>46143</v>
      </c>
      <c r="L453" s="1" t="str">
        <f>TEXT(J453,"ddd")</f>
        <v>dom</v>
      </c>
      <c r="M453" s="1" t="str">
        <f>TEXT($J453,"mmm")</f>
        <v>mai</v>
      </c>
      <c r="N453">
        <f>YEAR(J453)</f>
        <v>2026</v>
      </c>
      <c r="O453" s="2"/>
      <c r="P453" t="str">
        <f t="shared" si="14"/>
        <v>146346166</v>
      </c>
    </row>
    <row r="454" spans="1:16" x14ac:dyDescent="0.3">
      <c r="A454">
        <v>1463</v>
      </c>
      <c r="B454">
        <v>21</v>
      </c>
      <c r="C454" t="s">
        <v>15</v>
      </c>
      <c r="D454" t="s">
        <v>29</v>
      </c>
      <c r="E454" t="s">
        <v>17</v>
      </c>
      <c r="F454" t="s">
        <v>21</v>
      </c>
      <c r="G454" t="s">
        <v>41</v>
      </c>
      <c r="H454" t="s">
        <v>25</v>
      </c>
      <c r="I454" s="1">
        <v>1</v>
      </c>
      <c r="J454" s="2">
        <v>46163</v>
      </c>
      <c r="K454" s="2">
        <f t="shared" si="15"/>
        <v>46143</v>
      </c>
      <c r="L454" s="1" t="str">
        <f>TEXT(J454,"ddd")</f>
        <v>qui</v>
      </c>
      <c r="M454" s="1" t="str">
        <f>TEXT($J454,"mmm")</f>
        <v>mai</v>
      </c>
      <c r="N454">
        <f>YEAR(J454)</f>
        <v>2026</v>
      </c>
      <c r="O454" s="2"/>
      <c r="P454" t="str">
        <f t="shared" si="14"/>
        <v>146346163</v>
      </c>
    </row>
    <row r="455" spans="1:16" x14ac:dyDescent="0.3">
      <c r="A455">
        <v>1463</v>
      </c>
      <c r="B455">
        <v>21</v>
      </c>
      <c r="C455" t="s">
        <v>15</v>
      </c>
      <c r="D455" t="s">
        <v>29</v>
      </c>
      <c r="E455" t="s">
        <v>17</v>
      </c>
      <c r="F455" t="s">
        <v>21</v>
      </c>
      <c r="G455" t="s">
        <v>41</v>
      </c>
      <c r="H455" t="s">
        <v>25</v>
      </c>
      <c r="I455" s="1">
        <v>1</v>
      </c>
      <c r="J455" s="2">
        <v>46125</v>
      </c>
      <c r="K455" s="2">
        <f t="shared" si="15"/>
        <v>46113</v>
      </c>
      <c r="L455" s="1" t="s">
        <v>55</v>
      </c>
      <c r="M455" s="1" t="s">
        <v>48</v>
      </c>
      <c r="N455">
        <v>2025</v>
      </c>
      <c r="O455" s="2"/>
      <c r="P455" t="str">
        <f t="shared" si="14"/>
        <v>146346125</v>
      </c>
    </row>
    <row r="456" spans="1:16" x14ac:dyDescent="0.3">
      <c r="A456">
        <v>1463</v>
      </c>
      <c r="B456">
        <v>21</v>
      </c>
      <c r="C456" t="s">
        <v>15</v>
      </c>
      <c r="D456" t="s">
        <v>29</v>
      </c>
      <c r="E456" t="s">
        <v>17</v>
      </c>
      <c r="F456" t="s">
        <v>21</v>
      </c>
      <c r="G456" t="s">
        <v>41</v>
      </c>
      <c r="H456" t="s">
        <v>25</v>
      </c>
      <c r="I456" s="1">
        <v>1</v>
      </c>
      <c r="J456" s="2">
        <v>46164</v>
      </c>
      <c r="K456" s="2">
        <f t="shared" si="15"/>
        <v>46143</v>
      </c>
      <c r="L456" s="1" t="s">
        <v>52</v>
      </c>
      <c r="M456" s="1" t="s">
        <v>49</v>
      </c>
      <c r="N456">
        <v>2025</v>
      </c>
      <c r="O456" s="2"/>
      <c r="P456" t="str">
        <f t="shared" si="14"/>
        <v>146346164</v>
      </c>
    </row>
    <row r="457" spans="1:16" x14ac:dyDescent="0.3">
      <c r="A457">
        <v>1468</v>
      </c>
      <c r="B457">
        <v>44</v>
      </c>
      <c r="C457" t="s">
        <v>26</v>
      </c>
      <c r="D457" t="s">
        <v>27</v>
      </c>
      <c r="E457" t="s">
        <v>17</v>
      </c>
      <c r="F457" t="s">
        <v>23</v>
      </c>
      <c r="G457" t="s">
        <v>43</v>
      </c>
      <c r="H457" t="s">
        <v>25</v>
      </c>
      <c r="I457" s="1">
        <v>2</v>
      </c>
      <c r="J457" s="2">
        <v>46176</v>
      </c>
      <c r="K457" s="2">
        <f t="shared" si="15"/>
        <v>46174</v>
      </c>
      <c r="L457" s="1" t="str">
        <f>TEXT(J457,"ddd")</f>
        <v>qua</v>
      </c>
      <c r="M457" s="1" t="str">
        <f>TEXT($J457,"mmm")</f>
        <v>jun</v>
      </c>
      <c r="N457">
        <f>YEAR(J457)</f>
        <v>2026</v>
      </c>
      <c r="O457" s="2"/>
      <c r="P457" t="str">
        <f t="shared" si="14"/>
        <v>146846176</v>
      </c>
    </row>
    <row r="458" spans="1:16" x14ac:dyDescent="0.3">
      <c r="A458">
        <v>1468</v>
      </c>
      <c r="B458">
        <v>44</v>
      </c>
      <c r="C458" t="s">
        <v>26</v>
      </c>
      <c r="D458" t="s">
        <v>27</v>
      </c>
      <c r="E458" t="s">
        <v>17</v>
      </c>
      <c r="F458" t="s">
        <v>23</v>
      </c>
      <c r="G458" t="s">
        <v>43</v>
      </c>
      <c r="H458" t="s">
        <v>25</v>
      </c>
      <c r="I458" s="1">
        <v>2</v>
      </c>
      <c r="J458" s="2">
        <v>46161</v>
      </c>
      <c r="K458" s="2">
        <f t="shared" si="15"/>
        <v>46143</v>
      </c>
      <c r="L458" s="1" t="s">
        <v>56</v>
      </c>
      <c r="M458" s="1" t="s">
        <v>49</v>
      </c>
      <c r="N458">
        <v>2025</v>
      </c>
      <c r="O458" s="2"/>
      <c r="P458" t="str">
        <f t="shared" si="14"/>
        <v>146846161</v>
      </c>
    </row>
    <row r="459" spans="1:16" x14ac:dyDescent="0.3">
      <c r="A459">
        <v>1469</v>
      </c>
      <c r="B459">
        <v>30</v>
      </c>
      <c r="C459" t="s">
        <v>26</v>
      </c>
      <c r="D459" t="s">
        <v>16</v>
      </c>
      <c r="E459" t="s">
        <v>17</v>
      </c>
      <c r="F459" t="s">
        <v>21</v>
      </c>
      <c r="G459" t="s">
        <v>43</v>
      </c>
      <c r="H459" t="s">
        <v>25</v>
      </c>
      <c r="I459" s="1">
        <v>1</v>
      </c>
      <c r="J459" s="2">
        <v>46155</v>
      </c>
      <c r="K459" s="2">
        <f t="shared" si="15"/>
        <v>46143</v>
      </c>
      <c r="L459" s="1" t="str">
        <f>TEXT(J459,"ddd")</f>
        <v>qua</v>
      </c>
      <c r="M459" s="1" t="str">
        <f>TEXT($J459,"mmm")</f>
        <v>mai</v>
      </c>
      <c r="N459">
        <f>YEAR(J459)</f>
        <v>2026</v>
      </c>
      <c r="O459" s="2"/>
      <c r="P459" t="str">
        <f t="shared" si="14"/>
        <v>146946155</v>
      </c>
    </row>
    <row r="460" spans="1:16" x14ac:dyDescent="0.3">
      <c r="A460">
        <v>1469</v>
      </c>
      <c r="B460">
        <v>30</v>
      </c>
      <c r="C460" t="s">
        <v>26</v>
      </c>
      <c r="D460" t="s">
        <v>16</v>
      </c>
      <c r="E460" t="s">
        <v>17</v>
      </c>
      <c r="F460" t="s">
        <v>21</v>
      </c>
      <c r="G460" t="s">
        <v>43</v>
      </c>
      <c r="H460" t="s">
        <v>25</v>
      </c>
      <c r="I460" s="1">
        <v>1</v>
      </c>
      <c r="J460" s="2">
        <v>46166</v>
      </c>
      <c r="K460" s="2">
        <f t="shared" si="15"/>
        <v>46143</v>
      </c>
      <c r="L460" s="1" t="str">
        <f>TEXT(J460,"ddd")</f>
        <v>dom</v>
      </c>
      <c r="M460" s="1" t="str">
        <f>TEXT($J460,"mmm")</f>
        <v>mai</v>
      </c>
      <c r="N460">
        <f>YEAR(J460)</f>
        <v>2026</v>
      </c>
      <c r="O460" s="2"/>
      <c r="P460" t="str">
        <f t="shared" si="14"/>
        <v>146946166</v>
      </c>
    </row>
    <row r="461" spans="1:16" x14ac:dyDescent="0.3">
      <c r="A461">
        <v>1469</v>
      </c>
      <c r="B461">
        <v>30</v>
      </c>
      <c r="C461" t="s">
        <v>26</v>
      </c>
      <c r="D461" t="s">
        <v>16</v>
      </c>
      <c r="E461" t="s">
        <v>17</v>
      </c>
      <c r="F461" t="s">
        <v>21</v>
      </c>
      <c r="G461" t="s">
        <v>43</v>
      </c>
      <c r="H461" t="s">
        <v>25</v>
      </c>
      <c r="I461" s="1">
        <v>1</v>
      </c>
      <c r="J461" s="2">
        <v>46153</v>
      </c>
      <c r="K461" s="2">
        <f t="shared" si="15"/>
        <v>46143</v>
      </c>
      <c r="L461" s="1" t="s">
        <v>55</v>
      </c>
      <c r="M461" s="1" t="s">
        <v>49</v>
      </c>
      <c r="N461">
        <v>2025</v>
      </c>
      <c r="O461" s="2"/>
      <c r="P461" t="str">
        <f t="shared" si="14"/>
        <v>146946153</v>
      </c>
    </row>
    <row r="462" spans="1:16" x14ac:dyDescent="0.3">
      <c r="A462">
        <v>1469</v>
      </c>
      <c r="B462">
        <v>30</v>
      </c>
      <c r="C462" t="s">
        <v>26</v>
      </c>
      <c r="D462" t="s">
        <v>16</v>
      </c>
      <c r="E462" t="s">
        <v>17</v>
      </c>
      <c r="F462" t="s">
        <v>21</v>
      </c>
      <c r="G462" t="s">
        <v>43</v>
      </c>
      <c r="H462" t="s">
        <v>25</v>
      </c>
      <c r="I462" s="1">
        <v>1</v>
      </c>
      <c r="J462" s="2">
        <v>46167</v>
      </c>
      <c r="K462" s="2">
        <f t="shared" si="15"/>
        <v>46143</v>
      </c>
      <c r="L462" s="1" t="s">
        <v>55</v>
      </c>
      <c r="M462" s="1" t="s">
        <v>49</v>
      </c>
      <c r="N462">
        <v>2025</v>
      </c>
      <c r="O462" s="2"/>
      <c r="P462" t="str">
        <f t="shared" si="14"/>
        <v>146946167</v>
      </c>
    </row>
    <row r="463" spans="1:16" x14ac:dyDescent="0.3">
      <c r="A463">
        <v>1471</v>
      </c>
      <c r="B463">
        <v>52</v>
      </c>
      <c r="C463" t="s">
        <v>26</v>
      </c>
      <c r="D463" t="s">
        <v>22</v>
      </c>
      <c r="E463" t="s">
        <v>17</v>
      </c>
      <c r="F463" t="s">
        <v>23</v>
      </c>
      <c r="G463" t="s">
        <v>41</v>
      </c>
      <c r="H463" t="s">
        <v>25</v>
      </c>
      <c r="I463" s="1">
        <v>1</v>
      </c>
      <c r="J463" s="2">
        <v>46160</v>
      </c>
      <c r="K463" s="2">
        <f t="shared" si="15"/>
        <v>46143</v>
      </c>
      <c r="L463" s="1" t="str">
        <f>TEXT(J463,"ddd")</f>
        <v>seg</v>
      </c>
      <c r="M463" s="1" t="str">
        <f>TEXT($J463,"mmm")</f>
        <v>mai</v>
      </c>
      <c r="N463">
        <f>YEAR(J463)</f>
        <v>2026</v>
      </c>
      <c r="O463" s="2"/>
      <c r="P463" t="str">
        <f t="shared" si="14"/>
        <v>147146160</v>
      </c>
    </row>
    <row r="464" spans="1:16" x14ac:dyDescent="0.3">
      <c r="A464">
        <v>1471</v>
      </c>
      <c r="B464">
        <v>52</v>
      </c>
      <c r="C464" t="s">
        <v>26</v>
      </c>
      <c r="D464" t="s">
        <v>22</v>
      </c>
      <c r="E464" t="s">
        <v>17</v>
      </c>
      <c r="F464" t="s">
        <v>23</v>
      </c>
      <c r="G464" t="s">
        <v>41</v>
      </c>
      <c r="H464" t="s">
        <v>25</v>
      </c>
      <c r="I464" s="1">
        <v>1</v>
      </c>
      <c r="J464" s="2">
        <v>46176</v>
      </c>
      <c r="K464" s="2">
        <f t="shared" si="15"/>
        <v>46174</v>
      </c>
      <c r="L464" s="1" t="s">
        <v>55</v>
      </c>
      <c r="M464" s="1" t="s">
        <v>49</v>
      </c>
      <c r="N464">
        <v>2025</v>
      </c>
      <c r="O464" s="2"/>
      <c r="P464" t="str">
        <f t="shared" si="14"/>
        <v>147146176</v>
      </c>
    </row>
    <row r="465" spans="1:16" x14ac:dyDescent="0.3">
      <c r="A465">
        <v>1476</v>
      </c>
      <c r="B465">
        <v>26</v>
      </c>
      <c r="C465" t="s">
        <v>26</v>
      </c>
      <c r="D465" t="s">
        <v>16</v>
      </c>
      <c r="E465" t="s">
        <v>17</v>
      </c>
      <c r="F465" t="s">
        <v>21</v>
      </c>
      <c r="G465" t="s">
        <v>41</v>
      </c>
      <c r="H465" t="s">
        <v>25</v>
      </c>
      <c r="I465" s="1">
        <v>2</v>
      </c>
      <c r="J465" s="2">
        <v>46160</v>
      </c>
      <c r="K465" s="2">
        <f t="shared" si="15"/>
        <v>46143</v>
      </c>
      <c r="L465" s="1" t="str">
        <f>TEXT(J465,"ddd")</f>
        <v>seg</v>
      </c>
      <c r="M465" s="1" t="str">
        <f>TEXT($J465,"mmm")</f>
        <v>mai</v>
      </c>
      <c r="N465">
        <f>YEAR(J465)</f>
        <v>2026</v>
      </c>
      <c r="O465" s="2"/>
      <c r="P465" t="str">
        <f t="shared" si="14"/>
        <v>147646160</v>
      </c>
    </row>
    <row r="466" spans="1:16" x14ac:dyDescent="0.3">
      <c r="A466">
        <v>1476</v>
      </c>
      <c r="B466">
        <v>26</v>
      </c>
      <c r="C466" t="s">
        <v>26</v>
      </c>
      <c r="D466" t="s">
        <v>16</v>
      </c>
      <c r="E466" t="s">
        <v>17</v>
      </c>
      <c r="F466" t="s">
        <v>21</v>
      </c>
      <c r="G466" t="s">
        <v>41</v>
      </c>
      <c r="H466" t="s">
        <v>25</v>
      </c>
      <c r="I466" s="1">
        <v>2</v>
      </c>
      <c r="J466" s="2">
        <v>46157</v>
      </c>
      <c r="K466" s="2">
        <f t="shared" si="15"/>
        <v>46143</v>
      </c>
      <c r="L466" s="1" t="s">
        <v>55</v>
      </c>
      <c r="M466" s="1" t="s">
        <v>49</v>
      </c>
      <c r="N466">
        <v>2025</v>
      </c>
      <c r="O466" s="2"/>
      <c r="P466" t="str">
        <f t="shared" si="14"/>
        <v>147646157</v>
      </c>
    </row>
    <row r="467" spans="1:16" x14ac:dyDescent="0.3">
      <c r="A467">
        <v>1478</v>
      </c>
      <c r="B467">
        <v>27</v>
      </c>
      <c r="C467" t="s">
        <v>15</v>
      </c>
      <c r="D467" t="s">
        <v>16</v>
      </c>
      <c r="E467" t="s">
        <v>17</v>
      </c>
      <c r="F467" t="s">
        <v>21</v>
      </c>
      <c r="G467" t="s">
        <v>41</v>
      </c>
      <c r="H467" t="s">
        <v>25</v>
      </c>
      <c r="I467" s="1">
        <v>3</v>
      </c>
      <c r="J467" s="2">
        <v>46166</v>
      </c>
      <c r="K467" s="2">
        <f t="shared" si="15"/>
        <v>46143</v>
      </c>
      <c r="L467" s="1" t="str">
        <f>TEXT(J467,"ddd")</f>
        <v>dom</v>
      </c>
      <c r="M467" s="1" t="str">
        <f>TEXT($J467,"mmm")</f>
        <v>mai</v>
      </c>
      <c r="N467">
        <f>YEAR(J467)</f>
        <v>2026</v>
      </c>
      <c r="O467" s="2"/>
      <c r="P467" t="str">
        <f t="shared" si="14"/>
        <v>147846166</v>
      </c>
    </row>
    <row r="468" spans="1:16" x14ac:dyDescent="0.3">
      <c r="A468">
        <v>1478</v>
      </c>
      <c r="B468">
        <v>27</v>
      </c>
      <c r="C468" t="s">
        <v>15</v>
      </c>
      <c r="D468" t="s">
        <v>16</v>
      </c>
      <c r="E468" t="s">
        <v>17</v>
      </c>
      <c r="F468" t="s">
        <v>21</v>
      </c>
      <c r="G468" t="s">
        <v>41</v>
      </c>
      <c r="H468" t="s">
        <v>25</v>
      </c>
      <c r="I468" s="1">
        <v>3</v>
      </c>
      <c r="J468" s="2">
        <v>46133</v>
      </c>
      <c r="K468" s="2">
        <f t="shared" si="15"/>
        <v>46113</v>
      </c>
      <c r="L468" s="1" t="s">
        <v>56</v>
      </c>
      <c r="M468" s="1" t="s">
        <v>48</v>
      </c>
      <c r="N468">
        <v>2025</v>
      </c>
      <c r="O468" s="2"/>
      <c r="P468" t="str">
        <f t="shared" si="14"/>
        <v>147846133</v>
      </c>
    </row>
    <row r="469" spans="1:16" x14ac:dyDescent="0.3">
      <c r="A469">
        <v>1482</v>
      </c>
      <c r="B469">
        <v>52</v>
      </c>
      <c r="C469" t="s">
        <v>15</v>
      </c>
      <c r="D469" t="s">
        <v>27</v>
      </c>
      <c r="E469" t="s">
        <v>17</v>
      </c>
      <c r="F469" t="s">
        <v>18</v>
      </c>
      <c r="G469" t="s">
        <v>41</v>
      </c>
      <c r="H469" t="s">
        <v>25</v>
      </c>
      <c r="I469" s="1">
        <v>2</v>
      </c>
      <c r="J469" s="2">
        <v>46129</v>
      </c>
      <c r="K469" s="2">
        <f t="shared" si="15"/>
        <v>46113</v>
      </c>
      <c r="L469" s="1" t="str">
        <f>TEXT(J469,"ddd")</f>
        <v>sex</v>
      </c>
      <c r="M469" s="1" t="str">
        <f>TEXT($J469,"mmm")</f>
        <v>abr</v>
      </c>
      <c r="N469">
        <f>YEAR(J469)</f>
        <v>2026</v>
      </c>
      <c r="O469" s="2"/>
      <c r="P469" t="str">
        <f t="shared" si="14"/>
        <v>148246129</v>
      </c>
    </row>
    <row r="470" spans="1:16" x14ac:dyDescent="0.3">
      <c r="A470">
        <v>1482</v>
      </c>
      <c r="B470">
        <v>52</v>
      </c>
      <c r="C470" t="s">
        <v>15</v>
      </c>
      <c r="D470" t="s">
        <v>27</v>
      </c>
      <c r="E470" t="s">
        <v>17</v>
      </c>
      <c r="F470" t="s">
        <v>18</v>
      </c>
      <c r="G470" t="s">
        <v>41</v>
      </c>
      <c r="H470" t="s">
        <v>25</v>
      </c>
      <c r="I470" s="1">
        <v>2</v>
      </c>
      <c r="J470" s="2">
        <v>46157</v>
      </c>
      <c r="K470" s="2">
        <f t="shared" si="15"/>
        <v>46143</v>
      </c>
      <c r="L470" s="1" t="s">
        <v>52</v>
      </c>
      <c r="M470" s="1" t="s">
        <v>48</v>
      </c>
      <c r="N470">
        <v>2025</v>
      </c>
      <c r="O470" s="2"/>
      <c r="P470" t="str">
        <f t="shared" si="14"/>
        <v>148246157</v>
      </c>
    </row>
    <row r="471" spans="1:16" x14ac:dyDescent="0.3">
      <c r="A471">
        <v>1486</v>
      </c>
      <c r="B471">
        <v>27</v>
      </c>
      <c r="C471" t="s">
        <v>15</v>
      </c>
      <c r="D471" t="s">
        <v>29</v>
      </c>
      <c r="E471" t="s">
        <v>17</v>
      </c>
      <c r="F471" t="s">
        <v>18</v>
      </c>
      <c r="G471" t="s">
        <v>41</v>
      </c>
      <c r="H471" t="s">
        <v>25</v>
      </c>
      <c r="I471" s="1">
        <v>3</v>
      </c>
      <c r="J471" s="2">
        <v>46166</v>
      </c>
      <c r="K471" s="2">
        <f t="shared" si="15"/>
        <v>46143</v>
      </c>
      <c r="L471" s="1" t="str">
        <f>TEXT(J471,"ddd")</f>
        <v>dom</v>
      </c>
      <c r="M471" s="1" t="str">
        <f>TEXT($J471,"mmm")</f>
        <v>mai</v>
      </c>
      <c r="N471">
        <f>YEAR(J471)</f>
        <v>2026</v>
      </c>
      <c r="O471" s="2"/>
      <c r="P471" t="str">
        <f t="shared" si="14"/>
        <v>148646166</v>
      </c>
    </row>
    <row r="472" spans="1:16" x14ac:dyDescent="0.3">
      <c r="A472">
        <v>1486</v>
      </c>
      <c r="B472">
        <v>27</v>
      </c>
      <c r="C472" t="s">
        <v>15</v>
      </c>
      <c r="D472" t="s">
        <v>29</v>
      </c>
      <c r="E472" t="s">
        <v>17</v>
      </c>
      <c r="F472" t="s">
        <v>18</v>
      </c>
      <c r="G472" t="s">
        <v>41</v>
      </c>
      <c r="H472" t="s">
        <v>25</v>
      </c>
      <c r="I472" s="1">
        <v>3</v>
      </c>
      <c r="J472" s="2">
        <v>46173</v>
      </c>
      <c r="K472" s="2">
        <f t="shared" si="15"/>
        <v>46143</v>
      </c>
      <c r="L472" s="1" t="s">
        <v>54</v>
      </c>
      <c r="M472" s="1" t="s">
        <v>49</v>
      </c>
      <c r="N472">
        <v>2025</v>
      </c>
      <c r="O472" s="2"/>
      <c r="P472" t="str">
        <f t="shared" si="14"/>
        <v>148646173</v>
      </c>
    </row>
    <row r="473" spans="1:16" x14ac:dyDescent="0.3">
      <c r="A473">
        <v>1487</v>
      </c>
      <c r="B473">
        <v>21</v>
      </c>
      <c r="C473" t="s">
        <v>26</v>
      </c>
      <c r="D473" t="s">
        <v>31</v>
      </c>
      <c r="E473" t="s">
        <v>34</v>
      </c>
      <c r="F473" t="s">
        <v>21</v>
      </c>
      <c r="G473" t="s">
        <v>41</v>
      </c>
      <c r="H473" t="s">
        <v>25</v>
      </c>
      <c r="I473" s="1">
        <v>1</v>
      </c>
      <c r="J473" s="2">
        <v>46155</v>
      </c>
      <c r="K473" s="2">
        <f t="shared" si="15"/>
        <v>46143</v>
      </c>
      <c r="L473" s="1" t="str">
        <f>TEXT(J473,"ddd")</f>
        <v>qua</v>
      </c>
      <c r="M473" s="1" t="str">
        <f>TEXT($J473,"mmm")</f>
        <v>mai</v>
      </c>
      <c r="N473">
        <f>YEAR(J473)</f>
        <v>2026</v>
      </c>
      <c r="O473" s="2"/>
      <c r="P473" t="str">
        <f t="shared" si="14"/>
        <v>148746155</v>
      </c>
    </row>
    <row r="474" spans="1:16" x14ac:dyDescent="0.3">
      <c r="A474">
        <v>1487</v>
      </c>
      <c r="B474">
        <v>21</v>
      </c>
      <c r="C474" t="s">
        <v>26</v>
      </c>
      <c r="D474" t="s">
        <v>31</v>
      </c>
      <c r="E474" t="s">
        <v>34</v>
      </c>
      <c r="F474" t="s">
        <v>21</v>
      </c>
      <c r="G474" t="s">
        <v>41</v>
      </c>
      <c r="H474" t="s">
        <v>25</v>
      </c>
      <c r="I474" s="1">
        <v>1</v>
      </c>
      <c r="J474" s="2">
        <v>46176</v>
      </c>
      <c r="K474" s="2">
        <f t="shared" si="15"/>
        <v>46174</v>
      </c>
      <c r="L474" s="1" t="s">
        <v>50</v>
      </c>
      <c r="M474" s="1" t="s">
        <v>49</v>
      </c>
      <c r="N474">
        <v>2025</v>
      </c>
      <c r="O474" s="2"/>
      <c r="P474" t="str">
        <f t="shared" si="14"/>
        <v>148746176</v>
      </c>
    </row>
    <row r="475" spans="1:16" x14ac:dyDescent="0.3">
      <c r="A475">
        <v>1491</v>
      </c>
      <c r="B475">
        <v>30</v>
      </c>
      <c r="C475" t="s">
        <v>15</v>
      </c>
      <c r="D475" t="s">
        <v>27</v>
      </c>
      <c r="E475" t="s">
        <v>17</v>
      </c>
      <c r="F475" t="s">
        <v>18</v>
      </c>
      <c r="G475" t="s">
        <v>43</v>
      </c>
      <c r="H475" t="s">
        <v>25</v>
      </c>
      <c r="I475" s="1">
        <v>3</v>
      </c>
      <c r="J475" s="2">
        <v>46165</v>
      </c>
      <c r="K475" s="2">
        <f t="shared" si="15"/>
        <v>46143</v>
      </c>
      <c r="L475" s="1" t="str">
        <f>TEXT(J475,"ddd")</f>
        <v>sáb</v>
      </c>
      <c r="M475" s="1" t="str">
        <f>TEXT($J475,"mmm")</f>
        <v>mai</v>
      </c>
      <c r="N475">
        <f>YEAR(J475)</f>
        <v>2026</v>
      </c>
      <c r="O475" s="2"/>
      <c r="P475" t="str">
        <f t="shared" si="14"/>
        <v>149146165</v>
      </c>
    </row>
    <row r="476" spans="1:16" x14ac:dyDescent="0.3">
      <c r="A476">
        <v>1491</v>
      </c>
      <c r="B476">
        <v>30</v>
      </c>
      <c r="C476" t="s">
        <v>15</v>
      </c>
      <c r="D476" t="s">
        <v>27</v>
      </c>
      <c r="E476" t="s">
        <v>17</v>
      </c>
      <c r="F476" t="s">
        <v>18</v>
      </c>
      <c r="G476" t="s">
        <v>43</v>
      </c>
      <c r="H476" t="s">
        <v>25</v>
      </c>
      <c r="I476" s="1">
        <v>3</v>
      </c>
      <c r="J476" s="2">
        <v>46157</v>
      </c>
      <c r="K476" s="2">
        <f t="shared" si="15"/>
        <v>46143</v>
      </c>
      <c r="L476" s="1" t="s">
        <v>53</v>
      </c>
      <c r="M476" s="1" t="s">
        <v>49</v>
      </c>
      <c r="N476">
        <v>2025</v>
      </c>
      <c r="O476" s="2"/>
      <c r="P476" t="str">
        <f t="shared" si="14"/>
        <v>149146157</v>
      </c>
    </row>
    <row r="477" spans="1:16" x14ac:dyDescent="0.3">
      <c r="A477">
        <v>1527</v>
      </c>
      <c r="B477">
        <v>46</v>
      </c>
      <c r="C477" t="s">
        <v>15</v>
      </c>
      <c r="D477" t="s">
        <v>22</v>
      </c>
      <c r="E477" t="s">
        <v>17</v>
      </c>
      <c r="F477" t="s">
        <v>23</v>
      </c>
      <c r="G477" t="s">
        <v>41</v>
      </c>
      <c r="H477" t="s">
        <v>25</v>
      </c>
      <c r="I477" s="1">
        <v>2</v>
      </c>
      <c r="J477" s="2">
        <v>46173</v>
      </c>
      <c r="K477" s="2">
        <f t="shared" si="15"/>
        <v>46143</v>
      </c>
      <c r="L477" s="1" t="str">
        <f>TEXT(J477,"ddd")</f>
        <v>dom</v>
      </c>
      <c r="M477" s="1" t="str">
        <f>TEXT($J477,"mmm")</f>
        <v>mai</v>
      </c>
      <c r="N477">
        <f>YEAR(J477)</f>
        <v>2026</v>
      </c>
      <c r="O477" s="2"/>
      <c r="P477" t="str">
        <f t="shared" si="14"/>
        <v>152746173</v>
      </c>
    </row>
    <row r="478" spans="1:16" x14ac:dyDescent="0.3">
      <c r="A478">
        <v>1527</v>
      </c>
      <c r="B478">
        <v>46</v>
      </c>
      <c r="C478" t="s">
        <v>15</v>
      </c>
      <c r="D478" t="s">
        <v>22</v>
      </c>
      <c r="E478" t="s">
        <v>17</v>
      </c>
      <c r="F478" t="s">
        <v>23</v>
      </c>
      <c r="G478" t="s">
        <v>41</v>
      </c>
      <c r="H478" t="s">
        <v>25</v>
      </c>
      <c r="I478" s="1">
        <v>2</v>
      </c>
      <c r="J478" s="2">
        <v>46175</v>
      </c>
      <c r="K478" s="2">
        <f t="shared" si="15"/>
        <v>46174</v>
      </c>
      <c r="L478" s="1" t="s">
        <v>54</v>
      </c>
      <c r="M478" s="1" t="s">
        <v>49</v>
      </c>
      <c r="N478">
        <v>2025</v>
      </c>
      <c r="O478" s="2"/>
      <c r="P478" t="str">
        <f t="shared" si="14"/>
        <v>152746175</v>
      </c>
    </row>
    <row r="479" spans="1:16" x14ac:dyDescent="0.3">
      <c r="A479">
        <v>1532</v>
      </c>
      <c r="B479">
        <v>26</v>
      </c>
      <c r="C479" t="s">
        <v>15</v>
      </c>
      <c r="D479" t="s">
        <v>22</v>
      </c>
      <c r="E479" t="s">
        <v>17</v>
      </c>
      <c r="F479" t="s">
        <v>23</v>
      </c>
      <c r="G479" t="s">
        <v>41</v>
      </c>
      <c r="H479" t="s">
        <v>25</v>
      </c>
      <c r="I479" s="1">
        <v>1</v>
      </c>
      <c r="J479" s="2">
        <v>46144</v>
      </c>
      <c r="K479" s="2">
        <f t="shared" si="15"/>
        <v>46143</v>
      </c>
      <c r="L479" s="1" t="str">
        <f>TEXT(J479,"ddd")</f>
        <v>sáb</v>
      </c>
      <c r="M479" s="1" t="str">
        <f>TEXT($J479,"mmm")</f>
        <v>mai</v>
      </c>
      <c r="N479">
        <f>YEAR(J479)</f>
        <v>2026</v>
      </c>
      <c r="O479" s="2"/>
      <c r="P479" t="str">
        <f t="shared" si="14"/>
        <v>153246144</v>
      </c>
    </row>
    <row r="480" spans="1:16" x14ac:dyDescent="0.3">
      <c r="A480">
        <v>1532</v>
      </c>
      <c r="B480">
        <v>26</v>
      </c>
      <c r="C480" t="s">
        <v>15</v>
      </c>
      <c r="D480" t="s">
        <v>22</v>
      </c>
      <c r="E480" t="s">
        <v>17</v>
      </c>
      <c r="F480" t="s">
        <v>23</v>
      </c>
      <c r="G480" t="s">
        <v>41</v>
      </c>
      <c r="H480" t="s">
        <v>25</v>
      </c>
      <c r="I480" s="1">
        <v>1</v>
      </c>
      <c r="J480" s="2">
        <v>46175</v>
      </c>
      <c r="K480" s="2">
        <f t="shared" si="15"/>
        <v>46174</v>
      </c>
      <c r="L480" s="1" t="str">
        <f>TEXT(J480,"ddd")</f>
        <v>ter</v>
      </c>
      <c r="M480" s="1" t="str">
        <f>TEXT($J480,"mmm")</f>
        <v>jun</v>
      </c>
      <c r="N480">
        <f>YEAR(J480)</f>
        <v>2026</v>
      </c>
      <c r="O480" s="2"/>
      <c r="P480" t="str">
        <f t="shared" si="14"/>
        <v>153246175</v>
      </c>
    </row>
    <row r="481" spans="1:16" x14ac:dyDescent="0.3">
      <c r="A481">
        <v>1532</v>
      </c>
      <c r="B481">
        <v>26</v>
      </c>
      <c r="C481" t="s">
        <v>15</v>
      </c>
      <c r="D481" t="s">
        <v>22</v>
      </c>
      <c r="E481" t="s">
        <v>17</v>
      </c>
      <c r="F481" t="s">
        <v>23</v>
      </c>
      <c r="G481" t="s">
        <v>41</v>
      </c>
      <c r="H481" t="s">
        <v>25</v>
      </c>
      <c r="I481" s="1">
        <v>1</v>
      </c>
      <c r="J481" s="2">
        <v>46176</v>
      </c>
      <c r="K481" s="2">
        <f t="shared" si="15"/>
        <v>46174</v>
      </c>
      <c r="L481" s="1" t="s">
        <v>53</v>
      </c>
      <c r="M481" s="1" t="s">
        <v>49</v>
      </c>
      <c r="N481">
        <v>2025</v>
      </c>
      <c r="O481" s="2"/>
      <c r="P481" t="str">
        <f t="shared" si="14"/>
        <v>153246176</v>
      </c>
    </row>
    <row r="482" spans="1:16" x14ac:dyDescent="0.3">
      <c r="A482">
        <v>1532</v>
      </c>
      <c r="B482">
        <v>26</v>
      </c>
      <c r="C482" t="s">
        <v>15</v>
      </c>
      <c r="D482" t="s">
        <v>22</v>
      </c>
      <c r="E482" t="s">
        <v>17</v>
      </c>
      <c r="F482" t="s">
        <v>23</v>
      </c>
      <c r="G482" t="s">
        <v>41</v>
      </c>
      <c r="H482" t="s">
        <v>25</v>
      </c>
      <c r="I482" s="1">
        <v>1</v>
      </c>
      <c r="J482" s="2">
        <v>46173</v>
      </c>
      <c r="K482" s="2">
        <f t="shared" si="15"/>
        <v>46143</v>
      </c>
      <c r="L482" s="1" t="s">
        <v>54</v>
      </c>
      <c r="M482" s="1" t="s">
        <v>49</v>
      </c>
      <c r="N482">
        <v>2025</v>
      </c>
      <c r="O482" s="2"/>
      <c r="P482" t="str">
        <f t="shared" si="14"/>
        <v>153246173</v>
      </c>
    </row>
    <row r="483" spans="1:16" x14ac:dyDescent="0.3">
      <c r="A483">
        <v>1547</v>
      </c>
      <c r="B483">
        <v>50</v>
      </c>
      <c r="C483" t="s">
        <v>26</v>
      </c>
      <c r="D483" t="s">
        <v>29</v>
      </c>
      <c r="E483" t="s">
        <v>17</v>
      </c>
      <c r="F483" t="s">
        <v>18</v>
      </c>
      <c r="G483" t="s">
        <v>43</v>
      </c>
      <c r="H483" t="s">
        <v>25</v>
      </c>
      <c r="I483" s="1">
        <v>3</v>
      </c>
      <c r="J483" s="2">
        <v>46157</v>
      </c>
      <c r="K483" s="2">
        <f t="shared" si="15"/>
        <v>46143</v>
      </c>
      <c r="L483" s="1" t="str">
        <f>TEXT(J483,"ddd")</f>
        <v>sex</v>
      </c>
      <c r="M483" s="1" t="str">
        <f>TEXT($J483,"mmm")</f>
        <v>mai</v>
      </c>
      <c r="N483">
        <f>YEAR(J483)</f>
        <v>2026</v>
      </c>
      <c r="O483" s="2"/>
      <c r="P483" t="str">
        <f t="shared" si="14"/>
        <v>154746157</v>
      </c>
    </row>
    <row r="484" spans="1:16" x14ac:dyDescent="0.3">
      <c r="A484">
        <v>1547</v>
      </c>
      <c r="B484">
        <v>50</v>
      </c>
      <c r="C484" t="s">
        <v>26</v>
      </c>
      <c r="D484" t="s">
        <v>29</v>
      </c>
      <c r="E484" t="s">
        <v>17</v>
      </c>
      <c r="F484" t="s">
        <v>18</v>
      </c>
      <c r="G484" t="s">
        <v>43</v>
      </c>
      <c r="H484" t="s">
        <v>25</v>
      </c>
      <c r="I484" s="1">
        <v>3</v>
      </c>
      <c r="J484" s="2">
        <v>46166</v>
      </c>
      <c r="K484" s="2">
        <f t="shared" si="15"/>
        <v>46143</v>
      </c>
      <c r="L484" s="1" t="s">
        <v>54</v>
      </c>
      <c r="M484" s="1" t="s">
        <v>49</v>
      </c>
      <c r="N484">
        <v>2025</v>
      </c>
      <c r="O484" s="2"/>
      <c r="P484" t="str">
        <f t="shared" si="14"/>
        <v>154746166</v>
      </c>
    </row>
    <row r="485" spans="1:16" x14ac:dyDescent="0.3">
      <c r="A485">
        <v>1558</v>
      </c>
      <c r="B485">
        <v>32</v>
      </c>
      <c r="C485" t="s">
        <v>26</v>
      </c>
      <c r="D485" t="s">
        <v>27</v>
      </c>
      <c r="E485" t="s">
        <v>17</v>
      </c>
      <c r="F485" t="s">
        <v>18</v>
      </c>
      <c r="G485" t="s">
        <v>41</v>
      </c>
      <c r="H485" t="s">
        <v>25</v>
      </c>
      <c r="I485" s="1">
        <v>2</v>
      </c>
      <c r="J485" s="2">
        <v>46175</v>
      </c>
      <c r="K485" s="2">
        <f t="shared" si="15"/>
        <v>46174</v>
      </c>
      <c r="L485" s="1" t="str">
        <f>TEXT(J485,"ddd")</f>
        <v>ter</v>
      </c>
      <c r="M485" s="1" t="str">
        <f>TEXT($J485,"mmm")</f>
        <v>jun</v>
      </c>
      <c r="N485">
        <f>YEAR(J485)</f>
        <v>2026</v>
      </c>
      <c r="O485" s="2"/>
      <c r="P485" t="str">
        <f t="shared" si="14"/>
        <v>155846175</v>
      </c>
    </row>
    <row r="486" spans="1:16" x14ac:dyDescent="0.3">
      <c r="A486">
        <v>1558</v>
      </c>
      <c r="B486">
        <v>32</v>
      </c>
      <c r="C486" t="s">
        <v>26</v>
      </c>
      <c r="D486" t="s">
        <v>27</v>
      </c>
      <c r="E486" t="s">
        <v>17</v>
      </c>
      <c r="F486" t="s">
        <v>18</v>
      </c>
      <c r="G486" t="s">
        <v>41</v>
      </c>
      <c r="H486" t="s">
        <v>25</v>
      </c>
      <c r="I486" s="1">
        <v>2</v>
      </c>
      <c r="J486" s="2">
        <v>46127</v>
      </c>
      <c r="K486" s="2">
        <f t="shared" si="15"/>
        <v>46113</v>
      </c>
      <c r="L486" s="1" t="s">
        <v>50</v>
      </c>
      <c r="M486" s="1" t="s">
        <v>48</v>
      </c>
      <c r="N486">
        <v>2025</v>
      </c>
      <c r="O486" s="2"/>
      <c r="P486" t="str">
        <f t="shared" si="14"/>
        <v>155846127</v>
      </c>
    </row>
    <row r="487" spans="1:16" x14ac:dyDescent="0.3">
      <c r="A487">
        <v>1565</v>
      </c>
      <c r="B487">
        <v>21</v>
      </c>
      <c r="C487" t="s">
        <v>15</v>
      </c>
      <c r="D487" t="s">
        <v>31</v>
      </c>
      <c r="E487" t="s">
        <v>34</v>
      </c>
      <c r="F487" t="s">
        <v>21</v>
      </c>
      <c r="G487" t="s">
        <v>41</v>
      </c>
      <c r="H487" t="s">
        <v>25</v>
      </c>
      <c r="I487" s="1">
        <v>1</v>
      </c>
      <c r="J487" s="2">
        <v>46176</v>
      </c>
      <c r="K487" s="2">
        <f t="shared" si="15"/>
        <v>46174</v>
      </c>
      <c r="L487" s="1" t="str">
        <f>TEXT(J487,"ddd")</f>
        <v>qua</v>
      </c>
      <c r="M487" s="1" t="str">
        <f>TEXT($J487,"mmm")</f>
        <v>jun</v>
      </c>
      <c r="N487">
        <f>YEAR(J487)</f>
        <v>2026</v>
      </c>
      <c r="O487" s="2"/>
      <c r="P487" t="str">
        <f t="shared" si="14"/>
        <v>156546176</v>
      </c>
    </row>
    <row r="488" spans="1:16" x14ac:dyDescent="0.3">
      <c r="A488">
        <v>1565</v>
      </c>
      <c r="B488">
        <v>21</v>
      </c>
      <c r="C488" t="s">
        <v>15</v>
      </c>
      <c r="D488" t="s">
        <v>31</v>
      </c>
      <c r="E488" t="s">
        <v>34</v>
      </c>
      <c r="F488" t="s">
        <v>21</v>
      </c>
      <c r="G488" t="s">
        <v>41</v>
      </c>
      <c r="H488" t="s">
        <v>25</v>
      </c>
      <c r="I488" s="1">
        <v>1</v>
      </c>
      <c r="J488" s="2">
        <v>46171</v>
      </c>
      <c r="K488" s="2">
        <f t="shared" si="15"/>
        <v>46143</v>
      </c>
      <c r="L488" s="1" t="s">
        <v>52</v>
      </c>
      <c r="M488" s="1" t="s">
        <v>49</v>
      </c>
      <c r="N488">
        <v>2025</v>
      </c>
      <c r="O488" s="2"/>
      <c r="P488" t="str">
        <f t="shared" si="14"/>
        <v>156546171</v>
      </c>
    </row>
    <row r="489" spans="1:16" x14ac:dyDescent="0.3">
      <c r="A489">
        <v>1573</v>
      </c>
      <c r="B489">
        <v>27</v>
      </c>
      <c r="C489" t="s">
        <v>15</v>
      </c>
      <c r="D489" t="s">
        <v>22</v>
      </c>
      <c r="E489" t="s">
        <v>17</v>
      </c>
      <c r="F489" t="s">
        <v>18</v>
      </c>
      <c r="G489" t="s">
        <v>41</v>
      </c>
      <c r="H489" t="s">
        <v>25</v>
      </c>
      <c r="I489" s="1">
        <v>3</v>
      </c>
      <c r="J489" s="2">
        <v>46175</v>
      </c>
      <c r="K489" s="2">
        <f t="shared" si="15"/>
        <v>46174</v>
      </c>
      <c r="L489" s="1" t="str">
        <f>TEXT(J489,"ddd")</f>
        <v>ter</v>
      </c>
      <c r="M489" s="1" t="str">
        <f>TEXT($J489,"mmm")</f>
        <v>jun</v>
      </c>
      <c r="N489">
        <f>YEAR(J489)</f>
        <v>2026</v>
      </c>
      <c r="O489" s="2"/>
      <c r="P489" t="str">
        <f t="shared" si="14"/>
        <v>157346175</v>
      </c>
    </row>
    <row r="490" spans="1:16" x14ac:dyDescent="0.3">
      <c r="A490">
        <v>1573</v>
      </c>
      <c r="B490">
        <v>27</v>
      </c>
      <c r="C490" t="s">
        <v>15</v>
      </c>
      <c r="D490" t="s">
        <v>22</v>
      </c>
      <c r="E490" t="s">
        <v>17</v>
      </c>
      <c r="F490" t="s">
        <v>18</v>
      </c>
      <c r="G490" t="s">
        <v>41</v>
      </c>
      <c r="H490" t="s">
        <v>25</v>
      </c>
      <c r="I490" s="1">
        <v>3</v>
      </c>
      <c r="J490" s="2">
        <v>46122</v>
      </c>
      <c r="K490" s="2">
        <f t="shared" si="15"/>
        <v>46113</v>
      </c>
      <c r="L490" s="1" t="s">
        <v>52</v>
      </c>
      <c r="M490" s="1" t="s">
        <v>48</v>
      </c>
      <c r="N490">
        <v>2025</v>
      </c>
      <c r="O490" s="2"/>
      <c r="P490" t="str">
        <f t="shared" si="14"/>
        <v>157346122</v>
      </c>
    </row>
    <row r="491" spans="1:16" x14ac:dyDescent="0.3">
      <c r="A491">
        <v>1599</v>
      </c>
      <c r="B491">
        <v>37</v>
      </c>
      <c r="C491" t="s">
        <v>26</v>
      </c>
      <c r="D491" t="s">
        <v>29</v>
      </c>
      <c r="E491" t="s">
        <v>17</v>
      </c>
      <c r="F491" t="s">
        <v>23</v>
      </c>
      <c r="G491" t="s">
        <v>41</v>
      </c>
      <c r="H491" t="s">
        <v>25</v>
      </c>
      <c r="I491" s="1">
        <v>1</v>
      </c>
      <c r="J491" s="2">
        <v>46152</v>
      </c>
      <c r="K491" s="2">
        <f t="shared" si="15"/>
        <v>46143</v>
      </c>
      <c r="L491" s="1" t="str">
        <f>TEXT(J491,"ddd")</f>
        <v>dom</v>
      </c>
      <c r="M491" s="1" t="str">
        <f>TEXT($J491,"mmm")</f>
        <v>mai</v>
      </c>
      <c r="N491">
        <f>YEAR(J491)</f>
        <v>2026</v>
      </c>
      <c r="O491" s="2"/>
      <c r="P491" t="str">
        <f t="shared" si="14"/>
        <v>159946152</v>
      </c>
    </row>
    <row r="492" spans="1:16" x14ac:dyDescent="0.3">
      <c r="A492">
        <v>1599</v>
      </c>
      <c r="B492">
        <v>37</v>
      </c>
      <c r="C492" t="s">
        <v>26</v>
      </c>
      <c r="D492" t="s">
        <v>29</v>
      </c>
      <c r="E492" t="s">
        <v>17</v>
      </c>
      <c r="F492" t="s">
        <v>23</v>
      </c>
      <c r="G492" t="s">
        <v>41</v>
      </c>
      <c r="H492" t="s">
        <v>25</v>
      </c>
      <c r="I492" s="1">
        <v>1</v>
      </c>
      <c r="J492" s="2">
        <v>46177</v>
      </c>
      <c r="K492" s="2">
        <f t="shared" si="15"/>
        <v>46174</v>
      </c>
      <c r="L492" s="1" t="s">
        <v>54</v>
      </c>
      <c r="M492" s="1" t="s">
        <v>49</v>
      </c>
      <c r="N492">
        <v>2025</v>
      </c>
      <c r="O492" s="2"/>
      <c r="P492" t="str">
        <f t="shared" si="14"/>
        <v>159946177</v>
      </c>
    </row>
    <row r="493" spans="1:16" x14ac:dyDescent="0.3">
      <c r="A493">
        <v>1600</v>
      </c>
      <c r="B493">
        <v>39</v>
      </c>
      <c r="C493" t="s">
        <v>26</v>
      </c>
      <c r="D493" t="s">
        <v>27</v>
      </c>
      <c r="E493" t="s">
        <v>17</v>
      </c>
      <c r="F493" t="s">
        <v>18</v>
      </c>
      <c r="G493" t="s">
        <v>41</v>
      </c>
      <c r="H493" t="s">
        <v>25</v>
      </c>
      <c r="I493" s="1">
        <v>1</v>
      </c>
      <c r="J493" s="2">
        <v>46135</v>
      </c>
      <c r="K493" s="2">
        <f t="shared" si="15"/>
        <v>46113</v>
      </c>
      <c r="L493" s="1" t="str">
        <f>TEXT(J493,"ddd")</f>
        <v>qui</v>
      </c>
      <c r="M493" s="1" t="str">
        <f>TEXT($J493,"mmm")</f>
        <v>abr</v>
      </c>
      <c r="N493">
        <f>YEAR(J493)</f>
        <v>2026</v>
      </c>
      <c r="O493" s="2"/>
      <c r="P493" t="str">
        <f t="shared" si="14"/>
        <v>160046135</v>
      </c>
    </row>
    <row r="494" spans="1:16" x14ac:dyDescent="0.3">
      <c r="A494">
        <v>1600</v>
      </c>
      <c r="B494">
        <v>39</v>
      </c>
      <c r="C494" t="s">
        <v>26</v>
      </c>
      <c r="D494" t="s">
        <v>27</v>
      </c>
      <c r="E494" t="s">
        <v>17</v>
      </c>
      <c r="F494" t="s">
        <v>18</v>
      </c>
      <c r="G494" t="s">
        <v>41</v>
      </c>
      <c r="H494" t="s">
        <v>25</v>
      </c>
      <c r="I494" s="1">
        <v>1</v>
      </c>
      <c r="J494" s="2">
        <v>46157</v>
      </c>
      <c r="K494" s="2">
        <f t="shared" si="15"/>
        <v>46143</v>
      </c>
      <c r="L494" s="1" t="s">
        <v>51</v>
      </c>
      <c r="M494" s="1" t="s">
        <v>48</v>
      </c>
      <c r="N494">
        <v>2025</v>
      </c>
      <c r="O494" s="2"/>
      <c r="P494" t="str">
        <f t="shared" si="14"/>
        <v>160046157</v>
      </c>
    </row>
    <row r="495" spans="1:16" x14ac:dyDescent="0.3">
      <c r="A495">
        <v>1604</v>
      </c>
      <c r="B495">
        <v>40</v>
      </c>
      <c r="C495" t="s">
        <v>26</v>
      </c>
      <c r="D495" t="s">
        <v>27</v>
      </c>
      <c r="E495" t="s">
        <v>17</v>
      </c>
      <c r="F495" t="s">
        <v>23</v>
      </c>
      <c r="G495" t="s">
        <v>41</v>
      </c>
      <c r="H495" t="s">
        <v>25</v>
      </c>
      <c r="I495" s="1">
        <v>3</v>
      </c>
      <c r="J495" s="2">
        <v>46154</v>
      </c>
      <c r="K495" s="2">
        <f t="shared" si="15"/>
        <v>46143</v>
      </c>
      <c r="L495" s="1" t="str">
        <f>TEXT(J495,"ddd")</f>
        <v>ter</v>
      </c>
      <c r="M495" s="1" t="str">
        <f>TEXT($J495,"mmm")</f>
        <v>mai</v>
      </c>
      <c r="N495">
        <f>YEAR(J495)</f>
        <v>2026</v>
      </c>
      <c r="O495" s="2"/>
      <c r="P495" t="str">
        <f t="shared" si="14"/>
        <v>160446154</v>
      </c>
    </row>
    <row r="496" spans="1:16" x14ac:dyDescent="0.3">
      <c r="A496">
        <v>1604</v>
      </c>
      <c r="B496">
        <v>40</v>
      </c>
      <c r="C496" t="s">
        <v>26</v>
      </c>
      <c r="D496" t="s">
        <v>27</v>
      </c>
      <c r="E496" t="s">
        <v>17</v>
      </c>
      <c r="F496" t="s">
        <v>23</v>
      </c>
      <c r="G496" t="s">
        <v>41</v>
      </c>
      <c r="H496" t="s">
        <v>25</v>
      </c>
      <c r="I496" s="1">
        <v>3</v>
      </c>
      <c r="J496" s="2">
        <v>46175</v>
      </c>
      <c r="K496" s="2">
        <f t="shared" si="15"/>
        <v>46174</v>
      </c>
      <c r="L496" s="1" t="s">
        <v>56</v>
      </c>
      <c r="M496" s="1" t="s">
        <v>49</v>
      </c>
      <c r="N496">
        <v>2025</v>
      </c>
      <c r="O496" s="2"/>
      <c r="P496" t="str">
        <f t="shared" si="14"/>
        <v>160446175</v>
      </c>
    </row>
    <row r="497" spans="1:16" x14ac:dyDescent="0.3">
      <c r="A497">
        <v>1609</v>
      </c>
      <c r="B497">
        <v>45</v>
      </c>
      <c r="C497" t="s">
        <v>26</v>
      </c>
      <c r="D497" t="s">
        <v>29</v>
      </c>
      <c r="E497" t="s">
        <v>17</v>
      </c>
      <c r="F497" t="s">
        <v>23</v>
      </c>
      <c r="G497" t="s">
        <v>41</v>
      </c>
      <c r="H497" t="s">
        <v>25</v>
      </c>
      <c r="I497" s="1">
        <v>2</v>
      </c>
      <c r="J497" s="2">
        <v>46175</v>
      </c>
      <c r="K497" s="2">
        <f t="shared" si="15"/>
        <v>46174</v>
      </c>
      <c r="L497" s="1" t="str">
        <f>TEXT(J497,"ddd")</f>
        <v>ter</v>
      </c>
      <c r="M497" s="1" t="str">
        <f>TEXT($J497,"mmm")</f>
        <v>jun</v>
      </c>
      <c r="N497">
        <f>YEAR(J497)</f>
        <v>2026</v>
      </c>
      <c r="O497" s="2"/>
      <c r="P497" t="str">
        <f t="shared" si="14"/>
        <v>160946175</v>
      </c>
    </row>
    <row r="498" spans="1:16" x14ac:dyDescent="0.3">
      <c r="A498">
        <v>1609</v>
      </c>
      <c r="B498">
        <v>45</v>
      </c>
      <c r="C498" t="s">
        <v>26</v>
      </c>
      <c r="D498" t="s">
        <v>29</v>
      </c>
      <c r="E498" t="s">
        <v>17</v>
      </c>
      <c r="F498" t="s">
        <v>23</v>
      </c>
      <c r="G498" t="s">
        <v>41</v>
      </c>
      <c r="H498" t="s">
        <v>25</v>
      </c>
      <c r="I498" s="1">
        <v>2</v>
      </c>
      <c r="J498" s="2">
        <v>46177</v>
      </c>
      <c r="K498" s="2">
        <f t="shared" si="15"/>
        <v>46174</v>
      </c>
      <c r="L498" s="1" t="str">
        <f>TEXT(J498,"ddd")</f>
        <v>qui</v>
      </c>
      <c r="M498" s="1" t="str">
        <f>TEXT($J498,"mmm")</f>
        <v>jun</v>
      </c>
      <c r="N498">
        <f>YEAR(J498)</f>
        <v>2026</v>
      </c>
      <c r="O498" s="2"/>
      <c r="P498" t="str">
        <f t="shared" si="14"/>
        <v>160946177</v>
      </c>
    </row>
    <row r="499" spans="1:16" x14ac:dyDescent="0.3">
      <c r="A499">
        <v>1609</v>
      </c>
      <c r="B499">
        <v>45</v>
      </c>
      <c r="C499" t="s">
        <v>26</v>
      </c>
      <c r="D499" t="s">
        <v>29</v>
      </c>
      <c r="E499" t="s">
        <v>17</v>
      </c>
      <c r="F499" t="s">
        <v>23</v>
      </c>
      <c r="G499" t="s">
        <v>41</v>
      </c>
      <c r="H499" t="s">
        <v>25</v>
      </c>
      <c r="I499" s="1">
        <v>2</v>
      </c>
      <c r="J499" s="2">
        <v>46137</v>
      </c>
      <c r="K499" s="2">
        <f t="shared" si="15"/>
        <v>46113</v>
      </c>
      <c r="L499" s="1" t="s">
        <v>53</v>
      </c>
      <c r="M499" s="1" t="s">
        <v>48</v>
      </c>
      <c r="N499">
        <v>2025</v>
      </c>
      <c r="O499" s="2"/>
      <c r="P499" t="str">
        <f t="shared" si="14"/>
        <v>160946137</v>
      </c>
    </row>
    <row r="500" spans="1:16" x14ac:dyDescent="0.3">
      <c r="A500">
        <v>1609</v>
      </c>
      <c r="B500">
        <v>45</v>
      </c>
      <c r="C500" t="s">
        <v>26</v>
      </c>
      <c r="D500" t="s">
        <v>29</v>
      </c>
      <c r="E500" t="s">
        <v>17</v>
      </c>
      <c r="F500" t="s">
        <v>23</v>
      </c>
      <c r="G500" t="s">
        <v>41</v>
      </c>
      <c r="H500" t="s">
        <v>25</v>
      </c>
      <c r="I500" s="1">
        <v>2</v>
      </c>
      <c r="J500" s="2">
        <v>46156</v>
      </c>
      <c r="K500" s="2">
        <f t="shared" si="15"/>
        <v>46143</v>
      </c>
      <c r="L500" s="1" t="s">
        <v>51</v>
      </c>
      <c r="M500" s="1" t="s">
        <v>49</v>
      </c>
      <c r="N500">
        <v>2025</v>
      </c>
      <c r="O500" s="2"/>
      <c r="P500" t="str">
        <f t="shared" si="14"/>
        <v>160946156</v>
      </c>
    </row>
    <row r="501" spans="1:16" x14ac:dyDescent="0.3">
      <c r="A501">
        <v>1612</v>
      </c>
      <c r="B501">
        <v>24</v>
      </c>
      <c r="C501" t="s">
        <v>26</v>
      </c>
      <c r="D501" t="s">
        <v>22</v>
      </c>
      <c r="E501" t="s">
        <v>17</v>
      </c>
      <c r="F501" t="s">
        <v>21</v>
      </c>
      <c r="G501" t="s">
        <v>41</v>
      </c>
      <c r="H501" t="s">
        <v>25</v>
      </c>
      <c r="I501" s="1">
        <v>3</v>
      </c>
      <c r="J501" s="2">
        <v>46177</v>
      </c>
      <c r="K501" s="2">
        <f t="shared" si="15"/>
        <v>46174</v>
      </c>
      <c r="L501" s="1" t="str">
        <f>TEXT(J501,"ddd")</f>
        <v>qui</v>
      </c>
      <c r="M501" s="1" t="str">
        <f>TEXT($J501,"mmm")</f>
        <v>jun</v>
      </c>
      <c r="N501">
        <f>YEAR(J501)</f>
        <v>2026</v>
      </c>
      <c r="O501" s="2"/>
      <c r="P501" t="str">
        <f t="shared" si="14"/>
        <v>161246177</v>
      </c>
    </row>
    <row r="502" spans="1:16" x14ac:dyDescent="0.3">
      <c r="A502">
        <v>1612</v>
      </c>
      <c r="B502">
        <v>24</v>
      </c>
      <c r="C502" t="s">
        <v>26</v>
      </c>
      <c r="D502" t="s">
        <v>22</v>
      </c>
      <c r="E502" t="s">
        <v>17</v>
      </c>
      <c r="F502" t="s">
        <v>21</v>
      </c>
      <c r="G502" t="s">
        <v>41</v>
      </c>
      <c r="H502" t="s">
        <v>25</v>
      </c>
      <c r="I502" s="1">
        <v>3</v>
      </c>
      <c r="J502" s="2">
        <v>46160</v>
      </c>
      <c r="K502" s="2">
        <f t="shared" si="15"/>
        <v>46143</v>
      </c>
      <c r="L502" s="1" t="str">
        <f>TEXT(J502,"ddd")</f>
        <v>seg</v>
      </c>
      <c r="M502" s="1" t="str">
        <f>TEXT($J502,"mmm")</f>
        <v>mai</v>
      </c>
      <c r="N502">
        <f>YEAR(J502)</f>
        <v>2026</v>
      </c>
      <c r="O502" s="2"/>
      <c r="P502" t="str">
        <f t="shared" si="14"/>
        <v>161246160</v>
      </c>
    </row>
    <row r="503" spans="1:16" x14ac:dyDescent="0.3">
      <c r="A503">
        <v>1612</v>
      </c>
      <c r="B503">
        <v>24</v>
      </c>
      <c r="C503" t="s">
        <v>26</v>
      </c>
      <c r="D503" t="s">
        <v>22</v>
      </c>
      <c r="E503" t="s">
        <v>17</v>
      </c>
      <c r="F503" t="s">
        <v>21</v>
      </c>
      <c r="G503" t="s">
        <v>41</v>
      </c>
      <c r="H503" t="s">
        <v>25</v>
      </c>
      <c r="I503" s="1">
        <v>3</v>
      </c>
      <c r="J503" s="2">
        <v>46135</v>
      </c>
      <c r="K503" s="2">
        <f t="shared" si="15"/>
        <v>46113</v>
      </c>
      <c r="L503" s="1" t="s">
        <v>51</v>
      </c>
      <c r="M503" s="1" t="s">
        <v>48</v>
      </c>
      <c r="N503">
        <v>2025</v>
      </c>
      <c r="O503" s="2"/>
      <c r="P503" t="str">
        <f t="shared" si="14"/>
        <v>161246135</v>
      </c>
    </row>
    <row r="504" spans="1:16" x14ac:dyDescent="0.3">
      <c r="A504">
        <v>1612</v>
      </c>
      <c r="B504">
        <v>24</v>
      </c>
      <c r="C504" t="s">
        <v>26</v>
      </c>
      <c r="D504" t="s">
        <v>22</v>
      </c>
      <c r="E504" t="s">
        <v>17</v>
      </c>
      <c r="F504" t="s">
        <v>21</v>
      </c>
      <c r="G504" t="s">
        <v>41</v>
      </c>
      <c r="H504" t="s">
        <v>25</v>
      </c>
      <c r="I504" s="1">
        <v>3</v>
      </c>
      <c r="J504" s="2">
        <v>46162</v>
      </c>
      <c r="K504" s="2">
        <f t="shared" si="15"/>
        <v>46143</v>
      </c>
      <c r="L504" s="1" t="s">
        <v>55</v>
      </c>
      <c r="M504" s="1" t="s">
        <v>49</v>
      </c>
      <c r="N504">
        <v>2025</v>
      </c>
      <c r="O504" s="2"/>
      <c r="P504" t="str">
        <f t="shared" si="14"/>
        <v>161246162</v>
      </c>
    </row>
    <row r="505" spans="1:16" x14ac:dyDescent="0.3">
      <c r="A505">
        <v>1613</v>
      </c>
      <c r="B505">
        <v>49</v>
      </c>
      <c r="C505" t="s">
        <v>15</v>
      </c>
      <c r="D505" t="s">
        <v>16</v>
      </c>
      <c r="E505" t="s">
        <v>17</v>
      </c>
      <c r="F505" t="s">
        <v>18</v>
      </c>
      <c r="G505" t="s">
        <v>41</v>
      </c>
      <c r="H505" t="s">
        <v>25</v>
      </c>
      <c r="I505" s="1">
        <v>3</v>
      </c>
      <c r="J505" s="2">
        <v>46136</v>
      </c>
      <c r="K505" s="2">
        <f t="shared" si="15"/>
        <v>46113</v>
      </c>
      <c r="L505" s="1" t="str">
        <f>TEXT(J505,"ddd")</f>
        <v>sex</v>
      </c>
      <c r="M505" s="1" t="str">
        <f>TEXT($J505,"mmm")</f>
        <v>abr</v>
      </c>
      <c r="N505">
        <f>YEAR(J505)</f>
        <v>2026</v>
      </c>
      <c r="O505" s="2"/>
      <c r="P505" t="str">
        <f t="shared" si="14"/>
        <v>161346136</v>
      </c>
    </row>
    <row r="506" spans="1:16" x14ac:dyDescent="0.3">
      <c r="A506">
        <v>1613</v>
      </c>
      <c r="B506">
        <v>49</v>
      </c>
      <c r="C506" t="s">
        <v>15</v>
      </c>
      <c r="D506" t="s">
        <v>16</v>
      </c>
      <c r="E506" t="s">
        <v>17</v>
      </c>
      <c r="F506" t="s">
        <v>18</v>
      </c>
      <c r="G506" t="s">
        <v>41</v>
      </c>
      <c r="H506" t="s">
        <v>25</v>
      </c>
      <c r="I506" s="1">
        <v>3</v>
      </c>
      <c r="J506" s="2">
        <v>46177</v>
      </c>
      <c r="K506" s="2">
        <f t="shared" si="15"/>
        <v>46174</v>
      </c>
      <c r="L506" s="1" t="s">
        <v>52</v>
      </c>
      <c r="M506" s="1" t="s">
        <v>48</v>
      </c>
      <c r="N506">
        <v>2025</v>
      </c>
      <c r="O506" s="2"/>
      <c r="P506" t="str">
        <f t="shared" si="14"/>
        <v>161346177</v>
      </c>
    </row>
    <row r="507" spans="1:16" x14ac:dyDescent="0.3">
      <c r="A507">
        <v>1615</v>
      </c>
      <c r="B507">
        <v>43</v>
      </c>
      <c r="C507" t="s">
        <v>26</v>
      </c>
      <c r="D507" t="s">
        <v>29</v>
      </c>
      <c r="E507" t="s">
        <v>17</v>
      </c>
      <c r="F507" t="s">
        <v>21</v>
      </c>
      <c r="G507" t="s">
        <v>41</v>
      </c>
      <c r="H507" t="s">
        <v>25</v>
      </c>
      <c r="I507" s="1">
        <v>3</v>
      </c>
      <c r="J507" s="2">
        <v>46148</v>
      </c>
      <c r="K507" s="2">
        <f t="shared" si="15"/>
        <v>46143</v>
      </c>
      <c r="L507" s="1" t="str">
        <f>TEXT(J507,"ddd")</f>
        <v>qua</v>
      </c>
      <c r="M507" s="1" t="str">
        <f>TEXT($J507,"mmm")</f>
        <v>mai</v>
      </c>
      <c r="N507">
        <f>YEAR(J507)</f>
        <v>2026</v>
      </c>
      <c r="O507" s="2"/>
      <c r="P507" t="str">
        <f t="shared" si="14"/>
        <v>161546148</v>
      </c>
    </row>
    <row r="508" spans="1:16" x14ac:dyDescent="0.3">
      <c r="A508">
        <v>1615</v>
      </c>
      <c r="B508">
        <v>43</v>
      </c>
      <c r="C508" t="s">
        <v>26</v>
      </c>
      <c r="D508" t="s">
        <v>29</v>
      </c>
      <c r="E508" t="s">
        <v>17</v>
      </c>
      <c r="F508" t="s">
        <v>21</v>
      </c>
      <c r="G508" t="s">
        <v>41</v>
      </c>
      <c r="H508" t="s">
        <v>25</v>
      </c>
      <c r="I508" s="1">
        <v>3</v>
      </c>
      <c r="J508" s="2">
        <v>46137</v>
      </c>
      <c r="K508" s="2">
        <f t="shared" si="15"/>
        <v>46113</v>
      </c>
      <c r="L508" s="1" t="str">
        <f>TEXT(J508,"ddd")</f>
        <v>sáb</v>
      </c>
      <c r="M508" s="1" t="str">
        <f>TEXT($J508,"mmm")</f>
        <v>abr</v>
      </c>
      <c r="N508">
        <f>YEAR(J508)</f>
        <v>2026</v>
      </c>
      <c r="O508" s="2"/>
      <c r="P508" t="str">
        <f t="shared" si="14"/>
        <v>161546137</v>
      </c>
    </row>
    <row r="509" spans="1:16" x14ac:dyDescent="0.3">
      <c r="A509">
        <v>1615</v>
      </c>
      <c r="B509">
        <v>43</v>
      </c>
      <c r="C509" t="s">
        <v>26</v>
      </c>
      <c r="D509" t="s">
        <v>29</v>
      </c>
      <c r="E509" t="s">
        <v>17</v>
      </c>
      <c r="F509" t="s">
        <v>21</v>
      </c>
      <c r="G509" t="s">
        <v>41</v>
      </c>
      <c r="H509" t="s">
        <v>25</v>
      </c>
      <c r="I509" s="1">
        <v>3</v>
      </c>
      <c r="J509" s="2">
        <v>46160</v>
      </c>
      <c r="K509" s="2">
        <f t="shared" si="15"/>
        <v>46143</v>
      </c>
      <c r="L509" s="1" t="str">
        <f>TEXT(J509,"ddd")</f>
        <v>seg</v>
      </c>
      <c r="M509" s="1" t="str">
        <f>TEXT($J509,"mmm")</f>
        <v>mai</v>
      </c>
      <c r="N509">
        <f>YEAR(J509)</f>
        <v>2026</v>
      </c>
      <c r="O509" s="2"/>
      <c r="P509" t="str">
        <f t="shared" si="14"/>
        <v>161546160</v>
      </c>
    </row>
    <row r="510" spans="1:16" x14ac:dyDescent="0.3">
      <c r="A510">
        <v>1615</v>
      </c>
      <c r="B510">
        <v>43</v>
      </c>
      <c r="C510" t="s">
        <v>26</v>
      </c>
      <c r="D510" t="s">
        <v>29</v>
      </c>
      <c r="E510" t="s">
        <v>17</v>
      </c>
      <c r="F510" t="s">
        <v>21</v>
      </c>
      <c r="G510" t="s">
        <v>41</v>
      </c>
      <c r="H510" t="s">
        <v>25</v>
      </c>
      <c r="I510" s="1">
        <v>3</v>
      </c>
      <c r="J510" s="2">
        <v>46139</v>
      </c>
      <c r="K510" s="2">
        <f t="shared" si="15"/>
        <v>46113</v>
      </c>
      <c r="L510" s="1" t="s">
        <v>50</v>
      </c>
      <c r="M510" s="1" t="s">
        <v>49</v>
      </c>
      <c r="N510">
        <v>2025</v>
      </c>
      <c r="O510" s="2"/>
      <c r="P510" t="str">
        <f t="shared" si="14"/>
        <v>161546139</v>
      </c>
    </row>
    <row r="511" spans="1:16" x14ac:dyDescent="0.3">
      <c r="A511">
        <v>1615</v>
      </c>
      <c r="B511">
        <v>43</v>
      </c>
      <c r="C511" t="s">
        <v>26</v>
      </c>
      <c r="D511" t="s">
        <v>29</v>
      </c>
      <c r="E511" t="s">
        <v>17</v>
      </c>
      <c r="F511" t="s">
        <v>21</v>
      </c>
      <c r="G511" t="s">
        <v>41</v>
      </c>
      <c r="H511" t="s">
        <v>25</v>
      </c>
      <c r="I511" s="1">
        <v>3</v>
      </c>
      <c r="J511" s="2">
        <v>46151</v>
      </c>
      <c r="K511" s="2">
        <f t="shared" si="15"/>
        <v>46143</v>
      </c>
      <c r="L511" s="1" t="s">
        <v>53</v>
      </c>
      <c r="M511" s="1" t="s">
        <v>49</v>
      </c>
      <c r="N511">
        <v>2025</v>
      </c>
      <c r="O511" s="2"/>
      <c r="P511" t="str">
        <f t="shared" si="14"/>
        <v>161546151</v>
      </c>
    </row>
    <row r="512" spans="1:16" x14ac:dyDescent="0.3">
      <c r="A512">
        <v>1615</v>
      </c>
      <c r="B512">
        <v>43</v>
      </c>
      <c r="C512" t="s">
        <v>26</v>
      </c>
      <c r="D512" t="s">
        <v>29</v>
      </c>
      <c r="E512" t="s">
        <v>17</v>
      </c>
      <c r="F512" t="s">
        <v>21</v>
      </c>
      <c r="G512" t="s">
        <v>41</v>
      </c>
      <c r="H512" t="s">
        <v>25</v>
      </c>
      <c r="I512" s="1">
        <v>3</v>
      </c>
      <c r="J512" s="2">
        <v>46162</v>
      </c>
      <c r="K512" s="2">
        <f t="shared" si="15"/>
        <v>46143</v>
      </c>
      <c r="L512" s="1" t="s">
        <v>55</v>
      </c>
      <c r="M512" s="1" t="s">
        <v>49</v>
      </c>
      <c r="N512">
        <v>2025</v>
      </c>
      <c r="O512" s="2"/>
      <c r="P512" t="str">
        <f t="shared" si="14"/>
        <v>161546162</v>
      </c>
    </row>
    <row r="513" spans="1:16" x14ac:dyDescent="0.3">
      <c r="A513">
        <v>1618</v>
      </c>
      <c r="B513">
        <v>45</v>
      </c>
      <c r="C513" t="s">
        <v>26</v>
      </c>
      <c r="D513" t="s">
        <v>29</v>
      </c>
      <c r="E513" t="s">
        <v>17</v>
      </c>
      <c r="F513" t="s">
        <v>18</v>
      </c>
      <c r="G513" t="s">
        <v>41</v>
      </c>
      <c r="H513" t="s">
        <v>25</v>
      </c>
      <c r="I513" s="1">
        <v>2</v>
      </c>
      <c r="J513" s="2">
        <v>46165</v>
      </c>
      <c r="K513" s="2">
        <f t="shared" si="15"/>
        <v>46143</v>
      </c>
      <c r="L513" s="1" t="str">
        <f>TEXT(J513,"ddd")</f>
        <v>sáb</v>
      </c>
      <c r="M513" s="1" t="str">
        <f>TEXT($J513,"mmm")</f>
        <v>mai</v>
      </c>
      <c r="N513">
        <f>YEAR(J513)</f>
        <v>2026</v>
      </c>
      <c r="O513" s="2"/>
      <c r="P513" t="str">
        <f t="shared" si="14"/>
        <v>161846165</v>
      </c>
    </row>
    <row r="514" spans="1:16" x14ac:dyDescent="0.3">
      <c r="A514">
        <v>1618</v>
      </c>
      <c r="B514">
        <v>45</v>
      </c>
      <c r="C514" t="s">
        <v>26</v>
      </c>
      <c r="D514" t="s">
        <v>29</v>
      </c>
      <c r="E514" t="s">
        <v>17</v>
      </c>
      <c r="F514" t="s">
        <v>18</v>
      </c>
      <c r="G514" t="s">
        <v>41</v>
      </c>
      <c r="H514" t="s">
        <v>25</v>
      </c>
      <c r="I514" s="1">
        <v>2</v>
      </c>
      <c r="J514" s="2">
        <v>46167</v>
      </c>
      <c r="K514" s="2">
        <f t="shared" si="15"/>
        <v>46143</v>
      </c>
      <c r="L514" s="1" t="s">
        <v>53</v>
      </c>
      <c r="M514" s="1" t="s">
        <v>49</v>
      </c>
      <c r="N514">
        <v>2025</v>
      </c>
      <c r="O514" s="2"/>
      <c r="P514" t="str">
        <f t="shared" ref="P514:P577" si="16">CONCATENATE(A514,J514)</f>
        <v>161846167</v>
      </c>
    </row>
    <row r="515" spans="1:16" x14ac:dyDescent="0.3">
      <c r="A515">
        <v>1621</v>
      </c>
      <c r="B515">
        <v>42</v>
      </c>
      <c r="C515" t="s">
        <v>26</v>
      </c>
      <c r="D515" t="s">
        <v>31</v>
      </c>
      <c r="E515" t="s">
        <v>34</v>
      </c>
      <c r="F515" t="s">
        <v>18</v>
      </c>
      <c r="G515" t="s">
        <v>41</v>
      </c>
      <c r="H515" t="s">
        <v>25</v>
      </c>
      <c r="I515" s="1">
        <v>3</v>
      </c>
      <c r="J515" s="2">
        <v>46137</v>
      </c>
      <c r="K515" s="2">
        <f t="shared" ref="K515:K578" si="17">DATE(YEAR(J515),MONTH(J515),1)</f>
        <v>46113</v>
      </c>
      <c r="L515" s="1" t="str">
        <f>TEXT(J515,"ddd")</f>
        <v>sáb</v>
      </c>
      <c r="M515" s="1" t="str">
        <f>TEXT($J515,"mmm")</f>
        <v>abr</v>
      </c>
      <c r="N515">
        <f>YEAR(J515)</f>
        <v>2026</v>
      </c>
      <c r="O515" s="2"/>
      <c r="P515" t="str">
        <f t="shared" si="16"/>
        <v>162146137</v>
      </c>
    </row>
    <row r="516" spans="1:16" x14ac:dyDescent="0.3">
      <c r="A516">
        <v>1621</v>
      </c>
      <c r="B516">
        <v>42</v>
      </c>
      <c r="C516" t="s">
        <v>26</v>
      </c>
      <c r="D516" t="s">
        <v>31</v>
      </c>
      <c r="E516" t="s">
        <v>34</v>
      </c>
      <c r="F516" t="s">
        <v>18</v>
      </c>
      <c r="G516" t="s">
        <v>41</v>
      </c>
      <c r="H516" t="s">
        <v>25</v>
      </c>
      <c r="I516" s="1">
        <v>3</v>
      </c>
      <c r="J516" s="2">
        <v>46150</v>
      </c>
      <c r="K516" s="2">
        <f t="shared" si="17"/>
        <v>46143</v>
      </c>
      <c r="L516" s="1" t="s">
        <v>52</v>
      </c>
      <c r="M516" s="1" t="s">
        <v>49</v>
      </c>
      <c r="N516">
        <v>2025</v>
      </c>
      <c r="O516" s="2"/>
      <c r="P516" t="str">
        <f t="shared" si="16"/>
        <v>162146150</v>
      </c>
    </row>
    <row r="517" spans="1:16" x14ac:dyDescent="0.3">
      <c r="A517">
        <v>1622</v>
      </c>
      <c r="B517">
        <v>21</v>
      </c>
      <c r="C517" t="s">
        <v>15</v>
      </c>
      <c r="D517" t="s">
        <v>29</v>
      </c>
      <c r="E517" t="s">
        <v>17</v>
      </c>
      <c r="F517" t="s">
        <v>21</v>
      </c>
      <c r="G517" t="s">
        <v>41</v>
      </c>
      <c r="H517" t="s">
        <v>25</v>
      </c>
      <c r="I517" s="1">
        <v>3</v>
      </c>
      <c r="J517" s="2">
        <v>46130</v>
      </c>
      <c r="K517" s="2">
        <f t="shared" si="17"/>
        <v>46113</v>
      </c>
      <c r="L517" s="1" t="str">
        <f>TEXT(J517,"ddd")</f>
        <v>sáb</v>
      </c>
      <c r="M517" s="1" t="str">
        <f>TEXT($J517,"mmm")</f>
        <v>abr</v>
      </c>
      <c r="N517">
        <f>YEAR(J517)</f>
        <v>2026</v>
      </c>
      <c r="O517" s="2"/>
      <c r="P517" t="str">
        <f t="shared" si="16"/>
        <v>162246130</v>
      </c>
    </row>
    <row r="518" spans="1:16" x14ac:dyDescent="0.3">
      <c r="A518">
        <v>1622</v>
      </c>
      <c r="B518">
        <v>21</v>
      </c>
      <c r="C518" t="s">
        <v>15</v>
      </c>
      <c r="D518" t="s">
        <v>29</v>
      </c>
      <c r="E518" t="s">
        <v>17</v>
      </c>
      <c r="F518" t="s">
        <v>21</v>
      </c>
      <c r="G518" t="s">
        <v>41</v>
      </c>
      <c r="H518" t="s">
        <v>25</v>
      </c>
      <c r="I518" s="1">
        <v>3</v>
      </c>
      <c r="J518" s="2">
        <v>46162</v>
      </c>
      <c r="K518" s="2">
        <f t="shared" si="17"/>
        <v>46143</v>
      </c>
      <c r="L518" s="1" t="s">
        <v>53</v>
      </c>
      <c r="M518" s="1" t="s">
        <v>48</v>
      </c>
      <c r="N518">
        <v>2025</v>
      </c>
      <c r="O518" s="2"/>
      <c r="P518" t="str">
        <f t="shared" si="16"/>
        <v>162246162</v>
      </c>
    </row>
    <row r="519" spans="1:16" x14ac:dyDescent="0.3">
      <c r="A519">
        <v>1630</v>
      </c>
      <c r="B519">
        <v>37</v>
      </c>
      <c r="C519" t="s">
        <v>26</v>
      </c>
      <c r="D519" t="s">
        <v>22</v>
      </c>
      <c r="E519" t="s">
        <v>17</v>
      </c>
      <c r="F519" t="s">
        <v>23</v>
      </c>
      <c r="G519" t="s">
        <v>41</v>
      </c>
      <c r="H519" t="s">
        <v>25</v>
      </c>
      <c r="I519" s="1">
        <v>3</v>
      </c>
      <c r="J519" s="2">
        <v>46145</v>
      </c>
      <c r="K519" s="2">
        <f t="shared" si="17"/>
        <v>46143</v>
      </c>
      <c r="L519" s="1" t="str">
        <f>TEXT(J519,"ddd")</f>
        <v>dom</v>
      </c>
      <c r="M519" s="1" t="str">
        <f>TEXT($J519,"mmm")</f>
        <v>mai</v>
      </c>
      <c r="N519">
        <f>YEAR(J519)</f>
        <v>2026</v>
      </c>
      <c r="O519" s="2"/>
      <c r="P519" t="str">
        <f t="shared" si="16"/>
        <v>163046145</v>
      </c>
    </row>
    <row r="520" spans="1:16" x14ac:dyDescent="0.3">
      <c r="A520">
        <v>1630</v>
      </c>
      <c r="B520">
        <v>37</v>
      </c>
      <c r="C520" t="s">
        <v>26</v>
      </c>
      <c r="D520" t="s">
        <v>22</v>
      </c>
      <c r="E520" t="s">
        <v>17</v>
      </c>
      <c r="F520" t="s">
        <v>23</v>
      </c>
      <c r="G520" t="s">
        <v>41</v>
      </c>
      <c r="H520" t="s">
        <v>25</v>
      </c>
      <c r="I520" s="1">
        <v>3</v>
      </c>
      <c r="J520" s="2">
        <v>46167</v>
      </c>
      <c r="K520" s="2">
        <f t="shared" si="17"/>
        <v>46143</v>
      </c>
      <c r="L520" s="1" t="s">
        <v>54</v>
      </c>
      <c r="M520" s="1" t="s">
        <v>49</v>
      </c>
      <c r="N520">
        <v>2025</v>
      </c>
      <c r="O520" s="2"/>
      <c r="P520" t="str">
        <f t="shared" si="16"/>
        <v>163046167</v>
      </c>
    </row>
    <row r="521" spans="1:16" x14ac:dyDescent="0.3">
      <c r="A521">
        <v>1638</v>
      </c>
      <c r="B521">
        <v>45</v>
      </c>
      <c r="C521" t="s">
        <v>26</v>
      </c>
      <c r="D521" t="s">
        <v>29</v>
      </c>
      <c r="E521" t="s">
        <v>17</v>
      </c>
      <c r="F521" t="s">
        <v>18</v>
      </c>
      <c r="G521" t="s">
        <v>41</v>
      </c>
      <c r="H521" t="s">
        <v>25</v>
      </c>
      <c r="I521" s="1">
        <v>3</v>
      </c>
      <c r="J521" s="2">
        <v>46139</v>
      </c>
      <c r="K521" s="2">
        <f t="shared" si="17"/>
        <v>46113</v>
      </c>
      <c r="L521" s="1" t="str">
        <f>TEXT(J521,"ddd")</f>
        <v>seg</v>
      </c>
      <c r="M521" s="1" t="str">
        <f>TEXT($J521,"mmm")</f>
        <v>abr</v>
      </c>
      <c r="N521">
        <f>YEAR(J521)</f>
        <v>2026</v>
      </c>
      <c r="O521" s="2"/>
      <c r="P521" t="str">
        <f t="shared" si="16"/>
        <v>163846139</v>
      </c>
    </row>
    <row r="522" spans="1:16" x14ac:dyDescent="0.3">
      <c r="A522">
        <v>1638</v>
      </c>
      <c r="B522">
        <v>45</v>
      </c>
      <c r="C522" t="s">
        <v>26</v>
      </c>
      <c r="D522" t="s">
        <v>29</v>
      </c>
      <c r="E522" t="s">
        <v>17</v>
      </c>
      <c r="F522" t="s">
        <v>18</v>
      </c>
      <c r="G522" t="s">
        <v>41</v>
      </c>
      <c r="H522" t="s">
        <v>25</v>
      </c>
      <c r="I522" s="1">
        <v>3</v>
      </c>
      <c r="J522" s="2">
        <v>46158</v>
      </c>
      <c r="K522" s="2">
        <f t="shared" si="17"/>
        <v>46143</v>
      </c>
      <c r="L522" s="1" t="s">
        <v>53</v>
      </c>
      <c r="M522" s="1" t="s">
        <v>49</v>
      </c>
      <c r="N522">
        <v>2025</v>
      </c>
      <c r="O522" s="2"/>
      <c r="P522" t="str">
        <f t="shared" si="16"/>
        <v>163846158</v>
      </c>
    </row>
    <row r="523" spans="1:16" x14ac:dyDescent="0.3">
      <c r="A523">
        <v>1640</v>
      </c>
      <c r="B523">
        <v>57</v>
      </c>
      <c r="C523" t="s">
        <v>15</v>
      </c>
      <c r="D523" t="s">
        <v>29</v>
      </c>
      <c r="E523" t="s">
        <v>17</v>
      </c>
      <c r="F523" t="s">
        <v>21</v>
      </c>
      <c r="G523" t="s">
        <v>41</v>
      </c>
      <c r="H523" t="s">
        <v>25</v>
      </c>
      <c r="I523" s="1">
        <v>2</v>
      </c>
      <c r="J523" s="2">
        <v>46127</v>
      </c>
      <c r="K523" s="2">
        <f t="shared" si="17"/>
        <v>46113</v>
      </c>
      <c r="L523" s="1" t="str">
        <f>TEXT(J523,"ddd")</f>
        <v>qua</v>
      </c>
      <c r="M523" s="1" t="str">
        <f>TEXT($J523,"mmm")</f>
        <v>abr</v>
      </c>
      <c r="N523">
        <f>YEAR(J523)</f>
        <v>2026</v>
      </c>
      <c r="O523" s="2"/>
      <c r="P523" t="str">
        <f t="shared" si="16"/>
        <v>164046127</v>
      </c>
    </row>
    <row r="524" spans="1:16" x14ac:dyDescent="0.3">
      <c r="A524">
        <v>1640</v>
      </c>
      <c r="B524">
        <v>57</v>
      </c>
      <c r="C524" t="s">
        <v>15</v>
      </c>
      <c r="D524" t="s">
        <v>29</v>
      </c>
      <c r="E524" t="s">
        <v>17</v>
      </c>
      <c r="F524" t="s">
        <v>21</v>
      </c>
      <c r="G524" t="s">
        <v>41</v>
      </c>
      <c r="H524" t="s">
        <v>25</v>
      </c>
      <c r="I524" s="1">
        <v>2</v>
      </c>
      <c r="J524" s="2">
        <v>46162</v>
      </c>
      <c r="K524" s="2">
        <f t="shared" si="17"/>
        <v>46143</v>
      </c>
      <c r="L524" s="1" t="s">
        <v>50</v>
      </c>
      <c r="M524" s="1" t="s">
        <v>48</v>
      </c>
      <c r="N524">
        <v>2025</v>
      </c>
      <c r="O524" s="2"/>
      <c r="P524" t="str">
        <f t="shared" si="16"/>
        <v>164046162</v>
      </c>
    </row>
    <row r="525" spans="1:16" x14ac:dyDescent="0.3">
      <c r="A525">
        <v>1644</v>
      </c>
      <c r="B525">
        <v>52</v>
      </c>
      <c r="C525" t="s">
        <v>15</v>
      </c>
      <c r="D525" t="s">
        <v>16</v>
      </c>
      <c r="E525" t="s">
        <v>17</v>
      </c>
      <c r="F525" t="s">
        <v>23</v>
      </c>
      <c r="G525" t="s">
        <v>41</v>
      </c>
      <c r="H525" t="s">
        <v>25</v>
      </c>
      <c r="I525" s="1">
        <v>1</v>
      </c>
      <c r="J525" s="2">
        <v>46153</v>
      </c>
      <c r="K525" s="2">
        <f t="shared" si="17"/>
        <v>46143</v>
      </c>
      <c r="L525" s="1" t="str">
        <f>TEXT(J525,"ddd")</f>
        <v>seg</v>
      </c>
      <c r="M525" s="1" t="str">
        <f>TEXT($J525,"mmm")</f>
        <v>mai</v>
      </c>
      <c r="N525">
        <f>YEAR(J525)</f>
        <v>2026</v>
      </c>
      <c r="O525" s="2"/>
      <c r="P525" t="str">
        <f t="shared" si="16"/>
        <v>164446153</v>
      </c>
    </row>
    <row r="526" spans="1:16" x14ac:dyDescent="0.3">
      <c r="A526">
        <v>1644</v>
      </c>
      <c r="B526">
        <v>52</v>
      </c>
      <c r="C526" t="s">
        <v>15</v>
      </c>
      <c r="D526" t="s">
        <v>16</v>
      </c>
      <c r="E526" t="s">
        <v>17</v>
      </c>
      <c r="F526" t="s">
        <v>23</v>
      </c>
      <c r="G526" t="s">
        <v>41</v>
      </c>
      <c r="H526" t="s">
        <v>25</v>
      </c>
      <c r="I526" s="1">
        <v>1</v>
      </c>
      <c r="J526" s="2">
        <v>46139</v>
      </c>
      <c r="K526" s="2">
        <f t="shared" si="17"/>
        <v>46113</v>
      </c>
      <c r="L526" s="1" t="s">
        <v>55</v>
      </c>
      <c r="M526" s="1" t="s">
        <v>49</v>
      </c>
      <c r="N526">
        <v>2025</v>
      </c>
      <c r="O526" s="2"/>
      <c r="P526" t="str">
        <f t="shared" si="16"/>
        <v>164446139</v>
      </c>
    </row>
    <row r="527" spans="1:16" x14ac:dyDescent="0.3">
      <c r="A527">
        <v>1650</v>
      </c>
      <c r="B527">
        <v>25</v>
      </c>
      <c r="C527" t="s">
        <v>15</v>
      </c>
      <c r="D527" t="s">
        <v>29</v>
      </c>
      <c r="E527" t="s">
        <v>17</v>
      </c>
      <c r="F527" t="s">
        <v>18</v>
      </c>
      <c r="G527" t="s">
        <v>41</v>
      </c>
      <c r="H527" t="s">
        <v>25</v>
      </c>
      <c r="I527" s="1">
        <v>1</v>
      </c>
      <c r="J527" s="2">
        <v>46162</v>
      </c>
      <c r="K527" s="2">
        <f t="shared" si="17"/>
        <v>46143</v>
      </c>
      <c r="L527" s="1" t="str">
        <f>TEXT(J527,"ddd")</f>
        <v>qua</v>
      </c>
      <c r="M527" s="1" t="str">
        <f>TEXT($J527,"mmm")</f>
        <v>mai</v>
      </c>
      <c r="N527">
        <f>YEAR(J527)</f>
        <v>2026</v>
      </c>
      <c r="O527" s="2"/>
      <c r="P527" t="str">
        <f t="shared" si="16"/>
        <v>165046162</v>
      </c>
    </row>
    <row r="528" spans="1:16" x14ac:dyDescent="0.3">
      <c r="A528">
        <v>1650</v>
      </c>
      <c r="B528">
        <v>25</v>
      </c>
      <c r="C528" t="s">
        <v>15</v>
      </c>
      <c r="D528" t="s">
        <v>29</v>
      </c>
      <c r="E528" t="s">
        <v>17</v>
      </c>
      <c r="F528" t="s">
        <v>18</v>
      </c>
      <c r="G528" t="s">
        <v>41</v>
      </c>
      <c r="H528" t="s">
        <v>25</v>
      </c>
      <c r="I528" s="1">
        <v>1</v>
      </c>
      <c r="J528" s="2">
        <v>46165</v>
      </c>
      <c r="K528" s="2">
        <f t="shared" si="17"/>
        <v>46143</v>
      </c>
      <c r="L528" s="1" t="s">
        <v>53</v>
      </c>
      <c r="M528" s="1" t="s">
        <v>49</v>
      </c>
      <c r="N528">
        <v>2025</v>
      </c>
      <c r="O528" s="2"/>
      <c r="P528" t="str">
        <f t="shared" si="16"/>
        <v>165046165</v>
      </c>
    </row>
    <row r="529" spans="1:16" x14ac:dyDescent="0.3">
      <c r="A529">
        <v>1655</v>
      </c>
      <c r="B529">
        <v>47</v>
      </c>
      <c r="C529" t="s">
        <v>26</v>
      </c>
      <c r="D529" t="s">
        <v>16</v>
      </c>
      <c r="E529" t="s">
        <v>17</v>
      </c>
      <c r="F529" t="s">
        <v>18</v>
      </c>
      <c r="G529" t="s">
        <v>41</v>
      </c>
      <c r="H529" t="s">
        <v>25</v>
      </c>
      <c r="I529" s="1">
        <v>2</v>
      </c>
      <c r="J529" s="2">
        <v>46147</v>
      </c>
      <c r="K529" s="2">
        <f t="shared" si="17"/>
        <v>46143</v>
      </c>
      <c r="L529" s="1" t="str">
        <f>TEXT(J529,"ddd")</f>
        <v>ter</v>
      </c>
      <c r="M529" s="1" t="str">
        <f>TEXT($J529,"mmm")</f>
        <v>mai</v>
      </c>
      <c r="N529">
        <f>YEAR(J529)</f>
        <v>2026</v>
      </c>
      <c r="O529" s="2"/>
      <c r="P529" t="str">
        <f t="shared" si="16"/>
        <v>165546147</v>
      </c>
    </row>
    <row r="530" spans="1:16" x14ac:dyDescent="0.3">
      <c r="A530">
        <v>1655</v>
      </c>
      <c r="B530">
        <v>47</v>
      </c>
      <c r="C530" t="s">
        <v>26</v>
      </c>
      <c r="D530" t="s">
        <v>16</v>
      </c>
      <c r="E530" t="s">
        <v>17</v>
      </c>
      <c r="F530" t="s">
        <v>18</v>
      </c>
      <c r="G530" t="s">
        <v>41</v>
      </c>
      <c r="H530" t="s">
        <v>25</v>
      </c>
      <c r="I530" s="1">
        <v>2</v>
      </c>
      <c r="J530" s="2">
        <v>46145</v>
      </c>
      <c r="K530" s="2">
        <f t="shared" si="17"/>
        <v>46143</v>
      </c>
      <c r="L530" s="1" t="str">
        <f>TEXT(J530,"ddd")</f>
        <v>dom</v>
      </c>
      <c r="M530" s="1" t="str">
        <f>TEXT($J530,"mmm")</f>
        <v>mai</v>
      </c>
      <c r="N530">
        <f>YEAR(J530)</f>
        <v>2026</v>
      </c>
      <c r="O530" s="2"/>
      <c r="P530" t="str">
        <f t="shared" si="16"/>
        <v>165546145</v>
      </c>
    </row>
    <row r="531" spans="1:16" x14ac:dyDescent="0.3">
      <c r="A531">
        <v>1655</v>
      </c>
      <c r="B531">
        <v>47</v>
      </c>
      <c r="C531" t="s">
        <v>26</v>
      </c>
      <c r="D531" t="s">
        <v>16</v>
      </c>
      <c r="E531" t="s">
        <v>17</v>
      </c>
      <c r="F531" t="s">
        <v>18</v>
      </c>
      <c r="G531" t="s">
        <v>41</v>
      </c>
      <c r="H531" t="s">
        <v>25</v>
      </c>
      <c r="I531" s="1">
        <v>2</v>
      </c>
      <c r="J531" s="2">
        <v>46142</v>
      </c>
      <c r="K531" s="2">
        <f t="shared" si="17"/>
        <v>46113</v>
      </c>
      <c r="L531" s="1" t="s">
        <v>56</v>
      </c>
      <c r="M531" s="1" t="s">
        <v>49</v>
      </c>
      <c r="N531">
        <v>2025</v>
      </c>
      <c r="O531" s="2"/>
      <c r="P531" t="str">
        <f t="shared" si="16"/>
        <v>165546142</v>
      </c>
    </row>
    <row r="532" spans="1:16" x14ac:dyDescent="0.3">
      <c r="A532">
        <v>1655</v>
      </c>
      <c r="B532">
        <v>47</v>
      </c>
      <c r="C532" t="s">
        <v>26</v>
      </c>
      <c r="D532" t="s">
        <v>16</v>
      </c>
      <c r="E532" t="s">
        <v>17</v>
      </c>
      <c r="F532" t="s">
        <v>18</v>
      </c>
      <c r="G532" t="s">
        <v>41</v>
      </c>
      <c r="H532" t="s">
        <v>25</v>
      </c>
      <c r="I532" s="1">
        <v>2</v>
      </c>
      <c r="J532" s="2">
        <v>46165</v>
      </c>
      <c r="K532" s="2">
        <f t="shared" si="17"/>
        <v>46143</v>
      </c>
      <c r="L532" s="1" t="s">
        <v>53</v>
      </c>
      <c r="M532" s="1" t="s">
        <v>49</v>
      </c>
      <c r="N532">
        <v>2025</v>
      </c>
      <c r="O532" s="2"/>
      <c r="P532" t="str">
        <f t="shared" si="16"/>
        <v>165546165</v>
      </c>
    </row>
    <row r="533" spans="1:16" x14ac:dyDescent="0.3">
      <c r="A533">
        <v>1656</v>
      </c>
      <c r="B533">
        <v>35</v>
      </c>
      <c r="C533" t="s">
        <v>15</v>
      </c>
      <c r="D533" t="s">
        <v>29</v>
      </c>
      <c r="E533" t="s">
        <v>17</v>
      </c>
      <c r="F533" t="s">
        <v>23</v>
      </c>
      <c r="G533" t="s">
        <v>41</v>
      </c>
      <c r="H533" t="s">
        <v>25</v>
      </c>
      <c r="I533" s="1">
        <v>3</v>
      </c>
      <c r="J533" s="2">
        <v>46129</v>
      </c>
      <c r="K533" s="2">
        <f t="shared" si="17"/>
        <v>46113</v>
      </c>
      <c r="L533" s="1" t="str">
        <f>TEXT(J533,"ddd")</f>
        <v>sex</v>
      </c>
      <c r="M533" s="1" t="str">
        <f>TEXT($J533,"mmm")</f>
        <v>abr</v>
      </c>
      <c r="N533">
        <f>YEAR(J533)</f>
        <v>2026</v>
      </c>
      <c r="O533" s="2"/>
      <c r="P533" t="str">
        <f t="shared" si="16"/>
        <v>165646129</v>
      </c>
    </row>
    <row r="534" spans="1:16" x14ac:dyDescent="0.3">
      <c r="A534">
        <v>1656</v>
      </c>
      <c r="B534">
        <v>35</v>
      </c>
      <c r="C534" t="s">
        <v>15</v>
      </c>
      <c r="D534" t="s">
        <v>29</v>
      </c>
      <c r="E534" t="s">
        <v>17</v>
      </c>
      <c r="F534" t="s">
        <v>23</v>
      </c>
      <c r="G534" t="s">
        <v>41</v>
      </c>
      <c r="H534" t="s">
        <v>25</v>
      </c>
      <c r="I534" s="1">
        <v>3</v>
      </c>
      <c r="J534" s="2">
        <v>46168</v>
      </c>
      <c r="K534" s="2">
        <f t="shared" si="17"/>
        <v>46143</v>
      </c>
      <c r="L534" s="1" t="s">
        <v>52</v>
      </c>
      <c r="M534" s="1" t="s">
        <v>48</v>
      </c>
      <c r="N534">
        <v>2025</v>
      </c>
      <c r="O534" s="2"/>
      <c r="P534" t="str">
        <f t="shared" si="16"/>
        <v>165646168</v>
      </c>
    </row>
    <row r="535" spans="1:16" x14ac:dyDescent="0.3">
      <c r="A535">
        <v>1657</v>
      </c>
      <c r="B535">
        <v>49</v>
      </c>
      <c r="C535" t="s">
        <v>26</v>
      </c>
      <c r="D535" t="s">
        <v>22</v>
      </c>
      <c r="E535" t="s">
        <v>17</v>
      </c>
      <c r="F535" t="s">
        <v>23</v>
      </c>
      <c r="G535" t="s">
        <v>41</v>
      </c>
      <c r="H535" t="s">
        <v>25</v>
      </c>
      <c r="I535" s="1">
        <v>2</v>
      </c>
      <c r="J535" s="2">
        <v>46136</v>
      </c>
      <c r="K535" s="2">
        <f t="shared" si="17"/>
        <v>46113</v>
      </c>
      <c r="L535" s="1" t="str">
        <f>TEXT(J535,"ddd")</f>
        <v>sex</v>
      </c>
      <c r="M535" s="1" t="str">
        <f>TEXT($J535,"mmm")</f>
        <v>abr</v>
      </c>
      <c r="N535">
        <f>YEAR(J535)</f>
        <v>2026</v>
      </c>
      <c r="O535" s="2"/>
      <c r="P535" t="str">
        <f t="shared" si="16"/>
        <v>165746136</v>
      </c>
    </row>
    <row r="536" spans="1:16" x14ac:dyDescent="0.3">
      <c r="A536">
        <v>1657</v>
      </c>
      <c r="B536">
        <v>49</v>
      </c>
      <c r="C536" t="s">
        <v>26</v>
      </c>
      <c r="D536" t="s">
        <v>22</v>
      </c>
      <c r="E536" t="s">
        <v>17</v>
      </c>
      <c r="F536" t="s">
        <v>23</v>
      </c>
      <c r="G536" t="s">
        <v>41</v>
      </c>
      <c r="H536" t="s">
        <v>25</v>
      </c>
      <c r="I536" s="1">
        <v>2</v>
      </c>
      <c r="J536" s="2">
        <v>46145</v>
      </c>
      <c r="K536" s="2">
        <f t="shared" si="17"/>
        <v>46143</v>
      </c>
      <c r="L536" s="1" t="str">
        <f>TEXT(J536,"ddd")</f>
        <v>dom</v>
      </c>
      <c r="M536" s="1" t="str">
        <f>TEXT($J536,"mmm")</f>
        <v>mai</v>
      </c>
      <c r="N536">
        <f>YEAR(J536)</f>
        <v>2026</v>
      </c>
      <c r="O536" s="2"/>
      <c r="P536" t="str">
        <f t="shared" si="16"/>
        <v>165746145</v>
      </c>
    </row>
    <row r="537" spans="1:16" x14ac:dyDescent="0.3">
      <c r="A537">
        <v>1657</v>
      </c>
      <c r="B537">
        <v>49</v>
      </c>
      <c r="C537" t="s">
        <v>26</v>
      </c>
      <c r="D537" t="s">
        <v>22</v>
      </c>
      <c r="E537" t="s">
        <v>17</v>
      </c>
      <c r="F537" t="s">
        <v>23</v>
      </c>
      <c r="G537" t="s">
        <v>41</v>
      </c>
      <c r="H537" t="s">
        <v>25</v>
      </c>
      <c r="I537" s="1">
        <v>2</v>
      </c>
      <c r="J537" s="2">
        <v>46168</v>
      </c>
      <c r="K537" s="2">
        <f t="shared" si="17"/>
        <v>46143</v>
      </c>
      <c r="L537" s="1" t="s">
        <v>52</v>
      </c>
      <c r="M537" s="1" t="s">
        <v>48</v>
      </c>
      <c r="N537">
        <v>2025</v>
      </c>
      <c r="O537" s="2"/>
      <c r="P537" t="str">
        <f t="shared" si="16"/>
        <v>165746168</v>
      </c>
    </row>
    <row r="538" spans="1:16" x14ac:dyDescent="0.3">
      <c r="A538">
        <v>1657</v>
      </c>
      <c r="B538">
        <v>49</v>
      </c>
      <c r="C538" t="s">
        <v>26</v>
      </c>
      <c r="D538" t="s">
        <v>22</v>
      </c>
      <c r="E538" t="s">
        <v>17</v>
      </c>
      <c r="F538" t="s">
        <v>23</v>
      </c>
      <c r="G538" t="s">
        <v>41</v>
      </c>
      <c r="H538" t="s">
        <v>25</v>
      </c>
      <c r="I538" s="1">
        <v>2</v>
      </c>
      <c r="J538" s="2">
        <v>46147</v>
      </c>
      <c r="K538" s="2">
        <f t="shared" si="17"/>
        <v>46143</v>
      </c>
      <c r="L538" s="1" t="s">
        <v>56</v>
      </c>
      <c r="M538" s="1" t="s">
        <v>49</v>
      </c>
      <c r="N538">
        <v>2025</v>
      </c>
      <c r="O538" s="2"/>
      <c r="P538" t="str">
        <f t="shared" si="16"/>
        <v>165746147</v>
      </c>
    </row>
    <row r="539" spans="1:16" x14ac:dyDescent="0.3">
      <c r="A539">
        <v>1662</v>
      </c>
      <c r="B539">
        <v>22</v>
      </c>
      <c r="C539" t="s">
        <v>15</v>
      </c>
      <c r="D539" t="s">
        <v>16</v>
      </c>
      <c r="E539" t="s">
        <v>17</v>
      </c>
      <c r="F539" t="s">
        <v>21</v>
      </c>
      <c r="G539" t="s">
        <v>41</v>
      </c>
      <c r="H539" t="s">
        <v>25</v>
      </c>
      <c r="I539" s="1">
        <v>1</v>
      </c>
      <c r="J539" s="2">
        <v>46147</v>
      </c>
      <c r="K539" s="2">
        <f t="shared" si="17"/>
        <v>46143</v>
      </c>
      <c r="L539" s="1" t="str">
        <f>TEXT(J539,"ddd")</f>
        <v>ter</v>
      </c>
      <c r="M539" s="1" t="str">
        <f>TEXT($J539,"mmm")</f>
        <v>mai</v>
      </c>
      <c r="N539">
        <f>YEAR(J539)</f>
        <v>2026</v>
      </c>
      <c r="O539" s="2"/>
      <c r="P539" t="str">
        <f t="shared" si="16"/>
        <v>166246147</v>
      </c>
    </row>
    <row r="540" spans="1:16" x14ac:dyDescent="0.3">
      <c r="A540">
        <v>1662</v>
      </c>
      <c r="B540">
        <v>22</v>
      </c>
      <c r="C540" t="s">
        <v>15</v>
      </c>
      <c r="D540" t="s">
        <v>16</v>
      </c>
      <c r="E540" t="s">
        <v>17</v>
      </c>
      <c r="F540" t="s">
        <v>21</v>
      </c>
      <c r="G540" t="s">
        <v>41</v>
      </c>
      <c r="H540" t="s">
        <v>25</v>
      </c>
      <c r="I540" s="1">
        <v>1</v>
      </c>
      <c r="J540" s="2">
        <v>46145</v>
      </c>
      <c r="K540" s="2">
        <f t="shared" si="17"/>
        <v>46143</v>
      </c>
      <c r="L540" s="1" t="str">
        <f>TEXT(J540,"ddd")</f>
        <v>dom</v>
      </c>
      <c r="M540" s="1" t="str">
        <f>TEXT($J540,"mmm")</f>
        <v>mai</v>
      </c>
      <c r="N540">
        <f>YEAR(J540)</f>
        <v>2026</v>
      </c>
      <c r="O540" s="2"/>
      <c r="P540" t="str">
        <f t="shared" si="16"/>
        <v>166246145</v>
      </c>
    </row>
    <row r="541" spans="1:16" x14ac:dyDescent="0.3">
      <c r="A541">
        <v>1662</v>
      </c>
      <c r="B541">
        <v>22</v>
      </c>
      <c r="C541" t="s">
        <v>15</v>
      </c>
      <c r="D541" t="s">
        <v>16</v>
      </c>
      <c r="E541" t="s">
        <v>17</v>
      </c>
      <c r="F541" t="s">
        <v>21</v>
      </c>
      <c r="G541" t="s">
        <v>41</v>
      </c>
      <c r="H541" t="s">
        <v>25</v>
      </c>
      <c r="I541" s="1">
        <v>1</v>
      </c>
      <c r="J541" s="2">
        <v>46139</v>
      </c>
      <c r="K541" s="2">
        <f t="shared" si="17"/>
        <v>46113</v>
      </c>
      <c r="L541" s="1" t="s">
        <v>56</v>
      </c>
      <c r="M541" s="1" t="s">
        <v>49</v>
      </c>
      <c r="N541">
        <v>2025</v>
      </c>
      <c r="O541" s="2"/>
      <c r="P541" t="str">
        <f t="shared" si="16"/>
        <v>166246139</v>
      </c>
    </row>
    <row r="542" spans="1:16" x14ac:dyDescent="0.3">
      <c r="A542">
        <v>1662</v>
      </c>
      <c r="B542">
        <v>22</v>
      </c>
      <c r="C542" t="s">
        <v>15</v>
      </c>
      <c r="D542" t="s">
        <v>16</v>
      </c>
      <c r="E542" t="s">
        <v>17</v>
      </c>
      <c r="F542" t="s">
        <v>21</v>
      </c>
      <c r="G542" t="s">
        <v>41</v>
      </c>
      <c r="H542" t="s">
        <v>25</v>
      </c>
      <c r="I542" s="1">
        <v>1</v>
      </c>
      <c r="J542" s="2">
        <v>46156</v>
      </c>
      <c r="K542" s="2">
        <f t="shared" si="17"/>
        <v>46143</v>
      </c>
      <c r="L542" s="1" t="s">
        <v>51</v>
      </c>
      <c r="M542" s="1" t="s">
        <v>49</v>
      </c>
      <c r="N542">
        <v>2025</v>
      </c>
      <c r="O542" s="2"/>
      <c r="P542" t="str">
        <f t="shared" si="16"/>
        <v>166246156</v>
      </c>
    </row>
    <row r="543" spans="1:16" x14ac:dyDescent="0.3">
      <c r="A543">
        <v>1665</v>
      </c>
      <c r="B543">
        <v>36</v>
      </c>
      <c r="C543" t="s">
        <v>26</v>
      </c>
      <c r="D543" t="s">
        <v>16</v>
      </c>
      <c r="E543" t="s">
        <v>17</v>
      </c>
      <c r="F543" t="s">
        <v>23</v>
      </c>
      <c r="G543" t="s">
        <v>41</v>
      </c>
      <c r="H543" t="s">
        <v>25</v>
      </c>
      <c r="I543" s="1">
        <v>3</v>
      </c>
      <c r="J543" s="2">
        <v>46133</v>
      </c>
      <c r="K543" s="2">
        <f t="shared" si="17"/>
        <v>46113</v>
      </c>
      <c r="L543" s="1" t="str">
        <f>TEXT(J543,"ddd")</f>
        <v>ter</v>
      </c>
      <c r="M543" s="1" t="str">
        <f>TEXT($J543,"mmm")</f>
        <v>abr</v>
      </c>
      <c r="N543">
        <f>YEAR(J543)</f>
        <v>2026</v>
      </c>
      <c r="O543" s="2"/>
      <c r="P543" t="str">
        <f t="shared" si="16"/>
        <v>166546133</v>
      </c>
    </row>
    <row r="544" spans="1:16" x14ac:dyDescent="0.3">
      <c r="A544">
        <v>1665</v>
      </c>
      <c r="B544">
        <v>36</v>
      </c>
      <c r="C544" t="s">
        <v>26</v>
      </c>
      <c r="D544" t="s">
        <v>16</v>
      </c>
      <c r="E544" t="s">
        <v>17</v>
      </c>
      <c r="F544" t="s">
        <v>23</v>
      </c>
      <c r="G544" t="s">
        <v>41</v>
      </c>
      <c r="H544" t="s">
        <v>25</v>
      </c>
      <c r="I544" s="1">
        <v>3</v>
      </c>
      <c r="J544" s="2">
        <v>46142</v>
      </c>
      <c r="K544" s="2">
        <f t="shared" si="17"/>
        <v>46113</v>
      </c>
      <c r="L544" s="1" t="str">
        <f>TEXT(J544,"ddd")</f>
        <v>qui</v>
      </c>
      <c r="M544" s="1" t="str">
        <f>TEXT($J544,"mmm")</f>
        <v>abr</v>
      </c>
      <c r="N544">
        <f>YEAR(J544)</f>
        <v>2026</v>
      </c>
      <c r="O544" s="2"/>
      <c r="P544" t="str">
        <f t="shared" si="16"/>
        <v>166546142</v>
      </c>
    </row>
    <row r="545" spans="1:16" x14ac:dyDescent="0.3">
      <c r="A545">
        <v>1665</v>
      </c>
      <c r="B545">
        <v>36</v>
      </c>
      <c r="C545" t="s">
        <v>26</v>
      </c>
      <c r="D545" t="s">
        <v>16</v>
      </c>
      <c r="E545" t="s">
        <v>17</v>
      </c>
      <c r="F545" t="s">
        <v>23</v>
      </c>
      <c r="G545" t="s">
        <v>41</v>
      </c>
      <c r="H545" t="s">
        <v>25</v>
      </c>
      <c r="I545" s="1">
        <v>3</v>
      </c>
      <c r="J545" s="2">
        <v>46139</v>
      </c>
      <c r="K545" s="2">
        <f t="shared" si="17"/>
        <v>46113</v>
      </c>
      <c r="L545" s="1" t="s">
        <v>56</v>
      </c>
      <c r="M545" s="1" t="s">
        <v>48</v>
      </c>
      <c r="N545">
        <v>2025</v>
      </c>
      <c r="O545" s="2"/>
      <c r="P545" t="str">
        <f t="shared" si="16"/>
        <v>166546139</v>
      </c>
    </row>
    <row r="546" spans="1:16" x14ac:dyDescent="0.3">
      <c r="A546">
        <v>1665</v>
      </c>
      <c r="B546">
        <v>36</v>
      </c>
      <c r="C546" t="s">
        <v>26</v>
      </c>
      <c r="D546" t="s">
        <v>16</v>
      </c>
      <c r="E546" t="s">
        <v>17</v>
      </c>
      <c r="F546" t="s">
        <v>23</v>
      </c>
      <c r="G546" t="s">
        <v>41</v>
      </c>
      <c r="H546" t="s">
        <v>25</v>
      </c>
      <c r="I546" s="1">
        <v>3</v>
      </c>
      <c r="J546" s="2">
        <v>46149</v>
      </c>
      <c r="K546" s="2">
        <f t="shared" si="17"/>
        <v>46143</v>
      </c>
      <c r="L546" s="1" t="s">
        <v>51</v>
      </c>
      <c r="M546" s="1" t="s">
        <v>49</v>
      </c>
      <c r="N546">
        <v>2025</v>
      </c>
      <c r="O546" s="2"/>
      <c r="P546" t="str">
        <f t="shared" si="16"/>
        <v>166546149</v>
      </c>
    </row>
    <row r="547" spans="1:16" x14ac:dyDescent="0.3">
      <c r="A547">
        <v>1668</v>
      </c>
      <c r="B547">
        <v>54</v>
      </c>
      <c r="C547" t="s">
        <v>15</v>
      </c>
      <c r="D547" t="s">
        <v>31</v>
      </c>
      <c r="E547" t="s">
        <v>34</v>
      </c>
      <c r="F547" t="s">
        <v>21</v>
      </c>
      <c r="G547" t="s">
        <v>41</v>
      </c>
      <c r="H547" t="s">
        <v>25</v>
      </c>
      <c r="I547" s="1">
        <v>3</v>
      </c>
      <c r="J547" s="2">
        <v>46146</v>
      </c>
      <c r="K547" s="2">
        <f t="shared" si="17"/>
        <v>46143</v>
      </c>
      <c r="L547" s="1" t="str">
        <f>TEXT(J547,"ddd")</f>
        <v>seg</v>
      </c>
      <c r="M547" s="1" t="str">
        <f>TEXT($J547,"mmm")</f>
        <v>mai</v>
      </c>
      <c r="N547">
        <f>YEAR(J547)</f>
        <v>2026</v>
      </c>
      <c r="O547" s="2"/>
      <c r="P547" t="str">
        <f t="shared" si="16"/>
        <v>166846146</v>
      </c>
    </row>
    <row r="548" spans="1:16" x14ac:dyDescent="0.3">
      <c r="A548">
        <v>1668</v>
      </c>
      <c r="B548">
        <v>54</v>
      </c>
      <c r="C548" t="s">
        <v>15</v>
      </c>
      <c r="D548" t="s">
        <v>31</v>
      </c>
      <c r="E548" t="s">
        <v>34</v>
      </c>
      <c r="F548" t="s">
        <v>21</v>
      </c>
      <c r="G548" t="s">
        <v>41</v>
      </c>
      <c r="H548" t="s">
        <v>25</v>
      </c>
      <c r="I548" s="1">
        <v>3</v>
      </c>
      <c r="J548" s="2">
        <v>46168</v>
      </c>
      <c r="K548" s="2">
        <f t="shared" si="17"/>
        <v>46143</v>
      </c>
      <c r="L548" s="1" t="s">
        <v>55</v>
      </c>
      <c r="M548" s="1" t="s">
        <v>49</v>
      </c>
      <c r="N548">
        <v>2025</v>
      </c>
      <c r="O548" s="2"/>
      <c r="P548" t="str">
        <f t="shared" si="16"/>
        <v>166846168</v>
      </c>
    </row>
    <row r="549" spans="1:16" x14ac:dyDescent="0.3">
      <c r="A549">
        <v>1680</v>
      </c>
      <c r="B549">
        <v>24</v>
      </c>
      <c r="C549" t="s">
        <v>15</v>
      </c>
      <c r="D549" t="s">
        <v>29</v>
      </c>
      <c r="E549" t="s">
        <v>17</v>
      </c>
      <c r="F549" t="s">
        <v>21</v>
      </c>
      <c r="G549" t="s">
        <v>41</v>
      </c>
      <c r="H549" t="s">
        <v>25</v>
      </c>
      <c r="I549" s="1">
        <v>1</v>
      </c>
      <c r="J549" s="2">
        <v>46127</v>
      </c>
      <c r="K549" s="2">
        <f t="shared" si="17"/>
        <v>46113</v>
      </c>
      <c r="L549" s="1" t="str">
        <f>TEXT(J549,"ddd")</f>
        <v>qua</v>
      </c>
      <c r="M549" s="1" t="str">
        <f>TEXT($J549,"mmm")</f>
        <v>abr</v>
      </c>
      <c r="N549">
        <f>YEAR(J549)</f>
        <v>2026</v>
      </c>
      <c r="O549" s="2"/>
      <c r="P549" t="str">
        <f t="shared" si="16"/>
        <v>168046127</v>
      </c>
    </row>
    <row r="550" spans="1:16" x14ac:dyDescent="0.3">
      <c r="A550">
        <v>1680</v>
      </c>
      <c r="B550">
        <v>24</v>
      </c>
      <c r="C550" t="s">
        <v>15</v>
      </c>
      <c r="D550" t="s">
        <v>29</v>
      </c>
      <c r="E550" t="s">
        <v>17</v>
      </c>
      <c r="F550" t="s">
        <v>21</v>
      </c>
      <c r="G550" t="s">
        <v>41</v>
      </c>
      <c r="H550" t="s">
        <v>25</v>
      </c>
      <c r="I550" s="1">
        <v>1</v>
      </c>
      <c r="J550" s="2">
        <v>46142</v>
      </c>
      <c r="K550" s="2">
        <f t="shared" si="17"/>
        <v>46113</v>
      </c>
      <c r="L550" s="1" t="str">
        <f>TEXT(J550,"ddd")</f>
        <v>qui</v>
      </c>
      <c r="M550" s="1" t="str">
        <f>TEXT($J550,"mmm")</f>
        <v>abr</v>
      </c>
      <c r="N550">
        <f>YEAR(J550)</f>
        <v>2026</v>
      </c>
      <c r="O550" s="2"/>
      <c r="P550" t="str">
        <f t="shared" si="16"/>
        <v>168046142</v>
      </c>
    </row>
    <row r="551" spans="1:16" x14ac:dyDescent="0.3">
      <c r="A551">
        <v>1680</v>
      </c>
      <c r="B551">
        <v>24</v>
      </c>
      <c r="C551" t="s">
        <v>15</v>
      </c>
      <c r="D551" t="s">
        <v>29</v>
      </c>
      <c r="E551" t="s">
        <v>17</v>
      </c>
      <c r="F551" t="s">
        <v>21</v>
      </c>
      <c r="G551" t="s">
        <v>41</v>
      </c>
      <c r="H551" t="s">
        <v>25</v>
      </c>
      <c r="I551" s="1">
        <v>1</v>
      </c>
      <c r="J551" s="2">
        <v>46145</v>
      </c>
      <c r="K551" s="2">
        <f t="shared" si="17"/>
        <v>46143</v>
      </c>
      <c r="L551" s="1" t="s">
        <v>50</v>
      </c>
      <c r="M551" s="1" t="s">
        <v>48</v>
      </c>
      <c r="N551">
        <v>2025</v>
      </c>
      <c r="O551" s="2"/>
      <c r="P551" t="str">
        <f t="shared" si="16"/>
        <v>168046145</v>
      </c>
    </row>
    <row r="552" spans="1:16" x14ac:dyDescent="0.3">
      <c r="A552">
        <v>1680</v>
      </c>
      <c r="B552">
        <v>24</v>
      </c>
      <c r="C552" t="s">
        <v>15</v>
      </c>
      <c r="D552" t="s">
        <v>29</v>
      </c>
      <c r="E552" t="s">
        <v>17</v>
      </c>
      <c r="F552" t="s">
        <v>21</v>
      </c>
      <c r="G552" t="s">
        <v>41</v>
      </c>
      <c r="H552" t="s">
        <v>25</v>
      </c>
      <c r="I552" s="1">
        <v>1</v>
      </c>
      <c r="J552" s="2">
        <v>46151</v>
      </c>
      <c r="K552" s="2">
        <f t="shared" si="17"/>
        <v>46143</v>
      </c>
      <c r="L552" s="1" t="s">
        <v>53</v>
      </c>
      <c r="M552" s="1" t="s">
        <v>49</v>
      </c>
      <c r="N552">
        <v>2025</v>
      </c>
      <c r="O552" s="2"/>
      <c r="P552" t="str">
        <f t="shared" si="16"/>
        <v>168046151</v>
      </c>
    </row>
    <row r="553" spans="1:16" x14ac:dyDescent="0.3">
      <c r="A553">
        <v>1691</v>
      </c>
      <c r="B553">
        <v>49</v>
      </c>
      <c r="C553" t="s">
        <v>15</v>
      </c>
      <c r="D553" t="s">
        <v>16</v>
      </c>
      <c r="E553" t="s">
        <v>17</v>
      </c>
      <c r="F553" t="s">
        <v>21</v>
      </c>
      <c r="G553" t="s">
        <v>41</v>
      </c>
      <c r="H553" t="s">
        <v>25</v>
      </c>
      <c r="I553" s="1">
        <v>2</v>
      </c>
      <c r="J553" s="2">
        <v>46152</v>
      </c>
      <c r="K553" s="2">
        <f t="shared" si="17"/>
        <v>46143</v>
      </c>
      <c r="L553" s="1" t="str">
        <f>TEXT(J553,"ddd")</f>
        <v>dom</v>
      </c>
      <c r="M553" s="1" t="str">
        <f>TEXT($J553,"mmm")</f>
        <v>mai</v>
      </c>
      <c r="N553">
        <f>YEAR(J553)</f>
        <v>2026</v>
      </c>
      <c r="O553" s="2"/>
      <c r="P553" t="str">
        <f t="shared" si="16"/>
        <v>169146152</v>
      </c>
    </row>
    <row r="554" spans="1:16" x14ac:dyDescent="0.3">
      <c r="A554">
        <v>1691</v>
      </c>
      <c r="B554">
        <v>49</v>
      </c>
      <c r="C554" t="s">
        <v>15</v>
      </c>
      <c r="D554" t="s">
        <v>16</v>
      </c>
      <c r="E554" t="s">
        <v>17</v>
      </c>
      <c r="F554" t="s">
        <v>21</v>
      </c>
      <c r="G554" t="s">
        <v>41</v>
      </c>
      <c r="H554" t="s">
        <v>25</v>
      </c>
      <c r="I554" s="1">
        <v>2</v>
      </c>
      <c r="J554" s="2">
        <v>46167</v>
      </c>
      <c r="K554" s="2">
        <f t="shared" si="17"/>
        <v>46143</v>
      </c>
      <c r="L554" s="1" t="s">
        <v>55</v>
      </c>
      <c r="M554" s="1" t="s">
        <v>49</v>
      </c>
      <c r="N554">
        <v>2025</v>
      </c>
      <c r="O554" s="2"/>
      <c r="P554" t="str">
        <f t="shared" si="16"/>
        <v>169146167</v>
      </c>
    </row>
    <row r="555" spans="1:16" x14ac:dyDescent="0.3">
      <c r="A555">
        <v>1692</v>
      </c>
      <c r="B555">
        <v>24</v>
      </c>
      <c r="C555" t="s">
        <v>26</v>
      </c>
      <c r="D555" t="s">
        <v>27</v>
      </c>
      <c r="E555" t="s">
        <v>17</v>
      </c>
      <c r="F555" t="s">
        <v>18</v>
      </c>
      <c r="G555" t="s">
        <v>41</v>
      </c>
      <c r="H555" t="s">
        <v>25</v>
      </c>
      <c r="I555" s="1">
        <v>3</v>
      </c>
      <c r="J555" s="2">
        <v>46152</v>
      </c>
      <c r="K555" s="2">
        <f t="shared" si="17"/>
        <v>46143</v>
      </c>
      <c r="L555" s="1" t="str">
        <f>TEXT(J555,"ddd")</f>
        <v>dom</v>
      </c>
      <c r="M555" s="1" t="str">
        <f>TEXT($J555,"mmm")</f>
        <v>mai</v>
      </c>
      <c r="N555">
        <f>YEAR(J555)</f>
        <v>2026</v>
      </c>
      <c r="O555" s="2"/>
      <c r="P555" t="str">
        <f t="shared" si="16"/>
        <v>169246152</v>
      </c>
    </row>
    <row r="556" spans="1:16" x14ac:dyDescent="0.3">
      <c r="A556">
        <v>1692</v>
      </c>
      <c r="B556">
        <v>24</v>
      </c>
      <c r="C556" t="s">
        <v>26</v>
      </c>
      <c r="D556" t="s">
        <v>27</v>
      </c>
      <c r="E556" t="s">
        <v>17</v>
      </c>
      <c r="F556" t="s">
        <v>18</v>
      </c>
      <c r="G556" t="s">
        <v>41</v>
      </c>
      <c r="H556" t="s">
        <v>25</v>
      </c>
      <c r="I556" s="1">
        <v>3</v>
      </c>
      <c r="J556" s="2">
        <v>46158</v>
      </c>
      <c r="K556" s="2">
        <f t="shared" si="17"/>
        <v>46143</v>
      </c>
      <c r="L556" s="1" t="s">
        <v>53</v>
      </c>
      <c r="M556" s="1" t="s">
        <v>49</v>
      </c>
      <c r="N556">
        <v>2025</v>
      </c>
      <c r="O556" s="2"/>
      <c r="P556" t="str">
        <f t="shared" si="16"/>
        <v>169246158</v>
      </c>
    </row>
    <row r="557" spans="1:16" x14ac:dyDescent="0.3">
      <c r="A557">
        <v>1694</v>
      </c>
      <c r="B557">
        <v>26</v>
      </c>
      <c r="C557" t="s">
        <v>15</v>
      </c>
      <c r="D557" t="s">
        <v>16</v>
      </c>
      <c r="E557" t="s">
        <v>17</v>
      </c>
      <c r="F557" t="s">
        <v>21</v>
      </c>
      <c r="G557" t="s">
        <v>41</v>
      </c>
      <c r="H557" t="s">
        <v>25</v>
      </c>
      <c r="I557" s="1">
        <v>2</v>
      </c>
      <c r="J557" s="2">
        <v>46131</v>
      </c>
      <c r="K557" s="2">
        <f t="shared" si="17"/>
        <v>46113</v>
      </c>
      <c r="L557" s="1" t="str">
        <f>TEXT(J557,"ddd")</f>
        <v>dom</v>
      </c>
      <c r="M557" s="1" t="str">
        <f>TEXT($J557,"mmm")</f>
        <v>abr</v>
      </c>
      <c r="N557">
        <f>YEAR(J557)</f>
        <v>2026</v>
      </c>
      <c r="O557" s="2"/>
      <c r="P557" t="str">
        <f t="shared" si="16"/>
        <v>169446131</v>
      </c>
    </row>
    <row r="558" spans="1:16" x14ac:dyDescent="0.3">
      <c r="A558">
        <v>1694</v>
      </c>
      <c r="B558">
        <v>26</v>
      </c>
      <c r="C558" t="s">
        <v>15</v>
      </c>
      <c r="D558" t="s">
        <v>16</v>
      </c>
      <c r="E558" t="s">
        <v>17</v>
      </c>
      <c r="F558" t="s">
        <v>21</v>
      </c>
      <c r="G558" t="s">
        <v>41</v>
      </c>
      <c r="H558" t="s">
        <v>25</v>
      </c>
      <c r="I558" s="1">
        <v>2</v>
      </c>
      <c r="J558" s="2">
        <v>46142</v>
      </c>
      <c r="K558" s="2">
        <f t="shared" si="17"/>
        <v>46113</v>
      </c>
      <c r="L558" s="1" t="s">
        <v>54</v>
      </c>
      <c r="M558" s="1" t="s">
        <v>48</v>
      </c>
      <c r="N558">
        <v>2025</v>
      </c>
      <c r="O558" s="2"/>
      <c r="P558" t="str">
        <f t="shared" si="16"/>
        <v>169446142</v>
      </c>
    </row>
    <row r="559" spans="1:16" x14ac:dyDescent="0.3">
      <c r="A559">
        <v>1697</v>
      </c>
      <c r="B559">
        <v>32</v>
      </c>
      <c r="C559" t="s">
        <v>15</v>
      </c>
      <c r="D559" t="s">
        <v>27</v>
      </c>
      <c r="E559" t="s">
        <v>17</v>
      </c>
      <c r="F559" t="s">
        <v>21</v>
      </c>
      <c r="G559" t="s">
        <v>41</v>
      </c>
      <c r="H559" t="s">
        <v>25</v>
      </c>
      <c r="I559" s="1">
        <v>2</v>
      </c>
      <c r="J559" s="2">
        <v>46142</v>
      </c>
      <c r="K559" s="2">
        <f t="shared" si="17"/>
        <v>46113</v>
      </c>
      <c r="L559" s="1" t="str">
        <f>TEXT(J559,"ddd")</f>
        <v>qui</v>
      </c>
      <c r="M559" s="1" t="str">
        <f>TEXT($J559,"mmm")</f>
        <v>abr</v>
      </c>
      <c r="N559">
        <f>YEAR(J559)</f>
        <v>2026</v>
      </c>
      <c r="O559" s="2"/>
      <c r="P559" t="str">
        <f t="shared" si="16"/>
        <v>169746142</v>
      </c>
    </row>
    <row r="560" spans="1:16" x14ac:dyDescent="0.3">
      <c r="A560">
        <v>1697</v>
      </c>
      <c r="B560">
        <v>32</v>
      </c>
      <c r="C560" t="s">
        <v>15</v>
      </c>
      <c r="D560" t="s">
        <v>27</v>
      </c>
      <c r="E560" t="s">
        <v>17</v>
      </c>
      <c r="F560" t="s">
        <v>21</v>
      </c>
      <c r="G560" t="s">
        <v>41</v>
      </c>
      <c r="H560" t="s">
        <v>25</v>
      </c>
      <c r="I560" s="1">
        <v>2</v>
      </c>
      <c r="J560" s="2">
        <v>46157</v>
      </c>
      <c r="K560" s="2">
        <f t="shared" si="17"/>
        <v>46143</v>
      </c>
      <c r="L560" s="1" t="s">
        <v>52</v>
      </c>
      <c r="M560" s="1" t="s">
        <v>49</v>
      </c>
      <c r="N560">
        <v>2025</v>
      </c>
      <c r="O560" s="2"/>
      <c r="P560" t="str">
        <f t="shared" si="16"/>
        <v>169746157</v>
      </c>
    </row>
    <row r="561" spans="1:16" x14ac:dyDescent="0.3">
      <c r="A561">
        <v>1700</v>
      </c>
      <c r="B561">
        <v>32</v>
      </c>
      <c r="C561" t="s">
        <v>26</v>
      </c>
      <c r="D561" t="s">
        <v>16</v>
      </c>
      <c r="E561" t="s">
        <v>17</v>
      </c>
      <c r="F561" t="s">
        <v>18</v>
      </c>
      <c r="G561" t="s">
        <v>41</v>
      </c>
      <c r="H561" t="s">
        <v>25</v>
      </c>
      <c r="I561" s="1">
        <v>3</v>
      </c>
      <c r="J561" s="2">
        <v>46146</v>
      </c>
      <c r="K561" s="2">
        <f t="shared" si="17"/>
        <v>46143</v>
      </c>
      <c r="L561" s="1" t="str">
        <f>TEXT(J561,"ddd")</f>
        <v>seg</v>
      </c>
      <c r="M561" s="1" t="str">
        <f>TEXT($J561,"mmm")</f>
        <v>mai</v>
      </c>
      <c r="N561">
        <f>YEAR(J561)</f>
        <v>2026</v>
      </c>
      <c r="O561" s="2"/>
      <c r="P561" t="str">
        <f t="shared" si="16"/>
        <v>170046146</v>
      </c>
    </row>
    <row r="562" spans="1:16" x14ac:dyDescent="0.3">
      <c r="A562">
        <v>1700</v>
      </c>
      <c r="B562">
        <v>32</v>
      </c>
      <c r="C562" t="s">
        <v>26</v>
      </c>
      <c r="D562" t="s">
        <v>16</v>
      </c>
      <c r="E562" t="s">
        <v>17</v>
      </c>
      <c r="F562" t="s">
        <v>18</v>
      </c>
      <c r="G562" t="s">
        <v>41</v>
      </c>
      <c r="H562" t="s">
        <v>25</v>
      </c>
      <c r="I562" s="1">
        <v>3</v>
      </c>
      <c r="J562" s="2">
        <v>46127</v>
      </c>
      <c r="K562" s="2">
        <f t="shared" si="17"/>
        <v>46113</v>
      </c>
      <c r="L562" s="1" t="str">
        <f>TEXT(J562,"ddd")</f>
        <v>qua</v>
      </c>
      <c r="M562" s="1" t="str">
        <f>TEXT($J562,"mmm")</f>
        <v>abr</v>
      </c>
      <c r="N562">
        <f>YEAR(J562)</f>
        <v>2026</v>
      </c>
      <c r="O562" s="2"/>
      <c r="P562" t="str">
        <f t="shared" si="16"/>
        <v>170046127</v>
      </c>
    </row>
    <row r="563" spans="1:16" x14ac:dyDescent="0.3">
      <c r="A563">
        <v>1700</v>
      </c>
      <c r="B563">
        <v>32</v>
      </c>
      <c r="C563" t="s">
        <v>26</v>
      </c>
      <c r="D563" t="s">
        <v>16</v>
      </c>
      <c r="E563" t="s">
        <v>17</v>
      </c>
      <c r="F563" t="s">
        <v>18</v>
      </c>
      <c r="G563" t="s">
        <v>41</v>
      </c>
      <c r="H563" t="s">
        <v>25</v>
      </c>
      <c r="I563" s="1">
        <v>3</v>
      </c>
      <c r="J563" s="2">
        <v>46123</v>
      </c>
      <c r="K563" s="2">
        <f t="shared" si="17"/>
        <v>46113</v>
      </c>
      <c r="L563" s="1" t="s">
        <v>53</v>
      </c>
      <c r="M563" s="1" t="s">
        <v>48</v>
      </c>
      <c r="N563">
        <v>2025</v>
      </c>
      <c r="O563" s="2"/>
      <c r="P563" t="str">
        <f t="shared" si="16"/>
        <v>170046123</v>
      </c>
    </row>
    <row r="564" spans="1:16" x14ac:dyDescent="0.3">
      <c r="A564">
        <v>1700</v>
      </c>
      <c r="B564">
        <v>32</v>
      </c>
      <c r="C564" t="s">
        <v>26</v>
      </c>
      <c r="D564" t="s">
        <v>16</v>
      </c>
      <c r="E564" t="s">
        <v>17</v>
      </c>
      <c r="F564" t="s">
        <v>18</v>
      </c>
      <c r="G564" t="s">
        <v>41</v>
      </c>
      <c r="H564" t="s">
        <v>25</v>
      </c>
      <c r="I564" s="1">
        <v>3</v>
      </c>
      <c r="J564" s="2">
        <v>46152</v>
      </c>
      <c r="K564" s="2">
        <f t="shared" si="17"/>
        <v>46143</v>
      </c>
      <c r="L564" s="1" t="s">
        <v>50</v>
      </c>
      <c r="M564" s="1" t="s">
        <v>48</v>
      </c>
      <c r="N564">
        <v>2025</v>
      </c>
      <c r="O564" s="2"/>
      <c r="P564" t="str">
        <f t="shared" si="16"/>
        <v>170046152</v>
      </c>
    </row>
    <row r="565" spans="1:16" x14ac:dyDescent="0.3">
      <c r="A565">
        <v>1701</v>
      </c>
      <c r="B565">
        <v>48</v>
      </c>
      <c r="C565" t="s">
        <v>15</v>
      </c>
      <c r="D565" t="s">
        <v>16</v>
      </c>
      <c r="E565" t="s">
        <v>17</v>
      </c>
      <c r="F565" t="s">
        <v>23</v>
      </c>
      <c r="G565" t="s">
        <v>41</v>
      </c>
      <c r="H565" t="s">
        <v>25</v>
      </c>
      <c r="I565" s="1">
        <v>2</v>
      </c>
      <c r="J565" s="2">
        <v>46141</v>
      </c>
      <c r="K565" s="2">
        <f t="shared" si="17"/>
        <v>46113</v>
      </c>
      <c r="L565" s="1" t="str">
        <f>TEXT(J565,"ddd")</f>
        <v>qua</v>
      </c>
      <c r="M565" s="1" t="str">
        <f>TEXT($J565,"mmm")</f>
        <v>abr</v>
      </c>
      <c r="N565">
        <f>YEAR(J565)</f>
        <v>2026</v>
      </c>
      <c r="O565" s="2"/>
      <c r="P565" t="str">
        <f t="shared" si="16"/>
        <v>170146141</v>
      </c>
    </row>
    <row r="566" spans="1:16" x14ac:dyDescent="0.3">
      <c r="A566">
        <v>1701</v>
      </c>
      <c r="B566">
        <v>48</v>
      </c>
      <c r="C566" t="s">
        <v>15</v>
      </c>
      <c r="D566" t="s">
        <v>16</v>
      </c>
      <c r="E566" t="s">
        <v>17</v>
      </c>
      <c r="F566" t="s">
        <v>23</v>
      </c>
      <c r="G566" t="s">
        <v>41</v>
      </c>
      <c r="H566" t="s">
        <v>25</v>
      </c>
      <c r="I566" s="1">
        <v>2</v>
      </c>
      <c r="J566" s="2">
        <v>46167</v>
      </c>
      <c r="K566" s="2">
        <f t="shared" si="17"/>
        <v>46143</v>
      </c>
      <c r="L566" s="1" t="str">
        <f>TEXT(J566,"ddd")</f>
        <v>seg</v>
      </c>
      <c r="M566" s="1" t="str">
        <f>TEXT($J566,"mmm")</f>
        <v>mai</v>
      </c>
      <c r="N566">
        <f>YEAR(J566)</f>
        <v>2026</v>
      </c>
      <c r="O566" s="2"/>
      <c r="P566" t="str">
        <f t="shared" si="16"/>
        <v>170146167</v>
      </c>
    </row>
    <row r="567" spans="1:16" x14ac:dyDescent="0.3">
      <c r="A567">
        <v>1701</v>
      </c>
      <c r="B567">
        <v>48</v>
      </c>
      <c r="C567" t="s">
        <v>15</v>
      </c>
      <c r="D567" t="s">
        <v>16</v>
      </c>
      <c r="E567" t="s">
        <v>17</v>
      </c>
      <c r="F567" t="s">
        <v>23</v>
      </c>
      <c r="G567" t="s">
        <v>41</v>
      </c>
      <c r="H567" t="s">
        <v>25</v>
      </c>
      <c r="I567" s="1">
        <v>2</v>
      </c>
      <c r="J567" s="2">
        <v>46147</v>
      </c>
      <c r="K567" s="2">
        <f t="shared" si="17"/>
        <v>46143</v>
      </c>
      <c r="L567" s="1" t="s">
        <v>56</v>
      </c>
      <c r="M567" s="1" t="s">
        <v>49</v>
      </c>
      <c r="N567">
        <v>2025</v>
      </c>
      <c r="O567" s="2"/>
      <c r="P567" t="str">
        <f t="shared" si="16"/>
        <v>170146147</v>
      </c>
    </row>
    <row r="568" spans="1:16" x14ac:dyDescent="0.3">
      <c r="A568">
        <v>1701</v>
      </c>
      <c r="B568">
        <v>48</v>
      </c>
      <c r="C568" t="s">
        <v>15</v>
      </c>
      <c r="D568" t="s">
        <v>16</v>
      </c>
      <c r="E568" t="s">
        <v>17</v>
      </c>
      <c r="F568" t="s">
        <v>23</v>
      </c>
      <c r="G568" t="s">
        <v>41</v>
      </c>
      <c r="H568" t="s">
        <v>25</v>
      </c>
      <c r="I568" s="1">
        <v>2</v>
      </c>
      <c r="J568" s="2">
        <v>46140</v>
      </c>
      <c r="K568" s="2">
        <f t="shared" si="17"/>
        <v>46113</v>
      </c>
      <c r="L568" s="1" t="s">
        <v>55</v>
      </c>
      <c r="M568" s="1" t="s">
        <v>49</v>
      </c>
      <c r="N568">
        <v>2025</v>
      </c>
      <c r="O568" s="2"/>
      <c r="P568" t="str">
        <f t="shared" si="16"/>
        <v>170146140</v>
      </c>
    </row>
    <row r="569" spans="1:16" x14ac:dyDescent="0.3">
      <c r="A569">
        <v>1707</v>
      </c>
      <c r="B569">
        <v>45</v>
      </c>
      <c r="C569" t="s">
        <v>26</v>
      </c>
      <c r="D569" t="s">
        <v>27</v>
      </c>
      <c r="E569" t="s">
        <v>17</v>
      </c>
      <c r="F569" t="s">
        <v>18</v>
      </c>
      <c r="G569" t="s">
        <v>41</v>
      </c>
      <c r="H569" t="s">
        <v>25</v>
      </c>
      <c r="I569" s="1">
        <v>3</v>
      </c>
      <c r="J569" s="2">
        <v>46135</v>
      </c>
      <c r="K569" s="2">
        <f t="shared" si="17"/>
        <v>46113</v>
      </c>
      <c r="L569" s="1" t="str">
        <f>TEXT(J569,"ddd")</f>
        <v>qui</v>
      </c>
      <c r="M569" s="1" t="str">
        <f>TEXT($J569,"mmm")</f>
        <v>abr</v>
      </c>
      <c r="N569">
        <f>YEAR(J569)</f>
        <v>2026</v>
      </c>
      <c r="O569" s="2"/>
      <c r="P569" t="str">
        <f t="shared" si="16"/>
        <v>170746135</v>
      </c>
    </row>
    <row r="570" spans="1:16" x14ac:dyDescent="0.3">
      <c r="A570">
        <v>1707</v>
      </c>
      <c r="B570">
        <v>45</v>
      </c>
      <c r="C570" t="s">
        <v>26</v>
      </c>
      <c r="D570" t="s">
        <v>27</v>
      </c>
      <c r="E570" t="s">
        <v>17</v>
      </c>
      <c r="F570" t="s">
        <v>18</v>
      </c>
      <c r="G570" t="s">
        <v>41</v>
      </c>
      <c r="H570" t="s">
        <v>25</v>
      </c>
      <c r="I570" s="1">
        <v>3</v>
      </c>
      <c r="J570" s="2">
        <v>46169</v>
      </c>
      <c r="K570" s="2">
        <f t="shared" si="17"/>
        <v>46143</v>
      </c>
      <c r="L570" s="1" t="s">
        <v>50</v>
      </c>
      <c r="M570" s="1" t="s">
        <v>49</v>
      </c>
      <c r="N570">
        <v>2025</v>
      </c>
      <c r="O570" s="2"/>
      <c r="P570" t="str">
        <f t="shared" si="16"/>
        <v>170746169</v>
      </c>
    </row>
    <row r="571" spans="1:16" x14ac:dyDescent="0.3">
      <c r="A571">
        <v>1711</v>
      </c>
      <c r="B571">
        <v>38</v>
      </c>
      <c r="C571" t="s">
        <v>15</v>
      </c>
      <c r="D571" t="s">
        <v>22</v>
      </c>
      <c r="E571" t="s">
        <v>17</v>
      </c>
      <c r="F571" t="s">
        <v>21</v>
      </c>
      <c r="G571" t="s">
        <v>41</v>
      </c>
      <c r="H571" t="s">
        <v>25</v>
      </c>
      <c r="I571" s="1">
        <v>1</v>
      </c>
      <c r="J571" s="2">
        <v>46135</v>
      </c>
      <c r="K571" s="2">
        <f t="shared" si="17"/>
        <v>46113</v>
      </c>
      <c r="L571" s="1" t="str">
        <f>TEXT(J571,"ddd")</f>
        <v>qui</v>
      </c>
      <c r="M571" s="1" t="str">
        <f>TEXT($J571,"mmm")</f>
        <v>abr</v>
      </c>
      <c r="N571">
        <f>YEAR(J571)</f>
        <v>2026</v>
      </c>
      <c r="O571" s="2"/>
      <c r="P571" t="str">
        <f t="shared" si="16"/>
        <v>171146135</v>
      </c>
    </row>
    <row r="572" spans="1:16" x14ac:dyDescent="0.3">
      <c r="A572">
        <v>1711</v>
      </c>
      <c r="B572">
        <v>38</v>
      </c>
      <c r="C572" t="s">
        <v>15</v>
      </c>
      <c r="D572" t="s">
        <v>22</v>
      </c>
      <c r="E572" t="s">
        <v>17</v>
      </c>
      <c r="F572" t="s">
        <v>21</v>
      </c>
      <c r="G572" t="s">
        <v>41</v>
      </c>
      <c r="H572" t="s">
        <v>25</v>
      </c>
      <c r="I572" s="1">
        <v>1</v>
      </c>
      <c r="J572" s="2">
        <v>46127</v>
      </c>
      <c r="K572" s="2">
        <f t="shared" si="17"/>
        <v>46113</v>
      </c>
      <c r="L572" s="1" t="s">
        <v>50</v>
      </c>
      <c r="M572" s="1" t="s">
        <v>48</v>
      </c>
      <c r="N572">
        <v>2025</v>
      </c>
      <c r="O572" s="2"/>
      <c r="P572" t="str">
        <f t="shared" si="16"/>
        <v>171146127</v>
      </c>
    </row>
    <row r="573" spans="1:16" x14ac:dyDescent="0.3">
      <c r="A573">
        <v>1712</v>
      </c>
      <c r="B573">
        <v>43</v>
      </c>
      <c r="C573" t="s">
        <v>26</v>
      </c>
      <c r="D573" t="s">
        <v>27</v>
      </c>
      <c r="E573" t="s">
        <v>17</v>
      </c>
      <c r="F573" t="s">
        <v>23</v>
      </c>
      <c r="G573" t="s">
        <v>41</v>
      </c>
      <c r="H573" t="s">
        <v>25</v>
      </c>
      <c r="I573" s="1">
        <v>3</v>
      </c>
      <c r="J573" s="2">
        <v>46140</v>
      </c>
      <c r="K573" s="2">
        <f t="shared" si="17"/>
        <v>46113</v>
      </c>
      <c r="L573" s="1" t="str">
        <f>TEXT(J573,"ddd")</f>
        <v>ter</v>
      </c>
      <c r="M573" s="1" t="str">
        <f>TEXT($J573,"mmm")</f>
        <v>abr</v>
      </c>
      <c r="N573">
        <f>YEAR(J573)</f>
        <v>2026</v>
      </c>
      <c r="O573" s="2"/>
      <c r="P573" t="str">
        <f t="shared" si="16"/>
        <v>171246140</v>
      </c>
    </row>
    <row r="574" spans="1:16" x14ac:dyDescent="0.3">
      <c r="A574">
        <v>1712</v>
      </c>
      <c r="B574">
        <v>43</v>
      </c>
      <c r="C574" t="s">
        <v>26</v>
      </c>
      <c r="D574" t="s">
        <v>27</v>
      </c>
      <c r="E574" t="s">
        <v>17</v>
      </c>
      <c r="F574" t="s">
        <v>23</v>
      </c>
      <c r="G574" t="s">
        <v>41</v>
      </c>
      <c r="H574" t="s">
        <v>25</v>
      </c>
      <c r="I574" s="1">
        <v>3</v>
      </c>
      <c r="J574" s="2">
        <v>46152</v>
      </c>
      <c r="K574" s="2">
        <f t="shared" si="17"/>
        <v>46143</v>
      </c>
      <c r="L574" s="1" t="s">
        <v>54</v>
      </c>
      <c r="M574" s="1" t="s">
        <v>49</v>
      </c>
      <c r="N574">
        <v>2025</v>
      </c>
      <c r="O574" s="2"/>
      <c r="P574" t="str">
        <f t="shared" si="16"/>
        <v>171246152</v>
      </c>
    </row>
    <row r="575" spans="1:16" x14ac:dyDescent="0.3">
      <c r="A575">
        <v>1715</v>
      </c>
      <c r="B575">
        <v>22</v>
      </c>
      <c r="C575" t="s">
        <v>26</v>
      </c>
      <c r="D575" t="s">
        <v>29</v>
      </c>
      <c r="E575" t="s">
        <v>17</v>
      </c>
      <c r="F575" t="s">
        <v>18</v>
      </c>
      <c r="G575" t="s">
        <v>41</v>
      </c>
      <c r="H575" t="s">
        <v>25</v>
      </c>
      <c r="I575" s="1">
        <v>1</v>
      </c>
      <c r="J575" s="2">
        <v>46135</v>
      </c>
      <c r="K575" s="2">
        <f t="shared" si="17"/>
        <v>46113</v>
      </c>
      <c r="L575" s="1" t="str">
        <f>TEXT(J575,"ddd")</f>
        <v>qui</v>
      </c>
      <c r="M575" s="1" t="str">
        <f>TEXT($J575,"mmm")</f>
        <v>abr</v>
      </c>
      <c r="N575">
        <f>YEAR(J575)</f>
        <v>2026</v>
      </c>
      <c r="O575" s="2"/>
      <c r="P575" t="str">
        <f t="shared" si="16"/>
        <v>171546135</v>
      </c>
    </row>
    <row r="576" spans="1:16" x14ac:dyDescent="0.3">
      <c r="A576">
        <v>1715</v>
      </c>
      <c r="B576">
        <v>22</v>
      </c>
      <c r="C576" t="s">
        <v>26</v>
      </c>
      <c r="D576" t="s">
        <v>29</v>
      </c>
      <c r="E576" t="s">
        <v>17</v>
      </c>
      <c r="F576" t="s">
        <v>18</v>
      </c>
      <c r="G576" t="s">
        <v>41</v>
      </c>
      <c r="H576" t="s">
        <v>25</v>
      </c>
      <c r="I576" s="1">
        <v>1</v>
      </c>
      <c r="J576" s="2">
        <v>46155</v>
      </c>
      <c r="K576" s="2">
        <f t="shared" si="17"/>
        <v>46143</v>
      </c>
      <c r="L576" s="1" t="str">
        <f>TEXT(J576,"ddd")</f>
        <v>qua</v>
      </c>
      <c r="M576" s="1" t="str">
        <f>TEXT($J576,"mmm")</f>
        <v>mai</v>
      </c>
      <c r="N576">
        <f>YEAR(J576)</f>
        <v>2026</v>
      </c>
      <c r="O576" s="2"/>
      <c r="P576" t="str">
        <f t="shared" si="16"/>
        <v>171546155</v>
      </c>
    </row>
    <row r="577" spans="1:16" x14ac:dyDescent="0.3">
      <c r="A577">
        <v>1715</v>
      </c>
      <c r="B577">
        <v>22</v>
      </c>
      <c r="C577" t="s">
        <v>26</v>
      </c>
      <c r="D577" t="s">
        <v>29</v>
      </c>
      <c r="E577" t="s">
        <v>17</v>
      </c>
      <c r="F577" t="s">
        <v>18</v>
      </c>
      <c r="G577" t="s">
        <v>41</v>
      </c>
      <c r="H577" t="s">
        <v>25</v>
      </c>
      <c r="I577" s="1">
        <v>1</v>
      </c>
      <c r="J577" s="2">
        <v>46131</v>
      </c>
      <c r="K577" s="2">
        <f t="shared" si="17"/>
        <v>46113</v>
      </c>
      <c r="L577" s="1" t="s">
        <v>54</v>
      </c>
      <c r="M577" s="1" t="s">
        <v>48</v>
      </c>
      <c r="N577">
        <v>2025</v>
      </c>
      <c r="O577" s="2"/>
      <c r="P577" t="str">
        <f t="shared" si="16"/>
        <v>171546131</v>
      </c>
    </row>
    <row r="578" spans="1:16" x14ac:dyDescent="0.3">
      <c r="A578">
        <v>1715</v>
      </c>
      <c r="B578">
        <v>22</v>
      </c>
      <c r="C578" t="s">
        <v>26</v>
      </c>
      <c r="D578" t="s">
        <v>29</v>
      </c>
      <c r="E578" t="s">
        <v>17</v>
      </c>
      <c r="F578" t="s">
        <v>18</v>
      </c>
      <c r="G578" t="s">
        <v>41</v>
      </c>
      <c r="H578" t="s">
        <v>25</v>
      </c>
      <c r="I578" s="1">
        <v>1</v>
      </c>
      <c r="J578" s="2">
        <v>46140</v>
      </c>
      <c r="K578" s="2">
        <f t="shared" si="17"/>
        <v>46113</v>
      </c>
      <c r="L578" s="1" t="s">
        <v>50</v>
      </c>
      <c r="M578" s="1" t="s">
        <v>49</v>
      </c>
      <c r="N578">
        <v>2025</v>
      </c>
      <c r="O578" s="2"/>
      <c r="P578" t="str">
        <f t="shared" ref="P578:P641" si="18">CONCATENATE(A578,J578)</f>
        <v>171546140</v>
      </c>
    </row>
    <row r="579" spans="1:16" x14ac:dyDescent="0.3">
      <c r="A579">
        <v>1716</v>
      </c>
      <c r="B579">
        <v>21</v>
      </c>
      <c r="C579" t="s">
        <v>26</v>
      </c>
      <c r="D579" t="s">
        <v>22</v>
      </c>
      <c r="E579" t="s">
        <v>17</v>
      </c>
      <c r="F579" t="s">
        <v>23</v>
      </c>
      <c r="G579" t="s">
        <v>41</v>
      </c>
      <c r="H579" t="s">
        <v>25</v>
      </c>
      <c r="I579" s="1">
        <v>3</v>
      </c>
      <c r="J579" s="2">
        <v>46149</v>
      </c>
      <c r="K579" s="2">
        <f t="shared" ref="K579:K642" si="19">DATE(YEAR(J579),MONTH(J579),1)</f>
        <v>46143</v>
      </c>
      <c r="L579" s="1" t="str">
        <f>TEXT(J579,"ddd")</f>
        <v>qui</v>
      </c>
      <c r="M579" s="1" t="str">
        <f>TEXT($J579,"mmm")</f>
        <v>mai</v>
      </c>
      <c r="N579">
        <f>YEAR(J579)</f>
        <v>2026</v>
      </c>
      <c r="O579" s="2"/>
      <c r="P579" t="str">
        <f t="shared" si="18"/>
        <v>171646149</v>
      </c>
    </row>
    <row r="580" spans="1:16" x14ac:dyDescent="0.3">
      <c r="A580">
        <v>1716</v>
      </c>
      <c r="B580">
        <v>21</v>
      </c>
      <c r="C580" t="s">
        <v>26</v>
      </c>
      <c r="D580" t="s">
        <v>22</v>
      </c>
      <c r="E580" t="s">
        <v>17</v>
      </c>
      <c r="F580" t="s">
        <v>23</v>
      </c>
      <c r="G580" t="s">
        <v>41</v>
      </c>
      <c r="H580" t="s">
        <v>25</v>
      </c>
      <c r="I580" s="1">
        <v>3</v>
      </c>
      <c r="J580" s="2">
        <v>46135</v>
      </c>
      <c r="K580" s="2">
        <f t="shared" si="19"/>
        <v>46113</v>
      </c>
      <c r="L580" s="1" t="s">
        <v>51</v>
      </c>
      <c r="M580" s="1" t="s">
        <v>49</v>
      </c>
      <c r="N580">
        <v>2025</v>
      </c>
      <c r="O580" s="2"/>
      <c r="P580" t="str">
        <f t="shared" si="18"/>
        <v>171646135</v>
      </c>
    </row>
    <row r="581" spans="1:16" x14ac:dyDescent="0.3">
      <c r="A581">
        <v>1717</v>
      </c>
      <c r="B581">
        <v>54</v>
      </c>
      <c r="C581" t="s">
        <v>15</v>
      </c>
      <c r="D581" t="s">
        <v>16</v>
      </c>
      <c r="E581" t="s">
        <v>17</v>
      </c>
      <c r="F581" t="s">
        <v>18</v>
      </c>
      <c r="G581" t="s">
        <v>41</v>
      </c>
      <c r="H581" t="s">
        <v>25</v>
      </c>
      <c r="I581" s="1">
        <v>3</v>
      </c>
      <c r="J581" s="2">
        <v>46151</v>
      </c>
      <c r="K581" s="2">
        <f t="shared" si="19"/>
        <v>46143</v>
      </c>
      <c r="L581" s="1" t="str">
        <f>TEXT(J581,"ddd")</f>
        <v>sáb</v>
      </c>
      <c r="M581" s="1" t="str">
        <f>TEXT($J581,"mmm")</f>
        <v>mai</v>
      </c>
      <c r="N581">
        <f>YEAR(J581)</f>
        <v>2026</v>
      </c>
      <c r="O581" s="2"/>
      <c r="P581" t="str">
        <f t="shared" si="18"/>
        <v>171746151</v>
      </c>
    </row>
    <row r="582" spans="1:16" x14ac:dyDescent="0.3">
      <c r="A582">
        <v>1717</v>
      </c>
      <c r="B582">
        <v>54</v>
      </c>
      <c r="C582" t="s">
        <v>15</v>
      </c>
      <c r="D582" t="s">
        <v>16</v>
      </c>
      <c r="E582" t="s">
        <v>17</v>
      </c>
      <c r="F582" t="s">
        <v>18</v>
      </c>
      <c r="G582" t="s">
        <v>41</v>
      </c>
      <c r="H582" t="s">
        <v>25</v>
      </c>
      <c r="I582" s="1">
        <v>3</v>
      </c>
      <c r="J582" s="2">
        <v>46135</v>
      </c>
      <c r="K582" s="2">
        <f t="shared" si="19"/>
        <v>46113</v>
      </c>
      <c r="L582" s="1" t="s">
        <v>53</v>
      </c>
      <c r="M582" s="1" t="s">
        <v>49</v>
      </c>
      <c r="N582">
        <v>2025</v>
      </c>
      <c r="O582" s="2"/>
      <c r="P582" t="str">
        <f t="shared" si="18"/>
        <v>171746135</v>
      </c>
    </row>
    <row r="583" spans="1:16" x14ac:dyDescent="0.3">
      <c r="A583">
        <v>1722</v>
      </c>
      <c r="B583">
        <v>29</v>
      </c>
      <c r="C583" t="s">
        <v>15</v>
      </c>
      <c r="D583" t="s">
        <v>16</v>
      </c>
      <c r="E583" t="s">
        <v>17</v>
      </c>
      <c r="F583" t="s">
        <v>18</v>
      </c>
      <c r="G583" t="s">
        <v>41</v>
      </c>
      <c r="H583" t="s">
        <v>25</v>
      </c>
      <c r="I583" s="1">
        <v>3</v>
      </c>
      <c r="J583" s="2">
        <v>46140</v>
      </c>
      <c r="K583" s="2">
        <f t="shared" si="19"/>
        <v>46113</v>
      </c>
      <c r="L583" s="1" t="str">
        <f>TEXT(J583,"ddd")</f>
        <v>ter</v>
      </c>
      <c r="M583" s="1" t="str">
        <f>TEXT($J583,"mmm")</f>
        <v>abr</v>
      </c>
      <c r="N583">
        <f>YEAR(J583)</f>
        <v>2026</v>
      </c>
      <c r="O583" s="2"/>
      <c r="P583" t="str">
        <f t="shared" si="18"/>
        <v>172246140</v>
      </c>
    </row>
    <row r="584" spans="1:16" x14ac:dyDescent="0.3">
      <c r="A584">
        <v>1722</v>
      </c>
      <c r="B584">
        <v>29</v>
      </c>
      <c r="C584" t="s">
        <v>15</v>
      </c>
      <c r="D584" t="s">
        <v>16</v>
      </c>
      <c r="E584" t="s">
        <v>17</v>
      </c>
      <c r="F584" t="s">
        <v>18</v>
      </c>
      <c r="G584" t="s">
        <v>41</v>
      </c>
      <c r="H584" t="s">
        <v>25</v>
      </c>
      <c r="I584" s="1">
        <v>3</v>
      </c>
      <c r="J584" s="2">
        <v>46152</v>
      </c>
      <c r="K584" s="2">
        <f t="shared" si="19"/>
        <v>46143</v>
      </c>
      <c r="L584" s="1" t="str">
        <f>TEXT(J584,"ddd")</f>
        <v>dom</v>
      </c>
      <c r="M584" s="1" t="str">
        <f>TEXT($J584,"mmm")</f>
        <v>mai</v>
      </c>
      <c r="N584">
        <f>YEAR(J584)</f>
        <v>2026</v>
      </c>
      <c r="O584" s="2"/>
      <c r="P584" t="str">
        <f t="shared" si="18"/>
        <v>172246152</v>
      </c>
    </row>
    <row r="585" spans="1:16" x14ac:dyDescent="0.3">
      <c r="A585">
        <v>1722</v>
      </c>
      <c r="B585">
        <v>29</v>
      </c>
      <c r="C585" t="s">
        <v>15</v>
      </c>
      <c r="D585" t="s">
        <v>16</v>
      </c>
      <c r="E585" t="s">
        <v>17</v>
      </c>
      <c r="F585" t="s">
        <v>18</v>
      </c>
      <c r="G585" t="s">
        <v>41</v>
      </c>
      <c r="H585" t="s">
        <v>25</v>
      </c>
      <c r="I585" s="1">
        <v>3</v>
      </c>
      <c r="J585" s="2">
        <v>46134</v>
      </c>
      <c r="K585" s="2">
        <f t="shared" si="19"/>
        <v>46113</v>
      </c>
      <c r="L585" s="1" t="s">
        <v>50</v>
      </c>
      <c r="M585" s="1" t="s">
        <v>48</v>
      </c>
      <c r="N585">
        <v>2025</v>
      </c>
      <c r="O585" s="2"/>
      <c r="P585" t="str">
        <f t="shared" si="18"/>
        <v>172246134</v>
      </c>
    </row>
    <row r="586" spans="1:16" x14ac:dyDescent="0.3">
      <c r="A586">
        <v>1722</v>
      </c>
      <c r="B586">
        <v>29</v>
      </c>
      <c r="C586" t="s">
        <v>15</v>
      </c>
      <c r="D586" t="s">
        <v>16</v>
      </c>
      <c r="E586" t="s">
        <v>17</v>
      </c>
      <c r="F586" t="s">
        <v>18</v>
      </c>
      <c r="G586" t="s">
        <v>41</v>
      </c>
      <c r="H586" t="s">
        <v>25</v>
      </c>
      <c r="I586" s="1">
        <v>3</v>
      </c>
      <c r="J586" s="2">
        <v>46101</v>
      </c>
      <c r="K586" s="2">
        <f t="shared" si="19"/>
        <v>46082</v>
      </c>
      <c r="L586" s="1" t="s">
        <v>54</v>
      </c>
      <c r="M586" s="1" t="s">
        <v>49</v>
      </c>
      <c r="N586">
        <v>2025</v>
      </c>
      <c r="O586" s="2"/>
      <c r="P586" t="str">
        <f t="shared" si="18"/>
        <v>172246101</v>
      </c>
    </row>
    <row r="587" spans="1:16" x14ac:dyDescent="0.3">
      <c r="A587">
        <v>1730</v>
      </c>
      <c r="B587">
        <v>27</v>
      </c>
      <c r="C587" t="s">
        <v>26</v>
      </c>
      <c r="D587" t="s">
        <v>16</v>
      </c>
      <c r="E587" t="s">
        <v>17</v>
      </c>
      <c r="F587" t="s">
        <v>18</v>
      </c>
      <c r="G587" t="s">
        <v>41</v>
      </c>
      <c r="H587" t="s">
        <v>25</v>
      </c>
      <c r="I587" s="1">
        <v>3</v>
      </c>
      <c r="J587" s="2">
        <v>46163</v>
      </c>
      <c r="K587" s="2">
        <f t="shared" si="19"/>
        <v>46143</v>
      </c>
      <c r="L587" s="1" t="str">
        <f>TEXT(J587,"ddd")</f>
        <v>qui</v>
      </c>
      <c r="M587" s="1" t="str">
        <f>TEXT($J587,"mmm")</f>
        <v>mai</v>
      </c>
      <c r="N587">
        <f>YEAR(J587)</f>
        <v>2026</v>
      </c>
      <c r="O587" s="2"/>
      <c r="P587" t="str">
        <f t="shared" si="18"/>
        <v>173046163</v>
      </c>
    </row>
    <row r="588" spans="1:16" x14ac:dyDescent="0.3">
      <c r="A588">
        <v>1730</v>
      </c>
      <c r="B588">
        <v>27</v>
      </c>
      <c r="C588" t="s">
        <v>26</v>
      </c>
      <c r="D588" t="s">
        <v>16</v>
      </c>
      <c r="E588" t="s">
        <v>17</v>
      </c>
      <c r="F588" t="s">
        <v>18</v>
      </c>
      <c r="G588" t="s">
        <v>41</v>
      </c>
      <c r="H588" t="s">
        <v>25</v>
      </c>
      <c r="I588" s="1">
        <v>3</v>
      </c>
      <c r="J588" s="2">
        <v>46135</v>
      </c>
      <c r="K588" s="2">
        <f t="shared" si="19"/>
        <v>46113</v>
      </c>
      <c r="L588" s="1" t="s">
        <v>51</v>
      </c>
      <c r="M588" s="1" t="s">
        <v>49</v>
      </c>
      <c r="N588">
        <v>2025</v>
      </c>
      <c r="O588" s="2"/>
      <c r="P588" t="str">
        <f t="shared" si="18"/>
        <v>173046135</v>
      </c>
    </row>
    <row r="589" spans="1:16" x14ac:dyDescent="0.3">
      <c r="A589">
        <v>1732</v>
      </c>
      <c r="B589">
        <v>23</v>
      </c>
      <c r="C589" t="s">
        <v>26</v>
      </c>
      <c r="D589" t="s">
        <v>16</v>
      </c>
      <c r="E589" t="s">
        <v>17</v>
      </c>
      <c r="F589" t="s">
        <v>21</v>
      </c>
      <c r="G589" t="s">
        <v>41</v>
      </c>
      <c r="H589" t="s">
        <v>25</v>
      </c>
      <c r="I589" s="1">
        <v>1</v>
      </c>
      <c r="J589" s="2">
        <v>46172</v>
      </c>
      <c r="K589" s="2">
        <f t="shared" si="19"/>
        <v>46143</v>
      </c>
      <c r="L589" s="1" t="str">
        <f>TEXT(J589,"ddd")</f>
        <v>sáb</v>
      </c>
      <c r="M589" s="1" t="str">
        <f>TEXT($J589,"mmm")</f>
        <v>mai</v>
      </c>
      <c r="N589">
        <f>YEAR(J589)</f>
        <v>2026</v>
      </c>
      <c r="O589" s="2"/>
      <c r="P589" t="str">
        <f t="shared" si="18"/>
        <v>173246172</v>
      </c>
    </row>
    <row r="590" spans="1:16" x14ac:dyDescent="0.3">
      <c r="A590">
        <v>1732</v>
      </c>
      <c r="B590">
        <v>23</v>
      </c>
      <c r="C590" t="s">
        <v>26</v>
      </c>
      <c r="D590" t="s">
        <v>16</v>
      </c>
      <c r="E590" t="s">
        <v>17</v>
      </c>
      <c r="F590" t="s">
        <v>21</v>
      </c>
      <c r="G590" t="s">
        <v>41</v>
      </c>
      <c r="H590" t="s">
        <v>25</v>
      </c>
      <c r="I590" s="1">
        <v>1</v>
      </c>
      <c r="J590" s="2">
        <v>46137</v>
      </c>
      <c r="K590" s="2">
        <f t="shared" si="19"/>
        <v>46113</v>
      </c>
      <c r="L590" s="1" t="s">
        <v>53</v>
      </c>
      <c r="M590" s="1" t="s">
        <v>49</v>
      </c>
      <c r="N590">
        <v>2025</v>
      </c>
      <c r="O590" s="2"/>
      <c r="P590" t="str">
        <f t="shared" si="18"/>
        <v>173246137</v>
      </c>
    </row>
    <row r="591" spans="1:16" x14ac:dyDescent="0.3">
      <c r="A591">
        <v>1736</v>
      </c>
      <c r="B591">
        <v>21</v>
      </c>
      <c r="C591" t="s">
        <v>26</v>
      </c>
      <c r="D591" t="s">
        <v>16</v>
      </c>
      <c r="E591" t="s">
        <v>17</v>
      </c>
      <c r="F591" t="s">
        <v>18</v>
      </c>
      <c r="G591" t="s">
        <v>41</v>
      </c>
      <c r="H591" t="s">
        <v>25</v>
      </c>
      <c r="I591" s="1">
        <v>1</v>
      </c>
      <c r="J591" s="2">
        <v>46140</v>
      </c>
      <c r="K591" s="2">
        <f t="shared" si="19"/>
        <v>46113</v>
      </c>
      <c r="L591" s="1" t="str">
        <f>TEXT(J591,"ddd")</f>
        <v>ter</v>
      </c>
      <c r="M591" s="1" t="str">
        <f>TEXT($J591,"mmm")</f>
        <v>abr</v>
      </c>
      <c r="N591">
        <f>YEAR(J591)</f>
        <v>2026</v>
      </c>
      <c r="O591" s="2"/>
      <c r="P591" t="str">
        <f t="shared" si="18"/>
        <v>173646140</v>
      </c>
    </row>
    <row r="592" spans="1:16" x14ac:dyDescent="0.3">
      <c r="A592">
        <v>1736</v>
      </c>
      <c r="B592">
        <v>21</v>
      </c>
      <c r="C592" t="s">
        <v>26</v>
      </c>
      <c r="D592" t="s">
        <v>16</v>
      </c>
      <c r="E592" t="s">
        <v>17</v>
      </c>
      <c r="F592" t="s">
        <v>18</v>
      </c>
      <c r="G592" t="s">
        <v>41</v>
      </c>
      <c r="H592" t="s">
        <v>25</v>
      </c>
      <c r="I592" s="1">
        <v>1</v>
      </c>
      <c r="J592" s="2">
        <v>46166</v>
      </c>
      <c r="K592" s="2">
        <f t="shared" si="19"/>
        <v>46143</v>
      </c>
      <c r="L592" s="1" t="str">
        <f>TEXT(J592,"ddd")</f>
        <v>dom</v>
      </c>
      <c r="M592" s="1" t="str">
        <f>TEXT($J592,"mmm")</f>
        <v>mai</v>
      </c>
      <c r="N592">
        <f>YEAR(J592)</f>
        <v>2026</v>
      </c>
      <c r="O592" s="2"/>
      <c r="P592" t="str">
        <f t="shared" si="18"/>
        <v>173646166</v>
      </c>
    </row>
    <row r="593" spans="1:16" x14ac:dyDescent="0.3">
      <c r="A593">
        <v>1736</v>
      </c>
      <c r="B593">
        <v>21</v>
      </c>
      <c r="C593" t="s">
        <v>26</v>
      </c>
      <c r="D593" t="s">
        <v>16</v>
      </c>
      <c r="E593" t="s">
        <v>17</v>
      </c>
      <c r="F593" t="s">
        <v>18</v>
      </c>
      <c r="G593" t="s">
        <v>41</v>
      </c>
      <c r="H593" t="s">
        <v>25</v>
      </c>
      <c r="I593" s="1">
        <v>1</v>
      </c>
      <c r="J593" s="2">
        <v>46162</v>
      </c>
      <c r="K593" s="2">
        <f t="shared" si="19"/>
        <v>46143</v>
      </c>
      <c r="L593" s="1" t="s">
        <v>50</v>
      </c>
      <c r="M593" s="1" t="s">
        <v>49</v>
      </c>
      <c r="N593">
        <v>2025</v>
      </c>
      <c r="O593" s="2"/>
      <c r="P593" t="str">
        <f t="shared" si="18"/>
        <v>173646162</v>
      </c>
    </row>
    <row r="594" spans="1:16" x14ac:dyDescent="0.3">
      <c r="A594">
        <v>1736</v>
      </c>
      <c r="B594">
        <v>21</v>
      </c>
      <c r="C594" t="s">
        <v>26</v>
      </c>
      <c r="D594" t="s">
        <v>16</v>
      </c>
      <c r="E594" t="s">
        <v>17</v>
      </c>
      <c r="F594" t="s">
        <v>18</v>
      </c>
      <c r="G594" t="s">
        <v>41</v>
      </c>
      <c r="H594" t="s">
        <v>25</v>
      </c>
      <c r="I594" s="1">
        <v>1</v>
      </c>
      <c r="J594" s="2">
        <v>46092</v>
      </c>
      <c r="K594" s="2">
        <f t="shared" si="19"/>
        <v>46082</v>
      </c>
      <c r="L594" s="1" t="s">
        <v>54</v>
      </c>
      <c r="M594" s="1" t="s">
        <v>49</v>
      </c>
      <c r="N594">
        <v>2025</v>
      </c>
      <c r="O594" s="2"/>
      <c r="P594" t="str">
        <f t="shared" si="18"/>
        <v>173646092</v>
      </c>
    </row>
    <row r="595" spans="1:16" x14ac:dyDescent="0.3">
      <c r="A595">
        <v>1738</v>
      </c>
      <c r="B595">
        <v>23</v>
      </c>
      <c r="C595" t="s">
        <v>26</v>
      </c>
      <c r="D595" t="s">
        <v>27</v>
      </c>
      <c r="E595" t="s">
        <v>17</v>
      </c>
      <c r="F595" t="s">
        <v>18</v>
      </c>
      <c r="G595" t="s">
        <v>41</v>
      </c>
      <c r="H595" t="s">
        <v>25</v>
      </c>
      <c r="I595" s="1">
        <v>3</v>
      </c>
      <c r="J595" s="2">
        <v>46172</v>
      </c>
      <c r="K595" s="2">
        <f t="shared" si="19"/>
        <v>46143</v>
      </c>
      <c r="L595" s="1" t="str">
        <f>TEXT(J595,"ddd")</f>
        <v>sáb</v>
      </c>
      <c r="M595" s="1" t="str">
        <f>TEXT($J595,"mmm")</f>
        <v>mai</v>
      </c>
      <c r="N595">
        <f>YEAR(J595)</f>
        <v>2026</v>
      </c>
      <c r="O595" s="2"/>
      <c r="P595" t="str">
        <f t="shared" si="18"/>
        <v>173846172</v>
      </c>
    </row>
    <row r="596" spans="1:16" x14ac:dyDescent="0.3">
      <c r="A596">
        <v>1738</v>
      </c>
      <c r="B596">
        <v>23</v>
      </c>
      <c r="C596" t="s">
        <v>26</v>
      </c>
      <c r="D596" t="s">
        <v>27</v>
      </c>
      <c r="E596" t="s">
        <v>17</v>
      </c>
      <c r="F596" t="s">
        <v>18</v>
      </c>
      <c r="G596" t="s">
        <v>41</v>
      </c>
      <c r="H596" t="s">
        <v>25</v>
      </c>
      <c r="I596" s="1">
        <v>3</v>
      </c>
      <c r="J596" s="2">
        <v>46135</v>
      </c>
      <c r="K596" s="2">
        <f t="shared" si="19"/>
        <v>46113</v>
      </c>
      <c r="L596" s="1" t="s">
        <v>53</v>
      </c>
      <c r="M596" s="1" t="s">
        <v>49</v>
      </c>
      <c r="N596">
        <v>2025</v>
      </c>
      <c r="O596" s="2"/>
      <c r="P596" t="str">
        <f t="shared" si="18"/>
        <v>173846135</v>
      </c>
    </row>
    <row r="597" spans="1:16" x14ac:dyDescent="0.3">
      <c r="A597">
        <v>1746</v>
      </c>
      <c r="B597">
        <v>54</v>
      </c>
      <c r="C597" t="s">
        <v>15</v>
      </c>
      <c r="D597" t="s">
        <v>16</v>
      </c>
      <c r="E597" t="s">
        <v>17</v>
      </c>
      <c r="F597" t="s">
        <v>18</v>
      </c>
      <c r="G597" t="s">
        <v>41</v>
      </c>
      <c r="H597" t="s">
        <v>25</v>
      </c>
      <c r="I597" s="1">
        <v>3</v>
      </c>
      <c r="J597" s="2">
        <v>46183</v>
      </c>
      <c r="K597" s="2">
        <f t="shared" si="19"/>
        <v>46174</v>
      </c>
      <c r="L597" s="1" t="str">
        <f>TEXT(J597,"ddd")</f>
        <v>qua</v>
      </c>
      <c r="M597" s="1" t="str">
        <f>TEXT($J597,"mmm")</f>
        <v>jun</v>
      </c>
      <c r="N597">
        <f>YEAR(J597)</f>
        <v>2026</v>
      </c>
      <c r="O597" s="2"/>
      <c r="P597" t="str">
        <f t="shared" si="18"/>
        <v>174646183</v>
      </c>
    </row>
    <row r="598" spans="1:16" x14ac:dyDescent="0.3">
      <c r="A598">
        <v>1746</v>
      </c>
      <c r="B598">
        <v>54</v>
      </c>
      <c r="C598" t="s">
        <v>15</v>
      </c>
      <c r="D598" t="s">
        <v>16</v>
      </c>
      <c r="E598" t="s">
        <v>17</v>
      </c>
      <c r="F598" t="s">
        <v>18</v>
      </c>
      <c r="G598" t="s">
        <v>41</v>
      </c>
      <c r="H598" t="s">
        <v>25</v>
      </c>
      <c r="I598" s="1">
        <v>3</v>
      </c>
      <c r="J598" s="2">
        <v>46150</v>
      </c>
      <c r="K598" s="2">
        <f t="shared" si="19"/>
        <v>46143</v>
      </c>
      <c r="L598" s="1" t="str">
        <f>TEXT(J598,"ddd")</f>
        <v>sex</v>
      </c>
      <c r="M598" s="1" t="str">
        <f>TEXT($J598,"mmm")</f>
        <v>mai</v>
      </c>
      <c r="N598">
        <f>YEAR(J598)</f>
        <v>2026</v>
      </c>
      <c r="O598" s="2"/>
      <c r="P598" t="str">
        <f t="shared" si="18"/>
        <v>174646150</v>
      </c>
    </row>
    <row r="599" spans="1:16" x14ac:dyDescent="0.3">
      <c r="A599">
        <v>1746</v>
      </c>
      <c r="B599">
        <v>54</v>
      </c>
      <c r="C599" t="s">
        <v>15</v>
      </c>
      <c r="D599" t="s">
        <v>16</v>
      </c>
      <c r="E599" t="s">
        <v>17</v>
      </c>
      <c r="F599" t="s">
        <v>18</v>
      </c>
      <c r="G599" t="s">
        <v>41</v>
      </c>
      <c r="H599" t="s">
        <v>25</v>
      </c>
      <c r="I599" s="1">
        <v>3</v>
      </c>
      <c r="J599" s="2">
        <v>46140</v>
      </c>
      <c r="K599" s="2">
        <f t="shared" si="19"/>
        <v>46113</v>
      </c>
      <c r="L599" s="1" t="str">
        <f>TEXT(J599,"ddd")</f>
        <v>ter</v>
      </c>
      <c r="M599" s="1" t="str">
        <f>TEXT($J599,"mmm")</f>
        <v>abr</v>
      </c>
      <c r="N599">
        <f>YEAR(J599)</f>
        <v>2026</v>
      </c>
      <c r="O599" s="2"/>
      <c r="P599" t="str">
        <f t="shared" si="18"/>
        <v>174646140</v>
      </c>
    </row>
    <row r="600" spans="1:16" x14ac:dyDescent="0.3">
      <c r="A600">
        <v>1746</v>
      </c>
      <c r="B600">
        <v>54</v>
      </c>
      <c r="C600" t="s">
        <v>15</v>
      </c>
      <c r="D600" t="s">
        <v>16</v>
      </c>
      <c r="E600" t="s">
        <v>17</v>
      </c>
      <c r="F600" t="s">
        <v>18</v>
      </c>
      <c r="G600" t="s">
        <v>41</v>
      </c>
      <c r="H600" t="s">
        <v>25</v>
      </c>
      <c r="I600" s="1">
        <v>3</v>
      </c>
      <c r="J600" s="2">
        <v>46143</v>
      </c>
      <c r="K600" s="2">
        <f t="shared" si="19"/>
        <v>46143</v>
      </c>
      <c r="L600" s="1" t="s">
        <v>52</v>
      </c>
      <c r="M600" s="1" t="s">
        <v>49</v>
      </c>
      <c r="N600">
        <v>2025</v>
      </c>
      <c r="O600" s="2"/>
      <c r="P600" t="str">
        <f t="shared" si="18"/>
        <v>174646143</v>
      </c>
    </row>
    <row r="601" spans="1:16" x14ac:dyDescent="0.3">
      <c r="A601">
        <v>1746</v>
      </c>
      <c r="B601">
        <v>54</v>
      </c>
      <c r="C601" t="s">
        <v>15</v>
      </c>
      <c r="D601" t="s">
        <v>16</v>
      </c>
      <c r="E601" t="s">
        <v>17</v>
      </c>
      <c r="F601" t="s">
        <v>18</v>
      </c>
      <c r="G601" t="s">
        <v>41</v>
      </c>
      <c r="H601" t="s">
        <v>25</v>
      </c>
      <c r="I601" s="1">
        <v>3</v>
      </c>
      <c r="J601" s="2">
        <v>46137</v>
      </c>
      <c r="K601" s="2">
        <f t="shared" si="19"/>
        <v>46113</v>
      </c>
      <c r="L601" s="1" t="s">
        <v>52</v>
      </c>
      <c r="M601" s="1" t="s">
        <v>49</v>
      </c>
      <c r="N601">
        <v>2025</v>
      </c>
      <c r="O601" s="2"/>
      <c r="P601" t="str">
        <f t="shared" si="18"/>
        <v>174646137</v>
      </c>
    </row>
    <row r="602" spans="1:16" x14ac:dyDescent="0.3">
      <c r="A602">
        <v>1746</v>
      </c>
      <c r="B602">
        <v>54</v>
      </c>
      <c r="C602" t="s">
        <v>15</v>
      </c>
      <c r="D602" t="s">
        <v>16</v>
      </c>
      <c r="E602" t="s">
        <v>17</v>
      </c>
      <c r="F602" t="s">
        <v>18</v>
      </c>
      <c r="G602" t="s">
        <v>41</v>
      </c>
      <c r="H602" t="s">
        <v>25</v>
      </c>
      <c r="I602" s="1">
        <v>3</v>
      </c>
      <c r="J602" s="2">
        <v>46155</v>
      </c>
      <c r="K602" s="2">
        <f t="shared" si="19"/>
        <v>46143</v>
      </c>
      <c r="L602" s="1" t="s">
        <v>50</v>
      </c>
      <c r="M602" s="1" t="s">
        <v>49</v>
      </c>
      <c r="N602">
        <v>2025</v>
      </c>
      <c r="O602" s="2"/>
      <c r="P602" t="str">
        <f t="shared" si="18"/>
        <v>174646155</v>
      </c>
    </row>
    <row r="603" spans="1:16" x14ac:dyDescent="0.3">
      <c r="A603">
        <v>1747</v>
      </c>
      <c r="B603">
        <v>26</v>
      </c>
      <c r="C603" t="s">
        <v>26</v>
      </c>
      <c r="D603" t="s">
        <v>29</v>
      </c>
      <c r="E603" t="s">
        <v>17</v>
      </c>
      <c r="F603" t="s">
        <v>23</v>
      </c>
      <c r="G603" t="s">
        <v>41</v>
      </c>
      <c r="H603" t="s">
        <v>25</v>
      </c>
      <c r="I603" s="1">
        <v>2</v>
      </c>
      <c r="J603" s="2">
        <v>46153</v>
      </c>
      <c r="K603" s="2">
        <f t="shared" si="19"/>
        <v>46143</v>
      </c>
      <c r="L603" s="1" t="str">
        <f>TEXT(J603,"ddd")</f>
        <v>seg</v>
      </c>
      <c r="M603" s="1" t="str">
        <f>TEXT($J603,"mmm")</f>
        <v>mai</v>
      </c>
      <c r="N603">
        <f>YEAR(J603)</f>
        <v>2026</v>
      </c>
      <c r="O603" s="2"/>
      <c r="P603" t="str">
        <f t="shared" si="18"/>
        <v>174746153</v>
      </c>
    </row>
    <row r="604" spans="1:16" x14ac:dyDescent="0.3">
      <c r="A604">
        <v>1747</v>
      </c>
      <c r="B604">
        <v>26</v>
      </c>
      <c r="C604" t="s">
        <v>26</v>
      </c>
      <c r="D604" t="s">
        <v>29</v>
      </c>
      <c r="E604" t="s">
        <v>17</v>
      </c>
      <c r="F604" t="s">
        <v>23</v>
      </c>
      <c r="G604" t="s">
        <v>41</v>
      </c>
      <c r="H604" t="s">
        <v>25</v>
      </c>
      <c r="I604" s="1">
        <v>2</v>
      </c>
      <c r="J604" s="2">
        <v>46155</v>
      </c>
      <c r="K604" s="2">
        <f t="shared" si="19"/>
        <v>46143</v>
      </c>
      <c r="L604" s="1" t="str">
        <f>TEXT(J604,"ddd")</f>
        <v>qua</v>
      </c>
      <c r="M604" s="1" t="str">
        <f>TEXT($J604,"mmm")</f>
        <v>mai</v>
      </c>
      <c r="N604">
        <f>YEAR(J604)</f>
        <v>2026</v>
      </c>
      <c r="O604" s="2"/>
      <c r="P604" t="str">
        <f t="shared" si="18"/>
        <v>174746155</v>
      </c>
    </row>
    <row r="605" spans="1:16" x14ac:dyDescent="0.3">
      <c r="A605">
        <v>1747</v>
      </c>
      <c r="B605">
        <v>26</v>
      </c>
      <c r="C605" t="s">
        <v>26</v>
      </c>
      <c r="D605" t="s">
        <v>29</v>
      </c>
      <c r="E605" t="s">
        <v>17</v>
      </c>
      <c r="F605" t="s">
        <v>23</v>
      </c>
      <c r="G605" t="s">
        <v>41</v>
      </c>
      <c r="H605" t="s">
        <v>25</v>
      </c>
      <c r="I605" s="1">
        <v>2</v>
      </c>
      <c r="J605" s="2">
        <v>46092</v>
      </c>
      <c r="K605" s="2">
        <f t="shared" si="19"/>
        <v>46082</v>
      </c>
      <c r="L605" s="1" t="s">
        <v>55</v>
      </c>
      <c r="M605" s="1" t="s">
        <v>49</v>
      </c>
      <c r="N605">
        <v>2025</v>
      </c>
      <c r="O605" s="2"/>
      <c r="P605" t="str">
        <f t="shared" si="18"/>
        <v>174746092</v>
      </c>
    </row>
    <row r="606" spans="1:16" x14ac:dyDescent="0.3">
      <c r="A606">
        <v>1747</v>
      </c>
      <c r="B606">
        <v>26</v>
      </c>
      <c r="C606" t="s">
        <v>26</v>
      </c>
      <c r="D606" t="s">
        <v>29</v>
      </c>
      <c r="E606" t="s">
        <v>17</v>
      </c>
      <c r="F606" t="s">
        <v>23</v>
      </c>
      <c r="G606" t="s">
        <v>41</v>
      </c>
      <c r="H606" t="s">
        <v>25</v>
      </c>
      <c r="I606" s="1">
        <v>2</v>
      </c>
      <c r="J606" s="2">
        <v>46135</v>
      </c>
      <c r="K606" s="2">
        <f t="shared" si="19"/>
        <v>46113</v>
      </c>
      <c r="L606" s="1" t="s">
        <v>50</v>
      </c>
      <c r="M606" s="1" t="s">
        <v>49</v>
      </c>
      <c r="N606">
        <v>2025</v>
      </c>
      <c r="O606" s="2"/>
      <c r="P606" t="str">
        <f t="shared" si="18"/>
        <v>174746135</v>
      </c>
    </row>
    <row r="607" spans="1:16" x14ac:dyDescent="0.3">
      <c r="A607">
        <v>1754</v>
      </c>
      <c r="B607">
        <v>28</v>
      </c>
      <c r="C607" t="s">
        <v>26</v>
      </c>
      <c r="D607" t="s">
        <v>31</v>
      </c>
      <c r="E607" t="s">
        <v>34</v>
      </c>
      <c r="F607" t="s">
        <v>18</v>
      </c>
      <c r="G607" t="s">
        <v>41</v>
      </c>
      <c r="H607" t="s">
        <v>25</v>
      </c>
      <c r="I607" s="1">
        <v>3</v>
      </c>
      <c r="J607" s="2">
        <v>46123</v>
      </c>
      <c r="K607" s="2">
        <f t="shared" si="19"/>
        <v>46113</v>
      </c>
      <c r="L607" s="1" t="str">
        <f>TEXT(J607,"ddd")</f>
        <v>sáb</v>
      </c>
      <c r="M607" s="1" t="str">
        <f>TEXT($J607,"mmm")</f>
        <v>abr</v>
      </c>
      <c r="N607">
        <f>YEAR(J607)</f>
        <v>2026</v>
      </c>
      <c r="O607" s="2"/>
      <c r="P607" t="str">
        <f t="shared" si="18"/>
        <v>175446123</v>
      </c>
    </row>
    <row r="608" spans="1:16" x14ac:dyDescent="0.3">
      <c r="A608">
        <v>1754</v>
      </c>
      <c r="B608">
        <v>28</v>
      </c>
      <c r="C608" t="s">
        <v>26</v>
      </c>
      <c r="D608" t="s">
        <v>31</v>
      </c>
      <c r="E608" t="s">
        <v>34</v>
      </c>
      <c r="F608" t="s">
        <v>18</v>
      </c>
      <c r="G608" t="s">
        <v>41</v>
      </c>
      <c r="H608" t="s">
        <v>25</v>
      </c>
      <c r="I608" s="1">
        <v>3</v>
      </c>
      <c r="J608" s="2">
        <v>46092</v>
      </c>
      <c r="K608" s="2">
        <f t="shared" si="19"/>
        <v>46082</v>
      </c>
      <c r="L608" s="1" t="s">
        <v>53</v>
      </c>
      <c r="M608" s="1" t="s">
        <v>48</v>
      </c>
      <c r="N608">
        <v>2025</v>
      </c>
      <c r="O608" s="2"/>
      <c r="P608" t="str">
        <f t="shared" si="18"/>
        <v>175446092</v>
      </c>
    </row>
    <row r="609" spans="1:16" x14ac:dyDescent="0.3">
      <c r="A609">
        <v>1756</v>
      </c>
      <c r="B609">
        <v>41</v>
      </c>
      <c r="C609" t="s">
        <v>26</v>
      </c>
      <c r="D609" t="s">
        <v>29</v>
      </c>
      <c r="E609" t="s">
        <v>17</v>
      </c>
      <c r="F609" t="s">
        <v>18</v>
      </c>
      <c r="G609" t="s">
        <v>41</v>
      </c>
      <c r="H609" t="s">
        <v>25</v>
      </c>
      <c r="I609" s="1">
        <v>3</v>
      </c>
      <c r="J609" s="2">
        <v>46155</v>
      </c>
      <c r="K609" s="2">
        <f t="shared" si="19"/>
        <v>46143</v>
      </c>
      <c r="L609" s="1" t="str">
        <f>TEXT(J609,"ddd")</f>
        <v>qua</v>
      </c>
      <c r="M609" s="1" t="str">
        <f>TEXT($J609,"mmm")</f>
        <v>mai</v>
      </c>
      <c r="N609">
        <f>YEAR(J609)</f>
        <v>2026</v>
      </c>
      <c r="O609" s="2"/>
      <c r="P609" t="str">
        <f t="shared" si="18"/>
        <v>175646155</v>
      </c>
    </row>
    <row r="610" spans="1:16" x14ac:dyDescent="0.3">
      <c r="A610">
        <v>1756</v>
      </c>
      <c r="B610">
        <v>41</v>
      </c>
      <c r="C610" t="s">
        <v>26</v>
      </c>
      <c r="D610" t="s">
        <v>29</v>
      </c>
      <c r="E610" t="s">
        <v>17</v>
      </c>
      <c r="F610" t="s">
        <v>18</v>
      </c>
      <c r="G610" t="s">
        <v>41</v>
      </c>
      <c r="H610" t="s">
        <v>25</v>
      </c>
      <c r="I610" s="1">
        <v>3</v>
      </c>
      <c r="J610" s="2">
        <v>46183</v>
      </c>
      <c r="K610" s="2">
        <f t="shared" si="19"/>
        <v>46174</v>
      </c>
      <c r="L610" s="1" t="str">
        <f>TEXT(J610,"ddd")</f>
        <v>qua</v>
      </c>
      <c r="M610" s="1" t="str">
        <f>TEXT($J610,"mmm")</f>
        <v>jun</v>
      </c>
      <c r="N610">
        <f>YEAR(J610)</f>
        <v>2026</v>
      </c>
      <c r="O610" s="2"/>
      <c r="P610" t="str">
        <f t="shared" si="18"/>
        <v>175646183</v>
      </c>
    </row>
    <row r="611" spans="1:16" x14ac:dyDescent="0.3">
      <c r="A611">
        <v>1756</v>
      </c>
      <c r="B611">
        <v>41</v>
      </c>
      <c r="C611" t="s">
        <v>26</v>
      </c>
      <c r="D611" t="s">
        <v>29</v>
      </c>
      <c r="E611" t="s">
        <v>17</v>
      </c>
      <c r="F611" t="s">
        <v>18</v>
      </c>
      <c r="G611" t="s">
        <v>41</v>
      </c>
      <c r="H611" t="s">
        <v>25</v>
      </c>
      <c r="I611" s="1">
        <v>3</v>
      </c>
      <c r="J611" s="2">
        <v>46137</v>
      </c>
      <c r="K611" s="2">
        <f t="shared" si="19"/>
        <v>46113</v>
      </c>
      <c r="L611" s="1" t="s">
        <v>50</v>
      </c>
      <c r="M611" s="1" t="s">
        <v>49</v>
      </c>
      <c r="N611">
        <v>2025</v>
      </c>
      <c r="O611" s="2"/>
      <c r="P611" t="str">
        <f t="shared" si="18"/>
        <v>175646137</v>
      </c>
    </row>
    <row r="612" spans="1:16" x14ac:dyDescent="0.3">
      <c r="A612">
        <v>1756</v>
      </c>
      <c r="B612">
        <v>41</v>
      </c>
      <c r="C612" t="s">
        <v>26</v>
      </c>
      <c r="D612" t="s">
        <v>29</v>
      </c>
      <c r="E612" t="s">
        <v>17</v>
      </c>
      <c r="F612" t="s">
        <v>18</v>
      </c>
      <c r="G612" t="s">
        <v>41</v>
      </c>
      <c r="H612" t="s">
        <v>25</v>
      </c>
      <c r="I612" s="1">
        <v>3</v>
      </c>
      <c r="J612" s="2">
        <v>46166</v>
      </c>
      <c r="K612" s="2">
        <f t="shared" si="19"/>
        <v>46143</v>
      </c>
      <c r="L612" s="1" t="s">
        <v>54</v>
      </c>
      <c r="M612" s="1" t="s">
        <v>49</v>
      </c>
      <c r="N612">
        <v>2025</v>
      </c>
      <c r="O612" s="2"/>
      <c r="P612" t="str">
        <f t="shared" si="18"/>
        <v>175646166</v>
      </c>
    </row>
    <row r="613" spans="1:16" x14ac:dyDescent="0.3">
      <c r="A613">
        <v>1759</v>
      </c>
      <c r="B613">
        <v>57</v>
      </c>
      <c r="C613" t="s">
        <v>26</v>
      </c>
      <c r="D613" t="s">
        <v>16</v>
      </c>
      <c r="E613" t="s">
        <v>17</v>
      </c>
      <c r="F613" t="s">
        <v>21</v>
      </c>
      <c r="G613" t="s">
        <v>43</v>
      </c>
      <c r="H613" t="s">
        <v>25</v>
      </c>
      <c r="I613" s="1">
        <v>3</v>
      </c>
      <c r="J613" s="2">
        <v>46135</v>
      </c>
      <c r="K613" s="2">
        <f t="shared" si="19"/>
        <v>46113</v>
      </c>
      <c r="L613" s="1" t="str">
        <f>TEXT(J613,"ddd")</f>
        <v>qui</v>
      </c>
      <c r="M613" s="1" t="str">
        <f>TEXT($J613,"mmm")</f>
        <v>abr</v>
      </c>
      <c r="N613">
        <f>YEAR(J613)</f>
        <v>2026</v>
      </c>
      <c r="O613" s="2"/>
      <c r="P613" t="str">
        <f t="shared" si="18"/>
        <v>175946135</v>
      </c>
    </row>
    <row r="614" spans="1:16" x14ac:dyDescent="0.3">
      <c r="A614">
        <v>1759</v>
      </c>
      <c r="B614">
        <v>57</v>
      </c>
      <c r="C614" t="s">
        <v>26</v>
      </c>
      <c r="D614" t="s">
        <v>16</v>
      </c>
      <c r="E614" t="s">
        <v>17</v>
      </c>
      <c r="F614" t="s">
        <v>21</v>
      </c>
      <c r="G614" t="s">
        <v>43</v>
      </c>
      <c r="H614" t="s">
        <v>25</v>
      </c>
      <c r="I614" s="1">
        <v>3</v>
      </c>
      <c r="J614" s="2">
        <v>46169</v>
      </c>
      <c r="K614" s="2">
        <f t="shared" si="19"/>
        <v>46143</v>
      </c>
      <c r="L614" s="1" t="s">
        <v>50</v>
      </c>
      <c r="M614" s="1" t="s">
        <v>49</v>
      </c>
      <c r="N614">
        <v>2025</v>
      </c>
      <c r="O614" s="2"/>
      <c r="P614" t="str">
        <f t="shared" si="18"/>
        <v>175946169</v>
      </c>
    </row>
    <row r="615" spans="1:16" x14ac:dyDescent="0.3">
      <c r="A615">
        <v>1768</v>
      </c>
      <c r="B615">
        <v>44</v>
      </c>
      <c r="C615" t="s">
        <v>26</v>
      </c>
      <c r="D615" t="s">
        <v>27</v>
      </c>
      <c r="E615" t="s">
        <v>17</v>
      </c>
      <c r="F615" t="s">
        <v>23</v>
      </c>
      <c r="G615" t="s">
        <v>41</v>
      </c>
      <c r="H615" t="s">
        <v>25</v>
      </c>
      <c r="I615" s="1">
        <v>2</v>
      </c>
      <c r="J615" s="2">
        <v>46092</v>
      </c>
      <c r="K615" s="2">
        <f t="shared" si="19"/>
        <v>46082</v>
      </c>
      <c r="L615" s="1" t="str">
        <f>TEXT(J615,"ddd")</f>
        <v>qua</v>
      </c>
      <c r="M615" s="1" t="str">
        <f>TEXT($J615,"mmm")</f>
        <v>mar</v>
      </c>
      <c r="N615">
        <f>YEAR(J615)</f>
        <v>2026</v>
      </c>
      <c r="O615" s="2"/>
      <c r="P615" t="str">
        <f t="shared" si="18"/>
        <v>176846092</v>
      </c>
    </row>
    <row r="616" spans="1:16" x14ac:dyDescent="0.3">
      <c r="A616">
        <v>1768</v>
      </c>
      <c r="B616">
        <v>44</v>
      </c>
      <c r="C616" t="s">
        <v>26</v>
      </c>
      <c r="D616" t="s">
        <v>27</v>
      </c>
      <c r="E616" t="s">
        <v>17</v>
      </c>
      <c r="F616" t="s">
        <v>23</v>
      </c>
      <c r="G616" t="s">
        <v>41</v>
      </c>
      <c r="H616" t="s">
        <v>25</v>
      </c>
      <c r="I616" s="1">
        <v>2</v>
      </c>
      <c r="J616" s="2">
        <v>46171</v>
      </c>
      <c r="K616" s="2">
        <f t="shared" si="19"/>
        <v>46143</v>
      </c>
      <c r="L616" s="1" t="s">
        <v>52</v>
      </c>
      <c r="M616" s="1" t="s">
        <v>49</v>
      </c>
      <c r="N616">
        <v>2025</v>
      </c>
      <c r="O616" s="2"/>
      <c r="P616" t="str">
        <f t="shared" si="18"/>
        <v>176846171</v>
      </c>
    </row>
    <row r="617" spans="1:16" x14ac:dyDescent="0.3">
      <c r="A617">
        <v>1770</v>
      </c>
      <c r="B617">
        <v>29</v>
      </c>
      <c r="C617" t="s">
        <v>15</v>
      </c>
      <c r="D617" t="s">
        <v>31</v>
      </c>
      <c r="E617" t="s">
        <v>34</v>
      </c>
      <c r="F617" t="s">
        <v>18</v>
      </c>
      <c r="G617" t="s">
        <v>41</v>
      </c>
      <c r="H617" t="s">
        <v>25</v>
      </c>
      <c r="I617" s="1">
        <v>1</v>
      </c>
      <c r="J617" s="2">
        <v>46140</v>
      </c>
      <c r="K617" s="2">
        <f t="shared" si="19"/>
        <v>46113</v>
      </c>
      <c r="L617" s="1" t="str">
        <f>TEXT(J617,"ddd")</f>
        <v>ter</v>
      </c>
      <c r="M617" s="1" t="str">
        <f>TEXT($J617,"mmm")</f>
        <v>abr</v>
      </c>
      <c r="N617">
        <f>YEAR(J617)</f>
        <v>2026</v>
      </c>
      <c r="O617" s="2"/>
      <c r="P617" t="str">
        <f t="shared" si="18"/>
        <v>177046140</v>
      </c>
    </row>
    <row r="618" spans="1:16" x14ac:dyDescent="0.3">
      <c r="A618">
        <v>1770</v>
      </c>
      <c r="B618">
        <v>29</v>
      </c>
      <c r="C618" t="s">
        <v>15</v>
      </c>
      <c r="D618" t="s">
        <v>31</v>
      </c>
      <c r="E618" t="s">
        <v>34</v>
      </c>
      <c r="F618" t="s">
        <v>18</v>
      </c>
      <c r="G618" t="s">
        <v>41</v>
      </c>
      <c r="H618" t="s">
        <v>25</v>
      </c>
      <c r="I618" s="1">
        <v>1</v>
      </c>
      <c r="J618" s="2">
        <v>46171</v>
      </c>
      <c r="K618" s="2">
        <f t="shared" si="19"/>
        <v>46143</v>
      </c>
      <c r="L618" s="1" t="str">
        <f>TEXT(J618,"ddd")</f>
        <v>sex</v>
      </c>
      <c r="M618" s="1" t="str">
        <f>TEXT($J618,"mmm")</f>
        <v>mai</v>
      </c>
      <c r="N618">
        <f>YEAR(J618)</f>
        <v>2026</v>
      </c>
      <c r="O618" s="2"/>
      <c r="P618" t="str">
        <f t="shared" si="18"/>
        <v>177046171</v>
      </c>
    </row>
    <row r="619" spans="1:16" x14ac:dyDescent="0.3">
      <c r="A619">
        <v>1770</v>
      </c>
      <c r="B619">
        <v>29</v>
      </c>
      <c r="C619" t="s">
        <v>15</v>
      </c>
      <c r="D619" t="s">
        <v>31</v>
      </c>
      <c r="E619" t="s">
        <v>34</v>
      </c>
      <c r="F619" t="s">
        <v>18</v>
      </c>
      <c r="G619" t="s">
        <v>41</v>
      </c>
      <c r="H619" t="s">
        <v>25</v>
      </c>
      <c r="I619" s="1">
        <v>1</v>
      </c>
      <c r="J619" s="2">
        <v>46124</v>
      </c>
      <c r="K619" s="2">
        <f t="shared" si="19"/>
        <v>46113</v>
      </c>
      <c r="L619" s="1" t="s">
        <v>54</v>
      </c>
      <c r="M619" s="1" t="s">
        <v>48</v>
      </c>
      <c r="N619">
        <v>2025</v>
      </c>
      <c r="O619" s="2"/>
      <c r="P619" t="str">
        <f t="shared" si="18"/>
        <v>177046124</v>
      </c>
    </row>
    <row r="620" spans="1:16" x14ac:dyDescent="0.3">
      <c r="A620">
        <v>1770</v>
      </c>
      <c r="B620">
        <v>29</v>
      </c>
      <c r="C620" t="s">
        <v>15</v>
      </c>
      <c r="D620" t="s">
        <v>31</v>
      </c>
      <c r="E620" t="s">
        <v>34</v>
      </c>
      <c r="F620" t="s">
        <v>18</v>
      </c>
      <c r="G620" t="s">
        <v>41</v>
      </c>
      <c r="H620" t="s">
        <v>25</v>
      </c>
      <c r="I620" s="1">
        <v>1</v>
      </c>
      <c r="J620" s="2">
        <v>46135</v>
      </c>
      <c r="K620" s="2">
        <f t="shared" si="19"/>
        <v>46113</v>
      </c>
      <c r="L620" s="1" t="s">
        <v>52</v>
      </c>
      <c r="M620" s="1" t="s">
        <v>49</v>
      </c>
      <c r="N620">
        <v>2025</v>
      </c>
      <c r="O620" s="2"/>
      <c r="P620" t="str">
        <f t="shared" si="18"/>
        <v>177046135</v>
      </c>
    </row>
    <row r="621" spans="1:16" x14ac:dyDescent="0.3">
      <c r="A621">
        <v>1771</v>
      </c>
      <c r="B621">
        <v>52</v>
      </c>
      <c r="C621" t="s">
        <v>26</v>
      </c>
      <c r="D621" t="s">
        <v>22</v>
      </c>
      <c r="E621" t="s">
        <v>17</v>
      </c>
      <c r="F621" t="s">
        <v>23</v>
      </c>
      <c r="G621" t="s">
        <v>43</v>
      </c>
      <c r="H621" t="s">
        <v>25</v>
      </c>
      <c r="I621" s="1">
        <v>3</v>
      </c>
      <c r="J621" s="2">
        <v>46122</v>
      </c>
      <c r="K621" s="2">
        <f t="shared" si="19"/>
        <v>46113</v>
      </c>
      <c r="L621" s="1" t="str">
        <f>TEXT(J621,"ddd")</f>
        <v>sex</v>
      </c>
      <c r="M621" s="1" t="str">
        <f>TEXT($J621,"mmm")</f>
        <v>abr</v>
      </c>
      <c r="N621">
        <f>YEAR(J621)</f>
        <v>2026</v>
      </c>
      <c r="O621" s="2"/>
      <c r="P621" t="str">
        <f t="shared" si="18"/>
        <v>177146122</v>
      </c>
    </row>
    <row r="622" spans="1:16" x14ac:dyDescent="0.3">
      <c r="A622">
        <v>1771</v>
      </c>
      <c r="B622">
        <v>52</v>
      </c>
      <c r="C622" t="s">
        <v>26</v>
      </c>
      <c r="D622" t="s">
        <v>22</v>
      </c>
      <c r="E622" t="s">
        <v>17</v>
      </c>
      <c r="F622" t="s">
        <v>23</v>
      </c>
      <c r="G622" t="s">
        <v>43</v>
      </c>
      <c r="H622" t="s">
        <v>25</v>
      </c>
      <c r="I622" s="1">
        <v>3</v>
      </c>
      <c r="J622" s="2">
        <v>46148</v>
      </c>
      <c r="K622" s="2">
        <f t="shared" si="19"/>
        <v>46143</v>
      </c>
      <c r="L622" s="1" t="s">
        <v>50</v>
      </c>
      <c r="M622" s="1" t="s">
        <v>49</v>
      </c>
      <c r="N622">
        <v>2025</v>
      </c>
      <c r="O622" s="2"/>
      <c r="P622" t="str">
        <f t="shared" si="18"/>
        <v>177146148</v>
      </c>
    </row>
    <row r="623" spans="1:16" x14ac:dyDescent="0.3">
      <c r="A623">
        <v>1774</v>
      </c>
      <c r="B623">
        <v>46</v>
      </c>
      <c r="C623" t="s">
        <v>26</v>
      </c>
      <c r="D623" t="s">
        <v>31</v>
      </c>
      <c r="E623" t="s">
        <v>34</v>
      </c>
      <c r="F623" t="s">
        <v>21</v>
      </c>
      <c r="G623" t="s">
        <v>41</v>
      </c>
      <c r="H623" t="s">
        <v>25</v>
      </c>
      <c r="I623" s="1">
        <v>1</v>
      </c>
      <c r="J623" s="2">
        <v>46126</v>
      </c>
      <c r="K623" s="2">
        <f t="shared" si="19"/>
        <v>46113</v>
      </c>
      <c r="L623" s="1" t="str">
        <f>TEXT(J623,"ddd")</f>
        <v>ter</v>
      </c>
      <c r="M623" s="1" t="str">
        <f>TEXT($J623,"mmm")</f>
        <v>abr</v>
      </c>
      <c r="N623">
        <f>YEAR(J623)</f>
        <v>2026</v>
      </c>
      <c r="O623" s="2"/>
      <c r="P623" t="str">
        <f t="shared" si="18"/>
        <v>177446126</v>
      </c>
    </row>
    <row r="624" spans="1:16" x14ac:dyDescent="0.3">
      <c r="A624">
        <v>1774</v>
      </c>
      <c r="B624">
        <v>46</v>
      </c>
      <c r="C624" t="s">
        <v>26</v>
      </c>
      <c r="D624" t="s">
        <v>31</v>
      </c>
      <c r="E624" t="s">
        <v>34</v>
      </c>
      <c r="F624" t="s">
        <v>21</v>
      </c>
      <c r="G624" t="s">
        <v>41</v>
      </c>
      <c r="H624" t="s">
        <v>25</v>
      </c>
      <c r="I624" s="1">
        <v>1</v>
      </c>
      <c r="J624" s="2">
        <v>46135</v>
      </c>
      <c r="K624" s="2">
        <f t="shared" si="19"/>
        <v>46113</v>
      </c>
      <c r="L624" s="1" t="str">
        <f>TEXT(J624,"ddd")</f>
        <v>qui</v>
      </c>
      <c r="M624" s="1" t="str">
        <f>TEXT($J624,"mmm")</f>
        <v>abr</v>
      </c>
      <c r="N624">
        <f>YEAR(J624)</f>
        <v>2026</v>
      </c>
      <c r="O624" s="2"/>
      <c r="P624" t="str">
        <f t="shared" si="18"/>
        <v>177446135</v>
      </c>
    </row>
    <row r="625" spans="1:16" x14ac:dyDescent="0.3">
      <c r="A625">
        <v>1774</v>
      </c>
      <c r="B625">
        <v>46</v>
      </c>
      <c r="C625" t="s">
        <v>26</v>
      </c>
      <c r="D625" t="s">
        <v>31</v>
      </c>
      <c r="E625" t="s">
        <v>34</v>
      </c>
      <c r="F625" t="s">
        <v>21</v>
      </c>
      <c r="G625" t="s">
        <v>41</v>
      </c>
      <c r="H625" t="s">
        <v>25</v>
      </c>
      <c r="I625" s="1">
        <v>1</v>
      </c>
      <c r="J625" s="2">
        <v>46092</v>
      </c>
      <c r="K625" s="2">
        <f t="shared" si="19"/>
        <v>46082</v>
      </c>
      <c r="L625" s="1" t="s">
        <v>56</v>
      </c>
      <c r="M625" s="1" t="s">
        <v>48</v>
      </c>
      <c r="N625">
        <v>2025</v>
      </c>
      <c r="O625" s="2"/>
      <c r="P625" t="str">
        <f t="shared" si="18"/>
        <v>177446092</v>
      </c>
    </row>
    <row r="626" spans="1:16" x14ac:dyDescent="0.3">
      <c r="A626">
        <v>1774</v>
      </c>
      <c r="B626">
        <v>46</v>
      </c>
      <c r="C626" t="s">
        <v>26</v>
      </c>
      <c r="D626" t="s">
        <v>31</v>
      </c>
      <c r="E626" t="s">
        <v>34</v>
      </c>
      <c r="F626" t="s">
        <v>21</v>
      </c>
      <c r="G626" t="s">
        <v>41</v>
      </c>
      <c r="H626" t="s">
        <v>25</v>
      </c>
      <c r="I626" s="1">
        <v>1</v>
      </c>
      <c r="J626" s="2">
        <v>46155</v>
      </c>
      <c r="K626" s="2">
        <f t="shared" si="19"/>
        <v>46143</v>
      </c>
      <c r="L626" s="1" t="s">
        <v>50</v>
      </c>
      <c r="M626" s="1" t="s">
        <v>49</v>
      </c>
      <c r="N626">
        <v>2025</v>
      </c>
      <c r="O626" s="2"/>
      <c r="P626" t="str">
        <f t="shared" si="18"/>
        <v>177446155</v>
      </c>
    </row>
    <row r="627" spans="1:16" x14ac:dyDescent="0.3">
      <c r="A627">
        <v>1778</v>
      </c>
      <c r="B627">
        <v>27</v>
      </c>
      <c r="C627" t="s">
        <v>15</v>
      </c>
      <c r="D627" t="s">
        <v>16</v>
      </c>
      <c r="E627" t="s">
        <v>17</v>
      </c>
      <c r="F627" t="s">
        <v>21</v>
      </c>
      <c r="G627" t="s">
        <v>41</v>
      </c>
      <c r="H627" t="s">
        <v>25</v>
      </c>
      <c r="I627" s="1">
        <v>2</v>
      </c>
      <c r="J627" s="2">
        <v>46183</v>
      </c>
      <c r="K627" s="2">
        <f t="shared" si="19"/>
        <v>46174</v>
      </c>
      <c r="L627" s="1" t="str">
        <f>TEXT(J627,"ddd")</f>
        <v>qua</v>
      </c>
      <c r="M627" s="1" t="str">
        <f>TEXT($J627,"mmm")</f>
        <v>jun</v>
      </c>
      <c r="N627">
        <f>YEAR(J627)</f>
        <v>2026</v>
      </c>
      <c r="O627" s="2"/>
      <c r="P627" t="str">
        <f t="shared" si="18"/>
        <v>177846183</v>
      </c>
    </row>
    <row r="628" spans="1:16" x14ac:dyDescent="0.3">
      <c r="A628">
        <v>1778</v>
      </c>
      <c r="B628">
        <v>27</v>
      </c>
      <c r="C628" t="s">
        <v>15</v>
      </c>
      <c r="D628" t="s">
        <v>16</v>
      </c>
      <c r="E628" t="s">
        <v>17</v>
      </c>
      <c r="F628" t="s">
        <v>21</v>
      </c>
      <c r="G628" t="s">
        <v>41</v>
      </c>
      <c r="H628" t="s">
        <v>25</v>
      </c>
      <c r="I628" s="1">
        <v>2</v>
      </c>
      <c r="J628" s="2">
        <v>46155</v>
      </c>
      <c r="K628" s="2">
        <f t="shared" si="19"/>
        <v>46143</v>
      </c>
      <c r="L628" s="1" t="s">
        <v>50</v>
      </c>
      <c r="M628" s="1" t="s">
        <v>49</v>
      </c>
      <c r="N628">
        <v>2025</v>
      </c>
      <c r="O628" s="2"/>
      <c r="P628" t="str">
        <f t="shared" si="18"/>
        <v>177846155</v>
      </c>
    </row>
    <row r="629" spans="1:16" x14ac:dyDescent="0.3">
      <c r="A629">
        <v>1791</v>
      </c>
      <c r="B629">
        <v>30</v>
      </c>
      <c r="C629" t="s">
        <v>15</v>
      </c>
      <c r="D629" t="s">
        <v>27</v>
      </c>
      <c r="E629" t="s">
        <v>17</v>
      </c>
      <c r="F629" t="s">
        <v>18</v>
      </c>
      <c r="G629" t="s">
        <v>41</v>
      </c>
      <c r="H629" t="s">
        <v>25</v>
      </c>
      <c r="I629" s="1">
        <v>2</v>
      </c>
      <c r="J629" s="2">
        <v>46122</v>
      </c>
      <c r="K629" s="2">
        <f t="shared" si="19"/>
        <v>46113</v>
      </c>
      <c r="L629" s="1" t="str">
        <f>TEXT(J629,"ddd")</f>
        <v>sex</v>
      </c>
      <c r="M629" s="1" t="str">
        <f>TEXT($J629,"mmm")</f>
        <v>abr</v>
      </c>
      <c r="N629">
        <f>YEAR(J629)</f>
        <v>2026</v>
      </c>
      <c r="O629" s="2"/>
      <c r="P629" t="str">
        <f t="shared" si="18"/>
        <v>179146122</v>
      </c>
    </row>
    <row r="630" spans="1:16" x14ac:dyDescent="0.3">
      <c r="A630">
        <v>1791</v>
      </c>
      <c r="B630">
        <v>30</v>
      </c>
      <c r="C630" t="s">
        <v>15</v>
      </c>
      <c r="D630" t="s">
        <v>27</v>
      </c>
      <c r="E630" t="s">
        <v>17</v>
      </c>
      <c r="F630" t="s">
        <v>18</v>
      </c>
      <c r="G630" t="s">
        <v>41</v>
      </c>
      <c r="H630" t="s">
        <v>25</v>
      </c>
      <c r="I630" s="1">
        <v>2</v>
      </c>
      <c r="J630" s="2">
        <v>46140</v>
      </c>
      <c r="K630" s="2">
        <f t="shared" si="19"/>
        <v>46113</v>
      </c>
      <c r="L630" s="1" t="str">
        <f>TEXT(J630,"ddd")</f>
        <v>ter</v>
      </c>
      <c r="M630" s="1" t="str">
        <f>TEXT($J630,"mmm")</f>
        <v>abr</v>
      </c>
      <c r="N630">
        <f>YEAR(J630)</f>
        <v>2026</v>
      </c>
      <c r="O630" s="2"/>
      <c r="P630" t="str">
        <f t="shared" si="18"/>
        <v>179146140</v>
      </c>
    </row>
    <row r="631" spans="1:16" x14ac:dyDescent="0.3">
      <c r="A631">
        <v>1791</v>
      </c>
      <c r="B631">
        <v>30</v>
      </c>
      <c r="C631" t="s">
        <v>15</v>
      </c>
      <c r="D631" t="s">
        <v>27</v>
      </c>
      <c r="E631" t="s">
        <v>17</v>
      </c>
      <c r="F631" t="s">
        <v>18</v>
      </c>
      <c r="G631" t="s">
        <v>41</v>
      </c>
      <c r="H631" t="s">
        <v>25</v>
      </c>
      <c r="I631" s="1">
        <v>2</v>
      </c>
      <c r="J631" s="2">
        <v>46156</v>
      </c>
      <c r="K631" s="2">
        <f t="shared" si="19"/>
        <v>46143</v>
      </c>
      <c r="L631" s="1" t="s">
        <v>51</v>
      </c>
      <c r="M631" s="1" t="s">
        <v>49</v>
      </c>
      <c r="N631">
        <v>2025</v>
      </c>
      <c r="O631" s="2"/>
      <c r="P631" t="str">
        <f t="shared" si="18"/>
        <v>179146156</v>
      </c>
    </row>
    <row r="632" spans="1:16" x14ac:dyDescent="0.3">
      <c r="A632">
        <v>1791</v>
      </c>
      <c r="B632">
        <v>30</v>
      </c>
      <c r="C632" t="s">
        <v>15</v>
      </c>
      <c r="D632" t="s">
        <v>27</v>
      </c>
      <c r="E632" t="s">
        <v>17</v>
      </c>
      <c r="F632" t="s">
        <v>18</v>
      </c>
      <c r="G632" t="s">
        <v>41</v>
      </c>
      <c r="H632" t="s">
        <v>25</v>
      </c>
      <c r="I632" s="1">
        <v>2</v>
      </c>
      <c r="J632" s="2">
        <v>46169</v>
      </c>
      <c r="K632" s="2">
        <f t="shared" si="19"/>
        <v>46143</v>
      </c>
      <c r="L632" s="1" t="s">
        <v>50</v>
      </c>
      <c r="M632" s="1" t="s">
        <v>49</v>
      </c>
      <c r="N632">
        <v>2025</v>
      </c>
      <c r="O632" s="2"/>
      <c r="P632" t="str">
        <f t="shared" si="18"/>
        <v>179146169</v>
      </c>
    </row>
    <row r="633" spans="1:16" x14ac:dyDescent="0.3">
      <c r="A633">
        <v>1794</v>
      </c>
      <c r="B633">
        <v>30</v>
      </c>
      <c r="C633" t="s">
        <v>26</v>
      </c>
      <c r="D633" t="s">
        <v>16</v>
      </c>
      <c r="E633" t="s">
        <v>17</v>
      </c>
      <c r="F633" t="s">
        <v>21</v>
      </c>
      <c r="G633" t="s">
        <v>41</v>
      </c>
      <c r="H633" t="s">
        <v>25</v>
      </c>
      <c r="I633" s="1">
        <v>3</v>
      </c>
      <c r="J633" s="2">
        <v>46126</v>
      </c>
      <c r="K633" s="2">
        <f t="shared" si="19"/>
        <v>46113</v>
      </c>
      <c r="L633" s="1" t="str">
        <f>TEXT(J633,"ddd")</f>
        <v>ter</v>
      </c>
      <c r="M633" s="1" t="str">
        <f>TEXT($J633,"mmm")</f>
        <v>abr</v>
      </c>
      <c r="N633">
        <f>YEAR(J633)</f>
        <v>2026</v>
      </c>
      <c r="O633" s="2"/>
      <c r="P633" t="str">
        <f t="shared" si="18"/>
        <v>179446126</v>
      </c>
    </row>
    <row r="634" spans="1:16" x14ac:dyDescent="0.3">
      <c r="A634">
        <v>1794</v>
      </c>
      <c r="B634">
        <v>30</v>
      </c>
      <c r="C634" t="s">
        <v>26</v>
      </c>
      <c r="D634" t="s">
        <v>16</v>
      </c>
      <c r="E634" t="s">
        <v>17</v>
      </c>
      <c r="F634" t="s">
        <v>21</v>
      </c>
      <c r="G634" t="s">
        <v>41</v>
      </c>
      <c r="H634" t="s">
        <v>25</v>
      </c>
      <c r="I634" s="1">
        <v>3</v>
      </c>
      <c r="J634" s="2">
        <v>46032</v>
      </c>
      <c r="K634" s="2">
        <f t="shared" si="19"/>
        <v>46023</v>
      </c>
      <c r="L634" s="1" t="s">
        <v>56</v>
      </c>
      <c r="M634" s="1" t="s">
        <v>48</v>
      </c>
      <c r="N634">
        <v>2025</v>
      </c>
      <c r="O634" s="2"/>
      <c r="P634" t="str">
        <f t="shared" si="18"/>
        <v>179446032</v>
      </c>
    </row>
    <row r="635" spans="1:16" x14ac:dyDescent="0.3">
      <c r="A635">
        <v>1796</v>
      </c>
      <c r="B635">
        <v>22</v>
      </c>
      <c r="C635" t="s">
        <v>15</v>
      </c>
      <c r="D635" t="s">
        <v>22</v>
      </c>
      <c r="E635" t="s">
        <v>17</v>
      </c>
      <c r="F635" t="s">
        <v>18</v>
      </c>
      <c r="G635" t="s">
        <v>41</v>
      </c>
      <c r="H635" t="s">
        <v>25</v>
      </c>
      <c r="I635" s="1">
        <v>2</v>
      </c>
      <c r="J635" s="2">
        <v>46136</v>
      </c>
      <c r="K635" s="2">
        <f t="shared" si="19"/>
        <v>46113</v>
      </c>
      <c r="L635" s="1" t="str">
        <f>TEXT(J635,"ddd")</f>
        <v>sex</v>
      </c>
      <c r="M635" s="1" t="str">
        <f>TEXT($J635,"mmm")</f>
        <v>abr</v>
      </c>
      <c r="N635">
        <f>YEAR(J635)</f>
        <v>2026</v>
      </c>
      <c r="O635" s="2"/>
      <c r="P635" t="str">
        <f t="shared" si="18"/>
        <v>179646136</v>
      </c>
    </row>
    <row r="636" spans="1:16" x14ac:dyDescent="0.3">
      <c r="A636">
        <v>1796</v>
      </c>
      <c r="B636">
        <v>22</v>
      </c>
      <c r="C636" t="s">
        <v>15</v>
      </c>
      <c r="D636" t="s">
        <v>22</v>
      </c>
      <c r="E636" t="s">
        <v>17</v>
      </c>
      <c r="F636" t="s">
        <v>18</v>
      </c>
      <c r="G636" t="s">
        <v>41</v>
      </c>
      <c r="H636" t="s">
        <v>25</v>
      </c>
      <c r="I636" s="1">
        <v>2</v>
      </c>
      <c r="J636" s="2">
        <v>46157</v>
      </c>
      <c r="K636" s="2">
        <f t="shared" si="19"/>
        <v>46143</v>
      </c>
      <c r="L636" s="1" t="str">
        <f>TEXT(J636,"ddd")</f>
        <v>sex</v>
      </c>
      <c r="M636" s="1" t="str">
        <f>TEXT($J636,"mmm")</f>
        <v>mai</v>
      </c>
      <c r="N636">
        <f>YEAR(J636)</f>
        <v>2026</v>
      </c>
      <c r="O636" s="2"/>
      <c r="P636" t="str">
        <f t="shared" si="18"/>
        <v>179646157</v>
      </c>
    </row>
    <row r="637" spans="1:16" x14ac:dyDescent="0.3">
      <c r="A637">
        <v>1796</v>
      </c>
      <c r="B637">
        <v>22</v>
      </c>
      <c r="C637" t="s">
        <v>15</v>
      </c>
      <c r="D637" t="s">
        <v>22</v>
      </c>
      <c r="E637" t="s">
        <v>17</v>
      </c>
      <c r="F637" t="s">
        <v>18</v>
      </c>
      <c r="G637" t="s">
        <v>41</v>
      </c>
      <c r="H637" t="s">
        <v>25</v>
      </c>
      <c r="I637" s="1">
        <v>2</v>
      </c>
      <c r="J637" s="2">
        <v>46140</v>
      </c>
      <c r="K637" s="2">
        <f t="shared" si="19"/>
        <v>46113</v>
      </c>
      <c r="L637" s="1" t="s">
        <v>52</v>
      </c>
      <c r="M637" s="1" t="s">
        <v>48</v>
      </c>
      <c r="N637">
        <v>2025</v>
      </c>
      <c r="O637" s="2"/>
      <c r="P637" t="str">
        <f t="shared" si="18"/>
        <v>179646140</v>
      </c>
    </row>
    <row r="638" spans="1:16" x14ac:dyDescent="0.3">
      <c r="A638">
        <v>1796</v>
      </c>
      <c r="B638">
        <v>22</v>
      </c>
      <c r="C638" t="s">
        <v>15</v>
      </c>
      <c r="D638" t="s">
        <v>22</v>
      </c>
      <c r="E638" t="s">
        <v>17</v>
      </c>
      <c r="F638" t="s">
        <v>18</v>
      </c>
      <c r="G638" t="s">
        <v>41</v>
      </c>
      <c r="H638" t="s">
        <v>25</v>
      </c>
      <c r="I638" s="1">
        <v>2</v>
      </c>
      <c r="J638" s="2">
        <v>46166</v>
      </c>
      <c r="K638" s="2">
        <f t="shared" si="19"/>
        <v>46143</v>
      </c>
      <c r="L638" s="1" t="s">
        <v>52</v>
      </c>
      <c r="M638" s="1" t="s">
        <v>49</v>
      </c>
      <c r="N638">
        <v>2025</v>
      </c>
      <c r="O638" s="2"/>
      <c r="P638" t="str">
        <f t="shared" si="18"/>
        <v>179646166</v>
      </c>
    </row>
    <row r="639" spans="1:16" x14ac:dyDescent="0.3">
      <c r="A639">
        <v>1797</v>
      </c>
      <c r="B639">
        <v>57</v>
      </c>
      <c r="C639" t="s">
        <v>26</v>
      </c>
      <c r="D639" t="s">
        <v>27</v>
      </c>
      <c r="E639" t="s">
        <v>17</v>
      </c>
      <c r="F639" t="s">
        <v>23</v>
      </c>
      <c r="G639" t="s">
        <v>41</v>
      </c>
      <c r="H639" t="s">
        <v>25</v>
      </c>
      <c r="I639" s="1">
        <v>1</v>
      </c>
      <c r="J639" s="2">
        <v>46147</v>
      </c>
      <c r="K639" s="2">
        <f t="shared" si="19"/>
        <v>46143</v>
      </c>
      <c r="L639" s="1" t="str">
        <f>TEXT(J639,"ddd")</f>
        <v>ter</v>
      </c>
      <c r="M639" s="1" t="str">
        <f>TEXT($J639,"mmm")</f>
        <v>mai</v>
      </c>
      <c r="N639">
        <f>YEAR(J639)</f>
        <v>2026</v>
      </c>
      <c r="O639" s="2"/>
      <c r="P639" t="str">
        <f t="shared" si="18"/>
        <v>179746147</v>
      </c>
    </row>
    <row r="640" spans="1:16" x14ac:dyDescent="0.3">
      <c r="A640">
        <v>1797</v>
      </c>
      <c r="B640">
        <v>57</v>
      </c>
      <c r="C640" t="s">
        <v>26</v>
      </c>
      <c r="D640" t="s">
        <v>27</v>
      </c>
      <c r="E640" t="s">
        <v>17</v>
      </c>
      <c r="F640" t="s">
        <v>23</v>
      </c>
      <c r="G640" t="s">
        <v>41</v>
      </c>
      <c r="H640" t="s">
        <v>25</v>
      </c>
      <c r="I640" s="1">
        <v>1</v>
      </c>
      <c r="J640" s="2">
        <v>46135</v>
      </c>
      <c r="K640" s="2">
        <f t="shared" si="19"/>
        <v>46113</v>
      </c>
      <c r="L640" s="1" t="s">
        <v>56</v>
      </c>
      <c r="M640" s="1" t="s">
        <v>49</v>
      </c>
      <c r="N640">
        <v>2025</v>
      </c>
      <c r="O640" s="2"/>
      <c r="P640" t="str">
        <f t="shared" si="18"/>
        <v>179746135</v>
      </c>
    </row>
    <row r="641" spans="1:16" x14ac:dyDescent="0.3">
      <c r="A641">
        <v>1803</v>
      </c>
      <c r="B641">
        <v>55</v>
      </c>
      <c r="C641" t="s">
        <v>15</v>
      </c>
      <c r="D641" t="s">
        <v>22</v>
      </c>
      <c r="E641" t="s">
        <v>17</v>
      </c>
      <c r="F641" t="s">
        <v>21</v>
      </c>
      <c r="G641" t="s">
        <v>41</v>
      </c>
      <c r="H641" t="s">
        <v>25</v>
      </c>
      <c r="I641" s="1">
        <v>3</v>
      </c>
      <c r="J641" s="2">
        <v>46122</v>
      </c>
      <c r="K641" s="2">
        <f t="shared" si="19"/>
        <v>46113</v>
      </c>
      <c r="L641" s="1" t="str">
        <f>TEXT(J641,"ddd")</f>
        <v>sex</v>
      </c>
      <c r="M641" s="1" t="str">
        <f>TEXT($J641,"mmm")</f>
        <v>abr</v>
      </c>
      <c r="N641">
        <f>YEAR(J641)</f>
        <v>2026</v>
      </c>
      <c r="O641" s="2"/>
      <c r="P641" t="str">
        <f t="shared" si="18"/>
        <v>180346122</v>
      </c>
    </row>
    <row r="642" spans="1:16" x14ac:dyDescent="0.3">
      <c r="A642">
        <v>1803</v>
      </c>
      <c r="B642">
        <v>55</v>
      </c>
      <c r="C642" t="s">
        <v>15</v>
      </c>
      <c r="D642" t="s">
        <v>22</v>
      </c>
      <c r="E642" t="s">
        <v>17</v>
      </c>
      <c r="F642" t="s">
        <v>21</v>
      </c>
      <c r="G642" t="s">
        <v>41</v>
      </c>
      <c r="H642" t="s">
        <v>25</v>
      </c>
      <c r="I642" s="1">
        <v>3</v>
      </c>
      <c r="J642" s="2">
        <v>46123</v>
      </c>
      <c r="K642" s="2">
        <f t="shared" si="19"/>
        <v>46113</v>
      </c>
      <c r="L642" s="1" t="s">
        <v>53</v>
      </c>
      <c r="M642" s="1" t="s">
        <v>48</v>
      </c>
      <c r="N642">
        <v>2025</v>
      </c>
      <c r="O642" s="2"/>
      <c r="P642" t="str">
        <f t="shared" ref="P642:P704" si="20">CONCATENATE(A642,J642)</f>
        <v>180346123</v>
      </c>
    </row>
    <row r="643" spans="1:16" x14ac:dyDescent="0.3">
      <c r="A643">
        <v>1809</v>
      </c>
      <c r="B643">
        <v>23</v>
      </c>
      <c r="C643" t="s">
        <v>26</v>
      </c>
      <c r="D643" t="s">
        <v>22</v>
      </c>
      <c r="E643" t="s">
        <v>17</v>
      </c>
      <c r="F643" t="s">
        <v>23</v>
      </c>
      <c r="G643" t="s">
        <v>41</v>
      </c>
      <c r="H643" t="s">
        <v>25</v>
      </c>
      <c r="I643" s="1">
        <v>1</v>
      </c>
      <c r="J643" s="2">
        <v>46135</v>
      </c>
      <c r="K643" s="2">
        <f t="shared" ref="K643:K706" si="21">DATE(YEAR(J643),MONTH(J643),1)</f>
        <v>46113</v>
      </c>
      <c r="L643" s="1" t="str">
        <f>TEXT(J643,"ddd")</f>
        <v>qui</v>
      </c>
      <c r="M643" s="1" t="str">
        <f>TEXT($J643,"mmm")</f>
        <v>abr</v>
      </c>
      <c r="N643">
        <f>YEAR(J643)</f>
        <v>2026</v>
      </c>
      <c r="O643" s="2"/>
      <c r="P643" t="str">
        <f t="shared" si="20"/>
        <v>180946135</v>
      </c>
    </row>
    <row r="644" spans="1:16" x14ac:dyDescent="0.3">
      <c r="A644">
        <v>1809</v>
      </c>
      <c r="B644">
        <v>23</v>
      </c>
      <c r="C644" t="s">
        <v>26</v>
      </c>
      <c r="D644" t="s">
        <v>22</v>
      </c>
      <c r="E644" t="s">
        <v>17</v>
      </c>
      <c r="F644" t="s">
        <v>23</v>
      </c>
      <c r="G644" t="s">
        <v>41</v>
      </c>
      <c r="H644" t="s">
        <v>25</v>
      </c>
      <c r="I644" s="1">
        <v>1</v>
      </c>
      <c r="J644" s="2">
        <v>46123</v>
      </c>
      <c r="K644" s="2">
        <f t="shared" si="21"/>
        <v>46113</v>
      </c>
      <c r="L644" s="1" t="s">
        <v>53</v>
      </c>
      <c r="M644" s="1" t="s">
        <v>48</v>
      </c>
      <c r="N644">
        <v>2025</v>
      </c>
      <c r="O644" s="2"/>
      <c r="P644" t="str">
        <f t="shared" si="20"/>
        <v>180946123</v>
      </c>
    </row>
    <row r="645" spans="1:16" x14ac:dyDescent="0.3">
      <c r="A645">
        <v>1810</v>
      </c>
      <c r="B645">
        <v>28</v>
      </c>
      <c r="C645" t="s">
        <v>15</v>
      </c>
      <c r="D645" t="s">
        <v>16</v>
      </c>
      <c r="E645" t="s">
        <v>17</v>
      </c>
      <c r="F645" t="s">
        <v>18</v>
      </c>
      <c r="G645" t="s">
        <v>41</v>
      </c>
      <c r="H645" t="s">
        <v>25</v>
      </c>
      <c r="I645" s="1">
        <v>2</v>
      </c>
      <c r="J645" s="2">
        <v>46140</v>
      </c>
      <c r="K645" s="2">
        <f t="shared" si="21"/>
        <v>46113</v>
      </c>
      <c r="L645" s="1" t="str">
        <f>TEXT(J645,"ddd")</f>
        <v>ter</v>
      </c>
      <c r="M645" s="1" t="str">
        <f>TEXT($J645,"mmm")</f>
        <v>abr</v>
      </c>
      <c r="N645">
        <f>YEAR(J645)</f>
        <v>2026</v>
      </c>
      <c r="O645" s="2"/>
      <c r="P645" t="str">
        <f t="shared" si="20"/>
        <v>181046140</v>
      </c>
    </row>
    <row r="646" spans="1:16" x14ac:dyDescent="0.3">
      <c r="A646">
        <v>1810</v>
      </c>
      <c r="B646">
        <v>28</v>
      </c>
      <c r="C646" t="s">
        <v>15</v>
      </c>
      <c r="D646" t="s">
        <v>16</v>
      </c>
      <c r="E646" t="s">
        <v>17</v>
      </c>
      <c r="F646" t="s">
        <v>18</v>
      </c>
      <c r="G646" t="s">
        <v>41</v>
      </c>
      <c r="H646" t="s">
        <v>25</v>
      </c>
      <c r="I646" s="1">
        <v>2</v>
      </c>
      <c r="J646" s="2">
        <v>46148</v>
      </c>
      <c r="K646" s="2">
        <f t="shared" si="21"/>
        <v>46143</v>
      </c>
      <c r="L646" s="1" t="s">
        <v>50</v>
      </c>
      <c r="M646" s="1" t="s">
        <v>49</v>
      </c>
      <c r="N646">
        <v>2025</v>
      </c>
      <c r="O646" s="2"/>
      <c r="P646" t="str">
        <f t="shared" si="20"/>
        <v>181046148</v>
      </c>
    </row>
    <row r="647" spans="1:16" x14ac:dyDescent="0.3">
      <c r="A647">
        <v>1811</v>
      </c>
      <c r="B647">
        <v>41</v>
      </c>
      <c r="C647" t="s">
        <v>26</v>
      </c>
      <c r="D647" t="s">
        <v>31</v>
      </c>
      <c r="E647" t="s">
        <v>34</v>
      </c>
      <c r="F647" t="s">
        <v>21</v>
      </c>
      <c r="G647" t="s">
        <v>41</v>
      </c>
      <c r="H647" t="s">
        <v>25</v>
      </c>
      <c r="I647" s="1">
        <v>3</v>
      </c>
      <c r="J647" s="2">
        <v>46146</v>
      </c>
      <c r="K647" s="2">
        <f t="shared" si="21"/>
        <v>46143</v>
      </c>
      <c r="L647" s="1" t="str">
        <f>TEXT(J647,"ddd")</f>
        <v>seg</v>
      </c>
      <c r="M647" s="1" t="str">
        <f>TEXT($J647,"mmm")</f>
        <v>mai</v>
      </c>
      <c r="N647">
        <f>YEAR(J647)</f>
        <v>2026</v>
      </c>
      <c r="O647" s="2"/>
      <c r="P647" t="str">
        <f t="shared" si="20"/>
        <v>181146146</v>
      </c>
    </row>
    <row r="648" spans="1:16" x14ac:dyDescent="0.3">
      <c r="A648">
        <v>1811</v>
      </c>
      <c r="B648">
        <v>41</v>
      </c>
      <c r="C648" t="s">
        <v>26</v>
      </c>
      <c r="D648" t="s">
        <v>31</v>
      </c>
      <c r="E648" t="s">
        <v>34</v>
      </c>
      <c r="F648" t="s">
        <v>21</v>
      </c>
      <c r="G648" t="s">
        <v>41</v>
      </c>
      <c r="H648" t="s">
        <v>25</v>
      </c>
      <c r="I648" s="1">
        <v>3</v>
      </c>
      <c r="J648" s="2">
        <v>46135</v>
      </c>
      <c r="K648" s="2">
        <f t="shared" si="21"/>
        <v>46113</v>
      </c>
      <c r="L648" s="1" t="str">
        <f>TEXT(J648,"ddd")</f>
        <v>qui</v>
      </c>
      <c r="M648" s="1" t="str">
        <f>TEXT($J648,"mmm")</f>
        <v>abr</v>
      </c>
      <c r="N648">
        <f>YEAR(J648)</f>
        <v>2026</v>
      </c>
      <c r="O648" s="2"/>
      <c r="P648" t="str">
        <f t="shared" si="20"/>
        <v>181146135</v>
      </c>
    </row>
    <row r="649" spans="1:16" x14ac:dyDescent="0.3">
      <c r="A649">
        <v>1811</v>
      </c>
      <c r="B649">
        <v>41</v>
      </c>
      <c r="C649" t="s">
        <v>26</v>
      </c>
      <c r="D649" t="s">
        <v>31</v>
      </c>
      <c r="E649" t="s">
        <v>34</v>
      </c>
      <c r="F649" t="s">
        <v>21</v>
      </c>
      <c r="G649" t="s">
        <v>41</v>
      </c>
      <c r="H649" t="s">
        <v>25</v>
      </c>
      <c r="I649" s="1">
        <v>3</v>
      </c>
      <c r="J649" s="2">
        <v>46032</v>
      </c>
      <c r="K649" s="2">
        <f t="shared" si="21"/>
        <v>46023</v>
      </c>
      <c r="L649" s="1" t="s">
        <v>55</v>
      </c>
      <c r="M649" s="1" t="s">
        <v>49</v>
      </c>
      <c r="N649">
        <v>2025</v>
      </c>
      <c r="O649" s="2"/>
      <c r="P649" t="str">
        <f t="shared" si="20"/>
        <v>181146032</v>
      </c>
    </row>
    <row r="650" spans="1:16" x14ac:dyDescent="0.3">
      <c r="A650">
        <v>1811</v>
      </c>
      <c r="B650">
        <v>41</v>
      </c>
      <c r="C650" t="s">
        <v>26</v>
      </c>
      <c r="D650" t="s">
        <v>31</v>
      </c>
      <c r="E650" t="s">
        <v>34</v>
      </c>
      <c r="F650" t="s">
        <v>21</v>
      </c>
      <c r="G650" t="s">
        <v>41</v>
      </c>
      <c r="H650" t="s">
        <v>25</v>
      </c>
      <c r="I650" s="1">
        <v>3</v>
      </c>
      <c r="J650" s="2">
        <v>46173</v>
      </c>
      <c r="K650" s="2">
        <f t="shared" si="21"/>
        <v>46143</v>
      </c>
      <c r="L650" s="1" t="s">
        <v>54</v>
      </c>
      <c r="M650" s="1" t="s">
        <v>49</v>
      </c>
      <c r="N650">
        <v>2025</v>
      </c>
      <c r="O650" s="2"/>
      <c r="P650" t="str">
        <f t="shared" si="20"/>
        <v>181146173</v>
      </c>
    </row>
    <row r="651" spans="1:16" x14ac:dyDescent="0.3">
      <c r="A651">
        <v>1821</v>
      </c>
      <c r="B651">
        <v>28</v>
      </c>
      <c r="C651" t="s">
        <v>15</v>
      </c>
      <c r="D651" t="s">
        <v>29</v>
      </c>
      <c r="E651" t="s">
        <v>17</v>
      </c>
      <c r="F651" t="s">
        <v>21</v>
      </c>
      <c r="G651" t="s">
        <v>41</v>
      </c>
      <c r="H651" t="s">
        <v>25</v>
      </c>
      <c r="I651" s="1">
        <v>3</v>
      </c>
      <c r="J651" s="2">
        <v>46128</v>
      </c>
      <c r="K651" s="2">
        <f t="shared" si="21"/>
        <v>46113</v>
      </c>
      <c r="L651" s="1" t="str">
        <f>TEXT(J651,"ddd")</f>
        <v>qui</v>
      </c>
      <c r="M651" s="1" t="str">
        <f>TEXT($J651,"mmm")</f>
        <v>abr</v>
      </c>
      <c r="N651">
        <f>YEAR(J651)</f>
        <v>2026</v>
      </c>
      <c r="O651" s="2"/>
      <c r="P651" t="str">
        <f t="shared" si="20"/>
        <v>182146128</v>
      </c>
    </row>
    <row r="652" spans="1:16" x14ac:dyDescent="0.3">
      <c r="A652">
        <v>1821</v>
      </c>
      <c r="B652">
        <v>28</v>
      </c>
      <c r="C652" t="s">
        <v>15</v>
      </c>
      <c r="D652" t="s">
        <v>29</v>
      </c>
      <c r="E652" t="s">
        <v>17</v>
      </c>
      <c r="F652" t="s">
        <v>21</v>
      </c>
      <c r="G652" t="s">
        <v>41</v>
      </c>
      <c r="H652" t="s">
        <v>25</v>
      </c>
      <c r="I652" s="1">
        <v>3</v>
      </c>
      <c r="J652" s="2">
        <v>46135</v>
      </c>
      <c r="K652" s="2">
        <f t="shared" si="21"/>
        <v>46113</v>
      </c>
      <c r="L652" s="1" t="s">
        <v>51</v>
      </c>
      <c r="M652" s="1" t="s">
        <v>48</v>
      </c>
      <c r="N652">
        <v>2025</v>
      </c>
      <c r="O652" s="2"/>
      <c r="P652" t="str">
        <f t="shared" si="20"/>
        <v>182146135</v>
      </c>
    </row>
    <row r="653" spans="1:16" x14ac:dyDescent="0.3">
      <c r="A653">
        <v>1827</v>
      </c>
      <c r="B653">
        <v>46</v>
      </c>
      <c r="C653" t="s">
        <v>15</v>
      </c>
      <c r="D653" t="s">
        <v>22</v>
      </c>
      <c r="E653" t="s">
        <v>17</v>
      </c>
      <c r="F653" t="s">
        <v>23</v>
      </c>
      <c r="G653" t="s">
        <v>41</v>
      </c>
      <c r="H653" t="s">
        <v>25</v>
      </c>
      <c r="I653" s="1">
        <v>2</v>
      </c>
      <c r="J653" s="2">
        <v>46110</v>
      </c>
      <c r="K653" s="2">
        <f t="shared" si="21"/>
        <v>46082</v>
      </c>
      <c r="L653" s="1" t="str">
        <f>TEXT(J653,"ddd")</f>
        <v>dom</v>
      </c>
      <c r="M653" s="1" t="str">
        <f>TEXT($J653,"mmm")</f>
        <v>mar</v>
      </c>
      <c r="N653">
        <f>YEAR(J653)</f>
        <v>2026</v>
      </c>
      <c r="O653" s="2"/>
      <c r="P653" t="str">
        <f t="shared" si="20"/>
        <v>182746110</v>
      </c>
    </row>
    <row r="654" spans="1:16" x14ac:dyDescent="0.3">
      <c r="A654">
        <v>1827</v>
      </c>
      <c r="B654">
        <v>46</v>
      </c>
      <c r="C654" t="s">
        <v>15</v>
      </c>
      <c r="D654" t="s">
        <v>22</v>
      </c>
      <c r="E654" t="s">
        <v>17</v>
      </c>
      <c r="F654" t="s">
        <v>23</v>
      </c>
      <c r="G654" t="s">
        <v>41</v>
      </c>
      <c r="H654" t="s">
        <v>25</v>
      </c>
      <c r="I654" s="1">
        <v>2</v>
      </c>
      <c r="J654" s="2">
        <v>46147</v>
      </c>
      <c r="K654" s="2">
        <f t="shared" si="21"/>
        <v>46143</v>
      </c>
      <c r="L654" s="1" t="s">
        <v>56</v>
      </c>
      <c r="M654" s="1" t="s">
        <v>49</v>
      </c>
      <c r="N654">
        <v>2025</v>
      </c>
      <c r="O654" s="2"/>
      <c r="P654" t="str">
        <f t="shared" si="20"/>
        <v>182746147</v>
      </c>
    </row>
    <row r="655" spans="1:16" x14ac:dyDescent="0.3">
      <c r="A655">
        <v>1828</v>
      </c>
      <c r="B655">
        <v>49</v>
      </c>
      <c r="C655" t="s">
        <v>26</v>
      </c>
      <c r="D655" t="s">
        <v>27</v>
      </c>
      <c r="E655" t="s">
        <v>17</v>
      </c>
      <c r="F655" t="s">
        <v>18</v>
      </c>
      <c r="G655" t="s">
        <v>41</v>
      </c>
      <c r="H655" t="s">
        <v>25</v>
      </c>
      <c r="I655" s="1">
        <v>1</v>
      </c>
      <c r="J655" s="2">
        <v>46158</v>
      </c>
      <c r="K655" s="2">
        <f t="shared" si="21"/>
        <v>46143</v>
      </c>
      <c r="L655" s="1" t="str">
        <f>TEXT(J655,"ddd")</f>
        <v>sáb</v>
      </c>
      <c r="M655" s="1" t="str">
        <f>TEXT($J655,"mmm")</f>
        <v>mai</v>
      </c>
      <c r="N655">
        <f>YEAR(J655)</f>
        <v>2026</v>
      </c>
      <c r="O655" s="2"/>
      <c r="P655" t="str">
        <f t="shared" si="20"/>
        <v>182846158</v>
      </c>
    </row>
    <row r="656" spans="1:16" x14ac:dyDescent="0.3">
      <c r="A656">
        <v>1828</v>
      </c>
      <c r="B656">
        <v>49</v>
      </c>
      <c r="C656" t="s">
        <v>26</v>
      </c>
      <c r="D656" t="s">
        <v>27</v>
      </c>
      <c r="E656" t="s">
        <v>17</v>
      </c>
      <c r="F656" t="s">
        <v>18</v>
      </c>
      <c r="G656" t="s">
        <v>41</v>
      </c>
      <c r="H656" t="s">
        <v>25</v>
      </c>
      <c r="I656" s="1">
        <v>1</v>
      </c>
      <c r="J656" s="2">
        <v>46173</v>
      </c>
      <c r="K656" s="2">
        <f t="shared" si="21"/>
        <v>46143</v>
      </c>
      <c r="L656" s="1" t="str">
        <f>TEXT(J656,"ddd")</f>
        <v>dom</v>
      </c>
      <c r="M656" s="1" t="str">
        <f>TEXT($J656,"mmm")</f>
        <v>mai</v>
      </c>
      <c r="N656">
        <f>YEAR(J656)</f>
        <v>2026</v>
      </c>
      <c r="O656" s="2"/>
      <c r="P656" t="str">
        <f t="shared" si="20"/>
        <v>182846173</v>
      </c>
    </row>
    <row r="657" spans="1:16" x14ac:dyDescent="0.3">
      <c r="A657">
        <v>1828</v>
      </c>
      <c r="B657">
        <v>49</v>
      </c>
      <c r="C657" t="s">
        <v>26</v>
      </c>
      <c r="D657" t="s">
        <v>27</v>
      </c>
      <c r="E657" t="s">
        <v>17</v>
      </c>
      <c r="F657" t="s">
        <v>18</v>
      </c>
      <c r="G657" t="s">
        <v>41</v>
      </c>
      <c r="H657" t="s">
        <v>25</v>
      </c>
      <c r="I657" s="1">
        <v>1</v>
      </c>
      <c r="J657" s="2">
        <v>46092</v>
      </c>
      <c r="K657" s="2">
        <f t="shared" si="21"/>
        <v>46082</v>
      </c>
      <c r="L657" s="1" t="s">
        <v>53</v>
      </c>
      <c r="M657" s="1" t="s">
        <v>49</v>
      </c>
      <c r="N657">
        <v>2025</v>
      </c>
      <c r="O657" s="2"/>
      <c r="P657" t="str">
        <f t="shared" si="20"/>
        <v>182846092</v>
      </c>
    </row>
    <row r="658" spans="1:16" x14ac:dyDescent="0.3">
      <c r="A658">
        <v>1828</v>
      </c>
      <c r="B658">
        <v>49</v>
      </c>
      <c r="C658" t="s">
        <v>26</v>
      </c>
      <c r="D658" t="s">
        <v>27</v>
      </c>
      <c r="E658" t="s">
        <v>17</v>
      </c>
      <c r="F658" t="s">
        <v>18</v>
      </c>
      <c r="G658" t="s">
        <v>41</v>
      </c>
      <c r="H658" t="s">
        <v>25</v>
      </c>
      <c r="I658" s="1">
        <v>1</v>
      </c>
      <c r="J658" s="2">
        <v>46166</v>
      </c>
      <c r="K658" s="2">
        <f t="shared" si="21"/>
        <v>46143</v>
      </c>
      <c r="L658" s="1" t="s">
        <v>54</v>
      </c>
      <c r="M658" s="1" t="s">
        <v>49</v>
      </c>
      <c r="N658">
        <v>2025</v>
      </c>
      <c r="O658" s="2"/>
      <c r="P658" t="str">
        <f t="shared" si="20"/>
        <v>182846166</v>
      </c>
    </row>
    <row r="659" spans="1:16" x14ac:dyDescent="0.3">
      <c r="A659">
        <v>1832</v>
      </c>
      <c r="B659">
        <v>26</v>
      </c>
      <c r="C659" t="s">
        <v>15</v>
      </c>
      <c r="D659" t="s">
        <v>22</v>
      </c>
      <c r="E659" t="s">
        <v>17</v>
      </c>
      <c r="F659" t="s">
        <v>23</v>
      </c>
      <c r="G659" t="s">
        <v>41</v>
      </c>
      <c r="H659" t="s">
        <v>25</v>
      </c>
      <c r="I659" s="1">
        <v>1</v>
      </c>
      <c r="J659" s="2">
        <v>46150</v>
      </c>
      <c r="K659" s="2">
        <f t="shared" si="21"/>
        <v>46143</v>
      </c>
      <c r="L659" s="1" t="str">
        <f>TEXT(J659,"ddd")</f>
        <v>sex</v>
      </c>
      <c r="M659" s="1" t="str">
        <f>TEXT($J659,"mmm")</f>
        <v>mai</v>
      </c>
      <c r="N659">
        <f>YEAR(J659)</f>
        <v>2026</v>
      </c>
      <c r="O659" s="2"/>
      <c r="P659" t="str">
        <f t="shared" si="20"/>
        <v>183246150</v>
      </c>
    </row>
    <row r="660" spans="1:16" x14ac:dyDescent="0.3">
      <c r="A660">
        <v>1832</v>
      </c>
      <c r="B660">
        <v>26</v>
      </c>
      <c r="C660" t="s">
        <v>15</v>
      </c>
      <c r="D660" t="s">
        <v>22</v>
      </c>
      <c r="E660" t="s">
        <v>17</v>
      </c>
      <c r="F660" t="s">
        <v>23</v>
      </c>
      <c r="G660" t="s">
        <v>41</v>
      </c>
      <c r="H660" t="s">
        <v>25</v>
      </c>
      <c r="I660" s="1">
        <v>1</v>
      </c>
      <c r="J660" s="2">
        <v>46183</v>
      </c>
      <c r="K660" s="2">
        <f t="shared" si="21"/>
        <v>46174</v>
      </c>
      <c r="L660" s="1" t="str">
        <f>TEXT(J660,"ddd")</f>
        <v>qua</v>
      </c>
      <c r="M660" s="1" t="str">
        <f>TEXT($J660,"mmm")</f>
        <v>jun</v>
      </c>
      <c r="N660">
        <f>YEAR(J660)</f>
        <v>2026</v>
      </c>
      <c r="O660" s="2"/>
      <c r="P660" t="str">
        <f t="shared" si="20"/>
        <v>183246183</v>
      </c>
    </row>
    <row r="661" spans="1:16" x14ac:dyDescent="0.3">
      <c r="A661">
        <v>1832</v>
      </c>
      <c r="B661">
        <v>26</v>
      </c>
      <c r="C661" t="s">
        <v>15</v>
      </c>
      <c r="D661" t="s">
        <v>22</v>
      </c>
      <c r="E661" t="s">
        <v>17</v>
      </c>
      <c r="F661" t="s">
        <v>23</v>
      </c>
      <c r="G661" t="s">
        <v>41</v>
      </c>
      <c r="H661" t="s">
        <v>25</v>
      </c>
      <c r="I661" s="1">
        <v>1</v>
      </c>
      <c r="J661" s="2">
        <v>46135</v>
      </c>
      <c r="K661" s="2">
        <f t="shared" si="21"/>
        <v>46113</v>
      </c>
      <c r="L661" s="1" t="s">
        <v>52</v>
      </c>
      <c r="M661" s="1" t="s">
        <v>49</v>
      </c>
      <c r="N661">
        <v>2025</v>
      </c>
      <c r="O661" s="2"/>
      <c r="P661" t="str">
        <f t="shared" si="20"/>
        <v>183246135</v>
      </c>
    </row>
    <row r="662" spans="1:16" x14ac:dyDescent="0.3">
      <c r="A662">
        <v>1832</v>
      </c>
      <c r="B662">
        <v>26</v>
      </c>
      <c r="C662" t="s">
        <v>15</v>
      </c>
      <c r="D662" t="s">
        <v>22</v>
      </c>
      <c r="E662" t="s">
        <v>17</v>
      </c>
      <c r="F662" t="s">
        <v>23</v>
      </c>
      <c r="G662" t="s">
        <v>41</v>
      </c>
      <c r="H662" t="s">
        <v>25</v>
      </c>
      <c r="I662" s="1">
        <v>1</v>
      </c>
      <c r="J662" s="2">
        <v>46168</v>
      </c>
      <c r="K662" s="2">
        <f t="shared" si="21"/>
        <v>46143</v>
      </c>
      <c r="L662" s="1" t="s">
        <v>56</v>
      </c>
      <c r="M662" s="1" t="s">
        <v>49</v>
      </c>
      <c r="N662">
        <v>2025</v>
      </c>
      <c r="O662" s="2"/>
      <c r="P662" t="str">
        <f t="shared" si="20"/>
        <v>183246168</v>
      </c>
    </row>
    <row r="663" spans="1:16" x14ac:dyDescent="0.3">
      <c r="A663">
        <v>1834</v>
      </c>
      <c r="B663">
        <v>33</v>
      </c>
      <c r="C663" t="s">
        <v>26</v>
      </c>
      <c r="D663" t="s">
        <v>29</v>
      </c>
      <c r="E663" t="s">
        <v>17</v>
      </c>
      <c r="F663" t="s">
        <v>21</v>
      </c>
      <c r="G663" t="s">
        <v>41</v>
      </c>
      <c r="H663" t="s">
        <v>25</v>
      </c>
      <c r="I663" s="1">
        <v>1</v>
      </c>
      <c r="J663" s="2">
        <v>46147</v>
      </c>
      <c r="K663" s="2">
        <f t="shared" si="21"/>
        <v>46143</v>
      </c>
      <c r="L663" s="1" t="str">
        <f>TEXT(J663,"ddd")</f>
        <v>ter</v>
      </c>
      <c r="M663" s="1" t="str">
        <f>TEXT($J663,"mmm")</f>
        <v>mai</v>
      </c>
      <c r="N663">
        <f>YEAR(J663)</f>
        <v>2026</v>
      </c>
      <c r="O663" s="2"/>
      <c r="P663" t="str">
        <f t="shared" si="20"/>
        <v>183446147</v>
      </c>
    </row>
    <row r="664" spans="1:16" x14ac:dyDescent="0.3">
      <c r="A664">
        <v>1834</v>
      </c>
      <c r="B664">
        <v>33</v>
      </c>
      <c r="C664" t="s">
        <v>26</v>
      </c>
      <c r="D664" t="s">
        <v>29</v>
      </c>
      <c r="E664" t="s">
        <v>17</v>
      </c>
      <c r="F664" t="s">
        <v>21</v>
      </c>
      <c r="G664" t="s">
        <v>41</v>
      </c>
      <c r="H664" t="s">
        <v>25</v>
      </c>
      <c r="I664" s="1">
        <v>1</v>
      </c>
      <c r="J664" s="2">
        <v>46110</v>
      </c>
      <c r="K664" s="2">
        <f t="shared" si="21"/>
        <v>46082</v>
      </c>
      <c r="L664" s="1" t="s">
        <v>56</v>
      </c>
      <c r="M664" s="1" t="s">
        <v>49</v>
      </c>
      <c r="N664">
        <v>2025</v>
      </c>
      <c r="O664" s="2"/>
      <c r="P664" t="str">
        <f t="shared" si="20"/>
        <v>183446110</v>
      </c>
    </row>
    <row r="665" spans="1:16" x14ac:dyDescent="0.3">
      <c r="A665">
        <v>1840</v>
      </c>
      <c r="B665">
        <v>39</v>
      </c>
      <c r="C665" t="s">
        <v>15</v>
      </c>
      <c r="D665" t="s">
        <v>31</v>
      </c>
      <c r="E665" t="s">
        <v>34</v>
      </c>
      <c r="F665" t="s">
        <v>21</v>
      </c>
      <c r="G665" t="s">
        <v>41</v>
      </c>
      <c r="H665" t="s">
        <v>25</v>
      </c>
      <c r="I665" s="1">
        <v>1</v>
      </c>
      <c r="J665" s="2">
        <v>46135</v>
      </c>
      <c r="K665" s="2">
        <f t="shared" si="21"/>
        <v>46113</v>
      </c>
      <c r="L665" s="1" t="str">
        <f>TEXT(J665,"ddd")</f>
        <v>qui</v>
      </c>
      <c r="M665" s="1" t="str">
        <f>TEXT($J665,"mmm")</f>
        <v>abr</v>
      </c>
      <c r="N665">
        <f>YEAR(J665)</f>
        <v>2026</v>
      </c>
      <c r="O665" s="2"/>
      <c r="P665" t="str">
        <f t="shared" si="20"/>
        <v>184046135</v>
      </c>
    </row>
    <row r="666" spans="1:16" x14ac:dyDescent="0.3">
      <c r="A666">
        <v>1840</v>
      </c>
      <c r="B666">
        <v>39</v>
      </c>
      <c r="C666" t="s">
        <v>15</v>
      </c>
      <c r="D666" t="s">
        <v>31</v>
      </c>
      <c r="E666" t="s">
        <v>34</v>
      </c>
      <c r="F666" t="s">
        <v>21</v>
      </c>
      <c r="G666" t="s">
        <v>41</v>
      </c>
      <c r="H666" t="s">
        <v>25</v>
      </c>
      <c r="I666" s="1">
        <v>1</v>
      </c>
      <c r="J666" s="2">
        <v>46092</v>
      </c>
      <c r="K666" s="2">
        <f t="shared" si="21"/>
        <v>46082</v>
      </c>
      <c r="L666" s="1" t="str">
        <f>TEXT(J666,"ddd")</f>
        <v>qua</v>
      </c>
      <c r="M666" s="1" t="str">
        <f>TEXT($J666,"mmm")</f>
        <v>mar</v>
      </c>
      <c r="N666">
        <f>YEAR(J666)</f>
        <v>2026</v>
      </c>
      <c r="O666" s="2"/>
      <c r="P666" t="str">
        <f t="shared" si="20"/>
        <v>184046092</v>
      </c>
    </row>
    <row r="667" spans="1:16" x14ac:dyDescent="0.3">
      <c r="A667">
        <v>1840</v>
      </c>
      <c r="B667">
        <v>39</v>
      </c>
      <c r="C667" t="s">
        <v>15</v>
      </c>
      <c r="D667" t="s">
        <v>31</v>
      </c>
      <c r="E667" t="s">
        <v>34</v>
      </c>
      <c r="F667" t="s">
        <v>21</v>
      </c>
      <c r="G667" t="s">
        <v>41</v>
      </c>
      <c r="H667" t="s">
        <v>25</v>
      </c>
      <c r="I667" s="1">
        <v>1</v>
      </c>
      <c r="J667" s="2">
        <v>46113</v>
      </c>
      <c r="K667" s="2">
        <f t="shared" si="21"/>
        <v>46113</v>
      </c>
      <c r="L667" s="1" t="s">
        <v>50</v>
      </c>
      <c r="M667" s="1" t="s">
        <v>48</v>
      </c>
      <c r="N667">
        <v>2025</v>
      </c>
      <c r="O667" s="2"/>
      <c r="P667" t="str">
        <f t="shared" si="20"/>
        <v>184046113</v>
      </c>
    </row>
    <row r="668" spans="1:16" x14ac:dyDescent="0.3">
      <c r="A668">
        <v>1840</v>
      </c>
      <c r="B668">
        <v>39</v>
      </c>
      <c r="C668" t="s">
        <v>15</v>
      </c>
      <c r="D668" t="s">
        <v>31</v>
      </c>
      <c r="E668" t="s">
        <v>34</v>
      </c>
      <c r="F668" t="s">
        <v>21</v>
      </c>
      <c r="G668" t="s">
        <v>41</v>
      </c>
      <c r="H668" t="s">
        <v>25</v>
      </c>
      <c r="I668" s="1">
        <v>1</v>
      </c>
      <c r="J668" s="2">
        <v>46124</v>
      </c>
      <c r="K668" s="2">
        <f t="shared" si="21"/>
        <v>46113</v>
      </c>
      <c r="L668" s="1" t="s">
        <v>54</v>
      </c>
      <c r="M668" s="1" t="s">
        <v>48</v>
      </c>
      <c r="N668">
        <v>2025</v>
      </c>
      <c r="O668" s="2"/>
      <c r="P668" t="str">
        <f t="shared" si="20"/>
        <v>184046124</v>
      </c>
    </row>
    <row r="669" spans="1:16" x14ac:dyDescent="0.3">
      <c r="A669">
        <v>1841</v>
      </c>
      <c r="B669">
        <v>37</v>
      </c>
      <c r="C669" t="s">
        <v>15</v>
      </c>
      <c r="D669" t="s">
        <v>29</v>
      </c>
      <c r="E669" t="s">
        <v>17</v>
      </c>
      <c r="F669" t="s">
        <v>23</v>
      </c>
      <c r="G669" t="s">
        <v>41</v>
      </c>
      <c r="H669" t="s">
        <v>25</v>
      </c>
      <c r="I669" s="1">
        <v>1</v>
      </c>
      <c r="J669" s="2">
        <v>46137</v>
      </c>
      <c r="K669" s="2">
        <f t="shared" si="21"/>
        <v>46113</v>
      </c>
      <c r="L669" s="1" t="str">
        <f>TEXT(J669,"ddd")</f>
        <v>sáb</v>
      </c>
      <c r="M669" s="1" t="str">
        <f>TEXT($J669,"mmm")</f>
        <v>abr</v>
      </c>
      <c r="N669">
        <f>YEAR(J669)</f>
        <v>2026</v>
      </c>
      <c r="O669" s="2"/>
      <c r="P669" t="str">
        <f t="shared" si="20"/>
        <v>184146137</v>
      </c>
    </row>
    <row r="670" spans="1:16" x14ac:dyDescent="0.3">
      <c r="A670">
        <v>1841</v>
      </c>
      <c r="B670">
        <v>37</v>
      </c>
      <c r="C670" t="s">
        <v>15</v>
      </c>
      <c r="D670" t="s">
        <v>29</v>
      </c>
      <c r="E670" t="s">
        <v>17</v>
      </c>
      <c r="F670" t="s">
        <v>23</v>
      </c>
      <c r="G670" t="s">
        <v>41</v>
      </c>
      <c r="H670" t="s">
        <v>25</v>
      </c>
      <c r="I670" s="1">
        <v>1</v>
      </c>
      <c r="J670" s="2">
        <v>46166</v>
      </c>
      <c r="K670" s="2">
        <f t="shared" si="21"/>
        <v>46143</v>
      </c>
      <c r="L670" s="1" t="s">
        <v>53</v>
      </c>
      <c r="M670" s="1" t="s">
        <v>48</v>
      </c>
      <c r="N670">
        <v>2025</v>
      </c>
      <c r="O670" s="2"/>
      <c r="P670" t="str">
        <f t="shared" si="20"/>
        <v>184146166</v>
      </c>
    </row>
    <row r="671" spans="1:16" x14ac:dyDescent="0.3">
      <c r="A671">
        <v>1842</v>
      </c>
      <c r="B671">
        <v>58</v>
      </c>
      <c r="C671" t="s">
        <v>15</v>
      </c>
      <c r="D671" t="s">
        <v>31</v>
      </c>
      <c r="E671" t="s">
        <v>34</v>
      </c>
      <c r="F671" t="s">
        <v>23</v>
      </c>
      <c r="G671" t="s">
        <v>41</v>
      </c>
      <c r="H671" t="s">
        <v>25</v>
      </c>
      <c r="I671" s="1">
        <v>2</v>
      </c>
      <c r="J671" s="2">
        <v>46092</v>
      </c>
      <c r="K671" s="2">
        <f t="shared" si="21"/>
        <v>46082</v>
      </c>
      <c r="L671" s="1" t="str">
        <f>TEXT(J671,"ddd")</f>
        <v>qua</v>
      </c>
      <c r="M671" s="1" t="str">
        <f>TEXT($J671,"mmm")</f>
        <v>mar</v>
      </c>
      <c r="N671">
        <f>YEAR(J671)</f>
        <v>2026</v>
      </c>
      <c r="O671" s="2"/>
      <c r="P671" t="str">
        <f t="shared" si="20"/>
        <v>184246092</v>
      </c>
    </row>
    <row r="672" spans="1:16" x14ac:dyDescent="0.3">
      <c r="A672">
        <v>1842</v>
      </c>
      <c r="B672">
        <v>58</v>
      </c>
      <c r="C672" t="s">
        <v>15</v>
      </c>
      <c r="D672" t="s">
        <v>31</v>
      </c>
      <c r="E672" t="s">
        <v>34</v>
      </c>
      <c r="F672" t="s">
        <v>23</v>
      </c>
      <c r="G672" t="s">
        <v>41</v>
      </c>
      <c r="H672" t="s">
        <v>25</v>
      </c>
      <c r="I672" s="1">
        <v>2</v>
      </c>
      <c r="J672" s="2">
        <v>46151</v>
      </c>
      <c r="K672" s="2">
        <f t="shared" si="21"/>
        <v>46143</v>
      </c>
      <c r="L672" s="1" t="s">
        <v>53</v>
      </c>
      <c r="M672" s="1" t="s">
        <v>49</v>
      </c>
      <c r="N672">
        <v>2025</v>
      </c>
      <c r="O672" s="2"/>
      <c r="P672" t="str">
        <f t="shared" si="20"/>
        <v>184246151</v>
      </c>
    </row>
    <row r="673" spans="1:16" x14ac:dyDescent="0.3">
      <c r="A673">
        <v>1845</v>
      </c>
      <c r="B673">
        <v>49</v>
      </c>
      <c r="C673" t="s">
        <v>15</v>
      </c>
      <c r="D673" t="s">
        <v>29</v>
      </c>
      <c r="E673" t="s">
        <v>17</v>
      </c>
      <c r="F673" t="s">
        <v>23</v>
      </c>
      <c r="G673" t="s">
        <v>41</v>
      </c>
      <c r="H673" t="s">
        <v>25</v>
      </c>
      <c r="I673" s="1">
        <v>2</v>
      </c>
      <c r="J673" s="2">
        <v>46135</v>
      </c>
      <c r="K673" s="2">
        <f t="shared" si="21"/>
        <v>46113</v>
      </c>
      <c r="L673" s="1" t="str">
        <f>TEXT(J673,"ddd")</f>
        <v>qui</v>
      </c>
      <c r="M673" s="1" t="str">
        <f>TEXT($J673,"mmm")</f>
        <v>abr</v>
      </c>
      <c r="N673">
        <f>YEAR(J673)</f>
        <v>2026</v>
      </c>
      <c r="O673" s="2"/>
      <c r="P673" t="str">
        <f t="shared" si="20"/>
        <v>184546135</v>
      </c>
    </row>
    <row r="674" spans="1:16" x14ac:dyDescent="0.3">
      <c r="A674">
        <v>1845</v>
      </c>
      <c r="B674">
        <v>49</v>
      </c>
      <c r="C674" t="s">
        <v>15</v>
      </c>
      <c r="D674" t="s">
        <v>29</v>
      </c>
      <c r="E674" t="s">
        <v>17</v>
      </c>
      <c r="F674" t="s">
        <v>23</v>
      </c>
      <c r="G674" t="s">
        <v>41</v>
      </c>
      <c r="H674" t="s">
        <v>25</v>
      </c>
      <c r="I674" s="1">
        <v>2</v>
      </c>
      <c r="J674" s="2">
        <v>46158</v>
      </c>
      <c r="K674" s="2">
        <f t="shared" si="21"/>
        <v>46143</v>
      </c>
      <c r="L674" s="1" t="str">
        <f>TEXT(J674,"ddd")</f>
        <v>sáb</v>
      </c>
      <c r="M674" s="1" t="str">
        <f>TEXT($J674,"mmm")</f>
        <v>mai</v>
      </c>
      <c r="N674">
        <f>YEAR(J674)</f>
        <v>2026</v>
      </c>
      <c r="O674" s="2"/>
      <c r="P674" t="str">
        <f t="shared" si="20"/>
        <v>184546158</v>
      </c>
    </row>
    <row r="675" spans="1:16" x14ac:dyDescent="0.3">
      <c r="A675">
        <v>1845</v>
      </c>
      <c r="B675">
        <v>49</v>
      </c>
      <c r="C675" t="s">
        <v>15</v>
      </c>
      <c r="D675" t="s">
        <v>29</v>
      </c>
      <c r="E675" t="s">
        <v>17</v>
      </c>
      <c r="F675" t="s">
        <v>23</v>
      </c>
      <c r="G675" t="s">
        <v>41</v>
      </c>
      <c r="H675" t="s">
        <v>25</v>
      </c>
      <c r="I675" s="1">
        <v>2</v>
      </c>
      <c r="J675" s="2">
        <v>46132</v>
      </c>
      <c r="K675" s="2">
        <f t="shared" si="21"/>
        <v>46113</v>
      </c>
      <c r="L675" s="1" t="s">
        <v>55</v>
      </c>
      <c r="M675" s="1" t="s">
        <v>48</v>
      </c>
      <c r="N675">
        <v>2025</v>
      </c>
      <c r="O675" s="2"/>
      <c r="P675" t="str">
        <f t="shared" si="20"/>
        <v>184546132</v>
      </c>
    </row>
    <row r="676" spans="1:16" x14ac:dyDescent="0.3">
      <c r="A676">
        <v>1845</v>
      </c>
      <c r="B676">
        <v>49</v>
      </c>
      <c r="C676" t="s">
        <v>15</v>
      </c>
      <c r="D676" t="s">
        <v>29</v>
      </c>
      <c r="E676" t="s">
        <v>17</v>
      </c>
      <c r="F676" t="s">
        <v>23</v>
      </c>
      <c r="G676" t="s">
        <v>41</v>
      </c>
      <c r="H676" t="s">
        <v>25</v>
      </c>
      <c r="I676" s="1">
        <v>2</v>
      </c>
      <c r="J676" s="2">
        <v>46032</v>
      </c>
      <c r="K676" s="2">
        <f t="shared" si="21"/>
        <v>46023</v>
      </c>
      <c r="L676" s="1" t="s">
        <v>53</v>
      </c>
      <c r="M676" s="1" t="s">
        <v>49</v>
      </c>
      <c r="N676">
        <v>2025</v>
      </c>
      <c r="O676" s="2"/>
      <c r="P676" t="str">
        <f t="shared" si="20"/>
        <v>184546032</v>
      </c>
    </row>
    <row r="677" spans="1:16" x14ac:dyDescent="0.3">
      <c r="A677">
        <v>1846</v>
      </c>
      <c r="B677">
        <v>22</v>
      </c>
      <c r="C677" t="s">
        <v>15</v>
      </c>
      <c r="D677" t="s">
        <v>29</v>
      </c>
      <c r="E677" t="s">
        <v>17</v>
      </c>
      <c r="F677" t="s">
        <v>23</v>
      </c>
      <c r="G677" t="s">
        <v>41</v>
      </c>
      <c r="H677" t="s">
        <v>25</v>
      </c>
      <c r="I677" s="1">
        <v>2</v>
      </c>
      <c r="J677" s="2">
        <v>46126</v>
      </c>
      <c r="K677" s="2">
        <f t="shared" si="21"/>
        <v>46113</v>
      </c>
      <c r="L677" s="1" t="str">
        <f>TEXT(J677,"ddd")</f>
        <v>ter</v>
      </c>
      <c r="M677" s="1" t="str">
        <f>TEXT($J677,"mmm")</f>
        <v>abr</v>
      </c>
      <c r="N677">
        <f>YEAR(J677)</f>
        <v>2026</v>
      </c>
      <c r="O677" s="2"/>
      <c r="P677" t="str">
        <f t="shared" si="20"/>
        <v>184646126</v>
      </c>
    </row>
    <row r="678" spans="1:16" x14ac:dyDescent="0.3">
      <c r="A678">
        <v>1846</v>
      </c>
      <c r="B678">
        <v>22</v>
      </c>
      <c r="C678" t="s">
        <v>15</v>
      </c>
      <c r="D678" t="s">
        <v>29</v>
      </c>
      <c r="E678" t="s">
        <v>17</v>
      </c>
      <c r="F678" t="s">
        <v>23</v>
      </c>
      <c r="G678" t="s">
        <v>41</v>
      </c>
      <c r="H678" t="s">
        <v>25</v>
      </c>
      <c r="I678" s="1">
        <v>2</v>
      </c>
      <c r="J678" s="2">
        <v>46166</v>
      </c>
      <c r="K678" s="2">
        <f t="shared" si="21"/>
        <v>46143</v>
      </c>
      <c r="L678" s="1" t="str">
        <f>TEXT(J678,"ddd")</f>
        <v>dom</v>
      </c>
      <c r="M678" s="1" t="str">
        <f>TEXT($J678,"mmm")</f>
        <v>mai</v>
      </c>
      <c r="N678">
        <f>YEAR(J678)</f>
        <v>2026</v>
      </c>
      <c r="O678" s="2"/>
      <c r="P678" t="str">
        <f t="shared" si="20"/>
        <v>184646166</v>
      </c>
    </row>
    <row r="679" spans="1:16" x14ac:dyDescent="0.3">
      <c r="A679">
        <v>1846</v>
      </c>
      <c r="B679">
        <v>22</v>
      </c>
      <c r="C679" t="s">
        <v>15</v>
      </c>
      <c r="D679" t="s">
        <v>29</v>
      </c>
      <c r="E679" t="s">
        <v>17</v>
      </c>
      <c r="F679" t="s">
        <v>23</v>
      </c>
      <c r="G679" t="s">
        <v>41</v>
      </c>
      <c r="H679" t="s">
        <v>25</v>
      </c>
      <c r="I679" s="1">
        <v>2</v>
      </c>
      <c r="J679" s="2">
        <v>46135</v>
      </c>
      <c r="K679" s="2">
        <f t="shared" si="21"/>
        <v>46113</v>
      </c>
      <c r="L679" s="1" t="s">
        <v>56</v>
      </c>
      <c r="M679" s="1" t="s">
        <v>48</v>
      </c>
      <c r="N679">
        <v>2025</v>
      </c>
      <c r="O679" s="2"/>
      <c r="P679" t="str">
        <f t="shared" si="20"/>
        <v>184646135</v>
      </c>
    </row>
    <row r="680" spans="1:16" x14ac:dyDescent="0.3">
      <c r="A680">
        <v>1846</v>
      </c>
      <c r="B680">
        <v>22</v>
      </c>
      <c r="C680" t="s">
        <v>15</v>
      </c>
      <c r="D680" t="s">
        <v>29</v>
      </c>
      <c r="E680" t="s">
        <v>17</v>
      </c>
      <c r="F680" t="s">
        <v>23</v>
      </c>
      <c r="G680" t="s">
        <v>41</v>
      </c>
      <c r="H680" t="s">
        <v>25</v>
      </c>
      <c r="I680" s="1">
        <v>2</v>
      </c>
      <c r="J680" s="2">
        <v>46110</v>
      </c>
      <c r="K680" s="2">
        <f t="shared" si="21"/>
        <v>46082</v>
      </c>
      <c r="L680" s="1" t="s">
        <v>54</v>
      </c>
      <c r="M680" s="1" t="s">
        <v>49</v>
      </c>
      <c r="N680">
        <v>2025</v>
      </c>
      <c r="O680" s="2"/>
      <c r="P680" t="str">
        <f t="shared" si="20"/>
        <v>184646110</v>
      </c>
    </row>
    <row r="681" spans="1:16" x14ac:dyDescent="0.3">
      <c r="A681">
        <v>1847</v>
      </c>
      <c r="B681">
        <v>50</v>
      </c>
      <c r="C681" t="s">
        <v>26</v>
      </c>
      <c r="D681" t="s">
        <v>29</v>
      </c>
      <c r="E681" t="s">
        <v>17</v>
      </c>
      <c r="F681" t="s">
        <v>18</v>
      </c>
      <c r="G681" t="s">
        <v>41</v>
      </c>
      <c r="H681" t="s">
        <v>25</v>
      </c>
      <c r="I681" s="1">
        <v>1</v>
      </c>
      <c r="J681" s="2">
        <v>46171</v>
      </c>
      <c r="K681" s="2">
        <f t="shared" si="21"/>
        <v>46143</v>
      </c>
      <c r="L681" s="1" t="str">
        <f>TEXT(J681,"ddd")</f>
        <v>sex</v>
      </c>
      <c r="M681" s="1" t="str">
        <f>TEXT($J681,"mmm")</f>
        <v>mai</v>
      </c>
      <c r="N681">
        <f>YEAR(J681)</f>
        <v>2026</v>
      </c>
      <c r="O681" s="2"/>
      <c r="P681" t="str">
        <f t="shared" si="20"/>
        <v>184746171</v>
      </c>
    </row>
    <row r="682" spans="1:16" x14ac:dyDescent="0.3">
      <c r="A682">
        <v>1847</v>
      </c>
      <c r="B682">
        <v>50</v>
      </c>
      <c r="C682" t="s">
        <v>26</v>
      </c>
      <c r="D682" t="s">
        <v>29</v>
      </c>
      <c r="E682" t="s">
        <v>17</v>
      </c>
      <c r="F682" t="s">
        <v>18</v>
      </c>
      <c r="G682" t="s">
        <v>41</v>
      </c>
      <c r="H682" t="s">
        <v>25</v>
      </c>
      <c r="I682" s="1">
        <v>1</v>
      </c>
      <c r="J682" s="2">
        <v>46092</v>
      </c>
      <c r="K682" s="2">
        <f t="shared" si="21"/>
        <v>46082</v>
      </c>
      <c r="L682" s="1" t="s">
        <v>52</v>
      </c>
      <c r="M682" s="1" t="s">
        <v>49</v>
      </c>
      <c r="N682">
        <v>2025</v>
      </c>
      <c r="O682" s="2"/>
      <c r="P682" t="str">
        <f t="shared" si="20"/>
        <v>184746092</v>
      </c>
    </row>
    <row r="683" spans="1:16" x14ac:dyDescent="0.3">
      <c r="A683">
        <v>1851</v>
      </c>
      <c r="B683">
        <v>22</v>
      </c>
      <c r="C683" t="s">
        <v>26</v>
      </c>
      <c r="D683" t="s">
        <v>27</v>
      </c>
      <c r="E683" t="s">
        <v>17</v>
      </c>
      <c r="F683" t="s">
        <v>21</v>
      </c>
      <c r="G683" t="s">
        <v>41</v>
      </c>
      <c r="H683" t="s">
        <v>25</v>
      </c>
      <c r="I683" s="1">
        <v>1</v>
      </c>
      <c r="J683" s="2">
        <v>46154</v>
      </c>
      <c r="K683" s="2">
        <f t="shared" si="21"/>
        <v>46143</v>
      </c>
      <c r="L683" s="1" t="str">
        <f>TEXT(J683,"ddd")</f>
        <v>ter</v>
      </c>
      <c r="M683" s="1" t="str">
        <f>TEXT($J683,"mmm")</f>
        <v>mai</v>
      </c>
      <c r="N683">
        <f>YEAR(J683)</f>
        <v>2026</v>
      </c>
      <c r="O683" s="2"/>
      <c r="P683" t="str">
        <f t="shared" si="20"/>
        <v>185146154</v>
      </c>
    </row>
    <row r="684" spans="1:16" x14ac:dyDescent="0.3">
      <c r="A684">
        <v>1851</v>
      </c>
      <c r="B684">
        <v>22</v>
      </c>
      <c r="C684" t="s">
        <v>26</v>
      </c>
      <c r="D684" t="s">
        <v>27</v>
      </c>
      <c r="E684" t="s">
        <v>17</v>
      </c>
      <c r="F684" t="s">
        <v>21</v>
      </c>
      <c r="G684" t="s">
        <v>41</v>
      </c>
      <c r="H684" t="s">
        <v>25</v>
      </c>
      <c r="I684" s="1">
        <v>1</v>
      </c>
      <c r="J684" s="2">
        <v>46032</v>
      </c>
      <c r="K684" s="2">
        <f t="shared" si="21"/>
        <v>46023</v>
      </c>
      <c r="L684" s="1" t="s">
        <v>56</v>
      </c>
      <c r="M684" s="1" t="s">
        <v>49</v>
      </c>
      <c r="N684">
        <v>2025</v>
      </c>
      <c r="O684" s="2"/>
      <c r="P684" t="str">
        <f t="shared" si="20"/>
        <v>185146032</v>
      </c>
    </row>
    <row r="685" spans="1:16" x14ac:dyDescent="0.3">
      <c r="A685">
        <v>1853</v>
      </c>
      <c r="B685">
        <v>41</v>
      </c>
      <c r="C685" t="s">
        <v>26</v>
      </c>
      <c r="D685" t="s">
        <v>31</v>
      </c>
      <c r="E685" t="s">
        <v>32</v>
      </c>
      <c r="F685" t="s">
        <v>23</v>
      </c>
      <c r="G685" t="s">
        <v>41</v>
      </c>
      <c r="H685" t="s">
        <v>25</v>
      </c>
      <c r="I685" s="1">
        <v>1</v>
      </c>
      <c r="J685" s="2">
        <v>46166</v>
      </c>
      <c r="K685" s="2">
        <f t="shared" si="21"/>
        <v>46143</v>
      </c>
      <c r="L685" s="1" t="str">
        <f>TEXT(J685,"ddd")</f>
        <v>dom</v>
      </c>
      <c r="M685" s="1" t="str">
        <f>TEXT($J685,"mmm")</f>
        <v>mai</v>
      </c>
      <c r="N685">
        <f>YEAR(J685)</f>
        <v>2026</v>
      </c>
      <c r="O685" s="2"/>
      <c r="P685" t="str">
        <f t="shared" si="20"/>
        <v>185346166</v>
      </c>
    </row>
    <row r="686" spans="1:16" x14ac:dyDescent="0.3">
      <c r="A686">
        <v>1853</v>
      </c>
      <c r="B686">
        <v>41</v>
      </c>
      <c r="C686" t="s">
        <v>26</v>
      </c>
      <c r="D686" t="s">
        <v>31</v>
      </c>
      <c r="E686" t="s">
        <v>32</v>
      </c>
      <c r="F686" t="s">
        <v>23</v>
      </c>
      <c r="G686" t="s">
        <v>41</v>
      </c>
      <c r="H686" t="s">
        <v>25</v>
      </c>
      <c r="I686" s="1">
        <v>1</v>
      </c>
      <c r="J686" s="2">
        <v>46131</v>
      </c>
      <c r="K686" s="2">
        <f t="shared" si="21"/>
        <v>46113</v>
      </c>
      <c r="L686" s="1" t="str">
        <f>TEXT(J686,"ddd")</f>
        <v>dom</v>
      </c>
      <c r="M686" s="1" t="str">
        <f>TEXT($J686,"mmm")</f>
        <v>abr</v>
      </c>
      <c r="N686">
        <f>YEAR(J686)</f>
        <v>2026</v>
      </c>
      <c r="O686" s="2"/>
      <c r="P686" t="str">
        <f t="shared" si="20"/>
        <v>185346131</v>
      </c>
    </row>
    <row r="687" spans="1:16" x14ac:dyDescent="0.3">
      <c r="A687">
        <v>1853</v>
      </c>
      <c r="B687">
        <v>41</v>
      </c>
      <c r="C687" t="s">
        <v>26</v>
      </c>
      <c r="D687" t="s">
        <v>31</v>
      </c>
      <c r="E687" t="s">
        <v>32</v>
      </c>
      <c r="F687" t="s">
        <v>23</v>
      </c>
      <c r="G687" t="s">
        <v>41</v>
      </c>
      <c r="H687" t="s">
        <v>25</v>
      </c>
      <c r="I687" s="1">
        <v>1</v>
      </c>
      <c r="J687" s="2">
        <v>46129</v>
      </c>
      <c r="K687" s="2">
        <f t="shared" si="21"/>
        <v>46113</v>
      </c>
      <c r="L687" s="1" t="s">
        <v>52</v>
      </c>
      <c r="M687" s="1" t="s">
        <v>48</v>
      </c>
      <c r="N687">
        <v>2025</v>
      </c>
      <c r="O687" s="2"/>
      <c r="P687" t="str">
        <f t="shared" si="20"/>
        <v>185346129</v>
      </c>
    </row>
    <row r="688" spans="1:16" x14ac:dyDescent="0.3">
      <c r="A688">
        <v>1853</v>
      </c>
      <c r="B688">
        <v>41</v>
      </c>
      <c r="C688" t="s">
        <v>26</v>
      </c>
      <c r="D688" t="s">
        <v>31</v>
      </c>
      <c r="E688" t="s">
        <v>32</v>
      </c>
      <c r="F688" t="s">
        <v>23</v>
      </c>
      <c r="G688" t="s">
        <v>41</v>
      </c>
      <c r="H688" t="s">
        <v>25</v>
      </c>
      <c r="I688" s="1">
        <v>1</v>
      </c>
      <c r="J688" s="2">
        <v>46092</v>
      </c>
      <c r="K688" s="2">
        <f t="shared" si="21"/>
        <v>46082</v>
      </c>
      <c r="L688" s="1" t="s">
        <v>54</v>
      </c>
      <c r="M688" s="1" t="s">
        <v>48</v>
      </c>
      <c r="N688">
        <v>2025</v>
      </c>
      <c r="O688" s="2"/>
      <c r="P688" t="str">
        <f t="shared" si="20"/>
        <v>185346092</v>
      </c>
    </row>
    <row r="689" spans="1:16" x14ac:dyDescent="0.3">
      <c r="A689">
        <v>1856</v>
      </c>
      <c r="B689">
        <v>30</v>
      </c>
      <c r="C689" t="s">
        <v>15</v>
      </c>
      <c r="D689" t="s">
        <v>16</v>
      </c>
      <c r="E689" t="s">
        <v>17</v>
      </c>
      <c r="F689" t="s">
        <v>18</v>
      </c>
      <c r="G689" t="s">
        <v>41</v>
      </c>
      <c r="H689" t="s">
        <v>25</v>
      </c>
      <c r="I689" s="1">
        <v>1</v>
      </c>
      <c r="J689" s="2">
        <v>46166</v>
      </c>
      <c r="K689" s="2">
        <f t="shared" si="21"/>
        <v>46143</v>
      </c>
      <c r="L689" s="1" t="str">
        <f>TEXT(J689,"ddd")</f>
        <v>dom</v>
      </c>
      <c r="M689" s="1" t="str">
        <f>TEXT($J689,"mmm")</f>
        <v>mai</v>
      </c>
      <c r="N689">
        <f>YEAR(J689)</f>
        <v>2026</v>
      </c>
      <c r="O689" s="2"/>
      <c r="P689" t="str">
        <f t="shared" si="20"/>
        <v>185646166</v>
      </c>
    </row>
    <row r="690" spans="1:16" x14ac:dyDescent="0.3">
      <c r="A690">
        <v>1861</v>
      </c>
      <c r="B690">
        <v>47</v>
      </c>
      <c r="C690" t="s">
        <v>26</v>
      </c>
      <c r="D690" t="s">
        <v>22</v>
      </c>
      <c r="E690" t="s">
        <v>17</v>
      </c>
      <c r="F690" t="s">
        <v>23</v>
      </c>
      <c r="G690" t="s">
        <v>41</v>
      </c>
      <c r="H690" t="s">
        <v>25</v>
      </c>
      <c r="I690" s="1">
        <v>1</v>
      </c>
      <c r="J690" s="2">
        <v>46126</v>
      </c>
      <c r="K690" s="2">
        <f t="shared" si="21"/>
        <v>46113</v>
      </c>
      <c r="L690" s="1" t="str">
        <f>TEXT(J690,"ddd")</f>
        <v>ter</v>
      </c>
      <c r="M690" s="1" t="str">
        <f>TEXT($J690,"mmm")</f>
        <v>abr</v>
      </c>
      <c r="N690">
        <f>YEAR(J690)</f>
        <v>2026</v>
      </c>
      <c r="O690" s="2"/>
      <c r="P690" t="str">
        <f t="shared" si="20"/>
        <v>186146126</v>
      </c>
    </row>
    <row r="691" spans="1:16" x14ac:dyDescent="0.3">
      <c r="A691">
        <v>1861</v>
      </c>
      <c r="B691">
        <v>47</v>
      </c>
      <c r="C691" t="s">
        <v>26</v>
      </c>
      <c r="D691" t="s">
        <v>22</v>
      </c>
      <c r="E691" t="s">
        <v>17</v>
      </c>
      <c r="F691" t="s">
        <v>23</v>
      </c>
      <c r="G691" t="s">
        <v>41</v>
      </c>
      <c r="H691" t="s">
        <v>25</v>
      </c>
      <c r="I691" s="1">
        <v>1</v>
      </c>
      <c r="J691" s="2">
        <v>46032</v>
      </c>
      <c r="K691" s="2">
        <f t="shared" si="21"/>
        <v>46023</v>
      </c>
      <c r="L691" s="1" t="s">
        <v>56</v>
      </c>
      <c r="M691" s="1" t="s">
        <v>48</v>
      </c>
      <c r="N691">
        <v>2025</v>
      </c>
      <c r="O691" s="2"/>
      <c r="P691" t="str">
        <f t="shared" si="20"/>
        <v>186146032</v>
      </c>
    </row>
    <row r="692" spans="1:16" x14ac:dyDescent="0.3">
      <c r="A692">
        <v>1863</v>
      </c>
      <c r="B692">
        <v>24</v>
      </c>
      <c r="C692" t="s">
        <v>15</v>
      </c>
      <c r="D692" t="s">
        <v>16</v>
      </c>
      <c r="E692" t="s">
        <v>17</v>
      </c>
      <c r="F692" t="s">
        <v>23</v>
      </c>
      <c r="G692" t="s">
        <v>41</v>
      </c>
      <c r="H692" t="s">
        <v>25</v>
      </c>
      <c r="I692" s="1">
        <v>2</v>
      </c>
      <c r="J692" s="2">
        <v>46134</v>
      </c>
      <c r="K692" s="2">
        <f t="shared" si="21"/>
        <v>46113</v>
      </c>
      <c r="L692" s="1" t="str">
        <f>TEXT(J692,"ddd")</f>
        <v>qua</v>
      </c>
      <c r="M692" s="1" t="str">
        <f>TEXT($J692,"mmm")</f>
        <v>abr</v>
      </c>
      <c r="N692">
        <f>YEAR(J692)</f>
        <v>2026</v>
      </c>
      <c r="O692" s="2"/>
      <c r="P692" t="str">
        <f t="shared" si="20"/>
        <v>186346134</v>
      </c>
    </row>
    <row r="693" spans="1:16" x14ac:dyDescent="0.3">
      <c r="A693">
        <v>1863</v>
      </c>
      <c r="B693">
        <v>24</v>
      </c>
      <c r="C693" t="s">
        <v>15</v>
      </c>
      <c r="D693" t="s">
        <v>16</v>
      </c>
      <c r="E693" t="s">
        <v>17</v>
      </c>
      <c r="F693" t="s">
        <v>23</v>
      </c>
      <c r="G693" t="s">
        <v>41</v>
      </c>
      <c r="H693" t="s">
        <v>25</v>
      </c>
      <c r="I693" s="1">
        <v>2</v>
      </c>
      <c r="J693" s="2">
        <v>46110</v>
      </c>
      <c r="K693" s="2">
        <f t="shared" si="21"/>
        <v>46082</v>
      </c>
      <c r="L693" s="1" t="s">
        <v>50</v>
      </c>
      <c r="M693" s="1" t="s">
        <v>48</v>
      </c>
      <c r="N693">
        <v>2025</v>
      </c>
      <c r="O693" s="2"/>
      <c r="P693" t="str">
        <f t="shared" si="20"/>
        <v>186346110</v>
      </c>
    </row>
    <row r="694" spans="1:16" x14ac:dyDescent="0.3">
      <c r="A694">
        <v>1865</v>
      </c>
      <c r="B694">
        <v>21</v>
      </c>
      <c r="C694" t="s">
        <v>15</v>
      </c>
      <c r="D694" t="s">
        <v>31</v>
      </c>
      <c r="E694" t="s">
        <v>34</v>
      </c>
      <c r="F694" t="s">
        <v>21</v>
      </c>
      <c r="G694" t="s">
        <v>41</v>
      </c>
      <c r="H694" t="s">
        <v>25</v>
      </c>
      <c r="I694" s="1">
        <v>2</v>
      </c>
      <c r="J694" s="2">
        <v>46126</v>
      </c>
      <c r="K694" s="2">
        <f t="shared" si="21"/>
        <v>46113</v>
      </c>
      <c r="L694" s="1" t="str">
        <f>TEXT(J694,"ddd")</f>
        <v>ter</v>
      </c>
      <c r="M694" s="1" t="str">
        <f>TEXT($J694,"mmm")</f>
        <v>abr</v>
      </c>
      <c r="N694">
        <f>YEAR(J694)</f>
        <v>2026</v>
      </c>
      <c r="O694" s="2"/>
      <c r="P694" t="str">
        <f t="shared" si="20"/>
        <v>186546126</v>
      </c>
    </row>
    <row r="695" spans="1:16" x14ac:dyDescent="0.3">
      <c r="A695">
        <v>1865</v>
      </c>
      <c r="B695">
        <v>21</v>
      </c>
      <c r="C695" t="s">
        <v>15</v>
      </c>
      <c r="D695" t="s">
        <v>31</v>
      </c>
      <c r="E695" t="s">
        <v>34</v>
      </c>
      <c r="F695" t="s">
        <v>21</v>
      </c>
      <c r="G695" t="s">
        <v>41</v>
      </c>
      <c r="H695" t="s">
        <v>25</v>
      </c>
      <c r="I695" s="1">
        <v>2</v>
      </c>
      <c r="J695" s="2">
        <v>46161</v>
      </c>
      <c r="K695" s="2">
        <f t="shared" si="21"/>
        <v>46143</v>
      </c>
      <c r="L695" s="1" t="str">
        <f>TEXT(J695,"ddd")</f>
        <v>ter</v>
      </c>
      <c r="M695" s="1" t="str">
        <f>TEXT($J695,"mmm")</f>
        <v>mai</v>
      </c>
      <c r="N695">
        <f>YEAR(J695)</f>
        <v>2026</v>
      </c>
      <c r="O695" s="2"/>
      <c r="P695" t="str">
        <f t="shared" si="20"/>
        <v>186546161</v>
      </c>
    </row>
    <row r="696" spans="1:16" x14ac:dyDescent="0.3">
      <c r="A696">
        <v>1865</v>
      </c>
      <c r="B696">
        <v>21</v>
      </c>
      <c r="C696" t="s">
        <v>15</v>
      </c>
      <c r="D696" t="s">
        <v>31</v>
      </c>
      <c r="E696" t="s">
        <v>34</v>
      </c>
      <c r="F696" t="s">
        <v>21</v>
      </c>
      <c r="G696" t="s">
        <v>41</v>
      </c>
      <c r="H696" t="s">
        <v>25</v>
      </c>
      <c r="I696" s="1">
        <v>2</v>
      </c>
      <c r="J696" s="2">
        <v>46110</v>
      </c>
      <c r="K696" s="2">
        <f t="shared" si="21"/>
        <v>46082</v>
      </c>
      <c r="L696" s="1" t="str">
        <f>TEXT(J696,"ddd")</f>
        <v>dom</v>
      </c>
      <c r="M696" s="1" t="str">
        <f>TEXT($J696,"mmm")</f>
        <v>mar</v>
      </c>
      <c r="N696">
        <f>YEAR(J696)</f>
        <v>2026</v>
      </c>
      <c r="O696" s="2"/>
      <c r="P696" t="str">
        <f t="shared" si="20"/>
        <v>186546110</v>
      </c>
    </row>
    <row r="697" spans="1:16" x14ac:dyDescent="0.3">
      <c r="A697">
        <v>1865</v>
      </c>
      <c r="B697">
        <v>21</v>
      </c>
      <c r="C697" t="s">
        <v>15</v>
      </c>
      <c r="D697" t="s">
        <v>31</v>
      </c>
      <c r="E697" t="s">
        <v>34</v>
      </c>
      <c r="F697" t="s">
        <v>21</v>
      </c>
      <c r="G697" t="s">
        <v>41</v>
      </c>
      <c r="H697" t="s">
        <v>25</v>
      </c>
      <c r="I697" s="1">
        <v>2</v>
      </c>
      <c r="J697" s="2">
        <v>46092</v>
      </c>
      <c r="K697" s="2">
        <f t="shared" si="21"/>
        <v>46082</v>
      </c>
      <c r="L697" s="1" t="s">
        <v>56</v>
      </c>
      <c r="M697" s="1" t="s">
        <v>48</v>
      </c>
      <c r="N697">
        <v>2025</v>
      </c>
      <c r="O697" s="2"/>
      <c r="P697" t="str">
        <f t="shared" si="20"/>
        <v>186546092</v>
      </c>
    </row>
    <row r="698" spans="1:16" x14ac:dyDescent="0.3">
      <c r="A698">
        <v>1865</v>
      </c>
      <c r="B698">
        <v>21</v>
      </c>
      <c r="C698" t="s">
        <v>15</v>
      </c>
      <c r="D698" t="s">
        <v>31</v>
      </c>
      <c r="E698" t="s">
        <v>34</v>
      </c>
      <c r="F698" t="s">
        <v>21</v>
      </c>
      <c r="G698" t="s">
        <v>41</v>
      </c>
      <c r="H698" t="s">
        <v>25</v>
      </c>
      <c r="I698" s="1">
        <v>2</v>
      </c>
      <c r="J698" s="2">
        <v>46032</v>
      </c>
      <c r="K698" s="2">
        <f t="shared" si="21"/>
        <v>46023</v>
      </c>
      <c r="L698" s="1" t="s">
        <v>56</v>
      </c>
      <c r="M698" s="1" t="s">
        <v>49</v>
      </c>
      <c r="N698">
        <v>2025</v>
      </c>
      <c r="O698" s="2"/>
      <c r="P698" t="str">
        <f t="shared" si="20"/>
        <v>186546032</v>
      </c>
    </row>
    <row r="699" spans="1:16" x14ac:dyDescent="0.3">
      <c r="A699">
        <v>1865</v>
      </c>
      <c r="B699">
        <v>21</v>
      </c>
      <c r="C699" t="s">
        <v>15</v>
      </c>
      <c r="D699" t="s">
        <v>31</v>
      </c>
      <c r="E699" t="s">
        <v>34</v>
      </c>
      <c r="F699" t="s">
        <v>21</v>
      </c>
      <c r="G699" t="s">
        <v>41</v>
      </c>
      <c r="H699" t="s">
        <v>25</v>
      </c>
      <c r="I699" s="1">
        <v>2</v>
      </c>
      <c r="J699" s="2">
        <v>46164</v>
      </c>
      <c r="K699" s="2">
        <f t="shared" si="21"/>
        <v>46143</v>
      </c>
      <c r="L699" s="1" t="s">
        <v>52</v>
      </c>
      <c r="M699" s="1" t="s">
        <v>49</v>
      </c>
      <c r="N699">
        <v>2025</v>
      </c>
      <c r="O699" s="2"/>
      <c r="P699" t="str">
        <f t="shared" si="20"/>
        <v>186546164</v>
      </c>
    </row>
    <row r="700" spans="1:16" x14ac:dyDescent="0.3">
      <c r="A700">
        <v>1867</v>
      </c>
      <c r="B700">
        <v>42</v>
      </c>
      <c r="C700" t="s">
        <v>15</v>
      </c>
      <c r="D700" t="s">
        <v>29</v>
      </c>
      <c r="E700" t="s">
        <v>17</v>
      </c>
      <c r="F700" t="s">
        <v>21</v>
      </c>
      <c r="G700" t="s">
        <v>41</v>
      </c>
      <c r="H700" t="s">
        <v>25</v>
      </c>
      <c r="I700" s="1">
        <v>3</v>
      </c>
      <c r="J700" s="2">
        <v>46183</v>
      </c>
      <c r="K700" s="2">
        <f t="shared" si="21"/>
        <v>46174</v>
      </c>
      <c r="L700" s="1" t="str">
        <f>TEXT(J700,"ddd")</f>
        <v>qua</v>
      </c>
      <c r="M700" s="1" t="str">
        <f>TEXT($J700,"mmm")</f>
        <v>jun</v>
      </c>
      <c r="N700">
        <f>YEAR(J700)</f>
        <v>2026</v>
      </c>
      <c r="O700" s="2"/>
      <c r="P700" t="str">
        <f t="shared" si="20"/>
        <v>186746183</v>
      </c>
    </row>
    <row r="701" spans="1:16" x14ac:dyDescent="0.3">
      <c r="A701">
        <v>1867</v>
      </c>
      <c r="B701">
        <v>42</v>
      </c>
      <c r="C701" t="s">
        <v>15</v>
      </c>
      <c r="D701" t="s">
        <v>29</v>
      </c>
      <c r="E701" t="s">
        <v>17</v>
      </c>
      <c r="F701" t="s">
        <v>21</v>
      </c>
      <c r="G701" t="s">
        <v>41</v>
      </c>
      <c r="H701" t="s">
        <v>25</v>
      </c>
      <c r="I701" s="1">
        <v>3</v>
      </c>
      <c r="J701" s="2">
        <v>46164</v>
      </c>
      <c r="K701" s="2">
        <f t="shared" si="21"/>
        <v>46143</v>
      </c>
      <c r="L701" s="1" t="s">
        <v>52</v>
      </c>
      <c r="M701" s="1" t="s">
        <v>49</v>
      </c>
      <c r="N701">
        <v>2025</v>
      </c>
      <c r="O701" s="2"/>
      <c r="P701" t="str">
        <f t="shared" si="20"/>
        <v>186746164</v>
      </c>
    </row>
    <row r="702" spans="1:16" x14ac:dyDescent="0.3">
      <c r="A702">
        <v>1871</v>
      </c>
      <c r="B702">
        <v>40</v>
      </c>
      <c r="C702" t="s">
        <v>15</v>
      </c>
      <c r="D702" t="s">
        <v>29</v>
      </c>
      <c r="E702" t="s">
        <v>17</v>
      </c>
      <c r="F702" t="s">
        <v>23</v>
      </c>
      <c r="G702" t="s">
        <v>41</v>
      </c>
      <c r="H702" t="s">
        <v>25</v>
      </c>
      <c r="I702" s="1">
        <v>1</v>
      </c>
      <c r="J702" s="2">
        <v>46092</v>
      </c>
      <c r="K702" s="2">
        <f t="shared" si="21"/>
        <v>46082</v>
      </c>
      <c r="L702" s="1" t="str">
        <f>TEXT(J702,"ddd")</f>
        <v>qua</v>
      </c>
      <c r="M702" s="1" t="str">
        <f>TEXT($J702,"mmm")</f>
        <v>mar</v>
      </c>
      <c r="N702">
        <f>YEAR(J702)</f>
        <v>2026</v>
      </c>
      <c r="O702" s="2"/>
      <c r="P702" t="str">
        <f t="shared" si="20"/>
        <v>187146092</v>
      </c>
    </row>
    <row r="703" spans="1:16" x14ac:dyDescent="0.3">
      <c r="A703">
        <v>1871</v>
      </c>
      <c r="B703">
        <v>40</v>
      </c>
      <c r="C703" t="s">
        <v>15</v>
      </c>
      <c r="D703" t="s">
        <v>29</v>
      </c>
      <c r="E703" t="s">
        <v>17</v>
      </c>
      <c r="F703" t="s">
        <v>23</v>
      </c>
      <c r="G703" t="s">
        <v>41</v>
      </c>
      <c r="H703" t="s">
        <v>25</v>
      </c>
      <c r="I703" s="1">
        <v>1</v>
      </c>
      <c r="J703" s="2">
        <v>46166</v>
      </c>
      <c r="K703" s="2">
        <f t="shared" si="21"/>
        <v>46143</v>
      </c>
      <c r="L703" s="1" t="str">
        <f>TEXT(J703,"ddd")</f>
        <v>dom</v>
      </c>
      <c r="M703" s="1" t="str">
        <f>TEXT($J703,"mmm")</f>
        <v>mai</v>
      </c>
      <c r="N703">
        <f>YEAR(J703)</f>
        <v>2026</v>
      </c>
      <c r="O703" s="2"/>
      <c r="P703" t="str">
        <f t="shared" si="20"/>
        <v>187146166</v>
      </c>
    </row>
    <row r="704" spans="1:16" x14ac:dyDescent="0.3">
      <c r="A704">
        <v>1871</v>
      </c>
      <c r="B704">
        <v>40</v>
      </c>
      <c r="C704" t="s">
        <v>15</v>
      </c>
      <c r="D704" t="s">
        <v>29</v>
      </c>
      <c r="E704" t="s">
        <v>17</v>
      </c>
      <c r="F704" t="s">
        <v>23</v>
      </c>
      <c r="G704" t="s">
        <v>41</v>
      </c>
      <c r="H704" t="s">
        <v>25</v>
      </c>
      <c r="I704" s="1">
        <v>1</v>
      </c>
      <c r="J704" s="2">
        <v>46123</v>
      </c>
      <c r="K704" s="2">
        <f t="shared" si="21"/>
        <v>46113</v>
      </c>
      <c r="L704" s="1" t="s">
        <v>53</v>
      </c>
      <c r="M704" s="1" t="s">
        <v>48</v>
      </c>
      <c r="N704">
        <v>2025</v>
      </c>
      <c r="O704" s="2"/>
      <c r="P704" t="str">
        <f t="shared" si="20"/>
        <v>187146123</v>
      </c>
    </row>
    <row r="705" spans="1:16" x14ac:dyDescent="0.3">
      <c r="A705">
        <v>1871</v>
      </c>
      <c r="B705">
        <v>40</v>
      </c>
      <c r="C705" t="s">
        <v>15</v>
      </c>
      <c r="D705" t="s">
        <v>29</v>
      </c>
      <c r="E705" t="s">
        <v>17</v>
      </c>
      <c r="F705" t="s">
        <v>23</v>
      </c>
      <c r="G705" t="s">
        <v>41</v>
      </c>
      <c r="H705" t="s">
        <v>25</v>
      </c>
      <c r="I705" s="1">
        <v>1</v>
      </c>
      <c r="J705" s="2">
        <v>46158</v>
      </c>
      <c r="K705" s="2">
        <f t="shared" si="21"/>
        <v>46143</v>
      </c>
      <c r="L705" s="1" t="s">
        <v>53</v>
      </c>
      <c r="M705" s="1" t="s">
        <v>49</v>
      </c>
      <c r="N705">
        <v>2025</v>
      </c>
      <c r="O705" s="2"/>
      <c r="P705" t="str">
        <f t="shared" ref="P705:P768" si="22">CONCATENATE(A705,J705)</f>
        <v>187146158</v>
      </c>
    </row>
    <row r="706" spans="1:16" x14ac:dyDescent="0.3">
      <c r="A706">
        <v>1873</v>
      </c>
      <c r="B706">
        <v>27</v>
      </c>
      <c r="C706" t="s">
        <v>15</v>
      </c>
      <c r="D706" t="s">
        <v>22</v>
      </c>
      <c r="E706" t="s">
        <v>17</v>
      </c>
      <c r="F706" t="s">
        <v>18</v>
      </c>
      <c r="G706" t="s">
        <v>41</v>
      </c>
      <c r="H706" t="s">
        <v>25</v>
      </c>
      <c r="I706" s="1">
        <v>3</v>
      </c>
      <c r="J706" s="2">
        <v>46123</v>
      </c>
      <c r="K706" s="2">
        <f t="shared" si="21"/>
        <v>46113</v>
      </c>
      <c r="L706" s="1" t="str">
        <f>TEXT(J706,"ddd")</f>
        <v>sáb</v>
      </c>
      <c r="M706" s="1" t="str">
        <f>TEXT($J706,"mmm")</f>
        <v>abr</v>
      </c>
      <c r="N706">
        <f>YEAR(J706)</f>
        <v>2026</v>
      </c>
      <c r="O706" s="2"/>
      <c r="P706" t="str">
        <f t="shared" si="22"/>
        <v>187346123</v>
      </c>
    </row>
    <row r="707" spans="1:16" x14ac:dyDescent="0.3">
      <c r="A707">
        <v>1873</v>
      </c>
      <c r="B707">
        <v>27</v>
      </c>
      <c r="C707" t="s">
        <v>15</v>
      </c>
      <c r="D707" t="s">
        <v>22</v>
      </c>
      <c r="E707" t="s">
        <v>17</v>
      </c>
      <c r="F707" t="s">
        <v>18</v>
      </c>
      <c r="G707" t="s">
        <v>41</v>
      </c>
      <c r="H707" t="s">
        <v>25</v>
      </c>
      <c r="I707" s="1">
        <v>3</v>
      </c>
      <c r="J707" s="2">
        <v>46135</v>
      </c>
      <c r="K707" s="2">
        <f t="shared" ref="K707:K770" si="23">DATE(YEAR(J707),MONTH(J707),1)</f>
        <v>46113</v>
      </c>
      <c r="L707" s="1" t="str">
        <f>TEXT(J707,"ddd")</f>
        <v>qui</v>
      </c>
      <c r="M707" s="1" t="str">
        <f>TEXT($J707,"mmm")</f>
        <v>abr</v>
      </c>
      <c r="N707">
        <f>YEAR(J707)</f>
        <v>2026</v>
      </c>
      <c r="O707" s="2"/>
      <c r="P707" t="str">
        <f t="shared" si="22"/>
        <v>187346135</v>
      </c>
    </row>
    <row r="708" spans="1:16" x14ac:dyDescent="0.3">
      <c r="A708">
        <v>1873</v>
      </c>
      <c r="B708">
        <v>27</v>
      </c>
      <c r="C708" t="s">
        <v>15</v>
      </c>
      <c r="D708" t="s">
        <v>22</v>
      </c>
      <c r="E708" t="s">
        <v>17</v>
      </c>
      <c r="F708" t="s">
        <v>18</v>
      </c>
      <c r="G708" t="s">
        <v>41</v>
      </c>
      <c r="H708" t="s">
        <v>25</v>
      </c>
      <c r="I708" s="1">
        <v>3</v>
      </c>
      <c r="J708" s="2">
        <v>46110</v>
      </c>
      <c r="K708" s="2">
        <f t="shared" si="23"/>
        <v>46082</v>
      </c>
      <c r="L708" s="1" t="s">
        <v>53</v>
      </c>
      <c r="M708" s="1" t="s">
        <v>48</v>
      </c>
      <c r="N708">
        <v>2025</v>
      </c>
      <c r="O708" s="2"/>
      <c r="P708" t="str">
        <f t="shared" si="22"/>
        <v>187346110</v>
      </c>
    </row>
    <row r="709" spans="1:16" x14ac:dyDescent="0.3">
      <c r="A709">
        <v>1873</v>
      </c>
      <c r="B709">
        <v>27</v>
      </c>
      <c r="C709" t="s">
        <v>15</v>
      </c>
      <c r="D709" t="s">
        <v>22</v>
      </c>
      <c r="E709" t="s">
        <v>17</v>
      </c>
      <c r="F709" t="s">
        <v>18</v>
      </c>
      <c r="G709" t="s">
        <v>41</v>
      </c>
      <c r="H709" t="s">
        <v>25</v>
      </c>
      <c r="I709" s="1">
        <v>3</v>
      </c>
      <c r="J709" s="2">
        <v>46092</v>
      </c>
      <c r="K709" s="2">
        <f t="shared" si="23"/>
        <v>46082</v>
      </c>
      <c r="L709" s="1" t="s">
        <v>51</v>
      </c>
      <c r="M709" s="1" t="s">
        <v>48</v>
      </c>
      <c r="N709">
        <v>2025</v>
      </c>
      <c r="O709" s="2"/>
      <c r="P709" t="str">
        <f t="shared" si="22"/>
        <v>187346092</v>
      </c>
    </row>
    <row r="710" spans="1:16" x14ac:dyDescent="0.3">
      <c r="A710">
        <v>1879</v>
      </c>
      <c r="B710">
        <v>22</v>
      </c>
      <c r="C710" t="s">
        <v>15</v>
      </c>
      <c r="D710" t="s">
        <v>16</v>
      </c>
      <c r="E710" t="s">
        <v>17</v>
      </c>
      <c r="F710" t="s">
        <v>18</v>
      </c>
      <c r="G710" t="s">
        <v>41</v>
      </c>
      <c r="H710" t="s">
        <v>25</v>
      </c>
      <c r="I710" s="1">
        <v>3</v>
      </c>
      <c r="J710" s="2">
        <v>46110</v>
      </c>
      <c r="K710" s="2">
        <f t="shared" si="23"/>
        <v>46082</v>
      </c>
      <c r="L710" s="1" t="str">
        <f>TEXT(J710,"ddd")</f>
        <v>dom</v>
      </c>
      <c r="M710" s="1" t="str">
        <f>TEXT($J710,"mmm")</f>
        <v>mar</v>
      </c>
      <c r="N710">
        <f>YEAR(J710)</f>
        <v>2026</v>
      </c>
      <c r="O710" s="2"/>
      <c r="P710" t="str">
        <f t="shared" si="22"/>
        <v>187946110</v>
      </c>
    </row>
    <row r="711" spans="1:16" x14ac:dyDescent="0.3">
      <c r="A711">
        <v>1879</v>
      </c>
      <c r="B711">
        <v>22</v>
      </c>
      <c r="C711" t="s">
        <v>15</v>
      </c>
      <c r="D711" t="s">
        <v>16</v>
      </c>
      <c r="E711" t="s">
        <v>17</v>
      </c>
      <c r="F711" t="s">
        <v>18</v>
      </c>
      <c r="G711" t="s">
        <v>41</v>
      </c>
      <c r="H711" t="s">
        <v>25</v>
      </c>
      <c r="I711" s="1">
        <v>3</v>
      </c>
      <c r="J711" s="2">
        <v>46131</v>
      </c>
      <c r="K711" s="2">
        <f t="shared" si="23"/>
        <v>46113</v>
      </c>
      <c r="L711" s="1" t="s">
        <v>54</v>
      </c>
      <c r="M711" s="1" t="s">
        <v>48</v>
      </c>
      <c r="N711">
        <v>2025</v>
      </c>
      <c r="O711" s="2"/>
      <c r="P711" t="str">
        <f t="shared" si="22"/>
        <v>187946131</v>
      </c>
    </row>
    <row r="712" spans="1:16" x14ac:dyDescent="0.3">
      <c r="A712">
        <v>1885</v>
      </c>
      <c r="B712">
        <v>24</v>
      </c>
      <c r="C712" t="s">
        <v>15</v>
      </c>
      <c r="D712" t="s">
        <v>27</v>
      </c>
      <c r="E712" t="s">
        <v>17</v>
      </c>
      <c r="F712" t="s">
        <v>21</v>
      </c>
      <c r="G712" t="s">
        <v>41</v>
      </c>
      <c r="H712" t="s">
        <v>25</v>
      </c>
      <c r="I712" s="1">
        <v>3</v>
      </c>
      <c r="J712" s="2">
        <v>46166</v>
      </c>
      <c r="K712" s="2">
        <f t="shared" si="23"/>
        <v>46143</v>
      </c>
      <c r="L712" s="1" t="str">
        <f>TEXT(J712,"ddd")</f>
        <v>dom</v>
      </c>
      <c r="M712" s="1" t="str">
        <f>TEXT($J712,"mmm")</f>
        <v>mai</v>
      </c>
      <c r="N712">
        <f>YEAR(J712)</f>
        <v>2026</v>
      </c>
      <c r="O712" s="2"/>
      <c r="P712" t="str">
        <f t="shared" si="22"/>
        <v>188546166</v>
      </c>
    </row>
    <row r="713" spans="1:16" x14ac:dyDescent="0.3">
      <c r="A713">
        <v>1885</v>
      </c>
      <c r="B713">
        <v>24</v>
      </c>
      <c r="C713" t="s">
        <v>15</v>
      </c>
      <c r="D713" t="s">
        <v>27</v>
      </c>
      <c r="E713" t="s">
        <v>17</v>
      </c>
      <c r="F713" t="s">
        <v>21</v>
      </c>
      <c r="G713" t="s">
        <v>41</v>
      </c>
      <c r="H713" t="s">
        <v>25</v>
      </c>
      <c r="I713" s="1">
        <v>3</v>
      </c>
      <c r="J713" s="2">
        <v>46124</v>
      </c>
      <c r="K713" s="2">
        <f t="shared" si="23"/>
        <v>46113</v>
      </c>
      <c r="L713" s="1" t="s">
        <v>54</v>
      </c>
      <c r="M713" s="1" t="s">
        <v>48</v>
      </c>
      <c r="N713">
        <v>2025</v>
      </c>
      <c r="O713" s="2"/>
      <c r="P713" t="str">
        <f t="shared" si="22"/>
        <v>188546124</v>
      </c>
    </row>
    <row r="714" spans="1:16" x14ac:dyDescent="0.3">
      <c r="A714">
        <v>1886</v>
      </c>
      <c r="B714">
        <v>33</v>
      </c>
      <c r="C714" t="s">
        <v>26</v>
      </c>
      <c r="D714" t="s">
        <v>16</v>
      </c>
      <c r="E714" t="s">
        <v>17</v>
      </c>
      <c r="F714" t="s">
        <v>18</v>
      </c>
      <c r="G714" t="s">
        <v>41</v>
      </c>
      <c r="H714" t="s">
        <v>25</v>
      </c>
      <c r="I714" s="1">
        <v>3</v>
      </c>
      <c r="J714" s="2">
        <v>46183</v>
      </c>
      <c r="K714" s="2">
        <f t="shared" si="23"/>
        <v>46174</v>
      </c>
      <c r="L714" s="1" t="str">
        <f>TEXT(J714,"ddd")</f>
        <v>qua</v>
      </c>
      <c r="M714" s="1" t="str">
        <f>TEXT($J714,"mmm")</f>
        <v>jun</v>
      </c>
      <c r="N714">
        <f>YEAR(J714)</f>
        <v>2026</v>
      </c>
      <c r="O714" s="2"/>
      <c r="P714" t="str">
        <f t="shared" si="22"/>
        <v>188646183</v>
      </c>
    </row>
    <row r="715" spans="1:16" x14ac:dyDescent="0.3">
      <c r="A715">
        <v>1886</v>
      </c>
      <c r="B715">
        <v>33</v>
      </c>
      <c r="C715" t="s">
        <v>26</v>
      </c>
      <c r="D715" t="s">
        <v>16</v>
      </c>
      <c r="E715" t="s">
        <v>17</v>
      </c>
      <c r="F715" t="s">
        <v>18</v>
      </c>
      <c r="G715" t="s">
        <v>41</v>
      </c>
      <c r="H715" t="s">
        <v>25</v>
      </c>
      <c r="I715" s="1">
        <v>3</v>
      </c>
      <c r="J715" s="2">
        <v>46136</v>
      </c>
      <c r="K715" s="2">
        <f t="shared" si="23"/>
        <v>46113</v>
      </c>
      <c r="L715" s="1" t="s">
        <v>52</v>
      </c>
      <c r="M715" s="1" t="s">
        <v>48</v>
      </c>
      <c r="N715">
        <v>2025</v>
      </c>
      <c r="O715" s="2"/>
      <c r="P715" t="str">
        <f t="shared" si="22"/>
        <v>188646136</v>
      </c>
    </row>
    <row r="716" spans="1:16" x14ac:dyDescent="0.3">
      <c r="A716">
        <v>1887</v>
      </c>
      <c r="B716">
        <v>28</v>
      </c>
      <c r="C716" t="s">
        <v>15</v>
      </c>
      <c r="D716" t="s">
        <v>22</v>
      </c>
      <c r="E716" t="s">
        <v>17</v>
      </c>
      <c r="F716" t="s">
        <v>23</v>
      </c>
      <c r="G716" t="s">
        <v>41</v>
      </c>
      <c r="H716" t="s">
        <v>25</v>
      </c>
      <c r="I716" s="1">
        <v>2</v>
      </c>
      <c r="J716" s="2">
        <v>46133</v>
      </c>
      <c r="K716" s="2">
        <f t="shared" si="23"/>
        <v>46113</v>
      </c>
      <c r="L716" s="1" t="str">
        <f>TEXT(J716,"ddd")</f>
        <v>ter</v>
      </c>
      <c r="M716" s="1" t="str">
        <f>TEXT($J716,"mmm")</f>
        <v>abr</v>
      </c>
      <c r="N716">
        <f>YEAR(J716)</f>
        <v>2026</v>
      </c>
      <c r="O716" s="2"/>
      <c r="P716" t="str">
        <f t="shared" si="22"/>
        <v>188746133</v>
      </c>
    </row>
    <row r="717" spans="1:16" x14ac:dyDescent="0.3">
      <c r="A717">
        <v>1887</v>
      </c>
      <c r="B717">
        <v>28</v>
      </c>
      <c r="C717" t="s">
        <v>15</v>
      </c>
      <c r="D717" t="s">
        <v>22</v>
      </c>
      <c r="E717" t="s">
        <v>17</v>
      </c>
      <c r="F717" t="s">
        <v>23</v>
      </c>
      <c r="G717" t="s">
        <v>41</v>
      </c>
      <c r="H717" t="s">
        <v>25</v>
      </c>
      <c r="I717" s="1">
        <v>2</v>
      </c>
      <c r="J717" s="2">
        <v>46134</v>
      </c>
      <c r="K717" s="2">
        <f t="shared" si="23"/>
        <v>46113</v>
      </c>
      <c r="L717" s="1" t="str">
        <f>TEXT(J717,"ddd")</f>
        <v>qua</v>
      </c>
      <c r="M717" s="1" t="str">
        <f>TEXT($J717,"mmm")</f>
        <v>abr</v>
      </c>
      <c r="N717">
        <f>YEAR(J717)</f>
        <v>2026</v>
      </c>
      <c r="O717" s="2"/>
      <c r="P717" t="str">
        <f t="shared" si="22"/>
        <v>188746134</v>
      </c>
    </row>
    <row r="718" spans="1:16" x14ac:dyDescent="0.3">
      <c r="A718">
        <v>1887</v>
      </c>
      <c r="B718">
        <v>28</v>
      </c>
      <c r="C718" t="s">
        <v>15</v>
      </c>
      <c r="D718" t="s">
        <v>22</v>
      </c>
      <c r="E718" t="s">
        <v>17</v>
      </c>
      <c r="F718" t="s">
        <v>23</v>
      </c>
      <c r="G718" t="s">
        <v>41</v>
      </c>
      <c r="H718" t="s">
        <v>25</v>
      </c>
      <c r="I718" s="1">
        <v>2</v>
      </c>
      <c r="J718" s="2">
        <v>46137</v>
      </c>
      <c r="K718" s="2">
        <f t="shared" si="23"/>
        <v>46113</v>
      </c>
      <c r="L718" s="1" t="str">
        <f>TEXT(J718,"ddd")</f>
        <v>sáb</v>
      </c>
      <c r="M718" s="1" t="str">
        <f>TEXT($J718,"mmm")</f>
        <v>abr</v>
      </c>
      <c r="N718">
        <f>YEAR(J718)</f>
        <v>2026</v>
      </c>
      <c r="O718" s="2"/>
      <c r="P718" t="str">
        <f t="shared" si="22"/>
        <v>188746137</v>
      </c>
    </row>
    <row r="719" spans="1:16" x14ac:dyDescent="0.3">
      <c r="A719">
        <v>1887</v>
      </c>
      <c r="B719">
        <v>28</v>
      </c>
      <c r="C719" t="s">
        <v>15</v>
      </c>
      <c r="D719" t="s">
        <v>22</v>
      </c>
      <c r="E719" t="s">
        <v>17</v>
      </c>
      <c r="F719" t="s">
        <v>23</v>
      </c>
      <c r="G719" t="s">
        <v>41</v>
      </c>
      <c r="H719" t="s">
        <v>25</v>
      </c>
      <c r="I719" s="1">
        <v>2</v>
      </c>
      <c r="J719" s="2">
        <v>46124</v>
      </c>
      <c r="K719" s="2">
        <f t="shared" si="23"/>
        <v>46113</v>
      </c>
      <c r="L719" s="1" t="str">
        <f>TEXT(J719,"ddd")</f>
        <v>dom</v>
      </c>
      <c r="M719" s="1" t="str">
        <f>TEXT($J719,"mmm")</f>
        <v>abr</v>
      </c>
      <c r="N719">
        <f>YEAR(J719)</f>
        <v>2026</v>
      </c>
      <c r="O719" s="2"/>
      <c r="P719" t="str">
        <f t="shared" si="22"/>
        <v>188746124</v>
      </c>
    </row>
    <row r="720" spans="1:16" x14ac:dyDescent="0.3">
      <c r="A720">
        <v>1887</v>
      </c>
      <c r="B720">
        <v>28</v>
      </c>
      <c r="C720" t="s">
        <v>15</v>
      </c>
      <c r="D720" t="s">
        <v>22</v>
      </c>
      <c r="E720" t="s">
        <v>17</v>
      </c>
      <c r="F720" t="s">
        <v>23</v>
      </c>
      <c r="G720" t="s">
        <v>41</v>
      </c>
      <c r="H720" t="s">
        <v>25</v>
      </c>
      <c r="I720" s="1">
        <v>2</v>
      </c>
      <c r="J720" s="2">
        <v>46110</v>
      </c>
      <c r="K720" s="2">
        <f t="shared" si="23"/>
        <v>46082</v>
      </c>
      <c r="L720" s="1" t="s">
        <v>56</v>
      </c>
      <c r="M720" s="1" t="s">
        <v>48</v>
      </c>
      <c r="N720">
        <v>2025</v>
      </c>
      <c r="O720" s="2"/>
      <c r="P720" t="str">
        <f t="shared" si="22"/>
        <v>188746110</v>
      </c>
    </row>
    <row r="721" spans="1:16" x14ac:dyDescent="0.3">
      <c r="A721">
        <v>1887</v>
      </c>
      <c r="B721">
        <v>28</v>
      </c>
      <c r="C721" t="s">
        <v>15</v>
      </c>
      <c r="D721" t="s">
        <v>22</v>
      </c>
      <c r="E721" t="s">
        <v>17</v>
      </c>
      <c r="F721" t="s">
        <v>23</v>
      </c>
      <c r="G721" t="s">
        <v>41</v>
      </c>
      <c r="H721" t="s">
        <v>25</v>
      </c>
      <c r="I721" s="1">
        <v>2</v>
      </c>
      <c r="J721" s="2">
        <v>46143</v>
      </c>
      <c r="K721" s="2">
        <f t="shared" si="23"/>
        <v>46143</v>
      </c>
      <c r="L721" s="1" t="s">
        <v>50</v>
      </c>
      <c r="M721" s="1" t="s">
        <v>48</v>
      </c>
      <c r="N721">
        <v>2025</v>
      </c>
      <c r="O721" s="2"/>
      <c r="P721" t="str">
        <f t="shared" si="22"/>
        <v>188746143</v>
      </c>
    </row>
    <row r="722" spans="1:16" x14ac:dyDescent="0.3">
      <c r="A722">
        <v>1887</v>
      </c>
      <c r="B722">
        <v>28</v>
      </c>
      <c r="C722" t="s">
        <v>15</v>
      </c>
      <c r="D722" t="s">
        <v>22</v>
      </c>
      <c r="E722" t="s">
        <v>17</v>
      </c>
      <c r="F722" t="s">
        <v>23</v>
      </c>
      <c r="G722" t="s">
        <v>41</v>
      </c>
      <c r="H722" t="s">
        <v>25</v>
      </c>
      <c r="I722" s="1">
        <v>2</v>
      </c>
      <c r="J722" s="2">
        <v>46092</v>
      </c>
      <c r="K722" s="2">
        <f t="shared" si="23"/>
        <v>46082</v>
      </c>
      <c r="L722" s="1" t="s">
        <v>53</v>
      </c>
      <c r="M722" s="1" t="s">
        <v>48</v>
      </c>
      <c r="N722">
        <v>2025</v>
      </c>
      <c r="O722" s="2"/>
      <c r="P722" t="str">
        <f t="shared" si="22"/>
        <v>188746092</v>
      </c>
    </row>
    <row r="723" spans="1:16" x14ac:dyDescent="0.3">
      <c r="A723">
        <v>1887</v>
      </c>
      <c r="B723">
        <v>28</v>
      </c>
      <c r="C723" t="s">
        <v>15</v>
      </c>
      <c r="D723" t="s">
        <v>22</v>
      </c>
      <c r="E723" t="s">
        <v>17</v>
      </c>
      <c r="F723" t="s">
        <v>23</v>
      </c>
      <c r="G723" t="s">
        <v>41</v>
      </c>
      <c r="H723" t="s">
        <v>25</v>
      </c>
      <c r="I723" s="1">
        <v>2</v>
      </c>
      <c r="J723" s="2">
        <v>46164</v>
      </c>
      <c r="K723" s="2">
        <f t="shared" si="23"/>
        <v>46143</v>
      </c>
      <c r="L723" s="1" t="s">
        <v>52</v>
      </c>
      <c r="M723" s="1" t="s">
        <v>49</v>
      </c>
      <c r="N723">
        <v>2025</v>
      </c>
      <c r="O723" s="2"/>
      <c r="P723" t="str">
        <f t="shared" si="22"/>
        <v>188746164</v>
      </c>
    </row>
    <row r="724" spans="1:16" x14ac:dyDescent="0.3">
      <c r="A724">
        <v>1893</v>
      </c>
      <c r="B724">
        <v>44</v>
      </c>
      <c r="C724" t="s">
        <v>26</v>
      </c>
      <c r="D724" t="s">
        <v>22</v>
      </c>
      <c r="E724" t="s">
        <v>17</v>
      </c>
      <c r="F724" t="s">
        <v>18</v>
      </c>
      <c r="G724" t="s">
        <v>41</v>
      </c>
      <c r="H724" t="s">
        <v>25</v>
      </c>
      <c r="I724" s="1">
        <v>3</v>
      </c>
      <c r="J724" s="2">
        <v>46170</v>
      </c>
      <c r="K724" s="2">
        <f t="shared" si="23"/>
        <v>46143</v>
      </c>
      <c r="L724" s="1" t="str">
        <f>TEXT(J724,"ddd")</f>
        <v>qui</v>
      </c>
      <c r="M724" s="1" t="str">
        <f>TEXT($J724,"mmm")</f>
        <v>mai</v>
      </c>
      <c r="N724">
        <f>YEAR(J724)</f>
        <v>2026</v>
      </c>
      <c r="O724" s="2"/>
      <c r="P724" t="str">
        <f t="shared" si="22"/>
        <v>189346170</v>
      </c>
    </row>
    <row r="725" spans="1:16" x14ac:dyDescent="0.3">
      <c r="A725">
        <v>1893</v>
      </c>
      <c r="B725">
        <v>44</v>
      </c>
      <c r="C725" t="s">
        <v>26</v>
      </c>
      <c r="D725" t="s">
        <v>22</v>
      </c>
      <c r="E725" t="s">
        <v>17</v>
      </c>
      <c r="F725" t="s">
        <v>18</v>
      </c>
      <c r="G725" t="s">
        <v>41</v>
      </c>
      <c r="H725" t="s">
        <v>25</v>
      </c>
      <c r="I725" s="1">
        <v>3</v>
      </c>
      <c r="J725" s="2">
        <v>46143</v>
      </c>
      <c r="K725" s="2">
        <f t="shared" si="23"/>
        <v>46143</v>
      </c>
      <c r="L725" s="1" t="s">
        <v>51</v>
      </c>
      <c r="M725" s="1" t="s">
        <v>49</v>
      </c>
      <c r="N725">
        <v>2025</v>
      </c>
      <c r="O725" s="2"/>
      <c r="P725" t="str">
        <f t="shared" si="22"/>
        <v>189346143</v>
      </c>
    </row>
    <row r="726" spans="1:16" x14ac:dyDescent="0.3">
      <c r="A726">
        <v>1898</v>
      </c>
      <c r="B726">
        <v>56</v>
      </c>
      <c r="C726" t="s">
        <v>26</v>
      </c>
      <c r="D726" t="s">
        <v>27</v>
      </c>
      <c r="E726" t="s">
        <v>17</v>
      </c>
      <c r="F726" t="s">
        <v>21</v>
      </c>
      <c r="G726" t="s">
        <v>41</v>
      </c>
      <c r="H726" t="s">
        <v>25</v>
      </c>
      <c r="I726" s="1">
        <v>2</v>
      </c>
      <c r="J726" s="2">
        <v>46110</v>
      </c>
      <c r="K726" s="2">
        <f t="shared" si="23"/>
        <v>46082</v>
      </c>
      <c r="L726" s="1" t="str">
        <f>TEXT(J726,"ddd")</f>
        <v>dom</v>
      </c>
      <c r="M726" s="1" t="str">
        <f>TEXT($J726,"mmm")</f>
        <v>mar</v>
      </c>
      <c r="N726">
        <f>YEAR(J726)</f>
        <v>2026</v>
      </c>
      <c r="O726" s="2"/>
      <c r="P726" t="str">
        <f t="shared" si="22"/>
        <v>189846110</v>
      </c>
    </row>
    <row r="727" spans="1:16" x14ac:dyDescent="0.3">
      <c r="A727">
        <v>1898</v>
      </c>
      <c r="B727">
        <v>56</v>
      </c>
      <c r="C727" t="s">
        <v>26</v>
      </c>
      <c r="D727" t="s">
        <v>27</v>
      </c>
      <c r="E727" t="s">
        <v>17</v>
      </c>
      <c r="F727" t="s">
        <v>21</v>
      </c>
      <c r="G727" t="s">
        <v>41</v>
      </c>
      <c r="H727" t="s">
        <v>25</v>
      </c>
      <c r="I727" s="1">
        <v>2</v>
      </c>
      <c r="J727" s="2">
        <v>46148</v>
      </c>
      <c r="K727" s="2">
        <f t="shared" si="23"/>
        <v>46143</v>
      </c>
      <c r="L727" s="1" t="str">
        <f>TEXT(J727,"ddd")</f>
        <v>qua</v>
      </c>
      <c r="M727" s="1" t="str">
        <f>TEXT($J727,"mmm")</f>
        <v>mai</v>
      </c>
      <c r="N727">
        <f>YEAR(J727)</f>
        <v>2026</v>
      </c>
      <c r="O727" s="2"/>
      <c r="P727" t="str">
        <f t="shared" si="22"/>
        <v>189846148</v>
      </c>
    </row>
    <row r="728" spans="1:16" x14ac:dyDescent="0.3">
      <c r="A728">
        <v>1898</v>
      </c>
      <c r="B728">
        <v>56</v>
      </c>
      <c r="C728" t="s">
        <v>26</v>
      </c>
      <c r="D728" t="s">
        <v>27</v>
      </c>
      <c r="E728" t="s">
        <v>17</v>
      </c>
      <c r="F728" t="s">
        <v>21</v>
      </c>
      <c r="G728" t="s">
        <v>41</v>
      </c>
      <c r="H728" t="s">
        <v>25</v>
      </c>
      <c r="I728" s="1">
        <v>2</v>
      </c>
      <c r="J728" s="2">
        <v>46158</v>
      </c>
      <c r="K728" s="2">
        <f t="shared" si="23"/>
        <v>46143</v>
      </c>
      <c r="L728" s="1" t="str">
        <f>TEXT(J728,"ddd")</f>
        <v>sáb</v>
      </c>
      <c r="M728" s="1" t="str">
        <f>TEXT($J728,"mmm")</f>
        <v>mai</v>
      </c>
      <c r="N728">
        <f>YEAR(J728)</f>
        <v>2026</v>
      </c>
      <c r="O728" s="2"/>
      <c r="P728" t="str">
        <f t="shared" si="22"/>
        <v>189846158</v>
      </c>
    </row>
    <row r="729" spans="1:16" x14ac:dyDescent="0.3">
      <c r="A729">
        <v>1898</v>
      </c>
      <c r="B729">
        <v>56</v>
      </c>
      <c r="C729" t="s">
        <v>26</v>
      </c>
      <c r="D729" t="s">
        <v>27</v>
      </c>
      <c r="E729" t="s">
        <v>17</v>
      </c>
      <c r="F729" t="s">
        <v>21</v>
      </c>
      <c r="G729" t="s">
        <v>41</v>
      </c>
      <c r="H729" t="s">
        <v>25</v>
      </c>
      <c r="I729" s="1">
        <v>2</v>
      </c>
      <c r="J729" s="2">
        <v>46126</v>
      </c>
      <c r="K729" s="2">
        <f t="shared" si="23"/>
        <v>46113</v>
      </c>
      <c r="L729" s="1" t="s">
        <v>56</v>
      </c>
      <c r="M729" s="1" t="s">
        <v>48</v>
      </c>
      <c r="N729">
        <v>2025</v>
      </c>
      <c r="O729" s="2"/>
      <c r="P729" t="str">
        <f t="shared" si="22"/>
        <v>189846126</v>
      </c>
    </row>
    <row r="730" spans="1:16" x14ac:dyDescent="0.3">
      <c r="A730">
        <v>1898</v>
      </c>
      <c r="B730">
        <v>56</v>
      </c>
      <c r="C730" t="s">
        <v>26</v>
      </c>
      <c r="D730" t="s">
        <v>27</v>
      </c>
      <c r="E730" t="s">
        <v>17</v>
      </c>
      <c r="F730" t="s">
        <v>21</v>
      </c>
      <c r="G730" t="s">
        <v>41</v>
      </c>
      <c r="H730" t="s">
        <v>25</v>
      </c>
      <c r="I730" s="1">
        <v>2</v>
      </c>
      <c r="J730" s="2">
        <v>46124</v>
      </c>
      <c r="K730" s="2">
        <f t="shared" si="23"/>
        <v>46113</v>
      </c>
      <c r="L730" s="1" t="s">
        <v>50</v>
      </c>
      <c r="M730" s="1" t="s">
        <v>49</v>
      </c>
      <c r="N730">
        <v>2025</v>
      </c>
      <c r="O730" s="2"/>
      <c r="P730" t="str">
        <f t="shared" si="22"/>
        <v>189846124</v>
      </c>
    </row>
    <row r="731" spans="1:16" x14ac:dyDescent="0.3">
      <c r="A731">
        <v>1898</v>
      </c>
      <c r="B731">
        <v>56</v>
      </c>
      <c r="C731" t="s">
        <v>26</v>
      </c>
      <c r="D731" t="s">
        <v>27</v>
      </c>
      <c r="E731" t="s">
        <v>17</v>
      </c>
      <c r="F731" t="s">
        <v>21</v>
      </c>
      <c r="G731" t="s">
        <v>41</v>
      </c>
      <c r="H731" t="s">
        <v>25</v>
      </c>
      <c r="I731" s="1">
        <v>2</v>
      </c>
      <c r="J731" s="2">
        <v>46092</v>
      </c>
      <c r="K731" s="2">
        <f t="shared" si="23"/>
        <v>46082</v>
      </c>
      <c r="L731" s="1" t="s">
        <v>53</v>
      </c>
      <c r="M731" s="1" t="s">
        <v>49</v>
      </c>
      <c r="N731">
        <v>2025</v>
      </c>
      <c r="O731" s="2"/>
      <c r="P731" t="str">
        <f t="shared" si="22"/>
        <v>189846092</v>
      </c>
    </row>
    <row r="732" spans="1:16" x14ac:dyDescent="0.3">
      <c r="A732">
        <v>1900</v>
      </c>
      <c r="B732">
        <v>39</v>
      </c>
      <c r="C732" t="s">
        <v>26</v>
      </c>
      <c r="D732" t="s">
        <v>27</v>
      </c>
      <c r="E732" t="s">
        <v>17</v>
      </c>
      <c r="F732" t="s">
        <v>18</v>
      </c>
      <c r="G732" t="s">
        <v>41</v>
      </c>
      <c r="H732" t="s">
        <v>25</v>
      </c>
      <c r="I732" s="1">
        <v>2</v>
      </c>
      <c r="J732" s="2">
        <v>46168</v>
      </c>
      <c r="K732" s="2">
        <f t="shared" si="23"/>
        <v>46143</v>
      </c>
      <c r="L732" s="1" t="str">
        <f>TEXT(J732,"ddd")</f>
        <v>ter</v>
      </c>
      <c r="M732" s="1" t="str">
        <f>TEXT($J732,"mmm")</f>
        <v>mai</v>
      </c>
      <c r="N732">
        <f>YEAR(J732)</f>
        <v>2026</v>
      </c>
      <c r="O732" s="2"/>
      <c r="P732" t="str">
        <f t="shared" si="22"/>
        <v>190046168</v>
      </c>
    </row>
    <row r="733" spans="1:16" x14ac:dyDescent="0.3">
      <c r="A733">
        <v>1900</v>
      </c>
      <c r="B733">
        <v>39</v>
      </c>
      <c r="C733" t="s">
        <v>26</v>
      </c>
      <c r="D733" t="s">
        <v>27</v>
      </c>
      <c r="E733" t="s">
        <v>17</v>
      </c>
      <c r="F733" t="s">
        <v>18</v>
      </c>
      <c r="G733" t="s">
        <v>41</v>
      </c>
      <c r="H733" t="s">
        <v>25</v>
      </c>
      <c r="I733" s="1">
        <v>2</v>
      </c>
      <c r="J733" s="2">
        <v>46158</v>
      </c>
      <c r="K733" s="2">
        <f t="shared" si="23"/>
        <v>46143</v>
      </c>
      <c r="L733" s="1" t="s">
        <v>56</v>
      </c>
      <c r="M733" s="1" t="s">
        <v>49</v>
      </c>
      <c r="N733">
        <v>2025</v>
      </c>
      <c r="O733" s="2"/>
      <c r="P733" t="str">
        <f t="shared" si="22"/>
        <v>190046158</v>
      </c>
    </row>
    <row r="734" spans="1:16" x14ac:dyDescent="0.3">
      <c r="A734">
        <v>1904</v>
      </c>
      <c r="B734">
        <v>40</v>
      </c>
      <c r="C734" t="s">
        <v>26</v>
      </c>
      <c r="D734" t="s">
        <v>27</v>
      </c>
      <c r="E734" t="s">
        <v>17</v>
      </c>
      <c r="F734" t="s">
        <v>23</v>
      </c>
      <c r="G734" t="s">
        <v>41</v>
      </c>
      <c r="H734" t="s">
        <v>25</v>
      </c>
      <c r="I734" s="1">
        <v>1</v>
      </c>
      <c r="J734" s="2">
        <v>46143</v>
      </c>
      <c r="K734" s="2">
        <f t="shared" si="23"/>
        <v>46143</v>
      </c>
      <c r="L734" s="1" t="str">
        <f>TEXT(J734,"ddd")</f>
        <v>sex</v>
      </c>
      <c r="M734" s="1" t="str">
        <f>TEXT($J734,"mmm")</f>
        <v>mai</v>
      </c>
      <c r="N734">
        <f>YEAR(J734)</f>
        <v>2026</v>
      </c>
      <c r="O734" s="2"/>
      <c r="P734" t="str">
        <f t="shared" si="22"/>
        <v>190446143</v>
      </c>
    </row>
    <row r="735" spans="1:16" x14ac:dyDescent="0.3">
      <c r="A735">
        <v>1904</v>
      </c>
      <c r="B735">
        <v>40</v>
      </c>
      <c r="C735" t="s">
        <v>26</v>
      </c>
      <c r="D735" t="s">
        <v>27</v>
      </c>
      <c r="E735" t="s">
        <v>17</v>
      </c>
      <c r="F735" t="s">
        <v>23</v>
      </c>
      <c r="G735" t="s">
        <v>41</v>
      </c>
      <c r="H735" t="s">
        <v>25</v>
      </c>
      <c r="I735" s="1">
        <v>1</v>
      </c>
      <c r="J735" s="2">
        <v>46092</v>
      </c>
      <c r="K735" s="2">
        <f t="shared" si="23"/>
        <v>46082</v>
      </c>
      <c r="L735" s="1" t="str">
        <f>TEXT(J735,"ddd")</f>
        <v>qua</v>
      </c>
      <c r="M735" s="1" t="str">
        <f>TEXT($J735,"mmm")</f>
        <v>mar</v>
      </c>
      <c r="N735">
        <f>YEAR(J735)</f>
        <v>2026</v>
      </c>
      <c r="O735" s="2"/>
      <c r="P735" t="str">
        <f t="shared" si="22"/>
        <v>190446092</v>
      </c>
    </row>
    <row r="736" spans="1:16" x14ac:dyDescent="0.3">
      <c r="A736">
        <v>1904</v>
      </c>
      <c r="B736">
        <v>40</v>
      </c>
      <c r="C736" t="s">
        <v>26</v>
      </c>
      <c r="D736" t="s">
        <v>27</v>
      </c>
      <c r="E736" t="s">
        <v>17</v>
      </c>
      <c r="F736" t="s">
        <v>23</v>
      </c>
      <c r="G736" t="s">
        <v>41</v>
      </c>
      <c r="H736" t="s">
        <v>25</v>
      </c>
      <c r="I736" s="1">
        <v>1</v>
      </c>
      <c r="J736" s="2">
        <v>46148</v>
      </c>
      <c r="K736" s="2">
        <f t="shared" si="23"/>
        <v>46143</v>
      </c>
      <c r="L736" s="1" t="s">
        <v>52</v>
      </c>
      <c r="M736" s="1" t="s">
        <v>49</v>
      </c>
      <c r="N736">
        <v>2025</v>
      </c>
      <c r="O736" s="2"/>
      <c r="P736" t="str">
        <f t="shared" si="22"/>
        <v>190446148</v>
      </c>
    </row>
    <row r="737" spans="1:16" x14ac:dyDescent="0.3">
      <c r="A737">
        <v>1904</v>
      </c>
      <c r="B737">
        <v>40</v>
      </c>
      <c r="C737" t="s">
        <v>26</v>
      </c>
      <c r="D737" t="s">
        <v>27</v>
      </c>
      <c r="E737" t="s">
        <v>17</v>
      </c>
      <c r="F737" t="s">
        <v>23</v>
      </c>
      <c r="G737" t="s">
        <v>41</v>
      </c>
      <c r="H737" t="s">
        <v>25</v>
      </c>
      <c r="I737" s="1">
        <v>1</v>
      </c>
      <c r="J737" s="2">
        <v>46158</v>
      </c>
      <c r="K737" s="2">
        <f t="shared" si="23"/>
        <v>46143</v>
      </c>
      <c r="L737" s="1" t="s">
        <v>53</v>
      </c>
      <c r="M737" s="1" t="s">
        <v>49</v>
      </c>
      <c r="N737">
        <v>2025</v>
      </c>
      <c r="O737" s="2"/>
      <c r="P737" t="str">
        <f t="shared" si="22"/>
        <v>190446158</v>
      </c>
    </row>
    <row r="738" spans="1:16" x14ac:dyDescent="0.3">
      <c r="A738">
        <v>1905</v>
      </c>
      <c r="B738">
        <v>57</v>
      </c>
      <c r="C738" t="s">
        <v>26</v>
      </c>
      <c r="D738" t="s">
        <v>29</v>
      </c>
      <c r="E738" t="s">
        <v>17</v>
      </c>
      <c r="F738" t="s">
        <v>21</v>
      </c>
      <c r="G738" t="s">
        <v>41</v>
      </c>
      <c r="H738" t="s">
        <v>25</v>
      </c>
      <c r="I738" s="1">
        <v>3</v>
      </c>
      <c r="J738" s="2">
        <v>46148</v>
      </c>
      <c r="K738" s="2">
        <f t="shared" si="23"/>
        <v>46143</v>
      </c>
      <c r="L738" s="1" t="str">
        <f>TEXT(J738,"ddd")</f>
        <v>qua</v>
      </c>
      <c r="M738" s="1" t="str">
        <f>TEXT($J738,"mmm")</f>
        <v>mai</v>
      </c>
      <c r="N738">
        <f>YEAR(J738)</f>
        <v>2026</v>
      </c>
      <c r="O738" s="2"/>
      <c r="P738" t="str">
        <f t="shared" si="22"/>
        <v>190546148</v>
      </c>
    </row>
    <row r="739" spans="1:16" x14ac:dyDescent="0.3">
      <c r="A739">
        <v>1905</v>
      </c>
      <c r="B739">
        <v>57</v>
      </c>
      <c r="C739" t="s">
        <v>26</v>
      </c>
      <c r="D739" t="s">
        <v>29</v>
      </c>
      <c r="E739" t="s">
        <v>17</v>
      </c>
      <c r="F739" t="s">
        <v>21</v>
      </c>
      <c r="G739" t="s">
        <v>41</v>
      </c>
      <c r="H739" t="s">
        <v>25</v>
      </c>
      <c r="I739" s="1">
        <v>3</v>
      </c>
      <c r="J739" s="2">
        <v>46124</v>
      </c>
      <c r="K739" s="2">
        <f t="shared" si="23"/>
        <v>46113</v>
      </c>
      <c r="L739" s="1" t="s">
        <v>54</v>
      </c>
      <c r="M739" s="1" t="s">
        <v>49</v>
      </c>
      <c r="N739">
        <v>2025</v>
      </c>
      <c r="O739" s="2"/>
      <c r="P739" t="str">
        <f t="shared" si="22"/>
        <v>190546124</v>
      </c>
    </row>
    <row r="740" spans="1:16" x14ac:dyDescent="0.3">
      <c r="A740">
        <v>1907</v>
      </c>
      <c r="B740">
        <v>42</v>
      </c>
      <c r="C740" t="s">
        <v>26</v>
      </c>
      <c r="D740" t="s">
        <v>31</v>
      </c>
      <c r="E740" t="s">
        <v>32</v>
      </c>
      <c r="F740" t="s">
        <v>21</v>
      </c>
      <c r="G740" t="s">
        <v>41</v>
      </c>
      <c r="H740" t="s">
        <v>25</v>
      </c>
      <c r="I740" s="1">
        <v>1</v>
      </c>
      <c r="J740" s="2">
        <v>46134</v>
      </c>
      <c r="K740" s="2">
        <f t="shared" si="23"/>
        <v>46113</v>
      </c>
      <c r="L740" s="1" t="str">
        <f>TEXT(J740,"ddd")</f>
        <v>qua</v>
      </c>
      <c r="M740" s="1" t="str">
        <f>TEXT($J740,"mmm")</f>
        <v>abr</v>
      </c>
      <c r="N740">
        <f>YEAR(J740)</f>
        <v>2026</v>
      </c>
      <c r="O740" s="2"/>
      <c r="P740" t="str">
        <f t="shared" si="22"/>
        <v>190746134</v>
      </c>
    </row>
    <row r="741" spans="1:16" x14ac:dyDescent="0.3">
      <c r="A741">
        <v>1907</v>
      </c>
      <c r="B741">
        <v>42</v>
      </c>
      <c r="C741" t="s">
        <v>26</v>
      </c>
      <c r="D741" t="s">
        <v>31</v>
      </c>
      <c r="E741" t="s">
        <v>32</v>
      </c>
      <c r="F741" t="s">
        <v>21</v>
      </c>
      <c r="G741" t="s">
        <v>41</v>
      </c>
      <c r="H741" t="s">
        <v>25</v>
      </c>
      <c r="I741" s="1">
        <v>1</v>
      </c>
      <c r="J741" s="2">
        <v>46148</v>
      </c>
      <c r="K741" s="2">
        <f t="shared" si="23"/>
        <v>46143</v>
      </c>
      <c r="L741" s="1" t="s">
        <v>50</v>
      </c>
      <c r="M741" s="1" t="s">
        <v>48</v>
      </c>
      <c r="N741">
        <v>2025</v>
      </c>
      <c r="O741" s="2"/>
      <c r="P741" t="str">
        <f t="shared" si="22"/>
        <v>190746148</v>
      </c>
    </row>
    <row r="742" spans="1:16" x14ac:dyDescent="0.3">
      <c r="A742">
        <v>1908</v>
      </c>
      <c r="B742">
        <v>54</v>
      </c>
      <c r="C742" t="s">
        <v>26</v>
      </c>
      <c r="D742" t="s">
        <v>16</v>
      </c>
      <c r="E742" t="s">
        <v>17</v>
      </c>
      <c r="F742" t="s">
        <v>18</v>
      </c>
      <c r="G742" t="s">
        <v>41</v>
      </c>
      <c r="H742" t="s">
        <v>25</v>
      </c>
      <c r="I742" s="1">
        <v>3</v>
      </c>
      <c r="J742" s="2">
        <v>46117</v>
      </c>
      <c r="K742" s="2">
        <f t="shared" si="23"/>
        <v>46113</v>
      </c>
      <c r="L742" s="1" t="str">
        <f>TEXT(J742,"ddd")</f>
        <v>dom</v>
      </c>
      <c r="M742" s="1" t="str">
        <f>TEXT($J742,"mmm")</f>
        <v>abr</v>
      </c>
      <c r="N742">
        <f>YEAR(J742)</f>
        <v>2026</v>
      </c>
      <c r="O742" s="2"/>
      <c r="P742" t="str">
        <f t="shared" si="22"/>
        <v>190846117</v>
      </c>
    </row>
    <row r="743" spans="1:16" x14ac:dyDescent="0.3">
      <c r="A743">
        <v>1908</v>
      </c>
      <c r="B743">
        <v>54</v>
      </c>
      <c r="C743" t="s">
        <v>26</v>
      </c>
      <c r="D743" t="s">
        <v>16</v>
      </c>
      <c r="E743" t="s">
        <v>17</v>
      </c>
      <c r="F743" t="s">
        <v>18</v>
      </c>
      <c r="G743" t="s">
        <v>41</v>
      </c>
      <c r="H743" t="s">
        <v>25</v>
      </c>
      <c r="I743" s="1">
        <v>3</v>
      </c>
      <c r="J743" s="2">
        <v>46124</v>
      </c>
      <c r="K743" s="2">
        <f t="shared" si="23"/>
        <v>46113</v>
      </c>
      <c r="L743" s="1" t="str">
        <f>TEXT(J743,"ddd")</f>
        <v>dom</v>
      </c>
      <c r="M743" s="1" t="str">
        <f>TEXT($J743,"mmm")</f>
        <v>abr</v>
      </c>
      <c r="N743">
        <f>YEAR(J743)</f>
        <v>2026</v>
      </c>
      <c r="O743" s="2"/>
      <c r="P743" t="str">
        <f t="shared" si="22"/>
        <v>190846124</v>
      </c>
    </row>
    <row r="744" spans="1:16" x14ac:dyDescent="0.3">
      <c r="A744">
        <v>1908</v>
      </c>
      <c r="B744">
        <v>54</v>
      </c>
      <c r="C744" t="s">
        <v>26</v>
      </c>
      <c r="D744" t="s">
        <v>16</v>
      </c>
      <c r="E744" t="s">
        <v>17</v>
      </c>
      <c r="F744" t="s">
        <v>18</v>
      </c>
      <c r="G744" t="s">
        <v>41</v>
      </c>
      <c r="H744" t="s">
        <v>25</v>
      </c>
      <c r="I744" s="1">
        <v>3</v>
      </c>
      <c r="J744" s="2">
        <v>46143</v>
      </c>
      <c r="K744" s="2">
        <f t="shared" si="23"/>
        <v>46143</v>
      </c>
      <c r="L744" s="1" t="s">
        <v>52</v>
      </c>
      <c r="M744" s="1" t="s">
        <v>49</v>
      </c>
      <c r="N744">
        <v>2025</v>
      </c>
      <c r="O744" s="2"/>
      <c r="P744" t="str">
        <f t="shared" si="22"/>
        <v>190846143</v>
      </c>
    </row>
    <row r="745" spans="1:16" x14ac:dyDescent="0.3">
      <c r="A745">
        <v>1908</v>
      </c>
      <c r="B745">
        <v>54</v>
      </c>
      <c r="C745" t="s">
        <v>26</v>
      </c>
      <c r="D745" t="s">
        <v>16</v>
      </c>
      <c r="E745" t="s">
        <v>17</v>
      </c>
      <c r="F745" t="s">
        <v>18</v>
      </c>
      <c r="G745" t="s">
        <v>41</v>
      </c>
      <c r="H745" t="s">
        <v>25</v>
      </c>
      <c r="I745" s="1">
        <v>3</v>
      </c>
      <c r="J745" s="2">
        <v>46145</v>
      </c>
      <c r="K745" s="2">
        <f t="shared" si="23"/>
        <v>46143</v>
      </c>
      <c r="L745" s="1" t="s">
        <v>54</v>
      </c>
      <c r="M745" s="1" t="s">
        <v>49</v>
      </c>
      <c r="N745">
        <v>2025</v>
      </c>
      <c r="O745" s="2"/>
      <c r="P745" t="str">
        <f t="shared" si="22"/>
        <v>190846145</v>
      </c>
    </row>
    <row r="746" spans="1:16" x14ac:dyDescent="0.3">
      <c r="A746">
        <v>1912</v>
      </c>
      <c r="B746">
        <v>24</v>
      </c>
      <c r="C746" t="s">
        <v>26</v>
      </c>
      <c r="D746" t="s">
        <v>22</v>
      </c>
      <c r="E746" t="s">
        <v>17</v>
      </c>
      <c r="F746" t="s">
        <v>21</v>
      </c>
      <c r="G746" t="s">
        <v>41</v>
      </c>
      <c r="H746" t="s">
        <v>25</v>
      </c>
      <c r="I746" s="1">
        <v>2</v>
      </c>
      <c r="J746" s="2">
        <v>46148</v>
      </c>
      <c r="K746" s="2">
        <f t="shared" si="23"/>
        <v>46143</v>
      </c>
      <c r="L746" s="1" t="str">
        <f>TEXT(J746,"ddd")</f>
        <v>qua</v>
      </c>
      <c r="M746" s="1" t="str">
        <f>TEXT($J746,"mmm")</f>
        <v>mai</v>
      </c>
      <c r="N746">
        <f>YEAR(J746)</f>
        <v>2026</v>
      </c>
      <c r="O746" s="2"/>
      <c r="P746" t="str">
        <f t="shared" si="22"/>
        <v>191246148</v>
      </c>
    </row>
    <row r="747" spans="1:16" x14ac:dyDescent="0.3">
      <c r="A747">
        <v>1912</v>
      </c>
      <c r="B747">
        <v>24</v>
      </c>
      <c r="C747" t="s">
        <v>26</v>
      </c>
      <c r="D747" t="s">
        <v>22</v>
      </c>
      <c r="E747" t="s">
        <v>17</v>
      </c>
      <c r="F747" t="s">
        <v>21</v>
      </c>
      <c r="G747" t="s">
        <v>41</v>
      </c>
      <c r="H747" t="s">
        <v>25</v>
      </c>
      <c r="I747" s="1">
        <v>2</v>
      </c>
      <c r="J747" s="2">
        <v>46161</v>
      </c>
      <c r="K747" s="2">
        <f t="shared" si="23"/>
        <v>46143</v>
      </c>
      <c r="L747" s="1" t="s">
        <v>56</v>
      </c>
      <c r="M747" s="1" t="s">
        <v>49</v>
      </c>
      <c r="N747">
        <v>2025</v>
      </c>
      <c r="O747" s="2"/>
      <c r="P747" t="str">
        <f t="shared" si="22"/>
        <v>191246161</v>
      </c>
    </row>
    <row r="748" spans="1:16" x14ac:dyDescent="0.3">
      <c r="A748">
        <v>1913</v>
      </c>
      <c r="B748">
        <v>49</v>
      </c>
      <c r="C748" t="s">
        <v>15</v>
      </c>
      <c r="D748" t="s">
        <v>16</v>
      </c>
      <c r="E748" t="s">
        <v>17</v>
      </c>
      <c r="F748" t="s">
        <v>18</v>
      </c>
      <c r="G748" t="s">
        <v>41</v>
      </c>
      <c r="H748" t="s">
        <v>25</v>
      </c>
      <c r="I748" s="1">
        <v>2</v>
      </c>
      <c r="J748" s="2">
        <v>46124</v>
      </c>
      <c r="K748" s="2">
        <f t="shared" si="23"/>
        <v>46113</v>
      </c>
      <c r="L748" s="1" t="str">
        <f>TEXT(J748,"ddd")</f>
        <v>dom</v>
      </c>
      <c r="M748" s="1" t="str">
        <f>TEXT($J748,"mmm")</f>
        <v>abr</v>
      </c>
      <c r="N748">
        <f>YEAR(J748)</f>
        <v>2026</v>
      </c>
      <c r="O748" s="2"/>
      <c r="P748" t="str">
        <f t="shared" si="22"/>
        <v>191346124</v>
      </c>
    </row>
    <row r="749" spans="1:16" x14ac:dyDescent="0.3">
      <c r="A749">
        <v>1913</v>
      </c>
      <c r="B749">
        <v>49</v>
      </c>
      <c r="C749" t="s">
        <v>15</v>
      </c>
      <c r="D749" t="s">
        <v>16</v>
      </c>
      <c r="E749" t="s">
        <v>17</v>
      </c>
      <c r="F749" t="s">
        <v>18</v>
      </c>
      <c r="G749" t="s">
        <v>41</v>
      </c>
      <c r="H749" t="s">
        <v>25</v>
      </c>
      <c r="I749" s="1">
        <v>2</v>
      </c>
      <c r="J749" s="2">
        <v>46127</v>
      </c>
      <c r="K749" s="2">
        <f t="shared" si="23"/>
        <v>46113</v>
      </c>
      <c r="L749" s="1" t="s">
        <v>50</v>
      </c>
      <c r="M749" s="1" t="s">
        <v>48</v>
      </c>
      <c r="N749">
        <v>2025</v>
      </c>
      <c r="O749" s="2"/>
      <c r="P749" t="str">
        <f t="shared" si="22"/>
        <v>191346127</v>
      </c>
    </row>
    <row r="750" spans="1:16" x14ac:dyDescent="0.3">
      <c r="A750">
        <v>1916</v>
      </c>
      <c r="B750">
        <v>18</v>
      </c>
      <c r="C750" t="s">
        <v>15</v>
      </c>
      <c r="D750" t="s">
        <v>27</v>
      </c>
      <c r="E750" t="s">
        <v>17</v>
      </c>
      <c r="F750" t="s">
        <v>23</v>
      </c>
      <c r="G750" t="s">
        <v>41</v>
      </c>
      <c r="H750" t="s">
        <v>25</v>
      </c>
      <c r="I750" s="1">
        <v>1</v>
      </c>
      <c r="J750" s="2">
        <v>46152</v>
      </c>
      <c r="K750" s="2">
        <f t="shared" si="23"/>
        <v>46143</v>
      </c>
      <c r="L750" s="1" t="str">
        <f>TEXT(J750,"ddd")</f>
        <v>dom</v>
      </c>
      <c r="M750" s="1" t="str">
        <f>TEXT($J750,"mmm")</f>
        <v>mai</v>
      </c>
      <c r="N750">
        <f>YEAR(J750)</f>
        <v>2026</v>
      </c>
      <c r="O750" s="2"/>
      <c r="P750" t="str">
        <f t="shared" si="22"/>
        <v>191646152</v>
      </c>
    </row>
    <row r="751" spans="1:16" x14ac:dyDescent="0.3">
      <c r="A751">
        <v>1916</v>
      </c>
      <c r="B751">
        <v>18</v>
      </c>
      <c r="C751" t="s">
        <v>15</v>
      </c>
      <c r="D751" t="s">
        <v>27</v>
      </c>
      <c r="E751" t="s">
        <v>17</v>
      </c>
      <c r="F751" t="s">
        <v>23</v>
      </c>
      <c r="G751" t="s">
        <v>41</v>
      </c>
      <c r="H751" t="s">
        <v>25</v>
      </c>
      <c r="I751" s="1">
        <v>1</v>
      </c>
      <c r="J751" s="2">
        <v>46148</v>
      </c>
      <c r="K751" s="2">
        <f t="shared" si="23"/>
        <v>46143</v>
      </c>
      <c r="L751" s="1" t="s">
        <v>54</v>
      </c>
      <c r="M751" s="1" t="s">
        <v>49</v>
      </c>
      <c r="N751">
        <v>2025</v>
      </c>
      <c r="O751" s="2"/>
      <c r="P751" t="str">
        <f t="shared" si="22"/>
        <v>191646148</v>
      </c>
    </row>
    <row r="752" spans="1:16" x14ac:dyDescent="0.3">
      <c r="A752">
        <v>1917</v>
      </c>
      <c r="B752">
        <v>31</v>
      </c>
      <c r="C752" t="s">
        <v>15</v>
      </c>
      <c r="D752" t="s">
        <v>27</v>
      </c>
      <c r="E752" t="s">
        <v>17</v>
      </c>
      <c r="F752" t="s">
        <v>21</v>
      </c>
      <c r="G752" t="s">
        <v>41</v>
      </c>
      <c r="H752" t="s">
        <v>25</v>
      </c>
      <c r="I752" s="1">
        <v>1</v>
      </c>
      <c r="J752" s="2">
        <v>46117</v>
      </c>
      <c r="K752" s="2">
        <f t="shared" si="23"/>
        <v>46113</v>
      </c>
      <c r="L752" s="1" t="str">
        <f>TEXT(J752,"ddd")</f>
        <v>dom</v>
      </c>
      <c r="M752" s="1" t="str">
        <f>TEXT($J752,"mmm")</f>
        <v>abr</v>
      </c>
      <c r="N752">
        <f>YEAR(J752)</f>
        <v>2026</v>
      </c>
      <c r="O752" s="2"/>
      <c r="P752" t="str">
        <f t="shared" si="22"/>
        <v>191746117</v>
      </c>
    </row>
    <row r="753" spans="1:16" x14ac:dyDescent="0.3">
      <c r="A753">
        <v>1917</v>
      </c>
      <c r="B753">
        <v>31</v>
      </c>
      <c r="C753" t="s">
        <v>15</v>
      </c>
      <c r="D753" t="s">
        <v>27</v>
      </c>
      <c r="E753" t="s">
        <v>17</v>
      </c>
      <c r="F753" t="s">
        <v>21</v>
      </c>
      <c r="G753" t="s">
        <v>41</v>
      </c>
      <c r="H753" t="s">
        <v>25</v>
      </c>
      <c r="I753" s="1">
        <v>1</v>
      </c>
      <c r="J753" s="2">
        <v>46124</v>
      </c>
      <c r="K753" s="2">
        <f t="shared" si="23"/>
        <v>46113</v>
      </c>
      <c r="L753" s="1" t="s">
        <v>54</v>
      </c>
      <c r="M753" s="1" t="s">
        <v>48</v>
      </c>
      <c r="N753">
        <v>2025</v>
      </c>
      <c r="O753" s="2"/>
      <c r="P753" t="str">
        <f t="shared" si="22"/>
        <v>191746124</v>
      </c>
    </row>
    <row r="754" spans="1:16" x14ac:dyDescent="0.3">
      <c r="A754">
        <v>1918</v>
      </c>
      <c r="B754">
        <v>45</v>
      </c>
      <c r="C754" t="s">
        <v>26</v>
      </c>
      <c r="D754" t="s">
        <v>29</v>
      </c>
      <c r="E754" t="s">
        <v>17</v>
      </c>
      <c r="F754" t="s">
        <v>18</v>
      </c>
      <c r="G754" t="s">
        <v>41</v>
      </c>
      <c r="H754" t="s">
        <v>25</v>
      </c>
      <c r="I754" s="1">
        <v>1</v>
      </c>
      <c r="J754" s="2">
        <v>46124</v>
      </c>
      <c r="K754" s="2">
        <f t="shared" si="23"/>
        <v>46113</v>
      </c>
      <c r="L754" s="1" t="str">
        <f>TEXT(J754,"ddd")</f>
        <v>dom</v>
      </c>
      <c r="M754" s="1" t="str">
        <f>TEXT($J754,"mmm")</f>
        <v>abr</v>
      </c>
      <c r="N754">
        <f>YEAR(J754)</f>
        <v>2026</v>
      </c>
      <c r="O754" s="2"/>
      <c r="P754" t="str">
        <f t="shared" si="22"/>
        <v>191846124</v>
      </c>
    </row>
    <row r="755" spans="1:16" x14ac:dyDescent="0.3">
      <c r="A755">
        <v>1918</v>
      </c>
      <c r="B755">
        <v>45</v>
      </c>
      <c r="C755" t="s">
        <v>26</v>
      </c>
      <c r="D755" t="s">
        <v>29</v>
      </c>
      <c r="E755" t="s">
        <v>17</v>
      </c>
      <c r="F755" t="s">
        <v>18</v>
      </c>
      <c r="G755" t="s">
        <v>41</v>
      </c>
      <c r="H755" t="s">
        <v>25</v>
      </c>
      <c r="I755" s="1">
        <v>1</v>
      </c>
      <c r="J755" s="2">
        <v>46168</v>
      </c>
      <c r="K755" s="2">
        <f t="shared" si="23"/>
        <v>46143</v>
      </c>
      <c r="L755" s="1" t="s">
        <v>56</v>
      </c>
      <c r="M755" s="1" t="s">
        <v>49</v>
      </c>
      <c r="N755">
        <v>2025</v>
      </c>
      <c r="O755" s="2"/>
      <c r="P755" t="str">
        <f t="shared" si="22"/>
        <v>191846168</v>
      </c>
    </row>
    <row r="756" spans="1:16" x14ac:dyDescent="0.3">
      <c r="A756">
        <v>1919</v>
      </c>
      <c r="B756">
        <v>30</v>
      </c>
      <c r="C756" t="s">
        <v>26</v>
      </c>
      <c r="D756" t="s">
        <v>16</v>
      </c>
      <c r="E756" t="s">
        <v>17</v>
      </c>
      <c r="F756" t="s">
        <v>23</v>
      </c>
      <c r="G756" t="s">
        <v>41</v>
      </c>
      <c r="H756" t="s">
        <v>25</v>
      </c>
      <c r="I756" s="1">
        <v>3</v>
      </c>
      <c r="J756" s="2">
        <v>46117</v>
      </c>
      <c r="K756" s="2">
        <f t="shared" si="23"/>
        <v>46113</v>
      </c>
      <c r="L756" s="1" t="str">
        <f>TEXT(J756,"ddd")</f>
        <v>dom</v>
      </c>
      <c r="M756" s="1" t="str">
        <f>TEXT($J756,"mmm")</f>
        <v>abr</v>
      </c>
      <c r="N756">
        <f>YEAR(J756)</f>
        <v>2026</v>
      </c>
      <c r="O756" s="2"/>
      <c r="P756" t="str">
        <f t="shared" si="22"/>
        <v>191946117</v>
      </c>
    </row>
    <row r="757" spans="1:16" x14ac:dyDescent="0.3">
      <c r="A757">
        <v>1919</v>
      </c>
      <c r="B757">
        <v>30</v>
      </c>
      <c r="C757" t="s">
        <v>26</v>
      </c>
      <c r="D757" t="s">
        <v>16</v>
      </c>
      <c r="E757" t="s">
        <v>17</v>
      </c>
      <c r="F757" t="s">
        <v>23</v>
      </c>
      <c r="G757" t="s">
        <v>41</v>
      </c>
      <c r="H757" t="s">
        <v>25</v>
      </c>
      <c r="I757" s="1">
        <v>3</v>
      </c>
      <c r="J757" s="2">
        <v>46122</v>
      </c>
      <c r="K757" s="2">
        <f t="shared" si="23"/>
        <v>46113</v>
      </c>
      <c r="L757" s="1" t="s">
        <v>52</v>
      </c>
      <c r="M757" s="1" t="s">
        <v>48</v>
      </c>
      <c r="N757">
        <v>2025</v>
      </c>
      <c r="O757" s="2"/>
      <c r="P757" t="str">
        <f t="shared" si="22"/>
        <v>191946122</v>
      </c>
    </row>
    <row r="758" spans="1:16" x14ac:dyDescent="0.3">
      <c r="A758">
        <v>1920</v>
      </c>
      <c r="B758">
        <v>52</v>
      </c>
      <c r="C758" t="s">
        <v>15</v>
      </c>
      <c r="D758" t="s">
        <v>31</v>
      </c>
      <c r="E758" t="s">
        <v>32</v>
      </c>
      <c r="F758" t="s">
        <v>23</v>
      </c>
      <c r="G758" t="s">
        <v>41</v>
      </c>
      <c r="H758" t="s">
        <v>25</v>
      </c>
      <c r="I758" s="1">
        <v>1</v>
      </c>
      <c r="J758" s="2">
        <v>46117</v>
      </c>
      <c r="K758" s="2">
        <f t="shared" si="23"/>
        <v>46113</v>
      </c>
      <c r="L758" s="1" t="str">
        <f>TEXT(J758,"ddd")</f>
        <v>dom</v>
      </c>
      <c r="M758" s="1" t="str">
        <f>TEXT($J758,"mmm")</f>
        <v>abr</v>
      </c>
      <c r="N758">
        <f>YEAR(J758)</f>
        <v>2026</v>
      </c>
      <c r="O758" s="2"/>
      <c r="P758" t="str">
        <f t="shared" si="22"/>
        <v>192046117</v>
      </c>
    </row>
    <row r="759" spans="1:16" x14ac:dyDescent="0.3">
      <c r="A759">
        <v>1920</v>
      </c>
      <c r="B759">
        <v>52</v>
      </c>
      <c r="C759" t="s">
        <v>15</v>
      </c>
      <c r="D759" t="s">
        <v>31</v>
      </c>
      <c r="E759" t="s">
        <v>32</v>
      </c>
      <c r="F759" t="s">
        <v>23</v>
      </c>
      <c r="G759" t="s">
        <v>41</v>
      </c>
      <c r="H759" t="s">
        <v>25</v>
      </c>
      <c r="I759" s="1">
        <v>1</v>
      </c>
      <c r="J759" s="2">
        <v>46160</v>
      </c>
      <c r="K759" s="2">
        <f t="shared" si="23"/>
        <v>46143</v>
      </c>
      <c r="L759" s="1" t="s">
        <v>55</v>
      </c>
      <c r="M759" s="1" t="s">
        <v>49</v>
      </c>
      <c r="N759">
        <v>2025</v>
      </c>
      <c r="O759" s="2"/>
      <c r="P759" t="str">
        <f t="shared" si="22"/>
        <v>192046160</v>
      </c>
    </row>
    <row r="760" spans="1:16" x14ac:dyDescent="0.3">
      <c r="A760">
        <v>1922</v>
      </c>
      <c r="B760">
        <v>21</v>
      </c>
      <c r="C760" t="s">
        <v>15</v>
      </c>
      <c r="D760" t="s">
        <v>29</v>
      </c>
      <c r="E760" t="s">
        <v>17</v>
      </c>
      <c r="F760" t="s">
        <v>21</v>
      </c>
      <c r="G760" t="s">
        <v>41</v>
      </c>
      <c r="H760" t="s">
        <v>25</v>
      </c>
      <c r="I760" s="1">
        <v>1</v>
      </c>
      <c r="J760" s="2">
        <v>46145</v>
      </c>
      <c r="K760" s="2">
        <f t="shared" si="23"/>
        <v>46143</v>
      </c>
      <c r="L760" s="1" t="str">
        <f>TEXT(J760,"ddd")</f>
        <v>dom</v>
      </c>
      <c r="M760" s="1" t="str">
        <f>TEXT($J760,"mmm")</f>
        <v>mai</v>
      </c>
      <c r="N760">
        <f>YEAR(J760)</f>
        <v>2026</v>
      </c>
      <c r="O760" s="2"/>
      <c r="P760" t="str">
        <f t="shared" si="22"/>
        <v>192246145</v>
      </c>
    </row>
    <row r="761" spans="1:16" x14ac:dyDescent="0.3">
      <c r="A761">
        <v>1922</v>
      </c>
      <c r="B761">
        <v>21</v>
      </c>
      <c r="C761" t="s">
        <v>15</v>
      </c>
      <c r="D761" t="s">
        <v>29</v>
      </c>
      <c r="E761" t="s">
        <v>17</v>
      </c>
      <c r="F761" t="s">
        <v>21</v>
      </c>
      <c r="G761" t="s">
        <v>41</v>
      </c>
      <c r="H761" t="s">
        <v>25</v>
      </c>
      <c r="I761" s="1">
        <v>1</v>
      </c>
      <c r="J761" s="2">
        <v>46117</v>
      </c>
      <c r="K761" s="2">
        <f t="shared" si="23"/>
        <v>46113</v>
      </c>
      <c r="L761" s="1" t="str">
        <f>TEXT(J761,"ddd")</f>
        <v>dom</v>
      </c>
      <c r="M761" s="1" t="str">
        <f>TEXT($J761,"mmm")</f>
        <v>abr</v>
      </c>
      <c r="N761">
        <f>YEAR(J761)</f>
        <v>2026</v>
      </c>
      <c r="O761" s="2"/>
      <c r="P761" t="str">
        <f t="shared" si="22"/>
        <v>192246117</v>
      </c>
    </row>
    <row r="762" spans="1:16" x14ac:dyDescent="0.3">
      <c r="A762">
        <v>1922</v>
      </c>
      <c r="B762">
        <v>21</v>
      </c>
      <c r="C762" t="s">
        <v>15</v>
      </c>
      <c r="D762" t="s">
        <v>29</v>
      </c>
      <c r="E762" t="s">
        <v>17</v>
      </c>
      <c r="F762" t="s">
        <v>21</v>
      </c>
      <c r="G762" t="s">
        <v>41</v>
      </c>
      <c r="H762" t="s">
        <v>25</v>
      </c>
      <c r="I762" s="1">
        <v>1</v>
      </c>
      <c r="J762" s="2">
        <v>46124</v>
      </c>
      <c r="K762" s="2">
        <f t="shared" si="23"/>
        <v>46113</v>
      </c>
      <c r="L762" s="1" t="s">
        <v>54</v>
      </c>
      <c r="M762" s="1" t="s">
        <v>49</v>
      </c>
      <c r="N762">
        <v>2025</v>
      </c>
      <c r="O762" s="2"/>
      <c r="P762" t="str">
        <f t="shared" si="22"/>
        <v>192246124</v>
      </c>
    </row>
    <row r="763" spans="1:16" x14ac:dyDescent="0.3">
      <c r="A763">
        <v>1922</v>
      </c>
      <c r="B763">
        <v>21</v>
      </c>
      <c r="C763" t="s">
        <v>15</v>
      </c>
      <c r="D763" t="s">
        <v>29</v>
      </c>
      <c r="E763" t="s">
        <v>17</v>
      </c>
      <c r="F763" t="s">
        <v>21</v>
      </c>
      <c r="G763" t="s">
        <v>41</v>
      </c>
      <c r="H763" t="s">
        <v>25</v>
      </c>
      <c r="I763" s="1">
        <v>1</v>
      </c>
      <c r="J763" s="2">
        <v>46159</v>
      </c>
      <c r="K763" s="2">
        <f t="shared" si="23"/>
        <v>46143</v>
      </c>
      <c r="L763" s="1" t="s">
        <v>54</v>
      </c>
      <c r="M763" s="1" t="s">
        <v>49</v>
      </c>
      <c r="N763">
        <v>2025</v>
      </c>
      <c r="O763" s="2"/>
      <c r="P763" t="str">
        <f t="shared" si="22"/>
        <v>192246159</v>
      </c>
    </row>
    <row r="764" spans="1:16" x14ac:dyDescent="0.3">
      <c r="A764">
        <v>1924</v>
      </c>
      <c r="B764">
        <v>38</v>
      </c>
      <c r="C764" t="s">
        <v>15</v>
      </c>
      <c r="D764" t="s">
        <v>16</v>
      </c>
      <c r="E764" t="s">
        <v>17</v>
      </c>
      <c r="F764" t="s">
        <v>23</v>
      </c>
      <c r="G764" t="s">
        <v>41</v>
      </c>
      <c r="H764" t="s">
        <v>25</v>
      </c>
      <c r="I764" s="1">
        <v>2</v>
      </c>
      <c r="J764" s="2">
        <v>46130</v>
      </c>
      <c r="K764" s="2">
        <f t="shared" si="23"/>
        <v>46113</v>
      </c>
      <c r="L764" s="1" t="str">
        <f>TEXT(J764,"ddd")</f>
        <v>sáb</v>
      </c>
      <c r="M764" s="1" t="str">
        <f>TEXT($J764,"mmm")</f>
        <v>abr</v>
      </c>
      <c r="N764">
        <f>YEAR(J764)</f>
        <v>2026</v>
      </c>
      <c r="O764" s="2"/>
      <c r="P764" t="str">
        <f t="shared" si="22"/>
        <v>192446130</v>
      </c>
    </row>
    <row r="765" spans="1:16" x14ac:dyDescent="0.3">
      <c r="A765">
        <v>1924</v>
      </c>
      <c r="B765">
        <v>38</v>
      </c>
      <c r="C765" t="s">
        <v>15</v>
      </c>
      <c r="D765" t="s">
        <v>16</v>
      </c>
      <c r="E765" t="s">
        <v>17</v>
      </c>
      <c r="F765" t="s">
        <v>23</v>
      </c>
      <c r="G765" t="s">
        <v>41</v>
      </c>
      <c r="H765" t="s">
        <v>25</v>
      </c>
      <c r="I765" s="1">
        <v>2</v>
      </c>
      <c r="J765" s="2">
        <v>46117</v>
      </c>
      <c r="K765" s="2">
        <f t="shared" si="23"/>
        <v>46113</v>
      </c>
      <c r="L765" s="1" t="s">
        <v>53</v>
      </c>
      <c r="M765" s="1" t="s">
        <v>48</v>
      </c>
      <c r="N765">
        <v>2025</v>
      </c>
      <c r="O765" s="2"/>
      <c r="P765" t="str">
        <f t="shared" si="22"/>
        <v>192446117</v>
      </c>
    </row>
    <row r="766" spans="1:16" x14ac:dyDescent="0.3">
      <c r="A766">
        <v>1925</v>
      </c>
      <c r="B766">
        <v>54</v>
      </c>
      <c r="C766" t="s">
        <v>15</v>
      </c>
      <c r="D766" t="s">
        <v>16</v>
      </c>
      <c r="E766" t="s">
        <v>17</v>
      </c>
      <c r="F766" t="s">
        <v>23</v>
      </c>
      <c r="G766" t="s">
        <v>41</v>
      </c>
      <c r="H766" t="s">
        <v>25</v>
      </c>
      <c r="I766" s="1">
        <v>3</v>
      </c>
      <c r="J766" s="2">
        <v>46153</v>
      </c>
      <c r="K766" s="2">
        <f t="shared" si="23"/>
        <v>46143</v>
      </c>
      <c r="L766" s="1" t="str">
        <f>TEXT(J766,"ddd")</f>
        <v>seg</v>
      </c>
      <c r="M766" s="1" t="str">
        <f>TEXT($J766,"mmm")</f>
        <v>mai</v>
      </c>
      <c r="N766">
        <f>YEAR(J766)</f>
        <v>2026</v>
      </c>
      <c r="O766" s="2"/>
      <c r="P766" t="str">
        <f t="shared" si="22"/>
        <v>192546153</v>
      </c>
    </row>
    <row r="767" spans="1:16" x14ac:dyDescent="0.3">
      <c r="A767">
        <v>1925</v>
      </c>
      <c r="B767">
        <v>54</v>
      </c>
      <c r="C767" t="s">
        <v>15</v>
      </c>
      <c r="D767" t="s">
        <v>16</v>
      </c>
      <c r="E767" t="s">
        <v>17</v>
      </c>
      <c r="F767" t="s">
        <v>23</v>
      </c>
      <c r="G767" t="s">
        <v>41</v>
      </c>
      <c r="H767" t="s">
        <v>25</v>
      </c>
      <c r="I767" s="1">
        <v>3</v>
      </c>
      <c r="J767" s="2">
        <v>46117</v>
      </c>
      <c r="K767" s="2">
        <f t="shared" si="23"/>
        <v>46113</v>
      </c>
      <c r="L767" s="1" t="s">
        <v>55</v>
      </c>
      <c r="M767" s="1" t="s">
        <v>49</v>
      </c>
      <c r="N767">
        <v>2025</v>
      </c>
      <c r="O767" s="2"/>
      <c r="P767" t="str">
        <f t="shared" si="22"/>
        <v>192546117</v>
      </c>
    </row>
    <row r="768" spans="1:16" x14ac:dyDescent="0.3">
      <c r="A768">
        <v>1926</v>
      </c>
      <c r="B768">
        <v>46</v>
      </c>
      <c r="C768" t="s">
        <v>26</v>
      </c>
      <c r="D768" t="s">
        <v>27</v>
      </c>
      <c r="E768" t="s">
        <v>17</v>
      </c>
      <c r="F768" t="s">
        <v>21</v>
      </c>
      <c r="G768" t="s">
        <v>41</v>
      </c>
      <c r="H768" t="s">
        <v>25</v>
      </c>
      <c r="I768" s="1">
        <v>2</v>
      </c>
      <c r="J768" s="2">
        <v>46124</v>
      </c>
      <c r="K768" s="2">
        <f t="shared" si="23"/>
        <v>46113</v>
      </c>
      <c r="L768" s="1" t="str">
        <f>TEXT(J768,"ddd")</f>
        <v>dom</v>
      </c>
      <c r="M768" s="1" t="str">
        <f>TEXT($J768,"mmm")</f>
        <v>abr</v>
      </c>
      <c r="N768">
        <f>YEAR(J768)</f>
        <v>2026</v>
      </c>
      <c r="O768" s="2"/>
      <c r="P768" t="str">
        <f t="shared" si="22"/>
        <v>192646124</v>
      </c>
    </row>
    <row r="769" spans="1:16" x14ac:dyDescent="0.3">
      <c r="A769">
        <v>1926</v>
      </c>
      <c r="B769">
        <v>46</v>
      </c>
      <c r="C769" t="s">
        <v>26</v>
      </c>
      <c r="D769" t="s">
        <v>27</v>
      </c>
      <c r="E769" t="s">
        <v>17</v>
      </c>
      <c r="F769" t="s">
        <v>21</v>
      </c>
      <c r="G769" t="s">
        <v>41</v>
      </c>
      <c r="H769" t="s">
        <v>25</v>
      </c>
      <c r="I769" s="1">
        <v>2</v>
      </c>
      <c r="J769" s="2">
        <v>46158</v>
      </c>
      <c r="K769" s="2">
        <f t="shared" si="23"/>
        <v>46143</v>
      </c>
      <c r="L769" s="1" t="s">
        <v>53</v>
      </c>
      <c r="M769" s="1" t="s">
        <v>49</v>
      </c>
      <c r="N769">
        <v>2025</v>
      </c>
      <c r="O769" s="2"/>
      <c r="P769" t="str">
        <f t="shared" ref="P769:P832" si="24">CONCATENATE(A769,J769)</f>
        <v>192646158</v>
      </c>
    </row>
    <row r="770" spans="1:16" x14ac:dyDescent="0.3">
      <c r="A770">
        <v>1927</v>
      </c>
      <c r="B770">
        <v>24</v>
      </c>
      <c r="C770" t="s">
        <v>15</v>
      </c>
      <c r="D770" t="s">
        <v>16</v>
      </c>
      <c r="E770" t="s">
        <v>17</v>
      </c>
      <c r="F770" t="s">
        <v>21</v>
      </c>
      <c r="G770" t="s">
        <v>41</v>
      </c>
      <c r="H770" t="s">
        <v>25</v>
      </c>
      <c r="I770" s="1">
        <v>2</v>
      </c>
      <c r="J770" s="2">
        <v>46117</v>
      </c>
      <c r="K770" s="2">
        <f t="shared" si="23"/>
        <v>46113</v>
      </c>
      <c r="L770" s="1" t="str">
        <f>TEXT(J770,"ddd")</f>
        <v>dom</v>
      </c>
      <c r="M770" s="1" t="str">
        <f>TEXT($J770,"mmm")</f>
        <v>abr</v>
      </c>
      <c r="N770">
        <f>YEAR(J770)</f>
        <v>2026</v>
      </c>
      <c r="O770" s="2"/>
      <c r="P770" t="str">
        <f t="shared" si="24"/>
        <v>192746117</v>
      </c>
    </row>
    <row r="771" spans="1:16" x14ac:dyDescent="0.3">
      <c r="A771">
        <v>1927</v>
      </c>
      <c r="B771">
        <v>24</v>
      </c>
      <c r="C771" t="s">
        <v>15</v>
      </c>
      <c r="D771" t="s">
        <v>16</v>
      </c>
      <c r="E771" t="s">
        <v>17</v>
      </c>
      <c r="F771" t="s">
        <v>21</v>
      </c>
      <c r="G771" t="s">
        <v>41</v>
      </c>
      <c r="H771" t="s">
        <v>25</v>
      </c>
      <c r="I771" s="1">
        <v>2</v>
      </c>
      <c r="J771" s="2">
        <v>46124</v>
      </c>
      <c r="K771" s="2">
        <f t="shared" ref="K771:K834" si="25">DATE(YEAR(J771),MONTH(J771),1)</f>
        <v>46113</v>
      </c>
      <c r="L771" s="1" t="str">
        <f>TEXT(J771,"ddd")</f>
        <v>dom</v>
      </c>
      <c r="M771" s="1" t="str">
        <f>TEXT($J771,"mmm")</f>
        <v>abr</v>
      </c>
      <c r="N771">
        <f>YEAR(J771)</f>
        <v>2026</v>
      </c>
      <c r="O771" s="2"/>
      <c r="P771" t="str">
        <f t="shared" si="24"/>
        <v>192746124</v>
      </c>
    </row>
    <row r="772" spans="1:16" x14ac:dyDescent="0.3">
      <c r="A772">
        <v>1927</v>
      </c>
      <c r="B772">
        <v>24</v>
      </c>
      <c r="C772" t="s">
        <v>15</v>
      </c>
      <c r="D772" t="s">
        <v>16</v>
      </c>
      <c r="E772" t="s">
        <v>17</v>
      </c>
      <c r="F772" t="s">
        <v>21</v>
      </c>
      <c r="G772" t="s">
        <v>41</v>
      </c>
      <c r="H772" t="s">
        <v>25</v>
      </c>
      <c r="I772" s="1">
        <v>2</v>
      </c>
      <c r="J772" s="2">
        <v>46122</v>
      </c>
      <c r="K772" s="2">
        <f t="shared" si="25"/>
        <v>46113</v>
      </c>
      <c r="L772" s="1" t="s">
        <v>52</v>
      </c>
      <c r="M772" s="1" t="s">
        <v>48</v>
      </c>
      <c r="N772">
        <v>2025</v>
      </c>
      <c r="O772" s="2"/>
      <c r="P772" t="str">
        <f t="shared" si="24"/>
        <v>192746122</v>
      </c>
    </row>
    <row r="773" spans="1:16" x14ac:dyDescent="0.3">
      <c r="A773">
        <v>1927</v>
      </c>
      <c r="B773">
        <v>24</v>
      </c>
      <c r="C773" t="s">
        <v>15</v>
      </c>
      <c r="D773" t="s">
        <v>16</v>
      </c>
      <c r="E773" t="s">
        <v>17</v>
      </c>
      <c r="F773" t="s">
        <v>21</v>
      </c>
      <c r="G773" t="s">
        <v>41</v>
      </c>
      <c r="H773" t="s">
        <v>25</v>
      </c>
      <c r="I773" s="1">
        <v>2</v>
      </c>
      <c r="J773" s="2">
        <v>46133</v>
      </c>
      <c r="K773" s="2">
        <f t="shared" si="25"/>
        <v>46113</v>
      </c>
      <c r="L773" s="1" t="s">
        <v>56</v>
      </c>
      <c r="M773" s="1" t="s">
        <v>48</v>
      </c>
      <c r="N773">
        <v>2025</v>
      </c>
      <c r="O773" s="2"/>
      <c r="P773" t="str">
        <f t="shared" si="24"/>
        <v>192746133</v>
      </c>
    </row>
    <row r="774" spans="1:16" x14ac:dyDescent="0.3">
      <c r="A774">
        <v>1930</v>
      </c>
      <c r="B774">
        <v>37</v>
      </c>
      <c r="C774" t="s">
        <v>26</v>
      </c>
      <c r="D774" t="s">
        <v>22</v>
      </c>
      <c r="E774" t="s">
        <v>17</v>
      </c>
      <c r="F774" t="s">
        <v>23</v>
      </c>
      <c r="G774" t="s">
        <v>41</v>
      </c>
      <c r="H774" t="s">
        <v>25</v>
      </c>
      <c r="I774" s="1">
        <v>3</v>
      </c>
      <c r="J774" s="2">
        <v>46124</v>
      </c>
      <c r="K774" s="2">
        <f t="shared" si="25"/>
        <v>46113</v>
      </c>
      <c r="L774" s="1" t="str">
        <f>TEXT(J774,"ddd")</f>
        <v>dom</v>
      </c>
      <c r="M774" s="1" t="str">
        <f>TEXT($J774,"mmm")</f>
        <v>abr</v>
      </c>
      <c r="N774">
        <f>YEAR(J774)</f>
        <v>2026</v>
      </c>
      <c r="O774" s="2"/>
      <c r="P774" t="str">
        <f t="shared" si="24"/>
        <v>193046124</v>
      </c>
    </row>
    <row r="775" spans="1:16" x14ac:dyDescent="0.3">
      <c r="A775">
        <v>1930</v>
      </c>
      <c r="B775">
        <v>37</v>
      </c>
      <c r="C775" t="s">
        <v>26</v>
      </c>
      <c r="D775" t="s">
        <v>22</v>
      </c>
      <c r="E775" t="s">
        <v>17</v>
      </c>
      <c r="F775" t="s">
        <v>23</v>
      </c>
      <c r="G775" t="s">
        <v>41</v>
      </c>
      <c r="H775" t="s">
        <v>25</v>
      </c>
      <c r="I775" s="1">
        <v>3</v>
      </c>
      <c r="J775" s="2">
        <v>46145</v>
      </c>
      <c r="K775" s="2">
        <f t="shared" si="25"/>
        <v>46143</v>
      </c>
      <c r="L775" s="1" t="s">
        <v>54</v>
      </c>
      <c r="M775" s="1" t="s">
        <v>49</v>
      </c>
      <c r="N775">
        <v>2025</v>
      </c>
      <c r="O775" s="2"/>
      <c r="P775" t="str">
        <f t="shared" si="24"/>
        <v>193046145</v>
      </c>
    </row>
    <row r="776" spans="1:16" x14ac:dyDescent="0.3">
      <c r="A776">
        <v>1931</v>
      </c>
      <c r="B776">
        <v>27</v>
      </c>
      <c r="C776" t="s">
        <v>15</v>
      </c>
      <c r="D776" t="s">
        <v>22</v>
      </c>
      <c r="E776" t="s">
        <v>17</v>
      </c>
      <c r="F776" t="s">
        <v>23</v>
      </c>
      <c r="G776" t="s">
        <v>41</v>
      </c>
      <c r="H776" t="s">
        <v>25</v>
      </c>
      <c r="I776" s="1">
        <v>1</v>
      </c>
      <c r="J776" s="2">
        <v>46149</v>
      </c>
      <c r="K776" s="2">
        <f t="shared" si="25"/>
        <v>46143</v>
      </c>
      <c r="L776" s="1" t="str">
        <f>TEXT(J776,"ddd")</f>
        <v>qui</v>
      </c>
      <c r="M776" s="1" t="str">
        <f>TEXT($J776,"mmm")</f>
        <v>mai</v>
      </c>
      <c r="N776">
        <f>YEAR(J776)</f>
        <v>2026</v>
      </c>
      <c r="O776" s="2"/>
      <c r="P776" t="str">
        <f t="shared" si="24"/>
        <v>193146149</v>
      </c>
    </row>
    <row r="777" spans="1:16" x14ac:dyDescent="0.3">
      <c r="A777">
        <v>1931</v>
      </c>
      <c r="B777">
        <v>27</v>
      </c>
      <c r="C777" t="s">
        <v>15</v>
      </c>
      <c r="D777" t="s">
        <v>22</v>
      </c>
      <c r="E777" t="s">
        <v>17</v>
      </c>
      <c r="F777" t="s">
        <v>23</v>
      </c>
      <c r="G777" t="s">
        <v>41</v>
      </c>
      <c r="H777" t="s">
        <v>25</v>
      </c>
      <c r="I777" s="1">
        <v>1</v>
      </c>
      <c r="J777" s="2">
        <v>46117</v>
      </c>
      <c r="K777" s="2">
        <f t="shared" si="25"/>
        <v>46113</v>
      </c>
      <c r="L777" s="1" t="s">
        <v>51</v>
      </c>
      <c r="M777" s="1" t="s">
        <v>49</v>
      </c>
      <c r="N777">
        <v>2025</v>
      </c>
      <c r="O777" s="2"/>
      <c r="P777" t="str">
        <f t="shared" si="24"/>
        <v>193146117</v>
      </c>
    </row>
    <row r="778" spans="1:16" x14ac:dyDescent="0.3">
      <c r="A778">
        <v>1932</v>
      </c>
      <c r="B778">
        <v>33</v>
      </c>
      <c r="C778" t="s">
        <v>26</v>
      </c>
      <c r="D778" t="s">
        <v>16</v>
      </c>
      <c r="E778" t="s">
        <v>17</v>
      </c>
      <c r="F778" t="s">
        <v>21</v>
      </c>
      <c r="G778" t="s">
        <v>41</v>
      </c>
      <c r="H778" t="s">
        <v>25</v>
      </c>
      <c r="I778" s="1">
        <v>2</v>
      </c>
      <c r="J778" s="2">
        <v>46149</v>
      </c>
      <c r="K778" s="2">
        <f t="shared" si="25"/>
        <v>46143</v>
      </c>
      <c r="L778" s="1" t="str">
        <f>TEXT(J778,"ddd")</f>
        <v>qui</v>
      </c>
      <c r="M778" s="1" t="str">
        <f>TEXT($J778,"mmm")</f>
        <v>mai</v>
      </c>
      <c r="N778">
        <f>YEAR(J778)</f>
        <v>2026</v>
      </c>
      <c r="O778" s="2"/>
      <c r="P778" t="str">
        <f t="shared" si="24"/>
        <v>193246149</v>
      </c>
    </row>
    <row r="779" spans="1:16" x14ac:dyDescent="0.3">
      <c r="A779">
        <v>1932</v>
      </c>
      <c r="B779">
        <v>33</v>
      </c>
      <c r="C779" t="s">
        <v>26</v>
      </c>
      <c r="D779" t="s">
        <v>16</v>
      </c>
      <c r="E779" t="s">
        <v>17</v>
      </c>
      <c r="F779" t="s">
        <v>21</v>
      </c>
      <c r="G779" t="s">
        <v>41</v>
      </c>
      <c r="H779" t="s">
        <v>25</v>
      </c>
      <c r="I779" s="1">
        <v>2</v>
      </c>
      <c r="J779" s="2">
        <v>46117</v>
      </c>
      <c r="K779" s="2">
        <f t="shared" si="25"/>
        <v>46113</v>
      </c>
      <c r="L779" s="1" t="s">
        <v>51</v>
      </c>
      <c r="M779" s="1" t="s">
        <v>49</v>
      </c>
      <c r="N779">
        <v>2025</v>
      </c>
      <c r="O779" s="2"/>
      <c r="P779" t="str">
        <f t="shared" si="24"/>
        <v>193246117</v>
      </c>
    </row>
    <row r="780" spans="1:16" x14ac:dyDescent="0.3">
      <c r="A780">
        <v>1934</v>
      </c>
      <c r="B780">
        <v>52</v>
      </c>
      <c r="C780" t="s">
        <v>26</v>
      </c>
      <c r="D780" t="s">
        <v>31</v>
      </c>
      <c r="E780" t="s">
        <v>32</v>
      </c>
      <c r="F780" t="s">
        <v>18</v>
      </c>
      <c r="G780" t="s">
        <v>41</v>
      </c>
      <c r="H780" t="s">
        <v>25</v>
      </c>
      <c r="I780" s="1">
        <v>1</v>
      </c>
      <c r="J780" s="2">
        <v>46163</v>
      </c>
      <c r="K780" s="2">
        <f t="shared" si="25"/>
        <v>46143</v>
      </c>
      <c r="L780" s="1" t="str">
        <f>TEXT(J780,"ddd")</f>
        <v>qui</v>
      </c>
      <c r="M780" s="1" t="str">
        <f>TEXT($J780,"mmm")</f>
        <v>mai</v>
      </c>
      <c r="N780">
        <f>YEAR(J780)</f>
        <v>2026</v>
      </c>
      <c r="O780" s="2"/>
      <c r="P780" t="str">
        <f t="shared" si="24"/>
        <v>193446163</v>
      </c>
    </row>
    <row r="781" spans="1:16" x14ac:dyDescent="0.3">
      <c r="A781">
        <v>1934</v>
      </c>
      <c r="B781">
        <v>52</v>
      </c>
      <c r="C781" t="s">
        <v>26</v>
      </c>
      <c r="D781" t="s">
        <v>31</v>
      </c>
      <c r="E781" t="s">
        <v>32</v>
      </c>
      <c r="F781" t="s">
        <v>18</v>
      </c>
      <c r="G781" t="s">
        <v>41</v>
      </c>
      <c r="H781" t="s">
        <v>25</v>
      </c>
      <c r="I781" s="1">
        <v>1</v>
      </c>
      <c r="J781" s="2">
        <v>46117</v>
      </c>
      <c r="K781" s="2">
        <f t="shared" si="25"/>
        <v>46113</v>
      </c>
      <c r="L781" s="1" t="s">
        <v>51</v>
      </c>
      <c r="M781" s="1" t="s">
        <v>49</v>
      </c>
      <c r="N781">
        <v>2025</v>
      </c>
      <c r="O781" s="2"/>
      <c r="P781" t="str">
        <f t="shared" si="24"/>
        <v>193446117</v>
      </c>
    </row>
    <row r="782" spans="1:16" x14ac:dyDescent="0.3">
      <c r="A782">
        <v>1935</v>
      </c>
      <c r="B782">
        <v>50</v>
      </c>
      <c r="C782" t="s">
        <v>15</v>
      </c>
      <c r="D782" t="s">
        <v>29</v>
      </c>
      <c r="E782" t="s">
        <v>17</v>
      </c>
      <c r="F782" t="s">
        <v>21</v>
      </c>
      <c r="G782" t="s">
        <v>41</v>
      </c>
      <c r="H782" t="s">
        <v>25</v>
      </c>
      <c r="I782" s="1">
        <v>3</v>
      </c>
      <c r="J782" s="2">
        <v>46170</v>
      </c>
      <c r="K782" s="2">
        <f t="shared" si="25"/>
        <v>46143</v>
      </c>
      <c r="L782" s="1" t="str">
        <f>TEXT(J782,"ddd")</f>
        <v>qui</v>
      </c>
      <c r="M782" s="1" t="str">
        <f>TEXT($J782,"mmm")</f>
        <v>mai</v>
      </c>
      <c r="N782">
        <f>YEAR(J782)</f>
        <v>2026</v>
      </c>
      <c r="O782" s="2"/>
      <c r="P782" t="str">
        <f t="shared" si="24"/>
        <v>193546170</v>
      </c>
    </row>
    <row r="783" spans="1:16" x14ac:dyDescent="0.3">
      <c r="A783">
        <v>1935</v>
      </c>
      <c r="B783">
        <v>50</v>
      </c>
      <c r="C783" t="s">
        <v>15</v>
      </c>
      <c r="D783" t="s">
        <v>29</v>
      </c>
      <c r="E783" t="s">
        <v>17</v>
      </c>
      <c r="F783" t="s">
        <v>21</v>
      </c>
      <c r="G783" t="s">
        <v>41</v>
      </c>
      <c r="H783" t="s">
        <v>25</v>
      </c>
      <c r="I783" s="1">
        <v>3</v>
      </c>
      <c r="J783" s="2">
        <v>46124</v>
      </c>
      <c r="K783" s="2">
        <f t="shared" si="25"/>
        <v>46113</v>
      </c>
      <c r="L783" s="1" t="s">
        <v>51</v>
      </c>
      <c r="M783" s="1" t="s">
        <v>49</v>
      </c>
      <c r="N783">
        <v>2025</v>
      </c>
      <c r="O783" s="2"/>
      <c r="P783" t="str">
        <f t="shared" si="24"/>
        <v>193546124</v>
      </c>
    </row>
    <row r="784" spans="1:16" x14ac:dyDescent="0.3">
      <c r="A784">
        <v>1938</v>
      </c>
      <c r="B784">
        <v>45</v>
      </c>
      <c r="C784" t="s">
        <v>26</v>
      </c>
      <c r="D784" t="s">
        <v>29</v>
      </c>
      <c r="E784" t="s">
        <v>17</v>
      </c>
      <c r="F784" t="s">
        <v>18</v>
      </c>
      <c r="G784" t="s">
        <v>41</v>
      </c>
      <c r="H784" t="s">
        <v>25</v>
      </c>
      <c r="I784" s="1">
        <v>3</v>
      </c>
      <c r="J784" s="2">
        <v>46133</v>
      </c>
      <c r="K784" s="2">
        <f t="shared" si="25"/>
        <v>46113</v>
      </c>
      <c r="L784" s="1" t="str">
        <f>TEXT(J784,"ddd")</f>
        <v>ter</v>
      </c>
      <c r="M784" s="1" t="str">
        <f>TEXT($J784,"mmm")</f>
        <v>abr</v>
      </c>
      <c r="N784">
        <f>YEAR(J784)</f>
        <v>2026</v>
      </c>
      <c r="O784" s="2"/>
      <c r="P784" t="str">
        <f t="shared" si="24"/>
        <v>193846133</v>
      </c>
    </row>
    <row r="785" spans="1:16" x14ac:dyDescent="0.3">
      <c r="A785">
        <v>1938</v>
      </c>
      <c r="B785">
        <v>45</v>
      </c>
      <c r="C785" t="s">
        <v>26</v>
      </c>
      <c r="D785" t="s">
        <v>29</v>
      </c>
      <c r="E785" t="s">
        <v>17</v>
      </c>
      <c r="F785" t="s">
        <v>18</v>
      </c>
      <c r="G785" t="s">
        <v>41</v>
      </c>
      <c r="H785" t="s">
        <v>25</v>
      </c>
      <c r="I785" s="1">
        <v>3</v>
      </c>
      <c r="J785" s="2">
        <v>46117</v>
      </c>
      <c r="K785" s="2">
        <f t="shared" si="25"/>
        <v>46113</v>
      </c>
      <c r="L785" s="1" t="s">
        <v>54</v>
      </c>
      <c r="M785" s="1" t="s">
        <v>48</v>
      </c>
      <c r="N785">
        <v>2025</v>
      </c>
      <c r="O785" s="2"/>
      <c r="P785" t="str">
        <f t="shared" si="24"/>
        <v>193846117</v>
      </c>
    </row>
    <row r="786" spans="1:16" x14ac:dyDescent="0.3">
      <c r="A786">
        <v>1939</v>
      </c>
      <c r="B786">
        <v>58</v>
      </c>
      <c r="C786" t="s">
        <v>26</v>
      </c>
      <c r="D786" t="s">
        <v>16</v>
      </c>
      <c r="E786" t="s">
        <v>17</v>
      </c>
      <c r="F786" t="s">
        <v>23</v>
      </c>
      <c r="G786" t="s">
        <v>41</v>
      </c>
      <c r="H786" t="s">
        <v>25</v>
      </c>
      <c r="I786" s="1">
        <v>2</v>
      </c>
      <c r="J786" s="2">
        <v>46117</v>
      </c>
      <c r="K786" s="2">
        <f t="shared" si="25"/>
        <v>46113</v>
      </c>
      <c r="L786" s="1" t="str">
        <f>TEXT(J786,"ddd")</f>
        <v>dom</v>
      </c>
      <c r="M786" s="1" t="str">
        <f>TEXT($J786,"mmm")</f>
        <v>abr</v>
      </c>
      <c r="N786">
        <f>YEAR(J786)</f>
        <v>2026</v>
      </c>
      <c r="O786" s="2"/>
      <c r="P786" t="str">
        <f t="shared" si="24"/>
        <v>193946117</v>
      </c>
    </row>
    <row r="787" spans="1:16" x14ac:dyDescent="0.3">
      <c r="A787">
        <v>1939</v>
      </c>
      <c r="B787">
        <v>58</v>
      </c>
      <c r="C787" t="s">
        <v>26</v>
      </c>
      <c r="D787" t="s">
        <v>16</v>
      </c>
      <c r="E787" t="s">
        <v>17</v>
      </c>
      <c r="F787" t="s">
        <v>23</v>
      </c>
      <c r="G787" t="s">
        <v>41</v>
      </c>
      <c r="H787" t="s">
        <v>25</v>
      </c>
      <c r="I787" s="1">
        <v>2</v>
      </c>
      <c r="J787" s="2">
        <v>46164</v>
      </c>
      <c r="K787" s="2">
        <f t="shared" si="25"/>
        <v>46143</v>
      </c>
      <c r="L787" s="1" t="s">
        <v>52</v>
      </c>
      <c r="M787" s="1" t="s">
        <v>49</v>
      </c>
      <c r="N787">
        <v>2025</v>
      </c>
      <c r="O787" s="2"/>
      <c r="P787" t="str">
        <f t="shared" si="24"/>
        <v>193946164</v>
      </c>
    </row>
    <row r="788" spans="1:16" x14ac:dyDescent="0.3">
      <c r="A788">
        <v>1944</v>
      </c>
      <c r="B788">
        <v>52</v>
      </c>
      <c r="C788" t="s">
        <v>15</v>
      </c>
      <c r="D788" t="s">
        <v>16</v>
      </c>
      <c r="E788" t="s">
        <v>17</v>
      </c>
      <c r="F788" t="s">
        <v>23</v>
      </c>
      <c r="G788" t="s">
        <v>41</v>
      </c>
      <c r="H788" t="s">
        <v>25</v>
      </c>
      <c r="I788" s="1">
        <v>1</v>
      </c>
      <c r="J788" s="2">
        <v>46124</v>
      </c>
      <c r="K788" s="2">
        <f t="shared" si="25"/>
        <v>46113</v>
      </c>
      <c r="L788" s="1" t="str">
        <f>TEXT(J788,"ddd")</f>
        <v>dom</v>
      </c>
      <c r="M788" s="1" t="str">
        <f>TEXT($J788,"mmm")</f>
        <v>abr</v>
      </c>
      <c r="N788">
        <f>YEAR(J788)</f>
        <v>2026</v>
      </c>
      <c r="O788" s="2"/>
      <c r="P788" t="str">
        <f t="shared" si="24"/>
        <v>194446124</v>
      </c>
    </row>
    <row r="789" spans="1:16" x14ac:dyDescent="0.3">
      <c r="A789">
        <v>1944</v>
      </c>
      <c r="B789">
        <v>52</v>
      </c>
      <c r="C789" t="s">
        <v>15</v>
      </c>
      <c r="D789" t="s">
        <v>16</v>
      </c>
      <c r="E789" t="s">
        <v>17</v>
      </c>
      <c r="F789" t="s">
        <v>23</v>
      </c>
      <c r="G789" t="s">
        <v>41</v>
      </c>
      <c r="H789" t="s">
        <v>25</v>
      </c>
      <c r="I789" s="1">
        <v>1</v>
      </c>
      <c r="J789" s="2">
        <v>46131</v>
      </c>
      <c r="K789" s="2">
        <f t="shared" si="25"/>
        <v>46113</v>
      </c>
      <c r="L789" s="1" t="s">
        <v>54</v>
      </c>
      <c r="M789" s="1" t="s">
        <v>48</v>
      </c>
      <c r="N789">
        <v>2025</v>
      </c>
      <c r="O789" s="2"/>
      <c r="P789" t="str">
        <f t="shared" si="24"/>
        <v>194446131</v>
      </c>
    </row>
    <row r="790" spans="1:16" x14ac:dyDescent="0.3">
      <c r="A790">
        <v>1945</v>
      </c>
      <c r="B790">
        <v>31</v>
      </c>
      <c r="C790" t="s">
        <v>26</v>
      </c>
      <c r="D790" t="s">
        <v>29</v>
      </c>
      <c r="E790" t="s">
        <v>17</v>
      </c>
      <c r="F790" t="s">
        <v>21</v>
      </c>
      <c r="G790" t="s">
        <v>41</v>
      </c>
      <c r="H790" t="s">
        <v>25</v>
      </c>
      <c r="I790" s="1">
        <v>2</v>
      </c>
      <c r="J790" s="2">
        <v>46124</v>
      </c>
      <c r="K790" s="2">
        <f t="shared" si="25"/>
        <v>46113</v>
      </c>
      <c r="L790" s="1" t="str">
        <f>TEXT(J790,"ddd")</f>
        <v>dom</v>
      </c>
      <c r="M790" s="1" t="str">
        <f>TEXT($J790,"mmm")</f>
        <v>abr</v>
      </c>
      <c r="N790">
        <f>YEAR(J790)</f>
        <v>2026</v>
      </c>
      <c r="O790" s="2"/>
      <c r="P790" t="str">
        <f t="shared" si="24"/>
        <v>194546124</v>
      </c>
    </row>
    <row r="791" spans="1:16" x14ac:dyDescent="0.3">
      <c r="A791">
        <v>1945</v>
      </c>
      <c r="B791">
        <v>31</v>
      </c>
      <c r="C791" t="s">
        <v>26</v>
      </c>
      <c r="D791" t="s">
        <v>29</v>
      </c>
      <c r="E791" t="s">
        <v>17</v>
      </c>
      <c r="F791" t="s">
        <v>21</v>
      </c>
      <c r="G791" t="s">
        <v>41</v>
      </c>
      <c r="H791" t="s">
        <v>25</v>
      </c>
      <c r="I791" s="1">
        <v>2</v>
      </c>
      <c r="J791" s="2">
        <v>46161</v>
      </c>
      <c r="K791" s="2">
        <f t="shared" si="25"/>
        <v>46143</v>
      </c>
      <c r="L791" s="1" t="s">
        <v>56</v>
      </c>
      <c r="M791" s="1" t="s">
        <v>49</v>
      </c>
      <c r="N791">
        <v>2025</v>
      </c>
      <c r="O791" s="2"/>
      <c r="P791" t="str">
        <f t="shared" si="24"/>
        <v>194546161</v>
      </c>
    </row>
    <row r="792" spans="1:16" x14ac:dyDescent="0.3">
      <c r="A792">
        <v>1947</v>
      </c>
      <c r="B792">
        <v>26</v>
      </c>
      <c r="C792" t="s">
        <v>15</v>
      </c>
      <c r="D792" t="s">
        <v>31</v>
      </c>
      <c r="E792" t="s">
        <v>32</v>
      </c>
      <c r="F792" t="s">
        <v>23</v>
      </c>
      <c r="G792" t="s">
        <v>41</v>
      </c>
      <c r="H792" t="s">
        <v>25</v>
      </c>
      <c r="I792" s="1">
        <v>2</v>
      </c>
      <c r="J792" s="2">
        <v>46117</v>
      </c>
      <c r="K792" s="2">
        <f t="shared" si="25"/>
        <v>46113</v>
      </c>
      <c r="L792" s="1" t="str">
        <f>TEXT(J792,"ddd")</f>
        <v>dom</v>
      </c>
      <c r="M792" s="1" t="str">
        <f>TEXT($J792,"mmm")</f>
        <v>abr</v>
      </c>
      <c r="N792">
        <f>YEAR(J792)</f>
        <v>2026</v>
      </c>
      <c r="O792" s="2"/>
      <c r="P792" t="str">
        <f t="shared" si="24"/>
        <v>194746117</v>
      </c>
    </row>
    <row r="793" spans="1:16" x14ac:dyDescent="0.3">
      <c r="A793">
        <v>1947</v>
      </c>
      <c r="B793">
        <v>26</v>
      </c>
      <c r="C793" t="s">
        <v>15</v>
      </c>
      <c r="D793" t="s">
        <v>31</v>
      </c>
      <c r="E793" t="s">
        <v>32</v>
      </c>
      <c r="F793" t="s">
        <v>23</v>
      </c>
      <c r="G793" t="s">
        <v>41</v>
      </c>
      <c r="H793" t="s">
        <v>25</v>
      </c>
      <c r="I793" s="1">
        <v>2</v>
      </c>
      <c r="J793" s="2">
        <v>46163</v>
      </c>
      <c r="K793" s="2">
        <f t="shared" si="25"/>
        <v>46143</v>
      </c>
      <c r="L793" s="1" t="s">
        <v>51</v>
      </c>
      <c r="M793" s="1" t="s">
        <v>49</v>
      </c>
      <c r="N793">
        <v>2025</v>
      </c>
      <c r="O793" s="2"/>
      <c r="P793" t="str">
        <f t="shared" si="24"/>
        <v>194746163</v>
      </c>
    </row>
    <row r="794" spans="1:16" x14ac:dyDescent="0.3">
      <c r="A794">
        <v>1026</v>
      </c>
      <c r="B794">
        <v>37</v>
      </c>
      <c r="C794" t="s">
        <v>26</v>
      </c>
      <c r="D794" t="s">
        <v>27</v>
      </c>
      <c r="E794" t="s">
        <v>17</v>
      </c>
      <c r="F794" t="s">
        <v>21</v>
      </c>
      <c r="G794" t="s">
        <v>43</v>
      </c>
      <c r="H794" t="s">
        <v>25</v>
      </c>
      <c r="I794" s="1">
        <v>2</v>
      </c>
      <c r="J794" s="2">
        <v>46143</v>
      </c>
      <c r="K794" s="2">
        <f t="shared" si="25"/>
        <v>46143</v>
      </c>
      <c r="L794" s="1" t="str">
        <f t="shared" ref="L794:L825" si="26">TEXT(J794,"ddd")</f>
        <v>sex</v>
      </c>
      <c r="M794" s="1" t="str">
        <f t="shared" ref="M794:M825" si="27">TEXT($J794,"mmm")</f>
        <v>mai</v>
      </c>
      <c r="N794">
        <f t="shared" ref="N794:N825" si="28">YEAR(J794)</f>
        <v>2026</v>
      </c>
      <c r="P794" t="str">
        <f t="shared" si="24"/>
        <v>102646143</v>
      </c>
    </row>
    <row r="795" spans="1:16" x14ac:dyDescent="0.3">
      <c r="A795">
        <v>1026</v>
      </c>
      <c r="B795">
        <v>37</v>
      </c>
      <c r="C795" t="s">
        <v>26</v>
      </c>
      <c r="D795" t="s">
        <v>27</v>
      </c>
      <c r="E795" t="s">
        <v>17</v>
      </c>
      <c r="F795" t="s">
        <v>21</v>
      </c>
      <c r="G795" t="s">
        <v>43</v>
      </c>
      <c r="H795" t="s">
        <v>25</v>
      </c>
      <c r="I795" s="1">
        <v>2</v>
      </c>
      <c r="J795" s="2">
        <v>46144</v>
      </c>
      <c r="K795" s="2">
        <f t="shared" si="25"/>
        <v>46143</v>
      </c>
      <c r="L795" s="1" t="str">
        <f t="shared" si="26"/>
        <v>sáb</v>
      </c>
      <c r="M795" s="1" t="str">
        <f t="shared" si="27"/>
        <v>mai</v>
      </c>
      <c r="N795">
        <f t="shared" si="28"/>
        <v>2026</v>
      </c>
      <c r="P795" t="str">
        <f t="shared" si="24"/>
        <v>102646144</v>
      </c>
    </row>
    <row r="796" spans="1:16" x14ac:dyDescent="0.3">
      <c r="A796">
        <v>1026</v>
      </c>
      <c r="B796">
        <v>37</v>
      </c>
      <c r="C796" t="s">
        <v>26</v>
      </c>
      <c r="D796" t="s">
        <v>27</v>
      </c>
      <c r="E796" t="s">
        <v>17</v>
      </c>
      <c r="F796" t="s">
        <v>21</v>
      </c>
      <c r="G796" t="s">
        <v>43</v>
      </c>
      <c r="H796" t="s">
        <v>25</v>
      </c>
      <c r="I796" s="1">
        <v>2</v>
      </c>
      <c r="J796" s="2">
        <v>46145</v>
      </c>
      <c r="K796" s="2">
        <f t="shared" si="25"/>
        <v>46143</v>
      </c>
      <c r="L796" s="1" t="str">
        <f t="shared" si="26"/>
        <v>dom</v>
      </c>
      <c r="M796" s="1" t="str">
        <f t="shared" si="27"/>
        <v>mai</v>
      </c>
      <c r="N796">
        <f t="shared" si="28"/>
        <v>2026</v>
      </c>
      <c r="P796" t="str">
        <f t="shared" si="24"/>
        <v>102646145</v>
      </c>
    </row>
    <row r="797" spans="1:16" x14ac:dyDescent="0.3">
      <c r="A797">
        <v>1026</v>
      </c>
      <c r="B797">
        <v>37</v>
      </c>
      <c r="C797" t="s">
        <v>26</v>
      </c>
      <c r="D797" t="s">
        <v>27</v>
      </c>
      <c r="E797" t="s">
        <v>17</v>
      </c>
      <c r="F797" t="s">
        <v>21</v>
      </c>
      <c r="G797" t="s">
        <v>43</v>
      </c>
      <c r="H797" t="s">
        <v>25</v>
      </c>
      <c r="I797" s="1">
        <v>2</v>
      </c>
      <c r="J797" s="2">
        <v>46146</v>
      </c>
      <c r="K797" s="2">
        <f t="shared" si="25"/>
        <v>46143</v>
      </c>
      <c r="L797" s="1" t="str">
        <f t="shared" si="26"/>
        <v>seg</v>
      </c>
      <c r="M797" s="1" t="str">
        <f t="shared" si="27"/>
        <v>mai</v>
      </c>
      <c r="N797">
        <f t="shared" si="28"/>
        <v>2026</v>
      </c>
      <c r="P797" t="str">
        <f t="shared" si="24"/>
        <v>102646146</v>
      </c>
    </row>
    <row r="798" spans="1:16" x14ac:dyDescent="0.3">
      <c r="A798">
        <v>1026</v>
      </c>
      <c r="B798">
        <v>37</v>
      </c>
      <c r="C798" t="s">
        <v>26</v>
      </c>
      <c r="D798" t="s">
        <v>27</v>
      </c>
      <c r="E798" t="s">
        <v>17</v>
      </c>
      <c r="F798" t="s">
        <v>21</v>
      </c>
      <c r="G798" t="s">
        <v>43</v>
      </c>
      <c r="H798" t="s">
        <v>25</v>
      </c>
      <c r="I798" s="1">
        <v>2</v>
      </c>
      <c r="J798" s="2">
        <v>46147</v>
      </c>
      <c r="K798" s="2">
        <f t="shared" si="25"/>
        <v>46143</v>
      </c>
      <c r="L798" s="1" t="str">
        <f t="shared" si="26"/>
        <v>ter</v>
      </c>
      <c r="M798" s="1" t="str">
        <f t="shared" si="27"/>
        <v>mai</v>
      </c>
      <c r="N798">
        <f t="shared" si="28"/>
        <v>2026</v>
      </c>
      <c r="P798" t="str">
        <f t="shared" si="24"/>
        <v>102646147</v>
      </c>
    </row>
    <row r="799" spans="1:16" x14ac:dyDescent="0.3">
      <c r="A799">
        <v>1026</v>
      </c>
      <c r="B799">
        <v>37</v>
      </c>
      <c r="C799" t="s">
        <v>26</v>
      </c>
      <c r="D799" t="s">
        <v>27</v>
      </c>
      <c r="E799" t="s">
        <v>17</v>
      </c>
      <c r="F799" t="s">
        <v>21</v>
      </c>
      <c r="G799" t="s">
        <v>43</v>
      </c>
      <c r="H799" t="s">
        <v>25</v>
      </c>
      <c r="I799" s="1">
        <v>2</v>
      </c>
      <c r="J799" s="2">
        <v>46148</v>
      </c>
      <c r="K799" s="2">
        <f t="shared" si="25"/>
        <v>46143</v>
      </c>
      <c r="L799" s="1" t="str">
        <f t="shared" si="26"/>
        <v>qua</v>
      </c>
      <c r="M799" s="1" t="str">
        <f t="shared" si="27"/>
        <v>mai</v>
      </c>
      <c r="N799">
        <f t="shared" si="28"/>
        <v>2026</v>
      </c>
      <c r="P799" t="str">
        <f t="shared" si="24"/>
        <v>102646148</v>
      </c>
    </row>
    <row r="800" spans="1:16" x14ac:dyDescent="0.3">
      <c r="A800">
        <v>1026</v>
      </c>
      <c r="B800">
        <v>37</v>
      </c>
      <c r="C800" t="s">
        <v>26</v>
      </c>
      <c r="D800" t="s">
        <v>27</v>
      </c>
      <c r="E800" t="s">
        <v>17</v>
      </c>
      <c r="F800" t="s">
        <v>21</v>
      </c>
      <c r="G800" t="s">
        <v>43</v>
      </c>
      <c r="H800" t="s">
        <v>25</v>
      </c>
      <c r="I800" s="1">
        <v>2</v>
      </c>
      <c r="J800" s="2">
        <v>46149</v>
      </c>
      <c r="K800" s="2">
        <f t="shared" si="25"/>
        <v>46143</v>
      </c>
      <c r="L800" s="1" t="str">
        <f t="shared" si="26"/>
        <v>qui</v>
      </c>
      <c r="M800" s="1" t="str">
        <f t="shared" si="27"/>
        <v>mai</v>
      </c>
      <c r="N800">
        <f t="shared" si="28"/>
        <v>2026</v>
      </c>
      <c r="P800" t="str">
        <f t="shared" si="24"/>
        <v>102646149</v>
      </c>
    </row>
    <row r="801" spans="1:16" x14ac:dyDescent="0.3">
      <c r="A801">
        <v>1026</v>
      </c>
      <c r="B801">
        <v>37</v>
      </c>
      <c r="C801" t="s">
        <v>26</v>
      </c>
      <c r="D801" t="s">
        <v>27</v>
      </c>
      <c r="E801" t="s">
        <v>17</v>
      </c>
      <c r="F801" t="s">
        <v>21</v>
      </c>
      <c r="G801" t="s">
        <v>43</v>
      </c>
      <c r="H801" t="s">
        <v>25</v>
      </c>
      <c r="I801" s="1">
        <v>2</v>
      </c>
      <c r="J801" s="2">
        <v>46150</v>
      </c>
      <c r="K801" s="2">
        <f t="shared" si="25"/>
        <v>46143</v>
      </c>
      <c r="L801" s="1" t="str">
        <f t="shared" si="26"/>
        <v>sex</v>
      </c>
      <c r="M801" s="1" t="str">
        <f t="shared" si="27"/>
        <v>mai</v>
      </c>
      <c r="N801">
        <f t="shared" si="28"/>
        <v>2026</v>
      </c>
      <c r="P801" t="str">
        <f t="shared" si="24"/>
        <v>102646150</v>
      </c>
    </row>
    <row r="802" spans="1:16" x14ac:dyDescent="0.3">
      <c r="A802">
        <v>1026</v>
      </c>
      <c r="B802">
        <v>37</v>
      </c>
      <c r="C802" t="s">
        <v>26</v>
      </c>
      <c r="D802" t="s">
        <v>27</v>
      </c>
      <c r="E802" t="s">
        <v>17</v>
      </c>
      <c r="F802" t="s">
        <v>21</v>
      </c>
      <c r="G802" t="s">
        <v>43</v>
      </c>
      <c r="H802" t="s">
        <v>25</v>
      </c>
      <c r="I802" s="1">
        <v>2</v>
      </c>
      <c r="J802" s="2">
        <v>46151</v>
      </c>
      <c r="K802" s="2">
        <f t="shared" si="25"/>
        <v>46143</v>
      </c>
      <c r="L802" s="1" t="str">
        <f t="shared" si="26"/>
        <v>sáb</v>
      </c>
      <c r="M802" s="1" t="str">
        <f t="shared" si="27"/>
        <v>mai</v>
      </c>
      <c r="N802">
        <f t="shared" si="28"/>
        <v>2026</v>
      </c>
      <c r="P802" t="str">
        <f t="shared" si="24"/>
        <v>102646151</v>
      </c>
    </row>
    <row r="803" spans="1:16" x14ac:dyDescent="0.3">
      <c r="A803">
        <v>1026</v>
      </c>
      <c r="B803">
        <v>37</v>
      </c>
      <c r="C803" t="s">
        <v>26</v>
      </c>
      <c r="D803" t="s">
        <v>27</v>
      </c>
      <c r="E803" t="s">
        <v>17</v>
      </c>
      <c r="F803" t="s">
        <v>21</v>
      </c>
      <c r="G803" t="s">
        <v>43</v>
      </c>
      <c r="H803" t="s">
        <v>25</v>
      </c>
      <c r="I803" s="1">
        <v>2</v>
      </c>
      <c r="J803" s="2">
        <v>46152</v>
      </c>
      <c r="K803" s="2">
        <f t="shared" si="25"/>
        <v>46143</v>
      </c>
      <c r="L803" s="1" t="str">
        <f t="shared" si="26"/>
        <v>dom</v>
      </c>
      <c r="M803" s="1" t="str">
        <f t="shared" si="27"/>
        <v>mai</v>
      </c>
      <c r="N803">
        <f t="shared" si="28"/>
        <v>2026</v>
      </c>
      <c r="P803" t="str">
        <f t="shared" si="24"/>
        <v>102646152</v>
      </c>
    </row>
    <row r="804" spans="1:16" x14ac:dyDescent="0.3">
      <c r="A804">
        <v>1026</v>
      </c>
      <c r="B804">
        <v>37</v>
      </c>
      <c r="C804" t="s">
        <v>26</v>
      </c>
      <c r="D804" t="s">
        <v>27</v>
      </c>
      <c r="E804" t="s">
        <v>17</v>
      </c>
      <c r="F804" t="s">
        <v>21</v>
      </c>
      <c r="G804" t="s">
        <v>43</v>
      </c>
      <c r="H804" t="s">
        <v>25</v>
      </c>
      <c r="I804" s="1">
        <v>2</v>
      </c>
      <c r="J804" s="2">
        <v>46153</v>
      </c>
      <c r="K804" s="2">
        <f t="shared" si="25"/>
        <v>46143</v>
      </c>
      <c r="L804" s="1" t="str">
        <f t="shared" si="26"/>
        <v>seg</v>
      </c>
      <c r="M804" s="1" t="str">
        <f t="shared" si="27"/>
        <v>mai</v>
      </c>
      <c r="N804">
        <f t="shared" si="28"/>
        <v>2026</v>
      </c>
      <c r="P804" t="str">
        <f t="shared" si="24"/>
        <v>102646153</v>
      </c>
    </row>
    <row r="805" spans="1:16" x14ac:dyDescent="0.3">
      <c r="A805">
        <v>1026</v>
      </c>
      <c r="B805">
        <v>37</v>
      </c>
      <c r="C805" t="s">
        <v>26</v>
      </c>
      <c r="D805" t="s">
        <v>27</v>
      </c>
      <c r="E805" t="s">
        <v>17</v>
      </c>
      <c r="F805" t="s">
        <v>21</v>
      </c>
      <c r="G805" t="s">
        <v>43</v>
      </c>
      <c r="H805" t="s">
        <v>25</v>
      </c>
      <c r="I805" s="1">
        <v>2</v>
      </c>
      <c r="J805" s="2">
        <v>46154</v>
      </c>
      <c r="K805" s="2">
        <f t="shared" si="25"/>
        <v>46143</v>
      </c>
      <c r="L805" s="1" t="str">
        <f t="shared" si="26"/>
        <v>ter</v>
      </c>
      <c r="M805" s="1" t="str">
        <f t="shared" si="27"/>
        <v>mai</v>
      </c>
      <c r="N805">
        <f t="shared" si="28"/>
        <v>2026</v>
      </c>
      <c r="P805" t="str">
        <f t="shared" si="24"/>
        <v>102646154</v>
      </c>
    </row>
    <row r="806" spans="1:16" x14ac:dyDescent="0.3">
      <c r="A806">
        <v>1026</v>
      </c>
      <c r="B806">
        <v>37</v>
      </c>
      <c r="C806" t="s">
        <v>26</v>
      </c>
      <c r="D806" t="s">
        <v>27</v>
      </c>
      <c r="E806" t="s">
        <v>17</v>
      </c>
      <c r="F806" t="s">
        <v>21</v>
      </c>
      <c r="G806" t="s">
        <v>43</v>
      </c>
      <c r="H806" t="s">
        <v>25</v>
      </c>
      <c r="I806" s="1">
        <v>2</v>
      </c>
      <c r="J806" s="2">
        <v>46155</v>
      </c>
      <c r="K806" s="2">
        <f t="shared" si="25"/>
        <v>46143</v>
      </c>
      <c r="L806" s="1" t="str">
        <f t="shared" si="26"/>
        <v>qua</v>
      </c>
      <c r="M806" s="1" t="str">
        <f t="shared" si="27"/>
        <v>mai</v>
      </c>
      <c r="N806">
        <f t="shared" si="28"/>
        <v>2026</v>
      </c>
      <c r="P806" t="str">
        <f t="shared" si="24"/>
        <v>102646155</v>
      </c>
    </row>
    <row r="807" spans="1:16" x14ac:dyDescent="0.3">
      <c r="A807">
        <v>1026</v>
      </c>
      <c r="B807">
        <v>37</v>
      </c>
      <c r="C807" t="s">
        <v>26</v>
      </c>
      <c r="D807" t="s">
        <v>27</v>
      </c>
      <c r="E807" t="s">
        <v>17</v>
      </c>
      <c r="F807" t="s">
        <v>21</v>
      </c>
      <c r="G807" t="s">
        <v>43</v>
      </c>
      <c r="H807" t="s">
        <v>25</v>
      </c>
      <c r="I807" s="1">
        <v>2</v>
      </c>
      <c r="J807" s="2">
        <v>46156</v>
      </c>
      <c r="K807" s="2">
        <f t="shared" si="25"/>
        <v>46143</v>
      </c>
      <c r="L807" s="1" t="str">
        <f t="shared" si="26"/>
        <v>qui</v>
      </c>
      <c r="M807" s="1" t="str">
        <f t="shared" si="27"/>
        <v>mai</v>
      </c>
      <c r="N807">
        <f t="shared" si="28"/>
        <v>2026</v>
      </c>
      <c r="P807" t="str">
        <f t="shared" si="24"/>
        <v>102646156</v>
      </c>
    </row>
    <row r="808" spans="1:16" x14ac:dyDescent="0.3">
      <c r="A808">
        <v>1026</v>
      </c>
      <c r="B808">
        <v>37</v>
      </c>
      <c r="C808" t="s">
        <v>26</v>
      </c>
      <c r="D808" t="s">
        <v>27</v>
      </c>
      <c r="E808" t="s">
        <v>17</v>
      </c>
      <c r="F808" t="s">
        <v>21</v>
      </c>
      <c r="G808" t="s">
        <v>43</v>
      </c>
      <c r="H808" t="s">
        <v>25</v>
      </c>
      <c r="I808" s="1">
        <v>2</v>
      </c>
      <c r="J808" s="2">
        <v>46157</v>
      </c>
      <c r="K808" s="2">
        <f t="shared" si="25"/>
        <v>46143</v>
      </c>
      <c r="L808" s="1" t="str">
        <f t="shared" si="26"/>
        <v>sex</v>
      </c>
      <c r="M808" s="1" t="str">
        <f t="shared" si="27"/>
        <v>mai</v>
      </c>
      <c r="N808">
        <f t="shared" si="28"/>
        <v>2026</v>
      </c>
      <c r="P808" t="str">
        <f t="shared" si="24"/>
        <v>102646157</v>
      </c>
    </row>
    <row r="809" spans="1:16" x14ac:dyDescent="0.3">
      <c r="A809">
        <v>1026</v>
      </c>
      <c r="B809">
        <v>37</v>
      </c>
      <c r="C809" t="s">
        <v>26</v>
      </c>
      <c r="D809" t="s">
        <v>27</v>
      </c>
      <c r="E809" t="s">
        <v>17</v>
      </c>
      <c r="F809" t="s">
        <v>21</v>
      </c>
      <c r="G809" t="s">
        <v>43</v>
      </c>
      <c r="H809" t="s">
        <v>25</v>
      </c>
      <c r="I809" s="1">
        <v>2</v>
      </c>
      <c r="J809" s="2">
        <v>46158</v>
      </c>
      <c r="K809" s="2">
        <f t="shared" si="25"/>
        <v>46143</v>
      </c>
      <c r="L809" s="1" t="str">
        <f t="shared" si="26"/>
        <v>sáb</v>
      </c>
      <c r="M809" s="1" t="str">
        <f t="shared" si="27"/>
        <v>mai</v>
      </c>
      <c r="N809">
        <f t="shared" si="28"/>
        <v>2026</v>
      </c>
      <c r="P809" t="str">
        <f t="shared" si="24"/>
        <v>102646158</v>
      </c>
    </row>
    <row r="810" spans="1:16" x14ac:dyDescent="0.3">
      <c r="A810">
        <v>1026</v>
      </c>
      <c r="B810">
        <v>37</v>
      </c>
      <c r="C810" t="s">
        <v>26</v>
      </c>
      <c r="D810" t="s">
        <v>27</v>
      </c>
      <c r="E810" t="s">
        <v>17</v>
      </c>
      <c r="F810" t="s">
        <v>21</v>
      </c>
      <c r="G810" t="s">
        <v>43</v>
      </c>
      <c r="H810" t="s">
        <v>25</v>
      </c>
      <c r="I810" s="1">
        <v>2</v>
      </c>
      <c r="J810" s="2">
        <v>46159</v>
      </c>
      <c r="K810" s="2">
        <f t="shared" si="25"/>
        <v>46143</v>
      </c>
      <c r="L810" s="1" t="str">
        <f t="shared" si="26"/>
        <v>dom</v>
      </c>
      <c r="M810" s="1" t="str">
        <f t="shared" si="27"/>
        <v>mai</v>
      </c>
      <c r="N810">
        <f t="shared" si="28"/>
        <v>2026</v>
      </c>
      <c r="P810" t="str">
        <f t="shared" si="24"/>
        <v>102646159</v>
      </c>
    </row>
    <row r="811" spans="1:16" x14ac:dyDescent="0.3">
      <c r="A811">
        <v>1026</v>
      </c>
      <c r="B811">
        <v>37</v>
      </c>
      <c r="C811" t="s">
        <v>26</v>
      </c>
      <c r="D811" t="s">
        <v>27</v>
      </c>
      <c r="E811" t="s">
        <v>17</v>
      </c>
      <c r="F811" t="s">
        <v>21</v>
      </c>
      <c r="G811" t="s">
        <v>43</v>
      </c>
      <c r="H811" t="s">
        <v>25</v>
      </c>
      <c r="I811" s="1">
        <v>2</v>
      </c>
      <c r="J811" s="2">
        <v>46160</v>
      </c>
      <c r="K811" s="2">
        <f t="shared" si="25"/>
        <v>46143</v>
      </c>
      <c r="L811" s="1" t="str">
        <f t="shared" si="26"/>
        <v>seg</v>
      </c>
      <c r="M811" s="1" t="str">
        <f t="shared" si="27"/>
        <v>mai</v>
      </c>
      <c r="N811">
        <f t="shared" si="28"/>
        <v>2026</v>
      </c>
      <c r="P811" t="str">
        <f t="shared" si="24"/>
        <v>102646160</v>
      </c>
    </row>
    <row r="812" spans="1:16" x14ac:dyDescent="0.3">
      <c r="A812">
        <v>1026</v>
      </c>
      <c r="B812">
        <v>37</v>
      </c>
      <c r="C812" t="s">
        <v>26</v>
      </c>
      <c r="D812" t="s">
        <v>27</v>
      </c>
      <c r="E812" t="s">
        <v>17</v>
      </c>
      <c r="F812" t="s">
        <v>21</v>
      </c>
      <c r="G812" t="s">
        <v>43</v>
      </c>
      <c r="H812" t="s">
        <v>25</v>
      </c>
      <c r="I812" s="1">
        <v>2</v>
      </c>
      <c r="J812" s="2">
        <v>46161</v>
      </c>
      <c r="K812" s="2">
        <f t="shared" si="25"/>
        <v>46143</v>
      </c>
      <c r="L812" s="1" t="str">
        <f t="shared" si="26"/>
        <v>ter</v>
      </c>
      <c r="M812" s="1" t="str">
        <f t="shared" si="27"/>
        <v>mai</v>
      </c>
      <c r="N812">
        <f t="shared" si="28"/>
        <v>2026</v>
      </c>
      <c r="P812" t="str">
        <f t="shared" si="24"/>
        <v>102646161</v>
      </c>
    </row>
    <row r="813" spans="1:16" x14ac:dyDescent="0.3">
      <c r="A813">
        <v>1026</v>
      </c>
      <c r="B813">
        <v>37</v>
      </c>
      <c r="C813" t="s">
        <v>26</v>
      </c>
      <c r="D813" t="s">
        <v>27</v>
      </c>
      <c r="E813" t="s">
        <v>17</v>
      </c>
      <c r="F813" t="s">
        <v>21</v>
      </c>
      <c r="G813" t="s">
        <v>43</v>
      </c>
      <c r="H813" t="s">
        <v>25</v>
      </c>
      <c r="I813" s="1">
        <v>2</v>
      </c>
      <c r="J813" s="2">
        <v>46162</v>
      </c>
      <c r="K813" s="2">
        <f t="shared" si="25"/>
        <v>46143</v>
      </c>
      <c r="L813" s="1" t="str">
        <f t="shared" si="26"/>
        <v>qua</v>
      </c>
      <c r="M813" s="1" t="str">
        <f t="shared" si="27"/>
        <v>mai</v>
      </c>
      <c r="N813">
        <f t="shared" si="28"/>
        <v>2026</v>
      </c>
      <c r="P813" t="str">
        <f t="shared" si="24"/>
        <v>102646162</v>
      </c>
    </row>
    <row r="814" spans="1:16" x14ac:dyDescent="0.3">
      <c r="A814">
        <v>1026</v>
      </c>
      <c r="B814">
        <v>37</v>
      </c>
      <c r="C814" t="s">
        <v>26</v>
      </c>
      <c r="D814" t="s">
        <v>27</v>
      </c>
      <c r="E814" t="s">
        <v>17</v>
      </c>
      <c r="F814" t="s">
        <v>21</v>
      </c>
      <c r="G814" t="s">
        <v>43</v>
      </c>
      <c r="H814" t="s">
        <v>25</v>
      </c>
      <c r="I814" s="1">
        <v>2</v>
      </c>
      <c r="J814" s="2">
        <v>46163</v>
      </c>
      <c r="K814" s="2">
        <f t="shared" si="25"/>
        <v>46143</v>
      </c>
      <c r="L814" s="1" t="str">
        <f t="shared" si="26"/>
        <v>qui</v>
      </c>
      <c r="M814" s="1" t="str">
        <f t="shared" si="27"/>
        <v>mai</v>
      </c>
      <c r="N814">
        <f t="shared" si="28"/>
        <v>2026</v>
      </c>
      <c r="P814" t="str">
        <f t="shared" si="24"/>
        <v>102646163</v>
      </c>
    </row>
    <row r="815" spans="1:16" x14ac:dyDescent="0.3">
      <c r="A815">
        <v>1026</v>
      </c>
      <c r="B815">
        <v>37</v>
      </c>
      <c r="C815" t="s">
        <v>26</v>
      </c>
      <c r="D815" t="s">
        <v>27</v>
      </c>
      <c r="E815" t="s">
        <v>17</v>
      </c>
      <c r="F815" t="s">
        <v>21</v>
      </c>
      <c r="G815" t="s">
        <v>43</v>
      </c>
      <c r="H815" t="s">
        <v>25</v>
      </c>
      <c r="I815" s="1">
        <v>2</v>
      </c>
      <c r="J815" s="2">
        <v>46164</v>
      </c>
      <c r="K815" s="2">
        <f t="shared" si="25"/>
        <v>46143</v>
      </c>
      <c r="L815" s="1" t="str">
        <f t="shared" si="26"/>
        <v>sex</v>
      </c>
      <c r="M815" s="1" t="str">
        <f t="shared" si="27"/>
        <v>mai</v>
      </c>
      <c r="N815">
        <f t="shared" si="28"/>
        <v>2026</v>
      </c>
      <c r="P815" t="str">
        <f t="shared" si="24"/>
        <v>102646164</v>
      </c>
    </row>
    <row r="816" spans="1:16" x14ac:dyDescent="0.3">
      <c r="A816">
        <v>1026</v>
      </c>
      <c r="B816">
        <v>37</v>
      </c>
      <c r="C816" t="s">
        <v>26</v>
      </c>
      <c r="D816" t="s">
        <v>27</v>
      </c>
      <c r="E816" t="s">
        <v>17</v>
      </c>
      <c r="F816" t="s">
        <v>21</v>
      </c>
      <c r="G816" t="s">
        <v>43</v>
      </c>
      <c r="H816" t="s">
        <v>25</v>
      </c>
      <c r="I816" s="1">
        <v>2</v>
      </c>
      <c r="J816" s="2">
        <v>46165</v>
      </c>
      <c r="K816" s="2">
        <f t="shared" si="25"/>
        <v>46143</v>
      </c>
      <c r="L816" s="1" t="str">
        <f t="shared" si="26"/>
        <v>sáb</v>
      </c>
      <c r="M816" s="1" t="str">
        <f t="shared" si="27"/>
        <v>mai</v>
      </c>
      <c r="N816">
        <f t="shared" si="28"/>
        <v>2026</v>
      </c>
      <c r="P816" t="str">
        <f t="shared" si="24"/>
        <v>102646165</v>
      </c>
    </row>
    <row r="817" spans="1:16" x14ac:dyDescent="0.3">
      <c r="A817">
        <v>1026</v>
      </c>
      <c r="B817">
        <v>37</v>
      </c>
      <c r="C817" t="s">
        <v>26</v>
      </c>
      <c r="D817" t="s">
        <v>27</v>
      </c>
      <c r="E817" t="s">
        <v>17</v>
      </c>
      <c r="F817" t="s">
        <v>21</v>
      </c>
      <c r="G817" t="s">
        <v>43</v>
      </c>
      <c r="H817" t="s">
        <v>25</v>
      </c>
      <c r="I817" s="1">
        <v>2</v>
      </c>
      <c r="J817" s="2">
        <v>46166</v>
      </c>
      <c r="K817" s="2">
        <f t="shared" si="25"/>
        <v>46143</v>
      </c>
      <c r="L817" s="1" t="str">
        <f t="shared" si="26"/>
        <v>dom</v>
      </c>
      <c r="M817" s="1" t="str">
        <f t="shared" si="27"/>
        <v>mai</v>
      </c>
      <c r="N817">
        <f t="shared" si="28"/>
        <v>2026</v>
      </c>
      <c r="P817" t="str">
        <f t="shared" si="24"/>
        <v>102646166</v>
      </c>
    </row>
    <row r="818" spans="1:16" x14ac:dyDescent="0.3">
      <c r="A818">
        <v>1026</v>
      </c>
      <c r="B818">
        <v>37</v>
      </c>
      <c r="C818" t="s">
        <v>26</v>
      </c>
      <c r="D818" t="s">
        <v>27</v>
      </c>
      <c r="E818" t="s">
        <v>17</v>
      </c>
      <c r="F818" t="s">
        <v>21</v>
      </c>
      <c r="G818" t="s">
        <v>43</v>
      </c>
      <c r="H818" t="s">
        <v>25</v>
      </c>
      <c r="I818" s="1">
        <v>2</v>
      </c>
      <c r="J818" s="2">
        <v>46167</v>
      </c>
      <c r="K818" s="2">
        <f t="shared" si="25"/>
        <v>46143</v>
      </c>
      <c r="L818" s="1" t="str">
        <f t="shared" si="26"/>
        <v>seg</v>
      </c>
      <c r="M818" s="1" t="str">
        <f t="shared" si="27"/>
        <v>mai</v>
      </c>
      <c r="N818">
        <f t="shared" si="28"/>
        <v>2026</v>
      </c>
      <c r="P818" t="str">
        <f t="shared" si="24"/>
        <v>102646167</v>
      </c>
    </row>
    <row r="819" spans="1:16" x14ac:dyDescent="0.3">
      <c r="A819">
        <v>1026</v>
      </c>
      <c r="B819">
        <v>37</v>
      </c>
      <c r="C819" t="s">
        <v>26</v>
      </c>
      <c r="D819" t="s">
        <v>27</v>
      </c>
      <c r="E819" t="s">
        <v>17</v>
      </c>
      <c r="F819" t="s">
        <v>21</v>
      </c>
      <c r="G819" t="s">
        <v>43</v>
      </c>
      <c r="H819" t="s">
        <v>25</v>
      </c>
      <c r="I819" s="1">
        <v>2</v>
      </c>
      <c r="J819" s="2">
        <v>46168</v>
      </c>
      <c r="K819" s="2">
        <f t="shared" si="25"/>
        <v>46143</v>
      </c>
      <c r="L819" s="1" t="str">
        <f t="shared" si="26"/>
        <v>ter</v>
      </c>
      <c r="M819" s="1" t="str">
        <f t="shared" si="27"/>
        <v>mai</v>
      </c>
      <c r="N819">
        <f t="shared" si="28"/>
        <v>2026</v>
      </c>
      <c r="P819" t="str">
        <f t="shared" si="24"/>
        <v>102646168</v>
      </c>
    </row>
    <row r="820" spans="1:16" x14ac:dyDescent="0.3">
      <c r="A820">
        <v>1026</v>
      </c>
      <c r="B820">
        <v>37</v>
      </c>
      <c r="C820" t="s">
        <v>26</v>
      </c>
      <c r="D820" t="s">
        <v>27</v>
      </c>
      <c r="E820" t="s">
        <v>17</v>
      </c>
      <c r="F820" t="s">
        <v>21</v>
      </c>
      <c r="G820" t="s">
        <v>43</v>
      </c>
      <c r="H820" t="s">
        <v>25</v>
      </c>
      <c r="I820" s="1">
        <v>2</v>
      </c>
      <c r="J820" s="2">
        <v>46169</v>
      </c>
      <c r="K820" s="2">
        <f t="shared" si="25"/>
        <v>46143</v>
      </c>
      <c r="L820" s="1" t="str">
        <f t="shared" si="26"/>
        <v>qua</v>
      </c>
      <c r="M820" s="1" t="str">
        <f t="shared" si="27"/>
        <v>mai</v>
      </c>
      <c r="N820">
        <f t="shared" si="28"/>
        <v>2026</v>
      </c>
      <c r="P820" t="str">
        <f t="shared" si="24"/>
        <v>102646169</v>
      </c>
    </row>
    <row r="821" spans="1:16" x14ac:dyDescent="0.3">
      <c r="A821">
        <v>1026</v>
      </c>
      <c r="B821">
        <v>37</v>
      </c>
      <c r="C821" t="s">
        <v>26</v>
      </c>
      <c r="D821" t="s">
        <v>27</v>
      </c>
      <c r="E821" t="s">
        <v>17</v>
      </c>
      <c r="F821" t="s">
        <v>21</v>
      </c>
      <c r="G821" t="s">
        <v>43</v>
      </c>
      <c r="H821" t="s">
        <v>25</v>
      </c>
      <c r="I821" s="1">
        <v>2</v>
      </c>
      <c r="J821" s="2">
        <v>46170</v>
      </c>
      <c r="K821" s="2">
        <f t="shared" si="25"/>
        <v>46143</v>
      </c>
      <c r="L821" s="1" t="str">
        <f t="shared" si="26"/>
        <v>qui</v>
      </c>
      <c r="M821" s="1" t="str">
        <f t="shared" si="27"/>
        <v>mai</v>
      </c>
      <c r="N821">
        <f t="shared" si="28"/>
        <v>2026</v>
      </c>
      <c r="P821" t="str">
        <f t="shared" si="24"/>
        <v>102646170</v>
      </c>
    </row>
    <row r="822" spans="1:16" x14ac:dyDescent="0.3">
      <c r="A822">
        <v>1026</v>
      </c>
      <c r="B822">
        <v>37</v>
      </c>
      <c r="C822" t="s">
        <v>26</v>
      </c>
      <c r="D822" t="s">
        <v>27</v>
      </c>
      <c r="E822" t="s">
        <v>17</v>
      </c>
      <c r="F822" t="s">
        <v>21</v>
      </c>
      <c r="G822" t="s">
        <v>43</v>
      </c>
      <c r="H822" t="s">
        <v>25</v>
      </c>
      <c r="I822" s="1">
        <v>2</v>
      </c>
      <c r="J822" s="2">
        <v>46171</v>
      </c>
      <c r="K822" s="2">
        <f t="shared" si="25"/>
        <v>46143</v>
      </c>
      <c r="L822" s="1" t="str">
        <f t="shared" si="26"/>
        <v>sex</v>
      </c>
      <c r="M822" s="1" t="str">
        <f t="shared" si="27"/>
        <v>mai</v>
      </c>
      <c r="N822">
        <f t="shared" si="28"/>
        <v>2026</v>
      </c>
      <c r="P822" t="str">
        <f t="shared" si="24"/>
        <v>102646171</v>
      </c>
    </row>
    <row r="823" spans="1:16" x14ac:dyDescent="0.3">
      <c r="A823">
        <v>1026</v>
      </c>
      <c r="B823">
        <v>37</v>
      </c>
      <c r="C823" t="s">
        <v>26</v>
      </c>
      <c r="D823" t="s">
        <v>27</v>
      </c>
      <c r="E823" t="s">
        <v>17</v>
      </c>
      <c r="F823" t="s">
        <v>21</v>
      </c>
      <c r="G823" t="s">
        <v>43</v>
      </c>
      <c r="H823" t="s">
        <v>25</v>
      </c>
      <c r="I823" s="1">
        <v>2</v>
      </c>
      <c r="J823" s="2">
        <v>46172</v>
      </c>
      <c r="K823" s="2">
        <f t="shared" si="25"/>
        <v>46143</v>
      </c>
      <c r="L823" s="1" t="str">
        <f t="shared" si="26"/>
        <v>sáb</v>
      </c>
      <c r="M823" s="1" t="str">
        <f t="shared" si="27"/>
        <v>mai</v>
      </c>
      <c r="N823">
        <f t="shared" si="28"/>
        <v>2026</v>
      </c>
      <c r="P823" t="str">
        <f t="shared" si="24"/>
        <v>102646172</v>
      </c>
    </row>
    <row r="824" spans="1:16" x14ac:dyDescent="0.3">
      <c r="A824">
        <v>1026</v>
      </c>
      <c r="B824">
        <v>37</v>
      </c>
      <c r="C824" t="s">
        <v>26</v>
      </c>
      <c r="D824" t="s">
        <v>27</v>
      </c>
      <c r="E824" t="s">
        <v>17</v>
      </c>
      <c r="F824" t="s">
        <v>21</v>
      </c>
      <c r="G824" t="s">
        <v>43</v>
      </c>
      <c r="H824" t="s">
        <v>25</v>
      </c>
      <c r="I824" s="1">
        <v>2</v>
      </c>
      <c r="J824" s="2">
        <v>46173</v>
      </c>
      <c r="K824" s="2">
        <f t="shared" si="25"/>
        <v>46143</v>
      </c>
      <c r="L824" s="1" t="str">
        <f t="shared" si="26"/>
        <v>dom</v>
      </c>
      <c r="M824" s="1" t="str">
        <f t="shared" si="27"/>
        <v>mai</v>
      </c>
      <c r="N824">
        <f t="shared" si="28"/>
        <v>2026</v>
      </c>
      <c r="P824" t="str">
        <f t="shared" si="24"/>
        <v>102646173</v>
      </c>
    </row>
    <row r="825" spans="1:16" x14ac:dyDescent="0.3">
      <c r="A825">
        <v>1031</v>
      </c>
      <c r="B825">
        <v>27</v>
      </c>
      <c r="C825" t="s">
        <v>15</v>
      </c>
      <c r="D825" t="s">
        <v>22</v>
      </c>
      <c r="E825" t="s">
        <v>17</v>
      </c>
      <c r="F825" t="s">
        <v>23</v>
      </c>
      <c r="G825" t="s">
        <v>42</v>
      </c>
      <c r="H825" t="s">
        <v>25</v>
      </c>
      <c r="I825" s="1">
        <v>1</v>
      </c>
      <c r="J825" s="2">
        <v>46192</v>
      </c>
      <c r="K825" s="2">
        <f t="shared" si="25"/>
        <v>46174</v>
      </c>
      <c r="L825" s="1" t="str">
        <f t="shared" si="26"/>
        <v>sex</v>
      </c>
      <c r="M825" s="1" t="str">
        <f t="shared" si="27"/>
        <v>jun</v>
      </c>
      <c r="N825">
        <f t="shared" si="28"/>
        <v>2026</v>
      </c>
      <c r="O825" s="2"/>
      <c r="P825" t="str">
        <f t="shared" si="24"/>
        <v>103146192</v>
      </c>
    </row>
    <row r="826" spans="1:16" x14ac:dyDescent="0.3">
      <c r="A826">
        <v>1032</v>
      </c>
      <c r="B826">
        <v>33</v>
      </c>
      <c r="C826" t="s">
        <v>26</v>
      </c>
      <c r="D826" t="s">
        <v>16</v>
      </c>
      <c r="E826" t="s">
        <v>17</v>
      </c>
      <c r="F826" t="s">
        <v>21</v>
      </c>
      <c r="G826" t="s">
        <v>44</v>
      </c>
      <c r="H826" t="s">
        <v>20</v>
      </c>
      <c r="I826" s="1">
        <v>3</v>
      </c>
      <c r="J826" s="2">
        <v>45673</v>
      </c>
      <c r="K826" s="2">
        <f t="shared" si="25"/>
        <v>45658</v>
      </c>
      <c r="L826" s="1" t="str">
        <f t="shared" ref="L826:L851" si="29">TEXT(J826,"ddd")</f>
        <v>qui</v>
      </c>
      <c r="M826" s="1" t="str">
        <f t="shared" ref="M826:M851" si="30">TEXT($J826,"mmm")</f>
        <v>jan</v>
      </c>
      <c r="N826">
        <f t="shared" ref="N826:N851" si="31">YEAR(J826)</f>
        <v>2025</v>
      </c>
      <c r="O826" s="2">
        <f>_xlfn.XLOOKUP(A826,Colaboradores!$A:$A,Colaboradores!$S:$S,"",0)</f>
        <v>45859</v>
      </c>
      <c r="P826" t="str">
        <f t="shared" si="24"/>
        <v>103245673</v>
      </c>
    </row>
    <row r="827" spans="1:16" x14ac:dyDescent="0.3">
      <c r="A827">
        <v>1032</v>
      </c>
      <c r="B827">
        <v>33</v>
      </c>
      <c r="C827" t="s">
        <v>26</v>
      </c>
      <c r="D827" t="s">
        <v>16</v>
      </c>
      <c r="E827" t="s">
        <v>17</v>
      </c>
      <c r="F827" t="s">
        <v>21</v>
      </c>
      <c r="G827" t="s">
        <v>41</v>
      </c>
      <c r="H827" t="s">
        <v>20</v>
      </c>
      <c r="I827" s="1">
        <v>3</v>
      </c>
      <c r="J827" s="2">
        <v>45768</v>
      </c>
      <c r="K827" s="2">
        <f t="shared" si="25"/>
        <v>45748</v>
      </c>
      <c r="L827" s="1" t="str">
        <f t="shared" si="29"/>
        <v>seg</v>
      </c>
      <c r="M827" s="1" t="str">
        <f t="shared" si="30"/>
        <v>abr</v>
      </c>
      <c r="N827">
        <f t="shared" si="31"/>
        <v>2025</v>
      </c>
      <c r="O827" s="2">
        <f>_xlfn.XLOOKUP(A827,Colaboradores!$A:$A,Colaboradores!$S:$S,"",0)</f>
        <v>45859</v>
      </c>
      <c r="P827" t="str">
        <f t="shared" si="24"/>
        <v>103245768</v>
      </c>
    </row>
    <row r="828" spans="1:16" x14ac:dyDescent="0.3">
      <c r="A828">
        <v>1032</v>
      </c>
      <c r="B828">
        <v>33</v>
      </c>
      <c r="C828" t="s">
        <v>26</v>
      </c>
      <c r="D828" t="s">
        <v>16</v>
      </c>
      <c r="E828" t="s">
        <v>17</v>
      </c>
      <c r="F828" t="s">
        <v>21</v>
      </c>
      <c r="G828" t="s">
        <v>44</v>
      </c>
      <c r="H828" t="s">
        <v>20</v>
      </c>
      <c r="I828" s="1">
        <v>3</v>
      </c>
      <c r="J828" s="2">
        <v>45848</v>
      </c>
      <c r="K828" s="2">
        <f t="shared" si="25"/>
        <v>45839</v>
      </c>
      <c r="L828" s="1" t="str">
        <f t="shared" si="29"/>
        <v>qui</v>
      </c>
      <c r="M828" s="1" t="str">
        <f t="shared" si="30"/>
        <v>jul</v>
      </c>
      <c r="N828">
        <f t="shared" si="31"/>
        <v>2025</v>
      </c>
      <c r="O828" s="2">
        <f>_xlfn.XLOOKUP(A828,Colaboradores!$A:$A,Colaboradores!$S:$S,"",0)</f>
        <v>45859</v>
      </c>
      <c r="P828" t="str">
        <f t="shared" si="24"/>
        <v>103245848</v>
      </c>
    </row>
    <row r="829" spans="1:16" x14ac:dyDescent="0.3">
      <c r="A829">
        <v>1032</v>
      </c>
      <c r="B829">
        <v>33</v>
      </c>
      <c r="C829" t="s">
        <v>26</v>
      </c>
      <c r="D829" t="s">
        <v>16</v>
      </c>
      <c r="E829" t="s">
        <v>17</v>
      </c>
      <c r="F829" t="s">
        <v>21</v>
      </c>
      <c r="G829" t="s">
        <v>41</v>
      </c>
      <c r="H829" t="s">
        <v>20</v>
      </c>
      <c r="I829" s="1">
        <v>3</v>
      </c>
      <c r="J829" s="2">
        <v>45850</v>
      </c>
      <c r="K829" s="2">
        <f t="shared" si="25"/>
        <v>45839</v>
      </c>
      <c r="L829" s="1" t="str">
        <f t="shared" si="29"/>
        <v>sáb</v>
      </c>
      <c r="M829" s="1" t="str">
        <f t="shared" si="30"/>
        <v>jul</v>
      </c>
      <c r="N829">
        <f t="shared" si="31"/>
        <v>2025</v>
      </c>
      <c r="O829" s="2">
        <f>_xlfn.XLOOKUP(A829,Colaboradores!$A:$A,Colaboradores!$S:$S,"",0)</f>
        <v>45859</v>
      </c>
      <c r="P829" t="str">
        <f t="shared" si="24"/>
        <v>103245850</v>
      </c>
    </row>
    <row r="830" spans="1:16" x14ac:dyDescent="0.3">
      <c r="A830">
        <v>1032</v>
      </c>
      <c r="B830">
        <v>33</v>
      </c>
      <c r="C830" t="s">
        <v>26</v>
      </c>
      <c r="D830" t="s">
        <v>16</v>
      </c>
      <c r="E830" t="s">
        <v>17</v>
      </c>
      <c r="F830" t="s">
        <v>21</v>
      </c>
      <c r="G830" t="s">
        <v>44</v>
      </c>
      <c r="H830" t="s">
        <v>20</v>
      </c>
      <c r="I830" s="1">
        <v>3</v>
      </c>
      <c r="J830" s="2">
        <v>45851</v>
      </c>
      <c r="K830" s="2">
        <f t="shared" si="25"/>
        <v>45839</v>
      </c>
      <c r="L830" s="1" t="str">
        <f t="shared" si="29"/>
        <v>dom</v>
      </c>
      <c r="M830" s="1" t="str">
        <f t="shared" si="30"/>
        <v>jul</v>
      </c>
      <c r="N830">
        <f t="shared" si="31"/>
        <v>2025</v>
      </c>
      <c r="O830" s="2">
        <f>_xlfn.XLOOKUP(A830,Colaboradores!$A:$A,Colaboradores!$S:$S,"",0)</f>
        <v>45859</v>
      </c>
      <c r="P830" t="str">
        <f t="shared" si="24"/>
        <v>103245851</v>
      </c>
    </row>
    <row r="831" spans="1:16" x14ac:dyDescent="0.3">
      <c r="A831">
        <v>1032</v>
      </c>
      <c r="B831">
        <v>33</v>
      </c>
      <c r="C831" t="s">
        <v>26</v>
      </c>
      <c r="D831" t="s">
        <v>16</v>
      </c>
      <c r="E831" t="s">
        <v>17</v>
      </c>
      <c r="F831" t="s">
        <v>21</v>
      </c>
      <c r="G831" t="s">
        <v>44</v>
      </c>
      <c r="H831" t="s">
        <v>20</v>
      </c>
      <c r="I831" s="1">
        <v>3</v>
      </c>
      <c r="J831" s="2">
        <v>45852</v>
      </c>
      <c r="K831" s="2">
        <f t="shared" si="25"/>
        <v>45839</v>
      </c>
      <c r="L831" s="1" t="str">
        <f t="shared" si="29"/>
        <v>seg</v>
      </c>
      <c r="M831" s="1" t="str">
        <f t="shared" si="30"/>
        <v>jul</v>
      </c>
      <c r="N831">
        <f t="shared" si="31"/>
        <v>2025</v>
      </c>
      <c r="O831" s="2">
        <f>_xlfn.XLOOKUP(A831,Colaboradores!$A:$A,Colaboradores!$S:$S,"",0)</f>
        <v>45859</v>
      </c>
      <c r="P831" t="str">
        <f t="shared" si="24"/>
        <v>103245852</v>
      </c>
    </row>
    <row r="832" spans="1:16" x14ac:dyDescent="0.3">
      <c r="A832">
        <v>1034</v>
      </c>
      <c r="B832">
        <v>52</v>
      </c>
      <c r="C832" t="s">
        <v>26</v>
      </c>
      <c r="D832" t="s">
        <v>31</v>
      </c>
      <c r="E832" t="s">
        <v>32</v>
      </c>
      <c r="F832" t="s">
        <v>18</v>
      </c>
      <c r="G832" t="s">
        <v>41</v>
      </c>
      <c r="H832" t="s">
        <v>25</v>
      </c>
      <c r="I832" s="1">
        <v>1</v>
      </c>
      <c r="J832" s="2">
        <v>45904</v>
      </c>
      <c r="K832" s="2">
        <f t="shared" si="25"/>
        <v>45901</v>
      </c>
      <c r="L832" s="1" t="str">
        <f t="shared" si="29"/>
        <v>qui</v>
      </c>
      <c r="M832" s="1" t="str">
        <f t="shared" si="30"/>
        <v>set</v>
      </c>
      <c r="N832">
        <f t="shared" si="31"/>
        <v>2025</v>
      </c>
      <c r="O832" s="2"/>
      <c r="P832" t="str">
        <f t="shared" si="24"/>
        <v>103445904</v>
      </c>
    </row>
    <row r="833" spans="1:16" x14ac:dyDescent="0.3">
      <c r="A833">
        <v>1034</v>
      </c>
      <c r="B833">
        <v>52</v>
      </c>
      <c r="C833" t="s">
        <v>26</v>
      </c>
      <c r="D833" t="s">
        <v>31</v>
      </c>
      <c r="E833" t="s">
        <v>32</v>
      </c>
      <c r="F833" t="s">
        <v>18</v>
      </c>
      <c r="G833" t="s">
        <v>41</v>
      </c>
      <c r="H833" t="s">
        <v>25</v>
      </c>
      <c r="I833" s="1">
        <v>1</v>
      </c>
      <c r="J833" s="2">
        <v>45996</v>
      </c>
      <c r="K833" s="2">
        <f t="shared" si="25"/>
        <v>45992</v>
      </c>
      <c r="L833" s="1" t="str">
        <f t="shared" si="29"/>
        <v>sex</v>
      </c>
      <c r="M833" s="1" t="str">
        <f t="shared" si="30"/>
        <v>dez</v>
      </c>
      <c r="N833">
        <f t="shared" si="31"/>
        <v>2025</v>
      </c>
      <c r="O833" s="2"/>
      <c r="P833" t="str">
        <f t="shared" ref="P833:P896" si="32">CONCATENATE(A833,J833)</f>
        <v>103445996</v>
      </c>
    </row>
    <row r="834" spans="1:16" x14ac:dyDescent="0.3">
      <c r="A834">
        <v>1034</v>
      </c>
      <c r="B834">
        <v>52</v>
      </c>
      <c r="C834" t="s">
        <v>26</v>
      </c>
      <c r="D834" t="s">
        <v>31</v>
      </c>
      <c r="E834" t="s">
        <v>32</v>
      </c>
      <c r="F834" t="s">
        <v>18</v>
      </c>
      <c r="G834" t="s">
        <v>40</v>
      </c>
      <c r="H834" t="s">
        <v>25</v>
      </c>
      <c r="I834" s="1">
        <v>1</v>
      </c>
      <c r="J834" s="2">
        <v>46199</v>
      </c>
      <c r="K834" s="2">
        <f t="shared" si="25"/>
        <v>46174</v>
      </c>
      <c r="L834" s="1" t="str">
        <f t="shared" si="29"/>
        <v>sex</v>
      </c>
      <c r="M834" s="1" t="str">
        <f t="shared" si="30"/>
        <v>jun</v>
      </c>
      <c r="N834">
        <f t="shared" si="31"/>
        <v>2026</v>
      </c>
      <c r="O834" s="2"/>
      <c r="P834" t="str">
        <f t="shared" si="32"/>
        <v>103446199</v>
      </c>
    </row>
    <row r="835" spans="1:16" x14ac:dyDescent="0.3">
      <c r="A835">
        <v>1034</v>
      </c>
      <c r="B835">
        <v>52</v>
      </c>
      <c r="C835" t="s">
        <v>26</v>
      </c>
      <c r="D835" t="s">
        <v>31</v>
      </c>
      <c r="E835" t="s">
        <v>32</v>
      </c>
      <c r="F835" t="s">
        <v>18</v>
      </c>
      <c r="G835" t="s">
        <v>40</v>
      </c>
      <c r="H835" t="s">
        <v>25</v>
      </c>
      <c r="I835" s="1">
        <v>1</v>
      </c>
      <c r="J835" s="2">
        <v>46200</v>
      </c>
      <c r="K835" s="2">
        <f t="shared" ref="K835:K898" si="33">DATE(YEAR(J835),MONTH(J835),1)</f>
        <v>46174</v>
      </c>
      <c r="L835" s="1" t="str">
        <f t="shared" si="29"/>
        <v>sáb</v>
      </c>
      <c r="M835" s="1" t="str">
        <f t="shared" si="30"/>
        <v>jun</v>
      </c>
      <c r="N835">
        <f t="shared" si="31"/>
        <v>2026</v>
      </c>
      <c r="O835" s="2"/>
      <c r="P835" t="str">
        <f t="shared" si="32"/>
        <v>103446200</v>
      </c>
    </row>
    <row r="836" spans="1:16" x14ac:dyDescent="0.3">
      <c r="A836">
        <v>1034</v>
      </c>
      <c r="B836">
        <v>52</v>
      </c>
      <c r="C836" t="s">
        <v>26</v>
      </c>
      <c r="D836" t="s">
        <v>31</v>
      </c>
      <c r="E836" t="s">
        <v>32</v>
      </c>
      <c r="F836" t="s">
        <v>18</v>
      </c>
      <c r="G836" t="s">
        <v>40</v>
      </c>
      <c r="H836" t="s">
        <v>25</v>
      </c>
      <c r="I836" s="1">
        <v>1</v>
      </c>
      <c r="J836" s="2">
        <v>46201</v>
      </c>
      <c r="K836" s="2">
        <f t="shared" si="33"/>
        <v>46174</v>
      </c>
      <c r="L836" s="1" t="str">
        <f t="shared" si="29"/>
        <v>dom</v>
      </c>
      <c r="M836" s="1" t="str">
        <f t="shared" si="30"/>
        <v>jun</v>
      </c>
      <c r="N836">
        <f t="shared" si="31"/>
        <v>2026</v>
      </c>
      <c r="O836" s="2"/>
      <c r="P836" t="str">
        <f t="shared" si="32"/>
        <v>103446201</v>
      </c>
    </row>
    <row r="837" spans="1:16" x14ac:dyDescent="0.3">
      <c r="A837">
        <v>1034</v>
      </c>
      <c r="B837">
        <v>52</v>
      </c>
      <c r="C837" t="s">
        <v>26</v>
      </c>
      <c r="D837" t="s">
        <v>31</v>
      </c>
      <c r="E837" t="s">
        <v>32</v>
      </c>
      <c r="F837" t="s">
        <v>18</v>
      </c>
      <c r="G837" t="s">
        <v>40</v>
      </c>
      <c r="H837" t="s">
        <v>25</v>
      </c>
      <c r="I837" s="1">
        <v>1</v>
      </c>
      <c r="J837" s="2">
        <v>46202</v>
      </c>
      <c r="K837" s="2">
        <f t="shared" si="33"/>
        <v>46174</v>
      </c>
      <c r="L837" s="1" t="str">
        <f t="shared" si="29"/>
        <v>seg</v>
      </c>
      <c r="M837" s="1" t="str">
        <f t="shared" si="30"/>
        <v>jun</v>
      </c>
      <c r="N837">
        <f t="shared" si="31"/>
        <v>2026</v>
      </c>
      <c r="O837" s="2"/>
      <c r="P837" t="str">
        <f t="shared" si="32"/>
        <v>103446202</v>
      </c>
    </row>
    <row r="838" spans="1:16" x14ac:dyDescent="0.3">
      <c r="A838">
        <v>1034</v>
      </c>
      <c r="B838">
        <v>52</v>
      </c>
      <c r="C838" t="s">
        <v>26</v>
      </c>
      <c r="D838" t="s">
        <v>31</v>
      </c>
      <c r="E838" t="s">
        <v>32</v>
      </c>
      <c r="F838" t="s">
        <v>18</v>
      </c>
      <c r="G838" t="s">
        <v>40</v>
      </c>
      <c r="H838" t="s">
        <v>25</v>
      </c>
      <c r="I838" s="1">
        <v>1</v>
      </c>
      <c r="J838" s="2">
        <v>46203</v>
      </c>
      <c r="K838" s="2">
        <f t="shared" si="33"/>
        <v>46174</v>
      </c>
      <c r="L838" s="1" t="str">
        <f t="shared" si="29"/>
        <v>ter</v>
      </c>
      <c r="M838" s="1" t="str">
        <f t="shared" si="30"/>
        <v>jun</v>
      </c>
      <c r="N838">
        <f t="shared" si="31"/>
        <v>2026</v>
      </c>
      <c r="O838" s="2"/>
      <c r="P838" t="str">
        <f t="shared" si="32"/>
        <v>103446203</v>
      </c>
    </row>
    <row r="839" spans="1:16" x14ac:dyDescent="0.3">
      <c r="A839">
        <v>1034</v>
      </c>
      <c r="B839">
        <v>52</v>
      </c>
      <c r="C839" t="s">
        <v>26</v>
      </c>
      <c r="D839" t="s">
        <v>31</v>
      </c>
      <c r="E839" t="s">
        <v>32</v>
      </c>
      <c r="F839" t="s">
        <v>18</v>
      </c>
      <c r="G839" t="s">
        <v>40</v>
      </c>
      <c r="H839" t="s">
        <v>25</v>
      </c>
      <c r="I839" s="1">
        <v>1</v>
      </c>
      <c r="J839" s="2">
        <v>46054</v>
      </c>
      <c r="K839" s="2">
        <f t="shared" si="33"/>
        <v>46054</v>
      </c>
      <c r="L839" s="1" t="str">
        <f t="shared" si="29"/>
        <v>dom</v>
      </c>
      <c r="M839" s="1" t="str">
        <f t="shared" si="30"/>
        <v>fev</v>
      </c>
      <c r="N839">
        <f t="shared" si="31"/>
        <v>2026</v>
      </c>
      <c r="O839" s="2"/>
      <c r="P839" t="str">
        <f t="shared" si="32"/>
        <v>103446054</v>
      </c>
    </row>
    <row r="840" spans="1:16" x14ac:dyDescent="0.3">
      <c r="A840">
        <v>1035</v>
      </c>
      <c r="B840">
        <v>50</v>
      </c>
      <c r="C840" t="s">
        <v>15</v>
      </c>
      <c r="D840" t="s">
        <v>29</v>
      </c>
      <c r="E840" t="s">
        <v>17</v>
      </c>
      <c r="F840" t="s">
        <v>21</v>
      </c>
      <c r="G840" t="s">
        <v>40</v>
      </c>
      <c r="H840" t="s">
        <v>25</v>
      </c>
      <c r="I840" s="1">
        <v>3</v>
      </c>
      <c r="J840" s="2">
        <v>45832</v>
      </c>
      <c r="K840" s="2">
        <f t="shared" si="33"/>
        <v>45809</v>
      </c>
      <c r="L840" s="1" t="str">
        <f t="shared" si="29"/>
        <v>ter</v>
      </c>
      <c r="M840" s="1" t="str">
        <f t="shared" si="30"/>
        <v>jun</v>
      </c>
      <c r="N840">
        <f t="shared" si="31"/>
        <v>2025</v>
      </c>
      <c r="O840" s="2"/>
      <c r="P840" t="str">
        <f t="shared" si="32"/>
        <v>103545832</v>
      </c>
    </row>
    <row r="841" spans="1:16" x14ac:dyDescent="0.3">
      <c r="A841">
        <v>1035</v>
      </c>
      <c r="B841">
        <v>50</v>
      </c>
      <c r="C841" t="s">
        <v>15</v>
      </c>
      <c r="D841" t="s">
        <v>29</v>
      </c>
      <c r="E841" t="s">
        <v>17</v>
      </c>
      <c r="F841" t="s">
        <v>21</v>
      </c>
      <c r="G841" t="s">
        <v>40</v>
      </c>
      <c r="H841" t="s">
        <v>25</v>
      </c>
      <c r="I841" s="1">
        <v>3</v>
      </c>
      <c r="J841" s="2">
        <v>45833</v>
      </c>
      <c r="K841" s="2">
        <f t="shared" si="33"/>
        <v>45809</v>
      </c>
      <c r="L841" s="1" t="str">
        <f t="shared" si="29"/>
        <v>qua</v>
      </c>
      <c r="M841" s="1" t="str">
        <f t="shared" si="30"/>
        <v>jun</v>
      </c>
      <c r="N841">
        <f t="shared" si="31"/>
        <v>2025</v>
      </c>
      <c r="O841" s="2"/>
      <c r="P841" t="str">
        <f t="shared" si="32"/>
        <v>103545833</v>
      </c>
    </row>
    <row r="842" spans="1:16" x14ac:dyDescent="0.3">
      <c r="A842">
        <v>1035</v>
      </c>
      <c r="B842">
        <v>50</v>
      </c>
      <c r="C842" t="s">
        <v>15</v>
      </c>
      <c r="D842" t="s">
        <v>29</v>
      </c>
      <c r="E842" t="s">
        <v>17</v>
      </c>
      <c r="F842" t="s">
        <v>21</v>
      </c>
      <c r="G842" t="s">
        <v>40</v>
      </c>
      <c r="H842" t="s">
        <v>25</v>
      </c>
      <c r="I842" s="1">
        <v>3</v>
      </c>
      <c r="J842" s="2">
        <v>45834</v>
      </c>
      <c r="K842" s="2">
        <f t="shared" si="33"/>
        <v>45809</v>
      </c>
      <c r="L842" s="1" t="str">
        <f t="shared" si="29"/>
        <v>qui</v>
      </c>
      <c r="M842" s="1" t="str">
        <f t="shared" si="30"/>
        <v>jun</v>
      </c>
      <c r="N842">
        <f t="shared" si="31"/>
        <v>2025</v>
      </c>
      <c r="O842" s="2"/>
      <c r="P842" t="str">
        <f t="shared" si="32"/>
        <v>103545834</v>
      </c>
    </row>
    <row r="843" spans="1:16" x14ac:dyDescent="0.3">
      <c r="A843">
        <v>1035</v>
      </c>
      <c r="B843">
        <v>50</v>
      </c>
      <c r="C843" t="s">
        <v>15</v>
      </c>
      <c r="D843" t="s">
        <v>29</v>
      </c>
      <c r="E843" t="s">
        <v>17</v>
      </c>
      <c r="F843" t="s">
        <v>21</v>
      </c>
      <c r="G843" t="s">
        <v>40</v>
      </c>
      <c r="H843" t="s">
        <v>25</v>
      </c>
      <c r="I843" s="1">
        <v>3</v>
      </c>
      <c r="J843" s="2">
        <v>45835</v>
      </c>
      <c r="K843" s="2">
        <f t="shared" si="33"/>
        <v>45809</v>
      </c>
      <c r="L843" s="1" t="str">
        <f t="shared" si="29"/>
        <v>sex</v>
      </c>
      <c r="M843" s="1" t="str">
        <f t="shared" si="30"/>
        <v>jun</v>
      </c>
      <c r="N843">
        <f t="shared" si="31"/>
        <v>2025</v>
      </c>
      <c r="O843" s="2"/>
      <c r="P843" t="str">
        <f t="shared" si="32"/>
        <v>103545835</v>
      </c>
    </row>
    <row r="844" spans="1:16" x14ac:dyDescent="0.3">
      <c r="A844">
        <v>1035</v>
      </c>
      <c r="B844">
        <v>50</v>
      </c>
      <c r="C844" t="s">
        <v>15</v>
      </c>
      <c r="D844" t="s">
        <v>29</v>
      </c>
      <c r="E844" t="s">
        <v>17</v>
      </c>
      <c r="F844" t="s">
        <v>21</v>
      </c>
      <c r="G844" t="s">
        <v>40</v>
      </c>
      <c r="H844" t="s">
        <v>25</v>
      </c>
      <c r="I844" s="1">
        <v>3</v>
      </c>
      <c r="J844" s="2">
        <v>45836</v>
      </c>
      <c r="K844" s="2">
        <f t="shared" si="33"/>
        <v>45809</v>
      </c>
      <c r="L844" s="1" t="str">
        <f t="shared" si="29"/>
        <v>sáb</v>
      </c>
      <c r="M844" s="1" t="str">
        <f t="shared" si="30"/>
        <v>jun</v>
      </c>
      <c r="N844">
        <f t="shared" si="31"/>
        <v>2025</v>
      </c>
      <c r="O844" s="2"/>
      <c r="P844" t="str">
        <f t="shared" si="32"/>
        <v>103545836</v>
      </c>
    </row>
    <row r="845" spans="1:16" x14ac:dyDescent="0.3">
      <c r="A845">
        <v>1035</v>
      </c>
      <c r="B845">
        <v>50</v>
      </c>
      <c r="C845" t="s">
        <v>15</v>
      </c>
      <c r="D845" t="s">
        <v>29</v>
      </c>
      <c r="E845" t="s">
        <v>17</v>
      </c>
      <c r="F845" t="s">
        <v>21</v>
      </c>
      <c r="G845" t="s">
        <v>40</v>
      </c>
      <c r="H845" t="s">
        <v>25</v>
      </c>
      <c r="I845" s="1">
        <v>3</v>
      </c>
      <c r="J845" s="2">
        <v>45837</v>
      </c>
      <c r="K845" s="2">
        <f t="shared" si="33"/>
        <v>45809</v>
      </c>
      <c r="L845" s="1" t="str">
        <f t="shared" si="29"/>
        <v>dom</v>
      </c>
      <c r="M845" s="1" t="str">
        <f t="shared" si="30"/>
        <v>jun</v>
      </c>
      <c r="N845">
        <f t="shared" si="31"/>
        <v>2025</v>
      </c>
      <c r="O845" s="2"/>
      <c r="P845" t="str">
        <f t="shared" si="32"/>
        <v>103545837</v>
      </c>
    </row>
    <row r="846" spans="1:16" x14ac:dyDescent="0.3">
      <c r="A846">
        <v>1046</v>
      </c>
      <c r="B846">
        <v>44</v>
      </c>
      <c r="C846" t="s">
        <v>15</v>
      </c>
      <c r="D846" t="s">
        <v>29</v>
      </c>
      <c r="E846" t="s">
        <v>17</v>
      </c>
      <c r="F846" t="s">
        <v>18</v>
      </c>
      <c r="G846" t="s">
        <v>40</v>
      </c>
      <c r="H846" t="s">
        <v>25</v>
      </c>
      <c r="I846" s="1">
        <v>2</v>
      </c>
      <c r="J846" s="2">
        <v>45767</v>
      </c>
      <c r="K846" s="2">
        <f t="shared" si="33"/>
        <v>45748</v>
      </c>
      <c r="L846" s="1" t="str">
        <f t="shared" si="29"/>
        <v>dom</v>
      </c>
      <c r="M846" s="1" t="str">
        <f t="shared" si="30"/>
        <v>abr</v>
      </c>
      <c r="N846">
        <f t="shared" si="31"/>
        <v>2025</v>
      </c>
      <c r="O846" s="2"/>
      <c r="P846" t="str">
        <f t="shared" si="32"/>
        <v>104645767</v>
      </c>
    </row>
    <row r="847" spans="1:16" x14ac:dyDescent="0.3">
      <c r="A847">
        <v>1046</v>
      </c>
      <c r="B847">
        <v>44</v>
      </c>
      <c r="C847" t="s">
        <v>15</v>
      </c>
      <c r="D847" t="s">
        <v>29</v>
      </c>
      <c r="E847" t="s">
        <v>17</v>
      </c>
      <c r="F847" t="s">
        <v>18</v>
      </c>
      <c r="G847" t="s">
        <v>40</v>
      </c>
      <c r="H847" t="s">
        <v>25</v>
      </c>
      <c r="I847" s="1">
        <v>2</v>
      </c>
      <c r="J847" s="2">
        <v>45768</v>
      </c>
      <c r="K847" s="2">
        <f t="shared" si="33"/>
        <v>45748</v>
      </c>
      <c r="L847" s="1" t="str">
        <f t="shared" si="29"/>
        <v>seg</v>
      </c>
      <c r="M847" s="1" t="str">
        <f t="shared" si="30"/>
        <v>abr</v>
      </c>
      <c r="N847">
        <f t="shared" si="31"/>
        <v>2025</v>
      </c>
      <c r="O847" s="2"/>
      <c r="P847" t="str">
        <f t="shared" si="32"/>
        <v>104645768</v>
      </c>
    </row>
    <row r="848" spans="1:16" x14ac:dyDescent="0.3">
      <c r="A848">
        <v>1046</v>
      </c>
      <c r="B848">
        <v>44</v>
      </c>
      <c r="C848" t="s">
        <v>15</v>
      </c>
      <c r="D848" t="s">
        <v>29</v>
      </c>
      <c r="E848" t="s">
        <v>17</v>
      </c>
      <c r="F848" t="s">
        <v>18</v>
      </c>
      <c r="G848" t="s">
        <v>40</v>
      </c>
      <c r="H848" t="s">
        <v>25</v>
      </c>
      <c r="I848" s="1">
        <v>2</v>
      </c>
      <c r="J848" s="2">
        <v>45769</v>
      </c>
      <c r="K848" s="2">
        <f t="shared" si="33"/>
        <v>45748</v>
      </c>
      <c r="L848" s="1" t="str">
        <f t="shared" si="29"/>
        <v>ter</v>
      </c>
      <c r="M848" s="1" t="str">
        <f t="shared" si="30"/>
        <v>abr</v>
      </c>
      <c r="N848">
        <f t="shared" si="31"/>
        <v>2025</v>
      </c>
      <c r="O848" s="2"/>
      <c r="P848" t="str">
        <f t="shared" si="32"/>
        <v>104645769</v>
      </c>
    </row>
    <row r="849" spans="1:16" x14ac:dyDescent="0.3">
      <c r="A849">
        <v>1046</v>
      </c>
      <c r="B849">
        <v>44</v>
      </c>
      <c r="C849" t="s">
        <v>15</v>
      </c>
      <c r="D849" t="s">
        <v>29</v>
      </c>
      <c r="E849" t="s">
        <v>17</v>
      </c>
      <c r="F849" t="s">
        <v>18</v>
      </c>
      <c r="G849" t="s">
        <v>57</v>
      </c>
      <c r="H849" t="s">
        <v>25</v>
      </c>
      <c r="I849" s="1">
        <v>2</v>
      </c>
      <c r="J849" s="2">
        <v>45770</v>
      </c>
      <c r="K849" s="2">
        <f t="shared" si="33"/>
        <v>45748</v>
      </c>
      <c r="L849" s="1" t="str">
        <f t="shared" si="29"/>
        <v>qua</v>
      </c>
      <c r="M849" s="1" t="str">
        <f t="shared" si="30"/>
        <v>abr</v>
      </c>
      <c r="N849">
        <f t="shared" si="31"/>
        <v>2025</v>
      </c>
      <c r="O849" s="2"/>
      <c r="P849" t="str">
        <f t="shared" si="32"/>
        <v>104645770</v>
      </c>
    </row>
    <row r="850" spans="1:16" x14ac:dyDescent="0.3">
      <c r="A850">
        <v>1046</v>
      </c>
      <c r="B850">
        <v>44</v>
      </c>
      <c r="C850" t="s">
        <v>15</v>
      </c>
      <c r="D850" t="s">
        <v>29</v>
      </c>
      <c r="E850" t="s">
        <v>17</v>
      </c>
      <c r="F850" t="s">
        <v>18</v>
      </c>
      <c r="G850" t="s">
        <v>40</v>
      </c>
      <c r="H850" t="s">
        <v>25</v>
      </c>
      <c r="I850" s="1">
        <v>2</v>
      </c>
      <c r="J850" s="2">
        <v>45771</v>
      </c>
      <c r="K850" s="2">
        <f t="shared" si="33"/>
        <v>45748</v>
      </c>
      <c r="L850" s="1" t="str">
        <f t="shared" si="29"/>
        <v>qui</v>
      </c>
      <c r="M850" s="1" t="str">
        <f t="shared" si="30"/>
        <v>abr</v>
      </c>
      <c r="N850">
        <f t="shared" si="31"/>
        <v>2025</v>
      </c>
      <c r="O850" s="2"/>
      <c r="P850" t="str">
        <f t="shared" si="32"/>
        <v>104645771</v>
      </c>
    </row>
    <row r="851" spans="1:16" x14ac:dyDescent="0.3">
      <c r="A851">
        <v>1046</v>
      </c>
      <c r="B851">
        <v>44</v>
      </c>
      <c r="C851" t="s">
        <v>15</v>
      </c>
      <c r="D851" t="s">
        <v>29</v>
      </c>
      <c r="E851" t="s">
        <v>17</v>
      </c>
      <c r="F851" t="s">
        <v>18</v>
      </c>
      <c r="G851" t="s">
        <v>40</v>
      </c>
      <c r="H851" t="s">
        <v>25</v>
      </c>
      <c r="I851" s="1">
        <v>2</v>
      </c>
      <c r="J851" s="2">
        <v>45772</v>
      </c>
      <c r="K851" s="2">
        <f t="shared" si="33"/>
        <v>45748</v>
      </c>
      <c r="L851" s="1" t="str">
        <f t="shared" si="29"/>
        <v>sex</v>
      </c>
      <c r="M851" s="1" t="str">
        <f t="shared" si="30"/>
        <v>abr</v>
      </c>
      <c r="N851">
        <f t="shared" si="31"/>
        <v>2025</v>
      </c>
      <c r="O851" s="2"/>
      <c r="P851" t="str">
        <f t="shared" si="32"/>
        <v>104645772</v>
      </c>
    </row>
    <row r="852" spans="1:16" x14ac:dyDescent="0.3">
      <c r="A852">
        <v>1046</v>
      </c>
      <c r="B852">
        <v>44</v>
      </c>
      <c r="C852" t="s">
        <v>15</v>
      </c>
      <c r="D852" t="s">
        <v>29</v>
      </c>
      <c r="E852" t="s">
        <v>17</v>
      </c>
      <c r="F852" t="s">
        <v>18</v>
      </c>
      <c r="G852" t="s">
        <v>40</v>
      </c>
      <c r="H852" t="s">
        <v>25</v>
      </c>
      <c r="I852" s="1">
        <v>2</v>
      </c>
      <c r="J852" s="2">
        <v>46132</v>
      </c>
      <c r="K852" s="2">
        <f t="shared" si="33"/>
        <v>46113</v>
      </c>
      <c r="L852" s="1" t="s">
        <v>55</v>
      </c>
      <c r="M852" s="1" t="s">
        <v>48</v>
      </c>
      <c r="N852">
        <v>2025</v>
      </c>
      <c r="O852" s="2"/>
      <c r="P852" t="str">
        <f t="shared" si="32"/>
        <v>104646132</v>
      </c>
    </row>
    <row r="853" spans="1:16" x14ac:dyDescent="0.3">
      <c r="A853">
        <v>1046</v>
      </c>
      <c r="B853">
        <v>44</v>
      </c>
      <c r="C853" t="s">
        <v>15</v>
      </c>
      <c r="D853" t="s">
        <v>29</v>
      </c>
      <c r="E853" t="s">
        <v>17</v>
      </c>
      <c r="F853" t="s">
        <v>18</v>
      </c>
      <c r="G853" t="s">
        <v>40</v>
      </c>
      <c r="H853" t="s">
        <v>25</v>
      </c>
      <c r="I853" s="1">
        <v>2</v>
      </c>
      <c r="J853" s="2">
        <v>46133</v>
      </c>
      <c r="K853" s="2">
        <f t="shared" si="33"/>
        <v>46113</v>
      </c>
      <c r="L853" s="1" t="s">
        <v>56</v>
      </c>
      <c r="M853" s="1" t="s">
        <v>48</v>
      </c>
      <c r="N853">
        <v>2025</v>
      </c>
      <c r="O853" s="2"/>
      <c r="P853" t="str">
        <f t="shared" si="32"/>
        <v>104646133</v>
      </c>
    </row>
    <row r="854" spans="1:16" x14ac:dyDescent="0.3">
      <c r="A854">
        <v>1046</v>
      </c>
      <c r="B854">
        <v>44</v>
      </c>
      <c r="C854" t="s">
        <v>15</v>
      </c>
      <c r="D854" t="s">
        <v>29</v>
      </c>
      <c r="E854" t="s">
        <v>17</v>
      </c>
      <c r="F854" t="s">
        <v>18</v>
      </c>
      <c r="G854" t="s">
        <v>40</v>
      </c>
      <c r="H854" t="s">
        <v>25</v>
      </c>
      <c r="I854" s="1">
        <v>2</v>
      </c>
      <c r="J854" s="2">
        <v>46134</v>
      </c>
      <c r="K854" s="2">
        <f t="shared" si="33"/>
        <v>46113</v>
      </c>
      <c r="L854" s="1" t="s">
        <v>50</v>
      </c>
      <c r="M854" s="1" t="s">
        <v>48</v>
      </c>
      <c r="N854">
        <v>2025</v>
      </c>
      <c r="O854" s="2"/>
      <c r="P854" t="str">
        <f t="shared" si="32"/>
        <v>104646134</v>
      </c>
    </row>
    <row r="855" spans="1:16" x14ac:dyDescent="0.3">
      <c r="A855">
        <v>1046</v>
      </c>
      <c r="B855">
        <v>44</v>
      </c>
      <c r="C855" t="s">
        <v>15</v>
      </c>
      <c r="D855" t="s">
        <v>29</v>
      </c>
      <c r="E855" t="s">
        <v>17</v>
      </c>
      <c r="F855" t="s">
        <v>18</v>
      </c>
      <c r="G855" t="s">
        <v>40</v>
      </c>
      <c r="H855" t="s">
        <v>25</v>
      </c>
      <c r="I855" s="1">
        <v>2</v>
      </c>
      <c r="J855" s="2">
        <v>46135</v>
      </c>
      <c r="K855" s="2">
        <f t="shared" si="33"/>
        <v>46113</v>
      </c>
      <c r="L855" s="1" t="s">
        <v>51</v>
      </c>
      <c r="M855" s="1" t="s">
        <v>48</v>
      </c>
      <c r="N855">
        <v>2025</v>
      </c>
      <c r="O855" s="2"/>
      <c r="P855" t="str">
        <f t="shared" si="32"/>
        <v>104646135</v>
      </c>
    </row>
    <row r="856" spans="1:16" x14ac:dyDescent="0.3">
      <c r="A856">
        <v>1046</v>
      </c>
      <c r="B856">
        <v>44</v>
      </c>
      <c r="C856" t="s">
        <v>15</v>
      </c>
      <c r="D856" t="s">
        <v>29</v>
      </c>
      <c r="E856" t="s">
        <v>17</v>
      </c>
      <c r="F856" t="s">
        <v>18</v>
      </c>
      <c r="G856" t="s">
        <v>40</v>
      </c>
      <c r="H856" t="s">
        <v>25</v>
      </c>
      <c r="I856" s="1">
        <v>2</v>
      </c>
      <c r="J856" s="2">
        <v>46136</v>
      </c>
      <c r="K856" s="2">
        <f t="shared" si="33"/>
        <v>46113</v>
      </c>
      <c r="L856" s="1" t="s">
        <v>52</v>
      </c>
      <c r="M856" s="1" t="s">
        <v>48</v>
      </c>
      <c r="N856">
        <v>2025</v>
      </c>
      <c r="O856" s="2"/>
      <c r="P856" t="str">
        <f t="shared" si="32"/>
        <v>104646136</v>
      </c>
    </row>
    <row r="857" spans="1:16" x14ac:dyDescent="0.3">
      <c r="A857">
        <v>1046</v>
      </c>
      <c r="B857">
        <v>44</v>
      </c>
      <c r="C857" t="s">
        <v>15</v>
      </c>
      <c r="D857" t="s">
        <v>29</v>
      </c>
      <c r="E857" t="s">
        <v>17</v>
      </c>
      <c r="F857" t="s">
        <v>18</v>
      </c>
      <c r="G857" t="s">
        <v>40</v>
      </c>
      <c r="H857" t="s">
        <v>25</v>
      </c>
      <c r="I857" s="1">
        <v>2</v>
      </c>
      <c r="J857" s="2">
        <v>46137</v>
      </c>
      <c r="K857" s="2">
        <f t="shared" si="33"/>
        <v>46113</v>
      </c>
      <c r="L857" s="1" t="s">
        <v>53</v>
      </c>
      <c r="M857" s="1" t="s">
        <v>48</v>
      </c>
      <c r="N857">
        <v>2025</v>
      </c>
      <c r="O857" s="2"/>
      <c r="P857" t="str">
        <f t="shared" si="32"/>
        <v>104646137</v>
      </c>
    </row>
    <row r="858" spans="1:16" x14ac:dyDescent="0.3">
      <c r="A858">
        <v>1049</v>
      </c>
      <c r="B858">
        <v>40</v>
      </c>
      <c r="C858" t="s">
        <v>15</v>
      </c>
      <c r="D858" t="s">
        <v>27</v>
      </c>
      <c r="E858" t="s">
        <v>17</v>
      </c>
      <c r="F858" t="s">
        <v>21</v>
      </c>
      <c r="G858" t="s">
        <v>43</v>
      </c>
      <c r="H858" t="s">
        <v>25</v>
      </c>
      <c r="I858" s="1">
        <v>2</v>
      </c>
      <c r="J858" s="2">
        <v>45849</v>
      </c>
      <c r="K858" s="2">
        <f t="shared" si="33"/>
        <v>45839</v>
      </c>
      <c r="L858" s="1" t="str">
        <f t="shared" ref="L858:L890" si="34">TEXT(J858,"ddd")</f>
        <v>sex</v>
      </c>
      <c r="M858" s="1" t="str">
        <f t="shared" ref="M858:M890" si="35">TEXT($J858,"mmm")</f>
        <v>jul</v>
      </c>
      <c r="N858">
        <f t="shared" ref="N858:N890" si="36">YEAR(J858)</f>
        <v>2025</v>
      </c>
      <c r="O858" s="2"/>
      <c r="P858" t="str">
        <f t="shared" si="32"/>
        <v>104945849</v>
      </c>
    </row>
    <row r="859" spans="1:16" x14ac:dyDescent="0.3">
      <c r="A859">
        <v>1049</v>
      </c>
      <c r="B859">
        <v>40</v>
      </c>
      <c r="C859" t="s">
        <v>15</v>
      </c>
      <c r="D859" t="s">
        <v>27</v>
      </c>
      <c r="E859" t="s">
        <v>17</v>
      </c>
      <c r="F859" t="s">
        <v>21</v>
      </c>
      <c r="G859" t="s">
        <v>43</v>
      </c>
      <c r="H859" t="s">
        <v>25</v>
      </c>
      <c r="I859" s="1">
        <v>2</v>
      </c>
      <c r="J859" s="2">
        <v>45882</v>
      </c>
      <c r="K859" s="2">
        <f t="shared" si="33"/>
        <v>45870</v>
      </c>
      <c r="L859" s="1" t="str">
        <f t="shared" si="34"/>
        <v>qua</v>
      </c>
      <c r="M859" s="1" t="str">
        <f t="shared" si="35"/>
        <v>ago</v>
      </c>
      <c r="N859">
        <f t="shared" si="36"/>
        <v>2025</v>
      </c>
      <c r="O859" s="2"/>
      <c r="P859" t="str">
        <f t="shared" si="32"/>
        <v>104945882</v>
      </c>
    </row>
    <row r="860" spans="1:16" x14ac:dyDescent="0.3">
      <c r="A860">
        <v>1049</v>
      </c>
      <c r="B860">
        <v>40</v>
      </c>
      <c r="C860" t="s">
        <v>15</v>
      </c>
      <c r="D860" t="s">
        <v>27</v>
      </c>
      <c r="E860" t="s">
        <v>17</v>
      </c>
      <c r="F860" t="s">
        <v>21</v>
      </c>
      <c r="G860" t="s">
        <v>43</v>
      </c>
      <c r="H860" t="s">
        <v>25</v>
      </c>
      <c r="I860" s="1">
        <v>2</v>
      </c>
      <c r="J860" s="2">
        <v>45907</v>
      </c>
      <c r="K860" s="2">
        <f t="shared" si="33"/>
        <v>45901</v>
      </c>
      <c r="L860" s="1" t="str">
        <f t="shared" si="34"/>
        <v>dom</v>
      </c>
      <c r="M860" s="1" t="str">
        <f t="shared" si="35"/>
        <v>set</v>
      </c>
      <c r="N860">
        <f t="shared" si="36"/>
        <v>2025</v>
      </c>
      <c r="O860" s="2"/>
      <c r="P860" t="str">
        <f t="shared" si="32"/>
        <v>104945907</v>
      </c>
    </row>
    <row r="861" spans="1:16" x14ac:dyDescent="0.3">
      <c r="A861">
        <v>1049</v>
      </c>
      <c r="B861">
        <v>40</v>
      </c>
      <c r="C861" t="s">
        <v>15</v>
      </c>
      <c r="D861" t="s">
        <v>27</v>
      </c>
      <c r="E861" t="s">
        <v>17</v>
      </c>
      <c r="F861" t="s">
        <v>21</v>
      </c>
      <c r="G861" t="s">
        <v>43</v>
      </c>
      <c r="H861" t="s">
        <v>25</v>
      </c>
      <c r="I861" s="1">
        <v>2</v>
      </c>
      <c r="J861" s="2">
        <v>45916</v>
      </c>
      <c r="K861" s="2">
        <f t="shared" si="33"/>
        <v>45901</v>
      </c>
      <c r="L861" s="1" t="str">
        <f t="shared" si="34"/>
        <v>ter</v>
      </c>
      <c r="M861" s="1" t="str">
        <f t="shared" si="35"/>
        <v>set</v>
      </c>
      <c r="N861">
        <f t="shared" si="36"/>
        <v>2025</v>
      </c>
      <c r="O861" s="2"/>
      <c r="P861" t="str">
        <f t="shared" si="32"/>
        <v>104945916</v>
      </c>
    </row>
    <row r="862" spans="1:16" x14ac:dyDescent="0.3">
      <c r="A862">
        <v>1049</v>
      </c>
      <c r="B862">
        <v>40</v>
      </c>
      <c r="C862" t="s">
        <v>15</v>
      </c>
      <c r="D862" t="s">
        <v>27</v>
      </c>
      <c r="E862" t="s">
        <v>17</v>
      </c>
      <c r="F862" t="s">
        <v>21</v>
      </c>
      <c r="G862" t="s">
        <v>43</v>
      </c>
      <c r="H862" t="s">
        <v>25</v>
      </c>
      <c r="I862" s="1">
        <v>2</v>
      </c>
      <c r="J862" s="2">
        <v>45980</v>
      </c>
      <c r="K862" s="2">
        <f t="shared" si="33"/>
        <v>45962</v>
      </c>
      <c r="L862" s="1" t="str">
        <f t="shared" si="34"/>
        <v>qua</v>
      </c>
      <c r="M862" s="1" t="str">
        <f t="shared" si="35"/>
        <v>nov</v>
      </c>
      <c r="N862">
        <f t="shared" si="36"/>
        <v>2025</v>
      </c>
      <c r="O862" s="2"/>
      <c r="P862" t="str">
        <f t="shared" si="32"/>
        <v>104945980</v>
      </c>
    </row>
    <row r="863" spans="1:16" x14ac:dyDescent="0.3">
      <c r="A863">
        <v>1050</v>
      </c>
      <c r="B863">
        <v>25</v>
      </c>
      <c r="C863" t="s">
        <v>15</v>
      </c>
      <c r="D863" t="s">
        <v>29</v>
      </c>
      <c r="E863" t="s">
        <v>17</v>
      </c>
      <c r="F863" t="s">
        <v>18</v>
      </c>
      <c r="G863" t="s">
        <v>43</v>
      </c>
      <c r="H863" t="s">
        <v>25</v>
      </c>
      <c r="I863" s="1">
        <v>3</v>
      </c>
      <c r="J863" s="2">
        <v>45871</v>
      </c>
      <c r="K863" s="2">
        <f t="shared" si="33"/>
        <v>45870</v>
      </c>
      <c r="L863" s="1" t="str">
        <f t="shared" si="34"/>
        <v>sáb</v>
      </c>
      <c r="M863" s="1" t="str">
        <f t="shared" si="35"/>
        <v>ago</v>
      </c>
      <c r="N863">
        <f t="shared" si="36"/>
        <v>2025</v>
      </c>
      <c r="O863" s="2"/>
      <c r="P863" t="str">
        <f t="shared" si="32"/>
        <v>105045871</v>
      </c>
    </row>
    <row r="864" spans="1:16" x14ac:dyDescent="0.3">
      <c r="A864">
        <v>1050</v>
      </c>
      <c r="B864">
        <v>25</v>
      </c>
      <c r="C864" t="s">
        <v>15</v>
      </c>
      <c r="D864" t="s">
        <v>29</v>
      </c>
      <c r="E864" t="s">
        <v>17</v>
      </c>
      <c r="F864" t="s">
        <v>18</v>
      </c>
      <c r="G864" t="s">
        <v>41</v>
      </c>
      <c r="H864" t="s">
        <v>25</v>
      </c>
      <c r="I864" s="1">
        <v>3</v>
      </c>
      <c r="J864" s="2">
        <v>45977</v>
      </c>
      <c r="K864" s="2">
        <f t="shared" si="33"/>
        <v>45962</v>
      </c>
      <c r="L864" s="1" t="str">
        <f t="shared" si="34"/>
        <v>dom</v>
      </c>
      <c r="M864" s="1" t="str">
        <f t="shared" si="35"/>
        <v>nov</v>
      </c>
      <c r="N864">
        <f t="shared" si="36"/>
        <v>2025</v>
      </c>
      <c r="O864" s="2"/>
      <c r="P864" t="str">
        <f t="shared" si="32"/>
        <v>105045977</v>
      </c>
    </row>
    <row r="865" spans="1:16" x14ac:dyDescent="0.3">
      <c r="A865">
        <v>1050</v>
      </c>
      <c r="B865">
        <v>25</v>
      </c>
      <c r="C865" t="s">
        <v>15</v>
      </c>
      <c r="D865" t="s">
        <v>29</v>
      </c>
      <c r="E865" t="s">
        <v>17</v>
      </c>
      <c r="F865" t="s">
        <v>18</v>
      </c>
      <c r="G865" t="s">
        <v>43</v>
      </c>
      <c r="H865" t="s">
        <v>25</v>
      </c>
      <c r="I865" s="1">
        <v>3</v>
      </c>
      <c r="J865" s="2">
        <v>46012</v>
      </c>
      <c r="K865" s="2">
        <f t="shared" si="33"/>
        <v>45992</v>
      </c>
      <c r="L865" s="1" t="str">
        <f t="shared" si="34"/>
        <v>dom</v>
      </c>
      <c r="M865" s="1" t="str">
        <f t="shared" si="35"/>
        <v>dez</v>
      </c>
      <c r="N865">
        <f t="shared" si="36"/>
        <v>2025</v>
      </c>
      <c r="O865" s="2"/>
      <c r="P865" t="str">
        <f t="shared" si="32"/>
        <v>105046012</v>
      </c>
    </row>
    <row r="866" spans="1:16" x14ac:dyDescent="0.3">
      <c r="A866">
        <v>1050</v>
      </c>
      <c r="B866">
        <v>25</v>
      </c>
      <c r="C866" t="s">
        <v>15</v>
      </c>
      <c r="D866" t="s">
        <v>29</v>
      </c>
      <c r="E866" t="s">
        <v>17</v>
      </c>
      <c r="F866" t="s">
        <v>18</v>
      </c>
      <c r="G866" t="s">
        <v>43</v>
      </c>
      <c r="H866" t="s">
        <v>25</v>
      </c>
      <c r="I866" s="1">
        <v>3</v>
      </c>
      <c r="J866" s="2">
        <v>46066</v>
      </c>
      <c r="K866" s="2">
        <f t="shared" si="33"/>
        <v>46054</v>
      </c>
      <c r="L866" s="1" t="str">
        <f t="shared" si="34"/>
        <v>sex</v>
      </c>
      <c r="M866" s="1" t="str">
        <f t="shared" si="35"/>
        <v>fev</v>
      </c>
      <c r="N866">
        <f t="shared" si="36"/>
        <v>2026</v>
      </c>
      <c r="O866" s="2"/>
      <c r="P866" t="str">
        <f t="shared" si="32"/>
        <v>105046066</v>
      </c>
    </row>
    <row r="867" spans="1:16" x14ac:dyDescent="0.3">
      <c r="A867">
        <v>1051</v>
      </c>
      <c r="B867">
        <v>24</v>
      </c>
      <c r="C867" t="s">
        <v>15</v>
      </c>
      <c r="D867" t="s">
        <v>31</v>
      </c>
      <c r="E867" t="s">
        <v>34</v>
      </c>
      <c r="F867" t="s">
        <v>18</v>
      </c>
      <c r="G867" t="s">
        <v>41</v>
      </c>
      <c r="H867" t="s">
        <v>25</v>
      </c>
      <c r="I867" s="1">
        <v>3</v>
      </c>
      <c r="J867" s="2">
        <v>46054</v>
      </c>
      <c r="K867" s="2">
        <f t="shared" si="33"/>
        <v>46054</v>
      </c>
      <c r="L867" s="1" t="str">
        <f t="shared" si="34"/>
        <v>dom</v>
      </c>
      <c r="M867" s="1" t="str">
        <f t="shared" si="35"/>
        <v>fev</v>
      </c>
      <c r="N867">
        <f t="shared" si="36"/>
        <v>2026</v>
      </c>
      <c r="O867" s="2"/>
      <c r="P867" t="str">
        <f t="shared" si="32"/>
        <v>105146054</v>
      </c>
    </row>
    <row r="868" spans="1:16" x14ac:dyDescent="0.3">
      <c r="A868">
        <v>1051</v>
      </c>
      <c r="B868">
        <v>24</v>
      </c>
      <c r="C868" t="s">
        <v>15</v>
      </c>
      <c r="D868" t="s">
        <v>31</v>
      </c>
      <c r="E868" t="s">
        <v>34</v>
      </c>
      <c r="F868" t="s">
        <v>18</v>
      </c>
      <c r="G868" t="s">
        <v>41</v>
      </c>
      <c r="H868" t="s">
        <v>25</v>
      </c>
      <c r="I868" s="1">
        <v>3</v>
      </c>
      <c r="J868" s="2">
        <v>46056</v>
      </c>
      <c r="K868" s="2">
        <f t="shared" si="33"/>
        <v>46054</v>
      </c>
      <c r="L868" s="1" t="str">
        <f t="shared" si="34"/>
        <v>ter</v>
      </c>
      <c r="M868" s="1" t="str">
        <f t="shared" si="35"/>
        <v>fev</v>
      </c>
      <c r="N868">
        <f t="shared" si="36"/>
        <v>2026</v>
      </c>
      <c r="O868" s="2"/>
      <c r="P868" t="str">
        <f t="shared" si="32"/>
        <v>105146056</v>
      </c>
    </row>
    <row r="869" spans="1:16" x14ac:dyDescent="0.3">
      <c r="A869">
        <v>1051</v>
      </c>
      <c r="B869">
        <v>24</v>
      </c>
      <c r="C869" t="s">
        <v>15</v>
      </c>
      <c r="D869" t="s">
        <v>31</v>
      </c>
      <c r="E869" t="s">
        <v>34</v>
      </c>
      <c r="F869" t="s">
        <v>18</v>
      </c>
      <c r="G869" t="s">
        <v>41</v>
      </c>
      <c r="H869" t="s">
        <v>25</v>
      </c>
      <c r="I869" s="1">
        <v>3</v>
      </c>
      <c r="J869" s="2">
        <v>46064</v>
      </c>
      <c r="K869" s="2">
        <f t="shared" si="33"/>
        <v>46054</v>
      </c>
      <c r="L869" s="1" t="str">
        <f t="shared" si="34"/>
        <v>qua</v>
      </c>
      <c r="M869" s="1" t="str">
        <f t="shared" si="35"/>
        <v>fev</v>
      </c>
      <c r="N869">
        <f t="shared" si="36"/>
        <v>2026</v>
      </c>
      <c r="O869" s="2"/>
      <c r="P869" t="str">
        <f t="shared" si="32"/>
        <v>105146064</v>
      </c>
    </row>
    <row r="870" spans="1:16" x14ac:dyDescent="0.3">
      <c r="A870">
        <v>1051</v>
      </c>
      <c r="B870">
        <v>24</v>
      </c>
      <c r="C870" t="s">
        <v>15</v>
      </c>
      <c r="D870" t="s">
        <v>31</v>
      </c>
      <c r="E870" t="s">
        <v>34</v>
      </c>
      <c r="F870" t="s">
        <v>18</v>
      </c>
      <c r="G870" t="s">
        <v>41</v>
      </c>
      <c r="H870" t="s">
        <v>25</v>
      </c>
      <c r="I870" s="1">
        <v>3</v>
      </c>
      <c r="J870" s="2">
        <v>46100</v>
      </c>
      <c r="K870" s="2">
        <f t="shared" si="33"/>
        <v>46082</v>
      </c>
      <c r="L870" s="1" t="str">
        <f t="shared" si="34"/>
        <v>qui</v>
      </c>
      <c r="M870" s="1" t="str">
        <f t="shared" si="35"/>
        <v>mar</v>
      </c>
      <c r="N870">
        <f t="shared" si="36"/>
        <v>2026</v>
      </c>
      <c r="O870" s="2"/>
      <c r="P870" t="str">
        <f t="shared" si="32"/>
        <v>105146100</v>
      </c>
    </row>
    <row r="871" spans="1:16" x14ac:dyDescent="0.3">
      <c r="A871">
        <v>1051</v>
      </c>
      <c r="B871">
        <v>24</v>
      </c>
      <c r="C871" t="s">
        <v>15</v>
      </c>
      <c r="D871" t="s">
        <v>31</v>
      </c>
      <c r="E871" t="s">
        <v>34</v>
      </c>
      <c r="F871" t="s">
        <v>18</v>
      </c>
      <c r="G871" t="s">
        <v>41</v>
      </c>
      <c r="H871" t="s">
        <v>25</v>
      </c>
      <c r="I871" s="1">
        <v>3</v>
      </c>
      <c r="J871" s="2">
        <v>46107</v>
      </c>
      <c r="K871" s="2">
        <f t="shared" si="33"/>
        <v>46082</v>
      </c>
      <c r="L871" s="1" t="str">
        <f t="shared" si="34"/>
        <v>qui</v>
      </c>
      <c r="M871" s="1" t="str">
        <f t="shared" si="35"/>
        <v>mar</v>
      </c>
      <c r="N871">
        <f t="shared" si="36"/>
        <v>2026</v>
      </c>
      <c r="O871" s="2"/>
      <c r="P871" t="str">
        <f t="shared" si="32"/>
        <v>105146107</v>
      </c>
    </row>
    <row r="872" spans="1:16" x14ac:dyDescent="0.3">
      <c r="A872">
        <v>1051</v>
      </c>
      <c r="B872">
        <v>24</v>
      </c>
      <c r="C872" t="s">
        <v>15</v>
      </c>
      <c r="D872" t="s">
        <v>31</v>
      </c>
      <c r="E872" t="s">
        <v>34</v>
      </c>
      <c r="F872" t="s">
        <v>18</v>
      </c>
      <c r="G872" t="s">
        <v>41</v>
      </c>
      <c r="H872" t="s">
        <v>25</v>
      </c>
      <c r="I872" s="1">
        <v>3</v>
      </c>
      <c r="J872" s="2">
        <v>46156</v>
      </c>
      <c r="K872" s="2">
        <f t="shared" si="33"/>
        <v>46143</v>
      </c>
      <c r="L872" s="1" t="str">
        <f t="shared" si="34"/>
        <v>qui</v>
      </c>
      <c r="M872" s="1" t="str">
        <f t="shared" si="35"/>
        <v>mai</v>
      </c>
      <c r="N872">
        <f t="shared" si="36"/>
        <v>2026</v>
      </c>
      <c r="O872" s="2"/>
      <c r="P872" t="str">
        <f t="shared" si="32"/>
        <v>105146156</v>
      </c>
    </row>
    <row r="873" spans="1:16" x14ac:dyDescent="0.3">
      <c r="A873">
        <v>1065</v>
      </c>
      <c r="B873">
        <v>36</v>
      </c>
      <c r="C873" t="s">
        <v>26</v>
      </c>
      <c r="D873" t="s">
        <v>16</v>
      </c>
      <c r="E873" t="s">
        <v>17</v>
      </c>
      <c r="F873" t="s">
        <v>23</v>
      </c>
      <c r="G873" t="s">
        <v>40</v>
      </c>
      <c r="H873" t="s">
        <v>25</v>
      </c>
      <c r="I873" s="1">
        <v>2</v>
      </c>
      <c r="J873" s="2">
        <v>45923</v>
      </c>
      <c r="K873" s="2">
        <f t="shared" si="33"/>
        <v>45901</v>
      </c>
      <c r="L873" s="1" t="str">
        <f t="shared" si="34"/>
        <v>ter</v>
      </c>
      <c r="M873" s="1" t="str">
        <f t="shared" si="35"/>
        <v>set</v>
      </c>
      <c r="N873">
        <f t="shared" si="36"/>
        <v>2025</v>
      </c>
      <c r="O873" s="2"/>
      <c r="P873" t="str">
        <f t="shared" si="32"/>
        <v>106545923</v>
      </c>
    </row>
    <row r="874" spans="1:16" x14ac:dyDescent="0.3">
      <c r="A874">
        <v>1065</v>
      </c>
      <c r="B874">
        <v>36</v>
      </c>
      <c r="C874" t="s">
        <v>26</v>
      </c>
      <c r="D874" t="s">
        <v>16</v>
      </c>
      <c r="E874" t="s">
        <v>17</v>
      </c>
      <c r="F874" t="s">
        <v>23</v>
      </c>
      <c r="G874" t="s">
        <v>40</v>
      </c>
      <c r="H874" t="s">
        <v>25</v>
      </c>
      <c r="I874" s="1">
        <v>2</v>
      </c>
      <c r="J874" s="2">
        <v>45924</v>
      </c>
      <c r="K874" s="2">
        <f t="shared" si="33"/>
        <v>45901</v>
      </c>
      <c r="L874" s="1" t="str">
        <f t="shared" si="34"/>
        <v>qua</v>
      </c>
      <c r="M874" s="1" t="str">
        <f t="shared" si="35"/>
        <v>set</v>
      </c>
      <c r="N874">
        <f t="shared" si="36"/>
        <v>2025</v>
      </c>
      <c r="O874" s="2"/>
      <c r="P874" t="str">
        <f t="shared" si="32"/>
        <v>106545924</v>
      </c>
    </row>
    <row r="875" spans="1:16" x14ac:dyDescent="0.3">
      <c r="A875">
        <v>1065</v>
      </c>
      <c r="B875">
        <v>36</v>
      </c>
      <c r="C875" t="s">
        <v>26</v>
      </c>
      <c r="D875" t="s">
        <v>16</v>
      </c>
      <c r="E875" t="s">
        <v>17</v>
      </c>
      <c r="F875" t="s">
        <v>23</v>
      </c>
      <c r="G875" t="s">
        <v>40</v>
      </c>
      <c r="H875" t="s">
        <v>25</v>
      </c>
      <c r="I875" s="1">
        <v>2</v>
      </c>
      <c r="J875" s="2">
        <v>45925</v>
      </c>
      <c r="K875" s="2">
        <f t="shared" si="33"/>
        <v>45901</v>
      </c>
      <c r="L875" s="1" t="str">
        <f t="shared" si="34"/>
        <v>qui</v>
      </c>
      <c r="M875" s="1" t="str">
        <f t="shared" si="35"/>
        <v>set</v>
      </c>
      <c r="N875">
        <f t="shared" si="36"/>
        <v>2025</v>
      </c>
      <c r="O875" s="2"/>
      <c r="P875" t="str">
        <f t="shared" si="32"/>
        <v>106545925</v>
      </c>
    </row>
    <row r="876" spans="1:16" x14ac:dyDescent="0.3">
      <c r="A876">
        <v>1065</v>
      </c>
      <c r="B876">
        <v>36</v>
      </c>
      <c r="C876" t="s">
        <v>26</v>
      </c>
      <c r="D876" t="s">
        <v>16</v>
      </c>
      <c r="E876" t="s">
        <v>17</v>
      </c>
      <c r="F876" t="s">
        <v>23</v>
      </c>
      <c r="G876" t="s">
        <v>40</v>
      </c>
      <c r="H876" t="s">
        <v>25</v>
      </c>
      <c r="I876" s="1">
        <v>2</v>
      </c>
      <c r="J876" s="2">
        <v>45926</v>
      </c>
      <c r="K876" s="2">
        <f t="shared" si="33"/>
        <v>45901</v>
      </c>
      <c r="L876" s="1" t="str">
        <f t="shared" si="34"/>
        <v>sex</v>
      </c>
      <c r="M876" s="1" t="str">
        <f t="shared" si="35"/>
        <v>set</v>
      </c>
      <c r="N876">
        <f t="shared" si="36"/>
        <v>2025</v>
      </c>
      <c r="O876" s="2"/>
      <c r="P876" t="str">
        <f t="shared" si="32"/>
        <v>106545926</v>
      </c>
    </row>
    <row r="877" spans="1:16" x14ac:dyDescent="0.3">
      <c r="A877">
        <v>1065</v>
      </c>
      <c r="B877">
        <v>36</v>
      </c>
      <c r="C877" t="s">
        <v>26</v>
      </c>
      <c r="D877" t="s">
        <v>16</v>
      </c>
      <c r="E877" t="s">
        <v>17</v>
      </c>
      <c r="F877" t="s">
        <v>23</v>
      </c>
      <c r="G877" t="s">
        <v>42</v>
      </c>
      <c r="H877" t="s">
        <v>25</v>
      </c>
      <c r="I877" s="1">
        <v>2</v>
      </c>
      <c r="J877" s="2">
        <v>46001</v>
      </c>
      <c r="K877" s="2">
        <f t="shared" si="33"/>
        <v>45992</v>
      </c>
      <c r="L877" s="1" t="str">
        <f t="shared" si="34"/>
        <v>qua</v>
      </c>
      <c r="M877" s="1" t="str">
        <f t="shared" si="35"/>
        <v>dez</v>
      </c>
      <c r="N877">
        <f t="shared" si="36"/>
        <v>2025</v>
      </c>
      <c r="O877" s="2"/>
      <c r="P877" t="str">
        <f t="shared" si="32"/>
        <v>106546001</v>
      </c>
    </row>
    <row r="878" spans="1:16" x14ac:dyDescent="0.3">
      <c r="A878">
        <v>1065</v>
      </c>
      <c r="B878">
        <v>36</v>
      </c>
      <c r="C878" t="s">
        <v>26</v>
      </c>
      <c r="D878" t="s">
        <v>16</v>
      </c>
      <c r="E878" t="s">
        <v>17</v>
      </c>
      <c r="F878" t="s">
        <v>23</v>
      </c>
      <c r="G878" t="s">
        <v>42</v>
      </c>
      <c r="H878" t="s">
        <v>25</v>
      </c>
      <c r="I878" s="1">
        <v>2</v>
      </c>
      <c r="J878" s="2">
        <v>46196</v>
      </c>
      <c r="K878" s="2">
        <f t="shared" si="33"/>
        <v>46174</v>
      </c>
      <c r="L878" s="1" t="str">
        <f t="shared" si="34"/>
        <v>ter</v>
      </c>
      <c r="M878" s="1" t="str">
        <f t="shared" si="35"/>
        <v>jun</v>
      </c>
      <c r="N878">
        <f t="shared" si="36"/>
        <v>2026</v>
      </c>
      <c r="O878" s="2"/>
      <c r="P878" t="str">
        <f t="shared" si="32"/>
        <v>106546196</v>
      </c>
    </row>
    <row r="879" spans="1:16" x14ac:dyDescent="0.3">
      <c r="A879">
        <v>1074</v>
      </c>
      <c r="B879">
        <v>27</v>
      </c>
      <c r="C879" t="s">
        <v>26</v>
      </c>
      <c r="D879" t="s">
        <v>16</v>
      </c>
      <c r="E879" t="s">
        <v>17</v>
      </c>
      <c r="F879" t="s">
        <v>21</v>
      </c>
      <c r="G879" t="s">
        <v>41</v>
      </c>
      <c r="H879" t="s">
        <v>25</v>
      </c>
      <c r="I879" s="1">
        <v>3</v>
      </c>
      <c r="J879" s="2">
        <v>45813</v>
      </c>
      <c r="K879" s="2">
        <f t="shared" si="33"/>
        <v>45809</v>
      </c>
      <c r="L879" s="1" t="str">
        <f t="shared" si="34"/>
        <v>qui</v>
      </c>
      <c r="M879" s="1" t="str">
        <f t="shared" si="35"/>
        <v>jun</v>
      </c>
      <c r="N879">
        <f t="shared" si="36"/>
        <v>2025</v>
      </c>
      <c r="O879" s="2"/>
      <c r="P879" t="str">
        <f t="shared" si="32"/>
        <v>107445813</v>
      </c>
    </row>
    <row r="880" spans="1:16" x14ac:dyDescent="0.3">
      <c r="A880">
        <v>1074</v>
      </c>
      <c r="B880">
        <v>27</v>
      </c>
      <c r="C880" t="s">
        <v>26</v>
      </c>
      <c r="D880" t="s">
        <v>16</v>
      </c>
      <c r="E880" t="s">
        <v>17</v>
      </c>
      <c r="F880" t="s">
        <v>21</v>
      </c>
      <c r="G880" t="s">
        <v>41</v>
      </c>
      <c r="H880" t="s">
        <v>25</v>
      </c>
      <c r="I880" s="1">
        <v>3</v>
      </c>
      <c r="J880" s="2">
        <v>45837</v>
      </c>
      <c r="K880" s="2">
        <f t="shared" si="33"/>
        <v>45809</v>
      </c>
      <c r="L880" s="1" t="str">
        <f t="shared" si="34"/>
        <v>dom</v>
      </c>
      <c r="M880" s="1" t="str">
        <f t="shared" si="35"/>
        <v>jun</v>
      </c>
      <c r="N880">
        <f t="shared" si="36"/>
        <v>2025</v>
      </c>
      <c r="O880" s="2"/>
      <c r="P880" t="str">
        <f t="shared" si="32"/>
        <v>107445837</v>
      </c>
    </row>
    <row r="881" spans="1:16" x14ac:dyDescent="0.3">
      <c r="A881">
        <v>1074</v>
      </c>
      <c r="B881">
        <v>27</v>
      </c>
      <c r="C881" t="s">
        <v>26</v>
      </c>
      <c r="D881" t="s">
        <v>16</v>
      </c>
      <c r="E881" t="s">
        <v>17</v>
      </c>
      <c r="F881" t="s">
        <v>21</v>
      </c>
      <c r="G881" t="s">
        <v>41</v>
      </c>
      <c r="H881" t="s">
        <v>25</v>
      </c>
      <c r="I881" s="1">
        <v>3</v>
      </c>
      <c r="J881" s="2">
        <v>45933</v>
      </c>
      <c r="K881" s="2">
        <f t="shared" si="33"/>
        <v>45931</v>
      </c>
      <c r="L881" s="1" t="str">
        <f t="shared" si="34"/>
        <v>sex</v>
      </c>
      <c r="M881" s="1" t="str">
        <f t="shared" si="35"/>
        <v>out</v>
      </c>
      <c r="N881">
        <f t="shared" si="36"/>
        <v>2025</v>
      </c>
      <c r="O881" s="2"/>
      <c r="P881" t="str">
        <f t="shared" si="32"/>
        <v>107445933</v>
      </c>
    </row>
    <row r="882" spans="1:16" x14ac:dyDescent="0.3">
      <c r="A882">
        <v>1074</v>
      </c>
      <c r="B882">
        <v>27</v>
      </c>
      <c r="C882" t="s">
        <v>26</v>
      </c>
      <c r="D882" t="s">
        <v>16</v>
      </c>
      <c r="E882" t="s">
        <v>17</v>
      </c>
      <c r="F882" t="s">
        <v>21</v>
      </c>
      <c r="G882" t="s">
        <v>41</v>
      </c>
      <c r="H882" t="s">
        <v>25</v>
      </c>
      <c r="I882" s="1">
        <v>3</v>
      </c>
      <c r="J882" s="2">
        <v>45974</v>
      </c>
      <c r="K882" s="2">
        <f t="shared" si="33"/>
        <v>45962</v>
      </c>
      <c r="L882" s="1" t="str">
        <f t="shared" si="34"/>
        <v>qui</v>
      </c>
      <c r="M882" s="1" t="str">
        <f t="shared" si="35"/>
        <v>nov</v>
      </c>
      <c r="N882">
        <f t="shared" si="36"/>
        <v>2025</v>
      </c>
      <c r="O882" s="2"/>
      <c r="P882" t="str">
        <f t="shared" si="32"/>
        <v>107445974</v>
      </c>
    </row>
    <row r="883" spans="1:16" x14ac:dyDescent="0.3">
      <c r="A883">
        <v>1074</v>
      </c>
      <c r="B883">
        <v>27</v>
      </c>
      <c r="C883" t="s">
        <v>26</v>
      </c>
      <c r="D883" t="s">
        <v>16</v>
      </c>
      <c r="E883" t="s">
        <v>17</v>
      </c>
      <c r="F883" t="s">
        <v>21</v>
      </c>
      <c r="G883" t="s">
        <v>41</v>
      </c>
      <c r="H883" t="s">
        <v>25</v>
      </c>
      <c r="I883" s="1">
        <v>3</v>
      </c>
      <c r="J883" s="2">
        <v>45994</v>
      </c>
      <c r="K883" s="2">
        <f t="shared" si="33"/>
        <v>45992</v>
      </c>
      <c r="L883" s="1" t="str">
        <f t="shared" si="34"/>
        <v>qua</v>
      </c>
      <c r="M883" s="1" t="str">
        <f t="shared" si="35"/>
        <v>dez</v>
      </c>
      <c r="N883">
        <f t="shared" si="36"/>
        <v>2025</v>
      </c>
      <c r="O883" s="2"/>
      <c r="P883" t="str">
        <f t="shared" si="32"/>
        <v>107445994</v>
      </c>
    </row>
    <row r="884" spans="1:16" x14ac:dyDescent="0.3">
      <c r="A884">
        <v>1074</v>
      </c>
      <c r="B884">
        <v>27</v>
      </c>
      <c r="C884" t="s">
        <v>26</v>
      </c>
      <c r="D884" t="s">
        <v>16</v>
      </c>
      <c r="E884" t="s">
        <v>17</v>
      </c>
      <c r="F884" t="s">
        <v>21</v>
      </c>
      <c r="G884" t="s">
        <v>41</v>
      </c>
      <c r="H884" t="s">
        <v>25</v>
      </c>
      <c r="I884" s="1">
        <v>3</v>
      </c>
      <c r="J884" s="2">
        <v>46076</v>
      </c>
      <c r="K884" s="2">
        <f t="shared" si="33"/>
        <v>46054</v>
      </c>
      <c r="L884" s="1" t="str">
        <f t="shared" si="34"/>
        <v>seg</v>
      </c>
      <c r="M884" s="1" t="str">
        <f t="shared" si="35"/>
        <v>fev</v>
      </c>
      <c r="N884">
        <f t="shared" si="36"/>
        <v>2026</v>
      </c>
      <c r="O884" s="2"/>
      <c r="P884" t="str">
        <f t="shared" si="32"/>
        <v>107446076</v>
      </c>
    </row>
    <row r="885" spans="1:16" x14ac:dyDescent="0.3">
      <c r="A885">
        <v>1075</v>
      </c>
      <c r="B885">
        <v>36</v>
      </c>
      <c r="C885" t="s">
        <v>26</v>
      </c>
      <c r="D885" t="s">
        <v>22</v>
      </c>
      <c r="E885" t="s">
        <v>17</v>
      </c>
      <c r="F885" t="s">
        <v>21</v>
      </c>
      <c r="G885" t="s">
        <v>40</v>
      </c>
      <c r="H885" t="s">
        <v>25</v>
      </c>
      <c r="I885" s="1">
        <v>1</v>
      </c>
      <c r="J885" s="2">
        <v>45798</v>
      </c>
      <c r="K885" s="2">
        <f t="shared" si="33"/>
        <v>45778</v>
      </c>
      <c r="L885" s="1" t="str">
        <f t="shared" si="34"/>
        <v>qua</v>
      </c>
      <c r="M885" s="1" t="str">
        <f t="shared" si="35"/>
        <v>mai</v>
      </c>
      <c r="N885">
        <f t="shared" si="36"/>
        <v>2025</v>
      </c>
      <c r="O885" s="2"/>
      <c r="P885" t="str">
        <f t="shared" si="32"/>
        <v>107545798</v>
      </c>
    </row>
    <row r="886" spans="1:16" x14ac:dyDescent="0.3">
      <c r="A886">
        <v>1075</v>
      </c>
      <c r="B886">
        <v>36</v>
      </c>
      <c r="C886" t="s">
        <v>26</v>
      </c>
      <c r="D886" t="s">
        <v>22</v>
      </c>
      <c r="E886" t="s">
        <v>17</v>
      </c>
      <c r="F886" t="s">
        <v>21</v>
      </c>
      <c r="G886" t="s">
        <v>40</v>
      </c>
      <c r="H886" t="s">
        <v>25</v>
      </c>
      <c r="I886" s="1">
        <v>1</v>
      </c>
      <c r="J886" s="2">
        <v>45799</v>
      </c>
      <c r="K886" s="2">
        <f t="shared" si="33"/>
        <v>45778</v>
      </c>
      <c r="L886" s="1" t="str">
        <f t="shared" si="34"/>
        <v>qui</v>
      </c>
      <c r="M886" s="1" t="str">
        <f t="shared" si="35"/>
        <v>mai</v>
      </c>
      <c r="N886">
        <f t="shared" si="36"/>
        <v>2025</v>
      </c>
      <c r="O886" s="2"/>
      <c r="P886" t="str">
        <f t="shared" si="32"/>
        <v>107545799</v>
      </c>
    </row>
    <row r="887" spans="1:16" x14ac:dyDescent="0.3">
      <c r="A887">
        <v>1075</v>
      </c>
      <c r="B887">
        <v>36</v>
      </c>
      <c r="C887" t="s">
        <v>26</v>
      </c>
      <c r="D887" t="s">
        <v>22</v>
      </c>
      <c r="E887" t="s">
        <v>17</v>
      </c>
      <c r="F887" t="s">
        <v>21</v>
      </c>
      <c r="G887" t="s">
        <v>40</v>
      </c>
      <c r="H887" t="s">
        <v>25</v>
      </c>
      <c r="I887" s="1">
        <v>1</v>
      </c>
      <c r="J887" s="2">
        <v>45800</v>
      </c>
      <c r="K887" s="2">
        <f t="shared" si="33"/>
        <v>45778</v>
      </c>
      <c r="L887" s="1" t="str">
        <f t="shared" si="34"/>
        <v>sex</v>
      </c>
      <c r="M887" s="1" t="str">
        <f t="shared" si="35"/>
        <v>mai</v>
      </c>
      <c r="N887">
        <f t="shared" si="36"/>
        <v>2025</v>
      </c>
      <c r="O887" s="2"/>
      <c r="P887" t="str">
        <f t="shared" si="32"/>
        <v>107545800</v>
      </c>
    </row>
    <row r="888" spans="1:16" x14ac:dyDescent="0.3">
      <c r="A888">
        <v>1075</v>
      </c>
      <c r="B888">
        <v>36</v>
      </c>
      <c r="C888" t="s">
        <v>26</v>
      </c>
      <c r="D888" t="s">
        <v>22</v>
      </c>
      <c r="E888" t="s">
        <v>17</v>
      </c>
      <c r="F888" t="s">
        <v>21</v>
      </c>
      <c r="G888" t="s">
        <v>40</v>
      </c>
      <c r="H888" t="s">
        <v>25</v>
      </c>
      <c r="I888" s="1">
        <v>1</v>
      </c>
      <c r="J888" s="2">
        <v>45801</v>
      </c>
      <c r="K888" s="2">
        <f t="shared" si="33"/>
        <v>45778</v>
      </c>
      <c r="L888" s="1" t="str">
        <f t="shared" si="34"/>
        <v>sáb</v>
      </c>
      <c r="M888" s="1" t="str">
        <f t="shared" si="35"/>
        <v>mai</v>
      </c>
      <c r="N888">
        <f t="shared" si="36"/>
        <v>2025</v>
      </c>
      <c r="O888" s="2"/>
      <c r="P888" t="str">
        <f t="shared" si="32"/>
        <v>107545801</v>
      </c>
    </row>
    <row r="889" spans="1:16" x14ac:dyDescent="0.3">
      <c r="A889">
        <v>1075</v>
      </c>
      <c r="B889">
        <v>36</v>
      </c>
      <c r="C889" t="s">
        <v>26</v>
      </c>
      <c r="D889" t="s">
        <v>22</v>
      </c>
      <c r="E889" t="s">
        <v>17</v>
      </c>
      <c r="F889" t="s">
        <v>21</v>
      </c>
      <c r="G889" t="s">
        <v>40</v>
      </c>
      <c r="H889" t="s">
        <v>25</v>
      </c>
      <c r="I889" s="1">
        <v>1</v>
      </c>
      <c r="J889" s="2">
        <v>45802</v>
      </c>
      <c r="K889" s="2">
        <f t="shared" si="33"/>
        <v>45778</v>
      </c>
      <c r="L889" s="1" t="str">
        <f t="shared" si="34"/>
        <v>dom</v>
      </c>
      <c r="M889" s="1" t="str">
        <f t="shared" si="35"/>
        <v>mai</v>
      </c>
      <c r="N889">
        <f t="shared" si="36"/>
        <v>2025</v>
      </c>
      <c r="O889" s="2"/>
      <c r="P889" t="str">
        <f t="shared" si="32"/>
        <v>107545802</v>
      </c>
    </row>
    <row r="890" spans="1:16" x14ac:dyDescent="0.3">
      <c r="A890">
        <v>1075</v>
      </c>
      <c r="B890">
        <v>36</v>
      </c>
      <c r="C890" t="s">
        <v>26</v>
      </c>
      <c r="D890" t="s">
        <v>22</v>
      </c>
      <c r="E890" t="s">
        <v>17</v>
      </c>
      <c r="F890" t="s">
        <v>21</v>
      </c>
      <c r="G890" t="s">
        <v>40</v>
      </c>
      <c r="H890" t="s">
        <v>25</v>
      </c>
      <c r="I890" s="1">
        <v>1</v>
      </c>
      <c r="J890" s="2">
        <v>45803</v>
      </c>
      <c r="K890" s="2">
        <f t="shared" si="33"/>
        <v>45778</v>
      </c>
      <c r="L890" s="1" t="str">
        <f t="shared" si="34"/>
        <v>seg</v>
      </c>
      <c r="M890" s="1" t="str">
        <f t="shared" si="35"/>
        <v>mai</v>
      </c>
      <c r="N890">
        <f t="shared" si="36"/>
        <v>2025</v>
      </c>
      <c r="O890" s="2"/>
      <c r="P890" t="str">
        <f t="shared" si="32"/>
        <v>107545803</v>
      </c>
    </row>
    <row r="891" spans="1:16" x14ac:dyDescent="0.3">
      <c r="A891">
        <v>1075</v>
      </c>
      <c r="B891">
        <v>36</v>
      </c>
      <c r="C891" t="s">
        <v>26</v>
      </c>
      <c r="D891" t="s">
        <v>22</v>
      </c>
      <c r="E891" t="s">
        <v>17</v>
      </c>
      <c r="F891" t="s">
        <v>21</v>
      </c>
      <c r="G891" t="s">
        <v>40</v>
      </c>
      <c r="H891" t="s">
        <v>25</v>
      </c>
      <c r="I891" s="1">
        <v>1</v>
      </c>
      <c r="J891" s="2">
        <v>46163</v>
      </c>
      <c r="K891" s="2">
        <f t="shared" si="33"/>
        <v>46143</v>
      </c>
      <c r="L891" s="1" t="s">
        <v>51</v>
      </c>
      <c r="M891" s="1" t="s">
        <v>49</v>
      </c>
      <c r="N891">
        <v>2025</v>
      </c>
      <c r="O891" s="2"/>
      <c r="P891" t="str">
        <f t="shared" si="32"/>
        <v>107546163</v>
      </c>
    </row>
    <row r="892" spans="1:16" x14ac:dyDescent="0.3">
      <c r="A892">
        <v>1075</v>
      </c>
      <c r="B892">
        <v>36</v>
      </c>
      <c r="C892" t="s">
        <v>26</v>
      </c>
      <c r="D892" t="s">
        <v>22</v>
      </c>
      <c r="E892" t="s">
        <v>17</v>
      </c>
      <c r="F892" t="s">
        <v>21</v>
      </c>
      <c r="G892" t="s">
        <v>40</v>
      </c>
      <c r="H892" t="s">
        <v>25</v>
      </c>
      <c r="I892" s="1">
        <v>1</v>
      </c>
      <c r="J892" s="2">
        <v>46164</v>
      </c>
      <c r="K892" s="2">
        <f t="shared" si="33"/>
        <v>46143</v>
      </c>
      <c r="L892" s="1" t="s">
        <v>52</v>
      </c>
      <c r="M892" s="1" t="s">
        <v>49</v>
      </c>
      <c r="N892">
        <v>2025</v>
      </c>
      <c r="O892" s="2"/>
      <c r="P892" t="str">
        <f t="shared" si="32"/>
        <v>107546164</v>
      </c>
    </row>
    <row r="893" spans="1:16" x14ac:dyDescent="0.3">
      <c r="A893">
        <v>1075</v>
      </c>
      <c r="B893">
        <v>36</v>
      </c>
      <c r="C893" t="s">
        <v>26</v>
      </c>
      <c r="D893" t="s">
        <v>22</v>
      </c>
      <c r="E893" t="s">
        <v>17</v>
      </c>
      <c r="F893" t="s">
        <v>21</v>
      </c>
      <c r="G893" t="s">
        <v>40</v>
      </c>
      <c r="H893" t="s">
        <v>25</v>
      </c>
      <c r="I893" s="1">
        <v>1</v>
      </c>
      <c r="J893" s="2">
        <v>46165</v>
      </c>
      <c r="K893" s="2">
        <f t="shared" si="33"/>
        <v>46143</v>
      </c>
      <c r="L893" s="1" t="s">
        <v>53</v>
      </c>
      <c r="M893" s="1" t="s">
        <v>49</v>
      </c>
      <c r="N893">
        <v>2025</v>
      </c>
      <c r="O893" s="2"/>
      <c r="P893" t="str">
        <f t="shared" si="32"/>
        <v>107546165</v>
      </c>
    </row>
    <row r="894" spans="1:16" x14ac:dyDescent="0.3">
      <c r="A894">
        <v>1075</v>
      </c>
      <c r="B894">
        <v>36</v>
      </c>
      <c r="C894" t="s">
        <v>26</v>
      </c>
      <c r="D894" t="s">
        <v>22</v>
      </c>
      <c r="E894" t="s">
        <v>17</v>
      </c>
      <c r="F894" t="s">
        <v>21</v>
      </c>
      <c r="G894" t="s">
        <v>40</v>
      </c>
      <c r="H894" t="s">
        <v>25</v>
      </c>
      <c r="I894" s="1">
        <v>1</v>
      </c>
      <c r="J894" s="2">
        <v>46166</v>
      </c>
      <c r="K894" s="2">
        <f t="shared" si="33"/>
        <v>46143</v>
      </c>
      <c r="L894" s="1" t="s">
        <v>54</v>
      </c>
      <c r="M894" s="1" t="s">
        <v>49</v>
      </c>
      <c r="N894">
        <v>2025</v>
      </c>
      <c r="O894" s="2"/>
      <c r="P894" t="str">
        <f t="shared" si="32"/>
        <v>107546166</v>
      </c>
    </row>
    <row r="895" spans="1:16" x14ac:dyDescent="0.3">
      <c r="A895">
        <v>1075</v>
      </c>
      <c r="B895">
        <v>36</v>
      </c>
      <c r="C895" t="s">
        <v>26</v>
      </c>
      <c r="D895" t="s">
        <v>22</v>
      </c>
      <c r="E895" t="s">
        <v>17</v>
      </c>
      <c r="F895" t="s">
        <v>21</v>
      </c>
      <c r="G895" t="s">
        <v>40</v>
      </c>
      <c r="H895" t="s">
        <v>25</v>
      </c>
      <c r="I895" s="1">
        <v>1</v>
      </c>
      <c r="J895" s="2">
        <v>46167</v>
      </c>
      <c r="K895" s="2">
        <f t="shared" si="33"/>
        <v>46143</v>
      </c>
      <c r="L895" s="1" t="s">
        <v>55</v>
      </c>
      <c r="M895" s="1" t="s">
        <v>49</v>
      </c>
      <c r="N895">
        <v>2025</v>
      </c>
      <c r="O895" s="2"/>
      <c r="P895" t="str">
        <f t="shared" si="32"/>
        <v>107546167</v>
      </c>
    </row>
    <row r="896" spans="1:16" x14ac:dyDescent="0.3">
      <c r="A896">
        <v>1075</v>
      </c>
      <c r="B896">
        <v>36</v>
      </c>
      <c r="C896" t="s">
        <v>26</v>
      </c>
      <c r="D896" t="s">
        <v>22</v>
      </c>
      <c r="E896" t="s">
        <v>17</v>
      </c>
      <c r="F896" t="s">
        <v>21</v>
      </c>
      <c r="G896" t="s">
        <v>40</v>
      </c>
      <c r="H896" t="s">
        <v>25</v>
      </c>
      <c r="I896" s="1">
        <v>1</v>
      </c>
      <c r="J896" s="2">
        <v>46168</v>
      </c>
      <c r="K896" s="2">
        <f t="shared" si="33"/>
        <v>46143</v>
      </c>
      <c r="L896" s="1" t="s">
        <v>56</v>
      </c>
      <c r="M896" s="1" t="s">
        <v>49</v>
      </c>
      <c r="N896">
        <v>2025</v>
      </c>
      <c r="O896" s="2"/>
      <c r="P896" t="str">
        <f t="shared" si="32"/>
        <v>107546168</v>
      </c>
    </row>
    <row r="897" spans="1:16" x14ac:dyDescent="0.3">
      <c r="A897">
        <v>1077</v>
      </c>
      <c r="B897">
        <v>27</v>
      </c>
      <c r="C897" t="s">
        <v>26</v>
      </c>
      <c r="D897" t="s">
        <v>31</v>
      </c>
      <c r="E897" t="s">
        <v>32</v>
      </c>
      <c r="F897" t="s">
        <v>21</v>
      </c>
      <c r="G897" t="s">
        <v>44</v>
      </c>
      <c r="H897" t="s">
        <v>25</v>
      </c>
      <c r="I897" s="1">
        <v>1</v>
      </c>
      <c r="J897" s="2">
        <v>45791</v>
      </c>
      <c r="K897" s="2">
        <f t="shared" si="33"/>
        <v>45778</v>
      </c>
      <c r="L897" s="1" t="str">
        <f t="shared" ref="L897:L902" si="37">TEXT(J897,"ddd")</f>
        <v>qua</v>
      </c>
      <c r="M897" s="1" t="str">
        <f t="shared" ref="M897:M902" si="38">TEXT($J897,"mmm")</f>
        <v>mai</v>
      </c>
      <c r="N897">
        <f t="shared" ref="N897:N902" si="39">YEAR(J897)</f>
        <v>2025</v>
      </c>
      <c r="O897" s="2"/>
      <c r="P897" t="str">
        <f t="shared" ref="P897:P960" si="40">CONCATENATE(A897,J897)</f>
        <v>107745791</v>
      </c>
    </row>
    <row r="898" spans="1:16" x14ac:dyDescent="0.3">
      <c r="A898">
        <v>1077</v>
      </c>
      <c r="B898">
        <v>27</v>
      </c>
      <c r="C898" t="s">
        <v>26</v>
      </c>
      <c r="D898" t="s">
        <v>31</v>
      </c>
      <c r="E898" t="s">
        <v>32</v>
      </c>
      <c r="F898" t="s">
        <v>21</v>
      </c>
      <c r="G898" t="s">
        <v>42</v>
      </c>
      <c r="H898" t="s">
        <v>25</v>
      </c>
      <c r="I898" s="1">
        <v>1</v>
      </c>
      <c r="J898" s="2">
        <v>45846</v>
      </c>
      <c r="K898" s="2">
        <f t="shared" si="33"/>
        <v>45839</v>
      </c>
      <c r="L898" s="1" t="str">
        <f t="shared" si="37"/>
        <v>ter</v>
      </c>
      <c r="M898" s="1" t="str">
        <f t="shared" si="38"/>
        <v>jul</v>
      </c>
      <c r="N898">
        <f t="shared" si="39"/>
        <v>2025</v>
      </c>
      <c r="O898" s="2"/>
      <c r="P898" t="str">
        <f t="shared" si="40"/>
        <v>107745846</v>
      </c>
    </row>
    <row r="899" spans="1:16" x14ac:dyDescent="0.3">
      <c r="A899">
        <v>1077</v>
      </c>
      <c r="B899">
        <v>27</v>
      </c>
      <c r="C899" t="s">
        <v>26</v>
      </c>
      <c r="D899" t="s">
        <v>31</v>
      </c>
      <c r="E899" t="s">
        <v>32</v>
      </c>
      <c r="F899" t="s">
        <v>21</v>
      </c>
      <c r="G899" t="s">
        <v>44</v>
      </c>
      <c r="H899" t="s">
        <v>25</v>
      </c>
      <c r="I899" s="1">
        <v>1</v>
      </c>
      <c r="J899" s="2">
        <v>45907</v>
      </c>
      <c r="K899" s="2">
        <f t="shared" ref="K899:K962" si="41">DATE(YEAR(J899),MONTH(J899),1)</f>
        <v>45901</v>
      </c>
      <c r="L899" s="1" t="str">
        <f t="shared" si="37"/>
        <v>dom</v>
      </c>
      <c r="M899" s="1" t="str">
        <f t="shared" si="38"/>
        <v>set</v>
      </c>
      <c r="N899">
        <f t="shared" si="39"/>
        <v>2025</v>
      </c>
      <c r="O899" s="2"/>
      <c r="P899" t="str">
        <f t="shared" si="40"/>
        <v>107745907</v>
      </c>
    </row>
    <row r="900" spans="1:16" x14ac:dyDescent="0.3">
      <c r="A900">
        <v>1077</v>
      </c>
      <c r="B900">
        <v>27</v>
      </c>
      <c r="C900" t="s">
        <v>26</v>
      </c>
      <c r="D900" t="s">
        <v>31</v>
      </c>
      <c r="E900" t="s">
        <v>32</v>
      </c>
      <c r="F900" t="s">
        <v>21</v>
      </c>
      <c r="G900" t="s">
        <v>42</v>
      </c>
      <c r="H900" t="s">
        <v>25</v>
      </c>
      <c r="I900" s="1">
        <v>1</v>
      </c>
      <c r="J900" s="2">
        <v>46000</v>
      </c>
      <c r="K900" s="2">
        <f t="shared" si="41"/>
        <v>45992</v>
      </c>
      <c r="L900" s="1" t="str">
        <f t="shared" si="37"/>
        <v>ter</v>
      </c>
      <c r="M900" s="1" t="str">
        <f t="shared" si="38"/>
        <v>dez</v>
      </c>
      <c r="N900">
        <f t="shared" si="39"/>
        <v>2025</v>
      </c>
      <c r="O900" s="2"/>
      <c r="P900" t="str">
        <f t="shared" si="40"/>
        <v>107746000</v>
      </c>
    </row>
    <row r="901" spans="1:16" x14ac:dyDescent="0.3">
      <c r="A901">
        <v>1077</v>
      </c>
      <c r="B901">
        <v>27</v>
      </c>
      <c r="C901" t="s">
        <v>26</v>
      </c>
      <c r="D901" t="s">
        <v>31</v>
      </c>
      <c r="E901" t="s">
        <v>32</v>
      </c>
      <c r="F901" t="s">
        <v>21</v>
      </c>
      <c r="G901" t="s">
        <v>44</v>
      </c>
      <c r="H901" t="s">
        <v>25</v>
      </c>
      <c r="I901" s="1">
        <v>1</v>
      </c>
      <c r="J901" s="2">
        <v>46011</v>
      </c>
      <c r="K901" s="2">
        <f t="shared" si="41"/>
        <v>45992</v>
      </c>
      <c r="L901" s="1" t="str">
        <f t="shared" si="37"/>
        <v>sáb</v>
      </c>
      <c r="M901" s="1" t="str">
        <f t="shared" si="38"/>
        <v>dez</v>
      </c>
      <c r="N901">
        <f t="shared" si="39"/>
        <v>2025</v>
      </c>
      <c r="O901" s="2"/>
      <c r="P901" t="str">
        <f t="shared" si="40"/>
        <v>107746011</v>
      </c>
    </row>
    <row r="902" spans="1:16" x14ac:dyDescent="0.3">
      <c r="A902">
        <v>1077</v>
      </c>
      <c r="B902">
        <v>27</v>
      </c>
      <c r="C902" t="s">
        <v>26</v>
      </c>
      <c r="D902" t="s">
        <v>31</v>
      </c>
      <c r="E902" t="s">
        <v>32</v>
      </c>
      <c r="F902" t="s">
        <v>21</v>
      </c>
      <c r="G902" t="s">
        <v>44</v>
      </c>
      <c r="H902" t="s">
        <v>25</v>
      </c>
      <c r="I902" s="1">
        <v>1</v>
      </c>
      <c r="J902" s="2">
        <v>46100</v>
      </c>
      <c r="K902" s="2">
        <f t="shared" si="41"/>
        <v>46082</v>
      </c>
      <c r="L902" s="1" t="str">
        <f t="shared" si="37"/>
        <v>qui</v>
      </c>
      <c r="M902" s="1" t="str">
        <f t="shared" si="38"/>
        <v>mar</v>
      </c>
      <c r="N902">
        <f t="shared" si="39"/>
        <v>2026</v>
      </c>
      <c r="O902" s="2"/>
      <c r="P902" t="str">
        <f t="shared" si="40"/>
        <v>107746100</v>
      </c>
    </row>
    <row r="903" spans="1:16" x14ac:dyDescent="0.3">
      <c r="A903">
        <v>1077</v>
      </c>
      <c r="B903">
        <v>27</v>
      </c>
      <c r="C903" t="s">
        <v>26</v>
      </c>
      <c r="D903" t="s">
        <v>31</v>
      </c>
      <c r="E903" t="s">
        <v>32</v>
      </c>
      <c r="F903" t="s">
        <v>21</v>
      </c>
      <c r="G903" t="s">
        <v>44</v>
      </c>
      <c r="H903" t="s">
        <v>25</v>
      </c>
      <c r="I903" s="1">
        <v>1</v>
      </c>
      <c r="J903" s="2">
        <v>46156</v>
      </c>
      <c r="K903" s="2">
        <f t="shared" si="41"/>
        <v>46143</v>
      </c>
      <c r="L903" s="1" t="s">
        <v>51</v>
      </c>
      <c r="M903" s="1" t="s">
        <v>49</v>
      </c>
      <c r="N903">
        <v>2025</v>
      </c>
      <c r="O903" s="2"/>
      <c r="P903" t="str">
        <f t="shared" si="40"/>
        <v>107746156</v>
      </c>
    </row>
    <row r="904" spans="1:16" x14ac:dyDescent="0.3">
      <c r="A904">
        <v>1080</v>
      </c>
      <c r="B904">
        <v>24</v>
      </c>
      <c r="C904" t="s">
        <v>15</v>
      </c>
      <c r="D904" t="s">
        <v>29</v>
      </c>
      <c r="E904" t="s">
        <v>17</v>
      </c>
      <c r="F904" t="s">
        <v>21</v>
      </c>
      <c r="G904" t="s">
        <v>40</v>
      </c>
      <c r="H904" t="s">
        <v>25</v>
      </c>
      <c r="I904" s="1">
        <v>3</v>
      </c>
      <c r="J904" s="2">
        <v>45853</v>
      </c>
      <c r="K904" s="2">
        <f t="shared" si="41"/>
        <v>45839</v>
      </c>
      <c r="L904" s="1" t="str">
        <f t="shared" ref="L904:L915" si="42">TEXT(J904,"ddd")</f>
        <v>ter</v>
      </c>
      <c r="M904" s="1" t="str">
        <f t="shared" ref="M904:M915" si="43">TEXT($J904,"mmm")</f>
        <v>jul</v>
      </c>
      <c r="N904">
        <f t="shared" ref="N904:N915" si="44">YEAR(J904)</f>
        <v>2025</v>
      </c>
      <c r="O904" s="2"/>
      <c r="P904" t="str">
        <f t="shared" si="40"/>
        <v>108045853</v>
      </c>
    </row>
    <row r="905" spans="1:16" x14ac:dyDescent="0.3">
      <c r="A905">
        <v>1080</v>
      </c>
      <c r="B905">
        <v>24</v>
      </c>
      <c r="C905" t="s">
        <v>15</v>
      </c>
      <c r="D905" t="s">
        <v>29</v>
      </c>
      <c r="E905" t="s">
        <v>17</v>
      </c>
      <c r="F905" t="s">
        <v>21</v>
      </c>
      <c r="G905" t="s">
        <v>40</v>
      </c>
      <c r="H905" t="s">
        <v>25</v>
      </c>
      <c r="I905" s="1">
        <v>3</v>
      </c>
      <c r="J905" s="2">
        <v>45854</v>
      </c>
      <c r="K905" s="2">
        <f t="shared" si="41"/>
        <v>45839</v>
      </c>
      <c r="L905" s="1" t="str">
        <f t="shared" si="42"/>
        <v>qua</v>
      </c>
      <c r="M905" s="1" t="str">
        <f t="shared" si="43"/>
        <v>jul</v>
      </c>
      <c r="N905">
        <f t="shared" si="44"/>
        <v>2025</v>
      </c>
      <c r="O905" s="2"/>
      <c r="P905" t="str">
        <f t="shared" si="40"/>
        <v>108045854</v>
      </c>
    </row>
    <row r="906" spans="1:16" x14ac:dyDescent="0.3">
      <c r="A906">
        <v>1080</v>
      </c>
      <c r="B906">
        <v>24</v>
      </c>
      <c r="C906" t="s">
        <v>15</v>
      </c>
      <c r="D906" t="s">
        <v>29</v>
      </c>
      <c r="E906" t="s">
        <v>17</v>
      </c>
      <c r="F906" t="s">
        <v>21</v>
      </c>
      <c r="G906" t="s">
        <v>40</v>
      </c>
      <c r="H906" t="s">
        <v>25</v>
      </c>
      <c r="I906" s="1">
        <v>3</v>
      </c>
      <c r="J906" s="2">
        <v>45855</v>
      </c>
      <c r="K906" s="2">
        <f t="shared" si="41"/>
        <v>45839</v>
      </c>
      <c r="L906" s="1" t="str">
        <f t="shared" si="42"/>
        <v>qui</v>
      </c>
      <c r="M906" s="1" t="str">
        <f t="shared" si="43"/>
        <v>jul</v>
      </c>
      <c r="N906">
        <f t="shared" si="44"/>
        <v>2025</v>
      </c>
      <c r="O906" s="2"/>
      <c r="P906" t="str">
        <f t="shared" si="40"/>
        <v>108045855</v>
      </c>
    </row>
    <row r="907" spans="1:16" x14ac:dyDescent="0.3">
      <c r="A907">
        <v>1080</v>
      </c>
      <c r="B907">
        <v>24</v>
      </c>
      <c r="C907" t="s">
        <v>15</v>
      </c>
      <c r="D907" t="s">
        <v>29</v>
      </c>
      <c r="E907" t="s">
        <v>17</v>
      </c>
      <c r="F907" t="s">
        <v>21</v>
      </c>
      <c r="G907" t="s">
        <v>40</v>
      </c>
      <c r="H907" t="s">
        <v>25</v>
      </c>
      <c r="I907" s="1">
        <v>3</v>
      </c>
      <c r="J907" s="2">
        <v>45856</v>
      </c>
      <c r="K907" s="2">
        <f t="shared" si="41"/>
        <v>45839</v>
      </c>
      <c r="L907" s="1" t="str">
        <f t="shared" si="42"/>
        <v>sex</v>
      </c>
      <c r="M907" s="1" t="str">
        <f t="shared" si="43"/>
        <v>jul</v>
      </c>
      <c r="N907">
        <f t="shared" si="44"/>
        <v>2025</v>
      </c>
      <c r="O907" s="2"/>
      <c r="P907" t="str">
        <f t="shared" si="40"/>
        <v>108045856</v>
      </c>
    </row>
    <row r="908" spans="1:16" x14ac:dyDescent="0.3">
      <c r="A908">
        <v>1080</v>
      </c>
      <c r="B908">
        <v>24</v>
      </c>
      <c r="C908" t="s">
        <v>15</v>
      </c>
      <c r="D908" t="s">
        <v>29</v>
      </c>
      <c r="E908" t="s">
        <v>17</v>
      </c>
      <c r="F908" t="s">
        <v>21</v>
      </c>
      <c r="G908" t="s">
        <v>40</v>
      </c>
      <c r="H908" t="s">
        <v>25</v>
      </c>
      <c r="I908" s="1">
        <v>3</v>
      </c>
      <c r="J908" s="2">
        <v>45857</v>
      </c>
      <c r="K908" s="2">
        <f t="shared" si="41"/>
        <v>45839</v>
      </c>
      <c r="L908" s="1" t="str">
        <f t="shared" si="42"/>
        <v>sáb</v>
      </c>
      <c r="M908" s="1" t="str">
        <f t="shared" si="43"/>
        <v>jul</v>
      </c>
      <c r="N908">
        <f t="shared" si="44"/>
        <v>2025</v>
      </c>
      <c r="O908" s="2"/>
      <c r="P908" t="str">
        <f t="shared" si="40"/>
        <v>108045857</v>
      </c>
    </row>
    <row r="909" spans="1:16" x14ac:dyDescent="0.3">
      <c r="A909">
        <v>1080</v>
      </c>
      <c r="B909">
        <v>24</v>
      </c>
      <c r="C909" t="s">
        <v>15</v>
      </c>
      <c r="D909" t="s">
        <v>29</v>
      </c>
      <c r="E909" t="s">
        <v>17</v>
      </c>
      <c r="F909" t="s">
        <v>21</v>
      </c>
      <c r="G909" t="s">
        <v>40</v>
      </c>
      <c r="H909" t="s">
        <v>25</v>
      </c>
      <c r="I909" s="1">
        <v>3</v>
      </c>
      <c r="J909" s="2">
        <v>45858</v>
      </c>
      <c r="K909" s="2">
        <f t="shared" si="41"/>
        <v>45839</v>
      </c>
      <c r="L909" s="1" t="str">
        <f t="shared" si="42"/>
        <v>dom</v>
      </c>
      <c r="M909" s="1" t="str">
        <f t="shared" si="43"/>
        <v>jul</v>
      </c>
      <c r="N909">
        <f t="shared" si="44"/>
        <v>2025</v>
      </c>
      <c r="O909" s="2"/>
      <c r="P909" t="str">
        <f t="shared" si="40"/>
        <v>108045858</v>
      </c>
    </row>
    <row r="910" spans="1:16" x14ac:dyDescent="0.3">
      <c r="A910">
        <v>1086</v>
      </c>
      <c r="B910">
        <v>20</v>
      </c>
      <c r="C910" t="s">
        <v>26</v>
      </c>
      <c r="D910" t="s">
        <v>22</v>
      </c>
      <c r="E910" t="s">
        <v>17</v>
      </c>
      <c r="F910" t="s">
        <v>23</v>
      </c>
      <c r="G910" t="s">
        <v>40</v>
      </c>
      <c r="H910" t="s">
        <v>25</v>
      </c>
      <c r="I910" s="1">
        <v>3</v>
      </c>
      <c r="J910" s="2">
        <v>45777</v>
      </c>
      <c r="K910" s="2">
        <f t="shared" si="41"/>
        <v>45748</v>
      </c>
      <c r="L910" s="1" t="str">
        <f t="shared" si="42"/>
        <v>qua</v>
      </c>
      <c r="M910" s="1" t="str">
        <f t="shared" si="43"/>
        <v>abr</v>
      </c>
      <c r="N910">
        <f t="shared" si="44"/>
        <v>2025</v>
      </c>
      <c r="O910" s="2"/>
      <c r="P910" t="str">
        <f t="shared" si="40"/>
        <v>108645777</v>
      </c>
    </row>
    <row r="911" spans="1:16" x14ac:dyDescent="0.3">
      <c r="A911">
        <v>1086</v>
      </c>
      <c r="B911">
        <v>20</v>
      </c>
      <c r="C911" t="s">
        <v>26</v>
      </c>
      <c r="D911" t="s">
        <v>22</v>
      </c>
      <c r="E911" t="s">
        <v>17</v>
      </c>
      <c r="F911" t="s">
        <v>23</v>
      </c>
      <c r="G911" t="s">
        <v>40</v>
      </c>
      <c r="H911" t="s">
        <v>25</v>
      </c>
      <c r="I911" s="1">
        <v>3</v>
      </c>
      <c r="J911" s="2">
        <v>45778</v>
      </c>
      <c r="K911" s="2">
        <f t="shared" si="41"/>
        <v>45778</v>
      </c>
      <c r="L911" s="1" t="str">
        <f t="shared" si="42"/>
        <v>qui</v>
      </c>
      <c r="M911" s="1" t="str">
        <f t="shared" si="43"/>
        <v>mai</v>
      </c>
      <c r="N911">
        <f t="shared" si="44"/>
        <v>2025</v>
      </c>
      <c r="O911" s="2"/>
      <c r="P911" t="str">
        <f t="shared" si="40"/>
        <v>108645778</v>
      </c>
    </row>
    <row r="912" spans="1:16" x14ac:dyDescent="0.3">
      <c r="A912">
        <v>1086</v>
      </c>
      <c r="B912">
        <v>20</v>
      </c>
      <c r="C912" t="s">
        <v>26</v>
      </c>
      <c r="D912" t="s">
        <v>22</v>
      </c>
      <c r="E912" t="s">
        <v>17</v>
      </c>
      <c r="F912" t="s">
        <v>23</v>
      </c>
      <c r="G912" t="s">
        <v>40</v>
      </c>
      <c r="H912" t="s">
        <v>25</v>
      </c>
      <c r="I912" s="1">
        <v>3</v>
      </c>
      <c r="J912" s="2">
        <v>45779</v>
      </c>
      <c r="K912" s="2">
        <f t="shared" si="41"/>
        <v>45778</v>
      </c>
      <c r="L912" s="1" t="str">
        <f t="shared" si="42"/>
        <v>sex</v>
      </c>
      <c r="M912" s="1" t="str">
        <f t="shared" si="43"/>
        <v>mai</v>
      </c>
      <c r="N912">
        <f t="shared" si="44"/>
        <v>2025</v>
      </c>
      <c r="O912" s="2"/>
      <c r="P912" t="str">
        <f t="shared" si="40"/>
        <v>108645779</v>
      </c>
    </row>
    <row r="913" spans="1:16" x14ac:dyDescent="0.3">
      <c r="A913">
        <v>1086</v>
      </c>
      <c r="B913">
        <v>20</v>
      </c>
      <c r="C913" t="s">
        <v>26</v>
      </c>
      <c r="D913" t="s">
        <v>22</v>
      </c>
      <c r="E913" t="s">
        <v>17</v>
      </c>
      <c r="F913" t="s">
        <v>23</v>
      </c>
      <c r="G913" t="s">
        <v>40</v>
      </c>
      <c r="H913" t="s">
        <v>25</v>
      </c>
      <c r="I913" s="1">
        <v>3</v>
      </c>
      <c r="J913" s="2">
        <v>45780</v>
      </c>
      <c r="K913" s="2">
        <f t="shared" si="41"/>
        <v>45778</v>
      </c>
      <c r="L913" s="1" t="str">
        <f t="shared" si="42"/>
        <v>sáb</v>
      </c>
      <c r="M913" s="1" t="str">
        <f t="shared" si="43"/>
        <v>mai</v>
      </c>
      <c r="N913">
        <f t="shared" si="44"/>
        <v>2025</v>
      </c>
      <c r="O913" s="2"/>
      <c r="P913" t="str">
        <f t="shared" si="40"/>
        <v>108645780</v>
      </c>
    </row>
    <row r="914" spans="1:16" x14ac:dyDescent="0.3">
      <c r="A914">
        <v>1086</v>
      </c>
      <c r="B914">
        <v>20</v>
      </c>
      <c r="C914" t="s">
        <v>26</v>
      </c>
      <c r="D914" t="s">
        <v>22</v>
      </c>
      <c r="E914" t="s">
        <v>17</v>
      </c>
      <c r="F914" t="s">
        <v>23</v>
      </c>
      <c r="G914" t="s">
        <v>41</v>
      </c>
      <c r="H914" t="s">
        <v>25</v>
      </c>
      <c r="I914" s="1">
        <v>3</v>
      </c>
      <c r="J914" s="2">
        <v>45868</v>
      </c>
      <c r="K914" s="2">
        <f t="shared" si="41"/>
        <v>45839</v>
      </c>
      <c r="L914" s="1" t="str">
        <f t="shared" si="42"/>
        <v>qua</v>
      </c>
      <c r="M914" s="1" t="str">
        <f t="shared" si="43"/>
        <v>jul</v>
      </c>
      <c r="N914">
        <f t="shared" si="44"/>
        <v>2025</v>
      </c>
      <c r="O914" s="2"/>
      <c r="P914" t="str">
        <f t="shared" si="40"/>
        <v>108645868</v>
      </c>
    </row>
    <row r="915" spans="1:16" x14ac:dyDescent="0.3">
      <c r="A915">
        <v>1086</v>
      </c>
      <c r="B915">
        <v>20</v>
      </c>
      <c r="C915" t="s">
        <v>26</v>
      </c>
      <c r="D915" t="s">
        <v>22</v>
      </c>
      <c r="E915" t="s">
        <v>17</v>
      </c>
      <c r="F915" t="s">
        <v>23</v>
      </c>
      <c r="G915" t="s">
        <v>41</v>
      </c>
      <c r="H915" t="s">
        <v>25</v>
      </c>
      <c r="I915" s="1">
        <v>3</v>
      </c>
      <c r="J915" s="2">
        <v>45986</v>
      </c>
      <c r="K915" s="2">
        <f t="shared" si="41"/>
        <v>45962</v>
      </c>
      <c r="L915" s="1" t="str">
        <f t="shared" si="42"/>
        <v>ter</v>
      </c>
      <c r="M915" s="1" t="str">
        <f t="shared" si="43"/>
        <v>nov</v>
      </c>
      <c r="N915">
        <f t="shared" si="44"/>
        <v>2025</v>
      </c>
      <c r="O915" s="2"/>
      <c r="P915" t="str">
        <f t="shared" si="40"/>
        <v>108645986</v>
      </c>
    </row>
    <row r="916" spans="1:16" x14ac:dyDescent="0.3">
      <c r="A916">
        <v>1086</v>
      </c>
      <c r="B916">
        <v>20</v>
      </c>
      <c r="C916" t="s">
        <v>26</v>
      </c>
      <c r="D916" t="s">
        <v>22</v>
      </c>
      <c r="E916" t="s">
        <v>17</v>
      </c>
      <c r="F916" t="s">
        <v>23</v>
      </c>
      <c r="G916" t="s">
        <v>40</v>
      </c>
      <c r="H916" t="s">
        <v>25</v>
      </c>
      <c r="I916" s="1">
        <v>3</v>
      </c>
      <c r="J916" s="2">
        <v>46142</v>
      </c>
      <c r="K916" s="2">
        <f t="shared" si="41"/>
        <v>46113</v>
      </c>
      <c r="L916" s="1" t="s">
        <v>51</v>
      </c>
      <c r="M916" s="1" t="s">
        <v>48</v>
      </c>
      <c r="N916">
        <v>2025</v>
      </c>
      <c r="O916" s="2"/>
      <c r="P916" t="str">
        <f t="shared" si="40"/>
        <v>108646142</v>
      </c>
    </row>
    <row r="917" spans="1:16" x14ac:dyDescent="0.3">
      <c r="A917">
        <v>1086</v>
      </c>
      <c r="B917">
        <v>20</v>
      </c>
      <c r="C917" t="s">
        <v>26</v>
      </c>
      <c r="D917" t="s">
        <v>22</v>
      </c>
      <c r="E917" t="s">
        <v>17</v>
      </c>
      <c r="F917" t="s">
        <v>23</v>
      </c>
      <c r="G917" t="s">
        <v>40</v>
      </c>
      <c r="H917" t="s">
        <v>25</v>
      </c>
      <c r="I917" s="1">
        <v>3</v>
      </c>
      <c r="J917" s="2">
        <v>46143</v>
      </c>
      <c r="K917" s="2">
        <f t="shared" si="41"/>
        <v>46143</v>
      </c>
      <c r="L917" s="1" t="s">
        <v>52</v>
      </c>
      <c r="M917" s="1" t="s">
        <v>49</v>
      </c>
      <c r="N917">
        <v>2025</v>
      </c>
      <c r="O917" s="2"/>
      <c r="P917" t="str">
        <f t="shared" si="40"/>
        <v>108646143</v>
      </c>
    </row>
    <row r="918" spans="1:16" x14ac:dyDescent="0.3">
      <c r="A918">
        <v>1086</v>
      </c>
      <c r="B918">
        <v>20</v>
      </c>
      <c r="C918" t="s">
        <v>26</v>
      </c>
      <c r="D918" t="s">
        <v>22</v>
      </c>
      <c r="E918" t="s">
        <v>17</v>
      </c>
      <c r="F918" t="s">
        <v>23</v>
      </c>
      <c r="G918" t="s">
        <v>40</v>
      </c>
      <c r="H918" t="s">
        <v>25</v>
      </c>
      <c r="I918" s="1">
        <v>3</v>
      </c>
      <c r="J918" s="2">
        <v>46144</v>
      </c>
      <c r="K918" s="2">
        <f t="shared" si="41"/>
        <v>46143</v>
      </c>
      <c r="L918" s="1" t="s">
        <v>53</v>
      </c>
      <c r="M918" s="1" t="s">
        <v>49</v>
      </c>
      <c r="N918">
        <v>2025</v>
      </c>
      <c r="O918" s="2"/>
      <c r="P918" t="str">
        <f t="shared" si="40"/>
        <v>108646144</v>
      </c>
    </row>
    <row r="919" spans="1:16" x14ac:dyDescent="0.3">
      <c r="A919">
        <v>1086</v>
      </c>
      <c r="B919">
        <v>20</v>
      </c>
      <c r="C919" t="s">
        <v>26</v>
      </c>
      <c r="D919" t="s">
        <v>22</v>
      </c>
      <c r="E919" t="s">
        <v>17</v>
      </c>
      <c r="F919" t="s">
        <v>23</v>
      </c>
      <c r="G919" t="s">
        <v>40</v>
      </c>
      <c r="H919" t="s">
        <v>25</v>
      </c>
      <c r="I919" s="1">
        <v>3</v>
      </c>
      <c r="J919" s="2">
        <v>46145</v>
      </c>
      <c r="K919" s="2">
        <f t="shared" si="41"/>
        <v>46143</v>
      </c>
      <c r="L919" s="1" t="s">
        <v>54</v>
      </c>
      <c r="M919" s="1" t="s">
        <v>49</v>
      </c>
      <c r="N919">
        <v>2025</v>
      </c>
      <c r="O919" s="2"/>
      <c r="P919" t="str">
        <f t="shared" si="40"/>
        <v>108646145</v>
      </c>
    </row>
    <row r="920" spans="1:16" x14ac:dyDescent="0.3">
      <c r="A920">
        <v>1089</v>
      </c>
      <c r="B920">
        <v>52</v>
      </c>
      <c r="C920" t="s">
        <v>15</v>
      </c>
      <c r="D920" t="s">
        <v>29</v>
      </c>
      <c r="E920" t="s">
        <v>17</v>
      </c>
      <c r="F920" t="s">
        <v>21</v>
      </c>
      <c r="G920" t="s">
        <v>44</v>
      </c>
      <c r="H920" t="s">
        <v>20</v>
      </c>
      <c r="I920" s="1">
        <v>3</v>
      </c>
      <c r="J920" s="2">
        <v>45928</v>
      </c>
      <c r="K920" s="2">
        <f t="shared" si="41"/>
        <v>45901</v>
      </c>
      <c r="L920" s="1" t="str">
        <f t="shared" ref="L920:L937" si="45">TEXT(J920,"ddd")</f>
        <v>dom</v>
      </c>
      <c r="M920" s="1" t="str">
        <f t="shared" ref="M920:M937" si="46">TEXT($J920,"mmm")</f>
        <v>set</v>
      </c>
      <c r="N920">
        <f t="shared" ref="N920:N937" si="47">YEAR(J920)</f>
        <v>2025</v>
      </c>
      <c r="O920" s="2">
        <f>_xlfn.XLOOKUP(A920,Colaboradores!$A:$A,Colaboradores!$S:$S,"",0)</f>
        <v>46136</v>
      </c>
      <c r="P920" t="str">
        <f t="shared" si="40"/>
        <v>108945928</v>
      </c>
    </row>
    <row r="921" spans="1:16" x14ac:dyDescent="0.3">
      <c r="A921">
        <v>1089</v>
      </c>
      <c r="B921">
        <v>52</v>
      </c>
      <c r="C921" t="s">
        <v>15</v>
      </c>
      <c r="D921" t="s">
        <v>29</v>
      </c>
      <c r="E921" t="s">
        <v>17</v>
      </c>
      <c r="F921" t="s">
        <v>21</v>
      </c>
      <c r="G921" t="s">
        <v>41</v>
      </c>
      <c r="H921" t="s">
        <v>20</v>
      </c>
      <c r="I921" s="1">
        <v>3</v>
      </c>
      <c r="J921" s="2">
        <v>45933</v>
      </c>
      <c r="K921" s="2">
        <f t="shared" si="41"/>
        <v>45931</v>
      </c>
      <c r="L921" s="1" t="str">
        <f t="shared" si="45"/>
        <v>sex</v>
      </c>
      <c r="M921" s="1" t="str">
        <f t="shared" si="46"/>
        <v>out</v>
      </c>
      <c r="N921">
        <f t="shared" si="47"/>
        <v>2025</v>
      </c>
      <c r="O921" s="2">
        <f>_xlfn.XLOOKUP(A921,Colaboradores!$A:$A,Colaboradores!$S:$S,"",0)</f>
        <v>46136</v>
      </c>
      <c r="P921" t="str">
        <f t="shared" si="40"/>
        <v>108945933</v>
      </c>
    </row>
    <row r="922" spans="1:16" x14ac:dyDescent="0.3">
      <c r="A922">
        <v>1089</v>
      </c>
      <c r="B922">
        <v>52</v>
      </c>
      <c r="C922" t="s">
        <v>15</v>
      </c>
      <c r="D922" t="s">
        <v>29</v>
      </c>
      <c r="E922" t="s">
        <v>17</v>
      </c>
      <c r="F922" t="s">
        <v>21</v>
      </c>
      <c r="G922" t="s">
        <v>44</v>
      </c>
      <c r="H922" t="s">
        <v>20</v>
      </c>
      <c r="I922" s="1">
        <v>3</v>
      </c>
      <c r="J922" s="2">
        <v>46016</v>
      </c>
      <c r="K922" s="2">
        <f t="shared" si="41"/>
        <v>45992</v>
      </c>
      <c r="L922" s="1" t="str">
        <f t="shared" si="45"/>
        <v>qui</v>
      </c>
      <c r="M922" s="1" t="str">
        <f t="shared" si="46"/>
        <v>dez</v>
      </c>
      <c r="N922">
        <f t="shared" si="47"/>
        <v>2025</v>
      </c>
      <c r="O922" s="2">
        <f>_xlfn.XLOOKUP(A922,Colaboradores!$A:$A,Colaboradores!$S:$S,"",0)</f>
        <v>46136</v>
      </c>
      <c r="P922" t="str">
        <f t="shared" si="40"/>
        <v>108946016</v>
      </c>
    </row>
    <row r="923" spans="1:16" x14ac:dyDescent="0.3">
      <c r="A923">
        <v>1089</v>
      </c>
      <c r="B923">
        <v>52</v>
      </c>
      <c r="C923" t="s">
        <v>15</v>
      </c>
      <c r="D923" t="s">
        <v>29</v>
      </c>
      <c r="E923" t="s">
        <v>17</v>
      </c>
      <c r="F923" t="s">
        <v>21</v>
      </c>
      <c r="G923" t="s">
        <v>41</v>
      </c>
      <c r="H923" t="s">
        <v>20</v>
      </c>
      <c r="I923" s="1">
        <v>3</v>
      </c>
      <c r="J923" s="2">
        <v>46191</v>
      </c>
      <c r="K923" s="2">
        <f t="shared" si="41"/>
        <v>46174</v>
      </c>
      <c r="L923" s="1" t="str">
        <f t="shared" si="45"/>
        <v>qui</v>
      </c>
      <c r="M923" s="1" t="str">
        <f t="shared" si="46"/>
        <v>jun</v>
      </c>
      <c r="N923">
        <f t="shared" si="47"/>
        <v>2026</v>
      </c>
      <c r="O923" s="2">
        <f>_xlfn.XLOOKUP(A923,Colaboradores!$A:$A,Colaboradores!$S:$S,"",0)</f>
        <v>46136</v>
      </c>
      <c r="P923" t="str">
        <f t="shared" si="40"/>
        <v>108946191</v>
      </c>
    </row>
    <row r="924" spans="1:16" x14ac:dyDescent="0.3">
      <c r="A924">
        <v>1089</v>
      </c>
      <c r="B924">
        <v>52</v>
      </c>
      <c r="C924" t="s">
        <v>15</v>
      </c>
      <c r="D924" t="s">
        <v>29</v>
      </c>
      <c r="E924" t="s">
        <v>17</v>
      </c>
      <c r="F924" t="s">
        <v>21</v>
      </c>
      <c r="G924" t="s">
        <v>41</v>
      </c>
      <c r="H924" t="s">
        <v>20</v>
      </c>
      <c r="I924" s="1">
        <v>3</v>
      </c>
      <c r="J924" s="2">
        <v>46065</v>
      </c>
      <c r="K924" s="2">
        <f t="shared" si="41"/>
        <v>46054</v>
      </c>
      <c r="L924" s="1" t="str">
        <f t="shared" si="45"/>
        <v>qui</v>
      </c>
      <c r="M924" s="1" t="str">
        <f t="shared" si="46"/>
        <v>fev</v>
      </c>
      <c r="N924">
        <f t="shared" si="47"/>
        <v>2026</v>
      </c>
      <c r="O924" s="2">
        <f>_xlfn.XLOOKUP(A924,Colaboradores!$A:$A,Colaboradores!$S:$S,"",0)</f>
        <v>46136</v>
      </c>
      <c r="P924" t="str">
        <f t="shared" si="40"/>
        <v>108946065</v>
      </c>
    </row>
    <row r="925" spans="1:16" x14ac:dyDescent="0.3">
      <c r="A925">
        <v>1089</v>
      </c>
      <c r="B925">
        <v>52</v>
      </c>
      <c r="C925" t="s">
        <v>15</v>
      </c>
      <c r="D925" t="s">
        <v>29</v>
      </c>
      <c r="E925" t="s">
        <v>17</v>
      </c>
      <c r="F925" t="s">
        <v>21</v>
      </c>
      <c r="G925" t="s">
        <v>41</v>
      </c>
      <c r="H925" t="s">
        <v>20</v>
      </c>
      <c r="I925" s="1">
        <v>3</v>
      </c>
      <c r="J925" s="2">
        <v>46073</v>
      </c>
      <c r="K925" s="2">
        <f t="shared" si="41"/>
        <v>46054</v>
      </c>
      <c r="L925" s="1" t="str">
        <f t="shared" si="45"/>
        <v>sex</v>
      </c>
      <c r="M925" s="1" t="str">
        <f t="shared" si="46"/>
        <v>fev</v>
      </c>
      <c r="N925">
        <f t="shared" si="47"/>
        <v>2026</v>
      </c>
      <c r="O925" s="2">
        <f>_xlfn.XLOOKUP(A925,Colaboradores!$A:$A,Colaboradores!$S:$S,"",0)</f>
        <v>46136</v>
      </c>
      <c r="P925" t="str">
        <f t="shared" si="40"/>
        <v>108946073</v>
      </c>
    </row>
    <row r="926" spans="1:16" x14ac:dyDescent="0.3">
      <c r="A926">
        <v>1092</v>
      </c>
      <c r="B926">
        <v>24</v>
      </c>
      <c r="C926" t="s">
        <v>26</v>
      </c>
      <c r="D926" t="s">
        <v>27</v>
      </c>
      <c r="E926" t="s">
        <v>17</v>
      </c>
      <c r="F926" t="s">
        <v>18</v>
      </c>
      <c r="G926" t="s">
        <v>40</v>
      </c>
      <c r="H926" t="s">
        <v>25</v>
      </c>
      <c r="I926" s="1">
        <v>1</v>
      </c>
      <c r="J926" s="2">
        <v>45820</v>
      </c>
      <c r="K926" s="2">
        <f t="shared" si="41"/>
        <v>45809</v>
      </c>
      <c r="L926" s="1" t="str">
        <f t="shared" si="45"/>
        <v>qui</v>
      </c>
      <c r="M926" s="1" t="str">
        <f t="shared" si="46"/>
        <v>jun</v>
      </c>
      <c r="N926">
        <f t="shared" si="47"/>
        <v>2025</v>
      </c>
      <c r="O926" s="2"/>
      <c r="P926" t="str">
        <f t="shared" si="40"/>
        <v>109245820</v>
      </c>
    </row>
    <row r="927" spans="1:16" x14ac:dyDescent="0.3">
      <c r="A927">
        <v>1092</v>
      </c>
      <c r="B927">
        <v>24</v>
      </c>
      <c r="C927" t="s">
        <v>26</v>
      </c>
      <c r="D927" t="s">
        <v>27</v>
      </c>
      <c r="E927" t="s">
        <v>17</v>
      </c>
      <c r="F927" t="s">
        <v>18</v>
      </c>
      <c r="G927" t="s">
        <v>41</v>
      </c>
      <c r="H927" t="s">
        <v>25</v>
      </c>
      <c r="I927" s="1">
        <v>1</v>
      </c>
      <c r="J927" s="2">
        <v>46190</v>
      </c>
      <c r="K927" s="2">
        <f t="shared" si="41"/>
        <v>46174</v>
      </c>
      <c r="L927" s="1" t="str">
        <f t="shared" si="45"/>
        <v>qua</v>
      </c>
      <c r="M927" s="1" t="str">
        <f t="shared" si="46"/>
        <v>jun</v>
      </c>
      <c r="N927">
        <f t="shared" si="47"/>
        <v>2026</v>
      </c>
      <c r="O927" s="2"/>
      <c r="P927" t="str">
        <f t="shared" si="40"/>
        <v>109246190</v>
      </c>
    </row>
    <row r="928" spans="1:16" x14ac:dyDescent="0.3">
      <c r="A928">
        <v>1092</v>
      </c>
      <c r="B928">
        <v>24</v>
      </c>
      <c r="C928" t="s">
        <v>26</v>
      </c>
      <c r="D928" t="s">
        <v>27</v>
      </c>
      <c r="E928" t="s">
        <v>17</v>
      </c>
      <c r="F928" t="s">
        <v>18</v>
      </c>
      <c r="G928" t="s">
        <v>40</v>
      </c>
      <c r="H928" t="s">
        <v>25</v>
      </c>
      <c r="I928" s="1">
        <v>1</v>
      </c>
      <c r="J928" s="2">
        <v>45919</v>
      </c>
      <c r="K928" s="2">
        <f t="shared" si="41"/>
        <v>45901</v>
      </c>
      <c r="L928" s="1" t="str">
        <f t="shared" si="45"/>
        <v>sex</v>
      </c>
      <c r="M928" s="1" t="str">
        <f t="shared" si="46"/>
        <v>set</v>
      </c>
      <c r="N928">
        <f t="shared" si="47"/>
        <v>2025</v>
      </c>
      <c r="O928" s="2"/>
      <c r="P928" t="str">
        <f t="shared" si="40"/>
        <v>109245919</v>
      </c>
    </row>
    <row r="929" spans="1:16" x14ac:dyDescent="0.3">
      <c r="A929">
        <v>1092</v>
      </c>
      <c r="B929">
        <v>24</v>
      </c>
      <c r="C929" t="s">
        <v>26</v>
      </c>
      <c r="D929" t="s">
        <v>27</v>
      </c>
      <c r="E929" t="s">
        <v>17</v>
      </c>
      <c r="F929" t="s">
        <v>18</v>
      </c>
      <c r="G929" t="s">
        <v>40</v>
      </c>
      <c r="H929" t="s">
        <v>25</v>
      </c>
      <c r="I929" s="1">
        <v>1</v>
      </c>
      <c r="J929" s="2">
        <v>45981</v>
      </c>
      <c r="K929" s="2">
        <f t="shared" si="41"/>
        <v>45962</v>
      </c>
      <c r="L929" s="1" t="str">
        <f t="shared" si="45"/>
        <v>qui</v>
      </c>
      <c r="M929" s="1" t="str">
        <f t="shared" si="46"/>
        <v>nov</v>
      </c>
      <c r="N929">
        <f t="shared" si="47"/>
        <v>2025</v>
      </c>
      <c r="O929" s="2"/>
      <c r="P929" t="str">
        <f t="shared" si="40"/>
        <v>109245981</v>
      </c>
    </row>
    <row r="930" spans="1:16" x14ac:dyDescent="0.3">
      <c r="A930">
        <v>1092</v>
      </c>
      <c r="B930">
        <v>24</v>
      </c>
      <c r="C930" t="s">
        <v>26</v>
      </c>
      <c r="D930" t="s">
        <v>27</v>
      </c>
      <c r="E930" t="s">
        <v>17</v>
      </c>
      <c r="F930" t="s">
        <v>18</v>
      </c>
      <c r="G930" t="s">
        <v>40</v>
      </c>
      <c r="H930" t="s">
        <v>25</v>
      </c>
      <c r="I930" s="1">
        <v>1</v>
      </c>
      <c r="J930" s="2">
        <v>46012</v>
      </c>
      <c r="K930" s="2">
        <f t="shared" si="41"/>
        <v>45992</v>
      </c>
      <c r="L930" s="1" t="str">
        <f t="shared" si="45"/>
        <v>dom</v>
      </c>
      <c r="M930" s="1" t="str">
        <f t="shared" si="46"/>
        <v>dez</v>
      </c>
      <c r="N930">
        <f t="shared" si="47"/>
        <v>2025</v>
      </c>
      <c r="O930" s="2"/>
      <c r="P930" t="str">
        <f t="shared" si="40"/>
        <v>109246012</v>
      </c>
    </row>
    <row r="931" spans="1:16" x14ac:dyDescent="0.3">
      <c r="A931">
        <v>1092</v>
      </c>
      <c r="B931">
        <v>24</v>
      </c>
      <c r="C931" t="s">
        <v>26</v>
      </c>
      <c r="D931" t="s">
        <v>27</v>
      </c>
      <c r="E931" t="s">
        <v>17</v>
      </c>
      <c r="F931" t="s">
        <v>18</v>
      </c>
      <c r="G931" t="s">
        <v>40</v>
      </c>
      <c r="H931" t="s">
        <v>25</v>
      </c>
      <c r="I931" s="1">
        <v>1</v>
      </c>
      <c r="J931" s="2">
        <v>46188</v>
      </c>
      <c r="K931" s="2">
        <f t="shared" si="41"/>
        <v>46174</v>
      </c>
      <c r="L931" s="1" t="str">
        <f t="shared" si="45"/>
        <v>seg</v>
      </c>
      <c r="M931" s="1" t="str">
        <f t="shared" si="46"/>
        <v>jun</v>
      </c>
      <c r="N931">
        <f t="shared" si="47"/>
        <v>2026</v>
      </c>
      <c r="O931" s="2"/>
      <c r="P931" t="str">
        <f t="shared" si="40"/>
        <v>109246188</v>
      </c>
    </row>
    <row r="932" spans="1:16" x14ac:dyDescent="0.3">
      <c r="A932">
        <v>1094</v>
      </c>
      <c r="B932">
        <v>26</v>
      </c>
      <c r="C932" t="s">
        <v>15</v>
      </c>
      <c r="D932" t="s">
        <v>16</v>
      </c>
      <c r="E932" t="s">
        <v>17</v>
      </c>
      <c r="F932" t="s">
        <v>21</v>
      </c>
      <c r="G932" t="s">
        <v>43</v>
      </c>
      <c r="H932" t="s">
        <v>25</v>
      </c>
      <c r="I932" s="1">
        <v>3</v>
      </c>
      <c r="J932" s="2">
        <v>45765</v>
      </c>
      <c r="K932" s="2">
        <f t="shared" si="41"/>
        <v>45748</v>
      </c>
      <c r="L932" s="1" t="str">
        <f t="shared" si="45"/>
        <v>sex</v>
      </c>
      <c r="M932" s="1" t="str">
        <f t="shared" si="46"/>
        <v>abr</v>
      </c>
      <c r="N932">
        <f t="shared" si="47"/>
        <v>2025</v>
      </c>
      <c r="O932" s="2"/>
      <c r="P932" t="str">
        <f t="shared" si="40"/>
        <v>109445765</v>
      </c>
    </row>
    <row r="933" spans="1:16" x14ac:dyDescent="0.3">
      <c r="A933">
        <v>1094</v>
      </c>
      <c r="B933">
        <v>26</v>
      </c>
      <c r="C933" t="s">
        <v>15</v>
      </c>
      <c r="D933" t="s">
        <v>16</v>
      </c>
      <c r="E933" t="s">
        <v>17</v>
      </c>
      <c r="F933" t="s">
        <v>21</v>
      </c>
      <c r="G933" t="s">
        <v>43</v>
      </c>
      <c r="H933" t="s">
        <v>25</v>
      </c>
      <c r="I933" s="1">
        <v>3</v>
      </c>
      <c r="J933" s="2">
        <v>46194</v>
      </c>
      <c r="K933" s="2">
        <f t="shared" si="41"/>
        <v>46174</v>
      </c>
      <c r="L933" s="1" t="str">
        <f t="shared" si="45"/>
        <v>dom</v>
      </c>
      <c r="M933" s="1" t="str">
        <f t="shared" si="46"/>
        <v>jun</v>
      </c>
      <c r="N933">
        <f t="shared" si="47"/>
        <v>2026</v>
      </c>
      <c r="O933" s="2"/>
      <c r="P933" t="str">
        <f t="shared" si="40"/>
        <v>109446194</v>
      </c>
    </row>
    <row r="934" spans="1:16" x14ac:dyDescent="0.3">
      <c r="A934">
        <v>1094</v>
      </c>
      <c r="B934">
        <v>26</v>
      </c>
      <c r="C934" t="s">
        <v>15</v>
      </c>
      <c r="D934" t="s">
        <v>16</v>
      </c>
      <c r="E934" t="s">
        <v>17</v>
      </c>
      <c r="F934" t="s">
        <v>21</v>
      </c>
      <c r="G934" t="s">
        <v>43</v>
      </c>
      <c r="H934" t="s">
        <v>25</v>
      </c>
      <c r="I934" s="1">
        <v>3</v>
      </c>
      <c r="J934" s="2">
        <v>45890</v>
      </c>
      <c r="K934" s="2">
        <f t="shared" si="41"/>
        <v>45870</v>
      </c>
      <c r="L934" s="1" t="str">
        <f t="shared" si="45"/>
        <v>qui</v>
      </c>
      <c r="M934" s="1" t="str">
        <f t="shared" si="46"/>
        <v>ago</v>
      </c>
      <c r="N934">
        <f t="shared" si="47"/>
        <v>2025</v>
      </c>
      <c r="O934" s="2"/>
      <c r="P934" t="str">
        <f t="shared" si="40"/>
        <v>109445890</v>
      </c>
    </row>
    <row r="935" spans="1:16" x14ac:dyDescent="0.3">
      <c r="A935">
        <v>1094</v>
      </c>
      <c r="B935">
        <v>26</v>
      </c>
      <c r="C935" t="s">
        <v>15</v>
      </c>
      <c r="D935" t="s">
        <v>16</v>
      </c>
      <c r="E935" t="s">
        <v>17</v>
      </c>
      <c r="F935" t="s">
        <v>21</v>
      </c>
      <c r="G935" t="s">
        <v>42</v>
      </c>
      <c r="H935" t="s">
        <v>25</v>
      </c>
      <c r="I935" s="1">
        <v>3</v>
      </c>
      <c r="J935" s="2">
        <v>45957</v>
      </c>
      <c r="K935" s="2">
        <f t="shared" si="41"/>
        <v>45931</v>
      </c>
      <c r="L935" s="1" t="str">
        <f t="shared" si="45"/>
        <v>seg</v>
      </c>
      <c r="M935" s="1" t="str">
        <f t="shared" si="46"/>
        <v>out</v>
      </c>
      <c r="N935">
        <f t="shared" si="47"/>
        <v>2025</v>
      </c>
      <c r="O935" s="2"/>
      <c r="P935" t="str">
        <f t="shared" si="40"/>
        <v>109445957</v>
      </c>
    </row>
    <row r="936" spans="1:16" x14ac:dyDescent="0.3">
      <c r="A936">
        <v>1094</v>
      </c>
      <c r="B936">
        <v>26</v>
      </c>
      <c r="C936" t="s">
        <v>15</v>
      </c>
      <c r="D936" t="s">
        <v>16</v>
      </c>
      <c r="E936" t="s">
        <v>17</v>
      </c>
      <c r="F936" t="s">
        <v>21</v>
      </c>
      <c r="G936" t="s">
        <v>43</v>
      </c>
      <c r="H936" t="s">
        <v>25</v>
      </c>
      <c r="I936" s="1">
        <v>3</v>
      </c>
      <c r="J936" s="2">
        <v>45994</v>
      </c>
      <c r="K936" s="2">
        <f t="shared" si="41"/>
        <v>45992</v>
      </c>
      <c r="L936" s="1" t="str">
        <f t="shared" si="45"/>
        <v>qua</v>
      </c>
      <c r="M936" s="1" t="str">
        <f t="shared" si="46"/>
        <v>dez</v>
      </c>
      <c r="N936">
        <f t="shared" si="47"/>
        <v>2025</v>
      </c>
      <c r="O936" s="2"/>
      <c r="P936" t="str">
        <f t="shared" si="40"/>
        <v>109445994</v>
      </c>
    </row>
    <row r="937" spans="1:16" x14ac:dyDescent="0.3">
      <c r="A937">
        <v>1094</v>
      </c>
      <c r="B937">
        <v>26</v>
      </c>
      <c r="C937" t="s">
        <v>15</v>
      </c>
      <c r="D937" t="s">
        <v>16</v>
      </c>
      <c r="E937" t="s">
        <v>17</v>
      </c>
      <c r="F937" t="s">
        <v>21</v>
      </c>
      <c r="G937" t="s">
        <v>42</v>
      </c>
      <c r="H937" t="s">
        <v>25</v>
      </c>
      <c r="I937" s="1">
        <v>3</v>
      </c>
      <c r="J937" s="2">
        <v>46085</v>
      </c>
      <c r="K937" s="2">
        <f t="shared" si="41"/>
        <v>46082</v>
      </c>
      <c r="L937" s="1" t="str">
        <f t="shared" si="45"/>
        <v>qua</v>
      </c>
      <c r="M937" s="1" t="str">
        <f t="shared" si="46"/>
        <v>mar</v>
      </c>
      <c r="N937">
        <f t="shared" si="47"/>
        <v>2026</v>
      </c>
      <c r="O937" s="2"/>
      <c r="P937" t="str">
        <f t="shared" si="40"/>
        <v>109446085</v>
      </c>
    </row>
    <row r="938" spans="1:16" x14ac:dyDescent="0.3">
      <c r="A938">
        <v>1094</v>
      </c>
      <c r="B938">
        <v>26</v>
      </c>
      <c r="C938" t="s">
        <v>15</v>
      </c>
      <c r="D938" t="s">
        <v>16</v>
      </c>
      <c r="E938" t="s">
        <v>17</v>
      </c>
      <c r="F938" t="s">
        <v>21</v>
      </c>
      <c r="G938" t="s">
        <v>43</v>
      </c>
      <c r="H938" t="s">
        <v>25</v>
      </c>
      <c r="I938" s="1">
        <v>3</v>
      </c>
      <c r="J938" s="2">
        <v>46130</v>
      </c>
      <c r="K938" s="2">
        <f t="shared" si="41"/>
        <v>46113</v>
      </c>
      <c r="L938" s="1" t="s">
        <v>53</v>
      </c>
      <c r="M938" s="1" t="s">
        <v>48</v>
      </c>
      <c r="N938">
        <v>2025</v>
      </c>
      <c r="O938" s="2"/>
      <c r="P938" t="str">
        <f t="shared" si="40"/>
        <v>109446130</v>
      </c>
    </row>
    <row r="939" spans="1:16" x14ac:dyDescent="0.3">
      <c r="A939">
        <v>1095</v>
      </c>
      <c r="B939">
        <v>52</v>
      </c>
      <c r="C939" t="s">
        <v>26</v>
      </c>
      <c r="D939" t="s">
        <v>22</v>
      </c>
      <c r="E939" t="s">
        <v>17</v>
      </c>
      <c r="F939" t="s">
        <v>23</v>
      </c>
      <c r="G939" t="s">
        <v>43</v>
      </c>
      <c r="H939" t="s">
        <v>20</v>
      </c>
      <c r="I939" s="1">
        <v>1</v>
      </c>
      <c r="J939" s="2">
        <v>45836</v>
      </c>
      <c r="K939" s="2">
        <f t="shared" si="41"/>
        <v>45809</v>
      </c>
      <c r="L939" s="1" t="str">
        <f t="shared" ref="L939:L949" si="48">TEXT(J939,"ddd")</f>
        <v>sáb</v>
      </c>
      <c r="M939" s="1" t="str">
        <f t="shared" ref="M939:M949" si="49">TEXT($J939,"mmm")</f>
        <v>jun</v>
      </c>
      <c r="N939">
        <f t="shared" ref="N939:N949" si="50">YEAR(J939)</f>
        <v>2025</v>
      </c>
      <c r="O939" s="2">
        <f>_xlfn.XLOOKUP(A939,Colaboradores!$A:$A,Colaboradores!$S:$S,"",0)</f>
        <v>46144</v>
      </c>
      <c r="P939" t="str">
        <f t="shared" si="40"/>
        <v>109545836</v>
      </c>
    </row>
    <row r="940" spans="1:16" x14ac:dyDescent="0.3">
      <c r="A940">
        <v>1095</v>
      </c>
      <c r="B940">
        <v>52</v>
      </c>
      <c r="C940" t="s">
        <v>26</v>
      </c>
      <c r="D940" t="s">
        <v>22</v>
      </c>
      <c r="E940" t="s">
        <v>17</v>
      </c>
      <c r="F940" t="s">
        <v>23</v>
      </c>
      <c r="G940" t="s">
        <v>43</v>
      </c>
      <c r="H940" t="s">
        <v>20</v>
      </c>
      <c r="I940" s="1">
        <v>1</v>
      </c>
      <c r="J940" s="2">
        <v>45848</v>
      </c>
      <c r="K940" s="2">
        <f t="shared" si="41"/>
        <v>45839</v>
      </c>
      <c r="L940" s="1" t="str">
        <f t="shared" si="48"/>
        <v>qui</v>
      </c>
      <c r="M940" s="1" t="str">
        <f t="shared" si="49"/>
        <v>jul</v>
      </c>
      <c r="N940">
        <f t="shared" si="50"/>
        <v>2025</v>
      </c>
      <c r="O940" s="2">
        <f>_xlfn.XLOOKUP(A940,Colaboradores!$A:$A,Colaboradores!$S:$S,"",0)</f>
        <v>46144</v>
      </c>
      <c r="P940" t="str">
        <f t="shared" si="40"/>
        <v>109545848</v>
      </c>
    </row>
    <row r="941" spans="1:16" x14ac:dyDescent="0.3">
      <c r="A941">
        <v>1095</v>
      </c>
      <c r="B941">
        <v>52</v>
      </c>
      <c r="C941" t="s">
        <v>26</v>
      </c>
      <c r="D941" t="s">
        <v>22</v>
      </c>
      <c r="E941" t="s">
        <v>17</v>
      </c>
      <c r="F941" t="s">
        <v>23</v>
      </c>
      <c r="G941" t="s">
        <v>43</v>
      </c>
      <c r="H941" t="s">
        <v>20</v>
      </c>
      <c r="I941" s="1">
        <v>1</v>
      </c>
      <c r="J941" s="2">
        <v>45958</v>
      </c>
      <c r="K941" s="2">
        <f t="shared" si="41"/>
        <v>45931</v>
      </c>
      <c r="L941" s="1" t="str">
        <f t="shared" si="48"/>
        <v>ter</v>
      </c>
      <c r="M941" s="1" t="str">
        <f t="shared" si="49"/>
        <v>out</v>
      </c>
      <c r="N941">
        <f t="shared" si="50"/>
        <v>2025</v>
      </c>
      <c r="O941" s="2">
        <f>_xlfn.XLOOKUP(A941,Colaboradores!$A:$A,Colaboradores!$S:$S,"",0)</f>
        <v>46144</v>
      </c>
      <c r="P941" t="str">
        <f t="shared" si="40"/>
        <v>109545958</v>
      </c>
    </row>
    <row r="942" spans="1:16" x14ac:dyDescent="0.3">
      <c r="A942">
        <v>1095</v>
      </c>
      <c r="B942">
        <v>52</v>
      </c>
      <c r="C942" t="s">
        <v>26</v>
      </c>
      <c r="D942" t="s">
        <v>22</v>
      </c>
      <c r="E942" t="s">
        <v>17</v>
      </c>
      <c r="F942" t="s">
        <v>23</v>
      </c>
      <c r="G942" t="s">
        <v>43</v>
      </c>
      <c r="H942" t="s">
        <v>20</v>
      </c>
      <c r="I942" s="1">
        <v>1</v>
      </c>
      <c r="J942" s="2">
        <v>45974</v>
      </c>
      <c r="K942" s="2">
        <f t="shared" si="41"/>
        <v>45962</v>
      </c>
      <c r="L942" s="1" t="str">
        <f t="shared" si="48"/>
        <v>qui</v>
      </c>
      <c r="M942" s="1" t="str">
        <f t="shared" si="49"/>
        <v>nov</v>
      </c>
      <c r="N942">
        <f t="shared" si="50"/>
        <v>2025</v>
      </c>
      <c r="O942" s="2">
        <f>_xlfn.XLOOKUP(A942,Colaboradores!$A:$A,Colaboradores!$S:$S,"",0)</f>
        <v>46144</v>
      </c>
      <c r="P942" t="str">
        <f t="shared" si="40"/>
        <v>109545974</v>
      </c>
    </row>
    <row r="943" spans="1:16" x14ac:dyDescent="0.3">
      <c r="A943">
        <v>1095</v>
      </c>
      <c r="B943">
        <v>52</v>
      </c>
      <c r="C943" t="s">
        <v>26</v>
      </c>
      <c r="D943" t="s">
        <v>22</v>
      </c>
      <c r="E943" t="s">
        <v>17</v>
      </c>
      <c r="F943" t="s">
        <v>23</v>
      </c>
      <c r="G943" t="s">
        <v>43</v>
      </c>
      <c r="H943" t="s">
        <v>20</v>
      </c>
      <c r="I943" s="1">
        <v>1</v>
      </c>
      <c r="J943" s="2">
        <v>46006</v>
      </c>
      <c r="K943" s="2">
        <f t="shared" si="41"/>
        <v>45992</v>
      </c>
      <c r="L943" s="1" t="str">
        <f t="shared" si="48"/>
        <v>seg</v>
      </c>
      <c r="M943" s="1" t="str">
        <f t="shared" si="49"/>
        <v>dez</v>
      </c>
      <c r="N943">
        <f t="shared" si="50"/>
        <v>2025</v>
      </c>
      <c r="O943" s="2">
        <f>_xlfn.XLOOKUP(A943,Colaboradores!$A:$A,Colaboradores!$S:$S,"",0)</f>
        <v>46144</v>
      </c>
      <c r="P943" t="str">
        <f t="shared" si="40"/>
        <v>109546006</v>
      </c>
    </row>
    <row r="944" spans="1:16" x14ac:dyDescent="0.3">
      <c r="A944">
        <v>1095</v>
      </c>
      <c r="B944">
        <v>52</v>
      </c>
      <c r="C944" t="s">
        <v>26</v>
      </c>
      <c r="D944" t="s">
        <v>22</v>
      </c>
      <c r="E944" t="s">
        <v>17</v>
      </c>
      <c r="F944" t="s">
        <v>23</v>
      </c>
      <c r="G944" t="s">
        <v>43</v>
      </c>
      <c r="H944" t="s">
        <v>20</v>
      </c>
      <c r="I944" s="1">
        <v>1</v>
      </c>
      <c r="J944" s="2">
        <v>46109</v>
      </c>
      <c r="K944" s="2">
        <f t="shared" si="41"/>
        <v>46082</v>
      </c>
      <c r="L944" s="1" t="str">
        <f t="shared" si="48"/>
        <v>sáb</v>
      </c>
      <c r="M944" s="1" t="str">
        <f t="shared" si="49"/>
        <v>mar</v>
      </c>
      <c r="N944">
        <f t="shared" si="50"/>
        <v>2026</v>
      </c>
      <c r="O944" s="2">
        <f>_xlfn.XLOOKUP(A944,Colaboradores!$A:$A,Colaboradores!$S:$S,"",0)</f>
        <v>46144</v>
      </c>
      <c r="P944" t="str">
        <f t="shared" si="40"/>
        <v>109546109</v>
      </c>
    </row>
    <row r="945" spans="1:16" x14ac:dyDescent="0.3">
      <c r="A945">
        <v>1096</v>
      </c>
      <c r="B945">
        <v>34</v>
      </c>
      <c r="C945" t="s">
        <v>15</v>
      </c>
      <c r="D945" t="s">
        <v>16</v>
      </c>
      <c r="E945" t="s">
        <v>17</v>
      </c>
      <c r="F945" t="s">
        <v>18</v>
      </c>
      <c r="G945" t="s">
        <v>41</v>
      </c>
      <c r="H945" t="s">
        <v>25</v>
      </c>
      <c r="I945" s="1">
        <v>1</v>
      </c>
      <c r="J945" s="2">
        <v>45773</v>
      </c>
      <c r="K945" s="2">
        <f t="shared" si="41"/>
        <v>45748</v>
      </c>
      <c r="L945" s="1" t="str">
        <f t="shared" si="48"/>
        <v>sáb</v>
      </c>
      <c r="M945" s="1" t="str">
        <f t="shared" si="49"/>
        <v>abr</v>
      </c>
      <c r="N945">
        <f t="shared" si="50"/>
        <v>2025</v>
      </c>
      <c r="O945" s="2"/>
      <c r="P945" t="str">
        <f t="shared" si="40"/>
        <v>109645773</v>
      </c>
    </row>
    <row r="946" spans="1:16" x14ac:dyDescent="0.3">
      <c r="A946">
        <v>1096</v>
      </c>
      <c r="B946">
        <v>34</v>
      </c>
      <c r="C946" t="s">
        <v>15</v>
      </c>
      <c r="D946" t="s">
        <v>16</v>
      </c>
      <c r="E946" t="s">
        <v>17</v>
      </c>
      <c r="F946" t="s">
        <v>18</v>
      </c>
      <c r="G946" t="s">
        <v>41</v>
      </c>
      <c r="H946" t="s">
        <v>25</v>
      </c>
      <c r="I946" s="1">
        <v>1</v>
      </c>
      <c r="J946" s="2">
        <v>46195</v>
      </c>
      <c r="K946" s="2">
        <f t="shared" si="41"/>
        <v>46174</v>
      </c>
      <c r="L946" s="1" t="str">
        <f t="shared" si="48"/>
        <v>seg</v>
      </c>
      <c r="M946" s="1" t="str">
        <f t="shared" si="49"/>
        <v>jun</v>
      </c>
      <c r="N946">
        <f t="shared" si="50"/>
        <v>2026</v>
      </c>
      <c r="O946" s="2"/>
      <c r="P946" t="str">
        <f t="shared" si="40"/>
        <v>109646195</v>
      </c>
    </row>
    <row r="947" spans="1:16" x14ac:dyDescent="0.3">
      <c r="A947">
        <v>1096</v>
      </c>
      <c r="B947">
        <v>34</v>
      </c>
      <c r="C947" t="s">
        <v>15</v>
      </c>
      <c r="D947" t="s">
        <v>16</v>
      </c>
      <c r="E947" t="s">
        <v>17</v>
      </c>
      <c r="F947" t="s">
        <v>18</v>
      </c>
      <c r="G947" t="s">
        <v>41</v>
      </c>
      <c r="H947" t="s">
        <v>25</v>
      </c>
      <c r="I947" s="1">
        <v>1</v>
      </c>
      <c r="J947" s="2">
        <v>45865</v>
      </c>
      <c r="K947" s="2">
        <f t="shared" si="41"/>
        <v>45839</v>
      </c>
      <c r="L947" s="1" t="str">
        <f t="shared" si="48"/>
        <v>dom</v>
      </c>
      <c r="M947" s="1" t="str">
        <f t="shared" si="49"/>
        <v>jul</v>
      </c>
      <c r="N947">
        <f t="shared" si="50"/>
        <v>2025</v>
      </c>
      <c r="O947" s="2"/>
      <c r="P947" t="str">
        <f t="shared" si="40"/>
        <v>109645865</v>
      </c>
    </row>
    <row r="948" spans="1:16" x14ac:dyDescent="0.3">
      <c r="A948">
        <v>1096</v>
      </c>
      <c r="B948">
        <v>34</v>
      </c>
      <c r="C948" t="s">
        <v>15</v>
      </c>
      <c r="D948" t="s">
        <v>16</v>
      </c>
      <c r="E948" t="s">
        <v>17</v>
      </c>
      <c r="F948" t="s">
        <v>18</v>
      </c>
      <c r="G948" t="s">
        <v>41</v>
      </c>
      <c r="H948" t="s">
        <v>25</v>
      </c>
      <c r="I948" s="1">
        <v>1</v>
      </c>
      <c r="J948" s="2">
        <v>45869</v>
      </c>
      <c r="K948" s="2">
        <f t="shared" si="41"/>
        <v>45839</v>
      </c>
      <c r="L948" s="1" t="str">
        <f t="shared" si="48"/>
        <v>qui</v>
      </c>
      <c r="M948" s="1" t="str">
        <f t="shared" si="49"/>
        <v>jul</v>
      </c>
      <c r="N948">
        <f t="shared" si="50"/>
        <v>2025</v>
      </c>
      <c r="O948" s="2"/>
      <c r="P948" t="str">
        <f t="shared" si="40"/>
        <v>109645869</v>
      </c>
    </row>
    <row r="949" spans="1:16" x14ac:dyDescent="0.3">
      <c r="A949">
        <v>1096</v>
      </c>
      <c r="B949">
        <v>34</v>
      </c>
      <c r="C949" t="s">
        <v>15</v>
      </c>
      <c r="D949" t="s">
        <v>16</v>
      </c>
      <c r="E949" t="s">
        <v>17</v>
      </c>
      <c r="F949" t="s">
        <v>18</v>
      </c>
      <c r="G949" t="s">
        <v>41</v>
      </c>
      <c r="H949" t="s">
        <v>25</v>
      </c>
      <c r="I949" s="1">
        <v>1</v>
      </c>
      <c r="J949" s="2">
        <v>45973</v>
      </c>
      <c r="K949" s="2">
        <f t="shared" si="41"/>
        <v>45962</v>
      </c>
      <c r="L949" s="1" t="str">
        <f t="shared" si="48"/>
        <v>qua</v>
      </c>
      <c r="M949" s="1" t="str">
        <f t="shared" si="49"/>
        <v>nov</v>
      </c>
      <c r="N949">
        <f t="shared" si="50"/>
        <v>2025</v>
      </c>
      <c r="O949" s="2"/>
      <c r="P949" t="str">
        <f t="shared" si="40"/>
        <v>109645973</v>
      </c>
    </row>
    <row r="950" spans="1:16" x14ac:dyDescent="0.3">
      <c r="A950">
        <v>1096</v>
      </c>
      <c r="B950">
        <v>34</v>
      </c>
      <c r="C950" t="s">
        <v>15</v>
      </c>
      <c r="D950" t="s">
        <v>16</v>
      </c>
      <c r="E950" t="s">
        <v>17</v>
      </c>
      <c r="F950" t="s">
        <v>18</v>
      </c>
      <c r="G950" t="s">
        <v>41</v>
      </c>
      <c r="H950" t="s">
        <v>25</v>
      </c>
      <c r="I950" s="1">
        <v>1</v>
      </c>
      <c r="J950" s="2">
        <v>46138</v>
      </c>
      <c r="K950" s="2">
        <f t="shared" si="41"/>
        <v>46113</v>
      </c>
      <c r="L950" s="1" t="s">
        <v>54</v>
      </c>
      <c r="M950" s="1" t="s">
        <v>48</v>
      </c>
      <c r="N950">
        <v>2025</v>
      </c>
      <c r="O950" s="2"/>
      <c r="P950" t="str">
        <f t="shared" si="40"/>
        <v>109646138</v>
      </c>
    </row>
    <row r="951" spans="1:16" x14ac:dyDescent="0.3">
      <c r="A951">
        <v>1101</v>
      </c>
      <c r="B951">
        <v>48</v>
      </c>
      <c r="C951" t="s">
        <v>15</v>
      </c>
      <c r="D951" t="s">
        <v>16</v>
      </c>
      <c r="E951" t="s">
        <v>17</v>
      </c>
      <c r="F951" t="s">
        <v>23</v>
      </c>
      <c r="G951" t="s">
        <v>41</v>
      </c>
      <c r="H951" t="s">
        <v>25</v>
      </c>
      <c r="I951" s="1">
        <v>3</v>
      </c>
      <c r="J951" s="2">
        <v>46185</v>
      </c>
      <c r="K951" s="2">
        <f t="shared" si="41"/>
        <v>46174</v>
      </c>
      <c r="L951" s="1" t="str">
        <f t="shared" ref="L951:L968" si="51">TEXT(J951,"ddd")</f>
        <v>sex</v>
      </c>
      <c r="M951" s="1" t="str">
        <f t="shared" ref="M951:M968" si="52">TEXT($J951,"mmm")</f>
        <v>jun</v>
      </c>
      <c r="N951">
        <f t="shared" ref="N951:N968" si="53">YEAR(J951)</f>
        <v>2026</v>
      </c>
      <c r="O951" s="2"/>
      <c r="P951" t="str">
        <f t="shared" si="40"/>
        <v>110146185</v>
      </c>
    </row>
    <row r="952" spans="1:16" x14ac:dyDescent="0.3">
      <c r="A952">
        <v>1101</v>
      </c>
      <c r="B952">
        <v>48</v>
      </c>
      <c r="C952" t="s">
        <v>15</v>
      </c>
      <c r="D952" t="s">
        <v>16</v>
      </c>
      <c r="E952" t="s">
        <v>17</v>
      </c>
      <c r="F952" t="s">
        <v>23</v>
      </c>
      <c r="G952" t="s">
        <v>41</v>
      </c>
      <c r="H952" t="s">
        <v>25</v>
      </c>
      <c r="I952" s="1">
        <v>3</v>
      </c>
      <c r="J952" s="2">
        <v>45854</v>
      </c>
      <c r="K952" s="2">
        <f t="shared" si="41"/>
        <v>45839</v>
      </c>
      <c r="L952" s="1" t="str">
        <f t="shared" si="51"/>
        <v>qua</v>
      </c>
      <c r="M952" s="1" t="str">
        <f t="shared" si="52"/>
        <v>jul</v>
      </c>
      <c r="N952">
        <f t="shared" si="53"/>
        <v>2025</v>
      </c>
      <c r="O952" s="2"/>
      <c r="P952" t="str">
        <f t="shared" si="40"/>
        <v>110145854</v>
      </c>
    </row>
    <row r="953" spans="1:16" x14ac:dyDescent="0.3">
      <c r="A953">
        <v>1101</v>
      </c>
      <c r="B953">
        <v>48</v>
      </c>
      <c r="C953" t="s">
        <v>15</v>
      </c>
      <c r="D953" t="s">
        <v>16</v>
      </c>
      <c r="E953" t="s">
        <v>17</v>
      </c>
      <c r="F953" t="s">
        <v>23</v>
      </c>
      <c r="G953" t="s">
        <v>41</v>
      </c>
      <c r="H953" t="s">
        <v>25</v>
      </c>
      <c r="I953" s="1">
        <v>3</v>
      </c>
      <c r="J953" s="2">
        <v>45870</v>
      </c>
      <c r="K953" s="2">
        <f t="shared" si="41"/>
        <v>45870</v>
      </c>
      <c r="L953" s="1" t="str">
        <f t="shared" si="51"/>
        <v>sex</v>
      </c>
      <c r="M953" s="1" t="str">
        <f t="shared" si="52"/>
        <v>ago</v>
      </c>
      <c r="N953">
        <f t="shared" si="53"/>
        <v>2025</v>
      </c>
      <c r="O953" s="2"/>
      <c r="P953" t="str">
        <f t="shared" si="40"/>
        <v>110145870</v>
      </c>
    </row>
    <row r="954" spans="1:16" x14ac:dyDescent="0.3">
      <c r="A954">
        <v>1101</v>
      </c>
      <c r="B954">
        <v>48</v>
      </c>
      <c r="C954" t="s">
        <v>15</v>
      </c>
      <c r="D954" t="s">
        <v>16</v>
      </c>
      <c r="E954" t="s">
        <v>17</v>
      </c>
      <c r="F954" t="s">
        <v>23</v>
      </c>
      <c r="G954" t="s">
        <v>41</v>
      </c>
      <c r="H954" t="s">
        <v>25</v>
      </c>
      <c r="I954" s="1">
        <v>3</v>
      </c>
      <c r="J954" s="2">
        <v>45930</v>
      </c>
      <c r="K954" s="2">
        <f t="shared" si="41"/>
        <v>45901</v>
      </c>
      <c r="L954" s="1" t="str">
        <f t="shared" si="51"/>
        <v>ter</v>
      </c>
      <c r="M954" s="1" t="str">
        <f t="shared" si="52"/>
        <v>set</v>
      </c>
      <c r="N954">
        <f t="shared" si="53"/>
        <v>2025</v>
      </c>
      <c r="O954" s="2"/>
      <c r="P954" t="str">
        <f t="shared" si="40"/>
        <v>110145930</v>
      </c>
    </row>
    <row r="955" spans="1:16" x14ac:dyDescent="0.3">
      <c r="A955">
        <v>1101</v>
      </c>
      <c r="B955">
        <v>48</v>
      </c>
      <c r="C955" t="s">
        <v>15</v>
      </c>
      <c r="D955" t="s">
        <v>16</v>
      </c>
      <c r="E955" t="s">
        <v>17</v>
      </c>
      <c r="F955" t="s">
        <v>23</v>
      </c>
      <c r="G955" t="s">
        <v>41</v>
      </c>
      <c r="H955" t="s">
        <v>25</v>
      </c>
      <c r="I955" s="1">
        <v>3</v>
      </c>
      <c r="J955" s="2">
        <v>46177</v>
      </c>
      <c r="K955" s="2">
        <f t="shared" si="41"/>
        <v>46174</v>
      </c>
      <c r="L955" s="1" t="str">
        <f t="shared" si="51"/>
        <v>qui</v>
      </c>
      <c r="M955" s="1" t="str">
        <f t="shared" si="52"/>
        <v>jun</v>
      </c>
      <c r="N955">
        <f t="shared" si="53"/>
        <v>2026</v>
      </c>
      <c r="O955" s="2"/>
      <c r="P955" t="str">
        <f t="shared" si="40"/>
        <v>110146177</v>
      </c>
    </row>
    <row r="956" spans="1:16" x14ac:dyDescent="0.3">
      <c r="A956">
        <v>1101</v>
      </c>
      <c r="B956">
        <v>48</v>
      </c>
      <c r="C956" t="s">
        <v>15</v>
      </c>
      <c r="D956" t="s">
        <v>16</v>
      </c>
      <c r="E956" t="s">
        <v>17</v>
      </c>
      <c r="F956" t="s">
        <v>23</v>
      </c>
      <c r="G956" t="s">
        <v>41</v>
      </c>
      <c r="H956" t="s">
        <v>25</v>
      </c>
      <c r="I956" s="1">
        <v>3</v>
      </c>
      <c r="J956" s="2">
        <v>46060</v>
      </c>
      <c r="K956" s="2">
        <f t="shared" si="41"/>
        <v>46054</v>
      </c>
      <c r="L956" s="1" t="str">
        <f t="shared" si="51"/>
        <v>sáb</v>
      </c>
      <c r="M956" s="1" t="str">
        <f t="shared" si="52"/>
        <v>fev</v>
      </c>
      <c r="N956">
        <f t="shared" si="53"/>
        <v>2026</v>
      </c>
      <c r="O956" s="2"/>
      <c r="P956" t="str">
        <f t="shared" si="40"/>
        <v>110146060</v>
      </c>
    </row>
    <row r="957" spans="1:16" x14ac:dyDescent="0.3">
      <c r="A957">
        <v>1105</v>
      </c>
      <c r="B957">
        <v>27</v>
      </c>
      <c r="C957" t="s">
        <v>26</v>
      </c>
      <c r="D957" t="s">
        <v>16</v>
      </c>
      <c r="E957" t="s">
        <v>17</v>
      </c>
      <c r="F957" t="s">
        <v>21</v>
      </c>
      <c r="G957" t="s">
        <v>43</v>
      </c>
      <c r="H957" t="s">
        <v>20</v>
      </c>
      <c r="I957" s="1">
        <v>2</v>
      </c>
      <c r="J957" s="2">
        <v>45782</v>
      </c>
      <c r="K957" s="2">
        <f t="shared" si="41"/>
        <v>45778</v>
      </c>
      <c r="L957" s="1" t="str">
        <f t="shared" si="51"/>
        <v>seg</v>
      </c>
      <c r="M957" s="1" t="str">
        <f t="shared" si="52"/>
        <v>mai</v>
      </c>
      <c r="N957">
        <f t="shared" si="53"/>
        <v>2025</v>
      </c>
      <c r="O957" s="2">
        <f>_xlfn.XLOOKUP(A957,Colaboradores!$A:$A,Colaboradores!$S:$S,"",0)</f>
        <v>45885</v>
      </c>
      <c r="P957" t="str">
        <f t="shared" si="40"/>
        <v>110545782</v>
      </c>
    </row>
    <row r="958" spans="1:16" x14ac:dyDescent="0.3">
      <c r="A958">
        <v>1105</v>
      </c>
      <c r="B958">
        <v>27</v>
      </c>
      <c r="C958" t="s">
        <v>26</v>
      </c>
      <c r="D958" t="s">
        <v>16</v>
      </c>
      <c r="E958" t="s">
        <v>17</v>
      </c>
      <c r="F958" t="s">
        <v>21</v>
      </c>
      <c r="G958" t="s">
        <v>43</v>
      </c>
      <c r="H958" t="s">
        <v>20</v>
      </c>
      <c r="I958" s="1">
        <v>2</v>
      </c>
      <c r="J958" s="2">
        <v>45789</v>
      </c>
      <c r="K958" s="2">
        <f t="shared" si="41"/>
        <v>45778</v>
      </c>
      <c r="L958" s="1" t="str">
        <f t="shared" si="51"/>
        <v>seg</v>
      </c>
      <c r="M958" s="1" t="str">
        <f t="shared" si="52"/>
        <v>mai</v>
      </c>
      <c r="N958">
        <f t="shared" si="53"/>
        <v>2025</v>
      </c>
      <c r="O958" s="2">
        <f>_xlfn.XLOOKUP(A958,Colaboradores!$A:$A,Colaboradores!$S:$S,"",0)</f>
        <v>45885</v>
      </c>
      <c r="P958" t="str">
        <f t="shared" si="40"/>
        <v>110545789</v>
      </c>
    </row>
    <row r="959" spans="1:16" x14ac:dyDescent="0.3">
      <c r="A959">
        <v>1105</v>
      </c>
      <c r="B959">
        <v>27</v>
      </c>
      <c r="C959" t="s">
        <v>26</v>
      </c>
      <c r="D959" t="s">
        <v>16</v>
      </c>
      <c r="E959" t="s">
        <v>17</v>
      </c>
      <c r="F959" t="s">
        <v>21</v>
      </c>
      <c r="G959" t="s">
        <v>42</v>
      </c>
      <c r="H959" t="s">
        <v>20</v>
      </c>
      <c r="I959" s="1">
        <v>2</v>
      </c>
      <c r="J959" s="2">
        <v>45807</v>
      </c>
      <c r="K959" s="2">
        <f t="shared" si="41"/>
        <v>45778</v>
      </c>
      <c r="L959" s="1" t="str">
        <f t="shared" si="51"/>
        <v>sex</v>
      </c>
      <c r="M959" s="1" t="str">
        <f t="shared" si="52"/>
        <v>mai</v>
      </c>
      <c r="N959">
        <f t="shared" si="53"/>
        <v>2025</v>
      </c>
      <c r="O959" s="2">
        <f>_xlfn.XLOOKUP(A959,Colaboradores!$A:$A,Colaboradores!$S:$S,"",0)</f>
        <v>45885</v>
      </c>
      <c r="P959" t="str">
        <f t="shared" si="40"/>
        <v>110545807</v>
      </c>
    </row>
    <row r="960" spans="1:16" x14ac:dyDescent="0.3">
      <c r="A960">
        <v>1105</v>
      </c>
      <c r="B960">
        <v>27</v>
      </c>
      <c r="C960" t="s">
        <v>26</v>
      </c>
      <c r="D960" t="s">
        <v>16</v>
      </c>
      <c r="E960" t="s">
        <v>17</v>
      </c>
      <c r="F960" t="s">
        <v>21</v>
      </c>
      <c r="G960" t="s">
        <v>42</v>
      </c>
      <c r="H960" t="s">
        <v>20</v>
      </c>
      <c r="I960" s="1">
        <v>2</v>
      </c>
      <c r="J960" s="2">
        <v>45820</v>
      </c>
      <c r="K960" s="2">
        <f t="shared" si="41"/>
        <v>45809</v>
      </c>
      <c r="L960" s="1" t="str">
        <f t="shared" si="51"/>
        <v>qui</v>
      </c>
      <c r="M960" s="1" t="str">
        <f t="shared" si="52"/>
        <v>jun</v>
      </c>
      <c r="N960">
        <f t="shared" si="53"/>
        <v>2025</v>
      </c>
      <c r="O960" s="2">
        <f>_xlfn.XLOOKUP(A960,Colaboradores!$A:$A,Colaboradores!$S:$S,"",0)</f>
        <v>45885</v>
      </c>
      <c r="P960" t="str">
        <f t="shared" si="40"/>
        <v>110545820</v>
      </c>
    </row>
    <row r="961" spans="1:16" x14ac:dyDescent="0.3">
      <c r="A961">
        <v>1105</v>
      </c>
      <c r="B961">
        <v>27</v>
      </c>
      <c r="C961" t="s">
        <v>26</v>
      </c>
      <c r="D961" t="s">
        <v>16</v>
      </c>
      <c r="E961" t="s">
        <v>17</v>
      </c>
      <c r="F961" t="s">
        <v>21</v>
      </c>
      <c r="G961" t="s">
        <v>42</v>
      </c>
      <c r="H961" t="s">
        <v>20</v>
      </c>
      <c r="I961" s="1">
        <v>2</v>
      </c>
      <c r="J961" s="2">
        <v>45864</v>
      </c>
      <c r="K961" s="2">
        <f t="shared" si="41"/>
        <v>45839</v>
      </c>
      <c r="L961" s="1" t="str">
        <f t="shared" si="51"/>
        <v>sáb</v>
      </c>
      <c r="M961" s="1" t="str">
        <f t="shared" si="52"/>
        <v>jul</v>
      </c>
      <c r="N961">
        <f t="shared" si="53"/>
        <v>2025</v>
      </c>
      <c r="O961" s="2">
        <f>_xlfn.XLOOKUP(A961,Colaboradores!$A:$A,Colaboradores!$S:$S,"",0)</f>
        <v>45885</v>
      </c>
      <c r="P961" t="str">
        <f t="shared" ref="P961:P1024" si="54">CONCATENATE(A961,J961)</f>
        <v>110545864</v>
      </c>
    </row>
    <row r="962" spans="1:16" x14ac:dyDescent="0.3">
      <c r="A962">
        <v>1105</v>
      </c>
      <c r="B962">
        <v>27</v>
      </c>
      <c r="C962" t="s">
        <v>26</v>
      </c>
      <c r="D962" t="s">
        <v>16</v>
      </c>
      <c r="E962" t="s">
        <v>17</v>
      </c>
      <c r="F962" t="s">
        <v>21</v>
      </c>
      <c r="G962" t="s">
        <v>41</v>
      </c>
      <c r="H962" t="s">
        <v>20</v>
      </c>
      <c r="I962" s="1">
        <v>2</v>
      </c>
      <c r="J962" s="2">
        <v>45868</v>
      </c>
      <c r="K962" s="2">
        <f t="shared" si="41"/>
        <v>45839</v>
      </c>
      <c r="L962" s="1" t="str">
        <f t="shared" si="51"/>
        <v>qua</v>
      </c>
      <c r="M962" s="1" t="str">
        <f t="shared" si="52"/>
        <v>jul</v>
      </c>
      <c r="N962">
        <f t="shared" si="53"/>
        <v>2025</v>
      </c>
      <c r="O962" s="2">
        <f>_xlfn.XLOOKUP(A962,Colaboradores!$A:$A,Colaboradores!$S:$S,"",0)</f>
        <v>45885</v>
      </c>
      <c r="P962" t="str">
        <f t="shared" si="54"/>
        <v>110545868</v>
      </c>
    </row>
    <row r="963" spans="1:16" x14ac:dyDescent="0.3">
      <c r="A963">
        <v>1106</v>
      </c>
      <c r="B963">
        <v>41</v>
      </c>
      <c r="C963" t="s">
        <v>26</v>
      </c>
      <c r="D963" t="s">
        <v>27</v>
      </c>
      <c r="E963" t="s">
        <v>17</v>
      </c>
      <c r="F963" t="s">
        <v>21</v>
      </c>
      <c r="G963" t="s">
        <v>43</v>
      </c>
      <c r="H963" t="s">
        <v>25</v>
      </c>
      <c r="I963" s="1">
        <v>2</v>
      </c>
      <c r="J963" s="2">
        <v>45766</v>
      </c>
      <c r="K963" s="2">
        <f t="shared" ref="K963:K1026" si="55">DATE(YEAR(J963),MONTH(J963),1)</f>
        <v>45748</v>
      </c>
      <c r="L963" s="1" t="str">
        <f t="shared" si="51"/>
        <v>sáb</v>
      </c>
      <c r="M963" s="1" t="str">
        <f t="shared" si="52"/>
        <v>abr</v>
      </c>
      <c r="N963">
        <f t="shared" si="53"/>
        <v>2025</v>
      </c>
      <c r="O963" s="2"/>
      <c r="P963" t="str">
        <f t="shared" si="54"/>
        <v>110645766</v>
      </c>
    </row>
    <row r="964" spans="1:16" x14ac:dyDescent="0.3">
      <c r="A964">
        <v>1106</v>
      </c>
      <c r="B964">
        <v>41</v>
      </c>
      <c r="C964" t="s">
        <v>26</v>
      </c>
      <c r="D964" t="s">
        <v>27</v>
      </c>
      <c r="E964" t="s">
        <v>17</v>
      </c>
      <c r="F964" t="s">
        <v>21</v>
      </c>
      <c r="G964" t="s">
        <v>43</v>
      </c>
      <c r="H964" t="s">
        <v>25</v>
      </c>
      <c r="I964" s="1">
        <v>2</v>
      </c>
      <c r="J964" s="2">
        <v>45841</v>
      </c>
      <c r="K964" s="2">
        <f t="shared" si="55"/>
        <v>45839</v>
      </c>
      <c r="L964" s="1" t="str">
        <f t="shared" si="51"/>
        <v>qui</v>
      </c>
      <c r="M964" s="1" t="str">
        <f t="shared" si="52"/>
        <v>jul</v>
      </c>
      <c r="N964">
        <f t="shared" si="53"/>
        <v>2025</v>
      </c>
      <c r="O964" s="2"/>
      <c r="P964" t="str">
        <f t="shared" si="54"/>
        <v>110645841</v>
      </c>
    </row>
    <row r="965" spans="1:16" x14ac:dyDescent="0.3">
      <c r="A965">
        <v>1106</v>
      </c>
      <c r="B965">
        <v>41</v>
      </c>
      <c r="C965" t="s">
        <v>26</v>
      </c>
      <c r="D965" t="s">
        <v>27</v>
      </c>
      <c r="E965" t="s">
        <v>17</v>
      </c>
      <c r="F965" t="s">
        <v>21</v>
      </c>
      <c r="G965" t="s">
        <v>43</v>
      </c>
      <c r="H965" t="s">
        <v>25</v>
      </c>
      <c r="I965" s="1">
        <v>2</v>
      </c>
      <c r="J965" s="2">
        <v>45927</v>
      </c>
      <c r="K965" s="2">
        <f t="shared" si="55"/>
        <v>45901</v>
      </c>
      <c r="L965" s="1" t="str">
        <f t="shared" si="51"/>
        <v>sáb</v>
      </c>
      <c r="M965" s="1" t="str">
        <f t="shared" si="52"/>
        <v>set</v>
      </c>
      <c r="N965">
        <f t="shared" si="53"/>
        <v>2025</v>
      </c>
      <c r="O965" s="2"/>
      <c r="P965" t="str">
        <f t="shared" si="54"/>
        <v>110645927</v>
      </c>
    </row>
    <row r="966" spans="1:16" x14ac:dyDescent="0.3">
      <c r="A966">
        <v>1106</v>
      </c>
      <c r="B966">
        <v>41</v>
      </c>
      <c r="C966" t="s">
        <v>26</v>
      </c>
      <c r="D966" t="s">
        <v>27</v>
      </c>
      <c r="E966" t="s">
        <v>17</v>
      </c>
      <c r="F966" t="s">
        <v>21</v>
      </c>
      <c r="G966" t="s">
        <v>43</v>
      </c>
      <c r="H966" t="s">
        <v>25</v>
      </c>
      <c r="I966" s="1">
        <v>2</v>
      </c>
      <c r="J966" s="2">
        <v>46011</v>
      </c>
      <c r="K966" s="2">
        <f t="shared" si="55"/>
        <v>45992</v>
      </c>
      <c r="L966" s="1" t="str">
        <f t="shared" si="51"/>
        <v>sáb</v>
      </c>
      <c r="M966" s="1" t="str">
        <f t="shared" si="52"/>
        <v>dez</v>
      </c>
      <c r="N966">
        <f t="shared" si="53"/>
        <v>2025</v>
      </c>
      <c r="O966" s="2"/>
      <c r="P966" t="str">
        <f t="shared" si="54"/>
        <v>110646011</v>
      </c>
    </row>
    <row r="967" spans="1:16" x14ac:dyDescent="0.3">
      <c r="A967">
        <v>1106</v>
      </c>
      <c r="B967">
        <v>41</v>
      </c>
      <c r="C967" t="s">
        <v>26</v>
      </c>
      <c r="D967" t="s">
        <v>27</v>
      </c>
      <c r="E967" t="s">
        <v>17</v>
      </c>
      <c r="F967" t="s">
        <v>21</v>
      </c>
      <c r="G967" t="s">
        <v>43</v>
      </c>
      <c r="H967" t="s">
        <v>25</v>
      </c>
      <c r="I967" s="1">
        <v>2</v>
      </c>
      <c r="J967" s="2">
        <v>46012</v>
      </c>
      <c r="K967" s="2">
        <f t="shared" si="55"/>
        <v>45992</v>
      </c>
      <c r="L967" s="1" t="str">
        <f t="shared" si="51"/>
        <v>dom</v>
      </c>
      <c r="M967" s="1" t="str">
        <f t="shared" si="52"/>
        <v>dez</v>
      </c>
      <c r="N967">
        <f t="shared" si="53"/>
        <v>2025</v>
      </c>
      <c r="O967" s="2"/>
      <c r="P967" t="str">
        <f t="shared" si="54"/>
        <v>110646012</v>
      </c>
    </row>
    <row r="968" spans="1:16" x14ac:dyDescent="0.3">
      <c r="A968">
        <v>1106</v>
      </c>
      <c r="B968">
        <v>41</v>
      </c>
      <c r="C968" t="s">
        <v>26</v>
      </c>
      <c r="D968" t="s">
        <v>27</v>
      </c>
      <c r="E968" t="s">
        <v>17</v>
      </c>
      <c r="F968" t="s">
        <v>21</v>
      </c>
      <c r="G968" t="s">
        <v>43</v>
      </c>
      <c r="H968" t="s">
        <v>25</v>
      </c>
      <c r="I968" s="1">
        <v>2</v>
      </c>
      <c r="J968" s="2">
        <v>46069</v>
      </c>
      <c r="K968" s="2">
        <f t="shared" si="55"/>
        <v>46054</v>
      </c>
      <c r="L968" s="1" t="str">
        <f t="shared" si="51"/>
        <v>seg</v>
      </c>
      <c r="M968" s="1" t="str">
        <f t="shared" si="52"/>
        <v>fev</v>
      </c>
      <c r="N968">
        <f t="shared" si="53"/>
        <v>2026</v>
      </c>
      <c r="O968" s="2"/>
      <c r="P968" t="str">
        <f t="shared" si="54"/>
        <v>110646069</v>
      </c>
    </row>
    <row r="969" spans="1:16" x14ac:dyDescent="0.3">
      <c r="A969">
        <v>1106</v>
      </c>
      <c r="B969">
        <v>41</v>
      </c>
      <c r="C969" t="s">
        <v>26</v>
      </c>
      <c r="D969" t="s">
        <v>27</v>
      </c>
      <c r="E969" t="s">
        <v>17</v>
      </c>
      <c r="F969" t="s">
        <v>21</v>
      </c>
      <c r="G969" t="s">
        <v>43</v>
      </c>
      <c r="H969" t="s">
        <v>25</v>
      </c>
      <c r="I969" s="1">
        <v>2</v>
      </c>
      <c r="J969" s="2">
        <v>46131</v>
      </c>
      <c r="K969" s="2">
        <f t="shared" si="55"/>
        <v>46113</v>
      </c>
      <c r="L969" s="1" t="s">
        <v>54</v>
      </c>
      <c r="M969" s="1" t="s">
        <v>48</v>
      </c>
      <c r="N969">
        <v>2025</v>
      </c>
      <c r="O969" s="2"/>
      <c r="P969" t="str">
        <f t="shared" si="54"/>
        <v>110646131</v>
      </c>
    </row>
    <row r="970" spans="1:16" x14ac:dyDescent="0.3">
      <c r="A970">
        <v>1109</v>
      </c>
      <c r="B970">
        <v>25</v>
      </c>
      <c r="C970" t="s">
        <v>15</v>
      </c>
      <c r="D970" t="s">
        <v>29</v>
      </c>
      <c r="E970" t="s">
        <v>17</v>
      </c>
      <c r="F970" t="s">
        <v>18</v>
      </c>
      <c r="G970" t="s">
        <v>42</v>
      </c>
      <c r="H970" t="s">
        <v>20</v>
      </c>
      <c r="I970" s="1">
        <v>1</v>
      </c>
      <c r="J970" s="2">
        <v>45764</v>
      </c>
      <c r="K970" s="2">
        <f t="shared" si="55"/>
        <v>45748</v>
      </c>
      <c r="L970" s="1" t="str">
        <f t="shared" ref="L970:L1001" si="56">TEXT(J970,"ddd")</f>
        <v>qui</v>
      </c>
      <c r="M970" s="1" t="str">
        <f t="shared" ref="M970:M1001" si="57">TEXT($J970,"mmm")</f>
        <v>abr</v>
      </c>
      <c r="N970">
        <f t="shared" ref="N970:N1001" si="58">YEAR(J970)</f>
        <v>2025</v>
      </c>
      <c r="O970" s="2">
        <f>_xlfn.XLOOKUP(A970,Colaboradores!$A:$A,Colaboradores!$S:$S,"",0)</f>
        <v>46094</v>
      </c>
      <c r="P970" t="str">
        <f t="shared" si="54"/>
        <v>110945764</v>
      </c>
    </row>
    <row r="971" spans="1:16" x14ac:dyDescent="0.3">
      <c r="A971">
        <v>1109</v>
      </c>
      <c r="B971">
        <v>25</v>
      </c>
      <c r="C971" t="s">
        <v>15</v>
      </c>
      <c r="D971" t="s">
        <v>29</v>
      </c>
      <c r="E971" t="s">
        <v>17</v>
      </c>
      <c r="F971" t="s">
        <v>18</v>
      </c>
      <c r="G971" t="s">
        <v>41</v>
      </c>
      <c r="H971" t="s">
        <v>20</v>
      </c>
      <c r="I971" s="1">
        <v>1</v>
      </c>
      <c r="J971" s="2">
        <v>45802</v>
      </c>
      <c r="K971" s="2">
        <f t="shared" si="55"/>
        <v>45778</v>
      </c>
      <c r="L971" s="1" t="str">
        <f t="shared" si="56"/>
        <v>dom</v>
      </c>
      <c r="M971" s="1" t="str">
        <f t="shared" si="57"/>
        <v>mai</v>
      </c>
      <c r="N971">
        <f t="shared" si="58"/>
        <v>2025</v>
      </c>
      <c r="O971" s="2">
        <f>_xlfn.XLOOKUP(A971,Colaboradores!$A:$A,Colaboradores!$S:$S,"",0)</f>
        <v>46094</v>
      </c>
      <c r="P971" t="str">
        <f t="shared" si="54"/>
        <v>110945802</v>
      </c>
    </row>
    <row r="972" spans="1:16" x14ac:dyDescent="0.3">
      <c r="A972">
        <v>1109</v>
      </c>
      <c r="B972">
        <v>25</v>
      </c>
      <c r="C972" t="s">
        <v>15</v>
      </c>
      <c r="D972" t="s">
        <v>29</v>
      </c>
      <c r="E972" t="s">
        <v>17</v>
      </c>
      <c r="F972" t="s">
        <v>18</v>
      </c>
      <c r="G972" t="s">
        <v>41</v>
      </c>
      <c r="H972" t="s">
        <v>20</v>
      </c>
      <c r="I972" s="1">
        <v>1</v>
      </c>
      <c r="J972" s="2">
        <v>45829</v>
      </c>
      <c r="K972" s="2">
        <f t="shared" si="55"/>
        <v>45809</v>
      </c>
      <c r="L972" s="1" t="str">
        <f t="shared" si="56"/>
        <v>sáb</v>
      </c>
      <c r="M972" s="1" t="str">
        <f t="shared" si="57"/>
        <v>jun</v>
      </c>
      <c r="N972">
        <f t="shared" si="58"/>
        <v>2025</v>
      </c>
      <c r="O972" s="2">
        <f>_xlfn.XLOOKUP(A972,Colaboradores!$A:$A,Colaboradores!$S:$S,"",0)</f>
        <v>46094</v>
      </c>
      <c r="P972" t="str">
        <f t="shared" si="54"/>
        <v>110945829</v>
      </c>
    </row>
    <row r="973" spans="1:16" x14ac:dyDescent="0.3">
      <c r="A973">
        <v>1109</v>
      </c>
      <c r="B973">
        <v>25</v>
      </c>
      <c r="C973" t="s">
        <v>15</v>
      </c>
      <c r="D973" t="s">
        <v>29</v>
      </c>
      <c r="E973" t="s">
        <v>17</v>
      </c>
      <c r="F973" t="s">
        <v>18</v>
      </c>
      <c r="G973" t="s">
        <v>41</v>
      </c>
      <c r="H973" t="s">
        <v>20</v>
      </c>
      <c r="I973" s="1">
        <v>1</v>
      </c>
      <c r="J973" s="2">
        <v>45832</v>
      </c>
      <c r="K973" s="2">
        <f t="shared" si="55"/>
        <v>45809</v>
      </c>
      <c r="L973" s="1" t="str">
        <f t="shared" si="56"/>
        <v>ter</v>
      </c>
      <c r="M973" s="1" t="str">
        <f t="shared" si="57"/>
        <v>jun</v>
      </c>
      <c r="N973">
        <f t="shared" si="58"/>
        <v>2025</v>
      </c>
      <c r="O973" s="2">
        <f>_xlfn.XLOOKUP(A973,Colaboradores!$A:$A,Colaboradores!$S:$S,"",0)</f>
        <v>46094</v>
      </c>
      <c r="P973" t="str">
        <f t="shared" si="54"/>
        <v>110945832</v>
      </c>
    </row>
    <row r="974" spans="1:16" x14ac:dyDescent="0.3">
      <c r="A974">
        <v>1109</v>
      </c>
      <c r="B974">
        <v>25</v>
      </c>
      <c r="C974" t="s">
        <v>15</v>
      </c>
      <c r="D974" t="s">
        <v>29</v>
      </c>
      <c r="E974" t="s">
        <v>17</v>
      </c>
      <c r="F974" t="s">
        <v>18</v>
      </c>
      <c r="G974" t="s">
        <v>44</v>
      </c>
      <c r="H974" t="s">
        <v>20</v>
      </c>
      <c r="I974" s="1">
        <v>1</v>
      </c>
      <c r="J974" s="2">
        <v>45881</v>
      </c>
      <c r="K974" s="2">
        <f t="shared" si="55"/>
        <v>45870</v>
      </c>
      <c r="L974" s="1" t="str">
        <f t="shared" si="56"/>
        <v>ter</v>
      </c>
      <c r="M974" s="1" t="str">
        <f t="shared" si="57"/>
        <v>ago</v>
      </c>
      <c r="N974">
        <f t="shared" si="58"/>
        <v>2025</v>
      </c>
      <c r="O974" s="2">
        <f>_xlfn.XLOOKUP(A974,Colaboradores!$A:$A,Colaboradores!$S:$S,"",0)</f>
        <v>46094</v>
      </c>
      <c r="P974" t="str">
        <f t="shared" si="54"/>
        <v>110945881</v>
      </c>
    </row>
    <row r="975" spans="1:16" x14ac:dyDescent="0.3">
      <c r="A975">
        <v>1109</v>
      </c>
      <c r="B975">
        <v>25</v>
      </c>
      <c r="C975" t="s">
        <v>15</v>
      </c>
      <c r="D975" t="s">
        <v>29</v>
      </c>
      <c r="E975" t="s">
        <v>17</v>
      </c>
      <c r="F975" t="s">
        <v>18</v>
      </c>
      <c r="G975" t="s">
        <v>44</v>
      </c>
      <c r="H975" t="s">
        <v>20</v>
      </c>
      <c r="I975" s="1">
        <v>1</v>
      </c>
      <c r="J975" s="2">
        <v>45914</v>
      </c>
      <c r="K975" s="2">
        <f t="shared" si="55"/>
        <v>45901</v>
      </c>
      <c r="L975" s="1" t="str">
        <f t="shared" si="56"/>
        <v>dom</v>
      </c>
      <c r="M975" s="1" t="str">
        <f t="shared" si="57"/>
        <v>set</v>
      </c>
      <c r="N975">
        <f t="shared" si="58"/>
        <v>2025</v>
      </c>
      <c r="O975" s="2">
        <f>_xlfn.XLOOKUP(A975,Colaboradores!$A:$A,Colaboradores!$S:$S,"",0)</f>
        <v>46094</v>
      </c>
      <c r="P975" t="str">
        <f t="shared" si="54"/>
        <v>110945914</v>
      </c>
    </row>
    <row r="976" spans="1:16" x14ac:dyDescent="0.3">
      <c r="A976">
        <v>1113</v>
      </c>
      <c r="B976">
        <v>40</v>
      </c>
      <c r="C976" t="s">
        <v>26</v>
      </c>
      <c r="D976" t="s">
        <v>27</v>
      </c>
      <c r="E976" t="s">
        <v>17</v>
      </c>
      <c r="F976" t="s">
        <v>21</v>
      </c>
      <c r="G976" t="s">
        <v>41</v>
      </c>
      <c r="H976" t="s">
        <v>25</v>
      </c>
      <c r="I976" s="1">
        <v>2</v>
      </c>
      <c r="J976" s="2">
        <v>45892</v>
      </c>
      <c r="K976" s="2">
        <f t="shared" si="55"/>
        <v>45870</v>
      </c>
      <c r="L976" s="1" t="str">
        <f t="shared" si="56"/>
        <v>sáb</v>
      </c>
      <c r="M976" s="1" t="str">
        <f t="shared" si="57"/>
        <v>ago</v>
      </c>
      <c r="N976">
        <f t="shared" si="58"/>
        <v>2025</v>
      </c>
      <c r="O976" s="2"/>
      <c r="P976" t="str">
        <f t="shared" si="54"/>
        <v>111345892</v>
      </c>
    </row>
    <row r="977" spans="1:16" x14ac:dyDescent="0.3">
      <c r="A977">
        <v>1113</v>
      </c>
      <c r="B977">
        <v>40</v>
      </c>
      <c r="C977" t="s">
        <v>26</v>
      </c>
      <c r="D977" t="s">
        <v>27</v>
      </c>
      <c r="E977" t="s">
        <v>17</v>
      </c>
      <c r="F977" t="s">
        <v>21</v>
      </c>
      <c r="G977" t="s">
        <v>40</v>
      </c>
      <c r="H977" t="s">
        <v>25</v>
      </c>
      <c r="I977" s="1">
        <v>2</v>
      </c>
      <c r="J977" s="2">
        <v>45962</v>
      </c>
      <c r="K977" s="2">
        <f t="shared" si="55"/>
        <v>45962</v>
      </c>
      <c r="L977" s="1" t="str">
        <f t="shared" si="56"/>
        <v>sáb</v>
      </c>
      <c r="M977" s="1" t="str">
        <f t="shared" si="57"/>
        <v>nov</v>
      </c>
      <c r="N977">
        <f t="shared" si="58"/>
        <v>2025</v>
      </c>
      <c r="O977" s="2"/>
      <c r="P977" t="str">
        <f t="shared" si="54"/>
        <v>111345962</v>
      </c>
    </row>
    <row r="978" spans="1:16" x14ac:dyDescent="0.3">
      <c r="A978">
        <v>1113</v>
      </c>
      <c r="B978">
        <v>40</v>
      </c>
      <c r="C978" t="s">
        <v>26</v>
      </c>
      <c r="D978" t="s">
        <v>27</v>
      </c>
      <c r="E978" t="s">
        <v>17</v>
      </c>
      <c r="F978" t="s">
        <v>21</v>
      </c>
      <c r="G978" t="s">
        <v>41</v>
      </c>
      <c r="H978" t="s">
        <v>25</v>
      </c>
      <c r="I978" s="1">
        <v>2</v>
      </c>
      <c r="J978" s="2">
        <v>45987</v>
      </c>
      <c r="K978" s="2">
        <f t="shared" si="55"/>
        <v>45962</v>
      </c>
      <c r="L978" s="1" t="str">
        <f t="shared" si="56"/>
        <v>qua</v>
      </c>
      <c r="M978" s="1" t="str">
        <f t="shared" si="57"/>
        <v>nov</v>
      </c>
      <c r="N978">
        <f t="shared" si="58"/>
        <v>2025</v>
      </c>
      <c r="O978" s="2"/>
      <c r="P978" t="str">
        <f t="shared" si="54"/>
        <v>111345987</v>
      </c>
    </row>
    <row r="979" spans="1:16" x14ac:dyDescent="0.3">
      <c r="A979">
        <v>1113</v>
      </c>
      <c r="B979">
        <v>40</v>
      </c>
      <c r="C979" t="s">
        <v>26</v>
      </c>
      <c r="D979" t="s">
        <v>27</v>
      </c>
      <c r="E979" t="s">
        <v>17</v>
      </c>
      <c r="F979" t="s">
        <v>21</v>
      </c>
      <c r="G979" t="s">
        <v>41</v>
      </c>
      <c r="H979" t="s">
        <v>25</v>
      </c>
      <c r="I979" s="1">
        <v>2</v>
      </c>
      <c r="J979" s="2">
        <v>46014</v>
      </c>
      <c r="K979" s="2">
        <f t="shared" si="55"/>
        <v>45992</v>
      </c>
      <c r="L979" s="1" t="str">
        <f t="shared" si="56"/>
        <v>ter</v>
      </c>
      <c r="M979" s="1" t="str">
        <f t="shared" si="57"/>
        <v>dez</v>
      </c>
      <c r="N979">
        <f t="shared" si="58"/>
        <v>2025</v>
      </c>
      <c r="O979" s="2"/>
      <c r="P979" t="str">
        <f t="shared" si="54"/>
        <v>111346014</v>
      </c>
    </row>
    <row r="980" spans="1:16" x14ac:dyDescent="0.3">
      <c r="A980">
        <v>1113</v>
      </c>
      <c r="B980">
        <v>40</v>
      </c>
      <c r="C980" t="s">
        <v>26</v>
      </c>
      <c r="D980" t="s">
        <v>27</v>
      </c>
      <c r="E980" t="s">
        <v>17</v>
      </c>
      <c r="F980" t="s">
        <v>21</v>
      </c>
      <c r="G980" t="s">
        <v>40</v>
      </c>
      <c r="H980" t="s">
        <v>25</v>
      </c>
      <c r="I980" s="1">
        <v>2</v>
      </c>
      <c r="J980" s="2">
        <v>46107</v>
      </c>
      <c r="K980" s="2">
        <f t="shared" si="55"/>
        <v>46082</v>
      </c>
      <c r="L980" s="1" t="str">
        <f t="shared" si="56"/>
        <v>qui</v>
      </c>
      <c r="M980" s="1" t="str">
        <f t="shared" si="57"/>
        <v>mar</v>
      </c>
      <c r="N980">
        <f t="shared" si="58"/>
        <v>2026</v>
      </c>
      <c r="O980" s="2"/>
      <c r="P980" t="str">
        <f t="shared" si="54"/>
        <v>111346107</v>
      </c>
    </row>
    <row r="981" spans="1:16" x14ac:dyDescent="0.3">
      <c r="A981">
        <v>1113</v>
      </c>
      <c r="B981">
        <v>40</v>
      </c>
      <c r="C981" t="s">
        <v>26</v>
      </c>
      <c r="D981" t="s">
        <v>27</v>
      </c>
      <c r="E981" t="s">
        <v>17</v>
      </c>
      <c r="F981" t="s">
        <v>21</v>
      </c>
      <c r="G981" t="s">
        <v>40</v>
      </c>
      <c r="H981" t="s">
        <v>25</v>
      </c>
      <c r="I981" s="1">
        <v>2</v>
      </c>
      <c r="J981" s="2">
        <v>46170</v>
      </c>
      <c r="K981" s="2">
        <f t="shared" si="55"/>
        <v>46143</v>
      </c>
      <c r="L981" s="1" t="str">
        <f t="shared" si="56"/>
        <v>qui</v>
      </c>
      <c r="M981" s="1" t="str">
        <f t="shared" si="57"/>
        <v>mai</v>
      </c>
      <c r="N981">
        <f t="shared" si="58"/>
        <v>2026</v>
      </c>
      <c r="O981" s="2"/>
      <c r="P981" t="str">
        <f t="shared" si="54"/>
        <v>111346170</v>
      </c>
    </row>
    <row r="982" spans="1:16" x14ac:dyDescent="0.3">
      <c r="A982">
        <v>1114</v>
      </c>
      <c r="B982">
        <v>22</v>
      </c>
      <c r="C982" t="s">
        <v>15</v>
      </c>
      <c r="D982" t="s">
        <v>31</v>
      </c>
      <c r="E982" t="s">
        <v>34</v>
      </c>
      <c r="F982" t="s">
        <v>18</v>
      </c>
      <c r="G982" t="s">
        <v>41</v>
      </c>
      <c r="H982" t="s">
        <v>20</v>
      </c>
      <c r="I982" s="1">
        <v>2</v>
      </c>
      <c r="J982" s="2">
        <v>45673</v>
      </c>
      <c r="K982" s="2">
        <f t="shared" si="55"/>
        <v>45658</v>
      </c>
      <c r="L982" s="1" t="str">
        <f t="shared" si="56"/>
        <v>qui</v>
      </c>
      <c r="M982" s="1" t="str">
        <f t="shared" si="57"/>
        <v>jan</v>
      </c>
      <c r="N982">
        <f t="shared" si="58"/>
        <v>2025</v>
      </c>
      <c r="O982" s="2">
        <f>_xlfn.XLOOKUP(A982,Colaboradores!$A:$A,Colaboradores!$S:$S,"",0)</f>
        <v>45776</v>
      </c>
      <c r="P982" t="str">
        <f t="shared" si="54"/>
        <v>111445673</v>
      </c>
    </row>
    <row r="983" spans="1:16" x14ac:dyDescent="0.3">
      <c r="A983">
        <v>1114</v>
      </c>
      <c r="B983">
        <v>22</v>
      </c>
      <c r="C983" t="s">
        <v>15</v>
      </c>
      <c r="D983" t="s">
        <v>31</v>
      </c>
      <c r="E983" t="s">
        <v>34</v>
      </c>
      <c r="F983" t="s">
        <v>18</v>
      </c>
      <c r="G983" t="s">
        <v>41</v>
      </c>
      <c r="H983" t="s">
        <v>20</v>
      </c>
      <c r="I983" s="1">
        <v>2</v>
      </c>
      <c r="J983" s="2">
        <v>45700</v>
      </c>
      <c r="K983" s="2">
        <f t="shared" si="55"/>
        <v>45689</v>
      </c>
      <c r="L983" s="1" t="str">
        <f t="shared" si="56"/>
        <v>qua</v>
      </c>
      <c r="M983" s="1" t="str">
        <f t="shared" si="57"/>
        <v>fev</v>
      </c>
      <c r="N983">
        <f t="shared" si="58"/>
        <v>2025</v>
      </c>
      <c r="O983" s="2">
        <f>_xlfn.XLOOKUP(A983,Colaboradores!$A:$A,Colaboradores!$S:$S,"",0)</f>
        <v>45776</v>
      </c>
      <c r="P983" t="str">
        <f t="shared" si="54"/>
        <v>111445700</v>
      </c>
    </row>
    <row r="984" spans="1:16" x14ac:dyDescent="0.3">
      <c r="A984">
        <v>1114</v>
      </c>
      <c r="B984">
        <v>22</v>
      </c>
      <c r="C984" t="s">
        <v>15</v>
      </c>
      <c r="D984" t="s">
        <v>31</v>
      </c>
      <c r="E984" t="s">
        <v>34</v>
      </c>
      <c r="F984" t="s">
        <v>18</v>
      </c>
      <c r="G984" t="s">
        <v>41</v>
      </c>
      <c r="H984" t="s">
        <v>20</v>
      </c>
      <c r="I984" s="1">
        <v>2</v>
      </c>
      <c r="J984" s="2">
        <v>45734</v>
      </c>
      <c r="K984" s="2">
        <f t="shared" si="55"/>
        <v>45717</v>
      </c>
      <c r="L984" s="1" t="str">
        <f t="shared" si="56"/>
        <v>ter</v>
      </c>
      <c r="M984" s="1" t="str">
        <f t="shared" si="57"/>
        <v>mar</v>
      </c>
      <c r="N984">
        <f t="shared" si="58"/>
        <v>2025</v>
      </c>
      <c r="O984" s="2">
        <f>_xlfn.XLOOKUP(A984,Colaboradores!$A:$A,Colaboradores!$S:$S,"",0)</f>
        <v>45776</v>
      </c>
      <c r="P984" t="str">
        <f t="shared" si="54"/>
        <v>111445734</v>
      </c>
    </row>
    <row r="985" spans="1:16" x14ac:dyDescent="0.3">
      <c r="A985">
        <v>1114</v>
      </c>
      <c r="B985">
        <v>22</v>
      </c>
      <c r="C985" t="s">
        <v>15</v>
      </c>
      <c r="D985" t="s">
        <v>31</v>
      </c>
      <c r="E985" t="s">
        <v>34</v>
      </c>
      <c r="F985" t="s">
        <v>18</v>
      </c>
      <c r="G985" t="s">
        <v>42</v>
      </c>
      <c r="H985" t="s">
        <v>20</v>
      </c>
      <c r="I985" s="1">
        <v>2</v>
      </c>
      <c r="J985" s="2">
        <v>45765</v>
      </c>
      <c r="K985" s="2">
        <f t="shared" si="55"/>
        <v>45748</v>
      </c>
      <c r="L985" s="1" t="str">
        <f t="shared" si="56"/>
        <v>sex</v>
      </c>
      <c r="M985" s="1" t="str">
        <f t="shared" si="57"/>
        <v>abr</v>
      </c>
      <c r="N985">
        <f t="shared" si="58"/>
        <v>2025</v>
      </c>
      <c r="O985" s="2">
        <f>_xlfn.XLOOKUP(A985,Colaboradores!$A:$A,Colaboradores!$S:$S,"",0)</f>
        <v>45776</v>
      </c>
      <c r="P985" t="str">
        <f t="shared" si="54"/>
        <v>111445765</v>
      </c>
    </row>
    <row r="986" spans="1:16" x14ac:dyDescent="0.3">
      <c r="A986">
        <v>1114</v>
      </c>
      <c r="B986">
        <v>22</v>
      </c>
      <c r="C986" t="s">
        <v>15</v>
      </c>
      <c r="D986" t="s">
        <v>31</v>
      </c>
      <c r="E986" t="s">
        <v>34</v>
      </c>
      <c r="F986" t="s">
        <v>18</v>
      </c>
      <c r="G986" t="s">
        <v>57</v>
      </c>
      <c r="H986" t="s">
        <v>20</v>
      </c>
      <c r="I986" s="1">
        <v>2</v>
      </c>
      <c r="J986" s="2">
        <v>45766</v>
      </c>
      <c r="K986" s="2">
        <f t="shared" si="55"/>
        <v>45748</v>
      </c>
      <c r="L986" s="1" t="str">
        <f t="shared" si="56"/>
        <v>sáb</v>
      </c>
      <c r="M986" s="1" t="str">
        <f t="shared" si="57"/>
        <v>abr</v>
      </c>
      <c r="N986">
        <f t="shared" si="58"/>
        <v>2025</v>
      </c>
      <c r="O986" s="2">
        <f>_xlfn.XLOOKUP(A986,Colaboradores!$A:$A,Colaboradores!$S:$S,"",0)</f>
        <v>45776</v>
      </c>
      <c r="P986" t="str">
        <f t="shared" si="54"/>
        <v>111445766</v>
      </c>
    </row>
    <row r="987" spans="1:16" x14ac:dyDescent="0.3">
      <c r="A987">
        <v>1114</v>
      </c>
      <c r="B987">
        <v>22</v>
      </c>
      <c r="C987" t="s">
        <v>15</v>
      </c>
      <c r="D987" t="s">
        <v>31</v>
      </c>
      <c r="E987" t="s">
        <v>34</v>
      </c>
      <c r="F987" t="s">
        <v>18</v>
      </c>
      <c r="G987" t="s">
        <v>41</v>
      </c>
      <c r="H987" t="s">
        <v>20</v>
      </c>
      <c r="I987" s="1">
        <v>2</v>
      </c>
      <c r="J987" s="2">
        <v>45770</v>
      </c>
      <c r="K987" s="2">
        <f t="shared" si="55"/>
        <v>45748</v>
      </c>
      <c r="L987" s="1" t="str">
        <f t="shared" si="56"/>
        <v>qua</v>
      </c>
      <c r="M987" s="1" t="str">
        <f t="shared" si="57"/>
        <v>abr</v>
      </c>
      <c r="N987">
        <f t="shared" si="58"/>
        <v>2025</v>
      </c>
      <c r="O987" s="2">
        <f>_xlfn.XLOOKUP(A987,Colaboradores!$A:$A,Colaboradores!$S:$S,"",0)</f>
        <v>45776</v>
      </c>
      <c r="P987" t="str">
        <f t="shared" si="54"/>
        <v>111445770</v>
      </c>
    </row>
    <row r="988" spans="1:16" x14ac:dyDescent="0.3">
      <c r="A988">
        <v>1117</v>
      </c>
      <c r="B988">
        <v>54</v>
      </c>
      <c r="C988" t="s">
        <v>15</v>
      </c>
      <c r="D988" t="s">
        <v>16</v>
      </c>
      <c r="E988" t="s">
        <v>17</v>
      </c>
      <c r="F988" t="s">
        <v>18</v>
      </c>
      <c r="G988" t="s">
        <v>43</v>
      </c>
      <c r="H988" t="s">
        <v>25</v>
      </c>
      <c r="I988" s="1">
        <v>1</v>
      </c>
      <c r="J988" s="2">
        <v>46016</v>
      </c>
      <c r="K988" s="2">
        <f t="shared" si="55"/>
        <v>45992</v>
      </c>
      <c r="L988" s="1" t="str">
        <f t="shared" si="56"/>
        <v>qui</v>
      </c>
      <c r="M988" s="1" t="str">
        <f t="shared" si="57"/>
        <v>dez</v>
      </c>
      <c r="N988">
        <f t="shared" si="58"/>
        <v>2025</v>
      </c>
      <c r="O988" s="2"/>
      <c r="P988" t="str">
        <f t="shared" si="54"/>
        <v>111746016</v>
      </c>
    </row>
    <row r="989" spans="1:16" x14ac:dyDescent="0.3">
      <c r="A989">
        <v>1117</v>
      </c>
      <c r="B989">
        <v>54</v>
      </c>
      <c r="C989" t="s">
        <v>15</v>
      </c>
      <c r="D989" t="s">
        <v>16</v>
      </c>
      <c r="E989" t="s">
        <v>17</v>
      </c>
      <c r="F989" t="s">
        <v>18</v>
      </c>
      <c r="G989" t="s">
        <v>43</v>
      </c>
      <c r="H989" t="s">
        <v>25</v>
      </c>
      <c r="I989" s="1">
        <v>1</v>
      </c>
      <c r="J989" s="2">
        <v>46178</v>
      </c>
      <c r="K989" s="2">
        <f t="shared" si="55"/>
        <v>46174</v>
      </c>
      <c r="L989" s="1" t="str">
        <f t="shared" si="56"/>
        <v>sex</v>
      </c>
      <c r="M989" s="1" t="str">
        <f t="shared" si="57"/>
        <v>jun</v>
      </c>
      <c r="N989">
        <f t="shared" si="58"/>
        <v>2026</v>
      </c>
      <c r="O989" s="2"/>
      <c r="P989" t="str">
        <f t="shared" si="54"/>
        <v>111746178</v>
      </c>
    </row>
    <row r="990" spans="1:16" x14ac:dyDescent="0.3">
      <c r="A990">
        <v>1117</v>
      </c>
      <c r="B990">
        <v>54</v>
      </c>
      <c r="C990" t="s">
        <v>15</v>
      </c>
      <c r="D990" t="s">
        <v>16</v>
      </c>
      <c r="E990" t="s">
        <v>17</v>
      </c>
      <c r="F990" t="s">
        <v>18</v>
      </c>
      <c r="G990" t="s">
        <v>43</v>
      </c>
      <c r="H990" t="s">
        <v>25</v>
      </c>
      <c r="I990" s="1">
        <v>1</v>
      </c>
      <c r="J990" s="2">
        <v>46060</v>
      </c>
      <c r="K990" s="2">
        <f t="shared" si="55"/>
        <v>46054</v>
      </c>
      <c r="L990" s="1" t="str">
        <f t="shared" si="56"/>
        <v>sáb</v>
      </c>
      <c r="M990" s="1" t="str">
        <f t="shared" si="57"/>
        <v>fev</v>
      </c>
      <c r="N990">
        <f t="shared" si="58"/>
        <v>2026</v>
      </c>
      <c r="O990" s="2"/>
      <c r="P990" t="str">
        <f t="shared" si="54"/>
        <v>111746060</v>
      </c>
    </row>
    <row r="991" spans="1:16" x14ac:dyDescent="0.3">
      <c r="A991">
        <v>1117</v>
      </c>
      <c r="B991">
        <v>54</v>
      </c>
      <c r="C991" t="s">
        <v>15</v>
      </c>
      <c r="D991" t="s">
        <v>16</v>
      </c>
      <c r="E991" t="s">
        <v>17</v>
      </c>
      <c r="F991" t="s">
        <v>18</v>
      </c>
      <c r="G991" t="s">
        <v>43</v>
      </c>
      <c r="H991" t="s">
        <v>25</v>
      </c>
      <c r="I991" s="1">
        <v>1</v>
      </c>
      <c r="J991" s="2">
        <v>46107</v>
      </c>
      <c r="K991" s="2">
        <f t="shared" si="55"/>
        <v>46082</v>
      </c>
      <c r="L991" s="1" t="str">
        <f t="shared" si="56"/>
        <v>qui</v>
      </c>
      <c r="M991" s="1" t="str">
        <f t="shared" si="57"/>
        <v>mar</v>
      </c>
      <c r="N991">
        <f t="shared" si="58"/>
        <v>2026</v>
      </c>
      <c r="O991" s="2"/>
      <c r="P991" t="str">
        <f t="shared" si="54"/>
        <v>111746107</v>
      </c>
    </row>
    <row r="992" spans="1:16" x14ac:dyDescent="0.3">
      <c r="A992">
        <v>1117</v>
      </c>
      <c r="B992">
        <v>54</v>
      </c>
      <c r="C992" t="s">
        <v>15</v>
      </c>
      <c r="D992" t="s">
        <v>16</v>
      </c>
      <c r="E992" t="s">
        <v>17</v>
      </c>
      <c r="F992" t="s">
        <v>18</v>
      </c>
      <c r="G992" t="s">
        <v>43</v>
      </c>
      <c r="H992" t="s">
        <v>25</v>
      </c>
      <c r="I992" s="1">
        <v>1</v>
      </c>
      <c r="J992" s="2">
        <v>46164</v>
      </c>
      <c r="K992" s="2">
        <f t="shared" si="55"/>
        <v>46143</v>
      </c>
      <c r="L992" s="1" t="str">
        <f t="shared" si="56"/>
        <v>sex</v>
      </c>
      <c r="M992" s="1" t="str">
        <f t="shared" si="57"/>
        <v>mai</v>
      </c>
      <c r="N992">
        <f t="shared" si="58"/>
        <v>2026</v>
      </c>
      <c r="O992" s="2"/>
      <c r="P992" t="str">
        <f t="shared" si="54"/>
        <v>111746164</v>
      </c>
    </row>
    <row r="993" spans="1:16" x14ac:dyDescent="0.3">
      <c r="A993">
        <v>1127</v>
      </c>
      <c r="B993">
        <v>50</v>
      </c>
      <c r="C993" t="s">
        <v>15</v>
      </c>
      <c r="D993" t="s">
        <v>22</v>
      </c>
      <c r="E993" t="s">
        <v>17</v>
      </c>
      <c r="F993" t="s">
        <v>23</v>
      </c>
      <c r="G993" t="s">
        <v>41</v>
      </c>
      <c r="H993" t="s">
        <v>25</v>
      </c>
      <c r="I993" s="1">
        <v>2</v>
      </c>
      <c r="J993" s="2">
        <v>46191</v>
      </c>
      <c r="K993" s="2">
        <f t="shared" si="55"/>
        <v>46174</v>
      </c>
      <c r="L993" s="1" t="str">
        <f t="shared" si="56"/>
        <v>qui</v>
      </c>
      <c r="M993" s="1" t="str">
        <f t="shared" si="57"/>
        <v>jun</v>
      </c>
      <c r="N993">
        <f t="shared" si="58"/>
        <v>2026</v>
      </c>
      <c r="O993" s="2"/>
      <c r="P993" t="str">
        <f t="shared" si="54"/>
        <v>112746191</v>
      </c>
    </row>
    <row r="994" spans="1:16" x14ac:dyDescent="0.3">
      <c r="A994">
        <v>1127</v>
      </c>
      <c r="B994">
        <v>50</v>
      </c>
      <c r="C994" t="s">
        <v>15</v>
      </c>
      <c r="D994" t="s">
        <v>22</v>
      </c>
      <c r="E994" t="s">
        <v>17</v>
      </c>
      <c r="F994" t="s">
        <v>23</v>
      </c>
      <c r="G994" t="s">
        <v>41</v>
      </c>
      <c r="H994" t="s">
        <v>25</v>
      </c>
      <c r="I994" s="1">
        <v>2</v>
      </c>
      <c r="J994" s="2">
        <v>45929</v>
      </c>
      <c r="K994" s="2">
        <f t="shared" si="55"/>
        <v>45901</v>
      </c>
      <c r="L994" s="1" t="str">
        <f t="shared" si="56"/>
        <v>seg</v>
      </c>
      <c r="M994" s="1" t="str">
        <f t="shared" si="57"/>
        <v>set</v>
      </c>
      <c r="N994">
        <f t="shared" si="58"/>
        <v>2025</v>
      </c>
      <c r="O994" s="2"/>
      <c r="P994" t="str">
        <f t="shared" si="54"/>
        <v>112745929</v>
      </c>
    </row>
    <row r="995" spans="1:16" x14ac:dyDescent="0.3">
      <c r="A995">
        <v>1127</v>
      </c>
      <c r="B995">
        <v>50</v>
      </c>
      <c r="C995" t="s">
        <v>15</v>
      </c>
      <c r="D995" t="s">
        <v>22</v>
      </c>
      <c r="E995" t="s">
        <v>17</v>
      </c>
      <c r="F995" t="s">
        <v>23</v>
      </c>
      <c r="G995" t="s">
        <v>41</v>
      </c>
      <c r="H995" t="s">
        <v>25</v>
      </c>
      <c r="I995" s="1">
        <v>2</v>
      </c>
      <c r="J995" s="2">
        <v>46195</v>
      </c>
      <c r="K995" s="2">
        <f t="shared" si="55"/>
        <v>46174</v>
      </c>
      <c r="L995" s="1" t="str">
        <f t="shared" si="56"/>
        <v>seg</v>
      </c>
      <c r="M995" s="1" t="str">
        <f t="shared" si="57"/>
        <v>jun</v>
      </c>
      <c r="N995">
        <f t="shared" si="58"/>
        <v>2026</v>
      </c>
      <c r="O995" s="2"/>
      <c r="P995" t="str">
        <f t="shared" si="54"/>
        <v>112746195</v>
      </c>
    </row>
    <row r="996" spans="1:16" x14ac:dyDescent="0.3">
      <c r="A996">
        <v>1134</v>
      </c>
      <c r="B996">
        <v>39</v>
      </c>
      <c r="C996" t="s">
        <v>15</v>
      </c>
      <c r="D996" t="s">
        <v>22</v>
      </c>
      <c r="E996" t="s">
        <v>17</v>
      </c>
      <c r="F996" t="s">
        <v>21</v>
      </c>
      <c r="G996" t="s">
        <v>41</v>
      </c>
      <c r="H996" t="s">
        <v>20</v>
      </c>
      <c r="I996" s="1">
        <v>1</v>
      </c>
      <c r="J996" s="2">
        <v>45673</v>
      </c>
      <c r="K996" s="2">
        <f t="shared" si="55"/>
        <v>45658</v>
      </c>
      <c r="L996" s="1" t="str">
        <f t="shared" si="56"/>
        <v>qui</v>
      </c>
      <c r="M996" s="1" t="str">
        <f t="shared" si="57"/>
        <v>jan</v>
      </c>
      <c r="N996">
        <f t="shared" si="58"/>
        <v>2025</v>
      </c>
      <c r="O996" s="2">
        <f>_xlfn.XLOOKUP(A996,Colaboradores!$A:$A,Colaboradores!$S:$S,"",0)</f>
        <v>45869</v>
      </c>
      <c r="P996" t="str">
        <f t="shared" si="54"/>
        <v>113445673</v>
      </c>
    </row>
    <row r="997" spans="1:16" x14ac:dyDescent="0.3">
      <c r="A997">
        <v>1134</v>
      </c>
      <c r="B997">
        <v>39</v>
      </c>
      <c r="C997" t="s">
        <v>15</v>
      </c>
      <c r="D997" t="s">
        <v>22</v>
      </c>
      <c r="E997" t="s">
        <v>17</v>
      </c>
      <c r="F997" t="s">
        <v>21</v>
      </c>
      <c r="G997" t="s">
        <v>57</v>
      </c>
      <c r="H997" t="s">
        <v>20</v>
      </c>
      <c r="I997" s="1">
        <v>1</v>
      </c>
      <c r="J997" s="2">
        <v>45734</v>
      </c>
      <c r="K997" s="2">
        <f t="shared" si="55"/>
        <v>45717</v>
      </c>
      <c r="L997" s="1" t="str">
        <f t="shared" si="56"/>
        <v>ter</v>
      </c>
      <c r="M997" s="1" t="str">
        <f t="shared" si="57"/>
        <v>mar</v>
      </c>
      <c r="N997">
        <f t="shared" si="58"/>
        <v>2025</v>
      </c>
      <c r="O997" s="2">
        <f>_xlfn.XLOOKUP(A997,Colaboradores!$A:$A,Colaboradores!$S:$S,"",0)</f>
        <v>45869</v>
      </c>
      <c r="P997" t="str">
        <f t="shared" si="54"/>
        <v>113445734</v>
      </c>
    </row>
    <row r="998" spans="1:16" x14ac:dyDescent="0.3">
      <c r="A998">
        <v>1134</v>
      </c>
      <c r="B998">
        <v>39</v>
      </c>
      <c r="C998" t="s">
        <v>15</v>
      </c>
      <c r="D998" t="s">
        <v>22</v>
      </c>
      <c r="E998" t="s">
        <v>17</v>
      </c>
      <c r="F998" t="s">
        <v>21</v>
      </c>
      <c r="G998" t="s">
        <v>41</v>
      </c>
      <c r="H998" t="s">
        <v>20</v>
      </c>
      <c r="I998" s="1">
        <v>1</v>
      </c>
      <c r="J998" s="2">
        <v>45792</v>
      </c>
      <c r="K998" s="2">
        <f t="shared" si="55"/>
        <v>45778</v>
      </c>
      <c r="L998" s="1" t="str">
        <f t="shared" si="56"/>
        <v>qui</v>
      </c>
      <c r="M998" s="1" t="str">
        <f t="shared" si="57"/>
        <v>mai</v>
      </c>
      <c r="N998">
        <f t="shared" si="58"/>
        <v>2025</v>
      </c>
      <c r="O998" s="2">
        <f>_xlfn.XLOOKUP(A998,Colaboradores!$A:$A,Colaboradores!$S:$S,"",0)</f>
        <v>45869</v>
      </c>
      <c r="P998" t="str">
        <f t="shared" si="54"/>
        <v>113445792</v>
      </c>
    </row>
    <row r="999" spans="1:16" x14ac:dyDescent="0.3">
      <c r="A999">
        <v>1136</v>
      </c>
      <c r="B999">
        <v>21</v>
      </c>
      <c r="C999" t="s">
        <v>26</v>
      </c>
      <c r="D999" t="s">
        <v>16</v>
      </c>
      <c r="E999" t="s">
        <v>17</v>
      </c>
      <c r="F999" t="s">
        <v>18</v>
      </c>
      <c r="G999" t="s">
        <v>40</v>
      </c>
      <c r="H999" t="s">
        <v>25</v>
      </c>
      <c r="I999" s="1">
        <v>3</v>
      </c>
      <c r="J999" s="2">
        <v>45907</v>
      </c>
      <c r="K999" s="2">
        <f t="shared" si="55"/>
        <v>45901</v>
      </c>
      <c r="L999" s="1" t="str">
        <f t="shared" si="56"/>
        <v>dom</v>
      </c>
      <c r="M999" s="1" t="str">
        <f t="shared" si="57"/>
        <v>set</v>
      </c>
      <c r="N999">
        <f t="shared" si="58"/>
        <v>2025</v>
      </c>
      <c r="O999" s="2"/>
      <c r="P999" t="str">
        <f t="shared" si="54"/>
        <v>113645907</v>
      </c>
    </row>
    <row r="1000" spans="1:16" x14ac:dyDescent="0.3">
      <c r="A1000">
        <v>1136</v>
      </c>
      <c r="B1000">
        <v>21</v>
      </c>
      <c r="C1000" t="s">
        <v>26</v>
      </c>
      <c r="D1000" t="s">
        <v>16</v>
      </c>
      <c r="E1000" t="s">
        <v>17</v>
      </c>
      <c r="F1000" t="s">
        <v>18</v>
      </c>
      <c r="G1000" t="s">
        <v>41</v>
      </c>
      <c r="H1000" t="s">
        <v>25</v>
      </c>
      <c r="I1000" s="1">
        <v>3</v>
      </c>
      <c r="J1000" s="2">
        <v>45922</v>
      </c>
      <c r="K1000" s="2">
        <f t="shared" si="55"/>
        <v>45901</v>
      </c>
      <c r="L1000" s="1" t="str">
        <f t="shared" si="56"/>
        <v>seg</v>
      </c>
      <c r="M1000" s="1" t="str">
        <f t="shared" si="57"/>
        <v>set</v>
      </c>
      <c r="N1000">
        <f t="shared" si="58"/>
        <v>2025</v>
      </c>
      <c r="O1000" s="2"/>
      <c r="P1000" t="str">
        <f t="shared" si="54"/>
        <v>113645922</v>
      </c>
    </row>
    <row r="1001" spans="1:16" x14ac:dyDescent="0.3">
      <c r="A1001">
        <v>1136</v>
      </c>
      <c r="B1001">
        <v>21</v>
      </c>
      <c r="C1001" t="s">
        <v>26</v>
      </c>
      <c r="D1001" t="s">
        <v>16</v>
      </c>
      <c r="E1001" t="s">
        <v>17</v>
      </c>
      <c r="F1001" t="s">
        <v>18</v>
      </c>
      <c r="G1001" t="s">
        <v>41</v>
      </c>
      <c r="H1001" t="s">
        <v>25</v>
      </c>
      <c r="I1001" s="1">
        <v>3</v>
      </c>
      <c r="J1001" s="2">
        <v>45956</v>
      </c>
      <c r="K1001" s="2">
        <f t="shared" si="55"/>
        <v>45931</v>
      </c>
      <c r="L1001" s="1" t="str">
        <f t="shared" si="56"/>
        <v>dom</v>
      </c>
      <c r="M1001" s="1" t="str">
        <f t="shared" si="57"/>
        <v>out</v>
      </c>
      <c r="N1001">
        <f t="shared" si="58"/>
        <v>2025</v>
      </c>
      <c r="O1001" s="2"/>
      <c r="P1001" t="str">
        <f t="shared" si="54"/>
        <v>113645956</v>
      </c>
    </row>
    <row r="1002" spans="1:16" x14ac:dyDescent="0.3">
      <c r="A1002">
        <v>1136</v>
      </c>
      <c r="B1002">
        <v>21</v>
      </c>
      <c r="C1002" t="s">
        <v>26</v>
      </c>
      <c r="D1002" t="s">
        <v>16</v>
      </c>
      <c r="E1002" t="s">
        <v>17</v>
      </c>
      <c r="F1002" t="s">
        <v>18</v>
      </c>
      <c r="G1002" t="s">
        <v>40</v>
      </c>
      <c r="H1002" t="s">
        <v>25</v>
      </c>
      <c r="I1002" s="1">
        <v>3</v>
      </c>
      <c r="J1002" s="2">
        <v>45962</v>
      </c>
      <c r="K1002" s="2">
        <f t="shared" si="55"/>
        <v>45962</v>
      </c>
      <c r="L1002" s="1" t="str">
        <f t="shared" ref="L1002:L1027" si="59">TEXT(J1002,"ddd")</f>
        <v>sáb</v>
      </c>
      <c r="M1002" s="1" t="str">
        <f t="shared" ref="M1002:M1027" si="60">TEXT($J1002,"mmm")</f>
        <v>nov</v>
      </c>
      <c r="N1002">
        <f t="shared" ref="N1002:N1027" si="61">YEAR(J1002)</f>
        <v>2025</v>
      </c>
      <c r="O1002" s="2"/>
      <c r="P1002" t="str">
        <f t="shared" si="54"/>
        <v>113645962</v>
      </c>
    </row>
    <row r="1003" spans="1:16" x14ac:dyDescent="0.3">
      <c r="A1003">
        <v>1136</v>
      </c>
      <c r="B1003">
        <v>21</v>
      </c>
      <c r="C1003" t="s">
        <v>26</v>
      </c>
      <c r="D1003" t="s">
        <v>16</v>
      </c>
      <c r="E1003" t="s">
        <v>17</v>
      </c>
      <c r="F1003" t="s">
        <v>18</v>
      </c>
      <c r="G1003" t="s">
        <v>40</v>
      </c>
      <c r="H1003" t="s">
        <v>25</v>
      </c>
      <c r="I1003" s="1">
        <v>3</v>
      </c>
      <c r="J1003" s="2">
        <v>46182</v>
      </c>
      <c r="K1003" s="2">
        <f t="shared" si="55"/>
        <v>46174</v>
      </c>
      <c r="L1003" s="1" t="str">
        <f t="shared" si="59"/>
        <v>ter</v>
      </c>
      <c r="M1003" s="1" t="str">
        <f t="shared" si="60"/>
        <v>jun</v>
      </c>
      <c r="N1003">
        <f t="shared" si="61"/>
        <v>2026</v>
      </c>
      <c r="O1003" s="2"/>
      <c r="P1003" t="str">
        <f t="shared" si="54"/>
        <v>113646182</v>
      </c>
    </row>
    <row r="1004" spans="1:16" x14ac:dyDescent="0.3">
      <c r="A1004">
        <v>1136</v>
      </c>
      <c r="B1004">
        <v>21</v>
      </c>
      <c r="C1004" t="s">
        <v>26</v>
      </c>
      <c r="D1004" t="s">
        <v>16</v>
      </c>
      <c r="E1004" t="s">
        <v>17</v>
      </c>
      <c r="F1004" t="s">
        <v>18</v>
      </c>
      <c r="G1004" t="s">
        <v>40</v>
      </c>
      <c r="H1004" t="s">
        <v>25</v>
      </c>
      <c r="I1004" s="1">
        <v>3</v>
      </c>
      <c r="J1004" s="2">
        <v>46054</v>
      </c>
      <c r="K1004" s="2">
        <f t="shared" si="55"/>
        <v>46054</v>
      </c>
      <c r="L1004" s="1" t="str">
        <f t="shared" si="59"/>
        <v>dom</v>
      </c>
      <c r="M1004" s="1" t="str">
        <f t="shared" si="60"/>
        <v>fev</v>
      </c>
      <c r="N1004">
        <f t="shared" si="61"/>
        <v>2026</v>
      </c>
      <c r="O1004" s="2"/>
      <c r="P1004" t="str">
        <f t="shared" si="54"/>
        <v>113646054</v>
      </c>
    </row>
    <row r="1005" spans="1:16" x14ac:dyDescent="0.3">
      <c r="A1005">
        <v>1145</v>
      </c>
      <c r="B1005">
        <v>41</v>
      </c>
      <c r="C1005" t="s">
        <v>26</v>
      </c>
      <c r="D1005" t="s">
        <v>22</v>
      </c>
      <c r="E1005" t="s">
        <v>17</v>
      </c>
      <c r="F1005" t="s">
        <v>21</v>
      </c>
      <c r="G1005" t="s">
        <v>44</v>
      </c>
      <c r="H1005" t="s">
        <v>25</v>
      </c>
      <c r="I1005" s="1">
        <v>3</v>
      </c>
      <c r="J1005" s="2">
        <v>45886</v>
      </c>
      <c r="K1005" s="2">
        <f t="shared" si="55"/>
        <v>45870</v>
      </c>
      <c r="L1005" s="1" t="str">
        <f t="shared" si="59"/>
        <v>dom</v>
      </c>
      <c r="M1005" s="1" t="str">
        <f t="shared" si="60"/>
        <v>ago</v>
      </c>
      <c r="N1005">
        <f t="shared" si="61"/>
        <v>2025</v>
      </c>
      <c r="O1005" s="2"/>
      <c r="P1005" t="str">
        <f t="shared" si="54"/>
        <v>114545886</v>
      </c>
    </row>
    <row r="1006" spans="1:16" x14ac:dyDescent="0.3">
      <c r="A1006">
        <v>1145</v>
      </c>
      <c r="B1006">
        <v>41</v>
      </c>
      <c r="C1006" t="s">
        <v>26</v>
      </c>
      <c r="D1006" t="s">
        <v>22</v>
      </c>
      <c r="E1006" t="s">
        <v>17</v>
      </c>
      <c r="F1006" t="s">
        <v>21</v>
      </c>
      <c r="G1006" t="s">
        <v>44</v>
      </c>
      <c r="H1006" t="s">
        <v>25</v>
      </c>
      <c r="I1006" s="1">
        <v>3</v>
      </c>
      <c r="J1006" s="2">
        <v>45901</v>
      </c>
      <c r="K1006" s="2">
        <f t="shared" si="55"/>
        <v>45901</v>
      </c>
      <c r="L1006" s="1" t="str">
        <f t="shared" si="59"/>
        <v>seg</v>
      </c>
      <c r="M1006" s="1" t="str">
        <f t="shared" si="60"/>
        <v>set</v>
      </c>
      <c r="N1006">
        <f t="shared" si="61"/>
        <v>2025</v>
      </c>
      <c r="O1006" s="2"/>
      <c r="P1006" t="str">
        <f t="shared" si="54"/>
        <v>114545901</v>
      </c>
    </row>
    <row r="1007" spans="1:16" x14ac:dyDescent="0.3">
      <c r="A1007">
        <v>1145</v>
      </c>
      <c r="B1007">
        <v>41</v>
      </c>
      <c r="C1007" t="s">
        <v>26</v>
      </c>
      <c r="D1007" t="s">
        <v>22</v>
      </c>
      <c r="E1007" t="s">
        <v>17</v>
      </c>
      <c r="F1007" t="s">
        <v>21</v>
      </c>
      <c r="G1007" t="s">
        <v>42</v>
      </c>
      <c r="H1007" t="s">
        <v>25</v>
      </c>
      <c r="I1007" s="1">
        <v>3</v>
      </c>
      <c r="J1007" s="2">
        <v>45914</v>
      </c>
      <c r="K1007" s="2">
        <f t="shared" si="55"/>
        <v>45901</v>
      </c>
      <c r="L1007" s="1" t="str">
        <f t="shared" si="59"/>
        <v>dom</v>
      </c>
      <c r="M1007" s="1" t="str">
        <f t="shared" si="60"/>
        <v>set</v>
      </c>
      <c r="N1007">
        <f t="shared" si="61"/>
        <v>2025</v>
      </c>
      <c r="O1007" s="2"/>
      <c r="P1007" t="str">
        <f t="shared" si="54"/>
        <v>114545914</v>
      </c>
    </row>
    <row r="1008" spans="1:16" x14ac:dyDescent="0.3">
      <c r="A1008">
        <v>1145</v>
      </c>
      <c r="B1008">
        <v>41</v>
      </c>
      <c r="C1008" t="s">
        <v>26</v>
      </c>
      <c r="D1008" t="s">
        <v>22</v>
      </c>
      <c r="E1008" t="s">
        <v>17</v>
      </c>
      <c r="F1008" t="s">
        <v>21</v>
      </c>
      <c r="G1008" t="s">
        <v>44</v>
      </c>
      <c r="H1008" t="s">
        <v>25</v>
      </c>
      <c r="I1008" s="1">
        <v>3</v>
      </c>
      <c r="J1008" s="2">
        <v>45930</v>
      </c>
      <c r="K1008" s="2">
        <f t="shared" si="55"/>
        <v>45901</v>
      </c>
      <c r="L1008" s="1" t="str">
        <f t="shared" si="59"/>
        <v>ter</v>
      </c>
      <c r="M1008" s="1" t="str">
        <f t="shared" si="60"/>
        <v>set</v>
      </c>
      <c r="N1008">
        <f t="shared" si="61"/>
        <v>2025</v>
      </c>
      <c r="O1008" s="2"/>
      <c r="P1008" t="str">
        <f t="shared" si="54"/>
        <v>114545930</v>
      </c>
    </row>
    <row r="1009" spans="1:16" x14ac:dyDescent="0.3">
      <c r="A1009">
        <v>1145</v>
      </c>
      <c r="B1009">
        <v>41</v>
      </c>
      <c r="C1009" t="s">
        <v>26</v>
      </c>
      <c r="D1009" t="s">
        <v>22</v>
      </c>
      <c r="E1009" t="s">
        <v>17</v>
      </c>
      <c r="F1009" t="s">
        <v>21</v>
      </c>
      <c r="G1009" t="s">
        <v>42</v>
      </c>
      <c r="H1009" t="s">
        <v>25</v>
      </c>
      <c r="I1009" s="1">
        <v>3</v>
      </c>
      <c r="J1009" s="2">
        <v>46085</v>
      </c>
      <c r="K1009" s="2">
        <f t="shared" si="55"/>
        <v>46082</v>
      </c>
      <c r="L1009" s="1" t="str">
        <f t="shared" si="59"/>
        <v>qua</v>
      </c>
      <c r="M1009" s="1" t="str">
        <f t="shared" si="60"/>
        <v>mar</v>
      </c>
      <c r="N1009">
        <f t="shared" si="61"/>
        <v>2026</v>
      </c>
      <c r="O1009" s="2"/>
      <c r="P1009" t="str">
        <f t="shared" si="54"/>
        <v>114546085</v>
      </c>
    </row>
    <row r="1010" spans="1:16" x14ac:dyDescent="0.3">
      <c r="A1010">
        <v>1145</v>
      </c>
      <c r="B1010">
        <v>41</v>
      </c>
      <c r="C1010" t="s">
        <v>26</v>
      </c>
      <c r="D1010" t="s">
        <v>22</v>
      </c>
      <c r="E1010" t="s">
        <v>17</v>
      </c>
      <c r="F1010" t="s">
        <v>21</v>
      </c>
      <c r="G1010" t="s">
        <v>44</v>
      </c>
      <c r="H1010" t="s">
        <v>25</v>
      </c>
      <c r="I1010" s="1">
        <v>3</v>
      </c>
      <c r="J1010" s="2">
        <v>46090</v>
      </c>
      <c r="K1010" s="2">
        <f t="shared" si="55"/>
        <v>46082</v>
      </c>
      <c r="L1010" s="1" t="str">
        <f t="shared" si="59"/>
        <v>seg</v>
      </c>
      <c r="M1010" s="1" t="str">
        <f t="shared" si="60"/>
        <v>mar</v>
      </c>
      <c r="N1010">
        <f t="shared" si="61"/>
        <v>2026</v>
      </c>
      <c r="O1010" s="2"/>
      <c r="P1010" t="str">
        <f t="shared" si="54"/>
        <v>114546090</v>
      </c>
    </row>
    <row r="1011" spans="1:16" x14ac:dyDescent="0.3">
      <c r="A1011">
        <v>1150</v>
      </c>
      <c r="B1011">
        <v>54</v>
      </c>
      <c r="C1011" t="s">
        <v>26</v>
      </c>
      <c r="D1011" t="s">
        <v>27</v>
      </c>
      <c r="E1011" t="s">
        <v>17</v>
      </c>
      <c r="F1011" t="s">
        <v>21</v>
      </c>
      <c r="G1011" t="s">
        <v>42</v>
      </c>
      <c r="H1011" t="s">
        <v>25</v>
      </c>
      <c r="I1011" s="1">
        <v>3</v>
      </c>
      <c r="J1011" s="2">
        <v>45950</v>
      </c>
      <c r="K1011" s="2">
        <f t="shared" si="55"/>
        <v>45931</v>
      </c>
      <c r="L1011" s="1" t="str">
        <f t="shared" si="59"/>
        <v>seg</v>
      </c>
      <c r="M1011" s="1" t="str">
        <f t="shared" si="60"/>
        <v>out</v>
      </c>
      <c r="N1011">
        <f t="shared" si="61"/>
        <v>2025</v>
      </c>
      <c r="O1011" s="2"/>
      <c r="P1011" t="str">
        <f t="shared" si="54"/>
        <v>115045950</v>
      </c>
    </row>
    <row r="1012" spans="1:16" x14ac:dyDescent="0.3">
      <c r="A1012">
        <v>1150</v>
      </c>
      <c r="B1012">
        <v>54</v>
      </c>
      <c r="C1012" t="s">
        <v>26</v>
      </c>
      <c r="D1012" t="s">
        <v>27</v>
      </c>
      <c r="E1012" t="s">
        <v>17</v>
      </c>
      <c r="F1012" t="s">
        <v>21</v>
      </c>
      <c r="G1012" t="s">
        <v>42</v>
      </c>
      <c r="H1012" t="s">
        <v>25</v>
      </c>
      <c r="I1012" s="1">
        <v>3</v>
      </c>
      <c r="J1012" s="2">
        <v>45957</v>
      </c>
      <c r="K1012" s="2">
        <f t="shared" si="55"/>
        <v>45931</v>
      </c>
      <c r="L1012" s="1" t="str">
        <f t="shared" si="59"/>
        <v>seg</v>
      </c>
      <c r="M1012" s="1" t="str">
        <f t="shared" si="60"/>
        <v>out</v>
      </c>
      <c r="N1012">
        <f t="shared" si="61"/>
        <v>2025</v>
      </c>
      <c r="O1012" s="2"/>
      <c r="P1012" t="str">
        <f t="shared" si="54"/>
        <v>115045957</v>
      </c>
    </row>
    <row r="1013" spans="1:16" x14ac:dyDescent="0.3">
      <c r="A1013">
        <v>1150</v>
      </c>
      <c r="B1013">
        <v>54</v>
      </c>
      <c r="C1013" t="s">
        <v>26</v>
      </c>
      <c r="D1013" t="s">
        <v>27</v>
      </c>
      <c r="E1013" t="s">
        <v>17</v>
      </c>
      <c r="F1013" t="s">
        <v>21</v>
      </c>
      <c r="G1013" t="s">
        <v>41</v>
      </c>
      <c r="H1013" t="s">
        <v>25</v>
      </c>
      <c r="I1013" s="1">
        <v>3</v>
      </c>
      <c r="J1013" s="2">
        <v>45958</v>
      </c>
      <c r="K1013" s="2">
        <f t="shared" si="55"/>
        <v>45931</v>
      </c>
      <c r="L1013" s="1" t="str">
        <f t="shared" si="59"/>
        <v>ter</v>
      </c>
      <c r="M1013" s="1" t="str">
        <f t="shared" si="60"/>
        <v>out</v>
      </c>
      <c r="N1013">
        <f t="shared" si="61"/>
        <v>2025</v>
      </c>
      <c r="O1013" s="2"/>
      <c r="P1013" t="str">
        <f t="shared" si="54"/>
        <v>115045958</v>
      </c>
    </row>
    <row r="1014" spans="1:16" x14ac:dyDescent="0.3">
      <c r="A1014">
        <v>1150</v>
      </c>
      <c r="B1014">
        <v>54</v>
      </c>
      <c r="C1014" t="s">
        <v>26</v>
      </c>
      <c r="D1014" t="s">
        <v>27</v>
      </c>
      <c r="E1014" t="s">
        <v>17</v>
      </c>
      <c r="F1014" t="s">
        <v>21</v>
      </c>
      <c r="G1014" t="s">
        <v>42</v>
      </c>
      <c r="H1014" t="s">
        <v>25</v>
      </c>
      <c r="I1014" s="1">
        <v>3</v>
      </c>
      <c r="J1014" s="2">
        <v>46060</v>
      </c>
      <c r="K1014" s="2">
        <f t="shared" si="55"/>
        <v>46054</v>
      </c>
      <c r="L1014" s="1" t="str">
        <f t="shared" si="59"/>
        <v>sáb</v>
      </c>
      <c r="M1014" s="1" t="str">
        <f t="shared" si="60"/>
        <v>fev</v>
      </c>
      <c r="N1014">
        <f t="shared" si="61"/>
        <v>2026</v>
      </c>
      <c r="O1014" s="2"/>
      <c r="P1014" t="str">
        <f t="shared" si="54"/>
        <v>115046060</v>
      </c>
    </row>
    <row r="1015" spans="1:16" x14ac:dyDescent="0.3">
      <c r="A1015">
        <v>1150</v>
      </c>
      <c r="B1015">
        <v>54</v>
      </c>
      <c r="C1015" t="s">
        <v>26</v>
      </c>
      <c r="D1015" t="s">
        <v>27</v>
      </c>
      <c r="E1015" t="s">
        <v>17</v>
      </c>
      <c r="F1015" t="s">
        <v>21</v>
      </c>
      <c r="G1015" t="s">
        <v>41</v>
      </c>
      <c r="H1015" t="s">
        <v>25</v>
      </c>
      <c r="I1015" s="1">
        <v>3</v>
      </c>
      <c r="J1015" s="2">
        <v>46064</v>
      </c>
      <c r="K1015" s="2">
        <f t="shared" si="55"/>
        <v>46054</v>
      </c>
      <c r="L1015" s="1" t="str">
        <f t="shared" si="59"/>
        <v>qua</v>
      </c>
      <c r="M1015" s="1" t="str">
        <f t="shared" si="60"/>
        <v>fev</v>
      </c>
      <c r="N1015">
        <f t="shared" si="61"/>
        <v>2026</v>
      </c>
      <c r="O1015" s="2"/>
      <c r="P1015" t="str">
        <f t="shared" si="54"/>
        <v>115046064</v>
      </c>
    </row>
    <row r="1016" spans="1:16" x14ac:dyDescent="0.3">
      <c r="A1016">
        <v>1150</v>
      </c>
      <c r="B1016">
        <v>54</v>
      </c>
      <c r="C1016" t="s">
        <v>26</v>
      </c>
      <c r="D1016" t="s">
        <v>27</v>
      </c>
      <c r="E1016" t="s">
        <v>17</v>
      </c>
      <c r="F1016" t="s">
        <v>21</v>
      </c>
      <c r="G1016" t="s">
        <v>41</v>
      </c>
      <c r="H1016" t="s">
        <v>25</v>
      </c>
      <c r="I1016" s="1">
        <v>3</v>
      </c>
      <c r="J1016" s="2">
        <v>46084</v>
      </c>
      <c r="K1016" s="2">
        <f t="shared" si="55"/>
        <v>46082</v>
      </c>
      <c r="L1016" s="1" t="str">
        <f t="shared" si="59"/>
        <v>ter</v>
      </c>
      <c r="M1016" s="1" t="str">
        <f t="shared" si="60"/>
        <v>mar</v>
      </c>
      <c r="N1016">
        <f t="shared" si="61"/>
        <v>2026</v>
      </c>
      <c r="O1016" s="2"/>
      <c r="P1016" t="str">
        <f t="shared" si="54"/>
        <v>115046084</v>
      </c>
    </row>
    <row r="1017" spans="1:16" x14ac:dyDescent="0.3">
      <c r="A1017">
        <v>1154</v>
      </c>
      <c r="B1017">
        <v>28</v>
      </c>
      <c r="C1017" t="s">
        <v>26</v>
      </c>
      <c r="D1017" t="s">
        <v>31</v>
      </c>
      <c r="E1017" t="s">
        <v>34</v>
      </c>
      <c r="F1017" t="s">
        <v>18</v>
      </c>
      <c r="G1017" t="s">
        <v>40</v>
      </c>
      <c r="H1017" t="s">
        <v>25</v>
      </c>
      <c r="I1017" s="1">
        <v>2</v>
      </c>
      <c r="J1017" s="2">
        <v>45840</v>
      </c>
      <c r="K1017" s="2">
        <f t="shared" si="55"/>
        <v>45839</v>
      </c>
      <c r="L1017" s="1" t="str">
        <f t="shared" si="59"/>
        <v>qua</v>
      </c>
      <c r="M1017" s="1" t="str">
        <f t="shared" si="60"/>
        <v>jul</v>
      </c>
      <c r="N1017">
        <f t="shared" si="61"/>
        <v>2025</v>
      </c>
      <c r="O1017" s="2"/>
      <c r="P1017" t="str">
        <f t="shared" si="54"/>
        <v>115445840</v>
      </c>
    </row>
    <row r="1018" spans="1:16" x14ac:dyDescent="0.3">
      <c r="A1018">
        <v>1154</v>
      </c>
      <c r="B1018">
        <v>28</v>
      </c>
      <c r="C1018" t="s">
        <v>26</v>
      </c>
      <c r="D1018" t="s">
        <v>31</v>
      </c>
      <c r="E1018" t="s">
        <v>34</v>
      </c>
      <c r="F1018" t="s">
        <v>18</v>
      </c>
      <c r="G1018" t="s">
        <v>41</v>
      </c>
      <c r="H1018" t="s">
        <v>25</v>
      </c>
      <c r="I1018" s="1">
        <v>2</v>
      </c>
      <c r="J1018" s="2">
        <v>45892</v>
      </c>
      <c r="K1018" s="2">
        <f t="shared" si="55"/>
        <v>45870</v>
      </c>
      <c r="L1018" s="1" t="str">
        <f t="shared" si="59"/>
        <v>sáb</v>
      </c>
      <c r="M1018" s="1" t="str">
        <f t="shared" si="60"/>
        <v>ago</v>
      </c>
      <c r="N1018">
        <f t="shared" si="61"/>
        <v>2025</v>
      </c>
      <c r="O1018" s="2"/>
      <c r="P1018" t="str">
        <f t="shared" si="54"/>
        <v>115445892</v>
      </c>
    </row>
    <row r="1019" spans="1:16" x14ac:dyDescent="0.3">
      <c r="A1019">
        <v>1154</v>
      </c>
      <c r="B1019">
        <v>28</v>
      </c>
      <c r="C1019" t="s">
        <v>26</v>
      </c>
      <c r="D1019" t="s">
        <v>31</v>
      </c>
      <c r="E1019" t="s">
        <v>34</v>
      </c>
      <c r="F1019" t="s">
        <v>18</v>
      </c>
      <c r="G1019" t="s">
        <v>40</v>
      </c>
      <c r="H1019" t="s">
        <v>25</v>
      </c>
      <c r="I1019" s="1">
        <v>2</v>
      </c>
      <c r="J1019" s="2">
        <v>45896</v>
      </c>
      <c r="K1019" s="2">
        <f t="shared" si="55"/>
        <v>45870</v>
      </c>
      <c r="L1019" s="1" t="str">
        <f t="shared" si="59"/>
        <v>qua</v>
      </c>
      <c r="M1019" s="1" t="str">
        <f t="shared" si="60"/>
        <v>ago</v>
      </c>
      <c r="N1019">
        <f t="shared" si="61"/>
        <v>2025</v>
      </c>
      <c r="O1019" s="2"/>
      <c r="P1019" t="str">
        <f t="shared" si="54"/>
        <v>115445896</v>
      </c>
    </row>
    <row r="1020" spans="1:16" x14ac:dyDescent="0.3">
      <c r="A1020">
        <v>1154</v>
      </c>
      <c r="B1020">
        <v>28</v>
      </c>
      <c r="C1020" t="s">
        <v>26</v>
      </c>
      <c r="D1020" t="s">
        <v>31</v>
      </c>
      <c r="E1020" t="s">
        <v>34</v>
      </c>
      <c r="F1020" t="s">
        <v>18</v>
      </c>
      <c r="G1020" t="s">
        <v>40</v>
      </c>
      <c r="H1020" t="s">
        <v>25</v>
      </c>
      <c r="I1020" s="1">
        <v>2</v>
      </c>
      <c r="J1020" s="2">
        <v>46187</v>
      </c>
      <c r="K1020" s="2">
        <f t="shared" si="55"/>
        <v>46174</v>
      </c>
      <c r="L1020" s="1" t="str">
        <f t="shared" si="59"/>
        <v>dom</v>
      </c>
      <c r="M1020" s="1" t="str">
        <f t="shared" si="60"/>
        <v>jun</v>
      </c>
      <c r="N1020">
        <f t="shared" si="61"/>
        <v>2026</v>
      </c>
      <c r="O1020" s="2"/>
      <c r="P1020" t="str">
        <f t="shared" si="54"/>
        <v>115446187</v>
      </c>
    </row>
    <row r="1021" spans="1:16" x14ac:dyDescent="0.3">
      <c r="A1021">
        <v>1154</v>
      </c>
      <c r="B1021">
        <v>28</v>
      </c>
      <c r="C1021" t="s">
        <v>26</v>
      </c>
      <c r="D1021" t="s">
        <v>31</v>
      </c>
      <c r="E1021" t="s">
        <v>34</v>
      </c>
      <c r="F1021" t="s">
        <v>18</v>
      </c>
      <c r="G1021" t="s">
        <v>40</v>
      </c>
      <c r="H1021" t="s">
        <v>25</v>
      </c>
      <c r="I1021" s="1">
        <v>2</v>
      </c>
      <c r="J1021" s="2">
        <v>46082</v>
      </c>
      <c r="K1021" s="2">
        <f t="shared" si="55"/>
        <v>46082</v>
      </c>
      <c r="L1021" s="1" t="str">
        <f t="shared" si="59"/>
        <v>dom</v>
      </c>
      <c r="M1021" s="1" t="str">
        <f t="shared" si="60"/>
        <v>mar</v>
      </c>
      <c r="N1021">
        <f t="shared" si="61"/>
        <v>2026</v>
      </c>
      <c r="O1021" s="2"/>
      <c r="P1021" t="str">
        <f t="shared" si="54"/>
        <v>115446082</v>
      </c>
    </row>
    <row r="1022" spans="1:16" x14ac:dyDescent="0.3">
      <c r="A1022">
        <v>1154</v>
      </c>
      <c r="B1022">
        <v>28</v>
      </c>
      <c r="C1022" t="s">
        <v>26</v>
      </c>
      <c r="D1022" t="s">
        <v>31</v>
      </c>
      <c r="E1022" t="s">
        <v>34</v>
      </c>
      <c r="F1022" t="s">
        <v>18</v>
      </c>
      <c r="G1022" t="s">
        <v>41</v>
      </c>
      <c r="H1022" t="s">
        <v>25</v>
      </c>
      <c r="I1022" s="1">
        <v>2</v>
      </c>
      <c r="J1022" s="2">
        <v>46097</v>
      </c>
      <c r="K1022" s="2">
        <f t="shared" si="55"/>
        <v>46082</v>
      </c>
      <c r="L1022" s="1" t="str">
        <f t="shared" si="59"/>
        <v>seg</v>
      </c>
      <c r="M1022" s="1" t="str">
        <f t="shared" si="60"/>
        <v>mar</v>
      </c>
      <c r="N1022">
        <f t="shared" si="61"/>
        <v>2026</v>
      </c>
      <c r="O1022" s="2"/>
      <c r="P1022" t="str">
        <f t="shared" si="54"/>
        <v>115446097</v>
      </c>
    </row>
    <row r="1023" spans="1:16" x14ac:dyDescent="0.3">
      <c r="A1023">
        <v>1157</v>
      </c>
      <c r="B1023">
        <v>53</v>
      </c>
      <c r="C1023" t="s">
        <v>26</v>
      </c>
      <c r="D1023" t="s">
        <v>22</v>
      </c>
      <c r="E1023" t="s">
        <v>17</v>
      </c>
      <c r="F1023" t="s">
        <v>21</v>
      </c>
      <c r="G1023" t="s">
        <v>44</v>
      </c>
      <c r="H1023" t="s">
        <v>25</v>
      </c>
      <c r="I1023" s="1">
        <v>3</v>
      </c>
      <c r="J1023" s="2">
        <v>45769</v>
      </c>
      <c r="K1023" s="2">
        <f t="shared" si="55"/>
        <v>45748</v>
      </c>
      <c r="L1023" s="1" t="str">
        <f t="shared" si="59"/>
        <v>ter</v>
      </c>
      <c r="M1023" s="1" t="str">
        <f t="shared" si="60"/>
        <v>abr</v>
      </c>
      <c r="N1023">
        <f t="shared" si="61"/>
        <v>2025</v>
      </c>
      <c r="O1023" s="2"/>
      <c r="P1023" t="str">
        <f t="shared" si="54"/>
        <v>115745769</v>
      </c>
    </row>
    <row r="1024" spans="1:16" x14ac:dyDescent="0.3">
      <c r="A1024">
        <v>1157</v>
      </c>
      <c r="B1024">
        <v>53</v>
      </c>
      <c r="C1024" t="s">
        <v>26</v>
      </c>
      <c r="D1024" t="s">
        <v>22</v>
      </c>
      <c r="E1024" t="s">
        <v>17</v>
      </c>
      <c r="F1024" t="s">
        <v>21</v>
      </c>
      <c r="G1024" t="s">
        <v>44</v>
      </c>
      <c r="H1024" t="s">
        <v>25</v>
      </c>
      <c r="I1024" s="1">
        <v>3</v>
      </c>
      <c r="J1024" s="2">
        <v>45794</v>
      </c>
      <c r="K1024" s="2">
        <f t="shared" si="55"/>
        <v>45778</v>
      </c>
      <c r="L1024" s="1" t="str">
        <f t="shared" si="59"/>
        <v>sáb</v>
      </c>
      <c r="M1024" s="1" t="str">
        <f t="shared" si="60"/>
        <v>mai</v>
      </c>
      <c r="N1024">
        <f t="shared" si="61"/>
        <v>2025</v>
      </c>
      <c r="O1024" s="2"/>
      <c r="P1024" t="str">
        <f t="shared" si="54"/>
        <v>115745794</v>
      </c>
    </row>
    <row r="1025" spans="1:16" x14ac:dyDescent="0.3">
      <c r="A1025">
        <v>1157</v>
      </c>
      <c r="B1025">
        <v>53</v>
      </c>
      <c r="C1025" t="s">
        <v>26</v>
      </c>
      <c r="D1025" t="s">
        <v>22</v>
      </c>
      <c r="E1025" t="s">
        <v>17</v>
      </c>
      <c r="F1025" t="s">
        <v>21</v>
      </c>
      <c r="G1025" t="s">
        <v>41</v>
      </c>
      <c r="H1025" t="s">
        <v>25</v>
      </c>
      <c r="I1025" s="1">
        <v>3</v>
      </c>
      <c r="J1025" s="2">
        <v>45954</v>
      </c>
      <c r="K1025" s="2">
        <f t="shared" si="55"/>
        <v>45931</v>
      </c>
      <c r="L1025" s="1" t="str">
        <f t="shared" si="59"/>
        <v>sex</v>
      </c>
      <c r="M1025" s="1" t="str">
        <f t="shared" si="60"/>
        <v>out</v>
      </c>
      <c r="N1025">
        <f t="shared" si="61"/>
        <v>2025</v>
      </c>
      <c r="O1025" s="2"/>
      <c r="P1025" t="str">
        <f t="shared" ref="P1025:P1088" si="62">CONCATENATE(A1025,J1025)</f>
        <v>115745954</v>
      </c>
    </row>
    <row r="1026" spans="1:16" x14ac:dyDescent="0.3">
      <c r="A1026">
        <v>1157</v>
      </c>
      <c r="B1026">
        <v>53</v>
      </c>
      <c r="C1026" t="s">
        <v>26</v>
      </c>
      <c r="D1026" t="s">
        <v>22</v>
      </c>
      <c r="E1026" t="s">
        <v>17</v>
      </c>
      <c r="F1026" t="s">
        <v>21</v>
      </c>
      <c r="G1026" t="s">
        <v>41</v>
      </c>
      <c r="H1026" t="s">
        <v>25</v>
      </c>
      <c r="I1026" s="1">
        <v>3</v>
      </c>
      <c r="J1026" s="2">
        <v>45979</v>
      </c>
      <c r="K1026" s="2">
        <f t="shared" si="55"/>
        <v>45962</v>
      </c>
      <c r="L1026" s="1" t="str">
        <f t="shared" si="59"/>
        <v>ter</v>
      </c>
      <c r="M1026" s="1" t="str">
        <f t="shared" si="60"/>
        <v>nov</v>
      </c>
      <c r="N1026">
        <f t="shared" si="61"/>
        <v>2025</v>
      </c>
      <c r="O1026" s="2"/>
      <c r="P1026" t="str">
        <f t="shared" si="62"/>
        <v>115745979</v>
      </c>
    </row>
    <row r="1027" spans="1:16" x14ac:dyDescent="0.3">
      <c r="A1027">
        <v>1157</v>
      </c>
      <c r="B1027">
        <v>53</v>
      </c>
      <c r="C1027" t="s">
        <v>26</v>
      </c>
      <c r="D1027" t="s">
        <v>22</v>
      </c>
      <c r="E1027" t="s">
        <v>17</v>
      </c>
      <c r="F1027" t="s">
        <v>21</v>
      </c>
      <c r="G1027" t="s">
        <v>41</v>
      </c>
      <c r="H1027" t="s">
        <v>25</v>
      </c>
      <c r="I1027" s="1">
        <v>3</v>
      </c>
      <c r="J1027" s="2">
        <v>46100</v>
      </c>
      <c r="K1027" s="2">
        <f t="shared" ref="K1027:K1029" si="63">DATE(YEAR(J1027),MONTH(J1027),1)</f>
        <v>46082</v>
      </c>
      <c r="L1027" s="1" t="str">
        <f t="shared" si="59"/>
        <v>qui</v>
      </c>
      <c r="M1027" s="1" t="str">
        <f t="shared" si="60"/>
        <v>mar</v>
      </c>
      <c r="N1027">
        <f t="shared" si="61"/>
        <v>2026</v>
      </c>
      <c r="O1027" s="2"/>
      <c r="P1027" t="str">
        <f t="shared" si="62"/>
        <v>115746100</v>
      </c>
    </row>
    <row r="1028" spans="1:16" x14ac:dyDescent="0.3">
      <c r="A1028">
        <v>1157</v>
      </c>
      <c r="B1028">
        <v>53</v>
      </c>
      <c r="C1028" t="s">
        <v>26</v>
      </c>
      <c r="D1028" t="s">
        <v>22</v>
      </c>
      <c r="E1028" t="s">
        <v>17</v>
      </c>
      <c r="F1028" t="s">
        <v>21</v>
      </c>
      <c r="G1028" t="s">
        <v>44</v>
      </c>
      <c r="H1028" t="s">
        <v>25</v>
      </c>
      <c r="I1028" s="1">
        <v>3</v>
      </c>
      <c r="J1028" s="2">
        <v>46134</v>
      </c>
      <c r="K1028" s="2">
        <f t="shared" si="63"/>
        <v>46113</v>
      </c>
      <c r="L1028" s="1" t="s">
        <v>50</v>
      </c>
      <c r="M1028" s="1" t="s">
        <v>48</v>
      </c>
      <c r="N1028">
        <v>2025</v>
      </c>
      <c r="O1028" s="2"/>
      <c r="P1028" t="str">
        <f t="shared" si="62"/>
        <v>115746134</v>
      </c>
    </row>
    <row r="1029" spans="1:16" x14ac:dyDescent="0.3">
      <c r="A1029">
        <v>1157</v>
      </c>
      <c r="B1029">
        <v>53</v>
      </c>
      <c r="C1029" t="s">
        <v>26</v>
      </c>
      <c r="D1029" t="s">
        <v>22</v>
      </c>
      <c r="E1029" t="s">
        <v>17</v>
      </c>
      <c r="F1029" t="s">
        <v>21</v>
      </c>
      <c r="G1029" t="s">
        <v>44</v>
      </c>
      <c r="H1029" t="s">
        <v>25</v>
      </c>
      <c r="I1029" s="1">
        <v>3</v>
      </c>
      <c r="J1029" s="2">
        <v>46159</v>
      </c>
      <c r="K1029" s="2">
        <f t="shared" si="63"/>
        <v>46143</v>
      </c>
      <c r="L1029" s="1" t="s">
        <v>54</v>
      </c>
      <c r="M1029" s="1" t="s">
        <v>49</v>
      </c>
      <c r="N1029">
        <v>2025</v>
      </c>
      <c r="O1029" s="2"/>
      <c r="P1029" t="str">
        <f t="shared" si="62"/>
        <v>115746159</v>
      </c>
    </row>
    <row r="1030" spans="1:16" x14ac:dyDescent="0.3">
      <c r="A1030">
        <v>1159</v>
      </c>
      <c r="B1030">
        <v>57</v>
      </c>
      <c r="C1030" t="s">
        <v>26</v>
      </c>
      <c r="D1030" t="s">
        <v>16</v>
      </c>
      <c r="E1030" t="s">
        <v>17</v>
      </c>
      <c r="F1030" t="s">
        <v>21</v>
      </c>
      <c r="G1030" t="s">
        <v>57</v>
      </c>
      <c r="H1030" t="s">
        <v>25</v>
      </c>
      <c r="I1030" s="1">
        <v>1</v>
      </c>
      <c r="J1030" s="2">
        <v>46136</v>
      </c>
      <c r="L1030" s="1" t="str">
        <f t="shared" ref="L1030:L1049" si="64">TEXT(J1030,"ddd")</f>
        <v>sex</v>
      </c>
      <c r="M1030" s="1" t="str">
        <f t="shared" ref="M1030:M1049" si="65">TEXT($J1030,"mmm")</f>
        <v>abr</v>
      </c>
      <c r="N1030">
        <f t="shared" ref="N1030:N1049" si="66">YEAR(J1030)</f>
        <v>2026</v>
      </c>
      <c r="P1030" t="str">
        <f t="shared" si="62"/>
        <v>115946136</v>
      </c>
    </row>
    <row r="1031" spans="1:16" x14ac:dyDescent="0.3">
      <c r="A1031">
        <v>1159</v>
      </c>
      <c r="B1031">
        <v>57</v>
      </c>
      <c r="C1031" t="s">
        <v>26</v>
      </c>
      <c r="D1031" t="s">
        <v>16</v>
      </c>
      <c r="E1031" t="s">
        <v>17</v>
      </c>
      <c r="F1031" t="s">
        <v>21</v>
      </c>
      <c r="G1031" t="s">
        <v>57</v>
      </c>
      <c r="H1031" t="s">
        <v>25</v>
      </c>
      <c r="I1031" s="1">
        <v>3</v>
      </c>
      <c r="J1031" s="2">
        <v>46138</v>
      </c>
      <c r="L1031" s="1" t="str">
        <f t="shared" si="64"/>
        <v>dom</v>
      </c>
      <c r="M1031" s="1" t="str">
        <f t="shared" si="65"/>
        <v>abr</v>
      </c>
      <c r="N1031">
        <f t="shared" si="66"/>
        <v>2026</v>
      </c>
      <c r="P1031" t="str">
        <f t="shared" si="62"/>
        <v>115946138</v>
      </c>
    </row>
    <row r="1032" spans="1:16" x14ac:dyDescent="0.3">
      <c r="A1032">
        <v>1159</v>
      </c>
      <c r="B1032">
        <v>57</v>
      </c>
      <c r="C1032" t="s">
        <v>26</v>
      </c>
      <c r="D1032" t="s">
        <v>16</v>
      </c>
      <c r="E1032" t="s">
        <v>17</v>
      </c>
      <c r="F1032" t="s">
        <v>21</v>
      </c>
      <c r="G1032" t="s">
        <v>57</v>
      </c>
      <c r="H1032" t="s">
        <v>25</v>
      </c>
      <c r="I1032" s="1">
        <v>3</v>
      </c>
      <c r="J1032" s="2">
        <v>46140</v>
      </c>
      <c r="L1032" s="1" t="str">
        <f t="shared" si="64"/>
        <v>ter</v>
      </c>
      <c r="M1032" s="1" t="str">
        <f t="shared" si="65"/>
        <v>abr</v>
      </c>
      <c r="N1032">
        <f t="shared" si="66"/>
        <v>2026</v>
      </c>
      <c r="P1032" t="str">
        <f t="shared" si="62"/>
        <v>115946140</v>
      </c>
    </row>
    <row r="1033" spans="1:16" x14ac:dyDescent="0.3">
      <c r="A1033">
        <v>1159</v>
      </c>
      <c r="B1033">
        <v>57</v>
      </c>
      <c r="C1033" t="s">
        <v>26</v>
      </c>
      <c r="D1033" t="s">
        <v>16</v>
      </c>
      <c r="E1033" t="s">
        <v>17</v>
      </c>
      <c r="F1033" t="s">
        <v>21</v>
      </c>
      <c r="G1033" t="s">
        <v>57</v>
      </c>
      <c r="H1033" t="s">
        <v>25</v>
      </c>
      <c r="I1033" s="1">
        <v>3</v>
      </c>
      <c r="J1033" s="2">
        <v>46141</v>
      </c>
      <c r="L1033" s="1" t="str">
        <f t="shared" si="64"/>
        <v>qua</v>
      </c>
      <c r="M1033" s="1" t="str">
        <f t="shared" si="65"/>
        <v>abr</v>
      </c>
      <c r="N1033">
        <f t="shared" si="66"/>
        <v>2026</v>
      </c>
      <c r="P1033" t="str">
        <f t="shared" si="62"/>
        <v>115946141</v>
      </c>
    </row>
    <row r="1034" spans="1:16" x14ac:dyDescent="0.3">
      <c r="A1034">
        <v>1161</v>
      </c>
      <c r="B1034">
        <v>55</v>
      </c>
      <c r="C1034" t="s">
        <v>15</v>
      </c>
      <c r="D1034" t="s">
        <v>27</v>
      </c>
      <c r="E1034" t="s">
        <v>17</v>
      </c>
      <c r="F1034" t="s">
        <v>21</v>
      </c>
      <c r="G1034" t="s">
        <v>41</v>
      </c>
      <c r="H1034" t="s">
        <v>20</v>
      </c>
      <c r="I1034" s="1">
        <v>1</v>
      </c>
      <c r="J1034" s="2">
        <v>45801</v>
      </c>
      <c r="K1034" s="2">
        <v>45778</v>
      </c>
      <c r="L1034" s="1" t="str">
        <f t="shared" si="64"/>
        <v>sáb</v>
      </c>
      <c r="M1034" s="1" t="str">
        <f t="shared" si="65"/>
        <v>mai</v>
      </c>
      <c r="N1034">
        <f t="shared" si="66"/>
        <v>2025</v>
      </c>
      <c r="O1034" s="2">
        <f>_xlfn.XLOOKUP(A1034,Colaboradores!$A:$A,Colaboradores!$S:$S,"",0)</f>
        <v>46030</v>
      </c>
      <c r="P1034" t="str">
        <f t="shared" si="62"/>
        <v>116145801</v>
      </c>
    </row>
    <row r="1035" spans="1:16" x14ac:dyDescent="0.3">
      <c r="A1035">
        <v>1161</v>
      </c>
      <c r="B1035">
        <v>55</v>
      </c>
      <c r="C1035" t="s">
        <v>15</v>
      </c>
      <c r="D1035" t="s">
        <v>27</v>
      </c>
      <c r="E1035" t="s">
        <v>17</v>
      </c>
      <c r="F1035" t="s">
        <v>21</v>
      </c>
      <c r="G1035" t="s">
        <v>41</v>
      </c>
      <c r="H1035" t="s">
        <v>20</v>
      </c>
      <c r="I1035" s="1">
        <v>1</v>
      </c>
      <c r="J1035" s="2">
        <v>45829</v>
      </c>
      <c r="K1035" s="2">
        <v>45809</v>
      </c>
      <c r="L1035" s="1" t="str">
        <f t="shared" si="64"/>
        <v>sáb</v>
      </c>
      <c r="M1035" s="1" t="str">
        <f t="shared" si="65"/>
        <v>jun</v>
      </c>
      <c r="N1035">
        <f t="shared" si="66"/>
        <v>2025</v>
      </c>
      <c r="O1035" s="2">
        <f>_xlfn.XLOOKUP(A1035,Colaboradores!$A:$A,Colaboradores!$S:$S,"",0)</f>
        <v>46030</v>
      </c>
      <c r="P1035" t="str">
        <f t="shared" si="62"/>
        <v>116145829</v>
      </c>
    </row>
    <row r="1036" spans="1:16" x14ac:dyDescent="0.3">
      <c r="A1036">
        <v>1161</v>
      </c>
      <c r="B1036">
        <v>55</v>
      </c>
      <c r="C1036" t="s">
        <v>15</v>
      </c>
      <c r="D1036" t="s">
        <v>27</v>
      </c>
      <c r="E1036" t="s">
        <v>17</v>
      </c>
      <c r="F1036" t="s">
        <v>21</v>
      </c>
      <c r="G1036" t="s">
        <v>41</v>
      </c>
      <c r="H1036" t="s">
        <v>20</v>
      </c>
      <c r="I1036" s="1">
        <v>1</v>
      </c>
      <c r="J1036" s="2">
        <v>45936</v>
      </c>
      <c r="K1036" s="2">
        <v>45931</v>
      </c>
      <c r="L1036" s="1" t="str">
        <f t="shared" si="64"/>
        <v>seg</v>
      </c>
      <c r="M1036" s="1" t="str">
        <f t="shared" si="65"/>
        <v>out</v>
      </c>
      <c r="N1036">
        <f t="shared" si="66"/>
        <v>2025</v>
      </c>
      <c r="O1036" s="2">
        <f>_xlfn.XLOOKUP(A1036,Colaboradores!$A:$A,Colaboradores!$S:$S,"",0)</f>
        <v>46030</v>
      </c>
      <c r="P1036" t="str">
        <f t="shared" si="62"/>
        <v>116145936</v>
      </c>
    </row>
    <row r="1037" spans="1:16" x14ac:dyDescent="0.3">
      <c r="A1037">
        <v>1161</v>
      </c>
      <c r="B1037">
        <v>55</v>
      </c>
      <c r="C1037" t="s">
        <v>15</v>
      </c>
      <c r="D1037" t="s">
        <v>27</v>
      </c>
      <c r="E1037" t="s">
        <v>17</v>
      </c>
      <c r="F1037" t="s">
        <v>21</v>
      </c>
      <c r="G1037" t="s">
        <v>41</v>
      </c>
      <c r="H1037" t="s">
        <v>20</v>
      </c>
      <c r="I1037" s="1">
        <v>1</v>
      </c>
      <c r="J1037" s="2">
        <v>45954</v>
      </c>
      <c r="K1037" s="2">
        <v>45931</v>
      </c>
      <c r="L1037" s="1" t="str">
        <f t="shared" si="64"/>
        <v>sex</v>
      </c>
      <c r="M1037" s="1" t="str">
        <f t="shared" si="65"/>
        <v>out</v>
      </c>
      <c r="N1037">
        <f t="shared" si="66"/>
        <v>2025</v>
      </c>
      <c r="O1037" s="2">
        <f>_xlfn.XLOOKUP(A1037,Colaboradores!$A:$A,Colaboradores!$S:$S,"",0)</f>
        <v>46030</v>
      </c>
      <c r="P1037" t="str">
        <f t="shared" si="62"/>
        <v>116145954</v>
      </c>
    </row>
    <row r="1038" spans="1:16" x14ac:dyDescent="0.3">
      <c r="A1038">
        <v>1161</v>
      </c>
      <c r="B1038">
        <v>55</v>
      </c>
      <c r="C1038" t="s">
        <v>15</v>
      </c>
      <c r="D1038" t="s">
        <v>27</v>
      </c>
      <c r="E1038" t="s">
        <v>17</v>
      </c>
      <c r="F1038" t="s">
        <v>21</v>
      </c>
      <c r="G1038" t="s">
        <v>41</v>
      </c>
      <c r="H1038" t="s">
        <v>20</v>
      </c>
      <c r="I1038" s="1">
        <v>1</v>
      </c>
      <c r="J1038" s="2">
        <v>45975</v>
      </c>
      <c r="K1038" s="2">
        <v>45962</v>
      </c>
      <c r="L1038" s="1" t="str">
        <f t="shared" si="64"/>
        <v>sex</v>
      </c>
      <c r="M1038" s="1" t="str">
        <f t="shared" si="65"/>
        <v>nov</v>
      </c>
      <c r="N1038">
        <f t="shared" si="66"/>
        <v>2025</v>
      </c>
      <c r="O1038" s="2">
        <f>_xlfn.XLOOKUP(A1038,Colaboradores!$A:$A,Colaboradores!$S:$S,"",0)</f>
        <v>46030</v>
      </c>
      <c r="P1038" t="str">
        <f t="shared" si="62"/>
        <v>116145975</v>
      </c>
    </row>
    <row r="1039" spans="1:16" x14ac:dyDescent="0.3">
      <c r="A1039">
        <v>1161</v>
      </c>
      <c r="B1039">
        <v>55</v>
      </c>
      <c r="C1039" t="s">
        <v>15</v>
      </c>
      <c r="D1039" t="s">
        <v>27</v>
      </c>
      <c r="E1039" t="s">
        <v>17</v>
      </c>
      <c r="F1039" t="s">
        <v>21</v>
      </c>
      <c r="G1039" t="s">
        <v>42</v>
      </c>
      <c r="H1039" t="s">
        <v>20</v>
      </c>
      <c r="I1039" s="1">
        <v>1</v>
      </c>
      <c r="J1039" s="2">
        <v>45992</v>
      </c>
      <c r="K1039" s="2">
        <v>45992</v>
      </c>
      <c r="L1039" s="1" t="str">
        <f t="shared" si="64"/>
        <v>seg</v>
      </c>
      <c r="M1039" s="1" t="str">
        <f t="shared" si="65"/>
        <v>dez</v>
      </c>
      <c r="N1039">
        <f t="shared" si="66"/>
        <v>2025</v>
      </c>
      <c r="O1039" s="2">
        <f>_xlfn.XLOOKUP(A1039,Colaboradores!$A:$A,Colaboradores!$S:$S,"",0)</f>
        <v>46030</v>
      </c>
      <c r="P1039" t="str">
        <f t="shared" si="62"/>
        <v>116145992</v>
      </c>
    </row>
    <row r="1040" spans="1:16" x14ac:dyDescent="0.3">
      <c r="A1040">
        <v>1163</v>
      </c>
      <c r="B1040">
        <v>21</v>
      </c>
      <c r="C1040" t="s">
        <v>15</v>
      </c>
      <c r="D1040" t="s">
        <v>29</v>
      </c>
      <c r="E1040" t="s">
        <v>17</v>
      </c>
      <c r="F1040" t="s">
        <v>21</v>
      </c>
      <c r="G1040" t="s">
        <v>43</v>
      </c>
      <c r="H1040" t="s">
        <v>25</v>
      </c>
      <c r="I1040" s="1">
        <v>3</v>
      </c>
      <c r="J1040" s="2">
        <v>45880</v>
      </c>
      <c r="K1040" s="2">
        <v>45870</v>
      </c>
      <c r="L1040" s="1" t="str">
        <f t="shared" si="64"/>
        <v>seg</v>
      </c>
      <c r="M1040" s="1" t="str">
        <f t="shared" si="65"/>
        <v>ago</v>
      </c>
      <c r="N1040">
        <f t="shared" si="66"/>
        <v>2025</v>
      </c>
      <c r="O1040" s="2"/>
      <c r="P1040" t="str">
        <f t="shared" si="62"/>
        <v>116345880</v>
      </c>
    </row>
    <row r="1041" spans="1:16" x14ac:dyDescent="0.3">
      <c r="A1041">
        <v>1163</v>
      </c>
      <c r="B1041">
        <v>21</v>
      </c>
      <c r="C1041" t="s">
        <v>15</v>
      </c>
      <c r="D1041" t="s">
        <v>29</v>
      </c>
      <c r="E1041" t="s">
        <v>17</v>
      </c>
      <c r="F1041" t="s">
        <v>21</v>
      </c>
      <c r="G1041" t="s">
        <v>43</v>
      </c>
      <c r="H1041" t="s">
        <v>25</v>
      </c>
      <c r="I1041" s="1">
        <v>3</v>
      </c>
      <c r="J1041" s="2">
        <v>45912</v>
      </c>
      <c r="K1041" s="2">
        <v>45901</v>
      </c>
      <c r="L1041" s="1" t="str">
        <f t="shared" si="64"/>
        <v>sex</v>
      </c>
      <c r="M1041" s="1" t="str">
        <f t="shared" si="65"/>
        <v>set</v>
      </c>
      <c r="N1041">
        <f t="shared" si="66"/>
        <v>2025</v>
      </c>
      <c r="O1041" s="2"/>
      <c r="P1041" t="str">
        <f t="shared" si="62"/>
        <v>116345912</v>
      </c>
    </row>
    <row r="1042" spans="1:16" x14ac:dyDescent="0.3">
      <c r="A1042">
        <v>1163</v>
      </c>
      <c r="B1042">
        <v>21</v>
      </c>
      <c r="C1042" t="s">
        <v>15</v>
      </c>
      <c r="D1042" t="s">
        <v>29</v>
      </c>
      <c r="E1042" t="s">
        <v>17</v>
      </c>
      <c r="F1042" t="s">
        <v>21</v>
      </c>
      <c r="G1042" t="s">
        <v>43</v>
      </c>
      <c r="H1042" t="s">
        <v>25</v>
      </c>
      <c r="I1042" s="1">
        <v>3</v>
      </c>
      <c r="J1042" s="2">
        <v>46071</v>
      </c>
      <c r="K1042" s="2">
        <v>46054</v>
      </c>
      <c r="L1042" s="1" t="str">
        <f t="shared" si="64"/>
        <v>qua</v>
      </c>
      <c r="M1042" s="1" t="str">
        <f t="shared" si="65"/>
        <v>fev</v>
      </c>
      <c r="N1042">
        <f t="shared" si="66"/>
        <v>2026</v>
      </c>
      <c r="O1042" s="2"/>
      <c r="P1042" t="str">
        <f t="shared" si="62"/>
        <v>116346071</v>
      </c>
    </row>
    <row r="1043" spans="1:16" x14ac:dyDescent="0.3">
      <c r="A1043">
        <v>1163</v>
      </c>
      <c r="B1043">
        <v>21</v>
      </c>
      <c r="C1043" t="s">
        <v>15</v>
      </c>
      <c r="D1043" t="s">
        <v>29</v>
      </c>
      <c r="E1043" t="s">
        <v>17</v>
      </c>
      <c r="F1043" t="s">
        <v>21</v>
      </c>
      <c r="G1043" t="s">
        <v>43</v>
      </c>
      <c r="H1043" t="s">
        <v>25</v>
      </c>
      <c r="I1043" s="1">
        <v>3</v>
      </c>
      <c r="J1043" s="2">
        <v>46075</v>
      </c>
      <c r="K1043" s="2">
        <v>46054</v>
      </c>
      <c r="L1043" s="1" t="str">
        <f t="shared" si="64"/>
        <v>dom</v>
      </c>
      <c r="M1043" s="1" t="str">
        <f t="shared" si="65"/>
        <v>fev</v>
      </c>
      <c r="N1043">
        <f t="shared" si="66"/>
        <v>2026</v>
      </c>
      <c r="O1043" s="2"/>
      <c r="P1043" t="str">
        <f t="shared" si="62"/>
        <v>116346075</v>
      </c>
    </row>
    <row r="1044" spans="1:16" x14ac:dyDescent="0.3">
      <c r="A1044">
        <v>1166</v>
      </c>
      <c r="B1044">
        <v>27</v>
      </c>
      <c r="C1044" t="s">
        <v>26</v>
      </c>
      <c r="D1044" t="s">
        <v>16</v>
      </c>
      <c r="E1044" t="s">
        <v>17</v>
      </c>
      <c r="F1044" t="s">
        <v>21</v>
      </c>
      <c r="G1044" t="s">
        <v>40</v>
      </c>
      <c r="H1044" t="s">
        <v>25</v>
      </c>
      <c r="I1044" s="1">
        <v>3</v>
      </c>
      <c r="J1044" s="2">
        <v>45790</v>
      </c>
      <c r="K1044" s="2">
        <v>45778</v>
      </c>
      <c r="L1044" s="1" t="str">
        <f t="shared" si="64"/>
        <v>ter</v>
      </c>
      <c r="M1044" s="1" t="str">
        <f t="shared" si="65"/>
        <v>mai</v>
      </c>
      <c r="N1044">
        <f t="shared" si="66"/>
        <v>2025</v>
      </c>
      <c r="O1044" s="2"/>
      <c r="P1044" t="str">
        <f t="shared" si="62"/>
        <v>116645790</v>
      </c>
    </row>
    <row r="1045" spans="1:16" x14ac:dyDescent="0.3">
      <c r="A1045">
        <v>1166</v>
      </c>
      <c r="B1045">
        <v>27</v>
      </c>
      <c r="C1045" t="s">
        <v>26</v>
      </c>
      <c r="D1045" t="s">
        <v>16</v>
      </c>
      <c r="E1045" t="s">
        <v>17</v>
      </c>
      <c r="F1045" t="s">
        <v>21</v>
      </c>
      <c r="G1045" t="s">
        <v>40</v>
      </c>
      <c r="H1045" t="s">
        <v>25</v>
      </c>
      <c r="I1045" s="1">
        <v>3</v>
      </c>
      <c r="J1045" s="2">
        <v>45903</v>
      </c>
      <c r="K1045" s="2">
        <v>45901</v>
      </c>
      <c r="L1045" s="1" t="str">
        <f t="shared" si="64"/>
        <v>qua</v>
      </c>
      <c r="M1045" s="1" t="str">
        <f t="shared" si="65"/>
        <v>set</v>
      </c>
      <c r="N1045">
        <f t="shared" si="66"/>
        <v>2025</v>
      </c>
      <c r="O1045" s="2"/>
      <c r="P1045" t="str">
        <f t="shared" si="62"/>
        <v>116645903</v>
      </c>
    </row>
    <row r="1046" spans="1:16" x14ac:dyDescent="0.3">
      <c r="A1046">
        <v>1166</v>
      </c>
      <c r="B1046">
        <v>27</v>
      </c>
      <c r="C1046" t="s">
        <v>26</v>
      </c>
      <c r="D1046" t="s">
        <v>16</v>
      </c>
      <c r="E1046" t="s">
        <v>17</v>
      </c>
      <c r="F1046" t="s">
        <v>21</v>
      </c>
      <c r="G1046" t="s">
        <v>40</v>
      </c>
      <c r="H1046" t="s">
        <v>25</v>
      </c>
      <c r="I1046" s="1">
        <v>3</v>
      </c>
      <c r="J1046" s="2">
        <v>45906</v>
      </c>
      <c r="K1046" s="2">
        <v>45901</v>
      </c>
      <c r="L1046" s="1" t="str">
        <f t="shared" si="64"/>
        <v>sáb</v>
      </c>
      <c r="M1046" s="1" t="str">
        <f t="shared" si="65"/>
        <v>set</v>
      </c>
      <c r="N1046">
        <f t="shared" si="66"/>
        <v>2025</v>
      </c>
      <c r="O1046" s="2"/>
      <c r="P1046" t="str">
        <f t="shared" si="62"/>
        <v>116645906</v>
      </c>
    </row>
    <row r="1047" spans="1:16" x14ac:dyDescent="0.3">
      <c r="A1047">
        <v>1166</v>
      </c>
      <c r="B1047">
        <v>27</v>
      </c>
      <c r="C1047" t="s">
        <v>26</v>
      </c>
      <c r="D1047" t="s">
        <v>16</v>
      </c>
      <c r="E1047" t="s">
        <v>17</v>
      </c>
      <c r="F1047" t="s">
        <v>21</v>
      </c>
      <c r="G1047" t="s">
        <v>40</v>
      </c>
      <c r="H1047" t="s">
        <v>25</v>
      </c>
      <c r="I1047" s="1">
        <v>3</v>
      </c>
      <c r="J1047" s="2">
        <v>45964</v>
      </c>
      <c r="K1047" s="2">
        <v>45962</v>
      </c>
      <c r="L1047" s="1" t="str">
        <f t="shared" si="64"/>
        <v>seg</v>
      </c>
      <c r="M1047" s="1" t="str">
        <f t="shared" si="65"/>
        <v>nov</v>
      </c>
      <c r="N1047">
        <f t="shared" si="66"/>
        <v>2025</v>
      </c>
      <c r="O1047" s="2"/>
      <c r="P1047" t="str">
        <f t="shared" si="62"/>
        <v>116645964</v>
      </c>
    </row>
    <row r="1048" spans="1:16" x14ac:dyDescent="0.3">
      <c r="A1048">
        <v>1166</v>
      </c>
      <c r="B1048">
        <v>27</v>
      </c>
      <c r="C1048" t="s">
        <v>26</v>
      </c>
      <c r="D1048" t="s">
        <v>16</v>
      </c>
      <c r="E1048" t="s">
        <v>17</v>
      </c>
      <c r="F1048" t="s">
        <v>21</v>
      </c>
      <c r="G1048" t="s">
        <v>40</v>
      </c>
      <c r="H1048" t="s">
        <v>25</v>
      </c>
      <c r="I1048" s="1">
        <v>3</v>
      </c>
      <c r="J1048" s="2">
        <v>46056</v>
      </c>
      <c r="K1048" s="2">
        <v>46054</v>
      </c>
      <c r="L1048" s="1" t="str">
        <f t="shared" si="64"/>
        <v>ter</v>
      </c>
      <c r="M1048" s="1" t="str">
        <f t="shared" si="65"/>
        <v>fev</v>
      </c>
      <c r="N1048">
        <f t="shared" si="66"/>
        <v>2026</v>
      </c>
      <c r="O1048" s="2"/>
      <c r="P1048" t="str">
        <f t="shared" si="62"/>
        <v>116646056</v>
      </c>
    </row>
    <row r="1049" spans="1:16" x14ac:dyDescent="0.3">
      <c r="A1049">
        <v>1166</v>
      </c>
      <c r="B1049">
        <v>27</v>
      </c>
      <c r="C1049" t="s">
        <v>26</v>
      </c>
      <c r="D1049" t="s">
        <v>16</v>
      </c>
      <c r="E1049" t="s">
        <v>17</v>
      </c>
      <c r="F1049" t="s">
        <v>21</v>
      </c>
      <c r="G1049" t="s">
        <v>40</v>
      </c>
      <c r="H1049" t="s">
        <v>25</v>
      </c>
      <c r="I1049" s="1">
        <v>3</v>
      </c>
      <c r="J1049" s="2">
        <v>46075</v>
      </c>
      <c r="K1049" s="2">
        <v>46054</v>
      </c>
      <c r="L1049" s="1" t="str">
        <f t="shared" si="64"/>
        <v>dom</v>
      </c>
      <c r="M1049" s="1" t="str">
        <f t="shared" si="65"/>
        <v>fev</v>
      </c>
      <c r="N1049">
        <f t="shared" si="66"/>
        <v>2026</v>
      </c>
      <c r="O1049" s="2"/>
      <c r="P1049" t="str">
        <f t="shared" si="62"/>
        <v>116646075</v>
      </c>
    </row>
    <row r="1050" spans="1:16" x14ac:dyDescent="0.3">
      <c r="A1050">
        <v>1166</v>
      </c>
      <c r="B1050">
        <v>27</v>
      </c>
      <c r="C1050" t="s">
        <v>26</v>
      </c>
      <c r="D1050" t="s">
        <v>16</v>
      </c>
      <c r="E1050" t="s">
        <v>17</v>
      </c>
      <c r="F1050" t="s">
        <v>21</v>
      </c>
      <c r="G1050" t="s">
        <v>40</v>
      </c>
      <c r="H1050" t="s">
        <v>25</v>
      </c>
      <c r="I1050" s="1">
        <v>3</v>
      </c>
      <c r="J1050" s="2">
        <v>46155</v>
      </c>
      <c r="K1050" s="2">
        <v>46143</v>
      </c>
      <c r="L1050" s="1" t="s">
        <v>50</v>
      </c>
      <c r="M1050" s="1" t="s">
        <v>49</v>
      </c>
      <c r="N1050">
        <v>2025</v>
      </c>
      <c r="O1050" s="2"/>
      <c r="P1050" t="str">
        <f t="shared" si="62"/>
        <v>116646155</v>
      </c>
    </row>
    <row r="1051" spans="1:16" x14ac:dyDescent="0.3">
      <c r="A1051">
        <v>1171</v>
      </c>
      <c r="B1051">
        <v>52</v>
      </c>
      <c r="C1051" t="s">
        <v>26</v>
      </c>
      <c r="D1051" t="s">
        <v>22</v>
      </c>
      <c r="E1051" t="s">
        <v>17</v>
      </c>
      <c r="F1051" t="s">
        <v>23</v>
      </c>
      <c r="G1051" t="s">
        <v>40</v>
      </c>
      <c r="H1051" t="s">
        <v>25</v>
      </c>
      <c r="I1051" s="1">
        <v>2</v>
      </c>
      <c r="J1051" s="2">
        <v>45784</v>
      </c>
      <c r="K1051" s="2">
        <v>45778</v>
      </c>
      <c r="L1051" s="1" t="str">
        <f t="shared" ref="L1051:L1056" si="67">TEXT(J1051,"ddd")</f>
        <v>qua</v>
      </c>
      <c r="M1051" s="1" t="str">
        <f t="shared" ref="M1051:M1056" si="68">TEXT($J1051,"mmm")</f>
        <v>mai</v>
      </c>
      <c r="N1051">
        <f t="shared" ref="N1051:N1056" si="69">YEAR(J1051)</f>
        <v>2025</v>
      </c>
      <c r="O1051" s="2"/>
      <c r="P1051" t="str">
        <f t="shared" si="62"/>
        <v>117145784</v>
      </c>
    </row>
    <row r="1052" spans="1:16" x14ac:dyDescent="0.3">
      <c r="A1052">
        <v>1171</v>
      </c>
      <c r="B1052">
        <v>52</v>
      </c>
      <c r="C1052" t="s">
        <v>26</v>
      </c>
      <c r="D1052" t="s">
        <v>22</v>
      </c>
      <c r="E1052" t="s">
        <v>17</v>
      </c>
      <c r="F1052" t="s">
        <v>23</v>
      </c>
      <c r="G1052" t="s">
        <v>40</v>
      </c>
      <c r="H1052" t="s">
        <v>25</v>
      </c>
      <c r="I1052" s="1">
        <v>2</v>
      </c>
      <c r="J1052" s="2">
        <v>45855</v>
      </c>
      <c r="K1052" s="2">
        <v>45839</v>
      </c>
      <c r="L1052" s="1" t="str">
        <f t="shared" si="67"/>
        <v>qui</v>
      </c>
      <c r="M1052" s="1" t="str">
        <f t="shared" si="68"/>
        <v>jul</v>
      </c>
      <c r="N1052">
        <f t="shared" si="69"/>
        <v>2025</v>
      </c>
      <c r="O1052" s="2"/>
      <c r="P1052" t="str">
        <f t="shared" si="62"/>
        <v>117145855</v>
      </c>
    </row>
    <row r="1053" spans="1:16" x14ac:dyDescent="0.3">
      <c r="A1053">
        <v>1171</v>
      </c>
      <c r="B1053">
        <v>52</v>
      </c>
      <c r="C1053" t="s">
        <v>26</v>
      </c>
      <c r="D1053" t="s">
        <v>22</v>
      </c>
      <c r="E1053" t="s">
        <v>17</v>
      </c>
      <c r="F1053" t="s">
        <v>23</v>
      </c>
      <c r="G1053" t="s">
        <v>40</v>
      </c>
      <c r="H1053" t="s">
        <v>25</v>
      </c>
      <c r="I1053" s="1">
        <v>2</v>
      </c>
      <c r="J1053" s="2">
        <v>45954</v>
      </c>
      <c r="K1053" s="2">
        <v>45931</v>
      </c>
      <c r="L1053" s="1" t="str">
        <f t="shared" si="67"/>
        <v>sex</v>
      </c>
      <c r="M1053" s="1" t="str">
        <f t="shared" si="68"/>
        <v>out</v>
      </c>
      <c r="N1053">
        <f t="shared" si="69"/>
        <v>2025</v>
      </c>
      <c r="O1053" s="2"/>
      <c r="P1053" t="str">
        <f t="shared" si="62"/>
        <v>117145954</v>
      </c>
    </row>
    <row r="1054" spans="1:16" x14ac:dyDescent="0.3">
      <c r="A1054">
        <v>1171</v>
      </c>
      <c r="B1054">
        <v>52</v>
      </c>
      <c r="C1054" t="s">
        <v>26</v>
      </c>
      <c r="D1054" t="s">
        <v>22</v>
      </c>
      <c r="E1054" t="s">
        <v>17</v>
      </c>
      <c r="F1054" t="s">
        <v>23</v>
      </c>
      <c r="G1054" t="s">
        <v>40</v>
      </c>
      <c r="H1054" t="s">
        <v>25</v>
      </c>
      <c r="I1054" s="1">
        <v>2</v>
      </c>
      <c r="J1054" s="2">
        <v>46055</v>
      </c>
      <c r="K1054" s="2">
        <v>46054</v>
      </c>
      <c r="L1054" s="1" t="str">
        <f t="shared" si="67"/>
        <v>seg</v>
      </c>
      <c r="M1054" s="1" t="str">
        <f t="shared" si="68"/>
        <v>fev</v>
      </c>
      <c r="N1054">
        <f t="shared" si="69"/>
        <v>2026</v>
      </c>
      <c r="O1054" s="2"/>
      <c r="P1054" t="str">
        <f t="shared" si="62"/>
        <v>117146055</v>
      </c>
    </row>
    <row r="1055" spans="1:16" x14ac:dyDescent="0.3">
      <c r="A1055">
        <v>1171</v>
      </c>
      <c r="B1055">
        <v>52</v>
      </c>
      <c r="C1055" t="s">
        <v>26</v>
      </c>
      <c r="D1055" t="s">
        <v>22</v>
      </c>
      <c r="E1055" t="s">
        <v>17</v>
      </c>
      <c r="F1055" t="s">
        <v>23</v>
      </c>
      <c r="G1055" t="s">
        <v>40</v>
      </c>
      <c r="H1055" t="s">
        <v>25</v>
      </c>
      <c r="I1055" s="1">
        <v>2</v>
      </c>
      <c r="J1055" s="2">
        <v>46071</v>
      </c>
      <c r="K1055" s="2">
        <v>46054</v>
      </c>
      <c r="L1055" s="1" t="str">
        <f t="shared" si="67"/>
        <v>qua</v>
      </c>
      <c r="M1055" s="1" t="str">
        <f t="shared" si="68"/>
        <v>fev</v>
      </c>
      <c r="N1055">
        <f t="shared" si="69"/>
        <v>2026</v>
      </c>
      <c r="O1055" s="2"/>
      <c r="P1055" t="str">
        <f t="shared" si="62"/>
        <v>117146071</v>
      </c>
    </row>
    <row r="1056" spans="1:16" x14ac:dyDescent="0.3">
      <c r="A1056">
        <v>1171</v>
      </c>
      <c r="B1056">
        <v>52</v>
      </c>
      <c r="C1056" t="s">
        <v>26</v>
      </c>
      <c r="D1056" t="s">
        <v>22</v>
      </c>
      <c r="E1056" t="s">
        <v>17</v>
      </c>
      <c r="F1056" t="s">
        <v>23</v>
      </c>
      <c r="G1056" t="s">
        <v>40</v>
      </c>
      <c r="H1056" t="s">
        <v>25</v>
      </c>
      <c r="I1056" s="1">
        <v>2</v>
      </c>
      <c r="J1056" s="2">
        <v>46079</v>
      </c>
      <c r="K1056" s="2">
        <v>46054</v>
      </c>
      <c r="L1056" s="1" t="str">
        <f t="shared" si="67"/>
        <v>qui</v>
      </c>
      <c r="M1056" s="1" t="str">
        <f t="shared" si="68"/>
        <v>fev</v>
      </c>
      <c r="N1056">
        <f t="shared" si="69"/>
        <v>2026</v>
      </c>
      <c r="O1056" s="2"/>
      <c r="P1056" t="str">
        <f t="shared" si="62"/>
        <v>117146079</v>
      </c>
    </row>
    <row r="1057" spans="1:16" x14ac:dyDescent="0.3">
      <c r="A1057">
        <v>1171</v>
      </c>
      <c r="B1057">
        <v>52</v>
      </c>
      <c r="C1057" t="s">
        <v>26</v>
      </c>
      <c r="D1057" t="s">
        <v>22</v>
      </c>
      <c r="E1057" t="s">
        <v>17</v>
      </c>
      <c r="F1057" t="s">
        <v>23</v>
      </c>
      <c r="G1057" t="s">
        <v>40</v>
      </c>
      <c r="H1057" t="s">
        <v>25</v>
      </c>
      <c r="I1057" s="1">
        <v>2</v>
      </c>
      <c r="J1057" s="2">
        <v>46149</v>
      </c>
      <c r="K1057" s="2">
        <v>46143</v>
      </c>
      <c r="L1057" s="1" t="s">
        <v>51</v>
      </c>
      <c r="M1057" s="1" t="s">
        <v>49</v>
      </c>
      <c r="N1057">
        <v>2025</v>
      </c>
      <c r="O1057" s="2"/>
      <c r="P1057" t="str">
        <f t="shared" si="62"/>
        <v>117146149</v>
      </c>
    </row>
    <row r="1058" spans="1:16" x14ac:dyDescent="0.3">
      <c r="A1058">
        <v>1174</v>
      </c>
      <c r="B1058">
        <v>46</v>
      </c>
      <c r="C1058" t="s">
        <v>26</v>
      </c>
      <c r="D1058" t="s">
        <v>31</v>
      </c>
      <c r="E1058" t="s">
        <v>34</v>
      </c>
      <c r="F1058" t="s">
        <v>21</v>
      </c>
      <c r="G1058" t="s">
        <v>43</v>
      </c>
      <c r="H1058" t="s">
        <v>25</v>
      </c>
      <c r="I1058" s="1">
        <v>1</v>
      </c>
      <c r="J1058" s="2">
        <v>45763</v>
      </c>
      <c r="K1058" s="2">
        <v>45748</v>
      </c>
      <c r="L1058" s="1" t="str">
        <f t="shared" ref="L1058:L1063" si="70">TEXT(J1058,"ddd")</f>
        <v>qua</v>
      </c>
      <c r="M1058" s="1" t="str">
        <f t="shared" ref="M1058:M1063" si="71">TEXT($J1058,"mmm")</f>
        <v>abr</v>
      </c>
      <c r="N1058">
        <f t="shared" ref="N1058:N1063" si="72">YEAR(J1058)</f>
        <v>2025</v>
      </c>
      <c r="O1058" s="2"/>
      <c r="P1058" t="str">
        <f t="shared" si="62"/>
        <v>117445763</v>
      </c>
    </row>
    <row r="1059" spans="1:16" x14ac:dyDescent="0.3">
      <c r="A1059">
        <v>1174</v>
      </c>
      <c r="B1059">
        <v>46</v>
      </c>
      <c r="C1059" t="s">
        <v>26</v>
      </c>
      <c r="D1059" t="s">
        <v>31</v>
      </c>
      <c r="E1059" t="s">
        <v>34</v>
      </c>
      <c r="F1059" t="s">
        <v>21</v>
      </c>
      <c r="G1059" t="s">
        <v>43</v>
      </c>
      <c r="H1059" t="s">
        <v>25</v>
      </c>
      <c r="I1059" s="1">
        <v>1</v>
      </c>
      <c r="J1059" s="2">
        <v>45772</v>
      </c>
      <c r="K1059" s="2">
        <v>45748</v>
      </c>
      <c r="L1059" s="1" t="str">
        <f t="shared" si="70"/>
        <v>sex</v>
      </c>
      <c r="M1059" s="1" t="str">
        <f t="shared" si="71"/>
        <v>abr</v>
      </c>
      <c r="N1059">
        <f t="shared" si="72"/>
        <v>2025</v>
      </c>
      <c r="O1059" s="2"/>
      <c r="P1059" t="str">
        <f t="shared" si="62"/>
        <v>117445772</v>
      </c>
    </row>
    <row r="1060" spans="1:16" x14ac:dyDescent="0.3">
      <c r="A1060">
        <v>1174</v>
      </c>
      <c r="B1060">
        <v>46</v>
      </c>
      <c r="C1060" t="s">
        <v>26</v>
      </c>
      <c r="D1060" t="s">
        <v>31</v>
      </c>
      <c r="E1060" t="s">
        <v>34</v>
      </c>
      <c r="F1060" t="s">
        <v>21</v>
      </c>
      <c r="G1060" t="s">
        <v>43</v>
      </c>
      <c r="H1060" t="s">
        <v>25</v>
      </c>
      <c r="I1060" s="1">
        <v>1</v>
      </c>
      <c r="J1060" s="2">
        <v>45773</v>
      </c>
      <c r="K1060" s="2">
        <v>45748</v>
      </c>
      <c r="L1060" s="1" t="str">
        <f t="shared" si="70"/>
        <v>sáb</v>
      </c>
      <c r="M1060" s="1" t="str">
        <f t="shared" si="71"/>
        <v>abr</v>
      </c>
      <c r="N1060">
        <f t="shared" si="72"/>
        <v>2025</v>
      </c>
      <c r="O1060" s="2"/>
      <c r="P1060" t="str">
        <f t="shared" si="62"/>
        <v>117445773</v>
      </c>
    </row>
    <row r="1061" spans="1:16" x14ac:dyDescent="0.3">
      <c r="A1061">
        <v>1174</v>
      </c>
      <c r="B1061">
        <v>46</v>
      </c>
      <c r="C1061" t="s">
        <v>26</v>
      </c>
      <c r="D1061" t="s">
        <v>31</v>
      </c>
      <c r="E1061" t="s">
        <v>34</v>
      </c>
      <c r="F1061" t="s">
        <v>21</v>
      </c>
      <c r="G1061" t="s">
        <v>43</v>
      </c>
      <c r="H1061" t="s">
        <v>25</v>
      </c>
      <c r="I1061" s="1">
        <v>1</v>
      </c>
      <c r="J1061" s="2">
        <v>45893</v>
      </c>
      <c r="K1061" s="2">
        <v>45870</v>
      </c>
      <c r="L1061" s="1" t="str">
        <f t="shared" si="70"/>
        <v>dom</v>
      </c>
      <c r="M1061" s="1" t="str">
        <f t="shared" si="71"/>
        <v>ago</v>
      </c>
      <c r="N1061">
        <f t="shared" si="72"/>
        <v>2025</v>
      </c>
      <c r="O1061" s="2"/>
      <c r="P1061" t="str">
        <f t="shared" si="62"/>
        <v>117445893</v>
      </c>
    </row>
    <row r="1062" spans="1:16" x14ac:dyDescent="0.3">
      <c r="A1062">
        <v>1174</v>
      </c>
      <c r="B1062">
        <v>46</v>
      </c>
      <c r="C1062" t="s">
        <v>26</v>
      </c>
      <c r="D1062" t="s">
        <v>31</v>
      </c>
      <c r="E1062" t="s">
        <v>34</v>
      </c>
      <c r="F1062" t="s">
        <v>21</v>
      </c>
      <c r="G1062" t="s">
        <v>43</v>
      </c>
      <c r="H1062" t="s">
        <v>25</v>
      </c>
      <c r="I1062" s="1">
        <v>1</v>
      </c>
      <c r="J1062" s="2">
        <v>45897</v>
      </c>
      <c r="K1062" s="2">
        <v>45870</v>
      </c>
      <c r="L1062" s="1" t="str">
        <f t="shared" si="70"/>
        <v>qui</v>
      </c>
      <c r="M1062" s="1" t="str">
        <f t="shared" si="71"/>
        <v>ago</v>
      </c>
      <c r="N1062">
        <f t="shared" si="72"/>
        <v>2025</v>
      </c>
      <c r="O1062" s="2"/>
      <c r="P1062" t="str">
        <f t="shared" si="62"/>
        <v>117445897</v>
      </c>
    </row>
    <row r="1063" spans="1:16" x14ac:dyDescent="0.3">
      <c r="A1063">
        <v>1174</v>
      </c>
      <c r="B1063">
        <v>46</v>
      </c>
      <c r="C1063" t="s">
        <v>26</v>
      </c>
      <c r="D1063" t="s">
        <v>31</v>
      </c>
      <c r="E1063" t="s">
        <v>34</v>
      </c>
      <c r="F1063" t="s">
        <v>21</v>
      </c>
      <c r="G1063" t="s">
        <v>43</v>
      </c>
      <c r="H1063" t="s">
        <v>25</v>
      </c>
      <c r="I1063" s="1">
        <v>1</v>
      </c>
      <c r="J1063" s="2">
        <v>45942</v>
      </c>
      <c r="K1063" s="2">
        <v>45931</v>
      </c>
      <c r="L1063" s="1" t="str">
        <f t="shared" si="70"/>
        <v>dom</v>
      </c>
      <c r="M1063" s="1" t="str">
        <f t="shared" si="71"/>
        <v>out</v>
      </c>
      <c r="N1063">
        <f t="shared" si="72"/>
        <v>2025</v>
      </c>
      <c r="O1063" s="2"/>
      <c r="P1063" t="str">
        <f t="shared" si="62"/>
        <v>117445942</v>
      </c>
    </row>
    <row r="1064" spans="1:16" x14ac:dyDescent="0.3">
      <c r="A1064">
        <v>1174</v>
      </c>
      <c r="B1064">
        <v>46</v>
      </c>
      <c r="C1064" t="s">
        <v>26</v>
      </c>
      <c r="D1064" t="s">
        <v>31</v>
      </c>
      <c r="E1064" t="s">
        <v>34</v>
      </c>
      <c r="F1064" t="s">
        <v>21</v>
      </c>
      <c r="G1064" t="s">
        <v>43</v>
      </c>
      <c r="H1064" t="s">
        <v>25</v>
      </c>
      <c r="I1064" s="1">
        <v>1</v>
      </c>
      <c r="J1064" s="2">
        <v>46128</v>
      </c>
      <c r="K1064" s="2">
        <v>46113</v>
      </c>
      <c r="L1064" s="1" t="s">
        <v>51</v>
      </c>
      <c r="M1064" s="1" t="s">
        <v>48</v>
      </c>
      <c r="N1064">
        <v>2025</v>
      </c>
      <c r="O1064" s="2"/>
      <c r="P1064" t="str">
        <f t="shared" si="62"/>
        <v>117446128</v>
      </c>
    </row>
    <row r="1065" spans="1:16" x14ac:dyDescent="0.3">
      <c r="A1065">
        <v>1174</v>
      </c>
      <c r="B1065">
        <v>46</v>
      </c>
      <c r="C1065" t="s">
        <v>26</v>
      </c>
      <c r="D1065" t="s">
        <v>31</v>
      </c>
      <c r="E1065" t="s">
        <v>34</v>
      </c>
      <c r="F1065" t="s">
        <v>21</v>
      </c>
      <c r="G1065" t="s">
        <v>43</v>
      </c>
      <c r="H1065" t="s">
        <v>25</v>
      </c>
      <c r="I1065" s="1">
        <v>1</v>
      </c>
      <c r="J1065" s="2">
        <v>46137</v>
      </c>
      <c r="K1065" s="2">
        <v>46113</v>
      </c>
      <c r="L1065" s="1" t="s">
        <v>53</v>
      </c>
      <c r="M1065" s="1" t="s">
        <v>48</v>
      </c>
      <c r="N1065">
        <v>2025</v>
      </c>
      <c r="O1065" s="2"/>
      <c r="P1065" t="str">
        <f t="shared" si="62"/>
        <v>117446137</v>
      </c>
    </row>
    <row r="1066" spans="1:16" x14ac:dyDescent="0.3">
      <c r="A1066">
        <v>1174</v>
      </c>
      <c r="B1066">
        <v>46</v>
      </c>
      <c r="C1066" t="s">
        <v>26</v>
      </c>
      <c r="D1066" t="s">
        <v>31</v>
      </c>
      <c r="E1066" t="s">
        <v>34</v>
      </c>
      <c r="F1066" t="s">
        <v>21</v>
      </c>
      <c r="G1066" t="s">
        <v>43</v>
      </c>
      <c r="H1066" t="s">
        <v>25</v>
      </c>
      <c r="I1066" s="1">
        <v>1</v>
      </c>
      <c r="J1066" s="2">
        <v>46138</v>
      </c>
      <c r="K1066" s="2">
        <v>46113</v>
      </c>
      <c r="L1066" s="1" t="s">
        <v>54</v>
      </c>
      <c r="M1066" s="1" t="s">
        <v>48</v>
      </c>
      <c r="N1066">
        <v>2025</v>
      </c>
      <c r="O1066" s="2"/>
      <c r="P1066" t="str">
        <f t="shared" si="62"/>
        <v>117446138</v>
      </c>
    </row>
    <row r="1067" spans="1:16" x14ac:dyDescent="0.3">
      <c r="A1067">
        <v>1176</v>
      </c>
      <c r="B1067">
        <v>26</v>
      </c>
      <c r="C1067" t="s">
        <v>26</v>
      </c>
      <c r="D1067" t="s">
        <v>16</v>
      </c>
      <c r="E1067" t="s">
        <v>17</v>
      </c>
      <c r="F1067" t="s">
        <v>21</v>
      </c>
      <c r="G1067" t="s">
        <v>41</v>
      </c>
      <c r="H1067" t="s">
        <v>25</v>
      </c>
      <c r="I1067" s="1">
        <v>2</v>
      </c>
      <c r="J1067" s="2">
        <v>46188</v>
      </c>
      <c r="K1067" s="2">
        <v>45809</v>
      </c>
      <c r="L1067" s="1" t="str">
        <f t="shared" ref="L1067:L1076" si="73">TEXT(J1067,"ddd")</f>
        <v>seg</v>
      </c>
      <c r="M1067" s="1" t="str">
        <f t="shared" ref="M1067:M1076" si="74">TEXT($J1067,"mmm")</f>
        <v>jun</v>
      </c>
      <c r="N1067">
        <f t="shared" ref="N1067:N1076" si="75">YEAR(J1067)</f>
        <v>2026</v>
      </c>
      <c r="O1067" s="2"/>
      <c r="P1067" t="str">
        <f t="shared" si="62"/>
        <v>117646188</v>
      </c>
    </row>
    <row r="1068" spans="1:16" x14ac:dyDescent="0.3">
      <c r="A1068">
        <v>1176</v>
      </c>
      <c r="B1068">
        <v>26</v>
      </c>
      <c r="C1068" t="s">
        <v>26</v>
      </c>
      <c r="D1068" t="s">
        <v>16</v>
      </c>
      <c r="E1068" t="s">
        <v>17</v>
      </c>
      <c r="F1068" t="s">
        <v>21</v>
      </c>
      <c r="G1068" t="s">
        <v>41</v>
      </c>
      <c r="H1068" t="s">
        <v>25</v>
      </c>
      <c r="I1068" s="1">
        <v>2</v>
      </c>
      <c r="J1068" s="2">
        <v>46192</v>
      </c>
      <c r="K1068" s="2">
        <v>45809</v>
      </c>
      <c r="L1068" s="1" t="str">
        <f t="shared" si="73"/>
        <v>sex</v>
      </c>
      <c r="M1068" s="1" t="str">
        <f t="shared" si="74"/>
        <v>jun</v>
      </c>
      <c r="N1068">
        <f t="shared" si="75"/>
        <v>2026</v>
      </c>
      <c r="O1068" s="2"/>
      <c r="P1068" t="str">
        <f t="shared" si="62"/>
        <v>117646192</v>
      </c>
    </row>
    <row r="1069" spans="1:16" x14ac:dyDescent="0.3">
      <c r="A1069">
        <v>1176</v>
      </c>
      <c r="B1069">
        <v>26</v>
      </c>
      <c r="C1069" t="s">
        <v>26</v>
      </c>
      <c r="D1069" t="s">
        <v>16</v>
      </c>
      <c r="E1069" t="s">
        <v>17</v>
      </c>
      <c r="F1069" t="s">
        <v>21</v>
      </c>
      <c r="G1069" t="s">
        <v>41</v>
      </c>
      <c r="H1069" t="s">
        <v>25</v>
      </c>
      <c r="I1069" s="1">
        <v>2</v>
      </c>
      <c r="J1069" s="2">
        <v>46013</v>
      </c>
      <c r="K1069" s="2">
        <v>45992</v>
      </c>
      <c r="L1069" s="1" t="str">
        <f t="shared" si="73"/>
        <v>seg</v>
      </c>
      <c r="M1069" s="1" t="str">
        <f t="shared" si="74"/>
        <v>dez</v>
      </c>
      <c r="N1069">
        <f t="shared" si="75"/>
        <v>2025</v>
      </c>
      <c r="O1069" s="2"/>
      <c r="P1069" t="str">
        <f t="shared" si="62"/>
        <v>117646013</v>
      </c>
    </row>
    <row r="1070" spans="1:16" x14ac:dyDescent="0.3">
      <c r="A1070">
        <v>1176</v>
      </c>
      <c r="B1070">
        <v>26</v>
      </c>
      <c r="C1070" t="s">
        <v>26</v>
      </c>
      <c r="D1070" t="s">
        <v>16</v>
      </c>
      <c r="E1070" t="s">
        <v>17</v>
      </c>
      <c r="F1070" t="s">
        <v>21</v>
      </c>
      <c r="G1070" t="s">
        <v>41</v>
      </c>
      <c r="H1070" t="s">
        <v>25</v>
      </c>
      <c r="I1070" s="1">
        <v>2</v>
      </c>
      <c r="J1070" s="2">
        <v>46106</v>
      </c>
      <c r="K1070" s="2">
        <v>46082</v>
      </c>
      <c r="L1070" s="1" t="str">
        <f t="shared" si="73"/>
        <v>qua</v>
      </c>
      <c r="M1070" s="1" t="str">
        <f t="shared" si="74"/>
        <v>mar</v>
      </c>
      <c r="N1070">
        <f t="shared" si="75"/>
        <v>2026</v>
      </c>
      <c r="O1070" s="2"/>
      <c r="P1070" t="str">
        <f t="shared" si="62"/>
        <v>117646106</v>
      </c>
    </row>
    <row r="1071" spans="1:16" x14ac:dyDescent="0.3">
      <c r="A1071">
        <v>1179</v>
      </c>
      <c r="B1071">
        <v>47</v>
      </c>
      <c r="C1071" t="s">
        <v>15</v>
      </c>
      <c r="D1071" t="s">
        <v>29</v>
      </c>
      <c r="E1071" t="s">
        <v>17</v>
      </c>
      <c r="F1071" t="s">
        <v>18</v>
      </c>
      <c r="G1071" t="s">
        <v>44</v>
      </c>
      <c r="H1071" t="s">
        <v>25</v>
      </c>
      <c r="I1071" s="1">
        <v>2</v>
      </c>
      <c r="J1071" s="2">
        <v>45786</v>
      </c>
      <c r="K1071" s="2">
        <v>45778</v>
      </c>
      <c r="L1071" s="1" t="str">
        <f t="shared" si="73"/>
        <v>sex</v>
      </c>
      <c r="M1071" s="1" t="str">
        <f t="shared" si="74"/>
        <v>mai</v>
      </c>
      <c r="N1071">
        <f t="shared" si="75"/>
        <v>2025</v>
      </c>
      <c r="O1071" s="2"/>
      <c r="P1071" t="str">
        <f t="shared" si="62"/>
        <v>117945786</v>
      </c>
    </row>
    <row r="1072" spans="1:16" x14ac:dyDescent="0.3">
      <c r="A1072">
        <v>1179</v>
      </c>
      <c r="B1072">
        <v>47</v>
      </c>
      <c r="C1072" t="s">
        <v>15</v>
      </c>
      <c r="D1072" t="s">
        <v>29</v>
      </c>
      <c r="E1072" t="s">
        <v>17</v>
      </c>
      <c r="F1072" t="s">
        <v>18</v>
      </c>
      <c r="G1072" t="s">
        <v>44</v>
      </c>
      <c r="H1072" t="s">
        <v>25</v>
      </c>
      <c r="I1072" s="1">
        <v>2</v>
      </c>
      <c r="J1072" s="2">
        <v>45793</v>
      </c>
      <c r="K1072" s="2">
        <v>45778</v>
      </c>
      <c r="L1072" s="1" t="str">
        <f t="shared" si="73"/>
        <v>sex</v>
      </c>
      <c r="M1072" s="1" t="str">
        <f t="shared" si="74"/>
        <v>mai</v>
      </c>
      <c r="N1072">
        <f t="shared" si="75"/>
        <v>2025</v>
      </c>
      <c r="O1072" s="2"/>
      <c r="P1072" t="str">
        <f t="shared" si="62"/>
        <v>117945793</v>
      </c>
    </row>
    <row r="1073" spans="1:16" x14ac:dyDescent="0.3">
      <c r="A1073">
        <v>1179</v>
      </c>
      <c r="B1073">
        <v>47</v>
      </c>
      <c r="C1073" t="s">
        <v>15</v>
      </c>
      <c r="D1073" t="s">
        <v>29</v>
      </c>
      <c r="E1073" t="s">
        <v>17</v>
      </c>
      <c r="F1073" t="s">
        <v>18</v>
      </c>
      <c r="G1073" t="s">
        <v>42</v>
      </c>
      <c r="H1073" t="s">
        <v>25</v>
      </c>
      <c r="I1073" s="1">
        <v>2</v>
      </c>
      <c r="J1073" s="2">
        <v>46178</v>
      </c>
      <c r="K1073" s="2">
        <v>45809</v>
      </c>
      <c r="L1073" s="1" t="str">
        <f t="shared" si="73"/>
        <v>sex</v>
      </c>
      <c r="M1073" s="1" t="str">
        <f t="shared" si="74"/>
        <v>jun</v>
      </c>
      <c r="N1073">
        <f t="shared" si="75"/>
        <v>2026</v>
      </c>
      <c r="O1073" s="2"/>
      <c r="P1073" t="str">
        <f t="shared" si="62"/>
        <v>117946178</v>
      </c>
    </row>
    <row r="1074" spans="1:16" x14ac:dyDescent="0.3">
      <c r="A1074">
        <v>1179</v>
      </c>
      <c r="B1074">
        <v>47</v>
      </c>
      <c r="C1074" t="s">
        <v>15</v>
      </c>
      <c r="D1074" t="s">
        <v>29</v>
      </c>
      <c r="E1074" t="s">
        <v>17</v>
      </c>
      <c r="F1074" t="s">
        <v>18</v>
      </c>
      <c r="G1074" t="s">
        <v>44</v>
      </c>
      <c r="H1074" t="s">
        <v>25</v>
      </c>
      <c r="I1074" s="1">
        <v>2</v>
      </c>
      <c r="J1074" s="2">
        <v>45916</v>
      </c>
      <c r="K1074" s="2">
        <v>45901</v>
      </c>
      <c r="L1074" s="1" t="str">
        <f t="shared" si="73"/>
        <v>ter</v>
      </c>
      <c r="M1074" s="1" t="str">
        <f t="shared" si="74"/>
        <v>set</v>
      </c>
      <c r="N1074">
        <f t="shared" si="75"/>
        <v>2025</v>
      </c>
      <c r="O1074" s="2"/>
      <c r="P1074" t="str">
        <f t="shared" si="62"/>
        <v>117945916</v>
      </c>
    </row>
    <row r="1075" spans="1:16" x14ac:dyDescent="0.3">
      <c r="A1075">
        <v>1179</v>
      </c>
      <c r="B1075">
        <v>47</v>
      </c>
      <c r="C1075" t="s">
        <v>15</v>
      </c>
      <c r="D1075" t="s">
        <v>29</v>
      </c>
      <c r="E1075" t="s">
        <v>17</v>
      </c>
      <c r="F1075" t="s">
        <v>18</v>
      </c>
      <c r="G1075" t="s">
        <v>44</v>
      </c>
      <c r="H1075" t="s">
        <v>25</v>
      </c>
      <c r="I1075" s="1">
        <v>2</v>
      </c>
      <c r="J1075" s="2">
        <v>45936</v>
      </c>
      <c r="K1075" s="2">
        <v>45931</v>
      </c>
      <c r="L1075" s="1" t="str">
        <f t="shared" si="73"/>
        <v>seg</v>
      </c>
      <c r="M1075" s="1" t="str">
        <f t="shared" si="74"/>
        <v>out</v>
      </c>
      <c r="N1075">
        <f t="shared" si="75"/>
        <v>2025</v>
      </c>
      <c r="O1075" s="2"/>
      <c r="P1075" t="str">
        <f t="shared" si="62"/>
        <v>117945936</v>
      </c>
    </row>
    <row r="1076" spans="1:16" x14ac:dyDescent="0.3">
      <c r="A1076">
        <v>1179</v>
      </c>
      <c r="B1076">
        <v>47</v>
      </c>
      <c r="C1076" t="s">
        <v>15</v>
      </c>
      <c r="D1076" t="s">
        <v>29</v>
      </c>
      <c r="E1076" t="s">
        <v>17</v>
      </c>
      <c r="F1076" t="s">
        <v>18</v>
      </c>
      <c r="G1076" t="s">
        <v>42</v>
      </c>
      <c r="H1076" t="s">
        <v>25</v>
      </c>
      <c r="I1076" s="1">
        <v>2</v>
      </c>
      <c r="J1076" s="2">
        <v>45971</v>
      </c>
      <c r="K1076" s="2">
        <v>45962</v>
      </c>
      <c r="L1076" s="1" t="str">
        <f t="shared" si="73"/>
        <v>seg</v>
      </c>
      <c r="M1076" s="1" t="str">
        <f t="shared" si="74"/>
        <v>nov</v>
      </c>
      <c r="N1076">
        <f t="shared" si="75"/>
        <v>2025</v>
      </c>
      <c r="O1076" s="2"/>
      <c r="P1076" t="str">
        <f t="shared" si="62"/>
        <v>117945971</v>
      </c>
    </row>
    <row r="1077" spans="1:16" x14ac:dyDescent="0.3">
      <c r="A1077">
        <v>1179</v>
      </c>
      <c r="B1077">
        <v>47</v>
      </c>
      <c r="C1077" t="s">
        <v>15</v>
      </c>
      <c r="D1077" t="s">
        <v>29</v>
      </c>
      <c r="E1077" t="s">
        <v>17</v>
      </c>
      <c r="F1077" t="s">
        <v>18</v>
      </c>
      <c r="G1077" t="s">
        <v>44</v>
      </c>
      <c r="H1077" t="s">
        <v>25</v>
      </c>
      <c r="I1077" s="1">
        <v>2</v>
      </c>
      <c r="J1077" s="2">
        <v>46151</v>
      </c>
      <c r="K1077" s="2">
        <v>46143</v>
      </c>
      <c r="L1077" s="1" t="s">
        <v>53</v>
      </c>
      <c r="M1077" s="1" t="s">
        <v>49</v>
      </c>
      <c r="N1077">
        <v>2025</v>
      </c>
      <c r="O1077" s="2"/>
      <c r="P1077" t="str">
        <f t="shared" si="62"/>
        <v>117946151</v>
      </c>
    </row>
    <row r="1078" spans="1:16" x14ac:dyDescent="0.3">
      <c r="A1078">
        <v>1179</v>
      </c>
      <c r="B1078">
        <v>47</v>
      </c>
      <c r="C1078" t="s">
        <v>15</v>
      </c>
      <c r="D1078" t="s">
        <v>29</v>
      </c>
      <c r="E1078" t="s">
        <v>17</v>
      </c>
      <c r="F1078" t="s">
        <v>18</v>
      </c>
      <c r="G1078" t="s">
        <v>44</v>
      </c>
      <c r="H1078" t="s">
        <v>25</v>
      </c>
      <c r="I1078" s="1">
        <v>2</v>
      </c>
      <c r="J1078" s="2">
        <v>46158</v>
      </c>
      <c r="K1078" s="2">
        <v>46143</v>
      </c>
      <c r="L1078" s="1" t="s">
        <v>53</v>
      </c>
      <c r="M1078" s="1" t="s">
        <v>49</v>
      </c>
      <c r="N1078">
        <v>2025</v>
      </c>
      <c r="O1078" s="2"/>
      <c r="P1078" t="str">
        <f t="shared" si="62"/>
        <v>117946158</v>
      </c>
    </row>
    <row r="1079" spans="1:16" x14ac:dyDescent="0.3">
      <c r="A1079">
        <v>1180</v>
      </c>
      <c r="B1079">
        <v>18</v>
      </c>
      <c r="C1079" t="s">
        <v>15</v>
      </c>
      <c r="D1079" t="s">
        <v>29</v>
      </c>
      <c r="E1079" t="s">
        <v>17</v>
      </c>
      <c r="F1079" t="s">
        <v>23</v>
      </c>
      <c r="G1079" t="s">
        <v>41</v>
      </c>
      <c r="H1079" t="s">
        <v>20</v>
      </c>
      <c r="I1079" s="1">
        <v>1</v>
      </c>
      <c r="J1079" s="2">
        <v>45813</v>
      </c>
      <c r="K1079" s="2">
        <v>45809</v>
      </c>
      <c r="L1079" s="1" t="str">
        <f t="shared" ref="L1079:L1120" si="76">TEXT(J1079,"ddd")</f>
        <v>qui</v>
      </c>
      <c r="M1079" s="1" t="str">
        <f t="shared" ref="M1079:M1120" si="77">TEXT($J1079,"mmm")</f>
        <v>jun</v>
      </c>
      <c r="N1079">
        <f t="shared" ref="N1079:N1120" si="78">YEAR(J1079)</f>
        <v>2025</v>
      </c>
      <c r="O1079" s="2">
        <f>_xlfn.XLOOKUP(A1079,Colaboradores!$A:$A,Colaboradores!$S:$S,"",0)</f>
        <v>46017</v>
      </c>
      <c r="P1079" t="str">
        <f t="shared" si="62"/>
        <v>118045813</v>
      </c>
    </row>
    <row r="1080" spans="1:16" x14ac:dyDescent="0.3">
      <c r="A1080">
        <v>1180</v>
      </c>
      <c r="B1080">
        <v>18</v>
      </c>
      <c r="C1080" t="s">
        <v>15</v>
      </c>
      <c r="D1080" t="s">
        <v>29</v>
      </c>
      <c r="E1080" t="s">
        <v>17</v>
      </c>
      <c r="F1080" t="s">
        <v>23</v>
      </c>
      <c r="G1080" t="s">
        <v>41</v>
      </c>
      <c r="H1080" t="s">
        <v>20</v>
      </c>
      <c r="I1080" s="1">
        <v>1</v>
      </c>
      <c r="J1080" s="2">
        <v>45851</v>
      </c>
      <c r="K1080" s="2">
        <v>45839</v>
      </c>
      <c r="L1080" s="1" t="str">
        <f t="shared" si="76"/>
        <v>dom</v>
      </c>
      <c r="M1080" s="1" t="str">
        <f t="shared" si="77"/>
        <v>jul</v>
      </c>
      <c r="N1080">
        <f t="shared" si="78"/>
        <v>2025</v>
      </c>
      <c r="O1080" s="2">
        <f>_xlfn.XLOOKUP(A1080,Colaboradores!$A:$A,Colaboradores!$S:$S,"",0)</f>
        <v>46017</v>
      </c>
      <c r="P1080" t="str">
        <f t="shared" si="62"/>
        <v>118045851</v>
      </c>
    </row>
    <row r="1081" spans="1:16" x14ac:dyDescent="0.3">
      <c r="A1081">
        <v>1180</v>
      </c>
      <c r="B1081">
        <v>18</v>
      </c>
      <c r="C1081" t="s">
        <v>15</v>
      </c>
      <c r="D1081" t="s">
        <v>29</v>
      </c>
      <c r="E1081" t="s">
        <v>17</v>
      </c>
      <c r="F1081" t="s">
        <v>23</v>
      </c>
      <c r="G1081" t="s">
        <v>41</v>
      </c>
      <c r="H1081" t="s">
        <v>20</v>
      </c>
      <c r="I1081" s="1">
        <v>1</v>
      </c>
      <c r="J1081" s="2">
        <v>45874</v>
      </c>
      <c r="K1081" s="2">
        <v>45870</v>
      </c>
      <c r="L1081" s="1" t="str">
        <f t="shared" si="76"/>
        <v>ter</v>
      </c>
      <c r="M1081" s="1" t="str">
        <f t="shared" si="77"/>
        <v>ago</v>
      </c>
      <c r="N1081">
        <f t="shared" si="78"/>
        <v>2025</v>
      </c>
      <c r="O1081" s="2">
        <f>_xlfn.XLOOKUP(A1081,Colaboradores!$A:$A,Colaboradores!$S:$S,"",0)</f>
        <v>46017</v>
      </c>
      <c r="P1081" t="str">
        <f t="shared" si="62"/>
        <v>118045874</v>
      </c>
    </row>
    <row r="1082" spans="1:16" x14ac:dyDescent="0.3">
      <c r="A1082">
        <v>1180</v>
      </c>
      <c r="B1082">
        <v>18</v>
      </c>
      <c r="C1082" t="s">
        <v>15</v>
      </c>
      <c r="D1082" t="s">
        <v>29</v>
      </c>
      <c r="E1082" t="s">
        <v>17</v>
      </c>
      <c r="F1082" t="s">
        <v>23</v>
      </c>
      <c r="G1082" t="s">
        <v>41</v>
      </c>
      <c r="H1082" t="s">
        <v>20</v>
      </c>
      <c r="I1082" s="1">
        <v>1</v>
      </c>
      <c r="J1082" s="2">
        <v>45889</v>
      </c>
      <c r="K1082" s="2">
        <v>45870</v>
      </c>
      <c r="L1082" s="1" t="str">
        <f t="shared" si="76"/>
        <v>qua</v>
      </c>
      <c r="M1082" s="1" t="str">
        <f t="shared" si="77"/>
        <v>ago</v>
      </c>
      <c r="N1082">
        <f t="shared" si="78"/>
        <v>2025</v>
      </c>
      <c r="O1082" s="2">
        <f>_xlfn.XLOOKUP(A1082,Colaboradores!$A:$A,Colaboradores!$S:$S,"",0)</f>
        <v>46017</v>
      </c>
      <c r="P1082" t="str">
        <f t="shared" si="62"/>
        <v>118045889</v>
      </c>
    </row>
    <row r="1083" spans="1:16" x14ac:dyDescent="0.3">
      <c r="A1083">
        <v>1180</v>
      </c>
      <c r="B1083">
        <v>18</v>
      </c>
      <c r="C1083" t="s">
        <v>15</v>
      </c>
      <c r="D1083" t="s">
        <v>29</v>
      </c>
      <c r="E1083" t="s">
        <v>17</v>
      </c>
      <c r="F1083" t="s">
        <v>23</v>
      </c>
      <c r="G1083" t="s">
        <v>41</v>
      </c>
      <c r="H1083" t="s">
        <v>20</v>
      </c>
      <c r="I1083" s="1">
        <v>1</v>
      </c>
      <c r="J1083" s="2">
        <v>45941</v>
      </c>
      <c r="K1083" s="2">
        <v>45931</v>
      </c>
      <c r="L1083" s="1" t="str">
        <f t="shared" si="76"/>
        <v>sáb</v>
      </c>
      <c r="M1083" s="1" t="str">
        <f t="shared" si="77"/>
        <v>out</v>
      </c>
      <c r="N1083">
        <f t="shared" si="78"/>
        <v>2025</v>
      </c>
      <c r="O1083" s="2">
        <f>_xlfn.XLOOKUP(A1083,Colaboradores!$A:$A,Colaboradores!$S:$S,"",0)</f>
        <v>46017</v>
      </c>
      <c r="P1083" t="str">
        <f t="shared" si="62"/>
        <v>118045941</v>
      </c>
    </row>
    <row r="1084" spans="1:16" x14ac:dyDescent="0.3">
      <c r="A1084">
        <v>1180</v>
      </c>
      <c r="B1084">
        <v>18</v>
      </c>
      <c r="C1084" t="s">
        <v>15</v>
      </c>
      <c r="D1084" t="s">
        <v>29</v>
      </c>
      <c r="E1084" t="s">
        <v>17</v>
      </c>
      <c r="F1084" t="s">
        <v>23</v>
      </c>
      <c r="G1084" t="s">
        <v>41</v>
      </c>
      <c r="H1084" t="s">
        <v>20</v>
      </c>
      <c r="I1084" s="1">
        <v>1</v>
      </c>
      <c r="J1084" s="2">
        <v>46000</v>
      </c>
      <c r="K1084" s="2">
        <v>45992</v>
      </c>
      <c r="L1084" s="1" t="str">
        <f t="shared" si="76"/>
        <v>ter</v>
      </c>
      <c r="M1084" s="1" t="str">
        <f t="shared" si="77"/>
        <v>dez</v>
      </c>
      <c r="N1084">
        <f t="shared" si="78"/>
        <v>2025</v>
      </c>
      <c r="O1084" s="2">
        <f>_xlfn.XLOOKUP(A1084,Colaboradores!$A:$A,Colaboradores!$S:$S,"",0)</f>
        <v>46017</v>
      </c>
      <c r="P1084" t="str">
        <f t="shared" si="62"/>
        <v>118046000</v>
      </c>
    </row>
    <row r="1085" spans="1:16" x14ac:dyDescent="0.3">
      <c r="A1085">
        <v>1182</v>
      </c>
      <c r="B1085">
        <v>52</v>
      </c>
      <c r="C1085" t="s">
        <v>15</v>
      </c>
      <c r="D1085" t="s">
        <v>27</v>
      </c>
      <c r="E1085" t="s">
        <v>17</v>
      </c>
      <c r="F1085" t="s">
        <v>18</v>
      </c>
      <c r="G1085" t="s">
        <v>40</v>
      </c>
      <c r="H1085" t="s">
        <v>25</v>
      </c>
      <c r="I1085" s="1">
        <v>3</v>
      </c>
      <c r="J1085" s="2">
        <v>46177</v>
      </c>
      <c r="K1085" s="2">
        <v>45809</v>
      </c>
      <c r="L1085" s="1" t="str">
        <f t="shared" si="76"/>
        <v>qui</v>
      </c>
      <c r="M1085" s="1" t="str">
        <f t="shared" si="77"/>
        <v>jun</v>
      </c>
      <c r="N1085">
        <f t="shared" si="78"/>
        <v>2026</v>
      </c>
      <c r="O1085" s="2"/>
      <c r="P1085" t="str">
        <f t="shared" si="62"/>
        <v>118246177</v>
      </c>
    </row>
    <row r="1086" spans="1:16" x14ac:dyDescent="0.3">
      <c r="A1086">
        <v>1182</v>
      </c>
      <c r="B1086">
        <v>52</v>
      </c>
      <c r="C1086" t="s">
        <v>15</v>
      </c>
      <c r="D1086" t="s">
        <v>27</v>
      </c>
      <c r="E1086" t="s">
        <v>17</v>
      </c>
      <c r="F1086" t="s">
        <v>18</v>
      </c>
      <c r="G1086" t="s">
        <v>40</v>
      </c>
      <c r="H1086" t="s">
        <v>25</v>
      </c>
      <c r="I1086" s="1">
        <v>3</v>
      </c>
      <c r="J1086" s="2">
        <v>45920</v>
      </c>
      <c r="K1086" s="2">
        <v>45901</v>
      </c>
      <c r="L1086" s="1" t="str">
        <f t="shared" si="76"/>
        <v>sáb</v>
      </c>
      <c r="M1086" s="1" t="str">
        <f t="shared" si="77"/>
        <v>set</v>
      </c>
      <c r="N1086">
        <f t="shared" si="78"/>
        <v>2025</v>
      </c>
      <c r="O1086" s="2"/>
      <c r="P1086" t="str">
        <f t="shared" si="62"/>
        <v>118245920</v>
      </c>
    </row>
    <row r="1087" spans="1:16" x14ac:dyDescent="0.3">
      <c r="A1087">
        <v>1182</v>
      </c>
      <c r="B1087">
        <v>52</v>
      </c>
      <c r="C1087" t="s">
        <v>15</v>
      </c>
      <c r="D1087" t="s">
        <v>27</v>
      </c>
      <c r="E1087" t="s">
        <v>17</v>
      </c>
      <c r="F1087" t="s">
        <v>18</v>
      </c>
      <c r="G1087" t="s">
        <v>40</v>
      </c>
      <c r="H1087" t="s">
        <v>25</v>
      </c>
      <c r="I1087" s="1">
        <v>3</v>
      </c>
      <c r="J1087" s="2">
        <v>45931</v>
      </c>
      <c r="K1087" s="2">
        <v>45931</v>
      </c>
      <c r="L1087" s="1" t="str">
        <f t="shared" si="76"/>
        <v>qua</v>
      </c>
      <c r="M1087" s="1" t="str">
        <f t="shared" si="77"/>
        <v>out</v>
      </c>
      <c r="N1087">
        <f t="shared" si="78"/>
        <v>2025</v>
      </c>
      <c r="O1087" s="2"/>
      <c r="P1087" t="str">
        <f t="shared" si="62"/>
        <v>118245931</v>
      </c>
    </row>
    <row r="1088" spans="1:16" x14ac:dyDescent="0.3">
      <c r="A1088">
        <v>1182</v>
      </c>
      <c r="B1088">
        <v>52</v>
      </c>
      <c r="C1088" t="s">
        <v>15</v>
      </c>
      <c r="D1088" t="s">
        <v>27</v>
      </c>
      <c r="E1088" t="s">
        <v>17</v>
      </c>
      <c r="F1088" t="s">
        <v>18</v>
      </c>
      <c r="G1088" t="s">
        <v>40</v>
      </c>
      <c r="H1088" t="s">
        <v>25</v>
      </c>
      <c r="I1088" s="1">
        <v>3</v>
      </c>
      <c r="J1088" s="2">
        <v>45946</v>
      </c>
      <c r="K1088" s="2">
        <v>45931</v>
      </c>
      <c r="L1088" s="1" t="str">
        <f t="shared" si="76"/>
        <v>qui</v>
      </c>
      <c r="M1088" s="1" t="str">
        <f t="shared" si="77"/>
        <v>out</v>
      </c>
      <c r="N1088">
        <f t="shared" si="78"/>
        <v>2025</v>
      </c>
      <c r="O1088" s="2"/>
      <c r="P1088" t="str">
        <f t="shared" si="62"/>
        <v>118245946</v>
      </c>
    </row>
    <row r="1089" spans="1:16" x14ac:dyDescent="0.3">
      <c r="A1089">
        <v>1182</v>
      </c>
      <c r="B1089">
        <v>52</v>
      </c>
      <c r="C1089" t="s">
        <v>15</v>
      </c>
      <c r="D1089" t="s">
        <v>27</v>
      </c>
      <c r="E1089" t="s">
        <v>17</v>
      </c>
      <c r="F1089" t="s">
        <v>18</v>
      </c>
      <c r="G1089" t="s">
        <v>40</v>
      </c>
      <c r="H1089" t="s">
        <v>25</v>
      </c>
      <c r="I1089" s="1">
        <v>3</v>
      </c>
      <c r="J1089" s="2">
        <v>46184</v>
      </c>
      <c r="K1089" s="2">
        <v>46023</v>
      </c>
      <c r="L1089" s="1" t="str">
        <f t="shared" si="76"/>
        <v>qui</v>
      </c>
      <c r="M1089" s="1" t="str">
        <f t="shared" si="77"/>
        <v>jun</v>
      </c>
      <c r="N1089">
        <f t="shared" si="78"/>
        <v>2026</v>
      </c>
      <c r="O1089" s="2"/>
      <c r="P1089" t="str">
        <f t="shared" ref="P1089:P1152" si="79">CONCATENATE(A1089,J1089)</f>
        <v>118246184</v>
      </c>
    </row>
    <row r="1090" spans="1:16" x14ac:dyDescent="0.3">
      <c r="A1090">
        <v>1182</v>
      </c>
      <c r="B1090">
        <v>52</v>
      </c>
      <c r="C1090" t="s">
        <v>15</v>
      </c>
      <c r="D1090" t="s">
        <v>27</v>
      </c>
      <c r="E1090" t="s">
        <v>17</v>
      </c>
      <c r="F1090" t="s">
        <v>18</v>
      </c>
      <c r="G1090" t="s">
        <v>40</v>
      </c>
      <c r="H1090" t="s">
        <v>25</v>
      </c>
      <c r="I1090" s="1">
        <v>3</v>
      </c>
      <c r="J1090" s="2">
        <v>46093</v>
      </c>
      <c r="K1090" s="2">
        <v>46082</v>
      </c>
      <c r="L1090" s="1" t="str">
        <f t="shared" si="76"/>
        <v>qui</v>
      </c>
      <c r="M1090" s="1" t="str">
        <f t="shared" si="77"/>
        <v>mar</v>
      </c>
      <c r="N1090">
        <f t="shared" si="78"/>
        <v>2026</v>
      </c>
      <c r="O1090" s="2"/>
      <c r="P1090" t="str">
        <f t="shared" si="79"/>
        <v>118246093</v>
      </c>
    </row>
    <row r="1091" spans="1:16" x14ac:dyDescent="0.3">
      <c r="A1091">
        <v>1187</v>
      </c>
      <c r="B1091">
        <v>21</v>
      </c>
      <c r="C1091" t="s">
        <v>26</v>
      </c>
      <c r="D1091" t="s">
        <v>31</v>
      </c>
      <c r="E1091" t="s">
        <v>34</v>
      </c>
      <c r="F1091" t="s">
        <v>21</v>
      </c>
      <c r="G1091" t="s">
        <v>41</v>
      </c>
      <c r="H1091" t="s">
        <v>25</v>
      </c>
      <c r="I1091" s="1">
        <v>1</v>
      </c>
      <c r="J1091" s="2">
        <v>45839</v>
      </c>
      <c r="K1091" s="2">
        <v>45839</v>
      </c>
      <c r="L1091" s="1" t="str">
        <f t="shared" si="76"/>
        <v>ter</v>
      </c>
      <c r="M1091" s="1" t="str">
        <f t="shared" si="77"/>
        <v>jul</v>
      </c>
      <c r="N1091">
        <f t="shared" si="78"/>
        <v>2025</v>
      </c>
      <c r="O1091" s="2"/>
      <c r="P1091" t="str">
        <f t="shared" si="79"/>
        <v>118745839</v>
      </c>
    </row>
    <row r="1092" spans="1:16" x14ac:dyDescent="0.3">
      <c r="A1092">
        <v>1187</v>
      </c>
      <c r="B1092">
        <v>21</v>
      </c>
      <c r="C1092" t="s">
        <v>26</v>
      </c>
      <c r="D1092" t="s">
        <v>31</v>
      </c>
      <c r="E1092" t="s">
        <v>34</v>
      </c>
      <c r="F1092" t="s">
        <v>21</v>
      </c>
      <c r="G1092" t="s">
        <v>41</v>
      </c>
      <c r="H1092" t="s">
        <v>25</v>
      </c>
      <c r="I1092" s="1">
        <v>1</v>
      </c>
      <c r="J1092" s="2">
        <v>45910</v>
      </c>
      <c r="K1092" s="2">
        <v>45901</v>
      </c>
      <c r="L1092" s="1" t="str">
        <f t="shared" si="76"/>
        <v>qua</v>
      </c>
      <c r="M1092" s="1" t="str">
        <f t="shared" si="77"/>
        <v>set</v>
      </c>
      <c r="N1092">
        <f t="shared" si="78"/>
        <v>2025</v>
      </c>
      <c r="O1092" s="2"/>
      <c r="P1092" t="str">
        <f t="shared" si="79"/>
        <v>118745910</v>
      </c>
    </row>
    <row r="1093" spans="1:16" x14ac:dyDescent="0.3">
      <c r="A1093">
        <v>1187</v>
      </c>
      <c r="B1093">
        <v>21</v>
      </c>
      <c r="C1093" t="s">
        <v>26</v>
      </c>
      <c r="D1093" t="s">
        <v>31</v>
      </c>
      <c r="E1093" t="s">
        <v>34</v>
      </c>
      <c r="F1093" t="s">
        <v>21</v>
      </c>
      <c r="G1093" t="s">
        <v>41</v>
      </c>
      <c r="H1093" t="s">
        <v>25</v>
      </c>
      <c r="I1093" s="1">
        <v>1</v>
      </c>
      <c r="J1093" s="2">
        <v>45946</v>
      </c>
      <c r="K1093" s="2">
        <v>45931</v>
      </c>
      <c r="L1093" s="1" t="str">
        <f t="shared" si="76"/>
        <v>qui</v>
      </c>
      <c r="M1093" s="1" t="str">
        <f t="shared" si="77"/>
        <v>out</v>
      </c>
      <c r="N1093">
        <f t="shared" si="78"/>
        <v>2025</v>
      </c>
      <c r="O1093" s="2"/>
      <c r="P1093" t="str">
        <f t="shared" si="79"/>
        <v>118745946</v>
      </c>
    </row>
    <row r="1094" spans="1:16" x14ac:dyDescent="0.3">
      <c r="A1094">
        <v>1187</v>
      </c>
      <c r="B1094">
        <v>21</v>
      </c>
      <c r="C1094" t="s">
        <v>26</v>
      </c>
      <c r="D1094" t="s">
        <v>31</v>
      </c>
      <c r="E1094" t="s">
        <v>34</v>
      </c>
      <c r="F1094" t="s">
        <v>21</v>
      </c>
      <c r="G1094" t="s">
        <v>41</v>
      </c>
      <c r="H1094" t="s">
        <v>25</v>
      </c>
      <c r="I1094" s="1">
        <v>1</v>
      </c>
      <c r="J1094" s="2">
        <v>46016</v>
      </c>
      <c r="K1094" s="2">
        <v>45992</v>
      </c>
      <c r="L1094" s="1" t="str">
        <f t="shared" si="76"/>
        <v>qui</v>
      </c>
      <c r="M1094" s="1" t="str">
        <f t="shared" si="77"/>
        <v>dez</v>
      </c>
      <c r="N1094">
        <f t="shared" si="78"/>
        <v>2025</v>
      </c>
      <c r="O1094" s="2"/>
      <c r="P1094" t="str">
        <f t="shared" si="79"/>
        <v>118746016</v>
      </c>
    </row>
    <row r="1095" spans="1:16" x14ac:dyDescent="0.3">
      <c r="A1095">
        <v>1187</v>
      </c>
      <c r="B1095">
        <v>21</v>
      </c>
      <c r="C1095" t="s">
        <v>26</v>
      </c>
      <c r="D1095" t="s">
        <v>31</v>
      </c>
      <c r="E1095" t="s">
        <v>34</v>
      </c>
      <c r="F1095" t="s">
        <v>21</v>
      </c>
      <c r="G1095" t="s">
        <v>41</v>
      </c>
      <c r="H1095" t="s">
        <v>25</v>
      </c>
      <c r="I1095" s="1">
        <v>1</v>
      </c>
      <c r="J1095" s="2">
        <v>46085</v>
      </c>
      <c r="K1095" s="2">
        <v>46082</v>
      </c>
      <c r="L1095" s="1" t="str">
        <f t="shared" si="76"/>
        <v>qua</v>
      </c>
      <c r="M1095" s="1" t="str">
        <f t="shared" si="77"/>
        <v>mar</v>
      </c>
      <c r="N1095">
        <f t="shared" si="78"/>
        <v>2026</v>
      </c>
      <c r="O1095" s="2"/>
      <c r="P1095" t="str">
        <f t="shared" si="79"/>
        <v>118746085</v>
      </c>
    </row>
    <row r="1096" spans="1:16" x14ac:dyDescent="0.3">
      <c r="A1096">
        <v>1187</v>
      </c>
      <c r="B1096">
        <v>21</v>
      </c>
      <c r="C1096" t="s">
        <v>26</v>
      </c>
      <c r="D1096" t="s">
        <v>31</v>
      </c>
      <c r="E1096" t="s">
        <v>34</v>
      </c>
      <c r="F1096" t="s">
        <v>21</v>
      </c>
      <c r="G1096" t="s">
        <v>41</v>
      </c>
      <c r="H1096" t="s">
        <v>25</v>
      </c>
      <c r="I1096" s="1">
        <v>1</v>
      </c>
      <c r="J1096" s="2">
        <v>46100</v>
      </c>
      <c r="K1096" s="2">
        <v>46082</v>
      </c>
      <c r="L1096" s="1" t="str">
        <f t="shared" si="76"/>
        <v>qui</v>
      </c>
      <c r="M1096" s="1" t="str">
        <f t="shared" si="77"/>
        <v>mar</v>
      </c>
      <c r="N1096">
        <f t="shared" si="78"/>
        <v>2026</v>
      </c>
      <c r="O1096" s="2"/>
      <c r="P1096" t="str">
        <f t="shared" si="79"/>
        <v>118746100</v>
      </c>
    </row>
    <row r="1097" spans="1:16" x14ac:dyDescent="0.3">
      <c r="A1097">
        <v>1190</v>
      </c>
      <c r="B1097">
        <v>56</v>
      </c>
      <c r="C1097" t="s">
        <v>15</v>
      </c>
      <c r="D1097" t="s">
        <v>22</v>
      </c>
      <c r="E1097" t="s">
        <v>17</v>
      </c>
      <c r="F1097" t="s">
        <v>23</v>
      </c>
      <c r="G1097" t="s">
        <v>44</v>
      </c>
      <c r="H1097" t="s">
        <v>20</v>
      </c>
      <c r="I1097" s="1">
        <v>2</v>
      </c>
      <c r="J1097" s="2">
        <v>45782</v>
      </c>
      <c r="K1097" s="2">
        <v>45778</v>
      </c>
      <c r="L1097" s="1" t="str">
        <f t="shared" si="76"/>
        <v>seg</v>
      </c>
      <c r="M1097" s="1" t="str">
        <f t="shared" si="77"/>
        <v>mai</v>
      </c>
      <c r="N1097">
        <f t="shared" si="78"/>
        <v>2025</v>
      </c>
      <c r="O1097" s="2">
        <f>_xlfn.XLOOKUP(A1097,Colaboradores!$A:$A,Colaboradores!$S:$S,"",0)</f>
        <v>46053</v>
      </c>
      <c r="P1097" t="str">
        <f t="shared" si="79"/>
        <v>119045782</v>
      </c>
    </row>
    <row r="1098" spans="1:16" x14ac:dyDescent="0.3">
      <c r="A1098">
        <v>1190</v>
      </c>
      <c r="B1098">
        <v>56</v>
      </c>
      <c r="C1098" t="s">
        <v>15</v>
      </c>
      <c r="D1098" t="s">
        <v>22</v>
      </c>
      <c r="E1098" t="s">
        <v>17</v>
      </c>
      <c r="F1098" t="s">
        <v>23</v>
      </c>
      <c r="G1098" t="s">
        <v>42</v>
      </c>
      <c r="H1098" t="s">
        <v>20</v>
      </c>
      <c r="I1098" s="1">
        <v>2</v>
      </c>
      <c r="J1098" s="2">
        <v>45898</v>
      </c>
      <c r="K1098" s="2">
        <v>45870</v>
      </c>
      <c r="L1098" s="1" t="str">
        <f t="shared" si="76"/>
        <v>sex</v>
      </c>
      <c r="M1098" s="1" t="str">
        <f t="shared" si="77"/>
        <v>ago</v>
      </c>
      <c r="N1098">
        <f t="shared" si="78"/>
        <v>2025</v>
      </c>
      <c r="O1098" s="2">
        <f>_xlfn.XLOOKUP(A1098,Colaboradores!$A:$A,Colaboradores!$S:$S,"",0)</f>
        <v>46053</v>
      </c>
      <c r="P1098" t="str">
        <f t="shared" si="79"/>
        <v>119045898</v>
      </c>
    </row>
    <row r="1099" spans="1:16" x14ac:dyDescent="0.3">
      <c r="A1099">
        <v>1190</v>
      </c>
      <c r="B1099">
        <v>56</v>
      </c>
      <c r="C1099" t="s">
        <v>15</v>
      </c>
      <c r="D1099" t="s">
        <v>22</v>
      </c>
      <c r="E1099" t="s">
        <v>17</v>
      </c>
      <c r="F1099" t="s">
        <v>23</v>
      </c>
      <c r="G1099" t="s">
        <v>44</v>
      </c>
      <c r="H1099" t="s">
        <v>20</v>
      </c>
      <c r="I1099" s="1">
        <v>2</v>
      </c>
      <c r="J1099" s="2">
        <v>45927</v>
      </c>
      <c r="K1099" s="2">
        <v>45901</v>
      </c>
      <c r="L1099" s="1" t="str">
        <f t="shared" si="76"/>
        <v>sáb</v>
      </c>
      <c r="M1099" s="1" t="str">
        <f t="shared" si="77"/>
        <v>set</v>
      </c>
      <c r="N1099">
        <f t="shared" si="78"/>
        <v>2025</v>
      </c>
      <c r="O1099" s="2">
        <f>_xlfn.XLOOKUP(A1099,Colaboradores!$A:$A,Colaboradores!$S:$S,"",0)</f>
        <v>46053</v>
      </c>
      <c r="P1099" t="str">
        <f t="shared" si="79"/>
        <v>119045927</v>
      </c>
    </row>
    <row r="1100" spans="1:16" x14ac:dyDescent="0.3">
      <c r="A1100">
        <v>1190</v>
      </c>
      <c r="B1100">
        <v>56</v>
      </c>
      <c r="C1100" t="s">
        <v>15</v>
      </c>
      <c r="D1100" t="s">
        <v>22</v>
      </c>
      <c r="E1100" t="s">
        <v>17</v>
      </c>
      <c r="F1100" t="s">
        <v>23</v>
      </c>
      <c r="G1100" t="s">
        <v>41</v>
      </c>
      <c r="H1100" t="s">
        <v>20</v>
      </c>
      <c r="I1100" s="1">
        <v>2</v>
      </c>
      <c r="J1100" s="2">
        <v>45972</v>
      </c>
      <c r="K1100" s="2">
        <v>45962</v>
      </c>
      <c r="L1100" s="1" t="str">
        <f t="shared" si="76"/>
        <v>ter</v>
      </c>
      <c r="M1100" s="1" t="str">
        <f t="shared" si="77"/>
        <v>nov</v>
      </c>
      <c r="N1100">
        <f t="shared" si="78"/>
        <v>2025</v>
      </c>
      <c r="O1100" s="2">
        <f>_xlfn.XLOOKUP(A1100,Colaboradores!$A:$A,Colaboradores!$S:$S,"",0)</f>
        <v>46053</v>
      </c>
      <c r="P1100" t="str">
        <f t="shared" si="79"/>
        <v>119045972</v>
      </c>
    </row>
    <row r="1101" spans="1:16" x14ac:dyDescent="0.3">
      <c r="A1101">
        <v>1190</v>
      </c>
      <c r="B1101">
        <v>56</v>
      </c>
      <c r="C1101" t="s">
        <v>15</v>
      </c>
      <c r="D1101" t="s">
        <v>22</v>
      </c>
      <c r="E1101" t="s">
        <v>17</v>
      </c>
      <c r="F1101" t="s">
        <v>23</v>
      </c>
      <c r="G1101" t="s">
        <v>42</v>
      </c>
      <c r="H1101" t="s">
        <v>20</v>
      </c>
      <c r="I1101" s="1">
        <v>2</v>
      </c>
      <c r="J1101" s="2">
        <v>45975</v>
      </c>
      <c r="K1101" s="2">
        <v>45962</v>
      </c>
      <c r="L1101" s="1" t="str">
        <f t="shared" si="76"/>
        <v>sex</v>
      </c>
      <c r="M1101" s="1" t="str">
        <f t="shared" si="77"/>
        <v>nov</v>
      </c>
      <c r="N1101">
        <f t="shared" si="78"/>
        <v>2025</v>
      </c>
      <c r="O1101" s="2">
        <f>_xlfn.XLOOKUP(A1101,Colaboradores!$A:$A,Colaboradores!$S:$S,"",0)</f>
        <v>46053</v>
      </c>
      <c r="P1101" t="str">
        <f t="shared" si="79"/>
        <v>119045975</v>
      </c>
    </row>
    <row r="1102" spans="1:16" x14ac:dyDescent="0.3">
      <c r="A1102">
        <v>1190</v>
      </c>
      <c r="B1102">
        <v>56</v>
      </c>
      <c r="C1102" t="s">
        <v>15</v>
      </c>
      <c r="D1102" t="s">
        <v>22</v>
      </c>
      <c r="E1102" t="s">
        <v>17</v>
      </c>
      <c r="F1102" t="s">
        <v>23</v>
      </c>
      <c r="G1102" t="s">
        <v>44</v>
      </c>
      <c r="H1102" t="s">
        <v>20</v>
      </c>
      <c r="I1102" s="1">
        <v>2</v>
      </c>
      <c r="J1102" s="2">
        <v>46179</v>
      </c>
      <c r="K1102" s="2">
        <v>46023</v>
      </c>
      <c r="L1102" s="1" t="str">
        <f t="shared" si="76"/>
        <v>sáb</v>
      </c>
      <c r="M1102" s="1" t="str">
        <f t="shared" si="77"/>
        <v>jun</v>
      </c>
      <c r="N1102">
        <f t="shared" si="78"/>
        <v>2026</v>
      </c>
      <c r="O1102" s="2">
        <f>_xlfn.XLOOKUP(A1102,Colaboradores!$A:$A,Colaboradores!$S:$S,"",0)</f>
        <v>46053</v>
      </c>
      <c r="P1102" t="str">
        <f t="shared" si="79"/>
        <v>119046179</v>
      </c>
    </row>
    <row r="1103" spans="1:16" x14ac:dyDescent="0.3">
      <c r="A1103">
        <v>1191</v>
      </c>
      <c r="B1103">
        <v>30</v>
      </c>
      <c r="C1103" t="s">
        <v>15</v>
      </c>
      <c r="D1103" t="s">
        <v>27</v>
      </c>
      <c r="E1103" t="s">
        <v>17</v>
      </c>
      <c r="F1103" t="s">
        <v>18</v>
      </c>
      <c r="G1103" t="s">
        <v>41</v>
      </c>
      <c r="H1103" t="s">
        <v>25</v>
      </c>
      <c r="I1103" s="1">
        <v>3</v>
      </c>
      <c r="J1103" s="2">
        <v>45867</v>
      </c>
      <c r="K1103" s="2">
        <v>45839</v>
      </c>
      <c r="L1103" s="1" t="str">
        <f t="shared" si="76"/>
        <v>ter</v>
      </c>
      <c r="M1103" s="1" t="str">
        <f t="shared" si="77"/>
        <v>jul</v>
      </c>
      <c r="N1103">
        <f t="shared" si="78"/>
        <v>2025</v>
      </c>
      <c r="O1103" s="2"/>
      <c r="P1103" t="str">
        <f t="shared" si="79"/>
        <v>119145867</v>
      </c>
    </row>
    <row r="1104" spans="1:16" x14ac:dyDescent="0.3">
      <c r="A1104">
        <v>1191</v>
      </c>
      <c r="B1104">
        <v>30</v>
      </c>
      <c r="C1104" t="s">
        <v>15</v>
      </c>
      <c r="D1104" t="s">
        <v>27</v>
      </c>
      <c r="E1104" t="s">
        <v>17</v>
      </c>
      <c r="F1104" t="s">
        <v>18</v>
      </c>
      <c r="G1104" t="s">
        <v>41</v>
      </c>
      <c r="H1104" t="s">
        <v>25</v>
      </c>
      <c r="I1104" s="1">
        <v>3</v>
      </c>
      <c r="J1104" s="2">
        <v>45910</v>
      </c>
      <c r="K1104" s="2">
        <v>45901</v>
      </c>
      <c r="L1104" s="1" t="str">
        <f t="shared" si="76"/>
        <v>qua</v>
      </c>
      <c r="M1104" s="1" t="str">
        <f t="shared" si="77"/>
        <v>set</v>
      </c>
      <c r="N1104">
        <f t="shared" si="78"/>
        <v>2025</v>
      </c>
      <c r="O1104" s="2"/>
      <c r="P1104" t="str">
        <f t="shared" si="79"/>
        <v>119145910</v>
      </c>
    </row>
    <row r="1105" spans="1:16" x14ac:dyDescent="0.3">
      <c r="A1105">
        <v>1191</v>
      </c>
      <c r="B1105">
        <v>30</v>
      </c>
      <c r="C1105" t="s">
        <v>15</v>
      </c>
      <c r="D1105" t="s">
        <v>27</v>
      </c>
      <c r="E1105" t="s">
        <v>17</v>
      </c>
      <c r="F1105" t="s">
        <v>18</v>
      </c>
      <c r="G1105" t="s">
        <v>41</v>
      </c>
      <c r="H1105" t="s">
        <v>25</v>
      </c>
      <c r="I1105" s="1">
        <v>3</v>
      </c>
      <c r="J1105" s="2">
        <v>45927</v>
      </c>
      <c r="K1105" s="2">
        <v>45901</v>
      </c>
      <c r="L1105" s="1" t="str">
        <f t="shared" si="76"/>
        <v>sáb</v>
      </c>
      <c r="M1105" s="1" t="str">
        <f t="shared" si="77"/>
        <v>set</v>
      </c>
      <c r="N1105">
        <f t="shared" si="78"/>
        <v>2025</v>
      </c>
      <c r="O1105" s="2"/>
      <c r="P1105" t="str">
        <f t="shared" si="79"/>
        <v>119145927</v>
      </c>
    </row>
    <row r="1106" spans="1:16" x14ac:dyDescent="0.3">
      <c r="A1106">
        <v>1191</v>
      </c>
      <c r="B1106">
        <v>30</v>
      </c>
      <c r="C1106" t="s">
        <v>15</v>
      </c>
      <c r="D1106" t="s">
        <v>27</v>
      </c>
      <c r="E1106" t="s">
        <v>17</v>
      </c>
      <c r="F1106" t="s">
        <v>18</v>
      </c>
      <c r="G1106" t="s">
        <v>44</v>
      </c>
      <c r="H1106" t="s">
        <v>25</v>
      </c>
      <c r="I1106" s="1">
        <v>3</v>
      </c>
      <c r="J1106" s="2">
        <v>46018</v>
      </c>
      <c r="K1106" s="2">
        <v>45992</v>
      </c>
      <c r="L1106" s="1" t="str">
        <f t="shared" si="76"/>
        <v>sáb</v>
      </c>
      <c r="M1106" s="1" t="str">
        <f t="shared" si="77"/>
        <v>dez</v>
      </c>
      <c r="N1106">
        <f t="shared" si="78"/>
        <v>2025</v>
      </c>
      <c r="O1106" s="2"/>
      <c r="P1106" t="str">
        <f t="shared" si="79"/>
        <v>119146018</v>
      </c>
    </row>
    <row r="1107" spans="1:16" x14ac:dyDescent="0.3">
      <c r="A1107">
        <v>1191</v>
      </c>
      <c r="B1107">
        <v>30</v>
      </c>
      <c r="C1107" t="s">
        <v>15</v>
      </c>
      <c r="D1107" t="s">
        <v>27</v>
      </c>
      <c r="E1107" t="s">
        <v>17</v>
      </c>
      <c r="F1107" t="s">
        <v>18</v>
      </c>
      <c r="G1107" t="s">
        <v>44</v>
      </c>
      <c r="H1107" t="s">
        <v>25</v>
      </c>
      <c r="I1107" s="1">
        <v>3</v>
      </c>
      <c r="J1107" s="2">
        <v>46054</v>
      </c>
      <c r="K1107" s="2">
        <v>46054</v>
      </c>
      <c r="L1107" s="1" t="str">
        <f t="shared" si="76"/>
        <v>dom</v>
      </c>
      <c r="M1107" s="1" t="str">
        <f t="shared" si="77"/>
        <v>fev</v>
      </c>
      <c r="N1107">
        <f t="shared" si="78"/>
        <v>2026</v>
      </c>
      <c r="O1107" s="2"/>
      <c r="P1107" t="str">
        <f t="shared" si="79"/>
        <v>119146054</v>
      </c>
    </row>
    <row r="1108" spans="1:16" x14ac:dyDescent="0.3">
      <c r="A1108">
        <v>1191</v>
      </c>
      <c r="B1108">
        <v>30</v>
      </c>
      <c r="C1108" t="s">
        <v>15</v>
      </c>
      <c r="D1108" t="s">
        <v>27</v>
      </c>
      <c r="E1108" t="s">
        <v>17</v>
      </c>
      <c r="F1108" t="s">
        <v>18</v>
      </c>
      <c r="G1108" t="s">
        <v>41</v>
      </c>
      <c r="H1108" t="s">
        <v>25</v>
      </c>
      <c r="I1108" s="1">
        <v>3</v>
      </c>
      <c r="J1108" s="2">
        <v>46099</v>
      </c>
      <c r="K1108" s="2">
        <v>46082</v>
      </c>
      <c r="L1108" s="1" t="str">
        <f t="shared" si="76"/>
        <v>qua</v>
      </c>
      <c r="M1108" s="1" t="str">
        <f t="shared" si="77"/>
        <v>mar</v>
      </c>
      <c r="N1108">
        <f t="shared" si="78"/>
        <v>2026</v>
      </c>
      <c r="O1108" s="2"/>
      <c r="P1108" t="str">
        <f t="shared" si="79"/>
        <v>119146099</v>
      </c>
    </row>
    <row r="1109" spans="1:16" x14ac:dyDescent="0.3">
      <c r="A1109">
        <v>1193</v>
      </c>
      <c r="B1109">
        <v>38</v>
      </c>
      <c r="C1109" t="s">
        <v>15</v>
      </c>
      <c r="D1109" t="s">
        <v>29</v>
      </c>
      <c r="E1109" t="s">
        <v>17</v>
      </c>
      <c r="F1109" t="s">
        <v>18</v>
      </c>
      <c r="G1109" t="s">
        <v>41</v>
      </c>
      <c r="H1109" t="s">
        <v>20</v>
      </c>
      <c r="I1109" s="1">
        <v>2</v>
      </c>
      <c r="J1109" s="2">
        <v>45673</v>
      </c>
      <c r="K1109" s="2">
        <v>45658</v>
      </c>
      <c r="L1109" s="1" t="str">
        <f t="shared" si="76"/>
        <v>qui</v>
      </c>
      <c r="M1109" s="1" t="str">
        <f t="shared" si="77"/>
        <v>jan</v>
      </c>
      <c r="N1109">
        <f t="shared" si="78"/>
        <v>2025</v>
      </c>
      <c r="O1109" s="2">
        <f>_xlfn.XLOOKUP(A1109,Colaboradores!$A:$A,Colaboradores!$S:$S,"",0)</f>
        <v>45826</v>
      </c>
      <c r="P1109" t="str">
        <f t="shared" si="79"/>
        <v>119345673</v>
      </c>
    </row>
    <row r="1110" spans="1:16" x14ac:dyDescent="0.3">
      <c r="A1110">
        <v>1193</v>
      </c>
      <c r="B1110">
        <v>38</v>
      </c>
      <c r="C1110" t="s">
        <v>15</v>
      </c>
      <c r="D1110" t="s">
        <v>29</v>
      </c>
      <c r="E1110" t="s">
        <v>17</v>
      </c>
      <c r="F1110" t="s">
        <v>18</v>
      </c>
      <c r="G1110" t="s">
        <v>41</v>
      </c>
      <c r="H1110" t="s">
        <v>20</v>
      </c>
      <c r="I1110" s="1">
        <v>2</v>
      </c>
      <c r="J1110" s="2">
        <v>45709</v>
      </c>
      <c r="K1110" s="2">
        <v>45689</v>
      </c>
      <c r="L1110" s="1" t="str">
        <f t="shared" si="76"/>
        <v>sex</v>
      </c>
      <c r="M1110" s="1" t="str">
        <f t="shared" si="77"/>
        <v>fev</v>
      </c>
      <c r="N1110">
        <f t="shared" si="78"/>
        <v>2025</v>
      </c>
      <c r="O1110" s="2">
        <f>_xlfn.XLOOKUP(A1110,Colaboradores!$A:$A,Colaboradores!$S:$S,"",0)</f>
        <v>45826</v>
      </c>
      <c r="P1110" t="str">
        <f t="shared" si="79"/>
        <v>119345709</v>
      </c>
    </row>
    <row r="1111" spans="1:16" x14ac:dyDescent="0.3">
      <c r="A1111">
        <v>1193</v>
      </c>
      <c r="B1111">
        <v>38</v>
      </c>
      <c r="C1111" t="s">
        <v>15</v>
      </c>
      <c r="D1111" t="s">
        <v>29</v>
      </c>
      <c r="E1111" t="s">
        <v>17</v>
      </c>
      <c r="F1111" t="s">
        <v>18</v>
      </c>
      <c r="G1111" t="s">
        <v>57</v>
      </c>
      <c r="H1111" t="s">
        <v>20</v>
      </c>
      <c r="I1111" s="1">
        <v>2</v>
      </c>
      <c r="J1111" s="2">
        <v>45766</v>
      </c>
      <c r="K1111" s="2">
        <v>45748</v>
      </c>
      <c r="L1111" s="1" t="str">
        <f t="shared" si="76"/>
        <v>sáb</v>
      </c>
      <c r="M1111" s="1" t="str">
        <f t="shared" si="77"/>
        <v>abr</v>
      </c>
      <c r="N1111">
        <f t="shared" si="78"/>
        <v>2025</v>
      </c>
      <c r="O1111" s="2">
        <f>_xlfn.XLOOKUP(A1111,Colaboradores!$A:$A,Colaboradores!$S:$S,"",0)</f>
        <v>45826</v>
      </c>
      <c r="P1111" t="str">
        <f t="shared" si="79"/>
        <v>119345766</v>
      </c>
    </row>
    <row r="1112" spans="1:16" x14ac:dyDescent="0.3">
      <c r="A1112">
        <v>1193</v>
      </c>
      <c r="B1112">
        <v>38</v>
      </c>
      <c r="C1112" t="s">
        <v>15</v>
      </c>
      <c r="D1112" t="s">
        <v>29</v>
      </c>
      <c r="E1112" t="s">
        <v>17</v>
      </c>
      <c r="F1112" t="s">
        <v>18</v>
      </c>
      <c r="G1112" t="s">
        <v>41</v>
      </c>
      <c r="H1112" t="s">
        <v>20</v>
      </c>
      <c r="I1112" s="1">
        <v>2</v>
      </c>
      <c r="J1112" s="2">
        <v>45767</v>
      </c>
      <c r="K1112" s="2">
        <v>45748</v>
      </c>
      <c r="L1112" s="1" t="str">
        <f t="shared" si="76"/>
        <v>dom</v>
      </c>
      <c r="M1112" s="1" t="str">
        <f t="shared" si="77"/>
        <v>abr</v>
      </c>
      <c r="N1112">
        <f t="shared" si="78"/>
        <v>2025</v>
      </c>
      <c r="O1112" s="2">
        <f>_xlfn.XLOOKUP(A1112,Colaboradores!$A:$A,Colaboradores!$S:$S,"",0)</f>
        <v>45826</v>
      </c>
      <c r="P1112" t="str">
        <f t="shared" si="79"/>
        <v>119345767</v>
      </c>
    </row>
    <row r="1113" spans="1:16" x14ac:dyDescent="0.3">
      <c r="A1113">
        <v>1193</v>
      </c>
      <c r="B1113">
        <v>38</v>
      </c>
      <c r="C1113" t="s">
        <v>15</v>
      </c>
      <c r="D1113" t="s">
        <v>29</v>
      </c>
      <c r="E1113" t="s">
        <v>17</v>
      </c>
      <c r="F1113" t="s">
        <v>18</v>
      </c>
      <c r="G1113" t="s">
        <v>41</v>
      </c>
      <c r="H1113" t="s">
        <v>20</v>
      </c>
      <c r="I1113" s="1">
        <v>2</v>
      </c>
      <c r="J1113" s="2">
        <v>45804</v>
      </c>
      <c r="K1113" s="2">
        <v>45778</v>
      </c>
      <c r="L1113" s="1" t="str">
        <f t="shared" si="76"/>
        <v>ter</v>
      </c>
      <c r="M1113" s="1" t="str">
        <f t="shared" si="77"/>
        <v>mai</v>
      </c>
      <c r="N1113">
        <f t="shared" si="78"/>
        <v>2025</v>
      </c>
      <c r="O1113" s="2">
        <f>_xlfn.XLOOKUP(A1113,Colaboradores!$A:$A,Colaboradores!$S:$S,"",0)</f>
        <v>45826</v>
      </c>
      <c r="P1113" t="str">
        <f t="shared" si="79"/>
        <v>119345804</v>
      </c>
    </row>
    <row r="1114" spans="1:16" x14ac:dyDescent="0.3">
      <c r="A1114">
        <v>1193</v>
      </c>
      <c r="B1114">
        <v>38</v>
      </c>
      <c r="C1114" t="s">
        <v>15</v>
      </c>
      <c r="D1114" t="s">
        <v>29</v>
      </c>
      <c r="E1114" t="s">
        <v>17</v>
      </c>
      <c r="F1114" t="s">
        <v>18</v>
      </c>
      <c r="G1114" t="s">
        <v>41</v>
      </c>
      <c r="H1114" t="s">
        <v>20</v>
      </c>
      <c r="I1114" s="1">
        <v>2</v>
      </c>
      <c r="J1114" s="2">
        <v>45814</v>
      </c>
      <c r="K1114" s="2">
        <v>45809</v>
      </c>
      <c r="L1114" s="1" t="str">
        <f t="shared" si="76"/>
        <v>sex</v>
      </c>
      <c r="M1114" s="1" t="str">
        <f t="shared" si="77"/>
        <v>jun</v>
      </c>
      <c r="N1114">
        <f t="shared" si="78"/>
        <v>2025</v>
      </c>
      <c r="O1114" s="2">
        <f>_xlfn.XLOOKUP(A1114,Colaboradores!$A:$A,Colaboradores!$S:$S,"",0)</f>
        <v>45826</v>
      </c>
      <c r="P1114" t="str">
        <f t="shared" si="79"/>
        <v>119345814</v>
      </c>
    </row>
    <row r="1115" spans="1:16" x14ac:dyDescent="0.3">
      <c r="A1115">
        <v>1196</v>
      </c>
      <c r="B1115">
        <v>22</v>
      </c>
      <c r="C1115" t="s">
        <v>15</v>
      </c>
      <c r="D1115" t="s">
        <v>22</v>
      </c>
      <c r="E1115" t="s">
        <v>17</v>
      </c>
      <c r="F1115" t="s">
        <v>18</v>
      </c>
      <c r="G1115" t="s">
        <v>42</v>
      </c>
      <c r="H1115" t="s">
        <v>25</v>
      </c>
      <c r="I1115" s="1">
        <v>3</v>
      </c>
      <c r="J1115" s="2">
        <v>45802</v>
      </c>
      <c r="K1115" s="2">
        <v>45778</v>
      </c>
      <c r="L1115" s="1" t="str">
        <f t="shared" si="76"/>
        <v>dom</v>
      </c>
      <c r="M1115" s="1" t="str">
        <f t="shared" si="77"/>
        <v>mai</v>
      </c>
      <c r="N1115">
        <f t="shared" si="78"/>
        <v>2025</v>
      </c>
      <c r="O1115" s="2"/>
      <c r="P1115" t="str">
        <f t="shared" si="79"/>
        <v>119645802</v>
      </c>
    </row>
    <row r="1116" spans="1:16" x14ac:dyDescent="0.3">
      <c r="A1116">
        <v>1196</v>
      </c>
      <c r="B1116">
        <v>22</v>
      </c>
      <c r="C1116" t="s">
        <v>15</v>
      </c>
      <c r="D1116" t="s">
        <v>22</v>
      </c>
      <c r="E1116" t="s">
        <v>17</v>
      </c>
      <c r="F1116" t="s">
        <v>18</v>
      </c>
      <c r="G1116" t="s">
        <v>43</v>
      </c>
      <c r="H1116" t="s">
        <v>25</v>
      </c>
      <c r="I1116" s="1">
        <v>3</v>
      </c>
      <c r="J1116" s="2">
        <v>45848</v>
      </c>
      <c r="K1116" s="2">
        <v>45839</v>
      </c>
      <c r="L1116" s="1" t="str">
        <f t="shared" si="76"/>
        <v>qui</v>
      </c>
      <c r="M1116" s="1" t="str">
        <f t="shared" si="77"/>
        <v>jul</v>
      </c>
      <c r="N1116">
        <f t="shared" si="78"/>
        <v>2025</v>
      </c>
      <c r="O1116" s="2"/>
      <c r="P1116" t="str">
        <f t="shared" si="79"/>
        <v>119645848</v>
      </c>
    </row>
    <row r="1117" spans="1:16" x14ac:dyDescent="0.3">
      <c r="A1117">
        <v>1196</v>
      </c>
      <c r="B1117">
        <v>22</v>
      </c>
      <c r="C1117" t="s">
        <v>15</v>
      </c>
      <c r="D1117" t="s">
        <v>22</v>
      </c>
      <c r="E1117" t="s">
        <v>17</v>
      </c>
      <c r="F1117" t="s">
        <v>18</v>
      </c>
      <c r="G1117" t="s">
        <v>43</v>
      </c>
      <c r="H1117" t="s">
        <v>25</v>
      </c>
      <c r="I1117" s="1">
        <v>3</v>
      </c>
      <c r="J1117" s="2">
        <v>45924</v>
      </c>
      <c r="K1117" s="2">
        <v>45901</v>
      </c>
      <c r="L1117" s="1" t="str">
        <f t="shared" si="76"/>
        <v>qua</v>
      </c>
      <c r="M1117" s="1" t="str">
        <f t="shared" si="77"/>
        <v>set</v>
      </c>
      <c r="N1117">
        <f t="shared" si="78"/>
        <v>2025</v>
      </c>
      <c r="O1117" s="2"/>
      <c r="P1117" t="str">
        <f t="shared" si="79"/>
        <v>119645924</v>
      </c>
    </row>
    <row r="1118" spans="1:16" x14ac:dyDescent="0.3">
      <c r="A1118">
        <v>1196</v>
      </c>
      <c r="B1118">
        <v>22</v>
      </c>
      <c r="C1118" t="s">
        <v>15</v>
      </c>
      <c r="D1118" t="s">
        <v>22</v>
      </c>
      <c r="E1118" t="s">
        <v>17</v>
      </c>
      <c r="F1118" t="s">
        <v>18</v>
      </c>
      <c r="G1118" t="s">
        <v>43</v>
      </c>
      <c r="H1118" t="s">
        <v>25</v>
      </c>
      <c r="I1118" s="1">
        <v>3</v>
      </c>
      <c r="J1118" s="2">
        <v>45932</v>
      </c>
      <c r="K1118" s="2">
        <v>45931</v>
      </c>
      <c r="L1118" s="1" t="str">
        <f t="shared" si="76"/>
        <v>qui</v>
      </c>
      <c r="M1118" s="1" t="str">
        <f t="shared" si="77"/>
        <v>out</v>
      </c>
      <c r="N1118">
        <f t="shared" si="78"/>
        <v>2025</v>
      </c>
      <c r="O1118" s="2"/>
      <c r="P1118" t="str">
        <f t="shared" si="79"/>
        <v>119645932</v>
      </c>
    </row>
    <row r="1119" spans="1:16" x14ac:dyDescent="0.3">
      <c r="A1119">
        <v>1196</v>
      </c>
      <c r="B1119">
        <v>22</v>
      </c>
      <c r="C1119" t="s">
        <v>15</v>
      </c>
      <c r="D1119" t="s">
        <v>22</v>
      </c>
      <c r="E1119" t="s">
        <v>17</v>
      </c>
      <c r="F1119" t="s">
        <v>18</v>
      </c>
      <c r="G1119" t="s">
        <v>42</v>
      </c>
      <c r="H1119" t="s">
        <v>25</v>
      </c>
      <c r="I1119" s="1">
        <v>3</v>
      </c>
      <c r="J1119" s="2">
        <v>46012</v>
      </c>
      <c r="K1119" s="2">
        <v>45992</v>
      </c>
      <c r="L1119" s="1" t="str">
        <f t="shared" si="76"/>
        <v>dom</v>
      </c>
      <c r="M1119" s="1" t="str">
        <f t="shared" si="77"/>
        <v>dez</v>
      </c>
      <c r="N1119">
        <f t="shared" si="78"/>
        <v>2025</v>
      </c>
      <c r="O1119" s="2"/>
      <c r="P1119" t="str">
        <f t="shared" si="79"/>
        <v>119646012</v>
      </c>
    </row>
    <row r="1120" spans="1:16" x14ac:dyDescent="0.3">
      <c r="A1120">
        <v>1196</v>
      </c>
      <c r="B1120">
        <v>22</v>
      </c>
      <c r="C1120" t="s">
        <v>15</v>
      </c>
      <c r="D1120" t="s">
        <v>22</v>
      </c>
      <c r="E1120" t="s">
        <v>17</v>
      </c>
      <c r="F1120" t="s">
        <v>18</v>
      </c>
      <c r="G1120" t="s">
        <v>43</v>
      </c>
      <c r="H1120" t="s">
        <v>25</v>
      </c>
      <c r="I1120" s="1">
        <v>3</v>
      </c>
      <c r="J1120" s="2">
        <v>46178</v>
      </c>
      <c r="K1120" s="2">
        <v>46023</v>
      </c>
      <c r="L1120" s="1" t="str">
        <f t="shared" si="76"/>
        <v>sex</v>
      </c>
      <c r="M1120" s="1" t="str">
        <f t="shared" si="77"/>
        <v>jun</v>
      </c>
      <c r="N1120">
        <f t="shared" si="78"/>
        <v>2026</v>
      </c>
      <c r="O1120" s="2"/>
      <c r="P1120" t="str">
        <f t="shared" si="79"/>
        <v>119646178</v>
      </c>
    </row>
    <row r="1121" spans="1:16" x14ac:dyDescent="0.3">
      <c r="A1121">
        <v>1196</v>
      </c>
      <c r="B1121">
        <v>22</v>
      </c>
      <c r="C1121" t="s">
        <v>15</v>
      </c>
      <c r="D1121" t="s">
        <v>22</v>
      </c>
      <c r="E1121" t="s">
        <v>17</v>
      </c>
      <c r="F1121" t="s">
        <v>18</v>
      </c>
      <c r="G1121" t="s">
        <v>42</v>
      </c>
      <c r="H1121" t="s">
        <v>25</v>
      </c>
      <c r="I1121" s="1">
        <v>3</v>
      </c>
      <c r="J1121" s="2">
        <v>46167</v>
      </c>
      <c r="K1121" s="2">
        <v>46143</v>
      </c>
      <c r="L1121" s="1" t="s">
        <v>55</v>
      </c>
      <c r="M1121" s="1" t="s">
        <v>49</v>
      </c>
      <c r="N1121">
        <v>2025</v>
      </c>
      <c r="O1121" s="2"/>
      <c r="P1121" t="str">
        <f t="shared" si="79"/>
        <v>119646167</v>
      </c>
    </row>
    <row r="1122" spans="1:16" x14ac:dyDescent="0.3">
      <c r="A1122">
        <v>1197</v>
      </c>
      <c r="B1122">
        <v>57</v>
      </c>
      <c r="C1122" t="s">
        <v>26</v>
      </c>
      <c r="D1122" t="s">
        <v>27</v>
      </c>
      <c r="E1122" t="s">
        <v>17</v>
      </c>
      <c r="F1122" t="s">
        <v>23</v>
      </c>
      <c r="G1122" t="s">
        <v>43</v>
      </c>
      <c r="H1122" t="s">
        <v>25</v>
      </c>
      <c r="I1122" s="1">
        <v>2</v>
      </c>
      <c r="J1122" s="2">
        <v>46198</v>
      </c>
      <c r="K1122" s="2">
        <v>45809</v>
      </c>
      <c r="L1122" s="1" t="str">
        <f t="shared" ref="L1122:L1136" si="80">TEXT(J1122,"ddd")</f>
        <v>qui</v>
      </c>
      <c r="M1122" s="1" t="str">
        <f t="shared" ref="M1122:M1136" si="81">TEXT($J1122,"mmm")</f>
        <v>jun</v>
      </c>
      <c r="N1122">
        <f t="shared" ref="N1122:N1136" si="82">YEAR(J1122)</f>
        <v>2026</v>
      </c>
      <c r="O1122" s="2"/>
      <c r="P1122" t="str">
        <f t="shared" si="79"/>
        <v>119746198</v>
      </c>
    </row>
    <row r="1123" spans="1:16" x14ac:dyDescent="0.3">
      <c r="A1123">
        <v>1197</v>
      </c>
      <c r="B1123">
        <v>57</v>
      </c>
      <c r="C1123" t="s">
        <v>26</v>
      </c>
      <c r="D1123" t="s">
        <v>27</v>
      </c>
      <c r="E1123" t="s">
        <v>17</v>
      </c>
      <c r="F1123" t="s">
        <v>23</v>
      </c>
      <c r="G1123" t="s">
        <v>43</v>
      </c>
      <c r="H1123" t="s">
        <v>25</v>
      </c>
      <c r="I1123" s="1">
        <v>2</v>
      </c>
      <c r="J1123" s="2">
        <v>45955</v>
      </c>
      <c r="K1123" s="2">
        <v>45931</v>
      </c>
      <c r="L1123" s="1" t="str">
        <f t="shared" si="80"/>
        <v>sáb</v>
      </c>
      <c r="M1123" s="1" t="str">
        <f t="shared" si="81"/>
        <v>out</v>
      </c>
      <c r="N1123">
        <f t="shared" si="82"/>
        <v>2025</v>
      </c>
      <c r="O1123" s="2"/>
      <c r="P1123" t="str">
        <f t="shared" si="79"/>
        <v>119745955</v>
      </c>
    </row>
    <row r="1124" spans="1:16" x14ac:dyDescent="0.3">
      <c r="A1124">
        <v>1197</v>
      </c>
      <c r="B1124">
        <v>57</v>
      </c>
      <c r="C1124" t="s">
        <v>26</v>
      </c>
      <c r="D1124" t="s">
        <v>27</v>
      </c>
      <c r="E1124" t="s">
        <v>17</v>
      </c>
      <c r="F1124" t="s">
        <v>23</v>
      </c>
      <c r="G1124" t="s">
        <v>43</v>
      </c>
      <c r="H1124" t="s">
        <v>25</v>
      </c>
      <c r="I1124" s="1">
        <v>2</v>
      </c>
      <c r="J1124" s="2">
        <v>46078</v>
      </c>
      <c r="K1124" s="2">
        <v>46054</v>
      </c>
      <c r="L1124" s="1" t="str">
        <f t="shared" si="80"/>
        <v>qua</v>
      </c>
      <c r="M1124" s="1" t="str">
        <f t="shared" si="81"/>
        <v>fev</v>
      </c>
      <c r="N1124">
        <f t="shared" si="82"/>
        <v>2026</v>
      </c>
      <c r="O1124" s="2"/>
      <c r="P1124" t="str">
        <f t="shared" si="79"/>
        <v>119746078</v>
      </c>
    </row>
    <row r="1125" spans="1:16" x14ac:dyDescent="0.3">
      <c r="A1125">
        <v>1197</v>
      </c>
      <c r="B1125">
        <v>57</v>
      </c>
      <c r="C1125" t="s">
        <v>26</v>
      </c>
      <c r="D1125" t="s">
        <v>27</v>
      </c>
      <c r="E1125" t="s">
        <v>17</v>
      </c>
      <c r="F1125" t="s">
        <v>23</v>
      </c>
      <c r="G1125" t="s">
        <v>43</v>
      </c>
      <c r="H1125" t="s">
        <v>25</v>
      </c>
      <c r="I1125" s="1">
        <v>2</v>
      </c>
      <c r="J1125" s="2">
        <v>46080</v>
      </c>
      <c r="K1125" s="2">
        <v>46054</v>
      </c>
      <c r="L1125" s="1" t="str">
        <f t="shared" si="80"/>
        <v>sex</v>
      </c>
      <c r="M1125" s="1" t="str">
        <f t="shared" si="81"/>
        <v>fev</v>
      </c>
      <c r="N1125">
        <f t="shared" si="82"/>
        <v>2026</v>
      </c>
      <c r="O1125" s="2"/>
      <c r="P1125" t="str">
        <f t="shared" si="79"/>
        <v>119746080</v>
      </c>
    </row>
    <row r="1126" spans="1:16" x14ac:dyDescent="0.3">
      <c r="A1126">
        <v>1198</v>
      </c>
      <c r="B1126">
        <v>36</v>
      </c>
      <c r="C1126" t="s">
        <v>15</v>
      </c>
      <c r="D1126" t="s">
        <v>29</v>
      </c>
      <c r="E1126" t="s">
        <v>17</v>
      </c>
      <c r="F1126" t="s">
        <v>21</v>
      </c>
      <c r="G1126" t="s">
        <v>41</v>
      </c>
      <c r="H1126" t="s">
        <v>20</v>
      </c>
      <c r="I1126" s="1">
        <v>3</v>
      </c>
      <c r="J1126" s="2">
        <v>45780</v>
      </c>
      <c r="K1126" s="2">
        <v>45778</v>
      </c>
      <c r="L1126" s="1" t="str">
        <f t="shared" si="80"/>
        <v>sáb</v>
      </c>
      <c r="M1126" s="1" t="str">
        <f t="shared" si="81"/>
        <v>mai</v>
      </c>
      <c r="N1126">
        <f t="shared" si="82"/>
        <v>2025</v>
      </c>
      <c r="O1126" s="2">
        <f>_xlfn.XLOOKUP(A1126,Colaboradores!$A:$A,Colaboradores!$S:$S,"",0)</f>
        <v>45894</v>
      </c>
      <c r="P1126" t="str">
        <f t="shared" si="79"/>
        <v>119845780</v>
      </c>
    </row>
    <row r="1127" spans="1:16" x14ac:dyDescent="0.3">
      <c r="A1127">
        <v>1198</v>
      </c>
      <c r="B1127">
        <v>36</v>
      </c>
      <c r="C1127" t="s">
        <v>15</v>
      </c>
      <c r="D1127" t="s">
        <v>29</v>
      </c>
      <c r="E1127" t="s">
        <v>17</v>
      </c>
      <c r="F1127" t="s">
        <v>21</v>
      </c>
      <c r="G1127" t="s">
        <v>41</v>
      </c>
      <c r="H1127" t="s">
        <v>20</v>
      </c>
      <c r="I1127" s="1">
        <v>3</v>
      </c>
      <c r="J1127" s="2">
        <v>45794</v>
      </c>
      <c r="K1127" s="2">
        <v>45778</v>
      </c>
      <c r="L1127" s="1" t="str">
        <f t="shared" si="80"/>
        <v>sáb</v>
      </c>
      <c r="M1127" s="1" t="str">
        <f t="shared" si="81"/>
        <v>mai</v>
      </c>
      <c r="N1127">
        <f t="shared" si="82"/>
        <v>2025</v>
      </c>
      <c r="O1127" s="2">
        <f>_xlfn.XLOOKUP(A1127,Colaboradores!$A:$A,Colaboradores!$S:$S,"",0)</f>
        <v>45894</v>
      </c>
      <c r="P1127" t="str">
        <f t="shared" si="79"/>
        <v>119845794</v>
      </c>
    </row>
    <row r="1128" spans="1:16" x14ac:dyDescent="0.3">
      <c r="A1128">
        <v>1198</v>
      </c>
      <c r="B1128">
        <v>36</v>
      </c>
      <c r="C1128" t="s">
        <v>15</v>
      </c>
      <c r="D1128" t="s">
        <v>29</v>
      </c>
      <c r="E1128" t="s">
        <v>17</v>
      </c>
      <c r="F1128" t="s">
        <v>21</v>
      </c>
      <c r="G1128" t="s">
        <v>41</v>
      </c>
      <c r="H1128" t="s">
        <v>20</v>
      </c>
      <c r="I1128" s="1">
        <v>3</v>
      </c>
      <c r="J1128" s="2">
        <v>45828</v>
      </c>
      <c r="K1128" s="2">
        <v>45809</v>
      </c>
      <c r="L1128" s="1" t="str">
        <f t="shared" si="80"/>
        <v>sex</v>
      </c>
      <c r="M1128" s="1" t="str">
        <f t="shared" si="81"/>
        <v>jun</v>
      </c>
      <c r="N1128">
        <f t="shared" si="82"/>
        <v>2025</v>
      </c>
      <c r="O1128" s="2">
        <f>_xlfn.XLOOKUP(A1128,Colaboradores!$A:$A,Colaboradores!$S:$S,"",0)</f>
        <v>45894</v>
      </c>
      <c r="P1128" t="str">
        <f t="shared" si="79"/>
        <v>119845828</v>
      </c>
    </row>
    <row r="1129" spans="1:16" x14ac:dyDescent="0.3">
      <c r="A1129">
        <v>1198</v>
      </c>
      <c r="B1129">
        <v>36</v>
      </c>
      <c r="C1129" t="s">
        <v>15</v>
      </c>
      <c r="D1129" t="s">
        <v>29</v>
      </c>
      <c r="E1129" t="s">
        <v>17</v>
      </c>
      <c r="F1129" t="s">
        <v>21</v>
      </c>
      <c r="G1129" t="s">
        <v>41</v>
      </c>
      <c r="H1129" t="s">
        <v>20</v>
      </c>
      <c r="I1129" s="1">
        <v>3</v>
      </c>
      <c r="J1129" s="2">
        <v>45862</v>
      </c>
      <c r="K1129" s="2">
        <v>45839</v>
      </c>
      <c r="L1129" s="1" t="str">
        <f t="shared" si="80"/>
        <v>qui</v>
      </c>
      <c r="M1129" s="1" t="str">
        <f t="shared" si="81"/>
        <v>jul</v>
      </c>
      <c r="N1129">
        <f t="shared" si="82"/>
        <v>2025</v>
      </c>
      <c r="O1129" s="2">
        <f>_xlfn.XLOOKUP(A1129,Colaboradores!$A:$A,Colaboradores!$S:$S,"",0)</f>
        <v>45894</v>
      </c>
      <c r="P1129" t="str">
        <f t="shared" si="79"/>
        <v>119845862</v>
      </c>
    </row>
    <row r="1130" spans="1:16" x14ac:dyDescent="0.3">
      <c r="A1130">
        <v>1198</v>
      </c>
      <c r="B1130">
        <v>36</v>
      </c>
      <c r="C1130" t="s">
        <v>15</v>
      </c>
      <c r="D1130" t="s">
        <v>29</v>
      </c>
      <c r="E1130" t="s">
        <v>17</v>
      </c>
      <c r="F1130" t="s">
        <v>21</v>
      </c>
      <c r="G1130" t="s">
        <v>41</v>
      </c>
      <c r="H1130" t="s">
        <v>20</v>
      </c>
      <c r="I1130" s="1">
        <v>3</v>
      </c>
      <c r="J1130" s="2">
        <v>45887</v>
      </c>
      <c r="K1130" s="2">
        <v>45870</v>
      </c>
      <c r="L1130" s="1" t="str">
        <f t="shared" si="80"/>
        <v>seg</v>
      </c>
      <c r="M1130" s="1" t="str">
        <f t="shared" si="81"/>
        <v>ago</v>
      </c>
      <c r="N1130">
        <f t="shared" si="82"/>
        <v>2025</v>
      </c>
      <c r="O1130" s="2">
        <f>_xlfn.XLOOKUP(A1130,Colaboradores!$A:$A,Colaboradores!$S:$S,"",0)</f>
        <v>45894</v>
      </c>
      <c r="P1130" t="str">
        <f t="shared" si="79"/>
        <v>119845887</v>
      </c>
    </row>
    <row r="1131" spans="1:16" x14ac:dyDescent="0.3">
      <c r="A1131">
        <v>1200</v>
      </c>
      <c r="B1131">
        <v>32</v>
      </c>
      <c r="C1131" t="s">
        <v>26</v>
      </c>
      <c r="D1131" t="s">
        <v>27</v>
      </c>
      <c r="E1131" t="s">
        <v>17</v>
      </c>
      <c r="F1131" t="s">
        <v>23</v>
      </c>
      <c r="G1131" t="s">
        <v>40</v>
      </c>
      <c r="H1131" t="s">
        <v>25</v>
      </c>
      <c r="I1131" s="1">
        <v>2</v>
      </c>
      <c r="J1131" s="2">
        <v>45796</v>
      </c>
      <c r="K1131" s="2">
        <v>45778</v>
      </c>
      <c r="L1131" s="1" t="str">
        <f t="shared" si="80"/>
        <v>seg</v>
      </c>
      <c r="M1131" s="1" t="str">
        <f t="shared" si="81"/>
        <v>mai</v>
      </c>
      <c r="N1131">
        <f t="shared" si="82"/>
        <v>2025</v>
      </c>
      <c r="O1131" s="2"/>
      <c r="P1131" t="str">
        <f t="shared" si="79"/>
        <v>120045796</v>
      </c>
    </row>
    <row r="1132" spans="1:16" x14ac:dyDescent="0.3">
      <c r="A1132">
        <v>1200</v>
      </c>
      <c r="B1132">
        <v>32</v>
      </c>
      <c r="C1132" t="s">
        <v>26</v>
      </c>
      <c r="D1132" t="s">
        <v>27</v>
      </c>
      <c r="E1132" t="s">
        <v>17</v>
      </c>
      <c r="F1132" t="s">
        <v>23</v>
      </c>
      <c r="G1132" t="s">
        <v>40</v>
      </c>
      <c r="H1132" t="s">
        <v>25</v>
      </c>
      <c r="I1132" s="1">
        <v>2</v>
      </c>
      <c r="J1132" s="2">
        <v>45892</v>
      </c>
      <c r="K1132" s="2">
        <v>45870</v>
      </c>
      <c r="L1132" s="1" t="str">
        <f t="shared" si="80"/>
        <v>sáb</v>
      </c>
      <c r="M1132" s="1" t="str">
        <f t="shared" si="81"/>
        <v>ago</v>
      </c>
      <c r="N1132">
        <f t="shared" si="82"/>
        <v>2025</v>
      </c>
      <c r="O1132" s="2"/>
      <c r="P1132" t="str">
        <f t="shared" si="79"/>
        <v>120045892</v>
      </c>
    </row>
    <row r="1133" spans="1:16" x14ac:dyDescent="0.3">
      <c r="A1133">
        <v>1200</v>
      </c>
      <c r="B1133">
        <v>32</v>
      </c>
      <c r="C1133" t="s">
        <v>26</v>
      </c>
      <c r="D1133" t="s">
        <v>27</v>
      </c>
      <c r="E1133" t="s">
        <v>17</v>
      </c>
      <c r="F1133" t="s">
        <v>23</v>
      </c>
      <c r="G1133" t="s">
        <v>40</v>
      </c>
      <c r="H1133" t="s">
        <v>25</v>
      </c>
      <c r="I1133" s="1">
        <v>2</v>
      </c>
      <c r="J1133" s="2">
        <v>45917</v>
      </c>
      <c r="K1133" s="2">
        <v>45901</v>
      </c>
      <c r="L1133" s="1" t="str">
        <f t="shared" si="80"/>
        <v>qua</v>
      </c>
      <c r="M1133" s="1" t="str">
        <f t="shared" si="81"/>
        <v>set</v>
      </c>
      <c r="N1133">
        <f t="shared" si="82"/>
        <v>2025</v>
      </c>
      <c r="O1133" s="2"/>
      <c r="P1133" t="str">
        <f t="shared" si="79"/>
        <v>120045917</v>
      </c>
    </row>
    <row r="1134" spans="1:16" x14ac:dyDescent="0.3">
      <c r="A1134">
        <v>1200</v>
      </c>
      <c r="B1134">
        <v>32</v>
      </c>
      <c r="C1134" t="s">
        <v>26</v>
      </c>
      <c r="D1134" t="s">
        <v>27</v>
      </c>
      <c r="E1134" t="s">
        <v>17</v>
      </c>
      <c r="F1134" t="s">
        <v>23</v>
      </c>
      <c r="G1134" t="s">
        <v>40</v>
      </c>
      <c r="H1134" t="s">
        <v>25</v>
      </c>
      <c r="I1134" s="1">
        <v>2</v>
      </c>
      <c r="J1134" s="2">
        <v>45972</v>
      </c>
      <c r="K1134" s="2">
        <v>45962</v>
      </c>
      <c r="L1134" s="1" t="str">
        <f t="shared" si="80"/>
        <v>ter</v>
      </c>
      <c r="M1134" s="1" t="str">
        <f t="shared" si="81"/>
        <v>nov</v>
      </c>
      <c r="N1134">
        <f t="shared" si="82"/>
        <v>2025</v>
      </c>
      <c r="O1134" s="2"/>
      <c r="P1134" t="str">
        <f t="shared" si="79"/>
        <v>120045972</v>
      </c>
    </row>
    <row r="1135" spans="1:16" x14ac:dyDescent="0.3">
      <c r="A1135">
        <v>1200</v>
      </c>
      <c r="B1135">
        <v>32</v>
      </c>
      <c r="C1135" t="s">
        <v>26</v>
      </c>
      <c r="D1135" t="s">
        <v>27</v>
      </c>
      <c r="E1135" t="s">
        <v>17</v>
      </c>
      <c r="F1135" t="s">
        <v>23</v>
      </c>
      <c r="G1135" t="s">
        <v>40</v>
      </c>
      <c r="H1135" t="s">
        <v>25</v>
      </c>
      <c r="I1135" s="1">
        <v>2</v>
      </c>
      <c r="J1135" s="2">
        <v>45981</v>
      </c>
      <c r="K1135" s="2">
        <v>45962</v>
      </c>
      <c r="L1135" s="1" t="str">
        <f t="shared" si="80"/>
        <v>qui</v>
      </c>
      <c r="M1135" s="1" t="str">
        <f t="shared" si="81"/>
        <v>nov</v>
      </c>
      <c r="N1135">
        <f t="shared" si="82"/>
        <v>2025</v>
      </c>
      <c r="O1135" s="2"/>
      <c r="P1135" t="str">
        <f t="shared" si="79"/>
        <v>120045981</v>
      </c>
    </row>
    <row r="1136" spans="1:16" x14ac:dyDescent="0.3">
      <c r="A1136">
        <v>1200</v>
      </c>
      <c r="B1136">
        <v>32</v>
      </c>
      <c r="C1136" t="s">
        <v>26</v>
      </c>
      <c r="D1136" t="s">
        <v>27</v>
      </c>
      <c r="E1136" t="s">
        <v>17</v>
      </c>
      <c r="F1136" t="s">
        <v>23</v>
      </c>
      <c r="G1136" t="s">
        <v>40</v>
      </c>
      <c r="H1136" t="s">
        <v>25</v>
      </c>
      <c r="I1136" s="1">
        <v>2</v>
      </c>
      <c r="J1136" s="2">
        <v>46189</v>
      </c>
      <c r="K1136" s="2">
        <v>46023</v>
      </c>
      <c r="L1136" s="1" t="str">
        <f t="shared" si="80"/>
        <v>ter</v>
      </c>
      <c r="M1136" s="1" t="str">
        <f t="shared" si="81"/>
        <v>jun</v>
      </c>
      <c r="N1136">
        <f t="shared" si="82"/>
        <v>2026</v>
      </c>
      <c r="O1136" s="2"/>
      <c r="P1136" t="str">
        <f t="shared" si="79"/>
        <v>120046189</v>
      </c>
    </row>
    <row r="1137" spans="1:16" x14ac:dyDescent="0.3">
      <c r="A1137">
        <v>1200</v>
      </c>
      <c r="B1137">
        <v>32</v>
      </c>
      <c r="C1137" t="s">
        <v>26</v>
      </c>
      <c r="D1137" t="s">
        <v>27</v>
      </c>
      <c r="E1137" t="s">
        <v>17</v>
      </c>
      <c r="F1137" t="s">
        <v>23</v>
      </c>
      <c r="G1137" t="s">
        <v>40</v>
      </c>
      <c r="H1137" t="s">
        <v>25</v>
      </c>
      <c r="I1137" s="1">
        <v>2</v>
      </c>
      <c r="J1137" s="2">
        <v>46161</v>
      </c>
      <c r="K1137" s="2">
        <v>46143</v>
      </c>
      <c r="L1137" s="1" t="s">
        <v>56</v>
      </c>
      <c r="M1137" s="1" t="s">
        <v>49</v>
      </c>
      <c r="N1137">
        <v>2025</v>
      </c>
      <c r="O1137" s="2"/>
      <c r="P1137" t="str">
        <f t="shared" si="79"/>
        <v>120046161</v>
      </c>
    </row>
    <row r="1138" spans="1:16" x14ac:dyDescent="0.3">
      <c r="A1138">
        <v>1201</v>
      </c>
      <c r="B1138">
        <v>28</v>
      </c>
      <c r="C1138" t="s">
        <v>15</v>
      </c>
      <c r="D1138" t="s">
        <v>29</v>
      </c>
      <c r="E1138" t="s">
        <v>17</v>
      </c>
      <c r="F1138" t="s">
        <v>18</v>
      </c>
      <c r="G1138" t="s">
        <v>44</v>
      </c>
      <c r="H1138" t="s">
        <v>20</v>
      </c>
      <c r="I1138" s="1">
        <v>2</v>
      </c>
      <c r="J1138" s="2">
        <v>45879</v>
      </c>
      <c r="K1138" s="2">
        <v>45870</v>
      </c>
      <c r="L1138" s="1" t="str">
        <f t="shared" ref="L1138:L1169" si="83">TEXT(J1138,"ddd")</f>
        <v>dom</v>
      </c>
      <c r="M1138" s="1" t="str">
        <f t="shared" ref="M1138:M1169" si="84">TEXT($J1138,"mmm")</f>
        <v>ago</v>
      </c>
      <c r="N1138">
        <f t="shared" ref="N1138:N1169" si="85">YEAR(J1138)</f>
        <v>2025</v>
      </c>
      <c r="O1138" s="2">
        <f>_xlfn.XLOOKUP(A1138,Colaboradores!$A:$A,Colaboradores!$S:$S,"",0)</f>
        <v>46108</v>
      </c>
      <c r="P1138" t="str">
        <f t="shared" si="79"/>
        <v>120145879</v>
      </c>
    </row>
    <row r="1139" spans="1:16" x14ac:dyDescent="0.3">
      <c r="A1139">
        <v>1201</v>
      </c>
      <c r="B1139">
        <v>28</v>
      </c>
      <c r="C1139" t="s">
        <v>15</v>
      </c>
      <c r="D1139" t="s">
        <v>29</v>
      </c>
      <c r="E1139" t="s">
        <v>17</v>
      </c>
      <c r="F1139" t="s">
        <v>18</v>
      </c>
      <c r="G1139" t="s">
        <v>44</v>
      </c>
      <c r="H1139" t="s">
        <v>20</v>
      </c>
      <c r="I1139" s="1">
        <v>2</v>
      </c>
      <c r="J1139" s="2">
        <v>45923</v>
      </c>
      <c r="K1139" s="2">
        <v>45901</v>
      </c>
      <c r="L1139" s="1" t="str">
        <f t="shared" si="83"/>
        <v>ter</v>
      </c>
      <c r="M1139" s="1" t="str">
        <f t="shared" si="84"/>
        <v>set</v>
      </c>
      <c r="N1139">
        <f t="shared" si="85"/>
        <v>2025</v>
      </c>
      <c r="O1139" s="2">
        <f>_xlfn.XLOOKUP(A1139,Colaboradores!$A:$A,Colaboradores!$S:$S,"",0)</f>
        <v>46108</v>
      </c>
      <c r="P1139" t="str">
        <f t="shared" si="79"/>
        <v>120145923</v>
      </c>
    </row>
    <row r="1140" spans="1:16" x14ac:dyDescent="0.3">
      <c r="A1140">
        <v>1201</v>
      </c>
      <c r="B1140">
        <v>28</v>
      </c>
      <c r="C1140" t="s">
        <v>15</v>
      </c>
      <c r="D1140" t="s">
        <v>29</v>
      </c>
      <c r="E1140" t="s">
        <v>17</v>
      </c>
      <c r="F1140" t="s">
        <v>18</v>
      </c>
      <c r="G1140" t="s">
        <v>41</v>
      </c>
      <c r="H1140" t="s">
        <v>20</v>
      </c>
      <c r="I1140" s="1">
        <v>2</v>
      </c>
      <c r="J1140" s="2">
        <v>46178</v>
      </c>
      <c r="K1140" s="2">
        <v>46023</v>
      </c>
      <c r="L1140" s="1" t="str">
        <f t="shared" si="83"/>
        <v>sex</v>
      </c>
      <c r="M1140" s="1" t="str">
        <f t="shared" si="84"/>
        <v>jun</v>
      </c>
      <c r="N1140">
        <f t="shared" si="85"/>
        <v>2026</v>
      </c>
      <c r="O1140" s="2">
        <f>_xlfn.XLOOKUP(A1140,Colaboradores!$A:$A,Colaboradores!$S:$S,"",0)</f>
        <v>46108</v>
      </c>
      <c r="P1140" t="str">
        <f t="shared" si="79"/>
        <v>120146178</v>
      </c>
    </row>
    <row r="1141" spans="1:16" x14ac:dyDescent="0.3">
      <c r="A1141">
        <v>1201</v>
      </c>
      <c r="B1141">
        <v>28</v>
      </c>
      <c r="C1141" t="s">
        <v>15</v>
      </c>
      <c r="D1141" t="s">
        <v>29</v>
      </c>
      <c r="E1141" t="s">
        <v>17</v>
      </c>
      <c r="F1141" t="s">
        <v>18</v>
      </c>
      <c r="G1141" t="s">
        <v>41</v>
      </c>
      <c r="H1141" t="s">
        <v>20</v>
      </c>
      <c r="I1141" s="1">
        <v>2</v>
      </c>
      <c r="J1141" s="2">
        <v>46190</v>
      </c>
      <c r="K1141" s="2">
        <v>46023</v>
      </c>
      <c r="L1141" s="1" t="str">
        <f t="shared" si="83"/>
        <v>qua</v>
      </c>
      <c r="M1141" s="1" t="str">
        <f t="shared" si="84"/>
        <v>jun</v>
      </c>
      <c r="N1141">
        <f t="shared" si="85"/>
        <v>2026</v>
      </c>
      <c r="O1141" s="2">
        <f>_xlfn.XLOOKUP(A1141,Colaboradores!$A:$A,Colaboradores!$S:$S,"",0)</f>
        <v>46108</v>
      </c>
      <c r="P1141" t="str">
        <f t="shared" si="79"/>
        <v>120146190</v>
      </c>
    </row>
    <row r="1142" spans="1:16" x14ac:dyDescent="0.3">
      <c r="A1142">
        <v>1201</v>
      </c>
      <c r="B1142">
        <v>28</v>
      </c>
      <c r="C1142" t="s">
        <v>15</v>
      </c>
      <c r="D1142" t="s">
        <v>29</v>
      </c>
      <c r="E1142" t="s">
        <v>17</v>
      </c>
      <c r="F1142" t="s">
        <v>18</v>
      </c>
      <c r="G1142" t="s">
        <v>42</v>
      </c>
      <c r="H1142" t="s">
        <v>20</v>
      </c>
      <c r="I1142" s="1">
        <v>2</v>
      </c>
      <c r="J1142" s="2">
        <v>46201</v>
      </c>
      <c r="K1142" s="2">
        <v>46023</v>
      </c>
      <c r="L1142" s="1" t="str">
        <f t="shared" si="83"/>
        <v>dom</v>
      </c>
      <c r="M1142" s="1" t="str">
        <f t="shared" si="84"/>
        <v>jun</v>
      </c>
      <c r="N1142">
        <f t="shared" si="85"/>
        <v>2026</v>
      </c>
      <c r="O1142" s="2">
        <f>_xlfn.XLOOKUP(A1142,Colaboradores!$A:$A,Colaboradores!$S:$S,"",0)</f>
        <v>46108</v>
      </c>
      <c r="P1142" t="str">
        <f t="shared" si="79"/>
        <v>120146201</v>
      </c>
    </row>
    <row r="1143" spans="1:16" x14ac:dyDescent="0.3">
      <c r="A1143">
        <v>1201</v>
      </c>
      <c r="B1143">
        <v>28</v>
      </c>
      <c r="C1143" t="s">
        <v>15</v>
      </c>
      <c r="D1143" t="s">
        <v>29</v>
      </c>
      <c r="E1143" t="s">
        <v>17</v>
      </c>
      <c r="F1143" t="s">
        <v>18</v>
      </c>
      <c r="G1143" t="s">
        <v>42</v>
      </c>
      <c r="H1143" t="s">
        <v>20</v>
      </c>
      <c r="I1143" s="1">
        <v>2</v>
      </c>
      <c r="J1143" s="2">
        <v>46061</v>
      </c>
      <c r="K1143" s="2">
        <v>46054</v>
      </c>
      <c r="L1143" s="1" t="str">
        <f t="shared" si="83"/>
        <v>dom</v>
      </c>
      <c r="M1143" s="1" t="str">
        <f t="shared" si="84"/>
        <v>fev</v>
      </c>
      <c r="N1143">
        <f t="shared" si="85"/>
        <v>2026</v>
      </c>
      <c r="O1143" s="2">
        <f>_xlfn.XLOOKUP(A1143,Colaboradores!$A:$A,Colaboradores!$S:$S,"",0)</f>
        <v>46108</v>
      </c>
      <c r="P1143" t="str">
        <f t="shared" si="79"/>
        <v>120146061</v>
      </c>
    </row>
    <row r="1144" spans="1:16" x14ac:dyDescent="0.3">
      <c r="A1144">
        <v>1202</v>
      </c>
      <c r="B1144">
        <v>54</v>
      </c>
      <c r="C1144" t="s">
        <v>26</v>
      </c>
      <c r="D1144" t="s">
        <v>16</v>
      </c>
      <c r="E1144" t="s">
        <v>17</v>
      </c>
      <c r="F1144" t="s">
        <v>23</v>
      </c>
      <c r="G1144" t="s">
        <v>44</v>
      </c>
      <c r="H1144" t="s">
        <v>25</v>
      </c>
      <c r="I1144" s="1">
        <v>2</v>
      </c>
      <c r="J1144" s="2">
        <v>45918</v>
      </c>
      <c r="K1144" s="2">
        <v>45901</v>
      </c>
      <c r="L1144" s="1" t="str">
        <f t="shared" si="83"/>
        <v>qui</v>
      </c>
      <c r="M1144" s="1" t="str">
        <f t="shared" si="84"/>
        <v>set</v>
      </c>
      <c r="N1144">
        <f t="shared" si="85"/>
        <v>2025</v>
      </c>
      <c r="O1144" s="2"/>
      <c r="P1144" t="str">
        <f t="shared" si="79"/>
        <v>120245918</v>
      </c>
    </row>
    <row r="1145" spans="1:16" x14ac:dyDescent="0.3">
      <c r="A1145">
        <v>1202</v>
      </c>
      <c r="B1145">
        <v>54</v>
      </c>
      <c r="C1145" t="s">
        <v>26</v>
      </c>
      <c r="D1145" t="s">
        <v>16</v>
      </c>
      <c r="E1145" t="s">
        <v>17</v>
      </c>
      <c r="F1145" t="s">
        <v>23</v>
      </c>
      <c r="G1145" t="s">
        <v>41</v>
      </c>
      <c r="H1145" t="s">
        <v>25</v>
      </c>
      <c r="I1145" s="1">
        <v>2</v>
      </c>
      <c r="J1145" s="2">
        <v>45920</v>
      </c>
      <c r="K1145" s="2">
        <v>45901</v>
      </c>
      <c r="L1145" s="1" t="str">
        <f t="shared" si="83"/>
        <v>sáb</v>
      </c>
      <c r="M1145" s="1" t="str">
        <f t="shared" si="84"/>
        <v>set</v>
      </c>
      <c r="N1145">
        <f t="shared" si="85"/>
        <v>2025</v>
      </c>
      <c r="O1145" s="2"/>
      <c r="P1145" t="str">
        <f t="shared" si="79"/>
        <v>120245920</v>
      </c>
    </row>
    <row r="1146" spans="1:16" x14ac:dyDescent="0.3">
      <c r="A1146">
        <v>1202</v>
      </c>
      <c r="B1146">
        <v>54</v>
      </c>
      <c r="C1146" t="s">
        <v>26</v>
      </c>
      <c r="D1146" t="s">
        <v>16</v>
      </c>
      <c r="E1146" t="s">
        <v>17</v>
      </c>
      <c r="F1146" t="s">
        <v>23</v>
      </c>
      <c r="G1146" t="s">
        <v>41</v>
      </c>
      <c r="H1146" t="s">
        <v>25</v>
      </c>
      <c r="I1146" s="1">
        <v>2</v>
      </c>
      <c r="J1146" s="2">
        <v>45936</v>
      </c>
      <c r="K1146" s="2">
        <v>45931</v>
      </c>
      <c r="L1146" s="1" t="str">
        <f t="shared" si="83"/>
        <v>seg</v>
      </c>
      <c r="M1146" s="1" t="str">
        <f t="shared" si="84"/>
        <v>out</v>
      </c>
      <c r="N1146">
        <f t="shared" si="85"/>
        <v>2025</v>
      </c>
      <c r="O1146" s="2"/>
      <c r="P1146" t="str">
        <f t="shared" si="79"/>
        <v>120245936</v>
      </c>
    </row>
    <row r="1147" spans="1:16" x14ac:dyDescent="0.3">
      <c r="A1147">
        <v>1202</v>
      </c>
      <c r="B1147">
        <v>54</v>
      </c>
      <c r="C1147" t="s">
        <v>26</v>
      </c>
      <c r="D1147" t="s">
        <v>16</v>
      </c>
      <c r="E1147" t="s">
        <v>17</v>
      </c>
      <c r="F1147" t="s">
        <v>23</v>
      </c>
      <c r="G1147" t="s">
        <v>44</v>
      </c>
      <c r="H1147" t="s">
        <v>25</v>
      </c>
      <c r="I1147" s="1">
        <v>2</v>
      </c>
      <c r="J1147" s="2">
        <v>45972</v>
      </c>
      <c r="K1147" s="2">
        <v>45962</v>
      </c>
      <c r="L1147" s="1" t="str">
        <f t="shared" si="83"/>
        <v>ter</v>
      </c>
      <c r="M1147" s="1" t="str">
        <f t="shared" si="84"/>
        <v>nov</v>
      </c>
      <c r="N1147">
        <f t="shared" si="85"/>
        <v>2025</v>
      </c>
      <c r="O1147" s="2"/>
      <c r="P1147" t="str">
        <f t="shared" si="79"/>
        <v>120245972</v>
      </c>
    </row>
    <row r="1148" spans="1:16" x14ac:dyDescent="0.3">
      <c r="A1148">
        <v>1202</v>
      </c>
      <c r="B1148">
        <v>54</v>
      </c>
      <c r="C1148" t="s">
        <v>26</v>
      </c>
      <c r="D1148" t="s">
        <v>16</v>
      </c>
      <c r="E1148" t="s">
        <v>17</v>
      </c>
      <c r="F1148" t="s">
        <v>23</v>
      </c>
      <c r="G1148" t="s">
        <v>44</v>
      </c>
      <c r="H1148" t="s">
        <v>25</v>
      </c>
      <c r="I1148" s="1">
        <v>2</v>
      </c>
      <c r="J1148" s="2">
        <v>46016</v>
      </c>
      <c r="K1148" s="2">
        <v>45992</v>
      </c>
      <c r="L1148" s="1" t="str">
        <f t="shared" si="83"/>
        <v>qui</v>
      </c>
      <c r="M1148" s="1" t="str">
        <f t="shared" si="84"/>
        <v>dez</v>
      </c>
      <c r="N1148">
        <f t="shared" si="85"/>
        <v>2025</v>
      </c>
      <c r="O1148" s="2"/>
      <c r="P1148" t="str">
        <f t="shared" si="79"/>
        <v>120246016</v>
      </c>
    </row>
    <row r="1149" spans="1:16" x14ac:dyDescent="0.3">
      <c r="A1149">
        <v>1202</v>
      </c>
      <c r="B1149">
        <v>54</v>
      </c>
      <c r="C1149" t="s">
        <v>26</v>
      </c>
      <c r="D1149" t="s">
        <v>16</v>
      </c>
      <c r="E1149" t="s">
        <v>17</v>
      </c>
      <c r="F1149" t="s">
        <v>23</v>
      </c>
      <c r="G1149" t="s">
        <v>44</v>
      </c>
      <c r="H1149" t="s">
        <v>25</v>
      </c>
      <c r="I1149" s="1">
        <v>2</v>
      </c>
      <c r="J1149" s="2">
        <v>46081</v>
      </c>
      <c r="K1149" s="2">
        <v>46054</v>
      </c>
      <c r="L1149" s="1" t="str">
        <f t="shared" si="83"/>
        <v>sáb</v>
      </c>
      <c r="M1149" s="1" t="str">
        <f t="shared" si="84"/>
        <v>fev</v>
      </c>
      <c r="N1149">
        <f t="shared" si="85"/>
        <v>2026</v>
      </c>
      <c r="O1149" s="2"/>
      <c r="P1149" t="str">
        <f t="shared" si="79"/>
        <v>120246081</v>
      </c>
    </row>
    <row r="1150" spans="1:16" x14ac:dyDescent="0.3">
      <c r="A1150">
        <v>1203</v>
      </c>
      <c r="B1150">
        <v>55</v>
      </c>
      <c r="C1150" t="s">
        <v>15</v>
      </c>
      <c r="D1150" t="s">
        <v>22</v>
      </c>
      <c r="E1150" t="s">
        <v>17</v>
      </c>
      <c r="F1150" t="s">
        <v>21</v>
      </c>
      <c r="G1150" t="s">
        <v>41</v>
      </c>
      <c r="H1150" t="s">
        <v>25</v>
      </c>
      <c r="I1150" s="1">
        <v>1</v>
      </c>
      <c r="J1150" s="2">
        <v>45849</v>
      </c>
      <c r="K1150" s="2">
        <v>45839</v>
      </c>
      <c r="L1150" s="1" t="str">
        <f t="shared" si="83"/>
        <v>sex</v>
      </c>
      <c r="M1150" s="1" t="str">
        <f t="shared" si="84"/>
        <v>jul</v>
      </c>
      <c r="N1150">
        <f t="shared" si="85"/>
        <v>2025</v>
      </c>
      <c r="O1150" s="2"/>
      <c r="P1150" t="str">
        <f t="shared" si="79"/>
        <v>120345849</v>
      </c>
    </row>
    <row r="1151" spans="1:16" x14ac:dyDescent="0.3">
      <c r="A1151">
        <v>1203</v>
      </c>
      <c r="B1151">
        <v>55</v>
      </c>
      <c r="C1151" t="s">
        <v>15</v>
      </c>
      <c r="D1151" t="s">
        <v>22</v>
      </c>
      <c r="E1151" t="s">
        <v>17</v>
      </c>
      <c r="F1151" t="s">
        <v>21</v>
      </c>
      <c r="G1151" t="s">
        <v>41</v>
      </c>
      <c r="H1151" t="s">
        <v>25</v>
      </c>
      <c r="I1151" s="1">
        <v>1</v>
      </c>
      <c r="J1151" s="2">
        <v>45922</v>
      </c>
      <c r="K1151" s="2">
        <v>45901</v>
      </c>
      <c r="L1151" s="1" t="str">
        <f t="shared" si="83"/>
        <v>seg</v>
      </c>
      <c r="M1151" s="1" t="str">
        <f t="shared" si="84"/>
        <v>set</v>
      </c>
      <c r="N1151">
        <f t="shared" si="85"/>
        <v>2025</v>
      </c>
      <c r="O1151" s="2"/>
      <c r="P1151" t="str">
        <f t="shared" si="79"/>
        <v>120345922</v>
      </c>
    </row>
    <row r="1152" spans="1:16" x14ac:dyDescent="0.3">
      <c r="A1152">
        <v>1203</v>
      </c>
      <c r="B1152">
        <v>55</v>
      </c>
      <c r="C1152" t="s">
        <v>15</v>
      </c>
      <c r="D1152" t="s">
        <v>22</v>
      </c>
      <c r="E1152" t="s">
        <v>17</v>
      </c>
      <c r="F1152" t="s">
        <v>21</v>
      </c>
      <c r="G1152" t="s">
        <v>41</v>
      </c>
      <c r="H1152" t="s">
        <v>25</v>
      </c>
      <c r="I1152" s="1">
        <v>1</v>
      </c>
      <c r="J1152" s="2">
        <v>46191</v>
      </c>
      <c r="K1152" s="2">
        <v>46023</v>
      </c>
      <c r="L1152" s="1" t="str">
        <f t="shared" si="83"/>
        <v>qui</v>
      </c>
      <c r="M1152" s="1" t="str">
        <f t="shared" si="84"/>
        <v>jun</v>
      </c>
      <c r="N1152">
        <f t="shared" si="85"/>
        <v>2026</v>
      </c>
      <c r="O1152" s="2"/>
      <c r="P1152" t="str">
        <f t="shared" si="79"/>
        <v>120346191</v>
      </c>
    </row>
    <row r="1153" spans="1:16" x14ac:dyDescent="0.3">
      <c r="A1153">
        <v>1203</v>
      </c>
      <c r="B1153">
        <v>55</v>
      </c>
      <c r="C1153" t="s">
        <v>15</v>
      </c>
      <c r="D1153" t="s">
        <v>22</v>
      </c>
      <c r="E1153" t="s">
        <v>17</v>
      </c>
      <c r="F1153" t="s">
        <v>21</v>
      </c>
      <c r="G1153" t="s">
        <v>41</v>
      </c>
      <c r="H1153" t="s">
        <v>25</v>
      </c>
      <c r="I1153" s="1">
        <v>1</v>
      </c>
      <c r="J1153" s="2">
        <v>46106</v>
      </c>
      <c r="K1153" s="2">
        <v>46082</v>
      </c>
      <c r="L1153" s="1" t="str">
        <f t="shared" si="83"/>
        <v>qua</v>
      </c>
      <c r="M1153" s="1" t="str">
        <f t="shared" si="84"/>
        <v>mar</v>
      </c>
      <c r="N1153">
        <f t="shared" si="85"/>
        <v>2026</v>
      </c>
      <c r="O1153" s="2"/>
      <c r="P1153" t="str">
        <f t="shared" ref="P1153:P1216" si="86">CONCATENATE(A1153,J1153)</f>
        <v>120346106</v>
      </c>
    </row>
    <row r="1154" spans="1:16" x14ac:dyDescent="0.3">
      <c r="A1154">
        <v>1204</v>
      </c>
      <c r="B1154">
        <v>52</v>
      </c>
      <c r="C1154" t="s">
        <v>26</v>
      </c>
      <c r="D1154" t="s">
        <v>29</v>
      </c>
      <c r="E1154" t="s">
        <v>17</v>
      </c>
      <c r="F1154" t="s">
        <v>21</v>
      </c>
      <c r="G1154" t="s">
        <v>41</v>
      </c>
      <c r="H1154" t="s">
        <v>20</v>
      </c>
      <c r="I1154" s="1">
        <v>1</v>
      </c>
      <c r="J1154" s="2">
        <v>45771</v>
      </c>
      <c r="K1154" s="2">
        <v>45748</v>
      </c>
      <c r="L1154" s="1" t="str">
        <f t="shared" si="83"/>
        <v>qui</v>
      </c>
      <c r="M1154" s="1" t="str">
        <f t="shared" si="84"/>
        <v>abr</v>
      </c>
      <c r="N1154">
        <f t="shared" si="85"/>
        <v>2025</v>
      </c>
      <c r="O1154" s="2">
        <f>_xlfn.XLOOKUP(A1154,Colaboradores!$A:$A,Colaboradores!$S:$S,"",0)</f>
        <v>46017</v>
      </c>
      <c r="P1154" t="str">
        <f t="shared" si="86"/>
        <v>120445771</v>
      </c>
    </row>
    <row r="1155" spans="1:16" x14ac:dyDescent="0.3">
      <c r="A1155">
        <v>1204</v>
      </c>
      <c r="B1155">
        <v>52</v>
      </c>
      <c r="C1155" t="s">
        <v>26</v>
      </c>
      <c r="D1155" t="s">
        <v>29</v>
      </c>
      <c r="E1155" t="s">
        <v>17</v>
      </c>
      <c r="F1155" t="s">
        <v>21</v>
      </c>
      <c r="G1155" t="s">
        <v>41</v>
      </c>
      <c r="H1155" t="s">
        <v>20</v>
      </c>
      <c r="I1155" s="1">
        <v>1</v>
      </c>
      <c r="J1155" s="2">
        <v>45796</v>
      </c>
      <c r="K1155" s="2">
        <v>45778</v>
      </c>
      <c r="L1155" s="1" t="str">
        <f t="shared" si="83"/>
        <v>seg</v>
      </c>
      <c r="M1155" s="1" t="str">
        <f t="shared" si="84"/>
        <v>mai</v>
      </c>
      <c r="N1155">
        <f t="shared" si="85"/>
        <v>2025</v>
      </c>
      <c r="O1155" s="2">
        <f>_xlfn.XLOOKUP(A1155,Colaboradores!$A:$A,Colaboradores!$S:$S,"",0)</f>
        <v>46017</v>
      </c>
      <c r="P1155" t="str">
        <f t="shared" si="86"/>
        <v>120445796</v>
      </c>
    </row>
    <row r="1156" spans="1:16" x14ac:dyDescent="0.3">
      <c r="A1156">
        <v>1204</v>
      </c>
      <c r="B1156">
        <v>52</v>
      </c>
      <c r="C1156" t="s">
        <v>26</v>
      </c>
      <c r="D1156" t="s">
        <v>29</v>
      </c>
      <c r="E1156" t="s">
        <v>17</v>
      </c>
      <c r="F1156" t="s">
        <v>21</v>
      </c>
      <c r="G1156" t="s">
        <v>41</v>
      </c>
      <c r="H1156" t="s">
        <v>20</v>
      </c>
      <c r="I1156" s="1">
        <v>1</v>
      </c>
      <c r="J1156" s="2">
        <v>45853</v>
      </c>
      <c r="K1156" s="2">
        <v>45839</v>
      </c>
      <c r="L1156" s="1" t="str">
        <f t="shared" si="83"/>
        <v>ter</v>
      </c>
      <c r="M1156" s="1" t="str">
        <f t="shared" si="84"/>
        <v>jul</v>
      </c>
      <c r="N1156">
        <f t="shared" si="85"/>
        <v>2025</v>
      </c>
      <c r="O1156" s="2">
        <f>_xlfn.XLOOKUP(A1156,Colaboradores!$A:$A,Colaboradores!$S:$S,"",0)</f>
        <v>46017</v>
      </c>
      <c r="P1156" t="str">
        <f t="shared" si="86"/>
        <v>120445853</v>
      </c>
    </row>
    <row r="1157" spans="1:16" x14ac:dyDescent="0.3">
      <c r="A1157">
        <v>1204</v>
      </c>
      <c r="B1157">
        <v>52</v>
      </c>
      <c r="C1157" t="s">
        <v>26</v>
      </c>
      <c r="D1157" t="s">
        <v>29</v>
      </c>
      <c r="E1157" t="s">
        <v>17</v>
      </c>
      <c r="F1157" t="s">
        <v>21</v>
      </c>
      <c r="G1157" t="s">
        <v>41</v>
      </c>
      <c r="H1157" t="s">
        <v>20</v>
      </c>
      <c r="I1157" s="1">
        <v>1</v>
      </c>
      <c r="J1157" s="2">
        <v>45942</v>
      </c>
      <c r="K1157" s="2">
        <v>45931</v>
      </c>
      <c r="L1157" s="1" t="str">
        <f t="shared" si="83"/>
        <v>dom</v>
      </c>
      <c r="M1157" s="1" t="str">
        <f t="shared" si="84"/>
        <v>out</v>
      </c>
      <c r="N1157">
        <f t="shared" si="85"/>
        <v>2025</v>
      </c>
      <c r="O1157" s="2">
        <f>_xlfn.XLOOKUP(A1157,Colaboradores!$A:$A,Colaboradores!$S:$S,"",0)</f>
        <v>46017</v>
      </c>
      <c r="P1157" t="str">
        <f t="shared" si="86"/>
        <v>120445942</v>
      </c>
    </row>
    <row r="1158" spans="1:16" x14ac:dyDescent="0.3">
      <c r="A1158">
        <v>1204</v>
      </c>
      <c r="B1158">
        <v>52</v>
      </c>
      <c r="C1158" t="s">
        <v>26</v>
      </c>
      <c r="D1158" t="s">
        <v>29</v>
      </c>
      <c r="E1158" t="s">
        <v>17</v>
      </c>
      <c r="F1158" t="s">
        <v>21</v>
      </c>
      <c r="G1158" t="s">
        <v>41</v>
      </c>
      <c r="H1158" t="s">
        <v>20</v>
      </c>
      <c r="I1158" s="1">
        <v>1</v>
      </c>
      <c r="J1158" s="2">
        <v>45969</v>
      </c>
      <c r="K1158" s="2">
        <v>45962</v>
      </c>
      <c r="L1158" s="1" t="str">
        <f t="shared" si="83"/>
        <v>sáb</v>
      </c>
      <c r="M1158" s="1" t="str">
        <f t="shared" si="84"/>
        <v>nov</v>
      </c>
      <c r="N1158">
        <f t="shared" si="85"/>
        <v>2025</v>
      </c>
      <c r="O1158" s="2">
        <f>_xlfn.XLOOKUP(A1158,Colaboradores!$A:$A,Colaboradores!$S:$S,"",0)</f>
        <v>46017</v>
      </c>
      <c r="P1158" t="str">
        <f t="shared" si="86"/>
        <v>120445969</v>
      </c>
    </row>
    <row r="1159" spans="1:16" x14ac:dyDescent="0.3">
      <c r="A1159">
        <v>1204</v>
      </c>
      <c r="B1159">
        <v>52</v>
      </c>
      <c r="C1159" t="s">
        <v>26</v>
      </c>
      <c r="D1159" t="s">
        <v>29</v>
      </c>
      <c r="E1159" t="s">
        <v>17</v>
      </c>
      <c r="F1159" t="s">
        <v>21</v>
      </c>
      <c r="G1159" t="s">
        <v>41</v>
      </c>
      <c r="H1159" t="s">
        <v>20</v>
      </c>
      <c r="I1159" s="1">
        <v>1</v>
      </c>
      <c r="J1159" s="2">
        <v>46000</v>
      </c>
      <c r="K1159" s="2">
        <v>45992</v>
      </c>
      <c r="L1159" s="1" t="str">
        <f t="shared" si="83"/>
        <v>ter</v>
      </c>
      <c r="M1159" s="1" t="str">
        <f t="shared" si="84"/>
        <v>dez</v>
      </c>
      <c r="N1159">
        <f t="shared" si="85"/>
        <v>2025</v>
      </c>
      <c r="O1159" s="2">
        <f>_xlfn.XLOOKUP(A1159,Colaboradores!$A:$A,Colaboradores!$S:$S,"",0)</f>
        <v>46017</v>
      </c>
      <c r="P1159" t="str">
        <f t="shared" si="86"/>
        <v>120446000</v>
      </c>
    </row>
    <row r="1160" spans="1:16" x14ac:dyDescent="0.3">
      <c r="A1160">
        <v>1206</v>
      </c>
      <c r="B1160">
        <v>42</v>
      </c>
      <c r="C1160" t="s">
        <v>26</v>
      </c>
      <c r="D1160" t="s">
        <v>16</v>
      </c>
      <c r="E1160" t="s">
        <v>17</v>
      </c>
      <c r="F1160" t="s">
        <v>21</v>
      </c>
      <c r="G1160" t="s">
        <v>41</v>
      </c>
      <c r="H1160" t="s">
        <v>20</v>
      </c>
      <c r="I1160" s="1">
        <v>2</v>
      </c>
      <c r="J1160" s="2">
        <v>45853</v>
      </c>
      <c r="K1160" s="2">
        <v>45839</v>
      </c>
      <c r="L1160" s="1" t="str">
        <f t="shared" si="83"/>
        <v>ter</v>
      </c>
      <c r="M1160" s="1" t="str">
        <f t="shared" si="84"/>
        <v>jul</v>
      </c>
      <c r="N1160">
        <f t="shared" si="85"/>
        <v>2025</v>
      </c>
      <c r="O1160" s="2">
        <f>_xlfn.XLOOKUP(A1160,Colaboradores!$A:$A,Colaboradores!$S:$S,"",0)</f>
        <v>45964</v>
      </c>
      <c r="P1160" t="str">
        <f t="shared" si="86"/>
        <v>120645853</v>
      </c>
    </row>
    <row r="1161" spans="1:16" x14ac:dyDescent="0.3">
      <c r="A1161">
        <v>1206</v>
      </c>
      <c r="B1161">
        <v>42</v>
      </c>
      <c r="C1161" t="s">
        <v>26</v>
      </c>
      <c r="D1161" t="s">
        <v>16</v>
      </c>
      <c r="E1161" t="s">
        <v>17</v>
      </c>
      <c r="F1161" t="s">
        <v>21</v>
      </c>
      <c r="G1161" t="s">
        <v>44</v>
      </c>
      <c r="H1161" t="s">
        <v>20</v>
      </c>
      <c r="I1161" s="1">
        <v>2</v>
      </c>
      <c r="J1161" s="2">
        <v>45898</v>
      </c>
      <c r="K1161" s="2">
        <v>45870</v>
      </c>
      <c r="L1161" s="1" t="str">
        <f t="shared" si="83"/>
        <v>sex</v>
      </c>
      <c r="M1161" s="1" t="str">
        <f t="shared" si="84"/>
        <v>ago</v>
      </c>
      <c r="N1161">
        <f t="shared" si="85"/>
        <v>2025</v>
      </c>
      <c r="O1161" s="2">
        <f>_xlfn.XLOOKUP(A1161,Colaboradores!$A:$A,Colaboradores!$S:$S,"",0)</f>
        <v>45964</v>
      </c>
      <c r="P1161" t="str">
        <f t="shared" si="86"/>
        <v>120645898</v>
      </c>
    </row>
    <row r="1162" spans="1:16" x14ac:dyDescent="0.3">
      <c r="A1162">
        <v>1206</v>
      </c>
      <c r="B1162">
        <v>42</v>
      </c>
      <c r="C1162" t="s">
        <v>26</v>
      </c>
      <c r="D1162" t="s">
        <v>16</v>
      </c>
      <c r="E1162" t="s">
        <v>17</v>
      </c>
      <c r="F1162" t="s">
        <v>21</v>
      </c>
      <c r="G1162" t="s">
        <v>41</v>
      </c>
      <c r="H1162" t="s">
        <v>20</v>
      </c>
      <c r="I1162" s="1">
        <v>2</v>
      </c>
      <c r="J1162" s="2">
        <v>45899</v>
      </c>
      <c r="K1162" s="2">
        <v>45870</v>
      </c>
      <c r="L1162" s="1" t="str">
        <f t="shared" si="83"/>
        <v>sáb</v>
      </c>
      <c r="M1162" s="1" t="str">
        <f t="shared" si="84"/>
        <v>ago</v>
      </c>
      <c r="N1162">
        <f t="shared" si="85"/>
        <v>2025</v>
      </c>
      <c r="O1162" s="2">
        <f>_xlfn.XLOOKUP(A1162,Colaboradores!$A:$A,Colaboradores!$S:$S,"",0)</f>
        <v>45964</v>
      </c>
      <c r="P1162" t="str">
        <f t="shared" si="86"/>
        <v>120645899</v>
      </c>
    </row>
    <row r="1163" spans="1:16" x14ac:dyDescent="0.3">
      <c r="A1163">
        <v>1206</v>
      </c>
      <c r="B1163">
        <v>42</v>
      </c>
      <c r="C1163" t="s">
        <v>26</v>
      </c>
      <c r="D1163" t="s">
        <v>16</v>
      </c>
      <c r="E1163" t="s">
        <v>17</v>
      </c>
      <c r="F1163" t="s">
        <v>21</v>
      </c>
      <c r="G1163" t="s">
        <v>41</v>
      </c>
      <c r="H1163" t="s">
        <v>20</v>
      </c>
      <c r="I1163" s="1">
        <v>2</v>
      </c>
      <c r="J1163" s="2">
        <v>45906</v>
      </c>
      <c r="K1163" s="2">
        <v>45901</v>
      </c>
      <c r="L1163" s="1" t="str">
        <f t="shared" si="83"/>
        <v>sáb</v>
      </c>
      <c r="M1163" s="1" t="str">
        <f t="shared" si="84"/>
        <v>set</v>
      </c>
      <c r="N1163">
        <f t="shared" si="85"/>
        <v>2025</v>
      </c>
      <c r="O1163" s="2">
        <f>_xlfn.XLOOKUP(A1163,Colaboradores!$A:$A,Colaboradores!$S:$S,"",0)</f>
        <v>45964</v>
      </c>
      <c r="P1163" t="str">
        <f t="shared" si="86"/>
        <v>120645906</v>
      </c>
    </row>
    <row r="1164" spans="1:16" x14ac:dyDescent="0.3">
      <c r="A1164">
        <v>1206</v>
      </c>
      <c r="B1164">
        <v>42</v>
      </c>
      <c r="C1164" t="s">
        <v>26</v>
      </c>
      <c r="D1164" t="s">
        <v>16</v>
      </c>
      <c r="E1164" t="s">
        <v>17</v>
      </c>
      <c r="F1164" t="s">
        <v>21</v>
      </c>
      <c r="G1164" t="s">
        <v>41</v>
      </c>
      <c r="H1164" t="s">
        <v>20</v>
      </c>
      <c r="I1164" s="1">
        <v>2</v>
      </c>
      <c r="J1164" s="2">
        <v>45940</v>
      </c>
      <c r="K1164" s="2">
        <v>45931</v>
      </c>
      <c r="L1164" s="1" t="str">
        <f t="shared" si="83"/>
        <v>sex</v>
      </c>
      <c r="M1164" s="1" t="str">
        <f t="shared" si="84"/>
        <v>out</v>
      </c>
      <c r="N1164">
        <f t="shared" si="85"/>
        <v>2025</v>
      </c>
      <c r="O1164" s="2">
        <f>_xlfn.XLOOKUP(A1164,Colaboradores!$A:$A,Colaboradores!$S:$S,"",0)</f>
        <v>45964</v>
      </c>
      <c r="P1164" t="str">
        <f t="shared" si="86"/>
        <v>120645940</v>
      </c>
    </row>
    <row r="1165" spans="1:16" x14ac:dyDescent="0.3">
      <c r="A1165">
        <v>1206</v>
      </c>
      <c r="B1165">
        <v>42</v>
      </c>
      <c r="C1165" t="s">
        <v>26</v>
      </c>
      <c r="D1165" t="s">
        <v>16</v>
      </c>
      <c r="E1165" t="s">
        <v>17</v>
      </c>
      <c r="F1165" t="s">
        <v>21</v>
      </c>
      <c r="G1165" t="s">
        <v>41</v>
      </c>
      <c r="H1165" t="s">
        <v>20</v>
      </c>
      <c r="I1165" s="1">
        <v>2</v>
      </c>
      <c r="J1165" s="2">
        <v>45946</v>
      </c>
      <c r="K1165" s="2">
        <v>45931</v>
      </c>
      <c r="L1165" s="1" t="str">
        <f t="shared" si="83"/>
        <v>qui</v>
      </c>
      <c r="M1165" s="1" t="str">
        <f t="shared" si="84"/>
        <v>out</v>
      </c>
      <c r="N1165">
        <f t="shared" si="85"/>
        <v>2025</v>
      </c>
      <c r="O1165" s="2">
        <f>_xlfn.XLOOKUP(A1165,Colaboradores!$A:$A,Colaboradores!$S:$S,"",0)</f>
        <v>45964</v>
      </c>
      <c r="P1165" t="str">
        <f t="shared" si="86"/>
        <v>120645946</v>
      </c>
    </row>
    <row r="1166" spans="1:16" x14ac:dyDescent="0.3">
      <c r="A1166">
        <v>1208</v>
      </c>
      <c r="B1166">
        <v>35</v>
      </c>
      <c r="C1166" t="s">
        <v>15</v>
      </c>
      <c r="D1166" t="s">
        <v>16</v>
      </c>
      <c r="E1166" t="s">
        <v>17</v>
      </c>
      <c r="F1166" t="s">
        <v>23</v>
      </c>
      <c r="G1166" t="s">
        <v>43</v>
      </c>
      <c r="H1166" t="s">
        <v>25</v>
      </c>
      <c r="I1166" s="1">
        <v>2</v>
      </c>
      <c r="J1166" s="2">
        <v>46185</v>
      </c>
      <c r="K1166" s="2">
        <v>45809</v>
      </c>
      <c r="L1166" s="1" t="str">
        <f t="shared" si="83"/>
        <v>sex</v>
      </c>
      <c r="M1166" s="1" t="str">
        <f t="shared" si="84"/>
        <v>jun</v>
      </c>
      <c r="N1166">
        <f t="shared" si="85"/>
        <v>2026</v>
      </c>
      <c r="O1166" s="2"/>
      <c r="P1166" t="str">
        <f t="shared" si="86"/>
        <v>120846185</v>
      </c>
    </row>
    <row r="1167" spans="1:16" x14ac:dyDescent="0.3">
      <c r="A1167">
        <v>1208</v>
      </c>
      <c r="B1167">
        <v>35</v>
      </c>
      <c r="C1167" t="s">
        <v>15</v>
      </c>
      <c r="D1167" t="s">
        <v>16</v>
      </c>
      <c r="E1167" t="s">
        <v>17</v>
      </c>
      <c r="F1167" t="s">
        <v>23</v>
      </c>
      <c r="G1167" t="s">
        <v>43</v>
      </c>
      <c r="H1167" t="s">
        <v>25</v>
      </c>
      <c r="I1167" s="1">
        <v>2</v>
      </c>
      <c r="J1167" s="2">
        <v>45857</v>
      </c>
      <c r="K1167" s="2">
        <v>45839</v>
      </c>
      <c r="L1167" s="1" t="str">
        <f t="shared" si="83"/>
        <v>sáb</v>
      </c>
      <c r="M1167" s="1" t="str">
        <f t="shared" si="84"/>
        <v>jul</v>
      </c>
      <c r="N1167">
        <f t="shared" si="85"/>
        <v>2025</v>
      </c>
      <c r="O1167" s="2"/>
      <c r="P1167" t="str">
        <f t="shared" si="86"/>
        <v>120845857</v>
      </c>
    </row>
    <row r="1168" spans="1:16" x14ac:dyDescent="0.3">
      <c r="A1168">
        <v>1208</v>
      </c>
      <c r="B1168">
        <v>35</v>
      </c>
      <c r="C1168" t="s">
        <v>15</v>
      </c>
      <c r="D1168" t="s">
        <v>16</v>
      </c>
      <c r="E1168" t="s">
        <v>17</v>
      </c>
      <c r="F1168" t="s">
        <v>23</v>
      </c>
      <c r="G1168" t="s">
        <v>43</v>
      </c>
      <c r="H1168" t="s">
        <v>25</v>
      </c>
      <c r="I1168" s="1">
        <v>2</v>
      </c>
      <c r="J1168" s="2">
        <v>45936</v>
      </c>
      <c r="K1168" s="2">
        <v>45931</v>
      </c>
      <c r="L1168" s="1" t="str">
        <f t="shared" si="83"/>
        <v>seg</v>
      </c>
      <c r="M1168" s="1" t="str">
        <f t="shared" si="84"/>
        <v>out</v>
      </c>
      <c r="N1168">
        <f t="shared" si="85"/>
        <v>2025</v>
      </c>
      <c r="O1168" s="2"/>
      <c r="P1168" t="str">
        <f t="shared" si="86"/>
        <v>120845936</v>
      </c>
    </row>
    <row r="1169" spans="1:16" x14ac:dyDescent="0.3">
      <c r="A1169">
        <v>1208</v>
      </c>
      <c r="B1169">
        <v>35</v>
      </c>
      <c r="C1169" t="s">
        <v>15</v>
      </c>
      <c r="D1169" t="s">
        <v>16</v>
      </c>
      <c r="E1169" t="s">
        <v>17</v>
      </c>
      <c r="F1169" t="s">
        <v>23</v>
      </c>
      <c r="G1169" t="s">
        <v>43</v>
      </c>
      <c r="H1169" t="s">
        <v>25</v>
      </c>
      <c r="I1169" s="1">
        <v>2</v>
      </c>
      <c r="J1169" s="2">
        <v>45971</v>
      </c>
      <c r="K1169" s="2">
        <v>45962</v>
      </c>
      <c r="L1169" s="1" t="str">
        <f t="shared" si="83"/>
        <v>seg</v>
      </c>
      <c r="M1169" s="1" t="str">
        <f t="shared" si="84"/>
        <v>nov</v>
      </c>
      <c r="N1169">
        <f t="shared" si="85"/>
        <v>2025</v>
      </c>
      <c r="O1169" s="2"/>
      <c r="P1169" t="str">
        <f t="shared" si="86"/>
        <v>120845971</v>
      </c>
    </row>
    <row r="1170" spans="1:16" x14ac:dyDescent="0.3">
      <c r="A1170">
        <v>1208</v>
      </c>
      <c r="B1170">
        <v>35</v>
      </c>
      <c r="C1170" t="s">
        <v>15</v>
      </c>
      <c r="D1170" t="s">
        <v>16</v>
      </c>
      <c r="E1170" t="s">
        <v>17</v>
      </c>
      <c r="F1170" t="s">
        <v>23</v>
      </c>
      <c r="G1170" t="s">
        <v>43</v>
      </c>
      <c r="H1170" t="s">
        <v>25</v>
      </c>
      <c r="I1170" s="1">
        <v>2</v>
      </c>
      <c r="J1170" s="2">
        <v>46197</v>
      </c>
      <c r="K1170" s="2">
        <v>46023</v>
      </c>
      <c r="L1170" s="1" t="str">
        <f t="shared" ref="L1170:L1188" si="87">TEXT(J1170,"ddd")</f>
        <v>qua</v>
      </c>
      <c r="M1170" s="1" t="str">
        <f t="shared" ref="M1170:M1188" si="88">TEXT($J1170,"mmm")</f>
        <v>jun</v>
      </c>
      <c r="N1170">
        <f t="shared" ref="N1170:N1188" si="89">YEAR(J1170)</f>
        <v>2026</v>
      </c>
      <c r="O1170" s="2"/>
      <c r="P1170" t="str">
        <f t="shared" si="86"/>
        <v>120846197</v>
      </c>
    </row>
    <row r="1171" spans="1:16" x14ac:dyDescent="0.3">
      <c r="A1171">
        <v>1208</v>
      </c>
      <c r="B1171">
        <v>35</v>
      </c>
      <c r="C1171" t="s">
        <v>15</v>
      </c>
      <c r="D1171" t="s">
        <v>16</v>
      </c>
      <c r="E1171" t="s">
        <v>17</v>
      </c>
      <c r="F1171" t="s">
        <v>23</v>
      </c>
      <c r="G1171" t="s">
        <v>43</v>
      </c>
      <c r="H1171" t="s">
        <v>25</v>
      </c>
      <c r="I1171" s="1">
        <v>2</v>
      </c>
      <c r="J1171" s="2">
        <v>46079</v>
      </c>
      <c r="K1171" s="2">
        <v>46054</v>
      </c>
      <c r="L1171" s="1" t="str">
        <f t="shared" si="87"/>
        <v>qui</v>
      </c>
      <c r="M1171" s="1" t="str">
        <f t="shared" si="88"/>
        <v>fev</v>
      </c>
      <c r="N1171">
        <f t="shared" si="89"/>
        <v>2026</v>
      </c>
      <c r="O1171" s="2"/>
      <c r="P1171" t="str">
        <f t="shared" si="86"/>
        <v>120846079</v>
      </c>
    </row>
    <row r="1172" spans="1:16" x14ac:dyDescent="0.3">
      <c r="A1172">
        <v>1209</v>
      </c>
      <c r="B1172">
        <v>23</v>
      </c>
      <c r="C1172" t="s">
        <v>26</v>
      </c>
      <c r="D1172" t="s">
        <v>22</v>
      </c>
      <c r="E1172" t="s">
        <v>17</v>
      </c>
      <c r="F1172" t="s">
        <v>23</v>
      </c>
      <c r="G1172" t="s">
        <v>43</v>
      </c>
      <c r="H1172" t="s">
        <v>25</v>
      </c>
      <c r="I1172" s="1">
        <v>2</v>
      </c>
      <c r="J1172" s="2">
        <v>46190</v>
      </c>
      <c r="K1172" s="2">
        <v>45809</v>
      </c>
      <c r="L1172" s="1" t="str">
        <f t="shared" si="87"/>
        <v>qua</v>
      </c>
      <c r="M1172" s="1" t="str">
        <f t="shared" si="88"/>
        <v>jun</v>
      </c>
      <c r="N1172">
        <f t="shared" si="89"/>
        <v>2026</v>
      </c>
      <c r="O1172" s="2"/>
      <c r="P1172" t="str">
        <f t="shared" si="86"/>
        <v>120946190</v>
      </c>
    </row>
    <row r="1173" spans="1:16" x14ac:dyDescent="0.3">
      <c r="A1173">
        <v>1209</v>
      </c>
      <c r="B1173">
        <v>23</v>
      </c>
      <c r="C1173" t="s">
        <v>26</v>
      </c>
      <c r="D1173" t="s">
        <v>22</v>
      </c>
      <c r="E1173" t="s">
        <v>17</v>
      </c>
      <c r="F1173" t="s">
        <v>23</v>
      </c>
      <c r="G1173" t="s">
        <v>43</v>
      </c>
      <c r="H1173" t="s">
        <v>25</v>
      </c>
      <c r="I1173" s="1">
        <v>2</v>
      </c>
      <c r="J1173" s="2">
        <v>46193</v>
      </c>
      <c r="K1173" s="2">
        <v>45809</v>
      </c>
      <c r="L1173" s="1" t="str">
        <f t="shared" si="87"/>
        <v>sáb</v>
      </c>
      <c r="M1173" s="1" t="str">
        <f t="shared" si="88"/>
        <v>jun</v>
      </c>
      <c r="N1173">
        <f t="shared" si="89"/>
        <v>2026</v>
      </c>
      <c r="O1173" s="2"/>
      <c r="P1173" t="str">
        <f t="shared" si="86"/>
        <v>120946193</v>
      </c>
    </row>
    <row r="1174" spans="1:16" x14ac:dyDescent="0.3">
      <c r="A1174">
        <v>1209</v>
      </c>
      <c r="B1174">
        <v>23</v>
      </c>
      <c r="C1174" t="s">
        <v>26</v>
      </c>
      <c r="D1174" t="s">
        <v>22</v>
      </c>
      <c r="E1174" t="s">
        <v>17</v>
      </c>
      <c r="F1174" t="s">
        <v>23</v>
      </c>
      <c r="G1174" t="s">
        <v>41</v>
      </c>
      <c r="H1174" t="s">
        <v>25</v>
      </c>
      <c r="I1174" s="1">
        <v>2</v>
      </c>
      <c r="J1174" s="2">
        <v>45857</v>
      </c>
      <c r="K1174" s="2">
        <v>45839</v>
      </c>
      <c r="L1174" s="1" t="str">
        <f t="shared" si="87"/>
        <v>sáb</v>
      </c>
      <c r="M1174" s="1" t="str">
        <f t="shared" si="88"/>
        <v>jul</v>
      </c>
      <c r="N1174">
        <f t="shared" si="89"/>
        <v>2025</v>
      </c>
      <c r="O1174" s="2"/>
      <c r="P1174" t="str">
        <f t="shared" si="86"/>
        <v>120945857</v>
      </c>
    </row>
    <row r="1175" spans="1:16" x14ac:dyDescent="0.3">
      <c r="A1175">
        <v>1209</v>
      </c>
      <c r="B1175">
        <v>23</v>
      </c>
      <c r="C1175" t="s">
        <v>26</v>
      </c>
      <c r="D1175" t="s">
        <v>22</v>
      </c>
      <c r="E1175" t="s">
        <v>17</v>
      </c>
      <c r="F1175" t="s">
        <v>23</v>
      </c>
      <c r="G1175" t="s">
        <v>41</v>
      </c>
      <c r="H1175" t="s">
        <v>25</v>
      </c>
      <c r="I1175" s="1">
        <v>2</v>
      </c>
      <c r="J1175" s="2">
        <v>45930</v>
      </c>
      <c r="K1175" s="2">
        <v>45901</v>
      </c>
      <c r="L1175" s="1" t="str">
        <f t="shared" si="87"/>
        <v>ter</v>
      </c>
      <c r="M1175" s="1" t="str">
        <f t="shared" si="88"/>
        <v>set</v>
      </c>
      <c r="N1175">
        <f t="shared" si="89"/>
        <v>2025</v>
      </c>
      <c r="O1175" s="2"/>
      <c r="P1175" t="str">
        <f t="shared" si="86"/>
        <v>120945930</v>
      </c>
    </row>
    <row r="1176" spans="1:16" x14ac:dyDescent="0.3">
      <c r="A1176">
        <v>1209</v>
      </c>
      <c r="B1176">
        <v>23</v>
      </c>
      <c r="C1176" t="s">
        <v>26</v>
      </c>
      <c r="D1176" t="s">
        <v>22</v>
      </c>
      <c r="E1176" t="s">
        <v>17</v>
      </c>
      <c r="F1176" t="s">
        <v>23</v>
      </c>
      <c r="G1176" t="s">
        <v>41</v>
      </c>
      <c r="H1176" t="s">
        <v>25</v>
      </c>
      <c r="I1176" s="1">
        <v>2</v>
      </c>
      <c r="J1176" s="2">
        <v>45976</v>
      </c>
      <c r="K1176" s="2">
        <v>45962</v>
      </c>
      <c r="L1176" s="1" t="str">
        <f t="shared" si="87"/>
        <v>sáb</v>
      </c>
      <c r="M1176" s="1" t="str">
        <f t="shared" si="88"/>
        <v>nov</v>
      </c>
      <c r="N1176">
        <f t="shared" si="89"/>
        <v>2025</v>
      </c>
      <c r="O1176" s="2"/>
      <c r="P1176" t="str">
        <f t="shared" si="86"/>
        <v>120945976</v>
      </c>
    </row>
    <row r="1177" spans="1:16" x14ac:dyDescent="0.3">
      <c r="A1177">
        <v>1209</v>
      </c>
      <c r="B1177">
        <v>23</v>
      </c>
      <c r="C1177" t="s">
        <v>26</v>
      </c>
      <c r="D1177" t="s">
        <v>22</v>
      </c>
      <c r="E1177" t="s">
        <v>17</v>
      </c>
      <c r="F1177" t="s">
        <v>23</v>
      </c>
      <c r="G1177" t="s">
        <v>41</v>
      </c>
      <c r="H1177" t="s">
        <v>25</v>
      </c>
      <c r="I1177" s="1">
        <v>2</v>
      </c>
      <c r="J1177" s="2">
        <v>46180</v>
      </c>
      <c r="K1177" s="2">
        <v>46023</v>
      </c>
      <c r="L1177" s="1" t="str">
        <f t="shared" si="87"/>
        <v>dom</v>
      </c>
      <c r="M1177" s="1" t="str">
        <f t="shared" si="88"/>
        <v>jun</v>
      </c>
      <c r="N1177">
        <f t="shared" si="89"/>
        <v>2026</v>
      </c>
      <c r="O1177" s="2"/>
      <c r="P1177" t="str">
        <f t="shared" si="86"/>
        <v>120946180</v>
      </c>
    </row>
    <row r="1178" spans="1:16" x14ac:dyDescent="0.3">
      <c r="A1178">
        <v>1210</v>
      </c>
      <c r="B1178">
        <v>28</v>
      </c>
      <c r="C1178" t="s">
        <v>15</v>
      </c>
      <c r="D1178" t="s">
        <v>16</v>
      </c>
      <c r="E1178" t="s">
        <v>17</v>
      </c>
      <c r="F1178" t="s">
        <v>18</v>
      </c>
      <c r="G1178" t="s">
        <v>41</v>
      </c>
      <c r="H1178" t="s">
        <v>25</v>
      </c>
      <c r="I1178" s="1">
        <v>2</v>
      </c>
      <c r="J1178" s="2">
        <v>45885</v>
      </c>
      <c r="K1178" s="2">
        <v>45870</v>
      </c>
      <c r="L1178" s="1" t="str">
        <f t="shared" si="87"/>
        <v>sáb</v>
      </c>
      <c r="M1178" s="1" t="str">
        <f t="shared" si="88"/>
        <v>ago</v>
      </c>
      <c r="N1178">
        <f t="shared" si="89"/>
        <v>2025</v>
      </c>
      <c r="O1178" s="2"/>
      <c r="P1178" t="str">
        <f t="shared" si="86"/>
        <v>121045885</v>
      </c>
    </row>
    <row r="1179" spans="1:16" x14ac:dyDescent="0.3">
      <c r="A1179">
        <v>1210</v>
      </c>
      <c r="B1179">
        <v>28</v>
      </c>
      <c r="C1179" t="s">
        <v>15</v>
      </c>
      <c r="D1179" t="s">
        <v>16</v>
      </c>
      <c r="E1179" t="s">
        <v>17</v>
      </c>
      <c r="F1179" t="s">
        <v>18</v>
      </c>
      <c r="G1179" t="s">
        <v>41</v>
      </c>
      <c r="H1179" t="s">
        <v>25</v>
      </c>
      <c r="I1179" s="1">
        <v>2</v>
      </c>
      <c r="J1179" s="2">
        <v>45962</v>
      </c>
      <c r="K1179" s="2">
        <v>45962</v>
      </c>
      <c r="L1179" s="1" t="str">
        <f t="shared" si="87"/>
        <v>sáb</v>
      </c>
      <c r="M1179" s="1" t="str">
        <f t="shared" si="88"/>
        <v>nov</v>
      </c>
      <c r="N1179">
        <f t="shared" si="89"/>
        <v>2025</v>
      </c>
      <c r="O1179" s="2"/>
      <c r="P1179" t="str">
        <f t="shared" si="86"/>
        <v>121045962</v>
      </c>
    </row>
    <row r="1180" spans="1:16" x14ac:dyDescent="0.3">
      <c r="A1180">
        <v>1210</v>
      </c>
      <c r="B1180">
        <v>28</v>
      </c>
      <c r="C1180" t="s">
        <v>15</v>
      </c>
      <c r="D1180" t="s">
        <v>16</v>
      </c>
      <c r="E1180" t="s">
        <v>17</v>
      </c>
      <c r="F1180" t="s">
        <v>18</v>
      </c>
      <c r="G1180" t="s">
        <v>41</v>
      </c>
      <c r="H1180" t="s">
        <v>25</v>
      </c>
      <c r="I1180" s="1">
        <v>2</v>
      </c>
      <c r="J1180" s="2">
        <v>46013</v>
      </c>
      <c r="K1180" s="2">
        <v>45992</v>
      </c>
      <c r="L1180" s="1" t="str">
        <f t="shared" si="87"/>
        <v>seg</v>
      </c>
      <c r="M1180" s="1" t="str">
        <f t="shared" si="88"/>
        <v>dez</v>
      </c>
      <c r="N1180">
        <f t="shared" si="89"/>
        <v>2025</v>
      </c>
      <c r="O1180" s="2"/>
      <c r="P1180" t="str">
        <f t="shared" si="86"/>
        <v>121046013</v>
      </c>
    </row>
    <row r="1181" spans="1:16" x14ac:dyDescent="0.3">
      <c r="A1181">
        <v>1210</v>
      </c>
      <c r="B1181">
        <v>28</v>
      </c>
      <c r="C1181" t="s">
        <v>15</v>
      </c>
      <c r="D1181" t="s">
        <v>16</v>
      </c>
      <c r="E1181" t="s">
        <v>17</v>
      </c>
      <c r="F1181" t="s">
        <v>18</v>
      </c>
      <c r="G1181" t="s">
        <v>41</v>
      </c>
      <c r="H1181" t="s">
        <v>25</v>
      </c>
      <c r="I1181" s="1">
        <v>2</v>
      </c>
      <c r="J1181" s="2">
        <v>46174</v>
      </c>
      <c r="K1181" s="2">
        <v>46023</v>
      </c>
      <c r="L1181" s="1" t="str">
        <f t="shared" si="87"/>
        <v>seg</v>
      </c>
      <c r="M1181" s="1" t="str">
        <f t="shared" si="88"/>
        <v>jun</v>
      </c>
      <c r="N1181">
        <f t="shared" si="89"/>
        <v>2026</v>
      </c>
      <c r="O1181" s="2"/>
      <c r="P1181" t="str">
        <f t="shared" si="86"/>
        <v>121046174</v>
      </c>
    </row>
    <row r="1182" spans="1:16" x14ac:dyDescent="0.3">
      <c r="A1182">
        <v>1210</v>
      </c>
      <c r="B1182">
        <v>28</v>
      </c>
      <c r="C1182" t="s">
        <v>15</v>
      </c>
      <c r="D1182" t="s">
        <v>16</v>
      </c>
      <c r="E1182" t="s">
        <v>17</v>
      </c>
      <c r="F1182" t="s">
        <v>18</v>
      </c>
      <c r="G1182" t="s">
        <v>41</v>
      </c>
      <c r="H1182" t="s">
        <v>25</v>
      </c>
      <c r="I1182" s="1">
        <v>2</v>
      </c>
      <c r="J1182" s="2">
        <v>46196</v>
      </c>
      <c r="K1182" s="2">
        <v>46023</v>
      </c>
      <c r="L1182" s="1" t="str">
        <f t="shared" si="87"/>
        <v>ter</v>
      </c>
      <c r="M1182" s="1" t="str">
        <f t="shared" si="88"/>
        <v>jun</v>
      </c>
      <c r="N1182">
        <f t="shared" si="89"/>
        <v>2026</v>
      </c>
      <c r="O1182" s="2"/>
      <c r="P1182" t="str">
        <f t="shared" si="86"/>
        <v>121046196</v>
      </c>
    </row>
    <row r="1183" spans="1:16" x14ac:dyDescent="0.3">
      <c r="A1183">
        <v>1211</v>
      </c>
      <c r="B1183">
        <v>41</v>
      </c>
      <c r="C1183" t="s">
        <v>26</v>
      </c>
      <c r="D1183" t="s">
        <v>31</v>
      </c>
      <c r="E1183" t="s">
        <v>34</v>
      </c>
      <c r="F1183" t="s">
        <v>21</v>
      </c>
      <c r="G1183" t="s">
        <v>40</v>
      </c>
      <c r="H1183" t="s">
        <v>25</v>
      </c>
      <c r="I1183" s="1">
        <v>3</v>
      </c>
      <c r="J1183" s="2">
        <v>45783</v>
      </c>
      <c r="K1183" s="2">
        <v>45778</v>
      </c>
      <c r="L1183" s="1" t="str">
        <f t="shared" si="87"/>
        <v>ter</v>
      </c>
      <c r="M1183" s="1" t="str">
        <f t="shared" si="88"/>
        <v>mai</v>
      </c>
      <c r="N1183">
        <f t="shared" si="89"/>
        <v>2025</v>
      </c>
      <c r="O1183" s="2"/>
      <c r="P1183" t="str">
        <f t="shared" si="86"/>
        <v>121145783</v>
      </c>
    </row>
    <row r="1184" spans="1:16" x14ac:dyDescent="0.3">
      <c r="A1184">
        <v>1211</v>
      </c>
      <c r="B1184">
        <v>41</v>
      </c>
      <c r="C1184" t="s">
        <v>26</v>
      </c>
      <c r="D1184" t="s">
        <v>31</v>
      </c>
      <c r="E1184" t="s">
        <v>34</v>
      </c>
      <c r="F1184" t="s">
        <v>21</v>
      </c>
      <c r="G1184" t="s">
        <v>40</v>
      </c>
      <c r="H1184" t="s">
        <v>25</v>
      </c>
      <c r="I1184" s="1">
        <v>3</v>
      </c>
      <c r="J1184" s="2">
        <v>46178</v>
      </c>
      <c r="K1184" s="2">
        <v>45809</v>
      </c>
      <c r="L1184" s="1" t="str">
        <f t="shared" si="87"/>
        <v>sex</v>
      </c>
      <c r="M1184" s="1" t="str">
        <f t="shared" si="88"/>
        <v>jun</v>
      </c>
      <c r="N1184">
        <f t="shared" si="89"/>
        <v>2026</v>
      </c>
      <c r="O1184" s="2"/>
      <c r="P1184" t="str">
        <f t="shared" si="86"/>
        <v>121146178</v>
      </c>
    </row>
    <row r="1185" spans="1:16" x14ac:dyDescent="0.3">
      <c r="A1185">
        <v>1211</v>
      </c>
      <c r="B1185">
        <v>41</v>
      </c>
      <c r="C1185" t="s">
        <v>26</v>
      </c>
      <c r="D1185" t="s">
        <v>31</v>
      </c>
      <c r="E1185" t="s">
        <v>34</v>
      </c>
      <c r="F1185" t="s">
        <v>21</v>
      </c>
      <c r="G1185" t="s">
        <v>40</v>
      </c>
      <c r="H1185" t="s">
        <v>25</v>
      </c>
      <c r="I1185" s="1">
        <v>3</v>
      </c>
      <c r="J1185" s="2">
        <v>45866</v>
      </c>
      <c r="K1185" s="2">
        <v>45839</v>
      </c>
      <c r="L1185" s="1" t="str">
        <f t="shared" si="87"/>
        <v>seg</v>
      </c>
      <c r="M1185" s="1" t="str">
        <f t="shared" si="88"/>
        <v>jul</v>
      </c>
      <c r="N1185">
        <f t="shared" si="89"/>
        <v>2025</v>
      </c>
      <c r="O1185" s="2"/>
      <c r="P1185" t="str">
        <f t="shared" si="86"/>
        <v>121145866</v>
      </c>
    </row>
    <row r="1186" spans="1:16" x14ac:dyDescent="0.3">
      <c r="A1186">
        <v>1211</v>
      </c>
      <c r="B1186">
        <v>41</v>
      </c>
      <c r="C1186" t="s">
        <v>26</v>
      </c>
      <c r="D1186" t="s">
        <v>31</v>
      </c>
      <c r="E1186" t="s">
        <v>34</v>
      </c>
      <c r="F1186" t="s">
        <v>21</v>
      </c>
      <c r="G1186" t="s">
        <v>40</v>
      </c>
      <c r="H1186" t="s">
        <v>25</v>
      </c>
      <c r="I1186" s="1">
        <v>3</v>
      </c>
      <c r="J1186" s="2">
        <v>45880</v>
      </c>
      <c r="K1186" s="2">
        <v>45870</v>
      </c>
      <c r="L1186" s="1" t="str">
        <f t="shared" si="87"/>
        <v>seg</v>
      </c>
      <c r="M1186" s="1" t="str">
        <f t="shared" si="88"/>
        <v>ago</v>
      </c>
      <c r="N1186">
        <f t="shared" si="89"/>
        <v>2025</v>
      </c>
      <c r="O1186" s="2"/>
      <c r="P1186" t="str">
        <f t="shared" si="86"/>
        <v>121145880</v>
      </c>
    </row>
    <row r="1187" spans="1:16" x14ac:dyDescent="0.3">
      <c r="A1187">
        <v>1211</v>
      </c>
      <c r="B1187">
        <v>41</v>
      </c>
      <c r="C1187" t="s">
        <v>26</v>
      </c>
      <c r="D1187" t="s">
        <v>31</v>
      </c>
      <c r="E1187" t="s">
        <v>34</v>
      </c>
      <c r="F1187" t="s">
        <v>21</v>
      </c>
      <c r="G1187" t="s">
        <v>40</v>
      </c>
      <c r="H1187" t="s">
        <v>25</v>
      </c>
      <c r="I1187" s="1">
        <v>3</v>
      </c>
      <c r="J1187" s="2">
        <v>45951</v>
      </c>
      <c r="K1187" s="2">
        <v>45931</v>
      </c>
      <c r="L1187" s="1" t="str">
        <f t="shared" si="87"/>
        <v>ter</v>
      </c>
      <c r="M1187" s="1" t="str">
        <f t="shared" si="88"/>
        <v>out</v>
      </c>
      <c r="N1187">
        <f t="shared" si="89"/>
        <v>2025</v>
      </c>
      <c r="O1187" s="2"/>
      <c r="P1187" t="str">
        <f t="shared" si="86"/>
        <v>121145951</v>
      </c>
    </row>
    <row r="1188" spans="1:16" x14ac:dyDescent="0.3">
      <c r="A1188">
        <v>1211</v>
      </c>
      <c r="B1188">
        <v>41</v>
      </c>
      <c r="C1188" t="s">
        <v>26</v>
      </c>
      <c r="D1188" t="s">
        <v>31</v>
      </c>
      <c r="E1188" t="s">
        <v>34</v>
      </c>
      <c r="F1188" t="s">
        <v>21</v>
      </c>
      <c r="G1188" t="s">
        <v>40</v>
      </c>
      <c r="H1188" t="s">
        <v>25</v>
      </c>
      <c r="I1188" s="1">
        <v>3</v>
      </c>
      <c r="J1188" s="2">
        <v>46194</v>
      </c>
      <c r="K1188" s="2">
        <v>46023</v>
      </c>
      <c r="L1188" s="1" t="str">
        <f t="shared" si="87"/>
        <v>dom</v>
      </c>
      <c r="M1188" s="1" t="str">
        <f t="shared" si="88"/>
        <v>jun</v>
      </c>
      <c r="N1188">
        <f t="shared" si="89"/>
        <v>2026</v>
      </c>
      <c r="O1188" s="2"/>
      <c r="P1188" t="str">
        <f t="shared" si="86"/>
        <v>121146194</v>
      </c>
    </row>
    <row r="1189" spans="1:16" x14ac:dyDescent="0.3">
      <c r="A1189">
        <v>1211</v>
      </c>
      <c r="B1189">
        <v>41</v>
      </c>
      <c r="C1189" t="s">
        <v>26</v>
      </c>
      <c r="D1189" t="s">
        <v>31</v>
      </c>
      <c r="E1189" t="s">
        <v>34</v>
      </c>
      <c r="F1189" t="s">
        <v>21</v>
      </c>
      <c r="G1189" t="s">
        <v>40</v>
      </c>
      <c r="H1189" t="s">
        <v>25</v>
      </c>
      <c r="I1189" s="1">
        <v>3</v>
      </c>
      <c r="J1189" s="2">
        <v>46148</v>
      </c>
      <c r="K1189" s="2">
        <v>46143</v>
      </c>
      <c r="L1189" s="1" t="s">
        <v>50</v>
      </c>
      <c r="M1189" s="1" t="s">
        <v>49</v>
      </c>
      <c r="N1189">
        <v>2025</v>
      </c>
      <c r="O1189" s="2"/>
      <c r="P1189" t="str">
        <f t="shared" si="86"/>
        <v>121146148</v>
      </c>
    </row>
    <row r="1190" spans="1:16" x14ac:dyDescent="0.3">
      <c r="A1190">
        <v>1213</v>
      </c>
      <c r="B1190">
        <v>43</v>
      </c>
      <c r="C1190" t="s">
        <v>26</v>
      </c>
      <c r="D1190" t="s">
        <v>16</v>
      </c>
      <c r="E1190" t="s">
        <v>17</v>
      </c>
      <c r="F1190" t="s">
        <v>21</v>
      </c>
      <c r="G1190" t="s">
        <v>44</v>
      </c>
      <c r="H1190" t="s">
        <v>20</v>
      </c>
      <c r="I1190" s="1">
        <v>1</v>
      </c>
      <c r="J1190" s="2">
        <v>45786</v>
      </c>
      <c r="K1190" s="2">
        <v>45778</v>
      </c>
      <c r="L1190" s="1" t="str">
        <f t="shared" ref="L1190:L1221" si="90">TEXT(J1190,"ddd")</f>
        <v>sex</v>
      </c>
      <c r="M1190" s="1" t="str">
        <f t="shared" ref="M1190:M1221" si="91">TEXT($J1190,"mmm")</f>
        <v>mai</v>
      </c>
      <c r="N1190">
        <f t="shared" ref="N1190:N1221" si="92">YEAR(J1190)</f>
        <v>2025</v>
      </c>
      <c r="O1190" s="2">
        <f>_xlfn.XLOOKUP(A1190,Colaboradores!$A:$A,Colaboradores!$S:$S,"",0)</f>
        <v>45920</v>
      </c>
      <c r="P1190" t="str">
        <f t="shared" si="86"/>
        <v>121345786</v>
      </c>
    </row>
    <row r="1191" spans="1:16" x14ac:dyDescent="0.3">
      <c r="A1191">
        <v>1213</v>
      </c>
      <c r="B1191">
        <v>43</v>
      </c>
      <c r="C1191" t="s">
        <v>26</v>
      </c>
      <c r="D1191" t="s">
        <v>16</v>
      </c>
      <c r="E1191" t="s">
        <v>17</v>
      </c>
      <c r="F1191" t="s">
        <v>21</v>
      </c>
      <c r="G1191" t="s">
        <v>44</v>
      </c>
      <c r="H1191" t="s">
        <v>20</v>
      </c>
      <c r="I1191" s="1">
        <v>1</v>
      </c>
      <c r="J1191" s="2">
        <v>45808</v>
      </c>
      <c r="K1191" s="2">
        <v>45778</v>
      </c>
      <c r="L1191" s="1" t="str">
        <f t="shared" si="90"/>
        <v>sáb</v>
      </c>
      <c r="M1191" s="1" t="str">
        <f t="shared" si="91"/>
        <v>mai</v>
      </c>
      <c r="N1191">
        <f t="shared" si="92"/>
        <v>2025</v>
      </c>
      <c r="O1191" s="2">
        <f>_xlfn.XLOOKUP(A1191,Colaboradores!$A:$A,Colaboradores!$S:$S,"",0)</f>
        <v>45920</v>
      </c>
      <c r="P1191" t="str">
        <f t="shared" si="86"/>
        <v>121345808</v>
      </c>
    </row>
    <row r="1192" spans="1:16" x14ac:dyDescent="0.3">
      <c r="A1192">
        <v>1213</v>
      </c>
      <c r="B1192">
        <v>43</v>
      </c>
      <c r="C1192" t="s">
        <v>26</v>
      </c>
      <c r="D1192" t="s">
        <v>16</v>
      </c>
      <c r="E1192" t="s">
        <v>17</v>
      </c>
      <c r="F1192" t="s">
        <v>21</v>
      </c>
      <c r="G1192" t="s">
        <v>42</v>
      </c>
      <c r="H1192" t="s">
        <v>20</v>
      </c>
      <c r="I1192" s="1">
        <v>1</v>
      </c>
      <c r="J1192" s="2">
        <v>45855</v>
      </c>
      <c r="K1192" s="2">
        <v>45839</v>
      </c>
      <c r="L1192" s="1" t="str">
        <f t="shared" si="90"/>
        <v>qui</v>
      </c>
      <c r="M1192" s="1" t="str">
        <f t="shared" si="91"/>
        <v>jul</v>
      </c>
      <c r="N1192">
        <f t="shared" si="92"/>
        <v>2025</v>
      </c>
      <c r="O1192" s="2">
        <f>_xlfn.XLOOKUP(A1192,Colaboradores!$A:$A,Colaboradores!$S:$S,"",0)</f>
        <v>45920</v>
      </c>
      <c r="P1192" t="str">
        <f t="shared" si="86"/>
        <v>121345855</v>
      </c>
    </row>
    <row r="1193" spans="1:16" x14ac:dyDescent="0.3">
      <c r="A1193">
        <v>1213</v>
      </c>
      <c r="B1193">
        <v>43</v>
      </c>
      <c r="C1193" t="s">
        <v>26</v>
      </c>
      <c r="D1193" t="s">
        <v>16</v>
      </c>
      <c r="E1193" t="s">
        <v>17</v>
      </c>
      <c r="F1193" t="s">
        <v>21</v>
      </c>
      <c r="G1193" t="s">
        <v>44</v>
      </c>
      <c r="H1193" t="s">
        <v>20</v>
      </c>
      <c r="I1193" s="1">
        <v>1</v>
      </c>
      <c r="J1193" s="2">
        <v>45872</v>
      </c>
      <c r="K1193" s="2">
        <v>45870</v>
      </c>
      <c r="L1193" s="1" t="str">
        <f t="shared" si="90"/>
        <v>dom</v>
      </c>
      <c r="M1193" s="1" t="str">
        <f t="shared" si="91"/>
        <v>ago</v>
      </c>
      <c r="N1193">
        <f t="shared" si="92"/>
        <v>2025</v>
      </c>
      <c r="O1193" s="2">
        <f>_xlfn.XLOOKUP(A1193,Colaboradores!$A:$A,Colaboradores!$S:$S,"",0)</f>
        <v>45920</v>
      </c>
      <c r="P1193" t="str">
        <f t="shared" si="86"/>
        <v>121345872</v>
      </c>
    </row>
    <row r="1194" spans="1:16" x14ac:dyDescent="0.3">
      <c r="A1194">
        <v>1213</v>
      </c>
      <c r="B1194">
        <v>43</v>
      </c>
      <c r="C1194" t="s">
        <v>26</v>
      </c>
      <c r="D1194" t="s">
        <v>16</v>
      </c>
      <c r="E1194" t="s">
        <v>17</v>
      </c>
      <c r="F1194" t="s">
        <v>21</v>
      </c>
      <c r="G1194" t="s">
        <v>42</v>
      </c>
      <c r="H1194" t="s">
        <v>20</v>
      </c>
      <c r="I1194" s="1">
        <v>1</v>
      </c>
      <c r="J1194" s="2">
        <v>45873</v>
      </c>
      <c r="K1194" s="2">
        <v>45870</v>
      </c>
      <c r="L1194" s="1" t="str">
        <f t="shared" si="90"/>
        <v>seg</v>
      </c>
      <c r="M1194" s="1" t="str">
        <f t="shared" si="91"/>
        <v>ago</v>
      </c>
      <c r="N1194">
        <f t="shared" si="92"/>
        <v>2025</v>
      </c>
      <c r="O1194" s="2">
        <f>_xlfn.XLOOKUP(A1194,Colaboradores!$A:$A,Colaboradores!$S:$S,"",0)</f>
        <v>45920</v>
      </c>
      <c r="P1194" t="str">
        <f t="shared" si="86"/>
        <v>121345873</v>
      </c>
    </row>
    <row r="1195" spans="1:16" x14ac:dyDescent="0.3">
      <c r="A1195">
        <v>1213</v>
      </c>
      <c r="B1195">
        <v>43</v>
      </c>
      <c r="C1195" t="s">
        <v>26</v>
      </c>
      <c r="D1195" t="s">
        <v>16</v>
      </c>
      <c r="E1195" t="s">
        <v>17</v>
      </c>
      <c r="F1195" t="s">
        <v>21</v>
      </c>
      <c r="G1195" t="s">
        <v>44</v>
      </c>
      <c r="H1195" t="s">
        <v>20</v>
      </c>
      <c r="I1195" s="1">
        <v>1</v>
      </c>
      <c r="J1195" s="2">
        <v>45914</v>
      </c>
      <c r="K1195" s="2">
        <v>45901</v>
      </c>
      <c r="L1195" s="1" t="str">
        <f t="shared" si="90"/>
        <v>dom</v>
      </c>
      <c r="M1195" s="1" t="str">
        <f t="shared" si="91"/>
        <v>set</v>
      </c>
      <c r="N1195">
        <f t="shared" si="92"/>
        <v>2025</v>
      </c>
      <c r="O1195" s="2">
        <f>_xlfn.XLOOKUP(A1195,Colaboradores!$A:$A,Colaboradores!$S:$S,"",0)</f>
        <v>45920</v>
      </c>
      <c r="P1195" t="str">
        <f t="shared" si="86"/>
        <v>121345914</v>
      </c>
    </row>
    <row r="1196" spans="1:16" x14ac:dyDescent="0.3">
      <c r="A1196">
        <v>1214</v>
      </c>
      <c r="B1196">
        <v>54</v>
      </c>
      <c r="C1196" t="s">
        <v>15</v>
      </c>
      <c r="D1196" t="s">
        <v>29</v>
      </c>
      <c r="E1196" t="s">
        <v>17</v>
      </c>
      <c r="F1196" t="s">
        <v>21</v>
      </c>
      <c r="G1196" t="s">
        <v>41</v>
      </c>
      <c r="H1196" t="s">
        <v>25</v>
      </c>
      <c r="I1196" s="1">
        <v>2</v>
      </c>
      <c r="J1196" s="2">
        <v>45921</v>
      </c>
      <c r="K1196" s="2">
        <v>45901</v>
      </c>
      <c r="L1196" s="1" t="str">
        <f t="shared" si="90"/>
        <v>dom</v>
      </c>
      <c r="M1196" s="1" t="str">
        <f t="shared" si="91"/>
        <v>set</v>
      </c>
      <c r="N1196">
        <f t="shared" si="92"/>
        <v>2025</v>
      </c>
      <c r="O1196" s="2"/>
      <c r="P1196" t="str">
        <f t="shared" si="86"/>
        <v>121445921</v>
      </c>
    </row>
    <row r="1197" spans="1:16" x14ac:dyDescent="0.3">
      <c r="A1197">
        <v>1214</v>
      </c>
      <c r="B1197">
        <v>54</v>
      </c>
      <c r="C1197" t="s">
        <v>15</v>
      </c>
      <c r="D1197" t="s">
        <v>29</v>
      </c>
      <c r="E1197" t="s">
        <v>17</v>
      </c>
      <c r="F1197" t="s">
        <v>21</v>
      </c>
      <c r="G1197" t="s">
        <v>41</v>
      </c>
      <c r="H1197" t="s">
        <v>25</v>
      </c>
      <c r="I1197" s="1">
        <v>2</v>
      </c>
      <c r="J1197" s="2">
        <v>46073</v>
      </c>
      <c r="K1197" s="2">
        <v>46054</v>
      </c>
      <c r="L1197" s="1" t="str">
        <f t="shared" si="90"/>
        <v>sex</v>
      </c>
      <c r="M1197" s="1" t="str">
        <f t="shared" si="91"/>
        <v>fev</v>
      </c>
      <c r="N1197">
        <f t="shared" si="92"/>
        <v>2026</v>
      </c>
      <c r="O1197" s="2"/>
      <c r="P1197" t="str">
        <f t="shared" si="86"/>
        <v>121446073</v>
      </c>
    </row>
    <row r="1198" spans="1:16" x14ac:dyDescent="0.3">
      <c r="A1198">
        <v>1214</v>
      </c>
      <c r="B1198">
        <v>54</v>
      </c>
      <c r="C1198" t="s">
        <v>15</v>
      </c>
      <c r="D1198" t="s">
        <v>29</v>
      </c>
      <c r="E1198" t="s">
        <v>17</v>
      </c>
      <c r="F1198" t="s">
        <v>21</v>
      </c>
      <c r="G1198" t="s">
        <v>41</v>
      </c>
      <c r="H1198" t="s">
        <v>25</v>
      </c>
      <c r="I1198" s="1">
        <v>2</v>
      </c>
      <c r="J1198" s="2">
        <v>46098</v>
      </c>
      <c r="K1198" s="2">
        <v>46082</v>
      </c>
      <c r="L1198" s="1" t="str">
        <f t="shared" si="90"/>
        <v>ter</v>
      </c>
      <c r="M1198" s="1" t="str">
        <f t="shared" si="91"/>
        <v>mar</v>
      </c>
      <c r="N1198">
        <f t="shared" si="92"/>
        <v>2026</v>
      </c>
      <c r="O1198" s="2"/>
      <c r="P1198" t="str">
        <f t="shared" si="86"/>
        <v>121446098</v>
      </c>
    </row>
    <row r="1199" spans="1:16" x14ac:dyDescent="0.3">
      <c r="A1199">
        <v>1214</v>
      </c>
      <c r="B1199">
        <v>54</v>
      </c>
      <c r="C1199" t="s">
        <v>15</v>
      </c>
      <c r="D1199" t="s">
        <v>29</v>
      </c>
      <c r="E1199" t="s">
        <v>17</v>
      </c>
      <c r="F1199" t="s">
        <v>21</v>
      </c>
      <c r="G1199" t="s">
        <v>41</v>
      </c>
      <c r="H1199" t="s">
        <v>25</v>
      </c>
      <c r="I1199" s="1">
        <v>2</v>
      </c>
      <c r="J1199" s="2">
        <v>46110</v>
      </c>
      <c r="K1199" s="2">
        <v>46082</v>
      </c>
      <c r="L1199" s="1" t="str">
        <f t="shared" si="90"/>
        <v>dom</v>
      </c>
      <c r="M1199" s="1" t="str">
        <f t="shared" si="91"/>
        <v>mar</v>
      </c>
      <c r="N1199">
        <f t="shared" si="92"/>
        <v>2026</v>
      </c>
      <c r="O1199" s="2"/>
      <c r="P1199" t="str">
        <f t="shared" si="86"/>
        <v>121446110</v>
      </c>
    </row>
    <row r="1200" spans="1:16" x14ac:dyDescent="0.3">
      <c r="A1200">
        <v>1214</v>
      </c>
      <c r="B1200">
        <v>54</v>
      </c>
      <c r="C1200" t="s">
        <v>15</v>
      </c>
      <c r="D1200" t="s">
        <v>29</v>
      </c>
      <c r="E1200" t="s">
        <v>17</v>
      </c>
      <c r="F1200" t="s">
        <v>21</v>
      </c>
      <c r="G1200" t="s">
        <v>41</v>
      </c>
      <c r="H1200" t="s">
        <v>25</v>
      </c>
      <c r="I1200" s="1">
        <v>2</v>
      </c>
      <c r="J1200" s="2">
        <v>46130</v>
      </c>
      <c r="K1200" s="2">
        <v>46113</v>
      </c>
      <c r="L1200" s="1" t="str">
        <f t="shared" si="90"/>
        <v>sáb</v>
      </c>
      <c r="M1200" s="1" t="str">
        <f t="shared" si="91"/>
        <v>abr</v>
      </c>
      <c r="N1200">
        <f t="shared" si="92"/>
        <v>2026</v>
      </c>
      <c r="O1200" s="2"/>
      <c r="P1200" t="str">
        <f t="shared" si="86"/>
        <v>121446130</v>
      </c>
    </row>
    <row r="1201" spans="1:16" x14ac:dyDescent="0.3">
      <c r="A1201">
        <v>1215</v>
      </c>
      <c r="B1201">
        <v>22</v>
      </c>
      <c r="C1201" t="s">
        <v>26</v>
      </c>
      <c r="D1201" t="s">
        <v>27</v>
      </c>
      <c r="E1201" t="s">
        <v>17</v>
      </c>
      <c r="F1201" t="s">
        <v>23</v>
      </c>
      <c r="G1201" t="s">
        <v>41</v>
      </c>
      <c r="H1201" t="s">
        <v>20</v>
      </c>
      <c r="I1201" s="1">
        <v>2</v>
      </c>
      <c r="J1201" s="2">
        <v>45733</v>
      </c>
      <c r="K1201" s="2">
        <v>45717</v>
      </c>
      <c r="L1201" s="1" t="str">
        <f t="shared" si="90"/>
        <v>seg</v>
      </c>
      <c r="M1201" s="1" t="str">
        <f t="shared" si="91"/>
        <v>mar</v>
      </c>
      <c r="N1201">
        <f t="shared" si="92"/>
        <v>2025</v>
      </c>
      <c r="O1201" s="2">
        <f>_xlfn.XLOOKUP(A1201,Colaboradores!$A:$A,Colaboradores!$S:$S,"",0)</f>
        <v>45814</v>
      </c>
      <c r="P1201" t="str">
        <f t="shared" si="86"/>
        <v>121545733</v>
      </c>
    </row>
    <row r="1202" spans="1:16" x14ac:dyDescent="0.3">
      <c r="A1202">
        <v>1215</v>
      </c>
      <c r="B1202">
        <v>22</v>
      </c>
      <c r="C1202" t="s">
        <v>26</v>
      </c>
      <c r="D1202" t="s">
        <v>27</v>
      </c>
      <c r="E1202" t="s">
        <v>17</v>
      </c>
      <c r="F1202" t="s">
        <v>23</v>
      </c>
      <c r="G1202" t="s">
        <v>41</v>
      </c>
      <c r="H1202" t="s">
        <v>20</v>
      </c>
      <c r="I1202" s="1">
        <v>2</v>
      </c>
      <c r="J1202" s="2">
        <v>45777</v>
      </c>
      <c r="K1202" s="2">
        <v>45748</v>
      </c>
      <c r="L1202" s="1" t="str">
        <f t="shared" si="90"/>
        <v>qua</v>
      </c>
      <c r="M1202" s="1" t="str">
        <f t="shared" si="91"/>
        <v>abr</v>
      </c>
      <c r="N1202">
        <f t="shared" si="92"/>
        <v>2025</v>
      </c>
      <c r="O1202" s="2">
        <f>_xlfn.XLOOKUP(A1202,Colaboradores!$A:$A,Colaboradores!$S:$S,"",0)</f>
        <v>45814</v>
      </c>
      <c r="P1202" t="str">
        <f t="shared" si="86"/>
        <v>121545777</v>
      </c>
    </row>
    <row r="1203" spans="1:16" x14ac:dyDescent="0.3">
      <c r="A1203">
        <v>1215</v>
      </c>
      <c r="B1203">
        <v>22</v>
      </c>
      <c r="C1203" t="s">
        <v>26</v>
      </c>
      <c r="D1203" t="s">
        <v>27</v>
      </c>
      <c r="E1203" t="s">
        <v>17</v>
      </c>
      <c r="F1203" t="s">
        <v>23</v>
      </c>
      <c r="G1203" t="s">
        <v>41</v>
      </c>
      <c r="H1203" t="s">
        <v>20</v>
      </c>
      <c r="I1203" s="1">
        <v>2</v>
      </c>
      <c r="J1203" s="2">
        <v>45790</v>
      </c>
      <c r="K1203" s="2">
        <v>45778</v>
      </c>
      <c r="L1203" s="1" t="str">
        <f t="shared" si="90"/>
        <v>ter</v>
      </c>
      <c r="M1203" s="1" t="str">
        <f t="shared" si="91"/>
        <v>mai</v>
      </c>
      <c r="N1203">
        <f t="shared" si="92"/>
        <v>2025</v>
      </c>
      <c r="O1203" s="2">
        <f>_xlfn.XLOOKUP(A1203,Colaboradores!$A:$A,Colaboradores!$S:$S,"",0)</f>
        <v>45814</v>
      </c>
      <c r="P1203" t="str">
        <f t="shared" si="86"/>
        <v>121545790</v>
      </c>
    </row>
    <row r="1204" spans="1:16" x14ac:dyDescent="0.3">
      <c r="A1204">
        <v>1215</v>
      </c>
      <c r="B1204">
        <v>22</v>
      </c>
      <c r="C1204" t="s">
        <v>26</v>
      </c>
      <c r="D1204" t="s">
        <v>27</v>
      </c>
      <c r="E1204" t="s">
        <v>17</v>
      </c>
      <c r="F1204" t="s">
        <v>23</v>
      </c>
      <c r="G1204" t="s">
        <v>41</v>
      </c>
      <c r="H1204" t="s">
        <v>20</v>
      </c>
      <c r="I1204" s="1">
        <v>2</v>
      </c>
      <c r="J1204" s="2">
        <v>45796</v>
      </c>
      <c r="K1204" s="2">
        <v>45778</v>
      </c>
      <c r="L1204" s="1" t="str">
        <f t="shared" si="90"/>
        <v>seg</v>
      </c>
      <c r="M1204" s="1" t="str">
        <f t="shared" si="91"/>
        <v>mai</v>
      </c>
      <c r="N1204">
        <f t="shared" si="92"/>
        <v>2025</v>
      </c>
      <c r="O1204" s="2">
        <f>_xlfn.XLOOKUP(A1204,Colaboradores!$A:$A,Colaboradores!$S:$S,"",0)</f>
        <v>45814</v>
      </c>
      <c r="P1204" t="str">
        <f t="shared" si="86"/>
        <v>121545796</v>
      </c>
    </row>
    <row r="1205" spans="1:16" x14ac:dyDescent="0.3">
      <c r="A1205">
        <v>1215</v>
      </c>
      <c r="B1205">
        <v>22</v>
      </c>
      <c r="C1205" t="s">
        <v>26</v>
      </c>
      <c r="D1205" t="s">
        <v>27</v>
      </c>
      <c r="E1205" t="s">
        <v>17</v>
      </c>
      <c r="F1205" t="s">
        <v>23</v>
      </c>
      <c r="G1205" t="s">
        <v>41</v>
      </c>
      <c r="H1205" t="s">
        <v>20</v>
      </c>
      <c r="I1205" s="1">
        <v>2</v>
      </c>
      <c r="J1205" s="2">
        <v>45799</v>
      </c>
      <c r="K1205" s="2">
        <v>45778</v>
      </c>
      <c r="L1205" s="1" t="str">
        <f t="shared" si="90"/>
        <v>qui</v>
      </c>
      <c r="M1205" s="1" t="str">
        <f t="shared" si="91"/>
        <v>mai</v>
      </c>
      <c r="N1205">
        <f t="shared" si="92"/>
        <v>2025</v>
      </c>
      <c r="O1205" s="2">
        <f>_xlfn.XLOOKUP(A1205,Colaboradores!$A:$A,Colaboradores!$S:$S,"",0)</f>
        <v>45814</v>
      </c>
      <c r="P1205" t="str">
        <f t="shared" si="86"/>
        <v>121545799</v>
      </c>
    </row>
    <row r="1206" spans="1:16" x14ac:dyDescent="0.3">
      <c r="A1206">
        <v>1215</v>
      </c>
      <c r="B1206">
        <v>22</v>
      </c>
      <c r="C1206" t="s">
        <v>26</v>
      </c>
      <c r="D1206" t="s">
        <v>27</v>
      </c>
      <c r="E1206" t="s">
        <v>17</v>
      </c>
      <c r="F1206" t="s">
        <v>23</v>
      </c>
      <c r="G1206" t="s">
        <v>41</v>
      </c>
      <c r="H1206" t="s">
        <v>20</v>
      </c>
      <c r="I1206" s="1">
        <v>2</v>
      </c>
      <c r="J1206" s="2">
        <v>45800</v>
      </c>
      <c r="K1206" s="2">
        <v>45778</v>
      </c>
      <c r="L1206" s="1" t="str">
        <f t="shared" si="90"/>
        <v>sex</v>
      </c>
      <c r="M1206" s="1" t="str">
        <f t="shared" si="91"/>
        <v>mai</v>
      </c>
      <c r="N1206">
        <f t="shared" si="92"/>
        <v>2025</v>
      </c>
      <c r="O1206" s="2">
        <f>_xlfn.XLOOKUP(A1206,Colaboradores!$A:$A,Colaboradores!$S:$S,"",0)</f>
        <v>45814</v>
      </c>
      <c r="P1206" t="str">
        <f t="shared" si="86"/>
        <v>121545800</v>
      </c>
    </row>
    <row r="1207" spans="1:16" x14ac:dyDescent="0.3">
      <c r="A1207">
        <v>1216</v>
      </c>
      <c r="B1207">
        <v>56</v>
      </c>
      <c r="C1207" t="s">
        <v>26</v>
      </c>
      <c r="D1207" t="s">
        <v>29</v>
      </c>
      <c r="E1207" t="s">
        <v>17</v>
      </c>
      <c r="F1207" t="s">
        <v>21</v>
      </c>
      <c r="G1207" t="s">
        <v>41</v>
      </c>
      <c r="H1207" t="s">
        <v>20</v>
      </c>
      <c r="I1207" s="1">
        <v>2</v>
      </c>
      <c r="J1207" s="2">
        <v>45813</v>
      </c>
      <c r="K1207" s="2">
        <v>45809</v>
      </c>
      <c r="L1207" s="1" t="str">
        <f t="shared" si="90"/>
        <v>qui</v>
      </c>
      <c r="M1207" s="1" t="str">
        <f t="shared" si="91"/>
        <v>jun</v>
      </c>
      <c r="N1207">
        <f t="shared" si="92"/>
        <v>2025</v>
      </c>
      <c r="O1207" s="2">
        <f>_xlfn.XLOOKUP(A1207,Colaboradores!$A:$A,Colaboradores!$S:$S,"",0)</f>
        <v>46004</v>
      </c>
      <c r="P1207" t="str">
        <f t="shared" si="86"/>
        <v>121645813</v>
      </c>
    </row>
    <row r="1208" spans="1:16" x14ac:dyDescent="0.3">
      <c r="A1208">
        <v>1216</v>
      </c>
      <c r="B1208">
        <v>56</v>
      </c>
      <c r="C1208" t="s">
        <v>26</v>
      </c>
      <c r="D1208" t="s">
        <v>29</v>
      </c>
      <c r="E1208" t="s">
        <v>17</v>
      </c>
      <c r="F1208" t="s">
        <v>21</v>
      </c>
      <c r="G1208" t="s">
        <v>41</v>
      </c>
      <c r="H1208" t="s">
        <v>20</v>
      </c>
      <c r="I1208" s="1">
        <v>2</v>
      </c>
      <c r="J1208" s="2">
        <v>45848</v>
      </c>
      <c r="K1208" s="2">
        <v>45839</v>
      </c>
      <c r="L1208" s="1" t="str">
        <f t="shared" si="90"/>
        <v>qui</v>
      </c>
      <c r="M1208" s="1" t="str">
        <f t="shared" si="91"/>
        <v>jul</v>
      </c>
      <c r="N1208">
        <f t="shared" si="92"/>
        <v>2025</v>
      </c>
      <c r="O1208" s="2">
        <f>_xlfn.XLOOKUP(A1208,Colaboradores!$A:$A,Colaboradores!$S:$S,"",0)</f>
        <v>46004</v>
      </c>
      <c r="P1208" t="str">
        <f t="shared" si="86"/>
        <v>121645848</v>
      </c>
    </row>
    <row r="1209" spans="1:16" x14ac:dyDescent="0.3">
      <c r="A1209">
        <v>1216</v>
      </c>
      <c r="B1209">
        <v>56</v>
      </c>
      <c r="C1209" t="s">
        <v>26</v>
      </c>
      <c r="D1209" t="s">
        <v>29</v>
      </c>
      <c r="E1209" t="s">
        <v>17</v>
      </c>
      <c r="F1209" t="s">
        <v>21</v>
      </c>
      <c r="G1209" t="s">
        <v>44</v>
      </c>
      <c r="H1209" t="s">
        <v>20</v>
      </c>
      <c r="I1209" s="1">
        <v>2</v>
      </c>
      <c r="J1209" s="2">
        <v>45936</v>
      </c>
      <c r="K1209" s="2">
        <v>45931</v>
      </c>
      <c r="L1209" s="1" t="str">
        <f t="shared" si="90"/>
        <v>seg</v>
      </c>
      <c r="M1209" s="1" t="str">
        <f t="shared" si="91"/>
        <v>out</v>
      </c>
      <c r="N1209">
        <f t="shared" si="92"/>
        <v>2025</v>
      </c>
      <c r="O1209" s="2">
        <f>_xlfn.XLOOKUP(A1209,Colaboradores!$A:$A,Colaboradores!$S:$S,"",0)</f>
        <v>46004</v>
      </c>
      <c r="P1209" t="str">
        <f t="shared" si="86"/>
        <v>121645936</v>
      </c>
    </row>
    <row r="1210" spans="1:16" x14ac:dyDescent="0.3">
      <c r="A1210">
        <v>1216</v>
      </c>
      <c r="B1210">
        <v>56</v>
      </c>
      <c r="C1210" t="s">
        <v>26</v>
      </c>
      <c r="D1210" t="s">
        <v>29</v>
      </c>
      <c r="E1210" t="s">
        <v>17</v>
      </c>
      <c r="F1210" t="s">
        <v>21</v>
      </c>
      <c r="G1210" t="s">
        <v>44</v>
      </c>
      <c r="H1210" t="s">
        <v>20</v>
      </c>
      <c r="I1210" s="1">
        <v>2</v>
      </c>
      <c r="J1210" s="2">
        <v>45938</v>
      </c>
      <c r="K1210" s="2">
        <v>45931</v>
      </c>
      <c r="L1210" s="1" t="str">
        <f t="shared" si="90"/>
        <v>qua</v>
      </c>
      <c r="M1210" s="1" t="str">
        <f t="shared" si="91"/>
        <v>out</v>
      </c>
      <c r="N1210">
        <f t="shared" si="92"/>
        <v>2025</v>
      </c>
      <c r="O1210" s="2">
        <f>_xlfn.XLOOKUP(A1210,Colaboradores!$A:$A,Colaboradores!$S:$S,"",0)</f>
        <v>46004</v>
      </c>
      <c r="P1210" t="str">
        <f t="shared" si="86"/>
        <v>121645938</v>
      </c>
    </row>
    <row r="1211" spans="1:16" x14ac:dyDescent="0.3">
      <c r="A1211">
        <v>1216</v>
      </c>
      <c r="B1211">
        <v>56</v>
      </c>
      <c r="C1211" t="s">
        <v>26</v>
      </c>
      <c r="D1211" t="s">
        <v>29</v>
      </c>
      <c r="E1211" t="s">
        <v>17</v>
      </c>
      <c r="F1211" t="s">
        <v>21</v>
      </c>
      <c r="G1211" t="s">
        <v>41</v>
      </c>
      <c r="H1211" t="s">
        <v>20</v>
      </c>
      <c r="I1211" s="1">
        <v>2</v>
      </c>
      <c r="J1211" s="2">
        <v>45961</v>
      </c>
      <c r="K1211" s="2">
        <v>45931</v>
      </c>
      <c r="L1211" s="1" t="str">
        <f t="shared" si="90"/>
        <v>sex</v>
      </c>
      <c r="M1211" s="1" t="str">
        <f t="shared" si="91"/>
        <v>out</v>
      </c>
      <c r="N1211">
        <f t="shared" si="92"/>
        <v>2025</v>
      </c>
      <c r="O1211" s="2">
        <f>_xlfn.XLOOKUP(A1211,Colaboradores!$A:$A,Colaboradores!$S:$S,"",0)</f>
        <v>46004</v>
      </c>
      <c r="P1211" t="str">
        <f t="shared" si="86"/>
        <v>121645961</v>
      </c>
    </row>
    <row r="1212" spans="1:16" x14ac:dyDescent="0.3">
      <c r="A1212">
        <v>1216</v>
      </c>
      <c r="B1212">
        <v>56</v>
      </c>
      <c r="C1212" t="s">
        <v>26</v>
      </c>
      <c r="D1212" t="s">
        <v>29</v>
      </c>
      <c r="E1212" t="s">
        <v>17</v>
      </c>
      <c r="F1212" t="s">
        <v>21</v>
      </c>
      <c r="G1212" t="s">
        <v>41</v>
      </c>
      <c r="H1212" t="s">
        <v>20</v>
      </c>
      <c r="I1212" s="1">
        <v>2</v>
      </c>
      <c r="J1212" s="2">
        <v>45975</v>
      </c>
      <c r="K1212" s="2">
        <v>45962</v>
      </c>
      <c r="L1212" s="1" t="str">
        <f t="shared" si="90"/>
        <v>sex</v>
      </c>
      <c r="M1212" s="1" t="str">
        <f t="shared" si="91"/>
        <v>nov</v>
      </c>
      <c r="N1212">
        <f t="shared" si="92"/>
        <v>2025</v>
      </c>
      <c r="O1212" s="2">
        <f>_xlfn.XLOOKUP(A1212,Colaboradores!$A:$A,Colaboradores!$S:$S,"",0)</f>
        <v>46004</v>
      </c>
      <c r="P1212" t="str">
        <f t="shared" si="86"/>
        <v>121645975</v>
      </c>
    </row>
    <row r="1213" spans="1:16" x14ac:dyDescent="0.3">
      <c r="A1213">
        <v>1217</v>
      </c>
      <c r="B1213">
        <v>33</v>
      </c>
      <c r="C1213" t="s">
        <v>26</v>
      </c>
      <c r="D1213" t="s">
        <v>16</v>
      </c>
      <c r="E1213" t="s">
        <v>17</v>
      </c>
      <c r="F1213" t="s">
        <v>21</v>
      </c>
      <c r="G1213" t="s">
        <v>41</v>
      </c>
      <c r="H1213" t="s">
        <v>20</v>
      </c>
      <c r="I1213" s="1">
        <v>3</v>
      </c>
      <c r="J1213" s="2">
        <v>45790</v>
      </c>
      <c r="K1213" s="2">
        <v>45778</v>
      </c>
      <c r="L1213" s="1" t="str">
        <f t="shared" si="90"/>
        <v>ter</v>
      </c>
      <c r="M1213" s="1" t="str">
        <f t="shared" si="91"/>
        <v>mai</v>
      </c>
      <c r="N1213">
        <f t="shared" si="92"/>
        <v>2025</v>
      </c>
      <c r="O1213" s="2">
        <f>_xlfn.XLOOKUP(A1213,Colaboradores!$A:$A,Colaboradores!$S:$S,"",0)</f>
        <v>46107</v>
      </c>
      <c r="P1213" t="str">
        <f t="shared" si="86"/>
        <v>121745790</v>
      </c>
    </row>
    <row r="1214" spans="1:16" x14ac:dyDescent="0.3">
      <c r="A1214">
        <v>1217</v>
      </c>
      <c r="B1214">
        <v>33</v>
      </c>
      <c r="C1214" t="s">
        <v>26</v>
      </c>
      <c r="D1214" t="s">
        <v>16</v>
      </c>
      <c r="E1214" t="s">
        <v>17</v>
      </c>
      <c r="F1214" t="s">
        <v>21</v>
      </c>
      <c r="G1214" t="s">
        <v>41</v>
      </c>
      <c r="H1214" t="s">
        <v>20</v>
      </c>
      <c r="I1214" s="1">
        <v>3</v>
      </c>
      <c r="J1214" s="2">
        <v>45849</v>
      </c>
      <c r="K1214" s="2">
        <v>45839</v>
      </c>
      <c r="L1214" s="1" t="str">
        <f t="shared" si="90"/>
        <v>sex</v>
      </c>
      <c r="M1214" s="1" t="str">
        <f t="shared" si="91"/>
        <v>jul</v>
      </c>
      <c r="N1214">
        <f t="shared" si="92"/>
        <v>2025</v>
      </c>
      <c r="O1214" s="2">
        <f>_xlfn.XLOOKUP(A1214,Colaboradores!$A:$A,Colaboradores!$S:$S,"",0)</f>
        <v>46107</v>
      </c>
      <c r="P1214" t="str">
        <f t="shared" si="86"/>
        <v>121745849</v>
      </c>
    </row>
    <row r="1215" spans="1:16" x14ac:dyDescent="0.3">
      <c r="A1215">
        <v>1217</v>
      </c>
      <c r="B1215">
        <v>33</v>
      </c>
      <c r="C1215" t="s">
        <v>26</v>
      </c>
      <c r="D1215" t="s">
        <v>16</v>
      </c>
      <c r="E1215" t="s">
        <v>17</v>
      </c>
      <c r="F1215" t="s">
        <v>21</v>
      </c>
      <c r="G1215" t="s">
        <v>41</v>
      </c>
      <c r="H1215" t="s">
        <v>20</v>
      </c>
      <c r="I1215" s="1">
        <v>3</v>
      </c>
      <c r="J1215" s="2">
        <v>45851</v>
      </c>
      <c r="K1215" s="2">
        <v>45839</v>
      </c>
      <c r="L1215" s="1" t="str">
        <f t="shared" si="90"/>
        <v>dom</v>
      </c>
      <c r="M1215" s="1" t="str">
        <f t="shared" si="91"/>
        <v>jul</v>
      </c>
      <c r="N1215">
        <f t="shared" si="92"/>
        <v>2025</v>
      </c>
      <c r="O1215" s="2">
        <f>_xlfn.XLOOKUP(A1215,Colaboradores!$A:$A,Colaboradores!$S:$S,"",0)</f>
        <v>46107</v>
      </c>
      <c r="P1215" t="str">
        <f t="shared" si="86"/>
        <v>121745851</v>
      </c>
    </row>
    <row r="1216" spans="1:16" x14ac:dyDescent="0.3">
      <c r="A1216">
        <v>1217</v>
      </c>
      <c r="B1216">
        <v>33</v>
      </c>
      <c r="C1216" t="s">
        <v>26</v>
      </c>
      <c r="D1216" t="s">
        <v>16</v>
      </c>
      <c r="E1216" t="s">
        <v>17</v>
      </c>
      <c r="F1216" t="s">
        <v>21</v>
      </c>
      <c r="G1216" t="s">
        <v>41</v>
      </c>
      <c r="H1216" t="s">
        <v>20</v>
      </c>
      <c r="I1216" s="1">
        <v>3</v>
      </c>
      <c r="J1216" s="2">
        <v>45943</v>
      </c>
      <c r="K1216" s="2">
        <v>45931</v>
      </c>
      <c r="L1216" s="1" t="str">
        <f t="shared" si="90"/>
        <v>seg</v>
      </c>
      <c r="M1216" s="1" t="str">
        <f t="shared" si="91"/>
        <v>out</v>
      </c>
      <c r="N1216">
        <f t="shared" si="92"/>
        <v>2025</v>
      </c>
      <c r="O1216" s="2">
        <f>_xlfn.XLOOKUP(A1216,Colaboradores!$A:$A,Colaboradores!$S:$S,"",0)</f>
        <v>46107</v>
      </c>
      <c r="P1216" t="str">
        <f t="shared" si="86"/>
        <v>121745943</v>
      </c>
    </row>
    <row r="1217" spans="1:16" x14ac:dyDescent="0.3">
      <c r="A1217">
        <v>1217</v>
      </c>
      <c r="B1217">
        <v>33</v>
      </c>
      <c r="C1217" t="s">
        <v>26</v>
      </c>
      <c r="D1217" t="s">
        <v>16</v>
      </c>
      <c r="E1217" t="s">
        <v>17</v>
      </c>
      <c r="F1217" t="s">
        <v>21</v>
      </c>
      <c r="G1217" t="s">
        <v>41</v>
      </c>
      <c r="H1217" t="s">
        <v>20</v>
      </c>
      <c r="I1217" s="1">
        <v>3</v>
      </c>
      <c r="J1217" s="2">
        <v>45957</v>
      </c>
      <c r="K1217" s="2">
        <v>45931</v>
      </c>
      <c r="L1217" s="1" t="str">
        <f t="shared" si="90"/>
        <v>seg</v>
      </c>
      <c r="M1217" s="1" t="str">
        <f t="shared" si="91"/>
        <v>out</v>
      </c>
      <c r="N1217">
        <f t="shared" si="92"/>
        <v>2025</v>
      </c>
      <c r="O1217" s="2">
        <f>_xlfn.XLOOKUP(A1217,Colaboradores!$A:$A,Colaboradores!$S:$S,"",0)</f>
        <v>46107</v>
      </c>
      <c r="P1217" t="str">
        <f t="shared" ref="P1217:P1280" si="93">CONCATENATE(A1217,J1217)</f>
        <v>121745957</v>
      </c>
    </row>
    <row r="1218" spans="1:16" x14ac:dyDescent="0.3">
      <c r="A1218">
        <v>1217</v>
      </c>
      <c r="B1218">
        <v>33</v>
      </c>
      <c r="C1218" t="s">
        <v>26</v>
      </c>
      <c r="D1218" t="s">
        <v>16</v>
      </c>
      <c r="E1218" t="s">
        <v>17</v>
      </c>
      <c r="F1218" t="s">
        <v>21</v>
      </c>
      <c r="G1218" t="s">
        <v>41</v>
      </c>
      <c r="H1218" t="s">
        <v>20</v>
      </c>
      <c r="I1218" s="1">
        <v>3</v>
      </c>
      <c r="J1218" s="2">
        <v>46056</v>
      </c>
      <c r="K1218" s="2">
        <v>46054</v>
      </c>
      <c r="L1218" s="1" t="str">
        <f t="shared" si="90"/>
        <v>ter</v>
      </c>
      <c r="M1218" s="1" t="str">
        <f t="shared" si="91"/>
        <v>fev</v>
      </c>
      <c r="N1218">
        <f t="shared" si="92"/>
        <v>2026</v>
      </c>
      <c r="O1218" s="2">
        <f>_xlfn.XLOOKUP(A1218,Colaboradores!$A:$A,Colaboradores!$S:$S,"",0)</f>
        <v>46107</v>
      </c>
      <c r="P1218" t="str">
        <f t="shared" si="93"/>
        <v>121746056</v>
      </c>
    </row>
    <row r="1219" spans="1:16" x14ac:dyDescent="0.3">
      <c r="A1219">
        <v>1218</v>
      </c>
      <c r="B1219">
        <v>32</v>
      </c>
      <c r="C1219" t="s">
        <v>15</v>
      </c>
      <c r="D1219" t="s">
        <v>29</v>
      </c>
      <c r="E1219" t="s">
        <v>17</v>
      </c>
      <c r="F1219" t="s">
        <v>18</v>
      </c>
      <c r="G1219" t="s">
        <v>42</v>
      </c>
      <c r="H1219" t="s">
        <v>20</v>
      </c>
      <c r="I1219" s="1">
        <v>2</v>
      </c>
      <c r="J1219" s="2">
        <v>45792</v>
      </c>
      <c r="K1219" s="2">
        <v>45778</v>
      </c>
      <c r="L1219" s="1" t="str">
        <f t="shared" si="90"/>
        <v>qui</v>
      </c>
      <c r="M1219" s="1" t="str">
        <f t="shared" si="91"/>
        <v>mai</v>
      </c>
      <c r="N1219">
        <f t="shared" si="92"/>
        <v>2025</v>
      </c>
      <c r="O1219" s="2">
        <f>_xlfn.XLOOKUP(A1219,Colaboradores!$A:$A,Colaboradores!$S:$S,"",0)</f>
        <v>46175</v>
      </c>
      <c r="P1219" t="str">
        <f t="shared" si="93"/>
        <v>121845792</v>
      </c>
    </row>
    <row r="1220" spans="1:16" x14ac:dyDescent="0.3">
      <c r="A1220">
        <v>1218</v>
      </c>
      <c r="B1220">
        <v>32</v>
      </c>
      <c r="C1220" t="s">
        <v>15</v>
      </c>
      <c r="D1220" t="s">
        <v>29</v>
      </c>
      <c r="E1220" t="s">
        <v>17</v>
      </c>
      <c r="F1220" t="s">
        <v>18</v>
      </c>
      <c r="G1220" t="s">
        <v>42</v>
      </c>
      <c r="H1220" t="s">
        <v>20</v>
      </c>
      <c r="I1220" s="1">
        <v>2</v>
      </c>
      <c r="J1220" s="2">
        <v>45830</v>
      </c>
      <c r="K1220" s="2">
        <v>45809</v>
      </c>
      <c r="L1220" s="1" t="str">
        <f t="shared" si="90"/>
        <v>dom</v>
      </c>
      <c r="M1220" s="1" t="str">
        <f t="shared" si="91"/>
        <v>jun</v>
      </c>
      <c r="N1220">
        <f t="shared" si="92"/>
        <v>2025</v>
      </c>
      <c r="O1220" s="2">
        <f>_xlfn.XLOOKUP(A1220,Colaboradores!$A:$A,Colaboradores!$S:$S,"",0)</f>
        <v>46175</v>
      </c>
      <c r="P1220" t="str">
        <f t="shared" si="93"/>
        <v>121845830</v>
      </c>
    </row>
    <row r="1221" spans="1:16" x14ac:dyDescent="0.3">
      <c r="A1221">
        <v>1218</v>
      </c>
      <c r="B1221">
        <v>32</v>
      </c>
      <c r="C1221" t="s">
        <v>15</v>
      </c>
      <c r="D1221" t="s">
        <v>29</v>
      </c>
      <c r="E1221" t="s">
        <v>17</v>
      </c>
      <c r="F1221" t="s">
        <v>18</v>
      </c>
      <c r="G1221" t="s">
        <v>42</v>
      </c>
      <c r="H1221" t="s">
        <v>20</v>
      </c>
      <c r="I1221" s="1">
        <v>2</v>
      </c>
      <c r="J1221" s="2">
        <v>45941</v>
      </c>
      <c r="K1221" s="2">
        <v>45931</v>
      </c>
      <c r="L1221" s="1" t="str">
        <f t="shared" si="90"/>
        <v>sáb</v>
      </c>
      <c r="M1221" s="1" t="str">
        <f t="shared" si="91"/>
        <v>out</v>
      </c>
      <c r="N1221">
        <f t="shared" si="92"/>
        <v>2025</v>
      </c>
      <c r="O1221" s="2">
        <f>_xlfn.XLOOKUP(A1221,Colaboradores!$A:$A,Colaboradores!$S:$S,"",0)</f>
        <v>46175</v>
      </c>
      <c r="P1221" t="str">
        <f t="shared" si="93"/>
        <v>121845941</v>
      </c>
    </row>
    <row r="1222" spans="1:16" x14ac:dyDescent="0.3">
      <c r="A1222">
        <v>1218</v>
      </c>
      <c r="B1222">
        <v>32</v>
      </c>
      <c r="C1222" t="s">
        <v>15</v>
      </c>
      <c r="D1222" t="s">
        <v>29</v>
      </c>
      <c r="E1222" t="s">
        <v>17</v>
      </c>
      <c r="F1222" t="s">
        <v>18</v>
      </c>
      <c r="G1222" t="s">
        <v>41</v>
      </c>
      <c r="H1222" t="s">
        <v>20</v>
      </c>
      <c r="I1222" s="1">
        <v>2</v>
      </c>
      <c r="J1222" s="2">
        <v>45955</v>
      </c>
      <c r="K1222" s="2">
        <v>45931</v>
      </c>
      <c r="L1222" s="1" t="str">
        <f t="shared" ref="L1222:L1245" si="94">TEXT(J1222,"ddd")</f>
        <v>sáb</v>
      </c>
      <c r="M1222" s="1" t="str">
        <f t="shared" ref="M1222:M1245" si="95">TEXT($J1222,"mmm")</f>
        <v>out</v>
      </c>
      <c r="N1222">
        <f t="shared" ref="N1222:N1245" si="96">YEAR(J1222)</f>
        <v>2025</v>
      </c>
      <c r="O1222" s="2">
        <f>_xlfn.XLOOKUP(A1222,Colaboradores!$A:$A,Colaboradores!$S:$S,"",0)</f>
        <v>46175</v>
      </c>
      <c r="P1222" t="str">
        <f t="shared" si="93"/>
        <v>121845955</v>
      </c>
    </row>
    <row r="1223" spans="1:16" x14ac:dyDescent="0.3">
      <c r="A1223">
        <v>1218</v>
      </c>
      <c r="B1223">
        <v>32</v>
      </c>
      <c r="C1223" t="s">
        <v>15</v>
      </c>
      <c r="D1223" t="s">
        <v>29</v>
      </c>
      <c r="E1223" t="s">
        <v>17</v>
      </c>
      <c r="F1223" t="s">
        <v>18</v>
      </c>
      <c r="G1223" t="s">
        <v>41</v>
      </c>
      <c r="H1223" t="s">
        <v>20</v>
      </c>
      <c r="I1223" s="1">
        <v>2</v>
      </c>
      <c r="J1223" s="2">
        <v>46191</v>
      </c>
      <c r="K1223" s="2">
        <v>46023</v>
      </c>
      <c r="L1223" s="1" t="str">
        <f t="shared" si="94"/>
        <v>qui</v>
      </c>
      <c r="M1223" s="1" t="str">
        <f t="shared" si="95"/>
        <v>jun</v>
      </c>
      <c r="N1223">
        <f t="shared" si="96"/>
        <v>2026</v>
      </c>
      <c r="O1223" s="2">
        <f>_xlfn.XLOOKUP(A1223,Colaboradores!$A:$A,Colaboradores!$S:$S,"",0)</f>
        <v>46175</v>
      </c>
      <c r="P1223" t="str">
        <f t="shared" si="93"/>
        <v>121846191</v>
      </c>
    </row>
    <row r="1224" spans="1:16" x14ac:dyDescent="0.3">
      <c r="A1224">
        <v>1218</v>
      </c>
      <c r="B1224">
        <v>32</v>
      </c>
      <c r="C1224" t="s">
        <v>15</v>
      </c>
      <c r="D1224" t="s">
        <v>29</v>
      </c>
      <c r="E1224" t="s">
        <v>17</v>
      </c>
      <c r="F1224" t="s">
        <v>18</v>
      </c>
      <c r="G1224" t="s">
        <v>41</v>
      </c>
      <c r="H1224" t="s">
        <v>20</v>
      </c>
      <c r="I1224" s="1">
        <v>2</v>
      </c>
      <c r="J1224" s="2">
        <v>46081</v>
      </c>
      <c r="K1224" s="2">
        <v>46054</v>
      </c>
      <c r="L1224" s="1" t="str">
        <f t="shared" si="94"/>
        <v>sáb</v>
      </c>
      <c r="M1224" s="1" t="str">
        <f t="shared" si="95"/>
        <v>fev</v>
      </c>
      <c r="N1224">
        <f t="shared" si="96"/>
        <v>2026</v>
      </c>
      <c r="O1224" s="2">
        <f>_xlfn.XLOOKUP(A1224,Colaboradores!$A:$A,Colaboradores!$S:$S,"",0)</f>
        <v>46175</v>
      </c>
      <c r="P1224" t="str">
        <f t="shared" si="93"/>
        <v>121846081</v>
      </c>
    </row>
    <row r="1225" spans="1:16" x14ac:dyDescent="0.3">
      <c r="A1225">
        <v>1221</v>
      </c>
      <c r="B1225">
        <v>28</v>
      </c>
      <c r="C1225" t="s">
        <v>15</v>
      </c>
      <c r="D1225" t="s">
        <v>29</v>
      </c>
      <c r="E1225" t="s">
        <v>17</v>
      </c>
      <c r="F1225" t="s">
        <v>21</v>
      </c>
      <c r="G1225" t="s">
        <v>41</v>
      </c>
      <c r="H1225" t="s">
        <v>25</v>
      </c>
      <c r="I1225" s="1">
        <v>2</v>
      </c>
      <c r="J1225" s="2">
        <v>45849</v>
      </c>
      <c r="K1225" s="2">
        <v>45839</v>
      </c>
      <c r="L1225" s="1" t="str">
        <f t="shared" si="94"/>
        <v>sex</v>
      </c>
      <c r="M1225" s="1" t="str">
        <f t="shared" si="95"/>
        <v>jul</v>
      </c>
      <c r="N1225">
        <f t="shared" si="96"/>
        <v>2025</v>
      </c>
      <c r="O1225" s="2"/>
      <c r="P1225" t="str">
        <f t="shared" si="93"/>
        <v>122145849</v>
      </c>
    </row>
    <row r="1226" spans="1:16" x14ac:dyDescent="0.3">
      <c r="A1226">
        <v>1221</v>
      </c>
      <c r="B1226">
        <v>28</v>
      </c>
      <c r="C1226" t="s">
        <v>15</v>
      </c>
      <c r="D1226" t="s">
        <v>29</v>
      </c>
      <c r="E1226" t="s">
        <v>17</v>
      </c>
      <c r="F1226" t="s">
        <v>21</v>
      </c>
      <c r="G1226" t="s">
        <v>41</v>
      </c>
      <c r="H1226" t="s">
        <v>25</v>
      </c>
      <c r="I1226" s="1">
        <v>2</v>
      </c>
      <c r="J1226" s="2">
        <v>45888</v>
      </c>
      <c r="K1226" s="2">
        <v>45870</v>
      </c>
      <c r="L1226" s="1" t="str">
        <f t="shared" si="94"/>
        <v>ter</v>
      </c>
      <c r="M1226" s="1" t="str">
        <f t="shared" si="95"/>
        <v>ago</v>
      </c>
      <c r="N1226">
        <f t="shared" si="96"/>
        <v>2025</v>
      </c>
      <c r="O1226" s="2"/>
      <c r="P1226" t="str">
        <f t="shared" si="93"/>
        <v>122145888</v>
      </c>
    </row>
    <row r="1227" spans="1:16" x14ac:dyDescent="0.3">
      <c r="A1227">
        <v>1221</v>
      </c>
      <c r="B1227">
        <v>28</v>
      </c>
      <c r="C1227" t="s">
        <v>15</v>
      </c>
      <c r="D1227" t="s">
        <v>29</v>
      </c>
      <c r="E1227" t="s">
        <v>17</v>
      </c>
      <c r="F1227" t="s">
        <v>21</v>
      </c>
      <c r="G1227" t="s">
        <v>41</v>
      </c>
      <c r="H1227" t="s">
        <v>25</v>
      </c>
      <c r="I1227" s="1">
        <v>2</v>
      </c>
      <c r="J1227" s="2">
        <v>46185</v>
      </c>
      <c r="K1227" s="2">
        <v>46023</v>
      </c>
      <c r="L1227" s="1" t="str">
        <f t="shared" si="94"/>
        <v>sex</v>
      </c>
      <c r="M1227" s="1" t="str">
        <f t="shared" si="95"/>
        <v>jun</v>
      </c>
      <c r="N1227">
        <f t="shared" si="96"/>
        <v>2026</v>
      </c>
      <c r="O1227" s="2"/>
      <c r="P1227" t="str">
        <f t="shared" si="93"/>
        <v>122146185</v>
      </c>
    </row>
    <row r="1228" spans="1:16" x14ac:dyDescent="0.3">
      <c r="A1228">
        <v>1221</v>
      </c>
      <c r="B1228">
        <v>28</v>
      </c>
      <c r="C1228" t="s">
        <v>15</v>
      </c>
      <c r="D1228" t="s">
        <v>29</v>
      </c>
      <c r="E1228" t="s">
        <v>17</v>
      </c>
      <c r="F1228" t="s">
        <v>21</v>
      </c>
      <c r="G1228" t="s">
        <v>41</v>
      </c>
      <c r="H1228" t="s">
        <v>25</v>
      </c>
      <c r="I1228" s="1">
        <v>2</v>
      </c>
      <c r="J1228" s="2">
        <v>46108</v>
      </c>
      <c r="K1228" s="2">
        <v>46082</v>
      </c>
      <c r="L1228" s="1" t="str">
        <f t="shared" si="94"/>
        <v>sex</v>
      </c>
      <c r="M1228" s="1" t="str">
        <f t="shared" si="95"/>
        <v>mar</v>
      </c>
      <c r="N1228">
        <f t="shared" si="96"/>
        <v>2026</v>
      </c>
      <c r="O1228" s="2"/>
      <c r="P1228" t="str">
        <f t="shared" si="93"/>
        <v>122146108</v>
      </c>
    </row>
    <row r="1229" spans="1:16" x14ac:dyDescent="0.3">
      <c r="A1229">
        <v>1221</v>
      </c>
      <c r="B1229">
        <v>28</v>
      </c>
      <c r="C1229" t="s">
        <v>15</v>
      </c>
      <c r="D1229" t="s">
        <v>29</v>
      </c>
      <c r="E1229" t="s">
        <v>17</v>
      </c>
      <c r="F1229" t="s">
        <v>21</v>
      </c>
      <c r="G1229" t="s">
        <v>41</v>
      </c>
      <c r="H1229" t="s">
        <v>25</v>
      </c>
      <c r="I1229" s="1">
        <v>2</v>
      </c>
      <c r="J1229" s="2">
        <v>46110</v>
      </c>
      <c r="K1229" s="2">
        <v>46082</v>
      </c>
      <c r="L1229" s="1" t="str">
        <f t="shared" si="94"/>
        <v>dom</v>
      </c>
      <c r="M1229" s="1" t="str">
        <f t="shared" si="95"/>
        <v>mar</v>
      </c>
      <c r="N1229">
        <f t="shared" si="96"/>
        <v>2026</v>
      </c>
      <c r="O1229" s="2"/>
      <c r="P1229" t="str">
        <f t="shared" si="93"/>
        <v>122146110</v>
      </c>
    </row>
    <row r="1230" spans="1:16" x14ac:dyDescent="0.3">
      <c r="A1230">
        <v>1221</v>
      </c>
      <c r="B1230">
        <v>28</v>
      </c>
      <c r="C1230" t="s">
        <v>15</v>
      </c>
      <c r="D1230" t="s">
        <v>29</v>
      </c>
      <c r="E1230" t="s">
        <v>17</v>
      </c>
      <c r="F1230" t="s">
        <v>21</v>
      </c>
      <c r="G1230" t="s">
        <v>41</v>
      </c>
      <c r="H1230" t="s">
        <v>25</v>
      </c>
      <c r="I1230" s="1">
        <v>2</v>
      </c>
      <c r="J1230" s="2">
        <v>46156</v>
      </c>
      <c r="K1230" s="2">
        <v>46143</v>
      </c>
      <c r="L1230" s="1" t="str">
        <f t="shared" si="94"/>
        <v>qui</v>
      </c>
      <c r="M1230" s="1" t="str">
        <f t="shared" si="95"/>
        <v>mai</v>
      </c>
      <c r="N1230">
        <f t="shared" si="96"/>
        <v>2026</v>
      </c>
      <c r="O1230" s="2"/>
      <c r="P1230" t="str">
        <f t="shared" si="93"/>
        <v>122146156</v>
      </c>
    </row>
    <row r="1231" spans="1:16" x14ac:dyDescent="0.3">
      <c r="A1231">
        <v>1221</v>
      </c>
      <c r="B1231">
        <v>28</v>
      </c>
      <c r="C1231" t="s">
        <v>15</v>
      </c>
      <c r="D1231" t="s">
        <v>29</v>
      </c>
      <c r="E1231" t="s">
        <v>17</v>
      </c>
      <c r="F1231" t="s">
        <v>21</v>
      </c>
      <c r="G1231" t="s">
        <v>41</v>
      </c>
      <c r="H1231" t="s">
        <v>25</v>
      </c>
      <c r="I1231" s="1">
        <v>2</v>
      </c>
      <c r="J1231" s="2">
        <v>46202</v>
      </c>
      <c r="K1231" s="2">
        <v>46174</v>
      </c>
      <c r="L1231" s="1" t="str">
        <f t="shared" si="94"/>
        <v>seg</v>
      </c>
      <c r="M1231" s="1" t="str">
        <f t="shared" si="95"/>
        <v>jun</v>
      </c>
      <c r="N1231">
        <f t="shared" si="96"/>
        <v>2026</v>
      </c>
      <c r="O1231" s="2"/>
      <c r="P1231" t="str">
        <f t="shared" si="93"/>
        <v>122146202</v>
      </c>
    </row>
    <row r="1232" spans="1:16" x14ac:dyDescent="0.3">
      <c r="A1232">
        <v>1222</v>
      </c>
      <c r="B1232">
        <v>29</v>
      </c>
      <c r="C1232" t="s">
        <v>26</v>
      </c>
      <c r="D1232" t="s">
        <v>29</v>
      </c>
      <c r="E1232" t="s">
        <v>17</v>
      </c>
      <c r="F1232" t="s">
        <v>21</v>
      </c>
      <c r="G1232" t="s">
        <v>41</v>
      </c>
      <c r="H1232" t="s">
        <v>20</v>
      </c>
      <c r="I1232" s="1">
        <v>3</v>
      </c>
      <c r="J1232" s="2">
        <v>45869</v>
      </c>
      <c r="K1232" s="2">
        <v>45839</v>
      </c>
      <c r="L1232" s="1" t="str">
        <f t="shared" si="94"/>
        <v>qui</v>
      </c>
      <c r="M1232" s="1" t="str">
        <f t="shared" si="95"/>
        <v>jul</v>
      </c>
      <c r="N1232">
        <f t="shared" si="96"/>
        <v>2025</v>
      </c>
      <c r="O1232" s="2">
        <f>_xlfn.XLOOKUP(A1232,Colaboradores!$A:$A,Colaboradores!$S:$S,"",0)</f>
        <v>45893</v>
      </c>
      <c r="P1232" t="str">
        <f t="shared" si="93"/>
        <v>122245869</v>
      </c>
    </row>
    <row r="1233" spans="1:16" x14ac:dyDescent="0.3">
      <c r="A1233">
        <v>1222</v>
      </c>
      <c r="B1233">
        <v>29</v>
      </c>
      <c r="C1233" t="s">
        <v>26</v>
      </c>
      <c r="D1233" t="s">
        <v>29</v>
      </c>
      <c r="E1233" t="s">
        <v>17</v>
      </c>
      <c r="F1233" t="s">
        <v>21</v>
      </c>
      <c r="G1233" t="s">
        <v>44</v>
      </c>
      <c r="H1233" t="s">
        <v>20</v>
      </c>
      <c r="I1233" s="1">
        <v>3</v>
      </c>
      <c r="J1233" s="2">
        <v>45876</v>
      </c>
      <c r="K1233" s="2">
        <v>45870</v>
      </c>
      <c r="L1233" s="1" t="str">
        <f t="shared" si="94"/>
        <v>qui</v>
      </c>
      <c r="M1233" s="1" t="str">
        <f t="shared" si="95"/>
        <v>ago</v>
      </c>
      <c r="N1233">
        <f t="shared" si="96"/>
        <v>2025</v>
      </c>
      <c r="O1233" s="2">
        <f>_xlfn.XLOOKUP(A1233,Colaboradores!$A:$A,Colaboradores!$S:$S,"",0)</f>
        <v>45893</v>
      </c>
      <c r="P1233" t="str">
        <f t="shared" si="93"/>
        <v>122245876</v>
      </c>
    </row>
    <row r="1234" spans="1:16" x14ac:dyDescent="0.3">
      <c r="A1234">
        <v>1222</v>
      </c>
      <c r="B1234">
        <v>29</v>
      </c>
      <c r="C1234" t="s">
        <v>26</v>
      </c>
      <c r="D1234" t="s">
        <v>29</v>
      </c>
      <c r="E1234" t="s">
        <v>17</v>
      </c>
      <c r="F1234" t="s">
        <v>21</v>
      </c>
      <c r="G1234" t="s">
        <v>41</v>
      </c>
      <c r="H1234" t="s">
        <v>20</v>
      </c>
      <c r="I1234" s="1">
        <v>3</v>
      </c>
      <c r="J1234" s="2">
        <v>45881</v>
      </c>
      <c r="K1234" s="2">
        <v>45870</v>
      </c>
      <c r="L1234" s="1" t="str">
        <f t="shared" si="94"/>
        <v>ter</v>
      </c>
      <c r="M1234" s="1" t="str">
        <f t="shared" si="95"/>
        <v>ago</v>
      </c>
      <c r="N1234">
        <f t="shared" si="96"/>
        <v>2025</v>
      </c>
      <c r="O1234" s="2">
        <f>_xlfn.XLOOKUP(A1234,Colaboradores!$A:$A,Colaboradores!$S:$S,"",0)</f>
        <v>45893</v>
      </c>
      <c r="P1234" t="str">
        <f t="shared" si="93"/>
        <v>122245881</v>
      </c>
    </row>
    <row r="1235" spans="1:16" x14ac:dyDescent="0.3">
      <c r="A1235">
        <v>1226</v>
      </c>
      <c r="B1235">
        <v>26</v>
      </c>
      <c r="C1235" t="s">
        <v>26</v>
      </c>
      <c r="D1235" t="s">
        <v>29</v>
      </c>
      <c r="E1235" t="s">
        <v>17</v>
      </c>
      <c r="F1235" t="s">
        <v>18</v>
      </c>
      <c r="G1235" t="s">
        <v>41</v>
      </c>
      <c r="H1235" t="s">
        <v>20</v>
      </c>
      <c r="I1235" s="1">
        <v>2</v>
      </c>
      <c r="J1235" s="2">
        <v>45801</v>
      </c>
      <c r="K1235" s="2">
        <v>45778</v>
      </c>
      <c r="L1235" s="1" t="str">
        <f t="shared" si="94"/>
        <v>sáb</v>
      </c>
      <c r="M1235" s="1" t="str">
        <f t="shared" si="95"/>
        <v>mai</v>
      </c>
      <c r="N1235">
        <f t="shared" si="96"/>
        <v>2025</v>
      </c>
      <c r="O1235" s="2">
        <f>_xlfn.XLOOKUP(A1235,Colaboradores!$A:$A,Colaboradores!$S:$S,"",0)</f>
        <v>46004</v>
      </c>
      <c r="P1235" t="str">
        <f t="shared" si="93"/>
        <v>122645801</v>
      </c>
    </row>
    <row r="1236" spans="1:16" x14ac:dyDescent="0.3">
      <c r="A1236">
        <v>1226</v>
      </c>
      <c r="B1236">
        <v>26</v>
      </c>
      <c r="C1236" t="s">
        <v>26</v>
      </c>
      <c r="D1236" t="s">
        <v>29</v>
      </c>
      <c r="E1236" t="s">
        <v>17</v>
      </c>
      <c r="F1236" t="s">
        <v>18</v>
      </c>
      <c r="G1236" t="s">
        <v>41</v>
      </c>
      <c r="H1236" t="s">
        <v>20</v>
      </c>
      <c r="I1236" s="1">
        <v>2</v>
      </c>
      <c r="J1236" s="2">
        <v>45819</v>
      </c>
      <c r="K1236" s="2">
        <v>45809</v>
      </c>
      <c r="L1236" s="1" t="str">
        <f t="shared" si="94"/>
        <v>qua</v>
      </c>
      <c r="M1236" s="1" t="str">
        <f t="shared" si="95"/>
        <v>jun</v>
      </c>
      <c r="N1236">
        <f t="shared" si="96"/>
        <v>2025</v>
      </c>
      <c r="O1236" s="2">
        <f>_xlfn.XLOOKUP(A1236,Colaboradores!$A:$A,Colaboradores!$S:$S,"",0)</f>
        <v>46004</v>
      </c>
      <c r="P1236" t="str">
        <f t="shared" si="93"/>
        <v>122645819</v>
      </c>
    </row>
    <row r="1237" spans="1:16" x14ac:dyDescent="0.3">
      <c r="A1237">
        <v>1226</v>
      </c>
      <c r="B1237">
        <v>26</v>
      </c>
      <c r="C1237" t="s">
        <v>26</v>
      </c>
      <c r="D1237" t="s">
        <v>29</v>
      </c>
      <c r="E1237" t="s">
        <v>17</v>
      </c>
      <c r="F1237" t="s">
        <v>18</v>
      </c>
      <c r="G1237" t="s">
        <v>41</v>
      </c>
      <c r="H1237" t="s">
        <v>20</v>
      </c>
      <c r="I1237" s="1">
        <v>2</v>
      </c>
      <c r="J1237" s="2">
        <v>45937</v>
      </c>
      <c r="K1237" s="2">
        <v>45931</v>
      </c>
      <c r="L1237" s="1" t="str">
        <f t="shared" si="94"/>
        <v>ter</v>
      </c>
      <c r="M1237" s="1" t="str">
        <f t="shared" si="95"/>
        <v>out</v>
      </c>
      <c r="N1237">
        <f t="shared" si="96"/>
        <v>2025</v>
      </c>
      <c r="O1237" s="2">
        <f>_xlfn.XLOOKUP(A1237,Colaboradores!$A:$A,Colaboradores!$S:$S,"",0)</f>
        <v>46004</v>
      </c>
      <c r="P1237" t="str">
        <f t="shared" si="93"/>
        <v>122645937</v>
      </c>
    </row>
    <row r="1238" spans="1:16" x14ac:dyDescent="0.3">
      <c r="A1238">
        <v>1226</v>
      </c>
      <c r="B1238">
        <v>26</v>
      </c>
      <c r="C1238" t="s">
        <v>26</v>
      </c>
      <c r="D1238" t="s">
        <v>29</v>
      </c>
      <c r="E1238" t="s">
        <v>17</v>
      </c>
      <c r="F1238" t="s">
        <v>18</v>
      </c>
      <c r="G1238" t="s">
        <v>41</v>
      </c>
      <c r="H1238" t="s">
        <v>20</v>
      </c>
      <c r="I1238" s="1">
        <v>2</v>
      </c>
      <c r="J1238" s="2">
        <v>45940</v>
      </c>
      <c r="K1238" s="2">
        <v>45931</v>
      </c>
      <c r="L1238" s="1" t="str">
        <f t="shared" si="94"/>
        <v>sex</v>
      </c>
      <c r="M1238" s="1" t="str">
        <f t="shared" si="95"/>
        <v>out</v>
      </c>
      <c r="N1238">
        <f t="shared" si="96"/>
        <v>2025</v>
      </c>
      <c r="O1238" s="2">
        <f>_xlfn.XLOOKUP(A1238,Colaboradores!$A:$A,Colaboradores!$S:$S,"",0)</f>
        <v>46004</v>
      </c>
      <c r="P1238" t="str">
        <f t="shared" si="93"/>
        <v>122645940</v>
      </c>
    </row>
    <row r="1239" spans="1:16" x14ac:dyDescent="0.3">
      <c r="A1239">
        <v>1226</v>
      </c>
      <c r="B1239">
        <v>26</v>
      </c>
      <c r="C1239" t="s">
        <v>26</v>
      </c>
      <c r="D1239" t="s">
        <v>29</v>
      </c>
      <c r="E1239" t="s">
        <v>17</v>
      </c>
      <c r="F1239" t="s">
        <v>18</v>
      </c>
      <c r="G1239" t="s">
        <v>41</v>
      </c>
      <c r="H1239" t="s">
        <v>20</v>
      </c>
      <c r="I1239" s="1">
        <v>2</v>
      </c>
      <c r="J1239" s="2">
        <v>45969</v>
      </c>
      <c r="K1239" s="2">
        <v>45962</v>
      </c>
      <c r="L1239" s="1" t="str">
        <f t="shared" si="94"/>
        <v>sáb</v>
      </c>
      <c r="M1239" s="1" t="str">
        <f t="shared" si="95"/>
        <v>nov</v>
      </c>
      <c r="N1239">
        <f t="shared" si="96"/>
        <v>2025</v>
      </c>
      <c r="O1239" s="2">
        <f>_xlfn.XLOOKUP(A1239,Colaboradores!$A:$A,Colaboradores!$S:$S,"",0)</f>
        <v>46004</v>
      </c>
      <c r="P1239" t="str">
        <f t="shared" si="93"/>
        <v>122645969</v>
      </c>
    </row>
    <row r="1240" spans="1:16" x14ac:dyDescent="0.3">
      <c r="A1240">
        <v>1227</v>
      </c>
      <c r="B1240">
        <v>46</v>
      </c>
      <c r="C1240" t="s">
        <v>15</v>
      </c>
      <c r="D1240" t="s">
        <v>22</v>
      </c>
      <c r="E1240" t="s">
        <v>17</v>
      </c>
      <c r="F1240" t="s">
        <v>23</v>
      </c>
      <c r="G1240" t="s">
        <v>40</v>
      </c>
      <c r="H1240" t="s">
        <v>25</v>
      </c>
      <c r="I1240" s="1">
        <v>3</v>
      </c>
      <c r="J1240" s="2">
        <v>45805</v>
      </c>
      <c r="K1240" s="2">
        <v>45778</v>
      </c>
      <c r="L1240" s="1" t="str">
        <f t="shared" si="94"/>
        <v>qua</v>
      </c>
      <c r="M1240" s="1" t="str">
        <f t="shared" si="95"/>
        <v>mai</v>
      </c>
      <c r="N1240">
        <f t="shared" si="96"/>
        <v>2025</v>
      </c>
      <c r="O1240" s="2"/>
      <c r="P1240" t="str">
        <f t="shared" si="93"/>
        <v>122745805</v>
      </c>
    </row>
    <row r="1241" spans="1:16" x14ac:dyDescent="0.3">
      <c r="A1241">
        <v>1227</v>
      </c>
      <c r="B1241">
        <v>46</v>
      </c>
      <c r="C1241" t="s">
        <v>15</v>
      </c>
      <c r="D1241" t="s">
        <v>22</v>
      </c>
      <c r="E1241" t="s">
        <v>17</v>
      </c>
      <c r="F1241" t="s">
        <v>23</v>
      </c>
      <c r="G1241" t="s">
        <v>40</v>
      </c>
      <c r="H1241" t="s">
        <v>25</v>
      </c>
      <c r="I1241" s="1">
        <v>3</v>
      </c>
      <c r="J1241" s="2">
        <v>46019</v>
      </c>
      <c r="K1241" s="2">
        <v>45992</v>
      </c>
      <c r="L1241" s="1" t="str">
        <f t="shared" si="94"/>
        <v>dom</v>
      </c>
      <c r="M1241" s="1" t="str">
        <f t="shared" si="95"/>
        <v>dez</v>
      </c>
      <c r="N1241">
        <f t="shared" si="96"/>
        <v>2025</v>
      </c>
      <c r="O1241" s="2"/>
      <c r="P1241" t="str">
        <f t="shared" si="93"/>
        <v>122746019</v>
      </c>
    </row>
    <row r="1242" spans="1:16" x14ac:dyDescent="0.3">
      <c r="A1242">
        <v>1227</v>
      </c>
      <c r="B1242">
        <v>46</v>
      </c>
      <c r="C1242" t="s">
        <v>15</v>
      </c>
      <c r="D1242" t="s">
        <v>22</v>
      </c>
      <c r="E1242" t="s">
        <v>17</v>
      </c>
      <c r="F1242" t="s">
        <v>23</v>
      </c>
      <c r="G1242" t="s">
        <v>40</v>
      </c>
      <c r="H1242" t="s">
        <v>25</v>
      </c>
      <c r="I1242" s="1">
        <v>3</v>
      </c>
      <c r="J1242" s="2">
        <v>46177</v>
      </c>
      <c r="K1242" s="2">
        <v>46023</v>
      </c>
      <c r="L1242" s="1" t="str">
        <f t="shared" si="94"/>
        <v>qui</v>
      </c>
      <c r="M1242" s="1" t="str">
        <f t="shared" si="95"/>
        <v>jun</v>
      </c>
      <c r="N1242">
        <f t="shared" si="96"/>
        <v>2026</v>
      </c>
      <c r="O1242" s="2"/>
      <c r="P1242" t="str">
        <f t="shared" si="93"/>
        <v>122746177</v>
      </c>
    </row>
    <row r="1243" spans="1:16" x14ac:dyDescent="0.3">
      <c r="A1243">
        <v>1227</v>
      </c>
      <c r="B1243">
        <v>46</v>
      </c>
      <c r="C1243" t="s">
        <v>15</v>
      </c>
      <c r="D1243" t="s">
        <v>22</v>
      </c>
      <c r="E1243" t="s">
        <v>17</v>
      </c>
      <c r="F1243" t="s">
        <v>23</v>
      </c>
      <c r="G1243" t="s">
        <v>40</v>
      </c>
      <c r="H1243" t="s">
        <v>25</v>
      </c>
      <c r="I1243" s="1">
        <v>3</v>
      </c>
      <c r="J1243" s="2">
        <v>46087</v>
      </c>
      <c r="K1243" s="2">
        <v>46082</v>
      </c>
      <c r="L1243" s="1" t="str">
        <f t="shared" si="94"/>
        <v>sex</v>
      </c>
      <c r="M1243" s="1" t="str">
        <f t="shared" si="95"/>
        <v>mar</v>
      </c>
      <c r="N1243">
        <f t="shared" si="96"/>
        <v>2026</v>
      </c>
      <c r="O1243" s="2"/>
      <c r="P1243" t="str">
        <f t="shared" si="93"/>
        <v>122746087</v>
      </c>
    </row>
    <row r="1244" spans="1:16" x14ac:dyDescent="0.3">
      <c r="A1244">
        <v>1227</v>
      </c>
      <c r="B1244">
        <v>46</v>
      </c>
      <c r="C1244" t="s">
        <v>15</v>
      </c>
      <c r="D1244" t="s">
        <v>22</v>
      </c>
      <c r="E1244" t="s">
        <v>17</v>
      </c>
      <c r="F1244" t="s">
        <v>23</v>
      </c>
      <c r="G1244" t="s">
        <v>40</v>
      </c>
      <c r="H1244" t="s">
        <v>25</v>
      </c>
      <c r="I1244" s="1">
        <v>3</v>
      </c>
      <c r="J1244" s="2">
        <v>46100</v>
      </c>
      <c r="K1244" s="2">
        <v>46082</v>
      </c>
      <c r="L1244" s="1" t="str">
        <f t="shared" si="94"/>
        <v>qui</v>
      </c>
      <c r="M1244" s="1" t="str">
        <f t="shared" si="95"/>
        <v>mar</v>
      </c>
      <c r="N1244">
        <f t="shared" si="96"/>
        <v>2026</v>
      </c>
      <c r="O1244" s="2"/>
      <c r="P1244" t="str">
        <f t="shared" si="93"/>
        <v>122746100</v>
      </c>
    </row>
    <row r="1245" spans="1:16" x14ac:dyDescent="0.3">
      <c r="A1245">
        <v>1227</v>
      </c>
      <c r="B1245">
        <v>46</v>
      </c>
      <c r="C1245" t="s">
        <v>15</v>
      </c>
      <c r="D1245" t="s">
        <v>22</v>
      </c>
      <c r="E1245" t="s">
        <v>17</v>
      </c>
      <c r="F1245" t="s">
        <v>23</v>
      </c>
      <c r="G1245" t="s">
        <v>40</v>
      </c>
      <c r="H1245" t="s">
        <v>25</v>
      </c>
      <c r="I1245" s="1">
        <v>3</v>
      </c>
      <c r="J1245" s="2">
        <v>46103</v>
      </c>
      <c r="K1245" s="2">
        <v>46082</v>
      </c>
      <c r="L1245" s="1" t="str">
        <f t="shared" si="94"/>
        <v>dom</v>
      </c>
      <c r="M1245" s="1" t="str">
        <f t="shared" si="95"/>
        <v>mar</v>
      </c>
      <c r="N1245">
        <f t="shared" si="96"/>
        <v>2026</v>
      </c>
      <c r="O1245" s="2"/>
      <c r="P1245" t="str">
        <f t="shared" si="93"/>
        <v>122746103</v>
      </c>
    </row>
    <row r="1246" spans="1:16" x14ac:dyDescent="0.3">
      <c r="A1246">
        <v>1227</v>
      </c>
      <c r="B1246">
        <v>46</v>
      </c>
      <c r="C1246" t="s">
        <v>15</v>
      </c>
      <c r="D1246" t="s">
        <v>22</v>
      </c>
      <c r="E1246" t="s">
        <v>17</v>
      </c>
      <c r="F1246" t="s">
        <v>23</v>
      </c>
      <c r="G1246" t="s">
        <v>40</v>
      </c>
      <c r="H1246" t="s">
        <v>25</v>
      </c>
      <c r="I1246" s="1">
        <v>3</v>
      </c>
      <c r="J1246" s="2">
        <v>46170</v>
      </c>
      <c r="K1246" s="2">
        <v>46143</v>
      </c>
      <c r="L1246" s="1" t="s">
        <v>51</v>
      </c>
      <c r="M1246" s="1" t="s">
        <v>49</v>
      </c>
      <c r="N1246">
        <v>2025</v>
      </c>
      <c r="O1246" s="2"/>
      <c r="P1246" t="str">
        <f t="shared" si="93"/>
        <v>122746170</v>
      </c>
    </row>
    <row r="1247" spans="1:16" x14ac:dyDescent="0.3">
      <c r="A1247">
        <v>1228</v>
      </c>
      <c r="B1247">
        <v>49</v>
      </c>
      <c r="C1247" t="s">
        <v>26</v>
      </c>
      <c r="D1247" t="s">
        <v>27</v>
      </c>
      <c r="E1247" t="s">
        <v>17</v>
      </c>
      <c r="F1247" t="s">
        <v>18</v>
      </c>
      <c r="G1247" t="s">
        <v>40</v>
      </c>
      <c r="H1247" t="s">
        <v>25</v>
      </c>
      <c r="I1247" s="1">
        <v>3</v>
      </c>
      <c r="J1247" s="2">
        <v>45801</v>
      </c>
      <c r="K1247" s="2">
        <v>45778</v>
      </c>
      <c r="L1247" s="1" t="str">
        <f t="shared" ref="L1247:L1252" si="97">TEXT(J1247,"ddd")</f>
        <v>sáb</v>
      </c>
      <c r="M1247" s="1" t="str">
        <f t="shared" ref="M1247:M1252" si="98">TEXT($J1247,"mmm")</f>
        <v>mai</v>
      </c>
      <c r="N1247">
        <f t="shared" ref="N1247:N1252" si="99">YEAR(J1247)</f>
        <v>2025</v>
      </c>
      <c r="O1247" s="2"/>
      <c r="P1247" t="str">
        <f t="shared" si="93"/>
        <v>122845801</v>
      </c>
    </row>
    <row r="1248" spans="1:16" x14ac:dyDescent="0.3">
      <c r="A1248">
        <v>1228</v>
      </c>
      <c r="B1248">
        <v>49</v>
      </c>
      <c r="C1248" t="s">
        <v>26</v>
      </c>
      <c r="D1248" t="s">
        <v>27</v>
      </c>
      <c r="E1248" t="s">
        <v>17</v>
      </c>
      <c r="F1248" t="s">
        <v>18</v>
      </c>
      <c r="G1248" t="s">
        <v>40</v>
      </c>
      <c r="H1248" t="s">
        <v>25</v>
      </c>
      <c r="I1248" s="1">
        <v>3</v>
      </c>
      <c r="J1248" s="2">
        <v>45803</v>
      </c>
      <c r="K1248" s="2">
        <v>45778</v>
      </c>
      <c r="L1248" s="1" t="str">
        <f t="shared" si="97"/>
        <v>seg</v>
      </c>
      <c r="M1248" s="1" t="str">
        <f t="shared" si="98"/>
        <v>mai</v>
      </c>
      <c r="N1248">
        <f t="shared" si="99"/>
        <v>2025</v>
      </c>
      <c r="O1248" s="2"/>
      <c r="P1248" t="str">
        <f t="shared" si="93"/>
        <v>122845803</v>
      </c>
    </row>
    <row r="1249" spans="1:16" x14ac:dyDescent="0.3">
      <c r="A1249">
        <v>1228</v>
      </c>
      <c r="B1249">
        <v>49</v>
      </c>
      <c r="C1249" t="s">
        <v>26</v>
      </c>
      <c r="D1249" t="s">
        <v>27</v>
      </c>
      <c r="E1249" t="s">
        <v>17</v>
      </c>
      <c r="F1249" t="s">
        <v>18</v>
      </c>
      <c r="G1249" t="s">
        <v>41</v>
      </c>
      <c r="H1249" t="s">
        <v>25</v>
      </c>
      <c r="I1249" s="1">
        <v>3</v>
      </c>
      <c r="J1249" s="2">
        <v>46195</v>
      </c>
      <c r="K1249" s="2">
        <v>45809</v>
      </c>
      <c r="L1249" s="1" t="str">
        <f t="shared" si="97"/>
        <v>seg</v>
      </c>
      <c r="M1249" s="1" t="str">
        <f t="shared" si="98"/>
        <v>jun</v>
      </c>
      <c r="N1249">
        <f t="shared" si="99"/>
        <v>2026</v>
      </c>
      <c r="O1249" s="2"/>
      <c r="P1249" t="str">
        <f t="shared" si="93"/>
        <v>122846195</v>
      </c>
    </row>
    <row r="1250" spans="1:16" x14ac:dyDescent="0.3">
      <c r="A1250">
        <v>1228</v>
      </c>
      <c r="B1250">
        <v>49</v>
      </c>
      <c r="C1250" t="s">
        <v>26</v>
      </c>
      <c r="D1250" t="s">
        <v>27</v>
      </c>
      <c r="E1250" t="s">
        <v>17</v>
      </c>
      <c r="F1250" t="s">
        <v>18</v>
      </c>
      <c r="G1250" t="s">
        <v>40</v>
      </c>
      <c r="H1250" t="s">
        <v>25</v>
      </c>
      <c r="I1250" s="1">
        <v>3</v>
      </c>
      <c r="J1250" s="2">
        <v>46196</v>
      </c>
      <c r="K1250" s="2">
        <v>45809</v>
      </c>
      <c r="L1250" s="1" t="str">
        <f t="shared" si="97"/>
        <v>ter</v>
      </c>
      <c r="M1250" s="1" t="str">
        <f t="shared" si="98"/>
        <v>jun</v>
      </c>
      <c r="N1250">
        <f t="shared" si="99"/>
        <v>2026</v>
      </c>
      <c r="O1250" s="2"/>
      <c r="P1250" t="str">
        <f t="shared" si="93"/>
        <v>122846196</v>
      </c>
    </row>
    <row r="1251" spans="1:16" x14ac:dyDescent="0.3">
      <c r="A1251">
        <v>1228</v>
      </c>
      <c r="B1251">
        <v>49</v>
      </c>
      <c r="C1251" t="s">
        <v>26</v>
      </c>
      <c r="D1251" t="s">
        <v>27</v>
      </c>
      <c r="E1251" t="s">
        <v>17</v>
      </c>
      <c r="F1251" t="s">
        <v>18</v>
      </c>
      <c r="G1251" t="s">
        <v>40</v>
      </c>
      <c r="H1251" t="s">
        <v>25</v>
      </c>
      <c r="I1251" s="1">
        <v>3</v>
      </c>
      <c r="J1251" s="2">
        <v>45987</v>
      </c>
      <c r="K1251" s="2">
        <v>45962</v>
      </c>
      <c r="L1251" s="1" t="str">
        <f t="shared" si="97"/>
        <v>qua</v>
      </c>
      <c r="M1251" s="1" t="str">
        <f t="shared" si="98"/>
        <v>nov</v>
      </c>
      <c r="N1251">
        <f t="shared" si="99"/>
        <v>2025</v>
      </c>
      <c r="O1251" s="2"/>
      <c r="P1251" t="str">
        <f t="shared" si="93"/>
        <v>122845987</v>
      </c>
    </row>
    <row r="1252" spans="1:16" x14ac:dyDescent="0.3">
      <c r="A1252">
        <v>1228</v>
      </c>
      <c r="B1252">
        <v>49</v>
      </c>
      <c r="C1252" t="s">
        <v>26</v>
      </c>
      <c r="D1252" t="s">
        <v>27</v>
      </c>
      <c r="E1252" t="s">
        <v>17</v>
      </c>
      <c r="F1252" t="s">
        <v>18</v>
      </c>
      <c r="G1252" t="s">
        <v>40</v>
      </c>
      <c r="H1252" t="s">
        <v>25</v>
      </c>
      <c r="I1252" s="1">
        <v>3</v>
      </c>
      <c r="J1252" s="2">
        <v>46022</v>
      </c>
      <c r="K1252" s="2">
        <v>45992</v>
      </c>
      <c r="L1252" s="1" t="str">
        <f t="shared" si="97"/>
        <v>qua</v>
      </c>
      <c r="M1252" s="1" t="str">
        <f t="shared" si="98"/>
        <v>dez</v>
      </c>
      <c r="N1252">
        <f t="shared" si="99"/>
        <v>2025</v>
      </c>
      <c r="O1252" s="2"/>
      <c r="P1252" t="str">
        <f t="shared" si="93"/>
        <v>122846022</v>
      </c>
    </row>
    <row r="1253" spans="1:16" x14ac:dyDescent="0.3">
      <c r="A1253">
        <v>1228</v>
      </c>
      <c r="B1253">
        <v>49</v>
      </c>
      <c r="C1253" t="s">
        <v>26</v>
      </c>
      <c r="D1253" t="s">
        <v>27</v>
      </c>
      <c r="E1253" t="s">
        <v>17</v>
      </c>
      <c r="F1253" t="s">
        <v>18</v>
      </c>
      <c r="G1253" t="s">
        <v>40</v>
      </c>
      <c r="H1253" t="s">
        <v>25</v>
      </c>
      <c r="I1253" s="1">
        <v>3</v>
      </c>
      <c r="J1253" s="2">
        <v>46166</v>
      </c>
      <c r="K1253" s="2">
        <v>46143</v>
      </c>
      <c r="L1253" s="1" t="s">
        <v>54</v>
      </c>
      <c r="M1253" s="1" t="s">
        <v>49</v>
      </c>
      <c r="N1253">
        <v>2025</v>
      </c>
      <c r="O1253" s="2"/>
      <c r="P1253" t="str">
        <f t="shared" si="93"/>
        <v>122846166</v>
      </c>
    </row>
    <row r="1254" spans="1:16" x14ac:dyDescent="0.3">
      <c r="A1254">
        <v>1228</v>
      </c>
      <c r="B1254">
        <v>49</v>
      </c>
      <c r="C1254" t="s">
        <v>26</v>
      </c>
      <c r="D1254" t="s">
        <v>27</v>
      </c>
      <c r="E1254" t="s">
        <v>17</v>
      </c>
      <c r="F1254" t="s">
        <v>18</v>
      </c>
      <c r="G1254" t="s">
        <v>40</v>
      </c>
      <c r="H1254" t="s">
        <v>25</v>
      </c>
      <c r="I1254" s="1">
        <v>3</v>
      </c>
      <c r="J1254" s="2">
        <v>46168</v>
      </c>
      <c r="K1254" s="2">
        <v>46143</v>
      </c>
      <c r="L1254" s="1" t="s">
        <v>56</v>
      </c>
      <c r="M1254" s="1" t="s">
        <v>49</v>
      </c>
      <c r="N1254">
        <v>2025</v>
      </c>
      <c r="O1254" s="2"/>
      <c r="P1254" t="str">
        <f t="shared" si="93"/>
        <v>122846168</v>
      </c>
    </row>
    <row r="1255" spans="1:16" x14ac:dyDescent="0.3">
      <c r="A1255">
        <v>1229</v>
      </c>
      <c r="B1255">
        <v>52</v>
      </c>
      <c r="C1255" t="s">
        <v>26</v>
      </c>
      <c r="D1255" t="s">
        <v>16</v>
      </c>
      <c r="E1255" t="s">
        <v>17</v>
      </c>
      <c r="F1255" t="s">
        <v>18</v>
      </c>
      <c r="G1255" t="s">
        <v>41</v>
      </c>
      <c r="H1255" t="s">
        <v>25</v>
      </c>
      <c r="I1255" s="1">
        <v>2</v>
      </c>
      <c r="J1255" s="2">
        <v>46179</v>
      </c>
      <c r="K1255" s="2">
        <v>45809</v>
      </c>
      <c r="L1255" s="1" t="str">
        <f t="shared" ref="L1255:L1286" si="100">TEXT(J1255,"ddd")</f>
        <v>sáb</v>
      </c>
      <c r="M1255" s="1" t="str">
        <f t="shared" ref="M1255:M1286" si="101">TEXT($J1255,"mmm")</f>
        <v>jun</v>
      </c>
      <c r="N1255">
        <f t="shared" ref="N1255:N1286" si="102">YEAR(J1255)</f>
        <v>2026</v>
      </c>
      <c r="O1255" s="2"/>
      <c r="P1255" t="str">
        <f t="shared" si="93"/>
        <v>122946179</v>
      </c>
    </row>
    <row r="1256" spans="1:16" x14ac:dyDescent="0.3">
      <c r="A1256">
        <v>1229</v>
      </c>
      <c r="B1256">
        <v>52</v>
      </c>
      <c r="C1256" t="s">
        <v>26</v>
      </c>
      <c r="D1256" t="s">
        <v>16</v>
      </c>
      <c r="E1256" t="s">
        <v>17</v>
      </c>
      <c r="F1256" t="s">
        <v>18</v>
      </c>
      <c r="G1256" t="s">
        <v>42</v>
      </c>
      <c r="H1256" t="s">
        <v>25</v>
      </c>
      <c r="I1256" s="1">
        <v>2</v>
      </c>
      <c r="J1256" s="2">
        <v>46190</v>
      </c>
      <c r="K1256" s="2">
        <v>45809</v>
      </c>
      <c r="L1256" s="1" t="str">
        <f t="shared" si="100"/>
        <v>qua</v>
      </c>
      <c r="M1256" s="1" t="str">
        <f t="shared" si="101"/>
        <v>jun</v>
      </c>
      <c r="N1256">
        <f t="shared" si="102"/>
        <v>2026</v>
      </c>
      <c r="O1256" s="2"/>
      <c r="P1256" t="str">
        <f t="shared" si="93"/>
        <v>122946190</v>
      </c>
    </row>
    <row r="1257" spans="1:16" x14ac:dyDescent="0.3">
      <c r="A1257">
        <v>1229</v>
      </c>
      <c r="B1257">
        <v>52</v>
      </c>
      <c r="C1257" t="s">
        <v>26</v>
      </c>
      <c r="D1257" t="s">
        <v>16</v>
      </c>
      <c r="E1257" t="s">
        <v>17</v>
      </c>
      <c r="F1257" t="s">
        <v>18</v>
      </c>
      <c r="G1257" t="s">
        <v>41</v>
      </c>
      <c r="H1257" t="s">
        <v>25</v>
      </c>
      <c r="I1257" s="1">
        <v>2</v>
      </c>
      <c r="J1257" s="2">
        <v>45886</v>
      </c>
      <c r="K1257" s="2">
        <v>45870</v>
      </c>
      <c r="L1257" s="1" t="str">
        <f t="shared" si="100"/>
        <v>dom</v>
      </c>
      <c r="M1257" s="1" t="str">
        <f t="shared" si="101"/>
        <v>ago</v>
      </c>
      <c r="N1257">
        <f t="shared" si="102"/>
        <v>2025</v>
      </c>
      <c r="O1257" s="2"/>
      <c r="P1257" t="str">
        <f t="shared" si="93"/>
        <v>122945886</v>
      </c>
    </row>
    <row r="1258" spans="1:16" x14ac:dyDescent="0.3">
      <c r="A1258">
        <v>1229</v>
      </c>
      <c r="B1258">
        <v>52</v>
      </c>
      <c r="C1258" t="s">
        <v>26</v>
      </c>
      <c r="D1258" t="s">
        <v>16</v>
      </c>
      <c r="E1258" t="s">
        <v>17</v>
      </c>
      <c r="F1258" t="s">
        <v>18</v>
      </c>
      <c r="G1258" t="s">
        <v>41</v>
      </c>
      <c r="H1258" t="s">
        <v>25</v>
      </c>
      <c r="I1258" s="1">
        <v>2</v>
      </c>
      <c r="J1258" s="2">
        <v>45906</v>
      </c>
      <c r="K1258" s="2">
        <v>45901</v>
      </c>
      <c r="L1258" s="1" t="str">
        <f t="shared" si="100"/>
        <v>sáb</v>
      </c>
      <c r="M1258" s="1" t="str">
        <f t="shared" si="101"/>
        <v>set</v>
      </c>
      <c r="N1258">
        <f t="shared" si="102"/>
        <v>2025</v>
      </c>
      <c r="O1258" s="2"/>
      <c r="P1258" t="str">
        <f t="shared" si="93"/>
        <v>122945906</v>
      </c>
    </row>
    <row r="1259" spans="1:16" x14ac:dyDescent="0.3">
      <c r="A1259">
        <v>1229</v>
      </c>
      <c r="B1259">
        <v>52</v>
      </c>
      <c r="C1259" t="s">
        <v>26</v>
      </c>
      <c r="D1259" t="s">
        <v>16</v>
      </c>
      <c r="E1259" t="s">
        <v>17</v>
      </c>
      <c r="F1259" t="s">
        <v>18</v>
      </c>
      <c r="G1259" t="s">
        <v>41</v>
      </c>
      <c r="H1259" t="s">
        <v>25</v>
      </c>
      <c r="I1259" s="1">
        <v>2</v>
      </c>
      <c r="J1259" s="2">
        <v>46067</v>
      </c>
      <c r="K1259" s="2">
        <v>46054</v>
      </c>
      <c r="L1259" s="1" t="str">
        <f t="shared" si="100"/>
        <v>sáb</v>
      </c>
      <c r="M1259" s="1" t="str">
        <f t="shared" si="101"/>
        <v>fev</v>
      </c>
      <c r="N1259">
        <f t="shared" si="102"/>
        <v>2026</v>
      </c>
      <c r="O1259" s="2"/>
      <c r="P1259" t="str">
        <f t="shared" si="93"/>
        <v>122946067</v>
      </c>
    </row>
    <row r="1260" spans="1:16" x14ac:dyDescent="0.3">
      <c r="A1260">
        <v>1229</v>
      </c>
      <c r="B1260">
        <v>52</v>
      </c>
      <c r="C1260" t="s">
        <v>26</v>
      </c>
      <c r="D1260" t="s">
        <v>16</v>
      </c>
      <c r="E1260" t="s">
        <v>17</v>
      </c>
      <c r="F1260" t="s">
        <v>18</v>
      </c>
      <c r="G1260" t="s">
        <v>41</v>
      </c>
      <c r="H1260" t="s">
        <v>25</v>
      </c>
      <c r="I1260" s="1">
        <v>2</v>
      </c>
      <c r="J1260" s="2">
        <v>46103</v>
      </c>
      <c r="K1260" s="2">
        <v>46082</v>
      </c>
      <c r="L1260" s="1" t="str">
        <f t="shared" si="100"/>
        <v>dom</v>
      </c>
      <c r="M1260" s="1" t="str">
        <f t="shared" si="101"/>
        <v>mar</v>
      </c>
      <c r="N1260">
        <f t="shared" si="102"/>
        <v>2026</v>
      </c>
      <c r="O1260" s="2"/>
      <c r="P1260" t="str">
        <f t="shared" si="93"/>
        <v>122946103</v>
      </c>
    </row>
    <row r="1261" spans="1:16" x14ac:dyDescent="0.3">
      <c r="A1261">
        <v>1231</v>
      </c>
      <c r="B1261">
        <v>23</v>
      </c>
      <c r="C1261" t="s">
        <v>26</v>
      </c>
      <c r="D1261" t="s">
        <v>22</v>
      </c>
      <c r="E1261" t="s">
        <v>17</v>
      </c>
      <c r="F1261" t="s">
        <v>23</v>
      </c>
      <c r="G1261" t="s">
        <v>57</v>
      </c>
      <c r="H1261" t="s">
        <v>20</v>
      </c>
      <c r="I1261" s="1">
        <v>3</v>
      </c>
      <c r="J1261" s="2">
        <v>45700</v>
      </c>
      <c r="K1261" s="2">
        <v>45689</v>
      </c>
      <c r="L1261" s="1" t="str">
        <f t="shared" si="100"/>
        <v>qua</v>
      </c>
      <c r="M1261" s="1" t="str">
        <f t="shared" si="101"/>
        <v>fev</v>
      </c>
      <c r="N1261">
        <f t="shared" si="102"/>
        <v>2025</v>
      </c>
      <c r="O1261" s="2">
        <f>_xlfn.XLOOKUP(A1261,Colaboradores!$A:$A,Colaboradores!$S:$S,"",0)</f>
        <v>45759</v>
      </c>
      <c r="P1261" t="str">
        <f t="shared" si="93"/>
        <v>123145700</v>
      </c>
    </row>
    <row r="1262" spans="1:16" x14ac:dyDescent="0.3">
      <c r="A1262">
        <v>1231</v>
      </c>
      <c r="B1262">
        <v>23</v>
      </c>
      <c r="C1262" t="s">
        <v>26</v>
      </c>
      <c r="D1262" t="s">
        <v>22</v>
      </c>
      <c r="E1262" t="s">
        <v>17</v>
      </c>
      <c r="F1262" t="s">
        <v>23</v>
      </c>
      <c r="G1262" t="s">
        <v>43</v>
      </c>
      <c r="H1262" t="s">
        <v>20</v>
      </c>
      <c r="I1262" s="1">
        <v>3</v>
      </c>
      <c r="J1262" s="2">
        <v>45746</v>
      </c>
      <c r="K1262" s="2">
        <v>45717</v>
      </c>
      <c r="L1262" s="1" t="str">
        <f t="shared" si="100"/>
        <v>dom</v>
      </c>
      <c r="M1262" s="1" t="str">
        <f t="shared" si="101"/>
        <v>mar</v>
      </c>
      <c r="N1262">
        <f t="shared" si="102"/>
        <v>2025</v>
      </c>
      <c r="O1262" s="2">
        <f>_xlfn.XLOOKUP(A1262,Colaboradores!$A:$A,Colaboradores!$S:$S,"",0)</f>
        <v>45759</v>
      </c>
      <c r="P1262" t="str">
        <f t="shared" si="93"/>
        <v>123145746</v>
      </c>
    </row>
    <row r="1263" spans="1:16" x14ac:dyDescent="0.3">
      <c r="A1263">
        <v>1231</v>
      </c>
      <c r="B1263">
        <v>23</v>
      </c>
      <c r="C1263" t="s">
        <v>26</v>
      </c>
      <c r="D1263" t="s">
        <v>22</v>
      </c>
      <c r="E1263" t="s">
        <v>17</v>
      </c>
      <c r="F1263" t="s">
        <v>23</v>
      </c>
      <c r="G1263" t="s">
        <v>43</v>
      </c>
      <c r="H1263" t="s">
        <v>20</v>
      </c>
      <c r="I1263" s="1">
        <v>3</v>
      </c>
      <c r="J1263" s="2">
        <v>45748</v>
      </c>
      <c r="K1263" s="2">
        <v>45748</v>
      </c>
      <c r="L1263" s="1" t="str">
        <f t="shared" si="100"/>
        <v>ter</v>
      </c>
      <c r="M1263" s="1" t="str">
        <f t="shared" si="101"/>
        <v>abr</v>
      </c>
      <c r="N1263">
        <f t="shared" si="102"/>
        <v>2025</v>
      </c>
      <c r="O1263" s="2">
        <f>_xlfn.XLOOKUP(A1263,Colaboradores!$A:$A,Colaboradores!$S:$S,"",0)</f>
        <v>45759</v>
      </c>
      <c r="P1263" t="str">
        <f t="shared" si="93"/>
        <v>123145748</v>
      </c>
    </row>
    <row r="1264" spans="1:16" x14ac:dyDescent="0.3">
      <c r="A1264">
        <v>1231</v>
      </c>
      <c r="B1264">
        <v>23</v>
      </c>
      <c r="C1264" t="s">
        <v>26</v>
      </c>
      <c r="D1264" t="s">
        <v>22</v>
      </c>
      <c r="E1264" t="s">
        <v>17</v>
      </c>
      <c r="F1264" t="s">
        <v>23</v>
      </c>
      <c r="G1264" t="s">
        <v>43</v>
      </c>
      <c r="H1264" t="s">
        <v>20</v>
      </c>
      <c r="I1264" s="1">
        <v>3</v>
      </c>
      <c r="J1264" s="2">
        <v>45752</v>
      </c>
      <c r="K1264" s="2">
        <v>45748</v>
      </c>
      <c r="L1264" s="1" t="str">
        <f t="shared" si="100"/>
        <v>sáb</v>
      </c>
      <c r="M1264" s="1" t="str">
        <f t="shared" si="101"/>
        <v>abr</v>
      </c>
      <c r="N1264">
        <f t="shared" si="102"/>
        <v>2025</v>
      </c>
      <c r="O1264" s="2">
        <f>_xlfn.XLOOKUP(A1264,Colaboradores!$A:$A,Colaboradores!$S:$S,"",0)</f>
        <v>45759</v>
      </c>
      <c r="P1264" t="str">
        <f t="shared" si="93"/>
        <v>123145752</v>
      </c>
    </row>
    <row r="1265" spans="1:16" x14ac:dyDescent="0.3">
      <c r="A1265">
        <v>1231</v>
      </c>
      <c r="B1265">
        <v>23</v>
      </c>
      <c r="C1265" t="s">
        <v>26</v>
      </c>
      <c r="D1265" t="s">
        <v>22</v>
      </c>
      <c r="E1265" t="s">
        <v>17</v>
      </c>
      <c r="F1265" t="s">
        <v>23</v>
      </c>
      <c r="G1265" t="s">
        <v>43</v>
      </c>
      <c r="H1265" t="s">
        <v>20</v>
      </c>
      <c r="I1265" s="1">
        <v>3</v>
      </c>
      <c r="J1265" s="2">
        <v>45753</v>
      </c>
      <c r="K1265" s="2">
        <v>45748</v>
      </c>
      <c r="L1265" s="1" t="str">
        <f t="shared" si="100"/>
        <v>dom</v>
      </c>
      <c r="M1265" s="1" t="str">
        <f t="shared" si="101"/>
        <v>abr</v>
      </c>
      <c r="N1265">
        <f t="shared" si="102"/>
        <v>2025</v>
      </c>
      <c r="O1265" s="2">
        <f>_xlfn.XLOOKUP(A1265,Colaboradores!$A:$A,Colaboradores!$S:$S,"",0)</f>
        <v>45759</v>
      </c>
      <c r="P1265" t="str">
        <f t="shared" si="93"/>
        <v>123145753</v>
      </c>
    </row>
    <row r="1266" spans="1:16" x14ac:dyDescent="0.3">
      <c r="A1266">
        <v>1231</v>
      </c>
      <c r="B1266">
        <v>23</v>
      </c>
      <c r="C1266" t="s">
        <v>26</v>
      </c>
      <c r="D1266" t="s">
        <v>22</v>
      </c>
      <c r="E1266" t="s">
        <v>17</v>
      </c>
      <c r="F1266" t="s">
        <v>23</v>
      </c>
      <c r="G1266" t="s">
        <v>43</v>
      </c>
      <c r="H1266" t="s">
        <v>20</v>
      </c>
      <c r="I1266" s="1">
        <v>3</v>
      </c>
      <c r="J1266" s="2">
        <v>45754</v>
      </c>
      <c r="K1266" s="2">
        <v>45748</v>
      </c>
      <c r="L1266" s="1" t="str">
        <f t="shared" si="100"/>
        <v>seg</v>
      </c>
      <c r="M1266" s="1" t="str">
        <f t="shared" si="101"/>
        <v>abr</v>
      </c>
      <c r="N1266">
        <f t="shared" si="102"/>
        <v>2025</v>
      </c>
      <c r="O1266" s="2">
        <f>_xlfn.XLOOKUP(A1266,Colaboradores!$A:$A,Colaboradores!$S:$S,"",0)</f>
        <v>45759</v>
      </c>
      <c r="P1266" t="str">
        <f t="shared" si="93"/>
        <v>123145754</v>
      </c>
    </row>
    <row r="1267" spans="1:16" x14ac:dyDescent="0.3">
      <c r="A1267">
        <v>1231</v>
      </c>
      <c r="B1267">
        <v>23</v>
      </c>
      <c r="C1267" t="s">
        <v>26</v>
      </c>
      <c r="D1267" t="s">
        <v>22</v>
      </c>
      <c r="E1267" t="s">
        <v>17</v>
      </c>
      <c r="F1267" t="s">
        <v>23</v>
      </c>
      <c r="G1267" t="s">
        <v>43</v>
      </c>
      <c r="H1267" t="s">
        <v>20</v>
      </c>
      <c r="I1267" s="1">
        <v>3</v>
      </c>
      <c r="J1267" s="2">
        <v>46113</v>
      </c>
      <c r="L1267" s="1" t="str">
        <f t="shared" si="100"/>
        <v>qua</v>
      </c>
      <c r="M1267" s="1" t="str">
        <f t="shared" si="101"/>
        <v>abr</v>
      </c>
      <c r="N1267">
        <f t="shared" si="102"/>
        <v>2026</v>
      </c>
      <c r="P1267" t="str">
        <f t="shared" si="93"/>
        <v>123146113</v>
      </c>
    </row>
    <row r="1268" spans="1:16" x14ac:dyDescent="0.3">
      <c r="A1268">
        <v>1231</v>
      </c>
      <c r="B1268">
        <v>23</v>
      </c>
      <c r="C1268" t="s">
        <v>26</v>
      </c>
      <c r="D1268" t="s">
        <v>22</v>
      </c>
      <c r="E1268" t="s">
        <v>17</v>
      </c>
      <c r="F1268" t="s">
        <v>23</v>
      </c>
      <c r="G1268" t="s">
        <v>43</v>
      </c>
      <c r="H1268" t="s">
        <v>20</v>
      </c>
      <c r="I1268" s="1">
        <v>3</v>
      </c>
      <c r="J1268" s="2">
        <v>46114</v>
      </c>
      <c r="L1268" s="1" t="str">
        <f t="shared" si="100"/>
        <v>qui</v>
      </c>
      <c r="M1268" s="1" t="str">
        <f t="shared" si="101"/>
        <v>abr</v>
      </c>
      <c r="N1268">
        <f t="shared" si="102"/>
        <v>2026</v>
      </c>
      <c r="P1268" t="str">
        <f t="shared" si="93"/>
        <v>123146114</v>
      </c>
    </row>
    <row r="1269" spans="1:16" x14ac:dyDescent="0.3">
      <c r="A1269">
        <v>1231</v>
      </c>
      <c r="B1269">
        <v>23</v>
      </c>
      <c r="C1269" t="s">
        <v>26</v>
      </c>
      <c r="D1269" t="s">
        <v>22</v>
      </c>
      <c r="E1269" t="s">
        <v>17</v>
      </c>
      <c r="F1269" t="s">
        <v>23</v>
      </c>
      <c r="G1269" t="s">
        <v>43</v>
      </c>
      <c r="H1269" t="s">
        <v>20</v>
      </c>
      <c r="I1269" s="1">
        <v>3</v>
      </c>
      <c r="J1269" s="2">
        <v>46115</v>
      </c>
      <c r="L1269" s="1" t="str">
        <f t="shared" si="100"/>
        <v>sex</v>
      </c>
      <c r="M1269" s="1" t="str">
        <f t="shared" si="101"/>
        <v>abr</v>
      </c>
      <c r="N1269">
        <f t="shared" si="102"/>
        <v>2026</v>
      </c>
      <c r="P1269" t="str">
        <f t="shared" si="93"/>
        <v>123146115</v>
      </c>
    </row>
    <row r="1270" spans="1:16" x14ac:dyDescent="0.3">
      <c r="A1270">
        <v>1231</v>
      </c>
      <c r="B1270">
        <v>23</v>
      </c>
      <c r="C1270" t="s">
        <v>26</v>
      </c>
      <c r="D1270" t="s">
        <v>22</v>
      </c>
      <c r="E1270" t="s">
        <v>17</v>
      </c>
      <c r="F1270" t="s">
        <v>23</v>
      </c>
      <c r="G1270" t="s">
        <v>43</v>
      </c>
      <c r="H1270" t="s">
        <v>20</v>
      </c>
      <c r="I1270" s="1">
        <v>3</v>
      </c>
      <c r="J1270" s="2">
        <v>46116</v>
      </c>
      <c r="L1270" s="1" t="str">
        <f t="shared" si="100"/>
        <v>sáb</v>
      </c>
      <c r="M1270" s="1" t="str">
        <f t="shared" si="101"/>
        <v>abr</v>
      </c>
      <c r="N1270">
        <f t="shared" si="102"/>
        <v>2026</v>
      </c>
      <c r="P1270" t="str">
        <f t="shared" si="93"/>
        <v>123146116</v>
      </c>
    </row>
    <row r="1271" spans="1:16" x14ac:dyDescent="0.3">
      <c r="A1271">
        <v>1231</v>
      </c>
      <c r="B1271">
        <v>23</v>
      </c>
      <c r="C1271" t="s">
        <v>26</v>
      </c>
      <c r="D1271" t="s">
        <v>22</v>
      </c>
      <c r="E1271" t="s">
        <v>17</v>
      </c>
      <c r="F1271" t="s">
        <v>23</v>
      </c>
      <c r="G1271" t="s">
        <v>43</v>
      </c>
      <c r="H1271" t="s">
        <v>20</v>
      </c>
      <c r="I1271" s="1">
        <v>3</v>
      </c>
      <c r="J1271" s="2">
        <v>46117</v>
      </c>
      <c r="L1271" s="1" t="str">
        <f t="shared" si="100"/>
        <v>dom</v>
      </c>
      <c r="M1271" s="1" t="str">
        <f t="shared" si="101"/>
        <v>abr</v>
      </c>
      <c r="N1271">
        <f t="shared" si="102"/>
        <v>2026</v>
      </c>
      <c r="P1271" t="str">
        <f t="shared" si="93"/>
        <v>123146117</v>
      </c>
    </row>
    <row r="1272" spans="1:16" x14ac:dyDescent="0.3">
      <c r="A1272">
        <v>1231</v>
      </c>
      <c r="B1272">
        <v>23</v>
      </c>
      <c r="C1272" t="s">
        <v>26</v>
      </c>
      <c r="D1272" t="s">
        <v>22</v>
      </c>
      <c r="E1272" t="s">
        <v>17</v>
      </c>
      <c r="F1272" t="s">
        <v>23</v>
      </c>
      <c r="G1272" t="s">
        <v>43</v>
      </c>
      <c r="H1272" t="s">
        <v>20</v>
      </c>
      <c r="I1272" s="1">
        <v>3</v>
      </c>
      <c r="J1272" s="2">
        <v>46118</v>
      </c>
      <c r="L1272" s="1" t="str">
        <f t="shared" si="100"/>
        <v>seg</v>
      </c>
      <c r="M1272" s="1" t="str">
        <f t="shared" si="101"/>
        <v>abr</v>
      </c>
      <c r="N1272">
        <f t="shared" si="102"/>
        <v>2026</v>
      </c>
      <c r="P1272" t="str">
        <f t="shared" si="93"/>
        <v>123146118</v>
      </c>
    </row>
    <row r="1273" spans="1:16" x14ac:dyDescent="0.3">
      <c r="A1273">
        <v>1231</v>
      </c>
      <c r="B1273">
        <v>23</v>
      </c>
      <c r="C1273" t="s">
        <v>26</v>
      </c>
      <c r="D1273" t="s">
        <v>22</v>
      </c>
      <c r="E1273" t="s">
        <v>17</v>
      </c>
      <c r="F1273" t="s">
        <v>23</v>
      </c>
      <c r="G1273" t="s">
        <v>43</v>
      </c>
      <c r="H1273" t="s">
        <v>20</v>
      </c>
      <c r="I1273" s="1">
        <v>3</v>
      </c>
      <c r="J1273" s="2">
        <v>46119</v>
      </c>
      <c r="L1273" s="1" t="str">
        <f t="shared" si="100"/>
        <v>ter</v>
      </c>
      <c r="M1273" s="1" t="str">
        <f t="shared" si="101"/>
        <v>abr</v>
      </c>
      <c r="N1273">
        <f t="shared" si="102"/>
        <v>2026</v>
      </c>
      <c r="P1273" t="str">
        <f t="shared" si="93"/>
        <v>123146119</v>
      </c>
    </row>
    <row r="1274" spans="1:16" x14ac:dyDescent="0.3">
      <c r="A1274">
        <v>1231</v>
      </c>
      <c r="B1274">
        <v>23</v>
      </c>
      <c r="C1274" t="s">
        <v>26</v>
      </c>
      <c r="D1274" t="s">
        <v>22</v>
      </c>
      <c r="E1274" t="s">
        <v>17</v>
      </c>
      <c r="F1274" t="s">
        <v>23</v>
      </c>
      <c r="G1274" t="s">
        <v>43</v>
      </c>
      <c r="H1274" t="s">
        <v>20</v>
      </c>
      <c r="I1274" s="1">
        <v>3</v>
      </c>
      <c r="J1274" s="2">
        <v>46120</v>
      </c>
      <c r="L1274" s="1" t="str">
        <f t="shared" si="100"/>
        <v>qua</v>
      </c>
      <c r="M1274" s="1" t="str">
        <f t="shared" si="101"/>
        <v>abr</v>
      </c>
      <c r="N1274">
        <f t="shared" si="102"/>
        <v>2026</v>
      </c>
      <c r="P1274" t="str">
        <f t="shared" si="93"/>
        <v>123146120</v>
      </c>
    </row>
    <row r="1275" spans="1:16" x14ac:dyDescent="0.3">
      <c r="A1275">
        <v>1231</v>
      </c>
      <c r="B1275">
        <v>23</v>
      </c>
      <c r="C1275" t="s">
        <v>26</v>
      </c>
      <c r="D1275" t="s">
        <v>22</v>
      </c>
      <c r="E1275" t="s">
        <v>17</v>
      </c>
      <c r="F1275" t="s">
        <v>23</v>
      </c>
      <c r="G1275" t="s">
        <v>43</v>
      </c>
      <c r="H1275" t="s">
        <v>20</v>
      </c>
      <c r="I1275" s="1">
        <v>3</v>
      </c>
      <c r="J1275" s="2">
        <v>46121</v>
      </c>
      <c r="L1275" s="1" t="str">
        <f t="shared" si="100"/>
        <v>qui</v>
      </c>
      <c r="M1275" s="1" t="str">
        <f t="shared" si="101"/>
        <v>abr</v>
      </c>
      <c r="N1275">
        <f t="shared" si="102"/>
        <v>2026</v>
      </c>
      <c r="P1275" t="str">
        <f t="shared" si="93"/>
        <v>123146121</v>
      </c>
    </row>
    <row r="1276" spans="1:16" x14ac:dyDescent="0.3">
      <c r="A1276">
        <v>1231</v>
      </c>
      <c r="B1276">
        <v>23</v>
      </c>
      <c r="C1276" t="s">
        <v>26</v>
      </c>
      <c r="D1276" t="s">
        <v>22</v>
      </c>
      <c r="E1276" t="s">
        <v>17</v>
      </c>
      <c r="F1276" t="s">
        <v>23</v>
      </c>
      <c r="G1276" t="s">
        <v>43</v>
      </c>
      <c r="H1276" t="s">
        <v>20</v>
      </c>
      <c r="I1276" s="1">
        <v>3</v>
      </c>
      <c r="J1276" s="2">
        <v>46122</v>
      </c>
      <c r="L1276" s="1" t="str">
        <f t="shared" si="100"/>
        <v>sex</v>
      </c>
      <c r="M1276" s="1" t="str">
        <f t="shared" si="101"/>
        <v>abr</v>
      </c>
      <c r="N1276">
        <f t="shared" si="102"/>
        <v>2026</v>
      </c>
      <c r="P1276" t="str">
        <f t="shared" si="93"/>
        <v>123146122</v>
      </c>
    </row>
    <row r="1277" spans="1:16" x14ac:dyDescent="0.3">
      <c r="A1277">
        <v>1231</v>
      </c>
      <c r="B1277">
        <v>23</v>
      </c>
      <c r="C1277" t="s">
        <v>26</v>
      </c>
      <c r="D1277" t="s">
        <v>22</v>
      </c>
      <c r="E1277" t="s">
        <v>17</v>
      </c>
      <c r="F1277" t="s">
        <v>23</v>
      </c>
      <c r="G1277" t="s">
        <v>43</v>
      </c>
      <c r="H1277" t="s">
        <v>20</v>
      </c>
      <c r="I1277" s="1">
        <v>3</v>
      </c>
      <c r="J1277" s="2">
        <v>46123</v>
      </c>
      <c r="L1277" s="1" t="str">
        <f t="shared" si="100"/>
        <v>sáb</v>
      </c>
      <c r="M1277" s="1" t="str">
        <f t="shared" si="101"/>
        <v>abr</v>
      </c>
      <c r="N1277">
        <f t="shared" si="102"/>
        <v>2026</v>
      </c>
      <c r="P1277" t="str">
        <f t="shared" si="93"/>
        <v>123146123</v>
      </c>
    </row>
    <row r="1278" spans="1:16" x14ac:dyDescent="0.3">
      <c r="A1278">
        <v>1231</v>
      </c>
      <c r="B1278">
        <v>23</v>
      </c>
      <c r="C1278" t="s">
        <v>26</v>
      </c>
      <c r="D1278" t="s">
        <v>22</v>
      </c>
      <c r="E1278" t="s">
        <v>17</v>
      </c>
      <c r="F1278" t="s">
        <v>23</v>
      </c>
      <c r="G1278" t="s">
        <v>43</v>
      </c>
      <c r="H1278" t="s">
        <v>20</v>
      </c>
      <c r="I1278" s="1">
        <v>3</v>
      </c>
      <c r="J1278" s="2">
        <v>46124</v>
      </c>
      <c r="L1278" s="1" t="str">
        <f t="shared" si="100"/>
        <v>dom</v>
      </c>
      <c r="M1278" s="1" t="str">
        <f t="shared" si="101"/>
        <v>abr</v>
      </c>
      <c r="N1278">
        <f t="shared" si="102"/>
        <v>2026</v>
      </c>
      <c r="P1278" t="str">
        <f t="shared" si="93"/>
        <v>123146124</v>
      </c>
    </row>
    <row r="1279" spans="1:16" x14ac:dyDescent="0.3">
      <c r="A1279">
        <v>1231</v>
      </c>
      <c r="B1279">
        <v>23</v>
      </c>
      <c r="C1279" t="s">
        <v>26</v>
      </c>
      <c r="D1279" t="s">
        <v>22</v>
      </c>
      <c r="E1279" t="s">
        <v>17</v>
      </c>
      <c r="F1279" t="s">
        <v>23</v>
      </c>
      <c r="G1279" t="s">
        <v>43</v>
      </c>
      <c r="H1279" t="s">
        <v>20</v>
      </c>
      <c r="I1279" s="1">
        <v>3</v>
      </c>
      <c r="J1279" s="2">
        <v>46125</v>
      </c>
      <c r="L1279" s="1" t="str">
        <f t="shared" si="100"/>
        <v>seg</v>
      </c>
      <c r="M1279" s="1" t="str">
        <f t="shared" si="101"/>
        <v>abr</v>
      </c>
      <c r="N1279">
        <f t="shared" si="102"/>
        <v>2026</v>
      </c>
      <c r="P1279" t="str">
        <f t="shared" si="93"/>
        <v>123146125</v>
      </c>
    </row>
    <row r="1280" spans="1:16" x14ac:dyDescent="0.3">
      <c r="A1280">
        <v>1231</v>
      </c>
      <c r="B1280">
        <v>23</v>
      </c>
      <c r="C1280" t="s">
        <v>26</v>
      </c>
      <c r="D1280" t="s">
        <v>22</v>
      </c>
      <c r="E1280" t="s">
        <v>17</v>
      </c>
      <c r="F1280" t="s">
        <v>23</v>
      </c>
      <c r="G1280" t="s">
        <v>43</v>
      </c>
      <c r="H1280" t="s">
        <v>20</v>
      </c>
      <c r="I1280" s="1">
        <v>3</v>
      </c>
      <c r="J1280" s="2">
        <v>46126</v>
      </c>
      <c r="L1280" s="1" t="str">
        <f t="shared" si="100"/>
        <v>ter</v>
      </c>
      <c r="M1280" s="1" t="str">
        <f t="shared" si="101"/>
        <v>abr</v>
      </c>
      <c r="N1280">
        <f t="shared" si="102"/>
        <v>2026</v>
      </c>
      <c r="P1280" t="str">
        <f t="shared" si="93"/>
        <v>123146126</v>
      </c>
    </row>
    <row r="1281" spans="1:16" x14ac:dyDescent="0.3">
      <c r="A1281">
        <v>1231</v>
      </c>
      <c r="B1281">
        <v>23</v>
      </c>
      <c r="C1281" t="s">
        <v>26</v>
      </c>
      <c r="D1281" t="s">
        <v>22</v>
      </c>
      <c r="E1281" t="s">
        <v>17</v>
      </c>
      <c r="F1281" t="s">
        <v>23</v>
      </c>
      <c r="G1281" t="s">
        <v>43</v>
      </c>
      <c r="H1281" t="s">
        <v>20</v>
      </c>
      <c r="I1281" s="1">
        <v>3</v>
      </c>
      <c r="J1281" s="2">
        <v>46127</v>
      </c>
      <c r="L1281" s="1" t="str">
        <f t="shared" si="100"/>
        <v>qua</v>
      </c>
      <c r="M1281" s="1" t="str">
        <f t="shared" si="101"/>
        <v>abr</v>
      </c>
      <c r="N1281">
        <f t="shared" si="102"/>
        <v>2026</v>
      </c>
      <c r="P1281" t="str">
        <f t="shared" ref="P1281:P1344" si="103">CONCATENATE(A1281,J1281)</f>
        <v>123146127</v>
      </c>
    </row>
    <row r="1282" spans="1:16" x14ac:dyDescent="0.3">
      <c r="A1282">
        <v>1231</v>
      </c>
      <c r="B1282">
        <v>23</v>
      </c>
      <c r="C1282" t="s">
        <v>26</v>
      </c>
      <c r="D1282" t="s">
        <v>22</v>
      </c>
      <c r="E1282" t="s">
        <v>17</v>
      </c>
      <c r="F1282" t="s">
        <v>23</v>
      </c>
      <c r="G1282" t="s">
        <v>43</v>
      </c>
      <c r="H1282" t="s">
        <v>20</v>
      </c>
      <c r="I1282" s="1">
        <v>3</v>
      </c>
      <c r="J1282" s="2">
        <v>46128</v>
      </c>
      <c r="L1282" s="1" t="str">
        <f t="shared" si="100"/>
        <v>qui</v>
      </c>
      <c r="M1282" s="1" t="str">
        <f t="shared" si="101"/>
        <v>abr</v>
      </c>
      <c r="N1282">
        <f t="shared" si="102"/>
        <v>2026</v>
      </c>
      <c r="P1282" t="str">
        <f t="shared" si="103"/>
        <v>123146128</v>
      </c>
    </row>
    <row r="1283" spans="1:16" x14ac:dyDescent="0.3">
      <c r="A1283">
        <v>1231</v>
      </c>
      <c r="B1283">
        <v>23</v>
      </c>
      <c r="C1283" t="s">
        <v>26</v>
      </c>
      <c r="D1283" t="s">
        <v>22</v>
      </c>
      <c r="E1283" t="s">
        <v>17</v>
      </c>
      <c r="F1283" t="s">
        <v>23</v>
      </c>
      <c r="G1283" t="s">
        <v>43</v>
      </c>
      <c r="H1283" t="s">
        <v>20</v>
      </c>
      <c r="I1283" s="1">
        <v>3</v>
      </c>
      <c r="J1283" s="2">
        <v>46129</v>
      </c>
      <c r="L1283" s="1" t="str">
        <f t="shared" si="100"/>
        <v>sex</v>
      </c>
      <c r="M1283" s="1" t="str">
        <f t="shared" si="101"/>
        <v>abr</v>
      </c>
      <c r="N1283">
        <f t="shared" si="102"/>
        <v>2026</v>
      </c>
      <c r="P1283" t="str">
        <f t="shared" si="103"/>
        <v>123146129</v>
      </c>
    </row>
    <row r="1284" spans="1:16" x14ac:dyDescent="0.3">
      <c r="A1284">
        <v>1231</v>
      </c>
      <c r="B1284">
        <v>23</v>
      </c>
      <c r="C1284" t="s">
        <v>26</v>
      </c>
      <c r="D1284" t="s">
        <v>22</v>
      </c>
      <c r="E1284" t="s">
        <v>17</v>
      </c>
      <c r="F1284" t="s">
        <v>23</v>
      </c>
      <c r="G1284" t="s">
        <v>43</v>
      </c>
      <c r="H1284" t="s">
        <v>20</v>
      </c>
      <c r="I1284" s="1">
        <v>3</v>
      </c>
      <c r="J1284" s="2">
        <v>46130</v>
      </c>
      <c r="L1284" s="1" t="str">
        <f t="shared" si="100"/>
        <v>sáb</v>
      </c>
      <c r="M1284" s="1" t="str">
        <f t="shared" si="101"/>
        <v>abr</v>
      </c>
      <c r="N1284">
        <f t="shared" si="102"/>
        <v>2026</v>
      </c>
      <c r="P1284" t="str">
        <f t="shared" si="103"/>
        <v>123146130</v>
      </c>
    </row>
    <row r="1285" spans="1:16" x14ac:dyDescent="0.3">
      <c r="A1285">
        <v>1231</v>
      </c>
      <c r="B1285">
        <v>23</v>
      </c>
      <c r="C1285" t="s">
        <v>26</v>
      </c>
      <c r="D1285" t="s">
        <v>22</v>
      </c>
      <c r="E1285" t="s">
        <v>17</v>
      </c>
      <c r="F1285" t="s">
        <v>23</v>
      </c>
      <c r="G1285" t="s">
        <v>43</v>
      </c>
      <c r="H1285" t="s">
        <v>20</v>
      </c>
      <c r="I1285" s="1">
        <v>3</v>
      </c>
      <c r="J1285" s="2">
        <v>46131</v>
      </c>
      <c r="L1285" s="1" t="str">
        <f t="shared" si="100"/>
        <v>dom</v>
      </c>
      <c r="M1285" s="1" t="str">
        <f t="shared" si="101"/>
        <v>abr</v>
      </c>
      <c r="N1285">
        <f t="shared" si="102"/>
        <v>2026</v>
      </c>
      <c r="P1285" t="str">
        <f t="shared" si="103"/>
        <v>123146131</v>
      </c>
    </row>
    <row r="1286" spans="1:16" x14ac:dyDescent="0.3">
      <c r="A1286">
        <v>1231</v>
      </c>
      <c r="B1286">
        <v>23</v>
      </c>
      <c r="C1286" t="s">
        <v>26</v>
      </c>
      <c r="D1286" t="s">
        <v>22</v>
      </c>
      <c r="E1286" t="s">
        <v>17</v>
      </c>
      <c r="F1286" t="s">
        <v>23</v>
      </c>
      <c r="G1286" t="s">
        <v>43</v>
      </c>
      <c r="H1286" t="s">
        <v>20</v>
      </c>
      <c r="I1286" s="1">
        <v>3</v>
      </c>
      <c r="J1286" s="2">
        <v>46132</v>
      </c>
      <c r="L1286" s="1" t="str">
        <f t="shared" si="100"/>
        <v>seg</v>
      </c>
      <c r="M1286" s="1" t="str">
        <f t="shared" si="101"/>
        <v>abr</v>
      </c>
      <c r="N1286">
        <f t="shared" si="102"/>
        <v>2026</v>
      </c>
      <c r="P1286" t="str">
        <f t="shared" si="103"/>
        <v>123146132</v>
      </c>
    </row>
    <row r="1287" spans="1:16" x14ac:dyDescent="0.3">
      <c r="A1287">
        <v>1231</v>
      </c>
      <c r="B1287">
        <v>23</v>
      </c>
      <c r="C1287" t="s">
        <v>26</v>
      </c>
      <c r="D1287" t="s">
        <v>22</v>
      </c>
      <c r="E1287" t="s">
        <v>17</v>
      </c>
      <c r="F1287" t="s">
        <v>23</v>
      </c>
      <c r="G1287" t="s">
        <v>43</v>
      </c>
      <c r="H1287" t="s">
        <v>20</v>
      </c>
      <c r="I1287" s="1">
        <v>3</v>
      </c>
      <c r="J1287" s="2">
        <v>46133</v>
      </c>
      <c r="L1287" s="1" t="str">
        <f t="shared" ref="L1287:L1306" si="104">TEXT(J1287,"ddd")</f>
        <v>ter</v>
      </c>
      <c r="M1287" s="1" t="str">
        <f t="shared" ref="M1287:M1306" si="105">TEXT($J1287,"mmm")</f>
        <v>abr</v>
      </c>
      <c r="N1287">
        <f t="shared" ref="N1287:N1306" si="106">YEAR(J1287)</f>
        <v>2026</v>
      </c>
      <c r="P1287" t="str">
        <f t="shared" si="103"/>
        <v>123146133</v>
      </c>
    </row>
    <row r="1288" spans="1:16" x14ac:dyDescent="0.3">
      <c r="A1288">
        <v>1231</v>
      </c>
      <c r="B1288">
        <v>23</v>
      </c>
      <c r="C1288" t="s">
        <v>26</v>
      </c>
      <c r="D1288" t="s">
        <v>22</v>
      </c>
      <c r="E1288" t="s">
        <v>17</v>
      </c>
      <c r="F1288" t="s">
        <v>23</v>
      </c>
      <c r="G1288" t="s">
        <v>43</v>
      </c>
      <c r="H1288" t="s">
        <v>20</v>
      </c>
      <c r="I1288" s="1">
        <v>3</v>
      </c>
      <c r="J1288" s="2">
        <v>46134</v>
      </c>
      <c r="L1288" s="1" t="str">
        <f t="shared" si="104"/>
        <v>qua</v>
      </c>
      <c r="M1288" s="1" t="str">
        <f t="shared" si="105"/>
        <v>abr</v>
      </c>
      <c r="N1288">
        <f t="shared" si="106"/>
        <v>2026</v>
      </c>
      <c r="P1288" t="str">
        <f t="shared" si="103"/>
        <v>123146134</v>
      </c>
    </row>
    <row r="1289" spans="1:16" x14ac:dyDescent="0.3">
      <c r="A1289">
        <v>1231</v>
      </c>
      <c r="B1289">
        <v>23</v>
      </c>
      <c r="C1289" t="s">
        <v>26</v>
      </c>
      <c r="D1289" t="s">
        <v>22</v>
      </c>
      <c r="E1289" t="s">
        <v>17</v>
      </c>
      <c r="F1289" t="s">
        <v>23</v>
      </c>
      <c r="G1289" t="s">
        <v>43</v>
      </c>
      <c r="H1289" t="s">
        <v>20</v>
      </c>
      <c r="I1289" s="1">
        <v>3</v>
      </c>
      <c r="J1289" s="2">
        <v>46135</v>
      </c>
      <c r="L1289" s="1" t="str">
        <f t="shared" si="104"/>
        <v>qui</v>
      </c>
      <c r="M1289" s="1" t="str">
        <f t="shared" si="105"/>
        <v>abr</v>
      </c>
      <c r="N1289">
        <f t="shared" si="106"/>
        <v>2026</v>
      </c>
      <c r="P1289" t="str">
        <f t="shared" si="103"/>
        <v>123146135</v>
      </c>
    </row>
    <row r="1290" spans="1:16" x14ac:dyDescent="0.3">
      <c r="A1290">
        <v>1231</v>
      </c>
      <c r="B1290">
        <v>23</v>
      </c>
      <c r="C1290" t="s">
        <v>26</v>
      </c>
      <c r="D1290" t="s">
        <v>22</v>
      </c>
      <c r="E1290" t="s">
        <v>17</v>
      </c>
      <c r="F1290" t="s">
        <v>23</v>
      </c>
      <c r="G1290" t="s">
        <v>43</v>
      </c>
      <c r="H1290" t="s">
        <v>20</v>
      </c>
      <c r="I1290" s="1">
        <v>3</v>
      </c>
      <c r="J1290" s="2">
        <v>46136</v>
      </c>
      <c r="L1290" s="1" t="str">
        <f t="shared" si="104"/>
        <v>sex</v>
      </c>
      <c r="M1290" s="1" t="str">
        <f t="shared" si="105"/>
        <v>abr</v>
      </c>
      <c r="N1290">
        <f t="shared" si="106"/>
        <v>2026</v>
      </c>
      <c r="P1290" t="str">
        <f t="shared" si="103"/>
        <v>123146136</v>
      </c>
    </row>
    <row r="1291" spans="1:16" x14ac:dyDescent="0.3">
      <c r="A1291">
        <v>1231</v>
      </c>
      <c r="B1291">
        <v>23</v>
      </c>
      <c r="C1291" t="s">
        <v>26</v>
      </c>
      <c r="D1291" t="s">
        <v>22</v>
      </c>
      <c r="E1291" t="s">
        <v>17</v>
      </c>
      <c r="F1291" t="s">
        <v>23</v>
      </c>
      <c r="G1291" t="s">
        <v>43</v>
      </c>
      <c r="H1291" t="s">
        <v>20</v>
      </c>
      <c r="I1291" s="1">
        <v>3</v>
      </c>
      <c r="J1291" s="2">
        <v>46137</v>
      </c>
      <c r="L1291" s="1" t="str">
        <f t="shared" si="104"/>
        <v>sáb</v>
      </c>
      <c r="M1291" s="1" t="str">
        <f t="shared" si="105"/>
        <v>abr</v>
      </c>
      <c r="N1291">
        <f t="shared" si="106"/>
        <v>2026</v>
      </c>
      <c r="P1291" t="str">
        <f t="shared" si="103"/>
        <v>123146137</v>
      </c>
    </row>
    <row r="1292" spans="1:16" x14ac:dyDescent="0.3">
      <c r="A1292">
        <v>1231</v>
      </c>
      <c r="B1292">
        <v>23</v>
      </c>
      <c r="C1292" t="s">
        <v>26</v>
      </c>
      <c r="D1292" t="s">
        <v>22</v>
      </c>
      <c r="E1292" t="s">
        <v>17</v>
      </c>
      <c r="F1292" t="s">
        <v>23</v>
      </c>
      <c r="G1292" t="s">
        <v>43</v>
      </c>
      <c r="H1292" t="s">
        <v>20</v>
      </c>
      <c r="I1292" s="1">
        <v>3</v>
      </c>
      <c r="J1292" s="2">
        <v>46138</v>
      </c>
      <c r="L1292" s="1" t="str">
        <f t="shared" si="104"/>
        <v>dom</v>
      </c>
      <c r="M1292" s="1" t="str">
        <f t="shared" si="105"/>
        <v>abr</v>
      </c>
      <c r="N1292">
        <f t="shared" si="106"/>
        <v>2026</v>
      </c>
      <c r="P1292" t="str">
        <f t="shared" si="103"/>
        <v>123146138</v>
      </c>
    </row>
    <row r="1293" spans="1:16" x14ac:dyDescent="0.3">
      <c r="A1293">
        <v>1231</v>
      </c>
      <c r="B1293">
        <v>23</v>
      </c>
      <c r="C1293" t="s">
        <v>26</v>
      </c>
      <c r="D1293" t="s">
        <v>22</v>
      </c>
      <c r="E1293" t="s">
        <v>17</v>
      </c>
      <c r="F1293" t="s">
        <v>23</v>
      </c>
      <c r="G1293" t="s">
        <v>43</v>
      </c>
      <c r="H1293" t="s">
        <v>20</v>
      </c>
      <c r="I1293" s="1">
        <v>3</v>
      </c>
      <c r="J1293" s="2">
        <v>46139</v>
      </c>
      <c r="L1293" s="1" t="str">
        <f t="shared" si="104"/>
        <v>seg</v>
      </c>
      <c r="M1293" s="1" t="str">
        <f t="shared" si="105"/>
        <v>abr</v>
      </c>
      <c r="N1293">
        <f t="shared" si="106"/>
        <v>2026</v>
      </c>
      <c r="P1293" t="str">
        <f t="shared" si="103"/>
        <v>123146139</v>
      </c>
    </row>
    <row r="1294" spans="1:16" x14ac:dyDescent="0.3">
      <c r="A1294">
        <v>1231</v>
      </c>
      <c r="B1294">
        <v>23</v>
      </c>
      <c r="C1294" t="s">
        <v>26</v>
      </c>
      <c r="D1294" t="s">
        <v>22</v>
      </c>
      <c r="E1294" t="s">
        <v>17</v>
      </c>
      <c r="F1294" t="s">
        <v>23</v>
      </c>
      <c r="G1294" t="s">
        <v>43</v>
      </c>
      <c r="H1294" t="s">
        <v>20</v>
      </c>
      <c r="I1294" s="1">
        <v>3</v>
      </c>
      <c r="J1294" s="2">
        <v>46140</v>
      </c>
      <c r="L1294" s="1" t="str">
        <f t="shared" si="104"/>
        <v>ter</v>
      </c>
      <c r="M1294" s="1" t="str">
        <f t="shared" si="105"/>
        <v>abr</v>
      </c>
      <c r="N1294">
        <f t="shared" si="106"/>
        <v>2026</v>
      </c>
      <c r="P1294" t="str">
        <f t="shared" si="103"/>
        <v>123146140</v>
      </c>
    </row>
    <row r="1295" spans="1:16" x14ac:dyDescent="0.3">
      <c r="A1295">
        <v>1231</v>
      </c>
      <c r="B1295">
        <v>23</v>
      </c>
      <c r="C1295" t="s">
        <v>26</v>
      </c>
      <c r="D1295" t="s">
        <v>22</v>
      </c>
      <c r="E1295" t="s">
        <v>17</v>
      </c>
      <c r="F1295" t="s">
        <v>23</v>
      </c>
      <c r="G1295" t="s">
        <v>43</v>
      </c>
      <c r="H1295" t="s">
        <v>20</v>
      </c>
      <c r="I1295" s="1">
        <v>3</v>
      </c>
      <c r="J1295" s="2">
        <v>46141</v>
      </c>
      <c r="L1295" s="1" t="str">
        <f t="shared" si="104"/>
        <v>qua</v>
      </c>
      <c r="M1295" s="1" t="str">
        <f t="shared" si="105"/>
        <v>abr</v>
      </c>
      <c r="N1295">
        <f t="shared" si="106"/>
        <v>2026</v>
      </c>
      <c r="P1295" t="str">
        <f t="shared" si="103"/>
        <v>123146141</v>
      </c>
    </row>
    <row r="1296" spans="1:16" x14ac:dyDescent="0.3">
      <c r="A1296">
        <v>1231</v>
      </c>
      <c r="B1296">
        <v>23</v>
      </c>
      <c r="C1296" t="s">
        <v>26</v>
      </c>
      <c r="D1296" t="s">
        <v>22</v>
      </c>
      <c r="E1296" t="s">
        <v>17</v>
      </c>
      <c r="F1296" t="s">
        <v>23</v>
      </c>
      <c r="G1296" t="s">
        <v>43</v>
      </c>
      <c r="H1296" t="s">
        <v>20</v>
      </c>
      <c r="I1296" s="1">
        <v>3</v>
      </c>
      <c r="J1296" s="2">
        <v>46142</v>
      </c>
      <c r="L1296" s="1" t="str">
        <f t="shared" si="104"/>
        <v>qui</v>
      </c>
      <c r="M1296" s="1" t="str">
        <f t="shared" si="105"/>
        <v>abr</v>
      </c>
      <c r="N1296">
        <f t="shared" si="106"/>
        <v>2026</v>
      </c>
      <c r="P1296" t="str">
        <f t="shared" si="103"/>
        <v>123146142</v>
      </c>
    </row>
    <row r="1297" spans="1:16" x14ac:dyDescent="0.3">
      <c r="A1297">
        <v>1232</v>
      </c>
      <c r="B1297">
        <v>26</v>
      </c>
      <c r="C1297" t="s">
        <v>15</v>
      </c>
      <c r="D1297" t="s">
        <v>22</v>
      </c>
      <c r="E1297" t="s">
        <v>17</v>
      </c>
      <c r="F1297" t="s">
        <v>23</v>
      </c>
      <c r="G1297" t="s">
        <v>41</v>
      </c>
      <c r="H1297" t="s">
        <v>25</v>
      </c>
      <c r="I1297" s="1">
        <v>2</v>
      </c>
      <c r="J1297" s="2">
        <v>45860</v>
      </c>
      <c r="K1297" s="2">
        <v>45839</v>
      </c>
      <c r="L1297" s="1" t="str">
        <f t="shared" si="104"/>
        <v>ter</v>
      </c>
      <c r="M1297" s="1" t="str">
        <f t="shared" si="105"/>
        <v>jul</v>
      </c>
      <c r="N1297">
        <f t="shared" si="106"/>
        <v>2025</v>
      </c>
      <c r="O1297" s="2"/>
      <c r="P1297" t="str">
        <f t="shared" si="103"/>
        <v>123245860</v>
      </c>
    </row>
    <row r="1298" spans="1:16" x14ac:dyDescent="0.3">
      <c r="A1298">
        <v>1232</v>
      </c>
      <c r="B1298">
        <v>26</v>
      </c>
      <c r="C1298" t="s">
        <v>15</v>
      </c>
      <c r="D1298" t="s">
        <v>22</v>
      </c>
      <c r="E1298" t="s">
        <v>17</v>
      </c>
      <c r="F1298" t="s">
        <v>23</v>
      </c>
      <c r="G1298" t="s">
        <v>41</v>
      </c>
      <c r="H1298" t="s">
        <v>25</v>
      </c>
      <c r="I1298" s="1">
        <v>2</v>
      </c>
      <c r="J1298" s="2">
        <v>45902</v>
      </c>
      <c r="K1298" s="2">
        <v>45901</v>
      </c>
      <c r="L1298" s="1" t="str">
        <f t="shared" si="104"/>
        <v>ter</v>
      </c>
      <c r="M1298" s="1" t="str">
        <f t="shared" si="105"/>
        <v>set</v>
      </c>
      <c r="N1298">
        <f t="shared" si="106"/>
        <v>2025</v>
      </c>
      <c r="O1298" s="2"/>
      <c r="P1298" t="str">
        <f t="shared" si="103"/>
        <v>123245902</v>
      </c>
    </row>
    <row r="1299" spans="1:16" x14ac:dyDescent="0.3">
      <c r="A1299">
        <v>1232</v>
      </c>
      <c r="B1299">
        <v>26</v>
      </c>
      <c r="C1299" t="s">
        <v>15</v>
      </c>
      <c r="D1299" t="s">
        <v>22</v>
      </c>
      <c r="E1299" t="s">
        <v>17</v>
      </c>
      <c r="F1299" t="s">
        <v>23</v>
      </c>
      <c r="G1299" t="s">
        <v>41</v>
      </c>
      <c r="H1299" t="s">
        <v>25</v>
      </c>
      <c r="I1299" s="1">
        <v>2</v>
      </c>
      <c r="J1299" s="2">
        <v>45912</v>
      </c>
      <c r="K1299" s="2">
        <v>45901</v>
      </c>
      <c r="L1299" s="1" t="str">
        <f t="shared" si="104"/>
        <v>sex</v>
      </c>
      <c r="M1299" s="1" t="str">
        <f t="shared" si="105"/>
        <v>set</v>
      </c>
      <c r="N1299">
        <f t="shared" si="106"/>
        <v>2025</v>
      </c>
      <c r="O1299" s="2"/>
      <c r="P1299" t="str">
        <f t="shared" si="103"/>
        <v>123245912</v>
      </c>
    </row>
    <row r="1300" spans="1:16" x14ac:dyDescent="0.3">
      <c r="A1300">
        <v>1232</v>
      </c>
      <c r="B1300">
        <v>26</v>
      </c>
      <c r="C1300" t="s">
        <v>15</v>
      </c>
      <c r="D1300" t="s">
        <v>22</v>
      </c>
      <c r="E1300" t="s">
        <v>17</v>
      </c>
      <c r="F1300" t="s">
        <v>23</v>
      </c>
      <c r="G1300" t="s">
        <v>41</v>
      </c>
      <c r="H1300" t="s">
        <v>25</v>
      </c>
      <c r="I1300" s="1">
        <v>2</v>
      </c>
      <c r="J1300" s="2">
        <v>45954</v>
      </c>
      <c r="K1300" s="2">
        <v>45931</v>
      </c>
      <c r="L1300" s="1" t="str">
        <f t="shared" si="104"/>
        <v>sex</v>
      </c>
      <c r="M1300" s="1" t="str">
        <f t="shared" si="105"/>
        <v>out</v>
      </c>
      <c r="N1300">
        <f t="shared" si="106"/>
        <v>2025</v>
      </c>
      <c r="O1300" s="2"/>
      <c r="P1300" t="str">
        <f t="shared" si="103"/>
        <v>123245954</v>
      </c>
    </row>
    <row r="1301" spans="1:16" x14ac:dyDescent="0.3">
      <c r="A1301">
        <v>1232</v>
      </c>
      <c r="B1301">
        <v>26</v>
      </c>
      <c r="C1301" t="s">
        <v>15</v>
      </c>
      <c r="D1301" t="s">
        <v>22</v>
      </c>
      <c r="E1301" t="s">
        <v>17</v>
      </c>
      <c r="F1301" t="s">
        <v>23</v>
      </c>
      <c r="G1301" t="s">
        <v>41</v>
      </c>
      <c r="H1301" t="s">
        <v>25</v>
      </c>
      <c r="I1301" s="1">
        <v>2</v>
      </c>
      <c r="J1301" s="2">
        <v>46177</v>
      </c>
      <c r="K1301" s="2">
        <v>46023</v>
      </c>
      <c r="L1301" s="1" t="str">
        <f t="shared" si="104"/>
        <v>qui</v>
      </c>
      <c r="M1301" s="1" t="str">
        <f t="shared" si="105"/>
        <v>jun</v>
      </c>
      <c r="N1301">
        <f t="shared" si="106"/>
        <v>2026</v>
      </c>
      <c r="O1301" s="2"/>
      <c r="P1301" t="str">
        <f t="shared" si="103"/>
        <v>123246177</v>
      </c>
    </row>
    <row r="1302" spans="1:16" x14ac:dyDescent="0.3">
      <c r="A1302">
        <v>1232</v>
      </c>
      <c r="B1302">
        <v>26</v>
      </c>
      <c r="C1302" t="s">
        <v>15</v>
      </c>
      <c r="D1302" t="s">
        <v>22</v>
      </c>
      <c r="E1302" t="s">
        <v>17</v>
      </c>
      <c r="F1302" t="s">
        <v>23</v>
      </c>
      <c r="G1302" t="s">
        <v>41</v>
      </c>
      <c r="H1302" t="s">
        <v>25</v>
      </c>
      <c r="I1302" s="1">
        <v>2</v>
      </c>
      <c r="J1302" s="2">
        <v>46193</v>
      </c>
      <c r="K1302" s="2">
        <v>46023</v>
      </c>
      <c r="L1302" s="1" t="str">
        <f t="shared" si="104"/>
        <v>sáb</v>
      </c>
      <c r="M1302" s="1" t="str">
        <f t="shared" si="105"/>
        <v>jun</v>
      </c>
      <c r="N1302">
        <f t="shared" si="106"/>
        <v>2026</v>
      </c>
      <c r="O1302" s="2"/>
      <c r="P1302" t="str">
        <f t="shared" si="103"/>
        <v>123246193</v>
      </c>
    </row>
    <row r="1303" spans="1:16" x14ac:dyDescent="0.3">
      <c r="A1303">
        <v>1234</v>
      </c>
      <c r="B1303">
        <v>33</v>
      </c>
      <c r="C1303" t="s">
        <v>26</v>
      </c>
      <c r="D1303" t="s">
        <v>29</v>
      </c>
      <c r="E1303" t="s">
        <v>17</v>
      </c>
      <c r="F1303" t="s">
        <v>21</v>
      </c>
      <c r="G1303" t="s">
        <v>40</v>
      </c>
      <c r="H1303" t="s">
        <v>25</v>
      </c>
      <c r="I1303" s="1">
        <v>2</v>
      </c>
      <c r="J1303" s="2">
        <v>45785</v>
      </c>
      <c r="K1303" s="2">
        <v>45778</v>
      </c>
      <c r="L1303" s="1" t="str">
        <f t="shared" si="104"/>
        <v>qui</v>
      </c>
      <c r="M1303" s="1" t="str">
        <f t="shared" si="105"/>
        <v>mai</v>
      </c>
      <c r="N1303">
        <f t="shared" si="106"/>
        <v>2025</v>
      </c>
      <c r="O1303" s="2"/>
      <c r="P1303" t="str">
        <f t="shared" si="103"/>
        <v>123445785</v>
      </c>
    </row>
    <row r="1304" spans="1:16" x14ac:dyDescent="0.3">
      <c r="A1304">
        <v>1234</v>
      </c>
      <c r="B1304">
        <v>33</v>
      </c>
      <c r="C1304" t="s">
        <v>26</v>
      </c>
      <c r="D1304" t="s">
        <v>29</v>
      </c>
      <c r="E1304" t="s">
        <v>17</v>
      </c>
      <c r="F1304" t="s">
        <v>21</v>
      </c>
      <c r="G1304" t="s">
        <v>40</v>
      </c>
      <c r="H1304" t="s">
        <v>25</v>
      </c>
      <c r="I1304" s="1">
        <v>2</v>
      </c>
      <c r="J1304" s="2">
        <v>45859</v>
      </c>
      <c r="K1304" s="2">
        <v>45839</v>
      </c>
      <c r="L1304" s="1" t="str">
        <f t="shared" si="104"/>
        <v>seg</v>
      </c>
      <c r="M1304" s="1" t="str">
        <f t="shared" si="105"/>
        <v>jul</v>
      </c>
      <c r="N1304">
        <f t="shared" si="106"/>
        <v>2025</v>
      </c>
      <c r="O1304" s="2"/>
      <c r="P1304" t="str">
        <f t="shared" si="103"/>
        <v>123445859</v>
      </c>
    </row>
    <row r="1305" spans="1:16" x14ac:dyDescent="0.3">
      <c r="A1305">
        <v>1234</v>
      </c>
      <c r="B1305">
        <v>33</v>
      </c>
      <c r="C1305" t="s">
        <v>26</v>
      </c>
      <c r="D1305" t="s">
        <v>29</v>
      </c>
      <c r="E1305" t="s">
        <v>17</v>
      </c>
      <c r="F1305" t="s">
        <v>21</v>
      </c>
      <c r="G1305" t="s">
        <v>40</v>
      </c>
      <c r="H1305" t="s">
        <v>25</v>
      </c>
      <c r="I1305" s="1">
        <v>2</v>
      </c>
      <c r="J1305" s="2">
        <v>45865</v>
      </c>
      <c r="K1305" s="2">
        <v>45839</v>
      </c>
      <c r="L1305" s="1" t="str">
        <f t="shared" si="104"/>
        <v>dom</v>
      </c>
      <c r="M1305" s="1" t="str">
        <f t="shared" si="105"/>
        <v>jul</v>
      </c>
      <c r="N1305">
        <f t="shared" si="106"/>
        <v>2025</v>
      </c>
      <c r="O1305" s="2"/>
      <c r="P1305" t="str">
        <f t="shared" si="103"/>
        <v>123445865</v>
      </c>
    </row>
    <row r="1306" spans="1:16" x14ac:dyDescent="0.3">
      <c r="A1306">
        <v>1234</v>
      </c>
      <c r="B1306">
        <v>33</v>
      </c>
      <c r="C1306" t="s">
        <v>26</v>
      </c>
      <c r="D1306" t="s">
        <v>29</v>
      </c>
      <c r="E1306" t="s">
        <v>17</v>
      </c>
      <c r="F1306" t="s">
        <v>21</v>
      </c>
      <c r="G1306" t="s">
        <v>40</v>
      </c>
      <c r="H1306" t="s">
        <v>25</v>
      </c>
      <c r="I1306" s="1">
        <v>2</v>
      </c>
      <c r="J1306" s="2">
        <v>46099</v>
      </c>
      <c r="K1306" s="2">
        <v>46082</v>
      </c>
      <c r="L1306" s="1" t="str">
        <f t="shared" si="104"/>
        <v>qua</v>
      </c>
      <c r="M1306" s="1" t="str">
        <f t="shared" si="105"/>
        <v>mar</v>
      </c>
      <c r="N1306">
        <f t="shared" si="106"/>
        <v>2026</v>
      </c>
      <c r="O1306" s="2"/>
      <c r="P1306" t="str">
        <f t="shared" si="103"/>
        <v>123446099</v>
      </c>
    </row>
    <row r="1307" spans="1:16" x14ac:dyDescent="0.3">
      <c r="A1307">
        <v>1234</v>
      </c>
      <c r="B1307">
        <v>33</v>
      </c>
      <c r="C1307" t="s">
        <v>26</v>
      </c>
      <c r="D1307" t="s">
        <v>29</v>
      </c>
      <c r="E1307" t="s">
        <v>17</v>
      </c>
      <c r="F1307" t="s">
        <v>21</v>
      </c>
      <c r="G1307" t="s">
        <v>40</v>
      </c>
      <c r="H1307" t="s">
        <v>25</v>
      </c>
      <c r="I1307" s="1">
        <v>2</v>
      </c>
      <c r="J1307" s="2">
        <v>46150</v>
      </c>
      <c r="K1307" s="2">
        <v>46143</v>
      </c>
      <c r="L1307" s="1" t="s">
        <v>52</v>
      </c>
      <c r="M1307" s="1" t="s">
        <v>49</v>
      </c>
      <c r="N1307">
        <v>2025</v>
      </c>
      <c r="O1307" s="2"/>
      <c r="P1307" t="str">
        <f t="shared" si="103"/>
        <v>123446150</v>
      </c>
    </row>
    <row r="1308" spans="1:16" x14ac:dyDescent="0.3">
      <c r="A1308">
        <v>1235</v>
      </c>
      <c r="B1308">
        <v>41</v>
      </c>
      <c r="C1308" t="s">
        <v>26</v>
      </c>
      <c r="D1308" t="s">
        <v>31</v>
      </c>
      <c r="E1308" t="s">
        <v>34</v>
      </c>
      <c r="F1308" t="s">
        <v>21</v>
      </c>
      <c r="G1308" t="s">
        <v>41</v>
      </c>
      <c r="H1308" t="s">
        <v>20</v>
      </c>
      <c r="I1308" s="1">
        <v>1</v>
      </c>
      <c r="J1308" s="2">
        <v>45803</v>
      </c>
      <c r="K1308" s="2">
        <v>45778</v>
      </c>
      <c r="L1308" s="1" t="str">
        <f t="shared" ref="L1308:L1334" si="107">TEXT(J1308,"ddd")</f>
        <v>seg</v>
      </c>
      <c r="M1308" s="1" t="str">
        <f t="shared" ref="M1308:M1334" si="108">TEXT($J1308,"mmm")</f>
        <v>mai</v>
      </c>
      <c r="N1308">
        <f t="shared" ref="N1308:N1334" si="109">YEAR(J1308)</f>
        <v>2025</v>
      </c>
      <c r="O1308" s="2">
        <f>_xlfn.XLOOKUP(A1308,Colaboradores!$A:$A,Colaboradores!$S:$S,"",0)</f>
        <v>46155</v>
      </c>
      <c r="P1308" t="str">
        <f t="shared" si="103"/>
        <v>123545803</v>
      </c>
    </row>
    <row r="1309" spans="1:16" x14ac:dyDescent="0.3">
      <c r="A1309">
        <v>1235</v>
      </c>
      <c r="B1309">
        <v>41</v>
      </c>
      <c r="C1309" t="s">
        <v>26</v>
      </c>
      <c r="D1309" t="s">
        <v>31</v>
      </c>
      <c r="E1309" t="s">
        <v>34</v>
      </c>
      <c r="F1309" t="s">
        <v>21</v>
      </c>
      <c r="G1309" t="s">
        <v>41</v>
      </c>
      <c r="H1309" t="s">
        <v>20</v>
      </c>
      <c r="I1309" s="1">
        <v>1</v>
      </c>
      <c r="J1309" s="2">
        <v>45811</v>
      </c>
      <c r="K1309" s="2">
        <v>45809</v>
      </c>
      <c r="L1309" s="1" t="str">
        <f t="shared" si="107"/>
        <v>ter</v>
      </c>
      <c r="M1309" s="1" t="str">
        <f t="shared" si="108"/>
        <v>jun</v>
      </c>
      <c r="N1309">
        <f t="shared" si="109"/>
        <v>2025</v>
      </c>
      <c r="O1309" s="2">
        <f>_xlfn.XLOOKUP(A1309,Colaboradores!$A:$A,Colaboradores!$S:$S,"",0)</f>
        <v>46155</v>
      </c>
      <c r="P1309" t="str">
        <f t="shared" si="103"/>
        <v>123545811</v>
      </c>
    </row>
    <row r="1310" spans="1:16" x14ac:dyDescent="0.3">
      <c r="A1310">
        <v>1235</v>
      </c>
      <c r="B1310">
        <v>41</v>
      </c>
      <c r="C1310" t="s">
        <v>26</v>
      </c>
      <c r="D1310" t="s">
        <v>31</v>
      </c>
      <c r="E1310" t="s">
        <v>34</v>
      </c>
      <c r="F1310" t="s">
        <v>21</v>
      </c>
      <c r="G1310" t="s">
        <v>41</v>
      </c>
      <c r="H1310" t="s">
        <v>20</v>
      </c>
      <c r="I1310" s="1">
        <v>1</v>
      </c>
      <c r="J1310" s="2">
        <v>45961</v>
      </c>
      <c r="K1310" s="2">
        <v>45931</v>
      </c>
      <c r="L1310" s="1" t="str">
        <f t="shared" si="107"/>
        <v>sex</v>
      </c>
      <c r="M1310" s="1" t="str">
        <f t="shared" si="108"/>
        <v>out</v>
      </c>
      <c r="N1310">
        <f t="shared" si="109"/>
        <v>2025</v>
      </c>
      <c r="O1310" s="2">
        <f>_xlfn.XLOOKUP(A1310,Colaboradores!$A:$A,Colaboradores!$S:$S,"",0)</f>
        <v>46155</v>
      </c>
      <c r="P1310" t="str">
        <f t="shared" si="103"/>
        <v>123545961</v>
      </c>
    </row>
    <row r="1311" spans="1:16" x14ac:dyDescent="0.3">
      <c r="A1311">
        <v>1235</v>
      </c>
      <c r="B1311">
        <v>41</v>
      </c>
      <c r="C1311" t="s">
        <v>26</v>
      </c>
      <c r="D1311" t="s">
        <v>31</v>
      </c>
      <c r="E1311" t="s">
        <v>34</v>
      </c>
      <c r="F1311" t="s">
        <v>21</v>
      </c>
      <c r="G1311" t="s">
        <v>41</v>
      </c>
      <c r="H1311" t="s">
        <v>20</v>
      </c>
      <c r="I1311" s="1">
        <v>1</v>
      </c>
      <c r="J1311" s="2">
        <v>45968</v>
      </c>
      <c r="K1311" s="2">
        <v>45962</v>
      </c>
      <c r="L1311" s="1" t="str">
        <f t="shared" si="107"/>
        <v>sex</v>
      </c>
      <c r="M1311" s="1" t="str">
        <f t="shared" si="108"/>
        <v>nov</v>
      </c>
      <c r="N1311">
        <f t="shared" si="109"/>
        <v>2025</v>
      </c>
      <c r="O1311" s="2">
        <f>_xlfn.XLOOKUP(A1311,Colaboradores!$A:$A,Colaboradores!$S:$S,"",0)</f>
        <v>46155</v>
      </c>
      <c r="P1311" t="str">
        <f t="shared" si="103"/>
        <v>123545968</v>
      </c>
    </row>
    <row r="1312" spans="1:16" x14ac:dyDescent="0.3">
      <c r="A1312">
        <v>1235</v>
      </c>
      <c r="B1312">
        <v>41</v>
      </c>
      <c r="C1312" t="s">
        <v>26</v>
      </c>
      <c r="D1312" t="s">
        <v>31</v>
      </c>
      <c r="E1312" t="s">
        <v>34</v>
      </c>
      <c r="F1312" t="s">
        <v>21</v>
      </c>
      <c r="G1312" t="s">
        <v>42</v>
      </c>
      <c r="H1312" t="s">
        <v>20</v>
      </c>
      <c r="I1312" s="1">
        <v>1</v>
      </c>
      <c r="J1312" s="2">
        <v>46011</v>
      </c>
      <c r="K1312" s="2">
        <v>45992</v>
      </c>
      <c r="L1312" s="1" t="str">
        <f t="shared" si="107"/>
        <v>sáb</v>
      </c>
      <c r="M1312" s="1" t="str">
        <f t="shared" si="108"/>
        <v>dez</v>
      </c>
      <c r="N1312">
        <f t="shared" si="109"/>
        <v>2025</v>
      </c>
      <c r="O1312" s="2">
        <f>_xlfn.XLOOKUP(A1312,Colaboradores!$A:$A,Colaboradores!$S:$S,"",0)</f>
        <v>46155</v>
      </c>
      <c r="P1312" t="str">
        <f t="shared" si="103"/>
        <v>123546011</v>
      </c>
    </row>
    <row r="1313" spans="1:16" x14ac:dyDescent="0.3">
      <c r="A1313">
        <v>1235</v>
      </c>
      <c r="B1313">
        <v>41</v>
      </c>
      <c r="C1313" t="s">
        <v>26</v>
      </c>
      <c r="D1313" t="s">
        <v>31</v>
      </c>
      <c r="E1313" t="s">
        <v>34</v>
      </c>
      <c r="F1313" t="s">
        <v>21</v>
      </c>
      <c r="G1313" t="s">
        <v>42</v>
      </c>
      <c r="H1313" t="s">
        <v>20</v>
      </c>
      <c r="I1313" s="1">
        <v>1</v>
      </c>
      <c r="J1313" s="2">
        <v>46076</v>
      </c>
      <c r="K1313" s="2">
        <v>46054</v>
      </c>
      <c r="L1313" s="1" t="str">
        <f t="shared" si="107"/>
        <v>seg</v>
      </c>
      <c r="M1313" s="1" t="str">
        <f t="shared" si="108"/>
        <v>fev</v>
      </c>
      <c r="N1313">
        <f t="shared" si="109"/>
        <v>2026</v>
      </c>
      <c r="O1313" s="2">
        <f>_xlfn.XLOOKUP(A1313,Colaboradores!$A:$A,Colaboradores!$S:$S,"",0)</f>
        <v>46155</v>
      </c>
      <c r="P1313" t="str">
        <f t="shared" si="103"/>
        <v>123546076</v>
      </c>
    </row>
    <row r="1314" spans="1:16" x14ac:dyDescent="0.3">
      <c r="A1314">
        <v>1237</v>
      </c>
      <c r="B1314">
        <v>21</v>
      </c>
      <c r="C1314" t="s">
        <v>15</v>
      </c>
      <c r="D1314" t="s">
        <v>16</v>
      </c>
      <c r="E1314" t="s">
        <v>17</v>
      </c>
      <c r="F1314" t="s">
        <v>18</v>
      </c>
      <c r="G1314" t="s">
        <v>41</v>
      </c>
      <c r="H1314" t="s">
        <v>25</v>
      </c>
      <c r="I1314" s="1">
        <v>2</v>
      </c>
      <c r="J1314" s="2">
        <v>45854</v>
      </c>
      <c r="K1314" s="2">
        <v>45839</v>
      </c>
      <c r="L1314" s="1" t="str">
        <f t="shared" si="107"/>
        <v>qua</v>
      </c>
      <c r="M1314" s="1" t="str">
        <f t="shared" si="108"/>
        <v>jul</v>
      </c>
      <c r="N1314">
        <f t="shared" si="109"/>
        <v>2025</v>
      </c>
      <c r="O1314" s="2"/>
      <c r="P1314" t="str">
        <f t="shared" si="103"/>
        <v>123745854</v>
      </c>
    </row>
    <row r="1315" spans="1:16" x14ac:dyDescent="0.3">
      <c r="A1315">
        <v>1237</v>
      </c>
      <c r="B1315">
        <v>21</v>
      </c>
      <c r="C1315" t="s">
        <v>15</v>
      </c>
      <c r="D1315" t="s">
        <v>16</v>
      </c>
      <c r="E1315" t="s">
        <v>17</v>
      </c>
      <c r="F1315" t="s">
        <v>18</v>
      </c>
      <c r="G1315" t="s">
        <v>41</v>
      </c>
      <c r="H1315" t="s">
        <v>25</v>
      </c>
      <c r="I1315" s="1">
        <v>2</v>
      </c>
      <c r="J1315" s="2">
        <v>45874</v>
      </c>
      <c r="K1315" s="2">
        <v>45870</v>
      </c>
      <c r="L1315" s="1" t="str">
        <f t="shared" si="107"/>
        <v>ter</v>
      </c>
      <c r="M1315" s="1" t="str">
        <f t="shared" si="108"/>
        <v>ago</v>
      </c>
      <c r="N1315">
        <f t="shared" si="109"/>
        <v>2025</v>
      </c>
      <c r="O1315" s="2"/>
      <c r="P1315" t="str">
        <f t="shared" si="103"/>
        <v>123745874</v>
      </c>
    </row>
    <row r="1316" spans="1:16" x14ac:dyDescent="0.3">
      <c r="A1316">
        <v>1237</v>
      </c>
      <c r="B1316">
        <v>21</v>
      </c>
      <c r="C1316" t="s">
        <v>15</v>
      </c>
      <c r="D1316" t="s">
        <v>16</v>
      </c>
      <c r="E1316" t="s">
        <v>17</v>
      </c>
      <c r="F1316" t="s">
        <v>18</v>
      </c>
      <c r="G1316" t="s">
        <v>41</v>
      </c>
      <c r="H1316" t="s">
        <v>25</v>
      </c>
      <c r="I1316" s="1">
        <v>2</v>
      </c>
      <c r="J1316" s="2">
        <v>45910</v>
      </c>
      <c r="K1316" s="2">
        <v>45901</v>
      </c>
      <c r="L1316" s="1" t="str">
        <f t="shared" si="107"/>
        <v>qua</v>
      </c>
      <c r="M1316" s="1" t="str">
        <f t="shared" si="108"/>
        <v>set</v>
      </c>
      <c r="N1316">
        <f t="shared" si="109"/>
        <v>2025</v>
      </c>
      <c r="O1316" s="2"/>
      <c r="P1316" t="str">
        <f t="shared" si="103"/>
        <v>123745910</v>
      </c>
    </row>
    <row r="1317" spans="1:16" x14ac:dyDescent="0.3">
      <c r="A1317">
        <v>1237</v>
      </c>
      <c r="B1317">
        <v>21</v>
      </c>
      <c r="C1317" t="s">
        <v>15</v>
      </c>
      <c r="D1317" t="s">
        <v>16</v>
      </c>
      <c r="E1317" t="s">
        <v>17</v>
      </c>
      <c r="F1317" t="s">
        <v>18</v>
      </c>
      <c r="G1317" t="s">
        <v>41</v>
      </c>
      <c r="H1317" t="s">
        <v>25</v>
      </c>
      <c r="I1317" s="1">
        <v>2</v>
      </c>
      <c r="J1317" s="2">
        <v>45967</v>
      </c>
      <c r="K1317" s="2">
        <v>45962</v>
      </c>
      <c r="L1317" s="1" t="str">
        <f t="shared" si="107"/>
        <v>qui</v>
      </c>
      <c r="M1317" s="1" t="str">
        <f t="shared" si="108"/>
        <v>nov</v>
      </c>
      <c r="N1317">
        <f t="shared" si="109"/>
        <v>2025</v>
      </c>
      <c r="O1317" s="2"/>
      <c r="P1317" t="str">
        <f t="shared" si="103"/>
        <v>123745967</v>
      </c>
    </row>
    <row r="1318" spans="1:16" x14ac:dyDescent="0.3">
      <c r="A1318">
        <v>1237</v>
      </c>
      <c r="B1318">
        <v>21</v>
      </c>
      <c r="C1318" t="s">
        <v>15</v>
      </c>
      <c r="D1318" t="s">
        <v>16</v>
      </c>
      <c r="E1318" t="s">
        <v>17</v>
      </c>
      <c r="F1318" t="s">
        <v>18</v>
      </c>
      <c r="G1318" t="s">
        <v>41</v>
      </c>
      <c r="H1318" t="s">
        <v>25</v>
      </c>
      <c r="I1318" s="1">
        <v>2</v>
      </c>
      <c r="J1318" s="2">
        <v>46012</v>
      </c>
      <c r="K1318" s="2">
        <v>45992</v>
      </c>
      <c r="L1318" s="1" t="str">
        <f t="shared" si="107"/>
        <v>dom</v>
      </c>
      <c r="M1318" s="1" t="str">
        <f t="shared" si="108"/>
        <v>dez</v>
      </c>
      <c r="N1318">
        <f t="shared" si="109"/>
        <v>2025</v>
      </c>
      <c r="O1318" s="2"/>
      <c r="P1318" t="str">
        <f t="shared" si="103"/>
        <v>123746012</v>
      </c>
    </row>
    <row r="1319" spans="1:16" x14ac:dyDescent="0.3">
      <c r="A1319">
        <v>1237</v>
      </c>
      <c r="B1319">
        <v>21</v>
      </c>
      <c r="C1319" t="s">
        <v>15</v>
      </c>
      <c r="D1319" t="s">
        <v>16</v>
      </c>
      <c r="E1319" t="s">
        <v>17</v>
      </c>
      <c r="F1319" t="s">
        <v>18</v>
      </c>
      <c r="G1319" t="s">
        <v>41</v>
      </c>
      <c r="H1319" t="s">
        <v>25</v>
      </c>
      <c r="I1319" s="1">
        <v>2</v>
      </c>
      <c r="J1319" s="2">
        <v>46095</v>
      </c>
      <c r="K1319" s="2">
        <v>46082</v>
      </c>
      <c r="L1319" s="1" t="str">
        <f t="shared" si="107"/>
        <v>sáb</v>
      </c>
      <c r="M1319" s="1" t="str">
        <f t="shared" si="108"/>
        <v>mar</v>
      </c>
      <c r="N1319">
        <f t="shared" si="109"/>
        <v>2026</v>
      </c>
      <c r="O1319" s="2"/>
      <c r="P1319" t="str">
        <f t="shared" si="103"/>
        <v>123746095</v>
      </c>
    </row>
    <row r="1320" spans="1:16" x14ac:dyDescent="0.3">
      <c r="A1320">
        <v>1239</v>
      </c>
      <c r="B1320">
        <v>32</v>
      </c>
      <c r="C1320" t="s">
        <v>26</v>
      </c>
      <c r="D1320" t="s">
        <v>27</v>
      </c>
      <c r="E1320" t="s">
        <v>17</v>
      </c>
      <c r="F1320" t="s">
        <v>21</v>
      </c>
      <c r="G1320" t="s">
        <v>41</v>
      </c>
      <c r="H1320" t="s">
        <v>20</v>
      </c>
      <c r="I1320" s="1">
        <v>1</v>
      </c>
      <c r="J1320" s="2">
        <v>45783</v>
      </c>
      <c r="K1320" s="2">
        <v>45778</v>
      </c>
      <c r="L1320" s="1" t="str">
        <f t="shared" si="107"/>
        <v>ter</v>
      </c>
      <c r="M1320" s="1" t="str">
        <f t="shared" si="108"/>
        <v>mai</v>
      </c>
      <c r="N1320">
        <f t="shared" si="109"/>
        <v>2025</v>
      </c>
      <c r="O1320" s="2">
        <f>_xlfn.XLOOKUP(A1320,Colaboradores!$A:$A,Colaboradores!$S:$S,"",0)</f>
        <v>46195</v>
      </c>
      <c r="P1320" t="str">
        <f t="shared" si="103"/>
        <v>123945783</v>
      </c>
    </row>
    <row r="1321" spans="1:16" x14ac:dyDescent="0.3">
      <c r="A1321">
        <v>1239</v>
      </c>
      <c r="B1321">
        <v>32</v>
      </c>
      <c r="C1321" t="s">
        <v>26</v>
      </c>
      <c r="D1321" t="s">
        <v>27</v>
      </c>
      <c r="E1321" t="s">
        <v>17</v>
      </c>
      <c r="F1321" t="s">
        <v>21</v>
      </c>
      <c r="G1321" t="s">
        <v>41</v>
      </c>
      <c r="H1321" t="s">
        <v>20</v>
      </c>
      <c r="I1321" s="1">
        <v>1</v>
      </c>
      <c r="J1321" s="2">
        <v>45836</v>
      </c>
      <c r="K1321" s="2">
        <v>45809</v>
      </c>
      <c r="L1321" s="1" t="str">
        <f t="shared" si="107"/>
        <v>sáb</v>
      </c>
      <c r="M1321" s="1" t="str">
        <f t="shared" si="108"/>
        <v>jun</v>
      </c>
      <c r="N1321">
        <f t="shared" si="109"/>
        <v>2025</v>
      </c>
      <c r="O1321" s="2">
        <f>_xlfn.XLOOKUP(A1321,Colaboradores!$A:$A,Colaboradores!$S:$S,"",0)</f>
        <v>46195</v>
      </c>
      <c r="P1321" t="str">
        <f t="shared" si="103"/>
        <v>123945836</v>
      </c>
    </row>
    <row r="1322" spans="1:16" x14ac:dyDescent="0.3">
      <c r="A1322">
        <v>1239</v>
      </c>
      <c r="B1322">
        <v>32</v>
      </c>
      <c r="C1322" t="s">
        <v>26</v>
      </c>
      <c r="D1322" t="s">
        <v>27</v>
      </c>
      <c r="E1322" t="s">
        <v>17</v>
      </c>
      <c r="F1322" t="s">
        <v>21</v>
      </c>
      <c r="G1322" t="s">
        <v>41</v>
      </c>
      <c r="H1322" t="s">
        <v>20</v>
      </c>
      <c r="I1322" s="1">
        <v>1</v>
      </c>
      <c r="J1322" s="2">
        <v>45848</v>
      </c>
      <c r="K1322" s="2">
        <v>45839</v>
      </c>
      <c r="L1322" s="1" t="str">
        <f t="shared" si="107"/>
        <v>qui</v>
      </c>
      <c r="M1322" s="1" t="str">
        <f t="shared" si="108"/>
        <v>jul</v>
      </c>
      <c r="N1322">
        <f t="shared" si="109"/>
        <v>2025</v>
      </c>
      <c r="O1322" s="2">
        <f>_xlfn.XLOOKUP(A1322,Colaboradores!$A:$A,Colaboradores!$S:$S,"",0)</f>
        <v>46195</v>
      </c>
      <c r="P1322" t="str">
        <f t="shared" si="103"/>
        <v>123945848</v>
      </c>
    </row>
    <row r="1323" spans="1:16" x14ac:dyDescent="0.3">
      <c r="A1323">
        <v>1239</v>
      </c>
      <c r="B1323">
        <v>32</v>
      </c>
      <c r="C1323" t="s">
        <v>26</v>
      </c>
      <c r="D1323" t="s">
        <v>27</v>
      </c>
      <c r="E1323" t="s">
        <v>17</v>
      </c>
      <c r="F1323" t="s">
        <v>21</v>
      </c>
      <c r="G1323" t="s">
        <v>44</v>
      </c>
      <c r="H1323" t="s">
        <v>20</v>
      </c>
      <c r="I1323" s="1">
        <v>1</v>
      </c>
      <c r="J1323" s="2">
        <v>45880</v>
      </c>
      <c r="K1323" s="2">
        <v>45870</v>
      </c>
      <c r="L1323" s="1" t="str">
        <f t="shared" si="107"/>
        <v>seg</v>
      </c>
      <c r="M1323" s="1" t="str">
        <f t="shared" si="108"/>
        <v>ago</v>
      </c>
      <c r="N1323">
        <f t="shared" si="109"/>
        <v>2025</v>
      </c>
      <c r="O1323" s="2">
        <f>_xlfn.XLOOKUP(A1323,Colaboradores!$A:$A,Colaboradores!$S:$S,"",0)</f>
        <v>46195</v>
      </c>
      <c r="P1323" t="str">
        <f t="shared" si="103"/>
        <v>123945880</v>
      </c>
    </row>
    <row r="1324" spans="1:16" x14ac:dyDescent="0.3">
      <c r="A1324">
        <v>1239</v>
      </c>
      <c r="B1324">
        <v>32</v>
      </c>
      <c r="C1324" t="s">
        <v>26</v>
      </c>
      <c r="D1324" t="s">
        <v>27</v>
      </c>
      <c r="E1324" t="s">
        <v>17</v>
      </c>
      <c r="F1324" t="s">
        <v>21</v>
      </c>
      <c r="G1324" t="s">
        <v>41</v>
      </c>
      <c r="H1324" t="s">
        <v>20</v>
      </c>
      <c r="I1324" s="1">
        <v>1</v>
      </c>
      <c r="J1324" s="2">
        <v>46183</v>
      </c>
      <c r="K1324" s="2">
        <v>46023</v>
      </c>
      <c r="L1324" s="1" t="str">
        <f t="shared" si="107"/>
        <v>qua</v>
      </c>
      <c r="M1324" s="1" t="str">
        <f t="shared" si="108"/>
        <v>jun</v>
      </c>
      <c r="N1324">
        <f t="shared" si="109"/>
        <v>2026</v>
      </c>
      <c r="O1324" s="2">
        <f>_xlfn.XLOOKUP(A1324,Colaboradores!$A:$A,Colaboradores!$S:$S,"",0)</f>
        <v>46195</v>
      </c>
      <c r="P1324" t="str">
        <f t="shared" si="103"/>
        <v>123946183</v>
      </c>
    </row>
    <row r="1325" spans="1:16" x14ac:dyDescent="0.3">
      <c r="A1325">
        <v>1239</v>
      </c>
      <c r="B1325">
        <v>32</v>
      </c>
      <c r="C1325" t="s">
        <v>26</v>
      </c>
      <c r="D1325" t="s">
        <v>27</v>
      </c>
      <c r="E1325" t="s">
        <v>17</v>
      </c>
      <c r="F1325" t="s">
        <v>21</v>
      </c>
      <c r="G1325" t="s">
        <v>41</v>
      </c>
      <c r="H1325" t="s">
        <v>20</v>
      </c>
      <c r="I1325" s="1">
        <v>1</v>
      </c>
      <c r="J1325" s="2">
        <v>46032</v>
      </c>
      <c r="K1325" s="2">
        <v>46023</v>
      </c>
      <c r="L1325" s="1" t="str">
        <f t="shared" si="107"/>
        <v>sáb</v>
      </c>
      <c r="M1325" s="1" t="str">
        <f t="shared" si="108"/>
        <v>jan</v>
      </c>
      <c r="N1325">
        <f t="shared" si="109"/>
        <v>2026</v>
      </c>
      <c r="O1325" s="2">
        <f>_xlfn.XLOOKUP(A1325,Colaboradores!$A:$A,Colaboradores!$S:$S,"",0)</f>
        <v>46195</v>
      </c>
      <c r="P1325" t="str">
        <f t="shared" si="103"/>
        <v>123946032</v>
      </c>
    </row>
    <row r="1326" spans="1:16" x14ac:dyDescent="0.3">
      <c r="A1326">
        <v>1240</v>
      </c>
      <c r="B1326">
        <v>39</v>
      </c>
      <c r="C1326" t="s">
        <v>15</v>
      </c>
      <c r="D1326" t="s">
        <v>31</v>
      </c>
      <c r="E1326" t="s">
        <v>34</v>
      </c>
      <c r="F1326" t="s">
        <v>21</v>
      </c>
      <c r="G1326" t="s">
        <v>41</v>
      </c>
      <c r="H1326" t="s">
        <v>25</v>
      </c>
      <c r="I1326" s="1">
        <v>2</v>
      </c>
      <c r="J1326" s="2">
        <v>45887</v>
      </c>
      <c r="K1326" s="2">
        <v>45870</v>
      </c>
      <c r="L1326" s="1" t="str">
        <f t="shared" si="107"/>
        <v>seg</v>
      </c>
      <c r="M1326" s="1" t="str">
        <f t="shared" si="108"/>
        <v>ago</v>
      </c>
      <c r="N1326">
        <f t="shared" si="109"/>
        <v>2025</v>
      </c>
      <c r="O1326" s="2"/>
      <c r="P1326" t="str">
        <f t="shared" si="103"/>
        <v>124045887</v>
      </c>
    </row>
    <row r="1327" spans="1:16" x14ac:dyDescent="0.3">
      <c r="A1327">
        <v>1240</v>
      </c>
      <c r="B1327">
        <v>39</v>
      </c>
      <c r="C1327" t="s">
        <v>15</v>
      </c>
      <c r="D1327" t="s">
        <v>31</v>
      </c>
      <c r="E1327" t="s">
        <v>34</v>
      </c>
      <c r="F1327" t="s">
        <v>21</v>
      </c>
      <c r="G1327" t="s">
        <v>40</v>
      </c>
      <c r="H1327" t="s">
        <v>25</v>
      </c>
      <c r="I1327" s="1">
        <v>2</v>
      </c>
      <c r="J1327" s="2">
        <v>45953</v>
      </c>
      <c r="K1327" s="2">
        <v>45931</v>
      </c>
      <c r="L1327" s="1" t="str">
        <f t="shared" si="107"/>
        <v>qui</v>
      </c>
      <c r="M1327" s="1" t="str">
        <f t="shared" si="108"/>
        <v>out</v>
      </c>
      <c r="N1327">
        <f t="shared" si="109"/>
        <v>2025</v>
      </c>
      <c r="O1327" s="2"/>
      <c r="P1327" t="str">
        <f t="shared" si="103"/>
        <v>124045953</v>
      </c>
    </row>
    <row r="1328" spans="1:16" x14ac:dyDescent="0.3">
      <c r="A1328">
        <v>1240</v>
      </c>
      <c r="B1328">
        <v>39</v>
      </c>
      <c r="C1328" t="s">
        <v>15</v>
      </c>
      <c r="D1328" t="s">
        <v>31</v>
      </c>
      <c r="E1328" t="s">
        <v>34</v>
      </c>
      <c r="F1328" t="s">
        <v>21</v>
      </c>
      <c r="G1328" t="s">
        <v>41</v>
      </c>
      <c r="H1328" t="s">
        <v>25</v>
      </c>
      <c r="I1328" s="1">
        <v>2</v>
      </c>
      <c r="J1328" s="2">
        <v>45982</v>
      </c>
      <c r="K1328" s="2">
        <v>45962</v>
      </c>
      <c r="L1328" s="1" t="str">
        <f t="shared" si="107"/>
        <v>sex</v>
      </c>
      <c r="M1328" s="1" t="str">
        <f t="shared" si="108"/>
        <v>nov</v>
      </c>
      <c r="N1328">
        <f t="shared" si="109"/>
        <v>2025</v>
      </c>
      <c r="O1328" s="2"/>
      <c r="P1328" t="str">
        <f t="shared" si="103"/>
        <v>124045982</v>
      </c>
    </row>
    <row r="1329" spans="1:16" x14ac:dyDescent="0.3">
      <c r="A1329">
        <v>1240</v>
      </c>
      <c r="B1329">
        <v>39</v>
      </c>
      <c r="C1329" t="s">
        <v>15</v>
      </c>
      <c r="D1329" t="s">
        <v>31</v>
      </c>
      <c r="E1329" t="s">
        <v>34</v>
      </c>
      <c r="F1329" t="s">
        <v>21</v>
      </c>
      <c r="G1329" t="s">
        <v>41</v>
      </c>
      <c r="H1329" t="s">
        <v>25</v>
      </c>
      <c r="I1329" s="1">
        <v>2</v>
      </c>
      <c r="J1329" s="2">
        <v>46105</v>
      </c>
      <c r="K1329" s="2">
        <v>46082</v>
      </c>
      <c r="L1329" s="1" t="str">
        <f t="shared" si="107"/>
        <v>ter</v>
      </c>
      <c r="M1329" s="1" t="str">
        <f t="shared" si="108"/>
        <v>mar</v>
      </c>
      <c r="N1329">
        <f t="shared" si="109"/>
        <v>2026</v>
      </c>
      <c r="O1329" s="2"/>
      <c r="P1329" t="str">
        <f t="shared" si="103"/>
        <v>124046105</v>
      </c>
    </row>
    <row r="1330" spans="1:16" x14ac:dyDescent="0.3">
      <c r="A1330">
        <v>1241</v>
      </c>
      <c r="B1330">
        <v>37</v>
      </c>
      <c r="C1330" t="s">
        <v>15</v>
      </c>
      <c r="D1330" t="s">
        <v>29</v>
      </c>
      <c r="E1330" t="s">
        <v>17</v>
      </c>
      <c r="F1330" t="s">
        <v>23</v>
      </c>
      <c r="G1330" t="s">
        <v>42</v>
      </c>
      <c r="H1330" t="s">
        <v>25</v>
      </c>
      <c r="I1330" s="1">
        <v>3</v>
      </c>
      <c r="J1330" s="2">
        <v>45763</v>
      </c>
      <c r="K1330" s="2">
        <v>45748</v>
      </c>
      <c r="L1330" s="1" t="str">
        <f t="shared" si="107"/>
        <v>qua</v>
      </c>
      <c r="M1330" s="1" t="str">
        <f t="shared" si="108"/>
        <v>abr</v>
      </c>
      <c r="N1330">
        <f t="shared" si="109"/>
        <v>2025</v>
      </c>
      <c r="O1330" s="2"/>
      <c r="P1330" t="str">
        <f t="shared" si="103"/>
        <v>124145763</v>
      </c>
    </row>
    <row r="1331" spans="1:16" x14ac:dyDescent="0.3">
      <c r="A1331">
        <v>1241</v>
      </c>
      <c r="B1331">
        <v>37</v>
      </c>
      <c r="C1331" t="s">
        <v>15</v>
      </c>
      <c r="D1331" t="s">
        <v>29</v>
      </c>
      <c r="E1331" t="s">
        <v>17</v>
      </c>
      <c r="F1331" t="s">
        <v>23</v>
      </c>
      <c r="G1331" t="s">
        <v>42</v>
      </c>
      <c r="H1331" t="s">
        <v>25</v>
      </c>
      <c r="I1331" s="1">
        <v>3</v>
      </c>
      <c r="J1331" s="2">
        <v>45770</v>
      </c>
      <c r="K1331" s="2">
        <v>45748</v>
      </c>
      <c r="L1331" s="1" t="str">
        <f t="shared" si="107"/>
        <v>qua</v>
      </c>
      <c r="M1331" s="1" t="str">
        <f t="shared" si="108"/>
        <v>abr</v>
      </c>
      <c r="N1331">
        <f t="shared" si="109"/>
        <v>2025</v>
      </c>
      <c r="O1331" s="2"/>
      <c r="P1331" t="str">
        <f t="shared" si="103"/>
        <v>124145770</v>
      </c>
    </row>
    <row r="1332" spans="1:16" x14ac:dyDescent="0.3">
      <c r="A1332">
        <v>1241</v>
      </c>
      <c r="B1332">
        <v>37</v>
      </c>
      <c r="C1332" t="s">
        <v>15</v>
      </c>
      <c r="D1332" t="s">
        <v>29</v>
      </c>
      <c r="E1332" t="s">
        <v>17</v>
      </c>
      <c r="F1332" t="s">
        <v>23</v>
      </c>
      <c r="G1332" t="s">
        <v>41</v>
      </c>
      <c r="H1332" t="s">
        <v>25</v>
      </c>
      <c r="I1332" s="1">
        <v>3</v>
      </c>
      <c r="J1332" s="2">
        <v>45916</v>
      </c>
      <c r="K1332" s="2">
        <v>45901</v>
      </c>
      <c r="L1332" s="1" t="str">
        <f t="shared" si="107"/>
        <v>ter</v>
      </c>
      <c r="M1332" s="1" t="str">
        <f t="shared" si="108"/>
        <v>set</v>
      </c>
      <c r="N1332">
        <f t="shared" si="109"/>
        <v>2025</v>
      </c>
      <c r="O1332" s="2"/>
      <c r="P1332" t="str">
        <f t="shared" si="103"/>
        <v>124145916</v>
      </c>
    </row>
    <row r="1333" spans="1:16" x14ac:dyDescent="0.3">
      <c r="A1333">
        <v>1241</v>
      </c>
      <c r="B1333">
        <v>37</v>
      </c>
      <c r="C1333" t="s">
        <v>15</v>
      </c>
      <c r="D1333" t="s">
        <v>29</v>
      </c>
      <c r="E1333" t="s">
        <v>17</v>
      </c>
      <c r="F1333" t="s">
        <v>23</v>
      </c>
      <c r="G1333" t="s">
        <v>42</v>
      </c>
      <c r="H1333" t="s">
        <v>25</v>
      </c>
      <c r="I1333" s="1">
        <v>3</v>
      </c>
      <c r="J1333" s="2">
        <v>46197</v>
      </c>
      <c r="K1333" s="2">
        <v>46023</v>
      </c>
      <c r="L1333" s="1" t="str">
        <f t="shared" si="107"/>
        <v>qua</v>
      </c>
      <c r="M1333" s="1" t="str">
        <f t="shared" si="108"/>
        <v>jun</v>
      </c>
      <c r="N1333">
        <f t="shared" si="109"/>
        <v>2026</v>
      </c>
      <c r="O1333" s="2"/>
      <c r="P1333" t="str">
        <f t="shared" si="103"/>
        <v>124146197</v>
      </c>
    </row>
    <row r="1334" spans="1:16" x14ac:dyDescent="0.3">
      <c r="A1334">
        <v>1241</v>
      </c>
      <c r="B1334">
        <v>37</v>
      </c>
      <c r="C1334" t="s">
        <v>15</v>
      </c>
      <c r="D1334" t="s">
        <v>29</v>
      </c>
      <c r="E1334" t="s">
        <v>17</v>
      </c>
      <c r="F1334" t="s">
        <v>23</v>
      </c>
      <c r="G1334" t="s">
        <v>43</v>
      </c>
      <c r="H1334" t="s">
        <v>25</v>
      </c>
      <c r="I1334" s="1">
        <v>3</v>
      </c>
      <c r="J1334" s="2">
        <v>46075</v>
      </c>
      <c r="K1334" s="2">
        <v>46054</v>
      </c>
      <c r="L1334" s="1" t="str">
        <f t="shared" si="107"/>
        <v>dom</v>
      </c>
      <c r="M1334" s="1" t="str">
        <f t="shared" si="108"/>
        <v>fev</v>
      </c>
      <c r="N1334">
        <f t="shared" si="109"/>
        <v>2026</v>
      </c>
      <c r="O1334" s="2"/>
      <c r="P1334" t="str">
        <f t="shared" si="103"/>
        <v>124146075</v>
      </c>
    </row>
    <row r="1335" spans="1:16" x14ac:dyDescent="0.3">
      <c r="A1335">
        <v>1241</v>
      </c>
      <c r="B1335">
        <v>37</v>
      </c>
      <c r="C1335" t="s">
        <v>15</v>
      </c>
      <c r="D1335" t="s">
        <v>29</v>
      </c>
      <c r="E1335" t="s">
        <v>17</v>
      </c>
      <c r="F1335" t="s">
        <v>23</v>
      </c>
      <c r="G1335" t="s">
        <v>42</v>
      </c>
      <c r="H1335" t="s">
        <v>25</v>
      </c>
      <c r="I1335" s="1">
        <v>3</v>
      </c>
      <c r="J1335" s="2">
        <v>46128</v>
      </c>
      <c r="K1335" s="2">
        <v>46113</v>
      </c>
      <c r="L1335" s="1" t="s">
        <v>51</v>
      </c>
      <c r="M1335" s="1" t="s">
        <v>48</v>
      </c>
      <c r="N1335">
        <v>2025</v>
      </c>
      <c r="O1335" s="2"/>
      <c r="P1335" t="str">
        <f t="shared" si="103"/>
        <v>124146128</v>
      </c>
    </row>
    <row r="1336" spans="1:16" x14ac:dyDescent="0.3">
      <c r="A1336">
        <v>1241</v>
      </c>
      <c r="B1336">
        <v>37</v>
      </c>
      <c r="C1336" t="s">
        <v>15</v>
      </c>
      <c r="D1336" t="s">
        <v>29</v>
      </c>
      <c r="E1336" t="s">
        <v>17</v>
      </c>
      <c r="F1336" t="s">
        <v>23</v>
      </c>
      <c r="G1336" t="s">
        <v>42</v>
      </c>
      <c r="H1336" t="s">
        <v>25</v>
      </c>
      <c r="I1336" s="1">
        <v>3</v>
      </c>
      <c r="J1336" s="2">
        <v>46135</v>
      </c>
      <c r="K1336" s="2">
        <v>46113</v>
      </c>
      <c r="L1336" s="1" t="s">
        <v>51</v>
      </c>
      <c r="M1336" s="1" t="s">
        <v>48</v>
      </c>
      <c r="N1336">
        <v>2025</v>
      </c>
      <c r="O1336" s="2"/>
      <c r="P1336" t="str">
        <f t="shared" si="103"/>
        <v>124146135</v>
      </c>
    </row>
    <row r="1337" spans="1:16" x14ac:dyDescent="0.3">
      <c r="A1337">
        <v>1242</v>
      </c>
      <c r="B1337">
        <v>58</v>
      </c>
      <c r="C1337" t="s">
        <v>15</v>
      </c>
      <c r="D1337" t="s">
        <v>31</v>
      </c>
      <c r="E1337" t="s">
        <v>34</v>
      </c>
      <c r="F1337" t="s">
        <v>23</v>
      </c>
      <c r="G1337" t="s">
        <v>43</v>
      </c>
      <c r="H1337" t="s">
        <v>20</v>
      </c>
      <c r="I1337" s="1">
        <v>3</v>
      </c>
      <c r="J1337" s="2">
        <v>45819</v>
      </c>
      <c r="K1337" s="2">
        <v>45809</v>
      </c>
      <c r="L1337" s="1" t="str">
        <f t="shared" ref="L1337:L1348" si="110">TEXT(J1337,"ddd")</f>
        <v>qua</v>
      </c>
      <c r="M1337" s="1" t="str">
        <f t="shared" ref="M1337:M1348" si="111">TEXT($J1337,"mmm")</f>
        <v>jun</v>
      </c>
      <c r="N1337">
        <f t="shared" ref="N1337:N1348" si="112">YEAR(J1337)</f>
        <v>2025</v>
      </c>
      <c r="O1337" s="2">
        <f>_xlfn.XLOOKUP(A1337,Colaboradores!$A:$A,Colaboradores!$S:$S,"",0)</f>
        <v>46079</v>
      </c>
      <c r="P1337" t="str">
        <f t="shared" si="103"/>
        <v>124245819</v>
      </c>
    </row>
    <row r="1338" spans="1:16" x14ac:dyDescent="0.3">
      <c r="A1338">
        <v>1242</v>
      </c>
      <c r="B1338">
        <v>58</v>
      </c>
      <c r="C1338" t="s">
        <v>15</v>
      </c>
      <c r="D1338" t="s">
        <v>31</v>
      </c>
      <c r="E1338" t="s">
        <v>34</v>
      </c>
      <c r="F1338" t="s">
        <v>23</v>
      </c>
      <c r="G1338" t="s">
        <v>43</v>
      </c>
      <c r="H1338" t="s">
        <v>20</v>
      </c>
      <c r="I1338" s="1">
        <v>3</v>
      </c>
      <c r="J1338" s="2">
        <v>45835</v>
      </c>
      <c r="K1338" s="2">
        <v>45809</v>
      </c>
      <c r="L1338" s="1" t="str">
        <f t="shared" si="110"/>
        <v>sex</v>
      </c>
      <c r="M1338" s="1" t="str">
        <f t="shared" si="111"/>
        <v>jun</v>
      </c>
      <c r="N1338">
        <f t="shared" si="112"/>
        <v>2025</v>
      </c>
      <c r="O1338" s="2">
        <f>_xlfn.XLOOKUP(A1338,Colaboradores!$A:$A,Colaboradores!$S:$S,"",0)</f>
        <v>46079</v>
      </c>
      <c r="P1338" t="str">
        <f t="shared" si="103"/>
        <v>124245835</v>
      </c>
    </row>
    <row r="1339" spans="1:16" x14ac:dyDescent="0.3">
      <c r="A1339">
        <v>1242</v>
      </c>
      <c r="B1339">
        <v>58</v>
      </c>
      <c r="C1339" t="s">
        <v>15</v>
      </c>
      <c r="D1339" t="s">
        <v>31</v>
      </c>
      <c r="E1339" t="s">
        <v>34</v>
      </c>
      <c r="F1339" t="s">
        <v>23</v>
      </c>
      <c r="G1339" t="s">
        <v>43</v>
      </c>
      <c r="H1339" t="s">
        <v>20</v>
      </c>
      <c r="I1339" s="1">
        <v>3</v>
      </c>
      <c r="J1339" s="2">
        <v>45899</v>
      </c>
      <c r="K1339" s="2">
        <v>45870</v>
      </c>
      <c r="L1339" s="1" t="str">
        <f t="shared" si="110"/>
        <v>sáb</v>
      </c>
      <c r="M1339" s="1" t="str">
        <f t="shared" si="111"/>
        <v>ago</v>
      </c>
      <c r="N1339">
        <f t="shared" si="112"/>
        <v>2025</v>
      </c>
      <c r="O1339" s="2">
        <f>_xlfn.XLOOKUP(A1339,Colaboradores!$A:$A,Colaboradores!$S:$S,"",0)</f>
        <v>46079</v>
      </c>
      <c r="P1339" t="str">
        <f t="shared" si="103"/>
        <v>124245899</v>
      </c>
    </row>
    <row r="1340" spans="1:16" x14ac:dyDescent="0.3">
      <c r="A1340">
        <v>1242</v>
      </c>
      <c r="B1340">
        <v>58</v>
      </c>
      <c r="C1340" t="s">
        <v>15</v>
      </c>
      <c r="D1340" t="s">
        <v>31</v>
      </c>
      <c r="E1340" t="s">
        <v>34</v>
      </c>
      <c r="F1340" t="s">
        <v>23</v>
      </c>
      <c r="G1340" t="s">
        <v>43</v>
      </c>
      <c r="H1340" t="s">
        <v>20</v>
      </c>
      <c r="I1340" s="1">
        <v>3</v>
      </c>
      <c r="J1340" s="2">
        <v>45972</v>
      </c>
      <c r="K1340" s="2">
        <v>45962</v>
      </c>
      <c r="L1340" s="1" t="str">
        <f t="shared" si="110"/>
        <v>ter</v>
      </c>
      <c r="M1340" s="1" t="str">
        <f t="shared" si="111"/>
        <v>nov</v>
      </c>
      <c r="N1340">
        <f t="shared" si="112"/>
        <v>2025</v>
      </c>
      <c r="O1340" s="2">
        <f>_xlfn.XLOOKUP(A1340,Colaboradores!$A:$A,Colaboradores!$S:$S,"",0)</f>
        <v>46079</v>
      </c>
      <c r="P1340" t="str">
        <f t="shared" si="103"/>
        <v>124245972</v>
      </c>
    </row>
    <row r="1341" spans="1:16" x14ac:dyDescent="0.3">
      <c r="A1341">
        <v>1242</v>
      </c>
      <c r="B1341">
        <v>58</v>
      </c>
      <c r="C1341" t="s">
        <v>15</v>
      </c>
      <c r="D1341" t="s">
        <v>31</v>
      </c>
      <c r="E1341" t="s">
        <v>34</v>
      </c>
      <c r="F1341" t="s">
        <v>23</v>
      </c>
      <c r="G1341" t="s">
        <v>43</v>
      </c>
      <c r="H1341" t="s">
        <v>20</v>
      </c>
      <c r="I1341" s="1">
        <v>3</v>
      </c>
      <c r="J1341" s="2">
        <v>46055</v>
      </c>
      <c r="K1341" s="2">
        <v>46054</v>
      </c>
      <c r="L1341" s="1" t="str">
        <f t="shared" si="110"/>
        <v>seg</v>
      </c>
      <c r="M1341" s="1" t="str">
        <f t="shared" si="111"/>
        <v>fev</v>
      </c>
      <c r="N1341">
        <f t="shared" si="112"/>
        <v>2026</v>
      </c>
      <c r="O1341" s="2">
        <f>_xlfn.XLOOKUP(A1341,Colaboradores!$A:$A,Colaboradores!$S:$S,"",0)</f>
        <v>46079</v>
      </c>
      <c r="P1341" t="str">
        <f t="shared" si="103"/>
        <v>124246055</v>
      </c>
    </row>
    <row r="1342" spans="1:16" x14ac:dyDescent="0.3">
      <c r="A1342">
        <v>1242</v>
      </c>
      <c r="B1342">
        <v>58</v>
      </c>
      <c r="C1342" t="s">
        <v>15</v>
      </c>
      <c r="D1342" t="s">
        <v>31</v>
      </c>
      <c r="E1342" t="s">
        <v>34</v>
      </c>
      <c r="F1342" t="s">
        <v>23</v>
      </c>
      <c r="G1342" t="s">
        <v>43</v>
      </c>
      <c r="H1342" t="s">
        <v>20</v>
      </c>
      <c r="I1342" s="1">
        <v>3</v>
      </c>
      <c r="J1342" s="2">
        <v>46078</v>
      </c>
      <c r="K1342" s="2">
        <v>46054</v>
      </c>
      <c r="L1342" s="1" t="str">
        <f t="shared" si="110"/>
        <v>qua</v>
      </c>
      <c r="M1342" s="1" t="str">
        <f t="shared" si="111"/>
        <v>fev</v>
      </c>
      <c r="N1342">
        <f t="shared" si="112"/>
        <v>2026</v>
      </c>
      <c r="O1342" s="2">
        <f>_xlfn.XLOOKUP(A1342,Colaboradores!$A:$A,Colaboradores!$S:$S,"",0)</f>
        <v>46079</v>
      </c>
      <c r="P1342" t="str">
        <f t="shared" si="103"/>
        <v>124246078</v>
      </c>
    </row>
    <row r="1343" spans="1:16" x14ac:dyDescent="0.3">
      <c r="A1343">
        <v>1246</v>
      </c>
      <c r="B1343">
        <v>22</v>
      </c>
      <c r="C1343" t="s">
        <v>15</v>
      </c>
      <c r="D1343" t="s">
        <v>29</v>
      </c>
      <c r="E1343" t="s">
        <v>17</v>
      </c>
      <c r="F1343" t="s">
        <v>23</v>
      </c>
      <c r="G1343" t="s">
        <v>57</v>
      </c>
      <c r="H1343" t="s">
        <v>25</v>
      </c>
      <c r="I1343" s="1">
        <v>1</v>
      </c>
      <c r="J1343" s="2">
        <v>45760</v>
      </c>
      <c r="K1343" s="2">
        <v>45748</v>
      </c>
      <c r="L1343" s="1" t="str">
        <f t="shared" si="110"/>
        <v>dom</v>
      </c>
      <c r="M1343" s="1" t="str">
        <f t="shared" si="111"/>
        <v>abr</v>
      </c>
      <c r="N1343">
        <f t="shared" si="112"/>
        <v>2025</v>
      </c>
      <c r="O1343" s="2"/>
      <c r="P1343" t="str">
        <f t="shared" si="103"/>
        <v>124645760</v>
      </c>
    </row>
    <row r="1344" spans="1:16" x14ac:dyDescent="0.3">
      <c r="A1344">
        <v>1246</v>
      </c>
      <c r="B1344">
        <v>22</v>
      </c>
      <c r="C1344" t="s">
        <v>15</v>
      </c>
      <c r="D1344" t="s">
        <v>29</v>
      </c>
      <c r="E1344" t="s">
        <v>17</v>
      </c>
      <c r="F1344" t="s">
        <v>23</v>
      </c>
      <c r="G1344" t="s">
        <v>40</v>
      </c>
      <c r="H1344" t="s">
        <v>25</v>
      </c>
      <c r="I1344" s="1">
        <v>1</v>
      </c>
      <c r="J1344" s="2">
        <v>46192</v>
      </c>
      <c r="K1344" s="2">
        <v>45809</v>
      </c>
      <c r="L1344" s="1" t="str">
        <f t="shared" si="110"/>
        <v>sex</v>
      </c>
      <c r="M1344" s="1" t="str">
        <f t="shared" si="111"/>
        <v>jun</v>
      </c>
      <c r="N1344">
        <f t="shared" si="112"/>
        <v>2026</v>
      </c>
      <c r="O1344" s="2"/>
      <c r="P1344" t="str">
        <f t="shared" si="103"/>
        <v>124646192</v>
      </c>
    </row>
    <row r="1345" spans="1:16" x14ac:dyDescent="0.3">
      <c r="A1345">
        <v>1246</v>
      </c>
      <c r="B1345">
        <v>22</v>
      </c>
      <c r="C1345" t="s">
        <v>15</v>
      </c>
      <c r="D1345" t="s">
        <v>29</v>
      </c>
      <c r="E1345" t="s">
        <v>17</v>
      </c>
      <c r="F1345" t="s">
        <v>23</v>
      </c>
      <c r="G1345" t="s">
        <v>40</v>
      </c>
      <c r="H1345" t="s">
        <v>25</v>
      </c>
      <c r="I1345" s="1">
        <v>1</v>
      </c>
      <c r="J1345" s="2">
        <v>45898</v>
      </c>
      <c r="K1345" s="2">
        <v>45870</v>
      </c>
      <c r="L1345" s="1" t="str">
        <f t="shared" si="110"/>
        <v>sex</v>
      </c>
      <c r="M1345" s="1" t="str">
        <f t="shared" si="111"/>
        <v>ago</v>
      </c>
      <c r="N1345">
        <f t="shared" si="112"/>
        <v>2025</v>
      </c>
      <c r="O1345" s="2"/>
      <c r="P1345" t="str">
        <f t="shared" ref="P1345:P1408" si="113">CONCATENATE(A1345,J1345)</f>
        <v>124645898</v>
      </c>
    </row>
    <row r="1346" spans="1:16" x14ac:dyDescent="0.3">
      <c r="A1346">
        <v>1246</v>
      </c>
      <c r="B1346">
        <v>22</v>
      </c>
      <c r="C1346" t="s">
        <v>15</v>
      </c>
      <c r="D1346" t="s">
        <v>29</v>
      </c>
      <c r="E1346" t="s">
        <v>17</v>
      </c>
      <c r="F1346" t="s">
        <v>23</v>
      </c>
      <c r="G1346" t="s">
        <v>40</v>
      </c>
      <c r="H1346" t="s">
        <v>25</v>
      </c>
      <c r="I1346" s="1">
        <v>1</v>
      </c>
      <c r="J1346" s="2">
        <v>45989</v>
      </c>
      <c r="K1346" s="2">
        <v>45962</v>
      </c>
      <c r="L1346" s="1" t="str">
        <f t="shared" si="110"/>
        <v>sex</v>
      </c>
      <c r="M1346" s="1" t="str">
        <f t="shared" si="111"/>
        <v>nov</v>
      </c>
      <c r="N1346">
        <f t="shared" si="112"/>
        <v>2025</v>
      </c>
      <c r="O1346" s="2"/>
      <c r="P1346" t="str">
        <f t="shared" si="113"/>
        <v>124645989</v>
      </c>
    </row>
    <row r="1347" spans="1:16" x14ac:dyDescent="0.3">
      <c r="A1347">
        <v>1246</v>
      </c>
      <c r="B1347">
        <v>22</v>
      </c>
      <c r="C1347" t="s">
        <v>15</v>
      </c>
      <c r="D1347" t="s">
        <v>29</v>
      </c>
      <c r="E1347" t="s">
        <v>17</v>
      </c>
      <c r="F1347" t="s">
        <v>23</v>
      </c>
      <c r="G1347" t="s">
        <v>40</v>
      </c>
      <c r="H1347" t="s">
        <v>25</v>
      </c>
      <c r="I1347" s="1">
        <v>1</v>
      </c>
      <c r="J1347" s="2">
        <v>46058</v>
      </c>
      <c r="K1347" s="2">
        <v>46054</v>
      </c>
      <c r="L1347" s="1" t="str">
        <f t="shared" si="110"/>
        <v>qui</v>
      </c>
      <c r="M1347" s="1" t="str">
        <f t="shared" si="111"/>
        <v>fev</v>
      </c>
      <c r="N1347">
        <f t="shared" si="112"/>
        <v>2026</v>
      </c>
      <c r="O1347" s="2"/>
      <c r="P1347" t="str">
        <f t="shared" si="113"/>
        <v>124646058</v>
      </c>
    </row>
    <row r="1348" spans="1:16" x14ac:dyDescent="0.3">
      <c r="A1348">
        <v>1246</v>
      </c>
      <c r="B1348">
        <v>22</v>
      </c>
      <c r="C1348" t="s">
        <v>15</v>
      </c>
      <c r="D1348" t="s">
        <v>29</v>
      </c>
      <c r="E1348" t="s">
        <v>17</v>
      </c>
      <c r="F1348" t="s">
        <v>23</v>
      </c>
      <c r="G1348" t="s">
        <v>40</v>
      </c>
      <c r="H1348" t="s">
        <v>25</v>
      </c>
      <c r="I1348" s="1">
        <v>1</v>
      </c>
      <c r="J1348" s="2">
        <v>46102</v>
      </c>
      <c r="K1348" s="2">
        <v>46082</v>
      </c>
      <c r="L1348" s="1" t="str">
        <f t="shared" si="110"/>
        <v>sáb</v>
      </c>
      <c r="M1348" s="1" t="str">
        <f t="shared" si="111"/>
        <v>mar</v>
      </c>
      <c r="N1348">
        <f t="shared" si="112"/>
        <v>2026</v>
      </c>
      <c r="O1348" s="2"/>
      <c r="P1348" t="str">
        <f t="shared" si="113"/>
        <v>124646102</v>
      </c>
    </row>
    <row r="1349" spans="1:16" x14ac:dyDescent="0.3">
      <c r="A1349">
        <v>1246</v>
      </c>
      <c r="B1349">
        <v>22</v>
      </c>
      <c r="C1349" t="s">
        <v>15</v>
      </c>
      <c r="D1349" t="s">
        <v>29</v>
      </c>
      <c r="E1349" t="s">
        <v>17</v>
      </c>
      <c r="F1349" t="s">
        <v>23</v>
      </c>
      <c r="G1349" t="s">
        <v>40</v>
      </c>
      <c r="H1349" t="s">
        <v>25</v>
      </c>
      <c r="I1349" s="1">
        <v>1</v>
      </c>
      <c r="J1349" s="2">
        <v>46125</v>
      </c>
      <c r="K1349" s="2">
        <v>46113</v>
      </c>
      <c r="L1349" s="1" t="s">
        <v>55</v>
      </c>
      <c r="M1349" s="1" t="s">
        <v>48</v>
      </c>
      <c r="N1349">
        <v>2025</v>
      </c>
      <c r="O1349" s="2"/>
      <c r="P1349" t="str">
        <f t="shared" si="113"/>
        <v>124646125</v>
      </c>
    </row>
    <row r="1350" spans="1:16" x14ac:dyDescent="0.3">
      <c r="A1350">
        <v>1247</v>
      </c>
      <c r="B1350">
        <v>50</v>
      </c>
      <c r="C1350" t="s">
        <v>26</v>
      </c>
      <c r="D1350" t="s">
        <v>29</v>
      </c>
      <c r="E1350" t="s">
        <v>17</v>
      </c>
      <c r="F1350" t="s">
        <v>18</v>
      </c>
      <c r="G1350" t="s">
        <v>44</v>
      </c>
      <c r="H1350" t="s">
        <v>25</v>
      </c>
      <c r="I1350" s="1">
        <v>2</v>
      </c>
      <c r="J1350" s="2">
        <v>46174</v>
      </c>
      <c r="K1350" s="2">
        <v>45809</v>
      </c>
      <c r="L1350" s="1" t="str">
        <f t="shared" ref="L1350:L1373" si="114">TEXT(J1350,"ddd")</f>
        <v>seg</v>
      </c>
      <c r="M1350" s="1" t="str">
        <f t="shared" ref="M1350:M1373" si="115">TEXT($J1350,"mmm")</f>
        <v>jun</v>
      </c>
      <c r="N1350">
        <f t="shared" ref="N1350:N1373" si="116">YEAR(J1350)</f>
        <v>2026</v>
      </c>
      <c r="O1350" s="2"/>
      <c r="P1350" t="str">
        <f t="shared" si="113"/>
        <v>124746174</v>
      </c>
    </row>
    <row r="1351" spans="1:16" x14ac:dyDescent="0.3">
      <c r="A1351">
        <v>1247</v>
      </c>
      <c r="B1351">
        <v>50</v>
      </c>
      <c r="C1351" t="s">
        <v>26</v>
      </c>
      <c r="D1351" t="s">
        <v>29</v>
      </c>
      <c r="E1351" t="s">
        <v>17</v>
      </c>
      <c r="F1351" t="s">
        <v>18</v>
      </c>
      <c r="G1351" t="s">
        <v>44</v>
      </c>
      <c r="H1351" t="s">
        <v>25</v>
      </c>
      <c r="I1351" s="1">
        <v>2</v>
      </c>
      <c r="J1351" s="2">
        <v>46183</v>
      </c>
      <c r="K1351" s="2">
        <v>45809</v>
      </c>
      <c r="L1351" s="1" t="str">
        <f t="shared" si="114"/>
        <v>qua</v>
      </c>
      <c r="M1351" s="1" t="str">
        <f t="shared" si="115"/>
        <v>jun</v>
      </c>
      <c r="N1351">
        <f t="shared" si="116"/>
        <v>2026</v>
      </c>
      <c r="O1351" s="2"/>
      <c r="P1351" t="str">
        <f t="shared" si="113"/>
        <v>124746183</v>
      </c>
    </row>
    <row r="1352" spans="1:16" x14ac:dyDescent="0.3">
      <c r="A1352">
        <v>1247</v>
      </c>
      <c r="B1352">
        <v>50</v>
      </c>
      <c r="C1352" t="s">
        <v>26</v>
      </c>
      <c r="D1352" t="s">
        <v>29</v>
      </c>
      <c r="E1352" t="s">
        <v>17</v>
      </c>
      <c r="F1352" t="s">
        <v>18</v>
      </c>
      <c r="G1352" t="s">
        <v>42</v>
      </c>
      <c r="H1352" t="s">
        <v>25</v>
      </c>
      <c r="I1352" s="1">
        <v>2</v>
      </c>
      <c r="J1352" s="2">
        <v>46188</v>
      </c>
      <c r="K1352" s="2">
        <v>45809</v>
      </c>
      <c r="L1352" s="1" t="str">
        <f t="shared" si="114"/>
        <v>seg</v>
      </c>
      <c r="M1352" s="1" t="str">
        <f t="shared" si="115"/>
        <v>jun</v>
      </c>
      <c r="N1352">
        <f t="shared" si="116"/>
        <v>2026</v>
      </c>
      <c r="O1352" s="2"/>
      <c r="P1352" t="str">
        <f t="shared" si="113"/>
        <v>124746188</v>
      </c>
    </row>
    <row r="1353" spans="1:16" x14ac:dyDescent="0.3">
      <c r="A1353">
        <v>1247</v>
      </c>
      <c r="B1353">
        <v>50</v>
      </c>
      <c r="C1353" t="s">
        <v>26</v>
      </c>
      <c r="D1353" t="s">
        <v>29</v>
      </c>
      <c r="E1353" t="s">
        <v>17</v>
      </c>
      <c r="F1353" t="s">
        <v>18</v>
      </c>
      <c r="G1353" t="s">
        <v>44</v>
      </c>
      <c r="H1353" t="s">
        <v>25</v>
      </c>
      <c r="I1353" s="1">
        <v>2</v>
      </c>
      <c r="J1353" s="2">
        <v>45926</v>
      </c>
      <c r="K1353" s="2">
        <v>45901</v>
      </c>
      <c r="L1353" s="1" t="str">
        <f t="shared" si="114"/>
        <v>sex</v>
      </c>
      <c r="M1353" s="1" t="str">
        <f t="shared" si="115"/>
        <v>set</v>
      </c>
      <c r="N1353">
        <f t="shared" si="116"/>
        <v>2025</v>
      </c>
      <c r="O1353" s="2"/>
      <c r="P1353" t="str">
        <f t="shared" si="113"/>
        <v>124745926</v>
      </c>
    </row>
    <row r="1354" spans="1:16" x14ac:dyDescent="0.3">
      <c r="A1354">
        <v>1247</v>
      </c>
      <c r="B1354">
        <v>50</v>
      </c>
      <c r="C1354" t="s">
        <v>26</v>
      </c>
      <c r="D1354" t="s">
        <v>29</v>
      </c>
      <c r="E1354" t="s">
        <v>17</v>
      </c>
      <c r="F1354" t="s">
        <v>18</v>
      </c>
      <c r="G1354" t="s">
        <v>44</v>
      </c>
      <c r="H1354" t="s">
        <v>25</v>
      </c>
      <c r="I1354" s="1">
        <v>2</v>
      </c>
      <c r="J1354" s="2">
        <v>46063</v>
      </c>
      <c r="K1354" s="2">
        <v>46054</v>
      </c>
      <c r="L1354" s="1" t="str">
        <f t="shared" si="114"/>
        <v>ter</v>
      </c>
      <c r="M1354" s="1" t="str">
        <f t="shared" si="115"/>
        <v>fev</v>
      </c>
      <c r="N1354">
        <f t="shared" si="116"/>
        <v>2026</v>
      </c>
      <c r="O1354" s="2"/>
      <c r="P1354" t="str">
        <f t="shared" si="113"/>
        <v>124746063</v>
      </c>
    </row>
    <row r="1355" spans="1:16" x14ac:dyDescent="0.3">
      <c r="A1355">
        <v>1247</v>
      </c>
      <c r="B1355">
        <v>50</v>
      </c>
      <c r="C1355" t="s">
        <v>26</v>
      </c>
      <c r="D1355" t="s">
        <v>29</v>
      </c>
      <c r="E1355" t="s">
        <v>17</v>
      </c>
      <c r="F1355" t="s">
        <v>18</v>
      </c>
      <c r="G1355" t="s">
        <v>42</v>
      </c>
      <c r="H1355" t="s">
        <v>25</v>
      </c>
      <c r="I1355" s="1">
        <v>2</v>
      </c>
      <c r="J1355" s="2">
        <v>46099</v>
      </c>
      <c r="K1355" s="2">
        <v>46082</v>
      </c>
      <c r="L1355" s="1" t="str">
        <f t="shared" si="114"/>
        <v>qua</v>
      </c>
      <c r="M1355" s="1" t="str">
        <f t="shared" si="115"/>
        <v>mar</v>
      </c>
      <c r="N1355">
        <f t="shared" si="116"/>
        <v>2026</v>
      </c>
      <c r="O1355" s="2"/>
      <c r="P1355" t="str">
        <f t="shared" si="113"/>
        <v>124746099</v>
      </c>
    </row>
    <row r="1356" spans="1:16" x14ac:dyDescent="0.3">
      <c r="A1356">
        <v>1249</v>
      </c>
      <c r="B1356">
        <v>45</v>
      </c>
      <c r="C1356" t="s">
        <v>15</v>
      </c>
      <c r="D1356" t="s">
        <v>29</v>
      </c>
      <c r="E1356" t="s">
        <v>17</v>
      </c>
      <c r="F1356" t="s">
        <v>21</v>
      </c>
      <c r="G1356" t="s">
        <v>41</v>
      </c>
      <c r="H1356" t="s">
        <v>20</v>
      </c>
      <c r="I1356" s="1">
        <v>2</v>
      </c>
      <c r="J1356" s="2">
        <v>45839</v>
      </c>
      <c r="K1356" s="2">
        <v>45839</v>
      </c>
      <c r="L1356" s="1" t="str">
        <f t="shared" si="114"/>
        <v>ter</v>
      </c>
      <c r="M1356" s="1" t="str">
        <f t="shared" si="115"/>
        <v>jul</v>
      </c>
      <c r="N1356">
        <f t="shared" si="116"/>
        <v>2025</v>
      </c>
      <c r="O1356" s="2">
        <f>_xlfn.XLOOKUP(A1356,Colaboradores!$A:$A,Colaboradores!$S:$S,"",0)</f>
        <v>46057</v>
      </c>
      <c r="P1356" t="str">
        <f t="shared" si="113"/>
        <v>124945839</v>
      </c>
    </row>
    <row r="1357" spans="1:16" x14ac:dyDescent="0.3">
      <c r="A1357">
        <v>1249</v>
      </c>
      <c r="B1357">
        <v>45</v>
      </c>
      <c r="C1357" t="s">
        <v>15</v>
      </c>
      <c r="D1357" t="s">
        <v>29</v>
      </c>
      <c r="E1357" t="s">
        <v>17</v>
      </c>
      <c r="F1357" t="s">
        <v>21</v>
      </c>
      <c r="G1357" t="s">
        <v>41</v>
      </c>
      <c r="H1357" t="s">
        <v>20</v>
      </c>
      <c r="I1357" s="1">
        <v>2</v>
      </c>
      <c r="J1357" s="2">
        <v>45932</v>
      </c>
      <c r="K1357" s="2">
        <v>45931</v>
      </c>
      <c r="L1357" s="1" t="str">
        <f t="shared" si="114"/>
        <v>qui</v>
      </c>
      <c r="M1357" s="1" t="str">
        <f t="shared" si="115"/>
        <v>out</v>
      </c>
      <c r="N1357">
        <f t="shared" si="116"/>
        <v>2025</v>
      </c>
      <c r="O1357" s="2">
        <f>_xlfn.XLOOKUP(A1357,Colaboradores!$A:$A,Colaboradores!$S:$S,"",0)</f>
        <v>46057</v>
      </c>
      <c r="P1357" t="str">
        <f t="shared" si="113"/>
        <v>124945932</v>
      </c>
    </row>
    <row r="1358" spans="1:16" x14ac:dyDescent="0.3">
      <c r="A1358">
        <v>1249</v>
      </c>
      <c r="B1358">
        <v>45</v>
      </c>
      <c r="C1358" t="s">
        <v>15</v>
      </c>
      <c r="D1358" t="s">
        <v>29</v>
      </c>
      <c r="E1358" t="s">
        <v>17</v>
      </c>
      <c r="F1358" t="s">
        <v>21</v>
      </c>
      <c r="G1358" t="s">
        <v>41</v>
      </c>
      <c r="H1358" t="s">
        <v>20</v>
      </c>
      <c r="I1358" s="1">
        <v>2</v>
      </c>
      <c r="J1358" s="2">
        <v>45955</v>
      </c>
      <c r="K1358" s="2">
        <v>45931</v>
      </c>
      <c r="L1358" s="1" t="str">
        <f t="shared" si="114"/>
        <v>sáb</v>
      </c>
      <c r="M1358" s="1" t="str">
        <f t="shared" si="115"/>
        <v>out</v>
      </c>
      <c r="N1358">
        <f t="shared" si="116"/>
        <v>2025</v>
      </c>
      <c r="O1358" s="2">
        <f>_xlfn.XLOOKUP(A1358,Colaboradores!$A:$A,Colaboradores!$S:$S,"",0)</f>
        <v>46057</v>
      </c>
      <c r="P1358" t="str">
        <f t="shared" si="113"/>
        <v>124945955</v>
      </c>
    </row>
    <row r="1359" spans="1:16" x14ac:dyDescent="0.3">
      <c r="A1359">
        <v>1249</v>
      </c>
      <c r="B1359">
        <v>45</v>
      </c>
      <c r="C1359" t="s">
        <v>15</v>
      </c>
      <c r="D1359" t="s">
        <v>29</v>
      </c>
      <c r="E1359" t="s">
        <v>17</v>
      </c>
      <c r="F1359" t="s">
        <v>21</v>
      </c>
      <c r="G1359" t="s">
        <v>41</v>
      </c>
      <c r="H1359" t="s">
        <v>20</v>
      </c>
      <c r="I1359" s="1">
        <v>2</v>
      </c>
      <c r="J1359" s="2">
        <v>45982</v>
      </c>
      <c r="K1359" s="2">
        <v>45962</v>
      </c>
      <c r="L1359" s="1" t="str">
        <f t="shared" si="114"/>
        <v>sex</v>
      </c>
      <c r="M1359" s="1" t="str">
        <f t="shared" si="115"/>
        <v>nov</v>
      </c>
      <c r="N1359">
        <f t="shared" si="116"/>
        <v>2025</v>
      </c>
      <c r="O1359" s="2">
        <f>_xlfn.XLOOKUP(A1359,Colaboradores!$A:$A,Colaboradores!$S:$S,"",0)</f>
        <v>46057</v>
      </c>
      <c r="P1359" t="str">
        <f t="shared" si="113"/>
        <v>124945982</v>
      </c>
    </row>
    <row r="1360" spans="1:16" x14ac:dyDescent="0.3">
      <c r="A1360">
        <v>1249</v>
      </c>
      <c r="B1360">
        <v>45</v>
      </c>
      <c r="C1360" t="s">
        <v>15</v>
      </c>
      <c r="D1360" t="s">
        <v>29</v>
      </c>
      <c r="E1360" t="s">
        <v>17</v>
      </c>
      <c r="F1360" t="s">
        <v>21</v>
      </c>
      <c r="G1360" t="s">
        <v>41</v>
      </c>
      <c r="H1360" t="s">
        <v>20</v>
      </c>
      <c r="I1360" s="1">
        <v>2</v>
      </c>
      <c r="J1360" s="2">
        <v>46017</v>
      </c>
      <c r="K1360" s="2">
        <v>45992</v>
      </c>
      <c r="L1360" s="1" t="str">
        <f t="shared" si="114"/>
        <v>sex</v>
      </c>
      <c r="M1360" s="1" t="str">
        <f t="shared" si="115"/>
        <v>dez</v>
      </c>
      <c r="N1360">
        <f t="shared" si="116"/>
        <v>2025</v>
      </c>
      <c r="O1360" s="2">
        <f>_xlfn.XLOOKUP(A1360,Colaboradores!$A:$A,Colaboradores!$S:$S,"",0)</f>
        <v>46057</v>
      </c>
      <c r="P1360" t="str">
        <f t="shared" si="113"/>
        <v>124946017</v>
      </c>
    </row>
    <row r="1361" spans="1:16" x14ac:dyDescent="0.3">
      <c r="A1361">
        <v>1249</v>
      </c>
      <c r="B1361">
        <v>45</v>
      </c>
      <c r="C1361" t="s">
        <v>15</v>
      </c>
      <c r="D1361" t="s">
        <v>29</v>
      </c>
      <c r="E1361" t="s">
        <v>17</v>
      </c>
      <c r="F1361" t="s">
        <v>21</v>
      </c>
      <c r="G1361" t="s">
        <v>41</v>
      </c>
      <c r="H1361" t="s">
        <v>20</v>
      </c>
      <c r="I1361" s="1">
        <v>2</v>
      </c>
      <c r="J1361" s="2">
        <v>46199</v>
      </c>
      <c r="K1361" s="2">
        <v>46023</v>
      </c>
      <c r="L1361" s="1" t="str">
        <f t="shared" si="114"/>
        <v>sex</v>
      </c>
      <c r="M1361" s="1" t="str">
        <f t="shared" si="115"/>
        <v>jun</v>
      </c>
      <c r="N1361">
        <f t="shared" si="116"/>
        <v>2026</v>
      </c>
      <c r="O1361" s="2">
        <f>_xlfn.XLOOKUP(A1361,Colaboradores!$A:$A,Colaboradores!$S:$S,"",0)</f>
        <v>46057</v>
      </c>
      <c r="P1361" t="str">
        <f t="shared" si="113"/>
        <v>124946199</v>
      </c>
    </row>
    <row r="1362" spans="1:16" x14ac:dyDescent="0.3">
      <c r="A1362">
        <v>1250</v>
      </c>
      <c r="B1362">
        <v>40</v>
      </c>
      <c r="C1362" t="s">
        <v>26</v>
      </c>
      <c r="D1362" t="s">
        <v>16</v>
      </c>
      <c r="E1362" t="s">
        <v>17</v>
      </c>
      <c r="F1362" t="s">
        <v>23</v>
      </c>
      <c r="G1362" t="s">
        <v>41</v>
      </c>
      <c r="H1362" t="s">
        <v>20</v>
      </c>
      <c r="I1362" s="1">
        <v>2</v>
      </c>
      <c r="J1362" s="2">
        <v>45673</v>
      </c>
      <c r="K1362" s="2">
        <v>45658</v>
      </c>
      <c r="L1362" s="1" t="str">
        <f t="shared" si="114"/>
        <v>qui</v>
      </c>
      <c r="M1362" s="1" t="str">
        <f t="shared" si="115"/>
        <v>jan</v>
      </c>
      <c r="N1362">
        <f t="shared" si="116"/>
        <v>2025</v>
      </c>
      <c r="O1362" s="2">
        <f>_xlfn.XLOOKUP(A1362,Colaboradores!$A:$A,Colaboradores!$S:$S,"",0)</f>
        <v>45810</v>
      </c>
      <c r="P1362" t="str">
        <f t="shared" si="113"/>
        <v>125045673</v>
      </c>
    </row>
    <row r="1363" spans="1:16" x14ac:dyDescent="0.3">
      <c r="A1363">
        <v>1250</v>
      </c>
      <c r="B1363">
        <v>40</v>
      </c>
      <c r="C1363" t="s">
        <v>26</v>
      </c>
      <c r="D1363" t="s">
        <v>16</v>
      </c>
      <c r="E1363" t="s">
        <v>17</v>
      </c>
      <c r="F1363" t="s">
        <v>23</v>
      </c>
      <c r="G1363" t="s">
        <v>41</v>
      </c>
      <c r="H1363" t="s">
        <v>20</v>
      </c>
      <c r="I1363" s="1">
        <v>2</v>
      </c>
      <c r="J1363" s="2">
        <v>45675</v>
      </c>
      <c r="K1363" s="2">
        <v>45658</v>
      </c>
      <c r="L1363" s="1" t="str">
        <f t="shared" si="114"/>
        <v>sáb</v>
      </c>
      <c r="M1363" s="1" t="str">
        <f t="shared" si="115"/>
        <v>jan</v>
      </c>
      <c r="N1363">
        <f t="shared" si="116"/>
        <v>2025</v>
      </c>
      <c r="O1363" s="2">
        <f>_xlfn.XLOOKUP(A1363,Colaboradores!$A:$A,Colaboradores!$S:$S,"",0)</f>
        <v>45810</v>
      </c>
      <c r="P1363" t="str">
        <f t="shared" si="113"/>
        <v>125045675</v>
      </c>
    </row>
    <row r="1364" spans="1:16" x14ac:dyDescent="0.3">
      <c r="A1364">
        <v>1250</v>
      </c>
      <c r="B1364">
        <v>40</v>
      </c>
      <c r="C1364" t="s">
        <v>26</v>
      </c>
      <c r="D1364" t="s">
        <v>16</v>
      </c>
      <c r="E1364" t="s">
        <v>17</v>
      </c>
      <c r="F1364" t="s">
        <v>23</v>
      </c>
      <c r="G1364" t="s">
        <v>42</v>
      </c>
      <c r="H1364" t="s">
        <v>20</v>
      </c>
      <c r="I1364" s="1">
        <v>2</v>
      </c>
      <c r="J1364" s="2">
        <v>45761</v>
      </c>
      <c r="K1364" s="2">
        <v>45748</v>
      </c>
      <c r="L1364" s="1" t="str">
        <f t="shared" si="114"/>
        <v>seg</v>
      </c>
      <c r="M1364" s="1" t="str">
        <f t="shared" si="115"/>
        <v>abr</v>
      </c>
      <c r="N1364">
        <f t="shared" si="116"/>
        <v>2025</v>
      </c>
      <c r="O1364" s="2">
        <f>_xlfn.XLOOKUP(A1364,Colaboradores!$A:$A,Colaboradores!$S:$S,"",0)</f>
        <v>45810</v>
      </c>
      <c r="P1364" t="str">
        <f t="shared" si="113"/>
        <v>125045761</v>
      </c>
    </row>
    <row r="1365" spans="1:16" x14ac:dyDescent="0.3">
      <c r="A1365">
        <v>1250</v>
      </c>
      <c r="B1365">
        <v>40</v>
      </c>
      <c r="C1365" t="s">
        <v>26</v>
      </c>
      <c r="D1365" t="s">
        <v>16</v>
      </c>
      <c r="E1365" t="s">
        <v>17</v>
      </c>
      <c r="F1365" t="s">
        <v>23</v>
      </c>
      <c r="G1365" t="s">
        <v>41</v>
      </c>
      <c r="H1365" t="s">
        <v>20</v>
      </c>
      <c r="I1365" s="1">
        <v>2</v>
      </c>
      <c r="J1365" s="2">
        <v>45790</v>
      </c>
      <c r="K1365" s="2">
        <v>45778</v>
      </c>
      <c r="L1365" s="1" t="str">
        <f t="shared" si="114"/>
        <v>ter</v>
      </c>
      <c r="M1365" s="1" t="str">
        <f t="shared" si="115"/>
        <v>mai</v>
      </c>
      <c r="N1365">
        <f t="shared" si="116"/>
        <v>2025</v>
      </c>
      <c r="O1365" s="2">
        <f>_xlfn.XLOOKUP(A1365,Colaboradores!$A:$A,Colaboradores!$S:$S,"",0)</f>
        <v>45810</v>
      </c>
      <c r="P1365" t="str">
        <f t="shared" si="113"/>
        <v>125045790</v>
      </c>
    </row>
    <row r="1366" spans="1:16" x14ac:dyDescent="0.3">
      <c r="A1366">
        <v>1250</v>
      </c>
      <c r="B1366">
        <v>40</v>
      </c>
      <c r="C1366" t="s">
        <v>26</v>
      </c>
      <c r="D1366" t="s">
        <v>16</v>
      </c>
      <c r="E1366" t="s">
        <v>17</v>
      </c>
      <c r="F1366" t="s">
        <v>23</v>
      </c>
      <c r="G1366" t="s">
        <v>41</v>
      </c>
      <c r="H1366" t="s">
        <v>20</v>
      </c>
      <c r="I1366" s="1">
        <v>2</v>
      </c>
      <c r="J1366" s="2">
        <v>45796</v>
      </c>
      <c r="K1366" s="2">
        <v>45778</v>
      </c>
      <c r="L1366" s="1" t="str">
        <f t="shared" si="114"/>
        <v>seg</v>
      </c>
      <c r="M1366" s="1" t="str">
        <f t="shared" si="115"/>
        <v>mai</v>
      </c>
      <c r="N1366">
        <f t="shared" si="116"/>
        <v>2025</v>
      </c>
      <c r="O1366" s="2">
        <f>_xlfn.XLOOKUP(A1366,Colaboradores!$A:$A,Colaboradores!$S:$S,"",0)</f>
        <v>45810</v>
      </c>
      <c r="P1366" t="str">
        <f t="shared" si="113"/>
        <v>125045796</v>
      </c>
    </row>
    <row r="1367" spans="1:16" x14ac:dyDescent="0.3">
      <c r="A1367">
        <v>1250</v>
      </c>
      <c r="B1367">
        <v>40</v>
      </c>
      <c r="C1367" t="s">
        <v>26</v>
      </c>
      <c r="D1367" t="s">
        <v>16</v>
      </c>
      <c r="E1367" t="s">
        <v>17</v>
      </c>
      <c r="F1367" t="s">
        <v>23</v>
      </c>
      <c r="G1367" t="s">
        <v>41</v>
      </c>
      <c r="H1367" t="s">
        <v>20</v>
      </c>
      <c r="I1367" s="1">
        <v>2</v>
      </c>
      <c r="J1367" s="2">
        <v>45799</v>
      </c>
      <c r="K1367" s="2">
        <v>45778</v>
      </c>
      <c r="L1367" s="1" t="str">
        <f t="shared" si="114"/>
        <v>qui</v>
      </c>
      <c r="M1367" s="1" t="str">
        <f t="shared" si="115"/>
        <v>mai</v>
      </c>
      <c r="N1367">
        <f t="shared" si="116"/>
        <v>2025</v>
      </c>
      <c r="O1367" s="2">
        <f>_xlfn.XLOOKUP(A1367,Colaboradores!$A:$A,Colaboradores!$S:$S,"",0)</f>
        <v>45810</v>
      </c>
      <c r="P1367" t="str">
        <f t="shared" si="113"/>
        <v>125045799</v>
      </c>
    </row>
    <row r="1368" spans="1:16" x14ac:dyDescent="0.3">
      <c r="A1368">
        <v>1251</v>
      </c>
      <c r="B1368">
        <v>22</v>
      </c>
      <c r="C1368" t="s">
        <v>26</v>
      </c>
      <c r="D1368" t="s">
        <v>27</v>
      </c>
      <c r="E1368" t="s">
        <v>17</v>
      </c>
      <c r="F1368" t="s">
        <v>21</v>
      </c>
      <c r="G1368" t="s">
        <v>40</v>
      </c>
      <c r="H1368" t="s">
        <v>25</v>
      </c>
      <c r="I1368" s="1">
        <v>2</v>
      </c>
      <c r="J1368" s="2">
        <v>45771</v>
      </c>
      <c r="K1368" s="2">
        <v>45748</v>
      </c>
      <c r="L1368" s="1" t="str">
        <f t="shared" si="114"/>
        <v>qui</v>
      </c>
      <c r="M1368" s="1" t="str">
        <f t="shared" si="115"/>
        <v>abr</v>
      </c>
      <c r="N1368">
        <f t="shared" si="116"/>
        <v>2025</v>
      </c>
      <c r="O1368" s="2"/>
      <c r="P1368" t="str">
        <f t="shared" si="113"/>
        <v>125145771</v>
      </c>
    </row>
    <row r="1369" spans="1:16" x14ac:dyDescent="0.3">
      <c r="A1369">
        <v>1251</v>
      </c>
      <c r="B1369">
        <v>22</v>
      </c>
      <c r="C1369" t="s">
        <v>26</v>
      </c>
      <c r="D1369" t="s">
        <v>27</v>
      </c>
      <c r="E1369" t="s">
        <v>17</v>
      </c>
      <c r="F1369" t="s">
        <v>21</v>
      </c>
      <c r="G1369" t="s">
        <v>40</v>
      </c>
      <c r="H1369" t="s">
        <v>25</v>
      </c>
      <c r="I1369" s="1">
        <v>2</v>
      </c>
      <c r="J1369" s="2">
        <v>46202</v>
      </c>
      <c r="K1369" s="2">
        <v>45809</v>
      </c>
      <c r="L1369" s="1" t="str">
        <f t="shared" si="114"/>
        <v>seg</v>
      </c>
      <c r="M1369" s="1" t="str">
        <f t="shared" si="115"/>
        <v>jun</v>
      </c>
      <c r="N1369">
        <f t="shared" si="116"/>
        <v>2026</v>
      </c>
      <c r="O1369" s="2"/>
      <c r="P1369" t="str">
        <f t="shared" si="113"/>
        <v>125146202</v>
      </c>
    </row>
    <row r="1370" spans="1:16" x14ac:dyDescent="0.3">
      <c r="A1370">
        <v>1251</v>
      </c>
      <c r="B1370">
        <v>22</v>
      </c>
      <c r="C1370" t="s">
        <v>26</v>
      </c>
      <c r="D1370" t="s">
        <v>27</v>
      </c>
      <c r="E1370" t="s">
        <v>17</v>
      </c>
      <c r="F1370" t="s">
        <v>21</v>
      </c>
      <c r="G1370" t="s">
        <v>41</v>
      </c>
      <c r="H1370" t="s">
        <v>25</v>
      </c>
      <c r="I1370" s="1">
        <v>2</v>
      </c>
      <c r="J1370" s="2">
        <v>45857</v>
      </c>
      <c r="K1370" s="2">
        <v>45839</v>
      </c>
      <c r="L1370" s="1" t="str">
        <f t="shared" si="114"/>
        <v>sáb</v>
      </c>
      <c r="M1370" s="1" t="str">
        <f t="shared" si="115"/>
        <v>jul</v>
      </c>
      <c r="N1370">
        <f t="shared" si="116"/>
        <v>2025</v>
      </c>
      <c r="O1370" s="2"/>
      <c r="P1370" t="str">
        <f t="shared" si="113"/>
        <v>125145857</v>
      </c>
    </row>
    <row r="1371" spans="1:16" x14ac:dyDescent="0.3">
      <c r="A1371">
        <v>1251</v>
      </c>
      <c r="B1371">
        <v>22</v>
      </c>
      <c r="C1371" t="s">
        <v>26</v>
      </c>
      <c r="D1371" t="s">
        <v>27</v>
      </c>
      <c r="E1371" t="s">
        <v>17</v>
      </c>
      <c r="F1371" t="s">
        <v>21</v>
      </c>
      <c r="G1371" t="s">
        <v>41</v>
      </c>
      <c r="H1371" t="s">
        <v>25</v>
      </c>
      <c r="I1371" s="1">
        <v>2</v>
      </c>
      <c r="J1371" s="2">
        <v>46018</v>
      </c>
      <c r="K1371" s="2">
        <v>45992</v>
      </c>
      <c r="L1371" s="1" t="str">
        <f t="shared" si="114"/>
        <v>sáb</v>
      </c>
      <c r="M1371" s="1" t="str">
        <f t="shared" si="115"/>
        <v>dez</v>
      </c>
      <c r="N1371">
        <f t="shared" si="116"/>
        <v>2025</v>
      </c>
      <c r="O1371" s="2"/>
      <c r="P1371" t="str">
        <f t="shared" si="113"/>
        <v>125146018</v>
      </c>
    </row>
    <row r="1372" spans="1:16" x14ac:dyDescent="0.3">
      <c r="A1372">
        <v>1251</v>
      </c>
      <c r="B1372">
        <v>22</v>
      </c>
      <c r="C1372" t="s">
        <v>26</v>
      </c>
      <c r="D1372" t="s">
        <v>27</v>
      </c>
      <c r="E1372" t="s">
        <v>17</v>
      </c>
      <c r="F1372" t="s">
        <v>21</v>
      </c>
      <c r="G1372" t="s">
        <v>40</v>
      </c>
      <c r="H1372" t="s">
        <v>25</v>
      </c>
      <c r="I1372" s="1">
        <v>2</v>
      </c>
      <c r="J1372" s="2">
        <v>46062</v>
      </c>
      <c r="K1372" s="2">
        <v>46054</v>
      </c>
      <c r="L1372" s="1" t="str">
        <f t="shared" si="114"/>
        <v>seg</v>
      </c>
      <c r="M1372" s="1" t="str">
        <f t="shared" si="115"/>
        <v>fev</v>
      </c>
      <c r="N1372">
        <f t="shared" si="116"/>
        <v>2026</v>
      </c>
      <c r="O1372" s="2"/>
      <c r="P1372" t="str">
        <f t="shared" si="113"/>
        <v>125146062</v>
      </c>
    </row>
    <row r="1373" spans="1:16" x14ac:dyDescent="0.3">
      <c r="A1373">
        <v>1251</v>
      </c>
      <c r="B1373">
        <v>22</v>
      </c>
      <c r="C1373" t="s">
        <v>26</v>
      </c>
      <c r="D1373" t="s">
        <v>27</v>
      </c>
      <c r="E1373" t="s">
        <v>17</v>
      </c>
      <c r="F1373" t="s">
        <v>21</v>
      </c>
      <c r="G1373" t="s">
        <v>41</v>
      </c>
      <c r="H1373" t="s">
        <v>25</v>
      </c>
      <c r="I1373" s="1">
        <v>2</v>
      </c>
      <c r="J1373" s="2">
        <v>46073</v>
      </c>
      <c r="K1373" s="2">
        <v>46054</v>
      </c>
      <c r="L1373" s="1" t="str">
        <f t="shared" si="114"/>
        <v>sex</v>
      </c>
      <c r="M1373" s="1" t="str">
        <f t="shared" si="115"/>
        <v>fev</v>
      </c>
      <c r="N1373">
        <f t="shared" si="116"/>
        <v>2026</v>
      </c>
      <c r="O1373" s="2"/>
      <c r="P1373" t="str">
        <f t="shared" si="113"/>
        <v>125146073</v>
      </c>
    </row>
    <row r="1374" spans="1:16" x14ac:dyDescent="0.3">
      <c r="A1374">
        <v>1251</v>
      </c>
      <c r="B1374">
        <v>22</v>
      </c>
      <c r="C1374" t="s">
        <v>26</v>
      </c>
      <c r="D1374" t="s">
        <v>27</v>
      </c>
      <c r="E1374" t="s">
        <v>17</v>
      </c>
      <c r="F1374" t="s">
        <v>21</v>
      </c>
      <c r="G1374" t="s">
        <v>40</v>
      </c>
      <c r="H1374" t="s">
        <v>25</v>
      </c>
      <c r="I1374" s="1">
        <v>2</v>
      </c>
      <c r="J1374" s="2">
        <v>46136</v>
      </c>
      <c r="K1374" s="2">
        <v>46113</v>
      </c>
      <c r="L1374" s="1" t="s">
        <v>52</v>
      </c>
      <c r="M1374" s="1" t="s">
        <v>48</v>
      </c>
      <c r="N1374">
        <v>2025</v>
      </c>
      <c r="O1374" s="2"/>
      <c r="P1374" t="str">
        <f t="shared" si="113"/>
        <v>125146136</v>
      </c>
    </row>
    <row r="1375" spans="1:16" x14ac:dyDescent="0.3">
      <c r="A1375">
        <v>1252</v>
      </c>
      <c r="B1375">
        <v>34</v>
      </c>
      <c r="C1375" t="s">
        <v>15</v>
      </c>
      <c r="D1375" t="s">
        <v>22</v>
      </c>
      <c r="E1375" t="s">
        <v>17</v>
      </c>
      <c r="F1375" t="s">
        <v>21</v>
      </c>
      <c r="G1375" t="s">
        <v>41</v>
      </c>
      <c r="H1375" t="s">
        <v>20</v>
      </c>
      <c r="I1375" s="1">
        <v>2</v>
      </c>
      <c r="J1375" s="2">
        <v>45807</v>
      </c>
      <c r="K1375" s="2">
        <v>45778</v>
      </c>
      <c r="L1375" s="1" t="str">
        <f t="shared" ref="L1375:L1406" si="117">TEXT(J1375,"ddd")</f>
        <v>sex</v>
      </c>
      <c r="M1375" s="1" t="str">
        <f t="shared" ref="M1375:M1406" si="118">TEXT($J1375,"mmm")</f>
        <v>mai</v>
      </c>
      <c r="N1375">
        <f t="shared" ref="N1375:N1406" si="119">YEAR(J1375)</f>
        <v>2025</v>
      </c>
      <c r="O1375" s="2">
        <f>_xlfn.XLOOKUP(A1375,Colaboradores!$A:$A,Colaboradores!$S:$S,"",0)</f>
        <v>45926</v>
      </c>
      <c r="P1375" t="str">
        <f t="shared" si="113"/>
        <v>125245807</v>
      </c>
    </row>
    <row r="1376" spans="1:16" x14ac:dyDescent="0.3">
      <c r="A1376">
        <v>1252</v>
      </c>
      <c r="B1376">
        <v>34</v>
      </c>
      <c r="C1376" t="s">
        <v>15</v>
      </c>
      <c r="D1376" t="s">
        <v>22</v>
      </c>
      <c r="E1376" t="s">
        <v>17</v>
      </c>
      <c r="F1376" t="s">
        <v>21</v>
      </c>
      <c r="G1376" t="s">
        <v>42</v>
      </c>
      <c r="H1376" t="s">
        <v>20</v>
      </c>
      <c r="I1376" s="1">
        <v>2</v>
      </c>
      <c r="J1376" s="2">
        <v>45813</v>
      </c>
      <c r="K1376" s="2">
        <v>45809</v>
      </c>
      <c r="L1376" s="1" t="str">
        <f t="shared" si="117"/>
        <v>qui</v>
      </c>
      <c r="M1376" s="1" t="str">
        <f t="shared" si="118"/>
        <v>jun</v>
      </c>
      <c r="N1376">
        <f t="shared" si="119"/>
        <v>2025</v>
      </c>
      <c r="O1376" s="2">
        <f>_xlfn.XLOOKUP(A1376,Colaboradores!$A:$A,Colaboradores!$S:$S,"",0)</f>
        <v>45926</v>
      </c>
      <c r="P1376" t="str">
        <f t="shared" si="113"/>
        <v>125245813</v>
      </c>
    </row>
    <row r="1377" spans="1:16" x14ac:dyDescent="0.3">
      <c r="A1377">
        <v>1252</v>
      </c>
      <c r="B1377">
        <v>34</v>
      </c>
      <c r="C1377" t="s">
        <v>15</v>
      </c>
      <c r="D1377" t="s">
        <v>22</v>
      </c>
      <c r="E1377" t="s">
        <v>17</v>
      </c>
      <c r="F1377" t="s">
        <v>21</v>
      </c>
      <c r="G1377" t="s">
        <v>41</v>
      </c>
      <c r="H1377" t="s">
        <v>20</v>
      </c>
      <c r="I1377" s="1">
        <v>2</v>
      </c>
      <c r="J1377" s="2">
        <v>45906</v>
      </c>
      <c r="K1377" s="2">
        <v>45901</v>
      </c>
      <c r="L1377" s="1" t="str">
        <f t="shared" si="117"/>
        <v>sáb</v>
      </c>
      <c r="M1377" s="1" t="str">
        <f t="shared" si="118"/>
        <v>set</v>
      </c>
      <c r="N1377">
        <f t="shared" si="119"/>
        <v>2025</v>
      </c>
      <c r="O1377" s="2">
        <f>_xlfn.XLOOKUP(A1377,Colaboradores!$A:$A,Colaboradores!$S:$S,"",0)</f>
        <v>45926</v>
      </c>
      <c r="P1377" t="str">
        <f t="shared" si="113"/>
        <v>125245906</v>
      </c>
    </row>
    <row r="1378" spans="1:16" x14ac:dyDescent="0.3">
      <c r="A1378">
        <v>1252</v>
      </c>
      <c r="B1378">
        <v>34</v>
      </c>
      <c r="C1378" t="s">
        <v>15</v>
      </c>
      <c r="D1378" t="s">
        <v>22</v>
      </c>
      <c r="E1378" t="s">
        <v>17</v>
      </c>
      <c r="F1378" t="s">
        <v>21</v>
      </c>
      <c r="G1378" t="s">
        <v>41</v>
      </c>
      <c r="H1378" t="s">
        <v>20</v>
      </c>
      <c r="I1378" s="1">
        <v>2</v>
      </c>
      <c r="J1378" s="2">
        <v>45908</v>
      </c>
      <c r="K1378" s="2">
        <v>45901</v>
      </c>
      <c r="L1378" s="1" t="str">
        <f t="shared" si="117"/>
        <v>seg</v>
      </c>
      <c r="M1378" s="1" t="str">
        <f t="shared" si="118"/>
        <v>set</v>
      </c>
      <c r="N1378">
        <f t="shared" si="119"/>
        <v>2025</v>
      </c>
      <c r="O1378" s="2">
        <f>_xlfn.XLOOKUP(A1378,Colaboradores!$A:$A,Colaboradores!$S:$S,"",0)</f>
        <v>45926</v>
      </c>
      <c r="P1378" t="str">
        <f t="shared" si="113"/>
        <v>125245908</v>
      </c>
    </row>
    <row r="1379" spans="1:16" x14ac:dyDescent="0.3">
      <c r="A1379">
        <v>1252</v>
      </c>
      <c r="B1379">
        <v>34</v>
      </c>
      <c r="C1379" t="s">
        <v>15</v>
      </c>
      <c r="D1379" t="s">
        <v>22</v>
      </c>
      <c r="E1379" t="s">
        <v>17</v>
      </c>
      <c r="F1379" t="s">
        <v>21</v>
      </c>
      <c r="G1379" t="s">
        <v>42</v>
      </c>
      <c r="H1379" t="s">
        <v>20</v>
      </c>
      <c r="I1379" s="1">
        <v>2</v>
      </c>
      <c r="J1379" s="2">
        <v>45909</v>
      </c>
      <c r="K1379" s="2">
        <v>45901</v>
      </c>
      <c r="L1379" s="1" t="str">
        <f t="shared" si="117"/>
        <v>ter</v>
      </c>
      <c r="M1379" s="1" t="str">
        <f t="shared" si="118"/>
        <v>set</v>
      </c>
      <c r="N1379">
        <f t="shared" si="119"/>
        <v>2025</v>
      </c>
      <c r="O1379" s="2">
        <f>_xlfn.XLOOKUP(A1379,Colaboradores!$A:$A,Colaboradores!$S:$S,"",0)</f>
        <v>45926</v>
      </c>
      <c r="P1379" t="str">
        <f t="shared" si="113"/>
        <v>125245909</v>
      </c>
    </row>
    <row r="1380" spans="1:16" x14ac:dyDescent="0.3">
      <c r="A1380">
        <v>1252</v>
      </c>
      <c r="B1380">
        <v>34</v>
      </c>
      <c r="C1380" t="s">
        <v>15</v>
      </c>
      <c r="D1380" t="s">
        <v>22</v>
      </c>
      <c r="E1380" t="s">
        <v>17</v>
      </c>
      <c r="F1380" t="s">
        <v>21</v>
      </c>
      <c r="G1380" t="s">
        <v>42</v>
      </c>
      <c r="H1380" t="s">
        <v>20</v>
      </c>
      <c r="I1380" s="1">
        <v>2</v>
      </c>
      <c r="J1380" s="2">
        <v>45910</v>
      </c>
      <c r="K1380" s="2">
        <v>45901</v>
      </c>
      <c r="L1380" s="1" t="str">
        <f t="shared" si="117"/>
        <v>qua</v>
      </c>
      <c r="M1380" s="1" t="str">
        <f t="shared" si="118"/>
        <v>set</v>
      </c>
      <c r="N1380">
        <f t="shared" si="119"/>
        <v>2025</v>
      </c>
      <c r="O1380" s="2">
        <f>_xlfn.XLOOKUP(A1380,Colaboradores!$A:$A,Colaboradores!$S:$S,"",0)</f>
        <v>45926</v>
      </c>
      <c r="P1380" t="str">
        <f t="shared" si="113"/>
        <v>125245910</v>
      </c>
    </row>
    <row r="1381" spans="1:16" x14ac:dyDescent="0.3">
      <c r="A1381">
        <v>1253</v>
      </c>
      <c r="B1381">
        <v>41</v>
      </c>
      <c r="C1381" t="s">
        <v>26</v>
      </c>
      <c r="D1381" t="s">
        <v>31</v>
      </c>
      <c r="E1381" t="s">
        <v>32</v>
      </c>
      <c r="F1381" t="s">
        <v>23</v>
      </c>
      <c r="G1381" t="s">
        <v>43</v>
      </c>
      <c r="H1381" t="s">
        <v>25</v>
      </c>
      <c r="I1381" s="1">
        <v>1</v>
      </c>
      <c r="J1381" s="2">
        <v>46186</v>
      </c>
      <c r="K1381" s="2">
        <v>45809</v>
      </c>
      <c r="L1381" s="1" t="str">
        <f t="shared" si="117"/>
        <v>sáb</v>
      </c>
      <c r="M1381" s="1" t="str">
        <f t="shared" si="118"/>
        <v>jun</v>
      </c>
      <c r="N1381">
        <f t="shared" si="119"/>
        <v>2026</v>
      </c>
      <c r="O1381" s="2"/>
      <c r="P1381" t="str">
        <f t="shared" si="113"/>
        <v>125346186</v>
      </c>
    </row>
    <row r="1382" spans="1:16" x14ac:dyDescent="0.3">
      <c r="A1382">
        <v>1253</v>
      </c>
      <c r="B1382">
        <v>41</v>
      </c>
      <c r="C1382" t="s">
        <v>26</v>
      </c>
      <c r="D1382" t="s">
        <v>31</v>
      </c>
      <c r="E1382" t="s">
        <v>32</v>
      </c>
      <c r="F1382" t="s">
        <v>23</v>
      </c>
      <c r="G1382" t="s">
        <v>43</v>
      </c>
      <c r="H1382" t="s">
        <v>25</v>
      </c>
      <c r="I1382" s="1">
        <v>1</v>
      </c>
      <c r="J1382" s="2">
        <v>45945</v>
      </c>
      <c r="K1382" s="2">
        <v>45931</v>
      </c>
      <c r="L1382" s="1" t="str">
        <f t="shared" si="117"/>
        <v>qua</v>
      </c>
      <c r="M1382" s="1" t="str">
        <f t="shared" si="118"/>
        <v>out</v>
      </c>
      <c r="N1382">
        <f t="shared" si="119"/>
        <v>2025</v>
      </c>
      <c r="O1382" s="2"/>
      <c r="P1382" t="str">
        <f t="shared" si="113"/>
        <v>125345945</v>
      </c>
    </row>
    <row r="1383" spans="1:16" x14ac:dyDescent="0.3">
      <c r="A1383">
        <v>1253</v>
      </c>
      <c r="B1383">
        <v>41</v>
      </c>
      <c r="C1383" t="s">
        <v>26</v>
      </c>
      <c r="D1383" t="s">
        <v>31</v>
      </c>
      <c r="E1383" t="s">
        <v>32</v>
      </c>
      <c r="F1383" t="s">
        <v>23</v>
      </c>
      <c r="G1383" t="s">
        <v>43</v>
      </c>
      <c r="H1383" t="s">
        <v>25</v>
      </c>
      <c r="I1383" s="1">
        <v>1</v>
      </c>
      <c r="J1383" s="2">
        <v>45972</v>
      </c>
      <c r="K1383" s="2">
        <v>45962</v>
      </c>
      <c r="L1383" s="1" t="str">
        <f t="shared" si="117"/>
        <v>ter</v>
      </c>
      <c r="M1383" s="1" t="str">
        <f t="shared" si="118"/>
        <v>nov</v>
      </c>
      <c r="N1383">
        <f t="shared" si="119"/>
        <v>2025</v>
      </c>
      <c r="O1383" s="2"/>
      <c r="P1383" t="str">
        <f t="shared" si="113"/>
        <v>125345972</v>
      </c>
    </row>
    <row r="1384" spans="1:16" x14ac:dyDescent="0.3">
      <c r="A1384">
        <v>1253</v>
      </c>
      <c r="B1384">
        <v>41</v>
      </c>
      <c r="C1384" t="s">
        <v>26</v>
      </c>
      <c r="D1384" t="s">
        <v>31</v>
      </c>
      <c r="E1384" t="s">
        <v>32</v>
      </c>
      <c r="F1384" t="s">
        <v>23</v>
      </c>
      <c r="G1384" t="s">
        <v>43</v>
      </c>
      <c r="H1384" t="s">
        <v>25</v>
      </c>
      <c r="I1384" s="1">
        <v>1</v>
      </c>
      <c r="J1384" s="2">
        <v>46020</v>
      </c>
      <c r="K1384" s="2">
        <v>45992</v>
      </c>
      <c r="L1384" s="1" t="str">
        <f t="shared" si="117"/>
        <v>seg</v>
      </c>
      <c r="M1384" s="1" t="str">
        <f t="shared" si="118"/>
        <v>dez</v>
      </c>
      <c r="N1384">
        <f t="shared" si="119"/>
        <v>2025</v>
      </c>
      <c r="O1384" s="2"/>
      <c r="P1384" t="str">
        <f t="shared" si="113"/>
        <v>125346020</v>
      </c>
    </row>
    <row r="1385" spans="1:16" x14ac:dyDescent="0.3">
      <c r="A1385">
        <v>1253</v>
      </c>
      <c r="B1385">
        <v>41</v>
      </c>
      <c r="C1385" t="s">
        <v>26</v>
      </c>
      <c r="D1385" t="s">
        <v>31</v>
      </c>
      <c r="E1385" t="s">
        <v>32</v>
      </c>
      <c r="F1385" t="s">
        <v>23</v>
      </c>
      <c r="G1385" t="s">
        <v>43</v>
      </c>
      <c r="H1385" t="s">
        <v>25</v>
      </c>
      <c r="I1385" s="1">
        <v>1</v>
      </c>
      <c r="J1385" s="2">
        <v>46179</v>
      </c>
      <c r="K1385" s="2">
        <v>46023</v>
      </c>
      <c r="L1385" s="1" t="str">
        <f t="shared" si="117"/>
        <v>sáb</v>
      </c>
      <c r="M1385" s="1" t="str">
        <f t="shared" si="118"/>
        <v>jun</v>
      </c>
      <c r="N1385">
        <f t="shared" si="119"/>
        <v>2026</v>
      </c>
      <c r="O1385" s="2"/>
      <c r="P1385" t="str">
        <f t="shared" si="113"/>
        <v>125346179</v>
      </c>
    </row>
    <row r="1386" spans="1:16" x14ac:dyDescent="0.3">
      <c r="A1386">
        <v>1254</v>
      </c>
      <c r="B1386">
        <v>25</v>
      </c>
      <c r="C1386" t="s">
        <v>15</v>
      </c>
      <c r="D1386" t="s">
        <v>16</v>
      </c>
      <c r="E1386" t="s">
        <v>17</v>
      </c>
      <c r="F1386" t="s">
        <v>21</v>
      </c>
      <c r="G1386" t="s">
        <v>41</v>
      </c>
      <c r="H1386" t="s">
        <v>20</v>
      </c>
      <c r="I1386" s="1">
        <v>1</v>
      </c>
      <c r="J1386" s="2">
        <v>45842</v>
      </c>
      <c r="K1386" s="2">
        <v>45839</v>
      </c>
      <c r="L1386" s="1" t="str">
        <f t="shared" si="117"/>
        <v>sex</v>
      </c>
      <c r="M1386" s="1" t="str">
        <f t="shared" si="118"/>
        <v>jul</v>
      </c>
      <c r="N1386">
        <f t="shared" si="119"/>
        <v>2025</v>
      </c>
      <c r="O1386" s="2">
        <f>_xlfn.XLOOKUP(A1386,Colaboradores!$A:$A,Colaboradores!$S:$S,"",0)</f>
        <v>46067</v>
      </c>
      <c r="P1386" t="str">
        <f t="shared" si="113"/>
        <v>125445842</v>
      </c>
    </row>
    <row r="1387" spans="1:16" x14ac:dyDescent="0.3">
      <c r="A1387">
        <v>1254</v>
      </c>
      <c r="B1387">
        <v>25</v>
      </c>
      <c r="C1387" t="s">
        <v>15</v>
      </c>
      <c r="D1387" t="s">
        <v>16</v>
      </c>
      <c r="E1387" t="s">
        <v>17</v>
      </c>
      <c r="F1387" t="s">
        <v>21</v>
      </c>
      <c r="G1387" t="s">
        <v>43</v>
      </c>
      <c r="H1387" t="s">
        <v>20</v>
      </c>
      <c r="I1387" s="1">
        <v>1</v>
      </c>
      <c r="J1387" s="2">
        <v>45896</v>
      </c>
      <c r="K1387" s="2">
        <v>45870</v>
      </c>
      <c r="L1387" s="1" t="str">
        <f t="shared" si="117"/>
        <v>qua</v>
      </c>
      <c r="M1387" s="1" t="str">
        <f t="shared" si="118"/>
        <v>ago</v>
      </c>
      <c r="N1387">
        <f t="shared" si="119"/>
        <v>2025</v>
      </c>
      <c r="O1387" s="2">
        <f>_xlfn.XLOOKUP(A1387,Colaboradores!$A:$A,Colaboradores!$S:$S,"",0)</f>
        <v>46067</v>
      </c>
      <c r="P1387" t="str">
        <f t="shared" si="113"/>
        <v>125445896</v>
      </c>
    </row>
    <row r="1388" spans="1:16" x14ac:dyDescent="0.3">
      <c r="A1388">
        <v>1254</v>
      </c>
      <c r="B1388">
        <v>25</v>
      </c>
      <c r="C1388" t="s">
        <v>15</v>
      </c>
      <c r="D1388" t="s">
        <v>16</v>
      </c>
      <c r="E1388" t="s">
        <v>17</v>
      </c>
      <c r="F1388" t="s">
        <v>21</v>
      </c>
      <c r="G1388" t="s">
        <v>43</v>
      </c>
      <c r="H1388" t="s">
        <v>20</v>
      </c>
      <c r="I1388" s="1">
        <v>1</v>
      </c>
      <c r="J1388" s="2">
        <v>45906</v>
      </c>
      <c r="K1388" s="2">
        <v>45901</v>
      </c>
      <c r="L1388" s="1" t="str">
        <f t="shared" si="117"/>
        <v>sáb</v>
      </c>
      <c r="M1388" s="1" t="str">
        <f t="shared" si="118"/>
        <v>set</v>
      </c>
      <c r="N1388">
        <f t="shared" si="119"/>
        <v>2025</v>
      </c>
      <c r="O1388" s="2">
        <f>_xlfn.XLOOKUP(A1388,Colaboradores!$A:$A,Colaboradores!$S:$S,"",0)</f>
        <v>46067</v>
      </c>
      <c r="P1388" t="str">
        <f t="shared" si="113"/>
        <v>125445906</v>
      </c>
    </row>
    <row r="1389" spans="1:16" x14ac:dyDescent="0.3">
      <c r="A1389">
        <v>1254</v>
      </c>
      <c r="B1389">
        <v>25</v>
      </c>
      <c r="C1389" t="s">
        <v>15</v>
      </c>
      <c r="D1389" t="s">
        <v>16</v>
      </c>
      <c r="E1389" t="s">
        <v>17</v>
      </c>
      <c r="F1389" t="s">
        <v>21</v>
      </c>
      <c r="G1389" t="s">
        <v>43</v>
      </c>
      <c r="H1389" t="s">
        <v>20</v>
      </c>
      <c r="I1389" s="1">
        <v>1</v>
      </c>
      <c r="J1389" s="2">
        <v>45928</v>
      </c>
      <c r="K1389" s="2">
        <v>45901</v>
      </c>
      <c r="L1389" s="1" t="str">
        <f t="shared" si="117"/>
        <v>dom</v>
      </c>
      <c r="M1389" s="1" t="str">
        <f t="shared" si="118"/>
        <v>set</v>
      </c>
      <c r="N1389">
        <f t="shared" si="119"/>
        <v>2025</v>
      </c>
      <c r="O1389" s="2">
        <f>_xlfn.XLOOKUP(A1389,Colaboradores!$A:$A,Colaboradores!$S:$S,"",0)</f>
        <v>46067</v>
      </c>
      <c r="P1389" t="str">
        <f t="shared" si="113"/>
        <v>125445928</v>
      </c>
    </row>
    <row r="1390" spans="1:16" x14ac:dyDescent="0.3">
      <c r="A1390">
        <v>1254</v>
      </c>
      <c r="B1390">
        <v>25</v>
      </c>
      <c r="C1390" t="s">
        <v>15</v>
      </c>
      <c r="D1390" t="s">
        <v>16</v>
      </c>
      <c r="E1390" t="s">
        <v>17</v>
      </c>
      <c r="F1390" t="s">
        <v>21</v>
      </c>
      <c r="G1390" t="s">
        <v>43</v>
      </c>
      <c r="H1390" t="s">
        <v>20</v>
      </c>
      <c r="I1390" s="1">
        <v>1</v>
      </c>
      <c r="J1390" s="2">
        <v>45961</v>
      </c>
      <c r="K1390" s="2">
        <v>45931</v>
      </c>
      <c r="L1390" s="1" t="str">
        <f t="shared" si="117"/>
        <v>sex</v>
      </c>
      <c r="M1390" s="1" t="str">
        <f t="shared" si="118"/>
        <v>out</v>
      </c>
      <c r="N1390">
        <f t="shared" si="119"/>
        <v>2025</v>
      </c>
      <c r="O1390" s="2">
        <f>_xlfn.XLOOKUP(A1390,Colaboradores!$A:$A,Colaboradores!$S:$S,"",0)</f>
        <v>46067</v>
      </c>
      <c r="P1390" t="str">
        <f t="shared" si="113"/>
        <v>125445961</v>
      </c>
    </row>
    <row r="1391" spans="1:16" x14ac:dyDescent="0.3">
      <c r="A1391">
        <v>1254</v>
      </c>
      <c r="B1391">
        <v>25</v>
      </c>
      <c r="C1391" t="s">
        <v>15</v>
      </c>
      <c r="D1391" t="s">
        <v>16</v>
      </c>
      <c r="E1391" t="s">
        <v>17</v>
      </c>
      <c r="F1391" t="s">
        <v>21</v>
      </c>
      <c r="G1391" t="s">
        <v>41</v>
      </c>
      <c r="H1391" t="s">
        <v>20</v>
      </c>
      <c r="I1391" s="1">
        <v>1</v>
      </c>
      <c r="J1391" s="2">
        <v>45964</v>
      </c>
      <c r="K1391" s="2">
        <v>45962</v>
      </c>
      <c r="L1391" s="1" t="str">
        <f t="shared" si="117"/>
        <v>seg</v>
      </c>
      <c r="M1391" s="1" t="str">
        <f t="shared" si="118"/>
        <v>nov</v>
      </c>
      <c r="N1391">
        <f t="shared" si="119"/>
        <v>2025</v>
      </c>
      <c r="O1391" s="2">
        <f>_xlfn.XLOOKUP(A1391,Colaboradores!$A:$A,Colaboradores!$S:$S,"",0)</f>
        <v>46067</v>
      </c>
      <c r="P1391" t="str">
        <f t="shared" si="113"/>
        <v>125445964</v>
      </c>
    </row>
    <row r="1392" spans="1:16" x14ac:dyDescent="0.3">
      <c r="A1392">
        <v>1256</v>
      </c>
      <c r="B1392">
        <v>30</v>
      </c>
      <c r="C1392" t="s">
        <v>15</v>
      </c>
      <c r="D1392" t="s">
        <v>16</v>
      </c>
      <c r="E1392" t="s">
        <v>17</v>
      </c>
      <c r="F1392" t="s">
        <v>18</v>
      </c>
      <c r="G1392" t="s">
        <v>40</v>
      </c>
      <c r="H1392" t="s">
        <v>25</v>
      </c>
      <c r="I1392" s="1">
        <v>2</v>
      </c>
      <c r="J1392" s="2">
        <v>46176</v>
      </c>
      <c r="K1392" s="2">
        <v>45809</v>
      </c>
      <c r="L1392" s="1" t="str">
        <f t="shared" si="117"/>
        <v>qua</v>
      </c>
      <c r="M1392" s="1" t="str">
        <f t="shared" si="118"/>
        <v>jun</v>
      </c>
      <c r="N1392">
        <f t="shared" si="119"/>
        <v>2026</v>
      </c>
      <c r="O1392" s="2"/>
      <c r="P1392" t="str">
        <f t="shared" si="113"/>
        <v>125646176</v>
      </c>
    </row>
    <row r="1393" spans="1:16" x14ac:dyDescent="0.3">
      <c r="A1393">
        <v>1256</v>
      </c>
      <c r="B1393">
        <v>30</v>
      </c>
      <c r="C1393" t="s">
        <v>15</v>
      </c>
      <c r="D1393" t="s">
        <v>16</v>
      </c>
      <c r="E1393" t="s">
        <v>17</v>
      </c>
      <c r="F1393" t="s">
        <v>18</v>
      </c>
      <c r="G1393" t="s">
        <v>41</v>
      </c>
      <c r="H1393" t="s">
        <v>25</v>
      </c>
      <c r="I1393" s="1">
        <v>2</v>
      </c>
      <c r="J1393" s="2">
        <v>46201</v>
      </c>
      <c r="K1393" s="2">
        <v>45809</v>
      </c>
      <c r="L1393" s="1" t="str">
        <f t="shared" si="117"/>
        <v>dom</v>
      </c>
      <c r="M1393" s="1" t="str">
        <f t="shared" si="118"/>
        <v>jun</v>
      </c>
      <c r="N1393">
        <f t="shared" si="119"/>
        <v>2026</v>
      </c>
      <c r="O1393" s="2"/>
      <c r="P1393" t="str">
        <f t="shared" si="113"/>
        <v>125646201</v>
      </c>
    </row>
    <row r="1394" spans="1:16" x14ac:dyDescent="0.3">
      <c r="A1394">
        <v>1256</v>
      </c>
      <c r="B1394">
        <v>30</v>
      </c>
      <c r="C1394" t="s">
        <v>15</v>
      </c>
      <c r="D1394" t="s">
        <v>16</v>
      </c>
      <c r="E1394" t="s">
        <v>17</v>
      </c>
      <c r="F1394" t="s">
        <v>18</v>
      </c>
      <c r="G1394" t="s">
        <v>40</v>
      </c>
      <c r="H1394" t="s">
        <v>25</v>
      </c>
      <c r="I1394" s="1">
        <v>2</v>
      </c>
      <c r="J1394" s="2">
        <v>45922</v>
      </c>
      <c r="K1394" s="2">
        <v>45901</v>
      </c>
      <c r="L1394" s="1" t="str">
        <f t="shared" si="117"/>
        <v>seg</v>
      </c>
      <c r="M1394" s="1" t="str">
        <f t="shared" si="118"/>
        <v>set</v>
      </c>
      <c r="N1394">
        <f t="shared" si="119"/>
        <v>2025</v>
      </c>
      <c r="O1394" s="2"/>
      <c r="P1394" t="str">
        <f t="shared" si="113"/>
        <v>125645922</v>
      </c>
    </row>
    <row r="1395" spans="1:16" x14ac:dyDescent="0.3">
      <c r="A1395">
        <v>1256</v>
      </c>
      <c r="B1395">
        <v>30</v>
      </c>
      <c r="C1395" t="s">
        <v>15</v>
      </c>
      <c r="D1395" t="s">
        <v>16</v>
      </c>
      <c r="E1395" t="s">
        <v>17</v>
      </c>
      <c r="F1395" t="s">
        <v>18</v>
      </c>
      <c r="G1395" t="s">
        <v>40</v>
      </c>
      <c r="H1395" t="s">
        <v>25</v>
      </c>
      <c r="I1395" s="1">
        <v>2</v>
      </c>
      <c r="J1395" s="2">
        <v>46197</v>
      </c>
      <c r="K1395" s="2">
        <v>46023</v>
      </c>
      <c r="L1395" s="1" t="str">
        <f t="shared" si="117"/>
        <v>qua</v>
      </c>
      <c r="M1395" s="1" t="str">
        <f t="shared" si="118"/>
        <v>jun</v>
      </c>
      <c r="N1395">
        <f t="shared" si="119"/>
        <v>2026</v>
      </c>
      <c r="O1395" s="2"/>
      <c r="P1395" t="str">
        <f t="shared" si="113"/>
        <v>125646197</v>
      </c>
    </row>
    <row r="1396" spans="1:16" x14ac:dyDescent="0.3">
      <c r="A1396">
        <v>1256</v>
      </c>
      <c r="B1396">
        <v>30</v>
      </c>
      <c r="C1396" t="s">
        <v>15</v>
      </c>
      <c r="D1396" t="s">
        <v>16</v>
      </c>
      <c r="E1396" t="s">
        <v>17</v>
      </c>
      <c r="F1396" t="s">
        <v>18</v>
      </c>
      <c r="G1396" t="s">
        <v>40</v>
      </c>
      <c r="H1396" t="s">
        <v>25</v>
      </c>
      <c r="I1396" s="1">
        <v>2</v>
      </c>
      <c r="J1396" s="2">
        <v>46099</v>
      </c>
      <c r="K1396" s="2">
        <v>46082</v>
      </c>
      <c r="L1396" s="1" t="str">
        <f t="shared" si="117"/>
        <v>qua</v>
      </c>
      <c r="M1396" s="1" t="str">
        <f t="shared" si="118"/>
        <v>mar</v>
      </c>
      <c r="N1396">
        <f t="shared" si="119"/>
        <v>2026</v>
      </c>
      <c r="O1396" s="2"/>
      <c r="P1396" t="str">
        <f t="shared" si="113"/>
        <v>125646099</v>
      </c>
    </row>
    <row r="1397" spans="1:16" x14ac:dyDescent="0.3">
      <c r="A1397">
        <v>1256</v>
      </c>
      <c r="B1397">
        <v>30</v>
      </c>
      <c r="C1397" t="s">
        <v>15</v>
      </c>
      <c r="D1397" t="s">
        <v>16</v>
      </c>
      <c r="E1397" t="s">
        <v>17</v>
      </c>
      <c r="F1397" t="s">
        <v>18</v>
      </c>
      <c r="G1397" t="s">
        <v>41</v>
      </c>
      <c r="H1397" t="s">
        <v>25</v>
      </c>
      <c r="I1397" s="1">
        <v>2</v>
      </c>
      <c r="J1397" s="2">
        <v>46102</v>
      </c>
      <c r="K1397" s="2">
        <v>46082</v>
      </c>
      <c r="L1397" s="1" t="str">
        <f t="shared" si="117"/>
        <v>sáb</v>
      </c>
      <c r="M1397" s="1" t="str">
        <f t="shared" si="118"/>
        <v>mar</v>
      </c>
      <c r="N1397">
        <f t="shared" si="119"/>
        <v>2026</v>
      </c>
      <c r="O1397" s="2"/>
      <c r="P1397" t="str">
        <f t="shared" si="113"/>
        <v>125646102</v>
      </c>
    </row>
    <row r="1398" spans="1:16" x14ac:dyDescent="0.3">
      <c r="A1398">
        <v>1257</v>
      </c>
      <c r="B1398">
        <v>42</v>
      </c>
      <c r="C1398" t="s">
        <v>26</v>
      </c>
      <c r="D1398" t="s">
        <v>16</v>
      </c>
      <c r="E1398" t="s">
        <v>17</v>
      </c>
      <c r="F1398" t="s">
        <v>21</v>
      </c>
      <c r="G1398" t="s">
        <v>41</v>
      </c>
      <c r="H1398" t="s">
        <v>20</v>
      </c>
      <c r="I1398" s="1">
        <v>2</v>
      </c>
      <c r="J1398" s="2">
        <v>45807</v>
      </c>
      <c r="K1398" s="2">
        <v>45778</v>
      </c>
      <c r="L1398" s="1" t="str">
        <f t="shared" si="117"/>
        <v>sex</v>
      </c>
      <c r="M1398" s="1" t="str">
        <f t="shared" si="118"/>
        <v>mai</v>
      </c>
      <c r="N1398">
        <f t="shared" si="119"/>
        <v>2025</v>
      </c>
      <c r="O1398" s="2">
        <f>_xlfn.XLOOKUP(A1398,Colaboradores!$A:$A,Colaboradores!$S:$S,"",0)</f>
        <v>45867</v>
      </c>
      <c r="P1398" t="str">
        <f t="shared" si="113"/>
        <v>125745807</v>
      </c>
    </row>
    <row r="1399" spans="1:16" x14ac:dyDescent="0.3">
      <c r="A1399">
        <v>1257</v>
      </c>
      <c r="B1399">
        <v>42</v>
      </c>
      <c r="C1399" t="s">
        <v>26</v>
      </c>
      <c r="D1399" t="s">
        <v>16</v>
      </c>
      <c r="E1399" t="s">
        <v>17</v>
      </c>
      <c r="F1399" t="s">
        <v>21</v>
      </c>
      <c r="G1399" t="s">
        <v>41</v>
      </c>
      <c r="H1399" t="s">
        <v>20</v>
      </c>
      <c r="I1399" s="1">
        <v>2</v>
      </c>
      <c r="J1399" s="2">
        <v>45818</v>
      </c>
      <c r="K1399" s="2">
        <v>45809</v>
      </c>
      <c r="L1399" s="1" t="str">
        <f t="shared" si="117"/>
        <v>ter</v>
      </c>
      <c r="M1399" s="1" t="str">
        <f t="shared" si="118"/>
        <v>jun</v>
      </c>
      <c r="N1399">
        <f t="shared" si="119"/>
        <v>2025</v>
      </c>
      <c r="O1399" s="2">
        <f>_xlfn.XLOOKUP(A1399,Colaboradores!$A:$A,Colaboradores!$S:$S,"",0)</f>
        <v>45867</v>
      </c>
      <c r="P1399" t="str">
        <f t="shared" si="113"/>
        <v>125745818</v>
      </c>
    </row>
    <row r="1400" spans="1:16" x14ac:dyDescent="0.3">
      <c r="A1400">
        <v>1257</v>
      </c>
      <c r="B1400">
        <v>42</v>
      </c>
      <c r="C1400" t="s">
        <v>26</v>
      </c>
      <c r="D1400" t="s">
        <v>16</v>
      </c>
      <c r="E1400" t="s">
        <v>17</v>
      </c>
      <c r="F1400" t="s">
        <v>21</v>
      </c>
      <c r="G1400" t="s">
        <v>41</v>
      </c>
      <c r="H1400" t="s">
        <v>20</v>
      </c>
      <c r="I1400" s="1">
        <v>2</v>
      </c>
      <c r="J1400" s="2">
        <v>45852</v>
      </c>
      <c r="K1400" s="2">
        <v>45839</v>
      </c>
      <c r="L1400" s="1" t="str">
        <f t="shared" si="117"/>
        <v>seg</v>
      </c>
      <c r="M1400" s="1" t="str">
        <f t="shared" si="118"/>
        <v>jul</v>
      </c>
      <c r="N1400">
        <f t="shared" si="119"/>
        <v>2025</v>
      </c>
      <c r="O1400" s="2">
        <f>_xlfn.XLOOKUP(A1400,Colaboradores!$A:$A,Colaboradores!$S:$S,"",0)</f>
        <v>45867</v>
      </c>
      <c r="P1400" t="str">
        <f t="shared" si="113"/>
        <v>125745852</v>
      </c>
    </row>
    <row r="1401" spans="1:16" x14ac:dyDescent="0.3">
      <c r="A1401">
        <v>1258</v>
      </c>
      <c r="B1401">
        <v>32</v>
      </c>
      <c r="C1401" t="s">
        <v>26</v>
      </c>
      <c r="D1401" t="s">
        <v>27</v>
      </c>
      <c r="E1401" t="s">
        <v>17</v>
      </c>
      <c r="F1401" t="s">
        <v>18</v>
      </c>
      <c r="G1401" t="s">
        <v>42</v>
      </c>
      <c r="H1401" t="s">
        <v>25</v>
      </c>
      <c r="I1401" s="1">
        <v>2</v>
      </c>
      <c r="J1401" s="2">
        <v>45782</v>
      </c>
      <c r="K1401" s="2">
        <v>45778</v>
      </c>
      <c r="L1401" s="1" t="str">
        <f t="shared" si="117"/>
        <v>seg</v>
      </c>
      <c r="M1401" s="1" t="str">
        <f t="shared" si="118"/>
        <v>mai</v>
      </c>
      <c r="N1401">
        <f t="shared" si="119"/>
        <v>2025</v>
      </c>
      <c r="O1401" s="2"/>
      <c r="P1401" t="str">
        <f t="shared" si="113"/>
        <v>125845782</v>
      </c>
    </row>
    <row r="1402" spans="1:16" x14ac:dyDescent="0.3">
      <c r="A1402">
        <v>1258</v>
      </c>
      <c r="B1402">
        <v>32</v>
      </c>
      <c r="C1402" t="s">
        <v>26</v>
      </c>
      <c r="D1402" t="s">
        <v>27</v>
      </c>
      <c r="E1402" t="s">
        <v>17</v>
      </c>
      <c r="F1402" t="s">
        <v>18</v>
      </c>
      <c r="G1402" t="s">
        <v>40</v>
      </c>
      <c r="H1402" t="s">
        <v>25</v>
      </c>
      <c r="I1402" s="1">
        <v>2</v>
      </c>
      <c r="J1402" s="2">
        <v>45851</v>
      </c>
      <c r="K1402" s="2">
        <v>45839</v>
      </c>
      <c r="L1402" s="1" t="str">
        <f t="shared" si="117"/>
        <v>dom</v>
      </c>
      <c r="M1402" s="1" t="str">
        <f t="shared" si="118"/>
        <v>jul</v>
      </c>
      <c r="N1402">
        <f t="shared" si="119"/>
        <v>2025</v>
      </c>
      <c r="O1402" s="2"/>
      <c r="P1402" t="str">
        <f t="shared" si="113"/>
        <v>125845851</v>
      </c>
    </row>
    <row r="1403" spans="1:16" x14ac:dyDescent="0.3">
      <c r="A1403">
        <v>1258</v>
      </c>
      <c r="B1403">
        <v>32</v>
      </c>
      <c r="C1403" t="s">
        <v>26</v>
      </c>
      <c r="D1403" t="s">
        <v>27</v>
      </c>
      <c r="E1403" t="s">
        <v>17</v>
      </c>
      <c r="F1403" t="s">
        <v>18</v>
      </c>
      <c r="G1403" t="s">
        <v>40</v>
      </c>
      <c r="H1403" t="s">
        <v>25</v>
      </c>
      <c r="I1403" s="1">
        <v>2</v>
      </c>
      <c r="J1403" s="2">
        <v>45914</v>
      </c>
      <c r="K1403" s="2">
        <v>45901</v>
      </c>
      <c r="L1403" s="1" t="str">
        <f t="shared" si="117"/>
        <v>dom</v>
      </c>
      <c r="M1403" s="1" t="str">
        <f t="shared" si="118"/>
        <v>set</v>
      </c>
      <c r="N1403">
        <f t="shared" si="119"/>
        <v>2025</v>
      </c>
      <c r="O1403" s="2"/>
      <c r="P1403" t="str">
        <f t="shared" si="113"/>
        <v>125845914</v>
      </c>
    </row>
    <row r="1404" spans="1:16" x14ac:dyDescent="0.3">
      <c r="A1404">
        <v>1258</v>
      </c>
      <c r="B1404">
        <v>32</v>
      </c>
      <c r="C1404" t="s">
        <v>26</v>
      </c>
      <c r="D1404" t="s">
        <v>27</v>
      </c>
      <c r="E1404" t="s">
        <v>17</v>
      </c>
      <c r="F1404" t="s">
        <v>18</v>
      </c>
      <c r="G1404" t="s">
        <v>44</v>
      </c>
      <c r="H1404" t="s">
        <v>25</v>
      </c>
      <c r="I1404" s="1">
        <v>2</v>
      </c>
      <c r="J1404" s="2">
        <v>45925</v>
      </c>
      <c r="K1404" s="2">
        <v>45901</v>
      </c>
      <c r="L1404" s="1" t="str">
        <f t="shared" si="117"/>
        <v>qui</v>
      </c>
      <c r="M1404" s="1" t="str">
        <f t="shared" si="118"/>
        <v>set</v>
      </c>
      <c r="N1404">
        <f t="shared" si="119"/>
        <v>2025</v>
      </c>
      <c r="O1404" s="2"/>
      <c r="P1404" t="str">
        <f t="shared" si="113"/>
        <v>125845925</v>
      </c>
    </row>
    <row r="1405" spans="1:16" x14ac:dyDescent="0.3">
      <c r="A1405">
        <v>1258</v>
      </c>
      <c r="B1405">
        <v>32</v>
      </c>
      <c r="C1405" t="s">
        <v>26</v>
      </c>
      <c r="D1405" t="s">
        <v>27</v>
      </c>
      <c r="E1405" t="s">
        <v>17</v>
      </c>
      <c r="F1405" t="s">
        <v>18</v>
      </c>
      <c r="G1405" t="s">
        <v>42</v>
      </c>
      <c r="H1405" t="s">
        <v>25</v>
      </c>
      <c r="I1405" s="1">
        <v>2</v>
      </c>
      <c r="J1405" s="2">
        <v>45962</v>
      </c>
      <c r="K1405" s="2">
        <v>45962</v>
      </c>
      <c r="L1405" s="1" t="str">
        <f t="shared" si="117"/>
        <v>sáb</v>
      </c>
      <c r="M1405" s="1" t="str">
        <f t="shared" si="118"/>
        <v>nov</v>
      </c>
      <c r="N1405">
        <f t="shared" si="119"/>
        <v>2025</v>
      </c>
      <c r="O1405" s="2"/>
      <c r="P1405" t="str">
        <f t="shared" si="113"/>
        <v>125845962</v>
      </c>
    </row>
    <row r="1406" spans="1:16" x14ac:dyDescent="0.3">
      <c r="A1406">
        <v>1258</v>
      </c>
      <c r="B1406">
        <v>32</v>
      </c>
      <c r="C1406" t="s">
        <v>26</v>
      </c>
      <c r="D1406" t="s">
        <v>27</v>
      </c>
      <c r="E1406" t="s">
        <v>17</v>
      </c>
      <c r="F1406" t="s">
        <v>18</v>
      </c>
      <c r="G1406" t="s">
        <v>44</v>
      </c>
      <c r="H1406" t="s">
        <v>25</v>
      </c>
      <c r="I1406" s="1">
        <v>2</v>
      </c>
      <c r="J1406" s="2">
        <v>45992</v>
      </c>
      <c r="K1406" s="2">
        <v>45992</v>
      </c>
      <c r="L1406" s="1" t="str">
        <f t="shared" si="117"/>
        <v>seg</v>
      </c>
      <c r="M1406" s="1" t="str">
        <f t="shared" si="118"/>
        <v>dez</v>
      </c>
      <c r="N1406">
        <f t="shared" si="119"/>
        <v>2025</v>
      </c>
      <c r="O1406" s="2"/>
      <c r="P1406" t="str">
        <f t="shared" si="113"/>
        <v>125845992</v>
      </c>
    </row>
    <row r="1407" spans="1:16" x14ac:dyDescent="0.3">
      <c r="A1407">
        <v>1258</v>
      </c>
      <c r="B1407">
        <v>32</v>
      </c>
      <c r="C1407" t="s">
        <v>26</v>
      </c>
      <c r="D1407" t="s">
        <v>27</v>
      </c>
      <c r="E1407" t="s">
        <v>17</v>
      </c>
      <c r="F1407" t="s">
        <v>18</v>
      </c>
      <c r="G1407" t="s">
        <v>42</v>
      </c>
      <c r="H1407" t="s">
        <v>25</v>
      </c>
      <c r="I1407" s="1">
        <v>2</v>
      </c>
      <c r="J1407" s="2">
        <v>46147</v>
      </c>
      <c r="K1407" s="2">
        <v>46143</v>
      </c>
      <c r="L1407" s="1" t="s">
        <v>56</v>
      </c>
      <c r="M1407" s="1" t="s">
        <v>49</v>
      </c>
      <c r="N1407">
        <v>2025</v>
      </c>
      <c r="O1407" s="2"/>
      <c r="P1407" t="str">
        <f t="shared" si="113"/>
        <v>125846147</v>
      </c>
    </row>
    <row r="1408" spans="1:16" x14ac:dyDescent="0.3">
      <c r="A1408">
        <v>1261</v>
      </c>
      <c r="B1408">
        <v>47</v>
      </c>
      <c r="C1408" t="s">
        <v>26</v>
      </c>
      <c r="D1408" t="s">
        <v>22</v>
      </c>
      <c r="E1408" t="s">
        <v>17</v>
      </c>
      <c r="F1408" t="s">
        <v>23</v>
      </c>
      <c r="G1408" t="s">
        <v>40</v>
      </c>
      <c r="H1408" t="s">
        <v>25</v>
      </c>
      <c r="I1408" s="1">
        <v>3</v>
      </c>
      <c r="J1408" s="2">
        <v>46193</v>
      </c>
      <c r="K1408" s="2">
        <v>45809</v>
      </c>
      <c r="L1408" s="1" t="str">
        <f t="shared" ref="L1408:L1430" si="120">TEXT(J1408,"ddd")</f>
        <v>sáb</v>
      </c>
      <c r="M1408" s="1" t="str">
        <f t="shared" ref="M1408:M1430" si="121">TEXT($J1408,"mmm")</f>
        <v>jun</v>
      </c>
      <c r="N1408">
        <f t="shared" ref="N1408:N1430" si="122">YEAR(J1408)</f>
        <v>2026</v>
      </c>
      <c r="O1408" s="2"/>
      <c r="P1408" t="str">
        <f t="shared" si="113"/>
        <v>126146193</v>
      </c>
    </row>
    <row r="1409" spans="1:16" x14ac:dyDescent="0.3">
      <c r="A1409">
        <v>1261</v>
      </c>
      <c r="B1409">
        <v>47</v>
      </c>
      <c r="C1409" t="s">
        <v>26</v>
      </c>
      <c r="D1409" t="s">
        <v>22</v>
      </c>
      <c r="E1409" t="s">
        <v>17</v>
      </c>
      <c r="F1409" t="s">
        <v>23</v>
      </c>
      <c r="G1409" t="s">
        <v>40</v>
      </c>
      <c r="H1409" t="s">
        <v>25</v>
      </c>
      <c r="I1409" s="1">
        <v>3</v>
      </c>
      <c r="J1409" s="2">
        <v>45887</v>
      </c>
      <c r="K1409" s="2">
        <v>45870</v>
      </c>
      <c r="L1409" s="1" t="str">
        <f t="shared" si="120"/>
        <v>seg</v>
      </c>
      <c r="M1409" s="1" t="str">
        <f t="shared" si="121"/>
        <v>ago</v>
      </c>
      <c r="N1409">
        <f t="shared" si="122"/>
        <v>2025</v>
      </c>
      <c r="O1409" s="2"/>
      <c r="P1409" t="str">
        <f t="shared" ref="P1409:P1472" si="123">CONCATENATE(A1409,J1409)</f>
        <v>126145887</v>
      </c>
    </row>
    <row r="1410" spans="1:16" x14ac:dyDescent="0.3">
      <c r="A1410">
        <v>1261</v>
      </c>
      <c r="B1410">
        <v>47</v>
      </c>
      <c r="C1410" t="s">
        <v>26</v>
      </c>
      <c r="D1410" t="s">
        <v>22</v>
      </c>
      <c r="E1410" t="s">
        <v>17</v>
      </c>
      <c r="F1410" t="s">
        <v>23</v>
      </c>
      <c r="G1410" t="s">
        <v>40</v>
      </c>
      <c r="H1410" t="s">
        <v>25</v>
      </c>
      <c r="I1410" s="1">
        <v>3</v>
      </c>
      <c r="J1410" s="2">
        <v>45925</v>
      </c>
      <c r="K1410" s="2">
        <v>45901</v>
      </c>
      <c r="L1410" s="1" t="str">
        <f t="shared" si="120"/>
        <v>qui</v>
      </c>
      <c r="M1410" s="1" t="str">
        <f t="shared" si="121"/>
        <v>set</v>
      </c>
      <c r="N1410">
        <f t="shared" si="122"/>
        <v>2025</v>
      </c>
      <c r="O1410" s="2"/>
      <c r="P1410" t="str">
        <f t="shared" si="123"/>
        <v>126145925</v>
      </c>
    </row>
    <row r="1411" spans="1:16" x14ac:dyDescent="0.3">
      <c r="A1411">
        <v>1261</v>
      </c>
      <c r="B1411">
        <v>47</v>
      </c>
      <c r="C1411" t="s">
        <v>26</v>
      </c>
      <c r="D1411" t="s">
        <v>22</v>
      </c>
      <c r="E1411" t="s">
        <v>17</v>
      </c>
      <c r="F1411" t="s">
        <v>23</v>
      </c>
      <c r="G1411" t="s">
        <v>40</v>
      </c>
      <c r="H1411" t="s">
        <v>25</v>
      </c>
      <c r="I1411" s="1">
        <v>3</v>
      </c>
      <c r="J1411" s="2">
        <v>45995</v>
      </c>
      <c r="K1411" s="2">
        <v>45992</v>
      </c>
      <c r="L1411" s="1" t="str">
        <f t="shared" si="120"/>
        <v>qui</v>
      </c>
      <c r="M1411" s="1" t="str">
        <f t="shared" si="121"/>
        <v>dez</v>
      </c>
      <c r="N1411">
        <f t="shared" si="122"/>
        <v>2025</v>
      </c>
      <c r="O1411" s="2"/>
      <c r="P1411" t="str">
        <f t="shared" si="123"/>
        <v>126145995</v>
      </c>
    </row>
    <row r="1412" spans="1:16" x14ac:dyDescent="0.3">
      <c r="A1412">
        <v>1261</v>
      </c>
      <c r="B1412">
        <v>47</v>
      </c>
      <c r="C1412" t="s">
        <v>26</v>
      </c>
      <c r="D1412" t="s">
        <v>22</v>
      </c>
      <c r="E1412" t="s">
        <v>17</v>
      </c>
      <c r="F1412" t="s">
        <v>23</v>
      </c>
      <c r="G1412" t="s">
        <v>40</v>
      </c>
      <c r="H1412" t="s">
        <v>25</v>
      </c>
      <c r="I1412" s="1">
        <v>3</v>
      </c>
      <c r="J1412" s="2">
        <v>46176</v>
      </c>
      <c r="K1412" s="2">
        <v>46023</v>
      </c>
      <c r="L1412" s="1" t="str">
        <f t="shared" si="120"/>
        <v>qua</v>
      </c>
      <c r="M1412" s="1" t="str">
        <f t="shared" si="121"/>
        <v>jun</v>
      </c>
      <c r="N1412">
        <f t="shared" si="122"/>
        <v>2026</v>
      </c>
      <c r="O1412" s="2"/>
      <c r="P1412" t="str">
        <f t="shared" si="123"/>
        <v>126146176</v>
      </c>
    </row>
    <row r="1413" spans="1:16" x14ac:dyDescent="0.3">
      <c r="A1413">
        <v>1261</v>
      </c>
      <c r="B1413">
        <v>47</v>
      </c>
      <c r="C1413" t="s">
        <v>26</v>
      </c>
      <c r="D1413" t="s">
        <v>22</v>
      </c>
      <c r="E1413" t="s">
        <v>17</v>
      </c>
      <c r="F1413" t="s">
        <v>23</v>
      </c>
      <c r="G1413" t="s">
        <v>40</v>
      </c>
      <c r="H1413" t="s">
        <v>25</v>
      </c>
      <c r="I1413" s="1">
        <v>3</v>
      </c>
      <c r="J1413" s="2">
        <v>46135</v>
      </c>
      <c r="K1413" s="2">
        <v>46113</v>
      </c>
      <c r="L1413" s="1" t="str">
        <f t="shared" si="120"/>
        <v>qui</v>
      </c>
      <c r="M1413" s="1" t="str">
        <f t="shared" si="121"/>
        <v>abr</v>
      </c>
      <c r="N1413">
        <f t="shared" si="122"/>
        <v>2026</v>
      </c>
      <c r="O1413" s="2"/>
      <c r="P1413" t="str">
        <f t="shared" si="123"/>
        <v>126146135</v>
      </c>
    </row>
    <row r="1414" spans="1:16" x14ac:dyDescent="0.3">
      <c r="A1414">
        <v>1261</v>
      </c>
      <c r="B1414">
        <v>47</v>
      </c>
      <c r="C1414" t="s">
        <v>26</v>
      </c>
      <c r="D1414" t="s">
        <v>22</v>
      </c>
      <c r="E1414" t="s">
        <v>17</v>
      </c>
      <c r="F1414" t="s">
        <v>23</v>
      </c>
      <c r="G1414" t="s">
        <v>40</v>
      </c>
      <c r="H1414" t="s">
        <v>25</v>
      </c>
      <c r="I1414" s="1">
        <v>3</v>
      </c>
      <c r="J1414" s="2">
        <v>46177</v>
      </c>
      <c r="K1414" s="2">
        <v>46174</v>
      </c>
      <c r="L1414" s="1" t="str">
        <f t="shared" si="120"/>
        <v>qui</v>
      </c>
      <c r="M1414" s="1" t="str">
        <f t="shared" si="121"/>
        <v>jun</v>
      </c>
      <c r="N1414">
        <f t="shared" si="122"/>
        <v>2026</v>
      </c>
      <c r="O1414" s="2"/>
      <c r="P1414" t="str">
        <f t="shared" si="123"/>
        <v>126146177</v>
      </c>
    </row>
    <row r="1415" spans="1:16" x14ac:dyDescent="0.3">
      <c r="A1415">
        <v>1262</v>
      </c>
      <c r="B1415">
        <v>40</v>
      </c>
      <c r="C1415" t="s">
        <v>26</v>
      </c>
      <c r="D1415" t="s">
        <v>29</v>
      </c>
      <c r="E1415" t="s">
        <v>17</v>
      </c>
      <c r="F1415" t="s">
        <v>21</v>
      </c>
      <c r="G1415" t="s">
        <v>42</v>
      </c>
      <c r="H1415" t="s">
        <v>20</v>
      </c>
      <c r="I1415" s="1">
        <v>2</v>
      </c>
      <c r="J1415" s="2">
        <v>45763</v>
      </c>
      <c r="K1415" s="2">
        <v>45748</v>
      </c>
      <c r="L1415" s="1" t="str">
        <f t="shared" si="120"/>
        <v>qua</v>
      </c>
      <c r="M1415" s="1" t="str">
        <f t="shared" si="121"/>
        <v>abr</v>
      </c>
      <c r="N1415">
        <f t="shared" si="122"/>
        <v>2025</v>
      </c>
      <c r="O1415" s="2">
        <f>_xlfn.XLOOKUP(A1415,Colaboradores!$A:$A,Colaboradores!$S:$S,"",0)</f>
        <v>45924</v>
      </c>
      <c r="P1415" t="str">
        <f t="shared" si="123"/>
        <v>126245763</v>
      </c>
    </row>
    <row r="1416" spans="1:16" x14ac:dyDescent="0.3">
      <c r="A1416">
        <v>1262</v>
      </c>
      <c r="B1416">
        <v>40</v>
      </c>
      <c r="C1416" t="s">
        <v>26</v>
      </c>
      <c r="D1416" t="s">
        <v>29</v>
      </c>
      <c r="E1416" t="s">
        <v>17</v>
      </c>
      <c r="F1416" t="s">
        <v>21</v>
      </c>
      <c r="G1416" t="s">
        <v>57</v>
      </c>
      <c r="H1416" t="s">
        <v>20</v>
      </c>
      <c r="I1416" s="1">
        <v>2</v>
      </c>
      <c r="J1416" s="2">
        <v>45770</v>
      </c>
      <c r="K1416" s="2">
        <v>45748</v>
      </c>
      <c r="L1416" s="1" t="str">
        <f t="shared" si="120"/>
        <v>qua</v>
      </c>
      <c r="M1416" s="1" t="str">
        <f t="shared" si="121"/>
        <v>abr</v>
      </c>
      <c r="N1416">
        <f t="shared" si="122"/>
        <v>2025</v>
      </c>
      <c r="O1416" s="2">
        <f>_xlfn.XLOOKUP(A1416,Colaboradores!$A:$A,Colaboradores!$S:$S,"",0)</f>
        <v>45924</v>
      </c>
      <c r="P1416" t="str">
        <f t="shared" si="123"/>
        <v>126245770</v>
      </c>
    </row>
    <row r="1417" spans="1:16" x14ac:dyDescent="0.3">
      <c r="A1417">
        <v>1262</v>
      </c>
      <c r="B1417">
        <v>40</v>
      </c>
      <c r="C1417" t="s">
        <v>26</v>
      </c>
      <c r="D1417" t="s">
        <v>29</v>
      </c>
      <c r="E1417" t="s">
        <v>17</v>
      </c>
      <c r="F1417" t="s">
        <v>21</v>
      </c>
      <c r="G1417" t="s">
        <v>41</v>
      </c>
      <c r="H1417" t="s">
        <v>20</v>
      </c>
      <c r="I1417" s="1">
        <v>2</v>
      </c>
      <c r="J1417" s="2">
        <v>45870</v>
      </c>
      <c r="K1417" s="2">
        <v>45870</v>
      </c>
      <c r="L1417" s="1" t="str">
        <f t="shared" si="120"/>
        <v>sex</v>
      </c>
      <c r="M1417" s="1" t="str">
        <f t="shared" si="121"/>
        <v>ago</v>
      </c>
      <c r="N1417">
        <f t="shared" si="122"/>
        <v>2025</v>
      </c>
      <c r="O1417" s="2">
        <f>_xlfn.XLOOKUP(A1417,Colaboradores!$A:$A,Colaboradores!$S:$S,"",0)</f>
        <v>45924</v>
      </c>
      <c r="P1417" t="str">
        <f t="shared" si="123"/>
        <v>126245870</v>
      </c>
    </row>
    <row r="1418" spans="1:16" x14ac:dyDescent="0.3">
      <c r="A1418">
        <v>1262</v>
      </c>
      <c r="B1418">
        <v>40</v>
      </c>
      <c r="C1418" t="s">
        <v>26</v>
      </c>
      <c r="D1418" t="s">
        <v>29</v>
      </c>
      <c r="E1418" t="s">
        <v>17</v>
      </c>
      <c r="F1418" t="s">
        <v>21</v>
      </c>
      <c r="G1418" t="s">
        <v>44</v>
      </c>
      <c r="H1418" t="s">
        <v>20</v>
      </c>
      <c r="I1418" s="1">
        <v>2</v>
      </c>
      <c r="J1418" s="2">
        <v>45873</v>
      </c>
      <c r="K1418" s="2">
        <v>45870</v>
      </c>
      <c r="L1418" s="1" t="str">
        <f t="shared" si="120"/>
        <v>seg</v>
      </c>
      <c r="M1418" s="1" t="str">
        <f t="shared" si="121"/>
        <v>ago</v>
      </c>
      <c r="N1418">
        <f t="shared" si="122"/>
        <v>2025</v>
      </c>
      <c r="O1418" s="2">
        <f>_xlfn.XLOOKUP(A1418,Colaboradores!$A:$A,Colaboradores!$S:$S,"",0)</f>
        <v>45924</v>
      </c>
      <c r="P1418" t="str">
        <f t="shared" si="123"/>
        <v>126245873</v>
      </c>
    </row>
    <row r="1419" spans="1:16" x14ac:dyDescent="0.3">
      <c r="A1419">
        <v>1262</v>
      </c>
      <c r="B1419">
        <v>40</v>
      </c>
      <c r="C1419" t="s">
        <v>26</v>
      </c>
      <c r="D1419" t="s">
        <v>29</v>
      </c>
      <c r="E1419" t="s">
        <v>17</v>
      </c>
      <c r="F1419" t="s">
        <v>21</v>
      </c>
      <c r="G1419" t="s">
        <v>44</v>
      </c>
      <c r="H1419" t="s">
        <v>20</v>
      </c>
      <c r="I1419" s="1">
        <v>2</v>
      </c>
      <c r="J1419" s="2">
        <v>45875</v>
      </c>
      <c r="K1419" s="2">
        <v>45870</v>
      </c>
      <c r="L1419" s="1" t="str">
        <f t="shared" si="120"/>
        <v>qua</v>
      </c>
      <c r="M1419" s="1" t="str">
        <f t="shared" si="121"/>
        <v>ago</v>
      </c>
      <c r="N1419">
        <f t="shared" si="122"/>
        <v>2025</v>
      </c>
      <c r="O1419" s="2">
        <f>_xlfn.XLOOKUP(A1419,Colaboradores!$A:$A,Colaboradores!$S:$S,"",0)</f>
        <v>45924</v>
      </c>
      <c r="P1419" t="str">
        <f t="shared" si="123"/>
        <v>126245875</v>
      </c>
    </row>
    <row r="1420" spans="1:16" x14ac:dyDescent="0.3">
      <c r="A1420">
        <v>1262</v>
      </c>
      <c r="B1420">
        <v>40</v>
      </c>
      <c r="C1420" t="s">
        <v>26</v>
      </c>
      <c r="D1420" t="s">
        <v>29</v>
      </c>
      <c r="E1420" t="s">
        <v>17</v>
      </c>
      <c r="F1420" t="s">
        <v>21</v>
      </c>
      <c r="G1420" t="s">
        <v>44</v>
      </c>
      <c r="H1420" t="s">
        <v>20</v>
      </c>
      <c r="I1420" s="1">
        <v>2</v>
      </c>
      <c r="J1420" s="2">
        <v>45914</v>
      </c>
      <c r="K1420" s="2">
        <v>45901</v>
      </c>
      <c r="L1420" s="1" t="str">
        <f t="shared" si="120"/>
        <v>dom</v>
      </c>
      <c r="M1420" s="1" t="str">
        <f t="shared" si="121"/>
        <v>set</v>
      </c>
      <c r="N1420">
        <f t="shared" si="122"/>
        <v>2025</v>
      </c>
      <c r="O1420" s="2">
        <f>_xlfn.XLOOKUP(A1420,Colaboradores!$A:$A,Colaboradores!$S:$S,"",0)</f>
        <v>45924</v>
      </c>
      <c r="P1420" t="str">
        <f t="shared" si="123"/>
        <v>126245914</v>
      </c>
    </row>
    <row r="1421" spans="1:16" x14ac:dyDescent="0.3">
      <c r="A1421">
        <v>1263</v>
      </c>
      <c r="B1421">
        <v>24</v>
      </c>
      <c r="C1421" t="s">
        <v>15</v>
      </c>
      <c r="D1421" t="s">
        <v>16</v>
      </c>
      <c r="E1421" t="s">
        <v>17</v>
      </c>
      <c r="F1421" t="s">
        <v>23</v>
      </c>
      <c r="G1421" t="s">
        <v>42</v>
      </c>
      <c r="H1421" t="s">
        <v>25</v>
      </c>
      <c r="I1421" s="1">
        <v>2</v>
      </c>
      <c r="J1421" s="2">
        <v>46177</v>
      </c>
      <c r="K1421" s="2">
        <v>45809</v>
      </c>
      <c r="L1421" s="1" t="str">
        <f t="shared" si="120"/>
        <v>qui</v>
      </c>
      <c r="M1421" s="1" t="str">
        <f t="shared" si="121"/>
        <v>jun</v>
      </c>
      <c r="N1421">
        <f t="shared" si="122"/>
        <v>2026</v>
      </c>
      <c r="O1421" s="2"/>
      <c r="P1421" t="str">
        <f t="shared" si="123"/>
        <v>126346177</v>
      </c>
    </row>
    <row r="1422" spans="1:16" x14ac:dyDescent="0.3">
      <c r="A1422">
        <v>1263</v>
      </c>
      <c r="B1422">
        <v>24</v>
      </c>
      <c r="C1422" t="s">
        <v>15</v>
      </c>
      <c r="D1422" t="s">
        <v>16</v>
      </c>
      <c r="E1422" t="s">
        <v>17</v>
      </c>
      <c r="F1422" t="s">
        <v>23</v>
      </c>
      <c r="G1422" t="s">
        <v>41</v>
      </c>
      <c r="H1422" t="s">
        <v>25</v>
      </c>
      <c r="I1422" s="1">
        <v>2</v>
      </c>
      <c r="J1422" s="2">
        <v>45889</v>
      </c>
      <c r="K1422" s="2">
        <v>45870</v>
      </c>
      <c r="L1422" s="1" t="str">
        <f t="shared" si="120"/>
        <v>qua</v>
      </c>
      <c r="M1422" s="1" t="str">
        <f t="shared" si="121"/>
        <v>ago</v>
      </c>
      <c r="N1422">
        <f t="shared" si="122"/>
        <v>2025</v>
      </c>
      <c r="O1422" s="2"/>
      <c r="P1422" t="str">
        <f t="shared" si="123"/>
        <v>126345889</v>
      </c>
    </row>
    <row r="1423" spans="1:16" x14ac:dyDescent="0.3">
      <c r="A1423">
        <v>1263</v>
      </c>
      <c r="B1423">
        <v>24</v>
      </c>
      <c r="C1423" t="s">
        <v>15</v>
      </c>
      <c r="D1423" t="s">
        <v>16</v>
      </c>
      <c r="E1423" t="s">
        <v>17</v>
      </c>
      <c r="F1423" t="s">
        <v>23</v>
      </c>
      <c r="G1423" t="s">
        <v>41</v>
      </c>
      <c r="H1423" t="s">
        <v>25</v>
      </c>
      <c r="I1423" s="1">
        <v>2</v>
      </c>
      <c r="J1423" s="2">
        <v>45906</v>
      </c>
      <c r="K1423" s="2">
        <v>45901</v>
      </c>
      <c r="L1423" s="1" t="str">
        <f t="shared" si="120"/>
        <v>sáb</v>
      </c>
      <c r="M1423" s="1" t="str">
        <f t="shared" si="121"/>
        <v>set</v>
      </c>
      <c r="N1423">
        <f t="shared" si="122"/>
        <v>2025</v>
      </c>
      <c r="O1423" s="2"/>
      <c r="P1423" t="str">
        <f t="shared" si="123"/>
        <v>126345906</v>
      </c>
    </row>
    <row r="1424" spans="1:16" x14ac:dyDescent="0.3">
      <c r="A1424">
        <v>1263</v>
      </c>
      <c r="B1424">
        <v>24</v>
      </c>
      <c r="C1424" t="s">
        <v>15</v>
      </c>
      <c r="D1424" t="s">
        <v>16</v>
      </c>
      <c r="E1424" t="s">
        <v>17</v>
      </c>
      <c r="F1424" t="s">
        <v>23</v>
      </c>
      <c r="G1424" t="s">
        <v>41</v>
      </c>
      <c r="H1424" t="s">
        <v>25</v>
      </c>
      <c r="I1424" s="1">
        <v>2</v>
      </c>
      <c r="J1424" s="2">
        <v>45912</v>
      </c>
      <c r="K1424" s="2">
        <v>45901</v>
      </c>
      <c r="L1424" s="1" t="str">
        <f t="shared" si="120"/>
        <v>sex</v>
      </c>
      <c r="M1424" s="1" t="str">
        <f t="shared" si="121"/>
        <v>set</v>
      </c>
      <c r="N1424">
        <f t="shared" si="122"/>
        <v>2025</v>
      </c>
      <c r="O1424" s="2"/>
      <c r="P1424" t="str">
        <f t="shared" si="123"/>
        <v>126345912</v>
      </c>
    </row>
    <row r="1425" spans="1:16" x14ac:dyDescent="0.3">
      <c r="A1425">
        <v>1263</v>
      </c>
      <c r="B1425">
        <v>24</v>
      </c>
      <c r="C1425" t="s">
        <v>15</v>
      </c>
      <c r="D1425" t="s">
        <v>16</v>
      </c>
      <c r="E1425" t="s">
        <v>17</v>
      </c>
      <c r="F1425" t="s">
        <v>23</v>
      </c>
      <c r="G1425" t="s">
        <v>41</v>
      </c>
      <c r="H1425" t="s">
        <v>25</v>
      </c>
      <c r="I1425" s="1">
        <v>2</v>
      </c>
      <c r="J1425" s="2">
        <v>45996</v>
      </c>
      <c r="K1425" s="2">
        <v>45992</v>
      </c>
      <c r="L1425" s="1" t="str">
        <f t="shared" si="120"/>
        <v>sex</v>
      </c>
      <c r="M1425" s="1" t="str">
        <f t="shared" si="121"/>
        <v>dez</v>
      </c>
      <c r="N1425">
        <f t="shared" si="122"/>
        <v>2025</v>
      </c>
      <c r="O1425" s="2"/>
      <c r="P1425" t="str">
        <f t="shared" si="123"/>
        <v>126345996</v>
      </c>
    </row>
    <row r="1426" spans="1:16" x14ac:dyDescent="0.3">
      <c r="A1426">
        <v>1264</v>
      </c>
      <c r="B1426">
        <v>34</v>
      </c>
      <c r="C1426" t="s">
        <v>15</v>
      </c>
      <c r="D1426" t="s">
        <v>16</v>
      </c>
      <c r="E1426" t="s">
        <v>17</v>
      </c>
      <c r="F1426" t="s">
        <v>23</v>
      </c>
      <c r="G1426" t="s">
        <v>42</v>
      </c>
      <c r="H1426" t="s">
        <v>25</v>
      </c>
      <c r="I1426" s="1">
        <v>3</v>
      </c>
      <c r="J1426" s="2">
        <v>45786</v>
      </c>
      <c r="K1426" s="2">
        <v>45778</v>
      </c>
      <c r="L1426" s="1" t="str">
        <f t="shared" si="120"/>
        <v>sex</v>
      </c>
      <c r="M1426" s="1" t="str">
        <f t="shared" si="121"/>
        <v>mai</v>
      </c>
      <c r="N1426">
        <f t="shared" si="122"/>
        <v>2025</v>
      </c>
      <c r="O1426" s="2"/>
      <c r="P1426" t="str">
        <f t="shared" si="123"/>
        <v>126445786</v>
      </c>
    </row>
    <row r="1427" spans="1:16" x14ac:dyDescent="0.3">
      <c r="A1427">
        <v>1264</v>
      </c>
      <c r="B1427">
        <v>34</v>
      </c>
      <c r="C1427" t="s">
        <v>15</v>
      </c>
      <c r="D1427" t="s">
        <v>16</v>
      </c>
      <c r="E1427" t="s">
        <v>17</v>
      </c>
      <c r="F1427" t="s">
        <v>23</v>
      </c>
      <c r="G1427" t="s">
        <v>43</v>
      </c>
      <c r="H1427" t="s">
        <v>25</v>
      </c>
      <c r="I1427" s="1">
        <v>3</v>
      </c>
      <c r="J1427" s="2">
        <v>46198</v>
      </c>
      <c r="K1427" s="2">
        <v>45809</v>
      </c>
      <c r="L1427" s="1" t="str">
        <f t="shared" si="120"/>
        <v>qui</v>
      </c>
      <c r="M1427" s="1" t="str">
        <f t="shared" si="121"/>
        <v>jun</v>
      </c>
      <c r="N1427">
        <f t="shared" si="122"/>
        <v>2026</v>
      </c>
      <c r="O1427" s="2"/>
      <c r="P1427" t="str">
        <f t="shared" si="123"/>
        <v>126446198</v>
      </c>
    </row>
    <row r="1428" spans="1:16" x14ac:dyDescent="0.3">
      <c r="A1428">
        <v>1264</v>
      </c>
      <c r="B1428">
        <v>34</v>
      </c>
      <c r="C1428" t="s">
        <v>15</v>
      </c>
      <c r="D1428" t="s">
        <v>16</v>
      </c>
      <c r="E1428" t="s">
        <v>17</v>
      </c>
      <c r="F1428" t="s">
        <v>23</v>
      </c>
      <c r="G1428" t="s">
        <v>43</v>
      </c>
      <c r="H1428" t="s">
        <v>25</v>
      </c>
      <c r="I1428" s="1">
        <v>3</v>
      </c>
      <c r="J1428" s="2">
        <v>45852</v>
      </c>
      <c r="K1428" s="2">
        <v>45839</v>
      </c>
      <c r="L1428" s="1" t="str">
        <f t="shared" si="120"/>
        <v>seg</v>
      </c>
      <c r="M1428" s="1" t="str">
        <f t="shared" si="121"/>
        <v>jul</v>
      </c>
      <c r="N1428">
        <f t="shared" si="122"/>
        <v>2025</v>
      </c>
      <c r="O1428" s="2"/>
      <c r="P1428" t="str">
        <f t="shared" si="123"/>
        <v>126445852</v>
      </c>
    </row>
    <row r="1429" spans="1:16" x14ac:dyDescent="0.3">
      <c r="A1429">
        <v>1264</v>
      </c>
      <c r="B1429">
        <v>34</v>
      </c>
      <c r="C1429" t="s">
        <v>15</v>
      </c>
      <c r="D1429" t="s">
        <v>16</v>
      </c>
      <c r="E1429" t="s">
        <v>17</v>
      </c>
      <c r="F1429" t="s">
        <v>23</v>
      </c>
      <c r="G1429" t="s">
        <v>43</v>
      </c>
      <c r="H1429" t="s">
        <v>25</v>
      </c>
      <c r="I1429" s="1">
        <v>3</v>
      </c>
      <c r="J1429" s="2">
        <v>45866</v>
      </c>
      <c r="K1429" s="2">
        <v>45839</v>
      </c>
      <c r="L1429" s="1" t="str">
        <f t="shared" si="120"/>
        <v>seg</v>
      </c>
      <c r="M1429" s="1" t="str">
        <f t="shared" si="121"/>
        <v>jul</v>
      </c>
      <c r="N1429">
        <f t="shared" si="122"/>
        <v>2025</v>
      </c>
      <c r="O1429" s="2"/>
      <c r="P1429" t="str">
        <f t="shared" si="123"/>
        <v>126445866</v>
      </c>
    </row>
    <row r="1430" spans="1:16" x14ac:dyDescent="0.3">
      <c r="A1430">
        <v>1264</v>
      </c>
      <c r="B1430">
        <v>34</v>
      </c>
      <c r="C1430" t="s">
        <v>15</v>
      </c>
      <c r="D1430" t="s">
        <v>16</v>
      </c>
      <c r="E1430" t="s">
        <v>17</v>
      </c>
      <c r="F1430" t="s">
        <v>23</v>
      </c>
      <c r="G1430" t="s">
        <v>42</v>
      </c>
      <c r="H1430" t="s">
        <v>25</v>
      </c>
      <c r="I1430" s="1">
        <v>3</v>
      </c>
      <c r="J1430" s="2">
        <v>45927</v>
      </c>
      <c r="K1430" s="2">
        <v>45901</v>
      </c>
      <c r="L1430" s="1" t="str">
        <f t="shared" si="120"/>
        <v>sáb</v>
      </c>
      <c r="M1430" s="1" t="str">
        <f t="shared" si="121"/>
        <v>set</v>
      </c>
      <c r="N1430">
        <f t="shared" si="122"/>
        <v>2025</v>
      </c>
      <c r="O1430" s="2"/>
      <c r="P1430" t="str">
        <f t="shared" si="123"/>
        <v>126445927</v>
      </c>
    </row>
    <row r="1431" spans="1:16" x14ac:dyDescent="0.3">
      <c r="A1431">
        <v>1264</v>
      </c>
      <c r="B1431">
        <v>34</v>
      </c>
      <c r="C1431" t="s">
        <v>15</v>
      </c>
      <c r="D1431" t="s">
        <v>16</v>
      </c>
      <c r="E1431" t="s">
        <v>17</v>
      </c>
      <c r="F1431" t="s">
        <v>23</v>
      </c>
      <c r="G1431" t="s">
        <v>42</v>
      </c>
      <c r="H1431" t="s">
        <v>25</v>
      </c>
      <c r="I1431" s="1">
        <v>3</v>
      </c>
      <c r="J1431" s="2">
        <v>46151</v>
      </c>
      <c r="K1431" s="2">
        <v>46143</v>
      </c>
      <c r="L1431" s="1" t="s">
        <v>53</v>
      </c>
      <c r="M1431" s="1" t="s">
        <v>49</v>
      </c>
      <c r="N1431">
        <v>2025</v>
      </c>
      <c r="O1431" s="2"/>
      <c r="P1431" t="str">
        <f t="shared" si="123"/>
        <v>126446151</v>
      </c>
    </row>
    <row r="1432" spans="1:16" x14ac:dyDescent="0.3">
      <c r="A1432">
        <v>1265</v>
      </c>
      <c r="B1432">
        <v>21</v>
      </c>
      <c r="C1432" t="s">
        <v>15</v>
      </c>
      <c r="D1432" t="s">
        <v>31</v>
      </c>
      <c r="E1432" t="s">
        <v>34</v>
      </c>
      <c r="F1432" t="s">
        <v>21</v>
      </c>
      <c r="G1432" t="s">
        <v>43</v>
      </c>
      <c r="H1432" t="s">
        <v>25</v>
      </c>
      <c r="I1432" s="1">
        <v>2</v>
      </c>
      <c r="J1432" s="2">
        <v>45764</v>
      </c>
      <c r="K1432" s="2">
        <v>45748</v>
      </c>
      <c r="L1432" s="1" t="str">
        <f t="shared" ref="L1432:L1437" si="124">TEXT(J1432,"ddd")</f>
        <v>qui</v>
      </c>
      <c r="M1432" s="1" t="str">
        <f t="shared" ref="M1432:M1437" si="125">TEXT($J1432,"mmm")</f>
        <v>abr</v>
      </c>
      <c r="N1432">
        <f t="shared" ref="N1432:N1437" si="126">YEAR(J1432)</f>
        <v>2025</v>
      </c>
      <c r="O1432" s="2"/>
      <c r="P1432" t="str">
        <f t="shared" si="123"/>
        <v>126545764</v>
      </c>
    </row>
    <row r="1433" spans="1:16" x14ac:dyDescent="0.3">
      <c r="A1433">
        <v>1265</v>
      </c>
      <c r="B1433">
        <v>21</v>
      </c>
      <c r="C1433" t="s">
        <v>15</v>
      </c>
      <c r="D1433" t="s">
        <v>31</v>
      </c>
      <c r="E1433" t="s">
        <v>34</v>
      </c>
      <c r="F1433" t="s">
        <v>21</v>
      </c>
      <c r="G1433" t="s">
        <v>43</v>
      </c>
      <c r="H1433" t="s">
        <v>25</v>
      </c>
      <c r="I1433" s="1">
        <v>2</v>
      </c>
      <c r="J1433" s="2">
        <v>46185</v>
      </c>
      <c r="K1433" s="2">
        <v>45809</v>
      </c>
      <c r="L1433" s="1" t="str">
        <f t="shared" si="124"/>
        <v>sex</v>
      </c>
      <c r="M1433" s="1" t="str">
        <f t="shared" si="125"/>
        <v>jun</v>
      </c>
      <c r="N1433">
        <f t="shared" si="126"/>
        <v>2026</v>
      </c>
      <c r="O1433" s="2"/>
      <c r="P1433" t="str">
        <f t="shared" si="123"/>
        <v>126546185</v>
      </c>
    </row>
    <row r="1434" spans="1:16" x14ac:dyDescent="0.3">
      <c r="A1434">
        <v>1265</v>
      </c>
      <c r="B1434">
        <v>21</v>
      </c>
      <c r="C1434" t="s">
        <v>15</v>
      </c>
      <c r="D1434" t="s">
        <v>31</v>
      </c>
      <c r="E1434" t="s">
        <v>34</v>
      </c>
      <c r="F1434" t="s">
        <v>21</v>
      </c>
      <c r="G1434" t="s">
        <v>43</v>
      </c>
      <c r="H1434" t="s">
        <v>25</v>
      </c>
      <c r="I1434" s="1">
        <v>2</v>
      </c>
      <c r="J1434" s="2">
        <v>45947</v>
      </c>
      <c r="K1434" s="2">
        <v>45931</v>
      </c>
      <c r="L1434" s="1" t="str">
        <f t="shared" si="124"/>
        <v>sex</v>
      </c>
      <c r="M1434" s="1" t="str">
        <f t="shared" si="125"/>
        <v>out</v>
      </c>
      <c r="N1434">
        <f t="shared" si="126"/>
        <v>2025</v>
      </c>
      <c r="O1434" s="2"/>
      <c r="P1434" t="str">
        <f t="shared" si="123"/>
        <v>126545947</v>
      </c>
    </row>
    <row r="1435" spans="1:16" x14ac:dyDescent="0.3">
      <c r="A1435">
        <v>1265</v>
      </c>
      <c r="B1435">
        <v>21</v>
      </c>
      <c r="C1435" t="s">
        <v>15</v>
      </c>
      <c r="D1435" t="s">
        <v>31</v>
      </c>
      <c r="E1435" t="s">
        <v>34</v>
      </c>
      <c r="F1435" t="s">
        <v>21</v>
      </c>
      <c r="G1435" t="s">
        <v>43</v>
      </c>
      <c r="H1435" t="s">
        <v>25</v>
      </c>
      <c r="I1435" s="1">
        <v>2</v>
      </c>
      <c r="J1435" s="2">
        <v>45960</v>
      </c>
      <c r="K1435" s="2">
        <v>45931</v>
      </c>
      <c r="L1435" s="1" t="str">
        <f t="shared" si="124"/>
        <v>qui</v>
      </c>
      <c r="M1435" s="1" t="str">
        <f t="shared" si="125"/>
        <v>out</v>
      </c>
      <c r="N1435">
        <f t="shared" si="126"/>
        <v>2025</v>
      </c>
      <c r="O1435" s="2"/>
      <c r="P1435" t="str">
        <f t="shared" si="123"/>
        <v>126545960</v>
      </c>
    </row>
    <row r="1436" spans="1:16" x14ac:dyDescent="0.3">
      <c r="A1436">
        <v>1265</v>
      </c>
      <c r="B1436">
        <v>21</v>
      </c>
      <c r="C1436" t="s">
        <v>15</v>
      </c>
      <c r="D1436" t="s">
        <v>31</v>
      </c>
      <c r="E1436" t="s">
        <v>34</v>
      </c>
      <c r="F1436" t="s">
        <v>21</v>
      </c>
      <c r="G1436" t="s">
        <v>43</v>
      </c>
      <c r="H1436" t="s">
        <v>25</v>
      </c>
      <c r="I1436" s="1">
        <v>2</v>
      </c>
      <c r="J1436" s="2">
        <v>45988</v>
      </c>
      <c r="K1436" s="2">
        <v>45962</v>
      </c>
      <c r="L1436" s="1" t="str">
        <f t="shared" si="124"/>
        <v>qui</v>
      </c>
      <c r="M1436" s="1" t="str">
        <f t="shared" si="125"/>
        <v>nov</v>
      </c>
      <c r="N1436">
        <f t="shared" si="126"/>
        <v>2025</v>
      </c>
      <c r="O1436" s="2"/>
      <c r="P1436" t="str">
        <f t="shared" si="123"/>
        <v>126545988</v>
      </c>
    </row>
    <row r="1437" spans="1:16" x14ac:dyDescent="0.3">
      <c r="A1437">
        <v>1265</v>
      </c>
      <c r="B1437">
        <v>21</v>
      </c>
      <c r="C1437" t="s">
        <v>15</v>
      </c>
      <c r="D1437" t="s">
        <v>31</v>
      </c>
      <c r="E1437" t="s">
        <v>34</v>
      </c>
      <c r="F1437" t="s">
        <v>21</v>
      </c>
      <c r="G1437" t="s">
        <v>43</v>
      </c>
      <c r="H1437" t="s">
        <v>25</v>
      </c>
      <c r="I1437" s="1">
        <v>2</v>
      </c>
      <c r="J1437" s="2">
        <v>46199</v>
      </c>
      <c r="K1437" s="2">
        <v>46023</v>
      </c>
      <c r="L1437" s="1" t="str">
        <f t="shared" si="124"/>
        <v>sex</v>
      </c>
      <c r="M1437" s="1" t="str">
        <f t="shared" si="125"/>
        <v>jun</v>
      </c>
      <c r="N1437">
        <f t="shared" si="126"/>
        <v>2026</v>
      </c>
      <c r="O1437" s="2"/>
      <c r="P1437" t="str">
        <f t="shared" si="123"/>
        <v>126546199</v>
      </c>
    </row>
    <row r="1438" spans="1:16" x14ac:dyDescent="0.3">
      <c r="A1438">
        <v>1265</v>
      </c>
      <c r="B1438">
        <v>21</v>
      </c>
      <c r="C1438" t="s">
        <v>15</v>
      </c>
      <c r="D1438" t="s">
        <v>31</v>
      </c>
      <c r="E1438" t="s">
        <v>34</v>
      </c>
      <c r="F1438" t="s">
        <v>21</v>
      </c>
      <c r="G1438" t="s">
        <v>43</v>
      </c>
      <c r="H1438" t="s">
        <v>25</v>
      </c>
      <c r="I1438" s="1">
        <v>2</v>
      </c>
      <c r="J1438" s="2">
        <v>46129</v>
      </c>
      <c r="K1438" s="2">
        <v>46113</v>
      </c>
      <c r="L1438" s="1" t="s">
        <v>52</v>
      </c>
      <c r="M1438" s="1" t="s">
        <v>48</v>
      </c>
      <c r="N1438">
        <v>2025</v>
      </c>
      <c r="O1438" s="2"/>
      <c r="P1438" t="str">
        <f t="shared" si="123"/>
        <v>126546129</v>
      </c>
    </row>
    <row r="1439" spans="1:16" x14ac:dyDescent="0.3">
      <c r="A1439">
        <v>1267</v>
      </c>
      <c r="B1439">
        <v>42</v>
      </c>
      <c r="C1439" t="s">
        <v>15</v>
      </c>
      <c r="D1439" t="s">
        <v>29</v>
      </c>
      <c r="E1439" t="s">
        <v>17</v>
      </c>
      <c r="F1439" t="s">
        <v>21</v>
      </c>
      <c r="G1439" t="s">
        <v>40</v>
      </c>
      <c r="H1439" t="s">
        <v>25</v>
      </c>
      <c r="I1439" s="1">
        <v>1</v>
      </c>
      <c r="J1439" s="2">
        <v>46199</v>
      </c>
      <c r="K1439" s="2">
        <v>45809</v>
      </c>
      <c r="L1439" s="1" t="str">
        <f t="shared" ref="L1439:L1448" si="127">TEXT(J1439,"ddd")</f>
        <v>sex</v>
      </c>
      <c r="M1439" s="1" t="str">
        <f t="shared" ref="M1439:M1448" si="128">TEXT($J1439,"mmm")</f>
        <v>jun</v>
      </c>
      <c r="N1439">
        <f t="shared" ref="N1439:N1448" si="129">YEAR(J1439)</f>
        <v>2026</v>
      </c>
      <c r="O1439" s="2"/>
      <c r="P1439" t="str">
        <f t="shared" si="123"/>
        <v>126746199</v>
      </c>
    </row>
    <row r="1440" spans="1:16" x14ac:dyDescent="0.3">
      <c r="A1440">
        <v>1267</v>
      </c>
      <c r="B1440">
        <v>42</v>
      </c>
      <c r="C1440" t="s">
        <v>15</v>
      </c>
      <c r="D1440" t="s">
        <v>29</v>
      </c>
      <c r="E1440" t="s">
        <v>17</v>
      </c>
      <c r="F1440" t="s">
        <v>21</v>
      </c>
      <c r="G1440" t="s">
        <v>40</v>
      </c>
      <c r="H1440" t="s">
        <v>25</v>
      </c>
      <c r="I1440" s="1">
        <v>1</v>
      </c>
      <c r="J1440" s="2">
        <v>45861</v>
      </c>
      <c r="K1440" s="2">
        <v>45839</v>
      </c>
      <c r="L1440" s="1" t="str">
        <f t="shared" si="127"/>
        <v>qua</v>
      </c>
      <c r="M1440" s="1" t="str">
        <f t="shared" si="128"/>
        <v>jul</v>
      </c>
      <c r="N1440">
        <f t="shared" si="129"/>
        <v>2025</v>
      </c>
      <c r="O1440" s="2"/>
      <c r="P1440" t="str">
        <f t="shared" si="123"/>
        <v>126745861</v>
      </c>
    </row>
    <row r="1441" spans="1:16" x14ac:dyDescent="0.3">
      <c r="A1441">
        <v>1267</v>
      </c>
      <c r="B1441">
        <v>42</v>
      </c>
      <c r="C1441" t="s">
        <v>15</v>
      </c>
      <c r="D1441" t="s">
        <v>29</v>
      </c>
      <c r="E1441" t="s">
        <v>17</v>
      </c>
      <c r="F1441" t="s">
        <v>21</v>
      </c>
      <c r="G1441" t="s">
        <v>41</v>
      </c>
      <c r="H1441" t="s">
        <v>25</v>
      </c>
      <c r="I1441" s="1">
        <v>1</v>
      </c>
      <c r="J1441" s="2">
        <v>45882</v>
      </c>
      <c r="K1441" s="2">
        <v>45870</v>
      </c>
      <c r="L1441" s="1" t="str">
        <f t="shared" si="127"/>
        <v>qua</v>
      </c>
      <c r="M1441" s="1" t="str">
        <f t="shared" si="128"/>
        <v>ago</v>
      </c>
      <c r="N1441">
        <f t="shared" si="129"/>
        <v>2025</v>
      </c>
      <c r="O1441" s="2"/>
      <c r="P1441" t="str">
        <f t="shared" si="123"/>
        <v>126745882</v>
      </c>
    </row>
    <row r="1442" spans="1:16" x14ac:dyDescent="0.3">
      <c r="A1442">
        <v>1267</v>
      </c>
      <c r="B1442">
        <v>42</v>
      </c>
      <c r="C1442" t="s">
        <v>15</v>
      </c>
      <c r="D1442" t="s">
        <v>29</v>
      </c>
      <c r="E1442" t="s">
        <v>17</v>
      </c>
      <c r="F1442" t="s">
        <v>21</v>
      </c>
      <c r="G1442" t="s">
        <v>41</v>
      </c>
      <c r="H1442" t="s">
        <v>25</v>
      </c>
      <c r="I1442" s="1">
        <v>1</v>
      </c>
      <c r="J1442" s="2">
        <v>45886</v>
      </c>
      <c r="K1442" s="2">
        <v>45870</v>
      </c>
      <c r="L1442" s="1" t="str">
        <f t="shared" si="127"/>
        <v>dom</v>
      </c>
      <c r="M1442" s="1" t="str">
        <f t="shared" si="128"/>
        <v>ago</v>
      </c>
      <c r="N1442">
        <f t="shared" si="129"/>
        <v>2025</v>
      </c>
      <c r="O1442" s="2"/>
      <c r="P1442" t="str">
        <f t="shared" si="123"/>
        <v>126745886</v>
      </c>
    </row>
    <row r="1443" spans="1:16" x14ac:dyDescent="0.3">
      <c r="A1443">
        <v>1267</v>
      </c>
      <c r="B1443">
        <v>42</v>
      </c>
      <c r="C1443" t="s">
        <v>15</v>
      </c>
      <c r="D1443" t="s">
        <v>29</v>
      </c>
      <c r="E1443" t="s">
        <v>17</v>
      </c>
      <c r="F1443" t="s">
        <v>21</v>
      </c>
      <c r="G1443" t="s">
        <v>41</v>
      </c>
      <c r="H1443" t="s">
        <v>25</v>
      </c>
      <c r="I1443" s="1">
        <v>1</v>
      </c>
      <c r="J1443" s="2">
        <v>46061</v>
      </c>
      <c r="K1443" s="2">
        <v>46054</v>
      </c>
      <c r="L1443" s="1" t="str">
        <f t="shared" si="127"/>
        <v>dom</v>
      </c>
      <c r="M1443" s="1" t="str">
        <f t="shared" si="128"/>
        <v>fev</v>
      </c>
      <c r="N1443">
        <f t="shared" si="129"/>
        <v>2026</v>
      </c>
      <c r="O1443" s="2"/>
      <c r="P1443" t="str">
        <f t="shared" si="123"/>
        <v>126746061</v>
      </c>
    </row>
    <row r="1444" spans="1:16" x14ac:dyDescent="0.3">
      <c r="A1444">
        <v>1268</v>
      </c>
      <c r="B1444">
        <v>40</v>
      </c>
      <c r="C1444" t="s">
        <v>26</v>
      </c>
      <c r="D1444" t="s">
        <v>29</v>
      </c>
      <c r="E1444" t="s">
        <v>17</v>
      </c>
      <c r="F1444" t="s">
        <v>18</v>
      </c>
      <c r="G1444" t="s">
        <v>40</v>
      </c>
      <c r="H1444" t="s">
        <v>25</v>
      </c>
      <c r="I1444" s="1">
        <v>2</v>
      </c>
      <c r="J1444" s="2">
        <v>45787</v>
      </c>
      <c r="K1444" s="2">
        <v>45778</v>
      </c>
      <c r="L1444" s="1" t="str">
        <f t="shared" si="127"/>
        <v>sáb</v>
      </c>
      <c r="M1444" s="1" t="str">
        <f t="shared" si="128"/>
        <v>mai</v>
      </c>
      <c r="N1444">
        <f t="shared" si="129"/>
        <v>2025</v>
      </c>
      <c r="O1444" s="2"/>
      <c r="P1444" t="str">
        <f t="shared" si="123"/>
        <v>126845787</v>
      </c>
    </row>
    <row r="1445" spans="1:16" x14ac:dyDescent="0.3">
      <c r="A1445">
        <v>1268</v>
      </c>
      <c r="B1445">
        <v>40</v>
      </c>
      <c r="C1445" t="s">
        <v>26</v>
      </c>
      <c r="D1445" t="s">
        <v>29</v>
      </c>
      <c r="E1445" t="s">
        <v>17</v>
      </c>
      <c r="F1445" t="s">
        <v>18</v>
      </c>
      <c r="G1445" t="s">
        <v>40</v>
      </c>
      <c r="H1445" t="s">
        <v>25</v>
      </c>
      <c r="I1445" s="1">
        <v>2</v>
      </c>
      <c r="J1445" s="2">
        <v>45921</v>
      </c>
      <c r="K1445" s="2">
        <v>45901</v>
      </c>
      <c r="L1445" s="1" t="str">
        <f t="shared" si="127"/>
        <v>dom</v>
      </c>
      <c r="M1445" s="1" t="str">
        <f t="shared" si="128"/>
        <v>set</v>
      </c>
      <c r="N1445">
        <f t="shared" si="129"/>
        <v>2025</v>
      </c>
      <c r="O1445" s="2"/>
      <c r="P1445" t="str">
        <f t="shared" si="123"/>
        <v>126845921</v>
      </c>
    </row>
    <row r="1446" spans="1:16" x14ac:dyDescent="0.3">
      <c r="A1446">
        <v>1268</v>
      </c>
      <c r="B1446">
        <v>40</v>
      </c>
      <c r="C1446" t="s">
        <v>26</v>
      </c>
      <c r="D1446" t="s">
        <v>29</v>
      </c>
      <c r="E1446" t="s">
        <v>17</v>
      </c>
      <c r="F1446" t="s">
        <v>18</v>
      </c>
      <c r="G1446" t="s">
        <v>40</v>
      </c>
      <c r="H1446" t="s">
        <v>25</v>
      </c>
      <c r="I1446" s="1">
        <v>2</v>
      </c>
      <c r="J1446" s="2">
        <v>45990</v>
      </c>
      <c r="K1446" s="2">
        <v>45962</v>
      </c>
      <c r="L1446" s="1" t="str">
        <f t="shared" si="127"/>
        <v>sáb</v>
      </c>
      <c r="M1446" s="1" t="str">
        <f t="shared" si="128"/>
        <v>nov</v>
      </c>
      <c r="N1446">
        <f t="shared" si="129"/>
        <v>2025</v>
      </c>
      <c r="O1446" s="2"/>
      <c r="P1446" t="str">
        <f t="shared" si="123"/>
        <v>126845990</v>
      </c>
    </row>
    <row r="1447" spans="1:16" x14ac:dyDescent="0.3">
      <c r="A1447">
        <v>1268</v>
      </c>
      <c r="B1447">
        <v>40</v>
      </c>
      <c r="C1447" t="s">
        <v>26</v>
      </c>
      <c r="D1447" t="s">
        <v>29</v>
      </c>
      <c r="E1447" t="s">
        <v>17</v>
      </c>
      <c r="F1447" t="s">
        <v>18</v>
      </c>
      <c r="G1447" t="s">
        <v>40</v>
      </c>
      <c r="H1447" t="s">
        <v>25</v>
      </c>
      <c r="I1447" s="1">
        <v>2</v>
      </c>
      <c r="J1447" s="2">
        <v>46071</v>
      </c>
      <c r="K1447" s="2">
        <v>46054</v>
      </c>
      <c r="L1447" s="1" t="str">
        <f t="shared" si="127"/>
        <v>qua</v>
      </c>
      <c r="M1447" s="1" t="str">
        <f t="shared" si="128"/>
        <v>fev</v>
      </c>
      <c r="N1447">
        <f t="shared" si="129"/>
        <v>2026</v>
      </c>
      <c r="O1447" s="2"/>
      <c r="P1447" t="str">
        <f t="shared" si="123"/>
        <v>126846071</v>
      </c>
    </row>
    <row r="1448" spans="1:16" x14ac:dyDescent="0.3">
      <c r="A1448">
        <v>1268</v>
      </c>
      <c r="B1448">
        <v>40</v>
      </c>
      <c r="C1448" t="s">
        <v>26</v>
      </c>
      <c r="D1448" t="s">
        <v>29</v>
      </c>
      <c r="E1448" t="s">
        <v>17</v>
      </c>
      <c r="F1448" t="s">
        <v>18</v>
      </c>
      <c r="G1448" t="s">
        <v>40</v>
      </c>
      <c r="H1448" t="s">
        <v>25</v>
      </c>
      <c r="I1448" s="1">
        <v>2</v>
      </c>
      <c r="J1448" s="2">
        <v>46106</v>
      </c>
      <c r="K1448" s="2">
        <v>46082</v>
      </c>
      <c r="L1448" s="1" t="str">
        <f t="shared" si="127"/>
        <v>qua</v>
      </c>
      <c r="M1448" s="1" t="str">
        <f t="shared" si="128"/>
        <v>mar</v>
      </c>
      <c r="N1448">
        <f t="shared" si="129"/>
        <v>2026</v>
      </c>
      <c r="O1448" s="2"/>
      <c r="P1448" t="str">
        <f t="shared" si="123"/>
        <v>126846106</v>
      </c>
    </row>
    <row r="1449" spans="1:16" x14ac:dyDescent="0.3">
      <c r="A1449">
        <v>1268</v>
      </c>
      <c r="B1449">
        <v>40</v>
      </c>
      <c r="C1449" t="s">
        <v>26</v>
      </c>
      <c r="D1449" t="s">
        <v>29</v>
      </c>
      <c r="E1449" t="s">
        <v>17</v>
      </c>
      <c r="F1449" t="s">
        <v>18</v>
      </c>
      <c r="G1449" t="s">
        <v>40</v>
      </c>
      <c r="H1449" t="s">
        <v>25</v>
      </c>
      <c r="I1449" s="1">
        <v>2</v>
      </c>
      <c r="J1449" s="2">
        <v>46152</v>
      </c>
      <c r="K1449" s="2">
        <v>46143</v>
      </c>
      <c r="L1449" s="1" t="s">
        <v>54</v>
      </c>
      <c r="M1449" s="1" t="s">
        <v>49</v>
      </c>
      <c r="N1449">
        <v>2025</v>
      </c>
      <c r="O1449" s="2"/>
      <c r="P1449" t="str">
        <f t="shared" si="123"/>
        <v>126846152</v>
      </c>
    </row>
    <row r="1450" spans="1:16" x14ac:dyDescent="0.3">
      <c r="A1450">
        <v>1269</v>
      </c>
      <c r="B1450">
        <v>19</v>
      </c>
      <c r="C1450" t="s">
        <v>26</v>
      </c>
      <c r="D1450" t="s">
        <v>16</v>
      </c>
      <c r="E1450" t="s">
        <v>17</v>
      </c>
      <c r="F1450" t="s">
        <v>18</v>
      </c>
      <c r="G1450" t="s">
        <v>41</v>
      </c>
      <c r="H1450" t="s">
        <v>20</v>
      </c>
      <c r="I1450" s="1">
        <v>1</v>
      </c>
      <c r="J1450" s="2">
        <v>45673</v>
      </c>
      <c r="K1450" s="2">
        <v>45658</v>
      </c>
      <c r="L1450" s="1" t="str">
        <f t="shared" ref="L1450:L1461" si="130">TEXT(J1450,"ddd")</f>
        <v>qui</v>
      </c>
      <c r="M1450" s="1" t="str">
        <f t="shared" ref="M1450:M1461" si="131">TEXT($J1450,"mmm")</f>
        <v>jan</v>
      </c>
      <c r="N1450">
        <f t="shared" ref="N1450:N1461" si="132">YEAR(J1450)</f>
        <v>2025</v>
      </c>
      <c r="O1450" s="2">
        <f>_xlfn.XLOOKUP(A1450,Colaboradores!$A:$A,Colaboradores!$S:$S,"",0)</f>
        <v>45887</v>
      </c>
      <c r="P1450" t="str">
        <f t="shared" si="123"/>
        <v>126945673</v>
      </c>
    </row>
    <row r="1451" spans="1:16" x14ac:dyDescent="0.3">
      <c r="A1451">
        <v>1269</v>
      </c>
      <c r="B1451">
        <v>19</v>
      </c>
      <c r="C1451" t="s">
        <v>26</v>
      </c>
      <c r="D1451" t="s">
        <v>16</v>
      </c>
      <c r="E1451" t="s">
        <v>17</v>
      </c>
      <c r="F1451" t="s">
        <v>18</v>
      </c>
      <c r="G1451" t="s">
        <v>42</v>
      </c>
      <c r="H1451" t="s">
        <v>20</v>
      </c>
      <c r="I1451" s="1">
        <v>1</v>
      </c>
      <c r="J1451" s="2">
        <v>45765</v>
      </c>
      <c r="K1451" s="2">
        <v>45748</v>
      </c>
      <c r="L1451" s="1" t="str">
        <f t="shared" si="130"/>
        <v>sex</v>
      </c>
      <c r="M1451" s="1" t="str">
        <f t="shared" si="131"/>
        <v>abr</v>
      </c>
      <c r="N1451">
        <f t="shared" si="132"/>
        <v>2025</v>
      </c>
      <c r="O1451" s="2">
        <f>_xlfn.XLOOKUP(A1451,Colaboradores!$A:$A,Colaboradores!$S:$S,"",0)</f>
        <v>45887</v>
      </c>
      <c r="P1451" t="str">
        <f t="shared" si="123"/>
        <v>126945765</v>
      </c>
    </row>
    <row r="1452" spans="1:16" x14ac:dyDescent="0.3">
      <c r="A1452">
        <v>1269</v>
      </c>
      <c r="B1452">
        <v>19</v>
      </c>
      <c r="C1452" t="s">
        <v>26</v>
      </c>
      <c r="D1452" t="s">
        <v>16</v>
      </c>
      <c r="E1452" t="s">
        <v>17</v>
      </c>
      <c r="F1452" t="s">
        <v>18</v>
      </c>
      <c r="G1452" t="s">
        <v>41</v>
      </c>
      <c r="H1452" t="s">
        <v>20</v>
      </c>
      <c r="I1452" s="1">
        <v>1</v>
      </c>
      <c r="J1452" s="2">
        <v>45771</v>
      </c>
      <c r="K1452" s="2">
        <v>45748</v>
      </c>
      <c r="L1452" s="1" t="str">
        <f t="shared" si="130"/>
        <v>qui</v>
      </c>
      <c r="M1452" s="1" t="str">
        <f t="shared" si="131"/>
        <v>abr</v>
      </c>
      <c r="N1452">
        <f t="shared" si="132"/>
        <v>2025</v>
      </c>
      <c r="O1452" s="2">
        <f>_xlfn.XLOOKUP(A1452,Colaboradores!$A:$A,Colaboradores!$S:$S,"",0)</f>
        <v>45887</v>
      </c>
      <c r="P1452" t="str">
        <f t="shared" si="123"/>
        <v>126945771</v>
      </c>
    </row>
    <row r="1453" spans="1:16" x14ac:dyDescent="0.3">
      <c r="A1453">
        <v>1269</v>
      </c>
      <c r="B1453">
        <v>19</v>
      </c>
      <c r="C1453" t="s">
        <v>26</v>
      </c>
      <c r="D1453" t="s">
        <v>16</v>
      </c>
      <c r="E1453" t="s">
        <v>17</v>
      </c>
      <c r="F1453" t="s">
        <v>18</v>
      </c>
      <c r="G1453" t="s">
        <v>42</v>
      </c>
      <c r="H1453" t="s">
        <v>20</v>
      </c>
      <c r="I1453" s="1">
        <v>1</v>
      </c>
      <c r="J1453" s="2">
        <v>45834</v>
      </c>
      <c r="K1453" s="2">
        <v>45809</v>
      </c>
      <c r="L1453" s="1" t="str">
        <f t="shared" si="130"/>
        <v>qui</v>
      </c>
      <c r="M1453" s="1" t="str">
        <f t="shared" si="131"/>
        <v>jun</v>
      </c>
      <c r="N1453">
        <f t="shared" si="132"/>
        <v>2025</v>
      </c>
      <c r="O1453" s="2">
        <f>_xlfn.XLOOKUP(A1453,Colaboradores!$A:$A,Colaboradores!$S:$S,"",0)</f>
        <v>45887</v>
      </c>
      <c r="P1453" t="str">
        <f t="shared" si="123"/>
        <v>126945834</v>
      </c>
    </row>
    <row r="1454" spans="1:16" x14ac:dyDescent="0.3">
      <c r="A1454">
        <v>1269</v>
      </c>
      <c r="B1454">
        <v>19</v>
      </c>
      <c r="C1454" t="s">
        <v>26</v>
      </c>
      <c r="D1454" t="s">
        <v>16</v>
      </c>
      <c r="E1454" t="s">
        <v>17</v>
      </c>
      <c r="F1454" t="s">
        <v>18</v>
      </c>
      <c r="G1454" t="s">
        <v>41</v>
      </c>
      <c r="H1454" t="s">
        <v>20</v>
      </c>
      <c r="I1454" s="1">
        <v>1</v>
      </c>
      <c r="J1454" s="2">
        <v>45862</v>
      </c>
      <c r="K1454" s="2">
        <v>45839</v>
      </c>
      <c r="L1454" s="1" t="str">
        <f t="shared" si="130"/>
        <v>qui</v>
      </c>
      <c r="M1454" s="1" t="str">
        <f t="shared" si="131"/>
        <v>jul</v>
      </c>
      <c r="N1454">
        <f t="shared" si="132"/>
        <v>2025</v>
      </c>
      <c r="O1454" s="2">
        <f>_xlfn.XLOOKUP(A1454,Colaboradores!$A:$A,Colaboradores!$S:$S,"",0)</f>
        <v>45887</v>
      </c>
      <c r="P1454" t="str">
        <f t="shared" si="123"/>
        <v>126945862</v>
      </c>
    </row>
    <row r="1455" spans="1:16" x14ac:dyDescent="0.3">
      <c r="A1455">
        <v>1269</v>
      </c>
      <c r="B1455">
        <v>19</v>
      </c>
      <c r="C1455" t="s">
        <v>26</v>
      </c>
      <c r="D1455" t="s">
        <v>16</v>
      </c>
      <c r="E1455" t="s">
        <v>17</v>
      </c>
      <c r="F1455" t="s">
        <v>18</v>
      </c>
      <c r="G1455" t="s">
        <v>41</v>
      </c>
      <c r="H1455" t="s">
        <v>20</v>
      </c>
      <c r="I1455" s="1">
        <v>1</v>
      </c>
      <c r="J1455" s="2">
        <v>45870</v>
      </c>
      <c r="K1455" s="2">
        <v>45870</v>
      </c>
      <c r="L1455" s="1" t="str">
        <f t="shared" si="130"/>
        <v>sex</v>
      </c>
      <c r="M1455" s="1" t="str">
        <f t="shared" si="131"/>
        <v>ago</v>
      </c>
      <c r="N1455">
        <f t="shared" si="132"/>
        <v>2025</v>
      </c>
      <c r="O1455" s="2">
        <f>_xlfn.XLOOKUP(A1455,Colaboradores!$A:$A,Colaboradores!$S:$S,"",0)</f>
        <v>45887</v>
      </c>
      <c r="P1455" t="str">
        <f t="shared" si="123"/>
        <v>126945870</v>
      </c>
    </row>
    <row r="1456" spans="1:16" x14ac:dyDescent="0.3">
      <c r="A1456">
        <v>1270</v>
      </c>
      <c r="B1456">
        <v>21</v>
      </c>
      <c r="C1456" t="s">
        <v>15</v>
      </c>
      <c r="D1456" t="s">
        <v>29</v>
      </c>
      <c r="E1456" t="s">
        <v>17</v>
      </c>
      <c r="F1456" t="s">
        <v>18</v>
      </c>
      <c r="G1456" t="s">
        <v>44</v>
      </c>
      <c r="H1456" t="s">
        <v>25</v>
      </c>
      <c r="I1456" s="1">
        <v>3</v>
      </c>
      <c r="J1456" s="2">
        <v>45784</v>
      </c>
      <c r="K1456" s="2">
        <v>45778</v>
      </c>
      <c r="L1456" s="1" t="str">
        <f t="shared" si="130"/>
        <v>qua</v>
      </c>
      <c r="M1456" s="1" t="str">
        <f t="shared" si="131"/>
        <v>mai</v>
      </c>
      <c r="N1456">
        <f t="shared" si="132"/>
        <v>2025</v>
      </c>
      <c r="O1456" s="2"/>
      <c r="P1456" t="str">
        <f t="shared" si="123"/>
        <v>127045784</v>
      </c>
    </row>
    <row r="1457" spans="1:16" x14ac:dyDescent="0.3">
      <c r="A1457">
        <v>1270</v>
      </c>
      <c r="B1457">
        <v>21</v>
      </c>
      <c r="C1457" t="s">
        <v>15</v>
      </c>
      <c r="D1457" t="s">
        <v>29</v>
      </c>
      <c r="E1457" t="s">
        <v>17</v>
      </c>
      <c r="F1457" t="s">
        <v>18</v>
      </c>
      <c r="G1457" t="s">
        <v>44</v>
      </c>
      <c r="H1457" t="s">
        <v>25</v>
      </c>
      <c r="I1457" s="1">
        <v>3</v>
      </c>
      <c r="J1457" s="2">
        <v>45785</v>
      </c>
      <c r="K1457" s="2">
        <v>45778</v>
      </c>
      <c r="L1457" s="1" t="str">
        <f t="shared" si="130"/>
        <v>qui</v>
      </c>
      <c r="M1457" s="1" t="str">
        <f t="shared" si="131"/>
        <v>mai</v>
      </c>
      <c r="N1457">
        <f t="shared" si="132"/>
        <v>2025</v>
      </c>
      <c r="O1457" s="2"/>
      <c r="P1457" t="str">
        <f t="shared" si="123"/>
        <v>127045785</v>
      </c>
    </row>
    <row r="1458" spans="1:16" x14ac:dyDescent="0.3">
      <c r="A1458">
        <v>1270</v>
      </c>
      <c r="B1458">
        <v>21</v>
      </c>
      <c r="C1458" t="s">
        <v>15</v>
      </c>
      <c r="D1458" t="s">
        <v>29</v>
      </c>
      <c r="E1458" t="s">
        <v>17</v>
      </c>
      <c r="F1458" t="s">
        <v>18</v>
      </c>
      <c r="G1458" t="s">
        <v>44</v>
      </c>
      <c r="H1458" t="s">
        <v>25</v>
      </c>
      <c r="I1458" s="1">
        <v>3</v>
      </c>
      <c r="J1458" s="2">
        <v>45793</v>
      </c>
      <c r="K1458" s="2">
        <v>45778</v>
      </c>
      <c r="L1458" s="1" t="str">
        <f t="shared" si="130"/>
        <v>sex</v>
      </c>
      <c r="M1458" s="1" t="str">
        <f t="shared" si="131"/>
        <v>mai</v>
      </c>
      <c r="N1458">
        <f t="shared" si="132"/>
        <v>2025</v>
      </c>
      <c r="O1458" s="2"/>
      <c r="P1458" t="str">
        <f t="shared" si="123"/>
        <v>127045793</v>
      </c>
    </row>
    <row r="1459" spans="1:16" x14ac:dyDescent="0.3">
      <c r="A1459">
        <v>1270</v>
      </c>
      <c r="B1459">
        <v>21</v>
      </c>
      <c r="C1459" t="s">
        <v>15</v>
      </c>
      <c r="D1459" t="s">
        <v>29</v>
      </c>
      <c r="E1459" t="s">
        <v>17</v>
      </c>
      <c r="F1459" t="s">
        <v>18</v>
      </c>
      <c r="G1459" t="s">
        <v>44</v>
      </c>
      <c r="H1459" t="s">
        <v>25</v>
      </c>
      <c r="I1459" s="1">
        <v>3</v>
      </c>
      <c r="J1459" s="2">
        <v>46178</v>
      </c>
      <c r="K1459" s="2">
        <v>45809</v>
      </c>
      <c r="L1459" s="1" t="str">
        <f t="shared" si="130"/>
        <v>sex</v>
      </c>
      <c r="M1459" s="1" t="str">
        <f t="shared" si="131"/>
        <v>jun</v>
      </c>
      <c r="N1459">
        <f t="shared" si="132"/>
        <v>2026</v>
      </c>
      <c r="O1459" s="2"/>
      <c r="P1459" t="str">
        <f t="shared" si="123"/>
        <v>127046178</v>
      </c>
    </row>
    <row r="1460" spans="1:16" x14ac:dyDescent="0.3">
      <c r="A1460">
        <v>1270</v>
      </c>
      <c r="B1460">
        <v>21</v>
      </c>
      <c r="C1460" t="s">
        <v>15</v>
      </c>
      <c r="D1460" t="s">
        <v>29</v>
      </c>
      <c r="E1460" t="s">
        <v>17</v>
      </c>
      <c r="F1460" t="s">
        <v>18</v>
      </c>
      <c r="G1460" t="s">
        <v>41</v>
      </c>
      <c r="H1460" t="s">
        <v>25</v>
      </c>
      <c r="I1460" s="1">
        <v>3</v>
      </c>
      <c r="J1460" s="2">
        <v>45865</v>
      </c>
      <c r="K1460" s="2">
        <v>45839</v>
      </c>
      <c r="L1460" s="1" t="str">
        <f t="shared" si="130"/>
        <v>dom</v>
      </c>
      <c r="M1460" s="1" t="str">
        <f t="shared" si="131"/>
        <v>jul</v>
      </c>
      <c r="N1460">
        <f t="shared" si="132"/>
        <v>2025</v>
      </c>
      <c r="O1460" s="2"/>
      <c r="P1460" t="str">
        <f t="shared" si="123"/>
        <v>127045865</v>
      </c>
    </row>
    <row r="1461" spans="1:16" x14ac:dyDescent="0.3">
      <c r="A1461">
        <v>1270</v>
      </c>
      <c r="B1461">
        <v>21</v>
      </c>
      <c r="C1461" t="s">
        <v>15</v>
      </c>
      <c r="D1461" t="s">
        <v>29</v>
      </c>
      <c r="E1461" t="s">
        <v>17</v>
      </c>
      <c r="F1461" t="s">
        <v>18</v>
      </c>
      <c r="G1461" t="s">
        <v>41</v>
      </c>
      <c r="H1461" t="s">
        <v>25</v>
      </c>
      <c r="I1461" s="1">
        <v>3</v>
      </c>
      <c r="J1461" s="2">
        <v>45867</v>
      </c>
      <c r="K1461" s="2">
        <v>45839</v>
      </c>
      <c r="L1461" s="1" t="str">
        <f t="shared" si="130"/>
        <v>ter</v>
      </c>
      <c r="M1461" s="1" t="str">
        <f t="shared" si="131"/>
        <v>jul</v>
      </c>
      <c r="N1461">
        <f t="shared" si="132"/>
        <v>2025</v>
      </c>
      <c r="O1461" s="2"/>
      <c r="P1461" t="str">
        <f t="shared" si="123"/>
        <v>127045867</v>
      </c>
    </row>
    <row r="1462" spans="1:16" x14ac:dyDescent="0.3">
      <c r="A1462">
        <v>1270</v>
      </c>
      <c r="B1462">
        <v>21</v>
      </c>
      <c r="C1462" t="s">
        <v>15</v>
      </c>
      <c r="D1462" t="s">
        <v>29</v>
      </c>
      <c r="E1462" t="s">
        <v>17</v>
      </c>
      <c r="F1462" t="s">
        <v>18</v>
      </c>
      <c r="G1462" t="s">
        <v>44</v>
      </c>
      <c r="H1462" t="s">
        <v>25</v>
      </c>
      <c r="I1462" s="1">
        <v>3</v>
      </c>
      <c r="J1462" s="2">
        <v>46149</v>
      </c>
      <c r="K1462" s="2">
        <v>46143</v>
      </c>
      <c r="L1462" s="1" t="s">
        <v>51</v>
      </c>
      <c r="M1462" s="1" t="s">
        <v>49</v>
      </c>
      <c r="N1462">
        <v>2025</v>
      </c>
      <c r="O1462" s="2"/>
      <c r="P1462" t="str">
        <f t="shared" si="123"/>
        <v>127046149</v>
      </c>
    </row>
    <row r="1463" spans="1:16" x14ac:dyDescent="0.3">
      <c r="A1463">
        <v>1270</v>
      </c>
      <c r="B1463">
        <v>21</v>
      </c>
      <c r="C1463" t="s">
        <v>15</v>
      </c>
      <c r="D1463" t="s">
        <v>29</v>
      </c>
      <c r="E1463" t="s">
        <v>17</v>
      </c>
      <c r="F1463" t="s">
        <v>18</v>
      </c>
      <c r="G1463" t="s">
        <v>44</v>
      </c>
      <c r="H1463" t="s">
        <v>25</v>
      </c>
      <c r="I1463" s="1">
        <v>3</v>
      </c>
      <c r="J1463" s="2">
        <v>46150</v>
      </c>
      <c r="K1463" s="2">
        <v>46143</v>
      </c>
      <c r="L1463" s="1" t="s">
        <v>52</v>
      </c>
      <c r="M1463" s="1" t="s">
        <v>49</v>
      </c>
      <c r="N1463">
        <v>2025</v>
      </c>
      <c r="O1463" s="2"/>
      <c r="P1463" t="str">
        <f t="shared" si="123"/>
        <v>127046150</v>
      </c>
    </row>
    <row r="1464" spans="1:16" x14ac:dyDescent="0.3">
      <c r="A1464">
        <v>1270</v>
      </c>
      <c r="B1464">
        <v>21</v>
      </c>
      <c r="C1464" t="s">
        <v>15</v>
      </c>
      <c r="D1464" t="s">
        <v>29</v>
      </c>
      <c r="E1464" t="s">
        <v>17</v>
      </c>
      <c r="F1464" t="s">
        <v>18</v>
      </c>
      <c r="G1464" t="s">
        <v>44</v>
      </c>
      <c r="H1464" t="s">
        <v>25</v>
      </c>
      <c r="I1464" s="1">
        <v>3</v>
      </c>
      <c r="J1464" s="2">
        <v>46158</v>
      </c>
      <c r="K1464" s="2">
        <v>46143</v>
      </c>
      <c r="L1464" s="1" t="s">
        <v>53</v>
      </c>
      <c r="M1464" s="1" t="s">
        <v>49</v>
      </c>
      <c r="N1464">
        <v>2025</v>
      </c>
      <c r="O1464" s="2"/>
      <c r="P1464" t="str">
        <f t="shared" si="123"/>
        <v>127046158</v>
      </c>
    </row>
    <row r="1465" spans="1:16" x14ac:dyDescent="0.3">
      <c r="A1465">
        <v>1271</v>
      </c>
      <c r="B1465">
        <v>40</v>
      </c>
      <c r="C1465" t="s">
        <v>15</v>
      </c>
      <c r="D1465" t="s">
        <v>29</v>
      </c>
      <c r="E1465" t="s">
        <v>17</v>
      </c>
      <c r="F1465" t="s">
        <v>23</v>
      </c>
      <c r="G1465" t="s">
        <v>41</v>
      </c>
      <c r="H1465" t="s">
        <v>25</v>
      </c>
      <c r="I1465" s="1">
        <v>3</v>
      </c>
      <c r="J1465" s="2">
        <v>45884</v>
      </c>
      <c r="K1465" s="2">
        <v>45870</v>
      </c>
      <c r="L1465" s="1" t="str">
        <f t="shared" ref="L1465:L1481" si="133">TEXT(J1465,"ddd")</f>
        <v>sex</v>
      </c>
      <c r="M1465" s="1" t="str">
        <f t="shared" ref="M1465:M1481" si="134">TEXT($J1465,"mmm")</f>
        <v>ago</v>
      </c>
      <c r="N1465">
        <f t="shared" ref="N1465:N1481" si="135">YEAR(J1465)</f>
        <v>2025</v>
      </c>
      <c r="O1465" s="2"/>
      <c r="P1465" t="str">
        <f t="shared" si="123"/>
        <v>127145884</v>
      </c>
    </row>
    <row r="1466" spans="1:16" x14ac:dyDescent="0.3">
      <c r="A1466">
        <v>1271</v>
      </c>
      <c r="B1466">
        <v>40</v>
      </c>
      <c r="C1466" t="s">
        <v>15</v>
      </c>
      <c r="D1466" t="s">
        <v>29</v>
      </c>
      <c r="E1466" t="s">
        <v>17</v>
      </c>
      <c r="F1466" t="s">
        <v>23</v>
      </c>
      <c r="G1466" t="s">
        <v>41</v>
      </c>
      <c r="H1466" t="s">
        <v>25</v>
      </c>
      <c r="I1466" s="1">
        <v>3</v>
      </c>
      <c r="J1466" s="2">
        <v>45898</v>
      </c>
      <c r="K1466" s="2">
        <v>45870</v>
      </c>
      <c r="L1466" s="1" t="str">
        <f t="shared" si="133"/>
        <v>sex</v>
      </c>
      <c r="M1466" s="1" t="str">
        <f t="shared" si="134"/>
        <v>ago</v>
      </c>
      <c r="N1466">
        <f t="shared" si="135"/>
        <v>2025</v>
      </c>
      <c r="O1466" s="2"/>
      <c r="P1466" t="str">
        <f t="shared" si="123"/>
        <v>127145898</v>
      </c>
    </row>
    <row r="1467" spans="1:16" x14ac:dyDescent="0.3">
      <c r="A1467">
        <v>1271</v>
      </c>
      <c r="B1467">
        <v>40</v>
      </c>
      <c r="C1467" t="s">
        <v>15</v>
      </c>
      <c r="D1467" t="s">
        <v>29</v>
      </c>
      <c r="E1467" t="s">
        <v>17</v>
      </c>
      <c r="F1467" t="s">
        <v>23</v>
      </c>
      <c r="G1467" t="s">
        <v>41</v>
      </c>
      <c r="H1467" t="s">
        <v>25</v>
      </c>
      <c r="I1467" s="1">
        <v>3</v>
      </c>
      <c r="J1467" s="2">
        <v>45961</v>
      </c>
      <c r="K1467" s="2">
        <v>45931</v>
      </c>
      <c r="L1467" s="1" t="str">
        <f t="shared" si="133"/>
        <v>sex</v>
      </c>
      <c r="M1467" s="1" t="str">
        <f t="shared" si="134"/>
        <v>out</v>
      </c>
      <c r="N1467">
        <f t="shared" si="135"/>
        <v>2025</v>
      </c>
      <c r="O1467" s="2"/>
      <c r="P1467" t="str">
        <f t="shared" si="123"/>
        <v>127145961</v>
      </c>
    </row>
    <row r="1468" spans="1:16" x14ac:dyDescent="0.3">
      <c r="A1468">
        <v>1271</v>
      </c>
      <c r="B1468">
        <v>40</v>
      </c>
      <c r="C1468" t="s">
        <v>15</v>
      </c>
      <c r="D1468" t="s">
        <v>29</v>
      </c>
      <c r="E1468" t="s">
        <v>17</v>
      </c>
      <c r="F1468" t="s">
        <v>23</v>
      </c>
      <c r="G1468" t="s">
        <v>41</v>
      </c>
      <c r="H1468" t="s">
        <v>25</v>
      </c>
      <c r="I1468" s="1">
        <v>3</v>
      </c>
      <c r="J1468" s="2">
        <v>45987</v>
      </c>
      <c r="K1468" s="2">
        <v>45962</v>
      </c>
      <c r="L1468" s="1" t="str">
        <f t="shared" si="133"/>
        <v>qua</v>
      </c>
      <c r="M1468" s="1" t="str">
        <f t="shared" si="134"/>
        <v>nov</v>
      </c>
      <c r="N1468">
        <f t="shared" si="135"/>
        <v>2025</v>
      </c>
      <c r="O1468" s="2"/>
      <c r="P1468" t="str">
        <f t="shared" si="123"/>
        <v>127145987</v>
      </c>
    </row>
    <row r="1469" spans="1:16" x14ac:dyDescent="0.3">
      <c r="A1469">
        <v>1271</v>
      </c>
      <c r="B1469">
        <v>40</v>
      </c>
      <c r="C1469" t="s">
        <v>15</v>
      </c>
      <c r="D1469" t="s">
        <v>29</v>
      </c>
      <c r="E1469" t="s">
        <v>17</v>
      </c>
      <c r="F1469" t="s">
        <v>23</v>
      </c>
      <c r="G1469" t="s">
        <v>41</v>
      </c>
      <c r="H1469" t="s">
        <v>25</v>
      </c>
      <c r="I1469" s="1">
        <v>3</v>
      </c>
      <c r="J1469" s="2">
        <v>45996</v>
      </c>
      <c r="K1469" s="2">
        <v>45992</v>
      </c>
      <c r="L1469" s="1" t="str">
        <f t="shared" si="133"/>
        <v>sex</v>
      </c>
      <c r="M1469" s="1" t="str">
        <f t="shared" si="134"/>
        <v>dez</v>
      </c>
      <c r="N1469">
        <f t="shared" si="135"/>
        <v>2025</v>
      </c>
      <c r="O1469" s="2"/>
      <c r="P1469" t="str">
        <f t="shared" si="123"/>
        <v>127145996</v>
      </c>
    </row>
    <row r="1470" spans="1:16" x14ac:dyDescent="0.3">
      <c r="A1470">
        <v>1272</v>
      </c>
      <c r="B1470">
        <v>32</v>
      </c>
      <c r="C1470" t="s">
        <v>15</v>
      </c>
      <c r="D1470" t="s">
        <v>29</v>
      </c>
      <c r="E1470" t="s">
        <v>17</v>
      </c>
      <c r="F1470" t="s">
        <v>23</v>
      </c>
      <c r="G1470" t="s">
        <v>41</v>
      </c>
      <c r="H1470" t="s">
        <v>20</v>
      </c>
      <c r="I1470" s="1">
        <v>2</v>
      </c>
      <c r="J1470" s="2">
        <v>45822</v>
      </c>
      <c r="K1470" s="2">
        <v>45809</v>
      </c>
      <c r="L1470" s="1" t="str">
        <f t="shared" si="133"/>
        <v>sáb</v>
      </c>
      <c r="M1470" s="1" t="str">
        <f t="shared" si="134"/>
        <v>jun</v>
      </c>
      <c r="N1470">
        <f t="shared" si="135"/>
        <v>2025</v>
      </c>
      <c r="O1470" s="2">
        <f>_xlfn.XLOOKUP(A1470,Colaboradores!$A:$A,Colaboradores!$S:$S,"",0)</f>
        <v>45998</v>
      </c>
      <c r="P1470" t="str">
        <f t="shared" si="123"/>
        <v>127245822</v>
      </c>
    </row>
    <row r="1471" spans="1:16" x14ac:dyDescent="0.3">
      <c r="A1471">
        <v>1272</v>
      </c>
      <c r="B1471">
        <v>32</v>
      </c>
      <c r="C1471" t="s">
        <v>15</v>
      </c>
      <c r="D1471" t="s">
        <v>29</v>
      </c>
      <c r="E1471" t="s">
        <v>17</v>
      </c>
      <c r="F1471" t="s">
        <v>23</v>
      </c>
      <c r="G1471" t="s">
        <v>41</v>
      </c>
      <c r="H1471" t="s">
        <v>20</v>
      </c>
      <c r="I1471" s="1">
        <v>2</v>
      </c>
      <c r="J1471" s="2">
        <v>45841</v>
      </c>
      <c r="K1471" s="2">
        <v>45839</v>
      </c>
      <c r="L1471" s="1" t="str">
        <f t="shared" si="133"/>
        <v>qui</v>
      </c>
      <c r="M1471" s="1" t="str">
        <f t="shared" si="134"/>
        <v>jul</v>
      </c>
      <c r="N1471">
        <f t="shared" si="135"/>
        <v>2025</v>
      </c>
      <c r="O1471" s="2">
        <f>_xlfn.XLOOKUP(A1471,Colaboradores!$A:$A,Colaboradores!$S:$S,"",0)</f>
        <v>45998</v>
      </c>
      <c r="P1471" t="str">
        <f t="shared" si="123"/>
        <v>127245841</v>
      </c>
    </row>
    <row r="1472" spans="1:16" x14ac:dyDescent="0.3">
      <c r="A1472">
        <v>1272</v>
      </c>
      <c r="B1472">
        <v>32</v>
      </c>
      <c r="C1472" t="s">
        <v>15</v>
      </c>
      <c r="D1472" t="s">
        <v>29</v>
      </c>
      <c r="E1472" t="s">
        <v>17</v>
      </c>
      <c r="F1472" t="s">
        <v>23</v>
      </c>
      <c r="G1472" t="s">
        <v>41</v>
      </c>
      <c r="H1472" t="s">
        <v>20</v>
      </c>
      <c r="I1472" s="1">
        <v>2</v>
      </c>
      <c r="J1472" s="2">
        <v>45854</v>
      </c>
      <c r="K1472" s="2">
        <v>45839</v>
      </c>
      <c r="L1472" s="1" t="str">
        <f t="shared" si="133"/>
        <v>qua</v>
      </c>
      <c r="M1472" s="1" t="str">
        <f t="shared" si="134"/>
        <v>jul</v>
      </c>
      <c r="N1472">
        <f t="shared" si="135"/>
        <v>2025</v>
      </c>
      <c r="O1472" s="2">
        <f>_xlfn.XLOOKUP(A1472,Colaboradores!$A:$A,Colaboradores!$S:$S,"",0)</f>
        <v>45998</v>
      </c>
      <c r="P1472" t="str">
        <f t="shared" si="123"/>
        <v>127245854</v>
      </c>
    </row>
    <row r="1473" spans="1:16" x14ac:dyDescent="0.3">
      <c r="A1473">
        <v>1272</v>
      </c>
      <c r="B1473">
        <v>32</v>
      </c>
      <c r="C1473" t="s">
        <v>15</v>
      </c>
      <c r="D1473" t="s">
        <v>29</v>
      </c>
      <c r="E1473" t="s">
        <v>17</v>
      </c>
      <c r="F1473" t="s">
        <v>23</v>
      </c>
      <c r="G1473" t="s">
        <v>41</v>
      </c>
      <c r="H1473" t="s">
        <v>20</v>
      </c>
      <c r="I1473" s="1">
        <v>2</v>
      </c>
      <c r="J1473" s="2">
        <v>45953</v>
      </c>
      <c r="K1473" s="2">
        <v>45931</v>
      </c>
      <c r="L1473" s="1" t="str">
        <f t="shared" si="133"/>
        <v>qui</v>
      </c>
      <c r="M1473" s="1" t="str">
        <f t="shared" si="134"/>
        <v>out</v>
      </c>
      <c r="N1473">
        <f t="shared" si="135"/>
        <v>2025</v>
      </c>
      <c r="O1473" s="2">
        <f>_xlfn.XLOOKUP(A1473,Colaboradores!$A:$A,Colaboradores!$S:$S,"",0)</f>
        <v>45998</v>
      </c>
      <c r="P1473" t="str">
        <f t="shared" ref="P1473:P1536" si="136">CONCATENATE(A1473,J1473)</f>
        <v>127245953</v>
      </c>
    </row>
    <row r="1474" spans="1:16" x14ac:dyDescent="0.3">
      <c r="A1474">
        <v>1272</v>
      </c>
      <c r="B1474">
        <v>32</v>
      </c>
      <c r="C1474" t="s">
        <v>15</v>
      </c>
      <c r="D1474" t="s">
        <v>29</v>
      </c>
      <c r="E1474" t="s">
        <v>17</v>
      </c>
      <c r="F1474" t="s">
        <v>23</v>
      </c>
      <c r="G1474" t="s">
        <v>41</v>
      </c>
      <c r="H1474" t="s">
        <v>20</v>
      </c>
      <c r="I1474" s="1">
        <v>2</v>
      </c>
      <c r="J1474" s="2">
        <v>45969</v>
      </c>
      <c r="K1474" s="2">
        <v>45962</v>
      </c>
      <c r="L1474" s="1" t="str">
        <f t="shared" si="133"/>
        <v>sáb</v>
      </c>
      <c r="M1474" s="1" t="str">
        <f t="shared" si="134"/>
        <v>nov</v>
      </c>
      <c r="N1474">
        <f t="shared" si="135"/>
        <v>2025</v>
      </c>
      <c r="O1474" s="2">
        <f>_xlfn.XLOOKUP(A1474,Colaboradores!$A:$A,Colaboradores!$S:$S,"",0)</f>
        <v>45998</v>
      </c>
      <c r="P1474" t="str">
        <f t="shared" si="136"/>
        <v>127245969</v>
      </c>
    </row>
    <row r="1475" spans="1:16" x14ac:dyDescent="0.3">
      <c r="A1475">
        <v>1272</v>
      </c>
      <c r="B1475">
        <v>32</v>
      </c>
      <c r="C1475" t="s">
        <v>15</v>
      </c>
      <c r="D1475" t="s">
        <v>29</v>
      </c>
      <c r="E1475" t="s">
        <v>17</v>
      </c>
      <c r="F1475" t="s">
        <v>23</v>
      </c>
      <c r="G1475" t="s">
        <v>41</v>
      </c>
      <c r="H1475" t="s">
        <v>20</v>
      </c>
      <c r="I1475" s="1">
        <v>2</v>
      </c>
      <c r="J1475" s="2">
        <v>45990</v>
      </c>
      <c r="K1475" s="2">
        <v>45962</v>
      </c>
      <c r="L1475" s="1" t="str">
        <f t="shared" si="133"/>
        <v>sáb</v>
      </c>
      <c r="M1475" s="1" t="str">
        <f t="shared" si="134"/>
        <v>nov</v>
      </c>
      <c r="N1475">
        <f t="shared" si="135"/>
        <v>2025</v>
      </c>
      <c r="O1475" s="2">
        <f>_xlfn.XLOOKUP(A1475,Colaboradores!$A:$A,Colaboradores!$S:$S,"",0)</f>
        <v>45998</v>
      </c>
      <c r="P1475" t="str">
        <f t="shared" si="136"/>
        <v>127245990</v>
      </c>
    </row>
    <row r="1476" spans="1:16" x14ac:dyDescent="0.3">
      <c r="A1476">
        <v>1273</v>
      </c>
      <c r="B1476">
        <v>27</v>
      </c>
      <c r="C1476" t="s">
        <v>15</v>
      </c>
      <c r="D1476" t="s">
        <v>22</v>
      </c>
      <c r="E1476" t="s">
        <v>17</v>
      </c>
      <c r="F1476" t="s">
        <v>18</v>
      </c>
      <c r="G1476" t="s">
        <v>40</v>
      </c>
      <c r="H1476" t="s">
        <v>25</v>
      </c>
      <c r="I1476" s="1">
        <v>2</v>
      </c>
      <c r="J1476" s="2">
        <v>45781</v>
      </c>
      <c r="K1476" s="2">
        <v>45778</v>
      </c>
      <c r="L1476" s="1" t="str">
        <f t="shared" si="133"/>
        <v>dom</v>
      </c>
      <c r="M1476" s="1" t="str">
        <f t="shared" si="134"/>
        <v>mai</v>
      </c>
      <c r="N1476">
        <f t="shared" si="135"/>
        <v>2025</v>
      </c>
      <c r="O1476" s="2"/>
      <c r="P1476" t="str">
        <f t="shared" si="136"/>
        <v>127345781</v>
      </c>
    </row>
    <row r="1477" spans="1:16" x14ac:dyDescent="0.3">
      <c r="A1477">
        <v>1273</v>
      </c>
      <c r="B1477">
        <v>27</v>
      </c>
      <c r="C1477" t="s">
        <v>15</v>
      </c>
      <c r="D1477" t="s">
        <v>22</v>
      </c>
      <c r="E1477" t="s">
        <v>17</v>
      </c>
      <c r="F1477" t="s">
        <v>18</v>
      </c>
      <c r="G1477" t="s">
        <v>40</v>
      </c>
      <c r="H1477" t="s">
        <v>25</v>
      </c>
      <c r="I1477" s="1">
        <v>2</v>
      </c>
      <c r="J1477" s="2">
        <v>45782</v>
      </c>
      <c r="K1477" s="2">
        <v>45778</v>
      </c>
      <c r="L1477" s="1" t="str">
        <f t="shared" si="133"/>
        <v>seg</v>
      </c>
      <c r="M1477" s="1" t="str">
        <f t="shared" si="134"/>
        <v>mai</v>
      </c>
      <c r="N1477">
        <f t="shared" si="135"/>
        <v>2025</v>
      </c>
      <c r="O1477" s="2"/>
      <c r="P1477" t="str">
        <f t="shared" si="136"/>
        <v>127345782</v>
      </c>
    </row>
    <row r="1478" spans="1:16" x14ac:dyDescent="0.3">
      <c r="A1478">
        <v>1273</v>
      </c>
      <c r="B1478">
        <v>27</v>
      </c>
      <c r="C1478" t="s">
        <v>15</v>
      </c>
      <c r="D1478" t="s">
        <v>22</v>
      </c>
      <c r="E1478" t="s">
        <v>17</v>
      </c>
      <c r="F1478" t="s">
        <v>18</v>
      </c>
      <c r="G1478" t="s">
        <v>40</v>
      </c>
      <c r="H1478" t="s">
        <v>25</v>
      </c>
      <c r="I1478" s="1">
        <v>2</v>
      </c>
      <c r="J1478" s="2">
        <v>46182</v>
      </c>
      <c r="K1478" s="2">
        <v>45809</v>
      </c>
      <c r="L1478" s="1" t="str">
        <f t="shared" si="133"/>
        <v>ter</v>
      </c>
      <c r="M1478" s="1" t="str">
        <f t="shared" si="134"/>
        <v>jun</v>
      </c>
      <c r="N1478">
        <f t="shared" si="135"/>
        <v>2026</v>
      </c>
      <c r="O1478" s="2"/>
      <c r="P1478" t="str">
        <f t="shared" si="136"/>
        <v>127346182</v>
      </c>
    </row>
    <row r="1479" spans="1:16" x14ac:dyDescent="0.3">
      <c r="A1479">
        <v>1273</v>
      </c>
      <c r="B1479">
        <v>27</v>
      </c>
      <c r="C1479" t="s">
        <v>15</v>
      </c>
      <c r="D1479" t="s">
        <v>22</v>
      </c>
      <c r="E1479" t="s">
        <v>17</v>
      </c>
      <c r="F1479" t="s">
        <v>18</v>
      </c>
      <c r="G1479" t="s">
        <v>40</v>
      </c>
      <c r="H1479" t="s">
        <v>25</v>
      </c>
      <c r="I1479" s="1">
        <v>2</v>
      </c>
      <c r="J1479" s="2">
        <v>45941</v>
      </c>
      <c r="K1479" s="2">
        <v>45931</v>
      </c>
      <c r="L1479" s="1" t="str">
        <f t="shared" si="133"/>
        <v>sáb</v>
      </c>
      <c r="M1479" s="1" t="str">
        <f t="shared" si="134"/>
        <v>out</v>
      </c>
      <c r="N1479">
        <f t="shared" si="135"/>
        <v>2025</v>
      </c>
      <c r="O1479" s="2"/>
      <c r="P1479" t="str">
        <f t="shared" si="136"/>
        <v>127345941</v>
      </c>
    </row>
    <row r="1480" spans="1:16" x14ac:dyDescent="0.3">
      <c r="A1480">
        <v>1273</v>
      </c>
      <c r="B1480">
        <v>27</v>
      </c>
      <c r="C1480" t="s">
        <v>15</v>
      </c>
      <c r="D1480" t="s">
        <v>22</v>
      </c>
      <c r="E1480" t="s">
        <v>17</v>
      </c>
      <c r="F1480" t="s">
        <v>18</v>
      </c>
      <c r="G1480" t="s">
        <v>40</v>
      </c>
      <c r="H1480" t="s">
        <v>25</v>
      </c>
      <c r="I1480" s="1">
        <v>2</v>
      </c>
      <c r="J1480" s="2">
        <v>45946</v>
      </c>
      <c r="K1480" s="2">
        <v>45931</v>
      </c>
      <c r="L1480" s="1" t="str">
        <f t="shared" si="133"/>
        <v>qui</v>
      </c>
      <c r="M1480" s="1" t="str">
        <f t="shared" si="134"/>
        <v>out</v>
      </c>
      <c r="N1480">
        <f t="shared" si="135"/>
        <v>2025</v>
      </c>
      <c r="O1480" s="2"/>
      <c r="P1480" t="str">
        <f t="shared" si="136"/>
        <v>127345946</v>
      </c>
    </row>
    <row r="1481" spans="1:16" x14ac:dyDescent="0.3">
      <c r="A1481">
        <v>1273</v>
      </c>
      <c r="B1481">
        <v>27</v>
      </c>
      <c r="C1481" t="s">
        <v>15</v>
      </c>
      <c r="D1481" t="s">
        <v>22</v>
      </c>
      <c r="E1481" t="s">
        <v>17</v>
      </c>
      <c r="F1481" t="s">
        <v>18</v>
      </c>
      <c r="G1481" t="s">
        <v>40</v>
      </c>
      <c r="H1481" t="s">
        <v>25</v>
      </c>
      <c r="I1481" s="1">
        <v>2</v>
      </c>
      <c r="J1481" s="2">
        <v>46192</v>
      </c>
      <c r="K1481" s="2">
        <v>46023</v>
      </c>
      <c r="L1481" s="1" t="str">
        <f t="shared" si="133"/>
        <v>sex</v>
      </c>
      <c r="M1481" s="1" t="str">
        <f t="shared" si="134"/>
        <v>jun</v>
      </c>
      <c r="N1481">
        <f t="shared" si="135"/>
        <v>2026</v>
      </c>
      <c r="O1481" s="2"/>
      <c r="P1481" t="str">
        <f t="shared" si="136"/>
        <v>127346192</v>
      </c>
    </row>
    <row r="1482" spans="1:16" x14ac:dyDescent="0.3">
      <c r="A1482">
        <v>1273</v>
      </c>
      <c r="B1482">
        <v>27</v>
      </c>
      <c r="C1482" t="s">
        <v>15</v>
      </c>
      <c r="D1482" t="s">
        <v>22</v>
      </c>
      <c r="E1482" t="s">
        <v>17</v>
      </c>
      <c r="F1482" t="s">
        <v>18</v>
      </c>
      <c r="G1482" t="s">
        <v>40</v>
      </c>
      <c r="H1482" t="s">
        <v>25</v>
      </c>
      <c r="I1482" s="1">
        <v>2</v>
      </c>
      <c r="J1482" s="2">
        <v>46146</v>
      </c>
      <c r="K1482" s="2">
        <v>46143</v>
      </c>
      <c r="L1482" s="1" t="s">
        <v>55</v>
      </c>
      <c r="M1482" s="1" t="s">
        <v>49</v>
      </c>
      <c r="N1482">
        <v>2025</v>
      </c>
      <c r="O1482" s="2"/>
      <c r="P1482" t="str">
        <f t="shared" si="136"/>
        <v>127346146</v>
      </c>
    </row>
    <row r="1483" spans="1:16" x14ac:dyDescent="0.3">
      <c r="A1483">
        <v>1273</v>
      </c>
      <c r="B1483">
        <v>27</v>
      </c>
      <c r="C1483" t="s">
        <v>15</v>
      </c>
      <c r="D1483" t="s">
        <v>22</v>
      </c>
      <c r="E1483" t="s">
        <v>17</v>
      </c>
      <c r="F1483" t="s">
        <v>18</v>
      </c>
      <c r="G1483" t="s">
        <v>40</v>
      </c>
      <c r="H1483" t="s">
        <v>25</v>
      </c>
      <c r="I1483" s="1">
        <v>2</v>
      </c>
      <c r="J1483" s="2">
        <v>46147</v>
      </c>
      <c r="K1483" s="2">
        <v>46143</v>
      </c>
      <c r="L1483" s="1" t="s">
        <v>56</v>
      </c>
      <c r="M1483" s="1" t="s">
        <v>49</v>
      </c>
      <c r="N1483">
        <v>2025</v>
      </c>
      <c r="O1483" s="2"/>
      <c r="P1483" t="str">
        <f t="shared" si="136"/>
        <v>127346147</v>
      </c>
    </row>
    <row r="1484" spans="1:16" x14ac:dyDescent="0.3">
      <c r="A1484">
        <v>1274</v>
      </c>
      <c r="B1484">
        <v>45</v>
      </c>
      <c r="C1484" t="s">
        <v>26</v>
      </c>
      <c r="D1484" t="s">
        <v>27</v>
      </c>
      <c r="E1484" t="s">
        <v>17</v>
      </c>
      <c r="F1484" t="s">
        <v>23</v>
      </c>
      <c r="G1484" t="s">
        <v>41</v>
      </c>
      <c r="H1484" t="s">
        <v>25</v>
      </c>
      <c r="I1484" s="1">
        <v>3</v>
      </c>
      <c r="J1484" s="2">
        <v>45851</v>
      </c>
      <c r="K1484" s="2">
        <v>45839</v>
      </c>
      <c r="L1484" s="1" t="str">
        <f t="shared" ref="L1484:L1495" si="137">TEXT(J1484,"ddd")</f>
        <v>dom</v>
      </c>
      <c r="M1484" s="1" t="str">
        <f t="shared" ref="M1484:M1495" si="138">TEXT($J1484,"mmm")</f>
        <v>jul</v>
      </c>
      <c r="N1484">
        <f t="shared" ref="N1484:N1495" si="139">YEAR(J1484)</f>
        <v>2025</v>
      </c>
      <c r="O1484" s="2"/>
      <c r="P1484" t="str">
        <f t="shared" si="136"/>
        <v>127445851</v>
      </c>
    </row>
    <row r="1485" spans="1:16" x14ac:dyDescent="0.3">
      <c r="A1485">
        <v>1274</v>
      </c>
      <c r="B1485">
        <v>45</v>
      </c>
      <c r="C1485" t="s">
        <v>26</v>
      </c>
      <c r="D1485" t="s">
        <v>27</v>
      </c>
      <c r="E1485" t="s">
        <v>17</v>
      </c>
      <c r="F1485" t="s">
        <v>23</v>
      </c>
      <c r="G1485" t="s">
        <v>40</v>
      </c>
      <c r="H1485" t="s">
        <v>25</v>
      </c>
      <c r="I1485" s="1">
        <v>3</v>
      </c>
      <c r="J1485" s="2">
        <v>45864</v>
      </c>
      <c r="K1485" s="2">
        <v>45839</v>
      </c>
      <c r="L1485" s="1" t="str">
        <f t="shared" si="137"/>
        <v>sáb</v>
      </c>
      <c r="M1485" s="1" t="str">
        <f t="shared" si="138"/>
        <v>jul</v>
      </c>
      <c r="N1485">
        <f t="shared" si="139"/>
        <v>2025</v>
      </c>
      <c r="O1485" s="2"/>
      <c r="P1485" t="str">
        <f t="shared" si="136"/>
        <v>127445864</v>
      </c>
    </row>
    <row r="1486" spans="1:16" x14ac:dyDescent="0.3">
      <c r="A1486">
        <v>1274</v>
      </c>
      <c r="B1486">
        <v>45</v>
      </c>
      <c r="C1486" t="s">
        <v>26</v>
      </c>
      <c r="D1486" t="s">
        <v>27</v>
      </c>
      <c r="E1486" t="s">
        <v>17</v>
      </c>
      <c r="F1486" t="s">
        <v>23</v>
      </c>
      <c r="G1486" t="s">
        <v>41</v>
      </c>
      <c r="H1486" t="s">
        <v>25</v>
      </c>
      <c r="I1486" s="1">
        <v>3</v>
      </c>
      <c r="J1486" s="2">
        <v>45923</v>
      </c>
      <c r="K1486" s="2">
        <v>45901</v>
      </c>
      <c r="L1486" s="1" t="str">
        <f t="shared" si="137"/>
        <v>ter</v>
      </c>
      <c r="M1486" s="1" t="str">
        <f t="shared" si="138"/>
        <v>set</v>
      </c>
      <c r="N1486">
        <f t="shared" si="139"/>
        <v>2025</v>
      </c>
      <c r="O1486" s="2"/>
      <c r="P1486" t="str">
        <f t="shared" si="136"/>
        <v>127445923</v>
      </c>
    </row>
    <row r="1487" spans="1:16" x14ac:dyDescent="0.3">
      <c r="A1487">
        <v>1274</v>
      </c>
      <c r="B1487">
        <v>45</v>
      </c>
      <c r="C1487" t="s">
        <v>26</v>
      </c>
      <c r="D1487" t="s">
        <v>27</v>
      </c>
      <c r="E1487" t="s">
        <v>17</v>
      </c>
      <c r="F1487" t="s">
        <v>23</v>
      </c>
      <c r="G1487" t="s">
        <v>41</v>
      </c>
      <c r="H1487" t="s">
        <v>25</v>
      </c>
      <c r="I1487" s="1">
        <v>3</v>
      </c>
      <c r="J1487" s="2">
        <v>46007</v>
      </c>
      <c r="K1487" s="2">
        <v>45992</v>
      </c>
      <c r="L1487" s="1" t="str">
        <f t="shared" si="137"/>
        <v>ter</v>
      </c>
      <c r="M1487" s="1" t="str">
        <f t="shared" si="138"/>
        <v>dez</v>
      </c>
      <c r="N1487">
        <f t="shared" si="139"/>
        <v>2025</v>
      </c>
      <c r="O1487" s="2"/>
      <c r="P1487" t="str">
        <f t="shared" si="136"/>
        <v>127446007</v>
      </c>
    </row>
    <row r="1488" spans="1:16" x14ac:dyDescent="0.3">
      <c r="A1488">
        <v>1274</v>
      </c>
      <c r="B1488">
        <v>45</v>
      </c>
      <c r="C1488" t="s">
        <v>26</v>
      </c>
      <c r="D1488" t="s">
        <v>27</v>
      </c>
      <c r="E1488" t="s">
        <v>17</v>
      </c>
      <c r="F1488" t="s">
        <v>23</v>
      </c>
      <c r="G1488" t="s">
        <v>41</v>
      </c>
      <c r="H1488" t="s">
        <v>25</v>
      </c>
      <c r="I1488" s="1">
        <v>3</v>
      </c>
      <c r="J1488" s="2">
        <v>46021</v>
      </c>
      <c r="K1488" s="2">
        <v>45992</v>
      </c>
      <c r="L1488" s="1" t="str">
        <f t="shared" si="137"/>
        <v>ter</v>
      </c>
      <c r="M1488" s="1" t="str">
        <f t="shared" si="138"/>
        <v>dez</v>
      </c>
      <c r="N1488">
        <f t="shared" si="139"/>
        <v>2025</v>
      </c>
      <c r="O1488" s="2"/>
      <c r="P1488" t="str">
        <f t="shared" si="136"/>
        <v>127446021</v>
      </c>
    </row>
    <row r="1489" spans="1:16" x14ac:dyDescent="0.3">
      <c r="A1489">
        <v>1274</v>
      </c>
      <c r="B1489">
        <v>45</v>
      </c>
      <c r="C1489" t="s">
        <v>26</v>
      </c>
      <c r="D1489" t="s">
        <v>27</v>
      </c>
      <c r="E1489" t="s">
        <v>17</v>
      </c>
      <c r="F1489" t="s">
        <v>23</v>
      </c>
      <c r="G1489" t="s">
        <v>41</v>
      </c>
      <c r="H1489" t="s">
        <v>25</v>
      </c>
      <c r="I1489" s="1">
        <v>3</v>
      </c>
      <c r="J1489" s="2">
        <v>46093</v>
      </c>
      <c r="K1489" s="2">
        <v>46082</v>
      </c>
      <c r="L1489" s="1" t="str">
        <f t="shared" si="137"/>
        <v>qui</v>
      </c>
      <c r="M1489" s="1" t="str">
        <f t="shared" si="138"/>
        <v>mar</v>
      </c>
      <c r="N1489">
        <f t="shared" si="139"/>
        <v>2026</v>
      </c>
      <c r="O1489" s="2"/>
      <c r="P1489" t="str">
        <f t="shared" si="136"/>
        <v>127446093</v>
      </c>
    </row>
    <row r="1490" spans="1:16" x14ac:dyDescent="0.3">
      <c r="A1490">
        <v>1275</v>
      </c>
      <c r="B1490">
        <v>36</v>
      </c>
      <c r="C1490" t="s">
        <v>15</v>
      </c>
      <c r="D1490" t="s">
        <v>16</v>
      </c>
      <c r="E1490" t="s">
        <v>17</v>
      </c>
      <c r="F1490" t="s">
        <v>23</v>
      </c>
      <c r="G1490" t="s">
        <v>43</v>
      </c>
      <c r="H1490" t="s">
        <v>25</v>
      </c>
      <c r="I1490" s="1">
        <v>1</v>
      </c>
      <c r="J1490" s="2">
        <v>45771</v>
      </c>
      <c r="K1490" s="2">
        <v>45748</v>
      </c>
      <c r="L1490" s="1" t="str">
        <f t="shared" si="137"/>
        <v>qui</v>
      </c>
      <c r="M1490" s="1" t="str">
        <f t="shared" si="138"/>
        <v>abr</v>
      </c>
      <c r="N1490">
        <f t="shared" si="139"/>
        <v>2025</v>
      </c>
      <c r="O1490" s="2"/>
      <c r="P1490" t="str">
        <f t="shared" si="136"/>
        <v>127545771</v>
      </c>
    </row>
    <row r="1491" spans="1:16" x14ac:dyDescent="0.3">
      <c r="A1491">
        <v>1275</v>
      </c>
      <c r="B1491">
        <v>36</v>
      </c>
      <c r="C1491" t="s">
        <v>15</v>
      </c>
      <c r="D1491" t="s">
        <v>16</v>
      </c>
      <c r="E1491" t="s">
        <v>17</v>
      </c>
      <c r="F1491" t="s">
        <v>23</v>
      </c>
      <c r="G1491" t="s">
        <v>42</v>
      </c>
      <c r="H1491" t="s">
        <v>25</v>
      </c>
      <c r="I1491" s="1">
        <v>1</v>
      </c>
      <c r="J1491" s="2">
        <v>45780</v>
      </c>
      <c r="K1491" s="2">
        <v>45778</v>
      </c>
      <c r="L1491" s="1" t="str">
        <f t="shared" si="137"/>
        <v>sáb</v>
      </c>
      <c r="M1491" s="1" t="str">
        <f t="shared" si="138"/>
        <v>mai</v>
      </c>
      <c r="N1491">
        <f t="shared" si="139"/>
        <v>2025</v>
      </c>
      <c r="O1491" s="2"/>
      <c r="P1491" t="str">
        <f t="shared" si="136"/>
        <v>127545780</v>
      </c>
    </row>
    <row r="1492" spans="1:16" x14ac:dyDescent="0.3">
      <c r="A1492">
        <v>1275</v>
      </c>
      <c r="B1492">
        <v>36</v>
      </c>
      <c r="C1492" t="s">
        <v>15</v>
      </c>
      <c r="D1492" t="s">
        <v>16</v>
      </c>
      <c r="E1492" t="s">
        <v>17</v>
      </c>
      <c r="F1492" t="s">
        <v>23</v>
      </c>
      <c r="G1492" t="s">
        <v>43</v>
      </c>
      <c r="H1492" t="s">
        <v>25</v>
      </c>
      <c r="I1492" s="1">
        <v>1</v>
      </c>
      <c r="J1492" s="2">
        <v>45869</v>
      </c>
      <c r="K1492" s="2">
        <v>45839</v>
      </c>
      <c r="L1492" s="1" t="str">
        <f t="shared" si="137"/>
        <v>qui</v>
      </c>
      <c r="M1492" s="1" t="str">
        <f t="shared" si="138"/>
        <v>jul</v>
      </c>
      <c r="N1492">
        <f t="shared" si="139"/>
        <v>2025</v>
      </c>
      <c r="O1492" s="2"/>
      <c r="P1492" t="str">
        <f t="shared" si="136"/>
        <v>127545869</v>
      </c>
    </row>
    <row r="1493" spans="1:16" x14ac:dyDescent="0.3">
      <c r="A1493">
        <v>1275</v>
      </c>
      <c r="B1493">
        <v>36</v>
      </c>
      <c r="C1493" t="s">
        <v>15</v>
      </c>
      <c r="D1493" t="s">
        <v>16</v>
      </c>
      <c r="E1493" t="s">
        <v>17</v>
      </c>
      <c r="F1493" t="s">
        <v>23</v>
      </c>
      <c r="G1493" t="s">
        <v>42</v>
      </c>
      <c r="H1493" t="s">
        <v>25</v>
      </c>
      <c r="I1493" s="1">
        <v>1</v>
      </c>
      <c r="J1493" s="2">
        <v>45926</v>
      </c>
      <c r="K1493" s="2">
        <v>45901</v>
      </c>
      <c r="L1493" s="1" t="str">
        <f t="shared" si="137"/>
        <v>sex</v>
      </c>
      <c r="M1493" s="1" t="str">
        <f t="shared" si="138"/>
        <v>set</v>
      </c>
      <c r="N1493">
        <f t="shared" si="139"/>
        <v>2025</v>
      </c>
      <c r="O1493" s="2"/>
      <c r="P1493" t="str">
        <f t="shared" si="136"/>
        <v>127545926</v>
      </c>
    </row>
    <row r="1494" spans="1:16" x14ac:dyDescent="0.3">
      <c r="A1494">
        <v>1275</v>
      </c>
      <c r="B1494">
        <v>36</v>
      </c>
      <c r="C1494" t="s">
        <v>15</v>
      </c>
      <c r="D1494" t="s">
        <v>16</v>
      </c>
      <c r="E1494" t="s">
        <v>17</v>
      </c>
      <c r="F1494" t="s">
        <v>23</v>
      </c>
      <c r="G1494" t="s">
        <v>41</v>
      </c>
      <c r="H1494" t="s">
        <v>25</v>
      </c>
      <c r="I1494" s="1">
        <v>1</v>
      </c>
      <c r="J1494" s="2">
        <v>46180</v>
      </c>
      <c r="K1494" s="2">
        <v>46023</v>
      </c>
      <c r="L1494" s="1" t="str">
        <f t="shared" si="137"/>
        <v>dom</v>
      </c>
      <c r="M1494" s="1" t="str">
        <f t="shared" si="138"/>
        <v>jun</v>
      </c>
      <c r="N1494">
        <f t="shared" si="139"/>
        <v>2026</v>
      </c>
      <c r="O1494" s="2"/>
      <c r="P1494" t="str">
        <f t="shared" si="136"/>
        <v>127546180</v>
      </c>
    </row>
    <row r="1495" spans="1:16" x14ac:dyDescent="0.3">
      <c r="A1495">
        <v>1275</v>
      </c>
      <c r="B1495">
        <v>36</v>
      </c>
      <c r="C1495" t="s">
        <v>15</v>
      </c>
      <c r="D1495" t="s">
        <v>16</v>
      </c>
      <c r="E1495" t="s">
        <v>17</v>
      </c>
      <c r="F1495" t="s">
        <v>23</v>
      </c>
      <c r="G1495" t="s">
        <v>42</v>
      </c>
      <c r="H1495" t="s">
        <v>25</v>
      </c>
      <c r="I1495" s="1">
        <v>1</v>
      </c>
      <c r="J1495" s="2">
        <v>46059</v>
      </c>
      <c r="K1495" s="2">
        <v>46054</v>
      </c>
      <c r="L1495" s="1" t="str">
        <f t="shared" si="137"/>
        <v>sex</v>
      </c>
      <c r="M1495" s="1" t="str">
        <f t="shared" si="138"/>
        <v>fev</v>
      </c>
      <c r="N1495">
        <f t="shared" si="139"/>
        <v>2026</v>
      </c>
      <c r="O1495" s="2"/>
      <c r="P1495" t="str">
        <f t="shared" si="136"/>
        <v>127546059</v>
      </c>
    </row>
    <row r="1496" spans="1:16" x14ac:dyDescent="0.3">
      <c r="A1496">
        <v>1275</v>
      </c>
      <c r="B1496">
        <v>36</v>
      </c>
      <c r="C1496" t="s">
        <v>15</v>
      </c>
      <c r="D1496" t="s">
        <v>16</v>
      </c>
      <c r="E1496" t="s">
        <v>17</v>
      </c>
      <c r="F1496" t="s">
        <v>23</v>
      </c>
      <c r="G1496" t="s">
        <v>43</v>
      </c>
      <c r="H1496" t="s">
        <v>25</v>
      </c>
      <c r="I1496" s="1">
        <v>1</v>
      </c>
      <c r="J1496" s="2">
        <v>46136</v>
      </c>
      <c r="K1496" s="2">
        <v>46113</v>
      </c>
      <c r="L1496" s="1" t="s">
        <v>52</v>
      </c>
      <c r="M1496" s="1" t="s">
        <v>48</v>
      </c>
      <c r="N1496">
        <v>2025</v>
      </c>
      <c r="O1496" s="2"/>
      <c r="P1496" t="str">
        <f t="shared" si="136"/>
        <v>127546136</v>
      </c>
    </row>
    <row r="1497" spans="1:16" x14ac:dyDescent="0.3">
      <c r="A1497">
        <v>1275</v>
      </c>
      <c r="B1497">
        <v>36</v>
      </c>
      <c r="C1497" t="s">
        <v>15</v>
      </c>
      <c r="D1497" t="s">
        <v>16</v>
      </c>
      <c r="E1497" t="s">
        <v>17</v>
      </c>
      <c r="F1497" t="s">
        <v>23</v>
      </c>
      <c r="G1497" t="s">
        <v>42</v>
      </c>
      <c r="H1497" t="s">
        <v>25</v>
      </c>
      <c r="I1497" s="1">
        <v>1</v>
      </c>
      <c r="J1497" s="2">
        <v>46145</v>
      </c>
      <c r="K1497" s="2">
        <v>46143</v>
      </c>
      <c r="L1497" s="1" t="s">
        <v>54</v>
      </c>
      <c r="M1497" s="1" t="s">
        <v>49</v>
      </c>
      <c r="N1497">
        <v>2025</v>
      </c>
      <c r="O1497" s="2"/>
      <c r="P1497" t="str">
        <f t="shared" si="136"/>
        <v>127546145</v>
      </c>
    </row>
    <row r="1498" spans="1:16" x14ac:dyDescent="0.3">
      <c r="A1498">
        <v>1276</v>
      </c>
      <c r="B1498">
        <v>57</v>
      </c>
      <c r="C1498" t="s">
        <v>15</v>
      </c>
      <c r="D1498" t="s">
        <v>27</v>
      </c>
      <c r="E1498" t="s">
        <v>17</v>
      </c>
      <c r="F1498" t="s">
        <v>23</v>
      </c>
      <c r="G1498" t="s">
        <v>43</v>
      </c>
      <c r="H1498" t="s">
        <v>20</v>
      </c>
      <c r="I1498" s="1">
        <v>3</v>
      </c>
      <c r="J1498" s="2">
        <v>45881</v>
      </c>
      <c r="K1498" s="2">
        <v>45870</v>
      </c>
      <c r="L1498" s="1" t="str">
        <f t="shared" ref="L1498:L1513" si="140">TEXT(J1498,"ddd")</f>
        <v>ter</v>
      </c>
      <c r="M1498" s="1" t="str">
        <f t="shared" ref="M1498:M1513" si="141">TEXT($J1498,"mmm")</f>
        <v>ago</v>
      </c>
      <c r="N1498">
        <f t="shared" ref="N1498:N1513" si="142">YEAR(J1498)</f>
        <v>2025</v>
      </c>
      <c r="O1498" s="2">
        <f>_xlfn.XLOOKUP(A1498,Colaboradores!$A:$A,Colaboradores!$S:$S,"",0)</f>
        <v>46012</v>
      </c>
      <c r="P1498" t="str">
        <f t="shared" si="136"/>
        <v>127645881</v>
      </c>
    </row>
    <row r="1499" spans="1:16" x14ac:dyDescent="0.3">
      <c r="A1499">
        <v>1276</v>
      </c>
      <c r="B1499">
        <v>57</v>
      </c>
      <c r="C1499" t="s">
        <v>15</v>
      </c>
      <c r="D1499" t="s">
        <v>27</v>
      </c>
      <c r="E1499" t="s">
        <v>17</v>
      </c>
      <c r="F1499" t="s">
        <v>23</v>
      </c>
      <c r="G1499" t="s">
        <v>43</v>
      </c>
      <c r="H1499" t="s">
        <v>20</v>
      </c>
      <c r="I1499" s="1">
        <v>3</v>
      </c>
      <c r="J1499" s="2">
        <v>45937</v>
      </c>
      <c r="K1499" s="2">
        <v>45931</v>
      </c>
      <c r="L1499" s="1" t="str">
        <f t="shared" si="140"/>
        <v>ter</v>
      </c>
      <c r="M1499" s="1" t="str">
        <f t="shared" si="141"/>
        <v>out</v>
      </c>
      <c r="N1499">
        <f t="shared" si="142"/>
        <v>2025</v>
      </c>
      <c r="O1499" s="2">
        <f>_xlfn.XLOOKUP(A1499,Colaboradores!$A:$A,Colaboradores!$S:$S,"",0)</f>
        <v>46012</v>
      </c>
      <c r="P1499" t="str">
        <f t="shared" si="136"/>
        <v>127645937</v>
      </c>
    </row>
    <row r="1500" spans="1:16" x14ac:dyDescent="0.3">
      <c r="A1500">
        <v>1276</v>
      </c>
      <c r="B1500">
        <v>57</v>
      </c>
      <c r="C1500" t="s">
        <v>15</v>
      </c>
      <c r="D1500" t="s">
        <v>27</v>
      </c>
      <c r="E1500" t="s">
        <v>17</v>
      </c>
      <c r="F1500" t="s">
        <v>23</v>
      </c>
      <c r="G1500" t="s">
        <v>43</v>
      </c>
      <c r="H1500" t="s">
        <v>20</v>
      </c>
      <c r="I1500" s="1">
        <v>3</v>
      </c>
      <c r="J1500" s="2">
        <v>45938</v>
      </c>
      <c r="K1500" s="2">
        <v>45931</v>
      </c>
      <c r="L1500" s="1" t="str">
        <f t="shared" si="140"/>
        <v>qua</v>
      </c>
      <c r="M1500" s="1" t="str">
        <f t="shared" si="141"/>
        <v>out</v>
      </c>
      <c r="N1500">
        <f t="shared" si="142"/>
        <v>2025</v>
      </c>
      <c r="O1500" s="2">
        <f>_xlfn.XLOOKUP(A1500,Colaboradores!$A:$A,Colaboradores!$S:$S,"",0)</f>
        <v>46012</v>
      </c>
      <c r="P1500" t="str">
        <f t="shared" si="136"/>
        <v>127645938</v>
      </c>
    </row>
    <row r="1501" spans="1:16" x14ac:dyDescent="0.3">
      <c r="A1501">
        <v>1276</v>
      </c>
      <c r="B1501">
        <v>57</v>
      </c>
      <c r="C1501" t="s">
        <v>15</v>
      </c>
      <c r="D1501" t="s">
        <v>27</v>
      </c>
      <c r="E1501" t="s">
        <v>17</v>
      </c>
      <c r="F1501" t="s">
        <v>23</v>
      </c>
      <c r="G1501" t="s">
        <v>43</v>
      </c>
      <c r="H1501" t="s">
        <v>20</v>
      </c>
      <c r="I1501" s="1">
        <v>3</v>
      </c>
      <c r="J1501" s="2">
        <v>45964</v>
      </c>
      <c r="K1501" s="2">
        <v>45962</v>
      </c>
      <c r="L1501" s="1" t="str">
        <f t="shared" si="140"/>
        <v>seg</v>
      </c>
      <c r="M1501" s="1" t="str">
        <f t="shared" si="141"/>
        <v>nov</v>
      </c>
      <c r="N1501">
        <f t="shared" si="142"/>
        <v>2025</v>
      </c>
      <c r="O1501" s="2">
        <f>_xlfn.XLOOKUP(A1501,Colaboradores!$A:$A,Colaboradores!$S:$S,"",0)</f>
        <v>46012</v>
      </c>
      <c r="P1501" t="str">
        <f t="shared" si="136"/>
        <v>127645964</v>
      </c>
    </row>
    <row r="1502" spans="1:16" x14ac:dyDescent="0.3">
      <c r="A1502">
        <v>1276</v>
      </c>
      <c r="B1502">
        <v>57</v>
      </c>
      <c r="C1502" t="s">
        <v>15</v>
      </c>
      <c r="D1502" t="s">
        <v>27</v>
      </c>
      <c r="E1502" t="s">
        <v>17</v>
      </c>
      <c r="F1502" t="s">
        <v>23</v>
      </c>
      <c r="G1502" t="s">
        <v>43</v>
      </c>
      <c r="H1502" t="s">
        <v>20</v>
      </c>
      <c r="I1502" s="1">
        <v>3</v>
      </c>
      <c r="J1502" s="2">
        <v>45985</v>
      </c>
      <c r="K1502" s="2">
        <v>45962</v>
      </c>
      <c r="L1502" s="1" t="str">
        <f t="shared" si="140"/>
        <v>seg</v>
      </c>
      <c r="M1502" s="1" t="str">
        <f t="shared" si="141"/>
        <v>nov</v>
      </c>
      <c r="N1502">
        <f t="shared" si="142"/>
        <v>2025</v>
      </c>
      <c r="O1502" s="2">
        <f>_xlfn.XLOOKUP(A1502,Colaboradores!$A:$A,Colaboradores!$S:$S,"",0)</f>
        <v>46012</v>
      </c>
      <c r="P1502" t="str">
        <f t="shared" si="136"/>
        <v>127645985</v>
      </c>
    </row>
    <row r="1503" spans="1:16" x14ac:dyDescent="0.3">
      <c r="A1503">
        <v>1277</v>
      </c>
      <c r="B1503">
        <v>23</v>
      </c>
      <c r="C1503" t="s">
        <v>26</v>
      </c>
      <c r="D1503" t="s">
        <v>29</v>
      </c>
      <c r="E1503" t="s">
        <v>17</v>
      </c>
      <c r="F1503" t="s">
        <v>18</v>
      </c>
      <c r="G1503" t="s">
        <v>41</v>
      </c>
      <c r="H1503" t="s">
        <v>20</v>
      </c>
      <c r="I1503" s="1">
        <v>2</v>
      </c>
      <c r="J1503" s="2">
        <v>45913</v>
      </c>
      <c r="K1503" s="2">
        <v>45901</v>
      </c>
      <c r="L1503" s="1" t="str">
        <f t="shared" si="140"/>
        <v>sáb</v>
      </c>
      <c r="M1503" s="1" t="str">
        <f t="shared" si="141"/>
        <v>set</v>
      </c>
      <c r="N1503">
        <f t="shared" si="142"/>
        <v>2025</v>
      </c>
      <c r="O1503" s="2">
        <f>_xlfn.XLOOKUP(A1503,Colaboradores!$A:$A,Colaboradores!$S:$S,"",0)</f>
        <v>46192</v>
      </c>
      <c r="P1503" t="str">
        <f t="shared" si="136"/>
        <v>127745913</v>
      </c>
    </row>
    <row r="1504" spans="1:16" x14ac:dyDescent="0.3">
      <c r="A1504">
        <v>1277</v>
      </c>
      <c r="B1504">
        <v>23</v>
      </c>
      <c r="C1504" t="s">
        <v>26</v>
      </c>
      <c r="D1504" t="s">
        <v>29</v>
      </c>
      <c r="E1504" t="s">
        <v>17</v>
      </c>
      <c r="F1504" t="s">
        <v>18</v>
      </c>
      <c r="G1504" t="s">
        <v>41</v>
      </c>
      <c r="H1504" t="s">
        <v>20</v>
      </c>
      <c r="I1504" s="1">
        <v>2</v>
      </c>
      <c r="J1504" s="2">
        <v>45939</v>
      </c>
      <c r="K1504" s="2">
        <v>45931</v>
      </c>
      <c r="L1504" s="1" t="str">
        <f t="shared" si="140"/>
        <v>qui</v>
      </c>
      <c r="M1504" s="1" t="str">
        <f t="shared" si="141"/>
        <v>out</v>
      </c>
      <c r="N1504">
        <f t="shared" si="142"/>
        <v>2025</v>
      </c>
      <c r="O1504" s="2">
        <f>_xlfn.XLOOKUP(A1504,Colaboradores!$A:$A,Colaboradores!$S:$S,"",0)</f>
        <v>46192</v>
      </c>
      <c r="P1504" t="str">
        <f t="shared" si="136"/>
        <v>127745939</v>
      </c>
    </row>
    <row r="1505" spans="1:16" x14ac:dyDescent="0.3">
      <c r="A1505">
        <v>1277</v>
      </c>
      <c r="B1505">
        <v>23</v>
      </c>
      <c r="C1505" t="s">
        <v>26</v>
      </c>
      <c r="D1505" t="s">
        <v>29</v>
      </c>
      <c r="E1505" t="s">
        <v>17</v>
      </c>
      <c r="F1505" t="s">
        <v>18</v>
      </c>
      <c r="G1505" t="s">
        <v>41</v>
      </c>
      <c r="H1505" t="s">
        <v>20</v>
      </c>
      <c r="I1505" s="1">
        <v>2</v>
      </c>
      <c r="J1505" s="2">
        <v>45943</v>
      </c>
      <c r="K1505" s="2">
        <v>45931</v>
      </c>
      <c r="L1505" s="1" t="str">
        <f t="shared" si="140"/>
        <v>seg</v>
      </c>
      <c r="M1505" s="1" t="str">
        <f t="shared" si="141"/>
        <v>out</v>
      </c>
      <c r="N1505">
        <f t="shared" si="142"/>
        <v>2025</v>
      </c>
      <c r="O1505" s="2">
        <f>_xlfn.XLOOKUP(A1505,Colaboradores!$A:$A,Colaboradores!$S:$S,"",0)</f>
        <v>46192</v>
      </c>
      <c r="P1505" t="str">
        <f t="shared" si="136"/>
        <v>127745943</v>
      </c>
    </row>
    <row r="1506" spans="1:16" x14ac:dyDescent="0.3">
      <c r="A1506">
        <v>1277</v>
      </c>
      <c r="B1506">
        <v>23</v>
      </c>
      <c r="C1506" t="s">
        <v>26</v>
      </c>
      <c r="D1506" t="s">
        <v>29</v>
      </c>
      <c r="E1506" t="s">
        <v>17</v>
      </c>
      <c r="F1506" t="s">
        <v>18</v>
      </c>
      <c r="G1506" t="s">
        <v>43</v>
      </c>
      <c r="H1506" t="s">
        <v>20</v>
      </c>
      <c r="I1506" s="1">
        <v>2</v>
      </c>
      <c r="J1506" s="2">
        <v>46196</v>
      </c>
      <c r="K1506" s="2">
        <v>46023</v>
      </c>
      <c r="L1506" s="1" t="str">
        <f t="shared" si="140"/>
        <v>ter</v>
      </c>
      <c r="M1506" s="1" t="str">
        <f t="shared" si="141"/>
        <v>jun</v>
      </c>
      <c r="N1506">
        <f t="shared" si="142"/>
        <v>2026</v>
      </c>
      <c r="O1506" s="2">
        <f>_xlfn.XLOOKUP(A1506,Colaboradores!$A:$A,Colaboradores!$S:$S,"",0)</f>
        <v>46192</v>
      </c>
      <c r="P1506" t="str">
        <f t="shared" si="136"/>
        <v>127746196</v>
      </c>
    </row>
    <row r="1507" spans="1:16" x14ac:dyDescent="0.3">
      <c r="A1507">
        <v>1277</v>
      </c>
      <c r="B1507">
        <v>23</v>
      </c>
      <c r="C1507" t="s">
        <v>26</v>
      </c>
      <c r="D1507" t="s">
        <v>29</v>
      </c>
      <c r="E1507" t="s">
        <v>17</v>
      </c>
      <c r="F1507" t="s">
        <v>18</v>
      </c>
      <c r="G1507" t="s">
        <v>41</v>
      </c>
      <c r="H1507" t="s">
        <v>20</v>
      </c>
      <c r="I1507" s="1">
        <v>2</v>
      </c>
      <c r="J1507" s="2">
        <v>46201</v>
      </c>
      <c r="K1507" s="2">
        <v>46023</v>
      </c>
      <c r="L1507" s="1" t="str">
        <f t="shared" si="140"/>
        <v>dom</v>
      </c>
      <c r="M1507" s="1" t="str">
        <f t="shared" si="141"/>
        <v>jun</v>
      </c>
      <c r="N1507">
        <f t="shared" si="142"/>
        <v>2026</v>
      </c>
      <c r="O1507" s="2">
        <f>_xlfn.XLOOKUP(A1507,Colaboradores!$A:$A,Colaboradores!$S:$S,"",0)</f>
        <v>46192</v>
      </c>
      <c r="P1507" t="str">
        <f t="shared" si="136"/>
        <v>127746201</v>
      </c>
    </row>
    <row r="1508" spans="1:16" x14ac:dyDescent="0.3">
      <c r="A1508">
        <v>1277</v>
      </c>
      <c r="B1508">
        <v>23</v>
      </c>
      <c r="C1508" t="s">
        <v>26</v>
      </c>
      <c r="D1508" t="s">
        <v>29</v>
      </c>
      <c r="E1508" t="s">
        <v>17</v>
      </c>
      <c r="F1508" t="s">
        <v>18</v>
      </c>
      <c r="G1508" t="s">
        <v>43</v>
      </c>
      <c r="H1508" t="s">
        <v>20</v>
      </c>
      <c r="I1508" s="1">
        <v>2</v>
      </c>
      <c r="J1508" s="2">
        <v>46090</v>
      </c>
      <c r="K1508" s="2">
        <v>46082</v>
      </c>
      <c r="L1508" s="1" t="str">
        <f t="shared" si="140"/>
        <v>seg</v>
      </c>
      <c r="M1508" s="1" t="str">
        <f t="shared" si="141"/>
        <v>mar</v>
      </c>
      <c r="N1508">
        <f t="shared" si="142"/>
        <v>2026</v>
      </c>
      <c r="O1508" s="2">
        <f>_xlfn.XLOOKUP(A1508,Colaboradores!$A:$A,Colaboradores!$S:$S,"",0)</f>
        <v>46192</v>
      </c>
      <c r="P1508" t="str">
        <f t="shared" si="136"/>
        <v>127746090</v>
      </c>
    </row>
    <row r="1509" spans="1:16" x14ac:dyDescent="0.3">
      <c r="A1509">
        <v>1279</v>
      </c>
      <c r="B1509">
        <v>22</v>
      </c>
      <c r="C1509" t="s">
        <v>15</v>
      </c>
      <c r="D1509" t="s">
        <v>16</v>
      </c>
      <c r="E1509" t="s">
        <v>17</v>
      </c>
      <c r="F1509" t="s">
        <v>18</v>
      </c>
      <c r="G1509" t="s">
        <v>40</v>
      </c>
      <c r="H1509" t="s">
        <v>25</v>
      </c>
      <c r="I1509" s="1">
        <v>2</v>
      </c>
      <c r="J1509" s="2">
        <v>45768</v>
      </c>
      <c r="K1509" s="2">
        <v>45748</v>
      </c>
      <c r="L1509" s="1" t="str">
        <f t="shared" si="140"/>
        <v>seg</v>
      </c>
      <c r="M1509" s="1" t="str">
        <f t="shared" si="141"/>
        <v>abr</v>
      </c>
      <c r="N1509">
        <f t="shared" si="142"/>
        <v>2025</v>
      </c>
      <c r="O1509" s="2"/>
      <c r="P1509" t="str">
        <f t="shared" si="136"/>
        <v>127945768</v>
      </c>
    </row>
    <row r="1510" spans="1:16" x14ac:dyDescent="0.3">
      <c r="A1510">
        <v>1279</v>
      </c>
      <c r="B1510">
        <v>22</v>
      </c>
      <c r="C1510" t="s">
        <v>15</v>
      </c>
      <c r="D1510" t="s">
        <v>16</v>
      </c>
      <c r="E1510" t="s">
        <v>17</v>
      </c>
      <c r="F1510" t="s">
        <v>18</v>
      </c>
      <c r="G1510" t="s">
        <v>40</v>
      </c>
      <c r="H1510" t="s">
        <v>25</v>
      </c>
      <c r="I1510" s="1">
        <v>2</v>
      </c>
      <c r="J1510" s="2">
        <v>45828</v>
      </c>
      <c r="K1510" s="2">
        <v>45809</v>
      </c>
      <c r="L1510" s="1" t="str">
        <f t="shared" si="140"/>
        <v>sex</v>
      </c>
      <c r="M1510" s="1" t="str">
        <f t="shared" si="141"/>
        <v>jun</v>
      </c>
      <c r="N1510">
        <f t="shared" si="142"/>
        <v>2025</v>
      </c>
      <c r="O1510" s="2"/>
      <c r="P1510" t="str">
        <f t="shared" si="136"/>
        <v>127945828</v>
      </c>
    </row>
    <row r="1511" spans="1:16" x14ac:dyDescent="0.3">
      <c r="A1511">
        <v>1279</v>
      </c>
      <c r="B1511">
        <v>22</v>
      </c>
      <c r="C1511" t="s">
        <v>15</v>
      </c>
      <c r="D1511" t="s">
        <v>16</v>
      </c>
      <c r="E1511" t="s">
        <v>17</v>
      </c>
      <c r="F1511" t="s">
        <v>18</v>
      </c>
      <c r="G1511" t="s">
        <v>40</v>
      </c>
      <c r="H1511" t="s">
        <v>25</v>
      </c>
      <c r="I1511" s="1">
        <v>2</v>
      </c>
      <c r="J1511" s="2">
        <v>45882</v>
      </c>
      <c r="K1511" s="2">
        <v>45870</v>
      </c>
      <c r="L1511" s="1" t="str">
        <f t="shared" si="140"/>
        <v>qua</v>
      </c>
      <c r="M1511" s="1" t="str">
        <f t="shared" si="141"/>
        <v>ago</v>
      </c>
      <c r="N1511">
        <f t="shared" si="142"/>
        <v>2025</v>
      </c>
      <c r="O1511" s="2"/>
      <c r="P1511" t="str">
        <f t="shared" si="136"/>
        <v>127945882</v>
      </c>
    </row>
    <row r="1512" spans="1:16" x14ac:dyDescent="0.3">
      <c r="A1512">
        <v>1279</v>
      </c>
      <c r="B1512">
        <v>22</v>
      </c>
      <c r="C1512" t="s">
        <v>15</v>
      </c>
      <c r="D1512" t="s">
        <v>16</v>
      </c>
      <c r="E1512" t="s">
        <v>17</v>
      </c>
      <c r="F1512" t="s">
        <v>18</v>
      </c>
      <c r="G1512" t="s">
        <v>40</v>
      </c>
      <c r="H1512" t="s">
        <v>25</v>
      </c>
      <c r="I1512" s="1">
        <v>2</v>
      </c>
      <c r="J1512" s="2">
        <v>46018</v>
      </c>
      <c r="K1512" s="2">
        <v>45992</v>
      </c>
      <c r="L1512" s="1" t="str">
        <f t="shared" si="140"/>
        <v>sáb</v>
      </c>
      <c r="M1512" s="1" t="str">
        <f t="shared" si="141"/>
        <v>dez</v>
      </c>
      <c r="N1512">
        <f t="shared" si="142"/>
        <v>2025</v>
      </c>
      <c r="O1512" s="2"/>
      <c r="P1512" t="str">
        <f t="shared" si="136"/>
        <v>127946018</v>
      </c>
    </row>
    <row r="1513" spans="1:16" x14ac:dyDescent="0.3">
      <c r="A1513">
        <v>1279</v>
      </c>
      <c r="B1513">
        <v>22</v>
      </c>
      <c r="C1513" t="s">
        <v>15</v>
      </c>
      <c r="D1513" t="s">
        <v>16</v>
      </c>
      <c r="E1513" t="s">
        <v>17</v>
      </c>
      <c r="F1513" t="s">
        <v>18</v>
      </c>
      <c r="G1513" t="s">
        <v>40</v>
      </c>
      <c r="H1513" t="s">
        <v>25</v>
      </c>
      <c r="I1513" s="1">
        <v>2</v>
      </c>
      <c r="J1513" s="2">
        <v>46182</v>
      </c>
      <c r="K1513" s="2">
        <v>46023</v>
      </c>
      <c r="L1513" s="1" t="str">
        <f t="shared" si="140"/>
        <v>ter</v>
      </c>
      <c r="M1513" s="1" t="str">
        <f t="shared" si="141"/>
        <v>jun</v>
      </c>
      <c r="N1513">
        <f t="shared" si="142"/>
        <v>2026</v>
      </c>
      <c r="O1513" s="2"/>
      <c r="P1513" t="str">
        <f t="shared" si="136"/>
        <v>127946182</v>
      </c>
    </row>
    <row r="1514" spans="1:16" x14ac:dyDescent="0.3">
      <c r="A1514">
        <v>1279</v>
      </c>
      <c r="B1514">
        <v>22</v>
      </c>
      <c r="C1514" t="s">
        <v>15</v>
      </c>
      <c r="D1514" t="s">
        <v>16</v>
      </c>
      <c r="E1514" t="s">
        <v>17</v>
      </c>
      <c r="F1514" t="s">
        <v>18</v>
      </c>
      <c r="G1514" t="s">
        <v>40</v>
      </c>
      <c r="H1514" t="s">
        <v>25</v>
      </c>
      <c r="I1514" s="1">
        <v>2</v>
      </c>
      <c r="J1514" s="2">
        <v>46133</v>
      </c>
      <c r="K1514" s="2">
        <v>46113</v>
      </c>
      <c r="L1514" s="1" t="s">
        <v>56</v>
      </c>
      <c r="M1514" s="1" t="s">
        <v>48</v>
      </c>
      <c r="N1514">
        <v>2025</v>
      </c>
      <c r="O1514" s="2"/>
      <c r="P1514" t="str">
        <f t="shared" si="136"/>
        <v>127946133</v>
      </c>
    </row>
    <row r="1515" spans="1:16" x14ac:dyDescent="0.3">
      <c r="A1515">
        <v>1280</v>
      </c>
      <c r="B1515">
        <v>23</v>
      </c>
      <c r="C1515" t="s">
        <v>26</v>
      </c>
      <c r="D1515" t="s">
        <v>29</v>
      </c>
      <c r="E1515" t="s">
        <v>17</v>
      </c>
      <c r="F1515" t="s">
        <v>21</v>
      </c>
      <c r="G1515" t="s">
        <v>41</v>
      </c>
      <c r="H1515" t="s">
        <v>20</v>
      </c>
      <c r="I1515" s="1">
        <v>3</v>
      </c>
      <c r="J1515" s="2">
        <v>45782</v>
      </c>
      <c r="K1515" s="2">
        <v>45778</v>
      </c>
      <c r="L1515" s="1" t="str">
        <f t="shared" ref="L1515:L1546" si="143">TEXT(J1515,"ddd")</f>
        <v>seg</v>
      </c>
      <c r="M1515" s="1" t="str">
        <f t="shared" ref="M1515:M1546" si="144">TEXT($J1515,"mmm")</f>
        <v>mai</v>
      </c>
      <c r="N1515">
        <f t="shared" ref="N1515:N1546" si="145">YEAR(J1515)</f>
        <v>2025</v>
      </c>
      <c r="O1515" s="2">
        <f>_xlfn.XLOOKUP(A1515,Colaboradores!$A:$A,Colaboradores!$S:$S,"",0)</f>
        <v>45982</v>
      </c>
      <c r="P1515" t="str">
        <f t="shared" si="136"/>
        <v>128045782</v>
      </c>
    </row>
    <row r="1516" spans="1:16" x14ac:dyDescent="0.3">
      <c r="A1516">
        <v>1280</v>
      </c>
      <c r="B1516">
        <v>23</v>
      </c>
      <c r="C1516" t="s">
        <v>26</v>
      </c>
      <c r="D1516" t="s">
        <v>29</v>
      </c>
      <c r="E1516" t="s">
        <v>17</v>
      </c>
      <c r="F1516" t="s">
        <v>21</v>
      </c>
      <c r="G1516" t="s">
        <v>41</v>
      </c>
      <c r="H1516" t="s">
        <v>20</v>
      </c>
      <c r="I1516" s="1">
        <v>3</v>
      </c>
      <c r="J1516" s="2">
        <v>45801</v>
      </c>
      <c r="K1516" s="2">
        <v>45778</v>
      </c>
      <c r="L1516" s="1" t="str">
        <f t="shared" si="143"/>
        <v>sáb</v>
      </c>
      <c r="M1516" s="1" t="str">
        <f t="shared" si="144"/>
        <v>mai</v>
      </c>
      <c r="N1516">
        <f t="shared" si="145"/>
        <v>2025</v>
      </c>
      <c r="O1516" s="2">
        <f>_xlfn.XLOOKUP(A1516,Colaboradores!$A:$A,Colaboradores!$S:$S,"",0)</f>
        <v>45982</v>
      </c>
      <c r="P1516" t="str">
        <f t="shared" si="136"/>
        <v>128045801</v>
      </c>
    </row>
    <row r="1517" spans="1:16" x14ac:dyDescent="0.3">
      <c r="A1517">
        <v>1280</v>
      </c>
      <c r="B1517">
        <v>23</v>
      </c>
      <c r="C1517" t="s">
        <v>26</v>
      </c>
      <c r="D1517" t="s">
        <v>29</v>
      </c>
      <c r="E1517" t="s">
        <v>17</v>
      </c>
      <c r="F1517" t="s">
        <v>21</v>
      </c>
      <c r="G1517" t="s">
        <v>41</v>
      </c>
      <c r="H1517" t="s">
        <v>20</v>
      </c>
      <c r="I1517" s="1">
        <v>3</v>
      </c>
      <c r="J1517" s="2">
        <v>45840</v>
      </c>
      <c r="K1517" s="2">
        <v>45839</v>
      </c>
      <c r="L1517" s="1" t="str">
        <f t="shared" si="143"/>
        <v>qua</v>
      </c>
      <c r="M1517" s="1" t="str">
        <f t="shared" si="144"/>
        <v>jul</v>
      </c>
      <c r="N1517">
        <f t="shared" si="145"/>
        <v>2025</v>
      </c>
      <c r="O1517" s="2">
        <f>_xlfn.XLOOKUP(A1517,Colaboradores!$A:$A,Colaboradores!$S:$S,"",0)</f>
        <v>45982</v>
      </c>
      <c r="P1517" t="str">
        <f t="shared" si="136"/>
        <v>128045840</v>
      </c>
    </row>
    <row r="1518" spans="1:16" x14ac:dyDescent="0.3">
      <c r="A1518">
        <v>1280</v>
      </c>
      <c r="B1518">
        <v>23</v>
      </c>
      <c r="C1518" t="s">
        <v>26</v>
      </c>
      <c r="D1518" t="s">
        <v>29</v>
      </c>
      <c r="E1518" t="s">
        <v>17</v>
      </c>
      <c r="F1518" t="s">
        <v>21</v>
      </c>
      <c r="G1518" t="s">
        <v>44</v>
      </c>
      <c r="H1518" t="s">
        <v>20</v>
      </c>
      <c r="I1518" s="1">
        <v>3</v>
      </c>
      <c r="J1518" s="2">
        <v>45936</v>
      </c>
      <c r="K1518" s="2">
        <v>45931</v>
      </c>
      <c r="L1518" s="1" t="str">
        <f t="shared" si="143"/>
        <v>seg</v>
      </c>
      <c r="M1518" s="1" t="str">
        <f t="shared" si="144"/>
        <v>out</v>
      </c>
      <c r="N1518">
        <f t="shared" si="145"/>
        <v>2025</v>
      </c>
      <c r="O1518" s="2">
        <f>_xlfn.XLOOKUP(A1518,Colaboradores!$A:$A,Colaboradores!$S:$S,"",0)</f>
        <v>45982</v>
      </c>
      <c r="P1518" t="str">
        <f t="shared" si="136"/>
        <v>128045936</v>
      </c>
    </row>
    <row r="1519" spans="1:16" x14ac:dyDescent="0.3">
      <c r="A1519">
        <v>1280</v>
      </c>
      <c r="B1519">
        <v>23</v>
      </c>
      <c r="C1519" t="s">
        <v>26</v>
      </c>
      <c r="D1519" t="s">
        <v>29</v>
      </c>
      <c r="E1519" t="s">
        <v>17</v>
      </c>
      <c r="F1519" t="s">
        <v>21</v>
      </c>
      <c r="G1519" t="s">
        <v>44</v>
      </c>
      <c r="H1519" t="s">
        <v>20</v>
      </c>
      <c r="I1519" s="1">
        <v>3</v>
      </c>
      <c r="J1519" s="2">
        <v>45937</v>
      </c>
      <c r="K1519" s="2">
        <v>45931</v>
      </c>
      <c r="L1519" s="1" t="str">
        <f t="shared" si="143"/>
        <v>ter</v>
      </c>
      <c r="M1519" s="1" t="str">
        <f t="shared" si="144"/>
        <v>out</v>
      </c>
      <c r="N1519">
        <f t="shared" si="145"/>
        <v>2025</v>
      </c>
      <c r="O1519" s="2">
        <f>_xlfn.XLOOKUP(A1519,Colaboradores!$A:$A,Colaboradores!$S:$S,"",0)</f>
        <v>45982</v>
      </c>
      <c r="P1519" t="str">
        <f t="shared" si="136"/>
        <v>128045937</v>
      </c>
    </row>
    <row r="1520" spans="1:16" x14ac:dyDescent="0.3">
      <c r="A1520">
        <v>1280</v>
      </c>
      <c r="B1520">
        <v>23</v>
      </c>
      <c r="C1520" t="s">
        <v>26</v>
      </c>
      <c r="D1520" t="s">
        <v>29</v>
      </c>
      <c r="E1520" t="s">
        <v>17</v>
      </c>
      <c r="F1520" t="s">
        <v>21</v>
      </c>
      <c r="G1520" t="s">
        <v>44</v>
      </c>
      <c r="H1520" t="s">
        <v>20</v>
      </c>
      <c r="I1520" s="1">
        <v>3</v>
      </c>
      <c r="J1520" s="2">
        <v>45938</v>
      </c>
      <c r="K1520" s="2">
        <v>45931</v>
      </c>
      <c r="L1520" s="1" t="str">
        <f t="shared" si="143"/>
        <v>qua</v>
      </c>
      <c r="M1520" s="1" t="str">
        <f t="shared" si="144"/>
        <v>out</v>
      </c>
      <c r="N1520">
        <f t="shared" si="145"/>
        <v>2025</v>
      </c>
      <c r="O1520" s="2">
        <f>_xlfn.XLOOKUP(A1520,Colaboradores!$A:$A,Colaboradores!$S:$S,"",0)</f>
        <v>45982</v>
      </c>
      <c r="P1520" t="str">
        <f t="shared" si="136"/>
        <v>128045938</v>
      </c>
    </row>
    <row r="1521" spans="1:16" x14ac:dyDescent="0.3">
      <c r="A1521">
        <v>1281</v>
      </c>
      <c r="B1521">
        <v>24</v>
      </c>
      <c r="C1521" t="s">
        <v>26</v>
      </c>
      <c r="D1521" t="s">
        <v>16</v>
      </c>
      <c r="E1521" t="s">
        <v>17</v>
      </c>
      <c r="F1521" t="s">
        <v>23</v>
      </c>
      <c r="G1521" t="s">
        <v>57</v>
      </c>
      <c r="H1521" t="s">
        <v>20</v>
      </c>
      <c r="I1521" s="1">
        <v>2</v>
      </c>
      <c r="J1521" s="2">
        <v>45676</v>
      </c>
      <c r="K1521" s="2">
        <v>45658</v>
      </c>
      <c r="L1521" s="1" t="str">
        <f t="shared" si="143"/>
        <v>dom</v>
      </c>
      <c r="M1521" s="1" t="str">
        <f t="shared" si="144"/>
        <v>jan</v>
      </c>
      <c r="N1521">
        <f t="shared" si="145"/>
        <v>2025</v>
      </c>
      <c r="O1521" s="2">
        <f>_xlfn.XLOOKUP(A1521,Colaboradores!$A:$A,Colaboradores!$S:$S,"",0)</f>
        <v>45839</v>
      </c>
      <c r="P1521" t="str">
        <f t="shared" si="136"/>
        <v>128145676</v>
      </c>
    </row>
    <row r="1522" spans="1:16" x14ac:dyDescent="0.3">
      <c r="A1522">
        <v>1281</v>
      </c>
      <c r="B1522">
        <v>24</v>
      </c>
      <c r="C1522" t="s">
        <v>26</v>
      </c>
      <c r="D1522" t="s">
        <v>16</v>
      </c>
      <c r="E1522" t="s">
        <v>17</v>
      </c>
      <c r="F1522" t="s">
        <v>23</v>
      </c>
      <c r="G1522" t="s">
        <v>44</v>
      </c>
      <c r="H1522" t="s">
        <v>20</v>
      </c>
      <c r="I1522" s="1">
        <v>2</v>
      </c>
      <c r="J1522" s="2">
        <v>45797</v>
      </c>
      <c r="K1522" s="2">
        <v>45778</v>
      </c>
      <c r="L1522" s="1" t="str">
        <f t="shared" si="143"/>
        <v>ter</v>
      </c>
      <c r="M1522" s="1" t="str">
        <f t="shared" si="144"/>
        <v>mai</v>
      </c>
      <c r="N1522">
        <f t="shared" si="145"/>
        <v>2025</v>
      </c>
      <c r="O1522" s="2">
        <f>_xlfn.XLOOKUP(A1522,Colaboradores!$A:$A,Colaboradores!$S:$S,"",0)</f>
        <v>45839</v>
      </c>
      <c r="P1522" t="str">
        <f t="shared" si="136"/>
        <v>128145797</v>
      </c>
    </row>
    <row r="1523" spans="1:16" x14ac:dyDescent="0.3">
      <c r="A1523">
        <v>1281</v>
      </c>
      <c r="B1523">
        <v>24</v>
      </c>
      <c r="C1523" t="s">
        <v>26</v>
      </c>
      <c r="D1523" t="s">
        <v>16</v>
      </c>
      <c r="E1523" t="s">
        <v>17</v>
      </c>
      <c r="F1523" t="s">
        <v>23</v>
      </c>
      <c r="G1523" t="s">
        <v>44</v>
      </c>
      <c r="H1523" t="s">
        <v>20</v>
      </c>
      <c r="I1523" s="1">
        <v>2</v>
      </c>
      <c r="J1523" s="2">
        <v>45826</v>
      </c>
      <c r="K1523" s="2">
        <v>45809</v>
      </c>
      <c r="L1523" s="1" t="str">
        <f t="shared" si="143"/>
        <v>qua</v>
      </c>
      <c r="M1523" s="1" t="str">
        <f t="shared" si="144"/>
        <v>jun</v>
      </c>
      <c r="N1523">
        <f t="shared" si="145"/>
        <v>2025</v>
      </c>
      <c r="O1523" s="2">
        <f>_xlfn.XLOOKUP(A1523,Colaboradores!$A:$A,Colaboradores!$S:$S,"",0)</f>
        <v>45839</v>
      </c>
      <c r="P1523" t="str">
        <f t="shared" si="136"/>
        <v>128145826</v>
      </c>
    </row>
    <row r="1524" spans="1:16" x14ac:dyDescent="0.3">
      <c r="A1524">
        <v>1281</v>
      </c>
      <c r="B1524">
        <v>24</v>
      </c>
      <c r="C1524" t="s">
        <v>26</v>
      </c>
      <c r="D1524" t="s">
        <v>16</v>
      </c>
      <c r="E1524" t="s">
        <v>17</v>
      </c>
      <c r="F1524" t="s">
        <v>23</v>
      </c>
      <c r="G1524" t="s">
        <v>42</v>
      </c>
      <c r="H1524" t="s">
        <v>20</v>
      </c>
      <c r="I1524" s="1">
        <v>2</v>
      </c>
      <c r="J1524" s="2">
        <v>45827</v>
      </c>
      <c r="K1524" s="2">
        <v>45809</v>
      </c>
      <c r="L1524" s="1" t="str">
        <f t="shared" si="143"/>
        <v>qui</v>
      </c>
      <c r="M1524" s="1" t="str">
        <f t="shared" si="144"/>
        <v>jun</v>
      </c>
      <c r="N1524">
        <f t="shared" si="145"/>
        <v>2025</v>
      </c>
      <c r="O1524" s="2">
        <f>_xlfn.XLOOKUP(A1524,Colaboradores!$A:$A,Colaboradores!$S:$S,"",0)</f>
        <v>45839</v>
      </c>
      <c r="P1524" t="str">
        <f t="shared" si="136"/>
        <v>128145827</v>
      </c>
    </row>
    <row r="1525" spans="1:16" x14ac:dyDescent="0.3">
      <c r="A1525">
        <v>1281</v>
      </c>
      <c r="B1525">
        <v>24</v>
      </c>
      <c r="C1525" t="s">
        <v>26</v>
      </c>
      <c r="D1525" t="s">
        <v>16</v>
      </c>
      <c r="E1525" t="s">
        <v>17</v>
      </c>
      <c r="F1525" t="s">
        <v>23</v>
      </c>
      <c r="G1525" t="s">
        <v>44</v>
      </c>
      <c r="H1525" t="s">
        <v>20</v>
      </c>
      <c r="I1525" s="1">
        <v>2</v>
      </c>
      <c r="J1525" s="2">
        <v>45829</v>
      </c>
      <c r="K1525" s="2">
        <v>45809</v>
      </c>
      <c r="L1525" s="1" t="str">
        <f t="shared" si="143"/>
        <v>sáb</v>
      </c>
      <c r="M1525" s="1" t="str">
        <f t="shared" si="144"/>
        <v>jun</v>
      </c>
      <c r="N1525">
        <f t="shared" si="145"/>
        <v>2025</v>
      </c>
      <c r="O1525" s="2">
        <f>_xlfn.XLOOKUP(A1525,Colaboradores!$A:$A,Colaboradores!$S:$S,"",0)</f>
        <v>45839</v>
      </c>
      <c r="P1525" t="str">
        <f t="shared" si="136"/>
        <v>128145829</v>
      </c>
    </row>
    <row r="1526" spans="1:16" x14ac:dyDescent="0.3">
      <c r="A1526">
        <v>1281</v>
      </c>
      <c r="B1526">
        <v>24</v>
      </c>
      <c r="C1526" t="s">
        <v>26</v>
      </c>
      <c r="D1526" t="s">
        <v>16</v>
      </c>
      <c r="E1526" t="s">
        <v>17</v>
      </c>
      <c r="F1526" t="s">
        <v>23</v>
      </c>
      <c r="G1526" t="s">
        <v>44</v>
      </c>
      <c r="H1526" t="s">
        <v>20</v>
      </c>
      <c r="I1526" s="1">
        <v>2</v>
      </c>
      <c r="J1526" s="2">
        <v>45838</v>
      </c>
      <c r="K1526" s="2">
        <v>45809</v>
      </c>
      <c r="L1526" s="1" t="str">
        <f t="shared" si="143"/>
        <v>seg</v>
      </c>
      <c r="M1526" s="1" t="str">
        <f t="shared" si="144"/>
        <v>jun</v>
      </c>
      <c r="N1526">
        <f t="shared" si="145"/>
        <v>2025</v>
      </c>
      <c r="O1526" s="2">
        <f>_xlfn.XLOOKUP(A1526,Colaboradores!$A:$A,Colaboradores!$S:$S,"",0)</f>
        <v>45839</v>
      </c>
      <c r="P1526" t="str">
        <f t="shared" si="136"/>
        <v>128145838</v>
      </c>
    </row>
    <row r="1527" spans="1:16" x14ac:dyDescent="0.3">
      <c r="A1527">
        <v>1282</v>
      </c>
      <c r="B1527">
        <v>54</v>
      </c>
      <c r="C1527" t="s">
        <v>26</v>
      </c>
      <c r="D1527" t="s">
        <v>16</v>
      </c>
      <c r="E1527" t="s">
        <v>17</v>
      </c>
      <c r="F1527" t="s">
        <v>18</v>
      </c>
      <c r="G1527" t="s">
        <v>41</v>
      </c>
      <c r="H1527" t="s">
        <v>20</v>
      </c>
      <c r="I1527" s="1">
        <v>1</v>
      </c>
      <c r="J1527" s="2">
        <v>45775</v>
      </c>
      <c r="K1527" s="2">
        <v>45748</v>
      </c>
      <c r="L1527" s="1" t="str">
        <f t="shared" si="143"/>
        <v>seg</v>
      </c>
      <c r="M1527" s="1" t="str">
        <f t="shared" si="144"/>
        <v>abr</v>
      </c>
      <c r="N1527">
        <f t="shared" si="145"/>
        <v>2025</v>
      </c>
      <c r="O1527" s="2">
        <f>_xlfn.XLOOKUP(A1527,Colaboradores!$A:$A,Colaboradores!$S:$S,"",0)</f>
        <v>46019</v>
      </c>
      <c r="P1527" t="str">
        <f t="shared" si="136"/>
        <v>128245775</v>
      </c>
    </row>
    <row r="1528" spans="1:16" x14ac:dyDescent="0.3">
      <c r="A1528">
        <v>1282</v>
      </c>
      <c r="B1528">
        <v>54</v>
      </c>
      <c r="C1528" t="s">
        <v>26</v>
      </c>
      <c r="D1528" t="s">
        <v>16</v>
      </c>
      <c r="E1528" t="s">
        <v>17</v>
      </c>
      <c r="F1528" t="s">
        <v>18</v>
      </c>
      <c r="G1528" t="s">
        <v>41</v>
      </c>
      <c r="H1528" t="s">
        <v>20</v>
      </c>
      <c r="I1528" s="1">
        <v>1</v>
      </c>
      <c r="J1528" s="2">
        <v>45823</v>
      </c>
      <c r="K1528" s="2">
        <v>45809</v>
      </c>
      <c r="L1528" s="1" t="str">
        <f t="shared" si="143"/>
        <v>dom</v>
      </c>
      <c r="M1528" s="1" t="str">
        <f t="shared" si="144"/>
        <v>jun</v>
      </c>
      <c r="N1528">
        <f t="shared" si="145"/>
        <v>2025</v>
      </c>
      <c r="O1528" s="2">
        <f>_xlfn.XLOOKUP(A1528,Colaboradores!$A:$A,Colaboradores!$S:$S,"",0)</f>
        <v>46019</v>
      </c>
      <c r="P1528" t="str">
        <f t="shared" si="136"/>
        <v>128245823</v>
      </c>
    </row>
    <row r="1529" spans="1:16" x14ac:dyDescent="0.3">
      <c r="A1529">
        <v>1282</v>
      </c>
      <c r="B1529">
        <v>54</v>
      </c>
      <c r="C1529" t="s">
        <v>26</v>
      </c>
      <c r="D1529" t="s">
        <v>16</v>
      </c>
      <c r="E1529" t="s">
        <v>17</v>
      </c>
      <c r="F1529" t="s">
        <v>18</v>
      </c>
      <c r="G1529" t="s">
        <v>41</v>
      </c>
      <c r="H1529" t="s">
        <v>20</v>
      </c>
      <c r="I1529" s="1">
        <v>1</v>
      </c>
      <c r="J1529" s="2">
        <v>45830</v>
      </c>
      <c r="K1529" s="2">
        <v>45809</v>
      </c>
      <c r="L1529" s="1" t="str">
        <f t="shared" si="143"/>
        <v>dom</v>
      </c>
      <c r="M1529" s="1" t="str">
        <f t="shared" si="144"/>
        <v>jun</v>
      </c>
      <c r="N1529">
        <f t="shared" si="145"/>
        <v>2025</v>
      </c>
      <c r="O1529" s="2">
        <f>_xlfn.XLOOKUP(A1529,Colaboradores!$A:$A,Colaboradores!$S:$S,"",0)</f>
        <v>46019</v>
      </c>
      <c r="P1529" t="str">
        <f t="shared" si="136"/>
        <v>128245830</v>
      </c>
    </row>
    <row r="1530" spans="1:16" x14ac:dyDescent="0.3">
      <c r="A1530">
        <v>1282</v>
      </c>
      <c r="B1530">
        <v>54</v>
      </c>
      <c r="C1530" t="s">
        <v>26</v>
      </c>
      <c r="D1530" t="s">
        <v>16</v>
      </c>
      <c r="E1530" t="s">
        <v>17</v>
      </c>
      <c r="F1530" t="s">
        <v>18</v>
      </c>
      <c r="G1530" t="s">
        <v>41</v>
      </c>
      <c r="H1530" t="s">
        <v>20</v>
      </c>
      <c r="I1530" s="1">
        <v>1</v>
      </c>
      <c r="J1530" s="2">
        <v>45865</v>
      </c>
      <c r="K1530" s="2">
        <v>45839</v>
      </c>
      <c r="L1530" s="1" t="str">
        <f t="shared" si="143"/>
        <v>dom</v>
      </c>
      <c r="M1530" s="1" t="str">
        <f t="shared" si="144"/>
        <v>jul</v>
      </c>
      <c r="N1530">
        <f t="shared" si="145"/>
        <v>2025</v>
      </c>
      <c r="O1530" s="2">
        <f>_xlfn.XLOOKUP(A1530,Colaboradores!$A:$A,Colaboradores!$S:$S,"",0)</f>
        <v>46019</v>
      </c>
      <c r="P1530" t="str">
        <f t="shared" si="136"/>
        <v>128245865</v>
      </c>
    </row>
    <row r="1531" spans="1:16" x14ac:dyDescent="0.3">
      <c r="A1531">
        <v>1282</v>
      </c>
      <c r="B1531">
        <v>54</v>
      </c>
      <c r="C1531" t="s">
        <v>26</v>
      </c>
      <c r="D1531" t="s">
        <v>16</v>
      </c>
      <c r="E1531" t="s">
        <v>17</v>
      </c>
      <c r="F1531" t="s">
        <v>18</v>
      </c>
      <c r="G1531" t="s">
        <v>41</v>
      </c>
      <c r="H1531" t="s">
        <v>20</v>
      </c>
      <c r="I1531" s="1">
        <v>1</v>
      </c>
      <c r="J1531" s="2">
        <v>45872</v>
      </c>
      <c r="K1531" s="2">
        <v>45870</v>
      </c>
      <c r="L1531" s="1" t="str">
        <f t="shared" si="143"/>
        <v>dom</v>
      </c>
      <c r="M1531" s="1" t="str">
        <f t="shared" si="144"/>
        <v>ago</v>
      </c>
      <c r="N1531">
        <f t="shared" si="145"/>
        <v>2025</v>
      </c>
      <c r="O1531" s="2">
        <f>_xlfn.XLOOKUP(A1531,Colaboradores!$A:$A,Colaboradores!$S:$S,"",0)</f>
        <v>46019</v>
      </c>
      <c r="P1531" t="str">
        <f t="shared" si="136"/>
        <v>128245872</v>
      </c>
    </row>
    <row r="1532" spans="1:16" x14ac:dyDescent="0.3">
      <c r="A1532">
        <v>1282</v>
      </c>
      <c r="B1532">
        <v>54</v>
      </c>
      <c r="C1532" t="s">
        <v>26</v>
      </c>
      <c r="D1532" t="s">
        <v>16</v>
      </c>
      <c r="E1532" t="s">
        <v>17</v>
      </c>
      <c r="F1532" t="s">
        <v>18</v>
      </c>
      <c r="G1532" t="s">
        <v>41</v>
      </c>
      <c r="H1532" t="s">
        <v>20</v>
      </c>
      <c r="I1532" s="1">
        <v>1</v>
      </c>
      <c r="J1532" s="2">
        <v>45969</v>
      </c>
      <c r="K1532" s="2">
        <v>45962</v>
      </c>
      <c r="L1532" s="1" t="str">
        <f t="shared" si="143"/>
        <v>sáb</v>
      </c>
      <c r="M1532" s="1" t="str">
        <f t="shared" si="144"/>
        <v>nov</v>
      </c>
      <c r="N1532">
        <f t="shared" si="145"/>
        <v>2025</v>
      </c>
      <c r="O1532" s="2">
        <f>_xlfn.XLOOKUP(A1532,Colaboradores!$A:$A,Colaboradores!$S:$S,"",0)</f>
        <v>46019</v>
      </c>
      <c r="P1532" t="str">
        <f t="shared" si="136"/>
        <v>128245969</v>
      </c>
    </row>
    <row r="1533" spans="1:16" x14ac:dyDescent="0.3">
      <c r="A1533">
        <v>1283</v>
      </c>
      <c r="B1533">
        <v>28</v>
      </c>
      <c r="C1533" t="s">
        <v>26</v>
      </c>
      <c r="D1533" t="s">
        <v>31</v>
      </c>
      <c r="E1533" t="s">
        <v>34</v>
      </c>
      <c r="F1533" t="s">
        <v>23</v>
      </c>
      <c r="G1533" t="s">
        <v>41</v>
      </c>
      <c r="H1533" t="s">
        <v>20</v>
      </c>
      <c r="I1533" s="1">
        <v>2</v>
      </c>
      <c r="J1533" s="2">
        <v>45798</v>
      </c>
      <c r="K1533" s="2">
        <v>45778</v>
      </c>
      <c r="L1533" s="1" t="str">
        <f t="shared" si="143"/>
        <v>qua</v>
      </c>
      <c r="M1533" s="1" t="str">
        <f t="shared" si="144"/>
        <v>mai</v>
      </c>
      <c r="N1533">
        <f t="shared" si="145"/>
        <v>2025</v>
      </c>
      <c r="O1533" s="2">
        <f>_xlfn.XLOOKUP(A1533,Colaboradores!$A:$A,Colaboradores!$S:$S,"",0)</f>
        <v>45889</v>
      </c>
      <c r="P1533" t="str">
        <f t="shared" si="136"/>
        <v>128345798</v>
      </c>
    </row>
    <row r="1534" spans="1:16" x14ac:dyDescent="0.3">
      <c r="A1534">
        <v>1283</v>
      </c>
      <c r="B1534">
        <v>28</v>
      </c>
      <c r="C1534" t="s">
        <v>26</v>
      </c>
      <c r="D1534" t="s">
        <v>31</v>
      </c>
      <c r="E1534" t="s">
        <v>34</v>
      </c>
      <c r="F1534" t="s">
        <v>23</v>
      </c>
      <c r="G1534" t="s">
        <v>41</v>
      </c>
      <c r="H1534" t="s">
        <v>20</v>
      </c>
      <c r="I1534" s="1">
        <v>2</v>
      </c>
      <c r="J1534" s="2">
        <v>45807</v>
      </c>
      <c r="K1534" s="2">
        <v>45778</v>
      </c>
      <c r="L1534" s="1" t="str">
        <f t="shared" si="143"/>
        <v>sex</v>
      </c>
      <c r="M1534" s="1" t="str">
        <f t="shared" si="144"/>
        <v>mai</v>
      </c>
      <c r="N1534">
        <f t="shared" si="145"/>
        <v>2025</v>
      </c>
      <c r="O1534" s="2">
        <f>_xlfn.XLOOKUP(A1534,Colaboradores!$A:$A,Colaboradores!$S:$S,"",0)</f>
        <v>45889</v>
      </c>
      <c r="P1534" t="str">
        <f t="shared" si="136"/>
        <v>128345807</v>
      </c>
    </row>
    <row r="1535" spans="1:16" x14ac:dyDescent="0.3">
      <c r="A1535">
        <v>1283</v>
      </c>
      <c r="B1535">
        <v>28</v>
      </c>
      <c r="C1535" t="s">
        <v>26</v>
      </c>
      <c r="D1535" t="s">
        <v>31</v>
      </c>
      <c r="E1535" t="s">
        <v>34</v>
      </c>
      <c r="F1535" t="s">
        <v>23</v>
      </c>
      <c r="G1535" t="s">
        <v>41</v>
      </c>
      <c r="H1535" t="s">
        <v>20</v>
      </c>
      <c r="I1535" s="1">
        <v>2</v>
      </c>
      <c r="J1535" s="2">
        <v>45822</v>
      </c>
      <c r="K1535" s="2">
        <v>45809</v>
      </c>
      <c r="L1535" s="1" t="str">
        <f t="shared" si="143"/>
        <v>sáb</v>
      </c>
      <c r="M1535" s="1" t="str">
        <f t="shared" si="144"/>
        <v>jun</v>
      </c>
      <c r="N1535">
        <f t="shared" si="145"/>
        <v>2025</v>
      </c>
      <c r="O1535" s="2">
        <f>_xlfn.XLOOKUP(A1535,Colaboradores!$A:$A,Colaboradores!$S:$S,"",0)</f>
        <v>45889</v>
      </c>
      <c r="P1535" t="str">
        <f t="shared" si="136"/>
        <v>128345822</v>
      </c>
    </row>
    <row r="1536" spans="1:16" x14ac:dyDescent="0.3">
      <c r="A1536">
        <v>1283</v>
      </c>
      <c r="B1536">
        <v>28</v>
      </c>
      <c r="C1536" t="s">
        <v>26</v>
      </c>
      <c r="D1536" t="s">
        <v>31</v>
      </c>
      <c r="E1536" t="s">
        <v>34</v>
      </c>
      <c r="F1536" t="s">
        <v>23</v>
      </c>
      <c r="G1536" t="s">
        <v>41</v>
      </c>
      <c r="H1536" t="s">
        <v>20</v>
      </c>
      <c r="I1536" s="1">
        <v>2</v>
      </c>
      <c r="J1536" s="2">
        <v>45840</v>
      </c>
      <c r="K1536" s="2">
        <v>45839</v>
      </c>
      <c r="L1536" s="1" t="str">
        <f t="shared" si="143"/>
        <v>qua</v>
      </c>
      <c r="M1536" s="1" t="str">
        <f t="shared" si="144"/>
        <v>jul</v>
      </c>
      <c r="N1536">
        <f t="shared" si="145"/>
        <v>2025</v>
      </c>
      <c r="O1536" s="2">
        <f>_xlfn.XLOOKUP(A1536,Colaboradores!$A:$A,Colaboradores!$S:$S,"",0)</f>
        <v>45889</v>
      </c>
      <c r="P1536" t="str">
        <f t="shared" si="136"/>
        <v>128345840</v>
      </c>
    </row>
    <row r="1537" spans="1:16" x14ac:dyDescent="0.3">
      <c r="A1537">
        <v>1283</v>
      </c>
      <c r="B1537">
        <v>28</v>
      </c>
      <c r="C1537" t="s">
        <v>26</v>
      </c>
      <c r="D1537" t="s">
        <v>31</v>
      </c>
      <c r="E1537" t="s">
        <v>34</v>
      </c>
      <c r="F1537" t="s">
        <v>23</v>
      </c>
      <c r="G1537" t="s">
        <v>41</v>
      </c>
      <c r="H1537" t="s">
        <v>20</v>
      </c>
      <c r="I1537" s="1">
        <v>2</v>
      </c>
      <c r="J1537" s="2">
        <v>45862</v>
      </c>
      <c r="K1537" s="2">
        <v>45839</v>
      </c>
      <c r="L1537" s="1" t="str">
        <f t="shared" si="143"/>
        <v>qui</v>
      </c>
      <c r="M1537" s="1" t="str">
        <f t="shared" si="144"/>
        <v>jul</v>
      </c>
      <c r="N1537">
        <f t="shared" si="145"/>
        <v>2025</v>
      </c>
      <c r="O1537" s="2">
        <f>_xlfn.XLOOKUP(A1537,Colaboradores!$A:$A,Colaboradores!$S:$S,"",0)</f>
        <v>45889</v>
      </c>
      <c r="P1537" t="str">
        <f t="shared" ref="P1537:P1600" si="146">CONCATENATE(A1537,J1537)</f>
        <v>128345862</v>
      </c>
    </row>
    <row r="1538" spans="1:16" x14ac:dyDescent="0.3">
      <c r="A1538">
        <v>1284</v>
      </c>
      <c r="B1538">
        <v>42</v>
      </c>
      <c r="C1538" t="s">
        <v>26</v>
      </c>
      <c r="D1538" t="s">
        <v>16</v>
      </c>
      <c r="E1538" t="s">
        <v>17</v>
      </c>
      <c r="F1538" t="s">
        <v>23</v>
      </c>
      <c r="G1538" t="s">
        <v>41</v>
      </c>
      <c r="H1538" t="s">
        <v>20</v>
      </c>
      <c r="I1538" s="1">
        <v>3</v>
      </c>
      <c r="J1538" s="2">
        <v>45822</v>
      </c>
      <c r="K1538" s="2">
        <v>45809</v>
      </c>
      <c r="L1538" s="1" t="str">
        <f t="shared" si="143"/>
        <v>sáb</v>
      </c>
      <c r="M1538" s="1" t="str">
        <f t="shared" si="144"/>
        <v>jun</v>
      </c>
      <c r="N1538">
        <f t="shared" si="145"/>
        <v>2025</v>
      </c>
      <c r="O1538" s="2">
        <f>_xlfn.XLOOKUP(A1538,Colaboradores!$A:$A,Colaboradores!$S:$S,"",0)</f>
        <v>45915</v>
      </c>
      <c r="P1538" t="str">
        <f t="shared" si="146"/>
        <v>128445822</v>
      </c>
    </row>
    <row r="1539" spans="1:16" x14ac:dyDescent="0.3">
      <c r="A1539">
        <v>1284</v>
      </c>
      <c r="B1539">
        <v>42</v>
      </c>
      <c r="C1539" t="s">
        <v>26</v>
      </c>
      <c r="D1539" t="s">
        <v>16</v>
      </c>
      <c r="E1539" t="s">
        <v>17</v>
      </c>
      <c r="F1539" t="s">
        <v>23</v>
      </c>
      <c r="G1539" t="s">
        <v>41</v>
      </c>
      <c r="H1539" t="s">
        <v>20</v>
      </c>
      <c r="I1539" s="1">
        <v>3</v>
      </c>
      <c r="J1539" s="2">
        <v>45847</v>
      </c>
      <c r="K1539" s="2">
        <v>45839</v>
      </c>
      <c r="L1539" s="1" t="str">
        <f t="shared" si="143"/>
        <v>qua</v>
      </c>
      <c r="M1539" s="1" t="str">
        <f t="shared" si="144"/>
        <v>jul</v>
      </c>
      <c r="N1539">
        <f t="shared" si="145"/>
        <v>2025</v>
      </c>
      <c r="O1539" s="2">
        <f>_xlfn.XLOOKUP(A1539,Colaboradores!$A:$A,Colaboradores!$S:$S,"",0)</f>
        <v>45915</v>
      </c>
      <c r="P1539" t="str">
        <f t="shared" si="146"/>
        <v>128445847</v>
      </c>
    </row>
    <row r="1540" spans="1:16" x14ac:dyDescent="0.3">
      <c r="A1540">
        <v>1284</v>
      </c>
      <c r="B1540">
        <v>42</v>
      </c>
      <c r="C1540" t="s">
        <v>26</v>
      </c>
      <c r="D1540" t="s">
        <v>16</v>
      </c>
      <c r="E1540" t="s">
        <v>17</v>
      </c>
      <c r="F1540" t="s">
        <v>23</v>
      </c>
      <c r="G1540" t="s">
        <v>44</v>
      </c>
      <c r="H1540" t="s">
        <v>20</v>
      </c>
      <c r="I1540" s="1">
        <v>3</v>
      </c>
      <c r="J1540" s="2">
        <v>45873</v>
      </c>
      <c r="K1540" s="2">
        <v>45870</v>
      </c>
      <c r="L1540" s="1" t="str">
        <f t="shared" si="143"/>
        <v>seg</v>
      </c>
      <c r="M1540" s="1" t="str">
        <f t="shared" si="144"/>
        <v>ago</v>
      </c>
      <c r="N1540">
        <f t="shared" si="145"/>
        <v>2025</v>
      </c>
      <c r="O1540" s="2">
        <f>_xlfn.XLOOKUP(A1540,Colaboradores!$A:$A,Colaboradores!$S:$S,"",0)</f>
        <v>45915</v>
      </c>
      <c r="P1540" t="str">
        <f t="shared" si="146"/>
        <v>128445873</v>
      </c>
    </row>
    <row r="1541" spans="1:16" x14ac:dyDescent="0.3">
      <c r="A1541">
        <v>1284</v>
      </c>
      <c r="B1541">
        <v>42</v>
      </c>
      <c r="C1541" t="s">
        <v>26</v>
      </c>
      <c r="D1541" t="s">
        <v>16</v>
      </c>
      <c r="E1541" t="s">
        <v>17</v>
      </c>
      <c r="F1541" t="s">
        <v>23</v>
      </c>
      <c r="G1541" t="s">
        <v>44</v>
      </c>
      <c r="H1541" t="s">
        <v>20</v>
      </c>
      <c r="I1541" s="1">
        <v>3</v>
      </c>
      <c r="J1541" s="2">
        <v>45875</v>
      </c>
      <c r="K1541" s="2">
        <v>45870</v>
      </c>
      <c r="L1541" s="1" t="str">
        <f t="shared" si="143"/>
        <v>qua</v>
      </c>
      <c r="M1541" s="1" t="str">
        <f t="shared" si="144"/>
        <v>ago</v>
      </c>
      <c r="N1541">
        <f t="shared" si="145"/>
        <v>2025</v>
      </c>
      <c r="O1541" s="2">
        <f>_xlfn.XLOOKUP(A1541,Colaboradores!$A:$A,Colaboradores!$S:$S,"",0)</f>
        <v>45915</v>
      </c>
      <c r="P1541" t="str">
        <f t="shared" si="146"/>
        <v>128445875</v>
      </c>
    </row>
    <row r="1542" spans="1:16" x14ac:dyDescent="0.3">
      <c r="A1542">
        <v>1284</v>
      </c>
      <c r="B1542">
        <v>42</v>
      </c>
      <c r="C1542" t="s">
        <v>26</v>
      </c>
      <c r="D1542" t="s">
        <v>16</v>
      </c>
      <c r="E1542" t="s">
        <v>17</v>
      </c>
      <c r="F1542" t="s">
        <v>23</v>
      </c>
      <c r="G1542" t="s">
        <v>44</v>
      </c>
      <c r="H1542" t="s">
        <v>20</v>
      </c>
      <c r="I1542" s="1">
        <v>3</v>
      </c>
      <c r="J1542" s="2">
        <v>45879</v>
      </c>
      <c r="K1542" s="2">
        <v>45870</v>
      </c>
      <c r="L1542" s="1" t="str">
        <f t="shared" si="143"/>
        <v>dom</v>
      </c>
      <c r="M1542" s="1" t="str">
        <f t="shared" si="144"/>
        <v>ago</v>
      </c>
      <c r="N1542">
        <f t="shared" si="145"/>
        <v>2025</v>
      </c>
      <c r="O1542" s="2">
        <f>_xlfn.XLOOKUP(A1542,Colaboradores!$A:$A,Colaboradores!$S:$S,"",0)</f>
        <v>45915</v>
      </c>
      <c r="P1542" t="str">
        <f t="shared" si="146"/>
        <v>128445879</v>
      </c>
    </row>
    <row r="1543" spans="1:16" x14ac:dyDescent="0.3">
      <c r="A1543">
        <v>1284</v>
      </c>
      <c r="B1543">
        <v>42</v>
      </c>
      <c r="C1543" t="s">
        <v>26</v>
      </c>
      <c r="D1543" t="s">
        <v>16</v>
      </c>
      <c r="E1543" t="s">
        <v>17</v>
      </c>
      <c r="F1543" t="s">
        <v>23</v>
      </c>
      <c r="G1543" t="s">
        <v>44</v>
      </c>
      <c r="H1543" t="s">
        <v>20</v>
      </c>
      <c r="I1543" s="1">
        <v>3</v>
      </c>
      <c r="J1543" s="2">
        <v>45903</v>
      </c>
      <c r="K1543" s="2">
        <v>45901</v>
      </c>
      <c r="L1543" s="1" t="str">
        <f t="shared" si="143"/>
        <v>qua</v>
      </c>
      <c r="M1543" s="1" t="str">
        <f t="shared" si="144"/>
        <v>set</v>
      </c>
      <c r="N1543">
        <f t="shared" si="145"/>
        <v>2025</v>
      </c>
      <c r="O1543" s="2">
        <f>_xlfn.XLOOKUP(A1543,Colaboradores!$A:$A,Colaboradores!$S:$S,"",0)</f>
        <v>45915</v>
      </c>
      <c r="P1543" t="str">
        <f t="shared" si="146"/>
        <v>128445903</v>
      </c>
    </row>
    <row r="1544" spans="1:16" x14ac:dyDescent="0.3">
      <c r="A1544">
        <v>1285</v>
      </c>
      <c r="B1544">
        <v>24</v>
      </c>
      <c r="C1544" t="s">
        <v>15</v>
      </c>
      <c r="D1544" t="s">
        <v>27</v>
      </c>
      <c r="E1544" t="s">
        <v>17</v>
      </c>
      <c r="F1544" t="s">
        <v>21</v>
      </c>
      <c r="G1544" t="s">
        <v>41</v>
      </c>
      <c r="H1544" t="s">
        <v>25</v>
      </c>
      <c r="I1544" s="1">
        <v>3</v>
      </c>
      <c r="J1544" s="2">
        <v>45822</v>
      </c>
      <c r="K1544" s="2">
        <v>45809</v>
      </c>
      <c r="L1544" s="1" t="str">
        <f t="shared" si="143"/>
        <v>sáb</v>
      </c>
      <c r="M1544" s="1" t="str">
        <f t="shared" si="144"/>
        <v>jun</v>
      </c>
      <c r="N1544">
        <f t="shared" si="145"/>
        <v>2025</v>
      </c>
      <c r="O1544" s="2"/>
      <c r="P1544" t="str">
        <f t="shared" si="146"/>
        <v>128545822</v>
      </c>
    </row>
    <row r="1545" spans="1:16" x14ac:dyDescent="0.3">
      <c r="A1545">
        <v>1285</v>
      </c>
      <c r="B1545">
        <v>24</v>
      </c>
      <c r="C1545" t="s">
        <v>15</v>
      </c>
      <c r="D1545" t="s">
        <v>27</v>
      </c>
      <c r="E1545" t="s">
        <v>17</v>
      </c>
      <c r="F1545" t="s">
        <v>21</v>
      </c>
      <c r="G1545" t="s">
        <v>41</v>
      </c>
      <c r="H1545" t="s">
        <v>25</v>
      </c>
      <c r="I1545" s="1">
        <v>3</v>
      </c>
      <c r="J1545" s="2">
        <v>45909</v>
      </c>
      <c r="K1545" s="2">
        <v>45901</v>
      </c>
      <c r="L1545" s="1" t="str">
        <f t="shared" si="143"/>
        <v>ter</v>
      </c>
      <c r="M1545" s="1" t="str">
        <f t="shared" si="144"/>
        <v>set</v>
      </c>
      <c r="N1545">
        <f t="shared" si="145"/>
        <v>2025</v>
      </c>
      <c r="O1545" s="2"/>
      <c r="P1545" t="str">
        <f t="shared" si="146"/>
        <v>128545909</v>
      </c>
    </row>
    <row r="1546" spans="1:16" x14ac:dyDescent="0.3">
      <c r="A1546">
        <v>1285</v>
      </c>
      <c r="B1546">
        <v>24</v>
      </c>
      <c r="C1546" t="s">
        <v>15</v>
      </c>
      <c r="D1546" t="s">
        <v>27</v>
      </c>
      <c r="E1546" t="s">
        <v>17</v>
      </c>
      <c r="F1546" t="s">
        <v>21</v>
      </c>
      <c r="G1546" t="s">
        <v>40</v>
      </c>
      <c r="H1546" t="s">
        <v>25</v>
      </c>
      <c r="I1546" s="1">
        <v>3</v>
      </c>
      <c r="J1546" s="2">
        <v>45945</v>
      </c>
      <c r="K1546" s="2">
        <v>45931</v>
      </c>
      <c r="L1546" s="1" t="str">
        <f t="shared" si="143"/>
        <v>qua</v>
      </c>
      <c r="M1546" s="1" t="str">
        <f t="shared" si="144"/>
        <v>out</v>
      </c>
      <c r="N1546">
        <f t="shared" si="145"/>
        <v>2025</v>
      </c>
      <c r="O1546" s="2"/>
      <c r="P1546" t="str">
        <f t="shared" si="146"/>
        <v>128545945</v>
      </c>
    </row>
    <row r="1547" spans="1:16" x14ac:dyDescent="0.3">
      <c r="A1547">
        <v>1285</v>
      </c>
      <c r="B1547">
        <v>24</v>
      </c>
      <c r="C1547" t="s">
        <v>15</v>
      </c>
      <c r="D1547" t="s">
        <v>27</v>
      </c>
      <c r="E1547" t="s">
        <v>17</v>
      </c>
      <c r="F1547" t="s">
        <v>21</v>
      </c>
      <c r="G1547" t="s">
        <v>41</v>
      </c>
      <c r="H1547" t="s">
        <v>25</v>
      </c>
      <c r="I1547" s="1">
        <v>3</v>
      </c>
      <c r="J1547" s="2">
        <v>45984</v>
      </c>
      <c r="K1547" s="2">
        <v>45962</v>
      </c>
      <c r="L1547" s="1" t="str">
        <f t="shared" ref="L1547:L1578" si="147">TEXT(J1547,"ddd")</f>
        <v>dom</v>
      </c>
      <c r="M1547" s="1" t="str">
        <f t="shared" ref="M1547:M1578" si="148">TEXT($J1547,"mmm")</f>
        <v>nov</v>
      </c>
      <c r="N1547">
        <f t="shared" ref="N1547:N1578" si="149">YEAR(J1547)</f>
        <v>2025</v>
      </c>
      <c r="O1547" s="2"/>
      <c r="P1547" t="str">
        <f t="shared" si="146"/>
        <v>128545984</v>
      </c>
    </row>
    <row r="1548" spans="1:16" x14ac:dyDescent="0.3">
      <c r="A1548">
        <v>1285</v>
      </c>
      <c r="B1548">
        <v>24</v>
      </c>
      <c r="C1548" t="s">
        <v>15</v>
      </c>
      <c r="D1548" t="s">
        <v>27</v>
      </c>
      <c r="E1548" t="s">
        <v>17</v>
      </c>
      <c r="F1548" t="s">
        <v>21</v>
      </c>
      <c r="G1548" t="s">
        <v>40</v>
      </c>
      <c r="H1548" t="s">
        <v>25</v>
      </c>
      <c r="I1548" s="1">
        <v>3</v>
      </c>
      <c r="J1548" s="2">
        <v>46018</v>
      </c>
      <c r="K1548" s="2">
        <v>45992</v>
      </c>
      <c r="L1548" s="1" t="str">
        <f t="shared" si="147"/>
        <v>sáb</v>
      </c>
      <c r="M1548" s="1" t="str">
        <f t="shared" si="148"/>
        <v>dez</v>
      </c>
      <c r="N1548">
        <f t="shared" si="149"/>
        <v>2025</v>
      </c>
      <c r="O1548" s="2"/>
      <c r="P1548" t="str">
        <f t="shared" si="146"/>
        <v>128546018</v>
      </c>
    </row>
    <row r="1549" spans="1:16" x14ac:dyDescent="0.3">
      <c r="A1549">
        <v>1285</v>
      </c>
      <c r="B1549">
        <v>24</v>
      </c>
      <c r="C1549" t="s">
        <v>15</v>
      </c>
      <c r="D1549" t="s">
        <v>27</v>
      </c>
      <c r="E1549" t="s">
        <v>17</v>
      </c>
      <c r="F1549" t="s">
        <v>21</v>
      </c>
      <c r="G1549" t="s">
        <v>40</v>
      </c>
      <c r="H1549" t="s">
        <v>25</v>
      </c>
      <c r="I1549" s="1">
        <v>3</v>
      </c>
      <c r="J1549" s="2">
        <v>46069</v>
      </c>
      <c r="K1549" s="2">
        <v>46054</v>
      </c>
      <c r="L1549" s="1" t="str">
        <f t="shared" si="147"/>
        <v>seg</v>
      </c>
      <c r="M1549" s="1" t="str">
        <f t="shared" si="148"/>
        <v>fev</v>
      </c>
      <c r="N1549">
        <f t="shared" si="149"/>
        <v>2026</v>
      </c>
      <c r="O1549" s="2"/>
      <c r="P1549" t="str">
        <f t="shared" si="146"/>
        <v>128546069</v>
      </c>
    </row>
    <row r="1550" spans="1:16" x14ac:dyDescent="0.3">
      <c r="A1550">
        <v>1286</v>
      </c>
      <c r="B1550">
        <v>33</v>
      </c>
      <c r="C1550" t="s">
        <v>26</v>
      </c>
      <c r="D1550" t="s">
        <v>16</v>
      </c>
      <c r="E1550" t="s">
        <v>17</v>
      </c>
      <c r="F1550" t="s">
        <v>18</v>
      </c>
      <c r="G1550" t="s">
        <v>42</v>
      </c>
      <c r="H1550" t="s">
        <v>20</v>
      </c>
      <c r="I1550" s="1">
        <v>1</v>
      </c>
      <c r="J1550" s="2">
        <v>45773</v>
      </c>
      <c r="K1550" s="2">
        <v>45748</v>
      </c>
      <c r="L1550" s="1" t="str">
        <f t="shared" si="147"/>
        <v>sáb</v>
      </c>
      <c r="M1550" s="1" t="str">
        <f t="shared" si="148"/>
        <v>abr</v>
      </c>
      <c r="N1550">
        <f t="shared" si="149"/>
        <v>2025</v>
      </c>
      <c r="O1550" s="2">
        <f>_xlfn.XLOOKUP(A1550,Colaboradores!$A:$A,Colaboradores!$S:$S,"",0)</f>
        <v>45925</v>
      </c>
      <c r="P1550" t="str">
        <f t="shared" si="146"/>
        <v>128645773</v>
      </c>
    </row>
    <row r="1551" spans="1:16" x14ac:dyDescent="0.3">
      <c r="A1551">
        <v>1286</v>
      </c>
      <c r="B1551">
        <v>33</v>
      </c>
      <c r="C1551" t="s">
        <v>26</v>
      </c>
      <c r="D1551" t="s">
        <v>16</v>
      </c>
      <c r="E1551" t="s">
        <v>17</v>
      </c>
      <c r="F1551" t="s">
        <v>18</v>
      </c>
      <c r="G1551" t="s">
        <v>41</v>
      </c>
      <c r="H1551" t="s">
        <v>20</v>
      </c>
      <c r="I1551" s="1">
        <v>1</v>
      </c>
      <c r="J1551" s="2">
        <v>45853</v>
      </c>
      <c r="K1551" s="2">
        <v>45839</v>
      </c>
      <c r="L1551" s="1" t="str">
        <f t="shared" si="147"/>
        <v>ter</v>
      </c>
      <c r="M1551" s="1" t="str">
        <f t="shared" si="148"/>
        <v>jul</v>
      </c>
      <c r="N1551">
        <f t="shared" si="149"/>
        <v>2025</v>
      </c>
      <c r="O1551" s="2">
        <f>_xlfn.XLOOKUP(A1551,Colaboradores!$A:$A,Colaboradores!$S:$S,"",0)</f>
        <v>45925</v>
      </c>
      <c r="P1551" t="str">
        <f t="shared" si="146"/>
        <v>128645853</v>
      </c>
    </row>
    <row r="1552" spans="1:16" x14ac:dyDescent="0.3">
      <c r="A1552">
        <v>1286</v>
      </c>
      <c r="B1552">
        <v>33</v>
      </c>
      <c r="C1552" t="s">
        <v>26</v>
      </c>
      <c r="D1552" t="s">
        <v>16</v>
      </c>
      <c r="E1552" t="s">
        <v>17</v>
      </c>
      <c r="F1552" t="s">
        <v>18</v>
      </c>
      <c r="G1552" t="s">
        <v>42</v>
      </c>
      <c r="H1552" t="s">
        <v>20</v>
      </c>
      <c r="I1552" s="1">
        <v>1</v>
      </c>
      <c r="J1552" s="2">
        <v>45871</v>
      </c>
      <c r="K1552" s="2">
        <v>45870</v>
      </c>
      <c r="L1552" s="1" t="str">
        <f t="shared" si="147"/>
        <v>sáb</v>
      </c>
      <c r="M1552" s="1" t="str">
        <f t="shared" si="148"/>
        <v>ago</v>
      </c>
      <c r="N1552">
        <f t="shared" si="149"/>
        <v>2025</v>
      </c>
      <c r="O1552" s="2">
        <f>_xlfn.XLOOKUP(A1552,Colaboradores!$A:$A,Colaboradores!$S:$S,"",0)</f>
        <v>45925</v>
      </c>
      <c r="P1552" t="str">
        <f t="shared" si="146"/>
        <v>128645871</v>
      </c>
    </row>
    <row r="1553" spans="1:16" x14ac:dyDescent="0.3">
      <c r="A1553">
        <v>1286</v>
      </c>
      <c r="B1553">
        <v>33</v>
      </c>
      <c r="C1553" t="s">
        <v>26</v>
      </c>
      <c r="D1553" t="s">
        <v>16</v>
      </c>
      <c r="E1553" t="s">
        <v>17</v>
      </c>
      <c r="F1553" t="s">
        <v>18</v>
      </c>
      <c r="G1553" t="s">
        <v>41</v>
      </c>
      <c r="H1553" t="s">
        <v>20</v>
      </c>
      <c r="I1553" s="1">
        <v>1</v>
      </c>
      <c r="J1553" s="2">
        <v>45878</v>
      </c>
      <c r="K1553" s="2">
        <v>45870</v>
      </c>
      <c r="L1553" s="1" t="str">
        <f t="shared" si="147"/>
        <v>sáb</v>
      </c>
      <c r="M1553" s="1" t="str">
        <f t="shared" si="148"/>
        <v>ago</v>
      </c>
      <c r="N1553">
        <f t="shared" si="149"/>
        <v>2025</v>
      </c>
      <c r="O1553" s="2">
        <f>_xlfn.XLOOKUP(A1553,Colaboradores!$A:$A,Colaboradores!$S:$S,"",0)</f>
        <v>45925</v>
      </c>
      <c r="P1553" t="str">
        <f t="shared" si="146"/>
        <v>128645878</v>
      </c>
    </row>
    <row r="1554" spans="1:16" x14ac:dyDescent="0.3">
      <c r="A1554">
        <v>1286</v>
      </c>
      <c r="B1554">
        <v>33</v>
      </c>
      <c r="C1554" t="s">
        <v>26</v>
      </c>
      <c r="D1554" t="s">
        <v>16</v>
      </c>
      <c r="E1554" t="s">
        <v>17</v>
      </c>
      <c r="F1554" t="s">
        <v>18</v>
      </c>
      <c r="G1554" t="s">
        <v>41</v>
      </c>
      <c r="H1554" t="s">
        <v>20</v>
      </c>
      <c r="I1554" s="1">
        <v>1</v>
      </c>
      <c r="J1554" s="2">
        <v>45906</v>
      </c>
      <c r="K1554" s="2">
        <v>45901</v>
      </c>
      <c r="L1554" s="1" t="str">
        <f t="shared" si="147"/>
        <v>sáb</v>
      </c>
      <c r="M1554" s="1" t="str">
        <f t="shared" si="148"/>
        <v>set</v>
      </c>
      <c r="N1554">
        <f t="shared" si="149"/>
        <v>2025</v>
      </c>
      <c r="O1554" s="2">
        <f>_xlfn.XLOOKUP(A1554,Colaboradores!$A:$A,Colaboradores!$S:$S,"",0)</f>
        <v>45925</v>
      </c>
      <c r="P1554" t="str">
        <f t="shared" si="146"/>
        <v>128645906</v>
      </c>
    </row>
    <row r="1555" spans="1:16" x14ac:dyDescent="0.3">
      <c r="A1555">
        <v>1286</v>
      </c>
      <c r="B1555">
        <v>33</v>
      </c>
      <c r="C1555" t="s">
        <v>26</v>
      </c>
      <c r="D1555" t="s">
        <v>16</v>
      </c>
      <c r="E1555" t="s">
        <v>17</v>
      </c>
      <c r="F1555" t="s">
        <v>18</v>
      </c>
      <c r="G1555" t="s">
        <v>42</v>
      </c>
      <c r="H1555" t="s">
        <v>20</v>
      </c>
      <c r="I1555" s="1">
        <v>1</v>
      </c>
      <c r="J1555" s="2">
        <v>45912</v>
      </c>
      <c r="K1555" s="2">
        <v>45901</v>
      </c>
      <c r="L1555" s="1" t="str">
        <f t="shared" si="147"/>
        <v>sex</v>
      </c>
      <c r="M1555" s="1" t="str">
        <f t="shared" si="148"/>
        <v>set</v>
      </c>
      <c r="N1555">
        <f t="shared" si="149"/>
        <v>2025</v>
      </c>
      <c r="O1555" s="2">
        <f>_xlfn.XLOOKUP(A1555,Colaboradores!$A:$A,Colaboradores!$S:$S,"",0)</f>
        <v>45925</v>
      </c>
      <c r="P1555" t="str">
        <f t="shared" si="146"/>
        <v>128645912</v>
      </c>
    </row>
    <row r="1556" spans="1:16" x14ac:dyDescent="0.3">
      <c r="A1556">
        <v>1287</v>
      </c>
      <c r="B1556">
        <v>28</v>
      </c>
      <c r="C1556" t="s">
        <v>15</v>
      </c>
      <c r="D1556" t="s">
        <v>22</v>
      </c>
      <c r="E1556" t="s">
        <v>17</v>
      </c>
      <c r="F1556" t="s">
        <v>23</v>
      </c>
      <c r="G1556" t="s">
        <v>43</v>
      </c>
      <c r="H1556" t="s">
        <v>20</v>
      </c>
      <c r="I1556" s="1">
        <v>2</v>
      </c>
      <c r="J1556" s="2">
        <v>45814</v>
      </c>
      <c r="K1556" s="2">
        <v>45809</v>
      </c>
      <c r="L1556" s="1" t="str">
        <f t="shared" si="147"/>
        <v>sex</v>
      </c>
      <c r="M1556" s="1" t="str">
        <f t="shared" si="148"/>
        <v>jun</v>
      </c>
      <c r="N1556">
        <f t="shared" si="149"/>
        <v>2025</v>
      </c>
      <c r="O1556" s="2">
        <f>_xlfn.XLOOKUP(A1556,Colaboradores!$A:$A,Colaboradores!$S:$S,"",0)</f>
        <v>46098</v>
      </c>
      <c r="P1556" t="str">
        <f t="shared" si="146"/>
        <v>128745814</v>
      </c>
    </row>
    <row r="1557" spans="1:16" x14ac:dyDescent="0.3">
      <c r="A1557">
        <v>1287</v>
      </c>
      <c r="B1557">
        <v>28</v>
      </c>
      <c r="C1557" t="s">
        <v>15</v>
      </c>
      <c r="D1557" t="s">
        <v>22</v>
      </c>
      <c r="E1557" t="s">
        <v>17</v>
      </c>
      <c r="F1557" t="s">
        <v>23</v>
      </c>
      <c r="G1557" t="s">
        <v>43</v>
      </c>
      <c r="H1557" t="s">
        <v>20</v>
      </c>
      <c r="I1557" s="1">
        <v>2</v>
      </c>
      <c r="J1557" s="2">
        <v>45901</v>
      </c>
      <c r="K1557" s="2">
        <v>45901</v>
      </c>
      <c r="L1557" s="1" t="str">
        <f t="shared" si="147"/>
        <v>seg</v>
      </c>
      <c r="M1557" s="1" t="str">
        <f t="shared" si="148"/>
        <v>set</v>
      </c>
      <c r="N1557">
        <f t="shared" si="149"/>
        <v>2025</v>
      </c>
      <c r="O1557" s="2">
        <f>_xlfn.XLOOKUP(A1557,Colaboradores!$A:$A,Colaboradores!$S:$S,"",0)</f>
        <v>46098</v>
      </c>
      <c r="P1557" t="str">
        <f t="shared" si="146"/>
        <v>128745901</v>
      </c>
    </row>
    <row r="1558" spans="1:16" x14ac:dyDescent="0.3">
      <c r="A1558">
        <v>1287</v>
      </c>
      <c r="B1558">
        <v>28</v>
      </c>
      <c r="C1558" t="s">
        <v>15</v>
      </c>
      <c r="D1558" t="s">
        <v>22</v>
      </c>
      <c r="E1558" t="s">
        <v>17</v>
      </c>
      <c r="F1558" t="s">
        <v>23</v>
      </c>
      <c r="G1558" t="s">
        <v>43</v>
      </c>
      <c r="H1558" t="s">
        <v>20</v>
      </c>
      <c r="I1558" s="1">
        <v>2</v>
      </c>
      <c r="J1558" s="2">
        <v>45935</v>
      </c>
      <c r="K1558" s="2">
        <v>45931</v>
      </c>
      <c r="L1558" s="1" t="str">
        <f t="shared" si="147"/>
        <v>dom</v>
      </c>
      <c r="M1558" s="1" t="str">
        <f t="shared" si="148"/>
        <v>out</v>
      </c>
      <c r="N1558">
        <f t="shared" si="149"/>
        <v>2025</v>
      </c>
      <c r="O1558" s="2">
        <f>_xlfn.XLOOKUP(A1558,Colaboradores!$A:$A,Colaboradores!$S:$S,"",0)</f>
        <v>46098</v>
      </c>
      <c r="P1558" t="str">
        <f t="shared" si="146"/>
        <v>128745935</v>
      </c>
    </row>
    <row r="1559" spans="1:16" x14ac:dyDescent="0.3">
      <c r="A1559">
        <v>1287</v>
      </c>
      <c r="B1559">
        <v>28</v>
      </c>
      <c r="C1559" t="s">
        <v>15</v>
      </c>
      <c r="D1559" t="s">
        <v>22</v>
      </c>
      <c r="E1559" t="s">
        <v>17</v>
      </c>
      <c r="F1559" t="s">
        <v>23</v>
      </c>
      <c r="G1559" t="s">
        <v>43</v>
      </c>
      <c r="H1559" t="s">
        <v>20</v>
      </c>
      <c r="I1559" s="1">
        <v>2</v>
      </c>
      <c r="J1559" s="2">
        <v>45941</v>
      </c>
      <c r="K1559" s="2">
        <v>45931</v>
      </c>
      <c r="L1559" s="1" t="str">
        <f t="shared" si="147"/>
        <v>sáb</v>
      </c>
      <c r="M1559" s="1" t="str">
        <f t="shared" si="148"/>
        <v>out</v>
      </c>
      <c r="N1559">
        <f t="shared" si="149"/>
        <v>2025</v>
      </c>
      <c r="O1559" s="2">
        <f>_xlfn.XLOOKUP(A1559,Colaboradores!$A:$A,Colaboradores!$S:$S,"",0)</f>
        <v>46098</v>
      </c>
      <c r="P1559" t="str">
        <f t="shared" si="146"/>
        <v>128745941</v>
      </c>
    </row>
    <row r="1560" spans="1:16" x14ac:dyDescent="0.3">
      <c r="A1560">
        <v>1287</v>
      </c>
      <c r="B1560">
        <v>28</v>
      </c>
      <c r="C1560" t="s">
        <v>15</v>
      </c>
      <c r="D1560" t="s">
        <v>22</v>
      </c>
      <c r="E1560" t="s">
        <v>17</v>
      </c>
      <c r="F1560" t="s">
        <v>23</v>
      </c>
      <c r="G1560" t="s">
        <v>43</v>
      </c>
      <c r="H1560" t="s">
        <v>20</v>
      </c>
      <c r="I1560" s="1">
        <v>2</v>
      </c>
      <c r="J1560" s="2">
        <v>45961</v>
      </c>
      <c r="K1560" s="2">
        <v>45931</v>
      </c>
      <c r="L1560" s="1" t="str">
        <f t="shared" si="147"/>
        <v>sex</v>
      </c>
      <c r="M1560" s="1" t="str">
        <f t="shared" si="148"/>
        <v>out</v>
      </c>
      <c r="N1560">
        <f t="shared" si="149"/>
        <v>2025</v>
      </c>
      <c r="O1560" s="2">
        <f>_xlfn.XLOOKUP(A1560,Colaboradores!$A:$A,Colaboradores!$S:$S,"",0)</f>
        <v>46098</v>
      </c>
      <c r="P1560" t="str">
        <f t="shared" si="146"/>
        <v>128745961</v>
      </c>
    </row>
    <row r="1561" spans="1:16" x14ac:dyDescent="0.3">
      <c r="A1561">
        <v>1287</v>
      </c>
      <c r="B1561">
        <v>28</v>
      </c>
      <c r="C1561" t="s">
        <v>15</v>
      </c>
      <c r="D1561" t="s">
        <v>22</v>
      </c>
      <c r="E1561" t="s">
        <v>17</v>
      </c>
      <c r="F1561" t="s">
        <v>23</v>
      </c>
      <c r="G1561" t="s">
        <v>43</v>
      </c>
      <c r="H1561" t="s">
        <v>20</v>
      </c>
      <c r="I1561" s="1">
        <v>2</v>
      </c>
      <c r="J1561" s="2">
        <v>46176</v>
      </c>
      <c r="K1561" s="2">
        <v>46023</v>
      </c>
      <c r="L1561" s="1" t="str">
        <f t="shared" si="147"/>
        <v>qua</v>
      </c>
      <c r="M1561" s="1" t="str">
        <f t="shared" si="148"/>
        <v>jun</v>
      </c>
      <c r="N1561">
        <f t="shared" si="149"/>
        <v>2026</v>
      </c>
      <c r="O1561" s="2">
        <f>_xlfn.XLOOKUP(A1561,Colaboradores!$A:$A,Colaboradores!$S:$S,"",0)</f>
        <v>46098</v>
      </c>
      <c r="P1561" t="str">
        <f t="shared" si="146"/>
        <v>128746176</v>
      </c>
    </row>
    <row r="1562" spans="1:16" x14ac:dyDescent="0.3">
      <c r="A1562">
        <v>1289</v>
      </c>
      <c r="B1562">
        <v>27</v>
      </c>
      <c r="C1562" t="s">
        <v>15</v>
      </c>
      <c r="D1562" t="s">
        <v>29</v>
      </c>
      <c r="E1562" t="s">
        <v>17</v>
      </c>
      <c r="F1562" t="s">
        <v>21</v>
      </c>
      <c r="G1562" t="s">
        <v>41</v>
      </c>
      <c r="H1562" t="s">
        <v>25</v>
      </c>
      <c r="I1562" s="1">
        <v>1</v>
      </c>
      <c r="J1562" s="2">
        <v>45848</v>
      </c>
      <c r="K1562" s="2">
        <v>45839</v>
      </c>
      <c r="L1562" s="1" t="str">
        <f t="shared" si="147"/>
        <v>qui</v>
      </c>
      <c r="M1562" s="1" t="str">
        <f t="shared" si="148"/>
        <v>jul</v>
      </c>
      <c r="N1562">
        <f t="shared" si="149"/>
        <v>2025</v>
      </c>
      <c r="O1562" s="2"/>
      <c r="P1562" t="str">
        <f t="shared" si="146"/>
        <v>128945848</v>
      </c>
    </row>
    <row r="1563" spans="1:16" x14ac:dyDescent="0.3">
      <c r="A1563">
        <v>1289</v>
      </c>
      <c r="B1563">
        <v>27</v>
      </c>
      <c r="C1563" t="s">
        <v>15</v>
      </c>
      <c r="D1563" t="s">
        <v>29</v>
      </c>
      <c r="E1563" t="s">
        <v>17</v>
      </c>
      <c r="F1563" t="s">
        <v>21</v>
      </c>
      <c r="G1563" t="s">
        <v>41</v>
      </c>
      <c r="H1563" t="s">
        <v>25</v>
      </c>
      <c r="I1563" s="1">
        <v>1</v>
      </c>
      <c r="J1563" s="2">
        <v>45884</v>
      </c>
      <c r="K1563" s="2">
        <v>45870</v>
      </c>
      <c r="L1563" s="1" t="str">
        <f t="shared" si="147"/>
        <v>sex</v>
      </c>
      <c r="M1563" s="1" t="str">
        <f t="shared" si="148"/>
        <v>ago</v>
      </c>
      <c r="N1563">
        <f t="shared" si="149"/>
        <v>2025</v>
      </c>
      <c r="O1563" s="2"/>
      <c r="P1563" t="str">
        <f t="shared" si="146"/>
        <v>128945884</v>
      </c>
    </row>
    <row r="1564" spans="1:16" x14ac:dyDescent="0.3">
      <c r="A1564">
        <v>1289</v>
      </c>
      <c r="B1564">
        <v>27</v>
      </c>
      <c r="C1564" t="s">
        <v>15</v>
      </c>
      <c r="D1564" t="s">
        <v>29</v>
      </c>
      <c r="E1564" t="s">
        <v>17</v>
      </c>
      <c r="F1564" t="s">
        <v>21</v>
      </c>
      <c r="G1564" t="s">
        <v>41</v>
      </c>
      <c r="H1564" t="s">
        <v>25</v>
      </c>
      <c r="I1564" s="1">
        <v>1</v>
      </c>
      <c r="J1564" s="2">
        <v>45915</v>
      </c>
      <c r="K1564" s="2">
        <v>45901</v>
      </c>
      <c r="L1564" s="1" t="str">
        <f t="shared" si="147"/>
        <v>seg</v>
      </c>
      <c r="M1564" s="1" t="str">
        <f t="shared" si="148"/>
        <v>set</v>
      </c>
      <c r="N1564">
        <f t="shared" si="149"/>
        <v>2025</v>
      </c>
      <c r="O1564" s="2"/>
      <c r="P1564" t="str">
        <f t="shared" si="146"/>
        <v>128945915</v>
      </c>
    </row>
    <row r="1565" spans="1:16" x14ac:dyDescent="0.3">
      <c r="A1565">
        <v>1289</v>
      </c>
      <c r="B1565">
        <v>27</v>
      </c>
      <c r="C1565" t="s">
        <v>15</v>
      </c>
      <c r="D1565" t="s">
        <v>29</v>
      </c>
      <c r="E1565" t="s">
        <v>17</v>
      </c>
      <c r="F1565" t="s">
        <v>21</v>
      </c>
      <c r="G1565" t="s">
        <v>41</v>
      </c>
      <c r="H1565" t="s">
        <v>25</v>
      </c>
      <c r="I1565" s="1">
        <v>1</v>
      </c>
      <c r="J1565" s="2">
        <v>45995</v>
      </c>
      <c r="K1565" s="2">
        <v>45992</v>
      </c>
      <c r="L1565" s="1" t="str">
        <f t="shared" si="147"/>
        <v>qui</v>
      </c>
      <c r="M1565" s="1" t="str">
        <f t="shared" si="148"/>
        <v>dez</v>
      </c>
      <c r="N1565">
        <f t="shared" si="149"/>
        <v>2025</v>
      </c>
      <c r="O1565" s="2"/>
      <c r="P1565" t="str">
        <f t="shared" si="146"/>
        <v>128945995</v>
      </c>
    </row>
    <row r="1566" spans="1:16" x14ac:dyDescent="0.3">
      <c r="A1566">
        <v>1289</v>
      </c>
      <c r="B1566">
        <v>27</v>
      </c>
      <c r="C1566" t="s">
        <v>15</v>
      </c>
      <c r="D1566" t="s">
        <v>29</v>
      </c>
      <c r="E1566" t="s">
        <v>17</v>
      </c>
      <c r="F1566" t="s">
        <v>21</v>
      </c>
      <c r="G1566" t="s">
        <v>41</v>
      </c>
      <c r="H1566" t="s">
        <v>25</v>
      </c>
      <c r="I1566" s="1">
        <v>1</v>
      </c>
      <c r="J1566" s="2">
        <v>46011</v>
      </c>
      <c r="K1566" s="2">
        <v>45992</v>
      </c>
      <c r="L1566" s="1" t="str">
        <f t="shared" si="147"/>
        <v>sáb</v>
      </c>
      <c r="M1566" s="1" t="str">
        <f t="shared" si="148"/>
        <v>dez</v>
      </c>
      <c r="N1566">
        <f t="shared" si="149"/>
        <v>2025</v>
      </c>
      <c r="O1566" s="2"/>
      <c r="P1566" t="str">
        <f t="shared" si="146"/>
        <v>128946011</v>
      </c>
    </row>
    <row r="1567" spans="1:16" x14ac:dyDescent="0.3">
      <c r="A1567">
        <v>1290</v>
      </c>
      <c r="B1567">
        <v>34</v>
      </c>
      <c r="C1567" t="s">
        <v>26</v>
      </c>
      <c r="D1567" t="s">
        <v>27</v>
      </c>
      <c r="E1567" t="s">
        <v>17</v>
      </c>
      <c r="F1567" t="s">
        <v>21</v>
      </c>
      <c r="G1567" t="s">
        <v>41</v>
      </c>
      <c r="H1567" t="s">
        <v>20</v>
      </c>
      <c r="I1567" s="1">
        <v>1</v>
      </c>
      <c r="J1567" s="2">
        <v>45815</v>
      </c>
      <c r="K1567" s="2">
        <v>45809</v>
      </c>
      <c r="L1567" s="1" t="str">
        <f t="shared" si="147"/>
        <v>sáb</v>
      </c>
      <c r="M1567" s="1" t="str">
        <f t="shared" si="148"/>
        <v>jun</v>
      </c>
      <c r="N1567">
        <f t="shared" si="149"/>
        <v>2025</v>
      </c>
      <c r="O1567" s="2">
        <f>_xlfn.XLOOKUP(A1567,Colaboradores!$A:$A,Colaboradores!$S:$S,"",0)</f>
        <v>46147</v>
      </c>
      <c r="P1567" t="str">
        <f t="shared" si="146"/>
        <v>129045815</v>
      </c>
    </row>
    <row r="1568" spans="1:16" x14ac:dyDescent="0.3">
      <c r="A1568">
        <v>1290</v>
      </c>
      <c r="B1568">
        <v>34</v>
      </c>
      <c r="C1568" t="s">
        <v>26</v>
      </c>
      <c r="D1568" t="s">
        <v>27</v>
      </c>
      <c r="E1568" t="s">
        <v>17</v>
      </c>
      <c r="F1568" t="s">
        <v>21</v>
      </c>
      <c r="G1568" t="s">
        <v>41</v>
      </c>
      <c r="H1568" t="s">
        <v>20</v>
      </c>
      <c r="I1568" s="1">
        <v>1</v>
      </c>
      <c r="J1568" s="2">
        <v>45827</v>
      </c>
      <c r="K1568" s="2">
        <v>45809</v>
      </c>
      <c r="L1568" s="1" t="str">
        <f t="shared" si="147"/>
        <v>qui</v>
      </c>
      <c r="M1568" s="1" t="str">
        <f t="shared" si="148"/>
        <v>jun</v>
      </c>
      <c r="N1568">
        <f t="shared" si="149"/>
        <v>2025</v>
      </c>
      <c r="O1568" s="2">
        <f>_xlfn.XLOOKUP(A1568,Colaboradores!$A:$A,Colaboradores!$S:$S,"",0)</f>
        <v>46147</v>
      </c>
      <c r="P1568" t="str">
        <f t="shared" si="146"/>
        <v>129045827</v>
      </c>
    </row>
    <row r="1569" spans="1:16" x14ac:dyDescent="0.3">
      <c r="A1569">
        <v>1290</v>
      </c>
      <c r="B1569">
        <v>34</v>
      </c>
      <c r="C1569" t="s">
        <v>26</v>
      </c>
      <c r="D1569" t="s">
        <v>27</v>
      </c>
      <c r="E1569" t="s">
        <v>17</v>
      </c>
      <c r="F1569" t="s">
        <v>21</v>
      </c>
      <c r="G1569" t="s">
        <v>41</v>
      </c>
      <c r="H1569" t="s">
        <v>20</v>
      </c>
      <c r="I1569" s="1">
        <v>1</v>
      </c>
      <c r="J1569" s="2">
        <v>45942</v>
      </c>
      <c r="K1569" s="2">
        <v>45931</v>
      </c>
      <c r="L1569" s="1" t="str">
        <f t="shared" si="147"/>
        <v>dom</v>
      </c>
      <c r="M1569" s="1" t="str">
        <f t="shared" si="148"/>
        <v>out</v>
      </c>
      <c r="N1569">
        <f t="shared" si="149"/>
        <v>2025</v>
      </c>
      <c r="O1569" s="2">
        <f>_xlfn.XLOOKUP(A1569,Colaboradores!$A:$A,Colaboradores!$S:$S,"",0)</f>
        <v>46147</v>
      </c>
      <c r="P1569" t="str">
        <f t="shared" si="146"/>
        <v>129045942</v>
      </c>
    </row>
    <row r="1570" spans="1:16" x14ac:dyDescent="0.3">
      <c r="A1570">
        <v>1290</v>
      </c>
      <c r="B1570">
        <v>34</v>
      </c>
      <c r="C1570" t="s">
        <v>26</v>
      </c>
      <c r="D1570" t="s">
        <v>27</v>
      </c>
      <c r="E1570" t="s">
        <v>17</v>
      </c>
      <c r="F1570" t="s">
        <v>21</v>
      </c>
      <c r="G1570" t="s">
        <v>41</v>
      </c>
      <c r="H1570" t="s">
        <v>20</v>
      </c>
      <c r="I1570" s="1">
        <v>1</v>
      </c>
      <c r="J1570" s="2">
        <v>46060</v>
      </c>
      <c r="K1570" s="2">
        <v>46054</v>
      </c>
      <c r="L1570" s="1" t="str">
        <f t="shared" si="147"/>
        <v>sáb</v>
      </c>
      <c r="M1570" s="1" t="str">
        <f t="shared" si="148"/>
        <v>fev</v>
      </c>
      <c r="N1570">
        <f t="shared" si="149"/>
        <v>2026</v>
      </c>
      <c r="O1570" s="2">
        <f>_xlfn.XLOOKUP(A1570,Colaboradores!$A:$A,Colaboradores!$S:$S,"",0)</f>
        <v>46147</v>
      </c>
      <c r="P1570" t="str">
        <f t="shared" si="146"/>
        <v>129046060</v>
      </c>
    </row>
    <row r="1571" spans="1:16" x14ac:dyDescent="0.3">
      <c r="A1571">
        <v>1290</v>
      </c>
      <c r="B1571">
        <v>34</v>
      </c>
      <c r="C1571" t="s">
        <v>26</v>
      </c>
      <c r="D1571" t="s">
        <v>27</v>
      </c>
      <c r="E1571" t="s">
        <v>17</v>
      </c>
      <c r="F1571" t="s">
        <v>21</v>
      </c>
      <c r="G1571" t="s">
        <v>41</v>
      </c>
      <c r="H1571" t="s">
        <v>20</v>
      </c>
      <c r="I1571" s="1">
        <v>1</v>
      </c>
      <c r="J1571" s="2">
        <v>46066</v>
      </c>
      <c r="K1571" s="2">
        <v>46054</v>
      </c>
      <c r="L1571" s="1" t="str">
        <f t="shared" si="147"/>
        <v>sex</v>
      </c>
      <c r="M1571" s="1" t="str">
        <f t="shared" si="148"/>
        <v>fev</v>
      </c>
      <c r="N1571">
        <f t="shared" si="149"/>
        <v>2026</v>
      </c>
      <c r="O1571" s="2">
        <f>_xlfn.XLOOKUP(A1571,Colaboradores!$A:$A,Colaboradores!$S:$S,"",0)</f>
        <v>46147</v>
      </c>
      <c r="P1571" t="str">
        <f t="shared" si="146"/>
        <v>129046066</v>
      </c>
    </row>
    <row r="1572" spans="1:16" x14ac:dyDescent="0.3">
      <c r="A1572">
        <v>1290</v>
      </c>
      <c r="B1572">
        <v>34</v>
      </c>
      <c r="C1572" t="s">
        <v>26</v>
      </c>
      <c r="D1572" t="s">
        <v>27</v>
      </c>
      <c r="E1572" t="s">
        <v>17</v>
      </c>
      <c r="F1572" t="s">
        <v>21</v>
      </c>
      <c r="G1572" t="s">
        <v>41</v>
      </c>
      <c r="H1572" t="s">
        <v>20</v>
      </c>
      <c r="I1572" s="1">
        <v>1</v>
      </c>
      <c r="J1572" s="2">
        <v>46079</v>
      </c>
      <c r="K1572" s="2">
        <v>46054</v>
      </c>
      <c r="L1572" s="1" t="str">
        <f t="shared" si="147"/>
        <v>qui</v>
      </c>
      <c r="M1572" s="1" t="str">
        <f t="shared" si="148"/>
        <v>fev</v>
      </c>
      <c r="N1572">
        <f t="shared" si="149"/>
        <v>2026</v>
      </c>
      <c r="O1572" s="2">
        <f>_xlfn.XLOOKUP(A1572,Colaboradores!$A:$A,Colaboradores!$S:$S,"",0)</f>
        <v>46147</v>
      </c>
      <c r="P1572" t="str">
        <f t="shared" si="146"/>
        <v>129046079</v>
      </c>
    </row>
    <row r="1573" spans="1:16" x14ac:dyDescent="0.3">
      <c r="A1573">
        <v>1293</v>
      </c>
      <c r="B1573">
        <v>44</v>
      </c>
      <c r="C1573" t="s">
        <v>26</v>
      </c>
      <c r="D1573" t="s">
        <v>22</v>
      </c>
      <c r="E1573" t="s">
        <v>17</v>
      </c>
      <c r="F1573" t="s">
        <v>18</v>
      </c>
      <c r="G1573" t="s">
        <v>41</v>
      </c>
      <c r="H1573" t="s">
        <v>20</v>
      </c>
      <c r="I1573" s="1">
        <v>3</v>
      </c>
      <c r="J1573" s="2">
        <v>45786</v>
      </c>
      <c r="K1573" s="2">
        <v>45778</v>
      </c>
      <c r="L1573" s="1" t="str">
        <f t="shared" si="147"/>
        <v>sex</v>
      </c>
      <c r="M1573" s="1" t="str">
        <f t="shared" si="148"/>
        <v>mai</v>
      </c>
      <c r="N1573">
        <f t="shared" si="149"/>
        <v>2025</v>
      </c>
      <c r="O1573" s="2">
        <f>_xlfn.XLOOKUP(A1573,Colaboradores!$A:$A,Colaboradores!$S:$S,"",0)</f>
        <v>45797</v>
      </c>
      <c r="P1573" t="str">
        <f t="shared" si="146"/>
        <v>129345786</v>
      </c>
    </row>
    <row r="1574" spans="1:16" x14ac:dyDescent="0.3">
      <c r="A1574">
        <v>1293</v>
      </c>
      <c r="B1574">
        <v>44</v>
      </c>
      <c r="C1574" t="s">
        <v>26</v>
      </c>
      <c r="D1574" t="s">
        <v>22</v>
      </c>
      <c r="E1574" t="s">
        <v>17</v>
      </c>
      <c r="F1574" t="s">
        <v>18</v>
      </c>
      <c r="G1574" t="s">
        <v>41</v>
      </c>
      <c r="H1574" t="s">
        <v>20</v>
      </c>
      <c r="I1574" s="1">
        <v>3</v>
      </c>
      <c r="J1574" s="2">
        <v>45787</v>
      </c>
      <c r="K1574" s="2">
        <v>45778</v>
      </c>
      <c r="L1574" s="1" t="str">
        <f t="shared" si="147"/>
        <v>sáb</v>
      </c>
      <c r="M1574" s="1" t="str">
        <f t="shared" si="148"/>
        <v>mai</v>
      </c>
      <c r="N1574">
        <f t="shared" si="149"/>
        <v>2025</v>
      </c>
      <c r="O1574" s="2">
        <f>_xlfn.XLOOKUP(A1574,Colaboradores!$A:$A,Colaboradores!$S:$S,"",0)</f>
        <v>45797</v>
      </c>
      <c r="P1574" t="str">
        <f t="shared" si="146"/>
        <v>129345787</v>
      </c>
    </row>
    <row r="1575" spans="1:16" x14ac:dyDescent="0.3">
      <c r="A1575">
        <v>1293</v>
      </c>
      <c r="B1575">
        <v>44</v>
      </c>
      <c r="C1575" t="s">
        <v>26</v>
      </c>
      <c r="D1575" t="s">
        <v>22</v>
      </c>
      <c r="E1575" t="s">
        <v>17</v>
      </c>
      <c r="F1575" t="s">
        <v>18</v>
      </c>
      <c r="G1575" t="s">
        <v>41</v>
      </c>
      <c r="H1575" t="s">
        <v>20</v>
      </c>
      <c r="I1575" s="1">
        <v>3</v>
      </c>
      <c r="J1575" s="2">
        <v>45790</v>
      </c>
      <c r="K1575" s="2">
        <v>45778</v>
      </c>
      <c r="L1575" s="1" t="str">
        <f t="shared" si="147"/>
        <v>ter</v>
      </c>
      <c r="M1575" s="1" t="str">
        <f t="shared" si="148"/>
        <v>mai</v>
      </c>
      <c r="N1575">
        <f t="shared" si="149"/>
        <v>2025</v>
      </c>
      <c r="O1575" s="2">
        <f>_xlfn.XLOOKUP(A1575,Colaboradores!$A:$A,Colaboradores!$S:$S,"",0)</f>
        <v>45797</v>
      </c>
      <c r="P1575" t="str">
        <f t="shared" si="146"/>
        <v>129345790</v>
      </c>
    </row>
    <row r="1576" spans="1:16" x14ac:dyDescent="0.3">
      <c r="A1576">
        <v>1293</v>
      </c>
      <c r="B1576">
        <v>44</v>
      </c>
      <c r="C1576" t="s">
        <v>26</v>
      </c>
      <c r="D1576" t="s">
        <v>22</v>
      </c>
      <c r="E1576" t="s">
        <v>17</v>
      </c>
      <c r="F1576" t="s">
        <v>18</v>
      </c>
      <c r="G1576" t="s">
        <v>41</v>
      </c>
      <c r="H1576" t="s">
        <v>20</v>
      </c>
      <c r="I1576" s="1">
        <v>3</v>
      </c>
      <c r="J1576" s="2">
        <v>45791</v>
      </c>
      <c r="K1576" s="2">
        <v>45778</v>
      </c>
      <c r="L1576" s="1" t="str">
        <f t="shared" si="147"/>
        <v>qua</v>
      </c>
      <c r="M1576" s="1" t="str">
        <f t="shared" si="148"/>
        <v>mai</v>
      </c>
      <c r="N1576">
        <f t="shared" si="149"/>
        <v>2025</v>
      </c>
      <c r="O1576" s="2">
        <f>_xlfn.XLOOKUP(A1576,Colaboradores!$A:$A,Colaboradores!$S:$S,"",0)</f>
        <v>45797</v>
      </c>
      <c r="P1576" t="str">
        <f t="shared" si="146"/>
        <v>129345791</v>
      </c>
    </row>
    <row r="1577" spans="1:16" x14ac:dyDescent="0.3">
      <c r="A1577">
        <v>1293</v>
      </c>
      <c r="B1577">
        <v>44</v>
      </c>
      <c r="C1577" t="s">
        <v>26</v>
      </c>
      <c r="D1577" t="s">
        <v>22</v>
      </c>
      <c r="E1577" t="s">
        <v>17</v>
      </c>
      <c r="F1577" t="s">
        <v>18</v>
      </c>
      <c r="G1577" t="s">
        <v>44</v>
      </c>
      <c r="H1577" t="s">
        <v>20</v>
      </c>
      <c r="I1577" s="1">
        <v>3</v>
      </c>
      <c r="J1577" s="2">
        <v>45792</v>
      </c>
      <c r="K1577" s="2">
        <v>45778</v>
      </c>
      <c r="L1577" s="1" t="str">
        <f t="shared" si="147"/>
        <v>qui</v>
      </c>
      <c r="M1577" s="1" t="str">
        <f t="shared" si="148"/>
        <v>mai</v>
      </c>
      <c r="N1577">
        <f t="shared" si="149"/>
        <v>2025</v>
      </c>
      <c r="O1577" s="2">
        <f>_xlfn.XLOOKUP(A1577,Colaboradores!$A:$A,Colaboradores!$S:$S,"",0)</f>
        <v>45797</v>
      </c>
      <c r="P1577" t="str">
        <f t="shared" si="146"/>
        <v>129345792</v>
      </c>
    </row>
    <row r="1578" spans="1:16" x14ac:dyDescent="0.3">
      <c r="A1578">
        <v>1293</v>
      </c>
      <c r="B1578">
        <v>44</v>
      </c>
      <c r="C1578" t="s">
        <v>26</v>
      </c>
      <c r="D1578" t="s">
        <v>22</v>
      </c>
      <c r="E1578" t="s">
        <v>17</v>
      </c>
      <c r="F1578" t="s">
        <v>18</v>
      </c>
      <c r="G1578" t="s">
        <v>44</v>
      </c>
      <c r="H1578" t="s">
        <v>20</v>
      </c>
      <c r="I1578" s="1">
        <v>3</v>
      </c>
      <c r="J1578" s="2">
        <v>45795</v>
      </c>
      <c r="K1578" s="2">
        <v>45778</v>
      </c>
      <c r="L1578" s="1" t="str">
        <f t="shared" si="147"/>
        <v>dom</v>
      </c>
      <c r="M1578" s="1" t="str">
        <f t="shared" si="148"/>
        <v>mai</v>
      </c>
      <c r="N1578">
        <f t="shared" si="149"/>
        <v>2025</v>
      </c>
      <c r="O1578" s="2">
        <f>_xlfn.XLOOKUP(A1578,Colaboradores!$A:$A,Colaboradores!$S:$S,"",0)</f>
        <v>45797</v>
      </c>
      <c r="P1578" t="str">
        <f t="shared" si="146"/>
        <v>129345795</v>
      </c>
    </row>
    <row r="1579" spans="1:16" x14ac:dyDescent="0.3">
      <c r="A1579">
        <v>1294</v>
      </c>
      <c r="B1579">
        <v>51</v>
      </c>
      <c r="C1579" t="s">
        <v>15</v>
      </c>
      <c r="D1579" t="s">
        <v>16</v>
      </c>
      <c r="E1579" t="s">
        <v>17</v>
      </c>
      <c r="F1579" t="s">
        <v>23</v>
      </c>
      <c r="G1579" t="s">
        <v>41</v>
      </c>
      <c r="H1579" t="s">
        <v>20</v>
      </c>
      <c r="I1579" s="1">
        <v>3</v>
      </c>
      <c r="J1579" s="2">
        <v>45733</v>
      </c>
      <c r="K1579" s="2">
        <v>45717</v>
      </c>
      <c r="L1579" s="1" t="str">
        <f t="shared" ref="L1579:L1590" si="150">TEXT(J1579,"ddd")</f>
        <v>seg</v>
      </c>
      <c r="M1579" s="1" t="str">
        <f t="shared" ref="M1579:M1590" si="151">TEXT($J1579,"mmm")</f>
        <v>mar</v>
      </c>
      <c r="N1579">
        <f t="shared" ref="N1579:N1590" si="152">YEAR(J1579)</f>
        <v>2025</v>
      </c>
      <c r="O1579" s="2">
        <f>_xlfn.XLOOKUP(A1579,Colaboradores!$A:$A,Colaboradores!$S:$S,"",0)</f>
        <v>45794</v>
      </c>
      <c r="P1579" t="str">
        <f t="shared" si="146"/>
        <v>129445733</v>
      </c>
    </row>
    <row r="1580" spans="1:16" x14ac:dyDescent="0.3">
      <c r="A1580">
        <v>1294</v>
      </c>
      <c r="B1580">
        <v>51</v>
      </c>
      <c r="C1580" t="s">
        <v>15</v>
      </c>
      <c r="D1580" t="s">
        <v>16</v>
      </c>
      <c r="E1580" t="s">
        <v>17</v>
      </c>
      <c r="F1580" t="s">
        <v>23</v>
      </c>
      <c r="G1580" t="s">
        <v>41</v>
      </c>
      <c r="H1580" t="s">
        <v>20</v>
      </c>
      <c r="I1580" s="1">
        <v>3</v>
      </c>
      <c r="J1580" s="2">
        <v>45734</v>
      </c>
      <c r="K1580" s="2">
        <v>45717</v>
      </c>
      <c r="L1580" s="1" t="str">
        <f t="shared" si="150"/>
        <v>ter</v>
      </c>
      <c r="M1580" s="1" t="str">
        <f t="shared" si="151"/>
        <v>mar</v>
      </c>
      <c r="N1580">
        <f t="shared" si="152"/>
        <v>2025</v>
      </c>
      <c r="O1580" s="2">
        <f>_xlfn.XLOOKUP(A1580,Colaboradores!$A:$A,Colaboradores!$S:$S,"",0)</f>
        <v>45794</v>
      </c>
      <c r="P1580" t="str">
        <f t="shared" si="146"/>
        <v>129445734</v>
      </c>
    </row>
    <row r="1581" spans="1:16" x14ac:dyDescent="0.3">
      <c r="A1581">
        <v>1294</v>
      </c>
      <c r="B1581">
        <v>51</v>
      </c>
      <c r="C1581" t="s">
        <v>15</v>
      </c>
      <c r="D1581" t="s">
        <v>16</v>
      </c>
      <c r="E1581" t="s">
        <v>17</v>
      </c>
      <c r="F1581" t="s">
        <v>23</v>
      </c>
      <c r="G1581" t="s">
        <v>41</v>
      </c>
      <c r="H1581" t="s">
        <v>20</v>
      </c>
      <c r="I1581" s="1">
        <v>3</v>
      </c>
      <c r="J1581" s="2">
        <v>45774</v>
      </c>
      <c r="K1581" s="2">
        <v>45748</v>
      </c>
      <c r="L1581" s="1" t="str">
        <f t="shared" si="150"/>
        <v>dom</v>
      </c>
      <c r="M1581" s="1" t="str">
        <f t="shared" si="151"/>
        <v>abr</v>
      </c>
      <c r="N1581">
        <f t="shared" si="152"/>
        <v>2025</v>
      </c>
      <c r="O1581" s="2">
        <f>_xlfn.XLOOKUP(A1581,Colaboradores!$A:$A,Colaboradores!$S:$S,"",0)</f>
        <v>45794</v>
      </c>
      <c r="P1581" t="str">
        <f t="shared" si="146"/>
        <v>129445774</v>
      </c>
    </row>
    <row r="1582" spans="1:16" x14ac:dyDescent="0.3">
      <c r="A1582">
        <v>1294</v>
      </c>
      <c r="B1582">
        <v>51</v>
      </c>
      <c r="C1582" t="s">
        <v>15</v>
      </c>
      <c r="D1582" t="s">
        <v>16</v>
      </c>
      <c r="E1582" t="s">
        <v>17</v>
      </c>
      <c r="F1582" t="s">
        <v>23</v>
      </c>
      <c r="G1582" t="s">
        <v>41</v>
      </c>
      <c r="H1582" t="s">
        <v>20</v>
      </c>
      <c r="I1582" s="1">
        <v>3</v>
      </c>
      <c r="J1582" s="2">
        <v>45783</v>
      </c>
      <c r="K1582" s="2">
        <v>45778</v>
      </c>
      <c r="L1582" s="1" t="str">
        <f t="shared" si="150"/>
        <v>ter</v>
      </c>
      <c r="M1582" s="1" t="str">
        <f t="shared" si="151"/>
        <v>mai</v>
      </c>
      <c r="N1582">
        <f t="shared" si="152"/>
        <v>2025</v>
      </c>
      <c r="O1582" s="2">
        <f>_xlfn.XLOOKUP(A1582,Colaboradores!$A:$A,Colaboradores!$S:$S,"",0)</f>
        <v>45794</v>
      </c>
      <c r="P1582" t="str">
        <f t="shared" si="146"/>
        <v>129445783</v>
      </c>
    </row>
    <row r="1583" spans="1:16" x14ac:dyDescent="0.3">
      <c r="A1583">
        <v>1294</v>
      </c>
      <c r="B1583">
        <v>51</v>
      </c>
      <c r="C1583" t="s">
        <v>15</v>
      </c>
      <c r="D1583" t="s">
        <v>16</v>
      </c>
      <c r="E1583" t="s">
        <v>17</v>
      </c>
      <c r="F1583" t="s">
        <v>23</v>
      </c>
      <c r="G1583" t="s">
        <v>41</v>
      </c>
      <c r="H1583" t="s">
        <v>20</v>
      </c>
      <c r="I1583" s="1">
        <v>3</v>
      </c>
      <c r="J1583" s="2">
        <v>45784</v>
      </c>
      <c r="K1583" s="2">
        <v>45778</v>
      </c>
      <c r="L1583" s="1" t="str">
        <f t="shared" si="150"/>
        <v>qua</v>
      </c>
      <c r="M1583" s="1" t="str">
        <f t="shared" si="151"/>
        <v>mai</v>
      </c>
      <c r="N1583">
        <f t="shared" si="152"/>
        <v>2025</v>
      </c>
      <c r="O1583" s="2">
        <f>_xlfn.XLOOKUP(A1583,Colaboradores!$A:$A,Colaboradores!$S:$S,"",0)</f>
        <v>45794</v>
      </c>
      <c r="P1583" t="str">
        <f t="shared" si="146"/>
        <v>129445784</v>
      </c>
    </row>
    <row r="1584" spans="1:16" x14ac:dyDescent="0.3">
      <c r="A1584">
        <v>1294</v>
      </c>
      <c r="B1584">
        <v>51</v>
      </c>
      <c r="C1584" t="s">
        <v>15</v>
      </c>
      <c r="D1584" t="s">
        <v>16</v>
      </c>
      <c r="E1584" t="s">
        <v>17</v>
      </c>
      <c r="F1584" t="s">
        <v>23</v>
      </c>
      <c r="G1584" t="s">
        <v>41</v>
      </c>
      <c r="H1584" t="s">
        <v>20</v>
      </c>
      <c r="I1584" s="1">
        <v>3</v>
      </c>
      <c r="J1584" s="2">
        <v>45786</v>
      </c>
      <c r="K1584" s="2">
        <v>45778</v>
      </c>
      <c r="L1584" s="1" t="str">
        <f t="shared" si="150"/>
        <v>sex</v>
      </c>
      <c r="M1584" s="1" t="str">
        <f t="shared" si="151"/>
        <v>mai</v>
      </c>
      <c r="N1584">
        <f t="shared" si="152"/>
        <v>2025</v>
      </c>
      <c r="O1584" s="2">
        <f>_xlfn.XLOOKUP(A1584,Colaboradores!$A:$A,Colaboradores!$S:$S,"",0)</f>
        <v>45794</v>
      </c>
      <c r="P1584" t="str">
        <f t="shared" si="146"/>
        <v>129445786</v>
      </c>
    </row>
    <row r="1585" spans="1:16" x14ac:dyDescent="0.3">
      <c r="A1585">
        <v>1295</v>
      </c>
      <c r="B1585">
        <v>47</v>
      </c>
      <c r="C1585" t="s">
        <v>26</v>
      </c>
      <c r="D1585" t="s">
        <v>27</v>
      </c>
      <c r="E1585" t="s">
        <v>17</v>
      </c>
      <c r="F1585" t="s">
        <v>23</v>
      </c>
      <c r="G1585" t="s">
        <v>40</v>
      </c>
      <c r="H1585" t="s">
        <v>25</v>
      </c>
      <c r="I1585" s="1">
        <v>2</v>
      </c>
      <c r="J1585" s="2">
        <v>45808</v>
      </c>
      <c r="K1585" s="2">
        <v>45778</v>
      </c>
      <c r="L1585" s="1" t="str">
        <f t="shared" si="150"/>
        <v>sáb</v>
      </c>
      <c r="M1585" s="1" t="str">
        <f t="shared" si="151"/>
        <v>mai</v>
      </c>
      <c r="N1585">
        <f t="shared" si="152"/>
        <v>2025</v>
      </c>
      <c r="O1585" s="2"/>
      <c r="P1585" t="str">
        <f t="shared" si="146"/>
        <v>129545808</v>
      </c>
    </row>
    <row r="1586" spans="1:16" x14ac:dyDescent="0.3">
      <c r="A1586">
        <v>1295</v>
      </c>
      <c r="B1586">
        <v>47</v>
      </c>
      <c r="C1586" t="s">
        <v>26</v>
      </c>
      <c r="D1586" t="s">
        <v>27</v>
      </c>
      <c r="E1586" t="s">
        <v>17</v>
      </c>
      <c r="F1586" t="s">
        <v>23</v>
      </c>
      <c r="G1586" t="s">
        <v>40</v>
      </c>
      <c r="H1586" t="s">
        <v>25</v>
      </c>
      <c r="I1586" s="1">
        <v>2</v>
      </c>
      <c r="J1586" s="2">
        <v>45857</v>
      </c>
      <c r="K1586" s="2">
        <v>45839</v>
      </c>
      <c r="L1586" s="1" t="str">
        <f t="shared" si="150"/>
        <v>sáb</v>
      </c>
      <c r="M1586" s="1" t="str">
        <f t="shared" si="151"/>
        <v>jul</v>
      </c>
      <c r="N1586">
        <f t="shared" si="152"/>
        <v>2025</v>
      </c>
      <c r="O1586" s="2"/>
      <c r="P1586" t="str">
        <f t="shared" si="146"/>
        <v>129545857</v>
      </c>
    </row>
    <row r="1587" spans="1:16" x14ac:dyDescent="0.3">
      <c r="A1587">
        <v>1295</v>
      </c>
      <c r="B1587">
        <v>47</v>
      </c>
      <c r="C1587" t="s">
        <v>26</v>
      </c>
      <c r="D1587" t="s">
        <v>27</v>
      </c>
      <c r="E1587" t="s">
        <v>17</v>
      </c>
      <c r="F1587" t="s">
        <v>23</v>
      </c>
      <c r="G1587" t="s">
        <v>40</v>
      </c>
      <c r="H1587" t="s">
        <v>25</v>
      </c>
      <c r="I1587" s="1">
        <v>2</v>
      </c>
      <c r="J1587" s="2">
        <v>45872</v>
      </c>
      <c r="K1587" s="2">
        <v>45870</v>
      </c>
      <c r="L1587" s="1" t="str">
        <f t="shared" si="150"/>
        <v>dom</v>
      </c>
      <c r="M1587" s="1" t="str">
        <f t="shared" si="151"/>
        <v>ago</v>
      </c>
      <c r="N1587">
        <f t="shared" si="152"/>
        <v>2025</v>
      </c>
      <c r="O1587" s="2"/>
      <c r="P1587" t="str">
        <f t="shared" si="146"/>
        <v>129545872</v>
      </c>
    </row>
    <row r="1588" spans="1:16" x14ac:dyDescent="0.3">
      <c r="A1588">
        <v>1295</v>
      </c>
      <c r="B1588">
        <v>47</v>
      </c>
      <c r="C1588" t="s">
        <v>26</v>
      </c>
      <c r="D1588" t="s">
        <v>27</v>
      </c>
      <c r="E1588" t="s">
        <v>17</v>
      </c>
      <c r="F1588" t="s">
        <v>23</v>
      </c>
      <c r="G1588" t="s">
        <v>40</v>
      </c>
      <c r="H1588" t="s">
        <v>25</v>
      </c>
      <c r="I1588" s="1">
        <v>2</v>
      </c>
      <c r="J1588" s="2">
        <v>45980</v>
      </c>
      <c r="K1588" s="2">
        <v>45962</v>
      </c>
      <c r="L1588" s="1" t="str">
        <f t="shared" si="150"/>
        <v>qua</v>
      </c>
      <c r="M1588" s="1" t="str">
        <f t="shared" si="151"/>
        <v>nov</v>
      </c>
      <c r="N1588">
        <f t="shared" si="152"/>
        <v>2025</v>
      </c>
      <c r="O1588" s="2"/>
      <c r="P1588" t="str">
        <f t="shared" si="146"/>
        <v>129545980</v>
      </c>
    </row>
    <row r="1589" spans="1:16" x14ac:dyDescent="0.3">
      <c r="A1589">
        <v>1295</v>
      </c>
      <c r="B1589">
        <v>47</v>
      </c>
      <c r="C1589" t="s">
        <v>26</v>
      </c>
      <c r="D1589" t="s">
        <v>27</v>
      </c>
      <c r="E1589" t="s">
        <v>17</v>
      </c>
      <c r="F1589" t="s">
        <v>23</v>
      </c>
      <c r="G1589" t="s">
        <v>40</v>
      </c>
      <c r="H1589" t="s">
        <v>25</v>
      </c>
      <c r="I1589" s="1">
        <v>2</v>
      </c>
      <c r="J1589" s="2">
        <v>45987</v>
      </c>
      <c r="K1589" s="2">
        <v>45962</v>
      </c>
      <c r="L1589" s="1" t="str">
        <f t="shared" si="150"/>
        <v>qua</v>
      </c>
      <c r="M1589" s="1" t="str">
        <f t="shared" si="151"/>
        <v>nov</v>
      </c>
      <c r="N1589">
        <f t="shared" si="152"/>
        <v>2025</v>
      </c>
      <c r="O1589" s="2"/>
      <c r="P1589" t="str">
        <f t="shared" si="146"/>
        <v>129545987</v>
      </c>
    </row>
    <row r="1590" spans="1:16" x14ac:dyDescent="0.3">
      <c r="A1590">
        <v>1295</v>
      </c>
      <c r="B1590">
        <v>47</v>
      </c>
      <c r="C1590" t="s">
        <v>26</v>
      </c>
      <c r="D1590" t="s">
        <v>27</v>
      </c>
      <c r="E1590" t="s">
        <v>17</v>
      </c>
      <c r="F1590" t="s">
        <v>23</v>
      </c>
      <c r="G1590" t="s">
        <v>40</v>
      </c>
      <c r="H1590" t="s">
        <v>25</v>
      </c>
      <c r="I1590" s="1">
        <v>2</v>
      </c>
      <c r="J1590" s="2">
        <v>46020</v>
      </c>
      <c r="K1590" s="2">
        <v>45992</v>
      </c>
      <c r="L1590" s="1" t="str">
        <f t="shared" si="150"/>
        <v>seg</v>
      </c>
      <c r="M1590" s="1" t="str">
        <f t="shared" si="151"/>
        <v>dez</v>
      </c>
      <c r="N1590">
        <f t="shared" si="152"/>
        <v>2025</v>
      </c>
      <c r="O1590" s="2"/>
      <c r="P1590" t="str">
        <f t="shared" si="146"/>
        <v>129546020</v>
      </c>
    </row>
    <row r="1591" spans="1:16" x14ac:dyDescent="0.3">
      <c r="A1591">
        <v>1295</v>
      </c>
      <c r="B1591">
        <v>47</v>
      </c>
      <c r="C1591" t="s">
        <v>26</v>
      </c>
      <c r="D1591" t="s">
        <v>27</v>
      </c>
      <c r="E1591" t="s">
        <v>17</v>
      </c>
      <c r="F1591" t="s">
        <v>23</v>
      </c>
      <c r="G1591" t="s">
        <v>40</v>
      </c>
      <c r="H1591" t="s">
        <v>25</v>
      </c>
      <c r="I1591" s="1">
        <v>2</v>
      </c>
      <c r="J1591" s="2">
        <v>46173</v>
      </c>
      <c r="K1591" s="2">
        <v>46143</v>
      </c>
      <c r="L1591" s="1" t="s">
        <v>54</v>
      </c>
      <c r="M1591" s="1" t="s">
        <v>49</v>
      </c>
      <c r="N1591">
        <v>2025</v>
      </c>
      <c r="O1591" s="2"/>
      <c r="P1591" t="str">
        <f t="shared" si="146"/>
        <v>129546173</v>
      </c>
    </row>
    <row r="1592" spans="1:16" x14ac:dyDescent="0.3">
      <c r="A1592">
        <v>1297</v>
      </c>
      <c r="B1592">
        <v>32</v>
      </c>
      <c r="C1592" t="s">
        <v>15</v>
      </c>
      <c r="D1592" t="s">
        <v>16</v>
      </c>
      <c r="E1592" t="s">
        <v>17</v>
      </c>
      <c r="F1592" t="s">
        <v>18</v>
      </c>
      <c r="G1592" t="s">
        <v>41</v>
      </c>
      <c r="H1592" t="s">
        <v>20</v>
      </c>
      <c r="I1592" s="1">
        <v>2</v>
      </c>
      <c r="J1592" s="2">
        <v>45893</v>
      </c>
      <c r="K1592" s="2">
        <v>45870</v>
      </c>
      <c r="L1592" s="1" t="str">
        <f t="shared" ref="L1592:L1607" si="153">TEXT(J1592,"ddd")</f>
        <v>dom</v>
      </c>
      <c r="M1592" s="1" t="str">
        <f t="shared" ref="M1592:M1607" si="154">TEXT($J1592,"mmm")</f>
        <v>ago</v>
      </c>
      <c r="N1592">
        <f t="shared" ref="N1592:N1607" si="155">YEAR(J1592)</f>
        <v>2025</v>
      </c>
      <c r="O1592" s="2">
        <f>_xlfn.XLOOKUP(A1592,Colaboradores!$A:$A,Colaboradores!$S:$S,"",0)</f>
        <v>46131</v>
      </c>
      <c r="P1592" t="str">
        <f t="shared" si="146"/>
        <v>129745893</v>
      </c>
    </row>
    <row r="1593" spans="1:16" x14ac:dyDescent="0.3">
      <c r="A1593">
        <v>1297</v>
      </c>
      <c r="B1593">
        <v>32</v>
      </c>
      <c r="C1593" t="s">
        <v>15</v>
      </c>
      <c r="D1593" t="s">
        <v>16</v>
      </c>
      <c r="E1593" t="s">
        <v>17</v>
      </c>
      <c r="F1593" t="s">
        <v>18</v>
      </c>
      <c r="G1593" t="s">
        <v>41</v>
      </c>
      <c r="H1593" t="s">
        <v>20</v>
      </c>
      <c r="I1593" s="1">
        <v>2</v>
      </c>
      <c r="J1593" s="2">
        <v>45956</v>
      </c>
      <c r="K1593" s="2">
        <v>45931</v>
      </c>
      <c r="L1593" s="1" t="str">
        <f t="shared" si="153"/>
        <v>dom</v>
      </c>
      <c r="M1593" s="1" t="str">
        <f t="shared" si="154"/>
        <v>out</v>
      </c>
      <c r="N1593">
        <f t="shared" si="155"/>
        <v>2025</v>
      </c>
      <c r="O1593" s="2">
        <f>_xlfn.XLOOKUP(A1593,Colaboradores!$A:$A,Colaboradores!$S:$S,"",0)</f>
        <v>46131</v>
      </c>
      <c r="P1593" t="str">
        <f t="shared" si="146"/>
        <v>129745956</v>
      </c>
    </row>
    <row r="1594" spans="1:16" x14ac:dyDescent="0.3">
      <c r="A1594">
        <v>1297</v>
      </c>
      <c r="B1594">
        <v>32</v>
      </c>
      <c r="C1594" t="s">
        <v>15</v>
      </c>
      <c r="D1594" t="s">
        <v>16</v>
      </c>
      <c r="E1594" t="s">
        <v>17</v>
      </c>
      <c r="F1594" t="s">
        <v>18</v>
      </c>
      <c r="G1594" t="s">
        <v>41</v>
      </c>
      <c r="H1594" t="s">
        <v>20</v>
      </c>
      <c r="I1594" s="1">
        <v>2</v>
      </c>
      <c r="J1594" s="2">
        <v>45957</v>
      </c>
      <c r="K1594" s="2">
        <v>45931</v>
      </c>
      <c r="L1594" s="1" t="str">
        <f t="shared" si="153"/>
        <v>seg</v>
      </c>
      <c r="M1594" s="1" t="str">
        <f t="shared" si="154"/>
        <v>out</v>
      </c>
      <c r="N1594">
        <f t="shared" si="155"/>
        <v>2025</v>
      </c>
      <c r="O1594" s="2">
        <f>_xlfn.XLOOKUP(A1594,Colaboradores!$A:$A,Colaboradores!$S:$S,"",0)</f>
        <v>46131</v>
      </c>
      <c r="P1594" t="str">
        <f t="shared" si="146"/>
        <v>129745957</v>
      </c>
    </row>
    <row r="1595" spans="1:16" x14ac:dyDescent="0.3">
      <c r="A1595">
        <v>1297</v>
      </c>
      <c r="B1595">
        <v>32</v>
      </c>
      <c r="C1595" t="s">
        <v>15</v>
      </c>
      <c r="D1595" t="s">
        <v>16</v>
      </c>
      <c r="E1595" t="s">
        <v>17</v>
      </c>
      <c r="F1595" t="s">
        <v>18</v>
      </c>
      <c r="G1595" t="s">
        <v>41</v>
      </c>
      <c r="H1595" t="s">
        <v>20</v>
      </c>
      <c r="I1595" s="1">
        <v>2</v>
      </c>
      <c r="J1595" s="2">
        <v>46016</v>
      </c>
      <c r="K1595" s="2">
        <v>45992</v>
      </c>
      <c r="L1595" s="1" t="str">
        <f t="shared" si="153"/>
        <v>qui</v>
      </c>
      <c r="M1595" s="1" t="str">
        <f t="shared" si="154"/>
        <v>dez</v>
      </c>
      <c r="N1595">
        <f t="shared" si="155"/>
        <v>2025</v>
      </c>
      <c r="O1595" s="2">
        <f>_xlfn.XLOOKUP(A1595,Colaboradores!$A:$A,Colaboradores!$S:$S,"",0)</f>
        <v>46131</v>
      </c>
      <c r="P1595" t="str">
        <f t="shared" si="146"/>
        <v>129746016</v>
      </c>
    </row>
    <row r="1596" spans="1:16" x14ac:dyDescent="0.3">
      <c r="A1596">
        <v>1297</v>
      </c>
      <c r="B1596">
        <v>32</v>
      </c>
      <c r="C1596" t="s">
        <v>15</v>
      </c>
      <c r="D1596" t="s">
        <v>16</v>
      </c>
      <c r="E1596" t="s">
        <v>17</v>
      </c>
      <c r="F1596" t="s">
        <v>18</v>
      </c>
      <c r="G1596" t="s">
        <v>41</v>
      </c>
      <c r="H1596" t="s">
        <v>20</v>
      </c>
      <c r="I1596" s="1">
        <v>2</v>
      </c>
      <c r="J1596" s="2">
        <v>46064</v>
      </c>
      <c r="K1596" s="2">
        <v>46054</v>
      </c>
      <c r="L1596" s="1" t="str">
        <f t="shared" si="153"/>
        <v>qua</v>
      </c>
      <c r="M1596" s="1" t="str">
        <f t="shared" si="154"/>
        <v>fev</v>
      </c>
      <c r="N1596">
        <f t="shared" si="155"/>
        <v>2026</v>
      </c>
      <c r="O1596" s="2">
        <f>_xlfn.XLOOKUP(A1596,Colaboradores!$A:$A,Colaboradores!$S:$S,"",0)</f>
        <v>46131</v>
      </c>
      <c r="P1596" t="str">
        <f t="shared" si="146"/>
        <v>129746064</v>
      </c>
    </row>
    <row r="1597" spans="1:16" x14ac:dyDescent="0.3">
      <c r="A1597">
        <v>1297</v>
      </c>
      <c r="B1597">
        <v>32</v>
      </c>
      <c r="C1597" t="s">
        <v>15</v>
      </c>
      <c r="D1597" t="s">
        <v>16</v>
      </c>
      <c r="E1597" t="s">
        <v>17</v>
      </c>
      <c r="F1597" t="s">
        <v>18</v>
      </c>
      <c r="G1597" t="s">
        <v>42</v>
      </c>
      <c r="H1597" t="s">
        <v>20</v>
      </c>
      <c r="I1597" s="1">
        <v>2</v>
      </c>
      <c r="J1597" s="2">
        <v>46091</v>
      </c>
      <c r="K1597" s="2">
        <v>46082</v>
      </c>
      <c r="L1597" s="1" t="str">
        <f t="shared" si="153"/>
        <v>ter</v>
      </c>
      <c r="M1597" s="1" t="str">
        <f t="shared" si="154"/>
        <v>mar</v>
      </c>
      <c r="N1597">
        <f t="shared" si="155"/>
        <v>2026</v>
      </c>
      <c r="O1597" s="2">
        <f>_xlfn.XLOOKUP(A1597,Colaboradores!$A:$A,Colaboradores!$S:$S,"",0)</f>
        <v>46131</v>
      </c>
      <c r="P1597" t="str">
        <f t="shared" si="146"/>
        <v>129746091</v>
      </c>
    </row>
    <row r="1598" spans="1:16" x14ac:dyDescent="0.3">
      <c r="A1598">
        <v>1298</v>
      </c>
      <c r="B1598">
        <v>56</v>
      </c>
      <c r="C1598" t="s">
        <v>26</v>
      </c>
      <c r="D1598" t="s">
        <v>27</v>
      </c>
      <c r="E1598" t="s">
        <v>17</v>
      </c>
      <c r="F1598" t="s">
        <v>21</v>
      </c>
      <c r="G1598" t="s">
        <v>43</v>
      </c>
      <c r="H1598" t="s">
        <v>20</v>
      </c>
      <c r="I1598" s="1">
        <v>1</v>
      </c>
      <c r="J1598" s="2">
        <v>45672</v>
      </c>
      <c r="K1598" s="2">
        <v>45658</v>
      </c>
      <c r="L1598" s="1" t="str">
        <f t="shared" si="153"/>
        <v>qua</v>
      </c>
      <c r="M1598" s="1" t="str">
        <f t="shared" si="154"/>
        <v>jan</v>
      </c>
      <c r="N1598">
        <f t="shared" si="155"/>
        <v>2025</v>
      </c>
      <c r="O1598" s="2">
        <f>_xlfn.XLOOKUP(A1598,Colaboradores!$A:$A,Colaboradores!$S:$S,"",0)</f>
        <v>45783</v>
      </c>
      <c r="P1598" t="str">
        <f t="shared" si="146"/>
        <v>129845672</v>
      </c>
    </row>
    <row r="1599" spans="1:16" x14ac:dyDescent="0.3">
      <c r="A1599">
        <v>1298</v>
      </c>
      <c r="B1599">
        <v>56</v>
      </c>
      <c r="C1599" t="s">
        <v>26</v>
      </c>
      <c r="D1599" t="s">
        <v>27</v>
      </c>
      <c r="E1599" t="s">
        <v>17</v>
      </c>
      <c r="F1599" t="s">
        <v>21</v>
      </c>
      <c r="G1599" t="s">
        <v>42</v>
      </c>
      <c r="H1599" t="s">
        <v>20</v>
      </c>
      <c r="I1599" s="1">
        <v>1</v>
      </c>
      <c r="J1599" s="2">
        <v>45772</v>
      </c>
      <c r="K1599" s="2">
        <v>45748</v>
      </c>
      <c r="L1599" s="1" t="str">
        <f t="shared" si="153"/>
        <v>sex</v>
      </c>
      <c r="M1599" s="1" t="str">
        <f t="shared" si="154"/>
        <v>abr</v>
      </c>
      <c r="N1599">
        <f t="shared" si="155"/>
        <v>2025</v>
      </c>
      <c r="O1599" s="2">
        <f>_xlfn.XLOOKUP(A1599,Colaboradores!$A:$A,Colaboradores!$S:$S,"",0)</f>
        <v>45783</v>
      </c>
      <c r="P1599" t="str">
        <f t="shared" si="146"/>
        <v>129845772</v>
      </c>
    </row>
    <row r="1600" spans="1:16" x14ac:dyDescent="0.3">
      <c r="A1600">
        <v>1298</v>
      </c>
      <c r="B1600">
        <v>56</v>
      </c>
      <c r="C1600" t="s">
        <v>26</v>
      </c>
      <c r="D1600" t="s">
        <v>27</v>
      </c>
      <c r="E1600" t="s">
        <v>17</v>
      </c>
      <c r="F1600" t="s">
        <v>21</v>
      </c>
      <c r="G1600" t="s">
        <v>43</v>
      </c>
      <c r="H1600" t="s">
        <v>20</v>
      </c>
      <c r="I1600" s="1">
        <v>1</v>
      </c>
      <c r="J1600" s="2">
        <v>45773</v>
      </c>
      <c r="K1600" s="2">
        <v>45748</v>
      </c>
      <c r="L1600" s="1" t="str">
        <f t="shared" si="153"/>
        <v>sáb</v>
      </c>
      <c r="M1600" s="1" t="str">
        <f t="shared" si="154"/>
        <v>abr</v>
      </c>
      <c r="N1600">
        <f t="shared" si="155"/>
        <v>2025</v>
      </c>
      <c r="O1600" s="2">
        <f>_xlfn.XLOOKUP(A1600,Colaboradores!$A:$A,Colaboradores!$S:$S,"",0)</f>
        <v>45783</v>
      </c>
      <c r="P1600" t="str">
        <f t="shared" si="146"/>
        <v>129845773</v>
      </c>
    </row>
    <row r="1601" spans="1:16" x14ac:dyDescent="0.3">
      <c r="A1601">
        <v>1298</v>
      </c>
      <c r="B1601">
        <v>56</v>
      </c>
      <c r="C1601" t="s">
        <v>26</v>
      </c>
      <c r="D1601" t="s">
        <v>27</v>
      </c>
      <c r="E1601" t="s">
        <v>17</v>
      </c>
      <c r="F1601" t="s">
        <v>21</v>
      </c>
      <c r="G1601" t="s">
        <v>42</v>
      </c>
      <c r="H1601" t="s">
        <v>20</v>
      </c>
      <c r="I1601" s="1">
        <v>1</v>
      </c>
      <c r="J1601" s="2">
        <v>45775</v>
      </c>
      <c r="K1601" s="2">
        <v>45748</v>
      </c>
      <c r="L1601" s="1" t="str">
        <f t="shared" si="153"/>
        <v>seg</v>
      </c>
      <c r="M1601" s="1" t="str">
        <f t="shared" si="154"/>
        <v>abr</v>
      </c>
      <c r="N1601">
        <f t="shared" si="155"/>
        <v>2025</v>
      </c>
      <c r="O1601" s="2">
        <f>_xlfn.XLOOKUP(A1601,Colaboradores!$A:$A,Colaboradores!$S:$S,"",0)</f>
        <v>45783</v>
      </c>
      <c r="P1601" t="str">
        <f t="shared" ref="P1601:P1664" si="156">CONCATENATE(A1601,J1601)</f>
        <v>129845775</v>
      </c>
    </row>
    <row r="1602" spans="1:16" x14ac:dyDescent="0.3">
      <c r="A1602">
        <v>1298</v>
      </c>
      <c r="B1602">
        <v>56</v>
      </c>
      <c r="C1602" t="s">
        <v>26</v>
      </c>
      <c r="D1602" t="s">
        <v>27</v>
      </c>
      <c r="E1602" t="s">
        <v>17</v>
      </c>
      <c r="F1602" t="s">
        <v>21</v>
      </c>
      <c r="G1602" t="s">
        <v>43</v>
      </c>
      <c r="H1602" t="s">
        <v>20</v>
      </c>
      <c r="I1602" s="1">
        <v>1</v>
      </c>
      <c r="J1602" s="2">
        <v>45776</v>
      </c>
      <c r="K1602" s="2">
        <v>45748</v>
      </c>
      <c r="L1602" s="1" t="str">
        <f t="shared" si="153"/>
        <v>ter</v>
      </c>
      <c r="M1602" s="1" t="str">
        <f t="shared" si="154"/>
        <v>abr</v>
      </c>
      <c r="N1602">
        <f t="shared" si="155"/>
        <v>2025</v>
      </c>
      <c r="O1602" s="2">
        <f>_xlfn.XLOOKUP(A1602,Colaboradores!$A:$A,Colaboradores!$S:$S,"",0)</f>
        <v>45783</v>
      </c>
      <c r="P1602" t="str">
        <f t="shared" si="156"/>
        <v>129845776</v>
      </c>
    </row>
    <row r="1603" spans="1:16" x14ac:dyDescent="0.3">
      <c r="A1603">
        <v>1298</v>
      </c>
      <c r="B1603">
        <v>56</v>
      </c>
      <c r="C1603" t="s">
        <v>26</v>
      </c>
      <c r="D1603" t="s">
        <v>27</v>
      </c>
      <c r="E1603" t="s">
        <v>17</v>
      </c>
      <c r="F1603" t="s">
        <v>21</v>
      </c>
      <c r="G1603" t="s">
        <v>43</v>
      </c>
      <c r="H1603" t="s">
        <v>20</v>
      </c>
      <c r="I1603" s="1">
        <v>1</v>
      </c>
      <c r="J1603" s="2">
        <v>45777</v>
      </c>
      <c r="K1603" s="2">
        <v>45748</v>
      </c>
      <c r="L1603" s="1" t="str">
        <f t="shared" si="153"/>
        <v>qua</v>
      </c>
      <c r="M1603" s="1" t="str">
        <f t="shared" si="154"/>
        <v>abr</v>
      </c>
      <c r="N1603">
        <f t="shared" si="155"/>
        <v>2025</v>
      </c>
      <c r="O1603" s="2">
        <f>_xlfn.XLOOKUP(A1603,Colaboradores!$A:$A,Colaboradores!$S:$S,"",0)</f>
        <v>45783</v>
      </c>
      <c r="P1603" t="str">
        <f t="shared" si="156"/>
        <v>129845777</v>
      </c>
    </row>
    <row r="1604" spans="1:16" x14ac:dyDescent="0.3">
      <c r="A1604">
        <v>1299</v>
      </c>
      <c r="B1604">
        <v>37</v>
      </c>
      <c r="C1604" t="s">
        <v>26</v>
      </c>
      <c r="D1604" t="s">
        <v>29</v>
      </c>
      <c r="E1604" t="s">
        <v>17</v>
      </c>
      <c r="F1604" t="s">
        <v>23</v>
      </c>
      <c r="G1604" t="s">
        <v>43</v>
      </c>
      <c r="H1604" t="s">
        <v>25</v>
      </c>
      <c r="I1604" s="1">
        <v>2</v>
      </c>
      <c r="J1604" s="2">
        <v>45775</v>
      </c>
      <c r="K1604" s="2">
        <v>45748</v>
      </c>
      <c r="L1604" s="1" t="str">
        <f t="shared" si="153"/>
        <v>seg</v>
      </c>
      <c r="M1604" s="1" t="str">
        <f t="shared" si="154"/>
        <v>abr</v>
      </c>
      <c r="N1604">
        <f t="shared" si="155"/>
        <v>2025</v>
      </c>
      <c r="O1604" s="2"/>
      <c r="P1604" t="str">
        <f t="shared" si="156"/>
        <v>129945775</v>
      </c>
    </row>
    <row r="1605" spans="1:16" x14ac:dyDescent="0.3">
      <c r="A1605">
        <v>1299</v>
      </c>
      <c r="B1605">
        <v>37</v>
      </c>
      <c r="C1605" t="s">
        <v>26</v>
      </c>
      <c r="D1605" t="s">
        <v>29</v>
      </c>
      <c r="E1605" t="s">
        <v>17</v>
      </c>
      <c r="F1605" t="s">
        <v>23</v>
      </c>
      <c r="G1605" t="s">
        <v>43</v>
      </c>
      <c r="H1605" t="s">
        <v>25</v>
      </c>
      <c r="I1605" s="1">
        <v>2</v>
      </c>
      <c r="J1605" s="2">
        <v>45841</v>
      </c>
      <c r="K1605" s="2">
        <v>45839</v>
      </c>
      <c r="L1605" s="1" t="str">
        <f t="shared" si="153"/>
        <v>qui</v>
      </c>
      <c r="M1605" s="1" t="str">
        <f t="shared" si="154"/>
        <v>jul</v>
      </c>
      <c r="N1605">
        <f t="shared" si="155"/>
        <v>2025</v>
      </c>
      <c r="O1605" s="2"/>
      <c r="P1605" t="str">
        <f t="shared" si="156"/>
        <v>129945841</v>
      </c>
    </row>
    <row r="1606" spans="1:16" x14ac:dyDescent="0.3">
      <c r="A1606">
        <v>1299</v>
      </c>
      <c r="B1606">
        <v>37</v>
      </c>
      <c r="C1606" t="s">
        <v>26</v>
      </c>
      <c r="D1606" t="s">
        <v>29</v>
      </c>
      <c r="E1606" t="s">
        <v>17</v>
      </c>
      <c r="F1606" t="s">
        <v>23</v>
      </c>
      <c r="G1606" t="s">
        <v>43</v>
      </c>
      <c r="H1606" t="s">
        <v>25</v>
      </c>
      <c r="I1606" s="1">
        <v>2</v>
      </c>
      <c r="J1606" s="2">
        <v>45880</v>
      </c>
      <c r="K1606" s="2">
        <v>45870</v>
      </c>
      <c r="L1606" s="1" t="str">
        <f t="shared" si="153"/>
        <v>seg</v>
      </c>
      <c r="M1606" s="1" t="str">
        <f t="shared" si="154"/>
        <v>ago</v>
      </c>
      <c r="N1606">
        <f t="shared" si="155"/>
        <v>2025</v>
      </c>
      <c r="O1606" s="2"/>
      <c r="P1606" t="str">
        <f t="shared" si="156"/>
        <v>129945880</v>
      </c>
    </row>
    <row r="1607" spans="1:16" x14ac:dyDescent="0.3">
      <c r="A1607">
        <v>1299</v>
      </c>
      <c r="B1607">
        <v>37</v>
      </c>
      <c r="C1607" t="s">
        <v>26</v>
      </c>
      <c r="D1607" t="s">
        <v>29</v>
      </c>
      <c r="E1607" t="s">
        <v>17</v>
      </c>
      <c r="F1607" t="s">
        <v>23</v>
      </c>
      <c r="G1607" t="s">
        <v>43</v>
      </c>
      <c r="H1607" t="s">
        <v>25</v>
      </c>
      <c r="I1607" s="1">
        <v>2</v>
      </c>
      <c r="J1607" s="2">
        <v>46062</v>
      </c>
      <c r="K1607" s="2">
        <v>46054</v>
      </c>
      <c r="L1607" s="1" t="str">
        <f t="shared" si="153"/>
        <v>seg</v>
      </c>
      <c r="M1607" s="1" t="str">
        <f t="shared" si="154"/>
        <v>fev</v>
      </c>
      <c r="N1607">
        <f t="shared" si="155"/>
        <v>2026</v>
      </c>
      <c r="O1607" s="2"/>
      <c r="P1607" t="str">
        <f t="shared" si="156"/>
        <v>129946062</v>
      </c>
    </row>
    <row r="1608" spans="1:16" x14ac:dyDescent="0.3">
      <c r="A1608">
        <v>1299</v>
      </c>
      <c r="B1608">
        <v>37</v>
      </c>
      <c r="C1608" t="s">
        <v>26</v>
      </c>
      <c r="D1608" t="s">
        <v>29</v>
      </c>
      <c r="E1608" t="s">
        <v>17</v>
      </c>
      <c r="F1608" t="s">
        <v>23</v>
      </c>
      <c r="G1608" t="s">
        <v>43</v>
      </c>
      <c r="H1608" t="s">
        <v>25</v>
      </c>
      <c r="I1608" s="1">
        <v>2</v>
      </c>
      <c r="J1608" s="2">
        <v>46140</v>
      </c>
      <c r="K1608" s="2">
        <v>46113</v>
      </c>
      <c r="L1608" s="1" t="s">
        <v>56</v>
      </c>
      <c r="M1608" s="1" t="s">
        <v>48</v>
      </c>
      <c r="N1608">
        <v>2025</v>
      </c>
      <c r="O1608" s="2"/>
      <c r="P1608" t="str">
        <f t="shared" si="156"/>
        <v>129946140</v>
      </c>
    </row>
    <row r="1609" spans="1:16" x14ac:dyDescent="0.3">
      <c r="A1609">
        <v>1300</v>
      </c>
      <c r="B1609">
        <v>39</v>
      </c>
      <c r="C1609" t="s">
        <v>26</v>
      </c>
      <c r="D1609" t="s">
        <v>27</v>
      </c>
      <c r="E1609" t="s">
        <v>17</v>
      </c>
      <c r="F1609" t="s">
        <v>18</v>
      </c>
      <c r="G1609" t="s">
        <v>41</v>
      </c>
      <c r="H1609" t="s">
        <v>25</v>
      </c>
      <c r="I1609" s="1">
        <v>3</v>
      </c>
      <c r="J1609" s="2">
        <v>45834</v>
      </c>
      <c r="K1609" s="2">
        <v>45809</v>
      </c>
      <c r="L1609" s="1" t="str">
        <f t="shared" ref="L1609:L1640" si="157">TEXT(J1609,"ddd")</f>
        <v>qui</v>
      </c>
      <c r="M1609" s="1" t="str">
        <f t="shared" ref="M1609:M1640" si="158">TEXT($J1609,"mmm")</f>
        <v>jun</v>
      </c>
      <c r="N1609">
        <f t="shared" ref="N1609:N1640" si="159">YEAR(J1609)</f>
        <v>2025</v>
      </c>
      <c r="O1609" s="2"/>
      <c r="P1609" t="str">
        <f t="shared" si="156"/>
        <v>130045834</v>
      </c>
    </row>
    <row r="1610" spans="1:16" x14ac:dyDescent="0.3">
      <c r="A1610">
        <v>1300</v>
      </c>
      <c r="B1610">
        <v>39</v>
      </c>
      <c r="C1610" t="s">
        <v>26</v>
      </c>
      <c r="D1610" t="s">
        <v>27</v>
      </c>
      <c r="E1610" t="s">
        <v>17</v>
      </c>
      <c r="F1610" t="s">
        <v>18</v>
      </c>
      <c r="G1610" t="s">
        <v>41</v>
      </c>
      <c r="H1610" t="s">
        <v>25</v>
      </c>
      <c r="I1610" s="1">
        <v>3</v>
      </c>
      <c r="J1610" s="2">
        <v>45912</v>
      </c>
      <c r="K1610" s="2">
        <v>45901</v>
      </c>
      <c r="L1610" s="1" t="str">
        <f t="shared" si="157"/>
        <v>sex</v>
      </c>
      <c r="M1610" s="1" t="str">
        <f t="shared" si="158"/>
        <v>set</v>
      </c>
      <c r="N1610">
        <f t="shared" si="159"/>
        <v>2025</v>
      </c>
      <c r="O1610" s="2"/>
      <c r="P1610" t="str">
        <f t="shared" si="156"/>
        <v>130045912</v>
      </c>
    </row>
    <row r="1611" spans="1:16" x14ac:dyDescent="0.3">
      <c r="A1611">
        <v>1300</v>
      </c>
      <c r="B1611">
        <v>39</v>
      </c>
      <c r="C1611" t="s">
        <v>26</v>
      </c>
      <c r="D1611" t="s">
        <v>27</v>
      </c>
      <c r="E1611" t="s">
        <v>17</v>
      </c>
      <c r="F1611" t="s">
        <v>18</v>
      </c>
      <c r="G1611" t="s">
        <v>41</v>
      </c>
      <c r="H1611" t="s">
        <v>25</v>
      </c>
      <c r="I1611" s="1">
        <v>3</v>
      </c>
      <c r="J1611" s="2">
        <v>45945</v>
      </c>
      <c r="K1611" s="2">
        <v>45931</v>
      </c>
      <c r="L1611" s="1" t="str">
        <f t="shared" si="157"/>
        <v>qua</v>
      </c>
      <c r="M1611" s="1" t="str">
        <f t="shared" si="158"/>
        <v>out</v>
      </c>
      <c r="N1611">
        <f t="shared" si="159"/>
        <v>2025</v>
      </c>
      <c r="O1611" s="2"/>
      <c r="P1611" t="str">
        <f t="shared" si="156"/>
        <v>130045945</v>
      </c>
    </row>
    <row r="1612" spans="1:16" x14ac:dyDescent="0.3">
      <c r="A1612">
        <v>1300</v>
      </c>
      <c r="B1612">
        <v>39</v>
      </c>
      <c r="C1612" t="s">
        <v>26</v>
      </c>
      <c r="D1612" t="s">
        <v>27</v>
      </c>
      <c r="E1612" t="s">
        <v>17</v>
      </c>
      <c r="F1612" t="s">
        <v>18</v>
      </c>
      <c r="G1612" t="s">
        <v>41</v>
      </c>
      <c r="H1612" t="s">
        <v>25</v>
      </c>
      <c r="I1612" s="1">
        <v>3</v>
      </c>
      <c r="J1612" s="2">
        <v>46066</v>
      </c>
      <c r="K1612" s="2">
        <v>46054</v>
      </c>
      <c r="L1612" s="1" t="str">
        <f t="shared" si="157"/>
        <v>sex</v>
      </c>
      <c r="M1612" s="1" t="str">
        <f t="shared" si="158"/>
        <v>fev</v>
      </c>
      <c r="N1612">
        <f t="shared" si="159"/>
        <v>2026</v>
      </c>
      <c r="O1612" s="2"/>
      <c r="P1612" t="str">
        <f t="shared" si="156"/>
        <v>130046066</v>
      </c>
    </row>
    <row r="1613" spans="1:16" x14ac:dyDescent="0.3">
      <c r="A1613">
        <v>1301</v>
      </c>
      <c r="B1613">
        <v>58</v>
      </c>
      <c r="C1613" t="s">
        <v>15</v>
      </c>
      <c r="D1613" t="s">
        <v>16</v>
      </c>
      <c r="E1613" t="s">
        <v>17</v>
      </c>
      <c r="F1613" t="s">
        <v>18</v>
      </c>
      <c r="G1613" t="s">
        <v>41</v>
      </c>
      <c r="H1613" t="s">
        <v>20</v>
      </c>
      <c r="I1613" s="1">
        <v>2</v>
      </c>
      <c r="J1613" s="2">
        <v>45865</v>
      </c>
      <c r="K1613" s="2">
        <v>45839</v>
      </c>
      <c r="L1613" s="1" t="str">
        <f t="shared" si="157"/>
        <v>dom</v>
      </c>
      <c r="M1613" s="1" t="str">
        <f t="shared" si="158"/>
        <v>jul</v>
      </c>
      <c r="N1613">
        <f t="shared" si="159"/>
        <v>2025</v>
      </c>
      <c r="O1613" s="2">
        <f>_xlfn.XLOOKUP(A1613,Colaboradores!$A:$A,Colaboradores!$S:$S,"",0)</f>
        <v>46060</v>
      </c>
      <c r="P1613" t="str">
        <f t="shared" si="156"/>
        <v>130145865</v>
      </c>
    </row>
    <row r="1614" spans="1:16" x14ac:dyDescent="0.3">
      <c r="A1614">
        <v>1301</v>
      </c>
      <c r="B1614">
        <v>58</v>
      </c>
      <c r="C1614" t="s">
        <v>15</v>
      </c>
      <c r="D1614" t="s">
        <v>16</v>
      </c>
      <c r="E1614" t="s">
        <v>17</v>
      </c>
      <c r="F1614" t="s">
        <v>18</v>
      </c>
      <c r="G1614" t="s">
        <v>44</v>
      </c>
      <c r="H1614" t="s">
        <v>20</v>
      </c>
      <c r="I1614" s="1">
        <v>2</v>
      </c>
      <c r="J1614" s="2">
        <v>45876</v>
      </c>
      <c r="K1614" s="2">
        <v>45870</v>
      </c>
      <c r="L1614" s="1" t="str">
        <f t="shared" si="157"/>
        <v>qui</v>
      </c>
      <c r="M1614" s="1" t="str">
        <f t="shared" si="158"/>
        <v>ago</v>
      </c>
      <c r="N1614">
        <f t="shared" si="159"/>
        <v>2025</v>
      </c>
      <c r="O1614" s="2">
        <f>_xlfn.XLOOKUP(A1614,Colaboradores!$A:$A,Colaboradores!$S:$S,"",0)</f>
        <v>46060</v>
      </c>
      <c r="P1614" t="str">
        <f t="shared" si="156"/>
        <v>130145876</v>
      </c>
    </row>
    <row r="1615" spans="1:16" x14ac:dyDescent="0.3">
      <c r="A1615">
        <v>1301</v>
      </c>
      <c r="B1615">
        <v>58</v>
      </c>
      <c r="C1615" t="s">
        <v>15</v>
      </c>
      <c r="D1615" t="s">
        <v>16</v>
      </c>
      <c r="E1615" t="s">
        <v>17</v>
      </c>
      <c r="F1615" t="s">
        <v>18</v>
      </c>
      <c r="G1615" t="s">
        <v>41</v>
      </c>
      <c r="H1615" t="s">
        <v>20</v>
      </c>
      <c r="I1615" s="1">
        <v>2</v>
      </c>
      <c r="J1615" s="2">
        <v>45878</v>
      </c>
      <c r="K1615" s="2">
        <v>45870</v>
      </c>
      <c r="L1615" s="1" t="str">
        <f t="shared" si="157"/>
        <v>sáb</v>
      </c>
      <c r="M1615" s="1" t="str">
        <f t="shared" si="158"/>
        <v>ago</v>
      </c>
      <c r="N1615">
        <f t="shared" si="159"/>
        <v>2025</v>
      </c>
      <c r="O1615" s="2">
        <f>_xlfn.XLOOKUP(A1615,Colaboradores!$A:$A,Colaboradores!$S:$S,"",0)</f>
        <v>46060</v>
      </c>
      <c r="P1615" t="str">
        <f t="shared" si="156"/>
        <v>130145878</v>
      </c>
    </row>
    <row r="1616" spans="1:16" x14ac:dyDescent="0.3">
      <c r="A1616">
        <v>1301</v>
      </c>
      <c r="B1616">
        <v>58</v>
      </c>
      <c r="C1616" t="s">
        <v>15</v>
      </c>
      <c r="D1616" t="s">
        <v>16</v>
      </c>
      <c r="E1616" t="s">
        <v>17</v>
      </c>
      <c r="F1616" t="s">
        <v>18</v>
      </c>
      <c r="G1616" t="s">
        <v>41</v>
      </c>
      <c r="H1616" t="s">
        <v>20</v>
      </c>
      <c r="I1616" s="1">
        <v>2</v>
      </c>
      <c r="J1616" s="2">
        <v>45880</v>
      </c>
      <c r="K1616" s="2">
        <v>45870</v>
      </c>
      <c r="L1616" s="1" t="str">
        <f t="shared" si="157"/>
        <v>seg</v>
      </c>
      <c r="M1616" s="1" t="str">
        <f t="shared" si="158"/>
        <v>ago</v>
      </c>
      <c r="N1616">
        <f t="shared" si="159"/>
        <v>2025</v>
      </c>
      <c r="O1616" s="2">
        <f>_xlfn.XLOOKUP(A1616,Colaboradores!$A:$A,Colaboradores!$S:$S,"",0)</f>
        <v>46060</v>
      </c>
      <c r="P1616" t="str">
        <f t="shared" si="156"/>
        <v>130145880</v>
      </c>
    </row>
    <row r="1617" spans="1:16" x14ac:dyDescent="0.3">
      <c r="A1617">
        <v>1301</v>
      </c>
      <c r="B1617">
        <v>58</v>
      </c>
      <c r="C1617" t="s">
        <v>15</v>
      </c>
      <c r="D1617" t="s">
        <v>16</v>
      </c>
      <c r="E1617" t="s">
        <v>17</v>
      </c>
      <c r="F1617" t="s">
        <v>18</v>
      </c>
      <c r="G1617" t="s">
        <v>41</v>
      </c>
      <c r="H1617" t="s">
        <v>20</v>
      </c>
      <c r="I1617" s="1">
        <v>2</v>
      </c>
      <c r="J1617" s="2">
        <v>46001</v>
      </c>
      <c r="K1617" s="2">
        <v>45992</v>
      </c>
      <c r="L1617" s="1" t="str">
        <f t="shared" si="157"/>
        <v>qua</v>
      </c>
      <c r="M1617" s="1" t="str">
        <f t="shared" si="158"/>
        <v>dez</v>
      </c>
      <c r="N1617">
        <f t="shared" si="159"/>
        <v>2025</v>
      </c>
      <c r="O1617" s="2">
        <f>_xlfn.XLOOKUP(A1617,Colaboradores!$A:$A,Colaboradores!$S:$S,"",0)</f>
        <v>46060</v>
      </c>
      <c r="P1617" t="str">
        <f t="shared" si="156"/>
        <v>130146001</v>
      </c>
    </row>
    <row r="1618" spans="1:16" x14ac:dyDescent="0.3">
      <c r="A1618">
        <v>1301</v>
      </c>
      <c r="B1618">
        <v>58</v>
      </c>
      <c r="C1618" t="s">
        <v>15</v>
      </c>
      <c r="D1618" t="s">
        <v>16</v>
      </c>
      <c r="E1618" t="s">
        <v>17</v>
      </c>
      <c r="F1618" t="s">
        <v>18</v>
      </c>
      <c r="G1618" t="s">
        <v>41</v>
      </c>
      <c r="H1618" t="s">
        <v>20</v>
      </c>
      <c r="I1618" s="1">
        <v>2</v>
      </c>
      <c r="J1618" s="2">
        <v>46178</v>
      </c>
      <c r="K1618" s="2">
        <v>46023</v>
      </c>
      <c r="L1618" s="1" t="str">
        <f t="shared" si="157"/>
        <v>sex</v>
      </c>
      <c r="M1618" s="1" t="str">
        <f t="shared" si="158"/>
        <v>jun</v>
      </c>
      <c r="N1618">
        <f t="shared" si="159"/>
        <v>2026</v>
      </c>
      <c r="O1618" s="2">
        <f>_xlfn.XLOOKUP(A1618,Colaboradores!$A:$A,Colaboradores!$S:$S,"",0)</f>
        <v>46060</v>
      </c>
      <c r="P1618" t="str">
        <f t="shared" si="156"/>
        <v>130146178</v>
      </c>
    </row>
    <row r="1619" spans="1:16" x14ac:dyDescent="0.3">
      <c r="A1619">
        <v>1302</v>
      </c>
      <c r="B1619">
        <v>23</v>
      </c>
      <c r="C1619" t="s">
        <v>15</v>
      </c>
      <c r="D1619" t="s">
        <v>16</v>
      </c>
      <c r="E1619" t="s">
        <v>17</v>
      </c>
      <c r="F1619" t="s">
        <v>21</v>
      </c>
      <c r="G1619" t="s">
        <v>41</v>
      </c>
      <c r="H1619" t="s">
        <v>20</v>
      </c>
      <c r="I1619" s="1">
        <v>3</v>
      </c>
      <c r="J1619" s="2">
        <v>45773</v>
      </c>
      <c r="K1619" s="2">
        <v>45748</v>
      </c>
      <c r="L1619" s="1" t="str">
        <f t="shared" si="157"/>
        <v>sáb</v>
      </c>
      <c r="M1619" s="1" t="str">
        <f t="shared" si="158"/>
        <v>abr</v>
      </c>
      <c r="N1619">
        <f t="shared" si="159"/>
        <v>2025</v>
      </c>
      <c r="O1619" s="2">
        <f>_xlfn.XLOOKUP(A1619,Colaboradores!$A:$A,Colaboradores!$S:$S,"",0)</f>
        <v>45973</v>
      </c>
      <c r="P1619" t="str">
        <f t="shared" si="156"/>
        <v>130245773</v>
      </c>
    </row>
    <row r="1620" spans="1:16" x14ac:dyDescent="0.3">
      <c r="A1620">
        <v>1302</v>
      </c>
      <c r="B1620">
        <v>23</v>
      </c>
      <c r="C1620" t="s">
        <v>15</v>
      </c>
      <c r="D1620" t="s">
        <v>16</v>
      </c>
      <c r="E1620" t="s">
        <v>17</v>
      </c>
      <c r="F1620" t="s">
        <v>21</v>
      </c>
      <c r="G1620" t="s">
        <v>41</v>
      </c>
      <c r="H1620" t="s">
        <v>20</v>
      </c>
      <c r="I1620" s="1">
        <v>3</v>
      </c>
      <c r="J1620" s="2">
        <v>45797</v>
      </c>
      <c r="K1620" s="2">
        <v>45778</v>
      </c>
      <c r="L1620" s="1" t="str">
        <f t="shared" si="157"/>
        <v>ter</v>
      </c>
      <c r="M1620" s="1" t="str">
        <f t="shared" si="158"/>
        <v>mai</v>
      </c>
      <c r="N1620">
        <f t="shared" si="159"/>
        <v>2025</v>
      </c>
      <c r="O1620" s="2">
        <f>_xlfn.XLOOKUP(A1620,Colaboradores!$A:$A,Colaboradores!$S:$S,"",0)</f>
        <v>45973</v>
      </c>
      <c r="P1620" t="str">
        <f t="shared" si="156"/>
        <v>130245797</v>
      </c>
    </row>
    <row r="1621" spans="1:16" x14ac:dyDescent="0.3">
      <c r="A1621">
        <v>1302</v>
      </c>
      <c r="B1621">
        <v>23</v>
      </c>
      <c r="C1621" t="s">
        <v>15</v>
      </c>
      <c r="D1621" t="s">
        <v>16</v>
      </c>
      <c r="E1621" t="s">
        <v>17</v>
      </c>
      <c r="F1621" t="s">
        <v>21</v>
      </c>
      <c r="G1621" t="s">
        <v>41</v>
      </c>
      <c r="H1621" t="s">
        <v>20</v>
      </c>
      <c r="I1621" s="1">
        <v>3</v>
      </c>
      <c r="J1621" s="2">
        <v>45861</v>
      </c>
      <c r="K1621" s="2">
        <v>45839</v>
      </c>
      <c r="L1621" s="1" t="str">
        <f t="shared" si="157"/>
        <v>qua</v>
      </c>
      <c r="M1621" s="1" t="str">
        <f t="shared" si="158"/>
        <v>jul</v>
      </c>
      <c r="N1621">
        <f t="shared" si="159"/>
        <v>2025</v>
      </c>
      <c r="O1621" s="2">
        <f>_xlfn.XLOOKUP(A1621,Colaboradores!$A:$A,Colaboradores!$S:$S,"",0)</f>
        <v>45973</v>
      </c>
      <c r="P1621" t="str">
        <f t="shared" si="156"/>
        <v>130245861</v>
      </c>
    </row>
    <row r="1622" spans="1:16" x14ac:dyDescent="0.3">
      <c r="A1622">
        <v>1302</v>
      </c>
      <c r="B1622">
        <v>23</v>
      </c>
      <c r="C1622" t="s">
        <v>15</v>
      </c>
      <c r="D1622" t="s">
        <v>16</v>
      </c>
      <c r="E1622" t="s">
        <v>17</v>
      </c>
      <c r="F1622" t="s">
        <v>21</v>
      </c>
      <c r="G1622" t="s">
        <v>44</v>
      </c>
      <c r="H1622" t="s">
        <v>20</v>
      </c>
      <c r="I1622" s="1">
        <v>3</v>
      </c>
      <c r="J1622" s="2">
        <v>45934</v>
      </c>
      <c r="K1622" s="2">
        <v>45931</v>
      </c>
      <c r="L1622" s="1" t="str">
        <f t="shared" si="157"/>
        <v>sáb</v>
      </c>
      <c r="M1622" s="1" t="str">
        <f t="shared" si="158"/>
        <v>out</v>
      </c>
      <c r="N1622">
        <f t="shared" si="159"/>
        <v>2025</v>
      </c>
      <c r="O1622" s="2">
        <f>_xlfn.XLOOKUP(A1622,Colaboradores!$A:$A,Colaboradores!$S:$S,"",0)</f>
        <v>45973</v>
      </c>
      <c r="P1622" t="str">
        <f t="shared" si="156"/>
        <v>130245934</v>
      </c>
    </row>
    <row r="1623" spans="1:16" x14ac:dyDescent="0.3">
      <c r="A1623">
        <v>1302</v>
      </c>
      <c r="B1623">
        <v>23</v>
      </c>
      <c r="C1623" t="s">
        <v>15</v>
      </c>
      <c r="D1623" t="s">
        <v>16</v>
      </c>
      <c r="E1623" t="s">
        <v>17</v>
      </c>
      <c r="F1623" t="s">
        <v>21</v>
      </c>
      <c r="G1623" t="s">
        <v>41</v>
      </c>
      <c r="H1623" t="s">
        <v>20</v>
      </c>
      <c r="I1623" s="1">
        <v>3</v>
      </c>
      <c r="J1623" s="2">
        <v>45969</v>
      </c>
      <c r="K1623" s="2">
        <v>45962</v>
      </c>
      <c r="L1623" s="1" t="str">
        <f t="shared" si="157"/>
        <v>sáb</v>
      </c>
      <c r="M1623" s="1" t="str">
        <f t="shared" si="158"/>
        <v>nov</v>
      </c>
      <c r="N1623">
        <f t="shared" si="159"/>
        <v>2025</v>
      </c>
      <c r="O1623" s="2">
        <f>_xlfn.XLOOKUP(A1623,Colaboradores!$A:$A,Colaboradores!$S:$S,"",0)</f>
        <v>45973</v>
      </c>
      <c r="P1623" t="str">
        <f t="shared" si="156"/>
        <v>130245969</v>
      </c>
    </row>
    <row r="1624" spans="1:16" x14ac:dyDescent="0.3">
      <c r="A1624">
        <v>1302</v>
      </c>
      <c r="B1624">
        <v>23</v>
      </c>
      <c r="C1624" t="s">
        <v>15</v>
      </c>
      <c r="D1624" t="s">
        <v>16</v>
      </c>
      <c r="E1624" t="s">
        <v>17</v>
      </c>
      <c r="F1624" t="s">
        <v>21</v>
      </c>
      <c r="G1624" t="s">
        <v>41</v>
      </c>
      <c r="H1624" t="s">
        <v>20</v>
      </c>
      <c r="I1624" s="1">
        <v>3</v>
      </c>
      <c r="J1624" s="2">
        <v>45970</v>
      </c>
      <c r="K1624" s="2">
        <v>45962</v>
      </c>
      <c r="L1624" s="1" t="str">
        <f t="shared" si="157"/>
        <v>dom</v>
      </c>
      <c r="M1624" s="1" t="str">
        <f t="shared" si="158"/>
        <v>nov</v>
      </c>
      <c r="N1624">
        <f t="shared" si="159"/>
        <v>2025</v>
      </c>
      <c r="O1624" s="2">
        <f>_xlfn.XLOOKUP(A1624,Colaboradores!$A:$A,Colaboradores!$S:$S,"",0)</f>
        <v>45973</v>
      </c>
      <c r="P1624" t="str">
        <f t="shared" si="156"/>
        <v>130245970</v>
      </c>
    </row>
    <row r="1625" spans="1:16" x14ac:dyDescent="0.3">
      <c r="A1625">
        <v>1304</v>
      </c>
      <c r="B1625">
        <v>40</v>
      </c>
      <c r="C1625" t="s">
        <v>26</v>
      </c>
      <c r="D1625" t="s">
        <v>27</v>
      </c>
      <c r="E1625" t="s">
        <v>17</v>
      </c>
      <c r="F1625" t="s">
        <v>23</v>
      </c>
      <c r="G1625" t="s">
        <v>41</v>
      </c>
      <c r="H1625" t="s">
        <v>25</v>
      </c>
      <c r="I1625" s="1">
        <v>3</v>
      </c>
      <c r="J1625" s="2">
        <v>45836</v>
      </c>
      <c r="K1625" s="2">
        <v>45809</v>
      </c>
      <c r="L1625" s="1" t="str">
        <f t="shared" si="157"/>
        <v>sáb</v>
      </c>
      <c r="M1625" s="1" t="str">
        <f t="shared" si="158"/>
        <v>jun</v>
      </c>
      <c r="N1625">
        <f t="shared" si="159"/>
        <v>2025</v>
      </c>
      <c r="O1625" s="2"/>
      <c r="P1625" t="str">
        <f t="shared" si="156"/>
        <v>130445836</v>
      </c>
    </row>
    <row r="1626" spans="1:16" x14ac:dyDescent="0.3">
      <c r="A1626">
        <v>1304</v>
      </c>
      <c r="B1626">
        <v>40</v>
      </c>
      <c r="C1626" t="s">
        <v>26</v>
      </c>
      <c r="D1626" t="s">
        <v>27</v>
      </c>
      <c r="E1626" t="s">
        <v>17</v>
      </c>
      <c r="F1626" t="s">
        <v>23</v>
      </c>
      <c r="G1626" t="s">
        <v>44</v>
      </c>
      <c r="H1626" t="s">
        <v>25</v>
      </c>
      <c r="I1626" s="1">
        <v>3</v>
      </c>
      <c r="J1626" s="2">
        <v>45866</v>
      </c>
      <c r="K1626" s="2">
        <v>45839</v>
      </c>
      <c r="L1626" s="1" t="str">
        <f t="shared" si="157"/>
        <v>seg</v>
      </c>
      <c r="M1626" s="1" t="str">
        <f t="shared" si="158"/>
        <v>jul</v>
      </c>
      <c r="N1626">
        <f t="shared" si="159"/>
        <v>2025</v>
      </c>
      <c r="O1626" s="2"/>
      <c r="P1626" t="str">
        <f t="shared" si="156"/>
        <v>130445866</v>
      </c>
    </row>
    <row r="1627" spans="1:16" x14ac:dyDescent="0.3">
      <c r="A1627">
        <v>1304</v>
      </c>
      <c r="B1627">
        <v>40</v>
      </c>
      <c r="C1627" t="s">
        <v>26</v>
      </c>
      <c r="D1627" t="s">
        <v>27</v>
      </c>
      <c r="E1627" t="s">
        <v>17</v>
      </c>
      <c r="F1627" t="s">
        <v>23</v>
      </c>
      <c r="G1627" t="s">
        <v>44</v>
      </c>
      <c r="H1627" t="s">
        <v>25</v>
      </c>
      <c r="I1627" s="1">
        <v>3</v>
      </c>
      <c r="J1627" s="2">
        <v>45938</v>
      </c>
      <c r="K1627" s="2">
        <v>45931</v>
      </c>
      <c r="L1627" s="1" t="str">
        <f t="shared" si="157"/>
        <v>qua</v>
      </c>
      <c r="M1627" s="1" t="str">
        <f t="shared" si="158"/>
        <v>out</v>
      </c>
      <c r="N1627">
        <f t="shared" si="159"/>
        <v>2025</v>
      </c>
      <c r="O1627" s="2"/>
      <c r="P1627" t="str">
        <f t="shared" si="156"/>
        <v>130445938</v>
      </c>
    </row>
    <row r="1628" spans="1:16" x14ac:dyDescent="0.3">
      <c r="A1628">
        <v>1304</v>
      </c>
      <c r="B1628">
        <v>40</v>
      </c>
      <c r="C1628" t="s">
        <v>26</v>
      </c>
      <c r="D1628" t="s">
        <v>27</v>
      </c>
      <c r="E1628" t="s">
        <v>17</v>
      </c>
      <c r="F1628" t="s">
        <v>23</v>
      </c>
      <c r="G1628" t="s">
        <v>44</v>
      </c>
      <c r="H1628" t="s">
        <v>25</v>
      </c>
      <c r="I1628" s="1">
        <v>3</v>
      </c>
      <c r="J1628" s="2">
        <v>46016</v>
      </c>
      <c r="K1628" s="2">
        <v>45992</v>
      </c>
      <c r="L1628" s="1" t="str">
        <f t="shared" si="157"/>
        <v>qui</v>
      </c>
      <c r="M1628" s="1" t="str">
        <f t="shared" si="158"/>
        <v>dez</v>
      </c>
      <c r="N1628">
        <f t="shared" si="159"/>
        <v>2025</v>
      </c>
      <c r="O1628" s="2"/>
      <c r="P1628" t="str">
        <f t="shared" si="156"/>
        <v>130446016</v>
      </c>
    </row>
    <row r="1629" spans="1:16" x14ac:dyDescent="0.3">
      <c r="A1629">
        <v>1304</v>
      </c>
      <c r="B1629">
        <v>40</v>
      </c>
      <c r="C1629" t="s">
        <v>26</v>
      </c>
      <c r="D1629" t="s">
        <v>27</v>
      </c>
      <c r="E1629" t="s">
        <v>17</v>
      </c>
      <c r="F1629" t="s">
        <v>23</v>
      </c>
      <c r="G1629" t="s">
        <v>41</v>
      </c>
      <c r="H1629" t="s">
        <v>25</v>
      </c>
      <c r="I1629" s="1">
        <v>3</v>
      </c>
      <c r="J1629" s="2">
        <v>46202</v>
      </c>
      <c r="K1629" s="2">
        <v>46023</v>
      </c>
      <c r="L1629" s="1" t="str">
        <f t="shared" si="157"/>
        <v>seg</v>
      </c>
      <c r="M1629" s="1" t="str">
        <f t="shared" si="158"/>
        <v>jun</v>
      </c>
      <c r="N1629">
        <f t="shared" si="159"/>
        <v>2026</v>
      </c>
      <c r="O1629" s="2"/>
      <c r="P1629" t="str">
        <f t="shared" si="156"/>
        <v>130446202</v>
      </c>
    </row>
    <row r="1630" spans="1:16" x14ac:dyDescent="0.3">
      <c r="A1630">
        <v>1304</v>
      </c>
      <c r="B1630">
        <v>40</v>
      </c>
      <c r="C1630" t="s">
        <v>26</v>
      </c>
      <c r="D1630" t="s">
        <v>27</v>
      </c>
      <c r="E1630" t="s">
        <v>17</v>
      </c>
      <c r="F1630" t="s">
        <v>23</v>
      </c>
      <c r="G1630" t="s">
        <v>44</v>
      </c>
      <c r="H1630" t="s">
        <v>25</v>
      </c>
      <c r="I1630" s="1">
        <v>3</v>
      </c>
      <c r="J1630" s="2">
        <v>46079</v>
      </c>
      <c r="K1630" s="2">
        <v>46054</v>
      </c>
      <c r="L1630" s="1" t="str">
        <f t="shared" si="157"/>
        <v>qui</v>
      </c>
      <c r="M1630" s="1" t="str">
        <f t="shared" si="158"/>
        <v>fev</v>
      </c>
      <c r="N1630">
        <f t="shared" si="159"/>
        <v>2026</v>
      </c>
      <c r="O1630" s="2"/>
      <c r="P1630" t="str">
        <f t="shared" si="156"/>
        <v>130446079</v>
      </c>
    </row>
    <row r="1631" spans="1:16" x14ac:dyDescent="0.3">
      <c r="A1631">
        <v>1305</v>
      </c>
      <c r="B1631">
        <v>57</v>
      </c>
      <c r="C1631" t="s">
        <v>26</v>
      </c>
      <c r="D1631" t="s">
        <v>29</v>
      </c>
      <c r="E1631" t="s">
        <v>17</v>
      </c>
      <c r="F1631" t="s">
        <v>21</v>
      </c>
      <c r="G1631" t="s">
        <v>41</v>
      </c>
      <c r="H1631" t="s">
        <v>20</v>
      </c>
      <c r="I1631" s="1">
        <v>3</v>
      </c>
      <c r="J1631" s="2">
        <v>45791</v>
      </c>
      <c r="K1631" s="2">
        <v>45778</v>
      </c>
      <c r="L1631" s="1" t="str">
        <f t="shared" si="157"/>
        <v>qua</v>
      </c>
      <c r="M1631" s="1" t="str">
        <f t="shared" si="158"/>
        <v>mai</v>
      </c>
      <c r="N1631">
        <f t="shared" si="159"/>
        <v>2025</v>
      </c>
      <c r="O1631" s="2">
        <f>_xlfn.XLOOKUP(A1631,Colaboradores!$A:$A,Colaboradores!$S:$S,"",0)</f>
        <v>45952</v>
      </c>
      <c r="P1631" t="str">
        <f t="shared" si="156"/>
        <v>130545791</v>
      </c>
    </row>
    <row r="1632" spans="1:16" x14ac:dyDescent="0.3">
      <c r="A1632">
        <v>1305</v>
      </c>
      <c r="B1632">
        <v>57</v>
      </c>
      <c r="C1632" t="s">
        <v>26</v>
      </c>
      <c r="D1632" t="s">
        <v>29</v>
      </c>
      <c r="E1632" t="s">
        <v>17</v>
      </c>
      <c r="F1632" t="s">
        <v>21</v>
      </c>
      <c r="G1632" t="s">
        <v>41</v>
      </c>
      <c r="H1632" t="s">
        <v>20</v>
      </c>
      <c r="I1632" s="1">
        <v>3</v>
      </c>
      <c r="J1632" s="2">
        <v>45802</v>
      </c>
      <c r="K1632" s="2">
        <v>45778</v>
      </c>
      <c r="L1632" s="1" t="str">
        <f t="shared" si="157"/>
        <v>dom</v>
      </c>
      <c r="M1632" s="1" t="str">
        <f t="shared" si="158"/>
        <v>mai</v>
      </c>
      <c r="N1632">
        <f t="shared" si="159"/>
        <v>2025</v>
      </c>
      <c r="O1632" s="2">
        <f>_xlfn.XLOOKUP(A1632,Colaboradores!$A:$A,Colaboradores!$S:$S,"",0)</f>
        <v>45952</v>
      </c>
      <c r="P1632" t="str">
        <f t="shared" si="156"/>
        <v>130545802</v>
      </c>
    </row>
    <row r="1633" spans="1:16" x14ac:dyDescent="0.3">
      <c r="A1633">
        <v>1305</v>
      </c>
      <c r="B1633">
        <v>57</v>
      </c>
      <c r="C1633" t="s">
        <v>26</v>
      </c>
      <c r="D1633" t="s">
        <v>29</v>
      </c>
      <c r="E1633" t="s">
        <v>17</v>
      </c>
      <c r="F1633" t="s">
        <v>21</v>
      </c>
      <c r="G1633" t="s">
        <v>41</v>
      </c>
      <c r="H1633" t="s">
        <v>20</v>
      </c>
      <c r="I1633" s="1">
        <v>3</v>
      </c>
      <c r="J1633" s="2">
        <v>45857</v>
      </c>
      <c r="K1633" s="2">
        <v>45839</v>
      </c>
      <c r="L1633" s="1" t="str">
        <f t="shared" si="157"/>
        <v>sáb</v>
      </c>
      <c r="M1633" s="1" t="str">
        <f t="shared" si="158"/>
        <v>jul</v>
      </c>
      <c r="N1633">
        <f t="shared" si="159"/>
        <v>2025</v>
      </c>
      <c r="O1633" s="2">
        <f>_xlfn.XLOOKUP(A1633,Colaboradores!$A:$A,Colaboradores!$S:$S,"",0)</f>
        <v>45952</v>
      </c>
      <c r="P1633" t="str">
        <f t="shared" si="156"/>
        <v>130545857</v>
      </c>
    </row>
    <row r="1634" spans="1:16" x14ac:dyDescent="0.3">
      <c r="A1634">
        <v>1305</v>
      </c>
      <c r="B1634">
        <v>57</v>
      </c>
      <c r="C1634" t="s">
        <v>26</v>
      </c>
      <c r="D1634" t="s">
        <v>29</v>
      </c>
      <c r="E1634" t="s">
        <v>17</v>
      </c>
      <c r="F1634" t="s">
        <v>21</v>
      </c>
      <c r="G1634" t="s">
        <v>41</v>
      </c>
      <c r="H1634" t="s">
        <v>20</v>
      </c>
      <c r="I1634" s="1">
        <v>3</v>
      </c>
      <c r="J1634" s="2">
        <v>45868</v>
      </c>
      <c r="K1634" s="2">
        <v>45839</v>
      </c>
      <c r="L1634" s="1" t="str">
        <f t="shared" si="157"/>
        <v>qua</v>
      </c>
      <c r="M1634" s="1" t="str">
        <f t="shared" si="158"/>
        <v>jul</v>
      </c>
      <c r="N1634">
        <f t="shared" si="159"/>
        <v>2025</v>
      </c>
      <c r="O1634" s="2">
        <f>_xlfn.XLOOKUP(A1634,Colaboradores!$A:$A,Colaboradores!$S:$S,"",0)</f>
        <v>45952</v>
      </c>
      <c r="P1634" t="str">
        <f t="shared" si="156"/>
        <v>130545868</v>
      </c>
    </row>
    <row r="1635" spans="1:16" x14ac:dyDescent="0.3">
      <c r="A1635">
        <v>1305</v>
      </c>
      <c r="B1635">
        <v>57</v>
      </c>
      <c r="C1635" t="s">
        <v>26</v>
      </c>
      <c r="D1635" t="s">
        <v>29</v>
      </c>
      <c r="E1635" t="s">
        <v>17</v>
      </c>
      <c r="F1635" t="s">
        <v>21</v>
      </c>
      <c r="G1635" t="s">
        <v>41</v>
      </c>
      <c r="H1635" t="s">
        <v>20</v>
      </c>
      <c r="I1635" s="1">
        <v>3</v>
      </c>
      <c r="J1635" s="2">
        <v>45906</v>
      </c>
      <c r="K1635" s="2">
        <v>45901</v>
      </c>
      <c r="L1635" s="1" t="str">
        <f t="shared" si="157"/>
        <v>sáb</v>
      </c>
      <c r="M1635" s="1" t="str">
        <f t="shared" si="158"/>
        <v>set</v>
      </c>
      <c r="N1635">
        <f t="shared" si="159"/>
        <v>2025</v>
      </c>
      <c r="O1635" s="2">
        <f>_xlfn.XLOOKUP(A1635,Colaboradores!$A:$A,Colaboradores!$S:$S,"",0)</f>
        <v>45952</v>
      </c>
      <c r="P1635" t="str">
        <f t="shared" si="156"/>
        <v>130545906</v>
      </c>
    </row>
    <row r="1636" spans="1:16" x14ac:dyDescent="0.3">
      <c r="A1636">
        <v>1305</v>
      </c>
      <c r="B1636">
        <v>57</v>
      </c>
      <c r="C1636" t="s">
        <v>26</v>
      </c>
      <c r="D1636" t="s">
        <v>29</v>
      </c>
      <c r="E1636" t="s">
        <v>17</v>
      </c>
      <c r="F1636" t="s">
        <v>21</v>
      </c>
      <c r="G1636" t="s">
        <v>41</v>
      </c>
      <c r="H1636" t="s">
        <v>20</v>
      </c>
      <c r="I1636" s="1">
        <v>3</v>
      </c>
      <c r="J1636" s="2">
        <v>45946</v>
      </c>
      <c r="K1636" s="2">
        <v>45931</v>
      </c>
      <c r="L1636" s="1" t="str">
        <f t="shared" si="157"/>
        <v>qui</v>
      </c>
      <c r="M1636" s="1" t="str">
        <f t="shared" si="158"/>
        <v>out</v>
      </c>
      <c r="N1636">
        <f t="shared" si="159"/>
        <v>2025</v>
      </c>
      <c r="O1636" s="2">
        <f>_xlfn.XLOOKUP(A1636,Colaboradores!$A:$A,Colaboradores!$S:$S,"",0)</f>
        <v>45952</v>
      </c>
      <c r="P1636" t="str">
        <f t="shared" si="156"/>
        <v>130545946</v>
      </c>
    </row>
    <row r="1637" spans="1:16" x14ac:dyDescent="0.3">
      <c r="A1637">
        <v>1306</v>
      </c>
      <c r="B1637">
        <v>47</v>
      </c>
      <c r="C1637" t="s">
        <v>26</v>
      </c>
      <c r="D1637" t="s">
        <v>16</v>
      </c>
      <c r="E1637" t="s">
        <v>17</v>
      </c>
      <c r="F1637" t="s">
        <v>18</v>
      </c>
      <c r="G1637" t="s">
        <v>41</v>
      </c>
      <c r="H1637" t="s">
        <v>20</v>
      </c>
      <c r="I1637" s="1">
        <v>3</v>
      </c>
      <c r="J1637" s="2">
        <v>45945</v>
      </c>
      <c r="K1637" s="2">
        <v>45931</v>
      </c>
      <c r="L1637" s="1" t="str">
        <f t="shared" si="157"/>
        <v>qua</v>
      </c>
      <c r="M1637" s="1" t="str">
        <f t="shared" si="158"/>
        <v>out</v>
      </c>
      <c r="N1637">
        <f t="shared" si="159"/>
        <v>2025</v>
      </c>
      <c r="O1637" s="2">
        <f>_xlfn.XLOOKUP(A1637,Colaboradores!$A:$A,Colaboradores!$S:$S,"",0)</f>
        <v>46185</v>
      </c>
      <c r="P1637" t="str">
        <f t="shared" si="156"/>
        <v>130645945</v>
      </c>
    </row>
    <row r="1638" spans="1:16" x14ac:dyDescent="0.3">
      <c r="A1638">
        <v>1306</v>
      </c>
      <c r="B1638">
        <v>47</v>
      </c>
      <c r="C1638" t="s">
        <v>26</v>
      </c>
      <c r="D1638" t="s">
        <v>16</v>
      </c>
      <c r="E1638" t="s">
        <v>17</v>
      </c>
      <c r="F1638" t="s">
        <v>18</v>
      </c>
      <c r="G1638" t="s">
        <v>41</v>
      </c>
      <c r="H1638" t="s">
        <v>20</v>
      </c>
      <c r="I1638" s="1">
        <v>3</v>
      </c>
      <c r="J1638" s="2">
        <v>45949</v>
      </c>
      <c r="K1638" s="2">
        <v>45931</v>
      </c>
      <c r="L1638" s="1" t="str">
        <f t="shared" si="157"/>
        <v>dom</v>
      </c>
      <c r="M1638" s="1" t="str">
        <f t="shared" si="158"/>
        <v>out</v>
      </c>
      <c r="N1638">
        <f t="shared" si="159"/>
        <v>2025</v>
      </c>
      <c r="O1638" s="2">
        <f>_xlfn.XLOOKUP(A1638,Colaboradores!$A:$A,Colaboradores!$S:$S,"",0)</f>
        <v>46185</v>
      </c>
      <c r="P1638" t="str">
        <f t="shared" si="156"/>
        <v>130645949</v>
      </c>
    </row>
    <row r="1639" spans="1:16" x14ac:dyDescent="0.3">
      <c r="A1639">
        <v>1306</v>
      </c>
      <c r="B1639">
        <v>47</v>
      </c>
      <c r="C1639" t="s">
        <v>26</v>
      </c>
      <c r="D1639" t="s">
        <v>16</v>
      </c>
      <c r="E1639" t="s">
        <v>17</v>
      </c>
      <c r="F1639" t="s">
        <v>18</v>
      </c>
      <c r="G1639" t="s">
        <v>41</v>
      </c>
      <c r="H1639" t="s">
        <v>20</v>
      </c>
      <c r="I1639" s="1">
        <v>3</v>
      </c>
      <c r="J1639" s="2">
        <v>46005</v>
      </c>
      <c r="K1639" s="2">
        <v>45992</v>
      </c>
      <c r="L1639" s="1" t="str">
        <f t="shared" si="157"/>
        <v>dom</v>
      </c>
      <c r="M1639" s="1" t="str">
        <f t="shared" si="158"/>
        <v>dez</v>
      </c>
      <c r="N1639">
        <f t="shared" si="159"/>
        <v>2025</v>
      </c>
      <c r="O1639" s="2">
        <f>_xlfn.XLOOKUP(A1639,Colaboradores!$A:$A,Colaboradores!$S:$S,"",0)</f>
        <v>46185</v>
      </c>
      <c r="P1639" t="str">
        <f t="shared" si="156"/>
        <v>130646005</v>
      </c>
    </row>
    <row r="1640" spans="1:16" x14ac:dyDescent="0.3">
      <c r="A1640">
        <v>1306</v>
      </c>
      <c r="B1640">
        <v>47</v>
      </c>
      <c r="C1640" t="s">
        <v>26</v>
      </c>
      <c r="D1640" t="s">
        <v>16</v>
      </c>
      <c r="E1640" t="s">
        <v>17</v>
      </c>
      <c r="F1640" t="s">
        <v>18</v>
      </c>
      <c r="G1640" t="s">
        <v>41</v>
      </c>
      <c r="H1640" t="s">
        <v>20</v>
      </c>
      <c r="I1640" s="1">
        <v>3</v>
      </c>
      <c r="J1640" s="2">
        <v>46020</v>
      </c>
      <c r="K1640" s="2">
        <v>45992</v>
      </c>
      <c r="L1640" s="1" t="str">
        <f t="shared" si="157"/>
        <v>seg</v>
      </c>
      <c r="M1640" s="1" t="str">
        <f t="shared" si="158"/>
        <v>dez</v>
      </c>
      <c r="N1640">
        <f t="shared" si="159"/>
        <v>2025</v>
      </c>
      <c r="O1640" s="2">
        <f>_xlfn.XLOOKUP(A1640,Colaboradores!$A:$A,Colaboradores!$S:$S,"",0)</f>
        <v>46185</v>
      </c>
      <c r="P1640" t="str">
        <f t="shared" si="156"/>
        <v>130646020</v>
      </c>
    </row>
    <row r="1641" spans="1:16" x14ac:dyDescent="0.3">
      <c r="A1641">
        <v>1306</v>
      </c>
      <c r="B1641">
        <v>47</v>
      </c>
      <c r="C1641" t="s">
        <v>26</v>
      </c>
      <c r="D1641" t="s">
        <v>16</v>
      </c>
      <c r="E1641" t="s">
        <v>17</v>
      </c>
      <c r="F1641" t="s">
        <v>18</v>
      </c>
      <c r="G1641" t="s">
        <v>41</v>
      </c>
      <c r="H1641" t="s">
        <v>20</v>
      </c>
      <c r="I1641" s="1">
        <v>3</v>
      </c>
      <c r="J1641" s="2">
        <v>46059</v>
      </c>
      <c r="K1641" s="2">
        <v>46054</v>
      </c>
      <c r="L1641" s="1" t="str">
        <f t="shared" ref="L1641:L1673" si="160">TEXT(J1641,"ddd")</f>
        <v>sex</v>
      </c>
      <c r="M1641" s="1" t="str">
        <f t="shared" ref="M1641:M1673" si="161">TEXT($J1641,"mmm")</f>
        <v>fev</v>
      </c>
      <c r="N1641">
        <f t="shared" ref="N1641:N1673" si="162">YEAR(J1641)</f>
        <v>2026</v>
      </c>
      <c r="O1641" s="2">
        <f>_xlfn.XLOOKUP(A1641,Colaboradores!$A:$A,Colaboradores!$S:$S,"",0)</f>
        <v>46185</v>
      </c>
      <c r="P1641" t="str">
        <f t="shared" si="156"/>
        <v>130646059</v>
      </c>
    </row>
    <row r="1642" spans="1:16" x14ac:dyDescent="0.3">
      <c r="A1642">
        <v>1306</v>
      </c>
      <c r="B1642">
        <v>47</v>
      </c>
      <c r="C1642" t="s">
        <v>26</v>
      </c>
      <c r="D1642" t="s">
        <v>16</v>
      </c>
      <c r="E1642" t="s">
        <v>17</v>
      </c>
      <c r="F1642" t="s">
        <v>18</v>
      </c>
      <c r="G1642" t="s">
        <v>41</v>
      </c>
      <c r="H1642" t="s">
        <v>20</v>
      </c>
      <c r="I1642" s="1">
        <v>3</v>
      </c>
      <c r="J1642" s="2">
        <v>46111</v>
      </c>
      <c r="K1642" s="2">
        <v>46082</v>
      </c>
      <c r="L1642" s="1" t="str">
        <f t="shared" si="160"/>
        <v>seg</v>
      </c>
      <c r="M1642" s="1" t="str">
        <f t="shared" si="161"/>
        <v>mar</v>
      </c>
      <c r="N1642">
        <f t="shared" si="162"/>
        <v>2026</v>
      </c>
      <c r="O1642" s="2">
        <f>_xlfn.XLOOKUP(A1642,Colaboradores!$A:$A,Colaboradores!$S:$S,"",0)</f>
        <v>46185</v>
      </c>
      <c r="P1642" t="str">
        <f t="shared" si="156"/>
        <v>130646111</v>
      </c>
    </row>
    <row r="1643" spans="1:16" x14ac:dyDescent="0.3">
      <c r="A1643">
        <v>1307</v>
      </c>
      <c r="B1643">
        <v>42</v>
      </c>
      <c r="C1643" t="s">
        <v>26</v>
      </c>
      <c r="D1643" t="s">
        <v>31</v>
      </c>
      <c r="E1643" t="s">
        <v>32</v>
      </c>
      <c r="F1643" t="s">
        <v>21</v>
      </c>
      <c r="G1643" t="s">
        <v>44</v>
      </c>
      <c r="H1643" t="s">
        <v>20</v>
      </c>
      <c r="I1643" s="1">
        <v>1</v>
      </c>
      <c r="J1643" s="2">
        <v>45938</v>
      </c>
      <c r="K1643" s="2">
        <v>45931</v>
      </c>
      <c r="L1643" s="1" t="str">
        <f t="shared" si="160"/>
        <v>qua</v>
      </c>
      <c r="M1643" s="1" t="str">
        <f t="shared" si="161"/>
        <v>out</v>
      </c>
      <c r="N1643">
        <f t="shared" si="162"/>
        <v>2025</v>
      </c>
      <c r="O1643" s="2">
        <f>_xlfn.XLOOKUP(A1643,Colaboradores!$A:$A,Colaboradores!$S:$S,"",0)</f>
        <v>46142</v>
      </c>
      <c r="P1643" t="str">
        <f t="shared" si="156"/>
        <v>130745938</v>
      </c>
    </row>
    <row r="1644" spans="1:16" x14ac:dyDescent="0.3">
      <c r="A1644">
        <v>1307</v>
      </c>
      <c r="B1644">
        <v>42</v>
      </c>
      <c r="C1644" t="s">
        <v>26</v>
      </c>
      <c r="D1644" t="s">
        <v>31</v>
      </c>
      <c r="E1644" t="s">
        <v>32</v>
      </c>
      <c r="F1644" t="s">
        <v>21</v>
      </c>
      <c r="G1644" t="s">
        <v>41</v>
      </c>
      <c r="H1644" t="s">
        <v>20</v>
      </c>
      <c r="I1644" s="1">
        <v>1</v>
      </c>
      <c r="J1644" s="2">
        <v>45971</v>
      </c>
      <c r="K1644" s="2">
        <v>45962</v>
      </c>
      <c r="L1644" s="1" t="str">
        <f t="shared" si="160"/>
        <v>seg</v>
      </c>
      <c r="M1644" s="1" t="str">
        <f t="shared" si="161"/>
        <v>nov</v>
      </c>
      <c r="N1644">
        <f t="shared" si="162"/>
        <v>2025</v>
      </c>
      <c r="O1644" s="2">
        <f>_xlfn.XLOOKUP(A1644,Colaboradores!$A:$A,Colaboradores!$S:$S,"",0)</f>
        <v>46142</v>
      </c>
      <c r="P1644" t="str">
        <f t="shared" si="156"/>
        <v>130745971</v>
      </c>
    </row>
    <row r="1645" spans="1:16" x14ac:dyDescent="0.3">
      <c r="A1645">
        <v>1307</v>
      </c>
      <c r="B1645">
        <v>42</v>
      </c>
      <c r="C1645" t="s">
        <v>26</v>
      </c>
      <c r="D1645" t="s">
        <v>31</v>
      </c>
      <c r="E1645" t="s">
        <v>32</v>
      </c>
      <c r="F1645" t="s">
        <v>21</v>
      </c>
      <c r="G1645" t="s">
        <v>41</v>
      </c>
      <c r="H1645" t="s">
        <v>20</v>
      </c>
      <c r="I1645" s="1">
        <v>1</v>
      </c>
      <c r="J1645" s="2">
        <v>46061</v>
      </c>
      <c r="K1645" s="2">
        <v>46054</v>
      </c>
      <c r="L1645" s="1" t="str">
        <f t="shared" si="160"/>
        <v>dom</v>
      </c>
      <c r="M1645" s="1" t="str">
        <f t="shared" si="161"/>
        <v>fev</v>
      </c>
      <c r="N1645">
        <f t="shared" si="162"/>
        <v>2026</v>
      </c>
      <c r="O1645" s="2">
        <f>_xlfn.XLOOKUP(A1645,Colaboradores!$A:$A,Colaboradores!$S:$S,"",0)</f>
        <v>46142</v>
      </c>
      <c r="P1645" t="str">
        <f t="shared" si="156"/>
        <v>130746061</v>
      </c>
    </row>
    <row r="1646" spans="1:16" x14ac:dyDescent="0.3">
      <c r="A1646">
        <v>1307</v>
      </c>
      <c r="B1646">
        <v>42</v>
      </c>
      <c r="C1646" t="s">
        <v>26</v>
      </c>
      <c r="D1646" t="s">
        <v>31</v>
      </c>
      <c r="E1646" t="s">
        <v>32</v>
      </c>
      <c r="F1646" t="s">
        <v>21</v>
      </c>
      <c r="G1646" t="s">
        <v>41</v>
      </c>
      <c r="H1646" t="s">
        <v>20</v>
      </c>
      <c r="I1646" s="1">
        <v>1</v>
      </c>
      <c r="J1646" s="2">
        <v>46103</v>
      </c>
      <c r="K1646" s="2">
        <v>46082</v>
      </c>
      <c r="L1646" s="1" t="str">
        <f t="shared" si="160"/>
        <v>dom</v>
      </c>
      <c r="M1646" s="1" t="str">
        <f t="shared" si="161"/>
        <v>mar</v>
      </c>
      <c r="N1646">
        <f t="shared" si="162"/>
        <v>2026</v>
      </c>
      <c r="O1646" s="2">
        <f>_xlfn.XLOOKUP(A1646,Colaboradores!$A:$A,Colaboradores!$S:$S,"",0)</f>
        <v>46142</v>
      </c>
      <c r="P1646" t="str">
        <f t="shared" si="156"/>
        <v>130746103</v>
      </c>
    </row>
    <row r="1647" spans="1:16" x14ac:dyDescent="0.3">
      <c r="A1647">
        <v>1307</v>
      </c>
      <c r="B1647">
        <v>42</v>
      </c>
      <c r="C1647" t="s">
        <v>26</v>
      </c>
      <c r="D1647" t="s">
        <v>31</v>
      </c>
      <c r="E1647" t="s">
        <v>32</v>
      </c>
      <c r="F1647" t="s">
        <v>21</v>
      </c>
      <c r="G1647" t="s">
        <v>41</v>
      </c>
      <c r="H1647" t="s">
        <v>20</v>
      </c>
      <c r="I1647" s="1">
        <v>1</v>
      </c>
      <c r="J1647" s="2">
        <v>46104</v>
      </c>
      <c r="K1647" s="2">
        <v>46082</v>
      </c>
      <c r="L1647" s="1" t="str">
        <f t="shared" si="160"/>
        <v>seg</v>
      </c>
      <c r="M1647" s="1" t="str">
        <f t="shared" si="161"/>
        <v>mar</v>
      </c>
      <c r="N1647">
        <f t="shared" si="162"/>
        <v>2026</v>
      </c>
      <c r="O1647" s="2">
        <f>_xlfn.XLOOKUP(A1647,Colaboradores!$A:$A,Colaboradores!$S:$S,"",0)</f>
        <v>46142</v>
      </c>
      <c r="P1647" t="str">
        <f t="shared" si="156"/>
        <v>130746104</v>
      </c>
    </row>
    <row r="1648" spans="1:16" x14ac:dyDescent="0.3">
      <c r="A1648">
        <v>1307</v>
      </c>
      <c r="B1648">
        <v>42</v>
      </c>
      <c r="C1648" t="s">
        <v>26</v>
      </c>
      <c r="D1648" t="s">
        <v>31</v>
      </c>
      <c r="E1648" t="s">
        <v>32</v>
      </c>
      <c r="F1648" t="s">
        <v>21</v>
      </c>
      <c r="G1648" t="s">
        <v>41</v>
      </c>
      <c r="H1648" t="s">
        <v>20</v>
      </c>
      <c r="I1648" s="1">
        <v>1</v>
      </c>
      <c r="J1648" s="2">
        <v>46110</v>
      </c>
      <c r="K1648" s="2">
        <v>46082</v>
      </c>
      <c r="L1648" s="1" t="str">
        <f t="shared" si="160"/>
        <v>dom</v>
      </c>
      <c r="M1648" s="1" t="str">
        <f t="shared" si="161"/>
        <v>mar</v>
      </c>
      <c r="N1648">
        <f t="shared" si="162"/>
        <v>2026</v>
      </c>
      <c r="O1648" s="2">
        <f>_xlfn.XLOOKUP(A1648,Colaboradores!$A:$A,Colaboradores!$S:$S,"",0)</f>
        <v>46142</v>
      </c>
      <c r="P1648" t="str">
        <f t="shared" si="156"/>
        <v>130746110</v>
      </c>
    </row>
    <row r="1649" spans="1:16" x14ac:dyDescent="0.3">
      <c r="A1649">
        <v>1308</v>
      </c>
      <c r="B1649">
        <v>54</v>
      </c>
      <c r="C1649" t="s">
        <v>26</v>
      </c>
      <c r="D1649" t="s">
        <v>16</v>
      </c>
      <c r="E1649" t="s">
        <v>17</v>
      </c>
      <c r="F1649" t="s">
        <v>18</v>
      </c>
      <c r="G1649" t="s">
        <v>41</v>
      </c>
      <c r="H1649" t="s">
        <v>25</v>
      </c>
      <c r="I1649" s="1">
        <v>3</v>
      </c>
      <c r="J1649" s="2">
        <v>45849</v>
      </c>
      <c r="K1649" s="2">
        <v>45839</v>
      </c>
      <c r="L1649" s="1" t="str">
        <f t="shared" si="160"/>
        <v>sex</v>
      </c>
      <c r="M1649" s="1" t="str">
        <f t="shared" si="161"/>
        <v>jul</v>
      </c>
      <c r="N1649">
        <f t="shared" si="162"/>
        <v>2025</v>
      </c>
      <c r="O1649" s="2"/>
      <c r="P1649" t="str">
        <f t="shared" si="156"/>
        <v>130845849</v>
      </c>
    </row>
    <row r="1650" spans="1:16" x14ac:dyDescent="0.3">
      <c r="A1650">
        <v>1308</v>
      </c>
      <c r="B1650">
        <v>54</v>
      </c>
      <c r="C1650" t="s">
        <v>26</v>
      </c>
      <c r="D1650" t="s">
        <v>16</v>
      </c>
      <c r="E1650" t="s">
        <v>17</v>
      </c>
      <c r="F1650" t="s">
        <v>18</v>
      </c>
      <c r="G1650" t="s">
        <v>40</v>
      </c>
      <c r="H1650" t="s">
        <v>25</v>
      </c>
      <c r="I1650" s="1">
        <v>3</v>
      </c>
      <c r="J1650" s="2">
        <v>45854</v>
      </c>
      <c r="K1650" s="2">
        <v>45839</v>
      </c>
      <c r="L1650" s="1" t="str">
        <f t="shared" si="160"/>
        <v>qua</v>
      </c>
      <c r="M1650" s="1" t="str">
        <f t="shared" si="161"/>
        <v>jul</v>
      </c>
      <c r="N1650">
        <f t="shared" si="162"/>
        <v>2025</v>
      </c>
      <c r="O1650" s="2"/>
      <c r="P1650" t="str">
        <f t="shared" si="156"/>
        <v>130845854</v>
      </c>
    </row>
    <row r="1651" spans="1:16" x14ac:dyDescent="0.3">
      <c r="A1651">
        <v>1308</v>
      </c>
      <c r="B1651">
        <v>54</v>
      </c>
      <c r="C1651" t="s">
        <v>26</v>
      </c>
      <c r="D1651" t="s">
        <v>16</v>
      </c>
      <c r="E1651" t="s">
        <v>17</v>
      </c>
      <c r="F1651" t="s">
        <v>18</v>
      </c>
      <c r="G1651" t="s">
        <v>41</v>
      </c>
      <c r="H1651" t="s">
        <v>25</v>
      </c>
      <c r="I1651" s="1">
        <v>3</v>
      </c>
      <c r="J1651" s="2">
        <v>45874</v>
      </c>
      <c r="K1651" s="2">
        <v>45870</v>
      </c>
      <c r="L1651" s="1" t="str">
        <f t="shared" si="160"/>
        <v>ter</v>
      </c>
      <c r="M1651" s="1" t="str">
        <f t="shared" si="161"/>
        <v>ago</v>
      </c>
      <c r="N1651">
        <f t="shared" si="162"/>
        <v>2025</v>
      </c>
      <c r="O1651" s="2"/>
      <c r="P1651" t="str">
        <f t="shared" si="156"/>
        <v>130845874</v>
      </c>
    </row>
    <row r="1652" spans="1:16" x14ac:dyDescent="0.3">
      <c r="A1652">
        <v>1308</v>
      </c>
      <c r="B1652">
        <v>54</v>
      </c>
      <c r="C1652" t="s">
        <v>26</v>
      </c>
      <c r="D1652" t="s">
        <v>16</v>
      </c>
      <c r="E1652" t="s">
        <v>17</v>
      </c>
      <c r="F1652" t="s">
        <v>18</v>
      </c>
      <c r="G1652" t="s">
        <v>41</v>
      </c>
      <c r="H1652" t="s">
        <v>25</v>
      </c>
      <c r="I1652" s="1">
        <v>3</v>
      </c>
      <c r="J1652" s="2">
        <v>45912</v>
      </c>
      <c r="K1652" s="2">
        <v>45901</v>
      </c>
      <c r="L1652" s="1" t="str">
        <f t="shared" si="160"/>
        <v>sex</v>
      </c>
      <c r="M1652" s="1" t="str">
        <f t="shared" si="161"/>
        <v>set</v>
      </c>
      <c r="N1652">
        <f t="shared" si="162"/>
        <v>2025</v>
      </c>
      <c r="O1652" s="2"/>
      <c r="P1652" t="str">
        <f t="shared" si="156"/>
        <v>130845912</v>
      </c>
    </row>
    <row r="1653" spans="1:16" x14ac:dyDescent="0.3">
      <c r="A1653">
        <v>1308</v>
      </c>
      <c r="B1653">
        <v>54</v>
      </c>
      <c r="C1653" t="s">
        <v>26</v>
      </c>
      <c r="D1653" t="s">
        <v>16</v>
      </c>
      <c r="E1653" t="s">
        <v>17</v>
      </c>
      <c r="F1653" t="s">
        <v>18</v>
      </c>
      <c r="G1653" t="s">
        <v>41</v>
      </c>
      <c r="H1653" t="s">
        <v>25</v>
      </c>
      <c r="I1653" s="1">
        <v>3</v>
      </c>
      <c r="J1653" s="2">
        <v>46092</v>
      </c>
      <c r="K1653" s="2">
        <v>46082</v>
      </c>
      <c r="L1653" s="1" t="str">
        <f t="shared" si="160"/>
        <v>qua</v>
      </c>
      <c r="M1653" s="1" t="str">
        <f t="shared" si="161"/>
        <v>mar</v>
      </c>
      <c r="N1653">
        <f t="shared" si="162"/>
        <v>2026</v>
      </c>
      <c r="O1653" s="2"/>
      <c r="P1653" t="str">
        <f t="shared" si="156"/>
        <v>130846092</v>
      </c>
    </row>
    <row r="1654" spans="1:16" x14ac:dyDescent="0.3">
      <c r="A1654">
        <v>1309</v>
      </c>
      <c r="B1654">
        <v>45</v>
      </c>
      <c r="C1654" t="s">
        <v>26</v>
      </c>
      <c r="D1654" t="s">
        <v>29</v>
      </c>
      <c r="E1654" t="s">
        <v>17</v>
      </c>
      <c r="F1654" t="s">
        <v>23</v>
      </c>
      <c r="G1654" t="s">
        <v>43</v>
      </c>
      <c r="H1654" t="s">
        <v>25</v>
      </c>
      <c r="I1654" s="1">
        <v>3</v>
      </c>
      <c r="J1654" s="2">
        <v>45817</v>
      </c>
      <c r="K1654" s="2">
        <v>45809</v>
      </c>
      <c r="L1654" s="1" t="str">
        <f t="shared" si="160"/>
        <v>seg</v>
      </c>
      <c r="M1654" s="1" t="str">
        <f t="shared" si="161"/>
        <v>jun</v>
      </c>
      <c r="N1654">
        <f t="shared" si="162"/>
        <v>2025</v>
      </c>
      <c r="O1654" s="2"/>
      <c r="P1654" t="str">
        <f t="shared" si="156"/>
        <v>130945817</v>
      </c>
    </row>
    <row r="1655" spans="1:16" x14ac:dyDescent="0.3">
      <c r="A1655">
        <v>1309</v>
      </c>
      <c r="B1655">
        <v>45</v>
      </c>
      <c r="C1655" t="s">
        <v>26</v>
      </c>
      <c r="D1655" t="s">
        <v>29</v>
      </c>
      <c r="E1655" t="s">
        <v>17</v>
      </c>
      <c r="F1655" t="s">
        <v>23</v>
      </c>
      <c r="G1655" t="s">
        <v>42</v>
      </c>
      <c r="H1655" t="s">
        <v>25</v>
      </c>
      <c r="I1655" s="1">
        <v>3</v>
      </c>
      <c r="J1655" s="2">
        <v>45831</v>
      </c>
      <c r="K1655" s="2">
        <v>45809</v>
      </c>
      <c r="L1655" s="1" t="str">
        <f t="shared" si="160"/>
        <v>seg</v>
      </c>
      <c r="M1655" s="1" t="str">
        <f t="shared" si="161"/>
        <v>jun</v>
      </c>
      <c r="N1655">
        <f t="shared" si="162"/>
        <v>2025</v>
      </c>
      <c r="O1655" s="2"/>
      <c r="P1655" t="str">
        <f t="shared" si="156"/>
        <v>130945831</v>
      </c>
    </row>
    <row r="1656" spans="1:16" x14ac:dyDescent="0.3">
      <c r="A1656">
        <v>1309</v>
      </c>
      <c r="B1656">
        <v>45</v>
      </c>
      <c r="C1656" t="s">
        <v>26</v>
      </c>
      <c r="D1656" t="s">
        <v>29</v>
      </c>
      <c r="E1656" t="s">
        <v>17</v>
      </c>
      <c r="F1656" t="s">
        <v>23</v>
      </c>
      <c r="G1656" t="s">
        <v>42</v>
      </c>
      <c r="H1656" t="s">
        <v>25</v>
      </c>
      <c r="I1656" s="1">
        <v>3</v>
      </c>
      <c r="J1656" s="2">
        <v>45835</v>
      </c>
      <c r="K1656" s="2">
        <v>45809</v>
      </c>
      <c r="L1656" s="1" t="str">
        <f t="shared" si="160"/>
        <v>sex</v>
      </c>
      <c r="M1656" s="1" t="str">
        <f t="shared" si="161"/>
        <v>jun</v>
      </c>
      <c r="N1656">
        <f t="shared" si="162"/>
        <v>2025</v>
      </c>
      <c r="O1656" s="2"/>
      <c r="P1656" t="str">
        <f t="shared" si="156"/>
        <v>130945835</v>
      </c>
    </row>
    <row r="1657" spans="1:16" x14ac:dyDescent="0.3">
      <c r="A1657">
        <v>1309</v>
      </c>
      <c r="B1657">
        <v>45</v>
      </c>
      <c r="C1657" t="s">
        <v>26</v>
      </c>
      <c r="D1657" t="s">
        <v>29</v>
      </c>
      <c r="E1657" t="s">
        <v>17</v>
      </c>
      <c r="F1657" t="s">
        <v>23</v>
      </c>
      <c r="G1657" t="s">
        <v>41</v>
      </c>
      <c r="H1657" t="s">
        <v>25</v>
      </c>
      <c r="I1657" s="1">
        <v>3</v>
      </c>
      <c r="J1657" s="2">
        <v>45840</v>
      </c>
      <c r="K1657" s="2">
        <v>45839</v>
      </c>
      <c r="L1657" s="1" t="str">
        <f t="shared" si="160"/>
        <v>qua</v>
      </c>
      <c r="M1657" s="1" t="str">
        <f t="shared" si="161"/>
        <v>jul</v>
      </c>
      <c r="N1657">
        <f t="shared" si="162"/>
        <v>2025</v>
      </c>
      <c r="O1657" s="2"/>
      <c r="P1657" t="str">
        <f t="shared" si="156"/>
        <v>130945840</v>
      </c>
    </row>
    <row r="1658" spans="1:16" x14ac:dyDescent="0.3">
      <c r="A1658">
        <v>1309</v>
      </c>
      <c r="B1658">
        <v>45</v>
      </c>
      <c r="C1658" t="s">
        <v>26</v>
      </c>
      <c r="D1658" t="s">
        <v>29</v>
      </c>
      <c r="E1658" t="s">
        <v>17</v>
      </c>
      <c r="F1658" t="s">
        <v>23</v>
      </c>
      <c r="G1658" t="s">
        <v>42</v>
      </c>
      <c r="H1658" t="s">
        <v>25</v>
      </c>
      <c r="I1658" s="1">
        <v>3</v>
      </c>
      <c r="J1658" s="2">
        <v>46011</v>
      </c>
      <c r="K1658" s="2">
        <v>45992</v>
      </c>
      <c r="L1658" s="1" t="str">
        <f t="shared" si="160"/>
        <v>sáb</v>
      </c>
      <c r="M1658" s="1" t="str">
        <f t="shared" si="161"/>
        <v>dez</v>
      </c>
      <c r="N1658">
        <f t="shared" si="162"/>
        <v>2025</v>
      </c>
      <c r="O1658" s="2"/>
      <c r="P1658" t="str">
        <f t="shared" si="156"/>
        <v>130946011</v>
      </c>
    </row>
    <row r="1659" spans="1:16" x14ac:dyDescent="0.3">
      <c r="A1659">
        <v>1311</v>
      </c>
      <c r="B1659">
        <v>52</v>
      </c>
      <c r="C1659" t="s">
        <v>26</v>
      </c>
      <c r="D1659" t="s">
        <v>22</v>
      </c>
      <c r="E1659" t="s">
        <v>17</v>
      </c>
      <c r="F1659" t="s">
        <v>18</v>
      </c>
      <c r="G1659" t="s">
        <v>41</v>
      </c>
      <c r="H1659" t="s">
        <v>25</v>
      </c>
      <c r="I1659" s="1">
        <v>3</v>
      </c>
      <c r="J1659" s="2">
        <v>45838</v>
      </c>
      <c r="K1659" s="2">
        <v>45809</v>
      </c>
      <c r="L1659" s="1" t="str">
        <f t="shared" si="160"/>
        <v>seg</v>
      </c>
      <c r="M1659" s="1" t="str">
        <f t="shared" si="161"/>
        <v>jun</v>
      </c>
      <c r="N1659">
        <f t="shared" si="162"/>
        <v>2025</v>
      </c>
      <c r="O1659" s="2"/>
      <c r="P1659" t="str">
        <f t="shared" si="156"/>
        <v>131145838</v>
      </c>
    </row>
    <row r="1660" spans="1:16" x14ac:dyDescent="0.3">
      <c r="A1660">
        <v>1311</v>
      </c>
      <c r="B1660">
        <v>52</v>
      </c>
      <c r="C1660" t="s">
        <v>26</v>
      </c>
      <c r="D1660" t="s">
        <v>22</v>
      </c>
      <c r="E1660" t="s">
        <v>17</v>
      </c>
      <c r="F1660" t="s">
        <v>18</v>
      </c>
      <c r="G1660" t="s">
        <v>41</v>
      </c>
      <c r="H1660" t="s">
        <v>25</v>
      </c>
      <c r="I1660" s="1">
        <v>3</v>
      </c>
      <c r="J1660" s="2">
        <v>45860</v>
      </c>
      <c r="K1660" s="2">
        <v>45839</v>
      </c>
      <c r="L1660" s="1" t="str">
        <f t="shared" si="160"/>
        <v>ter</v>
      </c>
      <c r="M1660" s="1" t="str">
        <f t="shared" si="161"/>
        <v>jul</v>
      </c>
      <c r="N1660">
        <f t="shared" si="162"/>
        <v>2025</v>
      </c>
      <c r="O1660" s="2"/>
      <c r="P1660" t="str">
        <f t="shared" si="156"/>
        <v>131145860</v>
      </c>
    </row>
    <row r="1661" spans="1:16" x14ac:dyDescent="0.3">
      <c r="A1661">
        <v>1311</v>
      </c>
      <c r="B1661">
        <v>52</v>
      </c>
      <c r="C1661" t="s">
        <v>26</v>
      </c>
      <c r="D1661" t="s">
        <v>22</v>
      </c>
      <c r="E1661" t="s">
        <v>17</v>
      </c>
      <c r="F1661" t="s">
        <v>18</v>
      </c>
      <c r="G1661" t="s">
        <v>41</v>
      </c>
      <c r="H1661" t="s">
        <v>25</v>
      </c>
      <c r="I1661" s="1">
        <v>3</v>
      </c>
      <c r="J1661" s="2">
        <v>45918</v>
      </c>
      <c r="K1661" s="2">
        <v>45901</v>
      </c>
      <c r="L1661" s="1" t="str">
        <f t="shared" si="160"/>
        <v>qui</v>
      </c>
      <c r="M1661" s="1" t="str">
        <f t="shared" si="161"/>
        <v>set</v>
      </c>
      <c r="N1661">
        <f t="shared" si="162"/>
        <v>2025</v>
      </c>
      <c r="O1661" s="2"/>
      <c r="P1661" t="str">
        <f t="shared" si="156"/>
        <v>131145918</v>
      </c>
    </row>
    <row r="1662" spans="1:16" x14ac:dyDescent="0.3">
      <c r="A1662">
        <v>1311</v>
      </c>
      <c r="B1662">
        <v>52</v>
      </c>
      <c r="C1662" t="s">
        <v>26</v>
      </c>
      <c r="D1662" t="s">
        <v>22</v>
      </c>
      <c r="E1662" t="s">
        <v>17</v>
      </c>
      <c r="F1662" t="s">
        <v>18</v>
      </c>
      <c r="G1662" t="s">
        <v>43</v>
      </c>
      <c r="H1662" t="s">
        <v>25</v>
      </c>
      <c r="I1662" s="1">
        <v>3</v>
      </c>
      <c r="J1662" s="2">
        <v>45927</v>
      </c>
      <c r="K1662" s="2">
        <v>45901</v>
      </c>
      <c r="L1662" s="1" t="str">
        <f t="shared" si="160"/>
        <v>sáb</v>
      </c>
      <c r="M1662" s="1" t="str">
        <f t="shared" si="161"/>
        <v>set</v>
      </c>
      <c r="N1662">
        <f t="shared" si="162"/>
        <v>2025</v>
      </c>
      <c r="O1662" s="2"/>
      <c r="P1662" t="str">
        <f t="shared" si="156"/>
        <v>131145927</v>
      </c>
    </row>
    <row r="1663" spans="1:16" x14ac:dyDescent="0.3">
      <c r="A1663">
        <v>1311</v>
      </c>
      <c r="B1663">
        <v>52</v>
      </c>
      <c r="C1663" t="s">
        <v>26</v>
      </c>
      <c r="D1663" t="s">
        <v>22</v>
      </c>
      <c r="E1663" t="s">
        <v>17</v>
      </c>
      <c r="F1663" t="s">
        <v>18</v>
      </c>
      <c r="G1663" t="s">
        <v>43</v>
      </c>
      <c r="H1663" t="s">
        <v>25</v>
      </c>
      <c r="I1663" s="1">
        <v>3</v>
      </c>
      <c r="J1663" s="2">
        <v>45957</v>
      </c>
      <c r="K1663" s="2">
        <v>45931</v>
      </c>
      <c r="L1663" s="1" t="str">
        <f t="shared" si="160"/>
        <v>seg</v>
      </c>
      <c r="M1663" s="1" t="str">
        <f t="shared" si="161"/>
        <v>out</v>
      </c>
      <c r="N1663">
        <f t="shared" si="162"/>
        <v>2025</v>
      </c>
      <c r="O1663" s="2"/>
      <c r="P1663" t="str">
        <f t="shared" si="156"/>
        <v>131145957</v>
      </c>
    </row>
    <row r="1664" spans="1:16" x14ac:dyDescent="0.3">
      <c r="A1664">
        <v>1312</v>
      </c>
      <c r="B1664">
        <v>24</v>
      </c>
      <c r="C1664" t="s">
        <v>26</v>
      </c>
      <c r="D1664" t="s">
        <v>22</v>
      </c>
      <c r="E1664" t="s">
        <v>17</v>
      </c>
      <c r="F1664" t="s">
        <v>21</v>
      </c>
      <c r="G1664" t="s">
        <v>41</v>
      </c>
      <c r="H1664" t="s">
        <v>25</v>
      </c>
      <c r="I1664" s="1">
        <v>3</v>
      </c>
      <c r="J1664" s="2">
        <v>45922</v>
      </c>
      <c r="K1664" s="2">
        <v>45901</v>
      </c>
      <c r="L1664" s="1" t="str">
        <f t="shared" si="160"/>
        <v>seg</v>
      </c>
      <c r="M1664" s="1" t="str">
        <f t="shared" si="161"/>
        <v>set</v>
      </c>
      <c r="N1664">
        <f t="shared" si="162"/>
        <v>2025</v>
      </c>
      <c r="O1664" s="2"/>
      <c r="P1664" t="str">
        <f t="shared" si="156"/>
        <v>131245922</v>
      </c>
    </row>
    <row r="1665" spans="1:16" x14ac:dyDescent="0.3">
      <c r="A1665">
        <v>1312</v>
      </c>
      <c r="B1665">
        <v>24</v>
      </c>
      <c r="C1665" t="s">
        <v>26</v>
      </c>
      <c r="D1665" t="s">
        <v>22</v>
      </c>
      <c r="E1665" t="s">
        <v>17</v>
      </c>
      <c r="F1665" t="s">
        <v>21</v>
      </c>
      <c r="G1665" t="s">
        <v>41</v>
      </c>
      <c r="H1665" t="s">
        <v>25</v>
      </c>
      <c r="I1665" s="1">
        <v>3</v>
      </c>
      <c r="J1665" s="2">
        <v>45951</v>
      </c>
      <c r="K1665" s="2">
        <v>45931</v>
      </c>
      <c r="L1665" s="1" t="str">
        <f t="shared" si="160"/>
        <v>ter</v>
      </c>
      <c r="M1665" s="1" t="str">
        <f t="shared" si="161"/>
        <v>out</v>
      </c>
      <c r="N1665">
        <f t="shared" si="162"/>
        <v>2025</v>
      </c>
      <c r="O1665" s="2"/>
      <c r="P1665" t="str">
        <f t="shared" ref="P1665:P1728" si="163">CONCATENATE(A1665,J1665)</f>
        <v>131245951</v>
      </c>
    </row>
    <row r="1666" spans="1:16" x14ac:dyDescent="0.3">
      <c r="A1666">
        <v>1312</v>
      </c>
      <c r="B1666">
        <v>24</v>
      </c>
      <c r="C1666" t="s">
        <v>26</v>
      </c>
      <c r="D1666" t="s">
        <v>22</v>
      </c>
      <c r="E1666" t="s">
        <v>17</v>
      </c>
      <c r="F1666" t="s">
        <v>21</v>
      </c>
      <c r="G1666" t="s">
        <v>41</v>
      </c>
      <c r="H1666" t="s">
        <v>25</v>
      </c>
      <c r="I1666" s="1">
        <v>3</v>
      </c>
      <c r="J1666" s="2">
        <v>46199</v>
      </c>
      <c r="K1666" s="2">
        <v>46023</v>
      </c>
      <c r="L1666" s="1" t="str">
        <f t="shared" si="160"/>
        <v>sex</v>
      </c>
      <c r="M1666" s="1" t="str">
        <f t="shared" si="161"/>
        <v>jun</v>
      </c>
      <c r="N1666">
        <f t="shared" si="162"/>
        <v>2026</v>
      </c>
      <c r="O1666" s="2"/>
      <c r="P1666" t="str">
        <f t="shared" si="163"/>
        <v>131246199</v>
      </c>
    </row>
    <row r="1667" spans="1:16" x14ac:dyDescent="0.3">
      <c r="A1667">
        <v>1312</v>
      </c>
      <c r="B1667">
        <v>24</v>
      </c>
      <c r="C1667" t="s">
        <v>26</v>
      </c>
      <c r="D1667" t="s">
        <v>22</v>
      </c>
      <c r="E1667" t="s">
        <v>17</v>
      </c>
      <c r="F1667" t="s">
        <v>21</v>
      </c>
      <c r="G1667" t="s">
        <v>41</v>
      </c>
      <c r="H1667" t="s">
        <v>25</v>
      </c>
      <c r="I1667" s="1">
        <v>3</v>
      </c>
      <c r="J1667" s="2">
        <v>46200</v>
      </c>
      <c r="K1667" s="2">
        <v>46023</v>
      </c>
      <c r="L1667" s="1" t="str">
        <f t="shared" si="160"/>
        <v>sáb</v>
      </c>
      <c r="M1667" s="1" t="str">
        <f t="shared" si="161"/>
        <v>jun</v>
      </c>
      <c r="N1667">
        <f t="shared" si="162"/>
        <v>2026</v>
      </c>
      <c r="O1667" s="2"/>
      <c r="P1667" t="str">
        <f t="shared" si="163"/>
        <v>131246200</v>
      </c>
    </row>
    <row r="1668" spans="1:16" x14ac:dyDescent="0.3">
      <c r="A1668">
        <v>1313</v>
      </c>
      <c r="B1668">
        <v>49</v>
      </c>
      <c r="C1668" t="s">
        <v>15</v>
      </c>
      <c r="D1668" t="s">
        <v>16</v>
      </c>
      <c r="E1668" t="s">
        <v>17</v>
      </c>
      <c r="F1668" t="s">
        <v>18</v>
      </c>
      <c r="G1668" t="s">
        <v>40</v>
      </c>
      <c r="H1668" t="s">
        <v>25</v>
      </c>
      <c r="I1668" s="1">
        <v>1</v>
      </c>
      <c r="J1668" s="2">
        <v>45779</v>
      </c>
      <c r="K1668" s="2">
        <v>45778</v>
      </c>
      <c r="L1668" s="1" t="str">
        <f t="shared" si="160"/>
        <v>sex</v>
      </c>
      <c r="M1668" s="1" t="str">
        <f t="shared" si="161"/>
        <v>mai</v>
      </c>
      <c r="N1668">
        <f t="shared" si="162"/>
        <v>2025</v>
      </c>
      <c r="O1668" s="2"/>
      <c r="P1668" t="str">
        <f t="shared" si="163"/>
        <v>131345779</v>
      </c>
    </row>
    <row r="1669" spans="1:16" x14ac:dyDescent="0.3">
      <c r="A1669">
        <v>1313</v>
      </c>
      <c r="B1669">
        <v>49</v>
      </c>
      <c r="C1669" t="s">
        <v>15</v>
      </c>
      <c r="D1669" t="s">
        <v>16</v>
      </c>
      <c r="E1669" t="s">
        <v>17</v>
      </c>
      <c r="F1669" t="s">
        <v>18</v>
      </c>
      <c r="G1669" t="s">
        <v>40</v>
      </c>
      <c r="H1669" t="s">
        <v>25</v>
      </c>
      <c r="I1669" s="1">
        <v>1</v>
      </c>
      <c r="J1669" s="2">
        <v>45827</v>
      </c>
      <c r="K1669" s="2">
        <v>45809</v>
      </c>
      <c r="L1669" s="1" t="str">
        <f t="shared" si="160"/>
        <v>qui</v>
      </c>
      <c r="M1669" s="1" t="str">
        <f t="shared" si="161"/>
        <v>jun</v>
      </c>
      <c r="N1669">
        <f t="shared" si="162"/>
        <v>2025</v>
      </c>
      <c r="O1669" s="2"/>
      <c r="P1669" t="str">
        <f t="shared" si="163"/>
        <v>131345827</v>
      </c>
    </row>
    <row r="1670" spans="1:16" x14ac:dyDescent="0.3">
      <c r="A1670">
        <v>1313</v>
      </c>
      <c r="B1670">
        <v>49</v>
      </c>
      <c r="C1670" t="s">
        <v>15</v>
      </c>
      <c r="D1670" t="s">
        <v>16</v>
      </c>
      <c r="E1670" t="s">
        <v>17</v>
      </c>
      <c r="F1670" t="s">
        <v>18</v>
      </c>
      <c r="G1670" t="s">
        <v>40</v>
      </c>
      <c r="H1670" t="s">
        <v>25</v>
      </c>
      <c r="I1670" s="1">
        <v>1</v>
      </c>
      <c r="J1670" s="2">
        <v>45968</v>
      </c>
      <c r="K1670" s="2">
        <v>45962</v>
      </c>
      <c r="L1670" s="1" t="str">
        <f t="shared" si="160"/>
        <v>sex</v>
      </c>
      <c r="M1670" s="1" t="str">
        <f t="shared" si="161"/>
        <v>nov</v>
      </c>
      <c r="N1670">
        <f t="shared" si="162"/>
        <v>2025</v>
      </c>
      <c r="O1670" s="2"/>
      <c r="P1670" t="str">
        <f t="shared" si="163"/>
        <v>131345968</v>
      </c>
    </row>
    <row r="1671" spans="1:16" x14ac:dyDescent="0.3">
      <c r="A1671">
        <v>1313</v>
      </c>
      <c r="B1671">
        <v>49</v>
      </c>
      <c r="C1671" t="s">
        <v>15</v>
      </c>
      <c r="D1671" t="s">
        <v>16</v>
      </c>
      <c r="E1671" t="s">
        <v>17</v>
      </c>
      <c r="F1671" t="s">
        <v>18</v>
      </c>
      <c r="G1671" t="s">
        <v>40</v>
      </c>
      <c r="H1671" t="s">
        <v>25</v>
      </c>
      <c r="I1671" s="1">
        <v>1</v>
      </c>
      <c r="J1671" s="2">
        <v>45999</v>
      </c>
      <c r="K1671" s="2">
        <v>45992</v>
      </c>
      <c r="L1671" s="1" t="str">
        <f t="shared" si="160"/>
        <v>seg</v>
      </c>
      <c r="M1671" s="1" t="str">
        <f t="shared" si="161"/>
        <v>dez</v>
      </c>
      <c r="N1671">
        <f t="shared" si="162"/>
        <v>2025</v>
      </c>
      <c r="O1671" s="2"/>
      <c r="P1671" t="str">
        <f t="shared" si="163"/>
        <v>131345999</v>
      </c>
    </row>
    <row r="1672" spans="1:16" x14ac:dyDescent="0.3">
      <c r="A1672">
        <v>1313</v>
      </c>
      <c r="B1672">
        <v>49</v>
      </c>
      <c r="C1672" t="s">
        <v>15</v>
      </c>
      <c r="D1672" t="s">
        <v>16</v>
      </c>
      <c r="E1672" t="s">
        <v>17</v>
      </c>
      <c r="F1672" t="s">
        <v>18</v>
      </c>
      <c r="G1672" t="s">
        <v>40</v>
      </c>
      <c r="H1672" t="s">
        <v>25</v>
      </c>
      <c r="I1672" s="1">
        <v>1</v>
      </c>
      <c r="J1672" s="2">
        <v>46202</v>
      </c>
      <c r="K1672" s="2">
        <v>46023</v>
      </c>
      <c r="L1672" s="1" t="str">
        <f t="shared" si="160"/>
        <v>seg</v>
      </c>
      <c r="M1672" s="1" t="str">
        <f t="shared" si="161"/>
        <v>jun</v>
      </c>
      <c r="N1672">
        <f t="shared" si="162"/>
        <v>2026</v>
      </c>
      <c r="O1672" s="2"/>
      <c r="P1672" t="str">
        <f t="shared" si="163"/>
        <v>131346202</v>
      </c>
    </row>
    <row r="1673" spans="1:16" x14ac:dyDescent="0.3">
      <c r="A1673">
        <v>1313</v>
      </c>
      <c r="B1673">
        <v>49</v>
      </c>
      <c r="C1673" t="s">
        <v>15</v>
      </c>
      <c r="D1673" t="s">
        <v>16</v>
      </c>
      <c r="E1673" t="s">
        <v>17</v>
      </c>
      <c r="F1673" t="s">
        <v>18</v>
      </c>
      <c r="G1673" t="s">
        <v>40</v>
      </c>
      <c r="H1673" t="s">
        <v>25</v>
      </c>
      <c r="I1673" s="1">
        <v>1</v>
      </c>
      <c r="J1673" s="2">
        <v>46073</v>
      </c>
      <c r="K1673" s="2">
        <v>46054</v>
      </c>
      <c r="L1673" s="1" t="str">
        <f t="shared" si="160"/>
        <v>sex</v>
      </c>
      <c r="M1673" s="1" t="str">
        <f t="shared" si="161"/>
        <v>fev</v>
      </c>
      <c r="N1673">
        <f t="shared" si="162"/>
        <v>2026</v>
      </c>
      <c r="O1673" s="2"/>
      <c r="P1673" t="str">
        <f t="shared" si="163"/>
        <v>131346073</v>
      </c>
    </row>
    <row r="1674" spans="1:16" x14ac:dyDescent="0.3">
      <c r="A1674">
        <v>1313</v>
      </c>
      <c r="B1674">
        <v>49</v>
      </c>
      <c r="C1674" t="s">
        <v>15</v>
      </c>
      <c r="D1674" t="s">
        <v>16</v>
      </c>
      <c r="E1674" t="s">
        <v>17</v>
      </c>
      <c r="F1674" t="s">
        <v>18</v>
      </c>
      <c r="G1674" t="s">
        <v>40</v>
      </c>
      <c r="H1674" t="s">
        <v>25</v>
      </c>
      <c r="I1674" s="1">
        <v>1</v>
      </c>
      <c r="J1674" s="2">
        <v>46144</v>
      </c>
      <c r="K1674" s="2">
        <v>46143</v>
      </c>
      <c r="L1674" s="1" t="s">
        <v>53</v>
      </c>
      <c r="M1674" s="1" t="s">
        <v>49</v>
      </c>
      <c r="N1674">
        <v>2025</v>
      </c>
      <c r="O1674" s="2"/>
      <c r="P1674" t="str">
        <f t="shared" si="163"/>
        <v>131346144</v>
      </c>
    </row>
    <row r="1675" spans="1:16" x14ac:dyDescent="0.3">
      <c r="A1675">
        <v>1315</v>
      </c>
      <c r="B1675">
        <v>43</v>
      </c>
      <c r="C1675" t="s">
        <v>26</v>
      </c>
      <c r="D1675" t="s">
        <v>29</v>
      </c>
      <c r="E1675" t="s">
        <v>17</v>
      </c>
      <c r="F1675" t="s">
        <v>21</v>
      </c>
      <c r="G1675" t="s">
        <v>42</v>
      </c>
      <c r="H1675" t="s">
        <v>25</v>
      </c>
      <c r="I1675" s="1">
        <v>3</v>
      </c>
      <c r="J1675" s="2">
        <v>45830</v>
      </c>
      <c r="K1675" s="2">
        <v>45809</v>
      </c>
      <c r="L1675" s="1" t="str">
        <f t="shared" ref="L1675:L1706" si="164">TEXT(J1675,"ddd")</f>
        <v>dom</v>
      </c>
      <c r="M1675" s="1" t="str">
        <f t="shared" ref="M1675:M1706" si="165">TEXT($J1675,"mmm")</f>
        <v>jun</v>
      </c>
      <c r="N1675">
        <f t="shared" ref="N1675:N1706" si="166">YEAR(J1675)</f>
        <v>2025</v>
      </c>
      <c r="O1675" s="2"/>
      <c r="P1675" t="str">
        <f t="shared" si="163"/>
        <v>131545830</v>
      </c>
    </row>
    <row r="1676" spans="1:16" x14ac:dyDescent="0.3">
      <c r="A1676">
        <v>1315</v>
      </c>
      <c r="B1676">
        <v>43</v>
      </c>
      <c r="C1676" t="s">
        <v>26</v>
      </c>
      <c r="D1676" t="s">
        <v>29</v>
      </c>
      <c r="E1676" t="s">
        <v>17</v>
      </c>
      <c r="F1676" t="s">
        <v>21</v>
      </c>
      <c r="G1676" t="s">
        <v>44</v>
      </c>
      <c r="H1676" t="s">
        <v>25</v>
      </c>
      <c r="I1676" s="1">
        <v>3</v>
      </c>
      <c r="J1676" s="2">
        <v>45833</v>
      </c>
      <c r="K1676" s="2">
        <v>45809</v>
      </c>
      <c r="L1676" s="1" t="str">
        <f t="shared" si="164"/>
        <v>qua</v>
      </c>
      <c r="M1676" s="1" t="str">
        <f t="shared" si="165"/>
        <v>jun</v>
      </c>
      <c r="N1676">
        <f t="shared" si="166"/>
        <v>2025</v>
      </c>
      <c r="O1676" s="2"/>
      <c r="P1676" t="str">
        <f t="shared" si="163"/>
        <v>131545833</v>
      </c>
    </row>
    <row r="1677" spans="1:16" x14ac:dyDescent="0.3">
      <c r="A1677">
        <v>1315</v>
      </c>
      <c r="B1677">
        <v>43</v>
      </c>
      <c r="C1677" t="s">
        <v>26</v>
      </c>
      <c r="D1677" t="s">
        <v>29</v>
      </c>
      <c r="E1677" t="s">
        <v>17</v>
      </c>
      <c r="F1677" t="s">
        <v>21</v>
      </c>
      <c r="G1677" t="s">
        <v>42</v>
      </c>
      <c r="H1677" t="s">
        <v>25</v>
      </c>
      <c r="I1677" s="1">
        <v>3</v>
      </c>
      <c r="J1677" s="2">
        <v>45928</v>
      </c>
      <c r="K1677" s="2">
        <v>45901</v>
      </c>
      <c r="L1677" s="1" t="str">
        <f t="shared" si="164"/>
        <v>dom</v>
      </c>
      <c r="M1677" s="1" t="str">
        <f t="shared" si="165"/>
        <v>set</v>
      </c>
      <c r="N1677">
        <f t="shared" si="166"/>
        <v>2025</v>
      </c>
      <c r="O1677" s="2"/>
      <c r="P1677" t="str">
        <f t="shared" si="163"/>
        <v>131545928</v>
      </c>
    </row>
    <row r="1678" spans="1:16" x14ac:dyDescent="0.3">
      <c r="A1678">
        <v>1315</v>
      </c>
      <c r="B1678">
        <v>43</v>
      </c>
      <c r="C1678" t="s">
        <v>26</v>
      </c>
      <c r="D1678" t="s">
        <v>29</v>
      </c>
      <c r="E1678" t="s">
        <v>17</v>
      </c>
      <c r="F1678" t="s">
        <v>21</v>
      </c>
      <c r="G1678" t="s">
        <v>44</v>
      </c>
      <c r="H1678" t="s">
        <v>25</v>
      </c>
      <c r="I1678" s="1">
        <v>3</v>
      </c>
      <c r="J1678" s="2">
        <v>45929</v>
      </c>
      <c r="K1678" s="2">
        <v>45901</v>
      </c>
      <c r="L1678" s="1" t="str">
        <f t="shared" si="164"/>
        <v>seg</v>
      </c>
      <c r="M1678" s="1" t="str">
        <f t="shared" si="165"/>
        <v>set</v>
      </c>
      <c r="N1678">
        <f t="shared" si="166"/>
        <v>2025</v>
      </c>
      <c r="O1678" s="2"/>
      <c r="P1678" t="str">
        <f t="shared" si="163"/>
        <v>131545929</v>
      </c>
    </row>
    <row r="1679" spans="1:16" x14ac:dyDescent="0.3">
      <c r="A1679">
        <v>1315</v>
      </c>
      <c r="B1679">
        <v>43</v>
      </c>
      <c r="C1679" t="s">
        <v>26</v>
      </c>
      <c r="D1679" t="s">
        <v>29</v>
      </c>
      <c r="E1679" t="s">
        <v>17</v>
      </c>
      <c r="F1679" t="s">
        <v>21</v>
      </c>
      <c r="G1679" t="s">
        <v>44</v>
      </c>
      <c r="H1679" t="s">
        <v>25</v>
      </c>
      <c r="I1679" s="1">
        <v>3</v>
      </c>
      <c r="J1679" s="2">
        <v>46180</v>
      </c>
      <c r="K1679" s="2">
        <v>46023</v>
      </c>
      <c r="L1679" s="1" t="str">
        <f t="shared" si="164"/>
        <v>dom</v>
      </c>
      <c r="M1679" s="1" t="str">
        <f t="shared" si="165"/>
        <v>jun</v>
      </c>
      <c r="N1679">
        <f t="shared" si="166"/>
        <v>2026</v>
      </c>
      <c r="O1679" s="2"/>
      <c r="P1679" t="str">
        <f t="shared" si="163"/>
        <v>131546180</v>
      </c>
    </row>
    <row r="1680" spans="1:16" x14ac:dyDescent="0.3">
      <c r="A1680">
        <v>1315</v>
      </c>
      <c r="B1680">
        <v>43</v>
      </c>
      <c r="C1680" t="s">
        <v>26</v>
      </c>
      <c r="D1680" t="s">
        <v>29</v>
      </c>
      <c r="E1680" t="s">
        <v>17</v>
      </c>
      <c r="F1680" t="s">
        <v>21</v>
      </c>
      <c r="G1680" t="s">
        <v>44</v>
      </c>
      <c r="H1680" t="s">
        <v>25</v>
      </c>
      <c r="I1680" s="1">
        <v>3</v>
      </c>
      <c r="J1680" s="2">
        <v>46187</v>
      </c>
      <c r="K1680" s="2">
        <v>46023</v>
      </c>
      <c r="L1680" s="1" t="str">
        <f t="shared" si="164"/>
        <v>dom</v>
      </c>
      <c r="M1680" s="1" t="str">
        <f t="shared" si="165"/>
        <v>jun</v>
      </c>
      <c r="N1680">
        <f t="shared" si="166"/>
        <v>2026</v>
      </c>
      <c r="O1680" s="2"/>
      <c r="P1680" t="str">
        <f t="shared" si="163"/>
        <v>131546187</v>
      </c>
    </row>
    <row r="1681" spans="1:16" x14ac:dyDescent="0.3">
      <c r="A1681">
        <v>1316</v>
      </c>
      <c r="B1681">
        <v>18</v>
      </c>
      <c r="C1681" t="s">
        <v>15</v>
      </c>
      <c r="D1681" t="s">
        <v>27</v>
      </c>
      <c r="E1681" t="s">
        <v>17</v>
      </c>
      <c r="F1681" t="s">
        <v>23</v>
      </c>
      <c r="G1681" t="s">
        <v>41</v>
      </c>
      <c r="H1681" t="s">
        <v>25</v>
      </c>
      <c r="I1681" s="1">
        <v>2</v>
      </c>
      <c r="J1681" s="2">
        <v>45812</v>
      </c>
      <c r="K1681" s="2">
        <v>45809</v>
      </c>
      <c r="L1681" s="1" t="str">
        <f t="shared" si="164"/>
        <v>qua</v>
      </c>
      <c r="M1681" s="1" t="str">
        <f t="shared" si="165"/>
        <v>jun</v>
      </c>
      <c r="N1681">
        <f t="shared" si="166"/>
        <v>2025</v>
      </c>
      <c r="O1681" s="2"/>
      <c r="P1681" t="str">
        <f t="shared" si="163"/>
        <v>131645812</v>
      </c>
    </row>
    <row r="1682" spans="1:16" x14ac:dyDescent="0.3">
      <c r="A1682">
        <v>1316</v>
      </c>
      <c r="B1682">
        <v>18</v>
      </c>
      <c r="C1682" t="s">
        <v>15</v>
      </c>
      <c r="D1682" t="s">
        <v>27</v>
      </c>
      <c r="E1682" t="s">
        <v>17</v>
      </c>
      <c r="F1682" t="s">
        <v>23</v>
      </c>
      <c r="G1682" t="s">
        <v>41</v>
      </c>
      <c r="H1682" t="s">
        <v>25</v>
      </c>
      <c r="I1682" s="1">
        <v>2</v>
      </c>
      <c r="J1682" s="2">
        <v>45838</v>
      </c>
      <c r="K1682" s="2">
        <v>45809</v>
      </c>
      <c r="L1682" s="1" t="str">
        <f t="shared" si="164"/>
        <v>seg</v>
      </c>
      <c r="M1682" s="1" t="str">
        <f t="shared" si="165"/>
        <v>jun</v>
      </c>
      <c r="N1682">
        <f t="shared" si="166"/>
        <v>2025</v>
      </c>
      <c r="O1682" s="2"/>
      <c r="P1682" t="str">
        <f t="shared" si="163"/>
        <v>131645838</v>
      </c>
    </row>
    <row r="1683" spans="1:16" x14ac:dyDescent="0.3">
      <c r="A1683">
        <v>1316</v>
      </c>
      <c r="B1683">
        <v>18</v>
      </c>
      <c r="C1683" t="s">
        <v>15</v>
      </c>
      <c r="D1683" t="s">
        <v>27</v>
      </c>
      <c r="E1683" t="s">
        <v>17</v>
      </c>
      <c r="F1683" t="s">
        <v>23</v>
      </c>
      <c r="G1683" t="s">
        <v>41</v>
      </c>
      <c r="H1683" t="s">
        <v>25</v>
      </c>
      <c r="I1683" s="1">
        <v>2</v>
      </c>
      <c r="J1683" s="2">
        <v>45982</v>
      </c>
      <c r="K1683" s="2">
        <v>45962</v>
      </c>
      <c r="L1683" s="1" t="str">
        <f t="shared" si="164"/>
        <v>sex</v>
      </c>
      <c r="M1683" s="1" t="str">
        <f t="shared" si="165"/>
        <v>nov</v>
      </c>
      <c r="N1683">
        <f t="shared" si="166"/>
        <v>2025</v>
      </c>
      <c r="O1683" s="2"/>
      <c r="P1683" t="str">
        <f t="shared" si="163"/>
        <v>131645982</v>
      </c>
    </row>
    <row r="1684" spans="1:16" x14ac:dyDescent="0.3">
      <c r="A1684">
        <v>1316</v>
      </c>
      <c r="B1684">
        <v>18</v>
      </c>
      <c r="C1684" t="s">
        <v>15</v>
      </c>
      <c r="D1684" t="s">
        <v>27</v>
      </c>
      <c r="E1684" t="s">
        <v>17</v>
      </c>
      <c r="F1684" t="s">
        <v>23</v>
      </c>
      <c r="G1684" t="s">
        <v>41</v>
      </c>
      <c r="H1684" t="s">
        <v>25</v>
      </c>
      <c r="I1684" s="1">
        <v>2</v>
      </c>
      <c r="J1684" s="2">
        <v>46008</v>
      </c>
      <c r="K1684" s="2">
        <v>45992</v>
      </c>
      <c r="L1684" s="1" t="str">
        <f t="shared" si="164"/>
        <v>qua</v>
      </c>
      <c r="M1684" s="1" t="str">
        <f t="shared" si="165"/>
        <v>dez</v>
      </c>
      <c r="N1684">
        <f t="shared" si="166"/>
        <v>2025</v>
      </c>
      <c r="O1684" s="2"/>
      <c r="P1684" t="str">
        <f t="shared" si="163"/>
        <v>131646008</v>
      </c>
    </row>
    <row r="1685" spans="1:16" x14ac:dyDescent="0.3">
      <c r="A1685">
        <v>1316</v>
      </c>
      <c r="B1685">
        <v>18</v>
      </c>
      <c r="C1685" t="s">
        <v>15</v>
      </c>
      <c r="D1685" t="s">
        <v>27</v>
      </c>
      <c r="E1685" t="s">
        <v>17</v>
      </c>
      <c r="F1685" t="s">
        <v>23</v>
      </c>
      <c r="G1685" t="s">
        <v>41</v>
      </c>
      <c r="H1685" t="s">
        <v>25</v>
      </c>
      <c r="I1685" s="1">
        <v>2</v>
      </c>
      <c r="J1685" s="2">
        <v>46186</v>
      </c>
      <c r="K1685" s="2">
        <v>46023</v>
      </c>
      <c r="L1685" s="1" t="str">
        <f t="shared" si="164"/>
        <v>sáb</v>
      </c>
      <c r="M1685" s="1" t="str">
        <f t="shared" si="165"/>
        <v>jun</v>
      </c>
      <c r="N1685">
        <f t="shared" si="166"/>
        <v>2026</v>
      </c>
      <c r="O1685" s="2"/>
      <c r="P1685" t="str">
        <f t="shared" si="163"/>
        <v>131646186</v>
      </c>
    </row>
    <row r="1686" spans="1:16" x14ac:dyDescent="0.3">
      <c r="A1686">
        <v>1316</v>
      </c>
      <c r="B1686">
        <v>18</v>
      </c>
      <c r="C1686" t="s">
        <v>15</v>
      </c>
      <c r="D1686" t="s">
        <v>27</v>
      </c>
      <c r="E1686" t="s">
        <v>17</v>
      </c>
      <c r="F1686" t="s">
        <v>23</v>
      </c>
      <c r="G1686" t="s">
        <v>41</v>
      </c>
      <c r="H1686" t="s">
        <v>25</v>
      </c>
      <c r="I1686" s="1">
        <v>2</v>
      </c>
      <c r="J1686" s="2">
        <v>46138</v>
      </c>
      <c r="L1686" s="1" t="str">
        <f t="shared" si="164"/>
        <v>dom</v>
      </c>
      <c r="M1686" s="1" t="str">
        <f t="shared" si="165"/>
        <v>abr</v>
      </c>
      <c r="N1686">
        <f t="shared" si="166"/>
        <v>2026</v>
      </c>
      <c r="P1686" t="str">
        <f t="shared" si="163"/>
        <v>131646138</v>
      </c>
    </row>
    <row r="1687" spans="1:16" x14ac:dyDescent="0.3">
      <c r="A1687">
        <v>1316</v>
      </c>
      <c r="B1687">
        <v>18</v>
      </c>
      <c r="C1687" t="s">
        <v>15</v>
      </c>
      <c r="D1687" t="s">
        <v>27</v>
      </c>
      <c r="E1687" t="s">
        <v>17</v>
      </c>
      <c r="F1687" t="s">
        <v>23</v>
      </c>
      <c r="G1687" t="s">
        <v>41</v>
      </c>
      <c r="H1687" t="s">
        <v>25</v>
      </c>
      <c r="I1687" s="1">
        <v>2</v>
      </c>
      <c r="J1687" s="2">
        <v>46140</v>
      </c>
      <c r="L1687" s="1" t="str">
        <f t="shared" si="164"/>
        <v>ter</v>
      </c>
      <c r="M1687" s="1" t="str">
        <f t="shared" si="165"/>
        <v>abr</v>
      </c>
      <c r="N1687">
        <f t="shared" si="166"/>
        <v>2026</v>
      </c>
      <c r="P1687" t="str">
        <f t="shared" si="163"/>
        <v>131646140</v>
      </c>
    </row>
    <row r="1688" spans="1:16" x14ac:dyDescent="0.3">
      <c r="A1688">
        <v>1316</v>
      </c>
      <c r="B1688">
        <v>18</v>
      </c>
      <c r="C1688" t="s">
        <v>15</v>
      </c>
      <c r="D1688" t="s">
        <v>27</v>
      </c>
      <c r="E1688" t="s">
        <v>17</v>
      </c>
      <c r="F1688" t="s">
        <v>23</v>
      </c>
      <c r="G1688" t="s">
        <v>41</v>
      </c>
      <c r="H1688" t="s">
        <v>25</v>
      </c>
      <c r="I1688" s="1">
        <v>2</v>
      </c>
      <c r="J1688" s="2">
        <v>46141</v>
      </c>
      <c r="L1688" s="1" t="str">
        <f t="shared" si="164"/>
        <v>qua</v>
      </c>
      <c r="M1688" s="1" t="str">
        <f t="shared" si="165"/>
        <v>abr</v>
      </c>
      <c r="N1688">
        <f t="shared" si="166"/>
        <v>2026</v>
      </c>
      <c r="P1688" t="str">
        <f t="shared" si="163"/>
        <v>131646141</v>
      </c>
    </row>
    <row r="1689" spans="1:16" x14ac:dyDescent="0.3">
      <c r="A1689">
        <v>1316</v>
      </c>
      <c r="B1689">
        <v>18</v>
      </c>
      <c r="C1689" t="s">
        <v>15</v>
      </c>
      <c r="D1689" t="s">
        <v>27</v>
      </c>
      <c r="E1689" t="s">
        <v>17</v>
      </c>
      <c r="F1689" t="s">
        <v>23</v>
      </c>
      <c r="G1689" t="s">
        <v>41</v>
      </c>
      <c r="H1689" t="s">
        <v>25</v>
      </c>
      <c r="I1689" s="1">
        <v>2</v>
      </c>
      <c r="J1689" s="2">
        <v>46113</v>
      </c>
      <c r="L1689" s="1" t="str">
        <f t="shared" si="164"/>
        <v>qua</v>
      </c>
      <c r="M1689" s="1" t="str">
        <f t="shared" si="165"/>
        <v>abr</v>
      </c>
      <c r="N1689">
        <f t="shared" si="166"/>
        <v>2026</v>
      </c>
      <c r="P1689" t="str">
        <f t="shared" si="163"/>
        <v>131646113</v>
      </c>
    </row>
    <row r="1690" spans="1:16" x14ac:dyDescent="0.3">
      <c r="A1690">
        <v>1316</v>
      </c>
      <c r="B1690">
        <v>18</v>
      </c>
      <c r="C1690" t="s">
        <v>15</v>
      </c>
      <c r="D1690" t="s">
        <v>27</v>
      </c>
      <c r="E1690" t="s">
        <v>17</v>
      </c>
      <c r="F1690" t="s">
        <v>23</v>
      </c>
      <c r="G1690" t="s">
        <v>41</v>
      </c>
      <c r="H1690" t="s">
        <v>25</v>
      </c>
      <c r="I1690" s="1">
        <v>2</v>
      </c>
      <c r="J1690" s="2">
        <v>46114</v>
      </c>
      <c r="L1690" s="1" t="str">
        <f t="shared" si="164"/>
        <v>qui</v>
      </c>
      <c r="M1690" s="1" t="str">
        <f t="shared" si="165"/>
        <v>abr</v>
      </c>
      <c r="N1690">
        <f t="shared" si="166"/>
        <v>2026</v>
      </c>
      <c r="P1690" t="str">
        <f t="shared" si="163"/>
        <v>131646114</v>
      </c>
    </row>
    <row r="1691" spans="1:16" x14ac:dyDescent="0.3">
      <c r="A1691">
        <v>1316</v>
      </c>
      <c r="B1691">
        <v>18</v>
      </c>
      <c r="C1691" t="s">
        <v>15</v>
      </c>
      <c r="D1691" t="s">
        <v>27</v>
      </c>
      <c r="E1691" t="s">
        <v>17</v>
      </c>
      <c r="F1691" t="s">
        <v>23</v>
      </c>
      <c r="G1691" t="s">
        <v>41</v>
      </c>
      <c r="H1691" t="s">
        <v>25</v>
      </c>
      <c r="I1691" s="1">
        <v>2</v>
      </c>
      <c r="J1691" s="2">
        <v>46122</v>
      </c>
      <c r="L1691" s="1" t="str">
        <f t="shared" si="164"/>
        <v>sex</v>
      </c>
      <c r="M1691" s="1" t="str">
        <f t="shared" si="165"/>
        <v>abr</v>
      </c>
      <c r="N1691">
        <f t="shared" si="166"/>
        <v>2026</v>
      </c>
      <c r="P1691" t="str">
        <f t="shared" si="163"/>
        <v>131646122</v>
      </c>
    </row>
    <row r="1692" spans="1:16" x14ac:dyDescent="0.3">
      <c r="A1692">
        <v>1316</v>
      </c>
      <c r="B1692">
        <v>18</v>
      </c>
      <c r="C1692" t="s">
        <v>15</v>
      </c>
      <c r="D1692" t="s">
        <v>27</v>
      </c>
      <c r="E1692" t="s">
        <v>17</v>
      </c>
      <c r="F1692" t="s">
        <v>23</v>
      </c>
      <c r="G1692" t="s">
        <v>41</v>
      </c>
      <c r="H1692" t="s">
        <v>25</v>
      </c>
      <c r="I1692" s="1">
        <v>2</v>
      </c>
      <c r="J1692" s="2">
        <v>46127</v>
      </c>
      <c r="L1692" s="1" t="str">
        <f t="shared" si="164"/>
        <v>qua</v>
      </c>
      <c r="M1692" s="1" t="str">
        <f t="shared" si="165"/>
        <v>abr</v>
      </c>
      <c r="N1692">
        <f t="shared" si="166"/>
        <v>2026</v>
      </c>
      <c r="P1692" t="str">
        <f t="shared" si="163"/>
        <v>131646127</v>
      </c>
    </row>
    <row r="1693" spans="1:16" x14ac:dyDescent="0.3">
      <c r="A1693">
        <v>1316</v>
      </c>
      <c r="B1693">
        <v>18</v>
      </c>
      <c r="C1693" t="s">
        <v>15</v>
      </c>
      <c r="D1693" t="s">
        <v>27</v>
      </c>
      <c r="E1693" t="s">
        <v>17</v>
      </c>
      <c r="F1693" t="s">
        <v>23</v>
      </c>
      <c r="G1693" t="s">
        <v>41</v>
      </c>
      <c r="H1693" t="s">
        <v>25</v>
      </c>
      <c r="I1693" s="1">
        <v>2</v>
      </c>
      <c r="J1693" s="2">
        <v>46143</v>
      </c>
      <c r="L1693" s="1" t="str">
        <f t="shared" si="164"/>
        <v>sex</v>
      </c>
      <c r="M1693" s="1" t="str">
        <f t="shared" si="165"/>
        <v>mai</v>
      </c>
      <c r="N1693">
        <f t="shared" si="166"/>
        <v>2026</v>
      </c>
      <c r="P1693" t="str">
        <f t="shared" si="163"/>
        <v>131646143</v>
      </c>
    </row>
    <row r="1694" spans="1:16" x14ac:dyDescent="0.3">
      <c r="A1694">
        <v>1316</v>
      </c>
      <c r="B1694">
        <v>18</v>
      </c>
      <c r="C1694" t="s">
        <v>15</v>
      </c>
      <c r="D1694" t="s">
        <v>27</v>
      </c>
      <c r="E1694" t="s">
        <v>17</v>
      </c>
      <c r="F1694" t="s">
        <v>23</v>
      </c>
      <c r="G1694" t="s">
        <v>41</v>
      </c>
      <c r="H1694" t="s">
        <v>25</v>
      </c>
      <c r="I1694" s="1">
        <v>2</v>
      </c>
      <c r="J1694" s="2">
        <v>46144</v>
      </c>
      <c r="L1694" s="1" t="str">
        <f t="shared" si="164"/>
        <v>sáb</v>
      </c>
      <c r="M1694" s="1" t="str">
        <f t="shared" si="165"/>
        <v>mai</v>
      </c>
      <c r="N1694">
        <f t="shared" si="166"/>
        <v>2026</v>
      </c>
      <c r="P1694" t="str">
        <f t="shared" si="163"/>
        <v>131646144</v>
      </c>
    </row>
    <row r="1695" spans="1:16" x14ac:dyDescent="0.3">
      <c r="A1695">
        <v>1316</v>
      </c>
      <c r="B1695">
        <v>18</v>
      </c>
      <c r="C1695" t="s">
        <v>15</v>
      </c>
      <c r="D1695" t="s">
        <v>27</v>
      </c>
      <c r="E1695" t="s">
        <v>17</v>
      </c>
      <c r="F1695" t="s">
        <v>23</v>
      </c>
      <c r="G1695" t="s">
        <v>41</v>
      </c>
      <c r="H1695" t="s">
        <v>25</v>
      </c>
      <c r="I1695" s="1">
        <v>2</v>
      </c>
      <c r="J1695" s="2">
        <v>46152</v>
      </c>
      <c r="L1695" s="1" t="str">
        <f t="shared" si="164"/>
        <v>dom</v>
      </c>
      <c r="M1695" s="1" t="str">
        <f t="shared" si="165"/>
        <v>mai</v>
      </c>
      <c r="N1695">
        <f t="shared" si="166"/>
        <v>2026</v>
      </c>
      <c r="P1695" t="str">
        <f t="shared" si="163"/>
        <v>131646152</v>
      </c>
    </row>
    <row r="1696" spans="1:16" x14ac:dyDescent="0.3">
      <c r="A1696">
        <v>1316</v>
      </c>
      <c r="B1696">
        <v>18</v>
      </c>
      <c r="C1696" t="s">
        <v>15</v>
      </c>
      <c r="D1696" t="s">
        <v>27</v>
      </c>
      <c r="E1696" t="s">
        <v>17</v>
      </c>
      <c r="F1696" t="s">
        <v>23</v>
      </c>
      <c r="G1696" t="s">
        <v>41</v>
      </c>
      <c r="H1696" t="s">
        <v>25</v>
      </c>
      <c r="I1696" s="1">
        <v>2</v>
      </c>
      <c r="J1696" s="2">
        <v>46157</v>
      </c>
      <c r="L1696" s="1" t="str">
        <f t="shared" si="164"/>
        <v>sex</v>
      </c>
      <c r="M1696" s="1" t="str">
        <f t="shared" si="165"/>
        <v>mai</v>
      </c>
      <c r="N1696">
        <f t="shared" si="166"/>
        <v>2026</v>
      </c>
      <c r="P1696" t="str">
        <f t="shared" si="163"/>
        <v>131646157</v>
      </c>
    </row>
    <row r="1697" spans="1:16" x14ac:dyDescent="0.3">
      <c r="A1697">
        <v>1317</v>
      </c>
      <c r="B1697">
        <v>31</v>
      </c>
      <c r="C1697" t="s">
        <v>15</v>
      </c>
      <c r="D1697" t="s">
        <v>27</v>
      </c>
      <c r="E1697" t="s">
        <v>17</v>
      </c>
      <c r="F1697" t="s">
        <v>21</v>
      </c>
      <c r="G1697" t="s">
        <v>41</v>
      </c>
      <c r="H1697" t="s">
        <v>20</v>
      </c>
      <c r="I1697" s="1">
        <v>2</v>
      </c>
      <c r="J1697" s="2">
        <v>45825</v>
      </c>
      <c r="K1697" s="2">
        <v>45809</v>
      </c>
      <c r="L1697" s="1" t="str">
        <f t="shared" si="164"/>
        <v>ter</v>
      </c>
      <c r="M1697" s="1" t="str">
        <f t="shared" si="165"/>
        <v>jun</v>
      </c>
      <c r="N1697">
        <f t="shared" si="166"/>
        <v>2025</v>
      </c>
      <c r="O1697" s="2">
        <f>_xlfn.XLOOKUP(A1697,Colaboradores!$A:$A,Colaboradores!$S:$S,"",0)</f>
        <v>45897</v>
      </c>
      <c r="P1697" t="str">
        <f t="shared" si="163"/>
        <v>131745825</v>
      </c>
    </row>
    <row r="1698" spans="1:16" x14ac:dyDescent="0.3">
      <c r="A1698">
        <v>1317</v>
      </c>
      <c r="B1698">
        <v>31</v>
      </c>
      <c r="C1698" t="s">
        <v>15</v>
      </c>
      <c r="D1698" t="s">
        <v>27</v>
      </c>
      <c r="E1698" t="s">
        <v>17</v>
      </c>
      <c r="F1698" t="s">
        <v>21</v>
      </c>
      <c r="G1698" t="s">
        <v>41</v>
      </c>
      <c r="H1698" t="s">
        <v>20</v>
      </c>
      <c r="I1698" s="1">
        <v>2</v>
      </c>
      <c r="J1698" s="2">
        <v>45836</v>
      </c>
      <c r="K1698" s="2">
        <v>45809</v>
      </c>
      <c r="L1698" s="1" t="str">
        <f t="shared" si="164"/>
        <v>sáb</v>
      </c>
      <c r="M1698" s="1" t="str">
        <f t="shared" si="165"/>
        <v>jun</v>
      </c>
      <c r="N1698">
        <f t="shared" si="166"/>
        <v>2025</v>
      </c>
      <c r="O1698" s="2">
        <f>_xlfn.XLOOKUP(A1698,Colaboradores!$A:$A,Colaboradores!$S:$S,"",0)</f>
        <v>45897</v>
      </c>
      <c r="P1698" t="str">
        <f t="shared" si="163"/>
        <v>131745836</v>
      </c>
    </row>
    <row r="1699" spans="1:16" x14ac:dyDescent="0.3">
      <c r="A1699">
        <v>1317</v>
      </c>
      <c r="B1699">
        <v>31</v>
      </c>
      <c r="C1699" t="s">
        <v>15</v>
      </c>
      <c r="D1699" t="s">
        <v>27</v>
      </c>
      <c r="E1699" t="s">
        <v>17</v>
      </c>
      <c r="F1699" t="s">
        <v>21</v>
      </c>
      <c r="G1699" t="s">
        <v>41</v>
      </c>
      <c r="H1699" t="s">
        <v>20</v>
      </c>
      <c r="I1699" s="1">
        <v>2</v>
      </c>
      <c r="J1699" s="2">
        <v>45869</v>
      </c>
      <c r="K1699" s="2">
        <v>45839</v>
      </c>
      <c r="L1699" s="1" t="str">
        <f t="shared" si="164"/>
        <v>qui</v>
      </c>
      <c r="M1699" s="1" t="str">
        <f t="shared" si="165"/>
        <v>jul</v>
      </c>
      <c r="N1699">
        <f t="shared" si="166"/>
        <v>2025</v>
      </c>
      <c r="O1699" s="2">
        <f>_xlfn.XLOOKUP(A1699,Colaboradores!$A:$A,Colaboradores!$S:$S,"",0)</f>
        <v>45897</v>
      </c>
      <c r="P1699" t="str">
        <f t="shared" si="163"/>
        <v>131745869</v>
      </c>
    </row>
    <row r="1700" spans="1:16" x14ac:dyDescent="0.3">
      <c r="A1700">
        <v>1317</v>
      </c>
      <c r="B1700">
        <v>31</v>
      </c>
      <c r="C1700" t="s">
        <v>15</v>
      </c>
      <c r="D1700" t="s">
        <v>27</v>
      </c>
      <c r="E1700" t="s">
        <v>17</v>
      </c>
      <c r="F1700" t="s">
        <v>21</v>
      </c>
      <c r="G1700" t="s">
        <v>41</v>
      </c>
      <c r="H1700" t="s">
        <v>20</v>
      </c>
      <c r="I1700" s="1">
        <v>2</v>
      </c>
      <c r="J1700" s="2">
        <v>45870</v>
      </c>
      <c r="K1700" s="2">
        <v>45870</v>
      </c>
      <c r="L1700" s="1" t="str">
        <f t="shared" si="164"/>
        <v>sex</v>
      </c>
      <c r="M1700" s="1" t="str">
        <f t="shared" si="165"/>
        <v>ago</v>
      </c>
      <c r="N1700">
        <f t="shared" si="166"/>
        <v>2025</v>
      </c>
      <c r="O1700" s="2">
        <f>_xlfn.XLOOKUP(A1700,Colaboradores!$A:$A,Colaboradores!$S:$S,"",0)</f>
        <v>45897</v>
      </c>
      <c r="P1700" t="str">
        <f t="shared" si="163"/>
        <v>131745870</v>
      </c>
    </row>
    <row r="1701" spans="1:16" x14ac:dyDescent="0.3">
      <c r="A1701">
        <v>1318</v>
      </c>
      <c r="B1701">
        <v>45</v>
      </c>
      <c r="C1701" t="s">
        <v>26</v>
      </c>
      <c r="D1701" t="s">
        <v>29</v>
      </c>
      <c r="E1701" t="s">
        <v>17</v>
      </c>
      <c r="F1701" t="s">
        <v>18</v>
      </c>
      <c r="G1701" t="s">
        <v>41</v>
      </c>
      <c r="H1701" t="s">
        <v>20</v>
      </c>
      <c r="I1701" s="1">
        <v>1</v>
      </c>
      <c r="J1701" s="2">
        <v>45860</v>
      </c>
      <c r="K1701" s="2">
        <v>45839</v>
      </c>
      <c r="L1701" s="1" t="str">
        <f t="shared" si="164"/>
        <v>ter</v>
      </c>
      <c r="M1701" s="1" t="str">
        <f t="shared" si="165"/>
        <v>jul</v>
      </c>
      <c r="N1701">
        <f t="shared" si="166"/>
        <v>2025</v>
      </c>
      <c r="O1701" s="2">
        <f>_xlfn.XLOOKUP(A1701,Colaboradores!$A:$A,Colaboradores!$S:$S,"",0)</f>
        <v>46133</v>
      </c>
      <c r="P1701" t="str">
        <f t="shared" si="163"/>
        <v>131845860</v>
      </c>
    </row>
    <row r="1702" spans="1:16" x14ac:dyDescent="0.3">
      <c r="A1702">
        <v>1318</v>
      </c>
      <c r="B1702">
        <v>45</v>
      </c>
      <c r="C1702" t="s">
        <v>26</v>
      </c>
      <c r="D1702" t="s">
        <v>29</v>
      </c>
      <c r="E1702" t="s">
        <v>17</v>
      </c>
      <c r="F1702" t="s">
        <v>18</v>
      </c>
      <c r="G1702" t="s">
        <v>44</v>
      </c>
      <c r="H1702" t="s">
        <v>20</v>
      </c>
      <c r="I1702" s="1">
        <v>1</v>
      </c>
      <c r="J1702" s="2">
        <v>45920</v>
      </c>
      <c r="K1702" s="2">
        <v>45901</v>
      </c>
      <c r="L1702" s="1" t="str">
        <f t="shared" si="164"/>
        <v>sáb</v>
      </c>
      <c r="M1702" s="1" t="str">
        <f t="shared" si="165"/>
        <v>set</v>
      </c>
      <c r="N1702">
        <f t="shared" si="166"/>
        <v>2025</v>
      </c>
      <c r="O1702" s="2">
        <f>_xlfn.XLOOKUP(A1702,Colaboradores!$A:$A,Colaboradores!$S:$S,"",0)</f>
        <v>46133</v>
      </c>
      <c r="P1702" t="str">
        <f t="shared" si="163"/>
        <v>131845920</v>
      </c>
    </row>
    <row r="1703" spans="1:16" x14ac:dyDescent="0.3">
      <c r="A1703">
        <v>1318</v>
      </c>
      <c r="B1703">
        <v>45</v>
      </c>
      <c r="C1703" t="s">
        <v>26</v>
      </c>
      <c r="D1703" t="s">
        <v>29</v>
      </c>
      <c r="E1703" t="s">
        <v>17</v>
      </c>
      <c r="F1703" t="s">
        <v>18</v>
      </c>
      <c r="G1703" t="s">
        <v>41</v>
      </c>
      <c r="H1703" t="s">
        <v>20</v>
      </c>
      <c r="I1703" s="1">
        <v>1</v>
      </c>
      <c r="J1703" s="2">
        <v>45950</v>
      </c>
      <c r="K1703" s="2">
        <v>45931</v>
      </c>
      <c r="L1703" s="1" t="str">
        <f t="shared" si="164"/>
        <v>seg</v>
      </c>
      <c r="M1703" s="1" t="str">
        <f t="shared" si="165"/>
        <v>out</v>
      </c>
      <c r="N1703">
        <f t="shared" si="166"/>
        <v>2025</v>
      </c>
      <c r="O1703" s="2">
        <f>_xlfn.XLOOKUP(A1703,Colaboradores!$A:$A,Colaboradores!$S:$S,"",0)</f>
        <v>46133</v>
      </c>
      <c r="P1703" t="str">
        <f t="shared" si="163"/>
        <v>131845950</v>
      </c>
    </row>
    <row r="1704" spans="1:16" x14ac:dyDescent="0.3">
      <c r="A1704">
        <v>1318</v>
      </c>
      <c r="B1704">
        <v>45</v>
      </c>
      <c r="C1704" t="s">
        <v>26</v>
      </c>
      <c r="D1704" t="s">
        <v>29</v>
      </c>
      <c r="E1704" t="s">
        <v>17</v>
      </c>
      <c r="F1704" t="s">
        <v>18</v>
      </c>
      <c r="G1704" t="s">
        <v>41</v>
      </c>
      <c r="H1704" t="s">
        <v>20</v>
      </c>
      <c r="I1704" s="1">
        <v>1</v>
      </c>
      <c r="J1704" s="2">
        <v>45968</v>
      </c>
      <c r="K1704" s="2">
        <v>45962</v>
      </c>
      <c r="L1704" s="1" t="str">
        <f t="shared" si="164"/>
        <v>sex</v>
      </c>
      <c r="M1704" s="1" t="str">
        <f t="shared" si="165"/>
        <v>nov</v>
      </c>
      <c r="N1704">
        <f t="shared" si="166"/>
        <v>2025</v>
      </c>
      <c r="O1704" s="2">
        <f>_xlfn.XLOOKUP(A1704,Colaboradores!$A:$A,Colaboradores!$S:$S,"",0)</f>
        <v>46133</v>
      </c>
      <c r="P1704" t="str">
        <f t="shared" si="163"/>
        <v>131845968</v>
      </c>
    </row>
    <row r="1705" spans="1:16" x14ac:dyDescent="0.3">
      <c r="A1705">
        <v>1318</v>
      </c>
      <c r="B1705">
        <v>45</v>
      </c>
      <c r="C1705" t="s">
        <v>26</v>
      </c>
      <c r="D1705" t="s">
        <v>29</v>
      </c>
      <c r="E1705" t="s">
        <v>17</v>
      </c>
      <c r="F1705" t="s">
        <v>18</v>
      </c>
      <c r="G1705" t="s">
        <v>41</v>
      </c>
      <c r="H1705" t="s">
        <v>20</v>
      </c>
      <c r="I1705" s="1">
        <v>1</v>
      </c>
      <c r="J1705" s="2">
        <v>45986</v>
      </c>
      <c r="K1705" s="2">
        <v>45962</v>
      </c>
      <c r="L1705" s="1" t="str">
        <f t="shared" si="164"/>
        <v>ter</v>
      </c>
      <c r="M1705" s="1" t="str">
        <f t="shared" si="165"/>
        <v>nov</v>
      </c>
      <c r="N1705">
        <f t="shared" si="166"/>
        <v>2025</v>
      </c>
      <c r="O1705" s="2">
        <f>_xlfn.XLOOKUP(A1705,Colaboradores!$A:$A,Colaboradores!$S:$S,"",0)</f>
        <v>46133</v>
      </c>
      <c r="P1705" t="str">
        <f t="shared" si="163"/>
        <v>131845986</v>
      </c>
    </row>
    <row r="1706" spans="1:16" x14ac:dyDescent="0.3">
      <c r="A1706">
        <v>1318</v>
      </c>
      <c r="B1706">
        <v>45</v>
      </c>
      <c r="C1706" t="s">
        <v>26</v>
      </c>
      <c r="D1706" t="s">
        <v>29</v>
      </c>
      <c r="E1706" t="s">
        <v>17</v>
      </c>
      <c r="F1706" t="s">
        <v>18</v>
      </c>
      <c r="G1706" t="s">
        <v>41</v>
      </c>
      <c r="H1706" t="s">
        <v>20</v>
      </c>
      <c r="I1706" s="1">
        <v>1</v>
      </c>
      <c r="J1706" s="2">
        <v>46059</v>
      </c>
      <c r="K1706" s="2">
        <v>46054</v>
      </c>
      <c r="L1706" s="1" t="str">
        <f t="shared" si="164"/>
        <v>sex</v>
      </c>
      <c r="M1706" s="1" t="str">
        <f t="shared" si="165"/>
        <v>fev</v>
      </c>
      <c r="N1706">
        <f t="shared" si="166"/>
        <v>2026</v>
      </c>
      <c r="O1706" s="2">
        <f>_xlfn.XLOOKUP(A1706,Colaboradores!$A:$A,Colaboradores!$S:$S,"",0)</f>
        <v>46133</v>
      </c>
      <c r="P1706" t="str">
        <f t="shared" si="163"/>
        <v>131846059</v>
      </c>
    </row>
    <row r="1707" spans="1:16" x14ac:dyDescent="0.3">
      <c r="A1707">
        <v>1319</v>
      </c>
      <c r="B1707">
        <v>30</v>
      </c>
      <c r="C1707" t="s">
        <v>26</v>
      </c>
      <c r="D1707" t="s">
        <v>16</v>
      </c>
      <c r="E1707" t="s">
        <v>17</v>
      </c>
      <c r="F1707" t="s">
        <v>23</v>
      </c>
      <c r="G1707" t="s">
        <v>41</v>
      </c>
      <c r="H1707" t="s">
        <v>20</v>
      </c>
      <c r="I1707" s="1">
        <v>2</v>
      </c>
      <c r="J1707" s="2">
        <v>45790</v>
      </c>
      <c r="K1707" s="2">
        <v>45778</v>
      </c>
      <c r="L1707" s="1" t="str">
        <f t="shared" ref="L1707:L1728" si="167">TEXT(J1707,"ddd")</f>
        <v>ter</v>
      </c>
      <c r="M1707" s="1" t="str">
        <f t="shared" ref="M1707:M1728" si="168">TEXT($J1707,"mmm")</f>
        <v>mai</v>
      </c>
      <c r="N1707">
        <f t="shared" ref="N1707:N1728" si="169">YEAR(J1707)</f>
        <v>2025</v>
      </c>
      <c r="O1707" s="2">
        <f>_xlfn.XLOOKUP(A1707,Colaboradores!$A:$A,Colaboradores!$S:$S,"",0)</f>
        <v>45803</v>
      </c>
      <c r="P1707" t="str">
        <f t="shared" si="163"/>
        <v>131945790</v>
      </c>
    </row>
    <row r="1708" spans="1:16" x14ac:dyDescent="0.3">
      <c r="A1708">
        <v>1319</v>
      </c>
      <c r="B1708">
        <v>30</v>
      </c>
      <c r="C1708" t="s">
        <v>26</v>
      </c>
      <c r="D1708" t="s">
        <v>16</v>
      </c>
      <c r="E1708" t="s">
        <v>17</v>
      </c>
      <c r="F1708" t="s">
        <v>23</v>
      </c>
      <c r="G1708" t="s">
        <v>41</v>
      </c>
      <c r="H1708" t="s">
        <v>20</v>
      </c>
      <c r="I1708" s="1">
        <v>2</v>
      </c>
      <c r="J1708" s="2">
        <v>45791</v>
      </c>
      <c r="K1708" s="2">
        <v>45778</v>
      </c>
      <c r="L1708" s="1" t="str">
        <f t="shared" si="167"/>
        <v>qua</v>
      </c>
      <c r="M1708" s="1" t="str">
        <f t="shared" si="168"/>
        <v>mai</v>
      </c>
      <c r="N1708">
        <f t="shared" si="169"/>
        <v>2025</v>
      </c>
      <c r="O1708" s="2">
        <f>_xlfn.XLOOKUP(A1708,Colaboradores!$A:$A,Colaboradores!$S:$S,"",0)</f>
        <v>45803</v>
      </c>
      <c r="P1708" t="str">
        <f t="shared" si="163"/>
        <v>131945791</v>
      </c>
    </row>
    <row r="1709" spans="1:16" x14ac:dyDescent="0.3">
      <c r="A1709">
        <v>1319</v>
      </c>
      <c r="B1709">
        <v>30</v>
      </c>
      <c r="C1709" t="s">
        <v>26</v>
      </c>
      <c r="D1709" t="s">
        <v>16</v>
      </c>
      <c r="E1709" t="s">
        <v>17</v>
      </c>
      <c r="F1709" t="s">
        <v>23</v>
      </c>
      <c r="G1709" t="s">
        <v>41</v>
      </c>
      <c r="H1709" t="s">
        <v>20</v>
      </c>
      <c r="I1709" s="1">
        <v>2</v>
      </c>
      <c r="J1709" s="2">
        <v>45795</v>
      </c>
      <c r="K1709" s="2">
        <v>45778</v>
      </c>
      <c r="L1709" s="1" t="str">
        <f t="shared" si="167"/>
        <v>dom</v>
      </c>
      <c r="M1709" s="1" t="str">
        <f t="shared" si="168"/>
        <v>mai</v>
      </c>
      <c r="N1709">
        <f t="shared" si="169"/>
        <v>2025</v>
      </c>
      <c r="O1709" s="2">
        <f>_xlfn.XLOOKUP(A1709,Colaboradores!$A:$A,Colaboradores!$S:$S,"",0)</f>
        <v>45803</v>
      </c>
      <c r="P1709" t="str">
        <f t="shared" si="163"/>
        <v>131945795</v>
      </c>
    </row>
    <row r="1710" spans="1:16" x14ac:dyDescent="0.3">
      <c r="A1710">
        <v>1319</v>
      </c>
      <c r="B1710">
        <v>30</v>
      </c>
      <c r="C1710" t="s">
        <v>26</v>
      </c>
      <c r="D1710" t="s">
        <v>16</v>
      </c>
      <c r="E1710" t="s">
        <v>17</v>
      </c>
      <c r="F1710" t="s">
        <v>23</v>
      </c>
      <c r="G1710" t="s">
        <v>41</v>
      </c>
      <c r="H1710" t="s">
        <v>20</v>
      </c>
      <c r="I1710" s="1">
        <v>2</v>
      </c>
      <c r="J1710" s="2">
        <v>45796</v>
      </c>
      <c r="K1710" s="2">
        <v>45778</v>
      </c>
      <c r="L1710" s="1" t="str">
        <f t="shared" si="167"/>
        <v>seg</v>
      </c>
      <c r="M1710" s="1" t="str">
        <f t="shared" si="168"/>
        <v>mai</v>
      </c>
      <c r="N1710">
        <f t="shared" si="169"/>
        <v>2025</v>
      </c>
      <c r="O1710" s="2">
        <f>_xlfn.XLOOKUP(A1710,Colaboradores!$A:$A,Colaboradores!$S:$S,"",0)</f>
        <v>45803</v>
      </c>
      <c r="P1710" t="str">
        <f t="shared" si="163"/>
        <v>131945796</v>
      </c>
    </row>
    <row r="1711" spans="1:16" x14ac:dyDescent="0.3">
      <c r="A1711">
        <v>1319</v>
      </c>
      <c r="B1711">
        <v>30</v>
      </c>
      <c r="C1711" t="s">
        <v>26</v>
      </c>
      <c r="D1711" t="s">
        <v>16</v>
      </c>
      <c r="E1711" t="s">
        <v>17</v>
      </c>
      <c r="F1711" t="s">
        <v>23</v>
      </c>
      <c r="G1711" t="s">
        <v>41</v>
      </c>
      <c r="H1711" t="s">
        <v>20</v>
      </c>
      <c r="I1711" s="1">
        <v>2</v>
      </c>
      <c r="J1711" s="2">
        <v>45798</v>
      </c>
      <c r="K1711" s="2">
        <v>45778</v>
      </c>
      <c r="L1711" s="1" t="str">
        <f t="shared" si="167"/>
        <v>qua</v>
      </c>
      <c r="M1711" s="1" t="str">
        <f t="shared" si="168"/>
        <v>mai</v>
      </c>
      <c r="N1711">
        <f t="shared" si="169"/>
        <v>2025</v>
      </c>
      <c r="O1711" s="2">
        <f>_xlfn.XLOOKUP(A1711,Colaboradores!$A:$A,Colaboradores!$S:$S,"",0)</f>
        <v>45803</v>
      </c>
      <c r="P1711" t="str">
        <f t="shared" si="163"/>
        <v>131945798</v>
      </c>
    </row>
    <row r="1712" spans="1:16" x14ac:dyDescent="0.3">
      <c r="A1712">
        <v>1320</v>
      </c>
      <c r="B1712">
        <v>52</v>
      </c>
      <c r="C1712" t="s">
        <v>15</v>
      </c>
      <c r="D1712" t="s">
        <v>31</v>
      </c>
      <c r="E1712" t="s">
        <v>32</v>
      </c>
      <c r="F1712" t="s">
        <v>23</v>
      </c>
      <c r="G1712" t="s">
        <v>42</v>
      </c>
      <c r="H1712" t="s">
        <v>20</v>
      </c>
      <c r="I1712" s="1">
        <v>2</v>
      </c>
      <c r="J1712" s="2">
        <v>45762</v>
      </c>
      <c r="K1712" s="2">
        <v>45748</v>
      </c>
      <c r="L1712" s="1" t="str">
        <f t="shared" si="167"/>
        <v>ter</v>
      </c>
      <c r="M1712" s="1" t="str">
        <f t="shared" si="168"/>
        <v>abr</v>
      </c>
      <c r="N1712">
        <f t="shared" si="169"/>
        <v>2025</v>
      </c>
      <c r="O1712" s="2">
        <f>_xlfn.XLOOKUP(A1712,Colaboradores!$A:$A,Colaboradores!$S:$S,"",0)</f>
        <v>45929</v>
      </c>
      <c r="P1712" t="str">
        <f t="shared" si="163"/>
        <v>132045762</v>
      </c>
    </row>
    <row r="1713" spans="1:16" x14ac:dyDescent="0.3">
      <c r="A1713">
        <v>1320</v>
      </c>
      <c r="B1713">
        <v>52</v>
      </c>
      <c r="C1713" t="s">
        <v>15</v>
      </c>
      <c r="D1713" t="s">
        <v>31</v>
      </c>
      <c r="E1713" t="s">
        <v>32</v>
      </c>
      <c r="F1713" t="s">
        <v>23</v>
      </c>
      <c r="G1713" t="s">
        <v>41</v>
      </c>
      <c r="H1713" t="s">
        <v>20</v>
      </c>
      <c r="I1713" s="1">
        <v>2</v>
      </c>
      <c r="J1713" s="2">
        <v>45842</v>
      </c>
      <c r="K1713" s="2">
        <v>45839</v>
      </c>
      <c r="L1713" s="1" t="str">
        <f t="shared" si="167"/>
        <v>sex</v>
      </c>
      <c r="M1713" s="1" t="str">
        <f t="shared" si="168"/>
        <v>jul</v>
      </c>
      <c r="N1713">
        <f t="shared" si="169"/>
        <v>2025</v>
      </c>
      <c r="O1713" s="2">
        <f>_xlfn.XLOOKUP(A1713,Colaboradores!$A:$A,Colaboradores!$S:$S,"",0)</f>
        <v>45929</v>
      </c>
      <c r="P1713" t="str">
        <f t="shared" si="163"/>
        <v>132045842</v>
      </c>
    </row>
    <row r="1714" spans="1:16" x14ac:dyDescent="0.3">
      <c r="A1714">
        <v>1320</v>
      </c>
      <c r="B1714">
        <v>52</v>
      </c>
      <c r="C1714" t="s">
        <v>15</v>
      </c>
      <c r="D1714" t="s">
        <v>31</v>
      </c>
      <c r="E1714" t="s">
        <v>32</v>
      </c>
      <c r="F1714" t="s">
        <v>23</v>
      </c>
      <c r="G1714" t="s">
        <v>41</v>
      </c>
      <c r="H1714" t="s">
        <v>20</v>
      </c>
      <c r="I1714" s="1">
        <v>2</v>
      </c>
      <c r="J1714" s="2">
        <v>45908</v>
      </c>
      <c r="K1714" s="2">
        <v>45901</v>
      </c>
      <c r="L1714" s="1" t="str">
        <f t="shared" si="167"/>
        <v>seg</v>
      </c>
      <c r="M1714" s="1" t="str">
        <f t="shared" si="168"/>
        <v>set</v>
      </c>
      <c r="N1714">
        <f t="shared" si="169"/>
        <v>2025</v>
      </c>
      <c r="O1714" s="2">
        <f>_xlfn.XLOOKUP(A1714,Colaboradores!$A:$A,Colaboradores!$S:$S,"",0)</f>
        <v>45929</v>
      </c>
      <c r="P1714" t="str">
        <f t="shared" si="163"/>
        <v>132045908</v>
      </c>
    </row>
    <row r="1715" spans="1:16" x14ac:dyDescent="0.3">
      <c r="A1715">
        <v>1320</v>
      </c>
      <c r="B1715">
        <v>52</v>
      </c>
      <c r="C1715" t="s">
        <v>15</v>
      </c>
      <c r="D1715" t="s">
        <v>31</v>
      </c>
      <c r="E1715" t="s">
        <v>32</v>
      </c>
      <c r="F1715" t="s">
        <v>23</v>
      </c>
      <c r="G1715" t="s">
        <v>41</v>
      </c>
      <c r="H1715" t="s">
        <v>20</v>
      </c>
      <c r="I1715" s="1">
        <v>2</v>
      </c>
      <c r="J1715" s="2">
        <v>45909</v>
      </c>
      <c r="K1715" s="2">
        <v>45901</v>
      </c>
      <c r="L1715" s="1" t="str">
        <f t="shared" si="167"/>
        <v>ter</v>
      </c>
      <c r="M1715" s="1" t="str">
        <f t="shared" si="168"/>
        <v>set</v>
      </c>
      <c r="N1715">
        <f t="shared" si="169"/>
        <v>2025</v>
      </c>
      <c r="O1715" s="2">
        <f>_xlfn.XLOOKUP(A1715,Colaboradores!$A:$A,Colaboradores!$S:$S,"",0)</f>
        <v>45929</v>
      </c>
      <c r="P1715" t="str">
        <f t="shared" si="163"/>
        <v>132045909</v>
      </c>
    </row>
    <row r="1716" spans="1:16" x14ac:dyDescent="0.3">
      <c r="A1716">
        <v>1320</v>
      </c>
      <c r="B1716">
        <v>52</v>
      </c>
      <c r="C1716" t="s">
        <v>15</v>
      </c>
      <c r="D1716" t="s">
        <v>31</v>
      </c>
      <c r="E1716" t="s">
        <v>32</v>
      </c>
      <c r="F1716" t="s">
        <v>23</v>
      </c>
      <c r="G1716" t="s">
        <v>42</v>
      </c>
      <c r="H1716" t="s">
        <v>20</v>
      </c>
      <c r="I1716" s="1">
        <v>2</v>
      </c>
      <c r="J1716" s="2">
        <v>45910</v>
      </c>
      <c r="K1716" s="2">
        <v>45901</v>
      </c>
      <c r="L1716" s="1" t="str">
        <f t="shared" si="167"/>
        <v>qua</v>
      </c>
      <c r="M1716" s="1" t="str">
        <f t="shared" si="168"/>
        <v>set</v>
      </c>
      <c r="N1716">
        <f t="shared" si="169"/>
        <v>2025</v>
      </c>
      <c r="O1716" s="2">
        <f>_xlfn.XLOOKUP(A1716,Colaboradores!$A:$A,Colaboradores!$S:$S,"",0)</f>
        <v>45929</v>
      </c>
      <c r="P1716" t="str">
        <f t="shared" si="163"/>
        <v>132045910</v>
      </c>
    </row>
    <row r="1717" spans="1:16" x14ac:dyDescent="0.3">
      <c r="A1717">
        <v>1320</v>
      </c>
      <c r="B1717">
        <v>52</v>
      </c>
      <c r="C1717" t="s">
        <v>15</v>
      </c>
      <c r="D1717" t="s">
        <v>31</v>
      </c>
      <c r="E1717" t="s">
        <v>32</v>
      </c>
      <c r="F1717" t="s">
        <v>23</v>
      </c>
      <c r="G1717" t="s">
        <v>42</v>
      </c>
      <c r="H1717" t="s">
        <v>20</v>
      </c>
      <c r="I1717" s="1">
        <v>2</v>
      </c>
      <c r="J1717" s="2">
        <v>45912</v>
      </c>
      <c r="K1717" s="2">
        <v>45901</v>
      </c>
      <c r="L1717" s="1" t="str">
        <f t="shared" si="167"/>
        <v>sex</v>
      </c>
      <c r="M1717" s="1" t="str">
        <f t="shared" si="168"/>
        <v>set</v>
      </c>
      <c r="N1717">
        <f t="shared" si="169"/>
        <v>2025</v>
      </c>
      <c r="O1717" s="2">
        <f>_xlfn.XLOOKUP(A1717,Colaboradores!$A:$A,Colaboradores!$S:$S,"",0)</f>
        <v>45929</v>
      </c>
      <c r="P1717" t="str">
        <f t="shared" si="163"/>
        <v>132045912</v>
      </c>
    </row>
    <row r="1718" spans="1:16" x14ac:dyDescent="0.3">
      <c r="A1718">
        <v>1321</v>
      </c>
      <c r="B1718">
        <v>42</v>
      </c>
      <c r="C1718" t="s">
        <v>26</v>
      </c>
      <c r="D1718" t="s">
        <v>31</v>
      </c>
      <c r="E1718" t="s">
        <v>34</v>
      </c>
      <c r="F1718" t="s">
        <v>18</v>
      </c>
      <c r="G1718" t="s">
        <v>43</v>
      </c>
      <c r="H1718" t="s">
        <v>25</v>
      </c>
      <c r="I1718" s="1">
        <v>1</v>
      </c>
      <c r="J1718" s="2">
        <v>45855</v>
      </c>
      <c r="K1718" s="2">
        <v>45839</v>
      </c>
      <c r="L1718" s="1" t="str">
        <f t="shared" si="167"/>
        <v>qui</v>
      </c>
      <c r="M1718" s="1" t="str">
        <f t="shared" si="168"/>
        <v>jul</v>
      </c>
      <c r="N1718">
        <f t="shared" si="169"/>
        <v>2025</v>
      </c>
      <c r="O1718" s="2"/>
      <c r="P1718" t="str">
        <f t="shared" si="163"/>
        <v>132145855</v>
      </c>
    </row>
    <row r="1719" spans="1:16" x14ac:dyDescent="0.3">
      <c r="A1719">
        <v>1321</v>
      </c>
      <c r="B1719">
        <v>42</v>
      </c>
      <c r="C1719" t="s">
        <v>26</v>
      </c>
      <c r="D1719" t="s">
        <v>31</v>
      </c>
      <c r="E1719" t="s">
        <v>34</v>
      </c>
      <c r="F1719" t="s">
        <v>18</v>
      </c>
      <c r="G1719" t="s">
        <v>43</v>
      </c>
      <c r="H1719" t="s">
        <v>25</v>
      </c>
      <c r="I1719" s="1">
        <v>1</v>
      </c>
      <c r="J1719" s="2">
        <v>45958</v>
      </c>
      <c r="K1719" s="2">
        <v>45931</v>
      </c>
      <c r="L1719" s="1" t="str">
        <f t="shared" si="167"/>
        <v>ter</v>
      </c>
      <c r="M1719" s="1" t="str">
        <f t="shared" si="168"/>
        <v>out</v>
      </c>
      <c r="N1719">
        <f t="shared" si="169"/>
        <v>2025</v>
      </c>
      <c r="O1719" s="2"/>
      <c r="P1719" t="str">
        <f t="shared" si="163"/>
        <v>132145958</v>
      </c>
    </row>
    <row r="1720" spans="1:16" x14ac:dyDescent="0.3">
      <c r="A1720">
        <v>1321</v>
      </c>
      <c r="B1720">
        <v>42</v>
      </c>
      <c r="C1720" t="s">
        <v>26</v>
      </c>
      <c r="D1720" t="s">
        <v>31</v>
      </c>
      <c r="E1720" t="s">
        <v>34</v>
      </c>
      <c r="F1720" t="s">
        <v>18</v>
      </c>
      <c r="G1720" t="s">
        <v>43</v>
      </c>
      <c r="H1720" t="s">
        <v>25</v>
      </c>
      <c r="I1720" s="1">
        <v>1</v>
      </c>
      <c r="J1720" s="2">
        <v>45983</v>
      </c>
      <c r="K1720" s="2">
        <v>45962</v>
      </c>
      <c r="L1720" s="1" t="str">
        <f t="shared" si="167"/>
        <v>sáb</v>
      </c>
      <c r="M1720" s="1" t="str">
        <f t="shared" si="168"/>
        <v>nov</v>
      </c>
      <c r="N1720">
        <f t="shared" si="169"/>
        <v>2025</v>
      </c>
      <c r="O1720" s="2"/>
      <c r="P1720" t="str">
        <f t="shared" si="163"/>
        <v>132145983</v>
      </c>
    </row>
    <row r="1721" spans="1:16" x14ac:dyDescent="0.3">
      <c r="A1721">
        <v>1321</v>
      </c>
      <c r="B1721">
        <v>42</v>
      </c>
      <c r="C1721" t="s">
        <v>26</v>
      </c>
      <c r="D1721" t="s">
        <v>31</v>
      </c>
      <c r="E1721" t="s">
        <v>34</v>
      </c>
      <c r="F1721" t="s">
        <v>18</v>
      </c>
      <c r="G1721" t="s">
        <v>43</v>
      </c>
      <c r="H1721" t="s">
        <v>25</v>
      </c>
      <c r="I1721" s="1">
        <v>1</v>
      </c>
      <c r="J1721" s="2">
        <v>45999</v>
      </c>
      <c r="K1721" s="2">
        <v>45992</v>
      </c>
      <c r="L1721" s="1" t="str">
        <f t="shared" si="167"/>
        <v>seg</v>
      </c>
      <c r="M1721" s="1" t="str">
        <f t="shared" si="168"/>
        <v>dez</v>
      </c>
      <c r="N1721">
        <f t="shared" si="169"/>
        <v>2025</v>
      </c>
      <c r="O1721" s="2"/>
      <c r="P1721" t="str">
        <f t="shared" si="163"/>
        <v>132145999</v>
      </c>
    </row>
    <row r="1722" spans="1:16" x14ac:dyDescent="0.3">
      <c r="A1722">
        <v>1321</v>
      </c>
      <c r="B1722">
        <v>42</v>
      </c>
      <c r="C1722" t="s">
        <v>26</v>
      </c>
      <c r="D1722" t="s">
        <v>31</v>
      </c>
      <c r="E1722" t="s">
        <v>34</v>
      </c>
      <c r="F1722" t="s">
        <v>18</v>
      </c>
      <c r="G1722" t="s">
        <v>43</v>
      </c>
      <c r="H1722" t="s">
        <v>25</v>
      </c>
      <c r="I1722" s="1">
        <v>1</v>
      </c>
      <c r="J1722" s="2">
        <v>46076</v>
      </c>
      <c r="K1722" s="2">
        <v>46054</v>
      </c>
      <c r="L1722" s="1" t="str">
        <f t="shared" si="167"/>
        <v>seg</v>
      </c>
      <c r="M1722" s="1" t="str">
        <f t="shared" si="168"/>
        <v>fev</v>
      </c>
      <c r="N1722">
        <f t="shared" si="169"/>
        <v>2026</v>
      </c>
      <c r="O1722" s="2"/>
      <c r="P1722" t="str">
        <f t="shared" si="163"/>
        <v>132146076</v>
      </c>
    </row>
    <row r="1723" spans="1:16" x14ac:dyDescent="0.3">
      <c r="A1723">
        <v>1322</v>
      </c>
      <c r="B1723">
        <v>21</v>
      </c>
      <c r="C1723" t="s">
        <v>15</v>
      </c>
      <c r="D1723" t="s">
        <v>29</v>
      </c>
      <c r="E1723" t="s">
        <v>17</v>
      </c>
      <c r="F1723" t="s">
        <v>21</v>
      </c>
      <c r="G1723" t="s">
        <v>43</v>
      </c>
      <c r="H1723" t="s">
        <v>25</v>
      </c>
      <c r="I1723" s="1">
        <v>2</v>
      </c>
      <c r="J1723" s="2">
        <v>45772</v>
      </c>
      <c r="K1723" s="2">
        <v>45748</v>
      </c>
      <c r="L1723" s="1" t="str">
        <f t="shared" si="167"/>
        <v>sex</v>
      </c>
      <c r="M1723" s="1" t="str">
        <f t="shared" si="168"/>
        <v>abr</v>
      </c>
      <c r="N1723">
        <f t="shared" si="169"/>
        <v>2025</v>
      </c>
      <c r="O1723" s="2"/>
      <c r="P1723" t="str">
        <f t="shared" si="163"/>
        <v>132245772</v>
      </c>
    </row>
    <row r="1724" spans="1:16" x14ac:dyDescent="0.3">
      <c r="A1724">
        <v>1322</v>
      </c>
      <c r="B1724">
        <v>21</v>
      </c>
      <c r="C1724" t="s">
        <v>15</v>
      </c>
      <c r="D1724" t="s">
        <v>29</v>
      </c>
      <c r="E1724" t="s">
        <v>17</v>
      </c>
      <c r="F1724" t="s">
        <v>21</v>
      </c>
      <c r="G1724" t="s">
        <v>43</v>
      </c>
      <c r="H1724" t="s">
        <v>25</v>
      </c>
      <c r="I1724" s="1">
        <v>2</v>
      </c>
      <c r="J1724" s="2">
        <v>45834</v>
      </c>
      <c r="K1724" s="2">
        <v>45809</v>
      </c>
      <c r="L1724" s="1" t="str">
        <f t="shared" si="167"/>
        <v>qui</v>
      </c>
      <c r="M1724" s="1" t="str">
        <f t="shared" si="168"/>
        <v>jun</v>
      </c>
      <c r="N1724">
        <f t="shared" si="169"/>
        <v>2025</v>
      </c>
      <c r="O1724" s="2"/>
      <c r="P1724" t="str">
        <f t="shared" si="163"/>
        <v>132245834</v>
      </c>
    </row>
    <row r="1725" spans="1:16" x14ac:dyDescent="0.3">
      <c r="A1725">
        <v>1322</v>
      </c>
      <c r="B1725">
        <v>21</v>
      </c>
      <c r="C1725" t="s">
        <v>15</v>
      </c>
      <c r="D1725" t="s">
        <v>29</v>
      </c>
      <c r="E1725" t="s">
        <v>17</v>
      </c>
      <c r="F1725" t="s">
        <v>21</v>
      </c>
      <c r="G1725" t="s">
        <v>43</v>
      </c>
      <c r="H1725" t="s">
        <v>25</v>
      </c>
      <c r="I1725" s="1">
        <v>2</v>
      </c>
      <c r="J1725" s="2">
        <v>45885</v>
      </c>
      <c r="K1725" s="2">
        <v>45870</v>
      </c>
      <c r="L1725" s="1" t="str">
        <f t="shared" si="167"/>
        <v>sáb</v>
      </c>
      <c r="M1725" s="1" t="str">
        <f t="shared" si="168"/>
        <v>ago</v>
      </c>
      <c r="N1725">
        <f t="shared" si="169"/>
        <v>2025</v>
      </c>
      <c r="O1725" s="2"/>
      <c r="P1725" t="str">
        <f t="shared" si="163"/>
        <v>132245885</v>
      </c>
    </row>
    <row r="1726" spans="1:16" x14ac:dyDescent="0.3">
      <c r="A1726">
        <v>1322</v>
      </c>
      <c r="B1726">
        <v>21</v>
      </c>
      <c r="C1726" t="s">
        <v>15</v>
      </c>
      <c r="D1726" t="s">
        <v>29</v>
      </c>
      <c r="E1726" t="s">
        <v>17</v>
      </c>
      <c r="F1726" t="s">
        <v>21</v>
      </c>
      <c r="G1726" t="s">
        <v>41</v>
      </c>
      <c r="H1726" t="s">
        <v>25</v>
      </c>
      <c r="I1726" s="1">
        <v>2</v>
      </c>
      <c r="J1726" s="2">
        <v>45916</v>
      </c>
      <c r="K1726" s="2">
        <v>45901</v>
      </c>
      <c r="L1726" s="1" t="str">
        <f t="shared" si="167"/>
        <v>ter</v>
      </c>
      <c r="M1726" s="1" t="str">
        <f t="shared" si="168"/>
        <v>set</v>
      </c>
      <c r="N1726">
        <f t="shared" si="169"/>
        <v>2025</v>
      </c>
      <c r="O1726" s="2"/>
      <c r="P1726" t="str">
        <f t="shared" si="163"/>
        <v>132245916</v>
      </c>
    </row>
    <row r="1727" spans="1:16" x14ac:dyDescent="0.3">
      <c r="A1727">
        <v>1322</v>
      </c>
      <c r="B1727">
        <v>21</v>
      </c>
      <c r="C1727" t="s">
        <v>15</v>
      </c>
      <c r="D1727" t="s">
        <v>29</v>
      </c>
      <c r="E1727" t="s">
        <v>17</v>
      </c>
      <c r="F1727" t="s">
        <v>21</v>
      </c>
      <c r="G1727" t="s">
        <v>41</v>
      </c>
      <c r="H1727" t="s">
        <v>25</v>
      </c>
      <c r="I1727" s="1">
        <v>2</v>
      </c>
      <c r="J1727" s="2">
        <v>46004</v>
      </c>
      <c r="K1727" s="2">
        <v>45992</v>
      </c>
      <c r="L1727" s="1" t="str">
        <f t="shared" si="167"/>
        <v>sáb</v>
      </c>
      <c r="M1727" s="1" t="str">
        <f t="shared" si="168"/>
        <v>dez</v>
      </c>
      <c r="N1727">
        <f t="shared" si="169"/>
        <v>2025</v>
      </c>
      <c r="O1727" s="2"/>
      <c r="P1727" t="str">
        <f t="shared" si="163"/>
        <v>132246004</v>
      </c>
    </row>
    <row r="1728" spans="1:16" x14ac:dyDescent="0.3">
      <c r="A1728">
        <v>1322</v>
      </c>
      <c r="B1728">
        <v>21</v>
      </c>
      <c r="C1728" t="s">
        <v>15</v>
      </c>
      <c r="D1728" t="s">
        <v>29</v>
      </c>
      <c r="E1728" t="s">
        <v>17</v>
      </c>
      <c r="F1728" t="s">
        <v>21</v>
      </c>
      <c r="G1728" t="s">
        <v>43</v>
      </c>
      <c r="H1728" t="s">
        <v>25</v>
      </c>
      <c r="I1728" s="1">
        <v>2</v>
      </c>
      <c r="J1728" s="2">
        <v>46189</v>
      </c>
      <c r="K1728" s="2">
        <v>46023</v>
      </c>
      <c r="L1728" s="1" t="str">
        <f t="shared" si="167"/>
        <v>ter</v>
      </c>
      <c r="M1728" s="1" t="str">
        <f t="shared" si="168"/>
        <v>jun</v>
      </c>
      <c r="N1728">
        <f t="shared" si="169"/>
        <v>2026</v>
      </c>
      <c r="O1728" s="2"/>
      <c r="P1728" t="str">
        <f t="shared" si="163"/>
        <v>132246189</v>
      </c>
    </row>
    <row r="1729" spans="1:16" x14ac:dyDescent="0.3">
      <c r="A1729">
        <v>1322</v>
      </c>
      <c r="B1729">
        <v>21</v>
      </c>
      <c r="C1729" t="s">
        <v>15</v>
      </c>
      <c r="D1729" t="s">
        <v>29</v>
      </c>
      <c r="E1729" t="s">
        <v>17</v>
      </c>
      <c r="F1729" t="s">
        <v>21</v>
      </c>
      <c r="G1729" t="s">
        <v>43</v>
      </c>
      <c r="H1729" t="s">
        <v>25</v>
      </c>
      <c r="I1729" s="1">
        <v>2</v>
      </c>
      <c r="J1729" s="2">
        <v>46137</v>
      </c>
      <c r="K1729" s="2">
        <v>46113</v>
      </c>
      <c r="L1729" s="1" t="s">
        <v>53</v>
      </c>
      <c r="M1729" s="1" t="s">
        <v>48</v>
      </c>
      <c r="N1729">
        <v>2025</v>
      </c>
      <c r="O1729" s="2"/>
      <c r="P1729" t="str">
        <f t="shared" ref="P1729:P1792" si="170">CONCATENATE(A1729,J1729)</f>
        <v>132246137</v>
      </c>
    </row>
    <row r="1730" spans="1:16" x14ac:dyDescent="0.3">
      <c r="A1730">
        <v>1323</v>
      </c>
      <c r="B1730">
        <v>33</v>
      </c>
      <c r="C1730" t="s">
        <v>26</v>
      </c>
      <c r="D1730" t="s">
        <v>16</v>
      </c>
      <c r="E1730" t="s">
        <v>17</v>
      </c>
      <c r="F1730" t="s">
        <v>21</v>
      </c>
      <c r="G1730" t="s">
        <v>41</v>
      </c>
      <c r="H1730" t="s">
        <v>20</v>
      </c>
      <c r="I1730" s="1">
        <v>1</v>
      </c>
      <c r="J1730" s="2">
        <v>45784</v>
      </c>
      <c r="K1730" s="2">
        <v>45778</v>
      </c>
      <c r="L1730" s="1" t="str">
        <f t="shared" ref="L1730:L1740" si="171">TEXT(J1730,"ddd")</f>
        <v>qua</v>
      </c>
      <c r="M1730" s="1" t="str">
        <f t="shared" ref="M1730:M1740" si="172">TEXT($J1730,"mmm")</f>
        <v>mai</v>
      </c>
      <c r="N1730">
        <f t="shared" ref="N1730:N1740" si="173">YEAR(J1730)</f>
        <v>2025</v>
      </c>
      <c r="O1730" s="2">
        <f>_xlfn.XLOOKUP(A1730,Colaboradores!$A:$A,Colaboradores!$S:$S,"",0)</f>
        <v>45955</v>
      </c>
      <c r="P1730" t="str">
        <f t="shared" si="170"/>
        <v>132345784</v>
      </c>
    </row>
    <row r="1731" spans="1:16" x14ac:dyDescent="0.3">
      <c r="A1731">
        <v>1323</v>
      </c>
      <c r="B1731">
        <v>33</v>
      </c>
      <c r="C1731" t="s">
        <v>26</v>
      </c>
      <c r="D1731" t="s">
        <v>16</v>
      </c>
      <c r="E1731" t="s">
        <v>17</v>
      </c>
      <c r="F1731" t="s">
        <v>21</v>
      </c>
      <c r="G1731" t="s">
        <v>41</v>
      </c>
      <c r="H1731" t="s">
        <v>20</v>
      </c>
      <c r="I1731" s="1">
        <v>1</v>
      </c>
      <c r="J1731" s="2">
        <v>45798</v>
      </c>
      <c r="K1731" s="2">
        <v>45778</v>
      </c>
      <c r="L1731" s="1" t="str">
        <f t="shared" si="171"/>
        <v>qua</v>
      </c>
      <c r="M1731" s="1" t="str">
        <f t="shared" si="172"/>
        <v>mai</v>
      </c>
      <c r="N1731">
        <f t="shared" si="173"/>
        <v>2025</v>
      </c>
      <c r="O1731" s="2">
        <f>_xlfn.XLOOKUP(A1731,Colaboradores!$A:$A,Colaboradores!$S:$S,"",0)</f>
        <v>45955</v>
      </c>
      <c r="P1731" t="str">
        <f t="shared" si="170"/>
        <v>132345798</v>
      </c>
    </row>
    <row r="1732" spans="1:16" x14ac:dyDescent="0.3">
      <c r="A1732">
        <v>1323</v>
      </c>
      <c r="B1732">
        <v>33</v>
      </c>
      <c r="C1732" t="s">
        <v>26</v>
      </c>
      <c r="D1732" t="s">
        <v>16</v>
      </c>
      <c r="E1732" t="s">
        <v>17</v>
      </c>
      <c r="F1732" t="s">
        <v>21</v>
      </c>
      <c r="G1732" t="s">
        <v>41</v>
      </c>
      <c r="H1732" t="s">
        <v>20</v>
      </c>
      <c r="I1732" s="1">
        <v>1</v>
      </c>
      <c r="J1732" s="2">
        <v>45810</v>
      </c>
      <c r="K1732" s="2">
        <v>45809</v>
      </c>
      <c r="L1732" s="1" t="str">
        <f t="shared" si="171"/>
        <v>seg</v>
      </c>
      <c r="M1732" s="1" t="str">
        <f t="shared" si="172"/>
        <v>jun</v>
      </c>
      <c r="N1732">
        <f t="shared" si="173"/>
        <v>2025</v>
      </c>
      <c r="O1732" s="2">
        <f>_xlfn.XLOOKUP(A1732,Colaboradores!$A:$A,Colaboradores!$S:$S,"",0)</f>
        <v>45955</v>
      </c>
      <c r="P1732" t="str">
        <f t="shared" si="170"/>
        <v>132345810</v>
      </c>
    </row>
    <row r="1733" spans="1:16" x14ac:dyDescent="0.3">
      <c r="A1733">
        <v>1323</v>
      </c>
      <c r="B1733">
        <v>33</v>
      </c>
      <c r="C1733" t="s">
        <v>26</v>
      </c>
      <c r="D1733" t="s">
        <v>16</v>
      </c>
      <c r="E1733" t="s">
        <v>17</v>
      </c>
      <c r="F1733" t="s">
        <v>21</v>
      </c>
      <c r="G1733" t="s">
        <v>41</v>
      </c>
      <c r="H1733" t="s">
        <v>20</v>
      </c>
      <c r="I1733" s="1">
        <v>1</v>
      </c>
      <c r="J1733" s="2">
        <v>45856</v>
      </c>
      <c r="K1733" s="2">
        <v>45839</v>
      </c>
      <c r="L1733" s="1" t="str">
        <f t="shared" si="171"/>
        <v>sex</v>
      </c>
      <c r="M1733" s="1" t="str">
        <f t="shared" si="172"/>
        <v>jul</v>
      </c>
      <c r="N1733">
        <f t="shared" si="173"/>
        <v>2025</v>
      </c>
      <c r="O1733" s="2">
        <f>_xlfn.XLOOKUP(A1733,Colaboradores!$A:$A,Colaboradores!$S:$S,"",0)</f>
        <v>45955</v>
      </c>
      <c r="P1733" t="str">
        <f t="shared" si="170"/>
        <v>132345856</v>
      </c>
    </row>
    <row r="1734" spans="1:16" x14ac:dyDescent="0.3">
      <c r="A1734">
        <v>1323</v>
      </c>
      <c r="B1734">
        <v>33</v>
      </c>
      <c r="C1734" t="s">
        <v>26</v>
      </c>
      <c r="D1734" t="s">
        <v>16</v>
      </c>
      <c r="E1734" t="s">
        <v>17</v>
      </c>
      <c r="F1734" t="s">
        <v>21</v>
      </c>
      <c r="G1734" t="s">
        <v>41</v>
      </c>
      <c r="H1734" t="s">
        <v>20</v>
      </c>
      <c r="I1734" s="1">
        <v>1</v>
      </c>
      <c r="J1734" s="2">
        <v>45940</v>
      </c>
      <c r="K1734" s="2">
        <v>45931</v>
      </c>
      <c r="L1734" s="1" t="str">
        <f t="shared" si="171"/>
        <v>sex</v>
      </c>
      <c r="M1734" s="1" t="str">
        <f t="shared" si="172"/>
        <v>out</v>
      </c>
      <c r="N1734">
        <f t="shared" si="173"/>
        <v>2025</v>
      </c>
      <c r="O1734" s="2">
        <f>_xlfn.XLOOKUP(A1734,Colaboradores!$A:$A,Colaboradores!$S:$S,"",0)</f>
        <v>45955</v>
      </c>
      <c r="P1734" t="str">
        <f t="shared" si="170"/>
        <v>132345940</v>
      </c>
    </row>
    <row r="1735" spans="1:16" x14ac:dyDescent="0.3">
      <c r="A1735">
        <v>1323</v>
      </c>
      <c r="B1735">
        <v>33</v>
      </c>
      <c r="C1735" t="s">
        <v>26</v>
      </c>
      <c r="D1735" t="s">
        <v>16</v>
      </c>
      <c r="E1735" t="s">
        <v>17</v>
      </c>
      <c r="F1735" t="s">
        <v>21</v>
      </c>
      <c r="G1735" t="s">
        <v>41</v>
      </c>
      <c r="H1735" t="s">
        <v>20</v>
      </c>
      <c r="I1735" s="1">
        <v>1</v>
      </c>
      <c r="J1735" s="2">
        <v>45946</v>
      </c>
      <c r="K1735" s="2">
        <v>45931</v>
      </c>
      <c r="L1735" s="1" t="str">
        <f t="shared" si="171"/>
        <v>qui</v>
      </c>
      <c r="M1735" s="1" t="str">
        <f t="shared" si="172"/>
        <v>out</v>
      </c>
      <c r="N1735">
        <f t="shared" si="173"/>
        <v>2025</v>
      </c>
      <c r="O1735" s="2">
        <f>_xlfn.XLOOKUP(A1735,Colaboradores!$A:$A,Colaboradores!$S:$S,"",0)</f>
        <v>45955</v>
      </c>
      <c r="P1735" t="str">
        <f t="shared" si="170"/>
        <v>132345946</v>
      </c>
    </row>
    <row r="1736" spans="1:16" x14ac:dyDescent="0.3">
      <c r="A1736">
        <v>1324</v>
      </c>
      <c r="B1736">
        <v>38</v>
      </c>
      <c r="C1736" t="s">
        <v>15</v>
      </c>
      <c r="D1736" t="s">
        <v>16</v>
      </c>
      <c r="E1736" t="s">
        <v>17</v>
      </c>
      <c r="F1736" t="s">
        <v>23</v>
      </c>
      <c r="G1736" t="s">
        <v>40</v>
      </c>
      <c r="H1736" t="s">
        <v>25</v>
      </c>
      <c r="I1736" s="1">
        <v>2</v>
      </c>
      <c r="J1736" s="2">
        <v>45793</v>
      </c>
      <c r="K1736" s="2">
        <v>45778</v>
      </c>
      <c r="L1736" s="1" t="str">
        <f t="shared" si="171"/>
        <v>sex</v>
      </c>
      <c r="M1736" s="1" t="str">
        <f t="shared" si="172"/>
        <v>mai</v>
      </c>
      <c r="N1736">
        <f t="shared" si="173"/>
        <v>2025</v>
      </c>
      <c r="O1736" s="2"/>
      <c r="P1736" t="str">
        <f t="shared" si="170"/>
        <v>132445793</v>
      </c>
    </row>
    <row r="1737" spans="1:16" x14ac:dyDescent="0.3">
      <c r="A1737">
        <v>1324</v>
      </c>
      <c r="B1737">
        <v>38</v>
      </c>
      <c r="C1737" t="s">
        <v>15</v>
      </c>
      <c r="D1737" t="s">
        <v>16</v>
      </c>
      <c r="E1737" t="s">
        <v>17</v>
      </c>
      <c r="F1737" t="s">
        <v>23</v>
      </c>
      <c r="G1737" t="s">
        <v>40</v>
      </c>
      <c r="H1737" t="s">
        <v>25</v>
      </c>
      <c r="I1737" s="1">
        <v>2</v>
      </c>
      <c r="J1737" s="2">
        <v>45797</v>
      </c>
      <c r="K1737" s="2">
        <v>45778</v>
      </c>
      <c r="L1737" s="1" t="str">
        <f t="shared" si="171"/>
        <v>ter</v>
      </c>
      <c r="M1737" s="1" t="str">
        <f t="shared" si="172"/>
        <v>mai</v>
      </c>
      <c r="N1737">
        <f t="shared" si="173"/>
        <v>2025</v>
      </c>
      <c r="O1737" s="2"/>
      <c r="P1737" t="str">
        <f t="shared" si="170"/>
        <v>132445797</v>
      </c>
    </row>
    <row r="1738" spans="1:16" x14ac:dyDescent="0.3">
      <c r="A1738">
        <v>1324</v>
      </c>
      <c r="B1738">
        <v>38</v>
      </c>
      <c r="C1738" t="s">
        <v>15</v>
      </c>
      <c r="D1738" t="s">
        <v>16</v>
      </c>
      <c r="E1738" t="s">
        <v>17</v>
      </c>
      <c r="F1738" t="s">
        <v>23</v>
      </c>
      <c r="G1738" t="s">
        <v>40</v>
      </c>
      <c r="H1738" t="s">
        <v>25</v>
      </c>
      <c r="I1738" s="1">
        <v>2</v>
      </c>
      <c r="J1738" s="2">
        <v>45876</v>
      </c>
      <c r="K1738" s="2">
        <v>45870</v>
      </c>
      <c r="L1738" s="1" t="str">
        <f t="shared" si="171"/>
        <v>qui</v>
      </c>
      <c r="M1738" s="1" t="str">
        <f t="shared" si="172"/>
        <v>ago</v>
      </c>
      <c r="N1738">
        <f t="shared" si="173"/>
        <v>2025</v>
      </c>
      <c r="O1738" s="2"/>
      <c r="P1738" t="str">
        <f t="shared" si="170"/>
        <v>132445876</v>
      </c>
    </row>
    <row r="1739" spans="1:16" x14ac:dyDescent="0.3">
      <c r="A1739">
        <v>1324</v>
      </c>
      <c r="B1739">
        <v>38</v>
      </c>
      <c r="C1739" t="s">
        <v>15</v>
      </c>
      <c r="D1739" t="s">
        <v>16</v>
      </c>
      <c r="E1739" t="s">
        <v>17</v>
      </c>
      <c r="F1739" t="s">
        <v>23</v>
      </c>
      <c r="G1739" t="s">
        <v>41</v>
      </c>
      <c r="H1739" t="s">
        <v>25</v>
      </c>
      <c r="I1739" s="1">
        <v>2</v>
      </c>
      <c r="J1739" s="2">
        <v>45954</v>
      </c>
      <c r="K1739" s="2">
        <v>45931</v>
      </c>
      <c r="L1739" s="1" t="str">
        <f t="shared" si="171"/>
        <v>sex</v>
      </c>
      <c r="M1739" s="1" t="str">
        <f t="shared" si="172"/>
        <v>out</v>
      </c>
      <c r="N1739">
        <f t="shared" si="173"/>
        <v>2025</v>
      </c>
      <c r="O1739" s="2"/>
      <c r="P1739" t="str">
        <f t="shared" si="170"/>
        <v>132445954</v>
      </c>
    </row>
    <row r="1740" spans="1:16" x14ac:dyDescent="0.3">
      <c r="A1740">
        <v>1324</v>
      </c>
      <c r="B1740">
        <v>38</v>
      </c>
      <c r="C1740" t="s">
        <v>15</v>
      </c>
      <c r="D1740" t="s">
        <v>16</v>
      </c>
      <c r="E1740" t="s">
        <v>17</v>
      </c>
      <c r="F1740" t="s">
        <v>23</v>
      </c>
      <c r="G1740" t="s">
        <v>40</v>
      </c>
      <c r="H1740" t="s">
        <v>25</v>
      </c>
      <c r="I1740" s="1">
        <v>2</v>
      </c>
      <c r="J1740" s="2">
        <v>46014</v>
      </c>
      <c r="K1740" s="2">
        <v>45992</v>
      </c>
      <c r="L1740" s="1" t="str">
        <f t="shared" si="171"/>
        <v>ter</v>
      </c>
      <c r="M1740" s="1" t="str">
        <f t="shared" si="172"/>
        <v>dez</v>
      </c>
      <c r="N1740">
        <f t="shared" si="173"/>
        <v>2025</v>
      </c>
      <c r="O1740" s="2"/>
      <c r="P1740" t="str">
        <f t="shared" si="170"/>
        <v>132446014</v>
      </c>
    </row>
    <row r="1741" spans="1:16" x14ac:dyDescent="0.3">
      <c r="A1741">
        <v>1324</v>
      </c>
      <c r="B1741">
        <v>38</v>
      </c>
      <c r="C1741" t="s">
        <v>15</v>
      </c>
      <c r="D1741" t="s">
        <v>16</v>
      </c>
      <c r="E1741" t="s">
        <v>17</v>
      </c>
      <c r="F1741" t="s">
        <v>23</v>
      </c>
      <c r="G1741" t="s">
        <v>40</v>
      </c>
      <c r="H1741" t="s">
        <v>25</v>
      </c>
      <c r="I1741" s="1">
        <v>2</v>
      </c>
      <c r="J1741" s="2">
        <v>46158</v>
      </c>
      <c r="K1741" s="2">
        <v>46143</v>
      </c>
      <c r="L1741" s="1" t="s">
        <v>53</v>
      </c>
      <c r="M1741" s="1" t="s">
        <v>49</v>
      </c>
      <c r="N1741">
        <v>2025</v>
      </c>
      <c r="O1741" s="2"/>
      <c r="P1741" t="str">
        <f t="shared" si="170"/>
        <v>132446158</v>
      </c>
    </row>
    <row r="1742" spans="1:16" x14ac:dyDescent="0.3">
      <c r="A1742">
        <v>1324</v>
      </c>
      <c r="B1742">
        <v>38</v>
      </c>
      <c r="C1742" t="s">
        <v>15</v>
      </c>
      <c r="D1742" t="s">
        <v>16</v>
      </c>
      <c r="E1742" t="s">
        <v>17</v>
      </c>
      <c r="F1742" t="s">
        <v>23</v>
      </c>
      <c r="G1742" t="s">
        <v>40</v>
      </c>
      <c r="H1742" t="s">
        <v>25</v>
      </c>
      <c r="I1742" s="1">
        <v>2</v>
      </c>
      <c r="J1742" s="2">
        <v>46162</v>
      </c>
      <c r="K1742" s="2">
        <v>46143</v>
      </c>
      <c r="L1742" s="1" t="s">
        <v>50</v>
      </c>
      <c r="M1742" s="1" t="s">
        <v>49</v>
      </c>
      <c r="N1742">
        <v>2025</v>
      </c>
      <c r="O1742" s="2"/>
      <c r="P1742" t="str">
        <f t="shared" si="170"/>
        <v>132446162</v>
      </c>
    </row>
    <row r="1743" spans="1:16" x14ac:dyDescent="0.3">
      <c r="A1743">
        <v>1325</v>
      </c>
      <c r="B1743">
        <v>54</v>
      </c>
      <c r="C1743" t="s">
        <v>15</v>
      </c>
      <c r="D1743" t="s">
        <v>16</v>
      </c>
      <c r="E1743" t="s">
        <v>17</v>
      </c>
      <c r="F1743" t="s">
        <v>23</v>
      </c>
      <c r="G1743" t="s">
        <v>40</v>
      </c>
      <c r="H1743" t="s">
        <v>25</v>
      </c>
      <c r="I1743" s="1">
        <v>3</v>
      </c>
      <c r="J1743" s="2">
        <v>45850</v>
      </c>
      <c r="K1743" s="2">
        <v>45839</v>
      </c>
      <c r="L1743" s="1" t="str">
        <f t="shared" ref="L1743:L1774" si="174">TEXT(J1743,"ddd")</f>
        <v>sáb</v>
      </c>
      <c r="M1743" s="1" t="str">
        <f t="shared" ref="M1743:M1774" si="175">TEXT($J1743,"mmm")</f>
        <v>jul</v>
      </c>
      <c r="N1743">
        <f t="shared" ref="N1743:N1774" si="176">YEAR(J1743)</f>
        <v>2025</v>
      </c>
      <c r="O1743" s="2"/>
      <c r="P1743" t="str">
        <f t="shared" si="170"/>
        <v>132545850</v>
      </c>
    </row>
    <row r="1744" spans="1:16" x14ac:dyDescent="0.3">
      <c r="A1744">
        <v>1325</v>
      </c>
      <c r="B1744">
        <v>54</v>
      </c>
      <c r="C1744" t="s">
        <v>15</v>
      </c>
      <c r="D1744" t="s">
        <v>16</v>
      </c>
      <c r="E1744" t="s">
        <v>17</v>
      </c>
      <c r="F1744" t="s">
        <v>23</v>
      </c>
      <c r="G1744" t="s">
        <v>40</v>
      </c>
      <c r="H1744" t="s">
        <v>25</v>
      </c>
      <c r="I1744" s="1">
        <v>3</v>
      </c>
      <c r="J1744" s="2">
        <v>45873</v>
      </c>
      <c r="K1744" s="2">
        <v>45870</v>
      </c>
      <c r="L1744" s="1" t="str">
        <f t="shared" si="174"/>
        <v>seg</v>
      </c>
      <c r="M1744" s="1" t="str">
        <f t="shared" si="175"/>
        <v>ago</v>
      </c>
      <c r="N1744">
        <f t="shared" si="176"/>
        <v>2025</v>
      </c>
      <c r="O1744" s="2"/>
      <c r="P1744" t="str">
        <f t="shared" si="170"/>
        <v>132545873</v>
      </c>
    </row>
    <row r="1745" spans="1:16" x14ac:dyDescent="0.3">
      <c r="A1745">
        <v>1325</v>
      </c>
      <c r="B1745">
        <v>54</v>
      </c>
      <c r="C1745" t="s">
        <v>15</v>
      </c>
      <c r="D1745" t="s">
        <v>16</v>
      </c>
      <c r="E1745" t="s">
        <v>17</v>
      </c>
      <c r="F1745" t="s">
        <v>23</v>
      </c>
      <c r="G1745" t="s">
        <v>40</v>
      </c>
      <c r="H1745" t="s">
        <v>25</v>
      </c>
      <c r="I1745" s="1">
        <v>3</v>
      </c>
      <c r="J1745" s="2">
        <v>45896</v>
      </c>
      <c r="K1745" s="2">
        <v>45870</v>
      </c>
      <c r="L1745" s="1" t="str">
        <f t="shared" si="174"/>
        <v>qua</v>
      </c>
      <c r="M1745" s="1" t="str">
        <f t="shared" si="175"/>
        <v>ago</v>
      </c>
      <c r="N1745">
        <f t="shared" si="176"/>
        <v>2025</v>
      </c>
      <c r="O1745" s="2"/>
      <c r="P1745" t="str">
        <f t="shared" si="170"/>
        <v>132545896</v>
      </c>
    </row>
    <row r="1746" spans="1:16" x14ac:dyDescent="0.3">
      <c r="A1746">
        <v>1325</v>
      </c>
      <c r="B1746">
        <v>54</v>
      </c>
      <c r="C1746" t="s">
        <v>15</v>
      </c>
      <c r="D1746" t="s">
        <v>16</v>
      </c>
      <c r="E1746" t="s">
        <v>17</v>
      </c>
      <c r="F1746" t="s">
        <v>23</v>
      </c>
      <c r="G1746" t="s">
        <v>40</v>
      </c>
      <c r="H1746" t="s">
        <v>25</v>
      </c>
      <c r="I1746" s="1">
        <v>3</v>
      </c>
      <c r="J1746" s="2">
        <v>45996</v>
      </c>
      <c r="K1746" s="2">
        <v>45992</v>
      </c>
      <c r="L1746" s="1" t="str">
        <f t="shared" si="174"/>
        <v>sex</v>
      </c>
      <c r="M1746" s="1" t="str">
        <f t="shared" si="175"/>
        <v>dez</v>
      </c>
      <c r="N1746">
        <f t="shared" si="176"/>
        <v>2025</v>
      </c>
      <c r="O1746" s="2"/>
      <c r="P1746" t="str">
        <f t="shared" si="170"/>
        <v>132545996</v>
      </c>
    </row>
    <row r="1747" spans="1:16" x14ac:dyDescent="0.3">
      <c r="A1747">
        <v>1325</v>
      </c>
      <c r="B1747">
        <v>54</v>
      </c>
      <c r="C1747" t="s">
        <v>15</v>
      </c>
      <c r="D1747" t="s">
        <v>16</v>
      </c>
      <c r="E1747" t="s">
        <v>17</v>
      </c>
      <c r="F1747" t="s">
        <v>23</v>
      </c>
      <c r="G1747" t="s">
        <v>40</v>
      </c>
      <c r="H1747" t="s">
        <v>25</v>
      </c>
      <c r="I1747" s="1">
        <v>3</v>
      </c>
      <c r="J1747" s="2">
        <v>46175</v>
      </c>
      <c r="K1747" s="2">
        <v>46023</v>
      </c>
      <c r="L1747" s="1" t="str">
        <f t="shared" si="174"/>
        <v>ter</v>
      </c>
      <c r="M1747" s="1" t="str">
        <f t="shared" si="175"/>
        <v>jun</v>
      </c>
      <c r="N1747">
        <f t="shared" si="176"/>
        <v>2026</v>
      </c>
      <c r="O1747" s="2"/>
      <c r="P1747" t="str">
        <f t="shared" si="170"/>
        <v>132546175</v>
      </c>
    </row>
    <row r="1748" spans="1:16" x14ac:dyDescent="0.3">
      <c r="A1748">
        <v>1325</v>
      </c>
      <c r="B1748">
        <v>54</v>
      </c>
      <c r="C1748" t="s">
        <v>15</v>
      </c>
      <c r="D1748" t="s">
        <v>16</v>
      </c>
      <c r="E1748" t="s">
        <v>17</v>
      </c>
      <c r="F1748" t="s">
        <v>23</v>
      </c>
      <c r="G1748" t="s">
        <v>40</v>
      </c>
      <c r="H1748" t="s">
        <v>25</v>
      </c>
      <c r="I1748" s="1">
        <v>3</v>
      </c>
      <c r="J1748" s="2">
        <v>46085</v>
      </c>
      <c r="K1748" s="2">
        <v>46082</v>
      </c>
      <c r="L1748" s="1" t="str">
        <f t="shared" si="174"/>
        <v>qua</v>
      </c>
      <c r="M1748" s="1" t="str">
        <f t="shared" si="175"/>
        <v>mar</v>
      </c>
      <c r="N1748">
        <f t="shared" si="176"/>
        <v>2026</v>
      </c>
      <c r="O1748" s="2"/>
      <c r="P1748" t="str">
        <f t="shared" si="170"/>
        <v>132546085</v>
      </c>
    </row>
    <row r="1749" spans="1:16" x14ac:dyDescent="0.3">
      <c r="A1749">
        <v>1326</v>
      </c>
      <c r="B1749">
        <v>46</v>
      </c>
      <c r="C1749" t="s">
        <v>26</v>
      </c>
      <c r="D1749" t="s">
        <v>27</v>
      </c>
      <c r="E1749" t="s">
        <v>17</v>
      </c>
      <c r="F1749" t="s">
        <v>21</v>
      </c>
      <c r="G1749" t="s">
        <v>41</v>
      </c>
      <c r="H1749" t="s">
        <v>20</v>
      </c>
      <c r="I1749" s="1">
        <v>1</v>
      </c>
      <c r="J1749" s="2">
        <v>45791</v>
      </c>
      <c r="K1749" s="2">
        <v>45778</v>
      </c>
      <c r="L1749" s="1" t="str">
        <f t="shared" si="174"/>
        <v>qua</v>
      </c>
      <c r="M1749" s="1" t="str">
        <f t="shared" si="175"/>
        <v>mai</v>
      </c>
      <c r="N1749">
        <f t="shared" si="176"/>
        <v>2025</v>
      </c>
      <c r="O1749" s="2">
        <f>_xlfn.XLOOKUP(A1749,Colaboradores!$A:$A,Colaboradores!$S:$S,"",0)</f>
        <v>45904</v>
      </c>
      <c r="P1749" t="str">
        <f t="shared" si="170"/>
        <v>132645791</v>
      </c>
    </row>
    <row r="1750" spans="1:16" x14ac:dyDescent="0.3">
      <c r="A1750">
        <v>1326</v>
      </c>
      <c r="B1750">
        <v>46</v>
      </c>
      <c r="C1750" t="s">
        <v>26</v>
      </c>
      <c r="D1750" t="s">
        <v>27</v>
      </c>
      <c r="E1750" t="s">
        <v>17</v>
      </c>
      <c r="F1750" t="s">
        <v>21</v>
      </c>
      <c r="G1750" t="s">
        <v>41</v>
      </c>
      <c r="H1750" t="s">
        <v>20</v>
      </c>
      <c r="I1750" s="1">
        <v>1</v>
      </c>
      <c r="J1750" s="2">
        <v>45833</v>
      </c>
      <c r="K1750" s="2">
        <v>45809</v>
      </c>
      <c r="L1750" s="1" t="str">
        <f t="shared" si="174"/>
        <v>qua</v>
      </c>
      <c r="M1750" s="1" t="str">
        <f t="shared" si="175"/>
        <v>jun</v>
      </c>
      <c r="N1750">
        <f t="shared" si="176"/>
        <v>2025</v>
      </c>
      <c r="O1750" s="2">
        <f>_xlfn.XLOOKUP(A1750,Colaboradores!$A:$A,Colaboradores!$S:$S,"",0)</f>
        <v>45904</v>
      </c>
      <c r="P1750" t="str">
        <f t="shared" si="170"/>
        <v>132645833</v>
      </c>
    </row>
    <row r="1751" spans="1:16" x14ac:dyDescent="0.3">
      <c r="A1751">
        <v>1326</v>
      </c>
      <c r="B1751">
        <v>46</v>
      </c>
      <c r="C1751" t="s">
        <v>26</v>
      </c>
      <c r="D1751" t="s">
        <v>27</v>
      </c>
      <c r="E1751" t="s">
        <v>17</v>
      </c>
      <c r="F1751" t="s">
        <v>21</v>
      </c>
      <c r="G1751" t="s">
        <v>44</v>
      </c>
      <c r="H1751" t="s">
        <v>20</v>
      </c>
      <c r="I1751" s="1">
        <v>1</v>
      </c>
      <c r="J1751" s="2">
        <v>45872</v>
      </c>
      <c r="K1751" s="2">
        <v>45870</v>
      </c>
      <c r="L1751" s="1" t="str">
        <f t="shared" si="174"/>
        <v>dom</v>
      </c>
      <c r="M1751" s="1" t="str">
        <f t="shared" si="175"/>
        <v>ago</v>
      </c>
      <c r="N1751">
        <f t="shared" si="176"/>
        <v>2025</v>
      </c>
      <c r="O1751" s="2">
        <f>_xlfn.XLOOKUP(A1751,Colaboradores!$A:$A,Colaboradores!$S:$S,"",0)</f>
        <v>45904</v>
      </c>
      <c r="P1751" t="str">
        <f t="shared" si="170"/>
        <v>132645872</v>
      </c>
    </row>
    <row r="1752" spans="1:16" x14ac:dyDescent="0.3">
      <c r="A1752">
        <v>1326</v>
      </c>
      <c r="B1752">
        <v>46</v>
      </c>
      <c r="C1752" t="s">
        <v>26</v>
      </c>
      <c r="D1752" t="s">
        <v>27</v>
      </c>
      <c r="E1752" t="s">
        <v>17</v>
      </c>
      <c r="F1752" t="s">
        <v>21</v>
      </c>
      <c r="G1752" t="s">
        <v>42</v>
      </c>
      <c r="H1752" t="s">
        <v>20</v>
      </c>
      <c r="I1752" s="1">
        <v>1</v>
      </c>
      <c r="J1752" s="2">
        <v>45873</v>
      </c>
      <c r="K1752" s="2">
        <v>45870</v>
      </c>
      <c r="L1752" s="1" t="str">
        <f t="shared" si="174"/>
        <v>seg</v>
      </c>
      <c r="M1752" s="1" t="str">
        <f t="shared" si="175"/>
        <v>ago</v>
      </c>
      <c r="N1752">
        <f t="shared" si="176"/>
        <v>2025</v>
      </c>
      <c r="O1752" s="2">
        <f>_xlfn.XLOOKUP(A1752,Colaboradores!$A:$A,Colaboradores!$S:$S,"",0)</f>
        <v>45904</v>
      </c>
      <c r="P1752" t="str">
        <f t="shared" si="170"/>
        <v>132645873</v>
      </c>
    </row>
    <row r="1753" spans="1:16" x14ac:dyDescent="0.3">
      <c r="A1753">
        <v>1327</v>
      </c>
      <c r="B1753">
        <v>24</v>
      </c>
      <c r="C1753" t="s">
        <v>15</v>
      </c>
      <c r="D1753" t="s">
        <v>16</v>
      </c>
      <c r="E1753" t="s">
        <v>17</v>
      </c>
      <c r="F1753" t="s">
        <v>21</v>
      </c>
      <c r="G1753" t="s">
        <v>44</v>
      </c>
      <c r="H1753" t="s">
        <v>20</v>
      </c>
      <c r="I1753" s="1">
        <v>3</v>
      </c>
      <c r="J1753" s="2">
        <v>45821</v>
      </c>
      <c r="K1753" s="2">
        <v>45809</v>
      </c>
      <c r="L1753" s="1" t="str">
        <f t="shared" si="174"/>
        <v>sex</v>
      </c>
      <c r="M1753" s="1" t="str">
        <f t="shared" si="175"/>
        <v>jun</v>
      </c>
      <c r="N1753">
        <f t="shared" si="176"/>
        <v>2025</v>
      </c>
      <c r="O1753" s="2">
        <f>_xlfn.XLOOKUP(A1753,Colaboradores!$A:$A,Colaboradores!$S:$S,"",0)</f>
        <v>46152</v>
      </c>
      <c r="P1753" t="str">
        <f t="shared" si="170"/>
        <v>132745821</v>
      </c>
    </row>
    <row r="1754" spans="1:16" x14ac:dyDescent="0.3">
      <c r="A1754">
        <v>1327</v>
      </c>
      <c r="B1754">
        <v>24</v>
      </c>
      <c r="C1754" t="s">
        <v>15</v>
      </c>
      <c r="D1754" t="s">
        <v>16</v>
      </c>
      <c r="E1754" t="s">
        <v>17</v>
      </c>
      <c r="F1754" t="s">
        <v>21</v>
      </c>
      <c r="G1754" t="s">
        <v>41</v>
      </c>
      <c r="H1754" t="s">
        <v>20</v>
      </c>
      <c r="I1754" s="1">
        <v>3</v>
      </c>
      <c r="J1754" s="2">
        <v>45843</v>
      </c>
      <c r="K1754" s="2">
        <v>45839</v>
      </c>
      <c r="L1754" s="1" t="str">
        <f t="shared" si="174"/>
        <v>sáb</v>
      </c>
      <c r="M1754" s="1" t="str">
        <f t="shared" si="175"/>
        <v>jul</v>
      </c>
      <c r="N1754">
        <f t="shared" si="176"/>
        <v>2025</v>
      </c>
      <c r="O1754" s="2">
        <f>_xlfn.XLOOKUP(A1754,Colaboradores!$A:$A,Colaboradores!$S:$S,"",0)</f>
        <v>46152</v>
      </c>
      <c r="P1754" t="str">
        <f t="shared" si="170"/>
        <v>132745843</v>
      </c>
    </row>
    <row r="1755" spans="1:16" x14ac:dyDescent="0.3">
      <c r="A1755">
        <v>1327</v>
      </c>
      <c r="B1755">
        <v>24</v>
      </c>
      <c r="C1755" t="s">
        <v>15</v>
      </c>
      <c r="D1755" t="s">
        <v>16</v>
      </c>
      <c r="E1755" t="s">
        <v>17</v>
      </c>
      <c r="F1755" t="s">
        <v>21</v>
      </c>
      <c r="G1755" t="s">
        <v>41</v>
      </c>
      <c r="H1755" t="s">
        <v>20</v>
      </c>
      <c r="I1755" s="1">
        <v>3</v>
      </c>
      <c r="J1755" s="2">
        <v>45847</v>
      </c>
      <c r="K1755" s="2">
        <v>45839</v>
      </c>
      <c r="L1755" s="1" t="str">
        <f t="shared" si="174"/>
        <v>qua</v>
      </c>
      <c r="M1755" s="1" t="str">
        <f t="shared" si="175"/>
        <v>jul</v>
      </c>
      <c r="N1755">
        <f t="shared" si="176"/>
        <v>2025</v>
      </c>
      <c r="O1755" s="2">
        <f>_xlfn.XLOOKUP(A1755,Colaboradores!$A:$A,Colaboradores!$S:$S,"",0)</f>
        <v>46152</v>
      </c>
      <c r="P1755" t="str">
        <f t="shared" si="170"/>
        <v>132745847</v>
      </c>
    </row>
    <row r="1756" spans="1:16" x14ac:dyDescent="0.3">
      <c r="A1756">
        <v>1327</v>
      </c>
      <c r="B1756">
        <v>24</v>
      </c>
      <c r="C1756" t="s">
        <v>15</v>
      </c>
      <c r="D1756" t="s">
        <v>16</v>
      </c>
      <c r="E1756" t="s">
        <v>17</v>
      </c>
      <c r="F1756" t="s">
        <v>21</v>
      </c>
      <c r="G1756" t="s">
        <v>41</v>
      </c>
      <c r="H1756" t="s">
        <v>20</v>
      </c>
      <c r="I1756" s="1">
        <v>3</v>
      </c>
      <c r="J1756" s="2">
        <v>45947</v>
      </c>
      <c r="K1756" s="2">
        <v>45931</v>
      </c>
      <c r="L1756" s="1" t="str">
        <f t="shared" si="174"/>
        <v>sex</v>
      </c>
      <c r="M1756" s="1" t="str">
        <f t="shared" si="175"/>
        <v>out</v>
      </c>
      <c r="N1756">
        <f t="shared" si="176"/>
        <v>2025</v>
      </c>
      <c r="O1756" s="2">
        <f>_xlfn.XLOOKUP(A1756,Colaboradores!$A:$A,Colaboradores!$S:$S,"",0)</f>
        <v>46152</v>
      </c>
      <c r="P1756" t="str">
        <f t="shared" si="170"/>
        <v>132745947</v>
      </c>
    </row>
    <row r="1757" spans="1:16" x14ac:dyDescent="0.3">
      <c r="A1757">
        <v>1327</v>
      </c>
      <c r="B1757">
        <v>24</v>
      </c>
      <c r="C1757" t="s">
        <v>15</v>
      </c>
      <c r="D1757" t="s">
        <v>16</v>
      </c>
      <c r="E1757" t="s">
        <v>17</v>
      </c>
      <c r="F1757" t="s">
        <v>21</v>
      </c>
      <c r="G1757" t="s">
        <v>41</v>
      </c>
      <c r="H1757" t="s">
        <v>20</v>
      </c>
      <c r="I1757" s="1">
        <v>3</v>
      </c>
      <c r="J1757" s="2">
        <v>45960</v>
      </c>
      <c r="K1757" s="2">
        <v>45931</v>
      </c>
      <c r="L1757" s="1" t="str">
        <f t="shared" si="174"/>
        <v>qui</v>
      </c>
      <c r="M1757" s="1" t="str">
        <f t="shared" si="175"/>
        <v>out</v>
      </c>
      <c r="N1757">
        <f t="shared" si="176"/>
        <v>2025</v>
      </c>
      <c r="O1757" s="2">
        <f>_xlfn.XLOOKUP(A1757,Colaboradores!$A:$A,Colaboradores!$S:$S,"",0)</f>
        <v>46152</v>
      </c>
      <c r="P1757" t="str">
        <f t="shared" si="170"/>
        <v>132745960</v>
      </c>
    </row>
    <row r="1758" spans="1:16" x14ac:dyDescent="0.3">
      <c r="A1758">
        <v>1327</v>
      </c>
      <c r="B1758">
        <v>24</v>
      </c>
      <c r="C1758" t="s">
        <v>15</v>
      </c>
      <c r="D1758" t="s">
        <v>16</v>
      </c>
      <c r="E1758" t="s">
        <v>17</v>
      </c>
      <c r="F1758" t="s">
        <v>21</v>
      </c>
      <c r="G1758" t="s">
        <v>44</v>
      </c>
      <c r="H1758" t="s">
        <v>20</v>
      </c>
      <c r="I1758" s="1">
        <v>3</v>
      </c>
      <c r="J1758" s="2">
        <v>46010</v>
      </c>
      <c r="K1758" s="2">
        <v>45992</v>
      </c>
      <c r="L1758" s="1" t="str">
        <f t="shared" si="174"/>
        <v>sex</v>
      </c>
      <c r="M1758" s="1" t="str">
        <f t="shared" si="175"/>
        <v>dez</v>
      </c>
      <c r="N1758">
        <f t="shared" si="176"/>
        <v>2025</v>
      </c>
      <c r="O1758" s="2">
        <f>_xlfn.XLOOKUP(A1758,Colaboradores!$A:$A,Colaboradores!$S:$S,"",0)</f>
        <v>46152</v>
      </c>
      <c r="P1758" t="str">
        <f t="shared" si="170"/>
        <v>132746010</v>
      </c>
    </row>
    <row r="1759" spans="1:16" x14ac:dyDescent="0.3">
      <c r="A1759">
        <v>1329</v>
      </c>
      <c r="B1759">
        <v>45</v>
      </c>
      <c r="C1759" t="s">
        <v>15</v>
      </c>
      <c r="D1759" t="s">
        <v>16</v>
      </c>
      <c r="E1759" t="s">
        <v>17</v>
      </c>
      <c r="F1759" t="s">
        <v>21</v>
      </c>
      <c r="G1759" t="s">
        <v>41</v>
      </c>
      <c r="H1759" t="s">
        <v>20</v>
      </c>
      <c r="I1759" s="1">
        <v>3</v>
      </c>
      <c r="J1759" s="2">
        <v>45862</v>
      </c>
      <c r="K1759" s="2">
        <v>45839</v>
      </c>
      <c r="L1759" s="1" t="str">
        <f t="shared" si="174"/>
        <v>qui</v>
      </c>
      <c r="M1759" s="1" t="str">
        <f t="shared" si="175"/>
        <v>jul</v>
      </c>
      <c r="N1759">
        <f t="shared" si="176"/>
        <v>2025</v>
      </c>
      <c r="O1759" s="2">
        <f>_xlfn.XLOOKUP(A1759,Colaboradores!$A:$A,Colaboradores!$S:$S,"",0)</f>
        <v>46090</v>
      </c>
      <c r="P1759" t="str">
        <f t="shared" si="170"/>
        <v>132945862</v>
      </c>
    </row>
    <row r="1760" spans="1:16" x14ac:dyDescent="0.3">
      <c r="A1760">
        <v>1329</v>
      </c>
      <c r="B1760">
        <v>45</v>
      </c>
      <c r="C1760" t="s">
        <v>15</v>
      </c>
      <c r="D1760" t="s">
        <v>16</v>
      </c>
      <c r="E1760" t="s">
        <v>17</v>
      </c>
      <c r="F1760" t="s">
        <v>21</v>
      </c>
      <c r="G1760" t="s">
        <v>41</v>
      </c>
      <c r="H1760" t="s">
        <v>20</v>
      </c>
      <c r="I1760" s="1">
        <v>3</v>
      </c>
      <c r="J1760" s="2">
        <v>45866</v>
      </c>
      <c r="K1760" s="2">
        <v>45839</v>
      </c>
      <c r="L1760" s="1" t="str">
        <f t="shared" si="174"/>
        <v>seg</v>
      </c>
      <c r="M1760" s="1" t="str">
        <f t="shared" si="175"/>
        <v>jul</v>
      </c>
      <c r="N1760">
        <f t="shared" si="176"/>
        <v>2025</v>
      </c>
      <c r="O1760" s="2">
        <f>_xlfn.XLOOKUP(A1760,Colaboradores!$A:$A,Colaboradores!$S:$S,"",0)</f>
        <v>46090</v>
      </c>
      <c r="P1760" t="str">
        <f t="shared" si="170"/>
        <v>132945866</v>
      </c>
    </row>
    <row r="1761" spans="1:16" x14ac:dyDescent="0.3">
      <c r="A1761">
        <v>1329</v>
      </c>
      <c r="B1761">
        <v>45</v>
      </c>
      <c r="C1761" t="s">
        <v>15</v>
      </c>
      <c r="D1761" t="s">
        <v>16</v>
      </c>
      <c r="E1761" t="s">
        <v>17</v>
      </c>
      <c r="F1761" t="s">
        <v>21</v>
      </c>
      <c r="G1761" t="s">
        <v>44</v>
      </c>
      <c r="H1761" t="s">
        <v>20</v>
      </c>
      <c r="I1761" s="1">
        <v>3</v>
      </c>
      <c r="J1761" s="2">
        <v>45888</v>
      </c>
      <c r="K1761" s="2">
        <v>45870</v>
      </c>
      <c r="L1761" s="1" t="str">
        <f t="shared" si="174"/>
        <v>ter</v>
      </c>
      <c r="M1761" s="1" t="str">
        <f t="shared" si="175"/>
        <v>ago</v>
      </c>
      <c r="N1761">
        <f t="shared" si="176"/>
        <v>2025</v>
      </c>
      <c r="O1761" s="2">
        <f>_xlfn.XLOOKUP(A1761,Colaboradores!$A:$A,Colaboradores!$S:$S,"",0)</f>
        <v>46090</v>
      </c>
      <c r="P1761" t="str">
        <f t="shared" si="170"/>
        <v>132945888</v>
      </c>
    </row>
    <row r="1762" spans="1:16" x14ac:dyDescent="0.3">
      <c r="A1762">
        <v>1329</v>
      </c>
      <c r="B1762">
        <v>45</v>
      </c>
      <c r="C1762" t="s">
        <v>15</v>
      </c>
      <c r="D1762" t="s">
        <v>16</v>
      </c>
      <c r="E1762" t="s">
        <v>17</v>
      </c>
      <c r="F1762" t="s">
        <v>21</v>
      </c>
      <c r="G1762" t="s">
        <v>41</v>
      </c>
      <c r="H1762" t="s">
        <v>20</v>
      </c>
      <c r="I1762" s="1">
        <v>3</v>
      </c>
      <c r="J1762" s="2">
        <v>46178</v>
      </c>
      <c r="K1762" s="2">
        <v>46023</v>
      </c>
      <c r="L1762" s="1" t="str">
        <f t="shared" si="174"/>
        <v>sex</v>
      </c>
      <c r="M1762" s="1" t="str">
        <f t="shared" si="175"/>
        <v>jun</v>
      </c>
      <c r="N1762">
        <f t="shared" si="176"/>
        <v>2026</v>
      </c>
      <c r="O1762" s="2">
        <f>_xlfn.XLOOKUP(A1762,Colaboradores!$A:$A,Colaboradores!$S:$S,"",0)</f>
        <v>46090</v>
      </c>
      <c r="P1762" t="str">
        <f t="shared" si="170"/>
        <v>132946178</v>
      </c>
    </row>
    <row r="1763" spans="1:16" x14ac:dyDescent="0.3">
      <c r="A1763">
        <v>1329</v>
      </c>
      <c r="B1763">
        <v>45</v>
      </c>
      <c r="C1763" t="s">
        <v>15</v>
      </c>
      <c r="D1763" t="s">
        <v>16</v>
      </c>
      <c r="E1763" t="s">
        <v>17</v>
      </c>
      <c r="F1763" t="s">
        <v>21</v>
      </c>
      <c r="G1763" t="s">
        <v>41</v>
      </c>
      <c r="H1763" t="s">
        <v>20</v>
      </c>
      <c r="I1763" s="1">
        <v>3</v>
      </c>
      <c r="J1763" s="2">
        <v>46067</v>
      </c>
      <c r="K1763" s="2">
        <v>46054</v>
      </c>
      <c r="L1763" s="1" t="str">
        <f t="shared" si="174"/>
        <v>sáb</v>
      </c>
      <c r="M1763" s="1" t="str">
        <f t="shared" si="175"/>
        <v>fev</v>
      </c>
      <c r="N1763">
        <f t="shared" si="176"/>
        <v>2026</v>
      </c>
      <c r="O1763" s="2">
        <f>_xlfn.XLOOKUP(A1763,Colaboradores!$A:$A,Colaboradores!$S:$S,"",0)</f>
        <v>46090</v>
      </c>
      <c r="P1763" t="str">
        <f t="shared" si="170"/>
        <v>132946067</v>
      </c>
    </row>
    <row r="1764" spans="1:16" x14ac:dyDescent="0.3">
      <c r="A1764">
        <v>1329</v>
      </c>
      <c r="B1764">
        <v>45</v>
      </c>
      <c r="C1764" t="s">
        <v>15</v>
      </c>
      <c r="D1764" t="s">
        <v>16</v>
      </c>
      <c r="E1764" t="s">
        <v>17</v>
      </c>
      <c r="F1764" t="s">
        <v>21</v>
      </c>
      <c r="G1764" t="s">
        <v>41</v>
      </c>
      <c r="H1764" t="s">
        <v>20</v>
      </c>
      <c r="I1764" s="1">
        <v>3</v>
      </c>
      <c r="J1764" s="2">
        <v>46069</v>
      </c>
      <c r="K1764" s="2">
        <v>46054</v>
      </c>
      <c r="L1764" s="1" t="str">
        <f t="shared" si="174"/>
        <v>seg</v>
      </c>
      <c r="M1764" s="1" t="str">
        <f t="shared" si="175"/>
        <v>fev</v>
      </c>
      <c r="N1764">
        <f t="shared" si="176"/>
        <v>2026</v>
      </c>
      <c r="O1764" s="2">
        <f>_xlfn.XLOOKUP(A1764,Colaboradores!$A:$A,Colaboradores!$S:$S,"",0)</f>
        <v>46090</v>
      </c>
      <c r="P1764" t="str">
        <f t="shared" si="170"/>
        <v>132946069</v>
      </c>
    </row>
    <row r="1765" spans="1:16" x14ac:dyDescent="0.3">
      <c r="A1765">
        <v>1330</v>
      </c>
      <c r="B1765">
        <v>37</v>
      </c>
      <c r="C1765" t="s">
        <v>26</v>
      </c>
      <c r="D1765" t="s">
        <v>22</v>
      </c>
      <c r="E1765" t="s">
        <v>17</v>
      </c>
      <c r="F1765" t="s">
        <v>23</v>
      </c>
      <c r="G1765" t="s">
        <v>40</v>
      </c>
      <c r="H1765" t="s">
        <v>25</v>
      </c>
      <c r="I1765" s="1">
        <v>1</v>
      </c>
      <c r="J1765" s="2">
        <v>45822</v>
      </c>
      <c r="K1765" s="2">
        <v>45809</v>
      </c>
      <c r="L1765" s="1" t="str">
        <f t="shared" si="174"/>
        <v>sáb</v>
      </c>
      <c r="M1765" s="1" t="str">
        <f t="shared" si="175"/>
        <v>jun</v>
      </c>
      <c r="N1765">
        <f t="shared" si="176"/>
        <v>2025</v>
      </c>
      <c r="O1765" s="2"/>
      <c r="P1765" t="str">
        <f t="shared" si="170"/>
        <v>133045822</v>
      </c>
    </row>
    <row r="1766" spans="1:16" x14ac:dyDescent="0.3">
      <c r="A1766">
        <v>1330</v>
      </c>
      <c r="B1766">
        <v>37</v>
      </c>
      <c r="C1766" t="s">
        <v>26</v>
      </c>
      <c r="D1766" t="s">
        <v>22</v>
      </c>
      <c r="E1766" t="s">
        <v>17</v>
      </c>
      <c r="F1766" t="s">
        <v>23</v>
      </c>
      <c r="G1766" t="s">
        <v>40</v>
      </c>
      <c r="H1766" t="s">
        <v>25</v>
      </c>
      <c r="I1766" s="1">
        <v>1</v>
      </c>
      <c r="J1766" s="2">
        <v>45825</v>
      </c>
      <c r="K1766" s="2">
        <v>45809</v>
      </c>
      <c r="L1766" s="1" t="str">
        <f t="shared" si="174"/>
        <v>ter</v>
      </c>
      <c r="M1766" s="1" t="str">
        <f t="shared" si="175"/>
        <v>jun</v>
      </c>
      <c r="N1766">
        <f t="shared" si="176"/>
        <v>2025</v>
      </c>
      <c r="O1766" s="2"/>
      <c r="P1766" t="str">
        <f t="shared" si="170"/>
        <v>133045825</v>
      </c>
    </row>
    <row r="1767" spans="1:16" x14ac:dyDescent="0.3">
      <c r="A1767">
        <v>1330</v>
      </c>
      <c r="B1767">
        <v>37</v>
      </c>
      <c r="C1767" t="s">
        <v>26</v>
      </c>
      <c r="D1767" t="s">
        <v>22</v>
      </c>
      <c r="E1767" t="s">
        <v>17</v>
      </c>
      <c r="F1767" t="s">
        <v>23</v>
      </c>
      <c r="G1767" t="s">
        <v>40</v>
      </c>
      <c r="H1767" t="s">
        <v>25</v>
      </c>
      <c r="I1767" s="1">
        <v>1</v>
      </c>
      <c r="J1767" s="2">
        <v>45860</v>
      </c>
      <c r="K1767" s="2">
        <v>45839</v>
      </c>
      <c r="L1767" s="1" t="str">
        <f t="shared" si="174"/>
        <v>ter</v>
      </c>
      <c r="M1767" s="1" t="str">
        <f t="shared" si="175"/>
        <v>jul</v>
      </c>
      <c r="N1767">
        <f t="shared" si="176"/>
        <v>2025</v>
      </c>
      <c r="O1767" s="2"/>
      <c r="P1767" t="str">
        <f t="shared" si="170"/>
        <v>133045860</v>
      </c>
    </row>
    <row r="1768" spans="1:16" x14ac:dyDescent="0.3">
      <c r="A1768">
        <v>1330</v>
      </c>
      <c r="B1768">
        <v>37</v>
      </c>
      <c r="C1768" t="s">
        <v>26</v>
      </c>
      <c r="D1768" t="s">
        <v>22</v>
      </c>
      <c r="E1768" t="s">
        <v>17</v>
      </c>
      <c r="F1768" t="s">
        <v>23</v>
      </c>
      <c r="G1768" t="s">
        <v>41</v>
      </c>
      <c r="H1768" t="s">
        <v>25</v>
      </c>
      <c r="I1768" s="1">
        <v>1</v>
      </c>
      <c r="J1768" s="2">
        <v>45913</v>
      </c>
      <c r="K1768" s="2">
        <v>45901</v>
      </c>
      <c r="L1768" s="1" t="str">
        <f t="shared" si="174"/>
        <v>sáb</v>
      </c>
      <c r="M1768" s="1" t="str">
        <f t="shared" si="175"/>
        <v>set</v>
      </c>
      <c r="N1768">
        <f t="shared" si="176"/>
        <v>2025</v>
      </c>
      <c r="O1768" s="2"/>
      <c r="P1768" t="str">
        <f t="shared" si="170"/>
        <v>133045913</v>
      </c>
    </row>
    <row r="1769" spans="1:16" x14ac:dyDescent="0.3">
      <c r="A1769">
        <v>1330</v>
      </c>
      <c r="B1769">
        <v>37</v>
      </c>
      <c r="C1769" t="s">
        <v>26</v>
      </c>
      <c r="D1769" t="s">
        <v>22</v>
      </c>
      <c r="E1769" t="s">
        <v>17</v>
      </c>
      <c r="F1769" t="s">
        <v>23</v>
      </c>
      <c r="G1769" t="s">
        <v>40</v>
      </c>
      <c r="H1769" t="s">
        <v>25</v>
      </c>
      <c r="I1769" s="1">
        <v>1</v>
      </c>
      <c r="J1769" s="2">
        <v>45963</v>
      </c>
      <c r="K1769" s="2">
        <v>45962</v>
      </c>
      <c r="L1769" s="1" t="str">
        <f t="shared" si="174"/>
        <v>dom</v>
      </c>
      <c r="M1769" s="1" t="str">
        <f t="shared" si="175"/>
        <v>nov</v>
      </c>
      <c r="N1769">
        <f t="shared" si="176"/>
        <v>2025</v>
      </c>
      <c r="O1769" s="2"/>
      <c r="P1769" t="str">
        <f t="shared" si="170"/>
        <v>133045963</v>
      </c>
    </row>
    <row r="1770" spans="1:16" x14ac:dyDescent="0.3">
      <c r="A1770">
        <v>1330</v>
      </c>
      <c r="B1770">
        <v>37</v>
      </c>
      <c r="C1770" t="s">
        <v>26</v>
      </c>
      <c r="D1770" t="s">
        <v>22</v>
      </c>
      <c r="E1770" t="s">
        <v>17</v>
      </c>
      <c r="F1770" t="s">
        <v>23</v>
      </c>
      <c r="G1770" t="s">
        <v>40</v>
      </c>
      <c r="H1770" t="s">
        <v>25</v>
      </c>
      <c r="I1770" s="1">
        <v>1</v>
      </c>
      <c r="J1770" s="2">
        <v>46103</v>
      </c>
      <c r="K1770" s="2">
        <v>46082</v>
      </c>
      <c r="L1770" s="1" t="str">
        <f t="shared" si="174"/>
        <v>dom</v>
      </c>
      <c r="M1770" s="1" t="str">
        <f t="shared" si="175"/>
        <v>mar</v>
      </c>
      <c r="N1770">
        <f t="shared" si="176"/>
        <v>2026</v>
      </c>
      <c r="O1770" s="2"/>
      <c r="P1770" t="str">
        <f t="shared" si="170"/>
        <v>133046103</v>
      </c>
    </row>
    <row r="1771" spans="1:16" x14ac:dyDescent="0.3">
      <c r="A1771">
        <v>1331</v>
      </c>
      <c r="B1771">
        <v>27</v>
      </c>
      <c r="C1771" t="s">
        <v>15</v>
      </c>
      <c r="D1771" t="s">
        <v>22</v>
      </c>
      <c r="E1771" t="s">
        <v>17</v>
      </c>
      <c r="F1771" t="s">
        <v>23</v>
      </c>
      <c r="G1771" t="s">
        <v>41</v>
      </c>
      <c r="H1771" t="s">
        <v>25</v>
      </c>
      <c r="I1771" s="1">
        <v>1</v>
      </c>
      <c r="J1771" s="2">
        <v>45969</v>
      </c>
      <c r="K1771" s="2">
        <v>45962</v>
      </c>
      <c r="L1771" s="1" t="str">
        <f t="shared" si="174"/>
        <v>sáb</v>
      </c>
      <c r="M1771" s="1" t="str">
        <f t="shared" si="175"/>
        <v>nov</v>
      </c>
      <c r="N1771">
        <f t="shared" si="176"/>
        <v>2025</v>
      </c>
      <c r="O1771" s="2"/>
      <c r="P1771" t="str">
        <f t="shared" si="170"/>
        <v>133145969</v>
      </c>
    </row>
    <row r="1772" spans="1:16" x14ac:dyDescent="0.3">
      <c r="A1772">
        <v>1331</v>
      </c>
      <c r="B1772">
        <v>27</v>
      </c>
      <c r="C1772" t="s">
        <v>15</v>
      </c>
      <c r="D1772" t="s">
        <v>22</v>
      </c>
      <c r="E1772" t="s">
        <v>17</v>
      </c>
      <c r="F1772" t="s">
        <v>23</v>
      </c>
      <c r="G1772" t="s">
        <v>41</v>
      </c>
      <c r="H1772" t="s">
        <v>25</v>
      </c>
      <c r="I1772" s="1">
        <v>1</v>
      </c>
      <c r="J1772" s="2">
        <v>45991</v>
      </c>
      <c r="K1772" s="2">
        <v>45962</v>
      </c>
      <c r="L1772" s="1" t="str">
        <f t="shared" si="174"/>
        <v>dom</v>
      </c>
      <c r="M1772" s="1" t="str">
        <f t="shared" si="175"/>
        <v>nov</v>
      </c>
      <c r="N1772">
        <f t="shared" si="176"/>
        <v>2025</v>
      </c>
      <c r="O1772" s="2"/>
      <c r="P1772" t="str">
        <f t="shared" si="170"/>
        <v>133145991</v>
      </c>
    </row>
    <row r="1773" spans="1:16" x14ac:dyDescent="0.3">
      <c r="A1773">
        <v>1331</v>
      </c>
      <c r="B1773">
        <v>27</v>
      </c>
      <c r="C1773" t="s">
        <v>15</v>
      </c>
      <c r="D1773" t="s">
        <v>22</v>
      </c>
      <c r="E1773" t="s">
        <v>17</v>
      </c>
      <c r="F1773" t="s">
        <v>23</v>
      </c>
      <c r="G1773" t="s">
        <v>41</v>
      </c>
      <c r="H1773" t="s">
        <v>25</v>
      </c>
      <c r="I1773" s="1">
        <v>1</v>
      </c>
      <c r="J1773" s="2">
        <v>46055</v>
      </c>
      <c r="K1773" s="2">
        <v>46054</v>
      </c>
      <c r="L1773" s="1" t="str">
        <f t="shared" si="174"/>
        <v>seg</v>
      </c>
      <c r="M1773" s="1" t="str">
        <f t="shared" si="175"/>
        <v>fev</v>
      </c>
      <c r="N1773">
        <f t="shared" si="176"/>
        <v>2026</v>
      </c>
      <c r="O1773" s="2"/>
      <c r="P1773" t="str">
        <f t="shared" si="170"/>
        <v>133146055</v>
      </c>
    </row>
    <row r="1774" spans="1:16" x14ac:dyDescent="0.3">
      <c r="A1774">
        <v>1331</v>
      </c>
      <c r="B1774">
        <v>27</v>
      </c>
      <c r="C1774" t="s">
        <v>15</v>
      </c>
      <c r="D1774" t="s">
        <v>22</v>
      </c>
      <c r="E1774" t="s">
        <v>17</v>
      </c>
      <c r="F1774" t="s">
        <v>23</v>
      </c>
      <c r="G1774" t="s">
        <v>41</v>
      </c>
      <c r="H1774" t="s">
        <v>25</v>
      </c>
      <c r="I1774" s="1">
        <v>1</v>
      </c>
      <c r="J1774" s="2">
        <v>46082</v>
      </c>
      <c r="K1774" s="2">
        <v>46082</v>
      </c>
      <c r="L1774" s="1" t="str">
        <f t="shared" si="174"/>
        <v>dom</v>
      </c>
      <c r="M1774" s="1" t="str">
        <f t="shared" si="175"/>
        <v>mar</v>
      </c>
      <c r="N1774">
        <f t="shared" si="176"/>
        <v>2026</v>
      </c>
      <c r="O1774" s="2"/>
      <c r="P1774" t="str">
        <f t="shared" si="170"/>
        <v>133146082</v>
      </c>
    </row>
    <row r="1775" spans="1:16" x14ac:dyDescent="0.3">
      <c r="A1775">
        <v>1331</v>
      </c>
      <c r="B1775">
        <v>27</v>
      </c>
      <c r="C1775" t="s">
        <v>15</v>
      </c>
      <c r="D1775" t="s">
        <v>22</v>
      </c>
      <c r="E1775" t="s">
        <v>17</v>
      </c>
      <c r="F1775" t="s">
        <v>23</v>
      </c>
      <c r="G1775" t="s">
        <v>42</v>
      </c>
      <c r="H1775" t="s">
        <v>25</v>
      </c>
      <c r="I1775" s="1">
        <v>1</v>
      </c>
      <c r="J1775" s="2">
        <v>46087</v>
      </c>
      <c r="K1775" s="2">
        <v>46082</v>
      </c>
      <c r="L1775" s="1" t="str">
        <f t="shared" ref="L1775:L1800" si="177">TEXT(J1775,"ddd")</f>
        <v>sex</v>
      </c>
      <c r="M1775" s="1" t="str">
        <f t="shared" ref="M1775:M1800" si="178">TEXT($J1775,"mmm")</f>
        <v>mar</v>
      </c>
      <c r="N1775">
        <f t="shared" ref="N1775:N1800" si="179">YEAR(J1775)</f>
        <v>2026</v>
      </c>
      <c r="O1775" s="2"/>
      <c r="P1775" t="str">
        <f t="shared" si="170"/>
        <v>133146087</v>
      </c>
    </row>
    <row r="1776" spans="1:16" x14ac:dyDescent="0.3">
      <c r="A1776">
        <v>1332</v>
      </c>
      <c r="B1776">
        <v>33</v>
      </c>
      <c r="C1776" t="s">
        <v>26</v>
      </c>
      <c r="D1776" t="s">
        <v>16</v>
      </c>
      <c r="E1776" t="s">
        <v>17</v>
      </c>
      <c r="F1776" t="s">
        <v>21</v>
      </c>
      <c r="G1776" t="s">
        <v>57</v>
      </c>
      <c r="H1776" t="s">
        <v>20</v>
      </c>
      <c r="I1776" s="1">
        <v>1</v>
      </c>
      <c r="J1776" s="2">
        <v>45673</v>
      </c>
      <c r="K1776" s="2">
        <v>45658</v>
      </c>
      <c r="L1776" s="1" t="str">
        <f t="shared" si="177"/>
        <v>qui</v>
      </c>
      <c r="M1776" s="1" t="str">
        <f t="shared" si="178"/>
        <v>jan</v>
      </c>
      <c r="N1776">
        <f t="shared" si="179"/>
        <v>2025</v>
      </c>
      <c r="O1776" s="2">
        <f>_xlfn.XLOOKUP(A1776,Colaboradores!$A:$A,Colaboradores!$S:$S,"",0)</f>
        <v>45817</v>
      </c>
      <c r="P1776" t="str">
        <f t="shared" si="170"/>
        <v>133245673</v>
      </c>
    </row>
    <row r="1777" spans="1:16" x14ac:dyDescent="0.3">
      <c r="A1777">
        <v>1332</v>
      </c>
      <c r="B1777">
        <v>33</v>
      </c>
      <c r="C1777" t="s">
        <v>26</v>
      </c>
      <c r="D1777" t="s">
        <v>16</v>
      </c>
      <c r="E1777" t="s">
        <v>17</v>
      </c>
      <c r="F1777" t="s">
        <v>21</v>
      </c>
      <c r="G1777" t="s">
        <v>57</v>
      </c>
      <c r="H1777" t="s">
        <v>20</v>
      </c>
      <c r="I1777" s="1">
        <v>1</v>
      </c>
      <c r="J1777" s="2">
        <v>45676</v>
      </c>
      <c r="K1777" s="2">
        <v>45658</v>
      </c>
      <c r="L1777" s="1" t="str">
        <f t="shared" si="177"/>
        <v>dom</v>
      </c>
      <c r="M1777" s="1" t="str">
        <f t="shared" si="178"/>
        <v>jan</v>
      </c>
      <c r="N1777">
        <f t="shared" si="179"/>
        <v>2025</v>
      </c>
      <c r="O1777" s="2">
        <f>_xlfn.XLOOKUP(A1777,Colaboradores!$A:$A,Colaboradores!$S:$S,"",0)</f>
        <v>45817</v>
      </c>
      <c r="P1777" t="str">
        <f t="shared" si="170"/>
        <v>133245676</v>
      </c>
    </row>
    <row r="1778" spans="1:16" x14ac:dyDescent="0.3">
      <c r="A1778">
        <v>1332</v>
      </c>
      <c r="B1778">
        <v>33</v>
      </c>
      <c r="C1778" t="s">
        <v>26</v>
      </c>
      <c r="D1778" t="s">
        <v>16</v>
      </c>
      <c r="E1778" t="s">
        <v>17</v>
      </c>
      <c r="F1778" t="s">
        <v>21</v>
      </c>
      <c r="G1778" t="s">
        <v>57</v>
      </c>
      <c r="H1778" t="s">
        <v>20</v>
      </c>
      <c r="I1778" s="1">
        <v>1</v>
      </c>
      <c r="J1778" s="2">
        <v>45704</v>
      </c>
      <c r="K1778" s="2">
        <v>45689</v>
      </c>
      <c r="L1778" s="1" t="str">
        <f t="shared" si="177"/>
        <v>dom</v>
      </c>
      <c r="M1778" s="1" t="str">
        <f t="shared" si="178"/>
        <v>fev</v>
      </c>
      <c r="N1778">
        <f t="shared" si="179"/>
        <v>2025</v>
      </c>
      <c r="O1778" s="2">
        <f>_xlfn.XLOOKUP(A1778,Colaboradores!$A:$A,Colaboradores!$S:$S,"",0)</f>
        <v>45817</v>
      </c>
      <c r="P1778" t="str">
        <f t="shared" si="170"/>
        <v>133245704</v>
      </c>
    </row>
    <row r="1779" spans="1:16" x14ac:dyDescent="0.3">
      <c r="A1779">
        <v>1332</v>
      </c>
      <c r="B1779">
        <v>33</v>
      </c>
      <c r="C1779" t="s">
        <v>26</v>
      </c>
      <c r="D1779" t="s">
        <v>16</v>
      </c>
      <c r="E1779" t="s">
        <v>17</v>
      </c>
      <c r="F1779" t="s">
        <v>21</v>
      </c>
      <c r="G1779" t="s">
        <v>43</v>
      </c>
      <c r="H1779" t="s">
        <v>20</v>
      </c>
      <c r="I1779" s="1">
        <v>1</v>
      </c>
      <c r="J1779" s="2">
        <v>45781</v>
      </c>
      <c r="K1779" s="2">
        <v>45778</v>
      </c>
      <c r="L1779" s="1" t="str">
        <f t="shared" si="177"/>
        <v>dom</v>
      </c>
      <c r="M1779" s="1" t="str">
        <f t="shared" si="178"/>
        <v>mai</v>
      </c>
      <c r="N1779">
        <f t="shared" si="179"/>
        <v>2025</v>
      </c>
      <c r="O1779" s="2">
        <f>_xlfn.XLOOKUP(A1779,Colaboradores!$A:$A,Colaboradores!$S:$S,"",0)</f>
        <v>45817</v>
      </c>
      <c r="P1779" t="str">
        <f t="shared" si="170"/>
        <v>133245781</v>
      </c>
    </row>
    <row r="1780" spans="1:16" x14ac:dyDescent="0.3">
      <c r="A1780">
        <v>1332</v>
      </c>
      <c r="B1780">
        <v>33</v>
      </c>
      <c r="C1780" t="s">
        <v>26</v>
      </c>
      <c r="D1780" t="s">
        <v>16</v>
      </c>
      <c r="E1780" t="s">
        <v>17</v>
      </c>
      <c r="F1780" t="s">
        <v>21</v>
      </c>
      <c r="G1780" t="s">
        <v>42</v>
      </c>
      <c r="H1780" t="s">
        <v>20</v>
      </c>
      <c r="I1780" s="1">
        <v>1</v>
      </c>
      <c r="J1780" s="2">
        <v>45811</v>
      </c>
      <c r="K1780" s="2">
        <v>45809</v>
      </c>
      <c r="L1780" s="1" t="str">
        <f t="shared" si="177"/>
        <v>ter</v>
      </c>
      <c r="M1780" s="1" t="str">
        <f t="shared" si="178"/>
        <v>jun</v>
      </c>
      <c r="N1780">
        <f t="shared" si="179"/>
        <v>2025</v>
      </c>
      <c r="O1780" s="2">
        <f>_xlfn.XLOOKUP(A1780,Colaboradores!$A:$A,Colaboradores!$S:$S,"",0)</f>
        <v>45817</v>
      </c>
      <c r="P1780" t="str">
        <f t="shared" si="170"/>
        <v>133245811</v>
      </c>
    </row>
    <row r="1781" spans="1:16" x14ac:dyDescent="0.3">
      <c r="A1781">
        <v>1332</v>
      </c>
      <c r="B1781">
        <v>33</v>
      </c>
      <c r="C1781" t="s">
        <v>26</v>
      </c>
      <c r="D1781" t="s">
        <v>16</v>
      </c>
      <c r="E1781" t="s">
        <v>17</v>
      </c>
      <c r="F1781" t="s">
        <v>21</v>
      </c>
      <c r="G1781" t="s">
        <v>42</v>
      </c>
      <c r="H1781" t="s">
        <v>20</v>
      </c>
      <c r="I1781" s="1">
        <v>1</v>
      </c>
      <c r="J1781" s="2">
        <v>45814</v>
      </c>
      <c r="K1781" s="2">
        <v>45809</v>
      </c>
      <c r="L1781" s="1" t="str">
        <f t="shared" si="177"/>
        <v>sex</v>
      </c>
      <c r="M1781" s="1" t="str">
        <f t="shared" si="178"/>
        <v>jun</v>
      </c>
      <c r="N1781">
        <f t="shared" si="179"/>
        <v>2025</v>
      </c>
      <c r="O1781" s="2">
        <f>_xlfn.XLOOKUP(A1781,Colaboradores!$A:$A,Colaboradores!$S:$S,"",0)</f>
        <v>45817</v>
      </c>
      <c r="P1781" t="str">
        <f t="shared" si="170"/>
        <v>133245814</v>
      </c>
    </row>
    <row r="1782" spans="1:16" x14ac:dyDescent="0.3">
      <c r="A1782">
        <v>1334</v>
      </c>
      <c r="B1782">
        <v>52</v>
      </c>
      <c r="C1782" t="s">
        <v>26</v>
      </c>
      <c r="D1782" t="s">
        <v>31</v>
      </c>
      <c r="E1782" t="s">
        <v>32</v>
      </c>
      <c r="F1782" t="s">
        <v>18</v>
      </c>
      <c r="G1782" t="s">
        <v>41</v>
      </c>
      <c r="H1782" t="s">
        <v>25</v>
      </c>
      <c r="I1782" s="1">
        <v>3</v>
      </c>
      <c r="J1782" s="2">
        <v>45978</v>
      </c>
      <c r="K1782" s="2">
        <v>45962</v>
      </c>
      <c r="L1782" s="1" t="str">
        <f t="shared" si="177"/>
        <v>seg</v>
      </c>
      <c r="M1782" s="1" t="str">
        <f t="shared" si="178"/>
        <v>nov</v>
      </c>
      <c r="N1782">
        <f t="shared" si="179"/>
        <v>2025</v>
      </c>
      <c r="O1782" s="2"/>
      <c r="P1782" t="str">
        <f t="shared" si="170"/>
        <v>133445978</v>
      </c>
    </row>
    <row r="1783" spans="1:16" x14ac:dyDescent="0.3">
      <c r="A1783">
        <v>1334</v>
      </c>
      <c r="B1783">
        <v>52</v>
      </c>
      <c r="C1783" t="s">
        <v>26</v>
      </c>
      <c r="D1783" t="s">
        <v>31</v>
      </c>
      <c r="E1783" t="s">
        <v>32</v>
      </c>
      <c r="F1783" t="s">
        <v>18</v>
      </c>
      <c r="G1783" t="s">
        <v>41</v>
      </c>
      <c r="H1783" t="s">
        <v>25</v>
      </c>
      <c r="I1783" s="1">
        <v>3</v>
      </c>
      <c r="J1783" s="2">
        <v>46177</v>
      </c>
      <c r="K1783" s="2">
        <v>46023</v>
      </c>
      <c r="L1783" s="1" t="str">
        <f t="shared" si="177"/>
        <v>qui</v>
      </c>
      <c r="M1783" s="1" t="str">
        <f t="shared" si="178"/>
        <v>jun</v>
      </c>
      <c r="N1783">
        <f t="shared" si="179"/>
        <v>2026</v>
      </c>
      <c r="O1783" s="2"/>
      <c r="P1783" t="str">
        <f t="shared" si="170"/>
        <v>133446177</v>
      </c>
    </row>
    <row r="1784" spans="1:16" x14ac:dyDescent="0.3">
      <c r="A1784">
        <v>1334</v>
      </c>
      <c r="B1784">
        <v>52</v>
      </c>
      <c r="C1784" t="s">
        <v>26</v>
      </c>
      <c r="D1784" t="s">
        <v>31</v>
      </c>
      <c r="E1784" t="s">
        <v>32</v>
      </c>
      <c r="F1784" t="s">
        <v>18</v>
      </c>
      <c r="G1784" t="s">
        <v>41</v>
      </c>
      <c r="H1784" t="s">
        <v>25</v>
      </c>
      <c r="I1784" s="1">
        <v>3</v>
      </c>
      <c r="J1784" s="2">
        <v>46034</v>
      </c>
      <c r="K1784" s="2">
        <v>46023</v>
      </c>
      <c r="L1784" s="1" t="str">
        <f t="shared" si="177"/>
        <v>seg</v>
      </c>
      <c r="M1784" s="1" t="str">
        <f t="shared" si="178"/>
        <v>jan</v>
      </c>
      <c r="N1784">
        <f t="shared" si="179"/>
        <v>2026</v>
      </c>
      <c r="O1784" s="2"/>
      <c r="P1784" t="str">
        <f t="shared" si="170"/>
        <v>133446034</v>
      </c>
    </row>
    <row r="1785" spans="1:16" x14ac:dyDescent="0.3">
      <c r="A1785">
        <v>1334</v>
      </c>
      <c r="B1785">
        <v>52</v>
      </c>
      <c r="C1785" t="s">
        <v>26</v>
      </c>
      <c r="D1785" t="s">
        <v>31</v>
      </c>
      <c r="E1785" t="s">
        <v>32</v>
      </c>
      <c r="F1785" t="s">
        <v>18</v>
      </c>
      <c r="G1785" t="s">
        <v>41</v>
      </c>
      <c r="H1785" t="s">
        <v>25</v>
      </c>
      <c r="I1785" s="1">
        <v>3</v>
      </c>
      <c r="J1785" s="2">
        <v>46058</v>
      </c>
      <c r="K1785" s="2">
        <v>46054</v>
      </c>
      <c r="L1785" s="1" t="str">
        <f t="shared" si="177"/>
        <v>qui</v>
      </c>
      <c r="M1785" s="1" t="str">
        <f t="shared" si="178"/>
        <v>fev</v>
      </c>
      <c r="N1785">
        <f t="shared" si="179"/>
        <v>2026</v>
      </c>
      <c r="O1785" s="2"/>
      <c r="P1785" t="str">
        <f t="shared" si="170"/>
        <v>133446058</v>
      </c>
    </row>
    <row r="1786" spans="1:16" x14ac:dyDescent="0.3">
      <c r="A1786">
        <v>1335</v>
      </c>
      <c r="B1786">
        <v>50</v>
      </c>
      <c r="C1786" t="s">
        <v>15</v>
      </c>
      <c r="D1786" t="s">
        <v>29</v>
      </c>
      <c r="E1786" t="s">
        <v>17</v>
      </c>
      <c r="F1786" t="s">
        <v>21</v>
      </c>
      <c r="G1786" t="s">
        <v>41</v>
      </c>
      <c r="H1786" t="s">
        <v>20</v>
      </c>
      <c r="I1786" s="1">
        <v>2</v>
      </c>
      <c r="J1786" s="2">
        <v>45777</v>
      </c>
      <c r="K1786" s="2">
        <v>45748</v>
      </c>
      <c r="L1786" s="1" t="str">
        <f t="shared" si="177"/>
        <v>qua</v>
      </c>
      <c r="M1786" s="1" t="str">
        <f t="shared" si="178"/>
        <v>abr</v>
      </c>
      <c r="N1786">
        <f t="shared" si="179"/>
        <v>2025</v>
      </c>
      <c r="O1786" s="2">
        <f>_xlfn.XLOOKUP(A1786,Colaboradores!$A:$A,Colaboradores!$S:$S,"",0)</f>
        <v>45877</v>
      </c>
      <c r="P1786" t="str">
        <f t="shared" si="170"/>
        <v>133545777</v>
      </c>
    </row>
    <row r="1787" spans="1:16" x14ac:dyDescent="0.3">
      <c r="A1787">
        <v>1335</v>
      </c>
      <c r="B1787">
        <v>50</v>
      </c>
      <c r="C1787" t="s">
        <v>15</v>
      </c>
      <c r="D1787" t="s">
        <v>29</v>
      </c>
      <c r="E1787" t="s">
        <v>17</v>
      </c>
      <c r="F1787" t="s">
        <v>21</v>
      </c>
      <c r="G1787" t="s">
        <v>41</v>
      </c>
      <c r="H1787" t="s">
        <v>20</v>
      </c>
      <c r="I1787" s="1">
        <v>2</v>
      </c>
      <c r="J1787" s="2">
        <v>45796</v>
      </c>
      <c r="K1787" s="2">
        <v>45778</v>
      </c>
      <c r="L1787" s="1" t="str">
        <f t="shared" si="177"/>
        <v>seg</v>
      </c>
      <c r="M1787" s="1" t="str">
        <f t="shared" si="178"/>
        <v>mai</v>
      </c>
      <c r="N1787">
        <f t="shared" si="179"/>
        <v>2025</v>
      </c>
      <c r="O1787" s="2">
        <f>_xlfn.XLOOKUP(A1787,Colaboradores!$A:$A,Colaboradores!$S:$S,"",0)</f>
        <v>45877</v>
      </c>
      <c r="P1787" t="str">
        <f t="shared" si="170"/>
        <v>133545796</v>
      </c>
    </row>
    <row r="1788" spans="1:16" x14ac:dyDescent="0.3">
      <c r="A1788">
        <v>1335</v>
      </c>
      <c r="B1788">
        <v>50</v>
      </c>
      <c r="C1788" t="s">
        <v>15</v>
      </c>
      <c r="D1788" t="s">
        <v>29</v>
      </c>
      <c r="E1788" t="s">
        <v>17</v>
      </c>
      <c r="F1788" t="s">
        <v>21</v>
      </c>
      <c r="G1788" t="s">
        <v>41</v>
      </c>
      <c r="H1788" t="s">
        <v>20</v>
      </c>
      <c r="I1788" s="1">
        <v>2</v>
      </c>
      <c r="J1788" s="2">
        <v>45864</v>
      </c>
      <c r="K1788" s="2">
        <v>45839</v>
      </c>
      <c r="L1788" s="1" t="str">
        <f t="shared" si="177"/>
        <v>sáb</v>
      </c>
      <c r="M1788" s="1" t="str">
        <f t="shared" si="178"/>
        <v>jul</v>
      </c>
      <c r="N1788">
        <f t="shared" si="179"/>
        <v>2025</v>
      </c>
      <c r="O1788" s="2">
        <f>_xlfn.XLOOKUP(A1788,Colaboradores!$A:$A,Colaboradores!$S:$S,"",0)</f>
        <v>45877</v>
      </c>
      <c r="P1788" t="str">
        <f t="shared" si="170"/>
        <v>133545864</v>
      </c>
    </row>
    <row r="1789" spans="1:16" x14ac:dyDescent="0.3">
      <c r="A1789">
        <v>1337</v>
      </c>
      <c r="B1789">
        <v>53</v>
      </c>
      <c r="C1789" t="s">
        <v>15</v>
      </c>
      <c r="D1789" t="s">
        <v>16</v>
      </c>
      <c r="E1789" t="s">
        <v>17</v>
      </c>
      <c r="F1789" t="s">
        <v>21</v>
      </c>
      <c r="G1789" t="s">
        <v>57</v>
      </c>
      <c r="H1789" t="s">
        <v>20</v>
      </c>
      <c r="I1789" s="1">
        <v>2</v>
      </c>
      <c r="J1789" s="2">
        <v>45757</v>
      </c>
      <c r="K1789" s="2">
        <v>45748</v>
      </c>
      <c r="L1789" s="1" t="str">
        <f t="shared" si="177"/>
        <v>qui</v>
      </c>
      <c r="M1789" s="1" t="str">
        <f t="shared" si="178"/>
        <v>abr</v>
      </c>
      <c r="N1789">
        <f t="shared" si="179"/>
        <v>2025</v>
      </c>
      <c r="O1789" s="2">
        <f>_xlfn.XLOOKUP(A1789,Colaboradores!$A:$A,Colaboradores!$S:$S,"",0)</f>
        <v>46073</v>
      </c>
      <c r="P1789" t="str">
        <f t="shared" si="170"/>
        <v>133745757</v>
      </c>
    </row>
    <row r="1790" spans="1:16" x14ac:dyDescent="0.3">
      <c r="A1790">
        <v>1337</v>
      </c>
      <c r="B1790">
        <v>53</v>
      </c>
      <c r="C1790" t="s">
        <v>15</v>
      </c>
      <c r="D1790" t="s">
        <v>16</v>
      </c>
      <c r="E1790" t="s">
        <v>17</v>
      </c>
      <c r="F1790" t="s">
        <v>21</v>
      </c>
      <c r="G1790" t="s">
        <v>42</v>
      </c>
      <c r="H1790" t="s">
        <v>20</v>
      </c>
      <c r="I1790" s="1">
        <v>2</v>
      </c>
      <c r="J1790" s="2">
        <v>45806</v>
      </c>
      <c r="K1790" s="2">
        <v>45778</v>
      </c>
      <c r="L1790" s="1" t="str">
        <f t="shared" si="177"/>
        <v>qui</v>
      </c>
      <c r="M1790" s="1" t="str">
        <f t="shared" si="178"/>
        <v>mai</v>
      </c>
      <c r="N1790">
        <f t="shared" si="179"/>
        <v>2025</v>
      </c>
      <c r="O1790" s="2">
        <f>_xlfn.XLOOKUP(A1790,Colaboradores!$A:$A,Colaboradores!$S:$S,"",0)</f>
        <v>46073</v>
      </c>
      <c r="P1790" t="str">
        <f t="shared" si="170"/>
        <v>133745806</v>
      </c>
    </row>
    <row r="1791" spans="1:16" x14ac:dyDescent="0.3">
      <c r="A1791">
        <v>1337</v>
      </c>
      <c r="B1791">
        <v>53</v>
      </c>
      <c r="C1791" t="s">
        <v>15</v>
      </c>
      <c r="D1791" t="s">
        <v>16</v>
      </c>
      <c r="E1791" t="s">
        <v>17</v>
      </c>
      <c r="F1791" t="s">
        <v>21</v>
      </c>
      <c r="G1791" t="s">
        <v>41</v>
      </c>
      <c r="H1791" t="s">
        <v>20</v>
      </c>
      <c r="I1791" s="1">
        <v>2</v>
      </c>
      <c r="J1791" s="2">
        <v>46004</v>
      </c>
      <c r="K1791" s="2">
        <v>45992</v>
      </c>
      <c r="L1791" s="1" t="str">
        <f t="shared" si="177"/>
        <v>sáb</v>
      </c>
      <c r="M1791" s="1" t="str">
        <f t="shared" si="178"/>
        <v>dez</v>
      </c>
      <c r="N1791">
        <f t="shared" si="179"/>
        <v>2025</v>
      </c>
      <c r="O1791" s="2">
        <f>_xlfn.XLOOKUP(A1791,Colaboradores!$A:$A,Colaboradores!$S:$S,"",0)</f>
        <v>46073</v>
      </c>
      <c r="P1791" t="str">
        <f t="shared" si="170"/>
        <v>133746004</v>
      </c>
    </row>
    <row r="1792" spans="1:16" x14ac:dyDescent="0.3">
      <c r="A1792">
        <v>1337</v>
      </c>
      <c r="B1792">
        <v>53</v>
      </c>
      <c r="C1792" t="s">
        <v>15</v>
      </c>
      <c r="D1792" t="s">
        <v>16</v>
      </c>
      <c r="E1792" t="s">
        <v>17</v>
      </c>
      <c r="F1792" t="s">
        <v>21</v>
      </c>
      <c r="G1792" t="s">
        <v>41</v>
      </c>
      <c r="H1792" t="s">
        <v>20</v>
      </c>
      <c r="I1792" s="1">
        <v>2</v>
      </c>
      <c r="J1792" s="2">
        <v>46178</v>
      </c>
      <c r="K1792" s="2">
        <v>46023</v>
      </c>
      <c r="L1792" s="1" t="str">
        <f t="shared" si="177"/>
        <v>sex</v>
      </c>
      <c r="M1792" s="1" t="str">
        <f t="shared" si="178"/>
        <v>jun</v>
      </c>
      <c r="N1792">
        <f t="shared" si="179"/>
        <v>2026</v>
      </c>
      <c r="O1792" s="2">
        <f>_xlfn.XLOOKUP(A1792,Colaboradores!$A:$A,Colaboradores!$S:$S,"",0)</f>
        <v>46073</v>
      </c>
      <c r="P1792" t="str">
        <f t="shared" si="170"/>
        <v>133746178</v>
      </c>
    </row>
    <row r="1793" spans="1:16" x14ac:dyDescent="0.3">
      <c r="A1793">
        <v>1337</v>
      </c>
      <c r="B1793">
        <v>53</v>
      </c>
      <c r="C1793" t="s">
        <v>15</v>
      </c>
      <c r="D1793" t="s">
        <v>16</v>
      </c>
      <c r="E1793" t="s">
        <v>17</v>
      </c>
      <c r="F1793" t="s">
        <v>21</v>
      </c>
      <c r="G1793" t="s">
        <v>41</v>
      </c>
      <c r="H1793" t="s">
        <v>20</v>
      </c>
      <c r="I1793" s="1">
        <v>2</v>
      </c>
      <c r="J1793" s="2">
        <v>46179</v>
      </c>
      <c r="K1793" s="2">
        <v>46023</v>
      </c>
      <c r="L1793" s="1" t="str">
        <f t="shared" si="177"/>
        <v>sáb</v>
      </c>
      <c r="M1793" s="1" t="str">
        <f t="shared" si="178"/>
        <v>jun</v>
      </c>
      <c r="N1793">
        <f t="shared" si="179"/>
        <v>2026</v>
      </c>
      <c r="O1793" s="2">
        <f>_xlfn.XLOOKUP(A1793,Colaboradores!$A:$A,Colaboradores!$S:$S,"",0)</f>
        <v>46073</v>
      </c>
      <c r="P1793" t="str">
        <f t="shared" ref="P1793:P1856" si="180">CONCATENATE(A1793,J1793)</f>
        <v>133746179</v>
      </c>
    </row>
    <row r="1794" spans="1:16" x14ac:dyDescent="0.3">
      <c r="A1794">
        <v>1337</v>
      </c>
      <c r="B1794">
        <v>53</v>
      </c>
      <c r="C1794" t="s">
        <v>15</v>
      </c>
      <c r="D1794" t="s">
        <v>16</v>
      </c>
      <c r="E1794" t="s">
        <v>17</v>
      </c>
      <c r="F1794" t="s">
        <v>21</v>
      </c>
      <c r="G1794" t="s">
        <v>42</v>
      </c>
      <c r="H1794" t="s">
        <v>20</v>
      </c>
      <c r="I1794" s="1">
        <v>2</v>
      </c>
      <c r="J1794" s="2">
        <v>46185</v>
      </c>
      <c r="K1794" s="2">
        <v>46023</v>
      </c>
      <c r="L1794" s="1" t="str">
        <f t="shared" si="177"/>
        <v>sex</v>
      </c>
      <c r="M1794" s="1" t="str">
        <f t="shared" si="178"/>
        <v>jun</v>
      </c>
      <c r="N1794">
        <f t="shared" si="179"/>
        <v>2026</v>
      </c>
      <c r="O1794" s="2">
        <f>_xlfn.XLOOKUP(A1794,Colaboradores!$A:$A,Colaboradores!$S:$S,"",0)</f>
        <v>46073</v>
      </c>
      <c r="P1794" t="str">
        <f t="shared" si="180"/>
        <v>133746185</v>
      </c>
    </row>
    <row r="1795" spans="1:16" x14ac:dyDescent="0.3">
      <c r="A1795">
        <v>1338</v>
      </c>
      <c r="B1795">
        <v>45</v>
      </c>
      <c r="C1795" t="s">
        <v>26</v>
      </c>
      <c r="D1795" t="s">
        <v>29</v>
      </c>
      <c r="E1795" t="s">
        <v>17</v>
      </c>
      <c r="F1795" t="s">
        <v>18</v>
      </c>
      <c r="G1795" t="s">
        <v>44</v>
      </c>
      <c r="H1795" t="s">
        <v>25</v>
      </c>
      <c r="I1795" s="1">
        <v>1</v>
      </c>
      <c r="J1795" s="2">
        <v>45781</v>
      </c>
      <c r="K1795" s="2">
        <v>45778</v>
      </c>
      <c r="L1795" s="1" t="str">
        <f t="shared" si="177"/>
        <v>dom</v>
      </c>
      <c r="M1795" s="1" t="str">
        <f t="shared" si="178"/>
        <v>mai</v>
      </c>
      <c r="N1795">
        <f t="shared" si="179"/>
        <v>2025</v>
      </c>
      <c r="O1795" s="2"/>
      <c r="P1795" t="str">
        <f t="shared" si="180"/>
        <v>133845781</v>
      </c>
    </row>
    <row r="1796" spans="1:16" x14ac:dyDescent="0.3">
      <c r="A1796">
        <v>1338</v>
      </c>
      <c r="B1796">
        <v>45</v>
      </c>
      <c r="C1796" t="s">
        <v>26</v>
      </c>
      <c r="D1796" t="s">
        <v>29</v>
      </c>
      <c r="E1796" t="s">
        <v>17</v>
      </c>
      <c r="F1796" t="s">
        <v>18</v>
      </c>
      <c r="G1796" t="s">
        <v>44</v>
      </c>
      <c r="H1796" t="s">
        <v>25</v>
      </c>
      <c r="I1796" s="1">
        <v>1</v>
      </c>
      <c r="J1796" s="2">
        <v>45928</v>
      </c>
      <c r="K1796" s="2">
        <v>45901</v>
      </c>
      <c r="L1796" s="1" t="str">
        <f t="shared" si="177"/>
        <v>dom</v>
      </c>
      <c r="M1796" s="1" t="str">
        <f t="shared" si="178"/>
        <v>set</v>
      </c>
      <c r="N1796">
        <f t="shared" si="179"/>
        <v>2025</v>
      </c>
      <c r="O1796" s="2"/>
      <c r="P1796" t="str">
        <f t="shared" si="180"/>
        <v>133845928</v>
      </c>
    </row>
    <row r="1797" spans="1:16" x14ac:dyDescent="0.3">
      <c r="A1797">
        <v>1338</v>
      </c>
      <c r="B1797">
        <v>45</v>
      </c>
      <c r="C1797" t="s">
        <v>26</v>
      </c>
      <c r="D1797" t="s">
        <v>29</v>
      </c>
      <c r="E1797" t="s">
        <v>17</v>
      </c>
      <c r="F1797" t="s">
        <v>18</v>
      </c>
      <c r="G1797" t="s">
        <v>44</v>
      </c>
      <c r="H1797" t="s">
        <v>25</v>
      </c>
      <c r="I1797" s="1">
        <v>1</v>
      </c>
      <c r="J1797" s="2">
        <v>45929</v>
      </c>
      <c r="K1797" s="2">
        <v>45901</v>
      </c>
      <c r="L1797" s="1" t="str">
        <f t="shared" si="177"/>
        <v>seg</v>
      </c>
      <c r="M1797" s="1" t="str">
        <f t="shared" si="178"/>
        <v>set</v>
      </c>
      <c r="N1797">
        <f t="shared" si="179"/>
        <v>2025</v>
      </c>
      <c r="O1797" s="2"/>
      <c r="P1797" t="str">
        <f t="shared" si="180"/>
        <v>133845929</v>
      </c>
    </row>
    <row r="1798" spans="1:16" x14ac:dyDescent="0.3">
      <c r="A1798">
        <v>1338</v>
      </c>
      <c r="B1798">
        <v>45</v>
      </c>
      <c r="C1798" t="s">
        <v>26</v>
      </c>
      <c r="D1798" t="s">
        <v>29</v>
      </c>
      <c r="E1798" t="s">
        <v>17</v>
      </c>
      <c r="F1798" t="s">
        <v>18</v>
      </c>
      <c r="G1798" t="s">
        <v>41</v>
      </c>
      <c r="H1798" t="s">
        <v>25</v>
      </c>
      <c r="I1798" s="1">
        <v>1</v>
      </c>
      <c r="J1798" s="2">
        <v>46202</v>
      </c>
      <c r="K1798" s="2">
        <v>46023</v>
      </c>
      <c r="L1798" s="1" t="str">
        <f t="shared" si="177"/>
        <v>seg</v>
      </c>
      <c r="M1798" s="1" t="str">
        <f t="shared" si="178"/>
        <v>jun</v>
      </c>
      <c r="N1798">
        <f t="shared" si="179"/>
        <v>2026</v>
      </c>
      <c r="O1798" s="2"/>
      <c r="P1798" t="str">
        <f t="shared" si="180"/>
        <v>133846202</v>
      </c>
    </row>
    <row r="1799" spans="1:16" x14ac:dyDescent="0.3">
      <c r="A1799">
        <v>1338</v>
      </c>
      <c r="B1799">
        <v>45</v>
      </c>
      <c r="C1799" t="s">
        <v>26</v>
      </c>
      <c r="D1799" t="s">
        <v>29</v>
      </c>
      <c r="E1799" t="s">
        <v>17</v>
      </c>
      <c r="F1799" t="s">
        <v>18</v>
      </c>
      <c r="G1799" t="s">
        <v>44</v>
      </c>
      <c r="H1799" t="s">
        <v>25</v>
      </c>
      <c r="I1799" s="1">
        <v>1</v>
      </c>
      <c r="J1799" s="2">
        <v>46068</v>
      </c>
      <c r="K1799" s="2">
        <v>46054</v>
      </c>
      <c r="L1799" s="1" t="str">
        <f t="shared" si="177"/>
        <v>dom</v>
      </c>
      <c r="M1799" s="1" t="str">
        <f t="shared" si="178"/>
        <v>fev</v>
      </c>
      <c r="N1799">
        <f t="shared" si="179"/>
        <v>2026</v>
      </c>
      <c r="O1799" s="2"/>
      <c r="P1799" t="str">
        <f t="shared" si="180"/>
        <v>133846068</v>
      </c>
    </row>
    <row r="1800" spans="1:16" x14ac:dyDescent="0.3">
      <c r="A1800">
        <v>1338</v>
      </c>
      <c r="B1800">
        <v>45</v>
      </c>
      <c r="C1800" t="s">
        <v>26</v>
      </c>
      <c r="D1800" t="s">
        <v>29</v>
      </c>
      <c r="E1800" t="s">
        <v>17</v>
      </c>
      <c r="F1800" t="s">
        <v>18</v>
      </c>
      <c r="G1800" t="s">
        <v>41</v>
      </c>
      <c r="H1800" t="s">
        <v>25</v>
      </c>
      <c r="I1800" s="1">
        <v>1</v>
      </c>
      <c r="J1800" s="2">
        <v>46080</v>
      </c>
      <c r="K1800" s="2">
        <v>46054</v>
      </c>
      <c r="L1800" s="1" t="str">
        <f t="shared" si="177"/>
        <v>sex</v>
      </c>
      <c r="M1800" s="1" t="str">
        <f t="shared" si="178"/>
        <v>fev</v>
      </c>
      <c r="N1800">
        <f t="shared" si="179"/>
        <v>2026</v>
      </c>
      <c r="O1800" s="2"/>
      <c r="P1800" t="str">
        <f t="shared" si="180"/>
        <v>133846080</v>
      </c>
    </row>
    <row r="1801" spans="1:16" x14ac:dyDescent="0.3">
      <c r="A1801">
        <v>1338</v>
      </c>
      <c r="B1801">
        <v>45</v>
      </c>
      <c r="C1801" t="s">
        <v>26</v>
      </c>
      <c r="D1801" t="s">
        <v>29</v>
      </c>
      <c r="E1801" t="s">
        <v>17</v>
      </c>
      <c r="F1801" t="s">
        <v>18</v>
      </c>
      <c r="G1801" t="s">
        <v>44</v>
      </c>
      <c r="H1801" t="s">
        <v>25</v>
      </c>
      <c r="I1801" s="1">
        <v>1</v>
      </c>
      <c r="J1801" s="2">
        <v>46146</v>
      </c>
      <c r="K1801" s="2">
        <v>46143</v>
      </c>
      <c r="L1801" s="1" t="s">
        <v>55</v>
      </c>
      <c r="M1801" s="1" t="s">
        <v>49</v>
      </c>
      <c r="N1801">
        <v>2025</v>
      </c>
      <c r="O1801" s="2"/>
      <c r="P1801" t="str">
        <f t="shared" si="180"/>
        <v>133846146</v>
      </c>
    </row>
    <row r="1802" spans="1:16" x14ac:dyDescent="0.3">
      <c r="A1802">
        <v>1339</v>
      </c>
      <c r="B1802">
        <v>58</v>
      </c>
      <c r="C1802" t="s">
        <v>26</v>
      </c>
      <c r="D1802" t="s">
        <v>16</v>
      </c>
      <c r="E1802" t="s">
        <v>17</v>
      </c>
      <c r="F1802" t="s">
        <v>23</v>
      </c>
      <c r="G1802" t="s">
        <v>41</v>
      </c>
      <c r="H1802" t="s">
        <v>25</v>
      </c>
      <c r="I1802" s="1">
        <v>3</v>
      </c>
      <c r="J1802" s="2">
        <v>45853</v>
      </c>
      <c r="K1802" s="2">
        <v>45839</v>
      </c>
      <c r="L1802" s="1" t="str">
        <f t="shared" ref="L1802:L1847" si="181">TEXT(J1802,"ddd")</f>
        <v>ter</v>
      </c>
      <c r="M1802" s="1" t="str">
        <f t="shared" ref="M1802:M1847" si="182">TEXT($J1802,"mmm")</f>
        <v>jul</v>
      </c>
      <c r="N1802">
        <f t="shared" ref="N1802:N1847" si="183">YEAR(J1802)</f>
        <v>2025</v>
      </c>
      <c r="O1802" s="2"/>
      <c r="P1802" t="str">
        <f t="shared" si="180"/>
        <v>133945853</v>
      </c>
    </row>
    <row r="1803" spans="1:16" x14ac:dyDescent="0.3">
      <c r="A1803">
        <v>1339</v>
      </c>
      <c r="B1803">
        <v>58</v>
      </c>
      <c r="C1803" t="s">
        <v>26</v>
      </c>
      <c r="D1803" t="s">
        <v>16</v>
      </c>
      <c r="E1803" t="s">
        <v>17</v>
      </c>
      <c r="F1803" t="s">
        <v>23</v>
      </c>
      <c r="G1803" t="s">
        <v>41</v>
      </c>
      <c r="H1803" t="s">
        <v>25</v>
      </c>
      <c r="I1803" s="1">
        <v>3</v>
      </c>
      <c r="J1803" s="2">
        <v>45859</v>
      </c>
      <c r="K1803" s="2">
        <v>45839</v>
      </c>
      <c r="L1803" s="1" t="str">
        <f t="shared" si="181"/>
        <v>seg</v>
      </c>
      <c r="M1803" s="1" t="str">
        <f t="shared" si="182"/>
        <v>jul</v>
      </c>
      <c r="N1803">
        <f t="shared" si="183"/>
        <v>2025</v>
      </c>
      <c r="O1803" s="2"/>
      <c r="P1803" t="str">
        <f t="shared" si="180"/>
        <v>133945859</v>
      </c>
    </row>
    <row r="1804" spans="1:16" x14ac:dyDescent="0.3">
      <c r="A1804">
        <v>1339</v>
      </c>
      <c r="B1804">
        <v>58</v>
      </c>
      <c r="C1804" t="s">
        <v>26</v>
      </c>
      <c r="D1804" t="s">
        <v>16</v>
      </c>
      <c r="E1804" t="s">
        <v>17</v>
      </c>
      <c r="F1804" t="s">
        <v>23</v>
      </c>
      <c r="G1804" t="s">
        <v>41</v>
      </c>
      <c r="H1804" t="s">
        <v>25</v>
      </c>
      <c r="I1804" s="1">
        <v>3</v>
      </c>
      <c r="J1804" s="2">
        <v>46197</v>
      </c>
      <c r="K1804" s="2">
        <v>46023</v>
      </c>
      <c r="L1804" s="1" t="str">
        <f t="shared" si="181"/>
        <v>qua</v>
      </c>
      <c r="M1804" s="1" t="str">
        <f t="shared" si="182"/>
        <v>jun</v>
      </c>
      <c r="N1804">
        <f t="shared" si="183"/>
        <v>2026</v>
      </c>
      <c r="O1804" s="2"/>
      <c r="P1804" t="str">
        <f t="shared" si="180"/>
        <v>133946197</v>
      </c>
    </row>
    <row r="1805" spans="1:16" x14ac:dyDescent="0.3">
      <c r="A1805">
        <v>1339</v>
      </c>
      <c r="B1805">
        <v>58</v>
      </c>
      <c r="C1805" t="s">
        <v>26</v>
      </c>
      <c r="D1805" t="s">
        <v>16</v>
      </c>
      <c r="E1805" t="s">
        <v>17</v>
      </c>
      <c r="F1805" t="s">
        <v>23</v>
      </c>
      <c r="G1805" t="s">
        <v>41</v>
      </c>
      <c r="H1805" t="s">
        <v>25</v>
      </c>
      <c r="I1805" s="1">
        <v>3</v>
      </c>
      <c r="J1805" s="2">
        <v>46064</v>
      </c>
      <c r="K1805" s="2">
        <v>46054</v>
      </c>
      <c r="L1805" s="1" t="str">
        <f t="shared" si="181"/>
        <v>qua</v>
      </c>
      <c r="M1805" s="1" t="str">
        <f t="shared" si="182"/>
        <v>fev</v>
      </c>
      <c r="N1805">
        <f t="shared" si="183"/>
        <v>2026</v>
      </c>
      <c r="O1805" s="2"/>
      <c r="P1805" t="str">
        <f t="shared" si="180"/>
        <v>133946064</v>
      </c>
    </row>
    <row r="1806" spans="1:16" x14ac:dyDescent="0.3">
      <c r="A1806">
        <v>1339</v>
      </c>
      <c r="B1806">
        <v>58</v>
      </c>
      <c r="C1806" t="s">
        <v>26</v>
      </c>
      <c r="D1806" t="s">
        <v>16</v>
      </c>
      <c r="E1806" t="s">
        <v>17</v>
      </c>
      <c r="F1806" t="s">
        <v>23</v>
      </c>
      <c r="G1806" t="s">
        <v>41</v>
      </c>
      <c r="H1806" t="s">
        <v>25</v>
      </c>
      <c r="I1806" s="1">
        <v>3</v>
      </c>
      <c r="J1806" s="2">
        <v>46089</v>
      </c>
      <c r="K1806" s="2">
        <v>46082</v>
      </c>
      <c r="L1806" s="1" t="str">
        <f t="shared" si="181"/>
        <v>dom</v>
      </c>
      <c r="M1806" s="1" t="str">
        <f t="shared" si="182"/>
        <v>mar</v>
      </c>
      <c r="N1806">
        <f t="shared" si="183"/>
        <v>2026</v>
      </c>
      <c r="O1806" s="2"/>
      <c r="P1806" t="str">
        <f t="shared" si="180"/>
        <v>133946089</v>
      </c>
    </row>
    <row r="1807" spans="1:16" x14ac:dyDescent="0.3">
      <c r="A1807">
        <v>1340</v>
      </c>
      <c r="B1807">
        <v>57</v>
      </c>
      <c r="C1807" t="s">
        <v>15</v>
      </c>
      <c r="D1807" t="s">
        <v>29</v>
      </c>
      <c r="E1807" t="s">
        <v>17</v>
      </c>
      <c r="F1807" t="s">
        <v>21</v>
      </c>
      <c r="G1807" t="s">
        <v>40</v>
      </c>
      <c r="H1807" t="s">
        <v>25</v>
      </c>
      <c r="I1807" s="1">
        <v>3</v>
      </c>
      <c r="J1807" s="2">
        <v>45815</v>
      </c>
      <c r="K1807" s="2">
        <v>45809</v>
      </c>
      <c r="L1807" s="1" t="str">
        <f t="shared" si="181"/>
        <v>sáb</v>
      </c>
      <c r="M1807" s="1" t="str">
        <f t="shared" si="182"/>
        <v>jun</v>
      </c>
      <c r="N1807">
        <f t="shared" si="183"/>
        <v>2025</v>
      </c>
      <c r="O1807" s="2"/>
      <c r="P1807" t="str">
        <f t="shared" si="180"/>
        <v>134045815</v>
      </c>
    </row>
    <row r="1808" spans="1:16" x14ac:dyDescent="0.3">
      <c r="A1808">
        <v>1340</v>
      </c>
      <c r="B1808">
        <v>57</v>
      </c>
      <c r="C1808" t="s">
        <v>15</v>
      </c>
      <c r="D1808" t="s">
        <v>29</v>
      </c>
      <c r="E1808" t="s">
        <v>17</v>
      </c>
      <c r="F1808" t="s">
        <v>21</v>
      </c>
      <c r="G1808" t="s">
        <v>41</v>
      </c>
      <c r="H1808" t="s">
        <v>25</v>
      </c>
      <c r="I1808" s="1">
        <v>3</v>
      </c>
      <c r="J1808" s="2">
        <v>45853</v>
      </c>
      <c r="K1808" s="2">
        <v>45839</v>
      </c>
      <c r="L1808" s="1" t="str">
        <f t="shared" si="181"/>
        <v>ter</v>
      </c>
      <c r="M1808" s="1" t="str">
        <f t="shared" si="182"/>
        <v>jul</v>
      </c>
      <c r="N1808">
        <f t="shared" si="183"/>
        <v>2025</v>
      </c>
      <c r="O1808" s="2"/>
      <c r="P1808" t="str">
        <f t="shared" si="180"/>
        <v>134045853</v>
      </c>
    </row>
    <row r="1809" spans="1:16" x14ac:dyDescent="0.3">
      <c r="A1809">
        <v>1340</v>
      </c>
      <c r="B1809">
        <v>57</v>
      </c>
      <c r="C1809" t="s">
        <v>15</v>
      </c>
      <c r="D1809" t="s">
        <v>29</v>
      </c>
      <c r="E1809" t="s">
        <v>17</v>
      </c>
      <c r="F1809" t="s">
        <v>21</v>
      </c>
      <c r="G1809" t="s">
        <v>40</v>
      </c>
      <c r="H1809" t="s">
        <v>25</v>
      </c>
      <c r="I1809" s="1">
        <v>3</v>
      </c>
      <c r="J1809" s="2">
        <v>45927</v>
      </c>
      <c r="K1809" s="2">
        <v>45901</v>
      </c>
      <c r="L1809" s="1" t="str">
        <f t="shared" si="181"/>
        <v>sáb</v>
      </c>
      <c r="M1809" s="1" t="str">
        <f t="shared" si="182"/>
        <v>set</v>
      </c>
      <c r="N1809">
        <f t="shared" si="183"/>
        <v>2025</v>
      </c>
      <c r="O1809" s="2"/>
      <c r="P1809" t="str">
        <f t="shared" si="180"/>
        <v>134045927</v>
      </c>
    </row>
    <row r="1810" spans="1:16" x14ac:dyDescent="0.3">
      <c r="A1810">
        <v>1340</v>
      </c>
      <c r="B1810">
        <v>57</v>
      </c>
      <c r="C1810" t="s">
        <v>15</v>
      </c>
      <c r="D1810" t="s">
        <v>29</v>
      </c>
      <c r="E1810" t="s">
        <v>17</v>
      </c>
      <c r="F1810" t="s">
        <v>21</v>
      </c>
      <c r="G1810" t="s">
        <v>41</v>
      </c>
      <c r="H1810" t="s">
        <v>25</v>
      </c>
      <c r="I1810" s="1">
        <v>3</v>
      </c>
      <c r="J1810" s="2">
        <v>45974</v>
      </c>
      <c r="K1810" s="2">
        <v>45962</v>
      </c>
      <c r="L1810" s="1" t="str">
        <f t="shared" si="181"/>
        <v>qui</v>
      </c>
      <c r="M1810" s="1" t="str">
        <f t="shared" si="182"/>
        <v>nov</v>
      </c>
      <c r="N1810">
        <f t="shared" si="183"/>
        <v>2025</v>
      </c>
      <c r="O1810" s="2"/>
      <c r="P1810" t="str">
        <f t="shared" si="180"/>
        <v>134045974</v>
      </c>
    </row>
    <row r="1811" spans="1:16" x14ac:dyDescent="0.3">
      <c r="A1811">
        <v>1340</v>
      </c>
      <c r="B1811">
        <v>57</v>
      </c>
      <c r="C1811" t="s">
        <v>15</v>
      </c>
      <c r="D1811" t="s">
        <v>29</v>
      </c>
      <c r="E1811" t="s">
        <v>17</v>
      </c>
      <c r="F1811" t="s">
        <v>21</v>
      </c>
      <c r="G1811" t="s">
        <v>40</v>
      </c>
      <c r="H1811" t="s">
        <v>25</v>
      </c>
      <c r="I1811" s="1">
        <v>3</v>
      </c>
      <c r="J1811" s="2">
        <v>46068</v>
      </c>
      <c r="K1811" s="2">
        <v>46054</v>
      </c>
      <c r="L1811" s="1" t="str">
        <f t="shared" si="181"/>
        <v>dom</v>
      </c>
      <c r="M1811" s="1" t="str">
        <f t="shared" si="182"/>
        <v>fev</v>
      </c>
      <c r="N1811">
        <f t="shared" si="183"/>
        <v>2026</v>
      </c>
      <c r="O1811" s="2"/>
      <c r="P1811" t="str">
        <f t="shared" si="180"/>
        <v>134046068</v>
      </c>
    </row>
    <row r="1812" spans="1:16" x14ac:dyDescent="0.3">
      <c r="A1812">
        <v>1341</v>
      </c>
      <c r="B1812">
        <v>24</v>
      </c>
      <c r="C1812" t="s">
        <v>26</v>
      </c>
      <c r="D1812" t="s">
        <v>16</v>
      </c>
      <c r="E1812" t="s">
        <v>17</v>
      </c>
      <c r="F1812" t="s">
        <v>21</v>
      </c>
      <c r="G1812" t="s">
        <v>40</v>
      </c>
      <c r="H1812" t="s">
        <v>25</v>
      </c>
      <c r="I1812" s="1">
        <v>3</v>
      </c>
      <c r="J1812" s="2">
        <v>45811</v>
      </c>
      <c r="K1812" s="2">
        <v>45809</v>
      </c>
      <c r="L1812" s="1" t="str">
        <f t="shared" si="181"/>
        <v>ter</v>
      </c>
      <c r="M1812" s="1" t="str">
        <f t="shared" si="182"/>
        <v>jun</v>
      </c>
      <c r="N1812">
        <f t="shared" si="183"/>
        <v>2025</v>
      </c>
      <c r="O1812" s="2"/>
      <c r="P1812" t="str">
        <f t="shared" si="180"/>
        <v>134145811</v>
      </c>
    </row>
    <row r="1813" spans="1:16" x14ac:dyDescent="0.3">
      <c r="A1813">
        <v>1341</v>
      </c>
      <c r="B1813">
        <v>24</v>
      </c>
      <c r="C1813" t="s">
        <v>26</v>
      </c>
      <c r="D1813" t="s">
        <v>16</v>
      </c>
      <c r="E1813" t="s">
        <v>17</v>
      </c>
      <c r="F1813" t="s">
        <v>21</v>
      </c>
      <c r="G1813" t="s">
        <v>40</v>
      </c>
      <c r="H1813" t="s">
        <v>25</v>
      </c>
      <c r="I1813" s="1">
        <v>3</v>
      </c>
      <c r="J1813" s="2">
        <v>45862</v>
      </c>
      <c r="K1813" s="2">
        <v>45839</v>
      </c>
      <c r="L1813" s="1" t="str">
        <f t="shared" si="181"/>
        <v>qui</v>
      </c>
      <c r="M1813" s="1" t="str">
        <f t="shared" si="182"/>
        <v>jul</v>
      </c>
      <c r="N1813">
        <f t="shared" si="183"/>
        <v>2025</v>
      </c>
      <c r="O1813" s="2"/>
      <c r="P1813" t="str">
        <f t="shared" si="180"/>
        <v>134145862</v>
      </c>
    </row>
    <row r="1814" spans="1:16" x14ac:dyDescent="0.3">
      <c r="A1814">
        <v>1341</v>
      </c>
      <c r="B1814">
        <v>24</v>
      </c>
      <c r="C1814" t="s">
        <v>26</v>
      </c>
      <c r="D1814" t="s">
        <v>16</v>
      </c>
      <c r="E1814" t="s">
        <v>17</v>
      </c>
      <c r="F1814" t="s">
        <v>21</v>
      </c>
      <c r="G1814" t="s">
        <v>40</v>
      </c>
      <c r="H1814" t="s">
        <v>25</v>
      </c>
      <c r="I1814" s="1">
        <v>3</v>
      </c>
      <c r="J1814" s="2">
        <v>45903</v>
      </c>
      <c r="K1814" s="2">
        <v>45901</v>
      </c>
      <c r="L1814" s="1" t="str">
        <f t="shared" si="181"/>
        <v>qua</v>
      </c>
      <c r="M1814" s="1" t="str">
        <f t="shared" si="182"/>
        <v>set</v>
      </c>
      <c r="N1814">
        <f t="shared" si="183"/>
        <v>2025</v>
      </c>
      <c r="O1814" s="2"/>
      <c r="P1814" t="str">
        <f t="shared" si="180"/>
        <v>134145903</v>
      </c>
    </row>
    <row r="1815" spans="1:16" x14ac:dyDescent="0.3">
      <c r="A1815">
        <v>1341</v>
      </c>
      <c r="B1815">
        <v>24</v>
      </c>
      <c r="C1815" t="s">
        <v>26</v>
      </c>
      <c r="D1815" t="s">
        <v>16</v>
      </c>
      <c r="E1815" t="s">
        <v>17</v>
      </c>
      <c r="F1815" t="s">
        <v>21</v>
      </c>
      <c r="G1815" t="s">
        <v>40</v>
      </c>
      <c r="H1815" t="s">
        <v>25</v>
      </c>
      <c r="I1815" s="1">
        <v>3</v>
      </c>
      <c r="J1815" s="2">
        <v>45911</v>
      </c>
      <c r="K1815" s="2">
        <v>45901</v>
      </c>
      <c r="L1815" s="1" t="str">
        <f t="shared" si="181"/>
        <v>qui</v>
      </c>
      <c r="M1815" s="1" t="str">
        <f t="shared" si="182"/>
        <v>set</v>
      </c>
      <c r="N1815">
        <f t="shared" si="183"/>
        <v>2025</v>
      </c>
      <c r="O1815" s="2"/>
      <c r="P1815" t="str">
        <f t="shared" si="180"/>
        <v>134145911</v>
      </c>
    </row>
    <row r="1816" spans="1:16" x14ac:dyDescent="0.3">
      <c r="A1816">
        <v>1341</v>
      </c>
      <c r="B1816">
        <v>24</v>
      </c>
      <c r="C1816" t="s">
        <v>26</v>
      </c>
      <c r="D1816" t="s">
        <v>16</v>
      </c>
      <c r="E1816" t="s">
        <v>17</v>
      </c>
      <c r="F1816" t="s">
        <v>21</v>
      </c>
      <c r="G1816" t="s">
        <v>40</v>
      </c>
      <c r="H1816" t="s">
        <v>25</v>
      </c>
      <c r="I1816" s="1">
        <v>3</v>
      </c>
      <c r="J1816" s="2">
        <v>45959</v>
      </c>
      <c r="K1816" s="2">
        <v>45931</v>
      </c>
      <c r="L1816" s="1" t="str">
        <f t="shared" si="181"/>
        <v>qua</v>
      </c>
      <c r="M1816" s="1" t="str">
        <f t="shared" si="182"/>
        <v>out</v>
      </c>
      <c r="N1816">
        <f t="shared" si="183"/>
        <v>2025</v>
      </c>
      <c r="O1816" s="2"/>
      <c r="P1816" t="str">
        <f t="shared" si="180"/>
        <v>134145959</v>
      </c>
    </row>
    <row r="1817" spans="1:16" x14ac:dyDescent="0.3">
      <c r="A1817">
        <v>1341</v>
      </c>
      <c r="B1817">
        <v>24</v>
      </c>
      <c r="C1817" t="s">
        <v>26</v>
      </c>
      <c r="D1817" t="s">
        <v>16</v>
      </c>
      <c r="E1817" t="s">
        <v>17</v>
      </c>
      <c r="F1817" t="s">
        <v>21</v>
      </c>
      <c r="G1817" t="s">
        <v>40</v>
      </c>
      <c r="H1817" t="s">
        <v>25</v>
      </c>
      <c r="I1817" s="1">
        <v>3</v>
      </c>
      <c r="J1817" s="2">
        <v>45968</v>
      </c>
      <c r="K1817" s="2">
        <v>45962</v>
      </c>
      <c r="L1817" s="1" t="str">
        <f t="shared" si="181"/>
        <v>sex</v>
      </c>
      <c r="M1817" s="1" t="str">
        <f t="shared" si="182"/>
        <v>nov</v>
      </c>
      <c r="N1817">
        <f t="shared" si="183"/>
        <v>2025</v>
      </c>
      <c r="O1817" s="2"/>
      <c r="P1817" t="str">
        <f t="shared" si="180"/>
        <v>134145968</v>
      </c>
    </row>
    <row r="1818" spans="1:16" x14ac:dyDescent="0.3">
      <c r="A1818">
        <v>1342</v>
      </c>
      <c r="B1818">
        <v>51</v>
      </c>
      <c r="C1818" t="s">
        <v>26</v>
      </c>
      <c r="D1818" t="s">
        <v>31</v>
      </c>
      <c r="E1818" t="s">
        <v>34</v>
      </c>
      <c r="F1818" t="s">
        <v>21</v>
      </c>
      <c r="G1818" t="s">
        <v>41</v>
      </c>
      <c r="H1818" t="s">
        <v>20</v>
      </c>
      <c r="I1818" s="1">
        <v>3</v>
      </c>
      <c r="J1818" s="2">
        <v>45801</v>
      </c>
      <c r="K1818" s="2">
        <v>45778</v>
      </c>
      <c r="L1818" s="1" t="str">
        <f t="shared" si="181"/>
        <v>sáb</v>
      </c>
      <c r="M1818" s="1" t="str">
        <f t="shared" si="182"/>
        <v>mai</v>
      </c>
      <c r="N1818">
        <f t="shared" si="183"/>
        <v>2025</v>
      </c>
      <c r="O1818" s="2">
        <f>_xlfn.XLOOKUP(A1818,Colaboradores!$A:$A,Colaboradores!$S:$S,"",0)</f>
        <v>46040</v>
      </c>
      <c r="P1818" t="str">
        <f t="shared" si="180"/>
        <v>134245801</v>
      </c>
    </row>
    <row r="1819" spans="1:16" x14ac:dyDescent="0.3">
      <c r="A1819">
        <v>1342</v>
      </c>
      <c r="B1819">
        <v>51</v>
      </c>
      <c r="C1819" t="s">
        <v>26</v>
      </c>
      <c r="D1819" t="s">
        <v>31</v>
      </c>
      <c r="E1819" t="s">
        <v>34</v>
      </c>
      <c r="F1819" t="s">
        <v>21</v>
      </c>
      <c r="G1819" t="s">
        <v>41</v>
      </c>
      <c r="H1819" t="s">
        <v>20</v>
      </c>
      <c r="I1819" s="1">
        <v>3</v>
      </c>
      <c r="J1819" s="2">
        <v>45854</v>
      </c>
      <c r="K1819" s="2">
        <v>45839</v>
      </c>
      <c r="L1819" s="1" t="str">
        <f t="shared" si="181"/>
        <v>qua</v>
      </c>
      <c r="M1819" s="1" t="str">
        <f t="shared" si="182"/>
        <v>jul</v>
      </c>
      <c r="N1819">
        <f t="shared" si="183"/>
        <v>2025</v>
      </c>
      <c r="O1819" s="2">
        <f>_xlfn.XLOOKUP(A1819,Colaboradores!$A:$A,Colaboradores!$S:$S,"",0)</f>
        <v>46040</v>
      </c>
      <c r="P1819" t="str">
        <f t="shared" si="180"/>
        <v>134245854</v>
      </c>
    </row>
    <row r="1820" spans="1:16" x14ac:dyDescent="0.3">
      <c r="A1820">
        <v>1342</v>
      </c>
      <c r="B1820">
        <v>51</v>
      </c>
      <c r="C1820" t="s">
        <v>26</v>
      </c>
      <c r="D1820" t="s">
        <v>31</v>
      </c>
      <c r="E1820" t="s">
        <v>34</v>
      </c>
      <c r="F1820" t="s">
        <v>21</v>
      </c>
      <c r="G1820" t="s">
        <v>41</v>
      </c>
      <c r="H1820" t="s">
        <v>20</v>
      </c>
      <c r="I1820" s="1">
        <v>3</v>
      </c>
      <c r="J1820" s="2">
        <v>45869</v>
      </c>
      <c r="K1820" s="2">
        <v>45839</v>
      </c>
      <c r="L1820" s="1" t="str">
        <f t="shared" si="181"/>
        <v>qui</v>
      </c>
      <c r="M1820" s="1" t="str">
        <f t="shared" si="182"/>
        <v>jul</v>
      </c>
      <c r="N1820">
        <f t="shared" si="183"/>
        <v>2025</v>
      </c>
      <c r="O1820" s="2">
        <f>_xlfn.XLOOKUP(A1820,Colaboradores!$A:$A,Colaboradores!$S:$S,"",0)</f>
        <v>46040</v>
      </c>
      <c r="P1820" t="str">
        <f t="shared" si="180"/>
        <v>134245869</v>
      </c>
    </row>
    <row r="1821" spans="1:16" x14ac:dyDescent="0.3">
      <c r="A1821">
        <v>1342</v>
      </c>
      <c r="B1821">
        <v>51</v>
      </c>
      <c r="C1821" t="s">
        <v>26</v>
      </c>
      <c r="D1821" t="s">
        <v>31</v>
      </c>
      <c r="E1821" t="s">
        <v>34</v>
      </c>
      <c r="F1821" t="s">
        <v>21</v>
      </c>
      <c r="G1821" t="s">
        <v>41</v>
      </c>
      <c r="H1821" t="s">
        <v>20</v>
      </c>
      <c r="I1821" s="1">
        <v>3</v>
      </c>
      <c r="J1821" s="2">
        <v>45876</v>
      </c>
      <c r="K1821" s="2">
        <v>45870</v>
      </c>
      <c r="L1821" s="1" t="str">
        <f t="shared" si="181"/>
        <v>qui</v>
      </c>
      <c r="M1821" s="1" t="str">
        <f t="shared" si="182"/>
        <v>ago</v>
      </c>
      <c r="N1821">
        <f t="shared" si="183"/>
        <v>2025</v>
      </c>
      <c r="O1821" s="2">
        <f>_xlfn.XLOOKUP(A1821,Colaboradores!$A:$A,Colaboradores!$S:$S,"",0)</f>
        <v>46040</v>
      </c>
      <c r="P1821" t="str">
        <f t="shared" si="180"/>
        <v>134245876</v>
      </c>
    </row>
    <row r="1822" spans="1:16" x14ac:dyDescent="0.3">
      <c r="A1822">
        <v>1342</v>
      </c>
      <c r="B1822">
        <v>51</v>
      </c>
      <c r="C1822" t="s">
        <v>26</v>
      </c>
      <c r="D1822" t="s">
        <v>31</v>
      </c>
      <c r="E1822" t="s">
        <v>34</v>
      </c>
      <c r="F1822" t="s">
        <v>21</v>
      </c>
      <c r="G1822" t="s">
        <v>44</v>
      </c>
      <c r="H1822" t="s">
        <v>20</v>
      </c>
      <c r="I1822" s="1">
        <v>3</v>
      </c>
      <c r="J1822" s="2">
        <v>45909</v>
      </c>
      <c r="K1822" s="2">
        <v>45901</v>
      </c>
      <c r="L1822" s="1" t="str">
        <f t="shared" si="181"/>
        <v>ter</v>
      </c>
      <c r="M1822" s="1" t="str">
        <f t="shared" si="182"/>
        <v>set</v>
      </c>
      <c r="N1822">
        <f t="shared" si="183"/>
        <v>2025</v>
      </c>
      <c r="O1822" s="2">
        <f>_xlfn.XLOOKUP(A1822,Colaboradores!$A:$A,Colaboradores!$S:$S,"",0)</f>
        <v>46040</v>
      </c>
      <c r="P1822" t="str">
        <f t="shared" si="180"/>
        <v>134245909</v>
      </c>
    </row>
    <row r="1823" spans="1:16" x14ac:dyDescent="0.3">
      <c r="A1823">
        <v>1342</v>
      </c>
      <c r="B1823">
        <v>51</v>
      </c>
      <c r="C1823" t="s">
        <v>26</v>
      </c>
      <c r="D1823" t="s">
        <v>31</v>
      </c>
      <c r="E1823" t="s">
        <v>34</v>
      </c>
      <c r="F1823" t="s">
        <v>21</v>
      </c>
      <c r="G1823" t="s">
        <v>41</v>
      </c>
      <c r="H1823" t="s">
        <v>20</v>
      </c>
      <c r="I1823" s="1">
        <v>3</v>
      </c>
      <c r="J1823" s="2">
        <v>46179</v>
      </c>
      <c r="K1823" s="2">
        <v>46023</v>
      </c>
      <c r="L1823" s="1" t="str">
        <f t="shared" si="181"/>
        <v>sáb</v>
      </c>
      <c r="M1823" s="1" t="str">
        <f t="shared" si="182"/>
        <v>jun</v>
      </c>
      <c r="N1823">
        <f t="shared" si="183"/>
        <v>2026</v>
      </c>
      <c r="O1823" s="2">
        <f>_xlfn.XLOOKUP(A1823,Colaboradores!$A:$A,Colaboradores!$S:$S,"",0)</f>
        <v>46040</v>
      </c>
      <c r="P1823" t="str">
        <f t="shared" si="180"/>
        <v>134246179</v>
      </c>
    </row>
    <row r="1824" spans="1:16" x14ac:dyDescent="0.3">
      <c r="A1824">
        <v>1344</v>
      </c>
      <c r="B1824">
        <v>52</v>
      </c>
      <c r="C1824" t="s">
        <v>15</v>
      </c>
      <c r="D1824" t="s">
        <v>16</v>
      </c>
      <c r="E1824" t="s">
        <v>17</v>
      </c>
      <c r="F1824" t="s">
        <v>23</v>
      </c>
      <c r="G1824" t="s">
        <v>43</v>
      </c>
      <c r="H1824" t="s">
        <v>25</v>
      </c>
      <c r="I1824" s="1">
        <v>1</v>
      </c>
      <c r="J1824" s="2">
        <v>45827</v>
      </c>
      <c r="K1824" s="2">
        <v>45809</v>
      </c>
      <c r="L1824" s="1" t="str">
        <f t="shared" si="181"/>
        <v>qui</v>
      </c>
      <c r="M1824" s="1" t="str">
        <f t="shared" si="182"/>
        <v>jun</v>
      </c>
      <c r="N1824">
        <f t="shared" si="183"/>
        <v>2025</v>
      </c>
      <c r="O1824" s="2"/>
      <c r="P1824" t="str">
        <f t="shared" si="180"/>
        <v>134445827</v>
      </c>
    </row>
    <row r="1825" spans="1:16" x14ac:dyDescent="0.3">
      <c r="A1825">
        <v>1344</v>
      </c>
      <c r="B1825">
        <v>52</v>
      </c>
      <c r="C1825" t="s">
        <v>15</v>
      </c>
      <c r="D1825" t="s">
        <v>16</v>
      </c>
      <c r="E1825" t="s">
        <v>17</v>
      </c>
      <c r="F1825" t="s">
        <v>23</v>
      </c>
      <c r="G1825" t="s">
        <v>43</v>
      </c>
      <c r="H1825" t="s">
        <v>25</v>
      </c>
      <c r="I1825" s="1">
        <v>1</v>
      </c>
      <c r="J1825" s="2">
        <v>45832</v>
      </c>
      <c r="K1825" s="2">
        <v>45809</v>
      </c>
      <c r="L1825" s="1" t="str">
        <f t="shared" si="181"/>
        <v>ter</v>
      </c>
      <c r="M1825" s="1" t="str">
        <f t="shared" si="182"/>
        <v>jun</v>
      </c>
      <c r="N1825">
        <f t="shared" si="183"/>
        <v>2025</v>
      </c>
      <c r="O1825" s="2"/>
      <c r="P1825" t="str">
        <f t="shared" si="180"/>
        <v>134445832</v>
      </c>
    </row>
    <row r="1826" spans="1:16" x14ac:dyDescent="0.3">
      <c r="A1826">
        <v>1344</v>
      </c>
      <c r="B1826">
        <v>52</v>
      </c>
      <c r="C1826" t="s">
        <v>15</v>
      </c>
      <c r="D1826" t="s">
        <v>16</v>
      </c>
      <c r="E1826" t="s">
        <v>17</v>
      </c>
      <c r="F1826" t="s">
        <v>23</v>
      </c>
      <c r="G1826" t="s">
        <v>43</v>
      </c>
      <c r="H1826" t="s">
        <v>25</v>
      </c>
      <c r="I1826" s="1">
        <v>1</v>
      </c>
      <c r="J1826" s="2">
        <v>45834</v>
      </c>
      <c r="K1826" s="2">
        <v>45809</v>
      </c>
      <c r="L1826" s="1" t="str">
        <f t="shared" si="181"/>
        <v>qui</v>
      </c>
      <c r="M1826" s="1" t="str">
        <f t="shared" si="182"/>
        <v>jun</v>
      </c>
      <c r="N1826">
        <f t="shared" si="183"/>
        <v>2025</v>
      </c>
      <c r="O1826" s="2"/>
      <c r="P1826" t="str">
        <f t="shared" si="180"/>
        <v>134445834</v>
      </c>
    </row>
    <row r="1827" spans="1:16" x14ac:dyDescent="0.3">
      <c r="A1827">
        <v>1344</v>
      </c>
      <c r="B1827">
        <v>52</v>
      </c>
      <c r="C1827" t="s">
        <v>15</v>
      </c>
      <c r="D1827" t="s">
        <v>16</v>
      </c>
      <c r="E1827" t="s">
        <v>17</v>
      </c>
      <c r="F1827" t="s">
        <v>23</v>
      </c>
      <c r="G1827" t="s">
        <v>43</v>
      </c>
      <c r="H1827" t="s">
        <v>25</v>
      </c>
      <c r="I1827" s="1">
        <v>1</v>
      </c>
      <c r="J1827" s="2">
        <v>45913</v>
      </c>
      <c r="K1827" s="2">
        <v>45901</v>
      </c>
      <c r="L1827" s="1" t="str">
        <f t="shared" si="181"/>
        <v>sáb</v>
      </c>
      <c r="M1827" s="1" t="str">
        <f t="shared" si="182"/>
        <v>set</v>
      </c>
      <c r="N1827">
        <f t="shared" si="183"/>
        <v>2025</v>
      </c>
      <c r="O1827" s="2"/>
      <c r="P1827" t="str">
        <f t="shared" si="180"/>
        <v>134445913</v>
      </c>
    </row>
    <row r="1828" spans="1:16" x14ac:dyDescent="0.3">
      <c r="A1828">
        <v>1344</v>
      </c>
      <c r="B1828">
        <v>52</v>
      </c>
      <c r="C1828" t="s">
        <v>15</v>
      </c>
      <c r="D1828" t="s">
        <v>16</v>
      </c>
      <c r="E1828" t="s">
        <v>17</v>
      </c>
      <c r="F1828" t="s">
        <v>23</v>
      </c>
      <c r="G1828" t="s">
        <v>43</v>
      </c>
      <c r="H1828" t="s">
        <v>25</v>
      </c>
      <c r="I1828" s="1">
        <v>1</v>
      </c>
      <c r="J1828" s="2">
        <v>46021</v>
      </c>
      <c r="K1828" s="2">
        <v>45992</v>
      </c>
      <c r="L1828" s="1" t="str">
        <f t="shared" si="181"/>
        <v>ter</v>
      </c>
      <c r="M1828" s="1" t="str">
        <f t="shared" si="182"/>
        <v>dez</v>
      </c>
      <c r="N1828">
        <f t="shared" si="183"/>
        <v>2025</v>
      </c>
      <c r="O1828" s="2"/>
      <c r="P1828" t="str">
        <f t="shared" si="180"/>
        <v>134446021</v>
      </c>
    </row>
    <row r="1829" spans="1:16" x14ac:dyDescent="0.3">
      <c r="A1829">
        <v>1344</v>
      </c>
      <c r="B1829">
        <v>52</v>
      </c>
      <c r="C1829" t="s">
        <v>15</v>
      </c>
      <c r="D1829" t="s">
        <v>16</v>
      </c>
      <c r="E1829" t="s">
        <v>17</v>
      </c>
      <c r="F1829" t="s">
        <v>23</v>
      </c>
      <c r="G1829" t="s">
        <v>43</v>
      </c>
      <c r="H1829" t="s">
        <v>25</v>
      </c>
      <c r="I1829" s="1">
        <v>1</v>
      </c>
      <c r="J1829" s="2">
        <v>46073</v>
      </c>
      <c r="K1829" s="2">
        <v>46054</v>
      </c>
      <c r="L1829" s="1" t="str">
        <f t="shared" si="181"/>
        <v>sex</v>
      </c>
      <c r="M1829" s="1" t="str">
        <f t="shared" si="182"/>
        <v>fev</v>
      </c>
      <c r="N1829">
        <f t="shared" si="183"/>
        <v>2026</v>
      </c>
      <c r="O1829" s="2"/>
      <c r="P1829" t="str">
        <f t="shared" si="180"/>
        <v>134446073</v>
      </c>
    </row>
    <row r="1830" spans="1:16" x14ac:dyDescent="0.3">
      <c r="A1830">
        <v>1345</v>
      </c>
      <c r="B1830">
        <v>31</v>
      </c>
      <c r="C1830" t="s">
        <v>26</v>
      </c>
      <c r="D1830" t="s">
        <v>29</v>
      </c>
      <c r="E1830" t="s">
        <v>17</v>
      </c>
      <c r="F1830" t="s">
        <v>21</v>
      </c>
      <c r="G1830" t="s">
        <v>41</v>
      </c>
      <c r="H1830" t="s">
        <v>25</v>
      </c>
      <c r="I1830" s="1">
        <v>1</v>
      </c>
      <c r="J1830" s="2">
        <v>45850</v>
      </c>
      <c r="K1830" s="2">
        <v>45839</v>
      </c>
      <c r="L1830" s="1" t="str">
        <f t="shared" si="181"/>
        <v>sáb</v>
      </c>
      <c r="M1830" s="1" t="str">
        <f t="shared" si="182"/>
        <v>jul</v>
      </c>
      <c r="N1830">
        <f t="shared" si="183"/>
        <v>2025</v>
      </c>
      <c r="O1830" s="2"/>
      <c r="P1830" t="str">
        <f t="shared" si="180"/>
        <v>134545850</v>
      </c>
    </row>
    <row r="1831" spans="1:16" x14ac:dyDescent="0.3">
      <c r="A1831">
        <v>1345</v>
      </c>
      <c r="B1831">
        <v>31</v>
      </c>
      <c r="C1831" t="s">
        <v>26</v>
      </c>
      <c r="D1831" t="s">
        <v>29</v>
      </c>
      <c r="E1831" t="s">
        <v>17</v>
      </c>
      <c r="F1831" t="s">
        <v>21</v>
      </c>
      <c r="G1831" t="s">
        <v>41</v>
      </c>
      <c r="H1831" t="s">
        <v>25</v>
      </c>
      <c r="I1831" s="1">
        <v>1</v>
      </c>
      <c r="J1831" s="2">
        <v>45856</v>
      </c>
      <c r="K1831" s="2">
        <v>45839</v>
      </c>
      <c r="L1831" s="1" t="str">
        <f t="shared" si="181"/>
        <v>sex</v>
      </c>
      <c r="M1831" s="1" t="str">
        <f t="shared" si="182"/>
        <v>jul</v>
      </c>
      <c r="N1831">
        <f t="shared" si="183"/>
        <v>2025</v>
      </c>
      <c r="O1831" s="2"/>
      <c r="P1831" t="str">
        <f t="shared" si="180"/>
        <v>134545856</v>
      </c>
    </row>
    <row r="1832" spans="1:16" x14ac:dyDescent="0.3">
      <c r="A1832">
        <v>1345</v>
      </c>
      <c r="B1832">
        <v>31</v>
      </c>
      <c r="C1832" t="s">
        <v>26</v>
      </c>
      <c r="D1832" t="s">
        <v>29</v>
      </c>
      <c r="E1832" t="s">
        <v>17</v>
      </c>
      <c r="F1832" t="s">
        <v>21</v>
      </c>
      <c r="G1832" t="s">
        <v>43</v>
      </c>
      <c r="H1832" t="s">
        <v>25</v>
      </c>
      <c r="I1832" s="1">
        <v>1</v>
      </c>
      <c r="J1832" s="2">
        <v>45858</v>
      </c>
      <c r="K1832" s="2">
        <v>45839</v>
      </c>
      <c r="L1832" s="1" t="str">
        <f t="shared" si="181"/>
        <v>dom</v>
      </c>
      <c r="M1832" s="1" t="str">
        <f t="shared" si="182"/>
        <v>jul</v>
      </c>
      <c r="N1832">
        <f t="shared" si="183"/>
        <v>2025</v>
      </c>
      <c r="O1832" s="2"/>
      <c r="P1832" t="str">
        <f t="shared" si="180"/>
        <v>134545858</v>
      </c>
    </row>
    <row r="1833" spans="1:16" x14ac:dyDescent="0.3">
      <c r="A1833">
        <v>1345</v>
      </c>
      <c r="B1833">
        <v>31</v>
      </c>
      <c r="C1833" t="s">
        <v>26</v>
      </c>
      <c r="D1833" t="s">
        <v>29</v>
      </c>
      <c r="E1833" t="s">
        <v>17</v>
      </c>
      <c r="F1833" t="s">
        <v>21</v>
      </c>
      <c r="G1833" t="s">
        <v>41</v>
      </c>
      <c r="H1833" t="s">
        <v>25</v>
      </c>
      <c r="I1833" s="1">
        <v>1</v>
      </c>
      <c r="J1833" s="2">
        <v>45924</v>
      </c>
      <c r="K1833" s="2">
        <v>45901</v>
      </c>
      <c r="L1833" s="1" t="str">
        <f t="shared" si="181"/>
        <v>qua</v>
      </c>
      <c r="M1833" s="1" t="str">
        <f t="shared" si="182"/>
        <v>set</v>
      </c>
      <c r="N1833">
        <f t="shared" si="183"/>
        <v>2025</v>
      </c>
      <c r="O1833" s="2"/>
      <c r="P1833" t="str">
        <f t="shared" si="180"/>
        <v>134545924</v>
      </c>
    </row>
    <row r="1834" spans="1:16" x14ac:dyDescent="0.3">
      <c r="A1834">
        <v>1345</v>
      </c>
      <c r="B1834">
        <v>31</v>
      </c>
      <c r="C1834" t="s">
        <v>26</v>
      </c>
      <c r="D1834" t="s">
        <v>29</v>
      </c>
      <c r="E1834" t="s">
        <v>17</v>
      </c>
      <c r="F1834" t="s">
        <v>21</v>
      </c>
      <c r="G1834" t="s">
        <v>41</v>
      </c>
      <c r="H1834" t="s">
        <v>25</v>
      </c>
      <c r="I1834" s="1">
        <v>1</v>
      </c>
      <c r="J1834" s="2">
        <v>45939</v>
      </c>
      <c r="K1834" s="2">
        <v>45931</v>
      </c>
      <c r="L1834" s="1" t="str">
        <f t="shared" si="181"/>
        <v>qui</v>
      </c>
      <c r="M1834" s="1" t="str">
        <f t="shared" si="182"/>
        <v>out</v>
      </c>
      <c r="N1834">
        <f t="shared" si="183"/>
        <v>2025</v>
      </c>
      <c r="O1834" s="2"/>
      <c r="P1834" t="str">
        <f t="shared" si="180"/>
        <v>134545939</v>
      </c>
    </row>
    <row r="1835" spans="1:16" x14ac:dyDescent="0.3">
      <c r="A1835">
        <v>1345</v>
      </c>
      <c r="B1835">
        <v>31</v>
      </c>
      <c r="C1835" t="s">
        <v>26</v>
      </c>
      <c r="D1835" t="s">
        <v>29</v>
      </c>
      <c r="E1835" t="s">
        <v>17</v>
      </c>
      <c r="F1835" t="s">
        <v>21</v>
      </c>
      <c r="G1835" t="s">
        <v>43</v>
      </c>
      <c r="H1835" t="s">
        <v>25</v>
      </c>
      <c r="I1835" s="1">
        <v>1</v>
      </c>
      <c r="J1835" s="2">
        <v>46058</v>
      </c>
      <c r="K1835" s="2">
        <v>46054</v>
      </c>
      <c r="L1835" s="1" t="str">
        <f t="shared" si="181"/>
        <v>qui</v>
      </c>
      <c r="M1835" s="1" t="str">
        <f t="shared" si="182"/>
        <v>fev</v>
      </c>
      <c r="N1835">
        <f t="shared" si="183"/>
        <v>2026</v>
      </c>
      <c r="O1835" s="2"/>
      <c r="P1835" t="str">
        <f t="shared" si="180"/>
        <v>134546058</v>
      </c>
    </row>
    <row r="1836" spans="1:16" x14ac:dyDescent="0.3">
      <c r="A1836">
        <v>1346</v>
      </c>
      <c r="B1836">
        <v>44</v>
      </c>
      <c r="C1836" t="s">
        <v>15</v>
      </c>
      <c r="D1836" t="s">
        <v>29</v>
      </c>
      <c r="E1836" t="s">
        <v>17</v>
      </c>
      <c r="F1836" t="s">
        <v>18</v>
      </c>
      <c r="G1836" t="s">
        <v>41</v>
      </c>
      <c r="H1836" t="s">
        <v>25</v>
      </c>
      <c r="I1836" s="1">
        <v>3</v>
      </c>
      <c r="J1836" s="2">
        <v>45853</v>
      </c>
      <c r="K1836" s="2">
        <v>45839</v>
      </c>
      <c r="L1836" s="1" t="str">
        <f t="shared" si="181"/>
        <v>ter</v>
      </c>
      <c r="M1836" s="1" t="str">
        <f t="shared" si="182"/>
        <v>jul</v>
      </c>
      <c r="N1836">
        <f t="shared" si="183"/>
        <v>2025</v>
      </c>
      <c r="O1836" s="2"/>
      <c r="P1836" t="str">
        <f t="shared" si="180"/>
        <v>134645853</v>
      </c>
    </row>
    <row r="1837" spans="1:16" x14ac:dyDescent="0.3">
      <c r="A1837">
        <v>1346</v>
      </c>
      <c r="B1837">
        <v>44</v>
      </c>
      <c r="C1837" t="s">
        <v>15</v>
      </c>
      <c r="D1837" t="s">
        <v>29</v>
      </c>
      <c r="E1837" t="s">
        <v>17</v>
      </c>
      <c r="F1837" t="s">
        <v>18</v>
      </c>
      <c r="G1837" t="s">
        <v>41</v>
      </c>
      <c r="H1837" t="s">
        <v>25</v>
      </c>
      <c r="I1837" s="1">
        <v>3</v>
      </c>
      <c r="J1837" s="2">
        <v>45856</v>
      </c>
      <c r="K1837" s="2">
        <v>45839</v>
      </c>
      <c r="L1837" s="1" t="str">
        <f t="shared" si="181"/>
        <v>sex</v>
      </c>
      <c r="M1837" s="1" t="str">
        <f t="shared" si="182"/>
        <v>jul</v>
      </c>
      <c r="N1837">
        <f t="shared" si="183"/>
        <v>2025</v>
      </c>
      <c r="O1837" s="2"/>
      <c r="P1837" t="str">
        <f t="shared" si="180"/>
        <v>134645856</v>
      </c>
    </row>
    <row r="1838" spans="1:16" x14ac:dyDescent="0.3">
      <c r="A1838">
        <v>1346</v>
      </c>
      <c r="B1838">
        <v>44</v>
      </c>
      <c r="C1838" t="s">
        <v>15</v>
      </c>
      <c r="D1838" t="s">
        <v>29</v>
      </c>
      <c r="E1838" t="s">
        <v>17</v>
      </c>
      <c r="F1838" t="s">
        <v>18</v>
      </c>
      <c r="G1838" t="s">
        <v>41</v>
      </c>
      <c r="H1838" t="s">
        <v>25</v>
      </c>
      <c r="I1838" s="1">
        <v>3</v>
      </c>
      <c r="J1838" s="2">
        <v>45937</v>
      </c>
      <c r="K1838" s="2">
        <v>45931</v>
      </c>
      <c r="L1838" s="1" t="str">
        <f t="shared" si="181"/>
        <v>ter</v>
      </c>
      <c r="M1838" s="1" t="str">
        <f t="shared" si="182"/>
        <v>out</v>
      </c>
      <c r="N1838">
        <f t="shared" si="183"/>
        <v>2025</v>
      </c>
      <c r="O1838" s="2"/>
      <c r="P1838" t="str">
        <f t="shared" si="180"/>
        <v>134645937</v>
      </c>
    </row>
    <row r="1839" spans="1:16" x14ac:dyDescent="0.3">
      <c r="A1839">
        <v>1346</v>
      </c>
      <c r="B1839">
        <v>44</v>
      </c>
      <c r="C1839" t="s">
        <v>15</v>
      </c>
      <c r="D1839" t="s">
        <v>29</v>
      </c>
      <c r="E1839" t="s">
        <v>17</v>
      </c>
      <c r="F1839" t="s">
        <v>18</v>
      </c>
      <c r="G1839" t="s">
        <v>41</v>
      </c>
      <c r="H1839" t="s">
        <v>25</v>
      </c>
      <c r="I1839" s="1">
        <v>3</v>
      </c>
      <c r="J1839" s="2">
        <v>45948</v>
      </c>
      <c r="K1839" s="2">
        <v>45931</v>
      </c>
      <c r="L1839" s="1" t="str">
        <f t="shared" si="181"/>
        <v>sáb</v>
      </c>
      <c r="M1839" s="1" t="str">
        <f t="shared" si="182"/>
        <v>out</v>
      </c>
      <c r="N1839">
        <f t="shared" si="183"/>
        <v>2025</v>
      </c>
      <c r="O1839" s="2"/>
      <c r="P1839" t="str">
        <f t="shared" si="180"/>
        <v>134645948</v>
      </c>
    </row>
    <row r="1840" spans="1:16" x14ac:dyDescent="0.3">
      <c r="A1840">
        <v>1346</v>
      </c>
      <c r="B1840">
        <v>44</v>
      </c>
      <c r="C1840" t="s">
        <v>15</v>
      </c>
      <c r="D1840" t="s">
        <v>29</v>
      </c>
      <c r="E1840" t="s">
        <v>17</v>
      </c>
      <c r="F1840" t="s">
        <v>18</v>
      </c>
      <c r="G1840" t="s">
        <v>41</v>
      </c>
      <c r="H1840" t="s">
        <v>25</v>
      </c>
      <c r="I1840" s="1">
        <v>3</v>
      </c>
      <c r="J1840" s="2">
        <v>45973</v>
      </c>
      <c r="K1840" s="2">
        <v>45962</v>
      </c>
      <c r="L1840" s="1" t="str">
        <f t="shared" si="181"/>
        <v>qua</v>
      </c>
      <c r="M1840" s="1" t="str">
        <f t="shared" si="182"/>
        <v>nov</v>
      </c>
      <c r="N1840">
        <f t="shared" si="183"/>
        <v>2025</v>
      </c>
      <c r="O1840" s="2"/>
      <c r="P1840" t="str">
        <f t="shared" si="180"/>
        <v>134645973</v>
      </c>
    </row>
    <row r="1841" spans="1:16" x14ac:dyDescent="0.3">
      <c r="A1841">
        <v>1346</v>
      </c>
      <c r="B1841">
        <v>44</v>
      </c>
      <c r="C1841" t="s">
        <v>15</v>
      </c>
      <c r="D1841" t="s">
        <v>29</v>
      </c>
      <c r="E1841" t="s">
        <v>17</v>
      </c>
      <c r="F1841" t="s">
        <v>18</v>
      </c>
      <c r="G1841" t="s">
        <v>41</v>
      </c>
      <c r="H1841" t="s">
        <v>25</v>
      </c>
      <c r="I1841" s="1">
        <v>3</v>
      </c>
      <c r="J1841" s="2">
        <v>46067</v>
      </c>
      <c r="K1841" s="2">
        <v>46054</v>
      </c>
      <c r="L1841" s="1" t="str">
        <f t="shared" si="181"/>
        <v>sáb</v>
      </c>
      <c r="M1841" s="1" t="str">
        <f t="shared" si="182"/>
        <v>fev</v>
      </c>
      <c r="N1841">
        <f t="shared" si="183"/>
        <v>2026</v>
      </c>
      <c r="O1841" s="2"/>
      <c r="P1841" t="str">
        <f t="shared" si="180"/>
        <v>134646067</v>
      </c>
    </row>
    <row r="1842" spans="1:16" x14ac:dyDescent="0.3">
      <c r="A1842">
        <v>1347</v>
      </c>
      <c r="B1842">
        <v>26</v>
      </c>
      <c r="C1842" t="s">
        <v>15</v>
      </c>
      <c r="D1842" t="s">
        <v>31</v>
      </c>
      <c r="E1842" t="s">
        <v>32</v>
      </c>
      <c r="F1842" t="s">
        <v>23</v>
      </c>
      <c r="G1842" t="s">
        <v>40</v>
      </c>
      <c r="H1842" t="s">
        <v>25</v>
      </c>
      <c r="I1842" s="1">
        <v>3</v>
      </c>
      <c r="J1842" s="2">
        <v>45787</v>
      </c>
      <c r="K1842" s="2">
        <v>45778</v>
      </c>
      <c r="L1842" s="1" t="str">
        <f t="shared" si="181"/>
        <v>sáb</v>
      </c>
      <c r="M1842" s="1" t="str">
        <f t="shared" si="182"/>
        <v>mai</v>
      </c>
      <c r="N1842">
        <f t="shared" si="183"/>
        <v>2025</v>
      </c>
      <c r="O1842" s="2"/>
      <c r="P1842" t="str">
        <f t="shared" si="180"/>
        <v>134745787</v>
      </c>
    </row>
    <row r="1843" spans="1:16" x14ac:dyDescent="0.3">
      <c r="A1843">
        <v>1347</v>
      </c>
      <c r="B1843">
        <v>26</v>
      </c>
      <c r="C1843" t="s">
        <v>15</v>
      </c>
      <c r="D1843" t="s">
        <v>31</v>
      </c>
      <c r="E1843" t="s">
        <v>32</v>
      </c>
      <c r="F1843" t="s">
        <v>23</v>
      </c>
      <c r="G1843" t="s">
        <v>40</v>
      </c>
      <c r="H1843" t="s">
        <v>25</v>
      </c>
      <c r="I1843" s="1">
        <v>3</v>
      </c>
      <c r="J1843" s="2">
        <v>45825</v>
      </c>
      <c r="K1843" s="2">
        <v>45809</v>
      </c>
      <c r="L1843" s="1" t="str">
        <f t="shared" si="181"/>
        <v>ter</v>
      </c>
      <c r="M1843" s="1" t="str">
        <f t="shared" si="182"/>
        <v>jun</v>
      </c>
      <c r="N1843">
        <f t="shared" si="183"/>
        <v>2025</v>
      </c>
      <c r="O1843" s="2"/>
      <c r="P1843" t="str">
        <f t="shared" si="180"/>
        <v>134745825</v>
      </c>
    </row>
    <row r="1844" spans="1:16" x14ac:dyDescent="0.3">
      <c r="A1844">
        <v>1347</v>
      </c>
      <c r="B1844">
        <v>26</v>
      </c>
      <c r="C1844" t="s">
        <v>15</v>
      </c>
      <c r="D1844" t="s">
        <v>31</v>
      </c>
      <c r="E1844" t="s">
        <v>32</v>
      </c>
      <c r="F1844" t="s">
        <v>23</v>
      </c>
      <c r="G1844" t="s">
        <v>40</v>
      </c>
      <c r="H1844" t="s">
        <v>25</v>
      </c>
      <c r="I1844" s="1">
        <v>3</v>
      </c>
      <c r="J1844" s="2">
        <v>45877</v>
      </c>
      <c r="K1844" s="2">
        <v>45870</v>
      </c>
      <c r="L1844" s="1" t="str">
        <f t="shared" si="181"/>
        <v>sex</v>
      </c>
      <c r="M1844" s="1" t="str">
        <f t="shared" si="182"/>
        <v>ago</v>
      </c>
      <c r="N1844">
        <f t="shared" si="183"/>
        <v>2025</v>
      </c>
      <c r="O1844" s="2"/>
      <c r="P1844" t="str">
        <f t="shared" si="180"/>
        <v>134745877</v>
      </c>
    </row>
    <row r="1845" spans="1:16" x14ac:dyDescent="0.3">
      <c r="A1845">
        <v>1347</v>
      </c>
      <c r="B1845">
        <v>26</v>
      </c>
      <c r="C1845" t="s">
        <v>15</v>
      </c>
      <c r="D1845" t="s">
        <v>31</v>
      </c>
      <c r="E1845" t="s">
        <v>32</v>
      </c>
      <c r="F1845" t="s">
        <v>23</v>
      </c>
      <c r="G1845" t="s">
        <v>40</v>
      </c>
      <c r="H1845" t="s">
        <v>25</v>
      </c>
      <c r="I1845" s="1">
        <v>3</v>
      </c>
      <c r="J1845" s="2">
        <v>45945</v>
      </c>
      <c r="K1845" s="2">
        <v>45931</v>
      </c>
      <c r="L1845" s="1" t="str">
        <f t="shared" si="181"/>
        <v>qua</v>
      </c>
      <c r="M1845" s="1" t="str">
        <f t="shared" si="182"/>
        <v>out</v>
      </c>
      <c r="N1845">
        <f t="shared" si="183"/>
        <v>2025</v>
      </c>
      <c r="O1845" s="2"/>
      <c r="P1845" t="str">
        <f t="shared" si="180"/>
        <v>134745945</v>
      </c>
    </row>
    <row r="1846" spans="1:16" x14ac:dyDescent="0.3">
      <c r="A1846">
        <v>1347</v>
      </c>
      <c r="B1846">
        <v>26</v>
      </c>
      <c r="C1846" t="s">
        <v>15</v>
      </c>
      <c r="D1846" t="s">
        <v>31</v>
      </c>
      <c r="E1846" t="s">
        <v>32</v>
      </c>
      <c r="F1846" t="s">
        <v>23</v>
      </c>
      <c r="G1846" t="s">
        <v>40</v>
      </c>
      <c r="H1846" t="s">
        <v>25</v>
      </c>
      <c r="I1846" s="1">
        <v>3</v>
      </c>
      <c r="J1846" s="2">
        <v>45973</v>
      </c>
      <c r="K1846" s="2">
        <v>45962</v>
      </c>
      <c r="L1846" s="1" t="str">
        <f t="shared" si="181"/>
        <v>qua</v>
      </c>
      <c r="M1846" s="1" t="str">
        <f t="shared" si="182"/>
        <v>nov</v>
      </c>
      <c r="N1846">
        <f t="shared" si="183"/>
        <v>2025</v>
      </c>
      <c r="O1846" s="2"/>
      <c r="P1846" t="str">
        <f t="shared" si="180"/>
        <v>134745973</v>
      </c>
    </row>
    <row r="1847" spans="1:16" x14ac:dyDescent="0.3">
      <c r="A1847">
        <v>1347</v>
      </c>
      <c r="B1847">
        <v>26</v>
      </c>
      <c r="C1847" t="s">
        <v>15</v>
      </c>
      <c r="D1847" t="s">
        <v>31</v>
      </c>
      <c r="E1847" t="s">
        <v>32</v>
      </c>
      <c r="F1847" t="s">
        <v>23</v>
      </c>
      <c r="G1847" t="s">
        <v>40</v>
      </c>
      <c r="H1847" t="s">
        <v>25</v>
      </c>
      <c r="I1847" s="1">
        <v>3</v>
      </c>
      <c r="J1847" s="2">
        <v>45974</v>
      </c>
      <c r="K1847" s="2">
        <v>45962</v>
      </c>
      <c r="L1847" s="1" t="str">
        <f t="shared" si="181"/>
        <v>qui</v>
      </c>
      <c r="M1847" s="1" t="str">
        <f t="shared" si="182"/>
        <v>nov</v>
      </c>
      <c r="N1847">
        <f t="shared" si="183"/>
        <v>2025</v>
      </c>
      <c r="O1847" s="2"/>
      <c r="P1847" t="str">
        <f t="shared" si="180"/>
        <v>134745974</v>
      </c>
    </row>
    <row r="1848" spans="1:16" x14ac:dyDescent="0.3">
      <c r="A1848">
        <v>1347</v>
      </c>
      <c r="B1848">
        <v>26</v>
      </c>
      <c r="C1848" t="s">
        <v>15</v>
      </c>
      <c r="D1848" t="s">
        <v>31</v>
      </c>
      <c r="E1848" t="s">
        <v>32</v>
      </c>
      <c r="F1848" t="s">
        <v>23</v>
      </c>
      <c r="G1848" t="s">
        <v>40</v>
      </c>
      <c r="H1848" t="s">
        <v>25</v>
      </c>
      <c r="I1848" s="1">
        <v>3</v>
      </c>
      <c r="J1848" s="2">
        <v>46152</v>
      </c>
      <c r="K1848" s="2">
        <v>46143</v>
      </c>
      <c r="L1848" s="1" t="s">
        <v>54</v>
      </c>
      <c r="M1848" s="1" t="s">
        <v>49</v>
      </c>
      <c r="N1848">
        <v>2025</v>
      </c>
      <c r="O1848" s="2"/>
      <c r="P1848" t="str">
        <f t="shared" si="180"/>
        <v>134746152</v>
      </c>
    </row>
    <row r="1849" spans="1:16" x14ac:dyDescent="0.3">
      <c r="A1849">
        <v>1349</v>
      </c>
      <c r="B1849">
        <v>40</v>
      </c>
      <c r="C1849" t="s">
        <v>15</v>
      </c>
      <c r="D1849" t="s">
        <v>27</v>
      </c>
      <c r="E1849" t="s">
        <v>17</v>
      </c>
      <c r="F1849" t="s">
        <v>21</v>
      </c>
      <c r="G1849" t="s">
        <v>57</v>
      </c>
      <c r="H1849" t="s">
        <v>20</v>
      </c>
      <c r="I1849" s="1">
        <v>2</v>
      </c>
      <c r="J1849" s="2">
        <v>45765</v>
      </c>
      <c r="K1849" s="2">
        <v>45748</v>
      </c>
      <c r="L1849" s="1" t="str">
        <f t="shared" ref="L1849:L1864" si="184">TEXT(J1849,"ddd")</f>
        <v>sex</v>
      </c>
      <c r="M1849" s="1" t="str">
        <f t="shared" ref="M1849:M1864" si="185">TEXT($J1849,"mmm")</f>
        <v>abr</v>
      </c>
      <c r="N1849">
        <f t="shared" ref="N1849:N1864" si="186">YEAR(J1849)</f>
        <v>2025</v>
      </c>
      <c r="O1849" s="2">
        <f>_xlfn.XLOOKUP(A1849,Colaboradores!$A:$A,Colaboradores!$S:$S,"",0)</f>
        <v>45971</v>
      </c>
      <c r="P1849" t="str">
        <f t="shared" si="180"/>
        <v>134945765</v>
      </c>
    </row>
    <row r="1850" spans="1:16" x14ac:dyDescent="0.3">
      <c r="A1850">
        <v>1349</v>
      </c>
      <c r="B1850">
        <v>40</v>
      </c>
      <c r="C1850" t="s">
        <v>15</v>
      </c>
      <c r="D1850" t="s">
        <v>27</v>
      </c>
      <c r="E1850" t="s">
        <v>17</v>
      </c>
      <c r="F1850" t="s">
        <v>21</v>
      </c>
      <c r="G1850" t="s">
        <v>44</v>
      </c>
      <c r="H1850" t="s">
        <v>20</v>
      </c>
      <c r="I1850" s="1">
        <v>2</v>
      </c>
      <c r="J1850" s="2">
        <v>45787</v>
      </c>
      <c r="K1850" s="2">
        <v>45778</v>
      </c>
      <c r="L1850" s="1" t="str">
        <f t="shared" si="184"/>
        <v>sáb</v>
      </c>
      <c r="M1850" s="1" t="str">
        <f t="shared" si="185"/>
        <v>mai</v>
      </c>
      <c r="N1850">
        <f t="shared" si="186"/>
        <v>2025</v>
      </c>
      <c r="O1850" s="2">
        <f>_xlfn.XLOOKUP(A1850,Colaboradores!$A:$A,Colaboradores!$S:$S,"",0)</f>
        <v>45971</v>
      </c>
      <c r="P1850" t="str">
        <f t="shared" si="180"/>
        <v>134945787</v>
      </c>
    </row>
    <row r="1851" spans="1:16" x14ac:dyDescent="0.3">
      <c r="A1851">
        <v>1349</v>
      </c>
      <c r="B1851">
        <v>40</v>
      </c>
      <c r="C1851" t="s">
        <v>15</v>
      </c>
      <c r="D1851" t="s">
        <v>27</v>
      </c>
      <c r="E1851" t="s">
        <v>17</v>
      </c>
      <c r="F1851" t="s">
        <v>21</v>
      </c>
      <c r="G1851" t="s">
        <v>42</v>
      </c>
      <c r="H1851" t="s">
        <v>20</v>
      </c>
      <c r="I1851" s="1">
        <v>2</v>
      </c>
      <c r="J1851" s="2">
        <v>45808</v>
      </c>
      <c r="K1851" s="2">
        <v>45778</v>
      </c>
      <c r="L1851" s="1" t="str">
        <f t="shared" si="184"/>
        <v>sáb</v>
      </c>
      <c r="M1851" s="1" t="str">
        <f t="shared" si="185"/>
        <v>mai</v>
      </c>
      <c r="N1851">
        <f t="shared" si="186"/>
        <v>2025</v>
      </c>
      <c r="O1851" s="2">
        <f>_xlfn.XLOOKUP(A1851,Colaboradores!$A:$A,Colaboradores!$S:$S,"",0)</f>
        <v>45971</v>
      </c>
      <c r="P1851" t="str">
        <f t="shared" si="180"/>
        <v>134945808</v>
      </c>
    </row>
    <row r="1852" spans="1:16" x14ac:dyDescent="0.3">
      <c r="A1852">
        <v>1349</v>
      </c>
      <c r="B1852">
        <v>40</v>
      </c>
      <c r="C1852" t="s">
        <v>15</v>
      </c>
      <c r="D1852" t="s">
        <v>27</v>
      </c>
      <c r="E1852" t="s">
        <v>17</v>
      </c>
      <c r="F1852" t="s">
        <v>21</v>
      </c>
      <c r="G1852" t="s">
        <v>44</v>
      </c>
      <c r="H1852" t="s">
        <v>20</v>
      </c>
      <c r="I1852" s="1">
        <v>2</v>
      </c>
      <c r="J1852" s="2">
        <v>45906</v>
      </c>
      <c r="K1852" s="2">
        <v>45901</v>
      </c>
      <c r="L1852" s="1" t="str">
        <f t="shared" si="184"/>
        <v>sáb</v>
      </c>
      <c r="M1852" s="1" t="str">
        <f t="shared" si="185"/>
        <v>set</v>
      </c>
      <c r="N1852">
        <f t="shared" si="186"/>
        <v>2025</v>
      </c>
      <c r="O1852" s="2">
        <f>_xlfn.XLOOKUP(A1852,Colaboradores!$A:$A,Colaboradores!$S:$S,"",0)</f>
        <v>45971</v>
      </c>
      <c r="P1852" t="str">
        <f t="shared" si="180"/>
        <v>134945906</v>
      </c>
    </row>
    <row r="1853" spans="1:16" x14ac:dyDescent="0.3">
      <c r="A1853">
        <v>1349</v>
      </c>
      <c r="B1853">
        <v>40</v>
      </c>
      <c r="C1853" t="s">
        <v>15</v>
      </c>
      <c r="D1853" t="s">
        <v>27</v>
      </c>
      <c r="E1853" t="s">
        <v>17</v>
      </c>
      <c r="F1853" t="s">
        <v>21</v>
      </c>
      <c r="G1853" t="s">
        <v>44</v>
      </c>
      <c r="H1853" t="s">
        <v>20</v>
      </c>
      <c r="I1853" s="1">
        <v>2</v>
      </c>
      <c r="J1853" s="2">
        <v>45940</v>
      </c>
      <c r="K1853" s="2">
        <v>45931</v>
      </c>
      <c r="L1853" s="1" t="str">
        <f t="shared" si="184"/>
        <v>sex</v>
      </c>
      <c r="M1853" s="1" t="str">
        <f t="shared" si="185"/>
        <v>out</v>
      </c>
      <c r="N1853">
        <f t="shared" si="186"/>
        <v>2025</v>
      </c>
      <c r="O1853" s="2">
        <f>_xlfn.XLOOKUP(A1853,Colaboradores!$A:$A,Colaboradores!$S:$S,"",0)</f>
        <v>45971</v>
      </c>
      <c r="P1853" t="str">
        <f t="shared" si="180"/>
        <v>134945940</v>
      </c>
    </row>
    <row r="1854" spans="1:16" x14ac:dyDescent="0.3">
      <c r="A1854">
        <v>1349</v>
      </c>
      <c r="B1854">
        <v>40</v>
      </c>
      <c r="C1854" t="s">
        <v>15</v>
      </c>
      <c r="D1854" t="s">
        <v>27</v>
      </c>
      <c r="E1854" t="s">
        <v>17</v>
      </c>
      <c r="F1854" t="s">
        <v>21</v>
      </c>
      <c r="G1854" t="s">
        <v>42</v>
      </c>
      <c r="H1854" t="s">
        <v>20</v>
      </c>
      <c r="I1854" s="1">
        <v>2</v>
      </c>
      <c r="J1854" s="2">
        <v>45968</v>
      </c>
      <c r="K1854" s="2">
        <v>45962</v>
      </c>
      <c r="L1854" s="1" t="str">
        <f t="shared" si="184"/>
        <v>sex</v>
      </c>
      <c r="M1854" s="1" t="str">
        <f t="shared" si="185"/>
        <v>nov</v>
      </c>
      <c r="N1854">
        <f t="shared" si="186"/>
        <v>2025</v>
      </c>
      <c r="O1854" s="2">
        <f>_xlfn.XLOOKUP(A1854,Colaboradores!$A:$A,Colaboradores!$S:$S,"",0)</f>
        <v>45971</v>
      </c>
      <c r="P1854" t="str">
        <f t="shared" si="180"/>
        <v>134945968</v>
      </c>
    </row>
    <row r="1855" spans="1:16" x14ac:dyDescent="0.3">
      <c r="A1855">
        <v>1350</v>
      </c>
      <c r="B1855">
        <v>25</v>
      </c>
      <c r="C1855" t="s">
        <v>15</v>
      </c>
      <c r="D1855" t="s">
        <v>29</v>
      </c>
      <c r="E1855" t="s">
        <v>17</v>
      </c>
      <c r="F1855" t="s">
        <v>18</v>
      </c>
      <c r="G1855" t="s">
        <v>41</v>
      </c>
      <c r="H1855" t="s">
        <v>25</v>
      </c>
      <c r="I1855" s="1">
        <v>3</v>
      </c>
      <c r="J1855" s="2">
        <v>45922</v>
      </c>
      <c r="K1855" s="2">
        <v>45901</v>
      </c>
      <c r="L1855" s="1" t="str">
        <f t="shared" si="184"/>
        <v>seg</v>
      </c>
      <c r="M1855" s="1" t="str">
        <f t="shared" si="185"/>
        <v>set</v>
      </c>
      <c r="N1855">
        <f t="shared" si="186"/>
        <v>2025</v>
      </c>
      <c r="O1855" s="2"/>
      <c r="P1855" t="str">
        <f t="shared" si="180"/>
        <v>135045922</v>
      </c>
    </row>
    <row r="1856" spans="1:16" x14ac:dyDescent="0.3">
      <c r="A1856">
        <v>1350</v>
      </c>
      <c r="B1856">
        <v>25</v>
      </c>
      <c r="C1856" t="s">
        <v>15</v>
      </c>
      <c r="D1856" t="s">
        <v>29</v>
      </c>
      <c r="E1856" t="s">
        <v>17</v>
      </c>
      <c r="F1856" t="s">
        <v>18</v>
      </c>
      <c r="G1856" t="s">
        <v>41</v>
      </c>
      <c r="H1856" t="s">
        <v>25</v>
      </c>
      <c r="I1856" s="1">
        <v>3</v>
      </c>
      <c r="J1856" s="2">
        <v>45938</v>
      </c>
      <c r="K1856" s="2">
        <v>45931</v>
      </c>
      <c r="L1856" s="1" t="str">
        <f t="shared" si="184"/>
        <v>qua</v>
      </c>
      <c r="M1856" s="1" t="str">
        <f t="shared" si="185"/>
        <v>out</v>
      </c>
      <c r="N1856">
        <f t="shared" si="186"/>
        <v>2025</v>
      </c>
      <c r="O1856" s="2"/>
      <c r="P1856" t="str">
        <f t="shared" si="180"/>
        <v>135045938</v>
      </c>
    </row>
    <row r="1857" spans="1:16" x14ac:dyDescent="0.3">
      <c r="A1857">
        <v>1350</v>
      </c>
      <c r="B1857">
        <v>25</v>
      </c>
      <c r="C1857" t="s">
        <v>15</v>
      </c>
      <c r="D1857" t="s">
        <v>29</v>
      </c>
      <c r="E1857" t="s">
        <v>17</v>
      </c>
      <c r="F1857" t="s">
        <v>18</v>
      </c>
      <c r="G1857" t="s">
        <v>41</v>
      </c>
      <c r="H1857" t="s">
        <v>25</v>
      </c>
      <c r="I1857" s="1">
        <v>3</v>
      </c>
      <c r="J1857" s="2">
        <v>45945</v>
      </c>
      <c r="K1857" s="2">
        <v>45931</v>
      </c>
      <c r="L1857" s="1" t="str">
        <f t="shared" si="184"/>
        <v>qua</v>
      </c>
      <c r="M1857" s="1" t="str">
        <f t="shared" si="185"/>
        <v>out</v>
      </c>
      <c r="N1857">
        <f t="shared" si="186"/>
        <v>2025</v>
      </c>
      <c r="O1857" s="2"/>
      <c r="P1857" t="str">
        <f t="shared" ref="P1857:P1920" si="187">CONCATENATE(A1857,J1857)</f>
        <v>135045945</v>
      </c>
    </row>
    <row r="1858" spans="1:16" x14ac:dyDescent="0.3">
      <c r="A1858">
        <v>1350</v>
      </c>
      <c r="B1858">
        <v>25</v>
      </c>
      <c r="C1858" t="s">
        <v>15</v>
      </c>
      <c r="D1858" t="s">
        <v>29</v>
      </c>
      <c r="E1858" t="s">
        <v>17</v>
      </c>
      <c r="F1858" t="s">
        <v>18</v>
      </c>
      <c r="G1858" t="s">
        <v>41</v>
      </c>
      <c r="H1858" t="s">
        <v>25</v>
      </c>
      <c r="I1858" s="1">
        <v>3</v>
      </c>
      <c r="J1858" s="2">
        <v>45982</v>
      </c>
      <c r="K1858" s="2">
        <v>45962</v>
      </c>
      <c r="L1858" s="1" t="str">
        <f t="shared" si="184"/>
        <v>sex</v>
      </c>
      <c r="M1858" s="1" t="str">
        <f t="shared" si="185"/>
        <v>nov</v>
      </c>
      <c r="N1858">
        <f t="shared" si="186"/>
        <v>2025</v>
      </c>
      <c r="O1858" s="2"/>
      <c r="P1858" t="str">
        <f t="shared" si="187"/>
        <v>135045982</v>
      </c>
    </row>
    <row r="1859" spans="1:16" x14ac:dyDescent="0.3">
      <c r="A1859">
        <v>1350</v>
      </c>
      <c r="B1859">
        <v>25</v>
      </c>
      <c r="C1859" t="s">
        <v>15</v>
      </c>
      <c r="D1859" t="s">
        <v>29</v>
      </c>
      <c r="E1859" t="s">
        <v>17</v>
      </c>
      <c r="F1859" t="s">
        <v>18</v>
      </c>
      <c r="G1859" t="s">
        <v>41</v>
      </c>
      <c r="H1859" t="s">
        <v>25</v>
      </c>
      <c r="I1859" s="1">
        <v>3</v>
      </c>
      <c r="J1859" s="2">
        <v>46198</v>
      </c>
      <c r="K1859" s="2">
        <v>46023</v>
      </c>
      <c r="L1859" s="1" t="str">
        <f t="shared" si="184"/>
        <v>qui</v>
      </c>
      <c r="M1859" s="1" t="str">
        <f t="shared" si="185"/>
        <v>jun</v>
      </c>
      <c r="N1859">
        <f t="shared" si="186"/>
        <v>2026</v>
      </c>
      <c r="O1859" s="2"/>
      <c r="P1859" t="str">
        <f t="shared" si="187"/>
        <v>135046198</v>
      </c>
    </row>
    <row r="1860" spans="1:16" x14ac:dyDescent="0.3">
      <c r="A1860">
        <v>1351</v>
      </c>
      <c r="B1860">
        <v>24</v>
      </c>
      <c r="C1860" t="s">
        <v>15</v>
      </c>
      <c r="D1860" t="s">
        <v>31</v>
      </c>
      <c r="E1860" t="s">
        <v>34</v>
      </c>
      <c r="F1860" t="s">
        <v>18</v>
      </c>
      <c r="G1860" t="s">
        <v>40</v>
      </c>
      <c r="H1860" t="s">
        <v>25</v>
      </c>
      <c r="I1860" s="1">
        <v>3</v>
      </c>
      <c r="J1860" s="2">
        <v>45784</v>
      </c>
      <c r="K1860" s="2">
        <v>45778</v>
      </c>
      <c r="L1860" s="1" t="str">
        <f t="shared" si="184"/>
        <v>qua</v>
      </c>
      <c r="M1860" s="1" t="str">
        <f t="shared" si="185"/>
        <v>mai</v>
      </c>
      <c r="N1860">
        <f t="shared" si="186"/>
        <v>2025</v>
      </c>
      <c r="O1860" s="2"/>
      <c r="P1860" t="str">
        <f t="shared" si="187"/>
        <v>135145784</v>
      </c>
    </row>
    <row r="1861" spans="1:16" x14ac:dyDescent="0.3">
      <c r="A1861">
        <v>1351</v>
      </c>
      <c r="B1861">
        <v>24</v>
      </c>
      <c r="C1861" t="s">
        <v>15</v>
      </c>
      <c r="D1861" t="s">
        <v>31</v>
      </c>
      <c r="E1861" t="s">
        <v>34</v>
      </c>
      <c r="F1861" t="s">
        <v>18</v>
      </c>
      <c r="G1861" t="s">
        <v>41</v>
      </c>
      <c r="H1861" t="s">
        <v>25</v>
      </c>
      <c r="I1861" s="1">
        <v>3</v>
      </c>
      <c r="J1861" s="2">
        <v>45809</v>
      </c>
      <c r="K1861" s="2">
        <v>45809</v>
      </c>
      <c r="L1861" s="1" t="str">
        <f t="shared" si="184"/>
        <v>dom</v>
      </c>
      <c r="M1861" s="1" t="str">
        <f t="shared" si="185"/>
        <v>jun</v>
      </c>
      <c r="N1861">
        <f t="shared" si="186"/>
        <v>2025</v>
      </c>
      <c r="O1861" s="2"/>
      <c r="P1861" t="str">
        <f t="shared" si="187"/>
        <v>135145809</v>
      </c>
    </row>
    <row r="1862" spans="1:16" x14ac:dyDescent="0.3">
      <c r="A1862">
        <v>1351</v>
      </c>
      <c r="B1862">
        <v>24</v>
      </c>
      <c r="C1862" t="s">
        <v>15</v>
      </c>
      <c r="D1862" t="s">
        <v>31</v>
      </c>
      <c r="E1862" t="s">
        <v>34</v>
      </c>
      <c r="F1862" t="s">
        <v>18</v>
      </c>
      <c r="G1862" t="s">
        <v>40</v>
      </c>
      <c r="H1862" t="s">
        <v>25</v>
      </c>
      <c r="I1862" s="1">
        <v>3</v>
      </c>
      <c r="J1862" s="2">
        <v>45870</v>
      </c>
      <c r="K1862" s="2">
        <v>45870</v>
      </c>
      <c r="L1862" s="1" t="str">
        <f t="shared" si="184"/>
        <v>sex</v>
      </c>
      <c r="M1862" s="1" t="str">
        <f t="shared" si="185"/>
        <v>ago</v>
      </c>
      <c r="N1862">
        <f t="shared" si="186"/>
        <v>2025</v>
      </c>
      <c r="O1862" s="2"/>
      <c r="P1862" t="str">
        <f t="shared" si="187"/>
        <v>135145870</v>
      </c>
    </row>
    <row r="1863" spans="1:16" x14ac:dyDescent="0.3">
      <c r="A1863">
        <v>1351</v>
      </c>
      <c r="B1863">
        <v>24</v>
      </c>
      <c r="C1863" t="s">
        <v>15</v>
      </c>
      <c r="D1863" t="s">
        <v>31</v>
      </c>
      <c r="E1863" t="s">
        <v>34</v>
      </c>
      <c r="F1863" t="s">
        <v>18</v>
      </c>
      <c r="G1863" t="s">
        <v>41</v>
      </c>
      <c r="H1863" t="s">
        <v>25</v>
      </c>
      <c r="I1863" s="1">
        <v>3</v>
      </c>
      <c r="J1863" s="2">
        <v>46054</v>
      </c>
      <c r="K1863" s="2">
        <v>46054</v>
      </c>
      <c r="L1863" s="1" t="str">
        <f t="shared" si="184"/>
        <v>dom</v>
      </c>
      <c r="M1863" s="1" t="str">
        <f t="shared" si="185"/>
        <v>fev</v>
      </c>
      <c r="N1863">
        <f t="shared" si="186"/>
        <v>2026</v>
      </c>
      <c r="O1863" s="2"/>
      <c r="P1863" t="str">
        <f t="shared" si="187"/>
        <v>135146054</v>
      </c>
    </row>
    <row r="1864" spans="1:16" x14ac:dyDescent="0.3">
      <c r="A1864">
        <v>1351</v>
      </c>
      <c r="B1864">
        <v>24</v>
      </c>
      <c r="C1864" t="s">
        <v>15</v>
      </c>
      <c r="D1864" t="s">
        <v>31</v>
      </c>
      <c r="E1864" t="s">
        <v>34</v>
      </c>
      <c r="F1864" t="s">
        <v>18</v>
      </c>
      <c r="G1864" t="s">
        <v>41</v>
      </c>
      <c r="H1864" t="s">
        <v>25</v>
      </c>
      <c r="I1864" s="1">
        <v>3</v>
      </c>
      <c r="J1864" s="2">
        <v>46108</v>
      </c>
      <c r="K1864" s="2">
        <v>46082</v>
      </c>
      <c r="L1864" s="1" t="str">
        <f t="shared" si="184"/>
        <v>sex</v>
      </c>
      <c r="M1864" s="1" t="str">
        <f t="shared" si="185"/>
        <v>mar</v>
      </c>
      <c r="N1864">
        <f t="shared" si="186"/>
        <v>2026</v>
      </c>
      <c r="O1864" s="2"/>
      <c r="P1864" t="str">
        <f t="shared" si="187"/>
        <v>135146108</v>
      </c>
    </row>
    <row r="1865" spans="1:16" x14ac:dyDescent="0.3">
      <c r="A1865">
        <v>1351</v>
      </c>
      <c r="B1865">
        <v>24</v>
      </c>
      <c r="C1865" t="s">
        <v>15</v>
      </c>
      <c r="D1865" t="s">
        <v>31</v>
      </c>
      <c r="E1865" t="s">
        <v>34</v>
      </c>
      <c r="F1865" t="s">
        <v>18</v>
      </c>
      <c r="G1865" t="s">
        <v>40</v>
      </c>
      <c r="H1865" t="s">
        <v>25</v>
      </c>
      <c r="I1865" s="1">
        <v>3</v>
      </c>
      <c r="J1865" s="2">
        <v>46149</v>
      </c>
      <c r="K1865" s="2">
        <v>46143</v>
      </c>
      <c r="L1865" s="1" t="s">
        <v>51</v>
      </c>
      <c r="M1865" s="1" t="s">
        <v>49</v>
      </c>
      <c r="N1865">
        <v>2025</v>
      </c>
      <c r="O1865" s="2"/>
      <c r="P1865" t="str">
        <f t="shared" si="187"/>
        <v>135146149</v>
      </c>
    </row>
    <row r="1866" spans="1:16" x14ac:dyDescent="0.3">
      <c r="A1866">
        <v>1351</v>
      </c>
      <c r="B1866">
        <v>24</v>
      </c>
      <c r="C1866" t="s">
        <v>15</v>
      </c>
      <c r="D1866" t="s">
        <v>31</v>
      </c>
      <c r="E1866" t="s">
        <v>34</v>
      </c>
      <c r="F1866" t="s">
        <v>18</v>
      </c>
      <c r="G1866" t="s">
        <v>41</v>
      </c>
      <c r="H1866" t="s">
        <v>25</v>
      </c>
      <c r="I1866" s="1">
        <v>3</v>
      </c>
      <c r="J1866" s="2">
        <v>46201</v>
      </c>
      <c r="K1866" s="2">
        <v>46174</v>
      </c>
      <c r="L1866" s="1" t="str">
        <f t="shared" ref="L1866:L1897" si="188">TEXT(J1866,"ddd")</f>
        <v>dom</v>
      </c>
      <c r="M1866" s="1" t="str">
        <f t="shared" ref="M1866:M1897" si="189">TEXT($J1866,"mmm")</f>
        <v>jun</v>
      </c>
      <c r="N1866">
        <f t="shared" ref="N1866:N1897" si="190">YEAR(J1866)</f>
        <v>2026</v>
      </c>
      <c r="O1866" s="2"/>
      <c r="P1866" t="str">
        <f t="shared" si="187"/>
        <v>135146201</v>
      </c>
    </row>
    <row r="1867" spans="1:16" x14ac:dyDescent="0.3">
      <c r="A1867">
        <v>1353</v>
      </c>
      <c r="B1867">
        <v>44</v>
      </c>
      <c r="C1867" t="s">
        <v>26</v>
      </c>
      <c r="D1867" t="s">
        <v>16</v>
      </c>
      <c r="E1867" t="s">
        <v>17</v>
      </c>
      <c r="F1867" t="s">
        <v>18</v>
      </c>
      <c r="G1867" t="s">
        <v>40</v>
      </c>
      <c r="H1867" t="s">
        <v>25</v>
      </c>
      <c r="I1867" s="1">
        <v>3</v>
      </c>
      <c r="J1867" s="2">
        <v>45832</v>
      </c>
      <c r="K1867" s="2">
        <v>45809</v>
      </c>
      <c r="L1867" s="1" t="str">
        <f t="shared" si="188"/>
        <v>ter</v>
      </c>
      <c r="M1867" s="1" t="str">
        <f t="shared" si="189"/>
        <v>jun</v>
      </c>
      <c r="N1867">
        <f t="shared" si="190"/>
        <v>2025</v>
      </c>
      <c r="O1867" s="2"/>
      <c r="P1867" t="str">
        <f t="shared" si="187"/>
        <v>135345832</v>
      </c>
    </row>
    <row r="1868" spans="1:16" x14ac:dyDescent="0.3">
      <c r="A1868">
        <v>1353</v>
      </c>
      <c r="B1868">
        <v>44</v>
      </c>
      <c r="C1868" t="s">
        <v>26</v>
      </c>
      <c r="D1868" t="s">
        <v>16</v>
      </c>
      <c r="E1868" t="s">
        <v>17</v>
      </c>
      <c r="F1868" t="s">
        <v>18</v>
      </c>
      <c r="G1868" t="s">
        <v>41</v>
      </c>
      <c r="H1868" t="s">
        <v>25</v>
      </c>
      <c r="I1868" s="1">
        <v>3</v>
      </c>
      <c r="J1868" s="2">
        <v>45860</v>
      </c>
      <c r="K1868" s="2">
        <v>45839</v>
      </c>
      <c r="L1868" s="1" t="str">
        <f t="shared" si="188"/>
        <v>ter</v>
      </c>
      <c r="M1868" s="1" t="str">
        <f t="shared" si="189"/>
        <v>jul</v>
      </c>
      <c r="N1868">
        <f t="shared" si="190"/>
        <v>2025</v>
      </c>
      <c r="O1868" s="2"/>
      <c r="P1868" t="str">
        <f t="shared" si="187"/>
        <v>135345860</v>
      </c>
    </row>
    <row r="1869" spans="1:16" x14ac:dyDescent="0.3">
      <c r="A1869">
        <v>1353</v>
      </c>
      <c r="B1869">
        <v>44</v>
      </c>
      <c r="C1869" t="s">
        <v>26</v>
      </c>
      <c r="D1869" t="s">
        <v>16</v>
      </c>
      <c r="E1869" t="s">
        <v>17</v>
      </c>
      <c r="F1869" t="s">
        <v>18</v>
      </c>
      <c r="G1869" t="s">
        <v>40</v>
      </c>
      <c r="H1869" t="s">
        <v>25</v>
      </c>
      <c r="I1869" s="1">
        <v>3</v>
      </c>
      <c r="J1869" s="2">
        <v>45897</v>
      </c>
      <c r="K1869" s="2">
        <v>45870</v>
      </c>
      <c r="L1869" s="1" t="str">
        <f t="shared" si="188"/>
        <v>qui</v>
      </c>
      <c r="M1869" s="1" t="str">
        <f t="shared" si="189"/>
        <v>ago</v>
      </c>
      <c r="N1869">
        <f t="shared" si="190"/>
        <v>2025</v>
      </c>
      <c r="O1869" s="2"/>
      <c r="P1869" t="str">
        <f t="shared" si="187"/>
        <v>135345897</v>
      </c>
    </row>
    <row r="1870" spans="1:16" x14ac:dyDescent="0.3">
      <c r="A1870">
        <v>1353</v>
      </c>
      <c r="B1870">
        <v>44</v>
      </c>
      <c r="C1870" t="s">
        <v>26</v>
      </c>
      <c r="D1870" t="s">
        <v>16</v>
      </c>
      <c r="E1870" t="s">
        <v>17</v>
      </c>
      <c r="F1870" t="s">
        <v>18</v>
      </c>
      <c r="G1870" t="s">
        <v>41</v>
      </c>
      <c r="H1870" t="s">
        <v>25</v>
      </c>
      <c r="I1870" s="1">
        <v>3</v>
      </c>
      <c r="J1870" s="2">
        <v>45973</v>
      </c>
      <c r="K1870" s="2">
        <v>45962</v>
      </c>
      <c r="L1870" s="1" t="str">
        <f t="shared" si="188"/>
        <v>qua</v>
      </c>
      <c r="M1870" s="1" t="str">
        <f t="shared" si="189"/>
        <v>nov</v>
      </c>
      <c r="N1870">
        <f t="shared" si="190"/>
        <v>2025</v>
      </c>
      <c r="O1870" s="2"/>
      <c r="P1870" t="str">
        <f t="shared" si="187"/>
        <v>135345973</v>
      </c>
    </row>
    <row r="1871" spans="1:16" x14ac:dyDescent="0.3">
      <c r="A1871">
        <v>1353</v>
      </c>
      <c r="B1871">
        <v>44</v>
      </c>
      <c r="C1871" t="s">
        <v>26</v>
      </c>
      <c r="D1871" t="s">
        <v>16</v>
      </c>
      <c r="E1871" t="s">
        <v>17</v>
      </c>
      <c r="F1871" t="s">
        <v>18</v>
      </c>
      <c r="G1871" t="s">
        <v>40</v>
      </c>
      <c r="H1871" t="s">
        <v>25</v>
      </c>
      <c r="I1871" s="1">
        <v>3</v>
      </c>
      <c r="J1871" s="2">
        <v>45991</v>
      </c>
      <c r="K1871" s="2">
        <v>45962</v>
      </c>
      <c r="L1871" s="1" t="str">
        <f t="shared" si="188"/>
        <v>dom</v>
      </c>
      <c r="M1871" s="1" t="str">
        <f t="shared" si="189"/>
        <v>nov</v>
      </c>
      <c r="N1871">
        <f t="shared" si="190"/>
        <v>2025</v>
      </c>
      <c r="O1871" s="2"/>
      <c r="P1871" t="str">
        <f t="shared" si="187"/>
        <v>135345991</v>
      </c>
    </row>
    <row r="1872" spans="1:16" x14ac:dyDescent="0.3">
      <c r="A1872">
        <v>1353</v>
      </c>
      <c r="B1872">
        <v>44</v>
      </c>
      <c r="C1872" t="s">
        <v>26</v>
      </c>
      <c r="D1872" t="s">
        <v>16</v>
      </c>
      <c r="E1872" t="s">
        <v>17</v>
      </c>
      <c r="F1872" t="s">
        <v>18</v>
      </c>
      <c r="G1872" t="s">
        <v>41</v>
      </c>
      <c r="H1872" t="s">
        <v>25</v>
      </c>
      <c r="I1872" s="1">
        <v>3</v>
      </c>
      <c r="J1872" s="2">
        <v>46110</v>
      </c>
      <c r="K1872" s="2">
        <v>46082</v>
      </c>
      <c r="L1872" s="1" t="str">
        <f t="shared" si="188"/>
        <v>dom</v>
      </c>
      <c r="M1872" s="1" t="str">
        <f t="shared" si="189"/>
        <v>mar</v>
      </c>
      <c r="N1872">
        <f t="shared" si="190"/>
        <v>2026</v>
      </c>
      <c r="O1872" s="2"/>
      <c r="P1872" t="str">
        <f t="shared" si="187"/>
        <v>135346110</v>
      </c>
    </row>
    <row r="1873" spans="1:16" x14ac:dyDescent="0.3">
      <c r="A1873">
        <v>1353</v>
      </c>
      <c r="B1873">
        <v>44</v>
      </c>
      <c r="C1873" t="s">
        <v>26</v>
      </c>
      <c r="D1873" t="s">
        <v>16</v>
      </c>
      <c r="E1873" t="s">
        <v>17</v>
      </c>
      <c r="F1873" t="s">
        <v>18</v>
      </c>
      <c r="G1873" t="s">
        <v>41</v>
      </c>
      <c r="H1873" t="s">
        <v>25</v>
      </c>
      <c r="I1873" s="1">
        <v>3</v>
      </c>
      <c r="J1873" s="2">
        <v>46194</v>
      </c>
      <c r="K1873" s="2">
        <v>46174</v>
      </c>
      <c r="L1873" s="1" t="str">
        <f t="shared" si="188"/>
        <v>dom</v>
      </c>
      <c r="M1873" s="1" t="str">
        <f t="shared" si="189"/>
        <v>jun</v>
      </c>
      <c r="N1873">
        <f t="shared" si="190"/>
        <v>2026</v>
      </c>
      <c r="O1873" s="2"/>
      <c r="P1873" t="str">
        <f t="shared" si="187"/>
        <v>135346194</v>
      </c>
    </row>
    <row r="1874" spans="1:16" x14ac:dyDescent="0.3">
      <c r="A1874">
        <v>1355</v>
      </c>
      <c r="B1874">
        <v>47</v>
      </c>
      <c r="C1874" t="s">
        <v>26</v>
      </c>
      <c r="D1874" t="s">
        <v>16</v>
      </c>
      <c r="E1874" t="s">
        <v>17</v>
      </c>
      <c r="F1874" t="s">
        <v>18</v>
      </c>
      <c r="G1874" t="s">
        <v>43</v>
      </c>
      <c r="H1874" t="s">
        <v>25</v>
      </c>
      <c r="I1874" s="1">
        <v>2</v>
      </c>
      <c r="J1874" s="2">
        <v>45834</v>
      </c>
      <c r="K1874" s="2">
        <v>45809</v>
      </c>
      <c r="L1874" s="1" t="str">
        <f t="shared" si="188"/>
        <v>qui</v>
      </c>
      <c r="M1874" s="1" t="str">
        <f t="shared" si="189"/>
        <v>jun</v>
      </c>
      <c r="N1874">
        <f t="shared" si="190"/>
        <v>2025</v>
      </c>
      <c r="O1874" s="2"/>
      <c r="P1874" t="str">
        <f t="shared" si="187"/>
        <v>135545834</v>
      </c>
    </row>
    <row r="1875" spans="1:16" x14ac:dyDescent="0.3">
      <c r="A1875">
        <v>1355</v>
      </c>
      <c r="B1875">
        <v>47</v>
      </c>
      <c r="C1875" t="s">
        <v>26</v>
      </c>
      <c r="D1875" t="s">
        <v>16</v>
      </c>
      <c r="E1875" t="s">
        <v>17</v>
      </c>
      <c r="F1875" t="s">
        <v>18</v>
      </c>
      <c r="G1875" t="s">
        <v>43</v>
      </c>
      <c r="H1875" t="s">
        <v>25</v>
      </c>
      <c r="I1875" s="1">
        <v>2</v>
      </c>
      <c r="J1875" s="2">
        <v>45863</v>
      </c>
      <c r="K1875" s="2">
        <v>45839</v>
      </c>
      <c r="L1875" s="1" t="str">
        <f t="shared" si="188"/>
        <v>sex</v>
      </c>
      <c r="M1875" s="1" t="str">
        <f t="shared" si="189"/>
        <v>jul</v>
      </c>
      <c r="N1875">
        <f t="shared" si="190"/>
        <v>2025</v>
      </c>
      <c r="O1875" s="2"/>
      <c r="P1875" t="str">
        <f t="shared" si="187"/>
        <v>135545863</v>
      </c>
    </row>
    <row r="1876" spans="1:16" x14ac:dyDescent="0.3">
      <c r="A1876">
        <v>1355</v>
      </c>
      <c r="B1876">
        <v>47</v>
      </c>
      <c r="C1876" t="s">
        <v>26</v>
      </c>
      <c r="D1876" t="s">
        <v>16</v>
      </c>
      <c r="E1876" t="s">
        <v>17</v>
      </c>
      <c r="F1876" t="s">
        <v>18</v>
      </c>
      <c r="G1876" t="s">
        <v>43</v>
      </c>
      <c r="H1876" t="s">
        <v>25</v>
      </c>
      <c r="I1876" s="1">
        <v>2</v>
      </c>
      <c r="J1876" s="2">
        <v>45885</v>
      </c>
      <c r="K1876" s="2">
        <v>45870</v>
      </c>
      <c r="L1876" s="1" t="str">
        <f t="shared" si="188"/>
        <v>sáb</v>
      </c>
      <c r="M1876" s="1" t="str">
        <f t="shared" si="189"/>
        <v>ago</v>
      </c>
      <c r="N1876">
        <f t="shared" si="190"/>
        <v>2025</v>
      </c>
      <c r="O1876" s="2"/>
      <c r="P1876" t="str">
        <f t="shared" si="187"/>
        <v>135545885</v>
      </c>
    </row>
    <row r="1877" spans="1:16" x14ac:dyDescent="0.3">
      <c r="A1877">
        <v>1355</v>
      </c>
      <c r="B1877">
        <v>47</v>
      </c>
      <c r="C1877" t="s">
        <v>26</v>
      </c>
      <c r="D1877" t="s">
        <v>16</v>
      </c>
      <c r="E1877" t="s">
        <v>17</v>
      </c>
      <c r="F1877" t="s">
        <v>18</v>
      </c>
      <c r="G1877" t="s">
        <v>43</v>
      </c>
      <c r="H1877" t="s">
        <v>25</v>
      </c>
      <c r="I1877" s="1">
        <v>2</v>
      </c>
      <c r="J1877" s="2">
        <v>45928</v>
      </c>
      <c r="K1877" s="2">
        <v>45901</v>
      </c>
      <c r="L1877" s="1" t="str">
        <f t="shared" si="188"/>
        <v>dom</v>
      </c>
      <c r="M1877" s="1" t="str">
        <f t="shared" si="189"/>
        <v>set</v>
      </c>
      <c r="N1877">
        <f t="shared" si="190"/>
        <v>2025</v>
      </c>
      <c r="O1877" s="2"/>
      <c r="P1877" t="str">
        <f t="shared" si="187"/>
        <v>135545928</v>
      </c>
    </row>
    <row r="1878" spans="1:16" x14ac:dyDescent="0.3">
      <c r="A1878">
        <v>1355</v>
      </c>
      <c r="B1878">
        <v>47</v>
      </c>
      <c r="C1878" t="s">
        <v>26</v>
      </c>
      <c r="D1878" t="s">
        <v>16</v>
      </c>
      <c r="E1878" t="s">
        <v>17</v>
      </c>
      <c r="F1878" t="s">
        <v>18</v>
      </c>
      <c r="G1878" t="s">
        <v>43</v>
      </c>
      <c r="H1878" t="s">
        <v>25</v>
      </c>
      <c r="I1878" s="1">
        <v>2</v>
      </c>
      <c r="J1878" s="2">
        <v>45966</v>
      </c>
      <c r="K1878" s="2">
        <v>45962</v>
      </c>
      <c r="L1878" s="1" t="str">
        <f t="shared" si="188"/>
        <v>qua</v>
      </c>
      <c r="M1878" s="1" t="str">
        <f t="shared" si="189"/>
        <v>nov</v>
      </c>
      <c r="N1878">
        <f t="shared" si="190"/>
        <v>2025</v>
      </c>
      <c r="O1878" s="2"/>
      <c r="P1878" t="str">
        <f t="shared" si="187"/>
        <v>135545966</v>
      </c>
    </row>
    <row r="1879" spans="1:16" x14ac:dyDescent="0.3">
      <c r="A1879">
        <v>1355</v>
      </c>
      <c r="B1879">
        <v>47</v>
      </c>
      <c r="C1879" t="s">
        <v>26</v>
      </c>
      <c r="D1879" t="s">
        <v>16</v>
      </c>
      <c r="E1879" t="s">
        <v>17</v>
      </c>
      <c r="F1879" t="s">
        <v>18</v>
      </c>
      <c r="G1879" t="s">
        <v>43</v>
      </c>
      <c r="H1879" t="s">
        <v>25</v>
      </c>
      <c r="I1879" s="1">
        <v>2</v>
      </c>
      <c r="J1879" s="2">
        <v>45991</v>
      </c>
      <c r="K1879" s="2">
        <v>45962</v>
      </c>
      <c r="L1879" s="1" t="str">
        <f t="shared" si="188"/>
        <v>dom</v>
      </c>
      <c r="M1879" s="1" t="str">
        <f t="shared" si="189"/>
        <v>nov</v>
      </c>
      <c r="N1879">
        <f t="shared" si="190"/>
        <v>2025</v>
      </c>
      <c r="O1879" s="2"/>
      <c r="P1879" t="str">
        <f t="shared" si="187"/>
        <v>135545991</v>
      </c>
    </row>
    <row r="1880" spans="1:16" x14ac:dyDescent="0.3">
      <c r="A1880">
        <v>1356</v>
      </c>
      <c r="B1880">
        <v>35</v>
      </c>
      <c r="C1880" t="s">
        <v>15</v>
      </c>
      <c r="D1880" t="s">
        <v>29</v>
      </c>
      <c r="E1880" t="s">
        <v>17</v>
      </c>
      <c r="F1880" t="s">
        <v>23</v>
      </c>
      <c r="G1880" t="s">
        <v>41</v>
      </c>
      <c r="H1880" t="s">
        <v>25</v>
      </c>
      <c r="I1880" s="1">
        <v>2</v>
      </c>
      <c r="J1880" s="2">
        <v>45918</v>
      </c>
      <c r="K1880" s="2">
        <v>45901</v>
      </c>
      <c r="L1880" s="1" t="str">
        <f t="shared" si="188"/>
        <v>qui</v>
      </c>
      <c r="M1880" s="1" t="str">
        <f t="shared" si="189"/>
        <v>set</v>
      </c>
      <c r="N1880">
        <f t="shared" si="190"/>
        <v>2025</v>
      </c>
      <c r="O1880" s="2"/>
      <c r="P1880" t="str">
        <f t="shared" si="187"/>
        <v>135645918</v>
      </c>
    </row>
    <row r="1881" spans="1:16" x14ac:dyDescent="0.3">
      <c r="A1881">
        <v>1356</v>
      </c>
      <c r="B1881">
        <v>35</v>
      </c>
      <c r="C1881" t="s">
        <v>15</v>
      </c>
      <c r="D1881" t="s">
        <v>29</v>
      </c>
      <c r="E1881" t="s">
        <v>17</v>
      </c>
      <c r="F1881" t="s">
        <v>23</v>
      </c>
      <c r="G1881" t="s">
        <v>41</v>
      </c>
      <c r="H1881" t="s">
        <v>25</v>
      </c>
      <c r="I1881" s="1">
        <v>2</v>
      </c>
      <c r="J1881" s="2">
        <v>46004</v>
      </c>
      <c r="K1881" s="2">
        <v>45992</v>
      </c>
      <c r="L1881" s="1" t="str">
        <f t="shared" si="188"/>
        <v>sáb</v>
      </c>
      <c r="M1881" s="1" t="str">
        <f t="shared" si="189"/>
        <v>dez</v>
      </c>
      <c r="N1881">
        <f t="shared" si="190"/>
        <v>2025</v>
      </c>
      <c r="O1881" s="2"/>
      <c r="P1881" t="str">
        <f t="shared" si="187"/>
        <v>135646004</v>
      </c>
    </row>
    <row r="1882" spans="1:16" x14ac:dyDescent="0.3">
      <c r="A1882">
        <v>1356</v>
      </c>
      <c r="B1882">
        <v>35</v>
      </c>
      <c r="C1882" t="s">
        <v>15</v>
      </c>
      <c r="D1882" t="s">
        <v>29</v>
      </c>
      <c r="E1882" t="s">
        <v>17</v>
      </c>
      <c r="F1882" t="s">
        <v>23</v>
      </c>
      <c r="G1882" t="s">
        <v>43</v>
      </c>
      <c r="H1882" t="s">
        <v>25</v>
      </c>
      <c r="I1882" s="1">
        <v>2</v>
      </c>
      <c r="J1882" s="2">
        <v>46012</v>
      </c>
      <c r="K1882" s="2">
        <v>45992</v>
      </c>
      <c r="L1882" s="1" t="str">
        <f t="shared" si="188"/>
        <v>dom</v>
      </c>
      <c r="M1882" s="1" t="str">
        <f t="shared" si="189"/>
        <v>dez</v>
      </c>
      <c r="N1882">
        <f t="shared" si="190"/>
        <v>2025</v>
      </c>
      <c r="O1882" s="2"/>
      <c r="P1882" t="str">
        <f t="shared" si="187"/>
        <v>135646012</v>
      </c>
    </row>
    <row r="1883" spans="1:16" x14ac:dyDescent="0.3">
      <c r="A1883">
        <v>1356</v>
      </c>
      <c r="B1883">
        <v>35</v>
      </c>
      <c r="C1883" t="s">
        <v>15</v>
      </c>
      <c r="D1883" t="s">
        <v>29</v>
      </c>
      <c r="E1883" t="s">
        <v>17</v>
      </c>
      <c r="F1883" t="s">
        <v>23</v>
      </c>
      <c r="G1883" t="s">
        <v>43</v>
      </c>
      <c r="H1883" t="s">
        <v>25</v>
      </c>
      <c r="I1883" s="1">
        <v>2</v>
      </c>
      <c r="J1883" s="2">
        <v>46059</v>
      </c>
      <c r="K1883" s="2">
        <v>46054</v>
      </c>
      <c r="L1883" s="1" t="str">
        <f t="shared" si="188"/>
        <v>sex</v>
      </c>
      <c r="M1883" s="1" t="str">
        <f t="shared" si="189"/>
        <v>fev</v>
      </c>
      <c r="N1883">
        <f t="shared" si="190"/>
        <v>2026</v>
      </c>
      <c r="O1883" s="2"/>
      <c r="P1883" t="str">
        <f t="shared" si="187"/>
        <v>135646059</v>
      </c>
    </row>
    <row r="1884" spans="1:16" x14ac:dyDescent="0.3">
      <c r="A1884">
        <v>1356</v>
      </c>
      <c r="B1884">
        <v>35</v>
      </c>
      <c r="C1884" t="s">
        <v>15</v>
      </c>
      <c r="D1884" t="s">
        <v>29</v>
      </c>
      <c r="E1884" t="s">
        <v>17</v>
      </c>
      <c r="F1884" t="s">
        <v>23</v>
      </c>
      <c r="G1884" t="s">
        <v>43</v>
      </c>
      <c r="H1884" t="s">
        <v>25</v>
      </c>
      <c r="I1884" s="1">
        <v>2</v>
      </c>
      <c r="J1884" s="2">
        <v>46091</v>
      </c>
      <c r="K1884" s="2">
        <v>46082</v>
      </c>
      <c r="L1884" s="1" t="str">
        <f t="shared" si="188"/>
        <v>ter</v>
      </c>
      <c r="M1884" s="1" t="str">
        <f t="shared" si="189"/>
        <v>mar</v>
      </c>
      <c r="N1884">
        <f t="shared" si="190"/>
        <v>2026</v>
      </c>
      <c r="O1884" s="2"/>
      <c r="P1884" t="str">
        <f t="shared" si="187"/>
        <v>135646091</v>
      </c>
    </row>
    <row r="1885" spans="1:16" x14ac:dyDescent="0.3">
      <c r="A1885">
        <v>1356</v>
      </c>
      <c r="B1885">
        <v>35</v>
      </c>
      <c r="C1885" t="s">
        <v>15</v>
      </c>
      <c r="D1885" t="s">
        <v>29</v>
      </c>
      <c r="E1885" t="s">
        <v>17</v>
      </c>
      <c r="F1885" t="s">
        <v>23</v>
      </c>
      <c r="G1885" t="s">
        <v>43</v>
      </c>
      <c r="H1885" t="s">
        <v>25</v>
      </c>
      <c r="I1885" s="1">
        <v>2</v>
      </c>
      <c r="J1885" s="2">
        <v>46108</v>
      </c>
      <c r="K1885" s="2">
        <v>46082</v>
      </c>
      <c r="L1885" s="1" t="str">
        <f t="shared" si="188"/>
        <v>sex</v>
      </c>
      <c r="M1885" s="1" t="str">
        <f t="shared" si="189"/>
        <v>mar</v>
      </c>
      <c r="N1885">
        <f t="shared" si="190"/>
        <v>2026</v>
      </c>
      <c r="O1885" s="2"/>
      <c r="P1885" t="str">
        <f t="shared" si="187"/>
        <v>135646108</v>
      </c>
    </row>
    <row r="1886" spans="1:16" x14ac:dyDescent="0.3">
      <c r="A1886">
        <v>1356</v>
      </c>
      <c r="B1886">
        <v>35</v>
      </c>
      <c r="C1886" t="s">
        <v>15</v>
      </c>
      <c r="D1886" t="s">
        <v>29</v>
      </c>
      <c r="E1886" t="s">
        <v>17</v>
      </c>
      <c r="F1886" t="s">
        <v>23</v>
      </c>
      <c r="G1886" t="s">
        <v>43</v>
      </c>
      <c r="H1886" t="s">
        <v>25</v>
      </c>
      <c r="I1886" s="1">
        <v>2</v>
      </c>
      <c r="J1886" s="2">
        <v>46194</v>
      </c>
      <c r="K1886" s="2">
        <v>46174</v>
      </c>
      <c r="L1886" s="1" t="str">
        <f t="shared" si="188"/>
        <v>dom</v>
      </c>
      <c r="M1886" s="1" t="str">
        <f t="shared" si="189"/>
        <v>jun</v>
      </c>
      <c r="N1886">
        <f t="shared" si="190"/>
        <v>2026</v>
      </c>
      <c r="O1886" s="2"/>
      <c r="P1886" t="str">
        <f t="shared" si="187"/>
        <v>135646194</v>
      </c>
    </row>
    <row r="1887" spans="1:16" x14ac:dyDescent="0.3">
      <c r="A1887">
        <v>1357</v>
      </c>
      <c r="B1887">
        <v>49</v>
      </c>
      <c r="C1887" t="s">
        <v>26</v>
      </c>
      <c r="D1887" t="s">
        <v>22</v>
      </c>
      <c r="E1887" t="s">
        <v>17</v>
      </c>
      <c r="F1887" t="s">
        <v>23</v>
      </c>
      <c r="G1887" t="s">
        <v>41</v>
      </c>
      <c r="H1887" t="s">
        <v>25</v>
      </c>
      <c r="I1887" s="1">
        <v>1</v>
      </c>
      <c r="J1887" s="2">
        <v>45844</v>
      </c>
      <c r="K1887" s="2">
        <v>45839</v>
      </c>
      <c r="L1887" s="1" t="str">
        <f t="shared" si="188"/>
        <v>dom</v>
      </c>
      <c r="M1887" s="1" t="str">
        <f t="shared" si="189"/>
        <v>jul</v>
      </c>
      <c r="N1887">
        <f t="shared" si="190"/>
        <v>2025</v>
      </c>
      <c r="O1887" s="2"/>
      <c r="P1887" t="str">
        <f t="shared" si="187"/>
        <v>135745844</v>
      </c>
    </row>
    <row r="1888" spans="1:16" x14ac:dyDescent="0.3">
      <c r="A1888">
        <v>1357</v>
      </c>
      <c r="B1888">
        <v>49</v>
      </c>
      <c r="C1888" t="s">
        <v>26</v>
      </c>
      <c r="D1888" t="s">
        <v>22</v>
      </c>
      <c r="E1888" t="s">
        <v>17</v>
      </c>
      <c r="F1888" t="s">
        <v>23</v>
      </c>
      <c r="G1888" t="s">
        <v>41</v>
      </c>
      <c r="H1888" t="s">
        <v>25</v>
      </c>
      <c r="I1888" s="1">
        <v>1</v>
      </c>
      <c r="J1888" s="2">
        <v>45866</v>
      </c>
      <c r="K1888" s="2">
        <v>45839</v>
      </c>
      <c r="L1888" s="1" t="str">
        <f t="shared" si="188"/>
        <v>seg</v>
      </c>
      <c r="M1888" s="1" t="str">
        <f t="shared" si="189"/>
        <v>jul</v>
      </c>
      <c r="N1888">
        <f t="shared" si="190"/>
        <v>2025</v>
      </c>
      <c r="O1888" s="2"/>
      <c r="P1888" t="str">
        <f t="shared" si="187"/>
        <v>135745866</v>
      </c>
    </row>
    <row r="1889" spans="1:16" x14ac:dyDescent="0.3">
      <c r="A1889">
        <v>1357</v>
      </c>
      <c r="B1889">
        <v>49</v>
      </c>
      <c r="C1889" t="s">
        <v>26</v>
      </c>
      <c r="D1889" t="s">
        <v>22</v>
      </c>
      <c r="E1889" t="s">
        <v>17</v>
      </c>
      <c r="F1889" t="s">
        <v>23</v>
      </c>
      <c r="G1889" t="s">
        <v>41</v>
      </c>
      <c r="H1889" t="s">
        <v>25</v>
      </c>
      <c r="I1889" s="1">
        <v>1</v>
      </c>
      <c r="J1889" s="2">
        <v>45873</v>
      </c>
      <c r="K1889" s="2">
        <v>45870</v>
      </c>
      <c r="L1889" s="1" t="str">
        <f t="shared" si="188"/>
        <v>seg</v>
      </c>
      <c r="M1889" s="1" t="str">
        <f t="shared" si="189"/>
        <v>ago</v>
      </c>
      <c r="N1889">
        <f t="shared" si="190"/>
        <v>2025</v>
      </c>
      <c r="O1889" s="2"/>
      <c r="P1889" t="str">
        <f t="shared" si="187"/>
        <v>135745873</v>
      </c>
    </row>
    <row r="1890" spans="1:16" x14ac:dyDescent="0.3">
      <c r="A1890">
        <v>1357</v>
      </c>
      <c r="B1890">
        <v>49</v>
      </c>
      <c r="C1890" t="s">
        <v>26</v>
      </c>
      <c r="D1890" t="s">
        <v>22</v>
      </c>
      <c r="E1890" t="s">
        <v>17</v>
      </c>
      <c r="F1890" t="s">
        <v>23</v>
      </c>
      <c r="G1890" t="s">
        <v>41</v>
      </c>
      <c r="H1890" t="s">
        <v>25</v>
      </c>
      <c r="I1890" s="1">
        <v>1</v>
      </c>
      <c r="J1890" s="2">
        <v>45894</v>
      </c>
      <c r="K1890" s="2">
        <v>45870</v>
      </c>
      <c r="L1890" s="1" t="str">
        <f t="shared" si="188"/>
        <v>seg</v>
      </c>
      <c r="M1890" s="1" t="str">
        <f t="shared" si="189"/>
        <v>ago</v>
      </c>
      <c r="N1890">
        <f t="shared" si="190"/>
        <v>2025</v>
      </c>
      <c r="O1890" s="2"/>
      <c r="P1890" t="str">
        <f t="shared" si="187"/>
        <v>135745894</v>
      </c>
    </row>
    <row r="1891" spans="1:16" x14ac:dyDescent="0.3">
      <c r="A1891">
        <v>1357</v>
      </c>
      <c r="B1891">
        <v>49</v>
      </c>
      <c r="C1891" t="s">
        <v>26</v>
      </c>
      <c r="D1891" t="s">
        <v>22</v>
      </c>
      <c r="E1891" t="s">
        <v>17</v>
      </c>
      <c r="F1891" t="s">
        <v>23</v>
      </c>
      <c r="G1891" t="s">
        <v>41</v>
      </c>
      <c r="H1891" t="s">
        <v>25</v>
      </c>
      <c r="I1891" s="1">
        <v>1</v>
      </c>
      <c r="J1891" s="2">
        <v>45961</v>
      </c>
      <c r="K1891" s="2">
        <v>45931</v>
      </c>
      <c r="L1891" s="1" t="str">
        <f t="shared" si="188"/>
        <v>sex</v>
      </c>
      <c r="M1891" s="1" t="str">
        <f t="shared" si="189"/>
        <v>out</v>
      </c>
      <c r="N1891">
        <f t="shared" si="190"/>
        <v>2025</v>
      </c>
      <c r="O1891" s="2"/>
      <c r="P1891" t="str">
        <f t="shared" si="187"/>
        <v>135745961</v>
      </c>
    </row>
    <row r="1892" spans="1:16" x14ac:dyDescent="0.3">
      <c r="A1892">
        <v>1357</v>
      </c>
      <c r="B1892">
        <v>49</v>
      </c>
      <c r="C1892" t="s">
        <v>26</v>
      </c>
      <c r="D1892" t="s">
        <v>22</v>
      </c>
      <c r="E1892" t="s">
        <v>17</v>
      </c>
      <c r="F1892" t="s">
        <v>23</v>
      </c>
      <c r="G1892" t="s">
        <v>41</v>
      </c>
      <c r="H1892" t="s">
        <v>25</v>
      </c>
      <c r="I1892" s="1">
        <v>1</v>
      </c>
      <c r="J1892" s="2">
        <v>45975</v>
      </c>
      <c r="K1892" s="2">
        <v>45962</v>
      </c>
      <c r="L1892" s="1" t="str">
        <f t="shared" si="188"/>
        <v>sex</v>
      </c>
      <c r="M1892" s="1" t="str">
        <f t="shared" si="189"/>
        <v>nov</v>
      </c>
      <c r="N1892">
        <f t="shared" si="190"/>
        <v>2025</v>
      </c>
      <c r="O1892" s="2"/>
      <c r="P1892" t="str">
        <f t="shared" si="187"/>
        <v>135745975</v>
      </c>
    </row>
    <row r="1893" spans="1:16" x14ac:dyDescent="0.3">
      <c r="A1893">
        <v>1359</v>
      </c>
      <c r="B1893">
        <v>29</v>
      </c>
      <c r="C1893" t="s">
        <v>15</v>
      </c>
      <c r="D1893" t="s">
        <v>16</v>
      </c>
      <c r="E1893" t="s">
        <v>17</v>
      </c>
      <c r="F1893" t="s">
        <v>18</v>
      </c>
      <c r="G1893" t="s">
        <v>41</v>
      </c>
      <c r="H1893" t="s">
        <v>20</v>
      </c>
      <c r="I1893" s="1">
        <v>1</v>
      </c>
      <c r="J1893" s="2">
        <v>45829</v>
      </c>
      <c r="K1893" s="2">
        <v>45809</v>
      </c>
      <c r="L1893" s="1" t="str">
        <f t="shared" si="188"/>
        <v>sáb</v>
      </c>
      <c r="M1893" s="1" t="str">
        <f t="shared" si="189"/>
        <v>jun</v>
      </c>
      <c r="N1893">
        <f t="shared" si="190"/>
        <v>2025</v>
      </c>
      <c r="O1893" s="2">
        <f>_xlfn.XLOOKUP(A1893,Colaboradores!$A:$A,Colaboradores!$S:$S,"",0)</f>
        <v>46050</v>
      </c>
      <c r="P1893" t="str">
        <f t="shared" si="187"/>
        <v>135945829</v>
      </c>
    </row>
    <row r="1894" spans="1:16" x14ac:dyDescent="0.3">
      <c r="A1894">
        <v>1359</v>
      </c>
      <c r="B1894">
        <v>29</v>
      </c>
      <c r="C1894" t="s">
        <v>15</v>
      </c>
      <c r="D1894" t="s">
        <v>16</v>
      </c>
      <c r="E1894" t="s">
        <v>17</v>
      </c>
      <c r="F1894" t="s">
        <v>18</v>
      </c>
      <c r="G1894" t="s">
        <v>41</v>
      </c>
      <c r="H1894" t="s">
        <v>20</v>
      </c>
      <c r="I1894" s="1">
        <v>1</v>
      </c>
      <c r="J1894" s="2">
        <v>45843</v>
      </c>
      <c r="K1894" s="2">
        <v>45839</v>
      </c>
      <c r="L1894" s="1" t="str">
        <f t="shared" si="188"/>
        <v>sáb</v>
      </c>
      <c r="M1894" s="1" t="str">
        <f t="shared" si="189"/>
        <v>jul</v>
      </c>
      <c r="N1894">
        <f t="shared" si="190"/>
        <v>2025</v>
      </c>
      <c r="O1894" s="2">
        <f>_xlfn.XLOOKUP(A1894,Colaboradores!$A:$A,Colaboradores!$S:$S,"",0)</f>
        <v>46050</v>
      </c>
      <c r="P1894" t="str">
        <f t="shared" si="187"/>
        <v>135945843</v>
      </c>
    </row>
    <row r="1895" spans="1:16" x14ac:dyDescent="0.3">
      <c r="A1895">
        <v>1359</v>
      </c>
      <c r="B1895">
        <v>29</v>
      </c>
      <c r="C1895" t="s">
        <v>15</v>
      </c>
      <c r="D1895" t="s">
        <v>16</v>
      </c>
      <c r="E1895" t="s">
        <v>17</v>
      </c>
      <c r="F1895" t="s">
        <v>18</v>
      </c>
      <c r="G1895" t="s">
        <v>41</v>
      </c>
      <c r="H1895" t="s">
        <v>20</v>
      </c>
      <c r="I1895" s="1">
        <v>1</v>
      </c>
      <c r="J1895" s="2">
        <v>45849</v>
      </c>
      <c r="K1895" s="2">
        <v>45839</v>
      </c>
      <c r="L1895" s="1" t="str">
        <f t="shared" si="188"/>
        <v>sex</v>
      </c>
      <c r="M1895" s="1" t="str">
        <f t="shared" si="189"/>
        <v>jul</v>
      </c>
      <c r="N1895">
        <f t="shared" si="190"/>
        <v>2025</v>
      </c>
      <c r="O1895" s="2">
        <f>_xlfn.XLOOKUP(A1895,Colaboradores!$A:$A,Colaboradores!$S:$S,"",0)</f>
        <v>46050</v>
      </c>
      <c r="P1895" t="str">
        <f t="shared" si="187"/>
        <v>135945849</v>
      </c>
    </row>
    <row r="1896" spans="1:16" x14ac:dyDescent="0.3">
      <c r="A1896">
        <v>1359</v>
      </c>
      <c r="B1896">
        <v>29</v>
      </c>
      <c r="C1896" t="s">
        <v>15</v>
      </c>
      <c r="D1896" t="s">
        <v>16</v>
      </c>
      <c r="E1896" t="s">
        <v>17</v>
      </c>
      <c r="F1896" t="s">
        <v>18</v>
      </c>
      <c r="G1896" t="s">
        <v>44</v>
      </c>
      <c r="H1896" t="s">
        <v>20</v>
      </c>
      <c r="I1896" s="1">
        <v>1</v>
      </c>
      <c r="J1896" s="2">
        <v>45919</v>
      </c>
      <c r="K1896" s="2">
        <v>45901</v>
      </c>
      <c r="L1896" s="1" t="str">
        <f t="shared" si="188"/>
        <v>sex</v>
      </c>
      <c r="M1896" s="1" t="str">
        <f t="shared" si="189"/>
        <v>set</v>
      </c>
      <c r="N1896">
        <f t="shared" si="190"/>
        <v>2025</v>
      </c>
      <c r="O1896" s="2">
        <f>_xlfn.XLOOKUP(A1896,Colaboradores!$A:$A,Colaboradores!$S:$S,"",0)</f>
        <v>46050</v>
      </c>
      <c r="P1896" t="str">
        <f t="shared" si="187"/>
        <v>135945919</v>
      </c>
    </row>
    <row r="1897" spans="1:16" x14ac:dyDescent="0.3">
      <c r="A1897">
        <v>1359</v>
      </c>
      <c r="B1897">
        <v>29</v>
      </c>
      <c r="C1897" t="s">
        <v>15</v>
      </c>
      <c r="D1897" t="s">
        <v>16</v>
      </c>
      <c r="E1897" t="s">
        <v>17</v>
      </c>
      <c r="F1897" t="s">
        <v>18</v>
      </c>
      <c r="G1897" t="s">
        <v>44</v>
      </c>
      <c r="H1897" t="s">
        <v>20</v>
      </c>
      <c r="I1897" s="1">
        <v>1</v>
      </c>
      <c r="J1897" s="2">
        <v>45933</v>
      </c>
      <c r="K1897" s="2">
        <v>45931</v>
      </c>
      <c r="L1897" s="1" t="str">
        <f t="shared" si="188"/>
        <v>sex</v>
      </c>
      <c r="M1897" s="1" t="str">
        <f t="shared" si="189"/>
        <v>out</v>
      </c>
      <c r="N1897">
        <f t="shared" si="190"/>
        <v>2025</v>
      </c>
      <c r="O1897" s="2">
        <f>_xlfn.XLOOKUP(A1897,Colaboradores!$A:$A,Colaboradores!$S:$S,"",0)</f>
        <v>46050</v>
      </c>
      <c r="P1897" t="str">
        <f t="shared" si="187"/>
        <v>135945933</v>
      </c>
    </row>
    <row r="1898" spans="1:16" x14ac:dyDescent="0.3">
      <c r="A1898">
        <v>1359</v>
      </c>
      <c r="B1898">
        <v>29</v>
      </c>
      <c r="C1898" t="s">
        <v>15</v>
      </c>
      <c r="D1898" t="s">
        <v>16</v>
      </c>
      <c r="E1898" t="s">
        <v>17</v>
      </c>
      <c r="F1898" t="s">
        <v>18</v>
      </c>
      <c r="G1898" t="s">
        <v>41</v>
      </c>
      <c r="H1898" t="s">
        <v>20</v>
      </c>
      <c r="I1898" s="1">
        <v>1</v>
      </c>
      <c r="J1898" s="2">
        <v>45972</v>
      </c>
      <c r="K1898" s="2">
        <v>45962</v>
      </c>
      <c r="L1898" s="1" t="str">
        <f t="shared" ref="L1898:L1931" si="191">TEXT(J1898,"ddd")</f>
        <v>ter</v>
      </c>
      <c r="M1898" s="1" t="str">
        <f t="shared" ref="M1898:M1931" si="192">TEXT($J1898,"mmm")</f>
        <v>nov</v>
      </c>
      <c r="N1898">
        <f t="shared" ref="N1898:N1931" si="193">YEAR(J1898)</f>
        <v>2025</v>
      </c>
      <c r="O1898" s="2">
        <f>_xlfn.XLOOKUP(A1898,Colaboradores!$A:$A,Colaboradores!$S:$S,"",0)</f>
        <v>46050</v>
      </c>
      <c r="P1898" t="str">
        <f t="shared" si="187"/>
        <v>135945972</v>
      </c>
    </row>
    <row r="1899" spans="1:16" x14ac:dyDescent="0.3">
      <c r="A1899">
        <v>1360</v>
      </c>
      <c r="B1899">
        <v>37</v>
      </c>
      <c r="C1899" t="s">
        <v>15</v>
      </c>
      <c r="D1899" t="s">
        <v>27</v>
      </c>
      <c r="E1899" t="s">
        <v>17</v>
      </c>
      <c r="F1899" t="s">
        <v>23</v>
      </c>
      <c r="G1899" t="s">
        <v>42</v>
      </c>
      <c r="H1899" t="s">
        <v>20</v>
      </c>
      <c r="I1899" s="1">
        <v>3</v>
      </c>
      <c r="J1899" s="2">
        <v>45760</v>
      </c>
      <c r="K1899" s="2">
        <v>45748</v>
      </c>
      <c r="L1899" s="1" t="str">
        <f t="shared" si="191"/>
        <v>dom</v>
      </c>
      <c r="M1899" s="1" t="str">
        <f t="shared" si="192"/>
        <v>abr</v>
      </c>
      <c r="N1899">
        <f t="shared" si="193"/>
        <v>2025</v>
      </c>
      <c r="O1899" s="2">
        <f>_xlfn.XLOOKUP(A1899,Colaboradores!$A:$A,Colaboradores!$S:$S,"",0)</f>
        <v>46189</v>
      </c>
      <c r="P1899" t="str">
        <f t="shared" si="187"/>
        <v>136045760</v>
      </c>
    </row>
    <row r="1900" spans="1:16" x14ac:dyDescent="0.3">
      <c r="A1900">
        <v>1360</v>
      </c>
      <c r="B1900">
        <v>37</v>
      </c>
      <c r="C1900" t="s">
        <v>15</v>
      </c>
      <c r="D1900" t="s">
        <v>27</v>
      </c>
      <c r="E1900" t="s">
        <v>17</v>
      </c>
      <c r="F1900" t="s">
        <v>23</v>
      </c>
      <c r="G1900" t="s">
        <v>44</v>
      </c>
      <c r="H1900" t="s">
        <v>20</v>
      </c>
      <c r="I1900" s="1">
        <v>3</v>
      </c>
      <c r="J1900" s="2">
        <v>45890</v>
      </c>
      <c r="K1900" s="2">
        <v>45870</v>
      </c>
      <c r="L1900" s="1" t="str">
        <f t="shared" si="191"/>
        <v>qui</v>
      </c>
      <c r="M1900" s="1" t="str">
        <f t="shared" si="192"/>
        <v>ago</v>
      </c>
      <c r="N1900">
        <f t="shared" si="193"/>
        <v>2025</v>
      </c>
      <c r="O1900" s="2">
        <f>_xlfn.XLOOKUP(A1900,Colaboradores!$A:$A,Colaboradores!$S:$S,"",0)</f>
        <v>46189</v>
      </c>
      <c r="P1900" t="str">
        <f t="shared" si="187"/>
        <v>136045890</v>
      </c>
    </row>
    <row r="1901" spans="1:16" x14ac:dyDescent="0.3">
      <c r="A1901">
        <v>1360</v>
      </c>
      <c r="B1901">
        <v>37</v>
      </c>
      <c r="C1901" t="s">
        <v>15</v>
      </c>
      <c r="D1901" t="s">
        <v>27</v>
      </c>
      <c r="E1901" t="s">
        <v>17</v>
      </c>
      <c r="F1901" t="s">
        <v>23</v>
      </c>
      <c r="G1901" t="s">
        <v>44</v>
      </c>
      <c r="H1901" t="s">
        <v>20</v>
      </c>
      <c r="I1901" s="1">
        <v>3</v>
      </c>
      <c r="J1901" s="2">
        <v>45911</v>
      </c>
      <c r="K1901" s="2">
        <v>45901</v>
      </c>
      <c r="L1901" s="1" t="str">
        <f t="shared" si="191"/>
        <v>qui</v>
      </c>
      <c r="M1901" s="1" t="str">
        <f t="shared" si="192"/>
        <v>set</v>
      </c>
      <c r="N1901">
        <f t="shared" si="193"/>
        <v>2025</v>
      </c>
      <c r="O1901" s="2">
        <f>_xlfn.XLOOKUP(A1901,Colaboradores!$A:$A,Colaboradores!$S:$S,"",0)</f>
        <v>46189</v>
      </c>
      <c r="P1901" t="str">
        <f t="shared" si="187"/>
        <v>136045911</v>
      </c>
    </row>
    <row r="1902" spans="1:16" x14ac:dyDescent="0.3">
      <c r="A1902">
        <v>1360</v>
      </c>
      <c r="B1902">
        <v>37</v>
      </c>
      <c r="C1902" t="s">
        <v>15</v>
      </c>
      <c r="D1902" t="s">
        <v>27</v>
      </c>
      <c r="E1902" t="s">
        <v>17</v>
      </c>
      <c r="F1902" t="s">
        <v>23</v>
      </c>
      <c r="G1902" t="s">
        <v>41</v>
      </c>
      <c r="H1902" t="s">
        <v>20</v>
      </c>
      <c r="I1902" s="1">
        <v>3</v>
      </c>
      <c r="J1902" s="2">
        <v>45958</v>
      </c>
      <c r="K1902" s="2">
        <v>45931</v>
      </c>
      <c r="L1902" s="1" t="str">
        <f t="shared" si="191"/>
        <v>ter</v>
      </c>
      <c r="M1902" s="1" t="str">
        <f t="shared" si="192"/>
        <v>out</v>
      </c>
      <c r="N1902">
        <f t="shared" si="193"/>
        <v>2025</v>
      </c>
      <c r="O1902" s="2">
        <f>_xlfn.XLOOKUP(A1902,Colaboradores!$A:$A,Colaboradores!$S:$S,"",0)</f>
        <v>46189</v>
      </c>
      <c r="P1902" t="str">
        <f t="shared" si="187"/>
        <v>136045958</v>
      </c>
    </row>
    <row r="1903" spans="1:16" x14ac:dyDescent="0.3">
      <c r="A1903">
        <v>1360</v>
      </c>
      <c r="B1903">
        <v>37</v>
      </c>
      <c r="C1903" t="s">
        <v>15</v>
      </c>
      <c r="D1903" t="s">
        <v>27</v>
      </c>
      <c r="E1903" t="s">
        <v>17</v>
      </c>
      <c r="F1903" t="s">
        <v>23</v>
      </c>
      <c r="G1903" t="s">
        <v>44</v>
      </c>
      <c r="H1903" t="s">
        <v>20</v>
      </c>
      <c r="I1903" s="1">
        <v>3</v>
      </c>
      <c r="J1903" s="2">
        <v>46072</v>
      </c>
      <c r="K1903" s="2">
        <v>46054</v>
      </c>
      <c r="L1903" s="1" t="str">
        <f t="shared" si="191"/>
        <v>qui</v>
      </c>
      <c r="M1903" s="1" t="str">
        <f t="shared" si="192"/>
        <v>fev</v>
      </c>
      <c r="N1903">
        <f t="shared" si="193"/>
        <v>2026</v>
      </c>
      <c r="O1903" s="2">
        <f>_xlfn.XLOOKUP(A1903,Colaboradores!$A:$A,Colaboradores!$S:$S,"",0)</f>
        <v>46189</v>
      </c>
      <c r="P1903" t="str">
        <f t="shared" si="187"/>
        <v>136046072</v>
      </c>
    </row>
    <row r="1904" spans="1:16" x14ac:dyDescent="0.3">
      <c r="A1904">
        <v>1361</v>
      </c>
      <c r="B1904">
        <v>18</v>
      </c>
      <c r="C1904" t="s">
        <v>26</v>
      </c>
      <c r="D1904" t="s">
        <v>29</v>
      </c>
      <c r="E1904" t="s">
        <v>17</v>
      </c>
      <c r="F1904" t="s">
        <v>18</v>
      </c>
      <c r="G1904" t="s">
        <v>41</v>
      </c>
      <c r="H1904" t="s">
        <v>20</v>
      </c>
      <c r="I1904" s="1">
        <v>1</v>
      </c>
      <c r="J1904" s="2">
        <v>45673</v>
      </c>
      <c r="K1904" s="2">
        <v>45658</v>
      </c>
      <c r="L1904" s="1" t="str">
        <f t="shared" si="191"/>
        <v>qui</v>
      </c>
      <c r="M1904" s="1" t="str">
        <f t="shared" si="192"/>
        <v>jan</v>
      </c>
      <c r="N1904">
        <f t="shared" si="193"/>
        <v>2025</v>
      </c>
      <c r="O1904" s="2">
        <f>_xlfn.XLOOKUP(A1904,Colaboradores!$A:$A,Colaboradores!$S:$S,"",0)</f>
        <v>45815</v>
      </c>
      <c r="P1904" t="str">
        <f t="shared" si="187"/>
        <v>136145673</v>
      </c>
    </row>
    <row r="1905" spans="1:16" x14ac:dyDescent="0.3">
      <c r="A1905">
        <v>1361</v>
      </c>
      <c r="B1905">
        <v>18</v>
      </c>
      <c r="C1905" t="s">
        <v>26</v>
      </c>
      <c r="D1905" t="s">
        <v>29</v>
      </c>
      <c r="E1905" t="s">
        <v>17</v>
      </c>
      <c r="F1905" t="s">
        <v>18</v>
      </c>
      <c r="G1905" t="s">
        <v>41</v>
      </c>
      <c r="H1905" t="s">
        <v>20</v>
      </c>
      <c r="I1905" s="1">
        <v>1</v>
      </c>
      <c r="J1905" s="2">
        <v>45787</v>
      </c>
      <c r="K1905" s="2">
        <v>45778</v>
      </c>
      <c r="L1905" s="1" t="str">
        <f t="shared" si="191"/>
        <v>sáb</v>
      </c>
      <c r="M1905" s="1" t="str">
        <f t="shared" si="192"/>
        <v>mai</v>
      </c>
      <c r="N1905">
        <f t="shared" si="193"/>
        <v>2025</v>
      </c>
      <c r="O1905" s="2">
        <f>_xlfn.XLOOKUP(A1905,Colaboradores!$A:$A,Colaboradores!$S:$S,"",0)</f>
        <v>45815</v>
      </c>
      <c r="P1905" t="str">
        <f t="shared" si="187"/>
        <v>136145787</v>
      </c>
    </row>
    <row r="1906" spans="1:16" x14ac:dyDescent="0.3">
      <c r="A1906">
        <v>1361</v>
      </c>
      <c r="B1906">
        <v>18</v>
      </c>
      <c r="C1906" t="s">
        <v>26</v>
      </c>
      <c r="D1906" t="s">
        <v>29</v>
      </c>
      <c r="E1906" t="s">
        <v>17</v>
      </c>
      <c r="F1906" t="s">
        <v>18</v>
      </c>
      <c r="G1906" t="s">
        <v>41</v>
      </c>
      <c r="H1906" t="s">
        <v>20</v>
      </c>
      <c r="I1906" s="1">
        <v>1</v>
      </c>
      <c r="J1906" s="2">
        <v>45790</v>
      </c>
      <c r="K1906" s="2">
        <v>45778</v>
      </c>
      <c r="L1906" s="1" t="str">
        <f t="shared" si="191"/>
        <v>ter</v>
      </c>
      <c r="M1906" s="1" t="str">
        <f t="shared" si="192"/>
        <v>mai</v>
      </c>
      <c r="N1906">
        <f t="shared" si="193"/>
        <v>2025</v>
      </c>
      <c r="O1906" s="2">
        <f>_xlfn.XLOOKUP(A1906,Colaboradores!$A:$A,Colaboradores!$S:$S,"",0)</f>
        <v>45815</v>
      </c>
      <c r="P1906" t="str">
        <f t="shared" si="187"/>
        <v>136145790</v>
      </c>
    </row>
    <row r="1907" spans="1:16" x14ac:dyDescent="0.3">
      <c r="A1907">
        <v>1361</v>
      </c>
      <c r="B1907">
        <v>18</v>
      </c>
      <c r="C1907" t="s">
        <v>26</v>
      </c>
      <c r="D1907" t="s">
        <v>29</v>
      </c>
      <c r="E1907" t="s">
        <v>17</v>
      </c>
      <c r="F1907" t="s">
        <v>18</v>
      </c>
      <c r="G1907" t="s">
        <v>44</v>
      </c>
      <c r="H1907" t="s">
        <v>20</v>
      </c>
      <c r="I1907" s="1">
        <v>1</v>
      </c>
      <c r="J1907" s="2">
        <v>45796</v>
      </c>
      <c r="K1907" s="2">
        <v>45778</v>
      </c>
      <c r="L1907" s="1" t="str">
        <f t="shared" si="191"/>
        <v>seg</v>
      </c>
      <c r="M1907" s="1" t="str">
        <f t="shared" si="192"/>
        <v>mai</v>
      </c>
      <c r="N1907">
        <f t="shared" si="193"/>
        <v>2025</v>
      </c>
      <c r="O1907" s="2">
        <f>_xlfn.XLOOKUP(A1907,Colaboradores!$A:$A,Colaboradores!$S:$S,"",0)</f>
        <v>45815</v>
      </c>
      <c r="P1907" t="str">
        <f t="shared" si="187"/>
        <v>136145796</v>
      </c>
    </row>
    <row r="1908" spans="1:16" x14ac:dyDescent="0.3">
      <c r="A1908">
        <v>1361</v>
      </c>
      <c r="B1908">
        <v>18</v>
      </c>
      <c r="C1908" t="s">
        <v>26</v>
      </c>
      <c r="D1908" t="s">
        <v>29</v>
      </c>
      <c r="E1908" t="s">
        <v>17</v>
      </c>
      <c r="F1908" t="s">
        <v>18</v>
      </c>
      <c r="G1908" t="s">
        <v>41</v>
      </c>
      <c r="H1908" t="s">
        <v>20</v>
      </c>
      <c r="I1908" s="1">
        <v>1</v>
      </c>
      <c r="J1908" s="2">
        <v>45811</v>
      </c>
      <c r="K1908" s="2">
        <v>45809</v>
      </c>
      <c r="L1908" s="1" t="str">
        <f t="shared" si="191"/>
        <v>ter</v>
      </c>
      <c r="M1908" s="1" t="str">
        <f t="shared" si="192"/>
        <v>jun</v>
      </c>
      <c r="N1908">
        <f t="shared" si="193"/>
        <v>2025</v>
      </c>
      <c r="O1908" s="2">
        <f>_xlfn.XLOOKUP(A1908,Colaboradores!$A:$A,Colaboradores!$S:$S,"",0)</f>
        <v>45815</v>
      </c>
      <c r="P1908" t="str">
        <f t="shared" si="187"/>
        <v>136145811</v>
      </c>
    </row>
    <row r="1909" spans="1:16" x14ac:dyDescent="0.3">
      <c r="A1909">
        <v>1361</v>
      </c>
      <c r="B1909">
        <v>18</v>
      </c>
      <c r="C1909" t="s">
        <v>26</v>
      </c>
      <c r="D1909" t="s">
        <v>29</v>
      </c>
      <c r="E1909" t="s">
        <v>17</v>
      </c>
      <c r="F1909" t="s">
        <v>18</v>
      </c>
      <c r="G1909" t="s">
        <v>44</v>
      </c>
      <c r="H1909" t="s">
        <v>20</v>
      </c>
      <c r="I1909" s="1">
        <v>1</v>
      </c>
      <c r="J1909" s="2">
        <v>45814</v>
      </c>
      <c r="K1909" s="2">
        <v>45809</v>
      </c>
      <c r="L1909" s="1" t="str">
        <f t="shared" si="191"/>
        <v>sex</v>
      </c>
      <c r="M1909" s="1" t="str">
        <f t="shared" si="192"/>
        <v>jun</v>
      </c>
      <c r="N1909">
        <f t="shared" si="193"/>
        <v>2025</v>
      </c>
      <c r="O1909" s="2">
        <f>_xlfn.XLOOKUP(A1909,Colaboradores!$A:$A,Colaboradores!$S:$S,"",0)</f>
        <v>45815</v>
      </c>
      <c r="P1909" t="str">
        <f t="shared" si="187"/>
        <v>136145814</v>
      </c>
    </row>
    <row r="1910" spans="1:16" x14ac:dyDescent="0.3">
      <c r="A1910">
        <v>1362</v>
      </c>
      <c r="B1910">
        <v>22</v>
      </c>
      <c r="C1910" t="s">
        <v>15</v>
      </c>
      <c r="D1910" t="s">
        <v>16</v>
      </c>
      <c r="E1910" t="s">
        <v>17</v>
      </c>
      <c r="F1910" t="s">
        <v>21</v>
      </c>
      <c r="G1910" t="s">
        <v>41</v>
      </c>
      <c r="H1910" t="s">
        <v>25</v>
      </c>
      <c r="I1910" s="1">
        <v>1</v>
      </c>
      <c r="J1910" s="2">
        <v>45831</v>
      </c>
      <c r="K1910" s="2">
        <v>45809</v>
      </c>
      <c r="L1910" s="1" t="str">
        <f t="shared" si="191"/>
        <v>seg</v>
      </c>
      <c r="M1910" s="1" t="str">
        <f t="shared" si="192"/>
        <v>jun</v>
      </c>
      <c r="N1910">
        <f t="shared" si="193"/>
        <v>2025</v>
      </c>
      <c r="O1910" s="2"/>
      <c r="P1910" t="str">
        <f t="shared" si="187"/>
        <v>136245831</v>
      </c>
    </row>
    <row r="1911" spans="1:16" x14ac:dyDescent="0.3">
      <c r="A1911">
        <v>1362</v>
      </c>
      <c r="B1911">
        <v>22</v>
      </c>
      <c r="C1911" t="s">
        <v>15</v>
      </c>
      <c r="D1911" t="s">
        <v>16</v>
      </c>
      <c r="E1911" t="s">
        <v>17</v>
      </c>
      <c r="F1911" t="s">
        <v>21</v>
      </c>
      <c r="G1911" t="s">
        <v>41</v>
      </c>
      <c r="H1911" t="s">
        <v>25</v>
      </c>
      <c r="I1911" s="1">
        <v>1</v>
      </c>
      <c r="J1911" s="2">
        <v>45964</v>
      </c>
      <c r="K1911" s="2">
        <v>45962</v>
      </c>
      <c r="L1911" s="1" t="str">
        <f t="shared" si="191"/>
        <v>seg</v>
      </c>
      <c r="M1911" s="1" t="str">
        <f t="shared" si="192"/>
        <v>nov</v>
      </c>
      <c r="N1911">
        <f t="shared" si="193"/>
        <v>2025</v>
      </c>
      <c r="O1911" s="2"/>
      <c r="P1911" t="str">
        <f t="shared" si="187"/>
        <v>136245964</v>
      </c>
    </row>
    <row r="1912" spans="1:16" x14ac:dyDescent="0.3">
      <c r="A1912">
        <v>1362</v>
      </c>
      <c r="B1912">
        <v>22</v>
      </c>
      <c r="C1912" t="s">
        <v>15</v>
      </c>
      <c r="D1912" t="s">
        <v>16</v>
      </c>
      <c r="E1912" t="s">
        <v>17</v>
      </c>
      <c r="F1912" t="s">
        <v>21</v>
      </c>
      <c r="G1912" t="s">
        <v>41</v>
      </c>
      <c r="H1912" t="s">
        <v>25</v>
      </c>
      <c r="I1912" s="1">
        <v>1</v>
      </c>
      <c r="J1912" s="2">
        <v>46037</v>
      </c>
      <c r="K1912" s="2">
        <v>46023</v>
      </c>
      <c r="L1912" s="1" t="str">
        <f t="shared" si="191"/>
        <v>qui</v>
      </c>
      <c r="M1912" s="1" t="str">
        <f t="shared" si="192"/>
        <v>jan</v>
      </c>
      <c r="N1912">
        <f t="shared" si="193"/>
        <v>2026</v>
      </c>
      <c r="O1912" s="2"/>
      <c r="P1912" t="str">
        <f t="shared" si="187"/>
        <v>136246037</v>
      </c>
    </row>
    <row r="1913" spans="1:16" x14ac:dyDescent="0.3">
      <c r="A1913">
        <v>1362</v>
      </c>
      <c r="B1913">
        <v>22</v>
      </c>
      <c r="C1913" t="s">
        <v>15</v>
      </c>
      <c r="D1913" t="s">
        <v>16</v>
      </c>
      <c r="E1913" t="s">
        <v>17</v>
      </c>
      <c r="F1913" t="s">
        <v>21</v>
      </c>
      <c r="G1913" t="s">
        <v>41</v>
      </c>
      <c r="H1913" t="s">
        <v>25</v>
      </c>
      <c r="I1913" s="1">
        <v>1</v>
      </c>
      <c r="J1913" s="2">
        <v>46093</v>
      </c>
      <c r="K1913" s="2">
        <v>46082</v>
      </c>
      <c r="L1913" s="1" t="str">
        <f t="shared" si="191"/>
        <v>qui</v>
      </c>
      <c r="M1913" s="1" t="str">
        <f t="shared" si="192"/>
        <v>mar</v>
      </c>
      <c r="N1913">
        <f t="shared" si="193"/>
        <v>2026</v>
      </c>
      <c r="O1913" s="2"/>
      <c r="P1913" t="str">
        <f t="shared" si="187"/>
        <v>136246093</v>
      </c>
    </row>
    <row r="1914" spans="1:16" x14ac:dyDescent="0.3">
      <c r="A1914">
        <v>1363</v>
      </c>
      <c r="B1914">
        <v>42</v>
      </c>
      <c r="C1914" t="s">
        <v>26</v>
      </c>
      <c r="D1914" t="s">
        <v>31</v>
      </c>
      <c r="E1914" t="s">
        <v>34</v>
      </c>
      <c r="F1914" t="s">
        <v>21</v>
      </c>
      <c r="G1914" t="s">
        <v>40</v>
      </c>
      <c r="H1914" t="s">
        <v>25</v>
      </c>
      <c r="I1914" s="1">
        <v>3</v>
      </c>
      <c r="J1914" s="2">
        <v>45871</v>
      </c>
      <c r="K1914" s="2">
        <v>45870</v>
      </c>
      <c r="L1914" s="1" t="str">
        <f t="shared" si="191"/>
        <v>sáb</v>
      </c>
      <c r="M1914" s="1" t="str">
        <f t="shared" si="192"/>
        <v>ago</v>
      </c>
      <c r="N1914">
        <f t="shared" si="193"/>
        <v>2025</v>
      </c>
      <c r="O1914" s="2"/>
      <c r="P1914" t="str">
        <f t="shared" si="187"/>
        <v>136345871</v>
      </c>
    </row>
    <row r="1915" spans="1:16" x14ac:dyDescent="0.3">
      <c r="A1915">
        <v>1363</v>
      </c>
      <c r="B1915">
        <v>42</v>
      </c>
      <c r="C1915" t="s">
        <v>26</v>
      </c>
      <c r="D1915" t="s">
        <v>31</v>
      </c>
      <c r="E1915" t="s">
        <v>34</v>
      </c>
      <c r="F1915" t="s">
        <v>21</v>
      </c>
      <c r="G1915" t="s">
        <v>40</v>
      </c>
      <c r="H1915" t="s">
        <v>25</v>
      </c>
      <c r="I1915" s="1">
        <v>3</v>
      </c>
      <c r="J1915" s="2">
        <v>45976</v>
      </c>
      <c r="K1915" s="2">
        <v>45962</v>
      </c>
      <c r="L1915" s="1" t="str">
        <f t="shared" si="191"/>
        <v>sáb</v>
      </c>
      <c r="M1915" s="1" t="str">
        <f t="shared" si="192"/>
        <v>nov</v>
      </c>
      <c r="N1915">
        <f t="shared" si="193"/>
        <v>2025</v>
      </c>
      <c r="O1915" s="2"/>
      <c r="P1915" t="str">
        <f t="shared" si="187"/>
        <v>136345976</v>
      </c>
    </row>
    <row r="1916" spans="1:16" x14ac:dyDescent="0.3">
      <c r="A1916">
        <v>1363</v>
      </c>
      <c r="B1916">
        <v>42</v>
      </c>
      <c r="C1916" t="s">
        <v>26</v>
      </c>
      <c r="D1916" t="s">
        <v>31</v>
      </c>
      <c r="E1916" t="s">
        <v>34</v>
      </c>
      <c r="F1916" t="s">
        <v>21</v>
      </c>
      <c r="G1916" t="s">
        <v>40</v>
      </c>
      <c r="H1916" t="s">
        <v>25</v>
      </c>
      <c r="I1916" s="1">
        <v>3</v>
      </c>
      <c r="J1916" s="2">
        <v>46021</v>
      </c>
      <c r="K1916" s="2">
        <v>45992</v>
      </c>
      <c r="L1916" s="1" t="str">
        <f t="shared" si="191"/>
        <v>ter</v>
      </c>
      <c r="M1916" s="1" t="str">
        <f t="shared" si="192"/>
        <v>dez</v>
      </c>
      <c r="N1916">
        <f t="shared" si="193"/>
        <v>2025</v>
      </c>
      <c r="O1916" s="2"/>
      <c r="P1916" t="str">
        <f t="shared" si="187"/>
        <v>136346021</v>
      </c>
    </row>
    <row r="1917" spans="1:16" x14ac:dyDescent="0.3">
      <c r="A1917">
        <v>1363</v>
      </c>
      <c r="B1917">
        <v>42</v>
      </c>
      <c r="C1917" t="s">
        <v>26</v>
      </c>
      <c r="D1917" t="s">
        <v>31</v>
      </c>
      <c r="E1917" t="s">
        <v>34</v>
      </c>
      <c r="F1917" t="s">
        <v>21</v>
      </c>
      <c r="G1917" t="s">
        <v>40</v>
      </c>
      <c r="H1917" t="s">
        <v>25</v>
      </c>
      <c r="I1917" s="1">
        <v>3</v>
      </c>
      <c r="J1917" s="2">
        <v>46061</v>
      </c>
      <c r="K1917" s="2">
        <v>46054</v>
      </c>
      <c r="L1917" s="1" t="str">
        <f t="shared" si="191"/>
        <v>dom</v>
      </c>
      <c r="M1917" s="1" t="str">
        <f t="shared" si="192"/>
        <v>fev</v>
      </c>
      <c r="N1917">
        <f t="shared" si="193"/>
        <v>2026</v>
      </c>
      <c r="O1917" s="2"/>
      <c r="P1917" t="str">
        <f t="shared" si="187"/>
        <v>136346061</v>
      </c>
    </row>
    <row r="1918" spans="1:16" x14ac:dyDescent="0.3">
      <c r="A1918">
        <v>1363</v>
      </c>
      <c r="B1918">
        <v>42</v>
      </c>
      <c r="C1918" t="s">
        <v>26</v>
      </c>
      <c r="D1918" t="s">
        <v>31</v>
      </c>
      <c r="E1918" t="s">
        <v>34</v>
      </c>
      <c r="F1918" t="s">
        <v>21</v>
      </c>
      <c r="G1918" t="s">
        <v>40</v>
      </c>
      <c r="H1918" t="s">
        <v>25</v>
      </c>
      <c r="I1918" s="1">
        <v>3</v>
      </c>
      <c r="J1918" s="2">
        <v>46062</v>
      </c>
      <c r="K1918" s="2">
        <v>46054</v>
      </c>
      <c r="L1918" s="1" t="str">
        <f t="shared" si="191"/>
        <v>seg</v>
      </c>
      <c r="M1918" s="1" t="str">
        <f t="shared" si="192"/>
        <v>fev</v>
      </c>
      <c r="N1918">
        <f t="shared" si="193"/>
        <v>2026</v>
      </c>
      <c r="O1918" s="2"/>
      <c r="P1918" t="str">
        <f t="shared" si="187"/>
        <v>136346062</v>
      </c>
    </row>
    <row r="1919" spans="1:16" x14ac:dyDescent="0.3">
      <c r="A1919">
        <v>1363</v>
      </c>
      <c r="B1919">
        <v>42</v>
      </c>
      <c r="C1919" t="s">
        <v>26</v>
      </c>
      <c r="D1919" t="s">
        <v>31</v>
      </c>
      <c r="E1919" t="s">
        <v>34</v>
      </c>
      <c r="F1919" t="s">
        <v>21</v>
      </c>
      <c r="G1919" t="s">
        <v>40</v>
      </c>
      <c r="H1919" t="s">
        <v>25</v>
      </c>
      <c r="I1919" s="1">
        <v>3</v>
      </c>
      <c r="J1919" s="2">
        <v>46071</v>
      </c>
      <c r="K1919" s="2">
        <v>46054</v>
      </c>
      <c r="L1919" s="1" t="str">
        <f t="shared" si="191"/>
        <v>qua</v>
      </c>
      <c r="M1919" s="1" t="str">
        <f t="shared" si="192"/>
        <v>fev</v>
      </c>
      <c r="N1919">
        <f t="shared" si="193"/>
        <v>2026</v>
      </c>
      <c r="O1919" s="2"/>
      <c r="P1919" t="str">
        <f t="shared" si="187"/>
        <v>136346071</v>
      </c>
    </row>
    <row r="1920" spans="1:16" x14ac:dyDescent="0.3">
      <c r="A1920">
        <v>1364</v>
      </c>
      <c r="B1920">
        <v>34</v>
      </c>
      <c r="C1920" t="s">
        <v>15</v>
      </c>
      <c r="D1920" t="s">
        <v>16</v>
      </c>
      <c r="E1920" t="s">
        <v>17</v>
      </c>
      <c r="F1920" t="s">
        <v>23</v>
      </c>
      <c r="G1920" t="s">
        <v>41</v>
      </c>
      <c r="H1920" t="s">
        <v>20</v>
      </c>
      <c r="I1920" s="1">
        <v>2</v>
      </c>
      <c r="J1920" s="2">
        <v>45803</v>
      </c>
      <c r="K1920" s="2">
        <v>45778</v>
      </c>
      <c r="L1920" s="1" t="str">
        <f t="shared" si="191"/>
        <v>seg</v>
      </c>
      <c r="M1920" s="1" t="str">
        <f t="shared" si="192"/>
        <v>mai</v>
      </c>
      <c r="N1920">
        <f t="shared" si="193"/>
        <v>2025</v>
      </c>
      <c r="O1920" s="2">
        <f>_xlfn.XLOOKUP(A1920,Colaboradores!$A:$A,Colaboradores!$S:$S,"",0)</f>
        <v>46104</v>
      </c>
      <c r="P1920" t="str">
        <f t="shared" si="187"/>
        <v>136445803</v>
      </c>
    </row>
    <row r="1921" spans="1:16" x14ac:dyDescent="0.3">
      <c r="A1921">
        <v>1364</v>
      </c>
      <c r="B1921">
        <v>34</v>
      </c>
      <c r="C1921" t="s">
        <v>15</v>
      </c>
      <c r="D1921" t="s">
        <v>16</v>
      </c>
      <c r="E1921" t="s">
        <v>17</v>
      </c>
      <c r="F1921" t="s">
        <v>23</v>
      </c>
      <c r="G1921" t="s">
        <v>44</v>
      </c>
      <c r="H1921" t="s">
        <v>20</v>
      </c>
      <c r="I1921" s="1">
        <v>2</v>
      </c>
      <c r="J1921" s="2">
        <v>45881</v>
      </c>
      <c r="K1921" s="2">
        <v>45870</v>
      </c>
      <c r="L1921" s="1" t="str">
        <f t="shared" si="191"/>
        <v>ter</v>
      </c>
      <c r="M1921" s="1" t="str">
        <f t="shared" si="192"/>
        <v>ago</v>
      </c>
      <c r="N1921">
        <f t="shared" si="193"/>
        <v>2025</v>
      </c>
      <c r="O1921" s="2">
        <f>_xlfn.XLOOKUP(A1921,Colaboradores!$A:$A,Colaboradores!$S:$S,"",0)</f>
        <v>46104</v>
      </c>
      <c r="P1921" t="str">
        <f t="shared" ref="P1921:P1984" si="194">CONCATENATE(A1921,J1921)</f>
        <v>136445881</v>
      </c>
    </row>
    <row r="1922" spans="1:16" x14ac:dyDescent="0.3">
      <c r="A1922">
        <v>1364</v>
      </c>
      <c r="B1922">
        <v>34</v>
      </c>
      <c r="C1922" t="s">
        <v>15</v>
      </c>
      <c r="D1922" t="s">
        <v>16</v>
      </c>
      <c r="E1922" t="s">
        <v>17</v>
      </c>
      <c r="F1922" t="s">
        <v>23</v>
      </c>
      <c r="G1922" t="s">
        <v>41</v>
      </c>
      <c r="H1922" t="s">
        <v>20</v>
      </c>
      <c r="I1922" s="1">
        <v>2</v>
      </c>
      <c r="J1922" s="2">
        <v>45924</v>
      </c>
      <c r="K1922" s="2">
        <v>45901</v>
      </c>
      <c r="L1922" s="1" t="str">
        <f t="shared" si="191"/>
        <v>qua</v>
      </c>
      <c r="M1922" s="1" t="str">
        <f t="shared" si="192"/>
        <v>set</v>
      </c>
      <c r="N1922">
        <f t="shared" si="193"/>
        <v>2025</v>
      </c>
      <c r="O1922" s="2">
        <f>_xlfn.XLOOKUP(A1922,Colaboradores!$A:$A,Colaboradores!$S:$S,"",0)</f>
        <v>46104</v>
      </c>
      <c r="P1922" t="str">
        <f t="shared" si="194"/>
        <v>136445924</v>
      </c>
    </row>
    <row r="1923" spans="1:16" x14ac:dyDescent="0.3">
      <c r="A1923">
        <v>1364</v>
      </c>
      <c r="B1923">
        <v>34</v>
      </c>
      <c r="C1923" t="s">
        <v>15</v>
      </c>
      <c r="D1923" t="s">
        <v>16</v>
      </c>
      <c r="E1923" t="s">
        <v>17</v>
      </c>
      <c r="F1923" t="s">
        <v>23</v>
      </c>
      <c r="G1923" t="s">
        <v>41</v>
      </c>
      <c r="H1923" t="s">
        <v>20</v>
      </c>
      <c r="I1923" s="1">
        <v>2</v>
      </c>
      <c r="J1923" s="2">
        <v>45963</v>
      </c>
      <c r="K1923" s="2">
        <v>45962</v>
      </c>
      <c r="L1923" s="1" t="str">
        <f t="shared" si="191"/>
        <v>dom</v>
      </c>
      <c r="M1923" s="1" t="str">
        <f t="shared" si="192"/>
        <v>nov</v>
      </c>
      <c r="N1923">
        <f t="shared" si="193"/>
        <v>2025</v>
      </c>
      <c r="O1923" s="2">
        <f>_xlfn.XLOOKUP(A1923,Colaboradores!$A:$A,Colaboradores!$S:$S,"",0)</f>
        <v>46104</v>
      </c>
      <c r="P1923" t="str">
        <f t="shared" si="194"/>
        <v>136445963</v>
      </c>
    </row>
    <row r="1924" spans="1:16" x14ac:dyDescent="0.3">
      <c r="A1924">
        <v>1364</v>
      </c>
      <c r="B1924">
        <v>34</v>
      </c>
      <c r="C1924" t="s">
        <v>15</v>
      </c>
      <c r="D1924" t="s">
        <v>16</v>
      </c>
      <c r="E1924" t="s">
        <v>17</v>
      </c>
      <c r="F1924" t="s">
        <v>23</v>
      </c>
      <c r="G1924" t="s">
        <v>41</v>
      </c>
      <c r="H1924" t="s">
        <v>20</v>
      </c>
      <c r="I1924" s="1">
        <v>2</v>
      </c>
      <c r="J1924" s="2">
        <v>45973</v>
      </c>
      <c r="K1924" s="2">
        <v>45962</v>
      </c>
      <c r="L1924" s="1" t="str">
        <f t="shared" si="191"/>
        <v>qua</v>
      </c>
      <c r="M1924" s="1" t="str">
        <f t="shared" si="192"/>
        <v>nov</v>
      </c>
      <c r="N1924">
        <f t="shared" si="193"/>
        <v>2025</v>
      </c>
      <c r="O1924" s="2">
        <f>_xlfn.XLOOKUP(A1924,Colaboradores!$A:$A,Colaboradores!$S:$S,"",0)</f>
        <v>46104</v>
      </c>
      <c r="P1924" t="str">
        <f t="shared" si="194"/>
        <v>136445973</v>
      </c>
    </row>
    <row r="1925" spans="1:16" x14ac:dyDescent="0.3">
      <c r="A1925">
        <v>1364</v>
      </c>
      <c r="B1925">
        <v>34</v>
      </c>
      <c r="C1925" t="s">
        <v>15</v>
      </c>
      <c r="D1925" t="s">
        <v>16</v>
      </c>
      <c r="E1925" t="s">
        <v>17</v>
      </c>
      <c r="F1925" t="s">
        <v>23</v>
      </c>
      <c r="G1925" t="s">
        <v>41</v>
      </c>
      <c r="H1925" t="s">
        <v>20</v>
      </c>
      <c r="I1925" s="1">
        <v>2</v>
      </c>
      <c r="J1925" s="2">
        <v>46186</v>
      </c>
      <c r="K1925" s="2">
        <v>46023</v>
      </c>
      <c r="L1925" s="1" t="str">
        <f t="shared" si="191"/>
        <v>sáb</v>
      </c>
      <c r="M1925" s="1" t="str">
        <f t="shared" si="192"/>
        <v>jun</v>
      </c>
      <c r="N1925">
        <f t="shared" si="193"/>
        <v>2026</v>
      </c>
      <c r="O1925" s="2">
        <f>_xlfn.XLOOKUP(A1925,Colaboradores!$A:$A,Colaboradores!$S:$S,"",0)</f>
        <v>46104</v>
      </c>
      <c r="P1925" t="str">
        <f t="shared" si="194"/>
        <v>136446186</v>
      </c>
    </row>
    <row r="1926" spans="1:16" x14ac:dyDescent="0.3">
      <c r="A1926">
        <v>1365</v>
      </c>
      <c r="B1926">
        <v>36</v>
      </c>
      <c r="C1926" t="s">
        <v>26</v>
      </c>
      <c r="D1926" t="s">
        <v>16</v>
      </c>
      <c r="E1926" t="s">
        <v>17</v>
      </c>
      <c r="F1926" t="s">
        <v>23</v>
      </c>
      <c r="G1926" t="s">
        <v>41</v>
      </c>
      <c r="H1926" t="s">
        <v>25</v>
      </c>
      <c r="I1926" s="1">
        <v>3</v>
      </c>
      <c r="J1926" s="2">
        <v>45773</v>
      </c>
      <c r="K1926" s="2">
        <v>45748</v>
      </c>
      <c r="L1926" s="1" t="str">
        <f t="shared" si="191"/>
        <v>sáb</v>
      </c>
      <c r="M1926" s="1" t="str">
        <f t="shared" si="192"/>
        <v>abr</v>
      </c>
      <c r="N1926">
        <f t="shared" si="193"/>
        <v>2025</v>
      </c>
      <c r="O1926" s="2"/>
      <c r="P1926" t="str">
        <f t="shared" si="194"/>
        <v>136545773</v>
      </c>
    </row>
    <row r="1927" spans="1:16" x14ac:dyDescent="0.3">
      <c r="A1927">
        <v>1365</v>
      </c>
      <c r="B1927">
        <v>36</v>
      </c>
      <c r="C1927" t="s">
        <v>26</v>
      </c>
      <c r="D1927" t="s">
        <v>16</v>
      </c>
      <c r="E1927" t="s">
        <v>17</v>
      </c>
      <c r="F1927" t="s">
        <v>23</v>
      </c>
      <c r="G1927" t="s">
        <v>41</v>
      </c>
      <c r="H1927" t="s">
        <v>25</v>
      </c>
      <c r="I1927" s="1">
        <v>3</v>
      </c>
      <c r="J1927" s="2">
        <v>45890</v>
      </c>
      <c r="K1927" s="2">
        <v>45870</v>
      </c>
      <c r="L1927" s="1" t="str">
        <f t="shared" si="191"/>
        <v>qui</v>
      </c>
      <c r="M1927" s="1" t="str">
        <f t="shared" si="192"/>
        <v>ago</v>
      </c>
      <c r="N1927">
        <f t="shared" si="193"/>
        <v>2025</v>
      </c>
      <c r="O1927" s="2"/>
      <c r="P1927" t="str">
        <f t="shared" si="194"/>
        <v>136545890</v>
      </c>
    </row>
    <row r="1928" spans="1:16" x14ac:dyDescent="0.3">
      <c r="A1928">
        <v>1365</v>
      </c>
      <c r="B1928">
        <v>36</v>
      </c>
      <c r="C1928" t="s">
        <v>26</v>
      </c>
      <c r="D1928" t="s">
        <v>16</v>
      </c>
      <c r="E1928" t="s">
        <v>17</v>
      </c>
      <c r="F1928" t="s">
        <v>23</v>
      </c>
      <c r="G1928" t="s">
        <v>41</v>
      </c>
      <c r="H1928" t="s">
        <v>25</v>
      </c>
      <c r="I1928" s="1">
        <v>3</v>
      </c>
      <c r="J1928" s="2">
        <v>45931</v>
      </c>
      <c r="K1928" s="2">
        <v>45931</v>
      </c>
      <c r="L1928" s="1" t="str">
        <f t="shared" si="191"/>
        <v>qua</v>
      </c>
      <c r="M1928" s="1" t="str">
        <f t="shared" si="192"/>
        <v>out</v>
      </c>
      <c r="N1928">
        <f t="shared" si="193"/>
        <v>2025</v>
      </c>
      <c r="O1928" s="2"/>
      <c r="P1928" t="str">
        <f t="shared" si="194"/>
        <v>136545931</v>
      </c>
    </row>
    <row r="1929" spans="1:16" x14ac:dyDescent="0.3">
      <c r="A1929">
        <v>1365</v>
      </c>
      <c r="B1929">
        <v>36</v>
      </c>
      <c r="C1929" t="s">
        <v>26</v>
      </c>
      <c r="D1929" t="s">
        <v>16</v>
      </c>
      <c r="E1929" t="s">
        <v>17</v>
      </c>
      <c r="F1929" t="s">
        <v>23</v>
      </c>
      <c r="G1929" t="s">
        <v>41</v>
      </c>
      <c r="H1929" t="s">
        <v>25</v>
      </c>
      <c r="I1929" s="1">
        <v>3</v>
      </c>
      <c r="J1929" s="2">
        <v>46200</v>
      </c>
      <c r="K1929" s="2">
        <v>46023</v>
      </c>
      <c r="L1929" s="1" t="str">
        <f t="shared" si="191"/>
        <v>sáb</v>
      </c>
      <c r="M1929" s="1" t="str">
        <f t="shared" si="192"/>
        <v>jun</v>
      </c>
      <c r="N1929">
        <f t="shared" si="193"/>
        <v>2026</v>
      </c>
      <c r="O1929" s="2"/>
      <c r="P1929" t="str">
        <f t="shared" si="194"/>
        <v>136546200</v>
      </c>
    </row>
    <row r="1930" spans="1:16" x14ac:dyDescent="0.3">
      <c r="A1930">
        <v>1365</v>
      </c>
      <c r="B1930">
        <v>36</v>
      </c>
      <c r="C1930" t="s">
        <v>26</v>
      </c>
      <c r="D1930" t="s">
        <v>16</v>
      </c>
      <c r="E1930" t="s">
        <v>17</v>
      </c>
      <c r="F1930" t="s">
        <v>23</v>
      </c>
      <c r="G1930" t="s">
        <v>42</v>
      </c>
      <c r="H1930" t="s">
        <v>25</v>
      </c>
      <c r="I1930" s="1">
        <v>3</v>
      </c>
      <c r="J1930" s="2">
        <v>46080</v>
      </c>
      <c r="K1930" s="2">
        <v>46054</v>
      </c>
      <c r="L1930" s="1" t="str">
        <f t="shared" si="191"/>
        <v>sex</v>
      </c>
      <c r="M1930" s="1" t="str">
        <f t="shared" si="192"/>
        <v>fev</v>
      </c>
      <c r="N1930">
        <f t="shared" si="193"/>
        <v>2026</v>
      </c>
      <c r="O1930" s="2"/>
      <c r="P1930" t="str">
        <f t="shared" si="194"/>
        <v>136546080</v>
      </c>
    </row>
    <row r="1931" spans="1:16" x14ac:dyDescent="0.3">
      <c r="A1931">
        <v>1365</v>
      </c>
      <c r="B1931">
        <v>36</v>
      </c>
      <c r="C1931" t="s">
        <v>26</v>
      </c>
      <c r="D1931" t="s">
        <v>16</v>
      </c>
      <c r="E1931" t="s">
        <v>17</v>
      </c>
      <c r="F1931" t="s">
        <v>23</v>
      </c>
      <c r="G1931" t="s">
        <v>41</v>
      </c>
      <c r="H1931" t="s">
        <v>25</v>
      </c>
      <c r="I1931" s="1">
        <v>3</v>
      </c>
      <c r="J1931" s="2">
        <v>46105</v>
      </c>
      <c r="K1931" s="2">
        <v>46082</v>
      </c>
      <c r="L1931" s="1" t="str">
        <f t="shared" si="191"/>
        <v>ter</v>
      </c>
      <c r="M1931" s="1" t="str">
        <f t="shared" si="192"/>
        <v>mar</v>
      </c>
      <c r="N1931">
        <f t="shared" si="193"/>
        <v>2026</v>
      </c>
      <c r="O1931" s="2"/>
      <c r="P1931" t="str">
        <f t="shared" si="194"/>
        <v>136546105</v>
      </c>
    </row>
    <row r="1932" spans="1:16" x14ac:dyDescent="0.3">
      <c r="A1932">
        <v>1365</v>
      </c>
      <c r="B1932">
        <v>36</v>
      </c>
      <c r="C1932" t="s">
        <v>26</v>
      </c>
      <c r="D1932" t="s">
        <v>16</v>
      </c>
      <c r="E1932" t="s">
        <v>17</v>
      </c>
      <c r="F1932" t="s">
        <v>23</v>
      </c>
      <c r="G1932" t="s">
        <v>41</v>
      </c>
      <c r="H1932" t="s">
        <v>25</v>
      </c>
      <c r="I1932" s="1">
        <v>3</v>
      </c>
      <c r="J1932" s="2">
        <v>46138</v>
      </c>
      <c r="K1932" s="2">
        <v>46113</v>
      </c>
      <c r="L1932" s="1" t="s">
        <v>54</v>
      </c>
      <c r="M1932" s="1" t="s">
        <v>48</v>
      </c>
      <c r="N1932">
        <v>2025</v>
      </c>
      <c r="O1932" s="2"/>
      <c r="P1932" t="str">
        <f t="shared" si="194"/>
        <v>136546138</v>
      </c>
    </row>
    <row r="1933" spans="1:16" x14ac:dyDescent="0.3">
      <c r="A1933">
        <v>1367</v>
      </c>
      <c r="B1933">
        <v>37</v>
      </c>
      <c r="C1933" t="s">
        <v>26</v>
      </c>
      <c r="D1933" t="s">
        <v>31</v>
      </c>
      <c r="E1933" t="s">
        <v>34</v>
      </c>
      <c r="F1933" t="s">
        <v>18</v>
      </c>
      <c r="G1933" t="s">
        <v>57</v>
      </c>
      <c r="H1933" t="s">
        <v>20</v>
      </c>
      <c r="I1933" s="1">
        <v>3</v>
      </c>
      <c r="J1933" s="2">
        <v>45673</v>
      </c>
      <c r="K1933" s="2">
        <v>45658</v>
      </c>
      <c r="L1933" s="1" t="str">
        <f t="shared" ref="L1933:L1978" si="195">TEXT(J1933,"ddd")</f>
        <v>qui</v>
      </c>
      <c r="M1933" s="1" t="str">
        <f t="shared" ref="M1933:M1978" si="196">TEXT($J1933,"mmm")</f>
        <v>jan</v>
      </c>
      <c r="N1933">
        <f t="shared" ref="N1933:N1978" si="197">YEAR(J1933)</f>
        <v>2025</v>
      </c>
      <c r="O1933" s="2">
        <f>_xlfn.XLOOKUP(A1933,Colaboradores!$A:$A,Colaboradores!$S:$S,"",0)</f>
        <v>45842</v>
      </c>
      <c r="P1933" t="str">
        <f t="shared" si="194"/>
        <v>136745673</v>
      </c>
    </row>
    <row r="1934" spans="1:16" x14ac:dyDescent="0.3">
      <c r="A1934">
        <v>1367</v>
      </c>
      <c r="B1934">
        <v>37</v>
      </c>
      <c r="C1934" t="s">
        <v>26</v>
      </c>
      <c r="D1934" t="s">
        <v>31</v>
      </c>
      <c r="E1934" t="s">
        <v>34</v>
      </c>
      <c r="F1934" t="s">
        <v>18</v>
      </c>
      <c r="G1934" t="s">
        <v>43</v>
      </c>
      <c r="H1934" t="s">
        <v>20</v>
      </c>
      <c r="I1934" s="1">
        <v>3</v>
      </c>
      <c r="J1934" s="2">
        <v>45762</v>
      </c>
      <c r="K1934" s="2">
        <v>45748</v>
      </c>
      <c r="L1934" s="1" t="str">
        <f t="shared" si="195"/>
        <v>ter</v>
      </c>
      <c r="M1934" s="1" t="str">
        <f t="shared" si="196"/>
        <v>abr</v>
      </c>
      <c r="N1934">
        <f t="shared" si="197"/>
        <v>2025</v>
      </c>
      <c r="O1934" s="2">
        <f>_xlfn.XLOOKUP(A1934,Colaboradores!$A:$A,Colaboradores!$S:$S,"",0)</f>
        <v>45842</v>
      </c>
      <c r="P1934" t="str">
        <f t="shared" si="194"/>
        <v>136745762</v>
      </c>
    </row>
    <row r="1935" spans="1:16" x14ac:dyDescent="0.3">
      <c r="A1935">
        <v>1367</v>
      </c>
      <c r="B1935">
        <v>37</v>
      </c>
      <c r="C1935" t="s">
        <v>26</v>
      </c>
      <c r="D1935" t="s">
        <v>31</v>
      </c>
      <c r="E1935" t="s">
        <v>34</v>
      </c>
      <c r="F1935" t="s">
        <v>18</v>
      </c>
      <c r="G1935" t="s">
        <v>43</v>
      </c>
      <c r="H1935" t="s">
        <v>20</v>
      </c>
      <c r="I1935" s="1">
        <v>3</v>
      </c>
      <c r="J1935" s="2">
        <v>45817</v>
      </c>
      <c r="K1935" s="2">
        <v>45809</v>
      </c>
      <c r="L1935" s="1" t="str">
        <f t="shared" si="195"/>
        <v>seg</v>
      </c>
      <c r="M1935" s="1" t="str">
        <f t="shared" si="196"/>
        <v>jun</v>
      </c>
      <c r="N1935">
        <f t="shared" si="197"/>
        <v>2025</v>
      </c>
      <c r="O1935" s="2">
        <f>_xlfn.XLOOKUP(A1935,Colaboradores!$A:$A,Colaboradores!$S:$S,"",0)</f>
        <v>45842</v>
      </c>
      <c r="P1935" t="str">
        <f t="shared" si="194"/>
        <v>136745817</v>
      </c>
    </row>
    <row r="1936" spans="1:16" x14ac:dyDescent="0.3">
      <c r="A1936">
        <v>1367</v>
      </c>
      <c r="B1936">
        <v>37</v>
      </c>
      <c r="C1936" t="s">
        <v>26</v>
      </c>
      <c r="D1936" t="s">
        <v>31</v>
      </c>
      <c r="E1936" t="s">
        <v>34</v>
      </c>
      <c r="F1936" t="s">
        <v>18</v>
      </c>
      <c r="G1936" t="s">
        <v>43</v>
      </c>
      <c r="H1936" t="s">
        <v>20</v>
      </c>
      <c r="I1936" s="1">
        <v>3</v>
      </c>
      <c r="J1936" s="2">
        <v>45837</v>
      </c>
      <c r="K1936" s="2">
        <v>45809</v>
      </c>
      <c r="L1936" s="1" t="str">
        <f t="shared" si="195"/>
        <v>dom</v>
      </c>
      <c r="M1936" s="1" t="str">
        <f t="shared" si="196"/>
        <v>jun</v>
      </c>
      <c r="N1936">
        <f t="shared" si="197"/>
        <v>2025</v>
      </c>
      <c r="O1936" s="2">
        <f>_xlfn.XLOOKUP(A1936,Colaboradores!$A:$A,Colaboradores!$S:$S,"",0)</f>
        <v>45842</v>
      </c>
      <c r="P1936" t="str">
        <f t="shared" si="194"/>
        <v>136745837</v>
      </c>
    </row>
    <row r="1937" spans="1:16" x14ac:dyDescent="0.3">
      <c r="A1937">
        <v>1367</v>
      </c>
      <c r="B1937">
        <v>37</v>
      </c>
      <c r="C1937" t="s">
        <v>26</v>
      </c>
      <c r="D1937" t="s">
        <v>31</v>
      </c>
      <c r="E1937" t="s">
        <v>34</v>
      </c>
      <c r="F1937" t="s">
        <v>18</v>
      </c>
      <c r="G1937" t="s">
        <v>43</v>
      </c>
      <c r="H1937" t="s">
        <v>20</v>
      </c>
      <c r="I1937" s="1">
        <v>3</v>
      </c>
      <c r="J1937" s="2">
        <v>45839</v>
      </c>
      <c r="K1937" s="2">
        <v>45839</v>
      </c>
      <c r="L1937" s="1" t="str">
        <f t="shared" si="195"/>
        <v>ter</v>
      </c>
      <c r="M1937" s="1" t="str">
        <f t="shared" si="196"/>
        <v>jul</v>
      </c>
      <c r="N1937">
        <f t="shared" si="197"/>
        <v>2025</v>
      </c>
      <c r="O1937" s="2">
        <f>_xlfn.XLOOKUP(A1937,Colaboradores!$A:$A,Colaboradores!$S:$S,"",0)</f>
        <v>45842</v>
      </c>
      <c r="P1937" t="str">
        <f t="shared" si="194"/>
        <v>136745839</v>
      </c>
    </row>
    <row r="1938" spans="1:16" x14ac:dyDescent="0.3">
      <c r="A1938">
        <v>1367</v>
      </c>
      <c r="B1938">
        <v>37</v>
      </c>
      <c r="C1938" t="s">
        <v>26</v>
      </c>
      <c r="D1938" t="s">
        <v>31</v>
      </c>
      <c r="E1938" t="s">
        <v>34</v>
      </c>
      <c r="F1938" t="s">
        <v>18</v>
      </c>
      <c r="G1938" t="s">
        <v>43</v>
      </c>
      <c r="H1938" t="s">
        <v>20</v>
      </c>
      <c r="I1938" s="1">
        <v>3</v>
      </c>
      <c r="J1938" s="2">
        <v>45840</v>
      </c>
      <c r="K1938" s="2">
        <v>45839</v>
      </c>
      <c r="L1938" s="1" t="str">
        <f t="shared" si="195"/>
        <v>qua</v>
      </c>
      <c r="M1938" s="1" t="str">
        <f t="shared" si="196"/>
        <v>jul</v>
      </c>
      <c r="N1938">
        <f t="shared" si="197"/>
        <v>2025</v>
      </c>
      <c r="O1938" s="2">
        <f>_xlfn.XLOOKUP(A1938,Colaboradores!$A:$A,Colaboradores!$S:$S,"",0)</f>
        <v>45842</v>
      </c>
      <c r="P1938" t="str">
        <f t="shared" si="194"/>
        <v>136745840</v>
      </c>
    </row>
    <row r="1939" spans="1:16" x14ac:dyDescent="0.3">
      <c r="A1939">
        <v>1368</v>
      </c>
      <c r="B1939">
        <v>54</v>
      </c>
      <c r="C1939" t="s">
        <v>15</v>
      </c>
      <c r="D1939" t="s">
        <v>31</v>
      </c>
      <c r="E1939" t="s">
        <v>34</v>
      </c>
      <c r="F1939" t="s">
        <v>21</v>
      </c>
      <c r="G1939" t="s">
        <v>41</v>
      </c>
      <c r="H1939" t="s">
        <v>25</v>
      </c>
      <c r="I1939" s="1">
        <v>2</v>
      </c>
      <c r="J1939" s="2">
        <v>45864</v>
      </c>
      <c r="K1939" s="2">
        <v>45839</v>
      </c>
      <c r="L1939" s="1" t="str">
        <f t="shared" si="195"/>
        <v>sáb</v>
      </c>
      <c r="M1939" s="1" t="str">
        <f t="shared" si="196"/>
        <v>jul</v>
      </c>
      <c r="N1939">
        <f t="shared" si="197"/>
        <v>2025</v>
      </c>
      <c r="O1939" s="2"/>
      <c r="P1939" t="str">
        <f t="shared" si="194"/>
        <v>136845864</v>
      </c>
    </row>
    <row r="1940" spans="1:16" x14ac:dyDescent="0.3">
      <c r="A1940">
        <v>1368</v>
      </c>
      <c r="B1940">
        <v>54</v>
      </c>
      <c r="C1940" t="s">
        <v>15</v>
      </c>
      <c r="D1940" t="s">
        <v>31</v>
      </c>
      <c r="E1940" t="s">
        <v>34</v>
      </c>
      <c r="F1940" t="s">
        <v>21</v>
      </c>
      <c r="G1940" t="s">
        <v>41</v>
      </c>
      <c r="H1940" t="s">
        <v>25</v>
      </c>
      <c r="I1940" s="1">
        <v>2</v>
      </c>
      <c r="J1940" s="2">
        <v>45882</v>
      </c>
      <c r="K1940" s="2">
        <v>45870</v>
      </c>
      <c r="L1940" s="1" t="str">
        <f t="shared" si="195"/>
        <v>qua</v>
      </c>
      <c r="M1940" s="1" t="str">
        <f t="shared" si="196"/>
        <v>ago</v>
      </c>
      <c r="N1940">
        <f t="shared" si="197"/>
        <v>2025</v>
      </c>
      <c r="O1940" s="2"/>
      <c r="P1940" t="str">
        <f t="shared" si="194"/>
        <v>136845882</v>
      </c>
    </row>
    <row r="1941" spans="1:16" x14ac:dyDescent="0.3">
      <c r="A1941">
        <v>1368</v>
      </c>
      <c r="B1941">
        <v>54</v>
      </c>
      <c r="C1941" t="s">
        <v>15</v>
      </c>
      <c r="D1941" t="s">
        <v>31</v>
      </c>
      <c r="E1941" t="s">
        <v>34</v>
      </c>
      <c r="F1941" t="s">
        <v>21</v>
      </c>
      <c r="G1941" t="s">
        <v>41</v>
      </c>
      <c r="H1941" t="s">
        <v>25</v>
      </c>
      <c r="I1941" s="1">
        <v>2</v>
      </c>
      <c r="J1941" s="2">
        <v>45914</v>
      </c>
      <c r="K1941" s="2">
        <v>45901</v>
      </c>
      <c r="L1941" s="1" t="str">
        <f t="shared" si="195"/>
        <v>dom</v>
      </c>
      <c r="M1941" s="1" t="str">
        <f t="shared" si="196"/>
        <v>set</v>
      </c>
      <c r="N1941">
        <f t="shared" si="197"/>
        <v>2025</v>
      </c>
      <c r="O1941" s="2"/>
      <c r="P1941" t="str">
        <f t="shared" si="194"/>
        <v>136845914</v>
      </c>
    </row>
    <row r="1942" spans="1:16" x14ac:dyDescent="0.3">
      <c r="A1942">
        <v>1368</v>
      </c>
      <c r="B1942">
        <v>54</v>
      </c>
      <c r="C1942" t="s">
        <v>15</v>
      </c>
      <c r="D1942" t="s">
        <v>31</v>
      </c>
      <c r="E1942" t="s">
        <v>34</v>
      </c>
      <c r="F1942" t="s">
        <v>21</v>
      </c>
      <c r="G1942" t="s">
        <v>41</v>
      </c>
      <c r="H1942" t="s">
        <v>25</v>
      </c>
      <c r="I1942" s="1">
        <v>2</v>
      </c>
      <c r="J1942" s="2">
        <v>45958</v>
      </c>
      <c r="K1942" s="2">
        <v>45931</v>
      </c>
      <c r="L1942" s="1" t="str">
        <f t="shared" si="195"/>
        <v>ter</v>
      </c>
      <c r="M1942" s="1" t="str">
        <f t="shared" si="196"/>
        <v>out</v>
      </c>
      <c r="N1942">
        <f t="shared" si="197"/>
        <v>2025</v>
      </c>
      <c r="O1942" s="2"/>
      <c r="P1942" t="str">
        <f t="shared" si="194"/>
        <v>136845958</v>
      </c>
    </row>
    <row r="1943" spans="1:16" x14ac:dyDescent="0.3">
      <c r="A1943">
        <v>1368</v>
      </c>
      <c r="B1943">
        <v>54</v>
      </c>
      <c r="C1943" t="s">
        <v>15</v>
      </c>
      <c r="D1943" t="s">
        <v>31</v>
      </c>
      <c r="E1943" t="s">
        <v>34</v>
      </c>
      <c r="F1943" t="s">
        <v>21</v>
      </c>
      <c r="G1943" t="s">
        <v>41</v>
      </c>
      <c r="H1943" t="s">
        <v>25</v>
      </c>
      <c r="I1943" s="1">
        <v>2</v>
      </c>
      <c r="J1943" s="2">
        <v>46188</v>
      </c>
      <c r="K1943" s="2">
        <v>46023</v>
      </c>
      <c r="L1943" s="1" t="str">
        <f t="shared" si="195"/>
        <v>seg</v>
      </c>
      <c r="M1943" s="1" t="str">
        <f t="shared" si="196"/>
        <v>jun</v>
      </c>
      <c r="N1943">
        <f t="shared" si="197"/>
        <v>2026</v>
      </c>
      <c r="O1943" s="2"/>
      <c r="P1943" t="str">
        <f t="shared" si="194"/>
        <v>136846188</v>
      </c>
    </row>
    <row r="1944" spans="1:16" x14ac:dyDescent="0.3">
      <c r="A1944">
        <v>1368</v>
      </c>
      <c r="B1944">
        <v>54</v>
      </c>
      <c r="C1944" t="s">
        <v>15</v>
      </c>
      <c r="D1944" t="s">
        <v>31</v>
      </c>
      <c r="E1944" t="s">
        <v>34</v>
      </c>
      <c r="F1944" t="s">
        <v>21</v>
      </c>
      <c r="G1944" t="s">
        <v>41</v>
      </c>
      <c r="H1944" t="s">
        <v>25</v>
      </c>
      <c r="I1944" s="1">
        <v>2</v>
      </c>
      <c r="J1944" s="2">
        <v>46062</v>
      </c>
      <c r="K1944" s="2">
        <v>46054</v>
      </c>
      <c r="L1944" s="1" t="str">
        <f t="shared" si="195"/>
        <v>seg</v>
      </c>
      <c r="M1944" s="1" t="str">
        <f t="shared" si="196"/>
        <v>fev</v>
      </c>
      <c r="N1944">
        <f t="shared" si="197"/>
        <v>2026</v>
      </c>
      <c r="O1944" s="2"/>
      <c r="P1944" t="str">
        <f t="shared" si="194"/>
        <v>136846062</v>
      </c>
    </row>
    <row r="1945" spans="1:16" x14ac:dyDescent="0.3">
      <c r="A1945">
        <v>1369</v>
      </c>
      <c r="B1945">
        <v>49</v>
      </c>
      <c r="C1945" t="s">
        <v>15</v>
      </c>
      <c r="D1945" t="s">
        <v>29</v>
      </c>
      <c r="E1945" t="s">
        <v>17</v>
      </c>
      <c r="F1945" t="s">
        <v>18</v>
      </c>
      <c r="G1945" t="s">
        <v>41</v>
      </c>
      <c r="H1945" t="s">
        <v>20</v>
      </c>
      <c r="I1945" s="1">
        <v>1</v>
      </c>
      <c r="J1945" s="2">
        <v>45867</v>
      </c>
      <c r="K1945" s="2">
        <v>45839</v>
      </c>
      <c r="L1945" s="1" t="str">
        <f t="shared" si="195"/>
        <v>ter</v>
      </c>
      <c r="M1945" s="1" t="str">
        <f t="shared" si="196"/>
        <v>jul</v>
      </c>
      <c r="N1945">
        <f t="shared" si="197"/>
        <v>2025</v>
      </c>
      <c r="O1945" s="2">
        <f>_xlfn.XLOOKUP(A1945,Colaboradores!$A:$A,Colaboradores!$S:$S,"",0)</f>
        <v>46022</v>
      </c>
      <c r="P1945" t="str">
        <f t="shared" si="194"/>
        <v>136945867</v>
      </c>
    </row>
    <row r="1946" spans="1:16" x14ac:dyDescent="0.3">
      <c r="A1946">
        <v>1369</v>
      </c>
      <c r="B1946">
        <v>49</v>
      </c>
      <c r="C1946" t="s">
        <v>15</v>
      </c>
      <c r="D1946" t="s">
        <v>29</v>
      </c>
      <c r="E1946" t="s">
        <v>17</v>
      </c>
      <c r="F1946" t="s">
        <v>18</v>
      </c>
      <c r="G1946" t="s">
        <v>44</v>
      </c>
      <c r="H1946" t="s">
        <v>20</v>
      </c>
      <c r="I1946" s="1">
        <v>1</v>
      </c>
      <c r="J1946" s="2">
        <v>45881</v>
      </c>
      <c r="K1946" s="2">
        <v>45870</v>
      </c>
      <c r="L1946" s="1" t="str">
        <f t="shared" si="195"/>
        <v>ter</v>
      </c>
      <c r="M1946" s="1" t="str">
        <f t="shared" si="196"/>
        <v>ago</v>
      </c>
      <c r="N1946">
        <f t="shared" si="197"/>
        <v>2025</v>
      </c>
      <c r="O1946" s="2">
        <f>_xlfn.XLOOKUP(A1946,Colaboradores!$A:$A,Colaboradores!$S:$S,"",0)</f>
        <v>46022</v>
      </c>
      <c r="P1946" t="str">
        <f t="shared" si="194"/>
        <v>136945881</v>
      </c>
    </row>
    <row r="1947" spans="1:16" x14ac:dyDescent="0.3">
      <c r="A1947">
        <v>1369</v>
      </c>
      <c r="B1947">
        <v>49</v>
      </c>
      <c r="C1947" t="s">
        <v>15</v>
      </c>
      <c r="D1947" t="s">
        <v>29</v>
      </c>
      <c r="E1947" t="s">
        <v>17</v>
      </c>
      <c r="F1947" t="s">
        <v>18</v>
      </c>
      <c r="G1947" t="s">
        <v>41</v>
      </c>
      <c r="H1947" t="s">
        <v>20</v>
      </c>
      <c r="I1947" s="1">
        <v>1</v>
      </c>
      <c r="J1947" s="2">
        <v>45889</v>
      </c>
      <c r="K1947" s="2">
        <v>45870</v>
      </c>
      <c r="L1947" s="1" t="str">
        <f t="shared" si="195"/>
        <v>qua</v>
      </c>
      <c r="M1947" s="1" t="str">
        <f t="shared" si="196"/>
        <v>ago</v>
      </c>
      <c r="N1947">
        <f t="shared" si="197"/>
        <v>2025</v>
      </c>
      <c r="O1947" s="2">
        <f>_xlfn.XLOOKUP(A1947,Colaboradores!$A:$A,Colaboradores!$S:$S,"",0)</f>
        <v>46022</v>
      </c>
      <c r="P1947" t="str">
        <f t="shared" si="194"/>
        <v>136945889</v>
      </c>
    </row>
    <row r="1948" spans="1:16" x14ac:dyDescent="0.3">
      <c r="A1948">
        <v>1369</v>
      </c>
      <c r="B1948">
        <v>49</v>
      </c>
      <c r="C1948" t="s">
        <v>15</v>
      </c>
      <c r="D1948" t="s">
        <v>29</v>
      </c>
      <c r="E1948" t="s">
        <v>17</v>
      </c>
      <c r="F1948" t="s">
        <v>18</v>
      </c>
      <c r="G1948" t="s">
        <v>44</v>
      </c>
      <c r="H1948" t="s">
        <v>20</v>
      </c>
      <c r="I1948" s="1">
        <v>1</v>
      </c>
      <c r="J1948" s="2">
        <v>45936</v>
      </c>
      <c r="K1948" s="2">
        <v>45931</v>
      </c>
      <c r="L1948" s="1" t="str">
        <f t="shared" si="195"/>
        <v>seg</v>
      </c>
      <c r="M1948" s="1" t="str">
        <f t="shared" si="196"/>
        <v>out</v>
      </c>
      <c r="N1948">
        <f t="shared" si="197"/>
        <v>2025</v>
      </c>
      <c r="O1948" s="2">
        <f>_xlfn.XLOOKUP(A1948,Colaboradores!$A:$A,Colaboradores!$S:$S,"",0)</f>
        <v>46022</v>
      </c>
      <c r="P1948" t="str">
        <f t="shared" si="194"/>
        <v>136945936</v>
      </c>
    </row>
    <row r="1949" spans="1:16" x14ac:dyDescent="0.3">
      <c r="A1949">
        <v>1369</v>
      </c>
      <c r="B1949">
        <v>49</v>
      </c>
      <c r="C1949" t="s">
        <v>15</v>
      </c>
      <c r="D1949" t="s">
        <v>29</v>
      </c>
      <c r="E1949" t="s">
        <v>17</v>
      </c>
      <c r="F1949" t="s">
        <v>18</v>
      </c>
      <c r="G1949" t="s">
        <v>41</v>
      </c>
      <c r="H1949" t="s">
        <v>20</v>
      </c>
      <c r="I1949" s="1">
        <v>1</v>
      </c>
      <c r="J1949" s="2">
        <v>45953</v>
      </c>
      <c r="K1949" s="2">
        <v>45931</v>
      </c>
      <c r="L1949" s="1" t="str">
        <f t="shared" si="195"/>
        <v>qui</v>
      </c>
      <c r="M1949" s="1" t="str">
        <f t="shared" si="196"/>
        <v>out</v>
      </c>
      <c r="N1949">
        <f t="shared" si="197"/>
        <v>2025</v>
      </c>
      <c r="O1949" s="2">
        <f>_xlfn.XLOOKUP(A1949,Colaboradores!$A:$A,Colaboradores!$S:$S,"",0)</f>
        <v>46022</v>
      </c>
      <c r="P1949" t="str">
        <f t="shared" si="194"/>
        <v>136945953</v>
      </c>
    </row>
    <row r="1950" spans="1:16" x14ac:dyDescent="0.3">
      <c r="A1950">
        <v>1369</v>
      </c>
      <c r="B1950">
        <v>49</v>
      </c>
      <c r="C1950" t="s">
        <v>15</v>
      </c>
      <c r="D1950" t="s">
        <v>29</v>
      </c>
      <c r="E1950" t="s">
        <v>17</v>
      </c>
      <c r="F1950" t="s">
        <v>18</v>
      </c>
      <c r="G1950" t="s">
        <v>41</v>
      </c>
      <c r="H1950" t="s">
        <v>20</v>
      </c>
      <c r="I1950" s="1">
        <v>1</v>
      </c>
      <c r="J1950" s="2">
        <v>45975</v>
      </c>
      <c r="K1950" s="2">
        <v>45962</v>
      </c>
      <c r="L1950" s="1" t="str">
        <f t="shared" si="195"/>
        <v>sex</v>
      </c>
      <c r="M1950" s="1" t="str">
        <f t="shared" si="196"/>
        <v>nov</v>
      </c>
      <c r="N1950">
        <f t="shared" si="197"/>
        <v>2025</v>
      </c>
      <c r="O1950" s="2">
        <f>_xlfn.XLOOKUP(A1950,Colaboradores!$A:$A,Colaboradores!$S:$S,"",0)</f>
        <v>46022</v>
      </c>
      <c r="P1950" t="str">
        <f t="shared" si="194"/>
        <v>136945975</v>
      </c>
    </row>
    <row r="1951" spans="1:16" x14ac:dyDescent="0.3">
      <c r="A1951">
        <v>1370</v>
      </c>
      <c r="B1951">
        <v>43</v>
      </c>
      <c r="C1951" t="s">
        <v>15</v>
      </c>
      <c r="D1951" t="s">
        <v>29</v>
      </c>
      <c r="E1951" t="s">
        <v>17</v>
      </c>
      <c r="F1951" t="s">
        <v>18</v>
      </c>
      <c r="G1951" t="s">
        <v>57</v>
      </c>
      <c r="H1951" t="s">
        <v>20</v>
      </c>
      <c r="I1951" s="1">
        <v>3</v>
      </c>
      <c r="J1951" s="2">
        <v>45769</v>
      </c>
      <c r="K1951" s="2">
        <v>45748</v>
      </c>
      <c r="L1951" s="1" t="str">
        <f t="shared" si="195"/>
        <v>ter</v>
      </c>
      <c r="M1951" s="1" t="str">
        <f t="shared" si="196"/>
        <v>abr</v>
      </c>
      <c r="N1951">
        <f t="shared" si="197"/>
        <v>2025</v>
      </c>
      <c r="O1951" s="2">
        <f>_xlfn.XLOOKUP(A1951,Colaboradores!$A:$A,Colaboradores!$S:$S,"",0)</f>
        <v>45972</v>
      </c>
      <c r="P1951" t="str">
        <f t="shared" si="194"/>
        <v>137045769</v>
      </c>
    </row>
    <row r="1952" spans="1:16" x14ac:dyDescent="0.3">
      <c r="A1952">
        <v>1370</v>
      </c>
      <c r="B1952">
        <v>43</v>
      </c>
      <c r="C1952" t="s">
        <v>15</v>
      </c>
      <c r="D1952" t="s">
        <v>29</v>
      </c>
      <c r="E1952" t="s">
        <v>17</v>
      </c>
      <c r="F1952" t="s">
        <v>18</v>
      </c>
      <c r="G1952" t="s">
        <v>41</v>
      </c>
      <c r="H1952" t="s">
        <v>20</v>
      </c>
      <c r="I1952" s="1">
        <v>3</v>
      </c>
      <c r="J1952" s="2">
        <v>45807</v>
      </c>
      <c r="K1952" s="2">
        <v>45778</v>
      </c>
      <c r="L1952" s="1" t="str">
        <f t="shared" si="195"/>
        <v>sex</v>
      </c>
      <c r="M1952" s="1" t="str">
        <f t="shared" si="196"/>
        <v>mai</v>
      </c>
      <c r="N1952">
        <f t="shared" si="197"/>
        <v>2025</v>
      </c>
      <c r="O1952" s="2">
        <f>_xlfn.XLOOKUP(A1952,Colaboradores!$A:$A,Colaboradores!$S:$S,"",0)</f>
        <v>45972</v>
      </c>
      <c r="P1952" t="str">
        <f t="shared" si="194"/>
        <v>137045807</v>
      </c>
    </row>
    <row r="1953" spans="1:16" x14ac:dyDescent="0.3">
      <c r="A1953">
        <v>1370</v>
      </c>
      <c r="B1953">
        <v>43</v>
      </c>
      <c r="C1953" t="s">
        <v>15</v>
      </c>
      <c r="D1953" t="s">
        <v>29</v>
      </c>
      <c r="E1953" t="s">
        <v>17</v>
      </c>
      <c r="F1953" t="s">
        <v>18</v>
      </c>
      <c r="G1953" t="s">
        <v>41</v>
      </c>
      <c r="H1953" t="s">
        <v>20</v>
      </c>
      <c r="I1953" s="1">
        <v>3</v>
      </c>
      <c r="J1953" s="2">
        <v>45831</v>
      </c>
      <c r="K1953" s="2">
        <v>45809</v>
      </c>
      <c r="L1953" s="1" t="str">
        <f t="shared" si="195"/>
        <v>seg</v>
      </c>
      <c r="M1953" s="1" t="str">
        <f t="shared" si="196"/>
        <v>jun</v>
      </c>
      <c r="N1953">
        <f t="shared" si="197"/>
        <v>2025</v>
      </c>
      <c r="O1953" s="2">
        <f>_xlfn.XLOOKUP(A1953,Colaboradores!$A:$A,Colaboradores!$S:$S,"",0)</f>
        <v>45972</v>
      </c>
      <c r="P1953" t="str">
        <f t="shared" si="194"/>
        <v>137045831</v>
      </c>
    </row>
    <row r="1954" spans="1:16" x14ac:dyDescent="0.3">
      <c r="A1954">
        <v>1370</v>
      </c>
      <c r="B1954">
        <v>43</v>
      </c>
      <c r="C1954" t="s">
        <v>15</v>
      </c>
      <c r="D1954" t="s">
        <v>29</v>
      </c>
      <c r="E1954" t="s">
        <v>17</v>
      </c>
      <c r="F1954" t="s">
        <v>18</v>
      </c>
      <c r="G1954" t="s">
        <v>44</v>
      </c>
      <c r="H1954" t="s">
        <v>20</v>
      </c>
      <c r="I1954" s="1">
        <v>3</v>
      </c>
      <c r="J1954" s="2">
        <v>45907</v>
      </c>
      <c r="K1954" s="2">
        <v>45901</v>
      </c>
      <c r="L1954" s="1" t="str">
        <f t="shared" si="195"/>
        <v>dom</v>
      </c>
      <c r="M1954" s="1" t="str">
        <f t="shared" si="196"/>
        <v>set</v>
      </c>
      <c r="N1954">
        <f t="shared" si="197"/>
        <v>2025</v>
      </c>
      <c r="O1954" s="2">
        <f>_xlfn.XLOOKUP(A1954,Colaboradores!$A:$A,Colaboradores!$S:$S,"",0)</f>
        <v>45972</v>
      </c>
      <c r="P1954" t="str">
        <f t="shared" si="194"/>
        <v>137045907</v>
      </c>
    </row>
    <row r="1955" spans="1:16" x14ac:dyDescent="0.3">
      <c r="A1955">
        <v>1370</v>
      </c>
      <c r="B1955">
        <v>43</v>
      </c>
      <c r="C1955" t="s">
        <v>15</v>
      </c>
      <c r="D1955" t="s">
        <v>29</v>
      </c>
      <c r="E1955" t="s">
        <v>17</v>
      </c>
      <c r="F1955" t="s">
        <v>18</v>
      </c>
      <c r="G1955" t="s">
        <v>41</v>
      </c>
      <c r="H1955" t="s">
        <v>20</v>
      </c>
      <c r="I1955" s="1">
        <v>3</v>
      </c>
      <c r="J1955" s="2">
        <v>45946</v>
      </c>
      <c r="K1955" s="2">
        <v>45931</v>
      </c>
      <c r="L1955" s="1" t="str">
        <f t="shared" si="195"/>
        <v>qui</v>
      </c>
      <c r="M1955" s="1" t="str">
        <f t="shared" si="196"/>
        <v>out</v>
      </c>
      <c r="N1955">
        <f t="shared" si="197"/>
        <v>2025</v>
      </c>
      <c r="O1955" s="2">
        <f>_xlfn.XLOOKUP(A1955,Colaboradores!$A:$A,Colaboradores!$S:$S,"",0)</f>
        <v>45972</v>
      </c>
      <c r="P1955" t="str">
        <f t="shared" si="194"/>
        <v>137045946</v>
      </c>
    </row>
    <row r="1956" spans="1:16" x14ac:dyDescent="0.3">
      <c r="A1956">
        <v>1370</v>
      </c>
      <c r="B1956">
        <v>43</v>
      </c>
      <c r="C1956" t="s">
        <v>15</v>
      </c>
      <c r="D1956" t="s">
        <v>29</v>
      </c>
      <c r="E1956" t="s">
        <v>17</v>
      </c>
      <c r="F1956" t="s">
        <v>18</v>
      </c>
      <c r="G1956" t="s">
        <v>41</v>
      </c>
      <c r="H1956" t="s">
        <v>20</v>
      </c>
      <c r="I1956" s="1">
        <v>3</v>
      </c>
      <c r="J1956" s="2">
        <v>45969</v>
      </c>
      <c r="K1956" s="2">
        <v>45962</v>
      </c>
      <c r="L1956" s="1" t="str">
        <f t="shared" si="195"/>
        <v>sáb</v>
      </c>
      <c r="M1956" s="1" t="str">
        <f t="shared" si="196"/>
        <v>nov</v>
      </c>
      <c r="N1956">
        <f t="shared" si="197"/>
        <v>2025</v>
      </c>
      <c r="O1956" s="2">
        <f>_xlfn.XLOOKUP(A1956,Colaboradores!$A:$A,Colaboradores!$S:$S,"",0)</f>
        <v>45972</v>
      </c>
      <c r="P1956" t="str">
        <f t="shared" si="194"/>
        <v>137045969</v>
      </c>
    </row>
    <row r="1957" spans="1:16" x14ac:dyDescent="0.3">
      <c r="A1957">
        <v>1371</v>
      </c>
      <c r="B1957">
        <v>30</v>
      </c>
      <c r="C1957" t="s">
        <v>26</v>
      </c>
      <c r="D1957" t="s">
        <v>27</v>
      </c>
      <c r="E1957" t="s">
        <v>17</v>
      </c>
      <c r="F1957" t="s">
        <v>18</v>
      </c>
      <c r="G1957" t="s">
        <v>40</v>
      </c>
      <c r="H1957" t="s">
        <v>25</v>
      </c>
      <c r="I1957" s="1">
        <v>1</v>
      </c>
      <c r="J1957" s="2">
        <v>45846</v>
      </c>
      <c r="K1957" s="2">
        <v>45839</v>
      </c>
      <c r="L1957" s="1" t="str">
        <f t="shared" si="195"/>
        <v>ter</v>
      </c>
      <c r="M1957" s="1" t="str">
        <f t="shared" si="196"/>
        <v>jul</v>
      </c>
      <c r="N1957">
        <f t="shared" si="197"/>
        <v>2025</v>
      </c>
      <c r="O1957" s="2"/>
      <c r="P1957" t="str">
        <f t="shared" si="194"/>
        <v>137145846</v>
      </c>
    </row>
    <row r="1958" spans="1:16" x14ac:dyDescent="0.3">
      <c r="A1958">
        <v>1371</v>
      </c>
      <c r="B1958">
        <v>30</v>
      </c>
      <c r="C1958" t="s">
        <v>26</v>
      </c>
      <c r="D1958" t="s">
        <v>27</v>
      </c>
      <c r="E1958" t="s">
        <v>17</v>
      </c>
      <c r="F1958" t="s">
        <v>18</v>
      </c>
      <c r="G1958" t="s">
        <v>40</v>
      </c>
      <c r="H1958" t="s">
        <v>25</v>
      </c>
      <c r="I1958" s="1">
        <v>1</v>
      </c>
      <c r="J1958" s="2">
        <v>45857</v>
      </c>
      <c r="K1958" s="2">
        <v>45839</v>
      </c>
      <c r="L1958" s="1" t="str">
        <f t="shared" si="195"/>
        <v>sáb</v>
      </c>
      <c r="M1958" s="1" t="str">
        <f t="shared" si="196"/>
        <v>jul</v>
      </c>
      <c r="N1958">
        <f t="shared" si="197"/>
        <v>2025</v>
      </c>
      <c r="O1958" s="2"/>
      <c r="P1958" t="str">
        <f t="shared" si="194"/>
        <v>137145857</v>
      </c>
    </row>
    <row r="1959" spans="1:16" x14ac:dyDescent="0.3">
      <c r="A1959">
        <v>1371</v>
      </c>
      <c r="B1959">
        <v>30</v>
      </c>
      <c r="C1959" t="s">
        <v>26</v>
      </c>
      <c r="D1959" t="s">
        <v>27</v>
      </c>
      <c r="E1959" t="s">
        <v>17</v>
      </c>
      <c r="F1959" t="s">
        <v>18</v>
      </c>
      <c r="G1959" t="s">
        <v>42</v>
      </c>
      <c r="H1959" t="s">
        <v>25</v>
      </c>
      <c r="I1959" s="1">
        <v>1</v>
      </c>
      <c r="J1959" s="2">
        <v>45871</v>
      </c>
      <c r="K1959" s="2">
        <v>45870</v>
      </c>
      <c r="L1959" s="1" t="str">
        <f t="shared" si="195"/>
        <v>sáb</v>
      </c>
      <c r="M1959" s="1" t="str">
        <f t="shared" si="196"/>
        <v>ago</v>
      </c>
      <c r="N1959">
        <f t="shared" si="197"/>
        <v>2025</v>
      </c>
      <c r="O1959" s="2"/>
      <c r="P1959" t="str">
        <f t="shared" si="194"/>
        <v>137145871</v>
      </c>
    </row>
    <row r="1960" spans="1:16" x14ac:dyDescent="0.3">
      <c r="A1960">
        <v>1371</v>
      </c>
      <c r="B1960">
        <v>30</v>
      </c>
      <c r="C1960" t="s">
        <v>26</v>
      </c>
      <c r="D1960" t="s">
        <v>27</v>
      </c>
      <c r="E1960" t="s">
        <v>17</v>
      </c>
      <c r="F1960" t="s">
        <v>18</v>
      </c>
      <c r="G1960" t="s">
        <v>40</v>
      </c>
      <c r="H1960" t="s">
        <v>25</v>
      </c>
      <c r="I1960" s="1">
        <v>1</v>
      </c>
      <c r="J1960" s="2">
        <v>46183</v>
      </c>
      <c r="K1960" s="2">
        <v>46023</v>
      </c>
      <c r="L1960" s="1" t="str">
        <f t="shared" si="195"/>
        <v>qua</v>
      </c>
      <c r="M1960" s="1" t="str">
        <f t="shared" si="196"/>
        <v>jun</v>
      </c>
      <c r="N1960">
        <f t="shared" si="197"/>
        <v>2026</v>
      </c>
      <c r="O1960" s="2"/>
      <c r="P1960" t="str">
        <f t="shared" si="194"/>
        <v>137146183</v>
      </c>
    </row>
    <row r="1961" spans="1:16" x14ac:dyDescent="0.3">
      <c r="A1961">
        <v>1371</v>
      </c>
      <c r="B1961">
        <v>30</v>
      </c>
      <c r="C1961" t="s">
        <v>26</v>
      </c>
      <c r="D1961" t="s">
        <v>27</v>
      </c>
      <c r="E1961" t="s">
        <v>17</v>
      </c>
      <c r="F1961" t="s">
        <v>18</v>
      </c>
      <c r="G1961" t="s">
        <v>42</v>
      </c>
      <c r="H1961" t="s">
        <v>25</v>
      </c>
      <c r="I1961" s="1">
        <v>1</v>
      </c>
      <c r="J1961" s="2">
        <v>46199</v>
      </c>
      <c r="K1961" s="2">
        <v>46023</v>
      </c>
      <c r="L1961" s="1" t="str">
        <f t="shared" si="195"/>
        <v>sex</v>
      </c>
      <c r="M1961" s="1" t="str">
        <f t="shared" si="196"/>
        <v>jun</v>
      </c>
      <c r="N1961">
        <f t="shared" si="197"/>
        <v>2026</v>
      </c>
      <c r="O1961" s="2"/>
      <c r="P1961" t="str">
        <f t="shared" si="194"/>
        <v>137146199</v>
      </c>
    </row>
    <row r="1962" spans="1:16" x14ac:dyDescent="0.3">
      <c r="A1962">
        <v>1371</v>
      </c>
      <c r="B1962">
        <v>30</v>
      </c>
      <c r="C1962" t="s">
        <v>26</v>
      </c>
      <c r="D1962" t="s">
        <v>27</v>
      </c>
      <c r="E1962" t="s">
        <v>17</v>
      </c>
      <c r="F1962" t="s">
        <v>18</v>
      </c>
      <c r="G1962" t="s">
        <v>40</v>
      </c>
      <c r="H1962" t="s">
        <v>25</v>
      </c>
      <c r="I1962" s="1">
        <v>1</v>
      </c>
      <c r="J1962" s="2">
        <v>46061</v>
      </c>
      <c r="K1962" s="2">
        <v>46054</v>
      </c>
      <c r="L1962" s="1" t="str">
        <f t="shared" si="195"/>
        <v>dom</v>
      </c>
      <c r="M1962" s="1" t="str">
        <f t="shared" si="196"/>
        <v>fev</v>
      </c>
      <c r="N1962">
        <f t="shared" si="197"/>
        <v>2026</v>
      </c>
      <c r="O1962" s="2"/>
      <c r="P1962" t="str">
        <f t="shared" si="194"/>
        <v>137146061</v>
      </c>
    </row>
    <row r="1963" spans="1:16" x14ac:dyDescent="0.3">
      <c r="A1963">
        <v>1372</v>
      </c>
      <c r="B1963">
        <v>49</v>
      </c>
      <c r="C1963" t="s">
        <v>15</v>
      </c>
      <c r="D1963" t="s">
        <v>16</v>
      </c>
      <c r="E1963" t="s">
        <v>17</v>
      </c>
      <c r="F1963" t="s">
        <v>21</v>
      </c>
      <c r="G1963" t="s">
        <v>57</v>
      </c>
      <c r="H1963" t="s">
        <v>20</v>
      </c>
      <c r="I1963" s="1">
        <v>1</v>
      </c>
      <c r="J1963" s="2">
        <v>45734</v>
      </c>
      <c r="K1963" s="2">
        <v>45717</v>
      </c>
      <c r="L1963" s="1" t="str">
        <f t="shared" si="195"/>
        <v>ter</v>
      </c>
      <c r="M1963" s="1" t="str">
        <f t="shared" si="196"/>
        <v>mar</v>
      </c>
      <c r="N1963">
        <f t="shared" si="197"/>
        <v>2025</v>
      </c>
      <c r="O1963" s="2">
        <f>_xlfn.XLOOKUP(A1963,Colaboradores!$A:$A,Colaboradores!$S:$S,"",0)</f>
        <v>45779</v>
      </c>
      <c r="P1963" t="str">
        <f t="shared" si="194"/>
        <v>137245734</v>
      </c>
    </row>
    <row r="1964" spans="1:16" x14ac:dyDescent="0.3">
      <c r="A1964">
        <v>1372</v>
      </c>
      <c r="B1964">
        <v>49</v>
      </c>
      <c r="C1964" t="s">
        <v>15</v>
      </c>
      <c r="D1964" t="s">
        <v>16</v>
      </c>
      <c r="E1964" t="s">
        <v>17</v>
      </c>
      <c r="F1964" t="s">
        <v>21</v>
      </c>
      <c r="G1964" t="s">
        <v>57</v>
      </c>
      <c r="H1964" t="s">
        <v>20</v>
      </c>
      <c r="I1964" s="1">
        <v>1</v>
      </c>
      <c r="J1964" s="2">
        <v>45765</v>
      </c>
      <c r="K1964" s="2">
        <v>45748</v>
      </c>
      <c r="L1964" s="1" t="str">
        <f t="shared" si="195"/>
        <v>sex</v>
      </c>
      <c r="M1964" s="1" t="str">
        <f t="shared" si="196"/>
        <v>abr</v>
      </c>
      <c r="N1964">
        <f t="shared" si="197"/>
        <v>2025</v>
      </c>
      <c r="O1964" s="2">
        <f>_xlfn.XLOOKUP(A1964,Colaboradores!$A:$A,Colaboradores!$S:$S,"",0)</f>
        <v>45779</v>
      </c>
      <c r="P1964" t="str">
        <f t="shared" si="194"/>
        <v>137245765</v>
      </c>
    </row>
    <row r="1965" spans="1:16" x14ac:dyDescent="0.3">
      <c r="A1965">
        <v>1372</v>
      </c>
      <c r="B1965">
        <v>49</v>
      </c>
      <c r="C1965" t="s">
        <v>15</v>
      </c>
      <c r="D1965" t="s">
        <v>16</v>
      </c>
      <c r="E1965" t="s">
        <v>17</v>
      </c>
      <c r="F1965" t="s">
        <v>21</v>
      </c>
      <c r="G1965" t="s">
        <v>44</v>
      </c>
      <c r="H1965" t="s">
        <v>20</v>
      </c>
      <c r="I1965" s="1">
        <v>1</v>
      </c>
      <c r="J1965" s="2">
        <v>45772</v>
      </c>
      <c r="K1965" s="2">
        <v>45748</v>
      </c>
      <c r="L1965" s="1" t="str">
        <f t="shared" si="195"/>
        <v>sex</v>
      </c>
      <c r="M1965" s="1" t="str">
        <f t="shared" si="196"/>
        <v>abr</v>
      </c>
      <c r="N1965">
        <f t="shared" si="197"/>
        <v>2025</v>
      </c>
      <c r="O1965" s="2">
        <f>_xlfn.XLOOKUP(A1965,Colaboradores!$A:$A,Colaboradores!$S:$S,"",0)</f>
        <v>45779</v>
      </c>
      <c r="P1965" t="str">
        <f t="shared" si="194"/>
        <v>137245772</v>
      </c>
    </row>
    <row r="1966" spans="1:16" x14ac:dyDescent="0.3">
      <c r="A1966">
        <v>1372</v>
      </c>
      <c r="B1966">
        <v>49</v>
      </c>
      <c r="C1966" t="s">
        <v>15</v>
      </c>
      <c r="D1966" t="s">
        <v>16</v>
      </c>
      <c r="E1966" t="s">
        <v>17</v>
      </c>
      <c r="F1966" t="s">
        <v>21</v>
      </c>
      <c r="G1966" t="s">
        <v>41</v>
      </c>
      <c r="H1966" t="s">
        <v>20</v>
      </c>
      <c r="I1966" s="1">
        <v>1</v>
      </c>
      <c r="J1966" s="2">
        <v>45773</v>
      </c>
      <c r="K1966" s="2">
        <v>45748</v>
      </c>
      <c r="L1966" s="1" t="str">
        <f t="shared" si="195"/>
        <v>sáb</v>
      </c>
      <c r="M1966" s="1" t="str">
        <f t="shared" si="196"/>
        <v>abr</v>
      </c>
      <c r="N1966">
        <f t="shared" si="197"/>
        <v>2025</v>
      </c>
      <c r="O1966" s="2">
        <f>_xlfn.XLOOKUP(A1966,Colaboradores!$A:$A,Colaboradores!$S:$S,"",0)</f>
        <v>45779</v>
      </c>
      <c r="P1966" t="str">
        <f t="shared" si="194"/>
        <v>137245773</v>
      </c>
    </row>
    <row r="1967" spans="1:16" x14ac:dyDescent="0.3">
      <c r="A1967">
        <v>1372</v>
      </c>
      <c r="B1967">
        <v>49</v>
      </c>
      <c r="C1967" t="s">
        <v>15</v>
      </c>
      <c r="D1967" t="s">
        <v>16</v>
      </c>
      <c r="E1967" t="s">
        <v>17</v>
      </c>
      <c r="F1967" t="s">
        <v>21</v>
      </c>
      <c r="G1967" t="s">
        <v>41</v>
      </c>
      <c r="H1967" t="s">
        <v>20</v>
      </c>
      <c r="I1967" s="1">
        <v>1</v>
      </c>
      <c r="J1967" s="2">
        <v>45774</v>
      </c>
      <c r="K1967" s="2">
        <v>45748</v>
      </c>
      <c r="L1967" s="1" t="str">
        <f t="shared" si="195"/>
        <v>dom</v>
      </c>
      <c r="M1967" s="1" t="str">
        <f t="shared" si="196"/>
        <v>abr</v>
      </c>
      <c r="N1967">
        <f t="shared" si="197"/>
        <v>2025</v>
      </c>
      <c r="O1967" s="2">
        <f>_xlfn.XLOOKUP(A1967,Colaboradores!$A:$A,Colaboradores!$S:$S,"",0)</f>
        <v>45779</v>
      </c>
      <c r="P1967" t="str">
        <f t="shared" si="194"/>
        <v>137245774</v>
      </c>
    </row>
    <row r="1968" spans="1:16" x14ac:dyDescent="0.3">
      <c r="A1968">
        <v>1373</v>
      </c>
      <c r="B1968">
        <v>25</v>
      </c>
      <c r="C1968" t="s">
        <v>26</v>
      </c>
      <c r="D1968" t="s">
        <v>31</v>
      </c>
      <c r="E1968" t="s">
        <v>32</v>
      </c>
      <c r="F1968" t="s">
        <v>18</v>
      </c>
      <c r="G1968" t="s">
        <v>41</v>
      </c>
      <c r="H1968" t="s">
        <v>25</v>
      </c>
      <c r="I1968" s="1">
        <v>3</v>
      </c>
      <c r="J1968" s="2">
        <v>45824</v>
      </c>
      <c r="K1968" s="2">
        <v>45809</v>
      </c>
      <c r="L1968" s="1" t="str">
        <f t="shared" si="195"/>
        <v>seg</v>
      </c>
      <c r="M1968" s="1" t="str">
        <f t="shared" si="196"/>
        <v>jun</v>
      </c>
      <c r="N1968">
        <f t="shared" si="197"/>
        <v>2025</v>
      </c>
      <c r="O1968" s="2"/>
      <c r="P1968" t="str">
        <f t="shared" si="194"/>
        <v>137345824</v>
      </c>
    </row>
    <row r="1969" spans="1:16" x14ac:dyDescent="0.3">
      <c r="A1969">
        <v>1373</v>
      </c>
      <c r="B1969">
        <v>25</v>
      </c>
      <c r="C1969" t="s">
        <v>26</v>
      </c>
      <c r="D1969" t="s">
        <v>31</v>
      </c>
      <c r="E1969" t="s">
        <v>32</v>
      </c>
      <c r="F1969" t="s">
        <v>18</v>
      </c>
      <c r="G1969" t="s">
        <v>41</v>
      </c>
      <c r="H1969" t="s">
        <v>25</v>
      </c>
      <c r="I1969" s="1">
        <v>3</v>
      </c>
      <c r="J1969" s="2">
        <v>45826</v>
      </c>
      <c r="K1969" s="2">
        <v>45809</v>
      </c>
      <c r="L1969" s="1" t="str">
        <f t="shared" si="195"/>
        <v>qua</v>
      </c>
      <c r="M1969" s="1" t="str">
        <f t="shared" si="196"/>
        <v>jun</v>
      </c>
      <c r="N1969">
        <f t="shared" si="197"/>
        <v>2025</v>
      </c>
      <c r="O1969" s="2"/>
      <c r="P1969" t="str">
        <f t="shared" si="194"/>
        <v>137345826</v>
      </c>
    </row>
    <row r="1970" spans="1:16" x14ac:dyDescent="0.3">
      <c r="A1970">
        <v>1373</v>
      </c>
      <c r="B1970">
        <v>25</v>
      </c>
      <c r="C1970" t="s">
        <v>26</v>
      </c>
      <c r="D1970" t="s">
        <v>31</v>
      </c>
      <c r="E1970" t="s">
        <v>32</v>
      </c>
      <c r="F1970" t="s">
        <v>18</v>
      </c>
      <c r="G1970" t="s">
        <v>41</v>
      </c>
      <c r="H1970" t="s">
        <v>25</v>
      </c>
      <c r="I1970" s="1">
        <v>3</v>
      </c>
      <c r="J1970" s="2">
        <v>45910</v>
      </c>
      <c r="K1970" s="2">
        <v>45901</v>
      </c>
      <c r="L1970" s="1" t="str">
        <f t="shared" si="195"/>
        <v>qua</v>
      </c>
      <c r="M1970" s="1" t="str">
        <f t="shared" si="196"/>
        <v>set</v>
      </c>
      <c r="N1970">
        <f t="shared" si="197"/>
        <v>2025</v>
      </c>
      <c r="O1970" s="2"/>
      <c r="P1970" t="str">
        <f t="shared" si="194"/>
        <v>137345910</v>
      </c>
    </row>
    <row r="1971" spans="1:16" x14ac:dyDescent="0.3">
      <c r="A1971">
        <v>1373</v>
      </c>
      <c r="B1971">
        <v>25</v>
      </c>
      <c r="C1971" t="s">
        <v>26</v>
      </c>
      <c r="D1971" t="s">
        <v>31</v>
      </c>
      <c r="E1971" t="s">
        <v>32</v>
      </c>
      <c r="F1971" t="s">
        <v>18</v>
      </c>
      <c r="G1971" t="s">
        <v>41</v>
      </c>
      <c r="H1971" t="s">
        <v>25</v>
      </c>
      <c r="I1971" s="1">
        <v>3</v>
      </c>
      <c r="J1971" s="2">
        <v>45920</v>
      </c>
      <c r="K1971" s="2">
        <v>45901</v>
      </c>
      <c r="L1971" s="1" t="str">
        <f t="shared" si="195"/>
        <v>sáb</v>
      </c>
      <c r="M1971" s="1" t="str">
        <f t="shared" si="196"/>
        <v>set</v>
      </c>
      <c r="N1971">
        <f t="shared" si="197"/>
        <v>2025</v>
      </c>
      <c r="O1971" s="2"/>
      <c r="P1971" t="str">
        <f t="shared" si="194"/>
        <v>137345920</v>
      </c>
    </row>
    <row r="1972" spans="1:16" x14ac:dyDescent="0.3">
      <c r="A1972">
        <v>1373</v>
      </c>
      <c r="B1972">
        <v>25</v>
      </c>
      <c r="C1972" t="s">
        <v>26</v>
      </c>
      <c r="D1972" t="s">
        <v>31</v>
      </c>
      <c r="E1972" t="s">
        <v>32</v>
      </c>
      <c r="F1972" t="s">
        <v>18</v>
      </c>
      <c r="G1972" t="s">
        <v>41</v>
      </c>
      <c r="H1972" t="s">
        <v>25</v>
      </c>
      <c r="I1972" s="1">
        <v>3</v>
      </c>
      <c r="J1972" s="2">
        <v>46196</v>
      </c>
      <c r="K1972" s="2">
        <v>46023</v>
      </c>
      <c r="L1972" s="1" t="str">
        <f t="shared" si="195"/>
        <v>ter</v>
      </c>
      <c r="M1972" s="1" t="str">
        <f t="shared" si="196"/>
        <v>jun</v>
      </c>
      <c r="N1972">
        <f t="shared" si="197"/>
        <v>2026</v>
      </c>
      <c r="O1972" s="2"/>
      <c r="P1972" t="str">
        <f t="shared" si="194"/>
        <v>137346196</v>
      </c>
    </row>
    <row r="1973" spans="1:16" x14ac:dyDescent="0.3">
      <c r="A1973">
        <v>1374</v>
      </c>
      <c r="B1973">
        <v>27</v>
      </c>
      <c r="C1973" t="s">
        <v>26</v>
      </c>
      <c r="D1973" t="s">
        <v>16</v>
      </c>
      <c r="E1973" t="s">
        <v>17</v>
      </c>
      <c r="F1973" t="s">
        <v>21</v>
      </c>
      <c r="G1973" t="s">
        <v>40</v>
      </c>
      <c r="H1973" t="s">
        <v>25</v>
      </c>
      <c r="I1973" s="1">
        <v>3</v>
      </c>
      <c r="J1973" s="2">
        <v>45777</v>
      </c>
      <c r="K1973" s="2">
        <v>45748</v>
      </c>
      <c r="L1973" s="1" t="str">
        <f t="shared" si="195"/>
        <v>qua</v>
      </c>
      <c r="M1973" s="1" t="str">
        <f t="shared" si="196"/>
        <v>abr</v>
      </c>
      <c r="N1973">
        <f t="shared" si="197"/>
        <v>2025</v>
      </c>
      <c r="O1973" s="2"/>
      <c r="P1973" t="str">
        <f t="shared" si="194"/>
        <v>137445777</v>
      </c>
    </row>
    <row r="1974" spans="1:16" x14ac:dyDescent="0.3">
      <c r="A1974">
        <v>1374</v>
      </c>
      <c r="B1974">
        <v>27</v>
      </c>
      <c r="C1974" t="s">
        <v>26</v>
      </c>
      <c r="D1974" t="s">
        <v>16</v>
      </c>
      <c r="E1974" t="s">
        <v>17</v>
      </c>
      <c r="F1974" t="s">
        <v>21</v>
      </c>
      <c r="G1974" t="s">
        <v>41</v>
      </c>
      <c r="H1974" t="s">
        <v>25</v>
      </c>
      <c r="I1974" s="1">
        <v>3</v>
      </c>
      <c r="J1974" s="2">
        <v>45906</v>
      </c>
      <c r="K1974" s="2">
        <v>45901</v>
      </c>
      <c r="L1974" s="1" t="str">
        <f t="shared" si="195"/>
        <v>sáb</v>
      </c>
      <c r="M1974" s="1" t="str">
        <f t="shared" si="196"/>
        <v>set</v>
      </c>
      <c r="N1974">
        <f t="shared" si="197"/>
        <v>2025</v>
      </c>
      <c r="O1974" s="2"/>
      <c r="P1974" t="str">
        <f t="shared" si="194"/>
        <v>137445906</v>
      </c>
    </row>
    <row r="1975" spans="1:16" x14ac:dyDescent="0.3">
      <c r="A1975">
        <v>1374</v>
      </c>
      <c r="B1975">
        <v>27</v>
      </c>
      <c r="C1975" t="s">
        <v>26</v>
      </c>
      <c r="D1975" t="s">
        <v>16</v>
      </c>
      <c r="E1975" t="s">
        <v>17</v>
      </c>
      <c r="F1975" t="s">
        <v>21</v>
      </c>
      <c r="G1975" t="s">
        <v>40</v>
      </c>
      <c r="H1975" t="s">
        <v>25</v>
      </c>
      <c r="I1975" s="1">
        <v>3</v>
      </c>
      <c r="J1975" s="2">
        <v>45952</v>
      </c>
      <c r="K1975" s="2">
        <v>45931</v>
      </c>
      <c r="L1975" s="1" t="str">
        <f t="shared" si="195"/>
        <v>qua</v>
      </c>
      <c r="M1975" s="1" t="str">
        <f t="shared" si="196"/>
        <v>out</v>
      </c>
      <c r="N1975">
        <f t="shared" si="197"/>
        <v>2025</v>
      </c>
      <c r="O1975" s="2"/>
      <c r="P1975" t="str">
        <f t="shared" si="194"/>
        <v>137445952</v>
      </c>
    </row>
    <row r="1976" spans="1:16" x14ac:dyDescent="0.3">
      <c r="A1976">
        <v>1374</v>
      </c>
      <c r="B1976">
        <v>27</v>
      </c>
      <c r="C1976" t="s">
        <v>26</v>
      </c>
      <c r="D1976" t="s">
        <v>16</v>
      </c>
      <c r="E1976" t="s">
        <v>17</v>
      </c>
      <c r="F1976" t="s">
        <v>21</v>
      </c>
      <c r="G1976" t="s">
        <v>41</v>
      </c>
      <c r="H1976" t="s">
        <v>25</v>
      </c>
      <c r="I1976" s="1">
        <v>3</v>
      </c>
      <c r="J1976" s="2">
        <v>45974</v>
      </c>
      <c r="K1976" s="2">
        <v>45962</v>
      </c>
      <c r="L1976" s="1" t="str">
        <f t="shared" si="195"/>
        <v>qui</v>
      </c>
      <c r="M1976" s="1" t="str">
        <f t="shared" si="196"/>
        <v>nov</v>
      </c>
      <c r="N1976">
        <f t="shared" si="197"/>
        <v>2025</v>
      </c>
      <c r="O1976" s="2"/>
      <c r="P1976" t="str">
        <f t="shared" si="194"/>
        <v>137445974</v>
      </c>
    </row>
    <row r="1977" spans="1:16" x14ac:dyDescent="0.3">
      <c r="A1977">
        <v>1374</v>
      </c>
      <c r="B1977">
        <v>27</v>
      </c>
      <c r="C1977" t="s">
        <v>26</v>
      </c>
      <c r="D1977" t="s">
        <v>16</v>
      </c>
      <c r="E1977" t="s">
        <v>17</v>
      </c>
      <c r="F1977" t="s">
        <v>21</v>
      </c>
      <c r="G1977" t="s">
        <v>40</v>
      </c>
      <c r="H1977" t="s">
        <v>25</v>
      </c>
      <c r="I1977" s="1">
        <v>3</v>
      </c>
      <c r="J1977" s="2">
        <v>45994</v>
      </c>
      <c r="K1977" s="2">
        <v>45992</v>
      </c>
      <c r="L1977" s="1" t="str">
        <f t="shared" si="195"/>
        <v>qua</v>
      </c>
      <c r="M1977" s="1" t="str">
        <f t="shared" si="196"/>
        <v>dez</v>
      </c>
      <c r="N1977">
        <f t="shared" si="197"/>
        <v>2025</v>
      </c>
      <c r="O1977" s="2"/>
      <c r="P1977" t="str">
        <f t="shared" si="194"/>
        <v>137445994</v>
      </c>
    </row>
    <row r="1978" spans="1:16" x14ac:dyDescent="0.3">
      <c r="A1978">
        <v>1374</v>
      </c>
      <c r="B1978">
        <v>27</v>
      </c>
      <c r="C1978" t="s">
        <v>26</v>
      </c>
      <c r="D1978" t="s">
        <v>16</v>
      </c>
      <c r="E1978" t="s">
        <v>17</v>
      </c>
      <c r="F1978" t="s">
        <v>21</v>
      </c>
      <c r="G1978" t="s">
        <v>40</v>
      </c>
      <c r="H1978" t="s">
        <v>25</v>
      </c>
      <c r="I1978" s="1">
        <v>3</v>
      </c>
      <c r="J1978" s="2">
        <v>46104</v>
      </c>
      <c r="K1978" s="2">
        <v>46082</v>
      </c>
      <c r="L1978" s="1" t="str">
        <f t="shared" si="195"/>
        <v>seg</v>
      </c>
      <c r="M1978" s="1" t="str">
        <f t="shared" si="196"/>
        <v>mar</v>
      </c>
      <c r="N1978">
        <f t="shared" si="197"/>
        <v>2026</v>
      </c>
      <c r="O1978" s="2"/>
      <c r="P1978" t="str">
        <f t="shared" si="194"/>
        <v>137446104</v>
      </c>
    </row>
    <row r="1979" spans="1:16" x14ac:dyDescent="0.3">
      <c r="A1979">
        <v>1374</v>
      </c>
      <c r="B1979">
        <v>27</v>
      </c>
      <c r="C1979" t="s">
        <v>26</v>
      </c>
      <c r="D1979" t="s">
        <v>16</v>
      </c>
      <c r="E1979" t="s">
        <v>17</v>
      </c>
      <c r="F1979" t="s">
        <v>21</v>
      </c>
      <c r="G1979" t="s">
        <v>40</v>
      </c>
      <c r="H1979" t="s">
        <v>25</v>
      </c>
      <c r="I1979" s="1">
        <v>3</v>
      </c>
      <c r="J1979" s="2">
        <v>46142</v>
      </c>
      <c r="K1979" s="2">
        <v>46113</v>
      </c>
      <c r="L1979" s="1" t="s">
        <v>51</v>
      </c>
      <c r="M1979" s="1" t="s">
        <v>48</v>
      </c>
      <c r="N1979">
        <v>2025</v>
      </c>
      <c r="O1979" s="2"/>
      <c r="P1979" t="str">
        <f t="shared" si="194"/>
        <v>137446142</v>
      </c>
    </row>
    <row r="1980" spans="1:16" x14ac:dyDescent="0.3">
      <c r="A1980">
        <v>1375</v>
      </c>
      <c r="B1980">
        <v>36</v>
      </c>
      <c r="C1980" t="s">
        <v>26</v>
      </c>
      <c r="D1980" t="s">
        <v>22</v>
      </c>
      <c r="E1980" t="s">
        <v>17</v>
      </c>
      <c r="F1980" t="s">
        <v>21</v>
      </c>
      <c r="G1980" t="s">
        <v>40</v>
      </c>
      <c r="H1980" t="s">
        <v>25</v>
      </c>
      <c r="I1980" s="1">
        <v>1</v>
      </c>
      <c r="J1980" s="2">
        <v>45780</v>
      </c>
      <c r="K1980" s="2">
        <v>45778</v>
      </c>
      <c r="L1980" s="1" t="str">
        <f t="shared" ref="L1980:L1985" si="198">TEXT(J1980,"ddd")</f>
        <v>sáb</v>
      </c>
      <c r="M1980" s="1" t="str">
        <f t="shared" ref="M1980:M1985" si="199">TEXT($J1980,"mmm")</f>
        <v>mai</v>
      </c>
      <c r="N1980">
        <f t="shared" ref="N1980:N1985" si="200">YEAR(J1980)</f>
        <v>2025</v>
      </c>
      <c r="O1980" s="2"/>
      <c r="P1980" t="str">
        <f t="shared" si="194"/>
        <v>137545780</v>
      </c>
    </row>
    <row r="1981" spans="1:16" x14ac:dyDescent="0.3">
      <c r="A1981">
        <v>1375</v>
      </c>
      <c r="B1981">
        <v>36</v>
      </c>
      <c r="C1981" t="s">
        <v>26</v>
      </c>
      <c r="D1981" t="s">
        <v>22</v>
      </c>
      <c r="E1981" t="s">
        <v>17</v>
      </c>
      <c r="F1981" t="s">
        <v>21</v>
      </c>
      <c r="G1981" t="s">
        <v>40</v>
      </c>
      <c r="H1981" t="s">
        <v>25</v>
      </c>
      <c r="I1981" s="1">
        <v>1</v>
      </c>
      <c r="J1981" s="2">
        <v>45786</v>
      </c>
      <c r="K1981" s="2">
        <v>45778</v>
      </c>
      <c r="L1981" s="1" t="str">
        <f t="shared" si="198"/>
        <v>sex</v>
      </c>
      <c r="M1981" s="1" t="str">
        <f t="shared" si="199"/>
        <v>mai</v>
      </c>
      <c r="N1981">
        <f t="shared" si="200"/>
        <v>2025</v>
      </c>
      <c r="O1981" s="2"/>
      <c r="P1981" t="str">
        <f t="shared" si="194"/>
        <v>137545786</v>
      </c>
    </row>
    <row r="1982" spans="1:16" x14ac:dyDescent="0.3">
      <c r="A1982">
        <v>1375</v>
      </c>
      <c r="B1982">
        <v>36</v>
      </c>
      <c r="C1982" t="s">
        <v>26</v>
      </c>
      <c r="D1982" t="s">
        <v>22</v>
      </c>
      <c r="E1982" t="s">
        <v>17</v>
      </c>
      <c r="F1982" t="s">
        <v>21</v>
      </c>
      <c r="G1982" t="s">
        <v>40</v>
      </c>
      <c r="H1982" t="s">
        <v>25</v>
      </c>
      <c r="I1982" s="1">
        <v>1</v>
      </c>
      <c r="J1982" s="2">
        <v>45986</v>
      </c>
      <c r="K1982" s="2">
        <v>45962</v>
      </c>
      <c r="L1982" s="1" t="str">
        <f t="shared" si="198"/>
        <v>ter</v>
      </c>
      <c r="M1982" s="1" t="str">
        <f t="shared" si="199"/>
        <v>nov</v>
      </c>
      <c r="N1982">
        <f t="shared" si="200"/>
        <v>2025</v>
      </c>
      <c r="O1982" s="2"/>
      <c r="P1982" t="str">
        <f t="shared" si="194"/>
        <v>137545986</v>
      </c>
    </row>
    <row r="1983" spans="1:16" x14ac:dyDescent="0.3">
      <c r="A1983">
        <v>1375</v>
      </c>
      <c r="B1983">
        <v>36</v>
      </c>
      <c r="C1983" t="s">
        <v>26</v>
      </c>
      <c r="D1983" t="s">
        <v>22</v>
      </c>
      <c r="E1983" t="s">
        <v>17</v>
      </c>
      <c r="F1983" t="s">
        <v>21</v>
      </c>
      <c r="G1983" t="s">
        <v>40</v>
      </c>
      <c r="H1983" t="s">
        <v>25</v>
      </c>
      <c r="I1983" s="1">
        <v>1</v>
      </c>
      <c r="J1983" s="2">
        <v>45998</v>
      </c>
      <c r="K1983" s="2">
        <v>45992</v>
      </c>
      <c r="L1983" s="1" t="str">
        <f t="shared" si="198"/>
        <v>dom</v>
      </c>
      <c r="M1983" s="1" t="str">
        <f t="shared" si="199"/>
        <v>dez</v>
      </c>
      <c r="N1983">
        <f t="shared" si="200"/>
        <v>2025</v>
      </c>
      <c r="O1983" s="2"/>
      <c r="P1983" t="str">
        <f t="shared" si="194"/>
        <v>137545998</v>
      </c>
    </row>
    <row r="1984" spans="1:16" x14ac:dyDescent="0.3">
      <c r="A1984">
        <v>1375</v>
      </c>
      <c r="B1984">
        <v>36</v>
      </c>
      <c r="C1984" t="s">
        <v>26</v>
      </c>
      <c r="D1984" t="s">
        <v>22</v>
      </c>
      <c r="E1984" t="s">
        <v>17</v>
      </c>
      <c r="F1984" t="s">
        <v>21</v>
      </c>
      <c r="G1984" t="s">
        <v>40</v>
      </c>
      <c r="H1984" t="s">
        <v>25</v>
      </c>
      <c r="I1984" s="1">
        <v>1</v>
      </c>
      <c r="J1984" s="2">
        <v>46186</v>
      </c>
      <c r="K1984" s="2">
        <v>46023</v>
      </c>
      <c r="L1984" s="1" t="str">
        <f t="shared" si="198"/>
        <v>sáb</v>
      </c>
      <c r="M1984" s="1" t="str">
        <f t="shared" si="199"/>
        <v>jun</v>
      </c>
      <c r="N1984">
        <f t="shared" si="200"/>
        <v>2026</v>
      </c>
      <c r="O1984" s="2"/>
      <c r="P1984" t="str">
        <f t="shared" si="194"/>
        <v>137546186</v>
      </c>
    </row>
    <row r="1985" spans="1:16" x14ac:dyDescent="0.3">
      <c r="A1985">
        <v>1375</v>
      </c>
      <c r="B1985">
        <v>36</v>
      </c>
      <c r="C1985" t="s">
        <v>26</v>
      </c>
      <c r="D1985" t="s">
        <v>22</v>
      </c>
      <c r="E1985" t="s">
        <v>17</v>
      </c>
      <c r="F1985" t="s">
        <v>21</v>
      </c>
      <c r="G1985" t="s">
        <v>40</v>
      </c>
      <c r="H1985" t="s">
        <v>25</v>
      </c>
      <c r="I1985" s="1">
        <v>1</v>
      </c>
      <c r="J1985" s="2">
        <v>46094</v>
      </c>
      <c r="K1985" s="2">
        <v>46082</v>
      </c>
      <c r="L1985" s="1" t="str">
        <f t="shared" si="198"/>
        <v>sex</v>
      </c>
      <c r="M1985" s="1" t="str">
        <f t="shared" si="199"/>
        <v>mar</v>
      </c>
      <c r="N1985">
        <f t="shared" si="200"/>
        <v>2026</v>
      </c>
      <c r="O1985" s="2"/>
      <c r="P1985" t="str">
        <f t="shared" ref="P1985:P2048" si="201">CONCATENATE(A1985,J1985)</f>
        <v>137546094</v>
      </c>
    </row>
    <row r="1986" spans="1:16" x14ac:dyDescent="0.3">
      <c r="A1986">
        <v>1375</v>
      </c>
      <c r="B1986">
        <v>36</v>
      </c>
      <c r="C1986" t="s">
        <v>26</v>
      </c>
      <c r="D1986" t="s">
        <v>22</v>
      </c>
      <c r="E1986" t="s">
        <v>17</v>
      </c>
      <c r="F1986" t="s">
        <v>21</v>
      </c>
      <c r="G1986" t="s">
        <v>40</v>
      </c>
      <c r="H1986" t="s">
        <v>25</v>
      </c>
      <c r="I1986" s="1">
        <v>1</v>
      </c>
      <c r="J1986" s="2">
        <v>46145</v>
      </c>
      <c r="K1986" s="2">
        <v>46143</v>
      </c>
      <c r="L1986" s="1" t="s">
        <v>54</v>
      </c>
      <c r="M1986" s="1" t="s">
        <v>49</v>
      </c>
      <c r="N1986">
        <v>2025</v>
      </c>
      <c r="O1986" s="2"/>
      <c r="P1986" t="str">
        <f t="shared" si="201"/>
        <v>137546145</v>
      </c>
    </row>
    <row r="1987" spans="1:16" x14ac:dyDescent="0.3">
      <c r="A1987">
        <v>1375</v>
      </c>
      <c r="B1987">
        <v>36</v>
      </c>
      <c r="C1987" t="s">
        <v>26</v>
      </c>
      <c r="D1987" t="s">
        <v>22</v>
      </c>
      <c r="E1987" t="s">
        <v>17</v>
      </c>
      <c r="F1987" t="s">
        <v>21</v>
      </c>
      <c r="G1987" t="s">
        <v>40</v>
      </c>
      <c r="H1987" t="s">
        <v>25</v>
      </c>
      <c r="I1987" s="1">
        <v>1</v>
      </c>
      <c r="J1987" s="2">
        <v>46151</v>
      </c>
      <c r="K1987" s="2">
        <v>46143</v>
      </c>
      <c r="L1987" s="1" t="s">
        <v>53</v>
      </c>
      <c r="M1987" s="1" t="s">
        <v>49</v>
      </c>
      <c r="N1987">
        <v>2025</v>
      </c>
      <c r="O1987" s="2"/>
      <c r="P1987" t="str">
        <f t="shared" si="201"/>
        <v>137546151</v>
      </c>
    </row>
    <row r="1988" spans="1:16" x14ac:dyDescent="0.3">
      <c r="A1988">
        <v>1376</v>
      </c>
      <c r="B1988">
        <v>38</v>
      </c>
      <c r="C1988" t="s">
        <v>15</v>
      </c>
      <c r="D1988" t="s">
        <v>31</v>
      </c>
      <c r="E1988" t="s">
        <v>32</v>
      </c>
      <c r="F1988" t="s">
        <v>21</v>
      </c>
      <c r="G1988" t="s">
        <v>41</v>
      </c>
      <c r="H1988" t="s">
        <v>25</v>
      </c>
      <c r="I1988" s="1">
        <v>2</v>
      </c>
      <c r="J1988" s="2">
        <v>45861</v>
      </c>
      <c r="K1988" s="2">
        <v>45839</v>
      </c>
      <c r="L1988" s="1" t="str">
        <f t="shared" ref="L1988:L2021" si="202">TEXT(J1988,"ddd")</f>
        <v>qua</v>
      </c>
      <c r="M1988" s="1" t="str">
        <f t="shared" ref="M1988:M2021" si="203">TEXT($J1988,"mmm")</f>
        <v>jul</v>
      </c>
      <c r="N1988">
        <f t="shared" ref="N1988:N2021" si="204">YEAR(J1988)</f>
        <v>2025</v>
      </c>
      <c r="O1988" s="2"/>
      <c r="P1988" t="str">
        <f t="shared" si="201"/>
        <v>137645861</v>
      </c>
    </row>
    <row r="1989" spans="1:16" x14ac:dyDescent="0.3">
      <c r="A1989">
        <v>1376</v>
      </c>
      <c r="B1989">
        <v>38</v>
      </c>
      <c r="C1989" t="s">
        <v>15</v>
      </c>
      <c r="D1989" t="s">
        <v>31</v>
      </c>
      <c r="E1989" t="s">
        <v>32</v>
      </c>
      <c r="F1989" t="s">
        <v>21</v>
      </c>
      <c r="G1989" t="s">
        <v>41</v>
      </c>
      <c r="H1989" t="s">
        <v>25</v>
      </c>
      <c r="I1989" s="1">
        <v>2</v>
      </c>
      <c r="J1989" s="2">
        <v>45902</v>
      </c>
      <c r="K1989" s="2">
        <v>45901</v>
      </c>
      <c r="L1989" s="1" t="str">
        <f t="shared" si="202"/>
        <v>ter</v>
      </c>
      <c r="M1989" s="1" t="str">
        <f t="shared" si="203"/>
        <v>set</v>
      </c>
      <c r="N1989">
        <f t="shared" si="204"/>
        <v>2025</v>
      </c>
      <c r="O1989" s="2"/>
      <c r="P1989" t="str">
        <f t="shared" si="201"/>
        <v>137645902</v>
      </c>
    </row>
    <row r="1990" spans="1:16" x14ac:dyDescent="0.3">
      <c r="A1990">
        <v>1376</v>
      </c>
      <c r="B1990">
        <v>38</v>
      </c>
      <c r="C1990" t="s">
        <v>15</v>
      </c>
      <c r="D1990" t="s">
        <v>31</v>
      </c>
      <c r="E1990" t="s">
        <v>32</v>
      </c>
      <c r="F1990" t="s">
        <v>21</v>
      </c>
      <c r="G1990" t="s">
        <v>41</v>
      </c>
      <c r="H1990" t="s">
        <v>25</v>
      </c>
      <c r="I1990" s="1">
        <v>2</v>
      </c>
      <c r="J1990" s="2">
        <v>45910</v>
      </c>
      <c r="K1990" s="2">
        <v>45901</v>
      </c>
      <c r="L1990" s="1" t="str">
        <f t="shared" si="202"/>
        <v>qua</v>
      </c>
      <c r="M1990" s="1" t="str">
        <f t="shared" si="203"/>
        <v>set</v>
      </c>
      <c r="N1990">
        <f t="shared" si="204"/>
        <v>2025</v>
      </c>
      <c r="O1990" s="2"/>
      <c r="P1990" t="str">
        <f t="shared" si="201"/>
        <v>137645910</v>
      </c>
    </row>
    <row r="1991" spans="1:16" x14ac:dyDescent="0.3">
      <c r="A1991">
        <v>1376</v>
      </c>
      <c r="B1991">
        <v>38</v>
      </c>
      <c r="C1991" t="s">
        <v>15</v>
      </c>
      <c r="D1991" t="s">
        <v>31</v>
      </c>
      <c r="E1991" t="s">
        <v>32</v>
      </c>
      <c r="F1991" t="s">
        <v>21</v>
      </c>
      <c r="G1991" t="s">
        <v>41</v>
      </c>
      <c r="H1991" t="s">
        <v>25</v>
      </c>
      <c r="I1991" s="1">
        <v>2</v>
      </c>
      <c r="J1991" s="2">
        <v>45919</v>
      </c>
      <c r="K1991" s="2">
        <v>45901</v>
      </c>
      <c r="L1991" s="1" t="str">
        <f t="shared" si="202"/>
        <v>sex</v>
      </c>
      <c r="M1991" s="1" t="str">
        <f t="shared" si="203"/>
        <v>set</v>
      </c>
      <c r="N1991">
        <f t="shared" si="204"/>
        <v>2025</v>
      </c>
      <c r="O1991" s="2"/>
      <c r="P1991" t="str">
        <f t="shared" si="201"/>
        <v>137645919</v>
      </c>
    </row>
    <row r="1992" spans="1:16" x14ac:dyDescent="0.3">
      <c r="A1992">
        <v>1376</v>
      </c>
      <c r="B1992">
        <v>38</v>
      </c>
      <c r="C1992" t="s">
        <v>15</v>
      </c>
      <c r="D1992" t="s">
        <v>31</v>
      </c>
      <c r="E1992" t="s">
        <v>32</v>
      </c>
      <c r="F1992" t="s">
        <v>21</v>
      </c>
      <c r="G1992" t="s">
        <v>41</v>
      </c>
      <c r="H1992" t="s">
        <v>25</v>
      </c>
      <c r="I1992" s="1">
        <v>2</v>
      </c>
      <c r="J1992" s="2">
        <v>45997</v>
      </c>
      <c r="K1992" s="2">
        <v>45992</v>
      </c>
      <c r="L1992" s="1" t="str">
        <f t="shared" si="202"/>
        <v>sáb</v>
      </c>
      <c r="M1992" s="1" t="str">
        <f t="shared" si="203"/>
        <v>dez</v>
      </c>
      <c r="N1992">
        <f t="shared" si="204"/>
        <v>2025</v>
      </c>
      <c r="O1992" s="2"/>
      <c r="P1992" t="str">
        <f t="shared" si="201"/>
        <v>137645997</v>
      </c>
    </row>
    <row r="1993" spans="1:16" x14ac:dyDescent="0.3">
      <c r="A1993">
        <v>1376</v>
      </c>
      <c r="B1993">
        <v>38</v>
      </c>
      <c r="C1993" t="s">
        <v>15</v>
      </c>
      <c r="D1993" t="s">
        <v>31</v>
      </c>
      <c r="E1993" t="s">
        <v>32</v>
      </c>
      <c r="F1993" t="s">
        <v>21</v>
      </c>
      <c r="G1993" t="s">
        <v>40</v>
      </c>
      <c r="H1993" t="s">
        <v>25</v>
      </c>
      <c r="I1993" s="1">
        <v>2</v>
      </c>
      <c r="J1993" s="2">
        <v>46003</v>
      </c>
      <c r="K1993" s="2">
        <v>45992</v>
      </c>
      <c r="L1993" s="1" t="str">
        <f t="shared" si="202"/>
        <v>sex</v>
      </c>
      <c r="M1993" s="1" t="str">
        <f t="shared" si="203"/>
        <v>dez</v>
      </c>
      <c r="N1993">
        <f t="shared" si="204"/>
        <v>2025</v>
      </c>
      <c r="O1993" s="2"/>
      <c r="P1993" t="str">
        <f t="shared" si="201"/>
        <v>137646003</v>
      </c>
    </row>
    <row r="1994" spans="1:16" x14ac:dyDescent="0.3">
      <c r="A1994">
        <v>1377</v>
      </c>
      <c r="B1994">
        <v>27</v>
      </c>
      <c r="C1994" t="s">
        <v>26</v>
      </c>
      <c r="D1994" t="s">
        <v>31</v>
      </c>
      <c r="E1994" t="s">
        <v>32</v>
      </c>
      <c r="F1994" t="s">
        <v>21</v>
      </c>
      <c r="G1994" t="s">
        <v>57</v>
      </c>
      <c r="H1994" t="s">
        <v>20</v>
      </c>
      <c r="I1994" s="1">
        <v>3</v>
      </c>
      <c r="J1994" s="2">
        <v>45672</v>
      </c>
      <c r="K1994" s="2">
        <v>45658</v>
      </c>
      <c r="L1994" s="1" t="str">
        <f t="shared" si="202"/>
        <v>qua</v>
      </c>
      <c r="M1994" s="1" t="str">
        <f t="shared" si="203"/>
        <v>jan</v>
      </c>
      <c r="N1994">
        <f t="shared" si="204"/>
        <v>2025</v>
      </c>
      <c r="O1994" s="2">
        <f>_xlfn.XLOOKUP(A1994,Colaboradores!$A:$A,Colaboradores!$S:$S,"",0)</f>
        <v>45773</v>
      </c>
      <c r="P1994" t="str">
        <f t="shared" si="201"/>
        <v>137745672</v>
      </c>
    </row>
    <row r="1995" spans="1:16" x14ac:dyDescent="0.3">
      <c r="A1995">
        <v>1377</v>
      </c>
      <c r="B1995">
        <v>27</v>
      </c>
      <c r="C1995" t="s">
        <v>26</v>
      </c>
      <c r="D1995" t="s">
        <v>31</v>
      </c>
      <c r="E1995" t="s">
        <v>32</v>
      </c>
      <c r="F1995" t="s">
        <v>21</v>
      </c>
      <c r="G1995" t="s">
        <v>57</v>
      </c>
      <c r="H1995" t="s">
        <v>20</v>
      </c>
      <c r="I1995" s="1">
        <v>3</v>
      </c>
      <c r="J1995" s="2">
        <v>45673</v>
      </c>
      <c r="K1995" s="2">
        <v>45658</v>
      </c>
      <c r="L1995" s="1" t="str">
        <f t="shared" si="202"/>
        <v>qui</v>
      </c>
      <c r="M1995" s="1" t="str">
        <f t="shared" si="203"/>
        <v>jan</v>
      </c>
      <c r="N1995">
        <f t="shared" si="204"/>
        <v>2025</v>
      </c>
      <c r="O1995" s="2">
        <f>_xlfn.XLOOKUP(A1995,Colaboradores!$A:$A,Colaboradores!$S:$S,"",0)</f>
        <v>45773</v>
      </c>
      <c r="P1995" t="str">
        <f t="shared" si="201"/>
        <v>137745673</v>
      </c>
    </row>
    <row r="1996" spans="1:16" x14ac:dyDescent="0.3">
      <c r="A1996">
        <v>1377</v>
      </c>
      <c r="B1996">
        <v>27</v>
      </c>
      <c r="C1996" t="s">
        <v>26</v>
      </c>
      <c r="D1996" t="s">
        <v>31</v>
      </c>
      <c r="E1996" t="s">
        <v>32</v>
      </c>
      <c r="F1996" t="s">
        <v>21</v>
      </c>
      <c r="G1996" t="s">
        <v>41</v>
      </c>
      <c r="H1996" t="s">
        <v>20</v>
      </c>
      <c r="I1996" s="1">
        <v>3</v>
      </c>
      <c r="J1996" s="2">
        <v>45700</v>
      </c>
      <c r="K1996" s="2">
        <v>45689</v>
      </c>
      <c r="L1996" s="1" t="str">
        <f t="shared" si="202"/>
        <v>qua</v>
      </c>
      <c r="M1996" s="1" t="str">
        <f t="shared" si="203"/>
        <v>fev</v>
      </c>
      <c r="N1996">
        <f t="shared" si="204"/>
        <v>2025</v>
      </c>
      <c r="O1996" s="2">
        <f>_xlfn.XLOOKUP(A1996,Colaboradores!$A:$A,Colaboradores!$S:$S,"",0)</f>
        <v>45773</v>
      </c>
      <c r="P1996" t="str">
        <f t="shared" si="201"/>
        <v>137745700</v>
      </c>
    </row>
    <row r="1997" spans="1:16" x14ac:dyDescent="0.3">
      <c r="A1997">
        <v>1377</v>
      </c>
      <c r="B1997">
        <v>27</v>
      </c>
      <c r="C1997" t="s">
        <v>26</v>
      </c>
      <c r="D1997" t="s">
        <v>31</v>
      </c>
      <c r="E1997" t="s">
        <v>32</v>
      </c>
      <c r="F1997" t="s">
        <v>21</v>
      </c>
      <c r="G1997" t="s">
        <v>57</v>
      </c>
      <c r="H1997" t="s">
        <v>20</v>
      </c>
      <c r="I1997" s="1">
        <v>3</v>
      </c>
      <c r="J1997" s="2">
        <v>45733</v>
      </c>
      <c r="K1997" s="2">
        <v>45717</v>
      </c>
      <c r="L1997" s="1" t="str">
        <f t="shared" si="202"/>
        <v>seg</v>
      </c>
      <c r="M1997" s="1" t="str">
        <f t="shared" si="203"/>
        <v>mar</v>
      </c>
      <c r="N1997">
        <f t="shared" si="204"/>
        <v>2025</v>
      </c>
      <c r="O1997" s="2">
        <f>_xlfn.XLOOKUP(A1997,Colaboradores!$A:$A,Colaboradores!$S:$S,"",0)</f>
        <v>45773</v>
      </c>
      <c r="P1997" t="str">
        <f t="shared" si="201"/>
        <v>137745733</v>
      </c>
    </row>
    <row r="1998" spans="1:16" x14ac:dyDescent="0.3">
      <c r="A1998">
        <v>1377</v>
      </c>
      <c r="B1998">
        <v>27</v>
      </c>
      <c r="C1998" t="s">
        <v>26</v>
      </c>
      <c r="D1998" t="s">
        <v>31</v>
      </c>
      <c r="E1998" t="s">
        <v>32</v>
      </c>
      <c r="F1998" t="s">
        <v>21</v>
      </c>
      <c r="G1998" t="s">
        <v>57</v>
      </c>
      <c r="H1998" t="s">
        <v>20</v>
      </c>
      <c r="I1998" s="1">
        <v>3</v>
      </c>
      <c r="J1998" s="2">
        <v>45734</v>
      </c>
      <c r="K1998" s="2">
        <v>45717</v>
      </c>
      <c r="L1998" s="1" t="str">
        <f t="shared" si="202"/>
        <v>ter</v>
      </c>
      <c r="M1998" s="1" t="str">
        <f t="shared" si="203"/>
        <v>mar</v>
      </c>
      <c r="N1998">
        <f t="shared" si="204"/>
        <v>2025</v>
      </c>
      <c r="O1998" s="2">
        <f>_xlfn.XLOOKUP(A1998,Colaboradores!$A:$A,Colaboradores!$S:$S,"",0)</f>
        <v>45773</v>
      </c>
      <c r="P1998" t="str">
        <f t="shared" si="201"/>
        <v>137745734</v>
      </c>
    </row>
    <row r="1999" spans="1:16" x14ac:dyDescent="0.3">
      <c r="A1999">
        <v>1377</v>
      </c>
      <c r="B1999">
        <v>27</v>
      </c>
      <c r="C1999" t="s">
        <v>26</v>
      </c>
      <c r="D1999" t="s">
        <v>31</v>
      </c>
      <c r="E1999" t="s">
        <v>32</v>
      </c>
      <c r="F1999" t="s">
        <v>21</v>
      </c>
      <c r="G1999" t="s">
        <v>43</v>
      </c>
      <c r="H1999" t="s">
        <v>20</v>
      </c>
      <c r="I1999" s="1">
        <v>3</v>
      </c>
      <c r="J1999" s="2">
        <v>45761</v>
      </c>
      <c r="K1999" s="2">
        <v>45748</v>
      </c>
      <c r="L1999" s="1" t="str">
        <f t="shared" si="202"/>
        <v>seg</v>
      </c>
      <c r="M1999" s="1" t="str">
        <f t="shared" si="203"/>
        <v>abr</v>
      </c>
      <c r="N1999">
        <f t="shared" si="204"/>
        <v>2025</v>
      </c>
      <c r="O1999" s="2">
        <f>_xlfn.XLOOKUP(A1999,Colaboradores!$A:$A,Colaboradores!$S:$S,"",0)</f>
        <v>45773</v>
      </c>
      <c r="P1999" t="str">
        <f t="shared" si="201"/>
        <v>137745761</v>
      </c>
    </row>
    <row r="2000" spans="1:16" x14ac:dyDescent="0.3">
      <c r="A2000">
        <v>1379</v>
      </c>
      <c r="B2000">
        <v>52</v>
      </c>
      <c r="C2000" t="s">
        <v>26</v>
      </c>
      <c r="D2000" t="s">
        <v>31</v>
      </c>
      <c r="E2000" t="s">
        <v>34</v>
      </c>
      <c r="F2000" t="s">
        <v>21</v>
      </c>
      <c r="G2000" t="s">
        <v>43</v>
      </c>
      <c r="H2000" t="s">
        <v>20</v>
      </c>
      <c r="I2000" s="1">
        <v>3</v>
      </c>
      <c r="J2000" s="2">
        <v>45792</v>
      </c>
      <c r="K2000" s="2">
        <v>45778</v>
      </c>
      <c r="L2000" s="1" t="str">
        <f t="shared" si="202"/>
        <v>qui</v>
      </c>
      <c r="M2000" s="1" t="str">
        <f t="shared" si="203"/>
        <v>mai</v>
      </c>
      <c r="N2000">
        <f t="shared" si="204"/>
        <v>2025</v>
      </c>
      <c r="O2000" s="2">
        <f>_xlfn.XLOOKUP(A2000,Colaboradores!$A:$A,Colaboradores!$S:$S,"",0)</f>
        <v>46047</v>
      </c>
      <c r="P2000" t="str">
        <f t="shared" si="201"/>
        <v>137945792</v>
      </c>
    </row>
    <row r="2001" spans="1:16" x14ac:dyDescent="0.3">
      <c r="A2001">
        <v>1379</v>
      </c>
      <c r="B2001">
        <v>52</v>
      </c>
      <c r="C2001" t="s">
        <v>26</v>
      </c>
      <c r="D2001" t="s">
        <v>31</v>
      </c>
      <c r="E2001" t="s">
        <v>34</v>
      </c>
      <c r="F2001" t="s">
        <v>21</v>
      </c>
      <c r="G2001" t="s">
        <v>41</v>
      </c>
      <c r="H2001" t="s">
        <v>20</v>
      </c>
      <c r="I2001" s="1">
        <v>3</v>
      </c>
      <c r="J2001" s="2">
        <v>45802</v>
      </c>
      <c r="K2001" s="2">
        <v>45778</v>
      </c>
      <c r="L2001" s="1" t="str">
        <f t="shared" si="202"/>
        <v>dom</v>
      </c>
      <c r="M2001" s="1" t="str">
        <f t="shared" si="203"/>
        <v>mai</v>
      </c>
      <c r="N2001">
        <f t="shared" si="204"/>
        <v>2025</v>
      </c>
      <c r="O2001" s="2">
        <f>_xlfn.XLOOKUP(A2001,Colaboradores!$A:$A,Colaboradores!$S:$S,"",0)</f>
        <v>46047</v>
      </c>
      <c r="P2001" t="str">
        <f t="shared" si="201"/>
        <v>137945802</v>
      </c>
    </row>
    <row r="2002" spans="1:16" x14ac:dyDescent="0.3">
      <c r="A2002">
        <v>1379</v>
      </c>
      <c r="B2002">
        <v>52</v>
      </c>
      <c r="C2002" t="s">
        <v>26</v>
      </c>
      <c r="D2002" t="s">
        <v>31</v>
      </c>
      <c r="E2002" t="s">
        <v>34</v>
      </c>
      <c r="F2002" t="s">
        <v>21</v>
      </c>
      <c r="G2002" t="s">
        <v>41</v>
      </c>
      <c r="H2002" t="s">
        <v>20</v>
      </c>
      <c r="I2002" s="1">
        <v>3</v>
      </c>
      <c r="J2002" s="2">
        <v>45813</v>
      </c>
      <c r="K2002" s="2">
        <v>45809</v>
      </c>
      <c r="L2002" s="1" t="str">
        <f t="shared" si="202"/>
        <v>qui</v>
      </c>
      <c r="M2002" s="1" t="str">
        <f t="shared" si="203"/>
        <v>jun</v>
      </c>
      <c r="N2002">
        <f t="shared" si="204"/>
        <v>2025</v>
      </c>
      <c r="O2002" s="2">
        <f>_xlfn.XLOOKUP(A2002,Colaboradores!$A:$A,Colaboradores!$S:$S,"",0)</f>
        <v>46047</v>
      </c>
      <c r="P2002" t="str">
        <f t="shared" si="201"/>
        <v>137945813</v>
      </c>
    </row>
    <row r="2003" spans="1:16" x14ac:dyDescent="0.3">
      <c r="A2003">
        <v>1379</v>
      </c>
      <c r="B2003">
        <v>52</v>
      </c>
      <c r="C2003" t="s">
        <v>26</v>
      </c>
      <c r="D2003" t="s">
        <v>31</v>
      </c>
      <c r="E2003" t="s">
        <v>34</v>
      </c>
      <c r="F2003" t="s">
        <v>21</v>
      </c>
      <c r="G2003" t="s">
        <v>41</v>
      </c>
      <c r="H2003" t="s">
        <v>20</v>
      </c>
      <c r="I2003" s="1">
        <v>3</v>
      </c>
      <c r="J2003" s="2">
        <v>45863</v>
      </c>
      <c r="K2003" s="2">
        <v>45839</v>
      </c>
      <c r="L2003" s="1" t="str">
        <f t="shared" si="202"/>
        <v>sex</v>
      </c>
      <c r="M2003" s="1" t="str">
        <f t="shared" si="203"/>
        <v>jul</v>
      </c>
      <c r="N2003">
        <f t="shared" si="204"/>
        <v>2025</v>
      </c>
      <c r="O2003" s="2">
        <f>_xlfn.XLOOKUP(A2003,Colaboradores!$A:$A,Colaboradores!$S:$S,"",0)</f>
        <v>46047</v>
      </c>
      <c r="P2003" t="str">
        <f t="shared" si="201"/>
        <v>137945863</v>
      </c>
    </row>
    <row r="2004" spans="1:16" x14ac:dyDescent="0.3">
      <c r="A2004">
        <v>1379</v>
      </c>
      <c r="B2004">
        <v>52</v>
      </c>
      <c r="C2004" t="s">
        <v>26</v>
      </c>
      <c r="D2004" t="s">
        <v>31</v>
      </c>
      <c r="E2004" t="s">
        <v>34</v>
      </c>
      <c r="F2004" t="s">
        <v>21</v>
      </c>
      <c r="G2004" t="s">
        <v>43</v>
      </c>
      <c r="H2004" t="s">
        <v>20</v>
      </c>
      <c r="I2004" s="1">
        <v>3</v>
      </c>
      <c r="J2004" s="2">
        <v>45864</v>
      </c>
      <c r="K2004" s="2">
        <v>45839</v>
      </c>
      <c r="L2004" s="1" t="str">
        <f t="shared" si="202"/>
        <v>sáb</v>
      </c>
      <c r="M2004" s="1" t="str">
        <f t="shared" si="203"/>
        <v>jul</v>
      </c>
      <c r="N2004">
        <f t="shared" si="204"/>
        <v>2025</v>
      </c>
      <c r="O2004" s="2">
        <f>_xlfn.XLOOKUP(A2004,Colaboradores!$A:$A,Colaboradores!$S:$S,"",0)</f>
        <v>46047</v>
      </c>
      <c r="P2004" t="str">
        <f t="shared" si="201"/>
        <v>137945864</v>
      </c>
    </row>
    <row r="2005" spans="1:16" x14ac:dyDescent="0.3">
      <c r="A2005">
        <v>1379</v>
      </c>
      <c r="B2005">
        <v>52</v>
      </c>
      <c r="C2005" t="s">
        <v>26</v>
      </c>
      <c r="D2005" t="s">
        <v>31</v>
      </c>
      <c r="E2005" t="s">
        <v>34</v>
      </c>
      <c r="F2005" t="s">
        <v>21</v>
      </c>
      <c r="G2005" t="s">
        <v>41</v>
      </c>
      <c r="H2005" t="s">
        <v>20</v>
      </c>
      <c r="I2005" s="1">
        <v>3</v>
      </c>
      <c r="J2005" s="2">
        <v>46179</v>
      </c>
      <c r="K2005" s="2">
        <v>46023</v>
      </c>
      <c r="L2005" s="1" t="str">
        <f t="shared" si="202"/>
        <v>sáb</v>
      </c>
      <c r="M2005" s="1" t="str">
        <f t="shared" si="203"/>
        <v>jun</v>
      </c>
      <c r="N2005">
        <f t="shared" si="204"/>
        <v>2026</v>
      </c>
      <c r="O2005" s="2">
        <f>_xlfn.XLOOKUP(A2005,Colaboradores!$A:$A,Colaboradores!$S:$S,"",0)</f>
        <v>46047</v>
      </c>
      <c r="P2005" t="str">
        <f t="shared" si="201"/>
        <v>137946179</v>
      </c>
    </row>
    <row r="2006" spans="1:16" x14ac:dyDescent="0.3">
      <c r="A2006">
        <v>1380</v>
      </c>
      <c r="B2006">
        <v>24</v>
      </c>
      <c r="C2006" t="s">
        <v>15</v>
      </c>
      <c r="D2006" t="s">
        <v>29</v>
      </c>
      <c r="E2006" t="s">
        <v>17</v>
      </c>
      <c r="F2006" t="s">
        <v>21</v>
      </c>
      <c r="G2006" t="s">
        <v>41</v>
      </c>
      <c r="H2006" t="s">
        <v>25</v>
      </c>
      <c r="I2006" s="1">
        <v>2</v>
      </c>
      <c r="J2006" s="2">
        <v>45841</v>
      </c>
      <c r="K2006" s="2">
        <v>45839</v>
      </c>
      <c r="L2006" s="1" t="str">
        <f t="shared" si="202"/>
        <v>qui</v>
      </c>
      <c r="M2006" s="1" t="str">
        <f t="shared" si="203"/>
        <v>jul</v>
      </c>
      <c r="N2006">
        <f t="shared" si="204"/>
        <v>2025</v>
      </c>
      <c r="O2006" s="2"/>
      <c r="P2006" t="str">
        <f t="shared" si="201"/>
        <v>138045841</v>
      </c>
    </row>
    <row r="2007" spans="1:16" x14ac:dyDescent="0.3">
      <c r="A2007">
        <v>1380</v>
      </c>
      <c r="B2007">
        <v>24</v>
      </c>
      <c r="C2007" t="s">
        <v>15</v>
      </c>
      <c r="D2007" t="s">
        <v>29</v>
      </c>
      <c r="E2007" t="s">
        <v>17</v>
      </c>
      <c r="F2007" t="s">
        <v>21</v>
      </c>
      <c r="G2007" t="s">
        <v>41</v>
      </c>
      <c r="H2007" t="s">
        <v>25</v>
      </c>
      <c r="I2007" s="1">
        <v>2</v>
      </c>
      <c r="J2007" s="2">
        <v>45893</v>
      </c>
      <c r="K2007" s="2">
        <v>45870</v>
      </c>
      <c r="L2007" s="1" t="str">
        <f t="shared" si="202"/>
        <v>dom</v>
      </c>
      <c r="M2007" s="1" t="str">
        <f t="shared" si="203"/>
        <v>ago</v>
      </c>
      <c r="N2007">
        <f t="shared" si="204"/>
        <v>2025</v>
      </c>
      <c r="O2007" s="2"/>
      <c r="P2007" t="str">
        <f t="shared" si="201"/>
        <v>138045893</v>
      </c>
    </row>
    <row r="2008" spans="1:16" x14ac:dyDescent="0.3">
      <c r="A2008">
        <v>1380</v>
      </c>
      <c r="B2008">
        <v>24</v>
      </c>
      <c r="C2008" t="s">
        <v>15</v>
      </c>
      <c r="D2008" t="s">
        <v>29</v>
      </c>
      <c r="E2008" t="s">
        <v>17</v>
      </c>
      <c r="F2008" t="s">
        <v>21</v>
      </c>
      <c r="G2008" t="s">
        <v>41</v>
      </c>
      <c r="H2008" t="s">
        <v>25</v>
      </c>
      <c r="I2008" s="1">
        <v>2</v>
      </c>
      <c r="J2008" s="2">
        <v>45933</v>
      </c>
      <c r="K2008" s="2">
        <v>45931</v>
      </c>
      <c r="L2008" s="1" t="str">
        <f t="shared" si="202"/>
        <v>sex</v>
      </c>
      <c r="M2008" s="1" t="str">
        <f t="shared" si="203"/>
        <v>out</v>
      </c>
      <c r="N2008">
        <f t="shared" si="204"/>
        <v>2025</v>
      </c>
      <c r="O2008" s="2"/>
      <c r="P2008" t="str">
        <f t="shared" si="201"/>
        <v>138045933</v>
      </c>
    </row>
    <row r="2009" spans="1:16" x14ac:dyDescent="0.3">
      <c r="A2009">
        <v>1380</v>
      </c>
      <c r="B2009">
        <v>24</v>
      </c>
      <c r="C2009" t="s">
        <v>15</v>
      </c>
      <c r="D2009" t="s">
        <v>29</v>
      </c>
      <c r="E2009" t="s">
        <v>17</v>
      </c>
      <c r="F2009" t="s">
        <v>21</v>
      </c>
      <c r="G2009" t="s">
        <v>41</v>
      </c>
      <c r="H2009" t="s">
        <v>25</v>
      </c>
      <c r="I2009" s="1">
        <v>2</v>
      </c>
      <c r="J2009" s="2">
        <v>46078</v>
      </c>
      <c r="K2009" s="2">
        <v>46054</v>
      </c>
      <c r="L2009" s="1" t="str">
        <f t="shared" si="202"/>
        <v>qua</v>
      </c>
      <c r="M2009" s="1" t="str">
        <f t="shared" si="203"/>
        <v>fev</v>
      </c>
      <c r="N2009">
        <f t="shared" si="204"/>
        <v>2026</v>
      </c>
      <c r="O2009" s="2"/>
      <c r="P2009" t="str">
        <f t="shared" si="201"/>
        <v>138046078</v>
      </c>
    </row>
    <row r="2010" spans="1:16" x14ac:dyDescent="0.3">
      <c r="A2010">
        <v>1380</v>
      </c>
      <c r="B2010">
        <v>24</v>
      </c>
      <c r="C2010" t="s">
        <v>15</v>
      </c>
      <c r="D2010" t="s">
        <v>29</v>
      </c>
      <c r="E2010" t="s">
        <v>17</v>
      </c>
      <c r="F2010" t="s">
        <v>21</v>
      </c>
      <c r="G2010" t="s">
        <v>41</v>
      </c>
      <c r="H2010" t="s">
        <v>25</v>
      </c>
      <c r="I2010" s="1">
        <v>2</v>
      </c>
      <c r="J2010" s="2">
        <v>46089</v>
      </c>
      <c r="K2010" s="2">
        <v>46082</v>
      </c>
      <c r="L2010" s="1" t="str">
        <f t="shared" si="202"/>
        <v>dom</v>
      </c>
      <c r="M2010" s="1" t="str">
        <f t="shared" si="203"/>
        <v>mar</v>
      </c>
      <c r="N2010">
        <f t="shared" si="204"/>
        <v>2026</v>
      </c>
      <c r="O2010" s="2"/>
      <c r="P2010" t="str">
        <f t="shared" si="201"/>
        <v>138046089</v>
      </c>
    </row>
    <row r="2011" spans="1:16" x14ac:dyDescent="0.3">
      <c r="A2011">
        <v>1381</v>
      </c>
      <c r="B2011">
        <v>33</v>
      </c>
      <c r="C2011" t="s">
        <v>26</v>
      </c>
      <c r="D2011" t="s">
        <v>29</v>
      </c>
      <c r="E2011" t="s">
        <v>17</v>
      </c>
      <c r="F2011" t="s">
        <v>23</v>
      </c>
      <c r="G2011" t="s">
        <v>41</v>
      </c>
      <c r="H2011" t="s">
        <v>20</v>
      </c>
      <c r="I2011" s="1">
        <v>3</v>
      </c>
      <c r="J2011" s="2">
        <v>45673</v>
      </c>
      <c r="K2011" s="2">
        <v>45658</v>
      </c>
      <c r="L2011" s="1" t="str">
        <f t="shared" si="202"/>
        <v>qui</v>
      </c>
      <c r="M2011" s="1" t="str">
        <f t="shared" si="203"/>
        <v>jan</v>
      </c>
      <c r="N2011">
        <f t="shared" si="204"/>
        <v>2025</v>
      </c>
      <c r="O2011" s="2">
        <f>_xlfn.XLOOKUP(A2011,Colaboradores!$A:$A,Colaboradores!$S:$S,"",0)</f>
        <v>45863</v>
      </c>
      <c r="P2011" t="str">
        <f t="shared" si="201"/>
        <v>138145673</v>
      </c>
    </row>
    <row r="2012" spans="1:16" x14ac:dyDescent="0.3">
      <c r="A2012">
        <v>1381</v>
      </c>
      <c r="B2012">
        <v>33</v>
      </c>
      <c r="C2012" t="s">
        <v>26</v>
      </c>
      <c r="D2012" t="s">
        <v>29</v>
      </c>
      <c r="E2012" t="s">
        <v>17</v>
      </c>
      <c r="F2012" t="s">
        <v>23</v>
      </c>
      <c r="G2012" t="s">
        <v>41</v>
      </c>
      <c r="H2012" t="s">
        <v>20</v>
      </c>
      <c r="I2012" s="1">
        <v>3</v>
      </c>
      <c r="J2012" s="2">
        <v>45717</v>
      </c>
      <c r="K2012" s="2">
        <v>45717</v>
      </c>
      <c r="L2012" s="1" t="str">
        <f t="shared" si="202"/>
        <v>sáb</v>
      </c>
      <c r="M2012" s="1" t="str">
        <f t="shared" si="203"/>
        <v>mar</v>
      </c>
      <c r="N2012">
        <f t="shared" si="204"/>
        <v>2025</v>
      </c>
      <c r="O2012" s="2">
        <f>_xlfn.XLOOKUP(A2012,Colaboradores!$A:$A,Colaboradores!$S:$S,"",0)</f>
        <v>45863</v>
      </c>
      <c r="P2012" t="str">
        <f t="shared" si="201"/>
        <v>138145717</v>
      </c>
    </row>
    <row r="2013" spans="1:16" x14ac:dyDescent="0.3">
      <c r="A2013">
        <v>1381</v>
      </c>
      <c r="B2013">
        <v>33</v>
      </c>
      <c r="C2013" t="s">
        <v>26</v>
      </c>
      <c r="D2013" t="s">
        <v>29</v>
      </c>
      <c r="E2013" t="s">
        <v>17</v>
      </c>
      <c r="F2013" t="s">
        <v>23</v>
      </c>
      <c r="G2013" t="s">
        <v>57</v>
      </c>
      <c r="H2013" t="s">
        <v>20</v>
      </c>
      <c r="I2013" s="1">
        <v>3</v>
      </c>
      <c r="J2013" s="2">
        <v>45741</v>
      </c>
      <c r="K2013" s="2">
        <v>45717</v>
      </c>
      <c r="L2013" s="1" t="str">
        <f t="shared" si="202"/>
        <v>ter</v>
      </c>
      <c r="M2013" s="1" t="str">
        <f t="shared" si="203"/>
        <v>mar</v>
      </c>
      <c r="N2013">
        <f t="shared" si="204"/>
        <v>2025</v>
      </c>
      <c r="O2013" s="2">
        <f>_xlfn.XLOOKUP(A2013,Colaboradores!$A:$A,Colaboradores!$S:$S,"",0)</f>
        <v>45863</v>
      </c>
      <c r="P2013" t="str">
        <f t="shared" si="201"/>
        <v>138145741</v>
      </c>
    </row>
    <row r="2014" spans="1:16" x14ac:dyDescent="0.3">
      <c r="A2014">
        <v>1381</v>
      </c>
      <c r="B2014">
        <v>33</v>
      </c>
      <c r="C2014" t="s">
        <v>26</v>
      </c>
      <c r="D2014" t="s">
        <v>29</v>
      </c>
      <c r="E2014" t="s">
        <v>17</v>
      </c>
      <c r="F2014" t="s">
        <v>23</v>
      </c>
      <c r="G2014" t="s">
        <v>41</v>
      </c>
      <c r="H2014" t="s">
        <v>20</v>
      </c>
      <c r="I2014" s="1">
        <v>3</v>
      </c>
      <c r="J2014" s="2">
        <v>45852</v>
      </c>
      <c r="K2014" s="2">
        <v>45839</v>
      </c>
      <c r="L2014" s="1" t="str">
        <f t="shared" si="202"/>
        <v>seg</v>
      </c>
      <c r="M2014" s="1" t="str">
        <f t="shared" si="203"/>
        <v>jul</v>
      </c>
      <c r="N2014">
        <f t="shared" si="204"/>
        <v>2025</v>
      </c>
      <c r="O2014" s="2">
        <f>_xlfn.XLOOKUP(A2014,Colaboradores!$A:$A,Colaboradores!$S:$S,"",0)</f>
        <v>45863</v>
      </c>
      <c r="P2014" t="str">
        <f t="shared" si="201"/>
        <v>138145852</v>
      </c>
    </row>
    <row r="2015" spans="1:16" x14ac:dyDescent="0.3">
      <c r="A2015">
        <v>1381</v>
      </c>
      <c r="B2015">
        <v>33</v>
      </c>
      <c r="C2015" t="s">
        <v>26</v>
      </c>
      <c r="D2015" t="s">
        <v>29</v>
      </c>
      <c r="E2015" t="s">
        <v>17</v>
      </c>
      <c r="F2015" t="s">
        <v>23</v>
      </c>
      <c r="G2015" t="s">
        <v>41</v>
      </c>
      <c r="H2015" t="s">
        <v>20</v>
      </c>
      <c r="I2015" s="1">
        <v>3</v>
      </c>
      <c r="J2015" s="2">
        <v>45854</v>
      </c>
      <c r="K2015" s="2">
        <v>45839</v>
      </c>
      <c r="L2015" s="1" t="str">
        <f t="shared" si="202"/>
        <v>qua</v>
      </c>
      <c r="M2015" s="1" t="str">
        <f t="shared" si="203"/>
        <v>jul</v>
      </c>
      <c r="N2015">
        <f t="shared" si="204"/>
        <v>2025</v>
      </c>
      <c r="O2015" s="2">
        <f>_xlfn.XLOOKUP(A2015,Colaboradores!$A:$A,Colaboradores!$S:$S,"",0)</f>
        <v>45863</v>
      </c>
      <c r="P2015" t="str">
        <f t="shared" si="201"/>
        <v>138145854</v>
      </c>
    </row>
    <row r="2016" spans="1:16" x14ac:dyDescent="0.3">
      <c r="A2016">
        <v>1383</v>
      </c>
      <c r="B2016">
        <v>37</v>
      </c>
      <c r="C2016" t="s">
        <v>26</v>
      </c>
      <c r="D2016" t="s">
        <v>27</v>
      </c>
      <c r="E2016" t="s">
        <v>17</v>
      </c>
      <c r="F2016" t="s">
        <v>18</v>
      </c>
      <c r="G2016" t="s">
        <v>44</v>
      </c>
      <c r="H2016" t="s">
        <v>25</v>
      </c>
      <c r="I2016" s="1">
        <v>1</v>
      </c>
      <c r="J2016" s="2">
        <v>45769</v>
      </c>
      <c r="K2016" s="2">
        <v>45748</v>
      </c>
      <c r="L2016" s="1" t="str">
        <f t="shared" si="202"/>
        <v>ter</v>
      </c>
      <c r="M2016" s="1" t="str">
        <f t="shared" si="203"/>
        <v>abr</v>
      </c>
      <c r="N2016">
        <f t="shared" si="204"/>
        <v>2025</v>
      </c>
      <c r="O2016" s="2"/>
      <c r="P2016" t="str">
        <f t="shared" si="201"/>
        <v>138345769</v>
      </c>
    </row>
    <row r="2017" spans="1:16" x14ac:dyDescent="0.3">
      <c r="A2017">
        <v>1383</v>
      </c>
      <c r="B2017">
        <v>37</v>
      </c>
      <c r="C2017" t="s">
        <v>26</v>
      </c>
      <c r="D2017" t="s">
        <v>27</v>
      </c>
      <c r="E2017" t="s">
        <v>17</v>
      </c>
      <c r="F2017" t="s">
        <v>18</v>
      </c>
      <c r="G2017" t="s">
        <v>42</v>
      </c>
      <c r="H2017" t="s">
        <v>25</v>
      </c>
      <c r="I2017" s="1">
        <v>1</v>
      </c>
      <c r="J2017" s="2">
        <v>45776</v>
      </c>
      <c r="K2017" s="2">
        <v>45748</v>
      </c>
      <c r="L2017" s="1" t="str">
        <f t="shared" si="202"/>
        <v>ter</v>
      </c>
      <c r="M2017" s="1" t="str">
        <f t="shared" si="203"/>
        <v>abr</v>
      </c>
      <c r="N2017">
        <f t="shared" si="204"/>
        <v>2025</v>
      </c>
      <c r="O2017" s="2"/>
      <c r="P2017" t="str">
        <f t="shared" si="201"/>
        <v>138345776</v>
      </c>
    </row>
    <row r="2018" spans="1:16" x14ac:dyDescent="0.3">
      <c r="A2018">
        <v>1383</v>
      </c>
      <c r="B2018">
        <v>37</v>
      </c>
      <c r="C2018" t="s">
        <v>26</v>
      </c>
      <c r="D2018" t="s">
        <v>27</v>
      </c>
      <c r="E2018" t="s">
        <v>17</v>
      </c>
      <c r="F2018" t="s">
        <v>18</v>
      </c>
      <c r="G2018" t="s">
        <v>44</v>
      </c>
      <c r="H2018" t="s">
        <v>25</v>
      </c>
      <c r="I2018" s="1">
        <v>1</v>
      </c>
      <c r="J2018" s="2">
        <v>45863</v>
      </c>
      <c r="K2018" s="2">
        <v>45839</v>
      </c>
      <c r="L2018" s="1" t="str">
        <f t="shared" si="202"/>
        <v>sex</v>
      </c>
      <c r="M2018" s="1" t="str">
        <f t="shared" si="203"/>
        <v>jul</v>
      </c>
      <c r="N2018">
        <f t="shared" si="204"/>
        <v>2025</v>
      </c>
      <c r="O2018" s="2"/>
      <c r="P2018" t="str">
        <f t="shared" si="201"/>
        <v>138345863</v>
      </c>
    </row>
    <row r="2019" spans="1:16" x14ac:dyDescent="0.3">
      <c r="A2019">
        <v>1383</v>
      </c>
      <c r="B2019">
        <v>37</v>
      </c>
      <c r="C2019" t="s">
        <v>26</v>
      </c>
      <c r="D2019" t="s">
        <v>27</v>
      </c>
      <c r="E2019" t="s">
        <v>17</v>
      </c>
      <c r="F2019" t="s">
        <v>18</v>
      </c>
      <c r="G2019" t="s">
        <v>44</v>
      </c>
      <c r="H2019" t="s">
        <v>25</v>
      </c>
      <c r="I2019" s="1">
        <v>1</v>
      </c>
      <c r="J2019" s="2">
        <v>46185</v>
      </c>
      <c r="K2019" s="2">
        <v>46023</v>
      </c>
      <c r="L2019" s="1" t="str">
        <f t="shared" si="202"/>
        <v>sex</v>
      </c>
      <c r="M2019" s="1" t="str">
        <f t="shared" si="203"/>
        <v>jun</v>
      </c>
      <c r="N2019">
        <f t="shared" si="204"/>
        <v>2026</v>
      </c>
      <c r="O2019" s="2"/>
      <c r="P2019" t="str">
        <f t="shared" si="201"/>
        <v>138346185</v>
      </c>
    </row>
    <row r="2020" spans="1:16" x14ac:dyDescent="0.3">
      <c r="A2020">
        <v>1383</v>
      </c>
      <c r="B2020">
        <v>37</v>
      </c>
      <c r="C2020" t="s">
        <v>26</v>
      </c>
      <c r="D2020" t="s">
        <v>27</v>
      </c>
      <c r="E2020" t="s">
        <v>17</v>
      </c>
      <c r="F2020" t="s">
        <v>18</v>
      </c>
      <c r="G2020" t="s">
        <v>42</v>
      </c>
      <c r="H2020" t="s">
        <v>25</v>
      </c>
      <c r="I2020" s="1">
        <v>1</v>
      </c>
      <c r="J2020" s="2">
        <v>46085</v>
      </c>
      <c r="K2020" s="2">
        <v>46082</v>
      </c>
      <c r="L2020" s="1" t="str">
        <f t="shared" si="202"/>
        <v>qua</v>
      </c>
      <c r="M2020" s="1" t="str">
        <f t="shared" si="203"/>
        <v>mar</v>
      </c>
      <c r="N2020">
        <f t="shared" si="204"/>
        <v>2026</v>
      </c>
      <c r="O2020" s="2"/>
      <c r="P2020" t="str">
        <f t="shared" si="201"/>
        <v>138346085</v>
      </c>
    </row>
    <row r="2021" spans="1:16" x14ac:dyDescent="0.3">
      <c r="A2021">
        <v>1383</v>
      </c>
      <c r="B2021">
        <v>37</v>
      </c>
      <c r="C2021" t="s">
        <v>26</v>
      </c>
      <c r="D2021" t="s">
        <v>27</v>
      </c>
      <c r="E2021" t="s">
        <v>17</v>
      </c>
      <c r="F2021" t="s">
        <v>18</v>
      </c>
      <c r="G2021" t="s">
        <v>44</v>
      </c>
      <c r="H2021" t="s">
        <v>25</v>
      </c>
      <c r="I2021" s="1">
        <v>1</v>
      </c>
      <c r="J2021" s="2">
        <v>46108</v>
      </c>
      <c r="K2021" s="2">
        <v>46082</v>
      </c>
      <c r="L2021" s="1" t="str">
        <f t="shared" si="202"/>
        <v>sex</v>
      </c>
      <c r="M2021" s="1" t="str">
        <f t="shared" si="203"/>
        <v>mar</v>
      </c>
      <c r="N2021">
        <f t="shared" si="204"/>
        <v>2026</v>
      </c>
      <c r="O2021" s="2"/>
      <c r="P2021" t="str">
        <f t="shared" si="201"/>
        <v>138346108</v>
      </c>
    </row>
    <row r="2022" spans="1:16" x14ac:dyDescent="0.3">
      <c r="A2022">
        <v>1383</v>
      </c>
      <c r="B2022">
        <v>37</v>
      </c>
      <c r="C2022" t="s">
        <v>26</v>
      </c>
      <c r="D2022" t="s">
        <v>27</v>
      </c>
      <c r="E2022" t="s">
        <v>17</v>
      </c>
      <c r="F2022" t="s">
        <v>18</v>
      </c>
      <c r="G2022" t="s">
        <v>44</v>
      </c>
      <c r="H2022" t="s">
        <v>25</v>
      </c>
      <c r="I2022" s="1">
        <v>1</v>
      </c>
      <c r="J2022" s="2">
        <v>46134</v>
      </c>
      <c r="K2022" s="2">
        <v>46113</v>
      </c>
      <c r="L2022" s="1" t="s">
        <v>50</v>
      </c>
      <c r="M2022" s="1" t="s">
        <v>48</v>
      </c>
      <c r="N2022">
        <v>2025</v>
      </c>
      <c r="O2022" s="2"/>
      <c r="P2022" t="str">
        <f t="shared" si="201"/>
        <v>138346134</v>
      </c>
    </row>
    <row r="2023" spans="1:16" x14ac:dyDescent="0.3">
      <c r="A2023">
        <v>1383</v>
      </c>
      <c r="B2023">
        <v>37</v>
      </c>
      <c r="C2023" t="s">
        <v>26</v>
      </c>
      <c r="D2023" t="s">
        <v>27</v>
      </c>
      <c r="E2023" t="s">
        <v>17</v>
      </c>
      <c r="F2023" t="s">
        <v>18</v>
      </c>
      <c r="G2023" t="s">
        <v>42</v>
      </c>
      <c r="H2023" t="s">
        <v>25</v>
      </c>
      <c r="I2023" s="1">
        <v>1</v>
      </c>
      <c r="J2023" s="2">
        <v>46141</v>
      </c>
      <c r="K2023" s="2">
        <v>46113</v>
      </c>
      <c r="L2023" s="1" t="s">
        <v>50</v>
      </c>
      <c r="M2023" s="1" t="s">
        <v>48</v>
      </c>
      <c r="N2023">
        <v>2025</v>
      </c>
      <c r="O2023" s="2"/>
      <c r="P2023" t="str">
        <f t="shared" si="201"/>
        <v>138346141</v>
      </c>
    </row>
    <row r="2024" spans="1:16" x14ac:dyDescent="0.3">
      <c r="A2024">
        <v>1383</v>
      </c>
      <c r="B2024">
        <v>37</v>
      </c>
      <c r="C2024" t="s">
        <v>26</v>
      </c>
      <c r="D2024" t="s">
        <v>27</v>
      </c>
      <c r="E2024" t="s">
        <v>17</v>
      </c>
      <c r="F2024" t="s">
        <v>18</v>
      </c>
      <c r="G2024" t="s">
        <v>44</v>
      </c>
      <c r="H2024" t="s">
        <v>25</v>
      </c>
      <c r="I2024" s="1">
        <v>1</v>
      </c>
      <c r="J2024" s="2">
        <v>46147</v>
      </c>
      <c r="K2024" s="2">
        <v>46143</v>
      </c>
      <c r="L2024" s="1" t="str">
        <f t="shared" ref="L2024:L2055" si="205">TEXT(J2024,"ddd")</f>
        <v>ter</v>
      </c>
      <c r="M2024" s="1" t="str">
        <f t="shared" ref="M2024:M2055" si="206">TEXT($J2024,"mmm")</f>
        <v>mai</v>
      </c>
      <c r="N2024">
        <f t="shared" ref="N2024:N2055" si="207">YEAR(J2024)</f>
        <v>2026</v>
      </c>
      <c r="O2024" s="2"/>
      <c r="P2024" t="str">
        <f t="shared" si="201"/>
        <v>138346147</v>
      </c>
    </row>
    <row r="2025" spans="1:16" x14ac:dyDescent="0.3">
      <c r="A2025">
        <v>1385</v>
      </c>
      <c r="B2025">
        <v>36</v>
      </c>
      <c r="C2025" t="s">
        <v>15</v>
      </c>
      <c r="D2025" t="s">
        <v>27</v>
      </c>
      <c r="E2025" t="s">
        <v>17</v>
      </c>
      <c r="F2025" t="s">
        <v>18</v>
      </c>
      <c r="G2025" t="s">
        <v>40</v>
      </c>
      <c r="H2025" t="s">
        <v>25</v>
      </c>
      <c r="I2025" s="1">
        <v>2</v>
      </c>
      <c r="J2025" s="2">
        <v>45930</v>
      </c>
      <c r="K2025" s="2">
        <v>45901</v>
      </c>
      <c r="L2025" s="1" t="str">
        <f t="shared" si="205"/>
        <v>ter</v>
      </c>
      <c r="M2025" s="1" t="str">
        <f t="shared" si="206"/>
        <v>set</v>
      </c>
      <c r="N2025">
        <f t="shared" si="207"/>
        <v>2025</v>
      </c>
      <c r="O2025" s="2"/>
      <c r="P2025" t="str">
        <f t="shared" si="201"/>
        <v>138545930</v>
      </c>
    </row>
    <row r="2026" spans="1:16" x14ac:dyDescent="0.3">
      <c r="A2026">
        <v>1385</v>
      </c>
      <c r="B2026">
        <v>36</v>
      </c>
      <c r="C2026" t="s">
        <v>15</v>
      </c>
      <c r="D2026" t="s">
        <v>27</v>
      </c>
      <c r="E2026" t="s">
        <v>17</v>
      </c>
      <c r="F2026" t="s">
        <v>18</v>
      </c>
      <c r="G2026" t="s">
        <v>41</v>
      </c>
      <c r="H2026" t="s">
        <v>25</v>
      </c>
      <c r="I2026" s="1">
        <v>2</v>
      </c>
      <c r="J2026" s="2">
        <v>45959</v>
      </c>
      <c r="K2026" s="2">
        <v>45931</v>
      </c>
      <c r="L2026" s="1" t="str">
        <f t="shared" si="205"/>
        <v>qua</v>
      </c>
      <c r="M2026" s="1" t="str">
        <f t="shared" si="206"/>
        <v>out</v>
      </c>
      <c r="N2026">
        <f t="shared" si="207"/>
        <v>2025</v>
      </c>
      <c r="O2026" s="2"/>
      <c r="P2026" t="str">
        <f t="shared" si="201"/>
        <v>138545959</v>
      </c>
    </row>
    <row r="2027" spans="1:16" x14ac:dyDescent="0.3">
      <c r="A2027">
        <v>1385</v>
      </c>
      <c r="B2027">
        <v>36</v>
      </c>
      <c r="C2027" t="s">
        <v>15</v>
      </c>
      <c r="D2027" t="s">
        <v>27</v>
      </c>
      <c r="E2027" t="s">
        <v>17</v>
      </c>
      <c r="F2027" t="s">
        <v>18</v>
      </c>
      <c r="G2027" t="s">
        <v>41</v>
      </c>
      <c r="H2027" t="s">
        <v>25</v>
      </c>
      <c r="I2027" s="1">
        <v>2</v>
      </c>
      <c r="J2027" s="2">
        <v>45967</v>
      </c>
      <c r="K2027" s="2">
        <v>45962</v>
      </c>
      <c r="L2027" s="1" t="str">
        <f t="shared" si="205"/>
        <v>qui</v>
      </c>
      <c r="M2027" s="1" t="str">
        <f t="shared" si="206"/>
        <v>nov</v>
      </c>
      <c r="N2027">
        <f t="shared" si="207"/>
        <v>2025</v>
      </c>
      <c r="O2027" s="2"/>
      <c r="P2027" t="str">
        <f t="shared" si="201"/>
        <v>138545967</v>
      </c>
    </row>
    <row r="2028" spans="1:16" x14ac:dyDescent="0.3">
      <c r="A2028">
        <v>1385</v>
      </c>
      <c r="B2028">
        <v>36</v>
      </c>
      <c r="C2028" t="s">
        <v>15</v>
      </c>
      <c r="D2028" t="s">
        <v>27</v>
      </c>
      <c r="E2028" t="s">
        <v>17</v>
      </c>
      <c r="F2028" t="s">
        <v>18</v>
      </c>
      <c r="G2028" t="s">
        <v>41</v>
      </c>
      <c r="H2028" t="s">
        <v>25</v>
      </c>
      <c r="I2028" s="1">
        <v>2</v>
      </c>
      <c r="J2028" s="2">
        <v>46183</v>
      </c>
      <c r="K2028" s="2">
        <v>46023</v>
      </c>
      <c r="L2028" s="1" t="str">
        <f t="shared" si="205"/>
        <v>qua</v>
      </c>
      <c r="M2028" s="1" t="str">
        <f t="shared" si="206"/>
        <v>jun</v>
      </c>
      <c r="N2028">
        <f t="shared" si="207"/>
        <v>2026</v>
      </c>
      <c r="O2028" s="2"/>
      <c r="P2028" t="str">
        <f t="shared" si="201"/>
        <v>138546183</v>
      </c>
    </row>
    <row r="2029" spans="1:16" x14ac:dyDescent="0.3">
      <c r="A2029">
        <v>1385</v>
      </c>
      <c r="B2029">
        <v>36</v>
      </c>
      <c r="C2029" t="s">
        <v>15</v>
      </c>
      <c r="D2029" t="s">
        <v>27</v>
      </c>
      <c r="E2029" t="s">
        <v>17</v>
      </c>
      <c r="F2029" t="s">
        <v>18</v>
      </c>
      <c r="G2029" t="s">
        <v>40</v>
      </c>
      <c r="H2029" t="s">
        <v>25</v>
      </c>
      <c r="I2029" s="1">
        <v>2</v>
      </c>
      <c r="J2029" s="2">
        <v>46106</v>
      </c>
      <c r="K2029" s="2">
        <v>46082</v>
      </c>
      <c r="L2029" s="1" t="str">
        <f t="shared" si="205"/>
        <v>qua</v>
      </c>
      <c r="M2029" s="1" t="str">
        <f t="shared" si="206"/>
        <v>mar</v>
      </c>
      <c r="N2029">
        <f t="shared" si="207"/>
        <v>2026</v>
      </c>
      <c r="O2029" s="2"/>
      <c r="P2029" t="str">
        <f t="shared" si="201"/>
        <v>138546106</v>
      </c>
    </row>
    <row r="2030" spans="1:16" x14ac:dyDescent="0.3">
      <c r="A2030">
        <v>1386</v>
      </c>
      <c r="B2030">
        <v>20</v>
      </c>
      <c r="C2030" t="s">
        <v>26</v>
      </c>
      <c r="D2030" t="s">
        <v>22</v>
      </c>
      <c r="E2030" t="s">
        <v>17</v>
      </c>
      <c r="F2030" t="s">
        <v>23</v>
      </c>
      <c r="G2030" t="s">
        <v>41</v>
      </c>
      <c r="H2030" t="s">
        <v>20</v>
      </c>
      <c r="I2030" s="1">
        <v>1</v>
      </c>
      <c r="J2030" s="2">
        <v>45840</v>
      </c>
      <c r="K2030" s="2">
        <v>45839</v>
      </c>
      <c r="L2030" s="1" t="str">
        <f t="shared" si="205"/>
        <v>qua</v>
      </c>
      <c r="M2030" s="1" t="str">
        <f t="shared" si="206"/>
        <v>jul</v>
      </c>
      <c r="N2030">
        <f t="shared" si="207"/>
        <v>2025</v>
      </c>
      <c r="O2030" s="2">
        <f>_xlfn.XLOOKUP(A2030,Colaboradores!$A:$A,Colaboradores!$S:$S,"",0)</f>
        <v>46130</v>
      </c>
      <c r="P2030" t="str">
        <f t="shared" si="201"/>
        <v>138645840</v>
      </c>
    </row>
    <row r="2031" spans="1:16" x14ac:dyDescent="0.3">
      <c r="A2031">
        <v>1386</v>
      </c>
      <c r="B2031">
        <v>20</v>
      </c>
      <c r="C2031" t="s">
        <v>26</v>
      </c>
      <c r="D2031" t="s">
        <v>22</v>
      </c>
      <c r="E2031" t="s">
        <v>17</v>
      </c>
      <c r="F2031" t="s">
        <v>23</v>
      </c>
      <c r="G2031" t="s">
        <v>44</v>
      </c>
      <c r="H2031" t="s">
        <v>20</v>
      </c>
      <c r="I2031" s="1">
        <v>1</v>
      </c>
      <c r="J2031" s="2">
        <v>45887</v>
      </c>
      <c r="K2031" s="2">
        <v>45870</v>
      </c>
      <c r="L2031" s="1" t="str">
        <f t="shared" si="205"/>
        <v>seg</v>
      </c>
      <c r="M2031" s="1" t="str">
        <f t="shared" si="206"/>
        <v>ago</v>
      </c>
      <c r="N2031">
        <f t="shared" si="207"/>
        <v>2025</v>
      </c>
      <c r="O2031" s="2">
        <f>_xlfn.XLOOKUP(A2031,Colaboradores!$A:$A,Colaboradores!$S:$S,"",0)</f>
        <v>46130</v>
      </c>
      <c r="P2031" t="str">
        <f t="shared" si="201"/>
        <v>138645887</v>
      </c>
    </row>
    <row r="2032" spans="1:16" x14ac:dyDescent="0.3">
      <c r="A2032">
        <v>1386</v>
      </c>
      <c r="B2032">
        <v>20</v>
      </c>
      <c r="C2032" t="s">
        <v>26</v>
      </c>
      <c r="D2032" t="s">
        <v>22</v>
      </c>
      <c r="E2032" t="s">
        <v>17</v>
      </c>
      <c r="F2032" t="s">
        <v>23</v>
      </c>
      <c r="G2032" t="s">
        <v>44</v>
      </c>
      <c r="H2032" t="s">
        <v>20</v>
      </c>
      <c r="I2032" s="1">
        <v>1</v>
      </c>
      <c r="J2032" s="2">
        <v>45892</v>
      </c>
      <c r="K2032" s="2">
        <v>45870</v>
      </c>
      <c r="L2032" s="1" t="str">
        <f t="shared" si="205"/>
        <v>sáb</v>
      </c>
      <c r="M2032" s="1" t="str">
        <f t="shared" si="206"/>
        <v>ago</v>
      </c>
      <c r="N2032">
        <f t="shared" si="207"/>
        <v>2025</v>
      </c>
      <c r="O2032" s="2">
        <f>_xlfn.XLOOKUP(A2032,Colaboradores!$A:$A,Colaboradores!$S:$S,"",0)</f>
        <v>46130</v>
      </c>
      <c r="P2032" t="str">
        <f t="shared" si="201"/>
        <v>138645892</v>
      </c>
    </row>
    <row r="2033" spans="1:16" x14ac:dyDescent="0.3">
      <c r="A2033">
        <v>1386</v>
      </c>
      <c r="B2033">
        <v>20</v>
      </c>
      <c r="C2033" t="s">
        <v>26</v>
      </c>
      <c r="D2033" t="s">
        <v>22</v>
      </c>
      <c r="E2033" t="s">
        <v>17</v>
      </c>
      <c r="F2033" t="s">
        <v>23</v>
      </c>
      <c r="G2033" t="s">
        <v>44</v>
      </c>
      <c r="H2033" t="s">
        <v>20</v>
      </c>
      <c r="I2033" s="1">
        <v>1</v>
      </c>
      <c r="J2033" s="2">
        <v>45904</v>
      </c>
      <c r="K2033" s="2">
        <v>45901</v>
      </c>
      <c r="L2033" s="1" t="str">
        <f t="shared" si="205"/>
        <v>qui</v>
      </c>
      <c r="M2033" s="1" t="str">
        <f t="shared" si="206"/>
        <v>set</v>
      </c>
      <c r="N2033">
        <f t="shared" si="207"/>
        <v>2025</v>
      </c>
      <c r="O2033" s="2">
        <f>_xlfn.XLOOKUP(A2033,Colaboradores!$A:$A,Colaboradores!$S:$S,"",0)</f>
        <v>46130</v>
      </c>
      <c r="P2033" t="str">
        <f t="shared" si="201"/>
        <v>138645904</v>
      </c>
    </row>
    <row r="2034" spans="1:16" x14ac:dyDescent="0.3">
      <c r="A2034">
        <v>1386</v>
      </c>
      <c r="B2034">
        <v>20</v>
      </c>
      <c r="C2034" t="s">
        <v>26</v>
      </c>
      <c r="D2034" t="s">
        <v>22</v>
      </c>
      <c r="E2034" t="s">
        <v>17</v>
      </c>
      <c r="F2034" t="s">
        <v>23</v>
      </c>
      <c r="G2034" t="s">
        <v>41</v>
      </c>
      <c r="H2034" t="s">
        <v>20</v>
      </c>
      <c r="I2034" s="1">
        <v>1</v>
      </c>
      <c r="J2034" s="2">
        <v>46062</v>
      </c>
      <c r="K2034" s="2">
        <v>46054</v>
      </c>
      <c r="L2034" s="1" t="str">
        <f t="shared" si="205"/>
        <v>seg</v>
      </c>
      <c r="M2034" s="1" t="str">
        <f t="shared" si="206"/>
        <v>fev</v>
      </c>
      <c r="N2034">
        <f t="shared" si="207"/>
        <v>2026</v>
      </c>
      <c r="O2034" s="2">
        <f>_xlfn.XLOOKUP(A2034,Colaboradores!$A:$A,Colaboradores!$S:$S,"",0)</f>
        <v>46130</v>
      </c>
      <c r="P2034" t="str">
        <f t="shared" si="201"/>
        <v>138646062</v>
      </c>
    </row>
    <row r="2035" spans="1:16" x14ac:dyDescent="0.3">
      <c r="A2035">
        <v>1386</v>
      </c>
      <c r="B2035">
        <v>20</v>
      </c>
      <c r="C2035" t="s">
        <v>26</v>
      </c>
      <c r="D2035" t="s">
        <v>22</v>
      </c>
      <c r="E2035" t="s">
        <v>17</v>
      </c>
      <c r="F2035" t="s">
        <v>23</v>
      </c>
      <c r="G2035" t="s">
        <v>41</v>
      </c>
      <c r="H2035" t="s">
        <v>20</v>
      </c>
      <c r="I2035" s="1">
        <v>1</v>
      </c>
      <c r="J2035" s="2">
        <v>46081</v>
      </c>
      <c r="K2035" s="2">
        <v>46054</v>
      </c>
      <c r="L2035" s="1" t="str">
        <f t="shared" si="205"/>
        <v>sáb</v>
      </c>
      <c r="M2035" s="1" t="str">
        <f t="shared" si="206"/>
        <v>fev</v>
      </c>
      <c r="N2035">
        <f t="shared" si="207"/>
        <v>2026</v>
      </c>
      <c r="O2035" s="2">
        <f>_xlfn.XLOOKUP(A2035,Colaboradores!$A:$A,Colaboradores!$S:$S,"",0)</f>
        <v>46130</v>
      </c>
      <c r="P2035" t="str">
        <f t="shared" si="201"/>
        <v>138646081</v>
      </c>
    </row>
    <row r="2036" spans="1:16" x14ac:dyDescent="0.3">
      <c r="A2036">
        <v>1388</v>
      </c>
      <c r="B2036">
        <v>39</v>
      </c>
      <c r="C2036" t="s">
        <v>15</v>
      </c>
      <c r="D2036" t="s">
        <v>29</v>
      </c>
      <c r="E2036" t="s">
        <v>17</v>
      </c>
      <c r="F2036" t="s">
        <v>23</v>
      </c>
      <c r="G2036" t="s">
        <v>42</v>
      </c>
      <c r="H2036" t="s">
        <v>20</v>
      </c>
      <c r="I2036" s="1">
        <v>3</v>
      </c>
      <c r="J2036" s="2">
        <v>45791</v>
      </c>
      <c r="K2036" s="2">
        <v>45778</v>
      </c>
      <c r="L2036" s="1" t="str">
        <f t="shared" si="205"/>
        <v>qua</v>
      </c>
      <c r="M2036" s="1" t="str">
        <f t="shared" si="206"/>
        <v>mai</v>
      </c>
      <c r="N2036">
        <f t="shared" si="207"/>
        <v>2025</v>
      </c>
      <c r="O2036" s="2">
        <f>_xlfn.XLOOKUP(A2036,Colaboradores!$A:$A,Colaboradores!$S:$S,"",0)</f>
        <v>46202</v>
      </c>
      <c r="P2036" t="str">
        <f t="shared" si="201"/>
        <v>138845791</v>
      </c>
    </row>
    <row r="2037" spans="1:16" x14ac:dyDescent="0.3">
      <c r="A2037">
        <v>1388</v>
      </c>
      <c r="B2037">
        <v>39</v>
      </c>
      <c r="C2037" t="s">
        <v>15</v>
      </c>
      <c r="D2037" t="s">
        <v>29</v>
      </c>
      <c r="E2037" t="s">
        <v>17</v>
      </c>
      <c r="F2037" t="s">
        <v>23</v>
      </c>
      <c r="G2037" t="s">
        <v>41</v>
      </c>
      <c r="H2037" t="s">
        <v>20</v>
      </c>
      <c r="I2037" s="1">
        <v>3</v>
      </c>
      <c r="J2037" s="2">
        <v>45807</v>
      </c>
      <c r="K2037" s="2">
        <v>45778</v>
      </c>
      <c r="L2037" s="1" t="str">
        <f t="shared" si="205"/>
        <v>sex</v>
      </c>
      <c r="M2037" s="1" t="str">
        <f t="shared" si="206"/>
        <v>mai</v>
      </c>
      <c r="N2037">
        <f t="shared" si="207"/>
        <v>2025</v>
      </c>
      <c r="O2037" s="2">
        <f>_xlfn.XLOOKUP(A2037,Colaboradores!$A:$A,Colaboradores!$S:$S,"",0)</f>
        <v>46202</v>
      </c>
      <c r="P2037" t="str">
        <f t="shared" si="201"/>
        <v>138845807</v>
      </c>
    </row>
    <row r="2038" spans="1:16" x14ac:dyDescent="0.3">
      <c r="A2038">
        <v>1388</v>
      </c>
      <c r="B2038">
        <v>39</v>
      </c>
      <c r="C2038" t="s">
        <v>15</v>
      </c>
      <c r="D2038" t="s">
        <v>29</v>
      </c>
      <c r="E2038" t="s">
        <v>17</v>
      </c>
      <c r="F2038" t="s">
        <v>23</v>
      </c>
      <c r="G2038" t="s">
        <v>41</v>
      </c>
      <c r="H2038" t="s">
        <v>20</v>
      </c>
      <c r="I2038" s="1">
        <v>3</v>
      </c>
      <c r="J2038" s="2">
        <v>45827</v>
      </c>
      <c r="K2038" s="2">
        <v>45809</v>
      </c>
      <c r="L2038" s="1" t="str">
        <f t="shared" si="205"/>
        <v>qui</v>
      </c>
      <c r="M2038" s="1" t="str">
        <f t="shared" si="206"/>
        <v>jun</v>
      </c>
      <c r="N2038">
        <f t="shared" si="207"/>
        <v>2025</v>
      </c>
      <c r="O2038" s="2">
        <f>_xlfn.XLOOKUP(A2038,Colaboradores!$A:$A,Colaboradores!$S:$S,"",0)</f>
        <v>46202</v>
      </c>
      <c r="P2038" t="str">
        <f t="shared" si="201"/>
        <v>138845827</v>
      </c>
    </row>
    <row r="2039" spans="1:16" x14ac:dyDescent="0.3">
      <c r="A2039">
        <v>1388</v>
      </c>
      <c r="B2039">
        <v>39</v>
      </c>
      <c r="C2039" t="s">
        <v>15</v>
      </c>
      <c r="D2039" t="s">
        <v>29</v>
      </c>
      <c r="E2039" t="s">
        <v>17</v>
      </c>
      <c r="F2039" t="s">
        <v>23</v>
      </c>
      <c r="G2039" t="s">
        <v>42</v>
      </c>
      <c r="H2039" t="s">
        <v>20</v>
      </c>
      <c r="I2039" s="1">
        <v>3</v>
      </c>
      <c r="J2039" s="2">
        <v>45951</v>
      </c>
      <c r="K2039" s="2">
        <v>45931</v>
      </c>
      <c r="L2039" s="1" t="str">
        <f t="shared" si="205"/>
        <v>ter</v>
      </c>
      <c r="M2039" s="1" t="str">
        <f t="shared" si="206"/>
        <v>out</v>
      </c>
      <c r="N2039">
        <f t="shared" si="207"/>
        <v>2025</v>
      </c>
      <c r="O2039" s="2">
        <f>_xlfn.XLOOKUP(A2039,Colaboradores!$A:$A,Colaboradores!$S:$S,"",0)</f>
        <v>46202</v>
      </c>
      <c r="P2039" t="str">
        <f t="shared" si="201"/>
        <v>138845951</v>
      </c>
    </row>
    <row r="2040" spans="1:16" x14ac:dyDescent="0.3">
      <c r="A2040">
        <v>1388</v>
      </c>
      <c r="B2040">
        <v>39</v>
      </c>
      <c r="C2040" t="s">
        <v>15</v>
      </c>
      <c r="D2040" t="s">
        <v>29</v>
      </c>
      <c r="E2040" t="s">
        <v>17</v>
      </c>
      <c r="F2040" t="s">
        <v>23</v>
      </c>
      <c r="G2040" t="s">
        <v>41</v>
      </c>
      <c r="H2040" t="s">
        <v>20</v>
      </c>
      <c r="I2040" s="1">
        <v>3</v>
      </c>
      <c r="J2040" s="2">
        <v>46018</v>
      </c>
      <c r="K2040" s="2">
        <v>45992</v>
      </c>
      <c r="L2040" s="1" t="str">
        <f t="shared" si="205"/>
        <v>sáb</v>
      </c>
      <c r="M2040" s="1" t="str">
        <f t="shared" si="206"/>
        <v>dez</v>
      </c>
      <c r="N2040">
        <f t="shared" si="207"/>
        <v>2025</v>
      </c>
      <c r="O2040" s="2">
        <f>_xlfn.XLOOKUP(A2040,Colaboradores!$A:$A,Colaboradores!$S:$S,"",0)</f>
        <v>46202</v>
      </c>
      <c r="P2040" t="str">
        <f t="shared" si="201"/>
        <v>138846018</v>
      </c>
    </row>
    <row r="2041" spans="1:16" x14ac:dyDescent="0.3">
      <c r="A2041">
        <v>1388</v>
      </c>
      <c r="B2041">
        <v>39</v>
      </c>
      <c r="C2041" t="s">
        <v>15</v>
      </c>
      <c r="D2041" t="s">
        <v>29</v>
      </c>
      <c r="E2041" t="s">
        <v>17</v>
      </c>
      <c r="F2041" t="s">
        <v>23</v>
      </c>
      <c r="G2041" t="s">
        <v>42</v>
      </c>
      <c r="H2041" t="s">
        <v>20</v>
      </c>
      <c r="I2041" s="1">
        <v>3</v>
      </c>
      <c r="J2041" s="2">
        <v>46098</v>
      </c>
      <c r="K2041" s="2">
        <v>46082</v>
      </c>
      <c r="L2041" s="1" t="str">
        <f t="shared" si="205"/>
        <v>ter</v>
      </c>
      <c r="M2041" s="1" t="str">
        <f t="shared" si="206"/>
        <v>mar</v>
      </c>
      <c r="N2041">
        <f t="shared" si="207"/>
        <v>2026</v>
      </c>
      <c r="O2041" s="2">
        <f>_xlfn.XLOOKUP(A2041,Colaboradores!$A:$A,Colaboradores!$S:$S,"",0)</f>
        <v>46202</v>
      </c>
      <c r="P2041" t="str">
        <f t="shared" si="201"/>
        <v>138846098</v>
      </c>
    </row>
    <row r="2042" spans="1:16" x14ac:dyDescent="0.3">
      <c r="A2042">
        <v>1389</v>
      </c>
      <c r="B2042">
        <v>52</v>
      </c>
      <c r="C2042" t="s">
        <v>15</v>
      </c>
      <c r="D2042" t="s">
        <v>29</v>
      </c>
      <c r="E2042" t="s">
        <v>17</v>
      </c>
      <c r="F2042" t="s">
        <v>21</v>
      </c>
      <c r="G2042" t="s">
        <v>43</v>
      </c>
      <c r="H2042" t="s">
        <v>20</v>
      </c>
      <c r="I2042" s="1">
        <v>2</v>
      </c>
      <c r="J2042" s="2">
        <v>45902</v>
      </c>
      <c r="K2042" s="2">
        <v>45901</v>
      </c>
      <c r="L2042" s="1" t="str">
        <f t="shared" si="205"/>
        <v>ter</v>
      </c>
      <c r="M2042" s="1" t="str">
        <f t="shared" si="206"/>
        <v>set</v>
      </c>
      <c r="N2042">
        <f t="shared" si="207"/>
        <v>2025</v>
      </c>
      <c r="O2042" s="2">
        <f>_xlfn.XLOOKUP(A2042,Colaboradores!$A:$A,Colaboradores!$S:$S,"",0)</f>
        <v>46075</v>
      </c>
      <c r="P2042" t="str">
        <f t="shared" si="201"/>
        <v>138945902</v>
      </c>
    </row>
    <row r="2043" spans="1:16" x14ac:dyDescent="0.3">
      <c r="A2043">
        <v>1389</v>
      </c>
      <c r="B2043">
        <v>52</v>
      </c>
      <c r="C2043" t="s">
        <v>15</v>
      </c>
      <c r="D2043" t="s">
        <v>29</v>
      </c>
      <c r="E2043" t="s">
        <v>17</v>
      </c>
      <c r="F2043" t="s">
        <v>21</v>
      </c>
      <c r="G2043" t="s">
        <v>43</v>
      </c>
      <c r="H2043" t="s">
        <v>20</v>
      </c>
      <c r="I2043" s="1">
        <v>2</v>
      </c>
      <c r="J2043" s="2">
        <v>45919</v>
      </c>
      <c r="K2043" s="2">
        <v>45901</v>
      </c>
      <c r="L2043" s="1" t="str">
        <f t="shared" si="205"/>
        <v>sex</v>
      </c>
      <c r="M2043" s="1" t="str">
        <f t="shared" si="206"/>
        <v>set</v>
      </c>
      <c r="N2043">
        <f t="shared" si="207"/>
        <v>2025</v>
      </c>
      <c r="O2043" s="2">
        <f>_xlfn.XLOOKUP(A2043,Colaboradores!$A:$A,Colaboradores!$S:$S,"",0)</f>
        <v>46075</v>
      </c>
      <c r="P2043" t="str">
        <f t="shared" si="201"/>
        <v>138945919</v>
      </c>
    </row>
    <row r="2044" spans="1:16" x14ac:dyDescent="0.3">
      <c r="A2044">
        <v>1389</v>
      </c>
      <c r="B2044">
        <v>52</v>
      </c>
      <c r="C2044" t="s">
        <v>15</v>
      </c>
      <c r="D2044" t="s">
        <v>29</v>
      </c>
      <c r="E2044" t="s">
        <v>17</v>
      </c>
      <c r="F2044" t="s">
        <v>21</v>
      </c>
      <c r="G2044" t="s">
        <v>43</v>
      </c>
      <c r="H2044" t="s">
        <v>20</v>
      </c>
      <c r="I2044" s="1">
        <v>2</v>
      </c>
      <c r="J2044" s="2">
        <v>45933</v>
      </c>
      <c r="K2044" s="2">
        <v>45931</v>
      </c>
      <c r="L2044" s="1" t="str">
        <f t="shared" si="205"/>
        <v>sex</v>
      </c>
      <c r="M2044" s="1" t="str">
        <f t="shared" si="206"/>
        <v>out</v>
      </c>
      <c r="N2044">
        <f t="shared" si="207"/>
        <v>2025</v>
      </c>
      <c r="O2044" s="2">
        <f>_xlfn.XLOOKUP(A2044,Colaboradores!$A:$A,Colaboradores!$S:$S,"",0)</f>
        <v>46075</v>
      </c>
      <c r="P2044" t="str">
        <f t="shared" si="201"/>
        <v>138945933</v>
      </c>
    </row>
    <row r="2045" spans="1:16" x14ac:dyDescent="0.3">
      <c r="A2045">
        <v>1389</v>
      </c>
      <c r="B2045">
        <v>52</v>
      </c>
      <c r="C2045" t="s">
        <v>15</v>
      </c>
      <c r="D2045" t="s">
        <v>29</v>
      </c>
      <c r="E2045" t="s">
        <v>17</v>
      </c>
      <c r="F2045" t="s">
        <v>21</v>
      </c>
      <c r="G2045" t="s">
        <v>43</v>
      </c>
      <c r="H2045" t="s">
        <v>20</v>
      </c>
      <c r="I2045" s="1">
        <v>2</v>
      </c>
      <c r="J2045" s="2">
        <v>46022</v>
      </c>
      <c r="K2045" s="2">
        <v>45992</v>
      </c>
      <c r="L2045" s="1" t="str">
        <f t="shared" si="205"/>
        <v>qua</v>
      </c>
      <c r="M2045" s="1" t="str">
        <f t="shared" si="206"/>
        <v>dez</v>
      </c>
      <c r="N2045">
        <f t="shared" si="207"/>
        <v>2025</v>
      </c>
      <c r="O2045" s="2">
        <f>_xlfn.XLOOKUP(A2045,Colaboradores!$A:$A,Colaboradores!$S:$S,"",0)</f>
        <v>46075</v>
      </c>
      <c r="P2045" t="str">
        <f t="shared" si="201"/>
        <v>138946022</v>
      </c>
    </row>
    <row r="2046" spans="1:16" x14ac:dyDescent="0.3">
      <c r="A2046">
        <v>1389</v>
      </c>
      <c r="B2046">
        <v>52</v>
      </c>
      <c r="C2046" t="s">
        <v>15</v>
      </c>
      <c r="D2046" t="s">
        <v>29</v>
      </c>
      <c r="E2046" t="s">
        <v>17</v>
      </c>
      <c r="F2046" t="s">
        <v>21</v>
      </c>
      <c r="G2046" t="s">
        <v>43</v>
      </c>
      <c r="H2046" t="s">
        <v>20</v>
      </c>
      <c r="I2046" s="1">
        <v>2</v>
      </c>
      <c r="J2046" s="2">
        <v>46179</v>
      </c>
      <c r="K2046" s="2">
        <v>46023</v>
      </c>
      <c r="L2046" s="1" t="str">
        <f t="shared" si="205"/>
        <v>sáb</v>
      </c>
      <c r="M2046" s="1" t="str">
        <f t="shared" si="206"/>
        <v>jun</v>
      </c>
      <c r="N2046">
        <f t="shared" si="207"/>
        <v>2026</v>
      </c>
      <c r="O2046" s="2">
        <f>_xlfn.XLOOKUP(A2046,Colaboradores!$A:$A,Colaboradores!$S:$S,"",0)</f>
        <v>46075</v>
      </c>
      <c r="P2046" t="str">
        <f t="shared" si="201"/>
        <v>138946179</v>
      </c>
    </row>
    <row r="2047" spans="1:16" x14ac:dyDescent="0.3">
      <c r="A2047">
        <v>1389</v>
      </c>
      <c r="B2047">
        <v>52</v>
      </c>
      <c r="C2047" t="s">
        <v>15</v>
      </c>
      <c r="D2047" t="s">
        <v>29</v>
      </c>
      <c r="E2047" t="s">
        <v>17</v>
      </c>
      <c r="F2047" t="s">
        <v>21</v>
      </c>
      <c r="G2047" t="s">
        <v>43</v>
      </c>
      <c r="H2047" t="s">
        <v>20</v>
      </c>
      <c r="I2047" s="1">
        <v>2</v>
      </c>
      <c r="J2047" s="2">
        <v>46196</v>
      </c>
      <c r="K2047" s="2">
        <v>46023</v>
      </c>
      <c r="L2047" s="1" t="str">
        <f t="shared" si="205"/>
        <v>ter</v>
      </c>
      <c r="M2047" s="1" t="str">
        <f t="shared" si="206"/>
        <v>jun</v>
      </c>
      <c r="N2047">
        <f t="shared" si="207"/>
        <v>2026</v>
      </c>
      <c r="O2047" s="2">
        <f>_xlfn.XLOOKUP(A2047,Colaboradores!$A:$A,Colaboradores!$S:$S,"",0)</f>
        <v>46075</v>
      </c>
      <c r="P2047" t="str">
        <f t="shared" si="201"/>
        <v>138946196</v>
      </c>
    </row>
    <row r="2048" spans="1:16" x14ac:dyDescent="0.3">
      <c r="A2048">
        <v>1391</v>
      </c>
      <c r="B2048">
        <v>49</v>
      </c>
      <c r="C2048" t="s">
        <v>15</v>
      </c>
      <c r="D2048" t="s">
        <v>16</v>
      </c>
      <c r="E2048" t="s">
        <v>17</v>
      </c>
      <c r="F2048" t="s">
        <v>21</v>
      </c>
      <c r="G2048" t="s">
        <v>41</v>
      </c>
      <c r="H2048" t="s">
        <v>25</v>
      </c>
      <c r="I2048" s="1">
        <v>2</v>
      </c>
      <c r="J2048" s="2">
        <v>45882</v>
      </c>
      <c r="K2048" s="2">
        <v>45870</v>
      </c>
      <c r="L2048" s="1" t="str">
        <f t="shared" si="205"/>
        <v>qua</v>
      </c>
      <c r="M2048" s="1" t="str">
        <f t="shared" si="206"/>
        <v>ago</v>
      </c>
      <c r="N2048">
        <f t="shared" si="207"/>
        <v>2025</v>
      </c>
      <c r="O2048" s="2"/>
      <c r="P2048" t="str">
        <f t="shared" si="201"/>
        <v>139145882</v>
      </c>
    </row>
    <row r="2049" spans="1:16" x14ac:dyDescent="0.3">
      <c r="A2049">
        <v>1391</v>
      </c>
      <c r="B2049">
        <v>49</v>
      </c>
      <c r="C2049" t="s">
        <v>15</v>
      </c>
      <c r="D2049" t="s">
        <v>16</v>
      </c>
      <c r="E2049" t="s">
        <v>17</v>
      </c>
      <c r="F2049" t="s">
        <v>21</v>
      </c>
      <c r="G2049" t="s">
        <v>41</v>
      </c>
      <c r="H2049" t="s">
        <v>25</v>
      </c>
      <c r="I2049" s="1">
        <v>2</v>
      </c>
      <c r="J2049" s="2">
        <v>45939</v>
      </c>
      <c r="K2049" s="2">
        <v>45931</v>
      </c>
      <c r="L2049" s="1" t="str">
        <f t="shared" si="205"/>
        <v>qui</v>
      </c>
      <c r="M2049" s="1" t="str">
        <f t="shared" si="206"/>
        <v>out</v>
      </c>
      <c r="N2049">
        <f t="shared" si="207"/>
        <v>2025</v>
      </c>
      <c r="O2049" s="2"/>
      <c r="P2049" t="str">
        <f t="shared" ref="P2049:P2112" si="208">CONCATENATE(A2049,J2049)</f>
        <v>139145939</v>
      </c>
    </row>
    <row r="2050" spans="1:16" x14ac:dyDescent="0.3">
      <c r="A2050">
        <v>1391</v>
      </c>
      <c r="B2050">
        <v>49</v>
      </c>
      <c r="C2050" t="s">
        <v>15</v>
      </c>
      <c r="D2050" t="s">
        <v>16</v>
      </c>
      <c r="E2050" t="s">
        <v>17</v>
      </c>
      <c r="F2050" t="s">
        <v>21</v>
      </c>
      <c r="G2050" t="s">
        <v>41</v>
      </c>
      <c r="H2050" t="s">
        <v>25</v>
      </c>
      <c r="I2050" s="1">
        <v>2</v>
      </c>
      <c r="J2050" s="2">
        <v>45983</v>
      </c>
      <c r="K2050" s="2">
        <v>45962</v>
      </c>
      <c r="L2050" s="1" t="str">
        <f t="shared" si="205"/>
        <v>sáb</v>
      </c>
      <c r="M2050" s="1" t="str">
        <f t="shared" si="206"/>
        <v>nov</v>
      </c>
      <c r="N2050">
        <f t="shared" si="207"/>
        <v>2025</v>
      </c>
      <c r="O2050" s="2"/>
      <c r="P2050" t="str">
        <f t="shared" si="208"/>
        <v>139145983</v>
      </c>
    </row>
    <row r="2051" spans="1:16" x14ac:dyDescent="0.3">
      <c r="A2051">
        <v>1391</v>
      </c>
      <c r="B2051">
        <v>49</v>
      </c>
      <c r="C2051" t="s">
        <v>15</v>
      </c>
      <c r="D2051" t="s">
        <v>16</v>
      </c>
      <c r="E2051" t="s">
        <v>17</v>
      </c>
      <c r="F2051" t="s">
        <v>21</v>
      </c>
      <c r="G2051" t="s">
        <v>41</v>
      </c>
      <c r="H2051" t="s">
        <v>25</v>
      </c>
      <c r="I2051" s="1">
        <v>2</v>
      </c>
      <c r="J2051" s="2">
        <v>45998</v>
      </c>
      <c r="K2051" s="2">
        <v>45992</v>
      </c>
      <c r="L2051" s="1" t="str">
        <f t="shared" si="205"/>
        <v>dom</v>
      </c>
      <c r="M2051" s="1" t="str">
        <f t="shared" si="206"/>
        <v>dez</v>
      </c>
      <c r="N2051">
        <f t="shared" si="207"/>
        <v>2025</v>
      </c>
      <c r="O2051" s="2"/>
      <c r="P2051" t="str">
        <f t="shared" si="208"/>
        <v>139145998</v>
      </c>
    </row>
    <row r="2052" spans="1:16" x14ac:dyDescent="0.3">
      <c r="A2052">
        <v>1391</v>
      </c>
      <c r="B2052">
        <v>49</v>
      </c>
      <c r="C2052" t="s">
        <v>15</v>
      </c>
      <c r="D2052" t="s">
        <v>16</v>
      </c>
      <c r="E2052" t="s">
        <v>17</v>
      </c>
      <c r="F2052" t="s">
        <v>21</v>
      </c>
      <c r="G2052" t="s">
        <v>41</v>
      </c>
      <c r="H2052" t="s">
        <v>25</v>
      </c>
      <c r="I2052" s="1">
        <v>2</v>
      </c>
      <c r="J2052" s="2">
        <v>46188</v>
      </c>
      <c r="K2052" s="2">
        <v>46023</v>
      </c>
      <c r="L2052" s="1" t="str">
        <f t="shared" si="205"/>
        <v>seg</v>
      </c>
      <c r="M2052" s="1" t="str">
        <f t="shared" si="206"/>
        <v>jun</v>
      </c>
      <c r="N2052">
        <f t="shared" si="207"/>
        <v>2026</v>
      </c>
      <c r="O2052" s="2"/>
      <c r="P2052" t="str">
        <f t="shared" si="208"/>
        <v>139146188</v>
      </c>
    </row>
    <row r="2053" spans="1:16" x14ac:dyDescent="0.3">
      <c r="A2053">
        <v>1391</v>
      </c>
      <c r="B2053">
        <v>49</v>
      </c>
      <c r="C2053" t="s">
        <v>15</v>
      </c>
      <c r="D2053" t="s">
        <v>16</v>
      </c>
      <c r="E2053" t="s">
        <v>17</v>
      </c>
      <c r="F2053" t="s">
        <v>21</v>
      </c>
      <c r="G2053" t="s">
        <v>41</v>
      </c>
      <c r="H2053" t="s">
        <v>25</v>
      </c>
      <c r="I2053" s="1">
        <v>2</v>
      </c>
      <c r="J2053" s="2">
        <v>46066</v>
      </c>
      <c r="K2053" s="2">
        <v>46054</v>
      </c>
      <c r="L2053" s="1" t="str">
        <f t="shared" si="205"/>
        <v>sex</v>
      </c>
      <c r="M2053" s="1" t="str">
        <f t="shared" si="206"/>
        <v>fev</v>
      </c>
      <c r="N2053">
        <f t="shared" si="207"/>
        <v>2026</v>
      </c>
      <c r="O2053" s="2"/>
      <c r="P2053" t="str">
        <f t="shared" si="208"/>
        <v>139146066</v>
      </c>
    </row>
    <row r="2054" spans="1:16" x14ac:dyDescent="0.3">
      <c r="A2054">
        <v>1392</v>
      </c>
      <c r="B2054">
        <v>24</v>
      </c>
      <c r="C2054" t="s">
        <v>26</v>
      </c>
      <c r="D2054" t="s">
        <v>27</v>
      </c>
      <c r="E2054" t="s">
        <v>17</v>
      </c>
      <c r="F2054" t="s">
        <v>18</v>
      </c>
      <c r="G2054" t="s">
        <v>40</v>
      </c>
      <c r="H2054" t="s">
        <v>25</v>
      </c>
      <c r="I2054" s="1">
        <v>3</v>
      </c>
      <c r="J2054" s="2">
        <v>45880</v>
      </c>
      <c r="K2054" s="2">
        <v>45870</v>
      </c>
      <c r="L2054" s="1" t="str">
        <f t="shared" si="205"/>
        <v>seg</v>
      </c>
      <c r="M2054" s="1" t="str">
        <f t="shared" si="206"/>
        <v>ago</v>
      </c>
      <c r="N2054">
        <f t="shared" si="207"/>
        <v>2025</v>
      </c>
      <c r="O2054" s="2"/>
      <c r="P2054" t="str">
        <f t="shared" si="208"/>
        <v>139245880</v>
      </c>
    </row>
    <row r="2055" spans="1:16" x14ac:dyDescent="0.3">
      <c r="A2055">
        <v>1392</v>
      </c>
      <c r="B2055">
        <v>24</v>
      </c>
      <c r="C2055" t="s">
        <v>26</v>
      </c>
      <c r="D2055" t="s">
        <v>27</v>
      </c>
      <c r="E2055" t="s">
        <v>17</v>
      </c>
      <c r="F2055" t="s">
        <v>18</v>
      </c>
      <c r="G2055" t="s">
        <v>40</v>
      </c>
      <c r="H2055" t="s">
        <v>25</v>
      </c>
      <c r="I2055" s="1">
        <v>3</v>
      </c>
      <c r="J2055" s="2">
        <v>45962</v>
      </c>
      <c r="K2055" s="2">
        <v>45962</v>
      </c>
      <c r="L2055" s="1" t="str">
        <f t="shared" si="205"/>
        <v>sáb</v>
      </c>
      <c r="M2055" s="1" t="str">
        <f t="shared" si="206"/>
        <v>nov</v>
      </c>
      <c r="N2055">
        <f t="shared" si="207"/>
        <v>2025</v>
      </c>
      <c r="O2055" s="2"/>
      <c r="P2055" t="str">
        <f t="shared" si="208"/>
        <v>139245962</v>
      </c>
    </row>
    <row r="2056" spans="1:16" x14ac:dyDescent="0.3">
      <c r="A2056">
        <v>1392</v>
      </c>
      <c r="B2056">
        <v>24</v>
      </c>
      <c r="C2056" t="s">
        <v>26</v>
      </c>
      <c r="D2056" t="s">
        <v>27</v>
      </c>
      <c r="E2056" t="s">
        <v>17</v>
      </c>
      <c r="F2056" t="s">
        <v>18</v>
      </c>
      <c r="G2056" t="s">
        <v>41</v>
      </c>
      <c r="H2056" t="s">
        <v>25</v>
      </c>
      <c r="I2056" s="1">
        <v>3</v>
      </c>
      <c r="J2056" s="2">
        <v>45988</v>
      </c>
      <c r="K2056" s="2">
        <v>45962</v>
      </c>
      <c r="L2056" s="1" t="str">
        <f t="shared" ref="L2056:L2089" si="209">TEXT(J2056,"ddd")</f>
        <v>qui</v>
      </c>
      <c r="M2056" s="1" t="str">
        <f t="shared" ref="M2056:M2089" si="210">TEXT($J2056,"mmm")</f>
        <v>nov</v>
      </c>
      <c r="N2056">
        <f t="shared" ref="N2056:N2089" si="211">YEAR(J2056)</f>
        <v>2025</v>
      </c>
      <c r="O2056" s="2"/>
      <c r="P2056" t="str">
        <f t="shared" si="208"/>
        <v>139245988</v>
      </c>
    </row>
    <row r="2057" spans="1:16" x14ac:dyDescent="0.3">
      <c r="A2057">
        <v>1392</v>
      </c>
      <c r="B2057">
        <v>24</v>
      </c>
      <c r="C2057" t="s">
        <v>26</v>
      </c>
      <c r="D2057" t="s">
        <v>27</v>
      </c>
      <c r="E2057" t="s">
        <v>17</v>
      </c>
      <c r="F2057" t="s">
        <v>18</v>
      </c>
      <c r="G2057" t="s">
        <v>40</v>
      </c>
      <c r="H2057" t="s">
        <v>25</v>
      </c>
      <c r="I2057" s="1">
        <v>3</v>
      </c>
      <c r="J2057" s="2">
        <v>46021</v>
      </c>
      <c r="K2057" s="2">
        <v>45992</v>
      </c>
      <c r="L2057" s="1" t="str">
        <f t="shared" si="209"/>
        <v>ter</v>
      </c>
      <c r="M2057" s="1" t="str">
        <f t="shared" si="210"/>
        <v>dez</v>
      </c>
      <c r="N2057">
        <f t="shared" si="211"/>
        <v>2025</v>
      </c>
      <c r="O2057" s="2"/>
      <c r="P2057" t="str">
        <f t="shared" si="208"/>
        <v>139246021</v>
      </c>
    </row>
    <row r="2058" spans="1:16" x14ac:dyDescent="0.3">
      <c r="A2058">
        <v>1392</v>
      </c>
      <c r="B2058">
        <v>24</v>
      </c>
      <c r="C2058" t="s">
        <v>26</v>
      </c>
      <c r="D2058" t="s">
        <v>27</v>
      </c>
      <c r="E2058" t="s">
        <v>17</v>
      </c>
      <c r="F2058" t="s">
        <v>18</v>
      </c>
      <c r="G2058" t="s">
        <v>40</v>
      </c>
      <c r="H2058" t="s">
        <v>25</v>
      </c>
      <c r="I2058" s="1">
        <v>3</v>
      </c>
      <c r="J2058" s="2">
        <v>46190</v>
      </c>
      <c r="K2058" s="2">
        <v>46023</v>
      </c>
      <c r="L2058" s="1" t="str">
        <f t="shared" si="209"/>
        <v>qua</v>
      </c>
      <c r="M2058" s="1" t="str">
        <f t="shared" si="210"/>
        <v>jun</v>
      </c>
      <c r="N2058">
        <f t="shared" si="211"/>
        <v>2026</v>
      </c>
      <c r="O2058" s="2"/>
      <c r="P2058" t="str">
        <f t="shared" si="208"/>
        <v>139246190</v>
      </c>
    </row>
    <row r="2059" spans="1:16" x14ac:dyDescent="0.3">
      <c r="A2059">
        <v>1392</v>
      </c>
      <c r="B2059">
        <v>24</v>
      </c>
      <c r="C2059" t="s">
        <v>26</v>
      </c>
      <c r="D2059" t="s">
        <v>27</v>
      </c>
      <c r="E2059" t="s">
        <v>17</v>
      </c>
      <c r="F2059" t="s">
        <v>18</v>
      </c>
      <c r="G2059" t="s">
        <v>41</v>
      </c>
      <c r="H2059" t="s">
        <v>25</v>
      </c>
      <c r="I2059" s="1">
        <v>3</v>
      </c>
      <c r="J2059" s="2">
        <v>46097</v>
      </c>
      <c r="K2059" s="2">
        <v>46082</v>
      </c>
      <c r="L2059" s="1" t="str">
        <f t="shared" si="209"/>
        <v>seg</v>
      </c>
      <c r="M2059" s="1" t="str">
        <f t="shared" si="210"/>
        <v>mar</v>
      </c>
      <c r="N2059">
        <f t="shared" si="211"/>
        <v>2026</v>
      </c>
      <c r="O2059" s="2"/>
      <c r="P2059" t="str">
        <f t="shared" si="208"/>
        <v>139246097</v>
      </c>
    </row>
    <row r="2060" spans="1:16" x14ac:dyDescent="0.3">
      <c r="A2060">
        <v>1393</v>
      </c>
      <c r="B2060">
        <v>41</v>
      </c>
      <c r="C2060" t="s">
        <v>26</v>
      </c>
      <c r="D2060" t="s">
        <v>16</v>
      </c>
      <c r="E2060" t="s">
        <v>17</v>
      </c>
      <c r="F2060" t="s">
        <v>18</v>
      </c>
      <c r="G2060" t="s">
        <v>40</v>
      </c>
      <c r="H2060" t="s">
        <v>25</v>
      </c>
      <c r="I2060" s="1">
        <v>3</v>
      </c>
      <c r="J2060" s="2">
        <v>45929</v>
      </c>
      <c r="K2060" s="2">
        <v>45901</v>
      </c>
      <c r="L2060" s="1" t="str">
        <f t="shared" si="209"/>
        <v>seg</v>
      </c>
      <c r="M2060" s="1" t="str">
        <f t="shared" si="210"/>
        <v>set</v>
      </c>
      <c r="N2060">
        <f t="shared" si="211"/>
        <v>2025</v>
      </c>
      <c r="O2060" s="2"/>
      <c r="P2060" t="str">
        <f t="shared" si="208"/>
        <v>139345929</v>
      </c>
    </row>
    <row r="2061" spans="1:16" x14ac:dyDescent="0.3">
      <c r="A2061">
        <v>1393</v>
      </c>
      <c r="B2061">
        <v>41</v>
      </c>
      <c r="C2061" t="s">
        <v>26</v>
      </c>
      <c r="D2061" t="s">
        <v>16</v>
      </c>
      <c r="E2061" t="s">
        <v>17</v>
      </c>
      <c r="F2061" t="s">
        <v>18</v>
      </c>
      <c r="G2061" t="s">
        <v>40</v>
      </c>
      <c r="H2061" t="s">
        <v>25</v>
      </c>
      <c r="I2061" s="1">
        <v>3</v>
      </c>
      <c r="J2061" s="2">
        <v>45945</v>
      </c>
      <c r="K2061" s="2">
        <v>45931</v>
      </c>
      <c r="L2061" s="1" t="str">
        <f t="shared" si="209"/>
        <v>qua</v>
      </c>
      <c r="M2061" s="1" t="str">
        <f t="shared" si="210"/>
        <v>out</v>
      </c>
      <c r="N2061">
        <f t="shared" si="211"/>
        <v>2025</v>
      </c>
      <c r="O2061" s="2"/>
      <c r="P2061" t="str">
        <f t="shared" si="208"/>
        <v>139345945</v>
      </c>
    </row>
    <row r="2062" spans="1:16" x14ac:dyDescent="0.3">
      <c r="A2062">
        <v>1393</v>
      </c>
      <c r="B2062">
        <v>41</v>
      </c>
      <c r="C2062" t="s">
        <v>26</v>
      </c>
      <c r="D2062" t="s">
        <v>16</v>
      </c>
      <c r="E2062" t="s">
        <v>17</v>
      </c>
      <c r="F2062" t="s">
        <v>18</v>
      </c>
      <c r="G2062" t="s">
        <v>40</v>
      </c>
      <c r="H2062" t="s">
        <v>25</v>
      </c>
      <c r="I2062" s="1">
        <v>3</v>
      </c>
      <c r="J2062" s="2">
        <v>46083</v>
      </c>
      <c r="K2062" s="2">
        <v>46082</v>
      </c>
      <c r="L2062" s="1" t="str">
        <f t="shared" si="209"/>
        <v>seg</v>
      </c>
      <c r="M2062" s="1" t="str">
        <f t="shared" si="210"/>
        <v>mar</v>
      </c>
      <c r="N2062">
        <f t="shared" si="211"/>
        <v>2026</v>
      </c>
      <c r="O2062" s="2"/>
      <c r="P2062" t="str">
        <f t="shared" si="208"/>
        <v>139346083</v>
      </c>
    </row>
    <row r="2063" spans="1:16" x14ac:dyDescent="0.3">
      <c r="A2063">
        <v>1393</v>
      </c>
      <c r="B2063">
        <v>41</v>
      </c>
      <c r="C2063" t="s">
        <v>26</v>
      </c>
      <c r="D2063" t="s">
        <v>16</v>
      </c>
      <c r="E2063" t="s">
        <v>17</v>
      </c>
      <c r="F2063" t="s">
        <v>18</v>
      </c>
      <c r="G2063" t="s">
        <v>40</v>
      </c>
      <c r="H2063" t="s">
        <v>25</v>
      </c>
      <c r="I2063" s="1">
        <v>3</v>
      </c>
      <c r="J2063" s="2">
        <v>46091</v>
      </c>
      <c r="K2063" s="2">
        <v>46082</v>
      </c>
      <c r="L2063" s="1" t="str">
        <f t="shared" si="209"/>
        <v>ter</v>
      </c>
      <c r="M2063" s="1" t="str">
        <f t="shared" si="210"/>
        <v>mar</v>
      </c>
      <c r="N2063">
        <f t="shared" si="211"/>
        <v>2026</v>
      </c>
      <c r="O2063" s="2"/>
      <c r="P2063" t="str">
        <f t="shared" si="208"/>
        <v>139346091</v>
      </c>
    </row>
    <row r="2064" spans="1:16" x14ac:dyDescent="0.3">
      <c r="A2064">
        <v>1393</v>
      </c>
      <c r="B2064">
        <v>41</v>
      </c>
      <c r="C2064" t="s">
        <v>26</v>
      </c>
      <c r="D2064" t="s">
        <v>16</v>
      </c>
      <c r="E2064" t="s">
        <v>17</v>
      </c>
      <c r="F2064" t="s">
        <v>18</v>
      </c>
      <c r="G2064" t="s">
        <v>40</v>
      </c>
      <c r="H2064" t="s">
        <v>25</v>
      </c>
      <c r="I2064" s="1">
        <v>3</v>
      </c>
      <c r="J2064" s="2">
        <v>46094</v>
      </c>
      <c r="K2064" s="2">
        <v>46082</v>
      </c>
      <c r="L2064" s="1" t="str">
        <f t="shared" si="209"/>
        <v>sex</v>
      </c>
      <c r="M2064" s="1" t="str">
        <f t="shared" si="210"/>
        <v>mar</v>
      </c>
      <c r="N2064">
        <f t="shared" si="211"/>
        <v>2026</v>
      </c>
      <c r="O2064" s="2"/>
      <c r="P2064" t="str">
        <f t="shared" si="208"/>
        <v>139346094</v>
      </c>
    </row>
    <row r="2065" spans="1:16" x14ac:dyDescent="0.3">
      <c r="A2065">
        <v>1393</v>
      </c>
      <c r="B2065">
        <v>41</v>
      </c>
      <c r="C2065" t="s">
        <v>26</v>
      </c>
      <c r="D2065" t="s">
        <v>16</v>
      </c>
      <c r="E2065" t="s">
        <v>17</v>
      </c>
      <c r="F2065" t="s">
        <v>18</v>
      </c>
      <c r="G2065" t="s">
        <v>40</v>
      </c>
      <c r="H2065" t="s">
        <v>25</v>
      </c>
      <c r="I2065" s="1">
        <v>3</v>
      </c>
      <c r="J2065" s="2">
        <v>46105</v>
      </c>
      <c r="K2065" s="2">
        <v>46082</v>
      </c>
      <c r="L2065" s="1" t="str">
        <f t="shared" si="209"/>
        <v>ter</v>
      </c>
      <c r="M2065" s="1" t="str">
        <f t="shared" si="210"/>
        <v>mar</v>
      </c>
      <c r="N2065">
        <f t="shared" si="211"/>
        <v>2026</v>
      </c>
      <c r="O2065" s="2"/>
      <c r="P2065" t="str">
        <f t="shared" si="208"/>
        <v>139346105</v>
      </c>
    </row>
    <row r="2066" spans="1:16" x14ac:dyDescent="0.3">
      <c r="A2066">
        <v>1394</v>
      </c>
      <c r="B2066">
        <v>26</v>
      </c>
      <c r="C2066" t="s">
        <v>15</v>
      </c>
      <c r="D2066" t="s">
        <v>16</v>
      </c>
      <c r="E2066" t="s">
        <v>17</v>
      </c>
      <c r="F2066" t="s">
        <v>21</v>
      </c>
      <c r="G2066" t="s">
        <v>44</v>
      </c>
      <c r="H2066" t="s">
        <v>25</v>
      </c>
      <c r="I2066" s="1">
        <v>3</v>
      </c>
      <c r="J2066" s="2">
        <v>45819</v>
      </c>
      <c r="K2066" s="2">
        <v>45809</v>
      </c>
      <c r="L2066" s="1" t="str">
        <f t="shared" si="209"/>
        <v>qua</v>
      </c>
      <c r="M2066" s="1" t="str">
        <f t="shared" si="210"/>
        <v>jun</v>
      </c>
      <c r="N2066">
        <f t="shared" si="211"/>
        <v>2025</v>
      </c>
      <c r="O2066" s="2"/>
      <c r="P2066" t="str">
        <f t="shared" si="208"/>
        <v>139445819</v>
      </c>
    </row>
    <row r="2067" spans="1:16" x14ac:dyDescent="0.3">
      <c r="A2067">
        <v>1394</v>
      </c>
      <c r="B2067">
        <v>26</v>
      </c>
      <c r="C2067" t="s">
        <v>15</v>
      </c>
      <c r="D2067" t="s">
        <v>16</v>
      </c>
      <c r="E2067" t="s">
        <v>17</v>
      </c>
      <c r="F2067" t="s">
        <v>21</v>
      </c>
      <c r="G2067" t="s">
        <v>42</v>
      </c>
      <c r="H2067" t="s">
        <v>25</v>
      </c>
      <c r="I2067" s="1">
        <v>3</v>
      </c>
      <c r="J2067" s="2">
        <v>45964</v>
      </c>
      <c r="K2067" s="2">
        <v>45962</v>
      </c>
      <c r="L2067" s="1" t="str">
        <f t="shared" si="209"/>
        <v>seg</v>
      </c>
      <c r="M2067" s="1" t="str">
        <f t="shared" si="210"/>
        <v>nov</v>
      </c>
      <c r="N2067">
        <f t="shared" si="211"/>
        <v>2025</v>
      </c>
      <c r="O2067" s="2"/>
      <c r="P2067" t="str">
        <f t="shared" si="208"/>
        <v>139445964</v>
      </c>
    </row>
    <row r="2068" spans="1:16" x14ac:dyDescent="0.3">
      <c r="A2068">
        <v>1394</v>
      </c>
      <c r="B2068">
        <v>26</v>
      </c>
      <c r="C2068" t="s">
        <v>15</v>
      </c>
      <c r="D2068" t="s">
        <v>16</v>
      </c>
      <c r="E2068" t="s">
        <v>17</v>
      </c>
      <c r="F2068" t="s">
        <v>21</v>
      </c>
      <c r="G2068" t="s">
        <v>42</v>
      </c>
      <c r="H2068" t="s">
        <v>25</v>
      </c>
      <c r="I2068" s="1">
        <v>3</v>
      </c>
      <c r="J2068" s="2">
        <v>46189</v>
      </c>
      <c r="K2068" s="2">
        <v>46023</v>
      </c>
      <c r="L2068" s="1" t="str">
        <f t="shared" si="209"/>
        <v>ter</v>
      </c>
      <c r="M2068" s="1" t="str">
        <f t="shared" si="210"/>
        <v>jun</v>
      </c>
      <c r="N2068">
        <f t="shared" si="211"/>
        <v>2026</v>
      </c>
      <c r="O2068" s="2"/>
      <c r="P2068" t="str">
        <f t="shared" si="208"/>
        <v>139446189</v>
      </c>
    </row>
    <row r="2069" spans="1:16" x14ac:dyDescent="0.3">
      <c r="A2069">
        <v>1394</v>
      </c>
      <c r="B2069">
        <v>26</v>
      </c>
      <c r="C2069" t="s">
        <v>15</v>
      </c>
      <c r="D2069" t="s">
        <v>16</v>
      </c>
      <c r="E2069" t="s">
        <v>17</v>
      </c>
      <c r="F2069" t="s">
        <v>21</v>
      </c>
      <c r="G2069" t="s">
        <v>44</v>
      </c>
      <c r="H2069" t="s">
        <v>25</v>
      </c>
      <c r="I2069" s="1">
        <v>3</v>
      </c>
      <c r="J2069" s="2">
        <v>46063</v>
      </c>
      <c r="K2069" s="2">
        <v>46054</v>
      </c>
      <c r="L2069" s="1" t="str">
        <f t="shared" si="209"/>
        <v>ter</v>
      </c>
      <c r="M2069" s="1" t="str">
        <f t="shared" si="210"/>
        <v>fev</v>
      </c>
      <c r="N2069">
        <f t="shared" si="211"/>
        <v>2026</v>
      </c>
      <c r="O2069" s="2"/>
      <c r="P2069" t="str">
        <f t="shared" si="208"/>
        <v>139446063</v>
      </c>
    </row>
    <row r="2070" spans="1:16" x14ac:dyDescent="0.3">
      <c r="A2070">
        <v>1394</v>
      </c>
      <c r="B2070">
        <v>26</v>
      </c>
      <c r="C2070" t="s">
        <v>15</v>
      </c>
      <c r="D2070" t="s">
        <v>16</v>
      </c>
      <c r="E2070" t="s">
        <v>17</v>
      </c>
      <c r="F2070" t="s">
        <v>21</v>
      </c>
      <c r="G2070" t="s">
        <v>40</v>
      </c>
      <c r="H2070" t="s">
        <v>25</v>
      </c>
      <c r="I2070" s="1">
        <v>3</v>
      </c>
      <c r="J2070" s="2">
        <v>46088</v>
      </c>
      <c r="K2070" s="2">
        <v>46082</v>
      </c>
      <c r="L2070" s="1" t="str">
        <f t="shared" si="209"/>
        <v>sáb</v>
      </c>
      <c r="M2070" s="1" t="str">
        <f t="shared" si="210"/>
        <v>mar</v>
      </c>
      <c r="N2070">
        <f t="shared" si="211"/>
        <v>2026</v>
      </c>
      <c r="O2070" s="2"/>
      <c r="P2070" t="str">
        <f t="shared" si="208"/>
        <v>139446088</v>
      </c>
    </row>
    <row r="2071" spans="1:16" x14ac:dyDescent="0.3">
      <c r="A2071">
        <v>1394</v>
      </c>
      <c r="B2071">
        <v>26</v>
      </c>
      <c r="C2071" t="s">
        <v>15</v>
      </c>
      <c r="D2071" t="s">
        <v>16</v>
      </c>
      <c r="E2071" t="s">
        <v>17</v>
      </c>
      <c r="F2071" t="s">
        <v>21</v>
      </c>
      <c r="G2071" t="s">
        <v>40</v>
      </c>
      <c r="H2071" t="s">
        <v>25</v>
      </c>
      <c r="I2071" s="1">
        <v>3</v>
      </c>
      <c r="J2071" s="2">
        <v>46096</v>
      </c>
      <c r="K2071" s="2">
        <v>46082</v>
      </c>
      <c r="L2071" s="1" t="str">
        <f t="shared" si="209"/>
        <v>dom</v>
      </c>
      <c r="M2071" s="1" t="str">
        <f t="shared" si="210"/>
        <v>mar</v>
      </c>
      <c r="N2071">
        <f t="shared" si="211"/>
        <v>2026</v>
      </c>
      <c r="O2071" s="2"/>
      <c r="P2071" t="str">
        <f t="shared" si="208"/>
        <v>139446096</v>
      </c>
    </row>
    <row r="2072" spans="1:16" x14ac:dyDescent="0.3">
      <c r="A2072">
        <v>1395</v>
      </c>
      <c r="B2072">
        <v>52</v>
      </c>
      <c r="C2072" t="s">
        <v>26</v>
      </c>
      <c r="D2072" t="s">
        <v>22</v>
      </c>
      <c r="E2072" t="s">
        <v>17</v>
      </c>
      <c r="F2072" t="s">
        <v>23</v>
      </c>
      <c r="G2072" t="s">
        <v>41</v>
      </c>
      <c r="H2072" t="s">
        <v>20</v>
      </c>
      <c r="I2072" s="1">
        <v>2</v>
      </c>
      <c r="J2072" s="2">
        <v>45762</v>
      </c>
      <c r="K2072" s="2">
        <v>45748</v>
      </c>
      <c r="L2072" s="1" t="str">
        <f t="shared" si="209"/>
        <v>ter</v>
      </c>
      <c r="M2072" s="1" t="str">
        <f t="shared" si="210"/>
        <v>abr</v>
      </c>
      <c r="N2072">
        <f t="shared" si="211"/>
        <v>2025</v>
      </c>
      <c r="O2072" s="2">
        <f>_xlfn.XLOOKUP(A2072,Colaboradores!$A:$A,Colaboradores!$S:$S,"",0)</f>
        <v>46041</v>
      </c>
      <c r="P2072" t="str">
        <f t="shared" si="208"/>
        <v>139545762</v>
      </c>
    </row>
    <row r="2073" spans="1:16" x14ac:dyDescent="0.3">
      <c r="A2073">
        <v>1395</v>
      </c>
      <c r="B2073">
        <v>52</v>
      </c>
      <c r="C2073" t="s">
        <v>26</v>
      </c>
      <c r="D2073" t="s">
        <v>22</v>
      </c>
      <c r="E2073" t="s">
        <v>17</v>
      </c>
      <c r="F2073" t="s">
        <v>23</v>
      </c>
      <c r="G2073" t="s">
        <v>41</v>
      </c>
      <c r="H2073" t="s">
        <v>20</v>
      </c>
      <c r="I2073" s="1">
        <v>2</v>
      </c>
      <c r="J2073" s="2">
        <v>45838</v>
      </c>
      <c r="K2073" s="2">
        <v>45809</v>
      </c>
      <c r="L2073" s="1" t="str">
        <f t="shared" si="209"/>
        <v>seg</v>
      </c>
      <c r="M2073" s="1" t="str">
        <f t="shared" si="210"/>
        <v>jun</v>
      </c>
      <c r="N2073">
        <f t="shared" si="211"/>
        <v>2025</v>
      </c>
      <c r="O2073" s="2">
        <f>_xlfn.XLOOKUP(A2073,Colaboradores!$A:$A,Colaboradores!$S:$S,"",0)</f>
        <v>46041</v>
      </c>
      <c r="P2073" t="str">
        <f t="shared" si="208"/>
        <v>139545838</v>
      </c>
    </row>
    <row r="2074" spans="1:16" x14ac:dyDescent="0.3">
      <c r="A2074">
        <v>1395</v>
      </c>
      <c r="B2074">
        <v>52</v>
      </c>
      <c r="C2074" t="s">
        <v>26</v>
      </c>
      <c r="D2074" t="s">
        <v>22</v>
      </c>
      <c r="E2074" t="s">
        <v>17</v>
      </c>
      <c r="F2074" t="s">
        <v>23</v>
      </c>
      <c r="G2074" t="s">
        <v>44</v>
      </c>
      <c r="H2074" t="s">
        <v>20</v>
      </c>
      <c r="I2074" s="1">
        <v>2</v>
      </c>
      <c r="J2074" s="2">
        <v>45992</v>
      </c>
      <c r="K2074" s="2">
        <v>45992</v>
      </c>
      <c r="L2074" s="1" t="str">
        <f t="shared" si="209"/>
        <v>seg</v>
      </c>
      <c r="M2074" s="1" t="str">
        <f t="shared" si="210"/>
        <v>dez</v>
      </c>
      <c r="N2074">
        <f t="shared" si="211"/>
        <v>2025</v>
      </c>
      <c r="O2074" s="2">
        <f>_xlfn.XLOOKUP(A2074,Colaboradores!$A:$A,Colaboradores!$S:$S,"",0)</f>
        <v>46041</v>
      </c>
      <c r="P2074" t="str">
        <f t="shared" si="208"/>
        <v>139545992</v>
      </c>
    </row>
    <row r="2075" spans="1:16" x14ac:dyDescent="0.3">
      <c r="A2075">
        <v>1395</v>
      </c>
      <c r="B2075">
        <v>52</v>
      </c>
      <c r="C2075" t="s">
        <v>26</v>
      </c>
      <c r="D2075" t="s">
        <v>22</v>
      </c>
      <c r="E2075" t="s">
        <v>17</v>
      </c>
      <c r="F2075" t="s">
        <v>23</v>
      </c>
      <c r="G2075" t="s">
        <v>44</v>
      </c>
      <c r="H2075" t="s">
        <v>20</v>
      </c>
      <c r="I2075" s="1">
        <v>2</v>
      </c>
      <c r="J2075" s="2">
        <v>46178</v>
      </c>
      <c r="K2075" s="2">
        <v>46023</v>
      </c>
      <c r="L2075" s="1" t="str">
        <f t="shared" si="209"/>
        <v>sex</v>
      </c>
      <c r="M2075" s="1" t="str">
        <f t="shared" si="210"/>
        <v>jun</v>
      </c>
      <c r="N2075">
        <f t="shared" si="211"/>
        <v>2026</v>
      </c>
      <c r="O2075" s="2">
        <f>_xlfn.XLOOKUP(A2075,Colaboradores!$A:$A,Colaboradores!$S:$S,"",0)</f>
        <v>46041</v>
      </c>
      <c r="P2075" t="str">
        <f t="shared" si="208"/>
        <v>139546178</v>
      </c>
    </row>
    <row r="2076" spans="1:16" x14ac:dyDescent="0.3">
      <c r="A2076">
        <v>1395</v>
      </c>
      <c r="B2076">
        <v>52</v>
      </c>
      <c r="C2076" t="s">
        <v>26</v>
      </c>
      <c r="D2076" t="s">
        <v>22</v>
      </c>
      <c r="E2076" t="s">
        <v>17</v>
      </c>
      <c r="F2076" t="s">
        <v>23</v>
      </c>
      <c r="G2076" t="s">
        <v>41</v>
      </c>
      <c r="H2076" t="s">
        <v>20</v>
      </c>
      <c r="I2076" s="1">
        <v>2</v>
      </c>
      <c r="J2076" s="2">
        <v>46179</v>
      </c>
      <c r="K2076" s="2">
        <v>46023</v>
      </c>
      <c r="L2076" s="1" t="str">
        <f t="shared" si="209"/>
        <v>sáb</v>
      </c>
      <c r="M2076" s="1" t="str">
        <f t="shared" si="210"/>
        <v>jun</v>
      </c>
      <c r="N2076">
        <f t="shared" si="211"/>
        <v>2026</v>
      </c>
      <c r="O2076" s="2">
        <f>_xlfn.XLOOKUP(A2076,Colaboradores!$A:$A,Colaboradores!$S:$S,"",0)</f>
        <v>46041</v>
      </c>
      <c r="P2076" t="str">
        <f t="shared" si="208"/>
        <v>139546179</v>
      </c>
    </row>
    <row r="2077" spans="1:16" x14ac:dyDescent="0.3">
      <c r="A2077">
        <v>1395</v>
      </c>
      <c r="B2077">
        <v>52</v>
      </c>
      <c r="C2077" t="s">
        <v>26</v>
      </c>
      <c r="D2077" t="s">
        <v>22</v>
      </c>
      <c r="E2077" t="s">
        <v>17</v>
      </c>
      <c r="F2077" t="s">
        <v>23</v>
      </c>
      <c r="G2077" t="s">
        <v>41</v>
      </c>
      <c r="H2077" t="s">
        <v>20</v>
      </c>
      <c r="I2077" s="1">
        <v>2</v>
      </c>
      <c r="J2077" s="2">
        <v>46186</v>
      </c>
      <c r="K2077" s="2">
        <v>46023</v>
      </c>
      <c r="L2077" s="1" t="str">
        <f t="shared" si="209"/>
        <v>sáb</v>
      </c>
      <c r="M2077" s="1" t="str">
        <f t="shared" si="210"/>
        <v>jun</v>
      </c>
      <c r="N2077">
        <f t="shared" si="211"/>
        <v>2026</v>
      </c>
      <c r="O2077" s="2">
        <f>_xlfn.XLOOKUP(A2077,Colaboradores!$A:$A,Colaboradores!$S:$S,"",0)</f>
        <v>46041</v>
      </c>
      <c r="P2077" t="str">
        <f t="shared" si="208"/>
        <v>139546186</v>
      </c>
    </row>
    <row r="2078" spans="1:16" x14ac:dyDescent="0.3">
      <c r="A2078">
        <v>1396</v>
      </c>
      <c r="B2078">
        <v>34</v>
      </c>
      <c r="C2078" t="s">
        <v>15</v>
      </c>
      <c r="D2078" t="s">
        <v>16</v>
      </c>
      <c r="E2078" t="s">
        <v>17</v>
      </c>
      <c r="F2078" t="s">
        <v>18</v>
      </c>
      <c r="G2078" t="s">
        <v>41</v>
      </c>
      <c r="H2078" t="s">
        <v>25</v>
      </c>
      <c r="I2078" s="1">
        <v>1</v>
      </c>
      <c r="J2078" s="2">
        <v>45896</v>
      </c>
      <c r="K2078" s="2">
        <v>45870</v>
      </c>
      <c r="L2078" s="1" t="str">
        <f t="shared" si="209"/>
        <v>qua</v>
      </c>
      <c r="M2078" s="1" t="str">
        <f t="shared" si="210"/>
        <v>ago</v>
      </c>
      <c r="N2078">
        <f t="shared" si="211"/>
        <v>2025</v>
      </c>
      <c r="O2078" s="2"/>
      <c r="P2078" t="str">
        <f t="shared" si="208"/>
        <v>139645896</v>
      </c>
    </row>
    <row r="2079" spans="1:16" x14ac:dyDescent="0.3">
      <c r="A2079">
        <v>1396</v>
      </c>
      <c r="B2079">
        <v>34</v>
      </c>
      <c r="C2079" t="s">
        <v>15</v>
      </c>
      <c r="D2079" t="s">
        <v>16</v>
      </c>
      <c r="E2079" t="s">
        <v>17</v>
      </c>
      <c r="F2079" t="s">
        <v>18</v>
      </c>
      <c r="G2079" t="s">
        <v>41</v>
      </c>
      <c r="H2079" t="s">
        <v>25</v>
      </c>
      <c r="I2079" s="1">
        <v>1</v>
      </c>
      <c r="J2079" s="2">
        <v>45911</v>
      </c>
      <c r="K2079" s="2">
        <v>45901</v>
      </c>
      <c r="L2079" s="1" t="str">
        <f t="shared" si="209"/>
        <v>qui</v>
      </c>
      <c r="M2079" s="1" t="str">
        <f t="shared" si="210"/>
        <v>set</v>
      </c>
      <c r="N2079">
        <f t="shared" si="211"/>
        <v>2025</v>
      </c>
      <c r="O2079" s="2"/>
      <c r="P2079" t="str">
        <f t="shared" si="208"/>
        <v>139645911</v>
      </c>
    </row>
    <row r="2080" spans="1:16" x14ac:dyDescent="0.3">
      <c r="A2080">
        <v>1396</v>
      </c>
      <c r="B2080">
        <v>34</v>
      </c>
      <c r="C2080" t="s">
        <v>15</v>
      </c>
      <c r="D2080" t="s">
        <v>16</v>
      </c>
      <c r="E2080" t="s">
        <v>17</v>
      </c>
      <c r="F2080" t="s">
        <v>18</v>
      </c>
      <c r="G2080" t="s">
        <v>41</v>
      </c>
      <c r="H2080" t="s">
        <v>25</v>
      </c>
      <c r="I2080" s="1">
        <v>1</v>
      </c>
      <c r="J2080" s="2">
        <v>45976</v>
      </c>
      <c r="K2080" s="2">
        <v>45962</v>
      </c>
      <c r="L2080" s="1" t="str">
        <f t="shared" si="209"/>
        <v>sáb</v>
      </c>
      <c r="M2080" s="1" t="str">
        <f t="shared" si="210"/>
        <v>nov</v>
      </c>
      <c r="N2080">
        <f t="shared" si="211"/>
        <v>2025</v>
      </c>
      <c r="O2080" s="2"/>
      <c r="P2080" t="str">
        <f t="shared" si="208"/>
        <v>139645976</v>
      </c>
    </row>
    <row r="2081" spans="1:16" x14ac:dyDescent="0.3">
      <c r="A2081">
        <v>1396</v>
      </c>
      <c r="B2081">
        <v>34</v>
      </c>
      <c r="C2081" t="s">
        <v>15</v>
      </c>
      <c r="D2081" t="s">
        <v>16</v>
      </c>
      <c r="E2081" t="s">
        <v>17</v>
      </c>
      <c r="F2081" t="s">
        <v>18</v>
      </c>
      <c r="G2081" t="s">
        <v>41</v>
      </c>
      <c r="H2081" t="s">
        <v>25</v>
      </c>
      <c r="I2081" s="1">
        <v>1</v>
      </c>
      <c r="J2081" s="2">
        <v>46176</v>
      </c>
      <c r="K2081" s="2">
        <v>46023</v>
      </c>
      <c r="L2081" s="1" t="str">
        <f t="shared" si="209"/>
        <v>qua</v>
      </c>
      <c r="M2081" s="1" t="str">
        <f t="shared" si="210"/>
        <v>jun</v>
      </c>
      <c r="N2081">
        <f t="shared" si="211"/>
        <v>2026</v>
      </c>
      <c r="O2081" s="2"/>
      <c r="P2081" t="str">
        <f t="shared" si="208"/>
        <v>139646176</v>
      </c>
    </row>
    <row r="2082" spans="1:16" x14ac:dyDescent="0.3">
      <c r="A2082">
        <v>1396</v>
      </c>
      <c r="B2082">
        <v>34</v>
      </c>
      <c r="C2082" t="s">
        <v>15</v>
      </c>
      <c r="D2082" t="s">
        <v>16</v>
      </c>
      <c r="E2082" t="s">
        <v>17</v>
      </c>
      <c r="F2082" t="s">
        <v>18</v>
      </c>
      <c r="G2082" t="s">
        <v>41</v>
      </c>
      <c r="H2082" t="s">
        <v>25</v>
      </c>
      <c r="I2082" s="1">
        <v>1</v>
      </c>
      <c r="J2082" s="2">
        <v>46104</v>
      </c>
      <c r="K2082" s="2">
        <v>46082</v>
      </c>
      <c r="L2082" s="1" t="str">
        <f t="shared" si="209"/>
        <v>seg</v>
      </c>
      <c r="M2082" s="1" t="str">
        <f t="shared" si="210"/>
        <v>mar</v>
      </c>
      <c r="N2082">
        <f t="shared" si="211"/>
        <v>2026</v>
      </c>
      <c r="O2082" s="2"/>
      <c r="P2082" t="str">
        <f t="shared" si="208"/>
        <v>139646104</v>
      </c>
    </row>
    <row r="2083" spans="1:16" x14ac:dyDescent="0.3">
      <c r="A2083">
        <v>1397</v>
      </c>
      <c r="B2083">
        <v>32</v>
      </c>
      <c r="C2083" t="s">
        <v>15</v>
      </c>
      <c r="D2083" t="s">
        <v>27</v>
      </c>
      <c r="E2083" t="s">
        <v>17</v>
      </c>
      <c r="F2083" t="s">
        <v>21</v>
      </c>
      <c r="G2083" t="s">
        <v>40</v>
      </c>
      <c r="H2083" t="s">
        <v>25</v>
      </c>
      <c r="I2083" s="1">
        <v>2</v>
      </c>
      <c r="J2083" s="2">
        <v>45795</v>
      </c>
      <c r="K2083" s="2">
        <v>45778</v>
      </c>
      <c r="L2083" s="1" t="str">
        <f t="shared" si="209"/>
        <v>dom</v>
      </c>
      <c r="M2083" s="1" t="str">
        <f t="shared" si="210"/>
        <v>mai</v>
      </c>
      <c r="N2083">
        <f t="shared" si="211"/>
        <v>2025</v>
      </c>
      <c r="O2083" s="2"/>
      <c r="P2083" t="str">
        <f t="shared" si="208"/>
        <v>139745795</v>
      </c>
    </row>
    <row r="2084" spans="1:16" x14ac:dyDescent="0.3">
      <c r="A2084">
        <v>1397</v>
      </c>
      <c r="B2084">
        <v>32</v>
      </c>
      <c r="C2084" t="s">
        <v>15</v>
      </c>
      <c r="D2084" t="s">
        <v>27</v>
      </c>
      <c r="E2084" t="s">
        <v>17</v>
      </c>
      <c r="F2084" t="s">
        <v>21</v>
      </c>
      <c r="G2084" t="s">
        <v>40</v>
      </c>
      <c r="H2084" t="s">
        <v>25</v>
      </c>
      <c r="I2084" s="1">
        <v>2</v>
      </c>
      <c r="J2084" s="2">
        <v>45874</v>
      </c>
      <c r="K2084" s="2">
        <v>45870</v>
      </c>
      <c r="L2084" s="1" t="str">
        <f t="shared" si="209"/>
        <v>ter</v>
      </c>
      <c r="M2084" s="1" t="str">
        <f t="shared" si="210"/>
        <v>ago</v>
      </c>
      <c r="N2084">
        <f t="shared" si="211"/>
        <v>2025</v>
      </c>
      <c r="O2084" s="2"/>
      <c r="P2084" t="str">
        <f t="shared" si="208"/>
        <v>139745874</v>
      </c>
    </row>
    <row r="2085" spans="1:16" x14ac:dyDescent="0.3">
      <c r="A2085">
        <v>1397</v>
      </c>
      <c r="B2085">
        <v>32</v>
      </c>
      <c r="C2085" t="s">
        <v>15</v>
      </c>
      <c r="D2085" t="s">
        <v>27</v>
      </c>
      <c r="E2085" t="s">
        <v>17</v>
      </c>
      <c r="F2085" t="s">
        <v>21</v>
      </c>
      <c r="G2085" t="s">
        <v>40</v>
      </c>
      <c r="H2085" t="s">
        <v>25</v>
      </c>
      <c r="I2085" s="1">
        <v>2</v>
      </c>
      <c r="J2085" s="2">
        <v>46010</v>
      </c>
      <c r="K2085" s="2">
        <v>45992</v>
      </c>
      <c r="L2085" s="1" t="str">
        <f t="shared" si="209"/>
        <v>sex</v>
      </c>
      <c r="M2085" s="1" t="str">
        <f t="shared" si="210"/>
        <v>dez</v>
      </c>
      <c r="N2085">
        <f t="shared" si="211"/>
        <v>2025</v>
      </c>
      <c r="O2085" s="2"/>
      <c r="P2085" t="str">
        <f t="shared" si="208"/>
        <v>139746010</v>
      </c>
    </row>
    <row r="2086" spans="1:16" x14ac:dyDescent="0.3">
      <c r="A2086">
        <v>1397</v>
      </c>
      <c r="B2086">
        <v>32</v>
      </c>
      <c r="C2086" t="s">
        <v>15</v>
      </c>
      <c r="D2086" t="s">
        <v>27</v>
      </c>
      <c r="E2086" t="s">
        <v>17</v>
      </c>
      <c r="F2086" t="s">
        <v>21</v>
      </c>
      <c r="G2086" t="s">
        <v>40</v>
      </c>
      <c r="H2086" t="s">
        <v>25</v>
      </c>
      <c r="I2086" s="1">
        <v>2</v>
      </c>
      <c r="J2086" s="2">
        <v>46200</v>
      </c>
      <c r="K2086" s="2">
        <v>46023</v>
      </c>
      <c r="L2086" s="1" t="str">
        <f t="shared" si="209"/>
        <v>sáb</v>
      </c>
      <c r="M2086" s="1" t="str">
        <f t="shared" si="210"/>
        <v>jun</v>
      </c>
      <c r="N2086">
        <f t="shared" si="211"/>
        <v>2026</v>
      </c>
      <c r="O2086" s="2"/>
      <c r="P2086" t="str">
        <f t="shared" si="208"/>
        <v>139746200</v>
      </c>
    </row>
    <row r="2087" spans="1:16" x14ac:dyDescent="0.3">
      <c r="A2087">
        <v>1397</v>
      </c>
      <c r="B2087">
        <v>32</v>
      </c>
      <c r="C2087" t="s">
        <v>15</v>
      </c>
      <c r="D2087" t="s">
        <v>27</v>
      </c>
      <c r="E2087" t="s">
        <v>17</v>
      </c>
      <c r="F2087" t="s">
        <v>21</v>
      </c>
      <c r="G2087" t="s">
        <v>40</v>
      </c>
      <c r="H2087" t="s">
        <v>25</v>
      </c>
      <c r="I2087" s="1">
        <v>2</v>
      </c>
      <c r="J2087" s="2">
        <v>46088</v>
      </c>
      <c r="K2087" s="2">
        <v>46082</v>
      </c>
      <c r="L2087" s="1" t="str">
        <f t="shared" si="209"/>
        <v>sáb</v>
      </c>
      <c r="M2087" s="1" t="str">
        <f t="shared" si="210"/>
        <v>mar</v>
      </c>
      <c r="N2087">
        <f t="shared" si="211"/>
        <v>2026</v>
      </c>
      <c r="O2087" s="2"/>
      <c r="P2087" t="str">
        <f t="shared" si="208"/>
        <v>139746088</v>
      </c>
    </row>
    <row r="2088" spans="1:16" x14ac:dyDescent="0.3">
      <c r="A2088">
        <v>1397</v>
      </c>
      <c r="B2088">
        <v>32</v>
      </c>
      <c r="C2088" t="s">
        <v>15</v>
      </c>
      <c r="D2088" t="s">
        <v>27</v>
      </c>
      <c r="E2088" t="s">
        <v>17</v>
      </c>
      <c r="F2088" t="s">
        <v>21</v>
      </c>
      <c r="G2088" t="s">
        <v>40</v>
      </c>
      <c r="H2088" t="s">
        <v>25</v>
      </c>
      <c r="I2088" s="1">
        <v>2</v>
      </c>
      <c r="J2088" s="2">
        <v>46128</v>
      </c>
      <c r="K2088" s="2">
        <v>46113</v>
      </c>
      <c r="L2088" s="1" t="str">
        <f t="shared" si="209"/>
        <v>qui</v>
      </c>
      <c r="M2088" s="1" t="str">
        <f t="shared" si="210"/>
        <v>abr</v>
      </c>
      <c r="N2088">
        <f t="shared" si="211"/>
        <v>2026</v>
      </c>
      <c r="O2088" s="2"/>
      <c r="P2088" t="str">
        <f t="shared" si="208"/>
        <v>139746128</v>
      </c>
    </row>
    <row r="2089" spans="1:16" x14ac:dyDescent="0.3">
      <c r="A2089">
        <v>1397</v>
      </c>
      <c r="B2089">
        <v>32</v>
      </c>
      <c r="C2089" t="s">
        <v>15</v>
      </c>
      <c r="D2089" t="s">
        <v>27</v>
      </c>
      <c r="E2089" t="s">
        <v>17</v>
      </c>
      <c r="F2089" t="s">
        <v>21</v>
      </c>
      <c r="G2089" t="s">
        <v>40</v>
      </c>
      <c r="H2089" t="s">
        <v>25</v>
      </c>
      <c r="I2089" s="1">
        <v>2</v>
      </c>
      <c r="J2089" s="2">
        <v>46157</v>
      </c>
      <c r="K2089" s="2">
        <v>46143</v>
      </c>
      <c r="L2089" s="1" t="str">
        <f t="shared" si="209"/>
        <v>sex</v>
      </c>
      <c r="M2089" s="1" t="str">
        <f t="shared" si="210"/>
        <v>mai</v>
      </c>
      <c r="N2089">
        <f t="shared" si="211"/>
        <v>2026</v>
      </c>
      <c r="O2089" s="2"/>
      <c r="P2089" t="str">
        <f t="shared" si="208"/>
        <v>139746157</v>
      </c>
    </row>
    <row r="2090" spans="1:16" x14ac:dyDescent="0.3">
      <c r="A2090">
        <v>1397</v>
      </c>
      <c r="B2090">
        <v>32</v>
      </c>
      <c r="C2090" t="s">
        <v>15</v>
      </c>
      <c r="D2090" t="s">
        <v>27</v>
      </c>
      <c r="E2090" t="s">
        <v>17</v>
      </c>
      <c r="F2090" t="s">
        <v>21</v>
      </c>
      <c r="G2090" t="s">
        <v>40</v>
      </c>
      <c r="H2090" t="s">
        <v>25</v>
      </c>
      <c r="I2090" s="1">
        <v>2</v>
      </c>
      <c r="J2090" s="2">
        <v>46160</v>
      </c>
      <c r="K2090" s="2">
        <v>46143</v>
      </c>
      <c r="L2090" s="1" t="s">
        <v>55</v>
      </c>
      <c r="M2090" s="1" t="s">
        <v>49</v>
      </c>
      <c r="N2090">
        <v>2025</v>
      </c>
      <c r="O2090" s="2"/>
      <c r="P2090" t="str">
        <f t="shared" si="208"/>
        <v>139746160</v>
      </c>
    </row>
    <row r="2091" spans="1:16" x14ac:dyDescent="0.3">
      <c r="A2091">
        <v>1399</v>
      </c>
      <c r="B2091">
        <v>56</v>
      </c>
      <c r="C2091" t="s">
        <v>26</v>
      </c>
      <c r="D2091" t="s">
        <v>29</v>
      </c>
      <c r="E2091" t="s">
        <v>17</v>
      </c>
      <c r="F2091" t="s">
        <v>21</v>
      </c>
      <c r="G2091" t="s">
        <v>42</v>
      </c>
      <c r="H2091" t="s">
        <v>25</v>
      </c>
      <c r="I2091" s="1">
        <v>1</v>
      </c>
      <c r="J2091" s="2">
        <v>45798</v>
      </c>
      <c r="K2091" s="2">
        <v>45778</v>
      </c>
      <c r="L2091" s="1" t="str">
        <f t="shared" ref="L2091:L2096" si="212">TEXT(J2091,"ddd")</f>
        <v>qua</v>
      </c>
      <c r="M2091" s="1" t="str">
        <f t="shared" ref="M2091:M2096" si="213">TEXT($J2091,"mmm")</f>
        <v>mai</v>
      </c>
      <c r="N2091">
        <f t="shared" ref="N2091:N2096" si="214">YEAR(J2091)</f>
        <v>2025</v>
      </c>
      <c r="O2091" s="2"/>
      <c r="P2091" t="str">
        <f t="shared" si="208"/>
        <v>139945798</v>
      </c>
    </row>
    <row r="2092" spans="1:16" x14ac:dyDescent="0.3">
      <c r="A2092">
        <v>1399</v>
      </c>
      <c r="B2092">
        <v>56</v>
      </c>
      <c r="C2092" t="s">
        <v>26</v>
      </c>
      <c r="D2092" t="s">
        <v>29</v>
      </c>
      <c r="E2092" t="s">
        <v>17</v>
      </c>
      <c r="F2092" t="s">
        <v>21</v>
      </c>
      <c r="G2092" t="s">
        <v>41</v>
      </c>
      <c r="H2092" t="s">
        <v>25</v>
      </c>
      <c r="I2092" s="1">
        <v>1</v>
      </c>
      <c r="J2092" s="2">
        <v>45822</v>
      </c>
      <c r="K2092" s="2">
        <v>45809</v>
      </c>
      <c r="L2092" s="1" t="str">
        <f t="shared" si="212"/>
        <v>sáb</v>
      </c>
      <c r="M2092" s="1" t="str">
        <f t="shared" si="213"/>
        <v>jun</v>
      </c>
      <c r="N2092">
        <f t="shared" si="214"/>
        <v>2025</v>
      </c>
      <c r="O2092" s="2"/>
      <c r="P2092" t="str">
        <f t="shared" si="208"/>
        <v>139945822</v>
      </c>
    </row>
    <row r="2093" spans="1:16" x14ac:dyDescent="0.3">
      <c r="A2093">
        <v>1399</v>
      </c>
      <c r="B2093">
        <v>56</v>
      </c>
      <c r="C2093" t="s">
        <v>26</v>
      </c>
      <c r="D2093" t="s">
        <v>29</v>
      </c>
      <c r="E2093" t="s">
        <v>17</v>
      </c>
      <c r="F2093" t="s">
        <v>21</v>
      </c>
      <c r="G2093" t="s">
        <v>41</v>
      </c>
      <c r="H2093" t="s">
        <v>25</v>
      </c>
      <c r="I2093" s="1">
        <v>1</v>
      </c>
      <c r="J2093" s="2">
        <v>45896</v>
      </c>
      <c r="K2093" s="2">
        <v>45870</v>
      </c>
      <c r="L2093" s="1" t="str">
        <f t="shared" si="212"/>
        <v>qua</v>
      </c>
      <c r="M2093" s="1" t="str">
        <f t="shared" si="213"/>
        <v>ago</v>
      </c>
      <c r="N2093">
        <f t="shared" si="214"/>
        <v>2025</v>
      </c>
      <c r="O2093" s="2"/>
      <c r="P2093" t="str">
        <f t="shared" si="208"/>
        <v>139945896</v>
      </c>
    </row>
    <row r="2094" spans="1:16" x14ac:dyDescent="0.3">
      <c r="A2094">
        <v>1399</v>
      </c>
      <c r="B2094">
        <v>56</v>
      </c>
      <c r="C2094" t="s">
        <v>26</v>
      </c>
      <c r="D2094" t="s">
        <v>29</v>
      </c>
      <c r="E2094" t="s">
        <v>17</v>
      </c>
      <c r="F2094" t="s">
        <v>21</v>
      </c>
      <c r="G2094" t="s">
        <v>41</v>
      </c>
      <c r="H2094" t="s">
        <v>25</v>
      </c>
      <c r="I2094" s="1">
        <v>1</v>
      </c>
      <c r="J2094" s="2">
        <v>45970</v>
      </c>
      <c r="K2094" s="2">
        <v>45962</v>
      </c>
      <c r="L2094" s="1" t="str">
        <f t="shared" si="212"/>
        <v>dom</v>
      </c>
      <c r="M2094" s="1" t="str">
        <f t="shared" si="213"/>
        <v>nov</v>
      </c>
      <c r="N2094">
        <f t="shared" si="214"/>
        <v>2025</v>
      </c>
      <c r="O2094" s="2"/>
      <c r="P2094" t="str">
        <f t="shared" si="208"/>
        <v>139945970</v>
      </c>
    </row>
    <row r="2095" spans="1:16" x14ac:dyDescent="0.3">
      <c r="A2095">
        <v>1399</v>
      </c>
      <c r="B2095">
        <v>56</v>
      </c>
      <c r="C2095" t="s">
        <v>26</v>
      </c>
      <c r="D2095" t="s">
        <v>29</v>
      </c>
      <c r="E2095" t="s">
        <v>17</v>
      </c>
      <c r="F2095" t="s">
        <v>21</v>
      </c>
      <c r="G2095" t="s">
        <v>41</v>
      </c>
      <c r="H2095" t="s">
        <v>25</v>
      </c>
      <c r="I2095" s="1">
        <v>1</v>
      </c>
      <c r="J2095" s="2">
        <v>46008</v>
      </c>
      <c r="K2095" s="2">
        <v>45992</v>
      </c>
      <c r="L2095" s="1" t="str">
        <f t="shared" si="212"/>
        <v>qua</v>
      </c>
      <c r="M2095" s="1" t="str">
        <f t="shared" si="213"/>
        <v>dez</v>
      </c>
      <c r="N2095">
        <f t="shared" si="214"/>
        <v>2025</v>
      </c>
      <c r="O2095" s="2"/>
      <c r="P2095" t="str">
        <f t="shared" si="208"/>
        <v>139946008</v>
      </c>
    </row>
    <row r="2096" spans="1:16" x14ac:dyDescent="0.3">
      <c r="A2096">
        <v>1399</v>
      </c>
      <c r="B2096">
        <v>56</v>
      </c>
      <c r="C2096" t="s">
        <v>26</v>
      </c>
      <c r="D2096" t="s">
        <v>29</v>
      </c>
      <c r="E2096" t="s">
        <v>17</v>
      </c>
      <c r="F2096" t="s">
        <v>21</v>
      </c>
      <c r="G2096" t="s">
        <v>41</v>
      </c>
      <c r="H2096" t="s">
        <v>25</v>
      </c>
      <c r="I2096" s="1">
        <v>1</v>
      </c>
      <c r="J2096" s="2">
        <v>46065</v>
      </c>
      <c r="K2096" s="2">
        <v>46054</v>
      </c>
      <c r="L2096" s="1" t="str">
        <f t="shared" si="212"/>
        <v>qui</v>
      </c>
      <c r="M2096" s="1" t="str">
        <f t="shared" si="213"/>
        <v>fev</v>
      </c>
      <c r="N2096">
        <f t="shared" si="214"/>
        <v>2026</v>
      </c>
      <c r="O2096" s="2"/>
      <c r="P2096" t="str">
        <f t="shared" si="208"/>
        <v>139946065</v>
      </c>
    </row>
    <row r="2097" spans="1:16" x14ac:dyDescent="0.3">
      <c r="A2097">
        <v>1399</v>
      </c>
      <c r="B2097">
        <v>56</v>
      </c>
      <c r="C2097" t="s">
        <v>26</v>
      </c>
      <c r="D2097" t="s">
        <v>29</v>
      </c>
      <c r="E2097" t="s">
        <v>17</v>
      </c>
      <c r="F2097" t="s">
        <v>21</v>
      </c>
      <c r="G2097" t="s">
        <v>42</v>
      </c>
      <c r="H2097" t="s">
        <v>25</v>
      </c>
      <c r="I2097" s="1">
        <v>1</v>
      </c>
      <c r="J2097" s="2">
        <v>46163</v>
      </c>
      <c r="K2097" s="2">
        <v>46143</v>
      </c>
      <c r="L2097" s="1" t="s">
        <v>51</v>
      </c>
      <c r="M2097" s="1" t="s">
        <v>49</v>
      </c>
      <c r="N2097">
        <v>2025</v>
      </c>
      <c r="O2097" s="2"/>
      <c r="P2097" t="str">
        <f t="shared" si="208"/>
        <v>139946163</v>
      </c>
    </row>
    <row r="2098" spans="1:16" x14ac:dyDescent="0.3">
      <c r="A2098">
        <v>1400</v>
      </c>
      <c r="B2098">
        <v>32</v>
      </c>
      <c r="C2098" t="s">
        <v>26</v>
      </c>
      <c r="D2098" t="s">
        <v>16</v>
      </c>
      <c r="E2098" t="s">
        <v>17</v>
      </c>
      <c r="F2098" t="s">
        <v>18</v>
      </c>
      <c r="G2098" t="s">
        <v>42</v>
      </c>
      <c r="H2098" t="s">
        <v>25</v>
      </c>
      <c r="I2098" s="1">
        <v>3</v>
      </c>
      <c r="J2098" s="2">
        <v>45878</v>
      </c>
      <c r="K2098" s="2">
        <v>45870</v>
      </c>
      <c r="L2098" s="1" t="str">
        <f t="shared" ref="L2098:L2110" si="215">TEXT(J2098,"ddd")</f>
        <v>sáb</v>
      </c>
      <c r="M2098" s="1" t="str">
        <f t="shared" ref="M2098:M2110" si="216">TEXT($J2098,"mmm")</f>
        <v>ago</v>
      </c>
      <c r="N2098">
        <f t="shared" ref="N2098:N2110" si="217">YEAR(J2098)</f>
        <v>2025</v>
      </c>
      <c r="O2098" s="2"/>
      <c r="P2098" t="str">
        <f t="shared" si="208"/>
        <v>140045878</v>
      </c>
    </row>
    <row r="2099" spans="1:16" x14ac:dyDescent="0.3">
      <c r="A2099">
        <v>1400</v>
      </c>
      <c r="B2099">
        <v>32</v>
      </c>
      <c r="C2099" t="s">
        <v>26</v>
      </c>
      <c r="D2099" t="s">
        <v>16</v>
      </c>
      <c r="E2099" t="s">
        <v>17</v>
      </c>
      <c r="F2099" t="s">
        <v>18</v>
      </c>
      <c r="G2099" t="s">
        <v>42</v>
      </c>
      <c r="H2099" t="s">
        <v>25</v>
      </c>
      <c r="I2099" s="1">
        <v>3</v>
      </c>
      <c r="J2099" s="2">
        <v>45894</v>
      </c>
      <c r="K2099" s="2">
        <v>45870</v>
      </c>
      <c r="L2099" s="1" t="str">
        <f t="shared" si="215"/>
        <v>seg</v>
      </c>
      <c r="M2099" s="1" t="str">
        <f t="shared" si="216"/>
        <v>ago</v>
      </c>
      <c r="N2099">
        <f t="shared" si="217"/>
        <v>2025</v>
      </c>
      <c r="O2099" s="2"/>
      <c r="P2099" t="str">
        <f t="shared" si="208"/>
        <v>140045894</v>
      </c>
    </row>
    <row r="2100" spans="1:16" x14ac:dyDescent="0.3">
      <c r="A2100">
        <v>1400</v>
      </c>
      <c r="B2100">
        <v>32</v>
      </c>
      <c r="C2100" t="s">
        <v>26</v>
      </c>
      <c r="D2100" t="s">
        <v>16</v>
      </c>
      <c r="E2100" t="s">
        <v>17</v>
      </c>
      <c r="F2100" t="s">
        <v>18</v>
      </c>
      <c r="G2100" t="s">
        <v>43</v>
      </c>
      <c r="H2100" t="s">
        <v>25</v>
      </c>
      <c r="I2100" s="1">
        <v>3</v>
      </c>
      <c r="J2100" s="2">
        <v>45965</v>
      </c>
      <c r="K2100" s="2">
        <v>45962</v>
      </c>
      <c r="L2100" s="1" t="str">
        <f t="shared" si="215"/>
        <v>ter</v>
      </c>
      <c r="M2100" s="1" t="str">
        <f t="shared" si="216"/>
        <v>nov</v>
      </c>
      <c r="N2100">
        <f t="shared" si="217"/>
        <v>2025</v>
      </c>
      <c r="O2100" s="2"/>
      <c r="P2100" t="str">
        <f t="shared" si="208"/>
        <v>140045965</v>
      </c>
    </row>
    <row r="2101" spans="1:16" x14ac:dyDescent="0.3">
      <c r="A2101">
        <v>1400</v>
      </c>
      <c r="B2101">
        <v>32</v>
      </c>
      <c r="C2101" t="s">
        <v>26</v>
      </c>
      <c r="D2101" t="s">
        <v>16</v>
      </c>
      <c r="E2101" t="s">
        <v>17</v>
      </c>
      <c r="F2101" t="s">
        <v>18</v>
      </c>
      <c r="G2101" t="s">
        <v>43</v>
      </c>
      <c r="H2101" t="s">
        <v>25</v>
      </c>
      <c r="I2101" s="1">
        <v>3</v>
      </c>
      <c r="J2101" s="2">
        <v>45988</v>
      </c>
      <c r="K2101" s="2">
        <v>45962</v>
      </c>
      <c r="L2101" s="1" t="str">
        <f t="shared" si="215"/>
        <v>qui</v>
      </c>
      <c r="M2101" s="1" t="str">
        <f t="shared" si="216"/>
        <v>nov</v>
      </c>
      <c r="N2101">
        <f t="shared" si="217"/>
        <v>2025</v>
      </c>
      <c r="O2101" s="2"/>
      <c r="P2101" t="str">
        <f t="shared" si="208"/>
        <v>140045988</v>
      </c>
    </row>
    <row r="2102" spans="1:16" x14ac:dyDescent="0.3">
      <c r="A2102">
        <v>1400</v>
      </c>
      <c r="B2102">
        <v>32</v>
      </c>
      <c r="C2102" t="s">
        <v>26</v>
      </c>
      <c r="D2102" t="s">
        <v>16</v>
      </c>
      <c r="E2102" t="s">
        <v>17</v>
      </c>
      <c r="F2102" t="s">
        <v>18</v>
      </c>
      <c r="G2102" t="s">
        <v>43</v>
      </c>
      <c r="H2102" t="s">
        <v>25</v>
      </c>
      <c r="I2102" s="1">
        <v>3</v>
      </c>
      <c r="J2102" s="2">
        <v>46090</v>
      </c>
      <c r="K2102" s="2">
        <v>46082</v>
      </c>
      <c r="L2102" s="1" t="str">
        <f t="shared" si="215"/>
        <v>seg</v>
      </c>
      <c r="M2102" s="1" t="str">
        <f t="shared" si="216"/>
        <v>mar</v>
      </c>
      <c r="N2102">
        <f t="shared" si="217"/>
        <v>2026</v>
      </c>
      <c r="O2102" s="2"/>
      <c r="P2102" t="str">
        <f t="shared" si="208"/>
        <v>140046090</v>
      </c>
    </row>
    <row r="2103" spans="1:16" x14ac:dyDescent="0.3">
      <c r="A2103">
        <v>1400</v>
      </c>
      <c r="B2103">
        <v>32</v>
      </c>
      <c r="C2103" t="s">
        <v>26</v>
      </c>
      <c r="D2103" t="s">
        <v>16</v>
      </c>
      <c r="E2103" t="s">
        <v>17</v>
      </c>
      <c r="F2103" t="s">
        <v>18</v>
      </c>
      <c r="G2103" t="s">
        <v>43</v>
      </c>
      <c r="H2103" t="s">
        <v>25</v>
      </c>
      <c r="I2103" s="1">
        <v>3</v>
      </c>
      <c r="J2103" s="2">
        <v>46107</v>
      </c>
      <c r="K2103" s="2">
        <v>46082</v>
      </c>
      <c r="L2103" s="1" t="str">
        <f t="shared" si="215"/>
        <v>qui</v>
      </c>
      <c r="M2103" s="1" t="str">
        <f t="shared" si="216"/>
        <v>mar</v>
      </c>
      <c r="N2103">
        <f t="shared" si="217"/>
        <v>2026</v>
      </c>
      <c r="O2103" s="2"/>
      <c r="P2103" t="str">
        <f t="shared" si="208"/>
        <v>140046107</v>
      </c>
    </row>
    <row r="2104" spans="1:16" x14ac:dyDescent="0.3">
      <c r="A2104">
        <v>1400</v>
      </c>
      <c r="B2104">
        <v>32</v>
      </c>
      <c r="C2104" t="s">
        <v>26</v>
      </c>
      <c r="D2104" t="s">
        <v>16</v>
      </c>
      <c r="E2104" t="s">
        <v>17</v>
      </c>
      <c r="F2104" t="s">
        <v>18</v>
      </c>
      <c r="G2104" t="s">
        <v>43</v>
      </c>
      <c r="H2104" t="s">
        <v>25</v>
      </c>
      <c r="I2104" s="1">
        <v>3</v>
      </c>
      <c r="J2104" s="2">
        <v>46149</v>
      </c>
      <c r="K2104" s="2">
        <v>46143</v>
      </c>
      <c r="L2104" s="1" t="str">
        <f t="shared" si="215"/>
        <v>qui</v>
      </c>
      <c r="M2104" s="1" t="str">
        <f t="shared" si="216"/>
        <v>mai</v>
      </c>
      <c r="N2104">
        <f t="shared" si="217"/>
        <v>2026</v>
      </c>
      <c r="O2104" s="2"/>
      <c r="P2104" t="str">
        <f t="shared" si="208"/>
        <v>140046149</v>
      </c>
    </row>
    <row r="2105" spans="1:16" x14ac:dyDescent="0.3">
      <c r="A2105">
        <v>1401</v>
      </c>
      <c r="B2105">
        <v>48</v>
      </c>
      <c r="C2105" t="s">
        <v>15</v>
      </c>
      <c r="D2105" t="s">
        <v>16</v>
      </c>
      <c r="E2105" t="s">
        <v>17</v>
      </c>
      <c r="F2105" t="s">
        <v>23</v>
      </c>
      <c r="G2105" t="s">
        <v>43</v>
      </c>
      <c r="H2105" t="s">
        <v>25</v>
      </c>
      <c r="I2105" s="1">
        <v>3</v>
      </c>
      <c r="J2105" s="2">
        <v>45765</v>
      </c>
      <c r="K2105" s="2">
        <v>45748</v>
      </c>
      <c r="L2105" s="1" t="str">
        <f t="shared" si="215"/>
        <v>sex</v>
      </c>
      <c r="M2105" s="1" t="str">
        <f t="shared" si="216"/>
        <v>abr</v>
      </c>
      <c r="N2105">
        <f t="shared" si="217"/>
        <v>2025</v>
      </c>
      <c r="O2105" s="2"/>
      <c r="P2105" t="str">
        <f t="shared" si="208"/>
        <v>140145765</v>
      </c>
    </row>
    <row r="2106" spans="1:16" x14ac:dyDescent="0.3">
      <c r="A2106">
        <v>1401</v>
      </c>
      <c r="B2106">
        <v>48</v>
      </c>
      <c r="C2106" t="s">
        <v>15</v>
      </c>
      <c r="D2106" t="s">
        <v>16</v>
      </c>
      <c r="E2106" t="s">
        <v>17</v>
      </c>
      <c r="F2106" t="s">
        <v>23</v>
      </c>
      <c r="G2106" t="s">
        <v>43</v>
      </c>
      <c r="H2106" t="s">
        <v>25</v>
      </c>
      <c r="I2106" s="1">
        <v>3</v>
      </c>
      <c r="J2106" s="2">
        <v>45868</v>
      </c>
      <c r="K2106" s="2">
        <v>45839</v>
      </c>
      <c r="L2106" s="1" t="str">
        <f t="shared" si="215"/>
        <v>qua</v>
      </c>
      <c r="M2106" s="1" t="str">
        <f t="shared" si="216"/>
        <v>jul</v>
      </c>
      <c r="N2106">
        <f t="shared" si="217"/>
        <v>2025</v>
      </c>
      <c r="O2106" s="2"/>
      <c r="P2106" t="str">
        <f t="shared" si="208"/>
        <v>140145868</v>
      </c>
    </row>
    <row r="2107" spans="1:16" x14ac:dyDescent="0.3">
      <c r="A2107">
        <v>1401</v>
      </c>
      <c r="B2107">
        <v>48</v>
      </c>
      <c r="C2107" t="s">
        <v>15</v>
      </c>
      <c r="D2107" t="s">
        <v>16</v>
      </c>
      <c r="E2107" t="s">
        <v>17</v>
      </c>
      <c r="F2107" t="s">
        <v>23</v>
      </c>
      <c r="G2107" t="s">
        <v>43</v>
      </c>
      <c r="H2107" t="s">
        <v>25</v>
      </c>
      <c r="I2107" s="1">
        <v>3</v>
      </c>
      <c r="J2107" s="2">
        <v>45908</v>
      </c>
      <c r="K2107" s="2">
        <v>45901</v>
      </c>
      <c r="L2107" s="1" t="str">
        <f t="shared" si="215"/>
        <v>seg</v>
      </c>
      <c r="M2107" s="1" t="str">
        <f t="shared" si="216"/>
        <v>set</v>
      </c>
      <c r="N2107">
        <f t="shared" si="217"/>
        <v>2025</v>
      </c>
      <c r="O2107" s="2"/>
      <c r="P2107" t="str">
        <f t="shared" si="208"/>
        <v>140145908</v>
      </c>
    </row>
    <row r="2108" spans="1:16" x14ac:dyDescent="0.3">
      <c r="A2108">
        <v>1401</v>
      </c>
      <c r="B2108">
        <v>48</v>
      </c>
      <c r="C2108" t="s">
        <v>15</v>
      </c>
      <c r="D2108" t="s">
        <v>16</v>
      </c>
      <c r="E2108" t="s">
        <v>17</v>
      </c>
      <c r="F2108" t="s">
        <v>23</v>
      </c>
      <c r="G2108" t="s">
        <v>43</v>
      </c>
      <c r="H2108" t="s">
        <v>25</v>
      </c>
      <c r="I2108" s="1">
        <v>3</v>
      </c>
      <c r="J2108" s="2">
        <v>46182</v>
      </c>
      <c r="K2108" s="2">
        <v>46023</v>
      </c>
      <c r="L2108" s="1" t="str">
        <f t="shared" si="215"/>
        <v>ter</v>
      </c>
      <c r="M2108" s="1" t="str">
        <f t="shared" si="216"/>
        <v>jun</v>
      </c>
      <c r="N2108">
        <f t="shared" si="217"/>
        <v>2026</v>
      </c>
      <c r="O2108" s="2"/>
      <c r="P2108" t="str">
        <f t="shared" si="208"/>
        <v>140146182</v>
      </c>
    </row>
    <row r="2109" spans="1:16" x14ac:dyDescent="0.3">
      <c r="A2109">
        <v>1401</v>
      </c>
      <c r="B2109">
        <v>48</v>
      </c>
      <c r="C2109" t="s">
        <v>15</v>
      </c>
      <c r="D2109" t="s">
        <v>16</v>
      </c>
      <c r="E2109" t="s">
        <v>17</v>
      </c>
      <c r="F2109" t="s">
        <v>23</v>
      </c>
      <c r="G2109" t="s">
        <v>43</v>
      </c>
      <c r="H2109" t="s">
        <v>25</v>
      </c>
      <c r="I2109" s="1">
        <v>3</v>
      </c>
      <c r="J2109" s="2">
        <v>46194</v>
      </c>
      <c r="K2109" s="2">
        <v>46023</v>
      </c>
      <c r="L2109" s="1" t="str">
        <f t="shared" si="215"/>
        <v>dom</v>
      </c>
      <c r="M2109" s="1" t="str">
        <f t="shared" si="216"/>
        <v>jun</v>
      </c>
      <c r="N2109">
        <f t="shared" si="217"/>
        <v>2026</v>
      </c>
      <c r="O2109" s="2"/>
      <c r="P2109" t="str">
        <f t="shared" si="208"/>
        <v>140146194</v>
      </c>
    </row>
    <row r="2110" spans="1:16" x14ac:dyDescent="0.3">
      <c r="A2110">
        <v>1401</v>
      </c>
      <c r="B2110">
        <v>48</v>
      </c>
      <c r="C2110" t="s">
        <v>15</v>
      </c>
      <c r="D2110" t="s">
        <v>16</v>
      </c>
      <c r="E2110" t="s">
        <v>17</v>
      </c>
      <c r="F2110" t="s">
        <v>23</v>
      </c>
      <c r="G2110" t="s">
        <v>43</v>
      </c>
      <c r="H2110" t="s">
        <v>25</v>
      </c>
      <c r="I2110" s="1">
        <v>3</v>
      </c>
      <c r="J2110" s="2">
        <v>46070</v>
      </c>
      <c r="K2110" s="2">
        <v>46054</v>
      </c>
      <c r="L2110" s="1" t="str">
        <f t="shared" si="215"/>
        <v>ter</v>
      </c>
      <c r="M2110" s="1" t="str">
        <f t="shared" si="216"/>
        <v>fev</v>
      </c>
      <c r="N2110">
        <f t="shared" si="217"/>
        <v>2026</v>
      </c>
      <c r="O2110" s="2"/>
      <c r="P2110" t="str">
        <f t="shared" si="208"/>
        <v>140146070</v>
      </c>
    </row>
    <row r="2111" spans="1:16" x14ac:dyDescent="0.3">
      <c r="A2111">
        <v>1401</v>
      </c>
      <c r="B2111">
        <v>48</v>
      </c>
      <c r="C2111" t="s">
        <v>15</v>
      </c>
      <c r="D2111" t="s">
        <v>16</v>
      </c>
      <c r="E2111" t="s">
        <v>17</v>
      </c>
      <c r="F2111" t="s">
        <v>23</v>
      </c>
      <c r="G2111" t="s">
        <v>43</v>
      </c>
      <c r="H2111" t="s">
        <v>25</v>
      </c>
      <c r="I2111" s="1">
        <v>3</v>
      </c>
      <c r="J2111" s="2">
        <v>46130</v>
      </c>
      <c r="K2111" s="2">
        <v>46113</v>
      </c>
      <c r="L2111" s="1" t="s">
        <v>53</v>
      </c>
      <c r="M2111" s="1" t="s">
        <v>48</v>
      </c>
      <c r="N2111">
        <v>2025</v>
      </c>
      <c r="O2111" s="2"/>
      <c r="P2111" t="str">
        <f t="shared" si="208"/>
        <v>140146130</v>
      </c>
    </row>
    <row r="2112" spans="1:16" x14ac:dyDescent="0.3">
      <c r="A2112">
        <v>1402</v>
      </c>
      <c r="B2112">
        <v>53</v>
      </c>
      <c r="C2112" t="s">
        <v>26</v>
      </c>
      <c r="D2112" t="s">
        <v>27</v>
      </c>
      <c r="E2112" t="s">
        <v>17</v>
      </c>
      <c r="F2112" t="s">
        <v>18</v>
      </c>
      <c r="G2112" t="s">
        <v>41</v>
      </c>
      <c r="H2112" t="s">
        <v>20</v>
      </c>
      <c r="I2112" s="1">
        <v>1</v>
      </c>
      <c r="J2112" s="2">
        <v>45773</v>
      </c>
      <c r="K2112" s="2">
        <v>45748</v>
      </c>
      <c r="L2112" s="1" t="str">
        <f t="shared" ref="L2112:L2132" si="218">TEXT(J2112,"ddd")</f>
        <v>sáb</v>
      </c>
      <c r="M2112" s="1" t="str">
        <f t="shared" ref="M2112:M2132" si="219">TEXT($J2112,"mmm")</f>
        <v>abr</v>
      </c>
      <c r="N2112">
        <f t="shared" ref="N2112:N2132" si="220">YEAR(J2112)</f>
        <v>2025</v>
      </c>
      <c r="O2112" s="2">
        <f>_xlfn.XLOOKUP(A2112,Colaboradores!$A:$A,Colaboradores!$S:$S,"",0)</f>
        <v>46065</v>
      </c>
      <c r="P2112" t="str">
        <f t="shared" si="208"/>
        <v>140245773</v>
      </c>
    </row>
    <row r="2113" spans="1:16" x14ac:dyDescent="0.3">
      <c r="A2113">
        <v>1402</v>
      </c>
      <c r="B2113">
        <v>53</v>
      </c>
      <c r="C2113" t="s">
        <v>26</v>
      </c>
      <c r="D2113" t="s">
        <v>27</v>
      </c>
      <c r="E2113" t="s">
        <v>17</v>
      </c>
      <c r="F2113" t="s">
        <v>18</v>
      </c>
      <c r="G2113" t="s">
        <v>41</v>
      </c>
      <c r="H2113" t="s">
        <v>20</v>
      </c>
      <c r="I2113" s="1">
        <v>1</v>
      </c>
      <c r="J2113" s="2">
        <v>45856</v>
      </c>
      <c r="K2113" s="2">
        <v>45839</v>
      </c>
      <c r="L2113" s="1" t="str">
        <f t="shared" si="218"/>
        <v>sex</v>
      </c>
      <c r="M2113" s="1" t="str">
        <f t="shared" si="219"/>
        <v>jul</v>
      </c>
      <c r="N2113">
        <f t="shared" si="220"/>
        <v>2025</v>
      </c>
      <c r="O2113" s="2">
        <f>_xlfn.XLOOKUP(A2113,Colaboradores!$A:$A,Colaboradores!$S:$S,"",0)</f>
        <v>46065</v>
      </c>
      <c r="P2113" t="str">
        <f t="shared" ref="P2113:P2176" si="221">CONCATENATE(A2113,J2113)</f>
        <v>140245856</v>
      </c>
    </row>
    <row r="2114" spans="1:16" x14ac:dyDescent="0.3">
      <c r="A2114">
        <v>1402</v>
      </c>
      <c r="B2114">
        <v>53</v>
      </c>
      <c r="C2114" t="s">
        <v>26</v>
      </c>
      <c r="D2114" t="s">
        <v>27</v>
      </c>
      <c r="E2114" t="s">
        <v>17</v>
      </c>
      <c r="F2114" t="s">
        <v>18</v>
      </c>
      <c r="G2114" t="s">
        <v>41</v>
      </c>
      <c r="H2114" t="s">
        <v>20</v>
      </c>
      <c r="I2114" s="1">
        <v>1</v>
      </c>
      <c r="J2114" s="2">
        <v>45862</v>
      </c>
      <c r="K2114" s="2">
        <v>45839</v>
      </c>
      <c r="L2114" s="1" t="str">
        <f t="shared" si="218"/>
        <v>qui</v>
      </c>
      <c r="M2114" s="1" t="str">
        <f t="shared" si="219"/>
        <v>jul</v>
      </c>
      <c r="N2114">
        <f t="shared" si="220"/>
        <v>2025</v>
      </c>
      <c r="O2114" s="2">
        <f>_xlfn.XLOOKUP(A2114,Colaboradores!$A:$A,Colaboradores!$S:$S,"",0)</f>
        <v>46065</v>
      </c>
      <c r="P2114" t="str">
        <f t="shared" si="221"/>
        <v>140245862</v>
      </c>
    </row>
    <row r="2115" spans="1:16" x14ac:dyDescent="0.3">
      <c r="A2115">
        <v>1402</v>
      </c>
      <c r="B2115">
        <v>53</v>
      </c>
      <c r="C2115" t="s">
        <v>26</v>
      </c>
      <c r="D2115" t="s">
        <v>27</v>
      </c>
      <c r="E2115" t="s">
        <v>17</v>
      </c>
      <c r="F2115" t="s">
        <v>18</v>
      </c>
      <c r="G2115" t="s">
        <v>41</v>
      </c>
      <c r="H2115" t="s">
        <v>20</v>
      </c>
      <c r="I2115" s="1">
        <v>1</v>
      </c>
      <c r="J2115" s="2">
        <v>45947</v>
      </c>
      <c r="K2115" s="2">
        <v>45931</v>
      </c>
      <c r="L2115" s="1" t="str">
        <f t="shared" si="218"/>
        <v>sex</v>
      </c>
      <c r="M2115" s="1" t="str">
        <f t="shared" si="219"/>
        <v>out</v>
      </c>
      <c r="N2115">
        <f t="shared" si="220"/>
        <v>2025</v>
      </c>
      <c r="O2115" s="2">
        <f>_xlfn.XLOOKUP(A2115,Colaboradores!$A:$A,Colaboradores!$S:$S,"",0)</f>
        <v>46065</v>
      </c>
      <c r="P2115" t="str">
        <f t="shared" si="221"/>
        <v>140245947</v>
      </c>
    </row>
    <row r="2116" spans="1:16" x14ac:dyDescent="0.3">
      <c r="A2116">
        <v>1402</v>
      </c>
      <c r="B2116">
        <v>53</v>
      </c>
      <c r="C2116" t="s">
        <v>26</v>
      </c>
      <c r="D2116" t="s">
        <v>27</v>
      </c>
      <c r="E2116" t="s">
        <v>17</v>
      </c>
      <c r="F2116" t="s">
        <v>18</v>
      </c>
      <c r="G2116" t="s">
        <v>41</v>
      </c>
      <c r="H2116" t="s">
        <v>20</v>
      </c>
      <c r="I2116" s="1">
        <v>1</v>
      </c>
      <c r="J2116" s="2">
        <v>45971</v>
      </c>
      <c r="K2116" s="2">
        <v>45962</v>
      </c>
      <c r="L2116" s="1" t="str">
        <f t="shared" si="218"/>
        <v>seg</v>
      </c>
      <c r="M2116" s="1" t="str">
        <f t="shared" si="219"/>
        <v>nov</v>
      </c>
      <c r="N2116">
        <f t="shared" si="220"/>
        <v>2025</v>
      </c>
      <c r="O2116" s="2">
        <f>_xlfn.XLOOKUP(A2116,Colaboradores!$A:$A,Colaboradores!$S:$S,"",0)</f>
        <v>46065</v>
      </c>
      <c r="P2116" t="str">
        <f t="shared" si="221"/>
        <v>140245971</v>
      </c>
    </row>
    <row r="2117" spans="1:16" x14ac:dyDescent="0.3">
      <c r="A2117">
        <v>1402</v>
      </c>
      <c r="B2117">
        <v>53</v>
      </c>
      <c r="C2117" t="s">
        <v>26</v>
      </c>
      <c r="D2117" t="s">
        <v>27</v>
      </c>
      <c r="E2117" t="s">
        <v>17</v>
      </c>
      <c r="F2117" t="s">
        <v>18</v>
      </c>
      <c r="G2117" t="s">
        <v>41</v>
      </c>
      <c r="H2117" t="s">
        <v>20</v>
      </c>
      <c r="I2117" s="1">
        <v>1</v>
      </c>
      <c r="J2117" s="2">
        <v>46016</v>
      </c>
      <c r="K2117" s="2">
        <v>45992</v>
      </c>
      <c r="L2117" s="1" t="str">
        <f t="shared" si="218"/>
        <v>qui</v>
      </c>
      <c r="M2117" s="1" t="str">
        <f t="shared" si="219"/>
        <v>dez</v>
      </c>
      <c r="N2117">
        <f t="shared" si="220"/>
        <v>2025</v>
      </c>
      <c r="O2117" s="2">
        <f>_xlfn.XLOOKUP(A2117,Colaboradores!$A:$A,Colaboradores!$S:$S,"",0)</f>
        <v>46065</v>
      </c>
      <c r="P2117" t="str">
        <f t="shared" si="221"/>
        <v>140246016</v>
      </c>
    </row>
    <row r="2118" spans="1:16" x14ac:dyDescent="0.3">
      <c r="A2118">
        <v>1404</v>
      </c>
      <c r="B2118">
        <v>57</v>
      </c>
      <c r="C2118" t="s">
        <v>15</v>
      </c>
      <c r="D2118" t="s">
        <v>27</v>
      </c>
      <c r="E2118" t="s">
        <v>17</v>
      </c>
      <c r="F2118" t="s">
        <v>21</v>
      </c>
      <c r="G2118" t="s">
        <v>57</v>
      </c>
      <c r="H2118" t="s">
        <v>20</v>
      </c>
      <c r="I2118" s="1">
        <v>1</v>
      </c>
      <c r="J2118" s="2">
        <v>45734</v>
      </c>
      <c r="K2118" s="2">
        <v>45717</v>
      </c>
      <c r="L2118" s="1" t="str">
        <f t="shared" si="218"/>
        <v>ter</v>
      </c>
      <c r="M2118" s="1" t="str">
        <f t="shared" si="219"/>
        <v>mar</v>
      </c>
      <c r="N2118">
        <f t="shared" si="220"/>
        <v>2025</v>
      </c>
      <c r="O2118" s="2">
        <f>_xlfn.XLOOKUP(A2118,Colaboradores!$A:$A,Colaboradores!$S:$S,"",0)</f>
        <v>45853</v>
      </c>
      <c r="P2118" t="str">
        <f t="shared" si="221"/>
        <v>140445734</v>
      </c>
    </row>
    <row r="2119" spans="1:16" x14ac:dyDescent="0.3">
      <c r="A2119">
        <v>1404</v>
      </c>
      <c r="B2119">
        <v>57</v>
      </c>
      <c r="C2119" t="s">
        <v>15</v>
      </c>
      <c r="D2119" t="s">
        <v>27</v>
      </c>
      <c r="E2119" t="s">
        <v>17</v>
      </c>
      <c r="F2119" t="s">
        <v>21</v>
      </c>
      <c r="G2119" t="s">
        <v>41</v>
      </c>
      <c r="H2119" t="s">
        <v>20</v>
      </c>
      <c r="I2119" s="1">
        <v>1</v>
      </c>
      <c r="J2119" s="2">
        <v>45822</v>
      </c>
      <c r="K2119" s="2">
        <v>45809</v>
      </c>
      <c r="L2119" s="1" t="str">
        <f t="shared" si="218"/>
        <v>sáb</v>
      </c>
      <c r="M2119" s="1" t="str">
        <f t="shared" si="219"/>
        <v>jun</v>
      </c>
      <c r="N2119">
        <f t="shared" si="220"/>
        <v>2025</v>
      </c>
      <c r="O2119" s="2">
        <f>_xlfn.XLOOKUP(A2119,Colaboradores!$A:$A,Colaboradores!$S:$S,"",0)</f>
        <v>45853</v>
      </c>
      <c r="P2119" t="str">
        <f t="shared" si="221"/>
        <v>140445822</v>
      </c>
    </row>
    <row r="2120" spans="1:16" x14ac:dyDescent="0.3">
      <c r="A2120">
        <v>1405</v>
      </c>
      <c r="B2120">
        <v>27</v>
      </c>
      <c r="C2120" t="s">
        <v>26</v>
      </c>
      <c r="D2120" t="s">
        <v>16</v>
      </c>
      <c r="E2120" t="s">
        <v>17</v>
      </c>
      <c r="F2120" t="s">
        <v>21</v>
      </c>
      <c r="G2120" t="s">
        <v>41</v>
      </c>
      <c r="H2120" t="s">
        <v>20</v>
      </c>
      <c r="I2120" s="1">
        <v>2</v>
      </c>
      <c r="J2120" s="2">
        <v>45673</v>
      </c>
      <c r="K2120" s="2">
        <v>45658</v>
      </c>
      <c r="L2120" s="1" t="str">
        <f t="shared" si="218"/>
        <v>qui</v>
      </c>
      <c r="M2120" s="1" t="str">
        <f t="shared" si="219"/>
        <v>jan</v>
      </c>
      <c r="N2120">
        <f t="shared" si="220"/>
        <v>2025</v>
      </c>
      <c r="O2120" s="2">
        <f>_xlfn.XLOOKUP(A2120,Colaboradores!$A:$A,Colaboradores!$S:$S,"",0)</f>
        <v>45851</v>
      </c>
      <c r="P2120" t="str">
        <f t="shared" si="221"/>
        <v>140545673</v>
      </c>
    </row>
    <row r="2121" spans="1:16" x14ac:dyDescent="0.3">
      <c r="A2121">
        <v>1405</v>
      </c>
      <c r="B2121">
        <v>27</v>
      </c>
      <c r="C2121" t="s">
        <v>26</v>
      </c>
      <c r="D2121" t="s">
        <v>16</v>
      </c>
      <c r="E2121" t="s">
        <v>17</v>
      </c>
      <c r="F2121" t="s">
        <v>21</v>
      </c>
      <c r="G2121" t="s">
        <v>57</v>
      </c>
      <c r="H2121" t="s">
        <v>20</v>
      </c>
      <c r="I2121" s="1">
        <v>2</v>
      </c>
      <c r="J2121" s="2">
        <v>45734</v>
      </c>
      <c r="K2121" s="2">
        <v>45717</v>
      </c>
      <c r="L2121" s="1" t="str">
        <f t="shared" si="218"/>
        <v>ter</v>
      </c>
      <c r="M2121" s="1" t="str">
        <f t="shared" si="219"/>
        <v>mar</v>
      </c>
      <c r="N2121">
        <f t="shared" si="220"/>
        <v>2025</v>
      </c>
      <c r="O2121" s="2">
        <f>_xlfn.XLOOKUP(A2121,Colaboradores!$A:$A,Colaboradores!$S:$S,"",0)</f>
        <v>45851</v>
      </c>
      <c r="P2121" t="str">
        <f t="shared" si="221"/>
        <v>140545734</v>
      </c>
    </row>
    <row r="2122" spans="1:16" x14ac:dyDescent="0.3">
      <c r="A2122">
        <v>1405</v>
      </c>
      <c r="B2122">
        <v>27</v>
      </c>
      <c r="C2122" t="s">
        <v>26</v>
      </c>
      <c r="D2122" t="s">
        <v>16</v>
      </c>
      <c r="E2122" t="s">
        <v>17</v>
      </c>
      <c r="F2122" t="s">
        <v>21</v>
      </c>
      <c r="G2122" t="s">
        <v>57</v>
      </c>
      <c r="H2122" t="s">
        <v>20</v>
      </c>
      <c r="I2122" s="1">
        <v>2</v>
      </c>
      <c r="J2122" s="2">
        <v>45746</v>
      </c>
      <c r="K2122" s="2">
        <v>45717</v>
      </c>
      <c r="L2122" s="1" t="str">
        <f t="shared" si="218"/>
        <v>dom</v>
      </c>
      <c r="M2122" s="1" t="str">
        <f t="shared" si="219"/>
        <v>mar</v>
      </c>
      <c r="N2122">
        <f t="shared" si="220"/>
        <v>2025</v>
      </c>
      <c r="O2122" s="2">
        <f>_xlfn.XLOOKUP(A2122,Colaboradores!$A:$A,Colaboradores!$S:$S,"",0)</f>
        <v>45851</v>
      </c>
      <c r="P2122" t="str">
        <f t="shared" si="221"/>
        <v>140545746</v>
      </c>
    </row>
    <row r="2123" spans="1:16" x14ac:dyDescent="0.3">
      <c r="A2123">
        <v>1405</v>
      </c>
      <c r="B2123">
        <v>27</v>
      </c>
      <c r="C2123" t="s">
        <v>26</v>
      </c>
      <c r="D2123" t="s">
        <v>16</v>
      </c>
      <c r="E2123" t="s">
        <v>17</v>
      </c>
      <c r="F2123" t="s">
        <v>21</v>
      </c>
      <c r="G2123" t="s">
        <v>41</v>
      </c>
      <c r="H2123" t="s">
        <v>20</v>
      </c>
      <c r="I2123" s="1">
        <v>2</v>
      </c>
      <c r="J2123" s="2">
        <v>45793</v>
      </c>
      <c r="K2123" s="2">
        <v>45778</v>
      </c>
      <c r="L2123" s="1" t="str">
        <f t="shared" si="218"/>
        <v>sex</v>
      </c>
      <c r="M2123" s="1" t="str">
        <f t="shared" si="219"/>
        <v>mai</v>
      </c>
      <c r="N2123">
        <f t="shared" si="220"/>
        <v>2025</v>
      </c>
      <c r="O2123" s="2">
        <f>_xlfn.XLOOKUP(A2123,Colaboradores!$A:$A,Colaboradores!$S:$S,"",0)</f>
        <v>45851</v>
      </c>
      <c r="P2123" t="str">
        <f t="shared" si="221"/>
        <v>140545793</v>
      </c>
    </row>
    <row r="2124" spans="1:16" x14ac:dyDescent="0.3">
      <c r="A2124">
        <v>1405</v>
      </c>
      <c r="B2124">
        <v>27</v>
      </c>
      <c r="C2124" t="s">
        <v>26</v>
      </c>
      <c r="D2124" t="s">
        <v>16</v>
      </c>
      <c r="E2124" t="s">
        <v>17</v>
      </c>
      <c r="F2124" t="s">
        <v>21</v>
      </c>
      <c r="G2124" t="s">
        <v>42</v>
      </c>
      <c r="H2124" t="s">
        <v>20</v>
      </c>
      <c r="I2124" s="1">
        <v>2</v>
      </c>
      <c r="J2124" s="2">
        <v>45841</v>
      </c>
      <c r="K2124" s="2">
        <v>45839</v>
      </c>
      <c r="L2124" s="1" t="str">
        <f t="shared" si="218"/>
        <v>qui</v>
      </c>
      <c r="M2124" s="1" t="str">
        <f t="shared" si="219"/>
        <v>jul</v>
      </c>
      <c r="N2124">
        <f t="shared" si="220"/>
        <v>2025</v>
      </c>
      <c r="O2124" s="2">
        <f>_xlfn.XLOOKUP(A2124,Colaboradores!$A:$A,Colaboradores!$S:$S,"",0)</f>
        <v>45851</v>
      </c>
      <c r="P2124" t="str">
        <f t="shared" si="221"/>
        <v>140545841</v>
      </c>
    </row>
    <row r="2125" spans="1:16" x14ac:dyDescent="0.3">
      <c r="A2125">
        <v>1405</v>
      </c>
      <c r="B2125">
        <v>27</v>
      </c>
      <c r="C2125" t="s">
        <v>26</v>
      </c>
      <c r="D2125" t="s">
        <v>16</v>
      </c>
      <c r="E2125" t="s">
        <v>17</v>
      </c>
      <c r="F2125" t="s">
        <v>21</v>
      </c>
      <c r="G2125" t="s">
        <v>41</v>
      </c>
      <c r="H2125" t="s">
        <v>20</v>
      </c>
      <c r="I2125" s="1">
        <v>2</v>
      </c>
      <c r="J2125" s="2">
        <v>45849</v>
      </c>
      <c r="K2125" s="2">
        <v>45839</v>
      </c>
      <c r="L2125" s="1" t="str">
        <f t="shared" si="218"/>
        <v>sex</v>
      </c>
      <c r="M2125" s="1" t="str">
        <f t="shared" si="219"/>
        <v>jul</v>
      </c>
      <c r="N2125">
        <f t="shared" si="220"/>
        <v>2025</v>
      </c>
      <c r="O2125" s="2">
        <f>_xlfn.XLOOKUP(A2125,Colaboradores!$A:$A,Colaboradores!$S:$S,"",0)</f>
        <v>45851</v>
      </c>
      <c r="P2125" t="str">
        <f t="shared" si="221"/>
        <v>140545849</v>
      </c>
    </row>
    <row r="2126" spans="1:16" x14ac:dyDescent="0.3">
      <c r="A2126">
        <v>1406</v>
      </c>
      <c r="B2126">
        <v>41</v>
      </c>
      <c r="C2126" t="s">
        <v>26</v>
      </c>
      <c r="D2126" t="s">
        <v>27</v>
      </c>
      <c r="E2126" t="s">
        <v>17</v>
      </c>
      <c r="F2126" t="s">
        <v>21</v>
      </c>
      <c r="G2126" t="s">
        <v>44</v>
      </c>
      <c r="H2126" t="s">
        <v>25</v>
      </c>
      <c r="I2126" s="1">
        <v>1</v>
      </c>
      <c r="J2126" s="2">
        <v>45805</v>
      </c>
      <c r="K2126" s="2">
        <v>45778</v>
      </c>
      <c r="L2126" s="1" t="str">
        <f t="shared" si="218"/>
        <v>qua</v>
      </c>
      <c r="M2126" s="1" t="str">
        <f t="shared" si="219"/>
        <v>mai</v>
      </c>
      <c r="N2126">
        <f t="shared" si="220"/>
        <v>2025</v>
      </c>
      <c r="O2126" s="2"/>
      <c r="P2126" t="str">
        <f t="shared" si="221"/>
        <v>140645805</v>
      </c>
    </row>
    <row r="2127" spans="1:16" x14ac:dyDescent="0.3">
      <c r="A2127">
        <v>1406</v>
      </c>
      <c r="B2127">
        <v>41</v>
      </c>
      <c r="C2127" t="s">
        <v>26</v>
      </c>
      <c r="D2127" t="s">
        <v>27</v>
      </c>
      <c r="E2127" t="s">
        <v>17</v>
      </c>
      <c r="F2127" t="s">
        <v>21</v>
      </c>
      <c r="G2127" t="s">
        <v>41</v>
      </c>
      <c r="H2127" t="s">
        <v>25</v>
      </c>
      <c r="I2127" s="1">
        <v>1</v>
      </c>
      <c r="J2127" s="2">
        <v>45812</v>
      </c>
      <c r="K2127" s="2">
        <v>45809</v>
      </c>
      <c r="L2127" s="1" t="str">
        <f t="shared" si="218"/>
        <v>qua</v>
      </c>
      <c r="M2127" s="1" t="str">
        <f t="shared" si="219"/>
        <v>jun</v>
      </c>
      <c r="N2127">
        <f t="shared" si="220"/>
        <v>2025</v>
      </c>
      <c r="O2127" s="2"/>
      <c r="P2127" t="str">
        <f t="shared" si="221"/>
        <v>140645812</v>
      </c>
    </row>
    <row r="2128" spans="1:16" x14ac:dyDescent="0.3">
      <c r="A2128">
        <v>1406</v>
      </c>
      <c r="B2128">
        <v>41</v>
      </c>
      <c r="C2128" t="s">
        <v>26</v>
      </c>
      <c r="D2128" t="s">
        <v>27</v>
      </c>
      <c r="E2128" t="s">
        <v>17</v>
      </c>
      <c r="F2128" t="s">
        <v>21</v>
      </c>
      <c r="G2128" t="s">
        <v>44</v>
      </c>
      <c r="H2128" t="s">
        <v>25</v>
      </c>
      <c r="I2128" s="1">
        <v>1</v>
      </c>
      <c r="J2128" s="2">
        <v>45869</v>
      </c>
      <c r="K2128" s="2">
        <v>45839</v>
      </c>
      <c r="L2128" s="1" t="str">
        <f t="shared" si="218"/>
        <v>qui</v>
      </c>
      <c r="M2128" s="1" t="str">
        <f t="shared" si="219"/>
        <v>jul</v>
      </c>
      <c r="N2128">
        <f t="shared" si="220"/>
        <v>2025</v>
      </c>
      <c r="O2128" s="2"/>
      <c r="P2128" t="str">
        <f t="shared" si="221"/>
        <v>140645869</v>
      </c>
    </row>
    <row r="2129" spans="1:16" x14ac:dyDescent="0.3">
      <c r="A2129">
        <v>1406</v>
      </c>
      <c r="B2129">
        <v>41</v>
      </c>
      <c r="C2129" t="s">
        <v>26</v>
      </c>
      <c r="D2129" t="s">
        <v>27</v>
      </c>
      <c r="E2129" t="s">
        <v>17</v>
      </c>
      <c r="F2129" t="s">
        <v>21</v>
      </c>
      <c r="G2129" t="s">
        <v>41</v>
      </c>
      <c r="H2129" t="s">
        <v>25</v>
      </c>
      <c r="I2129" s="1">
        <v>1</v>
      </c>
      <c r="J2129" s="2">
        <v>45878</v>
      </c>
      <c r="K2129" s="2">
        <v>45870</v>
      </c>
      <c r="L2129" s="1" t="str">
        <f t="shared" si="218"/>
        <v>sáb</v>
      </c>
      <c r="M2129" s="1" t="str">
        <f t="shared" si="219"/>
        <v>ago</v>
      </c>
      <c r="N2129">
        <f t="shared" si="220"/>
        <v>2025</v>
      </c>
      <c r="O2129" s="2"/>
      <c r="P2129" t="str">
        <f t="shared" si="221"/>
        <v>140645878</v>
      </c>
    </row>
    <row r="2130" spans="1:16" x14ac:dyDescent="0.3">
      <c r="A2130">
        <v>1406</v>
      </c>
      <c r="B2130">
        <v>41</v>
      </c>
      <c r="C2130" t="s">
        <v>26</v>
      </c>
      <c r="D2130" t="s">
        <v>27</v>
      </c>
      <c r="E2130" t="s">
        <v>17</v>
      </c>
      <c r="F2130" t="s">
        <v>21</v>
      </c>
      <c r="G2130" t="s">
        <v>44</v>
      </c>
      <c r="H2130" t="s">
        <v>25</v>
      </c>
      <c r="I2130" s="1">
        <v>1</v>
      </c>
      <c r="J2130" s="2">
        <v>46070</v>
      </c>
      <c r="K2130" s="2">
        <v>46054</v>
      </c>
      <c r="L2130" s="1" t="str">
        <f t="shared" si="218"/>
        <v>ter</v>
      </c>
      <c r="M2130" s="1" t="str">
        <f t="shared" si="219"/>
        <v>fev</v>
      </c>
      <c r="N2130">
        <f t="shared" si="220"/>
        <v>2026</v>
      </c>
      <c r="O2130" s="2"/>
      <c r="P2130" t="str">
        <f t="shared" si="221"/>
        <v>140646070</v>
      </c>
    </row>
    <row r="2131" spans="1:16" x14ac:dyDescent="0.3">
      <c r="A2131">
        <v>1406</v>
      </c>
      <c r="B2131">
        <v>41</v>
      </c>
      <c r="C2131" t="s">
        <v>26</v>
      </c>
      <c r="D2131" t="s">
        <v>27</v>
      </c>
      <c r="E2131" t="s">
        <v>17</v>
      </c>
      <c r="F2131" t="s">
        <v>21</v>
      </c>
      <c r="G2131" t="s">
        <v>44</v>
      </c>
      <c r="H2131" t="s">
        <v>25</v>
      </c>
      <c r="I2131" s="1">
        <v>1</v>
      </c>
      <c r="J2131" s="2">
        <v>46110</v>
      </c>
      <c r="K2131" s="2">
        <v>46082</v>
      </c>
      <c r="L2131" s="1" t="str">
        <f t="shared" si="218"/>
        <v>dom</v>
      </c>
      <c r="M2131" s="1" t="str">
        <f t="shared" si="219"/>
        <v>mar</v>
      </c>
      <c r="N2131">
        <f t="shared" si="220"/>
        <v>2026</v>
      </c>
      <c r="O2131" s="2"/>
      <c r="P2131" t="str">
        <f t="shared" si="221"/>
        <v>140646110</v>
      </c>
    </row>
    <row r="2132" spans="1:16" x14ac:dyDescent="0.3">
      <c r="A2132">
        <v>1406</v>
      </c>
      <c r="B2132">
        <v>41</v>
      </c>
      <c r="C2132" t="s">
        <v>26</v>
      </c>
      <c r="D2132" t="s">
        <v>27</v>
      </c>
      <c r="E2132" t="s">
        <v>17</v>
      </c>
      <c r="F2132" t="s">
        <v>21</v>
      </c>
      <c r="G2132" t="s">
        <v>44</v>
      </c>
      <c r="H2132" t="s">
        <v>25</v>
      </c>
      <c r="I2132" s="1">
        <v>1</v>
      </c>
      <c r="J2132" s="2">
        <v>46152</v>
      </c>
      <c r="K2132" s="2">
        <v>46143</v>
      </c>
      <c r="L2132" s="1" t="str">
        <f t="shared" si="218"/>
        <v>dom</v>
      </c>
      <c r="M2132" s="1" t="str">
        <f t="shared" si="219"/>
        <v>mai</v>
      </c>
      <c r="N2132">
        <f t="shared" si="220"/>
        <v>2026</v>
      </c>
      <c r="O2132" s="2"/>
      <c r="P2132" t="str">
        <f t="shared" si="221"/>
        <v>140646152</v>
      </c>
    </row>
    <row r="2133" spans="1:16" x14ac:dyDescent="0.3">
      <c r="A2133">
        <v>1406</v>
      </c>
      <c r="B2133">
        <v>41</v>
      </c>
      <c r="C2133" t="s">
        <v>26</v>
      </c>
      <c r="D2133" t="s">
        <v>27</v>
      </c>
      <c r="E2133" t="s">
        <v>17</v>
      </c>
      <c r="F2133" t="s">
        <v>21</v>
      </c>
      <c r="G2133" t="s">
        <v>44</v>
      </c>
      <c r="H2133" t="s">
        <v>25</v>
      </c>
      <c r="I2133" s="1">
        <v>1</v>
      </c>
      <c r="J2133" s="2">
        <v>46170</v>
      </c>
      <c r="K2133" s="2">
        <v>46143</v>
      </c>
      <c r="L2133" s="1" t="s">
        <v>51</v>
      </c>
      <c r="M2133" s="1" t="s">
        <v>49</v>
      </c>
      <c r="N2133">
        <v>2025</v>
      </c>
      <c r="O2133" s="2"/>
      <c r="P2133" t="str">
        <f t="shared" si="221"/>
        <v>140646170</v>
      </c>
    </row>
    <row r="2134" spans="1:16" x14ac:dyDescent="0.3">
      <c r="A2134">
        <v>1407</v>
      </c>
      <c r="B2134">
        <v>45</v>
      </c>
      <c r="C2134" t="s">
        <v>26</v>
      </c>
      <c r="D2134" t="s">
        <v>27</v>
      </c>
      <c r="E2134" t="s">
        <v>17</v>
      </c>
      <c r="F2134" t="s">
        <v>18</v>
      </c>
      <c r="G2134" t="s">
        <v>41</v>
      </c>
      <c r="H2134" t="s">
        <v>25</v>
      </c>
      <c r="I2134" s="1">
        <v>2</v>
      </c>
      <c r="J2134" s="2">
        <v>45833</v>
      </c>
      <c r="K2134" s="2">
        <v>45809</v>
      </c>
      <c r="L2134" s="1" t="str">
        <f t="shared" ref="L2134:L2164" si="222">TEXT(J2134,"ddd")</f>
        <v>qua</v>
      </c>
      <c r="M2134" s="1" t="str">
        <f t="shared" ref="M2134:M2164" si="223">TEXT($J2134,"mmm")</f>
        <v>jun</v>
      </c>
      <c r="N2134">
        <f t="shared" ref="N2134:N2164" si="224">YEAR(J2134)</f>
        <v>2025</v>
      </c>
      <c r="O2134" s="2"/>
      <c r="P2134" t="str">
        <f t="shared" si="221"/>
        <v>140745833</v>
      </c>
    </row>
    <row r="2135" spans="1:16" x14ac:dyDescent="0.3">
      <c r="A2135">
        <v>1407</v>
      </c>
      <c r="B2135">
        <v>45</v>
      </c>
      <c r="C2135" t="s">
        <v>26</v>
      </c>
      <c r="D2135" t="s">
        <v>27</v>
      </c>
      <c r="E2135" t="s">
        <v>17</v>
      </c>
      <c r="F2135" t="s">
        <v>18</v>
      </c>
      <c r="G2135" t="s">
        <v>41</v>
      </c>
      <c r="H2135" t="s">
        <v>25</v>
      </c>
      <c r="I2135" s="1">
        <v>2</v>
      </c>
      <c r="J2135" s="2">
        <v>45874</v>
      </c>
      <c r="K2135" s="2">
        <v>45870</v>
      </c>
      <c r="L2135" s="1" t="str">
        <f t="shared" si="222"/>
        <v>ter</v>
      </c>
      <c r="M2135" s="1" t="str">
        <f t="shared" si="223"/>
        <v>ago</v>
      </c>
      <c r="N2135">
        <f t="shared" si="224"/>
        <v>2025</v>
      </c>
      <c r="O2135" s="2"/>
      <c r="P2135" t="str">
        <f t="shared" si="221"/>
        <v>140745874</v>
      </c>
    </row>
    <row r="2136" spans="1:16" x14ac:dyDescent="0.3">
      <c r="A2136">
        <v>1407</v>
      </c>
      <c r="B2136">
        <v>45</v>
      </c>
      <c r="C2136" t="s">
        <v>26</v>
      </c>
      <c r="D2136" t="s">
        <v>27</v>
      </c>
      <c r="E2136" t="s">
        <v>17</v>
      </c>
      <c r="F2136" t="s">
        <v>18</v>
      </c>
      <c r="G2136" t="s">
        <v>41</v>
      </c>
      <c r="H2136" t="s">
        <v>25</v>
      </c>
      <c r="I2136" s="1">
        <v>2</v>
      </c>
      <c r="J2136" s="2">
        <v>45880</v>
      </c>
      <c r="K2136" s="2">
        <v>45870</v>
      </c>
      <c r="L2136" s="1" t="str">
        <f t="shared" si="222"/>
        <v>seg</v>
      </c>
      <c r="M2136" s="1" t="str">
        <f t="shared" si="223"/>
        <v>ago</v>
      </c>
      <c r="N2136">
        <f t="shared" si="224"/>
        <v>2025</v>
      </c>
      <c r="O2136" s="2"/>
      <c r="P2136" t="str">
        <f t="shared" si="221"/>
        <v>140745880</v>
      </c>
    </row>
    <row r="2137" spans="1:16" x14ac:dyDescent="0.3">
      <c r="A2137">
        <v>1407</v>
      </c>
      <c r="B2137">
        <v>45</v>
      </c>
      <c r="C2137" t="s">
        <v>26</v>
      </c>
      <c r="D2137" t="s">
        <v>27</v>
      </c>
      <c r="E2137" t="s">
        <v>17</v>
      </c>
      <c r="F2137" t="s">
        <v>18</v>
      </c>
      <c r="G2137" t="s">
        <v>41</v>
      </c>
      <c r="H2137" t="s">
        <v>25</v>
      </c>
      <c r="I2137" s="1">
        <v>2</v>
      </c>
      <c r="J2137" s="2">
        <v>45881</v>
      </c>
      <c r="K2137" s="2">
        <v>45870</v>
      </c>
      <c r="L2137" s="1" t="str">
        <f t="shared" si="222"/>
        <v>ter</v>
      </c>
      <c r="M2137" s="1" t="str">
        <f t="shared" si="223"/>
        <v>ago</v>
      </c>
      <c r="N2137">
        <f t="shared" si="224"/>
        <v>2025</v>
      </c>
      <c r="O2137" s="2"/>
      <c r="P2137" t="str">
        <f t="shared" si="221"/>
        <v>140745881</v>
      </c>
    </row>
    <row r="2138" spans="1:16" x14ac:dyDescent="0.3">
      <c r="A2138">
        <v>1407</v>
      </c>
      <c r="B2138">
        <v>45</v>
      </c>
      <c r="C2138" t="s">
        <v>26</v>
      </c>
      <c r="D2138" t="s">
        <v>27</v>
      </c>
      <c r="E2138" t="s">
        <v>17</v>
      </c>
      <c r="F2138" t="s">
        <v>18</v>
      </c>
      <c r="G2138" t="s">
        <v>41</v>
      </c>
      <c r="H2138" t="s">
        <v>25</v>
      </c>
      <c r="I2138" s="1">
        <v>2</v>
      </c>
      <c r="J2138" s="2">
        <v>45973</v>
      </c>
      <c r="K2138" s="2">
        <v>45962</v>
      </c>
      <c r="L2138" s="1" t="str">
        <f t="shared" si="222"/>
        <v>qua</v>
      </c>
      <c r="M2138" s="1" t="str">
        <f t="shared" si="223"/>
        <v>nov</v>
      </c>
      <c r="N2138">
        <f t="shared" si="224"/>
        <v>2025</v>
      </c>
      <c r="O2138" s="2"/>
      <c r="P2138" t="str">
        <f t="shared" si="221"/>
        <v>140745973</v>
      </c>
    </row>
    <row r="2139" spans="1:16" x14ac:dyDescent="0.3">
      <c r="A2139">
        <v>1407</v>
      </c>
      <c r="B2139">
        <v>45</v>
      </c>
      <c r="C2139" t="s">
        <v>26</v>
      </c>
      <c r="D2139" t="s">
        <v>27</v>
      </c>
      <c r="E2139" t="s">
        <v>17</v>
      </c>
      <c r="F2139" t="s">
        <v>18</v>
      </c>
      <c r="G2139" t="s">
        <v>41</v>
      </c>
      <c r="H2139" t="s">
        <v>25</v>
      </c>
      <c r="I2139" s="1">
        <v>2</v>
      </c>
      <c r="J2139" s="2">
        <v>46193</v>
      </c>
      <c r="K2139" s="2">
        <v>46023</v>
      </c>
      <c r="L2139" s="1" t="str">
        <f t="shared" si="222"/>
        <v>sáb</v>
      </c>
      <c r="M2139" s="1" t="str">
        <f t="shared" si="223"/>
        <v>jun</v>
      </c>
      <c r="N2139">
        <f t="shared" si="224"/>
        <v>2026</v>
      </c>
      <c r="O2139" s="2"/>
      <c r="P2139" t="str">
        <f t="shared" si="221"/>
        <v>140746193</v>
      </c>
    </row>
    <row r="2140" spans="1:16" x14ac:dyDescent="0.3">
      <c r="A2140">
        <v>1408</v>
      </c>
      <c r="B2140">
        <v>37</v>
      </c>
      <c r="C2140" t="s">
        <v>15</v>
      </c>
      <c r="D2140" t="s">
        <v>16</v>
      </c>
      <c r="E2140" t="s">
        <v>17</v>
      </c>
      <c r="F2140" t="s">
        <v>21</v>
      </c>
      <c r="G2140" t="s">
        <v>57</v>
      </c>
      <c r="H2140" t="s">
        <v>20</v>
      </c>
      <c r="I2140" s="1">
        <v>3</v>
      </c>
      <c r="J2140" s="2">
        <v>45734</v>
      </c>
      <c r="K2140" s="2">
        <v>45717</v>
      </c>
      <c r="L2140" s="1" t="str">
        <f t="shared" si="222"/>
        <v>ter</v>
      </c>
      <c r="M2140" s="1" t="str">
        <f t="shared" si="223"/>
        <v>mar</v>
      </c>
      <c r="N2140">
        <f t="shared" si="224"/>
        <v>2025</v>
      </c>
      <c r="O2140" s="2">
        <f>_xlfn.XLOOKUP(A2140,Colaboradores!$A:$A,Colaboradores!$S:$S,"",0)</f>
        <v>45854</v>
      </c>
      <c r="P2140" t="str">
        <f t="shared" si="221"/>
        <v>140845734</v>
      </c>
    </row>
    <row r="2141" spans="1:16" x14ac:dyDescent="0.3">
      <c r="A2141">
        <v>1408</v>
      </c>
      <c r="B2141">
        <v>37</v>
      </c>
      <c r="C2141" t="s">
        <v>15</v>
      </c>
      <c r="D2141" t="s">
        <v>16</v>
      </c>
      <c r="E2141" t="s">
        <v>17</v>
      </c>
      <c r="F2141" t="s">
        <v>21</v>
      </c>
      <c r="G2141" t="s">
        <v>41</v>
      </c>
      <c r="H2141" t="s">
        <v>20</v>
      </c>
      <c r="I2141" s="1">
        <v>3</v>
      </c>
      <c r="J2141" s="2">
        <v>45841</v>
      </c>
      <c r="K2141" s="2">
        <v>45839</v>
      </c>
      <c r="L2141" s="1" t="str">
        <f t="shared" si="222"/>
        <v>qui</v>
      </c>
      <c r="M2141" s="1" t="str">
        <f t="shared" si="223"/>
        <v>jul</v>
      </c>
      <c r="N2141">
        <f t="shared" si="224"/>
        <v>2025</v>
      </c>
      <c r="O2141" s="2">
        <f>_xlfn.XLOOKUP(A2141,Colaboradores!$A:$A,Colaboradores!$S:$S,"",0)</f>
        <v>45854</v>
      </c>
      <c r="P2141" t="str">
        <f t="shared" si="221"/>
        <v>140845841</v>
      </c>
    </row>
    <row r="2142" spans="1:16" x14ac:dyDescent="0.3">
      <c r="A2142">
        <v>1409</v>
      </c>
      <c r="B2142">
        <v>25</v>
      </c>
      <c r="C2142" t="s">
        <v>15</v>
      </c>
      <c r="D2142" t="s">
        <v>29</v>
      </c>
      <c r="E2142" t="s">
        <v>17</v>
      </c>
      <c r="F2142" t="s">
        <v>18</v>
      </c>
      <c r="G2142" t="s">
        <v>41</v>
      </c>
      <c r="H2142" t="s">
        <v>20</v>
      </c>
      <c r="I2142" s="1">
        <v>3</v>
      </c>
      <c r="J2142" s="2">
        <v>45823</v>
      </c>
      <c r="K2142" s="2">
        <v>45809</v>
      </c>
      <c r="L2142" s="1" t="str">
        <f t="shared" si="222"/>
        <v>dom</v>
      </c>
      <c r="M2142" s="1" t="str">
        <f t="shared" si="223"/>
        <v>jun</v>
      </c>
      <c r="N2142">
        <f t="shared" si="224"/>
        <v>2025</v>
      </c>
      <c r="O2142" s="2">
        <f>_xlfn.XLOOKUP(A2142,Colaboradores!$A:$A,Colaboradores!$S:$S,"",0)</f>
        <v>46068</v>
      </c>
      <c r="P2142" t="str">
        <f t="shared" si="221"/>
        <v>140945823</v>
      </c>
    </row>
    <row r="2143" spans="1:16" x14ac:dyDescent="0.3">
      <c r="A2143">
        <v>1409</v>
      </c>
      <c r="B2143">
        <v>25</v>
      </c>
      <c r="C2143" t="s">
        <v>15</v>
      </c>
      <c r="D2143" t="s">
        <v>29</v>
      </c>
      <c r="E2143" t="s">
        <v>17</v>
      </c>
      <c r="F2143" t="s">
        <v>18</v>
      </c>
      <c r="G2143" t="s">
        <v>41</v>
      </c>
      <c r="H2143" t="s">
        <v>20</v>
      </c>
      <c r="I2143" s="1">
        <v>3</v>
      </c>
      <c r="J2143" s="2">
        <v>45869</v>
      </c>
      <c r="K2143" s="2">
        <v>45839</v>
      </c>
      <c r="L2143" s="1" t="str">
        <f t="shared" si="222"/>
        <v>qui</v>
      </c>
      <c r="M2143" s="1" t="str">
        <f t="shared" si="223"/>
        <v>jul</v>
      </c>
      <c r="N2143">
        <f t="shared" si="224"/>
        <v>2025</v>
      </c>
      <c r="O2143" s="2">
        <f>_xlfn.XLOOKUP(A2143,Colaboradores!$A:$A,Colaboradores!$S:$S,"",0)</f>
        <v>46068</v>
      </c>
      <c r="P2143" t="str">
        <f t="shared" si="221"/>
        <v>140945869</v>
      </c>
    </row>
    <row r="2144" spans="1:16" x14ac:dyDescent="0.3">
      <c r="A2144">
        <v>1409</v>
      </c>
      <c r="B2144">
        <v>25</v>
      </c>
      <c r="C2144" t="s">
        <v>15</v>
      </c>
      <c r="D2144" t="s">
        <v>29</v>
      </c>
      <c r="E2144" t="s">
        <v>17</v>
      </c>
      <c r="F2144" t="s">
        <v>18</v>
      </c>
      <c r="G2144" t="s">
        <v>44</v>
      </c>
      <c r="H2144" t="s">
        <v>20</v>
      </c>
      <c r="I2144" s="1">
        <v>3</v>
      </c>
      <c r="J2144" s="2">
        <v>45912</v>
      </c>
      <c r="K2144" s="2">
        <v>45901</v>
      </c>
      <c r="L2144" s="1" t="str">
        <f t="shared" si="222"/>
        <v>sex</v>
      </c>
      <c r="M2144" s="1" t="str">
        <f t="shared" si="223"/>
        <v>set</v>
      </c>
      <c r="N2144">
        <f t="shared" si="224"/>
        <v>2025</v>
      </c>
      <c r="O2144" s="2">
        <f>_xlfn.XLOOKUP(A2144,Colaboradores!$A:$A,Colaboradores!$S:$S,"",0)</f>
        <v>46068</v>
      </c>
      <c r="P2144" t="str">
        <f t="shared" si="221"/>
        <v>140945912</v>
      </c>
    </row>
    <row r="2145" spans="1:16" x14ac:dyDescent="0.3">
      <c r="A2145">
        <v>1409</v>
      </c>
      <c r="B2145">
        <v>25</v>
      </c>
      <c r="C2145" t="s">
        <v>15</v>
      </c>
      <c r="D2145" t="s">
        <v>29</v>
      </c>
      <c r="E2145" t="s">
        <v>17</v>
      </c>
      <c r="F2145" t="s">
        <v>18</v>
      </c>
      <c r="G2145" t="s">
        <v>41</v>
      </c>
      <c r="H2145" t="s">
        <v>20</v>
      </c>
      <c r="I2145" s="1">
        <v>3</v>
      </c>
      <c r="J2145" s="2">
        <v>45968</v>
      </c>
      <c r="K2145" s="2">
        <v>45962</v>
      </c>
      <c r="L2145" s="1" t="str">
        <f t="shared" si="222"/>
        <v>sex</v>
      </c>
      <c r="M2145" s="1" t="str">
        <f t="shared" si="223"/>
        <v>nov</v>
      </c>
      <c r="N2145">
        <f t="shared" si="224"/>
        <v>2025</v>
      </c>
      <c r="O2145" s="2">
        <f>_xlfn.XLOOKUP(A2145,Colaboradores!$A:$A,Colaboradores!$S:$S,"",0)</f>
        <v>46068</v>
      </c>
      <c r="P2145" t="str">
        <f t="shared" si="221"/>
        <v>140945968</v>
      </c>
    </row>
    <row r="2146" spans="1:16" x14ac:dyDescent="0.3">
      <c r="A2146">
        <v>1409</v>
      </c>
      <c r="B2146">
        <v>25</v>
      </c>
      <c r="C2146" t="s">
        <v>15</v>
      </c>
      <c r="D2146" t="s">
        <v>29</v>
      </c>
      <c r="E2146" t="s">
        <v>17</v>
      </c>
      <c r="F2146" t="s">
        <v>18</v>
      </c>
      <c r="G2146" t="s">
        <v>41</v>
      </c>
      <c r="H2146" t="s">
        <v>20</v>
      </c>
      <c r="I2146" s="1">
        <v>3</v>
      </c>
      <c r="J2146" s="2">
        <v>46179</v>
      </c>
      <c r="K2146" s="2">
        <v>46023</v>
      </c>
      <c r="L2146" s="1" t="str">
        <f t="shared" si="222"/>
        <v>sáb</v>
      </c>
      <c r="M2146" s="1" t="str">
        <f t="shared" si="223"/>
        <v>jun</v>
      </c>
      <c r="N2146">
        <f t="shared" si="224"/>
        <v>2026</v>
      </c>
      <c r="O2146" s="2">
        <f>_xlfn.XLOOKUP(A2146,Colaboradores!$A:$A,Colaboradores!$S:$S,"",0)</f>
        <v>46068</v>
      </c>
      <c r="P2146" t="str">
        <f t="shared" si="221"/>
        <v>140946179</v>
      </c>
    </row>
    <row r="2147" spans="1:16" x14ac:dyDescent="0.3">
      <c r="A2147">
        <v>1409</v>
      </c>
      <c r="B2147">
        <v>25</v>
      </c>
      <c r="C2147" t="s">
        <v>15</v>
      </c>
      <c r="D2147" t="s">
        <v>29</v>
      </c>
      <c r="E2147" t="s">
        <v>17</v>
      </c>
      <c r="F2147" t="s">
        <v>18</v>
      </c>
      <c r="G2147" t="s">
        <v>41</v>
      </c>
      <c r="H2147" t="s">
        <v>20</v>
      </c>
      <c r="I2147" s="1">
        <v>3</v>
      </c>
      <c r="J2147" s="2">
        <v>46063</v>
      </c>
      <c r="K2147" s="2">
        <v>46054</v>
      </c>
      <c r="L2147" s="1" t="str">
        <f t="shared" si="222"/>
        <v>ter</v>
      </c>
      <c r="M2147" s="1" t="str">
        <f t="shared" si="223"/>
        <v>fev</v>
      </c>
      <c r="N2147">
        <f t="shared" si="224"/>
        <v>2026</v>
      </c>
      <c r="O2147" s="2">
        <f>_xlfn.XLOOKUP(A2147,Colaboradores!$A:$A,Colaboradores!$S:$S,"",0)</f>
        <v>46068</v>
      </c>
      <c r="P2147" t="str">
        <f t="shared" si="221"/>
        <v>140946063</v>
      </c>
    </row>
    <row r="2148" spans="1:16" x14ac:dyDescent="0.3">
      <c r="A2148">
        <v>1410</v>
      </c>
      <c r="B2148">
        <v>20</v>
      </c>
      <c r="C2148" t="s">
        <v>26</v>
      </c>
      <c r="D2148" t="s">
        <v>16</v>
      </c>
      <c r="E2148" t="s">
        <v>17</v>
      </c>
      <c r="F2148" t="s">
        <v>23</v>
      </c>
      <c r="G2148" t="s">
        <v>41</v>
      </c>
      <c r="H2148" t="s">
        <v>25</v>
      </c>
      <c r="I2148" s="1">
        <v>1</v>
      </c>
      <c r="J2148" s="2">
        <v>45839</v>
      </c>
      <c r="K2148" s="2">
        <v>45839</v>
      </c>
      <c r="L2148" s="1" t="str">
        <f t="shared" si="222"/>
        <v>ter</v>
      </c>
      <c r="M2148" s="1" t="str">
        <f t="shared" si="223"/>
        <v>jul</v>
      </c>
      <c r="N2148">
        <f t="shared" si="224"/>
        <v>2025</v>
      </c>
      <c r="O2148" s="2"/>
      <c r="P2148" t="str">
        <f t="shared" si="221"/>
        <v>141045839</v>
      </c>
    </row>
    <row r="2149" spans="1:16" x14ac:dyDescent="0.3">
      <c r="A2149">
        <v>1410</v>
      </c>
      <c r="B2149">
        <v>20</v>
      </c>
      <c r="C2149" t="s">
        <v>26</v>
      </c>
      <c r="D2149" t="s">
        <v>16</v>
      </c>
      <c r="E2149" t="s">
        <v>17</v>
      </c>
      <c r="F2149" t="s">
        <v>23</v>
      </c>
      <c r="G2149" t="s">
        <v>41</v>
      </c>
      <c r="H2149" t="s">
        <v>25</v>
      </c>
      <c r="I2149" s="1">
        <v>1</v>
      </c>
      <c r="J2149" s="2">
        <v>45965</v>
      </c>
      <c r="K2149" s="2">
        <v>45962</v>
      </c>
      <c r="L2149" s="1" t="str">
        <f t="shared" si="222"/>
        <v>ter</v>
      </c>
      <c r="M2149" s="1" t="str">
        <f t="shared" si="223"/>
        <v>nov</v>
      </c>
      <c r="N2149">
        <f t="shared" si="224"/>
        <v>2025</v>
      </c>
      <c r="O2149" s="2"/>
      <c r="P2149" t="str">
        <f t="shared" si="221"/>
        <v>141045965</v>
      </c>
    </row>
    <row r="2150" spans="1:16" x14ac:dyDescent="0.3">
      <c r="A2150">
        <v>1410</v>
      </c>
      <c r="B2150">
        <v>20</v>
      </c>
      <c r="C2150" t="s">
        <v>26</v>
      </c>
      <c r="D2150" t="s">
        <v>16</v>
      </c>
      <c r="E2150" t="s">
        <v>17</v>
      </c>
      <c r="F2150" t="s">
        <v>23</v>
      </c>
      <c r="G2150" t="s">
        <v>41</v>
      </c>
      <c r="H2150" t="s">
        <v>25</v>
      </c>
      <c r="I2150" s="1">
        <v>1</v>
      </c>
      <c r="J2150" s="2">
        <v>45972</v>
      </c>
      <c r="K2150" s="2">
        <v>45962</v>
      </c>
      <c r="L2150" s="1" t="str">
        <f t="shared" si="222"/>
        <v>ter</v>
      </c>
      <c r="M2150" s="1" t="str">
        <f t="shared" si="223"/>
        <v>nov</v>
      </c>
      <c r="N2150">
        <f t="shared" si="224"/>
        <v>2025</v>
      </c>
      <c r="O2150" s="2"/>
      <c r="P2150" t="str">
        <f t="shared" si="221"/>
        <v>141045972</v>
      </c>
    </row>
    <row r="2151" spans="1:16" x14ac:dyDescent="0.3">
      <c r="A2151">
        <v>1410</v>
      </c>
      <c r="B2151">
        <v>20</v>
      </c>
      <c r="C2151" t="s">
        <v>26</v>
      </c>
      <c r="D2151" t="s">
        <v>16</v>
      </c>
      <c r="E2151" t="s">
        <v>17</v>
      </c>
      <c r="F2151" t="s">
        <v>23</v>
      </c>
      <c r="G2151" t="s">
        <v>40</v>
      </c>
      <c r="H2151" t="s">
        <v>25</v>
      </c>
      <c r="I2151" s="1">
        <v>1</v>
      </c>
      <c r="J2151" s="2">
        <v>45987</v>
      </c>
      <c r="K2151" s="2">
        <v>45962</v>
      </c>
      <c r="L2151" s="1" t="str">
        <f t="shared" si="222"/>
        <v>qua</v>
      </c>
      <c r="M2151" s="1" t="str">
        <f t="shared" si="223"/>
        <v>nov</v>
      </c>
      <c r="N2151">
        <f t="shared" si="224"/>
        <v>2025</v>
      </c>
      <c r="O2151" s="2"/>
      <c r="P2151" t="str">
        <f t="shared" si="221"/>
        <v>141045987</v>
      </c>
    </row>
    <row r="2152" spans="1:16" x14ac:dyDescent="0.3">
      <c r="A2152">
        <v>1410</v>
      </c>
      <c r="B2152">
        <v>20</v>
      </c>
      <c r="C2152" t="s">
        <v>26</v>
      </c>
      <c r="D2152" t="s">
        <v>16</v>
      </c>
      <c r="E2152" t="s">
        <v>17</v>
      </c>
      <c r="F2152" t="s">
        <v>23</v>
      </c>
      <c r="G2152" t="s">
        <v>41</v>
      </c>
      <c r="H2152" t="s">
        <v>25</v>
      </c>
      <c r="I2152" s="1">
        <v>1</v>
      </c>
      <c r="J2152" s="2">
        <v>46176</v>
      </c>
      <c r="K2152" s="2">
        <v>46023</v>
      </c>
      <c r="L2152" s="1" t="str">
        <f t="shared" si="222"/>
        <v>qua</v>
      </c>
      <c r="M2152" s="1" t="str">
        <f t="shared" si="223"/>
        <v>jun</v>
      </c>
      <c r="N2152">
        <f t="shared" si="224"/>
        <v>2026</v>
      </c>
      <c r="O2152" s="2"/>
      <c r="P2152" t="str">
        <f t="shared" si="221"/>
        <v>141046176</v>
      </c>
    </row>
    <row r="2153" spans="1:16" x14ac:dyDescent="0.3">
      <c r="A2153">
        <v>1411</v>
      </c>
      <c r="B2153">
        <v>38</v>
      </c>
      <c r="C2153" t="s">
        <v>15</v>
      </c>
      <c r="D2153" t="s">
        <v>22</v>
      </c>
      <c r="E2153" t="s">
        <v>17</v>
      </c>
      <c r="F2153" t="s">
        <v>21</v>
      </c>
      <c r="G2153" t="s">
        <v>42</v>
      </c>
      <c r="H2153" t="s">
        <v>25</v>
      </c>
      <c r="I2153" s="1">
        <v>3</v>
      </c>
      <c r="J2153" s="2">
        <v>45864</v>
      </c>
      <c r="K2153" s="2">
        <v>45839</v>
      </c>
      <c r="L2153" s="1" t="str">
        <f t="shared" si="222"/>
        <v>sáb</v>
      </c>
      <c r="M2153" s="1" t="str">
        <f t="shared" si="223"/>
        <v>jul</v>
      </c>
      <c r="N2153">
        <f t="shared" si="224"/>
        <v>2025</v>
      </c>
      <c r="O2153" s="2"/>
      <c r="P2153" t="str">
        <f t="shared" si="221"/>
        <v>141145864</v>
      </c>
    </row>
    <row r="2154" spans="1:16" x14ac:dyDescent="0.3">
      <c r="A2154">
        <v>1411</v>
      </c>
      <c r="B2154">
        <v>38</v>
      </c>
      <c r="C2154" t="s">
        <v>15</v>
      </c>
      <c r="D2154" t="s">
        <v>22</v>
      </c>
      <c r="E2154" t="s">
        <v>17</v>
      </c>
      <c r="F2154" t="s">
        <v>21</v>
      </c>
      <c r="G2154" t="s">
        <v>42</v>
      </c>
      <c r="H2154" t="s">
        <v>25</v>
      </c>
      <c r="I2154" s="1">
        <v>3</v>
      </c>
      <c r="J2154" s="2">
        <v>45888</v>
      </c>
      <c r="K2154" s="2">
        <v>45870</v>
      </c>
      <c r="L2154" s="1" t="str">
        <f t="shared" si="222"/>
        <v>ter</v>
      </c>
      <c r="M2154" s="1" t="str">
        <f t="shared" si="223"/>
        <v>ago</v>
      </c>
      <c r="N2154">
        <f t="shared" si="224"/>
        <v>2025</v>
      </c>
      <c r="O2154" s="2"/>
      <c r="P2154" t="str">
        <f t="shared" si="221"/>
        <v>141145888</v>
      </c>
    </row>
    <row r="2155" spans="1:16" x14ac:dyDescent="0.3">
      <c r="A2155">
        <v>1411</v>
      </c>
      <c r="B2155">
        <v>38</v>
      </c>
      <c r="C2155" t="s">
        <v>15</v>
      </c>
      <c r="D2155" t="s">
        <v>22</v>
      </c>
      <c r="E2155" t="s">
        <v>17</v>
      </c>
      <c r="F2155" t="s">
        <v>21</v>
      </c>
      <c r="G2155" t="s">
        <v>41</v>
      </c>
      <c r="H2155" t="s">
        <v>25</v>
      </c>
      <c r="I2155" s="1">
        <v>3</v>
      </c>
      <c r="J2155" s="2">
        <v>45897</v>
      </c>
      <c r="K2155" s="2">
        <v>45870</v>
      </c>
      <c r="L2155" s="1" t="str">
        <f t="shared" si="222"/>
        <v>qui</v>
      </c>
      <c r="M2155" s="1" t="str">
        <f t="shared" si="223"/>
        <v>ago</v>
      </c>
      <c r="N2155">
        <f t="shared" si="224"/>
        <v>2025</v>
      </c>
      <c r="O2155" s="2"/>
      <c r="P2155" t="str">
        <f t="shared" si="221"/>
        <v>141145897</v>
      </c>
    </row>
    <row r="2156" spans="1:16" x14ac:dyDescent="0.3">
      <c r="A2156">
        <v>1411</v>
      </c>
      <c r="B2156">
        <v>38</v>
      </c>
      <c r="C2156" t="s">
        <v>15</v>
      </c>
      <c r="D2156" t="s">
        <v>22</v>
      </c>
      <c r="E2156" t="s">
        <v>17</v>
      </c>
      <c r="F2156" t="s">
        <v>21</v>
      </c>
      <c r="G2156" t="s">
        <v>43</v>
      </c>
      <c r="H2156" t="s">
        <v>25</v>
      </c>
      <c r="I2156" s="1">
        <v>3</v>
      </c>
      <c r="J2156" s="2">
        <v>45934</v>
      </c>
      <c r="K2156" s="2">
        <v>45931</v>
      </c>
      <c r="L2156" s="1" t="str">
        <f t="shared" si="222"/>
        <v>sáb</v>
      </c>
      <c r="M2156" s="1" t="str">
        <f t="shared" si="223"/>
        <v>out</v>
      </c>
      <c r="N2156">
        <f t="shared" si="224"/>
        <v>2025</v>
      </c>
      <c r="O2156" s="2"/>
      <c r="P2156" t="str">
        <f t="shared" si="221"/>
        <v>141145934</v>
      </c>
    </row>
    <row r="2157" spans="1:16" x14ac:dyDescent="0.3">
      <c r="A2157">
        <v>1411</v>
      </c>
      <c r="B2157">
        <v>38</v>
      </c>
      <c r="C2157" t="s">
        <v>15</v>
      </c>
      <c r="D2157" t="s">
        <v>22</v>
      </c>
      <c r="E2157" t="s">
        <v>17</v>
      </c>
      <c r="F2157" t="s">
        <v>21</v>
      </c>
      <c r="G2157" t="s">
        <v>42</v>
      </c>
      <c r="H2157" t="s">
        <v>25</v>
      </c>
      <c r="I2157" s="1">
        <v>3</v>
      </c>
      <c r="J2157" s="2">
        <v>45980</v>
      </c>
      <c r="K2157" s="2">
        <v>45962</v>
      </c>
      <c r="L2157" s="1" t="str">
        <f t="shared" si="222"/>
        <v>qua</v>
      </c>
      <c r="M2157" s="1" t="str">
        <f t="shared" si="223"/>
        <v>nov</v>
      </c>
      <c r="N2157">
        <f t="shared" si="224"/>
        <v>2025</v>
      </c>
      <c r="O2157" s="2"/>
      <c r="P2157" t="str">
        <f t="shared" si="221"/>
        <v>141145980</v>
      </c>
    </row>
    <row r="2158" spans="1:16" x14ac:dyDescent="0.3">
      <c r="A2158">
        <v>1411</v>
      </c>
      <c r="B2158">
        <v>38</v>
      </c>
      <c r="C2158" t="s">
        <v>15</v>
      </c>
      <c r="D2158" t="s">
        <v>22</v>
      </c>
      <c r="E2158" t="s">
        <v>17</v>
      </c>
      <c r="F2158" t="s">
        <v>21</v>
      </c>
      <c r="G2158" t="s">
        <v>43</v>
      </c>
      <c r="H2158" t="s">
        <v>25</v>
      </c>
      <c r="I2158" s="1">
        <v>3</v>
      </c>
      <c r="J2158" s="2">
        <v>46056</v>
      </c>
      <c r="K2158" s="2">
        <v>46054</v>
      </c>
      <c r="L2158" s="1" t="str">
        <f t="shared" si="222"/>
        <v>ter</v>
      </c>
      <c r="M2158" s="1" t="str">
        <f t="shared" si="223"/>
        <v>fev</v>
      </c>
      <c r="N2158">
        <f t="shared" si="224"/>
        <v>2026</v>
      </c>
      <c r="O2158" s="2"/>
      <c r="P2158" t="str">
        <f t="shared" si="221"/>
        <v>141146056</v>
      </c>
    </row>
    <row r="2159" spans="1:16" x14ac:dyDescent="0.3">
      <c r="A2159">
        <v>1412</v>
      </c>
      <c r="B2159">
        <v>43</v>
      </c>
      <c r="C2159" t="s">
        <v>26</v>
      </c>
      <c r="D2159" t="s">
        <v>27</v>
      </c>
      <c r="E2159" t="s">
        <v>17</v>
      </c>
      <c r="F2159" t="s">
        <v>23</v>
      </c>
      <c r="G2159" t="s">
        <v>43</v>
      </c>
      <c r="H2159" t="s">
        <v>25</v>
      </c>
      <c r="I2159" s="1">
        <v>2</v>
      </c>
      <c r="J2159" s="2">
        <v>45776</v>
      </c>
      <c r="K2159" s="2">
        <v>45748</v>
      </c>
      <c r="L2159" s="1" t="str">
        <f t="shared" si="222"/>
        <v>ter</v>
      </c>
      <c r="M2159" s="1" t="str">
        <f t="shared" si="223"/>
        <v>abr</v>
      </c>
      <c r="N2159">
        <f t="shared" si="224"/>
        <v>2025</v>
      </c>
      <c r="O2159" s="2"/>
      <c r="P2159" t="str">
        <f t="shared" si="221"/>
        <v>141245776</v>
      </c>
    </row>
    <row r="2160" spans="1:16" x14ac:dyDescent="0.3">
      <c r="A2160">
        <v>1412</v>
      </c>
      <c r="B2160">
        <v>43</v>
      </c>
      <c r="C2160" t="s">
        <v>26</v>
      </c>
      <c r="D2160" t="s">
        <v>27</v>
      </c>
      <c r="E2160" t="s">
        <v>17</v>
      </c>
      <c r="F2160" t="s">
        <v>23</v>
      </c>
      <c r="G2160" t="s">
        <v>43</v>
      </c>
      <c r="H2160" t="s">
        <v>25</v>
      </c>
      <c r="I2160" s="1">
        <v>2</v>
      </c>
      <c r="J2160" s="2">
        <v>45956</v>
      </c>
      <c r="K2160" s="2">
        <v>45931</v>
      </c>
      <c r="L2160" s="1" t="str">
        <f t="shared" si="222"/>
        <v>dom</v>
      </c>
      <c r="M2160" s="1" t="str">
        <f t="shared" si="223"/>
        <v>out</v>
      </c>
      <c r="N2160">
        <f t="shared" si="224"/>
        <v>2025</v>
      </c>
      <c r="O2160" s="2"/>
      <c r="P2160" t="str">
        <f t="shared" si="221"/>
        <v>141245956</v>
      </c>
    </row>
    <row r="2161" spans="1:16" x14ac:dyDescent="0.3">
      <c r="A2161">
        <v>1412</v>
      </c>
      <c r="B2161">
        <v>43</v>
      </c>
      <c r="C2161" t="s">
        <v>26</v>
      </c>
      <c r="D2161" t="s">
        <v>27</v>
      </c>
      <c r="E2161" t="s">
        <v>17</v>
      </c>
      <c r="F2161" t="s">
        <v>23</v>
      </c>
      <c r="G2161" t="s">
        <v>43</v>
      </c>
      <c r="H2161" t="s">
        <v>25</v>
      </c>
      <c r="I2161" s="1">
        <v>2</v>
      </c>
      <c r="J2161" s="2">
        <v>45970</v>
      </c>
      <c r="K2161" s="2">
        <v>45962</v>
      </c>
      <c r="L2161" s="1" t="str">
        <f t="shared" si="222"/>
        <v>dom</v>
      </c>
      <c r="M2161" s="1" t="str">
        <f t="shared" si="223"/>
        <v>nov</v>
      </c>
      <c r="N2161">
        <f t="shared" si="224"/>
        <v>2025</v>
      </c>
      <c r="O2161" s="2"/>
      <c r="P2161" t="str">
        <f t="shared" si="221"/>
        <v>141245970</v>
      </c>
    </row>
    <row r="2162" spans="1:16" x14ac:dyDescent="0.3">
      <c r="A2162">
        <v>1412</v>
      </c>
      <c r="B2162">
        <v>43</v>
      </c>
      <c r="C2162" t="s">
        <v>26</v>
      </c>
      <c r="D2162" t="s">
        <v>27</v>
      </c>
      <c r="E2162" t="s">
        <v>17</v>
      </c>
      <c r="F2162" t="s">
        <v>23</v>
      </c>
      <c r="G2162" t="s">
        <v>43</v>
      </c>
      <c r="H2162" t="s">
        <v>25</v>
      </c>
      <c r="I2162" s="1">
        <v>2</v>
      </c>
      <c r="J2162" s="2">
        <v>45996</v>
      </c>
      <c r="K2162" s="2">
        <v>45992</v>
      </c>
      <c r="L2162" s="1" t="str">
        <f t="shared" si="222"/>
        <v>sex</v>
      </c>
      <c r="M2162" s="1" t="str">
        <f t="shared" si="223"/>
        <v>dez</v>
      </c>
      <c r="N2162">
        <f t="shared" si="224"/>
        <v>2025</v>
      </c>
      <c r="O2162" s="2"/>
      <c r="P2162" t="str">
        <f t="shared" si="221"/>
        <v>141245996</v>
      </c>
    </row>
    <row r="2163" spans="1:16" x14ac:dyDescent="0.3">
      <c r="A2163">
        <v>1412</v>
      </c>
      <c r="B2163">
        <v>43</v>
      </c>
      <c r="C2163" t="s">
        <v>26</v>
      </c>
      <c r="D2163" t="s">
        <v>27</v>
      </c>
      <c r="E2163" t="s">
        <v>17</v>
      </c>
      <c r="F2163" t="s">
        <v>23</v>
      </c>
      <c r="G2163" t="s">
        <v>43</v>
      </c>
      <c r="H2163" t="s">
        <v>25</v>
      </c>
      <c r="I2163" s="1">
        <v>2</v>
      </c>
      <c r="J2163" s="2">
        <v>46107</v>
      </c>
      <c r="K2163" s="2">
        <v>46082</v>
      </c>
      <c r="L2163" s="1" t="str">
        <f t="shared" si="222"/>
        <v>qui</v>
      </c>
      <c r="M2163" s="1" t="str">
        <f t="shared" si="223"/>
        <v>mar</v>
      </c>
      <c r="N2163">
        <f t="shared" si="224"/>
        <v>2026</v>
      </c>
      <c r="O2163" s="2"/>
      <c r="P2163" t="str">
        <f t="shared" si="221"/>
        <v>141246107</v>
      </c>
    </row>
    <row r="2164" spans="1:16" x14ac:dyDescent="0.3">
      <c r="A2164">
        <v>1412</v>
      </c>
      <c r="B2164">
        <v>43</v>
      </c>
      <c r="C2164" t="s">
        <v>26</v>
      </c>
      <c r="D2164" t="s">
        <v>27</v>
      </c>
      <c r="E2164" t="s">
        <v>17</v>
      </c>
      <c r="F2164" t="s">
        <v>23</v>
      </c>
      <c r="G2164" t="s">
        <v>43</v>
      </c>
      <c r="H2164" t="s">
        <v>25</v>
      </c>
      <c r="I2164" s="1">
        <v>2</v>
      </c>
      <c r="J2164" s="2">
        <v>46139</v>
      </c>
      <c r="K2164" s="2">
        <v>46113</v>
      </c>
      <c r="L2164" s="1" t="str">
        <f t="shared" si="222"/>
        <v>seg</v>
      </c>
      <c r="M2164" s="1" t="str">
        <f t="shared" si="223"/>
        <v>abr</v>
      </c>
      <c r="N2164">
        <f t="shared" si="224"/>
        <v>2026</v>
      </c>
      <c r="O2164" s="2"/>
      <c r="P2164" t="str">
        <f t="shared" si="221"/>
        <v>141246139</v>
      </c>
    </row>
    <row r="2165" spans="1:16" x14ac:dyDescent="0.3">
      <c r="A2165">
        <v>1412</v>
      </c>
      <c r="B2165">
        <v>43</v>
      </c>
      <c r="C2165" t="s">
        <v>26</v>
      </c>
      <c r="D2165" t="s">
        <v>27</v>
      </c>
      <c r="E2165" t="s">
        <v>17</v>
      </c>
      <c r="F2165" t="s">
        <v>23</v>
      </c>
      <c r="G2165" t="s">
        <v>43</v>
      </c>
      <c r="H2165" t="s">
        <v>25</v>
      </c>
      <c r="I2165" s="1">
        <v>2</v>
      </c>
      <c r="J2165" s="2">
        <v>46141</v>
      </c>
      <c r="K2165" s="2">
        <v>46113</v>
      </c>
      <c r="L2165" s="1" t="s">
        <v>50</v>
      </c>
      <c r="M2165" s="1" t="s">
        <v>48</v>
      </c>
      <c r="N2165">
        <v>2025</v>
      </c>
      <c r="O2165" s="2"/>
      <c r="P2165" t="str">
        <f t="shared" si="221"/>
        <v>141246141</v>
      </c>
    </row>
    <row r="2166" spans="1:16" x14ac:dyDescent="0.3">
      <c r="A2166">
        <v>1413</v>
      </c>
      <c r="B2166">
        <v>40</v>
      </c>
      <c r="C2166" t="s">
        <v>26</v>
      </c>
      <c r="D2166" t="s">
        <v>27</v>
      </c>
      <c r="E2166" t="s">
        <v>17</v>
      </c>
      <c r="F2166" t="s">
        <v>21</v>
      </c>
      <c r="G2166" t="s">
        <v>41</v>
      </c>
      <c r="H2166" t="s">
        <v>25</v>
      </c>
      <c r="I2166" s="1">
        <v>2</v>
      </c>
      <c r="J2166" s="2">
        <v>45833</v>
      </c>
      <c r="K2166" s="2">
        <v>45809</v>
      </c>
      <c r="L2166" s="1" t="str">
        <f t="shared" ref="L2166:L2195" si="225">TEXT(J2166,"ddd")</f>
        <v>qua</v>
      </c>
      <c r="M2166" s="1" t="str">
        <f t="shared" ref="M2166:M2195" si="226">TEXT($J2166,"mmm")</f>
        <v>jun</v>
      </c>
      <c r="N2166">
        <f t="shared" ref="N2166:N2195" si="227">YEAR(J2166)</f>
        <v>2025</v>
      </c>
      <c r="O2166" s="2"/>
      <c r="P2166" t="str">
        <f t="shared" si="221"/>
        <v>141345833</v>
      </c>
    </row>
    <row r="2167" spans="1:16" x14ac:dyDescent="0.3">
      <c r="A2167">
        <v>1413</v>
      </c>
      <c r="B2167">
        <v>40</v>
      </c>
      <c r="C2167" t="s">
        <v>26</v>
      </c>
      <c r="D2167" t="s">
        <v>27</v>
      </c>
      <c r="E2167" t="s">
        <v>17</v>
      </c>
      <c r="F2167" t="s">
        <v>21</v>
      </c>
      <c r="G2167" t="s">
        <v>43</v>
      </c>
      <c r="H2167" t="s">
        <v>25</v>
      </c>
      <c r="I2167" s="1">
        <v>2</v>
      </c>
      <c r="J2167" s="2">
        <v>45886</v>
      </c>
      <c r="K2167" s="2">
        <v>45870</v>
      </c>
      <c r="L2167" s="1" t="str">
        <f t="shared" si="225"/>
        <v>dom</v>
      </c>
      <c r="M2167" s="1" t="str">
        <f t="shared" si="226"/>
        <v>ago</v>
      </c>
      <c r="N2167">
        <f t="shared" si="227"/>
        <v>2025</v>
      </c>
      <c r="O2167" s="2"/>
      <c r="P2167" t="str">
        <f t="shared" si="221"/>
        <v>141345886</v>
      </c>
    </row>
    <row r="2168" spans="1:16" x14ac:dyDescent="0.3">
      <c r="A2168">
        <v>1413</v>
      </c>
      <c r="B2168">
        <v>40</v>
      </c>
      <c r="C2168" t="s">
        <v>26</v>
      </c>
      <c r="D2168" t="s">
        <v>27</v>
      </c>
      <c r="E2168" t="s">
        <v>17</v>
      </c>
      <c r="F2168" t="s">
        <v>21</v>
      </c>
      <c r="G2168" t="s">
        <v>41</v>
      </c>
      <c r="H2168" t="s">
        <v>25</v>
      </c>
      <c r="I2168" s="1">
        <v>2</v>
      </c>
      <c r="J2168" s="2">
        <v>45913</v>
      </c>
      <c r="K2168" s="2">
        <v>45901</v>
      </c>
      <c r="L2168" s="1" t="str">
        <f t="shared" si="225"/>
        <v>sáb</v>
      </c>
      <c r="M2168" s="1" t="str">
        <f t="shared" si="226"/>
        <v>set</v>
      </c>
      <c r="N2168">
        <f t="shared" si="227"/>
        <v>2025</v>
      </c>
      <c r="O2168" s="2"/>
      <c r="P2168" t="str">
        <f t="shared" si="221"/>
        <v>141345913</v>
      </c>
    </row>
    <row r="2169" spans="1:16" x14ac:dyDescent="0.3">
      <c r="A2169">
        <v>1413</v>
      </c>
      <c r="B2169">
        <v>40</v>
      </c>
      <c r="C2169" t="s">
        <v>26</v>
      </c>
      <c r="D2169" t="s">
        <v>27</v>
      </c>
      <c r="E2169" t="s">
        <v>17</v>
      </c>
      <c r="F2169" t="s">
        <v>21</v>
      </c>
      <c r="G2169" t="s">
        <v>43</v>
      </c>
      <c r="H2169" t="s">
        <v>25</v>
      </c>
      <c r="I2169" s="1">
        <v>2</v>
      </c>
      <c r="J2169" s="2">
        <v>45914</v>
      </c>
      <c r="K2169" s="2">
        <v>45901</v>
      </c>
      <c r="L2169" s="1" t="str">
        <f t="shared" si="225"/>
        <v>dom</v>
      </c>
      <c r="M2169" s="1" t="str">
        <f t="shared" si="226"/>
        <v>set</v>
      </c>
      <c r="N2169">
        <f t="shared" si="227"/>
        <v>2025</v>
      </c>
      <c r="O2169" s="2"/>
      <c r="P2169" t="str">
        <f t="shared" si="221"/>
        <v>141345914</v>
      </c>
    </row>
    <row r="2170" spans="1:16" x14ac:dyDescent="0.3">
      <c r="A2170">
        <v>1413</v>
      </c>
      <c r="B2170">
        <v>40</v>
      </c>
      <c r="C2170" t="s">
        <v>26</v>
      </c>
      <c r="D2170" t="s">
        <v>27</v>
      </c>
      <c r="E2170" t="s">
        <v>17</v>
      </c>
      <c r="F2170" t="s">
        <v>21</v>
      </c>
      <c r="G2170" t="s">
        <v>41</v>
      </c>
      <c r="H2170" t="s">
        <v>25</v>
      </c>
      <c r="I2170" s="1">
        <v>2</v>
      </c>
      <c r="J2170" s="2">
        <v>45979</v>
      </c>
      <c r="K2170" s="2">
        <v>45962</v>
      </c>
      <c r="L2170" s="1" t="str">
        <f t="shared" si="225"/>
        <v>ter</v>
      </c>
      <c r="M2170" s="1" t="str">
        <f t="shared" si="226"/>
        <v>nov</v>
      </c>
      <c r="N2170">
        <f t="shared" si="227"/>
        <v>2025</v>
      </c>
      <c r="O2170" s="2"/>
      <c r="P2170" t="str">
        <f t="shared" si="221"/>
        <v>141345979</v>
      </c>
    </row>
    <row r="2171" spans="1:16" x14ac:dyDescent="0.3">
      <c r="A2171">
        <v>1413</v>
      </c>
      <c r="B2171">
        <v>40</v>
      </c>
      <c r="C2171" t="s">
        <v>26</v>
      </c>
      <c r="D2171" t="s">
        <v>27</v>
      </c>
      <c r="E2171" t="s">
        <v>17</v>
      </c>
      <c r="F2171" t="s">
        <v>21</v>
      </c>
      <c r="G2171" t="s">
        <v>41</v>
      </c>
      <c r="H2171" t="s">
        <v>25</v>
      </c>
      <c r="I2171" s="1">
        <v>2</v>
      </c>
      <c r="J2171" s="2">
        <v>46013</v>
      </c>
      <c r="K2171" s="2">
        <v>45992</v>
      </c>
      <c r="L2171" s="1" t="str">
        <f t="shared" si="225"/>
        <v>seg</v>
      </c>
      <c r="M2171" s="1" t="str">
        <f t="shared" si="226"/>
        <v>dez</v>
      </c>
      <c r="N2171">
        <f t="shared" si="227"/>
        <v>2025</v>
      </c>
      <c r="O2171" s="2"/>
      <c r="P2171" t="str">
        <f t="shared" si="221"/>
        <v>141346013</v>
      </c>
    </row>
    <row r="2172" spans="1:16" x14ac:dyDescent="0.3">
      <c r="A2172">
        <v>1414</v>
      </c>
      <c r="B2172">
        <v>22</v>
      </c>
      <c r="C2172" t="s">
        <v>15</v>
      </c>
      <c r="D2172" t="s">
        <v>31</v>
      </c>
      <c r="E2172" t="s">
        <v>34</v>
      </c>
      <c r="F2172" t="s">
        <v>18</v>
      </c>
      <c r="G2172" t="s">
        <v>57</v>
      </c>
      <c r="H2172" t="s">
        <v>20</v>
      </c>
      <c r="I2172" s="1">
        <v>2</v>
      </c>
      <c r="J2172" s="2">
        <v>45748</v>
      </c>
      <c r="K2172" s="2">
        <v>45748</v>
      </c>
      <c r="L2172" s="1" t="str">
        <f t="shared" si="225"/>
        <v>ter</v>
      </c>
      <c r="M2172" s="1" t="str">
        <f t="shared" si="226"/>
        <v>abr</v>
      </c>
      <c r="N2172">
        <f t="shared" si="227"/>
        <v>2025</v>
      </c>
      <c r="O2172" s="2">
        <f>_xlfn.XLOOKUP(A2172,Colaboradores!$A:$A,Colaboradores!$S:$S,"",0)</f>
        <v>46022</v>
      </c>
      <c r="P2172" t="str">
        <f t="shared" si="221"/>
        <v>141445748</v>
      </c>
    </row>
    <row r="2173" spans="1:16" x14ac:dyDescent="0.3">
      <c r="A2173">
        <v>1414</v>
      </c>
      <c r="B2173">
        <v>22</v>
      </c>
      <c r="C2173" t="s">
        <v>15</v>
      </c>
      <c r="D2173" t="s">
        <v>31</v>
      </c>
      <c r="E2173" t="s">
        <v>34</v>
      </c>
      <c r="F2173" t="s">
        <v>18</v>
      </c>
      <c r="G2173" t="s">
        <v>41</v>
      </c>
      <c r="H2173" t="s">
        <v>20</v>
      </c>
      <c r="I2173" s="1">
        <v>2</v>
      </c>
      <c r="J2173" s="2">
        <v>45749</v>
      </c>
      <c r="K2173" s="2">
        <v>45748</v>
      </c>
      <c r="L2173" s="1" t="str">
        <f t="shared" si="225"/>
        <v>qua</v>
      </c>
      <c r="M2173" s="1" t="str">
        <f t="shared" si="226"/>
        <v>abr</v>
      </c>
      <c r="N2173">
        <f t="shared" si="227"/>
        <v>2025</v>
      </c>
      <c r="O2173" s="2">
        <f>_xlfn.XLOOKUP(A2173,Colaboradores!$A:$A,Colaboradores!$S:$S,"",0)</f>
        <v>46022</v>
      </c>
      <c r="P2173" t="str">
        <f t="shared" si="221"/>
        <v>141445749</v>
      </c>
    </row>
    <row r="2174" spans="1:16" x14ac:dyDescent="0.3">
      <c r="A2174">
        <v>1414</v>
      </c>
      <c r="B2174">
        <v>22</v>
      </c>
      <c r="C2174" t="s">
        <v>15</v>
      </c>
      <c r="D2174" t="s">
        <v>31</v>
      </c>
      <c r="E2174" t="s">
        <v>34</v>
      </c>
      <c r="F2174" t="s">
        <v>18</v>
      </c>
      <c r="G2174" t="s">
        <v>41</v>
      </c>
      <c r="H2174" t="s">
        <v>20</v>
      </c>
      <c r="I2174" s="1">
        <v>2</v>
      </c>
      <c r="J2174" s="2">
        <v>45770</v>
      </c>
      <c r="K2174" s="2">
        <v>45748</v>
      </c>
      <c r="L2174" s="1" t="str">
        <f t="shared" si="225"/>
        <v>qua</v>
      </c>
      <c r="M2174" s="1" t="str">
        <f t="shared" si="226"/>
        <v>abr</v>
      </c>
      <c r="N2174">
        <f t="shared" si="227"/>
        <v>2025</v>
      </c>
      <c r="O2174" s="2">
        <f>_xlfn.XLOOKUP(A2174,Colaboradores!$A:$A,Colaboradores!$S:$S,"",0)</f>
        <v>46022</v>
      </c>
      <c r="P2174" t="str">
        <f t="shared" si="221"/>
        <v>141445770</v>
      </c>
    </row>
    <row r="2175" spans="1:16" x14ac:dyDescent="0.3">
      <c r="A2175">
        <v>1414</v>
      </c>
      <c r="B2175">
        <v>22</v>
      </c>
      <c r="C2175" t="s">
        <v>15</v>
      </c>
      <c r="D2175" t="s">
        <v>31</v>
      </c>
      <c r="E2175" t="s">
        <v>34</v>
      </c>
      <c r="F2175" t="s">
        <v>18</v>
      </c>
      <c r="G2175" t="s">
        <v>41</v>
      </c>
      <c r="H2175" t="s">
        <v>20</v>
      </c>
      <c r="I2175" s="1">
        <v>2</v>
      </c>
      <c r="J2175" s="2">
        <v>45771</v>
      </c>
      <c r="K2175" s="2">
        <v>45748</v>
      </c>
      <c r="L2175" s="1" t="str">
        <f t="shared" si="225"/>
        <v>qui</v>
      </c>
      <c r="M2175" s="1" t="str">
        <f t="shared" si="226"/>
        <v>abr</v>
      </c>
      <c r="N2175">
        <f t="shared" si="227"/>
        <v>2025</v>
      </c>
      <c r="O2175" s="2">
        <f>_xlfn.XLOOKUP(A2175,Colaboradores!$A:$A,Colaboradores!$S:$S,"",0)</f>
        <v>46022</v>
      </c>
      <c r="P2175" t="str">
        <f t="shared" si="221"/>
        <v>141445771</v>
      </c>
    </row>
    <row r="2176" spans="1:16" x14ac:dyDescent="0.3">
      <c r="A2176">
        <v>1414</v>
      </c>
      <c r="B2176">
        <v>22</v>
      </c>
      <c r="C2176" t="s">
        <v>15</v>
      </c>
      <c r="D2176" t="s">
        <v>31</v>
      </c>
      <c r="E2176" t="s">
        <v>34</v>
      </c>
      <c r="F2176" t="s">
        <v>18</v>
      </c>
      <c r="G2176" t="s">
        <v>41</v>
      </c>
      <c r="H2176" t="s">
        <v>20</v>
      </c>
      <c r="I2176" s="1">
        <v>2</v>
      </c>
      <c r="J2176" s="2">
        <v>45801</v>
      </c>
      <c r="K2176" s="2">
        <v>45778</v>
      </c>
      <c r="L2176" s="1" t="str">
        <f t="shared" si="225"/>
        <v>sáb</v>
      </c>
      <c r="M2176" s="1" t="str">
        <f t="shared" si="226"/>
        <v>mai</v>
      </c>
      <c r="N2176">
        <f t="shared" si="227"/>
        <v>2025</v>
      </c>
      <c r="O2176" s="2">
        <f>_xlfn.XLOOKUP(A2176,Colaboradores!$A:$A,Colaboradores!$S:$S,"",0)</f>
        <v>46022</v>
      </c>
      <c r="P2176" t="str">
        <f t="shared" si="221"/>
        <v>141445801</v>
      </c>
    </row>
    <row r="2177" spans="1:16" x14ac:dyDescent="0.3">
      <c r="A2177">
        <v>1414</v>
      </c>
      <c r="B2177">
        <v>22</v>
      </c>
      <c r="C2177" t="s">
        <v>15</v>
      </c>
      <c r="D2177" t="s">
        <v>31</v>
      </c>
      <c r="E2177" t="s">
        <v>34</v>
      </c>
      <c r="F2177" t="s">
        <v>18</v>
      </c>
      <c r="G2177" t="s">
        <v>41</v>
      </c>
      <c r="H2177" t="s">
        <v>20</v>
      </c>
      <c r="I2177" s="1">
        <v>2</v>
      </c>
      <c r="J2177" s="2">
        <v>45937</v>
      </c>
      <c r="K2177" s="2">
        <v>45931</v>
      </c>
      <c r="L2177" s="1" t="str">
        <f t="shared" si="225"/>
        <v>ter</v>
      </c>
      <c r="M2177" s="1" t="str">
        <f t="shared" si="226"/>
        <v>out</v>
      </c>
      <c r="N2177">
        <f t="shared" si="227"/>
        <v>2025</v>
      </c>
      <c r="O2177" s="2">
        <f>_xlfn.XLOOKUP(A2177,Colaboradores!$A:$A,Colaboradores!$S:$S,"",0)</f>
        <v>46022</v>
      </c>
      <c r="P2177" t="str">
        <f t="shared" ref="P2177:P2240" si="228">CONCATENATE(A2177,J2177)</f>
        <v>141445937</v>
      </c>
    </row>
    <row r="2178" spans="1:16" x14ac:dyDescent="0.3">
      <c r="A2178">
        <v>1415</v>
      </c>
      <c r="B2178">
        <v>22</v>
      </c>
      <c r="C2178" t="s">
        <v>26</v>
      </c>
      <c r="D2178" t="s">
        <v>29</v>
      </c>
      <c r="E2178" t="s">
        <v>17</v>
      </c>
      <c r="F2178" t="s">
        <v>18</v>
      </c>
      <c r="G2178" t="s">
        <v>40</v>
      </c>
      <c r="H2178" t="s">
        <v>25</v>
      </c>
      <c r="I2178" s="1">
        <v>2</v>
      </c>
      <c r="J2178" s="2">
        <v>45898</v>
      </c>
      <c r="K2178" s="2">
        <v>45870</v>
      </c>
      <c r="L2178" s="1" t="str">
        <f t="shared" si="225"/>
        <v>sex</v>
      </c>
      <c r="M2178" s="1" t="str">
        <f t="shared" si="226"/>
        <v>ago</v>
      </c>
      <c r="N2178">
        <f t="shared" si="227"/>
        <v>2025</v>
      </c>
      <c r="O2178" s="2"/>
      <c r="P2178" t="str">
        <f t="shared" si="228"/>
        <v>141545898</v>
      </c>
    </row>
    <row r="2179" spans="1:16" x14ac:dyDescent="0.3">
      <c r="A2179">
        <v>1415</v>
      </c>
      <c r="B2179">
        <v>22</v>
      </c>
      <c r="C2179" t="s">
        <v>26</v>
      </c>
      <c r="D2179" t="s">
        <v>29</v>
      </c>
      <c r="E2179" t="s">
        <v>17</v>
      </c>
      <c r="F2179" t="s">
        <v>18</v>
      </c>
      <c r="G2179" t="s">
        <v>40</v>
      </c>
      <c r="H2179" t="s">
        <v>25</v>
      </c>
      <c r="I2179" s="1">
        <v>2</v>
      </c>
      <c r="J2179" s="2">
        <v>45903</v>
      </c>
      <c r="K2179" s="2">
        <v>45901</v>
      </c>
      <c r="L2179" s="1" t="str">
        <f t="shared" si="225"/>
        <v>qua</v>
      </c>
      <c r="M2179" s="1" t="str">
        <f t="shared" si="226"/>
        <v>set</v>
      </c>
      <c r="N2179">
        <f t="shared" si="227"/>
        <v>2025</v>
      </c>
      <c r="O2179" s="2"/>
      <c r="P2179" t="str">
        <f t="shared" si="228"/>
        <v>141545903</v>
      </c>
    </row>
    <row r="2180" spans="1:16" x14ac:dyDescent="0.3">
      <c r="A2180">
        <v>1415</v>
      </c>
      <c r="B2180">
        <v>22</v>
      </c>
      <c r="C2180" t="s">
        <v>26</v>
      </c>
      <c r="D2180" t="s">
        <v>29</v>
      </c>
      <c r="E2180" t="s">
        <v>17</v>
      </c>
      <c r="F2180" t="s">
        <v>18</v>
      </c>
      <c r="G2180" t="s">
        <v>40</v>
      </c>
      <c r="H2180" t="s">
        <v>25</v>
      </c>
      <c r="I2180" s="1">
        <v>2</v>
      </c>
      <c r="J2180" s="2">
        <v>45962</v>
      </c>
      <c r="K2180" s="2">
        <v>45962</v>
      </c>
      <c r="L2180" s="1" t="str">
        <f t="shared" si="225"/>
        <v>sáb</v>
      </c>
      <c r="M2180" s="1" t="str">
        <f t="shared" si="226"/>
        <v>nov</v>
      </c>
      <c r="N2180">
        <f t="shared" si="227"/>
        <v>2025</v>
      </c>
      <c r="O2180" s="2"/>
      <c r="P2180" t="str">
        <f t="shared" si="228"/>
        <v>141545962</v>
      </c>
    </row>
    <row r="2181" spans="1:16" x14ac:dyDescent="0.3">
      <c r="A2181">
        <v>1415</v>
      </c>
      <c r="B2181">
        <v>22</v>
      </c>
      <c r="C2181" t="s">
        <v>26</v>
      </c>
      <c r="D2181" t="s">
        <v>29</v>
      </c>
      <c r="E2181" t="s">
        <v>17</v>
      </c>
      <c r="F2181" t="s">
        <v>18</v>
      </c>
      <c r="G2181" t="s">
        <v>40</v>
      </c>
      <c r="H2181" t="s">
        <v>25</v>
      </c>
      <c r="I2181" s="1">
        <v>2</v>
      </c>
      <c r="J2181" s="2">
        <v>46014</v>
      </c>
      <c r="K2181" s="2">
        <v>45992</v>
      </c>
      <c r="L2181" s="1" t="str">
        <f t="shared" si="225"/>
        <v>ter</v>
      </c>
      <c r="M2181" s="1" t="str">
        <f t="shared" si="226"/>
        <v>dez</v>
      </c>
      <c r="N2181">
        <f t="shared" si="227"/>
        <v>2025</v>
      </c>
      <c r="O2181" s="2"/>
      <c r="P2181" t="str">
        <f t="shared" si="228"/>
        <v>141546014</v>
      </c>
    </row>
    <row r="2182" spans="1:16" x14ac:dyDescent="0.3">
      <c r="A2182">
        <v>1415</v>
      </c>
      <c r="B2182">
        <v>22</v>
      </c>
      <c r="C2182" t="s">
        <v>26</v>
      </c>
      <c r="D2182" t="s">
        <v>29</v>
      </c>
      <c r="E2182" t="s">
        <v>17</v>
      </c>
      <c r="F2182" t="s">
        <v>18</v>
      </c>
      <c r="G2182" t="s">
        <v>41</v>
      </c>
      <c r="H2182" t="s">
        <v>25</v>
      </c>
      <c r="I2182" s="1">
        <v>2</v>
      </c>
      <c r="J2182" s="2">
        <v>46047</v>
      </c>
      <c r="K2182" s="2">
        <v>46023</v>
      </c>
      <c r="L2182" s="1" t="str">
        <f t="shared" si="225"/>
        <v>dom</v>
      </c>
      <c r="M2182" s="1" t="str">
        <f t="shared" si="226"/>
        <v>jan</v>
      </c>
      <c r="N2182">
        <f t="shared" si="227"/>
        <v>2026</v>
      </c>
      <c r="O2182" s="2"/>
      <c r="P2182" t="str">
        <f t="shared" si="228"/>
        <v>141546047</v>
      </c>
    </row>
    <row r="2183" spans="1:16" x14ac:dyDescent="0.3">
      <c r="A2183">
        <v>1415</v>
      </c>
      <c r="B2183">
        <v>22</v>
      </c>
      <c r="C2183" t="s">
        <v>26</v>
      </c>
      <c r="D2183" t="s">
        <v>29</v>
      </c>
      <c r="E2183" t="s">
        <v>17</v>
      </c>
      <c r="F2183" t="s">
        <v>18</v>
      </c>
      <c r="G2183" t="s">
        <v>40</v>
      </c>
      <c r="H2183" t="s">
        <v>25</v>
      </c>
      <c r="I2183" s="1">
        <v>2</v>
      </c>
      <c r="J2183" s="2">
        <v>46054</v>
      </c>
      <c r="K2183" s="2">
        <v>46054</v>
      </c>
      <c r="L2183" s="1" t="str">
        <f t="shared" si="225"/>
        <v>dom</v>
      </c>
      <c r="M2183" s="1" t="str">
        <f t="shared" si="226"/>
        <v>fev</v>
      </c>
      <c r="N2183">
        <f t="shared" si="227"/>
        <v>2026</v>
      </c>
      <c r="O2183" s="2"/>
      <c r="P2183" t="str">
        <f t="shared" si="228"/>
        <v>141546054</v>
      </c>
    </row>
    <row r="2184" spans="1:16" x14ac:dyDescent="0.3">
      <c r="A2184">
        <v>1416</v>
      </c>
      <c r="B2184">
        <v>21</v>
      </c>
      <c r="C2184" t="s">
        <v>26</v>
      </c>
      <c r="D2184" t="s">
        <v>22</v>
      </c>
      <c r="E2184" t="s">
        <v>17</v>
      </c>
      <c r="F2184" t="s">
        <v>23</v>
      </c>
      <c r="G2184" t="s">
        <v>40</v>
      </c>
      <c r="H2184" t="s">
        <v>25</v>
      </c>
      <c r="I2184" s="1">
        <v>1</v>
      </c>
      <c r="J2184" s="2">
        <v>45820</v>
      </c>
      <c r="K2184" s="2">
        <v>45809</v>
      </c>
      <c r="L2184" s="1" t="str">
        <f t="shared" si="225"/>
        <v>qui</v>
      </c>
      <c r="M2184" s="1" t="str">
        <f t="shared" si="226"/>
        <v>jun</v>
      </c>
      <c r="N2184">
        <f t="shared" si="227"/>
        <v>2025</v>
      </c>
      <c r="O2184" s="2"/>
      <c r="P2184" t="str">
        <f t="shared" si="228"/>
        <v>141645820</v>
      </c>
    </row>
    <row r="2185" spans="1:16" x14ac:dyDescent="0.3">
      <c r="A2185">
        <v>1416</v>
      </c>
      <c r="B2185">
        <v>21</v>
      </c>
      <c r="C2185" t="s">
        <v>26</v>
      </c>
      <c r="D2185" t="s">
        <v>22</v>
      </c>
      <c r="E2185" t="s">
        <v>17</v>
      </c>
      <c r="F2185" t="s">
        <v>23</v>
      </c>
      <c r="G2185" t="s">
        <v>40</v>
      </c>
      <c r="H2185" t="s">
        <v>25</v>
      </c>
      <c r="I2185" s="1">
        <v>1</v>
      </c>
      <c r="J2185" s="2">
        <v>45906</v>
      </c>
      <c r="K2185" s="2">
        <v>45901</v>
      </c>
      <c r="L2185" s="1" t="str">
        <f t="shared" si="225"/>
        <v>sáb</v>
      </c>
      <c r="M2185" s="1" t="str">
        <f t="shared" si="226"/>
        <v>set</v>
      </c>
      <c r="N2185">
        <f t="shared" si="227"/>
        <v>2025</v>
      </c>
      <c r="O2185" s="2"/>
      <c r="P2185" t="str">
        <f t="shared" si="228"/>
        <v>141645906</v>
      </c>
    </row>
    <row r="2186" spans="1:16" x14ac:dyDescent="0.3">
      <c r="A2186">
        <v>1416</v>
      </c>
      <c r="B2186">
        <v>21</v>
      </c>
      <c r="C2186" t="s">
        <v>26</v>
      </c>
      <c r="D2186" t="s">
        <v>22</v>
      </c>
      <c r="E2186" t="s">
        <v>17</v>
      </c>
      <c r="F2186" t="s">
        <v>23</v>
      </c>
      <c r="G2186" t="s">
        <v>40</v>
      </c>
      <c r="H2186" t="s">
        <v>25</v>
      </c>
      <c r="I2186" s="1">
        <v>1</v>
      </c>
      <c r="J2186" s="2">
        <v>45933</v>
      </c>
      <c r="K2186" s="2">
        <v>45931</v>
      </c>
      <c r="L2186" s="1" t="str">
        <f t="shared" si="225"/>
        <v>sex</v>
      </c>
      <c r="M2186" s="1" t="str">
        <f t="shared" si="226"/>
        <v>out</v>
      </c>
      <c r="N2186">
        <f t="shared" si="227"/>
        <v>2025</v>
      </c>
      <c r="O2186" s="2"/>
      <c r="P2186" t="str">
        <f t="shared" si="228"/>
        <v>141645933</v>
      </c>
    </row>
    <row r="2187" spans="1:16" x14ac:dyDescent="0.3">
      <c r="A2187">
        <v>1416</v>
      </c>
      <c r="B2187">
        <v>21</v>
      </c>
      <c r="C2187" t="s">
        <v>26</v>
      </c>
      <c r="D2187" t="s">
        <v>22</v>
      </c>
      <c r="E2187" t="s">
        <v>17</v>
      </c>
      <c r="F2187" t="s">
        <v>23</v>
      </c>
      <c r="G2187" t="s">
        <v>40</v>
      </c>
      <c r="H2187" t="s">
        <v>25</v>
      </c>
      <c r="I2187" s="1">
        <v>1</v>
      </c>
      <c r="J2187" s="2">
        <v>45940</v>
      </c>
      <c r="K2187" s="2">
        <v>45931</v>
      </c>
      <c r="L2187" s="1" t="str">
        <f t="shared" si="225"/>
        <v>sex</v>
      </c>
      <c r="M2187" s="1" t="str">
        <f t="shared" si="226"/>
        <v>out</v>
      </c>
      <c r="N2187">
        <f t="shared" si="227"/>
        <v>2025</v>
      </c>
      <c r="O2187" s="2"/>
      <c r="P2187" t="str">
        <f t="shared" si="228"/>
        <v>141645940</v>
      </c>
    </row>
    <row r="2188" spans="1:16" x14ac:dyDescent="0.3">
      <c r="A2188">
        <v>1416</v>
      </c>
      <c r="B2188">
        <v>21</v>
      </c>
      <c r="C2188" t="s">
        <v>26</v>
      </c>
      <c r="D2188" t="s">
        <v>22</v>
      </c>
      <c r="E2188" t="s">
        <v>17</v>
      </c>
      <c r="F2188" t="s">
        <v>23</v>
      </c>
      <c r="G2188" t="s">
        <v>40</v>
      </c>
      <c r="H2188" t="s">
        <v>25</v>
      </c>
      <c r="I2188" s="1">
        <v>1</v>
      </c>
      <c r="J2188" s="2">
        <v>45959</v>
      </c>
      <c r="K2188" s="2">
        <v>45931</v>
      </c>
      <c r="L2188" s="1" t="str">
        <f t="shared" si="225"/>
        <v>qua</v>
      </c>
      <c r="M2188" s="1" t="str">
        <f t="shared" si="226"/>
        <v>out</v>
      </c>
      <c r="N2188">
        <f t="shared" si="227"/>
        <v>2025</v>
      </c>
      <c r="O2188" s="2"/>
      <c r="P2188" t="str">
        <f t="shared" si="228"/>
        <v>141645959</v>
      </c>
    </row>
    <row r="2189" spans="1:16" x14ac:dyDescent="0.3">
      <c r="A2189">
        <v>1416</v>
      </c>
      <c r="B2189">
        <v>21</v>
      </c>
      <c r="C2189" t="s">
        <v>26</v>
      </c>
      <c r="D2189" t="s">
        <v>22</v>
      </c>
      <c r="E2189" t="s">
        <v>17</v>
      </c>
      <c r="F2189" t="s">
        <v>23</v>
      </c>
      <c r="G2189" t="s">
        <v>40</v>
      </c>
      <c r="H2189" t="s">
        <v>25</v>
      </c>
      <c r="I2189" s="1">
        <v>1</v>
      </c>
      <c r="J2189" s="2">
        <v>46000</v>
      </c>
      <c r="K2189" s="2">
        <v>45992</v>
      </c>
      <c r="L2189" s="1" t="str">
        <f t="shared" si="225"/>
        <v>ter</v>
      </c>
      <c r="M2189" s="1" t="str">
        <f t="shared" si="226"/>
        <v>dez</v>
      </c>
      <c r="N2189">
        <f t="shared" si="227"/>
        <v>2025</v>
      </c>
      <c r="O2189" s="2"/>
      <c r="P2189" t="str">
        <f t="shared" si="228"/>
        <v>141646000</v>
      </c>
    </row>
    <row r="2190" spans="1:16" x14ac:dyDescent="0.3">
      <c r="A2190">
        <v>1417</v>
      </c>
      <c r="B2190">
        <v>54</v>
      </c>
      <c r="C2190" t="s">
        <v>15</v>
      </c>
      <c r="D2190" t="s">
        <v>16</v>
      </c>
      <c r="E2190" t="s">
        <v>17</v>
      </c>
      <c r="F2190" t="s">
        <v>18</v>
      </c>
      <c r="G2190" t="s">
        <v>42</v>
      </c>
      <c r="H2190" t="s">
        <v>25</v>
      </c>
      <c r="I2190" s="1">
        <v>1</v>
      </c>
      <c r="J2190" s="2">
        <v>45793</v>
      </c>
      <c r="K2190" s="2">
        <v>45778</v>
      </c>
      <c r="L2190" s="1" t="str">
        <f t="shared" si="225"/>
        <v>sex</v>
      </c>
      <c r="M2190" s="1" t="str">
        <f t="shared" si="226"/>
        <v>mai</v>
      </c>
      <c r="N2190">
        <f t="shared" si="227"/>
        <v>2025</v>
      </c>
      <c r="O2190" s="2"/>
      <c r="P2190" t="str">
        <f t="shared" si="228"/>
        <v>141745793</v>
      </c>
    </row>
    <row r="2191" spans="1:16" x14ac:dyDescent="0.3">
      <c r="A2191">
        <v>1417</v>
      </c>
      <c r="B2191">
        <v>54</v>
      </c>
      <c r="C2191" t="s">
        <v>15</v>
      </c>
      <c r="D2191" t="s">
        <v>16</v>
      </c>
      <c r="E2191" t="s">
        <v>17</v>
      </c>
      <c r="F2191" t="s">
        <v>18</v>
      </c>
      <c r="G2191" t="s">
        <v>44</v>
      </c>
      <c r="H2191" t="s">
        <v>25</v>
      </c>
      <c r="I2191" s="1">
        <v>1</v>
      </c>
      <c r="J2191" s="2">
        <v>45872</v>
      </c>
      <c r="K2191" s="2">
        <v>45870</v>
      </c>
      <c r="L2191" s="1" t="str">
        <f t="shared" si="225"/>
        <v>dom</v>
      </c>
      <c r="M2191" s="1" t="str">
        <f t="shared" si="226"/>
        <v>ago</v>
      </c>
      <c r="N2191">
        <f t="shared" si="227"/>
        <v>2025</v>
      </c>
      <c r="O2191" s="2"/>
      <c r="P2191" t="str">
        <f t="shared" si="228"/>
        <v>141745872</v>
      </c>
    </row>
    <row r="2192" spans="1:16" x14ac:dyDescent="0.3">
      <c r="A2192">
        <v>1417</v>
      </c>
      <c r="B2192">
        <v>54</v>
      </c>
      <c r="C2192" t="s">
        <v>15</v>
      </c>
      <c r="D2192" t="s">
        <v>16</v>
      </c>
      <c r="E2192" t="s">
        <v>17</v>
      </c>
      <c r="F2192" t="s">
        <v>18</v>
      </c>
      <c r="G2192" t="s">
        <v>44</v>
      </c>
      <c r="H2192" t="s">
        <v>25</v>
      </c>
      <c r="I2192" s="1">
        <v>1</v>
      </c>
      <c r="J2192" s="2">
        <v>45903</v>
      </c>
      <c r="K2192" s="2">
        <v>45901</v>
      </c>
      <c r="L2192" s="1" t="str">
        <f t="shared" si="225"/>
        <v>qua</v>
      </c>
      <c r="M2192" s="1" t="str">
        <f t="shared" si="226"/>
        <v>set</v>
      </c>
      <c r="N2192">
        <f t="shared" si="227"/>
        <v>2025</v>
      </c>
      <c r="O2192" s="2"/>
      <c r="P2192" t="str">
        <f t="shared" si="228"/>
        <v>141745903</v>
      </c>
    </row>
    <row r="2193" spans="1:16" x14ac:dyDescent="0.3">
      <c r="A2193">
        <v>1417</v>
      </c>
      <c r="B2193">
        <v>54</v>
      </c>
      <c r="C2193" t="s">
        <v>15</v>
      </c>
      <c r="D2193" t="s">
        <v>16</v>
      </c>
      <c r="E2193" t="s">
        <v>17</v>
      </c>
      <c r="F2193" t="s">
        <v>18</v>
      </c>
      <c r="G2193" t="s">
        <v>44</v>
      </c>
      <c r="H2193" t="s">
        <v>25</v>
      </c>
      <c r="I2193" s="1">
        <v>1</v>
      </c>
      <c r="J2193" s="2">
        <v>45918</v>
      </c>
      <c r="K2193" s="2">
        <v>45901</v>
      </c>
      <c r="L2193" s="1" t="str">
        <f t="shared" si="225"/>
        <v>qui</v>
      </c>
      <c r="M2193" s="1" t="str">
        <f t="shared" si="226"/>
        <v>set</v>
      </c>
      <c r="N2193">
        <f t="shared" si="227"/>
        <v>2025</v>
      </c>
      <c r="O2193" s="2"/>
      <c r="P2193" t="str">
        <f t="shared" si="228"/>
        <v>141745918</v>
      </c>
    </row>
    <row r="2194" spans="1:16" x14ac:dyDescent="0.3">
      <c r="A2194">
        <v>1417</v>
      </c>
      <c r="B2194">
        <v>54</v>
      </c>
      <c r="C2194" t="s">
        <v>15</v>
      </c>
      <c r="D2194" t="s">
        <v>16</v>
      </c>
      <c r="E2194" t="s">
        <v>17</v>
      </c>
      <c r="F2194" t="s">
        <v>18</v>
      </c>
      <c r="G2194" t="s">
        <v>44</v>
      </c>
      <c r="H2194" t="s">
        <v>25</v>
      </c>
      <c r="I2194" s="1">
        <v>1</v>
      </c>
      <c r="J2194" s="2">
        <v>45995</v>
      </c>
      <c r="K2194" s="2">
        <v>45992</v>
      </c>
      <c r="L2194" s="1" t="str">
        <f t="shared" si="225"/>
        <v>qui</v>
      </c>
      <c r="M2194" s="1" t="str">
        <f t="shared" si="226"/>
        <v>dez</v>
      </c>
      <c r="N2194">
        <f t="shared" si="227"/>
        <v>2025</v>
      </c>
      <c r="O2194" s="2"/>
      <c r="P2194" t="str">
        <f t="shared" si="228"/>
        <v>141745995</v>
      </c>
    </row>
    <row r="2195" spans="1:16" x14ac:dyDescent="0.3">
      <c r="A2195">
        <v>1417</v>
      </c>
      <c r="B2195">
        <v>54</v>
      </c>
      <c r="C2195" t="s">
        <v>15</v>
      </c>
      <c r="D2195" t="s">
        <v>16</v>
      </c>
      <c r="E2195" t="s">
        <v>17</v>
      </c>
      <c r="F2195" t="s">
        <v>18</v>
      </c>
      <c r="G2195" t="s">
        <v>42</v>
      </c>
      <c r="H2195" t="s">
        <v>25</v>
      </c>
      <c r="I2195" s="1">
        <v>1</v>
      </c>
      <c r="J2195" s="2">
        <v>46092</v>
      </c>
      <c r="K2195" s="2">
        <v>46082</v>
      </c>
      <c r="L2195" s="1" t="str">
        <f t="shared" si="225"/>
        <v>qua</v>
      </c>
      <c r="M2195" s="1" t="str">
        <f t="shared" si="226"/>
        <v>mar</v>
      </c>
      <c r="N2195">
        <f t="shared" si="227"/>
        <v>2026</v>
      </c>
      <c r="O2195" s="2"/>
      <c r="P2195" t="str">
        <f t="shared" si="228"/>
        <v>141746092</v>
      </c>
    </row>
    <row r="2196" spans="1:16" x14ac:dyDescent="0.3">
      <c r="A2196">
        <v>1417</v>
      </c>
      <c r="B2196">
        <v>54</v>
      </c>
      <c r="C2196" t="s">
        <v>15</v>
      </c>
      <c r="D2196" t="s">
        <v>16</v>
      </c>
      <c r="E2196" t="s">
        <v>17</v>
      </c>
      <c r="F2196" t="s">
        <v>18</v>
      </c>
      <c r="G2196" t="s">
        <v>42</v>
      </c>
      <c r="H2196" t="s">
        <v>25</v>
      </c>
      <c r="I2196" s="1">
        <v>1</v>
      </c>
      <c r="J2196" s="2">
        <v>46158</v>
      </c>
      <c r="K2196" s="2">
        <v>46143</v>
      </c>
      <c r="L2196" s="1" t="s">
        <v>53</v>
      </c>
      <c r="M2196" s="1" t="s">
        <v>49</v>
      </c>
      <c r="N2196">
        <v>2025</v>
      </c>
      <c r="O2196" s="2"/>
      <c r="P2196" t="str">
        <f t="shared" si="228"/>
        <v>141746158</v>
      </c>
    </row>
    <row r="2197" spans="1:16" x14ac:dyDescent="0.3">
      <c r="A2197">
        <v>1418</v>
      </c>
      <c r="B2197">
        <v>29</v>
      </c>
      <c r="C2197" t="s">
        <v>15</v>
      </c>
      <c r="D2197" t="s">
        <v>16</v>
      </c>
      <c r="E2197" t="s">
        <v>17</v>
      </c>
      <c r="F2197" t="s">
        <v>18</v>
      </c>
      <c r="G2197" t="s">
        <v>41</v>
      </c>
      <c r="H2197" t="s">
        <v>20</v>
      </c>
      <c r="I2197" s="1">
        <v>1</v>
      </c>
      <c r="J2197" s="2">
        <v>45775</v>
      </c>
      <c r="K2197" s="2">
        <v>45748</v>
      </c>
      <c r="L2197" s="1" t="str">
        <f t="shared" ref="L2197:L2229" si="229">TEXT(J2197,"ddd")</f>
        <v>seg</v>
      </c>
      <c r="M2197" s="1" t="str">
        <f t="shared" ref="M2197:M2229" si="230">TEXT($J2197,"mmm")</f>
        <v>abr</v>
      </c>
      <c r="N2197">
        <f t="shared" ref="N2197:N2229" si="231">YEAR(J2197)</f>
        <v>2025</v>
      </c>
      <c r="O2197" s="2">
        <f>_xlfn.XLOOKUP(A2197,Colaboradores!$A:$A,Colaboradores!$S:$S,"",0)</f>
        <v>46174</v>
      </c>
      <c r="P2197" t="str">
        <f t="shared" si="228"/>
        <v>141845775</v>
      </c>
    </row>
    <row r="2198" spans="1:16" x14ac:dyDescent="0.3">
      <c r="A2198">
        <v>1418</v>
      </c>
      <c r="B2198">
        <v>29</v>
      </c>
      <c r="C2198" t="s">
        <v>15</v>
      </c>
      <c r="D2198" t="s">
        <v>16</v>
      </c>
      <c r="E2198" t="s">
        <v>17</v>
      </c>
      <c r="F2198" t="s">
        <v>18</v>
      </c>
      <c r="G2198" t="s">
        <v>41</v>
      </c>
      <c r="H2198" t="s">
        <v>20</v>
      </c>
      <c r="I2198" s="1">
        <v>1</v>
      </c>
      <c r="J2198" s="2">
        <v>45840</v>
      </c>
      <c r="K2198" s="2">
        <v>45839</v>
      </c>
      <c r="L2198" s="1" t="str">
        <f t="shared" si="229"/>
        <v>qua</v>
      </c>
      <c r="M2198" s="1" t="str">
        <f t="shared" si="230"/>
        <v>jul</v>
      </c>
      <c r="N2198">
        <f t="shared" si="231"/>
        <v>2025</v>
      </c>
      <c r="O2198" s="2">
        <f>_xlfn.XLOOKUP(A2198,Colaboradores!$A:$A,Colaboradores!$S:$S,"",0)</f>
        <v>46174</v>
      </c>
      <c r="P2198" t="str">
        <f t="shared" si="228"/>
        <v>141845840</v>
      </c>
    </row>
    <row r="2199" spans="1:16" x14ac:dyDescent="0.3">
      <c r="A2199">
        <v>1418</v>
      </c>
      <c r="B2199">
        <v>29</v>
      </c>
      <c r="C2199" t="s">
        <v>15</v>
      </c>
      <c r="D2199" t="s">
        <v>16</v>
      </c>
      <c r="E2199" t="s">
        <v>17</v>
      </c>
      <c r="F2199" t="s">
        <v>18</v>
      </c>
      <c r="G2199" t="s">
        <v>41</v>
      </c>
      <c r="H2199" t="s">
        <v>20</v>
      </c>
      <c r="I2199" s="1">
        <v>1</v>
      </c>
      <c r="J2199" s="2">
        <v>45880</v>
      </c>
      <c r="K2199" s="2">
        <v>45870</v>
      </c>
      <c r="L2199" s="1" t="str">
        <f t="shared" si="229"/>
        <v>seg</v>
      </c>
      <c r="M2199" s="1" t="str">
        <f t="shared" si="230"/>
        <v>ago</v>
      </c>
      <c r="N2199">
        <f t="shared" si="231"/>
        <v>2025</v>
      </c>
      <c r="O2199" s="2">
        <f>_xlfn.XLOOKUP(A2199,Colaboradores!$A:$A,Colaboradores!$S:$S,"",0)</f>
        <v>46174</v>
      </c>
      <c r="P2199" t="str">
        <f t="shared" si="228"/>
        <v>141845880</v>
      </c>
    </row>
    <row r="2200" spans="1:16" x14ac:dyDescent="0.3">
      <c r="A2200">
        <v>1418</v>
      </c>
      <c r="B2200">
        <v>29</v>
      </c>
      <c r="C2200" t="s">
        <v>15</v>
      </c>
      <c r="D2200" t="s">
        <v>16</v>
      </c>
      <c r="E2200" t="s">
        <v>17</v>
      </c>
      <c r="F2200" t="s">
        <v>18</v>
      </c>
      <c r="G2200" t="s">
        <v>41</v>
      </c>
      <c r="H2200" t="s">
        <v>20</v>
      </c>
      <c r="I2200" s="1">
        <v>1</v>
      </c>
      <c r="J2200" s="2">
        <v>45945</v>
      </c>
      <c r="K2200" s="2">
        <v>45931</v>
      </c>
      <c r="L2200" s="1" t="str">
        <f t="shared" si="229"/>
        <v>qua</v>
      </c>
      <c r="M2200" s="1" t="str">
        <f t="shared" si="230"/>
        <v>out</v>
      </c>
      <c r="N2200">
        <f t="shared" si="231"/>
        <v>2025</v>
      </c>
      <c r="O2200" s="2">
        <f>_xlfn.XLOOKUP(A2200,Colaboradores!$A:$A,Colaboradores!$S:$S,"",0)</f>
        <v>46174</v>
      </c>
      <c r="P2200" t="str">
        <f t="shared" si="228"/>
        <v>141845945</v>
      </c>
    </row>
    <row r="2201" spans="1:16" x14ac:dyDescent="0.3">
      <c r="A2201">
        <v>1418</v>
      </c>
      <c r="B2201">
        <v>29</v>
      </c>
      <c r="C2201" t="s">
        <v>15</v>
      </c>
      <c r="D2201" t="s">
        <v>16</v>
      </c>
      <c r="E2201" t="s">
        <v>17</v>
      </c>
      <c r="F2201" t="s">
        <v>18</v>
      </c>
      <c r="G2201" t="s">
        <v>41</v>
      </c>
      <c r="H2201" t="s">
        <v>20</v>
      </c>
      <c r="I2201" s="1">
        <v>1</v>
      </c>
      <c r="J2201" s="2">
        <v>45971</v>
      </c>
      <c r="K2201" s="2">
        <v>45962</v>
      </c>
      <c r="L2201" s="1" t="str">
        <f t="shared" si="229"/>
        <v>seg</v>
      </c>
      <c r="M2201" s="1" t="str">
        <f t="shared" si="230"/>
        <v>nov</v>
      </c>
      <c r="N2201">
        <f t="shared" si="231"/>
        <v>2025</v>
      </c>
      <c r="O2201" s="2">
        <f>_xlfn.XLOOKUP(A2201,Colaboradores!$A:$A,Colaboradores!$S:$S,"",0)</f>
        <v>46174</v>
      </c>
      <c r="P2201" t="str">
        <f t="shared" si="228"/>
        <v>141845971</v>
      </c>
    </row>
    <row r="2202" spans="1:16" x14ac:dyDescent="0.3">
      <c r="A2202">
        <v>1418</v>
      </c>
      <c r="B2202">
        <v>29</v>
      </c>
      <c r="C2202" t="s">
        <v>15</v>
      </c>
      <c r="D2202" t="s">
        <v>16</v>
      </c>
      <c r="E2202" t="s">
        <v>17</v>
      </c>
      <c r="F2202" t="s">
        <v>18</v>
      </c>
      <c r="G2202" t="s">
        <v>41</v>
      </c>
      <c r="H2202" t="s">
        <v>20</v>
      </c>
      <c r="I2202" s="1">
        <v>1</v>
      </c>
      <c r="J2202" s="2">
        <v>46081</v>
      </c>
      <c r="K2202" s="2">
        <v>46054</v>
      </c>
      <c r="L2202" s="1" t="str">
        <f t="shared" si="229"/>
        <v>sáb</v>
      </c>
      <c r="M2202" s="1" t="str">
        <f t="shared" si="230"/>
        <v>fev</v>
      </c>
      <c r="N2202">
        <f t="shared" si="231"/>
        <v>2026</v>
      </c>
      <c r="O2202" s="2">
        <f>_xlfn.XLOOKUP(A2202,Colaboradores!$A:$A,Colaboradores!$S:$S,"",0)</f>
        <v>46174</v>
      </c>
      <c r="P2202" t="str">
        <f t="shared" si="228"/>
        <v>141846081</v>
      </c>
    </row>
    <row r="2203" spans="1:16" x14ac:dyDescent="0.3">
      <c r="A2203">
        <v>1421</v>
      </c>
      <c r="B2203">
        <v>42</v>
      </c>
      <c r="C2203" t="s">
        <v>26</v>
      </c>
      <c r="D2203" t="s">
        <v>22</v>
      </c>
      <c r="E2203" t="s">
        <v>17</v>
      </c>
      <c r="F2203" t="s">
        <v>21</v>
      </c>
      <c r="G2203" t="s">
        <v>41</v>
      </c>
      <c r="H2203" t="s">
        <v>20</v>
      </c>
      <c r="I2203" s="1">
        <v>2</v>
      </c>
      <c r="J2203" s="2">
        <v>45844</v>
      </c>
      <c r="K2203" s="2">
        <v>45839</v>
      </c>
      <c r="L2203" s="1" t="str">
        <f t="shared" si="229"/>
        <v>dom</v>
      </c>
      <c r="M2203" s="1" t="str">
        <f t="shared" si="230"/>
        <v>jul</v>
      </c>
      <c r="N2203">
        <f t="shared" si="231"/>
        <v>2025</v>
      </c>
      <c r="O2203" s="2">
        <f>_xlfn.XLOOKUP(A2203,Colaboradores!$A:$A,Colaboradores!$S:$S,"",0)</f>
        <v>45864</v>
      </c>
      <c r="P2203" t="str">
        <f t="shared" si="228"/>
        <v>142145844</v>
      </c>
    </row>
    <row r="2204" spans="1:16" x14ac:dyDescent="0.3">
      <c r="A2204">
        <v>1422</v>
      </c>
      <c r="B2204">
        <v>29</v>
      </c>
      <c r="C2204" t="s">
        <v>15</v>
      </c>
      <c r="D2204" t="s">
        <v>16</v>
      </c>
      <c r="E2204" t="s">
        <v>17</v>
      </c>
      <c r="F2204" t="s">
        <v>18</v>
      </c>
      <c r="G2204" t="s">
        <v>41</v>
      </c>
      <c r="H2204" t="s">
        <v>25</v>
      </c>
      <c r="I2204" s="1">
        <v>2</v>
      </c>
      <c r="J2204" s="2">
        <v>45964</v>
      </c>
      <c r="K2204" s="2">
        <v>45962</v>
      </c>
      <c r="L2204" s="1" t="str">
        <f t="shared" si="229"/>
        <v>seg</v>
      </c>
      <c r="M2204" s="1" t="str">
        <f t="shared" si="230"/>
        <v>nov</v>
      </c>
      <c r="N2204">
        <f t="shared" si="231"/>
        <v>2025</v>
      </c>
      <c r="O2204" s="2"/>
      <c r="P2204" t="str">
        <f t="shared" si="228"/>
        <v>142245964</v>
      </c>
    </row>
    <row r="2205" spans="1:16" x14ac:dyDescent="0.3">
      <c r="A2205">
        <v>1422</v>
      </c>
      <c r="B2205">
        <v>29</v>
      </c>
      <c r="C2205" t="s">
        <v>15</v>
      </c>
      <c r="D2205" t="s">
        <v>16</v>
      </c>
      <c r="E2205" t="s">
        <v>17</v>
      </c>
      <c r="F2205" t="s">
        <v>18</v>
      </c>
      <c r="G2205" t="s">
        <v>42</v>
      </c>
      <c r="H2205" t="s">
        <v>25</v>
      </c>
      <c r="I2205" s="1">
        <v>2</v>
      </c>
      <c r="J2205" s="2">
        <v>46099</v>
      </c>
      <c r="K2205" s="2">
        <v>46082</v>
      </c>
      <c r="L2205" s="1" t="str">
        <f t="shared" si="229"/>
        <v>qua</v>
      </c>
      <c r="M2205" s="1" t="str">
        <f t="shared" si="230"/>
        <v>mar</v>
      </c>
      <c r="N2205">
        <f t="shared" si="231"/>
        <v>2026</v>
      </c>
      <c r="O2205" s="2"/>
      <c r="P2205" t="str">
        <f t="shared" si="228"/>
        <v>142246099</v>
      </c>
    </row>
    <row r="2206" spans="1:16" x14ac:dyDescent="0.3">
      <c r="A2206">
        <v>1422</v>
      </c>
      <c r="B2206">
        <v>29</v>
      </c>
      <c r="C2206" t="s">
        <v>15</v>
      </c>
      <c r="D2206" t="s">
        <v>16</v>
      </c>
      <c r="E2206" t="s">
        <v>17</v>
      </c>
      <c r="F2206" t="s">
        <v>18</v>
      </c>
      <c r="G2206" t="s">
        <v>42</v>
      </c>
      <c r="H2206" t="s">
        <v>25</v>
      </c>
      <c r="I2206" s="1">
        <v>2</v>
      </c>
      <c r="J2206" s="2">
        <v>46105</v>
      </c>
      <c r="K2206" s="2">
        <v>46082</v>
      </c>
      <c r="L2206" s="1" t="str">
        <f t="shared" si="229"/>
        <v>ter</v>
      </c>
      <c r="M2206" s="1" t="str">
        <f t="shared" si="230"/>
        <v>mar</v>
      </c>
      <c r="N2206">
        <f t="shared" si="231"/>
        <v>2026</v>
      </c>
      <c r="O2206" s="2"/>
      <c r="P2206" t="str">
        <f t="shared" si="228"/>
        <v>142246105</v>
      </c>
    </row>
    <row r="2207" spans="1:16" x14ac:dyDescent="0.3">
      <c r="A2207">
        <v>1422</v>
      </c>
      <c r="B2207">
        <v>29</v>
      </c>
      <c r="C2207" t="s">
        <v>15</v>
      </c>
      <c r="D2207" t="s">
        <v>16</v>
      </c>
      <c r="E2207" t="s">
        <v>17</v>
      </c>
      <c r="F2207" t="s">
        <v>18</v>
      </c>
      <c r="G2207" t="s">
        <v>42</v>
      </c>
      <c r="H2207" t="s">
        <v>25</v>
      </c>
      <c r="I2207" s="1">
        <v>2</v>
      </c>
      <c r="J2207" s="2">
        <v>46109</v>
      </c>
      <c r="K2207" s="2">
        <v>46082</v>
      </c>
      <c r="L2207" s="1" t="str">
        <f t="shared" si="229"/>
        <v>sáb</v>
      </c>
      <c r="M2207" s="1" t="str">
        <f t="shared" si="230"/>
        <v>mar</v>
      </c>
      <c r="N2207">
        <f t="shared" si="231"/>
        <v>2026</v>
      </c>
      <c r="O2207" s="2"/>
      <c r="P2207" t="str">
        <f t="shared" si="228"/>
        <v>142246109</v>
      </c>
    </row>
    <row r="2208" spans="1:16" x14ac:dyDescent="0.3">
      <c r="A2208">
        <v>1422</v>
      </c>
      <c r="B2208">
        <v>29</v>
      </c>
      <c r="C2208" t="s">
        <v>15</v>
      </c>
      <c r="D2208" t="s">
        <v>16</v>
      </c>
      <c r="E2208" t="s">
        <v>17</v>
      </c>
      <c r="F2208" t="s">
        <v>18</v>
      </c>
      <c r="G2208" t="s">
        <v>42</v>
      </c>
      <c r="H2208" t="s">
        <v>25</v>
      </c>
      <c r="I2208" s="1">
        <v>2</v>
      </c>
      <c r="J2208" s="2">
        <v>46164</v>
      </c>
      <c r="K2208" s="2">
        <v>46143</v>
      </c>
      <c r="L2208" s="1" t="str">
        <f t="shared" si="229"/>
        <v>sex</v>
      </c>
      <c r="M2208" s="1" t="str">
        <f t="shared" si="230"/>
        <v>mai</v>
      </c>
      <c r="N2208">
        <f t="shared" si="231"/>
        <v>2026</v>
      </c>
      <c r="O2208" s="2"/>
      <c r="P2208" t="str">
        <f t="shared" si="228"/>
        <v>142246164</v>
      </c>
    </row>
    <row r="2209" spans="1:16" x14ac:dyDescent="0.3">
      <c r="A2209">
        <v>1423</v>
      </c>
      <c r="B2209">
        <v>57</v>
      </c>
      <c r="C2209" t="s">
        <v>15</v>
      </c>
      <c r="D2209" t="s">
        <v>29</v>
      </c>
      <c r="E2209" t="s">
        <v>17</v>
      </c>
      <c r="F2209" t="s">
        <v>23</v>
      </c>
      <c r="G2209" t="s">
        <v>43</v>
      </c>
      <c r="H2209" t="s">
        <v>20</v>
      </c>
      <c r="I2209" s="1">
        <v>1</v>
      </c>
      <c r="J2209" s="2">
        <v>45840</v>
      </c>
      <c r="K2209" s="2">
        <v>45839</v>
      </c>
      <c r="L2209" s="1" t="str">
        <f t="shared" si="229"/>
        <v>qua</v>
      </c>
      <c r="M2209" s="1" t="str">
        <f t="shared" si="230"/>
        <v>jul</v>
      </c>
      <c r="N2209">
        <f t="shared" si="231"/>
        <v>2025</v>
      </c>
      <c r="O2209" s="2">
        <f>_xlfn.XLOOKUP(A2209,Colaboradores!$A:$A,Colaboradores!$S:$S,"",0)</f>
        <v>45951</v>
      </c>
      <c r="P2209" t="str">
        <f t="shared" si="228"/>
        <v>142345840</v>
      </c>
    </row>
    <row r="2210" spans="1:16" x14ac:dyDescent="0.3">
      <c r="A2210">
        <v>1423</v>
      </c>
      <c r="B2210">
        <v>57</v>
      </c>
      <c r="C2210" t="s">
        <v>15</v>
      </c>
      <c r="D2210" t="s">
        <v>29</v>
      </c>
      <c r="E2210" t="s">
        <v>17</v>
      </c>
      <c r="F2210" t="s">
        <v>23</v>
      </c>
      <c r="G2210" t="s">
        <v>43</v>
      </c>
      <c r="H2210" t="s">
        <v>20</v>
      </c>
      <c r="I2210" s="1">
        <v>1</v>
      </c>
      <c r="J2210" s="2">
        <v>45895</v>
      </c>
      <c r="K2210" s="2">
        <v>45870</v>
      </c>
      <c r="L2210" s="1" t="str">
        <f t="shared" si="229"/>
        <v>ter</v>
      </c>
      <c r="M2210" s="1" t="str">
        <f t="shared" si="230"/>
        <v>ago</v>
      </c>
      <c r="N2210">
        <f t="shared" si="231"/>
        <v>2025</v>
      </c>
      <c r="O2210" s="2">
        <f>_xlfn.XLOOKUP(A2210,Colaboradores!$A:$A,Colaboradores!$S:$S,"",0)</f>
        <v>45951</v>
      </c>
      <c r="P2210" t="str">
        <f t="shared" si="228"/>
        <v>142345895</v>
      </c>
    </row>
    <row r="2211" spans="1:16" x14ac:dyDescent="0.3">
      <c r="A2211">
        <v>1423</v>
      </c>
      <c r="B2211">
        <v>57</v>
      </c>
      <c r="C2211" t="s">
        <v>15</v>
      </c>
      <c r="D2211" t="s">
        <v>29</v>
      </c>
      <c r="E2211" t="s">
        <v>17</v>
      </c>
      <c r="F2211" t="s">
        <v>23</v>
      </c>
      <c r="G2211" t="s">
        <v>43</v>
      </c>
      <c r="H2211" t="s">
        <v>20</v>
      </c>
      <c r="I2211" s="1">
        <v>1</v>
      </c>
      <c r="J2211" s="2">
        <v>45906</v>
      </c>
      <c r="K2211" s="2">
        <v>45901</v>
      </c>
      <c r="L2211" s="1" t="str">
        <f t="shared" si="229"/>
        <v>sáb</v>
      </c>
      <c r="M2211" s="1" t="str">
        <f t="shared" si="230"/>
        <v>set</v>
      </c>
      <c r="N2211">
        <f t="shared" si="231"/>
        <v>2025</v>
      </c>
      <c r="O2211" s="2">
        <f>_xlfn.XLOOKUP(A2211,Colaboradores!$A:$A,Colaboradores!$S:$S,"",0)</f>
        <v>45951</v>
      </c>
      <c r="P2211" t="str">
        <f t="shared" si="228"/>
        <v>142345906</v>
      </c>
    </row>
    <row r="2212" spans="1:16" x14ac:dyDescent="0.3">
      <c r="A2212">
        <v>1423</v>
      </c>
      <c r="B2212">
        <v>57</v>
      </c>
      <c r="C2212" t="s">
        <v>15</v>
      </c>
      <c r="D2212" t="s">
        <v>29</v>
      </c>
      <c r="E2212" t="s">
        <v>17</v>
      </c>
      <c r="F2212" t="s">
        <v>23</v>
      </c>
      <c r="G2212" t="s">
        <v>43</v>
      </c>
      <c r="H2212" t="s">
        <v>20</v>
      </c>
      <c r="I2212" s="1">
        <v>1</v>
      </c>
      <c r="J2212" s="2">
        <v>45940</v>
      </c>
      <c r="K2212" s="2">
        <v>45931</v>
      </c>
      <c r="L2212" s="1" t="str">
        <f t="shared" si="229"/>
        <v>sex</v>
      </c>
      <c r="M2212" s="1" t="str">
        <f t="shared" si="230"/>
        <v>out</v>
      </c>
      <c r="N2212">
        <f t="shared" si="231"/>
        <v>2025</v>
      </c>
      <c r="O2212" s="2">
        <f>_xlfn.XLOOKUP(A2212,Colaboradores!$A:$A,Colaboradores!$S:$S,"",0)</f>
        <v>45951</v>
      </c>
      <c r="P2212" t="str">
        <f t="shared" si="228"/>
        <v>142345940</v>
      </c>
    </row>
    <row r="2213" spans="1:16" x14ac:dyDescent="0.3">
      <c r="A2213">
        <v>1423</v>
      </c>
      <c r="B2213">
        <v>57</v>
      </c>
      <c r="C2213" t="s">
        <v>15</v>
      </c>
      <c r="D2213" t="s">
        <v>29</v>
      </c>
      <c r="E2213" t="s">
        <v>17</v>
      </c>
      <c r="F2213" t="s">
        <v>23</v>
      </c>
      <c r="G2213" t="s">
        <v>43</v>
      </c>
      <c r="H2213" t="s">
        <v>20</v>
      </c>
      <c r="I2213" s="1">
        <v>1</v>
      </c>
      <c r="J2213" s="2">
        <v>45946</v>
      </c>
      <c r="K2213" s="2">
        <v>45931</v>
      </c>
      <c r="L2213" s="1" t="str">
        <f t="shared" si="229"/>
        <v>qui</v>
      </c>
      <c r="M2213" s="1" t="str">
        <f t="shared" si="230"/>
        <v>out</v>
      </c>
      <c r="N2213">
        <f t="shared" si="231"/>
        <v>2025</v>
      </c>
      <c r="O2213" s="2">
        <f>_xlfn.XLOOKUP(A2213,Colaboradores!$A:$A,Colaboradores!$S:$S,"",0)</f>
        <v>45951</v>
      </c>
      <c r="P2213" t="str">
        <f t="shared" si="228"/>
        <v>142345946</v>
      </c>
    </row>
    <row r="2214" spans="1:16" x14ac:dyDescent="0.3">
      <c r="A2214">
        <v>1424</v>
      </c>
      <c r="B2214">
        <v>33</v>
      </c>
      <c r="C2214" t="s">
        <v>26</v>
      </c>
      <c r="D2214" t="s">
        <v>27</v>
      </c>
      <c r="E2214" t="s">
        <v>17</v>
      </c>
      <c r="F2214" t="s">
        <v>21</v>
      </c>
      <c r="G2214" t="s">
        <v>41</v>
      </c>
      <c r="H2214" t="s">
        <v>25</v>
      </c>
      <c r="I2214" s="1">
        <v>3</v>
      </c>
      <c r="J2214" s="2">
        <v>45850</v>
      </c>
      <c r="K2214" s="2">
        <v>45839</v>
      </c>
      <c r="L2214" s="1" t="str">
        <f t="shared" si="229"/>
        <v>sáb</v>
      </c>
      <c r="M2214" s="1" t="str">
        <f t="shared" si="230"/>
        <v>jul</v>
      </c>
      <c r="N2214">
        <f t="shared" si="231"/>
        <v>2025</v>
      </c>
      <c r="O2214" s="2"/>
      <c r="P2214" t="str">
        <f t="shared" si="228"/>
        <v>142445850</v>
      </c>
    </row>
    <row r="2215" spans="1:16" x14ac:dyDescent="0.3">
      <c r="A2215">
        <v>1424</v>
      </c>
      <c r="B2215">
        <v>33</v>
      </c>
      <c r="C2215" t="s">
        <v>26</v>
      </c>
      <c r="D2215" t="s">
        <v>27</v>
      </c>
      <c r="E2215" t="s">
        <v>17</v>
      </c>
      <c r="F2215" t="s">
        <v>21</v>
      </c>
      <c r="G2215" t="s">
        <v>43</v>
      </c>
      <c r="H2215" t="s">
        <v>25</v>
      </c>
      <c r="I2215" s="1">
        <v>3</v>
      </c>
      <c r="J2215" s="2">
        <v>45906</v>
      </c>
      <c r="K2215" s="2">
        <v>45901</v>
      </c>
      <c r="L2215" s="1" t="str">
        <f t="shared" si="229"/>
        <v>sáb</v>
      </c>
      <c r="M2215" s="1" t="str">
        <f t="shared" si="230"/>
        <v>set</v>
      </c>
      <c r="N2215">
        <f t="shared" si="231"/>
        <v>2025</v>
      </c>
      <c r="O2215" s="2"/>
      <c r="P2215" t="str">
        <f t="shared" si="228"/>
        <v>142445906</v>
      </c>
    </row>
    <row r="2216" spans="1:16" x14ac:dyDescent="0.3">
      <c r="A2216">
        <v>1424</v>
      </c>
      <c r="B2216">
        <v>33</v>
      </c>
      <c r="C2216" t="s">
        <v>26</v>
      </c>
      <c r="D2216" t="s">
        <v>27</v>
      </c>
      <c r="E2216" t="s">
        <v>17</v>
      </c>
      <c r="F2216" t="s">
        <v>21</v>
      </c>
      <c r="G2216" t="s">
        <v>41</v>
      </c>
      <c r="H2216" t="s">
        <v>25</v>
      </c>
      <c r="I2216" s="1">
        <v>3</v>
      </c>
      <c r="J2216" s="2">
        <v>45929</v>
      </c>
      <c r="K2216" s="2">
        <v>45901</v>
      </c>
      <c r="L2216" s="1" t="str">
        <f t="shared" si="229"/>
        <v>seg</v>
      </c>
      <c r="M2216" s="1" t="str">
        <f t="shared" si="230"/>
        <v>set</v>
      </c>
      <c r="N2216">
        <f t="shared" si="231"/>
        <v>2025</v>
      </c>
      <c r="O2216" s="2"/>
      <c r="P2216" t="str">
        <f t="shared" si="228"/>
        <v>142445929</v>
      </c>
    </row>
    <row r="2217" spans="1:16" x14ac:dyDescent="0.3">
      <c r="A2217">
        <v>1424</v>
      </c>
      <c r="B2217">
        <v>33</v>
      </c>
      <c r="C2217" t="s">
        <v>26</v>
      </c>
      <c r="D2217" t="s">
        <v>27</v>
      </c>
      <c r="E2217" t="s">
        <v>17</v>
      </c>
      <c r="F2217" t="s">
        <v>21</v>
      </c>
      <c r="G2217" t="s">
        <v>43</v>
      </c>
      <c r="H2217" t="s">
        <v>25</v>
      </c>
      <c r="I2217" s="1">
        <v>3</v>
      </c>
      <c r="J2217" s="2">
        <v>45930</v>
      </c>
      <c r="K2217" s="2">
        <v>45901</v>
      </c>
      <c r="L2217" s="1" t="str">
        <f t="shared" si="229"/>
        <v>ter</v>
      </c>
      <c r="M2217" s="1" t="str">
        <f t="shared" si="230"/>
        <v>set</v>
      </c>
      <c r="N2217">
        <f t="shared" si="231"/>
        <v>2025</v>
      </c>
      <c r="O2217" s="2"/>
      <c r="P2217" t="str">
        <f t="shared" si="228"/>
        <v>142445930</v>
      </c>
    </row>
    <row r="2218" spans="1:16" x14ac:dyDescent="0.3">
      <c r="A2218">
        <v>1424</v>
      </c>
      <c r="B2218">
        <v>33</v>
      </c>
      <c r="C2218" t="s">
        <v>26</v>
      </c>
      <c r="D2218" t="s">
        <v>27</v>
      </c>
      <c r="E2218" t="s">
        <v>17</v>
      </c>
      <c r="F2218" t="s">
        <v>21</v>
      </c>
      <c r="G2218" t="s">
        <v>43</v>
      </c>
      <c r="H2218" t="s">
        <v>25</v>
      </c>
      <c r="I2218" s="1">
        <v>3</v>
      </c>
      <c r="J2218" s="2">
        <v>46098</v>
      </c>
      <c r="K2218" s="2">
        <v>46082</v>
      </c>
      <c r="L2218" s="1" t="str">
        <f t="shared" si="229"/>
        <v>ter</v>
      </c>
      <c r="M2218" s="1" t="str">
        <f t="shared" si="230"/>
        <v>mar</v>
      </c>
      <c r="N2218">
        <f t="shared" si="231"/>
        <v>2026</v>
      </c>
      <c r="O2218" s="2"/>
      <c r="P2218" t="str">
        <f t="shared" si="228"/>
        <v>142446098</v>
      </c>
    </row>
    <row r="2219" spans="1:16" x14ac:dyDescent="0.3">
      <c r="A2219">
        <v>1424</v>
      </c>
      <c r="B2219">
        <v>33</v>
      </c>
      <c r="C2219" t="s">
        <v>26</v>
      </c>
      <c r="D2219" t="s">
        <v>27</v>
      </c>
      <c r="E2219" t="s">
        <v>17</v>
      </c>
      <c r="F2219" t="s">
        <v>21</v>
      </c>
      <c r="G2219" t="s">
        <v>43</v>
      </c>
      <c r="H2219" t="s">
        <v>25</v>
      </c>
      <c r="I2219" s="1">
        <v>3</v>
      </c>
      <c r="J2219" s="2">
        <v>46102</v>
      </c>
      <c r="K2219" s="2">
        <v>46082</v>
      </c>
      <c r="L2219" s="1" t="str">
        <f t="shared" si="229"/>
        <v>sáb</v>
      </c>
      <c r="M2219" s="1" t="str">
        <f t="shared" si="230"/>
        <v>mar</v>
      </c>
      <c r="N2219">
        <f t="shared" si="231"/>
        <v>2026</v>
      </c>
      <c r="O2219" s="2"/>
      <c r="P2219" t="str">
        <f t="shared" si="228"/>
        <v>142446102</v>
      </c>
    </row>
    <row r="2220" spans="1:16" x14ac:dyDescent="0.3">
      <c r="A2220">
        <v>1425</v>
      </c>
      <c r="B2220">
        <v>54</v>
      </c>
      <c r="C2220" t="s">
        <v>26</v>
      </c>
      <c r="D2220" t="s">
        <v>29</v>
      </c>
      <c r="E2220" t="s">
        <v>17</v>
      </c>
      <c r="F2220" t="s">
        <v>18</v>
      </c>
      <c r="G2220" t="s">
        <v>41</v>
      </c>
      <c r="H2220" t="s">
        <v>25</v>
      </c>
      <c r="I2220" s="1">
        <v>2</v>
      </c>
      <c r="J2220" s="2">
        <v>45813</v>
      </c>
      <c r="K2220" s="2">
        <v>45809</v>
      </c>
      <c r="L2220" s="1" t="str">
        <f t="shared" si="229"/>
        <v>qui</v>
      </c>
      <c r="M2220" s="1" t="str">
        <f t="shared" si="230"/>
        <v>jun</v>
      </c>
      <c r="N2220">
        <f t="shared" si="231"/>
        <v>2025</v>
      </c>
      <c r="O2220" s="2"/>
      <c r="P2220" t="str">
        <f t="shared" si="228"/>
        <v>142545813</v>
      </c>
    </row>
    <row r="2221" spans="1:16" x14ac:dyDescent="0.3">
      <c r="A2221">
        <v>1425</v>
      </c>
      <c r="B2221">
        <v>54</v>
      </c>
      <c r="C2221" t="s">
        <v>26</v>
      </c>
      <c r="D2221" t="s">
        <v>29</v>
      </c>
      <c r="E2221" t="s">
        <v>17</v>
      </c>
      <c r="F2221" t="s">
        <v>18</v>
      </c>
      <c r="G2221" t="s">
        <v>41</v>
      </c>
      <c r="H2221" t="s">
        <v>25</v>
      </c>
      <c r="I2221" s="1">
        <v>2</v>
      </c>
      <c r="J2221" s="2">
        <v>45919</v>
      </c>
      <c r="K2221" s="2">
        <v>45901</v>
      </c>
      <c r="L2221" s="1" t="str">
        <f t="shared" si="229"/>
        <v>sex</v>
      </c>
      <c r="M2221" s="1" t="str">
        <f t="shared" si="230"/>
        <v>set</v>
      </c>
      <c r="N2221">
        <f t="shared" si="231"/>
        <v>2025</v>
      </c>
      <c r="O2221" s="2"/>
      <c r="P2221" t="str">
        <f t="shared" si="228"/>
        <v>142545919</v>
      </c>
    </row>
    <row r="2222" spans="1:16" x14ac:dyDescent="0.3">
      <c r="A2222">
        <v>1425</v>
      </c>
      <c r="B2222">
        <v>54</v>
      </c>
      <c r="C2222" t="s">
        <v>26</v>
      </c>
      <c r="D2222" t="s">
        <v>29</v>
      </c>
      <c r="E2222" t="s">
        <v>17</v>
      </c>
      <c r="F2222" t="s">
        <v>18</v>
      </c>
      <c r="G2222" t="s">
        <v>41</v>
      </c>
      <c r="H2222" t="s">
        <v>25</v>
      </c>
      <c r="I2222" s="1">
        <v>2</v>
      </c>
      <c r="J2222" s="2">
        <v>46017</v>
      </c>
      <c r="K2222" s="2">
        <v>45992</v>
      </c>
      <c r="L2222" s="1" t="str">
        <f t="shared" si="229"/>
        <v>sex</v>
      </c>
      <c r="M2222" s="1" t="str">
        <f t="shared" si="230"/>
        <v>dez</v>
      </c>
      <c r="N2222">
        <f t="shared" si="231"/>
        <v>2025</v>
      </c>
      <c r="O2222" s="2"/>
      <c r="P2222" t="str">
        <f t="shared" si="228"/>
        <v>142546017</v>
      </c>
    </row>
    <row r="2223" spans="1:16" x14ac:dyDescent="0.3">
      <c r="A2223">
        <v>1425</v>
      </c>
      <c r="B2223">
        <v>54</v>
      </c>
      <c r="C2223" t="s">
        <v>26</v>
      </c>
      <c r="D2223" t="s">
        <v>29</v>
      </c>
      <c r="E2223" t="s">
        <v>17</v>
      </c>
      <c r="F2223" t="s">
        <v>18</v>
      </c>
      <c r="G2223" t="s">
        <v>41</v>
      </c>
      <c r="H2223" t="s">
        <v>25</v>
      </c>
      <c r="I2223" s="1">
        <v>2</v>
      </c>
      <c r="J2223" s="2">
        <v>46185</v>
      </c>
      <c r="K2223" s="2">
        <v>46023</v>
      </c>
      <c r="L2223" s="1" t="str">
        <f t="shared" si="229"/>
        <v>sex</v>
      </c>
      <c r="M2223" s="1" t="str">
        <f t="shared" si="230"/>
        <v>jun</v>
      </c>
      <c r="N2223">
        <f t="shared" si="231"/>
        <v>2026</v>
      </c>
      <c r="O2223" s="2"/>
      <c r="P2223" t="str">
        <f t="shared" si="228"/>
        <v>142546185</v>
      </c>
    </row>
    <row r="2224" spans="1:16" x14ac:dyDescent="0.3">
      <c r="A2224">
        <v>1426</v>
      </c>
      <c r="B2224">
        <v>21</v>
      </c>
      <c r="C2224" t="s">
        <v>26</v>
      </c>
      <c r="D2224" t="s">
        <v>22</v>
      </c>
      <c r="E2224" t="s">
        <v>17</v>
      </c>
      <c r="F2224" t="s">
        <v>21</v>
      </c>
      <c r="G2224" t="s">
        <v>40</v>
      </c>
      <c r="H2224" t="s">
        <v>25</v>
      </c>
      <c r="I2224" s="1">
        <v>3</v>
      </c>
      <c r="J2224" s="2">
        <v>45748</v>
      </c>
      <c r="K2224" s="2">
        <v>45748</v>
      </c>
      <c r="L2224" s="1" t="str">
        <f t="shared" si="229"/>
        <v>ter</v>
      </c>
      <c r="M2224" s="1" t="str">
        <f t="shared" si="230"/>
        <v>abr</v>
      </c>
      <c r="N2224">
        <f t="shared" si="231"/>
        <v>2025</v>
      </c>
      <c r="O2224" s="2"/>
      <c r="P2224" t="str">
        <f t="shared" si="228"/>
        <v>142645748</v>
      </c>
    </row>
    <row r="2225" spans="1:16" x14ac:dyDescent="0.3">
      <c r="A2225">
        <v>1426</v>
      </c>
      <c r="B2225">
        <v>21</v>
      </c>
      <c r="C2225" t="s">
        <v>26</v>
      </c>
      <c r="D2225" t="s">
        <v>22</v>
      </c>
      <c r="E2225" t="s">
        <v>17</v>
      </c>
      <c r="F2225" t="s">
        <v>21</v>
      </c>
      <c r="G2225" t="s">
        <v>40</v>
      </c>
      <c r="H2225" t="s">
        <v>25</v>
      </c>
      <c r="I2225" s="1">
        <v>3</v>
      </c>
      <c r="J2225" s="2">
        <v>45797</v>
      </c>
      <c r="K2225" s="2">
        <v>45778</v>
      </c>
      <c r="L2225" s="1" t="str">
        <f t="shared" si="229"/>
        <v>ter</v>
      </c>
      <c r="M2225" s="1" t="str">
        <f t="shared" si="230"/>
        <v>mai</v>
      </c>
      <c r="N2225">
        <f t="shared" si="231"/>
        <v>2025</v>
      </c>
      <c r="O2225" s="2"/>
      <c r="P2225" t="str">
        <f t="shared" si="228"/>
        <v>142645797</v>
      </c>
    </row>
    <row r="2226" spans="1:16" x14ac:dyDescent="0.3">
      <c r="A2226">
        <v>1426</v>
      </c>
      <c r="B2226">
        <v>21</v>
      </c>
      <c r="C2226" t="s">
        <v>26</v>
      </c>
      <c r="D2226" t="s">
        <v>22</v>
      </c>
      <c r="E2226" t="s">
        <v>17</v>
      </c>
      <c r="F2226" t="s">
        <v>21</v>
      </c>
      <c r="G2226" t="s">
        <v>41</v>
      </c>
      <c r="H2226" t="s">
        <v>25</v>
      </c>
      <c r="I2226" s="1">
        <v>3</v>
      </c>
      <c r="J2226" s="2">
        <v>45829</v>
      </c>
      <c r="K2226" s="2">
        <v>45809</v>
      </c>
      <c r="L2226" s="1" t="str">
        <f t="shared" si="229"/>
        <v>sáb</v>
      </c>
      <c r="M2226" s="1" t="str">
        <f t="shared" si="230"/>
        <v>jun</v>
      </c>
      <c r="N2226">
        <f t="shared" si="231"/>
        <v>2025</v>
      </c>
      <c r="O2226" s="2"/>
      <c r="P2226" t="str">
        <f t="shared" si="228"/>
        <v>142645829</v>
      </c>
    </row>
    <row r="2227" spans="1:16" x14ac:dyDescent="0.3">
      <c r="A2227">
        <v>1426</v>
      </c>
      <c r="B2227">
        <v>21</v>
      </c>
      <c r="C2227" t="s">
        <v>26</v>
      </c>
      <c r="D2227" t="s">
        <v>22</v>
      </c>
      <c r="E2227" t="s">
        <v>17</v>
      </c>
      <c r="F2227" t="s">
        <v>21</v>
      </c>
      <c r="G2227" t="s">
        <v>40</v>
      </c>
      <c r="H2227" t="s">
        <v>25</v>
      </c>
      <c r="I2227" s="1">
        <v>3</v>
      </c>
      <c r="J2227" s="2">
        <v>45868</v>
      </c>
      <c r="K2227" s="2">
        <v>45839</v>
      </c>
      <c r="L2227" s="1" t="str">
        <f t="shared" si="229"/>
        <v>qua</v>
      </c>
      <c r="M2227" s="1" t="str">
        <f t="shared" si="230"/>
        <v>jul</v>
      </c>
      <c r="N2227">
        <f t="shared" si="231"/>
        <v>2025</v>
      </c>
      <c r="O2227" s="2"/>
      <c r="P2227" t="str">
        <f t="shared" si="228"/>
        <v>142645868</v>
      </c>
    </row>
    <row r="2228" spans="1:16" x14ac:dyDescent="0.3">
      <c r="A2228">
        <v>1426</v>
      </c>
      <c r="B2228">
        <v>21</v>
      </c>
      <c r="C2228" t="s">
        <v>26</v>
      </c>
      <c r="D2228" t="s">
        <v>22</v>
      </c>
      <c r="E2228" t="s">
        <v>17</v>
      </c>
      <c r="F2228" t="s">
        <v>21</v>
      </c>
      <c r="G2228" t="s">
        <v>41</v>
      </c>
      <c r="H2228" t="s">
        <v>25</v>
      </c>
      <c r="I2228" s="1">
        <v>3</v>
      </c>
      <c r="J2228" s="2">
        <v>45916</v>
      </c>
      <c r="K2228" s="2">
        <v>45901</v>
      </c>
      <c r="L2228" s="1" t="str">
        <f t="shared" si="229"/>
        <v>ter</v>
      </c>
      <c r="M2228" s="1" t="str">
        <f t="shared" si="230"/>
        <v>set</v>
      </c>
      <c r="N2228">
        <f t="shared" si="231"/>
        <v>2025</v>
      </c>
      <c r="O2228" s="2"/>
      <c r="P2228" t="str">
        <f t="shared" si="228"/>
        <v>142645916</v>
      </c>
    </row>
    <row r="2229" spans="1:16" x14ac:dyDescent="0.3">
      <c r="A2229">
        <v>1426</v>
      </c>
      <c r="B2229">
        <v>21</v>
      </c>
      <c r="C2229" t="s">
        <v>26</v>
      </c>
      <c r="D2229" t="s">
        <v>22</v>
      </c>
      <c r="E2229" t="s">
        <v>17</v>
      </c>
      <c r="F2229" t="s">
        <v>21</v>
      </c>
      <c r="G2229" t="s">
        <v>40</v>
      </c>
      <c r="H2229" t="s">
        <v>25</v>
      </c>
      <c r="I2229" s="1">
        <v>3</v>
      </c>
      <c r="J2229" s="2">
        <v>45962</v>
      </c>
      <c r="K2229" s="2">
        <v>45962</v>
      </c>
      <c r="L2229" s="1" t="str">
        <f t="shared" si="229"/>
        <v>sáb</v>
      </c>
      <c r="M2229" s="1" t="str">
        <f t="shared" si="230"/>
        <v>nov</v>
      </c>
      <c r="N2229">
        <f t="shared" si="231"/>
        <v>2025</v>
      </c>
      <c r="O2229" s="2"/>
      <c r="P2229" t="str">
        <f t="shared" si="228"/>
        <v>142645962</v>
      </c>
    </row>
    <row r="2230" spans="1:16" x14ac:dyDescent="0.3">
      <c r="A2230">
        <v>1426</v>
      </c>
      <c r="B2230">
        <v>21</v>
      </c>
      <c r="C2230" t="s">
        <v>26</v>
      </c>
      <c r="D2230" t="s">
        <v>22</v>
      </c>
      <c r="E2230" t="s">
        <v>17</v>
      </c>
      <c r="F2230" t="s">
        <v>21</v>
      </c>
      <c r="G2230" t="s">
        <v>40</v>
      </c>
      <c r="H2230" t="s">
        <v>25</v>
      </c>
      <c r="I2230" s="1">
        <v>3</v>
      </c>
      <c r="J2230" s="2">
        <v>46113</v>
      </c>
      <c r="K2230" s="2">
        <v>46113</v>
      </c>
      <c r="L2230" s="1" t="s">
        <v>50</v>
      </c>
      <c r="M2230" s="1" t="s">
        <v>48</v>
      </c>
      <c r="N2230">
        <v>2025</v>
      </c>
      <c r="O2230" s="2"/>
      <c r="P2230" t="str">
        <f t="shared" si="228"/>
        <v>142646113</v>
      </c>
    </row>
    <row r="2231" spans="1:16" x14ac:dyDescent="0.3">
      <c r="A2231">
        <v>1426</v>
      </c>
      <c r="B2231">
        <v>21</v>
      </c>
      <c r="C2231" t="s">
        <v>26</v>
      </c>
      <c r="D2231" t="s">
        <v>22</v>
      </c>
      <c r="E2231" t="s">
        <v>17</v>
      </c>
      <c r="F2231" t="s">
        <v>21</v>
      </c>
      <c r="G2231" t="s">
        <v>40</v>
      </c>
      <c r="H2231" t="s">
        <v>25</v>
      </c>
      <c r="I2231" s="1">
        <v>3</v>
      </c>
      <c r="J2231" s="2">
        <v>46162</v>
      </c>
      <c r="K2231" s="2">
        <v>46143</v>
      </c>
      <c r="L2231" s="1" t="s">
        <v>50</v>
      </c>
      <c r="M2231" s="1" t="s">
        <v>49</v>
      </c>
      <c r="N2231">
        <v>2025</v>
      </c>
      <c r="O2231" s="2"/>
      <c r="P2231" t="str">
        <f t="shared" si="228"/>
        <v>142646162</v>
      </c>
    </row>
    <row r="2232" spans="1:16" x14ac:dyDescent="0.3">
      <c r="A2232">
        <v>1427</v>
      </c>
      <c r="B2232">
        <v>50</v>
      </c>
      <c r="C2232" t="s">
        <v>15</v>
      </c>
      <c r="D2232" t="s">
        <v>22</v>
      </c>
      <c r="E2232" t="s">
        <v>17</v>
      </c>
      <c r="F2232" t="s">
        <v>23</v>
      </c>
      <c r="G2232" t="s">
        <v>40</v>
      </c>
      <c r="H2232" t="s">
        <v>25</v>
      </c>
      <c r="I2232" s="1">
        <v>3</v>
      </c>
      <c r="J2232" s="2">
        <v>45804</v>
      </c>
      <c r="K2232" s="2">
        <v>45778</v>
      </c>
      <c r="L2232" s="1" t="str">
        <f t="shared" ref="L2232:L2237" si="232">TEXT(J2232,"ddd")</f>
        <v>ter</v>
      </c>
      <c r="M2232" s="1" t="str">
        <f t="shared" ref="M2232:M2237" si="233">TEXT($J2232,"mmm")</f>
        <v>mai</v>
      </c>
      <c r="N2232">
        <f t="shared" ref="N2232:N2237" si="234">YEAR(J2232)</f>
        <v>2025</v>
      </c>
      <c r="O2232" s="2"/>
      <c r="P2232" t="str">
        <f t="shared" si="228"/>
        <v>142745804</v>
      </c>
    </row>
    <row r="2233" spans="1:16" x14ac:dyDescent="0.3">
      <c r="A2233">
        <v>1427</v>
      </c>
      <c r="B2233">
        <v>50</v>
      </c>
      <c r="C2233" t="s">
        <v>15</v>
      </c>
      <c r="D2233" t="s">
        <v>22</v>
      </c>
      <c r="E2233" t="s">
        <v>17</v>
      </c>
      <c r="F2233" t="s">
        <v>23</v>
      </c>
      <c r="G2233" t="s">
        <v>40</v>
      </c>
      <c r="H2233" t="s">
        <v>25</v>
      </c>
      <c r="I2233" s="1">
        <v>3</v>
      </c>
      <c r="J2233" s="2">
        <v>45938</v>
      </c>
      <c r="K2233" s="2">
        <v>45931</v>
      </c>
      <c r="L2233" s="1" t="str">
        <f t="shared" si="232"/>
        <v>qua</v>
      </c>
      <c r="M2233" s="1" t="str">
        <f t="shared" si="233"/>
        <v>out</v>
      </c>
      <c r="N2233">
        <f t="shared" si="234"/>
        <v>2025</v>
      </c>
      <c r="O2233" s="2"/>
      <c r="P2233" t="str">
        <f t="shared" si="228"/>
        <v>142745938</v>
      </c>
    </row>
    <row r="2234" spans="1:16" x14ac:dyDescent="0.3">
      <c r="A2234">
        <v>1427</v>
      </c>
      <c r="B2234">
        <v>50</v>
      </c>
      <c r="C2234" t="s">
        <v>15</v>
      </c>
      <c r="D2234" t="s">
        <v>22</v>
      </c>
      <c r="E2234" t="s">
        <v>17</v>
      </c>
      <c r="F2234" t="s">
        <v>23</v>
      </c>
      <c r="G2234" t="s">
        <v>40</v>
      </c>
      <c r="H2234" t="s">
        <v>25</v>
      </c>
      <c r="I2234" s="1">
        <v>3</v>
      </c>
      <c r="J2234" s="2">
        <v>46055</v>
      </c>
      <c r="K2234" s="2">
        <v>46054</v>
      </c>
      <c r="L2234" s="1" t="str">
        <f t="shared" si="232"/>
        <v>seg</v>
      </c>
      <c r="M2234" s="1" t="str">
        <f t="shared" si="233"/>
        <v>fev</v>
      </c>
      <c r="N2234">
        <f t="shared" si="234"/>
        <v>2026</v>
      </c>
      <c r="O2234" s="2"/>
      <c r="P2234" t="str">
        <f t="shared" si="228"/>
        <v>142746055</v>
      </c>
    </row>
    <row r="2235" spans="1:16" x14ac:dyDescent="0.3">
      <c r="A2235">
        <v>1427</v>
      </c>
      <c r="B2235">
        <v>50</v>
      </c>
      <c r="C2235" t="s">
        <v>15</v>
      </c>
      <c r="D2235" t="s">
        <v>22</v>
      </c>
      <c r="E2235" t="s">
        <v>17</v>
      </c>
      <c r="F2235" t="s">
        <v>23</v>
      </c>
      <c r="G2235" t="s">
        <v>40</v>
      </c>
      <c r="H2235" t="s">
        <v>25</v>
      </c>
      <c r="I2235" s="1">
        <v>3</v>
      </c>
      <c r="J2235" s="2">
        <v>46060</v>
      </c>
      <c r="K2235" s="2">
        <v>46054</v>
      </c>
      <c r="L2235" s="1" t="str">
        <f t="shared" si="232"/>
        <v>sáb</v>
      </c>
      <c r="M2235" s="1" t="str">
        <f t="shared" si="233"/>
        <v>fev</v>
      </c>
      <c r="N2235">
        <f t="shared" si="234"/>
        <v>2026</v>
      </c>
      <c r="O2235" s="2"/>
      <c r="P2235" t="str">
        <f t="shared" si="228"/>
        <v>142746060</v>
      </c>
    </row>
    <row r="2236" spans="1:16" x14ac:dyDescent="0.3">
      <c r="A2236">
        <v>1427</v>
      </c>
      <c r="B2236">
        <v>50</v>
      </c>
      <c r="C2236" t="s">
        <v>15</v>
      </c>
      <c r="D2236" t="s">
        <v>22</v>
      </c>
      <c r="E2236" t="s">
        <v>17</v>
      </c>
      <c r="F2236" t="s">
        <v>23</v>
      </c>
      <c r="G2236" t="s">
        <v>40</v>
      </c>
      <c r="H2236" t="s">
        <v>25</v>
      </c>
      <c r="I2236" s="1">
        <v>3</v>
      </c>
      <c r="J2236" s="2">
        <v>46078</v>
      </c>
      <c r="K2236" s="2">
        <v>46054</v>
      </c>
      <c r="L2236" s="1" t="str">
        <f t="shared" si="232"/>
        <v>qua</v>
      </c>
      <c r="M2236" s="1" t="str">
        <f t="shared" si="233"/>
        <v>fev</v>
      </c>
      <c r="N2236">
        <f t="shared" si="234"/>
        <v>2026</v>
      </c>
      <c r="O2236" s="2"/>
      <c r="P2236" t="str">
        <f t="shared" si="228"/>
        <v>142746078</v>
      </c>
    </row>
    <row r="2237" spans="1:16" x14ac:dyDescent="0.3">
      <c r="A2237">
        <v>1427</v>
      </c>
      <c r="B2237">
        <v>50</v>
      </c>
      <c r="C2237" t="s">
        <v>15</v>
      </c>
      <c r="D2237" t="s">
        <v>22</v>
      </c>
      <c r="E2237" t="s">
        <v>17</v>
      </c>
      <c r="F2237" t="s">
        <v>23</v>
      </c>
      <c r="G2237" t="s">
        <v>40</v>
      </c>
      <c r="H2237" t="s">
        <v>25</v>
      </c>
      <c r="I2237" s="1">
        <v>3</v>
      </c>
      <c r="J2237" s="2">
        <v>46081</v>
      </c>
      <c r="K2237" s="2">
        <v>46054</v>
      </c>
      <c r="L2237" s="1" t="str">
        <f t="shared" si="232"/>
        <v>sáb</v>
      </c>
      <c r="M2237" s="1" t="str">
        <f t="shared" si="233"/>
        <v>fev</v>
      </c>
      <c r="N2237">
        <f t="shared" si="234"/>
        <v>2026</v>
      </c>
      <c r="O2237" s="2"/>
      <c r="P2237" t="str">
        <f t="shared" si="228"/>
        <v>142746081</v>
      </c>
    </row>
    <row r="2238" spans="1:16" x14ac:dyDescent="0.3">
      <c r="A2238">
        <v>1427</v>
      </c>
      <c r="B2238">
        <v>50</v>
      </c>
      <c r="C2238" t="s">
        <v>15</v>
      </c>
      <c r="D2238" t="s">
        <v>22</v>
      </c>
      <c r="E2238" t="s">
        <v>17</v>
      </c>
      <c r="F2238" t="s">
        <v>23</v>
      </c>
      <c r="G2238" t="s">
        <v>40</v>
      </c>
      <c r="H2238" t="s">
        <v>25</v>
      </c>
      <c r="I2238" s="1">
        <v>3</v>
      </c>
      <c r="J2238" s="2">
        <v>46169</v>
      </c>
      <c r="K2238" s="2">
        <v>46143</v>
      </c>
      <c r="L2238" s="1" t="s">
        <v>50</v>
      </c>
      <c r="M2238" s="1" t="s">
        <v>49</v>
      </c>
      <c r="N2238">
        <v>2025</v>
      </c>
      <c r="O2238" s="2"/>
      <c r="P2238" t="str">
        <f t="shared" si="228"/>
        <v>142746169</v>
      </c>
    </row>
    <row r="2239" spans="1:16" x14ac:dyDescent="0.3">
      <c r="A2239">
        <v>1428</v>
      </c>
      <c r="B2239">
        <v>41</v>
      </c>
      <c r="C2239" t="s">
        <v>15</v>
      </c>
      <c r="D2239" t="s">
        <v>29</v>
      </c>
      <c r="E2239" t="s">
        <v>17</v>
      </c>
      <c r="F2239" t="s">
        <v>23</v>
      </c>
      <c r="G2239" t="s">
        <v>42</v>
      </c>
      <c r="H2239" t="s">
        <v>20</v>
      </c>
      <c r="I2239" s="1">
        <v>1</v>
      </c>
      <c r="J2239" s="2">
        <v>45807</v>
      </c>
      <c r="K2239" s="2">
        <v>45778</v>
      </c>
      <c r="L2239" s="1" t="str">
        <f t="shared" ref="L2239:L2270" si="235">TEXT(J2239,"ddd")</f>
        <v>sex</v>
      </c>
      <c r="M2239" s="1" t="str">
        <f t="shared" ref="M2239:M2270" si="236">TEXT($J2239,"mmm")</f>
        <v>mai</v>
      </c>
      <c r="N2239">
        <f t="shared" ref="N2239:N2270" si="237">YEAR(J2239)</f>
        <v>2025</v>
      </c>
      <c r="O2239" s="2">
        <f>_xlfn.XLOOKUP(A2239,Colaboradores!$A:$A,Colaboradores!$S:$S,"",0)</f>
        <v>45946</v>
      </c>
      <c r="P2239" t="str">
        <f t="shared" si="228"/>
        <v>142845807</v>
      </c>
    </row>
    <row r="2240" spans="1:16" x14ac:dyDescent="0.3">
      <c r="A2240">
        <v>1428</v>
      </c>
      <c r="B2240">
        <v>41</v>
      </c>
      <c r="C2240" t="s">
        <v>15</v>
      </c>
      <c r="D2240" t="s">
        <v>29</v>
      </c>
      <c r="E2240" t="s">
        <v>17</v>
      </c>
      <c r="F2240" t="s">
        <v>23</v>
      </c>
      <c r="G2240" t="s">
        <v>44</v>
      </c>
      <c r="H2240" t="s">
        <v>20</v>
      </c>
      <c r="I2240" s="1">
        <v>1</v>
      </c>
      <c r="J2240" s="2">
        <v>45810</v>
      </c>
      <c r="K2240" s="2">
        <v>45809</v>
      </c>
      <c r="L2240" s="1" t="str">
        <f t="shared" si="235"/>
        <v>seg</v>
      </c>
      <c r="M2240" s="1" t="str">
        <f t="shared" si="236"/>
        <v>jun</v>
      </c>
      <c r="N2240">
        <f t="shared" si="237"/>
        <v>2025</v>
      </c>
      <c r="O2240" s="2">
        <f>_xlfn.XLOOKUP(A2240,Colaboradores!$A:$A,Colaboradores!$S:$S,"",0)</f>
        <v>45946</v>
      </c>
      <c r="P2240" t="str">
        <f t="shared" si="228"/>
        <v>142845810</v>
      </c>
    </row>
    <row r="2241" spans="1:16" x14ac:dyDescent="0.3">
      <c r="A2241">
        <v>1428</v>
      </c>
      <c r="B2241">
        <v>41</v>
      </c>
      <c r="C2241" t="s">
        <v>15</v>
      </c>
      <c r="D2241" t="s">
        <v>29</v>
      </c>
      <c r="E2241" t="s">
        <v>17</v>
      </c>
      <c r="F2241" t="s">
        <v>23</v>
      </c>
      <c r="G2241" t="s">
        <v>41</v>
      </c>
      <c r="H2241" t="s">
        <v>20</v>
      </c>
      <c r="I2241" s="1">
        <v>1</v>
      </c>
      <c r="J2241" s="2">
        <v>45842</v>
      </c>
      <c r="K2241" s="2">
        <v>45839</v>
      </c>
      <c r="L2241" s="1" t="str">
        <f t="shared" si="235"/>
        <v>sex</v>
      </c>
      <c r="M2241" s="1" t="str">
        <f t="shared" si="236"/>
        <v>jul</v>
      </c>
      <c r="N2241">
        <f t="shared" si="237"/>
        <v>2025</v>
      </c>
      <c r="O2241" s="2">
        <f>_xlfn.XLOOKUP(A2241,Colaboradores!$A:$A,Colaboradores!$S:$S,"",0)</f>
        <v>45946</v>
      </c>
      <c r="P2241" t="str">
        <f t="shared" ref="P2241:P2304" si="238">CONCATENATE(A2241,J2241)</f>
        <v>142845842</v>
      </c>
    </row>
    <row r="2242" spans="1:16" x14ac:dyDescent="0.3">
      <c r="A2242">
        <v>1428</v>
      </c>
      <c r="B2242">
        <v>41</v>
      </c>
      <c r="C2242" t="s">
        <v>15</v>
      </c>
      <c r="D2242" t="s">
        <v>29</v>
      </c>
      <c r="E2242" t="s">
        <v>17</v>
      </c>
      <c r="F2242" t="s">
        <v>23</v>
      </c>
      <c r="G2242" t="s">
        <v>44</v>
      </c>
      <c r="H2242" t="s">
        <v>20</v>
      </c>
      <c r="I2242" s="1">
        <v>1</v>
      </c>
      <c r="J2242" s="2">
        <v>45908</v>
      </c>
      <c r="K2242" s="2">
        <v>45901</v>
      </c>
      <c r="L2242" s="1" t="str">
        <f t="shared" si="235"/>
        <v>seg</v>
      </c>
      <c r="M2242" s="1" t="str">
        <f t="shared" si="236"/>
        <v>set</v>
      </c>
      <c r="N2242">
        <f t="shared" si="237"/>
        <v>2025</v>
      </c>
      <c r="O2242" s="2">
        <f>_xlfn.XLOOKUP(A2242,Colaboradores!$A:$A,Colaboradores!$S:$S,"",0)</f>
        <v>45946</v>
      </c>
      <c r="P2242" t="str">
        <f t="shared" si="238"/>
        <v>142845908</v>
      </c>
    </row>
    <row r="2243" spans="1:16" x14ac:dyDescent="0.3">
      <c r="A2243">
        <v>1428</v>
      </c>
      <c r="B2243">
        <v>41</v>
      </c>
      <c r="C2243" t="s">
        <v>15</v>
      </c>
      <c r="D2243" t="s">
        <v>29</v>
      </c>
      <c r="E2243" t="s">
        <v>17</v>
      </c>
      <c r="F2243" t="s">
        <v>23</v>
      </c>
      <c r="G2243" t="s">
        <v>44</v>
      </c>
      <c r="H2243" t="s">
        <v>20</v>
      </c>
      <c r="I2243" s="1">
        <v>1</v>
      </c>
      <c r="J2243" s="2">
        <v>45909</v>
      </c>
      <c r="K2243" s="2">
        <v>45901</v>
      </c>
      <c r="L2243" s="1" t="str">
        <f t="shared" si="235"/>
        <v>ter</v>
      </c>
      <c r="M2243" s="1" t="str">
        <f t="shared" si="236"/>
        <v>set</v>
      </c>
      <c r="N2243">
        <f t="shared" si="237"/>
        <v>2025</v>
      </c>
      <c r="O2243" s="2">
        <f>_xlfn.XLOOKUP(A2243,Colaboradores!$A:$A,Colaboradores!$S:$S,"",0)</f>
        <v>45946</v>
      </c>
      <c r="P2243" t="str">
        <f t="shared" si="238"/>
        <v>142845909</v>
      </c>
    </row>
    <row r="2244" spans="1:16" x14ac:dyDescent="0.3">
      <c r="A2244">
        <v>1428</v>
      </c>
      <c r="B2244">
        <v>41</v>
      </c>
      <c r="C2244" t="s">
        <v>15</v>
      </c>
      <c r="D2244" t="s">
        <v>29</v>
      </c>
      <c r="E2244" t="s">
        <v>17</v>
      </c>
      <c r="F2244" t="s">
        <v>23</v>
      </c>
      <c r="G2244" t="s">
        <v>42</v>
      </c>
      <c r="H2244" t="s">
        <v>20</v>
      </c>
      <c r="I2244" s="1">
        <v>1</v>
      </c>
      <c r="J2244" s="2">
        <v>45910</v>
      </c>
      <c r="K2244" s="2">
        <v>45901</v>
      </c>
      <c r="L2244" s="1" t="str">
        <f t="shared" si="235"/>
        <v>qua</v>
      </c>
      <c r="M2244" s="1" t="str">
        <f t="shared" si="236"/>
        <v>set</v>
      </c>
      <c r="N2244">
        <f t="shared" si="237"/>
        <v>2025</v>
      </c>
      <c r="O2244" s="2">
        <f>_xlfn.XLOOKUP(A2244,Colaboradores!$A:$A,Colaboradores!$S:$S,"",0)</f>
        <v>45946</v>
      </c>
      <c r="P2244" t="str">
        <f t="shared" si="238"/>
        <v>142845910</v>
      </c>
    </row>
    <row r="2245" spans="1:16" x14ac:dyDescent="0.3">
      <c r="A2245">
        <v>1429</v>
      </c>
      <c r="B2245">
        <v>36</v>
      </c>
      <c r="C2245" t="s">
        <v>26</v>
      </c>
      <c r="D2245" t="s">
        <v>27</v>
      </c>
      <c r="E2245" t="s">
        <v>17</v>
      </c>
      <c r="F2245" t="s">
        <v>23</v>
      </c>
      <c r="G2245" t="s">
        <v>44</v>
      </c>
      <c r="H2245" t="s">
        <v>20</v>
      </c>
      <c r="I2245" s="1">
        <v>3</v>
      </c>
      <c r="J2245" s="2">
        <v>45911</v>
      </c>
      <c r="K2245" s="2">
        <v>45901</v>
      </c>
      <c r="L2245" s="1" t="str">
        <f t="shared" si="235"/>
        <v>qui</v>
      </c>
      <c r="M2245" s="1" t="str">
        <f t="shared" si="236"/>
        <v>set</v>
      </c>
      <c r="N2245">
        <f t="shared" si="237"/>
        <v>2025</v>
      </c>
      <c r="O2245" s="2">
        <f>_xlfn.XLOOKUP(A2245,Colaboradores!$A:$A,Colaboradores!$S:$S,"",0)</f>
        <v>46148</v>
      </c>
      <c r="P2245" t="str">
        <f t="shared" si="238"/>
        <v>142945911</v>
      </c>
    </row>
    <row r="2246" spans="1:16" x14ac:dyDescent="0.3">
      <c r="A2246">
        <v>1429</v>
      </c>
      <c r="B2246">
        <v>36</v>
      </c>
      <c r="C2246" t="s">
        <v>26</v>
      </c>
      <c r="D2246" t="s">
        <v>27</v>
      </c>
      <c r="E2246" t="s">
        <v>17</v>
      </c>
      <c r="F2246" t="s">
        <v>23</v>
      </c>
      <c r="G2246" t="s">
        <v>41</v>
      </c>
      <c r="H2246" t="s">
        <v>20</v>
      </c>
      <c r="I2246" s="1">
        <v>3</v>
      </c>
      <c r="J2246" s="2">
        <v>45935</v>
      </c>
      <c r="K2246" s="2">
        <v>45931</v>
      </c>
      <c r="L2246" s="1" t="str">
        <f t="shared" si="235"/>
        <v>dom</v>
      </c>
      <c r="M2246" s="1" t="str">
        <f t="shared" si="236"/>
        <v>out</v>
      </c>
      <c r="N2246">
        <f t="shared" si="237"/>
        <v>2025</v>
      </c>
      <c r="O2246" s="2">
        <f>_xlfn.XLOOKUP(A2246,Colaboradores!$A:$A,Colaboradores!$S:$S,"",0)</f>
        <v>46148</v>
      </c>
      <c r="P2246" t="str">
        <f t="shared" si="238"/>
        <v>142945935</v>
      </c>
    </row>
    <row r="2247" spans="1:16" x14ac:dyDescent="0.3">
      <c r="A2247">
        <v>1429</v>
      </c>
      <c r="B2247">
        <v>36</v>
      </c>
      <c r="C2247" t="s">
        <v>26</v>
      </c>
      <c r="D2247" t="s">
        <v>27</v>
      </c>
      <c r="E2247" t="s">
        <v>17</v>
      </c>
      <c r="F2247" t="s">
        <v>23</v>
      </c>
      <c r="G2247" t="s">
        <v>41</v>
      </c>
      <c r="H2247" t="s">
        <v>20</v>
      </c>
      <c r="I2247" s="1">
        <v>3</v>
      </c>
      <c r="J2247" s="2">
        <v>45951</v>
      </c>
      <c r="K2247" s="2">
        <v>45931</v>
      </c>
      <c r="L2247" s="1" t="str">
        <f t="shared" si="235"/>
        <v>ter</v>
      </c>
      <c r="M2247" s="1" t="str">
        <f t="shared" si="236"/>
        <v>out</v>
      </c>
      <c r="N2247">
        <f t="shared" si="237"/>
        <v>2025</v>
      </c>
      <c r="O2247" s="2">
        <f>_xlfn.XLOOKUP(A2247,Colaboradores!$A:$A,Colaboradores!$S:$S,"",0)</f>
        <v>46148</v>
      </c>
      <c r="P2247" t="str">
        <f t="shared" si="238"/>
        <v>142945951</v>
      </c>
    </row>
    <row r="2248" spans="1:16" x14ac:dyDescent="0.3">
      <c r="A2248">
        <v>1429</v>
      </c>
      <c r="B2248">
        <v>36</v>
      </c>
      <c r="C2248" t="s">
        <v>26</v>
      </c>
      <c r="D2248" t="s">
        <v>27</v>
      </c>
      <c r="E2248" t="s">
        <v>17</v>
      </c>
      <c r="F2248" t="s">
        <v>23</v>
      </c>
      <c r="G2248" t="s">
        <v>44</v>
      </c>
      <c r="H2248" t="s">
        <v>20</v>
      </c>
      <c r="I2248" s="1">
        <v>3</v>
      </c>
      <c r="J2248" s="2">
        <v>46193</v>
      </c>
      <c r="K2248" s="2">
        <v>46023</v>
      </c>
      <c r="L2248" s="1" t="str">
        <f t="shared" si="235"/>
        <v>sáb</v>
      </c>
      <c r="M2248" s="1" t="str">
        <f t="shared" si="236"/>
        <v>jun</v>
      </c>
      <c r="N2248">
        <f t="shared" si="237"/>
        <v>2026</v>
      </c>
      <c r="O2248" s="2">
        <f>_xlfn.XLOOKUP(A2248,Colaboradores!$A:$A,Colaboradores!$S:$S,"",0)</f>
        <v>46148</v>
      </c>
      <c r="P2248" t="str">
        <f t="shared" si="238"/>
        <v>142946193</v>
      </c>
    </row>
    <row r="2249" spans="1:16" x14ac:dyDescent="0.3">
      <c r="A2249">
        <v>1429</v>
      </c>
      <c r="B2249">
        <v>36</v>
      </c>
      <c r="C2249" t="s">
        <v>26</v>
      </c>
      <c r="D2249" t="s">
        <v>27</v>
      </c>
      <c r="E2249" t="s">
        <v>17</v>
      </c>
      <c r="F2249" t="s">
        <v>23</v>
      </c>
      <c r="G2249" t="s">
        <v>41</v>
      </c>
      <c r="H2249" t="s">
        <v>20</v>
      </c>
      <c r="I2249" s="1">
        <v>3</v>
      </c>
      <c r="J2249" s="2">
        <v>46074</v>
      </c>
      <c r="K2249" s="2">
        <v>46054</v>
      </c>
      <c r="L2249" s="1" t="str">
        <f t="shared" si="235"/>
        <v>sáb</v>
      </c>
      <c r="M2249" s="1" t="str">
        <f t="shared" si="236"/>
        <v>fev</v>
      </c>
      <c r="N2249">
        <f t="shared" si="237"/>
        <v>2026</v>
      </c>
      <c r="O2249" s="2">
        <f>_xlfn.XLOOKUP(A2249,Colaboradores!$A:$A,Colaboradores!$S:$S,"",0)</f>
        <v>46148</v>
      </c>
      <c r="P2249" t="str">
        <f t="shared" si="238"/>
        <v>142946074</v>
      </c>
    </row>
    <row r="2250" spans="1:16" x14ac:dyDescent="0.3">
      <c r="A2250">
        <v>1429</v>
      </c>
      <c r="B2250">
        <v>36</v>
      </c>
      <c r="C2250" t="s">
        <v>26</v>
      </c>
      <c r="D2250" t="s">
        <v>27</v>
      </c>
      <c r="E2250" t="s">
        <v>17</v>
      </c>
      <c r="F2250" t="s">
        <v>23</v>
      </c>
      <c r="G2250" t="s">
        <v>41</v>
      </c>
      <c r="H2250" t="s">
        <v>20</v>
      </c>
      <c r="I2250" s="1">
        <v>3</v>
      </c>
      <c r="J2250" s="2">
        <v>46110</v>
      </c>
      <c r="K2250" s="2">
        <v>46082</v>
      </c>
      <c r="L2250" s="1" t="str">
        <f t="shared" si="235"/>
        <v>dom</v>
      </c>
      <c r="M2250" s="1" t="str">
        <f t="shared" si="236"/>
        <v>mar</v>
      </c>
      <c r="N2250">
        <f t="shared" si="237"/>
        <v>2026</v>
      </c>
      <c r="O2250" s="2">
        <f>_xlfn.XLOOKUP(A2250,Colaboradores!$A:$A,Colaboradores!$S:$S,"",0)</f>
        <v>46148</v>
      </c>
      <c r="P2250" t="str">
        <f t="shared" si="238"/>
        <v>142946110</v>
      </c>
    </row>
    <row r="2251" spans="1:16" x14ac:dyDescent="0.3">
      <c r="A2251">
        <v>1430</v>
      </c>
      <c r="B2251">
        <v>27</v>
      </c>
      <c r="C2251" t="s">
        <v>26</v>
      </c>
      <c r="D2251" t="s">
        <v>16</v>
      </c>
      <c r="E2251" t="s">
        <v>17</v>
      </c>
      <c r="F2251" t="s">
        <v>18</v>
      </c>
      <c r="G2251" t="s">
        <v>41</v>
      </c>
      <c r="H2251" t="s">
        <v>25</v>
      </c>
      <c r="I2251" s="1">
        <v>1</v>
      </c>
      <c r="J2251" s="2">
        <v>45864</v>
      </c>
      <c r="K2251" s="2">
        <v>45839</v>
      </c>
      <c r="L2251" s="1" t="str">
        <f t="shared" si="235"/>
        <v>sáb</v>
      </c>
      <c r="M2251" s="1" t="str">
        <f t="shared" si="236"/>
        <v>jul</v>
      </c>
      <c r="N2251">
        <f t="shared" si="237"/>
        <v>2025</v>
      </c>
      <c r="O2251" s="2"/>
      <c r="P2251" t="str">
        <f t="shared" si="238"/>
        <v>143045864</v>
      </c>
    </row>
    <row r="2252" spans="1:16" x14ac:dyDescent="0.3">
      <c r="A2252">
        <v>1430</v>
      </c>
      <c r="B2252">
        <v>27</v>
      </c>
      <c r="C2252" t="s">
        <v>26</v>
      </c>
      <c r="D2252" t="s">
        <v>16</v>
      </c>
      <c r="E2252" t="s">
        <v>17</v>
      </c>
      <c r="F2252" t="s">
        <v>18</v>
      </c>
      <c r="G2252" t="s">
        <v>41</v>
      </c>
      <c r="H2252" t="s">
        <v>25</v>
      </c>
      <c r="I2252" s="1">
        <v>1</v>
      </c>
      <c r="J2252" s="2">
        <v>45924</v>
      </c>
      <c r="K2252" s="2">
        <v>45901</v>
      </c>
      <c r="L2252" s="1" t="str">
        <f t="shared" si="235"/>
        <v>qua</v>
      </c>
      <c r="M2252" s="1" t="str">
        <f t="shared" si="236"/>
        <v>set</v>
      </c>
      <c r="N2252">
        <f t="shared" si="237"/>
        <v>2025</v>
      </c>
      <c r="O2252" s="2"/>
      <c r="P2252" t="str">
        <f t="shared" si="238"/>
        <v>143045924</v>
      </c>
    </row>
    <row r="2253" spans="1:16" x14ac:dyDescent="0.3">
      <c r="A2253">
        <v>1430</v>
      </c>
      <c r="B2253">
        <v>27</v>
      </c>
      <c r="C2253" t="s">
        <v>26</v>
      </c>
      <c r="D2253" t="s">
        <v>16</v>
      </c>
      <c r="E2253" t="s">
        <v>17</v>
      </c>
      <c r="F2253" t="s">
        <v>18</v>
      </c>
      <c r="G2253" t="s">
        <v>41</v>
      </c>
      <c r="H2253" t="s">
        <v>25</v>
      </c>
      <c r="I2253" s="1">
        <v>1</v>
      </c>
      <c r="J2253" s="2">
        <v>45929</v>
      </c>
      <c r="K2253" s="2">
        <v>45901</v>
      </c>
      <c r="L2253" s="1" t="str">
        <f t="shared" si="235"/>
        <v>seg</v>
      </c>
      <c r="M2253" s="1" t="str">
        <f t="shared" si="236"/>
        <v>set</v>
      </c>
      <c r="N2253">
        <f t="shared" si="237"/>
        <v>2025</v>
      </c>
      <c r="O2253" s="2"/>
      <c r="P2253" t="str">
        <f t="shared" si="238"/>
        <v>143045929</v>
      </c>
    </row>
    <row r="2254" spans="1:16" x14ac:dyDescent="0.3">
      <c r="A2254">
        <v>1430</v>
      </c>
      <c r="B2254">
        <v>27</v>
      </c>
      <c r="C2254" t="s">
        <v>26</v>
      </c>
      <c r="D2254" t="s">
        <v>16</v>
      </c>
      <c r="E2254" t="s">
        <v>17</v>
      </c>
      <c r="F2254" t="s">
        <v>18</v>
      </c>
      <c r="G2254" t="s">
        <v>41</v>
      </c>
      <c r="H2254" t="s">
        <v>25</v>
      </c>
      <c r="I2254" s="1">
        <v>1</v>
      </c>
      <c r="J2254" s="2">
        <v>45939</v>
      </c>
      <c r="K2254" s="2">
        <v>45931</v>
      </c>
      <c r="L2254" s="1" t="str">
        <f t="shared" si="235"/>
        <v>qui</v>
      </c>
      <c r="M2254" s="1" t="str">
        <f t="shared" si="236"/>
        <v>out</v>
      </c>
      <c r="N2254">
        <f t="shared" si="237"/>
        <v>2025</v>
      </c>
      <c r="O2254" s="2"/>
      <c r="P2254" t="str">
        <f t="shared" si="238"/>
        <v>143045939</v>
      </c>
    </row>
    <row r="2255" spans="1:16" x14ac:dyDescent="0.3">
      <c r="A2255">
        <v>1430</v>
      </c>
      <c r="B2255">
        <v>27</v>
      </c>
      <c r="C2255" t="s">
        <v>26</v>
      </c>
      <c r="D2255" t="s">
        <v>16</v>
      </c>
      <c r="E2255" t="s">
        <v>17</v>
      </c>
      <c r="F2255" t="s">
        <v>18</v>
      </c>
      <c r="G2255" t="s">
        <v>41</v>
      </c>
      <c r="H2255" t="s">
        <v>25</v>
      </c>
      <c r="I2255" s="1">
        <v>1</v>
      </c>
      <c r="J2255" s="2">
        <v>45967</v>
      </c>
      <c r="K2255" s="2">
        <v>45962</v>
      </c>
      <c r="L2255" s="1" t="str">
        <f t="shared" si="235"/>
        <v>qui</v>
      </c>
      <c r="M2255" s="1" t="str">
        <f t="shared" si="236"/>
        <v>nov</v>
      </c>
      <c r="N2255">
        <f t="shared" si="237"/>
        <v>2025</v>
      </c>
      <c r="O2255" s="2"/>
      <c r="P2255" t="str">
        <f t="shared" si="238"/>
        <v>143045967</v>
      </c>
    </row>
    <row r="2256" spans="1:16" x14ac:dyDescent="0.3">
      <c r="A2256">
        <v>1432</v>
      </c>
      <c r="B2256">
        <v>23</v>
      </c>
      <c r="C2256" t="s">
        <v>26</v>
      </c>
      <c r="D2256" t="s">
        <v>16</v>
      </c>
      <c r="E2256" t="s">
        <v>17</v>
      </c>
      <c r="F2256" t="s">
        <v>21</v>
      </c>
      <c r="G2256" t="s">
        <v>40</v>
      </c>
      <c r="H2256" t="s">
        <v>25</v>
      </c>
      <c r="I2256" s="1">
        <v>2</v>
      </c>
      <c r="J2256" s="2">
        <v>45853</v>
      </c>
      <c r="K2256" s="2">
        <v>45839</v>
      </c>
      <c r="L2256" s="1" t="str">
        <f t="shared" si="235"/>
        <v>ter</v>
      </c>
      <c r="M2256" s="1" t="str">
        <f t="shared" si="236"/>
        <v>jul</v>
      </c>
      <c r="N2256">
        <f t="shared" si="237"/>
        <v>2025</v>
      </c>
      <c r="O2256" s="2"/>
      <c r="P2256" t="str">
        <f t="shared" si="238"/>
        <v>143245853</v>
      </c>
    </row>
    <row r="2257" spans="1:16" x14ac:dyDescent="0.3">
      <c r="A2257">
        <v>1432</v>
      </c>
      <c r="B2257">
        <v>23</v>
      </c>
      <c r="C2257" t="s">
        <v>26</v>
      </c>
      <c r="D2257" t="s">
        <v>16</v>
      </c>
      <c r="E2257" t="s">
        <v>17</v>
      </c>
      <c r="F2257" t="s">
        <v>21</v>
      </c>
      <c r="G2257" t="s">
        <v>40</v>
      </c>
      <c r="H2257" t="s">
        <v>25</v>
      </c>
      <c r="I2257" s="1">
        <v>2</v>
      </c>
      <c r="J2257" s="2">
        <v>45879</v>
      </c>
      <c r="K2257" s="2">
        <v>45870</v>
      </c>
      <c r="L2257" s="1" t="str">
        <f t="shared" si="235"/>
        <v>dom</v>
      </c>
      <c r="M2257" s="1" t="str">
        <f t="shared" si="236"/>
        <v>ago</v>
      </c>
      <c r="N2257">
        <f t="shared" si="237"/>
        <v>2025</v>
      </c>
      <c r="O2257" s="2"/>
      <c r="P2257" t="str">
        <f t="shared" si="238"/>
        <v>143245879</v>
      </c>
    </row>
    <row r="2258" spans="1:16" x14ac:dyDescent="0.3">
      <c r="A2258">
        <v>1432</v>
      </c>
      <c r="B2258">
        <v>23</v>
      </c>
      <c r="C2258" t="s">
        <v>26</v>
      </c>
      <c r="D2258" t="s">
        <v>16</v>
      </c>
      <c r="E2258" t="s">
        <v>17</v>
      </c>
      <c r="F2258" t="s">
        <v>21</v>
      </c>
      <c r="G2258" t="s">
        <v>40</v>
      </c>
      <c r="H2258" t="s">
        <v>25</v>
      </c>
      <c r="I2258" s="1">
        <v>2</v>
      </c>
      <c r="J2258" s="2">
        <v>45889</v>
      </c>
      <c r="K2258" s="2">
        <v>45870</v>
      </c>
      <c r="L2258" s="1" t="str">
        <f t="shared" si="235"/>
        <v>qua</v>
      </c>
      <c r="M2258" s="1" t="str">
        <f t="shared" si="236"/>
        <v>ago</v>
      </c>
      <c r="N2258">
        <f t="shared" si="237"/>
        <v>2025</v>
      </c>
      <c r="O2258" s="2"/>
      <c r="P2258" t="str">
        <f t="shared" si="238"/>
        <v>143245889</v>
      </c>
    </row>
    <row r="2259" spans="1:16" x14ac:dyDescent="0.3">
      <c r="A2259">
        <v>1432</v>
      </c>
      <c r="B2259">
        <v>23</v>
      </c>
      <c r="C2259" t="s">
        <v>26</v>
      </c>
      <c r="D2259" t="s">
        <v>16</v>
      </c>
      <c r="E2259" t="s">
        <v>17</v>
      </c>
      <c r="F2259" t="s">
        <v>21</v>
      </c>
      <c r="G2259" t="s">
        <v>40</v>
      </c>
      <c r="H2259" t="s">
        <v>25</v>
      </c>
      <c r="I2259" s="1">
        <v>2</v>
      </c>
      <c r="J2259" s="2">
        <v>45922</v>
      </c>
      <c r="K2259" s="2">
        <v>45901</v>
      </c>
      <c r="L2259" s="1" t="str">
        <f t="shared" si="235"/>
        <v>seg</v>
      </c>
      <c r="M2259" s="1" t="str">
        <f t="shared" si="236"/>
        <v>set</v>
      </c>
      <c r="N2259">
        <f t="shared" si="237"/>
        <v>2025</v>
      </c>
      <c r="O2259" s="2"/>
      <c r="P2259" t="str">
        <f t="shared" si="238"/>
        <v>143245922</v>
      </c>
    </row>
    <row r="2260" spans="1:16" x14ac:dyDescent="0.3">
      <c r="A2260">
        <v>1432</v>
      </c>
      <c r="B2260">
        <v>23</v>
      </c>
      <c r="C2260" t="s">
        <v>26</v>
      </c>
      <c r="D2260" t="s">
        <v>16</v>
      </c>
      <c r="E2260" t="s">
        <v>17</v>
      </c>
      <c r="F2260" t="s">
        <v>21</v>
      </c>
      <c r="G2260" t="s">
        <v>40</v>
      </c>
      <c r="H2260" t="s">
        <v>25</v>
      </c>
      <c r="I2260" s="1">
        <v>2</v>
      </c>
      <c r="J2260" s="2">
        <v>45980</v>
      </c>
      <c r="K2260" s="2">
        <v>45962</v>
      </c>
      <c r="L2260" s="1" t="str">
        <f t="shared" si="235"/>
        <v>qua</v>
      </c>
      <c r="M2260" s="1" t="str">
        <f t="shared" si="236"/>
        <v>nov</v>
      </c>
      <c r="N2260">
        <f t="shared" si="237"/>
        <v>2025</v>
      </c>
      <c r="O2260" s="2"/>
      <c r="P2260" t="str">
        <f t="shared" si="238"/>
        <v>143245980</v>
      </c>
    </row>
    <row r="2261" spans="1:16" x14ac:dyDescent="0.3">
      <c r="A2261">
        <v>1432</v>
      </c>
      <c r="B2261">
        <v>23</v>
      </c>
      <c r="C2261" t="s">
        <v>26</v>
      </c>
      <c r="D2261" t="s">
        <v>16</v>
      </c>
      <c r="E2261" t="s">
        <v>17</v>
      </c>
      <c r="F2261" t="s">
        <v>21</v>
      </c>
      <c r="G2261" t="s">
        <v>41</v>
      </c>
      <c r="H2261" t="s">
        <v>25</v>
      </c>
      <c r="I2261" s="1">
        <v>2</v>
      </c>
      <c r="J2261" s="2">
        <v>46107</v>
      </c>
      <c r="K2261" s="2">
        <v>46082</v>
      </c>
      <c r="L2261" s="1" t="str">
        <f t="shared" si="235"/>
        <v>qui</v>
      </c>
      <c r="M2261" s="1" t="str">
        <f t="shared" si="236"/>
        <v>mar</v>
      </c>
      <c r="N2261">
        <f t="shared" si="237"/>
        <v>2026</v>
      </c>
      <c r="O2261" s="2"/>
      <c r="P2261" t="str">
        <f t="shared" si="238"/>
        <v>143246107</v>
      </c>
    </row>
    <row r="2262" spans="1:16" x14ac:dyDescent="0.3">
      <c r="A2262">
        <v>1432</v>
      </c>
      <c r="B2262">
        <v>23</v>
      </c>
      <c r="C2262" t="s">
        <v>26</v>
      </c>
      <c r="D2262" t="s">
        <v>16</v>
      </c>
      <c r="E2262" t="s">
        <v>17</v>
      </c>
      <c r="F2262" t="s">
        <v>21</v>
      </c>
      <c r="G2262" t="s">
        <v>41</v>
      </c>
      <c r="H2262" t="s">
        <v>25</v>
      </c>
      <c r="I2262" s="1">
        <v>2</v>
      </c>
      <c r="J2262" s="2">
        <v>46169</v>
      </c>
      <c r="K2262" s="2">
        <v>46143</v>
      </c>
      <c r="L2262" s="1" t="str">
        <f t="shared" si="235"/>
        <v>qua</v>
      </c>
      <c r="M2262" s="1" t="str">
        <f t="shared" si="236"/>
        <v>mai</v>
      </c>
      <c r="N2262">
        <f t="shared" si="237"/>
        <v>2026</v>
      </c>
      <c r="O2262" s="2"/>
      <c r="P2262" t="str">
        <f t="shared" si="238"/>
        <v>143246169</v>
      </c>
    </row>
    <row r="2263" spans="1:16" x14ac:dyDescent="0.3">
      <c r="A2263">
        <v>1433</v>
      </c>
      <c r="B2263">
        <v>34</v>
      </c>
      <c r="C2263" t="s">
        <v>15</v>
      </c>
      <c r="D2263" t="s">
        <v>29</v>
      </c>
      <c r="E2263" t="s">
        <v>17</v>
      </c>
      <c r="F2263" t="s">
        <v>23</v>
      </c>
      <c r="G2263" t="s">
        <v>41</v>
      </c>
      <c r="H2263" t="s">
        <v>20</v>
      </c>
      <c r="I2263" s="1">
        <v>3</v>
      </c>
      <c r="J2263" s="2">
        <v>45779</v>
      </c>
      <c r="K2263" s="2">
        <v>45778</v>
      </c>
      <c r="L2263" s="1" t="str">
        <f t="shared" si="235"/>
        <v>sex</v>
      </c>
      <c r="M2263" s="1" t="str">
        <f t="shared" si="236"/>
        <v>mai</v>
      </c>
      <c r="N2263">
        <f t="shared" si="237"/>
        <v>2025</v>
      </c>
      <c r="O2263" s="2">
        <f>_xlfn.XLOOKUP(A2263,Colaboradores!$A:$A,Colaboradores!$S:$S,"",0)</f>
        <v>46128</v>
      </c>
      <c r="P2263" t="str">
        <f t="shared" si="238"/>
        <v>143345779</v>
      </c>
    </row>
    <row r="2264" spans="1:16" x14ac:dyDescent="0.3">
      <c r="A2264">
        <v>1433</v>
      </c>
      <c r="B2264">
        <v>34</v>
      </c>
      <c r="C2264" t="s">
        <v>15</v>
      </c>
      <c r="D2264" t="s">
        <v>29</v>
      </c>
      <c r="E2264" t="s">
        <v>17</v>
      </c>
      <c r="F2264" t="s">
        <v>23</v>
      </c>
      <c r="G2264" t="s">
        <v>41</v>
      </c>
      <c r="H2264" t="s">
        <v>20</v>
      </c>
      <c r="I2264" s="1">
        <v>3</v>
      </c>
      <c r="J2264" s="2">
        <v>45909</v>
      </c>
      <c r="K2264" s="2">
        <v>45901</v>
      </c>
      <c r="L2264" s="1" t="str">
        <f t="shared" si="235"/>
        <v>ter</v>
      </c>
      <c r="M2264" s="1" t="str">
        <f t="shared" si="236"/>
        <v>set</v>
      </c>
      <c r="N2264">
        <f t="shared" si="237"/>
        <v>2025</v>
      </c>
      <c r="O2264" s="2">
        <f>_xlfn.XLOOKUP(A2264,Colaboradores!$A:$A,Colaboradores!$S:$S,"",0)</f>
        <v>46128</v>
      </c>
      <c r="P2264" t="str">
        <f t="shared" si="238"/>
        <v>143345909</v>
      </c>
    </row>
    <row r="2265" spans="1:16" x14ac:dyDescent="0.3">
      <c r="A2265">
        <v>1433</v>
      </c>
      <c r="B2265">
        <v>34</v>
      </c>
      <c r="C2265" t="s">
        <v>15</v>
      </c>
      <c r="D2265" t="s">
        <v>29</v>
      </c>
      <c r="E2265" t="s">
        <v>17</v>
      </c>
      <c r="F2265" t="s">
        <v>23</v>
      </c>
      <c r="G2265" t="s">
        <v>41</v>
      </c>
      <c r="H2265" t="s">
        <v>20</v>
      </c>
      <c r="I2265" s="1">
        <v>3</v>
      </c>
      <c r="J2265" s="2">
        <v>45934</v>
      </c>
      <c r="K2265" s="2">
        <v>45931</v>
      </c>
      <c r="L2265" s="1" t="str">
        <f t="shared" si="235"/>
        <v>sáb</v>
      </c>
      <c r="M2265" s="1" t="str">
        <f t="shared" si="236"/>
        <v>out</v>
      </c>
      <c r="N2265">
        <f t="shared" si="237"/>
        <v>2025</v>
      </c>
      <c r="O2265" s="2">
        <f>_xlfn.XLOOKUP(A2265,Colaboradores!$A:$A,Colaboradores!$S:$S,"",0)</f>
        <v>46128</v>
      </c>
      <c r="P2265" t="str">
        <f t="shared" si="238"/>
        <v>143345934</v>
      </c>
    </row>
    <row r="2266" spans="1:16" x14ac:dyDescent="0.3">
      <c r="A2266">
        <v>1433</v>
      </c>
      <c r="B2266">
        <v>34</v>
      </c>
      <c r="C2266" t="s">
        <v>15</v>
      </c>
      <c r="D2266" t="s">
        <v>29</v>
      </c>
      <c r="E2266" t="s">
        <v>17</v>
      </c>
      <c r="F2266" t="s">
        <v>23</v>
      </c>
      <c r="G2266" t="s">
        <v>41</v>
      </c>
      <c r="H2266" t="s">
        <v>20</v>
      </c>
      <c r="I2266" s="1">
        <v>3</v>
      </c>
      <c r="J2266" s="2">
        <v>46101</v>
      </c>
      <c r="K2266" s="2">
        <v>46082</v>
      </c>
      <c r="L2266" s="1" t="str">
        <f t="shared" si="235"/>
        <v>sex</v>
      </c>
      <c r="M2266" s="1" t="str">
        <f t="shared" si="236"/>
        <v>mar</v>
      </c>
      <c r="N2266">
        <f t="shared" si="237"/>
        <v>2026</v>
      </c>
      <c r="O2266" s="2">
        <f>_xlfn.XLOOKUP(A2266,Colaboradores!$A:$A,Colaboradores!$S:$S,"",0)</f>
        <v>46128</v>
      </c>
      <c r="P2266" t="str">
        <f t="shared" si="238"/>
        <v>143346101</v>
      </c>
    </row>
    <row r="2267" spans="1:16" x14ac:dyDescent="0.3">
      <c r="A2267">
        <v>1433</v>
      </c>
      <c r="B2267">
        <v>34</v>
      </c>
      <c r="C2267" t="s">
        <v>15</v>
      </c>
      <c r="D2267" t="s">
        <v>29</v>
      </c>
      <c r="E2267" t="s">
        <v>17</v>
      </c>
      <c r="F2267" t="s">
        <v>23</v>
      </c>
      <c r="G2267" t="s">
        <v>42</v>
      </c>
      <c r="H2267" t="s">
        <v>20</v>
      </c>
      <c r="I2267" s="1">
        <v>3</v>
      </c>
      <c r="J2267" s="2">
        <v>46102</v>
      </c>
      <c r="K2267" s="2">
        <v>46082</v>
      </c>
      <c r="L2267" s="1" t="str">
        <f t="shared" si="235"/>
        <v>sáb</v>
      </c>
      <c r="M2267" s="1" t="str">
        <f t="shared" si="236"/>
        <v>mar</v>
      </c>
      <c r="N2267">
        <f t="shared" si="237"/>
        <v>2026</v>
      </c>
      <c r="O2267" s="2">
        <f>_xlfn.XLOOKUP(A2267,Colaboradores!$A:$A,Colaboradores!$S:$S,"",0)</f>
        <v>46128</v>
      </c>
      <c r="P2267" t="str">
        <f t="shared" si="238"/>
        <v>143346102</v>
      </c>
    </row>
    <row r="2268" spans="1:16" x14ac:dyDescent="0.3">
      <c r="A2268">
        <v>1433</v>
      </c>
      <c r="B2268">
        <v>34</v>
      </c>
      <c r="C2268" t="s">
        <v>15</v>
      </c>
      <c r="D2268" t="s">
        <v>29</v>
      </c>
      <c r="E2268" t="s">
        <v>17</v>
      </c>
      <c r="F2268" t="s">
        <v>23</v>
      </c>
      <c r="G2268" t="s">
        <v>41</v>
      </c>
      <c r="H2268" t="s">
        <v>20</v>
      </c>
      <c r="I2268" s="1">
        <v>3</v>
      </c>
      <c r="J2268" s="2">
        <v>46107</v>
      </c>
      <c r="K2268" s="2">
        <v>46082</v>
      </c>
      <c r="L2268" s="1" t="str">
        <f t="shared" si="235"/>
        <v>qui</v>
      </c>
      <c r="M2268" s="1" t="str">
        <f t="shared" si="236"/>
        <v>mar</v>
      </c>
      <c r="N2268">
        <f t="shared" si="237"/>
        <v>2026</v>
      </c>
      <c r="O2268" s="2">
        <f>_xlfn.XLOOKUP(A2268,Colaboradores!$A:$A,Colaboradores!$S:$S,"",0)</f>
        <v>46128</v>
      </c>
      <c r="P2268" t="str">
        <f t="shared" si="238"/>
        <v>143346107</v>
      </c>
    </row>
    <row r="2269" spans="1:16" x14ac:dyDescent="0.3">
      <c r="A2269">
        <v>1434</v>
      </c>
      <c r="B2269">
        <v>39</v>
      </c>
      <c r="C2269" t="s">
        <v>15</v>
      </c>
      <c r="D2269" t="s">
        <v>22</v>
      </c>
      <c r="E2269" t="s">
        <v>17</v>
      </c>
      <c r="F2269" t="s">
        <v>21</v>
      </c>
      <c r="G2269" t="s">
        <v>43</v>
      </c>
      <c r="H2269" t="s">
        <v>20</v>
      </c>
      <c r="I2269" s="1">
        <v>2</v>
      </c>
      <c r="J2269" s="2">
        <v>45767</v>
      </c>
      <c r="K2269" s="2">
        <v>45748</v>
      </c>
      <c r="L2269" s="1" t="str">
        <f t="shared" si="235"/>
        <v>dom</v>
      </c>
      <c r="M2269" s="1" t="str">
        <f t="shared" si="236"/>
        <v>abr</v>
      </c>
      <c r="N2269">
        <f t="shared" si="237"/>
        <v>2025</v>
      </c>
      <c r="O2269" s="2">
        <f>_xlfn.XLOOKUP(A2269,Colaboradores!$A:$A,Colaboradores!$S:$S,"",0)</f>
        <v>45858</v>
      </c>
      <c r="P2269" t="str">
        <f t="shared" si="238"/>
        <v>143445767</v>
      </c>
    </row>
    <row r="2270" spans="1:16" x14ac:dyDescent="0.3">
      <c r="A2270">
        <v>1434</v>
      </c>
      <c r="B2270">
        <v>39</v>
      </c>
      <c r="C2270" t="s">
        <v>15</v>
      </c>
      <c r="D2270" t="s">
        <v>22</v>
      </c>
      <c r="E2270" t="s">
        <v>17</v>
      </c>
      <c r="F2270" t="s">
        <v>21</v>
      </c>
      <c r="G2270" t="s">
        <v>43</v>
      </c>
      <c r="H2270" t="s">
        <v>20</v>
      </c>
      <c r="I2270" s="1">
        <v>2</v>
      </c>
      <c r="J2270" s="2">
        <v>45814</v>
      </c>
      <c r="K2270" s="2">
        <v>45809</v>
      </c>
      <c r="L2270" s="1" t="str">
        <f t="shared" si="235"/>
        <v>sex</v>
      </c>
      <c r="M2270" s="1" t="str">
        <f t="shared" si="236"/>
        <v>jun</v>
      </c>
      <c r="N2270">
        <f t="shared" si="237"/>
        <v>2025</v>
      </c>
      <c r="O2270" s="2">
        <f>_xlfn.XLOOKUP(A2270,Colaboradores!$A:$A,Colaboradores!$S:$S,"",0)</f>
        <v>45858</v>
      </c>
      <c r="P2270" t="str">
        <f t="shared" si="238"/>
        <v>143445814</v>
      </c>
    </row>
    <row r="2271" spans="1:16" x14ac:dyDescent="0.3">
      <c r="A2271">
        <v>1434</v>
      </c>
      <c r="B2271">
        <v>39</v>
      </c>
      <c r="C2271" t="s">
        <v>15</v>
      </c>
      <c r="D2271" t="s">
        <v>22</v>
      </c>
      <c r="E2271" t="s">
        <v>17</v>
      </c>
      <c r="F2271" t="s">
        <v>21</v>
      </c>
      <c r="G2271" t="s">
        <v>43</v>
      </c>
      <c r="H2271" t="s">
        <v>20</v>
      </c>
      <c r="I2271" s="1">
        <v>2</v>
      </c>
      <c r="J2271" s="2">
        <v>45832</v>
      </c>
      <c r="K2271" s="2">
        <v>45809</v>
      </c>
      <c r="L2271" s="1" t="str">
        <f t="shared" ref="L2271:L2306" si="239">TEXT(J2271,"ddd")</f>
        <v>ter</v>
      </c>
      <c r="M2271" s="1" t="str">
        <f t="shared" ref="M2271:M2306" si="240">TEXT($J2271,"mmm")</f>
        <v>jun</v>
      </c>
      <c r="N2271">
        <f t="shared" ref="N2271:N2306" si="241">YEAR(J2271)</f>
        <v>2025</v>
      </c>
      <c r="O2271" s="2">
        <f>_xlfn.XLOOKUP(A2271,Colaboradores!$A:$A,Colaboradores!$S:$S,"",0)</f>
        <v>45858</v>
      </c>
      <c r="P2271" t="str">
        <f t="shared" si="238"/>
        <v>143445832</v>
      </c>
    </row>
    <row r="2272" spans="1:16" x14ac:dyDescent="0.3">
      <c r="A2272">
        <v>1434</v>
      </c>
      <c r="B2272">
        <v>39</v>
      </c>
      <c r="C2272" t="s">
        <v>15</v>
      </c>
      <c r="D2272" t="s">
        <v>22</v>
      </c>
      <c r="E2272" t="s">
        <v>17</v>
      </c>
      <c r="F2272" t="s">
        <v>21</v>
      </c>
      <c r="G2272" t="s">
        <v>42</v>
      </c>
      <c r="H2272" t="s">
        <v>20</v>
      </c>
      <c r="I2272" s="1">
        <v>2</v>
      </c>
      <c r="J2272" s="2">
        <v>45850</v>
      </c>
      <c r="K2272" s="2">
        <v>45839</v>
      </c>
      <c r="L2272" s="1" t="str">
        <f t="shared" si="239"/>
        <v>sáb</v>
      </c>
      <c r="M2272" s="1" t="str">
        <f t="shared" si="240"/>
        <v>jul</v>
      </c>
      <c r="N2272">
        <f t="shared" si="241"/>
        <v>2025</v>
      </c>
      <c r="O2272" s="2">
        <f>_xlfn.XLOOKUP(A2272,Colaboradores!$A:$A,Colaboradores!$S:$S,"",0)</f>
        <v>45858</v>
      </c>
      <c r="P2272" t="str">
        <f t="shared" si="238"/>
        <v>143445850</v>
      </c>
    </row>
    <row r="2273" spans="1:16" x14ac:dyDescent="0.3">
      <c r="A2273">
        <v>1434</v>
      </c>
      <c r="B2273">
        <v>39</v>
      </c>
      <c r="C2273" t="s">
        <v>15</v>
      </c>
      <c r="D2273" t="s">
        <v>22</v>
      </c>
      <c r="E2273" t="s">
        <v>17</v>
      </c>
      <c r="F2273" t="s">
        <v>21</v>
      </c>
      <c r="G2273" t="s">
        <v>43</v>
      </c>
      <c r="H2273" t="s">
        <v>20</v>
      </c>
      <c r="I2273" s="1">
        <v>2</v>
      </c>
      <c r="J2273" s="2">
        <v>45851</v>
      </c>
      <c r="K2273" s="2">
        <v>45839</v>
      </c>
      <c r="L2273" s="1" t="str">
        <f t="shared" si="239"/>
        <v>dom</v>
      </c>
      <c r="M2273" s="1" t="str">
        <f t="shared" si="240"/>
        <v>jul</v>
      </c>
      <c r="N2273">
        <f t="shared" si="241"/>
        <v>2025</v>
      </c>
      <c r="O2273" s="2">
        <f>_xlfn.XLOOKUP(A2273,Colaboradores!$A:$A,Colaboradores!$S:$S,"",0)</f>
        <v>45858</v>
      </c>
      <c r="P2273" t="str">
        <f t="shared" si="238"/>
        <v>143445851</v>
      </c>
    </row>
    <row r="2274" spans="1:16" x14ac:dyDescent="0.3">
      <c r="A2274">
        <v>1434</v>
      </c>
      <c r="B2274">
        <v>39</v>
      </c>
      <c r="C2274" t="s">
        <v>15</v>
      </c>
      <c r="D2274" t="s">
        <v>22</v>
      </c>
      <c r="E2274" t="s">
        <v>17</v>
      </c>
      <c r="F2274" t="s">
        <v>21</v>
      </c>
      <c r="G2274" t="s">
        <v>42</v>
      </c>
      <c r="H2274" t="s">
        <v>20</v>
      </c>
      <c r="I2274" s="1">
        <v>2</v>
      </c>
      <c r="J2274" s="2">
        <v>45852</v>
      </c>
      <c r="K2274" s="2">
        <v>45839</v>
      </c>
      <c r="L2274" s="1" t="str">
        <f t="shared" si="239"/>
        <v>seg</v>
      </c>
      <c r="M2274" s="1" t="str">
        <f t="shared" si="240"/>
        <v>jul</v>
      </c>
      <c r="N2274">
        <f t="shared" si="241"/>
        <v>2025</v>
      </c>
      <c r="O2274" s="2">
        <f>_xlfn.XLOOKUP(A2274,Colaboradores!$A:$A,Colaboradores!$S:$S,"",0)</f>
        <v>45858</v>
      </c>
      <c r="P2274" t="str">
        <f t="shared" si="238"/>
        <v>143445852</v>
      </c>
    </row>
    <row r="2275" spans="1:16" x14ac:dyDescent="0.3">
      <c r="A2275">
        <v>1435</v>
      </c>
      <c r="B2275">
        <v>30</v>
      </c>
      <c r="C2275" t="s">
        <v>15</v>
      </c>
      <c r="D2275" t="s">
        <v>16</v>
      </c>
      <c r="E2275" t="s">
        <v>17</v>
      </c>
      <c r="F2275" t="s">
        <v>18</v>
      </c>
      <c r="G2275" t="s">
        <v>43</v>
      </c>
      <c r="H2275" t="s">
        <v>25</v>
      </c>
      <c r="I2275" s="1">
        <v>1</v>
      </c>
      <c r="J2275" s="2">
        <v>45818</v>
      </c>
      <c r="K2275" s="2">
        <v>45809</v>
      </c>
      <c r="L2275" s="1" t="str">
        <f t="shared" si="239"/>
        <v>ter</v>
      </c>
      <c r="M2275" s="1" t="str">
        <f t="shared" si="240"/>
        <v>jun</v>
      </c>
      <c r="N2275">
        <f t="shared" si="241"/>
        <v>2025</v>
      </c>
      <c r="O2275" s="2"/>
      <c r="P2275" t="str">
        <f t="shared" si="238"/>
        <v>143545818</v>
      </c>
    </row>
    <row r="2276" spans="1:16" x14ac:dyDescent="0.3">
      <c r="A2276">
        <v>1435</v>
      </c>
      <c r="B2276">
        <v>30</v>
      </c>
      <c r="C2276" t="s">
        <v>15</v>
      </c>
      <c r="D2276" t="s">
        <v>16</v>
      </c>
      <c r="E2276" t="s">
        <v>17</v>
      </c>
      <c r="F2276" t="s">
        <v>18</v>
      </c>
      <c r="G2276" t="s">
        <v>43</v>
      </c>
      <c r="H2276" t="s">
        <v>25</v>
      </c>
      <c r="I2276" s="1">
        <v>1</v>
      </c>
      <c r="J2276" s="2">
        <v>45862</v>
      </c>
      <c r="K2276" s="2">
        <v>45839</v>
      </c>
      <c r="L2276" s="1" t="str">
        <f t="shared" si="239"/>
        <v>qui</v>
      </c>
      <c r="M2276" s="1" t="str">
        <f t="shared" si="240"/>
        <v>jul</v>
      </c>
      <c r="N2276">
        <f t="shared" si="241"/>
        <v>2025</v>
      </c>
      <c r="O2276" s="2"/>
      <c r="P2276" t="str">
        <f t="shared" si="238"/>
        <v>143545862</v>
      </c>
    </row>
    <row r="2277" spans="1:16" x14ac:dyDescent="0.3">
      <c r="A2277">
        <v>1435</v>
      </c>
      <c r="B2277">
        <v>30</v>
      </c>
      <c r="C2277" t="s">
        <v>15</v>
      </c>
      <c r="D2277" t="s">
        <v>16</v>
      </c>
      <c r="E2277" t="s">
        <v>17</v>
      </c>
      <c r="F2277" t="s">
        <v>18</v>
      </c>
      <c r="G2277" t="s">
        <v>43</v>
      </c>
      <c r="H2277" t="s">
        <v>25</v>
      </c>
      <c r="I2277" s="1">
        <v>1</v>
      </c>
      <c r="J2277" s="2">
        <v>45989</v>
      </c>
      <c r="K2277" s="2">
        <v>45962</v>
      </c>
      <c r="L2277" s="1" t="str">
        <f t="shared" si="239"/>
        <v>sex</v>
      </c>
      <c r="M2277" s="1" t="str">
        <f t="shared" si="240"/>
        <v>nov</v>
      </c>
      <c r="N2277">
        <f t="shared" si="241"/>
        <v>2025</v>
      </c>
      <c r="O2277" s="2"/>
      <c r="P2277" t="str">
        <f t="shared" si="238"/>
        <v>143545989</v>
      </c>
    </row>
    <row r="2278" spans="1:16" x14ac:dyDescent="0.3">
      <c r="A2278">
        <v>1435</v>
      </c>
      <c r="B2278">
        <v>30</v>
      </c>
      <c r="C2278" t="s">
        <v>15</v>
      </c>
      <c r="D2278" t="s">
        <v>16</v>
      </c>
      <c r="E2278" t="s">
        <v>17</v>
      </c>
      <c r="F2278" t="s">
        <v>18</v>
      </c>
      <c r="G2278" t="s">
        <v>43</v>
      </c>
      <c r="H2278" t="s">
        <v>25</v>
      </c>
      <c r="I2278" s="1">
        <v>1</v>
      </c>
      <c r="J2278" s="2">
        <v>46016</v>
      </c>
      <c r="K2278" s="2">
        <v>45992</v>
      </c>
      <c r="L2278" s="1" t="str">
        <f t="shared" si="239"/>
        <v>qui</v>
      </c>
      <c r="M2278" s="1" t="str">
        <f t="shared" si="240"/>
        <v>dez</v>
      </c>
      <c r="N2278">
        <f t="shared" si="241"/>
        <v>2025</v>
      </c>
      <c r="O2278" s="2"/>
      <c r="P2278" t="str">
        <f t="shared" si="238"/>
        <v>143546016</v>
      </c>
    </row>
    <row r="2279" spans="1:16" x14ac:dyDescent="0.3">
      <c r="A2279">
        <v>1435</v>
      </c>
      <c r="B2279">
        <v>30</v>
      </c>
      <c r="C2279" t="s">
        <v>15</v>
      </c>
      <c r="D2279" t="s">
        <v>16</v>
      </c>
      <c r="E2279" t="s">
        <v>17</v>
      </c>
      <c r="F2279" t="s">
        <v>18</v>
      </c>
      <c r="G2279" t="s">
        <v>43</v>
      </c>
      <c r="H2279" t="s">
        <v>25</v>
      </c>
      <c r="I2279" s="1">
        <v>1</v>
      </c>
      <c r="J2279" s="2">
        <v>46046</v>
      </c>
      <c r="K2279" s="2">
        <v>46023</v>
      </c>
      <c r="L2279" s="1" t="str">
        <f t="shared" si="239"/>
        <v>sáb</v>
      </c>
      <c r="M2279" s="1" t="str">
        <f t="shared" si="240"/>
        <v>jan</v>
      </c>
      <c r="N2279">
        <f t="shared" si="241"/>
        <v>2026</v>
      </c>
      <c r="O2279" s="2"/>
      <c r="P2279" t="str">
        <f t="shared" si="238"/>
        <v>143546046</v>
      </c>
    </row>
    <row r="2280" spans="1:16" x14ac:dyDescent="0.3">
      <c r="A2280">
        <v>1436</v>
      </c>
      <c r="B2280">
        <v>21</v>
      </c>
      <c r="C2280" t="s">
        <v>26</v>
      </c>
      <c r="D2280" t="s">
        <v>16</v>
      </c>
      <c r="E2280" t="s">
        <v>17</v>
      </c>
      <c r="F2280" t="s">
        <v>18</v>
      </c>
      <c r="G2280" t="s">
        <v>41</v>
      </c>
      <c r="H2280" t="s">
        <v>25</v>
      </c>
      <c r="I2280" s="1">
        <v>2</v>
      </c>
      <c r="J2280" s="2">
        <v>45887</v>
      </c>
      <c r="K2280" s="2">
        <v>45870</v>
      </c>
      <c r="L2280" s="1" t="str">
        <f t="shared" si="239"/>
        <v>seg</v>
      </c>
      <c r="M2280" s="1" t="str">
        <f t="shared" si="240"/>
        <v>ago</v>
      </c>
      <c r="N2280">
        <f t="shared" si="241"/>
        <v>2025</v>
      </c>
      <c r="O2280" s="2"/>
      <c r="P2280" t="str">
        <f t="shared" si="238"/>
        <v>143645887</v>
      </c>
    </row>
    <row r="2281" spans="1:16" x14ac:dyDescent="0.3">
      <c r="A2281">
        <v>1436</v>
      </c>
      <c r="B2281">
        <v>21</v>
      </c>
      <c r="C2281" t="s">
        <v>26</v>
      </c>
      <c r="D2281" t="s">
        <v>16</v>
      </c>
      <c r="E2281" t="s">
        <v>17</v>
      </c>
      <c r="F2281" t="s">
        <v>18</v>
      </c>
      <c r="G2281" t="s">
        <v>41</v>
      </c>
      <c r="H2281" t="s">
        <v>25</v>
      </c>
      <c r="I2281" s="1">
        <v>2</v>
      </c>
      <c r="J2281" s="2">
        <v>45910</v>
      </c>
      <c r="K2281" s="2">
        <v>45901</v>
      </c>
      <c r="L2281" s="1" t="str">
        <f t="shared" si="239"/>
        <v>qua</v>
      </c>
      <c r="M2281" s="1" t="str">
        <f t="shared" si="240"/>
        <v>set</v>
      </c>
      <c r="N2281">
        <f t="shared" si="241"/>
        <v>2025</v>
      </c>
      <c r="O2281" s="2"/>
      <c r="P2281" t="str">
        <f t="shared" si="238"/>
        <v>143645910</v>
      </c>
    </row>
    <row r="2282" spans="1:16" x14ac:dyDescent="0.3">
      <c r="A2282">
        <v>1436</v>
      </c>
      <c r="B2282">
        <v>21</v>
      </c>
      <c r="C2282" t="s">
        <v>26</v>
      </c>
      <c r="D2282" t="s">
        <v>16</v>
      </c>
      <c r="E2282" t="s">
        <v>17</v>
      </c>
      <c r="F2282" t="s">
        <v>18</v>
      </c>
      <c r="G2282" t="s">
        <v>41</v>
      </c>
      <c r="H2282" t="s">
        <v>25</v>
      </c>
      <c r="I2282" s="1">
        <v>2</v>
      </c>
      <c r="J2282" s="2">
        <v>45962</v>
      </c>
      <c r="K2282" s="2">
        <v>45962</v>
      </c>
      <c r="L2282" s="1" t="str">
        <f t="shared" si="239"/>
        <v>sáb</v>
      </c>
      <c r="M2282" s="1" t="str">
        <f t="shared" si="240"/>
        <v>nov</v>
      </c>
      <c r="N2282">
        <f t="shared" si="241"/>
        <v>2025</v>
      </c>
      <c r="O2282" s="2"/>
      <c r="P2282" t="str">
        <f t="shared" si="238"/>
        <v>143645962</v>
      </c>
    </row>
    <row r="2283" spans="1:16" x14ac:dyDescent="0.3">
      <c r="A2283">
        <v>1436</v>
      </c>
      <c r="B2283">
        <v>21</v>
      </c>
      <c r="C2283" t="s">
        <v>26</v>
      </c>
      <c r="D2283" t="s">
        <v>16</v>
      </c>
      <c r="E2283" t="s">
        <v>17</v>
      </c>
      <c r="F2283" t="s">
        <v>18</v>
      </c>
      <c r="G2283" t="s">
        <v>41</v>
      </c>
      <c r="H2283" t="s">
        <v>25</v>
      </c>
      <c r="I2283" s="1">
        <v>2</v>
      </c>
      <c r="J2283" s="2">
        <v>46106</v>
      </c>
      <c r="K2283" s="2">
        <v>46082</v>
      </c>
      <c r="L2283" s="1" t="str">
        <f t="shared" si="239"/>
        <v>qua</v>
      </c>
      <c r="M2283" s="1" t="str">
        <f t="shared" si="240"/>
        <v>mar</v>
      </c>
      <c r="N2283">
        <f t="shared" si="241"/>
        <v>2026</v>
      </c>
      <c r="O2283" s="2"/>
      <c r="P2283" t="str">
        <f t="shared" si="238"/>
        <v>143646106</v>
      </c>
    </row>
    <row r="2284" spans="1:16" x14ac:dyDescent="0.3">
      <c r="A2284">
        <v>1437</v>
      </c>
      <c r="B2284">
        <v>41</v>
      </c>
      <c r="C2284" t="s">
        <v>26</v>
      </c>
      <c r="D2284" t="s">
        <v>22</v>
      </c>
      <c r="E2284" t="s">
        <v>17</v>
      </c>
      <c r="F2284" t="s">
        <v>21</v>
      </c>
      <c r="G2284" t="s">
        <v>44</v>
      </c>
      <c r="H2284" t="s">
        <v>20</v>
      </c>
      <c r="I2284" s="1">
        <v>1</v>
      </c>
      <c r="J2284" s="2">
        <v>45911</v>
      </c>
      <c r="K2284" s="2">
        <v>45901</v>
      </c>
      <c r="L2284" s="1" t="str">
        <f t="shared" si="239"/>
        <v>qui</v>
      </c>
      <c r="M2284" s="1" t="str">
        <f t="shared" si="240"/>
        <v>set</v>
      </c>
      <c r="N2284">
        <f t="shared" si="241"/>
        <v>2025</v>
      </c>
      <c r="O2284" s="2">
        <f>_xlfn.XLOOKUP(A2284,Colaboradores!$A:$A,Colaboradores!$S:$S,"",0)</f>
        <v>46097</v>
      </c>
      <c r="P2284" t="str">
        <f t="shared" si="238"/>
        <v>143745911</v>
      </c>
    </row>
    <row r="2285" spans="1:16" x14ac:dyDescent="0.3">
      <c r="A2285">
        <v>1437</v>
      </c>
      <c r="B2285">
        <v>41</v>
      </c>
      <c r="C2285" t="s">
        <v>26</v>
      </c>
      <c r="D2285" t="s">
        <v>22</v>
      </c>
      <c r="E2285" t="s">
        <v>17</v>
      </c>
      <c r="F2285" t="s">
        <v>21</v>
      </c>
      <c r="G2285" t="s">
        <v>41</v>
      </c>
      <c r="H2285" t="s">
        <v>20</v>
      </c>
      <c r="I2285" s="1">
        <v>1</v>
      </c>
      <c r="J2285" s="2">
        <v>45918</v>
      </c>
      <c r="K2285" s="2">
        <v>45901</v>
      </c>
      <c r="L2285" s="1" t="str">
        <f t="shared" si="239"/>
        <v>qui</v>
      </c>
      <c r="M2285" s="1" t="str">
        <f t="shared" si="240"/>
        <v>set</v>
      </c>
      <c r="N2285">
        <f t="shared" si="241"/>
        <v>2025</v>
      </c>
      <c r="O2285" s="2">
        <f>_xlfn.XLOOKUP(A2285,Colaboradores!$A:$A,Colaboradores!$S:$S,"",0)</f>
        <v>46097</v>
      </c>
      <c r="P2285" t="str">
        <f t="shared" si="238"/>
        <v>143745918</v>
      </c>
    </row>
    <row r="2286" spans="1:16" x14ac:dyDescent="0.3">
      <c r="A2286">
        <v>1437</v>
      </c>
      <c r="B2286">
        <v>41</v>
      </c>
      <c r="C2286" t="s">
        <v>26</v>
      </c>
      <c r="D2286" t="s">
        <v>22</v>
      </c>
      <c r="E2286" t="s">
        <v>17</v>
      </c>
      <c r="F2286" t="s">
        <v>21</v>
      </c>
      <c r="G2286" t="s">
        <v>41</v>
      </c>
      <c r="H2286" t="s">
        <v>20</v>
      </c>
      <c r="I2286" s="1">
        <v>1</v>
      </c>
      <c r="J2286" s="2">
        <v>45942</v>
      </c>
      <c r="K2286" s="2">
        <v>45931</v>
      </c>
      <c r="L2286" s="1" t="str">
        <f t="shared" si="239"/>
        <v>dom</v>
      </c>
      <c r="M2286" s="1" t="str">
        <f t="shared" si="240"/>
        <v>out</v>
      </c>
      <c r="N2286">
        <f t="shared" si="241"/>
        <v>2025</v>
      </c>
      <c r="O2286" s="2">
        <f>_xlfn.XLOOKUP(A2286,Colaboradores!$A:$A,Colaboradores!$S:$S,"",0)</f>
        <v>46097</v>
      </c>
      <c r="P2286" t="str">
        <f t="shared" si="238"/>
        <v>143745942</v>
      </c>
    </row>
    <row r="2287" spans="1:16" x14ac:dyDescent="0.3">
      <c r="A2287">
        <v>1437</v>
      </c>
      <c r="B2287">
        <v>41</v>
      </c>
      <c r="C2287" t="s">
        <v>26</v>
      </c>
      <c r="D2287" t="s">
        <v>22</v>
      </c>
      <c r="E2287" t="s">
        <v>17</v>
      </c>
      <c r="F2287" t="s">
        <v>21</v>
      </c>
      <c r="G2287" t="s">
        <v>41</v>
      </c>
      <c r="H2287" t="s">
        <v>20</v>
      </c>
      <c r="I2287" s="1">
        <v>1</v>
      </c>
      <c r="J2287" s="2">
        <v>45944</v>
      </c>
      <c r="K2287" s="2">
        <v>45931</v>
      </c>
      <c r="L2287" s="1" t="str">
        <f t="shared" si="239"/>
        <v>ter</v>
      </c>
      <c r="M2287" s="1" t="str">
        <f t="shared" si="240"/>
        <v>out</v>
      </c>
      <c r="N2287">
        <f t="shared" si="241"/>
        <v>2025</v>
      </c>
      <c r="O2287" s="2">
        <f>_xlfn.XLOOKUP(A2287,Colaboradores!$A:$A,Colaboradores!$S:$S,"",0)</f>
        <v>46097</v>
      </c>
      <c r="P2287" t="str">
        <f t="shared" si="238"/>
        <v>143745944</v>
      </c>
    </row>
    <row r="2288" spans="1:16" x14ac:dyDescent="0.3">
      <c r="A2288">
        <v>1437</v>
      </c>
      <c r="B2288">
        <v>41</v>
      </c>
      <c r="C2288" t="s">
        <v>26</v>
      </c>
      <c r="D2288" t="s">
        <v>22</v>
      </c>
      <c r="E2288" t="s">
        <v>17</v>
      </c>
      <c r="F2288" t="s">
        <v>21</v>
      </c>
      <c r="G2288" t="s">
        <v>41</v>
      </c>
      <c r="H2288" t="s">
        <v>20</v>
      </c>
      <c r="I2288" s="1">
        <v>1</v>
      </c>
      <c r="J2288" s="2">
        <v>46021</v>
      </c>
      <c r="K2288" s="2">
        <v>45992</v>
      </c>
      <c r="L2288" s="1" t="str">
        <f t="shared" si="239"/>
        <v>ter</v>
      </c>
      <c r="M2288" s="1" t="str">
        <f t="shared" si="240"/>
        <v>dez</v>
      </c>
      <c r="N2288">
        <f t="shared" si="241"/>
        <v>2025</v>
      </c>
      <c r="O2288" s="2">
        <f>_xlfn.XLOOKUP(A2288,Colaboradores!$A:$A,Colaboradores!$S:$S,"",0)</f>
        <v>46097</v>
      </c>
      <c r="P2288" t="str">
        <f t="shared" si="238"/>
        <v>143746021</v>
      </c>
    </row>
    <row r="2289" spans="1:16" x14ac:dyDescent="0.3">
      <c r="A2289">
        <v>1437</v>
      </c>
      <c r="B2289">
        <v>41</v>
      </c>
      <c r="C2289" t="s">
        <v>26</v>
      </c>
      <c r="D2289" t="s">
        <v>22</v>
      </c>
      <c r="E2289" t="s">
        <v>17</v>
      </c>
      <c r="F2289" t="s">
        <v>21</v>
      </c>
      <c r="G2289" t="s">
        <v>41</v>
      </c>
      <c r="H2289" t="s">
        <v>20</v>
      </c>
      <c r="I2289" s="1">
        <v>1</v>
      </c>
      <c r="J2289" s="2">
        <v>46197</v>
      </c>
      <c r="K2289" s="2">
        <v>46023</v>
      </c>
      <c r="L2289" s="1" t="str">
        <f t="shared" si="239"/>
        <v>qua</v>
      </c>
      <c r="M2289" s="1" t="str">
        <f t="shared" si="240"/>
        <v>jun</v>
      </c>
      <c r="N2289">
        <f t="shared" si="241"/>
        <v>2026</v>
      </c>
      <c r="O2289" s="2">
        <f>_xlfn.XLOOKUP(A2289,Colaboradores!$A:$A,Colaboradores!$S:$S,"",0)</f>
        <v>46097</v>
      </c>
      <c r="P2289" t="str">
        <f t="shared" si="238"/>
        <v>143746197</v>
      </c>
    </row>
    <row r="2290" spans="1:16" x14ac:dyDescent="0.3">
      <c r="A2290">
        <v>1438</v>
      </c>
      <c r="B2290">
        <v>23</v>
      </c>
      <c r="C2290" t="s">
        <v>26</v>
      </c>
      <c r="D2290" t="s">
        <v>27</v>
      </c>
      <c r="E2290" t="s">
        <v>17</v>
      </c>
      <c r="F2290" t="s">
        <v>18</v>
      </c>
      <c r="G2290" t="s">
        <v>40</v>
      </c>
      <c r="H2290" t="s">
        <v>25</v>
      </c>
      <c r="I2290" s="1">
        <v>1</v>
      </c>
      <c r="J2290" s="2">
        <v>45847</v>
      </c>
      <c r="K2290" s="2">
        <v>45839</v>
      </c>
      <c r="L2290" s="1" t="str">
        <f t="shared" si="239"/>
        <v>qua</v>
      </c>
      <c r="M2290" s="1" t="str">
        <f t="shared" si="240"/>
        <v>jul</v>
      </c>
      <c r="N2290">
        <f t="shared" si="241"/>
        <v>2025</v>
      </c>
      <c r="O2290" s="2"/>
      <c r="P2290" t="str">
        <f t="shared" si="238"/>
        <v>143845847</v>
      </c>
    </row>
    <row r="2291" spans="1:16" x14ac:dyDescent="0.3">
      <c r="A2291">
        <v>1438</v>
      </c>
      <c r="B2291">
        <v>23</v>
      </c>
      <c r="C2291" t="s">
        <v>26</v>
      </c>
      <c r="D2291" t="s">
        <v>27</v>
      </c>
      <c r="E2291" t="s">
        <v>17</v>
      </c>
      <c r="F2291" t="s">
        <v>18</v>
      </c>
      <c r="G2291" t="s">
        <v>40</v>
      </c>
      <c r="H2291" t="s">
        <v>25</v>
      </c>
      <c r="I2291" s="1">
        <v>1</v>
      </c>
      <c r="J2291" s="2">
        <v>45928</v>
      </c>
      <c r="K2291" s="2">
        <v>45901</v>
      </c>
      <c r="L2291" s="1" t="str">
        <f t="shared" si="239"/>
        <v>dom</v>
      </c>
      <c r="M2291" s="1" t="str">
        <f t="shared" si="240"/>
        <v>set</v>
      </c>
      <c r="N2291">
        <f t="shared" si="241"/>
        <v>2025</v>
      </c>
      <c r="O2291" s="2"/>
      <c r="P2291" t="str">
        <f t="shared" si="238"/>
        <v>143845928</v>
      </c>
    </row>
    <row r="2292" spans="1:16" x14ac:dyDescent="0.3">
      <c r="A2292">
        <v>1438</v>
      </c>
      <c r="B2292">
        <v>23</v>
      </c>
      <c r="C2292" t="s">
        <v>26</v>
      </c>
      <c r="D2292" t="s">
        <v>27</v>
      </c>
      <c r="E2292" t="s">
        <v>17</v>
      </c>
      <c r="F2292" t="s">
        <v>18</v>
      </c>
      <c r="G2292" t="s">
        <v>40</v>
      </c>
      <c r="H2292" t="s">
        <v>25</v>
      </c>
      <c r="I2292" s="1">
        <v>1</v>
      </c>
      <c r="J2292" s="2">
        <v>45929</v>
      </c>
      <c r="K2292" s="2">
        <v>45901</v>
      </c>
      <c r="L2292" s="1" t="str">
        <f t="shared" si="239"/>
        <v>seg</v>
      </c>
      <c r="M2292" s="1" t="str">
        <f t="shared" si="240"/>
        <v>set</v>
      </c>
      <c r="N2292">
        <f t="shared" si="241"/>
        <v>2025</v>
      </c>
      <c r="O2292" s="2"/>
      <c r="P2292" t="str">
        <f t="shared" si="238"/>
        <v>143845929</v>
      </c>
    </row>
    <row r="2293" spans="1:16" x14ac:dyDescent="0.3">
      <c r="A2293">
        <v>1438</v>
      </c>
      <c r="B2293">
        <v>23</v>
      </c>
      <c r="C2293" t="s">
        <v>26</v>
      </c>
      <c r="D2293" t="s">
        <v>27</v>
      </c>
      <c r="E2293" t="s">
        <v>17</v>
      </c>
      <c r="F2293" t="s">
        <v>18</v>
      </c>
      <c r="G2293" t="s">
        <v>40</v>
      </c>
      <c r="H2293" t="s">
        <v>25</v>
      </c>
      <c r="I2293" s="1">
        <v>1</v>
      </c>
      <c r="J2293" s="2">
        <v>46183</v>
      </c>
      <c r="K2293" s="2">
        <v>46023</v>
      </c>
      <c r="L2293" s="1" t="str">
        <f t="shared" si="239"/>
        <v>qua</v>
      </c>
      <c r="M2293" s="1" t="str">
        <f t="shared" si="240"/>
        <v>jun</v>
      </c>
      <c r="N2293">
        <f t="shared" si="241"/>
        <v>2026</v>
      </c>
      <c r="O2293" s="2"/>
      <c r="P2293" t="str">
        <f t="shared" si="238"/>
        <v>143846183</v>
      </c>
    </row>
    <row r="2294" spans="1:16" x14ac:dyDescent="0.3">
      <c r="A2294">
        <v>1438</v>
      </c>
      <c r="B2294">
        <v>23</v>
      </c>
      <c r="C2294" t="s">
        <v>26</v>
      </c>
      <c r="D2294" t="s">
        <v>27</v>
      </c>
      <c r="E2294" t="s">
        <v>17</v>
      </c>
      <c r="F2294" t="s">
        <v>18</v>
      </c>
      <c r="G2294" t="s">
        <v>40</v>
      </c>
      <c r="H2294" t="s">
        <v>25</v>
      </c>
      <c r="I2294" s="1">
        <v>1</v>
      </c>
      <c r="J2294" s="2">
        <v>46200</v>
      </c>
      <c r="K2294" s="2">
        <v>46023</v>
      </c>
      <c r="L2294" s="1" t="str">
        <f t="shared" si="239"/>
        <v>sáb</v>
      </c>
      <c r="M2294" s="1" t="str">
        <f t="shared" si="240"/>
        <v>jun</v>
      </c>
      <c r="N2294">
        <f t="shared" si="241"/>
        <v>2026</v>
      </c>
      <c r="O2294" s="2"/>
      <c r="P2294" t="str">
        <f t="shared" si="238"/>
        <v>143846200</v>
      </c>
    </row>
    <row r="2295" spans="1:16" x14ac:dyDescent="0.3">
      <c r="A2295">
        <v>1438</v>
      </c>
      <c r="B2295">
        <v>23</v>
      </c>
      <c r="C2295" t="s">
        <v>26</v>
      </c>
      <c r="D2295" t="s">
        <v>27</v>
      </c>
      <c r="E2295" t="s">
        <v>17</v>
      </c>
      <c r="F2295" t="s">
        <v>18</v>
      </c>
      <c r="G2295" t="s">
        <v>40</v>
      </c>
      <c r="H2295" t="s">
        <v>25</v>
      </c>
      <c r="I2295" s="1">
        <v>1</v>
      </c>
      <c r="J2295" s="2">
        <v>46078</v>
      </c>
      <c r="K2295" s="2">
        <v>46054</v>
      </c>
      <c r="L2295" s="1" t="str">
        <f t="shared" si="239"/>
        <v>qua</v>
      </c>
      <c r="M2295" s="1" t="str">
        <f t="shared" si="240"/>
        <v>fev</v>
      </c>
      <c r="N2295">
        <f t="shared" si="241"/>
        <v>2026</v>
      </c>
      <c r="O2295" s="2"/>
      <c r="P2295" t="str">
        <f t="shared" si="238"/>
        <v>143846078</v>
      </c>
    </row>
    <row r="2296" spans="1:16" x14ac:dyDescent="0.3">
      <c r="A2296">
        <v>1441</v>
      </c>
      <c r="B2296">
        <v>41</v>
      </c>
      <c r="C2296" t="s">
        <v>26</v>
      </c>
      <c r="D2296" t="s">
        <v>29</v>
      </c>
      <c r="E2296" t="s">
        <v>17</v>
      </c>
      <c r="F2296" t="s">
        <v>23</v>
      </c>
      <c r="G2296" t="s">
        <v>41</v>
      </c>
      <c r="H2296" t="s">
        <v>20</v>
      </c>
      <c r="I2296" s="1">
        <v>2</v>
      </c>
      <c r="J2296" s="2">
        <v>45853</v>
      </c>
      <c r="K2296" s="2">
        <v>45839</v>
      </c>
      <c r="L2296" s="1" t="str">
        <f t="shared" si="239"/>
        <v>ter</v>
      </c>
      <c r="M2296" s="1" t="str">
        <f t="shared" si="240"/>
        <v>jul</v>
      </c>
      <c r="N2296">
        <f t="shared" si="241"/>
        <v>2025</v>
      </c>
      <c r="O2296" s="2">
        <f>_xlfn.XLOOKUP(A2296,Colaboradores!$A:$A,Colaboradores!$S:$S,"",0)</f>
        <v>45968</v>
      </c>
      <c r="P2296" t="str">
        <f t="shared" si="238"/>
        <v>144145853</v>
      </c>
    </row>
    <row r="2297" spans="1:16" x14ac:dyDescent="0.3">
      <c r="A2297">
        <v>1441</v>
      </c>
      <c r="B2297">
        <v>41</v>
      </c>
      <c r="C2297" t="s">
        <v>26</v>
      </c>
      <c r="D2297" t="s">
        <v>29</v>
      </c>
      <c r="E2297" t="s">
        <v>17</v>
      </c>
      <c r="F2297" t="s">
        <v>23</v>
      </c>
      <c r="G2297" t="s">
        <v>41</v>
      </c>
      <c r="H2297" t="s">
        <v>20</v>
      </c>
      <c r="I2297" s="1">
        <v>2</v>
      </c>
      <c r="J2297" s="2">
        <v>45881</v>
      </c>
      <c r="K2297" s="2">
        <v>45870</v>
      </c>
      <c r="L2297" s="1" t="str">
        <f t="shared" si="239"/>
        <v>ter</v>
      </c>
      <c r="M2297" s="1" t="str">
        <f t="shared" si="240"/>
        <v>ago</v>
      </c>
      <c r="N2297">
        <f t="shared" si="241"/>
        <v>2025</v>
      </c>
      <c r="O2297" s="2">
        <f>_xlfn.XLOOKUP(A2297,Colaboradores!$A:$A,Colaboradores!$S:$S,"",0)</f>
        <v>45968</v>
      </c>
      <c r="P2297" t="str">
        <f t="shared" si="238"/>
        <v>144145881</v>
      </c>
    </row>
    <row r="2298" spans="1:16" x14ac:dyDescent="0.3">
      <c r="A2298">
        <v>1441</v>
      </c>
      <c r="B2298">
        <v>41</v>
      </c>
      <c r="C2298" t="s">
        <v>26</v>
      </c>
      <c r="D2298" t="s">
        <v>29</v>
      </c>
      <c r="E2298" t="s">
        <v>17</v>
      </c>
      <c r="F2298" t="s">
        <v>23</v>
      </c>
      <c r="G2298" t="s">
        <v>41</v>
      </c>
      <c r="H2298" t="s">
        <v>20</v>
      </c>
      <c r="I2298" s="1">
        <v>2</v>
      </c>
      <c r="J2298" s="2">
        <v>45885</v>
      </c>
      <c r="K2298" s="2">
        <v>45870</v>
      </c>
      <c r="L2298" s="1" t="str">
        <f t="shared" si="239"/>
        <v>sáb</v>
      </c>
      <c r="M2298" s="1" t="str">
        <f t="shared" si="240"/>
        <v>ago</v>
      </c>
      <c r="N2298">
        <f t="shared" si="241"/>
        <v>2025</v>
      </c>
      <c r="O2298" s="2">
        <f>_xlfn.XLOOKUP(A2298,Colaboradores!$A:$A,Colaboradores!$S:$S,"",0)</f>
        <v>45968</v>
      </c>
      <c r="P2298" t="str">
        <f t="shared" si="238"/>
        <v>144145885</v>
      </c>
    </row>
    <row r="2299" spans="1:16" x14ac:dyDescent="0.3">
      <c r="A2299">
        <v>1441</v>
      </c>
      <c r="B2299">
        <v>41</v>
      </c>
      <c r="C2299" t="s">
        <v>26</v>
      </c>
      <c r="D2299" t="s">
        <v>29</v>
      </c>
      <c r="E2299" t="s">
        <v>17</v>
      </c>
      <c r="F2299" t="s">
        <v>23</v>
      </c>
      <c r="G2299" t="s">
        <v>41</v>
      </c>
      <c r="H2299" t="s">
        <v>20</v>
      </c>
      <c r="I2299" s="1">
        <v>2</v>
      </c>
      <c r="J2299" s="2">
        <v>45893</v>
      </c>
      <c r="K2299" s="2">
        <v>45870</v>
      </c>
      <c r="L2299" s="1" t="str">
        <f t="shared" si="239"/>
        <v>dom</v>
      </c>
      <c r="M2299" s="1" t="str">
        <f t="shared" si="240"/>
        <v>ago</v>
      </c>
      <c r="N2299">
        <f t="shared" si="241"/>
        <v>2025</v>
      </c>
      <c r="O2299" s="2">
        <f>_xlfn.XLOOKUP(A2299,Colaboradores!$A:$A,Colaboradores!$S:$S,"",0)</f>
        <v>45968</v>
      </c>
      <c r="P2299" t="str">
        <f t="shared" si="238"/>
        <v>144145893</v>
      </c>
    </row>
    <row r="2300" spans="1:16" x14ac:dyDescent="0.3">
      <c r="A2300">
        <v>1441</v>
      </c>
      <c r="B2300">
        <v>41</v>
      </c>
      <c r="C2300" t="s">
        <v>26</v>
      </c>
      <c r="D2300" t="s">
        <v>29</v>
      </c>
      <c r="E2300" t="s">
        <v>17</v>
      </c>
      <c r="F2300" t="s">
        <v>23</v>
      </c>
      <c r="G2300" t="s">
        <v>41</v>
      </c>
      <c r="H2300" t="s">
        <v>20</v>
      </c>
      <c r="I2300" s="1">
        <v>2</v>
      </c>
      <c r="J2300" s="2">
        <v>45946</v>
      </c>
      <c r="K2300" s="2">
        <v>45931</v>
      </c>
      <c r="L2300" s="1" t="str">
        <f t="shared" si="239"/>
        <v>qui</v>
      </c>
      <c r="M2300" s="1" t="str">
        <f t="shared" si="240"/>
        <v>out</v>
      </c>
      <c r="N2300">
        <f t="shared" si="241"/>
        <v>2025</v>
      </c>
      <c r="O2300" s="2">
        <f>_xlfn.XLOOKUP(A2300,Colaboradores!$A:$A,Colaboradores!$S:$S,"",0)</f>
        <v>45968</v>
      </c>
      <c r="P2300" t="str">
        <f t="shared" si="238"/>
        <v>144145946</v>
      </c>
    </row>
    <row r="2301" spans="1:16" x14ac:dyDescent="0.3">
      <c r="A2301">
        <v>1441</v>
      </c>
      <c r="B2301">
        <v>41</v>
      </c>
      <c r="C2301" t="s">
        <v>26</v>
      </c>
      <c r="D2301" t="s">
        <v>29</v>
      </c>
      <c r="E2301" t="s">
        <v>17</v>
      </c>
      <c r="F2301" t="s">
        <v>23</v>
      </c>
      <c r="G2301" t="s">
        <v>41</v>
      </c>
      <c r="H2301" t="s">
        <v>20</v>
      </c>
      <c r="I2301" s="1">
        <v>2</v>
      </c>
      <c r="J2301" s="2">
        <v>45963</v>
      </c>
      <c r="K2301" s="2">
        <v>45962</v>
      </c>
      <c r="L2301" s="1" t="str">
        <f t="shared" si="239"/>
        <v>dom</v>
      </c>
      <c r="M2301" s="1" t="str">
        <f t="shared" si="240"/>
        <v>nov</v>
      </c>
      <c r="N2301">
        <f t="shared" si="241"/>
        <v>2025</v>
      </c>
      <c r="O2301" s="2">
        <f>_xlfn.XLOOKUP(A2301,Colaboradores!$A:$A,Colaboradores!$S:$S,"",0)</f>
        <v>45968</v>
      </c>
      <c r="P2301" t="str">
        <f t="shared" si="238"/>
        <v>144145963</v>
      </c>
    </row>
    <row r="2302" spans="1:16" x14ac:dyDescent="0.3">
      <c r="A2302">
        <v>1444</v>
      </c>
      <c r="B2302">
        <v>28</v>
      </c>
      <c r="C2302" t="s">
        <v>15</v>
      </c>
      <c r="D2302" t="s">
        <v>22</v>
      </c>
      <c r="E2302" t="s">
        <v>17</v>
      </c>
      <c r="F2302" t="s">
        <v>21</v>
      </c>
      <c r="G2302" t="s">
        <v>41</v>
      </c>
      <c r="H2302" t="s">
        <v>25</v>
      </c>
      <c r="I2302" s="1">
        <v>2</v>
      </c>
      <c r="J2302" s="2">
        <v>45773</v>
      </c>
      <c r="K2302" s="2">
        <v>45748</v>
      </c>
      <c r="L2302" s="1" t="str">
        <f t="shared" si="239"/>
        <v>sáb</v>
      </c>
      <c r="M2302" s="1" t="str">
        <f t="shared" si="240"/>
        <v>abr</v>
      </c>
      <c r="N2302">
        <f t="shared" si="241"/>
        <v>2025</v>
      </c>
      <c r="O2302" s="2"/>
      <c r="P2302" t="str">
        <f t="shared" si="238"/>
        <v>144445773</v>
      </c>
    </row>
    <row r="2303" spans="1:16" x14ac:dyDescent="0.3">
      <c r="A2303">
        <v>1444</v>
      </c>
      <c r="B2303">
        <v>28</v>
      </c>
      <c r="C2303" t="s">
        <v>15</v>
      </c>
      <c r="D2303" t="s">
        <v>22</v>
      </c>
      <c r="E2303" t="s">
        <v>17</v>
      </c>
      <c r="F2303" t="s">
        <v>21</v>
      </c>
      <c r="G2303" t="s">
        <v>41</v>
      </c>
      <c r="H2303" t="s">
        <v>25</v>
      </c>
      <c r="I2303" s="1">
        <v>2</v>
      </c>
      <c r="J2303" s="2">
        <v>45985</v>
      </c>
      <c r="K2303" s="2">
        <v>45962</v>
      </c>
      <c r="L2303" s="1" t="str">
        <f t="shared" si="239"/>
        <v>seg</v>
      </c>
      <c r="M2303" s="1" t="str">
        <f t="shared" si="240"/>
        <v>nov</v>
      </c>
      <c r="N2303">
        <f t="shared" si="241"/>
        <v>2025</v>
      </c>
      <c r="O2303" s="2"/>
      <c r="P2303" t="str">
        <f t="shared" si="238"/>
        <v>144445985</v>
      </c>
    </row>
    <row r="2304" spans="1:16" x14ac:dyDescent="0.3">
      <c r="A2304">
        <v>1444</v>
      </c>
      <c r="B2304">
        <v>28</v>
      </c>
      <c r="C2304" t="s">
        <v>15</v>
      </c>
      <c r="D2304" t="s">
        <v>22</v>
      </c>
      <c r="E2304" t="s">
        <v>17</v>
      </c>
      <c r="F2304" t="s">
        <v>21</v>
      </c>
      <c r="G2304" t="s">
        <v>41</v>
      </c>
      <c r="H2304" t="s">
        <v>25</v>
      </c>
      <c r="I2304" s="1">
        <v>2</v>
      </c>
      <c r="J2304" s="2">
        <v>46016</v>
      </c>
      <c r="K2304" s="2">
        <v>45992</v>
      </c>
      <c r="L2304" s="1" t="str">
        <f t="shared" si="239"/>
        <v>qui</v>
      </c>
      <c r="M2304" s="1" t="str">
        <f t="shared" si="240"/>
        <v>dez</v>
      </c>
      <c r="N2304">
        <f t="shared" si="241"/>
        <v>2025</v>
      </c>
      <c r="O2304" s="2"/>
      <c r="P2304" t="str">
        <f t="shared" si="238"/>
        <v>144446016</v>
      </c>
    </row>
    <row r="2305" spans="1:16" x14ac:dyDescent="0.3">
      <c r="A2305">
        <v>1444</v>
      </c>
      <c r="B2305">
        <v>28</v>
      </c>
      <c r="C2305" t="s">
        <v>15</v>
      </c>
      <c r="D2305" t="s">
        <v>22</v>
      </c>
      <c r="E2305" t="s">
        <v>17</v>
      </c>
      <c r="F2305" t="s">
        <v>21</v>
      </c>
      <c r="G2305" t="s">
        <v>41</v>
      </c>
      <c r="H2305" t="s">
        <v>25</v>
      </c>
      <c r="I2305" s="1">
        <v>2</v>
      </c>
      <c r="J2305" s="2">
        <v>46076</v>
      </c>
      <c r="K2305" s="2">
        <v>46054</v>
      </c>
      <c r="L2305" s="1" t="str">
        <f t="shared" si="239"/>
        <v>seg</v>
      </c>
      <c r="M2305" s="1" t="str">
        <f t="shared" si="240"/>
        <v>fev</v>
      </c>
      <c r="N2305">
        <f t="shared" si="241"/>
        <v>2026</v>
      </c>
      <c r="O2305" s="2"/>
      <c r="P2305" t="str">
        <f t="shared" ref="P2305:P2368" si="242">CONCATENATE(A2305,J2305)</f>
        <v>144446076</v>
      </c>
    </row>
    <row r="2306" spans="1:16" x14ac:dyDescent="0.3">
      <c r="A2306">
        <v>1444</v>
      </c>
      <c r="B2306">
        <v>28</v>
      </c>
      <c r="C2306" t="s">
        <v>15</v>
      </c>
      <c r="D2306" t="s">
        <v>22</v>
      </c>
      <c r="E2306" t="s">
        <v>17</v>
      </c>
      <c r="F2306" t="s">
        <v>21</v>
      </c>
      <c r="G2306" t="s">
        <v>40</v>
      </c>
      <c r="H2306" t="s">
        <v>25</v>
      </c>
      <c r="I2306" s="1">
        <v>2</v>
      </c>
      <c r="J2306" s="2">
        <v>46107</v>
      </c>
      <c r="K2306" s="2">
        <v>46082</v>
      </c>
      <c r="L2306" s="1" t="str">
        <f t="shared" si="239"/>
        <v>qui</v>
      </c>
      <c r="M2306" s="1" t="str">
        <f t="shared" si="240"/>
        <v>mar</v>
      </c>
      <c r="N2306">
        <f t="shared" si="241"/>
        <v>2026</v>
      </c>
      <c r="O2306" s="2"/>
      <c r="P2306" t="str">
        <f t="shared" si="242"/>
        <v>144446107</v>
      </c>
    </row>
    <row r="2307" spans="1:16" x14ac:dyDescent="0.3">
      <c r="A2307">
        <v>1444</v>
      </c>
      <c r="B2307">
        <v>28</v>
      </c>
      <c r="C2307" t="s">
        <v>15</v>
      </c>
      <c r="D2307" t="s">
        <v>22</v>
      </c>
      <c r="E2307" t="s">
        <v>17</v>
      </c>
      <c r="F2307" t="s">
        <v>21</v>
      </c>
      <c r="G2307" t="s">
        <v>41</v>
      </c>
      <c r="H2307" t="s">
        <v>25</v>
      </c>
      <c r="I2307" s="1">
        <v>2</v>
      </c>
      <c r="J2307" s="2">
        <v>46138</v>
      </c>
      <c r="K2307" s="2">
        <v>46113</v>
      </c>
      <c r="L2307" s="1" t="s">
        <v>54</v>
      </c>
      <c r="M2307" s="1" t="s">
        <v>48</v>
      </c>
      <c r="N2307">
        <v>2025</v>
      </c>
      <c r="O2307" s="2"/>
      <c r="P2307" t="str">
        <f t="shared" si="242"/>
        <v>144446138</v>
      </c>
    </row>
    <row r="2308" spans="1:16" x14ac:dyDescent="0.3">
      <c r="A2308">
        <v>1444</v>
      </c>
      <c r="B2308">
        <v>28</v>
      </c>
      <c r="C2308" t="s">
        <v>15</v>
      </c>
      <c r="D2308" t="s">
        <v>22</v>
      </c>
      <c r="E2308" t="s">
        <v>17</v>
      </c>
      <c r="F2308" t="s">
        <v>21</v>
      </c>
      <c r="G2308" t="s">
        <v>40</v>
      </c>
      <c r="H2308" t="s">
        <v>25</v>
      </c>
      <c r="I2308" s="1">
        <v>2</v>
      </c>
      <c r="J2308" s="2">
        <v>46203</v>
      </c>
      <c r="K2308" s="2">
        <v>46174</v>
      </c>
      <c r="L2308" s="1" t="str">
        <f t="shared" ref="L2308:L2314" si="243">TEXT(J2308,"ddd")</f>
        <v>ter</v>
      </c>
      <c r="M2308" s="1" t="str">
        <f t="shared" ref="M2308:M2314" si="244">TEXT($J2308,"mmm")</f>
        <v>jun</v>
      </c>
      <c r="N2308">
        <f t="shared" ref="N2308:N2314" si="245">YEAR(J2308)</f>
        <v>2026</v>
      </c>
      <c r="O2308" s="2"/>
      <c r="P2308" t="str">
        <f t="shared" si="242"/>
        <v>144446203</v>
      </c>
    </row>
    <row r="2309" spans="1:16" x14ac:dyDescent="0.3">
      <c r="A2309">
        <v>1445</v>
      </c>
      <c r="B2309">
        <v>41</v>
      </c>
      <c r="C2309" t="s">
        <v>26</v>
      </c>
      <c r="D2309" t="s">
        <v>22</v>
      </c>
      <c r="E2309" t="s">
        <v>17</v>
      </c>
      <c r="F2309" t="s">
        <v>21</v>
      </c>
      <c r="G2309" t="s">
        <v>42</v>
      </c>
      <c r="H2309" t="s">
        <v>25</v>
      </c>
      <c r="I2309" s="1">
        <v>2</v>
      </c>
      <c r="J2309" s="2">
        <v>45800</v>
      </c>
      <c r="K2309" s="2">
        <v>45778</v>
      </c>
      <c r="L2309" s="1" t="str">
        <f t="shared" si="243"/>
        <v>sex</v>
      </c>
      <c r="M2309" s="1" t="str">
        <f t="shared" si="244"/>
        <v>mai</v>
      </c>
      <c r="N2309">
        <f t="shared" si="245"/>
        <v>2025</v>
      </c>
      <c r="O2309" s="2"/>
      <c r="P2309" t="str">
        <f t="shared" si="242"/>
        <v>144545800</v>
      </c>
    </row>
    <row r="2310" spans="1:16" x14ac:dyDescent="0.3">
      <c r="A2310">
        <v>1445</v>
      </c>
      <c r="B2310">
        <v>41</v>
      </c>
      <c r="C2310" t="s">
        <v>26</v>
      </c>
      <c r="D2310" t="s">
        <v>22</v>
      </c>
      <c r="E2310" t="s">
        <v>17</v>
      </c>
      <c r="F2310" t="s">
        <v>21</v>
      </c>
      <c r="G2310" t="s">
        <v>43</v>
      </c>
      <c r="H2310" t="s">
        <v>25</v>
      </c>
      <c r="I2310" s="1">
        <v>2</v>
      </c>
      <c r="J2310" s="2">
        <v>45827</v>
      </c>
      <c r="K2310" s="2">
        <v>45809</v>
      </c>
      <c r="L2310" s="1" t="str">
        <f t="shared" si="243"/>
        <v>qui</v>
      </c>
      <c r="M2310" s="1" t="str">
        <f t="shared" si="244"/>
        <v>jun</v>
      </c>
      <c r="N2310">
        <f t="shared" si="245"/>
        <v>2025</v>
      </c>
      <c r="O2310" s="2"/>
      <c r="P2310" t="str">
        <f t="shared" si="242"/>
        <v>144545827</v>
      </c>
    </row>
    <row r="2311" spans="1:16" x14ac:dyDescent="0.3">
      <c r="A2311">
        <v>1445</v>
      </c>
      <c r="B2311">
        <v>41</v>
      </c>
      <c r="C2311" t="s">
        <v>26</v>
      </c>
      <c r="D2311" t="s">
        <v>22</v>
      </c>
      <c r="E2311" t="s">
        <v>17</v>
      </c>
      <c r="F2311" t="s">
        <v>21</v>
      </c>
      <c r="G2311" t="s">
        <v>43</v>
      </c>
      <c r="H2311" t="s">
        <v>25</v>
      </c>
      <c r="I2311" s="1">
        <v>2</v>
      </c>
      <c r="J2311" s="2">
        <v>45977</v>
      </c>
      <c r="K2311" s="2">
        <v>45962</v>
      </c>
      <c r="L2311" s="1" t="str">
        <f t="shared" si="243"/>
        <v>dom</v>
      </c>
      <c r="M2311" s="1" t="str">
        <f t="shared" si="244"/>
        <v>nov</v>
      </c>
      <c r="N2311">
        <f t="shared" si="245"/>
        <v>2025</v>
      </c>
      <c r="O2311" s="2"/>
      <c r="P2311" t="str">
        <f t="shared" si="242"/>
        <v>144545977</v>
      </c>
    </row>
    <row r="2312" spans="1:16" x14ac:dyDescent="0.3">
      <c r="A2312">
        <v>1445</v>
      </c>
      <c r="B2312">
        <v>41</v>
      </c>
      <c r="C2312" t="s">
        <v>26</v>
      </c>
      <c r="D2312" t="s">
        <v>22</v>
      </c>
      <c r="E2312" t="s">
        <v>17</v>
      </c>
      <c r="F2312" t="s">
        <v>21</v>
      </c>
      <c r="G2312" t="s">
        <v>42</v>
      </c>
      <c r="H2312" t="s">
        <v>25</v>
      </c>
      <c r="I2312" s="1">
        <v>2</v>
      </c>
      <c r="J2312" s="2">
        <v>45987</v>
      </c>
      <c r="K2312" s="2">
        <v>45962</v>
      </c>
      <c r="L2312" s="1" t="str">
        <f t="shared" si="243"/>
        <v>qua</v>
      </c>
      <c r="M2312" s="1" t="str">
        <f t="shared" si="244"/>
        <v>nov</v>
      </c>
      <c r="N2312">
        <f t="shared" si="245"/>
        <v>2025</v>
      </c>
      <c r="O2312" s="2"/>
      <c r="P2312" t="str">
        <f t="shared" si="242"/>
        <v>144545987</v>
      </c>
    </row>
    <row r="2313" spans="1:16" x14ac:dyDescent="0.3">
      <c r="A2313">
        <v>1445</v>
      </c>
      <c r="B2313">
        <v>41</v>
      </c>
      <c r="C2313" t="s">
        <v>26</v>
      </c>
      <c r="D2313" t="s">
        <v>22</v>
      </c>
      <c r="E2313" t="s">
        <v>17</v>
      </c>
      <c r="F2313" t="s">
        <v>21</v>
      </c>
      <c r="G2313" t="s">
        <v>42</v>
      </c>
      <c r="H2313" t="s">
        <v>25</v>
      </c>
      <c r="I2313" s="1">
        <v>2</v>
      </c>
      <c r="J2313" s="2">
        <v>46008</v>
      </c>
      <c r="K2313" s="2">
        <v>45992</v>
      </c>
      <c r="L2313" s="1" t="str">
        <f t="shared" si="243"/>
        <v>qua</v>
      </c>
      <c r="M2313" s="1" t="str">
        <f t="shared" si="244"/>
        <v>dez</v>
      </c>
      <c r="N2313">
        <f t="shared" si="245"/>
        <v>2025</v>
      </c>
      <c r="O2313" s="2"/>
      <c r="P2313" t="str">
        <f t="shared" si="242"/>
        <v>144546008</v>
      </c>
    </row>
    <row r="2314" spans="1:16" x14ac:dyDescent="0.3">
      <c r="A2314">
        <v>1445</v>
      </c>
      <c r="B2314">
        <v>41</v>
      </c>
      <c r="C2314" t="s">
        <v>26</v>
      </c>
      <c r="D2314" t="s">
        <v>22</v>
      </c>
      <c r="E2314" t="s">
        <v>17</v>
      </c>
      <c r="F2314" t="s">
        <v>21</v>
      </c>
      <c r="G2314" t="s">
        <v>41</v>
      </c>
      <c r="H2314" t="s">
        <v>25</v>
      </c>
      <c r="I2314" s="1">
        <v>2</v>
      </c>
      <c r="J2314" s="2">
        <v>46098</v>
      </c>
      <c r="K2314" s="2">
        <v>46082</v>
      </c>
      <c r="L2314" s="1" t="str">
        <f t="shared" si="243"/>
        <v>ter</v>
      </c>
      <c r="M2314" s="1" t="str">
        <f t="shared" si="244"/>
        <v>mar</v>
      </c>
      <c r="N2314">
        <f t="shared" si="245"/>
        <v>2026</v>
      </c>
      <c r="O2314" s="2"/>
      <c r="P2314" t="str">
        <f t="shared" si="242"/>
        <v>144546098</v>
      </c>
    </row>
    <row r="2315" spans="1:16" x14ac:dyDescent="0.3">
      <c r="A2315">
        <v>1445</v>
      </c>
      <c r="B2315">
        <v>41</v>
      </c>
      <c r="C2315" t="s">
        <v>26</v>
      </c>
      <c r="D2315" t="s">
        <v>22</v>
      </c>
      <c r="E2315" t="s">
        <v>17</v>
      </c>
      <c r="F2315" t="s">
        <v>21</v>
      </c>
      <c r="G2315" t="s">
        <v>42</v>
      </c>
      <c r="H2315" t="s">
        <v>25</v>
      </c>
      <c r="I2315" s="1">
        <v>2</v>
      </c>
      <c r="J2315" s="2">
        <v>46165</v>
      </c>
      <c r="K2315" s="2">
        <v>46143</v>
      </c>
      <c r="L2315" s="1" t="s">
        <v>53</v>
      </c>
      <c r="M2315" s="1" t="s">
        <v>49</v>
      </c>
      <c r="N2315">
        <v>2025</v>
      </c>
      <c r="O2315" s="2"/>
      <c r="P2315" t="str">
        <f t="shared" si="242"/>
        <v>144546165</v>
      </c>
    </row>
    <row r="2316" spans="1:16" x14ac:dyDescent="0.3">
      <c r="A2316">
        <v>1446</v>
      </c>
      <c r="B2316">
        <v>54</v>
      </c>
      <c r="C2316" t="s">
        <v>15</v>
      </c>
      <c r="D2316" t="s">
        <v>16</v>
      </c>
      <c r="E2316" t="s">
        <v>17</v>
      </c>
      <c r="F2316" t="s">
        <v>18</v>
      </c>
      <c r="G2316" t="s">
        <v>43</v>
      </c>
      <c r="H2316" t="s">
        <v>25</v>
      </c>
      <c r="I2316" s="1">
        <v>3</v>
      </c>
      <c r="J2316" s="2">
        <v>45769</v>
      </c>
      <c r="K2316" s="2">
        <v>45748</v>
      </c>
      <c r="L2316" s="1" t="str">
        <f>TEXT(J2316,"ddd")</f>
        <v>ter</v>
      </c>
      <c r="M2316" s="1" t="str">
        <f>TEXT($J2316,"mmm")</f>
        <v>abr</v>
      </c>
      <c r="N2316">
        <f>YEAR(J2316)</f>
        <v>2025</v>
      </c>
      <c r="O2316" s="2"/>
      <c r="P2316" t="str">
        <f t="shared" si="242"/>
        <v>144645769</v>
      </c>
    </row>
    <row r="2317" spans="1:16" x14ac:dyDescent="0.3">
      <c r="A2317">
        <v>1446</v>
      </c>
      <c r="B2317">
        <v>54</v>
      </c>
      <c r="C2317" t="s">
        <v>15</v>
      </c>
      <c r="D2317" t="s">
        <v>16</v>
      </c>
      <c r="E2317" t="s">
        <v>17</v>
      </c>
      <c r="F2317" t="s">
        <v>18</v>
      </c>
      <c r="G2317" t="s">
        <v>43</v>
      </c>
      <c r="H2317" t="s">
        <v>25</v>
      </c>
      <c r="I2317" s="1">
        <v>3</v>
      </c>
      <c r="J2317" s="2">
        <v>45874</v>
      </c>
      <c r="K2317" s="2">
        <v>45870</v>
      </c>
      <c r="L2317" s="1" t="str">
        <f>TEXT(J2317,"ddd")</f>
        <v>ter</v>
      </c>
      <c r="M2317" s="1" t="str">
        <f>TEXT($J2317,"mmm")</f>
        <v>ago</v>
      </c>
      <c r="N2317">
        <f>YEAR(J2317)</f>
        <v>2025</v>
      </c>
      <c r="O2317" s="2"/>
      <c r="P2317" t="str">
        <f t="shared" si="242"/>
        <v>144645874</v>
      </c>
    </row>
    <row r="2318" spans="1:16" x14ac:dyDescent="0.3">
      <c r="A2318">
        <v>1446</v>
      </c>
      <c r="B2318">
        <v>54</v>
      </c>
      <c r="C2318" t="s">
        <v>15</v>
      </c>
      <c r="D2318" t="s">
        <v>16</v>
      </c>
      <c r="E2318" t="s">
        <v>17</v>
      </c>
      <c r="F2318" t="s">
        <v>18</v>
      </c>
      <c r="G2318" t="s">
        <v>43</v>
      </c>
      <c r="H2318" t="s">
        <v>25</v>
      </c>
      <c r="I2318" s="1">
        <v>3</v>
      </c>
      <c r="J2318" s="2">
        <v>45935</v>
      </c>
      <c r="K2318" s="2">
        <v>45931</v>
      </c>
      <c r="L2318" s="1" t="str">
        <f>TEXT(J2318,"ddd")</f>
        <v>dom</v>
      </c>
      <c r="M2318" s="1" t="str">
        <f>TEXT($J2318,"mmm")</f>
        <v>out</v>
      </c>
      <c r="N2318">
        <f>YEAR(J2318)</f>
        <v>2025</v>
      </c>
      <c r="O2318" s="2"/>
      <c r="P2318" t="str">
        <f t="shared" si="242"/>
        <v>144645935</v>
      </c>
    </row>
    <row r="2319" spans="1:16" x14ac:dyDescent="0.3">
      <c r="A2319">
        <v>1446</v>
      </c>
      <c r="B2319">
        <v>54</v>
      </c>
      <c r="C2319" t="s">
        <v>15</v>
      </c>
      <c r="D2319" t="s">
        <v>16</v>
      </c>
      <c r="E2319" t="s">
        <v>17</v>
      </c>
      <c r="F2319" t="s">
        <v>18</v>
      </c>
      <c r="G2319" t="s">
        <v>43</v>
      </c>
      <c r="H2319" t="s">
        <v>25</v>
      </c>
      <c r="I2319" s="1">
        <v>3</v>
      </c>
      <c r="J2319" s="2">
        <v>46188</v>
      </c>
      <c r="K2319" s="2">
        <v>46023</v>
      </c>
      <c r="L2319" s="1" t="str">
        <f>TEXT(J2319,"ddd")</f>
        <v>seg</v>
      </c>
      <c r="M2319" s="1" t="str">
        <f>TEXT($J2319,"mmm")</f>
        <v>jun</v>
      </c>
      <c r="N2319">
        <f>YEAR(J2319)</f>
        <v>2026</v>
      </c>
      <c r="O2319" s="2"/>
      <c r="P2319" t="str">
        <f t="shared" si="242"/>
        <v>144646188</v>
      </c>
    </row>
    <row r="2320" spans="1:16" x14ac:dyDescent="0.3">
      <c r="A2320">
        <v>1446</v>
      </c>
      <c r="B2320">
        <v>54</v>
      </c>
      <c r="C2320" t="s">
        <v>15</v>
      </c>
      <c r="D2320" t="s">
        <v>16</v>
      </c>
      <c r="E2320" t="s">
        <v>17</v>
      </c>
      <c r="F2320" t="s">
        <v>18</v>
      </c>
      <c r="G2320" t="s">
        <v>43</v>
      </c>
      <c r="H2320" t="s">
        <v>25</v>
      </c>
      <c r="I2320" s="1">
        <v>3</v>
      </c>
      <c r="J2320" s="2">
        <v>46086</v>
      </c>
      <c r="K2320" s="2">
        <v>46082</v>
      </c>
      <c r="L2320" s="1" t="str">
        <f>TEXT(J2320,"ddd")</f>
        <v>qui</v>
      </c>
      <c r="M2320" s="1" t="str">
        <f>TEXT($J2320,"mmm")</f>
        <v>mar</v>
      </c>
      <c r="N2320">
        <f>YEAR(J2320)</f>
        <v>2026</v>
      </c>
      <c r="O2320" s="2"/>
      <c r="P2320" t="str">
        <f t="shared" si="242"/>
        <v>144646086</v>
      </c>
    </row>
    <row r="2321" spans="1:16" x14ac:dyDescent="0.3">
      <c r="A2321">
        <v>1446</v>
      </c>
      <c r="B2321">
        <v>54</v>
      </c>
      <c r="C2321" t="s">
        <v>15</v>
      </c>
      <c r="D2321" t="s">
        <v>16</v>
      </c>
      <c r="E2321" t="s">
        <v>17</v>
      </c>
      <c r="F2321" t="s">
        <v>18</v>
      </c>
      <c r="G2321" t="s">
        <v>43</v>
      </c>
      <c r="H2321" t="s">
        <v>25</v>
      </c>
      <c r="I2321" s="1">
        <v>3</v>
      </c>
      <c r="J2321" s="2">
        <v>46134</v>
      </c>
      <c r="K2321" s="2">
        <v>46113</v>
      </c>
      <c r="L2321" s="1" t="s">
        <v>50</v>
      </c>
      <c r="M2321" s="1" t="s">
        <v>48</v>
      </c>
      <c r="N2321">
        <v>2025</v>
      </c>
      <c r="O2321" s="2"/>
      <c r="P2321" t="str">
        <f t="shared" si="242"/>
        <v>144646134</v>
      </c>
    </row>
    <row r="2322" spans="1:16" x14ac:dyDescent="0.3">
      <c r="A2322">
        <v>1447</v>
      </c>
      <c r="B2322">
        <v>26</v>
      </c>
      <c r="C2322" t="s">
        <v>26</v>
      </c>
      <c r="D2322" t="s">
        <v>29</v>
      </c>
      <c r="E2322" t="s">
        <v>17</v>
      </c>
      <c r="F2322" t="s">
        <v>23</v>
      </c>
      <c r="G2322" t="s">
        <v>41</v>
      </c>
      <c r="H2322" t="s">
        <v>25</v>
      </c>
      <c r="I2322" s="1">
        <v>3</v>
      </c>
      <c r="J2322" s="2">
        <v>45864</v>
      </c>
      <c r="K2322" s="2">
        <v>45839</v>
      </c>
      <c r="L2322" s="1" t="str">
        <f t="shared" ref="L2322:L2332" si="246">TEXT(J2322,"ddd")</f>
        <v>sáb</v>
      </c>
      <c r="M2322" s="1" t="str">
        <f t="shared" ref="M2322:M2332" si="247">TEXT($J2322,"mmm")</f>
        <v>jul</v>
      </c>
      <c r="N2322">
        <f t="shared" ref="N2322:N2332" si="248">YEAR(J2322)</f>
        <v>2025</v>
      </c>
      <c r="O2322" s="2"/>
      <c r="P2322" t="str">
        <f t="shared" si="242"/>
        <v>144745864</v>
      </c>
    </row>
    <row r="2323" spans="1:16" x14ac:dyDescent="0.3">
      <c r="A2323">
        <v>1447</v>
      </c>
      <c r="B2323">
        <v>26</v>
      </c>
      <c r="C2323" t="s">
        <v>26</v>
      </c>
      <c r="D2323" t="s">
        <v>29</v>
      </c>
      <c r="E2323" t="s">
        <v>17</v>
      </c>
      <c r="F2323" t="s">
        <v>23</v>
      </c>
      <c r="G2323" t="s">
        <v>41</v>
      </c>
      <c r="H2323" t="s">
        <v>25</v>
      </c>
      <c r="I2323" s="1">
        <v>3</v>
      </c>
      <c r="J2323" s="2">
        <v>45895</v>
      </c>
      <c r="K2323" s="2">
        <v>45870</v>
      </c>
      <c r="L2323" s="1" t="str">
        <f t="shared" si="246"/>
        <v>ter</v>
      </c>
      <c r="M2323" s="1" t="str">
        <f t="shared" si="247"/>
        <v>ago</v>
      </c>
      <c r="N2323">
        <f t="shared" si="248"/>
        <v>2025</v>
      </c>
      <c r="O2323" s="2"/>
      <c r="P2323" t="str">
        <f t="shared" si="242"/>
        <v>144745895</v>
      </c>
    </row>
    <row r="2324" spans="1:16" x14ac:dyDescent="0.3">
      <c r="A2324">
        <v>1447</v>
      </c>
      <c r="B2324">
        <v>26</v>
      </c>
      <c r="C2324" t="s">
        <v>26</v>
      </c>
      <c r="D2324" t="s">
        <v>29</v>
      </c>
      <c r="E2324" t="s">
        <v>17</v>
      </c>
      <c r="F2324" t="s">
        <v>23</v>
      </c>
      <c r="G2324" t="s">
        <v>43</v>
      </c>
      <c r="H2324" t="s">
        <v>25</v>
      </c>
      <c r="I2324" s="1">
        <v>3</v>
      </c>
      <c r="J2324" s="2">
        <v>46178</v>
      </c>
      <c r="K2324" s="2">
        <v>46023</v>
      </c>
      <c r="L2324" s="1" t="str">
        <f t="shared" si="246"/>
        <v>sex</v>
      </c>
      <c r="M2324" s="1" t="str">
        <f t="shared" si="247"/>
        <v>jun</v>
      </c>
      <c r="N2324">
        <f t="shared" si="248"/>
        <v>2026</v>
      </c>
      <c r="O2324" s="2"/>
      <c r="P2324" t="str">
        <f t="shared" si="242"/>
        <v>144746178</v>
      </c>
    </row>
    <row r="2325" spans="1:16" x14ac:dyDescent="0.3">
      <c r="A2325">
        <v>1447</v>
      </c>
      <c r="B2325">
        <v>26</v>
      </c>
      <c r="C2325" t="s">
        <v>26</v>
      </c>
      <c r="D2325" t="s">
        <v>29</v>
      </c>
      <c r="E2325" t="s">
        <v>17</v>
      </c>
      <c r="F2325" t="s">
        <v>23</v>
      </c>
      <c r="G2325" t="s">
        <v>43</v>
      </c>
      <c r="H2325" t="s">
        <v>25</v>
      </c>
      <c r="I2325" s="1">
        <v>3</v>
      </c>
      <c r="J2325" s="2">
        <v>46069</v>
      </c>
      <c r="K2325" s="2">
        <v>46054</v>
      </c>
      <c r="L2325" s="1" t="str">
        <f t="shared" si="246"/>
        <v>seg</v>
      </c>
      <c r="M2325" s="1" t="str">
        <f t="shared" si="247"/>
        <v>fev</v>
      </c>
      <c r="N2325">
        <f t="shared" si="248"/>
        <v>2026</v>
      </c>
      <c r="O2325" s="2"/>
      <c r="P2325" t="str">
        <f t="shared" si="242"/>
        <v>144746069</v>
      </c>
    </row>
    <row r="2326" spans="1:16" x14ac:dyDescent="0.3">
      <c r="A2326">
        <v>1447</v>
      </c>
      <c r="B2326">
        <v>26</v>
      </c>
      <c r="C2326" t="s">
        <v>26</v>
      </c>
      <c r="D2326" t="s">
        <v>29</v>
      </c>
      <c r="E2326" t="s">
        <v>17</v>
      </c>
      <c r="F2326" t="s">
        <v>23</v>
      </c>
      <c r="G2326" t="s">
        <v>41</v>
      </c>
      <c r="H2326" t="s">
        <v>25</v>
      </c>
      <c r="I2326" s="1">
        <v>3</v>
      </c>
      <c r="J2326" s="2">
        <v>46072</v>
      </c>
      <c r="K2326" s="2">
        <v>46054</v>
      </c>
      <c r="L2326" s="1" t="str">
        <f t="shared" si="246"/>
        <v>qui</v>
      </c>
      <c r="M2326" s="1" t="str">
        <f t="shared" si="247"/>
        <v>fev</v>
      </c>
      <c r="N2326">
        <f t="shared" si="248"/>
        <v>2026</v>
      </c>
      <c r="O2326" s="2"/>
      <c r="P2326" t="str">
        <f t="shared" si="242"/>
        <v>144746072</v>
      </c>
    </row>
    <row r="2327" spans="1:16" x14ac:dyDescent="0.3">
      <c r="A2327">
        <v>1449</v>
      </c>
      <c r="B2327">
        <v>55</v>
      </c>
      <c r="C2327" t="s">
        <v>15</v>
      </c>
      <c r="D2327" t="s">
        <v>16</v>
      </c>
      <c r="E2327" t="s">
        <v>17</v>
      </c>
      <c r="F2327" t="s">
        <v>21</v>
      </c>
      <c r="G2327" t="s">
        <v>40</v>
      </c>
      <c r="H2327" t="s">
        <v>25</v>
      </c>
      <c r="I2327" s="1">
        <v>3</v>
      </c>
      <c r="J2327" s="2">
        <v>45764</v>
      </c>
      <c r="K2327" s="2">
        <v>45748</v>
      </c>
      <c r="L2327" s="1" t="str">
        <f t="shared" si="246"/>
        <v>qui</v>
      </c>
      <c r="M2327" s="1" t="str">
        <f t="shared" si="247"/>
        <v>abr</v>
      </c>
      <c r="N2327">
        <f t="shared" si="248"/>
        <v>2025</v>
      </c>
      <c r="O2327" s="2"/>
      <c r="P2327" t="str">
        <f t="shared" si="242"/>
        <v>144945764</v>
      </c>
    </row>
    <row r="2328" spans="1:16" x14ac:dyDescent="0.3">
      <c r="A2328">
        <v>1449</v>
      </c>
      <c r="B2328">
        <v>55</v>
      </c>
      <c r="C2328" t="s">
        <v>15</v>
      </c>
      <c r="D2328" t="s">
        <v>16</v>
      </c>
      <c r="E2328" t="s">
        <v>17</v>
      </c>
      <c r="F2328" t="s">
        <v>21</v>
      </c>
      <c r="G2328" t="s">
        <v>40</v>
      </c>
      <c r="H2328" t="s">
        <v>25</v>
      </c>
      <c r="I2328" s="1">
        <v>3</v>
      </c>
      <c r="J2328" s="2">
        <v>45775</v>
      </c>
      <c r="K2328" s="2">
        <v>45748</v>
      </c>
      <c r="L2328" s="1" t="str">
        <f t="shared" si="246"/>
        <v>seg</v>
      </c>
      <c r="M2328" s="1" t="str">
        <f t="shared" si="247"/>
        <v>abr</v>
      </c>
      <c r="N2328">
        <f t="shared" si="248"/>
        <v>2025</v>
      </c>
      <c r="O2328" s="2"/>
      <c r="P2328" t="str">
        <f t="shared" si="242"/>
        <v>144945775</v>
      </c>
    </row>
    <row r="2329" spans="1:16" x14ac:dyDescent="0.3">
      <c r="A2329">
        <v>1449</v>
      </c>
      <c r="B2329">
        <v>55</v>
      </c>
      <c r="C2329" t="s">
        <v>15</v>
      </c>
      <c r="D2329" t="s">
        <v>16</v>
      </c>
      <c r="E2329" t="s">
        <v>17</v>
      </c>
      <c r="F2329" t="s">
        <v>21</v>
      </c>
      <c r="G2329" t="s">
        <v>40</v>
      </c>
      <c r="H2329" t="s">
        <v>25</v>
      </c>
      <c r="I2329" s="1">
        <v>3</v>
      </c>
      <c r="J2329" s="2">
        <v>45782</v>
      </c>
      <c r="K2329" s="2">
        <v>45778</v>
      </c>
      <c r="L2329" s="1" t="str">
        <f t="shared" si="246"/>
        <v>seg</v>
      </c>
      <c r="M2329" s="1" t="str">
        <f t="shared" si="247"/>
        <v>mai</v>
      </c>
      <c r="N2329">
        <f t="shared" si="248"/>
        <v>2025</v>
      </c>
      <c r="O2329" s="2"/>
      <c r="P2329" t="str">
        <f t="shared" si="242"/>
        <v>144945782</v>
      </c>
    </row>
    <row r="2330" spans="1:16" x14ac:dyDescent="0.3">
      <c r="A2330">
        <v>1449</v>
      </c>
      <c r="B2330">
        <v>55</v>
      </c>
      <c r="C2330" t="s">
        <v>15</v>
      </c>
      <c r="D2330" t="s">
        <v>16</v>
      </c>
      <c r="E2330" t="s">
        <v>17</v>
      </c>
      <c r="F2330" t="s">
        <v>21</v>
      </c>
      <c r="G2330" t="s">
        <v>40</v>
      </c>
      <c r="H2330" t="s">
        <v>25</v>
      </c>
      <c r="I2330" s="1">
        <v>3</v>
      </c>
      <c r="J2330" s="2">
        <v>45784</v>
      </c>
      <c r="K2330" s="2">
        <v>45778</v>
      </c>
      <c r="L2330" s="1" t="str">
        <f t="shared" si="246"/>
        <v>qua</v>
      </c>
      <c r="M2330" s="1" t="str">
        <f t="shared" si="247"/>
        <v>mai</v>
      </c>
      <c r="N2330">
        <f t="shared" si="248"/>
        <v>2025</v>
      </c>
      <c r="O2330" s="2"/>
      <c r="P2330" t="str">
        <f t="shared" si="242"/>
        <v>144945784</v>
      </c>
    </row>
    <row r="2331" spans="1:16" x14ac:dyDescent="0.3">
      <c r="A2331">
        <v>1449</v>
      </c>
      <c r="B2331">
        <v>55</v>
      </c>
      <c r="C2331" t="s">
        <v>15</v>
      </c>
      <c r="D2331" t="s">
        <v>16</v>
      </c>
      <c r="E2331" t="s">
        <v>17</v>
      </c>
      <c r="F2331" t="s">
        <v>21</v>
      </c>
      <c r="G2331" t="s">
        <v>40</v>
      </c>
      <c r="H2331" t="s">
        <v>25</v>
      </c>
      <c r="I2331" s="1">
        <v>3</v>
      </c>
      <c r="J2331" s="2">
        <v>46195</v>
      </c>
      <c r="K2331" s="2">
        <v>46023</v>
      </c>
      <c r="L2331" s="1" t="str">
        <f t="shared" si="246"/>
        <v>seg</v>
      </c>
      <c r="M2331" s="1" t="str">
        <f t="shared" si="247"/>
        <v>jun</v>
      </c>
      <c r="N2331">
        <f t="shared" si="248"/>
        <v>2026</v>
      </c>
      <c r="O2331" s="2"/>
      <c r="P2331" t="str">
        <f t="shared" si="242"/>
        <v>144946195</v>
      </c>
    </row>
    <row r="2332" spans="1:16" x14ac:dyDescent="0.3">
      <c r="A2332">
        <v>1449</v>
      </c>
      <c r="B2332">
        <v>55</v>
      </c>
      <c r="C2332" t="s">
        <v>15</v>
      </c>
      <c r="D2332" t="s">
        <v>16</v>
      </c>
      <c r="E2332" t="s">
        <v>17</v>
      </c>
      <c r="F2332" t="s">
        <v>21</v>
      </c>
      <c r="G2332" t="s">
        <v>40</v>
      </c>
      <c r="H2332" t="s">
        <v>25</v>
      </c>
      <c r="I2332" s="1">
        <v>3</v>
      </c>
      <c r="J2332" s="2">
        <v>46055</v>
      </c>
      <c r="K2332" s="2">
        <v>46054</v>
      </c>
      <c r="L2332" s="1" t="str">
        <f t="shared" si="246"/>
        <v>seg</v>
      </c>
      <c r="M2332" s="1" t="str">
        <f t="shared" si="247"/>
        <v>fev</v>
      </c>
      <c r="N2332">
        <f t="shared" si="248"/>
        <v>2026</v>
      </c>
      <c r="O2332" s="2"/>
      <c r="P2332" t="str">
        <f t="shared" si="242"/>
        <v>144946055</v>
      </c>
    </row>
    <row r="2333" spans="1:16" x14ac:dyDescent="0.3">
      <c r="A2333">
        <v>1449</v>
      </c>
      <c r="B2333">
        <v>55</v>
      </c>
      <c r="C2333" t="s">
        <v>15</v>
      </c>
      <c r="D2333" t="s">
        <v>16</v>
      </c>
      <c r="E2333" t="s">
        <v>17</v>
      </c>
      <c r="F2333" t="s">
        <v>21</v>
      </c>
      <c r="G2333" t="s">
        <v>40</v>
      </c>
      <c r="H2333" t="s">
        <v>25</v>
      </c>
      <c r="I2333" s="1">
        <v>3</v>
      </c>
      <c r="J2333" s="2">
        <v>46129</v>
      </c>
      <c r="K2333" s="2">
        <v>46113</v>
      </c>
      <c r="L2333" s="1" t="s">
        <v>52</v>
      </c>
      <c r="M2333" s="1" t="s">
        <v>48</v>
      </c>
      <c r="N2333">
        <v>2025</v>
      </c>
      <c r="O2333" s="2"/>
      <c r="P2333" t="str">
        <f t="shared" si="242"/>
        <v>144946129</v>
      </c>
    </row>
    <row r="2334" spans="1:16" x14ac:dyDescent="0.3">
      <c r="A2334">
        <v>1449</v>
      </c>
      <c r="B2334">
        <v>55</v>
      </c>
      <c r="C2334" t="s">
        <v>15</v>
      </c>
      <c r="D2334" t="s">
        <v>16</v>
      </c>
      <c r="E2334" t="s">
        <v>17</v>
      </c>
      <c r="F2334" t="s">
        <v>21</v>
      </c>
      <c r="G2334" t="s">
        <v>40</v>
      </c>
      <c r="H2334" t="s">
        <v>25</v>
      </c>
      <c r="I2334" s="1">
        <v>3</v>
      </c>
      <c r="J2334" s="2">
        <v>46140</v>
      </c>
      <c r="K2334" s="2">
        <v>46113</v>
      </c>
      <c r="L2334" s="1" t="s">
        <v>56</v>
      </c>
      <c r="M2334" s="1" t="s">
        <v>48</v>
      </c>
      <c r="N2334">
        <v>2025</v>
      </c>
      <c r="O2334" s="2"/>
      <c r="P2334" t="str">
        <f t="shared" si="242"/>
        <v>144946140</v>
      </c>
    </row>
    <row r="2335" spans="1:16" x14ac:dyDescent="0.3">
      <c r="A2335">
        <v>1449</v>
      </c>
      <c r="B2335">
        <v>55</v>
      </c>
      <c r="C2335" t="s">
        <v>15</v>
      </c>
      <c r="D2335" t="s">
        <v>16</v>
      </c>
      <c r="E2335" t="s">
        <v>17</v>
      </c>
      <c r="F2335" t="s">
        <v>21</v>
      </c>
      <c r="G2335" t="s">
        <v>40</v>
      </c>
      <c r="H2335" t="s">
        <v>25</v>
      </c>
      <c r="I2335" s="1">
        <v>3</v>
      </c>
      <c r="J2335" s="2">
        <v>46147</v>
      </c>
      <c r="K2335" s="2">
        <v>46143</v>
      </c>
      <c r="L2335" s="1" t="s">
        <v>56</v>
      </c>
      <c r="M2335" s="1" t="s">
        <v>49</v>
      </c>
      <c r="N2335">
        <v>2025</v>
      </c>
      <c r="O2335" s="2"/>
      <c r="P2335" t="str">
        <f t="shared" si="242"/>
        <v>144946147</v>
      </c>
    </row>
    <row r="2336" spans="1:16" x14ac:dyDescent="0.3">
      <c r="A2336">
        <v>1449</v>
      </c>
      <c r="B2336">
        <v>55</v>
      </c>
      <c r="C2336" t="s">
        <v>15</v>
      </c>
      <c r="D2336" t="s">
        <v>16</v>
      </c>
      <c r="E2336" t="s">
        <v>17</v>
      </c>
      <c r="F2336" t="s">
        <v>21</v>
      </c>
      <c r="G2336" t="s">
        <v>40</v>
      </c>
      <c r="H2336" t="s">
        <v>25</v>
      </c>
      <c r="I2336" s="1">
        <v>3</v>
      </c>
      <c r="J2336" s="2">
        <v>46149</v>
      </c>
      <c r="K2336" s="2">
        <v>46143</v>
      </c>
      <c r="L2336" s="1" t="s">
        <v>51</v>
      </c>
      <c r="M2336" s="1" t="s">
        <v>49</v>
      </c>
      <c r="N2336">
        <v>2025</v>
      </c>
      <c r="O2336" s="2"/>
      <c r="P2336" t="str">
        <f t="shared" si="242"/>
        <v>144946149</v>
      </c>
    </row>
    <row r="2337" spans="1:16" x14ac:dyDescent="0.3">
      <c r="A2337">
        <v>1450</v>
      </c>
      <c r="B2337">
        <v>54</v>
      </c>
      <c r="C2337" t="s">
        <v>26</v>
      </c>
      <c r="D2337" t="s">
        <v>27</v>
      </c>
      <c r="E2337" t="s">
        <v>17</v>
      </c>
      <c r="F2337" t="s">
        <v>21</v>
      </c>
      <c r="G2337" t="s">
        <v>40</v>
      </c>
      <c r="H2337" t="s">
        <v>25</v>
      </c>
      <c r="I2337" s="1">
        <v>1</v>
      </c>
      <c r="J2337" s="2">
        <v>45804</v>
      </c>
      <c r="K2337" s="2">
        <v>45778</v>
      </c>
      <c r="L2337" s="1" t="str">
        <f t="shared" ref="L2337:L2342" si="249">TEXT(J2337,"ddd")</f>
        <v>ter</v>
      </c>
      <c r="M2337" s="1" t="str">
        <f t="shared" ref="M2337:M2342" si="250">TEXT($J2337,"mmm")</f>
        <v>mai</v>
      </c>
      <c r="N2337">
        <f t="shared" ref="N2337:N2342" si="251">YEAR(J2337)</f>
        <v>2025</v>
      </c>
      <c r="O2337" s="2"/>
      <c r="P2337" t="str">
        <f t="shared" si="242"/>
        <v>145045804</v>
      </c>
    </row>
    <row r="2338" spans="1:16" x14ac:dyDescent="0.3">
      <c r="A2338">
        <v>1450</v>
      </c>
      <c r="B2338">
        <v>54</v>
      </c>
      <c r="C2338" t="s">
        <v>26</v>
      </c>
      <c r="D2338" t="s">
        <v>27</v>
      </c>
      <c r="E2338" t="s">
        <v>17</v>
      </c>
      <c r="F2338" t="s">
        <v>21</v>
      </c>
      <c r="G2338" t="s">
        <v>40</v>
      </c>
      <c r="H2338" t="s">
        <v>25</v>
      </c>
      <c r="I2338" s="1">
        <v>1</v>
      </c>
      <c r="J2338" s="2">
        <v>45834</v>
      </c>
      <c r="K2338" s="2">
        <v>45809</v>
      </c>
      <c r="L2338" s="1" t="str">
        <f t="shared" si="249"/>
        <v>qui</v>
      </c>
      <c r="M2338" s="1" t="str">
        <f t="shared" si="250"/>
        <v>jun</v>
      </c>
      <c r="N2338">
        <f t="shared" si="251"/>
        <v>2025</v>
      </c>
      <c r="O2338" s="2"/>
      <c r="P2338" t="str">
        <f t="shared" si="242"/>
        <v>145045834</v>
      </c>
    </row>
    <row r="2339" spans="1:16" x14ac:dyDescent="0.3">
      <c r="A2339">
        <v>1450</v>
      </c>
      <c r="B2339">
        <v>54</v>
      </c>
      <c r="C2339" t="s">
        <v>26</v>
      </c>
      <c r="D2339" t="s">
        <v>27</v>
      </c>
      <c r="E2339" t="s">
        <v>17</v>
      </c>
      <c r="F2339" t="s">
        <v>21</v>
      </c>
      <c r="G2339" t="s">
        <v>40</v>
      </c>
      <c r="H2339" t="s">
        <v>25</v>
      </c>
      <c r="I2339" s="1">
        <v>1</v>
      </c>
      <c r="J2339" s="2">
        <v>45908</v>
      </c>
      <c r="K2339" s="2">
        <v>45901</v>
      </c>
      <c r="L2339" s="1" t="str">
        <f t="shared" si="249"/>
        <v>seg</v>
      </c>
      <c r="M2339" s="1" t="str">
        <f t="shared" si="250"/>
        <v>set</v>
      </c>
      <c r="N2339">
        <f t="shared" si="251"/>
        <v>2025</v>
      </c>
      <c r="O2339" s="2"/>
      <c r="P2339" t="str">
        <f t="shared" si="242"/>
        <v>145045908</v>
      </c>
    </row>
    <row r="2340" spans="1:16" x14ac:dyDescent="0.3">
      <c r="A2340">
        <v>1450</v>
      </c>
      <c r="B2340">
        <v>54</v>
      </c>
      <c r="C2340" t="s">
        <v>26</v>
      </c>
      <c r="D2340" t="s">
        <v>27</v>
      </c>
      <c r="E2340" t="s">
        <v>17</v>
      </c>
      <c r="F2340" t="s">
        <v>21</v>
      </c>
      <c r="G2340" t="s">
        <v>40</v>
      </c>
      <c r="H2340" t="s">
        <v>25</v>
      </c>
      <c r="I2340" s="1">
        <v>1</v>
      </c>
      <c r="J2340" s="2">
        <v>45927</v>
      </c>
      <c r="K2340" s="2">
        <v>45901</v>
      </c>
      <c r="L2340" s="1" t="str">
        <f t="shared" si="249"/>
        <v>sáb</v>
      </c>
      <c r="M2340" s="1" t="str">
        <f t="shared" si="250"/>
        <v>set</v>
      </c>
      <c r="N2340">
        <f t="shared" si="251"/>
        <v>2025</v>
      </c>
      <c r="O2340" s="2"/>
      <c r="P2340" t="str">
        <f t="shared" si="242"/>
        <v>145045927</v>
      </c>
    </row>
    <row r="2341" spans="1:16" x14ac:dyDescent="0.3">
      <c r="A2341">
        <v>1450</v>
      </c>
      <c r="B2341">
        <v>54</v>
      </c>
      <c r="C2341" t="s">
        <v>26</v>
      </c>
      <c r="D2341" t="s">
        <v>27</v>
      </c>
      <c r="E2341" t="s">
        <v>17</v>
      </c>
      <c r="F2341" t="s">
        <v>21</v>
      </c>
      <c r="G2341" t="s">
        <v>40</v>
      </c>
      <c r="H2341" t="s">
        <v>25</v>
      </c>
      <c r="I2341" s="1">
        <v>1</v>
      </c>
      <c r="J2341" s="2">
        <v>45958</v>
      </c>
      <c r="K2341" s="2">
        <v>45931</v>
      </c>
      <c r="L2341" s="1" t="str">
        <f t="shared" si="249"/>
        <v>ter</v>
      </c>
      <c r="M2341" s="1" t="str">
        <f t="shared" si="250"/>
        <v>out</v>
      </c>
      <c r="N2341">
        <f t="shared" si="251"/>
        <v>2025</v>
      </c>
      <c r="O2341" s="2"/>
      <c r="P2341" t="str">
        <f t="shared" si="242"/>
        <v>145045958</v>
      </c>
    </row>
    <row r="2342" spans="1:16" x14ac:dyDescent="0.3">
      <c r="A2342">
        <v>1450</v>
      </c>
      <c r="B2342">
        <v>54</v>
      </c>
      <c r="C2342" t="s">
        <v>26</v>
      </c>
      <c r="D2342" t="s">
        <v>27</v>
      </c>
      <c r="E2342" t="s">
        <v>17</v>
      </c>
      <c r="F2342" t="s">
        <v>21</v>
      </c>
      <c r="G2342" t="s">
        <v>40</v>
      </c>
      <c r="H2342" t="s">
        <v>25</v>
      </c>
      <c r="I2342" s="1">
        <v>1</v>
      </c>
      <c r="J2342" s="2">
        <v>45996</v>
      </c>
      <c r="K2342" s="2">
        <v>45992</v>
      </c>
      <c r="L2342" s="1" t="str">
        <f t="shared" si="249"/>
        <v>sex</v>
      </c>
      <c r="M2342" s="1" t="str">
        <f t="shared" si="250"/>
        <v>dez</v>
      </c>
      <c r="N2342">
        <f t="shared" si="251"/>
        <v>2025</v>
      </c>
      <c r="O2342" s="2"/>
      <c r="P2342" t="str">
        <f t="shared" si="242"/>
        <v>145045996</v>
      </c>
    </row>
    <row r="2343" spans="1:16" x14ac:dyDescent="0.3">
      <c r="A2343">
        <v>1450</v>
      </c>
      <c r="B2343">
        <v>54</v>
      </c>
      <c r="C2343" t="s">
        <v>26</v>
      </c>
      <c r="D2343" t="s">
        <v>27</v>
      </c>
      <c r="E2343" t="s">
        <v>17</v>
      </c>
      <c r="F2343" t="s">
        <v>21</v>
      </c>
      <c r="G2343" t="s">
        <v>40</v>
      </c>
      <c r="H2343" t="s">
        <v>25</v>
      </c>
      <c r="I2343" s="1">
        <v>1</v>
      </c>
      <c r="J2343" s="2">
        <v>46169</v>
      </c>
      <c r="K2343" s="2">
        <v>46143</v>
      </c>
      <c r="L2343" s="1" t="s">
        <v>50</v>
      </c>
      <c r="M2343" s="1" t="s">
        <v>49</v>
      </c>
      <c r="N2343">
        <v>2025</v>
      </c>
      <c r="O2343" s="2"/>
      <c r="P2343" t="str">
        <f t="shared" si="242"/>
        <v>145046169</v>
      </c>
    </row>
    <row r="2344" spans="1:16" x14ac:dyDescent="0.3">
      <c r="A2344">
        <v>1451</v>
      </c>
      <c r="B2344">
        <v>43</v>
      </c>
      <c r="C2344" t="s">
        <v>26</v>
      </c>
      <c r="D2344" t="s">
        <v>29</v>
      </c>
      <c r="E2344" t="s">
        <v>17</v>
      </c>
      <c r="F2344" t="s">
        <v>21</v>
      </c>
      <c r="G2344" t="s">
        <v>57</v>
      </c>
      <c r="H2344" t="s">
        <v>20</v>
      </c>
      <c r="I2344" s="1">
        <v>3</v>
      </c>
      <c r="J2344" s="2">
        <v>45771</v>
      </c>
      <c r="K2344" s="2">
        <v>45748</v>
      </c>
      <c r="L2344" s="1" t="str">
        <f t="shared" ref="L2344:L2352" si="252">TEXT(J2344,"ddd")</f>
        <v>qui</v>
      </c>
      <c r="M2344" s="1" t="str">
        <f t="shared" ref="M2344:M2352" si="253">TEXT($J2344,"mmm")</f>
        <v>abr</v>
      </c>
      <c r="N2344">
        <f t="shared" ref="N2344:N2352" si="254">YEAR(J2344)</f>
        <v>2025</v>
      </c>
      <c r="O2344" s="2">
        <f>_xlfn.XLOOKUP(A2344,Colaboradores!$A:$A,Colaboradores!$S:$S,"",0)</f>
        <v>45885</v>
      </c>
      <c r="P2344" t="str">
        <f t="shared" si="242"/>
        <v>145145771</v>
      </c>
    </row>
    <row r="2345" spans="1:16" x14ac:dyDescent="0.3">
      <c r="A2345">
        <v>1451</v>
      </c>
      <c r="B2345">
        <v>43</v>
      </c>
      <c r="C2345" t="s">
        <v>26</v>
      </c>
      <c r="D2345" t="s">
        <v>29</v>
      </c>
      <c r="E2345" t="s">
        <v>17</v>
      </c>
      <c r="F2345" t="s">
        <v>21</v>
      </c>
      <c r="G2345" t="s">
        <v>42</v>
      </c>
      <c r="H2345" t="s">
        <v>20</v>
      </c>
      <c r="I2345" s="1">
        <v>3</v>
      </c>
      <c r="J2345" s="2">
        <v>45782</v>
      </c>
      <c r="K2345" s="2">
        <v>45778</v>
      </c>
      <c r="L2345" s="1" t="str">
        <f t="shared" si="252"/>
        <v>seg</v>
      </c>
      <c r="M2345" s="1" t="str">
        <f t="shared" si="253"/>
        <v>mai</v>
      </c>
      <c r="N2345">
        <f t="shared" si="254"/>
        <v>2025</v>
      </c>
      <c r="O2345" s="2">
        <f>_xlfn.XLOOKUP(A2345,Colaboradores!$A:$A,Colaboradores!$S:$S,"",0)</f>
        <v>45885</v>
      </c>
      <c r="P2345" t="str">
        <f t="shared" si="242"/>
        <v>145145782</v>
      </c>
    </row>
    <row r="2346" spans="1:16" x14ac:dyDescent="0.3">
      <c r="A2346">
        <v>1451</v>
      </c>
      <c r="B2346">
        <v>43</v>
      </c>
      <c r="C2346" t="s">
        <v>26</v>
      </c>
      <c r="D2346" t="s">
        <v>29</v>
      </c>
      <c r="E2346" t="s">
        <v>17</v>
      </c>
      <c r="F2346" t="s">
        <v>21</v>
      </c>
      <c r="G2346" t="s">
        <v>44</v>
      </c>
      <c r="H2346" t="s">
        <v>20</v>
      </c>
      <c r="I2346" s="1">
        <v>3</v>
      </c>
      <c r="J2346" s="2">
        <v>45801</v>
      </c>
      <c r="K2346" s="2">
        <v>45778</v>
      </c>
      <c r="L2346" s="1" t="str">
        <f t="shared" si="252"/>
        <v>sáb</v>
      </c>
      <c r="M2346" s="1" t="str">
        <f t="shared" si="253"/>
        <v>mai</v>
      </c>
      <c r="N2346">
        <f t="shared" si="254"/>
        <v>2025</v>
      </c>
      <c r="O2346" s="2">
        <f>_xlfn.XLOOKUP(A2346,Colaboradores!$A:$A,Colaboradores!$S:$S,"",0)</f>
        <v>45885</v>
      </c>
      <c r="P2346" t="str">
        <f t="shared" si="242"/>
        <v>145145801</v>
      </c>
    </row>
    <row r="2347" spans="1:16" x14ac:dyDescent="0.3">
      <c r="A2347">
        <v>1451</v>
      </c>
      <c r="B2347">
        <v>43</v>
      </c>
      <c r="C2347" t="s">
        <v>26</v>
      </c>
      <c r="D2347" t="s">
        <v>29</v>
      </c>
      <c r="E2347" t="s">
        <v>17</v>
      </c>
      <c r="F2347" t="s">
        <v>21</v>
      </c>
      <c r="G2347" t="s">
        <v>44</v>
      </c>
      <c r="H2347" t="s">
        <v>20</v>
      </c>
      <c r="I2347" s="1">
        <v>3</v>
      </c>
      <c r="J2347" s="2">
        <v>45816</v>
      </c>
      <c r="K2347" s="2">
        <v>45809</v>
      </c>
      <c r="L2347" s="1" t="str">
        <f t="shared" si="252"/>
        <v>dom</v>
      </c>
      <c r="M2347" s="1" t="str">
        <f t="shared" si="253"/>
        <v>jun</v>
      </c>
      <c r="N2347">
        <f t="shared" si="254"/>
        <v>2025</v>
      </c>
      <c r="O2347" s="2">
        <f>_xlfn.XLOOKUP(A2347,Colaboradores!$A:$A,Colaboradores!$S:$S,"",0)</f>
        <v>45885</v>
      </c>
      <c r="P2347" t="str">
        <f t="shared" si="242"/>
        <v>145145816</v>
      </c>
    </row>
    <row r="2348" spans="1:16" x14ac:dyDescent="0.3">
      <c r="A2348">
        <v>1451</v>
      </c>
      <c r="B2348">
        <v>43</v>
      </c>
      <c r="C2348" t="s">
        <v>26</v>
      </c>
      <c r="D2348" t="s">
        <v>29</v>
      </c>
      <c r="E2348" t="s">
        <v>17</v>
      </c>
      <c r="F2348" t="s">
        <v>21</v>
      </c>
      <c r="G2348" t="s">
        <v>44</v>
      </c>
      <c r="H2348" t="s">
        <v>20</v>
      </c>
      <c r="I2348" s="1">
        <v>3</v>
      </c>
      <c r="J2348" s="2">
        <v>45863</v>
      </c>
      <c r="K2348" s="2">
        <v>45839</v>
      </c>
      <c r="L2348" s="1" t="str">
        <f t="shared" si="252"/>
        <v>sex</v>
      </c>
      <c r="M2348" s="1" t="str">
        <f t="shared" si="253"/>
        <v>jul</v>
      </c>
      <c r="N2348">
        <f t="shared" si="254"/>
        <v>2025</v>
      </c>
      <c r="O2348" s="2">
        <f>_xlfn.XLOOKUP(A2348,Colaboradores!$A:$A,Colaboradores!$S:$S,"",0)</f>
        <v>45885</v>
      </c>
      <c r="P2348" t="str">
        <f t="shared" si="242"/>
        <v>145145863</v>
      </c>
    </row>
    <row r="2349" spans="1:16" x14ac:dyDescent="0.3">
      <c r="A2349">
        <v>1451</v>
      </c>
      <c r="B2349">
        <v>43</v>
      </c>
      <c r="C2349" t="s">
        <v>26</v>
      </c>
      <c r="D2349" t="s">
        <v>29</v>
      </c>
      <c r="E2349" t="s">
        <v>17</v>
      </c>
      <c r="F2349" t="s">
        <v>21</v>
      </c>
      <c r="G2349" t="s">
        <v>44</v>
      </c>
      <c r="H2349" t="s">
        <v>20</v>
      </c>
      <c r="I2349" s="1">
        <v>3</v>
      </c>
      <c r="J2349" s="2">
        <v>45864</v>
      </c>
      <c r="K2349" s="2">
        <v>45839</v>
      </c>
      <c r="L2349" s="1" t="str">
        <f t="shared" si="252"/>
        <v>sáb</v>
      </c>
      <c r="M2349" s="1" t="str">
        <f t="shared" si="253"/>
        <v>jul</v>
      </c>
      <c r="N2349">
        <f t="shared" si="254"/>
        <v>2025</v>
      </c>
      <c r="O2349" s="2">
        <f>_xlfn.XLOOKUP(A2349,Colaboradores!$A:$A,Colaboradores!$S:$S,"",0)</f>
        <v>45885</v>
      </c>
      <c r="P2349" t="str">
        <f t="shared" si="242"/>
        <v>145145864</v>
      </c>
    </row>
    <row r="2350" spans="1:16" x14ac:dyDescent="0.3">
      <c r="A2350">
        <v>1452</v>
      </c>
      <c r="B2350">
        <v>38</v>
      </c>
      <c r="C2350" t="s">
        <v>26</v>
      </c>
      <c r="D2350" t="s">
        <v>31</v>
      </c>
      <c r="E2350" t="s">
        <v>32</v>
      </c>
      <c r="F2350" t="s">
        <v>18</v>
      </c>
      <c r="G2350" t="s">
        <v>41</v>
      </c>
      <c r="H2350" t="s">
        <v>25</v>
      </c>
      <c r="I2350" s="1">
        <v>2</v>
      </c>
      <c r="J2350" s="2">
        <v>45773</v>
      </c>
      <c r="K2350" s="2">
        <v>45748</v>
      </c>
      <c r="L2350" s="1" t="str">
        <f t="shared" si="252"/>
        <v>sáb</v>
      </c>
      <c r="M2350" s="1" t="str">
        <f t="shared" si="253"/>
        <v>abr</v>
      </c>
      <c r="N2350">
        <f t="shared" si="254"/>
        <v>2025</v>
      </c>
      <c r="O2350" s="2"/>
      <c r="P2350" t="str">
        <f t="shared" si="242"/>
        <v>145245773</v>
      </c>
    </row>
    <row r="2351" spans="1:16" x14ac:dyDescent="0.3">
      <c r="A2351">
        <v>1452</v>
      </c>
      <c r="B2351">
        <v>38</v>
      </c>
      <c r="C2351" t="s">
        <v>26</v>
      </c>
      <c r="D2351" t="s">
        <v>31</v>
      </c>
      <c r="E2351" t="s">
        <v>32</v>
      </c>
      <c r="F2351" t="s">
        <v>18</v>
      </c>
      <c r="G2351" t="s">
        <v>41</v>
      </c>
      <c r="H2351" t="s">
        <v>25</v>
      </c>
      <c r="I2351" s="1">
        <v>2</v>
      </c>
      <c r="J2351" s="2">
        <v>45820</v>
      </c>
      <c r="K2351" s="2">
        <v>45809</v>
      </c>
      <c r="L2351" s="1" t="str">
        <f t="shared" si="252"/>
        <v>qui</v>
      </c>
      <c r="M2351" s="1" t="str">
        <f t="shared" si="253"/>
        <v>jun</v>
      </c>
      <c r="N2351">
        <f t="shared" si="254"/>
        <v>2025</v>
      </c>
      <c r="O2351" s="2"/>
      <c r="P2351" t="str">
        <f t="shared" si="242"/>
        <v>145245820</v>
      </c>
    </row>
    <row r="2352" spans="1:16" x14ac:dyDescent="0.3">
      <c r="A2352">
        <v>1452</v>
      </c>
      <c r="B2352">
        <v>38</v>
      </c>
      <c r="C2352" t="s">
        <v>26</v>
      </c>
      <c r="D2352" t="s">
        <v>31</v>
      </c>
      <c r="E2352" t="s">
        <v>32</v>
      </c>
      <c r="F2352" t="s">
        <v>18</v>
      </c>
      <c r="G2352" t="s">
        <v>41</v>
      </c>
      <c r="H2352" t="s">
        <v>25</v>
      </c>
      <c r="I2352" s="1">
        <v>2</v>
      </c>
      <c r="J2352" s="2">
        <v>46060</v>
      </c>
      <c r="K2352" s="2">
        <v>46054</v>
      </c>
      <c r="L2352" s="1" t="str">
        <f t="shared" si="252"/>
        <v>sáb</v>
      </c>
      <c r="M2352" s="1" t="str">
        <f t="shared" si="253"/>
        <v>fev</v>
      </c>
      <c r="N2352">
        <f t="shared" si="254"/>
        <v>2026</v>
      </c>
      <c r="O2352" s="2"/>
      <c r="P2352" t="str">
        <f t="shared" si="242"/>
        <v>145246060</v>
      </c>
    </row>
    <row r="2353" spans="1:16" x14ac:dyDescent="0.3">
      <c r="A2353">
        <v>1452</v>
      </c>
      <c r="B2353">
        <v>38</v>
      </c>
      <c r="C2353" t="s">
        <v>26</v>
      </c>
      <c r="D2353" t="s">
        <v>31</v>
      </c>
      <c r="E2353" t="s">
        <v>32</v>
      </c>
      <c r="F2353" t="s">
        <v>18</v>
      </c>
      <c r="G2353" t="s">
        <v>41</v>
      </c>
      <c r="H2353" t="s">
        <v>25</v>
      </c>
      <c r="I2353" s="1">
        <v>2</v>
      </c>
      <c r="J2353" s="2">
        <v>46138</v>
      </c>
      <c r="K2353" s="2">
        <v>46113</v>
      </c>
      <c r="L2353" s="1" t="s">
        <v>54</v>
      </c>
      <c r="M2353" s="1" t="s">
        <v>48</v>
      </c>
      <c r="N2353">
        <v>2025</v>
      </c>
      <c r="O2353" s="2"/>
      <c r="P2353" t="str">
        <f t="shared" si="242"/>
        <v>145246138</v>
      </c>
    </row>
    <row r="2354" spans="1:16" x14ac:dyDescent="0.3">
      <c r="A2354">
        <v>1453</v>
      </c>
      <c r="B2354">
        <v>24</v>
      </c>
      <c r="C2354" t="s">
        <v>15</v>
      </c>
      <c r="D2354" t="s">
        <v>16</v>
      </c>
      <c r="E2354" t="s">
        <v>17</v>
      </c>
      <c r="F2354" t="s">
        <v>18</v>
      </c>
      <c r="G2354" t="s">
        <v>57</v>
      </c>
      <c r="H2354" t="s">
        <v>20</v>
      </c>
      <c r="I2354" s="1">
        <v>2</v>
      </c>
      <c r="J2354" s="2">
        <v>45673</v>
      </c>
      <c r="K2354" s="2">
        <v>45658</v>
      </c>
      <c r="L2354" s="1" t="str">
        <f t="shared" ref="L2354:L2382" si="255">TEXT(J2354,"ddd")</f>
        <v>qui</v>
      </c>
      <c r="M2354" s="1" t="str">
        <f t="shared" ref="M2354:M2382" si="256">TEXT($J2354,"mmm")</f>
        <v>jan</v>
      </c>
      <c r="N2354">
        <f t="shared" ref="N2354:N2382" si="257">YEAR(J2354)</f>
        <v>2025</v>
      </c>
      <c r="O2354" s="2">
        <f>_xlfn.XLOOKUP(A2354,Colaboradores!$A:$A,Colaboradores!$S:$S,"",0)</f>
        <v>45831</v>
      </c>
      <c r="P2354" t="str">
        <f t="shared" si="242"/>
        <v>145345673</v>
      </c>
    </row>
    <row r="2355" spans="1:16" x14ac:dyDescent="0.3">
      <c r="A2355">
        <v>1453</v>
      </c>
      <c r="B2355">
        <v>24</v>
      </c>
      <c r="C2355" t="s">
        <v>15</v>
      </c>
      <c r="D2355" t="s">
        <v>16</v>
      </c>
      <c r="E2355" t="s">
        <v>17</v>
      </c>
      <c r="F2355" t="s">
        <v>18</v>
      </c>
      <c r="G2355" t="s">
        <v>41</v>
      </c>
      <c r="H2355" t="s">
        <v>20</v>
      </c>
      <c r="I2355" s="1">
        <v>2</v>
      </c>
      <c r="J2355" s="2">
        <v>45675</v>
      </c>
      <c r="K2355" s="2">
        <v>45658</v>
      </c>
      <c r="L2355" s="1" t="str">
        <f t="shared" si="255"/>
        <v>sáb</v>
      </c>
      <c r="M2355" s="1" t="str">
        <f t="shared" si="256"/>
        <v>jan</v>
      </c>
      <c r="N2355">
        <f t="shared" si="257"/>
        <v>2025</v>
      </c>
      <c r="O2355" s="2">
        <f>_xlfn.XLOOKUP(A2355,Colaboradores!$A:$A,Colaboradores!$S:$S,"",0)</f>
        <v>45831</v>
      </c>
      <c r="P2355" t="str">
        <f t="shared" si="242"/>
        <v>145345675</v>
      </c>
    </row>
    <row r="2356" spans="1:16" x14ac:dyDescent="0.3">
      <c r="A2356">
        <v>1453</v>
      </c>
      <c r="B2356">
        <v>24</v>
      </c>
      <c r="C2356" t="s">
        <v>15</v>
      </c>
      <c r="D2356" t="s">
        <v>16</v>
      </c>
      <c r="E2356" t="s">
        <v>17</v>
      </c>
      <c r="F2356" t="s">
        <v>18</v>
      </c>
      <c r="G2356" t="s">
        <v>41</v>
      </c>
      <c r="H2356" t="s">
        <v>20</v>
      </c>
      <c r="I2356" s="1">
        <v>2</v>
      </c>
      <c r="J2356" s="2">
        <v>45677</v>
      </c>
      <c r="K2356" s="2">
        <v>45658</v>
      </c>
      <c r="L2356" s="1" t="str">
        <f t="shared" si="255"/>
        <v>seg</v>
      </c>
      <c r="M2356" s="1" t="str">
        <f t="shared" si="256"/>
        <v>jan</v>
      </c>
      <c r="N2356">
        <f t="shared" si="257"/>
        <v>2025</v>
      </c>
      <c r="O2356" s="2">
        <f>_xlfn.XLOOKUP(A2356,Colaboradores!$A:$A,Colaboradores!$S:$S,"",0)</f>
        <v>45831</v>
      </c>
      <c r="P2356" t="str">
        <f t="shared" si="242"/>
        <v>145345677</v>
      </c>
    </row>
    <row r="2357" spans="1:16" x14ac:dyDescent="0.3">
      <c r="A2357">
        <v>1453</v>
      </c>
      <c r="B2357">
        <v>24</v>
      </c>
      <c r="C2357" t="s">
        <v>15</v>
      </c>
      <c r="D2357" t="s">
        <v>16</v>
      </c>
      <c r="E2357" t="s">
        <v>17</v>
      </c>
      <c r="F2357" t="s">
        <v>18</v>
      </c>
      <c r="G2357" t="s">
        <v>41</v>
      </c>
      <c r="H2357" t="s">
        <v>20</v>
      </c>
      <c r="I2357" s="1">
        <v>2</v>
      </c>
      <c r="J2357" s="2">
        <v>45809</v>
      </c>
      <c r="K2357" s="2">
        <v>45809</v>
      </c>
      <c r="L2357" s="1" t="str">
        <f t="shared" si="255"/>
        <v>dom</v>
      </c>
      <c r="M2357" s="1" t="str">
        <f t="shared" si="256"/>
        <v>jun</v>
      </c>
      <c r="N2357">
        <f t="shared" si="257"/>
        <v>2025</v>
      </c>
      <c r="O2357" s="2">
        <f>_xlfn.XLOOKUP(A2357,Colaboradores!$A:$A,Colaboradores!$S:$S,"",0)</f>
        <v>45831</v>
      </c>
      <c r="P2357" t="str">
        <f t="shared" si="242"/>
        <v>145345809</v>
      </c>
    </row>
    <row r="2358" spans="1:16" x14ac:dyDescent="0.3">
      <c r="A2358">
        <v>1453</v>
      </c>
      <c r="B2358">
        <v>24</v>
      </c>
      <c r="C2358" t="s">
        <v>15</v>
      </c>
      <c r="D2358" t="s">
        <v>16</v>
      </c>
      <c r="E2358" t="s">
        <v>17</v>
      </c>
      <c r="F2358" t="s">
        <v>18</v>
      </c>
      <c r="G2358" t="s">
        <v>41</v>
      </c>
      <c r="H2358" t="s">
        <v>20</v>
      </c>
      <c r="I2358" s="1">
        <v>2</v>
      </c>
      <c r="J2358" s="2">
        <v>45823</v>
      </c>
      <c r="K2358" s="2">
        <v>45809</v>
      </c>
      <c r="L2358" s="1" t="str">
        <f t="shared" si="255"/>
        <v>dom</v>
      </c>
      <c r="M2358" s="1" t="str">
        <f t="shared" si="256"/>
        <v>jun</v>
      </c>
      <c r="N2358">
        <f t="shared" si="257"/>
        <v>2025</v>
      </c>
      <c r="O2358" s="2">
        <f>_xlfn.XLOOKUP(A2358,Colaboradores!$A:$A,Colaboradores!$S:$S,"",0)</f>
        <v>45831</v>
      </c>
      <c r="P2358" t="str">
        <f t="shared" si="242"/>
        <v>145345823</v>
      </c>
    </row>
    <row r="2359" spans="1:16" x14ac:dyDescent="0.3">
      <c r="A2359">
        <v>1453</v>
      </c>
      <c r="B2359">
        <v>24</v>
      </c>
      <c r="C2359" t="s">
        <v>15</v>
      </c>
      <c r="D2359" t="s">
        <v>16</v>
      </c>
      <c r="E2359" t="s">
        <v>17</v>
      </c>
      <c r="F2359" t="s">
        <v>18</v>
      </c>
      <c r="G2359" t="s">
        <v>41</v>
      </c>
      <c r="H2359" t="s">
        <v>20</v>
      </c>
      <c r="I2359" s="1">
        <v>2</v>
      </c>
      <c r="J2359" s="2">
        <v>45827</v>
      </c>
      <c r="K2359" s="2">
        <v>45809</v>
      </c>
      <c r="L2359" s="1" t="str">
        <f t="shared" si="255"/>
        <v>qui</v>
      </c>
      <c r="M2359" s="1" t="str">
        <f t="shared" si="256"/>
        <v>jun</v>
      </c>
      <c r="N2359">
        <f t="shared" si="257"/>
        <v>2025</v>
      </c>
      <c r="O2359" s="2">
        <f>_xlfn.XLOOKUP(A2359,Colaboradores!$A:$A,Colaboradores!$S:$S,"",0)</f>
        <v>45831</v>
      </c>
      <c r="P2359" t="str">
        <f t="shared" si="242"/>
        <v>145345827</v>
      </c>
    </row>
    <row r="2360" spans="1:16" x14ac:dyDescent="0.3">
      <c r="A2360">
        <v>1454</v>
      </c>
      <c r="B2360">
        <v>28</v>
      </c>
      <c r="C2360" t="s">
        <v>26</v>
      </c>
      <c r="D2360" t="s">
        <v>31</v>
      </c>
      <c r="E2360" t="s">
        <v>34</v>
      </c>
      <c r="F2360" t="s">
        <v>18</v>
      </c>
      <c r="G2360" t="s">
        <v>40</v>
      </c>
      <c r="H2360" t="s">
        <v>25</v>
      </c>
      <c r="I2360" s="1">
        <v>1</v>
      </c>
      <c r="J2360" s="2">
        <v>45824</v>
      </c>
      <c r="K2360" s="2">
        <v>45809</v>
      </c>
      <c r="L2360" s="1" t="str">
        <f t="shared" si="255"/>
        <v>seg</v>
      </c>
      <c r="M2360" s="1" t="str">
        <f t="shared" si="256"/>
        <v>jun</v>
      </c>
      <c r="N2360">
        <f t="shared" si="257"/>
        <v>2025</v>
      </c>
      <c r="O2360" s="2"/>
      <c r="P2360" t="str">
        <f t="shared" si="242"/>
        <v>145445824</v>
      </c>
    </row>
    <row r="2361" spans="1:16" x14ac:dyDescent="0.3">
      <c r="A2361">
        <v>1454</v>
      </c>
      <c r="B2361">
        <v>28</v>
      </c>
      <c r="C2361" t="s">
        <v>26</v>
      </c>
      <c r="D2361" t="s">
        <v>31</v>
      </c>
      <c r="E2361" t="s">
        <v>34</v>
      </c>
      <c r="F2361" t="s">
        <v>18</v>
      </c>
      <c r="G2361" t="s">
        <v>40</v>
      </c>
      <c r="H2361" t="s">
        <v>25</v>
      </c>
      <c r="I2361" s="1">
        <v>1</v>
      </c>
      <c r="J2361" s="2">
        <v>45929</v>
      </c>
      <c r="K2361" s="2">
        <v>45901</v>
      </c>
      <c r="L2361" s="1" t="str">
        <f t="shared" si="255"/>
        <v>seg</v>
      </c>
      <c r="M2361" s="1" t="str">
        <f t="shared" si="256"/>
        <v>set</v>
      </c>
      <c r="N2361">
        <f t="shared" si="257"/>
        <v>2025</v>
      </c>
      <c r="O2361" s="2"/>
      <c r="P2361" t="str">
        <f t="shared" si="242"/>
        <v>145445929</v>
      </c>
    </row>
    <row r="2362" spans="1:16" x14ac:dyDescent="0.3">
      <c r="A2362">
        <v>1454</v>
      </c>
      <c r="B2362">
        <v>28</v>
      </c>
      <c r="C2362" t="s">
        <v>26</v>
      </c>
      <c r="D2362" t="s">
        <v>31</v>
      </c>
      <c r="E2362" t="s">
        <v>34</v>
      </c>
      <c r="F2362" t="s">
        <v>18</v>
      </c>
      <c r="G2362" t="s">
        <v>40</v>
      </c>
      <c r="H2362" t="s">
        <v>25</v>
      </c>
      <c r="I2362" s="1">
        <v>1</v>
      </c>
      <c r="J2362" s="2">
        <v>45989</v>
      </c>
      <c r="K2362" s="2">
        <v>45962</v>
      </c>
      <c r="L2362" s="1" t="str">
        <f t="shared" si="255"/>
        <v>sex</v>
      </c>
      <c r="M2362" s="1" t="str">
        <f t="shared" si="256"/>
        <v>nov</v>
      </c>
      <c r="N2362">
        <f t="shared" si="257"/>
        <v>2025</v>
      </c>
      <c r="O2362" s="2"/>
      <c r="P2362" t="str">
        <f t="shared" si="242"/>
        <v>145445989</v>
      </c>
    </row>
    <row r="2363" spans="1:16" x14ac:dyDescent="0.3">
      <c r="A2363">
        <v>1454</v>
      </c>
      <c r="B2363">
        <v>28</v>
      </c>
      <c r="C2363" t="s">
        <v>26</v>
      </c>
      <c r="D2363" t="s">
        <v>31</v>
      </c>
      <c r="E2363" t="s">
        <v>34</v>
      </c>
      <c r="F2363" t="s">
        <v>18</v>
      </c>
      <c r="G2363" t="s">
        <v>40</v>
      </c>
      <c r="H2363" t="s">
        <v>25</v>
      </c>
      <c r="I2363" s="1">
        <v>1</v>
      </c>
      <c r="J2363" s="2">
        <v>46195</v>
      </c>
      <c r="K2363" s="2">
        <v>46023</v>
      </c>
      <c r="L2363" s="1" t="str">
        <f t="shared" si="255"/>
        <v>seg</v>
      </c>
      <c r="M2363" s="1" t="str">
        <f t="shared" si="256"/>
        <v>jun</v>
      </c>
      <c r="N2363">
        <f t="shared" si="257"/>
        <v>2026</v>
      </c>
      <c r="O2363" s="2"/>
      <c r="P2363" t="str">
        <f t="shared" si="242"/>
        <v>145446195</v>
      </c>
    </row>
    <row r="2364" spans="1:16" x14ac:dyDescent="0.3">
      <c r="A2364">
        <v>1454</v>
      </c>
      <c r="B2364">
        <v>28</v>
      </c>
      <c r="C2364" t="s">
        <v>26</v>
      </c>
      <c r="D2364" t="s">
        <v>31</v>
      </c>
      <c r="E2364" t="s">
        <v>34</v>
      </c>
      <c r="F2364" t="s">
        <v>18</v>
      </c>
      <c r="G2364" t="s">
        <v>40</v>
      </c>
      <c r="H2364" t="s">
        <v>25</v>
      </c>
      <c r="I2364" s="1">
        <v>1</v>
      </c>
      <c r="J2364" s="2">
        <v>46073</v>
      </c>
      <c r="K2364" s="2">
        <v>46054</v>
      </c>
      <c r="L2364" s="1" t="str">
        <f t="shared" si="255"/>
        <v>sex</v>
      </c>
      <c r="M2364" s="1" t="str">
        <f t="shared" si="256"/>
        <v>fev</v>
      </c>
      <c r="N2364">
        <f t="shared" si="257"/>
        <v>2026</v>
      </c>
      <c r="O2364" s="2"/>
      <c r="P2364" t="str">
        <f t="shared" si="242"/>
        <v>145446073</v>
      </c>
    </row>
    <row r="2365" spans="1:16" x14ac:dyDescent="0.3">
      <c r="A2365">
        <v>1454</v>
      </c>
      <c r="B2365">
        <v>28</v>
      </c>
      <c r="C2365" t="s">
        <v>26</v>
      </c>
      <c r="D2365" t="s">
        <v>31</v>
      </c>
      <c r="E2365" t="s">
        <v>34</v>
      </c>
      <c r="F2365" t="s">
        <v>18</v>
      </c>
      <c r="G2365" t="s">
        <v>40</v>
      </c>
      <c r="H2365" t="s">
        <v>25</v>
      </c>
      <c r="I2365" s="1">
        <v>1</v>
      </c>
      <c r="J2365" s="2">
        <v>46095</v>
      </c>
      <c r="K2365" s="2">
        <v>46082</v>
      </c>
      <c r="L2365" s="1" t="str">
        <f t="shared" si="255"/>
        <v>sáb</v>
      </c>
      <c r="M2365" s="1" t="str">
        <f t="shared" si="256"/>
        <v>mar</v>
      </c>
      <c r="N2365">
        <f t="shared" si="257"/>
        <v>2026</v>
      </c>
      <c r="O2365" s="2"/>
      <c r="P2365" t="str">
        <f t="shared" si="242"/>
        <v>145446095</v>
      </c>
    </row>
    <row r="2366" spans="1:16" x14ac:dyDescent="0.3">
      <c r="A2366">
        <v>1456</v>
      </c>
      <c r="B2366">
        <v>41</v>
      </c>
      <c r="C2366" t="s">
        <v>26</v>
      </c>
      <c r="D2366" t="s">
        <v>29</v>
      </c>
      <c r="E2366" t="s">
        <v>17</v>
      </c>
      <c r="F2366" t="s">
        <v>18</v>
      </c>
      <c r="G2366" t="s">
        <v>41</v>
      </c>
      <c r="H2366" t="s">
        <v>25</v>
      </c>
      <c r="I2366" s="1">
        <v>2</v>
      </c>
      <c r="J2366" s="2">
        <v>45839</v>
      </c>
      <c r="K2366" s="2">
        <v>45839</v>
      </c>
      <c r="L2366" s="1" t="str">
        <f t="shared" si="255"/>
        <v>ter</v>
      </c>
      <c r="M2366" s="1" t="str">
        <f t="shared" si="256"/>
        <v>jul</v>
      </c>
      <c r="N2366">
        <f t="shared" si="257"/>
        <v>2025</v>
      </c>
      <c r="O2366" s="2"/>
      <c r="P2366" t="str">
        <f t="shared" si="242"/>
        <v>145645839</v>
      </c>
    </row>
    <row r="2367" spans="1:16" x14ac:dyDescent="0.3">
      <c r="A2367">
        <v>1456</v>
      </c>
      <c r="B2367">
        <v>41</v>
      </c>
      <c r="C2367" t="s">
        <v>26</v>
      </c>
      <c r="D2367" t="s">
        <v>29</v>
      </c>
      <c r="E2367" t="s">
        <v>17</v>
      </c>
      <c r="F2367" t="s">
        <v>18</v>
      </c>
      <c r="G2367" t="s">
        <v>42</v>
      </c>
      <c r="H2367" t="s">
        <v>25</v>
      </c>
      <c r="I2367" s="1">
        <v>2</v>
      </c>
      <c r="J2367" s="2">
        <v>45953</v>
      </c>
      <c r="K2367" s="2">
        <v>45931</v>
      </c>
      <c r="L2367" s="1" t="str">
        <f t="shared" si="255"/>
        <v>qui</v>
      </c>
      <c r="M2367" s="1" t="str">
        <f t="shared" si="256"/>
        <v>out</v>
      </c>
      <c r="N2367">
        <f t="shared" si="257"/>
        <v>2025</v>
      </c>
      <c r="O2367" s="2"/>
      <c r="P2367" t="str">
        <f t="shared" si="242"/>
        <v>145645953</v>
      </c>
    </row>
    <row r="2368" spans="1:16" x14ac:dyDescent="0.3">
      <c r="A2368">
        <v>1456</v>
      </c>
      <c r="B2368">
        <v>41</v>
      </c>
      <c r="C2368" t="s">
        <v>26</v>
      </c>
      <c r="D2368" t="s">
        <v>29</v>
      </c>
      <c r="E2368" t="s">
        <v>17</v>
      </c>
      <c r="F2368" t="s">
        <v>18</v>
      </c>
      <c r="G2368" t="s">
        <v>42</v>
      </c>
      <c r="H2368" t="s">
        <v>25</v>
      </c>
      <c r="I2368" s="1">
        <v>2</v>
      </c>
      <c r="J2368" s="2">
        <v>46014</v>
      </c>
      <c r="K2368" s="2">
        <v>45992</v>
      </c>
      <c r="L2368" s="1" t="str">
        <f t="shared" si="255"/>
        <v>ter</v>
      </c>
      <c r="M2368" s="1" t="str">
        <f t="shared" si="256"/>
        <v>dez</v>
      </c>
      <c r="N2368">
        <f t="shared" si="257"/>
        <v>2025</v>
      </c>
      <c r="O2368" s="2"/>
      <c r="P2368" t="str">
        <f t="shared" si="242"/>
        <v>145646014</v>
      </c>
    </row>
    <row r="2369" spans="1:16" x14ac:dyDescent="0.3">
      <c r="A2369">
        <v>1456</v>
      </c>
      <c r="B2369">
        <v>41</v>
      </c>
      <c r="C2369" t="s">
        <v>26</v>
      </c>
      <c r="D2369" t="s">
        <v>29</v>
      </c>
      <c r="E2369" t="s">
        <v>17</v>
      </c>
      <c r="F2369" t="s">
        <v>18</v>
      </c>
      <c r="G2369" t="s">
        <v>42</v>
      </c>
      <c r="H2369" t="s">
        <v>25</v>
      </c>
      <c r="I2369" s="1">
        <v>2</v>
      </c>
      <c r="J2369" s="2">
        <v>46091</v>
      </c>
      <c r="K2369" s="2">
        <v>46082</v>
      </c>
      <c r="L2369" s="1" t="str">
        <f t="shared" si="255"/>
        <v>ter</v>
      </c>
      <c r="M2369" s="1" t="str">
        <f t="shared" si="256"/>
        <v>mar</v>
      </c>
      <c r="N2369">
        <f t="shared" si="257"/>
        <v>2026</v>
      </c>
      <c r="O2369" s="2"/>
      <c r="P2369" t="str">
        <f t="shared" ref="P2369:P2432" si="258">CONCATENATE(A2369,J2369)</f>
        <v>145646091</v>
      </c>
    </row>
    <row r="2370" spans="1:16" x14ac:dyDescent="0.3">
      <c r="A2370">
        <v>1456</v>
      </c>
      <c r="B2370">
        <v>41</v>
      </c>
      <c r="C2370" t="s">
        <v>26</v>
      </c>
      <c r="D2370" t="s">
        <v>29</v>
      </c>
      <c r="E2370" t="s">
        <v>17</v>
      </c>
      <c r="F2370" t="s">
        <v>18</v>
      </c>
      <c r="G2370" t="s">
        <v>41</v>
      </c>
      <c r="H2370" t="s">
        <v>25</v>
      </c>
      <c r="I2370" s="1">
        <v>2</v>
      </c>
      <c r="J2370" s="2">
        <v>46099</v>
      </c>
      <c r="K2370" s="2">
        <v>46082</v>
      </c>
      <c r="L2370" s="1" t="str">
        <f t="shared" si="255"/>
        <v>qua</v>
      </c>
      <c r="M2370" s="1" t="str">
        <f t="shared" si="256"/>
        <v>mar</v>
      </c>
      <c r="N2370">
        <f t="shared" si="257"/>
        <v>2026</v>
      </c>
      <c r="O2370" s="2"/>
      <c r="P2370" t="str">
        <f t="shared" si="258"/>
        <v>145646099</v>
      </c>
    </row>
    <row r="2371" spans="1:16" x14ac:dyDescent="0.3">
      <c r="A2371">
        <v>1457</v>
      </c>
      <c r="B2371">
        <v>53</v>
      </c>
      <c r="C2371" t="s">
        <v>26</v>
      </c>
      <c r="D2371" t="s">
        <v>22</v>
      </c>
      <c r="E2371" t="s">
        <v>17</v>
      </c>
      <c r="F2371" t="s">
        <v>21</v>
      </c>
      <c r="G2371" t="s">
        <v>43</v>
      </c>
      <c r="H2371" t="s">
        <v>25</v>
      </c>
      <c r="I2371" s="1">
        <v>1</v>
      </c>
      <c r="J2371" s="2">
        <v>45826</v>
      </c>
      <c r="K2371" s="2">
        <v>45809</v>
      </c>
      <c r="L2371" s="1" t="str">
        <f t="shared" si="255"/>
        <v>qua</v>
      </c>
      <c r="M2371" s="1" t="str">
        <f t="shared" si="256"/>
        <v>jun</v>
      </c>
      <c r="N2371">
        <f t="shared" si="257"/>
        <v>2025</v>
      </c>
      <c r="O2371" s="2"/>
      <c r="P2371" t="str">
        <f t="shared" si="258"/>
        <v>145745826</v>
      </c>
    </row>
    <row r="2372" spans="1:16" x14ac:dyDescent="0.3">
      <c r="A2372">
        <v>1457</v>
      </c>
      <c r="B2372">
        <v>53</v>
      </c>
      <c r="C2372" t="s">
        <v>26</v>
      </c>
      <c r="D2372" t="s">
        <v>22</v>
      </c>
      <c r="E2372" t="s">
        <v>17</v>
      </c>
      <c r="F2372" t="s">
        <v>21</v>
      </c>
      <c r="G2372" t="s">
        <v>43</v>
      </c>
      <c r="H2372" t="s">
        <v>25</v>
      </c>
      <c r="I2372" s="1">
        <v>1</v>
      </c>
      <c r="J2372" s="2">
        <v>45833</v>
      </c>
      <c r="K2372" s="2">
        <v>45809</v>
      </c>
      <c r="L2372" s="1" t="str">
        <f t="shared" si="255"/>
        <v>qua</v>
      </c>
      <c r="M2372" s="1" t="str">
        <f t="shared" si="256"/>
        <v>jun</v>
      </c>
      <c r="N2372">
        <f t="shared" si="257"/>
        <v>2025</v>
      </c>
      <c r="O2372" s="2"/>
      <c r="P2372" t="str">
        <f t="shared" si="258"/>
        <v>145745833</v>
      </c>
    </row>
    <row r="2373" spans="1:16" x14ac:dyDescent="0.3">
      <c r="A2373">
        <v>1457</v>
      </c>
      <c r="B2373">
        <v>53</v>
      </c>
      <c r="C2373" t="s">
        <v>26</v>
      </c>
      <c r="D2373" t="s">
        <v>22</v>
      </c>
      <c r="E2373" t="s">
        <v>17</v>
      </c>
      <c r="F2373" t="s">
        <v>21</v>
      </c>
      <c r="G2373" t="s">
        <v>43</v>
      </c>
      <c r="H2373" t="s">
        <v>25</v>
      </c>
      <c r="I2373" s="1">
        <v>1</v>
      </c>
      <c r="J2373" s="2">
        <v>45978</v>
      </c>
      <c r="K2373" s="2">
        <v>45962</v>
      </c>
      <c r="L2373" s="1" t="str">
        <f t="shared" si="255"/>
        <v>seg</v>
      </c>
      <c r="M2373" s="1" t="str">
        <f t="shared" si="256"/>
        <v>nov</v>
      </c>
      <c r="N2373">
        <f t="shared" si="257"/>
        <v>2025</v>
      </c>
      <c r="O2373" s="2"/>
      <c r="P2373" t="str">
        <f t="shared" si="258"/>
        <v>145745978</v>
      </c>
    </row>
    <row r="2374" spans="1:16" x14ac:dyDescent="0.3">
      <c r="A2374">
        <v>1457</v>
      </c>
      <c r="B2374">
        <v>53</v>
      </c>
      <c r="C2374" t="s">
        <v>26</v>
      </c>
      <c r="D2374" t="s">
        <v>22</v>
      </c>
      <c r="E2374" t="s">
        <v>17</v>
      </c>
      <c r="F2374" t="s">
        <v>21</v>
      </c>
      <c r="G2374" t="s">
        <v>43</v>
      </c>
      <c r="H2374" t="s">
        <v>25</v>
      </c>
      <c r="I2374" s="1">
        <v>1</v>
      </c>
      <c r="J2374" s="2">
        <v>46092</v>
      </c>
      <c r="K2374" s="2">
        <v>46082</v>
      </c>
      <c r="L2374" s="1" t="str">
        <f t="shared" si="255"/>
        <v>qua</v>
      </c>
      <c r="M2374" s="1" t="str">
        <f t="shared" si="256"/>
        <v>mar</v>
      </c>
      <c r="N2374">
        <f t="shared" si="257"/>
        <v>2026</v>
      </c>
      <c r="O2374" s="2"/>
      <c r="P2374" t="str">
        <f t="shared" si="258"/>
        <v>145746092</v>
      </c>
    </row>
    <row r="2375" spans="1:16" x14ac:dyDescent="0.3">
      <c r="A2375">
        <v>1457</v>
      </c>
      <c r="B2375">
        <v>53</v>
      </c>
      <c r="C2375" t="s">
        <v>26</v>
      </c>
      <c r="D2375" t="s">
        <v>22</v>
      </c>
      <c r="E2375" t="s">
        <v>17</v>
      </c>
      <c r="F2375" t="s">
        <v>21</v>
      </c>
      <c r="G2375" t="s">
        <v>43</v>
      </c>
      <c r="H2375" t="s">
        <v>25</v>
      </c>
      <c r="I2375" s="1">
        <v>1</v>
      </c>
      <c r="J2375" s="2">
        <v>46197</v>
      </c>
      <c r="K2375" s="2">
        <v>46174</v>
      </c>
      <c r="L2375" s="1" t="str">
        <f t="shared" si="255"/>
        <v>qua</v>
      </c>
      <c r="M2375" s="1" t="str">
        <f t="shared" si="256"/>
        <v>jun</v>
      </c>
      <c r="N2375">
        <f t="shared" si="257"/>
        <v>2026</v>
      </c>
      <c r="O2375" s="2"/>
      <c r="P2375" t="str">
        <f t="shared" si="258"/>
        <v>145746197</v>
      </c>
    </row>
    <row r="2376" spans="1:16" x14ac:dyDescent="0.3">
      <c r="A2376">
        <v>1457</v>
      </c>
      <c r="B2376">
        <v>53</v>
      </c>
      <c r="C2376" t="s">
        <v>26</v>
      </c>
      <c r="D2376" t="s">
        <v>22</v>
      </c>
      <c r="E2376" t="s">
        <v>17</v>
      </c>
      <c r="F2376" t="s">
        <v>21</v>
      </c>
      <c r="G2376" t="s">
        <v>43</v>
      </c>
      <c r="H2376" t="s">
        <v>25</v>
      </c>
      <c r="I2376" s="1">
        <v>1</v>
      </c>
      <c r="J2376" s="2">
        <v>46198</v>
      </c>
      <c r="K2376" s="2">
        <v>46174</v>
      </c>
      <c r="L2376" s="1" t="str">
        <f t="shared" si="255"/>
        <v>qui</v>
      </c>
      <c r="M2376" s="1" t="str">
        <f t="shared" si="256"/>
        <v>jun</v>
      </c>
      <c r="N2376">
        <f t="shared" si="257"/>
        <v>2026</v>
      </c>
      <c r="O2376" s="2"/>
      <c r="P2376" t="str">
        <f t="shared" si="258"/>
        <v>145746198</v>
      </c>
    </row>
    <row r="2377" spans="1:16" x14ac:dyDescent="0.3">
      <c r="A2377">
        <v>1459</v>
      </c>
      <c r="B2377">
        <v>57</v>
      </c>
      <c r="C2377" t="s">
        <v>26</v>
      </c>
      <c r="D2377" t="s">
        <v>16</v>
      </c>
      <c r="E2377" t="s">
        <v>17</v>
      </c>
      <c r="F2377" t="s">
        <v>21</v>
      </c>
      <c r="G2377" t="s">
        <v>41</v>
      </c>
      <c r="H2377" t="s">
        <v>25</v>
      </c>
      <c r="I2377" s="1">
        <v>1</v>
      </c>
      <c r="J2377" s="2">
        <v>45775</v>
      </c>
      <c r="K2377" s="2">
        <v>45748</v>
      </c>
      <c r="L2377" s="1" t="str">
        <f t="shared" si="255"/>
        <v>seg</v>
      </c>
      <c r="M2377" s="1" t="str">
        <f t="shared" si="256"/>
        <v>abr</v>
      </c>
      <c r="N2377">
        <f t="shared" si="257"/>
        <v>2025</v>
      </c>
      <c r="O2377" s="2"/>
      <c r="P2377" t="str">
        <f t="shared" si="258"/>
        <v>145945775</v>
      </c>
    </row>
    <row r="2378" spans="1:16" x14ac:dyDescent="0.3">
      <c r="A2378">
        <v>1459</v>
      </c>
      <c r="B2378">
        <v>57</v>
      </c>
      <c r="C2378" t="s">
        <v>26</v>
      </c>
      <c r="D2378" t="s">
        <v>16</v>
      </c>
      <c r="E2378" t="s">
        <v>17</v>
      </c>
      <c r="F2378" t="s">
        <v>21</v>
      </c>
      <c r="G2378" t="s">
        <v>41</v>
      </c>
      <c r="H2378" t="s">
        <v>25</v>
      </c>
      <c r="I2378" s="1">
        <v>1</v>
      </c>
      <c r="J2378" s="2">
        <v>45890</v>
      </c>
      <c r="K2378" s="2">
        <v>45870</v>
      </c>
      <c r="L2378" s="1" t="str">
        <f t="shared" si="255"/>
        <v>qui</v>
      </c>
      <c r="M2378" s="1" t="str">
        <f t="shared" si="256"/>
        <v>ago</v>
      </c>
      <c r="N2378">
        <f t="shared" si="257"/>
        <v>2025</v>
      </c>
      <c r="O2378" s="2"/>
      <c r="P2378" t="str">
        <f t="shared" si="258"/>
        <v>145945890</v>
      </c>
    </row>
    <row r="2379" spans="1:16" x14ac:dyDescent="0.3">
      <c r="A2379">
        <v>1459</v>
      </c>
      <c r="B2379">
        <v>57</v>
      </c>
      <c r="C2379" t="s">
        <v>26</v>
      </c>
      <c r="D2379" t="s">
        <v>16</v>
      </c>
      <c r="E2379" t="s">
        <v>17</v>
      </c>
      <c r="F2379" t="s">
        <v>21</v>
      </c>
      <c r="G2379" t="s">
        <v>41</v>
      </c>
      <c r="H2379" t="s">
        <v>25</v>
      </c>
      <c r="I2379" s="1">
        <v>1</v>
      </c>
      <c r="J2379" s="2">
        <v>45918</v>
      </c>
      <c r="K2379" s="2">
        <v>45901</v>
      </c>
      <c r="L2379" s="1" t="str">
        <f t="shared" si="255"/>
        <v>qui</v>
      </c>
      <c r="M2379" s="1" t="str">
        <f t="shared" si="256"/>
        <v>set</v>
      </c>
      <c r="N2379">
        <f t="shared" si="257"/>
        <v>2025</v>
      </c>
      <c r="O2379" s="2"/>
      <c r="P2379" t="str">
        <f t="shared" si="258"/>
        <v>145945918</v>
      </c>
    </row>
    <row r="2380" spans="1:16" x14ac:dyDescent="0.3">
      <c r="A2380">
        <v>1459</v>
      </c>
      <c r="B2380">
        <v>57</v>
      </c>
      <c r="C2380" t="s">
        <v>26</v>
      </c>
      <c r="D2380" t="s">
        <v>16</v>
      </c>
      <c r="E2380" t="s">
        <v>17</v>
      </c>
      <c r="F2380" t="s">
        <v>21</v>
      </c>
      <c r="G2380" t="s">
        <v>41</v>
      </c>
      <c r="H2380" t="s">
        <v>25</v>
      </c>
      <c r="I2380" s="1">
        <v>1</v>
      </c>
      <c r="J2380" s="2">
        <v>46009</v>
      </c>
      <c r="K2380" s="2">
        <v>45992</v>
      </c>
      <c r="L2380" s="1" t="str">
        <f t="shared" si="255"/>
        <v>qui</v>
      </c>
      <c r="M2380" s="1" t="str">
        <f t="shared" si="256"/>
        <v>dez</v>
      </c>
      <c r="N2380">
        <f t="shared" si="257"/>
        <v>2025</v>
      </c>
      <c r="O2380" s="2"/>
      <c r="P2380" t="str">
        <f t="shared" si="258"/>
        <v>145946009</v>
      </c>
    </row>
    <row r="2381" spans="1:16" x14ac:dyDescent="0.3">
      <c r="A2381">
        <v>1459</v>
      </c>
      <c r="B2381">
        <v>57</v>
      </c>
      <c r="C2381" t="s">
        <v>26</v>
      </c>
      <c r="D2381" t="s">
        <v>16</v>
      </c>
      <c r="E2381" t="s">
        <v>17</v>
      </c>
      <c r="F2381" t="s">
        <v>21</v>
      </c>
      <c r="G2381" t="s">
        <v>41</v>
      </c>
      <c r="H2381" t="s">
        <v>25</v>
      </c>
      <c r="I2381" s="1">
        <v>1</v>
      </c>
      <c r="J2381" s="2">
        <v>46058</v>
      </c>
      <c r="K2381" s="2">
        <v>46054</v>
      </c>
      <c r="L2381" s="1" t="str">
        <f t="shared" si="255"/>
        <v>qui</v>
      </c>
      <c r="M2381" s="1" t="str">
        <f t="shared" si="256"/>
        <v>fev</v>
      </c>
      <c r="N2381">
        <f t="shared" si="257"/>
        <v>2026</v>
      </c>
      <c r="O2381" s="2"/>
      <c r="P2381" t="str">
        <f t="shared" si="258"/>
        <v>145946058</v>
      </c>
    </row>
    <row r="2382" spans="1:16" x14ac:dyDescent="0.3">
      <c r="A2382">
        <v>1459</v>
      </c>
      <c r="B2382">
        <v>57</v>
      </c>
      <c r="C2382" t="s">
        <v>26</v>
      </c>
      <c r="D2382" t="s">
        <v>16</v>
      </c>
      <c r="E2382" t="s">
        <v>17</v>
      </c>
      <c r="F2382" t="s">
        <v>21</v>
      </c>
      <c r="G2382" t="s">
        <v>41</v>
      </c>
      <c r="H2382" t="s">
        <v>25</v>
      </c>
      <c r="I2382" s="1">
        <v>1</v>
      </c>
      <c r="J2382" s="2">
        <v>46073</v>
      </c>
      <c r="K2382" s="2">
        <v>46054</v>
      </c>
      <c r="L2382" s="1" t="str">
        <f t="shared" si="255"/>
        <v>sex</v>
      </c>
      <c r="M2382" s="1" t="str">
        <f t="shared" si="256"/>
        <v>fev</v>
      </c>
      <c r="N2382">
        <f t="shared" si="257"/>
        <v>2026</v>
      </c>
      <c r="O2382" s="2"/>
      <c r="P2382" t="str">
        <f t="shared" si="258"/>
        <v>145946073</v>
      </c>
    </row>
    <row r="2383" spans="1:16" x14ac:dyDescent="0.3">
      <c r="A2383">
        <v>1459</v>
      </c>
      <c r="B2383">
        <v>57</v>
      </c>
      <c r="C2383" t="s">
        <v>26</v>
      </c>
      <c r="D2383" t="s">
        <v>16</v>
      </c>
      <c r="E2383" t="s">
        <v>17</v>
      </c>
      <c r="F2383" t="s">
        <v>21</v>
      </c>
      <c r="G2383" t="s">
        <v>41</v>
      </c>
      <c r="H2383" t="s">
        <v>25</v>
      </c>
      <c r="I2383" s="1">
        <v>1</v>
      </c>
      <c r="J2383" s="2">
        <v>46140</v>
      </c>
      <c r="K2383" s="2">
        <v>46113</v>
      </c>
      <c r="L2383" s="1" t="s">
        <v>56</v>
      </c>
      <c r="M2383" s="1" t="s">
        <v>48</v>
      </c>
      <c r="N2383">
        <v>2025</v>
      </c>
      <c r="O2383" s="2"/>
      <c r="P2383" t="str">
        <f t="shared" si="258"/>
        <v>145946140</v>
      </c>
    </row>
    <row r="2384" spans="1:16" x14ac:dyDescent="0.3">
      <c r="A2384">
        <v>1460</v>
      </c>
      <c r="B2384">
        <v>37</v>
      </c>
      <c r="C2384" t="s">
        <v>26</v>
      </c>
      <c r="D2384" t="s">
        <v>22</v>
      </c>
      <c r="E2384" t="s">
        <v>17</v>
      </c>
      <c r="F2384" t="s">
        <v>18</v>
      </c>
      <c r="G2384" t="s">
        <v>40</v>
      </c>
      <c r="H2384" t="s">
        <v>25</v>
      </c>
      <c r="I2384" s="1">
        <v>3</v>
      </c>
      <c r="J2384" s="2">
        <v>45808</v>
      </c>
      <c r="K2384" s="2">
        <v>45778</v>
      </c>
      <c r="L2384" s="1" t="str">
        <f>TEXT(J2384,"ddd")</f>
        <v>sáb</v>
      </c>
      <c r="M2384" s="1" t="str">
        <f>TEXT($J2384,"mmm")</f>
        <v>mai</v>
      </c>
      <c r="N2384">
        <f>YEAR(J2384)</f>
        <v>2025</v>
      </c>
      <c r="O2384" s="2"/>
      <c r="P2384" t="str">
        <f t="shared" si="258"/>
        <v>146045808</v>
      </c>
    </row>
    <row r="2385" spans="1:16" x14ac:dyDescent="0.3">
      <c r="A2385">
        <v>1460</v>
      </c>
      <c r="B2385">
        <v>37</v>
      </c>
      <c r="C2385" t="s">
        <v>26</v>
      </c>
      <c r="D2385" t="s">
        <v>22</v>
      </c>
      <c r="E2385" t="s">
        <v>17</v>
      </c>
      <c r="F2385" t="s">
        <v>18</v>
      </c>
      <c r="G2385" t="s">
        <v>40</v>
      </c>
      <c r="H2385" t="s">
        <v>25</v>
      </c>
      <c r="I2385" s="1">
        <v>3</v>
      </c>
      <c r="J2385" s="2">
        <v>45922</v>
      </c>
      <c r="K2385" s="2">
        <v>45901</v>
      </c>
      <c r="L2385" s="1" t="str">
        <f>TEXT(J2385,"ddd")</f>
        <v>seg</v>
      </c>
      <c r="M2385" s="1" t="str">
        <f>TEXT($J2385,"mmm")</f>
        <v>set</v>
      </c>
      <c r="N2385">
        <f>YEAR(J2385)</f>
        <v>2025</v>
      </c>
      <c r="O2385" s="2"/>
      <c r="P2385" t="str">
        <f t="shared" si="258"/>
        <v>146045922</v>
      </c>
    </row>
    <row r="2386" spans="1:16" x14ac:dyDescent="0.3">
      <c r="A2386">
        <v>1460</v>
      </c>
      <c r="B2386">
        <v>37</v>
      </c>
      <c r="C2386" t="s">
        <v>26</v>
      </c>
      <c r="D2386" t="s">
        <v>22</v>
      </c>
      <c r="E2386" t="s">
        <v>17</v>
      </c>
      <c r="F2386" t="s">
        <v>18</v>
      </c>
      <c r="G2386" t="s">
        <v>40</v>
      </c>
      <c r="H2386" t="s">
        <v>25</v>
      </c>
      <c r="I2386" s="1">
        <v>3</v>
      </c>
      <c r="J2386" s="2">
        <v>45981</v>
      </c>
      <c r="K2386" s="2">
        <v>45962</v>
      </c>
      <c r="L2386" s="1" t="str">
        <f>TEXT(J2386,"ddd")</f>
        <v>qui</v>
      </c>
      <c r="M2386" s="1" t="str">
        <f>TEXT($J2386,"mmm")</f>
        <v>nov</v>
      </c>
      <c r="N2386">
        <f>YEAR(J2386)</f>
        <v>2025</v>
      </c>
      <c r="O2386" s="2"/>
      <c r="P2386" t="str">
        <f t="shared" si="258"/>
        <v>146045981</v>
      </c>
    </row>
    <row r="2387" spans="1:16" x14ac:dyDescent="0.3">
      <c r="A2387">
        <v>1460</v>
      </c>
      <c r="B2387">
        <v>37</v>
      </c>
      <c r="C2387" t="s">
        <v>26</v>
      </c>
      <c r="D2387" t="s">
        <v>22</v>
      </c>
      <c r="E2387" t="s">
        <v>17</v>
      </c>
      <c r="F2387" t="s">
        <v>18</v>
      </c>
      <c r="G2387" t="s">
        <v>41</v>
      </c>
      <c r="H2387" t="s">
        <v>25</v>
      </c>
      <c r="I2387" s="1">
        <v>3</v>
      </c>
      <c r="J2387" s="2">
        <v>46090</v>
      </c>
      <c r="K2387" s="2">
        <v>46082</v>
      </c>
      <c r="L2387" s="1" t="str">
        <f>TEXT(J2387,"ddd")</f>
        <v>seg</v>
      </c>
      <c r="M2387" s="1" t="str">
        <f>TEXT($J2387,"mmm")</f>
        <v>mar</v>
      </c>
      <c r="N2387">
        <f>YEAR(J2387)</f>
        <v>2026</v>
      </c>
      <c r="O2387" s="2"/>
      <c r="P2387" t="str">
        <f t="shared" si="258"/>
        <v>146046090</v>
      </c>
    </row>
    <row r="2388" spans="1:16" x14ac:dyDescent="0.3">
      <c r="A2388">
        <v>1460</v>
      </c>
      <c r="B2388">
        <v>37</v>
      </c>
      <c r="C2388" t="s">
        <v>26</v>
      </c>
      <c r="D2388" t="s">
        <v>22</v>
      </c>
      <c r="E2388" t="s">
        <v>17</v>
      </c>
      <c r="F2388" t="s">
        <v>18</v>
      </c>
      <c r="G2388" t="s">
        <v>40</v>
      </c>
      <c r="H2388" t="s">
        <v>25</v>
      </c>
      <c r="I2388" s="1">
        <v>3</v>
      </c>
      <c r="J2388" s="2">
        <v>46107</v>
      </c>
      <c r="K2388" s="2">
        <v>46082</v>
      </c>
      <c r="L2388" s="1" t="str">
        <f>TEXT(J2388,"ddd")</f>
        <v>qui</v>
      </c>
      <c r="M2388" s="1" t="str">
        <f>TEXT($J2388,"mmm")</f>
        <v>mar</v>
      </c>
      <c r="N2388">
        <f>YEAR(J2388)</f>
        <v>2026</v>
      </c>
      <c r="O2388" s="2"/>
      <c r="P2388" t="str">
        <f t="shared" si="258"/>
        <v>146046107</v>
      </c>
    </row>
    <row r="2389" spans="1:16" x14ac:dyDescent="0.3">
      <c r="A2389">
        <v>1460</v>
      </c>
      <c r="B2389">
        <v>37</v>
      </c>
      <c r="C2389" t="s">
        <v>26</v>
      </c>
      <c r="D2389" t="s">
        <v>22</v>
      </c>
      <c r="E2389" t="s">
        <v>17</v>
      </c>
      <c r="F2389" t="s">
        <v>18</v>
      </c>
      <c r="G2389" t="s">
        <v>40</v>
      </c>
      <c r="H2389" t="s">
        <v>25</v>
      </c>
      <c r="I2389" s="1">
        <v>3</v>
      </c>
      <c r="J2389" s="2">
        <v>46173</v>
      </c>
      <c r="K2389" s="2">
        <v>46143</v>
      </c>
      <c r="L2389" s="1" t="s">
        <v>54</v>
      </c>
      <c r="M2389" s="1" t="s">
        <v>49</v>
      </c>
      <c r="N2389">
        <v>2025</v>
      </c>
      <c r="O2389" s="2"/>
      <c r="P2389" t="str">
        <f t="shared" si="258"/>
        <v>146046173</v>
      </c>
    </row>
    <row r="2390" spans="1:16" x14ac:dyDescent="0.3">
      <c r="A2390">
        <v>1460</v>
      </c>
      <c r="B2390">
        <v>37</v>
      </c>
      <c r="C2390" t="s">
        <v>26</v>
      </c>
      <c r="D2390" t="s">
        <v>22</v>
      </c>
      <c r="E2390" t="s">
        <v>17</v>
      </c>
      <c r="F2390" t="s">
        <v>18</v>
      </c>
      <c r="G2390" t="s">
        <v>40</v>
      </c>
      <c r="H2390" t="s">
        <v>25</v>
      </c>
      <c r="I2390" s="1">
        <v>3</v>
      </c>
      <c r="J2390" s="2">
        <v>46200</v>
      </c>
      <c r="K2390" s="2">
        <v>46174</v>
      </c>
      <c r="L2390" s="1" t="str">
        <f t="shared" ref="L2390:L2410" si="259">TEXT(J2390,"ddd")</f>
        <v>sáb</v>
      </c>
      <c r="M2390" s="1" t="str">
        <f t="shared" ref="M2390:M2410" si="260">TEXT($J2390,"mmm")</f>
        <v>jun</v>
      </c>
      <c r="N2390">
        <f t="shared" ref="N2390:N2410" si="261">YEAR(J2390)</f>
        <v>2026</v>
      </c>
      <c r="O2390" s="2"/>
      <c r="P2390" t="str">
        <f t="shared" si="258"/>
        <v>146046200</v>
      </c>
    </row>
    <row r="2391" spans="1:16" x14ac:dyDescent="0.3">
      <c r="A2391">
        <v>1461</v>
      </c>
      <c r="B2391">
        <v>55</v>
      </c>
      <c r="C2391" t="s">
        <v>15</v>
      </c>
      <c r="D2391" t="s">
        <v>27</v>
      </c>
      <c r="E2391" t="s">
        <v>17</v>
      </c>
      <c r="F2391" t="s">
        <v>21</v>
      </c>
      <c r="G2391" t="s">
        <v>41</v>
      </c>
      <c r="H2391" t="s">
        <v>20</v>
      </c>
      <c r="I2391" s="1">
        <v>2</v>
      </c>
      <c r="J2391" s="2">
        <v>45870</v>
      </c>
      <c r="K2391" s="2">
        <v>45870</v>
      </c>
      <c r="L2391" s="1" t="str">
        <f t="shared" si="259"/>
        <v>sex</v>
      </c>
      <c r="M2391" s="1" t="str">
        <f t="shared" si="260"/>
        <v>ago</v>
      </c>
      <c r="N2391">
        <f t="shared" si="261"/>
        <v>2025</v>
      </c>
      <c r="O2391" s="2">
        <f>_xlfn.XLOOKUP(A2391,Colaboradores!$A:$A,Colaboradores!$S:$S,"",0)</f>
        <v>45914</v>
      </c>
      <c r="P2391" t="str">
        <f t="shared" si="258"/>
        <v>146145870</v>
      </c>
    </row>
    <row r="2392" spans="1:16" x14ac:dyDescent="0.3">
      <c r="A2392">
        <v>1461</v>
      </c>
      <c r="B2392">
        <v>55</v>
      </c>
      <c r="C2392" t="s">
        <v>15</v>
      </c>
      <c r="D2392" t="s">
        <v>27</v>
      </c>
      <c r="E2392" t="s">
        <v>17</v>
      </c>
      <c r="F2392" t="s">
        <v>21</v>
      </c>
      <c r="G2392" t="s">
        <v>44</v>
      </c>
      <c r="H2392" t="s">
        <v>20</v>
      </c>
      <c r="I2392" s="1">
        <v>2</v>
      </c>
      <c r="J2392" s="2">
        <v>45872</v>
      </c>
      <c r="K2392" s="2">
        <v>45870</v>
      </c>
      <c r="L2392" s="1" t="str">
        <f t="shared" si="259"/>
        <v>dom</v>
      </c>
      <c r="M2392" s="1" t="str">
        <f t="shared" si="260"/>
        <v>ago</v>
      </c>
      <c r="N2392">
        <f t="shared" si="261"/>
        <v>2025</v>
      </c>
      <c r="O2392" s="2">
        <f>_xlfn.XLOOKUP(A2392,Colaboradores!$A:$A,Colaboradores!$S:$S,"",0)</f>
        <v>45914</v>
      </c>
      <c r="P2392" t="str">
        <f t="shared" si="258"/>
        <v>146145872</v>
      </c>
    </row>
    <row r="2393" spans="1:16" x14ac:dyDescent="0.3">
      <c r="A2393">
        <v>1462</v>
      </c>
      <c r="B2393">
        <v>25</v>
      </c>
      <c r="C2393" t="s">
        <v>15</v>
      </c>
      <c r="D2393" t="s">
        <v>16</v>
      </c>
      <c r="E2393" t="s">
        <v>17</v>
      </c>
      <c r="F2393" t="s">
        <v>18</v>
      </c>
      <c r="G2393" t="s">
        <v>44</v>
      </c>
      <c r="H2393" t="s">
        <v>25</v>
      </c>
      <c r="I2393" s="1">
        <v>1</v>
      </c>
      <c r="J2393" s="2">
        <v>45882</v>
      </c>
      <c r="K2393" s="2">
        <v>45870</v>
      </c>
      <c r="L2393" s="1" t="str">
        <f t="shared" si="259"/>
        <v>qua</v>
      </c>
      <c r="M2393" s="1" t="str">
        <f t="shared" si="260"/>
        <v>ago</v>
      </c>
      <c r="N2393">
        <f t="shared" si="261"/>
        <v>2025</v>
      </c>
      <c r="O2393" s="2"/>
      <c r="P2393" t="str">
        <f t="shared" si="258"/>
        <v>146245882</v>
      </c>
    </row>
    <row r="2394" spans="1:16" x14ac:dyDescent="0.3">
      <c r="A2394">
        <v>1462</v>
      </c>
      <c r="B2394">
        <v>25</v>
      </c>
      <c r="C2394" t="s">
        <v>15</v>
      </c>
      <c r="D2394" t="s">
        <v>16</v>
      </c>
      <c r="E2394" t="s">
        <v>17</v>
      </c>
      <c r="F2394" t="s">
        <v>18</v>
      </c>
      <c r="G2394" t="s">
        <v>40</v>
      </c>
      <c r="H2394" t="s">
        <v>25</v>
      </c>
      <c r="I2394" s="1">
        <v>1</v>
      </c>
      <c r="J2394" s="2">
        <v>45890</v>
      </c>
      <c r="K2394" s="2">
        <v>45870</v>
      </c>
      <c r="L2394" s="1" t="str">
        <f t="shared" si="259"/>
        <v>qui</v>
      </c>
      <c r="M2394" s="1" t="str">
        <f t="shared" si="260"/>
        <v>ago</v>
      </c>
      <c r="N2394">
        <f t="shared" si="261"/>
        <v>2025</v>
      </c>
      <c r="O2394" s="2"/>
      <c r="P2394" t="str">
        <f t="shared" si="258"/>
        <v>146245890</v>
      </c>
    </row>
    <row r="2395" spans="1:16" x14ac:dyDescent="0.3">
      <c r="A2395">
        <v>1462</v>
      </c>
      <c r="B2395">
        <v>25</v>
      </c>
      <c r="C2395" t="s">
        <v>15</v>
      </c>
      <c r="D2395" t="s">
        <v>16</v>
      </c>
      <c r="E2395" t="s">
        <v>17</v>
      </c>
      <c r="F2395" t="s">
        <v>18</v>
      </c>
      <c r="G2395" t="s">
        <v>42</v>
      </c>
      <c r="H2395" t="s">
        <v>25</v>
      </c>
      <c r="I2395" s="1">
        <v>1</v>
      </c>
      <c r="J2395" s="2">
        <v>45895</v>
      </c>
      <c r="K2395" s="2">
        <v>45870</v>
      </c>
      <c r="L2395" s="1" t="str">
        <f t="shared" si="259"/>
        <v>ter</v>
      </c>
      <c r="M2395" s="1" t="str">
        <f t="shared" si="260"/>
        <v>ago</v>
      </c>
      <c r="N2395">
        <f t="shared" si="261"/>
        <v>2025</v>
      </c>
      <c r="O2395" s="2"/>
      <c r="P2395" t="str">
        <f t="shared" si="258"/>
        <v>146245895</v>
      </c>
    </row>
    <row r="2396" spans="1:16" x14ac:dyDescent="0.3">
      <c r="A2396">
        <v>1462</v>
      </c>
      <c r="B2396">
        <v>25</v>
      </c>
      <c r="C2396" t="s">
        <v>15</v>
      </c>
      <c r="D2396" t="s">
        <v>16</v>
      </c>
      <c r="E2396" t="s">
        <v>17</v>
      </c>
      <c r="F2396" t="s">
        <v>18</v>
      </c>
      <c r="G2396" t="s">
        <v>42</v>
      </c>
      <c r="H2396" t="s">
        <v>25</v>
      </c>
      <c r="I2396" s="1">
        <v>1</v>
      </c>
      <c r="J2396" s="2">
        <v>45937</v>
      </c>
      <c r="K2396" s="2">
        <v>45931</v>
      </c>
      <c r="L2396" s="1" t="str">
        <f t="shared" si="259"/>
        <v>ter</v>
      </c>
      <c r="M2396" s="1" t="str">
        <f t="shared" si="260"/>
        <v>out</v>
      </c>
      <c r="N2396">
        <f t="shared" si="261"/>
        <v>2025</v>
      </c>
      <c r="O2396" s="2"/>
      <c r="P2396" t="str">
        <f t="shared" si="258"/>
        <v>146245937</v>
      </c>
    </row>
    <row r="2397" spans="1:16" x14ac:dyDescent="0.3">
      <c r="A2397">
        <v>1462</v>
      </c>
      <c r="B2397">
        <v>25</v>
      </c>
      <c r="C2397" t="s">
        <v>15</v>
      </c>
      <c r="D2397" t="s">
        <v>16</v>
      </c>
      <c r="E2397" t="s">
        <v>17</v>
      </c>
      <c r="F2397" t="s">
        <v>18</v>
      </c>
      <c r="G2397" t="s">
        <v>40</v>
      </c>
      <c r="H2397" t="s">
        <v>25</v>
      </c>
      <c r="I2397" s="1">
        <v>1</v>
      </c>
      <c r="J2397" s="2">
        <v>45989</v>
      </c>
      <c r="K2397" s="2">
        <v>45962</v>
      </c>
      <c r="L2397" s="1" t="str">
        <f t="shared" si="259"/>
        <v>sex</v>
      </c>
      <c r="M2397" s="1" t="str">
        <f t="shared" si="260"/>
        <v>nov</v>
      </c>
      <c r="N2397">
        <f t="shared" si="261"/>
        <v>2025</v>
      </c>
      <c r="O2397" s="2"/>
      <c r="P2397" t="str">
        <f t="shared" si="258"/>
        <v>146245989</v>
      </c>
    </row>
    <row r="2398" spans="1:16" x14ac:dyDescent="0.3">
      <c r="A2398">
        <v>1462</v>
      </c>
      <c r="B2398">
        <v>25</v>
      </c>
      <c r="C2398" t="s">
        <v>15</v>
      </c>
      <c r="D2398" t="s">
        <v>16</v>
      </c>
      <c r="E2398" t="s">
        <v>17</v>
      </c>
      <c r="F2398" t="s">
        <v>18</v>
      </c>
      <c r="G2398" t="s">
        <v>44</v>
      </c>
      <c r="H2398" t="s">
        <v>25</v>
      </c>
      <c r="I2398" s="1">
        <v>1</v>
      </c>
      <c r="J2398" s="2">
        <v>46111</v>
      </c>
      <c r="K2398" s="2">
        <v>46082</v>
      </c>
      <c r="L2398" s="1" t="str">
        <f t="shared" si="259"/>
        <v>seg</v>
      </c>
      <c r="M2398" s="1" t="str">
        <f t="shared" si="260"/>
        <v>mar</v>
      </c>
      <c r="N2398">
        <f t="shared" si="261"/>
        <v>2026</v>
      </c>
      <c r="O2398" s="2"/>
      <c r="P2398" t="str">
        <f t="shared" si="258"/>
        <v>146246111</v>
      </c>
    </row>
    <row r="2399" spans="1:16" x14ac:dyDescent="0.3">
      <c r="A2399">
        <v>1462</v>
      </c>
      <c r="B2399">
        <v>25</v>
      </c>
      <c r="C2399" t="s">
        <v>15</v>
      </c>
      <c r="D2399" t="s">
        <v>16</v>
      </c>
      <c r="E2399" t="s">
        <v>17</v>
      </c>
      <c r="F2399" t="s">
        <v>18</v>
      </c>
      <c r="G2399" t="s">
        <v>44</v>
      </c>
      <c r="H2399" t="s">
        <v>25</v>
      </c>
      <c r="I2399" s="1">
        <v>1</v>
      </c>
      <c r="J2399" s="2">
        <v>46142</v>
      </c>
      <c r="K2399" s="2">
        <v>46113</v>
      </c>
      <c r="L2399" s="1" t="str">
        <f t="shared" si="259"/>
        <v>qui</v>
      </c>
      <c r="M2399" s="1" t="str">
        <f t="shared" si="260"/>
        <v>abr</v>
      </c>
      <c r="N2399">
        <f t="shared" si="261"/>
        <v>2026</v>
      </c>
      <c r="O2399" s="2"/>
      <c r="P2399" t="str">
        <f t="shared" si="258"/>
        <v>146246142</v>
      </c>
    </row>
    <row r="2400" spans="1:16" x14ac:dyDescent="0.3">
      <c r="A2400">
        <v>1463</v>
      </c>
      <c r="B2400">
        <v>21</v>
      </c>
      <c r="C2400" t="s">
        <v>15</v>
      </c>
      <c r="D2400" t="s">
        <v>29</v>
      </c>
      <c r="E2400" t="s">
        <v>17</v>
      </c>
      <c r="F2400" t="s">
        <v>21</v>
      </c>
      <c r="G2400" t="s">
        <v>44</v>
      </c>
      <c r="H2400" t="s">
        <v>25</v>
      </c>
      <c r="I2400" s="1">
        <v>1</v>
      </c>
      <c r="J2400" s="2">
        <v>45817</v>
      </c>
      <c r="K2400" s="2">
        <v>45809</v>
      </c>
      <c r="L2400" s="1" t="str">
        <f t="shared" si="259"/>
        <v>seg</v>
      </c>
      <c r="M2400" s="1" t="str">
        <f t="shared" si="260"/>
        <v>jun</v>
      </c>
      <c r="N2400">
        <f t="shared" si="261"/>
        <v>2025</v>
      </c>
      <c r="O2400" s="2"/>
      <c r="P2400" t="str">
        <f t="shared" si="258"/>
        <v>146345817</v>
      </c>
    </row>
    <row r="2401" spans="1:16" x14ac:dyDescent="0.3">
      <c r="A2401">
        <v>1463</v>
      </c>
      <c r="B2401">
        <v>21</v>
      </c>
      <c r="C2401" t="s">
        <v>15</v>
      </c>
      <c r="D2401" t="s">
        <v>29</v>
      </c>
      <c r="E2401" t="s">
        <v>17</v>
      </c>
      <c r="F2401" t="s">
        <v>21</v>
      </c>
      <c r="G2401" t="s">
        <v>44</v>
      </c>
      <c r="H2401" t="s">
        <v>25</v>
      </c>
      <c r="I2401" s="1">
        <v>1</v>
      </c>
      <c r="J2401" s="2">
        <v>46007</v>
      </c>
      <c r="K2401" s="2">
        <v>45992</v>
      </c>
      <c r="L2401" s="1" t="str">
        <f t="shared" si="259"/>
        <v>ter</v>
      </c>
      <c r="M2401" s="1" t="str">
        <f t="shared" si="260"/>
        <v>dez</v>
      </c>
      <c r="N2401">
        <f t="shared" si="261"/>
        <v>2025</v>
      </c>
      <c r="O2401" s="2"/>
      <c r="P2401" t="str">
        <f t="shared" si="258"/>
        <v>146346007</v>
      </c>
    </row>
    <row r="2402" spans="1:16" x14ac:dyDescent="0.3">
      <c r="A2402">
        <v>1463</v>
      </c>
      <c r="B2402">
        <v>21</v>
      </c>
      <c r="C2402" t="s">
        <v>15</v>
      </c>
      <c r="D2402" t="s">
        <v>29</v>
      </c>
      <c r="E2402" t="s">
        <v>17</v>
      </c>
      <c r="F2402" t="s">
        <v>21</v>
      </c>
      <c r="G2402" t="s">
        <v>41</v>
      </c>
      <c r="H2402" t="s">
        <v>25</v>
      </c>
      <c r="I2402" s="1">
        <v>1</v>
      </c>
      <c r="J2402" s="2">
        <v>46075</v>
      </c>
      <c r="K2402" s="2">
        <v>46054</v>
      </c>
      <c r="L2402" s="1" t="str">
        <f t="shared" si="259"/>
        <v>dom</v>
      </c>
      <c r="M2402" s="1" t="str">
        <f t="shared" si="260"/>
        <v>fev</v>
      </c>
      <c r="N2402">
        <f t="shared" si="261"/>
        <v>2026</v>
      </c>
      <c r="O2402" s="2"/>
      <c r="P2402" t="str">
        <f t="shared" si="258"/>
        <v>146346075</v>
      </c>
    </row>
    <row r="2403" spans="1:16" x14ac:dyDescent="0.3">
      <c r="A2403">
        <v>1463</v>
      </c>
      <c r="B2403">
        <v>21</v>
      </c>
      <c r="C2403" t="s">
        <v>15</v>
      </c>
      <c r="D2403" t="s">
        <v>29</v>
      </c>
      <c r="E2403" t="s">
        <v>17</v>
      </c>
      <c r="F2403" t="s">
        <v>21</v>
      </c>
      <c r="G2403" t="s">
        <v>41</v>
      </c>
      <c r="H2403" t="s">
        <v>25</v>
      </c>
      <c r="I2403" s="1">
        <v>1</v>
      </c>
      <c r="J2403" s="2">
        <v>46108</v>
      </c>
      <c r="K2403" s="2">
        <v>46082</v>
      </c>
      <c r="L2403" s="1" t="str">
        <f t="shared" si="259"/>
        <v>sex</v>
      </c>
      <c r="M2403" s="1" t="str">
        <f t="shared" si="260"/>
        <v>mar</v>
      </c>
      <c r="N2403">
        <f t="shared" si="261"/>
        <v>2026</v>
      </c>
      <c r="O2403" s="2"/>
      <c r="P2403" t="str">
        <f t="shared" si="258"/>
        <v>146346108</v>
      </c>
    </row>
    <row r="2404" spans="1:16" x14ac:dyDescent="0.3">
      <c r="A2404">
        <v>1463</v>
      </c>
      <c r="B2404">
        <v>21</v>
      </c>
      <c r="C2404" t="s">
        <v>15</v>
      </c>
      <c r="D2404" t="s">
        <v>29</v>
      </c>
      <c r="E2404" t="s">
        <v>17</v>
      </c>
      <c r="F2404" t="s">
        <v>21</v>
      </c>
      <c r="G2404" t="s">
        <v>41</v>
      </c>
      <c r="H2404" t="s">
        <v>25</v>
      </c>
      <c r="I2404" s="1">
        <v>1</v>
      </c>
      <c r="J2404" s="2">
        <v>46156</v>
      </c>
      <c r="K2404" s="2">
        <v>46143</v>
      </c>
      <c r="L2404" s="1" t="str">
        <f t="shared" si="259"/>
        <v>qui</v>
      </c>
      <c r="M2404" s="1" t="str">
        <f t="shared" si="260"/>
        <v>mai</v>
      </c>
      <c r="N2404">
        <f t="shared" si="261"/>
        <v>2026</v>
      </c>
      <c r="O2404" s="2"/>
      <c r="P2404" t="str">
        <f t="shared" si="258"/>
        <v>146346156</v>
      </c>
    </row>
    <row r="2405" spans="1:16" x14ac:dyDescent="0.3">
      <c r="A2405">
        <v>1466</v>
      </c>
      <c r="B2405">
        <v>27</v>
      </c>
      <c r="C2405" t="s">
        <v>26</v>
      </c>
      <c r="D2405" t="s">
        <v>16</v>
      </c>
      <c r="E2405" t="s">
        <v>17</v>
      </c>
      <c r="F2405" t="s">
        <v>21</v>
      </c>
      <c r="G2405" t="s">
        <v>40</v>
      </c>
      <c r="H2405" t="s">
        <v>25</v>
      </c>
      <c r="I2405" s="1">
        <v>1</v>
      </c>
      <c r="J2405" s="2">
        <v>45757</v>
      </c>
      <c r="K2405" s="2">
        <v>45748</v>
      </c>
      <c r="L2405" s="1" t="str">
        <f t="shared" si="259"/>
        <v>qui</v>
      </c>
      <c r="M2405" s="1" t="str">
        <f t="shared" si="260"/>
        <v>abr</v>
      </c>
      <c r="N2405">
        <f t="shared" si="261"/>
        <v>2025</v>
      </c>
      <c r="O2405" s="2"/>
      <c r="P2405" t="str">
        <f t="shared" si="258"/>
        <v>146645757</v>
      </c>
    </row>
    <row r="2406" spans="1:16" x14ac:dyDescent="0.3">
      <c r="A2406">
        <v>1466</v>
      </c>
      <c r="B2406">
        <v>27</v>
      </c>
      <c r="C2406" t="s">
        <v>26</v>
      </c>
      <c r="D2406" t="s">
        <v>16</v>
      </c>
      <c r="E2406" t="s">
        <v>17</v>
      </c>
      <c r="F2406" t="s">
        <v>21</v>
      </c>
      <c r="G2406" t="s">
        <v>40</v>
      </c>
      <c r="H2406" t="s">
        <v>25</v>
      </c>
      <c r="I2406" s="1">
        <v>1</v>
      </c>
      <c r="J2406" s="2">
        <v>45817</v>
      </c>
      <c r="K2406" s="2">
        <v>45809</v>
      </c>
      <c r="L2406" s="1" t="str">
        <f t="shared" si="259"/>
        <v>seg</v>
      </c>
      <c r="M2406" s="1" t="str">
        <f t="shared" si="260"/>
        <v>jun</v>
      </c>
      <c r="N2406">
        <f t="shared" si="261"/>
        <v>2025</v>
      </c>
      <c r="O2406" s="2"/>
      <c r="P2406" t="str">
        <f t="shared" si="258"/>
        <v>146645817</v>
      </c>
    </row>
    <row r="2407" spans="1:16" x14ac:dyDescent="0.3">
      <c r="A2407">
        <v>1466</v>
      </c>
      <c r="B2407">
        <v>27</v>
      </c>
      <c r="C2407" t="s">
        <v>26</v>
      </c>
      <c r="D2407" t="s">
        <v>16</v>
      </c>
      <c r="E2407" t="s">
        <v>17</v>
      </c>
      <c r="F2407" t="s">
        <v>21</v>
      </c>
      <c r="G2407" t="s">
        <v>40</v>
      </c>
      <c r="H2407" t="s">
        <v>25</v>
      </c>
      <c r="I2407" s="1">
        <v>1</v>
      </c>
      <c r="J2407" s="2">
        <v>45826</v>
      </c>
      <c r="K2407" s="2">
        <v>45809</v>
      </c>
      <c r="L2407" s="1" t="str">
        <f t="shared" si="259"/>
        <v>qua</v>
      </c>
      <c r="M2407" s="1" t="str">
        <f t="shared" si="260"/>
        <v>jun</v>
      </c>
      <c r="N2407">
        <f t="shared" si="261"/>
        <v>2025</v>
      </c>
      <c r="O2407" s="2"/>
      <c r="P2407" t="str">
        <f t="shared" si="258"/>
        <v>146645826</v>
      </c>
    </row>
    <row r="2408" spans="1:16" x14ac:dyDescent="0.3">
      <c r="A2408">
        <v>1466</v>
      </c>
      <c r="B2408">
        <v>27</v>
      </c>
      <c r="C2408" t="s">
        <v>26</v>
      </c>
      <c r="D2408" t="s">
        <v>16</v>
      </c>
      <c r="E2408" t="s">
        <v>17</v>
      </c>
      <c r="F2408" t="s">
        <v>21</v>
      </c>
      <c r="G2408" t="s">
        <v>40</v>
      </c>
      <c r="H2408" t="s">
        <v>25</v>
      </c>
      <c r="I2408" s="1">
        <v>1</v>
      </c>
      <c r="J2408" s="2">
        <v>45920</v>
      </c>
      <c r="K2408" s="2">
        <v>45901</v>
      </c>
      <c r="L2408" s="1" t="str">
        <f t="shared" si="259"/>
        <v>sáb</v>
      </c>
      <c r="M2408" s="1" t="str">
        <f t="shared" si="260"/>
        <v>set</v>
      </c>
      <c r="N2408">
        <f t="shared" si="261"/>
        <v>2025</v>
      </c>
      <c r="O2408" s="2"/>
      <c r="P2408" t="str">
        <f t="shared" si="258"/>
        <v>146645920</v>
      </c>
    </row>
    <row r="2409" spans="1:16" x14ac:dyDescent="0.3">
      <c r="A2409">
        <v>1466</v>
      </c>
      <c r="B2409">
        <v>27</v>
      </c>
      <c r="C2409" t="s">
        <v>26</v>
      </c>
      <c r="D2409" t="s">
        <v>16</v>
      </c>
      <c r="E2409" t="s">
        <v>17</v>
      </c>
      <c r="F2409" t="s">
        <v>21</v>
      </c>
      <c r="G2409" t="s">
        <v>40</v>
      </c>
      <c r="H2409" t="s">
        <v>25</v>
      </c>
      <c r="I2409" s="1">
        <v>1</v>
      </c>
      <c r="J2409" s="2">
        <v>45969</v>
      </c>
      <c r="K2409" s="2">
        <v>45962</v>
      </c>
      <c r="L2409" s="1" t="str">
        <f t="shared" si="259"/>
        <v>sáb</v>
      </c>
      <c r="M2409" s="1" t="str">
        <f t="shared" si="260"/>
        <v>nov</v>
      </c>
      <c r="N2409">
        <f t="shared" si="261"/>
        <v>2025</v>
      </c>
      <c r="O2409" s="2"/>
      <c r="P2409" t="str">
        <f t="shared" si="258"/>
        <v>146645969</v>
      </c>
    </row>
    <row r="2410" spans="1:16" x14ac:dyDescent="0.3">
      <c r="A2410">
        <v>1466</v>
      </c>
      <c r="B2410">
        <v>27</v>
      </c>
      <c r="C2410" t="s">
        <v>26</v>
      </c>
      <c r="D2410" t="s">
        <v>16</v>
      </c>
      <c r="E2410" t="s">
        <v>17</v>
      </c>
      <c r="F2410" t="s">
        <v>21</v>
      </c>
      <c r="G2410" t="s">
        <v>41</v>
      </c>
      <c r="H2410" t="s">
        <v>25</v>
      </c>
      <c r="I2410" s="1">
        <v>1</v>
      </c>
      <c r="J2410" s="2">
        <v>46058</v>
      </c>
      <c r="K2410" s="2">
        <v>46054</v>
      </c>
      <c r="L2410" s="1" t="str">
        <f t="shared" si="259"/>
        <v>qui</v>
      </c>
      <c r="M2410" s="1" t="str">
        <f t="shared" si="260"/>
        <v>fev</v>
      </c>
      <c r="N2410">
        <f t="shared" si="261"/>
        <v>2026</v>
      </c>
      <c r="O2410" s="2"/>
      <c r="P2410" t="str">
        <f t="shared" si="258"/>
        <v>146646058</v>
      </c>
    </row>
    <row r="2411" spans="1:16" x14ac:dyDescent="0.3">
      <c r="A2411">
        <v>1466</v>
      </c>
      <c r="B2411">
        <v>27</v>
      </c>
      <c r="C2411" t="s">
        <v>26</v>
      </c>
      <c r="D2411" t="s">
        <v>16</v>
      </c>
      <c r="E2411" t="s">
        <v>17</v>
      </c>
      <c r="F2411" t="s">
        <v>21</v>
      </c>
      <c r="G2411" t="s">
        <v>40</v>
      </c>
      <c r="H2411" t="s">
        <v>25</v>
      </c>
      <c r="I2411" s="1">
        <v>1</v>
      </c>
      <c r="J2411" s="2">
        <v>46122</v>
      </c>
      <c r="K2411" s="2">
        <v>46113</v>
      </c>
      <c r="L2411" s="1" t="s">
        <v>52</v>
      </c>
      <c r="M2411" s="1" t="s">
        <v>48</v>
      </c>
      <c r="N2411">
        <v>2025</v>
      </c>
      <c r="O2411" s="2"/>
      <c r="P2411" t="str">
        <f t="shared" si="258"/>
        <v>146646122</v>
      </c>
    </row>
    <row r="2412" spans="1:16" x14ac:dyDescent="0.3">
      <c r="A2412">
        <v>1467</v>
      </c>
      <c r="B2412">
        <v>35</v>
      </c>
      <c r="C2412" t="s">
        <v>26</v>
      </c>
      <c r="D2412" t="s">
        <v>16</v>
      </c>
      <c r="E2412" t="s">
        <v>17</v>
      </c>
      <c r="F2412" t="s">
        <v>21</v>
      </c>
      <c r="G2412" t="s">
        <v>57</v>
      </c>
      <c r="H2412" t="s">
        <v>20</v>
      </c>
      <c r="I2412" s="1">
        <v>3</v>
      </c>
      <c r="J2412" s="2">
        <v>45762</v>
      </c>
      <c r="K2412" s="2">
        <v>45748</v>
      </c>
      <c r="L2412" s="1" t="str">
        <f t="shared" ref="L2412:L2442" si="262">TEXT(J2412,"ddd")</f>
        <v>ter</v>
      </c>
      <c r="M2412" s="1" t="str">
        <f t="shared" ref="M2412:M2442" si="263">TEXT($J2412,"mmm")</f>
        <v>abr</v>
      </c>
      <c r="N2412">
        <f t="shared" ref="N2412:N2442" si="264">YEAR(J2412)</f>
        <v>2025</v>
      </c>
      <c r="O2412" s="2">
        <f>_xlfn.XLOOKUP(A2412,Colaboradores!$A:$A,Colaboradores!$S:$S,"",0)</f>
        <v>46069</v>
      </c>
      <c r="P2412" t="str">
        <f t="shared" si="258"/>
        <v>146745762</v>
      </c>
    </row>
    <row r="2413" spans="1:16" x14ac:dyDescent="0.3">
      <c r="A2413">
        <v>1467</v>
      </c>
      <c r="B2413">
        <v>35</v>
      </c>
      <c r="C2413" t="s">
        <v>26</v>
      </c>
      <c r="D2413" t="s">
        <v>16</v>
      </c>
      <c r="E2413" t="s">
        <v>17</v>
      </c>
      <c r="F2413" t="s">
        <v>21</v>
      </c>
      <c r="G2413" t="s">
        <v>42</v>
      </c>
      <c r="H2413" t="s">
        <v>20</v>
      </c>
      <c r="I2413" s="1">
        <v>3</v>
      </c>
      <c r="J2413" s="2">
        <v>45769</v>
      </c>
      <c r="K2413" s="2">
        <v>45748</v>
      </c>
      <c r="L2413" s="1" t="str">
        <f t="shared" si="262"/>
        <v>ter</v>
      </c>
      <c r="M2413" s="1" t="str">
        <f t="shared" si="263"/>
        <v>abr</v>
      </c>
      <c r="N2413">
        <f t="shared" si="264"/>
        <v>2025</v>
      </c>
      <c r="O2413" s="2">
        <f>_xlfn.XLOOKUP(A2413,Colaboradores!$A:$A,Colaboradores!$S:$S,"",0)</f>
        <v>46069</v>
      </c>
      <c r="P2413" t="str">
        <f t="shared" si="258"/>
        <v>146745769</v>
      </c>
    </row>
    <row r="2414" spans="1:16" x14ac:dyDescent="0.3">
      <c r="A2414">
        <v>1467</v>
      </c>
      <c r="B2414">
        <v>35</v>
      </c>
      <c r="C2414" t="s">
        <v>26</v>
      </c>
      <c r="D2414" t="s">
        <v>16</v>
      </c>
      <c r="E2414" t="s">
        <v>17</v>
      </c>
      <c r="F2414" t="s">
        <v>21</v>
      </c>
      <c r="G2414" t="s">
        <v>41</v>
      </c>
      <c r="H2414" t="s">
        <v>20</v>
      </c>
      <c r="I2414" s="1">
        <v>3</v>
      </c>
      <c r="J2414" s="2">
        <v>45917</v>
      </c>
      <c r="K2414" s="2">
        <v>45901</v>
      </c>
      <c r="L2414" s="1" t="str">
        <f t="shared" si="262"/>
        <v>qua</v>
      </c>
      <c r="M2414" s="1" t="str">
        <f t="shared" si="263"/>
        <v>set</v>
      </c>
      <c r="N2414">
        <f t="shared" si="264"/>
        <v>2025</v>
      </c>
      <c r="O2414" s="2">
        <f>_xlfn.XLOOKUP(A2414,Colaboradores!$A:$A,Colaboradores!$S:$S,"",0)</f>
        <v>46069</v>
      </c>
      <c r="P2414" t="str">
        <f t="shared" si="258"/>
        <v>146745917</v>
      </c>
    </row>
    <row r="2415" spans="1:16" x14ac:dyDescent="0.3">
      <c r="A2415">
        <v>1467</v>
      </c>
      <c r="B2415">
        <v>35</v>
      </c>
      <c r="C2415" t="s">
        <v>26</v>
      </c>
      <c r="D2415" t="s">
        <v>16</v>
      </c>
      <c r="E2415" t="s">
        <v>17</v>
      </c>
      <c r="F2415" t="s">
        <v>21</v>
      </c>
      <c r="G2415" t="s">
        <v>41</v>
      </c>
      <c r="H2415" t="s">
        <v>20</v>
      </c>
      <c r="I2415" s="1">
        <v>3</v>
      </c>
      <c r="J2415" s="2">
        <v>45952</v>
      </c>
      <c r="K2415" s="2">
        <v>45931</v>
      </c>
      <c r="L2415" s="1" t="str">
        <f t="shared" si="262"/>
        <v>qua</v>
      </c>
      <c r="M2415" s="1" t="str">
        <f t="shared" si="263"/>
        <v>out</v>
      </c>
      <c r="N2415">
        <f t="shared" si="264"/>
        <v>2025</v>
      </c>
      <c r="O2415" s="2">
        <f>_xlfn.XLOOKUP(A2415,Colaboradores!$A:$A,Colaboradores!$S:$S,"",0)</f>
        <v>46069</v>
      </c>
      <c r="P2415" t="str">
        <f t="shared" si="258"/>
        <v>146745952</v>
      </c>
    </row>
    <row r="2416" spans="1:16" x14ac:dyDescent="0.3">
      <c r="A2416">
        <v>1467</v>
      </c>
      <c r="B2416">
        <v>35</v>
      </c>
      <c r="C2416" t="s">
        <v>26</v>
      </c>
      <c r="D2416" t="s">
        <v>16</v>
      </c>
      <c r="E2416" t="s">
        <v>17</v>
      </c>
      <c r="F2416" t="s">
        <v>21</v>
      </c>
      <c r="G2416" t="s">
        <v>41</v>
      </c>
      <c r="H2416" t="s">
        <v>20</v>
      </c>
      <c r="I2416" s="1">
        <v>3</v>
      </c>
      <c r="J2416" s="2">
        <v>45960</v>
      </c>
      <c r="K2416" s="2">
        <v>45931</v>
      </c>
      <c r="L2416" s="1" t="str">
        <f t="shared" si="262"/>
        <v>qui</v>
      </c>
      <c r="M2416" s="1" t="str">
        <f t="shared" si="263"/>
        <v>out</v>
      </c>
      <c r="N2416">
        <f t="shared" si="264"/>
        <v>2025</v>
      </c>
      <c r="O2416" s="2">
        <f>_xlfn.XLOOKUP(A2416,Colaboradores!$A:$A,Colaboradores!$S:$S,"",0)</f>
        <v>46069</v>
      </c>
      <c r="P2416" t="str">
        <f t="shared" si="258"/>
        <v>146745960</v>
      </c>
    </row>
    <row r="2417" spans="1:16" x14ac:dyDescent="0.3">
      <c r="A2417">
        <v>1467</v>
      </c>
      <c r="B2417">
        <v>35</v>
      </c>
      <c r="C2417" t="s">
        <v>26</v>
      </c>
      <c r="D2417" t="s">
        <v>16</v>
      </c>
      <c r="E2417" t="s">
        <v>17</v>
      </c>
      <c r="F2417" t="s">
        <v>21</v>
      </c>
      <c r="G2417" t="s">
        <v>41</v>
      </c>
      <c r="H2417" t="s">
        <v>20</v>
      </c>
      <c r="I2417" s="1">
        <v>3</v>
      </c>
      <c r="J2417" s="2">
        <v>46178</v>
      </c>
      <c r="K2417" s="2">
        <v>46023</v>
      </c>
      <c r="L2417" s="1" t="str">
        <f t="shared" si="262"/>
        <v>sex</v>
      </c>
      <c r="M2417" s="1" t="str">
        <f t="shared" si="263"/>
        <v>jun</v>
      </c>
      <c r="N2417">
        <f t="shared" si="264"/>
        <v>2026</v>
      </c>
      <c r="O2417" s="2">
        <f>_xlfn.XLOOKUP(A2417,Colaboradores!$A:$A,Colaboradores!$S:$S,"",0)</f>
        <v>46069</v>
      </c>
      <c r="P2417" t="str">
        <f t="shared" si="258"/>
        <v>146746178</v>
      </c>
    </row>
    <row r="2418" spans="1:16" x14ac:dyDescent="0.3">
      <c r="A2418">
        <v>1468</v>
      </c>
      <c r="B2418">
        <v>44</v>
      </c>
      <c r="C2418" t="s">
        <v>26</v>
      </c>
      <c r="D2418" t="s">
        <v>27</v>
      </c>
      <c r="E2418" t="s">
        <v>17</v>
      </c>
      <c r="F2418" t="s">
        <v>23</v>
      </c>
      <c r="G2418" t="s">
        <v>42</v>
      </c>
      <c r="H2418" t="s">
        <v>25</v>
      </c>
      <c r="I2418" s="1">
        <v>2</v>
      </c>
      <c r="J2418" s="2">
        <v>45977</v>
      </c>
      <c r="K2418" s="2">
        <v>45962</v>
      </c>
      <c r="L2418" s="1" t="str">
        <f t="shared" si="262"/>
        <v>dom</v>
      </c>
      <c r="M2418" s="1" t="str">
        <f t="shared" si="263"/>
        <v>nov</v>
      </c>
      <c r="N2418">
        <f t="shared" si="264"/>
        <v>2025</v>
      </c>
      <c r="O2418" s="2"/>
      <c r="P2418" t="str">
        <f t="shared" si="258"/>
        <v>146845977</v>
      </c>
    </row>
    <row r="2419" spans="1:16" x14ac:dyDescent="0.3">
      <c r="A2419">
        <v>1468</v>
      </c>
      <c r="B2419">
        <v>44</v>
      </c>
      <c r="C2419" t="s">
        <v>26</v>
      </c>
      <c r="D2419" t="s">
        <v>27</v>
      </c>
      <c r="E2419" t="s">
        <v>17</v>
      </c>
      <c r="F2419" t="s">
        <v>23</v>
      </c>
      <c r="G2419" t="s">
        <v>43</v>
      </c>
      <c r="H2419" t="s">
        <v>25</v>
      </c>
      <c r="I2419" s="1">
        <v>2</v>
      </c>
      <c r="J2419" s="2">
        <v>46018</v>
      </c>
      <c r="K2419" s="2">
        <v>45992</v>
      </c>
      <c r="L2419" s="1" t="str">
        <f t="shared" si="262"/>
        <v>sáb</v>
      </c>
      <c r="M2419" s="1" t="str">
        <f t="shared" si="263"/>
        <v>dez</v>
      </c>
      <c r="N2419">
        <f t="shared" si="264"/>
        <v>2025</v>
      </c>
      <c r="O2419" s="2"/>
      <c r="P2419" t="str">
        <f t="shared" si="258"/>
        <v>146846018</v>
      </c>
    </row>
    <row r="2420" spans="1:16" x14ac:dyDescent="0.3">
      <c r="A2420">
        <v>1468</v>
      </c>
      <c r="B2420">
        <v>44</v>
      </c>
      <c r="C2420" t="s">
        <v>26</v>
      </c>
      <c r="D2420" t="s">
        <v>27</v>
      </c>
      <c r="E2420" t="s">
        <v>17</v>
      </c>
      <c r="F2420" t="s">
        <v>23</v>
      </c>
      <c r="G2420" t="s">
        <v>42</v>
      </c>
      <c r="H2420" t="s">
        <v>25</v>
      </c>
      <c r="I2420" s="1">
        <v>2</v>
      </c>
      <c r="J2420" s="2">
        <v>46201</v>
      </c>
      <c r="K2420" s="2">
        <v>46023</v>
      </c>
      <c r="L2420" s="1" t="str">
        <f t="shared" si="262"/>
        <v>dom</v>
      </c>
      <c r="M2420" s="1" t="str">
        <f t="shared" si="263"/>
        <v>jun</v>
      </c>
      <c r="N2420">
        <f t="shared" si="264"/>
        <v>2026</v>
      </c>
      <c r="O2420" s="2"/>
      <c r="P2420" t="str">
        <f t="shared" si="258"/>
        <v>146846201</v>
      </c>
    </row>
    <row r="2421" spans="1:16" x14ac:dyDescent="0.3">
      <c r="A2421">
        <v>1468</v>
      </c>
      <c r="B2421">
        <v>44</v>
      </c>
      <c r="C2421" t="s">
        <v>26</v>
      </c>
      <c r="D2421" t="s">
        <v>27</v>
      </c>
      <c r="E2421" t="s">
        <v>17</v>
      </c>
      <c r="F2421" t="s">
        <v>23</v>
      </c>
      <c r="G2421" t="s">
        <v>43</v>
      </c>
      <c r="H2421" t="s">
        <v>25</v>
      </c>
      <c r="I2421" s="1">
        <v>2</v>
      </c>
      <c r="J2421" s="2">
        <v>46080</v>
      </c>
      <c r="K2421" s="2">
        <v>46054</v>
      </c>
      <c r="L2421" s="1" t="str">
        <f t="shared" si="262"/>
        <v>sex</v>
      </c>
      <c r="M2421" s="1" t="str">
        <f t="shared" si="263"/>
        <v>fev</v>
      </c>
      <c r="N2421">
        <f t="shared" si="264"/>
        <v>2026</v>
      </c>
      <c r="O2421" s="2"/>
      <c r="P2421" t="str">
        <f t="shared" si="258"/>
        <v>146846080</v>
      </c>
    </row>
    <row r="2422" spans="1:16" x14ac:dyDescent="0.3">
      <c r="A2422">
        <v>1468</v>
      </c>
      <c r="B2422">
        <v>44</v>
      </c>
      <c r="C2422" t="s">
        <v>26</v>
      </c>
      <c r="D2422" t="s">
        <v>27</v>
      </c>
      <c r="E2422" t="s">
        <v>17</v>
      </c>
      <c r="F2422" t="s">
        <v>23</v>
      </c>
      <c r="G2422" t="s">
        <v>43</v>
      </c>
      <c r="H2422" t="s">
        <v>25</v>
      </c>
      <c r="I2422" s="1">
        <v>2</v>
      </c>
      <c r="J2422" s="2">
        <v>46095</v>
      </c>
      <c r="K2422" s="2">
        <v>46082</v>
      </c>
      <c r="L2422" s="1" t="str">
        <f t="shared" si="262"/>
        <v>sáb</v>
      </c>
      <c r="M2422" s="1" t="str">
        <f t="shared" si="263"/>
        <v>mar</v>
      </c>
      <c r="N2422">
        <f t="shared" si="264"/>
        <v>2026</v>
      </c>
      <c r="O2422" s="2"/>
      <c r="P2422" t="str">
        <f t="shared" si="258"/>
        <v>146846095</v>
      </c>
    </row>
    <row r="2423" spans="1:16" x14ac:dyDescent="0.3">
      <c r="A2423">
        <v>1469</v>
      </c>
      <c r="B2423">
        <v>30</v>
      </c>
      <c r="C2423" t="s">
        <v>26</v>
      </c>
      <c r="D2423" t="s">
        <v>16</v>
      </c>
      <c r="E2423" t="s">
        <v>17</v>
      </c>
      <c r="F2423" t="s">
        <v>21</v>
      </c>
      <c r="G2423" t="s">
        <v>43</v>
      </c>
      <c r="H2423" t="s">
        <v>25</v>
      </c>
      <c r="I2423" s="1">
        <v>1</v>
      </c>
      <c r="J2423" s="2">
        <v>45896</v>
      </c>
      <c r="K2423" s="2">
        <v>45870</v>
      </c>
      <c r="L2423" s="1" t="str">
        <f t="shared" si="262"/>
        <v>qua</v>
      </c>
      <c r="M2423" s="1" t="str">
        <f t="shared" si="263"/>
        <v>ago</v>
      </c>
      <c r="N2423">
        <f t="shared" si="264"/>
        <v>2025</v>
      </c>
      <c r="O2423" s="2"/>
      <c r="P2423" t="str">
        <f t="shared" si="258"/>
        <v>146945896</v>
      </c>
    </row>
    <row r="2424" spans="1:16" x14ac:dyDescent="0.3">
      <c r="A2424">
        <v>1469</v>
      </c>
      <c r="B2424">
        <v>30</v>
      </c>
      <c r="C2424" t="s">
        <v>26</v>
      </c>
      <c r="D2424" t="s">
        <v>16</v>
      </c>
      <c r="E2424" t="s">
        <v>17</v>
      </c>
      <c r="F2424" t="s">
        <v>21</v>
      </c>
      <c r="G2424" t="s">
        <v>43</v>
      </c>
      <c r="H2424" t="s">
        <v>25</v>
      </c>
      <c r="I2424" s="1">
        <v>1</v>
      </c>
      <c r="J2424" s="2">
        <v>46084</v>
      </c>
      <c r="K2424" s="2">
        <v>46082</v>
      </c>
      <c r="L2424" s="1" t="str">
        <f t="shared" si="262"/>
        <v>ter</v>
      </c>
      <c r="M2424" s="1" t="str">
        <f t="shared" si="263"/>
        <v>mar</v>
      </c>
      <c r="N2424">
        <f t="shared" si="264"/>
        <v>2026</v>
      </c>
      <c r="O2424" s="2"/>
      <c r="P2424" t="str">
        <f t="shared" si="258"/>
        <v>146946084</v>
      </c>
    </row>
    <row r="2425" spans="1:16" x14ac:dyDescent="0.3">
      <c r="A2425">
        <v>1469</v>
      </c>
      <c r="B2425">
        <v>30</v>
      </c>
      <c r="C2425" t="s">
        <v>26</v>
      </c>
      <c r="D2425" t="s">
        <v>16</v>
      </c>
      <c r="E2425" t="s">
        <v>17</v>
      </c>
      <c r="F2425" t="s">
        <v>21</v>
      </c>
      <c r="G2425" t="s">
        <v>43</v>
      </c>
      <c r="H2425" t="s">
        <v>25</v>
      </c>
      <c r="I2425" s="1">
        <v>1</v>
      </c>
      <c r="J2425" s="2">
        <v>46105</v>
      </c>
      <c r="K2425" s="2">
        <v>46082</v>
      </c>
      <c r="L2425" s="1" t="str">
        <f t="shared" si="262"/>
        <v>ter</v>
      </c>
      <c r="M2425" s="1" t="str">
        <f t="shared" si="263"/>
        <v>mar</v>
      </c>
      <c r="N2425">
        <f t="shared" si="264"/>
        <v>2026</v>
      </c>
      <c r="O2425" s="2"/>
      <c r="P2425" t="str">
        <f t="shared" si="258"/>
        <v>146946105</v>
      </c>
    </row>
    <row r="2426" spans="1:16" x14ac:dyDescent="0.3">
      <c r="A2426">
        <v>1469</v>
      </c>
      <c r="B2426">
        <v>30</v>
      </c>
      <c r="C2426" t="s">
        <v>26</v>
      </c>
      <c r="D2426" t="s">
        <v>16</v>
      </c>
      <c r="E2426" t="s">
        <v>17</v>
      </c>
      <c r="F2426" t="s">
        <v>21</v>
      </c>
      <c r="G2426" t="s">
        <v>43</v>
      </c>
      <c r="H2426" t="s">
        <v>25</v>
      </c>
      <c r="I2426" s="1">
        <v>1</v>
      </c>
      <c r="J2426" s="2">
        <v>46106</v>
      </c>
      <c r="K2426" s="2">
        <v>46082</v>
      </c>
      <c r="L2426" s="1" t="str">
        <f t="shared" si="262"/>
        <v>qua</v>
      </c>
      <c r="M2426" s="1" t="str">
        <f t="shared" si="263"/>
        <v>mar</v>
      </c>
      <c r="N2426">
        <f t="shared" si="264"/>
        <v>2026</v>
      </c>
      <c r="O2426" s="2"/>
      <c r="P2426" t="str">
        <f t="shared" si="258"/>
        <v>146946106</v>
      </c>
    </row>
    <row r="2427" spans="1:16" x14ac:dyDescent="0.3">
      <c r="A2427">
        <v>1470</v>
      </c>
      <c r="B2427">
        <v>29</v>
      </c>
      <c r="C2427" t="s">
        <v>15</v>
      </c>
      <c r="D2427" t="s">
        <v>31</v>
      </c>
      <c r="E2427" t="s">
        <v>34</v>
      </c>
      <c r="F2427" t="s">
        <v>18</v>
      </c>
      <c r="G2427" t="s">
        <v>41</v>
      </c>
      <c r="H2427" t="s">
        <v>25</v>
      </c>
      <c r="I2427" s="1">
        <v>3</v>
      </c>
      <c r="J2427" s="2">
        <v>45863</v>
      </c>
      <c r="K2427" s="2">
        <v>45839</v>
      </c>
      <c r="L2427" s="1" t="str">
        <f t="shared" si="262"/>
        <v>sex</v>
      </c>
      <c r="M2427" s="1" t="str">
        <f t="shared" si="263"/>
        <v>jul</v>
      </c>
      <c r="N2427">
        <f t="shared" si="264"/>
        <v>2025</v>
      </c>
      <c r="O2427" s="2"/>
      <c r="P2427" t="str">
        <f t="shared" si="258"/>
        <v>147045863</v>
      </c>
    </row>
    <row r="2428" spans="1:16" x14ac:dyDescent="0.3">
      <c r="A2428">
        <v>1470</v>
      </c>
      <c r="B2428">
        <v>29</v>
      </c>
      <c r="C2428" t="s">
        <v>15</v>
      </c>
      <c r="D2428" t="s">
        <v>31</v>
      </c>
      <c r="E2428" t="s">
        <v>34</v>
      </c>
      <c r="F2428" t="s">
        <v>18</v>
      </c>
      <c r="G2428" t="s">
        <v>41</v>
      </c>
      <c r="H2428" t="s">
        <v>25</v>
      </c>
      <c r="I2428" s="1">
        <v>3</v>
      </c>
      <c r="J2428" s="2">
        <v>45871</v>
      </c>
      <c r="K2428" s="2">
        <v>45870</v>
      </c>
      <c r="L2428" s="1" t="str">
        <f t="shared" si="262"/>
        <v>sáb</v>
      </c>
      <c r="M2428" s="1" t="str">
        <f t="shared" si="263"/>
        <v>ago</v>
      </c>
      <c r="N2428">
        <f t="shared" si="264"/>
        <v>2025</v>
      </c>
      <c r="O2428" s="2"/>
      <c r="P2428" t="str">
        <f t="shared" si="258"/>
        <v>147045871</v>
      </c>
    </row>
    <row r="2429" spans="1:16" x14ac:dyDescent="0.3">
      <c r="A2429">
        <v>1470</v>
      </c>
      <c r="B2429">
        <v>29</v>
      </c>
      <c r="C2429" t="s">
        <v>15</v>
      </c>
      <c r="D2429" t="s">
        <v>31</v>
      </c>
      <c r="E2429" t="s">
        <v>34</v>
      </c>
      <c r="F2429" t="s">
        <v>18</v>
      </c>
      <c r="G2429" t="s">
        <v>41</v>
      </c>
      <c r="H2429" t="s">
        <v>25</v>
      </c>
      <c r="I2429" s="1">
        <v>3</v>
      </c>
      <c r="J2429" s="2">
        <v>46066</v>
      </c>
      <c r="K2429" s="2">
        <v>46054</v>
      </c>
      <c r="L2429" s="1" t="str">
        <f t="shared" si="262"/>
        <v>sex</v>
      </c>
      <c r="M2429" s="1" t="str">
        <f t="shared" si="263"/>
        <v>fev</v>
      </c>
      <c r="N2429">
        <f t="shared" si="264"/>
        <v>2026</v>
      </c>
      <c r="O2429" s="2"/>
      <c r="P2429" t="str">
        <f t="shared" si="258"/>
        <v>147046066</v>
      </c>
    </row>
    <row r="2430" spans="1:16" x14ac:dyDescent="0.3">
      <c r="A2430">
        <v>1470</v>
      </c>
      <c r="B2430">
        <v>29</v>
      </c>
      <c r="C2430" t="s">
        <v>15</v>
      </c>
      <c r="D2430" t="s">
        <v>31</v>
      </c>
      <c r="E2430" t="s">
        <v>34</v>
      </c>
      <c r="F2430" t="s">
        <v>18</v>
      </c>
      <c r="G2430" t="s">
        <v>41</v>
      </c>
      <c r="H2430" t="s">
        <v>25</v>
      </c>
      <c r="I2430" s="1">
        <v>3</v>
      </c>
      <c r="J2430" s="2">
        <v>46098</v>
      </c>
      <c r="K2430" s="2">
        <v>46082</v>
      </c>
      <c r="L2430" s="1" t="str">
        <f t="shared" si="262"/>
        <v>ter</v>
      </c>
      <c r="M2430" s="1" t="str">
        <f t="shared" si="263"/>
        <v>mar</v>
      </c>
      <c r="N2430">
        <f t="shared" si="264"/>
        <v>2026</v>
      </c>
      <c r="O2430" s="2"/>
      <c r="P2430" t="str">
        <f t="shared" si="258"/>
        <v>147046098</v>
      </c>
    </row>
    <row r="2431" spans="1:16" x14ac:dyDescent="0.3">
      <c r="A2431">
        <v>1470</v>
      </c>
      <c r="B2431">
        <v>29</v>
      </c>
      <c r="C2431" t="s">
        <v>15</v>
      </c>
      <c r="D2431" t="s">
        <v>31</v>
      </c>
      <c r="E2431" t="s">
        <v>34</v>
      </c>
      <c r="F2431" t="s">
        <v>18</v>
      </c>
      <c r="G2431" t="s">
        <v>41</v>
      </c>
      <c r="H2431" t="s">
        <v>25</v>
      </c>
      <c r="I2431" s="1">
        <v>3</v>
      </c>
      <c r="J2431" s="2">
        <v>46107</v>
      </c>
      <c r="K2431" s="2">
        <v>46082</v>
      </c>
      <c r="L2431" s="1" t="str">
        <f t="shared" si="262"/>
        <v>qui</v>
      </c>
      <c r="M2431" s="1" t="str">
        <f t="shared" si="263"/>
        <v>mar</v>
      </c>
      <c r="N2431">
        <f t="shared" si="264"/>
        <v>2026</v>
      </c>
      <c r="O2431" s="2"/>
      <c r="P2431" t="str">
        <f t="shared" si="258"/>
        <v>147046107</v>
      </c>
    </row>
    <row r="2432" spans="1:16" x14ac:dyDescent="0.3">
      <c r="A2432">
        <v>1470</v>
      </c>
      <c r="B2432">
        <v>29</v>
      </c>
      <c r="C2432" t="s">
        <v>15</v>
      </c>
      <c r="D2432" t="s">
        <v>31</v>
      </c>
      <c r="E2432" t="s">
        <v>34</v>
      </c>
      <c r="F2432" t="s">
        <v>18</v>
      </c>
      <c r="G2432" t="s">
        <v>41</v>
      </c>
      <c r="H2432" t="s">
        <v>25</v>
      </c>
      <c r="I2432" s="1">
        <v>3</v>
      </c>
      <c r="J2432" s="2">
        <v>46122</v>
      </c>
      <c r="K2432" s="2">
        <v>46113</v>
      </c>
      <c r="L2432" s="1" t="str">
        <f t="shared" si="262"/>
        <v>sex</v>
      </c>
      <c r="M2432" s="1" t="str">
        <f t="shared" si="263"/>
        <v>abr</v>
      </c>
      <c r="N2432">
        <f t="shared" si="264"/>
        <v>2026</v>
      </c>
      <c r="O2432" s="2"/>
      <c r="P2432" t="str">
        <f t="shared" si="258"/>
        <v>147046122</v>
      </c>
    </row>
    <row r="2433" spans="1:16" x14ac:dyDescent="0.3">
      <c r="A2433">
        <v>1471</v>
      </c>
      <c r="B2433">
        <v>52</v>
      </c>
      <c r="C2433" t="s">
        <v>26</v>
      </c>
      <c r="D2433" t="s">
        <v>22</v>
      </c>
      <c r="E2433" t="s">
        <v>17</v>
      </c>
      <c r="F2433" t="s">
        <v>23</v>
      </c>
      <c r="G2433" t="s">
        <v>41</v>
      </c>
      <c r="H2433" t="s">
        <v>25</v>
      </c>
      <c r="I2433" s="1">
        <v>1</v>
      </c>
      <c r="J2433" s="2">
        <v>45816</v>
      </c>
      <c r="K2433" s="2">
        <v>45809</v>
      </c>
      <c r="L2433" s="1" t="str">
        <f t="shared" si="262"/>
        <v>dom</v>
      </c>
      <c r="M2433" s="1" t="str">
        <f t="shared" si="263"/>
        <v>jun</v>
      </c>
      <c r="N2433">
        <f t="shared" si="264"/>
        <v>2025</v>
      </c>
      <c r="O2433" s="2"/>
      <c r="P2433" t="str">
        <f t="shared" ref="P2433:P2496" si="265">CONCATENATE(A2433,J2433)</f>
        <v>147145816</v>
      </c>
    </row>
    <row r="2434" spans="1:16" x14ac:dyDescent="0.3">
      <c r="A2434">
        <v>1471</v>
      </c>
      <c r="B2434">
        <v>52</v>
      </c>
      <c r="C2434" t="s">
        <v>26</v>
      </c>
      <c r="D2434" t="s">
        <v>22</v>
      </c>
      <c r="E2434" t="s">
        <v>17</v>
      </c>
      <c r="F2434" t="s">
        <v>23</v>
      </c>
      <c r="G2434" t="s">
        <v>40</v>
      </c>
      <c r="H2434" t="s">
        <v>25</v>
      </c>
      <c r="I2434" s="1">
        <v>1</v>
      </c>
      <c r="J2434" s="2">
        <v>45830</v>
      </c>
      <c r="K2434" s="2">
        <v>45809</v>
      </c>
      <c r="L2434" s="1" t="str">
        <f t="shared" si="262"/>
        <v>dom</v>
      </c>
      <c r="M2434" s="1" t="str">
        <f t="shared" si="263"/>
        <v>jun</v>
      </c>
      <c r="N2434">
        <f t="shared" si="264"/>
        <v>2025</v>
      </c>
      <c r="O2434" s="2"/>
      <c r="P2434" t="str">
        <f t="shared" si="265"/>
        <v>147145830</v>
      </c>
    </row>
    <row r="2435" spans="1:16" x14ac:dyDescent="0.3">
      <c r="A2435">
        <v>1471</v>
      </c>
      <c r="B2435">
        <v>52</v>
      </c>
      <c r="C2435" t="s">
        <v>26</v>
      </c>
      <c r="D2435" t="s">
        <v>22</v>
      </c>
      <c r="E2435" t="s">
        <v>17</v>
      </c>
      <c r="F2435" t="s">
        <v>23</v>
      </c>
      <c r="G2435" t="s">
        <v>41</v>
      </c>
      <c r="H2435" t="s">
        <v>25</v>
      </c>
      <c r="I2435" s="1">
        <v>1</v>
      </c>
      <c r="J2435" s="2">
        <v>45988</v>
      </c>
      <c r="K2435" s="2">
        <v>45962</v>
      </c>
      <c r="L2435" s="1" t="str">
        <f t="shared" si="262"/>
        <v>qui</v>
      </c>
      <c r="M2435" s="1" t="str">
        <f t="shared" si="263"/>
        <v>nov</v>
      </c>
      <c r="N2435">
        <f t="shared" si="264"/>
        <v>2025</v>
      </c>
      <c r="O2435" s="2"/>
      <c r="P2435" t="str">
        <f t="shared" si="265"/>
        <v>147145988</v>
      </c>
    </row>
    <row r="2436" spans="1:16" x14ac:dyDescent="0.3">
      <c r="A2436">
        <v>1471</v>
      </c>
      <c r="B2436">
        <v>52</v>
      </c>
      <c r="C2436" t="s">
        <v>26</v>
      </c>
      <c r="D2436" t="s">
        <v>22</v>
      </c>
      <c r="E2436" t="s">
        <v>17</v>
      </c>
      <c r="F2436" t="s">
        <v>23</v>
      </c>
      <c r="G2436" t="s">
        <v>41</v>
      </c>
      <c r="H2436" t="s">
        <v>25</v>
      </c>
      <c r="I2436" s="1">
        <v>1</v>
      </c>
      <c r="J2436" s="2">
        <v>46106</v>
      </c>
      <c r="K2436" s="2">
        <v>46082</v>
      </c>
      <c r="L2436" s="1" t="str">
        <f t="shared" si="262"/>
        <v>qua</v>
      </c>
      <c r="M2436" s="1" t="str">
        <f t="shared" si="263"/>
        <v>mar</v>
      </c>
      <c r="N2436">
        <f t="shared" si="264"/>
        <v>2026</v>
      </c>
      <c r="O2436" s="2"/>
      <c r="P2436" t="str">
        <f t="shared" si="265"/>
        <v>147146106</v>
      </c>
    </row>
    <row r="2437" spans="1:16" x14ac:dyDescent="0.3">
      <c r="A2437">
        <v>1472</v>
      </c>
      <c r="B2437">
        <v>34</v>
      </c>
      <c r="C2437" t="s">
        <v>15</v>
      </c>
      <c r="D2437" t="s">
        <v>16</v>
      </c>
      <c r="E2437" t="s">
        <v>17</v>
      </c>
      <c r="F2437" t="s">
        <v>18</v>
      </c>
      <c r="G2437" t="s">
        <v>40</v>
      </c>
      <c r="H2437" t="s">
        <v>25</v>
      </c>
      <c r="I2437" s="1">
        <v>1</v>
      </c>
      <c r="J2437" s="2">
        <v>45784</v>
      </c>
      <c r="K2437" s="2">
        <v>45778</v>
      </c>
      <c r="L2437" s="1" t="str">
        <f t="shared" si="262"/>
        <v>qua</v>
      </c>
      <c r="M2437" s="1" t="str">
        <f t="shared" si="263"/>
        <v>mai</v>
      </c>
      <c r="N2437">
        <f t="shared" si="264"/>
        <v>2025</v>
      </c>
      <c r="O2437" s="2"/>
      <c r="P2437" t="str">
        <f t="shared" si="265"/>
        <v>147245784</v>
      </c>
    </row>
    <row r="2438" spans="1:16" x14ac:dyDescent="0.3">
      <c r="A2438">
        <v>1472</v>
      </c>
      <c r="B2438">
        <v>34</v>
      </c>
      <c r="C2438" t="s">
        <v>15</v>
      </c>
      <c r="D2438" t="s">
        <v>16</v>
      </c>
      <c r="E2438" t="s">
        <v>17</v>
      </c>
      <c r="F2438" t="s">
        <v>18</v>
      </c>
      <c r="G2438" t="s">
        <v>40</v>
      </c>
      <c r="H2438" t="s">
        <v>25</v>
      </c>
      <c r="I2438" s="1">
        <v>1</v>
      </c>
      <c r="J2438" s="2">
        <v>45786</v>
      </c>
      <c r="K2438" s="2">
        <v>45778</v>
      </c>
      <c r="L2438" s="1" t="str">
        <f t="shared" si="262"/>
        <v>sex</v>
      </c>
      <c r="M2438" s="1" t="str">
        <f t="shared" si="263"/>
        <v>mai</v>
      </c>
      <c r="N2438">
        <f t="shared" si="264"/>
        <v>2025</v>
      </c>
      <c r="O2438" s="2"/>
      <c r="P2438" t="str">
        <f t="shared" si="265"/>
        <v>147245786</v>
      </c>
    </row>
    <row r="2439" spans="1:16" x14ac:dyDescent="0.3">
      <c r="A2439">
        <v>1472</v>
      </c>
      <c r="B2439">
        <v>34</v>
      </c>
      <c r="C2439" t="s">
        <v>15</v>
      </c>
      <c r="D2439" t="s">
        <v>16</v>
      </c>
      <c r="E2439" t="s">
        <v>17</v>
      </c>
      <c r="F2439" t="s">
        <v>18</v>
      </c>
      <c r="G2439" t="s">
        <v>40</v>
      </c>
      <c r="H2439" t="s">
        <v>25</v>
      </c>
      <c r="I2439" s="1">
        <v>1</v>
      </c>
      <c r="J2439" s="2">
        <v>45848</v>
      </c>
      <c r="K2439" s="2">
        <v>45839</v>
      </c>
      <c r="L2439" s="1" t="str">
        <f t="shared" si="262"/>
        <v>qui</v>
      </c>
      <c r="M2439" s="1" t="str">
        <f t="shared" si="263"/>
        <v>jul</v>
      </c>
      <c r="N2439">
        <f t="shared" si="264"/>
        <v>2025</v>
      </c>
      <c r="O2439" s="2"/>
      <c r="P2439" t="str">
        <f t="shared" si="265"/>
        <v>147245848</v>
      </c>
    </row>
    <row r="2440" spans="1:16" x14ac:dyDescent="0.3">
      <c r="A2440">
        <v>1472</v>
      </c>
      <c r="B2440">
        <v>34</v>
      </c>
      <c r="C2440" t="s">
        <v>15</v>
      </c>
      <c r="D2440" t="s">
        <v>16</v>
      </c>
      <c r="E2440" t="s">
        <v>17</v>
      </c>
      <c r="F2440" t="s">
        <v>18</v>
      </c>
      <c r="G2440" t="s">
        <v>40</v>
      </c>
      <c r="H2440" t="s">
        <v>25</v>
      </c>
      <c r="I2440" s="1">
        <v>1</v>
      </c>
      <c r="J2440" s="2">
        <v>45938</v>
      </c>
      <c r="K2440" s="2">
        <v>45931</v>
      </c>
      <c r="L2440" s="1" t="str">
        <f t="shared" si="262"/>
        <v>qua</v>
      </c>
      <c r="M2440" s="1" t="str">
        <f t="shared" si="263"/>
        <v>out</v>
      </c>
      <c r="N2440">
        <f t="shared" si="264"/>
        <v>2025</v>
      </c>
      <c r="O2440" s="2"/>
      <c r="P2440" t="str">
        <f t="shared" si="265"/>
        <v>147245938</v>
      </c>
    </row>
    <row r="2441" spans="1:16" x14ac:dyDescent="0.3">
      <c r="A2441">
        <v>1472</v>
      </c>
      <c r="B2441">
        <v>34</v>
      </c>
      <c r="C2441" t="s">
        <v>15</v>
      </c>
      <c r="D2441" t="s">
        <v>16</v>
      </c>
      <c r="E2441" t="s">
        <v>17</v>
      </c>
      <c r="F2441" t="s">
        <v>18</v>
      </c>
      <c r="G2441" t="s">
        <v>40</v>
      </c>
      <c r="H2441" t="s">
        <v>25</v>
      </c>
      <c r="I2441" s="1">
        <v>1</v>
      </c>
      <c r="J2441" s="2">
        <v>45947</v>
      </c>
      <c r="K2441" s="2">
        <v>45931</v>
      </c>
      <c r="L2441" s="1" t="str">
        <f t="shared" si="262"/>
        <v>sex</v>
      </c>
      <c r="M2441" s="1" t="str">
        <f t="shared" si="263"/>
        <v>out</v>
      </c>
      <c r="N2441">
        <f t="shared" si="264"/>
        <v>2025</v>
      </c>
      <c r="O2441" s="2"/>
      <c r="P2441" t="str">
        <f t="shared" si="265"/>
        <v>147245947</v>
      </c>
    </row>
    <row r="2442" spans="1:16" x14ac:dyDescent="0.3">
      <c r="A2442">
        <v>1472</v>
      </c>
      <c r="B2442">
        <v>34</v>
      </c>
      <c r="C2442" t="s">
        <v>15</v>
      </c>
      <c r="D2442" t="s">
        <v>16</v>
      </c>
      <c r="E2442" t="s">
        <v>17</v>
      </c>
      <c r="F2442" t="s">
        <v>18</v>
      </c>
      <c r="G2442" t="s">
        <v>40</v>
      </c>
      <c r="H2442" t="s">
        <v>25</v>
      </c>
      <c r="I2442" s="1">
        <v>1</v>
      </c>
      <c r="J2442" s="2">
        <v>46203</v>
      </c>
      <c r="K2442" s="2">
        <v>46023</v>
      </c>
      <c r="L2442" s="1" t="str">
        <f t="shared" si="262"/>
        <v>ter</v>
      </c>
      <c r="M2442" s="1" t="str">
        <f t="shared" si="263"/>
        <v>jun</v>
      </c>
      <c r="N2442">
        <f t="shared" si="264"/>
        <v>2026</v>
      </c>
      <c r="O2442" s="2"/>
      <c r="P2442" t="str">
        <f t="shared" si="265"/>
        <v>147246203</v>
      </c>
    </row>
    <row r="2443" spans="1:16" x14ac:dyDescent="0.3">
      <c r="A2443">
        <v>1472</v>
      </c>
      <c r="B2443">
        <v>34</v>
      </c>
      <c r="C2443" t="s">
        <v>15</v>
      </c>
      <c r="D2443" t="s">
        <v>16</v>
      </c>
      <c r="E2443" t="s">
        <v>17</v>
      </c>
      <c r="F2443" t="s">
        <v>18</v>
      </c>
      <c r="G2443" t="s">
        <v>40</v>
      </c>
      <c r="H2443" t="s">
        <v>25</v>
      </c>
      <c r="I2443" s="1">
        <v>1</v>
      </c>
      <c r="J2443" s="2">
        <v>46149</v>
      </c>
      <c r="K2443" s="2">
        <v>46143</v>
      </c>
      <c r="L2443" s="1" t="s">
        <v>51</v>
      </c>
      <c r="M2443" s="1" t="s">
        <v>49</v>
      </c>
      <c r="N2443">
        <v>2025</v>
      </c>
      <c r="O2443" s="2"/>
      <c r="P2443" t="str">
        <f t="shared" si="265"/>
        <v>147246149</v>
      </c>
    </row>
    <row r="2444" spans="1:16" x14ac:dyDescent="0.3">
      <c r="A2444">
        <v>1472</v>
      </c>
      <c r="B2444">
        <v>34</v>
      </c>
      <c r="C2444" t="s">
        <v>15</v>
      </c>
      <c r="D2444" t="s">
        <v>16</v>
      </c>
      <c r="E2444" t="s">
        <v>17</v>
      </c>
      <c r="F2444" t="s">
        <v>18</v>
      </c>
      <c r="G2444" t="s">
        <v>40</v>
      </c>
      <c r="H2444" t="s">
        <v>25</v>
      </c>
      <c r="I2444" s="1">
        <v>1</v>
      </c>
      <c r="J2444" s="2">
        <v>46151</v>
      </c>
      <c r="K2444" s="2">
        <v>46143</v>
      </c>
      <c r="L2444" s="1" t="s">
        <v>53</v>
      </c>
      <c r="M2444" s="1" t="s">
        <v>49</v>
      </c>
      <c r="N2444">
        <v>2025</v>
      </c>
      <c r="O2444" s="2"/>
      <c r="P2444" t="str">
        <f t="shared" si="265"/>
        <v>147246151</v>
      </c>
    </row>
    <row r="2445" spans="1:16" x14ac:dyDescent="0.3">
      <c r="A2445">
        <v>1473</v>
      </c>
      <c r="B2445">
        <v>50</v>
      </c>
      <c r="C2445" t="s">
        <v>26</v>
      </c>
      <c r="D2445" t="s">
        <v>16</v>
      </c>
      <c r="E2445" t="s">
        <v>17</v>
      </c>
      <c r="F2445" t="s">
        <v>21</v>
      </c>
      <c r="G2445" t="s">
        <v>57</v>
      </c>
      <c r="H2445" t="s">
        <v>20</v>
      </c>
      <c r="I2445" s="1">
        <v>1</v>
      </c>
      <c r="J2445" s="2">
        <v>45673</v>
      </c>
      <c r="K2445" s="2">
        <v>45658</v>
      </c>
      <c r="L2445" s="1" t="str">
        <f t="shared" ref="L2445:L2456" si="266">TEXT(J2445,"ddd")</f>
        <v>qui</v>
      </c>
      <c r="M2445" s="1" t="str">
        <f t="shared" ref="M2445:M2456" si="267">TEXT($J2445,"mmm")</f>
        <v>jan</v>
      </c>
      <c r="N2445">
        <f t="shared" ref="N2445:N2456" si="268">YEAR(J2445)</f>
        <v>2025</v>
      </c>
      <c r="O2445" s="2">
        <f>_xlfn.XLOOKUP(A2445,Colaboradores!$A:$A,Colaboradores!$S:$S,"",0)</f>
        <v>45860</v>
      </c>
      <c r="P2445" t="str">
        <f t="shared" si="265"/>
        <v>147345673</v>
      </c>
    </row>
    <row r="2446" spans="1:16" x14ac:dyDescent="0.3">
      <c r="A2446">
        <v>1473</v>
      </c>
      <c r="B2446">
        <v>50</v>
      </c>
      <c r="C2446" t="s">
        <v>26</v>
      </c>
      <c r="D2446" t="s">
        <v>16</v>
      </c>
      <c r="E2446" t="s">
        <v>17</v>
      </c>
      <c r="F2446" t="s">
        <v>21</v>
      </c>
      <c r="G2446" t="s">
        <v>57</v>
      </c>
      <c r="H2446" t="s">
        <v>20</v>
      </c>
      <c r="I2446" s="1">
        <v>1</v>
      </c>
      <c r="J2446" s="2">
        <v>45748</v>
      </c>
      <c r="K2446" s="2">
        <v>45748</v>
      </c>
      <c r="L2446" s="1" t="str">
        <f t="shared" si="266"/>
        <v>ter</v>
      </c>
      <c r="M2446" s="1" t="str">
        <f t="shared" si="267"/>
        <v>abr</v>
      </c>
      <c r="N2446">
        <f t="shared" si="268"/>
        <v>2025</v>
      </c>
      <c r="O2446" s="2">
        <f>_xlfn.XLOOKUP(A2446,Colaboradores!$A:$A,Colaboradores!$S:$S,"",0)</f>
        <v>45860</v>
      </c>
      <c r="P2446" t="str">
        <f t="shared" si="265"/>
        <v>147345748</v>
      </c>
    </row>
    <row r="2447" spans="1:16" x14ac:dyDescent="0.3">
      <c r="A2447">
        <v>1473</v>
      </c>
      <c r="B2447">
        <v>50</v>
      </c>
      <c r="C2447" t="s">
        <v>26</v>
      </c>
      <c r="D2447" t="s">
        <v>16</v>
      </c>
      <c r="E2447" t="s">
        <v>17</v>
      </c>
      <c r="F2447" t="s">
        <v>21</v>
      </c>
      <c r="G2447" t="s">
        <v>42</v>
      </c>
      <c r="H2447" t="s">
        <v>20</v>
      </c>
      <c r="I2447" s="1">
        <v>1</v>
      </c>
      <c r="J2447" s="2">
        <v>45850</v>
      </c>
      <c r="K2447" s="2">
        <v>45839</v>
      </c>
      <c r="L2447" s="1" t="str">
        <f t="shared" si="266"/>
        <v>sáb</v>
      </c>
      <c r="M2447" s="1" t="str">
        <f t="shared" si="267"/>
        <v>jul</v>
      </c>
      <c r="N2447">
        <f t="shared" si="268"/>
        <v>2025</v>
      </c>
      <c r="O2447" s="2">
        <f>_xlfn.XLOOKUP(A2447,Colaboradores!$A:$A,Colaboradores!$S:$S,"",0)</f>
        <v>45860</v>
      </c>
      <c r="P2447" t="str">
        <f t="shared" si="265"/>
        <v>147345850</v>
      </c>
    </row>
    <row r="2448" spans="1:16" x14ac:dyDescent="0.3">
      <c r="A2448">
        <v>1473</v>
      </c>
      <c r="B2448">
        <v>50</v>
      </c>
      <c r="C2448" t="s">
        <v>26</v>
      </c>
      <c r="D2448" t="s">
        <v>16</v>
      </c>
      <c r="E2448" t="s">
        <v>17</v>
      </c>
      <c r="F2448" t="s">
        <v>21</v>
      </c>
      <c r="G2448" t="s">
        <v>41</v>
      </c>
      <c r="H2448" t="s">
        <v>20</v>
      </c>
      <c r="I2448" s="1">
        <v>1</v>
      </c>
      <c r="J2448" s="2">
        <v>45851</v>
      </c>
      <c r="K2448" s="2">
        <v>45839</v>
      </c>
      <c r="L2448" s="1" t="str">
        <f t="shared" si="266"/>
        <v>dom</v>
      </c>
      <c r="M2448" s="1" t="str">
        <f t="shared" si="267"/>
        <v>jul</v>
      </c>
      <c r="N2448">
        <f t="shared" si="268"/>
        <v>2025</v>
      </c>
      <c r="O2448" s="2">
        <f>_xlfn.XLOOKUP(A2448,Colaboradores!$A:$A,Colaboradores!$S:$S,"",0)</f>
        <v>45860</v>
      </c>
      <c r="P2448" t="str">
        <f t="shared" si="265"/>
        <v>147345851</v>
      </c>
    </row>
    <row r="2449" spans="1:16" x14ac:dyDescent="0.3">
      <c r="A2449">
        <v>1473</v>
      </c>
      <c r="B2449">
        <v>50</v>
      </c>
      <c r="C2449" t="s">
        <v>26</v>
      </c>
      <c r="D2449" t="s">
        <v>16</v>
      </c>
      <c r="E2449" t="s">
        <v>17</v>
      </c>
      <c r="F2449" t="s">
        <v>21</v>
      </c>
      <c r="G2449" t="s">
        <v>41</v>
      </c>
      <c r="H2449" t="s">
        <v>20</v>
      </c>
      <c r="I2449" s="1">
        <v>1</v>
      </c>
      <c r="J2449" s="2">
        <v>45852</v>
      </c>
      <c r="K2449" s="2">
        <v>45839</v>
      </c>
      <c r="L2449" s="1" t="str">
        <f t="shared" si="266"/>
        <v>seg</v>
      </c>
      <c r="M2449" s="1" t="str">
        <f t="shared" si="267"/>
        <v>jul</v>
      </c>
      <c r="N2449">
        <f t="shared" si="268"/>
        <v>2025</v>
      </c>
      <c r="O2449" s="2">
        <f>_xlfn.XLOOKUP(A2449,Colaboradores!$A:$A,Colaboradores!$S:$S,"",0)</f>
        <v>45860</v>
      </c>
      <c r="P2449" t="str">
        <f t="shared" si="265"/>
        <v>147345852</v>
      </c>
    </row>
    <row r="2450" spans="1:16" x14ac:dyDescent="0.3">
      <c r="A2450">
        <v>1473</v>
      </c>
      <c r="B2450">
        <v>50</v>
      </c>
      <c r="C2450" t="s">
        <v>26</v>
      </c>
      <c r="D2450" t="s">
        <v>16</v>
      </c>
      <c r="E2450" t="s">
        <v>17</v>
      </c>
      <c r="F2450" t="s">
        <v>21</v>
      </c>
      <c r="G2450" t="s">
        <v>41</v>
      </c>
      <c r="H2450" t="s">
        <v>20</v>
      </c>
      <c r="I2450" s="1">
        <v>1</v>
      </c>
      <c r="J2450" s="2">
        <v>45853</v>
      </c>
      <c r="K2450" s="2">
        <v>45839</v>
      </c>
      <c r="L2450" s="1" t="str">
        <f t="shared" si="266"/>
        <v>ter</v>
      </c>
      <c r="M2450" s="1" t="str">
        <f t="shared" si="267"/>
        <v>jul</v>
      </c>
      <c r="N2450">
        <f t="shared" si="268"/>
        <v>2025</v>
      </c>
      <c r="O2450" s="2">
        <f>_xlfn.XLOOKUP(A2450,Colaboradores!$A:$A,Colaboradores!$S:$S,"",0)</f>
        <v>45860</v>
      </c>
      <c r="P2450" t="str">
        <f t="shared" si="265"/>
        <v>147345853</v>
      </c>
    </row>
    <row r="2451" spans="1:16" x14ac:dyDescent="0.3">
      <c r="A2451">
        <v>1474</v>
      </c>
      <c r="B2451">
        <v>46</v>
      </c>
      <c r="C2451" t="s">
        <v>26</v>
      </c>
      <c r="D2451" t="s">
        <v>31</v>
      </c>
      <c r="E2451" t="s">
        <v>34</v>
      </c>
      <c r="F2451" t="s">
        <v>21</v>
      </c>
      <c r="G2451" t="s">
        <v>44</v>
      </c>
      <c r="H2451" t="s">
        <v>25</v>
      </c>
      <c r="I2451" s="1">
        <v>3</v>
      </c>
      <c r="J2451" s="2">
        <v>45771</v>
      </c>
      <c r="K2451" s="2">
        <v>45748</v>
      </c>
      <c r="L2451" s="1" t="str">
        <f t="shared" si="266"/>
        <v>qui</v>
      </c>
      <c r="M2451" s="1" t="str">
        <f t="shared" si="267"/>
        <v>abr</v>
      </c>
      <c r="N2451">
        <f t="shared" si="268"/>
        <v>2025</v>
      </c>
      <c r="O2451" s="2"/>
      <c r="P2451" t="str">
        <f t="shared" si="265"/>
        <v>147445771</v>
      </c>
    </row>
    <row r="2452" spans="1:16" x14ac:dyDescent="0.3">
      <c r="A2452">
        <v>1474</v>
      </c>
      <c r="B2452">
        <v>46</v>
      </c>
      <c r="C2452" t="s">
        <v>26</v>
      </c>
      <c r="D2452" t="s">
        <v>31</v>
      </c>
      <c r="E2452" t="s">
        <v>34</v>
      </c>
      <c r="F2452" t="s">
        <v>21</v>
      </c>
      <c r="G2452" t="s">
        <v>44</v>
      </c>
      <c r="H2452" t="s">
        <v>25</v>
      </c>
      <c r="I2452" s="1">
        <v>3</v>
      </c>
      <c r="J2452" s="2">
        <v>45783</v>
      </c>
      <c r="K2452" s="2">
        <v>45778</v>
      </c>
      <c r="L2452" s="1" t="str">
        <f t="shared" si="266"/>
        <v>ter</v>
      </c>
      <c r="M2452" s="1" t="str">
        <f t="shared" si="267"/>
        <v>mai</v>
      </c>
      <c r="N2452">
        <f t="shared" si="268"/>
        <v>2025</v>
      </c>
      <c r="O2452" s="2"/>
      <c r="P2452" t="str">
        <f t="shared" si="265"/>
        <v>147445783</v>
      </c>
    </row>
    <row r="2453" spans="1:16" x14ac:dyDescent="0.3">
      <c r="A2453">
        <v>1474</v>
      </c>
      <c r="B2453">
        <v>46</v>
      </c>
      <c r="C2453" t="s">
        <v>26</v>
      </c>
      <c r="D2453" t="s">
        <v>31</v>
      </c>
      <c r="E2453" t="s">
        <v>34</v>
      </c>
      <c r="F2453" t="s">
        <v>21</v>
      </c>
      <c r="G2453" t="s">
        <v>41</v>
      </c>
      <c r="H2453" t="s">
        <v>25</v>
      </c>
      <c r="I2453" s="1">
        <v>3</v>
      </c>
      <c r="J2453" s="2">
        <v>45862</v>
      </c>
      <c r="K2453" s="2">
        <v>45839</v>
      </c>
      <c r="L2453" s="1" t="str">
        <f t="shared" si="266"/>
        <v>qui</v>
      </c>
      <c r="M2453" s="1" t="str">
        <f t="shared" si="267"/>
        <v>jul</v>
      </c>
      <c r="N2453">
        <f t="shared" si="268"/>
        <v>2025</v>
      </c>
      <c r="O2453" s="2"/>
      <c r="P2453" t="str">
        <f t="shared" si="265"/>
        <v>147445862</v>
      </c>
    </row>
    <row r="2454" spans="1:16" x14ac:dyDescent="0.3">
      <c r="A2454">
        <v>1474</v>
      </c>
      <c r="B2454">
        <v>46</v>
      </c>
      <c r="C2454" t="s">
        <v>26</v>
      </c>
      <c r="D2454" t="s">
        <v>31</v>
      </c>
      <c r="E2454" t="s">
        <v>34</v>
      </c>
      <c r="F2454" t="s">
        <v>21</v>
      </c>
      <c r="G2454" t="s">
        <v>44</v>
      </c>
      <c r="H2454" t="s">
        <v>25</v>
      </c>
      <c r="I2454" s="1">
        <v>3</v>
      </c>
      <c r="J2454" s="2">
        <v>45925</v>
      </c>
      <c r="K2454" s="2">
        <v>45901</v>
      </c>
      <c r="L2454" s="1" t="str">
        <f t="shared" si="266"/>
        <v>qui</v>
      </c>
      <c r="M2454" s="1" t="str">
        <f t="shared" si="267"/>
        <v>set</v>
      </c>
      <c r="N2454">
        <f t="shared" si="268"/>
        <v>2025</v>
      </c>
      <c r="O2454" s="2"/>
      <c r="P2454" t="str">
        <f t="shared" si="265"/>
        <v>147445925</v>
      </c>
    </row>
    <row r="2455" spans="1:16" x14ac:dyDescent="0.3">
      <c r="A2455">
        <v>1474</v>
      </c>
      <c r="B2455">
        <v>46</v>
      </c>
      <c r="C2455" t="s">
        <v>26</v>
      </c>
      <c r="D2455" t="s">
        <v>31</v>
      </c>
      <c r="E2455" t="s">
        <v>34</v>
      </c>
      <c r="F2455" t="s">
        <v>21</v>
      </c>
      <c r="G2455" t="s">
        <v>44</v>
      </c>
      <c r="H2455" t="s">
        <v>25</v>
      </c>
      <c r="I2455" s="1">
        <v>3</v>
      </c>
      <c r="J2455" s="2">
        <v>46078</v>
      </c>
      <c r="K2455" s="2">
        <v>46054</v>
      </c>
      <c r="L2455" s="1" t="str">
        <f t="shared" si="266"/>
        <v>qua</v>
      </c>
      <c r="M2455" s="1" t="str">
        <f t="shared" si="267"/>
        <v>fev</v>
      </c>
      <c r="N2455">
        <f t="shared" si="268"/>
        <v>2026</v>
      </c>
      <c r="O2455" s="2"/>
      <c r="P2455" t="str">
        <f t="shared" si="265"/>
        <v>147446078</v>
      </c>
    </row>
    <row r="2456" spans="1:16" x14ac:dyDescent="0.3">
      <c r="A2456">
        <v>1474</v>
      </c>
      <c r="B2456">
        <v>46</v>
      </c>
      <c r="C2456" t="s">
        <v>26</v>
      </c>
      <c r="D2456" t="s">
        <v>31</v>
      </c>
      <c r="E2456" t="s">
        <v>34</v>
      </c>
      <c r="F2456" t="s">
        <v>21</v>
      </c>
      <c r="G2456" t="s">
        <v>41</v>
      </c>
      <c r="H2456" t="s">
        <v>25</v>
      </c>
      <c r="I2456" s="1">
        <v>3</v>
      </c>
      <c r="J2456" s="2">
        <v>46094</v>
      </c>
      <c r="K2456" s="2">
        <v>46082</v>
      </c>
      <c r="L2456" s="1" t="str">
        <f t="shared" si="266"/>
        <v>sex</v>
      </c>
      <c r="M2456" s="1" t="str">
        <f t="shared" si="267"/>
        <v>mar</v>
      </c>
      <c r="N2456">
        <f t="shared" si="268"/>
        <v>2026</v>
      </c>
      <c r="O2456" s="2"/>
      <c r="P2456" t="str">
        <f t="shared" si="265"/>
        <v>147446094</v>
      </c>
    </row>
    <row r="2457" spans="1:16" x14ac:dyDescent="0.3">
      <c r="A2457">
        <v>1474</v>
      </c>
      <c r="B2457">
        <v>46</v>
      </c>
      <c r="C2457" t="s">
        <v>26</v>
      </c>
      <c r="D2457" t="s">
        <v>31</v>
      </c>
      <c r="E2457" t="s">
        <v>34</v>
      </c>
      <c r="F2457" t="s">
        <v>21</v>
      </c>
      <c r="G2457" t="s">
        <v>44</v>
      </c>
      <c r="H2457" t="s">
        <v>25</v>
      </c>
      <c r="I2457" s="1">
        <v>3</v>
      </c>
      <c r="J2457" s="2">
        <v>46136</v>
      </c>
      <c r="K2457" s="2">
        <v>46113</v>
      </c>
      <c r="L2457" s="1" t="s">
        <v>52</v>
      </c>
      <c r="M2457" s="1" t="s">
        <v>48</v>
      </c>
      <c r="N2457">
        <v>2025</v>
      </c>
      <c r="O2457" s="2"/>
      <c r="P2457" t="str">
        <f t="shared" si="265"/>
        <v>147446136</v>
      </c>
    </row>
    <row r="2458" spans="1:16" x14ac:dyDescent="0.3">
      <c r="A2458">
        <v>1474</v>
      </c>
      <c r="B2458">
        <v>46</v>
      </c>
      <c r="C2458" t="s">
        <v>26</v>
      </c>
      <c r="D2458" t="s">
        <v>31</v>
      </c>
      <c r="E2458" t="s">
        <v>34</v>
      </c>
      <c r="F2458" t="s">
        <v>21</v>
      </c>
      <c r="G2458" t="s">
        <v>44</v>
      </c>
      <c r="H2458" t="s">
        <v>25</v>
      </c>
      <c r="I2458" s="1">
        <v>3</v>
      </c>
      <c r="J2458" s="2">
        <v>46148</v>
      </c>
      <c r="K2458" s="2">
        <v>46143</v>
      </c>
      <c r="L2458" s="1" t="s">
        <v>50</v>
      </c>
      <c r="M2458" s="1" t="s">
        <v>49</v>
      </c>
      <c r="N2458">
        <v>2025</v>
      </c>
      <c r="O2458" s="2"/>
      <c r="P2458" t="str">
        <f t="shared" si="265"/>
        <v>147446148</v>
      </c>
    </row>
    <row r="2459" spans="1:16" x14ac:dyDescent="0.3">
      <c r="A2459">
        <v>1475</v>
      </c>
      <c r="B2459">
        <v>28</v>
      </c>
      <c r="C2459" t="s">
        <v>26</v>
      </c>
      <c r="D2459" t="s">
        <v>27</v>
      </c>
      <c r="E2459" t="s">
        <v>17</v>
      </c>
      <c r="F2459" t="s">
        <v>21</v>
      </c>
      <c r="G2459" t="s">
        <v>41</v>
      </c>
      <c r="H2459" t="s">
        <v>20</v>
      </c>
      <c r="I2459" s="1">
        <v>2</v>
      </c>
      <c r="J2459" s="2">
        <v>45795</v>
      </c>
      <c r="K2459" s="2">
        <v>45778</v>
      </c>
      <c r="L2459" s="1" t="str">
        <f t="shared" ref="L2459:L2504" si="269">TEXT(J2459,"ddd")</f>
        <v>dom</v>
      </c>
      <c r="M2459" s="1" t="str">
        <f t="shared" ref="M2459:M2504" si="270">TEXT($J2459,"mmm")</f>
        <v>mai</v>
      </c>
      <c r="N2459">
        <f t="shared" ref="N2459:N2504" si="271">YEAR(J2459)</f>
        <v>2025</v>
      </c>
      <c r="O2459" s="2">
        <f>_xlfn.XLOOKUP(A2459,Colaboradores!$A:$A,Colaboradores!$S:$S,"",0)</f>
        <v>45922</v>
      </c>
      <c r="P2459" t="str">
        <f t="shared" si="265"/>
        <v>147545795</v>
      </c>
    </row>
    <row r="2460" spans="1:16" x14ac:dyDescent="0.3">
      <c r="A2460">
        <v>1475</v>
      </c>
      <c r="B2460">
        <v>28</v>
      </c>
      <c r="C2460" t="s">
        <v>26</v>
      </c>
      <c r="D2460" t="s">
        <v>27</v>
      </c>
      <c r="E2460" t="s">
        <v>17</v>
      </c>
      <c r="F2460" t="s">
        <v>21</v>
      </c>
      <c r="G2460" t="s">
        <v>41</v>
      </c>
      <c r="H2460" t="s">
        <v>20</v>
      </c>
      <c r="I2460" s="1">
        <v>2</v>
      </c>
      <c r="J2460" s="2">
        <v>45853</v>
      </c>
      <c r="K2460" s="2">
        <v>45839</v>
      </c>
      <c r="L2460" s="1" t="str">
        <f t="shared" si="269"/>
        <v>ter</v>
      </c>
      <c r="M2460" s="1" t="str">
        <f t="shared" si="270"/>
        <v>jul</v>
      </c>
      <c r="N2460">
        <f t="shared" si="271"/>
        <v>2025</v>
      </c>
      <c r="O2460" s="2">
        <f>_xlfn.XLOOKUP(A2460,Colaboradores!$A:$A,Colaboradores!$S:$S,"",0)</f>
        <v>45922</v>
      </c>
      <c r="P2460" t="str">
        <f t="shared" si="265"/>
        <v>147545853</v>
      </c>
    </row>
    <row r="2461" spans="1:16" x14ac:dyDescent="0.3">
      <c r="A2461">
        <v>1475</v>
      </c>
      <c r="B2461">
        <v>28</v>
      </c>
      <c r="C2461" t="s">
        <v>26</v>
      </c>
      <c r="D2461" t="s">
        <v>27</v>
      </c>
      <c r="E2461" t="s">
        <v>17</v>
      </c>
      <c r="F2461" t="s">
        <v>21</v>
      </c>
      <c r="G2461" t="s">
        <v>41</v>
      </c>
      <c r="H2461" t="s">
        <v>20</v>
      </c>
      <c r="I2461" s="1">
        <v>2</v>
      </c>
      <c r="J2461" s="2">
        <v>45870</v>
      </c>
      <c r="K2461" s="2">
        <v>45870</v>
      </c>
      <c r="L2461" s="1" t="str">
        <f t="shared" si="269"/>
        <v>sex</v>
      </c>
      <c r="M2461" s="1" t="str">
        <f t="shared" si="270"/>
        <v>ago</v>
      </c>
      <c r="N2461">
        <f t="shared" si="271"/>
        <v>2025</v>
      </c>
      <c r="O2461" s="2">
        <f>_xlfn.XLOOKUP(A2461,Colaboradores!$A:$A,Colaboradores!$S:$S,"",0)</f>
        <v>45922</v>
      </c>
      <c r="P2461" t="str">
        <f t="shared" si="265"/>
        <v>147545870</v>
      </c>
    </row>
    <row r="2462" spans="1:16" x14ac:dyDescent="0.3">
      <c r="A2462">
        <v>1475</v>
      </c>
      <c r="B2462">
        <v>28</v>
      </c>
      <c r="C2462" t="s">
        <v>26</v>
      </c>
      <c r="D2462" t="s">
        <v>27</v>
      </c>
      <c r="E2462" t="s">
        <v>17</v>
      </c>
      <c r="F2462" t="s">
        <v>21</v>
      </c>
      <c r="G2462" t="s">
        <v>41</v>
      </c>
      <c r="H2462" t="s">
        <v>20</v>
      </c>
      <c r="I2462" s="1">
        <v>2</v>
      </c>
      <c r="J2462" s="2">
        <v>45872</v>
      </c>
      <c r="K2462" s="2">
        <v>45870</v>
      </c>
      <c r="L2462" s="1" t="str">
        <f t="shared" si="269"/>
        <v>dom</v>
      </c>
      <c r="M2462" s="1" t="str">
        <f t="shared" si="270"/>
        <v>ago</v>
      </c>
      <c r="N2462">
        <f t="shared" si="271"/>
        <v>2025</v>
      </c>
      <c r="O2462" s="2">
        <f>_xlfn.XLOOKUP(A2462,Colaboradores!$A:$A,Colaboradores!$S:$S,"",0)</f>
        <v>45922</v>
      </c>
      <c r="P2462" t="str">
        <f t="shared" si="265"/>
        <v>147545872</v>
      </c>
    </row>
    <row r="2463" spans="1:16" x14ac:dyDescent="0.3">
      <c r="A2463">
        <v>1475</v>
      </c>
      <c r="B2463">
        <v>28</v>
      </c>
      <c r="C2463" t="s">
        <v>26</v>
      </c>
      <c r="D2463" t="s">
        <v>27</v>
      </c>
      <c r="E2463" t="s">
        <v>17</v>
      </c>
      <c r="F2463" t="s">
        <v>21</v>
      </c>
      <c r="G2463" t="s">
        <v>41</v>
      </c>
      <c r="H2463" t="s">
        <v>20</v>
      </c>
      <c r="I2463" s="1">
        <v>2</v>
      </c>
      <c r="J2463" s="2">
        <v>45873</v>
      </c>
      <c r="K2463" s="2">
        <v>45870</v>
      </c>
      <c r="L2463" s="1" t="str">
        <f t="shared" si="269"/>
        <v>seg</v>
      </c>
      <c r="M2463" s="1" t="str">
        <f t="shared" si="270"/>
        <v>ago</v>
      </c>
      <c r="N2463">
        <f t="shared" si="271"/>
        <v>2025</v>
      </c>
      <c r="O2463" s="2">
        <f>_xlfn.XLOOKUP(A2463,Colaboradores!$A:$A,Colaboradores!$S:$S,"",0)</f>
        <v>45922</v>
      </c>
      <c r="P2463" t="str">
        <f t="shared" si="265"/>
        <v>147545873</v>
      </c>
    </row>
    <row r="2464" spans="1:16" x14ac:dyDescent="0.3">
      <c r="A2464">
        <v>1475</v>
      </c>
      <c r="B2464">
        <v>28</v>
      </c>
      <c r="C2464" t="s">
        <v>26</v>
      </c>
      <c r="D2464" t="s">
        <v>27</v>
      </c>
      <c r="E2464" t="s">
        <v>17</v>
      </c>
      <c r="F2464" t="s">
        <v>21</v>
      </c>
      <c r="G2464" t="s">
        <v>41</v>
      </c>
      <c r="H2464" t="s">
        <v>20</v>
      </c>
      <c r="I2464" s="1">
        <v>2</v>
      </c>
      <c r="J2464" s="2">
        <v>45875</v>
      </c>
      <c r="K2464" s="2">
        <v>45870</v>
      </c>
      <c r="L2464" s="1" t="str">
        <f t="shared" si="269"/>
        <v>qua</v>
      </c>
      <c r="M2464" s="1" t="str">
        <f t="shared" si="270"/>
        <v>ago</v>
      </c>
      <c r="N2464">
        <f t="shared" si="271"/>
        <v>2025</v>
      </c>
      <c r="O2464" s="2">
        <f>_xlfn.XLOOKUP(A2464,Colaboradores!$A:$A,Colaboradores!$S:$S,"",0)</f>
        <v>45922</v>
      </c>
      <c r="P2464" t="str">
        <f t="shared" si="265"/>
        <v>147545875</v>
      </c>
    </row>
    <row r="2465" spans="1:16" x14ac:dyDescent="0.3">
      <c r="A2465">
        <v>1476</v>
      </c>
      <c r="B2465">
        <v>26</v>
      </c>
      <c r="C2465" t="s">
        <v>26</v>
      </c>
      <c r="D2465" t="s">
        <v>16</v>
      </c>
      <c r="E2465" t="s">
        <v>17</v>
      </c>
      <c r="F2465" t="s">
        <v>21</v>
      </c>
      <c r="G2465" t="s">
        <v>40</v>
      </c>
      <c r="H2465" t="s">
        <v>25</v>
      </c>
      <c r="I2465" s="1">
        <v>2</v>
      </c>
      <c r="J2465" s="2">
        <v>45842</v>
      </c>
      <c r="K2465" s="2">
        <v>45839</v>
      </c>
      <c r="L2465" s="1" t="str">
        <f t="shared" si="269"/>
        <v>sex</v>
      </c>
      <c r="M2465" s="1" t="str">
        <f t="shared" si="270"/>
        <v>jul</v>
      </c>
      <c r="N2465">
        <f t="shared" si="271"/>
        <v>2025</v>
      </c>
      <c r="O2465" s="2"/>
      <c r="P2465" t="str">
        <f t="shared" si="265"/>
        <v>147645842</v>
      </c>
    </row>
    <row r="2466" spans="1:16" x14ac:dyDescent="0.3">
      <c r="A2466">
        <v>1476</v>
      </c>
      <c r="B2466">
        <v>26</v>
      </c>
      <c r="C2466" t="s">
        <v>26</v>
      </c>
      <c r="D2466" t="s">
        <v>16</v>
      </c>
      <c r="E2466" t="s">
        <v>17</v>
      </c>
      <c r="F2466" t="s">
        <v>21</v>
      </c>
      <c r="G2466" t="s">
        <v>40</v>
      </c>
      <c r="H2466" t="s">
        <v>25</v>
      </c>
      <c r="I2466" s="1">
        <v>2</v>
      </c>
      <c r="J2466" s="2">
        <v>45997</v>
      </c>
      <c r="K2466" s="2">
        <v>45992</v>
      </c>
      <c r="L2466" s="1" t="str">
        <f t="shared" si="269"/>
        <v>sáb</v>
      </c>
      <c r="M2466" s="1" t="str">
        <f t="shared" si="270"/>
        <v>dez</v>
      </c>
      <c r="N2466">
        <f t="shared" si="271"/>
        <v>2025</v>
      </c>
      <c r="O2466" s="2"/>
      <c r="P2466" t="str">
        <f t="shared" si="265"/>
        <v>147645997</v>
      </c>
    </row>
    <row r="2467" spans="1:16" x14ac:dyDescent="0.3">
      <c r="A2467">
        <v>1476</v>
      </c>
      <c r="B2467">
        <v>26</v>
      </c>
      <c r="C2467" t="s">
        <v>26</v>
      </c>
      <c r="D2467" t="s">
        <v>16</v>
      </c>
      <c r="E2467" t="s">
        <v>17</v>
      </c>
      <c r="F2467" t="s">
        <v>21</v>
      </c>
      <c r="G2467" t="s">
        <v>40</v>
      </c>
      <c r="H2467" t="s">
        <v>25</v>
      </c>
      <c r="I2467" s="1">
        <v>2</v>
      </c>
      <c r="J2467" s="2">
        <v>46180</v>
      </c>
      <c r="K2467" s="2">
        <v>46023</v>
      </c>
      <c r="L2467" s="1" t="str">
        <f t="shared" si="269"/>
        <v>dom</v>
      </c>
      <c r="M2467" s="1" t="str">
        <f t="shared" si="270"/>
        <v>jun</v>
      </c>
      <c r="N2467">
        <f t="shared" si="271"/>
        <v>2026</v>
      </c>
      <c r="O2467" s="2"/>
      <c r="P2467" t="str">
        <f t="shared" si="265"/>
        <v>147646180</v>
      </c>
    </row>
    <row r="2468" spans="1:16" x14ac:dyDescent="0.3">
      <c r="A2468">
        <v>1476</v>
      </c>
      <c r="B2468">
        <v>26</v>
      </c>
      <c r="C2468" t="s">
        <v>26</v>
      </c>
      <c r="D2468" t="s">
        <v>16</v>
      </c>
      <c r="E2468" t="s">
        <v>17</v>
      </c>
      <c r="F2468" t="s">
        <v>21</v>
      </c>
      <c r="G2468" t="s">
        <v>40</v>
      </c>
      <c r="H2468" t="s">
        <v>25</v>
      </c>
      <c r="I2468" s="1">
        <v>2</v>
      </c>
      <c r="J2468" s="2">
        <v>46094</v>
      </c>
      <c r="K2468" s="2">
        <v>46082</v>
      </c>
      <c r="L2468" s="1" t="str">
        <f t="shared" si="269"/>
        <v>sex</v>
      </c>
      <c r="M2468" s="1" t="str">
        <f t="shared" si="270"/>
        <v>mar</v>
      </c>
      <c r="N2468">
        <f t="shared" si="271"/>
        <v>2026</v>
      </c>
      <c r="O2468" s="2"/>
      <c r="P2468" t="str">
        <f t="shared" si="265"/>
        <v>147646094</v>
      </c>
    </row>
    <row r="2469" spans="1:16" x14ac:dyDescent="0.3">
      <c r="A2469">
        <v>1476</v>
      </c>
      <c r="B2469">
        <v>26</v>
      </c>
      <c r="C2469" t="s">
        <v>26</v>
      </c>
      <c r="D2469" t="s">
        <v>16</v>
      </c>
      <c r="E2469" t="s">
        <v>17</v>
      </c>
      <c r="F2469" t="s">
        <v>21</v>
      </c>
      <c r="G2469" t="s">
        <v>41</v>
      </c>
      <c r="H2469" t="s">
        <v>25</v>
      </c>
      <c r="I2469" s="1">
        <v>2</v>
      </c>
      <c r="J2469" s="2">
        <v>46107</v>
      </c>
      <c r="K2469" s="2">
        <v>46082</v>
      </c>
      <c r="L2469" s="1" t="str">
        <f t="shared" si="269"/>
        <v>qui</v>
      </c>
      <c r="M2469" s="1" t="str">
        <f t="shared" si="270"/>
        <v>mar</v>
      </c>
      <c r="N2469">
        <f t="shared" si="271"/>
        <v>2026</v>
      </c>
      <c r="O2469" s="2"/>
      <c r="P2469" t="str">
        <f t="shared" si="265"/>
        <v>147646107</v>
      </c>
    </row>
    <row r="2470" spans="1:16" x14ac:dyDescent="0.3">
      <c r="A2470">
        <v>1476</v>
      </c>
      <c r="B2470">
        <v>26</v>
      </c>
      <c r="C2470" t="s">
        <v>26</v>
      </c>
      <c r="D2470" t="s">
        <v>16</v>
      </c>
      <c r="E2470" t="s">
        <v>17</v>
      </c>
      <c r="F2470" t="s">
        <v>21</v>
      </c>
      <c r="G2470" t="s">
        <v>41</v>
      </c>
      <c r="H2470" t="s">
        <v>25</v>
      </c>
      <c r="I2470" s="1">
        <v>2</v>
      </c>
      <c r="J2470" s="2">
        <v>46191</v>
      </c>
      <c r="K2470" s="2">
        <v>46174</v>
      </c>
      <c r="L2470" s="1" t="str">
        <f t="shared" si="269"/>
        <v>qui</v>
      </c>
      <c r="M2470" s="1" t="str">
        <f t="shared" si="270"/>
        <v>jun</v>
      </c>
      <c r="N2470">
        <f t="shared" si="271"/>
        <v>2026</v>
      </c>
      <c r="O2470" s="2"/>
      <c r="P2470" t="str">
        <f t="shared" si="265"/>
        <v>147646191</v>
      </c>
    </row>
    <row r="2471" spans="1:16" x14ac:dyDescent="0.3">
      <c r="A2471">
        <v>1477</v>
      </c>
      <c r="B2471">
        <v>56</v>
      </c>
      <c r="C2471" t="s">
        <v>15</v>
      </c>
      <c r="D2471" t="s">
        <v>29</v>
      </c>
      <c r="E2471" t="s">
        <v>17</v>
      </c>
      <c r="F2471" t="s">
        <v>21</v>
      </c>
      <c r="G2471" t="s">
        <v>40</v>
      </c>
      <c r="H2471" t="s">
        <v>25</v>
      </c>
      <c r="I2471" s="1">
        <v>3</v>
      </c>
      <c r="J2471" s="2">
        <v>45811</v>
      </c>
      <c r="K2471" s="2">
        <v>45809</v>
      </c>
      <c r="L2471" s="1" t="str">
        <f t="shared" si="269"/>
        <v>ter</v>
      </c>
      <c r="M2471" s="1" t="str">
        <f t="shared" si="270"/>
        <v>jun</v>
      </c>
      <c r="N2471">
        <f t="shared" si="271"/>
        <v>2025</v>
      </c>
      <c r="O2471" s="2"/>
      <c r="P2471" t="str">
        <f t="shared" si="265"/>
        <v>147745811</v>
      </c>
    </row>
    <row r="2472" spans="1:16" x14ac:dyDescent="0.3">
      <c r="A2472">
        <v>1477</v>
      </c>
      <c r="B2472">
        <v>56</v>
      </c>
      <c r="C2472" t="s">
        <v>15</v>
      </c>
      <c r="D2472" t="s">
        <v>29</v>
      </c>
      <c r="E2472" t="s">
        <v>17</v>
      </c>
      <c r="F2472" t="s">
        <v>21</v>
      </c>
      <c r="G2472" t="s">
        <v>40</v>
      </c>
      <c r="H2472" t="s">
        <v>25</v>
      </c>
      <c r="I2472" s="1">
        <v>3</v>
      </c>
      <c r="J2472" s="2">
        <v>45846</v>
      </c>
      <c r="K2472" s="2">
        <v>45839</v>
      </c>
      <c r="L2472" s="1" t="str">
        <f t="shared" si="269"/>
        <v>ter</v>
      </c>
      <c r="M2472" s="1" t="str">
        <f t="shared" si="270"/>
        <v>jul</v>
      </c>
      <c r="N2472">
        <f t="shared" si="271"/>
        <v>2025</v>
      </c>
      <c r="O2472" s="2"/>
      <c r="P2472" t="str">
        <f t="shared" si="265"/>
        <v>147745846</v>
      </c>
    </row>
    <row r="2473" spans="1:16" x14ac:dyDescent="0.3">
      <c r="A2473">
        <v>1477</v>
      </c>
      <c r="B2473">
        <v>56</v>
      </c>
      <c r="C2473" t="s">
        <v>15</v>
      </c>
      <c r="D2473" t="s">
        <v>29</v>
      </c>
      <c r="E2473" t="s">
        <v>17</v>
      </c>
      <c r="F2473" t="s">
        <v>21</v>
      </c>
      <c r="G2473" t="s">
        <v>40</v>
      </c>
      <c r="H2473" t="s">
        <v>25</v>
      </c>
      <c r="I2473" s="1">
        <v>3</v>
      </c>
      <c r="J2473" s="2">
        <v>45954</v>
      </c>
      <c r="K2473" s="2">
        <v>45931</v>
      </c>
      <c r="L2473" s="1" t="str">
        <f t="shared" si="269"/>
        <v>sex</v>
      </c>
      <c r="M2473" s="1" t="str">
        <f t="shared" si="270"/>
        <v>out</v>
      </c>
      <c r="N2473">
        <f t="shared" si="271"/>
        <v>2025</v>
      </c>
      <c r="O2473" s="2"/>
      <c r="P2473" t="str">
        <f t="shared" si="265"/>
        <v>147745954</v>
      </c>
    </row>
    <row r="2474" spans="1:16" x14ac:dyDescent="0.3">
      <c r="A2474">
        <v>1477</v>
      </c>
      <c r="B2474">
        <v>56</v>
      </c>
      <c r="C2474" t="s">
        <v>15</v>
      </c>
      <c r="D2474" t="s">
        <v>29</v>
      </c>
      <c r="E2474" t="s">
        <v>17</v>
      </c>
      <c r="F2474" t="s">
        <v>21</v>
      </c>
      <c r="G2474" t="s">
        <v>40</v>
      </c>
      <c r="H2474" t="s">
        <v>25</v>
      </c>
      <c r="I2474" s="1">
        <v>3</v>
      </c>
      <c r="J2474" s="2">
        <v>46000</v>
      </c>
      <c r="K2474" s="2">
        <v>45992</v>
      </c>
      <c r="L2474" s="1" t="str">
        <f t="shared" si="269"/>
        <v>ter</v>
      </c>
      <c r="M2474" s="1" t="str">
        <f t="shared" si="270"/>
        <v>dez</v>
      </c>
      <c r="N2474">
        <f t="shared" si="271"/>
        <v>2025</v>
      </c>
      <c r="O2474" s="2"/>
      <c r="P2474" t="str">
        <f t="shared" si="265"/>
        <v>147746000</v>
      </c>
    </row>
    <row r="2475" spans="1:16" x14ac:dyDescent="0.3">
      <c r="A2475">
        <v>1477</v>
      </c>
      <c r="B2475">
        <v>56</v>
      </c>
      <c r="C2475" t="s">
        <v>15</v>
      </c>
      <c r="D2475" t="s">
        <v>29</v>
      </c>
      <c r="E2475" t="s">
        <v>17</v>
      </c>
      <c r="F2475" t="s">
        <v>21</v>
      </c>
      <c r="G2475" t="s">
        <v>40</v>
      </c>
      <c r="H2475" t="s">
        <v>25</v>
      </c>
      <c r="I2475" s="1">
        <v>3</v>
      </c>
      <c r="J2475" s="2">
        <v>46022</v>
      </c>
      <c r="K2475" s="2">
        <v>45992</v>
      </c>
      <c r="L2475" s="1" t="str">
        <f t="shared" si="269"/>
        <v>qua</v>
      </c>
      <c r="M2475" s="1" t="str">
        <f t="shared" si="270"/>
        <v>dez</v>
      </c>
      <c r="N2475">
        <f t="shared" si="271"/>
        <v>2025</v>
      </c>
      <c r="O2475" s="2"/>
      <c r="P2475" t="str">
        <f t="shared" si="265"/>
        <v>147746022</v>
      </c>
    </row>
    <row r="2476" spans="1:16" x14ac:dyDescent="0.3">
      <c r="A2476">
        <v>1477</v>
      </c>
      <c r="B2476">
        <v>56</v>
      </c>
      <c r="C2476" t="s">
        <v>15</v>
      </c>
      <c r="D2476" t="s">
        <v>29</v>
      </c>
      <c r="E2476" t="s">
        <v>17</v>
      </c>
      <c r="F2476" t="s">
        <v>21</v>
      </c>
      <c r="G2476" t="s">
        <v>40</v>
      </c>
      <c r="H2476" t="s">
        <v>25</v>
      </c>
      <c r="I2476" s="1">
        <v>3</v>
      </c>
      <c r="J2476" s="2">
        <v>46196</v>
      </c>
      <c r="K2476" s="2">
        <v>46023</v>
      </c>
      <c r="L2476" s="1" t="str">
        <f t="shared" si="269"/>
        <v>ter</v>
      </c>
      <c r="M2476" s="1" t="str">
        <f t="shared" si="270"/>
        <v>jun</v>
      </c>
      <c r="N2476">
        <f t="shared" si="271"/>
        <v>2026</v>
      </c>
      <c r="O2476" s="2"/>
      <c r="P2476" t="str">
        <f t="shared" si="265"/>
        <v>147746196</v>
      </c>
    </row>
    <row r="2477" spans="1:16" x14ac:dyDescent="0.3">
      <c r="A2477">
        <v>1478</v>
      </c>
      <c r="B2477">
        <v>27</v>
      </c>
      <c r="C2477" t="s">
        <v>15</v>
      </c>
      <c r="D2477" t="s">
        <v>16</v>
      </c>
      <c r="E2477" t="s">
        <v>17</v>
      </c>
      <c r="F2477" t="s">
        <v>21</v>
      </c>
      <c r="G2477" t="s">
        <v>41</v>
      </c>
      <c r="H2477" t="s">
        <v>25</v>
      </c>
      <c r="I2477" s="1">
        <v>3</v>
      </c>
      <c r="J2477" s="2">
        <v>45834</v>
      </c>
      <c r="K2477" s="2">
        <v>45809</v>
      </c>
      <c r="L2477" s="1" t="str">
        <f t="shared" si="269"/>
        <v>qui</v>
      </c>
      <c r="M2477" s="1" t="str">
        <f t="shared" si="270"/>
        <v>jun</v>
      </c>
      <c r="N2477">
        <f t="shared" si="271"/>
        <v>2025</v>
      </c>
      <c r="O2477" s="2"/>
      <c r="P2477" t="str">
        <f t="shared" si="265"/>
        <v>147845834</v>
      </c>
    </row>
    <row r="2478" spans="1:16" x14ac:dyDescent="0.3">
      <c r="A2478">
        <v>1478</v>
      </c>
      <c r="B2478">
        <v>27</v>
      </c>
      <c r="C2478" t="s">
        <v>15</v>
      </c>
      <c r="D2478" t="s">
        <v>16</v>
      </c>
      <c r="E2478" t="s">
        <v>17</v>
      </c>
      <c r="F2478" t="s">
        <v>21</v>
      </c>
      <c r="G2478" t="s">
        <v>41</v>
      </c>
      <c r="H2478" t="s">
        <v>25</v>
      </c>
      <c r="I2478" s="1">
        <v>3</v>
      </c>
      <c r="J2478" s="2">
        <v>45900</v>
      </c>
      <c r="K2478" s="2">
        <v>45870</v>
      </c>
      <c r="L2478" s="1" t="str">
        <f t="shared" si="269"/>
        <v>dom</v>
      </c>
      <c r="M2478" s="1" t="str">
        <f t="shared" si="270"/>
        <v>ago</v>
      </c>
      <c r="N2478">
        <f t="shared" si="271"/>
        <v>2025</v>
      </c>
      <c r="O2478" s="2"/>
      <c r="P2478" t="str">
        <f t="shared" si="265"/>
        <v>147845900</v>
      </c>
    </row>
    <row r="2479" spans="1:16" x14ac:dyDescent="0.3">
      <c r="A2479">
        <v>1478</v>
      </c>
      <c r="B2479">
        <v>27</v>
      </c>
      <c r="C2479" t="s">
        <v>15</v>
      </c>
      <c r="D2479" t="s">
        <v>16</v>
      </c>
      <c r="E2479" t="s">
        <v>17</v>
      </c>
      <c r="F2479" t="s">
        <v>21</v>
      </c>
      <c r="G2479" t="s">
        <v>41</v>
      </c>
      <c r="H2479" t="s">
        <v>25</v>
      </c>
      <c r="I2479" s="1">
        <v>3</v>
      </c>
      <c r="J2479" s="2">
        <v>45962</v>
      </c>
      <c r="K2479" s="2">
        <v>45962</v>
      </c>
      <c r="L2479" s="1" t="str">
        <f t="shared" si="269"/>
        <v>sáb</v>
      </c>
      <c r="M2479" s="1" t="str">
        <f t="shared" si="270"/>
        <v>nov</v>
      </c>
      <c r="N2479">
        <f t="shared" si="271"/>
        <v>2025</v>
      </c>
      <c r="O2479" s="2"/>
      <c r="P2479" t="str">
        <f t="shared" si="265"/>
        <v>147845962</v>
      </c>
    </row>
    <row r="2480" spans="1:16" x14ac:dyDescent="0.3">
      <c r="A2480">
        <v>1478</v>
      </c>
      <c r="B2480">
        <v>27</v>
      </c>
      <c r="C2480" t="s">
        <v>15</v>
      </c>
      <c r="D2480" t="s">
        <v>16</v>
      </c>
      <c r="E2480" t="s">
        <v>17</v>
      </c>
      <c r="F2480" t="s">
        <v>21</v>
      </c>
      <c r="G2480" t="s">
        <v>41</v>
      </c>
      <c r="H2480" t="s">
        <v>25</v>
      </c>
      <c r="I2480" s="1">
        <v>3</v>
      </c>
      <c r="J2480" s="2">
        <v>45970</v>
      </c>
      <c r="K2480" s="2">
        <v>45962</v>
      </c>
      <c r="L2480" s="1" t="str">
        <f t="shared" si="269"/>
        <v>dom</v>
      </c>
      <c r="M2480" s="1" t="str">
        <f t="shared" si="270"/>
        <v>nov</v>
      </c>
      <c r="N2480">
        <f t="shared" si="271"/>
        <v>2025</v>
      </c>
      <c r="O2480" s="2"/>
      <c r="P2480" t="str">
        <f t="shared" si="265"/>
        <v>147845970</v>
      </c>
    </row>
    <row r="2481" spans="1:16" x14ac:dyDescent="0.3">
      <c r="A2481">
        <v>1478</v>
      </c>
      <c r="B2481">
        <v>27</v>
      </c>
      <c r="C2481" t="s">
        <v>15</v>
      </c>
      <c r="D2481" t="s">
        <v>16</v>
      </c>
      <c r="E2481" t="s">
        <v>17</v>
      </c>
      <c r="F2481" t="s">
        <v>21</v>
      </c>
      <c r="G2481" t="s">
        <v>40</v>
      </c>
      <c r="H2481" t="s">
        <v>25</v>
      </c>
      <c r="I2481" s="1">
        <v>3</v>
      </c>
      <c r="J2481" s="2">
        <v>45986</v>
      </c>
      <c r="K2481" s="2">
        <v>45962</v>
      </c>
      <c r="L2481" s="1" t="str">
        <f t="shared" si="269"/>
        <v>ter</v>
      </c>
      <c r="M2481" s="1" t="str">
        <f t="shared" si="270"/>
        <v>nov</v>
      </c>
      <c r="N2481">
        <f t="shared" si="271"/>
        <v>2025</v>
      </c>
      <c r="O2481" s="2"/>
      <c r="P2481" t="str">
        <f t="shared" si="265"/>
        <v>147845986</v>
      </c>
    </row>
    <row r="2482" spans="1:16" x14ac:dyDescent="0.3">
      <c r="A2482">
        <v>1479</v>
      </c>
      <c r="B2482">
        <v>47</v>
      </c>
      <c r="C2482" t="s">
        <v>15</v>
      </c>
      <c r="D2482" t="s">
        <v>29</v>
      </c>
      <c r="E2482" t="s">
        <v>17</v>
      </c>
      <c r="F2482" t="s">
        <v>18</v>
      </c>
      <c r="G2482" t="s">
        <v>43</v>
      </c>
      <c r="H2482" t="s">
        <v>25</v>
      </c>
      <c r="I2482" s="1">
        <v>1</v>
      </c>
      <c r="J2482" s="2">
        <v>45829</v>
      </c>
      <c r="K2482" s="2">
        <v>45809</v>
      </c>
      <c r="L2482" s="1" t="str">
        <f t="shared" si="269"/>
        <v>sáb</v>
      </c>
      <c r="M2482" s="1" t="str">
        <f t="shared" si="270"/>
        <v>jun</v>
      </c>
      <c r="N2482">
        <f t="shared" si="271"/>
        <v>2025</v>
      </c>
      <c r="O2482" s="2"/>
      <c r="P2482" t="str">
        <f t="shared" si="265"/>
        <v>147945829</v>
      </c>
    </row>
    <row r="2483" spans="1:16" x14ac:dyDescent="0.3">
      <c r="A2483">
        <v>1479</v>
      </c>
      <c r="B2483">
        <v>47</v>
      </c>
      <c r="C2483" t="s">
        <v>15</v>
      </c>
      <c r="D2483" t="s">
        <v>29</v>
      </c>
      <c r="E2483" t="s">
        <v>17</v>
      </c>
      <c r="F2483" t="s">
        <v>18</v>
      </c>
      <c r="G2483" t="s">
        <v>42</v>
      </c>
      <c r="H2483" t="s">
        <v>25</v>
      </c>
      <c r="I2483" s="1">
        <v>1</v>
      </c>
      <c r="J2483" s="2">
        <v>45890</v>
      </c>
      <c r="K2483" s="2">
        <v>45870</v>
      </c>
      <c r="L2483" s="1" t="str">
        <f t="shared" si="269"/>
        <v>qui</v>
      </c>
      <c r="M2483" s="1" t="str">
        <f t="shared" si="270"/>
        <v>ago</v>
      </c>
      <c r="N2483">
        <f t="shared" si="271"/>
        <v>2025</v>
      </c>
      <c r="O2483" s="2"/>
      <c r="P2483" t="str">
        <f t="shared" si="265"/>
        <v>147945890</v>
      </c>
    </row>
    <row r="2484" spans="1:16" x14ac:dyDescent="0.3">
      <c r="A2484">
        <v>1479</v>
      </c>
      <c r="B2484">
        <v>47</v>
      </c>
      <c r="C2484" t="s">
        <v>15</v>
      </c>
      <c r="D2484" t="s">
        <v>29</v>
      </c>
      <c r="E2484" t="s">
        <v>17</v>
      </c>
      <c r="F2484" t="s">
        <v>18</v>
      </c>
      <c r="G2484" t="s">
        <v>41</v>
      </c>
      <c r="H2484" t="s">
        <v>25</v>
      </c>
      <c r="I2484" s="1">
        <v>1</v>
      </c>
      <c r="J2484" s="2">
        <v>45946</v>
      </c>
      <c r="K2484" s="2">
        <v>45931</v>
      </c>
      <c r="L2484" s="1" t="str">
        <f t="shared" si="269"/>
        <v>qui</v>
      </c>
      <c r="M2484" s="1" t="str">
        <f t="shared" si="270"/>
        <v>out</v>
      </c>
      <c r="N2484">
        <f t="shared" si="271"/>
        <v>2025</v>
      </c>
      <c r="O2484" s="2"/>
      <c r="P2484" t="str">
        <f t="shared" si="265"/>
        <v>147945946</v>
      </c>
    </row>
    <row r="2485" spans="1:16" x14ac:dyDescent="0.3">
      <c r="A2485">
        <v>1479</v>
      </c>
      <c r="B2485">
        <v>47</v>
      </c>
      <c r="C2485" t="s">
        <v>15</v>
      </c>
      <c r="D2485" t="s">
        <v>29</v>
      </c>
      <c r="E2485" t="s">
        <v>17</v>
      </c>
      <c r="F2485" t="s">
        <v>18</v>
      </c>
      <c r="G2485" t="s">
        <v>42</v>
      </c>
      <c r="H2485" t="s">
        <v>25</v>
      </c>
      <c r="I2485" s="1">
        <v>1</v>
      </c>
      <c r="J2485" s="2">
        <v>45973</v>
      </c>
      <c r="K2485" s="2">
        <v>45962</v>
      </c>
      <c r="L2485" s="1" t="str">
        <f t="shared" si="269"/>
        <v>qua</v>
      </c>
      <c r="M2485" s="1" t="str">
        <f t="shared" si="270"/>
        <v>nov</v>
      </c>
      <c r="N2485">
        <f t="shared" si="271"/>
        <v>2025</v>
      </c>
      <c r="O2485" s="2"/>
      <c r="P2485" t="str">
        <f t="shared" si="265"/>
        <v>147945973</v>
      </c>
    </row>
    <row r="2486" spans="1:16" x14ac:dyDescent="0.3">
      <c r="A2486">
        <v>1479</v>
      </c>
      <c r="B2486">
        <v>47</v>
      </c>
      <c r="C2486" t="s">
        <v>15</v>
      </c>
      <c r="D2486" t="s">
        <v>29</v>
      </c>
      <c r="E2486" t="s">
        <v>17</v>
      </c>
      <c r="F2486" t="s">
        <v>18</v>
      </c>
      <c r="G2486" t="s">
        <v>43</v>
      </c>
      <c r="H2486" t="s">
        <v>25</v>
      </c>
      <c r="I2486" s="1">
        <v>1</v>
      </c>
      <c r="J2486" s="2">
        <v>46195</v>
      </c>
      <c r="K2486" s="2">
        <v>46023</v>
      </c>
      <c r="L2486" s="1" t="str">
        <f t="shared" si="269"/>
        <v>seg</v>
      </c>
      <c r="M2486" s="1" t="str">
        <f t="shared" si="270"/>
        <v>jun</v>
      </c>
      <c r="N2486">
        <f t="shared" si="271"/>
        <v>2026</v>
      </c>
      <c r="O2486" s="2"/>
      <c r="P2486" t="str">
        <f t="shared" si="265"/>
        <v>147946195</v>
      </c>
    </row>
    <row r="2487" spans="1:16" x14ac:dyDescent="0.3">
      <c r="A2487">
        <v>1479</v>
      </c>
      <c r="B2487">
        <v>47</v>
      </c>
      <c r="C2487" t="s">
        <v>15</v>
      </c>
      <c r="D2487" t="s">
        <v>29</v>
      </c>
      <c r="E2487" t="s">
        <v>17</v>
      </c>
      <c r="F2487" t="s">
        <v>18</v>
      </c>
      <c r="G2487" t="s">
        <v>42</v>
      </c>
      <c r="H2487" t="s">
        <v>25</v>
      </c>
      <c r="I2487" s="1">
        <v>1</v>
      </c>
      <c r="J2487" s="2">
        <v>46064</v>
      </c>
      <c r="K2487" s="2">
        <v>46054</v>
      </c>
      <c r="L2487" s="1" t="str">
        <f t="shared" si="269"/>
        <v>qua</v>
      </c>
      <c r="M2487" s="1" t="str">
        <f t="shared" si="270"/>
        <v>fev</v>
      </c>
      <c r="N2487">
        <f t="shared" si="271"/>
        <v>2026</v>
      </c>
      <c r="O2487" s="2"/>
      <c r="P2487" t="str">
        <f t="shared" si="265"/>
        <v>147946064</v>
      </c>
    </row>
    <row r="2488" spans="1:16" x14ac:dyDescent="0.3">
      <c r="A2488">
        <v>1480</v>
      </c>
      <c r="B2488">
        <v>18</v>
      </c>
      <c r="C2488" t="s">
        <v>15</v>
      </c>
      <c r="D2488" t="s">
        <v>29</v>
      </c>
      <c r="E2488" t="s">
        <v>17</v>
      </c>
      <c r="F2488" t="s">
        <v>23</v>
      </c>
      <c r="G2488" t="s">
        <v>43</v>
      </c>
      <c r="H2488" t="s">
        <v>20</v>
      </c>
      <c r="I2488" s="1">
        <v>3</v>
      </c>
      <c r="J2488" s="2">
        <v>45802</v>
      </c>
      <c r="K2488" s="2">
        <v>45778</v>
      </c>
      <c r="L2488" s="1" t="str">
        <f t="shared" si="269"/>
        <v>dom</v>
      </c>
      <c r="M2488" s="1" t="str">
        <f t="shared" si="270"/>
        <v>mai</v>
      </c>
      <c r="N2488">
        <f t="shared" si="271"/>
        <v>2025</v>
      </c>
      <c r="O2488" s="2">
        <f>_xlfn.XLOOKUP(A2488,Colaboradores!$A:$A,Colaboradores!$S:$S,"",0)</f>
        <v>46195</v>
      </c>
      <c r="P2488" t="str">
        <f t="shared" si="265"/>
        <v>148045802</v>
      </c>
    </row>
    <row r="2489" spans="1:16" x14ac:dyDescent="0.3">
      <c r="A2489">
        <v>1480</v>
      </c>
      <c r="B2489">
        <v>18</v>
      </c>
      <c r="C2489" t="s">
        <v>15</v>
      </c>
      <c r="D2489" t="s">
        <v>29</v>
      </c>
      <c r="E2489" t="s">
        <v>17</v>
      </c>
      <c r="F2489" t="s">
        <v>23</v>
      </c>
      <c r="G2489" t="s">
        <v>43</v>
      </c>
      <c r="H2489" t="s">
        <v>20</v>
      </c>
      <c r="I2489" s="1">
        <v>3</v>
      </c>
      <c r="J2489" s="2">
        <v>45920</v>
      </c>
      <c r="K2489" s="2">
        <v>45901</v>
      </c>
      <c r="L2489" s="1" t="str">
        <f t="shared" si="269"/>
        <v>sáb</v>
      </c>
      <c r="M2489" s="1" t="str">
        <f t="shared" si="270"/>
        <v>set</v>
      </c>
      <c r="N2489">
        <f t="shared" si="271"/>
        <v>2025</v>
      </c>
      <c r="O2489" s="2">
        <f>_xlfn.XLOOKUP(A2489,Colaboradores!$A:$A,Colaboradores!$S:$S,"",0)</f>
        <v>46195</v>
      </c>
      <c r="P2489" t="str">
        <f t="shared" si="265"/>
        <v>148045920</v>
      </c>
    </row>
    <row r="2490" spans="1:16" x14ac:dyDescent="0.3">
      <c r="A2490">
        <v>1480</v>
      </c>
      <c r="B2490">
        <v>18</v>
      </c>
      <c r="C2490" t="s">
        <v>15</v>
      </c>
      <c r="D2490" t="s">
        <v>29</v>
      </c>
      <c r="E2490" t="s">
        <v>17</v>
      </c>
      <c r="F2490" t="s">
        <v>23</v>
      </c>
      <c r="G2490" t="s">
        <v>43</v>
      </c>
      <c r="H2490" t="s">
        <v>20</v>
      </c>
      <c r="I2490" s="1">
        <v>3</v>
      </c>
      <c r="J2490" s="2">
        <v>45921</v>
      </c>
      <c r="K2490" s="2">
        <v>45901</v>
      </c>
      <c r="L2490" s="1" t="str">
        <f t="shared" si="269"/>
        <v>dom</v>
      </c>
      <c r="M2490" s="1" t="str">
        <f t="shared" si="270"/>
        <v>set</v>
      </c>
      <c r="N2490">
        <f t="shared" si="271"/>
        <v>2025</v>
      </c>
      <c r="O2490" s="2">
        <f>_xlfn.XLOOKUP(A2490,Colaboradores!$A:$A,Colaboradores!$S:$S,"",0)</f>
        <v>46195</v>
      </c>
      <c r="P2490" t="str">
        <f t="shared" si="265"/>
        <v>148045921</v>
      </c>
    </row>
    <row r="2491" spans="1:16" x14ac:dyDescent="0.3">
      <c r="A2491">
        <v>1480</v>
      </c>
      <c r="B2491">
        <v>18</v>
      </c>
      <c r="C2491" t="s">
        <v>15</v>
      </c>
      <c r="D2491" t="s">
        <v>29</v>
      </c>
      <c r="E2491" t="s">
        <v>17</v>
      </c>
      <c r="F2491" t="s">
        <v>23</v>
      </c>
      <c r="G2491" t="s">
        <v>43</v>
      </c>
      <c r="H2491" t="s">
        <v>20</v>
      </c>
      <c r="I2491" s="1">
        <v>3</v>
      </c>
      <c r="J2491" s="2">
        <v>45956</v>
      </c>
      <c r="K2491" s="2">
        <v>45931</v>
      </c>
      <c r="L2491" s="1" t="str">
        <f t="shared" si="269"/>
        <v>dom</v>
      </c>
      <c r="M2491" s="1" t="str">
        <f t="shared" si="270"/>
        <v>out</v>
      </c>
      <c r="N2491">
        <f t="shared" si="271"/>
        <v>2025</v>
      </c>
      <c r="O2491" s="2">
        <f>_xlfn.XLOOKUP(A2491,Colaboradores!$A:$A,Colaboradores!$S:$S,"",0)</f>
        <v>46195</v>
      </c>
      <c r="P2491" t="str">
        <f t="shared" si="265"/>
        <v>148045956</v>
      </c>
    </row>
    <row r="2492" spans="1:16" x14ac:dyDescent="0.3">
      <c r="A2492">
        <v>1480</v>
      </c>
      <c r="B2492">
        <v>18</v>
      </c>
      <c r="C2492" t="s">
        <v>15</v>
      </c>
      <c r="D2492" t="s">
        <v>29</v>
      </c>
      <c r="E2492" t="s">
        <v>17</v>
      </c>
      <c r="F2492" t="s">
        <v>23</v>
      </c>
      <c r="G2492" t="s">
        <v>43</v>
      </c>
      <c r="H2492" t="s">
        <v>20</v>
      </c>
      <c r="I2492" s="1">
        <v>3</v>
      </c>
      <c r="J2492" s="2">
        <v>46203</v>
      </c>
      <c r="K2492" s="2">
        <v>46023</v>
      </c>
      <c r="L2492" s="1" t="str">
        <f t="shared" si="269"/>
        <v>ter</v>
      </c>
      <c r="M2492" s="1" t="str">
        <f t="shared" si="270"/>
        <v>jun</v>
      </c>
      <c r="N2492">
        <f t="shared" si="271"/>
        <v>2026</v>
      </c>
      <c r="O2492" s="2">
        <f>_xlfn.XLOOKUP(A2492,Colaboradores!$A:$A,Colaboradores!$S:$S,"",0)</f>
        <v>46195</v>
      </c>
      <c r="P2492" t="str">
        <f t="shared" si="265"/>
        <v>148046203</v>
      </c>
    </row>
    <row r="2493" spans="1:16" x14ac:dyDescent="0.3">
      <c r="A2493">
        <v>1480</v>
      </c>
      <c r="B2493">
        <v>18</v>
      </c>
      <c r="C2493" t="s">
        <v>15</v>
      </c>
      <c r="D2493" t="s">
        <v>29</v>
      </c>
      <c r="E2493" t="s">
        <v>17</v>
      </c>
      <c r="F2493" t="s">
        <v>23</v>
      </c>
      <c r="G2493" t="s">
        <v>43</v>
      </c>
      <c r="H2493" t="s">
        <v>20</v>
      </c>
      <c r="I2493" s="1">
        <v>3</v>
      </c>
      <c r="J2493" s="2">
        <v>46109</v>
      </c>
      <c r="K2493" s="2">
        <v>46082</v>
      </c>
      <c r="L2493" s="1" t="str">
        <f t="shared" si="269"/>
        <v>sáb</v>
      </c>
      <c r="M2493" s="1" t="str">
        <f t="shared" si="270"/>
        <v>mar</v>
      </c>
      <c r="N2493">
        <f t="shared" si="271"/>
        <v>2026</v>
      </c>
      <c r="O2493" s="2">
        <f>_xlfn.XLOOKUP(A2493,Colaboradores!$A:$A,Colaboradores!$S:$S,"",0)</f>
        <v>46195</v>
      </c>
      <c r="P2493" t="str">
        <f t="shared" si="265"/>
        <v>148046109</v>
      </c>
    </row>
    <row r="2494" spans="1:16" x14ac:dyDescent="0.3">
      <c r="A2494">
        <v>1482</v>
      </c>
      <c r="B2494">
        <v>52</v>
      </c>
      <c r="C2494" t="s">
        <v>15</v>
      </c>
      <c r="D2494" t="s">
        <v>27</v>
      </c>
      <c r="E2494" t="s">
        <v>17</v>
      </c>
      <c r="F2494" t="s">
        <v>18</v>
      </c>
      <c r="G2494" t="s">
        <v>41</v>
      </c>
      <c r="H2494" t="s">
        <v>25</v>
      </c>
      <c r="I2494" s="1">
        <v>2</v>
      </c>
      <c r="J2494" s="2">
        <v>45831</v>
      </c>
      <c r="K2494" s="2">
        <v>45809</v>
      </c>
      <c r="L2494" s="1" t="str">
        <f t="shared" si="269"/>
        <v>seg</v>
      </c>
      <c r="M2494" s="1" t="str">
        <f t="shared" si="270"/>
        <v>jun</v>
      </c>
      <c r="N2494">
        <f t="shared" si="271"/>
        <v>2025</v>
      </c>
      <c r="O2494" s="2"/>
      <c r="P2494" t="str">
        <f t="shared" si="265"/>
        <v>148245831</v>
      </c>
    </row>
    <row r="2495" spans="1:16" x14ac:dyDescent="0.3">
      <c r="A2495">
        <v>1482</v>
      </c>
      <c r="B2495">
        <v>52</v>
      </c>
      <c r="C2495" t="s">
        <v>15</v>
      </c>
      <c r="D2495" t="s">
        <v>27</v>
      </c>
      <c r="E2495" t="s">
        <v>17</v>
      </c>
      <c r="F2495" t="s">
        <v>18</v>
      </c>
      <c r="G2495" t="s">
        <v>41</v>
      </c>
      <c r="H2495" t="s">
        <v>25</v>
      </c>
      <c r="I2495" s="1">
        <v>2</v>
      </c>
      <c r="J2495" s="2">
        <v>45906</v>
      </c>
      <c r="K2495" s="2">
        <v>45901</v>
      </c>
      <c r="L2495" s="1" t="str">
        <f t="shared" si="269"/>
        <v>sáb</v>
      </c>
      <c r="M2495" s="1" t="str">
        <f t="shared" si="270"/>
        <v>set</v>
      </c>
      <c r="N2495">
        <f t="shared" si="271"/>
        <v>2025</v>
      </c>
      <c r="O2495" s="2"/>
      <c r="P2495" t="str">
        <f t="shared" si="265"/>
        <v>148245906</v>
      </c>
    </row>
    <row r="2496" spans="1:16" x14ac:dyDescent="0.3">
      <c r="A2496">
        <v>1482</v>
      </c>
      <c r="B2496">
        <v>52</v>
      </c>
      <c r="C2496" t="s">
        <v>15</v>
      </c>
      <c r="D2496" t="s">
        <v>27</v>
      </c>
      <c r="E2496" t="s">
        <v>17</v>
      </c>
      <c r="F2496" t="s">
        <v>18</v>
      </c>
      <c r="G2496" t="s">
        <v>41</v>
      </c>
      <c r="H2496" t="s">
        <v>25</v>
      </c>
      <c r="I2496" s="1">
        <v>2</v>
      </c>
      <c r="J2496" s="2">
        <v>45938</v>
      </c>
      <c r="K2496" s="2">
        <v>45931</v>
      </c>
      <c r="L2496" s="1" t="str">
        <f t="shared" si="269"/>
        <v>qua</v>
      </c>
      <c r="M2496" s="1" t="str">
        <f t="shared" si="270"/>
        <v>out</v>
      </c>
      <c r="N2496">
        <f t="shared" si="271"/>
        <v>2025</v>
      </c>
      <c r="O2496" s="2"/>
      <c r="P2496" t="str">
        <f t="shared" si="265"/>
        <v>148245938</v>
      </c>
    </row>
    <row r="2497" spans="1:16" x14ac:dyDescent="0.3">
      <c r="A2497">
        <v>1482</v>
      </c>
      <c r="B2497">
        <v>52</v>
      </c>
      <c r="C2497" t="s">
        <v>15</v>
      </c>
      <c r="D2497" t="s">
        <v>27</v>
      </c>
      <c r="E2497" t="s">
        <v>17</v>
      </c>
      <c r="F2497" t="s">
        <v>18</v>
      </c>
      <c r="G2497" t="s">
        <v>41</v>
      </c>
      <c r="H2497" t="s">
        <v>25</v>
      </c>
      <c r="I2497" s="1">
        <v>2</v>
      </c>
      <c r="J2497" s="2">
        <v>45971</v>
      </c>
      <c r="K2497" s="2">
        <v>45962</v>
      </c>
      <c r="L2497" s="1" t="str">
        <f t="shared" si="269"/>
        <v>seg</v>
      </c>
      <c r="M2497" s="1" t="str">
        <f t="shared" si="270"/>
        <v>nov</v>
      </c>
      <c r="N2497">
        <f t="shared" si="271"/>
        <v>2025</v>
      </c>
      <c r="O2497" s="2"/>
      <c r="P2497" t="str">
        <f t="shared" ref="P2497:P2557" si="272">CONCATENATE(A2497,J2497)</f>
        <v>148245971</v>
      </c>
    </row>
    <row r="2498" spans="1:16" x14ac:dyDescent="0.3">
      <c r="A2498">
        <v>1482</v>
      </c>
      <c r="B2498">
        <v>52</v>
      </c>
      <c r="C2498" t="s">
        <v>15</v>
      </c>
      <c r="D2498" t="s">
        <v>27</v>
      </c>
      <c r="E2498" t="s">
        <v>17</v>
      </c>
      <c r="F2498" t="s">
        <v>18</v>
      </c>
      <c r="G2498" t="s">
        <v>41</v>
      </c>
      <c r="H2498" t="s">
        <v>25</v>
      </c>
      <c r="I2498" s="1">
        <v>2</v>
      </c>
      <c r="J2498" s="2">
        <v>46006</v>
      </c>
      <c r="K2498" s="2">
        <v>45992</v>
      </c>
      <c r="L2498" s="1" t="str">
        <f t="shared" si="269"/>
        <v>seg</v>
      </c>
      <c r="M2498" s="1" t="str">
        <f t="shared" si="270"/>
        <v>dez</v>
      </c>
      <c r="N2498">
        <f t="shared" si="271"/>
        <v>2025</v>
      </c>
      <c r="O2498" s="2"/>
      <c r="P2498" t="str">
        <f t="shared" si="272"/>
        <v>148246006</v>
      </c>
    </row>
    <row r="2499" spans="1:16" x14ac:dyDescent="0.3">
      <c r="A2499">
        <v>1484</v>
      </c>
      <c r="B2499">
        <v>19</v>
      </c>
      <c r="C2499" t="s">
        <v>15</v>
      </c>
      <c r="D2499" t="s">
        <v>16</v>
      </c>
      <c r="E2499" t="s">
        <v>17</v>
      </c>
      <c r="F2499" t="s">
        <v>23</v>
      </c>
      <c r="G2499" t="s">
        <v>40</v>
      </c>
      <c r="H2499" t="s">
        <v>25</v>
      </c>
      <c r="I2499" s="1">
        <v>3</v>
      </c>
      <c r="J2499" s="2">
        <v>45776</v>
      </c>
      <c r="K2499" s="2">
        <v>45748</v>
      </c>
      <c r="L2499" s="1" t="str">
        <f t="shared" si="269"/>
        <v>ter</v>
      </c>
      <c r="M2499" s="1" t="str">
        <f t="shared" si="270"/>
        <v>abr</v>
      </c>
      <c r="N2499">
        <f t="shared" si="271"/>
        <v>2025</v>
      </c>
      <c r="O2499" s="2"/>
      <c r="P2499" t="str">
        <f t="shared" si="272"/>
        <v>148445776</v>
      </c>
    </row>
    <row r="2500" spans="1:16" x14ac:dyDescent="0.3">
      <c r="A2500">
        <v>1484</v>
      </c>
      <c r="B2500">
        <v>19</v>
      </c>
      <c r="C2500" t="s">
        <v>15</v>
      </c>
      <c r="D2500" t="s">
        <v>16</v>
      </c>
      <c r="E2500" t="s">
        <v>17</v>
      </c>
      <c r="F2500" t="s">
        <v>23</v>
      </c>
      <c r="G2500" t="s">
        <v>40</v>
      </c>
      <c r="H2500" t="s">
        <v>25</v>
      </c>
      <c r="I2500" s="1">
        <v>3</v>
      </c>
      <c r="J2500" s="2">
        <v>45783</v>
      </c>
      <c r="K2500" s="2">
        <v>45778</v>
      </c>
      <c r="L2500" s="1" t="str">
        <f t="shared" si="269"/>
        <v>ter</v>
      </c>
      <c r="M2500" s="1" t="str">
        <f t="shared" si="270"/>
        <v>mai</v>
      </c>
      <c r="N2500">
        <f t="shared" si="271"/>
        <v>2025</v>
      </c>
      <c r="O2500" s="2"/>
      <c r="P2500" t="str">
        <f t="shared" si="272"/>
        <v>148445783</v>
      </c>
    </row>
    <row r="2501" spans="1:16" x14ac:dyDescent="0.3">
      <c r="A2501">
        <v>1484</v>
      </c>
      <c r="B2501">
        <v>19</v>
      </c>
      <c r="C2501" t="s">
        <v>15</v>
      </c>
      <c r="D2501" t="s">
        <v>16</v>
      </c>
      <c r="E2501" t="s">
        <v>17</v>
      </c>
      <c r="F2501" t="s">
        <v>23</v>
      </c>
      <c r="G2501" t="s">
        <v>40</v>
      </c>
      <c r="H2501" t="s">
        <v>25</v>
      </c>
      <c r="I2501" s="1">
        <v>3</v>
      </c>
      <c r="J2501" s="2">
        <v>45865</v>
      </c>
      <c r="K2501" s="2">
        <v>45839</v>
      </c>
      <c r="L2501" s="1" t="str">
        <f t="shared" si="269"/>
        <v>dom</v>
      </c>
      <c r="M2501" s="1" t="str">
        <f t="shared" si="270"/>
        <v>jul</v>
      </c>
      <c r="N2501">
        <f t="shared" si="271"/>
        <v>2025</v>
      </c>
      <c r="O2501" s="2"/>
      <c r="P2501" t="str">
        <f t="shared" si="272"/>
        <v>148445865</v>
      </c>
    </row>
    <row r="2502" spans="1:16" x14ac:dyDescent="0.3">
      <c r="A2502">
        <v>1484</v>
      </c>
      <c r="B2502">
        <v>19</v>
      </c>
      <c r="C2502" t="s">
        <v>15</v>
      </c>
      <c r="D2502" t="s">
        <v>16</v>
      </c>
      <c r="E2502" t="s">
        <v>17</v>
      </c>
      <c r="F2502" t="s">
        <v>23</v>
      </c>
      <c r="G2502" t="s">
        <v>40</v>
      </c>
      <c r="H2502" t="s">
        <v>25</v>
      </c>
      <c r="I2502" s="1">
        <v>3</v>
      </c>
      <c r="J2502" s="2">
        <v>45893</v>
      </c>
      <c r="K2502" s="2">
        <v>45870</v>
      </c>
      <c r="L2502" s="1" t="str">
        <f t="shared" si="269"/>
        <v>dom</v>
      </c>
      <c r="M2502" s="1" t="str">
        <f t="shared" si="270"/>
        <v>ago</v>
      </c>
      <c r="N2502">
        <f t="shared" si="271"/>
        <v>2025</v>
      </c>
      <c r="O2502" s="2"/>
      <c r="P2502" t="str">
        <f t="shared" si="272"/>
        <v>148445893</v>
      </c>
    </row>
    <row r="2503" spans="1:16" x14ac:dyDescent="0.3">
      <c r="A2503">
        <v>1484</v>
      </c>
      <c r="B2503">
        <v>19</v>
      </c>
      <c r="C2503" t="s">
        <v>15</v>
      </c>
      <c r="D2503" t="s">
        <v>16</v>
      </c>
      <c r="E2503" t="s">
        <v>17</v>
      </c>
      <c r="F2503" t="s">
        <v>23</v>
      </c>
      <c r="G2503" t="s">
        <v>40</v>
      </c>
      <c r="H2503" t="s">
        <v>25</v>
      </c>
      <c r="I2503" s="1">
        <v>3</v>
      </c>
      <c r="J2503" s="2">
        <v>45983</v>
      </c>
      <c r="K2503" s="2">
        <v>45962</v>
      </c>
      <c r="L2503" s="1" t="str">
        <f t="shared" si="269"/>
        <v>sáb</v>
      </c>
      <c r="M2503" s="1" t="str">
        <f t="shared" si="270"/>
        <v>nov</v>
      </c>
      <c r="N2503">
        <f t="shared" si="271"/>
        <v>2025</v>
      </c>
      <c r="O2503" s="2"/>
      <c r="P2503" t="str">
        <f t="shared" si="272"/>
        <v>148445983</v>
      </c>
    </row>
    <row r="2504" spans="1:16" x14ac:dyDescent="0.3">
      <c r="A2504">
        <v>1484</v>
      </c>
      <c r="B2504">
        <v>19</v>
      </c>
      <c r="C2504" t="s">
        <v>15</v>
      </c>
      <c r="D2504" t="s">
        <v>16</v>
      </c>
      <c r="E2504" t="s">
        <v>17</v>
      </c>
      <c r="F2504" t="s">
        <v>23</v>
      </c>
      <c r="G2504" t="s">
        <v>40</v>
      </c>
      <c r="H2504" t="s">
        <v>25</v>
      </c>
      <c r="I2504" s="1">
        <v>3</v>
      </c>
      <c r="J2504" s="2">
        <v>46185</v>
      </c>
      <c r="K2504" s="2">
        <v>46023</v>
      </c>
      <c r="L2504" s="1" t="str">
        <f t="shared" si="269"/>
        <v>sex</v>
      </c>
      <c r="M2504" s="1" t="str">
        <f t="shared" si="270"/>
        <v>jun</v>
      </c>
      <c r="N2504">
        <f t="shared" si="271"/>
        <v>2026</v>
      </c>
      <c r="O2504" s="2"/>
      <c r="P2504" t="str">
        <f t="shared" si="272"/>
        <v>148446185</v>
      </c>
    </row>
    <row r="2505" spans="1:16" x14ac:dyDescent="0.3">
      <c r="A2505">
        <v>1484</v>
      </c>
      <c r="B2505">
        <v>19</v>
      </c>
      <c r="C2505" t="s">
        <v>15</v>
      </c>
      <c r="D2505" t="s">
        <v>16</v>
      </c>
      <c r="E2505" t="s">
        <v>17</v>
      </c>
      <c r="F2505" t="s">
        <v>23</v>
      </c>
      <c r="G2505" t="s">
        <v>40</v>
      </c>
      <c r="H2505" t="s">
        <v>25</v>
      </c>
      <c r="I2505" s="1">
        <v>3</v>
      </c>
      <c r="J2505" s="2">
        <v>46141</v>
      </c>
      <c r="K2505" s="2">
        <v>46113</v>
      </c>
      <c r="L2505" s="1" t="s">
        <v>50</v>
      </c>
      <c r="M2505" s="1" t="s">
        <v>48</v>
      </c>
      <c r="N2505">
        <v>2025</v>
      </c>
      <c r="O2505" s="2"/>
      <c r="P2505" t="str">
        <f t="shared" si="272"/>
        <v>148446141</v>
      </c>
    </row>
    <row r="2506" spans="1:16" x14ac:dyDescent="0.3">
      <c r="A2506">
        <v>1484</v>
      </c>
      <c r="B2506">
        <v>19</v>
      </c>
      <c r="C2506" t="s">
        <v>15</v>
      </c>
      <c r="D2506" t="s">
        <v>16</v>
      </c>
      <c r="E2506" t="s">
        <v>17</v>
      </c>
      <c r="F2506" t="s">
        <v>23</v>
      </c>
      <c r="G2506" t="s">
        <v>40</v>
      </c>
      <c r="H2506" t="s">
        <v>25</v>
      </c>
      <c r="I2506" s="1">
        <v>3</v>
      </c>
      <c r="J2506" s="2">
        <v>46148</v>
      </c>
      <c r="K2506" s="2">
        <v>46143</v>
      </c>
      <c r="L2506" s="1" t="s">
        <v>50</v>
      </c>
      <c r="M2506" s="1" t="s">
        <v>49</v>
      </c>
      <c r="N2506">
        <v>2025</v>
      </c>
      <c r="O2506" s="2"/>
      <c r="P2506" t="str">
        <f t="shared" si="272"/>
        <v>148446148</v>
      </c>
    </row>
    <row r="2507" spans="1:16" x14ac:dyDescent="0.3">
      <c r="A2507">
        <v>1486</v>
      </c>
      <c r="B2507">
        <v>27</v>
      </c>
      <c r="C2507" t="s">
        <v>15</v>
      </c>
      <c r="D2507" t="s">
        <v>29</v>
      </c>
      <c r="E2507" t="s">
        <v>17</v>
      </c>
      <c r="F2507" t="s">
        <v>18</v>
      </c>
      <c r="G2507" t="s">
        <v>41</v>
      </c>
      <c r="H2507" t="s">
        <v>25</v>
      </c>
      <c r="I2507" s="1">
        <v>3</v>
      </c>
      <c r="J2507" s="2">
        <v>45844</v>
      </c>
      <c r="K2507" s="2">
        <v>45839</v>
      </c>
      <c r="L2507" s="1" t="str">
        <f t="shared" ref="L2507:L2513" si="273">TEXT(J2507,"ddd")</f>
        <v>dom</v>
      </c>
      <c r="M2507" s="1" t="str">
        <f t="shared" ref="M2507:M2513" si="274">TEXT($J2507,"mmm")</f>
        <v>jul</v>
      </c>
      <c r="N2507">
        <f t="shared" ref="N2507:N2513" si="275">YEAR(J2507)</f>
        <v>2025</v>
      </c>
      <c r="O2507" s="2"/>
      <c r="P2507" t="str">
        <f t="shared" si="272"/>
        <v>148645844</v>
      </c>
    </row>
    <row r="2508" spans="1:16" x14ac:dyDescent="0.3">
      <c r="A2508">
        <v>1486</v>
      </c>
      <c r="B2508">
        <v>27</v>
      </c>
      <c r="C2508" t="s">
        <v>15</v>
      </c>
      <c r="D2508" t="s">
        <v>29</v>
      </c>
      <c r="E2508" t="s">
        <v>17</v>
      </c>
      <c r="F2508" t="s">
        <v>18</v>
      </c>
      <c r="G2508" t="s">
        <v>41</v>
      </c>
      <c r="H2508" t="s">
        <v>25</v>
      </c>
      <c r="I2508" s="1">
        <v>3</v>
      </c>
      <c r="J2508" s="2">
        <v>45854</v>
      </c>
      <c r="K2508" s="2">
        <v>45839</v>
      </c>
      <c r="L2508" s="1" t="str">
        <f t="shared" si="273"/>
        <v>qua</v>
      </c>
      <c r="M2508" s="1" t="str">
        <f t="shared" si="274"/>
        <v>jul</v>
      </c>
      <c r="N2508">
        <f t="shared" si="275"/>
        <v>2025</v>
      </c>
      <c r="O2508" s="2"/>
      <c r="P2508" t="str">
        <f t="shared" si="272"/>
        <v>148645854</v>
      </c>
    </row>
    <row r="2509" spans="1:16" x14ac:dyDescent="0.3">
      <c r="A2509">
        <v>1486</v>
      </c>
      <c r="B2509">
        <v>27</v>
      </c>
      <c r="C2509" t="s">
        <v>15</v>
      </c>
      <c r="D2509" t="s">
        <v>29</v>
      </c>
      <c r="E2509" t="s">
        <v>17</v>
      </c>
      <c r="F2509" t="s">
        <v>18</v>
      </c>
      <c r="G2509" t="s">
        <v>41</v>
      </c>
      <c r="H2509" t="s">
        <v>25</v>
      </c>
      <c r="I2509" s="1">
        <v>3</v>
      </c>
      <c r="J2509" s="2">
        <v>45999</v>
      </c>
      <c r="K2509" s="2">
        <v>45992</v>
      </c>
      <c r="L2509" s="1" t="str">
        <f t="shared" si="273"/>
        <v>seg</v>
      </c>
      <c r="M2509" s="1" t="str">
        <f t="shared" si="274"/>
        <v>dez</v>
      </c>
      <c r="N2509">
        <f t="shared" si="275"/>
        <v>2025</v>
      </c>
      <c r="O2509" s="2"/>
      <c r="P2509" t="str">
        <f t="shared" si="272"/>
        <v>148645999</v>
      </c>
    </row>
    <row r="2510" spans="1:16" x14ac:dyDescent="0.3">
      <c r="A2510">
        <v>1486</v>
      </c>
      <c r="B2510">
        <v>27</v>
      </c>
      <c r="C2510" t="s">
        <v>15</v>
      </c>
      <c r="D2510" t="s">
        <v>29</v>
      </c>
      <c r="E2510" t="s">
        <v>17</v>
      </c>
      <c r="F2510" t="s">
        <v>18</v>
      </c>
      <c r="G2510" t="s">
        <v>41</v>
      </c>
      <c r="H2510" t="s">
        <v>25</v>
      </c>
      <c r="I2510" s="1">
        <v>3</v>
      </c>
      <c r="J2510" s="2">
        <v>46063</v>
      </c>
      <c r="K2510" s="2">
        <v>46054</v>
      </c>
      <c r="L2510" s="1" t="str">
        <f t="shared" si="273"/>
        <v>ter</v>
      </c>
      <c r="M2510" s="1" t="str">
        <f t="shared" si="274"/>
        <v>fev</v>
      </c>
      <c r="N2510">
        <f t="shared" si="275"/>
        <v>2026</v>
      </c>
      <c r="O2510" s="2"/>
      <c r="P2510" t="str">
        <f t="shared" si="272"/>
        <v>148646063</v>
      </c>
    </row>
    <row r="2511" spans="1:16" x14ac:dyDescent="0.3">
      <c r="A2511">
        <v>1486</v>
      </c>
      <c r="B2511">
        <v>27</v>
      </c>
      <c r="C2511" t="s">
        <v>15</v>
      </c>
      <c r="D2511" t="s">
        <v>29</v>
      </c>
      <c r="E2511" t="s">
        <v>17</v>
      </c>
      <c r="F2511" t="s">
        <v>18</v>
      </c>
      <c r="G2511" t="s">
        <v>41</v>
      </c>
      <c r="H2511" t="s">
        <v>25</v>
      </c>
      <c r="I2511" s="1">
        <v>3</v>
      </c>
      <c r="J2511" s="2">
        <v>46080</v>
      </c>
      <c r="K2511" s="2">
        <v>46054</v>
      </c>
      <c r="L2511" s="1" t="str">
        <f t="shared" si="273"/>
        <v>sex</v>
      </c>
      <c r="M2511" s="1" t="str">
        <f t="shared" si="274"/>
        <v>fev</v>
      </c>
      <c r="N2511">
        <f t="shared" si="275"/>
        <v>2026</v>
      </c>
      <c r="O2511" s="2"/>
      <c r="P2511" t="str">
        <f t="shared" si="272"/>
        <v>148646080</v>
      </c>
    </row>
    <row r="2512" spans="1:16" x14ac:dyDescent="0.3">
      <c r="A2512">
        <v>1487</v>
      </c>
      <c r="B2512">
        <v>21</v>
      </c>
      <c r="C2512" t="s">
        <v>26</v>
      </c>
      <c r="D2512" t="s">
        <v>31</v>
      </c>
      <c r="E2512" t="s">
        <v>34</v>
      </c>
      <c r="F2512" t="s">
        <v>21</v>
      </c>
      <c r="G2512" t="s">
        <v>41</v>
      </c>
      <c r="H2512" t="s">
        <v>25</v>
      </c>
      <c r="I2512" s="1">
        <v>1</v>
      </c>
      <c r="J2512" s="2">
        <v>45923</v>
      </c>
      <c r="K2512" s="2">
        <v>45901</v>
      </c>
      <c r="L2512" s="1" t="str">
        <f t="shared" si="273"/>
        <v>ter</v>
      </c>
      <c r="M2512" s="1" t="str">
        <f t="shared" si="274"/>
        <v>set</v>
      </c>
      <c r="N2512">
        <f t="shared" si="275"/>
        <v>2025</v>
      </c>
      <c r="O2512" s="2"/>
      <c r="P2512" t="str">
        <f t="shared" si="272"/>
        <v>148745923</v>
      </c>
    </row>
    <row r="2513" spans="1:16" x14ac:dyDescent="0.3">
      <c r="A2513">
        <v>1487</v>
      </c>
      <c r="B2513">
        <v>21</v>
      </c>
      <c r="C2513" t="s">
        <v>26</v>
      </c>
      <c r="D2513" t="s">
        <v>31</v>
      </c>
      <c r="E2513" t="s">
        <v>34</v>
      </c>
      <c r="F2513" t="s">
        <v>21</v>
      </c>
      <c r="G2513" t="s">
        <v>41</v>
      </c>
      <c r="H2513" t="s">
        <v>25</v>
      </c>
      <c r="I2513" s="1">
        <v>1</v>
      </c>
      <c r="J2513" s="2">
        <v>45988</v>
      </c>
      <c r="K2513" s="2">
        <v>45962</v>
      </c>
      <c r="L2513" s="1" t="str">
        <f t="shared" si="273"/>
        <v>qui</v>
      </c>
      <c r="M2513" s="1" t="str">
        <f t="shared" si="274"/>
        <v>nov</v>
      </c>
      <c r="N2513">
        <f t="shared" si="275"/>
        <v>2025</v>
      </c>
      <c r="O2513" s="2"/>
      <c r="P2513" t="str">
        <f t="shared" si="272"/>
        <v>148745988</v>
      </c>
    </row>
    <row r="2514" spans="1:16" x14ac:dyDescent="0.3">
      <c r="A2514">
        <v>1487</v>
      </c>
      <c r="B2514">
        <v>21</v>
      </c>
      <c r="C2514" t="s">
        <v>26</v>
      </c>
      <c r="D2514" t="s">
        <v>31</v>
      </c>
      <c r="E2514" t="s">
        <v>34</v>
      </c>
      <c r="F2514" t="s">
        <v>21</v>
      </c>
      <c r="G2514" t="s">
        <v>40</v>
      </c>
      <c r="H2514" t="s">
        <v>25</v>
      </c>
      <c r="I2514" s="1">
        <v>1</v>
      </c>
      <c r="J2514" s="2">
        <v>46145</v>
      </c>
      <c r="K2514" s="2">
        <v>46143</v>
      </c>
      <c r="L2514" s="1" t="s">
        <v>54</v>
      </c>
      <c r="M2514" s="1" t="s">
        <v>49</v>
      </c>
      <c r="N2514">
        <v>2025</v>
      </c>
      <c r="O2514" s="2"/>
      <c r="P2514" t="str">
        <f t="shared" si="272"/>
        <v>148746145</v>
      </c>
    </row>
    <row r="2515" spans="1:16" x14ac:dyDescent="0.3">
      <c r="A2515">
        <v>1488</v>
      </c>
      <c r="B2515">
        <v>32</v>
      </c>
      <c r="C2515" t="s">
        <v>26</v>
      </c>
      <c r="D2515" t="s">
        <v>22</v>
      </c>
      <c r="E2515" t="s">
        <v>17</v>
      </c>
      <c r="F2515" t="s">
        <v>23</v>
      </c>
      <c r="G2515" t="s">
        <v>40</v>
      </c>
      <c r="H2515" t="s">
        <v>25</v>
      </c>
      <c r="I2515" s="1">
        <v>3</v>
      </c>
      <c r="J2515" s="2">
        <v>45873</v>
      </c>
      <c r="K2515" s="2">
        <v>45870</v>
      </c>
      <c r="L2515" s="1" t="str">
        <f t="shared" ref="L2515:L2543" si="276">TEXT(J2515,"ddd")</f>
        <v>seg</v>
      </c>
      <c r="M2515" s="1" t="str">
        <f t="shared" ref="M2515:M2543" si="277">TEXT($J2515,"mmm")</f>
        <v>ago</v>
      </c>
      <c r="N2515">
        <f t="shared" ref="N2515:N2543" si="278">YEAR(J2515)</f>
        <v>2025</v>
      </c>
      <c r="O2515" s="2"/>
      <c r="P2515" t="str">
        <f t="shared" si="272"/>
        <v>148845873</v>
      </c>
    </row>
    <row r="2516" spans="1:16" x14ac:dyDescent="0.3">
      <c r="A2516">
        <v>1488</v>
      </c>
      <c r="B2516">
        <v>32</v>
      </c>
      <c r="C2516" t="s">
        <v>26</v>
      </c>
      <c r="D2516" t="s">
        <v>22</v>
      </c>
      <c r="E2516" t="s">
        <v>17</v>
      </c>
      <c r="F2516" t="s">
        <v>23</v>
      </c>
      <c r="G2516" t="s">
        <v>40</v>
      </c>
      <c r="H2516" t="s">
        <v>25</v>
      </c>
      <c r="I2516" s="1">
        <v>3</v>
      </c>
      <c r="J2516" s="2">
        <v>45882</v>
      </c>
      <c r="K2516" s="2">
        <v>45870</v>
      </c>
      <c r="L2516" s="1" t="str">
        <f t="shared" si="276"/>
        <v>qua</v>
      </c>
      <c r="M2516" s="1" t="str">
        <f t="shared" si="277"/>
        <v>ago</v>
      </c>
      <c r="N2516">
        <f t="shared" si="278"/>
        <v>2025</v>
      </c>
      <c r="O2516" s="2"/>
      <c r="P2516" t="str">
        <f t="shared" si="272"/>
        <v>148845882</v>
      </c>
    </row>
    <row r="2517" spans="1:16" x14ac:dyDescent="0.3">
      <c r="A2517">
        <v>1488</v>
      </c>
      <c r="B2517">
        <v>32</v>
      </c>
      <c r="C2517" t="s">
        <v>26</v>
      </c>
      <c r="D2517" t="s">
        <v>22</v>
      </c>
      <c r="E2517" t="s">
        <v>17</v>
      </c>
      <c r="F2517" t="s">
        <v>23</v>
      </c>
      <c r="G2517" t="s">
        <v>40</v>
      </c>
      <c r="H2517" t="s">
        <v>25</v>
      </c>
      <c r="I2517" s="1">
        <v>3</v>
      </c>
      <c r="J2517" s="2">
        <v>45903</v>
      </c>
      <c r="K2517" s="2">
        <v>45901</v>
      </c>
      <c r="L2517" s="1" t="str">
        <f t="shared" si="276"/>
        <v>qua</v>
      </c>
      <c r="M2517" s="1" t="str">
        <f t="shared" si="277"/>
        <v>set</v>
      </c>
      <c r="N2517">
        <f t="shared" si="278"/>
        <v>2025</v>
      </c>
      <c r="O2517" s="2"/>
      <c r="P2517" t="str">
        <f t="shared" si="272"/>
        <v>148845903</v>
      </c>
    </row>
    <row r="2518" spans="1:16" x14ac:dyDescent="0.3">
      <c r="A2518">
        <v>1488</v>
      </c>
      <c r="B2518">
        <v>32</v>
      </c>
      <c r="C2518" t="s">
        <v>26</v>
      </c>
      <c r="D2518" t="s">
        <v>22</v>
      </c>
      <c r="E2518" t="s">
        <v>17</v>
      </c>
      <c r="F2518" t="s">
        <v>23</v>
      </c>
      <c r="G2518" t="s">
        <v>40</v>
      </c>
      <c r="H2518" t="s">
        <v>25</v>
      </c>
      <c r="I2518" s="1">
        <v>3</v>
      </c>
      <c r="J2518" s="2">
        <v>45946</v>
      </c>
      <c r="K2518" s="2">
        <v>45931</v>
      </c>
      <c r="L2518" s="1" t="str">
        <f t="shared" si="276"/>
        <v>qui</v>
      </c>
      <c r="M2518" s="1" t="str">
        <f t="shared" si="277"/>
        <v>out</v>
      </c>
      <c r="N2518">
        <f t="shared" si="278"/>
        <v>2025</v>
      </c>
      <c r="O2518" s="2"/>
      <c r="P2518" t="str">
        <f t="shared" si="272"/>
        <v>148845946</v>
      </c>
    </row>
    <row r="2519" spans="1:16" x14ac:dyDescent="0.3">
      <c r="A2519">
        <v>1488</v>
      </c>
      <c r="B2519">
        <v>32</v>
      </c>
      <c r="C2519" t="s">
        <v>26</v>
      </c>
      <c r="D2519" t="s">
        <v>22</v>
      </c>
      <c r="E2519" t="s">
        <v>17</v>
      </c>
      <c r="F2519" t="s">
        <v>23</v>
      </c>
      <c r="G2519" t="s">
        <v>40</v>
      </c>
      <c r="H2519" t="s">
        <v>25</v>
      </c>
      <c r="I2519" s="1">
        <v>3</v>
      </c>
      <c r="J2519" s="2">
        <v>45992</v>
      </c>
      <c r="K2519" s="2">
        <v>45992</v>
      </c>
      <c r="L2519" s="1" t="str">
        <f t="shared" si="276"/>
        <v>seg</v>
      </c>
      <c r="M2519" s="1" t="str">
        <f t="shared" si="277"/>
        <v>dez</v>
      </c>
      <c r="N2519">
        <f t="shared" si="278"/>
        <v>2025</v>
      </c>
      <c r="O2519" s="2"/>
      <c r="P2519" t="str">
        <f t="shared" si="272"/>
        <v>148845992</v>
      </c>
    </row>
    <row r="2520" spans="1:16" x14ac:dyDescent="0.3">
      <c r="A2520">
        <v>1488</v>
      </c>
      <c r="B2520">
        <v>32</v>
      </c>
      <c r="C2520" t="s">
        <v>26</v>
      </c>
      <c r="D2520" t="s">
        <v>22</v>
      </c>
      <c r="E2520" t="s">
        <v>17</v>
      </c>
      <c r="F2520" t="s">
        <v>23</v>
      </c>
      <c r="G2520" t="s">
        <v>40</v>
      </c>
      <c r="H2520" t="s">
        <v>25</v>
      </c>
      <c r="I2520" s="1">
        <v>3</v>
      </c>
      <c r="J2520" s="2">
        <v>46181</v>
      </c>
      <c r="K2520" s="2">
        <v>46023</v>
      </c>
      <c r="L2520" s="1" t="str">
        <f t="shared" si="276"/>
        <v>seg</v>
      </c>
      <c r="M2520" s="1" t="str">
        <f t="shared" si="277"/>
        <v>jun</v>
      </c>
      <c r="N2520">
        <f t="shared" si="278"/>
        <v>2026</v>
      </c>
      <c r="O2520" s="2"/>
      <c r="P2520" t="str">
        <f t="shared" si="272"/>
        <v>148846181</v>
      </c>
    </row>
    <row r="2521" spans="1:16" x14ac:dyDescent="0.3">
      <c r="A2521">
        <v>1490</v>
      </c>
      <c r="B2521">
        <v>56</v>
      </c>
      <c r="C2521" t="s">
        <v>15</v>
      </c>
      <c r="D2521" t="s">
        <v>22</v>
      </c>
      <c r="E2521" t="s">
        <v>17</v>
      </c>
      <c r="F2521" t="s">
        <v>23</v>
      </c>
      <c r="G2521" t="s">
        <v>57</v>
      </c>
      <c r="H2521" t="s">
        <v>20</v>
      </c>
      <c r="I2521" s="1">
        <v>3</v>
      </c>
      <c r="J2521" s="2">
        <v>45700</v>
      </c>
      <c r="K2521" s="2">
        <v>45689</v>
      </c>
      <c r="L2521" s="1" t="str">
        <f t="shared" si="276"/>
        <v>qua</v>
      </c>
      <c r="M2521" s="1" t="str">
        <f t="shared" si="277"/>
        <v>fev</v>
      </c>
      <c r="N2521">
        <f t="shared" si="278"/>
        <v>2025</v>
      </c>
      <c r="O2521" s="2">
        <f>_xlfn.XLOOKUP(A2521,Colaboradores!$A:$A,Colaboradores!$S:$S,"",0)</f>
        <v>45753</v>
      </c>
      <c r="P2521" t="str">
        <f t="shared" si="272"/>
        <v>149045700</v>
      </c>
    </row>
    <row r="2522" spans="1:16" x14ac:dyDescent="0.3">
      <c r="A2522">
        <v>1490</v>
      </c>
      <c r="B2522">
        <v>56</v>
      </c>
      <c r="C2522" t="s">
        <v>15</v>
      </c>
      <c r="D2522" t="s">
        <v>22</v>
      </c>
      <c r="E2522" t="s">
        <v>17</v>
      </c>
      <c r="F2522" t="s">
        <v>23</v>
      </c>
      <c r="G2522" t="s">
        <v>57</v>
      </c>
      <c r="H2522" t="s">
        <v>20</v>
      </c>
      <c r="I2522" s="1">
        <v>3</v>
      </c>
      <c r="J2522" s="2">
        <v>45733</v>
      </c>
      <c r="K2522" s="2">
        <v>45717</v>
      </c>
      <c r="L2522" s="1" t="str">
        <f t="shared" si="276"/>
        <v>seg</v>
      </c>
      <c r="M2522" s="1" t="str">
        <f t="shared" si="277"/>
        <v>mar</v>
      </c>
      <c r="N2522">
        <f t="shared" si="278"/>
        <v>2025</v>
      </c>
      <c r="O2522" s="2">
        <f>_xlfn.XLOOKUP(A2522,Colaboradores!$A:$A,Colaboradores!$S:$S,"",0)</f>
        <v>45753</v>
      </c>
      <c r="P2522" t="str">
        <f t="shared" si="272"/>
        <v>149045733</v>
      </c>
    </row>
    <row r="2523" spans="1:16" x14ac:dyDescent="0.3">
      <c r="A2523">
        <v>1490</v>
      </c>
      <c r="B2523">
        <v>56</v>
      </c>
      <c r="C2523" t="s">
        <v>15</v>
      </c>
      <c r="D2523" t="s">
        <v>22</v>
      </c>
      <c r="E2523" t="s">
        <v>17</v>
      </c>
      <c r="F2523" t="s">
        <v>23</v>
      </c>
      <c r="G2523" t="s">
        <v>41</v>
      </c>
      <c r="H2523" t="s">
        <v>20</v>
      </c>
      <c r="I2523" s="1">
        <v>3</v>
      </c>
      <c r="J2523" s="2">
        <v>45749</v>
      </c>
      <c r="K2523" s="2">
        <v>45748</v>
      </c>
      <c r="L2523" s="1" t="str">
        <f t="shared" si="276"/>
        <v>qua</v>
      </c>
      <c r="M2523" s="1" t="str">
        <f t="shared" si="277"/>
        <v>abr</v>
      </c>
      <c r="N2523">
        <f t="shared" si="278"/>
        <v>2025</v>
      </c>
      <c r="O2523" s="2">
        <f>_xlfn.XLOOKUP(A2523,Colaboradores!$A:$A,Colaboradores!$S:$S,"",0)</f>
        <v>45753</v>
      </c>
      <c r="P2523" t="str">
        <f t="shared" si="272"/>
        <v>149045749</v>
      </c>
    </row>
    <row r="2524" spans="1:16" x14ac:dyDescent="0.3">
      <c r="A2524">
        <v>1490</v>
      </c>
      <c r="B2524">
        <v>56</v>
      </c>
      <c r="C2524" t="s">
        <v>15</v>
      </c>
      <c r="D2524" t="s">
        <v>22</v>
      </c>
      <c r="E2524" t="s">
        <v>17</v>
      </c>
      <c r="F2524" t="s">
        <v>23</v>
      </c>
      <c r="G2524" t="s">
        <v>57</v>
      </c>
      <c r="H2524" t="s">
        <v>20</v>
      </c>
      <c r="I2524" s="1">
        <v>3</v>
      </c>
      <c r="J2524" s="2">
        <v>45750</v>
      </c>
      <c r="K2524" s="2">
        <v>45748</v>
      </c>
      <c r="L2524" s="1" t="str">
        <f t="shared" si="276"/>
        <v>qui</v>
      </c>
      <c r="M2524" s="1" t="str">
        <f t="shared" si="277"/>
        <v>abr</v>
      </c>
      <c r="N2524">
        <f t="shared" si="278"/>
        <v>2025</v>
      </c>
      <c r="O2524" s="2">
        <f>_xlfn.XLOOKUP(A2524,Colaboradores!$A:$A,Colaboradores!$S:$S,"",0)</f>
        <v>45753</v>
      </c>
      <c r="P2524" t="str">
        <f t="shared" si="272"/>
        <v>149045750</v>
      </c>
    </row>
    <row r="2525" spans="1:16" x14ac:dyDescent="0.3">
      <c r="A2525">
        <v>1490</v>
      </c>
      <c r="B2525">
        <v>56</v>
      </c>
      <c r="C2525" t="s">
        <v>15</v>
      </c>
      <c r="D2525" t="s">
        <v>22</v>
      </c>
      <c r="E2525" t="s">
        <v>17</v>
      </c>
      <c r="F2525" t="s">
        <v>23</v>
      </c>
      <c r="G2525" t="s">
        <v>57</v>
      </c>
      <c r="H2525" t="s">
        <v>20</v>
      </c>
      <c r="I2525" s="1">
        <v>3</v>
      </c>
      <c r="J2525" s="2">
        <v>45751</v>
      </c>
      <c r="K2525" s="2">
        <v>45748</v>
      </c>
      <c r="L2525" s="1" t="str">
        <f t="shared" si="276"/>
        <v>sex</v>
      </c>
      <c r="M2525" s="1" t="str">
        <f t="shared" si="277"/>
        <v>abr</v>
      </c>
      <c r="N2525">
        <f t="shared" si="278"/>
        <v>2025</v>
      </c>
      <c r="O2525" s="2">
        <f>_xlfn.XLOOKUP(A2525,Colaboradores!$A:$A,Colaboradores!$S:$S,"",0)</f>
        <v>45753</v>
      </c>
      <c r="P2525" t="str">
        <f t="shared" si="272"/>
        <v>149045751</v>
      </c>
    </row>
    <row r="2526" spans="1:16" x14ac:dyDescent="0.3">
      <c r="A2526">
        <v>1490</v>
      </c>
      <c r="B2526">
        <v>56</v>
      </c>
      <c r="C2526" t="s">
        <v>15</v>
      </c>
      <c r="D2526" t="s">
        <v>22</v>
      </c>
      <c r="E2526" t="s">
        <v>17</v>
      </c>
      <c r="F2526" t="s">
        <v>23</v>
      </c>
      <c r="G2526" t="s">
        <v>41</v>
      </c>
      <c r="H2526" t="s">
        <v>20</v>
      </c>
      <c r="I2526" s="1">
        <v>3</v>
      </c>
      <c r="J2526" s="2">
        <v>45752</v>
      </c>
      <c r="K2526" s="2">
        <v>45748</v>
      </c>
      <c r="L2526" s="1" t="str">
        <f t="shared" si="276"/>
        <v>sáb</v>
      </c>
      <c r="M2526" s="1" t="str">
        <f t="shared" si="277"/>
        <v>abr</v>
      </c>
      <c r="N2526">
        <f t="shared" si="278"/>
        <v>2025</v>
      </c>
      <c r="O2526" s="2">
        <f>_xlfn.XLOOKUP(A2526,Colaboradores!$A:$A,Colaboradores!$S:$S,"",0)</f>
        <v>45753</v>
      </c>
      <c r="P2526" t="str">
        <f t="shared" si="272"/>
        <v>149045752</v>
      </c>
    </row>
    <row r="2527" spans="1:16" x14ac:dyDescent="0.3">
      <c r="A2527">
        <v>1491</v>
      </c>
      <c r="B2527">
        <v>30</v>
      </c>
      <c r="C2527" t="s">
        <v>15</v>
      </c>
      <c r="D2527" t="s">
        <v>27</v>
      </c>
      <c r="E2527" t="s">
        <v>17</v>
      </c>
      <c r="F2527" t="s">
        <v>18</v>
      </c>
      <c r="G2527" t="s">
        <v>43</v>
      </c>
      <c r="H2527" t="s">
        <v>25</v>
      </c>
      <c r="I2527" s="1">
        <v>3</v>
      </c>
      <c r="J2527" s="2">
        <v>45815</v>
      </c>
      <c r="K2527" s="2">
        <v>45809</v>
      </c>
      <c r="L2527" s="1" t="str">
        <f t="shared" si="276"/>
        <v>sáb</v>
      </c>
      <c r="M2527" s="1" t="str">
        <f t="shared" si="277"/>
        <v>jun</v>
      </c>
      <c r="N2527">
        <f t="shared" si="278"/>
        <v>2025</v>
      </c>
      <c r="O2527" s="2"/>
      <c r="P2527" t="str">
        <f t="shared" si="272"/>
        <v>149145815</v>
      </c>
    </row>
    <row r="2528" spans="1:16" x14ac:dyDescent="0.3">
      <c r="A2528">
        <v>1491</v>
      </c>
      <c r="B2528">
        <v>30</v>
      </c>
      <c r="C2528" t="s">
        <v>15</v>
      </c>
      <c r="D2528" t="s">
        <v>27</v>
      </c>
      <c r="E2528" t="s">
        <v>17</v>
      </c>
      <c r="F2528" t="s">
        <v>18</v>
      </c>
      <c r="G2528" t="s">
        <v>43</v>
      </c>
      <c r="H2528" t="s">
        <v>25</v>
      </c>
      <c r="I2528" s="1">
        <v>3</v>
      </c>
      <c r="J2528" s="2">
        <v>45903</v>
      </c>
      <c r="K2528" s="2">
        <v>45901</v>
      </c>
      <c r="L2528" s="1" t="str">
        <f t="shared" si="276"/>
        <v>qua</v>
      </c>
      <c r="M2528" s="1" t="str">
        <f t="shared" si="277"/>
        <v>set</v>
      </c>
      <c r="N2528">
        <f t="shared" si="278"/>
        <v>2025</v>
      </c>
      <c r="O2528" s="2"/>
      <c r="P2528" t="str">
        <f t="shared" si="272"/>
        <v>149145903</v>
      </c>
    </row>
    <row r="2529" spans="1:16" x14ac:dyDescent="0.3">
      <c r="A2529">
        <v>1491</v>
      </c>
      <c r="B2529">
        <v>30</v>
      </c>
      <c r="C2529" t="s">
        <v>15</v>
      </c>
      <c r="D2529" t="s">
        <v>27</v>
      </c>
      <c r="E2529" t="s">
        <v>17</v>
      </c>
      <c r="F2529" t="s">
        <v>18</v>
      </c>
      <c r="G2529" t="s">
        <v>43</v>
      </c>
      <c r="H2529" t="s">
        <v>25</v>
      </c>
      <c r="I2529" s="1">
        <v>3</v>
      </c>
      <c r="J2529" s="2">
        <v>45998</v>
      </c>
      <c r="K2529" s="2">
        <v>45992</v>
      </c>
      <c r="L2529" s="1" t="str">
        <f t="shared" si="276"/>
        <v>dom</v>
      </c>
      <c r="M2529" s="1" t="str">
        <f t="shared" si="277"/>
        <v>dez</v>
      </c>
      <c r="N2529">
        <f t="shared" si="278"/>
        <v>2025</v>
      </c>
      <c r="O2529" s="2"/>
      <c r="P2529" t="str">
        <f t="shared" si="272"/>
        <v>149145998</v>
      </c>
    </row>
    <row r="2530" spans="1:16" x14ac:dyDescent="0.3">
      <c r="A2530">
        <v>1491</v>
      </c>
      <c r="B2530">
        <v>30</v>
      </c>
      <c r="C2530" t="s">
        <v>15</v>
      </c>
      <c r="D2530" t="s">
        <v>27</v>
      </c>
      <c r="E2530" t="s">
        <v>17</v>
      </c>
      <c r="F2530" t="s">
        <v>18</v>
      </c>
      <c r="G2530" t="s">
        <v>43</v>
      </c>
      <c r="H2530" t="s">
        <v>25</v>
      </c>
      <c r="I2530" s="1">
        <v>3</v>
      </c>
      <c r="J2530" s="2">
        <v>46011</v>
      </c>
      <c r="K2530" s="2">
        <v>45992</v>
      </c>
      <c r="L2530" s="1" t="str">
        <f t="shared" si="276"/>
        <v>sáb</v>
      </c>
      <c r="M2530" s="1" t="str">
        <f t="shared" si="277"/>
        <v>dez</v>
      </c>
      <c r="N2530">
        <f t="shared" si="278"/>
        <v>2025</v>
      </c>
      <c r="O2530" s="2"/>
      <c r="P2530" t="str">
        <f t="shared" si="272"/>
        <v>149146011</v>
      </c>
    </row>
    <row r="2531" spans="1:16" x14ac:dyDescent="0.3">
      <c r="A2531">
        <v>1491</v>
      </c>
      <c r="B2531">
        <v>30</v>
      </c>
      <c r="C2531" t="s">
        <v>15</v>
      </c>
      <c r="D2531" t="s">
        <v>27</v>
      </c>
      <c r="E2531" t="s">
        <v>17</v>
      </c>
      <c r="F2531" t="s">
        <v>18</v>
      </c>
      <c r="G2531" t="s">
        <v>43</v>
      </c>
      <c r="H2531" t="s">
        <v>25</v>
      </c>
      <c r="I2531" s="1">
        <v>3</v>
      </c>
      <c r="J2531" s="2">
        <v>46017</v>
      </c>
      <c r="K2531" s="2">
        <v>45992</v>
      </c>
      <c r="L2531" s="1" t="str">
        <f t="shared" si="276"/>
        <v>sex</v>
      </c>
      <c r="M2531" s="1" t="str">
        <f t="shared" si="277"/>
        <v>dez</v>
      </c>
      <c r="N2531">
        <f t="shared" si="278"/>
        <v>2025</v>
      </c>
      <c r="O2531" s="2"/>
      <c r="P2531" t="str">
        <f t="shared" si="272"/>
        <v>149146017</v>
      </c>
    </row>
    <row r="2532" spans="1:16" x14ac:dyDescent="0.3">
      <c r="A2532">
        <v>1493</v>
      </c>
      <c r="B2532">
        <v>38</v>
      </c>
      <c r="C2532" t="s">
        <v>15</v>
      </c>
      <c r="D2532" t="s">
        <v>29</v>
      </c>
      <c r="E2532" t="s">
        <v>17</v>
      </c>
      <c r="F2532" t="s">
        <v>18</v>
      </c>
      <c r="G2532" t="s">
        <v>41</v>
      </c>
      <c r="H2532" t="s">
        <v>20</v>
      </c>
      <c r="I2532" s="1">
        <v>2</v>
      </c>
      <c r="J2532" s="2">
        <v>45709</v>
      </c>
      <c r="K2532" s="2">
        <v>45689</v>
      </c>
      <c r="L2532" s="1" t="str">
        <f t="shared" si="276"/>
        <v>sex</v>
      </c>
      <c r="M2532" s="1" t="str">
        <f t="shared" si="277"/>
        <v>fev</v>
      </c>
      <c r="N2532">
        <f t="shared" si="278"/>
        <v>2025</v>
      </c>
      <c r="O2532" s="2">
        <f>_xlfn.XLOOKUP(A2532,Colaboradores!$A:$A,Colaboradores!$S:$S,"",0)</f>
        <v>45754</v>
      </c>
      <c r="P2532" t="str">
        <f t="shared" si="272"/>
        <v>149345709</v>
      </c>
    </row>
    <row r="2533" spans="1:16" x14ac:dyDescent="0.3">
      <c r="A2533">
        <v>1493</v>
      </c>
      <c r="B2533">
        <v>38</v>
      </c>
      <c r="C2533" t="s">
        <v>15</v>
      </c>
      <c r="D2533" t="s">
        <v>29</v>
      </c>
      <c r="E2533" t="s">
        <v>17</v>
      </c>
      <c r="F2533" t="s">
        <v>18</v>
      </c>
      <c r="G2533" t="s">
        <v>57</v>
      </c>
      <c r="H2533" t="s">
        <v>20</v>
      </c>
      <c r="I2533" s="1">
        <v>2</v>
      </c>
      <c r="J2533" s="2">
        <v>45744</v>
      </c>
      <c r="K2533" s="2">
        <v>45717</v>
      </c>
      <c r="L2533" s="1" t="str">
        <f t="shared" si="276"/>
        <v>sex</v>
      </c>
      <c r="M2533" s="1" t="str">
        <f t="shared" si="277"/>
        <v>mar</v>
      </c>
      <c r="N2533">
        <f t="shared" si="278"/>
        <v>2025</v>
      </c>
      <c r="O2533" s="2">
        <f>_xlfn.XLOOKUP(A2533,Colaboradores!$A:$A,Colaboradores!$S:$S,"",0)</f>
        <v>45754</v>
      </c>
      <c r="P2533" t="str">
        <f t="shared" si="272"/>
        <v>149345744</v>
      </c>
    </row>
    <row r="2534" spans="1:16" x14ac:dyDescent="0.3">
      <c r="A2534">
        <v>1493</v>
      </c>
      <c r="B2534">
        <v>38</v>
      </c>
      <c r="C2534" t="s">
        <v>15</v>
      </c>
      <c r="D2534" t="s">
        <v>29</v>
      </c>
      <c r="E2534" t="s">
        <v>17</v>
      </c>
      <c r="F2534" t="s">
        <v>18</v>
      </c>
      <c r="G2534" t="s">
        <v>41</v>
      </c>
      <c r="H2534" t="s">
        <v>20</v>
      </c>
      <c r="I2534" s="1">
        <v>2</v>
      </c>
      <c r="J2534" s="2">
        <v>45745</v>
      </c>
      <c r="K2534" s="2">
        <v>45717</v>
      </c>
      <c r="L2534" s="1" t="str">
        <f t="shared" si="276"/>
        <v>sáb</v>
      </c>
      <c r="M2534" s="1" t="str">
        <f t="shared" si="277"/>
        <v>mar</v>
      </c>
      <c r="N2534">
        <f t="shared" si="278"/>
        <v>2025</v>
      </c>
      <c r="O2534" s="2">
        <f>_xlfn.XLOOKUP(A2534,Colaboradores!$A:$A,Colaboradores!$S:$S,"",0)</f>
        <v>45754</v>
      </c>
      <c r="P2534" t="str">
        <f t="shared" si="272"/>
        <v>149345745</v>
      </c>
    </row>
    <row r="2535" spans="1:16" x14ac:dyDescent="0.3">
      <c r="A2535">
        <v>1493</v>
      </c>
      <c r="B2535">
        <v>38</v>
      </c>
      <c r="C2535" t="s">
        <v>15</v>
      </c>
      <c r="D2535" t="s">
        <v>29</v>
      </c>
      <c r="E2535" t="s">
        <v>17</v>
      </c>
      <c r="F2535" t="s">
        <v>18</v>
      </c>
      <c r="G2535" t="s">
        <v>41</v>
      </c>
      <c r="H2535" t="s">
        <v>20</v>
      </c>
      <c r="I2535" s="1">
        <v>2</v>
      </c>
      <c r="J2535" s="2">
        <v>45746</v>
      </c>
      <c r="K2535" s="2">
        <v>45717</v>
      </c>
      <c r="L2535" s="1" t="str">
        <f t="shared" si="276"/>
        <v>dom</v>
      </c>
      <c r="M2535" s="1" t="str">
        <f t="shared" si="277"/>
        <v>mar</v>
      </c>
      <c r="N2535">
        <f t="shared" si="278"/>
        <v>2025</v>
      </c>
      <c r="O2535" s="2">
        <f>_xlfn.XLOOKUP(A2535,Colaboradores!$A:$A,Colaboradores!$S:$S,"",0)</f>
        <v>45754</v>
      </c>
      <c r="P2535" t="str">
        <f t="shared" si="272"/>
        <v>149345746</v>
      </c>
    </row>
    <row r="2536" spans="1:16" x14ac:dyDescent="0.3">
      <c r="A2536">
        <v>1493</v>
      </c>
      <c r="B2536">
        <v>38</v>
      </c>
      <c r="C2536" t="s">
        <v>15</v>
      </c>
      <c r="D2536" t="s">
        <v>29</v>
      </c>
      <c r="E2536" t="s">
        <v>17</v>
      </c>
      <c r="F2536" t="s">
        <v>18</v>
      </c>
      <c r="G2536" t="s">
        <v>41</v>
      </c>
      <c r="H2536" t="s">
        <v>20</v>
      </c>
      <c r="I2536" s="1">
        <v>2</v>
      </c>
      <c r="J2536" s="2">
        <v>45749</v>
      </c>
      <c r="K2536" s="2">
        <v>45748</v>
      </c>
      <c r="L2536" s="1" t="str">
        <f t="shared" si="276"/>
        <v>qua</v>
      </c>
      <c r="M2536" s="1" t="str">
        <f t="shared" si="277"/>
        <v>abr</v>
      </c>
      <c r="N2536">
        <f t="shared" si="278"/>
        <v>2025</v>
      </c>
      <c r="O2536" s="2">
        <f>_xlfn.XLOOKUP(A2536,Colaboradores!$A:$A,Colaboradores!$S:$S,"",0)</f>
        <v>45754</v>
      </c>
      <c r="P2536" t="str">
        <f t="shared" si="272"/>
        <v>149345749</v>
      </c>
    </row>
    <row r="2537" spans="1:16" x14ac:dyDescent="0.3">
      <c r="A2537">
        <v>1493</v>
      </c>
      <c r="B2537">
        <v>38</v>
      </c>
      <c r="C2537" t="s">
        <v>15</v>
      </c>
      <c r="D2537" t="s">
        <v>29</v>
      </c>
      <c r="E2537" t="s">
        <v>17</v>
      </c>
      <c r="F2537" t="s">
        <v>18</v>
      </c>
      <c r="G2537" t="s">
        <v>57</v>
      </c>
      <c r="H2537" t="s">
        <v>20</v>
      </c>
      <c r="I2537" s="1">
        <v>2</v>
      </c>
      <c r="J2537" s="2">
        <v>45753</v>
      </c>
      <c r="K2537" s="2">
        <v>45748</v>
      </c>
      <c r="L2537" s="1" t="str">
        <f t="shared" si="276"/>
        <v>dom</v>
      </c>
      <c r="M2537" s="1" t="str">
        <f t="shared" si="277"/>
        <v>abr</v>
      </c>
      <c r="N2537">
        <f t="shared" si="278"/>
        <v>2025</v>
      </c>
      <c r="O2537" s="2">
        <f>_xlfn.XLOOKUP(A2537,Colaboradores!$A:$A,Colaboradores!$S:$S,"",0)</f>
        <v>45754</v>
      </c>
      <c r="P2537" t="str">
        <f t="shared" si="272"/>
        <v>149345753</v>
      </c>
    </row>
    <row r="2538" spans="1:16" x14ac:dyDescent="0.3">
      <c r="A2538">
        <v>1494</v>
      </c>
      <c r="B2538">
        <v>30</v>
      </c>
      <c r="C2538" t="s">
        <v>26</v>
      </c>
      <c r="D2538" t="s">
        <v>16</v>
      </c>
      <c r="E2538" t="s">
        <v>17</v>
      </c>
      <c r="F2538" t="s">
        <v>21</v>
      </c>
      <c r="G2538" t="s">
        <v>40</v>
      </c>
      <c r="H2538" t="s">
        <v>25</v>
      </c>
      <c r="I2538" s="1">
        <v>1</v>
      </c>
      <c r="J2538" s="2">
        <v>45765</v>
      </c>
      <c r="K2538" s="2">
        <v>45748</v>
      </c>
      <c r="L2538" s="1" t="str">
        <f t="shared" si="276"/>
        <v>sex</v>
      </c>
      <c r="M2538" s="1" t="str">
        <f t="shared" si="277"/>
        <v>abr</v>
      </c>
      <c r="N2538">
        <f t="shared" si="278"/>
        <v>2025</v>
      </c>
      <c r="O2538" s="2"/>
      <c r="P2538" t="str">
        <f t="shared" si="272"/>
        <v>149445765</v>
      </c>
    </row>
    <row r="2539" spans="1:16" x14ac:dyDescent="0.3">
      <c r="A2539">
        <v>1494</v>
      </c>
      <c r="B2539">
        <v>30</v>
      </c>
      <c r="C2539" t="s">
        <v>26</v>
      </c>
      <c r="D2539" t="s">
        <v>16</v>
      </c>
      <c r="E2539" t="s">
        <v>17</v>
      </c>
      <c r="F2539" t="s">
        <v>21</v>
      </c>
      <c r="G2539" t="s">
        <v>41</v>
      </c>
      <c r="H2539" t="s">
        <v>25</v>
      </c>
      <c r="I2539" s="1">
        <v>1</v>
      </c>
      <c r="J2539" s="2">
        <v>45909</v>
      </c>
      <c r="K2539" s="2">
        <v>45901</v>
      </c>
      <c r="L2539" s="1" t="str">
        <f t="shared" si="276"/>
        <v>ter</v>
      </c>
      <c r="M2539" s="1" t="str">
        <f t="shared" si="277"/>
        <v>set</v>
      </c>
      <c r="N2539">
        <f t="shared" si="278"/>
        <v>2025</v>
      </c>
      <c r="O2539" s="2"/>
      <c r="P2539" t="str">
        <f t="shared" si="272"/>
        <v>149445909</v>
      </c>
    </row>
    <row r="2540" spans="1:16" x14ac:dyDescent="0.3">
      <c r="A2540">
        <v>1494</v>
      </c>
      <c r="B2540">
        <v>30</v>
      </c>
      <c r="C2540" t="s">
        <v>26</v>
      </c>
      <c r="D2540" t="s">
        <v>16</v>
      </c>
      <c r="E2540" t="s">
        <v>17</v>
      </c>
      <c r="F2540" t="s">
        <v>21</v>
      </c>
      <c r="G2540" t="s">
        <v>40</v>
      </c>
      <c r="H2540" t="s">
        <v>25</v>
      </c>
      <c r="I2540" s="1">
        <v>1</v>
      </c>
      <c r="J2540" s="2">
        <v>45911</v>
      </c>
      <c r="K2540" s="2">
        <v>45901</v>
      </c>
      <c r="L2540" s="1" t="str">
        <f t="shared" si="276"/>
        <v>qui</v>
      </c>
      <c r="M2540" s="1" t="str">
        <f t="shared" si="277"/>
        <v>set</v>
      </c>
      <c r="N2540">
        <f t="shared" si="278"/>
        <v>2025</v>
      </c>
      <c r="O2540" s="2"/>
      <c r="P2540" t="str">
        <f t="shared" si="272"/>
        <v>149445911</v>
      </c>
    </row>
    <row r="2541" spans="1:16" x14ac:dyDescent="0.3">
      <c r="A2541">
        <v>1494</v>
      </c>
      <c r="B2541">
        <v>30</v>
      </c>
      <c r="C2541" t="s">
        <v>26</v>
      </c>
      <c r="D2541" t="s">
        <v>16</v>
      </c>
      <c r="E2541" t="s">
        <v>17</v>
      </c>
      <c r="F2541" t="s">
        <v>21</v>
      </c>
      <c r="G2541" t="s">
        <v>40</v>
      </c>
      <c r="H2541" t="s">
        <v>25</v>
      </c>
      <c r="I2541" s="1">
        <v>1</v>
      </c>
      <c r="J2541" s="2">
        <v>45933</v>
      </c>
      <c r="K2541" s="2">
        <v>45931</v>
      </c>
      <c r="L2541" s="1" t="str">
        <f t="shared" si="276"/>
        <v>sex</v>
      </c>
      <c r="M2541" s="1" t="str">
        <f t="shared" si="277"/>
        <v>out</v>
      </c>
      <c r="N2541">
        <f t="shared" si="278"/>
        <v>2025</v>
      </c>
      <c r="O2541" s="2"/>
      <c r="P2541" t="str">
        <f t="shared" si="272"/>
        <v>149445933</v>
      </c>
    </row>
    <row r="2542" spans="1:16" x14ac:dyDescent="0.3">
      <c r="A2542">
        <v>1494</v>
      </c>
      <c r="B2542">
        <v>30</v>
      </c>
      <c r="C2542" t="s">
        <v>26</v>
      </c>
      <c r="D2542" t="s">
        <v>16</v>
      </c>
      <c r="E2542" t="s">
        <v>17</v>
      </c>
      <c r="F2542" t="s">
        <v>21</v>
      </c>
      <c r="G2542" t="s">
        <v>40</v>
      </c>
      <c r="H2542" t="s">
        <v>25</v>
      </c>
      <c r="I2542" s="1">
        <v>1</v>
      </c>
      <c r="J2542" s="2">
        <v>46203</v>
      </c>
      <c r="K2542" s="2">
        <v>46023</v>
      </c>
      <c r="L2542" s="1" t="str">
        <f t="shared" si="276"/>
        <v>ter</v>
      </c>
      <c r="M2542" s="1" t="str">
        <f t="shared" si="277"/>
        <v>jun</v>
      </c>
      <c r="N2542">
        <f t="shared" si="278"/>
        <v>2026</v>
      </c>
      <c r="O2542" s="2"/>
      <c r="P2542" t="str">
        <f t="shared" si="272"/>
        <v>149446203</v>
      </c>
    </row>
    <row r="2543" spans="1:16" x14ac:dyDescent="0.3">
      <c r="A2543">
        <v>1494</v>
      </c>
      <c r="B2543">
        <v>30</v>
      </c>
      <c r="C2543" t="s">
        <v>26</v>
      </c>
      <c r="D2543" t="s">
        <v>16</v>
      </c>
      <c r="E2543" t="s">
        <v>17</v>
      </c>
      <c r="F2543" t="s">
        <v>21</v>
      </c>
      <c r="G2543" t="s">
        <v>41</v>
      </c>
      <c r="H2543" t="s">
        <v>25</v>
      </c>
      <c r="I2543" s="1">
        <v>1</v>
      </c>
      <c r="J2543" s="2">
        <v>46062</v>
      </c>
      <c r="K2543" s="2">
        <v>46054</v>
      </c>
      <c r="L2543" s="1" t="str">
        <f t="shared" si="276"/>
        <v>seg</v>
      </c>
      <c r="M2543" s="1" t="str">
        <f t="shared" si="277"/>
        <v>fev</v>
      </c>
      <c r="N2543">
        <f t="shared" si="278"/>
        <v>2026</v>
      </c>
      <c r="O2543" s="2"/>
      <c r="P2543" t="str">
        <f t="shared" si="272"/>
        <v>149446062</v>
      </c>
    </row>
    <row r="2544" spans="1:16" x14ac:dyDescent="0.3">
      <c r="A2544">
        <v>1494</v>
      </c>
      <c r="B2544">
        <v>30</v>
      </c>
      <c r="C2544" t="s">
        <v>26</v>
      </c>
      <c r="D2544" t="s">
        <v>16</v>
      </c>
      <c r="E2544" t="s">
        <v>17</v>
      </c>
      <c r="F2544" t="s">
        <v>21</v>
      </c>
      <c r="G2544" t="s">
        <v>40</v>
      </c>
      <c r="H2544" t="s">
        <v>25</v>
      </c>
      <c r="I2544" s="1">
        <v>1</v>
      </c>
      <c r="J2544" s="2">
        <v>46130</v>
      </c>
      <c r="K2544" s="2">
        <v>46113</v>
      </c>
      <c r="L2544" s="1" t="s">
        <v>53</v>
      </c>
      <c r="M2544" s="1" t="s">
        <v>48</v>
      </c>
      <c r="N2544">
        <v>2025</v>
      </c>
      <c r="O2544" s="2"/>
      <c r="P2544" t="str">
        <f t="shared" si="272"/>
        <v>149446130</v>
      </c>
    </row>
    <row r="2545" spans="1:16" x14ac:dyDescent="0.3">
      <c r="A2545">
        <v>1495</v>
      </c>
      <c r="B2545">
        <v>49</v>
      </c>
      <c r="C2545" t="s">
        <v>26</v>
      </c>
      <c r="D2545" t="s">
        <v>16</v>
      </c>
      <c r="E2545" t="s">
        <v>17</v>
      </c>
      <c r="F2545" t="s">
        <v>18</v>
      </c>
      <c r="G2545" t="s">
        <v>40</v>
      </c>
      <c r="H2545" t="s">
        <v>25</v>
      </c>
      <c r="I2545" s="1">
        <v>3</v>
      </c>
      <c r="J2545" s="2">
        <v>45783</v>
      </c>
      <c r="K2545" s="2">
        <v>45778</v>
      </c>
      <c r="L2545" s="1" t="str">
        <f t="shared" ref="L2545:L2550" si="279">TEXT(J2545,"ddd")</f>
        <v>ter</v>
      </c>
      <c r="M2545" s="1" t="str">
        <f t="shared" ref="M2545:M2550" si="280">TEXT($J2545,"mmm")</f>
        <v>mai</v>
      </c>
      <c r="N2545">
        <f t="shared" ref="N2545:N2550" si="281">YEAR(J2545)</f>
        <v>2025</v>
      </c>
      <c r="O2545" s="2"/>
      <c r="P2545" t="str">
        <f t="shared" si="272"/>
        <v>149545783</v>
      </c>
    </row>
    <row r="2546" spans="1:16" x14ac:dyDescent="0.3">
      <c r="A2546">
        <v>1495</v>
      </c>
      <c r="B2546">
        <v>49</v>
      </c>
      <c r="C2546" t="s">
        <v>26</v>
      </c>
      <c r="D2546" t="s">
        <v>16</v>
      </c>
      <c r="E2546" t="s">
        <v>17</v>
      </c>
      <c r="F2546" t="s">
        <v>18</v>
      </c>
      <c r="G2546" t="s">
        <v>40</v>
      </c>
      <c r="H2546" t="s">
        <v>25</v>
      </c>
      <c r="I2546" s="1">
        <v>3</v>
      </c>
      <c r="J2546" s="2">
        <v>45804</v>
      </c>
      <c r="K2546" s="2">
        <v>45778</v>
      </c>
      <c r="L2546" s="1" t="str">
        <f t="shared" si="279"/>
        <v>ter</v>
      </c>
      <c r="M2546" s="1" t="str">
        <f t="shared" si="280"/>
        <v>mai</v>
      </c>
      <c r="N2546">
        <f t="shared" si="281"/>
        <v>2025</v>
      </c>
      <c r="O2546" s="2"/>
      <c r="P2546" t="str">
        <f t="shared" si="272"/>
        <v>149545804</v>
      </c>
    </row>
    <row r="2547" spans="1:16" x14ac:dyDescent="0.3">
      <c r="A2547">
        <v>1495</v>
      </c>
      <c r="B2547">
        <v>49</v>
      </c>
      <c r="C2547" t="s">
        <v>26</v>
      </c>
      <c r="D2547" t="s">
        <v>16</v>
      </c>
      <c r="E2547" t="s">
        <v>17</v>
      </c>
      <c r="F2547" t="s">
        <v>18</v>
      </c>
      <c r="G2547" t="s">
        <v>40</v>
      </c>
      <c r="H2547" t="s">
        <v>25</v>
      </c>
      <c r="I2547" s="1">
        <v>3</v>
      </c>
      <c r="J2547" s="2">
        <v>45979</v>
      </c>
      <c r="K2547" s="2">
        <v>45962</v>
      </c>
      <c r="L2547" s="1" t="str">
        <f t="shared" si="279"/>
        <v>ter</v>
      </c>
      <c r="M2547" s="1" t="str">
        <f t="shared" si="280"/>
        <v>nov</v>
      </c>
      <c r="N2547">
        <f t="shared" si="281"/>
        <v>2025</v>
      </c>
      <c r="O2547" s="2"/>
      <c r="P2547" t="str">
        <f t="shared" si="272"/>
        <v>149545979</v>
      </c>
    </row>
    <row r="2548" spans="1:16" x14ac:dyDescent="0.3">
      <c r="A2548">
        <v>1495</v>
      </c>
      <c r="B2548">
        <v>49</v>
      </c>
      <c r="C2548" t="s">
        <v>26</v>
      </c>
      <c r="D2548" t="s">
        <v>16</v>
      </c>
      <c r="E2548" t="s">
        <v>17</v>
      </c>
      <c r="F2548" t="s">
        <v>18</v>
      </c>
      <c r="G2548" t="s">
        <v>40</v>
      </c>
      <c r="H2548" t="s">
        <v>25</v>
      </c>
      <c r="I2548" s="1">
        <v>3</v>
      </c>
      <c r="J2548" s="2">
        <v>46016</v>
      </c>
      <c r="K2548" s="2">
        <v>45992</v>
      </c>
      <c r="L2548" s="1" t="str">
        <f t="shared" si="279"/>
        <v>qui</v>
      </c>
      <c r="M2548" s="1" t="str">
        <f t="shared" si="280"/>
        <v>dez</v>
      </c>
      <c r="N2548">
        <f t="shared" si="281"/>
        <v>2025</v>
      </c>
      <c r="O2548" s="2"/>
      <c r="P2548" t="str">
        <f t="shared" si="272"/>
        <v>149546016</v>
      </c>
    </row>
    <row r="2549" spans="1:16" x14ac:dyDescent="0.3">
      <c r="A2549">
        <v>1495</v>
      </c>
      <c r="B2549">
        <v>49</v>
      </c>
      <c r="C2549" t="s">
        <v>26</v>
      </c>
      <c r="D2549" t="s">
        <v>16</v>
      </c>
      <c r="E2549" t="s">
        <v>17</v>
      </c>
      <c r="F2549" t="s">
        <v>18</v>
      </c>
      <c r="G2549" t="s">
        <v>40</v>
      </c>
      <c r="H2549" t="s">
        <v>25</v>
      </c>
      <c r="I2549" s="1">
        <v>3</v>
      </c>
      <c r="J2549" s="2">
        <v>46057</v>
      </c>
      <c r="K2549" s="2">
        <v>46054</v>
      </c>
      <c r="L2549" s="1" t="str">
        <f t="shared" si="279"/>
        <v>qua</v>
      </c>
      <c r="M2549" s="1" t="str">
        <f t="shared" si="280"/>
        <v>fev</v>
      </c>
      <c r="N2549">
        <f t="shared" si="281"/>
        <v>2026</v>
      </c>
      <c r="O2549" s="2"/>
      <c r="P2549" t="str">
        <f t="shared" si="272"/>
        <v>149546057</v>
      </c>
    </row>
    <row r="2550" spans="1:16" x14ac:dyDescent="0.3">
      <c r="A2550">
        <v>1495</v>
      </c>
      <c r="B2550">
        <v>49</v>
      </c>
      <c r="C2550" t="s">
        <v>26</v>
      </c>
      <c r="D2550" t="s">
        <v>16</v>
      </c>
      <c r="E2550" t="s">
        <v>17</v>
      </c>
      <c r="F2550" t="s">
        <v>18</v>
      </c>
      <c r="G2550" t="s">
        <v>40</v>
      </c>
      <c r="H2550" t="s">
        <v>25</v>
      </c>
      <c r="I2550" s="1">
        <v>3</v>
      </c>
      <c r="J2550" s="2">
        <v>46060</v>
      </c>
      <c r="K2550" s="2">
        <v>46054</v>
      </c>
      <c r="L2550" s="1" t="str">
        <f t="shared" si="279"/>
        <v>sáb</v>
      </c>
      <c r="M2550" s="1" t="str">
        <f t="shared" si="280"/>
        <v>fev</v>
      </c>
      <c r="N2550">
        <f t="shared" si="281"/>
        <v>2026</v>
      </c>
      <c r="O2550" s="2"/>
      <c r="P2550" t="str">
        <f t="shared" si="272"/>
        <v>149546060</v>
      </c>
    </row>
    <row r="2551" spans="1:16" x14ac:dyDescent="0.3">
      <c r="A2551">
        <v>1495</v>
      </c>
      <c r="B2551">
        <v>49</v>
      </c>
      <c r="C2551" t="s">
        <v>26</v>
      </c>
      <c r="D2551" t="s">
        <v>16</v>
      </c>
      <c r="E2551" t="s">
        <v>17</v>
      </c>
      <c r="F2551" t="s">
        <v>18</v>
      </c>
      <c r="G2551" t="s">
        <v>40</v>
      </c>
      <c r="H2551" t="s">
        <v>25</v>
      </c>
      <c r="I2551" s="1">
        <v>3</v>
      </c>
      <c r="J2551" s="2">
        <v>46148</v>
      </c>
      <c r="K2551" s="2">
        <v>46143</v>
      </c>
      <c r="L2551" s="1" t="s">
        <v>50</v>
      </c>
      <c r="M2551" s="1" t="s">
        <v>49</v>
      </c>
      <c r="N2551">
        <v>2025</v>
      </c>
      <c r="O2551" s="2"/>
      <c r="P2551" t="str">
        <f t="shared" si="272"/>
        <v>149546148</v>
      </c>
    </row>
    <row r="2552" spans="1:16" x14ac:dyDescent="0.3">
      <c r="A2552">
        <v>1495</v>
      </c>
      <c r="B2552">
        <v>49</v>
      </c>
      <c r="C2552" t="s">
        <v>26</v>
      </c>
      <c r="D2552" t="s">
        <v>16</v>
      </c>
      <c r="E2552" t="s">
        <v>17</v>
      </c>
      <c r="F2552" t="s">
        <v>18</v>
      </c>
      <c r="G2552" t="s">
        <v>40</v>
      </c>
      <c r="H2552" t="s">
        <v>25</v>
      </c>
      <c r="I2552" s="1">
        <v>3</v>
      </c>
      <c r="J2552" s="2">
        <v>46169</v>
      </c>
      <c r="K2552" s="2">
        <v>46143</v>
      </c>
      <c r="L2552" s="1" t="s">
        <v>50</v>
      </c>
      <c r="M2552" s="1" t="s">
        <v>49</v>
      </c>
      <c r="N2552">
        <v>2025</v>
      </c>
      <c r="O2552" s="2"/>
      <c r="P2552" t="str">
        <f t="shared" si="272"/>
        <v>149546169</v>
      </c>
    </row>
    <row r="2553" spans="1:16" x14ac:dyDescent="0.3">
      <c r="A2553">
        <v>1496</v>
      </c>
      <c r="B2553">
        <v>22</v>
      </c>
      <c r="C2553" t="s">
        <v>15</v>
      </c>
      <c r="D2553" t="s">
        <v>22</v>
      </c>
      <c r="E2553" t="s">
        <v>17</v>
      </c>
      <c r="F2553" t="s">
        <v>18</v>
      </c>
      <c r="G2553" t="s">
        <v>42</v>
      </c>
      <c r="H2553" t="s">
        <v>25</v>
      </c>
      <c r="I2553" s="1">
        <v>2</v>
      </c>
      <c r="J2553" s="2">
        <v>45763</v>
      </c>
      <c r="K2553" s="2">
        <v>45748</v>
      </c>
      <c r="L2553" s="1" t="str">
        <f t="shared" ref="L2553:L2558" si="282">TEXT(J2553,"ddd")</f>
        <v>qua</v>
      </c>
      <c r="M2553" s="1" t="str">
        <f t="shared" ref="M2553:M2558" si="283">TEXT($J2553,"mmm")</f>
        <v>abr</v>
      </c>
      <c r="N2553">
        <f t="shared" ref="N2553:N2558" si="284">YEAR(J2553)</f>
        <v>2025</v>
      </c>
      <c r="O2553" s="2"/>
      <c r="P2553" t="str">
        <f t="shared" si="272"/>
        <v>149645763</v>
      </c>
    </row>
    <row r="2554" spans="1:16" x14ac:dyDescent="0.3">
      <c r="A2554">
        <v>1496</v>
      </c>
      <c r="B2554">
        <v>22</v>
      </c>
      <c r="C2554" t="s">
        <v>15</v>
      </c>
      <c r="D2554" t="s">
        <v>22</v>
      </c>
      <c r="E2554" t="s">
        <v>17</v>
      </c>
      <c r="F2554" t="s">
        <v>18</v>
      </c>
      <c r="G2554" t="s">
        <v>40</v>
      </c>
      <c r="H2554" t="s">
        <v>25</v>
      </c>
      <c r="I2554" s="1">
        <v>2</v>
      </c>
      <c r="J2554" s="2">
        <v>45845</v>
      </c>
      <c r="K2554" s="2">
        <v>45839</v>
      </c>
      <c r="L2554" s="1" t="str">
        <f t="shared" si="282"/>
        <v>seg</v>
      </c>
      <c r="M2554" s="1" t="str">
        <f t="shared" si="283"/>
        <v>jul</v>
      </c>
      <c r="N2554">
        <f t="shared" si="284"/>
        <v>2025</v>
      </c>
      <c r="O2554" s="2"/>
      <c r="P2554" t="str">
        <f t="shared" si="272"/>
        <v>149645845</v>
      </c>
    </row>
    <row r="2555" spans="1:16" x14ac:dyDescent="0.3">
      <c r="A2555">
        <v>1496</v>
      </c>
      <c r="B2555">
        <v>22</v>
      </c>
      <c r="C2555" t="s">
        <v>15</v>
      </c>
      <c r="D2555" t="s">
        <v>22</v>
      </c>
      <c r="E2555" t="s">
        <v>17</v>
      </c>
      <c r="F2555" t="s">
        <v>18</v>
      </c>
      <c r="G2555" t="s">
        <v>42</v>
      </c>
      <c r="H2555" t="s">
        <v>25</v>
      </c>
      <c r="I2555" s="1">
        <v>2</v>
      </c>
      <c r="J2555" s="2">
        <v>45861</v>
      </c>
      <c r="K2555" s="2">
        <v>45839</v>
      </c>
      <c r="L2555" s="1" t="str">
        <f t="shared" si="282"/>
        <v>qua</v>
      </c>
      <c r="M2555" s="1" t="str">
        <f t="shared" si="283"/>
        <v>jul</v>
      </c>
      <c r="N2555">
        <f t="shared" si="284"/>
        <v>2025</v>
      </c>
      <c r="O2555" s="2"/>
      <c r="P2555" t="str">
        <f t="shared" si="272"/>
        <v>149645861</v>
      </c>
    </row>
    <row r="2556" spans="1:16" x14ac:dyDescent="0.3">
      <c r="A2556">
        <v>1496</v>
      </c>
      <c r="B2556">
        <v>22</v>
      </c>
      <c r="C2556" t="s">
        <v>15</v>
      </c>
      <c r="D2556" t="s">
        <v>22</v>
      </c>
      <c r="E2556" t="s">
        <v>17</v>
      </c>
      <c r="F2556" t="s">
        <v>18</v>
      </c>
      <c r="G2556" t="s">
        <v>44</v>
      </c>
      <c r="H2556" t="s">
        <v>25</v>
      </c>
      <c r="I2556" s="1">
        <v>2</v>
      </c>
      <c r="J2556" s="2">
        <v>46182</v>
      </c>
      <c r="K2556" s="2">
        <v>46023</v>
      </c>
      <c r="L2556" s="1" t="str">
        <f t="shared" si="282"/>
        <v>ter</v>
      </c>
      <c r="M2556" s="1" t="str">
        <f t="shared" si="283"/>
        <v>jun</v>
      </c>
      <c r="N2556">
        <f t="shared" si="284"/>
        <v>2026</v>
      </c>
      <c r="O2556" s="2"/>
      <c r="P2556" t="str">
        <f t="shared" si="272"/>
        <v>149646182</v>
      </c>
    </row>
    <row r="2557" spans="1:16" x14ac:dyDescent="0.3">
      <c r="A2557">
        <v>1496</v>
      </c>
      <c r="B2557">
        <v>22</v>
      </c>
      <c r="C2557" t="s">
        <v>15</v>
      </c>
      <c r="D2557" t="s">
        <v>22</v>
      </c>
      <c r="E2557" t="s">
        <v>17</v>
      </c>
      <c r="F2557" t="s">
        <v>18</v>
      </c>
      <c r="G2557" t="s">
        <v>40</v>
      </c>
      <c r="H2557" t="s">
        <v>25</v>
      </c>
      <c r="I2557" s="1">
        <v>2</v>
      </c>
      <c r="J2557" s="2">
        <v>46066</v>
      </c>
      <c r="K2557" s="2">
        <v>46054</v>
      </c>
      <c r="L2557" s="1" t="str">
        <f t="shared" si="282"/>
        <v>sex</v>
      </c>
      <c r="M2557" s="1" t="str">
        <f t="shared" si="283"/>
        <v>fev</v>
      </c>
      <c r="N2557">
        <f t="shared" si="284"/>
        <v>2026</v>
      </c>
      <c r="O2557" s="2"/>
      <c r="P2557" t="str">
        <f t="shared" si="272"/>
        <v>149646066</v>
      </c>
    </row>
    <row r="2558" spans="1:16" x14ac:dyDescent="0.3">
      <c r="A2558">
        <v>1496</v>
      </c>
      <c r="B2558">
        <v>22</v>
      </c>
      <c r="C2558" t="s">
        <v>15</v>
      </c>
      <c r="D2558" t="s">
        <v>22</v>
      </c>
      <c r="E2558" t="s">
        <v>17</v>
      </c>
      <c r="F2558" t="s">
        <v>18</v>
      </c>
      <c r="G2558" t="s">
        <v>44</v>
      </c>
      <c r="H2558" t="s">
        <v>25</v>
      </c>
      <c r="I2558" s="1">
        <v>2</v>
      </c>
      <c r="J2558" s="2">
        <v>46079</v>
      </c>
      <c r="K2558" s="2">
        <v>46054</v>
      </c>
      <c r="L2558" s="1" t="str">
        <f t="shared" si="282"/>
        <v>qui</v>
      </c>
      <c r="M2558" s="1" t="str">
        <f t="shared" si="283"/>
        <v>fev</v>
      </c>
      <c r="N2558">
        <f t="shared" si="284"/>
        <v>2026</v>
      </c>
      <c r="O2558" s="2"/>
      <c r="P2558" t="str">
        <f t="shared" ref="P2558:P2621" si="285">CONCATENATE(A2558,J2558)</f>
        <v>149646079</v>
      </c>
    </row>
    <row r="2559" spans="1:16" x14ac:dyDescent="0.3">
      <c r="A2559">
        <v>1496</v>
      </c>
      <c r="B2559">
        <v>22</v>
      </c>
      <c r="C2559" t="s">
        <v>15</v>
      </c>
      <c r="D2559" t="s">
        <v>22</v>
      </c>
      <c r="E2559" t="s">
        <v>17</v>
      </c>
      <c r="F2559" t="s">
        <v>18</v>
      </c>
      <c r="G2559" t="s">
        <v>42</v>
      </c>
      <c r="H2559" t="s">
        <v>25</v>
      </c>
      <c r="I2559" s="1">
        <v>2</v>
      </c>
      <c r="J2559" s="2">
        <v>46128</v>
      </c>
      <c r="K2559" s="2">
        <v>46113</v>
      </c>
      <c r="L2559" s="1" t="s">
        <v>51</v>
      </c>
      <c r="M2559" s="1" t="s">
        <v>48</v>
      </c>
      <c r="N2559">
        <v>2025</v>
      </c>
      <c r="O2559" s="2"/>
      <c r="P2559" t="str">
        <f t="shared" si="285"/>
        <v>149646128</v>
      </c>
    </row>
    <row r="2560" spans="1:16" x14ac:dyDescent="0.3">
      <c r="A2560">
        <v>1497</v>
      </c>
      <c r="B2560">
        <v>57</v>
      </c>
      <c r="C2560" t="s">
        <v>26</v>
      </c>
      <c r="D2560" t="s">
        <v>27</v>
      </c>
      <c r="E2560" t="s">
        <v>17</v>
      </c>
      <c r="F2560" t="s">
        <v>23</v>
      </c>
      <c r="G2560" t="s">
        <v>41</v>
      </c>
      <c r="H2560" t="s">
        <v>25</v>
      </c>
      <c r="I2560" s="1">
        <v>3</v>
      </c>
      <c r="J2560" s="2">
        <v>45879</v>
      </c>
      <c r="K2560" s="2">
        <v>45870</v>
      </c>
      <c r="L2560" s="1" t="str">
        <f t="shared" ref="L2560:L2578" si="286">TEXT(J2560,"ddd")</f>
        <v>dom</v>
      </c>
      <c r="M2560" s="1" t="str">
        <f t="shared" ref="M2560:M2578" si="287">TEXT($J2560,"mmm")</f>
        <v>ago</v>
      </c>
      <c r="N2560">
        <f t="shared" ref="N2560:N2578" si="288">YEAR(J2560)</f>
        <v>2025</v>
      </c>
      <c r="O2560" s="2"/>
      <c r="P2560" t="str">
        <f t="shared" si="285"/>
        <v>149745879</v>
      </c>
    </row>
    <row r="2561" spans="1:16" x14ac:dyDescent="0.3">
      <c r="A2561">
        <v>1497</v>
      </c>
      <c r="B2561">
        <v>57</v>
      </c>
      <c r="C2561" t="s">
        <v>26</v>
      </c>
      <c r="D2561" t="s">
        <v>27</v>
      </c>
      <c r="E2561" t="s">
        <v>17</v>
      </c>
      <c r="F2561" t="s">
        <v>23</v>
      </c>
      <c r="G2561" t="s">
        <v>44</v>
      </c>
      <c r="H2561" t="s">
        <v>25</v>
      </c>
      <c r="I2561" s="1">
        <v>3</v>
      </c>
      <c r="J2561" s="2">
        <v>45972</v>
      </c>
      <c r="K2561" s="2">
        <v>45962</v>
      </c>
      <c r="L2561" s="1" t="str">
        <f t="shared" si="286"/>
        <v>ter</v>
      </c>
      <c r="M2561" s="1" t="str">
        <f t="shared" si="287"/>
        <v>nov</v>
      </c>
      <c r="N2561">
        <f t="shared" si="288"/>
        <v>2025</v>
      </c>
      <c r="O2561" s="2"/>
      <c r="P2561" t="str">
        <f t="shared" si="285"/>
        <v>149745972</v>
      </c>
    </row>
    <row r="2562" spans="1:16" x14ac:dyDescent="0.3">
      <c r="A2562">
        <v>1497</v>
      </c>
      <c r="B2562">
        <v>57</v>
      </c>
      <c r="C2562" t="s">
        <v>26</v>
      </c>
      <c r="D2562" t="s">
        <v>27</v>
      </c>
      <c r="E2562" t="s">
        <v>17</v>
      </c>
      <c r="F2562" t="s">
        <v>23</v>
      </c>
      <c r="G2562" t="s">
        <v>41</v>
      </c>
      <c r="H2562" t="s">
        <v>25</v>
      </c>
      <c r="I2562" s="1">
        <v>3</v>
      </c>
      <c r="J2562" s="2">
        <v>45990</v>
      </c>
      <c r="K2562" s="2">
        <v>45962</v>
      </c>
      <c r="L2562" s="1" t="str">
        <f t="shared" si="286"/>
        <v>sáb</v>
      </c>
      <c r="M2562" s="1" t="str">
        <f t="shared" si="287"/>
        <v>nov</v>
      </c>
      <c r="N2562">
        <f t="shared" si="288"/>
        <v>2025</v>
      </c>
      <c r="O2562" s="2"/>
      <c r="P2562" t="str">
        <f t="shared" si="285"/>
        <v>149745990</v>
      </c>
    </row>
    <row r="2563" spans="1:16" x14ac:dyDescent="0.3">
      <c r="A2563">
        <v>1497</v>
      </c>
      <c r="B2563">
        <v>57</v>
      </c>
      <c r="C2563" t="s">
        <v>26</v>
      </c>
      <c r="D2563" t="s">
        <v>27</v>
      </c>
      <c r="E2563" t="s">
        <v>17</v>
      </c>
      <c r="F2563" t="s">
        <v>23</v>
      </c>
      <c r="G2563" t="s">
        <v>41</v>
      </c>
      <c r="H2563" t="s">
        <v>25</v>
      </c>
      <c r="I2563" s="1">
        <v>3</v>
      </c>
      <c r="J2563" s="2">
        <v>46179</v>
      </c>
      <c r="K2563" s="2">
        <v>46023</v>
      </c>
      <c r="L2563" s="1" t="str">
        <f t="shared" si="286"/>
        <v>sáb</v>
      </c>
      <c r="M2563" s="1" t="str">
        <f t="shared" si="287"/>
        <v>jun</v>
      </c>
      <c r="N2563">
        <f t="shared" si="288"/>
        <v>2026</v>
      </c>
      <c r="O2563" s="2"/>
      <c r="P2563" t="str">
        <f t="shared" si="285"/>
        <v>149746179</v>
      </c>
    </row>
    <row r="2564" spans="1:16" x14ac:dyDescent="0.3">
      <c r="A2564">
        <v>1497</v>
      </c>
      <c r="B2564">
        <v>57</v>
      </c>
      <c r="C2564" t="s">
        <v>26</v>
      </c>
      <c r="D2564" t="s">
        <v>27</v>
      </c>
      <c r="E2564" t="s">
        <v>17</v>
      </c>
      <c r="F2564" t="s">
        <v>23</v>
      </c>
      <c r="G2564" t="s">
        <v>44</v>
      </c>
      <c r="H2564" t="s">
        <v>25</v>
      </c>
      <c r="I2564" s="1">
        <v>3</v>
      </c>
      <c r="J2564" s="2">
        <v>46189</v>
      </c>
      <c r="K2564" s="2">
        <v>46023</v>
      </c>
      <c r="L2564" s="1" t="str">
        <f t="shared" si="286"/>
        <v>ter</v>
      </c>
      <c r="M2564" s="1" t="str">
        <f t="shared" si="287"/>
        <v>jun</v>
      </c>
      <c r="N2564">
        <f t="shared" si="288"/>
        <v>2026</v>
      </c>
      <c r="O2564" s="2"/>
      <c r="P2564" t="str">
        <f t="shared" si="285"/>
        <v>149746189</v>
      </c>
    </row>
    <row r="2565" spans="1:16" x14ac:dyDescent="0.3">
      <c r="A2565">
        <v>1497</v>
      </c>
      <c r="B2565">
        <v>57</v>
      </c>
      <c r="C2565" t="s">
        <v>26</v>
      </c>
      <c r="D2565" t="s">
        <v>27</v>
      </c>
      <c r="E2565" t="s">
        <v>17</v>
      </c>
      <c r="F2565" t="s">
        <v>23</v>
      </c>
      <c r="G2565" t="s">
        <v>41</v>
      </c>
      <c r="H2565" t="s">
        <v>25</v>
      </c>
      <c r="I2565" s="1">
        <v>3</v>
      </c>
      <c r="J2565" s="2">
        <v>46110</v>
      </c>
      <c r="K2565" s="2">
        <v>46082</v>
      </c>
      <c r="L2565" s="1" t="str">
        <f t="shared" si="286"/>
        <v>dom</v>
      </c>
      <c r="M2565" s="1" t="str">
        <f t="shared" si="287"/>
        <v>mar</v>
      </c>
      <c r="N2565">
        <f t="shared" si="288"/>
        <v>2026</v>
      </c>
      <c r="O2565" s="2"/>
      <c r="P2565" t="str">
        <f t="shared" si="285"/>
        <v>149746110</v>
      </c>
    </row>
    <row r="2566" spans="1:16" x14ac:dyDescent="0.3">
      <c r="A2566">
        <v>1497</v>
      </c>
      <c r="B2566">
        <v>57</v>
      </c>
      <c r="C2566" t="s">
        <v>26</v>
      </c>
      <c r="D2566" t="s">
        <v>27</v>
      </c>
      <c r="E2566" t="s">
        <v>17</v>
      </c>
      <c r="F2566" t="s">
        <v>23</v>
      </c>
      <c r="G2566" t="s">
        <v>41</v>
      </c>
      <c r="H2566" t="s">
        <v>25</v>
      </c>
      <c r="I2566" s="1">
        <v>3</v>
      </c>
      <c r="J2566" s="2">
        <v>46129</v>
      </c>
      <c r="K2566" s="2">
        <v>46113</v>
      </c>
      <c r="L2566" s="1" t="str">
        <f t="shared" si="286"/>
        <v>sex</v>
      </c>
      <c r="M2566" s="1" t="str">
        <f t="shared" si="287"/>
        <v>abr</v>
      </c>
      <c r="N2566">
        <f t="shared" si="288"/>
        <v>2026</v>
      </c>
      <c r="O2566" s="2"/>
      <c r="P2566" t="str">
        <f t="shared" si="285"/>
        <v>149746129</v>
      </c>
    </row>
    <row r="2567" spans="1:16" x14ac:dyDescent="0.3">
      <c r="A2567">
        <v>1498</v>
      </c>
      <c r="B2567">
        <v>36</v>
      </c>
      <c r="C2567" t="s">
        <v>15</v>
      </c>
      <c r="D2567" t="s">
        <v>29</v>
      </c>
      <c r="E2567" t="s">
        <v>17</v>
      </c>
      <c r="F2567" t="s">
        <v>21</v>
      </c>
      <c r="G2567" t="s">
        <v>41</v>
      </c>
      <c r="H2567" t="s">
        <v>20</v>
      </c>
      <c r="I2567" s="1">
        <v>3</v>
      </c>
      <c r="J2567" s="2">
        <v>45810</v>
      </c>
      <c r="K2567" s="2">
        <v>45809</v>
      </c>
      <c r="L2567" s="1" t="str">
        <f t="shared" si="286"/>
        <v>seg</v>
      </c>
      <c r="M2567" s="1" t="str">
        <f t="shared" si="287"/>
        <v>jun</v>
      </c>
      <c r="N2567">
        <f t="shared" si="288"/>
        <v>2025</v>
      </c>
      <c r="O2567" s="2">
        <f>_xlfn.XLOOKUP(A2567,Colaboradores!$A:$A,Colaboradores!$S:$S,"",0)</f>
        <v>45928</v>
      </c>
      <c r="P2567" t="str">
        <f t="shared" si="285"/>
        <v>149845810</v>
      </c>
    </row>
    <row r="2568" spans="1:16" x14ac:dyDescent="0.3">
      <c r="A2568">
        <v>1498</v>
      </c>
      <c r="B2568">
        <v>36</v>
      </c>
      <c r="C2568" t="s">
        <v>15</v>
      </c>
      <c r="D2568" t="s">
        <v>29</v>
      </c>
      <c r="E2568" t="s">
        <v>17</v>
      </c>
      <c r="F2568" t="s">
        <v>21</v>
      </c>
      <c r="G2568" t="s">
        <v>41</v>
      </c>
      <c r="H2568" t="s">
        <v>20</v>
      </c>
      <c r="I2568" s="1">
        <v>3</v>
      </c>
      <c r="J2568" s="2">
        <v>45832</v>
      </c>
      <c r="K2568" s="2">
        <v>45809</v>
      </c>
      <c r="L2568" s="1" t="str">
        <f t="shared" si="286"/>
        <v>ter</v>
      </c>
      <c r="M2568" s="1" t="str">
        <f t="shared" si="287"/>
        <v>jun</v>
      </c>
      <c r="N2568">
        <f t="shared" si="288"/>
        <v>2025</v>
      </c>
      <c r="O2568" s="2">
        <f>_xlfn.XLOOKUP(A2568,Colaboradores!$A:$A,Colaboradores!$S:$S,"",0)</f>
        <v>45928</v>
      </c>
      <c r="P2568" t="str">
        <f t="shared" si="285"/>
        <v>149845832</v>
      </c>
    </row>
    <row r="2569" spans="1:16" x14ac:dyDescent="0.3">
      <c r="A2569">
        <v>1498</v>
      </c>
      <c r="B2569">
        <v>36</v>
      </c>
      <c r="C2569" t="s">
        <v>15</v>
      </c>
      <c r="D2569" t="s">
        <v>29</v>
      </c>
      <c r="E2569" t="s">
        <v>17</v>
      </c>
      <c r="F2569" t="s">
        <v>21</v>
      </c>
      <c r="G2569" t="s">
        <v>41</v>
      </c>
      <c r="H2569" t="s">
        <v>20</v>
      </c>
      <c r="I2569" s="1">
        <v>3</v>
      </c>
      <c r="J2569" s="2">
        <v>45894</v>
      </c>
      <c r="K2569" s="2">
        <v>45870</v>
      </c>
      <c r="L2569" s="1" t="str">
        <f t="shared" si="286"/>
        <v>seg</v>
      </c>
      <c r="M2569" s="1" t="str">
        <f t="shared" si="287"/>
        <v>ago</v>
      </c>
      <c r="N2569">
        <f t="shared" si="288"/>
        <v>2025</v>
      </c>
      <c r="O2569" s="2">
        <f>_xlfn.XLOOKUP(A2569,Colaboradores!$A:$A,Colaboradores!$S:$S,"",0)</f>
        <v>45928</v>
      </c>
      <c r="P2569" t="str">
        <f t="shared" si="285"/>
        <v>149845894</v>
      </c>
    </row>
    <row r="2570" spans="1:16" x14ac:dyDescent="0.3">
      <c r="A2570">
        <v>1498</v>
      </c>
      <c r="B2570">
        <v>36</v>
      </c>
      <c r="C2570" t="s">
        <v>15</v>
      </c>
      <c r="D2570" t="s">
        <v>29</v>
      </c>
      <c r="E2570" t="s">
        <v>17</v>
      </c>
      <c r="F2570" t="s">
        <v>21</v>
      </c>
      <c r="G2570" t="s">
        <v>41</v>
      </c>
      <c r="H2570" t="s">
        <v>20</v>
      </c>
      <c r="I2570" s="1">
        <v>3</v>
      </c>
      <c r="J2570" s="2">
        <v>45906</v>
      </c>
      <c r="K2570" s="2">
        <v>45901</v>
      </c>
      <c r="L2570" s="1" t="str">
        <f t="shared" si="286"/>
        <v>sáb</v>
      </c>
      <c r="M2570" s="1" t="str">
        <f t="shared" si="287"/>
        <v>set</v>
      </c>
      <c r="N2570">
        <f t="shared" si="288"/>
        <v>2025</v>
      </c>
      <c r="O2570" s="2">
        <f>_xlfn.XLOOKUP(A2570,Colaboradores!$A:$A,Colaboradores!$S:$S,"",0)</f>
        <v>45928</v>
      </c>
      <c r="P2570" t="str">
        <f t="shared" si="285"/>
        <v>149845906</v>
      </c>
    </row>
    <row r="2571" spans="1:16" x14ac:dyDescent="0.3">
      <c r="A2571">
        <v>1498</v>
      </c>
      <c r="B2571">
        <v>36</v>
      </c>
      <c r="C2571" t="s">
        <v>15</v>
      </c>
      <c r="D2571" t="s">
        <v>29</v>
      </c>
      <c r="E2571" t="s">
        <v>17</v>
      </c>
      <c r="F2571" t="s">
        <v>21</v>
      </c>
      <c r="G2571" t="s">
        <v>41</v>
      </c>
      <c r="H2571" t="s">
        <v>20</v>
      </c>
      <c r="I2571" s="1">
        <v>3</v>
      </c>
      <c r="J2571" s="2">
        <v>45908</v>
      </c>
      <c r="K2571" s="2">
        <v>45901</v>
      </c>
      <c r="L2571" s="1" t="str">
        <f t="shared" si="286"/>
        <v>seg</v>
      </c>
      <c r="M2571" s="1" t="str">
        <f t="shared" si="287"/>
        <v>set</v>
      </c>
      <c r="N2571">
        <f t="shared" si="288"/>
        <v>2025</v>
      </c>
      <c r="O2571" s="2">
        <f>_xlfn.XLOOKUP(A2571,Colaboradores!$A:$A,Colaboradores!$S:$S,"",0)</f>
        <v>45928</v>
      </c>
      <c r="P2571" t="str">
        <f t="shared" si="285"/>
        <v>149845908</v>
      </c>
    </row>
    <row r="2572" spans="1:16" x14ac:dyDescent="0.3">
      <c r="A2572">
        <v>1498</v>
      </c>
      <c r="B2572">
        <v>36</v>
      </c>
      <c r="C2572" t="s">
        <v>15</v>
      </c>
      <c r="D2572" t="s">
        <v>29</v>
      </c>
      <c r="E2572" t="s">
        <v>17</v>
      </c>
      <c r="F2572" t="s">
        <v>21</v>
      </c>
      <c r="G2572" t="s">
        <v>41</v>
      </c>
      <c r="H2572" t="s">
        <v>20</v>
      </c>
      <c r="I2572" s="1">
        <v>3</v>
      </c>
      <c r="J2572" s="2">
        <v>45912</v>
      </c>
      <c r="K2572" s="2">
        <v>45901</v>
      </c>
      <c r="L2572" s="1" t="str">
        <f t="shared" si="286"/>
        <v>sex</v>
      </c>
      <c r="M2572" s="1" t="str">
        <f t="shared" si="287"/>
        <v>set</v>
      </c>
      <c r="N2572">
        <f t="shared" si="288"/>
        <v>2025</v>
      </c>
      <c r="O2572" s="2">
        <f>_xlfn.XLOOKUP(A2572,Colaboradores!$A:$A,Colaboradores!$S:$S,"",0)</f>
        <v>45928</v>
      </c>
      <c r="P2572" t="str">
        <f t="shared" si="285"/>
        <v>149845912</v>
      </c>
    </row>
    <row r="2573" spans="1:16" x14ac:dyDescent="0.3">
      <c r="A2573">
        <v>1499</v>
      </c>
      <c r="B2573">
        <v>51</v>
      </c>
      <c r="C2573" t="s">
        <v>26</v>
      </c>
      <c r="D2573" t="s">
        <v>22</v>
      </c>
      <c r="E2573" t="s">
        <v>17</v>
      </c>
      <c r="F2573" t="s">
        <v>18</v>
      </c>
      <c r="G2573" t="s">
        <v>40</v>
      </c>
      <c r="H2573" t="s">
        <v>25</v>
      </c>
      <c r="I2573" s="1">
        <v>1</v>
      </c>
      <c r="J2573" s="2">
        <v>45763</v>
      </c>
      <c r="K2573" s="2">
        <v>45748</v>
      </c>
      <c r="L2573" s="1" t="str">
        <f t="shared" si="286"/>
        <v>qua</v>
      </c>
      <c r="M2573" s="1" t="str">
        <f t="shared" si="287"/>
        <v>abr</v>
      </c>
      <c r="N2573">
        <f t="shared" si="288"/>
        <v>2025</v>
      </c>
      <c r="O2573" s="2"/>
      <c r="P2573" t="str">
        <f t="shared" si="285"/>
        <v>149945763</v>
      </c>
    </row>
    <row r="2574" spans="1:16" x14ac:dyDescent="0.3">
      <c r="A2574">
        <v>1499</v>
      </c>
      <c r="B2574">
        <v>51</v>
      </c>
      <c r="C2574" t="s">
        <v>26</v>
      </c>
      <c r="D2574" t="s">
        <v>22</v>
      </c>
      <c r="E2574" t="s">
        <v>17</v>
      </c>
      <c r="F2574" t="s">
        <v>18</v>
      </c>
      <c r="G2574" t="s">
        <v>40</v>
      </c>
      <c r="H2574" t="s">
        <v>25</v>
      </c>
      <c r="I2574" s="1">
        <v>1</v>
      </c>
      <c r="J2574" s="2">
        <v>45765</v>
      </c>
      <c r="K2574" s="2">
        <v>45748</v>
      </c>
      <c r="L2574" s="1" t="str">
        <f t="shared" si="286"/>
        <v>sex</v>
      </c>
      <c r="M2574" s="1" t="str">
        <f t="shared" si="287"/>
        <v>abr</v>
      </c>
      <c r="N2574">
        <f t="shared" si="288"/>
        <v>2025</v>
      </c>
      <c r="O2574" s="2"/>
      <c r="P2574" t="str">
        <f t="shared" si="285"/>
        <v>149945765</v>
      </c>
    </row>
    <row r="2575" spans="1:16" x14ac:dyDescent="0.3">
      <c r="A2575">
        <v>1499</v>
      </c>
      <c r="B2575">
        <v>51</v>
      </c>
      <c r="C2575" t="s">
        <v>26</v>
      </c>
      <c r="D2575" t="s">
        <v>22</v>
      </c>
      <c r="E2575" t="s">
        <v>17</v>
      </c>
      <c r="F2575" t="s">
        <v>18</v>
      </c>
      <c r="G2575" t="s">
        <v>40</v>
      </c>
      <c r="H2575" t="s">
        <v>25</v>
      </c>
      <c r="I2575" s="1">
        <v>1</v>
      </c>
      <c r="J2575" s="2">
        <v>45768</v>
      </c>
      <c r="K2575" s="2">
        <v>45748</v>
      </c>
      <c r="L2575" s="1" t="str">
        <f t="shared" si="286"/>
        <v>seg</v>
      </c>
      <c r="M2575" s="1" t="str">
        <f t="shared" si="287"/>
        <v>abr</v>
      </c>
      <c r="N2575">
        <f t="shared" si="288"/>
        <v>2025</v>
      </c>
      <c r="O2575" s="2"/>
      <c r="P2575" t="str">
        <f t="shared" si="285"/>
        <v>149945768</v>
      </c>
    </row>
    <row r="2576" spans="1:16" x14ac:dyDescent="0.3">
      <c r="A2576">
        <v>1499</v>
      </c>
      <c r="B2576">
        <v>51</v>
      </c>
      <c r="C2576" t="s">
        <v>26</v>
      </c>
      <c r="D2576" t="s">
        <v>22</v>
      </c>
      <c r="E2576" t="s">
        <v>17</v>
      </c>
      <c r="F2576" t="s">
        <v>18</v>
      </c>
      <c r="G2576" t="s">
        <v>40</v>
      </c>
      <c r="H2576" t="s">
        <v>25</v>
      </c>
      <c r="I2576" s="1">
        <v>1</v>
      </c>
      <c r="J2576" s="2">
        <v>45900</v>
      </c>
      <c r="K2576" s="2">
        <v>45870</v>
      </c>
      <c r="L2576" s="1" t="str">
        <f t="shared" si="286"/>
        <v>dom</v>
      </c>
      <c r="M2576" s="1" t="str">
        <f t="shared" si="287"/>
        <v>ago</v>
      </c>
      <c r="N2576">
        <f t="shared" si="288"/>
        <v>2025</v>
      </c>
      <c r="O2576" s="2"/>
      <c r="P2576" t="str">
        <f t="shared" si="285"/>
        <v>149945900</v>
      </c>
    </row>
    <row r="2577" spans="1:16" x14ac:dyDescent="0.3">
      <c r="A2577">
        <v>1499</v>
      </c>
      <c r="B2577">
        <v>51</v>
      </c>
      <c r="C2577" t="s">
        <v>26</v>
      </c>
      <c r="D2577" t="s">
        <v>22</v>
      </c>
      <c r="E2577" t="s">
        <v>17</v>
      </c>
      <c r="F2577" t="s">
        <v>18</v>
      </c>
      <c r="G2577" t="s">
        <v>40</v>
      </c>
      <c r="H2577" t="s">
        <v>25</v>
      </c>
      <c r="I2577" s="1">
        <v>1</v>
      </c>
      <c r="J2577" s="2">
        <v>45986</v>
      </c>
      <c r="K2577" s="2">
        <v>45962</v>
      </c>
      <c r="L2577" s="1" t="str">
        <f t="shared" si="286"/>
        <v>ter</v>
      </c>
      <c r="M2577" s="1" t="str">
        <f t="shared" si="287"/>
        <v>nov</v>
      </c>
      <c r="N2577">
        <f t="shared" si="288"/>
        <v>2025</v>
      </c>
      <c r="O2577" s="2"/>
      <c r="P2577" t="str">
        <f t="shared" si="285"/>
        <v>149945986</v>
      </c>
    </row>
    <row r="2578" spans="1:16" x14ac:dyDescent="0.3">
      <c r="A2578">
        <v>1499</v>
      </c>
      <c r="B2578">
        <v>51</v>
      </c>
      <c r="C2578" t="s">
        <v>26</v>
      </c>
      <c r="D2578" t="s">
        <v>22</v>
      </c>
      <c r="E2578" t="s">
        <v>17</v>
      </c>
      <c r="F2578" t="s">
        <v>18</v>
      </c>
      <c r="G2578" t="s">
        <v>40</v>
      </c>
      <c r="H2578" t="s">
        <v>25</v>
      </c>
      <c r="I2578" s="1">
        <v>1</v>
      </c>
      <c r="J2578" s="2">
        <v>46103</v>
      </c>
      <c r="K2578" s="2">
        <v>46082</v>
      </c>
      <c r="L2578" s="1" t="str">
        <f t="shared" si="286"/>
        <v>dom</v>
      </c>
      <c r="M2578" s="1" t="str">
        <f t="shared" si="287"/>
        <v>mar</v>
      </c>
      <c r="N2578">
        <f t="shared" si="288"/>
        <v>2026</v>
      </c>
      <c r="O2578" s="2"/>
      <c r="P2578" t="str">
        <f t="shared" si="285"/>
        <v>149946103</v>
      </c>
    </row>
    <row r="2579" spans="1:16" x14ac:dyDescent="0.3">
      <c r="A2579">
        <v>1499</v>
      </c>
      <c r="B2579">
        <v>51</v>
      </c>
      <c r="C2579" t="s">
        <v>26</v>
      </c>
      <c r="D2579" t="s">
        <v>22</v>
      </c>
      <c r="E2579" t="s">
        <v>17</v>
      </c>
      <c r="F2579" t="s">
        <v>18</v>
      </c>
      <c r="G2579" t="s">
        <v>40</v>
      </c>
      <c r="H2579" t="s">
        <v>25</v>
      </c>
      <c r="I2579" s="1">
        <v>1</v>
      </c>
      <c r="J2579" s="2">
        <v>46128</v>
      </c>
      <c r="K2579" s="2">
        <v>46113</v>
      </c>
      <c r="L2579" s="1" t="s">
        <v>51</v>
      </c>
      <c r="M2579" s="1" t="s">
        <v>48</v>
      </c>
      <c r="N2579">
        <v>2025</v>
      </c>
      <c r="O2579" s="2"/>
      <c r="P2579" t="str">
        <f t="shared" si="285"/>
        <v>149946128</v>
      </c>
    </row>
    <row r="2580" spans="1:16" x14ac:dyDescent="0.3">
      <c r="A2580">
        <v>1499</v>
      </c>
      <c r="B2580">
        <v>51</v>
      </c>
      <c r="C2580" t="s">
        <v>26</v>
      </c>
      <c r="D2580" t="s">
        <v>22</v>
      </c>
      <c r="E2580" t="s">
        <v>17</v>
      </c>
      <c r="F2580" t="s">
        <v>18</v>
      </c>
      <c r="G2580" t="s">
        <v>40</v>
      </c>
      <c r="H2580" t="s">
        <v>25</v>
      </c>
      <c r="I2580" s="1">
        <v>1</v>
      </c>
      <c r="J2580" s="2">
        <v>46130</v>
      </c>
      <c r="K2580" s="2">
        <v>46113</v>
      </c>
      <c r="L2580" s="1" t="s">
        <v>53</v>
      </c>
      <c r="M2580" s="1" t="s">
        <v>48</v>
      </c>
      <c r="N2580">
        <v>2025</v>
      </c>
      <c r="O2580" s="2"/>
      <c r="P2580" t="str">
        <f t="shared" si="285"/>
        <v>149946130</v>
      </c>
    </row>
    <row r="2581" spans="1:16" x14ac:dyDescent="0.3">
      <c r="A2581">
        <v>1499</v>
      </c>
      <c r="B2581">
        <v>51</v>
      </c>
      <c r="C2581" t="s">
        <v>26</v>
      </c>
      <c r="D2581" t="s">
        <v>22</v>
      </c>
      <c r="E2581" t="s">
        <v>17</v>
      </c>
      <c r="F2581" t="s">
        <v>18</v>
      </c>
      <c r="G2581" t="s">
        <v>40</v>
      </c>
      <c r="H2581" t="s">
        <v>25</v>
      </c>
      <c r="I2581" s="1">
        <v>1</v>
      </c>
      <c r="J2581" s="2">
        <v>46133</v>
      </c>
      <c r="K2581" s="2">
        <v>46113</v>
      </c>
      <c r="L2581" s="1" t="s">
        <v>56</v>
      </c>
      <c r="M2581" s="1" t="s">
        <v>48</v>
      </c>
      <c r="N2581">
        <v>2025</v>
      </c>
      <c r="O2581" s="2"/>
      <c r="P2581" t="str">
        <f t="shared" si="285"/>
        <v>149946133</v>
      </c>
    </row>
    <row r="2582" spans="1:16" x14ac:dyDescent="0.3">
      <c r="A2582">
        <v>1500</v>
      </c>
      <c r="B2582">
        <v>32</v>
      </c>
      <c r="C2582" t="s">
        <v>26</v>
      </c>
      <c r="D2582" t="s">
        <v>27</v>
      </c>
      <c r="E2582" t="s">
        <v>17</v>
      </c>
      <c r="F2582" t="s">
        <v>23</v>
      </c>
      <c r="G2582" t="s">
        <v>40</v>
      </c>
      <c r="H2582" t="s">
        <v>25</v>
      </c>
      <c r="I2582" s="1">
        <v>1</v>
      </c>
      <c r="J2582" s="2">
        <v>45775</v>
      </c>
      <c r="K2582" s="2">
        <v>45748</v>
      </c>
      <c r="L2582" s="1" t="str">
        <f t="shared" ref="L2582:L2587" si="289">TEXT(J2582,"ddd")</f>
        <v>seg</v>
      </c>
      <c r="M2582" s="1" t="str">
        <f t="shared" ref="M2582:M2587" si="290">TEXT($J2582,"mmm")</f>
        <v>abr</v>
      </c>
      <c r="N2582">
        <f t="shared" ref="N2582:N2587" si="291">YEAR(J2582)</f>
        <v>2025</v>
      </c>
      <c r="O2582" s="2"/>
      <c r="P2582" t="str">
        <f t="shared" si="285"/>
        <v>150045775</v>
      </c>
    </row>
    <row r="2583" spans="1:16" x14ac:dyDescent="0.3">
      <c r="A2583">
        <v>1500</v>
      </c>
      <c r="B2583">
        <v>32</v>
      </c>
      <c r="C2583" t="s">
        <v>26</v>
      </c>
      <c r="D2583" t="s">
        <v>27</v>
      </c>
      <c r="E2583" t="s">
        <v>17</v>
      </c>
      <c r="F2583" t="s">
        <v>23</v>
      </c>
      <c r="G2583" t="s">
        <v>41</v>
      </c>
      <c r="H2583" t="s">
        <v>25</v>
      </c>
      <c r="I2583" s="1">
        <v>1</v>
      </c>
      <c r="J2583" s="2">
        <v>45834</v>
      </c>
      <c r="K2583" s="2">
        <v>45809</v>
      </c>
      <c r="L2583" s="1" t="str">
        <f t="shared" si="289"/>
        <v>qui</v>
      </c>
      <c r="M2583" s="1" t="str">
        <f t="shared" si="290"/>
        <v>jun</v>
      </c>
      <c r="N2583">
        <f t="shared" si="291"/>
        <v>2025</v>
      </c>
      <c r="O2583" s="2"/>
      <c r="P2583" t="str">
        <f t="shared" si="285"/>
        <v>150045834</v>
      </c>
    </row>
    <row r="2584" spans="1:16" x14ac:dyDescent="0.3">
      <c r="A2584">
        <v>1500</v>
      </c>
      <c r="B2584">
        <v>32</v>
      </c>
      <c r="C2584" t="s">
        <v>26</v>
      </c>
      <c r="D2584" t="s">
        <v>27</v>
      </c>
      <c r="E2584" t="s">
        <v>17</v>
      </c>
      <c r="F2584" t="s">
        <v>23</v>
      </c>
      <c r="G2584" t="s">
        <v>40</v>
      </c>
      <c r="H2584" t="s">
        <v>25</v>
      </c>
      <c r="I2584" s="1">
        <v>1</v>
      </c>
      <c r="J2584" s="2">
        <v>45852</v>
      </c>
      <c r="K2584" s="2">
        <v>45839</v>
      </c>
      <c r="L2584" s="1" t="str">
        <f t="shared" si="289"/>
        <v>seg</v>
      </c>
      <c r="M2584" s="1" t="str">
        <f t="shared" si="290"/>
        <v>jul</v>
      </c>
      <c r="N2584">
        <f t="shared" si="291"/>
        <v>2025</v>
      </c>
      <c r="O2584" s="2"/>
      <c r="P2584" t="str">
        <f t="shared" si="285"/>
        <v>150045852</v>
      </c>
    </row>
    <row r="2585" spans="1:16" x14ac:dyDescent="0.3">
      <c r="A2585">
        <v>1500</v>
      </c>
      <c r="B2585">
        <v>32</v>
      </c>
      <c r="C2585" t="s">
        <v>26</v>
      </c>
      <c r="D2585" t="s">
        <v>27</v>
      </c>
      <c r="E2585" t="s">
        <v>17</v>
      </c>
      <c r="F2585" t="s">
        <v>23</v>
      </c>
      <c r="G2585" t="s">
        <v>40</v>
      </c>
      <c r="H2585" t="s">
        <v>25</v>
      </c>
      <c r="I2585" s="1">
        <v>1</v>
      </c>
      <c r="J2585" s="2">
        <v>46183</v>
      </c>
      <c r="K2585" s="2">
        <v>46023</v>
      </c>
      <c r="L2585" s="1" t="str">
        <f t="shared" si="289"/>
        <v>qua</v>
      </c>
      <c r="M2585" s="1" t="str">
        <f t="shared" si="290"/>
        <v>jun</v>
      </c>
      <c r="N2585">
        <f t="shared" si="291"/>
        <v>2026</v>
      </c>
      <c r="O2585" s="2"/>
      <c r="P2585" t="str">
        <f t="shared" si="285"/>
        <v>150046183</v>
      </c>
    </row>
    <row r="2586" spans="1:16" x14ac:dyDescent="0.3">
      <c r="A2586">
        <v>1500</v>
      </c>
      <c r="B2586">
        <v>32</v>
      </c>
      <c r="C2586" t="s">
        <v>26</v>
      </c>
      <c r="D2586" t="s">
        <v>27</v>
      </c>
      <c r="E2586" t="s">
        <v>17</v>
      </c>
      <c r="F2586" t="s">
        <v>23</v>
      </c>
      <c r="G2586" t="s">
        <v>40</v>
      </c>
      <c r="H2586" t="s">
        <v>25</v>
      </c>
      <c r="I2586" s="1">
        <v>1</v>
      </c>
      <c r="J2586" s="2">
        <v>46202</v>
      </c>
      <c r="K2586" s="2">
        <v>46023</v>
      </c>
      <c r="L2586" s="1" t="str">
        <f t="shared" si="289"/>
        <v>seg</v>
      </c>
      <c r="M2586" s="1" t="str">
        <f t="shared" si="290"/>
        <v>jun</v>
      </c>
      <c r="N2586">
        <f t="shared" si="291"/>
        <v>2026</v>
      </c>
      <c r="O2586" s="2"/>
      <c r="P2586" t="str">
        <f t="shared" si="285"/>
        <v>150046202</v>
      </c>
    </row>
    <row r="2587" spans="1:16" x14ac:dyDescent="0.3">
      <c r="A2587">
        <v>1500</v>
      </c>
      <c r="B2587">
        <v>32</v>
      </c>
      <c r="C2587" t="s">
        <v>26</v>
      </c>
      <c r="D2587" t="s">
        <v>27</v>
      </c>
      <c r="E2587" t="s">
        <v>17</v>
      </c>
      <c r="F2587" t="s">
        <v>23</v>
      </c>
      <c r="G2587" t="s">
        <v>40</v>
      </c>
      <c r="H2587" t="s">
        <v>25</v>
      </c>
      <c r="I2587" s="1">
        <v>1</v>
      </c>
      <c r="J2587" s="2">
        <v>46078</v>
      </c>
      <c r="K2587" s="2">
        <v>46054</v>
      </c>
      <c r="L2587" s="1" t="str">
        <f t="shared" si="289"/>
        <v>qua</v>
      </c>
      <c r="M2587" s="1" t="str">
        <f t="shared" si="290"/>
        <v>fev</v>
      </c>
      <c r="N2587">
        <f t="shared" si="291"/>
        <v>2026</v>
      </c>
      <c r="O2587" s="2"/>
      <c r="P2587" t="str">
        <f t="shared" si="285"/>
        <v>150046078</v>
      </c>
    </row>
    <row r="2588" spans="1:16" x14ac:dyDescent="0.3">
      <c r="A2588">
        <v>1500</v>
      </c>
      <c r="B2588">
        <v>32</v>
      </c>
      <c r="C2588" t="s">
        <v>26</v>
      </c>
      <c r="D2588" t="s">
        <v>27</v>
      </c>
      <c r="E2588" t="s">
        <v>17</v>
      </c>
      <c r="F2588" t="s">
        <v>23</v>
      </c>
      <c r="G2588" t="s">
        <v>40</v>
      </c>
      <c r="H2588" t="s">
        <v>25</v>
      </c>
      <c r="I2588" s="1">
        <v>1</v>
      </c>
      <c r="J2588" s="2">
        <v>46140</v>
      </c>
      <c r="K2588" s="2">
        <v>46113</v>
      </c>
      <c r="L2588" s="1" t="s">
        <v>56</v>
      </c>
      <c r="M2588" s="1" t="s">
        <v>48</v>
      </c>
      <c r="N2588">
        <v>2025</v>
      </c>
      <c r="O2588" s="2"/>
      <c r="P2588" t="str">
        <f t="shared" si="285"/>
        <v>150046140</v>
      </c>
    </row>
    <row r="2589" spans="1:16" x14ac:dyDescent="0.3">
      <c r="A2589">
        <v>1501</v>
      </c>
      <c r="B2589">
        <v>28</v>
      </c>
      <c r="C2589" t="s">
        <v>15</v>
      </c>
      <c r="D2589" t="s">
        <v>29</v>
      </c>
      <c r="E2589" t="s">
        <v>17</v>
      </c>
      <c r="F2589" t="s">
        <v>18</v>
      </c>
      <c r="G2589" t="s">
        <v>41</v>
      </c>
      <c r="H2589" t="s">
        <v>20</v>
      </c>
      <c r="I2589" s="1">
        <v>1</v>
      </c>
      <c r="J2589" s="2">
        <v>45816</v>
      </c>
      <c r="K2589" s="2">
        <v>45809</v>
      </c>
      <c r="L2589" s="1" t="str">
        <f t="shared" ref="L2589:L2604" si="292">TEXT(J2589,"ddd")</f>
        <v>dom</v>
      </c>
      <c r="M2589" s="1" t="str">
        <f t="shared" ref="M2589:M2604" si="293">TEXT($J2589,"mmm")</f>
        <v>jun</v>
      </c>
      <c r="N2589">
        <f t="shared" ref="N2589:N2604" si="294">YEAR(J2589)</f>
        <v>2025</v>
      </c>
      <c r="O2589" s="2">
        <f>_xlfn.XLOOKUP(A2589,Colaboradores!$A:$A,Colaboradores!$S:$S,"",0)</f>
        <v>46154</v>
      </c>
      <c r="P2589" t="str">
        <f t="shared" si="285"/>
        <v>150145816</v>
      </c>
    </row>
    <row r="2590" spans="1:16" x14ac:dyDescent="0.3">
      <c r="A2590">
        <v>1501</v>
      </c>
      <c r="B2590">
        <v>28</v>
      </c>
      <c r="C2590" t="s">
        <v>15</v>
      </c>
      <c r="D2590" t="s">
        <v>29</v>
      </c>
      <c r="E2590" t="s">
        <v>17</v>
      </c>
      <c r="F2590" t="s">
        <v>18</v>
      </c>
      <c r="G2590" t="s">
        <v>41</v>
      </c>
      <c r="H2590" t="s">
        <v>20</v>
      </c>
      <c r="I2590" s="1">
        <v>1</v>
      </c>
      <c r="J2590" s="2">
        <v>45871</v>
      </c>
      <c r="K2590" s="2">
        <v>45870</v>
      </c>
      <c r="L2590" s="1" t="str">
        <f t="shared" si="292"/>
        <v>sáb</v>
      </c>
      <c r="M2590" s="1" t="str">
        <f t="shared" si="293"/>
        <v>ago</v>
      </c>
      <c r="N2590">
        <f t="shared" si="294"/>
        <v>2025</v>
      </c>
      <c r="O2590" s="2">
        <f>_xlfn.XLOOKUP(A2590,Colaboradores!$A:$A,Colaboradores!$S:$S,"",0)</f>
        <v>46154</v>
      </c>
      <c r="P2590" t="str">
        <f t="shared" si="285"/>
        <v>150145871</v>
      </c>
    </row>
    <row r="2591" spans="1:16" x14ac:dyDescent="0.3">
      <c r="A2591">
        <v>1501</v>
      </c>
      <c r="B2591">
        <v>28</v>
      </c>
      <c r="C2591" t="s">
        <v>15</v>
      </c>
      <c r="D2591" t="s">
        <v>29</v>
      </c>
      <c r="E2591" t="s">
        <v>17</v>
      </c>
      <c r="F2591" t="s">
        <v>18</v>
      </c>
      <c r="G2591" t="s">
        <v>42</v>
      </c>
      <c r="H2591" t="s">
        <v>20</v>
      </c>
      <c r="I2591" s="1">
        <v>1</v>
      </c>
      <c r="J2591" s="2">
        <v>45920</v>
      </c>
      <c r="K2591" s="2">
        <v>45901</v>
      </c>
      <c r="L2591" s="1" t="str">
        <f t="shared" si="292"/>
        <v>sáb</v>
      </c>
      <c r="M2591" s="1" t="str">
        <f t="shared" si="293"/>
        <v>set</v>
      </c>
      <c r="N2591">
        <f t="shared" si="294"/>
        <v>2025</v>
      </c>
      <c r="O2591" s="2">
        <f>_xlfn.XLOOKUP(A2591,Colaboradores!$A:$A,Colaboradores!$S:$S,"",0)</f>
        <v>46154</v>
      </c>
      <c r="P2591" t="str">
        <f t="shared" si="285"/>
        <v>150145920</v>
      </c>
    </row>
    <row r="2592" spans="1:16" x14ac:dyDescent="0.3">
      <c r="A2592">
        <v>1501</v>
      </c>
      <c r="B2592">
        <v>28</v>
      </c>
      <c r="C2592" t="s">
        <v>15</v>
      </c>
      <c r="D2592" t="s">
        <v>29</v>
      </c>
      <c r="E2592" t="s">
        <v>17</v>
      </c>
      <c r="F2592" t="s">
        <v>18</v>
      </c>
      <c r="G2592" t="s">
        <v>41</v>
      </c>
      <c r="H2592" t="s">
        <v>20</v>
      </c>
      <c r="I2592" s="1">
        <v>1</v>
      </c>
      <c r="J2592" s="2">
        <v>45999</v>
      </c>
      <c r="K2592" s="2">
        <v>45992</v>
      </c>
      <c r="L2592" s="1" t="str">
        <f t="shared" si="292"/>
        <v>seg</v>
      </c>
      <c r="M2592" s="1" t="str">
        <f t="shared" si="293"/>
        <v>dez</v>
      </c>
      <c r="N2592">
        <f t="shared" si="294"/>
        <v>2025</v>
      </c>
      <c r="O2592" s="2">
        <f>_xlfn.XLOOKUP(A2592,Colaboradores!$A:$A,Colaboradores!$S:$S,"",0)</f>
        <v>46154</v>
      </c>
      <c r="P2592" t="str">
        <f t="shared" si="285"/>
        <v>150145999</v>
      </c>
    </row>
    <row r="2593" spans="1:16" x14ac:dyDescent="0.3">
      <c r="A2593">
        <v>1501</v>
      </c>
      <c r="B2593">
        <v>28</v>
      </c>
      <c r="C2593" t="s">
        <v>15</v>
      </c>
      <c r="D2593" t="s">
        <v>29</v>
      </c>
      <c r="E2593" t="s">
        <v>17</v>
      </c>
      <c r="F2593" t="s">
        <v>18</v>
      </c>
      <c r="G2593" t="s">
        <v>41</v>
      </c>
      <c r="H2593" t="s">
        <v>20</v>
      </c>
      <c r="I2593" s="1">
        <v>1</v>
      </c>
      <c r="J2593" s="2">
        <v>46196</v>
      </c>
      <c r="K2593" s="2">
        <v>46023</v>
      </c>
      <c r="L2593" s="1" t="str">
        <f t="shared" si="292"/>
        <v>ter</v>
      </c>
      <c r="M2593" s="1" t="str">
        <f t="shared" si="293"/>
        <v>jun</v>
      </c>
      <c r="N2593">
        <f t="shared" si="294"/>
        <v>2026</v>
      </c>
      <c r="O2593" s="2">
        <f>_xlfn.XLOOKUP(A2593,Colaboradores!$A:$A,Colaboradores!$S:$S,"",0)</f>
        <v>46154</v>
      </c>
      <c r="P2593" t="str">
        <f t="shared" si="285"/>
        <v>150146196</v>
      </c>
    </row>
    <row r="2594" spans="1:16" x14ac:dyDescent="0.3">
      <c r="A2594">
        <v>1502</v>
      </c>
      <c r="B2594">
        <v>54</v>
      </c>
      <c r="C2594" t="s">
        <v>26</v>
      </c>
      <c r="D2594" t="s">
        <v>16</v>
      </c>
      <c r="E2594" t="s">
        <v>17</v>
      </c>
      <c r="F2594" t="s">
        <v>23</v>
      </c>
      <c r="G2594" t="s">
        <v>43</v>
      </c>
      <c r="H2594" t="s">
        <v>25</v>
      </c>
      <c r="I2594" s="1">
        <v>1</v>
      </c>
      <c r="J2594" s="2">
        <v>45812</v>
      </c>
      <c r="K2594" s="2">
        <v>45809</v>
      </c>
      <c r="L2594" s="1" t="str">
        <f t="shared" si="292"/>
        <v>qua</v>
      </c>
      <c r="M2594" s="1" t="str">
        <f t="shared" si="293"/>
        <v>jun</v>
      </c>
      <c r="N2594">
        <f t="shared" si="294"/>
        <v>2025</v>
      </c>
      <c r="O2594" s="2"/>
      <c r="P2594" t="str">
        <f t="shared" si="285"/>
        <v>150245812</v>
      </c>
    </row>
    <row r="2595" spans="1:16" x14ac:dyDescent="0.3">
      <c r="A2595">
        <v>1502</v>
      </c>
      <c r="B2595">
        <v>54</v>
      </c>
      <c r="C2595" t="s">
        <v>26</v>
      </c>
      <c r="D2595" t="s">
        <v>16</v>
      </c>
      <c r="E2595" t="s">
        <v>17</v>
      </c>
      <c r="F2595" t="s">
        <v>23</v>
      </c>
      <c r="G2595" t="s">
        <v>42</v>
      </c>
      <c r="H2595" t="s">
        <v>25</v>
      </c>
      <c r="I2595" s="1">
        <v>1</v>
      </c>
      <c r="J2595" s="2">
        <v>45825</v>
      </c>
      <c r="K2595" s="2">
        <v>45809</v>
      </c>
      <c r="L2595" s="1" t="str">
        <f t="shared" si="292"/>
        <v>ter</v>
      </c>
      <c r="M2595" s="1" t="str">
        <f t="shared" si="293"/>
        <v>jun</v>
      </c>
      <c r="N2595">
        <f t="shared" si="294"/>
        <v>2025</v>
      </c>
      <c r="O2595" s="2"/>
      <c r="P2595" t="str">
        <f t="shared" si="285"/>
        <v>150245825</v>
      </c>
    </row>
    <row r="2596" spans="1:16" x14ac:dyDescent="0.3">
      <c r="A2596">
        <v>1502</v>
      </c>
      <c r="B2596">
        <v>54</v>
      </c>
      <c r="C2596" t="s">
        <v>26</v>
      </c>
      <c r="D2596" t="s">
        <v>16</v>
      </c>
      <c r="E2596" t="s">
        <v>17</v>
      </c>
      <c r="F2596" t="s">
        <v>23</v>
      </c>
      <c r="G2596" t="s">
        <v>43</v>
      </c>
      <c r="H2596" t="s">
        <v>25</v>
      </c>
      <c r="I2596" s="1">
        <v>1</v>
      </c>
      <c r="J2596" s="2">
        <v>45915</v>
      </c>
      <c r="K2596" s="2">
        <v>45901</v>
      </c>
      <c r="L2596" s="1" t="str">
        <f t="shared" si="292"/>
        <v>seg</v>
      </c>
      <c r="M2596" s="1" t="str">
        <f t="shared" si="293"/>
        <v>set</v>
      </c>
      <c r="N2596">
        <f t="shared" si="294"/>
        <v>2025</v>
      </c>
      <c r="O2596" s="2"/>
      <c r="P2596" t="str">
        <f t="shared" si="285"/>
        <v>150245915</v>
      </c>
    </row>
    <row r="2597" spans="1:16" x14ac:dyDescent="0.3">
      <c r="A2597">
        <v>1502</v>
      </c>
      <c r="B2597">
        <v>54</v>
      </c>
      <c r="C2597" t="s">
        <v>26</v>
      </c>
      <c r="D2597" t="s">
        <v>16</v>
      </c>
      <c r="E2597" t="s">
        <v>17</v>
      </c>
      <c r="F2597" t="s">
        <v>23</v>
      </c>
      <c r="G2597" t="s">
        <v>43</v>
      </c>
      <c r="H2597" t="s">
        <v>25</v>
      </c>
      <c r="I2597" s="1">
        <v>1</v>
      </c>
      <c r="J2597" s="2">
        <v>45949</v>
      </c>
      <c r="K2597" s="2">
        <v>45931</v>
      </c>
      <c r="L2597" s="1" t="str">
        <f t="shared" si="292"/>
        <v>dom</v>
      </c>
      <c r="M2597" s="1" t="str">
        <f t="shared" si="293"/>
        <v>out</v>
      </c>
      <c r="N2597">
        <f t="shared" si="294"/>
        <v>2025</v>
      </c>
      <c r="O2597" s="2"/>
      <c r="P2597" t="str">
        <f t="shared" si="285"/>
        <v>150245949</v>
      </c>
    </row>
    <row r="2598" spans="1:16" x14ac:dyDescent="0.3">
      <c r="A2598">
        <v>1502</v>
      </c>
      <c r="B2598">
        <v>54</v>
      </c>
      <c r="C2598" t="s">
        <v>26</v>
      </c>
      <c r="D2598" t="s">
        <v>16</v>
      </c>
      <c r="E2598" t="s">
        <v>17</v>
      </c>
      <c r="F2598" t="s">
        <v>23</v>
      </c>
      <c r="G2598" t="s">
        <v>43</v>
      </c>
      <c r="H2598" t="s">
        <v>25</v>
      </c>
      <c r="I2598" s="1">
        <v>1</v>
      </c>
      <c r="J2598" s="2">
        <v>46022</v>
      </c>
      <c r="K2598" s="2">
        <v>45992</v>
      </c>
      <c r="L2598" s="1" t="str">
        <f t="shared" si="292"/>
        <v>qua</v>
      </c>
      <c r="M2598" s="1" t="str">
        <f t="shared" si="293"/>
        <v>dez</v>
      </c>
      <c r="N2598">
        <f t="shared" si="294"/>
        <v>2025</v>
      </c>
      <c r="O2598" s="2"/>
      <c r="P2598" t="str">
        <f t="shared" si="285"/>
        <v>150246022</v>
      </c>
    </row>
    <row r="2599" spans="1:16" x14ac:dyDescent="0.3">
      <c r="A2599">
        <v>1503</v>
      </c>
      <c r="B2599">
        <v>55</v>
      </c>
      <c r="C2599" t="s">
        <v>15</v>
      </c>
      <c r="D2599" t="s">
        <v>22</v>
      </c>
      <c r="E2599" t="s">
        <v>17</v>
      </c>
      <c r="F2599" t="s">
        <v>21</v>
      </c>
      <c r="G2599" t="s">
        <v>43</v>
      </c>
      <c r="H2599" t="s">
        <v>25</v>
      </c>
      <c r="I2599" s="1">
        <v>1</v>
      </c>
      <c r="J2599" s="2">
        <v>45762</v>
      </c>
      <c r="K2599" s="2">
        <v>45748</v>
      </c>
      <c r="L2599" s="1" t="str">
        <f t="shared" si="292"/>
        <v>ter</v>
      </c>
      <c r="M2599" s="1" t="str">
        <f t="shared" si="293"/>
        <v>abr</v>
      </c>
      <c r="N2599">
        <f t="shared" si="294"/>
        <v>2025</v>
      </c>
      <c r="O2599" s="2"/>
      <c r="P2599" t="str">
        <f t="shared" si="285"/>
        <v>150345762</v>
      </c>
    </row>
    <row r="2600" spans="1:16" x14ac:dyDescent="0.3">
      <c r="A2600">
        <v>1503</v>
      </c>
      <c r="B2600">
        <v>55</v>
      </c>
      <c r="C2600" t="s">
        <v>15</v>
      </c>
      <c r="D2600" t="s">
        <v>22</v>
      </c>
      <c r="E2600" t="s">
        <v>17</v>
      </c>
      <c r="F2600" t="s">
        <v>21</v>
      </c>
      <c r="G2600" t="s">
        <v>43</v>
      </c>
      <c r="H2600" t="s">
        <v>25</v>
      </c>
      <c r="I2600" s="1">
        <v>1</v>
      </c>
      <c r="J2600" s="2">
        <v>45852</v>
      </c>
      <c r="K2600" s="2">
        <v>45839</v>
      </c>
      <c r="L2600" s="1" t="str">
        <f t="shared" si="292"/>
        <v>seg</v>
      </c>
      <c r="M2600" s="1" t="str">
        <f t="shared" si="293"/>
        <v>jul</v>
      </c>
      <c r="N2600">
        <f t="shared" si="294"/>
        <v>2025</v>
      </c>
      <c r="O2600" s="2"/>
      <c r="P2600" t="str">
        <f t="shared" si="285"/>
        <v>150345852</v>
      </c>
    </row>
    <row r="2601" spans="1:16" x14ac:dyDescent="0.3">
      <c r="A2601">
        <v>1503</v>
      </c>
      <c r="B2601">
        <v>55</v>
      </c>
      <c r="C2601" t="s">
        <v>15</v>
      </c>
      <c r="D2601" t="s">
        <v>22</v>
      </c>
      <c r="E2601" t="s">
        <v>17</v>
      </c>
      <c r="F2601" t="s">
        <v>21</v>
      </c>
      <c r="G2601" t="s">
        <v>43</v>
      </c>
      <c r="H2601" t="s">
        <v>25</v>
      </c>
      <c r="I2601" s="1">
        <v>1</v>
      </c>
      <c r="J2601" s="2">
        <v>45855</v>
      </c>
      <c r="K2601" s="2">
        <v>45839</v>
      </c>
      <c r="L2601" s="1" t="str">
        <f t="shared" si="292"/>
        <v>qui</v>
      </c>
      <c r="M2601" s="1" t="str">
        <f t="shared" si="293"/>
        <v>jul</v>
      </c>
      <c r="N2601">
        <f t="shared" si="294"/>
        <v>2025</v>
      </c>
      <c r="O2601" s="2"/>
      <c r="P2601" t="str">
        <f t="shared" si="285"/>
        <v>150345855</v>
      </c>
    </row>
    <row r="2602" spans="1:16" x14ac:dyDescent="0.3">
      <c r="A2602">
        <v>1503</v>
      </c>
      <c r="B2602">
        <v>55</v>
      </c>
      <c r="C2602" t="s">
        <v>15</v>
      </c>
      <c r="D2602" t="s">
        <v>22</v>
      </c>
      <c r="E2602" t="s">
        <v>17</v>
      </c>
      <c r="F2602" t="s">
        <v>21</v>
      </c>
      <c r="G2602" t="s">
        <v>43</v>
      </c>
      <c r="H2602" t="s">
        <v>25</v>
      </c>
      <c r="I2602" s="1">
        <v>1</v>
      </c>
      <c r="J2602" s="2">
        <v>45870</v>
      </c>
      <c r="K2602" s="2">
        <v>45870</v>
      </c>
      <c r="L2602" s="1" t="str">
        <f t="shared" si="292"/>
        <v>sex</v>
      </c>
      <c r="M2602" s="1" t="str">
        <f t="shared" si="293"/>
        <v>ago</v>
      </c>
      <c r="N2602">
        <f t="shared" si="294"/>
        <v>2025</v>
      </c>
      <c r="O2602" s="2"/>
      <c r="P2602" t="str">
        <f t="shared" si="285"/>
        <v>150345870</v>
      </c>
    </row>
    <row r="2603" spans="1:16" x14ac:dyDescent="0.3">
      <c r="A2603">
        <v>1503</v>
      </c>
      <c r="B2603">
        <v>55</v>
      </c>
      <c r="C2603" t="s">
        <v>15</v>
      </c>
      <c r="D2603" t="s">
        <v>22</v>
      </c>
      <c r="E2603" t="s">
        <v>17</v>
      </c>
      <c r="F2603" t="s">
        <v>21</v>
      </c>
      <c r="G2603" t="s">
        <v>43</v>
      </c>
      <c r="H2603" t="s">
        <v>25</v>
      </c>
      <c r="I2603" s="1">
        <v>1</v>
      </c>
      <c r="J2603" s="2">
        <v>45943</v>
      </c>
      <c r="K2603" s="2">
        <v>45931</v>
      </c>
      <c r="L2603" s="1" t="str">
        <f t="shared" si="292"/>
        <v>seg</v>
      </c>
      <c r="M2603" s="1" t="str">
        <f t="shared" si="293"/>
        <v>out</v>
      </c>
      <c r="N2603">
        <f t="shared" si="294"/>
        <v>2025</v>
      </c>
      <c r="O2603" s="2"/>
      <c r="P2603" t="str">
        <f t="shared" si="285"/>
        <v>150345943</v>
      </c>
    </row>
    <row r="2604" spans="1:16" x14ac:dyDescent="0.3">
      <c r="A2604">
        <v>1503</v>
      </c>
      <c r="B2604">
        <v>55</v>
      </c>
      <c r="C2604" t="s">
        <v>15</v>
      </c>
      <c r="D2604" t="s">
        <v>22</v>
      </c>
      <c r="E2604" t="s">
        <v>17</v>
      </c>
      <c r="F2604" t="s">
        <v>21</v>
      </c>
      <c r="G2604" t="s">
        <v>43</v>
      </c>
      <c r="H2604" t="s">
        <v>25</v>
      </c>
      <c r="I2604" s="1">
        <v>1</v>
      </c>
      <c r="J2604" s="2">
        <v>45954</v>
      </c>
      <c r="K2604" s="2">
        <v>45931</v>
      </c>
      <c r="L2604" s="1" t="str">
        <f t="shared" si="292"/>
        <v>sex</v>
      </c>
      <c r="M2604" s="1" t="str">
        <f t="shared" si="293"/>
        <v>out</v>
      </c>
      <c r="N2604">
        <f t="shared" si="294"/>
        <v>2025</v>
      </c>
      <c r="O2604" s="2"/>
      <c r="P2604" t="str">
        <f t="shared" si="285"/>
        <v>150345954</v>
      </c>
    </row>
    <row r="2605" spans="1:16" x14ac:dyDescent="0.3">
      <c r="A2605">
        <v>1503</v>
      </c>
      <c r="B2605">
        <v>55</v>
      </c>
      <c r="C2605" t="s">
        <v>15</v>
      </c>
      <c r="D2605" t="s">
        <v>22</v>
      </c>
      <c r="E2605" t="s">
        <v>17</v>
      </c>
      <c r="F2605" t="s">
        <v>21</v>
      </c>
      <c r="G2605" t="s">
        <v>43</v>
      </c>
      <c r="H2605" t="s">
        <v>25</v>
      </c>
      <c r="I2605" s="1">
        <v>1</v>
      </c>
      <c r="J2605" s="2">
        <v>46127</v>
      </c>
      <c r="K2605" s="2">
        <v>46113</v>
      </c>
      <c r="L2605" s="1" t="s">
        <v>50</v>
      </c>
      <c r="M2605" s="1" t="s">
        <v>48</v>
      </c>
      <c r="N2605">
        <v>2025</v>
      </c>
      <c r="O2605" s="2"/>
      <c r="P2605" t="str">
        <f t="shared" si="285"/>
        <v>150346127</v>
      </c>
    </row>
    <row r="2606" spans="1:16" x14ac:dyDescent="0.3">
      <c r="A2606">
        <v>1504</v>
      </c>
      <c r="B2606">
        <v>52</v>
      </c>
      <c r="C2606" t="s">
        <v>26</v>
      </c>
      <c r="D2606" t="s">
        <v>29</v>
      </c>
      <c r="E2606" t="s">
        <v>17</v>
      </c>
      <c r="F2606" t="s">
        <v>21</v>
      </c>
      <c r="G2606" t="s">
        <v>41</v>
      </c>
      <c r="H2606" t="s">
        <v>20</v>
      </c>
      <c r="I2606" s="1">
        <v>1</v>
      </c>
      <c r="J2606" s="2">
        <v>45777</v>
      </c>
      <c r="K2606" s="2">
        <v>45748</v>
      </c>
      <c r="L2606" s="1" t="str">
        <f t="shared" ref="L2606:L2623" si="295">TEXT(J2606,"ddd")</f>
        <v>qua</v>
      </c>
      <c r="M2606" s="1" t="str">
        <f t="shared" ref="M2606:M2623" si="296">TEXT($J2606,"mmm")</f>
        <v>abr</v>
      </c>
      <c r="N2606">
        <f t="shared" ref="N2606:N2623" si="297">YEAR(J2606)</f>
        <v>2025</v>
      </c>
      <c r="O2606" s="2">
        <f>_xlfn.XLOOKUP(A2606,Colaboradores!$A:$A,Colaboradores!$S:$S,"",0)</f>
        <v>45790</v>
      </c>
      <c r="P2606" t="str">
        <f t="shared" si="285"/>
        <v>150445777</v>
      </c>
    </row>
    <row r="2607" spans="1:16" x14ac:dyDescent="0.3">
      <c r="A2607">
        <v>1504</v>
      </c>
      <c r="B2607">
        <v>52</v>
      </c>
      <c r="C2607" t="s">
        <v>26</v>
      </c>
      <c r="D2607" t="s">
        <v>29</v>
      </c>
      <c r="E2607" t="s">
        <v>17</v>
      </c>
      <c r="F2607" t="s">
        <v>21</v>
      </c>
      <c r="G2607" t="s">
        <v>41</v>
      </c>
      <c r="H2607" t="s">
        <v>20</v>
      </c>
      <c r="I2607" s="1">
        <v>1</v>
      </c>
      <c r="J2607" s="2">
        <v>45779</v>
      </c>
      <c r="K2607" s="2">
        <v>45778</v>
      </c>
      <c r="L2607" s="1" t="str">
        <f t="shared" si="295"/>
        <v>sex</v>
      </c>
      <c r="M2607" s="1" t="str">
        <f t="shared" si="296"/>
        <v>mai</v>
      </c>
      <c r="N2607">
        <f t="shared" si="297"/>
        <v>2025</v>
      </c>
      <c r="O2607" s="2">
        <f>_xlfn.XLOOKUP(A2607,Colaboradores!$A:$A,Colaboradores!$S:$S,"",0)</f>
        <v>45790</v>
      </c>
      <c r="P2607" t="str">
        <f t="shared" si="285"/>
        <v>150445779</v>
      </c>
    </row>
    <row r="2608" spans="1:16" x14ac:dyDescent="0.3">
      <c r="A2608">
        <v>1504</v>
      </c>
      <c r="B2608">
        <v>52</v>
      </c>
      <c r="C2608" t="s">
        <v>26</v>
      </c>
      <c r="D2608" t="s">
        <v>29</v>
      </c>
      <c r="E2608" t="s">
        <v>17</v>
      </c>
      <c r="F2608" t="s">
        <v>21</v>
      </c>
      <c r="G2608" t="s">
        <v>41</v>
      </c>
      <c r="H2608" t="s">
        <v>20</v>
      </c>
      <c r="I2608" s="1">
        <v>1</v>
      </c>
      <c r="J2608" s="2">
        <v>45783</v>
      </c>
      <c r="K2608" s="2">
        <v>45778</v>
      </c>
      <c r="L2608" s="1" t="str">
        <f t="shared" si="295"/>
        <v>ter</v>
      </c>
      <c r="M2608" s="1" t="str">
        <f t="shared" si="296"/>
        <v>mai</v>
      </c>
      <c r="N2608">
        <f t="shared" si="297"/>
        <v>2025</v>
      </c>
      <c r="O2608" s="2">
        <f>_xlfn.XLOOKUP(A2608,Colaboradores!$A:$A,Colaboradores!$S:$S,"",0)</f>
        <v>45790</v>
      </c>
      <c r="P2608" t="str">
        <f t="shared" si="285"/>
        <v>150445783</v>
      </c>
    </row>
    <row r="2609" spans="1:16" x14ac:dyDescent="0.3">
      <c r="A2609">
        <v>1504</v>
      </c>
      <c r="B2609">
        <v>52</v>
      </c>
      <c r="C2609" t="s">
        <v>26</v>
      </c>
      <c r="D2609" t="s">
        <v>29</v>
      </c>
      <c r="E2609" t="s">
        <v>17</v>
      </c>
      <c r="F2609" t="s">
        <v>21</v>
      </c>
      <c r="G2609" t="s">
        <v>41</v>
      </c>
      <c r="H2609" t="s">
        <v>20</v>
      </c>
      <c r="I2609" s="1">
        <v>1</v>
      </c>
      <c r="J2609" s="2">
        <v>45784</v>
      </c>
      <c r="K2609" s="2">
        <v>45778</v>
      </c>
      <c r="L2609" s="1" t="str">
        <f t="shared" si="295"/>
        <v>qua</v>
      </c>
      <c r="M2609" s="1" t="str">
        <f t="shared" si="296"/>
        <v>mai</v>
      </c>
      <c r="N2609">
        <f t="shared" si="297"/>
        <v>2025</v>
      </c>
      <c r="O2609" s="2">
        <f>_xlfn.XLOOKUP(A2609,Colaboradores!$A:$A,Colaboradores!$S:$S,"",0)</f>
        <v>45790</v>
      </c>
      <c r="P2609" t="str">
        <f t="shared" si="285"/>
        <v>150445784</v>
      </c>
    </row>
    <row r="2610" spans="1:16" x14ac:dyDescent="0.3">
      <c r="A2610">
        <v>1504</v>
      </c>
      <c r="B2610">
        <v>52</v>
      </c>
      <c r="C2610" t="s">
        <v>26</v>
      </c>
      <c r="D2610" t="s">
        <v>29</v>
      </c>
      <c r="E2610" t="s">
        <v>17</v>
      </c>
      <c r="F2610" t="s">
        <v>21</v>
      </c>
      <c r="G2610" t="s">
        <v>41</v>
      </c>
      <c r="H2610" t="s">
        <v>20</v>
      </c>
      <c r="I2610" s="1">
        <v>1</v>
      </c>
      <c r="J2610" s="2">
        <v>45785</v>
      </c>
      <c r="K2610" s="2">
        <v>45778</v>
      </c>
      <c r="L2610" s="1" t="str">
        <f t="shared" si="295"/>
        <v>qui</v>
      </c>
      <c r="M2610" s="1" t="str">
        <f t="shared" si="296"/>
        <v>mai</v>
      </c>
      <c r="N2610">
        <f t="shared" si="297"/>
        <v>2025</v>
      </c>
      <c r="O2610" s="2">
        <f>_xlfn.XLOOKUP(A2610,Colaboradores!$A:$A,Colaboradores!$S:$S,"",0)</f>
        <v>45790</v>
      </c>
      <c r="P2610" t="str">
        <f t="shared" si="285"/>
        <v>150445785</v>
      </c>
    </row>
    <row r="2611" spans="1:16" x14ac:dyDescent="0.3">
      <c r="A2611">
        <v>1504</v>
      </c>
      <c r="B2611">
        <v>52</v>
      </c>
      <c r="C2611" t="s">
        <v>26</v>
      </c>
      <c r="D2611" t="s">
        <v>29</v>
      </c>
      <c r="E2611" t="s">
        <v>17</v>
      </c>
      <c r="F2611" t="s">
        <v>21</v>
      </c>
      <c r="G2611" t="s">
        <v>41</v>
      </c>
      <c r="H2611" t="s">
        <v>20</v>
      </c>
      <c r="I2611" s="1">
        <v>1</v>
      </c>
      <c r="J2611" s="2">
        <v>45786</v>
      </c>
      <c r="K2611" s="2">
        <v>45778</v>
      </c>
      <c r="L2611" s="1" t="str">
        <f t="shared" si="295"/>
        <v>sex</v>
      </c>
      <c r="M2611" s="1" t="str">
        <f t="shared" si="296"/>
        <v>mai</v>
      </c>
      <c r="N2611">
        <f t="shared" si="297"/>
        <v>2025</v>
      </c>
      <c r="O2611" s="2">
        <f>_xlfn.XLOOKUP(A2611,Colaboradores!$A:$A,Colaboradores!$S:$S,"",0)</f>
        <v>45790</v>
      </c>
      <c r="P2611" t="str">
        <f t="shared" si="285"/>
        <v>150445786</v>
      </c>
    </row>
    <row r="2612" spans="1:16" x14ac:dyDescent="0.3">
      <c r="A2612">
        <v>1506</v>
      </c>
      <c r="B2612">
        <v>42</v>
      </c>
      <c r="C2612" t="s">
        <v>26</v>
      </c>
      <c r="D2612" t="s">
        <v>16</v>
      </c>
      <c r="E2612" t="s">
        <v>17</v>
      </c>
      <c r="F2612" t="s">
        <v>21</v>
      </c>
      <c r="G2612" t="s">
        <v>41</v>
      </c>
      <c r="H2612" t="s">
        <v>20</v>
      </c>
      <c r="I2612" s="1">
        <v>1</v>
      </c>
      <c r="J2612" s="2">
        <v>45770</v>
      </c>
      <c r="K2612" s="2">
        <v>45748</v>
      </c>
      <c r="L2612" s="1" t="str">
        <f t="shared" si="295"/>
        <v>qua</v>
      </c>
      <c r="M2612" s="1" t="str">
        <f t="shared" si="296"/>
        <v>abr</v>
      </c>
      <c r="N2612">
        <f t="shared" si="297"/>
        <v>2025</v>
      </c>
      <c r="O2612" s="2">
        <f>_xlfn.XLOOKUP(A2612,Colaboradores!$A:$A,Colaboradores!$S:$S,"",0)</f>
        <v>46202</v>
      </c>
      <c r="P2612" t="str">
        <f t="shared" si="285"/>
        <v>150645770</v>
      </c>
    </row>
    <row r="2613" spans="1:16" x14ac:dyDescent="0.3">
      <c r="A2613">
        <v>1506</v>
      </c>
      <c r="B2613">
        <v>42</v>
      </c>
      <c r="C2613" t="s">
        <v>26</v>
      </c>
      <c r="D2613" t="s">
        <v>16</v>
      </c>
      <c r="E2613" t="s">
        <v>17</v>
      </c>
      <c r="F2613" t="s">
        <v>21</v>
      </c>
      <c r="G2613" t="s">
        <v>41</v>
      </c>
      <c r="H2613" t="s">
        <v>20</v>
      </c>
      <c r="I2613" s="1">
        <v>1</v>
      </c>
      <c r="J2613" s="2">
        <v>45788</v>
      </c>
      <c r="K2613" s="2">
        <v>45778</v>
      </c>
      <c r="L2613" s="1" t="str">
        <f t="shared" si="295"/>
        <v>dom</v>
      </c>
      <c r="M2613" s="1" t="str">
        <f t="shared" si="296"/>
        <v>mai</v>
      </c>
      <c r="N2613">
        <f t="shared" si="297"/>
        <v>2025</v>
      </c>
      <c r="O2613" s="2">
        <f>_xlfn.XLOOKUP(A2613,Colaboradores!$A:$A,Colaboradores!$S:$S,"",0)</f>
        <v>46202</v>
      </c>
      <c r="P2613" t="str">
        <f t="shared" si="285"/>
        <v>150645788</v>
      </c>
    </row>
    <row r="2614" spans="1:16" x14ac:dyDescent="0.3">
      <c r="A2614">
        <v>1506</v>
      </c>
      <c r="B2614">
        <v>42</v>
      </c>
      <c r="C2614" t="s">
        <v>26</v>
      </c>
      <c r="D2614" t="s">
        <v>16</v>
      </c>
      <c r="E2614" t="s">
        <v>17</v>
      </c>
      <c r="F2614" t="s">
        <v>21</v>
      </c>
      <c r="G2614" t="s">
        <v>41</v>
      </c>
      <c r="H2614" t="s">
        <v>20</v>
      </c>
      <c r="I2614" s="1">
        <v>1</v>
      </c>
      <c r="J2614" s="2">
        <v>45850</v>
      </c>
      <c r="K2614" s="2">
        <v>45839</v>
      </c>
      <c r="L2614" s="1" t="str">
        <f t="shared" si="295"/>
        <v>sáb</v>
      </c>
      <c r="M2614" s="1" t="str">
        <f t="shared" si="296"/>
        <v>jul</v>
      </c>
      <c r="N2614">
        <f t="shared" si="297"/>
        <v>2025</v>
      </c>
      <c r="O2614" s="2">
        <f>_xlfn.XLOOKUP(A2614,Colaboradores!$A:$A,Colaboradores!$S:$S,"",0)</f>
        <v>46202</v>
      </c>
      <c r="P2614" t="str">
        <f t="shared" si="285"/>
        <v>150645850</v>
      </c>
    </row>
    <row r="2615" spans="1:16" x14ac:dyDescent="0.3">
      <c r="A2615">
        <v>1506</v>
      </c>
      <c r="B2615">
        <v>42</v>
      </c>
      <c r="C2615" t="s">
        <v>26</v>
      </c>
      <c r="D2615" t="s">
        <v>16</v>
      </c>
      <c r="E2615" t="s">
        <v>17</v>
      </c>
      <c r="F2615" t="s">
        <v>21</v>
      </c>
      <c r="G2615" t="s">
        <v>44</v>
      </c>
      <c r="H2615" t="s">
        <v>20</v>
      </c>
      <c r="I2615" s="1">
        <v>1</v>
      </c>
      <c r="J2615" s="2">
        <v>45925</v>
      </c>
      <c r="K2615" s="2">
        <v>45901</v>
      </c>
      <c r="L2615" s="1" t="str">
        <f t="shared" si="295"/>
        <v>qui</v>
      </c>
      <c r="M2615" s="1" t="str">
        <f t="shared" si="296"/>
        <v>set</v>
      </c>
      <c r="N2615">
        <f t="shared" si="297"/>
        <v>2025</v>
      </c>
      <c r="O2615" s="2">
        <f>_xlfn.XLOOKUP(A2615,Colaboradores!$A:$A,Colaboradores!$S:$S,"",0)</f>
        <v>46202</v>
      </c>
      <c r="P2615" t="str">
        <f t="shared" si="285"/>
        <v>150645925</v>
      </c>
    </row>
    <row r="2616" spans="1:16" x14ac:dyDescent="0.3">
      <c r="A2616">
        <v>1506</v>
      </c>
      <c r="B2616">
        <v>42</v>
      </c>
      <c r="C2616" t="s">
        <v>26</v>
      </c>
      <c r="D2616" t="s">
        <v>16</v>
      </c>
      <c r="E2616" t="s">
        <v>17</v>
      </c>
      <c r="F2616" t="s">
        <v>21</v>
      </c>
      <c r="G2616" t="s">
        <v>44</v>
      </c>
      <c r="H2616" t="s">
        <v>20</v>
      </c>
      <c r="I2616" s="1">
        <v>1</v>
      </c>
      <c r="J2616" s="2">
        <v>45926</v>
      </c>
      <c r="K2616" s="2">
        <v>45901</v>
      </c>
      <c r="L2616" s="1" t="str">
        <f t="shared" si="295"/>
        <v>sex</v>
      </c>
      <c r="M2616" s="1" t="str">
        <f t="shared" si="296"/>
        <v>set</v>
      </c>
      <c r="N2616">
        <f t="shared" si="297"/>
        <v>2025</v>
      </c>
      <c r="O2616" s="2">
        <f>_xlfn.XLOOKUP(A2616,Colaboradores!$A:$A,Colaboradores!$S:$S,"",0)</f>
        <v>46202</v>
      </c>
      <c r="P2616" t="str">
        <f t="shared" si="285"/>
        <v>150645926</v>
      </c>
    </row>
    <row r="2617" spans="1:16" x14ac:dyDescent="0.3">
      <c r="A2617">
        <v>1506</v>
      </c>
      <c r="B2617">
        <v>42</v>
      </c>
      <c r="C2617" t="s">
        <v>26</v>
      </c>
      <c r="D2617" t="s">
        <v>16</v>
      </c>
      <c r="E2617" t="s">
        <v>17</v>
      </c>
      <c r="F2617" t="s">
        <v>21</v>
      </c>
      <c r="G2617" t="s">
        <v>44</v>
      </c>
      <c r="H2617" t="s">
        <v>20</v>
      </c>
      <c r="I2617" s="1">
        <v>1</v>
      </c>
      <c r="J2617" s="2">
        <v>45937</v>
      </c>
      <c r="K2617" s="2">
        <v>45931</v>
      </c>
      <c r="L2617" s="1" t="str">
        <f t="shared" si="295"/>
        <v>ter</v>
      </c>
      <c r="M2617" s="1" t="str">
        <f t="shared" si="296"/>
        <v>out</v>
      </c>
      <c r="N2617">
        <f t="shared" si="297"/>
        <v>2025</v>
      </c>
      <c r="O2617" s="2">
        <f>_xlfn.XLOOKUP(A2617,Colaboradores!$A:$A,Colaboradores!$S:$S,"",0)</f>
        <v>46202</v>
      </c>
      <c r="P2617" t="str">
        <f t="shared" si="285"/>
        <v>150645937</v>
      </c>
    </row>
    <row r="2618" spans="1:16" x14ac:dyDescent="0.3">
      <c r="A2618">
        <v>1508</v>
      </c>
      <c r="B2618">
        <v>35</v>
      </c>
      <c r="C2618" t="s">
        <v>15</v>
      </c>
      <c r="D2618" t="s">
        <v>16</v>
      </c>
      <c r="E2618" t="s">
        <v>17</v>
      </c>
      <c r="F2618" t="s">
        <v>23</v>
      </c>
      <c r="G2618" t="s">
        <v>44</v>
      </c>
      <c r="H2618" t="s">
        <v>25</v>
      </c>
      <c r="I2618" s="1">
        <v>1</v>
      </c>
      <c r="J2618" s="2">
        <v>45786</v>
      </c>
      <c r="K2618" s="2">
        <v>45778</v>
      </c>
      <c r="L2618" s="1" t="str">
        <f t="shared" si="295"/>
        <v>sex</v>
      </c>
      <c r="M2618" s="1" t="str">
        <f t="shared" si="296"/>
        <v>mai</v>
      </c>
      <c r="N2618">
        <f t="shared" si="297"/>
        <v>2025</v>
      </c>
      <c r="O2618" s="2"/>
      <c r="P2618" t="str">
        <f t="shared" si="285"/>
        <v>150845786</v>
      </c>
    </row>
    <row r="2619" spans="1:16" x14ac:dyDescent="0.3">
      <c r="A2619">
        <v>1508</v>
      </c>
      <c r="B2619">
        <v>35</v>
      </c>
      <c r="C2619" t="s">
        <v>15</v>
      </c>
      <c r="D2619" t="s">
        <v>16</v>
      </c>
      <c r="E2619" t="s">
        <v>17</v>
      </c>
      <c r="F2619" t="s">
        <v>23</v>
      </c>
      <c r="G2619" t="s">
        <v>41</v>
      </c>
      <c r="H2619" t="s">
        <v>25</v>
      </c>
      <c r="I2619" s="1">
        <v>1</v>
      </c>
      <c r="J2619" s="2">
        <v>45811</v>
      </c>
      <c r="K2619" s="2">
        <v>45809</v>
      </c>
      <c r="L2619" s="1" t="str">
        <f t="shared" si="295"/>
        <v>ter</v>
      </c>
      <c r="M2619" s="1" t="str">
        <f t="shared" si="296"/>
        <v>jun</v>
      </c>
      <c r="N2619">
        <f t="shared" si="297"/>
        <v>2025</v>
      </c>
      <c r="O2619" s="2"/>
      <c r="P2619" t="str">
        <f t="shared" si="285"/>
        <v>150845811</v>
      </c>
    </row>
    <row r="2620" spans="1:16" x14ac:dyDescent="0.3">
      <c r="A2620">
        <v>1508</v>
      </c>
      <c r="B2620">
        <v>35</v>
      </c>
      <c r="C2620" t="s">
        <v>15</v>
      </c>
      <c r="D2620" t="s">
        <v>16</v>
      </c>
      <c r="E2620" t="s">
        <v>17</v>
      </c>
      <c r="F2620" t="s">
        <v>23</v>
      </c>
      <c r="G2620" t="s">
        <v>41</v>
      </c>
      <c r="H2620" t="s">
        <v>25</v>
      </c>
      <c r="I2620" s="1">
        <v>1</v>
      </c>
      <c r="J2620" s="2">
        <v>45878</v>
      </c>
      <c r="K2620" s="2">
        <v>45870</v>
      </c>
      <c r="L2620" s="1" t="str">
        <f t="shared" si="295"/>
        <v>sáb</v>
      </c>
      <c r="M2620" s="1" t="str">
        <f t="shared" si="296"/>
        <v>ago</v>
      </c>
      <c r="N2620">
        <f t="shared" si="297"/>
        <v>2025</v>
      </c>
      <c r="O2620" s="2"/>
      <c r="P2620" t="str">
        <f t="shared" si="285"/>
        <v>150845878</v>
      </c>
    </row>
    <row r="2621" spans="1:16" x14ac:dyDescent="0.3">
      <c r="A2621">
        <v>1508</v>
      </c>
      <c r="B2621">
        <v>35</v>
      </c>
      <c r="C2621" t="s">
        <v>15</v>
      </c>
      <c r="D2621" t="s">
        <v>16</v>
      </c>
      <c r="E2621" t="s">
        <v>17</v>
      </c>
      <c r="F2621" t="s">
        <v>23</v>
      </c>
      <c r="G2621" t="s">
        <v>44</v>
      </c>
      <c r="H2621" t="s">
        <v>25</v>
      </c>
      <c r="I2621" s="1">
        <v>1</v>
      </c>
      <c r="J2621" s="2">
        <v>46011</v>
      </c>
      <c r="K2621" s="2">
        <v>45992</v>
      </c>
      <c r="L2621" s="1" t="str">
        <f t="shared" si="295"/>
        <v>sáb</v>
      </c>
      <c r="M2621" s="1" t="str">
        <f t="shared" si="296"/>
        <v>dez</v>
      </c>
      <c r="N2621">
        <f t="shared" si="297"/>
        <v>2025</v>
      </c>
      <c r="O2621" s="2"/>
      <c r="P2621" t="str">
        <f t="shared" si="285"/>
        <v>150846011</v>
      </c>
    </row>
    <row r="2622" spans="1:16" x14ac:dyDescent="0.3">
      <c r="A2622">
        <v>1508</v>
      </c>
      <c r="B2622">
        <v>35</v>
      </c>
      <c r="C2622" t="s">
        <v>15</v>
      </c>
      <c r="D2622" t="s">
        <v>16</v>
      </c>
      <c r="E2622" t="s">
        <v>17</v>
      </c>
      <c r="F2622" t="s">
        <v>23</v>
      </c>
      <c r="G2622" t="s">
        <v>44</v>
      </c>
      <c r="H2622" t="s">
        <v>25</v>
      </c>
      <c r="I2622" s="1">
        <v>1</v>
      </c>
      <c r="J2622" s="2">
        <v>46187</v>
      </c>
      <c r="K2622" s="2">
        <v>46023</v>
      </c>
      <c r="L2622" s="1" t="str">
        <f t="shared" si="295"/>
        <v>dom</v>
      </c>
      <c r="M2622" s="1" t="str">
        <f t="shared" si="296"/>
        <v>jun</v>
      </c>
      <c r="N2622">
        <f t="shared" si="297"/>
        <v>2026</v>
      </c>
      <c r="O2622" s="2"/>
      <c r="P2622" t="str">
        <f t="shared" ref="P2622:P2685" si="298">CONCATENATE(A2622,J2622)</f>
        <v>150846187</v>
      </c>
    </row>
    <row r="2623" spans="1:16" x14ac:dyDescent="0.3">
      <c r="A2623">
        <v>1508</v>
      </c>
      <c r="B2623">
        <v>35</v>
      </c>
      <c r="C2623" t="s">
        <v>15</v>
      </c>
      <c r="D2623" t="s">
        <v>16</v>
      </c>
      <c r="E2623" t="s">
        <v>17</v>
      </c>
      <c r="F2623" t="s">
        <v>23</v>
      </c>
      <c r="G2623" t="s">
        <v>44</v>
      </c>
      <c r="H2623" t="s">
        <v>25</v>
      </c>
      <c r="I2623" s="1">
        <v>1</v>
      </c>
      <c r="J2623" s="2">
        <v>46101</v>
      </c>
      <c r="K2623" s="2">
        <v>46082</v>
      </c>
      <c r="L2623" s="1" t="str">
        <f t="shared" si="295"/>
        <v>sex</v>
      </c>
      <c r="M2623" s="1" t="str">
        <f t="shared" si="296"/>
        <v>mar</v>
      </c>
      <c r="N2623">
        <f t="shared" si="297"/>
        <v>2026</v>
      </c>
      <c r="O2623" s="2"/>
      <c r="P2623" t="str">
        <f t="shared" si="298"/>
        <v>150846101</v>
      </c>
    </row>
    <row r="2624" spans="1:16" x14ac:dyDescent="0.3">
      <c r="A2624">
        <v>1508</v>
      </c>
      <c r="B2624">
        <v>35</v>
      </c>
      <c r="C2624" t="s">
        <v>15</v>
      </c>
      <c r="D2624" t="s">
        <v>16</v>
      </c>
      <c r="E2624" t="s">
        <v>17</v>
      </c>
      <c r="F2624" t="s">
        <v>23</v>
      </c>
      <c r="G2624" t="s">
        <v>44</v>
      </c>
      <c r="H2624" t="s">
        <v>25</v>
      </c>
      <c r="I2624" s="1">
        <v>1</v>
      </c>
      <c r="J2624" s="2">
        <v>46151</v>
      </c>
      <c r="K2624" s="2">
        <v>46143</v>
      </c>
      <c r="L2624" s="1" t="s">
        <v>53</v>
      </c>
      <c r="M2624" s="1" t="s">
        <v>49</v>
      </c>
      <c r="N2624">
        <v>2025</v>
      </c>
      <c r="O2624" s="2"/>
      <c r="P2624" t="str">
        <f t="shared" si="298"/>
        <v>150846151</v>
      </c>
    </row>
    <row r="2625" spans="1:16" x14ac:dyDescent="0.3">
      <c r="A2625">
        <v>1509</v>
      </c>
      <c r="B2625">
        <v>23</v>
      </c>
      <c r="C2625" t="s">
        <v>26</v>
      </c>
      <c r="D2625" t="s">
        <v>22</v>
      </c>
      <c r="E2625" t="s">
        <v>17</v>
      </c>
      <c r="F2625" t="s">
        <v>23</v>
      </c>
      <c r="G2625" t="s">
        <v>41</v>
      </c>
      <c r="H2625" t="s">
        <v>25</v>
      </c>
      <c r="I2625" s="1">
        <v>2</v>
      </c>
      <c r="J2625" s="2">
        <v>45873</v>
      </c>
      <c r="K2625" s="2">
        <v>45870</v>
      </c>
      <c r="L2625" s="1" t="str">
        <f t="shared" ref="L2625:L2644" si="299">TEXT(J2625,"ddd")</f>
        <v>seg</v>
      </c>
      <c r="M2625" s="1" t="str">
        <f t="shared" ref="M2625:M2644" si="300">TEXT($J2625,"mmm")</f>
        <v>ago</v>
      </c>
      <c r="N2625">
        <f t="shared" ref="N2625:N2644" si="301">YEAR(J2625)</f>
        <v>2025</v>
      </c>
      <c r="O2625" s="2"/>
      <c r="P2625" t="str">
        <f t="shared" si="298"/>
        <v>150945873</v>
      </c>
    </row>
    <row r="2626" spans="1:16" x14ac:dyDescent="0.3">
      <c r="A2626">
        <v>1509</v>
      </c>
      <c r="B2626">
        <v>23</v>
      </c>
      <c r="C2626" t="s">
        <v>26</v>
      </c>
      <c r="D2626" t="s">
        <v>22</v>
      </c>
      <c r="E2626" t="s">
        <v>17</v>
      </c>
      <c r="F2626" t="s">
        <v>23</v>
      </c>
      <c r="G2626" t="s">
        <v>41</v>
      </c>
      <c r="H2626" t="s">
        <v>25</v>
      </c>
      <c r="I2626" s="1">
        <v>2</v>
      </c>
      <c r="J2626" s="2">
        <v>45911</v>
      </c>
      <c r="K2626" s="2">
        <v>45901</v>
      </c>
      <c r="L2626" s="1" t="str">
        <f t="shared" si="299"/>
        <v>qui</v>
      </c>
      <c r="M2626" s="1" t="str">
        <f t="shared" si="300"/>
        <v>set</v>
      </c>
      <c r="N2626">
        <f t="shared" si="301"/>
        <v>2025</v>
      </c>
      <c r="O2626" s="2"/>
      <c r="P2626" t="str">
        <f t="shared" si="298"/>
        <v>150945911</v>
      </c>
    </row>
    <row r="2627" spans="1:16" x14ac:dyDescent="0.3">
      <c r="A2627">
        <v>1509</v>
      </c>
      <c r="B2627">
        <v>23</v>
      </c>
      <c r="C2627" t="s">
        <v>26</v>
      </c>
      <c r="D2627" t="s">
        <v>22</v>
      </c>
      <c r="E2627" t="s">
        <v>17</v>
      </c>
      <c r="F2627" t="s">
        <v>23</v>
      </c>
      <c r="G2627" t="s">
        <v>41</v>
      </c>
      <c r="H2627" t="s">
        <v>25</v>
      </c>
      <c r="I2627" s="1">
        <v>2</v>
      </c>
      <c r="J2627" s="2">
        <v>45970</v>
      </c>
      <c r="K2627" s="2">
        <v>45962</v>
      </c>
      <c r="L2627" s="1" t="str">
        <f t="shared" si="299"/>
        <v>dom</v>
      </c>
      <c r="M2627" s="1" t="str">
        <f t="shared" si="300"/>
        <v>nov</v>
      </c>
      <c r="N2627">
        <f t="shared" si="301"/>
        <v>2025</v>
      </c>
      <c r="O2627" s="2"/>
      <c r="P2627" t="str">
        <f t="shared" si="298"/>
        <v>150945970</v>
      </c>
    </row>
    <row r="2628" spans="1:16" x14ac:dyDescent="0.3">
      <c r="A2628">
        <v>1509</v>
      </c>
      <c r="B2628">
        <v>23</v>
      </c>
      <c r="C2628" t="s">
        <v>26</v>
      </c>
      <c r="D2628" t="s">
        <v>22</v>
      </c>
      <c r="E2628" t="s">
        <v>17</v>
      </c>
      <c r="F2628" t="s">
        <v>23</v>
      </c>
      <c r="G2628" t="s">
        <v>41</v>
      </c>
      <c r="H2628" t="s">
        <v>25</v>
      </c>
      <c r="I2628" s="1">
        <v>2</v>
      </c>
      <c r="J2628" s="2">
        <v>46104</v>
      </c>
      <c r="K2628" s="2">
        <v>46082</v>
      </c>
      <c r="L2628" s="1" t="str">
        <f t="shared" si="299"/>
        <v>seg</v>
      </c>
      <c r="M2628" s="1" t="str">
        <f t="shared" si="300"/>
        <v>mar</v>
      </c>
      <c r="N2628">
        <f t="shared" si="301"/>
        <v>2026</v>
      </c>
      <c r="O2628" s="2"/>
      <c r="P2628" t="str">
        <f t="shared" si="298"/>
        <v>150946104</v>
      </c>
    </row>
    <row r="2629" spans="1:16" x14ac:dyDescent="0.3">
      <c r="A2629">
        <v>1509</v>
      </c>
      <c r="B2629">
        <v>23</v>
      </c>
      <c r="C2629" t="s">
        <v>26</v>
      </c>
      <c r="D2629" t="s">
        <v>22</v>
      </c>
      <c r="E2629" t="s">
        <v>17</v>
      </c>
      <c r="F2629" t="s">
        <v>23</v>
      </c>
      <c r="G2629" t="s">
        <v>41</v>
      </c>
      <c r="H2629" t="s">
        <v>25</v>
      </c>
      <c r="I2629" s="1">
        <v>2</v>
      </c>
      <c r="J2629" s="2">
        <v>46122</v>
      </c>
      <c r="K2629" s="2">
        <v>46113</v>
      </c>
      <c r="L2629" s="1" t="str">
        <f t="shared" si="299"/>
        <v>sex</v>
      </c>
      <c r="M2629" s="1" t="str">
        <f t="shared" si="300"/>
        <v>abr</v>
      </c>
      <c r="N2629">
        <f t="shared" si="301"/>
        <v>2026</v>
      </c>
      <c r="O2629" s="2"/>
      <c r="P2629" t="str">
        <f t="shared" si="298"/>
        <v>150946122</v>
      </c>
    </row>
    <row r="2630" spans="1:16" x14ac:dyDescent="0.3">
      <c r="A2630">
        <v>1509</v>
      </c>
      <c r="B2630">
        <v>23</v>
      </c>
      <c r="C2630" t="s">
        <v>26</v>
      </c>
      <c r="D2630" t="s">
        <v>22</v>
      </c>
      <c r="E2630" t="s">
        <v>17</v>
      </c>
      <c r="F2630" t="s">
        <v>23</v>
      </c>
      <c r="G2630" t="s">
        <v>41</v>
      </c>
      <c r="H2630" t="s">
        <v>25</v>
      </c>
      <c r="I2630" s="1">
        <v>2</v>
      </c>
      <c r="J2630" s="2">
        <v>46124</v>
      </c>
      <c r="K2630" s="2">
        <v>46113</v>
      </c>
      <c r="L2630" s="1" t="str">
        <f t="shared" si="299"/>
        <v>dom</v>
      </c>
      <c r="M2630" s="1" t="str">
        <f t="shared" si="300"/>
        <v>abr</v>
      </c>
      <c r="N2630">
        <f t="shared" si="301"/>
        <v>2026</v>
      </c>
      <c r="O2630" s="2"/>
      <c r="P2630" t="str">
        <f t="shared" si="298"/>
        <v>150946124</v>
      </c>
    </row>
    <row r="2631" spans="1:16" x14ac:dyDescent="0.3">
      <c r="A2631">
        <v>1509</v>
      </c>
      <c r="B2631">
        <v>23</v>
      </c>
      <c r="C2631" t="s">
        <v>26</v>
      </c>
      <c r="D2631" t="s">
        <v>22</v>
      </c>
      <c r="E2631" t="s">
        <v>17</v>
      </c>
      <c r="F2631" t="s">
        <v>23</v>
      </c>
      <c r="G2631" t="s">
        <v>41</v>
      </c>
      <c r="H2631" t="s">
        <v>25</v>
      </c>
      <c r="I2631" s="1">
        <v>2</v>
      </c>
      <c r="J2631" s="2">
        <v>46160</v>
      </c>
      <c r="K2631" s="2">
        <v>46143</v>
      </c>
      <c r="L2631" s="1" t="str">
        <f t="shared" si="299"/>
        <v>seg</v>
      </c>
      <c r="M2631" s="1" t="str">
        <f t="shared" si="300"/>
        <v>mai</v>
      </c>
      <c r="N2631">
        <f t="shared" si="301"/>
        <v>2026</v>
      </c>
      <c r="O2631" s="2"/>
      <c r="P2631" t="str">
        <f t="shared" si="298"/>
        <v>150946160</v>
      </c>
    </row>
    <row r="2632" spans="1:16" x14ac:dyDescent="0.3">
      <c r="A2632">
        <v>1509</v>
      </c>
      <c r="B2632">
        <v>23</v>
      </c>
      <c r="C2632" t="s">
        <v>26</v>
      </c>
      <c r="D2632" t="s">
        <v>22</v>
      </c>
      <c r="E2632" t="s">
        <v>17</v>
      </c>
      <c r="F2632" t="s">
        <v>23</v>
      </c>
      <c r="G2632" t="s">
        <v>41</v>
      </c>
      <c r="H2632" t="s">
        <v>25</v>
      </c>
      <c r="I2632" s="1">
        <v>2</v>
      </c>
      <c r="J2632" s="2">
        <v>46161</v>
      </c>
      <c r="K2632" s="2">
        <v>46143</v>
      </c>
      <c r="L2632" s="1" t="str">
        <f t="shared" si="299"/>
        <v>ter</v>
      </c>
      <c r="M2632" s="1" t="str">
        <f t="shared" si="300"/>
        <v>mai</v>
      </c>
      <c r="N2632">
        <f t="shared" si="301"/>
        <v>2026</v>
      </c>
      <c r="O2632" s="2"/>
      <c r="P2632" t="str">
        <f t="shared" si="298"/>
        <v>150946161</v>
      </c>
    </row>
    <row r="2633" spans="1:16" x14ac:dyDescent="0.3">
      <c r="A2633">
        <v>1510</v>
      </c>
      <c r="B2633">
        <v>28</v>
      </c>
      <c r="C2633" t="s">
        <v>15</v>
      </c>
      <c r="D2633" t="s">
        <v>16</v>
      </c>
      <c r="E2633" t="s">
        <v>17</v>
      </c>
      <c r="F2633" t="s">
        <v>18</v>
      </c>
      <c r="G2633" t="s">
        <v>40</v>
      </c>
      <c r="H2633" t="s">
        <v>25</v>
      </c>
      <c r="I2633" s="1">
        <v>1</v>
      </c>
      <c r="J2633" s="2">
        <v>45861</v>
      </c>
      <c r="K2633" s="2">
        <v>45839</v>
      </c>
      <c r="L2633" s="1" t="str">
        <f t="shared" si="299"/>
        <v>qua</v>
      </c>
      <c r="M2633" s="1" t="str">
        <f t="shared" si="300"/>
        <v>jul</v>
      </c>
      <c r="N2633">
        <f t="shared" si="301"/>
        <v>2025</v>
      </c>
      <c r="O2633" s="2"/>
      <c r="P2633" t="str">
        <f t="shared" si="298"/>
        <v>151045861</v>
      </c>
    </row>
    <row r="2634" spans="1:16" x14ac:dyDescent="0.3">
      <c r="A2634">
        <v>1510</v>
      </c>
      <c r="B2634">
        <v>28</v>
      </c>
      <c r="C2634" t="s">
        <v>15</v>
      </c>
      <c r="D2634" t="s">
        <v>16</v>
      </c>
      <c r="E2634" t="s">
        <v>17</v>
      </c>
      <c r="F2634" t="s">
        <v>18</v>
      </c>
      <c r="G2634" t="s">
        <v>41</v>
      </c>
      <c r="H2634" t="s">
        <v>25</v>
      </c>
      <c r="I2634" s="1">
        <v>1</v>
      </c>
      <c r="J2634" s="2">
        <v>45884</v>
      </c>
      <c r="K2634" s="2">
        <v>45870</v>
      </c>
      <c r="L2634" s="1" t="str">
        <f t="shared" si="299"/>
        <v>sex</v>
      </c>
      <c r="M2634" s="1" t="str">
        <f t="shared" si="300"/>
        <v>ago</v>
      </c>
      <c r="N2634">
        <f t="shared" si="301"/>
        <v>2025</v>
      </c>
      <c r="O2634" s="2"/>
      <c r="P2634" t="str">
        <f t="shared" si="298"/>
        <v>151045884</v>
      </c>
    </row>
    <row r="2635" spans="1:16" x14ac:dyDescent="0.3">
      <c r="A2635">
        <v>1510</v>
      </c>
      <c r="B2635">
        <v>28</v>
      </c>
      <c r="C2635" t="s">
        <v>15</v>
      </c>
      <c r="D2635" t="s">
        <v>16</v>
      </c>
      <c r="E2635" t="s">
        <v>17</v>
      </c>
      <c r="F2635" t="s">
        <v>18</v>
      </c>
      <c r="G2635" t="s">
        <v>40</v>
      </c>
      <c r="H2635" t="s">
        <v>25</v>
      </c>
      <c r="I2635" s="1">
        <v>1</v>
      </c>
      <c r="J2635" s="2">
        <v>45934</v>
      </c>
      <c r="K2635" s="2">
        <v>45931</v>
      </c>
      <c r="L2635" s="1" t="str">
        <f t="shared" si="299"/>
        <v>sáb</v>
      </c>
      <c r="M2635" s="1" t="str">
        <f t="shared" si="300"/>
        <v>out</v>
      </c>
      <c r="N2635">
        <f t="shared" si="301"/>
        <v>2025</v>
      </c>
      <c r="O2635" s="2"/>
      <c r="P2635" t="str">
        <f t="shared" si="298"/>
        <v>151045934</v>
      </c>
    </row>
    <row r="2636" spans="1:16" x14ac:dyDescent="0.3">
      <c r="A2636">
        <v>1510</v>
      </c>
      <c r="B2636">
        <v>28</v>
      </c>
      <c r="C2636" t="s">
        <v>15</v>
      </c>
      <c r="D2636" t="s">
        <v>16</v>
      </c>
      <c r="E2636" t="s">
        <v>17</v>
      </c>
      <c r="F2636" t="s">
        <v>18</v>
      </c>
      <c r="G2636" t="s">
        <v>40</v>
      </c>
      <c r="H2636" t="s">
        <v>25</v>
      </c>
      <c r="I2636" s="1">
        <v>1</v>
      </c>
      <c r="J2636" s="2">
        <v>45944</v>
      </c>
      <c r="K2636" s="2">
        <v>45931</v>
      </c>
      <c r="L2636" s="1" t="str">
        <f t="shared" si="299"/>
        <v>ter</v>
      </c>
      <c r="M2636" s="1" t="str">
        <f t="shared" si="300"/>
        <v>out</v>
      </c>
      <c r="N2636">
        <f t="shared" si="301"/>
        <v>2025</v>
      </c>
      <c r="O2636" s="2"/>
      <c r="P2636" t="str">
        <f t="shared" si="298"/>
        <v>151045944</v>
      </c>
    </row>
    <row r="2637" spans="1:16" x14ac:dyDescent="0.3">
      <c r="A2637">
        <v>1510</v>
      </c>
      <c r="B2637">
        <v>28</v>
      </c>
      <c r="C2637" t="s">
        <v>15</v>
      </c>
      <c r="D2637" t="s">
        <v>16</v>
      </c>
      <c r="E2637" t="s">
        <v>17</v>
      </c>
      <c r="F2637" t="s">
        <v>18</v>
      </c>
      <c r="G2637" t="s">
        <v>40</v>
      </c>
      <c r="H2637" t="s">
        <v>25</v>
      </c>
      <c r="I2637" s="1">
        <v>1</v>
      </c>
      <c r="J2637" s="2">
        <v>46055</v>
      </c>
      <c r="K2637" s="2">
        <v>46054</v>
      </c>
      <c r="L2637" s="1" t="str">
        <f t="shared" si="299"/>
        <v>seg</v>
      </c>
      <c r="M2637" s="1" t="str">
        <f t="shared" si="300"/>
        <v>fev</v>
      </c>
      <c r="N2637">
        <f t="shared" si="301"/>
        <v>2026</v>
      </c>
      <c r="O2637" s="2"/>
      <c r="P2637" t="str">
        <f t="shared" si="298"/>
        <v>151046055</v>
      </c>
    </row>
    <row r="2638" spans="1:16" x14ac:dyDescent="0.3">
      <c r="A2638">
        <v>1510</v>
      </c>
      <c r="B2638">
        <v>28</v>
      </c>
      <c r="C2638" t="s">
        <v>15</v>
      </c>
      <c r="D2638" t="s">
        <v>16</v>
      </c>
      <c r="E2638" t="s">
        <v>17</v>
      </c>
      <c r="F2638" t="s">
        <v>18</v>
      </c>
      <c r="G2638" t="s">
        <v>41</v>
      </c>
      <c r="H2638" t="s">
        <v>25</v>
      </c>
      <c r="I2638" s="1">
        <v>1</v>
      </c>
      <c r="J2638" s="2">
        <v>46080</v>
      </c>
      <c r="K2638" s="2">
        <v>46054</v>
      </c>
      <c r="L2638" s="1" t="str">
        <f t="shared" si="299"/>
        <v>sex</v>
      </c>
      <c r="M2638" s="1" t="str">
        <f t="shared" si="300"/>
        <v>fev</v>
      </c>
      <c r="N2638">
        <f t="shared" si="301"/>
        <v>2026</v>
      </c>
      <c r="O2638" s="2"/>
      <c r="P2638" t="str">
        <f t="shared" si="298"/>
        <v>151046080</v>
      </c>
    </row>
    <row r="2639" spans="1:16" x14ac:dyDescent="0.3">
      <c r="A2639">
        <v>1511</v>
      </c>
      <c r="B2639">
        <v>41</v>
      </c>
      <c r="C2639" t="s">
        <v>26</v>
      </c>
      <c r="D2639" t="s">
        <v>31</v>
      </c>
      <c r="E2639" t="s">
        <v>34</v>
      </c>
      <c r="F2639" t="s">
        <v>21</v>
      </c>
      <c r="G2639" t="s">
        <v>40</v>
      </c>
      <c r="H2639" t="s">
        <v>25</v>
      </c>
      <c r="I2639" s="1">
        <v>2</v>
      </c>
      <c r="J2639" s="2">
        <v>45799</v>
      </c>
      <c r="K2639" s="2">
        <v>45778</v>
      </c>
      <c r="L2639" s="1" t="str">
        <f t="shared" si="299"/>
        <v>qui</v>
      </c>
      <c r="M2639" s="1" t="str">
        <f t="shared" si="300"/>
        <v>mai</v>
      </c>
      <c r="N2639">
        <f t="shared" si="301"/>
        <v>2025</v>
      </c>
      <c r="O2639" s="2"/>
      <c r="P2639" t="str">
        <f t="shared" si="298"/>
        <v>151145799</v>
      </c>
    </row>
    <row r="2640" spans="1:16" x14ac:dyDescent="0.3">
      <c r="A2640">
        <v>1511</v>
      </c>
      <c r="B2640">
        <v>41</v>
      </c>
      <c r="C2640" t="s">
        <v>26</v>
      </c>
      <c r="D2640" t="s">
        <v>31</v>
      </c>
      <c r="E2640" t="s">
        <v>34</v>
      </c>
      <c r="F2640" t="s">
        <v>21</v>
      </c>
      <c r="G2640" t="s">
        <v>40</v>
      </c>
      <c r="H2640" t="s">
        <v>25</v>
      </c>
      <c r="I2640" s="1">
        <v>2</v>
      </c>
      <c r="J2640" s="2">
        <v>45807</v>
      </c>
      <c r="K2640" s="2">
        <v>45778</v>
      </c>
      <c r="L2640" s="1" t="str">
        <f t="shared" si="299"/>
        <v>sex</v>
      </c>
      <c r="M2640" s="1" t="str">
        <f t="shared" si="300"/>
        <v>mai</v>
      </c>
      <c r="N2640">
        <f t="shared" si="301"/>
        <v>2025</v>
      </c>
      <c r="O2640" s="2"/>
      <c r="P2640" t="str">
        <f t="shared" si="298"/>
        <v>151145807</v>
      </c>
    </row>
    <row r="2641" spans="1:16" x14ac:dyDescent="0.3">
      <c r="A2641">
        <v>1511</v>
      </c>
      <c r="B2641">
        <v>41</v>
      </c>
      <c r="C2641" t="s">
        <v>26</v>
      </c>
      <c r="D2641" t="s">
        <v>31</v>
      </c>
      <c r="E2641" t="s">
        <v>34</v>
      </c>
      <c r="F2641" t="s">
        <v>21</v>
      </c>
      <c r="G2641" t="s">
        <v>40</v>
      </c>
      <c r="H2641" t="s">
        <v>25</v>
      </c>
      <c r="I2641" s="1">
        <v>2</v>
      </c>
      <c r="J2641" s="2">
        <v>45832</v>
      </c>
      <c r="K2641" s="2">
        <v>45809</v>
      </c>
      <c r="L2641" s="1" t="str">
        <f t="shared" si="299"/>
        <v>ter</v>
      </c>
      <c r="M2641" s="1" t="str">
        <f t="shared" si="300"/>
        <v>jun</v>
      </c>
      <c r="N2641">
        <f t="shared" si="301"/>
        <v>2025</v>
      </c>
      <c r="O2641" s="2"/>
      <c r="P2641" t="str">
        <f t="shared" si="298"/>
        <v>151145832</v>
      </c>
    </row>
    <row r="2642" spans="1:16" x14ac:dyDescent="0.3">
      <c r="A2642">
        <v>1511</v>
      </c>
      <c r="B2642">
        <v>41</v>
      </c>
      <c r="C2642" t="s">
        <v>26</v>
      </c>
      <c r="D2642" t="s">
        <v>31</v>
      </c>
      <c r="E2642" t="s">
        <v>34</v>
      </c>
      <c r="F2642" t="s">
        <v>21</v>
      </c>
      <c r="G2642" t="s">
        <v>40</v>
      </c>
      <c r="H2642" t="s">
        <v>25</v>
      </c>
      <c r="I2642" s="1">
        <v>2</v>
      </c>
      <c r="J2642" s="2">
        <v>45842</v>
      </c>
      <c r="K2642" s="2">
        <v>45839</v>
      </c>
      <c r="L2642" s="1" t="str">
        <f t="shared" si="299"/>
        <v>sex</v>
      </c>
      <c r="M2642" s="1" t="str">
        <f t="shared" si="300"/>
        <v>jul</v>
      </c>
      <c r="N2642">
        <f t="shared" si="301"/>
        <v>2025</v>
      </c>
      <c r="O2642" s="2"/>
      <c r="P2642" t="str">
        <f t="shared" si="298"/>
        <v>151145842</v>
      </c>
    </row>
    <row r="2643" spans="1:16" x14ac:dyDescent="0.3">
      <c r="A2643">
        <v>1511</v>
      </c>
      <c r="B2643">
        <v>41</v>
      </c>
      <c r="C2643" t="s">
        <v>26</v>
      </c>
      <c r="D2643" t="s">
        <v>31</v>
      </c>
      <c r="E2643" t="s">
        <v>34</v>
      </c>
      <c r="F2643" t="s">
        <v>21</v>
      </c>
      <c r="G2643" t="s">
        <v>40</v>
      </c>
      <c r="H2643" t="s">
        <v>25</v>
      </c>
      <c r="I2643" s="1">
        <v>2</v>
      </c>
      <c r="J2643" s="2">
        <v>45896</v>
      </c>
      <c r="K2643" s="2">
        <v>45870</v>
      </c>
      <c r="L2643" s="1" t="str">
        <f t="shared" si="299"/>
        <v>qua</v>
      </c>
      <c r="M2643" s="1" t="str">
        <f t="shared" si="300"/>
        <v>ago</v>
      </c>
      <c r="N2643">
        <f t="shared" si="301"/>
        <v>2025</v>
      </c>
      <c r="O2643" s="2"/>
      <c r="P2643" t="str">
        <f t="shared" si="298"/>
        <v>151145896</v>
      </c>
    </row>
    <row r="2644" spans="1:16" x14ac:dyDescent="0.3">
      <c r="A2644">
        <v>1511</v>
      </c>
      <c r="B2644">
        <v>41</v>
      </c>
      <c r="C2644" t="s">
        <v>26</v>
      </c>
      <c r="D2644" t="s">
        <v>31</v>
      </c>
      <c r="E2644" t="s">
        <v>34</v>
      </c>
      <c r="F2644" t="s">
        <v>21</v>
      </c>
      <c r="G2644" t="s">
        <v>40</v>
      </c>
      <c r="H2644" t="s">
        <v>25</v>
      </c>
      <c r="I2644" s="1">
        <v>2</v>
      </c>
      <c r="J2644" s="2">
        <v>46184</v>
      </c>
      <c r="K2644" s="2">
        <v>46023</v>
      </c>
      <c r="L2644" s="1" t="str">
        <f t="shared" si="299"/>
        <v>qui</v>
      </c>
      <c r="M2644" s="1" t="str">
        <f t="shared" si="300"/>
        <v>jun</v>
      </c>
      <c r="N2644">
        <f t="shared" si="301"/>
        <v>2026</v>
      </c>
      <c r="O2644" s="2"/>
      <c r="P2644" t="str">
        <f t="shared" si="298"/>
        <v>151146184</v>
      </c>
    </row>
    <row r="2645" spans="1:16" x14ac:dyDescent="0.3">
      <c r="A2645">
        <v>1511</v>
      </c>
      <c r="B2645">
        <v>41</v>
      </c>
      <c r="C2645" t="s">
        <v>26</v>
      </c>
      <c r="D2645" t="s">
        <v>31</v>
      </c>
      <c r="E2645" t="s">
        <v>34</v>
      </c>
      <c r="F2645" t="s">
        <v>21</v>
      </c>
      <c r="G2645" t="s">
        <v>40</v>
      </c>
      <c r="H2645" t="s">
        <v>25</v>
      </c>
      <c r="I2645" s="1">
        <v>2</v>
      </c>
      <c r="J2645" s="2">
        <v>46164</v>
      </c>
      <c r="K2645" s="2">
        <v>46143</v>
      </c>
      <c r="L2645" s="1" t="s">
        <v>52</v>
      </c>
      <c r="M2645" s="1" t="s">
        <v>49</v>
      </c>
      <c r="N2645">
        <v>2025</v>
      </c>
      <c r="O2645" s="2"/>
      <c r="P2645" t="str">
        <f t="shared" si="298"/>
        <v>151146164</v>
      </c>
    </row>
    <row r="2646" spans="1:16" x14ac:dyDescent="0.3">
      <c r="A2646">
        <v>1511</v>
      </c>
      <c r="B2646">
        <v>41</v>
      </c>
      <c r="C2646" t="s">
        <v>26</v>
      </c>
      <c r="D2646" t="s">
        <v>31</v>
      </c>
      <c r="E2646" t="s">
        <v>34</v>
      </c>
      <c r="F2646" t="s">
        <v>21</v>
      </c>
      <c r="G2646" t="s">
        <v>40</v>
      </c>
      <c r="H2646" t="s">
        <v>25</v>
      </c>
      <c r="I2646" s="1">
        <v>2</v>
      </c>
      <c r="J2646" s="2">
        <v>46172</v>
      </c>
      <c r="K2646" s="2">
        <v>46143</v>
      </c>
      <c r="L2646" s="1" t="s">
        <v>53</v>
      </c>
      <c r="M2646" s="1" t="s">
        <v>49</v>
      </c>
      <c r="N2646">
        <v>2025</v>
      </c>
      <c r="O2646" s="2"/>
      <c r="P2646" t="str">
        <f t="shared" si="298"/>
        <v>151146172</v>
      </c>
    </row>
    <row r="2647" spans="1:16" x14ac:dyDescent="0.3">
      <c r="A2647">
        <v>1513</v>
      </c>
      <c r="B2647">
        <v>43</v>
      </c>
      <c r="C2647" t="s">
        <v>26</v>
      </c>
      <c r="D2647" t="s">
        <v>16</v>
      </c>
      <c r="E2647" t="s">
        <v>17</v>
      </c>
      <c r="F2647" t="s">
        <v>21</v>
      </c>
      <c r="G2647" t="s">
        <v>42</v>
      </c>
      <c r="H2647" t="s">
        <v>20</v>
      </c>
      <c r="I2647" s="1">
        <v>2</v>
      </c>
      <c r="J2647" s="2">
        <v>45793</v>
      </c>
      <c r="K2647" s="2">
        <v>45778</v>
      </c>
      <c r="L2647" s="1" t="str">
        <f t="shared" ref="L2647:L2678" si="302">TEXT(J2647,"ddd")</f>
        <v>sex</v>
      </c>
      <c r="M2647" s="1" t="str">
        <f t="shared" ref="M2647:M2678" si="303">TEXT($J2647,"mmm")</f>
        <v>mai</v>
      </c>
      <c r="N2647">
        <f t="shared" ref="N2647:N2678" si="304">YEAR(J2647)</f>
        <v>2025</v>
      </c>
      <c r="O2647" s="2">
        <f>_xlfn.XLOOKUP(A2647,Colaboradores!$A:$A,Colaboradores!$S:$S,"",0)</f>
        <v>46046</v>
      </c>
      <c r="P2647" t="str">
        <f t="shared" si="298"/>
        <v>151345793</v>
      </c>
    </row>
    <row r="2648" spans="1:16" x14ac:dyDescent="0.3">
      <c r="A2648">
        <v>1513</v>
      </c>
      <c r="B2648">
        <v>43</v>
      </c>
      <c r="C2648" t="s">
        <v>26</v>
      </c>
      <c r="D2648" t="s">
        <v>16</v>
      </c>
      <c r="E2648" t="s">
        <v>17</v>
      </c>
      <c r="F2648" t="s">
        <v>21</v>
      </c>
      <c r="G2648" t="s">
        <v>42</v>
      </c>
      <c r="H2648" t="s">
        <v>20</v>
      </c>
      <c r="I2648" s="1">
        <v>2</v>
      </c>
      <c r="J2648" s="2">
        <v>45861</v>
      </c>
      <c r="K2648" s="2">
        <v>45839</v>
      </c>
      <c r="L2648" s="1" t="str">
        <f t="shared" si="302"/>
        <v>qua</v>
      </c>
      <c r="M2648" s="1" t="str">
        <f t="shared" si="303"/>
        <v>jul</v>
      </c>
      <c r="N2648">
        <f t="shared" si="304"/>
        <v>2025</v>
      </c>
      <c r="O2648" s="2">
        <f>_xlfn.XLOOKUP(A2648,Colaboradores!$A:$A,Colaboradores!$S:$S,"",0)</f>
        <v>46046</v>
      </c>
      <c r="P2648" t="str">
        <f t="shared" si="298"/>
        <v>151345861</v>
      </c>
    </row>
    <row r="2649" spans="1:16" x14ac:dyDescent="0.3">
      <c r="A2649">
        <v>1513</v>
      </c>
      <c r="B2649">
        <v>43</v>
      </c>
      <c r="C2649" t="s">
        <v>26</v>
      </c>
      <c r="D2649" t="s">
        <v>16</v>
      </c>
      <c r="E2649" t="s">
        <v>17</v>
      </c>
      <c r="F2649" t="s">
        <v>21</v>
      </c>
      <c r="G2649" t="s">
        <v>43</v>
      </c>
      <c r="H2649" t="s">
        <v>20</v>
      </c>
      <c r="I2649" s="1">
        <v>2</v>
      </c>
      <c r="J2649" s="2">
        <v>45870</v>
      </c>
      <c r="K2649" s="2">
        <v>45870</v>
      </c>
      <c r="L2649" s="1" t="str">
        <f t="shared" si="302"/>
        <v>sex</v>
      </c>
      <c r="M2649" s="1" t="str">
        <f t="shared" si="303"/>
        <v>ago</v>
      </c>
      <c r="N2649">
        <f t="shared" si="304"/>
        <v>2025</v>
      </c>
      <c r="O2649" s="2">
        <f>_xlfn.XLOOKUP(A2649,Colaboradores!$A:$A,Colaboradores!$S:$S,"",0)</f>
        <v>46046</v>
      </c>
      <c r="P2649" t="str">
        <f t="shared" si="298"/>
        <v>151345870</v>
      </c>
    </row>
    <row r="2650" spans="1:16" x14ac:dyDescent="0.3">
      <c r="A2650">
        <v>1513</v>
      </c>
      <c r="B2650">
        <v>43</v>
      </c>
      <c r="C2650" t="s">
        <v>26</v>
      </c>
      <c r="D2650" t="s">
        <v>16</v>
      </c>
      <c r="E2650" t="s">
        <v>17</v>
      </c>
      <c r="F2650" t="s">
        <v>21</v>
      </c>
      <c r="G2650" t="s">
        <v>41</v>
      </c>
      <c r="H2650" t="s">
        <v>20</v>
      </c>
      <c r="I2650" s="1">
        <v>2</v>
      </c>
      <c r="J2650" s="2">
        <v>45950</v>
      </c>
      <c r="K2650" s="2">
        <v>45931</v>
      </c>
      <c r="L2650" s="1" t="str">
        <f t="shared" si="302"/>
        <v>seg</v>
      </c>
      <c r="M2650" s="1" t="str">
        <f t="shared" si="303"/>
        <v>out</v>
      </c>
      <c r="N2650">
        <f t="shared" si="304"/>
        <v>2025</v>
      </c>
      <c r="O2650" s="2">
        <f>_xlfn.XLOOKUP(A2650,Colaboradores!$A:$A,Colaboradores!$S:$S,"",0)</f>
        <v>46046</v>
      </c>
      <c r="P2650" t="str">
        <f t="shared" si="298"/>
        <v>151345950</v>
      </c>
    </row>
    <row r="2651" spans="1:16" x14ac:dyDescent="0.3">
      <c r="A2651">
        <v>1513</v>
      </c>
      <c r="B2651">
        <v>43</v>
      </c>
      <c r="C2651" t="s">
        <v>26</v>
      </c>
      <c r="D2651" t="s">
        <v>16</v>
      </c>
      <c r="E2651" t="s">
        <v>17</v>
      </c>
      <c r="F2651" t="s">
        <v>21</v>
      </c>
      <c r="G2651" t="s">
        <v>43</v>
      </c>
      <c r="H2651" t="s">
        <v>20</v>
      </c>
      <c r="I2651" s="1">
        <v>2</v>
      </c>
      <c r="J2651" s="2">
        <v>45984</v>
      </c>
      <c r="K2651" s="2">
        <v>45962</v>
      </c>
      <c r="L2651" s="1" t="str">
        <f t="shared" si="302"/>
        <v>dom</v>
      </c>
      <c r="M2651" s="1" t="str">
        <f t="shared" si="303"/>
        <v>nov</v>
      </c>
      <c r="N2651">
        <f t="shared" si="304"/>
        <v>2025</v>
      </c>
      <c r="O2651" s="2">
        <f>_xlfn.XLOOKUP(A2651,Colaboradores!$A:$A,Colaboradores!$S:$S,"",0)</f>
        <v>46046</v>
      </c>
      <c r="P2651" t="str">
        <f t="shared" si="298"/>
        <v>151345984</v>
      </c>
    </row>
    <row r="2652" spans="1:16" x14ac:dyDescent="0.3">
      <c r="A2652">
        <v>1513</v>
      </c>
      <c r="B2652">
        <v>43</v>
      </c>
      <c r="C2652" t="s">
        <v>26</v>
      </c>
      <c r="D2652" t="s">
        <v>16</v>
      </c>
      <c r="E2652" t="s">
        <v>17</v>
      </c>
      <c r="F2652" t="s">
        <v>21</v>
      </c>
      <c r="G2652" t="s">
        <v>42</v>
      </c>
      <c r="H2652" t="s">
        <v>20</v>
      </c>
      <c r="I2652" s="1">
        <v>2</v>
      </c>
      <c r="J2652" s="2">
        <v>46006</v>
      </c>
      <c r="K2652" s="2">
        <v>45992</v>
      </c>
      <c r="L2652" s="1" t="str">
        <f t="shared" si="302"/>
        <v>seg</v>
      </c>
      <c r="M2652" s="1" t="str">
        <f t="shared" si="303"/>
        <v>dez</v>
      </c>
      <c r="N2652">
        <f t="shared" si="304"/>
        <v>2025</v>
      </c>
      <c r="O2652" s="2">
        <f>_xlfn.XLOOKUP(A2652,Colaboradores!$A:$A,Colaboradores!$S:$S,"",0)</f>
        <v>46046</v>
      </c>
      <c r="P2652" t="str">
        <f t="shared" si="298"/>
        <v>151346006</v>
      </c>
    </row>
    <row r="2653" spans="1:16" x14ac:dyDescent="0.3">
      <c r="A2653">
        <v>1514</v>
      </c>
      <c r="B2653">
        <v>54</v>
      </c>
      <c r="C2653" t="s">
        <v>15</v>
      </c>
      <c r="D2653" t="s">
        <v>29</v>
      </c>
      <c r="E2653" t="s">
        <v>17</v>
      </c>
      <c r="F2653" t="s">
        <v>21</v>
      </c>
      <c r="G2653" t="s">
        <v>43</v>
      </c>
      <c r="H2653" t="s">
        <v>25</v>
      </c>
      <c r="I2653" s="1">
        <v>1</v>
      </c>
      <c r="J2653" s="2">
        <v>45822</v>
      </c>
      <c r="K2653" s="2">
        <v>45809</v>
      </c>
      <c r="L2653" s="1" t="str">
        <f t="shared" si="302"/>
        <v>sáb</v>
      </c>
      <c r="M2653" s="1" t="str">
        <f t="shared" si="303"/>
        <v>jun</v>
      </c>
      <c r="N2653">
        <f t="shared" si="304"/>
        <v>2025</v>
      </c>
      <c r="O2653" s="2"/>
      <c r="P2653" t="str">
        <f t="shared" si="298"/>
        <v>151445822</v>
      </c>
    </row>
    <row r="2654" spans="1:16" x14ac:dyDescent="0.3">
      <c r="A2654">
        <v>1514</v>
      </c>
      <c r="B2654">
        <v>54</v>
      </c>
      <c r="C2654" t="s">
        <v>15</v>
      </c>
      <c r="D2654" t="s">
        <v>29</v>
      </c>
      <c r="E2654" t="s">
        <v>17</v>
      </c>
      <c r="F2654" t="s">
        <v>21</v>
      </c>
      <c r="G2654" t="s">
        <v>43</v>
      </c>
      <c r="H2654" t="s">
        <v>25</v>
      </c>
      <c r="I2654" s="1">
        <v>1</v>
      </c>
      <c r="J2654" s="2">
        <v>45913</v>
      </c>
      <c r="K2654" s="2">
        <v>45901</v>
      </c>
      <c r="L2654" s="1" t="str">
        <f t="shared" si="302"/>
        <v>sáb</v>
      </c>
      <c r="M2654" s="1" t="str">
        <f t="shared" si="303"/>
        <v>set</v>
      </c>
      <c r="N2654">
        <f t="shared" si="304"/>
        <v>2025</v>
      </c>
      <c r="O2654" s="2"/>
      <c r="P2654" t="str">
        <f t="shared" si="298"/>
        <v>151445913</v>
      </c>
    </row>
    <row r="2655" spans="1:16" x14ac:dyDescent="0.3">
      <c r="A2655">
        <v>1514</v>
      </c>
      <c r="B2655">
        <v>54</v>
      </c>
      <c r="C2655" t="s">
        <v>15</v>
      </c>
      <c r="D2655" t="s">
        <v>29</v>
      </c>
      <c r="E2655" t="s">
        <v>17</v>
      </c>
      <c r="F2655" t="s">
        <v>21</v>
      </c>
      <c r="G2655" t="s">
        <v>43</v>
      </c>
      <c r="H2655" t="s">
        <v>25</v>
      </c>
      <c r="I2655" s="1">
        <v>1</v>
      </c>
      <c r="J2655" s="2">
        <v>45914</v>
      </c>
      <c r="K2655" s="2">
        <v>45901</v>
      </c>
      <c r="L2655" s="1" t="str">
        <f t="shared" si="302"/>
        <v>dom</v>
      </c>
      <c r="M2655" s="1" t="str">
        <f t="shared" si="303"/>
        <v>set</v>
      </c>
      <c r="N2655">
        <f t="shared" si="304"/>
        <v>2025</v>
      </c>
      <c r="O2655" s="2"/>
      <c r="P2655" t="str">
        <f t="shared" si="298"/>
        <v>151445914</v>
      </c>
    </row>
    <row r="2656" spans="1:16" x14ac:dyDescent="0.3">
      <c r="A2656">
        <v>1514</v>
      </c>
      <c r="B2656">
        <v>54</v>
      </c>
      <c r="C2656" t="s">
        <v>15</v>
      </c>
      <c r="D2656" t="s">
        <v>29</v>
      </c>
      <c r="E2656" t="s">
        <v>17</v>
      </c>
      <c r="F2656" t="s">
        <v>21</v>
      </c>
      <c r="G2656" t="s">
        <v>43</v>
      </c>
      <c r="H2656" t="s">
        <v>25</v>
      </c>
      <c r="I2656" s="1">
        <v>1</v>
      </c>
      <c r="J2656" s="2">
        <v>46174</v>
      </c>
      <c r="K2656" s="2">
        <v>46023</v>
      </c>
      <c r="L2656" s="1" t="str">
        <f t="shared" si="302"/>
        <v>seg</v>
      </c>
      <c r="M2656" s="1" t="str">
        <f t="shared" si="303"/>
        <v>jun</v>
      </c>
      <c r="N2656">
        <f t="shared" si="304"/>
        <v>2026</v>
      </c>
      <c r="O2656" s="2"/>
      <c r="P2656" t="str">
        <f t="shared" si="298"/>
        <v>151446174</v>
      </c>
    </row>
    <row r="2657" spans="1:16" x14ac:dyDescent="0.3">
      <c r="A2657">
        <v>1514</v>
      </c>
      <c r="B2657">
        <v>54</v>
      </c>
      <c r="C2657" t="s">
        <v>15</v>
      </c>
      <c r="D2657" t="s">
        <v>29</v>
      </c>
      <c r="E2657" t="s">
        <v>17</v>
      </c>
      <c r="F2657" t="s">
        <v>21</v>
      </c>
      <c r="G2657" t="s">
        <v>43</v>
      </c>
      <c r="H2657" t="s">
        <v>25</v>
      </c>
      <c r="I2657" s="1">
        <v>1</v>
      </c>
      <c r="J2657" s="2">
        <v>46057</v>
      </c>
      <c r="K2657" s="2">
        <v>46054</v>
      </c>
      <c r="L2657" s="1" t="str">
        <f t="shared" si="302"/>
        <v>qua</v>
      </c>
      <c r="M2657" s="1" t="str">
        <f t="shared" si="303"/>
        <v>fev</v>
      </c>
      <c r="N2657">
        <f t="shared" si="304"/>
        <v>2026</v>
      </c>
      <c r="O2657" s="2"/>
      <c r="P2657" t="str">
        <f t="shared" si="298"/>
        <v>151446057</v>
      </c>
    </row>
    <row r="2658" spans="1:16" x14ac:dyDescent="0.3">
      <c r="A2658">
        <v>1514</v>
      </c>
      <c r="B2658">
        <v>54</v>
      </c>
      <c r="C2658" t="s">
        <v>15</v>
      </c>
      <c r="D2658" t="s">
        <v>29</v>
      </c>
      <c r="E2658" t="s">
        <v>17</v>
      </c>
      <c r="F2658" t="s">
        <v>21</v>
      </c>
      <c r="G2658" t="s">
        <v>43</v>
      </c>
      <c r="H2658" t="s">
        <v>25</v>
      </c>
      <c r="I2658" s="1">
        <v>1</v>
      </c>
      <c r="J2658" s="2">
        <v>46109</v>
      </c>
      <c r="K2658" s="2">
        <v>46082</v>
      </c>
      <c r="L2658" s="1" t="str">
        <f t="shared" si="302"/>
        <v>sáb</v>
      </c>
      <c r="M2658" s="1" t="str">
        <f t="shared" si="303"/>
        <v>mar</v>
      </c>
      <c r="N2658">
        <f t="shared" si="304"/>
        <v>2026</v>
      </c>
      <c r="O2658" s="2"/>
      <c r="P2658" t="str">
        <f t="shared" si="298"/>
        <v>151446109</v>
      </c>
    </row>
    <row r="2659" spans="1:16" x14ac:dyDescent="0.3">
      <c r="A2659">
        <v>1514</v>
      </c>
      <c r="B2659">
        <v>54</v>
      </c>
      <c r="C2659" t="s">
        <v>15</v>
      </c>
      <c r="D2659" t="s">
        <v>29</v>
      </c>
      <c r="E2659" t="s">
        <v>17</v>
      </c>
      <c r="F2659" t="s">
        <v>21</v>
      </c>
      <c r="G2659" t="s">
        <v>43</v>
      </c>
      <c r="H2659" t="s">
        <v>25</v>
      </c>
      <c r="I2659" s="1">
        <v>1</v>
      </c>
      <c r="J2659" s="2">
        <v>46117</v>
      </c>
      <c r="K2659" s="2">
        <v>46113</v>
      </c>
      <c r="L2659" s="1" t="str">
        <f t="shared" si="302"/>
        <v>dom</v>
      </c>
      <c r="M2659" s="1" t="str">
        <f t="shared" si="303"/>
        <v>abr</v>
      </c>
      <c r="N2659">
        <f t="shared" si="304"/>
        <v>2026</v>
      </c>
      <c r="O2659" s="2"/>
      <c r="P2659" t="str">
        <f t="shared" si="298"/>
        <v>151446117</v>
      </c>
    </row>
    <row r="2660" spans="1:16" x14ac:dyDescent="0.3">
      <c r="A2660">
        <v>1515</v>
      </c>
      <c r="B2660">
        <v>22</v>
      </c>
      <c r="C2660" t="s">
        <v>26</v>
      </c>
      <c r="D2660" t="s">
        <v>27</v>
      </c>
      <c r="E2660" t="s">
        <v>17</v>
      </c>
      <c r="F2660" t="s">
        <v>23</v>
      </c>
      <c r="G2660" t="s">
        <v>41</v>
      </c>
      <c r="H2660" t="s">
        <v>20</v>
      </c>
      <c r="I2660" s="1">
        <v>1</v>
      </c>
      <c r="J2660" s="2">
        <v>45763</v>
      </c>
      <c r="K2660" s="2">
        <v>45748</v>
      </c>
      <c r="L2660" s="1" t="str">
        <f t="shared" si="302"/>
        <v>qua</v>
      </c>
      <c r="M2660" s="1" t="str">
        <f t="shared" si="303"/>
        <v>abr</v>
      </c>
      <c r="N2660">
        <f t="shared" si="304"/>
        <v>2025</v>
      </c>
      <c r="O2660" s="2">
        <f>_xlfn.XLOOKUP(A2660,Colaboradores!$A:$A,Colaboradores!$S:$S,"",0)</f>
        <v>45891</v>
      </c>
      <c r="P2660" t="str">
        <f t="shared" si="298"/>
        <v>151545763</v>
      </c>
    </row>
    <row r="2661" spans="1:16" x14ac:dyDescent="0.3">
      <c r="A2661">
        <v>1515</v>
      </c>
      <c r="B2661">
        <v>22</v>
      </c>
      <c r="C2661" t="s">
        <v>26</v>
      </c>
      <c r="D2661" t="s">
        <v>27</v>
      </c>
      <c r="E2661" t="s">
        <v>17</v>
      </c>
      <c r="F2661" t="s">
        <v>23</v>
      </c>
      <c r="G2661" t="s">
        <v>41</v>
      </c>
      <c r="H2661" t="s">
        <v>20</v>
      </c>
      <c r="I2661" s="1">
        <v>1</v>
      </c>
      <c r="J2661" s="2">
        <v>45813</v>
      </c>
      <c r="K2661" s="2">
        <v>45809</v>
      </c>
      <c r="L2661" s="1" t="str">
        <f t="shared" si="302"/>
        <v>qui</v>
      </c>
      <c r="M2661" s="1" t="str">
        <f t="shared" si="303"/>
        <v>jun</v>
      </c>
      <c r="N2661">
        <f t="shared" si="304"/>
        <v>2025</v>
      </c>
      <c r="O2661" s="2">
        <f>_xlfn.XLOOKUP(A2661,Colaboradores!$A:$A,Colaboradores!$S:$S,"",0)</f>
        <v>45891</v>
      </c>
      <c r="P2661" t="str">
        <f t="shared" si="298"/>
        <v>151545813</v>
      </c>
    </row>
    <row r="2662" spans="1:16" x14ac:dyDescent="0.3">
      <c r="A2662">
        <v>1516</v>
      </c>
      <c r="B2662">
        <v>56</v>
      </c>
      <c r="C2662" t="s">
        <v>26</v>
      </c>
      <c r="D2662" t="s">
        <v>29</v>
      </c>
      <c r="E2662" t="s">
        <v>17</v>
      </c>
      <c r="F2662" t="s">
        <v>21</v>
      </c>
      <c r="G2662" t="s">
        <v>41</v>
      </c>
      <c r="H2662" t="s">
        <v>20</v>
      </c>
      <c r="I2662" s="1">
        <v>3</v>
      </c>
      <c r="J2662" s="2">
        <v>45672</v>
      </c>
      <c r="K2662" s="2">
        <v>45658</v>
      </c>
      <c r="L2662" s="1" t="str">
        <f t="shared" si="302"/>
        <v>qua</v>
      </c>
      <c r="M2662" s="1" t="str">
        <f t="shared" si="303"/>
        <v>jan</v>
      </c>
      <c r="N2662">
        <f t="shared" si="304"/>
        <v>2025</v>
      </c>
      <c r="O2662" s="2">
        <f>_xlfn.XLOOKUP(A2662,Colaboradores!$A:$A,Colaboradores!$S:$S,"",0)</f>
        <v>45792</v>
      </c>
      <c r="P2662" t="str">
        <f t="shared" si="298"/>
        <v>151645672</v>
      </c>
    </row>
    <row r="2663" spans="1:16" x14ac:dyDescent="0.3">
      <c r="A2663">
        <v>1516</v>
      </c>
      <c r="B2663">
        <v>56</v>
      </c>
      <c r="C2663" t="s">
        <v>26</v>
      </c>
      <c r="D2663" t="s">
        <v>29</v>
      </c>
      <c r="E2663" t="s">
        <v>17</v>
      </c>
      <c r="F2663" t="s">
        <v>21</v>
      </c>
      <c r="G2663" t="s">
        <v>57</v>
      </c>
      <c r="H2663" t="s">
        <v>20</v>
      </c>
      <c r="I2663" s="1">
        <v>3</v>
      </c>
      <c r="J2663" s="2">
        <v>45763</v>
      </c>
      <c r="K2663" s="2">
        <v>45748</v>
      </c>
      <c r="L2663" s="1" t="str">
        <f t="shared" si="302"/>
        <v>qua</v>
      </c>
      <c r="M2663" s="1" t="str">
        <f t="shared" si="303"/>
        <v>abr</v>
      </c>
      <c r="N2663">
        <f t="shared" si="304"/>
        <v>2025</v>
      </c>
      <c r="O2663" s="2">
        <f>_xlfn.XLOOKUP(A2663,Colaboradores!$A:$A,Colaboradores!$S:$S,"",0)</f>
        <v>45792</v>
      </c>
      <c r="P2663" t="str">
        <f t="shared" si="298"/>
        <v>151645763</v>
      </c>
    </row>
    <row r="2664" spans="1:16" x14ac:dyDescent="0.3">
      <c r="A2664">
        <v>1516</v>
      </c>
      <c r="B2664">
        <v>56</v>
      </c>
      <c r="C2664" t="s">
        <v>26</v>
      </c>
      <c r="D2664" t="s">
        <v>29</v>
      </c>
      <c r="E2664" t="s">
        <v>17</v>
      </c>
      <c r="F2664" t="s">
        <v>21</v>
      </c>
      <c r="G2664" t="s">
        <v>41</v>
      </c>
      <c r="H2664" t="s">
        <v>20</v>
      </c>
      <c r="I2664" s="1">
        <v>3</v>
      </c>
      <c r="J2664" s="2">
        <v>45777</v>
      </c>
      <c r="K2664" s="2">
        <v>45748</v>
      </c>
      <c r="L2664" s="1" t="str">
        <f t="shared" si="302"/>
        <v>qua</v>
      </c>
      <c r="M2664" s="1" t="str">
        <f t="shared" si="303"/>
        <v>abr</v>
      </c>
      <c r="N2664">
        <f t="shared" si="304"/>
        <v>2025</v>
      </c>
      <c r="O2664" s="2">
        <f>_xlfn.XLOOKUP(A2664,Colaboradores!$A:$A,Colaboradores!$S:$S,"",0)</f>
        <v>45792</v>
      </c>
      <c r="P2664" t="str">
        <f t="shared" si="298"/>
        <v>151645777</v>
      </c>
    </row>
    <row r="2665" spans="1:16" x14ac:dyDescent="0.3">
      <c r="A2665">
        <v>1516</v>
      </c>
      <c r="B2665">
        <v>56</v>
      </c>
      <c r="C2665" t="s">
        <v>26</v>
      </c>
      <c r="D2665" t="s">
        <v>29</v>
      </c>
      <c r="E2665" t="s">
        <v>17</v>
      </c>
      <c r="F2665" t="s">
        <v>21</v>
      </c>
      <c r="G2665" t="s">
        <v>41</v>
      </c>
      <c r="H2665" t="s">
        <v>20</v>
      </c>
      <c r="I2665" s="1">
        <v>3</v>
      </c>
      <c r="J2665" s="2">
        <v>45783</v>
      </c>
      <c r="K2665" s="2">
        <v>45778</v>
      </c>
      <c r="L2665" s="1" t="str">
        <f t="shared" si="302"/>
        <v>ter</v>
      </c>
      <c r="M2665" s="1" t="str">
        <f t="shared" si="303"/>
        <v>mai</v>
      </c>
      <c r="N2665">
        <f t="shared" si="304"/>
        <v>2025</v>
      </c>
      <c r="O2665" s="2">
        <f>_xlfn.XLOOKUP(A2665,Colaboradores!$A:$A,Colaboradores!$S:$S,"",0)</f>
        <v>45792</v>
      </c>
      <c r="P2665" t="str">
        <f t="shared" si="298"/>
        <v>151645783</v>
      </c>
    </row>
    <row r="2666" spans="1:16" x14ac:dyDescent="0.3">
      <c r="A2666">
        <v>1516</v>
      </c>
      <c r="B2666">
        <v>56</v>
      </c>
      <c r="C2666" t="s">
        <v>26</v>
      </c>
      <c r="D2666" t="s">
        <v>29</v>
      </c>
      <c r="E2666" t="s">
        <v>17</v>
      </c>
      <c r="F2666" t="s">
        <v>21</v>
      </c>
      <c r="G2666" t="s">
        <v>41</v>
      </c>
      <c r="H2666" t="s">
        <v>20</v>
      </c>
      <c r="I2666" s="1">
        <v>3</v>
      </c>
      <c r="J2666" s="2">
        <v>45786</v>
      </c>
      <c r="K2666" s="2">
        <v>45778</v>
      </c>
      <c r="L2666" s="1" t="str">
        <f t="shared" si="302"/>
        <v>sex</v>
      </c>
      <c r="M2666" s="1" t="str">
        <f t="shared" si="303"/>
        <v>mai</v>
      </c>
      <c r="N2666">
        <f t="shared" si="304"/>
        <v>2025</v>
      </c>
      <c r="O2666" s="2">
        <f>_xlfn.XLOOKUP(A2666,Colaboradores!$A:$A,Colaboradores!$S:$S,"",0)</f>
        <v>45792</v>
      </c>
      <c r="P2666" t="str">
        <f t="shared" si="298"/>
        <v>151645786</v>
      </c>
    </row>
    <row r="2667" spans="1:16" x14ac:dyDescent="0.3">
      <c r="A2667">
        <v>1516</v>
      </c>
      <c r="B2667">
        <v>56</v>
      </c>
      <c r="C2667" t="s">
        <v>26</v>
      </c>
      <c r="D2667" t="s">
        <v>29</v>
      </c>
      <c r="E2667" t="s">
        <v>17</v>
      </c>
      <c r="F2667" t="s">
        <v>21</v>
      </c>
      <c r="G2667" t="s">
        <v>41</v>
      </c>
      <c r="H2667" t="s">
        <v>20</v>
      </c>
      <c r="I2667" s="1">
        <v>3</v>
      </c>
      <c r="J2667" s="2">
        <v>45791</v>
      </c>
      <c r="K2667" s="2">
        <v>45778</v>
      </c>
      <c r="L2667" s="1" t="str">
        <f t="shared" si="302"/>
        <v>qua</v>
      </c>
      <c r="M2667" s="1" t="str">
        <f t="shared" si="303"/>
        <v>mai</v>
      </c>
      <c r="N2667">
        <f t="shared" si="304"/>
        <v>2025</v>
      </c>
      <c r="O2667" s="2">
        <f>_xlfn.XLOOKUP(A2667,Colaboradores!$A:$A,Colaboradores!$S:$S,"",0)</f>
        <v>45792</v>
      </c>
      <c r="P2667" t="str">
        <f t="shared" si="298"/>
        <v>151645791</v>
      </c>
    </row>
    <row r="2668" spans="1:16" x14ac:dyDescent="0.3">
      <c r="A2668">
        <v>1517</v>
      </c>
      <c r="B2668">
        <v>33</v>
      </c>
      <c r="C2668" t="s">
        <v>26</v>
      </c>
      <c r="D2668" t="s">
        <v>16</v>
      </c>
      <c r="E2668" t="s">
        <v>17</v>
      </c>
      <c r="F2668" t="s">
        <v>21</v>
      </c>
      <c r="G2668" t="s">
        <v>42</v>
      </c>
      <c r="H2668" t="s">
        <v>20</v>
      </c>
      <c r="I2668" s="1">
        <v>1</v>
      </c>
      <c r="J2668" s="2">
        <v>45757</v>
      </c>
      <c r="K2668" s="2">
        <v>45748</v>
      </c>
      <c r="L2668" s="1" t="str">
        <f t="shared" si="302"/>
        <v>qui</v>
      </c>
      <c r="M2668" s="1" t="str">
        <f t="shared" si="303"/>
        <v>abr</v>
      </c>
      <c r="N2668">
        <f t="shared" si="304"/>
        <v>2025</v>
      </c>
      <c r="O2668" s="2">
        <f>_xlfn.XLOOKUP(A2668,Colaboradores!$A:$A,Colaboradores!$S:$S,"",0)</f>
        <v>45987</v>
      </c>
      <c r="P2668" t="str">
        <f t="shared" si="298"/>
        <v>151745757</v>
      </c>
    </row>
    <row r="2669" spans="1:16" x14ac:dyDescent="0.3">
      <c r="A2669">
        <v>1517</v>
      </c>
      <c r="B2669">
        <v>33</v>
      </c>
      <c r="C2669" t="s">
        <v>26</v>
      </c>
      <c r="D2669" t="s">
        <v>16</v>
      </c>
      <c r="E2669" t="s">
        <v>17</v>
      </c>
      <c r="F2669" t="s">
        <v>21</v>
      </c>
      <c r="G2669" t="s">
        <v>41</v>
      </c>
      <c r="H2669" t="s">
        <v>20</v>
      </c>
      <c r="I2669" s="1">
        <v>1</v>
      </c>
      <c r="J2669" s="2">
        <v>45787</v>
      </c>
      <c r="K2669" s="2">
        <v>45778</v>
      </c>
      <c r="L2669" s="1" t="str">
        <f t="shared" si="302"/>
        <v>sáb</v>
      </c>
      <c r="M2669" s="1" t="str">
        <f t="shared" si="303"/>
        <v>mai</v>
      </c>
      <c r="N2669">
        <f t="shared" si="304"/>
        <v>2025</v>
      </c>
      <c r="O2669" s="2">
        <f>_xlfn.XLOOKUP(A2669,Colaboradores!$A:$A,Colaboradores!$S:$S,"",0)</f>
        <v>45987</v>
      </c>
      <c r="P2669" t="str">
        <f t="shared" si="298"/>
        <v>151745787</v>
      </c>
    </row>
    <row r="2670" spans="1:16" x14ac:dyDescent="0.3">
      <c r="A2670">
        <v>1517</v>
      </c>
      <c r="B2670">
        <v>33</v>
      </c>
      <c r="C2670" t="s">
        <v>26</v>
      </c>
      <c r="D2670" t="s">
        <v>16</v>
      </c>
      <c r="E2670" t="s">
        <v>17</v>
      </c>
      <c r="F2670" t="s">
        <v>21</v>
      </c>
      <c r="G2670" t="s">
        <v>41</v>
      </c>
      <c r="H2670" t="s">
        <v>20</v>
      </c>
      <c r="I2670" s="1">
        <v>1</v>
      </c>
      <c r="J2670" s="2">
        <v>45807</v>
      </c>
      <c r="K2670" s="2">
        <v>45778</v>
      </c>
      <c r="L2670" s="1" t="str">
        <f t="shared" si="302"/>
        <v>sex</v>
      </c>
      <c r="M2670" s="1" t="str">
        <f t="shared" si="303"/>
        <v>mai</v>
      </c>
      <c r="N2670">
        <f t="shared" si="304"/>
        <v>2025</v>
      </c>
      <c r="O2670" s="2">
        <f>_xlfn.XLOOKUP(A2670,Colaboradores!$A:$A,Colaboradores!$S:$S,"",0)</f>
        <v>45987</v>
      </c>
      <c r="P2670" t="str">
        <f t="shared" si="298"/>
        <v>151745807</v>
      </c>
    </row>
    <row r="2671" spans="1:16" x14ac:dyDescent="0.3">
      <c r="A2671">
        <v>1517</v>
      </c>
      <c r="B2671">
        <v>33</v>
      </c>
      <c r="C2671" t="s">
        <v>26</v>
      </c>
      <c r="D2671" t="s">
        <v>16</v>
      </c>
      <c r="E2671" t="s">
        <v>17</v>
      </c>
      <c r="F2671" t="s">
        <v>21</v>
      </c>
      <c r="G2671" t="s">
        <v>44</v>
      </c>
      <c r="H2671" t="s">
        <v>20</v>
      </c>
      <c r="I2671" s="1">
        <v>1</v>
      </c>
      <c r="J2671" s="2">
        <v>45939</v>
      </c>
      <c r="K2671" s="2">
        <v>45931</v>
      </c>
      <c r="L2671" s="1" t="str">
        <f t="shared" si="302"/>
        <v>qui</v>
      </c>
      <c r="M2671" s="1" t="str">
        <f t="shared" si="303"/>
        <v>out</v>
      </c>
      <c r="N2671">
        <f t="shared" si="304"/>
        <v>2025</v>
      </c>
      <c r="O2671" s="2">
        <f>_xlfn.XLOOKUP(A2671,Colaboradores!$A:$A,Colaboradores!$S:$S,"",0)</f>
        <v>45987</v>
      </c>
      <c r="P2671" t="str">
        <f t="shared" si="298"/>
        <v>151745939</v>
      </c>
    </row>
    <row r="2672" spans="1:16" x14ac:dyDescent="0.3">
      <c r="A2672">
        <v>1517</v>
      </c>
      <c r="B2672">
        <v>33</v>
      </c>
      <c r="C2672" t="s">
        <v>26</v>
      </c>
      <c r="D2672" t="s">
        <v>16</v>
      </c>
      <c r="E2672" t="s">
        <v>17</v>
      </c>
      <c r="F2672" t="s">
        <v>21</v>
      </c>
      <c r="G2672" t="s">
        <v>44</v>
      </c>
      <c r="H2672" t="s">
        <v>20</v>
      </c>
      <c r="I2672" s="1">
        <v>1</v>
      </c>
      <c r="J2672" s="2">
        <v>45940</v>
      </c>
      <c r="K2672" s="2">
        <v>45931</v>
      </c>
      <c r="L2672" s="1" t="str">
        <f t="shared" si="302"/>
        <v>sex</v>
      </c>
      <c r="M2672" s="1" t="str">
        <f t="shared" si="303"/>
        <v>out</v>
      </c>
      <c r="N2672">
        <f t="shared" si="304"/>
        <v>2025</v>
      </c>
      <c r="O2672" s="2">
        <f>_xlfn.XLOOKUP(A2672,Colaboradores!$A:$A,Colaboradores!$S:$S,"",0)</f>
        <v>45987</v>
      </c>
      <c r="P2672" t="str">
        <f t="shared" si="298"/>
        <v>151745940</v>
      </c>
    </row>
    <row r="2673" spans="1:16" x14ac:dyDescent="0.3">
      <c r="A2673">
        <v>1517</v>
      </c>
      <c r="B2673">
        <v>33</v>
      </c>
      <c r="C2673" t="s">
        <v>26</v>
      </c>
      <c r="D2673" t="s">
        <v>16</v>
      </c>
      <c r="E2673" t="s">
        <v>17</v>
      </c>
      <c r="F2673" t="s">
        <v>21</v>
      </c>
      <c r="G2673" t="s">
        <v>41</v>
      </c>
      <c r="H2673" t="s">
        <v>20</v>
      </c>
      <c r="I2673" s="1">
        <v>1</v>
      </c>
      <c r="J2673" s="2">
        <v>45981</v>
      </c>
      <c r="K2673" s="2">
        <v>45962</v>
      </c>
      <c r="L2673" s="1" t="str">
        <f t="shared" si="302"/>
        <v>qui</v>
      </c>
      <c r="M2673" s="1" t="str">
        <f t="shared" si="303"/>
        <v>nov</v>
      </c>
      <c r="N2673">
        <f t="shared" si="304"/>
        <v>2025</v>
      </c>
      <c r="O2673" s="2">
        <f>_xlfn.XLOOKUP(A2673,Colaboradores!$A:$A,Colaboradores!$S:$S,"",0)</f>
        <v>45987</v>
      </c>
      <c r="P2673" t="str">
        <f t="shared" si="298"/>
        <v>151745981</v>
      </c>
    </row>
    <row r="2674" spans="1:16" x14ac:dyDescent="0.3">
      <c r="A2674">
        <v>1518</v>
      </c>
      <c r="B2674">
        <v>32</v>
      </c>
      <c r="C2674" t="s">
        <v>15</v>
      </c>
      <c r="D2674" t="s">
        <v>29</v>
      </c>
      <c r="E2674" t="s">
        <v>17</v>
      </c>
      <c r="F2674" t="s">
        <v>18</v>
      </c>
      <c r="G2674" t="s">
        <v>41</v>
      </c>
      <c r="H2674" t="s">
        <v>20</v>
      </c>
      <c r="I2674" s="1">
        <v>2</v>
      </c>
      <c r="J2674" s="2">
        <v>45853</v>
      </c>
      <c r="K2674" s="2">
        <v>45839</v>
      </c>
      <c r="L2674" s="1" t="str">
        <f t="shared" si="302"/>
        <v>ter</v>
      </c>
      <c r="M2674" s="1" t="str">
        <f t="shared" si="303"/>
        <v>jul</v>
      </c>
      <c r="N2674">
        <f t="shared" si="304"/>
        <v>2025</v>
      </c>
      <c r="O2674" s="2">
        <f>_xlfn.XLOOKUP(A2674,Colaboradores!$A:$A,Colaboradores!$S:$S,"",0)</f>
        <v>45906</v>
      </c>
      <c r="P2674" t="str">
        <f t="shared" si="298"/>
        <v>151845853</v>
      </c>
    </row>
    <row r="2675" spans="1:16" x14ac:dyDescent="0.3">
      <c r="A2675">
        <v>1518</v>
      </c>
      <c r="B2675">
        <v>32</v>
      </c>
      <c r="C2675" t="s">
        <v>15</v>
      </c>
      <c r="D2675" t="s">
        <v>29</v>
      </c>
      <c r="E2675" t="s">
        <v>17</v>
      </c>
      <c r="F2675" t="s">
        <v>18</v>
      </c>
      <c r="G2675" t="s">
        <v>41</v>
      </c>
      <c r="H2675" t="s">
        <v>20</v>
      </c>
      <c r="I2675" s="1">
        <v>2</v>
      </c>
      <c r="J2675" s="2">
        <v>45858</v>
      </c>
      <c r="K2675" s="2">
        <v>45839</v>
      </c>
      <c r="L2675" s="1" t="str">
        <f t="shared" si="302"/>
        <v>dom</v>
      </c>
      <c r="M2675" s="1" t="str">
        <f t="shared" si="303"/>
        <v>jul</v>
      </c>
      <c r="N2675">
        <f t="shared" si="304"/>
        <v>2025</v>
      </c>
      <c r="O2675" s="2">
        <f>_xlfn.XLOOKUP(A2675,Colaboradores!$A:$A,Colaboradores!$S:$S,"",0)</f>
        <v>45906</v>
      </c>
      <c r="P2675" t="str">
        <f t="shared" si="298"/>
        <v>151845858</v>
      </c>
    </row>
    <row r="2676" spans="1:16" x14ac:dyDescent="0.3">
      <c r="A2676">
        <v>1518</v>
      </c>
      <c r="B2676">
        <v>32</v>
      </c>
      <c r="C2676" t="s">
        <v>15</v>
      </c>
      <c r="D2676" t="s">
        <v>29</v>
      </c>
      <c r="E2676" t="s">
        <v>17</v>
      </c>
      <c r="F2676" t="s">
        <v>18</v>
      </c>
      <c r="G2676" t="s">
        <v>41</v>
      </c>
      <c r="H2676" t="s">
        <v>20</v>
      </c>
      <c r="I2676" s="1">
        <v>2</v>
      </c>
      <c r="J2676" s="2">
        <v>45869</v>
      </c>
      <c r="K2676" s="2">
        <v>45839</v>
      </c>
      <c r="L2676" s="1" t="str">
        <f t="shared" si="302"/>
        <v>qui</v>
      </c>
      <c r="M2676" s="1" t="str">
        <f t="shared" si="303"/>
        <v>jul</v>
      </c>
      <c r="N2676">
        <f t="shared" si="304"/>
        <v>2025</v>
      </c>
      <c r="O2676" s="2">
        <f>_xlfn.XLOOKUP(A2676,Colaboradores!$A:$A,Colaboradores!$S:$S,"",0)</f>
        <v>45906</v>
      </c>
      <c r="P2676" t="str">
        <f t="shared" si="298"/>
        <v>151845869</v>
      </c>
    </row>
    <row r="2677" spans="1:16" x14ac:dyDescent="0.3">
      <c r="A2677">
        <v>1518</v>
      </c>
      <c r="B2677">
        <v>32</v>
      </c>
      <c r="C2677" t="s">
        <v>15</v>
      </c>
      <c r="D2677" t="s">
        <v>29</v>
      </c>
      <c r="E2677" t="s">
        <v>17</v>
      </c>
      <c r="F2677" t="s">
        <v>18</v>
      </c>
      <c r="G2677" t="s">
        <v>44</v>
      </c>
      <c r="H2677" t="s">
        <v>20</v>
      </c>
      <c r="I2677" s="1">
        <v>2</v>
      </c>
      <c r="J2677" s="2">
        <v>45870</v>
      </c>
      <c r="K2677" s="2">
        <v>45870</v>
      </c>
      <c r="L2677" s="1" t="str">
        <f t="shared" si="302"/>
        <v>sex</v>
      </c>
      <c r="M2677" s="1" t="str">
        <f t="shared" si="303"/>
        <v>ago</v>
      </c>
      <c r="N2677">
        <f t="shared" si="304"/>
        <v>2025</v>
      </c>
      <c r="O2677" s="2">
        <f>_xlfn.XLOOKUP(A2677,Colaboradores!$A:$A,Colaboradores!$S:$S,"",0)</f>
        <v>45906</v>
      </c>
      <c r="P2677" t="str">
        <f t="shared" si="298"/>
        <v>151845870</v>
      </c>
    </row>
    <row r="2678" spans="1:16" x14ac:dyDescent="0.3">
      <c r="A2678">
        <v>1521</v>
      </c>
      <c r="B2678">
        <v>28</v>
      </c>
      <c r="C2678" t="s">
        <v>15</v>
      </c>
      <c r="D2678" t="s">
        <v>29</v>
      </c>
      <c r="E2678" t="s">
        <v>17</v>
      </c>
      <c r="F2678" t="s">
        <v>21</v>
      </c>
      <c r="G2678" t="s">
        <v>41</v>
      </c>
      <c r="H2678" t="s">
        <v>25</v>
      </c>
      <c r="I2678" s="1">
        <v>3</v>
      </c>
      <c r="J2678" s="2">
        <v>45820</v>
      </c>
      <c r="K2678" s="2">
        <v>45809</v>
      </c>
      <c r="L2678" s="1" t="str">
        <f t="shared" si="302"/>
        <v>qui</v>
      </c>
      <c r="M2678" s="1" t="str">
        <f t="shared" si="303"/>
        <v>jun</v>
      </c>
      <c r="N2678">
        <f t="shared" si="304"/>
        <v>2025</v>
      </c>
      <c r="O2678" s="2"/>
      <c r="P2678" t="str">
        <f t="shared" si="298"/>
        <v>152145820</v>
      </c>
    </row>
    <row r="2679" spans="1:16" x14ac:dyDescent="0.3">
      <c r="A2679">
        <v>1521</v>
      </c>
      <c r="B2679">
        <v>28</v>
      </c>
      <c r="C2679" t="s">
        <v>15</v>
      </c>
      <c r="D2679" t="s">
        <v>29</v>
      </c>
      <c r="E2679" t="s">
        <v>17</v>
      </c>
      <c r="F2679" t="s">
        <v>21</v>
      </c>
      <c r="G2679" t="s">
        <v>40</v>
      </c>
      <c r="H2679" t="s">
        <v>25</v>
      </c>
      <c r="I2679" s="1">
        <v>3</v>
      </c>
      <c r="J2679" s="2">
        <v>45918</v>
      </c>
      <c r="K2679" s="2">
        <v>45901</v>
      </c>
      <c r="L2679" s="1" t="str">
        <f t="shared" ref="L2679:L2710" si="305">TEXT(J2679,"ddd")</f>
        <v>qui</v>
      </c>
      <c r="M2679" s="1" t="str">
        <f t="shared" ref="M2679:M2710" si="306">TEXT($J2679,"mmm")</f>
        <v>set</v>
      </c>
      <c r="N2679">
        <f t="shared" ref="N2679:N2710" si="307">YEAR(J2679)</f>
        <v>2025</v>
      </c>
      <c r="O2679" s="2"/>
      <c r="P2679" t="str">
        <f t="shared" si="298"/>
        <v>152145918</v>
      </c>
    </row>
    <row r="2680" spans="1:16" x14ac:dyDescent="0.3">
      <c r="A2680">
        <v>1521</v>
      </c>
      <c r="B2680">
        <v>28</v>
      </c>
      <c r="C2680" t="s">
        <v>15</v>
      </c>
      <c r="D2680" t="s">
        <v>29</v>
      </c>
      <c r="E2680" t="s">
        <v>17</v>
      </c>
      <c r="F2680" t="s">
        <v>21</v>
      </c>
      <c r="G2680" t="s">
        <v>41</v>
      </c>
      <c r="H2680" t="s">
        <v>25</v>
      </c>
      <c r="I2680" s="1">
        <v>3</v>
      </c>
      <c r="J2680" s="2">
        <v>45994</v>
      </c>
      <c r="K2680" s="2">
        <v>45992</v>
      </c>
      <c r="L2680" s="1" t="str">
        <f t="shared" si="305"/>
        <v>qua</v>
      </c>
      <c r="M2680" s="1" t="str">
        <f t="shared" si="306"/>
        <v>dez</v>
      </c>
      <c r="N2680">
        <f t="shared" si="307"/>
        <v>2025</v>
      </c>
      <c r="O2680" s="2"/>
      <c r="P2680" t="str">
        <f t="shared" si="298"/>
        <v>152145994</v>
      </c>
    </row>
    <row r="2681" spans="1:16" x14ac:dyDescent="0.3">
      <c r="A2681">
        <v>1521</v>
      </c>
      <c r="B2681">
        <v>28</v>
      </c>
      <c r="C2681" t="s">
        <v>15</v>
      </c>
      <c r="D2681" t="s">
        <v>29</v>
      </c>
      <c r="E2681" t="s">
        <v>17</v>
      </c>
      <c r="F2681" t="s">
        <v>21</v>
      </c>
      <c r="G2681" t="s">
        <v>41</v>
      </c>
      <c r="H2681" t="s">
        <v>25</v>
      </c>
      <c r="I2681" s="1">
        <v>3</v>
      </c>
      <c r="J2681" s="2">
        <v>46064</v>
      </c>
      <c r="K2681" s="2">
        <v>46054</v>
      </c>
      <c r="L2681" s="1" t="str">
        <f t="shared" si="305"/>
        <v>qua</v>
      </c>
      <c r="M2681" s="1" t="str">
        <f t="shared" si="306"/>
        <v>fev</v>
      </c>
      <c r="N2681">
        <f t="shared" si="307"/>
        <v>2026</v>
      </c>
      <c r="O2681" s="2"/>
      <c r="P2681" t="str">
        <f t="shared" si="298"/>
        <v>152146064</v>
      </c>
    </row>
    <row r="2682" spans="1:16" x14ac:dyDescent="0.3">
      <c r="A2682">
        <v>1521</v>
      </c>
      <c r="B2682">
        <v>28</v>
      </c>
      <c r="C2682" t="s">
        <v>15</v>
      </c>
      <c r="D2682" t="s">
        <v>29</v>
      </c>
      <c r="E2682" t="s">
        <v>17</v>
      </c>
      <c r="F2682" t="s">
        <v>21</v>
      </c>
      <c r="G2682" t="s">
        <v>41</v>
      </c>
      <c r="H2682" t="s">
        <v>25</v>
      </c>
      <c r="I2682" s="1">
        <v>3</v>
      </c>
      <c r="J2682" s="2">
        <v>46065</v>
      </c>
      <c r="K2682" s="2">
        <v>46054</v>
      </c>
      <c r="L2682" s="1" t="str">
        <f t="shared" si="305"/>
        <v>qui</v>
      </c>
      <c r="M2682" s="1" t="str">
        <f t="shared" si="306"/>
        <v>fev</v>
      </c>
      <c r="N2682">
        <f t="shared" si="307"/>
        <v>2026</v>
      </c>
      <c r="O2682" s="2"/>
      <c r="P2682" t="str">
        <f t="shared" si="298"/>
        <v>152146065</v>
      </c>
    </row>
    <row r="2683" spans="1:16" x14ac:dyDescent="0.3">
      <c r="A2683">
        <v>1521</v>
      </c>
      <c r="B2683">
        <v>28</v>
      </c>
      <c r="C2683" t="s">
        <v>15</v>
      </c>
      <c r="D2683" t="s">
        <v>29</v>
      </c>
      <c r="E2683" t="s">
        <v>17</v>
      </c>
      <c r="F2683" t="s">
        <v>21</v>
      </c>
      <c r="G2683" t="s">
        <v>40</v>
      </c>
      <c r="H2683" t="s">
        <v>25</v>
      </c>
      <c r="I2683" s="1">
        <v>3</v>
      </c>
      <c r="J2683" s="2">
        <v>46090</v>
      </c>
      <c r="K2683" s="2">
        <v>46082</v>
      </c>
      <c r="L2683" s="1" t="str">
        <f t="shared" si="305"/>
        <v>seg</v>
      </c>
      <c r="M2683" s="1" t="str">
        <f t="shared" si="306"/>
        <v>mar</v>
      </c>
      <c r="N2683">
        <f t="shared" si="307"/>
        <v>2026</v>
      </c>
      <c r="O2683" s="2"/>
      <c r="P2683" t="str">
        <f t="shared" si="298"/>
        <v>152146090</v>
      </c>
    </row>
    <row r="2684" spans="1:16" x14ac:dyDescent="0.3">
      <c r="A2684">
        <v>1522</v>
      </c>
      <c r="B2684">
        <v>29</v>
      </c>
      <c r="C2684" t="s">
        <v>26</v>
      </c>
      <c r="D2684" t="s">
        <v>29</v>
      </c>
      <c r="E2684" t="s">
        <v>17</v>
      </c>
      <c r="F2684" t="s">
        <v>21</v>
      </c>
      <c r="G2684" t="s">
        <v>41</v>
      </c>
      <c r="H2684" t="s">
        <v>20</v>
      </c>
      <c r="I2684" s="1">
        <v>3</v>
      </c>
      <c r="J2684" s="2">
        <v>45798</v>
      </c>
      <c r="K2684" s="2">
        <v>45778</v>
      </c>
      <c r="L2684" s="1" t="str">
        <f t="shared" si="305"/>
        <v>qua</v>
      </c>
      <c r="M2684" s="1" t="str">
        <f t="shared" si="306"/>
        <v>mai</v>
      </c>
      <c r="N2684">
        <f t="shared" si="307"/>
        <v>2025</v>
      </c>
      <c r="O2684" s="2">
        <f>_xlfn.XLOOKUP(A2684,Colaboradores!$A:$A,Colaboradores!$S:$S,"",0)</f>
        <v>46183</v>
      </c>
      <c r="P2684" t="str">
        <f t="shared" si="298"/>
        <v>152245798</v>
      </c>
    </row>
    <row r="2685" spans="1:16" x14ac:dyDescent="0.3">
      <c r="A2685">
        <v>1522</v>
      </c>
      <c r="B2685">
        <v>29</v>
      </c>
      <c r="C2685" t="s">
        <v>26</v>
      </c>
      <c r="D2685" t="s">
        <v>29</v>
      </c>
      <c r="E2685" t="s">
        <v>17</v>
      </c>
      <c r="F2685" t="s">
        <v>21</v>
      </c>
      <c r="G2685" t="s">
        <v>41</v>
      </c>
      <c r="H2685" t="s">
        <v>20</v>
      </c>
      <c r="I2685" s="1">
        <v>3</v>
      </c>
      <c r="J2685" s="2">
        <v>45827</v>
      </c>
      <c r="K2685" s="2">
        <v>45809</v>
      </c>
      <c r="L2685" s="1" t="str">
        <f t="shared" si="305"/>
        <v>qui</v>
      </c>
      <c r="M2685" s="1" t="str">
        <f t="shared" si="306"/>
        <v>jun</v>
      </c>
      <c r="N2685">
        <f t="shared" si="307"/>
        <v>2025</v>
      </c>
      <c r="O2685" s="2">
        <f>_xlfn.XLOOKUP(A2685,Colaboradores!$A:$A,Colaboradores!$S:$S,"",0)</f>
        <v>46183</v>
      </c>
      <c r="P2685" t="str">
        <f t="shared" si="298"/>
        <v>152245827</v>
      </c>
    </row>
    <row r="2686" spans="1:16" x14ac:dyDescent="0.3">
      <c r="A2686">
        <v>1522</v>
      </c>
      <c r="B2686">
        <v>29</v>
      </c>
      <c r="C2686" t="s">
        <v>26</v>
      </c>
      <c r="D2686" t="s">
        <v>29</v>
      </c>
      <c r="E2686" t="s">
        <v>17</v>
      </c>
      <c r="F2686" t="s">
        <v>21</v>
      </c>
      <c r="G2686" t="s">
        <v>41</v>
      </c>
      <c r="H2686" t="s">
        <v>20</v>
      </c>
      <c r="I2686" s="1">
        <v>3</v>
      </c>
      <c r="J2686" s="2">
        <v>45837</v>
      </c>
      <c r="K2686" s="2">
        <v>45809</v>
      </c>
      <c r="L2686" s="1" t="str">
        <f t="shared" si="305"/>
        <v>dom</v>
      </c>
      <c r="M2686" s="1" t="str">
        <f t="shared" si="306"/>
        <v>jun</v>
      </c>
      <c r="N2686">
        <f t="shared" si="307"/>
        <v>2025</v>
      </c>
      <c r="O2686" s="2">
        <f>_xlfn.XLOOKUP(A2686,Colaboradores!$A:$A,Colaboradores!$S:$S,"",0)</f>
        <v>46183</v>
      </c>
      <c r="P2686" t="str">
        <f t="shared" ref="P2686:P2749" si="308">CONCATENATE(A2686,J2686)</f>
        <v>152245837</v>
      </c>
    </row>
    <row r="2687" spans="1:16" x14ac:dyDescent="0.3">
      <c r="A2687">
        <v>1522</v>
      </c>
      <c r="B2687">
        <v>29</v>
      </c>
      <c r="C2687" t="s">
        <v>26</v>
      </c>
      <c r="D2687" t="s">
        <v>29</v>
      </c>
      <c r="E2687" t="s">
        <v>17</v>
      </c>
      <c r="F2687" t="s">
        <v>21</v>
      </c>
      <c r="G2687" t="s">
        <v>41</v>
      </c>
      <c r="H2687" t="s">
        <v>20</v>
      </c>
      <c r="I2687" s="1">
        <v>3</v>
      </c>
      <c r="J2687" s="2">
        <v>46009</v>
      </c>
      <c r="K2687" s="2">
        <v>45992</v>
      </c>
      <c r="L2687" s="1" t="str">
        <f t="shared" si="305"/>
        <v>qui</v>
      </c>
      <c r="M2687" s="1" t="str">
        <f t="shared" si="306"/>
        <v>dez</v>
      </c>
      <c r="N2687">
        <f t="shared" si="307"/>
        <v>2025</v>
      </c>
      <c r="O2687" s="2">
        <f>_xlfn.XLOOKUP(A2687,Colaboradores!$A:$A,Colaboradores!$S:$S,"",0)</f>
        <v>46183</v>
      </c>
      <c r="P2687" t="str">
        <f t="shared" si="308"/>
        <v>152246009</v>
      </c>
    </row>
    <row r="2688" spans="1:16" x14ac:dyDescent="0.3">
      <c r="A2688">
        <v>1522</v>
      </c>
      <c r="B2688">
        <v>29</v>
      </c>
      <c r="C2688" t="s">
        <v>26</v>
      </c>
      <c r="D2688" t="s">
        <v>29</v>
      </c>
      <c r="E2688" t="s">
        <v>17</v>
      </c>
      <c r="F2688" t="s">
        <v>21</v>
      </c>
      <c r="G2688" t="s">
        <v>41</v>
      </c>
      <c r="H2688" t="s">
        <v>20</v>
      </c>
      <c r="I2688" s="1">
        <v>3</v>
      </c>
      <c r="J2688" s="2">
        <v>46174</v>
      </c>
      <c r="K2688" s="2">
        <v>46023</v>
      </c>
      <c r="L2688" s="1" t="str">
        <f t="shared" si="305"/>
        <v>seg</v>
      </c>
      <c r="M2688" s="1" t="str">
        <f t="shared" si="306"/>
        <v>jun</v>
      </c>
      <c r="N2688">
        <f t="shared" si="307"/>
        <v>2026</v>
      </c>
      <c r="O2688" s="2">
        <f>_xlfn.XLOOKUP(A2688,Colaboradores!$A:$A,Colaboradores!$S:$S,"",0)</f>
        <v>46183</v>
      </c>
      <c r="P2688" t="str">
        <f t="shared" si="308"/>
        <v>152246174</v>
      </c>
    </row>
    <row r="2689" spans="1:16" x14ac:dyDescent="0.3">
      <c r="A2689">
        <v>1522</v>
      </c>
      <c r="B2689">
        <v>29</v>
      </c>
      <c r="C2689" t="s">
        <v>26</v>
      </c>
      <c r="D2689" t="s">
        <v>29</v>
      </c>
      <c r="E2689" t="s">
        <v>17</v>
      </c>
      <c r="F2689" t="s">
        <v>21</v>
      </c>
      <c r="G2689" t="s">
        <v>41</v>
      </c>
      <c r="H2689" t="s">
        <v>20</v>
      </c>
      <c r="I2689" s="1">
        <v>3</v>
      </c>
      <c r="J2689" s="2">
        <v>46060</v>
      </c>
      <c r="K2689" s="2">
        <v>46054</v>
      </c>
      <c r="L2689" s="1" t="str">
        <f t="shared" si="305"/>
        <v>sáb</v>
      </c>
      <c r="M2689" s="1" t="str">
        <f t="shared" si="306"/>
        <v>fev</v>
      </c>
      <c r="N2689">
        <f t="shared" si="307"/>
        <v>2026</v>
      </c>
      <c r="O2689" s="2">
        <f>_xlfn.XLOOKUP(A2689,Colaboradores!$A:$A,Colaboradores!$S:$S,"",0)</f>
        <v>46183</v>
      </c>
      <c r="P2689" t="str">
        <f t="shared" si="308"/>
        <v>152246060</v>
      </c>
    </row>
    <row r="2690" spans="1:16" x14ac:dyDescent="0.3">
      <c r="A2690">
        <v>1526</v>
      </c>
      <c r="B2690">
        <v>26</v>
      </c>
      <c r="C2690" t="s">
        <v>26</v>
      </c>
      <c r="D2690" t="s">
        <v>29</v>
      </c>
      <c r="E2690" t="s">
        <v>17</v>
      </c>
      <c r="F2690" t="s">
        <v>18</v>
      </c>
      <c r="G2690" t="s">
        <v>57</v>
      </c>
      <c r="H2690" t="s">
        <v>20</v>
      </c>
      <c r="I2690" s="1">
        <v>3</v>
      </c>
      <c r="J2690" s="2">
        <v>45673</v>
      </c>
      <c r="K2690" s="2">
        <v>45658</v>
      </c>
      <c r="L2690" s="1" t="str">
        <f t="shared" si="305"/>
        <v>qui</v>
      </c>
      <c r="M2690" s="1" t="str">
        <f t="shared" si="306"/>
        <v>jan</v>
      </c>
      <c r="N2690">
        <f t="shared" si="307"/>
        <v>2025</v>
      </c>
      <c r="O2690" s="2">
        <f>_xlfn.XLOOKUP(A2690,Colaboradores!$A:$A,Colaboradores!$S:$S,"",0)</f>
        <v>45844</v>
      </c>
      <c r="P2690" t="str">
        <f t="shared" si="308"/>
        <v>152645673</v>
      </c>
    </row>
    <row r="2691" spans="1:16" x14ac:dyDescent="0.3">
      <c r="A2691">
        <v>1526</v>
      </c>
      <c r="B2691">
        <v>26</v>
      </c>
      <c r="C2691" t="s">
        <v>26</v>
      </c>
      <c r="D2691" t="s">
        <v>29</v>
      </c>
      <c r="E2691" t="s">
        <v>17</v>
      </c>
      <c r="F2691" t="s">
        <v>18</v>
      </c>
      <c r="G2691" t="s">
        <v>43</v>
      </c>
      <c r="H2691" t="s">
        <v>20</v>
      </c>
      <c r="I2691" s="1">
        <v>3</v>
      </c>
      <c r="J2691" s="2">
        <v>45808</v>
      </c>
      <c r="K2691" s="2">
        <v>45778</v>
      </c>
      <c r="L2691" s="1" t="str">
        <f t="shared" si="305"/>
        <v>sáb</v>
      </c>
      <c r="M2691" s="1" t="str">
        <f t="shared" si="306"/>
        <v>mai</v>
      </c>
      <c r="N2691">
        <f t="shared" si="307"/>
        <v>2025</v>
      </c>
      <c r="O2691" s="2">
        <f>_xlfn.XLOOKUP(A2691,Colaboradores!$A:$A,Colaboradores!$S:$S,"",0)</f>
        <v>45844</v>
      </c>
      <c r="P2691" t="str">
        <f t="shared" si="308"/>
        <v>152645808</v>
      </c>
    </row>
    <row r="2692" spans="1:16" x14ac:dyDescent="0.3">
      <c r="A2692">
        <v>1526</v>
      </c>
      <c r="B2692">
        <v>26</v>
      </c>
      <c r="C2692" t="s">
        <v>26</v>
      </c>
      <c r="D2692" t="s">
        <v>29</v>
      </c>
      <c r="E2692" t="s">
        <v>17</v>
      </c>
      <c r="F2692" t="s">
        <v>18</v>
      </c>
      <c r="G2692" t="s">
        <v>43</v>
      </c>
      <c r="H2692" t="s">
        <v>20</v>
      </c>
      <c r="I2692" s="1">
        <v>3</v>
      </c>
      <c r="J2692" s="2">
        <v>45809</v>
      </c>
      <c r="K2692" s="2">
        <v>45809</v>
      </c>
      <c r="L2692" s="1" t="str">
        <f t="shared" si="305"/>
        <v>dom</v>
      </c>
      <c r="M2692" s="1" t="str">
        <f t="shared" si="306"/>
        <v>jun</v>
      </c>
      <c r="N2692">
        <f t="shared" si="307"/>
        <v>2025</v>
      </c>
      <c r="O2692" s="2">
        <f>_xlfn.XLOOKUP(A2692,Colaboradores!$A:$A,Colaboradores!$S:$S,"",0)</f>
        <v>45844</v>
      </c>
      <c r="P2692" t="str">
        <f t="shared" si="308"/>
        <v>152645809</v>
      </c>
    </row>
    <row r="2693" spans="1:16" x14ac:dyDescent="0.3">
      <c r="A2693">
        <v>1526</v>
      </c>
      <c r="B2693">
        <v>26</v>
      </c>
      <c r="C2693" t="s">
        <v>26</v>
      </c>
      <c r="D2693" t="s">
        <v>29</v>
      </c>
      <c r="E2693" t="s">
        <v>17</v>
      </c>
      <c r="F2693" t="s">
        <v>18</v>
      </c>
      <c r="G2693" t="s">
        <v>43</v>
      </c>
      <c r="H2693" t="s">
        <v>20</v>
      </c>
      <c r="I2693" s="1">
        <v>3</v>
      </c>
      <c r="J2693" s="2">
        <v>45841</v>
      </c>
      <c r="K2693" s="2">
        <v>45839</v>
      </c>
      <c r="L2693" s="1" t="str">
        <f t="shared" si="305"/>
        <v>qui</v>
      </c>
      <c r="M2693" s="1" t="str">
        <f t="shared" si="306"/>
        <v>jul</v>
      </c>
      <c r="N2693">
        <f t="shared" si="307"/>
        <v>2025</v>
      </c>
      <c r="O2693" s="2">
        <f>_xlfn.XLOOKUP(A2693,Colaboradores!$A:$A,Colaboradores!$S:$S,"",0)</f>
        <v>45844</v>
      </c>
      <c r="P2693" t="str">
        <f t="shared" si="308"/>
        <v>152645841</v>
      </c>
    </row>
    <row r="2694" spans="1:16" x14ac:dyDescent="0.3">
      <c r="A2694">
        <v>1527</v>
      </c>
      <c r="B2694">
        <v>46</v>
      </c>
      <c r="C2694" t="s">
        <v>15</v>
      </c>
      <c r="D2694" t="s">
        <v>22</v>
      </c>
      <c r="E2694" t="s">
        <v>17</v>
      </c>
      <c r="F2694" t="s">
        <v>23</v>
      </c>
      <c r="G2694" t="s">
        <v>41</v>
      </c>
      <c r="H2694" t="s">
        <v>25</v>
      </c>
      <c r="I2694" s="1">
        <v>2</v>
      </c>
      <c r="J2694" s="2">
        <v>45829</v>
      </c>
      <c r="K2694" s="2">
        <v>45809</v>
      </c>
      <c r="L2694" s="1" t="str">
        <f t="shared" si="305"/>
        <v>sáb</v>
      </c>
      <c r="M2694" s="1" t="str">
        <f t="shared" si="306"/>
        <v>jun</v>
      </c>
      <c r="N2694">
        <f t="shared" si="307"/>
        <v>2025</v>
      </c>
      <c r="O2694" s="2"/>
      <c r="P2694" t="str">
        <f t="shared" si="308"/>
        <v>152745829</v>
      </c>
    </row>
    <row r="2695" spans="1:16" x14ac:dyDescent="0.3">
      <c r="A2695">
        <v>1527</v>
      </c>
      <c r="B2695">
        <v>46</v>
      </c>
      <c r="C2695" t="s">
        <v>15</v>
      </c>
      <c r="D2695" t="s">
        <v>22</v>
      </c>
      <c r="E2695" t="s">
        <v>17</v>
      </c>
      <c r="F2695" t="s">
        <v>23</v>
      </c>
      <c r="G2695" t="s">
        <v>41</v>
      </c>
      <c r="H2695" t="s">
        <v>25</v>
      </c>
      <c r="I2695" s="1">
        <v>2</v>
      </c>
      <c r="J2695" s="2">
        <v>45873</v>
      </c>
      <c r="K2695" s="2">
        <v>45870</v>
      </c>
      <c r="L2695" s="1" t="str">
        <f t="shared" si="305"/>
        <v>seg</v>
      </c>
      <c r="M2695" s="1" t="str">
        <f t="shared" si="306"/>
        <v>ago</v>
      </c>
      <c r="N2695">
        <f t="shared" si="307"/>
        <v>2025</v>
      </c>
      <c r="O2695" s="2"/>
      <c r="P2695" t="str">
        <f t="shared" si="308"/>
        <v>152745873</v>
      </c>
    </row>
    <row r="2696" spans="1:16" x14ac:dyDescent="0.3">
      <c r="A2696">
        <v>1527</v>
      </c>
      <c r="B2696">
        <v>46</v>
      </c>
      <c r="C2696" t="s">
        <v>15</v>
      </c>
      <c r="D2696" t="s">
        <v>22</v>
      </c>
      <c r="E2696" t="s">
        <v>17</v>
      </c>
      <c r="F2696" t="s">
        <v>23</v>
      </c>
      <c r="G2696" t="s">
        <v>41</v>
      </c>
      <c r="H2696" t="s">
        <v>25</v>
      </c>
      <c r="I2696" s="1">
        <v>2</v>
      </c>
      <c r="J2696" s="2">
        <v>45889</v>
      </c>
      <c r="K2696" s="2">
        <v>45870</v>
      </c>
      <c r="L2696" s="1" t="str">
        <f t="shared" si="305"/>
        <v>qua</v>
      </c>
      <c r="M2696" s="1" t="str">
        <f t="shared" si="306"/>
        <v>ago</v>
      </c>
      <c r="N2696">
        <f t="shared" si="307"/>
        <v>2025</v>
      </c>
      <c r="O2696" s="2"/>
      <c r="P2696" t="str">
        <f t="shared" si="308"/>
        <v>152745889</v>
      </c>
    </row>
    <row r="2697" spans="1:16" x14ac:dyDescent="0.3">
      <c r="A2697">
        <v>1527</v>
      </c>
      <c r="B2697">
        <v>46</v>
      </c>
      <c r="C2697" t="s">
        <v>15</v>
      </c>
      <c r="D2697" t="s">
        <v>22</v>
      </c>
      <c r="E2697" t="s">
        <v>17</v>
      </c>
      <c r="F2697" t="s">
        <v>23</v>
      </c>
      <c r="G2697" t="s">
        <v>41</v>
      </c>
      <c r="H2697" t="s">
        <v>25</v>
      </c>
      <c r="I2697" s="1">
        <v>2</v>
      </c>
      <c r="J2697" s="2">
        <v>45891</v>
      </c>
      <c r="K2697" s="2">
        <v>45870</v>
      </c>
      <c r="L2697" s="1" t="str">
        <f t="shared" si="305"/>
        <v>sex</v>
      </c>
      <c r="M2697" s="1" t="str">
        <f t="shared" si="306"/>
        <v>ago</v>
      </c>
      <c r="N2697">
        <f t="shared" si="307"/>
        <v>2025</v>
      </c>
      <c r="O2697" s="2"/>
      <c r="P2697" t="str">
        <f t="shared" si="308"/>
        <v>152745891</v>
      </c>
    </row>
    <row r="2698" spans="1:16" x14ac:dyDescent="0.3">
      <c r="A2698">
        <v>1527</v>
      </c>
      <c r="B2698">
        <v>46</v>
      </c>
      <c r="C2698" t="s">
        <v>15</v>
      </c>
      <c r="D2698" t="s">
        <v>22</v>
      </c>
      <c r="E2698" t="s">
        <v>17</v>
      </c>
      <c r="F2698" t="s">
        <v>23</v>
      </c>
      <c r="G2698" t="s">
        <v>41</v>
      </c>
      <c r="H2698" t="s">
        <v>25</v>
      </c>
      <c r="I2698" s="1">
        <v>2</v>
      </c>
      <c r="J2698" s="2">
        <v>45965</v>
      </c>
      <c r="K2698" s="2">
        <v>45962</v>
      </c>
      <c r="L2698" s="1" t="str">
        <f t="shared" si="305"/>
        <v>ter</v>
      </c>
      <c r="M2698" s="1" t="str">
        <f t="shared" si="306"/>
        <v>nov</v>
      </c>
      <c r="N2698">
        <f t="shared" si="307"/>
        <v>2025</v>
      </c>
      <c r="O2698" s="2"/>
      <c r="P2698" t="str">
        <f t="shared" si="308"/>
        <v>152745965</v>
      </c>
    </row>
    <row r="2699" spans="1:16" x14ac:dyDescent="0.3">
      <c r="A2699">
        <v>1528</v>
      </c>
      <c r="B2699">
        <v>49</v>
      </c>
      <c r="C2699" t="s">
        <v>26</v>
      </c>
      <c r="D2699" t="s">
        <v>27</v>
      </c>
      <c r="E2699" t="s">
        <v>17</v>
      </c>
      <c r="F2699" t="s">
        <v>18</v>
      </c>
      <c r="G2699" t="s">
        <v>40</v>
      </c>
      <c r="H2699" t="s">
        <v>25</v>
      </c>
      <c r="I2699" s="1">
        <v>3</v>
      </c>
      <c r="J2699" s="2">
        <v>45877</v>
      </c>
      <c r="K2699" s="2">
        <v>45870</v>
      </c>
      <c r="L2699" s="1" t="str">
        <f t="shared" si="305"/>
        <v>sex</v>
      </c>
      <c r="M2699" s="1" t="str">
        <f t="shared" si="306"/>
        <v>ago</v>
      </c>
      <c r="N2699">
        <f t="shared" si="307"/>
        <v>2025</v>
      </c>
      <c r="O2699" s="2"/>
      <c r="P2699" t="str">
        <f t="shared" si="308"/>
        <v>152845877</v>
      </c>
    </row>
    <row r="2700" spans="1:16" x14ac:dyDescent="0.3">
      <c r="A2700">
        <v>1528</v>
      </c>
      <c r="B2700">
        <v>49</v>
      </c>
      <c r="C2700" t="s">
        <v>26</v>
      </c>
      <c r="D2700" t="s">
        <v>27</v>
      </c>
      <c r="E2700" t="s">
        <v>17</v>
      </c>
      <c r="F2700" t="s">
        <v>18</v>
      </c>
      <c r="G2700" t="s">
        <v>40</v>
      </c>
      <c r="H2700" t="s">
        <v>25</v>
      </c>
      <c r="I2700" s="1">
        <v>3</v>
      </c>
      <c r="J2700" s="2">
        <v>45915</v>
      </c>
      <c r="K2700" s="2">
        <v>45901</v>
      </c>
      <c r="L2700" s="1" t="str">
        <f t="shared" si="305"/>
        <v>seg</v>
      </c>
      <c r="M2700" s="1" t="str">
        <f t="shared" si="306"/>
        <v>set</v>
      </c>
      <c r="N2700">
        <f t="shared" si="307"/>
        <v>2025</v>
      </c>
      <c r="O2700" s="2"/>
      <c r="P2700" t="str">
        <f t="shared" si="308"/>
        <v>152845915</v>
      </c>
    </row>
    <row r="2701" spans="1:16" x14ac:dyDescent="0.3">
      <c r="A2701">
        <v>1528</v>
      </c>
      <c r="B2701">
        <v>49</v>
      </c>
      <c r="C2701" t="s">
        <v>26</v>
      </c>
      <c r="D2701" t="s">
        <v>27</v>
      </c>
      <c r="E2701" t="s">
        <v>17</v>
      </c>
      <c r="F2701" t="s">
        <v>18</v>
      </c>
      <c r="G2701" t="s">
        <v>40</v>
      </c>
      <c r="H2701" t="s">
        <v>25</v>
      </c>
      <c r="I2701" s="1">
        <v>3</v>
      </c>
      <c r="J2701" s="2">
        <v>45936</v>
      </c>
      <c r="K2701" s="2">
        <v>45931</v>
      </c>
      <c r="L2701" s="1" t="str">
        <f t="shared" si="305"/>
        <v>seg</v>
      </c>
      <c r="M2701" s="1" t="str">
        <f t="shared" si="306"/>
        <v>out</v>
      </c>
      <c r="N2701">
        <f t="shared" si="307"/>
        <v>2025</v>
      </c>
      <c r="O2701" s="2"/>
      <c r="P2701" t="str">
        <f t="shared" si="308"/>
        <v>152845936</v>
      </c>
    </row>
    <row r="2702" spans="1:16" x14ac:dyDescent="0.3">
      <c r="A2702">
        <v>1528</v>
      </c>
      <c r="B2702">
        <v>49</v>
      </c>
      <c r="C2702" t="s">
        <v>26</v>
      </c>
      <c r="D2702" t="s">
        <v>27</v>
      </c>
      <c r="E2702" t="s">
        <v>17</v>
      </c>
      <c r="F2702" t="s">
        <v>18</v>
      </c>
      <c r="G2702" t="s">
        <v>40</v>
      </c>
      <c r="H2702" t="s">
        <v>25</v>
      </c>
      <c r="I2702" s="1">
        <v>3</v>
      </c>
      <c r="J2702" s="2">
        <v>45969</v>
      </c>
      <c r="K2702" s="2">
        <v>45962</v>
      </c>
      <c r="L2702" s="1" t="str">
        <f t="shared" si="305"/>
        <v>sáb</v>
      </c>
      <c r="M2702" s="1" t="str">
        <f t="shared" si="306"/>
        <v>nov</v>
      </c>
      <c r="N2702">
        <f t="shared" si="307"/>
        <v>2025</v>
      </c>
      <c r="O2702" s="2"/>
      <c r="P2702" t="str">
        <f t="shared" si="308"/>
        <v>152845969</v>
      </c>
    </row>
    <row r="2703" spans="1:16" x14ac:dyDescent="0.3">
      <c r="A2703">
        <v>1528</v>
      </c>
      <c r="B2703">
        <v>49</v>
      </c>
      <c r="C2703" t="s">
        <v>26</v>
      </c>
      <c r="D2703" t="s">
        <v>27</v>
      </c>
      <c r="E2703" t="s">
        <v>17</v>
      </c>
      <c r="F2703" t="s">
        <v>18</v>
      </c>
      <c r="G2703" t="s">
        <v>41</v>
      </c>
      <c r="H2703" t="s">
        <v>25</v>
      </c>
      <c r="I2703" s="1">
        <v>3</v>
      </c>
      <c r="J2703" s="2">
        <v>45975</v>
      </c>
      <c r="K2703" s="2">
        <v>45962</v>
      </c>
      <c r="L2703" s="1" t="str">
        <f t="shared" si="305"/>
        <v>sex</v>
      </c>
      <c r="M2703" s="1" t="str">
        <f t="shared" si="306"/>
        <v>nov</v>
      </c>
      <c r="N2703">
        <f t="shared" si="307"/>
        <v>2025</v>
      </c>
      <c r="O2703" s="2"/>
      <c r="P2703" t="str">
        <f t="shared" si="308"/>
        <v>152845975</v>
      </c>
    </row>
    <row r="2704" spans="1:16" x14ac:dyDescent="0.3">
      <c r="A2704">
        <v>1528</v>
      </c>
      <c r="B2704">
        <v>49</v>
      </c>
      <c r="C2704" t="s">
        <v>26</v>
      </c>
      <c r="D2704" t="s">
        <v>27</v>
      </c>
      <c r="E2704" t="s">
        <v>17</v>
      </c>
      <c r="F2704" t="s">
        <v>18</v>
      </c>
      <c r="G2704" t="s">
        <v>41</v>
      </c>
      <c r="H2704" t="s">
        <v>25</v>
      </c>
      <c r="I2704" s="1">
        <v>3</v>
      </c>
      <c r="J2704" s="2">
        <v>45980</v>
      </c>
      <c r="K2704" s="2">
        <v>45962</v>
      </c>
      <c r="L2704" s="1" t="str">
        <f t="shared" si="305"/>
        <v>qua</v>
      </c>
      <c r="M2704" s="1" t="str">
        <f t="shared" si="306"/>
        <v>nov</v>
      </c>
      <c r="N2704">
        <f t="shared" si="307"/>
        <v>2025</v>
      </c>
      <c r="O2704" s="2"/>
      <c r="P2704" t="str">
        <f t="shared" si="308"/>
        <v>152845980</v>
      </c>
    </row>
    <row r="2705" spans="1:16" x14ac:dyDescent="0.3">
      <c r="A2705">
        <v>1529</v>
      </c>
      <c r="B2705">
        <v>52</v>
      </c>
      <c r="C2705" t="s">
        <v>26</v>
      </c>
      <c r="D2705" t="s">
        <v>16</v>
      </c>
      <c r="E2705" t="s">
        <v>17</v>
      </c>
      <c r="F2705" t="s">
        <v>18</v>
      </c>
      <c r="G2705" t="s">
        <v>40</v>
      </c>
      <c r="H2705" t="s">
        <v>25</v>
      </c>
      <c r="I2705" s="1">
        <v>1</v>
      </c>
      <c r="J2705" s="2">
        <v>45910</v>
      </c>
      <c r="K2705" s="2">
        <v>45901</v>
      </c>
      <c r="L2705" s="1" t="str">
        <f t="shared" si="305"/>
        <v>qua</v>
      </c>
      <c r="M2705" s="1" t="str">
        <f t="shared" si="306"/>
        <v>set</v>
      </c>
      <c r="N2705">
        <f t="shared" si="307"/>
        <v>2025</v>
      </c>
      <c r="O2705" s="2"/>
      <c r="P2705" t="str">
        <f t="shared" si="308"/>
        <v>152945910</v>
      </c>
    </row>
    <row r="2706" spans="1:16" x14ac:dyDescent="0.3">
      <c r="A2706">
        <v>1529</v>
      </c>
      <c r="B2706">
        <v>52</v>
      </c>
      <c r="C2706" t="s">
        <v>26</v>
      </c>
      <c r="D2706" t="s">
        <v>16</v>
      </c>
      <c r="E2706" t="s">
        <v>17</v>
      </c>
      <c r="F2706" t="s">
        <v>18</v>
      </c>
      <c r="G2706" t="s">
        <v>40</v>
      </c>
      <c r="H2706" t="s">
        <v>25</v>
      </c>
      <c r="I2706" s="1">
        <v>1</v>
      </c>
      <c r="J2706" s="2">
        <v>45949</v>
      </c>
      <c r="K2706" s="2">
        <v>45931</v>
      </c>
      <c r="L2706" s="1" t="str">
        <f t="shared" si="305"/>
        <v>dom</v>
      </c>
      <c r="M2706" s="1" t="str">
        <f t="shared" si="306"/>
        <v>out</v>
      </c>
      <c r="N2706">
        <f t="shared" si="307"/>
        <v>2025</v>
      </c>
      <c r="O2706" s="2"/>
      <c r="P2706" t="str">
        <f t="shared" si="308"/>
        <v>152945949</v>
      </c>
    </row>
    <row r="2707" spans="1:16" x14ac:dyDescent="0.3">
      <c r="A2707">
        <v>1529</v>
      </c>
      <c r="B2707">
        <v>52</v>
      </c>
      <c r="C2707" t="s">
        <v>26</v>
      </c>
      <c r="D2707" t="s">
        <v>16</v>
      </c>
      <c r="E2707" t="s">
        <v>17</v>
      </c>
      <c r="F2707" t="s">
        <v>18</v>
      </c>
      <c r="G2707" t="s">
        <v>40</v>
      </c>
      <c r="H2707" t="s">
        <v>25</v>
      </c>
      <c r="I2707" s="1">
        <v>1</v>
      </c>
      <c r="J2707" s="2">
        <v>45978</v>
      </c>
      <c r="K2707" s="2">
        <v>45962</v>
      </c>
      <c r="L2707" s="1" t="str">
        <f t="shared" si="305"/>
        <v>seg</v>
      </c>
      <c r="M2707" s="1" t="str">
        <f t="shared" si="306"/>
        <v>nov</v>
      </c>
      <c r="N2707">
        <f t="shared" si="307"/>
        <v>2025</v>
      </c>
      <c r="O2707" s="2"/>
      <c r="P2707" t="str">
        <f t="shared" si="308"/>
        <v>152945978</v>
      </c>
    </row>
    <row r="2708" spans="1:16" x14ac:dyDescent="0.3">
      <c r="A2708">
        <v>1529</v>
      </c>
      <c r="B2708">
        <v>52</v>
      </c>
      <c r="C2708" t="s">
        <v>26</v>
      </c>
      <c r="D2708" t="s">
        <v>16</v>
      </c>
      <c r="E2708" t="s">
        <v>17</v>
      </c>
      <c r="F2708" t="s">
        <v>18</v>
      </c>
      <c r="G2708" t="s">
        <v>40</v>
      </c>
      <c r="H2708" t="s">
        <v>25</v>
      </c>
      <c r="I2708" s="1">
        <v>1</v>
      </c>
      <c r="J2708" s="2">
        <v>46054</v>
      </c>
      <c r="K2708" s="2">
        <v>46054</v>
      </c>
      <c r="L2708" s="1" t="str">
        <f t="shared" si="305"/>
        <v>dom</v>
      </c>
      <c r="M2708" s="1" t="str">
        <f t="shared" si="306"/>
        <v>fev</v>
      </c>
      <c r="N2708">
        <f t="shared" si="307"/>
        <v>2026</v>
      </c>
      <c r="O2708" s="2"/>
      <c r="P2708" t="str">
        <f t="shared" si="308"/>
        <v>152946054</v>
      </c>
    </row>
    <row r="2709" spans="1:16" x14ac:dyDescent="0.3">
      <c r="A2709">
        <v>1529</v>
      </c>
      <c r="B2709">
        <v>52</v>
      </c>
      <c r="C2709" t="s">
        <v>26</v>
      </c>
      <c r="D2709" t="s">
        <v>16</v>
      </c>
      <c r="E2709" t="s">
        <v>17</v>
      </c>
      <c r="F2709" t="s">
        <v>18</v>
      </c>
      <c r="G2709" t="s">
        <v>40</v>
      </c>
      <c r="H2709" t="s">
        <v>25</v>
      </c>
      <c r="I2709" s="1">
        <v>1</v>
      </c>
      <c r="J2709" s="2">
        <v>46065</v>
      </c>
      <c r="K2709" s="2">
        <v>46054</v>
      </c>
      <c r="L2709" s="1" t="str">
        <f t="shared" si="305"/>
        <v>qui</v>
      </c>
      <c r="M2709" s="1" t="str">
        <f t="shared" si="306"/>
        <v>fev</v>
      </c>
      <c r="N2709">
        <f t="shared" si="307"/>
        <v>2026</v>
      </c>
      <c r="O2709" s="2"/>
      <c r="P2709" t="str">
        <f t="shared" si="308"/>
        <v>152946065</v>
      </c>
    </row>
    <row r="2710" spans="1:16" x14ac:dyDescent="0.3">
      <c r="A2710">
        <v>1529</v>
      </c>
      <c r="B2710">
        <v>52</v>
      </c>
      <c r="C2710" t="s">
        <v>26</v>
      </c>
      <c r="D2710" t="s">
        <v>16</v>
      </c>
      <c r="E2710" t="s">
        <v>17</v>
      </c>
      <c r="F2710" t="s">
        <v>18</v>
      </c>
      <c r="G2710" t="s">
        <v>40</v>
      </c>
      <c r="H2710" t="s">
        <v>25</v>
      </c>
      <c r="I2710" s="1">
        <v>1</v>
      </c>
      <c r="J2710" s="2">
        <v>46068</v>
      </c>
      <c r="K2710" s="2">
        <v>46054</v>
      </c>
      <c r="L2710" s="1" t="str">
        <f t="shared" si="305"/>
        <v>dom</v>
      </c>
      <c r="M2710" s="1" t="str">
        <f t="shared" si="306"/>
        <v>fev</v>
      </c>
      <c r="N2710">
        <f t="shared" si="307"/>
        <v>2026</v>
      </c>
      <c r="O2710" s="2"/>
      <c r="P2710" t="str">
        <f t="shared" si="308"/>
        <v>152946068</v>
      </c>
    </row>
    <row r="2711" spans="1:16" x14ac:dyDescent="0.3">
      <c r="A2711">
        <v>1531</v>
      </c>
      <c r="B2711">
        <v>23</v>
      </c>
      <c r="C2711" t="s">
        <v>26</v>
      </c>
      <c r="D2711" t="s">
        <v>22</v>
      </c>
      <c r="E2711" t="s">
        <v>17</v>
      </c>
      <c r="F2711" t="s">
        <v>23</v>
      </c>
      <c r="G2711" t="s">
        <v>44</v>
      </c>
      <c r="H2711" t="s">
        <v>20</v>
      </c>
      <c r="I2711" s="1">
        <v>2</v>
      </c>
      <c r="J2711" s="2">
        <v>45787</v>
      </c>
      <c r="K2711" s="2">
        <v>45778</v>
      </c>
      <c r="L2711" s="1" t="str">
        <f t="shared" ref="L2711:L2742" si="309">TEXT(J2711,"ddd")</f>
        <v>sáb</v>
      </c>
      <c r="M2711" s="1" t="str">
        <f t="shared" ref="M2711:M2742" si="310">TEXT($J2711,"mmm")</f>
        <v>mai</v>
      </c>
      <c r="N2711">
        <f t="shared" ref="N2711:N2742" si="311">YEAR(J2711)</f>
        <v>2025</v>
      </c>
      <c r="O2711" s="2">
        <f>_xlfn.XLOOKUP(A2711,Colaboradores!$A:$A,Colaboradores!$S:$S,"",0)</f>
        <v>46187</v>
      </c>
      <c r="P2711" t="str">
        <f t="shared" si="308"/>
        <v>153145787</v>
      </c>
    </row>
    <row r="2712" spans="1:16" x14ac:dyDescent="0.3">
      <c r="A2712">
        <v>1531</v>
      </c>
      <c r="B2712">
        <v>23</v>
      </c>
      <c r="C2712" t="s">
        <v>26</v>
      </c>
      <c r="D2712" t="s">
        <v>22</v>
      </c>
      <c r="E2712" t="s">
        <v>17</v>
      </c>
      <c r="F2712" t="s">
        <v>23</v>
      </c>
      <c r="G2712" t="s">
        <v>41</v>
      </c>
      <c r="H2712" t="s">
        <v>20</v>
      </c>
      <c r="I2712" s="1">
        <v>2</v>
      </c>
      <c r="J2712" s="2">
        <v>45789</v>
      </c>
      <c r="K2712" s="2">
        <v>45778</v>
      </c>
      <c r="L2712" s="1" t="str">
        <f t="shared" si="309"/>
        <v>seg</v>
      </c>
      <c r="M2712" s="1" t="str">
        <f t="shared" si="310"/>
        <v>mai</v>
      </c>
      <c r="N2712">
        <f t="shared" si="311"/>
        <v>2025</v>
      </c>
      <c r="O2712" s="2">
        <f>_xlfn.XLOOKUP(A2712,Colaboradores!$A:$A,Colaboradores!$S:$S,"",0)</f>
        <v>46187</v>
      </c>
      <c r="P2712" t="str">
        <f t="shared" si="308"/>
        <v>153145789</v>
      </c>
    </row>
    <row r="2713" spans="1:16" x14ac:dyDescent="0.3">
      <c r="A2713">
        <v>1531</v>
      </c>
      <c r="B2713">
        <v>23</v>
      </c>
      <c r="C2713" t="s">
        <v>26</v>
      </c>
      <c r="D2713" t="s">
        <v>22</v>
      </c>
      <c r="E2713" t="s">
        <v>17</v>
      </c>
      <c r="F2713" t="s">
        <v>23</v>
      </c>
      <c r="G2713" t="s">
        <v>41</v>
      </c>
      <c r="H2713" t="s">
        <v>20</v>
      </c>
      <c r="I2713" s="1">
        <v>2</v>
      </c>
      <c r="J2713" s="2">
        <v>45824</v>
      </c>
      <c r="K2713" s="2">
        <v>45809</v>
      </c>
      <c r="L2713" s="1" t="str">
        <f t="shared" si="309"/>
        <v>seg</v>
      </c>
      <c r="M2713" s="1" t="str">
        <f t="shared" si="310"/>
        <v>jun</v>
      </c>
      <c r="N2713">
        <f t="shared" si="311"/>
        <v>2025</v>
      </c>
      <c r="O2713" s="2">
        <f>_xlfn.XLOOKUP(A2713,Colaboradores!$A:$A,Colaboradores!$S:$S,"",0)</f>
        <v>46187</v>
      </c>
      <c r="P2713" t="str">
        <f t="shared" si="308"/>
        <v>153145824</v>
      </c>
    </row>
    <row r="2714" spans="1:16" x14ac:dyDescent="0.3">
      <c r="A2714">
        <v>1531</v>
      </c>
      <c r="B2714">
        <v>23</v>
      </c>
      <c r="C2714" t="s">
        <v>26</v>
      </c>
      <c r="D2714" t="s">
        <v>22</v>
      </c>
      <c r="E2714" t="s">
        <v>17</v>
      </c>
      <c r="F2714" t="s">
        <v>23</v>
      </c>
      <c r="G2714" t="s">
        <v>44</v>
      </c>
      <c r="H2714" t="s">
        <v>20</v>
      </c>
      <c r="I2714" s="1">
        <v>2</v>
      </c>
      <c r="J2714" s="2">
        <v>45859</v>
      </c>
      <c r="K2714" s="2">
        <v>45839</v>
      </c>
      <c r="L2714" s="1" t="str">
        <f t="shared" si="309"/>
        <v>seg</v>
      </c>
      <c r="M2714" s="1" t="str">
        <f t="shared" si="310"/>
        <v>jul</v>
      </c>
      <c r="N2714">
        <f t="shared" si="311"/>
        <v>2025</v>
      </c>
      <c r="O2714" s="2">
        <f>_xlfn.XLOOKUP(A2714,Colaboradores!$A:$A,Colaboradores!$S:$S,"",0)</f>
        <v>46187</v>
      </c>
      <c r="P2714" t="str">
        <f t="shared" si="308"/>
        <v>153145859</v>
      </c>
    </row>
    <row r="2715" spans="1:16" x14ac:dyDescent="0.3">
      <c r="A2715">
        <v>1531</v>
      </c>
      <c r="B2715">
        <v>23</v>
      </c>
      <c r="C2715" t="s">
        <v>26</v>
      </c>
      <c r="D2715" t="s">
        <v>22</v>
      </c>
      <c r="E2715" t="s">
        <v>17</v>
      </c>
      <c r="F2715" t="s">
        <v>23</v>
      </c>
      <c r="G2715" t="s">
        <v>41</v>
      </c>
      <c r="H2715" t="s">
        <v>20</v>
      </c>
      <c r="I2715" s="1">
        <v>2</v>
      </c>
      <c r="J2715" s="2">
        <v>45968</v>
      </c>
      <c r="K2715" s="2">
        <v>45962</v>
      </c>
      <c r="L2715" s="1" t="str">
        <f t="shared" si="309"/>
        <v>sex</v>
      </c>
      <c r="M2715" s="1" t="str">
        <f t="shared" si="310"/>
        <v>nov</v>
      </c>
      <c r="N2715">
        <f t="shared" si="311"/>
        <v>2025</v>
      </c>
      <c r="O2715" s="2">
        <f>_xlfn.XLOOKUP(A2715,Colaboradores!$A:$A,Colaboradores!$S:$S,"",0)</f>
        <v>46187</v>
      </c>
      <c r="P2715" t="str">
        <f t="shared" si="308"/>
        <v>153145968</v>
      </c>
    </row>
    <row r="2716" spans="1:16" x14ac:dyDescent="0.3">
      <c r="A2716">
        <v>1531</v>
      </c>
      <c r="B2716">
        <v>23</v>
      </c>
      <c r="C2716" t="s">
        <v>26</v>
      </c>
      <c r="D2716" t="s">
        <v>22</v>
      </c>
      <c r="E2716" t="s">
        <v>17</v>
      </c>
      <c r="F2716" t="s">
        <v>23</v>
      </c>
      <c r="G2716" t="s">
        <v>41</v>
      </c>
      <c r="H2716" t="s">
        <v>20</v>
      </c>
      <c r="I2716" s="1">
        <v>2</v>
      </c>
      <c r="J2716" s="2">
        <v>46066</v>
      </c>
      <c r="K2716" s="2">
        <v>46054</v>
      </c>
      <c r="L2716" s="1" t="str">
        <f t="shared" si="309"/>
        <v>sex</v>
      </c>
      <c r="M2716" s="1" t="str">
        <f t="shared" si="310"/>
        <v>fev</v>
      </c>
      <c r="N2716">
        <f t="shared" si="311"/>
        <v>2026</v>
      </c>
      <c r="O2716" s="2">
        <f>_xlfn.XLOOKUP(A2716,Colaboradores!$A:$A,Colaboradores!$S:$S,"",0)</f>
        <v>46187</v>
      </c>
      <c r="P2716" t="str">
        <f t="shared" si="308"/>
        <v>153146066</v>
      </c>
    </row>
    <row r="2717" spans="1:16" x14ac:dyDescent="0.3">
      <c r="A2717">
        <v>1532</v>
      </c>
      <c r="B2717">
        <v>26</v>
      </c>
      <c r="C2717" t="s">
        <v>15</v>
      </c>
      <c r="D2717" t="s">
        <v>22</v>
      </c>
      <c r="E2717" t="s">
        <v>17</v>
      </c>
      <c r="F2717" t="s">
        <v>23</v>
      </c>
      <c r="G2717" t="s">
        <v>41</v>
      </c>
      <c r="H2717" t="s">
        <v>25</v>
      </c>
      <c r="I2717" s="1">
        <v>1</v>
      </c>
      <c r="J2717" s="2">
        <v>45919</v>
      </c>
      <c r="K2717" s="2">
        <v>45901</v>
      </c>
      <c r="L2717" s="1" t="str">
        <f t="shared" si="309"/>
        <v>sex</v>
      </c>
      <c r="M2717" s="1" t="str">
        <f t="shared" si="310"/>
        <v>set</v>
      </c>
      <c r="N2717">
        <f t="shared" si="311"/>
        <v>2025</v>
      </c>
      <c r="O2717" s="2"/>
      <c r="P2717" t="str">
        <f t="shared" si="308"/>
        <v>153245919</v>
      </c>
    </row>
    <row r="2718" spans="1:16" x14ac:dyDescent="0.3">
      <c r="A2718">
        <v>1532</v>
      </c>
      <c r="B2718">
        <v>26</v>
      </c>
      <c r="C2718" t="s">
        <v>15</v>
      </c>
      <c r="D2718" t="s">
        <v>22</v>
      </c>
      <c r="E2718" t="s">
        <v>17</v>
      </c>
      <c r="F2718" t="s">
        <v>23</v>
      </c>
      <c r="G2718" t="s">
        <v>41</v>
      </c>
      <c r="H2718" t="s">
        <v>25</v>
      </c>
      <c r="I2718" s="1">
        <v>1</v>
      </c>
      <c r="J2718" s="2">
        <v>46014</v>
      </c>
      <c r="K2718" s="2">
        <v>45992</v>
      </c>
      <c r="L2718" s="1" t="str">
        <f t="shared" si="309"/>
        <v>ter</v>
      </c>
      <c r="M2718" s="1" t="str">
        <f t="shared" si="310"/>
        <v>dez</v>
      </c>
      <c r="N2718">
        <f t="shared" si="311"/>
        <v>2025</v>
      </c>
      <c r="O2718" s="2"/>
      <c r="P2718" t="str">
        <f t="shared" si="308"/>
        <v>153246014</v>
      </c>
    </row>
    <row r="2719" spans="1:16" x14ac:dyDescent="0.3">
      <c r="A2719">
        <v>1532</v>
      </c>
      <c r="B2719">
        <v>26</v>
      </c>
      <c r="C2719" t="s">
        <v>15</v>
      </c>
      <c r="D2719" t="s">
        <v>22</v>
      </c>
      <c r="E2719" t="s">
        <v>17</v>
      </c>
      <c r="F2719" t="s">
        <v>23</v>
      </c>
      <c r="G2719" t="s">
        <v>41</v>
      </c>
      <c r="H2719" t="s">
        <v>25</v>
      </c>
      <c r="I2719" s="1">
        <v>1</v>
      </c>
      <c r="J2719" s="2">
        <v>46180</v>
      </c>
      <c r="K2719" s="2">
        <v>46023</v>
      </c>
      <c r="L2719" s="1" t="str">
        <f t="shared" si="309"/>
        <v>dom</v>
      </c>
      <c r="M2719" s="1" t="str">
        <f t="shared" si="310"/>
        <v>jun</v>
      </c>
      <c r="N2719">
        <f t="shared" si="311"/>
        <v>2026</v>
      </c>
      <c r="O2719" s="2"/>
      <c r="P2719" t="str">
        <f t="shared" si="308"/>
        <v>153246180</v>
      </c>
    </row>
    <row r="2720" spans="1:16" x14ac:dyDescent="0.3">
      <c r="A2720">
        <v>1532</v>
      </c>
      <c r="B2720">
        <v>26</v>
      </c>
      <c r="C2720" t="s">
        <v>15</v>
      </c>
      <c r="D2720" t="s">
        <v>22</v>
      </c>
      <c r="E2720" t="s">
        <v>17</v>
      </c>
      <c r="F2720" t="s">
        <v>23</v>
      </c>
      <c r="G2720" t="s">
        <v>41</v>
      </c>
      <c r="H2720" t="s">
        <v>25</v>
      </c>
      <c r="I2720" s="1">
        <v>1</v>
      </c>
      <c r="J2720" s="2">
        <v>46189</v>
      </c>
      <c r="K2720" s="2">
        <v>46023</v>
      </c>
      <c r="L2720" s="1" t="str">
        <f t="shared" si="309"/>
        <v>ter</v>
      </c>
      <c r="M2720" s="1" t="str">
        <f t="shared" si="310"/>
        <v>jun</v>
      </c>
      <c r="N2720">
        <f t="shared" si="311"/>
        <v>2026</v>
      </c>
      <c r="O2720" s="2"/>
      <c r="P2720" t="str">
        <f t="shared" si="308"/>
        <v>153246189</v>
      </c>
    </row>
    <row r="2721" spans="1:16" x14ac:dyDescent="0.3">
      <c r="A2721">
        <v>1534</v>
      </c>
      <c r="B2721">
        <v>33</v>
      </c>
      <c r="C2721" t="s">
        <v>26</v>
      </c>
      <c r="D2721" t="s">
        <v>29</v>
      </c>
      <c r="E2721" t="s">
        <v>17</v>
      </c>
      <c r="F2721" t="s">
        <v>21</v>
      </c>
      <c r="G2721" t="s">
        <v>40</v>
      </c>
      <c r="H2721" t="s">
        <v>25</v>
      </c>
      <c r="I2721" s="1">
        <v>1</v>
      </c>
      <c r="J2721" s="2">
        <v>45816</v>
      </c>
      <c r="K2721" s="2">
        <v>45809</v>
      </c>
      <c r="L2721" s="1" t="str">
        <f t="shared" si="309"/>
        <v>dom</v>
      </c>
      <c r="M2721" s="1" t="str">
        <f t="shared" si="310"/>
        <v>jun</v>
      </c>
      <c r="N2721">
        <f t="shared" si="311"/>
        <v>2025</v>
      </c>
      <c r="O2721" s="2"/>
      <c r="P2721" t="str">
        <f t="shared" si="308"/>
        <v>153445816</v>
      </c>
    </row>
    <row r="2722" spans="1:16" x14ac:dyDescent="0.3">
      <c r="A2722">
        <v>1534</v>
      </c>
      <c r="B2722">
        <v>33</v>
      </c>
      <c r="C2722" t="s">
        <v>26</v>
      </c>
      <c r="D2722" t="s">
        <v>29</v>
      </c>
      <c r="E2722" t="s">
        <v>17</v>
      </c>
      <c r="F2722" t="s">
        <v>21</v>
      </c>
      <c r="G2722" t="s">
        <v>41</v>
      </c>
      <c r="H2722" t="s">
        <v>25</v>
      </c>
      <c r="I2722" s="1">
        <v>1</v>
      </c>
      <c r="J2722" s="2">
        <v>45833</v>
      </c>
      <c r="K2722" s="2">
        <v>45809</v>
      </c>
      <c r="L2722" s="1" t="str">
        <f t="shared" si="309"/>
        <v>qua</v>
      </c>
      <c r="M2722" s="1" t="str">
        <f t="shared" si="310"/>
        <v>jun</v>
      </c>
      <c r="N2722">
        <f t="shared" si="311"/>
        <v>2025</v>
      </c>
      <c r="O2722" s="2"/>
      <c r="P2722" t="str">
        <f t="shared" si="308"/>
        <v>153445833</v>
      </c>
    </row>
    <row r="2723" spans="1:16" x14ac:dyDescent="0.3">
      <c r="A2723">
        <v>1534</v>
      </c>
      <c r="B2723">
        <v>33</v>
      </c>
      <c r="C2723" t="s">
        <v>26</v>
      </c>
      <c r="D2723" t="s">
        <v>29</v>
      </c>
      <c r="E2723" t="s">
        <v>17</v>
      </c>
      <c r="F2723" t="s">
        <v>21</v>
      </c>
      <c r="G2723" t="s">
        <v>40</v>
      </c>
      <c r="H2723" t="s">
        <v>25</v>
      </c>
      <c r="I2723" s="1">
        <v>1</v>
      </c>
      <c r="J2723" s="2">
        <v>45834</v>
      </c>
      <c r="K2723" s="2">
        <v>45809</v>
      </c>
      <c r="L2723" s="1" t="str">
        <f t="shared" si="309"/>
        <v>qui</v>
      </c>
      <c r="M2723" s="1" t="str">
        <f t="shared" si="310"/>
        <v>jun</v>
      </c>
      <c r="N2723">
        <f t="shared" si="311"/>
        <v>2025</v>
      </c>
      <c r="O2723" s="2"/>
      <c r="P2723" t="str">
        <f t="shared" si="308"/>
        <v>153445834</v>
      </c>
    </row>
    <row r="2724" spans="1:16" x14ac:dyDescent="0.3">
      <c r="A2724">
        <v>1534</v>
      </c>
      <c r="B2724">
        <v>33</v>
      </c>
      <c r="C2724" t="s">
        <v>26</v>
      </c>
      <c r="D2724" t="s">
        <v>29</v>
      </c>
      <c r="E2724" t="s">
        <v>17</v>
      </c>
      <c r="F2724" t="s">
        <v>21</v>
      </c>
      <c r="G2724" t="s">
        <v>40</v>
      </c>
      <c r="H2724" t="s">
        <v>25</v>
      </c>
      <c r="I2724" s="1">
        <v>1</v>
      </c>
      <c r="J2724" s="2">
        <v>45935</v>
      </c>
      <c r="K2724" s="2">
        <v>45931</v>
      </c>
      <c r="L2724" s="1" t="str">
        <f t="shared" si="309"/>
        <v>dom</v>
      </c>
      <c r="M2724" s="1" t="str">
        <f t="shared" si="310"/>
        <v>out</v>
      </c>
      <c r="N2724">
        <f t="shared" si="311"/>
        <v>2025</v>
      </c>
      <c r="O2724" s="2"/>
      <c r="P2724" t="str">
        <f t="shared" si="308"/>
        <v>153445935</v>
      </c>
    </row>
    <row r="2725" spans="1:16" x14ac:dyDescent="0.3">
      <c r="A2725">
        <v>1534</v>
      </c>
      <c r="B2725">
        <v>33</v>
      </c>
      <c r="C2725" t="s">
        <v>26</v>
      </c>
      <c r="D2725" t="s">
        <v>29</v>
      </c>
      <c r="E2725" t="s">
        <v>17</v>
      </c>
      <c r="F2725" t="s">
        <v>21</v>
      </c>
      <c r="G2725" t="s">
        <v>40</v>
      </c>
      <c r="H2725" t="s">
        <v>25</v>
      </c>
      <c r="I2725" s="1">
        <v>1</v>
      </c>
      <c r="J2725" s="2">
        <v>46076</v>
      </c>
      <c r="K2725" s="2">
        <v>46054</v>
      </c>
      <c r="L2725" s="1" t="str">
        <f t="shared" si="309"/>
        <v>seg</v>
      </c>
      <c r="M2725" s="1" t="str">
        <f t="shared" si="310"/>
        <v>fev</v>
      </c>
      <c r="N2725">
        <f t="shared" si="311"/>
        <v>2026</v>
      </c>
      <c r="O2725" s="2"/>
      <c r="P2725" t="str">
        <f t="shared" si="308"/>
        <v>153446076</v>
      </c>
    </row>
    <row r="2726" spans="1:16" x14ac:dyDescent="0.3">
      <c r="A2726">
        <v>1534</v>
      </c>
      <c r="B2726">
        <v>33</v>
      </c>
      <c r="C2726" t="s">
        <v>26</v>
      </c>
      <c r="D2726" t="s">
        <v>29</v>
      </c>
      <c r="E2726" t="s">
        <v>17</v>
      </c>
      <c r="F2726" t="s">
        <v>21</v>
      </c>
      <c r="G2726" t="s">
        <v>40</v>
      </c>
      <c r="H2726" t="s">
        <v>25</v>
      </c>
      <c r="I2726" s="1">
        <v>1</v>
      </c>
      <c r="J2726" s="2">
        <v>46104</v>
      </c>
      <c r="K2726" s="2">
        <v>46082</v>
      </c>
      <c r="L2726" s="1" t="str">
        <f t="shared" si="309"/>
        <v>seg</v>
      </c>
      <c r="M2726" s="1" t="str">
        <f t="shared" si="310"/>
        <v>mar</v>
      </c>
      <c r="N2726">
        <f t="shared" si="311"/>
        <v>2026</v>
      </c>
      <c r="O2726" s="2"/>
      <c r="P2726" t="str">
        <f t="shared" si="308"/>
        <v>153446104</v>
      </c>
    </row>
    <row r="2727" spans="1:16" x14ac:dyDescent="0.3">
      <c r="A2727">
        <v>1535</v>
      </c>
      <c r="B2727">
        <v>41</v>
      </c>
      <c r="C2727" t="s">
        <v>26</v>
      </c>
      <c r="D2727" t="s">
        <v>31</v>
      </c>
      <c r="E2727" t="s">
        <v>34</v>
      </c>
      <c r="F2727" t="s">
        <v>21</v>
      </c>
      <c r="G2727" t="s">
        <v>41</v>
      </c>
      <c r="H2727" t="s">
        <v>20</v>
      </c>
      <c r="I2727" s="1">
        <v>2</v>
      </c>
      <c r="J2727" s="2">
        <v>45778</v>
      </c>
      <c r="K2727" s="2">
        <v>45778</v>
      </c>
      <c r="L2727" s="1" t="str">
        <f t="shared" si="309"/>
        <v>qui</v>
      </c>
      <c r="M2727" s="1" t="str">
        <f t="shared" si="310"/>
        <v>mai</v>
      </c>
      <c r="N2727">
        <f t="shared" si="311"/>
        <v>2025</v>
      </c>
      <c r="O2727" s="2">
        <f>_xlfn.XLOOKUP(A2727,Colaboradores!$A:$A,Colaboradores!$S:$S,"",0)</f>
        <v>45920</v>
      </c>
      <c r="P2727" t="str">
        <f t="shared" si="308"/>
        <v>153545778</v>
      </c>
    </row>
    <row r="2728" spans="1:16" x14ac:dyDescent="0.3">
      <c r="A2728">
        <v>1535</v>
      </c>
      <c r="B2728">
        <v>41</v>
      </c>
      <c r="C2728" t="s">
        <v>26</v>
      </c>
      <c r="D2728" t="s">
        <v>31</v>
      </c>
      <c r="E2728" t="s">
        <v>34</v>
      </c>
      <c r="F2728" t="s">
        <v>21</v>
      </c>
      <c r="G2728" t="s">
        <v>41</v>
      </c>
      <c r="H2728" t="s">
        <v>20</v>
      </c>
      <c r="I2728" s="1">
        <v>2</v>
      </c>
      <c r="J2728" s="2">
        <v>45787</v>
      </c>
      <c r="K2728" s="2">
        <v>45778</v>
      </c>
      <c r="L2728" s="1" t="str">
        <f t="shared" si="309"/>
        <v>sáb</v>
      </c>
      <c r="M2728" s="1" t="str">
        <f t="shared" si="310"/>
        <v>mai</v>
      </c>
      <c r="N2728">
        <f t="shared" si="311"/>
        <v>2025</v>
      </c>
      <c r="O2728" s="2">
        <f>_xlfn.XLOOKUP(A2728,Colaboradores!$A:$A,Colaboradores!$S:$S,"",0)</f>
        <v>45920</v>
      </c>
      <c r="P2728" t="str">
        <f t="shared" si="308"/>
        <v>153545787</v>
      </c>
    </row>
    <row r="2729" spans="1:16" x14ac:dyDescent="0.3">
      <c r="A2729">
        <v>1535</v>
      </c>
      <c r="B2729">
        <v>41</v>
      </c>
      <c r="C2729" t="s">
        <v>26</v>
      </c>
      <c r="D2729" t="s">
        <v>31</v>
      </c>
      <c r="E2729" t="s">
        <v>34</v>
      </c>
      <c r="F2729" t="s">
        <v>21</v>
      </c>
      <c r="G2729" t="s">
        <v>41</v>
      </c>
      <c r="H2729" t="s">
        <v>20</v>
      </c>
      <c r="I2729" s="1">
        <v>2</v>
      </c>
      <c r="J2729" s="2">
        <v>45871</v>
      </c>
      <c r="K2729" s="2">
        <v>45870</v>
      </c>
      <c r="L2729" s="1" t="str">
        <f t="shared" si="309"/>
        <v>sáb</v>
      </c>
      <c r="M2729" s="1" t="str">
        <f t="shared" si="310"/>
        <v>ago</v>
      </c>
      <c r="N2729">
        <f t="shared" si="311"/>
        <v>2025</v>
      </c>
      <c r="O2729" s="2">
        <f>_xlfn.XLOOKUP(A2729,Colaboradores!$A:$A,Colaboradores!$S:$S,"",0)</f>
        <v>45920</v>
      </c>
      <c r="P2729" t="str">
        <f t="shared" si="308"/>
        <v>153545871</v>
      </c>
    </row>
    <row r="2730" spans="1:16" x14ac:dyDescent="0.3">
      <c r="A2730">
        <v>1535</v>
      </c>
      <c r="B2730">
        <v>41</v>
      </c>
      <c r="C2730" t="s">
        <v>26</v>
      </c>
      <c r="D2730" t="s">
        <v>31</v>
      </c>
      <c r="E2730" t="s">
        <v>34</v>
      </c>
      <c r="F2730" t="s">
        <v>21</v>
      </c>
      <c r="G2730" t="s">
        <v>41</v>
      </c>
      <c r="H2730" t="s">
        <v>20</v>
      </c>
      <c r="I2730" s="1">
        <v>2</v>
      </c>
      <c r="J2730" s="2">
        <v>45872</v>
      </c>
      <c r="K2730" s="2">
        <v>45870</v>
      </c>
      <c r="L2730" s="1" t="str">
        <f t="shared" si="309"/>
        <v>dom</v>
      </c>
      <c r="M2730" s="1" t="str">
        <f t="shared" si="310"/>
        <v>ago</v>
      </c>
      <c r="N2730">
        <f t="shared" si="311"/>
        <v>2025</v>
      </c>
      <c r="O2730" s="2">
        <f>_xlfn.XLOOKUP(A2730,Colaboradores!$A:$A,Colaboradores!$S:$S,"",0)</f>
        <v>45920</v>
      </c>
      <c r="P2730" t="str">
        <f t="shared" si="308"/>
        <v>153545872</v>
      </c>
    </row>
    <row r="2731" spans="1:16" x14ac:dyDescent="0.3">
      <c r="A2731">
        <v>1535</v>
      </c>
      <c r="B2731">
        <v>41</v>
      </c>
      <c r="C2731" t="s">
        <v>26</v>
      </c>
      <c r="D2731" t="s">
        <v>31</v>
      </c>
      <c r="E2731" t="s">
        <v>34</v>
      </c>
      <c r="F2731" t="s">
        <v>21</v>
      </c>
      <c r="G2731" t="s">
        <v>41</v>
      </c>
      <c r="H2731" t="s">
        <v>20</v>
      </c>
      <c r="I2731" s="1">
        <v>2</v>
      </c>
      <c r="J2731" s="2">
        <v>45883</v>
      </c>
      <c r="K2731" s="2">
        <v>45870</v>
      </c>
      <c r="L2731" s="1" t="str">
        <f t="shared" si="309"/>
        <v>qui</v>
      </c>
      <c r="M2731" s="1" t="str">
        <f t="shared" si="310"/>
        <v>ago</v>
      </c>
      <c r="N2731">
        <f t="shared" si="311"/>
        <v>2025</v>
      </c>
      <c r="O2731" s="2">
        <f>_xlfn.XLOOKUP(A2731,Colaboradores!$A:$A,Colaboradores!$S:$S,"",0)</f>
        <v>45920</v>
      </c>
      <c r="P2731" t="str">
        <f t="shared" si="308"/>
        <v>153545883</v>
      </c>
    </row>
    <row r="2732" spans="1:16" x14ac:dyDescent="0.3">
      <c r="A2732">
        <v>1535</v>
      </c>
      <c r="B2732">
        <v>41</v>
      </c>
      <c r="C2732" t="s">
        <v>26</v>
      </c>
      <c r="D2732" t="s">
        <v>31</v>
      </c>
      <c r="E2732" t="s">
        <v>34</v>
      </c>
      <c r="F2732" t="s">
        <v>21</v>
      </c>
      <c r="G2732" t="s">
        <v>42</v>
      </c>
      <c r="H2732" t="s">
        <v>20</v>
      </c>
      <c r="I2732" s="1">
        <v>2</v>
      </c>
      <c r="J2732" s="2">
        <v>45893</v>
      </c>
      <c r="K2732" s="2">
        <v>45870</v>
      </c>
      <c r="L2732" s="1" t="str">
        <f t="shared" si="309"/>
        <v>dom</v>
      </c>
      <c r="M2732" s="1" t="str">
        <f t="shared" si="310"/>
        <v>ago</v>
      </c>
      <c r="N2732">
        <f t="shared" si="311"/>
        <v>2025</v>
      </c>
      <c r="O2732" s="2">
        <f>_xlfn.XLOOKUP(A2732,Colaboradores!$A:$A,Colaboradores!$S:$S,"",0)</f>
        <v>45920</v>
      </c>
      <c r="P2732" t="str">
        <f t="shared" si="308"/>
        <v>153545893</v>
      </c>
    </row>
    <row r="2733" spans="1:16" x14ac:dyDescent="0.3">
      <c r="A2733">
        <v>1537</v>
      </c>
      <c r="B2733">
        <v>21</v>
      </c>
      <c r="C2733" t="s">
        <v>15</v>
      </c>
      <c r="D2733" t="s">
        <v>16</v>
      </c>
      <c r="E2733" t="s">
        <v>17</v>
      </c>
      <c r="F2733" t="s">
        <v>18</v>
      </c>
      <c r="G2733" t="s">
        <v>43</v>
      </c>
      <c r="H2733" t="s">
        <v>25</v>
      </c>
      <c r="I2733" s="1">
        <v>1</v>
      </c>
      <c r="J2733" s="2">
        <v>45857</v>
      </c>
      <c r="K2733" s="2">
        <v>45839</v>
      </c>
      <c r="L2733" s="1" t="str">
        <f t="shared" si="309"/>
        <v>sáb</v>
      </c>
      <c r="M2733" s="1" t="str">
        <f t="shared" si="310"/>
        <v>jul</v>
      </c>
      <c r="N2733">
        <f t="shared" si="311"/>
        <v>2025</v>
      </c>
      <c r="O2733" s="2"/>
      <c r="P2733" t="str">
        <f t="shared" si="308"/>
        <v>153745857</v>
      </c>
    </row>
    <row r="2734" spans="1:16" x14ac:dyDescent="0.3">
      <c r="A2734">
        <v>1537</v>
      </c>
      <c r="B2734">
        <v>21</v>
      </c>
      <c r="C2734" t="s">
        <v>15</v>
      </c>
      <c r="D2734" t="s">
        <v>16</v>
      </c>
      <c r="E2734" t="s">
        <v>17</v>
      </c>
      <c r="F2734" t="s">
        <v>18</v>
      </c>
      <c r="G2734" t="s">
        <v>43</v>
      </c>
      <c r="H2734" t="s">
        <v>25</v>
      </c>
      <c r="I2734" s="1">
        <v>1</v>
      </c>
      <c r="J2734" s="2">
        <v>45879</v>
      </c>
      <c r="K2734" s="2">
        <v>45870</v>
      </c>
      <c r="L2734" s="1" t="str">
        <f t="shared" si="309"/>
        <v>dom</v>
      </c>
      <c r="M2734" s="1" t="str">
        <f t="shared" si="310"/>
        <v>ago</v>
      </c>
      <c r="N2734">
        <f t="shared" si="311"/>
        <v>2025</v>
      </c>
      <c r="O2734" s="2"/>
      <c r="P2734" t="str">
        <f t="shared" si="308"/>
        <v>153745879</v>
      </c>
    </row>
    <row r="2735" spans="1:16" x14ac:dyDescent="0.3">
      <c r="A2735">
        <v>1537</v>
      </c>
      <c r="B2735">
        <v>21</v>
      </c>
      <c r="C2735" t="s">
        <v>15</v>
      </c>
      <c r="D2735" t="s">
        <v>16</v>
      </c>
      <c r="E2735" t="s">
        <v>17</v>
      </c>
      <c r="F2735" t="s">
        <v>18</v>
      </c>
      <c r="G2735" t="s">
        <v>43</v>
      </c>
      <c r="H2735" t="s">
        <v>25</v>
      </c>
      <c r="I2735" s="1">
        <v>1</v>
      </c>
      <c r="J2735" s="2">
        <v>45911</v>
      </c>
      <c r="K2735" s="2">
        <v>45901</v>
      </c>
      <c r="L2735" s="1" t="str">
        <f t="shared" si="309"/>
        <v>qui</v>
      </c>
      <c r="M2735" s="1" t="str">
        <f t="shared" si="310"/>
        <v>set</v>
      </c>
      <c r="N2735">
        <f t="shared" si="311"/>
        <v>2025</v>
      </c>
      <c r="O2735" s="2"/>
      <c r="P2735" t="str">
        <f t="shared" si="308"/>
        <v>153745911</v>
      </c>
    </row>
    <row r="2736" spans="1:16" x14ac:dyDescent="0.3">
      <c r="A2736">
        <v>1537</v>
      </c>
      <c r="B2736">
        <v>21</v>
      </c>
      <c r="C2736" t="s">
        <v>15</v>
      </c>
      <c r="D2736" t="s">
        <v>16</v>
      </c>
      <c r="E2736" t="s">
        <v>17</v>
      </c>
      <c r="F2736" t="s">
        <v>18</v>
      </c>
      <c r="G2736" t="s">
        <v>43</v>
      </c>
      <c r="H2736" t="s">
        <v>25</v>
      </c>
      <c r="I2736" s="1">
        <v>1</v>
      </c>
      <c r="J2736" s="2">
        <v>45936</v>
      </c>
      <c r="K2736" s="2">
        <v>45931</v>
      </c>
      <c r="L2736" s="1" t="str">
        <f t="shared" si="309"/>
        <v>seg</v>
      </c>
      <c r="M2736" s="1" t="str">
        <f t="shared" si="310"/>
        <v>out</v>
      </c>
      <c r="N2736">
        <f t="shared" si="311"/>
        <v>2025</v>
      </c>
      <c r="O2736" s="2"/>
      <c r="P2736" t="str">
        <f t="shared" si="308"/>
        <v>153745936</v>
      </c>
    </row>
    <row r="2737" spans="1:16" x14ac:dyDescent="0.3">
      <c r="A2737">
        <v>1537</v>
      </c>
      <c r="B2737">
        <v>21</v>
      </c>
      <c r="C2737" t="s">
        <v>15</v>
      </c>
      <c r="D2737" t="s">
        <v>16</v>
      </c>
      <c r="E2737" t="s">
        <v>17</v>
      </c>
      <c r="F2737" t="s">
        <v>18</v>
      </c>
      <c r="G2737" t="s">
        <v>43</v>
      </c>
      <c r="H2737" t="s">
        <v>25</v>
      </c>
      <c r="I2737" s="1">
        <v>1</v>
      </c>
      <c r="J2737" s="2">
        <v>45941</v>
      </c>
      <c r="K2737" s="2">
        <v>45931</v>
      </c>
      <c r="L2737" s="1" t="str">
        <f t="shared" si="309"/>
        <v>sáb</v>
      </c>
      <c r="M2737" s="1" t="str">
        <f t="shared" si="310"/>
        <v>out</v>
      </c>
      <c r="N2737">
        <f t="shared" si="311"/>
        <v>2025</v>
      </c>
      <c r="O2737" s="2"/>
      <c r="P2737" t="str">
        <f t="shared" si="308"/>
        <v>153745941</v>
      </c>
    </row>
    <row r="2738" spans="1:16" x14ac:dyDescent="0.3">
      <c r="A2738">
        <v>1537</v>
      </c>
      <c r="B2738">
        <v>21</v>
      </c>
      <c r="C2738" t="s">
        <v>15</v>
      </c>
      <c r="D2738" t="s">
        <v>16</v>
      </c>
      <c r="E2738" t="s">
        <v>17</v>
      </c>
      <c r="F2738" t="s">
        <v>18</v>
      </c>
      <c r="G2738" t="s">
        <v>43</v>
      </c>
      <c r="H2738" t="s">
        <v>25</v>
      </c>
      <c r="I2738" s="1">
        <v>1</v>
      </c>
      <c r="J2738" s="2">
        <v>46064</v>
      </c>
      <c r="K2738" s="2">
        <v>46054</v>
      </c>
      <c r="L2738" s="1" t="str">
        <f t="shared" si="309"/>
        <v>qua</v>
      </c>
      <c r="M2738" s="1" t="str">
        <f t="shared" si="310"/>
        <v>fev</v>
      </c>
      <c r="N2738">
        <f t="shared" si="311"/>
        <v>2026</v>
      </c>
      <c r="O2738" s="2"/>
      <c r="P2738" t="str">
        <f t="shared" si="308"/>
        <v>153746064</v>
      </c>
    </row>
    <row r="2739" spans="1:16" x14ac:dyDescent="0.3">
      <c r="A2739">
        <v>1539</v>
      </c>
      <c r="B2739">
        <v>32</v>
      </c>
      <c r="C2739" t="s">
        <v>26</v>
      </c>
      <c r="D2739" t="s">
        <v>27</v>
      </c>
      <c r="E2739" t="s">
        <v>17</v>
      </c>
      <c r="F2739" t="s">
        <v>21</v>
      </c>
      <c r="G2739" t="s">
        <v>41</v>
      </c>
      <c r="H2739" t="s">
        <v>20</v>
      </c>
      <c r="I2739" s="1">
        <v>2</v>
      </c>
      <c r="J2739" s="2">
        <v>45805</v>
      </c>
      <c r="K2739" s="2">
        <v>45778</v>
      </c>
      <c r="L2739" s="1" t="str">
        <f t="shared" si="309"/>
        <v>qua</v>
      </c>
      <c r="M2739" s="1" t="str">
        <f t="shared" si="310"/>
        <v>mai</v>
      </c>
      <c r="N2739">
        <f t="shared" si="311"/>
        <v>2025</v>
      </c>
      <c r="O2739" s="2">
        <f>_xlfn.XLOOKUP(A2739,Colaboradores!$A:$A,Colaboradores!$S:$S,"",0)</f>
        <v>45997</v>
      </c>
      <c r="P2739" t="str">
        <f t="shared" si="308"/>
        <v>153945805</v>
      </c>
    </row>
    <row r="2740" spans="1:16" x14ac:dyDescent="0.3">
      <c r="A2740">
        <v>1539</v>
      </c>
      <c r="B2740">
        <v>32</v>
      </c>
      <c r="C2740" t="s">
        <v>26</v>
      </c>
      <c r="D2740" t="s">
        <v>27</v>
      </c>
      <c r="E2740" t="s">
        <v>17</v>
      </c>
      <c r="F2740" t="s">
        <v>21</v>
      </c>
      <c r="G2740" t="s">
        <v>41</v>
      </c>
      <c r="H2740" t="s">
        <v>20</v>
      </c>
      <c r="I2740" s="1">
        <v>2</v>
      </c>
      <c r="J2740" s="2">
        <v>45846</v>
      </c>
      <c r="K2740" s="2">
        <v>45839</v>
      </c>
      <c r="L2740" s="1" t="str">
        <f t="shared" si="309"/>
        <v>ter</v>
      </c>
      <c r="M2740" s="1" t="str">
        <f t="shared" si="310"/>
        <v>jul</v>
      </c>
      <c r="N2740">
        <f t="shared" si="311"/>
        <v>2025</v>
      </c>
      <c r="O2740" s="2">
        <f>_xlfn.XLOOKUP(A2740,Colaboradores!$A:$A,Colaboradores!$S:$S,"",0)</f>
        <v>45997</v>
      </c>
      <c r="P2740" t="str">
        <f t="shared" si="308"/>
        <v>153945846</v>
      </c>
    </row>
    <row r="2741" spans="1:16" x14ac:dyDescent="0.3">
      <c r="A2741">
        <v>1539</v>
      </c>
      <c r="B2741">
        <v>32</v>
      </c>
      <c r="C2741" t="s">
        <v>26</v>
      </c>
      <c r="D2741" t="s">
        <v>27</v>
      </c>
      <c r="E2741" t="s">
        <v>17</v>
      </c>
      <c r="F2741" t="s">
        <v>21</v>
      </c>
      <c r="G2741" t="s">
        <v>41</v>
      </c>
      <c r="H2741" t="s">
        <v>20</v>
      </c>
      <c r="I2741" s="1">
        <v>2</v>
      </c>
      <c r="J2741" s="2">
        <v>45914</v>
      </c>
      <c r="K2741" s="2">
        <v>45901</v>
      </c>
      <c r="L2741" s="1" t="str">
        <f t="shared" si="309"/>
        <v>dom</v>
      </c>
      <c r="M2741" s="1" t="str">
        <f t="shared" si="310"/>
        <v>set</v>
      </c>
      <c r="N2741">
        <f t="shared" si="311"/>
        <v>2025</v>
      </c>
      <c r="O2741" s="2">
        <f>_xlfn.XLOOKUP(A2741,Colaboradores!$A:$A,Colaboradores!$S:$S,"",0)</f>
        <v>45997</v>
      </c>
      <c r="P2741" t="str">
        <f t="shared" si="308"/>
        <v>153945914</v>
      </c>
    </row>
    <row r="2742" spans="1:16" x14ac:dyDescent="0.3">
      <c r="A2742">
        <v>1539</v>
      </c>
      <c r="B2742">
        <v>32</v>
      </c>
      <c r="C2742" t="s">
        <v>26</v>
      </c>
      <c r="D2742" t="s">
        <v>27</v>
      </c>
      <c r="E2742" t="s">
        <v>17</v>
      </c>
      <c r="F2742" t="s">
        <v>21</v>
      </c>
      <c r="G2742" t="s">
        <v>41</v>
      </c>
      <c r="H2742" t="s">
        <v>20</v>
      </c>
      <c r="I2742" s="1">
        <v>2</v>
      </c>
      <c r="J2742" s="2">
        <v>45915</v>
      </c>
      <c r="K2742" s="2">
        <v>45901</v>
      </c>
      <c r="L2742" s="1" t="str">
        <f t="shared" si="309"/>
        <v>seg</v>
      </c>
      <c r="M2742" s="1" t="str">
        <f t="shared" si="310"/>
        <v>set</v>
      </c>
      <c r="N2742">
        <f t="shared" si="311"/>
        <v>2025</v>
      </c>
      <c r="O2742" s="2">
        <f>_xlfn.XLOOKUP(A2742,Colaboradores!$A:$A,Colaboradores!$S:$S,"",0)</f>
        <v>45997</v>
      </c>
      <c r="P2742" t="str">
        <f t="shared" si="308"/>
        <v>153945915</v>
      </c>
    </row>
    <row r="2743" spans="1:16" x14ac:dyDescent="0.3">
      <c r="A2743">
        <v>1539</v>
      </c>
      <c r="B2743">
        <v>32</v>
      </c>
      <c r="C2743" t="s">
        <v>26</v>
      </c>
      <c r="D2743" t="s">
        <v>27</v>
      </c>
      <c r="E2743" t="s">
        <v>17</v>
      </c>
      <c r="F2743" t="s">
        <v>21</v>
      </c>
      <c r="G2743" t="s">
        <v>41</v>
      </c>
      <c r="H2743" t="s">
        <v>20</v>
      </c>
      <c r="I2743" s="1">
        <v>2</v>
      </c>
      <c r="J2743" s="2">
        <v>45940</v>
      </c>
      <c r="K2743" s="2">
        <v>45931</v>
      </c>
      <c r="L2743" s="1" t="str">
        <f t="shared" ref="L2743:L2750" si="312">TEXT(J2743,"ddd")</f>
        <v>sex</v>
      </c>
      <c r="M2743" s="1" t="str">
        <f t="shared" ref="M2743:M2750" si="313">TEXT($J2743,"mmm")</f>
        <v>out</v>
      </c>
      <c r="N2743">
        <f t="shared" ref="N2743:N2750" si="314">YEAR(J2743)</f>
        <v>2025</v>
      </c>
      <c r="O2743" s="2">
        <f>_xlfn.XLOOKUP(A2743,Colaboradores!$A:$A,Colaboradores!$S:$S,"",0)</f>
        <v>45997</v>
      </c>
      <c r="P2743" t="str">
        <f t="shared" si="308"/>
        <v>153945940</v>
      </c>
    </row>
    <row r="2744" spans="1:16" x14ac:dyDescent="0.3">
      <c r="A2744">
        <v>1539</v>
      </c>
      <c r="B2744">
        <v>32</v>
      </c>
      <c r="C2744" t="s">
        <v>26</v>
      </c>
      <c r="D2744" t="s">
        <v>27</v>
      </c>
      <c r="E2744" t="s">
        <v>17</v>
      </c>
      <c r="F2744" t="s">
        <v>21</v>
      </c>
      <c r="G2744" t="s">
        <v>41</v>
      </c>
      <c r="H2744" t="s">
        <v>20</v>
      </c>
      <c r="I2744" s="1">
        <v>2</v>
      </c>
      <c r="J2744" s="2">
        <v>45971</v>
      </c>
      <c r="K2744" s="2">
        <v>45962</v>
      </c>
      <c r="L2744" s="1" t="str">
        <f t="shared" si="312"/>
        <v>seg</v>
      </c>
      <c r="M2744" s="1" t="str">
        <f t="shared" si="313"/>
        <v>nov</v>
      </c>
      <c r="N2744">
        <f t="shared" si="314"/>
        <v>2025</v>
      </c>
      <c r="O2744" s="2">
        <f>_xlfn.XLOOKUP(A2744,Colaboradores!$A:$A,Colaboradores!$S:$S,"",0)</f>
        <v>45997</v>
      </c>
      <c r="P2744" t="str">
        <f t="shared" si="308"/>
        <v>153945971</v>
      </c>
    </row>
    <row r="2745" spans="1:16" x14ac:dyDescent="0.3">
      <c r="A2745">
        <v>1540</v>
      </c>
      <c r="B2745">
        <v>39</v>
      </c>
      <c r="C2745" t="s">
        <v>15</v>
      </c>
      <c r="D2745" t="s">
        <v>31</v>
      </c>
      <c r="E2745" t="s">
        <v>34</v>
      </c>
      <c r="F2745" t="s">
        <v>21</v>
      </c>
      <c r="G2745" t="s">
        <v>40</v>
      </c>
      <c r="H2745" t="s">
        <v>25</v>
      </c>
      <c r="I2745" s="1">
        <v>3</v>
      </c>
      <c r="J2745" s="2">
        <v>45768</v>
      </c>
      <c r="K2745" s="2">
        <v>45748</v>
      </c>
      <c r="L2745" s="1" t="str">
        <f t="shared" si="312"/>
        <v>seg</v>
      </c>
      <c r="M2745" s="1" t="str">
        <f t="shared" si="313"/>
        <v>abr</v>
      </c>
      <c r="N2745">
        <f t="shared" si="314"/>
        <v>2025</v>
      </c>
      <c r="O2745" s="2"/>
      <c r="P2745" t="str">
        <f t="shared" si="308"/>
        <v>154045768</v>
      </c>
    </row>
    <row r="2746" spans="1:16" x14ac:dyDescent="0.3">
      <c r="A2746">
        <v>1540</v>
      </c>
      <c r="B2746">
        <v>39</v>
      </c>
      <c r="C2746" t="s">
        <v>15</v>
      </c>
      <c r="D2746" t="s">
        <v>31</v>
      </c>
      <c r="E2746" t="s">
        <v>34</v>
      </c>
      <c r="F2746" t="s">
        <v>21</v>
      </c>
      <c r="G2746" t="s">
        <v>40</v>
      </c>
      <c r="H2746" t="s">
        <v>25</v>
      </c>
      <c r="I2746" s="1">
        <v>3</v>
      </c>
      <c r="J2746" s="2">
        <v>45957</v>
      </c>
      <c r="K2746" s="2">
        <v>45931</v>
      </c>
      <c r="L2746" s="1" t="str">
        <f t="shared" si="312"/>
        <v>seg</v>
      </c>
      <c r="M2746" s="1" t="str">
        <f t="shared" si="313"/>
        <v>out</v>
      </c>
      <c r="N2746">
        <f t="shared" si="314"/>
        <v>2025</v>
      </c>
      <c r="O2746" s="2"/>
      <c r="P2746" t="str">
        <f t="shared" si="308"/>
        <v>154045957</v>
      </c>
    </row>
    <row r="2747" spans="1:16" x14ac:dyDescent="0.3">
      <c r="A2747">
        <v>1540</v>
      </c>
      <c r="B2747">
        <v>39</v>
      </c>
      <c r="C2747" t="s">
        <v>15</v>
      </c>
      <c r="D2747" t="s">
        <v>31</v>
      </c>
      <c r="E2747" t="s">
        <v>34</v>
      </c>
      <c r="F2747" t="s">
        <v>21</v>
      </c>
      <c r="G2747" t="s">
        <v>40</v>
      </c>
      <c r="H2747" t="s">
        <v>25</v>
      </c>
      <c r="I2747" s="1">
        <v>3</v>
      </c>
      <c r="J2747" s="2">
        <v>45984</v>
      </c>
      <c r="K2747" s="2">
        <v>45962</v>
      </c>
      <c r="L2747" s="1" t="str">
        <f t="shared" si="312"/>
        <v>dom</v>
      </c>
      <c r="M2747" s="1" t="str">
        <f t="shared" si="313"/>
        <v>nov</v>
      </c>
      <c r="N2747">
        <f t="shared" si="314"/>
        <v>2025</v>
      </c>
      <c r="O2747" s="2"/>
      <c r="P2747" t="str">
        <f t="shared" si="308"/>
        <v>154045984</v>
      </c>
    </row>
    <row r="2748" spans="1:16" x14ac:dyDescent="0.3">
      <c r="A2748">
        <v>1540</v>
      </c>
      <c r="B2748">
        <v>39</v>
      </c>
      <c r="C2748" t="s">
        <v>15</v>
      </c>
      <c r="D2748" t="s">
        <v>31</v>
      </c>
      <c r="E2748" t="s">
        <v>34</v>
      </c>
      <c r="F2748" t="s">
        <v>21</v>
      </c>
      <c r="G2748" t="s">
        <v>40</v>
      </c>
      <c r="H2748" t="s">
        <v>25</v>
      </c>
      <c r="I2748" s="1">
        <v>3</v>
      </c>
      <c r="J2748" s="2">
        <v>46195</v>
      </c>
      <c r="K2748" s="2">
        <v>46023</v>
      </c>
      <c r="L2748" s="1" t="str">
        <f t="shared" si="312"/>
        <v>seg</v>
      </c>
      <c r="M2748" s="1" t="str">
        <f t="shared" si="313"/>
        <v>jun</v>
      </c>
      <c r="N2748">
        <f t="shared" si="314"/>
        <v>2026</v>
      </c>
      <c r="O2748" s="2"/>
      <c r="P2748" t="str">
        <f t="shared" si="308"/>
        <v>154046195</v>
      </c>
    </row>
    <row r="2749" spans="1:16" x14ac:dyDescent="0.3">
      <c r="A2749">
        <v>1540</v>
      </c>
      <c r="B2749">
        <v>39</v>
      </c>
      <c r="C2749" t="s">
        <v>15</v>
      </c>
      <c r="D2749" t="s">
        <v>31</v>
      </c>
      <c r="E2749" t="s">
        <v>34</v>
      </c>
      <c r="F2749" t="s">
        <v>21</v>
      </c>
      <c r="G2749" t="s">
        <v>40</v>
      </c>
      <c r="H2749" t="s">
        <v>25</v>
      </c>
      <c r="I2749" s="1">
        <v>3</v>
      </c>
      <c r="J2749" s="2">
        <v>46100</v>
      </c>
      <c r="K2749" s="2">
        <v>46082</v>
      </c>
      <c r="L2749" s="1" t="str">
        <f t="shared" si="312"/>
        <v>qui</v>
      </c>
      <c r="M2749" s="1" t="str">
        <f t="shared" si="313"/>
        <v>mar</v>
      </c>
      <c r="N2749">
        <f t="shared" si="314"/>
        <v>2026</v>
      </c>
      <c r="O2749" s="2"/>
      <c r="P2749" t="str">
        <f t="shared" si="308"/>
        <v>154046100</v>
      </c>
    </row>
    <row r="2750" spans="1:16" x14ac:dyDescent="0.3">
      <c r="A2750">
        <v>1540</v>
      </c>
      <c r="B2750">
        <v>39</v>
      </c>
      <c r="C2750" t="s">
        <v>15</v>
      </c>
      <c r="D2750" t="s">
        <v>31</v>
      </c>
      <c r="E2750" t="s">
        <v>34</v>
      </c>
      <c r="F2750" t="s">
        <v>21</v>
      </c>
      <c r="G2750" t="s">
        <v>40</v>
      </c>
      <c r="H2750" t="s">
        <v>25</v>
      </c>
      <c r="I2750" s="1">
        <v>3</v>
      </c>
      <c r="J2750" s="2">
        <v>46103</v>
      </c>
      <c r="K2750" s="2">
        <v>46082</v>
      </c>
      <c r="L2750" s="1" t="str">
        <f t="shared" si="312"/>
        <v>dom</v>
      </c>
      <c r="M2750" s="1" t="str">
        <f t="shared" si="313"/>
        <v>mar</v>
      </c>
      <c r="N2750">
        <f t="shared" si="314"/>
        <v>2026</v>
      </c>
      <c r="O2750" s="2"/>
      <c r="P2750" t="str">
        <f t="shared" ref="P2750:P2813" si="315">CONCATENATE(A2750,J2750)</f>
        <v>154046103</v>
      </c>
    </row>
    <row r="2751" spans="1:16" x14ac:dyDescent="0.3">
      <c r="A2751">
        <v>1540</v>
      </c>
      <c r="B2751">
        <v>39</v>
      </c>
      <c r="C2751" t="s">
        <v>15</v>
      </c>
      <c r="D2751" t="s">
        <v>31</v>
      </c>
      <c r="E2751" t="s">
        <v>34</v>
      </c>
      <c r="F2751" t="s">
        <v>21</v>
      </c>
      <c r="G2751" t="s">
        <v>40</v>
      </c>
      <c r="H2751" t="s">
        <v>25</v>
      </c>
      <c r="I2751" s="1">
        <v>3</v>
      </c>
      <c r="J2751" s="2">
        <v>46133</v>
      </c>
      <c r="K2751" s="2">
        <v>46113</v>
      </c>
      <c r="L2751" s="1" t="s">
        <v>56</v>
      </c>
      <c r="M2751" s="1" t="s">
        <v>48</v>
      </c>
      <c r="N2751">
        <v>2025</v>
      </c>
      <c r="O2751" s="2"/>
      <c r="P2751" t="str">
        <f t="shared" si="315"/>
        <v>154046133</v>
      </c>
    </row>
    <row r="2752" spans="1:16" x14ac:dyDescent="0.3">
      <c r="A2752">
        <v>1541</v>
      </c>
      <c r="B2752">
        <v>37</v>
      </c>
      <c r="C2752" t="s">
        <v>15</v>
      </c>
      <c r="D2752" t="s">
        <v>29</v>
      </c>
      <c r="E2752" t="s">
        <v>17</v>
      </c>
      <c r="F2752" t="s">
        <v>23</v>
      </c>
      <c r="G2752" t="s">
        <v>40</v>
      </c>
      <c r="H2752" t="s">
        <v>25</v>
      </c>
      <c r="I2752" s="1">
        <v>3</v>
      </c>
      <c r="J2752" s="2">
        <v>45839</v>
      </c>
      <c r="K2752" s="2">
        <v>45839</v>
      </c>
      <c r="L2752" s="1" t="str">
        <f t="shared" ref="L2752:L2773" si="316">TEXT(J2752,"ddd")</f>
        <v>ter</v>
      </c>
      <c r="M2752" s="1" t="str">
        <f t="shared" ref="M2752:M2773" si="317">TEXT($J2752,"mmm")</f>
        <v>jul</v>
      </c>
      <c r="N2752">
        <f t="shared" ref="N2752:N2773" si="318">YEAR(J2752)</f>
        <v>2025</v>
      </c>
      <c r="O2752" s="2"/>
      <c r="P2752" t="str">
        <f t="shared" si="315"/>
        <v>154145839</v>
      </c>
    </row>
    <row r="2753" spans="1:16" x14ac:dyDescent="0.3">
      <c r="A2753">
        <v>1541</v>
      </c>
      <c r="B2753">
        <v>37</v>
      </c>
      <c r="C2753" t="s">
        <v>15</v>
      </c>
      <c r="D2753" t="s">
        <v>29</v>
      </c>
      <c r="E2753" t="s">
        <v>17</v>
      </c>
      <c r="F2753" t="s">
        <v>23</v>
      </c>
      <c r="G2753" t="s">
        <v>40</v>
      </c>
      <c r="H2753" t="s">
        <v>25</v>
      </c>
      <c r="I2753" s="1">
        <v>3</v>
      </c>
      <c r="J2753" s="2">
        <v>45871</v>
      </c>
      <c r="K2753" s="2">
        <v>45870</v>
      </c>
      <c r="L2753" s="1" t="str">
        <f t="shared" si="316"/>
        <v>sáb</v>
      </c>
      <c r="M2753" s="1" t="str">
        <f t="shared" si="317"/>
        <v>ago</v>
      </c>
      <c r="N2753">
        <f t="shared" si="318"/>
        <v>2025</v>
      </c>
      <c r="O2753" s="2"/>
      <c r="P2753" t="str">
        <f t="shared" si="315"/>
        <v>154145871</v>
      </c>
    </row>
    <row r="2754" spans="1:16" x14ac:dyDescent="0.3">
      <c r="A2754">
        <v>1541</v>
      </c>
      <c r="B2754">
        <v>37</v>
      </c>
      <c r="C2754" t="s">
        <v>15</v>
      </c>
      <c r="D2754" t="s">
        <v>29</v>
      </c>
      <c r="E2754" t="s">
        <v>17</v>
      </c>
      <c r="F2754" t="s">
        <v>23</v>
      </c>
      <c r="G2754" t="s">
        <v>40</v>
      </c>
      <c r="H2754" t="s">
        <v>25</v>
      </c>
      <c r="I2754" s="1">
        <v>3</v>
      </c>
      <c r="J2754" s="2">
        <v>45923</v>
      </c>
      <c r="K2754" s="2">
        <v>45901</v>
      </c>
      <c r="L2754" s="1" t="str">
        <f t="shared" si="316"/>
        <v>ter</v>
      </c>
      <c r="M2754" s="1" t="str">
        <f t="shared" si="317"/>
        <v>set</v>
      </c>
      <c r="N2754">
        <f t="shared" si="318"/>
        <v>2025</v>
      </c>
      <c r="O2754" s="2"/>
      <c r="P2754" t="str">
        <f t="shared" si="315"/>
        <v>154145923</v>
      </c>
    </row>
    <row r="2755" spans="1:16" x14ac:dyDescent="0.3">
      <c r="A2755">
        <v>1541</v>
      </c>
      <c r="B2755">
        <v>37</v>
      </c>
      <c r="C2755" t="s">
        <v>15</v>
      </c>
      <c r="D2755" t="s">
        <v>29</v>
      </c>
      <c r="E2755" t="s">
        <v>17</v>
      </c>
      <c r="F2755" t="s">
        <v>23</v>
      </c>
      <c r="G2755" t="s">
        <v>40</v>
      </c>
      <c r="H2755" t="s">
        <v>25</v>
      </c>
      <c r="I2755" s="1">
        <v>3</v>
      </c>
      <c r="J2755" s="2">
        <v>46061</v>
      </c>
      <c r="K2755" s="2">
        <v>46054</v>
      </c>
      <c r="L2755" s="1" t="str">
        <f t="shared" si="316"/>
        <v>dom</v>
      </c>
      <c r="M2755" s="1" t="str">
        <f t="shared" si="317"/>
        <v>fev</v>
      </c>
      <c r="N2755">
        <f t="shared" si="318"/>
        <v>2026</v>
      </c>
      <c r="O2755" s="2"/>
      <c r="P2755" t="str">
        <f t="shared" si="315"/>
        <v>154146061</v>
      </c>
    </row>
    <row r="2756" spans="1:16" x14ac:dyDescent="0.3">
      <c r="A2756">
        <v>1541</v>
      </c>
      <c r="B2756">
        <v>37</v>
      </c>
      <c r="C2756" t="s">
        <v>15</v>
      </c>
      <c r="D2756" t="s">
        <v>29</v>
      </c>
      <c r="E2756" t="s">
        <v>17</v>
      </c>
      <c r="F2756" t="s">
        <v>23</v>
      </c>
      <c r="G2756" t="s">
        <v>42</v>
      </c>
      <c r="H2756" t="s">
        <v>25</v>
      </c>
      <c r="I2756" s="1">
        <v>3</v>
      </c>
      <c r="J2756" s="2">
        <v>46069</v>
      </c>
      <c r="K2756" s="2">
        <v>46054</v>
      </c>
      <c r="L2756" s="1" t="str">
        <f t="shared" si="316"/>
        <v>seg</v>
      </c>
      <c r="M2756" s="1" t="str">
        <f t="shared" si="317"/>
        <v>fev</v>
      </c>
      <c r="N2756">
        <f t="shared" si="318"/>
        <v>2026</v>
      </c>
      <c r="O2756" s="2"/>
      <c r="P2756" t="str">
        <f t="shared" si="315"/>
        <v>154146069</v>
      </c>
    </row>
    <row r="2757" spans="1:16" x14ac:dyDescent="0.3">
      <c r="A2757">
        <v>1541</v>
      </c>
      <c r="B2757">
        <v>37</v>
      </c>
      <c r="C2757" t="s">
        <v>15</v>
      </c>
      <c r="D2757" t="s">
        <v>29</v>
      </c>
      <c r="E2757" t="s">
        <v>17</v>
      </c>
      <c r="F2757" t="s">
        <v>23</v>
      </c>
      <c r="G2757" t="s">
        <v>42</v>
      </c>
      <c r="H2757" t="s">
        <v>25</v>
      </c>
      <c r="I2757" s="1">
        <v>3</v>
      </c>
      <c r="J2757" s="2">
        <v>46096</v>
      </c>
      <c r="K2757" s="2">
        <v>46082</v>
      </c>
      <c r="L2757" s="1" t="str">
        <f t="shared" si="316"/>
        <v>dom</v>
      </c>
      <c r="M2757" s="1" t="str">
        <f t="shared" si="317"/>
        <v>mar</v>
      </c>
      <c r="N2757">
        <f t="shared" si="318"/>
        <v>2026</v>
      </c>
      <c r="O2757" s="2"/>
      <c r="P2757" t="str">
        <f t="shared" si="315"/>
        <v>154146096</v>
      </c>
    </row>
    <row r="2758" spans="1:16" x14ac:dyDescent="0.3">
      <c r="A2758">
        <v>1542</v>
      </c>
      <c r="B2758">
        <v>58</v>
      </c>
      <c r="C2758" t="s">
        <v>15</v>
      </c>
      <c r="D2758" t="s">
        <v>31</v>
      </c>
      <c r="E2758" t="s">
        <v>34</v>
      </c>
      <c r="F2758" t="s">
        <v>23</v>
      </c>
      <c r="G2758" t="s">
        <v>44</v>
      </c>
      <c r="H2758" t="s">
        <v>20</v>
      </c>
      <c r="I2758" s="1">
        <v>1</v>
      </c>
      <c r="J2758" s="2">
        <v>45818</v>
      </c>
      <c r="K2758" s="2">
        <v>45809</v>
      </c>
      <c r="L2758" s="1" t="str">
        <f t="shared" si="316"/>
        <v>ter</v>
      </c>
      <c r="M2758" s="1" t="str">
        <f t="shared" si="317"/>
        <v>jun</v>
      </c>
      <c r="N2758">
        <f t="shared" si="318"/>
        <v>2025</v>
      </c>
      <c r="O2758" s="2">
        <f>_xlfn.XLOOKUP(A2758,Colaboradores!$A:$A,Colaboradores!$S:$S,"",0)</f>
        <v>45882</v>
      </c>
      <c r="P2758" t="str">
        <f t="shared" si="315"/>
        <v>154245818</v>
      </c>
    </row>
    <row r="2759" spans="1:16" x14ac:dyDescent="0.3">
      <c r="A2759">
        <v>1542</v>
      </c>
      <c r="B2759">
        <v>58</v>
      </c>
      <c r="C2759" t="s">
        <v>15</v>
      </c>
      <c r="D2759" t="s">
        <v>31</v>
      </c>
      <c r="E2759" t="s">
        <v>34</v>
      </c>
      <c r="F2759" t="s">
        <v>23</v>
      </c>
      <c r="G2759" t="s">
        <v>44</v>
      </c>
      <c r="H2759" t="s">
        <v>20</v>
      </c>
      <c r="I2759" s="1">
        <v>1</v>
      </c>
      <c r="J2759" s="2">
        <v>45828</v>
      </c>
      <c r="K2759" s="2">
        <v>45809</v>
      </c>
      <c r="L2759" s="1" t="str">
        <f t="shared" si="316"/>
        <v>sex</v>
      </c>
      <c r="M2759" s="1" t="str">
        <f t="shared" si="317"/>
        <v>jun</v>
      </c>
      <c r="N2759">
        <f t="shared" si="318"/>
        <v>2025</v>
      </c>
      <c r="O2759" s="2">
        <f>_xlfn.XLOOKUP(A2759,Colaboradores!$A:$A,Colaboradores!$S:$S,"",0)</f>
        <v>45882</v>
      </c>
      <c r="P2759" t="str">
        <f t="shared" si="315"/>
        <v>154245828</v>
      </c>
    </row>
    <row r="2760" spans="1:16" x14ac:dyDescent="0.3">
      <c r="A2760">
        <v>1542</v>
      </c>
      <c r="B2760">
        <v>58</v>
      </c>
      <c r="C2760" t="s">
        <v>15</v>
      </c>
      <c r="D2760" t="s">
        <v>31</v>
      </c>
      <c r="E2760" t="s">
        <v>34</v>
      </c>
      <c r="F2760" t="s">
        <v>23</v>
      </c>
      <c r="G2760" t="s">
        <v>44</v>
      </c>
      <c r="H2760" t="s">
        <v>20</v>
      </c>
      <c r="I2760" s="1">
        <v>1</v>
      </c>
      <c r="J2760" s="2">
        <v>45833</v>
      </c>
      <c r="K2760" s="2">
        <v>45809</v>
      </c>
      <c r="L2760" s="1" t="str">
        <f t="shared" si="316"/>
        <v>qua</v>
      </c>
      <c r="M2760" s="1" t="str">
        <f t="shared" si="317"/>
        <v>jun</v>
      </c>
      <c r="N2760">
        <f t="shared" si="318"/>
        <v>2025</v>
      </c>
      <c r="O2760" s="2">
        <f>_xlfn.XLOOKUP(A2760,Colaboradores!$A:$A,Colaboradores!$S:$S,"",0)</f>
        <v>45882</v>
      </c>
      <c r="P2760" t="str">
        <f t="shared" si="315"/>
        <v>154245833</v>
      </c>
    </row>
    <row r="2761" spans="1:16" x14ac:dyDescent="0.3">
      <c r="A2761">
        <v>1542</v>
      </c>
      <c r="B2761">
        <v>58</v>
      </c>
      <c r="C2761" t="s">
        <v>15</v>
      </c>
      <c r="D2761" t="s">
        <v>31</v>
      </c>
      <c r="E2761" t="s">
        <v>34</v>
      </c>
      <c r="F2761" t="s">
        <v>23</v>
      </c>
      <c r="G2761" t="s">
        <v>41</v>
      </c>
      <c r="H2761" t="s">
        <v>20</v>
      </c>
      <c r="I2761" s="1">
        <v>1</v>
      </c>
      <c r="J2761" s="2">
        <v>45864</v>
      </c>
      <c r="K2761" s="2">
        <v>45839</v>
      </c>
      <c r="L2761" s="1" t="str">
        <f t="shared" si="316"/>
        <v>sáb</v>
      </c>
      <c r="M2761" s="1" t="str">
        <f t="shared" si="317"/>
        <v>jul</v>
      </c>
      <c r="N2761">
        <f t="shared" si="318"/>
        <v>2025</v>
      </c>
      <c r="O2761" s="2">
        <f>_xlfn.XLOOKUP(A2761,Colaboradores!$A:$A,Colaboradores!$S:$S,"",0)</f>
        <v>45882</v>
      </c>
      <c r="P2761" t="str">
        <f t="shared" si="315"/>
        <v>154245864</v>
      </c>
    </row>
    <row r="2762" spans="1:16" x14ac:dyDescent="0.3">
      <c r="A2762">
        <v>1543</v>
      </c>
      <c r="B2762">
        <v>26</v>
      </c>
      <c r="C2762" t="s">
        <v>15</v>
      </c>
      <c r="D2762" t="s">
        <v>16</v>
      </c>
      <c r="E2762" t="s">
        <v>17</v>
      </c>
      <c r="F2762" t="s">
        <v>23</v>
      </c>
      <c r="G2762" t="s">
        <v>41</v>
      </c>
      <c r="H2762" t="s">
        <v>25</v>
      </c>
      <c r="I2762" s="1">
        <v>3</v>
      </c>
      <c r="J2762" s="2">
        <v>45827</v>
      </c>
      <c r="K2762" s="2">
        <v>45809</v>
      </c>
      <c r="L2762" s="1" t="str">
        <f t="shared" si="316"/>
        <v>qui</v>
      </c>
      <c r="M2762" s="1" t="str">
        <f t="shared" si="317"/>
        <v>jun</v>
      </c>
      <c r="N2762">
        <f t="shared" si="318"/>
        <v>2025</v>
      </c>
      <c r="O2762" s="2"/>
      <c r="P2762" t="str">
        <f t="shared" si="315"/>
        <v>154345827</v>
      </c>
    </row>
    <row r="2763" spans="1:16" x14ac:dyDescent="0.3">
      <c r="A2763">
        <v>1543</v>
      </c>
      <c r="B2763">
        <v>26</v>
      </c>
      <c r="C2763" t="s">
        <v>15</v>
      </c>
      <c r="D2763" t="s">
        <v>16</v>
      </c>
      <c r="E2763" t="s">
        <v>17</v>
      </c>
      <c r="F2763" t="s">
        <v>23</v>
      </c>
      <c r="G2763" t="s">
        <v>41</v>
      </c>
      <c r="H2763" t="s">
        <v>25</v>
      </c>
      <c r="I2763" s="1">
        <v>3</v>
      </c>
      <c r="J2763" s="2">
        <v>45877</v>
      </c>
      <c r="K2763" s="2">
        <v>45870</v>
      </c>
      <c r="L2763" s="1" t="str">
        <f t="shared" si="316"/>
        <v>sex</v>
      </c>
      <c r="M2763" s="1" t="str">
        <f t="shared" si="317"/>
        <v>ago</v>
      </c>
      <c r="N2763">
        <f t="shared" si="318"/>
        <v>2025</v>
      </c>
      <c r="O2763" s="2"/>
      <c r="P2763" t="str">
        <f t="shared" si="315"/>
        <v>154345877</v>
      </c>
    </row>
    <row r="2764" spans="1:16" x14ac:dyDescent="0.3">
      <c r="A2764">
        <v>1543</v>
      </c>
      <c r="B2764">
        <v>26</v>
      </c>
      <c r="C2764" t="s">
        <v>15</v>
      </c>
      <c r="D2764" t="s">
        <v>16</v>
      </c>
      <c r="E2764" t="s">
        <v>17</v>
      </c>
      <c r="F2764" t="s">
        <v>23</v>
      </c>
      <c r="G2764" t="s">
        <v>41</v>
      </c>
      <c r="H2764" t="s">
        <v>25</v>
      </c>
      <c r="I2764" s="1">
        <v>3</v>
      </c>
      <c r="J2764" s="2">
        <v>45937</v>
      </c>
      <c r="K2764" s="2">
        <v>45931</v>
      </c>
      <c r="L2764" s="1" t="str">
        <f t="shared" si="316"/>
        <v>ter</v>
      </c>
      <c r="M2764" s="1" t="str">
        <f t="shared" si="317"/>
        <v>out</v>
      </c>
      <c r="N2764">
        <f t="shared" si="318"/>
        <v>2025</v>
      </c>
      <c r="O2764" s="2"/>
      <c r="P2764" t="str">
        <f t="shared" si="315"/>
        <v>154345937</v>
      </c>
    </row>
    <row r="2765" spans="1:16" x14ac:dyDescent="0.3">
      <c r="A2765">
        <v>1543</v>
      </c>
      <c r="B2765">
        <v>26</v>
      </c>
      <c r="C2765" t="s">
        <v>15</v>
      </c>
      <c r="D2765" t="s">
        <v>16</v>
      </c>
      <c r="E2765" t="s">
        <v>17</v>
      </c>
      <c r="F2765" t="s">
        <v>23</v>
      </c>
      <c r="G2765" t="s">
        <v>41</v>
      </c>
      <c r="H2765" t="s">
        <v>25</v>
      </c>
      <c r="I2765" s="1">
        <v>3</v>
      </c>
      <c r="J2765" s="2">
        <v>45982</v>
      </c>
      <c r="K2765" s="2">
        <v>45962</v>
      </c>
      <c r="L2765" s="1" t="str">
        <f t="shared" si="316"/>
        <v>sex</v>
      </c>
      <c r="M2765" s="1" t="str">
        <f t="shared" si="317"/>
        <v>nov</v>
      </c>
      <c r="N2765">
        <f t="shared" si="318"/>
        <v>2025</v>
      </c>
      <c r="O2765" s="2"/>
      <c r="P2765" t="str">
        <f t="shared" si="315"/>
        <v>154345982</v>
      </c>
    </row>
    <row r="2766" spans="1:16" x14ac:dyDescent="0.3">
      <c r="A2766">
        <v>1543</v>
      </c>
      <c r="B2766">
        <v>26</v>
      </c>
      <c r="C2766" t="s">
        <v>15</v>
      </c>
      <c r="D2766" t="s">
        <v>16</v>
      </c>
      <c r="E2766" t="s">
        <v>17</v>
      </c>
      <c r="F2766" t="s">
        <v>23</v>
      </c>
      <c r="G2766" t="s">
        <v>41</v>
      </c>
      <c r="H2766" t="s">
        <v>25</v>
      </c>
      <c r="I2766" s="1">
        <v>3</v>
      </c>
      <c r="J2766" s="2">
        <v>46191</v>
      </c>
      <c r="K2766" s="2">
        <v>46023</v>
      </c>
      <c r="L2766" s="1" t="str">
        <f t="shared" si="316"/>
        <v>qui</v>
      </c>
      <c r="M2766" s="1" t="str">
        <f t="shared" si="317"/>
        <v>jun</v>
      </c>
      <c r="N2766">
        <f t="shared" si="318"/>
        <v>2026</v>
      </c>
      <c r="O2766" s="2"/>
      <c r="P2766" t="str">
        <f t="shared" si="315"/>
        <v>154346191</v>
      </c>
    </row>
    <row r="2767" spans="1:16" x14ac:dyDescent="0.3">
      <c r="A2767">
        <v>1543</v>
      </c>
      <c r="B2767">
        <v>26</v>
      </c>
      <c r="C2767" t="s">
        <v>15</v>
      </c>
      <c r="D2767" t="s">
        <v>16</v>
      </c>
      <c r="E2767" t="s">
        <v>17</v>
      </c>
      <c r="F2767" t="s">
        <v>23</v>
      </c>
      <c r="G2767" t="s">
        <v>41</v>
      </c>
      <c r="H2767" t="s">
        <v>25</v>
      </c>
      <c r="I2767" s="1">
        <v>3</v>
      </c>
      <c r="J2767" s="2">
        <v>46104</v>
      </c>
      <c r="K2767" s="2">
        <v>46082</v>
      </c>
      <c r="L2767" s="1" t="str">
        <f t="shared" si="316"/>
        <v>seg</v>
      </c>
      <c r="M2767" s="1" t="str">
        <f t="shared" si="317"/>
        <v>mar</v>
      </c>
      <c r="N2767">
        <f t="shared" si="318"/>
        <v>2026</v>
      </c>
      <c r="O2767" s="2"/>
      <c r="P2767" t="str">
        <f t="shared" si="315"/>
        <v>154346104</v>
      </c>
    </row>
    <row r="2768" spans="1:16" x14ac:dyDescent="0.3">
      <c r="A2768">
        <v>1545</v>
      </c>
      <c r="B2768">
        <v>49</v>
      </c>
      <c r="C2768" t="s">
        <v>15</v>
      </c>
      <c r="D2768" t="s">
        <v>29</v>
      </c>
      <c r="E2768" t="s">
        <v>17</v>
      </c>
      <c r="F2768" t="s">
        <v>23</v>
      </c>
      <c r="G2768" t="s">
        <v>40</v>
      </c>
      <c r="H2768" t="s">
        <v>25</v>
      </c>
      <c r="I2768" s="1">
        <v>1</v>
      </c>
      <c r="J2768" s="2">
        <v>45802</v>
      </c>
      <c r="K2768" s="2">
        <v>45778</v>
      </c>
      <c r="L2768" s="1" t="str">
        <f t="shared" si="316"/>
        <v>dom</v>
      </c>
      <c r="M2768" s="1" t="str">
        <f t="shared" si="317"/>
        <v>mai</v>
      </c>
      <c r="N2768">
        <f t="shared" si="318"/>
        <v>2025</v>
      </c>
      <c r="O2768" s="2"/>
      <c r="P2768" t="str">
        <f t="shared" si="315"/>
        <v>154545802</v>
      </c>
    </row>
    <row r="2769" spans="1:16" x14ac:dyDescent="0.3">
      <c r="A2769">
        <v>1545</v>
      </c>
      <c r="B2769">
        <v>49</v>
      </c>
      <c r="C2769" t="s">
        <v>15</v>
      </c>
      <c r="D2769" t="s">
        <v>29</v>
      </c>
      <c r="E2769" t="s">
        <v>17</v>
      </c>
      <c r="F2769" t="s">
        <v>23</v>
      </c>
      <c r="G2769" t="s">
        <v>40</v>
      </c>
      <c r="H2769" t="s">
        <v>25</v>
      </c>
      <c r="I2769" s="1">
        <v>1</v>
      </c>
      <c r="J2769" s="2">
        <v>45818</v>
      </c>
      <c r="K2769" s="2">
        <v>45809</v>
      </c>
      <c r="L2769" s="1" t="str">
        <f t="shared" si="316"/>
        <v>ter</v>
      </c>
      <c r="M2769" s="1" t="str">
        <f t="shared" si="317"/>
        <v>jun</v>
      </c>
      <c r="N2769">
        <f t="shared" si="318"/>
        <v>2025</v>
      </c>
      <c r="O2769" s="2"/>
      <c r="P2769" t="str">
        <f t="shared" si="315"/>
        <v>154545818</v>
      </c>
    </row>
    <row r="2770" spans="1:16" x14ac:dyDescent="0.3">
      <c r="A2770">
        <v>1545</v>
      </c>
      <c r="B2770">
        <v>49</v>
      </c>
      <c r="C2770" t="s">
        <v>15</v>
      </c>
      <c r="D2770" t="s">
        <v>29</v>
      </c>
      <c r="E2770" t="s">
        <v>17</v>
      </c>
      <c r="F2770" t="s">
        <v>23</v>
      </c>
      <c r="G2770" t="s">
        <v>40</v>
      </c>
      <c r="H2770" t="s">
        <v>25</v>
      </c>
      <c r="I2770" s="1">
        <v>1</v>
      </c>
      <c r="J2770" s="2">
        <v>45858</v>
      </c>
      <c r="K2770" s="2">
        <v>45839</v>
      </c>
      <c r="L2770" s="1" t="str">
        <f t="shared" si="316"/>
        <v>dom</v>
      </c>
      <c r="M2770" s="1" t="str">
        <f t="shared" si="317"/>
        <v>jul</v>
      </c>
      <c r="N2770">
        <f t="shared" si="318"/>
        <v>2025</v>
      </c>
      <c r="O2770" s="2"/>
      <c r="P2770" t="str">
        <f t="shared" si="315"/>
        <v>154545858</v>
      </c>
    </row>
    <row r="2771" spans="1:16" x14ac:dyDescent="0.3">
      <c r="A2771">
        <v>1545</v>
      </c>
      <c r="B2771">
        <v>49</v>
      </c>
      <c r="C2771" t="s">
        <v>15</v>
      </c>
      <c r="D2771" t="s">
        <v>29</v>
      </c>
      <c r="E2771" t="s">
        <v>17</v>
      </c>
      <c r="F2771" t="s">
        <v>23</v>
      </c>
      <c r="G2771" t="s">
        <v>40</v>
      </c>
      <c r="H2771" t="s">
        <v>25</v>
      </c>
      <c r="I2771" s="1">
        <v>1</v>
      </c>
      <c r="J2771" s="2">
        <v>45929</v>
      </c>
      <c r="K2771" s="2">
        <v>45901</v>
      </c>
      <c r="L2771" s="1" t="str">
        <f t="shared" si="316"/>
        <v>seg</v>
      </c>
      <c r="M2771" s="1" t="str">
        <f t="shared" si="317"/>
        <v>set</v>
      </c>
      <c r="N2771">
        <f t="shared" si="318"/>
        <v>2025</v>
      </c>
      <c r="O2771" s="2"/>
      <c r="P2771" t="str">
        <f t="shared" si="315"/>
        <v>154545929</v>
      </c>
    </row>
    <row r="2772" spans="1:16" x14ac:dyDescent="0.3">
      <c r="A2772">
        <v>1545</v>
      </c>
      <c r="B2772">
        <v>49</v>
      </c>
      <c r="C2772" t="s">
        <v>15</v>
      </c>
      <c r="D2772" t="s">
        <v>29</v>
      </c>
      <c r="E2772" t="s">
        <v>17</v>
      </c>
      <c r="F2772" t="s">
        <v>23</v>
      </c>
      <c r="G2772" t="s">
        <v>40</v>
      </c>
      <c r="H2772" t="s">
        <v>25</v>
      </c>
      <c r="I2772" s="1">
        <v>1</v>
      </c>
      <c r="J2772" s="2">
        <v>46194</v>
      </c>
      <c r="K2772" s="2">
        <v>46023</v>
      </c>
      <c r="L2772" s="1" t="str">
        <f t="shared" si="316"/>
        <v>dom</v>
      </c>
      <c r="M2772" s="1" t="str">
        <f t="shared" si="317"/>
        <v>jun</v>
      </c>
      <c r="N2772">
        <f t="shared" si="318"/>
        <v>2026</v>
      </c>
      <c r="O2772" s="2"/>
      <c r="P2772" t="str">
        <f t="shared" si="315"/>
        <v>154546194</v>
      </c>
    </row>
    <row r="2773" spans="1:16" x14ac:dyDescent="0.3">
      <c r="A2773">
        <v>1545</v>
      </c>
      <c r="B2773">
        <v>49</v>
      </c>
      <c r="C2773" t="s">
        <v>15</v>
      </c>
      <c r="D2773" t="s">
        <v>29</v>
      </c>
      <c r="E2773" t="s">
        <v>17</v>
      </c>
      <c r="F2773" t="s">
        <v>23</v>
      </c>
      <c r="G2773" t="s">
        <v>40</v>
      </c>
      <c r="H2773" t="s">
        <v>25</v>
      </c>
      <c r="I2773" s="1">
        <v>1</v>
      </c>
      <c r="J2773" s="2">
        <v>46095</v>
      </c>
      <c r="K2773" s="2">
        <v>46082</v>
      </c>
      <c r="L2773" s="1" t="str">
        <f t="shared" si="316"/>
        <v>sáb</v>
      </c>
      <c r="M2773" s="1" t="str">
        <f t="shared" si="317"/>
        <v>mar</v>
      </c>
      <c r="N2773">
        <f t="shared" si="318"/>
        <v>2026</v>
      </c>
      <c r="O2773" s="2"/>
      <c r="P2773" t="str">
        <f t="shared" si="315"/>
        <v>154546095</v>
      </c>
    </row>
    <row r="2774" spans="1:16" x14ac:dyDescent="0.3">
      <c r="A2774">
        <v>1545</v>
      </c>
      <c r="B2774">
        <v>49</v>
      </c>
      <c r="C2774" t="s">
        <v>15</v>
      </c>
      <c r="D2774" t="s">
        <v>29</v>
      </c>
      <c r="E2774" t="s">
        <v>17</v>
      </c>
      <c r="F2774" t="s">
        <v>23</v>
      </c>
      <c r="G2774" t="s">
        <v>40</v>
      </c>
      <c r="H2774" t="s">
        <v>25</v>
      </c>
      <c r="I2774" s="1">
        <v>1</v>
      </c>
      <c r="J2774" s="2">
        <v>46167</v>
      </c>
      <c r="K2774" s="2">
        <v>46143</v>
      </c>
      <c r="L2774" s="1" t="s">
        <v>55</v>
      </c>
      <c r="M2774" s="1" t="s">
        <v>49</v>
      </c>
      <c r="N2774">
        <v>2025</v>
      </c>
      <c r="O2774" s="2"/>
      <c r="P2774" t="str">
        <f t="shared" si="315"/>
        <v>154546167</v>
      </c>
    </row>
    <row r="2775" spans="1:16" x14ac:dyDescent="0.3">
      <c r="A2775">
        <v>1546</v>
      </c>
      <c r="B2775">
        <v>22</v>
      </c>
      <c r="C2775" t="s">
        <v>15</v>
      </c>
      <c r="D2775" t="s">
        <v>29</v>
      </c>
      <c r="E2775" t="s">
        <v>17</v>
      </c>
      <c r="F2775" t="s">
        <v>23</v>
      </c>
      <c r="G2775" t="s">
        <v>40</v>
      </c>
      <c r="H2775" t="s">
        <v>25</v>
      </c>
      <c r="I2775" s="1">
        <v>2</v>
      </c>
      <c r="J2775" s="2">
        <v>45803</v>
      </c>
      <c r="K2775" s="2">
        <v>45778</v>
      </c>
      <c r="L2775" s="1" t="str">
        <f t="shared" ref="L2775:L2780" si="319">TEXT(J2775,"ddd")</f>
        <v>seg</v>
      </c>
      <c r="M2775" s="1" t="str">
        <f t="shared" ref="M2775:M2780" si="320">TEXT($J2775,"mmm")</f>
        <v>mai</v>
      </c>
      <c r="N2775">
        <f t="shared" ref="N2775:N2780" si="321">YEAR(J2775)</f>
        <v>2025</v>
      </c>
      <c r="O2775" s="2"/>
      <c r="P2775" t="str">
        <f t="shared" si="315"/>
        <v>154645803</v>
      </c>
    </row>
    <row r="2776" spans="1:16" x14ac:dyDescent="0.3">
      <c r="A2776">
        <v>1546</v>
      </c>
      <c r="B2776">
        <v>22</v>
      </c>
      <c r="C2776" t="s">
        <v>15</v>
      </c>
      <c r="D2776" t="s">
        <v>29</v>
      </c>
      <c r="E2776" t="s">
        <v>17</v>
      </c>
      <c r="F2776" t="s">
        <v>23</v>
      </c>
      <c r="G2776" t="s">
        <v>41</v>
      </c>
      <c r="H2776" t="s">
        <v>25</v>
      </c>
      <c r="I2776" s="1">
        <v>2</v>
      </c>
      <c r="J2776" s="2">
        <v>45871</v>
      </c>
      <c r="K2776" s="2">
        <v>45870</v>
      </c>
      <c r="L2776" s="1" t="str">
        <f t="shared" si="319"/>
        <v>sáb</v>
      </c>
      <c r="M2776" s="1" t="str">
        <f t="shared" si="320"/>
        <v>ago</v>
      </c>
      <c r="N2776">
        <f t="shared" si="321"/>
        <v>2025</v>
      </c>
      <c r="O2776" s="2"/>
      <c r="P2776" t="str">
        <f t="shared" si="315"/>
        <v>154645871</v>
      </c>
    </row>
    <row r="2777" spans="1:16" x14ac:dyDescent="0.3">
      <c r="A2777">
        <v>1546</v>
      </c>
      <c r="B2777">
        <v>22</v>
      </c>
      <c r="C2777" t="s">
        <v>15</v>
      </c>
      <c r="D2777" t="s">
        <v>29</v>
      </c>
      <c r="E2777" t="s">
        <v>17</v>
      </c>
      <c r="F2777" t="s">
        <v>23</v>
      </c>
      <c r="G2777" t="s">
        <v>41</v>
      </c>
      <c r="H2777" t="s">
        <v>25</v>
      </c>
      <c r="I2777" s="1">
        <v>2</v>
      </c>
      <c r="J2777" s="2">
        <v>45912</v>
      </c>
      <c r="K2777" s="2">
        <v>45901</v>
      </c>
      <c r="L2777" s="1" t="str">
        <f t="shared" si="319"/>
        <v>sex</v>
      </c>
      <c r="M2777" s="1" t="str">
        <f t="shared" si="320"/>
        <v>set</v>
      </c>
      <c r="N2777">
        <f t="shared" si="321"/>
        <v>2025</v>
      </c>
      <c r="O2777" s="2"/>
      <c r="P2777" t="str">
        <f t="shared" si="315"/>
        <v>154645912</v>
      </c>
    </row>
    <row r="2778" spans="1:16" x14ac:dyDescent="0.3">
      <c r="A2778">
        <v>1546</v>
      </c>
      <c r="B2778">
        <v>22</v>
      </c>
      <c r="C2778" t="s">
        <v>15</v>
      </c>
      <c r="D2778" t="s">
        <v>29</v>
      </c>
      <c r="E2778" t="s">
        <v>17</v>
      </c>
      <c r="F2778" t="s">
        <v>23</v>
      </c>
      <c r="G2778" t="s">
        <v>41</v>
      </c>
      <c r="H2778" t="s">
        <v>25</v>
      </c>
      <c r="I2778" s="1">
        <v>2</v>
      </c>
      <c r="J2778" s="2">
        <v>45934</v>
      </c>
      <c r="K2778" s="2">
        <v>45931</v>
      </c>
      <c r="L2778" s="1" t="str">
        <f t="shared" si="319"/>
        <v>sáb</v>
      </c>
      <c r="M2778" s="1" t="str">
        <f t="shared" si="320"/>
        <v>out</v>
      </c>
      <c r="N2778">
        <f t="shared" si="321"/>
        <v>2025</v>
      </c>
      <c r="O2778" s="2"/>
      <c r="P2778" t="str">
        <f t="shared" si="315"/>
        <v>154645934</v>
      </c>
    </row>
    <row r="2779" spans="1:16" x14ac:dyDescent="0.3">
      <c r="A2779">
        <v>1546</v>
      </c>
      <c r="B2779">
        <v>22</v>
      </c>
      <c r="C2779" t="s">
        <v>15</v>
      </c>
      <c r="D2779" t="s">
        <v>29</v>
      </c>
      <c r="E2779" t="s">
        <v>17</v>
      </c>
      <c r="F2779" t="s">
        <v>23</v>
      </c>
      <c r="G2779" t="s">
        <v>41</v>
      </c>
      <c r="H2779" t="s">
        <v>25</v>
      </c>
      <c r="I2779" s="1">
        <v>2</v>
      </c>
      <c r="J2779" s="2">
        <v>45957</v>
      </c>
      <c r="K2779" s="2">
        <v>45931</v>
      </c>
      <c r="L2779" s="1" t="str">
        <f t="shared" si="319"/>
        <v>seg</v>
      </c>
      <c r="M2779" s="1" t="str">
        <f t="shared" si="320"/>
        <v>out</v>
      </c>
      <c r="N2779">
        <f t="shared" si="321"/>
        <v>2025</v>
      </c>
      <c r="O2779" s="2"/>
      <c r="P2779" t="str">
        <f t="shared" si="315"/>
        <v>154645957</v>
      </c>
    </row>
    <row r="2780" spans="1:16" x14ac:dyDescent="0.3">
      <c r="A2780">
        <v>1546</v>
      </c>
      <c r="B2780">
        <v>22</v>
      </c>
      <c r="C2780" t="s">
        <v>15</v>
      </c>
      <c r="D2780" t="s">
        <v>29</v>
      </c>
      <c r="E2780" t="s">
        <v>17</v>
      </c>
      <c r="F2780" t="s">
        <v>23</v>
      </c>
      <c r="G2780" t="s">
        <v>41</v>
      </c>
      <c r="H2780" t="s">
        <v>25</v>
      </c>
      <c r="I2780" s="1">
        <v>2</v>
      </c>
      <c r="J2780" s="2">
        <v>46181</v>
      </c>
      <c r="K2780" s="2">
        <v>46023</v>
      </c>
      <c r="L2780" s="1" t="str">
        <f t="shared" si="319"/>
        <v>seg</v>
      </c>
      <c r="M2780" s="1" t="str">
        <f t="shared" si="320"/>
        <v>jun</v>
      </c>
      <c r="N2780">
        <f t="shared" si="321"/>
        <v>2026</v>
      </c>
      <c r="O2780" s="2"/>
      <c r="P2780" t="str">
        <f t="shared" si="315"/>
        <v>154646181</v>
      </c>
    </row>
    <row r="2781" spans="1:16" x14ac:dyDescent="0.3">
      <c r="A2781">
        <v>1546</v>
      </c>
      <c r="B2781">
        <v>22</v>
      </c>
      <c r="C2781" t="s">
        <v>15</v>
      </c>
      <c r="D2781" t="s">
        <v>29</v>
      </c>
      <c r="E2781" t="s">
        <v>17</v>
      </c>
      <c r="F2781" t="s">
        <v>23</v>
      </c>
      <c r="G2781" t="s">
        <v>40</v>
      </c>
      <c r="H2781" t="s">
        <v>25</v>
      </c>
      <c r="I2781" s="1">
        <v>2</v>
      </c>
      <c r="J2781" s="2">
        <v>46168</v>
      </c>
      <c r="K2781" s="2">
        <v>46143</v>
      </c>
      <c r="L2781" s="1" t="s">
        <v>56</v>
      </c>
      <c r="M2781" s="1" t="s">
        <v>49</v>
      </c>
      <c r="N2781">
        <v>2025</v>
      </c>
      <c r="O2781" s="2"/>
      <c r="P2781" t="str">
        <f t="shared" si="315"/>
        <v>154646168</v>
      </c>
    </row>
    <row r="2782" spans="1:16" x14ac:dyDescent="0.3">
      <c r="A2782">
        <v>1547</v>
      </c>
      <c r="B2782">
        <v>50</v>
      </c>
      <c r="C2782" t="s">
        <v>26</v>
      </c>
      <c r="D2782" t="s">
        <v>29</v>
      </c>
      <c r="E2782" t="s">
        <v>17</v>
      </c>
      <c r="F2782" t="s">
        <v>18</v>
      </c>
      <c r="G2782" t="s">
        <v>41</v>
      </c>
      <c r="H2782" t="s">
        <v>25</v>
      </c>
      <c r="I2782" s="1">
        <v>3</v>
      </c>
      <c r="J2782" s="2">
        <v>45774</v>
      </c>
      <c r="K2782" s="2">
        <v>45748</v>
      </c>
      <c r="L2782" s="1" t="str">
        <f>TEXT(J2782,"ddd")</f>
        <v>dom</v>
      </c>
      <c r="M2782" s="1" t="str">
        <f>TEXT($J2782,"mmm")</f>
        <v>abr</v>
      </c>
      <c r="N2782">
        <f>YEAR(J2782)</f>
        <v>2025</v>
      </c>
      <c r="O2782" s="2"/>
      <c r="P2782" t="str">
        <f t="shared" si="315"/>
        <v>154745774</v>
      </c>
    </row>
    <row r="2783" spans="1:16" x14ac:dyDescent="0.3">
      <c r="A2783">
        <v>1547</v>
      </c>
      <c r="B2783">
        <v>50</v>
      </c>
      <c r="C2783" t="s">
        <v>26</v>
      </c>
      <c r="D2783" t="s">
        <v>29</v>
      </c>
      <c r="E2783" t="s">
        <v>17</v>
      </c>
      <c r="F2783" t="s">
        <v>18</v>
      </c>
      <c r="G2783" t="s">
        <v>42</v>
      </c>
      <c r="H2783" t="s">
        <v>25</v>
      </c>
      <c r="I2783" s="1">
        <v>3</v>
      </c>
      <c r="J2783" s="2">
        <v>45811</v>
      </c>
      <c r="K2783" s="2">
        <v>45809</v>
      </c>
      <c r="L2783" s="1" t="str">
        <f>TEXT(J2783,"ddd")</f>
        <v>ter</v>
      </c>
      <c r="M2783" s="1" t="str">
        <f>TEXT($J2783,"mmm")</f>
        <v>jun</v>
      </c>
      <c r="N2783">
        <f>YEAR(J2783)</f>
        <v>2025</v>
      </c>
      <c r="O2783" s="2"/>
      <c r="P2783" t="str">
        <f t="shared" si="315"/>
        <v>154745811</v>
      </c>
    </row>
    <row r="2784" spans="1:16" x14ac:dyDescent="0.3">
      <c r="A2784">
        <v>1547</v>
      </c>
      <c r="B2784">
        <v>50</v>
      </c>
      <c r="C2784" t="s">
        <v>26</v>
      </c>
      <c r="D2784" t="s">
        <v>29</v>
      </c>
      <c r="E2784" t="s">
        <v>17</v>
      </c>
      <c r="F2784" t="s">
        <v>18</v>
      </c>
      <c r="G2784" t="s">
        <v>42</v>
      </c>
      <c r="H2784" t="s">
        <v>25</v>
      </c>
      <c r="I2784" s="1">
        <v>3</v>
      </c>
      <c r="J2784" s="2">
        <v>45815</v>
      </c>
      <c r="K2784" s="2">
        <v>45809</v>
      </c>
      <c r="L2784" s="1" t="str">
        <f>TEXT(J2784,"ddd")</f>
        <v>sáb</v>
      </c>
      <c r="M2784" s="1" t="str">
        <f>TEXT($J2784,"mmm")</f>
        <v>jun</v>
      </c>
      <c r="N2784">
        <f>YEAR(J2784)</f>
        <v>2025</v>
      </c>
      <c r="O2784" s="2"/>
      <c r="P2784" t="str">
        <f t="shared" si="315"/>
        <v>154745815</v>
      </c>
    </row>
    <row r="2785" spans="1:16" x14ac:dyDescent="0.3">
      <c r="A2785">
        <v>1547</v>
      </c>
      <c r="B2785">
        <v>50</v>
      </c>
      <c r="C2785" t="s">
        <v>26</v>
      </c>
      <c r="D2785" t="s">
        <v>29</v>
      </c>
      <c r="E2785" t="s">
        <v>17</v>
      </c>
      <c r="F2785" t="s">
        <v>18</v>
      </c>
      <c r="G2785" t="s">
        <v>42</v>
      </c>
      <c r="H2785" t="s">
        <v>25</v>
      </c>
      <c r="I2785" s="1">
        <v>3</v>
      </c>
      <c r="J2785" s="2">
        <v>46200</v>
      </c>
      <c r="K2785" s="2">
        <v>46023</v>
      </c>
      <c r="L2785" s="1" t="str">
        <f>TEXT(J2785,"ddd")</f>
        <v>sáb</v>
      </c>
      <c r="M2785" s="1" t="str">
        <f>TEXT($J2785,"mmm")</f>
        <v>jun</v>
      </c>
      <c r="N2785">
        <f>YEAR(J2785)</f>
        <v>2026</v>
      </c>
      <c r="O2785" s="2"/>
      <c r="P2785" t="str">
        <f t="shared" si="315"/>
        <v>154746200</v>
      </c>
    </row>
    <row r="2786" spans="1:16" x14ac:dyDescent="0.3">
      <c r="A2786">
        <v>1547</v>
      </c>
      <c r="B2786">
        <v>50</v>
      </c>
      <c r="C2786" t="s">
        <v>26</v>
      </c>
      <c r="D2786" t="s">
        <v>29</v>
      </c>
      <c r="E2786" t="s">
        <v>17</v>
      </c>
      <c r="F2786" t="s">
        <v>18</v>
      </c>
      <c r="G2786" t="s">
        <v>43</v>
      </c>
      <c r="H2786" t="s">
        <v>25</v>
      </c>
      <c r="I2786" s="1">
        <v>3</v>
      </c>
      <c r="J2786" s="2">
        <v>46108</v>
      </c>
      <c r="K2786" s="2">
        <v>46082</v>
      </c>
      <c r="L2786" s="1" t="str">
        <f>TEXT(J2786,"ddd")</f>
        <v>sex</v>
      </c>
      <c r="M2786" s="1" t="str">
        <f>TEXT($J2786,"mmm")</f>
        <v>mar</v>
      </c>
      <c r="N2786">
        <f>YEAR(J2786)</f>
        <v>2026</v>
      </c>
      <c r="O2786" s="2"/>
      <c r="P2786" t="str">
        <f t="shared" si="315"/>
        <v>154746108</v>
      </c>
    </row>
    <row r="2787" spans="1:16" x14ac:dyDescent="0.3">
      <c r="A2787">
        <v>1547</v>
      </c>
      <c r="B2787">
        <v>50</v>
      </c>
      <c r="C2787" t="s">
        <v>26</v>
      </c>
      <c r="D2787" t="s">
        <v>29</v>
      </c>
      <c r="E2787" t="s">
        <v>17</v>
      </c>
      <c r="F2787" t="s">
        <v>18</v>
      </c>
      <c r="G2787" t="s">
        <v>41</v>
      </c>
      <c r="H2787" t="s">
        <v>25</v>
      </c>
      <c r="I2787" s="1">
        <v>3</v>
      </c>
      <c r="J2787" s="2">
        <v>46139</v>
      </c>
      <c r="K2787" s="2">
        <v>46113</v>
      </c>
      <c r="L2787" s="1" t="s">
        <v>55</v>
      </c>
      <c r="M2787" s="1" t="s">
        <v>48</v>
      </c>
      <c r="N2787">
        <v>2025</v>
      </c>
      <c r="O2787" s="2"/>
      <c r="P2787" t="str">
        <f t="shared" si="315"/>
        <v>154746139</v>
      </c>
    </row>
    <row r="2788" spans="1:16" x14ac:dyDescent="0.3">
      <c r="A2788">
        <v>1547</v>
      </c>
      <c r="B2788">
        <v>50</v>
      </c>
      <c r="C2788" t="s">
        <v>26</v>
      </c>
      <c r="D2788" t="s">
        <v>29</v>
      </c>
      <c r="E2788" t="s">
        <v>17</v>
      </c>
      <c r="F2788" t="s">
        <v>18</v>
      </c>
      <c r="G2788" t="s">
        <v>43</v>
      </c>
      <c r="H2788" t="s">
        <v>25</v>
      </c>
      <c r="I2788" s="1">
        <v>3</v>
      </c>
      <c r="J2788" s="2">
        <v>46174</v>
      </c>
      <c r="K2788" s="2">
        <v>46174</v>
      </c>
      <c r="L2788" s="1" t="str">
        <f t="shared" ref="L2788:L2806" si="322">TEXT(J2788,"ddd")</f>
        <v>seg</v>
      </c>
      <c r="M2788" s="1" t="str">
        <f t="shared" ref="M2788:M2806" si="323">TEXT($J2788,"mmm")</f>
        <v>jun</v>
      </c>
      <c r="N2788">
        <f t="shared" ref="N2788:N2806" si="324">YEAR(J2788)</f>
        <v>2026</v>
      </c>
      <c r="O2788" s="2"/>
      <c r="P2788" t="str">
        <f t="shared" si="315"/>
        <v>154746174</v>
      </c>
    </row>
    <row r="2789" spans="1:16" x14ac:dyDescent="0.3">
      <c r="A2789">
        <v>1549</v>
      </c>
      <c r="B2789">
        <v>45</v>
      </c>
      <c r="C2789" t="s">
        <v>15</v>
      </c>
      <c r="D2789" t="s">
        <v>29</v>
      </c>
      <c r="E2789" t="s">
        <v>17</v>
      </c>
      <c r="F2789" t="s">
        <v>21</v>
      </c>
      <c r="G2789" t="s">
        <v>41</v>
      </c>
      <c r="H2789" t="s">
        <v>20</v>
      </c>
      <c r="I2789" s="1">
        <v>3</v>
      </c>
      <c r="J2789" s="2">
        <v>45818</v>
      </c>
      <c r="K2789" s="2">
        <v>45809</v>
      </c>
      <c r="L2789" s="1" t="str">
        <f t="shared" si="322"/>
        <v>ter</v>
      </c>
      <c r="M2789" s="1" t="str">
        <f t="shared" si="323"/>
        <v>jun</v>
      </c>
      <c r="N2789">
        <f t="shared" si="324"/>
        <v>2025</v>
      </c>
      <c r="O2789" s="2">
        <f>_xlfn.XLOOKUP(A2789,Colaboradores!$A:$A,Colaboradores!$S:$S,"",0)</f>
        <v>46007</v>
      </c>
      <c r="P2789" t="str">
        <f t="shared" si="315"/>
        <v>154945818</v>
      </c>
    </row>
    <row r="2790" spans="1:16" x14ac:dyDescent="0.3">
      <c r="A2790">
        <v>1549</v>
      </c>
      <c r="B2790">
        <v>45</v>
      </c>
      <c r="C2790" t="s">
        <v>15</v>
      </c>
      <c r="D2790" t="s">
        <v>29</v>
      </c>
      <c r="E2790" t="s">
        <v>17</v>
      </c>
      <c r="F2790" t="s">
        <v>21</v>
      </c>
      <c r="G2790" t="s">
        <v>43</v>
      </c>
      <c r="H2790" t="s">
        <v>20</v>
      </c>
      <c r="I2790" s="1">
        <v>3</v>
      </c>
      <c r="J2790" s="2">
        <v>45867</v>
      </c>
      <c r="K2790" s="2">
        <v>45839</v>
      </c>
      <c r="L2790" s="1" t="str">
        <f t="shared" si="322"/>
        <v>ter</v>
      </c>
      <c r="M2790" s="1" t="str">
        <f t="shared" si="323"/>
        <v>jul</v>
      </c>
      <c r="N2790">
        <f t="shared" si="324"/>
        <v>2025</v>
      </c>
      <c r="O2790" s="2">
        <f>_xlfn.XLOOKUP(A2790,Colaboradores!$A:$A,Colaboradores!$S:$S,"",0)</f>
        <v>46007</v>
      </c>
      <c r="P2790" t="str">
        <f t="shared" si="315"/>
        <v>154945867</v>
      </c>
    </row>
    <row r="2791" spans="1:16" x14ac:dyDescent="0.3">
      <c r="A2791">
        <v>1549</v>
      </c>
      <c r="B2791">
        <v>45</v>
      </c>
      <c r="C2791" t="s">
        <v>15</v>
      </c>
      <c r="D2791" t="s">
        <v>29</v>
      </c>
      <c r="E2791" t="s">
        <v>17</v>
      </c>
      <c r="F2791" t="s">
        <v>21</v>
      </c>
      <c r="G2791" t="s">
        <v>41</v>
      </c>
      <c r="H2791" t="s">
        <v>20</v>
      </c>
      <c r="I2791" s="1">
        <v>3</v>
      </c>
      <c r="J2791" s="2">
        <v>45936</v>
      </c>
      <c r="K2791" s="2">
        <v>45931</v>
      </c>
      <c r="L2791" s="1" t="str">
        <f t="shared" si="322"/>
        <v>seg</v>
      </c>
      <c r="M2791" s="1" t="str">
        <f t="shared" si="323"/>
        <v>out</v>
      </c>
      <c r="N2791">
        <f t="shared" si="324"/>
        <v>2025</v>
      </c>
      <c r="O2791" s="2">
        <f>_xlfn.XLOOKUP(A2791,Colaboradores!$A:$A,Colaboradores!$S:$S,"",0)</f>
        <v>46007</v>
      </c>
      <c r="P2791" t="str">
        <f t="shared" si="315"/>
        <v>154945936</v>
      </c>
    </row>
    <row r="2792" spans="1:16" x14ac:dyDescent="0.3">
      <c r="A2792">
        <v>1549</v>
      </c>
      <c r="B2792">
        <v>45</v>
      </c>
      <c r="C2792" t="s">
        <v>15</v>
      </c>
      <c r="D2792" t="s">
        <v>29</v>
      </c>
      <c r="E2792" t="s">
        <v>17</v>
      </c>
      <c r="F2792" t="s">
        <v>21</v>
      </c>
      <c r="G2792" t="s">
        <v>43</v>
      </c>
      <c r="H2792" t="s">
        <v>20</v>
      </c>
      <c r="I2792" s="1">
        <v>3</v>
      </c>
      <c r="J2792" s="2">
        <v>45953</v>
      </c>
      <c r="K2792" s="2">
        <v>45931</v>
      </c>
      <c r="L2792" s="1" t="str">
        <f t="shared" si="322"/>
        <v>qui</v>
      </c>
      <c r="M2792" s="1" t="str">
        <f t="shared" si="323"/>
        <v>out</v>
      </c>
      <c r="N2792">
        <f t="shared" si="324"/>
        <v>2025</v>
      </c>
      <c r="O2792" s="2">
        <f>_xlfn.XLOOKUP(A2792,Colaboradores!$A:$A,Colaboradores!$S:$S,"",0)</f>
        <v>46007</v>
      </c>
      <c r="P2792" t="str">
        <f t="shared" si="315"/>
        <v>154945953</v>
      </c>
    </row>
    <row r="2793" spans="1:16" x14ac:dyDescent="0.3">
      <c r="A2793">
        <v>1549</v>
      </c>
      <c r="B2793">
        <v>45</v>
      </c>
      <c r="C2793" t="s">
        <v>15</v>
      </c>
      <c r="D2793" t="s">
        <v>29</v>
      </c>
      <c r="E2793" t="s">
        <v>17</v>
      </c>
      <c r="F2793" t="s">
        <v>21</v>
      </c>
      <c r="G2793" t="s">
        <v>41</v>
      </c>
      <c r="H2793" t="s">
        <v>20</v>
      </c>
      <c r="I2793" s="1">
        <v>3</v>
      </c>
      <c r="J2793" s="2">
        <v>45969</v>
      </c>
      <c r="K2793" s="2">
        <v>45962</v>
      </c>
      <c r="L2793" s="1" t="str">
        <f t="shared" si="322"/>
        <v>sáb</v>
      </c>
      <c r="M2793" s="1" t="str">
        <f t="shared" si="323"/>
        <v>nov</v>
      </c>
      <c r="N2793">
        <f t="shared" si="324"/>
        <v>2025</v>
      </c>
      <c r="O2793" s="2">
        <f>_xlfn.XLOOKUP(A2793,Colaboradores!$A:$A,Colaboradores!$S:$S,"",0)</f>
        <v>46007</v>
      </c>
      <c r="P2793" t="str">
        <f t="shared" si="315"/>
        <v>154945969</v>
      </c>
    </row>
    <row r="2794" spans="1:16" x14ac:dyDescent="0.3">
      <c r="A2794">
        <v>1549</v>
      </c>
      <c r="B2794">
        <v>45</v>
      </c>
      <c r="C2794" t="s">
        <v>15</v>
      </c>
      <c r="D2794" t="s">
        <v>29</v>
      </c>
      <c r="E2794" t="s">
        <v>17</v>
      </c>
      <c r="F2794" t="s">
        <v>21</v>
      </c>
      <c r="G2794" t="s">
        <v>41</v>
      </c>
      <c r="H2794" t="s">
        <v>20</v>
      </c>
      <c r="I2794" s="1">
        <v>3</v>
      </c>
      <c r="J2794" s="2">
        <v>45975</v>
      </c>
      <c r="K2794" s="2">
        <v>45962</v>
      </c>
      <c r="L2794" s="1" t="str">
        <f t="shared" si="322"/>
        <v>sex</v>
      </c>
      <c r="M2794" s="1" t="str">
        <f t="shared" si="323"/>
        <v>nov</v>
      </c>
      <c r="N2794">
        <f t="shared" si="324"/>
        <v>2025</v>
      </c>
      <c r="O2794" s="2">
        <f>_xlfn.XLOOKUP(A2794,Colaboradores!$A:$A,Colaboradores!$S:$S,"",0)</f>
        <v>46007</v>
      </c>
      <c r="P2794" t="str">
        <f t="shared" si="315"/>
        <v>154945975</v>
      </c>
    </row>
    <row r="2795" spans="1:16" x14ac:dyDescent="0.3">
      <c r="A2795">
        <v>1550</v>
      </c>
      <c r="B2795">
        <v>40</v>
      </c>
      <c r="C2795" t="s">
        <v>26</v>
      </c>
      <c r="D2795" t="s">
        <v>16</v>
      </c>
      <c r="E2795" t="s">
        <v>17</v>
      </c>
      <c r="F2795" t="s">
        <v>23</v>
      </c>
      <c r="G2795" t="s">
        <v>41</v>
      </c>
      <c r="H2795" t="s">
        <v>20</v>
      </c>
      <c r="I2795" s="1">
        <v>1</v>
      </c>
      <c r="J2795" s="2">
        <v>45673</v>
      </c>
      <c r="K2795" s="2">
        <v>45658</v>
      </c>
      <c r="L2795" s="1" t="str">
        <f t="shared" si="322"/>
        <v>qui</v>
      </c>
      <c r="M2795" s="1" t="str">
        <f t="shared" si="323"/>
        <v>jan</v>
      </c>
      <c r="N2795">
        <f t="shared" si="324"/>
        <v>2025</v>
      </c>
      <c r="O2795" s="2">
        <f>_xlfn.XLOOKUP(A2795,Colaboradores!$A:$A,Colaboradores!$S:$S,"",0)</f>
        <v>45829</v>
      </c>
      <c r="P2795" t="str">
        <f t="shared" si="315"/>
        <v>155045673</v>
      </c>
    </row>
    <row r="2796" spans="1:16" x14ac:dyDescent="0.3">
      <c r="A2796">
        <v>1550</v>
      </c>
      <c r="B2796">
        <v>40</v>
      </c>
      <c r="C2796" t="s">
        <v>26</v>
      </c>
      <c r="D2796" t="s">
        <v>16</v>
      </c>
      <c r="E2796" t="s">
        <v>17</v>
      </c>
      <c r="F2796" t="s">
        <v>23</v>
      </c>
      <c r="G2796" t="s">
        <v>41</v>
      </c>
      <c r="H2796" t="s">
        <v>20</v>
      </c>
      <c r="I2796" s="1">
        <v>1</v>
      </c>
      <c r="J2796" s="2">
        <v>45675</v>
      </c>
      <c r="K2796" s="2">
        <v>45658</v>
      </c>
      <c r="L2796" s="1" t="str">
        <f t="shared" si="322"/>
        <v>sáb</v>
      </c>
      <c r="M2796" s="1" t="str">
        <f t="shared" si="323"/>
        <v>jan</v>
      </c>
      <c r="N2796">
        <f t="shared" si="324"/>
        <v>2025</v>
      </c>
      <c r="O2796" s="2">
        <f>_xlfn.XLOOKUP(A2796,Colaboradores!$A:$A,Colaboradores!$S:$S,"",0)</f>
        <v>45829</v>
      </c>
      <c r="P2796" t="str">
        <f t="shared" si="315"/>
        <v>155045675</v>
      </c>
    </row>
    <row r="2797" spans="1:16" x14ac:dyDescent="0.3">
      <c r="A2797">
        <v>1550</v>
      </c>
      <c r="B2797">
        <v>40</v>
      </c>
      <c r="C2797" t="s">
        <v>26</v>
      </c>
      <c r="D2797" t="s">
        <v>16</v>
      </c>
      <c r="E2797" t="s">
        <v>17</v>
      </c>
      <c r="F2797" t="s">
        <v>23</v>
      </c>
      <c r="G2797" t="s">
        <v>41</v>
      </c>
      <c r="H2797" t="s">
        <v>20</v>
      </c>
      <c r="I2797" s="1">
        <v>1</v>
      </c>
      <c r="J2797" s="2">
        <v>45784</v>
      </c>
      <c r="K2797" s="2">
        <v>45778</v>
      </c>
      <c r="L2797" s="1" t="str">
        <f t="shared" si="322"/>
        <v>qua</v>
      </c>
      <c r="M2797" s="1" t="str">
        <f t="shared" si="323"/>
        <v>mai</v>
      </c>
      <c r="N2797">
        <f t="shared" si="324"/>
        <v>2025</v>
      </c>
      <c r="O2797" s="2">
        <f>_xlfn.XLOOKUP(A2797,Colaboradores!$A:$A,Colaboradores!$S:$S,"",0)</f>
        <v>45829</v>
      </c>
      <c r="P2797" t="str">
        <f t="shared" si="315"/>
        <v>155045784</v>
      </c>
    </row>
    <row r="2798" spans="1:16" x14ac:dyDescent="0.3">
      <c r="A2798">
        <v>1550</v>
      </c>
      <c r="B2798">
        <v>40</v>
      </c>
      <c r="C2798" t="s">
        <v>26</v>
      </c>
      <c r="D2798" t="s">
        <v>16</v>
      </c>
      <c r="E2798" t="s">
        <v>17</v>
      </c>
      <c r="F2798" t="s">
        <v>23</v>
      </c>
      <c r="G2798" t="s">
        <v>41</v>
      </c>
      <c r="H2798" t="s">
        <v>20</v>
      </c>
      <c r="I2798" s="1">
        <v>1</v>
      </c>
      <c r="J2798" s="2">
        <v>45814</v>
      </c>
      <c r="K2798" s="2">
        <v>45809</v>
      </c>
      <c r="L2798" s="1" t="str">
        <f t="shared" si="322"/>
        <v>sex</v>
      </c>
      <c r="M2798" s="1" t="str">
        <f t="shared" si="323"/>
        <v>jun</v>
      </c>
      <c r="N2798">
        <f t="shared" si="324"/>
        <v>2025</v>
      </c>
      <c r="O2798" s="2">
        <f>_xlfn.XLOOKUP(A2798,Colaboradores!$A:$A,Colaboradores!$S:$S,"",0)</f>
        <v>45829</v>
      </c>
      <c r="P2798" t="str">
        <f t="shared" si="315"/>
        <v>155045814</v>
      </c>
    </row>
    <row r="2799" spans="1:16" x14ac:dyDescent="0.3">
      <c r="A2799">
        <v>1550</v>
      </c>
      <c r="B2799">
        <v>40</v>
      </c>
      <c r="C2799" t="s">
        <v>26</v>
      </c>
      <c r="D2799" t="s">
        <v>16</v>
      </c>
      <c r="E2799" t="s">
        <v>17</v>
      </c>
      <c r="F2799" t="s">
        <v>23</v>
      </c>
      <c r="G2799" t="s">
        <v>41</v>
      </c>
      <c r="H2799" t="s">
        <v>20</v>
      </c>
      <c r="I2799" s="1">
        <v>1</v>
      </c>
      <c r="J2799" s="2">
        <v>45819</v>
      </c>
      <c r="K2799" s="2">
        <v>45809</v>
      </c>
      <c r="L2799" s="1" t="str">
        <f t="shared" si="322"/>
        <v>qua</v>
      </c>
      <c r="M2799" s="1" t="str">
        <f t="shared" si="323"/>
        <v>jun</v>
      </c>
      <c r="N2799">
        <f t="shared" si="324"/>
        <v>2025</v>
      </c>
      <c r="O2799" s="2">
        <f>_xlfn.XLOOKUP(A2799,Colaboradores!$A:$A,Colaboradores!$S:$S,"",0)</f>
        <v>45829</v>
      </c>
      <c r="P2799" t="str">
        <f t="shared" si="315"/>
        <v>155045819</v>
      </c>
    </row>
    <row r="2800" spans="1:16" x14ac:dyDescent="0.3">
      <c r="A2800">
        <v>1550</v>
      </c>
      <c r="B2800">
        <v>40</v>
      </c>
      <c r="C2800" t="s">
        <v>26</v>
      </c>
      <c r="D2800" t="s">
        <v>16</v>
      </c>
      <c r="E2800" t="s">
        <v>17</v>
      </c>
      <c r="F2800" t="s">
        <v>23</v>
      </c>
      <c r="G2800" t="s">
        <v>41</v>
      </c>
      <c r="H2800" t="s">
        <v>20</v>
      </c>
      <c r="I2800" s="1">
        <v>1</v>
      </c>
      <c r="J2800" s="2">
        <v>45827</v>
      </c>
      <c r="K2800" s="2">
        <v>45809</v>
      </c>
      <c r="L2800" s="1" t="str">
        <f t="shared" si="322"/>
        <v>qui</v>
      </c>
      <c r="M2800" s="1" t="str">
        <f t="shared" si="323"/>
        <v>jun</v>
      </c>
      <c r="N2800">
        <f t="shared" si="324"/>
        <v>2025</v>
      </c>
      <c r="O2800" s="2">
        <f>_xlfn.XLOOKUP(A2800,Colaboradores!$A:$A,Colaboradores!$S:$S,"",0)</f>
        <v>45829</v>
      </c>
      <c r="P2800" t="str">
        <f t="shared" si="315"/>
        <v>155045827</v>
      </c>
    </row>
    <row r="2801" spans="1:16" x14ac:dyDescent="0.3">
      <c r="A2801">
        <v>1551</v>
      </c>
      <c r="B2801">
        <v>22</v>
      </c>
      <c r="C2801" t="s">
        <v>26</v>
      </c>
      <c r="D2801" t="s">
        <v>27</v>
      </c>
      <c r="E2801" t="s">
        <v>17</v>
      </c>
      <c r="F2801" t="s">
        <v>21</v>
      </c>
      <c r="G2801" t="s">
        <v>40</v>
      </c>
      <c r="H2801" t="s">
        <v>25</v>
      </c>
      <c r="I2801" s="1">
        <v>1</v>
      </c>
      <c r="J2801" s="2">
        <v>45775</v>
      </c>
      <c r="K2801" s="2">
        <v>45748</v>
      </c>
      <c r="L2801" s="1" t="str">
        <f t="shared" si="322"/>
        <v>seg</v>
      </c>
      <c r="M2801" s="1" t="str">
        <f t="shared" si="323"/>
        <v>abr</v>
      </c>
      <c r="N2801">
        <f t="shared" si="324"/>
        <v>2025</v>
      </c>
      <c r="O2801" s="2"/>
      <c r="P2801" t="str">
        <f t="shared" si="315"/>
        <v>155145775</v>
      </c>
    </row>
    <row r="2802" spans="1:16" x14ac:dyDescent="0.3">
      <c r="A2802">
        <v>1551</v>
      </c>
      <c r="B2802">
        <v>22</v>
      </c>
      <c r="C2802" t="s">
        <v>26</v>
      </c>
      <c r="D2802" t="s">
        <v>27</v>
      </c>
      <c r="E2802" t="s">
        <v>17</v>
      </c>
      <c r="F2802" t="s">
        <v>21</v>
      </c>
      <c r="G2802" t="s">
        <v>40</v>
      </c>
      <c r="H2802" t="s">
        <v>25</v>
      </c>
      <c r="I2802" s="1">
        <v>1</v>
      </c>
      <c r="J2802" s="2">
        <v>45857</v>
      </c>
      <c r="K2802" s="2">
        <v>45839</v>
      </c>
      <c r="L2802" s="1" t="str">
        <f t="shared" si="322"/>
        <v>sáb</v>
      </c>
      <c r="M2802" s="1" t="str">
        <f t="shared" si="323"/>
        <v>jul</v>
      </c>
      <c r="N2802">
        <f t="shared" si="324"/>
        <v>2025</v>
      </c>
      <c r="O2802" s="2"/>
      <c r="P2802" t="str">
        <f t="shared" si="315"/>
        <v>155145857</v>
      </c>
    </row>
    <row r="2803" spans="1:16" x14ac:dyDescent="0.3">
      <c r="A2803">
        <v>1551</v>
      </c>
      <c r="B2803">
        <v>22</v>
      </c>
      <c r="C2803" t="s">
        <v>26</v>
      </c>
      <c r="D2803" t="s">
        <v>27</v>
      </c>
      <c r="E2803" t="s">
        <v>17</v>
      </c>
      <c r="F2803" t="s">
        <v>21</v>
      </c>
      <c r="G2803" t="s">
        <v>40</v>
      </c>
      <c r="H2803" t="s">
        <v>25</v>
      </c>
      <c r="I2803" s="1">
        <v>1</v>
      </c>
      <c r="J2803" s="2">
        <v>45895</v>
      </c>
      <c r="K2803" s="2">
        <v>45870</v>
      </c>
      <c r="L2803" s="1" t="str">
        <f t="shared" si="322"/>
        <v>ter</v>
      </c>
      <c r="M2803" s="1" t="str">
        <f t="shared" si="323"/>
        <v>ago</v>
      </c>
      <c r="N2803">
        <f t="shared" si="324"/>
        <v>2025</v>
      </c>
      <c r="O2803" s="2"/>
      <c r="P2803" t="str">
        <f t="shared" si="315"/>
        <v>155145895</v>
      </c>
    </row>
    <row r="2804" spans="1:16" x14ac:dyDescent="0.3">
      <c r="A2804">
        <v>1551</v>
      </c>
      <c r="B2804">
        <v>22</v>
      </c>
      <c r="C2804" t="s">
        <v>26</v>
      </c>
      <c r="D2804" t="s">
        <v>27</v>
      </c>
      <c r="E2804" t="s">
        <v>17</v>
      </c>
      <c r="F2804" t="s">
        <v>21</v>
      </c>
      <c r="G2804" t="s">
        <v>40</v>
      </c>
      <c r="H2804" t="s">
        <v>25</v>
      </c>
      <c r="I2804" s="1">
        <v>1</v>
      </c>
      <c r="J2804" s="2">
        <v>45906</v>
      </c>
      <c r="K2804" s="2">
        <v>45901</v>
      </c>
      <c r="L2804" s="1" t="str">
        <f t="shared" si="322"/>
        <v>sáb</v>
      </c>
      <c r="M2804" s="1" t="str">
        <f t="shared" si="323"/>
        <v>set</v>
      </c>
      <c r="N2804">
        <f t="shared" si="324"/>
        <v>2025</v>
      </c>
      <c r="O2804" s="2"/>
      <c r="P2804" t="str">
        <f t="shared" si="315"/>
        <v>155145906</v>
      </c>
    </row>
    <row r="2805" spans="1:16" x14ac:dyDescent="0.3">
      <c r="A2805">
        <v>1551</v>
      </c>
      <c r="B2805">
        <v>22</v>
      </c>
      <c r="C2805" t="s">
        <v>26</v>
      </c>
      <c r="D2805" t="s">
        <v>27</v>
      </c>
      <c r="E2805" t="s">
        <v>17</v>
      </c>
      <c r="F2805" t="s">
        <v>21</v>
      </c>
      <c r="G2805" t="s">
        <v>40</v>
      </c>
      <c r="H2805" t="s">
        <v>25</v>
      </c>
      <c r="I2805" s="1">
        <v>1</v>
      </c>
      <c r="J2805" s="2">
        <v>45929</v>
      </c>
      <c r="K2805" s="2">
        <v>45901</v>
      </c>
      <c r="L2805" s="1" t="str">
        <f t="shared" si="322"/>
        <v>seg</v>
      </c>
      <c r="M2805" s="1" t="str">
        <f t="shared" si="323"/>
        <v>set</v>
      </c>
      <c r="N2805">
        <f t="shared" si="324"/>
        <v>2025</v>
      </c>
      <c r="O2805" s="2"/>
      <c r="P2805" t="str">
        <f t="shared" si="315"/>
        <v>155145929</v>
      </c>
    </row>
    <row r="2806" spans="1:16" x14ac:dyDescent="0.3">
      <c r="A2806">
        <v>1551</v>
      </c>
      <c r="B2806">
        <v>22</v>
      </c>
      <c r="C2806" t="s">
        <v>26</v>
      </c>
      <c r="D2806" t="s">
        <v>27</v>
      </c>
      <c r="E2806" t="s">
        <v>17</v>
      </c>
      <c r="F2806" t="s">
        <v>21</v>
      </c>
      <c r="G2806" t="s">
        <v>40</v>
      </c>
      <c r="H2806" t="s">
        <v>25</v>
      </c>
      <c r="I2806" s="1">
        <v>1</v>
      </c>
      <c r="J2806" s="2">
        <v>45946</v>
      </c>
      <c r="K2806" s="2">
        <v>45931</v>
      </c>
      <c r="L2806" s="1" t="str">
        <f t="shared" si="322"/>
        <v>qui</v>
      </c>
      <c r="M2806" s="1" t="str">
        <f t="shared" si="323"/>
        <v>out</v>
      </c>
      <c r="N2806">
        <f t="shared" si="324"/>
        <v>2025</v>
      </c>
      <c r="O2806" s="2"/>
      <c r="P2806" t="str">
        <f t="shared" si="315"/>
        <v>155145946</v>
      </c>
    </row>
    <row r="2807" spans="1:16" x14ac:dyDescent="0.3">
      <c r="A2807">
        <v>1551</v>
      </c>
      <c r="B2807">
        <v>22</v>
      </c>
      <c r="C2807" t="s">
        <v>26</v>
      </c>
      <c r="D2807" t="s">
        <v>27</v>
      </c>
      <c r="E2807" t="s">
        <v>17</v>
      </c>
      <c r="F2807" t="s">
        <v>21</v>
      </c>
      <c r="G2807" t="s">
        <v>40</v>
      </c>
      <c r="H2807" t="s">
        <v>25</v>
      </c>
      <c r="I2807" s="1">
        <v>1</v>
      </c>
      <c r="J2807" s="2">
        <v>46140</v>
      </c>
      <c r="K2807" s="2">
        <v>46113</v>
      </c>
      <c r="L2807" s="1" t="s">
        <v>56</v>
      </c>
      <c r="M2807" s="1" t="s">
        <v>48</v>
      </c>
      <c r="N2807">
        <v>2025</v>
      </c>
      <c r="O2807" s="2"/>
      <c r="P2807" t="str">
        <f t="shared" si="315"/>
        <v>155146140</v>
      </c>
    </row>
    <row r="2808" spans="1:16" x14ac:dyDescent="0.3">
      <c r="A2808">
        <v>1552</v>
      </c>
      <c r="B2808">
        <v>34</v>
      </c>
      <c r="C2808" t="s">
        <v>15</v>
      </c>
      <c r="D2808" t="s">
        <v>22</v>
      </c>
      <c r="E2808" t="s">
        <v>17</v>
      </c>
      <c r="F2808" t="s">
        <v>21</v>
      </c>
      <c r="G2808" t="s">
        <v>41</v>
      </c>
      <c r="H2808" t="s">
        <v>20</v>
      </c>
      <c r="I2808" s="1">
        <v>3</v>
      </c>
      <c r="J2808" s="2">
        <v>45673</v>
      </c>
      <c r="K2808" s="2">
        <v>45658</v>
      </c>
      <c r="L2808" s="1" t="str">
        <f t="shared" ref="L2808:L2819" si="325">TEXT(J2808,"ddd")</f>
        <v>qui</v>
      </c>
      <c r="M2808" s="1" t="str">
        <f t="shared" ref="M2808:M2819" si="326">TEXT($J2808,"mmm")</f>
        <v>jan</v>
      </c>
      <c r="N2808">
        <f t="shared" ref="N2808:N2819" si="327">YEAR(J2808)</f>
        <v>2025</v>
      </c>
      <c r="O2808" s="2">
        <f>_xlfn.XLOOKUP(A2808,Colaboradores!$A:$A,Colaboradores!$S:$S,"",0)</f>
        <v>45828</v>
      </c>
      <c r="P2808" t="str">
        <f t="shared" si="315"/>
        <v>155245673</v>
      </c>
    </row>
    <row r="2809" spans="1:16" x14ac:dyDescent="0.3">
      <c r="A2809">
        <v>1552</v>
      </c>
      <c r="B2809">
        <v>34</v>
      </c>
      <c r="C2809" t="s">
        <v>15</v>
      </c>
      <c r="D2809" t="s">
        <v>22</v>
      </c>
      <c r="E2809" t="s">
        <v>17</v>
      </c>
      <c r="F2809" t="s">
        <v>21</v>
      </c>
      <c r="G2809" t="s">
        <v>57</v>
      </c>
      <c r="H2809" t="s">
        <v>20</v>
      </c>
      <c r="I2809" s="1">
        <v>3</v>
      </c>
      <c r="J2809" s="2">
        <v>45718</v>
      </c>
      <c r="K2809" s="2">
        <v>45717</v>
      </c>
      <c r="L2809" s="1" t="str">
        <f t="shared" si="325"/>
        <v>dom</v>
      </c>
      <c r="M2809" s="1" t="str">
        <f t="shared" si="326"/>
        <v>mar</v>
      </c>
      <c r="N2809">
        <f t="shared" si="327"/>
        <v>2025</v>
      </c>
      <c r="O2809" s="2">
        <f>_xlfn.XLOOKUP(A2809,Colaboradores!$A:$A,Colaboradores!$S:$S,"",0)</f>
        <v>45828</v>
      </c>
      <c r="P2809" t="str">
        <f t="shared" si="315"/>
        <v>155245718</v>
      </c>
    </row>
    <row r="2810" spans="1:16" x14ac:dyDescent="0.3">
      <c r="A2810">
        <v>1552</v>
      </c>
      <c r="B2810">
        <v>34</v>
      </c>
      <c r="C2810" t="s">
        <v>15</v>
      </c>
      <c r="D2810" t="s">
        <v>22</v>
      </c>
      <c r="E2810" t="s">
        <v>17</v>
      </c>
      <c r="F2810" t="s">
        <v>21</v>
      </c>
      <c r="G2810" t="s">
        <v>57</v>
      </c>
      <c r="H2810" t="s">
        <v>20</v>
      </c>
      <c r="I2810" s="1">
        <v>3</v>
      </c>
      <c r="J2810" s="2">
        <v>45734</v>
      </c>
      <c r="K2810" s="2">
        <v>45717</v>
      </c>
      <c r="L2810" s="1" t="str">
        <f t="shared" si="325"/>
        <v>ter</v>
      </c>
      <c r="M2810" s="1" t="str">
        <f t="shared" si="326"/>
        <v>mar</v>
      </c>
      <c r="N2810">
        <f t="shared" si="327"/>
        <v>2025</v>
      </c>
      <c r="O2810" s="2">
        <f>_xlfn.XLOOKUP(A2810,Colaboradores!$A:$A,Colaboradores!$S:$S,"",0)</f>
        <v>45828</v>
      </c>
      <c r="P2810" t="str">
        <f t="shared" si="315"/>
        <v>155245734</v>
      </c>
    </row>
    <row r="2811" spans="1:16" x14ac:dyDescent="0.3">
      <c r="A2811">
        <v>1552</v>
      </c>
      <c r="B2811">
        <v>34</v>
      </c>
      <c r="C2811" t="s">
        <v>15</v>
      </c>
      <c r="D2811" t="s">
        <v>22</v>
      </c>
      <c r="E2811" t="s">
        <v>17</v>
      </c>
      <c r="F2811" t="s">
        <v>21</v>
      </c>
      <c r="G2811" t="s">
        <v>42</v>
      </c>
      <c r="H2811" t="s">
        <v>20</v>
      </c>
      <c r="I2811" s="1">
        <v>3</v>
      </c>
      <c r="J2811" s="2">
        <v>45756</v>
      </c>
      <c r="K2811" s="2">
        <v>45748</v>
      </c>
      <c r="L2811" s="1" t="str">
        <f t="shared" si="325"/>
        <v>qua</v>
      </c>
      <c r="M2811" s="1" t="str">
        <f t="shared" si="326"/>
        <v>abr</v>
      </c>
      <c r="N2811">
        <f t="shared" si="327"/>
        <v>2025</v>
      </c>
      <c r="O2811" s="2">
        <f>_xlfn.XLOOKUP(A2811,Colaboradores!$A:$A,Colaboradores!$S:$S,"",0)</f>
        <v>45828</v>
      </c>
      <c r="P2811" t="str">
        <f t="shared" si="315"/>
        <v>155245756</v>
      </c>
    </row>
    <row r="2812" spans="1:16" x14ac:dyDescent="0.3">
      <c r="A2812">
        <v>1552</v>
      </c>
      <c r="B2812">
        <v>34</v>
      </c>
      <c r="C2812" t="s">
        <v>15</v>
      </c>
      <c r="D2812" t="s">
        <v>22</v>
      </c>
      <c r="E2812" t="s">
        <v>17</v>
      </c>
      <c r="F2812" t="s">
        <v>21</v>
      </c>
      <c r="G2812" t="s">
        <v>42</v>
      </c>
      <c r="H2812" t="s">
        <v>20</v>
      </c>
      <c r="I2812" s="1">
        <v>3</v>
      </c>
      <c r="J2812" s="2">
        <v>45760</v>
      </c>
      <c r="K2812" s="2">
        <v>45748</v>
      </c>
      <c r="L2812" s="1" t="str">
        <f t="shared" si="325"/>
        <v>dom</v>
      </c>
      <c r="M2812" s="1" t="str">
        <f t="shared" si="326"/>
        <v>abr</v>
      </c>
      <c r="N2812">
        <f t="shared" si="327"/>
        <v>2025</v>
      </c>
      <c r="O2812" s="2">
        <f>_xlfn.XLOOKUP(A2812,Colaboradores!$A:$A,Colaboradores!$S:$S,"",0)</f>
        <v>45828</v>
      </c>
      <c r="P2812" t="str">
        <f t="shared" si="315"/>
        <v>155245760</v>
      </c>
    </row>
    <row r="2813" spans="1:16" x14ac:dyDescent="0.3">
      <c r="A2813">
        <v>1552</v>
      </c>
      <c r="B2813">
        <v>34</v>
      </c>
      <c r="C2813" t="s">
        <v>15</v>
      </c>
      <c r="D2813" t="s">
        <v>22</v>
      </c>
      <c r="E2813" t="s">
        <v>17</v>
      </c>
      <c r="F2813" t="s">
        <v>21</v>
      </c>
      <c r="G2813" t="s">
        <v>41</v>
      </c>
      <c r="H2813" t="s">
        <v>20</v>
      </c>
      <c r="I2813" s="1">
        <v>3</v>
      </c>
      <c r="J2813" s="2">
        <v>45814</v>
      </c>
      <c r="K2813" s="2">
        <v>45809</v>
      </c>
      <c r="L2813" s="1" t="str">
        <f t="shared" si="325"/>
        <v>sex</v>
      </c>
      <c r="M2813" s="1" t="str">
        <f t="shared" si="326"/>
        <v>jun</v>
      </c>
      <c r="N2813">
        <f t="shared" si="327"/>
        <v>2025</v>
      </c>
      <c r="O2813" s="2">
        <f>_xlfn.XLOOKUP(A2813,Colaboradores!$A:$A,Colaboradores!$S:$S,"",0)</f>
        <v>45828</v>
      </c>
      <c r="P2813" t="str">
        <f t="shared" si="315"/>
        <v>155245814</v>
      </c>
    </row>
    <row r="2814" spans="1:16" x14ac:dyDescent="0.3">
      <c r="A2814">
        <v>1553</v>
      </c>
      <c r="B2814">
        <v>41</v>
      </c>
      <c r="C2814" t="s">
        <v>26</v>
      </c>
      <c r="D2814" t="s">
        <v>31</v>
      </c>
      <c r="E2814" t="s">
        <v>32</v>
      </c>
      <c r="F2814" t="s">
        <v>23</v>
      </c>
      <c r="G2814" t="s">
        <v>42</v>
      </c>
      <c r="H2814" t="s">
        <v>25</v>
      </c>
      <c r="I2814" s="1">
        <v>1</v>
      </c>
      <c r="J2814" s="2">
        <v>45806</v>
      </c>
      <c r="K2814" s="2">
        <v>45778</v>
      </c>
      <c r="L2814" s="1" t="str">
        <f t="shared" si="325"/>
        <v>qui</v>
      </c>
      <c r="M2814" s="1" t="str">
        <f t="shared" si="326"/>
        <v>mai</v>
      </c>
      <c r="N2814">
        <f t="shared" si="327"/>
        <v>2025</v>
      </c>
      <c r="O2814" s="2"/>
      <c r="P2814" t="str">
        <f t="shared" ref="P2814:P2877" si="328">CONCATENATE(A2814,J2814)</f>
        <v>155345806</v>
      </c>
    </row>
    <row r="2815" spans="1:16" x14ac:dyDescent="0.3">
      <c r="A2815">
        <v>1553</v>
      </c>
      <c r="B2815">
        <v>41</v>
      </c>
      <c r="C2815" t="s">
        <v>26</v>
      </c>
      <c r="D2815" t="s">
        <v>31</v>
      </c>
      <c r="E2815" t="s">
        <v>32</v>
      </c>
      <c r="F2815" t="s">
        <v>23</v>
      </c>
      <c r="G2815" t="s">
        <v>44</v>
      </c>
      <c r="H2815" t="s">
        <v>25</v>
      </c>
      <c r="I2815" s="1">
        <v>1</v>
      </c>
      <c r="J2815" s="2">
        <v>45923</v>
      </c>
      <c r="K2815" s="2">
        <v>45901</v>
      </c>
      <c r="L2815" s="1" t="str">
        <f t="shared" si="325"/>
        <v>ter</v>
      </c>
      <c r="M2815" s="1" t="str">
        <f t="shared" si="326"/>
        <v>set</v>
      </c>
      <c r="N2815">
        <f t="shared" si="327"/>
        <v>2025</v>
      </c>
      <c r="O2815" s="2"/>
      <c r="P2815" t="str">
        <f t="shared" si="328"/>
        <v>155345923</v>
      </c>
    </row>
    <row r="2816" spans="1:16" x14ac:dyDescent="0.3">
      <c r="A2816">
        <v>1553</v>
      </c>
      <c r="B2816">
        <v>41</v>
      </c>
      <c r="C2816" t="s">
        <v>26</v>
      </c>
      <c r="D2816" t="s">
        <v>31</v>
      </c>
      <c r="E2816" t="s">
        <v>32</v>
      </c>
      <c r="F2816" t="s">
        <v>23</v>
      </c>
      <c r="G2816" t="s">
        <v>44</v>
      </c>
      <c r="H2816" t="s">
        <v>25</v>
      </c>
      <c r="I2816" s="1">
        <v>1</v>
      </c>
      <c r="J2816" s="2">
        <v>45968</v>
      </c>
      <c r="K2816" s="2">
        <v>45962</v>
      </c>
      <c r="L2816" s="1" t="str">
        <f t="shared" si="325"/>
        <v>sex</v>
      </c>
      <c r="M2816" s="1" t="str">
        <f t="shared" si="326"/>
        <v>nov</v>
      </c>
      <c r="N2816">
        <f t="shared" si="327"/>
        <v>2025</v>
      </c>
      <c r="O2816" s="2"/>
      <c r="P2816" t="str">
        <f t="shared" si="328"/>
        <v>155345968</v>
      </c>
    </row>
    <row r="2817" spans="1:16" x14ac:dyDescent="0.3">
      <c r="A2817">
        <v>1553</v>
      </c>
      <c r="B2817">
        <v>41</v>
      </c>
      <c r="C2817" t="s">
        <v>26</v>
      </c>
      <c r="D2817" t="s">
        <v>31</v>
      </c>
      <c r="E2817" t="s">
        <v>32</v>
      </c>
      <c r="F2817" t="s">
        <v>23</v>
      </c>
      <c r="G2817" t="s">
        <v>44</v>
      </c>
      <c r="H2817" t="s">
        <v>25</v>
      </c>
      <c r="I2817" s="1">
        <v>1</v>
      </c>
      <c r="J2817" s="2">
        <v>45975</v>
      </c>
      <c r="K2817" s="2">
        <v>45962</v>
      </c>
      <c r="L2817" s="1" t="str">
        <f t="shared" si="325"/>
        <v>sex</v>
      </c>
      <c r="M2817" s="1" t="str">
        <f t="shared" si="326"/>
        <v>nov</v>
      </c>
      <c r="N2817">
        <f t="shared" si="327"/>
        <v>2025</v>
      </c>
      <c r="O2817" s="2"/>
      <c r="P2817" t="str">
        <f t="shared" si="328"/>
        <v>155345975</v>
      </c>
    </row>
    <row r="2818" spans="1:16" x14ac:dyDescent="0.3">
      <c r="A2818">
        <v>1553</v>
      </c>
      <c r="B2818">
        <v>41</v>
      </c>
      <c r="C2818" t="s">
        <v>26</v>
      </c>
      <c r="D2818" t="s">
        <v>31</v>
      </c>
      <c r="E2818" t="s">
        <v>32</v>
      </c>
      <c r="F2818" t="s">
        <v>23</v>
      </c>
      <c r="G2818" t="s">
        <v>44</v>
      </c>
      <c r="H2818" t="s">
        <v>25</v>
      </c>
      <c r="I2818" s="1">
        <v>1</v>
      </c>
      <c r="J2818" s="2">
        <v>45976</v>
      </c>
      <c r="K2818" s="2">
        <v>45962</v>
      </c>
      <c r="L2818" s="1" t="str">
        <f t="shared" si="325"/>
        <v>sáb</v>
      </c>
      <c r="M2818" s="1" t="str">
        <f t="shared" si="326"/>
        <v>nov</v>
      </c>
      <c r="N2818">
        <f t="shared" si="327"/>
        <v>2025</v>
      </c>
      <c r="O2818" s="2"/>
      <c r="P2818" t="str">
        <f t="shared" si="328"/>
        <v>155345976</v>
      </c>
    </row>
    <row r="2819" spans="1:16" x14ac:dyDescent="0.3">
      <c r="A2819">
        <v>1553</v>
      </c>
      <c r="B2819">
        <v>41</v>
      </c>
      <c r="C2819" t="s">
        <v>26</v>
      </c>
      <c r="D2819" t="s">
        <v>31</v>
      </c>
      <c r="E2819" t="s">
        <v>32</v>
      </c>
      <c r="F2819" t="s">
        <v>23</v>
      </c>
      <c r="G2819" t="s">
        <v>42</v>
      </c>
      <c r="H2819" t="s">
        <v>25</v>
      </c>
      <c r="I2819" s="1">
        <v>1</v>
      </c>
      <c r="J2819" s="2">
        <v>46174</v>
      </c>
      <c r="K2819" s="2">
        <v>46023</v>
      </c>
      <c r="L2819" s="1" t="str">
        <f t="shared" si="325"/>
        <v>seg</v>
      </c>
      <c r="M2819" s="1" t="str">
        <f t="shared" si="326"/>
        <v>jun</v>
      </c>
      <c r="N2819">
        <f t="shared" si="327"/>
        <v>2026</v>
      </c>
      <c r="O2819" s="2"/>
      <c r="P2819" t="str">
        <f t="shared" si="328"/>
        <v>155346174</v>
      </c>
    </row>
    <row r="2820" spans="1:16" x14ac:dyDescent="0.3">
      <c r="A2820">
        <v>1553</v>
      </c>
      <c r="B2820">
        <v>41</v>
      </c>
      <c r="C2820" t="s">
        <v>26</v>
      </c>
      <c r="D2820" t="s">
        <v>31</v>
      </c>
      <c r="E2820" t="s">
        <v>32</v>
      </c>
      <c r="F2820" t="s">
        <v>23</v>
      </c>
      <c r="G2820" t="s">
        <v>42</v>
      </c>
      <c r="H2820" t="s">
        <v>25</v>
      </c>
      <c r="I2820" s="1">
        <v>1</v>
      </c>
      <c r="J2820" s="2">
        <v>46171</v>
      </c>
      <c r="K2820" s="2">
        <v>46143</v>
      </c>
      <c r="L2820" s="1" t="s">
        <v>52</v>
      </c>
      <c r="M2820" s="1" t="s">
        <v>49</v>
      </c>
      <c r="N2820">
        <v>2025</v>
      </c>
      <c r="O2820" s="2"/>
      <c r="P2820" t="str">
        <f t="shared" si="328"/>
        <v>155346171</v>
      </c>
    </row>
    <row r="2821" spans="1:16" x14ac:dyDescent="0.3">
      <c r="A2821">
        <v>1554</v>
      </c>
      <c r="B2821">
        <v>25</v>
      </c>
      <c r="C2821" t="s">
        <v>15</v>
      </c>
      <c r="D2821" t="s">
        <v>16</v>
      </c>
      <c r="E2821" t="s">
        <v>17</v>
      </c>
      <c r="F2821" t="s">
        <v>21</v>
      </c>
      <c r="G2821" t="s">
        <v>41</v>
      </c>
      <c r="H2821" t="s">
        <v>20</v>
      </c>
      <c r="I2821" s="1">
        <v>2</v>
      </c>
      <c r="J2821" s="2">
        <v>45843</v>
      </c>
      <c r="K2821" s="2">
        <v>45839</v>
      </c>
      <c r="L2821" s="1" t="str">
        <f t="shared" ref="L2821:L2861" si="329">TEXT(J2821,"ddd")</f>
        <v>sáb</v>
      </c>
      <c r="M2821" s="1" t="str">
        <f t="shared" ref="M2821:M2861" si="330">TEXT($J2821,"mmm")</f>
        <v>jul</v>
      </c>
      <c r="N2821">
        <f t="shared" ref="N2821:N2861" si="331">YEAR(J2821)</f>
        <v>2025</v>
      </c>
      <c r="O2821" s="2">
        <f>_xlfn.XLOOKUP(A2821,Colaboradores!$A:$A,Colaboradores!$S:$S,"",0)</f>
        <v>45849</v>
      </c>
      <c r="P2821" t="str">
        <f t="shared" si="328"/>
        <v>155445843</v>
      </c>
    </row>
    <row r="2822" spans="1:16" x14ac:dyDescent="0.3">
      <c r="A2822">
        <v>1556</v>
      </c>
      <c r="B2822">
        <v>30</v>
      </c>
      <c r="C2822" t="s">
        <v>15</v>
      </c>
      <c r="D2822" t="s">
        <v>16</v>
      </c>
      <c r="E2822" t="s">
        <v>17</v>
      </c>
      <c r="F2822" t="s">
        <v>18</v>
      </c>
      <c r="G2822" t="s">
        <v>40</v>
      </c>
      <c r="H2822" t="s">
        <v>25</v>
      </c>
      <c r="I2822" s="1">
        <v>3</v>
      </c>
      <c r="J2822" s="2">
        <v>45822</v>
      </c>
      <c r="K2822" s="2">
        <v>45809</v>
      </c>
      <c r="L2822" s="1" t="str">
        <f t="shared" si="329"/>
        <v>sáb</v>
      </c>
      <c r="M2822" s="1" t="str">
        <f t="shared" si="330"/>
        <v>jun</v>
      </c>
      <c r="N2822">
        <f t="shared" si="331"/>
        <v>2025</v>
      </c>
      <c r="O2822" s="2"/>
      <c r="P2822" t="str">
        <f t="shared" si="328"/>
        <v>155645822</v>
      </c>
    </row>
    <row r="2823" spans="1:16" x14ac:dyDescent="0.3">
      <c r="A2823">
        <v>1556</v>
      </c>
      <c r="B2823">
        <v>30</v>
      </c>
      <c r="C2823" t="s">
        <v>15</v>
      </c>
      <c r="D2823" t="s">
        <v>16</v>
      </c>
      <c r="E2823" t="s">
        <v>17</v>
      </c>
      <c r="F2823" t="s">
        <v>18</v>
      </c>
      <c r="G2823" t="s">
        <v>40</v>
      </c>
      <c r="H2823" t="s">
        <v>25</v>
      </c>
      <c r="I2823" s="1">
        <v>3</v>
      </c>
      <c r="J2823" s="2">
        <v>45849</v>
      </c>
      <c r="K2823" s="2">
        <v>45839</v>
      </c>
      <c r="L2823" s="1" t="str">
        <f t="shared" si="329"/>
        <v>sex</v>
      </c>
      <c r="M2823" s="1" t="str">
        <f t="shared" si="330"/>
        <v>jul</v>
      </c>
      <c r="N2823">
        <f t="shared" si="331"/>
        <v>2025</v>
      </c>
      <c r="O2823" s="2"/>
      <c r="P2823" t="str">
        <f t="shared" si="328"/>
        <v>155645849</v>
      </c>
    </row>
    <row r="2824" spans="1:16" x14ac:dyDescent="0.3">
      <c r="A2824">
        <v>1556</v>
      </c>
      <c r="B2824">
        <v>30</v>
      </c>
      <c r="C2824" t="s">
        <v>15</v>
      </c>
      <c r="D2824" t="s">
        <v>16</v>
      </c>
      <c r="E2824" t="s">
        <v>17</v>
      </c>
      <c r="F2824" t="s">
        <v>18</v>
      </c>
      <c r="G2824" t="s">
        <v>40</v>
      </c>
      <c r="H2824" t="s">
        <v>25</v>
      </c>
      <c r="I2824" s="1">
        <v>3</v>
      </c>
      <c r="J2824" s="2">
        <v>45887</v>
      </c>
      <c r="K2824" s="2">
        <v>45870</v>
      </c>
      <c r="L2824" s="1" t="str">
        <f t="shared" si="329"/>
        <v>seg</v>
      </c>
      <c r="M2824" s="1" t="str">
        <f t="shared" si="330"/>
        <v>ago</v>
      </c>
      <c r="N2824">
        <f t="shared" si="331"/>
        <v>2025</v>
      </c>
      <c r="O2824" s="2"/>
      <c r="P2824" t="str">
        <f t="shared" si="328"/>
        <v>155645887</v>
      </c>
    </row>
    <row r="2825" spans="1:16" x14ac:dyDescent="0.3">
      <c r="A2825">
        <v>1556</v>
      </c>
      <c r="B2825">
        <v>30</v>
      </c>
      <c r="C2825" t="s">
        <v>15</v>
      </c>
      <c r="D2825" t="s">
        <v>16</v>
      </c>
      <c r="E2825" t="s">
        <v>17</v>
      </c>
      <c r="F2825" t="s">
        <v>18</v>
      </c>
      <c r="G2825" t="s">
        <v>40</v>
      </c>
      <c r="H2825" t="s">
        <v>25</v>
      </c>
      <c r="I2825" s="1">
        <v>3</v>
      </c>
      <c r="J2825" s="2">
        <v>45918</v>
      </c>
      <c r="K2825" s="2">
        <v>45901</v>
      </c>
      <c r="L2825" s="1" t="str">
        <f t="shared" si="329"/>
        <v>qui</v>
      </c>
      <c r="M2825" s="1" t="str">
        <f t="shared" si="330"/>
        <v>set</v>
      </c>
      <c r="N2825">
        <f t="shared" si="331"/>
        <v>2025</v>
      </c>
      <c r="O2825" s="2"/>
      <c r="P2825" t="str">
        <f t="shared" si="328"/>
        <v>155645918</v>
      </c>
    </row>
    <row r="2826" spans="1:16" x14ac:dyDescent="0.3">
      <c r="A2826">
        <v>1556</v>
      </c>
      <c r="B2826">
        <v>30</v>
      </c>
      <c r="C2826" t="s">
        <v>15</v>
      </c>
      <c r="D2826" t="s">
        <v>16</v>
      </c>
      <c r="E2826" t="s">
        <v>17</v>
      </c>
      <c r="F2826" t="s">
        <v>18</v>
      </c>
      <c r="G2826" t="s">
        <v>40</v>
      </c>
      <c r="H2826" t="s">
        <v>25</v>
      </c>
      <c r="I2826" s="1">
        <v>3</v>
      </c>
      <c r="J2826" s="2">
        <v>45995</v>
      </c>
      <c r="K2826" s="2">
        <v>45992</v>
      </c>
      <c r="L2826" s="1" t="str">
        <f t="shared" si="329"/>
        <v>qui</v>
      </c>
      <c r="M2826" s="1" t="str">
        <f t="shared" si="330"/>
        <v>dez</v>
      </c>
      <c r="N2826">
        <f t="shared" si="331"/>
        <v>2025</v>
      </c>
      <c r="O2826" s="2"/>
      <c r="P2826" t="str">
        <f t="shared" si="328"/>
        <v>155645995</v>
      </c>
    </row>
    <row r="2827" spans="1:16" x14ac:dyDescent="0.3">
      <c r="A2827">
        <v>1556</v>
      </c>
      <c r="B2827">
        <v>30</v>
      </c>
      <c r="C2827" t="s">
        <v>15</v>
      </c>
      <c r="D2827" t="s">
        <v>16</v>
      </c>
      <c r="E2827" t="s">
        <v>17</v>
      </c>
      <c r="F2827" t="s">
        <v>18</v>
      </c>
      <c r="G2827" t="s">
        <v>40</v>
      </c>
      <c r="H2827" t="s">
        <v>25</v>
      </c>
      <c r="I2827" s="1">
        <v>3</v>
      </c>
      <c r="J2827" s="2">
        <v>46198</v>
      </c>
      <c r="K2827" s="2">
        <v>46023</v>
      </c>
      <c r="L2827" s="1" t="str">
        <f t="shared" si="329"/>
        <v>qui</v>
      </c>
      <c r="M2827" s="1" t="str">
        <f t="shared" si="330"/>
        <v>jun</v>
      </c>
      <c r="N2827">
        <f t="shared" si="331"/>
        <v>2026</v>
      </c>
      <c r="O2827" s="2"/>
      <c r="P2827" t="str">
        <f t="shared" si="328"/>
        <v>155646198</v>
      </c>
    </row>
    <row r="2828" spans="1:16" x14ac:dyDescent="0.3">
      <c r="A2828">
        <v>1557</v>
      </c>
      <c r="B2828">
        <v>42</v>
      </c>
      <c r="C2828" t="s">
        <v>26</v>
      </c>
      <c r="D2828" t="s">
        <v>16</v>
      </c>
      <c r="E2828" t="s">
        <v>17</v>
      </c>
      <c r="F2828" t="s">
        <v>21</v>
      </c>
      <c r="G2828" t="s">
        <v>41</v>
      </c>
      <c r="H2828" t="s">
        <v>20</v>
      </c>
      <c r="I2828" s="1">
        <v>3</v>
      </c>
      <c r="J2828" s="2">
        <v>45802</v>
      </c>
      <c r="K2828" s="2">
        <v>45778</v>
      </c>
      <c r="L2828" s="1" t="str">
        <f t="shared" si="329"/>
        <v>dom</v>
      </c>
      <c r="M2828" s="1" t="str">
        <f t="shared" si="330"/>
        <v>mai</v>
      </c>
      <c r="N2828">
        <f t="shared" si="331"/>
        <v>2025</v>
      </c>
      <c r="O2828" s="2">
        <f>_xlfn.XLOOKUP(A2828,Colaboradores!$A:$A,Colaboradores!$S:$S,"",0)</f>
        <v>46037</v>
      </c>
      <c r="P2828" t="str">
        <f t="shared" si="328"/>
        <v>155745802</v>
      </c>
    </row>
    <row r="2829" spans="1:16" x14ac:dyDescent="0.3">
      <c r="A2829">
        <v>1557</v>
      </c>
      <c r="B2829">
        <v>42</v>
      </c>
      <c r="C2829" t="s">
        <v>26</v>
      </c>
      <c r="D2829" t="s">
        <v>16</v>
      </c>
      <c r="E2829" t="s">
        <v>17</v>
      </c>
      <c r="F2829" t="s">
        <v>21</v>
      </c>
      <c r="G2829" t="s">
        <v>41</v>
      </c>
      <c r="H2829" t="s">
        <v>20</v>
      </c>
      <c r="I2829" s="1">
        <v>3</v>
      </c>
      <c r="J2829" s="2">
        <v>45837</v>
      </c>
      <c r="K2829" s="2">
        <v>45809</v>
      </c>
      <c r="L2829" s="1" t="str">
        <f t="shared" si="329"/>
        <v>dom</v>
      </c>
      <c r="M2829" s="1" t="str">
        <f t="shared" si="330"/>
        <v>jun</v>
      </c>
      <c r="N2829">
        <f t="shared" si="331"/>
        <v>2025</v>
      </c>
      <c r="O2829" s="2">
        <f>_xlfn.XLOOKUP(A2829,Colaboradores!$A:$A,Colaboradores!$S:$S,"",0)</f>
        <v>46037</v>
      </c>
      <c r="P2829" t="str">
        <f t="shared" si="328"/>
        <v>155745837</v>
      </c>
    </row>
    <row r="2830" spans="1:16" x14ac:dyDescent="0.3">
      <c r="A2830">
        <v>1557</v>
      </c>
      <c r="B2830">
        <v>42</v>
      </c>
      <c r="C2830" t="s">
        <v>26</v>
      </c>
      <c r="D2830" t="s">
        <v>16</v>
      </c>
      <c r="E2830" t="s">
        <v>17</v>
      </c>
      <c r="F2830" t="s">
        <v>21</v>
      </c>
      <c r="G2830" t="s">
        <v>44</v>
      </c>
      <c r="H2830" t="s">
        <v>20</v>
      </c>
      <c r="I2830" s="1">
        <v>3</v>
      </c>
      <c r="J2830" s="2">
        <v>45938</v>
      </c>
      <c r="K2830" s="2">
        <v>45931</v>
      </c>
      <c r="L2830" s="1" t="str">
        <f t="shared" si="329"/>
        <v>qua</v>
      </c>
      <c r="M2830" s="1" t="str">
        <f t="shared" si="330"/>
        <v>out</v>
      </c>
      <c r="N2830">
        <f t="shared" si="331"/>
        <v>2025</v>
      </c>
      <c r="O2830" s="2">
        <f>_xlfn.XLOOKUP(A2830,Colaboradores!$A:$A,Colaboradores!$S:$S,"",0)</f>
        <v>46037</v>
      </c>
      <c r="P2830" t="str">
        <f t="shared" si="328"/>
        <v>155745938</v>
      </c>
    </row>
    <row r="2831" spans="1:16" x14ac:dyDescent="0.3">
      <c r="A2831">
        <v>1557</v>
      </c>
      <c r="B2831">
        <v>42</v>
      </c>
      <c r="C2831" t="s">
        <v>26</v>
      </c>
      <c r="D2831" t="s">
        <v>16</v>
      </c>
      <c r="E2831" t="s">
        <v>17</v>
      </c>
      <c r="F2831" t="s">
        <v>21</v>
      </c>
      <c r="G2831" t="s">
        <v>41</v>
      </c>
      <c r="H2831" t="s">
        <v>20</v>
      </c>
      <c r="I2831" s="1">
        <v>3</v>
      </c>
      <c r="J2831" s="2">
        <v>46178</v>
      </c>
      <c r="K2831" s="2">
        <v>46023</v>
      </c>
      <c r="L2831" s="1" t="str">
        <f t="shared" si="329"/>
        <v>sex</v>
      </c>
      <c r="M2831" s="1" t="str">
        <f t="shared" si="330"/>
        <v>jun</v>
      </c>
      <c r="N2831">
        <f t="shared" si="331"/>
        <v>2026</v>
      </c>
      <c r="O2831" s="2">
        <f>_xlfn.XLOOKUP(A2831,Colaboradores!$A:$A,Colaboradores!$S:$S,"",0)</f>
        <v>46037</v>
      </c>
      <c r="P2831" t="str">
        <f t="shared" si="328"/>
        <v>155746178</v>
      </c>
    </row>
    <row r="2832" spans="1:16" x14ac:dyDescent="0.3">
      <c r="A2832">
        <v>1557</v>
      </c>
      <c r="B2832">
        <v>42</v>
      </c>
      <c r="C2832" t="s">
        <v>26</v>
      </c>
      <c r="D2832" t="s">
        <v>16</v>
      </c>
      <c r="E2832" t="s">
        <v>17</v>
      </c>
      <c r="F2832" t="s">
        <v>21</v>
      </c>
      <c r="G2832" t="s">
        <v>41</v>
      </c>
      <c r="H2832" t="s">
        <v>20</v>
      </c>
      <c r="I2832" s="1">
        <v>3</v>
      </c>
      <c r="J2832" s="2">
        <v>46179</v>
      </c>
      <c r="K2832" s="2">
        <v>46023</v>
      </c>
      <c r="L2832" s="1" t="str">
        <f t="shared" si="329"/>
        <v>sáb</v>
      </c>
      <c r="M2832" s="1" t="str">
        <f t="shared" si="330"/>
        <v>jun</v>
      </c>
      <c r="N2832">
        <f t="shared" si="331"/>
        <v>2026</v>
      </c>
      <c r="O2832" s="2">
        <f>_xlfn.XLOOKUP(A2832,Colaboradores!$A:$A,Colaboradores!$S:$S,"",0)</f>
        <v>46037</v>
      </c>
      <c r="P2832" t="str">
        <f t="shared" si="328"/>
        <v>155746179</v>
      </c>
    </row>
    <row r="2833" spans="1:16" x14ac:dyDescent="0.3">
      <c r="A2833">
        <v>1557</v>
      </c>
      <c r="B2833">
        <v>42</v>
      </c>
      <c r="C2833" t="s">
        <v>26</v>
      </c>
      <c r="D2833" t="s">
        <v>16</v>
      </c>
      <c r="E2833" t="s">
        <v>17</v>
      </c>
      <c r="F2833" t="s">
        <v>21</v>
      </c>
      <c r="G2833" t="s">
        <v>41</v>
      </c>
      <c r="H2833" t="s">
        <v>20</v>
      </c>
      <c r="I2833" s="1">
        <v>3</v>
      </c>
      <c r="J2833" s="2">
        <v>46183</v>
      </c>
      <c r="K2833" s="2">
        <v>46023</v>
      </c>
      <c r="L2833" s="1" t="str">
        <f t="shared" si="329"/>
        <v>qua</v>
      </c>
      <c r="M2833" s="1" t="str">
        <f t="shared" si="330"/>
        <v>jun</v>
      </c>
      <c r="N2833">
        <f t="shared" si="331"/>
        <v>2026</v>
      </c>
      <c r="O2833" s="2">
        <f>_xlfn.XLOOKUP(A2833,Colaboradores!$A:$A,Colaboradores!$S:$S,"",0)</f>
        <v>46037</v>
      </c>
      <c r="P2833" t="str">
        <f t="shared" si="328"/>
        <v>155746183</v>
      </c>
    </row>
    <row r="2834" spans="1:16" x14ac:dyDescent="0.3">
      <c r="A2834">
        <v>1558</v>
      </c>
      <c r="B2834">
        <v>32</v>
      </c>
      <c r="C2834" t="s">
        <v>26</v>
      </c>
      <c r="D2834" t="s">
        <v>27</v>
      </c>
      <c r="E2834" t="s">
        <v>17</v>
      </c>
      <c r="F2834" t="s">
        <v>18</v>
      </c>
      <c r="G2834" t="s">
        <v>41</v>
      </c>
      <c r="H2834" t="s">
        <v>25</v>
      </c>
      <c r="I2834" s="1">
        <v>2</v>
      </c>
      <c r="J2834" s="2">
        <v>45913</v>
      </c>
      <c r="K2834" s="2">
        <v>45901</v>
      </c>
      <c r="L2834" s="1" t="str">
        <f t="shared" si="329"/>
        <v>sáb</v>
      </c>
      <c r="M2834" s="1" t="str">
        <f t="shared" si="330"/>
        <v>set</v>
      </c>
      <c r="N2834">
        <f t="shared" si="331"/>
        <v>2025</v>
      </c>
      <c r="O2834" s="2"/>
      <c r="P2834" t="str">
        <f t="shared" si="328"/>
        <v>155845913</v>
      </c>
    </row>
    <row r="2835" spans="1:16" x14ac:dyDescent="0.3">
      <c r="A2835">
        <v>1558</v>
      </c>
      <c r="B2835">
        <v>32</v>
      </c>
      <c r="C2835" t="s">
        <v>26</v>
      </c>
      <c r="D2835" t="s">
        <v>27</v>
      </c>
      <c r="E2835" t="s">
        <v>17</v>
      </c>
      <c r="F2835" t="s">
        <v>18</v>
      </c>
      <c r="G2835" t="s">
        <v>42</v>
      </c>
      <c r="H2835" t="s">
        <v>25</v>
      </c>
      <c r="I2835" s="1">
        <v>2</v>
      </c>
      <c r="J2835" s="2">
        <v>46193</v>
      </c>
      <c r="K2835" s="2">
        <v>46023</v>
      </c>
      <c r="L2835" s="1" t="str">
        <f t="shared" si="329"/>
        <v>sáb</v>
      </c>
      <c r="M2835" s="1" t="str">
        <f t="shared" si="330"/>
        <v>jun</v>
      </c>
      <c r="N2835">
        <f t="shared" si="331"/>
        <v>2026</v>
      </c>
      <c r="O2835" s="2"/>
      <c r="P2835" t="str">
        <f t="shared" si="328"/>
        <v>155846193</v>
      </c>
    </row>
    <row r="2836" spans="1:16" x14ac:dyDescent="0.3">
      <c r="A2836">
        <v>1558</v>
      </c>
      <c r="B2836">
        <v>32</v>
      </c>
      <c r="C2836" t="s">
        <v>26</v>
      </c>
      <c r="D2836" t="s">
        <v>27</v>
      </c>
      <c r="E2836" t="s">
        <v>17</v>
      </c>
      <c r="F2836" t="s">
        <v>18</v>
      </c>
      <c r="G2836" t="s">
        <v>42</v>
      </c>
      <c r="H2836" t="s">
        <v>25</v>
      </c>
      <c r="I2836" s="1">
        <v>2</v>
      </c>
      <c r="J2836" s="2">
        <v>46085</v>
      </c>
      <c r="K2836" s="2">
        <v>46082</v>
      </c>
      <c r="L2836" s="1" t="str">
        <f t="shared" si="329"/>
        <v>qua</v>
      </c>
      <c r="M2836" s="1" t="str">
        <f t="shared" si="330"/>
        <v>mar</v>
      </c>
      <c r="N2836">
        <f t="shared" si="331"/>
        <v>2026</v>
      </c>
      <c r="O2836" s="2"/>
      <c r="P2836" t="str">
        <f t="shared" si="328"/>
        <v>155846085</v>
      </c>
    </row>
    <row r="2837" spans="1:16" x14ac:dyDescent="0.3">
      <c r="A2837">
        <v>1558</v>
      </c>
      <c r="B2837">
        <v>32</v>
      </c>
      <c r="C2837" t="s">
        <v>26</v>
      </c>
      <c r="D2837" t="s">
        <v>27</v>
      </c>
      <c r="E2837" t="s">
        <v>17</v>
      </c>
      <c r="F2837" t="s">
        <v>18</v>
      </c>
      <c r="G2837" t="s">
        <v>42</v>
      </c>
      <c r="H2837" t="s">
        <v>25</v>
      </c>
      <c r="I2837" s="1">
        <v>2</v>
      </c>
      <c r="J2837" s="2">
        <v>46106</v>
      </c>
      <c r="K2837" s="2">
        <v>46082</v>
      </c>
      <c r="L2837" s="1" t="str">
        <f t="shared" si="329"/>
        <v>qua</v>
      </c>
      <c r="M2837" s="1" t="str">
        <f t="shared" si="330"/>
        <v>mar</v>
      </c>
      <c r="N2837">
        <f t="shared" si="331"/>
        <v>2026</v>
      </c>
      <c r="O2837" s="2"/>
      <c r="P2837" t="str">
        <f t="shared" si="328"/>
        <v>155846106</v>
      </c>
    </row>
    <row r="2838" spans="1:16" x14ac:dyDescent="0.3">
      <c r="A2838">
        <v>1561</v>
      </c>
      <c r="B2838">
        <v>47</v>
      </c>
      <c r="C2838" t="s">
        <v>26</v>
      </c>
      <c r="D2838" t="s">
        <v>22</v>
      </c>
      <c r="E2838" t="s">
        <v>17</v>
      </c>
      <c r="F2838" t="s">
        <v>23</v>
      </c>
      <c r="G2838" t="s">
        <v>41</v>
      </c>
      <c r="H2838" t="s">
        <v>25</v>
      </c>
      <c r="I2838" s="1">
        <v>2</v>
      </c>
      <c r="J2838" s="2">
        <v>45836</v>
      </c>
      <c r="K2838" s="2">
        <v>45809</v>
      </c>
      <c r="L2838" s="1" t="str">
        <f t="shared" si="329"/>
        <v>sáb</v>
      </c>
      <c r="M2838" s="1" t="str">
        <f t="shared" si="330"/>
        <v>jun</v>
      </c>
      <c r="N2838">
        <f t="shared" si="331"/>
        <v>2025</v>
      </c>
      <c r="O2838" s="2"/>
      <c r="P2838" t="str">
        <f t="shared" si="328"/>
        <v>156145836</v>
      </c>
    </row>
    <row r="2839" spans="1:16" x14ac:dyDescent="0.3">
      <c r="A2839">
        <v>1561</v>
      </c>
      <c r="B2839">
        <v>47</v>
      </c>
      <c r="C2839" t="s">
        <v>26</v>
      </c>
      <c r="D2839" t="s">
        <v>22</v>
      </c>
      <c r="E2839" t="s">
        <v>17</v>
      </c>
      <c r="F2839" t="s">
        <v>23</v>
      </c>
      <c r="G2839" t="s">
        <v>41</v>
      </c>
      <c r="H2839" t="s">
        <v>25</v>
      </c>
      <c r="I2839" s="1">
        <v>2</v>
      </c>
      <c r="J2839" s="2">
        <v>45875</v>
      </c>
      <c r="K2839" s="2">
        <v>45870</v>
      </c>
      <c r="L2839" s="1" t="str">
        <f t="shared" si="329"/>
        <v>qua</v>
      </c>
      <c r="M2839" s="1" t="str">
        <f t="shared" si="330"/>
        <v>ago</v>
      </c>
      <c r="N2839">
        <f t="shared" si="331"/>
        <v>2025</v>
      </c>
      <c r="O2839" s="2"/>
      <c r="P2839" t="str">
        <f t="shared" si="328"/>
        <v>156145875</v>
      </c>
    </row>
    <row r="2840" spans="1:16" x14ac:dyDescent="0.3">
      <c r="A2840">
        <v>1561</v>
      </c>
      <c r="B2840">
        <v>47</v>
      </c>
      <c r="C2840" t="s">
        <v>26</v>
      </c>
      <c r="D2840" t="s">
        <v>22</v>
      </c>
      <c r="E2840" t="s">
        <v>17</v>
      </c>
      <c r="F2840" t="s">
        <v>23</v>
      </c>
      <c r="G2840" t="s">
        <v>41</v>
      </c>
      <c r="H2840" t="s">
        <v>25</v>
      </c>
      <c r="I2840" s="1">
        <v>2</v>
      </c>
      <c r="J2840" s="2">
        <v>45942</v>
      </c>
      <c r="K2840" s="2">
        <v>45931</v>
      </c>
      <c r="L2840" s="1" t="str">
        <f t="shared" si="329"/>
        <v>dom</v>
      </c>
      <c r="M2840" s="1" t="str">
        <f t="shared" si="330"/>
        <v>out</v>
      </c>
      <c r="N2840">
        <f t="shared" si="331"/>
        <v>2025</v>
      </c>
      <c r="O2840" s="2"/>
      <c r="P2840" t="str">
        <f t="shared" si="328"/>
        <v>156145942</v>
      </c>
    </row>
    <row r="2841" spans="1:16" x14ac:dyDescent="0.3">
      <c r="A2841">
        <v>1561</v>
      </c>
      <c r="B2841">
        <v>47</v>
      </c>
      <c r="C2841" t="s">
        <v>26</v>
      </c>
      <c r="D2841" t="s">
        <v>22</v>
      </c>
      <c r="E2841" t="s">
        <v>17</v>
      </c>
      <c r="F2841" t="s">
        <v>23</v>
      </c>
      <c r="G2841" t="s">
        <v>41</v>
      </c>
      <c r="H2841" t="s">
        <v>25</v>
      </c>
      <c r="I2841" s="1">
        <v>2</v>
      </c>
      <c r="J2841" s="2">
        <v>46008</v>
      </c>
      <c r="K2841" s="2">
        <v>45992</v>
      </c>
      <c r="L2841" s="1" t="str">
        <f t="shared" si="329"/>
        <v>qua</v>
      </c>
      <c r="M2841" s="1" t="str">
        <f t="shared" si="330"/>
        <v>dez</v>
      </c>
      <c r="N2841">
        <f t="shared" si="331"/>
        <v>2025</v>
      </c>
      <c r="O2841" s="2"/>
      <c r="P2841" t="str">
        <f t="shared" si="328"/>
        <v>156146008</v>
      </c>
    </row>
    <row r="2842" spans="1:16" x14ac:dyDescent="0.3">
      <c r="A2842">
        <v>1561</v>
      </c>
      <c r="B2842">
        <v>47</v>
      </c>
      <c r="C2842" t="s">
        <v>26</v>
      </c>
      <c r="D2842" t="s">
        <v>22</v>
      </c>
      <c r="E2842" t="s">
        <v>17</v>
      </c>
      <c r="F2842" t="s">
        <v>23</v>
      </c>
      <c r="G2842" t="s">
        <v>41</v>
      </c>
      <c r="H2842" t="s">
        <v>25</v>
      </c>
      <c r="I2842" s="1">
        <v>2</v>
      </c>
      <c r="J2842" s="2">
        <v>46021</v>
      </c>
      <c r="K2842" s="2">
        <v>45992</v>
      </c>
      <c r="L2842" s="1" t="str">
        <f t="shared" si="329"/>
        <v>ter</v>
      </c>
      <c r="M2842" s="1" t="str">
        <f t="shared" si="330"/>
        <v>dez</v>
      </c>
      <c r="N2842">
        <f t="shared" si="331"/>
        <v>2025</v>
      </c>
      <c r="O2842" s="2"/>
      <c r="P2842" t="str">
        <f t="shared" si="328"/>
        <v>156146021</v>
      </c>
    </row>
    <row r="2843" spans="1:16" x14ac:dyDescent="0.3">
      <c r="A2843">
        <v>1561</v>
      </c>
      <c r="B2843">
        <v>47</v>
      </c>
      <c r="C2843" t="s">
        <v>26</v>
      </c>
      <c r="D2843" t="s">
        <v>22</v>
      </c>
      <c r="E2843" t="s">
        <v>17</v>
      </c>
      <c r="F2843" t="s">
        <v>23</v>
      </c>
      <c r="G2843" t="s">
        <v>41</v>
      </c>
      <c r="H2843" t="s">
        <v>25</v>
      </c>
      <c r="I2843" s="1">
        <v>2</v>
      </c>
      <c r="J2843" s="2">
        <v>46091</v>
      </c>
      <c r="K2843" s="2">
        <v>46082</v>
      </c>
      <c r="L2843" s="1" t="str">
        <f t="shared" si="329"/>
        <v>ter</v>
      </c>
      <c r="M2843" s="1" t="str">
        <f t="shared" si="330"/>
        <v>mar</v>
      </c>
      <c r="N2843">
        <f t="shared" si="331"/>
        <v>2026</v>
      </c>
      <c r="O2843" s="2"/>
      <c r="P2843" t="str">
        <f t="shared" si="328"/>
        <v>156146091</v>
      </c>
    </row>
    <row r="2844" spans="1:16" x14ac:dyDescent="0.3">
      <c r="A2844">
        <v>1562</v>
      </c>
      <c r="B2844">
        <v>40</v>
      </c>
      <c r="C2844" t="s">
        <v>26</v>
      </c>
      <c r="D2844" t="s">
        <v>29</v>
      </c>
      <c r="E2844" t="s">
        <v>17</v>
      </c>
      <c r="F2844" t="s">
        <v>21</v>
      </c>
      <c r="G2844" t="s">
        <v>41</v>
      </c>
      <c r="H2844" t="s">
        <v>20</v>
      </c>
      <c r="I2844" s="1">
        <v>2</v>
      </c>
      <c r="J2844" s="2">
        <v>45948</v>
      </c>
      <c r="K2844" s="2">
        <v>45931</v>
      </c>
      <c r="L2844" s="1" t="str">
        <f t="shared" si="329"/>
        <v>sáb</v>
      </c>
      <c r="M2844" s="1" t="str">
        <f t="shared" si="330"/>
        <v>out</v>
      </c>
      <c r="N2844">
        <f t="shared" si="331"/>
        <v>2025</v>
      </c>
      <c r="O2844" s="2">
        <f>_xlfn.XLOOKUP(A2844,Colaboradores!$A:$A,Colaboradores!$S:$S,"",0)</f>
        <v>46174</v>
      </c>
      <c r="P2844" t="str">
        <f t="shared" si="328"/>
        <v>156245948</v>
      </c>
    </row>
    <row r="2845" spans="1:16" x14ac:dyDescent="0.3">
      <c r="A2845">
        <v>1562</v>
      </c>
      <c r="B2845">
        <v>40</v>
      </c>
      <c r="C2845" t="s">
        <v>26</v>
      </c>
      <c r="D2845" t="s">
        <v>29</v>
      </c>
      <c r="E2845" t="s">
        <v>17</v>
      </c>
      <c r="F2845" t="s">
        <v>21</v>
      </c>
      <c r="G2845" t="s">
        <v>41</v>
      </c>
      <c r="H2845" t="s">
        <v>20</v>
      </c>
      <c r="I2845" s="1">
        <v>2</v>
      </c>
      <c r="J2845" s="2">
        <v>45961</v>
      </c>
      <c r="K2845" s="2">
        <v>45931</v>
      </c>
      <c r="L2845" s="1" t="str">
        <f t="shared" si="329"/>
        <v>sex</v>
      </c>
      <c r="M2845" s="1" t="str">
        <f t="shared" si="330"/>
        <v>out</v>
      </c>
      <c r="N2845">
        <f t="shared" si="331"/>
        <v>2025</v>
      </c>
      <c r="O2845" s="2">
        <f>_xlfn.XLOOKUP(A2845,Colaboradores!$A:$A,Colaboradores!$S:$S,"",0)</f>
        <v>46174</v>
      </c>
      <c r="P2845" t="str">
        <f t="shared" si="328"/>
        <v>156245961</v>
      </c>
    </row>
    <row r="2846" spans="1:16" x14ac:dyDescent="0.3">
      <c r="A2846">
        <v>1562</v>
      </c>
      <c r="B2846">
        <v>40</v>
      </c>
      <c r="C2846" t="s">
        <v>26</v>
      </c>
      <c r="D2846" t="s">
        <v>29</v>
      </c>
      <c r="E2846" t="s">
        <v>17</v>
      </c>
      <c r="F2846" t="s">
        <v>21</v>
      </c>
      <c r="G2846" t="s">
        <v>41</v>
      </c>
      <c r="H2846" t="s">
        <v>20</v>
      </c>
      <c r="I2846" s="1">
        <v>2</v>
      </c>
      <c r="J2846" s="2">
        <v>45968</v>
      </c>
      <c r="K2846" s="2">
        <v>45962</v>
      </c>
      <c r="L2846" s="1" t="str">
        <f t="shared" si="329"/>
        <v>sex</v>
      </c>
      <c r="M2846" s="1" t="str">
        <f t="shared" si="330"/>
        <v>nov</v>
      </c>
      <c r="N2846">
        <f t="shared" si="331"/>
        <v>2025</v>
      </c>
      <c r="O2846" s="2">
        <f>_xlfn.XLOOKUP(A2846,Colaboradores!$A:$A,Colaboradores!$S:$S,"",0)</f>
        <v>46174</v>
      </c>
      <c r="P2846" t="str">
        <f t="shared" si="328"/>
        <v>156245968</v>
      </c>
    </row>
    <row r="2847" spans="1:16" x14ac:dyDescent="0.3">
      <c r="A2847">
        <v>1562</v>
      </c>
      <c r="B2847">
        <v>40</v>
      </c>
      <c r="C2847" t="s">
        <v>26</v>
      </c>
      <c r="D2847" t="s">
        <v>29</v>
      </c>
      <c r="E2847" t="s">
        <v>17</v>
      </c>
      <c r="F2847" t="s">
        <v>21</v>
      </c>
      <c r="G2847" t="s">
        <v>41</v>
      </c>
      <c r="H2847" t="s">
        <v>20</v>
      </c>
      <c r="I2847" s="1">
        <v>2</v>
      </c>
      <c r="J2847" s="2">
        <v>45970</v>
      </c>
      <c r="K2847" s="2">
        <v>45962</v>
      </c>
      <c r="L2847" s="1" t="str">
        <f t="shared" si="329"/>
        <v>dom</v>
      </c>
      <c r="M2847" s="1" t="str">
        <f t="shared" si="330"/>
        <v>nov</v>
      </c>
      <c r="N2847">
        <f t="shared" si="331"/>
        <v>2025</v>
      </c>
      <c r="O2847" s="2">
        <f>_xlfn.XLOOKUP(A2847,Colaboradores!$A:$A,Colaboradores!$S:$S,"",0)</f>
        <v>46174</v>
      </c>
      <c r="P2847" t="str">
        <f t="shared" si="328"/>
        <v>156245970</v>
      </c>
    </row>
    <row r="2848" spans="1:16" x14ac:dyDescent="0.3">
      <c r="A2848">
        <v>1562</v>
      </c>
      <c r="B2848">
        <v>40</v>
      </c>
      <c r="C2848" t="s">
        <v>26</v>
      </c>
      <c r="D2848" t="s">
        <v>29</v>
      </c>
      <c r="E2848" t="s">
        <v>17</v>
      </c>
      <c r="F2848" t="s">
        <v>21</v>
      </c>
      <c r="G2848" t="s">
        <v>41</v>
      </c>
      <c r="H2848" t="s">
        <v>20</v>
      </c>
      <c r="I2848" s="1">
        <v>2</v>
      </c>
      <c r="J2848" s="2">
        <v>46012</v>
      </c>
      <c r="K2848" s="2">
        <v>45992</v>
      </c>
      <c r="L2848" s="1" t="str">
        <f t="shared" si="329"/>
        <v>dom</v>
      </c>
      <c r="M2848" s="1" t="str">
        <f t="shared" si="330"/>
        <v>dez</v>
      </c>
      <c r="N2848">
        <f t="shared" si="331"/>
        <v>2025</v>
      </c>
      <c r="O2848" s="2">
        <f>_xlfn.XLOOKUP(A2848,Colaboradores!$A:$A,Colaboradores!$S:$S,"",0)</f>
        <v>46174</v>
      </c>
      <c r="P2848" t="str">
        <f t="shared" si="328"/>
        <v>156246012</v>
      </c>
    </row>
    <row r="2849" spans="1:16" x14ac:dyDescent="0.3">
      <c r="A2849">
        <v>1562</v>
      </c>
      <c r="B2849">
        <v>40</v>
      </c>
      <c r="C2849" t="s">
        <v>26</v>
      </c>
      <c r="D2849" t="s">
        <v>29</v>
      </c>
      <c r="E2849" t="s">
        <v>17</v>
      </c>
      <c r="F2849" t="s">
        <v>21</v>
      </c>
      <c r="G2849" t="s">
        <v>41</v>
      </c>
      <c r="H2849" t="s">
        <v>20</v>
      </c>
      <c r="I2849" s="1">
        <v>2</v>
      </c>
      <c r="J2849" s="2">
        <v>46183</v>
      </c>
      <c r="K2849" s="2">
        <v>46023</v>
      </c>
      <c r="L2849" s="1" t="str">
        <f t="shared" si="329"/>
        <v>qua</v>
      </c>
      <c r="M2849" s="1" t="str">
        <f t="shared" si="330"/>
        <v>jun</v>
      </c>
      <c r="N2849">
        <f t="shared" si="331"/>
        <v>2026</v>
      </c>
      <c r="O2849" s="2">
        <f>_xlfn.XLOOKUP(A2849,Colaboradores!$A:$A,Colaboradores!$S:$S,"",0)</f>
        <v>46174</v>
      </c>
      <c r="P2849" t="str">
        <f t="shared" si="328"/>
        <v>156246183</v>
      </c>
    </row>
    <row r="2850" spans="1:16" x14ac:dyDescent="0.3">
      <c r="A2850">
        <v>1563</v>
      </c>
      <c r="B2850">
        <v>24</v>
      </c>
      <c r="C2850" t="s">
        <v>15</v>
      </c>
      <c r="D2850" t="s">
        <v>16</v>
      </c>
      <c r="E2850" t="s">
        <v>17</v>
      </c>
      <c r="F2850" t="s">
        <v>23</v>
      </c>
      <c r="G2850" t="s">
        <v>40</v>
      </c>
      <c r="H2850" t="s">
        <v>25</v>
      </c>
      <c r="I2850" s="1">
        <v>2</v>
      </c>
      <c r="J2850" s="2">
        <v>45968</v>
      </c>
      <c r="K2850" s="2">
        <v>45962</v>
      </c>
      <c r="L2850" s="1" t="str">
        <f t="shared" si="329"/>
        <v>sex</v>
      </c>
      <c r="M2850" s="1" t="str">
        <f t="shared" si="330"/>
        <v>nov</v>
      </c>
      <c r="N2850">
        <f t="shared" si="331"/>
        <v>2025</v>
      </c>
      <c r="O2850" s="2"/>
      <c r="P2850" t="str">
        <f t="shared" si="328"/>
        <v>156345968</v>
      </c>
    </row>
    <row r="2851" spans="1:16" x14ac:dyDescent="0.3">
      <c r="A2851">
        <v>1563</v>
      </c>
      <c r="B2851">
        <v>24</v>
      </c>
      <c r="C2851" t="s">
        <v>15</v>
      </c>
      <c r="D2851" t="s">
        <v>16</v>
      </c>
      <c r="E2851" t="s">
        <v>17</v>
      </c>
      <c r="F2851" t="s">
        <v>23</v>
      </c>
      <c r="G2851" t="s">
        <v>40</v>
      </c>
      <c r="H2851" t="s">
        <v>25</v>
      </c>
      <c r="I2851" s="1">
        <v>2</v>
      </c>
      <c r="J2851" s="2">
        <v>45993</v>
      </c>
      <c r="K2851" s="2">
        <v>45992</v>
      </c>
      <c r="L2851" s="1" t="str">
        <f t="shared" si="329"/>
        <v>ter</v>
      </c>
      <c r="M2851" s="1" t="str">
        <f t="shared" si="330"/>
        <v>dez</v>
      </c>
      <c r="N2851">
        <f t="shared" si="331"/>
        <v>2025</v>
      </c>
      <c r="O2851" s="2"/>
      <c r="P2851" t="str">
        <f t="shared" si="328"/>
        <v>156345993</v>
      </c>
    </row>
    <row r="2852" spans="1:16" x14ac:dyDescent="0.3">
      <c r="A2852">
        <v>1563</v>
      </c>
      <c r="B2852">
        <v>24</v>
      </c>
      <c r="C2852" t="s">
        <v>15</v>
      </c>
      <c r="D2852" t="s">
        <v>16</v>
      </c>
      <c r="E2852" t="s">
        <v>17</v>
      </c>
      <c r="F2852" t="s">
        <v>23</v>
      </c>
      <c r="G2852" t="s">
        <v>40</v>
      </c>
      <c r="H2852" t="s">
        <v>25</v>
      </c>
      <c r="I2852" s="1">
        <v>2</v>
      </c>
      <c r="J2852" s="2">
        <v>46013</v>
      </c>
      <c r="K2852" s="2">
        <v>45992</v>
      </c>
      <c r="L2852" s="1" t="str">
        <f t="shared" si="329"/>
        <v>seg</v>
      </c>
      <c r="M2852" s="1" t="str">
        <f t="shared" si="330"/>
        <v>dez</v>
      </c>
      <c r="N2852">
        <f t="shared" si="331"/>
        <v>2025</v>
      </c>
      <c r="O2852" s="2"/>
      <c r="P2852" t="str">
        <f t="shared" si="328"/>
        <v>156346013</v>
      </c>
    </row>
    <row r="2853" spans="1:16" x14ac:dyDescent="0.3">
      <c r="A2853">
        <v>1563</v>
      </c>
      <c r="B2853">
        <v>24</v>
      </c>
      <c r="C2853" t="s">
        <v>15</v>
      </c>
      <c r="D2853" t="s">
        <v>16</v>
      </c>
      <c r="E2853" t="s">
        <v>17</v>
      </c>
      <c r="F2853" t="s">
        <v>23</v>
      </c>
      <c r="G2853" t="s">
        <v>40</v>
      </c>
      <c r="H2853" t="s">
        <v>25</v>
      </c>
      <c r="I2853" s="1">
        <v>2</v>
      </c>
      <c r="J2853" s="2">
        <v>46203</v>
      </c>
      <c r="K2853" s="2">
        <v>46023</v>
      </c>
      <c r="L2853" s="1" t="str">
        <f t="shared" si="329"/>
        <v>ter</v>
      </c>
      <c r="M2853" s="1" t="str">
        <f t="shared" si="330"/>
        <v>jun</v>
      </c>
      <c r="N2853">
        <f t="shared" si="331"/>
        <v>2026</v>
      </c>
      <c r="O2853" s="2"/>
      <c r="P2853" t="str">
        <f t="shared" si="328"/>
        <v>156346203</v>
      </c>
    </row>
    <row r="2854" spans="1:16" x14ac:dyDescent="0.3">
      <c r="A2854">
        <v>1563</v>
      </c>
      <c r="B2854">
        <v>24</v>
      </c>
      <c r="C2854" t="s">
        <v>15</v>
      </c>
      <c r="D2854" t="s">
        <v>16</v>
      </c>
      <c r="E2854" t="s">
        <v>17</v>
      </c>
      <c r="F2854" t="s">
        <v>23</v>
      </c>
      <c r="G2854" t="s">
        <v>40</v>
      </c>
      <c r="H2854" t="s">
        <v>25</v>
      </c>
      <c r="I2854" s="1">
        <v>2</v>
      </c>
      <c r="J2854" s="2">
        <v>46057</v>
      </c>
      <c r="K2854" s="2">
        <v>46054</v>
      </c>
      <c r="L2854" s="1" t="str">
        <f t="shared" si="329"/>
        <v>qua</v>
      </c>
      <c r="M2854" s="1" t="str">
        <f t="shared" si="330"/>
        <v>fev</v>
      </c>
      <c r="N2854">
        <f t="shared" si="331"/>
        <v>2026</v>
      </c>
      <c r="O2854" s="2"/>
      <c r="P2854" t="str">
        <f t="shared" si="328"/>
        <v>156346057</v>
      </c>
    </row>
    <row r="2855" spans="1:16" x14ac:dyDescent="0.3">
      <c r="A2855">
        <v>1563</v>
      </c>
      <c r="B2855">
        <v>24</v>
      </c>
      <c r="C2855" t="s">
        <v>15</v>
      </c>
      <c r="D2855" t="s">
        <v>16</v>
      </c>
      <c r="E2855" t="s">
        <v>17</v>
      </c>
      <c r="F2855" t="s">
        <v>23</v>
      </c>
      <c r="G2855" t="s">
        <v>40</v>
      </c>
      <c r="H2855" t="s">
        <v>25</v>
      </c>
      <c r="I2855" s="1">
        <v>2</v>
      </c>
      <c r="J2855" s="2">
        <v>46098</v>
      </c>
      <c r="K2855" s="2">
        <v>46082</v>
      </c>
      <c r="L2855" s="1" t="str">
        <f t="shared" si="329"/>
        <v>ter</v>
      </c>
      <c r="M2855" s="1" t="str">
        <f t="shared" si="330"/>
        <v>mar</v>
      </c>
      <c r="N2855">
        <f t="shared" si="331"/>
        <v>2026</v>
      </c>
      <c r="O2855" s="2"/>
      <c r="P2855" t="str">
        <f t="shared" si="328"/>
        <v>156346098</v>
      </c>
    </row>
    <row r="2856" spans="1:16" x14ac:dyDescent="0.3">
      <c r="A2856">
        <v>1564</v>
      </c>
      <c r="B2856">
        <v>34</v>
      </c>
      <c r="C2856" t="s">
        <v>15</v>
      </c>
      <c r="D2856" t="s">
        <v>16</v>
      </c>
      <c r="E2856" t="s">
        <v>17</v>
      </c>
      <c r="F2856" t="s">
        <v>23</v>
      </c>
      <c r="G2856" t="s">
        <v>42</v>
      </c>
      <c r="H2856" t="s">
        <v>25</v>
      </c>
      <c r="I2856" s="1">
        <v>1</v>
      </c>
      <c r="J2856" s="2">
        <v>45780</v>
      </c>
      <c r="K2856" s="2">
        <v>45778</v>
      </c>
      <c r="L2856" s="1" t="str">
        <f t="shared" si="329"/>
        <v>sáb</v>
      </c>
      <c r="M2856" s="1" t="str">
        <f t="shared" si="330"/>
        <v>mai</v>
      </c>
      <c r="N2856">
        <f t="shared" si="331"/>
        <v>2025</v>
      </c>
      <c r="O2856" s="2"/>
      <c r="P2856" t="str">
        <f t="shared" si="328"/>
        <v>156445780</v>
      </c>
    </row>
    <row r="2857" spans="1:16" x14ac:dyDescent="0.3">
      <c r="A2857">
        <v>1564</v>
      </c>
      <c r="B2857">
        <v>34</v>
      </c>
      <c r="C2857" t="s">
        <v>15</v>
      </c>
      <c r="D2857" t="s">
        <v>16</v>
      </c>
      <c r="E2857" t="s">
        <v>17</v>
      </c>
      <c r="F2857" t="s">
        <v>23</v>
      </c>
      <c r="G2857" t="s">
        <v>44</v>
      </c>
      <c r="H2857" t="s">
        <v>25</v>
      </c>
      <c r="I2857" s="1">
        <v>1</v>
      </c>
      <c r="J2857" s="2">
        <v>45836</v>
      </c>
      <c r="K2857" s="2">
        <v>45809</v>
      </c>
      <c r="L2857" s="1" t="str">
        <f t="shared" si="329"/>
        <v>sáb</v>
      </c>
      <c r="M2857" s="1" t="str">
        <f t="shared" si="330"/>
        <v>jun</v>
      </c>
      <c r="N2857">
        <f t="shared" si="331"/>
        <v>2025</v>
      </c>
      <c r="O2857" s="2"/>
      <c r="P2857" t="str">
        <f t="shared" si="328"/>
        <v>156445836</v>
      </c>
    </row>
    <row r="2858" spans="1:16" x14ac:dyDescent="0.3">
      <c r="A2858">
        <v>1564</v>
      </c>
      <c r="B2858">
        <v>34</v>
      </c>
      <c r="C2858" t="s">
        <v>15</v>
      </c>
      <c r="D2858" t="s">
        <v>16</v>
      </c>
      <c r="E2858" t="s">
        <v>17</v>
      </c>
      <c r="F2858" t="s">
        <v>23</v>
      </c>
      <c r="G2858" t="s">
        <v>40</v>
      </c>
      <c r="H2858" t="s">
        <v>25</v>
      </c>
      <c r="I2858" s="1">
        <v>1</v>
      </c>
      <c r="J2858" s="2">
        <v>45890</v>
      </c>
      <c r="K2858" s="2">
        <v>45870</v>
      </c>
      <c r="L2858" s="1" t="str">
        <f t="shared" si="329"/>
        <v>qui</v>
      </c>
      <c r="M2858" s="1" t="str">
        <f t="shared" si="330"/>
        <v>ago</v>
      </c>
      <c r="N2858">
        <f t="shared" si="331"/>
        <v>2025</v>
      </c>
      <c r="O2858" s="2"/>
      <c r="P2858" t="str">
        <f t="shared" si="328"/>
        <v>156445890</v>
      </c>
    </row>
    <row r="2859" spans="1:16" x14ac:dyDescent="0.3">
      <c r="A2859">
        <v>1564</v>
      </c>
      <c r="B2859">
        <v>34</v>
      </c>
      <c r="C2859" t="s">
        <v>15</v>
      </c>
      <c r="D2859" t="s">
        <v>16</v>
      </c>
      <c r="E2859" t="s">
        <v>17</v>
      </c>
      <c r="F2859" t="s">
        <v>23</v>
      </c>
      <c r="G2859" t="s">
        <v>40</v>
      </c>
      <c r="H2859" t="s">
        <v>25</v>
      </c>
      <c r="I2859" s="1">
        <v>1</v>
      </c>
      <c r="J2859" s="2">
        <v>45932</v>
      </c>
      <c r="K2859" s="2">
        <v>45931</v>
      </c>
      <c r="L2859" s="1" t="str">
        <f t="shared" si="329"/>
        <v>qui</v>
      </c>
      <c r="M2859" s="1" t="str">
        <f t="shared" si="330"/>
        <v>out</v>
      </c>
      <c r="N2859">
        <f t="shared" si="331"/>
        <v>2025</v>
      </c>
      <c r="O2859" s="2"/>
      <c r="P2859" t="str">
        <f t="shared" si="328"/>
        <v>156445932</v>
      </c>
    </row>
    <row r="2860" spans="1:16" x14ac:dyDescent="0.3">
      <c r="A2860">
        <v>1564</v>
      </c>
      <c r="B2860">
        <v>34</v>
      </c>
      <c r="C2860" t="s">
        <v>15</v>
      </c>
      <c r="D2860" t="s">
        <v>16</v>
      </c>
      <c r="E2860" t="s">
        <v>17</v>
      </c>
      <c r="F2860" t="s">
        <v>23</v>
      </c>
      <c r="G2860" t="s">
        <v>44</v>
      </c>
      <c r="H2860" t="s">
        <v>25</v>
      </c>
      <c r="I2860" s="1">
        <v>1</v>
      </c>
      <c r="J2860" s="2">
        <v>45963</v>
      </c>
      <c r="K2860" s="2">
        <v>45962</v>
      </c>
      <c r="L2860" s="1" t="str">
        <f t="shared" si="329"/>
        <v>dom</v>
      </c>
      <c r="M2860" s="1" t="str">
        <f t="shared" si="330"/>
        <v>nov</v>
      </c>
      <c r="N2860">
        <f t="shared" si="331"/>
        <v>2025</v>
      </c>
      <c r="O2860" s="2"/>
      <c r="P2860" t="str">
        <f t="shared" si="328"/>
        <v>156445963</v>
      </c>
    </row>
    <row r="2861" spans="1:16" x14ac:dyDescent="0.3">
      <c r="A2861">
        <v>1564</v>
      </c>
      <c r="B2861">
        <v>34</v>
      </c>
      <c r="C2861" t="s">
        <v>15</v>
      </c>
      <c r="D2861" t="s">
        <v>16</v>
      </c>
      <c r="E2861" t="s">
        <v>17</v>
      </c>
      <c r="F2861" t="s">
        <v>23</v>
      </c>
      <c r="G2861" t="s">
        <v>42</v>
      </c>
      <c r="H2861" t="s">
        <v>25</v>
      </c>
      <c r="I2861" s="1">
        <v>1</v>
      </c>
      <c r="J2861" s="2">
        <v>46062</v>
      </c>
      <c r="K2861" s="2">
        <v>46054</v>
      </c>
      <c r="L2861" s="1" t="str">
        <f t="shared" si="329"/>
        <v>seg</v>
      </c>
      <c r="M2861" s="1" t="str">
        <f t="shared" si="330"/>
        <v>fev</v>
      </c>
      <c r="N2861">
        <f t="shared" si="331"/>
        <v>2026</v>
      </c>
      <c r="O2861" s="2"/>
      <c r="P2861" t="str">
        <f t="shared" si="328"/>
        <v>156446062</v>
      </c>
    </row>
    <row r="2862" spans="1:16" x14ac:dyDescent="0.3">
      <c r="A2862">
        <v>1564</v>
      </c>
      <c r="B2862">
        <v>34</v>
      </c>
      <c r="C2862" t="s">
        <v>15</v>
      </c>
      <c r="D2862" t="s">
        <v>16</v>
      </c>
      <c r="E2862" t="s">
        <v>17</v>
      </c>
      <c r="F2862" t="s">
        <v>23</v>
      </c>
      <c r="G2862" t="s">
        <v>42</v>
      </c>
      <c r="H2862" t="s">
        <v>25</v>
      </c>
      <c r="I2862" s="1">
        <v>1</v>
      </c>
      <c r="J2862" s="2">
        <v>46145</v>
      </c>
      <c r="K2862" s="2">
        <v>46143</v>
      </c>
      <c r="L2862" s="1" t="s">
        <v>54</v>
      </c>
      <c r="M2862" s="1" t="s">
        <v>49</v>
      </c>
      <c r="N2862">
        <v>2025</v>
      </c>
      <c r="O2862" s="2"/>
      <c r="P2862" t="str">
        <f t="shared" si="328"/>
        <v>156446145</v>
      </c>
    </row>
    <row r="2863" spans="1:16" x14ac:dyDescent="0.3">
      <c r="A2863">
        <v>1565</v>
      </c>
      <c r="B2863">
        <v>21</v>
      </c>
      <c r="C2863" t="s">
        <v>15</v>
      </c>
      <c r="D2863" t="s">
        <v>31</v>
      </c>
      <c r="E2863" t="s">
        <v>34</v>
      </c>
      <c r="F2863" t="s">
        <v>21</v>
      </c>
      <c r="G2863" t="s">
        <v>44</v>
      </c>
      <c r="H2863" t="s">
        <v>25</v>
      </c>
      <c r="I2863" s="1">
        <v>1</v>
      </c>
      <c r="J2863" s="2">
        <v>45837</v>
      </c>
      <c r="K2863" s="2">
        <v>45809</v>
      </c>
      <c r="L2863" s="1" t="str">
        <f t="shared" ref="L2863:L2872" si="332">TEXT(J2863,"ddd")</f>
        <v>dom</v>
      </c>
      <c r="M2863" s="1" t="str">
        <f t="shared" ref="M2863:M2872" si="333">TEXT($J2863,"mmm")</f>
        <v>jun</v>
      </c>
      <c r="N2863">
        <f t="shared" ref="N2863:N2872" si="334">YEAR(J2863)</f>
        <v>2025</v>
      </c>
      <c r="O2863" s="2"/>
      <c r="P2863" t="str">
        <f t="shared" si="328"/>
        <v>156545837</v>
      </c>
    </row>
    <row r="2864" spans="1:16" x14ac:dyDescent="0.3">
      <c r="A2864">
        <v>1565</v>
      </c>
      <c r="B2864">
        <v>21</v>
      </c>
      <c r="C2864" t="s">
        <v>15</v>
      </c>
      <c r="D2864" t="s">
        <v>31</v>
      </c>
      <c r="E2864" t="s">
        <v>34</v>
      </c>
      <c r="F2864" t="s">
        <v>21</v>
      </c>
      <c r="G2864" t="s">
        <v>41</v>
      </c>
      <c r="H2864" t="s">
        <v>25</v>
      </c>
      <c r="I2864" s="1">
        <v>1</v>
      </c>
      <c r="J2864" s="2">
        <v>45862</v>
      </c>
      <c r="K2864" s="2">
        <v>45839</v>
      </c>
      <c r="L2864" s="1" t="str">
        <f t="shared" si="332"/>
        <v>qui</v>
      </c>
      <c r="M2864" s="1" t="str">
        <f t="shared" si="333"/>
        <v>jul</v>
      </c>
      <c r="N2864">
        <f t="shared" si="334"/>
        <v>2025</v>
      </c>
      <c r="O2864" s="2"/>
      <c r="P2864" t="str">
        <f t="shared" si="328"/>
        <v>156545862</v>
      </c>
    </row>
    <row r="2865" spans="1:16" x14ac:dyDescent="0.3">
      <c r="A2865">
        <v>1565</v>
      </c>
      <c r="B2865">
        <v>21</v>
      </c>
      <c r="C2865" t="s">
        <v>15</v>
      </c>
      <c r="D2865" t="s">
        <v>31</v>
      </c>
      <c r="E2865" t="s">
        <v>34</v>
      </c>
      <c r="F2865" t="s">
        <v>21</v>
      </c>
      <c r="G2865" t="s">
        <v>41</v>
      </c>
      <c r="H2865" t="s">
        <v>25</v>
      </c>
      <c r="I2865" s="1">
        <v>1</v>
      </c>
      <c r="J2865" s="2">
        <v>45976</v>
      </c>
      <c r="K2865" s="2">
        <v>45962</v>
      </c>
      <c r="L2865" s="1" t="str">
        <f t="shared" si="332"/>
        <v>sáb</v>
      </c>
      <c r="M2865" s="1" t="str">
        <f t="shared" si="333"/>
        <v>nov</v>
      </c>
      <c r="N2865">
        <f t="shared" si="334"/>
        <v>2025</v>
      </c>
      <c r="O2865" s="2"/>
      <c r="P2865" t="str">
        <f t="shared" si="328"/>
        <v>156545976</v>
      </c>
    </row>
    <row r="2866" spans="1:16" x14ac:dyDescent="0.3">
      <c r="A2866">
        <v>1565</v>
      </c>
      <c r="B2866">
        <v>21</v>
      </c>
      <c r="C2866" t="s">
        <v>15</v>
      </c>
      <c r="D2866" t="s">
        <v>31</v>
      </c>
      <c r="E2866" t="s">
        <v>34</v>
      </c>
      <c r="F2866" t="s">
        <v>21</v>
      </c>
      <c r="G2866" t="s">
        <v>41</v>
      </c>
      <c r="H2866" t="s">
        <v>25</v>
      </c>
      <c r="I2866" s="1">
        <v>1</v>
      </c>
      <c r="J2866" s="2">
        <v>46184</v>
      </c>
      <c r="K2866" s="2">
        <v>46023</v>
      </c>
      <c r="L2866" s="1" t="str">
        <f t="shared" si="332"/>
        <v>qui</v>
      </c>
      <c r="M2866" s="1" t="str">
        <f t="shared" si="333"/>
        <v>jun</v>
      </c>
      <c r="N2866">
        <f t="shared" si="334"/>
        <v>2026</v>
      </c>
      <c r="O2866" s="2"/>
      <c r="P2866" t="str">
        <f t="shared" si="328"/>
        <v>156546184</v>
      </c>
    </row>
    <row r="2867" spans="1:16" x14ac:dyDescent="0.3">
      <c r="A2867">
        <v>1565</v>
      </c>
      <c r="B2867">
        <v>21</v>
      </c>
      <c r="C2867" t="s">
        <v>15</v>
      </c>
      <c r="D2867" t="s">
        <v>31</v>
      </c>
      <c r="E2867" t="s">
        <v>34</v>
      </c>
      <c r="F2867" t="s">
        <v>21</v>
      </c>
      <c r="G2867" t="s">
        <v>44</v>
      </c>
      <c r="H2867" t="s">
        <v>25</v>
      </c>
      <c r="I2867" s="1">
        <v>1</v>
      </c>
      <c r="J2867" s="2">
        <v>46196</v>
      </c>
      <c r="K2867" s="2">
        <v>46023</v>
      </c>
      <c r="L2867" s="1" t="str">
        <f t="shared" si="332"/>
        <v>ter</v>
      </c>
      <c r="M2867" s="1" t="str">
        <f t="shared" si="333"/>
        <v>jun</v>
      </c>
      <c r="N2867">
        <f t="shared" si="334"/>
        <v>2026</v>
      </c>
      <c r="O2867" s="2"/>
      <c r="P2867" t="str">
        <f t="shared" si="328"/>
        <v>156546196</v>
      </c>
    </row>
    <row r="2868" spans="1:16" x14ac:dyDescent="0.3">
      <c r="A2868">
        <v>1567</v>
      </c>
      <c r="B2868">
        <v>42</v>
      </c>
      <c r="C2868" t="s">
        <v>15</v>
      </c>
      <c r="D2868" t="s">
        <v>29</v>
      </c>
      <c r="E2868" t="s">
        <v>17</v>
      </c>
      <c r="F2868" t="s">
        <v>21</v>
      </c>
      <c r="G2868" t="s">
        <v>40</v>
      </c>
      <c r="H2868" t="s">
        <v>25</v>
      </c>
      <c r="I2868" s="1">
        <v>3</v>
      </c>
      <c r="J2868" s="2">
        <v>45766</v>
      </c>
      <c r="K2868" s="2">
        <v>45748</v>
      </c>
      <c r="L2868" s="1" t="str">
        <f t="shared" si="332"/>
        <v>sáb</v>
      </c>
      <c r="M2868" s="1" t="str">
        <f t="shared" si="333"/>
        <v>abr</v>
      </c>
      <c r="N2868">
        <f t="shared" si="334"/>
        <v>2025</v>
      </c>
      <c r="O2868" s="2"/>
      <c r="P2868" t="str">
        <f t="shared" si="328"/>
        <v>156745766</v>
      </c>
    </row>
    <row r="2869" spans="1:16" x14ac:dyDescent="0.3">
      <c r="A2869">
        <v>1567</v>
      </c>
      <c r="B2869">
        <v>42</v>
      </c>
      <c r="C2869" t="s">
        <v>15</v>
      </c>
      <c r="D2869" t="s">
        <v>29</v>
      </c>
      <c r="E2869" t="s">
        <v>17</v>
      </c>
      <c r="F2869" t="s">
        <v>21</v>
      </c>
      <c r="G2869" t="s">
        <v>40</v>
      </c>
      <c r="H2869" t="s">
        <v>25</v>
      </c>
      <c r="I2869" s="1">
        <v>3</v>
      </c>
      <c r="J2869" s="2">
        <v>45771</v>
      </c>
      <c r="K2869" s="2">
        <v>45748</v>
      </c>
      <c r="L2869" s="1" t="str">
        <f t="shared" si="332"/>
        <v>qui</v>
      </c>
      <c r="M2869" s="1" t="str">
        <f t="shared" si="333"/>
        <v>abr</v>
      </c>
      <c r="N2869">
        <f t="shared" si="334"/>
        <v>2025</v>
      </c>
      <c r="O2869" s="2"/>
      <c r="P2869" t="str">
        <f t="shared" si="328"/>
        <v>156745771</v>
      </c>
    </row>
    <row r="2870" spans="1:16" x14ac:dyDescent="0.3">
      <c r="A2870">
        <v>1567</v>
      </c>
      <c r="B2870">
        <v>42</v>
      </c>
      <c r="C2870" t="s">
        <v>15</v>
      </c>
      <c r="D2870" t="s">
        <v>29</v>
      </c>
      <c r="E2870" t="s">
        <v>17</v>
      </c>
      <c r="F2870" t="s">
        <v>21</v>
      </c>
      <c r="G2870" t="s">
        <v>40</v>
      </c>
      <c r="H2870" t="s">
        <v>25</v>
      </c>
      <c r="I2870" s="1">
        <v>3</v>
      </c>
      <c r="J2870" s="2">
        <v>45879</v>
      </c>
      <c r="K2870" s="2">
        <v>45870</v>
      </c>
      <c r="L2870" s="1" t="str">
        <f t="shared" si="332"/>
        <v>dom</v>
      </c>
      <c r="M2870" s="1" t="str">
        <f t="shared" si="333"/>
        <v>ago</v>
      </c>
      <c r="N2870">
        <f t="shared" si="334"/>
        <v>2025</v>
      </c>
      <c r="O2870" s="2"/>
      <c r="P2870" t="str">
        <f t="shared" si="328"/>
        <v>156745879</v>
      </c>
    </row>
    <row r="2871" spans="1:16" x14ac:dyDescent="0.3">
      <c r="A2871">
        <v>1567</v>
      </c>
      <c r="B2871">
        <v>42</v>
      </c>
      <c r="C2871" t="s">
        <v>15</v>
      </c>
      <c r="D2871" t="s">
        <v>29</v>
      </c>
      <c r="E2871" t="s">
        <v>17</v>
      </c>
      <c r="F2871" t="s">
        <v>21</v>
      </c>
      <c r="G2871" t="s">
        <v>40</v>
      </c>
      <c r="H2871" t="s">
        <v>25</v>
      </c>
      <c r="I2871" s="1">
        <v>3</v>
      </c>
      <c r="J2871" s="2">
        <v>45955</v>
      </c>
      <c r="K2871" s="2">
        <v>45931</v>
      </c>
      <c r="L2871" s="1" t="str">
        <f t="shared" si="332"/>
        <v>sáb</v>
      </c>
      <c r="M2871" s="1" t="str">
        <f t="shared" si="333"/>
        <v>out</v>
      </c>
      <c r="N2871">
        <f t="shared" si="334"/>
        <v>2025</v>
      </c>
      <c r="O2871" s="2"/>
      <c r="P2871" t="str">
        <f t="shared" si="328"/>
        <v>156745955</v>
      </c>
    </row>
    <row r="2872" spans="1:16" x14ac:dyDescent="0.3">
      <c r="A2872">
        <v>1567</v>
      </c>
      <c r="B2872">
        <v>42</v>
      </c>
      <c r="C2872" t="s">
        <v>15</v>
      </c>
      <c r="D2872" t="s">
        <v>29</v>
      </c>
      <c r="E2872" t="s">
        <v>17</v>
      </c>
      <c r="F2872" t="s">
        <v>21</v>
      </c>
      <c r="G2872" t="s">
        <v>40</v>
      </c>
      <c r="H2872" t="s">
        <v>25</v>
      </c>
      <c r="I2872" s="1">
        <v>3</v>
      </c>
      <c r="J2872" s="2">
        <v>45977</v>
      </c>
      <c r="K2872" s="2">
        <v>45962</v>
      </c>
      <c r="L2872" s="1" t="str">
        <f t="shared" si="332"/>
        <v>dom</v>
      </c>
      <c r="M2872" s="1" t="str">
        <f t="shared" si="333"/>
        <v>nov</v>
      </c>
      <c r="N2872">
        <f t="shared" si="334"/>
        <v>2025</v>
      </c>
      <c r="O2872" s="2"/>
      <c r="P2872" t="str">
        <f t="shared" si="328"/>
        <v>156745977</v>
      </c>
    </row>
    <row r="2873" spans="1:16" x14ac:dyDescent="0.3">
      <c r="A2873">
        <v>1567</v>
      </c>
      <c r="B2873">
        <v>42</v>
      </c>
      <c r="C2873" t="s">
        <v>15</v>
      </c>
      <c r="D2873" t="s">
        <v>29</v>
      </c>
      <c r="E2873" t="s">
        <v>17</v>
      </c>
      <c r="F2873" t="s">
        <v>21</v>
      </c>
      <c r="G2873" t="s">
        <v>40</v>
      </c>
      <c r="H2873" t="s">
        <v>25</v>
      </c>
      <c r="I2873" s="1">
        <v>3</v>
      </c>
      <c r="J2873" s="2">
        <v>46131</v>
      </c>
      <c r="K2873" s="2">
        <v>46113</v>
      </c>
      <c r="L2873" s="1" t="s">
        <v>54</v>
      </c>
      <c r="M2873" s="1" t="s">
        <v>48</v>
      </c>
      <c r="N2873">
        <v>2025</v>
      </c>
      <c r="O2873" s="2"/>
      <c r="P2873" t="str">
        <f t="shared" si="328"/>
        <v>156746131</v>
      </c>
    </row>
    <row r="2874" spans="1:16" x14ac:dyDescent="0.3">
      <c r="A2874">
        <v>1567</v>
      </c>
      <c r="B2874">
        <v>42</v>
      </c>
      <c r="C2874" t="s">
        <v>15</v>
      </c>
      <c r="D2874" t="s">
        <v>29</v>
      </c>
      <c r="E2874" t="s">
        <v>17</v>
      </c>
      <c r="F2874" t="s">
        <v>21</v>
      </c>
      <c r="G2874" t="s">
        <v>40</v>
      </c>
      <c r="H2874" t="s">
        <v>25</v>
      </c>
      <c r="I2874" s="1">
        <v>3</v>
      </c>
      <c r="J2874" s="2">
        <v>46136</v>
      </c>
      <c r="K2874" s="2">
        <v>46113</v>
      </c>
      <c r="L2874" s="1" t="s">
        <v>52</v>
      </c>
      <c r="M2874" s="1" t="s">
        <v>48</v>
      </c>
      <c r="N2874">
        <v>2025</v>
      </c>
      <c r="O2874" s="2"/>
      <c r="P2874" t="str">
        <f t="shared" si="328"/>
        <v>156746136</v>
      </c>
    </row>
    <row r="2875" spans="1:16" x14ac:dyDescent="0.3">
      <c r="A2875">
        <v>1568</v>
      </c>
      <c r="B2875">
        <v>40</v>
      </c>
      <c r="C2875" t="s">
        <v>26</v>
      </c>
      <c r="D2875" t="s">
        <v>29</v>
      </c>
      <c r="E2875" t="s">
        <v>17</v>
      </c>
      <c r="F2875" t="s">
        <v>18</v>
      </c>
      <c r="G2875" t="s">
        <v>40</v>
      </c>
      <c r="H2875" t="s">
        <v>25</v>
      </c>
      <c r="I2875" s="1">
        <v>3</v>
      </c>
      <c r="J2875" s="2">
        <v>45795</v>
      </c>
      <c r="K2875" s="2">
        <v>45778</v>
      </c>
      <c r="L2875" s="1" t="str">
        <f t="shared" ref="L2875:L2880" si="335">TEXT(J2875,"ddd")</f>
        <v>dom</v>
      </c>
      <c r="M2875" s="1" t="str">
        <f t="shared" ref="M2875:M2880" si="336">TEXT($J2875,"mmm")</f>
        <v>mai</v>
      </c>
      <c r="N2875">
        <f t="shared" ref="N2875:N2880" si="337">YEAR(J2875)</f>
        <v>2025</v>
      </c>
      <c r="O2875" s="2"/>
      <c r="P2875" t="str">
        <f t="shared" si="328"/>
        <v>156845795</v>
      </c>
    </row>
    <row r="2876" spans="1:16" x14ac:dyDescent="0.3">
      <c r="A2876">
        <v>1568</v>
      </c>
      <c r="B2876">
        <v>40</v>
      </c>
      <c r="C2876" t="s">
        <v>26</v>
      </c>
      <c r="D2876" t="s">
        <v>29</v>
      </c>
      <c r="E2876" t="s">
        <v>17</v>
      </c>
      <c r="F2876" t="s">
        <v>18</v>
      </c>
      <c r="G2876" t="s">
        <v>40</v>
      </c>
      <c r="H2876" t="s">
        <v>25</v>
      </c>
      <c r="I2876" s="1">
        <v>3</v>
      </c>
      <c r="J2876" s="2">
        <v>45867</v>
      </c>
      <c r="K2876" s="2">
        <v>45839</v>
      </c>
      <c r="L2876" s="1" t="str">
        <f t="shared" si="335"/>
        <v>ter</v>
      </c>
      <c r="M2876" s="1" t="str">
        <f t="shared" si="336"/>
        <v>jul</v>
      </c>
      <c r="N2876">
        <f t="shared" si="337"/>
        <v>2025</v>
      </c>
      <c r="O2876" s="2"/>
      <c r="P2876" t="str">
        <f t="shared" si="328"/>
        <v>156845867</v>
      </c>
    </row>
    <row r="2877" spans="1:16" x14ac:dyDescent="0.3">
      <c r="A2877">
        <v>1568</v>
      </c>
      <c r="B2877">
        <v>40</v>
      </c>
      <c r="C2877" t="s">
        <v>26</v>
      </c>
      <c r="D2877" t="s">
        <v>29</v>
      </c>
      <c r="E2877" t="s">
        <v>17</v>
      </c>
      <c r="F2877" t="s">
        <v>18</v>
      </c>
      <c r="G2877" t="s">
        <v>40</v>
      </c>
      <c r="H2877" t="s">
        <v>25</v>
      </c>
      <c r="I2877" s="1">
        <v>3</v>
      </c>
      <c r="J2877" s="2">
        <v>45875</v>
      </c>
      <c r="K2877" s="2">
        <v>45870</v>
      </c>
      <c r="L2877" s="1" t="str">
        <f t="shared" si="335"/>
        <v>qua</v>
      </c>
      <c r="M2877" s="1" t="str">
        <f t="shared" si="336"/>
        <v>ago</v>
      </c>
      <c r="N2877">
        <f t="shared" si="337"/>
        <v>2025</v>
      </c>
      <c r="O2877" s="2"/>
      <c r="P2877" t="str">
        <f t="shared" si="328"/>
        <v>156845875</v>
      </c>
    </row>
    <row r="2878" spans="1:16" x14ac:dyDescent="0.3">
      <c r="A2878">
        <v>1568</v>
      </c>
      <c r="B2878">
        <v>40</v>
      </c>
      <c r="C2878" t="s">
        <v>26</v>
      </c>
      <c r="D2878" t="s">
        <v>29</v>
      </c>
      <c r="E2878" t="s">
        <v>17</v>
      </c>
      <c r="F2878" t="s">
        <v>18</v>
      </c>
      <c r="G2878" t="s">
        <v>41</v>
      </c>
      <c r="H2878" t="s">
        <v>25</v>
      </c>
      <c r="I2878" s="1">
        <v>3</v>
      </c>
      <c r="J2878" s="2">
        <v>45895</v>
      </c>
      <c r="K2878" s="2">
        <v>45870</v>
      </c>
      <c r="L2878" s="1" t="str">
        <f t="shared" si="335"/>
        <v>ter</v>
      </c>
      <c r="M2878" s="1" t="str">
        <f t="shared" si="336"/>
        <v>ago</v>
      </c>
      <c r="N2878">
        <f t="shared" si="337"/>
        <v>2025</v>
      </c>
      <c r="O2878" s="2"/>
      <c r="P2878" t="str">
        <f t="shared" ref="P2878:P2941" si="338">CONCATENATE(A2878,J2878)</f>
        <v>156845895</v>
      </c>
    </row>
    <row r="2879" spans="1:16" x14ac:dyDescent="0.3">
      <c r="A2879">
        <v>1568</v>
      </c>
      <c r="B2879">
        <v>40</v>
      </c>
      <c r="C2879" t="s">
        <v>26</v>
      </c>
      <c r="D2879" t="s">
        <v>29</v>
      </c>
      <c r="E2879" t="s">
        <v>17</v>
      </c>
      <c r="F2879" t="s">
        <v>18</v>
      </c>
      <c r="G2879" t="s">
        <v>40</v>
      </c>
      <c r="H2879" t="s">
        <v>25</v>
      </c>
      <c r="I2879" s="1">
        <v>3</v>
      </c>
      <c r="J2879" s="2">
        <v>45959</v>
      </c>
      <c r="K2879" s="2">
        <v>45931</v>
      </c>
      <c r="L2879" s="1" t="str">
        <f t="shared" si="335"/>
        <v>qua</v>
      </c>
      <c r="M2879" s="1" t="str">
        <f t="shared" si="336"/>
        <v>out</v>
      </c>
      <c r="N2879">
        <f t="shared" si="337"/>
        <v>2025</v>
      </c>
      <c r="O2879" s="2"/>
      <c r="P2879" t="str">
        <f t="shared" si="338"/>
        <v>156845959</v>
      </c>
    </row>
    <row r="2880" spans="1:16" x14ac:dyDescent="0.3">
      <c r="A2880">
        <v>1568</v>
      </c>
      <c r="B2880">
        <v>40</v>
      </c>
      <c r="C2880" t="s">
        <v>26</v>
      </c>
      <c r="D2880" t="s">
        <v>29</v>
      </c>
      <c r="E2880" t="s">
        <v>17</v>
      </c>
      <c r="F2880" t="s">
        <v>18</v>
      </c>
      <c r="G2880" t="s">
        <v>40</v>
      </c>
      <c r="H2880" t="s">
        <v>25</v>
      </c>
      <c r="I2880" s="1">
        <v>3</v>
      </c>
      <c r="J2880" s="2">
        <v>45988</v>
      </c>
      <c r="K2880" s="2">
        <v>45962</v>
      </c>
      <c r="L2880" s="1" t="str">
        <f t="shared" si="335"/>
        <v>qui</v>
      </c>
      <c r="M2880" s="1" t="str">
        <f t="shared" si="336"/>
        <v>nov</v>
      </c>
      <c r="N2880">
        <f t="shared" si="337"/>
        <v>2025</v>
      </c>
      <c r="O2880" s="2"/>
      <c r="P2880" t="str">
        <f t="shared" si="338"/>
        <v>156845988</v>
      </c>
    </row>
    <row r="2881" spans="1:16" x14ac:dyDescent="0.3">
      <c r="A2881">
        <v>1568</v>
      </c>
      <c r="B2881">
        <v>40</v>
      </c>
      <c r="C2881" t="s">
        <v>26</v>
      </c>
      <c r="D2881" t="s">
        <v>29</v>
      </c>
      <c r="E2881" t="s">
        <v>17</v>
      </c>
      <c r="F2881" t="s">
        <v>18</v>
      </c>
      <c r="G2881" t="s">
        <v>40</v>
      </c>
      <c r="H2881" t="s">
        <v>25</v>
      </c>
      <c r="I2881" s="1">
        <v>3</v>
      </c>
      <c r="J2881" s="2">
        <v>46160</v>
      </c>
      <c r="K2881" s="2">
        <v>46143</v>
      </c>
      <c r="L2881" s="1" t="s">
        <v>55</v>
      </c>
      <c r="M2881" s="1" t="s">
        <v>49</v>
      </c>
      <c r="N2881">
        <v>2025</v>
      </c>
      <c r="O2881" s="2"/>
      <c r="P2881" t="str">
        <f t="shared" si="338"/>
        <v>156846160</v>
      </c>
    </row>
    <row r="2882" spans="1:16" x14ac:dyDescent="0.3">
      <c r="A2882">
        <v>1569</v>
      </c>
      <c r="B2882">
        <v>19</v>
      </c>
      <c r="C2882" t="s">
        <v>26</v>
      </c>
      <c r="D2882" t="s">
        <v>16</v>
      </c>
      <c r="E2882" t="s">
        <v>17</v>
      </c>
      <c r="F2882" t="s">
        <v>18</v>
      </c>
      <c r="G2882" t="s">
        <v>41</v>
      </c>
      <c r="H2882" t="s">
        <v>20</v>
      </c>
      <c r="I2882" s="1">
        <v>2</v>
      </c>
      <c r="J2882" s="2">
        <v>45880</v>
      </c>
      <c r="K2882" s="2">
        <v>45870</v>
      </c>
      <c r="L2882" s="1" t="str">
        <f t="shared" ref="L2882:L2893" si="339">TEXT(J2882,"ddd")</f>
        <v>seg</v>
      </c>
      <c r="M2882" s="1" t="str">
        <f t="shared" ref="M2882:M2893" si="340">TEXT($J2882,"mmm")</f>
        <v>ago</v>
      </c>
      <c r="N2882">
        <f t="shared" ref="N2882:N2893" si="341">YEAR(J2882)</f>
        <v>2025</v>
      </c>
      <c r="O2882" s="2">
        <f>_xlfn.XLOOKUP(A2882,Colaboradores!$A:$A,Colaboradores!$S:$S,"",0)</f>
        <v>46043</v>
      </c>
      <c r="P2882" t="str">
        <f t="shared" si="338"/>
        <v>156945880</v>
      </c>
    </row>
    <row r="2883" spans="1:16" x14ac:dyDescent="0.3">
      <c r="A2883">
        <v>1569</v>
      </c>
      <c r="B2883">
        <v>19</v>
      </c>
      <c r="C2883" t="s">
        <v>26</v>
      </c>
      <c r="D2883" t="s">
        <v>16</v>
      </c>
      <c r="E2883" t="s">
        <v>17</v>
      </c>
      <c r="F2883" t="s">
        <v>18</v>
      </c>
      <c r="G2883" t="s">
        <v>41</v>
      </c>
      <c r="H2883" t="s">
        <v>20</v>
      </c>
      <c r="I2883" s="1">
        <v>2</v>
      </c>
      <c r="J2883" s="2">
        <v>45925</v>
      </c>
      <c r="K2883" s="2">
        <v>45901</v>
      </c>
      <c r="L2883" s="1" t="str">
        <f t="shared" si="339"/>
        <v>qui</v>
      </c>
      <c r="M2883" s="1" t="str">
        <f t="shared" si="340"/>
        <v>set</v>
      </c>
      <c r="N2883">
        <f t="shared" si="341"/>
        <v>2025</v>
      </c>
      <c r="O2883" s="2">
        <f>_xlfn.XLOOKUP(A2883,Colaboradores!$A:$A,Colaboradores!$S:$S,"",0)</f>
        <v>46043</v>
      </c>
      <c r="P2883" t="str">
        <f t="shared" si="338"/>
        <v>156945925</v>
      </c>
    </row>
    <row r="2884" spans="1:16" x14ac:dyDescent="0.3">
      <c r="A2884">
        <v>1569</v>
      </c>
      <c r="B2884">
        <v>19</v>
      </c>
      <c r="C2884" t="s">
        <v>26</v>
      </c>
      <c r="D2884" t="s">
        <v>16</v>
      </c>
      <c r="E2884" t="s">
        <v>17</v>
      </c>
      <c r="F2884" t="s">
        <v>18</v>
      </c>
      <c r="G2884" t="s">
        <v>42</v>
      </c>
      <c r="H2884" t="s">
        <v>20</v>
      </c>
      <c r="I2884" s="1">
        <v>2</v>
      </c>
      <c r="J2884" s="2">
        <v>45981</v>
      </c>
      <c r="K2884" s="2">
        <v>45962</v>
      </c>
      <c r="L2884" s="1" t="str">
        <f t="shared" si="339"/>
        <v>qui</v>
      </c>
      <c r="M2884" s="1" t="str">
        <f t="shared" si="340"/>
        <v>nov</v>
      </c>
      <c r="N2884">
        <f t="shared" si="341"/>
        <v>2025</v>
      </c>
      <c r="O2884" s="2">
        <f>_xlfn.XLOOKUP(A2884,Colaboradores!$A:$A,Colaboradores!$S:$S,"",0)</f>
        <v>46043</v>
      </c>
      <c r="P2884" t="str">
        <f t="shared" si="338"/>
        <v>156945981</v>
      </c>
    </row>
    <row r="2885" spans="1:16" x14ac:dyDescent="0.3">
      <c r="A2885">
        <v>1569</v>
      </c>
      <c r="B2885">
        <v>19</v>
      </c>
      <c r="C2885" t="s">
        <v>26</v>
      </c>
      <c r="D2885" t="s">
        <v>16</v>
      </c>
      <c r="E2885" t="s">
        <v>17</v>
      </c>
      <c r="F2885" t="s">
        <v>18</v>
      </c>
      <c r="G2885" t="s">
        <v>41</v>
      </c>
      <c r="H2885" t="s">
        <v>20</v>
      </c>
      <c r="I2885" s="1">
        <v>2</v>
      </c>
      <c r="J2885" s="2">
        <v>45996</v>
      </c>
      <c r="K2885" s="2">
        <v>45992</v>
      </c>
      <c r="L2885" s="1" t="str">
        <f t="shared" si="339"/>
        <v>sex</v>
      </c>
      <c r="M2885" s="1" t="str">
        <f t="shared" si="340"/>
        <v>dez</v>
      </c>
      <c r="N2885">
        <f t="shared" si="341"/>
        <v>2025</v>
      </c>
      <c r="O2885" s="2">
        <f>_xlfn.XLOOKUP(A2885,Colaboradores!$A:$A,Colaboradores!$S:$S,"",0)</f>
        <v>46043</v>
      </c>
      <c r="P2885" t="str">
        <f t="shared" si="338"/>
        <v>156945996</v>
      </c>
    </row>
    <row r="2886" spans="1:16" x14ac:dyDescent="0.3">
      <c r="A2886">
        <v>1569</v>
      </c>
      <c r="B2886">
        <v>19</v>
      </c>
      <c r="C2886" t="s">
        <v>26</v>
      </c>
      <c r="D2886" t="s">
        <v>16</v>
      </c>
      <c r="E2886" t="s">
        <v>17</v>
      </c>
      <c r="F2886" t="s">
        <v>18</v>
      </c>
      <c r="G2886" t="s">
        <v>41</v>
      </c>
      <c r="H2886" t="s">
        <v>20</v>
      </c>
      <c r="I2886" s="1">
        <v>2</v>
      </c>
      <c r="J2886" s="2">
        <v>46179</v>
      </c>
      <c r="K2886" s="2">
        <v>46023</v>
      </c>
      <c r="L2886" s="1" t="str">
        <f t="shared" si="339"/>
        <v>sáb</v>
      </c>
      <c r="M2886" s="1" t="str">
        <f t="shared" si="340"/>
        <v>jun</v>
      </c>
      <c r="N2886">
        <f t="shared" si="341"/>
        <v>2026</v>
      </c>
      <c r="O2886" s="2">
        <f>_xlfn.XLOOKUP(A2886,Colaboradores!$A:$A,Colaboradores!$S:$S,"",0)</f>
        <v>46043</v>
      </c>
      <c r="P2886" t="str">
        <f t="shared" si="338"/>
        <v>156946179</v>
      </c>
    </row>
    <row r="2887" spans="1:16" x14ac:dyDescent="0.3">
      <c r="A2887">
        <v>1569</v>
      </c>
      <c r="B2887">
        <v>19</v>
      </c>
      <c r="C2887" t="s">
        <v>26</v>
      </c>
      <c r="D2887" t="s">
        <v>16</v>
      </c>
      <c r="E2887" t="s">
        <v>17</v>
      </c>
      <c r="F2887" t="s">
        <v>18</v>
      </c>
      <c r="G2887" t="s">
        <v>41</v>
      </c>
      <c r="H2887" t="s">
        <v>20</v>
      </c>
      <c r="I2887" s="1">
        <v>2</v>
      </c>
      <c r="J2887" s="2">
        <v>46187</v>
      </c>
      <c r="K2887" s="2">
        <v>46023</v>
      </c>
      <c r="L2887" s="1" t="str">
        <f t="shared" si="339"/>
        <v>dom</v>
      </c>
      <c r="M2887" s="1" t="str">
        <f t="shared" si="340"/>
        <v>jun</v>
      </c>
      <c r="N2887">
        <f t="shared" si="341"/>
        <v>2026</v>
      </c>
      <c r="O2887" s="2">
        <f>_xlfn.XLOOKUP(A2887,Colaboradores!$A:$A,Colaboradores!$S:$S,"",0)</f>
        <v>46043</v>
      </c>
      <c r="P2887" t="str">
        <f t="shared" si="338"/>
        <v>156946187</v>
      </c>
    </row>
    <row r="2888" spans="1:16" x14ac:dyDescent="0.3">
      <c r="A2888">
        <v>1570</v>
      </c>
      <c r="B2888">
        <v>21</v>
      </c>
      <c r="C2888" t="s">
        <v>15</v>
      </c>
      <c r="D2888" t="s">
        <v>29</v>
      </c>
      <c r="E2888" t="s">
        <v>17</v>
      </c>
      <c r="F2888" t="s">
        <v>18</v>
      </c>
      <c r="G2888" t="s">
        <v>42</v>
      </c>
      <c r="H2888" t="s">
        <v>25</v>
      </c>
      <c r="I2888" s="1">
        <v>3</v>
      </c>
      <c r="J2888" s="2">
        <v>45767</v>
      </c>
      <c r="K2888" s="2">
        <v>45748</v>
      </c>
      <c r="L2888" s="1" t="str">
        <f t="shared" si="339"/>
        <v>dom</v>
      </c>
      <c r="M2888" s="1" t="str">
        <f t="shared" si="340"/>
        <v>abr</v>
      </c>
      <c r="N2888">
        <f t="shared" si="341"/>
        <v>2025</v>
      </c>
      <c r="O2888" s="2"/>
      <c r="P2888" t="str">
        <f t="shared" si="338"/>
        <v>157045767</v>
      </c>
    </row>
    <row r="2889" spans="1:16" x14ac:dyDescent="0.3">
      <c r="A2889">
        <v>1570</v>
      </c>
      <c r="B2889">
        <v>21</v>
      </c>
      <c r="C2889" t="s">
        <v>15</v>
      </c>
      <c r="D2889" t="s">
        <v>29</v>
      </c>
      <c r="E2889" t="s">
        <v>17</v>
      </c>
      <c r="F2889" t="s">
        <v>18</v>
      </c>
      <c r="G2889" t="s">
        <v>43</v>
      </c>
      <c r="H2889" t="s">
        <v>25</v>
      </c>
      <c r="I2889" s="1">
        <v>3</v>
      </c>
      <c r="J2889" s="2">
        <v>45771</v>
      </c>
      <c r="K2889" s="2">
        <v>45748</v>
      </c>
      <c r="L2889" s="1" t="str">
        <f t="shared" si="339"/>
        <v>qui</v>
      </c>
      <c r="M2889" s="1" t="str">
        <f t="shared" si="340"/>
        <v>abr</v>
      </c>
      <c r="N2889">
        <f t="shared" si="341"/>
        <v>2025</v>
      </c>
      <c r="O2889" s="2"/>
      <c r="P2889" t="str">
        <f t="shared" si="338"/>
        <v>157045771</v>
      </c>
    </row>
    <row r="2890" spans="1:16" x14ac:dyDescent="0.3">
      <c r="A2890">
        <v>1570</v>
      </c>
      <c r="B2890">
        <v>21</v>
      </c>
      <c r="C2890" t="s">
        <v>15</v>
      </c>
      <c r="D2890" t="s">
        <v>29</v>
      </c>
      <c r="E2890" t="s">
        <v>17</v>
      </c>
      <c r="F2890" t="s">
        <v>18</v>
      </c>
      <c r="G2890" t="s">
        <v>43</v>
      </c>
      <c r="H2890" t="s">
        <v>25</v>
      </c>
      <c r="I2890" s="1">
        <v>3</v>
      </c>
      <c r="J2890" s="2">
        <v>45891</v>
      </c>
      <c r="K2890" s="2">
        <v>45870</v>
      </c>
      <c r="L2890" s="1" t="str">
        <f t="shared" si="339"/>
        <v>sex</v>
      </c>
      <c r="M2890" s="1" t="str">
        <f t="shared" si="340"/>
        <v>ago</v>
      </c>
      <c r="N2890">
        <f t="shared" si="341"/>
        <v>2025</v>
      </c>
      <c r="O2890" s="2"/>
      <c r="P2890" t="str">
        <f t="shared" si="338"/>
        <v>157045891</v>
      </c>
    </row>
    <row r="2891" spans="1:16" x14ac:dyDescent="0.3">
      <c r="A2891">
        <v>1570</v>
      </c>
      <c r="B2891">
        <v>21</v>
      </c>
      <c r="C2891" t="s">
        <v>15</v>
      </c>
      <c r="D2891" t="s">
        <v>29</v>
      </c>
      <c r="E2891" t="s">
        <v>17</v>
      </c>
      <c r="F2891" t="s">
        <v>18</v>
      </c>
      <c r="G2891" t="s">
        <v>42</v>
      </c>
      <c r="H2891" t="s">
        <v>25</v>
      </c>
      <c r="I2891" s="1">
        <v>3</v>
      </c>
      <c r="J2891" s="2">
        <v>45910</v>
      </c>
      <c r="K2891" s="2">
        <v>45901</v>
      </c>
      <c r="L2891" s="1" t="str">
        <f t="shared" si="339"/>
        <v>qua</v>
      </c>
      <c r="M2891" s="1" t="str">
        <f t="shared" si="340"/>
        <v>set</v>
      </c>
      <c r="N2891">
        <f t="shared" si="341"/>
        <v>2025</v>
      </c>
      <c r="O2891" s="2"/>
      <c r="P2891" t="str">
        <f t="shared" si="338"/>
        <v>157045910</v>
      </c>
    </row>
    <row r="2892" spans="1:16" x14ac:dyDescent="0.3">
      <c r="A2892">
        <v>1570</v>
      </c>
      <c r="B2892">
        <v>21</v>
      </c>
      <c r="C2892" t="s">
        <v>15</v>
      </c>
      <c r="D2892" t="s">
        <v>29</v>
      </c>
      <c r="E2892" t="s">
        <v>17</v>
      </c>
      <c r="F2892" t="s">
        <v>18</v>
      </c>
      <c r="G2892" t="s">
        <v>43</v>
      </c>
      <c r="H2892" t="s">
        <v>25</v>
      </c>
      <c r="I2892" s="1">
        <v>3</v>
      </c>
      <c r="J2892" s="2">
        <v>46007</v>
      </c>
      <c r="K2892" s="2">
        <v>45992</v>
      </c>
      <c r="L2892" s="1" t="str">
        <f t="shared" si="339"/>
        <v>ter</v>
      </c>
      <c r="M2892" s="1" t="str">
        <f t="shared" si="340"/>
        <v>dez</v>
      </c>
      <c r="N2892">
        <f t="shared" si="341"/>
        <v>2025</v>
      </c>
      <c r="O2892" s="2"/>
      <c r="P2892" t="str">
        <f t="shared" si="338"/>
        <v>157046007</v>
      </c>
    </row>
    <row r="2893" spans="1:16" x14ac:dyDescent="0.3">
      <c r="A2893">
        <v>1570</v>
      </c>
      <c r="B2893">
        <v>21</v>
      </c>
      <c r="C2893" t="s">
        <v>15</v>
      </c>
      <c r="D2893" t="s">
        <v>29</v>
      </c>
      <c r="E2893" t="s">
        <v>17</v>
      </c>
      <c r="F2893" t="s">
        <v>18</v>
      </c>
      <c r="G2893" t="s">
        <v>43</v>
      </c>
      <c r="H2893" t="s">
        <v>25</v>
      </c>
      <c r="I2893" s="1">
        <v>3</v>
      </c>
      <c r="J2893" s="2">
        <v>46174</v>
      </c>
      <c r="K2893" s="2">
        <v>46023</v>
      </c>
      <c r="L2893" s="1" t="str">
        <f t="shared" si="339"/>
        <v>seg</v>
      </c>
      <c r="M2893" s="1" t="str">
        <f t="shared" si="340"/>
        <v>jun</v>
      </c>
      <c r="N2893">
        <f t="shared" si="341"/>
        <v>2026</v>
      </c>
      <c r="O2893" s="2"/>
      <c r="P2893" t="str">
        <f t="shared" si="338"/>
        <v>157046174</v>
      </c>
    </row>
    <row r="2894" spans="1:16" x14ac:dyDescent="0.3">
      <c r="A2894">
        <v>1570</v>
      </c>
      <c r="B2894">
        <v>21</v>
      </c>
      <c r="C2894" t="s">
        <v>15</v>
      </c>
      <c r="D2894" t="s">
        <v>29</v>
      </c>
      <c r="E2894" t="s">
        <v>17</v>
      </c>
      <c r="F2894" t="s">
        <v>18</v>
      </c>
      <c r="G2894" t="s">
        <v>42</v>
      </c>
      <c r="H2894" t="s">
        <v>25</v>
      </c>
      <c r="I2894" s="1">
        <v>3</v>
      </c>
      <c r="J2894" s="2">
        <v>46132</v>
      </c>
      <c r="K2894" s="2">
        <v>46113</v>
      </c>
      <c r="L2894" s="1" t="s">
        <v>55</v>
      </c>
      <c r="M2894" s="1" t="s">
        <v>48</v>
      </c>
      <c r="N2894">
        <v>2025</v>
      </c>
      <c r="O2894" s="2"/>
      <c r="P2894" t="str">
        <f t="shared" si="338"/>
        <v>157046132</v>
      </c>
    </row>
    <row r="2895" spans="1:16" x14ac:dyDescent="0.3">
      <c r="A2895">
        <v>1570</v>
      </c>
      <c r="B2895">
        <v>21</v>
      </c>
      <c r="C2895" t="s">
        <v>15</v>
      </c>
      <c r="D2895" t="s">
        <v>29</v>
      </c>
      <c r="E2895" t="s">
        <v>17</v>
      </c>
      <c r="F2895" t="s">
        <v>18</v>
      </c>
      <c r="G2895" t="s">
        <v>43</v>
      </c>
      <c r="H2895" t="s">
        <v>25</v>
      </c>
      <c r="I2895" s="1">
        <v>3</v>
      </c>
      <c r="J2895" s="2">
        <v>46136</v>
      </c>
      <c r="K2895" s="2">
        <v>46113</v>
      </c>
      <c r="L2895" s="1" t="s">
        <v>52</v>
      </c>
      <c r="M2895" s="1" t="s">
        <v>48</v>
      </c>
      <c r="N2895">
        <v>2025</v>
      </c>
      <c r="O2895" s="2"/>
      <c r="P2895" t="str">
        <f t="shared" si="338"/>
        <v>157046136</v>
      </c>
    </row>
    <row r="2896" spans="1:16" x14ac:dyDescent="0.3">
      <c r="A2896">
        <v>1571</v>
      </c>
      <c r="B2896">
        <v>40</v>
      </c>
      <c r="C2896" t="s">
        <v>15</v>
      </c>
      <c r="D2896" t="s">
        <v>29</v>
      </c>
      <c r="E2896" t="s">
        <v>17</v>
      </c>
      <c r="F2896" t="s">
        <v>23</v>
      </c>
      <c r="G2896" t="s">
        <v>43</v>
      </c>
      <c r="H2896" t="s">
        <v>25</v>
      </c>
      <c r="I2896" s="1">
        <v>2</v>
      </c>
      <c r="J2896" s="2">
        <v>45813</v>
      </c>
      <c r="K2896" s="2">
        <v>45809</v>
      </c>
      <c r="L2896" s="1" t="str">
        <f t="shared" ref="L2896:L2912" si="342">TEXT(J2896,"ddd")</f>
        <v>qui</v>
      </c>
      <c r="M2896" s="1" t="str">
        <f t="shared" ref="M2896:M2912" si="343">TEXT($J2896,"mmm")</f>
        <v>jun</v>
      </c>
      <c r="N2896">
        <f t="shared" ref="N2896:N2912" si="344">YEAR(J2896)</f>
        <v>2025</v>
      </c>
      <c r="O2896" s="2"/>
      <c r="P2896" t="str">
        <f t="shared" si="338"/>
        <v>157145813</v>
      </c>
    </row>
    <row r="2897" spans="1:16" x14ac:dyDescent="0.3">
      <c r="A2897">
        <v>1571</v>
      </c>
      <c r="B2897">
        <v>40</v>
      </c>
      <c r="C2897" t="s">
        <v>15</v>
      </c>
      <c r="D2897" t="s">
        <v>29</v>
      </c>
      <c r="E2897" t="s">
        <v>17</v>
      </c>
      <c r="F2897" t="s">
        <v>23</v>
      </c>
      <c r="G2897" t="s">
        <v>43</v>
      </c>
      <c r="H2897" t="s">
        <v>25</v>
      </c>
      <c r="I2897" s="1">
        <v>2</v>
      </c>
      <c r="J2897" s="2">
        <v>45878</v>
      </c>
      <c r="K2897" s="2">
        <v>45870</v>
      </c>
      <c r="L2897" s="1" t="str">
        <f t="shared" si="342"/>
        <v>sáb</v>
      </c>
      <c r="M2897" s="1" t="str">
        <f t="shared" si="343"/>
        <v>ago</v>
      </c>
      <c r="N2897">
        <f t="shared" si="344"/>
        <v>2025</v>
      </c>
      <c r="O2897" s="2"/>
      <c r="P2897" t="str">
        <f t="shared" si="338"/>
        <v>157145878</v>
      </c>
    </row>
    <row r="2898" spans="1:16" x14ac:dyDescent="0.3">
      <c r="A2898">
        <v>1571</v>
      </c>
      <c r="B2898">
        <v>40</v>
      </c>
      <c r="C2898" t="s">
        <v>15</v>
      </c>
      <c r="D2898" t="s">
        <v>29</v>
      </c>
      <c r="E2898" t="s">
        <v>17</v>
      </c>
      <c r="F2898" t="s">
        <v>23</v>
      </c>
      <c r="G2898" t="s">
        <v>43</v>
      </c>
      <c r="H2898" t="s">
        <v>25</v>
      </c>
      <c r="I2898" s="1">
        <v>2</v>
      </c>
      <c r="J2898" s="2">
        <v>45989</v>
      </c>
      <c r="K2898" s="2">
        <v>45962</v>
      </c>
      <c r="L2898" s="1" t="str">
        <f t="shared" si="342"/>
        <v>sex</v>
      </c>
      <c r="M2898" s="1" t="str">
        <f t="shared" si="343"/>
        <v>nov</v>
      </c>
      <c r="N2898">
        <f t="shared" si="344"/>
        <v>2025</v>
      </c>
      <c r="O2898" s="2"/>
      <c r="P2898" t="str">
        <f t="shared" si="338"/>
        <v>157145989</v>
      </c>
    </row>
    <row r="2899" spans="1:16" x14ac:dyDescent="0.3">
      <c r="A2899">
        <v>1571</v>
      </c>
      <c r="B2899">
        <v>40</v>
      </c>
      <c r="C2899" t="s">
        <v>15</v>
      </c>
      <c r="D2899" t="s">
        <v>29</v>
      </c>
      <c r="E2899" t="s">
        <v>17</v>
      </c>
      <c r="F2899" t="s">
        <v>23</v>
      </c>
      <c r="G2899" t="s">
        <v>43</v>
      </c>
      <c r="H2899" t="s">
        <v>25</v>
      </c>
      <c r="I2899" s="1">
        <v>2</v>
      </c>
      <c r="J2899" s="2">
        <v>46198</v>
      </c>
      <c r="K2899" s="2">
        <v>46023</v>
      </c>
      <c r="L2899" s="1" t="str">
        <f t="shared" si="342"/>
        <v>qui</v>
      </c>
      <c r="M2899" s="1" t="str">
        <f t="shared" si="343"/>
        <v>jun</v>
      </c>
      <c r="N2899">
        <f t="shared" si="344"/>
        <v>2026</v>
      </c>
      <c r="O2899" s="2"/>
      <c r="P2899" t="str">
        <f t="shared" si="338"/>
        <v>157146198</v>
      </c>
    </row>
    <row r="2900" spans="1:16" x14ac:dyDescent="0.3">
      <c r="A2900">
        <v>1571</v>
      </c>
      <c r="B2900">
        <v>40</v>
      </c>
      <c r="C2900" t="s">
        <v>15</v>
      </c>
      <c r="D2900" t="s">
        <v>29</v>
      </c>
      <c r="E2900" t="s">
        <v>17</v>
      </c>
      <c r="F2900" t="s">
        <v>23</v>
      </c>
      <c r="G2900" t="s">
        <v>43</v>
      </c>
      <c r="H2900" t="s">
        <v>25</v>
      </c>
      <c r="I2900" s="1">
        <v>2</v>
      </c>
      <c r="J2900" s="2">
        <v>46088</v>
      </c>
      <c r="K2900" s="2">
        <v>46082</v>
      </c>
      <c r="L2900" s="1" t="str">
        <f t="shared" si="342"/>
        <v>sáb</v>
      </c>
      <c r="M2900" s="1" t="str">
        <f t="shared" si="343"/>
        <v>mar</v>
      </c>
      <c r="N2900">
        <f t="shared" si="344"/>
        <v>2026</v>
      </c>
      <c r="O2900" s="2"/>
      <c r="P2900" t="str">
        <f t="shared" si="338"/>
        <v>157146088</v>
      </c>
    </row>
    <row r="2901" spans="1:16" x14ac:dyDescent="0.3">
      <c r="A2901">
        <v>1571</v>
      </c>
      <c r="B2901">
        <v>40</v>
      </c>
      <c r="C2901" t="s">
        <v>15</v>
      </c>
      <c r="D2901" t="s">
        <v>29</v>
      </c>
      <c r="E2901" t="s">
        <v>17</v>
      </c>
      <c r="F2901" t="s">
        <v>23</v>
      </c>
      <c r="G2901" t="s">
        <v>43</v>
      </c>
      <c r="H2901" t="s">
        <v>25</v>
      </c>
      <c r="I2901" s="1">
        <v>2</v>
      </c>
      <c r="J2901" s="2">
        <v>46096</v>
      </c>
      <c r="K2901" s="2">
        <v>46082</v>
      </c>
      <c r="L2901" s="1" t="str">
        <f t="shared" si="342"/>
        <v>dom</v>
      </c>
      <c r="M2901" s="1" t="str">
        <f t="shared" si="343"/>
        <v>mar</v>
      </c>
      <c r="N2901">
        <f t="shared" si="344"/>
        <v>2026</v>
      </c>
      <c r="O2901" s="2"/>
      <c r="P2901" t="str">
        <f t="shared" si="338"/>
        <v>157146096</v>
      </c>
    </row>
    <row r="2902" spans="1:16" x14ac:dyDescent="0.3">
      <c r="A2902">
        <v>1572</v>
      </c>
      <c r="B2902">
        <v>32</v>
      </c>
      <c r="C2902" t="s">
        <v>15</v>
      </c>
      <c r="D2902" t="s">
        <v>29</v>
      </c>
      <c r="E2902" t="s">
        <v>17</v>
      </c>
      <c r="F2902" t="s">
        <v>23</v>
      </c>
      <c r="G2902" t="s">
        <v>41</v>
      </c>
      <c r="H2902" t="s">
        <v>20</v>
      </c>
      <c r="I2902" s="1">
        <v>2</v>
      </c>
      <c r="J2902" s="2">
        <v>45812</v>
      </c>
      <c r="K2902" s="2">
        <v>45809</v>
      </c>
      <c r="L2902" s="1" t="str">
        <f t="shared" si="342"/>
        <v>qua</v>
      </c>
      <c r="M2902" s="1" t="str">
        <f t="shared" si="343"/>
        <v>jun</v>
      </c>
      <c r="N2902">
        <f t="shared" si="344"/>
        <v>2025</v>
      </c>
      <c r="O2902" s="2">
        <f>_xlfn.XLOOKUP(A2902,Colaboradores!$A:$A,Colaboradores!$S:$S,"",0)</f>
        <v>45979</v>
      </c>
      <c r="P2902" t="str">
        <f t="shared" si="338"/>
        <v>157245812</v>
      </c>
    </row>
    <row r="2903" spans="1:16" x14ac:dyDescent="0.3">
      <c r="A2903">
        <v>1572</v>
      </c>
      <c r="B2903">
        <v>32</v>
      </c>
      <c r="C2903" t="s">
        <v>15</v>
      </c>
      <c r="D2903" t="s">
        <v>29</v>
      </c>
      <c r="E2903" t="s">
        <v>17</v>
      </c>
      <c r="F2903" t="s">
        <v>23</v>
      </c>
      <c r="G2903" t="s">
        <v>41</v>
      </c>
      <c r="H2903" t="s">
        <v>20</v>
      </c>
      <c r="I2903" s="1">
        <v>2</v>
      </c>
      <c r="J2903" s="2">
        <v>45853</v>
      </c>
      <c r="K2903" s="2">
        <v>45839</v>
      </c>
      <c r="L2903" s="1" t="str">
        <f t="shared" si="342"/>
        <v>ter</v>
      </c>
      <c r="M2903" s="1" t="str">
        <f t="shared" si="343"/>
        <v>jul</v>
      </c>
      <c r="N2903">
        <f t="shared" si="344"/>
        <v>2025</v>
      </c>
      <c r="O2903" s="2">
        <f>_xlfn.XLOOKUP(A2903,Colaboradores!$A:$A,Colaboradores!$S:$S,"",0)</f>
        <v>45979</v>
      </c>
      <c r="P2903" t="str">
        <f t="shared" si="338"/>
        <v>157245853</v>
      </c>
    </row>
    <row r="2904" spans="1:16" x14ac:dyDescent="0.3">
      <c r="A2904">
        <v>1572</v>
      </c>
      <c r="B2904">
        <v>32</v>
      </c>
      <c r="C2904" t="s">
        <v>15</v>
      </c>
      <c r="D2904" t="s">
        <v>29</v>
      </c>
      <c r="E2904" t="s">
        <v>17</v>
      </c>
      <c r="F2904" t="s">
        <v>23</v>
      </c>
      <c r="G2904" t="s">
        <v>41</v>
      </c>
      <c r="H2904" t="s">
        <v>20</v>
      </c>
      <c r="I2904" s="1">
        <v>2</v>
      </c>
      <c r="J2904" s="2">
        <v>45887</v>
      </c>
      <c r="K2904" s="2">
        <v>45870</v>
      </c>
      <c r="L2904" s="1" t="str">
        <f t="shared" si="342"/>
        <v>seg</v>
      </c>
      <c r="M2904" s="1" t="str">
        <f t="shared" si="343"/>
        <v>ago</v>
      </c>
      <c r="N2904">
        <f t="shared" si="344"/>
        <v>2025</v>
      </c>
      <c r="O2904" s="2">
        <f>_xlfn.XLOOKUP(A2904,Colaboradores!$A:$A,Colaboradores!$S:$S,"",0)</f>
        <v>45979</v>
      </c>
      <c r="P2904" t="str">
        <f t="shared" si="338"/>
        <v>157245887</v>
      </c>
    </row>
    <row r="2905" spans="1:16" x14ac:dyDescent="0.3">
      <c r="A2905">
        <v>1572</v>
      </c>
      <c r="B2905">
        <v>32</v>
      </c>
      <c r="C2905" t="s">
        <v>15</v>
      </c>
      <c r="D2905" t="s">
        <v>29</v>
      </c>
      <c r="E2905" t="s">
        <v>17</v>
      </c>
      <c r="F2905" t="s">
        <v>23</v>
      </c>
      <c r="G2905" t="s">
        <v>41</v>
      </c>
      <c r="H2905" t="s">
        <v>20</v>
      </c>
      <c r="I2905" s="1">
        <v>2</v>
      </c>
      <c r="J2905" s="2">
        <v>45942</v>
      </c>
      <c r="K2905" s="2">
        <v>45931</v>
      </c>
      <c r="L2905" s="1" t="str">
        <f t="shared" si="342"/>
        <v>dom</v>
      </c>
      <c r="M2905" s="1" t="str">
        <f t="shared" si="343"/>
        <v>out</v>
      </c>
      <c r="N2905">
        <f t="shared" si="344"/>
        <v>2025</v>
      </c>
      <c r="O2905" s="2">
        <f>_xlfn.XLOOKUP(A2905,Colaboradores!$A:$A,Colaboradores!$S:$S,"",0)</f>
        <v>45979</v>
      </c>
      <c r="P2905" t="str">
        <f t="shared" si="338"/>
        <v>157245942</v>
      </c>
    </row>
    <row r="2906" spans="1:16" x14ac:dyDescent="0.3">
      <c r="A2906">
        <v>1572</v>
      </c>
      <c r="B2906">
        <v>32</v>
      </c>
      <c r="C2906" t="s">
        <v>15</v>
      </c>
      <c r="D2906" t="s">
        <v>29</v>
      </c>
      <c r="E2906" t="s">
        <v>17</v>
      </c>
      <c r="F2906" t="s">
        <v>23</v>
      </c>
      <c r="G2906" t="s">
        <v>41</v>
      </c>
      <c r="H2906" t="s">
        <v>20</v>
      </c>
      <c r="I2906" s="1">
        <v>2</v>
      </c>
      <c r="J2906" s="2">
        <v>45969</v>
      </c>
      <c r="K2906" s="2">
        <v>45962</v>
      </c>
      <c r="L2906" s="1" t="str">
        <f t="shared" si="342"/>
        <v>sáb</v>
      </c>
      <c r="M2906" s="1" t="str">
        <f t="shared" si="343"/>
        <v>nov</v>
      </c>
      <c r="N2906">
        <f t="shared" si="344"/>
        <v>2025</v>
      </c>
      <c r="O2906" s="2">
        <f>_xlfn.XLOOKUP(A2906,Colaboradores!$A:$A,Colaboradores!$S:$S,"",0)</f>
        <v>45979</v>
      </c>
      <c r="P2906" t="str">
        <f t="shared" si="338"/>
        <v>157245969</v>
      </c>
    </row>
    <row r="2907" spans="1:16" x14ac:dyDescent="0.3">
      <c r="A2907">
        <v>1572</v>
      </c>
      <c r="B2907">
        <v>32</v>
      </c>
      <c r="C2907" t="s">
        <v>15</v>
      </c>
      <c r="D2907" t="s">
        <v>29</v>
      </c>
      <c r="E2907" t="s">
        <v>17</v>
      </c>
      <c r="F2907" t="s">
        <v>23</v>
      </c>
      <c r="G2907" t="s">
        <v>41</v>
      </c>
      <c r="H2907" t="s">
        <v>20</v>
      </c>
      <c r="I2907" s="1">
        <v>2</v>
      </c>
      <c r="J2907" s="2">
        <v>45975</v>
      </c>
      <c r="K2907" s="2">
        <v>45962</v>
      </c>
      <c r="L2907" s="1" t="str">
        <f t="shared" si="342"/>
        <v>sex</v>
      </c>
      <c r="M2907" s="1" t="str">
        <f t="shared" si="343"/>
        <v>nov</v>
      </c>
      <c r="N2907">
        <f t="shared" si="344"/>
        <v>2025</v>
      </c>
      <c r="O2907" s="2">
        <f>_xlfn.XLOOKUP(A2907,Colaboradores!$A:$A,Colaboradores!$S:$S,"",0)</f>
        <v>45979</v>
      </c>
      <c r="P2907" t="str">
        <f t="shared" si="338"/>
        <v>157245975</v>
      </c>
    </row>
    <row r="2908" spans="1:16" x14ac:dyDescent="0.3">
      <c r="A2908">
        <v>1573</v>
      </c>
      <c r="B2908">
        <v>27</v>
      </c>
      <c r="C2908" t="s">
        <v>15</v>
      </c>
      <c r="D2908" t="s">
        <v>22</v>
      </c>
      <c r="E2908" t="s">
        <v>17</v>
      </c>
      <c r="F2908" t="s">
        <v>18</v>
      </c>
      <c r="G2908" t="s">
        <v>40</v>
      </c>
      <c r="H2908" t="s">
        <v>25</v>
      </c>
      <c r="I2908" s="1">
        <v>3</v>
      </c>
      <c r="J2908" s="2">
        <v>45783</v>
      </c>
      <c r="K2908" s="2">
        <v>45778</v>
      </c>
      <c r="L2908" s="1" t="str">
        <f t="shared" si="342"/>
        <v>ter</v>
      </c>
      <c r="M2908" s="1" t="str">
        <f t="shared" si="343"/>
        <v>mai</v>
      </c>
      <c r="N2908">
        <f t="shared" si="344"/>
        <v>2025</v>
      </c>
      <c r="O2908" s="2"/>
      <c r="P2908" t="str">
        <f t="shared" si="338"/>
        <v>157345783</v>
      </c>
    </row>
    <row r="2909" spans="1:16" x14ac:dyDescent="0.3">
      <c r="A2909">
        <v>1573</v>
      </c>
      <c r="B2909">
        <v>27</v>
      </c>
      <c r="C2909" t="s">
        <v>15</v>
      </c>
      <c r="D2909" t="s">
        <v>22</v>
      </c>
      <c r="E2909" t="s">
        <v>17</v>
      </c>
      <c r="F2909" t="s">
        <v>18</v>
      </c>
      <c r="G2909" t="s">
        <v>40</v>
      </c>
      <c r="H2909" t="s">
        <v>25</v>
      </c>
      <c r="I2909" s="1">
        <v>3</v>
      </c>
      <c r="J2909" s="2">
        <v>45820</v>
      </c>
      <c r="K2909" s="2">
        <v>45809</v>
      </c>
      <c r="L2909" s="1" t="str">
        <f t="shared" si="342"/>
        <v>qui</v>
      </c>
      <c r="M2909" s="1" t="str">
        <f t="shared" si="343"/>
        <v>jun</v>
      </c>
      <c r="N2909">
        <f t="shared" si="344"/>
        <v>2025</v>
      </c>
      <c r="O2909" s="2"/>
      <c r="P2909" t="str">
        <f t="shared" si="338"/>
        <v>157345820</v>
      </c>
    </row>
    <row r="2910" spans="1:16" x14ac:dyDescent="0.3">
      <c r="A2910">
        <v>1573</v>
      </c>
      <c r="B2910">
        <v>27</v>
      </c>
      <c r="C2910" t="s">
        <v>15</v>
      </c>
      <c r="D2910" t="s">
        <v>22</v>
      </c>
      <c r="E2910" t="s">
        <v>17</v>
      </c>
      <c r="F2910" t="s">
        <v>18</v>
      </c>
      <c r="G2910" t="s">
        <v>41</v>
      </c>
      <c r="H2910" t="s">
        <v>25</v>
      </c>
      <c r="I2910" s="1">
        <v>3</v>
      </c>
      <c r="J2910" s="2">
        <v>45913</v>
      </c>
      <c r="K2910" s="2">
        <v>45901</v>
      </c>
      <c r="L2910" s="1" t="str">
        <f t="shared" si="342"/>
        <v>sáb</v>
      </c>
      <c r="M2910" s="1" t="str">
        <f t="shared" si="343"/>
        <v>set</v>
      </c>
      <c r="N2910">
        <f t="shared" si="344"/>
        <v>2025</v>
      </c>
      <c r="O2910" s="2"/>
      <c r="P2910" t="str">
        <f t="shared" si="338"/>
        <v>157345913</v>
      </c>
    </row>
    <row r="2911" spans="1:16" x14ac:dyDescent="0.3">
      <c r="A2911">
        <v>1573</v>
      </c>
      <c r="B2911">
        <v>27</v>
      </c>
      <c r="C2911" t="s">
        <v>15</v>
      </c>
      <c r="D2911" t="s">
        <v>22</v>
      </c>
      <c r="E2911" t="s">
        <v>17</v>
      </c>
      <c r="F2911" t="s">
        <v>18</v>
      </c>
      <c r="G2911" t="s">
        <v>41</v>
      </c>
      <c r="H2911" t="s">
        <v>25</v>
      </c>
      <c r="I2911" s="1">
        <v>3</v>
      </c>
      <c r="J2911" s="2">
        <v>45999</v>
      </c>
      <c r="K2911" s="2">
        <v>45992</v>
      </c>
      <c r="L2911" s="1" t="str">
        <f t="shared" si="342"/>
        <v>seg</v>
      </c>
      <c r="M2911" s="1" t="str">
        <f t="shared" si="343"/>
        <v>dez</v>
      </c>
      <c r="N2911">
        <f t="shared" si="344"/>
        <v>2025</v>
      </c>
      <c r="O2911" s="2"/>
      <c r="P2911" t="str">
        <f t="shared" si="338"/>
        <v>157345999</v>
      </c>
    </row>
    <row r="2912" spans="1:16" x14ac:dyDescent="0.3">
      <c r="A2912">
        <v>1573</v>
      </c>
      <c r="B2912">
        <v>27</v>
      </c>
      <c r="C2912" t="s">
        <v>15</v>
      </c>
      <c r="D2912" t="s">
        <v>22</v>
      </c>
      <c r="E2912" t="s">
        <v>17</v>
      </c>
      <c r="F2912" t="s">
        <v>18</v>
      </c>
      <c r="G2912" t="s">
        <v>41</v>
      </c>
      <c r="H2912" t="s">
        <v>25</v>
      </c>
      <c r="I2912" s="1">
        <v>3</v>
      </c>
      <c r="J2912" s="2">
        <v>46199</v>
      </c>
      <c r="K2912" s="2">
        <v>46023</v>
      </c>
      <c r="L2912" s="1" t="str">
        <f t="shared" si="342"/>
        <v>sex</v>
      </c>
      <c r="M2912" s="1" t="str">
        <f t="shared" si="343"/>
        <v>jun</v>
      </c>
      <c r="N2912">
        <f t="shared" si="344"/>
        <v>2026</v>
      </c>
      <c r="O2912" s="2"/>
      <c r="P2912" t="str">
        <f t="shared" si="338"/>
        <v>157346199</v>
      </c>
    </row>
    <row r="2913" spans="1:16" x14ac:dyDescent="0.3">
      <c r="A2913">
        <v>1573</v>
      </c>
      <c r="B2913">
        <v>27</v>
      </c>
      <c r="C2913" t="s">
        <v>15</v>
      </c>
      <c r="D2913" t="s">
        <v>22</v>
      </c>
      <c r="E2913" t="s">
        <v>17</v>
      </c>
      <c r="F2913" t="s">
        <v>18</v>
      </c>
      <c r="G2913" t="s">
        <v>40</v>
      </c>
      <c r="H2913" t="s">
        <v>25</v>
      </c>
      <c r="I2913" s="1">
        <v>3</v>
      </c>
      <c r="J2913" s="2">
        <v>46148</v>
      </c>
      <c r="K2913" s="2">
        <v>46143</v>
      </c>
      <c r="L2913" s="1" t="s">
        <v>50</v>
      </c>
      <c r="M2913" s="1" t="s">
        <v>49</v>
      </c>
      <c r="N2913">
        <v>2025</v>
      </c>
      <c r="O2913" s="2"/>
      <c r="P2913" t="str">
        <f t="shared" si="338"/>
        <v>157346148</v>
      </c>
    </row>
    <row r="2914" spans="1:16" x14ac:dyDescent="0.3">
      <c r="A2914">
        <v>1574</v>
      </c>
      <c r="B2914">
        <v>45</v>
      </c>
      <c r="C2914" t="s">
        <v>26</v>
      </c>
      <c r="D2914" t="s">
        <v>27</v>
      </c>
      <c r="E2914" t="s">
        <v>17</v>
      </c>
      <c r="F2914" t="s">
        <v>23</v>
      </c>
      <c r="G2914" t="s">
        <v>40</v>
      </c>
      <c r="H2914" t="s">
        <v>25</v>
      </c>
      <c r="I2914" s="1">
        <v>2</v>
      </c>
      <c r="J2914" s="2">
        <v>45775</v>
      </c>
      <c r="K2914" s="2">
        <v>45748</v>
      </c>
      <c r="L2914" s="1" t="str">
        <f t="shared" ref="L2914:L2919" si="345">TEXT(J2914,"ddd")</f>
        <v>seg</v>
      </c>
      <c r="M2914" s="1" t="str">
        <f t="shared" ref="M2914:M2919" si="346">TEXT($J2914,"mmm")</f>
        <v>abr</v>
      </c>
      <c r="N2914">
        <f t="shared" ref="N2914:N2919" si="347">YEAR(J2914)</f>
        <v>2025</v>
      </c>
      <c r="O2914" s="2"/>
      <c r="P2914" t="str">
        <f t="shared" si="338"/>
        <v>157445775</v>
      </c>
    </row>
    <row r="2915" spans="1:16" x14ac:dyDescent="0.3">
      <c r="A2915">
        <v>1574</v>
      </c>
      <c r="B2915">
        <v>45</v>
      </c>
      <c r="C2915" t="s">
        <v>26</v>
      </c>
      <c r="D2915" t="s">
        <v>27</v>
      </c>
      <c r="E2915" t="s">
        <v>17</v>
      </c>
      <c r="F2915" t="s">
        <v>23</v>
      </c>
      <c r="G2915" t="s">
        <v>40</v>
      </c>
      <c r="H2915" t="s">
        <v>25</v>
      </c>
      <c r="I2915" s="1">
        <v>2</v>
      </c>
      <c r="J2915" s="2">
        <v>45791</v>
      </c>
      <c r="K2915" s="2">
        <v>45778</v>
      </c>
      <c r="L2915" s="1" t="str">
        <f t="shared" si="345"/>
        <v>qua</v>
      </c>
      <c r="M2915" s="1" t="str">
        <f t="shared" si="346"/>
        <v>mai</v>
      </c>
      <c r="N2915">
        <f t="shared" si="347"/>
        <v>2025</v>
      </c>
      <c r="O2915" s="2"/>
      <c r="P2915" t="str">
        <f t="shared" si="338"/>
        <v>157445791</v>
      </c>
    </row>
    <row r="2916" spans="1:16" x14ac:dyDescent="0.3">
      <c r="A2916">
        <v>1574</v>
      </c>
      <c r="B2916">
        <v>45</v>
      </c>
      <c r="C2916" t="s">
        <v>26</v>
      </c>
      <c r="D2916" t="s">
        <v>27</v>
      </c>
      <c r="E2916" t="s">
        <v>17</v>
      </c>
      <c r="F2916" t="s">
        <v>23</v>
      </c>
      <c r="G2916" t="s">
        <v>40</v>
      </c>
      <c r="H2916" t="s">
        <v>25</v>
      </c>
      <c r="I2916" s="1">
        <v>2</v>
      </c>
      <c r="J2916" s="2">
        <v>45804</v>
      </c>
      <c r="K2916" s="2">
        <v>45778</v>
      </c>
      <c r="L2916" s="1" t="str">
        <f t="shared" si="345"/>
        <v>ter</v>
      </c>
      <c r="M2916" s="1" t="str">
        <f t="shared" si="346"/>
        <v>mai</v>
      </c>
      <c r="N2916">
        <f t="shared" si="347"/>
        <v>2025</v>
      </c>
      <c r="O2916" s="2"/>
      <c r="P2916" t="str">
        <f t="shared" si="338"/>
        <v>157445804</v>
      </c>
    </row>
    <row r="2917" spans="1:16" x14ac:dyDescent="0.3">
      <c r="A2917">
        <v>1574</v>
      </c>
      <c r="B2917">
        <v>45</v>
      </c>
      <c r="C2917" t="s">
        <v>26</v>
      </c>
      <c r="D2917" t="s">
        <v>27</v>
      </c>
      <c r="E2917" t="s">
        <v>17</v>
      </c>
      <c r="F2917" t="s">
        <v>23</v>
      </c>
      <c r="G2917" t="s">
        <v>40</v>
      </c>
      <c r="H2917" t="s">
        <v>25</v>
      </c>
      <c r="I2917" s="1">
        <v>2</v>
      </c>
      <c r="J2917" s="2">
        <v>45853</v>
      </c>
      <c r="K2917" s="2">
        <v>45839</v>
      </c>
      <c r="L2917" s="1" t="str">
        <f t="shared" si="345"/>
        <v>ter</v>
      </c>
      <c r="M2917" s="1" t="str">
        <f t="shared" si="346"/>
        <v>jul</v>
      </c>
      <c r="N2917">
        <f t="shared" si="347"/>
        <v>2025</v>
      </c>
      <c r="O2917" s="2"/>
      <c r="P2917" t="str">
        <f t="shared" si="338"/>
        <v>157445853</v>
      </c>
    </row>
    <row r="2918" spans="1:16" x14ac:dyDescent="0.3">
      <c r="A2918">
        <v>1574</v>
      </c>
      <c r="B2918">
        <v>45</v>
      </c>
      <c r="C2918" t="s">
        <v>26</v>
      </c>
      <c r="D2918" t="s">
        <v>27</v>
      </c>
      <c r="E2918" t="s">
        <v>17</v>
      </c>
      <c r="F2918" t="s">
        <v>23</v>
      </c>
      <c r="G2918" t="s">
        <v>40</v>
      </c>
      <c r="H2918" t="s">
        <v>25</v>
      </c>
      <c r="I2918" s="1">
        <v>2</v>
      </c>
      <c r="J2918" s="2">
        <v>45889</v>
      </c>
      <c r="K2918" s="2">
        <v>45870</v>
      </c>
      <c r="L2918" s="1" t="str">
        <f t="shared" si="345"/>
        <v>qua</v>
      </c>
      <c r="M2918" s="1" t="str">
        <f t="shared" si="346"/>
        <v>ago</v>
      </c>
      <c r="N2918">
        <f t="shared" si="347"/>
        <v>2025</v>
      </c>
      <c r="O2918" s="2"/>
      <c r="P2918" t="str">
        <f t="shared" si="338"/>
        <v>157445889</v>
      </c>
    </row>
    <row r="2919" spans="1:16" x14ac:dyDescent="0.3">
      <c r="A2919">
        <v>1574</v>
      </c>
      <c r="B2919">
        <v>45</v>
      </c>
      <c r="C2919" t="s">
        <v>26</v>
      </c>
      <c r="D2919" t="s">
        <v>27</v>
      </c>
      <c r="E2919" t="s">
        <v>17</v>
      </c>
      <c r="F2919" t="s">
        <v>23</v>
      </c>
      <c r="G2919" t="s">
        <v>40</v>
      </c>
      <c r="H2919" t="s">
        <v>25</v>
      </c>
      <c r="I2919" s="1">
        <v>2</v>
      </c>
      <c r="J2919" s="2">
        <v>46069</v>
      </c>
      <c r="K2919" s="2">
        <v>46054</v>
      </c>
      <c r="L2919" s="1" t="str">
        <f t="shared" si="345"/>
        <v>seg</v>
      </c>
      <c r="M2919" s="1" t="str">
        <f t="shared" si="346"/>
        <v>fev</v>
      </c>
      <c r="N2919">
        <f t="shared" si="347"/>
        <v>2026</v>
      </c>
      <c r="O2919" s="2"/>
      <c r="P2919" t="str">
        <f t="shared" si="338"/>
        <v>157446069</v>
      </c>
    </row>
    <row r="2920" spans="1:16" x14ac:dyDescent="0.3">
      <c r="A2920">
        <v>1574</v>
      </c>
      <c r="B2920">
        <v>45</v>
      </c>
      <c r="C2920" t="s">
        <v>26</v>
      </c>
      <c r="D2920" t="s">
        <v>27</v>
      </c>
      <c r="E2920" t="s">
        <v>17</v>
      </c>
      <c r="F2920" t="s">
        <v>23</v>
      </c>
      <c r="G2920" t="s">
        <v>40</v>
      </c>
      <c r="H2920" t="s">
        <v>25</v>
      </c>
      <c r="I2920" s="1">
        <v>2</v>
      </c>
      <c r="J2920" s="2">
        <v>46140</v>
      </c>
      <c r="K2920" s="2">
        <v>46113</v>
      </c>
      <c r="L2920" s="1" t="s">
        <v>56</v>
      </c>
      <c r="M2920" s="1" t="s">
        <v>48</v>
      </c>
      <c r="N2920">
        <v>2025</v>
      </c>
      <c r="O2920" s="2"/>
      <c r="P2920" t="str">
        <f t="shared" si="338"/>
        <v>157446140</v>
      </c>
    </row>
    <row r="2921" spans="1:16" x14ac:dyDescent="0.3">
      <c r="A2921">
        <v>1574</v>
      </c>
      <c r="B2921">
        <v>45</v>
      </c>
      <c r="C2921" t="s">
        <v>26</v>
      </c>
      <c r="D2921" t="s">
        <v>27</v>
      </c>
      <c r="E2921" t="s">
        <v>17</v>
      </c>
      <c r="F2921" t="s">
        <v>23</v>
      </c>
      <c r="G2921" t="s">
        <v>40</v>
      </c>
      <c r="H2921" t="s">
        <v>25</v>
      </c>
      <c r="I2921" s="1">
        <v>2</v>
      </c>
      <c r="J2921" s="2">
        <v>46156</v>
      </c>
      <c r="K2921" s="2">
        <v>46143</v>
      </c>
      <c r="L2921" s="1" t="s">
        <v>51</v>
      </c>
      <c r="M2921" s="1" t="s">
        <v>49</v>
      </c>
      <c r="N2921">
        <v>2025</v>
      </c>
      <c r="O2921" s="2"/>
      <c r="P2921" t="str">
        <f t="shared" si="338"/>
        <v>157446156</v>
      </c>
    </row>
    <row r="2922" spans="1:16" x14ac:dyDescent="0.3">
      <c r="A2922">
        <v>1574</v>
      </c>
      <c r="B2922">
        <v>45</v>
      </c>
      <c r="C2922" t="s">
        <v>26</v>
      </c>
      <c r="D2922" t="s">
        <v>27</v>
      </c>
      <c r="E2922" t="s">
        <v>17</v>
      </c>
      <c r="F2922" t="s">
        <v>23</v>
      </c>
      <c r="G2922" t="s">
        <v>40</v>
      </c>
      <c r="H2922" t="s">
        <v>25</v>
      </c>
      <c r="I2922" s="1">
        <v>2</v>
      </c>
      <c r="J2922" s="2">
        <v>46169</v>
      </c>
      <c r="K2922" s="2">
        <v>46143</v>
      </c>
      <c r="L2922" s="1" t="s">
        <v>50</v>
      </c>
      <c r="M2922" s="1" t="s">
        <v>49</v>
      </c>
      <c r="N2922">
        <v>2025</v>
      </c>
      <c r="O2922" s="2"/>
      <c r="P2922" t="str">
        <f t="shared" si="338"/>
        <v>157446169</v>
      </c>
    </row>
    <row r="2923" spans="1:16" x14ac:dyDescent="0.3">
      <c r="A2923">
        <v>1575</v>
      </c>
      <c r="B2923">
        <v>36</v>
      </c>
      <c r="C2923" t="s">
        <v>15</v>
      </c>
      <c r="D2923" t="s">
        <v>16</v>
      </c>
      <c r="E2923" t="s">
        <v>17</v>
      </c>
      <c r="F2923" t="s">
        <v>23</v>
      </c>
      <c r="G2923" t="s">
        <v>40</v>
      </c>
      <c r="H2923" t="s">
        <v>25</v>
      </c>
      <c r="I2923" s="1">
        <v>2</v>
      </c>
      <c r="J2923" s="2">
        <v>45769</v>
      </c>
      <c r="K2923" s="2">
        <v>45748</v>
      </c>
      <c r="L2923" s="1" t="str">
        <f t="shared" ref="L2923:L2928" si="348">TEXT(J2923,"ddd")</f>
        <v>ter</v>
      </c>
      <c r="M2923" s="1" t="str">
        <f t="shared" ref="M2923:M2928" si="349">TEXT($J2923,"mmm")</f>
        <v>abr</v>
      </c>
      <c r="N2923">
        <f t="shared" ref="N2923:N2928" si="350">YEAR(J2923)</f>
        <v>2025</v>
      </c>
      <c r="O2923" s="2"/>
      <c r="P2923" t="str">
        <f t="shared" si="338"/>
        <v>157545769</v>
      </c>
    </row>
    <row r="2924" spans="1:16" x14ac:dyDescent="0.3">
      <c r="A2924">
        <v>1575</v>
      </c>
      <c r="B2924">
        <v>36</v>
      </c>
      <c r="C2924" t="s">
        <v>15</v>
      </c>
      <c r="D2924" t="s">
        <v>16</v>
      </c>
      <c r="E2924" t="s">
        <v>17</v>
      </c>
      <c r="F2924" t="s">
        <v>23</v>
      </c>
      <c r="G2924" t="s">
        <v>42</v>
      </c>
      <c r="H2924" t="s">
        <v>25</v>
      </c>
      <c r="I2924" s="1">
        <v>2</v>
      </c>
      <c r="J2924" s="2">
        <v>45799</v>
      </c>
      <c r="K2924" s="2">
        <v>45778</v>
      </c>
      <c r="L2924" s="1" t="str">
        <f t="shared" si="348"/>
        <v>qui</v>
      </c>
      <c r="M2924" s="1" t="str">
        <f t="shared" si="349"/>
        <v>mai</v>
      </c>
      <c r="N2924">
        <f t="shared" si="350"/>
        <v>2025</v>
      </c>
      <c r="O2924" s="2"/>
      <c r="P2924" t="str">
        <f t="shared" si="338"/>
        <v>157545799</v>
      </c>
    </row>
    <row r="2925" spans="1:16" x14ac:dyDescent="0.3">
      <c r="A2925">
        <v>1575</v>
      </c>
      <c r="B2925">
        <v>36</v>
      </c>
      <c r="C2925" t="s">
        <v>15</v>
      </c>
      <c r="D2925" t="s">
        <v>16</v>
      </c>
      <c r="E2925" t="s">
        <v>17</v>
      </c>
      <c r="F2925" t="s">
        <v>23</v>
      </c>
      <c r="G2925" t="s">
        <v>40</v>
      </c>
      <c r="H2925" t="s">
        <v>25</v>
      </c>
      <c r="I2925" s="1">
        <v>2</v>
      </c>
      <c r="J2925" s="2">
        <v>45811</v>
      </c>
      <c r="K2925" s="2">
        <v>45809</v>
      </c>
      <c r="L2925" s="1" t="str">
        <f t="shared" si="348"/>
        <v>ter</v>
      </c>
      <c r="M2925" s="1" t="str">
        <f t="shared" si="349"/>
        <v>jun</v>
      </c>
      <c r="N2925">
        <f t="shared" si="350"/>
        <v>2025</v>
      </c>
      <c r="O2925" s="2"/>
      <c r="P2925" t="str">
        <f t="shared" si="338"/>
        <v>157545811</v>
      </c>
    </row>
    <row r="2926" spans="1:16" x14ac:dyDescent="0.3">
      <c r="A2926">
        <v>1575</v>
      </c>
      <c r="B2926">
        <v>36</v>
      </c>
      <c r="C2926" t="s">
        <v>15</v>
      </c>
      <c r="D2926" t="s">
        <v>16</v>
      </c>
      <c r="E2926" t="s">
        <v>17</v>
      </c>
      <c r="F2926" t="s">
        <v>23</v>
      </c>
      <c r="G2926" t="s">
        <v>42</v>
      </c>
      <c r="H2926" t="s">
        <v>25</v>
      </c>
      <c r="I2926" s="1">
        <v>2</v>
      </c>
      <c r="J2926" s="2">
        <v>45868</v>
      </c>
      <c r="K2926" s="2">
        <v>45839</v>
      </c>
      <c r="L2926" s="1" t="str">
        <f t="shared" si="348"/>
        <v>qua</v>
      </c>
      <c r="M2926" s="1" t="str">
        <f t="shared" si="349"/>
        <v>jul</v>
      </c>
      <c r="N2926">
        <f t="shared" si="350"/>
        <v>2025</v>
      </c>
      <c r="O2926" s="2"/>
      <c r="P2926" t="str">
        <f t="shared" si="338"/>
        <v>157545868</v>
      </c>
    </row>
    <row r="2927" spans="1:16" x14ac:dyDescent="0.3">
      <c r="A2927">
        <v>1575</v>
      </c>
      <c r="B2927">
        <v>36</v>
      </c>
      <c r="C2927" t="s">
        <v>15</v>
      </c>
      <c r="D2927" t="s">
        <v>16</v>
      </c>
      <c r="E2927" t="s">
        <v>17</v>
      </c>
      <c r="F2927" t="s">
        <v>23</v>
      </c>
      <c r="G2927" t="s">
        <v>40</v>
      </c>
      <c r="H2927" t="s">
        <v>25</v>
      </c>
      <c r="I2927" s="1">
        <v>2</v>
      </c>
      <c r="J2927" s="2">
        <v>45889</v>
      </c>
      <c r="K2927" s="2">
        <v>45870</v>
      </c>
      <c r="L2927" s="1" t="str">
        <f t="shared" si="348"/>
        <v>qua</v>
      </c>
      <c r="M2927" s="1" t="str">
        <f t="shared" si="349"/>
        <v>ago</v>
      </c>
      <c r="N2927">
        <f t="shared" si="350"/>
        <v>2025</v>
      </c>
      <c r="O2927" s="2"/>
      <c r="P2927" t="str">
        <f t="shared" si="338"/>
        <v>157545889</v>
      </c>
    </row>
    <row r="2928" spans="1:16" x14ac:dyDescent="0.3">
      <c r="A2928">
        <v>1575</v>
      </c>
      <c r="B2928">
        <v>36</v>
      </c>
      <c r="C2928" t="s">
        <v>15</v>
      </c>
      <c r="D2928" t="s">
        <v>16</v>
      </c>
      <c r="E2928" t="s">
        <v>17</v>
      </c>
      <c r="F2928" t="s">
        <v>23</v>
      </c>
      <c r="G2928" t="s">
        <v>40</v>
      </c>
      <c r="H2928" t="s">
        <v>25</v>
      </c>
      <c r="I2928" s="1">
        <v>2</v>
      </c>
      <c r="J2928" s="2">
        <v>46020</v>
      </c>
      <c r="K2928" s="2">
        <v>45992</v>
      </c>
      <c r="L2928" s="1" t="str">
        <f t="shared" si="348"/>
        <v>seg</v>
      </c>
      <c r="M2928" s="1" t="str">
        <f t="shared" si="349"/>
        <v>dez</v>
      </c>
      <c r="N2928">
        <f t="shared" si="350"/>
        <v>2025</v>
      </c>
      <c r="O2928" s="2"/>
      <c r="P2928" t="str">
        <f t="shared" si="338"/>
        <v>157546020</v>
      </c>
    </row>
    <row r="2929" spans="1:16" x14ac:dyDescent="0.3">
      <c r="A2929">
        <v>1575</v>
      </c>
      <c r="B2929">
        <v>36</v>
      </c>
      <c r="C2929" t="s">
        <v>15</v>
      </c>
      <c r="D2929" t="s">
        <v>16</v>
      </c>
      <c r="E2929" t="s">
        <v>17</v>
      </c>
      <c r="F2929" t="s">
        <v>23</v>
      </c>
      <c r="G2929" t="s">
        <v>40</v>
      </c>
      <c r="H2929" t="s">
        <v>25</v>
      </c>
      <c r="I2929" s="1">
        <v>2</v>
      </c>
      <c r="J2929" s="2">
        <v>46134</v>
      </c>
      <c r="K2929" s="2">
        <v>46113</v>
      </c>
      <c r="L2929" s="1" t="s">
        <v>50</v>
      </c>
      <c r="M2929" s="1" t="s">
        <v>48</v>
      </c>
      <c r="N2929">
        <v>2025</v>
      </c>
      <c r="O2929" s="2"/>
      <c r="P2929" t="str">
        <f t="shared" si="338"/>
        <v>157546134</v>
      </c>
    </row>
    <row r="2930" spans="1:16" x14ac:dyDescent="0.3">
      <c r="A2930">
        <v>1575</v>
      </c>
      <c r="B2930">
        <v>36</v>
      </c>
      <c r="C2930" t="s">
        <v>15</v>
      </c>
      <c r="D2930" t="s">
        <v>16</v>
      </c>
      <c r="E2930" t="s">
        <v>17</v>
      </c>
      <c r="F2930" t="s">
        <v>23</v>
      </c>
      <c r="G2930" t="s">
        <v>42</v>
      </c>
      <c r="H2930" t="s">
        <v>25</v>
      </c>
      <c r="I2930" s="1">
        <v>2</v>
      </c>
      <c r="J2930" s="2">
        <v>46164</v>
      </c>
      <c r="K2930" s="2">
        <v>46143</v>
      </c>
      <c r="L2930" s="1" t="s">
        <v>52</v>
      </c>
      <c r="M2930" s="1" t="s">
        <v>49</v>
      </c>
      <c r="N2930">
        <v>2025</v>
      </c>
      <c r="O2930" s="2"/>
      <c r="P2930" t="str">
        <f t="shared" si="338"/>
        <v>157546164</v>
      </c>
    </row>
    <row r="2931" spans="1:16" x14ac:dyDescent="0.3">
      <c r="A2931">
        <v>1576</v>
      </c>
      <c r="B2931">
        <v>57</v>
      </c>
      <c r="C2931" t="s">
        <v>15</v>
      </c>
      <c r="D2931" t="s">
        <v>27</v>
      </c>
      <c r="E2931" t="s">
        <v>17</v>
      </c>
      <c r="F2931" t="s">
        <v>23</v>
      </c>
      <c r="G2931" t="s">
        <v>41</v>
      </c>
      <c r="H2931" t="s">
        <v>20</v>
      </c>
      <c r="I2931" s="1">
        <v>2</v>
      </c>
      <c r="J2931" s="2">
        <v>45733</v>
      </c>
      <c r="K2931" s="2">
        <v>45717</v>
      </c>
      <c r="L2931" s="1" t="str">
        <f t="shared" ref="L2931:L2947" si="351">TEXT(J2931,"ddd")</f>
        <v>seg</v>
      </c>
      <c r="M2931" s="1" t="str">
        <f t="shared" ref="M2931:M2947" si="352">TEXT($J2931,"mmm")</f>
        <v>mar</v>
      </c>
      <c r="N2931">
        <f t="shared" ref="N2931:N2947" si="353">YEAR(J2931)</f>
        <v>2025</v>
      </c>
      <c r="O2931" s="2">
        <f>_xlfn.XLOOKUP(A2931,Colaboradores!$A:$A,Colaboradores!$S:$S,"",0)</f>
        <v>45822</v>
      </c>
      <c r="P2931" t="str">
        <f t="shared" si="338"/>
        <v>157645733</v>
      </c>
    </row>
    <row r="2932" spans="1:16" x14ac:dyDescent="0.3">
      <c r="A2932">
        <v>1576</v>
      </c>
      <c r="B2932">
        <v>57</v>
      </c>
      <c r="C2932" t="s">
        <v>15</v>
      </c>
      <c r="D2932" t="s">
        <v>27</v>
      </c>
      <c r="E2932" t="s">
        <v>17</v>
      </c>
      <c r="F2932" t="s">
        <v>23</v>
      </c>
      <c r="G2932" t="s">
        <v>57</v>
      </c>
      <c r="H2932" t="s">
        <v>20</v>
      </c>
      <c r="I2932" s="1">
        <v>2</v>
      </c>
      <c r="J2932" s="2">
        <v>45745</v>
      </c>
      <c r="K2932" s="2">
        <v>45717</v>
      </c>
      <c r="L2932" s="1" t="str">
        <f t="shared" si="351"/>
        <v>sáb</v>
      </c>
      <c r="M2932" s="1" t="str">
        <f t="shared" si="352"/>
        <v>mar</v>
      </c>
      <c r="N2932">
        <f t="shared" si="353"/>
        <v>2025</v>
      </c>
      <c r="O2932" s="2">
        <f>_xlfn.XLOOKUP(A2932,Colaboradores!$A:$A,Colaboradores!$S:$S,"",0)</f>
        <v>45822</v>
      </c>
      <c r="P2932" t="str">
        <f t="shared" si="338"/>
        <v>157645745</v>
      </c>
    </row>
    <row r="2933" spans="1:16" x14ac:dyDescent="0.3">
      <c r="A2933">
        <v>1576</v>
      </c>
      <c r="B2933">
        <v>57</v>
      </c>
      <c r="C2933" t="s">
        <v>15</v>
      </c>
      <c r="D2933" t="s">
        <v>27</v>
      </c>
      <c r="E2933" t="s">
        <v>17</v>
      </c>
      <c r="F2933" t="s">
        <v>23</v>
      </c>
      <c r="G2933" t="s">
        <v>44</v>
      </c>
      <c r="H2933" t="s">
        <v>20</v>
      </c>
      <c r="I2933" s="1">
        <v>2</v>
      </c>
      <c r="J2933" s="2">
        <v>45781</v>
      </c>
      <c r="K2933" s="2">
        <v>45778</v>
      </c>
      <c r="L2933" s="1" t="str">
        <f t="shared" si="351"/>
        <v>dom</v>
      </c>
      <c r="M2933" s="1" t="str">
        <f t="shared" si="352"/>
        <v>mai</v>
      </c>
      <c r="N2933">
        <f t="shared" si="353"/>
        <v>2025</v>
      </c>
      <c r="O2933" s="2">
        <f>_xlfn.XLOOKUP(A2933,Colaboradores!$A:$A,Colaboradores!$S:$S,"",0)</f>
        <v>45822</v>
      </c>
      <c r="P2933" t="str">
        <f t="shared" si="338"/>
        <v>157645781</v>
      </c>
    </row>
    <row r="2934" spans="1:16" x14ac:dyDescent="0.3">
      <c r="A2934">
        <v>1576</v>
      </c>
      <c r="B2934">
        <v>57</v>
      </c>
      <c r="C2934" t="s">
        <v>15</v>
      </c>
      <c r="D2934" t="s">
        <v>27</v>
      </c>
      <c r="E2934" t="s">
        <v>17</v>
      </c>
      <c r="F2934" t="s">
        <v>23</v>
      </c>
      <c r="G2934" t="s">
        <v>44</v>
      </c>
      <c r="H2934" t="s">
        <v>20</v>
      </c>
      <c r="I2934" s="1">
        <v>2</v>
      </c>
      <c r="J2934" s="2">
        <v>45802</v>
      </c>
      <c r="K2934" s="2">
        <v>45778</v>
      </c>
      <c r="L2934" s="1" t="str">
        <f t="shared" si="351"/>
        <v>dom</v>
      </c>
      <c r="M2934" s="1" t="str">
        <f t="shared" si="352"/>
        <v>mai</v>
      </c>
      <c r="N2934">
        <f t="shared" si="353"/>
        <v>2025</v>
      </c>
      <c r="O2934" s="2">
        <f>_xlfn.XLOOKUP(A2934,Colaboradores!$A:$A,Colaboradores!$S:$S,"",0)</f>
        <v>45822</v>
      </c>
      <c r="P2934" t="str">
        <f t="shared" si="338"/>
        <v>157645802</v>
      </c>
    </row>
    <row r="2935" spans="1:16" x14ac:dyDescent="0.3">
      <c r="A2935">
        <v>1576</v>
      </c>
      <c r="B2935">
        <v>57</v>
      </c>
      <c r="C2935" t="s">
        <v>15</v>
      </c>
      <c r="D2935" t="s">
        <v>27</v>
      </c>
      <c r="E2935" t="s">
        <v>17</v>
      </c>
      <c r="F2935" t="s">
        <v>23</v>
      </c>
      <c r="G2935" t="s">
        <v>44</v>
      </c>
      <c r="H2935" t="s">
        <v>20</v>
      </c>
      <c r="I2935" s="1">
        <v>2</v>
      </c>
      <c r="J2935" s="2">
        <v>45809</v>
      </c>
      <c r="K2935" s="2">
        <v>45809</v>
      </c>
      <c r="L2935" s="1" t="str">
        <f t="shared" si="351"/>
        <v>dom</v>
      </c>
      <c r="M2935" s="1" t="str">
        <f t="shared" si="352"/>
        <v>jun</v>
      </c>
      <c r="N2935">
        <f t="shared" si="353"/>
        <v>2025</v>
      </c>
      <c r="O2935" s="2">
        <f>_xlfn.XLOOKUP(A2935,Colaboradores!$A:$A,Colaboradores!$S:$S,"",0)</f>
        <v>45822</v>
      </c>
      <c r="P2935" t="str">
        <f t="shared" si="338"/>
        <v>157645809</v>
      </c>
    </row>
    <row r="2936" spans="1:16" x14ac:dyDescent="0.3">
      <c r="A2936">
        <v>1576</v>
      </c>
      <c r="B2936">
        <v>57</v>
      </c>
      <c r="C2936" t="s">
        <v>15</v>
      </c>
      <c r="D2936" t="s">
        <v>27</v>
      </c>
      <c r="E2936" t="s">
        <v>17</v>
      </c>
      <c r="F2936" t="s">
        <v>23</v>
      </c>
      <c r="G2936" t="s">
        <v>41</v>
      </c>
      <c r="H2936" t="s">
        <v>20</v>
      </c>
      <c r="I2936" s="1">
        <v>2</v>
      </c>
      <c r="J2936" s="2">
        <v>45814</v>
      </c>
      <c r="K2936" s="2">
        <v>45809</v>
      </c>
      <c r="L2936" s="1" t="str">
        <f t="shared" si="351"/>
        <v>sex</v>
      </c>
      <c r="M2936" s="1" t="str">
        <f t="shared" si="352"/>
        <v>jun</v>
      </c>
      <c r="N2936">
        <f t="shared" si="353"/>
        <v>2025</v>
      </c>
      <c r="O2936" s="2">
        <f>_xlfn.XLOOKUP(A2936,Colaboradores!$A:$A,Colaboradores!$S:$S,"",0)</f>
        <v>45822</v>
      </c>
      <c r="P2936" t="str">
        <f t="shared" si="338"/>
        <v>157645814</v>
      </c>
    </row>
    <row r="2937" spans="1:16" x14ac:dyDescent="0.3">
      <c r="A2937">
        <v>1577</v>
      </c>
      <c r="B2937">
        <v>23</v>
      </c>
      <c r="C2937" t="s">
        <v>26</v>
      </c>
      <c r="D2937" t="s">
        <v>29</v>
      </c>
      <c r="E2937" t="s">
        <v>17</v>
      </c>
      <c r="F2937" t="s">
        <v>18</v>
      </c>
      <c r="G2937" t="s">
        <v>41</v>
      </c>
      <c r="H2937" t="s">
        <v>20</v>
      </c>
      <c r="I2937" s="1">
        <v>2</v>
      </c>
      <c r="J2937" s="2">
        <v>45815</v>
      </c>
      <c r="K2937" s="2">
        <v>45809</v>
      </c>
      <c r="L2937" s="1" t="str">
        <f t="shared" si="351"/>
        <v>sáb</v>
      </c>
      <c r="M2937" s="1" t="str">
        <f t="shared" si="352"/>
        <v>jun</v>
      </c>
      <c r="N2937">
        <f t="shared" si="353"/>
        <v>2025</v>
      </c>
      <c r="O2937" s="2">
        <f>_xlfn.XLOOKUP(A2937,Colaboradores!$A:$A,Colaboradores!$S:$S,"",0)</f>
        <v>46118</v>
      </c>
      <c r="P2937" t="str">
        <f t="shared" si="338"/>
        <v>157745815</v>
      </c>
    </row>
    <row r="2938" spans="1:16" x14ac:dyDescent="0.3">
      <c r="A2938">
        <v>1577</v>
      </c>
      <c r="B2938">
        <v>23</v>
      </c>
      <c r="C2938" t="s">
        <v>26</v>
      </c>
      <c r="D2938" t="s">
        <v>29</v>
      </c>
      <c r="E2938" t="s">
        <v>17</v>
      </c>
      <c r="F2938" t="s">
        <v>18</v>
      </c>
      <c r="G2938" t="s">
        <v>41</v>
      </c>
      <c r="H2938" t="s">
        <v>20</v>
      </c>
      <c r="I2938" s="1">
        <v>2</v>
      </c>
      <c r="J2938" s="2">
        <v>45827</v>
      </c>
      <c r="K2938" s="2">
        <v>45809</v>
      </c>
      <c r="L2938" s="1" t="str">
        <f t="shared" si="351"/>
        <v>qui</v>
      </c>
      <c r="M2938" s="1" t="str">
        <f t="shared" si="352"/>
        <v>jun</v>
      </c>
      <c r="N2938">
        <f t="shared" si="353"/>
        <v>2025</v>
      </c>
      <c r="O2938" s="2">
        <f>_xlfn.XLOOKUP(A2938,Colaboradores!$A:$A,Colaboradores!$S:$S,"",0)</f>
        <v>46118</v>
      </c>
      <c r="P2938" t="str">
        <f t="shared" si="338"/>
        <v>157745827</v>
      </c>
    </row>
    <row r="2939" spans="1:16" x14ac:dyDescent="0.3">
      <c r="A2939">
        <v>1577</v>
      </c>
      <c r="B2939">
        <v>23</v>
      </c>
      <c r="C2939" t="s">
        <v>26</v>
      </c>
      <c r="D2939" t="s">
        <v>29</v>
      </c>
      <c r="E2939" t="s">
        <v>17</v>
      </c>
      <c r="F2939" t="s">
        <v>18</v>
      </c>
      <c r="G2939" t="s">
        <v>41</v>
      </c>
      <c r="H2939" t="s">
        <v>20</v>
      </c>
      <c r="I2939" s="1">
        <v>2</v>
      </c>
      <c r="J2939" s="2">
        <v>45864</v>
      </c>
      <c r="K2939" s="2">
        <v>45839</v>
      </c>
      <c r="L2939" s="1" t="str">
        <f t="shared" si="351"/>
        <v>sáb</v>
      </c>
      <c r="M2939" s="1" t="str">
        <f t="shared" si="352"/>
        <v>jul</v>
      </c>
      <c r="N2939">
        <f t="shared" si="353"/>
        <v>2025</v>
      </c>
      <c r="O2939" s="2">
        <f>_xlfn.XLOOKUP(A2939,Colaboradores!$A:$A,Colaboradores!$S:$S,"",0)</f>
        <v>46118</v>
      </c>
      <c r="P2939" t="str">
        <f t="shared" si="338"/>
        <v>157745864</v>
      </c>
    </row>
    <row r="2940" spans="1:16" x14ac:dyDescent="0.3">
      <c r="A2940">
        <v>1577</v>
      </c>
      <c r="B2940">
        <v>23</v>
      </c>
      <c r="C2940" t="s">
        <v>26</v>
      </c>
      <c r="D2940" t="s">
        <v>29</v>
      </c>
      <c r="E2940" t="s">
        <v>17</v>
      </c>
      <c r="F2940" t="s">
        <v>18</v>
      </c>
      <c r="G2940" t="s">
        <v>41</v>
      </c>
      <c r="H2940" t="s">
        <v>20</v>
      </c>
      <c r="I2940" s="1">
        <v>2</v>
      </c>
      <c r="J2940" s="2">
        <v>45895</v>
      </c>
      <c r="K2940" s="2">
        <v>45870</v>
      </c>
      <c r="L2940" s="1" t="str">
        <f t="shared" si="351"/>
        <v>ter</v>
      </c>
      <c r="M2940" s="1" t="str">
        <f t="shared" si="352"/>
        <v>ago</v>
      </c>
      <c r="N2940">
        <f t="shared" si="353"/>
        <v>2025</v>
      </c>
      <c r="O2940" s="2">
        <f>_xlfn.XLOOKUP(A2940,Colaboradores!$A:$A,Colaboradores!$S:$S,"",0)</f>
        <v>46118</v>
      </c>
      <c r="P2940" t="str">
        <f t="shared" si="338"/>
        <v>157745895</v>
      </c>
    </row>
    <row r="2941" spans="1:16" x14ac:dyDescent="0.3">
      <c r="A2941">
        <v>1577</v>
      </c>
      <c r="B2941">
        <v>23</v>
      </c>
      <c r="C2941" t="s">
        <v>26</v>
      </c>
      <c r="D2941" t="s">
        <v>29</v>
      </c>
      <c r="E2941" t="s">
        <v>17</v>
      </c>
      <c r="F2941" t="s">
        <v>18</v>
      </c>
      <c r="G2941" t="s">
        <v>41</v>
      </c>
      <c r="H2941" t="s">
        <v>20</v>
      </c>
      <c r="I2941" s="1">
        <v>2</v>
      </c>
      <c r="J2941" s="2">
        <v>46181</v>
      </c>
      <c r="K2941" s="2">
        <v>46023</v>
      </c>
      <c r="L2941" s="1" t="str">
        <f t="shared" si="351"/>
        <v>seg</v>
      </c>
      <c r="M2941" s="1" t="str">
        <f t="shared" si="352"/>
        <v>jun</v>
      </c>
      <c r="N2941">
        <f t="shared" si="353"/>
        <v>2026</v>
      </c>
      <c r="O2941" s="2">
        <f>_xlfn.XLOOKUP(A2941,Colaboradores!$A:$A,Colaboradores!$S:$S,"",0)</f>
        <v>46118</v>
      </c>
      <c r="P2941" t="str">
        <f t="shared" si="338"/>
        <v>157746181</v>
      </c>
    </row>
    <row r="2942" spans="1:16" x14ac:dyDescent="0.3">
      <c r="A2942">
        <v>1577</v>
      </c>
      <c r="B2942">
        <v>23</v>
      </c>
      <c r="C2942" t="s">
        <v>26</v>
      </c>
      <c r="D2942" t="s">
        <v>29</v>
      </c>
      <c r="E2942" t="s">
        <v>17</v>
      </c>
      <c r="F2942" t="s">
        <v>18</v>
      </c>
      <c r="G2942" t="s">
        <v>41</v>
      </c>
      <c r="H2942" t="s">
        <v>20</v>
      </c>
      <c r="I2942" s="1">
        <v>2</v>
      </c>
      <c r="J2942" s="2">
        <v>46094</v>
      </c>
      <c r="K2942" s="2">
        <v>46082</v>
      </c>
      <c r="L2942" s="1" t="str">
        <f t="shared" si="351"/>
        <v>sex</v>
      </c>
      <c r="M2942" s="1" t="str">
        <f t="shared" si="352"/>
        <v>mar</v>
      </c>
      <c r="N2942">
        <f t="shared" si="353"/>
        <v>2026</v>
      </c>
      <c r="O2942" s="2">
        <f>_xlfn.XLOOKUP(A2942,Colaboradores!$A:$A,Colaboradores!$S:$S,"",0)</f>
        <v>46118</v>
      </c>
      <c r="P2942" t="str">
        <f t="shared" ref="P2942:P3005" si="354">CONCATENATE(A2942,J2942)</f>
        <v>157746094</v>
      </c>
    </row>
    <row r="2943" spans="1:16" x14ac:dyDescent="0.3">
      <c r="A2943">
        <v>1579</v>
      </c>
      <c r="B2943">
        <v>22</v>
      </c>
      <c r="C2943" t="s">
        <v>15</v>
      </c>
      <c r="D2943" t="s">
        <v>16</v>
      </c>
      <c r="E2943" t="s">
        <v>17</v>
      </c>
      <c r="F2943" t="s">
        <v>18</v>
      </c>
      <c r="G2943" t="s">
        <v>40</v>
      </c>
      <c r="H2943" t="s">
        <v>25</v>
      </c>
      <c r="I2943" s="1">
        <v>2</v>
      </c>
      <c r="J2943" s="2">
        <v>45797</v>
      </c>
      <c r="K2943" s="2">
        <v>45778</v>
      </c>
      <c r="L2943" s="1" t="str">
        <f t="shared" si="351"/>
        <v>ter</v>
      </c>
      <c r="M2943" s="1" t="str">
        <f t="shared" si="352"/>
        <v>mai</v>
      </c>
      <c r="N2943">
        <f t="shared" si="353"/>
        <v>2025</v>
      </c>
      <c r="O2943" s="2"/>
      <c r="P2943" t="str">
        <f t="shared" si="354"/>
        <v>157945797</v>
      </c>
    </row>
    <row r="2944" spans="1:16" x14ac:dyDescent="0.3">
      <c r="A2944">
        <v>1579</v>
      </c>
      <c r="B2944">
        <v>22</v>
      </c>
      <c r="C2944" t="s">
        <v>15</v>
      </c>
      <c r="D2944" t="s">
        <v>16</v>
      </c>
      <c r="E2944" t="s">
        <v>17</v>
      </c>
      <c r="F2944" t="s">
        <v>18</v>
      </c>
      <c r="G2944" t="s">
        <v>40</v>
      </c>
      <c r="H2944" t="s">
        <v>25</v>
      </c>
      <c r="I2944" s="1">
        <v>2</v>
      </c>
      <c r="J2944" s="2">
        <v>45888</v>
      </c>
      <c r="K2944" s="2">
        <v>45870</v>
      </c>
      <c r="L2944" s="1" t="str">
        <f t="shared" si="351"/>
        <v>ter</v>
      </c>
      <c r="M2944" s="1" t="str">
        <f t="shared" si="352"/>
        <v>ago</v>
      </c>
      <c r="N2944">
        <f t="shared" si="353"/>
        <v>2025</v>
      </c>
      <c r="O2944" s="2"/>
      <c r="P2944" t="str">
        <f t="shared" si="354"/>
        <v>157945888</v>
      </c>
    </row>
    <row r="2945" spans="1:16" x14ac:dyDescent="0.3">
      <c r="A2945">
        <v>1579</v>
      </c>
      <c r="B2945">
        <v>22</v>
      </c>
      <c r="C2945" t="s">
        <v>15</v>
      </c>
      <c r="D2945" t="s">
        <v>16</v>
      </c>
      <c r="E2945" t="s">
        <v>17</v>
      </c>
      <c r="F2945" t="s">
        <v>18</v>
      </c>
      <c r="G2945" t="s">
        <v>40</v>
      </c>
      <c r="H2945" t="s">
        <v>25</v>
      </c>
      <c r="I2945" s="1">
        <v>2</v>
      </c>
      <c r="J2945" s="2">
        <v>45916</v>
      </c>
      <c r="K2945" s="2">
        <v>45901</v>
      </c>
      <c r="L2945" s="1" t="str">
        <f t="shared" si="351"/>
        <v>ter</v>
      </c>
      <c r="M2945" s="1" t="str">
        <f t="shared" si="352"/>
        <v>set</v>
      </c>
      <c r="N2945">
        <f t="shared" si="353"/>
        <v>2025</v>
      </c>
      <c r="O2945" s="2"/>
      <c r="P2945" t="str">
        <f t="shared" si="354"/>
        <v>157945916</v>
      </c>
    </row>
    <row r="2946" spans="1:16" x14ac:dyDescent="0.3">
      <c r="A2946">
        <v>1579</v>
      </c>
      <c r="B2946">
        <v>22</v>
      </c>
      <c r="C2946" t="s">
        <v>15</v>
      </c>
      <c r="D2946" t="s">
        <v>16</v>
      </c>
      <c r="E2946" t="s">
        <v>17</v>
      </c>
      <c r="F2946" t="s">
        <v>18</v>
      </c>
      <c r="G2946" t="s">
        <v>40</v>
      </c>
      <c r="H2946" t="s">
        <v>25</v>
      </c>
      <c r="I2946" s="1">
        <v>2</v>
      </c>
      <c r="J2946" s="2">
        <v>45966</v>
      </c>
      <c r="K2946" s="2">
        <v>45962</v>
      </c>
      <c r="L2946" s="1" t="str">
        <f t="shared" si="351"/>
        <v>qua</v>
      </c>
      <c r="M2946" s="1" t="str">
        <f t="shared" si="352"/>
        <v>nov</v>
      </c>
      <c r="N2946">
        <f t="shared" si="353"/>
        <v>2025</v>
      </c>
      <c r="O2946" s="2"/>
      <c r="P2946" t="str">
        <f t="shared" si="354"/>
        <v>157945966</v>
      </c>
    </row>
    <row r="2947" spans="1:16" x14ac:dyDescent="0.3">
      <c r="A2947">
        <v>1579</v>
      </c>
      <c r="B2947">
        <v>22</v>
      </c>
      <c r="C2947" t="s">
        <v>15</v>
      </c>
      <c r="D2947" t="s">
        <v>16</v>
      </c>
      <c r="E2947" t="s">
        <v>17</v>
      </c>
      <c r="F2947" t="s">
        <v>18</v>
      </c>
      <c r="G2947" t="s">
        <v>40</v>
      </c>
      <c r="H2947" t="s">
        <v>25</v>
      </c>
      <c r="I2947" s="1">
        <v>2</v>
      </c>
      <c r="J2947" s="2">
        <v>45981</v>
      </c>
      <c r="K2947" s="2">
        <v>45962</v>
      </c>
      <c r="L2947" s="1" t="str">
        <f t="shared" si="351"/>
        <v>qui</v>
      </c>
      <c r="M2947" s="1" t="str">
        <f t="shared" si="352"/>
        <v>nov</v>
      </c>
      <c r="N2947">
        <f t="shared" si="353"/>
        <v>2025</v>
      </c>
      <c r="O2947" s="2"/>
      <c r="P2947" t="str">
        <f t="shared" si="354"/>
        <v>157945981</v>
      </c>
    </row>
    <row r="2948" spans="1:16" x14ac:dyDescent="0.3">
      <c r="A2948">
        <v>1579</v>
      </c>
      <c r="B2948">
        <v>22</v>
      </c>
      <c r="C2948" t="s">
        <v>15</v>
      </c>
      <c r="D2948" t="s">
        <v>16</v>
      </c>
      <c r="E2948" t="s">
        <v>17</v>
      </c>
      <c r="F2948" t="s">
        <v>18</v>
      </c>
      <c r="G2948" t="s">
        <v>40</v>
      </c>
      <c r="H2948" t="s">
        <v>25</v>
      </c>
      <c r="I2948" s="1">
        <v>2</v>
      </c>
      <c r="J2948" s="2">
        <v>46162</v>
      </c>
      <c r="K2948" s="2">
        <v>46143</v>
      </c>
      <c r="L2948" s="1" t="s">
        <v>50</v>
      </c>
      <c r="M2948" s="1" t="s">
        <v>49</v>
      </c>
      <c r="N2948">
        <v>2025</v>
      </c>
      <c r="O2948" s="2"/>
      <c r="P2948" t="str">
        <f t="shared" si="354"/>
        <v>157946162</v>
      </c>
    </row>
    <row r="2949" spans="1:16" x14ac:dyDescent="0.3">
      <c r="A2949">
        <v>1580</v>
      </c>
      <c r="B2949">
        <v>23</v>
      </c>
      <c r="C2949" t="s">
        <v>26</v>
      </c>
      <c r="D2949" t="s">
        <v>29</v>
      </c>
      <c r="E2949" t="s">
        <v>17</v>
      </c>
      <c r="F2949" t="s">
        <v>21</v>
      </c>
      <c r="G2949" t="s">
        <v>41</v>
      </c>
      <c r="H2949" t="s">
        <v>20</v>
      </c>
      <c r="I2949" s="1">
        <v>1</v>
      </c>
      <c r="J2949" s="2">
        <v>45767</v>
      </c>
      <c r="K2949" s="2">
        <v>45748</v>
      </c>
      <c r="L2949" s="1" t="str">
        <f t="shared" ref="L2949:L2984" si="355">TEXT(J2949,"ddd")</f>
        <v>dom</v>
      </c>
      <c r="M2949" s="1" t="str">
        <f t="shared" ref="M2949:M2984" si="356">TEXT($J2949,"mmm")</f>
        <v>abr</v>
      </c>
      <c r="N2949">
        <f t="shared" ref="N2949:N2984" si="357">YEAR(J2949)</f>
        <v>2025</v>
      </c>
      <c r="O2949" s="2">
        <f>_xlfn.XLOOKUP(A2949,Colaboradores!$A:$A,Colaboradores!$S:$S,"",0)</f>
        <v>45976</v>
      </c>
      <c r="P2949" t="str">
        <f t="shared" si="354"/>
        <v>158045767</v>
      </c>
    </row>
    <row r="2950" spans="1:16" x14ac:dyDescent="0.3">
      <c r="A2950">
        <v>1580</v>
      </c>
      <c r="B2950">
        <v>23</v>
      </c>
      <c r="C2950" t="s">
        <v>26</v>
      </c>
      <c r="D2950" t="s">
        <v>29</v>
      </c>
      <c r="E2950" t="s">
        <v>17</v>
      </c>
      <c r="F2950" t="s">
        <v>21</v>
      </c>
      <c r="G2950" t="s">
        <v>41</v>
      </c>
      <c r="H2950" t="s">
        <v>20</v>
      </c>
      <c r="I2950" s="1">
        <v>1</v>
      </c>
      <c r="J2950" s="2">
        <v>45936</v>
      </c>
      <c r="K2950" s="2">
        <v>45931</v>
      </c>
      <c r="L2950" s="1" t="str">
        <f t="shared" si="355"/>
        <v>seg</v>
      </c>
      <c r="M2950" s="1" t="str">
        <f t="shared" si="356"/>
        <v>out</v>
      </c>
      <c r="N2950">
        <f t="shared" si="357"/>
        <v>2025</v>
      </c>
      <c r="O2950" s="2">
        <f>_xlfn.XLOOKUP(A2950,Colaboradores!$A:$A,Colaboradores!$S:$S,"",0)</f>
        <v>45976</v>
      </c>
      <c r="P2950" t="str">
        <f t="shared" si="354"/>
        <v>158045936</v>
      </c>
    </row>
    <row r="2951" spans="1:16" x14ac:dyDescent="0.3">
      <c r="A2951">
        <v>1580</v>
      </c>
      <c r="B2951">
        <v>23</v>
      </c>
      <c r="C2951" t="s">
        <v>26</v>
      </c>
      <c r="D2951" t="s">
        <v>29</v>
      </c>
      <c r="E2951" t="s">
        <v>17</v>
      </c>
      <c r="F2951" t="s">
        <v>21</v>
      </c>
      <c r="G2951" t="s">
        <v>41</v>
      </c>
      <c r="H2951" t="s">
        <v>20</v>
      </c>
      <c r="I2951" s="1">
        <v>1</v>
      </c>
      <c r="J2951" s="2">
        <v>45937</v>
      </c>
      <c r="K2951" s="2">
        <v>45931</v>
      </c>
      <c r="L2951" s="1" t="str">
        <f t="shared" si="355"/>
        <v>ter</v>
      </c>
      <c r="M2951" s="1" t="str">
        <f t="shared" si="356"/>
        <v>out</v>
      </c>
      <c r="N2951">
        <f t="shared" si="357"/>
        <v>2025</v>
      </c>
      <c r="O2951" s="2">
        <f>_xlfn.XLOOKUP(A2951,Colaboradores!$A:$A,Colaboradores!$S:$S,"",0)</f>
        <v>45976</v>
      </c>
      <c r="P2951" t="str">
        <f t="shared" si="354"/>
        <v>158045937</v>
      </c>
    </row>
    <row r="2952" spans="1:16" x14ac:dyDescent="0.3">
      <c r="A2952">
        <v>1580</v>
      </c>
      <c r="B2952">
        <v>23</v>
      </c>
      <c r="C2952" t="s">
        <v>26</v>
      </c>
      <c r="D2952" t="s">
        <v>29</v>
      </c>
      <c r="E2952" t="s">
        <v>17</v>
      </c>
      <c r="F2952" t="s">
        <v>21</v>
      </c>
      <c r="G2952" t="s">
        <v>41</v>
      </c>
      <c r="H2952" t="s">
        <v>20</v>
      </c>
      <c r="I2952" s="1">
        <v>1</v>
      </c>
      <c r="J2952" s="2">
        <v>45938</v>
      </c>
      <c r="K2952" s="2">
        <v>45931</v>
      </c>
      <c r="L2952" s="1" t="str">
        <f t="shared" si="355"/>
        <v>qua</v>
      </c>
      <c r="M2952" s="1" t="str">
        <f t="shared" si="356"/>
        <v>out</v>
      </c>
      <c r="N2952">
        <f t="shared" si="357"/>
        <v>2025</v>
      </c>
      <c r="O2952" s="2">
        <f>_xlfn.XLOOKUP(A2952,Colaboradores!$A:$A,Colaboradores!$S:$S,"",0)</f>
        <v>45976</v>
      </c>
      <c r="P2952" t="str">
        <f t="shared" si="354"/>
        <v>158045938</v>
      </c>
    </row>
    <row r="2953" spans="1:16" x14ac:dyDescent="0.3">
      <c r="A2953">
        <v>1580</v>
      </c>
      <c r="B2953">
        <v>23</v>
      </c>
      <c r="C2953" t="s">
        <v>26</v>
      </c>
      <c r="D2953" t="s">
        <v>29</v>
      </c>
      <c r="E2953" t="s">
        <v>17</v>
      </c>
      <c r="F2953" t="s">
        <v>21</v>
      </c>
      <c r="G2953" t="s">
        <v>41</v>
      </c>
      <c r="H2953" t="s">
        <v>20</v>
      </c>
      <c r="I2953" s="1">
        <v>1</v>
      </c>
      <c r="J2953" s="2">
        <v>45948</v>
      </c>
      <c r="K2953" s="2">
        <v>45931</v>
      </c>
      <c r="L2953" s="1" t="str">
        <f t="shared" si="355"/>
        <v>sáb</v>
      </c>
      <c r="M2953" s="1" t="str">
        <f t="shared" si="356"/>
        <v>out</v>
      </c>
      <c r="N2953">
        <f t="shared" si="357"/>
        <v>2025</v>
      </c>
      <c r="O2953" s="2">
        <f>_xlfn.XLOOKUP(A2953,Colaboradores!$A:$A,Colaboradores!$S:$S,"",0)</f>
        <v>45976</v>
      </c>
      <c r="P2953" t="str">
        <f t="shared" si="354"/>
        <v>158045948</v>
      </c>
    </row>
    <row r="2954" spans="1:16" x14ac:dyDescent="0.3">
      <c r="A2954">
        <v>1580</v>
      </c>
      <c r="B2954">
        <v>23</v>
      </c>
      <c r="C2954" t="s">
        <v>26</v>
      </c>
      <c r="D2954" t="s">
        <v>29</v>
      </c>
      <c r="E2954" t="s">
        <v>17</v>
      </c>
      <c r="F2954" t="s">
        <v>21</v>
      </c>
      <c r="G2954" t="s">
        <v>41</v>
      </c>
      <c r="H2954" t="s">
        <v>20</v>
      </c>
      <c r="I2954" s="1">
        <v>1</v>
      </c>
      <c r="J2954" s="2">
        <v>45975</v>
      </c>
      <c r="K2954" s="2">
        <v>45962</v>
      </c>
      <c r="L2954" s="1" t="str">
        <f t="shared" si="355"/>
        <v>sex</v>
      </c>
      <c r="M2954" s="1" t="str">
        <f t="shared" si="356"/>
        <v>nov</v>
      </c>
      <c r="N2954">
        <f t="shared" si="357"/>
        <v>2025</v>
      </c>
      <c r="O2954" s="2">
        <f>_xlfn.XLOOKUP(A2954,Colaboradores!$A:$A,Colaboradores!$S:$S,"",0)</f>
        <v>45976</v>
      </c>
      <c r="P2954" t="str">
        <f t="shared" si="354"/>
        <v>158045975</v>
      </c>
    </row>
    <row r="2955" spans="1:16" x14ac:dyDescent="0.3">
      <c r="A2955">
        <v>1581</v>
      </c>
      <c r="B2955">
        <v>24</v>
      </c>
      <c r="C2955" t="s">
        <v>26</v>
      </c>
      <c r="D2955" t="s">
        <v>16</v>
      </c>
      <c r="E2955" t="s">
        <v>17</v>
      </c>
      <c r="F2955" t="s">
        <v>23</v>
      </c>
      <c r="G2955" t="s">
        <v>57</v>
      </c>
      <c r="H2955" t="s">
        <v>20</v>
      </c>
      <c r="I2955" s="1">
        <v>1</v>
      </c>
      <c r="J2955" s="2">
        <v>45700</v>
      </c>
      <c r="K2955" s="2">
        <v>45689</v>
      </c>
      <c r="L2955" s="1" t="str">
        <f t="shared" si="355"/>
        <v>qua</v>
      </c>
      <c r="M2955" s="1" t="str">
        <f t="shared" si="356"/>
        <v>fev</v>
      </c>
      <c r="N2955">
        <f t="shared" si="357"/>
        <v>2025</v>
      </c>
      <c r="O2955" s="2">
        <f>_xlfn.XLOOKUP(A2955,Colaboradores!$A:$A,Colaboradores!$S:$S,"",0)</f>
        <v>45772</v>
      </c>
      <c r="P2955" t="str">
        <f t="shared" si="354"/>
        <v>158145700</v>
      </c>
    </row>
    <row r="2956" spans="1:16" x14ac:dyDescent="0.3">
      <c r="A2956">
        <v>1581</v>
      </c>
      <c r="B2956">
        <v>24</v>
      </c>
      <c r="C2956" t="s">
        <v>26</v>
      </c>
      <c r="D2956" t="s">
        <v>16</v>
      </c>
      <c r="E2956" t="s">
        <v>17</v>
      </c>
      <c r="F2956" t="s">
        <v>23</v>
      </c>
      <c r="G2956" t="s">
        <v>42</v>
      </c>
      <c r="H2956" t="s">
        <v>20</v>
      </c>
      <c r="I2956" s="1">
        <v>1</v>
      </c>
      <c r="J2956" s="2">
        <v>45734</v>
      </c>
      <c r="K2956" s="2">
        <v>45717</v>
      </c>
      <c r="L2956" s="1" t="str">
        <f t="shared" si="355"/>
        <v>ter</v>
      </c>
      <c r="M2956" s="1" t="str">
        <f t="shared" si="356"/>
        <v>mar</v>
      </c>
      <c r="N2956">
        <f t="shared" si="357"/>
        <v>2025</v>
      </c>
      <c r="O2956" s="2">
        <f>_xlfn.XLOOKUP(A2956,Colaboradores!$A:$A,Colaboradores!$S:$S,"",0)</f>
        <v>45772</v>
      </c>
      <c r="P2956" t="str">
        <f t="shared" si="354"/>
        <v>158145734</v>
      </c>
    </row>
    <row r="2957" spans="1:16" x14ac:dyDescent="0.3">
      <c r="A2957">
        <v>1581</v>
      </c>
      <c r="B2957">
        <v>24</v>
      </c>
      <c r="C2957" t="s">
        <v>26</v>
      </c>
      <c r="D2957" t="s">
        <v>16</v>
      </c>
      <c r="E2957" t="s">
        <v>17</v>
      </c>
      <c r="F2957" t="s">
        <v>23</v>
      </c>
      <c r="G2957" t="s">
        <v>43</v>
      </c>
      <c r="H2957" t="s">
        <v>20</v>
      </c>
      <c r="I2957" s="1">
        <v>1</v>
      </c>
      <c r="J2957" s="2">
        <v>45761</v>
      </c>
      <c r="K2957" s="2">
        <v>45748</v>
      </c>
      <c r="L2957" s="1" t="str">
        <f t="shared" si="355"/>
        <v>seg</v>
      </c>
      <c r="M2957" s="1" t="str">
        <f t="shared" si="356"/>
        <v>abr</v>
      </c>
      <c r="N2957">
        <f t="shared" si="357"/>
        <v>2025</v>
      </c>
      <c r="O2957" s="2">
        <f>_xlfn.XLOOKUP(A2957,Colaboradores!$A:$A,Colaboradores!$S:$S,"",0)</f>
        <v>45772</v>
      </c>
      <c r="P2957" t="str">
        <f t="shared" si="354"/>
        <v>158145761</v>
      </c>
    </row>
    <row r="2958" spans="1:16" x14ac:dyDescent="0.3">
      <c r="A2958">
        <v>1581</v>
      </c>
      <c r="B2958">
        <v>24</v>
      </c>
      <c r="C2958" t="s">
        <v>26</v>
      </c>
      <c r="D2958" t="s">
        <v>16</v>
      </c>
      <c r="E2958" t="s">
        <v>17</v>
      </c>
      <c r="F2958" t="s">
        <v>23</v>
      </c>
      <c r="G2958" t="s">
        <v>43</v>
      </c>
      <c r="H2958" t="s">
        <v>20</v>
      </c>
      <c r="I2958" s="1">
        <v>1</v>
      </c>
      <c r="J2958" s="2">
        <v>45762</v>
      </c>
      <c r="K2958" s="2">
        <v>45748</v>
      </c>
      <c r="L2958" s="1" t="str">
        <f t="shared" si="355"/>
        <v>ter</v>
      </c>
      <c r="M2958" s="1" t="str">
        <f t="shared" si="356"/>
        <v>abr</v>
      </c>
      <c r="N2958">
        <f t="shared" si="357"/>
        <v>2025</v>
      </c>
      <c r="O2958" s="2">
        <f>_xlfn.XLOOKUP(A2958,Colaboradores!$A:$A,Colaboradores!$S:$S,"",0)</f>
        <v>45772</v>
      </c>
      <c r="P2958" t="str">
        <f t="shared" si="354"/>
        <v>158145762</v>
      </c>
    </row>
    <row r="2959" spans="1:16" x14ac:dyDescent="0.3">
      <c r="A2959">
        <v>1581</v>
      </c>
      <c r="B2959">
        <v>24</v>
      </c>
      <c r="C2959" t="s">
        <v>26</v>
      </c>
      <c r="D2959" t="s">
        <v>16</v>
      </c>
      <c r="E2959" t="s">
        <v>17</v>
      </c>
      <c r="F2959" t="s">
        <v>23</v>
      </c>
      <c r="G2959" t="s">
        <v>42</v>
      </c>
      <c r="H2959" t="s">
        <v>20</v>
      </c>
      <c r="I2959" s="1">
        <v>1</v>
      </c>
      <c r="J2959" s="2">
        <v>45764</v>
      </c>
      <c r="K2959" s="2">
        <v>45748</v>
      </c>
      <c r="L2959" s="1" t="str">
        <f t="shared" si="355"/>
        <v>qui</v>
      </c>
      <c r="M2959" s="1" t="str">
        <f t="shared" si="356"/>
        <v>abr</v>
      </c>
      <c r="N2959">
        <f t="shared" si="357"/>
        <v>2025</v>
      </c>
      <c r="O2959" s="2">
        <f>_xlfn.XLOOKUP(A2959,Colaboradores!$A:$A,Colaboradores!$S:$S,"",0)</f>
        <v>45772</v>
      </c>
      <c r="P2959" t="str">
        <f t="shared" si="354"/>
        <v>158145764</v>
      </c>
    </row>
    <row r="2960" spans="1:16" x14ac:dyDescent="0.3">
      <c r="A2960">
        <v>1581</v>
      </c>
      <c r="B2960">
        <v>24</v>
      </c>
      <c r="C2960" t="s">
        <v>26</v>
      </c>
      <c r="D2960" t="s">
        <v>16</v>
      </c>
      <c r="E2960" t="s">
        <v>17</v>
      </c>
      <c r="F2960" t="s">
        <v>23</v>
      </c>
      <c r="G2960" t="s">
        <v>57</v>
      </c>
      <c r="H2960" t="s">
        <v>20</v>
      </c>
      <c r="I2960" s="1">
        <v>1</v>
      </c>
      <c r="J2960" s="2">
        <v>45767</v>
      </c>
      <c r="K2960" s="2">
        <v>45748</v>
      </c>
      <c r="L2960" s="1" t="str">
        <f t="shared" si="355"/>
        <v>dom</v>
      </c>
      <c r="M2960" s="1" t="str">
        <f t="shared" si="356"/>
        <v>abr</v>
      </c>
      <c r="N2960">
        <f t="shared" si="357"/>
        <v>2025</v>
      </c>
      <c r="O2960" s="2">
        <f>_xlfn.XLOOKUP(A2960,Colaboradores!$A:$A,Colaboradores!$S:$S,"",0)</f>
        <v>45772</v>
      </c>
      <c r="P2960" t="str">
        <f t="shared" si="354"/>
        <v>158145767</v>
      </c>
    </row>
    <row r="2961" spans="1:16" x14ac:dyDescent="0.3">
      <c r="A2961">
        <v>1582</v>
      </c>
      <c r="B2961">
        <v>54</v>
      </c>
      <c r="C2961" t="s">
        <v>26</v>
      </c>
      <c r="D2961" t="s">
        <v>16</v>
      </c>
      <c r="E2961" t="s">
        <v>17</v>
      </c>
      <c r="F2961" t="s">
        <v>18</v>
      </c>
      <c r="G2961" t="s">
        <v>43</v>
      </c>
      <c r="H2961" t="s">
        <v>20</v>
      </c>
      <c r="I2961" s="1">
        <v>3</v>
      </c>
      <c r="J2961" s="2">
        <v>45792</v>
      </c>
      <c r="K2961" s="2">
        <v>45778</v>
      </c>
      <c r="L2961" s="1" t="str">
        <f t="shared" si="355"/>
        <v>qui</v>
      </c>
      <c r="M2961" s="1" t="str">
        <f t="shared" si="356"/>
        <v>mai</v>
      </c>
      <c r="N2961">
        <f t="shared" si="357"/>
        <v>2025</v>
      </c>
      <c r="O2961" s="2">
        <f>_xlfn.XLOOKUP(A2961,Colaboradores!$A:$A,Colaboradores!$S:$S,"",0)</f>
        <v>46054</v>
      </c>
      <c r="P2961" t="str">
        <f t="shared" si="354"/>
        <v>158245792</v>
      </c>
    </row>
    <row r="2962" spans="1:16" x14ac:dyDescent="0.3">
      <c r="A2962">
        <v>1582</v>
      </c>
      <c r="B2962">
        <v>54</v>
      </c>
      <c r="C2962" t="s">
        <v>26</v>
      </c>
      <c r="D2962" t="s">
        <v>16</v>
      </c>
      <c r="E2962" t="s">
        <v>17</v>
      </c>
      <c r="F2962" t="s">
        <v>18</v>
      </c>
      <c r="G2962" t="s">
        <v>43</v>
      </c>
      <c r="H2962" t="s">
        <v>20</v>
      </c>
      <c r="I2962" s="1">
        <v>3</v>
      </c>
      <c r="J2962" s="2">
        <v>45934</v>
      </c>
      <c r="K2962" s="2">
        <v>45931</v>
      </c>
      <c r="L2962" s="1" t="str">
        <f t="shared" si="355"/>
        <v>sáb</v>
      </c>
      <c r="M2962" s="1" t="str">
        <f t="shared" si="356"/>
        <v>out</v>
      </c>
      <c r="N2962">
        <f t="shared" si="357"/>
        <v>2025</v>
      </c>
      <c r="O2962" s="2">
        <f>_xlfn.XLOOKUP(A2962,Colaboradores!$A:$A,Colaboradores!$S:$S,"",0)</f>
        <v>46054</v>
      </c>
      <c r="P2962" t="str">
        <f t="shared" si="354"/>
        <v>158245934</v>
      </c>
    </row>
    <row r="2963" spans="1:16" x14ac:dyDescent="0.3">
      <c r="A2963">
        <v>1582</v>
      </c>
      <c r="B2963">
        <v>54</v>
      </c>
      <c r="C2963" t="s">
        <v>26</v>
      </c>
      <c r="D2963" t="s">
        <v>16</v>
      </c>
      <c r="E2963" t="s">
        <v>17</v>
      </c>
      <c r="F2963" t="s">
        <v>18</v>
      </c>
      <c r="G2963" t="s">
        <v>43</v>
      </c>
      <c r="H2963" t="s">
        <v>20</v>
      </c>
      <c r="I2963" s="1">
        <v>3</v>
      </c>
      <c r="J2963" s="2">
        <v>46017</v>
      </c>
      <c r="K2963" s="2">
        <v>45992</v>
      </c>
      <c r="L2963" s="1" t="str">
        <f t="shared" si="355"/>
        <v>sex</v>
      </c>
      <c r="M2963" s="1" t="str">
        <f t="shared" si="356"/>
        <v>dez</v>
      </c>
      <c r="N2963">
        <f t="shared" si="357"/>
        <v>2025</v>
      </c>
      <c r="O2963" s="2">
        <f>_xlfn.XLOOKUP(A2963,Colaboradores!$A:$A,Colaboradores!$S:$S,"",0)</f>
        <v>46054</v>
      </c>
      <c r="P2963" t="str">
        <f t="shared" si="354"/>
        <v>158246017</v>
      </c>
    </row>
    <row r="2964" spans="1:16" x14ac:dyDescent="0.3">
      <c r="A2964">
        <v>1582</v>
      </c>
      <c r="B2964">
        <v>54</v>
      </c>
      <c r="C2964" t="s">
        <v>26</v>
      </c>
      <c r="D2964" t="s">
        <v>16</v>
      </c>
      <c r="E2964" t="s">
        <v>17</v>
      </c>
      <c r="F2964" t="s">
        <v>18</v>
      </c>
      <c r="G2964" t="s">
        <v>43</v>
      </c>
      <c r="H2964" t="s">
        <v>20</v>
      </c>
      <c r="I2964" s="1">
        <v>3</v>
      </c>
      <c r="J2964" s="2">
        <v>46178</v>
      </c>
      <c r="K2964" s="2">
        <v>46023</v>
      </c>
      <c r="L2964" s="1" t="str">
        <f t="shared" si="355"/>
        <v>sex</v>
      </c>
      <c r="M2964" s="1" t="str">
        <f t="shared" si="356"/>
        <v>jun</v>
      </c>
      <c r="N2964">
        <f t="shared" si="357"/>
        <v>2026</v>
      </c>
      <c r="O2964" s="2">
        <f>_xlfn.XLOOKUP(A2964,Colaboradores!$A:$A,Colaboradores!$S:$S,"",0)</f>
        <v>46054</v>
      </c>
      <c r="P2964" t="str">
        <f t="shared" si="354"/>
        <v>158246178</v>
      </c>
    </row>
    <row r="2965" spans="1:16" x14ac:dyDescent="0.3">
      <c r="A2965">
        <v>1582</v>
      </c>
      <c r="B2965">
        <v>54</v>
      </c>
      <c r="C2965" t="s">
        <v>26</v>
      </c>
      <c r="D2965" t="s">
        <v>16</v>
      </c>
      <c r="E2965" t="s">
        <v>17</v>
      </c>
      <c r="F2965" t="s">
        <v>18</v>
      </c>
      <c r="G2965" t="s">
        <v>43</v>
      </c>
      <c r="H2965" t="s">
        <v>20</v>
      </c>
      <c r="I2965" s="1">
        <v>3</v>
      </c>
      <c r="J2965" s="2">
        <v>46180</v>
      </c>
      <c r="K2965" s="2">
        <v>46023</v>
      </c>
      <c r="L2965" s="1" t="str">
        <f t="shared" si="355"/>
        <v>dom</v>
      </c>
      <c r="M2965" s="1" t="str">
        <f t="shared" si="356"/>
        <v>jun</v>
      </c>
      <c r="N2965">
        <f t="shared" si="357"/>
        <v>2026</v>
      </c>
      <c r="O2965" s="2">
        <f>_xlfn.XLOOKUP(A2965,Colaboradores!$A:$A,Colaboradores!$S:$S,"",0)</f>
        <v>46054</v>
      </c>
      <c r="P2965" t="str">
        <f t="shared" si="354"/>
        <v>158246180</v>
      </c>
    </row>
    <row r="2966" spans="1:16" x14ac:dyDescent="0.3">
      <c r="A2966">
        <v>1582</v>
      </c>
      <c r="B2966">
        <v>54</v>
      </c>
      <c r="C2966" t="s">
        <v>26</v>
      </c>
      <c r="D2966" t="s">
        <v>16</v>
      </c>
      <c r="E2966" t="s">
        <v>17</v>
      </c>
      <c r="F2966" t="s">
        <v>18</v>
      </c>
      <c r="G2966" t="s">
        <v>43</v>
      </c>
      <c r="H2966" t="s">
        <v>20</v>
      </c>
      <c r="I2966" s="1">
        <v>3</v>
      </c>
      <c r="J2966" s="2">
        <v>46190</v>
      </c>
      <c r="K2966" s="2">
        <v>46023</v>
      </c>
      <c r="L2966" s="1" t="str">
        <f t="shared" si="355"/>
        <v>qua</v>
      </c>
      <c r="M2966" s="1" t="str">
        <f t="shared" si="356"/>
        <v>jun</v>
      </c>
      <c r="N2966">
        <f t="shared" si="357"/>
        <v>2026</v>
      </c>
      <c r="O2966" s="2">
        <f>_xlfn.XLOOKUP(A2966,Colaboradores!$A:$A,Colaboradores!$S:$S,"",0)</f>
        <v>46054</v>
      </c>
      <c r="P2966" t="str">
        <f t="shared" si="354"/>
        <v>158246190</v>
      </c>
    </row>
    <row r="2967" spans="1:16" x14ac:dyDescent="0.3">
      <c r="A2967">
        <v>1583</v>
      </c>
      <c r="B2967">
        <v>28</v>
      </c>
      <c r="C2967" t="s">
        <v>26</v>
      </c>
      <c r="D2967" t="s">
        <v>31</v>
      </c>
      <c r="E2967" t="s">
        <v>34</v>
      </c>
      <c r="F2967" t="s">
        <v>23</v>
      </c>
      <c r="G2967" t="s">
        <v>43</v>
      </c>
      <c r="H2967" t="s">
        <v>20</v>
      </c>
      <c r="I2967" s="1">
        <v>2</v>
      </c>
      <c r="J2967" s="2">
        <v>45831</v>
      </c>
      <c r="K2967" s="2">
        <v>45809</v>
      </c>
      <c r="L2967" s="1" t="str">
        <f t="shared" si="355"/>
        <v>seg</v>
      </c>
      <c r="M2967" s="1" t="str">
        <f t="shared" si="356"/>
        <v>jun</v>
      </c>
      <c r="N2967">
        <f t="shared" si="357"/>
        <v>2025</v>
      </c>
      <c r="O2967" s="2">
        <f>_xlfn.XLOOKUP(A2967,Colaboradores!$A:$A,Colaboradores!$S:$S,"",0)</f>
        <v>46000</v>
      </c>
      <c r="P2967" t="str">
        <f t="shared" si="354"/>
        <v>158345831</v>
      </c>
    </row>
    <row r="2968" spans="1:16" x14ac:dyDescent="0.3">
      <c r="A2968">
        <v>1583</v>
      </c>
      <c r="B2968">
        <v>28</v>
      </c>
      <c r="C2968" t="s">
        <v>26</v>
      </c>
      <c r="D2968" t="s">
        <v>31</v>
      </c>
      <c r="E2968" t="s">
        <v>34</v>
      </c>
      <c r="F2968" t="s">
        <v>23</v>
      </c>
      <c r="G2968" t="s">
        <v>41</v>
      </c>
      <c r="H2968" t="s">
        <v>20</v>
      </c>
      <c r="I2968" s="1">
        <v>2</v>
      </c>
      <c r="J2968" s="2">
        <v>45840</v>
      </c>
      <c r="K2968" s="2">
        <v>45839</v>
      </c>
      <c r="L2968" s="1" t="str">
        <f t="shared" si="355"/>
        <v>qua</v>
      </c>
      <c r="M2968" s="1" t="str">
        <f t="shared" si="356"/>
        <v>jul</v>
      </c>
      <c r="N2968">
        <f t="shared" si="357"/>
        <v>2025</v>
      </c>
      <c r="O2968" s="2">
        <f>_xlfn.XLOOKUP(A2968,Colaboradores!$A:$A,Colaboradores!$S:$S,"",0)</f>
        <v>46000</v>
      </c>
      <c r="P2968" t="str">
        <f t="shared" si="354"/>
        <v>158345840</v>
      </c>
    </row>
    <row r="2969" spans="1:16" x14ac:dyDescent="0.3">
      <c r="A2969">
        <v>1583</v>
      </c>
      <c r="B2969">
        <v>28</v>
      </c>
      <c r="C2969" t="s">
        <v>26</v>
      </c>
      <c r="D2969" t="s">
        <v>31</v>
      </c>
      <c r="E2969" t="s">
        <v>34</v>
      </c>
      <c r="F2969" t="s">
        <v>23</v>
      </c>
      <c r="G2969" t="s">
        <v>41</v>
      </c>
      <c r="H2969" t="s">
        <v>20</v>
      </c>
      <c r="I2969" s="1">
        <v>2</v>
      </c>
      <c r="J2969" s="2">
        <v>45941</v>
      </c>
      <c r="K2969" s="2">
        <v>45931</v>
      </c>
      <c r="L2969" s="1" t="str">
        <f t="shared" si="355"/>
        <v>sáb</v>
      </c>
      <c r="M2969" s="1" t="str">
        <f t="shared" si="356"/>
        <v>out</v>
      </c>
      <c r="N2969">
        <f t="shared" si="357"/>
        <v>2025</v>
      </c>
      <c r="O2969" s="2">
        <f>_xlfn.XLOOKUP(A2969,Colaboradores!$A:$A,Colaboradores!$S:$S,"",0)</f>
        <v>46000</v>
      </c>
      <c r="P2969" t="str">
        <f t="shared" si="354"/>
        <v>158345941</v>
      </c>
    </row>
    <row r="2970" spans="1:16" x14ac:dyDescent="0.3">
      <c r="A2970">
        <v>1583</v>
      </c>
      <c r="B2970">
        <v>28</v>
      </c>
      <c r="C2970" t="s">
        <v>26</v>
      </c>
      <c r="D2970" t="s">
        <v>31</v>
      </c>
      <c r="E2970" t="s">
        <v>34</v>
      </c>
      <c r="F2970" t="s">
        <v>23</v>
      </c>
      <c r="G2970" t="s">
        <v>41</v>
      </c>
      <c r="H2970" t="s">
        <v>20</v>
      </c>
      <c r="I2970" s="1">
        <v>2</v>
      </c>
      <c r="J2970" s="2">
        <v>45942</v>
      </c>
      <c r="K2970" s="2">
        <v>45931</v>
      </c>
      <c r="L2970" s="1" t="str">
        <f t="shared" si="355"/>
        <v>dom</v>
      </c>
      <c r="M2970" s="1" t="str">
        <f t="shared" si="356"/>
        <v>out</v>
      </c>
      <c r="N2970">
        <f t="shared" si="357"/>
        <v>2025</v>
      </c>
      <c r="O2970" s="2">
        <f>_xlfn.XLOOKUP(A2970,Colaboradores!$A:$A,Colaboradores!$S:$S,"",0)</f>
        <v>46000</v>
      </c>
      <c r="P2970" t="str">
        <f t="shared" si="354"/>
        <v>158345942</v>
      </c>
    </row>
    <row r="2971" spans="1:16" x14ac:dyDescent="0.3">
      <c r="A2971">
        <v>1583</v>
      </c>
      <c r="B2971">
        <v>28</v>
      </c>
      <c r="C2971" t="s">
        <v>26</v>
      </c>
      <c r="D2971" t="s">
        <v>31</v>
      </c>
      <c r="E2971" t="s">
        <v>34</v>
      </c>
      <c r="F2971" t="s">
        <v>23</v>
      </c>
      <c r="G2971" t="s">
        <v>43</v>
      </c>
      <c r="H2971" t="s">
        <v>20</v>
      </c>
      <c r="I2971" s="1">
        <v>2</v>
      </c>
      <c r="J2971" s="2">
        <v>45953</v>
      </c>
      <c r="K2971" s="2">
        <v>45931</v>
      </c>
      <c r="L2971" s="1" t="str">
        <f t="shared" si="355"/>
        <v>qui</v>
      </c>
      <c r="M2971" s="1" t="str">
        <f t="shared" si="356"/>
        <v>out</v>
      </c>
      <c r="N2971">
        <f t="shared" si="357"/>
        <v>2025</v>
      </c>
      <c r="O2971" s="2">
        <f>_xlfn.XLOOKUP(A2971,Colaboradores!$A:$A,Colaboradores!$S:$S,"",0)</f>
        <v>46000</v>
      </c>
      <c r="P2971" t="str">
        <f t="shared" si="354"/>
        <v>158345953</v>
      </c>
    </row>
    <row r="2972" spans="1:16" x14ac:dyDescent="0.3">
      <c r="A2972">
        <v>1583</v>
      </c>
      <c r="B2972">
        <v>28</v>
      </c>
      <c r="C2972" t="s">
        <v>26</v>
      </c>
      <c r="D2972" t="s">
        <v>31</v>
      </c>
      <c r="E2972" t="s">
        <v>34</v>
      </c>
      <c r="F2972" t="s">
        <v>23</v>
      </c>
      <c r="G2972" t="s">
        <v>41</v>
      </c>
      <c r="H2972" t="s">
        <v>20</v>
      </c>
      <c r="I2972" s="1">
        <v>2</v>
      </c>
      <c r="J2972" s="2">
        <v>45969</v>
      </c>
      <c r="K2972" s="2">
        <v>45962</v>
      </c>
      <c r="L2972" s="1" t="str">
        <f t="shared" si="355"/>
        <v>sáb</v>
      </c>
      <c r="M2972" s="1" t="str">
        <f t="shared" si="356"/>
        <v>nov</v>
      </c>
      <c r="N2972">
        <f t="shared" si="357"/>
        <v>2025</v>
      </c>
      <c r="O2972" s="2">
        <f>_xlfn.XLOOKUP(A2972,Colaboradores!$A:$A,Colaboradores!$S:$S,"",0)</f>
        <v>46000</v>
      </c>
      <c r="P2972" t="str">
        <f t="shared" si="354"/>
        <v>158345969</v>
      </c>
    </row>
    <row r="2973" spans="1:16" x14ac:dyDescent="0.3">
      <c r="A2973">
        <v>1584</v>
      </c>
      <c r="B2973">
        <v>42</v>
      </c>
      <c r="C2973" t="s">
        <v>26</v>
      </c>
      <c r="D2973" t="s">
        <v>16</v>
      </c>
      <c r="E2973" t="s">
        <v>17</v>
      </c>
      <c r="F2973" t="s">
        <v>23</v>
      </c>
      <c r="G2973" t="s">
        <v>41</v>
      </c>
      <c r="H2973" t="s">
        <v>20</v>
      </c>
      <c r="I2973" s="1">
        <v>1</v>
      </c>
      <c r="J2973" s="2">
        <v>45812</v>
      </c>
      <c r="K2973" s="2">
        <v>45809</v>
      </c>
      <c r="L2973" s="1" t="str">
        <f t="shared" si="355"/>
        <v>qua</v>
      </c>
      <c r="M2973" s="1" t="str">
        <f t="shared" si="356"/>
        <v>jun</v>
      </c>
      <c r="N2973">
        <f t="shared" si="357"/>
        <v>2025</v>
      </c>
      <c r="O2973" s="2">
        <f>_xlfn.XLOOKUP(A2973,Colaboradores!$A:$A,Colaboradores!$S:$S,"",0)</f>
        <v>45935</v>
      </c>
      <c r="P2973" t="str">
        <f t="shared" si="354"/>
        <v>158445812</v>
      </c>
    </row>
    <row r="2974" spans="1:16" x14ac:dyDescent="0.3">
      <c r="A2974">
        <v>1584</v>
      </c>
      <c r="B2974">
        <v>42</v>
      </c>
      <c r="C2974" t="s">
        <v>26</v>
      </c>
      <c r="D2974" t="s">
        <v>16</v>
      </c>
      <c r="E2974" t="s">
        <v>17</v>
      </c>
      <c r="F2974" t="s">
        <v>23</v>
      </c>
      <c r="G2974" t="s">
        <v>41</v>
      </c>
      <c r="H2974" t="s">
        <v>20</v>
      </c>
      <c r="I2974" s="1">
        <v>1</v>
      </c>
      <c r="J2974" s="2">
        <v>45853</v>
      </c>
      <c r="K2974" s="2">
        <v>45839</v>
      </c>
      <c r="L2974" s="1" t="str">
        <f t="shared" si="355"/>
        <v>ter</v>
      </c>
      <c r="M2974" s="1" t="str">
        <f t="shared" si="356"/>
        <v>jul</v>
      </c>
      <c r="N2974">
        <f t="shared" si="357"/>
        <v>2025</v>
      </c>
      <c r="O2974" s="2">
        <f>_xlfn.XLOOKUP(A2974,Colaboradores!$A:$A,Colaboradores!$S:$S,"",0)</f>
        <v>45935</v>
      </c>
      <c r="P2974" t="str">
        <f t="shared" si="354"/>
        <v>158445853</v>
      </c>
    </row>
    <row r="2975" spans="1:16" x14ac:dyDescent="0.3">
      <c r="A2975">
        <v>1584</v>
      </c>
      <c r="B2975">
        <v>42</v>
      </c>
      <c r="C2975" t="s">
        <v>26</v>
      </c>
      <c r="D2975" t="s">
        <v>16</v>
      </c>
      <c r="E2975" t="s">
        <v>17</v>
      </c>
      <c r="F2975" t="s">
        <v>23</v>
      </c>
      <c r="G2975" t="s">
        <v>41</v>
      </c>
      <c r="H2975" t="s">
        <v>20</v>
      </c>
      <c r="I2975" s="1">
        <v>1</v>
      </c>
      <c r="J2975" s="2">
        <v>45906</v>
      </c>
      <c r="K2975" s="2">
        <v>45901</v>
      </c>
      <c r="L2975" s="1" t="str">
        <f t="shared" si="355"/>
        <v>sáb</v>
      </c>
      <c r="M2975" s="1" t="str">
        <f t="shared" si="356"/>
        <v>set</v>
      </c>
      <c r="N2975">
        <f t="shared" si="357"/>
        <v>2025</v>
      </c>
      <c r="O2975" s="2">
        <f>_xlfn.XLOOKUP(A2975,Colaboradores!$A:$A,Colaboradores!$S:$S,"",0)</f>
        <v>45935</v>
      </c>
      <c r="P2975" t="str">
        <f t="shared" si="354"/>
        <v>158445906</v>
      </c>
    </row>
    <row r="2976" spans="1:16" x14ac:dyDescent="0.3">
      <c r="A2976">
        <v>1584</v>
      </c>
      <c r="B2976">
        <v>42</v>
      </c>
      <c r="C2976" t="s">
        <v>26</v>
      </c>
      <c r="D2976" t="s">
        <v>16</v>
      </c>
      <c r="E2976" t="s">
        <v>17</v>
      </c>
      <c r="F2976" t="s">
        <v>23</v>
      </c>
      <c r="G2976" t="s">
        <v>41</v>
      </c>
      <c r="H2976" t="s">
        <v>20</v>
      </c>
      <c r="I2976" s="1">
        <v>1</v>
      </c>
      <c r="J2976" s="2">
        <v>45908</v>
      </c>
      <c r="K2976" s="2">
        <v>45901</v>
      </c>
      <c r="L2976" s="1" t="str">
        <f t="shared" si="355"/>
        <v>seg</v>
      </c>
      <c r="M2976" s="1" t="str">
        <f t="shared" si="356"/>
        <v>set</v>
      </c>
      <c r="N2976">
        <f t="shared" si="357"/>
        <v>2025</v>
      </c>
      <c r="O2976" s="2">
        <f>_xlfn.XLOOKUP(A2976,Colaboradores!$A:$A,Colaboradores!$S:$S,"",0)</f>
        <v>45935</v>
      </c>
      <c r="P2976" t="str">
        <f t="shared" si="354"/>
        <v>158445908</v>
      </c>
    </row>
    <row r="2977" spans="1:16" x14ac:dyDescent="0.3">
      <c r="A2977">
        <v>1584</v>
      </c>
      <c r="B2977">
        <v>42</v>
      </c>
      <c r="C2977" t="s">
        <v>26</v>
      </c>
      <c r="D2977" t="s">
        <v>16</v>
      </c>
      <c r="E2977" t="s">
        <v>17</v>
      </c>
      <c r="F2977" t="s">
        <v>23</v>
      </c>
      <c r="G2977" t="s">
        <v>41</v>
      </c>
      <c r="H2977" t="s">
        <v>20</v>
      </c>
      <c r="I2977" s="1">
        <v>1</v>
      </c>
      <c r="J2977" s="2">
        <v>45909</v>
      </c>
      <c r="K2977" s="2">
        <v>45901</v>
      </c>
      <c r="L2977" s="1" t="str">
        <f t="shared" si="355"/>
        <v>ter</v>
      </c>
      <c r="M2977" s="1" t="str">
        <f t="shared" si="356"/>
        <v>set</v>
      </c>
      <c r="N2977">
        <f t="shared" si="357"/>
        <v>2025</v>
      </c>
      <c r="O2977" s="2">
        <f>_xlfn.XLOOKUP(A2977,Colaboradores!$A:$A,Colaboradores!$S:$S,"",0)</f>
        <v>45935</v>
      </c>
      <c r="P2977" t="str">
        <f t="shared" si="354"/>
        <v>158445909</v>
      </c>
    </row>
    <row r="2978" spans="1:16" x14ac:dyDescent="0.3">
      <c r="A2978">
        <v>1584</v>
      </c>
      <c r="B2978">
        <v>42</v>
      </c>
      <c r="C2978" t="s">
        <v>26</v>
      </c>
      <c r="D2978" t="s">
        <v>16</v>
      </c>
      <c r="E2978" t="s">
        <v>17</v>
      </c>
      <c r="F2978" t="s">
        <v>23</v>
      </c>
      <c r="G2978" t="s">
        <v>41</v>
      </c>
      <c r="H2978" t="s">
        <v>20</v>
      </c>
      <c r="I2978" s="1">
        <v>1</v>
      </c>
      <c r="J2978" s="2">
        <v>45910</v>
      </c>
      <c r="K2978" s="2">
        <v>45901</v>
      </c>
      <c r="L2978" s="1" t="str">
        <f t="shared" si="355"/>
        <v>qua</v>
      </c>
      <c r="M2978" s="1" t="str">
        <f t="shared" si="356"/>
        <v>set</v>
      </c>
      <c r="N2978">
        <f t="shared" si="357"/>
        <v>2025</v>
      </c>
      <c r="O2978" s="2">
        <f>_xlfn.XLOOKUP(A2978,Colaboradores!$A:$A,Colaboradores!$S:$S,"",0)</f>
        <v>45935</v>
      </c>
      <c r="P2978" t="str">
        <f t="shared" si="354"/>
        <v>158445910</v>
      </c>
    </row>
    <row r="2979" spans="1:16" x14ac:dyDescent="0.3">
      <c r="A2979">
        <v>1585</v>
      </c>
      <c r="B2979">
        <v>24</v>
      </c>
      <c r="C2979" t="s">
        <v>15</v>
      </c>
      <c r="D2979" t="s">
        <v>27</v>
      </c>
      <c r="E2979" t="s">
        <v>17</v>
      </c>
      <c r="F2979" t="s">
        <v>21</v>
      </c>
      <c r="G2979" t="s">
        <v>40</v>
      </c>
      <c r="H2979" t="s">
        <v>25</v>
      </c>
      <c r="I2979" s="1">
        <v>3</v>
      </c>
      <c r="J2979" s="2">
        <v>45757</v>
      </c>
      <c r="K2979" s="2">
        <v>45748</v>
      </c>
      <c r="L2979" s="1" t="str">
        <f t="shared" si="355"/>
        <v>qui</v>
      </c>
      <c r="M2979" s="1" t="str">
        <f t="shared" si="356"/>
        <v>abr</v>
      </c>
      <c r="N2979">
        <f t="shared" si="357"/>
        <v>2025</v>
      </c>
      <c r="O2979" s="2"/>
      <c r="P2979" t="str">
        <f t="shared" si="354"/>
        <v>158545757</v>
      </c>
    </row>
    <row r="2980" spans="1:16" x14ac:dyDescent="0.3">
      <c r="A2980">
        <v>1585</v>
      </c>
      <c r="B2980">
        <v>24</v>
      </c>
      <c r="C2980" t="s">
        <v>15</v>
      </c>
      <c r="D2980" t="s">
        <v>27</v>
      </c>
      <c r="E2980" t="s">
        <v>17</v>
      </c>
      <c r="F2980" t="s">
        <v>21</v>
      </c>
      <c r="G2980" t="s">
        <v>40</v>
      </c>
      <c r="H2980" t="s">
        <v>25</v>
      </c>
      <c r="I2980" s="1">
        <v>3</v>
      </c>
      <c r="J2980" s="2">
        <v>45792</v>
      </c>
      <c r="K2980" s="2">
        <v>45778</v>
      </c>
      <c r="L2980" s="1" t="str">
        <f t="shared" si="355"/>
        <v>qui</v>
      </c>
      <c r="M2980" s="1" t="str">
        <f t="shared" si="356"/>
        <v>mai</v>
      </c>
      <c r="N2980">
        <f t="shared" si="357"/>
        <v>2025</v>
      </c>
      <c r="O2980" s="2"/>
      <c r="P2980" t="str">
        <f t="shared" si="354"/>
        <v>158545792</v>
      </c>
    </row>
    <row r="2981" spans="1:16" x14ac:dyDescent="0.3">
      <c r="A2981">
        <v>1585</v>
      </c>
      <c r="B2981">
        <v>24</v>
      </c>
      <c r="C2981" t="s">
        <v>15</v>
      </c>
      <c r="D2981" t="s">
        <v>27</v>
      </c>
      <c r="E2981" t="s">
        <v>17</v>
      </c>
      <c r="F2981" t="s">
        <v>21</v>
      </c>
      <c r="G2981" t="s">
        <v>40</v>
      </c>
      <c r="H2981" t="s">
        <v>25</v>
      </c>
      <c r="I2981" s="1">
        <v>3</v>
      </c>
      <c r="J2981" s="2">
        <v>45795</v>
      </c>
      <c r="K2981" s="2">
        <v>45778</v>
      </c>
      <c r="L2981" s="1" t="str">
        <f t="shared" si="355"/>
        <v>dom</v>
      </c>
      <c r="M2981" s="1" t="str">
        <f t="shared" si="356"/>
        <v>mai</v>
      </c>
      <c r="N2981">
        <f t="shared" si="357"/>
        <v>2025</v>
      </c>
      <c r="O2981" s="2"/>
      <c r="P2981" t="str">
        <f t="shared" si="354"/>
        <v>158545795</v>
      </c>
    </row>
    <row r="2982" spans="1:16" x14ac:dyDescent="0.3">
      <c r="A2982">
        <v>1585</v>
      </c>
      <c r="B2982">
        <v>24</v>
      </c>
      <c r="C2982" t="s">
        <v>15</v>
      </c>
      <c r="D2982" t="s">
        <v>27</v>
      </c>
      <c r="E2982" t="s">
        <v>17</v>
      </c>
      <c r="F2982" t="s">
        <v>21</v>
      </c>
      <c r="G2982" t="s">
        <v>40</v>
      </c>
      <c r="H2982" t="s">
        <v>25</v>
      </c>
      <c r="I2982" s="1">
        <v>3</v>
      </c>
      <c r="J2982" s="2">
        <v>45837</v>
      </c>
      <c r="K2982" s="2">
        <v>45809</v>
      </c>
      <c r="L2982" s="1" t="str">
        <f t="shared" si="355"/>
        <v>dom</v>
      </c>
      <c r="M2982" s="1" t="str">
        <f t="shared" si="356"/>
        <v>jun</v>
      </c>
      <c r="N2982">
        <f t="shared" si="357"/>
        <v>2025</v>
      </c>
      <c r="O2982" s="2"/>
      <c r="P2982" t="str">
        <f t="shared" si="354"/>
        <v>158545837</v>
      </c>
    </row>
    <row r="2983" spans="1:16" x14ac:dyDescent="0.3">
      <c r="A2983">
        <v>1585</v>
      </c>
      <c r="B2983">
        <v>24</v>
      </c>
      <c r="C2983" t="s">
        <v>15</v>
      </c>
      <c r="D2983" t="s">
        <v>27</v>
      </c>
      <c r="E2983" t="s">
        <v>17</v>
      </c>
      <c r="F2983" t="s">
        <v>21</v>
      </c>
      <c r="G2983" t="s">
        <v>40</v>
      </c>
      <c r="H2983" t="s">
        <v>25</v>
      </c>
      <c r="I2983" s="1">
        <v>3</v>
      </c>
      <c r="J2983" s="2">
        <v>45945</v>
      </c>
      <c r="K2983" s="2">
        <v>45931</v>
      </c>
      <c r="L2983" s="1" t="str">
        <f t="shared" si="355"/>
        <v>qua</v>
      </c>
      <c r="M2983" s="1" t="str">
        <f t="shared" si="356"/>
        <v>out</v>
      </c>
      <c r="N2983">
        <f t="shared" si="357"/>
        <v>2025</v>
      </c>
      <c r="O2983" s="2"/>
      <c r="P2983" t="str">
        <f t="shared" si="354"/>
        <v>158545945</v>
      </c>
    </row>
    <row r="2984" spans="1:16" x14ac:dyDescent="0.3">
      <c r="A2984">
        <v>1585</v>
      </c>
      <c r="B2984">
        <v>24</v>
      </c>
      <c r="C2984" t="s">
        <v>15</v>
      </c>
      <c r="D2984" t="s">
        <v>27</v>
      </c>
      <c r="E2984" t="s">
        <v>17</v>
      </c>
      <c r="F2984" t="s">
        <v>21</v>
      </c>
      <c r="G2984" t="s">
        <v>40</v>
      </c>
      <c r="H2984" t="s">
        <v>25</v>
      </c>
      <c r="I2984" s="1">
        <v>3</v>
      </c>
      <c r="J2984" s="2">
        <v>45957</v>
      </c>
      <c r="K2984" s="2">
        <v>45931</v>
      </c>
      <c r="L2984" s="1" t="str">
        <f t="shared" si="355"/>
        <v>seg</v>
      </c>
      <c r="M2984" s="1" t="str">
        <f t="shared" si="356"/>
        <v>out</v>
      </c>
      <c r="N2984">
        <f t="shared" si="357"/>
        <v>2025</v>
      </c>
      <c r="O2984" s="2"/>
      <c r="P2984" t="str">
        <f t="shared" si="354"/>
        <v>158545957</v>
      </c>
    </row>
    <row r="2985" spans="1:16" x14ac:dyDescent="0.3">
      <c r="A2985">
        <v>1585</v>
      </c>
      <c r="B2985">
        <v>24</v>
      </c>
      <c r="C2985" t="s">
        <v>15</v>
      </c>
      <c r="D2985" t="s">
        <v>27</v>
      </c>
      <c r="E2985" t="s">
        <v>17</v>
      </c>
      <c r="F2985" t="s">
        <v>21</v>
      </c>
      <c r="G2985" t="s">
        <v>40</v>
      </c>
      <c r="H2985" t="s">
        <v>25</v>
      </c>
      <c r="I2985" s="1">
        <v>3</v>
      </c>
      <c r="J2985" s="2">
        <v>46122</v>
      </c>
      <c r="K2985" s="2">
        <v>46113</v>
      </c>
      <c r="L2985" s="1" t="s">
        <v>52</v>
      </c>
      <c r="M2985" s="1" t="s">
        <v>48</v>
      </c>
      <c r="N2985">
        <v>2025</v>
      </c>
      <c r="O2985" s="2"/>
      <c r="P2985" t="str">
        <f t="shared" si="354"/>
        <v>158546122</v>
      </c>
    </row>
    <row r="2986" spans="1:16" x14ac:dyDescent="0.3">
      <c r="A2986">
        <v>1585</v>
      </c>
      <c r="B2986">
        <v>24</v>
      </c>
      <c r="C2986" t="s">
        <v>15</v>
      </c>
      <c r="D2986" t="s">
        <v>27</v>
      </c>
      <c r="E2986" t="s">
        <v>17</v>
      </c>
      <c r="F2986" t="s">
        <v>21</v>
      </c>
      <c r="G2986" t="s">
        <v>40</v>
      </c>
      <c r="H2986" t="s">
        <v>25</v>
      </c>
      <c r="I2986" s="1">
        <v>3</v>
      </c>
      <c r="J2986" s="2">
        <v>46157</v>
      </c>
      <c r="K2986" s="2">
        <v>46143</v>
      </c>
      <c r="L2986" s="1" t="s">
        <v>52</v>
      </c>
      <c r="M2986" s="1" t="s">
        <v>49</v>
      </c>
      <c r="N2986">
        <v>2025</v>
      </c>
      <c r="O2986" s="2"/>
      <c r="P2986" t="str">
        <f t="shared" si="354"/>
        <v>158546157</v>
      </c>
    </row>
    <row r="2987" spans="1:16" x14ac:dyDescent="0.3">
      <c r="A2987">
        <v>1585</v>
      </c>
      <c r="B2987">
        <v>24</v>
      </c>
      <c r="C2987" t="s">
        <v>15</v>
      </c>
      <c r="D2987" t="s">
        <v>27</v>
      </c>
      <c r="E2987" t="s">
        <v>17</v>
      </c>
      <c r="F2987" t="s">
        <v>21</v>
      </c>
      <c r="G2987" t="s">
        <v>40</v>
      </c>
      <c r="H2987" t="s">
        <v>25</v>
      </c>
      <c r="I2987" s="1">
        <v>3</v>
      </c>
      <c r="J2987" s="2">
        <v>46160</v>
      </c>
      <c r="K2987" s="2">
        <v>46143</v>
      </c>
      <c r="L2987" s="1" t="s">
        <v>55</v>
      </c>
      <c r="M2987" s="1" t="s">
        <v>49</v>
      </c>
      <c r="N2987">
        <v>2025</v>
      </c>
      <c r="O2987" s="2"/>
      <c r="P2987" t="str">
        <f t="shared" si="354"/>
        <v>158546160</v>
      </c>
    </row>
    <row r="2988" spans="1:16" x14ac:dyDescent="0.3">
      <c r="A2988">
        <v>1586</v>
      </c>
      <c r="B2988">
        <v>33</v>
      </c>
      <c r="C2988" t="s">
        <v>26</v>
      </c>
      <c r="D2988" t="s">
        <v>16</v>
      </c>
      <c r="E2988" t="s">
        <v>17</v>
      </c>
      <c r="F2988" t="s">
        <v>18</v>
      </c>
      <c r="G2988" t="s">
        <v>41</v>
      </c>
      <c r="H2988" t="s">
        <v>20</v>
      </c>
      <c r="I2988" s="1">
        <v>2</v>
      </c>
      <c r="J2988" s="2">
        <v>45799</v>
      </c>
      <c r="K2988" s="2">
        <v>45778</v>
      </c>
      <c r="L2988" s="1" t="str">
        <f t="shared" ref="L2988:L2999" si="358">TEXT(J2988,"ddd")</f>
        <v>qui</v>
      </c>
      <c r="M2988" s="1" t="str">
        <f t="shared" ref="M2988:M2999" si="359">TEXT($J2988,"mmm")</f>
        <v>mai</v>
      </c>
      <c r="N2988">
        <f t="shared" ref="N2988:N2999" si="360">YEAR(J2988)</f>
        <v>2025</v>
      </c>
      <c r="O2988" s="2">
        <f>_xlfn.XLOOKUP(A2988,Colaboradores!$A:$A,Colaboradores!$S:$S,"",0)</f>
        <v>46033</v>
      </c>
      <c r="P2988" t="str">
        <f t="shared" si="354"/>
        <v>158645799</v>
      </c>
    </row>
    <row r="2989" spans="1:16" x14ac:dyDescent="0.3">
      <c r="A2989">
        <v>1586</v>
      </c>
      <c r="B2989">
        <v>33</v>
      </c>
      <c r="C2989" t="s">
        <v>26</v>
      </c>
      <c r="D2989" t="s">
        <v>16</v>
      </c>
      <c r="E2989" t="s">
        <v>17</v>
      </c>
      <c r="F2989" t="s">
        <v>18</v>
      </c>
      <c r="G2989" t="s">
        <v>41</v>
      </c>
      <c r="H2989" t="s">
        <v>20</v>
      </c>
      <c r="I2989" s="1">
        <v>2</v>
      </c>
      <c r="J2989" s="2">
        <v>45834</v>
      </c>
      <c r="K2989" s="2">
        <v>45809</v>
      </c>
      <c r="L2989" s="1" t="str">
        <f t="shared" si="358"/>
        <v>qui</v>
      </c>
      <c r="M2989" s="1" t="str">
        <f t="shared" si="359"/>
        <v>jun</v>
      </c>
      <c r="N2989">
        <f t="shared" si="360"/>
        <v>2025</v>
      </c>
      <c r="O2989" s="2">
        <f>_xlfn.XLOOKUP(A2989,Colaboradores!$A:$A,Colaboradores!$S:$S,"",0)</f>
        <v>46033</v>
      </c>
      <c r="P2989" t="str">
        <f t="shared" si="354"/>
        <v>158645834</v>
      </c>
    </row>
    <row r="2990" spans="1:16" x14ac:dyDescent="0.3">
      <c r="A2990">
        <v>1586</v>
      </c>
      <c r="B2990">
        <v>33</v>
      </c>
      <c r="C2990" t="s">
        <v>26</v>
      </c>
      <c r="D2990" t="s">
        <v>16</v>
      </c>
      <c r="E2990" t="s">
        <v>17</v>
      </c>
      <c r="F2990" t="s">
        <v>18</v>
      </c>
      <c r="G2990" t="s">
        <v>41</v>
      </c>
      <c r="H2990" t="s">
        <v>20</v>
      </c>
      <c r="I2990" s="1">
        <v>2</v>
      </c>
      <c r="J2990" s="2">
        <v>45836</v>
      </c>
      <c r="K2990" s="2">
        <v>45809</v>
      </c>
      <c r="L2990" s="1" t="str">
        <f t="shared" si="358"/>
        <v>sáb</v>
      </c>
      <c r="M2990" s="1" t="str">
        <f t="shared" si="359"/>
        <v>jun</v>
      </c>
      <c r="N2990">
        <f t="shared" si="360"/>
        <v>2025</v>
      </c>
      <c r="O2990" s="2">
        <f>_xlfn.XLOOKUP(A2990,Colaboradores!$A:$A,Colaboradores!$S:$S,"",0)</f>
        <v>46033</v>
      </c>
      <c r="P2990" t="str">
        <f t="shared" si="354"/>
        <v>158645836</v>
      </c>
    </row>
    <row r="2991" spans="1:16" x14ac:dyDescent="0.3">
      <c r="A2991">
        <v>1586</v>
      </c>
      <c r="B2991">
        <v>33</v>
      </c>
      <c r="C2991" t="s">
        <v>26</v>
      </c>
      <c r="D2991" t="s">
        <v>16</v>
      </c>
      <c r="E2991" t="s">
        <v>17</v>
      </c>
      <c r="F2991" t="s">
        <v>18</v>
      </c>
      <c r="G2991" t="s">
        <v>41</v>
      </c>
      <c r="H2991" t="s">
        <v>20</v>
      </c>
      <c r="I2991" s="1">
        <v>2</v>
      </c>
      <c r="J2991" s="2">
        <v>45850</v>
      </c>
      <c r="K2991" s="2">
        <v>45839</v>
      </c>
      <c r="L2991" s="1" t="str">
        <f t="shared" si="358"/>
        <v>sáb</v>
      </c>
      <c r="M2991" s="1" t="str">
        <f t="shared" si="359"/>
        <v>jul</v>
      </c>
      <c r="N2991">
        <f t="shared" si="360"/>
        <v>2025</v>
      </c>
      <c r="O2991" s="2">
        <f>_xlfn.XLOOKUP(A2991,Colaboradores!$A:$A,Colaboradores!$S:$S,"",0)</f>
        <v>46033</v>
      </c>
      <c r="P2991" t="str">
        <f t="shared" si="354"/>
        <v>158645850</v>
      </c>
    </row>
    <row r="2992" spans="1:16" x14ac:dyDescent="0.3">
      <c r="A2992">
        <v>1586</v>
      </c>
      <c r="B2992">
        <v>33</v>
      </c>
      <c r="C2992" t="s">
        <v>26</v>
      </c>
      <c r="D2992" t="s">
        <v>16</v>
      </c>
      <c r="E2992" t="s">
        <v>17</v>
      </c>
      <c r="F2992" t="s">
        <v>18</v>
      </c>
      <c r="G2992" t="s">
        <v>44</v>
      </c>
      <c r="H2992" t="s">
        <v>20</v>
      </c>
      <c r="I2992" s="1">
        <v>2</v>
      </c>
      <c r="J2992" s="2">
        <v>45902</v>
      </c>
      <c r="K2992" s="2">
        <v>45901</v>
      </c>
      <c r="L2992" s="1" t="str">
        <f t="shared" si="358"/>
        <v>ter</v>
      </c>
      <c r="M2992" s="1" t="str">
        <f t="shared" si="359"/>
        <v>set</v>
      </c>
      <c r="N2992">
        <f t="shared" si="360"/>
        <v>2025</v>
      </c>
      <c r="O2992" s="2">
        <f>_xlfn.XLOOKUP(A2992,Colaboradores!$A:$A,Colaboradores!$S:$S,"",0)</f>
        <v>46033</v>
      </c>
      <c r="P2992" t="str">
        <f t="shared" si="354"/>
        <v>158645902</v>
      </c>
    </row>
    <row r="2993" spans="1:16" x14ac:dyDescent="0.3">
      <c r="A2993">
        <v>1586</v>
      </c>
      <c r="B2993">
        <v>33</v>
      </c>
      <c r="C2993" t="s">
        <v>26</v>
      </c>
      <c r="D2993" t="s">
        <v>16</v>
      </c>
      <c r="E2993" t="s">
        <v>17</v>
      </c>
      <c r="F2993" t="s">
        <v>18</v>
      </c>
      <c r="G2993" t="s">
        <v>41</v>
      </c>
      <c r="H2993" t="s">
        <v>20</v>
      </c>
      <c r="I2993" s="1">
        <v>2</v>
      </c>
      <c r="J2993" s="2">
        <v>45982</v>
      </c>
      <c r="K2993" s="2">
        <v>45962</v>
      </c>
      <c r="L2993" s="1" t="str">
        <f t="shared" si="358"/>
        <v>sex</v>
      </c>
      <c r="M2993" s="1" t="str">
        <f t="shared" si="359"/>
        <v>nov</v>
      </c>
      <c r="N2993">
        <f t="shared" si="360"/>
        <v>2025</v>
      </c>
      <c r="O2993" s="2">
        <f>_xlfn.XLOOKUP(A2993,Colaboradores!$A:$A,Colaboradores!$S:$S,"",0)</f>
        <v>46033</v>
      </c>
      <c r="P2993" t="str">
        <f t="shared" si="354"/>
        <v>158645982</v>
      </c>
    </row>
    <row r="2994" spans="1:16" x14ac:dyDescent="0.3">
      <c r="A2994">
        <v>1587</v>
      </c>
      <c r="B2994">
        <v>28</v>
      </c>
      <c r="C2994" t="s">
        <v>15</v>
      </c>
      <c r="D2994" t="s">
        <v>22</v>
      </c>
      <c r="E2994" t="s">
        <v>17</v>
      </c>
      <c r="F2994" t="s">
        <v>23</v>
      </c>
      <c r="G2994" t="s">
        <v>44</v>
      </c>
      <c r="H2994" t="s">
        <v>25</v>
      </c>
      <c r="I2994" s="1">
        <v>2</v>
      </c>
      <c r="J2994" s="2">
        <v>45785</v>
      </c>
      <c r="K2994" s="2">
        <v>45778</v>
      </c>
      <c r="L2994" s="1" t="str">
        <f t="shared" si="358"/>
        <v>qui</v>
      </c>
      <c r="M2994" s="1" t="str">
        <f t="shared" si="359"/>
        <v>mai</v>
      </c>
      <c r="N2994">
        <f t="shared" si="360"/>
        <v>2025</v>
      </c>
      <c r="O2994" s="2"/>
      <c r="P2994" t="str">
        <f t="shared" si="354"/>
        <v>158745785</v>
      </c>
    </row>
    <row r="2995" spans="1:16" x14ac:dyDescent="0.3">
      <c r="A2995">
        <v>1587</v>
      </c>
      <c r="B2995">
        <v>28</v>
      </c>
      <c r="C2995" t="s">
        <v>15</v>
      </c>
      <c r="D2995" t="s">
        <v>22</v>
      </c>
      <c r="E2995" t="s">
        <v>17</v>
      </c>
      <c r="F2995" t="s">
        <v>23</v>
      </c>
      <c r="G2995" t="s">
        <v>44</v>
      </c>
      <c r="H2995" t="s">
        <v>25</v>
      </c>
      <c r="I2995" s="1">
        <v>2</v>
      </c>
      <c r="J2995" s="2">
        <v>45810</v>
      </c>
      <c r="K2995" s="2">
        <v>45809</v>
      </c>
      <c r="L2995" s="1" t="str">
        <f t="shared" si="358"/>
        <v>seg</v>
      </c>
      <c r="M2995" s="1" t="str">
        <f t="shared" si="359"/>
        <v>jun</v>
      </c>
      <c r="N2995">
        <f t="shared" si="360"/>
        <v>2025</v>
      </c>
      <c r="O2995" s="2"/>
      <c r="P2995" t="str">
        <f t="shared" si="354"/>
        <v>158745810</v>
      </c>
    </row>
    <row r="2996" spans="1:16" x14ac:dyDescent="0.3">
      <c r="A2996">
        <v>1587</v>
      </c>
      <c r="B2996">
        <v>28</v>
      </c>
      <c r="C2996" t="s">
        <v>15</v>
      </c>
      <c r="D2996" t="s">
        <v>22</v>
      </c>
      <c r="E2996" t="s">
        <v>17</v>
      </c>
      <c r="F2996" t="s">
        <v>23</v>
      </c>
      <c r="G2996" t="s">
        <v>42</v>
      </c>
      <c r="H2996" t="s">
        <v>25</v>
      </c>
      <c r="I2996" s="1">
        <v>2</v>
      </c>
      <c r="J2996" s="2">
        <v>45833</v>
      </c>
      <c r="K2996" s="2">
        <v>45809</v>
      </c>
      <c r="L2996" s="1" t="str">
        <f t="shared" si="358"/>
        <v>qua</v>
      </c>
      <c r="M2996" s="1" t="str">
        <f t="shared" si="359"/>
        <v>jun</v>
      </c>
      <c r="N2996">
        <f t="shared" si="360"/>
        <v>2025</v>
      </c>
      <c r="O2996" s="2"/>
      <c r="P2996" t="str">
        <f t="shared" si="354"/>
        <v>158745833</v>
      </c>
    </row>
    <row r="2997" spans="1:16" x14ac:dyDescent="0.3">
      <c r="A2997">
        <v>1587</v>
      </c>
      <c r="B2997">
        <v>28</v>
      </c>
      <c r="C2997" t="s">
        <v>15</v>
      </c>
      <c r="D2997" t="s">
        <v>22</v>
      </c>
      <c r="E2997" t="s">
        <v>17</v>
      </c>
      <c r="F2997" t="s">
        <v>23</v>
      </c>
      <c r="G2997" t="s">
        <v>42</v>
      </c>
      <c r="H2997" t="s">
        <v>25</v>
      </c>
      <c r="I2997" s="1">
        <v>2</v>
      </c>
      <c r="J2997" s="2">
        <v>45972</v>
      </c>
      <c r="K2997" s="2">
        <v>45962</v>
      </c>
      <c r="L2997" s="1" t="str">
        <f t="shared" si="358"/>
        <v>ter</v>
      </c>
      <c r="M2997" s="1" t="str">
        <f t="shared" si="359"/>
        <v>nov</v>
      </c>
      <c r="N2997">
        <f t="shared" si="360"/>
        <v>2025</v>
      </c>
      <c r="O2997" s="2"/>
      <c r="P2997" t="str">
        <f t="shared" si="354"/>
        <v>158745972</v>
      </c>
    </row>
    <row r="2998" spans="1:16" x14ac:dyDescent="0.3">
      <c r="A2998">
        <v>1587</v>
      </c>
      <c r="B2998">
        <v>28</v>
      </c>
      <c r="C2998" t="s">
        <v>15</v>
      </c>
      <c r="D2998" t="s">
        <v>22</v>
      </c>
      <c r="E2998" t="s">
        <v>17</v>
      </c>
      <c r="F2998" t="s">
        <v>23</v>
      </c>
      <c r="G2998" t="s">
        <v>44</v>
      </c>
      <c r="H2998" t="s">
        <v>25</v>
      </c>
      <c r="I2998" s="1">
        <v>2</v>
      </c>
      <c r="J2998" s="2">
        <v>46058</v>
      </c>
      <c r="K2998" s="2">
        <v>46054</v>
      </c>
      <c r="L2998" s="1" t="str">
        <f t="shared" si="358"/>
        <v>qui</v>
      </c>
      <c r="M2998" s="1" t="str">
        <f t="shared" si="359"/>
        <v>fev</v>
      </c>
      <c r="N2998">
        <f t="shared" si="360"/>
        <v>2026</v>
      </c>
      <c r="O2998" s="2"/>
      <c r="P2998" t="str">
        <f t="shared" si="354"/>
        <v>158746058</v>
      </c>
    </row>
    <row r="2999" spans="1:16" x14ac:dyDescent="0.3">
      <c r="A2999">
        <v>1587</v>
      </c>
      <c r="B2999">
        <v>28</v>
      </c>
      <c r="C2999" t="s">
        <v>15</v>
      </c>
      <c r="D2999" t="s">
        <v>22</v>
      </c>
      <c r="E2999" t="s">
        <v>17</v>
      </c>
      <c r="F2999" t="s">
        <v>23</v>
      </c>
      <c r="G2999" t="s">
        <v>44</v>
      </c>
      <c r="H2999" t="s">
        <v>25</v>
      </c>
      <c r="I2999" s="1">
        <v>2</v>
      </c>
      <c r="J2999" s="2">
        <v>46071</v>
      </c>
      <c r="K2999" s="2">
        <v>46054</v>
      </c>
      <c r="L2999" s="1" t="str">
        <f t="shared" si="358"/>
        <v>qua</v>
      </c>
      <c r="M2999" s="1" t="str">
        <f t="shared" si="359"/>
        <v>fev</v>
      </c>
      <c r="N2999">
        <f t="shared" si="360"/>
        <v>2026</v>
      </c>
      <c r="O2999" s="2"/>
      <c r="P2999" t="str">
        <f t="shared" si="354"/>
        <v>158746071</v>
      </c>
    </row>
    <row r="3000" spans="1:16" x14ac:dyDescent="0.3">
      <c r="A3000">
        <v>1587</v>
      </c>
      <c r="B3000">
        <v>28</v>
      </c>
      <c r="C3000" t="s">
        <v>15</v>
      </c>
      <c r="D3000" t="s">
        <v>22</v>
      </c>
      <c r="E3000" t="s">
        <v>17</v>
      </c>
      <c r="F3000" t="s">
        <v>23</v>
      </c>
      <c r="G3000" t="s">
        <v>44</v>
      </c>
      <c r="H3000" t="s">
        <v>25</v>
      </c>
      <c r="I3000" s="1">
        <v>2</v>
      </c>
      <c r="J3000" s="2">
        <v>46150</v>
      </c>
      <c r="K3000" s="2">
        <v>46143</v>
      </c>
      <c r="L3000" s="1" t="s">
        <v>52</v>
      </c>
      <c r="M3000" s="1" t="s">
        <v>49</v>
      </c>
      <c r="N3000">
        <v>2025</v>
      </c>
      <c r="O3000" s="2"/>
      <c r="P3000" t="str">
        <f t="shared" si="354"/>
        <v>158746150</v>
      </c>
    </row>
    <row r="3001" spans="1:16" x14ac:dyDescent="0.3">
      <c r="A3001">
        <v>1589</v>
      </c>
      <c r="B3001">
        <v>27</v>
      </c>
      <c r="C3001" t="s">
        <v>15</v>
      </c>
      <c r="D3001" t="s">
        <v>29</v>
      </c>
      <c r="E3001" t="s">
        <v>17</v>
      </c>
      <c r="F3001" t="s">
        <v>21</v>
      </c>
      <c r="G3001" t="s">
        <v>41</v>
      </c>
      <c r="H3001" t="s">
        <v>25</v>
      </c>
      <c r="I3001" s="1">
        <v>3</v>
      </c>
      <c r="J3001" s="2">
        <v>45850</v>
      </c>
      <c r="K3001" s="2">
        <v>45839</v>
      </c>
      <c r="L3001" s="1" t="str">
        <f t="shared" ref="L3001:L3064" si="361">TEXT(J3001,"ddd")</f>
        <v>sáb</v>
      </c>
      <c r="M3001" s="1" t="str">
        <f t="shared" ref="M3001:M3064" si="362">TEXT($J3001,"mmm")</f>
        <v>jul</v>
      </c>
      <c r="N3001">
        <f t="shared" ref="N3001:N3064" si="363">YEAR(J3001)</f>
        <v>2025</v>
      </c>
      <c r="O3001" s="2"/>
      <c r="P3001" t="str">
        <f t="shared" si="354"/>
        <v>158945850</v>
      </c>
    </row>
    <row r="3002" spans="1:16" x14ac:dyDescent="0.3">
      <c r="A3002">
        <v>1589</v>
      </c>
      <c r="B3002">
        <v>27</v>
      </c>
      <c r="C3002" t="s">
        <v>15</v>
      </c>
      <c r="D3002" t="s">
        <v>29</v>
      </c>
      <c r="E3002" t="s">
        <v>17</v>
      </c>
      <c r="F3002" t="s">
        <v>21</v>
      </c>
      <c r="G3002" t="s">
        <v>41</v>
      </c>
      <c r="H3002" t="s">
        <v>25</v>
      </c>
      <c r="I3002" s="1">
        <v>3</v>
      </c>
      <c r="J3002" s="2">
        <v>45991</v>
      </c>
      <c r="K3002" s="2">
        <v>45962</v>
      </c>
      <c r="L3002" s="1" t="str">
        <f t="shared" si="361"/>
        <v>dom</v>
      </c>
      <c r="M3002" s="1" t="str">
        <f t="shared" si="362"/>
        <v>nov</v>
      </c>
      <c r="N3002">
        <f t="shared" si="363"/>
        <v>2025</v>
      </c>
      <c r="O3002" s="2"/>
      <c r="P3002" t="str">
        <f t="shared" si="354"/>
        <v>158945991</v>
      </c>
    </row>
    <row r="3003" spans="1:16" x14ac:dyDescent="0.3">
      <c r="A3003">
        <v>1589</v>
      </c>
      <c r="B3003">
        <v>27</v>
      </c>
      <c r="C3003" t="s">
        <v>15</v>
      </c>
      <c r="D3003" t="s">
        <v>29</v>
      </c>
      <c r="E3003" t="s">
        <v>17</v>
      </c>
      <c r="F3003" t="s">
        <v>21</v>
      </c>
      <c r="G3003" t="s">
        <v>41</v>
      </c>
      <c r="H3003" t="s">
        <v>25</v>
      </c>
      <c r="I3003" s="1">
        <v>3</v>
      </c>
      <c r="J3003" s="2">
        <v>45997</v>
      </c>
      <c r="K3003" s="2">
        <v>45992</v>
      </c>
      <c r="L3003" s="1" t="str">
        <f t="shared" si="361"/>
        <v>sáb</v>
      </c>
      <c r="M3003" s="1" t="str">
        <f t="shared" si="362"/>
        <v>dez</v>
      </c>
      <c r="N3003">
        <f t="shared" si="363"/>
        <v>2025</v>
      </c>
      <c r="O3003" s="2"/>
      <c r="P3003" t="str">
        <f t="shared" si="354"/>
        <v>158945997</v>
      </c>
    </row>
    <row r="3004" spans="1:16" x14ac:dyDescent="0.3">
      <c r="A3004">
        <v>1589</v>
      </c>
      <c r="B3004">
        <v>27</v>
      </c>
      <c r="C3004" t="s">
        <v>15</v>
      </c>
      <c r="D3004" t="s">
        <v>29</v>
      </c>
      <c r="E3004" t="s">
        <v>17</v>
      </c>
      <c r="F3004" t="s">
        <v>21</v>
      </c>
      <c r="G3004" t="s">
        <v>41</v>
      </c>
      <c r="H3004" t="s">
        <v>25</v>
      </c>
      <c r="I3004" s="1">
        <v>3</v>
      </c>
      <c r="J3004" s="2">
        <v>46015</v>
      </c>
      <c r="K3004" s="2">
        <v>45992</v>
      </c>
      <c r="L3004" s="1" t="str">
        <f t="shared" si="361"/>
        <v>qua</v>
      </c>
      <c r="M3004" s="1" t="str">
        <f t="shared" si="362"/>
        <v>dez</v>
      </c>
      <c r="N3004">
        <f t="shared" si="363"/>
        <v>2025</v>
      </c>
      <c r="O3004" s="2"/>
      <c r="P3004" t="str">
        <f t="shared" si="354"/>
        <v>158946015</v>
      </c>
    </row>
    <row r="3005" spans="1:16" x14ac:dyDescent="0.3">
      <c r="A3005">
        <v>1589</v>
      </c>
      <c r="B3005">
        <v>27</v>
      </c>
      <c r="C3005" t="s">
        <v>15</v>
      </c>
      <c r="D3005" t="s">
        <v>29</v>
      </c>
      <c r="E3005" t="s">
        <v>17</v>
      </c>
      <c r="F3005" t="s">
        <v>21</v>
      </c>
      <c r="G3005" t="s">
        <v>41</v>
      </c>
      <c r="H3005" t="s">
        <v>25</v>
      </c>
      <c r="I3005" s="1">
        <v>3</v>
      </c>
      <c r="J3005" s="2">
        <v>46072</v>
      </c>
      <c r="K3005" s="2">
        <v>46054</v>
      </c>
      <c r="L3005" s="1" t="str">
        <f t="shared" si="361"/>
        <v>qui</v>
      </c>
      <c r="M3005" s="1" t="str">
        <f t="shared" si="362"/>
        <v>fev</v>
      </c>
      <c r="N3005">
        <f t="shared" si="363"/>
        <v>2026</v>
      </c>
      <c r="O3005" s="2"/>
      <c r="P3005" t="str">
        <f t="shared" si="354"/>
        <v>158946072</v>
      </c>
    </row>
    <row r="3006" spans="1:16" x14ac:dyDescent="0.3">
      <c r="A3006">
        <v>1589</v>
      </c>
      <c r="B3006">
        <v>27</v>
      </c>
      <c r="C3006" t="s">
        <v>15</v>
      </c>
      <c r="D3006" t="s">
        <v>29</v>
      </c>
      <c r="E3006" t="s">
        <v>17</v>
      </c>
      <c r="F3006" t="s">
        <v>21</v>
      </c>
      <c r="G3006" t="s">
        <v>41</v>
      </c>
      <c r="H3006" t="s">
        <v>25</v>
      </c>
      <c r="I3006" s="1">
        <v>3</v>
      </c>
      <c r="J3006" s="2">
        <v>46094</v>
      </c>
      <c r="K3006" s="2">
        <v>46082</v>
      </c>
      <c r="L3006" s="1" t="str">
        <f t="shared" si="361"/>
        <v>sex</v>
      </c>
      <c r="M3006" s="1" t="str">
        <f t="shared" si="362"/>
        <v>mar</v>
      </c>
      <c r="N3006">
        <f t="shared" si="363"/>
        <v>2026</v>
      </c>
      <c r="O3006" s="2"/>
      <c r="P3006" t="str">
        <f t="shared" ref="P3006:P3069" si="364">CONCATENATE(A3006,J3006)</f>
        <v>158946094</v>
      </c>
    </row>
    <row r="3007" spans="1:16" x14ac:dyDescent="0.3">
      <c r="A3007">
        <v>1590</v>
      </c>
      <c r="B3007">
        <v>34</v>
      </c>
      <c r="C3007" t="s">
        <v>26</v>
      </c>
      <c r="D3007" t="s">
        <v>27</v>
      </c>
      <c r="E3007" t="s">
        <v>17</v>
      </c>
      <c r="F3007" t="s">
        <v>21</v>
      </c>
      <c r="G3007" t="s">
        <v>41</v>
      </c>
      <c r="H3007" t="s">
        <v>20</v>
      </c>
      <c r="I3007" s="1">
        <v>3</v>
      </c>
      <c r="J3007" s="2">
        <v>45672</v>
      </c>
      <c r="K3007" s="2">
        <v>45658</v>
      </c>
      <c r="L3007" s="1" t="str">
        <f t="shared" si="361"/>
        <v>qua</v>
      </c>
      <c r="M3007" s="1" t="str">
        <f t="shared" si="362"/>
        <v>jan</v>
      </c>
      <c r="N3007">
        <f t="shared" si="363"/>
        <v>2025</v>
      </c>
      <c r="O3007" s="2">
        <f>_xlfn.XLOOKUP(A3007,Colaboradores!$A:$A,Colaboradores!$S:$S,"",0)</f>
        <v>45767</v>
      </c>
      <c r="P3007" t="str">
        <f t="shared" si="364"/>
        <v>159045672</v>
      </c>
    </row>
    <row r="3008" spans="1:16" x14ac:dyDescent="0.3">
      <c r="A3008">
        <v>1590</v>
      </c>
      <c r="B3008">
        <v>34</v>
      </c>
      <c r="C3008" t="s">
        <v>26</v>
      </c>
      <c r="D3008" t="s">
        <v>27</v>
      </c>
      <c r="E3008" t="s">
        <v>17</v>
      </c>
      <c r="F3008" t="s">
        <v>21</v>
      </c>
      <c r="G3008" t="s">
        <v>41</v>
      </c>
      <c r="H3008" t="s">
        <v>20</v>
      </c>
      <c r="I3008" s="1">
        <v>3</v>
      </c>
      <c r="J3008" s="2">
        <v>45709</v>
      </c>
      <c r="K3008" s="2">
        <v>45689</v>
      </c>
      <c r="L3008" s="1" t="str">
        <f t="shared" si="361"/>
        <v>sex</v>
      </c>
      <c r="M3008" s="1" t="str">
        <f t="shared" si="362"/>
        <v>fev</v>
      </c>
      <c r="N3008">
        <f t="shared" si="363"/>
        <v>2025</v>
      </c>
      <c r="O3008" s="2">
        <f>_xlfn.XLOOKUP(A3008,Colaboradores!$A:$A,Colaboradores!$S:$S,"",0)</f>
        <v>45767</v>
      </c>
      <c r="P3008" t="str">
        <f t="shared" si="364"/>
        <v>159045709</v>
      </c>
    </row>
    <row r="3009" spans="1:16" x14ac:dyDescent="0.3">
      <c r="A3009">
        <v>1590</v>
      </c>
      <c r="B3009">
        <v>34</v>
      </c>
      <c r="C3009" t="s">
        <v>26</v>
      </c>
      <c r="D3009" t="s">
        <v>27</v>
      </c>
      <c r="E3009" t="s">
        <v>17</v>
      </c>
      <c r="F3009" t="s">
        <v>21</v>
      </c>
      <c r="G3009" t="s">
        <v>41</v>
      </c>
      <c r="H3009" t="s">
        <v>20</v>
      </c>
      <c r="I3009" s="1">
        <v>3</v>
      </c>
      <c r="J3009" s="2">
        <v>45745</v>
      </c>
      <c r="K3009" s="2">
        <v>45717</v>
      </c>
      <c r="L3009" s="1" t="str">
        <f t="shared" si="361"/>
        <v>sáb</v>
      </c>
      <c r="M3009" s="1" t="str">
        <f t="shared" si="362"/>
        <v>mar</v>
      </c>
      <c r="N3009">
        <f t="shared" si="363"/>
        <v>2025</v>
      </c>
      <c r="O3009" s="2">
        <f>_xlfn.XLOOKUP(A3009,Colaboradores!$A:$A,Colaboradores!$S:$S,"",0)</f>
        <v>45767</v>
      </c>
      <c r="P3009" t="str">
        <f t="shared" si="364"/>
        <v>159045745</v>
      </c>
    </row>
    <row r="3010" spans="1:16" x14ac:dyDescent="0.3">
      <c r="A3010">
        <v>1590</v>
      </c>
      <c r="B3010">
        <v>34</v>
      </c>
      <c r="C3010" t="s">
        <v>26</v>
      </c>
      <c r="D3010" t="s">
        <v>27</v>
      </c>
      <c r="E3010" t="s">
        <v>17</v>
      </c>
      <c r="F3010" t="s">
        <v>21</v>
      </c>
      <c r="G3010" t="s">
        <v>41</v>
      </c>
      <c r="H3010" t="s">
        <v>20</v>
      </c>
      <c r="I3010" s="1">
        <v>3</v>
      </c>
      <c r="J3010" s="2">
        <v>45746</v>
      </c>
      <c r="K3010" s="2">
        <v>45717</v>
      </c>
      <c r="L3010" s="1" t="str">
        <f t="shared" si="361"/>
        <v>dom</v>
      </c>
      <c r="M3010" s="1" t="str">
        <f t="shared" si="362"/>
        <v>mar</v>
      </c>
      <c r="N3010">
        <f t="shared" si="363"/>
        <v>2025</v>
      </c>
      <c r="O3010" s="2">
        <f>_xlfn.XLOOKUP(A3010,Colaboradores!$A:$A,Colaboradores!$S:$S,"",0)</f>
        <v>45767</v>
      </c>
      <c r="P3010" t="str">
        <f t="shared" si="364"/>
        <v>159045746</v>
      </c>
    </row>
    <row r="3011" spans="1:16" x14ac:dyDescent="0.3">
      <c r="A3011">
        <v>1590</v>
      </c>
      <c r="B3011">
        <v>34</v>
      </c>
      <c r="C3011" t="s">
        <v>26</v>
      </c>
      <c r="D3011" t="s">
        <v>27</v>
      </c>
      <c r="E3011" t="s">
        <v>17</v>
      </c>
      <c r="F3011" t="s">
        <v>21</v>
      </c>
      <c r="G3011" t="s">
        <v>41</v>
      </c>
      <c r="H3011" t="s">
        <v>20</v>
      </c>
      <c r="I3011" s="1">
        <v>3</v>
      </c>
      <c r="J3011" s="2">
        <v>45759</v>
      </c>
      <c r="K3011" s="2">
        <v>45748</v>
      </c>
      <c r="L3011" s="1" t="str">
        <f t="shared" si="361"/>
        <v>sáb</v>
      </c>
      <c r="M3011" s="1" t="str">
        <f t="shared" si="362"/>
        <v>abr</v>
      </c>
      <c r="N3011">
        <f t="shared" si="363"/>
        <v>2025</v>
      </c>
      <c r="O3011" s="2">
        <f>_xlfn.XLOOKUP(A3011,Colaboradores!$A:$A,Colaboradores!$S:$S,"",0)</f>
        <v>45767</v>
      </c>
      <c r="P3011" t="str">
        <f t="shared" si="364"/>
        <v>159045759</v>
      </c>
    </row>
    <row r="3012" spans="1:16" x14ac:dyDescent="0.3">
      <c r="A3012">
        <v>1590</v>
      </c>
      <c r="B3012">
        <v>34</v>
      </c>
      <c r="C3012" t="s">
        <v>26</v>
      </c>
      <c r="D3012" t="s">
        <v>27</v>
      </c>
      <c r="E3012" t="s">
        <v>17</v>
      </c>
      <c r="F3012" t="s">
        <v>21</v>
      </c>
      <c r="G3012" t="s">
        <v>41</v>
      </c>
      <c r="H3012" t="s">
        <v>20</v>
      </c>
      <c r="I3012" s="1">
        <v>3</v>
      </c>
      <c r="J3012" s="2">
        <v>45761</v>
      </c>
      <c r="K3012" s="2">
        <v>45748</v>
      </c>
      <c r="L3012" s="1" t="str">
        <f t="shared" si="361"/>
        <v>seg</v>
      </c>
      <c r="M3012" s="1" t="str">
        <f t="shared" si="362"/>
        <v>abr</v>
      </c>
      <c r="N3012">
        <f t="shared" si="363"/>
        <v>2025</v>
      </c>
      <c r="O3012" s="2">
        <f>_xlfn.XLOOKUP(A3012,Colaboradores!$A:$A,Colaboradores!$S:$S,"",0)</f>
        <v>45767</v>
      </c>
      <c r="P3012" t="str">
        <f t="shared" si="364"/>
        <v>159045761</v>
      </c>
    </row>
    <row r="3013" spans="1:16" x14ac:dyDescent="0.3">
      <c r="A3013">
        <v>1593</v>
      </c>
      <c r="B3013">
        <v>44</v>
      </c>
      <c r="C3013" t="s">
        <v>26</v>
      </c>
      <c r="D3013" t="s">
        <v>22</v>
      </c>
      <c r="E3013" t="s">
        <v>17</v>
      </c>
      <c r="F3013" t="s">
        <v>18</v>
      </c>
      <c r="G3013" t="s">
        <v>41</v>
      </c>
      <c r="H3013" t="s">
        <v>20</v>
      </c>
      <c r="I3013" s="1">
        <v>3</v>
      </c>
      <c r="J3013" s="2">
        <v>45816</v>
      </c>
      <c r="K3013" s="2">
        <v>45809</v>
      </c>
      <c r="L3013" s="1" t="str">
        <f t="shared" si="361"/>
        <v>dom</v>
      </c>
      <c r="M3013" s="1" t="str">
        <f t="shared" si="362"/>
        <v>jun</v>
      </c>
      <c r="N3013">
        <f t="shared" si="363"/>
        <v>2025</v>
      </c>
      <c r="O3013" s="2">
        <f>_xlfn.XLOOKUP(A3013,Colaboradores!$A:$A,Colaboradores!$S:$S,"",0)</f>
        <v>45882</v>
      </c>
      <c r="P3013" t="str">
        <f t="shared" si="364"/>
        <v>159345816</v>
      </c>
    </row>
    <row r="3014" spans="1:16" x14ac:dyDescent="0.3">
      <c r="A3014">
        <v>1593</v>
      </c>
      <c r="B3014">
        <v>44</v>
      </c>
      <c r="C3014" t="s">
        <v>26</v>
      </c>
      <c r="D3014" t="s">
        <v>22</v>
      </c>
      <c r="E3014" t="s">
        <v>17</v>
      </c>
      <c r="F3014" t="s">
        <v>18</v>
      </c>
      <c r="G3014" t="s">
        <v>41</v>
      </c>
      <c r="H3014" t="s">
        <v>20</v>
      </c>
      <c r="I3014" s="1">
        <v>3</v>
      </c>
      <c r="J3014" s="2">
        <v>45817</v>
      </c>
      <c r="K3014" s="2">
        <v>45809</v>
      </c>
      <c r="L3014" s="1" t="str">
        <f t="shared" si="361"/>
        <v>seg</v>
      </c>
      <c r="M3014" s="1" t="str">
        <f t="shared" si="362"/>
        <v>jun</v>
      </c>
      <c r="N3014">
        <f t="shared" si="363"/>
        <v>2025</v>
      </c>
      <c r="O3014" s="2">
        <f>_xlfn.XLOOKUP(A3014,Colaboradores!$A:$A,Colaboradores!$S:$S,"",0)</f>
        <v>45882</v>
      </c>
      <c r="P3014" t="str">
        <f t="shared" si="364"/>
        <v>159345817</v>
      </c>
    </row>
    <row r="3015" spans="1:16" x14ac:dyDescent="0.3">
      <c r="A3015">
        <v>1593</v>
      </c>
      <c r="B3015">
        <v>44</v>
      </c>
      <c r="C3015" t="s">
        <v>26</v>
      </c>
      <c r="D3015" t="s">
        <v>22</v>
      </c>
      <c r="E3015" t="s">
        <v>17</v>
      </c>
      <c r="F3015" t="s">
        <v>18</v>
      </c>
      <c r="G3015" t="s">
        <v>41</v>
      </c>
      <c r="H3015" t="s">
        <v>20</v>
      </c>
      <c r="I3015" s="1">
        <v>3</v>
      </c>
      <c r="J3015" s="2">
        <v>45864</v>
      </c>
      <c r="K3015" s="2">
        <v>45839</v>
      </c>
      <c r="L3015" s="1" t="str">
        <f t="shared" si="361"/>
        <v>sáb</v>
      </c>
      <c r="M3015" s="1" t="str">
        <f t="shared" si="362"/>
        <v>jul</v>
      </c>
      <c r="N3015">
        <f t="shared" si="363"/>
        <v>2025</v>
      </c>
      <c r="O3015" s="2">
        <f>_xlfn.XLOOKUP(A3015,Colaboradores!$A:$A,Colaboradores!$S:$S,"",0)</f>
        <v>45882</v>
      </c>
      <c r="P3015" t="str">
        <f t="shared" si="364"/>
        <v>159345864</v>
      </c>
    </row>
    <row r="3016" spans="1:16" x14ac:dyDescent="0.3">
      <c r="A3016">
        <v>1594</v>
      </c>
      <c r="B3016">
        <v>51</v>
      </c>
      <c r="C3016" t="s">
        <v>15</v>
      </c>
      <c r="D3016" t="s">
        <v>16</v>
      </c>
      <c r="E3016" t="s">
        <v>17</v>
      </c>
      <c r="F3016" t="s">
        <v>23</v>
      </c>
      <c r="G3016" t="s">
        <v>41</v>
      </c>
      <c r="H3016" t="s">
        <v>25</v>
      </c>
      <c r="I3016" s="1">
        <v>1</v>
      </c>
      <c r="J3016" s="2">
        <v>45819</v>
      </c>
      <c r="K3016" s="2">
        <v>45809</v>
      </c>
      <c r="L3016" s="1" t="str">
        <f t="shared" si="361"/>
        <v>qua</v>
      </c>
      <c r="M3016" s="1" t="str">
        <f t="shared" si="362"/>
        <v>jun</v>
      </c>
      <c r="N3016">
        <f t="shared" si="363"/>
        <v>2025</v>
      </c>
      <c r="O3016" s="2"/>
      <c r="P3016" t="str">
        <f t="shared" si="364"/>
        <v>159445819</v>
      </c>
    </row>
    <row r="3017" spans="1:16" x14ac:dyDescent="0.3">
      <c r="A3017">
        <v>1594</v>
      </c>
      <c r="B3017">
        <v>51</v>
      </c>
      <c r="C3017" t="s">
        <v>15</v>
      </c>
      <c r="D3017" t="s">
        <v>16</v>
      </c>
      <c r="E3017" t="s">
        <v>17</v>
      </c>
      <c r="F3017" t="s">
        <v>23</v>
      </c>
      <c r="G3017" t="s">
        <v>41</v>
      </c>
      <c r="H3017" t="s">
        <v>25</v>
      </c>
      <c r="I3017" s="1">
        <v>1</v>
      </c>
      <c r="J3017" s="2">
        <v>45891</v>
      </c>
      <c r="K3017" s="2">
        <v>45870</v>
      </c>
      <c r="L3017" s="1" t="str">
        <f t="shared" si="361"/>
        <v>sex</v>
      </c>
      <c r="M3017" s="1" t="str">
        <f t="shared" si="362"/>
        <v>ago</v>
      </c>
      <c r="N3017">
        <f t="shared" si="363"/>
        <v>2025</v>
      </c>
      <c r="O3017" s="2"/>
      <c r="P3017" t="str">
        <f t="shared" si="364"/>
        <v>159445891</v>
      </c>
    </row>
    <row r="3018" spans="1:16" x14ac:dyDescent="0.3">
      <c r="A3018">
        <v>1594</v>
      </c>
      <c r="B3018">
        <v>51</v>
      </c>
      <c r="C3018" t="s">
        <v>15</v>
      </c>
      <c r="D3018" t="s">
        <v>16</v>
      </c>
      <c r="E3018" t="s">
        <v>17</v>
      </c>
      <c r="F3018" t="s">
        <v>23</v>
      </c>
      <c r="G3018" t="s">
        <v>41</v>
      </c>
      <c r="H3018" t="s">
        <v>25</v>
      </c>
      <c r="I3018" s="1">
        <v>1</v>
      </c>
      <c r="J3018" s="2">
        <v>45902</v>
      </c>
      <c r="K3018" s="2">
        <v>45901</v>
      </c>
      <c r="L3018" s="1" t="str">
        <f t="shared" si="361"/>
        <v>ter</v>
      </c>
      <c r="M3018" s="1" t="str">
        <f t="shared" si="362"/>
        <v>set</v>
      </c>
      <c r="N3018">
        <f t="shared" si="363"/>
        <v>2025</v>
      </c>
      <c r="O3018" s="2"/>
      <c r="P3018" t="str">
        <f t="shared" si="364"/>
        <v>159445902</v>
      </c>
    </row>
    <row r="3019" spans="1:16" x14ac:dyDescent="0.3">
      <c r="A3019">
        <v>1594</v>
      </c>
      <c r="B3019">
        <v>51</v>
      </c>
      <c r="C3019" t="s">
        <v>15</v>
      </c>
      <c r="D3019" t="s">
        <v>16</v>
      </c>
      <c r="E3019" t="s">
        <v>17</v>
      </c>
      <c r="F3019" t="s">
        <v>23</v>
      </c>
      <c r="G3019" t="s">
        <v>41</v>
      </c>
      <c r="H3019" t="s">
        <v>25</v>
      </c>
      <c r="I3019" s="1">
        <v>1</v>
      </c>
      <c r="J3019" s="2">
        <v>45957</v>
      </c>
      <c r="K3019" s="2">
        <v>45931</v>
      </c>
      <c r="L3019" s="1" t="str">
        <f t="shared" si="361"/>
        <v>seg</v>
      </c>
      <c r="M3019" s="1" t="str">
        <f t="shared" si="362"/>
        <v>out</v>
      </c>
      <c r="N3019">
        <f t="shared" si="363"/>
        <v>2025</v>
      </c>
      <c r="O3019" s="2"/>
      <c r="P3019" t="str">
        <f t="shared" si="364"/>
        <v>159445957</v>
      </c>
    </row>
    <row r="3020" spans="1:16" x14ac:dyDescent="0.3">
      <c r="A3020">
        <v>1594</v>
      </c>
      <c r="B3020">
        <v>51</v>
      </c>
      <c r="C3020" t="s">
        <v>15</v>
      </c>
      <c r="D3020" t="s">
        <v>16</v>
      </c>
      <c r="E3020" t="s">
        <v>17</v>
      </c>
      <c r="F3020" t="s">
        <v>23</v>
      </c>
      <c r="G3020" t="s">
        <v>41</v>
      </c>
      <c r="H3020" t="s">
        <v>25</v>
      </c>
      <c r="I3020" s="1">
        <v>1</v>
      </c>
      <c r="J3020" s="2">
        <v>46186</v>
      </c>
      <c r="K3020" s="2">
        <v>46023</v>
      </c>
      <c r="L3020" s="1" t="str">
        <f t="shared" si="361"/>
        <v>sáb</v>
      </c>
      <c r="M3020" s="1" t="str">
        <f t="shared" si="362"/>
        <v>jun</v>
      </c>
      <c r="N3020">
        <f t="shared" si="363"/>
        <v>2026</v>
      </c>
      <c r="O3020" s="2"/>
      <c r="P3020" t="str">
        <f t="shared" si="364"/>
        <v>159446186</v>
      </c>
    </row>
    <row r="3021" spans="1:16" x14ac:dyDescent="0.3">
      <c r="A3021">
        <v>1594</v>
      </c>
      <c r="B3021">
        <v>51</v>
      </c>
      <c r="C3021" t="s">
        <v>15</v>
      </c>
      <c r="D3021" t="s">
        <v>16</v>
      </c>
      <c r="E3021" t="s">
        <v>17</v>
      </c>
      <c r="F3021" t="s">
        <v>23</v>
      </c>
      <c r="G3021" t="s">
        <v>41</v>
      </c>
      <c r="H3021" t="s">
        <v>25</v>
      </c>
      <c r="I3021" s="1">
        <v>1</v>
      </c>
      <c r="J3021" s="2">
        <v>46190</v>
      </c>
      <c r="K3021" s="2">
        <v>46023</v>
      </c>
      <c r="L3021" s="1" t="str">
        <f t="shared" si="361"/>
        <v>qua</v>
      </c>
      <c r="M3021" s="1" t="str">
        <f t="shared" si="362"/>
        <v>jun</v>
      </c>
      <c r="N3021">
        <f t="shared" si="363"/>
        <v>2026</v>
      </c>
      <c r="O3021" s="2"/>
      <c r="P3021" t="str">
        <f t="shared" si="364"/>
        <v>159446190</v>
      </c>
    </row>
    <row r="3022" spans="1:16" x14ac:dyDescent="0.3">
      <c r="A3022">
        <v>1595</v>
      </c>
      <c r="B3022">
        <v>47</v>
      </c>
      <c r="C3022" t="s">
        <v>26</v>
      </c>
      <c r="D3022" t="s">
        <v>27</v>
      </c>
      <c r="E3022" t="s">
        <v>17</v>
      </c>
      <c r="F3022" t="s">
        <v>23</v>
      </c>
      <c r="G3022" t="s">
        <v>41</v>
      </c>
      <c r="H3022" t="s">
        <v>25</v>
      </c>
      <c r="I3022" s="1">
        <v>1</v>
      </c>
      <c r="J3022" s="2">
        <v>45874</v>
      </c>
      <c r="K3022" s="2">
        <v>45870</v>
      </c>
      <c r="L3022" s="1" t="str">
        <f t="shared" si="361"/>
        <v>ter</v>
      </c>
      <c r="M3022" s="1" t="str">
        <f t="shared" si="362"/>
        <v>ago</v>
      </c>
      <c r="N3022">
        <f t="shared" si="363"/>
        <v>2025</v>
      </c>
      <c r="O3022" s="2"/>
      <c r="P3022" t="str">
        <f t="shared" si="364"/>
        <v>159545874</v>
      </c>
    </row>
    <row r="3023" spans="1:16" x14ac:dyDescent="0.3">
      <c r="A3023">
        <v>1595</v>
      </c>
      <c r="B3023">
        <v>47</v>
      </c>
      <c r="C3023" t="s">
        <v>26</v>
      </c>
      <c r="D3023" t="s">
        <v>27</v>
      </c>
      <c r="E3023" t="s">
        <v>17</v>
      </c>
      <c r="F3023" t="s">
        <v>23</v>
      </c>
      <c r="G3023" t="s">
        <v>41</v>
      </c>
      <c r="H3023" t="s">
        <v>25</v>
      </c>
      <c r="I3023" s="1">
        <v>1</v>
      </c>
      <c r="J3023" s="2">
        <v>45879</v>
      </c>
      <c r="K3023" s="2">
        <v>45870</v>
      </c>
      <c r="L3023" s="1" t="str">
        <f t="shared" si="361"/>
        <v>dom</v>
      </c>
      <c r="M3023" s="1" t="str">
        <f t="shared" si="362"/>
        <v>ago</v>
      </c>
      <c r="N3023">
        <f t="shared" si="363"/>
        <v>2025</v>
      </c>
      <c r="O3023" s="2"/>
      <c r="P3023" t="str">
        <f t="shared" si="364"/>
        <v>159545879</v>
      </c>
    </row>
    <row r="3024" spans="1:16" x14ac:dyDescent="0.3">
      <c r="A3024">
        <v>1595</v>
      </c>
      <c r="B3024">
        <v>47</v>
      </c>
      <c r="C3024" t="s">
        <v>26</v>
      </c>
      <c r="D3024" t="s">
        <v>27</v>
      </c>
      <c r="E3024" t="s">
        <v>17</v>
      </c>
      <c r="F3024" t="s">
        <v>23</v>
      </c>
      <c r="G3024" t="s">
        <v>41</v>
      </c>
      <c r="H3024" t="s">
        <v>25</v>
      </c>
      <c r="I3024" s="1">
        <v>1</v>
      </c>
      <c r="J3024" s="2">
        <v>46007</v>
      </c>
      <c r="K3024" s="2">
        <v>45992</v>
      </c>
      <c r="L3024" s="1" t="str">
        <f t="shared" si="361"/>
        <v>ter</v>
      </c>
      <c r="M3024" s="1" t="str">
        <f t="shared" si="362"/>
        <v>dez</v>
      </c>
      <c r="N3024">
        <f t="shared" si="363"/>
        <v>2025</v>
      </c>
      <c r="O3024" s="2"/>
      <c r="P3024" t="str">
        <f t="shared" si="364"/>
        <v>159546007</v>
      </c>
    </row>
    <row r="3025" spans="1:16" x14ac:dyDescent="0.3">
      <c r="A3025">
        <v>1595</v>
      </c>
      <c r="B3025">
        <v>47</v>
      </c>
      <c r="C3025" t="s">
        <v>26</v>
      </c>
      <c r="D3025" t="s">
        <v>27</v>
      </c>
      <c r="E3025" t="s">
        <v>17</v>
      </c>
      <c r="F3025" t="s">
        <v>23</v>
      </c>
      <c r="G3025" t="s">
        <v>41</v>
      </c>
      <c r="H3025" t="s">
        <v>25</v>
      </c>
      <c r="I3025" s="1">
        <v>1</v>
      </c>
      <c r="J3025" s="2">
        <v>46180</v>
      </c>
      <c r="K3025" s="2">
        <v>46023</v>
      </c>
      <c r="L3025" s="1" t="str">
        <f t="shared" si="361"/>
        <v>dom</v>
      </c>
      <c r="M3025" s="1" t="str">
        <f t="shared" si="362"/>
        <v>jun</v>
      </c>
      <c r="N3025">
        <f t="shared" si="363"/>
        <v>2026</v>
      </c>
      <c r="O3025" s="2"/>
      <c r="P3025" t="str">
        <f t="shared" si="364"/>
        <v>159546180</v>
      </c>
    </row>
    <row r="3026" spans="1:16" x14ac:dyDescent="0.3">
      <c r="A3026">
        <v>1595</v>
      </c>
      <c r="B3026">
        <v>47</v>
      </c>
      <c r="C3026" t="s">
        <v>26</v>
      </c>
      <c r="D3026" t="s">
        <v>27</v>
      </c>
      <c r="E3026" t="s">
        <v>17</v>
      </c>
      <c r="F3026" t="s">
        <v>23</v>
      </c>
      <c r="G3026" t="s">
        <v>41</v>
      </c>
      <c r="H3026" t="s">
        <v>25</v>
      </c>
      <c r="I3026" s="1">
        <v>1</v>
      </c>
      <c r="J3026" s="2">
        <v>46199</v>
      </c>
      <c r="K3026" s="2">
        <v>46023</v>
      </c>
      <c r="L3026" s="1" t="str">
        <f t="shared" si="361"/>
        <v>sex</v>
      </c>
      <c r="M3026" s="1" t="str">
        <f t="shared" si="362"/>
        <v>jun</v>
      </c>
      <c r="N3026">
        <f t="shared" si="363"/>
        <v>2026</v>
      </c>
      <c r="O3026" s="2"/>
      <c r="P3026" t="str">
        <f t="shared" si="364"/>
        <v>159546199</v>
      </c>
    </row>
    <row r="3027" spans="1:16" x14ac:dyDescent="0.3">
      <c r="A3027">
        <v>1597</v>
      </c>
      <c r="B3027">
        <v>32</v>
      </c>
      <c r="C3027" t="s">
        <v>15</v>
      </c>
      <c r="D3027" t="s">
        <v>16</v>
      </c>
      <c r="E3027" t="s">
        <v>17</v>
      </c>
      <c r="F3027" t="s">
        <v>18</v>
      </c>
      <c r="G3027" t="s">
        <v>41</v>
      </c>
      <c r="H3027" t="s">
        <v>20</v>
      </c>
      <c r="I3027" s="1">
        <v>1</v>
      </c>
      <c r="J3027" s="2">
        <v>45672</v>
      </c>
      <c r="K3027" s="2">
        <v>45658</v>
      </c>
      <c r="L3027" s="1" t="str">
        <f t="shared" si="361"/>
        <v>qua</v>
      </c>
      <c r="M3027" s="1" t="str">
        <f t="shared" si="362"/>
        <v>jan</v>
      </c>
      <c r="N3027">
        <f t="shared" si="363"/>
        <v>2025</v>
      </c>
      <c r="O3027" s="2">
        <f>_xlfn.XLOOKUP(A3027,Colaboradores!$A:$A,Colaboradores!$S:$S,"",0)</f>
        <v>45771</v>
      </c>
      <c r="P3027" t="str">
        <f t="shared" si="364"/>
        <v>159745672</v>
      </c>
    </row>
    <row r="3028" spans="1:16" x14ac:dyDescent="0.3">
      <c r="A3028">
        <v>1597</v>
      </c>
      <c r="B3028">
        <v>32</v>
      </c>
      <c r="C3028" t="s">
        <v>15</v>
      </c>
      <c r="D3028" t="s">
        <v>16</v>
      </c>
      <c r="E3028" t="s">
        <v>17</v>
      </c>
      <c r="F3028" t="s">
        <v>18</v>
      </c>
      <c r="G3028" t="s">
        <v>41</v>
      </c>
      <c r="H3028" t="s">
        <v>20</v>
      </c>
      <c r="I3028" s="1">
        <v>1</v>
      </c>
      <c r="J3028" s="2">
        <v>45700</v>
      </c>
      <c r="K3028" s="2">
        <v>45689</v>
      </c>
      <c r="L3028" s="1" t="str">
        <f t="shared" si="361"/>
        <v>qua</v>
      </c>
      <c r="M3028" s="1" t="str">
        <f t="shared" si="362"/>
        <v>fev</v>
      </c>
      <c r="N3028">
        <f t="shared" si="363"/>
        <v>2025</v>
      </c>
      <c r="O3028" s="2">
        <f>_xlfn.XLOOKUP(A3028,Colaboradores!$A:$A,Colaboradores!$S:$S,"",0)</f>
        <v>45771</v>
      </c>
      <c r="P3028" t="str">
        <f t="shared" si="364"/>
        <v>159745700</v>
      </c>
    </row>
    <row r="3029" spans="1:16" x14ac:dyDescent="0.3">
      <c r="A3029">
        <v>1597</v>
      </c>
      <c r="B3029">
        <v>32</v>
      </c>
      <c r="C3029" t="s">
        <v>15</v>
      </c>
      <c r="D3029" t="s">
        <v>16</v>
      </c>
      <c r="E3029" t="s">
        <v>17</v>
      </c>
      <c r="F3029" t="s">
        <v>18</v>
      </c>
      <c r="G3029" t="s">
        <v>41</v>
      </c>
      <c r="H3029" t="s">
        <v>20</v>
      </c>
      <c r="I3029" s="1">
        <v>1</v>
      </c>
      <c r="J3029" s="2">
        <v>45761</v>
      </c>
      <c r="K3029" s="2">
        <v>45748</v>
      </c>
      <c r="L3029" s="1" t="str">
        <f t="shared" si="361"/>
        <v>seg</v>
      </c>
      <c r="M3029" s="1" t="str">
        <f t="shared" si="362"/>
        <v>abr</v>
      </c>
      <c r="N3029">
        <f t="shared" si="363"/>
        <v>2025</v>
      </c>
      <c r="O3029" s="2">
        <f>_xlfn.XLOOKUP(A3029,Colaboradores!$A:$A,Colaboradores!$S:$S,"",0)</f>
        <v>45771</v>
      </c>
      <c r="P3029" t="str">
        <f t="shared" si="364"/>
        <v>159745761</v>
      </c>
    </row>
    <row r="3030" spans="1:16" x14ac:dyDescent="0.3">
      <c r="A3030">
        <v>1597</v>
      </c>
      <c r="B3030">
        <v>32</v>
      </c>
      <c r="C3030" t="s">
        <v>15</v>
      </c>
      <c r="D3030" t="s">
        <v>16</v>
      </c>
      <c r="E3030" t="s">
        <v>17</v>
      </c>
      <c r="F3030" t="s">
        <v>18</v>
      </c>
      <c r="G3030" t="s">
        <v>41</v>
      </c>
      <c r="H3030" t="s">
        <v>20</v>
      </c>
      <c r="I3030" s="1">
        <v>1</v>
      </c>
      <c r="J3030" s="2">
        <v>45762</v>
      </c>
      <c r="K3030" s="2">
        <v>45748</v>
      </c>
      <c r="L3030" s="1" t="str">
        <f t="shared" si="361"/>
        <v>ter</v>
      </c>
      <c r="M3030" s="1" t="str">
        <f t="shared" si="362"/>
        <v>abr</v>
      </c>
      <c r="N3030">
        <f t="shared" si="363"/>
        <v>2025</v>
      </c>
      <c r="O3030" s="2">
        <f>_xlfn.XLOOKUP(A3030,Colaboradores!$A:$A,Colaboradores!$S:$S,"",0)</f>
        <v>45771</v>
      </c>
      <c r="P3030" t="str">
        <f t="shared" si="364"/>
        <v>159745762</v>
      </c>
    </row>
    <row r="3031" spans="1:16" x14ac:dyDescent="0.3">
      <c r="A3031">
        <v>1597</v>
      </c>
      <c r="B3031">
        <v>32</v>
      </c>
      <c r="C3031" t="s">
        <v>15</v>
      </c>
      <c r="D3031" t="s">
        <v>16</v>
      </c>
      <c r="E3031" t="s">
        <v>17</v>
      </c>
      <c r="F3031" t="s">
        <v>18</v>
      </c>
      <c r="G3031" t="s">
        <v>57</v>
      </c>
      <c r="H3031" t="s">
        <v>20</v>
      </c>
      <c r="I3031" s="1">
        <v>1</v>
      </c>
      <c r="J3031" s="2">
        <v>45764</v>
      </c>
      <c r="K3031" s="2">
        <v>45748</v>
      </c>
      <c r="L3031" s="1" t="str">
        <f t="shared" si="361"/>
        <v>qui</v>
      </c>
      <c r="M3031" s="1" t="str">
        <f t="shared" si="362"/>
        <v>abr</v>
      </c>
      <c r="N3031">
        <f t="shared" si="363"/>
        <v>2025</v>
      </c>
      <c r="O3031" s="2">
        <f>_xlfn.XLOOKUP(A3031,Colaboradores!$A:$A,Colaboradores!$S:$S,"",0)</f>
        <v>45771</v>
      </c>
      <c r="P3031" t="str">
        <f t="shared" si="364"/>
        <v>159745764</v>
      </c>
    </row>
    <row r="3032" spans="1:16" x14ac:dyDescent="0.3">
      <c r="A3032">
        <v>1597</v>
      </c>
      <c r="B3032">
        <v>32</v>
      </c>
      <c r="C3032" t="s">
        <v>15</v>
      </c>
      <c r="D3032" t="s">
        <v>16</v>
      </c>
      <c r="E3032" t="s">
        <v>17</v>
      </c>
      <c r="F3032" t="s">
        <v>18</v>
      </c>
      <c r="G3032" t="s">
        <v>41</v>
      </c>
      <c r="H3032" t="s">
        <v>20</v>
      </c>
      <c r="I3032" s="1">
        <v>1</v>
      </c>
      <c r="J3032" s="2">
        <v>45765</v>
      </c>
      <c r="K3032" s="2">
        <v>45748</v>
      </c>
      <c r="L3032" s="1" t="str">
        <f t="shared" si="361"/>
        <v>sex</v>
      </c>
      <c r="M3032" s="1" t="str">
        <f t="shared" si="362"/>
        <v>abr</v>
      </c>
      <c r="N3032">
        <f t="shared" si="363"/>
        <v>2025</v>
      </c>
      <c r="O3032" s="2">
        <f>_xlfn.XLOOKUP(A3032,Colaboradores!$A:$A,Colaboradores!$S:$S,"",0)</f>
        <v>45771</v>
      </c>
      <c r="P3032" t="str">
        <f t="shared" si="364"/>
        <v>159745765</v>
      </c>
    </row>
    <row r="3033" spans="1:16" x14ac:dyDescent="0.3">
      <c r="A3033">
        <v>1598</v>
      </c>
      <c r="B3033">
        <v>56</v>
      </c>
      <c r="C3033" t="s">
        <v>26</v>
      </c>
      <c r="D3033" t="s">
        <v>27</v>
      </c>
      <c r="E3033" t="s">
        <v>17</v>
      </c>
      <c r="F3033" t="s">
        <v>21</v>
      </c>
      <c r="G3033" t="s">
        <v>41</v>
      </c>
      <c r="H3033" t="s">
        <v>20</v>
      </c>
      <c r="I3033" s="1">
        <v>3</v>
      </c>
      <c r="J3033" s="2">
        <v>45733</v>
      </c>
      <c r="K3033" s="2">
        <v>45717</v>
      </c>
      <c r="L3033" s="1" t="str">
        <f t="shared" si="361"/>
        <v>seg</v>
      </c>
      <c r="M3033" s="1" t="str">
        <f t="shared" si="362"/>
        <v>mar</v>
      </c>
      <c r="N3033">
        <f t="shared" si="363"/>
        <v>2025</v>
      </c>
      <c r="O3033" s="2">
        <f>_xlfn.XLOOKUP(A3033,Colaboradores!$A:$A,Colaboradores!$S:$S,"",0)</f>
        <v>45793</v>
      </c>
      <c r="P3033" t="str">
        <f t="shared" si="364"/>
        <v>159845733</v>
      </c>
    </row>
    <row r="3034" spans="1:16" x14ac:dyDescent="0.3">
      <c r="A3034">
        <v>1598</v>
      </c>
      <c r="B3034">
        <v>56</v>
      </c>
      <c r="C3034" t="s">
        <v>26</v>
      </c>
      <c r="D3034" t="s">
        <v>27</v>
      </c>
      <c r="E3034" t="s">
        <v>17</v>
      </c>
      <c r="F3034" t="s">
        <v>21</v>
      </c>
      <c r="G3034" t="s">
        <v>41</v>
      </c>
      <c r="H3034" t="s">
        <v>20</v>
      </c>
      <c r="I3034" s="1">
        <v>3</v>
      </c>
      <c r="J3034" s="2">
        <v>45734</v>
      </c>
      <c r="K3034" s="2">
        <v>45717</v>
      </c>
      <c r="L3034" s="1" t="str">
        <f t="shared" si="361"/>
        <v>ter</v>
      </c>
      <c r="M3034" s="1" t="str">
        <f t="shared" si="362"/>
        <v>mar</v>
      </c>
      <c r="N3034">
        <f t="shared" si="363"/>
        <v>2025</v>
      </c>
      <c r="O3034" s="2">
        <f>_xlfn.XLOOKUP(A3034,Colaboradores!$A:$A,Colaboradores!$S:$S,"",0)</f>
        <v>45793</v>
      </c>
      <c r="P3034" t="str">
        <f t="shared" si="364"/>
        <v>159845734</v>
      </c>
    </row>
    <row r="3035" spans="1:16" x14ac:dyDescent="0.3">
      <c r="A3035">
        <v>1598</v>
      </c>
      <c r="B3035">
        <v>56</v>
      </c>
      <c r="C3035" t="s">
        <v>26</v>
      </c>
      <c r="D3035" t="s">
        <v>27</v>
      </c>
      <c r="E3035" t="s">
        <v>17</v>
      </c>
      <c r="F3035" t="s">
        <v>21</v>
      </c>
      <c r="G3035" t="s">
        <v>41</v>
      </c>
      <c r="H3035" t="s">
        <v>20</v>
      </c>
      <c r="I3035" s="1">
        <v>3</v>
      </c>
      <c r="J3035" s="2">
        <v>45783</v>
      </c>
      <c r="K3035" s="2">
        <v>45778</v>
      </c>
      <c r="L3035" s="1" t="str">
        <f t="shared" si="361"/>
        <v>ter</v>
      </c>
      <c r="M3035" s="1" t="str">
        <f t="shared" si="362"/>
        <v>mai</v>
      </c>
      <c r="N3035">
        <f t="shared" si="363"/>
        <v>2025</v>
      </c>
      <c r="O3035" s="2">
        <f>_xlfn.XLOOKUP(A3035,Colaboradores!$A:$A,Colaboradores!$S:$S,"",0)</f>
        <v>45793</v>
      </c>
      <c r="P3035" t="str">
        <f t="shared" si="364"/>
        <v>159845783</v>
      </c>
    </row>
    <row r="3036" spans="1:16" x14ac:dyDescent="0.3">
      <c r="A3036">
        <v>1598</v>
      </c>
      <c r="B3036">
        <v>56</v>
      </c>
      <c r="C3036" t="s">
        <v>26</v>
      </c>
      <c r="D3036" t="s">
        <v>27</v>
      </c>
      <c r="E3036" t="s">
        <v>17</v>
      </c>
      <c r="F3036" t="s">
        <v>21</v>
      </c>
      <c r="G3036" t="s">
        <v>41</v>
      </c>
      <c r="H3036" t="s">
        <v>20</v>
      </c>
      <c r="I3036" s="1">
        <v>3</v>
      </c>
      <c r="J3036" s="2">
        <v>45784</v>
      </c>
      <c r="K3036" s="2">
        <v>45778</v>
      </c>
      <c r="L3036" s="1" t="str">
        <f t="shared" si="361"/>
        <v>qua</v>
      </c>
      <c r="M3036" s="1" t="str">
        <f t="shared" si="362"/>
        <v>mai</v>
      </c>
      <c r="N3036">
        <f t="shared" si="363"/>
        <v>2025</v>
      </c>
      <c r="O3036" s="2">
        <f>_xlfn.XLOOKUP(A3036,Colaboradores!$A:$A,Colaboradores!$S:$S,"",0)</f>
        <v>45793</v>
      </c>
      <c r="P3036" t="str">
        <f t="shared" si="364"/>
        <v>159845784</v>
      </c>
    </row>
    <row r="3037" spans="1:16" x14ac:dyDescent="0.3">
      <c r="A3037">
        <v>1598</v>
      </c>
      <c r="B3037">
        <v>56</v>
      </c>
      <c r="C3037" t="s">
        <v>26</v>
      </c>
      <c r="D3037" t="s">
        <v>27</v>
      </c>
      <c r="E3037" t="s">
        <v>17</v>
      </c>
      <c r="F3037" t="s">
        <v>21</v>
      </c>
      <c r="G3037" t="s">
        <v>41</v>
      </c>
      <c r="H3037" t="s">
        <v>20</v>
      </c>
      <c r="I3037" s="1">
        <v>3</v>
      </c>
      <c r="J3037" s="2">
        <v>45785</v>
      </c>
      <c r="K3037" s="2">
        <v>45778</v>
      </c>
      <c r="L3037" s="1" t="str">
        <f t="shared" si="361"/>
        <v>qui</v>
      </c>
      <c r="M3037" s="1" t="str">
        <f t="shared" si="362"/>
        <v>mai</v>
      </c>
      <c r="N3037">
        <f t="shared" si="363"/>
        <v>2025</v>
      </c>
      <c r="O3037" s="2">
        <f>_xlfn.XLOOKUP(A3037,Colaboradores!$A:$A,Colaboradores!$S:$S,"",0)</f>
        <v>45793</v>
      </c>
      <c r="P3037" t="str">
        <f t="shared" si="364"/>
        <v>159845785</v>
      </c>
    </row>
    <row r="3038" spans="1:16" x14ac:dyDescent="0.3">
      <c r="A3038">
        <v>1598</v>
      </c>
      <c r="B3038">
        <v>56</v>
      </c>
      <c r="C3038" t="s">
        <v>26</v>
      </c>
      <c r="D3038" t="s">
        <v>27</v>
      </c>
      <c r="E3038" t="s">
        <v>17</v>
      </c>
      <c r="F3038" t="s">
        <v>21</v>
      </c>
      <c r="G3038" t="s">
        <v>41</v>
      </c>
      <c r="H3038" t="s">
        <v>20</v>
      </c>
      <c r="I3038" s="1">
        <v>3</v>
      </c>
      <c r="J3038" s="2">
        <v>45786</v>
      </c>
      <c r="K3038" s="2">
        <v>45778</v>
      </c>
      <c r="L3038" s="1" t="str">
        <f t="shared" si="361"/>
        <v>sex</v>
      </c>
      <c r="M3038" s="1" t="str">
        <f t="shared" si="362"/>
        <v>mai</v>
      </c>
      <c r="N3038">
        <f t="shared" si="363"/>
        <v>2025</v>
      </c>
      <c r="O3038" s="2">
        <f>_xlfn.XLOOKUP(A3038,Colaboradores!$A:$A,Colaboradores!$S:$S,"",0)</f>
        <v>45793</v>
      </c>
      <c r="P3038" t="str">
        <f t="shared" si="364"/>
        <v>159845786</v>
      </c>
    </row>
    <row r="3039" spans="1:16" x14ac:dyDescent="0.3">
      <c r="A3039">
        <v>1599</v>
      </c>
      <c r="B3039">
        <v>37</v>
      </c>
      <c r="C3039" t="s">
        <v>26</v>
      </c>
      <c r="D3039" t="s">
        <v>29</v>
      </c>
      <c r="E3039" t="s">
        <v>17</v>
      </c>
      <c r="F3039" t="s">
        <v>23</v>
      </c>
      <c r="G3039" t="s">
        <v>41</v>
      </c>
      <c r="H3039" t="s">
        <v>25</v>
      </c>
      <c r="I3039" s="1">
        <v>1</v>
      </c>
      <c r="J3039" s="2">
        <v>45851</v>
      </c>
      <c r="K3039" s="2">
        <v>45839</v>
      </c>
      <c r="L3039" s="1" t="str">
        <f t="shared" si="361"/>
        <v>dom</v>
      </c>
      <c r="M3039" s="1" t="str">
        <f t="shared" si="362"/>
        <v>jul</v>
      </c>
      <c r="N3039">
        <f t="shared" si="363"/>
        <v>2025</v>
      </c>
      <c r="O3039" s="2"/>
      <c r="P3039" t="str">
        <f t="shared" si="364"/>
        <v>159945851</v>
      </c>
    </row>
    <row r="3040" spans="1:16" x14ac:dyDescent="0.3">
      <c r="A3040">
        <v>1599</v>
      </c>
      <c r="B3040">
        <v>37</v>
      </c>
      <c r="C3040" t="s">
        <v>26</v>
      </c>
      <c r="D3040" t="s">
        <v>29</v>
      </c>
      <c r="E3040" t="s">
        <v>17</v>
      </c>
      <c r="F3040" t="s">
        <v>23</v>
      </c>
      <c r="G3040" t="s">
        <v>41</v>
      </c>
      <c r="H3040" t="s">
        <v>25</v>
      </c>
      <c r="I3040" s="1">
        <v>1</v>
      </c>
      <c r="J3040" s="2">
        <v>45872</v>
      </c>
      <c r="K3040" s="2">
        <v>45870</v>
      </c>
      <c r="L3040" s="1" t="str">
        <f t="shared" si="361"/>
        <v>dom</v>
      </c>
      <c r="M3040" s="1" t="str">
        <f t="shared" si="362"/>
        <v>ago</v>
      </c>
      <c r="N3040">
        <f t="shared" si="363"/>
        <v>2025</v>
      </c>
      <c r="O3040" s="2"/>
      <c r="P3040" t="str">
        <f t="shared" si="364"/>
        <v>159945872</v>
      </c>
    </row>
    <row r="3041" spans="1:16" x14ac:dyDescent="0.3">
      <c r="A3041">
        <v>1599</v>
      </c>
      <c r="B3041">
        <v>37</v>
      </c>
      <c r="C3041" t="s">
        <v>26</v>
      </c>
      <c r="D3041" t="s">
        <v>29</v>
      </c>
      <c r="E3041" t="s">
        <v>17</v>
      </c>
      <c r="F3041" t="s">
        <v>23</v>
      </c>
      <c r="G3041" t="s">
        <v>41</v>
      </c>
      <c r="H3041" t="s">
        <v>25</v>
      </c>
      <c r="I3041" s="1">
        <v>1</v>
      </c>
      <c r="J3041" s="2">
        <v>45909</v>
      </c>
      <c r="K3041" s="2">
        <v>45901</v>
      </c>
      <c r="L3041" s="1" t="str">
        <f t="shared" si="361"/>
        <v>ter</v>
      </c>
      <c r="M3041" s="1" t="str">
        <f t="shared" si="362"/>
        <v>set</v>
      </c>
      <c r="N3041">
        <f t="shared" si="363"/>
        <v>2025</v>
      </c>
      <c r="O3041" s="2"/>
      <c r="P3041" t="str">
        <f t="shared" si="364"/>
        <v>159945909</v>
      </c>
    </row>
    <row r="3042" spans="1:16" x14ac:dyDescent="0.3">
      <c r="A3042">
        <v>1599</v>
      </c>
      <c r="B3042">
        <v>37</v>
      </c>
      <c r="C3042" t="s">
        <v>26</v>
      </c>
      <c r="D3042" t="s">
        <v>29</v>
      </c>
      <c r="E3042" t="s">
        <v>17</v>
      </c>
      <c r="F3042" t="s">
        <v>23</v>
      </c>
      <c r="G3042" t="s">
        <v>41</v>
      </c>
      <c r="H3042" t="s">
        <v>25</v>
      </c>
      <c r="I3042" s="1">
        <v>1</v>
      </c>
      <c r="J3042" s="2">
        <v>45985</v>
      </c>
      <c r="K3042" s="2">
        <v>45962</v>
      </c>
      <c r="L3042" s="1" t="str">
        <f t="shared" si="361"/>
        <v>seg</v>
      </c>
      <c r="M3042" s="1" t="str">
        <f t="shared" si="362"/>
        <v>nov</v>
      </c>
      <c r="N3042">
        <f t="shared" si="363"/>
        <v>2025</v>
      </c>
      <c r="O3042" s="2"/>
      <c r="P3042" t="str">
        <f t="shared" si="364"/>
        <v>159945985</v>
      </c>
    </row>
    <row r="3043" spans="1:16" x14ac:dyDescent="0.3">
      <c r="A3043">
        <v>1599</v>
      </c>
      <c r="B3043">
        <v>37</v>
      </c>
      <c r="C3043" t="s">
        <v>26</v>
      </c>
      <c r="D3043" t="s">
        <v>29</v>
      </c>
      <c r="E3043" t="s">
        <v>17</v>
      </c>
      <c r="F3043" t="s">
        <v>23</v>
      </c>
      <c r="G3043" t="s">
        <v>41</v>
      </c>
      <c r="H3043" t="s">
        <v>25</v>
      </c>
      <c r="I3043" s="1">
        <v>1</v>
      </c>
      <c r="J3043" s="2">
        <v>46083</v>
      </c>
      <c r="K3043" s="2">
        <v>46082</v>
      </c>
      <c r="L3043" s="1" t="str">
        <f t="shared" si="361"/>
        <v>seg</v>
      </c>
      <c r="M3043" s="1" t="str">
        <f t="shared" si="362"/>
        <v>mar</v>
      </c>
      <c r="N3043">
        <f t="shared" si="363"/>
        <v>2026</v>
      </c>
      <c r="O3043" s="2"/>
      <c r="P3043" t="str">
        <f t="shared" si="364"/>
        <v>159946083</v>
      </c>
    </row>
    <row r="3044" spans="1:16" x14ac:dyDescent="0.3">
      <c r="A3044">
        <v>1600</v>
      </c>
      <c r="B3044">
        <v>39</v>
      </c>
      <c r="C3044" t="s">
        <v>26</v>
      </c>
      <c r="D3044" t="s">
        <v>27</v>
      </c>
      <c r="E3044" t="s">
        <v>17</v>
      </c>
      <c r="F3044" t="s">
        <v>18</v>
      </c>
      <c r="G3044" t="s">
        <v>41</v>
      </c>
      <c r="H3044" t="s">
        <v>25</v>
      </c>
      <c r="I3044" s="1">
        <v>1</v>
      </c>
      <c r="J3044" s="2">
        <v>45835</v>
      </c>
      <c r="K3044" s="2">
        <v>45809</v>
      </c>
      <c r="L3044" s="1" t="str">
        <f t="shared" si="361"/>
        <v>sex</v>
      </c>
      <c r="M3044" s="1" t="str">
        <f t="shared" si="362"/>
        <v>jun</v>
      </c>
      <c r="N3044">
        <f t="shared" si="363"/>
        <v>2025</v>
      </c>
      <c r="O3044" s="2"/>
      <c r="P3044" t="str">
        <f t="shared" si="364"/>
        <v>160045835</v>
      </c>
    </row>
    <row r="3045" spans="1:16" x14ac:dyDescent="0.3">
      <c r="A3045">
        <v>1600</v>
      </c>
      <c r="B3045">
        <v>39</v>
      </c>
      <c r="C3045" t="s">
        <v>26</v>
      </c>
      <c r="D3045" t="s">
        <v>27</v>
      </c>
      <c r="E3045" t="s">
        <v>17</v>
      </c>
      <c r="F3045" t="s">
        <v>18</v>
      </c>
      <c r="G3045" t="s">
        <v>41</v>
      </c>
      <c r="H3045" t="s">
        <v>25</v>
      </c>
      <c r="I3045" s="1">
        <v>1</v>
      </c>
      <c r="J3045" s="2">
        <v>45853</v>
      </c>
      <c r="K3045" s="2">
        <v>45839</v>
      </c>
      <c r="L3045" s="1" t="str">
        <f t="shared" si="361"/>
        <v>ter</v>
      </c>
      <c r="M3045" s="1" t="str">
        <f t="shared" si="362"/>
        <v>jul</v>
      </c>
      <c r="N3045">
        <f t="shared" si="363"/>
        <v>2025</v>
      </c>
      <c r="O3045" s="2"/>
      <c r="P3045" t="str">
        <f t="shared" si="364"/>
        <v>160045853</v>
      </c>
    </row>
    <row r="3046" spans="1:16" x14ac:dyDescent="0.3">
      <c r="A3046">
        <v>1600</v>
      </c>
      <c r="B3046">
        <v>39</v>
      </c>
      <c r="C3046" t="s">
        <v>26</v>
      </c>
      <c r="D3046" t="s">
        <v>27</v>
      </c>
      <c r="E3046" t="s">
        <v>17</v>
      </c>
      <c r="F3046" t="s">
        <v>18</v>
      </c>
      <c r="G3046" t="s">
        <v>41</v>
      </c>
      <c r="H3046" t="s">
        <v>25</v>
      </c>
      <c r="I3046" s="1">
        <v>1</v>
      </c>
      <c r="J3046" s="2">
        <v>45859</v>
      </c>
      <c r="K3046" s="2">
        <v>45839</v>
      </c>
      <c r="L3046" s="1" t="str">
        <f t="shared" si="361"/>
        <v>seg</v>
      </c>
      <c r="M3046" s="1" t="str">
        <f t="shared" si="362"/>
        <v>jul</v>
      </c>
      <c r="N3046">
        <f t="shared" si="363"/>
        <v>2025</v>
      </c>
      <c r="O3046" s="2"/>
      <c r="P3046" t="str">
        <f t="shared" si="364"/>
        <v>160045859</v>
      </c>
    </row>
    <row r="3047" spans="1:16" x14ac:dyDescent="0.3">
      <c r="A3047">
        <v>1600</v>
      </c>
      <c r="B3047">
        <v>39</v>
      </c>
      <c r="C3047" t="s">
        <v>26</v>
      </c>
      <c r="D3047" t="s">
        <v>27</v>
      </c>
      <c r="E3047" t="s">
        <v>17</v>
      </c>
      <c r="F3047" t="s">
        <v>18</v>
      </c>
      <c r="G3047" t="s">
        <v>41</v>
      </c>
      <c r="H3047" t="s">
        <v>25</v>
      </c>
      <c r="I3047" s="1">
        <v>1</v>
      </c>
      <c r="J3047" s="2">
        <v>45950</v>
      </c>
      <c r="K3047" s="2">
        <v>45931</v>
      </c>
      <c r="L3047" s="1" t="str">
        <f t="shared" si="361"/>
        <v>seg</v>
      </c>
      <c r="M3047" s="1" t="str">
        <f t="shared" si="362"/>
        <v>out</v>
      </c>
      <c r="N3047">
        <f t="shared" si="363"/>
        <v>2025</v>
      </c>
      <c r="O3047" s="2"/>
      <c r="P3047" t="str">
        <f t="shared" si="364"/>
        <v>160045950</v>
      </c>
    </row>
    <row r="3048" spans="1:16" x14ac:dyDescent="0.3">
      <c r="A3048">
        <v>1600</v>
      </c>
      <c r="B3048">
        <v>39</v>
      </c>
      <c r="C3048" t="s">
        <v>26</v>
      </c>
      <c r="D3048" t="s">
        <v>27</v>
      </c>
      <c r="E3048" t="s">
        <v>17</v>
      </c>
      <c r="F3048" t="s">
        <v>18</v>
      </c>
      <c r="G3048" t="s">
        <v>41</v>
      </c>
      <c r="H3048" t="s">
        <v>25</v>
      </c>
      <c r="I3048" s="1">
        <v>1</v>
      </c>
      <c r="J3048" s="2">
        <v>46072</v>
      </c>
      <c r="K3048" s="2">
        <v>46054</v>
      </c>
      <c r="L3048" s="1" t="str">
        <f t="shared" si="361"/>
        <v>qui</v>
      </c>
      <c r="M3048" s="1" t="str">
        <f t="shared" si="362"/>
        <v>fev</v>
      </c>
      <c r="N3048">
        <f t="shared" si="363"/>
        <v>2026</v>
      </c>
      <c r="O3048" s="2"/>
      <c r="P3048" t="str">
        <f t="shared" si="364"/>
        <v>160046072</v>
      </c>
    </row>
    <row r="3049" spans="1:16" x14ac:dyDescent="0.3">
      <c r="A3049">
        <v>1601</v>
      </c>
      <c r="B3049">
        <v>58</v>
      </c>
      <c r="C3049" t="s">
        <v>15</v>
      </c>
      <c r="D3049" t="s">
        <v>16</v>
      </c>
      <c r="E3049" t="s">
        <v>17</v>
      </c>
      <c r="F3049" t="s">
        <v>18</v>
      </c>
      <c r="G3049" t="s">
        <v>41</v>
      </c>
      <c r="H3049" t="s">
        <v>20</v>
      </c>
      <c r="I3049" s="1">
        <v>1</v>
      </c>
      <c r="J3049" s="2">
        <v>45759</v>
      </c>
      <c r="K3049" s="2">
        <v>45748</v>
      </c>
      <c r="L3049" s="1" t="str">
        <f t="shared" si="361"/>
        <v>sáb</v>
      </c>
      <c r="M3049" s="1" t="str">
        <f t="shared" si="362"/>
        <v>abr</v>
      </c>
      <c r="N3049">
        <f t="shared" si="363"/>
        <v>2025</v>
      </c>
      <c r="O3049" s="2">
        <f>_xlfn.XLOOKUP(A3049,Colaboradores!$A:$A,Colaboradores!$S:$S,"",0)</f>
        <v>46184</v>
      </c>
      <c r="P3049" t="str">
        <f t="shared" si="364"/>
        <v>160145759</v>
      </c>
    </row>
    <row r="3050" spans="1:16" x14ac:dyDescent="0.3">
      <c r="A3050">
        <v>1601</v>
      </c>
      <c r="B3050">
        <v>58</v>
      </c>
      <c r="C3050" t="s">
        <v>15</v>
      </c>
      <c r="D3050" t="s">
        <v>16</v>
      </c>
      <c r="E3050" t="s">
        <v>17</v>
      </c>
      <c r="F3050" t="s">
        <v>18</v>
      </c>
      <c r="G3050" t="s">
        <v>41</v>
      </c>
      <c r="H3050" t="s">
        <v>20</v>
      </c>
      <c r="I3050" s="1">
        <v>1</v>
      </c>
      <c r="J3050" s="2">
        <v>45884</v>
      </c>
      <c r="K3050" s="2">
        <v>45870</v>
      </c>
      <c r="L3050" s="1" t="str">
        <f t="shared" si="361"/>
        <v>sex</v>
      </c>
      <c r="M3050" s="1" t="str">
        <f t="shared" si="362"/>
        <v>ago</v>
      </c>
      <c r="N3050">
        <f t="shared" si="363"/>
        <v>2025</v>
      </c>
      <c r="O3050" s="2">
        <f>_xlfn.XLOOKUP(A3050,Colaboradores!$A:$A,Colaboradores!$S:$S,"",0)</f>
        <v>46184</v>
      </c>
      <c r="P3050" t="str">
        <f t="shared" si="364"/>
        <v>160145884</v>
      </c>
    </row>
    <row r="3051" spans="1:16" x14ac:dyDescent="0.3">
      <c r="A3051">
        <v>1601</v>
      </c>
      <c r="B3051">
        <v>58</v>
      </c>
      <c r="C3051" t="s">
        <v>15</v>
      </c>
      <c r="D3051" t="s">
        <v>16</v>
      </c>
      <c r="E3051" t="s">
        <v>17</v>
      </c>
      <c r="F3051" t="s">
        <v>18</v>
      </c>
      <c r="G3051" t="s">
        <v>41</v>
      </c>
      <c r="H3051" t="s">
        <v>20</v>
      </c>
      <c r="I3051" s="1">
        <v>1</v>
      </c>
      <c r="J3051" s="2">
        <v>45891</v>
      </c>
      <c r="K3051" s="2">
        <v>45870</v>
      </c>
      <c r="L3051" s="1" t="str">
        <f t="shared" si="361"/>
        <v>sex</v>
      </c>
      <c r="M3051" s="1" t="str">
        <f t="shared" si="362"/>
        <v>ago</v>
      </c>
      <c r="N3051">
        <f t="shared" si="363"/>
        <v>2025</v>
      </c>
      <c r="O3051" s="2">
        <f>_xlfn.XLOOKUP(A3051,Colaboradores!$A:$A,Colaboradores!$S:$S,"",0)</f>
        <v>46184</v>
      </c>
      <c r="P3051" t="str">
        <f t="shared" si="364"/>
        <v>160145891</v>
      </c>
    </row>
    <row r="3052" spans="1:16" x14ac:dyDescent="0.3">
      <c r="A3052">
        <v>1601</v>
      </c>
      <c r="B3052">
        <v>58</v>
      </c>
      <c r="C3052" t="s">
        <v>15</v>
      </c>
      <c r="D3052" t="s">
        <v>16</v>
      </c>
      <c r="E3052" t="s">
        <v>17</v>
      </c>
      <c r="F3052" t="s">
        <v>18</v>
      </c>
      <c r="G3052" t="s">
        <v>41</v>
      </c>
      <c r="H3052" t="s">
        <v>20</v>
      </c>
      <c r="I3052" s="1">
        <v>1</v>
      </c>
      <c r="J3052" s="2">
        <v>45895</v>
      </c>
      <c r="K3052" s="2">
        <v>45870</v>
      </c>
      <c r="L3052" s="1" t="str">
        <f t="shared" si="361"/>
        <v>ter</v>
      </c>
      <c r="M3052" s="1" t="str">
        <f t="shared" si="362"/>
        <v>ago</v>
      </c>
      <c r="N3052">
        <f t="shared" si="363"/>
        <v>2025</v>
      </c>
      <c r="O3052" s="2">
        <f>_xlfn.XLOOKUP(A3052,Colaboradores!$A:$A,Colaboradores!$S:$S,"",0)</f>
        <v>46184</v>
      </c>
      <c r="P3052" t="str">
        <f t="shared" si="364"/>
        <v>160145895</v>
      </c>
    </row>
    <row r="3053" spans="1:16" x14ac:dyDescent="0.3">
      <c r="A3053">
        <v>1601</v>
      </c>
      <c r="B3053">
        <v>58</v>
      </c>
      <c r="C3053" t="s">
        <v>15</v>
      </c>
      <c r="D3053" t="s">
        <v>16</v>
      </c>
      <c r="E3053" t="s">
        <v>17</v>
      </c>
      <c r="F3053" t="s">
        <v>18</v>
      </c>
      <c r="G3053" t="s">
        <v>41</v>
      </c>
      <c r="H3053" t="s">
        <v>20</v>
      </c>
      <c r="I3053" s="1">
        <v>1</v>
      </c>
      <c r="J3053" s="2">
        <v>45984</v>
      </c>
      <c r="K3053" s="2">
        <v>45962</v>
      </c>
      <c r="L3053" s="1" t="str">
        <f t="shared" si="361"/>
        <v>dom</v>
      </c>
      <c r="M3053" s="1" t="str">
        <f t="shared" si="362"/>
        <v>nov</v>
      </c>
      <c r="N3053">
        <f t="shared" si="363"/>
        <v>2025</v>
      </c>
      <c r="O3053" s="2">
        <f>_xlfn.XLOOKUP(A3053,Colaboradores!$A:$A,Colaboradores!$S:$S,"",0)</f>
        <v>46184</v>
      </c>
      <c r="P3053" t="str">
        <f t="shared" si="364"/>
        <v>160145984</v>
      </c>
    </row>
    <row r="3054" spans="1:16" x14ac:dyDescent="0.3">
      <c r="A3054">
        <v>1601</v>
      </c>
      <c r="B3054">
        <v>58</v>
      </c>
      <c r="C3054" t="s">
        <v>15</v>
      </c>
      <c r="D3054" t="s">
        <v>16</v>
      </c>
      <c r="E3054" t="s">
        <v>17</v>
      </c>
      <c r="F3054" t="s">
        <v>18</v>
      </c>
      <c r="G3054" t="s">
        <v>41</v>
      </c>
      <c r="H3054" t="s">
        <v>20</v>
      </c>
      <c r="I3054" s="1">
        <v>1</v>
      </c>
      <c r="J3054" s="2">
        <v>46178</v>
      </c>
      <c r="K3054" s="2">
        <v>46023</v>
      </c>
      <c r="L3054" s="1" t="str">
        <f t="shared" si="361"/>
        <v>sex</v>
      </c>
      <c r="M3054" s="1" t="str">
        <f t="shared" si="362"/>
        <v>jun</v>
      </c>
      <c r="N3054">
        <f t="shared" si="363"/>
        <v>2026</v>
      </c>
      <c r="O3054" s="2">
        <f>_xlfn.XLOOKUP(A3054,Colaboradores!$A:$A,Colaboradores!$S:$S,"",0)</f>
        <v>46184</v>
      </c>
      <c r="P3054" t="str">
        <f t="shared" si="364"/>
        <v>160146178</v>
      </c>
    </row>
    <row r="3055" spans="1:16" x14ac:dyDescent="0.3">
      <c r="A3055">
        <v>1602</v>
      </c>
      <c r="B3055">
        <v>23</v>
      </c>
      <c r="C3055" t="s">
        <v>15</v>
      </c>
      <c r="D3055" t="s">
        <v>16</v>
      </c>
      <c r="E3055" t="s">
        <v>17</v>
      </c>
      <c r="F3055" t="s">
        <v>21</v>
      </c>
      <c r="G3055" t="s">
        <v>41</v>
      </c>
      <c r="H3055" t="s">
        <v>25</v>
      </c>
      <c r="I3055" s="1">
        <v>2</v>
      </c>
      <c r="J3055" s="2">
        <v>45841</v>
      </c>
      <c r="K3055" s="2">
        <v>45839</v>
      </c>
      <c r="L3055" s="1" t="str">
        <f t="shared" si="361"/>
        <v>qui</v>
      </c>
      <c r="M3055" s="1" t="str">
        <f t="shared" si="362"/>
        <v>jul</v>
      </c>
      <c r="N3055">
        <f t="shared" si="363"/>
        <v>2025</v>
      </c>
      <c r="O3055" s="2"/>
      <c r="P3055" t="str">
        <f t="shared" si="364"/>
        <v>160245841</v>
      </c>
    </row>
    <row r="3056" spans="1:16" x14ac:dyDescent="0.3">
      <c r="A3056">
        <v>1602</v>
      </c>
      <c r="B3056">
        <v>23</v>
      </c>
      <c r="C3056" t="s">
        <v>15</v>
      </c>
      <c r="D3056" t="s">
        <v>16</v>
      </c>
      <c r="E3056" t="s">
        <v>17</v>
      </c>
      <c r="F3056" t="s">
        <v>21</v>
      </c>
      <c r="G3056" t="s">
        <v>41</v>
      </c>
      <c r="H3056" t="s">
        <v>25</v>
      </c>
      <c r="I3056" s="1">
        <v>2</v>
      </c>
      <c r="J3056" s="2">
        <v>45900</v>
      </c>
      <c r="K3056" s="2">
        <v>45870</v>
      </c>
      <c r="L3056" s="1" t="str">
        <f t="shared" si="361"/>
        <v>dom</v>
      </c>
      <c r="M3056" s="1" t="str">
        <f t="shared" si="362"/>
        <v>ago</v>
      </c>
      <c r="N3056">
        <f t="shared" si="363"/>
        <v>2025</v>
      </c>
      <c r="O3056" s="2"/>
      <c r="P3056" t="str">
        <f t="shared" si="364"/>
        <v>160245900</v>
      </c>
    </row>
    <row r="3057" spans="1:16" x14ac:dyDescent="0.3">
      <c r="A3057">
        <v>1602</v>
      </c>
      <c r="B3057">
        <v>23</v>
      </c>
      <c r="C3057" t="s">
        <v>15</v>
      </c>
      <c r="D3057" t="s">
        <v>16</v>
      </c>
      <c r="E3057" t="s">
        <v>17</v>
      </c>
      <c r="F3057" t="s">
        <v>21</v>
      </c>
      <c r="G3057" t="s">
        <v>41</v>
      </c>
      <c r="H3057" t="s">
        <v>25</v>
      </c>
      <c r="I3057" s="1">
        <v>2</v>
      </c>
      <c r="J3057" s="2">
        <v>45930</v>
      </c>
      <c r="K3057" s="2">
        <v>45901</v>
      </c>
      <c r="L3057" s="1" t="str">
        <f t="shared" si="361"/>
        <v>ter</v>
      </c>
      <c r="M3057" s="1" t="str">
        <f t="shared" si="362"/>
        <v>set</v>
      </c>
      <c r="N3057">
        <f t="shared" si="363"/>
        <v>2025</v>
      </c>
      <c r="O3057" s="2"/>
      <c r="P3057" t="str">
        <f t="shared" si="364"/>
        <v>160245930</v>
      </c>
    </row>
    <row r="3058" spans="1:16" x14ac:dyDescent="0.3">
      <c r="A3058">
        <v>1602</v>
      </c>
      <c r="B3058">
        <v>23</v>
      </c>
      <c r="C3058" t="s">
        <v>15</v>
      </c>
      <c r="D3058" t="s">
        <v>16</v>
      </c>
      <c r="E3058" t="s">
        <v>17</v>
      </c>
      <c r="F3058" t="s">
        <v>21</v>
      </c>
      <c r="G3058" t="s">
        <v>41</v>
      </c>
      <c r="H3058" t="s">
        <v>25</v>
      </c>
      <c r="I3058" s="1">
        <v>2</v>
      </c>
      <c r="J3058" s="2">
        <v>45973</v>
      </c>
      <c r="K3058" s="2">
        <v>45962</v>
      </c>
      <c r="L3058" s="1" t="str">
        <f t="shared" si="361"/>
        <v>qua</v>
      </c>
      <c r="M3058" s="1" t="str">
        <f t="shared" si="362"/>
        <v>nov</v>
      </c>
      <c r="N3058">
        <f t="shared" si="363"/>
        <v>2025</v>
      </c>
      <c r="O3058" s="2"/>
      <c r="P3058" t="str">
        <f t="shared" si="364"/>
        <v>160245973</v>
      </c>
    </row>
    <row r="3059" spans="1:16" x14ac:dyDescent="0.3">
      <c r="A3059">
        <v>1602</v>
      </c>
      <c r="B3059">
        <v>23</v>
      </c>
      <c r="C3059" t="s">
        <v>15</v>
      </c>
      <c r="D3059" t="s">
        <v>16</v>
      </c>
      <c r="E3059" t="s">
        <v>17</v>
      </c>
      <c r="F3059" t="s">
        <v>21</v>
      </c>
      <c r="G3059" t="s">
        <v>41</v>
      </c>
      <c r="H3059" t="s">
        <v>25</v>
      </c>
      <c r="I3059" s="1">
        <v>2</v>
      </c>
      <c r="J3059" s="2">
        <v>46007</v>
      </c>
      <c r="K3059" s="2">
        <v>45992</v>
      </c>
      <c r="L3059" s="1" t="str">
        <f t="shared" si="361"/>
        <v>ter</v>
      </c>
      <c r="M3059" s="1" t="str">
        <f t="shared" si="362"/>
        <v>dez</v>
      </c>
      <c r="N3059">
        <f t="shared" si="363"/>
        <v>2025</v>
      </c>
      <c r="O3059" s="2"/>
      <c r="P3059" t="str">
        <f t="shared" si="364"/>
        <v>160246007</v>
      </c>
    </row>
    <row r="3060" spans="1:16" x14ac:dyDescent="0.3">
      <c r="A3060">
        <v>1602</v>
      </c>
      <c r="B3060">
        <v>23</v>
      </c>
      <c r="C3060" t="s">
        <v>15</v>
      </c>
      <c r="D3060" t="s">
        <v>16</v>
      </c>
      <c r="E3060" t="s">
        <v>17</v>
      </c>
      <c r="F3060" t="s">
        <v>21</v>
      </c>
      <c r="G3060" t="s">
        <v>41</v>
      </c>
      <c r="H3060" t="s">
        <v>25</v>
      </c>
      <c r="I3060" s="1">
        <v>2</v>
      </c>
      <c r="J3060" s="2">
        <v>46022</v>
      </c>
      <c r="K3060" s="2">
        <v>45992</v>
      </c>
      <c r="L3060" s="1" t="str">
        <f t="shared" si="361"/>
        <v>qua</v>
      </c>
      <c r="M3060" s="1" t="str">
        <f t="shared" si="362"/>
        <v>dez</v>
      </c>
      <c r="N3060">
        <f t="shared" si="363"/>
        <v>2025</v>
      </c>
      <c r="O3060" s="2"/>
      <c r="P3060" t="str">
        <f t="shared" si="364"/>
        <v>160246022</v>
      </c>
    </row>
    <row r="3061" spans="1:16" x14ac:dyDescent="0.3">
      <c r="A3061">
        <v>1604</v>
      </c>
      <c r="B3061">
        <v>40</v>
      </c>
      <c r="C3061" t="s">
        <v>26</v>
      </c>
      <c r="D3061" t="s">
        <v>27</v>
      </c>
      <c r="E3061" t="s">
        <v>17</v>
      </c>
      <c r="F3061" t="s">
        <v>23</v>
      </c>
      <c r="G3061" t="s">
        <v>41</v>
      </c>
      <c r="H3061" t="s">
        <v>25</v>
      </c>
      <c r="I3061" s="1">
        <v>3</v>
      </c>
      <c r="J3061" s="2">
        <v>45996</v>
      </c>
      <c r="K3061" s="2">
        <v>45992</v>
      </c>
      <c r="L3061" s="1" t="str">
        <f t="shared" si="361"/>
        <v>sex</v>
      </c>
      <c r="M3061" s="1" t="str">
        <f t="shared" si="362"/>
        <v>dez</v>
      </c>
      <c r="N3061">
        <f t="shared" si="363"/>
        <v>2025</v>
      </c>
      <c r="O3061" s="2"/>
      <c r="P3061" t="str">
        <f t="shared" si="364"/>
        <v>160445996</v>
      </c>
    </row>
    <row r="3062" spans="1:16" x14ac:dyDescent="0.3">
      <c r="A3062">
        <v>1604</v>
      </c>
      <c r="B3062">
        <v>40</v>
      </c>
      <c r="C3062" t="s">
        <v>26</v>
      </c>
      <c r="D3062" t="s">
        <v>27</v>
      </c>
      <c r="E3062" t="s">
        <v>17</v>
      </c>
      <c r="F3062" t="s">
        <v>23</v>
      </c>
      <c r="G3062" t="s">
        <v>41</v>
      </c>
      <c r="H3062" t="s">
        <v>25</v>
      </c>
      <c r="I3062" s="1">
        <v>3</v>
      </c>
      <c r="J3062" s="2">
        <v>45998</v>
      </c>
      <c r="K3062" s="2">
        <v>45992</v>
      </c>
      <c r="L3062" s="1" t="str">
        <f t="shared" si="361"/>
        <v>dom</v>
      </c>
      <c r="M3062" s="1" t="str">
        <f t="shared" si="362"/>
        <v>dez</v>
      </c>
      <c r="N3062">
        <f t="shared" si="363"/>
        <v>2025</v>
      </c>
      <c r="O3062" s="2"/>
      <c r="P3062" t="str">
        <f t="shared" si="364"/>
        <v>160445998</v>
      </c>
    </row>
    <row r="3063" spans="1:16" x14ac:dyDescent="0.3">
      <c r="A3063">
        <v>1604</v>
      </c>
      <c r="B3063">
        <v>40</v>
      </c>
      <c r="C3063" t="s">
        <v>26</v>
      </c>
      <c r="D3063" t="s">
        <v>27</v>
      </c>
      <c r="E3063" t="s">
        <v>17</v>
      </c>
      <c r="F3063" t="s">
        <v>23</v>
      </c>
      <c r="G3063" t="s">
        <v>41</v>
      </c>
      <c r="H3063" t="s">
        <v>25</v>
      </c>
      <c r="I3063" s="1">
        <v>3</v>
      </c>
      <c r="J3063" s="2">
        <v>46188</v>
      </c>
      <c r="K3063" s="2">
        <v>46023</v>
      </c>
      <c r="L3063" s="1" t="str">
        <f t="shared" si="361"/>
        <v>seg</v>
      </c>
      <c r="M3063" s="1" t="str">
        <f t="shared" si="362"/>
        <v>jun</v>
      </c>
      <c r="N3063">
        <f t="shared" si="363"/>
        <v>2026</v>
      </c>
      <c r="O3063" s="2"/>
      <c r="P3063" t="str">
        <f t="shared" si="364"/>
        <v>160446188</v>
      </c>
    </row>
    <row r="3064" spans="1:16" x14ac:dyDescent="0.3">
      <c r="A3064">
        <v>1604</v>
      </c>
      <c r="B3064">
        <v>40</v>
      </c>
      <c r="C3064" t="s">
        <v>26</v>
      </c>
      <c r="D3064" t="s">
        <v>27</v>
      </c>
      <c r="E3064" t="s">
        <v>17</v>
      </c>
      <c r="F3064" t="s">
        <v>23</v>
      </c>
      <c r="G3064" t="s">
        <v>41</v>
      </c>
      <c r="H3064" t="s">
        <v>25</v>
      </c>
      <c r="I3064" s="1">
        <v>3</v>
      </c>
      <c r="J3064" s="2">
        <v>46101</v>
      </c>
      <c r="K3064" s="2">
        <v>46082</v>
      </c>
      <c r="L3064" s="1" t="str">
        <f t="shared" si="361"/>
        <v>sex</v>
      </c>
      <c r="M3064" s="1" t="str">
        <f t="shared" si="362"/>
        <v>mar</v>
      </c>
      <c r="N3064">
        <f t="shared" si="363"/>
        <v>2026</v>
      </c>
      <c r="O3064" s="2"/>
      <c r="P3064" t="str">
        <f t="shared" si="364"/>
        <v>160446101</v>
      </c>
    </row>
    <row r="3065" spans="1:16" x14ac:dyDescent="0.3">
      <c r="A3065">
        <v>1605</v>
      </c>
      <c r="B3065">
        <v>57</v>
      </c>
      <c r="C3065" t="s">
        <v>26</v>
      </c>
      <c r="D3065" t="s">
        <v>29</v>
      </c>
      <c r="E3065" t="s">
        <v>17</v>
      </c>
      <c r="F3065" t="s">
        <v>21</v>
      </c>
      <c r="G3065" t="s">
        <v>41</v>
      </c>
      <c r="H3065" t="s">
        <v>20</v>
      </c>
      <c r="I3065" s="1">
        <v>3</v>
      </c>
      <c r="J3065" s="2">
        <v>45794</v>
      </c>
      <c r="K3065" s="2">
        <v>45778</v>
      </c>
      <c r="L3065" s="1" t="str">
        <f t="shared" ref="L3065:L3128" si="365">TEXT(J3065,"ddd")</f>
        <v>sáb</v>
      </c>
      <c r="M3065" s="1" t="str">
        <f t="shared" ref="M3065:M3128" si="366">TEXT($J3065,"mmm")</f>
        <v>mai</v>
      </c>
      <c r="N3065">
        <f t="shared" ref="N3065:N3128" si="367">YEAR(J3065)</f>
        <v>2025</v>
      </c>
      <c r="O3065" s="2">
        <f>_xlfn.XLOOKUP(A3065,Colaboradores!$A:$A,Colaboradores!$S:$S,"",0)</f>
        <v>46140</v>
      </c>
      <c r="P3065" t="str">
        <f t="shared" si="364"/>
        <v>160545794</v>
      </c>
    </row>
    <row r="3066" spans="1:16" x14ac:dyDescent="0.3">
      <c r="A3066">
        <v>1605</v>
      </c>
      <c r="B3066">
        <v>57</v>
      </c>
      <c r="C3066" t="s">
        <v>26</v>
      </c>
      <c r="D3066" t="s">
        <v>29</v>
      </c>
      <c r="E3066" t="s">
        <v>17</v>
      </c>
      <c r="F3066" t="s">
        <v>21</v>
      </c>
      <c r="G3066" t="s">
        <v>41</v>
      </c>
      <c r="H3066" t="s">
        <v>20</v>
      </c>
      <c r="I3066" s="1">
        <v>3</v>
      </c>
      <c r="J3066" s="2">
        <v>45879</v>
      </c>
      <c r="K3066" s="2">
        <v>45870</v>
      </c>
      <c r="L3066" s="1" t="str">
        <f t="shared" si="365"/>
        <v>dom</v>
      </c>
      <c r="M3066" s="1" t="str">
        <f t="shared" si="366"/>
        <v>ago</v>
      </c>
      <c r="N3066">
        <f t="shared" si="367"/>
        <v>2025</v>
      </c>
      <c r="O3066" s="2">
        <f>_xlfn.XLOOKUP(A3066,Colaboradores!$A:$A,Colaboradores!$S:$S,"",0)</f>
        <v>46140</v>
      </c>
      <c r="P3066" t="str">
        <f t="shared" si="364"/>
        <v>160545879</v>
      </c>
    </row>
    <row r="3067" spans="1:16" x14ac:dyDescent="0.3">
      <c r="A3067">
        <v>1605</v>
      </c>
      <c r="B3067">
        <v>57</v>
      </c>
      <c r="C3067" t="s">
        <v>26</v>
      </c>
      <c r="D3067" t="s">
        <v>29</v>
      </c>
      <c r="E3067" t="s">
        <v>17</v>
      </c>
      <c r="F3067" t="s">
        <v>21</v>
      </c>
      <c r="G3067" t="s">
        <v>41</v>
      </c>
      <c r="H3067" t="s">
        <v>20</v>
      </c>
      <c r="I3067" s="1">
        <v>3</v>
      </c>
      <c r="J3067" s="2">
        <v>45935</v>
      </c>
      <c r="K3067" s="2">
        <v>45931</v>
      </c>
      <c r="L3067" s="1" t="str">
        <f t="shared" si="365"/>
        <v>dom</v>
      </c>
      <c r="M3067" s="1" t="str">
        <f t="shared" si="366"/>
        <v>out</v>
      </c>
      <c r="N3067">
        <f t="shared" si="367"/>
        <v>2025</v>
      </c>
      <c r="O3067" s="2">
        <f>_xlfn.XLOOKUP(A3067,Colaboradores!$A:$A,Colaboradores!$S:$S,"",0)</f>
        <v>46140</v>
      </c>
      <c r="P3067" t="str">
        <f t="shared" si="364"/>
        <v>160545935</v>
      </c>
    </row>
    <row r="3068" spans="1:16" x14ac:dyDescent="0.3">
      <c r="A3068">
        <v>1605</v>
      </c>
      <c r="B3068">
        <v>57</v>
      </c>
      <c r="C3068" t="s">
        <v>26</v>
      </c>
      <c r="D3068" t="s">
        <v>29</v>
      </c>
      <c r="E3068" t="s">
        <v>17</v>
      </c>
      <c r="F3068" t="s">
        <v>21</v>
      </c>
      <c r="G3068" t="s">
        <v>41</v>
      </c>
      <c r="H3068" t="s">
        <v>20</v>
      </c>
      <c r="I3068" s="1">
        <v>3</v>
      </c>
      <c r="J3068" s="2">
        <v>46021</v>
      </c>
      <c r="K3068" s="2">
        <v>45992</v>
      </c>
      <c r="L3068" s="1" t="str">
        <f t="shared" si="365"/>
        <v>ter</v>
      </c>
      <c r="M3068" s="1" t="str">
        <f t="shared" si="366"/>
        <v>dez</v>
      </c>
      <c r="N3068">
        <f t="shared" si="367"/>
        <v>2025</v>
      </c>
      <c r="O3068" s="2">
        <f>_xlfn.XLOOKUP(A3068,Colaboradores!$A:$A,Colaboradores!$S:$S,"",0)</f>
        <v>46140</v>
      </c>
      <c r="P3068" t="str">
        <f t="shared" si="364"/>
        <v>160546021</v>
      </c>
    </row>
    <row r="3069" spans="1:16" x14ac:dyDescent="0.3">
      <c r="A3069">
        <v>1605</v>
      </c>
      <c r="B3069">
        <v>57</v>
      </c>
      <c r="C3069" t="s">
        <v>26</v>
      </c>
      <c r="D3069" t="s">
        <v>29</v>
      </c>
      <c r="E3069" t="s">
        <v>17</v>
      </c>
      <c r="F3069" t="s">
        <v>21</v>
      </c>
      <c r="G3069" t="s">
        <v>41</v>
      </c>
      <c r="H3069" t="s">
        <v>20</v>
      </c>
      <c r="I3069" s="1">
        <v>3</v>
      </c>
      <c r="J3069" s="2">
        <v>46178</v>
      </c>
      <c r="K3069" s="2">
        <v>46023</v>
      </c>
      <c r="L3069" s="1" t="str">
        <f t="shared" si="365"/>
        <v>sex</v>
      </c>
      <c r="M3069" s="1" t="str">
        <f t="shared" si="366"/>
        <v>jun</v>
      </c>
      <c r="N3069">
        <f t="shared" si="367"/>
        <v>2026</v>
      </c>
      <c r="O3069" s="2">
        <f>_xlfn.XLOOKUP(A3069,Colaboradores!$A:$A,Colaboradores!$S:$S,"",0)</f>
        <v>46140</v>
      </c>
      <c r="P3069" t="str">
        <f t="shared" si="364"/>
        <v>160546178</v>
      </c>
    </row>
    <row r="3070" spans="1:16" x14ac:dyDescent="0.3">
      <c r="A3070">
        <v>1605</v>
      </c>
      <c r="B3070">
        <v>57</v>
      </c>
      <c r="C3070" t="s">
        <v>26</v>
      </c>
      <c r="D3070" t="s">
        <v>29</v>
      </c>
      <c r="E3070" t="s">
        <v>17</v>
      </c>
      <c r="F3070" t="s">
        <v>21</v>
      </c>
      <c r="G3070" t="s">
        <v>41</v>
      </c>
      <c r="H3070" t="s">
        <v>20</v>
      </c>
      <c r="I3070" s="1">
        <v>3</v>
      </c>
      <c r="J3070" s="2">
        <v>46088</v>
      </c>
      <c r="K3070" s="2">
        <v>46082</v>
      </c>
      <c r="L3070" s="1" t="str">
        <f t="shared" si="365"/>
        <v>sáb</v>
      </c>
      <c r="M3070" s="1" t="str">
        <f t="shared" si="366"/>
        <v>mar</v>
      </c>
      <c r="N3070">
        <f t="shared" si="367"/>
        <v>2026</v>
      </c>
      <c r="O3070" s="2">
        <f>_xlfn.XLOOKUP(A3070,Colaboradores!$A:$A,Colaboradores!$S:$S,"",0)</f>
        <v>46140</v>
      </c>
      <c r="P3070" t="str">
        <f t="shared" ref="P3070:P3133" si="368">CONCATENATE(A3070,J3070)</f>
        <v>160546088</v>
      </c>
    </row>
    <row r="3071" spans="1:16" x14ac:dyDescent="0.3">
      <c r="A3071">
        <v>1606</v>
      </c>
      <c r="B3071">
        <v>47</v>
      </c>
      <c r="C3071" t="s">
        <v>26</v>
      </c>
      <c r="D3071" t="s">
        <v>16</v>
      </c>
      <c r="E3071" t="s">
        <v>17</v>
      </c>
      <c r="F3071" t="s">
        <v>18</v>
      </c>
      <c r="G3071" t="s">
        <v>41</v>
      </c>
      <c r="H3071" t="s">
        <v>20</v>
      </c>
      <c r="I3071" s="1">
        <v>1</v>
      </c>
      <c r="J3071" s="2">
        <v>45825</v>
      </c>
      <c r="K3071" s="2">
        <v>45809</v>
      </c>
      <c r="L3071" s="1" t="str">
        <f t="shared" si="365"/>
        <v>ter</v>
      </c>
      <c r="M3071" s="1" t="str">
        <f t="shared" si="366"/>
        <v>jun</v>
      </c>
      <c r="N3071">
        <f t="shared" si="367"/>
        <v>2025</v>
      </c>
      <c r="O3071" s="2">
        <f>_xlfn.XLOOKUP(A3071,Colaboradores!$A:$A,Colaboradores!$S:$S,"",0)</f>
        <v>45918</v>
      </c>
      <c r="P3071" t="str">
        <f t="shared" si="368"/>
        <v>160645825</v>
      </c>
    </row>
    <row r="3072" spans="1:16" x14ac:dyDescent="0.3">
      <c r="A3072">
        <v>1606</v>
      </c>
      <c r="B3072">
        <v>47</v>
      </c>
      <c r="C3072" t="s">
        <v>26</v>
      </c>
      <c r="D3072" t="s">
        <v>16</v>
      </c>
      <c r="E3072" t="s">
        <v>17</v>
      </c>
      <c r="F3072" t="s">
        <v>18</v>
      </c>
      <c r="G3072" t="s">
        <v>41</v>
      </c>
      <c r="H3072" t="s">
        <v>20</v>
      </c>
      <c r="I3072" s="1">
        <v>1</v>
      </c>
      <c r="J3072" s="2">
        <v>45835</v>
      </c>
      <c r="K3072" s="2">
        <v>45809</v>
      </c>
      <c r="L3072" s="1" t="str">
        <f t="shared" si="365"/>
        <v>sex</v>
      </c>
      <c r="M3072" s="1" t="str">
        <f t="shared" si="366"/>
        <v>jun</v>
      </c>
      <c r="N3072">
        <f t="shared" si="367"/>
        <v>2025</v>
      </c>
      <c r="O3072" s="2">
        <f>_xlfn.XLOOKUP(A3072,Colaboradores!$A:$A,Colaboradores!$S:$S,"",0)</f>
        <v>45918</v>
      </c>
      <c r="P3072" t="str">
        <f t="shared" si="368"/>
        <v>160645835</v>
      </c>
    </row>
    <row r="3073" spans="1:16" x14ac:dyDescent="0.3">
      <c r="A3073">
        <v>1606</v>
      </c>
      <c r="B3073">
        <v>47</v>
      </c>
      <c r="C3073" t="s">
        <v>26</v>
      </c>
      <c r="D3073" t="s">
        <v>16</v>
      </c>
      <c r="E3073" t="s">
        <v>17</v>
      </c>
      <c r="F3073" t="s">
        <v>18</v>
      </c>
      <c r="G3073" t="s">
        <v>41</v>
      </c>
      <c r="H3073" t="s">
        <v>20</v>
      </c>
      <c r="I3073" s="1">
        <v>1</v>
      </c>
      <c r="J3073" s="2">
        <v>45869</v>
      </c>
      <c r="K3073" s="2">
        <v>45839</v>
      </c>
      <c r="L3073" s="1" t="str">
        <f t="shared" si="365"/>
        <v>qui</v>
      </c>
      <c r="M3073" s="1" t="str">
        <f t="shared" si="366"/>
        <v>jul</v>
      </c>
      <c r="N3073">
        <f t="shared" si="367"/>
        <v>2025</v>
      </c>
      <c r="O3073" s="2">
        <f>_xlfn.XLOOKUP(A3073,Colaboradores!$A:$A,Colaboradores!$S:$S,"",0)</f>
        <v>45918</v>
      </c>
      <c r="P3073" t="str">
        <f t="shared" si="368"/>
        <v>160645869</v>
      </c>
    </row>
    <row r="3074" spans="1:16" x14ac:dyDescent="0.3">
      <c r="A3074">
        <v>1606</v>
      </c>
      <c r="B3074">
        <v>47</v>
      </c>
      <c r="C3074" t="s">
        <v>26</v>
      </c>
      <c r="D3074" t="s">
        <v>16</v>
      </c>
      <c r="E3074" t="s">
        <v>17</v>
      </c>
      <c r="F3074" t="s">
        <v>18</v>
      </c>
      <c r="G3074" t="s">
        <v>41</v>
      </c>
      <c r="H3074" t="s">
        <v>20</v>
      </c>
      <c r="I3074" s="1">
        <v>1</v>
      </c>
      <c r="J3074" s="2">
        <v>45870</v>
      </c>
      <c r="K3074" s="2">
        <v>45870</v>
      </c>
      <c r="L3074" s="1" t="str">
        <f t="shared" si="365"/>
        <v>sex</v>
      </c>
      <c r="M3074" s="1" t="str">
        <f t="shared" si="366"/>
        <v>ago</v>
      </c>
      <c r="N3074">
        <f t="shared" si="367"/>
        <v>2025</v>
      </c>
      <c r="O3074" s="2">
        <f>_xlfn.XLOOKUP(A3074,Colaboradores!$A:$A,Colaboradores!$S:$S,"",0)</f>
        <v>45918</v>
      </c>
      <c r="P3074" t="str">
        <f t="shared" si="368"/>
        <v>160645870</v>
      </c>
    </row>
    <row r="3075" spans="1:16" x14ac:dyDescent="0.3">
      <c r="A3075">
        <v>1606</v>
      </c>
      <c r="B3075">
        <v>47</v>
      </c>
      <c r="C3075" t="s">
        <v>26</v>
      </c>
      <c r="D3075" t="s">
        <v>16</v>
      </c>
      <c r="E3075" t="s">
        <v>17</v>
      </c>
      <c r="F3075" t="s">
        <v>18</v>
      </c>
      <c r="G3075" t="s">
        <v>41</v>
      </c>
      <c r="H3075" t="s">
        <v>20</v>
      </c>
      <c r="I3075" s="1">
        <v>1</v>
      </c>
      <c r="J3075" s="2">
        <v>45871</v>
      </c>
      <c r="K3075" s="2">
        <v>45870</v>
      </c>
      <c r="L3075" s="1" t="str">
        <f t="shared" si="365"/>
        <v>sáb</v>
      </c>
      <c r="M3075" s="1" t="str">
        <f t="shared" si="366"/>
        <v>ago</v>
      </c>
      <c r="N3075">
        <f t="shared" si="367"/>
        <v>2025</v>
      </c>
      <c r="O3075" s="2">
        <f>_xlfn.XLOOKUP(A3075,Colaboradores!$A:$A,Colaboradores!$S:$S,"",0)</f>
        <v>45918</v>
      </c>
      <c r="P3075" t="str">
        <f t="shared" si="368"/>
        <v>160645871</v>
      </c>
    </row>
    <row r="3076" spans="1:16" x14ac:dyDescent="0.3">
      <c r="A3076">
        <v>1606</v>
      </c>
      <c r="B3076">
        <v>47</v>
      </c>
      <c r="C3076" t="s">
        <v>26</v>
      </c>
      <c r="D3076" t="s">
        <v>16</v>
      </c>
      <c r="E3076" t="s">
        <v>17</v>
      </c>
      <c r="F3076" t="s">
        <v>18</v>
      </c>
      <c r="G3076" t="s">
        <v>41</v>
      </c>
      <c r="H3076" t="s">
        <v>20</v>
      </c>
      <c r="I3076" s="1">
        <v>1</v>
      </c>
      <c r="J3076" s="2">
        <v>45875</v>
      </c>
      <c r="K3076" s="2">
        <v>45870</v>
      </c>
      <c r="L3076" s="1" t="str">
        <f t="shared" si="365"/>
        <v>qua</v>
      </c>
      <c r="M3076" s="1" t="str">
        <f t="shared" si="366"/>
        <v>ago</v>
      </c>
      <c r="N3076">
        <f t="shared" si="367"/>
        <v>2025</v>
      </c>
      <c r="O3076" s="2">
        <f>_xlfn.XLOOKUP(A3076,Colaboradores!$A:$A,Colaboradores!$S:$S,"",0)</f>
        <v>45918</v>
      </c>
      <c r="P3076" t="str">
        <f t="shared" si="368"/>
        <v>160645875</v>
      </c>
    </row>
    <row r="3077" spans="1:16" x14ac:dyDescent="0.3">
      <c r="A3077">
        <v>1607</v>
      </c>
      <c r="B3077">
        <v>42</v>
      </c>
      <c r="C3077" t="s">
        <v>26</v>
      </c>
      <c r="D3077" t="s">
        <v>31</v>
      </c>
      <c r="E3077" t="s">
        <v>32</v>
      </c>
      <c r="F3077" t="s">
        <v>21</v>
      </c>
      <c r="G3077" t="s">
        <v>41</v>
      </c>
      <c r="H3077" t="s">
        <v>25</v>
      </c>
      <c r="I3077" s="1">
        <v>3</v>
      </c>
      <c r="J3077" s="2">
        <v>45871</v>
      </c>
      <c r="K3077" s="2">
        <v>45870</v>
      </c>
      <c r="L3077" s="1" t="str">
        <f t="shared" si="365"/>
        <v>sáb</v>
      </c>
      <c r="M3077" s="1" t="str">
        <f t="shared" si="366"/>
        <v>ago</v>
      </c>
      <c r="N3077">
        <f t="shared" si="367"/>
        <v>2025</v>
      </c>
      <c r="O3077" s="2"/>
      <c r="P3077" t="str">
        <f t="shared" si="368"/>
        <v>160745871</v>
      </c>
    </row>
    <row r="3078" spans="1:16" x14ac:dyDescent="0.3">
      <c r="A3078">
        <v>1607</v>
      </c>
      <c r="B3078">
        <v>42</v>
      </c>
      <c r="C3078" t="s">
        <v>26</v>
      </c>
      <c r="D3078" t="s">
        <v>31</v>
      </c>
      <c r="E3078" t="s">
        <v>32</v>
      </c>
      <c r="F3078" t="s">
        <v>21</v>
      </c>
      <c r="G3078" t="s">
        <v>41</v>
      </c>
      <c r="H3078" t="s">
        <v>25</v>
      </c>
      <c r="I3078" s="1">
        <v>3</v>
      </c>
      <c r="J3078" s="2">
        <v>45910</v>
      </c>
      <c r="K3078" s="2">
        <v>45901</v>
      </c>
      <c r="L3078" s="1" t="str">
        <f t="shared" si="365"/>
        <v>qua</v>
      </c>
      <c r="M3078" s="1" t="str">
        <f t="shared" si="366"/>
        <v>set</v>
      </c>
      <c r="N3078">
        <f t="shared" si="367"/>
        <v>2025</v>
      </c>
      <c r="O3078" s="2"/>
      <c r="P3078" t="str">
        <f t="shared" si="368"/>
        <v>160745910</v>
      </c>
    </row>
    <row r="3079" spans="1:16" x14ac:dyDescent="0.3">
      <c r="A3079">
        <v>1607</v>
      </c>
      <c r="B3079">
        <v>42</v>
      </c>
      <c r="C3079" t="s">
        <v>26</v>
      </c>
      <c r="D3079" t="s">
        <v>31</v>
      </c>
      <c r="E3079" t="s">
        <v>32</v>
      </c>
      <c r="F3079" t="s">
        <v>21</v>
      </c>
      <c r="G3079" t="s">
        <v>41</v>
      </c>
      <c r="H3079" t="s">
        <v>25</v>
      </c>
      <c r="I3079" s="1">
        <v>3</v>
      </c>
      <c r="J3079" s="2">
        <v>45911</v>
      </c>
      <c r="K3079" s="2">
        <v>45901</v>
      </c>
      <c r="L3079" s="1" t="str">
        <f t="shared" si="365"/>
        <v>qui</v>
      </c>
      <c r="M3079" s="1" t="str">
        <f t="shared" si="366"/>
        <v>set</v>
      </c>
      <c r="N3079">
        <f t="shared" si="367"/>
        <v>2025</v>
      </c>
      <c r="O3079" s="2"/>
      <c r="P3079" t="str">
        <f t="shared" si="368"/>
        <v>160745911</v>
      </c>
    </row>
    <row r="3080" spans="1:16" x14ac:dyDescent="0.3">
      <c r="A3080">
        <v>1607</v>
      </c>
      <c r="B3080">
        <v>42</v>
      </c>
      <c r="C3080" t="s">
        <v>26</v>
      </c>
      <c r="D3080" t="s">
        <v>31</v>
      </c>
      <c r="E3080" t="s">
        <v>32</v>
      </c>
      <c r="F3080" t="s">
        <v>21</v>
      </c>
      <c r="G3080" t="s">
        <v>41</v>
      </c>
      <c r="H3080" t="s">
        <v>25</v>
      </c>
      <c r="I3080" s="1">
        <v>3</v>
      </c>
      <c r="J3080" s="2">
        <v>45944</v>
      </c>
      <c r="K3080" s="2">
        <v>45931</v>
      </c>
      <c r="L3080" s="1" t="str">
        <f t="shared" si="365"/>
        <v>ter</v>
      </c>
      <c r="M3080" s="1" t="str">
        <f t="shared" si="366"/>
        <v>out</v>
      </c>
      <c r="N3080">
        <f t="shared" si="367"/>
        <v>2025</v>
      </c>
      <c r="O3080" s="2"/>
      <c r="P3080" t="str">
        <f t="shared" si="368"/>
        <v>160745944</v>
      </c>
    </row>
    <row r="3081" spans="1:16" x14ac:dyDescent="0.3">
      <c r="A3081">
        <v>1607</v>
      </c>
      <c r="B3081">
        <v>42</v>
      </c>
      <c r="C3081" t="s">
        <v>26</v>
      </c>
      <c r="D3081" t="s">
        <v>31</v>
      </c>
      <c r="E3081" t="s">
        <v>32</v>
      </c>
      <c r="F3081" t="s">
        <v>21</v>
      </c>
      <c r="G3081" t="s">
        <v>41</v>
      </c>
      <c r="H3081" t="s">
        <v>25</v>
      </c>
      <c r="I3081" s="1">
        <v>3</v>
      </c>
      <c r="J3081" s="2">
        <v>45946</v>
      </c>
      <c r="K3081" s="2">
        <v>45931</v>
      </c>
      <c r="L3081" s="1" t="str">
        <f t="shared" si="365"/>
        <v>qui</v>
      </c>
      <c r="M3081" s="1" t="str">
        <f t="shared" si="366"/>
        <v>out</v>
      </c>
      <c r="N3081">
        <f t="shared" si="367"/>
        <v>2025</v>
      </c>
      <c r="O3081" s="2"/>
      <c r="P3081" t="str">
        <f t="shared" si="368"/>
        <v>160745946</v>
      </c>
    </row>
    <row r="3082" spans="1:16" x14ac:dyDescent="0.3">
      <c r="A3082">
        <v>1608</v>
      </c>
      <c r="B3082">
        <v>54</v>
      </c>
      <c r="C3082" t="s">
        <v>26</v>
      </c>
      <c r="D3082" t="s">
        <v>16</v>
      </c>
      <c r="E3082" t="s">
        <v>17</v>
      </c>
      <c r="F3082" t="s">
        <v>18</v>
      </c>
      <c r="G3082" t="s">
        <v>41</v>
      </c>
      <c r="H3082" t="s">
        <v>25</v>
      </c>
      <c r="I3082" s="1">
        <v>2</v>
      </c>
      <c r="J3082" s="2">
        <v>45852</v>
      </c>
      <c r="K3082" s="2">
        <v>45839</v>
      </c>
      <c r="L3082" s="1" t="str">
        <f t="shared" si="365"/>
        <v>seg</v>
      </c>
      <c r="M3082" s="1" t="str">
        <f t="shared" si="366"/>
        <v>jul</v>
      </c>
      <c r="N3082">
        <f t="shared" si="367"/>
        <v>2025</v>
      </c>
      <c r="O3082" s="2"/>
      <c r="P3082" t="str">
        <f t="shared" si="368"/>
        <v>160845852</v>
      </c>
    </row>
    <row r="3083" spans="1:16" x14ac:dyDescent="0.3">
      <c r="A3083">
        <v>1608</v>
      </c>
      <c r="B3083">
        <v>54</v>
      </c>
      <c r="C3083" t="s">
        <v>26</v>
      </c>
      <c r="D3083" t="s">
        <v>16</v>
      </c>
      <c r="E3083" t="s">
        <v>17</v>
      </c>
      <c r="F3083" t="s">
        <v>18</v>
      </c>
      <c r="G3083" t="s">
        <v>41</v>
      </c>
      <c r="H3083" t="s">
        <v>25</v>
      </c>
      <c r="I3083" s="1">
        <v>2</v>
      </c>
      <c r="J3083" s="2">
        <v>45910</v>
      </c>
      <c r="K3083" s="2">
        <v>45901</v>
      </c>
      <c r="L3083" s="1" t="str">
        <f t="shared" si="365"/>
        <v>qua</v>
      </c>
      <c r="M3083" s="1" t="str">
        <f t="shared" si="366"/>
        <v>set</v>
      </c>
      <c r="N3083">
        <f t="shared" si="367"/>
        <v>2025</v>
      </c>
      <c r="O3083" s="2"/>
      <c r="P3083" t="str">
        <f t="shared" si="368"/>
        <v>160845910</v>
      </c>
    </row>
    <row r="3084" spans="1:16" x14ac:dyDescent="0.3">
      <c r="A3084">
        <v>1608</v>
      </c>
      <c r="B3084">
        <v>54</v>
      </c>
      <c r="C3084" t="s">
        <v>26</v>
      </c>
      <c r="D3084" t="s">
        <v>16</v>
      </c>
      <c r="E3084" t="s">
        <v>17</v>
      </c>
      <c r="F3084" t="s">
        <v>18</v>
      </c>
      <c r="G3084" t="s">
        <v>41</v>
      </c>
      <c r="H3084" t="s">
        <v>25</v>
      </c>
      <c r="I3084" s="1">
        <v>2</v>
      </c>
      <c r="J3084" s="2">
        <v>45952</v>
      </c>
      <c r="K3084" s="2">
        <v>45931</v>
      </c>
      <c r="L3084" s="1" t="str">
        <f t="shared" si="365"/>
        <v>qua</v>
      </c>
      <c r="M3084" s="1" t="str">
        <f t="shared" si="366"/>
        <v>out</v>
      </c>
      <c r="N3084">
        <f t="shared" si="367"/>
        <v>2025</v>
      </c>
      <c r="O3084" s="2"/>
      <c r="P3084" t="str">
        <f t="shared" si="368"/>
        <v>160845952</v>
      </c>
    </row>
    <row r="3085" spans="1:16" x14ac:dyDescent="0.3">
      <c r="A3085">
        <v>1608</v>
      </c>
      <c r="B3085">
        <v>54</v>
      </c>
      <c r="C3085" t="s">
        <v>26</v>
      </c>
      <c r="D3085" t="s">
        <v>16</v>
      </c>
      <c r="E3085" t="s">
        <v>17</v>
      </c>
      <c r="F3085" t="s">
        <v>18</v>
      </c>
      <c r="G3085" t="s">
        <v>41</v>
      </c>
      <c r="H3085" t="s">
        <v>25</v>
      </c>
      <c r="I3085" s="1">
        <v>2</v>
      </c>
      <c r="J3085" s="2">
        <v>46003</v>
      </c>
      <c r="K3085" s="2">
        <v>45992</v>
      </c>
      <c r="L3085" s="1" t="str">
        <f t="shared" si="365"/>
        <v>sex</v>
      </c>
      <c r="M3085" s="1" t="str">
        <f t="shared" si="366"/>
        <v>dez</v>
      </c>
      <c r="N3085">
        <f t="shared" si="367"/>
        <v>2025</v>
      </c>
      <c r="O3085" s="2"/>
      <c r="P3085" t="str">
        <f t="shared" si="368"/>
        <v>160846003</v>
      </c>
    </row>
    <row r="3086" spans="1:16" x14ac:dyDescent="0.3">
      <c r="A3086">
        <v>1608</v>
      </c>
      <c r="B3086">
        <v>54</v>
      </c>
      <c r="C3086" t="s">
        <v>26</v>
      </c>
      <c r="D3086" t="s">
        <v>16</v>
      </c>
      <c r="E3086" t="s">
        <v>17</v>
      </c>
      <c r="F3086" t="s">
        <v>18</v>
      </c>
      <c r="G3086" t="s">
        <v>41</v>
      </c>
      <c r="H3086" t="s">
        <v>25</v>
      </c>
      <c r="I3086" s="1">
        <v>2</v>
      </c>
      <c r="J3086" s="2">
        <v>46191</v>
      </c>
      <c r="K3086" s="2">
        <v>46023</v>
      </c>
      <c r="L3086" s="1" t="str">
        <f t="shared" si="365"/>
        <v>qui</v>
      </c>
      <c r="M3086" s="1" t="str">
        <f t="shared" si="366"/>
        <v>jun</v>
      </c>
      <c r="N3086">
        <f t="shared" si="367"/>
        <v>2026</v>
      </c>
      <c r="O3086" s="2"/>
      <c r="P3086" t="str">
        <f t="shared" si="368"/>
        <v>160846191</v>
      </c>
    </row>
    <row r="3087" spans="1:16" x14ac:dyDescent="0.3">
      <c r="A3087">
        <v>1608</v>
      </c>
      <c r="B3087">
        <v>54</v>
      </c>
      <c r="C3087" t="s">
        <v>26</v>
      </c>
      <c r="D3087" t="s">
        <v>16</v>
      </c>
      <c r="E3087" t="s">
        <v>17</v>
      </c>
      <c r="F3087" t="s">
        <v>18</v>
      </c>
      <c r="G3087" t="s">
        <v>41</v>
      </c>
      <c r="H3087" t="s">
        <v>25</v>
      </c>
      <c r="I3087" s="1">
        <v>2</v>
      </c>
      <c r="J3087" s="2">
        <v>46082</v>
      </c>
      <c r="K3087" s="2">
        <v>46082</v>
      </c>
      <c r="L3087" s="1" t="str">
        <f t="shared" si="365"/>
        <v>dom</v>
      </c>
      <c r="M3087" s="1" t="str">
        <f t="shared" si="366"/>
        <v>mar</v>
      </c>
      <c r="N3087">
        <f t="shared" si="367"/>
        <v>2026</v>
      </c>
      <c r="O3087" s="2"/>
      <c r="P3087" t="str">
        <f t="shared" si="368"/>
        <v>160846082</v>
      </c>
    </row>
    <row r="3088" spans="1:16" x14ac:dyDescent="0.3">
      <c r="A3088">
        <v>1609</v>
      </c>
      <c r="B3088">
        <v>45</v>
      </c>
      <c r="C3088" t="s">
        <v>26</v>
      </c>
      <c r="D3088" t="s">
        <v>29</v>
      </c>
      <c r="E3088" t="s">
        <v>17</v>
      </c>
      <c r="F3088" t="s">
        <v>23</v>
      </c>
      <c r="G3088" t="s">
        <v>41</v>
      </c>
      <c r="H3088" t="s">
        <v>25</v>
      </c>
      <c r="I3088" s="1">
        <v>2</v>
      </c>
      <c r="J3088" s="2">
        <v>45842</v>
      </c>
      <c r="K3088" s="2">
        <v>45839</v>
      </c>
      <c r="L3088" s="1" t="str">
        <f t="shared" si="365"/>
        <v>sex</v>
      </c>
      <c r="M3088" s="1" t="str">
        <f t="shared" si="366"/>
        <v>jul</v>
      </c>
      <c r="N3088">
        <f t="shared" si="367"/>
        <v>2025</v>
      </c>
      <c r="O3088" s="2"/>
      <c r="P3088" t="str">
        <f t="shared" si="368"/>
        <v>160945842</v>
      </c>
    </row>
    <row r="3089" spans="1:16" x14ac:dyDescent="0.3">
      <c r="A3089">
        <v>1609</v>
      </c>
      <c r="B3089">
        <v>45</v>
      </c>
      <c r="C3089" t="s">
        <v>26</v>
      </c>
      <c r="D3089" t="s">
        <v>29</v>
      </c>
      <c r="E3089" t="s">
        <v>17</v>
      </c>
      <c r="F3089" t="s">
        <v>23</v>
      </c>
      <c r="G3089" t="s">
        <v>41</v>
      </c>
      <c r="H3089" t="s">
        <v>25</v>
      </c>
      <c r="I3089" s="1">
        <v>2</v>
      </c>
      <c r="J3089" s="2">
        <v>45902</v>
      </c>
      <c r="K3089" s="2">
        <v>45901</v>
      </c>
      <c r="L3089" s="1" t="str">
        <f t="shared" si="365"/>
        <v>ter</v>
      </c>
      <c r="M3089" s="1" t="str">
        <f t="shared" si="366"/>
        <v>set</v>
      </c>
      <c r="N3089">
        <f t="shared" si="367"/>
        <v>2025</v>
      </c>
      <c r="O3089" s="2"/>
      <c r="P3089" t="str">
        <f t="shared" si="368"/>
        <v>160945902</v>
      </c>
    </row>
    <row r="3090" spans="1:16" x14ac:dyDescent="0.3">
      <c r="A3090">
        <v>1609</v>
      </c>
      <c r="B3090">
        <v>45</v>
      </c>
      <c r="C3090" t="s">
        <v>26</v>
      </c>
      <c r="D3090" t="s">
        <v>29</v>
      </c>
      <c r="E3090" t="s">
        <v>17</v>
      </c>
      <c r="F3090" t="s">
        <v>23</v>
      </c>
      <c r="G3090" t="s">
        <v>41</v>
      </c>
      <c r="H3090" t="s">
        <v>25</v>
      </c>
      <c r="I3090" s="1">
        <v>2</v>
      </c>
      <c r="J3090" s="2">
        <v>45939</v>
      </c>
      <c r="K3090" s="2">
        <v>45931</v>
      </c>
      <c r="L3090" s="1" t="str">
        <f t="shared" si="365"/>
        <v>qui</v>
      </c>
      <c r="M3090" s="1" t="str">
        <f t="shared" si="366"/>
        <v>out</v>
      </c>
      <c r="N3090">
        <f t="shared" si="367"/>
        <v>2025</v>
      </c>
      <c r="O3090" s="2"/>
      <c r="P3090" t="str">
        <f t="shared" si="368"/>
        <v>160945939</v>
      </c>
    </row>
    <row r="3091" spans="1:16" x14ac:dyDescent="0.3">
      <c r="A3091">
        <v>1609</v>
      </c>
      <c r="B3091">
        <v>45</v>
      </c>
      <c r="C3091" t="s">
        <v>26</v>
      </c>
      <c r="D3091" t="s">
        <v>29</v>
      </c>
      <c r="E3091" t="s">
        <v>17</v>
      </c>
      <c r="F3091" t="s">
        <v>23</v>
      </c>
      <c r="G3091" t="s">
        <v>41</v>
      </c>
      <c r="H3091" t="s">
        <v>25</v>
      </c>
      <c r="I3091" s="1">
        <v>2</v>
      </c>
      <c r="J3091" s="2">
        <v>45963</v>
      </c>
      <c r="K3091" s="2">
        <v>45962</v>
      </c>
      <c r="L3091" s="1" t="str">
        <f t="shared" si="365"/>
        <v>dom</v>
      </c>
      <c r="M3091" s="1" t="str">
        <f t="shared" si="366"/>
        <v>nov</v>
      </c>
      <c r="N3091">
        <f t="shared" si="367"/>
        <v>2025</v>
      </c>
      <c r="O3091" s="2"/>
      <c r="P3091" t="str">
        <f t="shared" si="368"/>
        <v>160945963</v>
      </c>
    </row>
    <row r="3092" spans="1:16" x14ac:dyDescent="0.3">
      <c r="A3092">
        <v>1611</v>
      </c>
      <c r="B3092">
        <v>52</v>
      </c>
      <c r="C3092" t="s">
        <v>26</v>
      </c>
      <c r="D3092" t="s">
        <v>22</v>
      </c>
      <c r="E3092" t="s">
        <v>17</v>
      </c>
      <c r="F3092" t="s">
        <v>18</v>
      </c>
      <c r="G3092" t="s">
        <v>41</v>
      </c>
      <c r="H3092" t="s">
        <v>25</v>
      </c>
      <c r="I3092" s="1">
        <v>2</v>
      </c>
      <c r="J3092" s="2">
        <v>45813</v>
      </c>
      <c r="K3092" s="2">
        <v>45809</v>
      </c>
      <c r="L3092" s="1" t="str">
        <f t="shared" si="365"/>
        <v>qui</v>
      </c>
      <c r="M3092" s="1" t="str">
        <f t="shared" si="366"/>
        <v>jun</v>
      </c>
      <c r="N3092">
        <f t="shared" si="367"/>
        <v>2025</v>
      </c>
      <c r="O3092" s="2"/>
      <c r="P3092" t="str">
        <f t="shared" si="368"/>
        <v>161145813</v>
      </c>
    </row>
    <row r="3093" spans="1:16" x14ac:dyDescent="0.3">
      <c r="A3093">
        <v>1611</v>
      </c>
      <c r="B3093">
        <v>52</v>
      </c>
      <c r="C3093" t="s">
        <v>26</v>
      </c>
      <c r="D3093" t="s">
        <v>22</v>
      </c>
      <c r="E3093" t="s">
        <v>17</v>
      </c>
      <c r="F3093" t="s">
        <v>18</v>
      </c>
      <c r="G3093" t="s">
        <v>41</v>
      </c>
      <c r="H3093" t="s">
        <v>25</v>
      </c>
      <c r="I3093" s="1">
        <v>2</v>
      </c>
      <c r="J3093" s="2">
        <v>45848</v>
      </c>
      <c r="K3093" s="2">
        <v>45839</v>
      </c>
      <c r="L3093" s="1" t="str">
        <f t="shared" si="365"/>
        <v>qui</v>
      </c>
      <c r="M3093" s="1" t="str">
        <f t="shared" si="366"/>
        <v>jul</v>
      </c>
      <c r="N3093">
        <f t="shared" si="367"/>
        <v>2025</v>
      </c>
      <c r="O3093" s="2"/>
      <c r="P3093" t="str">
        <f t="shared" si="368"/>
        <v>161145848</v>
      </c>
    </row>
    <row r="3094" spans="1:16" x14ac:dyDescent="0.3">
      <c r="A3094">
        <v>1611</v>
      </c>
      <c r="B3094">
        <v>52</v>
      </c>
      <c r="C3094" t="s">
        <v>26</v>
      </c>
      <c r="D3094" t="s">
        <v>22</v>
      </c>
      <c r="E3094" t="s">
        <v>17</v>
      </c>
      <c r="F3094" t="s">
        <v>18</v>
      </c>
      <c r="G3094" t="s">
        <v>41</v>
      </c>
      <c r="H3094" t="s">
        <v>25</v>
      </c>
      <c r="I3094" s="1">
        <v>2</v>
      </c>
      <c r="J3094" s="2">
        <v>45853</v>
      </c>
      <c r="K3094" s="2">
        <v>45839</v>
      </c>
      <c r="L3094" s="1" t="str">
        <f t="shared" si="365"/>
        <v>ter</v>
      </c>
      <c r="M3094" s="1" t="str">
        <f t="shared" si="366"/>
        <v>jul</v>
      </c>
      <c r="N3094">
        <f t="shared" si="367"/>
        <v>2025</v>
      </c>
      <c r="O3094" s="2"/>
      <c r="P3094" t="str">
        <f t="shared" si="368"/>
        <v>161145853</v>
      </c>
    </row>
    <row r="3095" spans="1:16" x14ac:dyDescent="0.3">
      <c r="A3095">
        <v>1611</v>
      </c>
      <c r="B3095">
        <v>52</v>
      </c>
      <c r="C3095" t="s">
        <v>26</v>
      </c>
      <c r="D3095" t="s">
        <v>22</v>
      </c>
      <c r="E3095" t="s">
        <v>17</v>
      </c>
      <c r="F3095" t="s">
        <v>18</v>
      </c>
      <c r="G3095" t="s">
        <v>41</v>
      </c>
      <c r="H3095" t="s">
        <v>25</v>
      </c>
      <c r="I3095" s="1">
        <v>2</v>
      </c>
      <c r="J3095" s="2">
        <v>45896</v>
      </c>
      <c r="K3095" s="2">
        <v>45870</v>
      </c>
      <c r="L3095" s="1" t="str">
        <f t="shared" si="365"/>
        <v>qua</v>
      </c>
      <c r="M3095" s="1" t="str">
        <f t="shared" si="366"/>
        <v>ago</v>
      </c>
      <c r="N3095">
        <f t="shared" si="367"/>
        <v>2025</v>
      </c>
      <c r="O3095" s="2"/>
      <c r="P3095" t="str">
        <f t="shared" si="368"/>
        <v>161145896</v>
      </c>
    </row>
    <row r="3096" spans="1:16" x14ac:dyDescent="0.3">
      <c r="A3096">
        <v>1611</v>
      </c>
      <c r="B3096">
        <v>52</v>
      </c>
      <c r="C3096" t="s">
        <v>26</v>
      </c>
      <c r="D3096" t="s">
        <v>22</v>
      </c>
      <c r="E3096" t="s">
        <v>17</v>
      </c>
      <c r="F3096" t="s">
        <v>18</v>
      </c>
      <c r="G3096" t="s">
        <v>41</v>
      </c>
      <c r="H3096" t="s">
        <v>25</v>
      </c>
      <c r="I3096" s="1">
        <v>2</v>
      </c>
      <c r="J3096" s="2">
        <v>46069</v>
      </c>
      <c r="K3096" s="2">
        <v>46054</v>
      </c>
      <c r="L3096" s="1" t="str">
        <f t="shared" si="365"/>
        <v>seg</v>
      </c>
      <c r="M3096" s="1" t="str">
        <f t="shared" si="366"/>
        <v>fev</v>
      </c>
      <c r="N3096">
        <f t="shared" si="367"/>
        <v>2026</v>
      </c>
      <c r="O3096" s="2"/>
      <c r="P3096" t="str">
        <f t="shared" si="368"/>
        <v>161146069</v>
      </c>
    </row>
    <row r="3097" spans="1:16" x14ac:dyDescent="0.3">
      <c r="A3097">
        <v>1611</v>
      </c>
      <c r="B3097">
        <v>52</v>
      </c>
      <c r="C3097" t="s">
        <v>26</v>
      </c>
      <c r="D3097" t="s">
        <v>22</v>
      </c>
      <c r="E3097" t="s">
        <v>17</v>
      </c>
      <c r="F3097" t="s">
        <v>18</v>
      </c>
      <c r="G3097" t="s">
        <v>41</v>
      </c>
      <c r="H3097" t="s">
        <v>25</v>
      </c>
      <c r="I3097" s="1">
        <v>2</v>
      </c>
      <c r="J3097" s="2">
        <v>46084</v>
      </c>
      <c r="K3097" s="2">
        <v>46082</v>
      </c>
      <c r="L3097" s="1" t="str">
        <f t="shared" si="365"/>
        <v>ter</v>
      </c>
      <c r="M3097" s="1" t="str">
        <f t="shared" si="366"/>
        <v>mar</v>
      </c>
      <c r="N3097">
        <f t="shared" si="367"/>
        <v>2026</v>
      </c>
      <c r="O3097" s="2"/>
      <c r="P3097" t="str">
        <f t="shared" si="368"/>
        <v>161146084</v>
      </c>
    </row>
    <row r="3098" spans="1:16" x14ac:dyDescent="0.3">
      <c r="A3098">
        <v>1612</v>
      </c>
      <c r="B3098">
        <v>24</v>
      </c>
      <c r="C3098" t="s">
        <v>26</v>
      </c>
      <c r="D3098" t="s">
        <v>22</v>
      </c>
      <c r="E3098" t="s">
        <v>17</v>
      </c>
      <c r="F3098" t="s">
        <v>21</v>
      </c>
      <c r="G3098" t="s">
        <v>41</v>
      </c>
      <c r="H3098" t="s">
        <v>25</v>
      </c>
      <c r="I3098" s="1">
        <v>3</v>
      </c>
      <c r="J3098" s="2">
        <v>45846</v>
      </c>
      <c r="K3098" s="2">
        <v>45839</v>
      </c>
      <c r="L3098" s="1" t="str">
        <f t="shared" si="365"/>
        <v>ter</v>
      </c>
      <c r="M3098" s="1" t="str">
        <f t="shared" si="366"/>
        <v>jul</v>
      </c>
      <c r="N3098">
        <f t="shared" si="367"/>
        <v>2025</v>
      </c>
      <c r="O3098" s="2"/>
      <c r="P3098" t="str">
        <f t="shared" si="368"/>
        <v>161245846</v>
      </c>
    </row>
    <row r="3099" spans="1:16" x14ac:dyDescent="0.3">
      <c r="A3099">
        <v>1612</v>
      </c>
      <c r="B3099">
        <v>24</v>
      </c>
      <c r="C3099" t="s">
        <v>26</v>
      </c>
      <c r="D3099" t="s">
        <v>22</v>
      </c>
      <c r="E3099" t="s">
        <v>17</v>
      </c>
      <c r="F3099" t="s">
        <v>21</v>
      </c>
      <c r="G3099" t="s">
        <v>41</v>
      </c>
      <c r="H3099" t="s">
        <v>25</v>
      </c>
      <c r="I3099" s="1">
        <v>3</v>
      </c>
      <c r="J3099" s="2">
        <v>45849</v>
      </c>
      <c r="K3099" s="2">
        <v>45839</v>
      </c>
      <c r="L3099" s="1" t="str">
        <f t="shared" si="365"/>
        <v>sex</v>
      </c>
      <c r="M3099" s="1" t="str">
        <f t="shared" si="366"/>
        <v>jul</v>
      </c>
      <c r="N3099">
        <f t="shared" si="367"/>
        <v>2025</v>
      </c>
      <c r="O3099" s="2"/>
      <c r="P3099" t="str">
        <f t="shared" si="368"/>
        <v>161245849</v>
      </c>
    </row>
    <row r="3100" spans="1:16" x14ac:dyDescent="0.3">
      <c r="A3100">
        <v>1612</v>
      </c>
      <c r="B3100">
        <v>24</v>
      </c>
      <c r="C3100" t="s">
        <v>26</v>
      </c>
      <c r="D3100" t="s">
        <v>22</v>
      </c>
      <c r="E3100" t="s">
        <v>17</v>
      </c>
      <c r="F3100" t="s">
        <v>21</v>
      </c>
      <c r="G3100" t="s">
        <v>41</v>
      </c>
      <c r="H3100" t="s">
        <v>25</v>
      </c>
      <c r="I3100" s="1">
        <v>3</v>
      </c>
      <c r="J3100" s="2">
        <v>45898</v>
      </c>
      <c r="K3100" s="2">
        <v>45870</v>
      </c>
      <c r="L3100" s="1" t="str">
        <f t="shared" si="365"/>
        <v>sex</v>
      </c>
      <c r="M3100" s="1" t="str">
        <f t="shared" si="366"/>
        <v>ago</v>
      </c>
      <c r="N3100">
        <f t="shared" si="367"/>
        <v>2025</v>
      </c>
      <c r="O3100" s="2"/>
      <c r="P3100" t="str">
        <f t="shared" si="368"/>
        <v>161245898</v>
      </c>
    </row>
    <row r="3101" spans="1:16" x14ac:dyDescent="0.3">
      <c r="A3101">
        <v>1612</v>
      </c>
      <c r="B3101">
        <v>24</v>
      </c>
      <c r="C3101" t="s">
        <v>26</v>
      </c>
      <c r="D3101" t="s">
        <v>22</v>
      </c>
      <c r="E3101" t="s">
        <v>17</v>
      </c>
      <c r="F3101" t="s">
        <v>21</v>
      </c>
      <c r="G3101" t="s">
        <v>41</v>
      </c>
      <c r="H3101" t="s">
        <v>25</v>
      </c>
      <c r="I3101" s="1">
        <v>3</v>
      </c>
      <c r="J3101" s="2">
        <v>45923</v>
      </c>
      <c r="K3101" s="2">
        <v>45901</v>
      </c>
      <c r="L3101" s="1" t="str">
        <f t="shared" si="365"/>
        <v>ter</v>
      </c>
      <c r="M3101" s="1" t="str">
        <f t="shared" si="366"/>
        <v>set</v>
      </c>
      <c r="N3101">
        <f t="shared" si="367"/>
        <v>2025</v>
      </c>
      <c r="O3101" s="2"/>
      <c r="P3101" t="str">
        <f t="shared" si="368"/>
        <v>161245923</v>
      </c>
    </row>
    <row r="3102" spans="1:16" x14ac:dyDescent="0.3">
      <c r="A3102">
        <v>1613</v>
      </c>
      <c r="B3102">
        <v>49</v>
      </c>
      <c r="C3102" t="s">
        <v>15</v>
      </c>
      <c r="D3102" t="s">
        <v>16</v>
      </c>
      <c r="E3102" t="s">
        <v>17</v>
      </c>
      <c r="F3102" t="s">
        <v>18</v>
      </c>
      <c r="G3102" t="s">
        <v>41</v>
      </c>
      <c r="H3102" t="s">
        <v>25</v>
      </c>
      <c r="I3102" s="1">
        <v>3</v>
      </c>
      <c r="J3102" s="2">
        <v>45835</v>
      </c>
      <c r="K3102" s="2">
        <v>45809</v>
      </c>
      <c r="L3102" s="1" t="str">
        <f t="shared" si="365"/>
        <v>sex</v>
      </c>
      <c r="M3102" s="1" t="str">
        <f t="shared" si="366"/>
        <v>jun</v>
      </c>
      <c r="N3102">
        <f t="shared" si="367"/>
        <v>2025</v>
      </c>
      <c r="O3102" s="2"/>
      <c r="P3102" t="str">
        <f t="shared" si="368"/>
        <v>161345835</v>
      </c>
    </row>
    <row r="3103" spans="1:16" x14ac:dyDescent="0.3">
      <c r="A3103">
        <v>1613</v>
      </c>
      <c r="B3103">
        <v>49</v>
      </c>
      <c r="C3103" t="s">
        <v>15</v>
      </c>
      <c r="D3103" t="s">
        <v>16</v>
      </c>
      <c r="E3103" t="s">
        <v>17</v>
      </c>
      <c r="F3103" t="s">
        <v>18</v>
      </c>
      <c r="G3103" t="s">
        <v>41</v>
      </c>
      <c r="H3103" t="s">
        <v>25</v>
      </c>
      <c r="I3103" s="1">
        <v>3</v>
      </c>
      <c r="J3103" s="2">
        <v>46014</v>
      </c>
      <c r="K3103" s="2">
        <v>45992</v>
      </c>
      <c r="L3103" s="1" t="str">
        <f t="shared" si="365"/>
        <v>ter</v>
      </c>
      <c r="M3103" s="1" t="str">
        <f t="shared" si="366"/>
        <v>dez</v>
      </c>
      <c r="N3103">
        <f t="shared" si="367"/>
        <v>2025</v>
      </c>
      <c r="O3103" s="2"/>
      <c r="P3103" t="str">
        <f t="shared" si="368"/>
        <v>161346014</v>
      </c>
    </row>
    <row r="3104" spans="1:16" x14ac:dyDescent="0.3">
      <c r="A3104">
        <v>1613</v>
      </c>
      <c r="B3104">
        <v>49</v>
      </c>
      <c r="C3104" t="s">
        <v>15</v>
      </c>
      <c r="D3104" t="s">
        <v>16</v>
      </c>
      <c r="E3104" t="s">
        <v>17</v>
      </c>
      <c r="F3104" t="s">
        <v>18</v>
      </c>
      <c r="G3104" t="s">
        <v>41</v>
      </c>
      <c r="H3104" t="s">
        <v>25</v>
      </c>
      <c r="I3104" s="1">
        <v>3</v>
      </c>
      <c r="J3104" s="2">
        <v>46063</v>
      </c>
      <c r="K3104" s="2">
        <v>46054</v>
      </c>
      <c r="L3104" s="1" t="str">
        <f t="shared" si="365"/>
        <v>ter</v>
      </c>
      <c r="M3104" s="1" t="str">
        <f t="shared" si="366"/>
        <v>fev</v>
      </c>
      <c r="N3104">
        <f t="shared" si="367"/>
        <v>2026</v>
      </c>
      <c r="O3104" s="2"/>
      <c r="P3104" t="str">
        <f t="shared" si="368"/>
        <v>161346063</v>
      </c>
    </row>
    <row r="3105" spans="1:16" x14ac:dyDescent="0.3">
      <c r="A3105">
        <v>1613</v>
      </c>
      <c r="B3105">
        <v>49</v>
      </c>
      <c r="C3105" t="s">
        <v>15</v>
      </c>
      <c r="D3105" t="s">
        <v>16</v>
      </c>
      <c r="E3105" t="s">
        <v>17</v>
      </c>
      <c r="F3105" t="s">
        <v>18</v>
      </c>
      <c r="G3105" t="s">
        <v>41</v>
      </c>
      <c r="H3105" t="s">
        <v>25</v>
      </c>
      <c r="I3105" s="1">
        <v>3</v>
      </c>
      <c r="J3105" s="2">
        <v>46074</v>
      </c>
      <c r="K3105" s="2">
        <v>46054</v>
      </c>
      <c r="L3105" s="1" t="str">
        <f t="shared" si="365"/>
        <v>sáb</v>
      </c>
      <c r="M3105" s="1" t="str">
        <f t="shared" si="366"/>
        <v>fev</v>
      </c>
      <c r="N3105">
        <f t="shared" si="367"/>
        <v>2026</v>
      </c>
      <c r="O3105" s="2"/>
      <c r="P3105" t="str">
        <f t="shared" si="368"/>
        <v>161346074</v>
      </c>
    </row>
    <row r="3106" spans="1:16" x14ac:dyDescent="0.3">
      <c r="A3106">
        <v>1613</v>
      </c>
      <c r="B3106">
        <v>49</v>
      </c>
      <c r="C3106" t="s">
        <v>15</v>
      </c>
      <c r="D3106" t="s">
        <v>16</v>
      </c>
      <c r="E3106" t="s">
        <v>17</v>
      </c>
      <c r="F3106" t="s">
        <v>18</v>
      </c>
      <c r="G3106" t="s">
        <v>41</v>
      </c>
      <c r="H3106" t="s">
        <v>25</v>
      </c>
      <c r="I3106" s="1">
        <v>3</v>
      </c>
      <c r="J3106" s="2">
        <v>46104</v>
      </c>
      <c r="K3106" s="2">
        <v>46082</v>
      </c>
      <c r="L3106" s="1" t="str">
        <f t="shared" si="365"/>
        <v>seg</v>
      </c>
      <c r="M3106" s="1" t="str">
        <f t="shared" si="366"/>
        <v>mar</v>
      </c>
      <c r="N3106">
        <f t="shared" si="367"/>
        <v>2026</v>
      </c>
      <c r="O3106" s="2"/>
      <c r="P3106" t="str">
        <f t="shared" si="368"/>
        <v>161346104</v>
      </c>
    </row>
    <row r="3107" spans="1:16" x14ac:dyDescent="0.3">
      <c r="A3107">
        <v>1615</v>
      </c>
      <c r="B3107">
        <v>43</v>
      </c>
      <c r="C3107" t="s">
        <v>26</v>
      </c>
      <c r="D3107" t="s">
        <v>29</v>
      </c>
      <c r="E3107" t="s">
        <v>17</v>
      </c>
      <c r="F3107" t="s">
        <v>21</v>
      </c>
      <c r="G3107" t="s">
        <v>41</v>
      </c>
      <c r="H3107" t="s">
        <v>25</v>
      </c>
      <c r="I3107" s="1">
        <v>3</v>
      </c>
      <c r="J3107" s="2">
        <v>45884</v>
      </c>
      <c r="K3107" s="2">
        <v>45870</v>
      </c>
      <c r="L3107" s="1" t="str">
        <f t="shared" si="365"/>
        <v>sex</v>
      </c>
      <c r="M3107" s="1" t="str">
        <f t="shared" si="366"/>
        <v>ago</v>
      </c>
      <c r="N3107">
        <f t="shared" si="367"/>
        <v>2025</v>
      </c>
      <c r="O3107" s="2"/>
      <c r="P3107" t="str">
        <f t="shared" si="368"/>
        <v>161545884</v>
      </c>
    </row>
    <row r="3108" spans="1:16" x14ac:dyDescent="0.3">
      <c r="A3108">
        <v>1615</v>
      </c>
      <c r="B3108">
        <v>43</v>
      </c>
      <c r="C3108" t="s">
        <v>26</v>
      </c>
      <c r="D3108" t="s">
        <v>29</v>
      </c>
      <c r="E3108" t="s">
        <v>17</v>
      </c>
      <c r="F3108" t="s">
        <v>21</v>
      </c>
      <c r="G3108" t="s">
        <v>41</v>
      </c>
      <c r="H3108" t="s">
        <v>25</v>
      </c>
      <c r="I3108" s="1">
        <v>3</v>
      </c>
      <c r="J3108" s="2">
        <v>45963</v>
      </c>
      <c r="K3108" s="2">
        <v>45962</v>
      </c>
      <c r="L3108" s="1" t="str">
        <f t="shared" si="365"/>
        <v>dom</v>
      </c>
      <c r="M3108" s="1" t="str">
        <f t="shared" si="366"/>
        <v>nov</v>
      </c>
      <c r="N3108">
        <f t="shared" si="367"/>
        <v>2025</v>
      </c>
      <c r="O3108" s="2"/>
      <c r="P3108" t="str">
        <f t="shared" si="368"/>
        <v>161545963</v>
      </c>
    </row>
    <row r="3109" spans="1:16" x14ac:dyDescent="0.3">
      <c r="A3109">
        <v>1615</v>
      </c>
      <c r="B3109">
        <v>43</v>
      </c>
      <c r="C3109" t="s">
        <v>26</v>
      </c>
      <c r="D3109" t="s">
        <v>29</v>
      </c>
      <c r="E3109" t="s">
        <v>17</v>
      </c>
      <c r="F3109" t="s">
        <v>21</v>
      </c>
      <c r="G3109" t="s">
        <v>41</v>
      </c>
      <c r="H3109" t="s">
        <v>25</v>
      </c>
      <c r="I3109" s="1">
        <v>3</v>
      </c>
      <c r="J3109" s="2">
        <v>45964</v>
      </c>
      <c r="K3109" s="2">
        <v>45962</v>
      </c>
      <c r="L3109" s="1" t="str">
        <f t="shared" si="365"/>
        <v>seg</v>
      </c>
      <c r="M3109" s="1" t="str">
        <f t="shared" si="366"/>
        <v>nov</v>
      </c>
      <c r="N3109">
        <f t="shared" si="367"/>
        <v>2025</v>
      </c>
      <c r="O3109" s="2"/>
      <c r="P3109" t="str">
        <f t="shared" si="368"/>
        <v>161545964</v>
      </c>
    </row>
    <row r="3110" spans="1:16" x14ac:dyDescent="0.3">
      <c r="A3110">
        <v>1616</v>
      </c>
      <c r="B3110">
        <v>18</v>
      </c>
      <c r="C3110" t="s">
        <v>15</v>
      </c>
      <c r="D3110" t="s">
        <v>27</v>
      </c>
      <c r="E3110" t="s">
        <v>17</v>
      </c>
      <c r="F3110" t="s">
        <v>23</v>
      </c>
      <c r="G3110" t="s">
        <v>41</v>
      </c>
      <c r="H3110" t="s">
        <v>25</v>
      </c>
      <c r="I3110" s="1">
        <v>3</v>
      </c>
      <c r="J3110" s="2">
        <v>45827</v>
      </c>
      <c r="K3110" s="2">
        <v>45809</v>
      </c>
      <c r="L3110" s="1" t="str">
        <f t="shared" si="365"/>
        <v>qui</v>
      </c>
      <c r="M3110" s="1" t="str">
        <f t="shared" si="366"/>
        <v>jun</v>
      </c>
      <c r="N3110">
        <f t="shared" si="367"/>
        <v>2025</v>
      </c>
      <c r="O3110" s="2"/>
      <c r="P3110" t="str">
        <f t="shared" si="368"/>
        <v>161645827</v>
      </c>
    </row>
    <row r="3111" spans="1:16" x14ac:dyDescent="0.3">
      <c r="A3111">
        <v>1616</v>
      </c>
      <c r="B3111">
        <v>18</v>
      </c>
      <c r="C3111" t="s">
        <v>15</v>
      </c>
      <c r="D3111" t="s">
        <v>27</v>
      </c>
      <c r="E3111" t="s">
        <v>17</v>
      </c>
      <c r="F3111" t="s">
        <v>23</v>
      </c>
      <c r="G3111" t="s">
        <v>41</v>
      </c>
      <c r="H3111" t="s">
        <v>25</v>
      </c>
      <c r="I3111" s="1">
        <v>3</v>
      </c>
      <c r="J3111" s="2">
        <v>45919</v>
      </c>
      <c r="K3111" s="2">
        <v>45901</v>
      </c>
      <c r="L3111" s="1" t="str">
        <f t="shared" si="365"/>
        <v>sex</v>
      </c>
      <c r="M3111" s="1" t="str">
        <f t="shared" si="366"/>
        <v>set</v>
      </c>
      <c r="N3111">
        <f t="shared" si="367"/>
        <v>2025</v>
      </c>
      <c r="O3111" s="2"/>
      <c r="P3111" t="str">
        <f t="shared" si="368"/>
        <v>161645919</v>
      </c>
    </row>
    <row r="3112" spans="1:16" x14ac:dyDescent="0.3">
      <c r="A3112">
        <v>1616</v>
      </c>
      <c r="B3112">
        <v>18</v>
      </c>
      <c r="C3112" t="s">
        <v>15</v>
      </c>
      <c r="D3112" t="s">
        <v>27</v>
      </c>
      <c r="E3112" t="s">
        <v>17</v>
      </c>
      <c r="F3112" t="s">
        <v>23</v>
      </c>
      <c r="G3112" t="s">
        <v>41</v>
      </c>
      <c r="H3112" t="s">
        <v>25</v>
      </c>
      <c r="I3112" s="1">
        <v>3</v>
      </c>
      <c r="J3112" s="2">
        <v>45925</v>
      </c>
      <c r="K3112" s="2">
        <v>45901</v>
      </c>
      <c r="L3112" s="1" t="str">
        <f t="shared" si="365"/>
        <v>qui</v>
      </c>
      <c r="M3112" s="1" t="str">
        <f t="shared" si="366"/>
        <v>set</v>
      </c>
      <c r="N3112">
        <f t="shared" si="367"/>
        <v>2025</v>
      </c>
      <c r="O3112" s="2"/>
      <c r="P3112" t="str">
        <f t="shared" si="368"/>
        <v>161645925</v>
      </c>
    </row>
    <row r="3113" spans="1:16" x14ac:dyDescent="0.3">
      <c r="A3113">
        <v>1616</v>
      </c>
      <c r="B3113">
        <v>18</v>
      </c>
      <c r="C3113" t="s">
        <v>15</v>
      </c>
      <c r="D3113" t="s">
        <v>27</v>
      </c>
      <c r="E3113" t="s">
        <v>17</v>
      </c>
      <c r="F3113" t="s">
        <v>23</v>
      </c>
      <c r="G3113" t="s">
        <v>41</v>
      </c>
      <c r="H3113" t="s">
        <v>25</v>
      </c>
      <c r="I3113" s="1">
        <v>3</v>
      </c>
      <c r="J3113" s="2">
        <v>46085</v>
      </c>
      <c r="K3113" s="2">
        <v>46082</v>
      </c>
      <c r="L3113" s="1" t="str">
        <f t="shared" si="365"/>
        <v>qua</v>
      </c>
      <c r="M3113" s="1" t="str">
        <f t="shared" si="366"/>
        <v>mar</v>
      </c>
      <c r="N3113">
        <f t="shared" si="367"/>
        <v>2026</v>
      </c>
      <c r="O3113" s="2"/>
      <c r="P3113" t="str">
        <f t="shared" si="368"/>
        <v>161646085</v>
      </c>
    </row>
    <row r="3114" spans="1:16" x14ac:dyDescent="0.3">
      <c r="A3114">
        <v>1616</v>
      </c>
      <c r="B3114">
        <v>18</v>
      </c>
      <c r="C3114" t="s">
        <v>15</v>
      </c>
      <c r="D3114" t="s">
        <v>27</v>
      </c>
      <c r="E3114" t="s">
        <v>17</v>
      </c>
      <c r="F3114" t="s">
        <v>23</v>
      </c>
      <c r="G3114" t="s">
        <v>41</v>
      </c>
      <c r="H3114" t="s">
        <v>25</v>
      </c>
      <c r="I3114" s="1">
        <v>3</v>
      </c>
      <c r="J3114" s="2">
        <v>46105</v>
      </c>
      <c r="K3114" s="2">
        <v>46082</v>
      </c>
      <c r="L3114" s="1" t="str">
        <f t="shared" si="365"/>
        <v>ter</v>
      </c>
      <c r="M3114" s="1" t="str">
        <f t="shared" si="366"/>
        <v>mar</v>
      </c>
      <c r="N3114">
        <f t="shared" si="367"/>
        <v>2026</v>
      </c>
      <c r="O3114" s="2"/>
      <c r="P3114" t="str">
        <f t="shared" si="368"/>
        <v>161646105</v>
      </c>
    </row>
    <row r="3115" spans="1:16" x14ac:dyDescent="0.3">
      <c r="A3115">
        <v>1617</v>
      </c>
      <c r="B3115">
        <v>31</v>
      </c>
      <c r="C3115" t="s">
        <v>15</v>
      </c>
      <c r="D3115" t="s">
        <v>27</v>
      </c>
      <c r="E3115" t="s">
        <v>17</v>
      </c>
      <c r="F3115" t="s">
        <v>21</v>
      </c>
      <c r="G3115" t="s">
        <v>41</v>
      </c>
      <c r="H3115" t="s">
        <v>20</v>
      </c>
      <c r="I3115" s="1">
        <v>2</v>
      </c>
      <c r="J3115" s="2">
        <v>45673</v>
      </c>
      <c r="K3115" s="2">
        <v>45658</v>
      </c>
      <c r="L3115" s="1" t="str">
        <f t="shared" si="365"/>
        <v>qui</v>
      </c>
      <c r="M3115" s="1" t="str">
        <f t="shared" si="366"/>
        <v>jan</v>
      </c>
      <c r="N3115">
        <f t="shared" si="367"/>
        <v>2025</v>
      </c>
      <c r="O3115" s="2">
        <f>_xlfn.XLOOKUP(A3115,Colaboradores!$A:$A,Colaboradores!$S:$S,"",0)</f>
        <v>45856</v>
      </c>
      <c r="P3115" t="str">
        <f t="shared" si="368"/>
        <v>161745673</v>
      </c>
    </row>
    <row r="3116" spans="1:16" x14ac:dyDescent="0.3">
      <c r="A3116">
        <v>1617</v>
      </c>
      <c r="B3116">
        <v>31</v>
      </c>
      <c r="C3116" t="s">
        <v>15</v>
      </c>
      <c r="D3116" t="s">
        <v>27</v>
      </c>
      <c r="E3116" t="s">
        <v>17</v>
      </c>
      <c r="F3116" t="s">
        <v>21</v>
      </c>
      <c r="G3116" t="s">
        <v>41</v>
      </c>
      <c r="H3116" t="s">
        <v>20</v>
      </c>
      <c r="I3116" s="1">
        <v>2</v>
      </c>
      <c r="J3116" s="2">
        <v>45760</v>
      </c>
      <c r="K3116" s="2">
        <v>45748</v>
      </c>
      <c r="L3116" s="1" t="str">
        <f t="shared" si="365"/>
        <v>dom</v>
      </c>
      <c r="M3116" s="1" t="str">
        <f t="shared" si="366"/>
        <v>abr</v>
      </c>
      <c r="N3116">
        <f t="shared" si="367"/>
        <v>2025</v>
      </c>
      <c r="O3116" s="2">
        <f>_xlfn.XLOOKUP(A3116,Colaboradores!$A:$A,Colaboradores!$S:$S,"",0)</f>
        <v>45856</v>
      </c>
      <c r="P3116" t="str">
        <f t="shared" si="368"/>
        <v>161745760</v>
      </c>
    </row>
    <row r="3117" spans="1:16" x14ac:dyDescent="0.3">
      <c r="A3117">
        <v>1617</v>
      </c>
      <c r="B3117">
        <v>31</v>
      </c>
      <c r="C3117" t="s">
        <v>15</v>
      </c>
      <c r="D3117" t="s">
        <v>27</v>
      </c>
      <c r="E3117" t="s">
        <v>17</v>
      </c>
      <c r="F3117" t="s">
        <v>21</v>
      </c>
      <c r="G3117" t="s">
        <v>57</v>
      </c>
      <c r="H3117" t="s">
        <v>20</v>
      </c>
      <c r="I3117" s="1">
        <v>2</v>
      </c>
      <c r="J3117" s="2">
        <v>45771</v>
      </c>
      <c r="K3117" s="2">
        <v>45748</v>
      </c>
      <c r="L3117" s="1" t="str">
        <f t="shared" si="365"/>
        <v>qui</v>
      </c>
      <c r="M3117" s="1" t="str">
        <f t="shared" si="366"/>
        <v>abr</v>
      </c>
      <c r="N3117">
        <f t="shared" si="367"/>
        <v>2025</v>
      </c>
      <c r="O3117" s="2">
        <f>_xlfn.XLOOKUP(A3117,Colaboradores!$A:$A,Colaboradores!$S:$S,"",0)</f>
        <v>45856</v>
      </c>
      <c r="P3117" t="str">
        <f t="shared" si="368"/>
        <v>161745771</v>
      </c>
    </row>
    <row r="3118" spans="1:16" x14ac:dyDescent="0.3">
      <c r="A3118">
        <v>1617</v>
      </c>
      <c r="B3118">
        <v>31</v>
      </c>
      <c r="C3118" t="s">
        <v>15</v>
      </c>
      <c r="D3118" t="s">
        <v>27</v>
      </c>
      <c r="E3118" t="s">
        <v>17</v>
      </c>
      <c r="F3118" t="s">
        <v>21</v>
      </c>
      <c r="G3118" t="s">
        <v>41</v>
      </c>
      <c r="H3118" t="s">
        <v>20</v>
      </c>
      <c r="I3118" s="1">
        <v>2</v>
      </c>
      <c r="J3118" s="2">
        <v>45821</v>
      </c>
      <c r="K3118" s="2">
        <v>45809</v>
      </c>
      <c r="L3118" s="1" t="str">
        <f t="shared" si="365"/>
        <v>sex</v>
      </c>
      <c r="M3118" s="1" t="str">
        <f t="shared" si="366"/>
        <v>jun</v>
      </c>
      <c r="N3118">
        <f t="shared" si="367"/>
        <v>2025</v>
      </c>
      <c r="O3118" s="2">
        <f>_xlfn.XLOOKUP(A3118,Colaboradores!$A:$A,Colaboradores!$S:$S,"",0)</f>
        <v>45856</v>
      </c>
      <c r="P3118" t="str">
        <f t="shared" si="368"/>
        <v>161745821</v>
      </c>
    </row>
    <row r="3119" spans="1:16" x14ac:dyDescent="0.3">
      <c r="A3119">
        <v>1617</v>
      </c>
      <c r="B3119">
        <v>31</v>
      </c>
      <c r="C3119" t="s">
        <v>15</v>
      </c>
      <c r="D3119" t="s">
        <v>27</v>
      </c>
      <c r="E3119" t="s">
        <v>17</v>
      </c>
      <c r="F3119" t="s">
        <v>21</v>
      </c>
      <c r="G3119" t="s">
        <v>41</v>
      </c>
      <c r="H3119" t="s">
        <v>20</v>
      </c>
      <c r="I3119" s="1">
        <v>2</v>
      </c>
      <c r="J3119" s="2">
        <v>45850</v>
      </c>
      <c r="K3119" s="2">
        <v>45839</v>
      </c>
      <c r="L3119" s="1" t="str">
        <f t="shared" si="365"/>
        <v>sáb</v>
      </c>
      <c r="M3119" s="1" t="str">
        <f t="shared" si="366"/>
        <v>jul</v>
      </c>
      <c r="N3119">
        <f t="shared" si="367"/>
        <v>2025</v>
      </c>
      <c r="O3119" s="2">
        <f>_xlfn.XLOOKUP(A3119,Colaboradores!$A:$A,Colaboradores!$S:$S,"",0)</f>
        <v>45856</v>
      </c>
      <c r="P3119" t="str">
        <f t="shared" si="368"/>
        <v>161745850</v>
      </c>
    </row>
    <row r="3120" spans="1:16" x14ac:dyDescent="0.3">
      <c r="A3120">
        <v>1617</v>
      </c>
      <c r="B3120">
        <v>31</v>
      </c>
      <c r="C3120" t="s">
        <v>15</v>
      </c>
      <c r="D3120" t="s">
        <v>27</v>
      </c>
      <c r="E3120" t="s">
        <v>17</v>
      </c>
      <c r="F3120" t="s">
        <v>21</v>
      </c>
      <c r="G3120" t="s">
        <v>41</v>
      </c>
      <c r="H3120" t="s">
        <v>20</v>
      </c>
      <c r="I3120" s="1">
        <v>2</v>
      </c>
      <c r="J3120" s="2">
        <v>45851</v>
      </c>
      <c r="K3120" s="2">
        <v>45839</v>
      </c>
      <c r="L3120" s="1" t="str">
        <f t="shared" si="365"/>
        <v>dom</v>
      </c>
      <c r="M3120" s="1" t="str">
        <f t="shared" si="366"/>
        <v>jul</v>
      </c>
      <c r="N3120">
        <f t="shared" si="367"/>
        <v>2025</v>
      </c>
      <c r="O3120" s="2">
        <f>_xlfn.XLOOKUP(A3120,Colaboradores!$A:$A,Colaboradores!$S:$S,"",0)</f>
        <v>45856</v>
      </c>
      <c r="P3120" t="str">
        <f t="shared" si="368"/>
        <v>161745851</v>
      </c>
    </row>
    <row r="3121" spans="1:16" x14ac:dyDescent="0.3">
      <c r="A3121">
        <v>1618</v>
      </c>
      <c r="B3121">
        <v>45</v>
      </c>
      <c r="C3121" t="s">
        <v>26</v>
      </c>
      <c r="D3121" t="s">
        <v>29</v>
      </c>
      <c r="E3121" t="s">
        <v>17</v>
      </c>
      <c r="F3121" t="s">
        <v>18</v>
      </c>
      <c r="G3121" t="s">
        <v>41</v>
      </c>
      <c r="H3121" t="s">
        <v>25</v>
      </c>
      <c r="I3121" s="1">
        <v>2</v>
      </c>
      <c r="J3121" s="2">
        <v>45855</v>
      </c>
      <c r="K3121" s="2">
        <v>45839</v>
      </c>
      <c r="L3121" s="1" t="str">
        <f t="shared" si="365"/>
        <v>qui</v>
      </c>
      <c r="M3121" s="1" t="str">
        <f t="shared" si="366"/>
        <v>jul</v>
      </c>
      <c r="N3121">
        <f t="shared" si="367"/>
        <v>2025</v>
      </c>
      <c r="O3121" s="2"/>
      <c r="P3121" t="str">
        <f t="shared" si="368"/>
        <v>161845855</v>
      </c>
    </row>
    <row r="3122" spans="1:16" x14ac:dyDescent="0.3">
      <c r="A3122">
        <v>1618</v>
      </c>
      <c r="B3122">
        <v>45</v>
      </c>
      <c r="C3122" t="s">
        <v>26</v>
      </c>
      <c r="D3122" t="s">
        <v>29</v>
      </c>
      <c r="E3122" t="s">
        <v>17</v>
      </c>
      <c r="F3122" t="s">
        <v>18</v>
      </c>
      <c r="G3122" t="s">
        <v>41</v>
      </c>
      <c r="H3122" t="s">
        <v>25</v>
      </c>
      <c r="I3122" s="1">
        <v>2</v>
      </c>
      <c r="J3122" s="2">
        <v>45870</v>
      </c>
      <c r="K3122" s="2">
        <v>45870</v>
      </c>
      <c r="L3122" s="1" t="str">
        <f t="shared" si="365"/>
        <v>sex</v>
      </c>
      <c r="M3122" s="1" t="str">
        <f t="shared" si="366"/>
        <v>ago</v>
      </c>
      <c r="N3122">
        <f t="shared" si="367"/>
        <v>2025</v>
      </c>
      <c r="O3122" s="2"/>
      <c r="P3122" t="str">
        <f t="shared" si="368"/>
        <v>161845870</v>
      </c>
    </row>
    <row r="3123" spans="1:16" x14ac:dyDescent="0.3">
      <c r="A3123">
        <v>1618</v>
      </c>
      <c r="B3123">
        <v>45</v>
      </c>
      <c r="C3123" t="s">
        <v>26</v>
      </c>
      <c r="D3123" t="s">
        <v>29</v>
      </c>
      <c r="E3123" t="s">
        <v>17</v>
      </c>
      <c r="F3123" t="s">
        <v>18</v>
      </c>
      <c r="G3123" t="s">
        <v>41</v>
      </c>
      <c r="H3123" t="s">
        <v>25</v>
      </c>
      <c r="I3123" s="1">
        <v>2</v>
      </c>
      <c r="J3123" s="2">
        <v>45888</v>
      </c>
      <c r="K3123" s="2">
        <v>45870</v>
      </c>
      <c r="L3123" s="1" t="str">
        <f t="shared" si="365"/>
        <v>ter</v>
      </c>
      <c r="M3123" s="1" t="str">
        <f t="shared" si="366"/>
        <v>ago</v>
      </c>
      <c r="N3123">
        <f t="shared" si="367"/>
        <v>2025</v>
      </c>
      <c r="O3123" s="2"/>
      <c r="P3123" t="str">
        <f t="shared" si="368"/>
        <v>161845888</v>
      </c>
    </row>
    <row r="3124" spans="1:16" x14ac:dyDescent="0.3">
      <c r="A3124">
        <v>1618</v>
      </c>
      <c r="B3124">
        <v>45</v>
      </c>
      <c r="C3124" t="s">
        <v>26</v>
      </c>
      <c r="D3124" t="s">
        <v>29</v>
      </c>
      <c r="E3124" t="s">
        <v>17</v>
      </c>
      <c r="F3124" t="s">
        <v>18</v>
      </c>
      <c r="G3124" t="s">
        <v>41</v>
      </c>
      <c r="H3124" t="s">
        <v>25</v>
      </c>
      <c r="I3124" s="1">
        <v>2</v>
      </c>
      <c r="J3124" s="2">
        <v>45893</v>
      </c>
      <c r="K3124" s="2">
        <v>45870</v>
      </c>
      <c r="L3124" s="1" t="str">
        <f t="shared" si="365"/>
        <v>dom</v>
      </c>
      <c r="M3124" s="1" t="str">
        <f t="shared" si="366"/>
        <v>ago</v>
      </c>
      <c r="N3124">
        <f t="shared" si="367"/>
        <v>2025</v>
      </c>
      <c r="O3124" s="2"/>
      <c r="P3124" t="str">
        <f t="shared" si="368"/>
        <v>161845893</v>
      </c>
    </row>
    <row r="3125" spans="1:16" x14ac:dyDescent="0.3">
      <c r="A3125">
        <v>1618</v>
      </c>
      <c r="B3125">
        <v>45</v>
      </c>
      <c r="C3125" t="s">
        <v>26</v>
      </c>
      <c r="D3125" t="s">
        <v>29</v>
      </c>
      <c r="E3125" t="s">
        <v>17</v>
      </c>
      <c r="F3125" t="s">
        <v>18</v>
      </c>
      <c r="G3125" t="s">
        <v>41</v>
      </c>
      <c r="H3125" t="s">
        <v>25</v>
      </c>
      <c r="I3125" s="1">
        <v>2</v>
      </c>
      <c r="J3125" s="2">
        <v>45906</v>
      </c>
      <c r="K3125" s="2">
        <v>45901</v>
      </c>
      <c r="L3125" s="1" t="str">
        <f t="shared" si="365"/>
        <v>sáb</v>
      </c>
      <c r="M3125" s="1" t="str">
        <f t="shared" si="366"/>
        <v>set</v>
      </c>
      <c r="N3125">
        <f t="shared" si="367"/>
        <v>2025</v>
      </c>
      <c r="O3125" s="2"/>
      <c r="P3125" t="str">
        <f t="shared" si="368"/>
        <v>161845906</v>
      </c>
    </row>
    <row r="3126" spans="1:16" x14ac:dyDescent="0.3">
      <c r="A3126">
        <v>1619</v>
      </c>
      <c r="B3126">
        <v>30</v>
      </c>
      <c r="C3126" t="s">
        <v>26</v>
      </c>
      <c r="D3126" t="s">
        <v>16</v>
      </c>
      <c r="E3126" t="s">
        <v>17</v>
      </c>
      <c r="F3126" t="s">
        <v>23</v>
      </c>
      <c r="G3126" t="s">
        <v>41</v>
      </c>
      <c r="H3126" t="s">
        <v>20</v>
      </c>
      <c r="I3126" s="1">
        <v>2</v>
      </c>
      <c r="J3126" s="2">
        <v>45865</v>
      </c>
      <c r="K3126" s="2">
        <v>45839</v>
      </c>
      <c r="L3126" s="1" t="str">
        <f t="shared" si="365"/>
        <v>dom</v>
      </c>
      <c r="M3126" s="1" t="str">
        <f t="shared" si="366"/>
        <v>jul</v>
      </c>
      <c r="N3126">
        <f t="shared" si="367"/>
        <v>2025</v>
      </c>
      <c r="O3126" s="2">
        <f>_xlfn.XLOOKUP(A3126,Colaboradores!$A:$A,Colaboradores!$S:$S,"",0)</f>
        <v>45950</v>
      </c>
      <c r="P3126" t="str">
        <f t="shared" si="368"/>
        <v>161945865</v>
      </c>
    </row>
    <row r="3127" spans="1:16" x14ac:dyDescent="0.3">
      <c r="A3127">
        <v>1619</v>
      </c>
      <c r="B3127">
        <v>30</v>
      </c>
      <c r="C3127" t="s">
        <v>26</v>
      </c>
      <c r="D3127" t="s">
        <v>16</v>
      </c>
      <c r="E3127" t="s">
        <v>17</v>
      </c>
      <c r="F3127" t="s">
        <v>23</v>
      </c>
      <c r="G3127" t="s">
        <v>41</v>
      </c>
      <c r="H3127" t="s">
        <v>20</v>
      </c>
      <c r="I3127" s="1">
        <v>2</v>
      </c>
      <c r="J3127" s="2">
        <v>45906</v>
      </c>
      <c r="K3127" s="2">
        <v>45901</v>
      </c>
      <c r="L3127" s="1" t="str">
        <f t="shared" si="365"/>
        <v>sáb</v>
      </c>
      <c r="M3127" s="1" t="str">
        <f t="shared" si="366"/>
        <v>set</v>
      </c>
      <c r="N3127">
        <f t="shared" si="367"/>
        <v>2025</v>
      </c>
      <c r="O3127" s="2">
        <f>_xlfn.XLOOKUP(A3127,Colaboradores!$A:$A,Colaboradores!$S:$S,"",0)</f>
        <v>45950</v>
      </c>
      <c r="P3127" t="str">
        <f t="shared" si="368"/>
        <v>161945906</v>
      </c>
    </row>
    <row r="3128" spans="1:16" x14ac:dyDescent="0.3">
      <c r="A3128">
        <v>1619</v>
      </c>
      <c r="B3128">
        <v>30</v>
      </c>
      <c r="C3128" t="s">
        <v>26</v>
      </c>
      <c r="D3128" t="s">
        <v>16</v>
      </c>
      <c r="E3128" t="s">
        <v>17</v>
      </c>
      <c r="F3128" t="s">
        <v>23</v>
      </c>
      <c r="G3128" t="s">
        <v>41</v>
      </c>
      <c r="H3128" t="s">
        <v>20</v>
      </c>
      <c r="I3128" s="1">
        <v>2</v>
      </c>
      <c r="J3128" s="2">
        <v>45936</v>
      </c>
      <c r="K3128" s="2">
        <v>45931</v>
      </c>
      <c r="L3128" s="1" t="str">
        <f t="shared" si="365"/>
        <v>seg</v>
      </c>
      <c r="M3128" s="1" t="str">
        <f t="shared" si="366"/>
        <v>out</v>
      </c>
      <c r="N3128">
        <f t="shared" si="367"/>
        <v>2025</v>
      </c>
      <c r="O3128" s="2">
        <f>_xlfn.XLOOKUP(A3128,Colaboradores!$A:$A,Colaboradores!$S:$S,"",0)</f>
        <v>45950</v>
      </c>
      <c r="P3128" t="str">
        <f t="shared" si="368"/>
        <v>161945936</v>
      </c>
    </row>
    <row r="3129" spans="1:16" x14ac:dyDescent="0.3">
      <c r="A3129">
        <v>1619</v>
      </c>
      <c r="B3129">
        <v>30</v>
      </c>
      <c r="C3129" t="s">
        <v>26</v>
      </c>
      <c r="D3129" t="s">
        <v>16</v>
      </c>
      <c r="E3129" t="s">
        <v>17</v>
      </c>
      <c r="F3129" t="s">
        <v>23</v>
      </c>
      <c r="G3129" t="s">
        <v>41</v>
      </c>
      <c r="H3129" t="s">
        <v>20</v>
      </c>
      <c r="I3129" s="1">
        <v>2</v>
      </c>
      <c r="J3129" s="2">
        <v>45940</v>
      </c>
      <c r="K3129" s="2">
        <v>45931</v>
      </c>
      <c r="L3129" s="1" t="str">
        <f t="shared" ref="L3129:L3192" si="369">TEXT(J3129,"ddd")</f>
        <v>sex</v>
      </c>
      <c r="M3129" s="1" t="str">
        <f t="shared" ref="M3129:M3192" si="370">TEXT($J3129,"mmm")</f>
        <v>out</v>
      </c>
      <c r="N3129">
        <f t="shared" ref="N3129:N3192" si="371">YEAR(J3129)</f>
        <v>2025</v>
      </c>
      <c r="O3129" s="2">
        <f>_xlfn.XLOOKUP(A3129,Colaboradores!$A:$A,Colaboradores!$S:$S,"",0)</f>
        <v>45950</v>
      </c>
      <c r="P3129" t="str">
        <f t="shared" si="368"/>
        <v>161945940</v>
      </c>
    </row>
    <row r="3130" spans="1:16" x14ac:dyDescent="0.3">
      <c r="A3130">
        <v>1619</v>
      </c>
      <c r="B3130">
        <v>30</v>
      </c>
      <c r="C3130" t="s">
        <v>26</v>
      </c>
      <c r="D3130" t="s">
        <v>16</v>
      </c>
      <c r="E3130" t="s">
        <v>17</v>
      </c>
      <c r="F3130" t="s">
        <v>23</v>
      </c>
      <c r="G3130" t="s">
        <v>41</v>
      </c>
      <c r="H3130" t="s">
        <v>20</v>
      </c>
      <c r="I3130" s="1">
        <v>2</v>
      </c>
      <c r="J3130" s="2">
        <v>45944</v>
      </c>
      <c r="K3130" s="2">
        <v>45931</v>
      </c>
      <c r="L3130" s="1" t="str">
        <f t="shared" si="369"/>
        <v>ter</v>
      </c>
      <c r="M3130" s="1" t="str">
        <f t="shared" si="370"/>
        <v>out</v>
      </c>
      <c r="N3130">
        <f t="shared" si="371"/>
        <v>2025</v>
      </c>
      <c r="O3130" s="2">
        <f>_xlfn.XLOOKUP(A3130,Colaboradores!$A:$A,Colaboradores!$S:$S,"",0)</f>
        <v>45950</v>
      </c>
      <c r="P3130" t="str">
        <f t="shared" si="368"/>
        <v>161945944</v>
      </c>
    </row>
    <row r="3131" spans="1:16" x14ac:dyDescent="0.3">
      <c r="A3131">
        <v>1619</v>
      </c>
      <c r="B3131">
        <v>30</v>
      </c>
      <c r="C3131" t="s">
        <v>26</v>
      </c>
      <c r="D3131" t="s">
        <v>16</v>
      </c>
      <c r="E3131" t="s">
        <v>17</v>
      </c>
      <c r="F3131" t="s">
        <v>23</v>
      </c>
      <c r="G3131" t="s">
        <v>41</v>
      </c>
      <c r="H3131" t="s">
        <v>20</v>
      </c>
      <c r="I3131" s="1">
        <v>2</v>
      </c>
      <c r="J3131" s="2">
        <v>45946</v>
      </c>
      <c r="K3131" s="2">
        <v>45931</v>
      </c>
      <c r="L3131" s="1" t="str">
        <f t="shared" si="369"/>
        <v>qui</v>
      </c>
      <c r="M3131" s="1" t="str">
        <f t="shared" si="370"/>
        <v>out</v>
      </c>
      <c r="N3131">
        <f t="shared" si="371"/>
        <v>2025</v>
      </c>
      <c r="O3131" s="2">
        <f>_xlfn.XLOOKUP(A3131,Colaboradores!$A:$A,Colaboradores!$S:$S,"",0)</f>
        <v>45950</v>
      </c>
      <c r="P3131" t="str">
        <f t="shared" si="368"/>
        <v>161945946</v>
      </c>
    </row>
    <row r="3132" spans="1:16" x14ac:dyDescent="0.3">
      <c r="A3132">
        <v>1620</v>
      </c>
      <c r="B3132">
        <v>52</v>
      </c>
      <c r="C3132" t="s">
        <v>15</v>
      </c>
      <c r="D3132" t="s">
        <v>31</v>
      </c>
      <c r="E3132" t="s">
        <v>32</v>
      </c>
      <c r="F3132" t="s">
        <v>23</v>
      </c>
      <c r="G3132" t="s">
        <v>41</v>
      </c>
      <c r="H3132" t="s">
        <v>20</v>
      </c>
      <c r="I3132" s="1">
        <v>2</v>
      </c>
      <c r="J3132" s="2">
        <v>45810</v>
      </c>
      <c r="K3132" s="2">
        <v>45809</v>
      </c>
      <c r="L3132" s="1" t="str">
        <f t="shared" si="369"/>
        <v>seg</v>
      </c>
      <c r="M3132" s="1" t="str">
        <f t="shared" si="370"/>
        <v>jun</v>
      </c>
      <c r="N3132">
        <f t="shared" si="371"/>
        <v>2025</v>
      </c>
      <c r="O3132" s="2">
        <f>_xlfn.XLOOKUP(A3132,Colaboradores!$A:$A,Colaboradores!$S:$S,"",0)</f>
        <v>46109</v>
      </c>
      <c r="P3132" t="str">
        <f t="shared" si="368"/>
        <v>162045810</v>
      </c>
    </row>
    <row r="3133" spans="1:16" x14ac:dyDescent="0.3">
      <c r="A3133">
        <v>1620</v>
      </c>
      <c r="B3133">
        <v>52</v>
      </c>
      <c r="C3133" t="s">
        <v>15</v>
      </c>
      <c r="D3133" t="s">
        <v>31</v>
      </c>
      <c r="E3133" t="s">
        <v>32</v>
      </c>
      <c r="F3133" t="s">
        <v>23</v>
      </c>
      <c r="G3133" t="s">
        <v>41</v>
      </c>
      <c r="H3133" t="s">
        <v>20</v>
      </c>
      <c r="I3133" s="1">
        <v>2</v>
      </c>
      <c r="J3133" s="2">
        <v>45819</v>
      </c>
      <c r="K3133" s="2">
        <v>45809</v>
      </c>
      <c r="L3133" s="1" t="str">
        <f t="shared" si="369"/>
        <v>qua</v>
      </c>
      <c r="M3133" s="1" t="str">
        <f t="shared" si="370"/>
        <v>jun</v>
      </c>
      <c r="N3133">
        <f t="shared" si="371"/>
        <v>2025</v>
      </c>
      <c r="O3133" s="2">
        <f>_xlfn.XLOOKUP(A3133,Colaboradores!$A:$A,Colaboradores!$S:$S,"",0)</f>
        <v>46109</v>
      </c>
      <c r="P3133" t="str">
        <f t="shared" si="368"/>
        <v>162045819</v>
      </c>
    </row>
    <row r="3134" spans="1:16" x14ac:dyDescent="0.3">
      <c r="A3134">
        <v>1620</v>
      </c>
      <c r="B3134">
        <v>52</v>
      </c>
      <c r="C3134" t="s">
        <v>15</v>
      </c>
      <c r="D3134" t="s">
        <v>31</v>
      </c>
      <c r="E3134" t="s">
        <v>32</v>
      </c>
      <c r="F3134" t="s">
        <v>23</v>
      </c>
      <c r="G3134" t="s">
        <v>41</v>
      </c>
      <c r="H3134" t="s">
        <v>20</v>
      </c>
      <c r="I3134" s="1">
        <v>2</v>
      </c>
      <c r="J3134" s="2">
        <v>45998</v>
      </c>
      <c r="K3134" s="2">
        <v>45992</v>
      </c>
      <c r="L3134" s="1" t="str">
        <f t="shared" si="369"/>
        <v>dom</v>
      </c>
      <c r="M3134" s="1" t="str">
        <f t="shared" si="370"/>
        <v>dez</v>
      </c>
      <c r="N3134">
        <f t="shared" si="371"/>
        <v>2025</v>
      </c>
      <c r="O3134" s="2">
        <f>_xlfn.XLOOKUP(A3134,Colaboradores!$A:$A,Colaboradores!$S:$S,"",0)</f>
        <v>46109</v>
      </c>
      <c r="P3134" t="str">
        <f t="shared" ref="P3134:P3197" si="372">CONCATENATE(A3134,J3134)</f>
        <v>162045998</v>
      </c>
    </row>
    <row r="3135" spans="1:16" x14ac:dyDescent="0.3">
      <c r="A3135">
        <v>1620</v>
      </c>
      <c r="B3135">
        <v>52</v>
      </c>
      <c r="C3135" t="s">
        <v>15</v>
      </c>
      <c r="D3135" t="s">
        <v>31</v>
      </c>
      <c r="E3135" t="s">
        <v>32</v>
      </c>
      <c r="F3135" t="s">
        <v>23</v>
      </c>
      <c r="G3135" t="s">
        <v>41</v>
      </c>
      <c r="H3135" t="s">
        <v>20</v>
      </c>
      <c r="I3135" s="1">
        <v>2</v>
      </c>
      <c r="J3135" s="2">
        <v>46022</v>
      </c>
      <c r="K3135" s="2">
        <v>45992</v>
      </c>
      <c r="L3135" s="1" t="str">
        <f t="shared" si="369"/>
        <v>qua</v>
      </c>
      <c r="M3135" s="1" t="str">
        <f t="shared" si="370"/>
        <v>dez</v>
      </c>
      <c r="N3135">
        <f t="shared" si="371"/>
        <v>2025</v>
      </c>
      <c r="O3135" s="2">
        <f>_xlfn.XLOOKUP(A3135,Colaboradores!$A:$A,Colaboradores!$S:$S,"",0)</f>
        <v>46109</v>
      </c>
      <c r="P3135" t="str">
        <f t="shared" si="372"/>
        <v>162046022</v>
      </c>
    </row>
    <row r="3136" spans="1:16" x14ac:dyDescent="0.3">
      <c r="A3136">
        <v>1620</v>
      </c>
      <c r="B3136">
        <v>52</v>
      </c>
      <c r="C3136" t="s">
        <v>15</v>
      </c>
      <c r="D3136" t="s">
        <v>31</v>
      </c>
      <c r="E3136" t="s">
        <v>32</v>
      </c>
      <c r="F3136" t="s">
        <v>23</v>
      </c>
      <c r="G3136" t="s">
        <v>41</v>
      </c>
      <c r="H3136" t="s">
        <v>20</v>
      </c>
      <c r="I3136" s="1">
        <v>2</v>
      </c>
      <c r="J3136" s="2">
        <v>46100</v>
      </c>
      <c r="K3136" s="2">
        <v>46082</v>
      </c>
      <c r="L3136" s="1" t="str">
        <f t="shared" si="369"/>
        <v>qui</v>
      </c>
      <c r="M3136" s="1" t="str">
        <f t="shared" si="370"/>
        <v>mar</v>
      </c>
      <c r="N3136">
        <f t="shared" si="371"/>
        <v>2026</v>
      </c>
      <c r="O3136" s="2">
        <f>_xlfn.XLOOKUP(A3136,Colaboradores!$A:$A,Colaboradores!$S:$S,"",0)</f>
        <v>46109</v>
      </c>
      <c r="P3136" t="str">
        <f t="shared" si="372"/>
        <v>162046100</v>
      </c>
    </row>
    <row r="3137" spans="1:16" x14ac:dyDescent="0.3">
      <c r="A3137">
        <v>1621</v>
      </c>
      <c r="B3137">
        <v>42</v>
      </c>
      <c r="C3137" t="s">
        <v>26</v>
      </c>
      <c r="D3137" t="s">
        <v>31</v>
      </c>
      <c r="E3137" t="s">
        <v>34</v>
      </c>
      <c r="F3137" t="s">
        <v>18</v>
      </c>
      <c r="G3137" t="s">
        <v>41</v>
      </c>
      <c r="H3137" t="s">
        <v>25</v>
      </c>
      <c r="I3137" s="1">
        <v>3</v>
      </c>
      <c r="J3137" s="2">
        <v>45820</v>
      </c>
      <c r="K3137" s="2">
        <v>45809</v>
      </c>
      <c r="L3137" s="1" t="str">
        <f t="shared" si="369"/>
        <v>qui</v>
      </c>
      <c r="M3137" s="1" t="str">
        <f t="shared" si="370"/>
        <v>jun</v>
      </c>
      <c r="N3137">
        <f t="shared" si="371"/>
        <v>2025</v>
      </c>
      <c r="O3137" s="2"/>
      <c r="P3137" t="str">
        <f t="shared" si="372"/>
        <v>162145820</v>
      </c>
    </row>
    <row r="3138" spans="1:16" x14ac:dyDescent="0.3">
      <c r="A3138">
        <v>1621</v>
      </c>
      <c r="B3138">
        <v>42</v>
      </c>
      <c r="C3138" t="s">
        <v>26</v>
      </c>
      <c r="D3138" t="s">
        <v>31</v>
      </c>
      <c r="E3138" t="s">
        <v>34</v>
      </c>
      <c r="F3138" t="s">
        <v>18</v>
      </c>
      <c r="G3138" t="s">
        <v>41</v>
      </c>
      <c r="H3138" t="s">
        <v>25</v>
      </c>
      <c r="I3138" s="1">
        <v>3</v>
      </c>
      <c r="J3138" s="2">
        <v>45823</v>
      </c>
      <c r="K3138" s="2">
        <v>45809</v>
      </c>
      <c r="L3138" s="1" t="str">
        <f t="shared" si="369"/>
        <v>dom</v>
      </c>
      <c r="M3138" s="1" t="str">
        <f t="shared" si="370"/>
        <v>jun</v>
      </c>
      <c r="N3138">
        <f t="shared" si="371"/>
        <v>2025</v>
      </c>
      <c r="O3138" s="2"/>
      <c r="P3138" t="str">
        <f t="shared" si="372"/>
        <v>162145823</v>
      </c>
    </row>
    <row r="3139" spans="1:16" x14ac:dyDescent="0.3">
      <c r="A3139">
        <v>1621</v>
      </c>
      <c r="B3139">
        <v>42</v>
      </c>
      <c r="C3139" t="s">
        <v>26</v>
      </c>
      <c r="D3139" t="s">
        <v>31</v>
      </c>
      <c r="E3139" t="s">
        <v>34</v>
      </c>
      <c r="F3139" t="s">
        <v>18</v>
      </c>
      <c r="G3139" t="s">
        <v>41</v>
      </c>
      <c r="H3139" t="s">
        <v>25</v>
      </c>
      <c r="I3139" s="1">
        <v>3</v>
      </c>
      <c r="J3139" s="2">
        <v>45872</v>
      </c>
      <c r="K3139" s="2">
        <v>45870</v>
      </c>
      <c r="L3139" s="1" t="str">
        <f t="shared" si="369"/>
        <v>dom</v>
      </c>
      <c r="M3139" s="1" t="str">
        <f t="shared" si="370"/>
        <v>ago</v>
      </c>
      <c r="N3139">
        <f t="shared" si="371"/>
        <v>2025</v>
      </c>
      <c r="O3139" s="2"/>
      <c r="P3139" t="str">
        <f t="shared" si="372"/>
        <v>162145872</v>
      </c>
    </row>
    <row r="3140" spans="1:16" x14ac:dyDescent="0.3">
      <c r="A3140">
        <v>1621</v>
      </c>
      <c r="B3140">
        <v>42</v>
      </c>
      <c r="C3140" t="s">
        <v>26</v>
      </c>
      <c r="D3140" t="s">
        <v>31</v>
      </c>
      <c r="E3140" t="s">
        <v>34</v>
      </c>
      <c r="F3140" t="s">
        <v>18</v>
      </c>
      <c r="G3140" t="s">
        <v>41</v>
      </c>
      <c r="H3140" t="s">
        <v>25</v>
      </c>
      <c r="I3140" s="1">
        <v>3</v>
      </c>
      <c r="J3140" s="2">
        <v>45955</v>
      </c>
      <c r="K3140" s="2">
        <v>45931</v>
      </c>
      <c r="L3140" s="1" t="str">
        <f t="shared" si="369"/>
        <v>sáb</v>
      </c>
      <c r="M3140" s="1" t="str">
        <f t="shared" si="370"/>
        <v>out</v>
      </c>
      <c r="N3140">
        <f t="shared" si="371"/>
        <v>2025</v>
      </c>
      <c r="O3140" s="2"/>
      <c r="P3140" t="str">
        <f t="shared" si="372"/>
        <v>162145955</v>
      </c>
    </row>
    <row r="3141" spans="1:16" x14ac:dyDescent="0.3">
      <c r="A3141">
        <v>1621</v>
      </c>
      <c r="B3141">
        <v>42</v>
      </c>
      <c r="C3141" t="s">
        <v>26</v>
      </c>
      <c r="D3141" t="s">
        <v>31</v>
      </c>
      <c r="E3141" t="s">
        <v>34</v>
      </c>
      <c r="F3141" t="s">
        <v>18</v>
      </c>
      <c r="G3141" t="s">
        <v>41</v>
      </c>
      <c r="H3141" t="s">
        <v>25</v>
      </c>
      <c r="I3141" s="1">
        <v>3</v>
      </c>
      <c r="J3141" s="2">
        <v>46202</v>
      </c>
      <c r="K3141" s="2">
        <v>46023</v>
      </c>
      <c r="L3141" s="1" t="str">
        <f t="shared" si="369"/>
        <v>seg</v>
      </c>
      <c r="M3141" s="1" t="str">
        <f t="shared" si="370"/>
        <v>jun</v>
      </c>
      <c r="N3141">
        <f t="shared" si="371"/>
        <v>2026</v>
      </c>
      <c r="O3141" s="2"/>
      <c r="P3141" t="str">
        <f t="shared" si="372"/>
        <v>162146202</v>
      </c>
    </row>
    <row r="3142" spans="1:16" x14ac:dyDescent="0.3">
      <c r="A3142">
        <v>1622</v>
      </c>
      <c r="B3142">
        <v>21</v>
      </c>
      <c r="C3142" t="s">
        <v>15</v>
      </c>
      <c r="D3142" t="s">
        <v>29</v>
      </c>
      <c r="E3142" t="s">
        <v>17</v>
      </c>
      <c r="F3142" t="s">
        <v>21</v>
      </c>
      <c r="G3142" t="s">
        <v>41</v>
      </c>
      <c r="H3142" t="s">
        <v>25</v>
      </c>
      <c r="I3142" s="1">
        <v>3</v>
      </c>
      <c r="J3142" s="2">
        <v>45813</v>
      </c>
      <c r="K3142" s="2">
        <v>45809</v>
      </c>
      <c r="L3142" s="1" t="str">
        <f t="shared" si="369"/>
        <v>qui</v>
      </c>
      <c r="M3142" s="1" t="str">
        <f t="shared" si="370"/>
        <v>jun</v>
      </c>
      <c r="N3142">
        <f t="shared" si="371"/>
        <v>2025</v>
      </c>
      <c r="O3142" s="2"/>
      <c r="P3142" t="str">
        <f t="shared" si="372"/>
        <v>162245813</v>
      </c>
    </row>
    <row r="3143" spans="1:16" x14ac:dyDescent="0.3">
      <c r="A3143">
        <v>1622</v>
      </c>
      <c r="B3143">
        <v>21</v>
      </c>
      <c r="C3143" t="s">
        <v>15</v>
      </c>
      <c r="D3143" t="s">
        <v>29</v>
      </c>
      <c r="E3143" t="s">
        <v>17</v>
      </c>
      <c r="F3143" t="s">
        <v>21</v>
      </c>
      <c r="G3143" t="s">
        <v>41</v>
      </c>
      <c r="H3143" t="s">
        <v>25</v>
      </c>
      <c r="I3143" s="1">
        <v>3</v>
      </c>
      <c r="J3143" s="2">
        <v>45840</v>
      </c>
      <c r="K3143" s="2">
        <v>45839</v>
      </c>
      <c r="L3143" s="1" t="str">
        <f t="shared" si="369"/>
        <v>qua</v>
      </c>
      <c r="M3143" s="1" t="str">
        <f t="shared" si="370"/>
        <v>jul</v>
      </c>
      <c r="N3143">
        <f t="shared" si="371"/>
        <v>2025</v>
      </c>
      <c r="O3143" s="2"/>
      <c r="P3143" t="str">
        <f t="shared" si="372"/>
        <v>162245840</v>
      </c>
    </row>
    <row r="3144" spans="1:16" x14ac:dyDescent="0.3">
      <c r="A3144">
        <v>1622</v>
      </c>
      <c r="B3144">
        <v>21</v>
      </c>
      <c r="C3144" t="s">
        <v>15</v>
      </c>
      <c r="D3144" t="s">
        <v>29</v>
      </c>
      <c r="E3144" t="s">
        <v>17</v>
      </c>
      <c r="F3144" t="s">
        <v>21</v>
      </c>
      <c r="G3144" t="s">
        <v>41</v>
      </c>
      <c r="H3144" t="s">
        <v>25</v>
      </c>
      <c r="I3144" s="1">
        <v>3</v>
      </c>
      <c r="J3144" s="2">
        <v>45844</v>
      </c>
      <c r="K3144" s="2">
        <v>45839</v>
      </c>
      <c r="L3144" s="1" t="str">
        <f t="shared" si="369"/>
        <v>dom</v>
      </c>
      <c r="M3144" s="1" t="str">
        <f t="shared" si="370"/>
        <v>jul</v>
      </c>
      <c r="N3144">
        <f t="shared" si="371"/>
        <v>2025</v>
      </c>
      <c r="O3144" s="2"/>
      <c r="P3144" t="str">
        <f t="shared" si="372"/>
        <v>162245844</v>
      </c>
    </row>
    <row r="3145" spans="1:16" x14ac:dyDescent="0.3">
      <c r="A3145">
        <v>1622</v>
      </c>
      <c r="B3145">
        <v>21</v>
      </c>
      <c r="C3145" t="s">
        <v>15</v>
      </c>
      <c r="D3145" t="s">
        <v>29</v>
      </c>
      <c r="E3145" t="s">
        <v>17</v>
      </c>
      <c r="F3145" t="s">
        <v>21</v>
      </c>
      <c r="G3145" t="s">
        <v>41</v>
      </c>
      <c r="H3145" t="s">
        <v>25</v>
      </c>
      <c r="I3145" s="1">
        <v>3</v>
      </c>
      <c r="J3145" s="2">
        <v>45963</v>
      </c>
      <c r="K3145" s="2">
        <v>45962</v>
      </c>
      <c r="L3145" s="1" t="str">
        <f t="shared" si="369"/>
        <v>dom</v>
      </c>
      <c r="M3145" s="1" t="str">
        <f t="shared" si="370"/>
        <v>nov</v>
      </c>
      <c r="N3145">
        <f t="shared" si="371"/>
        <v>2025</v>
      </c>
      <c r="O3145" s="2"/>
      <c r="P3145" t="str">
        <f t="shared" si="372"/>
        <v>162245963</v>
      </c>
    </row>
    <row r="3146" spans="1:16" x14ac:dyDescent="0.3">
      <c r="A3146">
        <v>1622</v>
      </c>
      <c r="B3146">
        <v>21</v>
      </c>
      <c r="C3146" t="s">
        <v>15</v>
      </c>
      <c r="D3146" t="s">
        <v>29</v>
      </c>
      <c r="E3146" t="s">
        <v>17</v>
      </c>
      <c r="F3146" t="s">
        <v>21</v>
      </c>
      <c r="G3146" t="s">
        <v>41</v>
      </c>
      <c r="H3146" t="s">
        <v>25</v>
      </c>
      <c r="I3146" s="1">
        <v>3</v>
      </c>
      <c r="J3146" s="2">
        <v>46003</v>
      </c>
      <c r="K3146" s="2">
        <v>45992</v>
      </c>
      <c r="L3146" s="1" t="str">
        <f t="shared" si="369"/>
        <v>sex</v>
      </c>
      <c r="M3146" s="1" t="str">
        <f t="shared" si="370"/>
        <v>dez</v>
      </c>
      <c r="N3146">
        <f t="shared" si="371"/>
        <v>2025</v>
      </c>
      <c r="O3146" s="2"/>
      <c r="P3146" t="str">
        <f t="shared" si="372"/>
        <v>162246003</v>
      </c>
    </row>
    <row r="3147" spans="1:16" x14ac:dyDescent="0.3">
      <c r="A3147">
        <v>1623</v>
      </c>
      <c r="B3147">
        <v>33</v>
      </c>
      <c r="C3147" t="s">
        <v>26</v>
      </c>
      <c r="D3147" t="s">
        <v>16</v>
      </c>
      <c r="E3147" t="s">
        <v>17</v>
      </c>
      <c r="F3147" t="s">
        <v>21</v>
      </c>
      <c r="G3147" t="s">
        <v>41</v>
      </c>
      <c r="H3147" t="s">
        <v>20</v>
      </c>
      <c r="I3147" s="1">
        <v>3</v>
      </c>
      <c r="J3147" s="2">
        <v>45819</v>
      </c>
      <c r="K3147" s="2">
        <v>45809</v>
      </c>
      <c r="L3147" s="1" t="str">
        <f t="shared" si="369"/>
        <v>qua</v>
      </c>
      <c r="M3147" s="1" t="str">
        <f t="shared" si="370"/>
        <v>jun</v>
      </c>
      <c r="N3147">
        <f t="shared" si="371"/>
        <v>2025</v>
      </c>
      <c r="O3147" s="2">
        <f>_xlfn.XLOOKUP(A3147,Colaboradores!$A:$A,Colaboradores!$S:$S,"",0)</f>
        <v>46130</v>
      </c>
      <c r="P3147" t="str">
        <f t="shared" si="372"/>
        <v>162345819</v>
      </c>
    </row>
    <row r="3148" spans="1:16" x14ac:dyDescent="0.3">
      <c r="A3148">
        <v>1623</v>
      </c>
      <c r="B3148">
        <v>33</v>
      </c>
      <c r="C3148" t="s">
        <v>26</v>
      </c>
      <c r="D3148" t="s">
        <v>16</v>
      </c>
      <c r="E3148" t="s">
        <v>17</v>
      </c>
      <c r="F3148" t="s">
        <v>21</v>
      </c>
      <c r="G3148" t="s">
        <v>41</v>
      </c>
      <c r="H3148" t="s">
        <v>20</v>
      </c>
      <c r="I3148" s="1">
        <v>3</v>
      </c>
      <c r="J3148" s="2">
        <v>45848</v>
      </c>
      <c r="K3148" s="2">
        <v>45839</v>
      </c>
      <c r="L3148" s="1" t="str">
        <f t="shared" si="369"/>
        <v>qui</v>
      </c>
      <c r="M3148" s="1" t="str">
        <f t="shared" si="370"/>
        <v>jul</v>
      </c>
      <c r="N3148">
        <f t="shared" si="371"/>
        <v>2025</v>
      </c>
      <c r="O3148" s="2">
        <f>_xlfn.XLOOKUP(A3148,Colaboradores!$A:$A,Colaboradores!$S:$S,"",0)</f>
        <v>46130</v>
      </c>
      <c r="P3148" t="str">
        <f t="shared" si="372"/>
        <v>162345848</v>
      </c>
    </row>
    <row r="3149" spans="1:16" x14ac:dyDescent="0.3">
      <c r="A3149">
        <v>1623</v>
      </c>
      <c r="B3149">
        <v>33</v>
      </c>
      <c r="C3149" t="s">
        <v>26</v>
      </c>
      <c r="D3149" t="s">
        <v>16</v>
      </c>
      <c r="E3149" t="s">
        <v>17</v>
      </c>
      <c r="F3149" t="s">
        <v>21</v>
      </c>
      <c r="G3149" t="s">
        <v>41</v>
      </c>
      <c r="H3149" t="s">
        <v>20</v>
      </c>
      <c r="I3149" s="1">
        <v>3</v>
      </c>
      <c r="J3149" s="2">
        <v>45884</v>
      </c>
      <c r="K3149" s="2">
        <v>45870</v>
      </c>
      <c r="L3149" s="1" t="str">
        <f t="shared" si="369"/>
        <v>sex</v>
      </c>
      <c r="M3149" s="1" t="str">
        <f t="shared" si="370"/>
        <v>ago</v>
      </c>
      <c r="N3149">
        <f t="shared" si="371"/>
        <v>2025</v>
      </c>
      <c r="O3149" s="2">
        <f>_xlfn.XLOOKUP(A3149,Colaboradores!$A:$A,Colaboradores!$S:$S,"",0)</f>
        <v>46130</v>
      </c>
      <c r="P3149" t="str">
        <f t="shared" si="372"/>
        <v>162345884</v>
      </c>
    </row>
    <row r="3150" spans="1:16" x14ac:dyDescent="0.3">
      <c r="A3150">
        <v>1623</v>
      </c>
      <c r="B3150">
        <v>33</v>
      </c>
      <c r="C3150" t="s">
        <v>26</v>
      </c>
      <c r="D3150" t="s">
        <v>16</v>
      </c>
      <c r="E3150" t="s">
        <v>17</v>
      </c>
      <c r="F3150" t="s">
        <v>21</v>
      </c>
      <c r="G3150" t="s">
        <v>41</v>
      </c>
      <c r="H3150" t="s">
        <v>20</v>
      </c>
      <c r="I3150" s="1">
        <v>3</v>
      </c>
      <c r="J3150" s="2">
        <v>45892</v>
      </c>
      <c r="K3150" s="2">
        <v>45870</v>
      </c>
      <c r="L3150" s="1" t="str">
        <f t="shared" si="369"/>
        <v>sáb</v>
      </c>
      <c r="M3150" s="1" t="str">
        <f t="shared" si="370"/>
        <v>ago</v>
      </c>
      <c r="N3150">
        <f t="shared" si="371"/>
        <v>2025</v>
      </c>
      <c r="O3150" s="2">
        <f>_xlfn.XLOOKUP(A3150,Colaboradores!$A:$A,Colaboradores!$S:$S,"",0)</f>
        <v>46130</v>
      </c>
      <c r="P3150" t="str">
        <f t="shared" si="372"/>
        <v>162345892</v>
      </c>
    </row>
    <row r="3151" spans="1:16" x14ac:dyDescent="0.3">
      <c r="A3151">
        <v>1623</v>
      </c>
      <c r="B3151">
        <v>33</v>
      </c>
      <c r="C3151" t="s">
        <v>26</v>
      </c>
      <c r="D3151" t="s">
        <v>16</v>
      </c>
      <c r="E3151" t="s">
        <v>17</v>
      </c>
      <c r="F3151" t="s">
        <v>21</v>
      </c>
      <c r="G3151" t="s">
        <v>41</v>
      </c>
      <c r="H3151" t="s">
        <v>20</v>
      </c>
      <c r="I3151" s="1">
        <v>3</v>
      </c>
      <c r="J3151" s="2">
        <v>46013</v>
      </c>
      <c r="K3151" s="2">
        <v>45992</v>
      </c>
      <c r="L3151" s="1" t="str">
        <f t="shared" si="369"/>
        <v>seg</v>
      </c>
      <c r="M3151" s="1" t="str">
        <f t="shared" si="370"/>
        <v>dez</v>
      </c>
      <c r="N3151">
        <f t="shared" si="371"/>
        <v>2025</v>
      </c>
      <c r="O3151" s="2">
        <f>_xlfn.XLOOKUP(A3151,Colaboradores!$A:$A,Colaboradores!$S:$S,"",0)</f>
        <v>46130</v>
      </c>
      <c r="P3151" t="str">
        <f t="shared" si="372"/>
        <v>162346013</v>
      </c>
    </row>
    <row r="3152" spans="1:16" x14ac:dyDescent="0.3">
      <c r="A3152">
        <v>1624</v>
      </c>
      <c r="B3152">
        <v>38</v>
      </c>
      <c r="C3152" t="s">
        <v>15</v>
      </c>
      <c r="D3152" t="s">
        <v>16</v>
      </c>
      <c r="E3152" t="s">
        <v>17</v>
      </c>
      <c r="F3152" t="s">
        <v>23</v>
      </c>
      <c r="G3152" t="s">
        <v>41</v>
      </c>
      <c r="H3152" t="s">
        <v>25</v>
      </c>
      <c r="I3152" s="1">
        <v>2</v>
      </c>
      <c r="J3152" s="2">
        <v>45843</v>
      </c>
      <c r="K3152" s="2">
        <v>45839</v>
      </c>
      <c r="L3152" s="1" t="str">
        <f t="shared" si="369"/>
        <v>sáb</v>
      </c>
      <c r="M3152" s="1" t="str">
        <f t="shared" si="370"/>
        <v>jul</v>
      </c>
      <c r="N3152">
        <f t="shared" si="371"/>
        <v>2025</v>
      </c>
      <c r="O3152" s="2"/>
      <c r="P3152" t="str">
        <f t="shared" si="372"/>
        <v>162445843</v>
      </c>
    </row>
    <row r="3153" spans="1:16" x14ac:dyDescent="0.3">
      <c r="A3153">
        <v>1624</v>
      </c>
      <c r="B3153">
        <v>38</v>
      </c>
      <c r="C3153" t="s">
        <v>15</v>
      </c>
      <c r="D3153" t="s">
        <v>16</v>
      </c>
      <c r="E3153" t="s">
        <v>17</v>
      </c>
      <c r="F3153" t="s">
        <v>23</v>
      </c>
      <c r="G3153" t="s">
        <v>41</v>
      </c>
      <c r="H3153" t="s">
        <v>25</v>
      </c>
      <c r="I3153" s="1">
        <v>2</v>
      </c>
      <c r="J3153" s="2">
        <v>45857</v>
      </c>
      <c r="K3153" s="2">
        <v>45839</v>
      </c>
      <c r="L3153" s="1" t="str">
        <f t="shared" si="369"/>
        <v>sáb</v>
      </c>
      <c r="M3153" s="1" t="str">
        <f t="shared" si="370"/>
        <v>jul</v>
      </c>
      <c r="N3153">
        <f t="shared" si="371"/>
        <v>2025</v>
      </c>
      <c r="O3153" s="2"/>
      <c r="P3153" t="str">
        <f t="shared" si="372"/>
        <v>162445857</v>
      </c>
    </row>
    <row r="3154" spans="1:16" x14ac:dyDescent="0.3">
      <c r="A3154">
        <v>1624</v>
      </c>
      <c r="B3154">
        <v>38</v>
      </c>
      <c r="C3154" t="s">
        <v>15</v>
      </c>
      <c r="D3154" t="s">
        <v>16</v>
      </c>
      <c r="E3154" t="s">
        <v>17</v>
      </c>
      <c r="F3154" t="s">
        <v>23</v>
      </c>
      <c r="G3154" t="s">
        <v>41</v>
      </c>
      <c r="H3154" t="s">
        <v>25</v>
      </c>
      <c r="I3154" s="1">
        <v>2</v>
      </c>
      <c r="J3154" s="2">
        <v>45858</v>
      </c>
      <c r="K3154" s="2">
        <v>45839</v>
      </c>
      <c r="L3154" s="1" t="str">
        <f t="shared" si="369"/>
        <v>dom</v>
      </c>
      <c r="M3154" s="1" t="str">
        <f t="shared" si="370"/>
        <v>jul</v>
      </c>
      <c r="N3154">
        <f t="shared" si="371"/>
        <v>2025</v>
      </c>
      <c r="O3154" s="2"/>
      <c r="P3154" t="str">
        <f t="shared" si="372"/>
        <v>162445858</v>
      </c>
    </row>
    <row r="3155" spans="1:16" x14ac:dyDescent="0.3">
      <c r="A3155">
        <v>1624</v>
      </c>
      <c r="B3155">
        <v>38</v>
      </c>
      <c r="C3155" t="s">
        <v>15</v>
      </c>
      <c r="D3155" t="s">
        <v>16</v>
      </c>
      <c r="E3155" t="s">
        <v>17</v>
      </c>
      <c r="F3155" t="s">
        <v>23</v>
      </c>
      <c r="G3155" t="s">
        <v>41</v>
      </c>
      <c r="H3155" t="s">
        <v>25</v>
      </c>
      <c r="I3155" s="1">
        <v>2</v>
      </c>
      <c r="J3155" s="2">
        <v>45903</v>
      </c>
      <c r="K3155" s="2">
        <v>45901</v>
      </c>
      <c r="L3155" s="1" t="str">
        <f t="shared" si="369"/>
        <v>qua</v>
      </c>
      <c r="M3155" s="1" t="str">
        <f t="shared" si="370"/>
        <v>set</v>
      </c>
      <c r="N3155">
        <f t="shared" si="371"/>
        <v>2025</v>
      </c>
      <c r="O3155" s="2"/>
      <c r="P3155" t="str">
        <f t="shared" si="372"/>
        <v>162445903</v>
      </c>
    </row>
    <row r="3156" spans="1:16" x14ac:dyDescent="0.3">
      <c r="A3156">
        <v>1624</v>
      </c>
      <c r="B3156">
        <v>38</v>
      </c>
      <c r="C3156" t="s">
        <v>15</v>
      </c>
      <c r="D3156" t="s">
        <v>16</v>
      </c>
      <c r="E3156" t="s">
        <v>17</v>
      </c>
      <c r="F3156" t="s">
        <v>23</v>
      </c>
      <c r="G3156" t="s">
        <v>41</v>
      </c>
      <c r="H3156" t="s">
        <v>25</v>
      </c>
      <c r="I3156" s="1">
        <v>2</v>
      </c>
      <c r="J3156" s="2">
        <v>45979</v>
      </c>
      <c r="K3156" s="2">
        <v>45962</v>
      </c>
      <c r="L3156" s="1" t="str">
        <f t="shared" si="369"/>
        <v>ter</v>
      </c>
      <c r="M3156" s="1" t="str">
        <f t="shared" si="370"/>
        <v>nov</v>
      </c>
      <c r="N3156">
        <f t="shared" si="371"/>
        <v>2025</v>
      </c>
      <c r="O3156" s="2"/>
      <c r="P3156" t="str">
        <f t="shared" si="372"/>
        <v>162445979</v>
      </c>
    </row>
    <row r="3157" spans="1:16" x14ac:dyDescent="0.3">
      <c r="A3157">
        <v>1624</v>
      </c>
      <c r="B3157">
        <v>38</v>
      </c>
      <c r="C3157" t="s">
        <v>15</v>
      </c>
      <c r="D3157" t="s">
        <v>16</v>
      </c>
      <c r="E3157" t="s">
        <v>17</v>
      </c>
      <c r="F3157" t="s">
        <v>23</v>
      </c>
      <c r="G3157" t="s">
        <v>41</v>
      </c>
      <c r="H3157" t="s">
        <v>25</v>
      </c>
      <c r="I3157" s="1">
        <v>2</v>
      </c>
      <c r="J3157" s="2">
        <v>46000</v>
      </c>
      <c r="K3157" s="2">
        <v>45992</v>
      </c>
      <c r="L3157" s="1" t="str">
        <f t="shared" si="369"/>
        <v>ter</v>
      </c>
      <c r="M3157" s="1" t="str">
        <f t="shared" si="370"/>
        <v>dez</v>
      </c>
      <c r="N3157">
        <f t="shared" si="371"/>
        <v>2025</v>
      </c>
      <c r="O3157" s="2"/>
      <c r="P3157" t="str">
        <f t="shared" si="372"/>
        <v>162446000</v>
      </c>
    </row>
    <row r="3158" spans="1:16" x14ac:dyDescent="0.3">
      <c r="A3158">
        <v>1625</v>
      </c>
      <c r="B3158">
        <v>54</v>
      </c>
      <c r="C3158" t="s">
        <v>15</v>
      </c>
      <c r="D3158" t="s">
        <v>16</v>
      </c>
      <c r="E3158" t="s">
        <v>17</v>
      </c>
      <c r="F3158" t="s">
        <v>23</v>
      </c>
      <c r="G3158" t="s">
        <v>41</v>
      </c>
      <c r="H3158" t="s">
        <v>25</v>
      </c>
      <c r="I3158" s="1">
        <v>3</v>
      </c>
      <c r="J3158" s="2">
        <v>45958</v>
      </c>
      <c r="K3158" s="2">
        <v>45931</v>
      </c>
      <c r="L3158" s="1" t="str">
        <f t="shared" si="369"/>
        <v>ter</v>
      </c>
      <c r="M3158" s="1" t="str">
        <f t="shared" si="370"/>
        <v>out</v>
      </c>
      <c r="N3158">
        <f t="shared" si="371"/>
        <v>2025</v>
      </c>
      <c r="O3158" s="2"/>
      <c r="P3158" t="str">
        <f t="shared" si="372"/>
        <v>162545958</v>
      </c>
    </row>
    <row r="3159" spans="1:16" x14ac:dyDescent="0.3">
      <c r="A3159">
        <v>1625</v>
      </c>
      <c r="B3159">
        <v>54</v>
      </c>
      <c r="C3159" t="s">
        <v>15</v>
      </c>
      <c r="D3159" t="s">
        <v>16</v>
      </c>
      <c r="E3159" t="s">
        <v>17</v>
      </c>
      <c r="F3159" t="s">
        <v>23</v>
      </c>
      <c r="G3159" t="s">
        <v>41</v>
      </c>
      <c r="H3159" t="s">
        <v>25</v>
      </c>
      <c r="I3159" s="1">
        <v>3</v>
      </c>
      <c r="J3159" s="2">
        <v>45974</v>
      </c>
      <c r="K3159" s="2">
        <v>45962</v>
      </c>
      <c r="L3159" s="1" t="str">
        <f t="shared" si="369"/>
        <v>qui</v>
      </c>
      <c r="M3159" s="1" t="str">
        <f t="shared" si="370"/>
        <v>nov</v>
      </c>
      <c r="N3159">
        <f t="shared" si="371"/>
        <v>2025</v>
      </c>
      <c r="O3159" s="2"/>
      <c r="P3159" t="str">
        <f t="shared" si="372"/>
        <v>162545974</v>
      </c>
    </row>
    <row r="3160" spans="1:16" x14ac:dyDescent="0.3">
      <c r="A3160">
        <v>1625</v>
      </c>
      <c r="B3160">
        <v>54</v>
      </c>
      <c r="C3160" t="s">
        <v>15</v>
      </c>
      <c r="D3160" t="s">
        <v>16</v>
      </c>
      <c r="E3160" t="s">
        <v>17</v>
      </c>
      <c r="F3160" t="s">
        <v>23</v>
      </c>
      <c r="G3160" t="s">
        <v>41</v>
      </c>
      <c r="H3160" t="s">
        <v>25</v>
      </c>
      <c r="I3160" s="1">
        <v>3</v>
      </c>
      <c r="J3160" s="2">
        <v>45993</v>
      </c>
      <c r="K3160" s="2">
        <v>45992</v>
      </c>
      <c r="L3160" s="1" t="str">
        <f t="shared" si="369"/>
        <v>ter</v>
      </c>
      <c r="M3160" s="1" t="str">
        <f t="shared" si="370"/>
        <v>dez</v>
      </c>
      <c r="N3160">
        <f t="shared" si="371"/>
        <v>2025</v>
      </c>
      <c r="O3160" s="2"/>
      <c r="P3160" t="str">
        <f t="shared" si="372"/>
        <v>162545993</v>
      </c>
    </row>
    <row r="3161" spans="1:16" x14ac:dyDescent="0.3">
      <c r="A3161">
        <v>1625</v>
      </c>
      <c r="B3161">
        <v>54</v>
      </c>
      <c r="C3161" t="s">
        <v>15</v>
      </c>
      <c r="D3161" t="s">
        <v>16</v>
      </c>
      <c r="E3161" t="s">
        <v>17</v>
      </c>
      <c r="F3161" t="s">
        <v>23</v>
      </c>
      <c r="G3161" t="s">
        <v>41</v>
      </c>
      <c r="H3161" t="s">
        <v>25</v>
      </c>
      <c r="I3161" s="1">
        <v>3</v>
      </c>
      <c r="J3161" s="2">
        <v>46002</v>
      </c>
      <c r="K3161" s="2">
        <v>45992</v>
      </c>
      <c r="L3161" s="1" t="str">
        <f t="shared" si="369"/>
        <v>qui</v>
      </c>
      <c r="M3161" s="1" t="str">
        <f t="shared" si="370"/>
        <v>dez</v>
      </c>
      <c r="N3161">
        <f t="shared" si="371"/>
        <v>2025</v>
      </c>
      <c r="O3161" s="2"/>
      <c r="P3161" t="str">
        <f t="shared" si="372"/>
        <v>162546002</v>
      </c>
    </row>
    <row r="3162" spans="1:16" x14ac:dyDescent="0.3">
      <c r="A3162">
        <v>1625</v>
      </c>
      <c r="B3162">
        <v>54</v>
      </c>
      <c r="C3162" t="s">
        <v>15</v>
      </c>
      <c r="D3162" t="s">
        <v>16</v>
      </c>
      <c r="E3162" t="s">
        <v>17</v>
      </c>
      <c r="F3162" t="s">
        <v>23</v>
      </c>
      <c r="G3162" t="s">
        <v>41</v>
      </c>
      <c r="H3162" t="s">
        <v>25</v>
      </c>
      <c r="I3162" s="1">
        <v>3</v>
      </c>
      <c r="J3162" s="2">
        <v>46005</v>
      </c>
      <c r="K3162" s="2">
        <v>45992</v>
      </c>
      <c r="L3162" s="1" t="str">
        <f t="shared" si="369"/>
        <v>dom</v>
      </c>
      <c r="M3162" s="1" t="str">
        <f t="shared" si="370"/>
        <v>dez</v>
      </c>
      <c r="N3162">
        <f t="shared" si="371"/>
        <v>2025</v>
      </c>
      <c r="O3162" s="2"/>
      <c r="P3162" t="str">
        <f t="shared" si="372"/>
        <v>162546005</v>
      </c>
    </row>
    <row r="3163" spans="1:16" x14ac:dyDescent="0.3">
      <c r="A3163">
        <v>1625</v>
      </c>
      <c r="B3163">
        <v>54</v>
      </c>
      <c r="C3163" t="s">
        <v>15</v>
      </c>
      <c r="D3163" t="s">
        <v>16</v>
      </c>
      <c r="E3163" t="s">
        <v>17</v>
      </c>
      <c r="F3163" t="s">
        <v>23</v>
      </c>
      <c r="G3163" t="s">
        <v>41</v>
      </c>
      <c r="H3163" t="s">
        <v>25</v>
      </c>
      <c r="I3163" s="1">
        <v>3</v>
      </c>
      <c r="J3163" s="2">
        <v>46009</v>
      </c>
      <c r="K3163" s="2">
        <v>45992</v>
      </c>
      <c r="L3163" s="1" t="str">
        <f t="shared" si="369"/>
        <v>qui</v>
      </c>
      <c r="M3163" s="1" t="str">
        <f t="shared" si="370"/>
        <v>dez</v>
      </c>
      <c r="N3163">
        <f t="shared" si="371"/>
        <v>2025</v>
      </c>
      <c r="O3163" s="2"/>
      <c r="P3163" t="str">
        <f t="shared" si="372"/>
        <v>162546009</v>
      </c>
    </row>
    <row r="3164" spans="1:16" x14ac:dyDescent="0.3">
      <c r="A3164">
        <v>1626</v>
      </c>
      <c r="B3164">
        <v>46</v>
      </c>
      <c r="C3164" t="s">
        <v>26</v>
      </c>
      <c r="D3164" t="s">
        <v>27</v>
      </c>
      <c r="E3164" t="s">
        <v>17</v>
      </c>
      <c r="F3164" t="s">
        <v>21</v>
      </c>
      <c r="G3164" t="s">
        <v>41</v>
      </c>
      <c r="H3164" t="s">
        <v>20</v>
      </c>
      <c r="I3164" s="1">
        <v>3</v>
      </c>
      <c r="J3164" s="2">
        <v>45796</v>
      </c>
      <c r="K3164" s="2">
        <v>45778</v>
      </c>
      <c r="L3164" s="1" t="str">
        <f t="shared" si="369"/>
        <v>seg</v>
      </c>
      <c r="M3164" s="1" t="str">
        <f t="shared" si="370"/>
        <v>mai</v>
      </c>
      <c r="N3164">
        <f t="shared" si="371"/>
        <v>2025</v>
      </c>
      <c r="O3164" s="2">
        <f>_xlfn.XLOOKUP(A3164,Colaboradores!$A:$A,Colaboradores!$S:$S,"",0)</f>
        <v>45912</v>
      </c>
      <c r="P3164" t="str">
        <f t="shared" si="372"/>
        <v>162645796</v>
      </c>
    </row>
    <row r="3165" spans="1:16" x14ac:dyDescent="0.3">
      <c r="A3165">
        <v>1626</v>
      </c>
      <c r="B3165">
        <v>46</v>
      </c>
      <c r="C3165" t="s">
        <v>26</v>
      </c>
      <c r="D3165" t="s">
        <v>27</v>
      </c>
      <c r="E3165" t="s">
        <v>17</v>
      </c>
      <c r="F3165" t="s">
        <v>21</v>
      </c>
      <c r="G3165" t="s">
        <v>41</v>
      </c>
      <c r="H3165" t="s">
        <v>20</v>
      </c>
      <c r="I3165" s="1">
        <v>3</v>
      </c>
      <c r="J3165" s="2">
        <v>45869</v>
      </c>
      <c r="K3165" s="2">
        <v>45839</v>
      </c>
      <c r="L3165" s="1" t="str">
        <f t="shared" si="369"/>
        <v>qui</v>
      </c>
      <c r="M3165" s="1" t="str">
        <f t="shared" si="370"/>
        <v>jul</v>
      </c>
      <c r="N3165">
        <f t="shared" si="371"/>
        <v>2025</v>
      </c>
      <c r="O3165" s="2">
        <f>_xlfn.XLOOKUP(A3165,Colaboradores!$A:$A,Colaboradores!$S:$S,"",0)</f>
        <v>45912</v>
      </c>
      <c r="P3165" t="str">
        <f t="shared" si="372"/>
        <v>162645869</v>
      </c>
    </row>
    <row r="3166" spans="1:16" x14ac:dyDescent="0.3">
      <c r="A3166">
        <v>1626</v>
      </c>
      <c r="B3166">
        <v>46</v>
      </c>
      <c r="C3166" t="s">
        <v>26</v>
      </c>
      <c r="D3166" t="s">
        <v>27</v>
      </c>
      <c r="E3166" t="s">
        <v>17</v>
      </c>
      <c r="F3166" t="s">
        <v>21</v>
      </c>
      <c r="G3166" t="s">
        <v>41</v>
      </c>
      <c r="H3166" t="s">
        <v>20</v>
      </c>
      <c r="I3166" s="1">
        <v>3</v>
      </c>
      <c r="J3166" s="2">
        <v>45872</v>
      </c>
      <c r="K3166" s="2">
        <v>45870</v>
      </c>
      <c r="L3166" s="1" t="str">
        <f t="shared" si="369"/>
        <v>dom</v>
      </c>
      <c r="M3166" s="1" t="str">
        <f t="shared" si="370"/>
        <v>ago</v>
      </c>
      <c r="N3166">
        <f t="shared" si="371"/>
        <v>2025</v>
      </c>
      <c r="O3166" s="2">
        <f>_xlfn.XLOOKUP(A3166,Colaboradores!$A:$A,Colaboradores!$S:$S,"",0)</f>
        <v>45912</v>
      </c>
      <c r="P3166" t="str">
        <f t="shared" si="372"/>
        <v>162645872</v>
      </c>
    </row>
    <row r="3167" spans="1:16" x14ac:dyDescent="0.3">
      <c r="A3167">
        <v>1626</v>
      </c>
      <c r="B3167">
        <v>46</v>
      </c>
      <c r="C3167" t="s">
        <v>26</v>
      </c>
      <c r="D3167" t="s">
        <v>27</v>
      </c>
      <c r="E3167" t="s">
        <v>17</v>
      </c>
      <c r="F3167" t="s">
        <v>21</v>
      </c>
      <c r="G3167" t="s">
        <v>41</v>
      </c>
      <c r="H3167" t="s">
        <v>20</v>
      </c>
      <c r="I3167" s="1">
        <v>3</v>
      </c>
      <c r="J3167" s="2">
        <v>45879</v>
      </c>
      <c r="K3167" s="2">
        <v>45870</v>
      </c>
      <c r="L3167" s="1" t="str">
        <f t="shared" si="369"/>
        <v>dom</v>
      </c>
      <c r="M3167" s="1" t="str">
        <f t="shared" si="370"/>
        <v>ago</v>
      </c>
      <c r="N3167">
        <f t="shared" si="371"/>
        <v>2025</v>
      </c>
      <c r="O3167" s="2">
        <f>_xlfn.XLOOKUP(A3167,Colaboradores!$A:$A,Colaboradores!$S:$S,"",0)</f>
        <v>45912</v>
      </c>
      <c r="P3167" t="str">
        <f t="shared" si="372"/>
        <v>162645879</v>
      </c>
    </row>
    <row r="3168" spans="1:16" x14ac:dyDescent="0.3">
      <c r="A3168">
        <v>1627</v>
      </c>
      <c r="B3168">
        <v>24</v>
      </c>
      <c r="C3168" t="s">
        <v>15</v>
      </c>
      <c r="D3168" t="s">
        <v>16</v>
      </c>
      <c r="E3168" t="s">
        <v>17</v>
      </c>
      <c r="F3168" t="s">
        <v>21</v>
      </c>
      <c r="G3168" t="s">
        <v>41</v>
      </c>
      <c r="H3168" t="s">
        <v>20</v>
      </c>
      <c r="I3168" s="1">
        <v>1</v>
      </c>
      <c r="J3168" s="2">
        <v>45772</v>
      </c>
      <c r="K3168" s="2">
        <v>45748</v>
      </c>
      <c r="L3168" s="1" t="str">
        <f t="shared" si="369"/>
        <v>sex</v>
      </c>
      <c r="M3168" s="1" t="str">
        <f t="shared" si="370"/>
        <v>abr</v>
      </c>
      <c r="N3168">
        <f t="shared" si="371"/>
        <v>2025</v>
      </c>
      <c r="O3168" s="2">
        <f>_xlfn.XLOOKUP(A3168,Colaboradores!$A:$A,Colaboradores!$S:$S,"",0)</f>
        <v>45844</v>
      </c>
      <c r="P3168" t="str">
        <f t="shared" si="372"/>
        <v>162745772</v>
      </c>
    </row>
    <row r="3169" spans="1:16" x14ac:dyDescent="0.3">
      <c r="A3169">
        <v>1627</v>
      </c>
      <c r="B3169">
        <v>24</v>
      </c>
      <c r="C3169" t="s">
        <v>15</v>
      </c>
      <c r="D3169" t="s">
        <v>16</v>
      </c>
      <c r="E3169" t="s">
        <v>17</v>
      </c>
      <c r="F3169" t="s">
        <v>21</v>
      </c>
      <c r="G3169" t="s">
        <v>41</v>
      </c>
      <c r="H3169" t="s">
        <v>20</v>
      </c>
      <c r="I3169" s="1">
        <v>1</v>
      </c>
      <c r="J3169" s="2">
        <v>45781</v>
      </c>
      <c r="K3169" s="2">
        <v>45778</v>
      </c>
      <c r="L3169" s="1" t="str">
        <f t="shared" si="369"/>
        <v>dom</v>
      </c>
      <c r="M3169" s="1" t="str">
        <f t="shared" si="370"/>
        <v>mai</v>
      </c>
      <c r="N3169">
        <f t="shared" si="371"/>
        <v>2025</v>
      </c>
      <c r="O3169" s="2">
        <f>_xlfn.XLOOKUP(A3169,Colaboradores!$A:$A,Colaboradores!$S:$S,"",0)</f>
        <v>45844</v>
      </c>
      <c r="P3169" t="str">
        <f t="shared" si="372"/>
        <v>162745781</v>
      </c>
    </row>
    <row r="3170" spans="1:16" x14ac:dyDescent="0.3">
      <c r="A3170">
        <v>1627</v>
      </c>
      <c r="B3170">
        <v>24</v>
      </c>
      <c r="C3170" t="s">
        <v>15</v>
      </c>
      <c r="D3170" t="s">
        <v>16</v>
      </c>
      <c r="E3170" t="s">
        <v>17</v>
      </c>
      <c r="F3170" t="s">
        <v>21</v>
      </c>
      <c r="G3170" t="s">
        <v>41</v>
      </c>
      <c r="H3170" t="s">
        <v>20</v>
      </c>
      <c r="I3170" s="1">
        <v>1</v>
      </c>
      <c r="J3170" s="2">
        <v>45820</v>
      </c>
      <c r="K3170" s="2">
        <v>45809</v>
      </c>
      <c r="L3170" s="1" t="str">
        <f t="shared" si="369"/>
        <v>qui</v>
      </c>
      <c r="M3170" s="1" t="str">
        <f t="shared" si="370"/>
        <v>jun</v>
      </c>
      <c r="N3170">
        <f t="shared" si="371"/>
        <v>2025</v>
      </c>
      <c r="O3170" s="2">
        <f>_xlfn.XLOOKUP(A3170,Colaboradores!$A:$A,Colaboradores!$S:$S,"",0)</f>
        <v>45844</v>
      </c>
      <c r="P3170" t="str">
        <f t="shared" si="372"/>
        <v>162745820</v>
      </c>
    </row>
    <row r="3171" spans="1:16" x14ac:dyDescent="0.3">
      <c r="A3171">
        <v>1627</v>
      </c>
      <c r="B3171">
        <v>24</v>
      </c>
      <c r="C3171" t="s">
        <v>15</v>
      </c>
      <c r="D3171" t="s">
        <v>16</v>
      </c>
      <c r="E3171" t="s">
        <v>17</v>
      </c>
      <c r="F3171" t="s">
        <v>21</v>
      </c>
      <c r="G3171" t="s">
        <v>41</v>
      </c>
      <c r="H3171" t="s">
        <v>20</v>
      </c>
      <c r="I3171" s="1">
        <v>1</v>
      </c>
      <c r="J3171" s="2">
        <v>45841</v>
      </c>
      <c r="K3171" s="2">
        <v>45839</v>
      </c>
      <c r="L3171" s="1" t="str">
        <f t="shared" si="369"/>
        <v>qui</v>
      </c>
      <c r="M3171" s="1" t="str">
        <f t="shared" si="370"/>
        <v>jul</v>
      </c>
      <c r="N3171">
        <f t="shared" si="371"/>
        <v>2025</v>
      </c>
      <c r="O3171" s="2">
        <f>_xlfn.XLOOKUP(A3171,Colaboradores!$A:$A,Colaboradores!$S:$S,"",0)</f>
        <v>45844</v>
      </c>
      <c r="P3171" t="str">
        <f t="shared" si="372"/>
        <v>162745841</v>
      </c>
    </row>
    <row r="3172" spans="1:16" x14ac:dyDescent="0.3">
      <c r="A3172">
        <v>1629</v>
      </c>
      <c r="B3172">
        <v>45</v>
      </c>
      <c r="C3172" t="s">
        <v>15</v>
      </c>
      <c r="D3172" t="s">
        <v>16</v>
      </c>
      <c r="E3172" t="s">
        <v>17</v>
      </c>
      <c r="F3172" t="s">
        <v>21</v>
      </c>
      <c r="G3172" t="s">
        <v>41</v>
      </c>
      <c r="H3172" t="s">
        <v>20</v>
      </c>
      <c r="I3172" s="1">
        <v>1</v>
      </c>
      <c r="J3172" s="2">
        <v>45734</v>
      </c>
      <c r="K3172" s="2">
        <v>45717</v>
      </c>
      <c r="L3172" s="1" t="str">
        <f t="shared" si="369"/>
        <v>ter</v>
      </c>
      <c r="M3172" s="1" t="str">
        <f t="shared" si="370"/>
        <v>mar</v>
      </c>
      <c r="N3172">
        <f t="shared" si="371"/>
        <v>2025</v>
      </c>
      <c r="O3172" s="2">
        <f>_xlfn.XLOOKUP(A3172,Colaboradores!$A:$A,Colaboradores!$S:$S,"",0)</f>
        <v>45843</v>
      </c>
      <c r="P3172" t="str">
        <f t="shared" si="372"/>
        <v>162945734</v>
      </c>
    </row>
    <row r="3173" spans="1:16" x14ac:dyDescent="0.3">
      <c r="A3173">
        <v>1629</v>
      </c>
      <c r="B3173">
        <v>45</v>
      </c>
      <c r="C3173" t="s">
        <v>15</v>
      </c>
      <c r="D3173" t="s">
        <v>16</v>
      </c>
      <c r="E3173" t="s">
        <v>17</v>
      </c>
      <c r="F3173" t="s">
        <v>21</v>
      </c>
      <c r="G3173" t="s">
        <v>41</v>
      </c>
      <c r="H3173" t="s">
        <v>20</v>
      </c>
      <c r="I3173" s="1">
        <v>1</v>
      </c>
      <c r="J3173" s="2">
        <v>45791</v>
      </c>
      <c r="K3173" s="2">
        <v>45778</v>
      </c>
      <c r="L3173" s="1" t="str">
        <f t="shared" si="369"/>
        <v>qua</v>
      </c>
      <c r="M3173" s="1" t="str">
        <f t="shared" si="370"/>
        <v>mai</v>
      </c>
      <c r="N3173">
        <f t="shared" si="371"/>
        <v>2025</v>
      </c>
      <c r="O3173" s="2">
        <f>_xlfn.XLOOKUP(A3173,Colaboradores!$A:$A,Colaboradores!$S:$S,"",0)</f>
        <v>45843</v>
      </c>
      <c r="P3173" t="str">
        <f t="shared" si="372"/>
        <v>162945791</v>
      </c>
    </row>
    <row r="3174" spans="1:16" x14ac:dyDescent="0.3">
      <c r="A3174">
        <v>1629</v>
      </c>
      <c r="B3174">
        <v>45</v>
      </c>
      <c r="C3174" t="s">
        <v>15</v>
      </c>
      <c r="D3174" t="s">
        <v>16</v>
      </c>
      <c r="E3174" t="s">
        <v>17</v>
      </c>
      <c r="F3174" t="s">
        <v>21</v>
      </c>
      <c r="G3174" t="s">
        <v>41</v>
      </c>
      <c r="H3174" t="s">
        <v>20</v>
      </c>
      <c r="I3174" s="1">
        <v>1</v>
      </c>
      <c r="J3174" s="2">
        <v>45828</v>
      </c>
      <c r="K3174" s="2">
        <v>45809</v>
      </c>
      <c r="L3174" s="1" t="str">
        <f t="shared" si="369"/>
        <v>sex</v>
      </c>
      <c r="M3174" s="1" t="str">
        <f t="shared" si="370"/>
        <v>jun</v>
      </c>
      <c r="N3174">
        <f t="shared" si="371"/>
        <v>2025</v>
      </c>
      <c r="O3174" s="2">
        <f>_xlfn.XLOOKUP(A3174,Colaboradores!$A:$A,Colaboradores!$S:$S,"",0)</f>
        <v>45843</v>
      </c>
      <c r="P3174" t="str">
        <f t="shared" si="372"/>
        <v>162945828</v>
      </c>
    </row>
    <row r="3175" spans="1:16" x14ac:dyDescent="0.3">
      <c r="A3175">
        <v>1629</v>
      </c>
      <c r="B3175">
        <v>45</v>
      </c>
      <c r="C3175" t="s">
        <v>15</v>
      </c>
      <c r="D3175" t="s">
        <v>16</v>
      </c>
      <c r="E3175" t="s">
        <v>17</v>
      </c>
      <c r="F3175" t="s">
        <v>21</v>
      </c>
      <c r="G3175" t="s">
        <v>41</v>
      </c>
      <c r="H3175" t="s">
        <v>20</v>
      </c>
      <c r="I3175" s="1">
        <v>1</v>
      </c>
      <c r="J3175" s="2">
        <v>45829</v>
      </c>
      <c r="K3175" s="2">
        <v>45809</v>
      </c>
      <c r="L3175" s="1" t="str">
        <f t="shared" si="369"/>
        <v>sáb</v>
      </c>
      <c r="M3175" s="1" t="str">
        <f t="shared" si="370"/>
        <v>jun</v>
      </c>
      <c r="N3175">
        <f t="shared" si="371"/>
        <v>2025</v>
      </c>
      <c r="O3175" s="2">
        <f>_xlfn.XLOOKUP(A3175,Colaboradores!$A:$A,Colaboradores!$S:$S,"",0)</f>
        <v>45843</v>
      </c>
      <c r="P3175" t="str">
        <f t="shared" si="372"/>
        <v>162945829</v>
      </c>
    </row>
    <row r="3176" spans="1:16" x14ac:dyDescent="0.3">
      <c r="A3176">
        <v>1629</v>
      </c>
      <c r="B3176">
        <v>45</v>
      </c>
      <c r="C3176" t="s">
        <v>15</v>
      </c>
      <c r="D3176" t="s">
        <v>16</v>
      </c>
      <c r="E3176" t="s">
        <v>17</v>
      </c>
      <c r="F3176" t="s">
        <v>21</v>
      </c>
      <c r="G3176" t="s">
        <v>41</v>
      </c>
      <c r="H3176" t="s">
        <v>20</v>
      </c>
      <c r="I3176" s="1">
        <v>1</v>
      </c>
      <c r="J3176" s="2">
        <v>45837</v>
      </c>
      <c r="K3176" s="2">
        <v>45809</v>
      </c>
      <c r="L3176" s="1" t="str">
        <f t="shared" si="369"/>
        <v>dom</v>
      </c>
      <c r="M3176" s="1" t="str">
        <f t="shared" si="370"/>
        <v>jun</v>
      </c>
      <c r="N3176">
        <f t="shared" si="371"/>
        <v>2025</v>
      </c>
      <c r="O3176" s="2">
        <f>_xlfn.XLOOKUP(A3176,Colaboradores!$A:$A,Colaboradores!$S:$S,"",0)</f>
        <v>45843</v>
      </c>
      <c r="P3176" t="str">
        <f t="shared" si="372"/>
        <v>162945837</v>
      </c>
    </row>
    <row r="3177" spans="1:16" x14ac:dyDescent="0.3">
      <c r="A3177">
        <v>1629</v>
      </c>
      <c r="B3177">
        <v>45</v>
      </c>
      <c r="C3177" t="s">
        <v>15</v>
      </c>
      <c r="D3177" t="s">
        <v>16</v>
      </c>
      <c r="E3177" t="s">
        <v>17</v>
      </c>
      <c r="F3177" t="s">
        <v>21</v>
      </c>
      <c r="G3177" t="s">
        <v>41</v>
      </c>
      <c r="H3177" t="s">
        <v>20</v>
      </c>
      <c r="I3177" s="1">
        <v>1</v>
      </c>
      <c r="J3177" s="2">
        <v>45839</v>
      </c>
      <c r="K3177" s="2">
        <v>45839</v>
      </c>
      <c r="L3177" s="1" t="str">
        <f t="shared" si="369"/>
        <v>ter</v>
      </c>
      <c r="M3177" s="1" t="str">
        <f t="shared" si="370"/>
        <v>jul</v>
      </c>
      <c r="N3177">
        <f t="shared" si="371"/>
        <v>2025</v>
      </c>
      <c r="O3177" s="2">
        <f>_xlfn.XLOOKUP(A3177,Colaboradores!$A:$A,Colaboradores!$S:$S,"",0)</f>
        <v>45843</v>
      </c>
      <c r="P3177" t="str">
        <f t="shared" si="372"/>
        <v>162945839</v>
      </c>
    </row>
    <row r="3178" spans="1:16" x14ac:dyDescent="0.3">
      <c r="A3178">
        <v>1630</v>
      </c>
      <c r="B3178">
        <v>37</v>
      </c>
      <c r="C3178" t="s">
        <v>26</v>
      </c>
      <c r="D3178" t="s">
        <v>22</v>
      </c>
      <c r="E3178" t="s">
        <v>17</v>
      </c>
      <c r="F3178" t="s">
        <v>23</v>
      </c>
      <c r="G3178" t="s">
        <v>41</v>
      </c>
      <c r="H3178" t="s">
        <v>25</v>
      </c>
      <c r="I3178" s="1">
        <v>3</v>
      </c>
      <c r="J3178" s="2">
        <v>45817</v>
      </c>
      <c r="K3178" s="2">
        <v>45809</v>
      </c>
      <c r="L3178" s="1" t="str">
        <f t="shared" si="369"/>
        <v>seg</v>
      </c>
      <c r="M3178" s="1" t="str">
        <f t="shared" si="370"/>
        <v>jun</v>
      </c>
      <c r="N3178">
        <f t="shared" si="371"/>
        <v>2025</v>
      </c>
      <c r="O3178" s="2"/>
      <c r="P3178" t="str">
        <f t="shared" si="372"/>
        <v>163045817</v>
      </c>
    </row>
    <row r="3179" spans="1:16" x14ac:dyDescent="0.3">
      <c r="A3179">
        <v>1630</v>
      </c>
      <c r="B3179">
        <v>37</v>
      </c>
      <c r="C3179" t="s">
        <v>26</v>
      </c>
      <c r="D3179" t="s">
        <v>22</v>
      </c>
      <c r="E3179" t="s">
        <v>17</v>
      </c>
      <c r="F3179" t="s">
        <v>23</v>
      </c>
      <c r="G3179" t="s">
        <v>41</v>
      </c>
      <c r="H3179" t="s">
        <v>25</v>
      </c>
      <c r="I3179" s="1">
        <v>3</v>
      </c>
      <c r="J3179" s="2">
        <v>45862</v>
      </c>
      <c r="K3179" s="2">
        <v>45839</v>
      </c>
      <c r="L3179" s="1" t="str">
        <f t="shared" si="369"/>
        <v>qui</v>
      </c>
      <c r="M3179" s="1" t="str">
        <f t="shared" si="370"/>
        <v>jul</v>
      </c>
      <c r="N3179">
        <f t="shared" si="371"/>
        <v>2025</v>
      </c>
      <c r="O3179" s="2"/>
      <c r="P3179" t="str">
        <f t="shared" si="372"/>
        <v>163045862</v>
      </c>
    </row>
    <row r="3180" spans="1:16" x14ac:dyDescent="0.3">
      <c r="A3180">
        <v>1630</v>
      </c>
      <c r="B3180">
        <v>37</v>
      </c>
      <c r="C3180" t="s">
        <v>26</v>
      </c>
      <c r="D3180" t="s">
        <v>22</v>
      </c>
      <c r="E3180" t="s">
        <v>17</v>
      </c>
      <c r="F3180" t="s">
        <v>23</v>
      </c>
      <c r="G3180" t="s">
        <v>41</v>
      </c>
      <c r="H3180" t="s">
        <v>25</v>
      </c>
      <c r="I3180" s="1">
        <v>3</v>
      </c>
      <c r="J3180" s="2">
        <v>45886</v>
      </c>
      <c r="K3180" s="2">
        <v>45870</v>
      </c>
      <c r="L3180" s="1" t="str">
        <f t="shared" si="369"/>
        <v>dom</v>
      </c>
      <c r="M3180" s="1" t="str">
        <f t="shared" si="370"/>
        <v>ago</v>
      </c>
      <c r="N3180">
        <f t="shared" si="371"/>
        <v>2025</v>
      </c>
      <c r="O3180" s="2"/>
      <c r="P3180" t="str">
        <f t="shared" si="372"/>
        <v>163045886</v>
      </c>
    </row>
    <row r="3181" spans="1:16" x14ac:dyDescent="0.3">
      <c r="A3181">
        <v>1630</v>
      </c>
      <c r="B3181">
        <v>37</v>
      </c>
      <c r="C3181" t="s">
        <v>26</v>
      </c>
      <c r="D3181" t="s">
        <v>22</v>
      </c>
      <c r="E3181" t="s">
        <v>17</v>
      </c>
      <c r="F3181" t="s">
        <v>23</v>
      </c>
      <c r="G3181" t="s">
        <v>41</v>
      </c>
      <c r="H3181" t="s">
        <v>25</v>
      </c>
      <c r="I3181" s="1">
        <v>3</v>
      </c>
      <c r="J3181" s="2">
        <v>45925</v>
      </c>
      <c r="K3181" s="2">
        <v>45901</v>
      </c>
      <c r="L3181" s="1" t="str">
        <f t="shared" si="369"/>
        <v>qui</v>
      </c>
      <c r="M3181" s="1" t="str">
        <f t="shared" si="370"/>
        <v>set</v>
      </c>
      <c r="N3181">
        <f t="shared" si="371"/>
        <v>2025</v>
      </c>
      <c r="O3181" s="2"/>
      <c r="P3181" t="str">
        <f t="shared" si="372"/>
        <v>163045925</v>
      </c>
    </row>
    <row r="3182" spans="1:16" x14ac:dyDescent="0.3">
      <c r="A3182">
        <v>1630</v>
      </c>
      <c r="B3182">
        <v>37</v>
      </c>
      <c r="C3182" t="s">
        <v>26</v>
      </c>
      <c r="D3182" t="s">
        <v>22</v>
      </c>
      <c r="E3182" t="s">
        <v>17</v>
      </c>
      <c r="F3182" t="s">
        <v>23</v>
      </c>
      <c r="G3182" t="s">
        <v>41</v>
      </c>
      <c r="H3182" t="s">
        <v>25</v>
      </c>
      <c r="I3182" s="1">
        <v>3</v>
      </c>
      <c r="J3182" s="2">
        <v>45928</v>
      </c>
      <c r="K3182" s="2">
        <v>45901</v>
      </c>
      <c r="L3182" s="1" t="str">
        <f t="shared" si="369"/>
        <v>dom</v>
      </c>
      <c r="M3182" s="1" t="str">
        <f t="shared" si="370"/>
        <v>set</v>
      </c>
      <c r="N3182">
        <f t="shared" si="371"/>
        <v>2025</v>
      </c>
      <c r="O3182" s="2"/>
      <c r="P3182" t="str">
        <f t="shared" si="372"/>
        <v>163045928</v>
      </c>
    </row>
    <row r="3183" spans="1:16" x14ac:dyDescent="0.3">
      <c r="A3183">
        <v>1631</v>
      </c>
      <c r="B3183">
        <v>27</v>
      </c>
      <c r="C3183" t="s">
        <v>15</v>
      </c>
      <c r="D3183" t="s">
        <v>22</v>
      </c>
      <c r="E3183" t="s">
        <v>17</v>
      </c>
      <c r="F3183" t="s">
        <v>23</v>
      </c>
      <c r="G3183" t="s">
        <v>41</v>
      </c>
      <c r="H3183" t="s">
        <v>25</v>
      </c>
      <c r="I3183" s="1">
        <v>3</v>
      </c>
      <c r="J3183" s="2">
        <v>45824</v>
      </c>
      <c r="K3183" s="2">
        <v>45809</v>
      </c>
      <c r="L3183" s="1" t="str">
        <f t="shared" si="369"/>
        <v>seg</v>
      </c>
      <c r="M3183" s="1" t="str">
        <f t="shared" si="370"/>
        <v>jun</v>
      </c>
      <c r="N3183">
        <f t="shared" si="371"/>
        <v>2025</v>
      </c>
      <c r="O3183" s="2"/>
      <c r="P3183" t="str">
        <f t="shared" si="372"/>
        <v>163145824</v>
      </c>
    </row>
    <row r="3184" spans="1:16" x14ac:dyDescent="0.3">
      <c r="A3184">
        <v>1631</v>
      </c>
      <c r="B3184">
        <v>27</v>
      </c>
      <c r="C3184" t="s">
        <v>15</v>
      </c>
      <c r="D3184" t="s">
        <v>22</v>
      </c>
      <c r="E3184" t="s">
        <v>17</v>
      </c>
      <c r="F3184" t="s">
        <v>23</v>
      </c>
      <c r="G3184" t="s">
        <v>41</v>
      </c>
      <c r="H3184" t="s">
        <v>25</v>
      </c>
      <c r="I3184" s="1">
        <v>3</v>
      </c>
      <c r="J3184" s="2">
        <v>45848</v>
      </c>
      <c r="K3184" s="2">
        <v>45839</v>
      </c>
      <c r="L3184" s="1" t="str">
        <f t="shared" si="369"/>
        <v>qui</v>
      </c>
      <c r="M3184" s="1" t="str">
        <f t="shared" si="370"/>
        <v>jul</v>
      </c>
      <c r="N3184">
        <f t="shared" si="371"/>
        <v>2025</v>
      </c>
      <c r="O3184" s="2"/>
      <c r="P3184" t="str">
        <f t="shared" si="372"/>
        <v>163145848</v>
      </c>
    </row>
    <row r="3185" spans="1:16" x14ac:dyDescent="0.3">
      <c r="A3185">
        <v>1631</v>
      </c>
      <c r="B3185">
        <v>27</v>
      </c>
      <c r="C3185" t="s">
        <v>15</v>
      </c>
      <c r="D3185" t="s">
        <v>22</v>
      </c>
      <c r="E3185" t="s">
        <v>17</v>
      </c>
      <c r="F3185" t="s">
        <v>23</v>
      </c>
      <c r="G3185" t="s">
        <v>41</v>
      </c>
      <c r="H3185" t="s">
        <v>25</v>
      </c>
      <c r="I3185" s="1">
        <v>3</v>
      </c>
      <c r="J3185" s="2">
        <v>45887</v>
      </c>
      <c r="K3185" s="2">
        <v>45870</v>
      </c>
      <c r="L3185" s="1" t="str">
        <f t="shared" si="369"/>
        <v>seg</v>
      </c>
      <c r="M3185" s="1" t="str">
        <f t="shared" si="370"/>
        <v>ago</v>
      </c>
      <c r="N3185">
        <f t="shared" si="371"/>
        <v>2025</v>
      </c>
      <c r="O3185" s="2"/>
      <c r="P3185" t="str">
        <f t="shared" si="372"/>
        <v>163145887</v>
      </c>
    </row>
    <row r="3186" spans="1:16" x14ac:dyDescent="0.3">
      <c r="A3186">
        <v>1631</v>
      </c>
      <c r="B3186">
        <v>27</v>
      </c>
      <c r="C3186" t="s">
        <v>15</v>
      </c>
      <c r="D3186" t="s">
        <v>22</v>
      </c>
      <c r="E3186" t="s">
        <v>17</v>
      </c>
      <c r="F3186" t="s">
        <v>23</v>
      </c>
      <c r="G3186" t="s">
        <v>41</v>
      </c>
      <c r="H3186" t="s">
        <v>25</v>
      </c>
      <c r="I3186" s="1">
        <v>3</v>
      </c>
      <c r="J3186" s="2">
        <v>45927</v>
      </c>
      <c r="K3186" s="2">
        <v>45901</v>
      </c>
      <c r="L3186" s="1" t="str">
        <f t="shared" si="369"/>
        <v>sáb</v>
      </c>
      <c r="M3186" s="1" t="str">
        <f t="shared" si="370"/>
        <v>set</v>
      </c>
      <c r="N3186">
        <f t="shared" si="371"/>
        <v>2025</v>
      </c>
      <c r="O3186" s="2"/>
      <c r="P3186" t="str">
        <f t="shared" si="372"/>
        <v>163145927</v>
      </c>
    </row>
    <row r="3187" spans="1:16" x14ac:dyDescent="0.3">
      <c r="A3187">
        <v>1631</v>
      </c>
      <c r="B3187">
        <v>27</v>
      </c>
      <c r="C3187" t="s">
        <v>15</v>
      </c>
      <c r="D3187" t="s">
        <v>22</v>
      </c>
      <c r="E3187" t="s">
        <v>17</v>
      </c>
      <c r="F3187" t="s">
        <v>23</v>
      </c>
      <c r="G3187" t="s">
        <v>41</v>
      </c>
      <c r="H3187" t="s">
        <v>25</v>
      </c>
      <c r="I3187" s="1">
        <v>3</v>
      </c>
      <c r="J3187" s="2">
        <v>45989</v>
      </c>
      <c r="K3187" s="2">
        <v>45962</v>
      </c>
      <c r="L3187" s="1" t="str">
        <f t="shared" si="369"/>
        <v>sex</v>
      </c>
      <c r="M3187" s="1" t="str">
        <f t="shared" si="370"/>
        <v>nov</v>
      </c>
      <c r="N3187">
        <f t="shared" si="371"/>
        <v>2025</v>
      </c>
      <c r="O3187" s="2"/>
      <c r="P3187" t="str">
        <f t="shared" si="372"/>
        <v>163145989</v>
      </c>
    </row>
    <row r="3188" spans="1:16" x14ac:dyDescent="0.3">
      <c r="A3188">
        <v>1632</v>
      </c>
      <c r="B3188">
        <v>33</v>
      </c>
      <c r="C3188" t="s">
        <v>26</v>
      </c>
      <c r="D3188" t="s">
        <v>16</v>
      </c>
      <c r="E3188" t="s">
        <v>17</v>
      </c>
      <c r="F3188" t="s">
        <v>21</v>
      </c>
      <c r="G3188" t="s">
        <v>41</v>
      </c>
      <c r="H3188" t="s">
        <v>20</v>
      </c>
      <c r="I3188" s="1">
        <v>1</v>
      </c>
      <c r="J3188" s="2">
        <v>45748</v>
      </c>
      <c r="K3188" s="2">
        <v>45748</v>
      </c>
      <c r="L3188" s="1" t="str">
        <f t="shared" si="369"/>
        <v>ter</v>
      </c>
      <c r="M3188" s="1" t="str">
        <f t="shared" si="370"/>
        <v>abr</v>
      </c>
      <c r="N3188">
        <f t="shared" si="371"/>
        <v>2025</v>
      </c>
      <c r="O3188" s="2">
        <f>_xlfn.XLOOKUP(A3188,Colaboradores!$A:$A,Colaboradores!$S:$S,"",0)</f>
        <v>46133</v>
      </c>
      <c r="P3188" t="str">
        <f t="shared" si="372"/>
        <v>163245748</v>
      </c>
    </row>
    <row r="3189" spans="1:16" x14ac:dyDescent="0.3">
      <c r="A3189">
        <v>1632</v>
      </c>
      <c r="B3189">
        <v>33</v>
      </c>
      <c r="C3189" t="s">
        <v>26</v>
      </c>
      <c r="D3189" t="s">
        <v>16</v>
      </c>
      <c r="E3189" t="s">
        <v>17</v>
      </c>
      <c r="F3189" t="s">
        <v>21</v>
      </c>
      <c r="G3189" t="s">
        <v>57</v>
      </c>
      <c r="H3189" t="s">
        <v>20</v>
      </c>
      <c r="I3189" s="1">
        <v>1</v>
      </c>
      <c r="J3189" s="2">
        <v>45761</v>
      </c>
      <c r="K3189" s="2">
        <v>45748</v>
      </c>
      <c r="L3189" s="1" t="str">
        <f t="shared" si="369"/>
        <v>seg</v>
      </c>
      <c r="M3189" s="1" t="str">
        <f t="shared" si="370"/>
        <v>abr</v>
      </c>
      <c r="N3189">
        <f t="shared" si="371"/>
        <v>2025</v>
      </c>
      <c r="O3189" s="2">
        <f>_xlfn.XLOOKUP(A3189,Colaboradores!$A:$A,Colaboradores!$S:$S,"",0)</f>
        <v>46133</v>
      </c>
      <c r="P3189" t="str">
        <f t="shared" si="372"/>
        <v>163245761</v>
      </c>
    </row>
    <row r="3190" spans="1:16" x14ac:dyDescent="0.3">
      <c r="A3190">
        <v>1632</v>
      </c>
      <c r="B3190">
        <v>33</v>
      </c>
      <c r="C3190" t="s">
        <v>26</v>
      </c>
      <c r="D3190" t="s">
        <v>16</v>
      </c>
      <c r="E3190" t="s">
        <v>17</v>
      </c>
      <c r="F3190" t="s">
        <v>21</v>
      </c>
      <c r="G3190" t="s">
        <v>41</v>
      </c>
      <c r="H3190" t="s">
        <v>20</v>
      </c>
      <c r="I3190" s="1">
        <v>1</v>
      </c>
      <c r="J3190" s="2">
        <v>45791</v>
      </c>
      <c r="K3190" s="2">
        <v>45778</v>
      </c>
      <c r="L3190" s="1" t="str">
        <f t="shared" si="369"/>
        <v>qua</v>
      </c>
      <c r="M3190" s="1" t="str">
        <f t="shared" si="370"/>
        <v>mai</v>
      </c>
      <c r="N3190">
        <f t="shared" si="371"/>
        <v>2025</v>
      </c>
      <c r="O3190" s="2">
        <f>_xlfn.XLOOKUP(A3190,Colaboradores!$A:$A,Colaboradores!$S:$S,"",0)</f>
        <v>46133</v>
      </c>
      <c r="P3190" t="str">
        <f t="shared" si="372"/>
        <v>163245791</v>
      </c>
    </row>
    <row r="3191" spans="1:16" x14ac:dyDescent="0.3">
      <c r="A3191">
        <v>1632</v>
      </c>
      <c r="B3191">
        <v>33</v>
      </c>
      <c r="C3191" t="s">
        <v>26</v>
      </c>
      <c r="D3191" t="s">
        <v>16</v>
      </c>
      <c r="E3191" t="s">
        <v>17</v>
      </c>
      <c r="F3191" t="s">
        <v>21</v>
      </c>
      <c r="G3191" t="s">
        <v>41</v>
      </c>
      <c r="H3191" t="s">
        <v>20</v>
      </c>
      <c r="I3191" s="1">
        <v>1</v>
      </c>
      <c r="J3191" s="2">
        <v>45918</v>
      </c>
      <c r="K3191" s="2">
        <v>45901</v>
      </c>
      <c r="L3191" s="1" t="str">
        <f t="shared" si="369"/>
        <v>qui</v>
      </c>
      <c r="M3191" s="1" t="str">
        <f t="shared" si="370"/>
        <v>set</v>
      </c>
      <c r="N3191">
        <f t="shared" si="371"/>
        <v>2025</v>
      </c>
      <c r="O3191" s="2">
        <f>_xlfn.XLOOKUP(A3191,Colaboradores!$A:$A,Colaboradores!$S:$S,"",0)</f>
        <v>46133</v>
      </c>
      <c r="P3191" t="str">
        <f t="shared" si="372"/>
        <v>163245918</v>
      </c>
    </row>
    <row r="3192" spans="1:16" x14ac:dyDescent="0.3">
      <c r="A3192">
        <v>1632</v>
      </c>
      <c r="B3192">
        <v>33</v>
      </c>
      <c r="C3192" t="s">
        <v>26</v>
      </c>
      <c r="D3192" t="s">
        <v>16</v>
      </c>
      <c r="E3192" t="s">
        <v>17</v>
      </c>
      <c r="F3192" t="s">
        <v>21</v>
      </c>
      <c r="G3192" t="s">
        <v>41</v>
      </c>
      <c r="H3192" t="s">
        <v>20</v>
      </c>
      <c r="I3192" s="1">
        <v>1</v>
      </c>
      <c r="J3192" s="2">
        <v>45945</v>
      </c>
      <c r="K3192" s="2">
        <v>45931</v>
      </c>
      <c r="L3192" s="1" t="str">
        <f t="shared" si="369"/>
        <v>qua</v>
      </c>
      <c r="M3192" s="1" t="str">
        <f t="shared" si="370"/>
        <v>out</v>
      </c>
      <c r="N3192">
        <f t="shared" si="371"/>
        <v>2025</v>
      </c>
      <c r="O3192" s="2">
        <f>_xlfn.XLOOKUP(A3192,Colaboradores!$A:$A,Colaboradores!$S:$S,"",0)</f>
        <v>46133</v>
      </c>
      <c r="P3192" t="str">
        <f t="shared" si="372"/>
        <v>163245945</v>
      </c>
    </row>
    <row r="3193" spans="1:16" x14ac:dyDescent="0.3">
      <c r="A3193">
        <v>1632</v>
      </c>
      <c r="B3193">
        <v>33</v>
      </c>
      <c r="C3193" t="s">
        <v>26</v>
      </c>
      <c r="D3193" t="s">
        <v>16</v>
      </c>
      <c r="E3193" t="s">
        <v>17</v>
      </c>
      <c r="F3193" t="s">
        <v>21</v>
      </c>
      <c r="G3193" t="s">
        <v>41</v>
      </c>
      <c r="H3193" t="s">
        <v>20</v>
      </c>
      <c r="I3193" s="1">
        <v>1</v>
      </c>
      <c r="J3193" s="2">
        <v>46070</v>
      </c>
      <c r="K3193" s="2">
        <v>46054</v>
      </c>
      <c r="L3193" s="1" t="str">
        <f t="shared" ref="L3193:L3252" si="373">TEXT(J3193,"ddd")</f>
        <v>ter</v>
      </c>
      <c r="M3193" s="1" t="str">
        <f t="shared" ref="M3193:M3252" si="374">TEXT($J3193,"mmm")</f>
        <v>fev</v>
      </c>
      <c r="N3193">
        <f t="shared" ref="N3193:N3252" si="375">YEAR(J3193)</f>
        <v>2026</v>
      </c>
      <c r="O3193" s="2">
        <f>_xlfn.XLOOKUP(A3193,Colaboradores!$A:$A,Colaboradores!$S:$S,"",0)</f>
        <v>46133</v>
      </c>
      <c r="P3193" t="str">
        <f t="shared" si="372"/>
        <v>163246070</v>
      </c>
    </row>
    <row r="3194" spans="1:16" x14ac:dyDescent="0.3">
      <c r="A3194">
        <v>1634</v>
      </c>
      <c r="B3194">
        <v>52</v>
      </c>
      <c r="C3194" t="s">
        <v>26</v>
      </c>
      <c r="D3194" t="s">
        <v>31</v>
      </c>
      <c r="E3194" t="s">
        <v>32</v>
      </c>
      <c r="F3194" t="s">
        <v>18</v>
      </c>
      <c r="G3194" t="s">
        <v>41</v>
      </c>
      <c r="H3194" t="s">
        <v>25</v>
      </c>
      <c r="I3194" s="1">
        <v>1</v>
      </c>
      <c r="J3194" s="2">
        <v>45871</v>
      </c>
      <c r="K3194" s="2">
        <v>45870</v>
      </c>
      <c r="L3194" s="1" t="str">
        <f t="shared" si="373"/>
        <v>sáb</v>
      </c>
      <c r="M3194" s="1" t="str">
        <f t="shared" si="374"/>
        <v>ago</v>
      </c>
      <c r="N3194">
        <f t="shared" si="375"/>
        <v>2025</v>
      </c>
      <c r="O3194" s="2"/>
      <c r="P3194" t="str">
        <f t="shared" si="372"/>
        <v>163445871</v>
      </c>
    </row>
    <row r="3195" spans="1:16" x14ac:dyDescent="0.3">
      <c r="A3195">
        <v>1634</v>
      </c>
      <c r="B3195">
        <v>52</v>
      </c>
      <c r="C3195" t="s">
        <v>26</v>
      </c>
      <c r="D3195" t="s">
        <v>31</v>
      </c>
      <c r="E3195" t="s">
        <v>32</v>
      </c>
      <c r="F3195" t="s">
        <v>18</v>
      </c>
      <c r="G3195" t="s">
        <v>41</v>
      </c>
      <c r="H3195" t="s">
        <v>25</v>
      </c>
      <c r="I3195" s="1">
        <v>1</v>
      </c>
      <c r="J3195" s="2">
        <v>45917</v>
      </c>
      <c r="K3195" s="2">
        <v>45901</v>
      </c>
      <c r="L3195" s="1" t="str">
        <f t="shared" si="373"/>
        <v>qua</v>
      </c>
      <c r="M3195" s="1" t="str">
        <f t="shared" si="374"/>
        <v>set</v>
      </c>
      <c r="N3195">
        <f t="shared" si="375"/>
        <v>2025</v>
      </c>
      <c r="O3195" s="2"/>
      <c r="P3195" t="str">
        <f t="shared" si="372"/>
        <v>163445917</v>
      </c>
    </row>
    <row r="3196" spans="1:16" x14ac:dyDescent="0.3">
      <c r="A3196">
        <v>1634</v>
      </c>
      <c r="B3196">
        <v>52</v>
      </c>
      <c r="C3196" t="s">
        <v>26</v>
      </c>
      <c r="D3196" t="s">
        <v>31</v>
      </c>
      <c r="E3196" t="s">
        <v>32</v>
      </c>
      <c r="F3196" t="s">
        <v>18</v>
      </c>
      <c r="G3196" t="s">
        <v>41</v>
      </c>
      <c r="H3196" t="s">
        <v>25</v>
      </c>
      <c r="I3196" s="1">
        <v>1</v>
      </c>
      <c r="J3196" s="2">
        <v>45953</v>
      </c>
      <c r="K3196" s="2">
        <v>45931</v>
      </c>
      <c r="L3196" s="1" t="str">
        <f t="shared" si="373"/>
        <v>qui</v>
      </c>
      <c r="M3196" s="1" t="str">
        <f t="shared" si="374"/>
        <v>out</v>
      </c>
      <c r="N3196">
        <f t="shared" si="375"/>
        <v>2025</v>
      </c>
      <c r="O3196" s="2"/>
      <c r="P3196" t="str">
        <f t="shared" si="372"/>
        <v>163445953</v>
      </c>
    </row>
    <row r="3197" spans="1:16" x14ac:dyDescent="0.3">
      <c r="A3197">
        <v>1634</v>
      </c>
      <c r="B3197">
        <v>52</v>
      </c>
      <c r="C3197" t="s">
        <v>26</v>
      </c>
      <c r="D3197" t="s">
        <v>31</v>
      </c>
      <c r="E3197" t="s">
        <v>32</v>
      </c>
      <c r="F3197" t="s">
        <v>18</v>
      </c>
      <c r="G3197" t="s">
        <v>41</v>
      </c>
      <c r="H3197" t="s">
        <v>25</v>
      </c>
      <c r="I3197" s="1">
        <v>1</v>
      </c>
      <c r="J3197" s="2">
        <v>45976</v>
      </c>
      <c r="K3197" s="2">
        <v>45962</v>
      </c>
      <c r="L3197" s="1" t="str">
        <f t="shared" si="373"/>
        <v>sáb</v>
      </c>
      <c r="M3197" s="1" t="str">
        <f t="shared" si="374"/>
        <v>nov</v>
      </c>
      <c r="N3197">
        <f t="shared" si="375"/>
        <v>2025</v>
      </c>
      <c r="O3197" s="2"/>
      <c r="P3197" t="str">
        <f t="shared" si="372"/>
        <v>163445976</v>
      </c>
    </row>
    <row r="3198" spans="1:16" x14ac:dyDescent="0.3">
      <c r="A3198">
        <v>1634</v>
      </c>
      <c r="B3198">
        <v>52</v>
      </c>
      <c r="C3198" t="s">
        <v>26</v>
      </c>
      <c r="D3198" t="s">
        <v>31</v>
      </c>
      <c r="E3198" t="s">
        <v>32</v>
      </c>
      <c r="F3198" t="s">
        <v>18</v>
      </c>
      <c r="G3198" t="s">
        <v>41</v>
      </c>
      <c r="H3198" t="s">
        <v>25</v>
      </c>
      <c r="I3198" s="1">
        <v>1</v>
      </c>
      <c r="J3198" s="2">
        <v>46065</v>
      </c>
      <c r="K3198" s="2">
        <v>46054</v>
      </c>
      <c r="L3198" s="1" t="str">
        <f t="shared" si="373"/>
        <v>qui</v>
      </c>
      <c r="M3198" s="1" t="str">
        <f t="shared" si="374"/>
        <v>fev</v>
      </c>
      <c r="N3198">
        <f t="shared" si="375"/>
        <v>2026</v>
      </c>
      <c r="O3198" s="2"/>
      <c r="P3198" t="str">
        <f t="shared" ref="P3198:P3261" si="376">CONCATENATE(A3198,J3198)</f>
        <v>163446065</v>
      </c>
    </row>
    <row r="3199" spans="1:16" x14ac:dyDescent="0.3">
      <c r="A3199">
        <v>1634</v>
      </c>
      <c r="B3199">
        <v>52</v>
      </c>
      <c r="C3199" t="s">
        <v>26</v>
      </c>
      <c r="D3199" t="s">
        <v>31</v>
      </c>
      <c r="E3199" t="s">
        <v>32</v>
      </c>
      <c r="F3199" t="s">
        <v>18</v>
      </c>
      <c r="G3199" t="s">
        <v>41</v>
      </c>
      <c r="H3199" t="s">
        <v>25</v>
      </c>
      <c r="I3199" s="1">
        <v>1</v>
      </c>
      <c r="J3199" s="2">
        <v>46092</v>
      </c>
      <c r="K3199" s="2">
        <v>46082</v>
      </c>
      <c r="L3199" s="1" t="str">
        <f t="shared" si="373"/>
        <v>qua</v>
      </c>
      <c r="M3199" s="1" t="str">
        <f t="shared" si="374"/>
        <v>mar</v>
      </c>
      <c r="N3199">
        <f t="shared" si="375"/>
        <v>2026</v>
      </c>
      <c r="O3199" s="2"/>
      <c r="P3199" t="str">
        <f t="shared" si="376"/>
        <v>163446092</v>
      </c>
    </row>
    <row r="3200" spans="1:16" x14ac:dyDescent="0.3">
      <c r="A3200">
        <v>1635</v>
      </c>
      <c r="B3200">
        <v>50</v>
      </c>
      <c r="C3200" t="s">
        <v>15</v>
      </c>
      <c r="D3200" t="s">
        <v>29</v>
      </c>
      <c r="E3200" t="s">
        <v>17</v>
      </c>
      <c r="F3200" t="s">
        <v>21</v>
      </c>
      <c r="G3200" t="s">
        <v>41</v>
      </c>
      <c r="H3200" t="s">
        <v>20</v>
      </c>
      <c r="I3200" s="1">
        <v>1</v>
      </c>
      <c r="J3200" s="2">
        <v>45801</v>
      </c>
      <c r="K3200" s="2">
        <v>45778</v>
      </c>
      <c r="L3200" s="1" t="str">
        <f t="shared" si="373"/>
        <v>sáb</v>
      </c>
      <c r="M3200" s="1" t="str">
        <f t="shared" si="374"/>
        <v>mai</v>
      </c>
      <c r="N3200">
        <f t="shared" si="375"/>
        <v>2025</v>
      </c>
      <c r="O3200" s="2">
        <f>_xlfn.XLOOKUP(A3200,Colaboradores!$A:$A,Colaboradores!$S:$S,"",0)</f>
        <v>45942</v>
      </c>
      <c r="P3200" t="str">
        <f t="shared" si="376"/>
        <v>163545801</v>
      </c>
    </row>
    <row r="3201" spans="1:16" x14ac:dyDescent="0.3">
      <c r="A3201">
        <v>1635</v>
      </c>
      <c r="B3201">
        <v>50</v>
      </c>
      <c r="C3201" t="s">
        <v>15</v>
      </c>
      <c r="D3201" t="s">
        <v>29</v>
      </c>
      <c r="E3201" t="s">
        <v>17</v>
      </c>
      <c r="F3201" t="s">
        <v>21</v>
      </c>
      <c r="G3201" t="s">
        <v>41</v>
      </c>
      <c r="H3201" t="s">
        <v>20</v>
      </c>
      <c r="I3201" s="1">
        <v>1</v>
      </c>
      <c r="J3201" s="2">
        <v>45806</v>
      </c>
      <c r="K3201" s="2">
        <v>45778</v>
      </c>
      <c r="L3201" s="1" t="str">
        <f t="shared" si="373"/>
        <v>qui</v>
      </c>
      <c r="M3201" s="1" t="str">
        <f t="shared" si="374"/>
        <v>mai</v>
      </c>
      <c r="N3201">
        <f t="shared" si="375"/>
        <v>2025</v>
      </c>
      <c r="O3201" s="2">
        <f>_xlfn.XLOOKUP(A3201,Colaboradores!$A:$A,Colaboradores!$S:$S,"",0)</f>
        <v>45942</v>
      </c>
      <c r="P3201" t="str">
        <f t="shared" si="376"/>
        <v>163545806</v>
      </c>
    </row>
    <row r="3202" spans="1:16" x14ac:dyDescent="0.3">
      <c r="A3202">
        <v>1635</v>
      </c>
      <c r="B3202">
        <v>50</v>
      </c>
      <c r="C3202" t="s">
        <v>15</v>
      </c>
      <c r="D3202" t="s">
        <v>29</v>
      </c>
      <c r="E3202" t="s">
        <v>17</v>
      </c>
      <c r="F3202" t="s">
        <v>21</v>
      </c>
      <c r="G3202" t="s">
        <v>41</v>
      </c>
      <c r="H3202" t="s">
        <v>20</v>
      </c>
      <c r="I3202" s="1">
        <v>1</v>
      </c>
      <c r="J3202" s="2">
        <v>45844</v>
      </c>
      <c r="K3202" s="2">
        <v>45839</v>
      </c>
      <c r="L3202" s="1" t="str">
        <f t="shared" si="373"/>
        <v>dom</v>
      </c>
      <c r="M3202" s="1" t="str">
        <f t="shared" si="374"/>
        <v>jul</v>
      </c>
      <c r="N3202">
        <f t="shared" si="375"/>
        <v>2025</v>
      </c>
      <c r="O3202" s="2">
        <f>_xlfn.XLOOKUP(A3202,Colaboradores!$A:$A,Colaboradores!$S:$S,"",0)</f>
        <v>45942</v>
      </c>
      <c r="P3202" t="str">
        <f t="shared" si="376"/>
        <v>163545844</v>
      </c>
    </row>
    <row r="3203" spans="1:16" x14ac:dyDescent="0.3">
      <c r="A3203">
        <v>1635</v>
      </c>
      <c r="B3203">
        <v>50</v>
      </c>
      <c r="C3203" t="s">
        <v>15</v>
      </c>
      <c r="D3203" t="s">
        <v>29</v>
      </c>
      <c r="E3203" t="s">
        <v>17</v>
      </c>
      <c r="F3203" t="s">
        <v>21</v>
      </c>
      <c r="G3203" t="s">
        <v>41</v>
      </c>
      <c r="H3203" t="s">
        <v>20</v>
      </c>
      <c r="I3203" s="1">
        <v>1</v>
      </c>
      <c r="J3203" s="2">
        <v>45869</v>
      </c>
      <c r="K3203" s="2">
        <v>45839</v>
      </c>
      <c r="L3203" s="1" t="str">
        <f t="shared" si="373"/>
        <v>qui</v>
      </c>
      <c r="M3203" s="1" t="str">
        <f t="shared" si="374"/>
        <v>jul</v>
      </c>
      <c r="N3203">
        <f t="shared" si="375"/>
        <v>2025</v>
      </c>
      <c r="O3203" s="2">
        <f>_xlfn.XLOOKUP(A3203,Colaboradores!$A:$A,Colaboradores!$S:$S,"",0)</f>
        <v>45942</v>
      </c>
      <c r="P3203" t="str">
        <f t="shared" si="376"/>
        <v>163545869</v>
      </c>
    </row>
    <row r="3204" spans="1:16" x14ac:dyDescent="0.3">
      <c r="A3204">
        <v>1635</v>
      </c>
      <c r="B3204">
        <v>50</v>
      </c>
      <c r="C3204" t="s">
        <v>15</v>
      </c>
      <c r="D3204" t="s">
        <v>29</v>
      </c>
      <c r="E3204" t="s">
        <v>17</v>
      </c>
      <c r="F3204" t="s">
        <v>21</v>
      </c>
      <c r="G3204" t="s">
        <v>41</v>
      </c>
      <c r="H3204" t="s">
        <v>20</v>
      </c>
      <c r="I3204" s="1">
        <v>1</v>
      </c>
      <c r="J3204" s="2">
        <v>45906</v>
      </c>
      <c r="K3204" s="2">
        <v>45901</v>
      </c>
      <c r="L3204" s="1" t="str">
        <f t="shared" si="373"/>
        <v>sáb</v>
      </c>
      <c r="M3204" s="1" t="str">
        <f t="shared" si="374"/>
        <v>set</v>
      </c>
      <c r="N3204">
        <f t="shared" si="375"/>
        <v>2025</v>
      </c>
      <c r="O3204" s="2">
        <f>_xlfn.XLOOKUP(A3204,Colaboradores!$A:$A,Colaboradores!$S:$S,"",0)</f>
        <v>45942</v>
      </c>
      <c r="P3204" t="str">
        <f t="shared" si="376"/>
        <v>163545906</v>
      </c>
    </row>
    <row r="3205" spans="1:16" x14ac:dyDescent="0.3">
      <c r="A3205">
        <v>1637</v>
      </c>
      <c r="B3205">
        <v>53</v>
      </c>
      <c r="C3205" t="s">
        <v>15</v>
      </c>
      <c r="D3205" t="s">
        <v>16</v>
      </c>
      <c r="E3205" t="s">
        <v>17</v>
      </c>
      <c r="F3205" t="s">
        <v>21</v>
      </c>
      <c r="G3205" t="s">
        <v>41</v>
      </c>
      <c r="H3205" t="s">
        <v>20</v>
      </c>
      <c r="I3205" s="1">
        <v>1</v>
      </c>
      <c r="J3205" s="2">
        <v>45673</v>
      </c>
      <c r="K3205" s="2">
        <v>45658</v>
      </c>
      <c r="L3205" s="1" t="str">
        <f t="shared" si="373"/>
        <v>qui</v>
      </c>
      <c r="M3205" s="1" t="str">
        <f t="shared" si="374"/>
        <v>jan</v>
      </c>
      <c r="N3205">
        <f t="shared" si="375"/>
        <v>2025</v>
      </c>
      <c r="O3205" s="2">
        <f>_xlfn.XLOOKUP(A3205,Colaboradores!$A:$A,Colaboradores!$S:$S,"",0)</f>
        <v>45841</v>
      </c>
      <c r="P3205" t="str">
        <f t="shared" si="376"/>
        <v>163745673</v>
      </c>
    </row>
    <row r="3206" spans="1:16" x14ac:dyDescent="0.3">
      <c r="A3206">
        <v>1637</v>
      </c>
      <c r="B3206">
        <v>53</v>
      </c>
      <c r="C3206" t="s">
        <v>15</v>
      </c>
      <c r="D3206" t="s">
        <v>16</v>
      </c>
      <c r="E3206" t="s">
        <v>17</v>
      </c>
      <c r="F3206" t="s">
        <v>21</v>
      </c>
      <c r="G3206" t="s">
        <v>41</v>
      </c>
      <c r="H3206" t="s">
        <v>20</v>
      </c>
      <c r="I3206" s="1">
        <v>1</v>
      </c>
      <c r="J3206" s="2">
        <v>45837</v>
      </c>
      <c r="K3206" s="2">
        <v>45809</v>
      </c>
      <c r="L3206" s="1" t="str">
        <f t="shared" si="373"/>
        <v>dom</v>
      </c>
      <c r="M3206" s="1" t="str">
        <f t="shared" si="374"/>
        <v>jun</v>
      </c>
      <c r="N3206">
        <f t="shared" si="375"/>
        <v>2025</v>
      </c>
      <c r="O3206" s="2">
        <f>_xlfn.XLOOKUP(A3206,Colaboradores!$A:$A,Colaboradores!$S:$S,"",0)</f>
        <v>45841</v>
      </c>
      <c r="P3206" t="str">
        <f t="shared" si="376"/>
        <v>163745837</v>
      </c>
    </row>
    <row r="3207" spans="1:16" x14ac:dyDescent="0.3">
      <c r="A3207">
        <v>1637</v>
      </c>
      <c r="B3207">
        <v>53</v>
      </c>
      <c r="C3207" t="s">
        <v>15</v>
      </c>
      <c r="D3207" t="s">
        <v>16</v>
      </c>
      <c r="E3207" t="s">
        <v>17</v>
      </c>
      <c r="F3207" t="s">
        <v>21</v>
      </c>
      <c r="G3207" t="s">
        <v>41</v>
      </c>
      <c r="H3207" t="s">
        <v>20</v>
      </c>
      <c r="I3207" s="1">
        <v>1</v>
      </c>
      <c r="J3207" s="2">
        <v>45838</v>
      </c>
      <c r="K3207" s="2">
        <v>45809</v>
      </c>
      <c r="L3207" s="1" t="str">
        <f t="shared" si="373"/>
        <v>seg</v>
      </c>
      <c r="M3207" s="1" t="str">
        <f t="shared" si="374"/>
        <v>jun</v>
      </c>
      <c r="N3207">
        <f t="shared" si="375"/>
        <v>2025</v>
      </c>
      <c r="O3207" s="2">
        <f>_xlfn.XLOOKUP(A3207,Colaboradores!$A:$A,Colaboradores!$S:$S,"",0)</f>
        <v>45841</v>
      </c>
      <c r="P3207" t="str">
        <f t="shared" si="376"/>
        <v>163745838</v>
      </c>
    </row>
    <row r="3208" spans="1:16" x14ac:dyDescent="0.3">
      <c r="A3208">
        <v>1637</v>
      </c>
      <c r="B3208">
        <v>53</v>
      </c>
      <c r="C3208" t="s">
        <v>15</v>
      </c>
      <c r="D3208" t="s">
        <v>16</v>
      </c>
      <c r="E3208" t="s">
        <v>17</v>
      </c>
      <c r="F3208" t="s">
        <v>21</v>
      </c>
      <c r="G3208" t="s">
        <v>41</v>
      </c>
      <c r="H3208" t="s">
        <v>20</v>
      </c>
      <c r="I3208" s="1">
        <v>1</v>
      </c>
      <c r="J3208" s="2">
        <v>45839</v>
      </c>
      <c r="K3208" s="2">
        <v>45839</v>
      </c>
      <c r="L3208" s="1" t="str">
        <f t="shared" si="373"/>
        <v>ter</v>
      </c>
      <c r="M3208" s="1" t="str">
        <f t="shared" si="374"/>
        <v>jul</v>
      </c>
      <c r="N3208">
        <f t="shared" si="375"/>
        <v>2025</v>
      </c>
      <c r="O3208" s="2">
        <f>_xlfn.XLOOKUP(A3208,Colaboradores!$A:$A,Colaboradores!$S:$S,"",0)</f>
        <v>45841</v>
      </c>
      <c r="P3208" t="str">
        <f t="shared" si="376"/>
        <v>163745839</v>
      </c>
    </row>
    <row r="3209" spans="1:16" x14ac:dyDescent="0.3">
      <c r="A3209">
        <v>1637</v>
      </c>
      <c r="B3209">
        <v>53</v>
      </c>
      <c r="C3209" t="s">
        <v>15</v>
      </c>
      <c r="D3209" t="s">
        <v>16</v>
      </c>
      <c r="E3209" t="s">
        <v>17</v>
      </c>
      <c r="F3209" t="s">
        <v>21</v>
      </c>
      <c r="G3209" t="s">
        <v>41</v>
      </c>
      <c r="H3209" t="s">
        <v>20</v>
      </c>
      <c r="I3209" s="1">
        <v>1</v>
      </c>
      <c r="J3209" s="2">
        <v>45840</v>
      </c>
      <c r="K3209" s="2">
        <v>45839</v>
      </c>
      <c r="L3209" s="1" t="str">
        <f t="shared" si="373"/>
        <v>qua</v>
      </c>
      <c r="M3209" s="1" t="str">
        <f t="shared" si="374"/>
        <v>jul</v>
      </c>
      <c r="N3209">
        <f t="shared" si="375"/>
        <v>2025</v>
      </c>
      <c r="O3209" s="2">
        <f>_xlfn.XLOOKUP(A3209,Colaboradores!$A:$A,Colaboradores!$S:$S,"",0)</f>
        <v>45841</v>
      </c>
      <c r="P3209" t="str">
        <f t="shared" si="376"/>
        <v>163745840</v>
      </c>
    </row>
    <row r="3210" spans="1:16" x14ac:dyDescent="0.3">
      <c r="A3210">
        <v>1638</v>
      </c>
      <c r="B3210">
        <v>45</v>
      </c>
      <c r="C3210" t="s">
        <v>26</v>
      </c>
      <c r="D3210" t="s">
        <v>29</v>
      </c>
      <c r="E3210" t="s">
        <v>17</v>
      </c>
      <c r="F3210" t="s">
        <v>18</v>
      </c>
      <c r="G3210" t="s">
        <v>41</v>
      </c>
      <c r="H3210" t="s">
        <v>25</v>
      </c>
      <c r="I3210" s="1">
        <v>3</v>
      </c>
      <c r="J3210" s="2">
        <v>45814</v>
      </c>
      <c r="K3210" s="2">
        <v>45809</v>
      </c>
      <c r="L3210" s="1" t="str">
        <f t="shared" si="373"/>
        <v>sex</v>
      </c>
      <c r="M3210" s="1" t="str">
        <f t="shared" si="374"/>
        <v>jun</v>
      </c>
      <c r="N3210">
        <f t="shared" si="375"/>
        <v>2025</v>
      </c>
      <c r="O3210" s="2"/>
      <c r="P3210" t="str">
        <f t="shared" si="376"/>
        <v>163845814</v>
      </c>
    </row>
    <row r="3211" spans="1:16" x14ac:dyDescent="0.3">
      <c r="A3211">
        <v>1638</v>
      </c>
      <c r="B3211">
        <v>45</v>
      </c>
      <c r="C3211" t="s">
        <v>26</v>
      </c>
      <c r="D3211" t="s">
        <v>29</v>
      </c>
      <c r="E3211" t="s">
        <v>17</v>
      </c>
      <c r="F3211" t="s">
        <v>18</v>
      </c>
      <c r="G3211" t="s">
        <v>41</v>
      </c>
      <c r="H3211" t="s">
        <v>25</v>
      </c>
      <c r="I3211" s="1">
        <v>3</v>
      </c>
      <c r="J3211" s="2">
        <v>46181</v>
      </c>
      <c r="K3211" s="2">
        <v>46023</v>
      </c>
      <c r="L3211" s="1" t="str">
        <f t="shared" si="373"/>
        <v>seg</v>
      </c>
      <c r="M3211" s="1" t="str">
        <f t="shared" si="374"/>
        <v>jun</v>
      </c>
      <c r="N3211">
        <f t="shared" si="375"/>
        <v>2026</v>
      </c>
      <c r="O3211" s="2"/>
      <c r="P3211" t="str">
        <f t="shared" si="376"/>
        <v>163846181</v>
      </c>
    </row>
    <row r="3212" spans="1:16" x14ac:dyDescent="0.3">
      <c r="A3212">
        <v>1638</v>
      </c>
      <c r="B3212">
        <v>45</v>
      </c>
      <c r="C3212" t="s">
        <v>26</v>
      </c>
      <c r="D3212" t="s">
        <v>29</v>
      </c>
      <c r="E3212" t="s">
        <v>17</v>
      </c>
      <c r="F3212" t="s">
        <v>18</v>
      </c>
      <c r="G3212" t="s">
        <v>41</v>
      </c>
      <c r="H3212" t="s">
        <v>25</v>
      </c>
      <c r="I3212" s="1">
        <v>3</v>
      </c>
      <c r="J3212" s="2">
        <v>46198</v>
      </c>
      <c r="K3212" s="2">
        <v>46023</v>
      </c>
      <c r="L3212" s="1" t="str">
        <f t="shared" si="373"/>
        <v>qui</v>
      </c>
      <c r="M3212" s="1" t="str">
        <f t="shared" si="374"/>
        <v>jun</v>
      </c>
      <c r="N3212">
        <f t="shared" si="375"/>
        <v>2026</v>
      </c>
      <c r="O3212" s="2"/>
      <c r="P3212" t="str">
        <f t="shared" si="376"/>
        <v>163846198</v>
      </c>
    </row>
    <row r="3213" spans="1:16" x14ac:dyDescent="0.3">
      <c r="A3213">
        <v>1638</v>
      </c>
      <c r="B3213">
        <v>45</v>
      </c>
      <c r="C3213" t="s">
        <v>26</v>
      </c>
      <c r="D3213" t="s">
        <v>29</v>
      </c>
      <c r="E3213" t="s">
        <v>17</v>
      </c>
      <c r="F3213" t="s">
        <v>18</v>
      </c>
      <c r="G3213" t="s">
        <v>41</v>
      </c>
      <c r="H3213" t="s">
        <v>25</v>
      </c>
      <c r="I3213" s="1">
        <v>3</v>
      </c>
      <c r="J3213" s="2">
        <v>46093</v>
      </c>
      <c r="K3213" s="2">
        <v>46082</v>
      </c>
      <c r="L3213" s="1" t="str">
        <f t="shared" si="373"/>
        <v>qui</v>
      </c>
      <c r="M3213" s="1" t="str">
        <f t="shared" si="374"/>
        <v>mar</v>
      </c>
      <c r="N3213">
        <f t="shared" si="375"/>
        <v>2026</v>
      </c>
      <c r="O3213" s="2"/>
      <c r="P3213" t="str">
        <f t="shared" si="376"/>
        <v>163846093</v>
      </c>
    </row>
    <row r="3214" spans="1:16" x14ac:dyDescent="0.3">
      <c r="A3214">
        <v>1638</v>
      </c>
      <c r="B3214">
        <v>45</v>
      </c>
      <c r="C3214" t="s">
        <v>26</v>
      </c>
      <c r="D3214" t="s">
        <v>29</v>
      </c>
      <c r="E3214" t="s">
        <v>17</v>
      </c>
      <c r="F3214" t="s">
        <v>18</v>
      </c>
      <c r="G3214" t="s">
        <v>41</v>
      </c>
      <c r="H3214" t="s">
        <v>25</v>
      </c>
      <c r="I3214" s="1">
        <v>3</v>
      </c>
      <c r="J3214" s="2">
        <v>46104</v>
      </c>
      <c r="K3214" s="2">
        <v>46082</v>
      </c>
      <c r="L3214" s="1" t="str">
        <f t="shared" si="373"/>
        <v>seg</v>
      </c>
      <c r="M3214" s="1" t="str">
        <f t="shared" si="374"/>
        <v>mar</v>
      </c>
      <c r="N3214">
        <f t="shared" si="375"/>
        <v>2026</v>
      </c>
      <c r="O3214" s="2"/>
      <c r="P3214" t="str">
        <f t="shared" si="376"/>
        <v>163846104</v>
      </c>
    </row>
    <row r="3215" spans="1:16" x14ac:dyDescent="0.3">
      <c r="A3215">
        <v>1639</v>
      </c>
      <c r="B3215">
        <v>58</v>
      </c>
      <c r="C3215" t="s">
        <v>26</v>
      </c>
      <c r="D3215" t="s">
        <v>16</v>
      </c>
      <c r="E3215" t="s">
        <v>17</v>
      </c>
      <c r="F3215" t="s">
        <v>23</v>
      </c>
      <c r="G3215" t="s">
        <v>41</v>
      </c>
      <c r="H3215" t="s">
        <v>25</v>
      </c>
      <c r="I3215" s="1">
        <v>1</v>
      </c>
      <c r="J3215" s="2">
        <v>45898</v>
      </c>
      <c r="K3215" s="2">
        <v>45870</v>
      </c>
      <c r="L3215" s="1" t="str">
        <f t="shared" si="373"/>
        <v>sex</v>
      </c>
      <c r="M3215" s="1" t="str">
        <f t="shared" si="374"/>
        <v>ago</v>
      </c>
      <c r="N3215">
        <f t="shared" si="375"/>
        <v>2025</v>
      </c>
      <c r="O3215" s="2"/>
      <c r="P3215" t="str">
        <f t="shared" si="376"/>
        <v>163945898</v>
      </c>
    </row>
    <row r="3216" spans="1:16" x14ac:dyDescent="0.3">
      <c r="A3216">
        <v>1639</v>
      </c>
      <c r="B3216">
        <v>58</v>
      </c>
      <c r="C3216" t="s">
        <v>26</v>
      </c>
      <c r="D3216" t="s">
        <v>16</v>
      </c>
      <c r="E3216" t="s">
        <v>17</v>
      </c>
      <c r="F3216" t="s">
        <v>23</v>
      </c>
      <c r="G3216" t="s">
        <v>41</v>
      </c>
      <c r="H3216" t="s">
        <v>25</v>
      </c>
      <c r="I3216" s="1">
        <v>1</v>
      </c>
      <c r="J3216" s="2">
        <v>45960</v>
      </c>
      <c r="K3216" s="2">
        <v>45931</v>
      </c>
      <c r="L3216" s="1" t="str">
        <f t="shared" si="373"/>
        <v>qui</v>
      </c>
      <c r="M3216" s="1" t="str">
        <f t="shared" si="374"/>
        <v>out</v>
      </c>
      <c r="N3216">
        <f t="shared" si="375"/>
        <v>2025</v>
      </c>
      <c r="O3216" s="2"/>
      <c r="P3216" t="str">
        <f t="shared" si="376"/>
        <v>163945960</v>
      </c>
    </row>
    <row r="3217" spans="1:16" x14ac:dyDescent="0.3">
      <c r="A3217">
        <v>1639</v>
      </c>
      <c r="B3217">
        <v>58</v>
      </c>
      <c r="C3217" t="s">
        <v>26</v>
      </c>
      <c r="D3217" t="s">
        <v>16</v>
      </c>
      <c r="E3217" t="s">
        <v>17</v>
      </c>
      <c r="F3217" t="s">
        <v>23</v>
      </c>
      <c r="G3217" t="s">
        <v>41</v>
      </c>
      <c r="H3217" t="s">
        <v>25</v>
      </c>
      <c r="I3217" s="1">
        <v>1</v>
      </c>
      <c r="J3217" s="2">
        <v>46001</v>
      </c>
      <c r="K3217" s="2">
        <v>45992</v>
      </c>
      <c r="L3217" s="1" t="str">
        <f t="shared" si="373"/>
        <v>qua</v>
      </c>
      <c r="M3217" s="1" t="str">
        <f t="shared" si="374"/>
        <v>dez</v>
      </c>
      <c r="N3217">
        <f t="shared" si="375"/>
        <v>2025</v>
      </c>
      <c r="O3217" s="2"/>
      <c r="P3217" t="str">
        <f t="shared" si="376"/>
        <v>163946001</v>
      </c>
    </row>
    <row r="3218" spans="1:16" x14ac:dyDescent="0.3">
      <c r="A3218">
        <v>1639</v>
      </c>
      <c r="B3218">
        <v>58</v>
      </c>
      <c r="C3218" t="s">
        <v>26</v>
      </c>
      <c r="D3218" t="s">
        <v>16</v>
      </c>
      <c r="E3218" t="s">
        <v>17</v>
      </c>
      <c r="F3218" t="s">
        <v>23</v>
      </c>
      <c r="G3218" t="s">
        <v>41</v>
      </c>
      <c r="H3218" t="s">
        <v>25</v>
      </c>
      <c r="I3218" s="1">
        <v>1</v>
      </c>
      <c r="J3218" s="2">
        <v>46179</v>
      </c>
      <c r="K3218" s="2">
        <v>46023</v>
      </c>
      <c r="L3218" s="1" t="str">
        <f t="shared" si="373"/>
        <v>sáb</v>
      </c>
      <c r="M3218" s="1" t="str">
        <f t="shared" si="374"/>
        <v>jun</v>
      </c>
      <c r="N3218">
        <f t="shared" si="375"/>
        <v>2026</v>
      </c>
      <c r="O3218" s="2"/>
      <c r="P3218" t="str">
        <f t="shared" si="376"/>
        <v>163946179</v>
      </c>
    </row>
    <row r="3219" spans="1:16" x14ac:dyDescent="0.3">
      <c r="A3219">
        <v>1639</v>
      </c>
      <c r="B3219">
        <v>58</v>
      </c>
      <c r="C3219" t="s">
        <v>26</v>
      </c>
      <c r="D3219" t="s">
        <v>16</v>
      </c>
      <c r="E3219" t="s">
        <v>17</v>
      </c>
      <c r="F3219" t="s">
        <v>23</v>
      </c>
      <c r="G3219" t="s">
        <v>41</v>
      </c>
      <c r="H3219" t="s">
        <v>25</v>
      </c>
      <c r="I3219" s="1">
        <v>1</v>
      </c>
      <c r="J3219" s="2">
        <v>46192</v>
      </c>
      <c r="K3219" s="2">
        <v>46023</v>
      </c>
      <c r="L3219" s="1" t="str">
        <f t="shared" si="373"/>
        <v>sex</v>
      </c>
      <c r="M3219" s="1" t="str">
        <f t="shared" si="374"/>
        <v>jun</v>
      </c>
      <c r="N3219">
        <f t="shared" si="375"/>
        <v>2026</v>
      </c>
      <c r="O3219" s="2"/>
      <c r="P3219" t="str">
        <f t="shared" si="376"/>
        <v>163946192</v>
      </c>
    </row>
    <row r="3220" spans="1:16" x14ac:dyDescent="0.3">
      <c r="A3220">
        <v>1639</v>
      </c>
      <c r="B3220">
        <v>58</v>
      </c>
      <c r="C3220" t="s">
        <v>26</v>
      </c>
      <c r="D3220" t="s">
        <v>16</v>
      </c>
      <c r="E3220" t="s">
        <v>17</v>
      </c>
      <c r="F3220" t="s">
        <v>23</v>
      </c>
      <c r="G3220" t="s">
        <v>41</v>
      </c>
      <c r="H3220" t="s">
        <v>25</v>
      </c>
      <c r="I3220" s="1">
        <v>1</v>
      </c>
      <c r="J3220" s="2">
        <v>46055</v>
      </c>
      <c r="K3220" s="2">
        <v>46054</v>
      </c>
      <c r="L3220" s="1" t="str">
        <f t="shared" si="373"/>
        <v>seg</v>
      </c>
      <c r="M3220" s="1" t="str">
        <f t="shared" si="374"/>
        <v>fev</v>
      </c>
      <c r="N3220">
        <f t="shared" si="375"/>
        <v>2026</v>
      </c>
      <c r="O3220" s="2"/>
      <c r="P3220" t="str">
        <f t="shared" si="376"/>
        <v>163946055</v>
      </c>
    </row>
    <row r="3221" spans="1:16" x14ac:dyDescent="0.3">
      <c r="A3221">
        <v>1640</v>
      </c>
      <c r="B3221">
        <v>57</v>
      </c>
      <c r="C3221" t="s">
        <v>15</v>
      </c>
      <c r="D3221" t="s">
        <v>29</v>
      </c>
      <c r="E3221" t="s">
        <v>17</v>
      </c>
      <c r="F3221" t="s">
        <v>21</v>
      </c>
      <c r="G3221" t="s">
        <v>41</v>
      </c>
      <c r="H3221" t="s">
        <v>25</v>
      </c>
      <c r="I3221" s="1">
        <v>2</v>
      </c>
      <c r="J3221" s="2">
        <v>45941</v>
      </c>
      <c r="K3221" s="2">
        <v>45931</v>
      </c>
      <c r="L3221" s="1" t="str">
        <f t="shared" si="373"/>
        <v>sáb</v>
      </c>
      <c r="M3221" s="1" t="str">
        <f t="shared" si="374"/>
        <v>out</v>
      </c>
      <c r="N3221">
        <f t="shared" si="375"/>
        <v>2025</v>
      </c>
      <c r="O3221" s="2"/>
      <c r="P3221" t="str">
        <f t="shared" si="376"/>
        <v>164045941</v>
      </c>
    </row>
    <row r="3222" spans="1:16" x14ac:dyDescent="0.3">
      <c r="A3222">
        <v>1640</v>
      </c>
      <c r="B3222">
        <v>57</v>
      </c>
      <c r="C3222" t="s">
        <v>15</v>
      </c>
      <c r="D3222" t="s">
        <v>29</v>
      </c>
      <c r="E3222" t="s">
        <v>17</v>
      </c>
      <c r="F3222" t="s">
        <v>21</v>
      </c>
      <c r="G3222" t="s">
        <v>41</v>
      </c>
      <c r="H3222" t="s">
        <v>25</v>
      </c>
      <c r="I3222" s="1">
        <v>2</v>
      </c>
      <c r="J3222" s="2">
        <v>45979</v>
      </c>
      <c r="K3222" s="2">
        <v>45962</v>
      </c>
      <c r="L3222" s="1" t="str">
        <f t="shared" si="373"/>
        <v>ter</v>
      </c>
      <c r="M3222" s="1" t="str">
        <f t="shared" si="374"/>
        <v>nov</v>
      </c>
      <c r="N3222">
        <f t="shared" si="375"/>
        <v>2025</v>
      </c>
      <c r="O3222" s="2"/>
      <c r="P3222" t="str">
        <f t="shared" si="376"/>
        <v>164045979</v>
      </c>
    </row>
    <row r="3223" spans="1:16" x14ac:dyDescent="0.3">
      <c r="A3223">
        <v>1640</v>
      </c>
      <c r="B3223">
        <v>57</v>
      </c>
      <c r="C3223" t="s">
        <v>15</v>
      </c>
      <c r="D3223" t="s">
        <v>29</v>
      </c>
      <c r="E3223" t="s">
        <v>17</v>
      </c>
      <c r="F3223" t="s">
        <v>21</v>
      </c>
      <c r="G3223" t="s">
        <v>41</v>
      </c>
      <c r="H3223" t="s">
        <v>25</v>
      </c>
      <c r="I3223" s="1">
        <v>2</v>
      </c>
      <c r="J3223" s="2">
        <v>46014</v>
      </c>
      <c r="K3223" s="2">
        <v>45992</v>
      </c>
      <c r="L3223" s="1" t="str">
        <f t="shared" si="373"/>
        <v>ter</v>
      </c>
      <c r="M3223" s="1" t="str">
        <f t="shared" si="374"/>
        <v>dez</v>
      </c>
      <c r="N3223">
        <f t="shared" si="375"/>
        <v>2025</v>
      </c>
      <c r="O3223" s="2"/>
      <c r="P3223" t="str">
        <f t="shared" si="376"/>
        <v>164046014</v>
      </c>
    </row>
    <row r="3224" spans="1:16" x14ac:dyDescent="0.3">
      <c r="A3224">
        <v>1640</v>
      </c>
      <c r="B3224">
        <v>57</v>
      </c>
      <c r="C3224" t="s">
        <v>15</v>
      </c>
      <c r="D3224" t="s">
        <v>29</v>
      </c>
      <c r="E3224" t="s">
        <v>17</v>
      </c>
      <c r="F3224" t="s">
        <v>21</v>
      </c>
      <c r="G3224" t="s">
        <v>41</v>
      </c>
      <c r="H3224" t="s">
        <v>25</v>
      </c>
      <c r="I3224" s="1">
        <v>2</v>
      </c>
      <c r="J3224" s="2">
        <v>46063</v>
      </c>
      <c r="K3224" s="2">
        <v>46054</v>
      </c>
      <c r="L3224" s="1" t="str">
        <f t="shared" si="373"/>
        <v>ter</v>
      </c>
      <c r="M3224" s="1" t="str">
        <f t="shared" si="374"/>
        <v>fev</v>
      </c>
      <c r="N3224">
        <f t="shared" si="375"/>
        <v>2026</v>
      </c>
      <c r="O3224" s="2"/>
      <c r="P3224" t="str">
        <f t="shared" si="376"/>
        <v>164046063</v>
      </c>
    </row>
    <row r="3225" spans="1:16" x14ac:dyDescent="0.3">
      <c r="A3225">
        <v>1640</v>
      </c>
      <c r="B3225">
        <v>57</v>
      </c>
      <c r="C3225" t="s">
        <v>15</v>
      </c>
      <c r="D3225" t="s">
        <v>29</v>
      </c>
      <c r="E3225" t="s">
        <v>17</v>
      </c>
      <c r="F3225" t="s">
        <v>21</v>
      </c>
      <c r="G3225" t="s">
        <v>41</v>
      </c>
      <c r="H3225" t="s">
        <v>25</v>
      </c>
      <c r="I3225" s="1">
        <v>2</v>
      </c>
      <c r="J3225" s="2">
        <v>46080</v>
      </c>
      <c r="K3225" s="2">
        <v>46054</v>
      </c>
      <c r="L3225" s="1" t="str">
        <f t="shared" si="373"/>
        <v>sex</v>
      </c>
      <c r="M3225" s="1" t="str">
        <f t="shared" si="374"/>
        <v>fev</v>
      </c>
      <c r="N3225">
        <f t="shared" si="375"/>
        <v>2026</v>
      </c>
      <c r="O3225" s="2"/>
      <c r="P3225" t="str">
        <f t="shared" si="376"/>
        <v>164046080</v>
      </c>
    </row>
    <row r="3226" spans="1:16" x14ac:dyDescent="0.3">
      <c r="A3226">
        <v>1641</v>
      </c>
      <c r="B3226">
        <v>24</v>
      </c>
      <c r="C3226" t="s">
        <v>26</v>
      </c>
      <c r="D3226" t="s">
        <v>16</v>
      </c>
      <c r="E3226" t="s">
        <v>17</v>
      </c>
      <c r="F3226" t="s">
        <v>21</v>
      </c>
      <c r="G3226" t="s">
        <v>41</v>
      </c>
      <c r="H3226" t="s">
        <v>25</v>
      </c>
      <c r="I3226" s="1">
        <v>1</v>
      </c>
      <c r="J3226" s="2">
        <v>45815</v>
      </c>
      <c r="K3226" s="2">
        <v>45809</v>
      </c>
      <c r="L3226" s="1" t="str">
        <f t="shared" si="373"/>
        <v>sáb</v>
      </c>
      <c r="M3226" s="1" t="str">
        <f t="shared" si="374"/>
        <v>jun</v>
      </c>
      <c r="N3226">
        <f t="shared" si="375"/>
        <v>2025</v>
      </c>
      <c r="O3226" s="2"/>
      <c r="P3226" t="str">
        <f t="shared" si="376"/>
        <v>164145815</v>
      </c>
    </row>
    <row r="3227" spans="1:16" x14ac:dyDescent="0.3">
      <c r="A3227">
        <v>1641</v>
      </c>
      <c r="B3227">
        <v>24</v>
      </c>
      <c r="C3227" t="s">
        <v>26</v>
      </c>
      <c r="D3227" t="s">
        <v>16</v>
      </c>
      <c r="E3227" t="s">
        <v>17</v>
      </c>
      <c r="F3227" t="s">
        <v>21</v>
      </c>
      <c r="G3227" t="s">
        <v>41</v>
      </c>
      <c r="H3227" t="s">
        <v>25</v>
      </c>
      <c r="I3227" s="1">
        <v>1</v>
      </c>
      <c r="J3227" s="2">
        <v>45864</v>
      </c>
      <c r="K3227" s="2">
        <v>45839</v>
      </c>
      <c r="L3227" s="1" t="str">
        <f t="shared" si="373"/>
        <v>sáb</v>
      </c>
      <c r="M3227" s="1" t="str">
        <f t="shared" si="374"/>
        <v>jul</v>
      </c>
      <c r="N3227">
        <f t="shared" si="375"/>
        <v>2025</v>
      </c>
      <c r="O3227" s="2"/>
      <c r="P3227" t="str">
        <f t="shared" si="376"/>
        <v>164145864</v>
      </c>
    </row>
    <row r="3228" spans="1:16" x14ac:dyDescent="0.3">
      <c r="A3228">
        <v>1641</v>
      </c>
      <c r="B3228">
        <v>24</v>
      </c>
      <c r="C3228" t="s">
        <v>26</v>
      </c>
      <c r="D3228" t="s">
        <v>16</v>
      </c>
      <c r="E3228" t="s">
        <v>17</v>
      </c>
      <c r="F3228" t="s">
        <v>21</v>
      </c>
      <c r="G3228" t="s">
        <v>41</v>
      </c>
      <c r="H3228" t="s">
        <v>25</v>
      </c>
      <c r="I3228" s="1">
        <v>1</v>
      </c>
      <c r="J3228" s="2">
        <v>45871</v>
      </c>
      <c r="K3228" s="2">
        <v>45870</v>
      </c>
      <c r="L3228" s="1" t="str">
        <f t="shared" si="373"/>
        <v>sáb</v>
      </c>
      <c r="M3228" s="1" t="str">
        <f t="shared" si="374"/>
        <v>ago</v>
      </c>
      <c r="N3228">
        <f t="shared" si="375"/>
        <v>2025</v>
      </c>
      <c r="O3228" s="2"/>
      <c r="P3228" t="str">
        <f t="shared" si="376"/>
        <v>164145871</v>
      </c>
    </row>
    <row r="3229" spans="1:16" x14ac:dyDescent="0.3">
      <c r="A3229">
        <v>1641</v>
      </c>
      <c r="B3229">
        <v>24</v>
      </c>
      <c r="C3229" t="s">
        <v>26</v>
      </c>
      <c r="D3229" t="s">
        <v>16</v>
      </c>
      <c r="E3229" t="s">
        <v>17</v>
      </c>
      <c r="F3229" t="s">
        <v>21</v>
      </c>
      <c r="G3229" t="s">
        <v>41</v>
      </c>
      <c r="H3229" t="s">
        <v>25</v>
      </c>
      <c r="I3229" s="1">
        <v>1</v>
      </c>
      <c r="J3229" s="2">
        <v>45887</v>
      </c>
      <c r="K3229" s="2">
        <v>45870</v>
      </c>
      <c r="L3229" s="1" t="str">
        <f t="shared" si="373"/>
        <v>seg</v>
      </c>
      <c r="M3229" s="1" t="str">
        <f t="shared" si="374"/>
        <v>ago</v>
      </c>
      <c r="N3229">
        <f t="shared" si="375"/>
        <v>2025</v>
      </c>
      <c r="O3229" s="2"/>
      <c r="P3229" t="str">
        <f t="shared" si="376"/>
        <v>164145887</v>
      </c>
    </row>
    <row r="3230" spans="1:16" x14ac:dyDescent="0.3">
      <c r="A3230">
        <v>1641</v>
      </c>
      <c r="B3230">
        <v>24</v>
      </c>
      <c r="C3230" t="s">
        <v>26</v>
      </c>
      <c r="D3230" t="s">
        <v>16</v>
      </c>
      <c r="E3230" t="s">
        <v>17</v>
      </c>
      <c r="F3230" t="s">
        <v>21</v>
      </c>
      <c r="G3230" t="s">
        <v>41</v>
      </c>
      <c r="H3230" t="s">
        <v>25</v>
      </c>
      <c r="I3230" s="1">
        <v>1</v>
      </c>
      <c r="J3230" s="2">
        <v>45983</v>
      </c>
      <c r="K3230" s="2">
        <v>45962</v>
      </c>
      <c r="L3230" s="1" t="str">
        <f t="shared" si="373"/>
        <v>sáb</v>
      </c>
      <c r="M3230" s="1" t="str">
        <f t="shared" si="374"/>
        <v>nov</v>
      </c>
      <c r="N3230">
        <f t="shared" si="375"/>
        <v>2025</v>
      </c>
      <c r="O3230" s="2"/>
      <c r="P3230" t="str">
        <f t="shared" si="376"/>
        <v>164145983</v>
      </c>
    </row>
    <row r="3231" spans="1:16" x14ac:dyDescent="0.3">
      <c r="A3231">
        <v>1641</v>
      </c>
      <c r="B3231">
        <v>24</v>
      </c>
      <c r="C3231" t="s">
        <v>26</v>
      </c>
      <c r="D3231" t="s">
        <v>16</v>
      </c>
      <c r="E3231" t="s">
        <v>17</v>
      </c>
      <c r="F3231" t="s">
        <v>21</v>
      </c>
      <c r="G3231" t="s">
        <v>41</v>
      </c>
      <c r="H3231" t="s">
        <v>25</v>
      </c>
      <c r="I3231" s="1">
        <v>1</v>
      </c>
      <c r="J3231" s="2">
        <v>46185</v>
      </c>
      <c r="K3231" s="2">
        <v>46023</v>
      </c>
      <c r="L3231" s="1" t="str">
        <f t="shared" si="373"/>
        <v>sex</v>
      </c>
      <c r="M3231" s="1" t="str">
        <f t="shared" si="374"/>
        <v>jun</v>
      </c>
      <c r="N3231">
        <f t="shared" si="375"/>
        <v>2026</v>
      </c>
      <c r="O3231" s="2"/>
      <c r="P3231" t="str">
        <f t="shared" si="376"/>
        <v>164146185</v>
      </c>
    </row>
    <row r="3232" spans="1:16" x14ac:dyDescent="0.3">
      <c r="A3232">
        <v>1642</v>
      </c>
      <c r="B3232">
        <v>51</v>
      </c>
      <c r="C3232" t="s">
        <v>26</v>
      </c>
      <c r="D3232" t="s">
        <v>31</v>
      </c>
      <c r="E3232" t="s">
        <v>34</v>
      </c>
      <c r="F3232" t="s">
        <v>21</v>
      </c>
      <c r="G3232" t="s">
        <v>41</v>
      </c>
      <c r="H3232" t="s">
        <v>20</v>
      </c>
      <c r="I3232" s="1">
        <v>1</v>
      </c>
      <c r="J3232" s="2">
        <v>45676</v>
      </c>
      <c r="K3232" s="2">
        <v>45658</v>
      </c>
      <c r="L3232" s="1" t="str">
        <f t="shared" si="373"/>
        <v>dom</v>
      </c>
      <c r="M3232" s="1" t="str">
        <f t="shared" si="374"/>
        <v>jan</v>
      </c>
      <c r="N3232">
        <f t="shared" si="375"/>
        <v>2025</v>
      </c>
      <c r="O3232" s="2">
        <f>_xlfn.XLOOKUP(A3232,Colaboradores!$A:$A,Colaboradores!$S:$S,"",0)</f>
        <v>45855</v>
      </c>
      <c r="P3232" t="str">
        <f t="shared" si="376"/>
        <v>164245676</v>
      </c>
    </row>
    <row r="3233" spans="1:16" x14ac:dyDescent="0.3">
      <c r="A3233">
        <v>1642</v>
      </c>
      <c r="B3233">
        <v>51</v>
      </c>
      <c r="C3233" t="s">
        <v>26</v>
      </c>
      <c r="D3233" t="s">
        <v>31</v>
      </c>
      <c r="E3233" t="s">
        <v>34</v>
      </c>
      <c r="F3233" t="s">
        <v>21</v>
      </c>
      <c r="G3233" t="s">
        <v>41</v>
      </c>
      <c r="H3233" t="s">
        <v>20</v>
      </c>
      <c r="I3233" s="1">
        <v>1</v>
      </c>
      <c r="J3233" s="2">
        <v>45808</v>
      </c>
      <c r="K3233" s="2">
        <v>45778</v>
      </c>
      <c r="L3233" s="1" t="str">
        <f t="shared" si="373"/>
        <v>sáb</v>
      </c>
      <c r="M3233" s="1" t="str">
        <f t="shared" si="374"/>
        <v>mai</v>
      </c>
      <c r="N3233">
        <f t="shared" si="375"/>
        <v>2025</v>
      </c>
      <c r="O3233" s="2">
        <f>_xlfn.XLOOKUP(A3233,Colaboradores!$A:$A,Colaboradores!$S:$S,"",0)</f>
        <v>45855</v>
      </c>
      <c r="P3233" t="str">
        <f t="shared" si="376"/>
        <v>164245808</v>
      </c>
    </row>
    <row r="3234" spans="1:16" x14ac:dyDescent="0.3">
      <c r="A3234">
        <v>1642</v>
      </c>
      <c r="B3234">
        <v>51</v>
      </c>
      <c r="C3234" t="s">
        <v>26</v>
      </c>
      <c r="D3234" t="s">
        <v>31</v>
      </c>
      <c r="E3234" t="s">
        <v>34</v>
      </c>
      <c r="F3234" t="s">
        <v>21</v>
      </c>
      <c r="G3234" t="s">
        <v>41</v>
      </c>
      <c r="H3234" t="s">
        <v>20</v>
      </c>
      <c r="I3234" s="1">
        <v>1</v>
      </c>
      <c r="J3234" s="2">
        <v>45826</v>
      </c>
      <c r="K3234" s="2">
        <v>45809</v>
      </c>
      <c r="L3234" s="1" t="str">
        <f t="shared" si="373"/>
        <v>qua</v>
      </c>
      <c r="M3234" s="1" t="str">
        <f t="shared" si="374"/>
        <v>jun</v>
      </c>
      <c r="N3234">
        <f t="shared" si="375"/>
        <v>2025</v>
      </c>
      <c r="O3234" s="2">
        <f>_xlfn.XLOOKUP(A3234,Colaboradores!$A:$A,Colaboradores!$S:$S,"",0)</f>
        <v>45855</v>
      </c>
      <c r="P3234" t="str">
        <f t="shared" si="376"/>
        <v>164245826</v>
      </c>
    </row>
    <row r="3235" spans="1:16" x14ac:dyDescent="0.3">
      <c r="A3235">
        <v>1642</v>
      </c>
      <c r="B3235">
        <v>51</v>
      </c>
      <c r="C3235" t="s">
        <v>26</v>
      </c>
      <c r="D3235" t="s">
        <v>31</v>
      </c>
      <c r="E3235" t="s">
        <v>34</v>
      </c>
      <c r="F3235" t="s">
        <v>21</v>
      </c>
      <c r="G3235" t="s">
        <v>41</v>
      </c>
      <c r="H3235" t="s">
        <v>20</v>
      </c>
      <c r="I3235" s="1">
        <v>1</v>
      </c>
      <c r="J3235" s="2">
        <v>45850</v>
      </c>
      <c r="K3235" s="2">
        <v>45839</v>
      </c>
      <c r="L3235" s="1" t="str">
        <f t="shared" si="373"/>
        <v>sáb</v>
      </c>
      <c r="M3235" s="1" t="str">
        <f t="shared" si="374"/>
        <v>jul</v>
      </c>
      <c r="N3235">
        <f t="shared" si="375"/>
        <v>2025</v>
      </c>
      <c r="O3235" s="2">
        <f>_xlfn.XLOOKUP(A3235,Colaboradores!$A:$A,Colaboradores!$S:$S,"",0)</f>
        <v>45855</v>
      </c>
      <c r="P3235" t="str">
        <f t="shared" si="376"/>
        <v>164245850</v>
      </c>
    </row>
    <row r="3236" spans="1:16" x14ac:dyDescent="0.3">
      <c r="A3236">
        <v>1644</v>
      </c>
      <c r="B3236">
        <v>52</v>
      </c>
      <c r="C3236" t="s">
        <v>15</v>
      </c>
      <c r="D3236" t="s">
        <v>16</v>
      </c>
      <c r="E3236" t="s">
        <v>17</v>
      </c>
      <c r="F3236" t="s">
        <v>23</v>
      </c>
      <c r="G3236" t="s">
        <v>41</v>
      </c>
      <c r="H3236" t="s">
        <v>25</v>
      </c>
      <c r="I3236" s="1">
        <v>1</v>
      </c>
      <c r="J3236" s="2">
        <v>45826</v>
      </c>
      <c r="K3236" s="2">
        <v>45809</v>
      </c>
      <c r="L3236" s="1" t="str">
        <f t="shared" si="373"/>
        <v>qua</v>
      </c>
      <c r="M3236" s="1" t="str">
        <f t="shared" si="374"/>
        <v>jun</v>
      </c>
      <c r="N3236">
        <f t="shared" si="375"/>
        <v>2025</v>
      </c>
      <c r="O3236" s="2"/>
      <c r="P3236" t="str">
        <f t="shared" si="376"/>
        <v>164445826</v>
      </c>
    </row>
    <row r="3237" spans="1:16" x14ac:dyDescent="0.3">
      <c r="A3237">
        <v>1644</v>
      </c>
      <c r="B3237">
        <v>52</v>
      </c>
      <c r="C3237" t="s">
        <v>15</v>
      </c>
      <c r="D3237" t="s">
        <v>16</v>
      </c>
      <c r="E3237" t="s">
        <v>17</v>
      </c>
      <c r="F3237" t="s">
        <v>23</v>
      </c>
      <c r="G3237" t="s">
        <v>41</v>
      </c>
      <c r="H3237" t="s">
        <v>25</v>
      </c>
      <c r="I3237" s="1">
        <v>1</v>
      </c>
      <c r="J3237" s="2">
        <v>45935</v>
      </c>
      <c r="K3237" s="2">
        <v>45931</v>
      </c>
      <c r="L3237" s="1" t="str">
        <f t="shared" si="373"/>
        <v>dom</v>
      </c>
      <c r="M3237" s="1" t="str">
        <f t="shared" si="374"/>
        <v>out</v>
      </c>
      <c r="N3237">
        <f t="shared" si="375"/>
        <v>2025</v>
      </c>
      <c r="O3237" s="2"/>
      <c r="P3237" t="str">
        <f t="shared" si="376"/>
        <v>164445935</v>
      </c>
    </row>
    <row r="3238" spans="1:16" x14ac:dyDescent="0.3">
      <c r="A3238">
        <v>1644</v>
      </c>
      <c r="B3238">
        <v>52</v>
      </c>
      <c r="C3238" t="s">
        <v>15</v>
      </c>
      <c r="D3238" t="s">
        <v>16</v>
      </c>
      <c r="E3238" t="s">
        <v>17</v>
      </c>
      <c r="F3238" t="s">
        <v>23</v>
      </c>
      <c r="G3238" t="s">
        <v>41</v>
      </c>
      <c r="H3238" t="s">
        <v>25</v>
      </c>
      <c r="I3238" s="1">
        <v>1</v>
      </c>
      <c r="J3238" s="2">
        <v>45953</v>
      </c>
      <c r="K3238" s="2">
        <v>45931</v>
      </c>
      <c r="L3238" s="1" t="str">
        <f t="shared" si="373"/>
        <v>qui</v>
      </c>
      <c r="M3238" s="1" t="str">
        <f t="shared" si="374"/>
        <v>out</v>
      </c>
      <c r="N3238">
        <f t="shared" si="375"/>
        <v>2025</v>
      </c>
      <c r="O3238" s="2"/>
      <c r="P3238" t="str">
        <f t="shared" si="376"/>
        <v>164445953</v>
      </c>
    </row>
    <row r="3239" spans="1:16" x14ac:dyDescent="0.3">
      <c r="A3239">
        <v>1644</v>
      </c>
      <c r="B3239">
        <v>52</v>
      </c>
      <c r="C3239" t="s">
        <v>15</v>
      </c>
      <c r="D3239" t="s">
        <v>16</v>
      </c>
      <c r="E3239" t="s">
        <v>17</v>
      </c>
      <c r="F3239" t="s">
        <v>23</v>
      </c>
      <c r="G3239" t="s">
        <v>41</v>
      </c>
      <c r="H3239" t="s">
        <v>25</v>
      </c>
      <c r="I3239" s="1">
        <v>1</v>
      </c>
      <c r="J3239" s="2">
        <v>46012</v>
      </c>
      <c r="K3239" s="2">
        <v>45992</v>
      </c>
      <c r="L3239" s="1" t="str">
        <f t="shared" si="373"/>
        <v>dom</v>
      </c>
      <c r="M3239" s="1" t="str">
        <f t="shared" si="374"/>
        <v>dez</v>
      </c>
      <c r="N3239">
        <f t="shared" si="375"/>
        <v>2025</v>
      </c>
      <c r="O3239" s="2"/>
      <c r="P3239" t="str">
        <f t="shared" si="376"/>
        <v>164446012</v>
      </c>
    </row>
    <row r="3240" spans="1:16" x14ac:dyDescent="0.3">
      <c r="A3240">
        <v>1644</v>
      </c>
      <c r="B3240">
        <v>52</v>
      </c>
      <c r="C3240" t="s">
        <v>15</v>
      </c>
      <c r="D3240" t="s">
        <v>16</v>
      </c>
      <c r="E3240" t="s">
        <v>17</v>
      </c>
      <c r="F3240" t="s">
        <v>23</v>
      </c>
      <c r="G3240" t="s">
        <v>41</v>
      </c>
      <c r="H3240" t="s">
        <v>25</v>
      </c>
      <c r="I3240" s="1">
        <v>1</v>
      </c>
      <c r="J3240" s="2">
        <v>46096</v>
      </c>
      <c r="K3240" s="2">
        <v>46082</v>
      </c>
      <c r="L3240" s="1" t="str">
        <f t="shared" si="373"/>
        <v>dom</v>
      </c>
      <c r="M3240" s="1" t="str">
        <f t="shared" si="374"/>
        <v>mar</v>
      </c>
      <c r="N3240">
        <f t="shared" si="375"/>
        <v>2026</v>
      </c>
      <c r="O3240" s="2"/>
      <c r="P3240" t="str">
        <f t="shared" si="376"/>
        <v>164446096</v>
      </c>
    </row>
    <row r="3241" spans="1:16" x14ac:dyDescent="0.3">
      <c r="A3241">
        <v>1645</v>
      </c>
      <c r="B3241">
        <v>31</v>
      </c>
      <c r="C3241" t="s">
        <v>26</v>
      </c>
      <c r="D3241" t="s">
        <v>29</v>
      </c>
      <c r="E3241" t="s">
        <v>17</v>
      </c>
      <c r="F3241" t="s">
        <v>21</v>
      </c>
      <c r="G3241" t="s">
        <v>41</v>
      </c>
      <c r="H3241" t="s">
        <v>25</v>
      </c>
      <c r="I3241" s="1">
        <v>3</v>
      </c>
      <c r="J3241" s="2">
        <v>45834</v>
      </c>
      <c r="K3241" s="2">
        <v>45809</v>
      </c>
      <c r="L3241" s="1" t="str">
        <f t="shared" si="373"/>
        <v>qui</v>
      </c>
      <c r="M3241" s="1" t="str">
        <f t="shared" si="374"/>
        <v>jun</v>
      </c>
      <c r="N3241">
        <f t="shared" si="375"/>
        <v>2025</v>
      </c>
      <c r="O3241" s="2"/>
      <c r="P3241" t="str">
        <f t="shared" si="376"/>
        <v>164545834</v>
      </c>
    </row>
    <row r="3242" spans="1:16" x14ac:dyDescent="0.3">
      <c r="A3242">
        <v>1645</v>
      </c>
      <c r="B3242">
        <v>31</v>
      </c>
      <c r="C3242" t="s">
        <v>26</v>
      </c>
      <c r="D3242" t="s">
        <v>29</v>
      </c>
      <c r="E3242" t="s">
        <v>17</v>
      </c>
      <c r="F3242" t="s">
        <v>21</v>
      </c>
      <c r="G3242" t="s">
        <v>41</v>
      </c>
      <c r="H3242" t="s">
        <v>25</v>
      </c>
      <c r="I3242" s="1">
        <v>3</v>
      </c>
      <c r="J3242" s="2">
        <v>45938</v>
      </c>
      <c r="K3242" s="2">
        <v>45931</v>
      </c>
      <c r="L3242" s="1" t="str">
        <f t="shared" si="373"/>
        <v>qua</v>
      </c>
      <c r="M3242" s="1" t="str">
        <f t="shared" si="374"/>
        <v>out</v>
      </c>
      <c r="N3242">
        <f t="shared" si="375"/>
        <v>2025</v>
      </c>
      <c r="O3242" s="2"/>
      <c r="P3242" t="str">
        <f t="shared" si="376"/>
        <v>164545938</v>
      </c>
    </row>
    <row r="3243" spans="1:16" x14ac:dyDescent="0.3">
      <c r="A3243">
        <v>1645</v>
      </c>
      <c r="B3243">
        <v>31</v>
      </c>
      <c r="C3243" t="s">
        <v>26</v>
      </c>
      <c r="D3243" t="s">
        <v>29</v>
      </c>
      <c r="E3243" t="s">
        <v>17</v>
      </c>
      <c r="F3243" t="s">
        <v>21</v>
      </c>
      <c r="G3243" t="s">
        <v>40</v>
      </c>
      <c r="H3243" t="s">
        <v>25</v>
      </c>
      <c r="I3243" s="1">
        <v>3</v>
      </c>
      <c r="J3243" s="2">
        <v>45952</v>
      </c>
      <c r="K3243" s="2">
        <v>45931</v>
      </c>
      <c r="L3243" s="1" t="str">
        <f t="shared" si="373"/>
        <v>qua</v>
      </c>
      <c r="M3243" s="1" t="str">
        <f t="shared" si="374"/>
        <v>out</v>
      </c>
      <c r="N3243">
        <f t="shared" si="375"/>
        <v>2025</v>
      </c>
      <c r="O3243" s="2"/>
      <c r="P3243" t="str">
        <f t="shared" si="376"/>
        <v>164545952</v>
      </c>
    </row>
    <row r="3244" spans="1:16" x14ac:dyDescent="0.3">
      <c r="A3244">
        <v>1645</v>
      </c>
      <c r="B3244">
        <v>31</v>
      </c>
      <c r="C3244" t="s">
        <v>26</v>
      </c>
      <c r="D3244" t="s">
        <v>29</v>
      </c>
      <c r="E3244" t="s">
        <v>17</v>
      </c>
      <c r="F3244" t="s">
        <v>21</v>
      </c>
      <c r="G3244" t="s">
        <v>41</v>
      </c>
      <c r="H3244" t="s">
        <v>25</v>
      </c>
      <c r="I3244" s="1">
        <v>3</v>
      </c>
      <c r="J3244" s="2">
        <v>46061</v>
      </c>
      <c r="K3244" s="2">
        <v>46054</v>
      </c>
      <c r="L3244" s="1" t="str">
        <f t="shared" si="373"/>
        <v>dom</v>
      </c>
      <c r="M3244" s="1" t="str">
        <f t="shared" si="374"/>
        <v>fev</v>
      </c>
      <c r="N3244">
        <f t="shared" si="375"/>
        <v>2026</v>
      </c>
      <c r="O3244" s="2"/>
      <c r="P3244" t="str">
        <f t="shared" si="376"/>
        <v>164546061</v>
      </c>
    </row>
    <row r="3245" spans="1:16" x14ac:dyDescent="0.3">
      <c r="A3245">
        <v>1645</v>
      </c>
      <c r="B3245">
        <v>31</v>
      </c>
      <c r="C3245" t="s">
        <v>26</v>
      </c>
      <c r="D3245" t="s">
        <v>29</v>
      </c>
      <c r="E3245" t="s">
        <v>17</v>
      </c>
      <c r="F3245" t="s">
        <v>21</v>
      </c>
      <c r="G3245" t="s">
        <v>41</v>
      </c>
      <c r="H3245" t="s">
        <v>25</v>
      </c>
      <c r="I3245" s="1">
        <v>3</v>
      </c>
      <c r="J3245" s="2">
        <v>46075</v>
      </c>
      <c r="K3245" s="2">
        <v>46054</v>
      </c>
      <c r="L3245" s="1" t="str">
        <f t="shared" si="373"/>
        <v>dom</v>
      </c>
      <c r="M3245" s="1" t="str">
        <f t="shared" si="374"/>
        <v>fev</v>
      </c>
      <c r="N3245">
        <f t="shared" si="375"/>
        <v>2026</v>
      </c>
      <c r="O3245" s="2"/>
      <c r="P3245" t="str">
        <f t="shared" si="376"/>
        <v>164546075</v>
      </c>
    </row>
    <row r="3246" spans="1:16" x14ac:dyDescent="0.3">
      <c r="A3246">
        <v>1645</v>
      </c>
      <c r="B3246">
        <v>31</v>
      </c>
      <c r="C3246" t="s">
        <v>26</v>
      </c>
      <c r="D3246" t="s">
        <v>29</v>
      </c>
      <c r="E3246" t="s">
        <v>17</v>
      </c>
      <c r="F3246" t="s">
        <v>21</v>
      </c>
      <c r="G3246" t="s">
        <v>41</v>
      </c>
      <c r="H3246" t="s">
        <v>25</v>
      </c>
      <c r="I3246" s="1">
        <v>3</v>
      </c>
      <c r="J3246" s="2">
        <v>46092</v>
      </c>
      <c r="K3246" s="2">
        <v>46082</v>
      </c>
      <c r="L3246" s="1" t="str">
        <f t="shared" si="373"/>
        <v>qua</v>
      </c>
      <c r="M3246" s="1" t="str">
        <f t="shared" si="374"/>
        <v>mar</v>
      </c>
      <c r="N3246">
        <f t="shared" si="375"/>
        <v>2026</v>
      </c>
      <c r="O3246" s="2"/>
      <c r="P3246" t="str">
        <f t="shared" si="376"/>
        <v>164546092</v>
      </c>
    </row>
    <row r="3247" spans="1:16" x14ac:dyDescent="0.3">
      <c r="A3247">
        <v>1646</v>
      </c>
      <c r="B3247">
        <v>44</v>
      </c>
      <c r="C3247" t="s">
        <v>15</v>
      </c>
      <c r="D3247" t="s">
        <v>29</v>
      </c>
      <c r="E3247" t="s">
        <v>17</v>
      </c>
      <c r="F3247" t="s">
        <v>18</v>
      </c>
      <c r="G3247" t="s">
        <v>40</v>
      </c>
      <c r="H3247" t="s">
        <v>25</v>
      </c>
      <c r="I3247" s="1">
        <v>1</v>
      </c>
      <c r="J3247" s="2">
        <v>45797</v>
      </c>
      <c r="K3247" s="2">
        <v>45778</v>
      </c>
      <c r="L3247" s="1" t="str">
        <f t="shared" si="373"/>
        <v>ter</v>
      </c>
      <c r="M3247" s="1" t="str">
        <f t="shared" si="374"/>
        <v>mai</v>
      </c>
      <c r="N3247">
        <f t="shared" si="375"/>
        <v>2025</v>
      </c>
      <c r="O3247" s="2"/>
      <c r="P3247" t="str">
        <f t="shared" si="376"/>
        <v>164645797</v>
      </c>
    </row>
    <row r="3248" spans="1:16" x14ac:dyDescent="0.3">
      <c r="A3248">
        <v>1646</v>
      </c>
      <c r="B3248">
        <v>44</v>
      </c>
      <c r="C3248" t="s">
        <v>15</v>
      </c>
      <c r="D3248" t="s">
        <v>29</v>
      </c>
      <c r="E3248" t="s">
        <v>17</v>
      </c>
      <c r="F3248" t="s">
        <v>18</v>
      </c>
      <c r="G3248" t="s">
        <v>40</v>
      </c>
      <c r="H3248" t="s">
        <v>25</v>
      </c>
      <c r="I3248" s="1">
        <v>1</v>
      </c>
      <c r="J3248" s="2">
        <v>45832</v>
      </c>
      <c r="K3248" s="2">
        <v>45809</v>
      </c>
      <c r="L3248" s="1" t="str">
        <f t="shared" si="373"/>
        <v>ter</v>
      </c>
      <c r="M3248" s="1" t="str">
        <f t="shared" si="374"/>
        <v>jun</v>
      </c>
      <c r="N3248">
        <f t="shared" si="375"/>
        <v>2025</v>
      </c>
      <c r="O3248" s="2"/>
      <c r="P3248" t="str">
        <f t="shared" si="376"/>
        <v>164645832</v>
      </c>
    </row>
    <row r="3249" spans="1:16" x14ac:dyDescent="0.3">
      <c r="A3249">
        <v>1646</v>
      </c>
      <c r="B3249">
        <v>44</v>
      </c>
      <c r="C3249" t="s">
        <v>15</v>
      </c>
      <c r="D3249" t="s">
        <v>29</v>
      </c>
      <c r="E3249" t="s">
        <v>17</v>
      </c>
      <c r="F3249" t="s">
        <v>18</v>
      </c>
      <c r="G3249" t="s">
        <v>40</v>
      </c>
      <c r="H3249" t="s">
        <v>25</v>
      </c>
      <c r="I3249" s="1">
        <v>1</v>
      </c>
      <c r="J3249" s="2">
        <v>45886</v>
      </c>
      <c r="K3249" s="2">
        <v>45870</v>
      </c>
      <c r="L3249" s="1" t="str">
        <f t="shared" si="373"/>
        <v>dom</v>
      </c>
      <c r="M3249" s="1" t="str">
        <f t="shared" si="374"/>
        <v>ago</v>
      </c>
      <c r="N3249">
        <f t="shared" si="375"/>
        <v>2025</v>
      </c>
      <c r="O3249" s="2"/>
      <c r="P3249" t="str">
        <f t="shared" si="376"/>
        <v>164645886</v>
      </c>
    </row>
    <row r="3250" spans="1:16" x14ac:dyDescent="0.3">
      <c r="A3250">
        <v>1646</v>
      </c>
      <c r="B3250">
        <v>44</v>
      </c>
      <c r="C3250" t="s">
        <v>15</v>
      </c>
      <c r="D3250" t="s">
        <v>29</v>
      </c>
      <c r="E3250" t="s">
        <v>17</v>
      </c>
      <c r="F3250" t="s">
        <v>18</v>
      </c>
      <c r="G3250" t="s">
        <v>40</v>
      </c>
      <c r="H3250" t="s">
        <v>25</v>
      </c>
      <c r="I3250" s="1">
        <v>1</v>
      </c>
      <c r="J3250" s="2">
        <v>45968</v>
      </c>
      <c r="K3250" s="2">
        <v>45962</v>
      </c>
      <c r="L3250" s="1" t="str">
        <f t="shared" si="373"/>
        <v>sex</v>
      </c>
      <c r="M3250" s="1" t="str">
        <f t="shared" si="374"/>
        <v>nov</v>
      </c>
      <c r="N3250">
        <f t="shared" si="375"/>
        <v>2025</v>
      </c>
      <c r="O3250" s="2"/>
      <c r="P3250" t="str">
        <f t="shared" si="376"/>
        <v>164645968</v>
      </c>
    </row>
    <row r="3251" spans="1:16" x14ac:dyDescent="0.3">
      <c r="A3251">
        <v>1646</v>
      </c>
      <c r="B3251">
        <v>44</v>
      </c>
      <c r="C3251" t="s">
        <v>15</v>
      </c>
      <c r="D3251" t="s">
        <v>29</v>
      </c>
      <c r="E3251" t="s">
        <v>17</v>
      </c>
      <c r="F3251" t="s">
        <v>18</v>
      </c>
      <c r="G3251" t="s">
        <v>40</v>
      </c>
      <c r="H3251" t="s">
        <v>25</v>
      </c>
      <c r="I3251" s="1">
        <v>1</v>
      </c>
      <c r="J3251" s="2">
        <v>46194</v>
      </c>
      <c r="K3251" s="2">
        <v>46023</v>
      </c>
      <c r="L3251" s="1" t="str">
        <f t="shared" si="373"/>
        <v>dom</v>
      </c>
      <c r="M3251" s="1" t="str">
        <f t="shared" si="374"/>
        <v>jun</v>
      </c>
      <c r="N3251">
        <f t="shared" si="375"/>
        <v>2026</v>
      </c>
      <c r="O3251" s="2"/>
      <c r="P3251" t="str">
        <f t="shared" si="376"/>
        <v>164646194</v>
      </c>
    </row>
    <row r="3252" spans="1:16" x14ac:dyDescent="0.3">
      <c r="A3252">
        <v>1646</v>
      </c>
      <c r="B3252">
        <v>44</v>
      </c>
      <c r="C3252" t="s">
        <v>15</v>
      </c>
      <c r="D3252" t="s">
        <v>29</v>
      </c>
      <c r="E3252" t="s">
        <v>17</v>
      </c>
      <c r="F3252" t="s">
        <v>18</v>
      </c>
      <c r="G3252" t="s">
        <v>40</v>
      </c>
      <c r="H3252" t="s">
        <v>25</v>
      </c>
      <c r="I3252" s="1">
        <v>1</v>
      </c>
      <c r="J3252" s="2">
        <v>46069</v>
      </c>
      <c r="K3252" s="2">
        <v>46054</v>
      </c>
      <c r="L3252" s="1" t="str">
        <f t="shared" si="373"/>
        <v>seg</v>
      </c>
      <c r="M3252" s="1" t="str">
        <f t="shared" si="374"/>
        <v>fev</v>
      </c>
      <c r="N3252">
        <f t="shared" si="375"/>
        <v>2026</v>
      </c>
      <c r="O3252" s="2"/>
      <c r="P3252" t="str">
        <f t="shared" si="376"/>
        <v>164646069</v>
      </c>
    </row>
    <row r="3253" spans="1:16" x14ac:dyDescent="0.3">
      <c r="A3253">
        <v>1646</v>
      </c>
      <c r="B3253">
        <v>44</v>
      </c>
      <c r="C3253" t="s">
        <v>15</v>
      </c>
      <c r="D3253" t="s">
        <v>29</v>
      </c>
      <c r="E3253" t="s">
        <v>17</v>
      </c>
      <c r="F3253" t="s">
        <v>18</v>
      </c>
      <c r="G3253" t="s">
        <v>40</v>
      </c>
      <c r="H3253" t="s">
        <v>25</v>
      </c>
      <c r="I3253" s="1">
        <v>1</v>
      </c>
      <c r="J3253" s="2">
        <v>46162</v>
      </c>
      <c r="K3253" s="2">
        <v>46143</v>
      </c>
      <c r="L3253" s="1" t="s">
        <v>50</v>
      </c>
      <c r="M3253" s="1" t="s">
        <v>49</v>
      </c>
      <c r="N3253">
        <v>2025</v>
      </c>
      <c r="O3253" s="2"/>
      <c r="P3253" t="str">
        <f t="shared" si="376"/>
        <v>164646162</v>
      </c>
    </row>
    <row r="3254" spans="1:16" x14ac:dyDescent="0.3">
      <c r="A3254">
        <v>1647</v>
      </c>
      <c r="B3254">
        <v>26</v>
      </c>
      <c r="C3254" t="s">
        <v>15</v>
      </c>
      <c r="D3254" t="s">
        <v>31</v>
      </c>
      <c r="E3254" t="s">
        <v>32</v>
      </c>
      <c r="F3254" t="s">
        <v>23</v>
      </c>
      <c r="G3254" t="s">
        <v>40</v>
      </c>
      <c r="H3254" t="s">
        <v>25</v>
      </c>
      <c r="I3254" s="1">
        <v>1</v>
      </c>
      <c r="J3254" s="2">
        <v>45828</v>
      </c>
      <c r="K3254" s="2">
        <v>45809</v>
      </c>
      <c r="L3254" s="1" t="str">
        <f t="shared" ref="L3254:L3285" si="377">TEXT(J3254,"ddd")</f>
        <v>sex</v>
      </c>
      <c r="M3254" s="1" t="str">
        <f t="shared" ref="M3254:M3285" si="378">TEXT($J3254,"mmm")</f>
        <v>jun</v>
      </c>
      <c r="N3254">
        <f t="shared" ref="N3254:N3285" si="379">YEAR(J3254)</f>
        <v>2025</v>
      </c>
      <c r="O3254" s="2"/>
      <c r="P3254" t="str">
        <f t="shared" si="376"/>
        <v>164745828</v>
      </c>
    </row>
    <row r="3255" spans="1:16" x14ac:dyDescent="0.3">
      <c r="A3255">
        <v>1647</v>
      </c>
      <c r="B3255">
        <v>26</v>
      </c>
      <c r="C3255" t="s">
        <v>15</v>
      </c>
      <c r="D3255" t="s">
        <v>31</v>
      </c>
      <c r="E3255" t="s">
        <v>32</v>
      </c>
      <c r="F3255" t="s">
        <v>23</v>
      </c>
      <c r="G3255" t="s">
        <v>40</v>
      </c>
      <c r="H3255" t="s">
        <v>25</v>
      </c>
      <c r="I3255" s="1">
        <v>1</v>
      </c>
      <c r="J3255" s="2">
        <v>45834</v>
      </c>
      <c r="K3255" s="2">
        <v>45809</v>
      </c>
      <c r="L3255" s="1" t="str">
        <f t="shared" si="377"/>
        <v>qui</v>
      </c>
      <c r="M3255" s="1" t="str">
        <f t="shared" si="378"/>
        <v>jun</v>
      </c>
      <c r="N3255">
        <f t="shared" si="379"/>
        <v>2025</v>
      </c>
      <c r="O3255" s="2"/>
      <c r="P3255" t="str">
        <f t="shared" si="376"/>
        <v>164745834</v>
      </c>
    </row>
    <row r="3256" spans="1:16" x14ac:dyDescent="0.3">
      <c r="A3256">
        <v>1647</v>
      </c>
      <c r="B3256">
        <v>26</v>
      </c>
      <c r="C3256" t="s">
        <v>15</v>
      </c>
      <c r="D3256" t="s">
        <v>31</v>
      </c>
      <c r="E3256" t="s">
        <v>32</v>
      </c>
      <c r="F3256" t="s">
        <v>23</v>
      </c>
      <c r="G3256" t="s">
        <v>40</v>
      </c>
      <c r="H3256" t="s">
        <v>25</v>
      </c>
      <c r="I3256" s="1">
        <v>1</v>
      </c>
      <c r="J3256" s="2">
        <v>45861</v>
      </c>
      <c r="K3256" s="2">
        <v>45839</v>
      </c>
      <c r="L3256" s="1" t="str">
        <f t="shared" si="377"/>
        <v>qua</v>
      </c>
      <c r="M3256" s="1" t="str">
        <f t="shared" si="378"/>
        <v>jul</v>
      </c>
      <c r="N3256">
        <f t="shared" si="379"/>
        <v>2025</v>
      </c>
      <c r="O3256" s="2"/>
      <c r="P3256" t="str">
        <f t="shared" si="376"/>
        <v>164745861</v>
      </c>
    </row>
    <row r="3257" spans="1:16" x14ac:dyDescent="0.3">
      <c r="A3257">
        <v>1647</v>
      </c>
      <c r="B3257">
        <v>26</v>
      </c>
      <c r="C3257" t="s">
        <v>15</v>
      </c>
      <c r="D3257" t="s">
        <v>31</v>
      </c>
      <c r="E3257" t="s">
        <v>32</v>
      </c>
      <c r="F3257" t="s">
        <v>23</v>
      </c>
      <c r="G3257" t="s">
        <v>40</v>
      </c>
      <c r="H3257" t="s">
        <v>25</v>
      </c>
      <c r="I3257" s="1">
        <v>1</v>
      </c>
      <c r="J3257" s="2">
        <v>45909</v>
      </c>
      <c r="K3257" s="2">
        <v>45901</v>
      </c>
      <c r="L3257" s="1" t="str">
        <f t="shared" si="377"/>
        <v>ter</v>
      </c>
      <c r="M3257" s="1" t="str">
        <f t="shared" si="378"/>
        <v>set</v>
      </c>
      <c r="N3257">
        <f t="shared" si="379"/>
        <v>2025</v>
      </c>
      <c r="O3257" s="2"/>
      <c r="P3257" t="str">
        <f t="shared" si="376"/>
        <v>164745909</v>
      </c>
    </row>
    <row r="3258" spans="1:16" x14ac:dyDescent="0.3">
      <c r="A3258">
        <v>1647</v>
      </c>
      <c r="B3258">
        <v>26</v>
      </c>
      <c r="C3258" t="s">
        <v>15</v>
      </c>
      <c r="D3258" t="s">
        <v>31</v>
      </c>
      <c r="E3258" t="s">
        <v>32</v>
      </c>
      <c r="F3258" t="s">
        <v>23</v>
      </c>
      <c r="G3258" t="s">
        <v>40</v>
      </c>
      <c r="H3258" t="s">
        <v>25</v>
      </c>
      <c r="I3258" s="1">
        <v>1</v>
      </c>
      <c r="J3258" s="2">
        <v>45935</v>
      </c>
      <c r="K3258" s="2">
        <v>45931</v>
      </c>
      <c r="L3258" s="1" t="str">
        <f t="shared" si="377"/>
        <v>dom</v>
      </c>
      <c r="M3258" s="1" t="str">
        <f t="shared" si="378"/>
        <v>out</v>
      </c>
      <c r="N3258">
        <f t="shared" si="379"/>
        <v>2025</v>
      </c>
      <c r="O3258" s="2"/>
      <c r="P3258" t="str">
        <f t="shared" si="376"/>
        <v>164745935</v>
      </c>
    </row>
    <row r="3259" spans="1:16" x14ac:dyDescent="0.3">
      <c r="A3259">
        <v>1647</v>
      </c>
      <c r="B3259">
        <v>26</v>
      </c>
      <c r="C3259" t="s">
        <v>15</v>
      </c>
      <c r="D3259" t="s">
        <v>31</v>
      </c>
      <c r="E3259" t="s">
        <v>32</v>
      </c>
      <c r="F3259" t="s">
        <v>23</v>
      </c>
      <c r="G3259" t="s">
        <v>40</v>
      </c>
      <c r="H3259" t="s">
        <v>25</v>
      </c>
      <c r="I3259" s="1">
        <v>1</v>
      </c>
      <c r="J3259" s="2">
        <v>45985</v>
      </c>
      <c r="K3259" s="2">
        <v>45962</v>
      </c>
      <c r="L3259" s="1" t="str">
        <f t="shared" si="377"/>
        <v>seg</v>
      </c>
      <c r="M3259" s="1" t="str">
        <f t="shared" si="378"/>
        <v>nov</v>
      </c>
      <c r="N3259">
        <f t="shared" si="379"/>
        <v>2025</v>
      </c>
      <c r="O3259" s="2"/>
      <c r="P3259" t="str">
        <f t="shared" si="376"/>
        <v>164745985</v>
      </c>
    </row>
    <row r="3260" spans="1:16" x14ac:dyDescent="0.3">
      <c r="A3260">
        <v>1649</v>
      </c>
      <c r="B3260">
        <v>40</v>
      </c>
      <c r="C3260" t="s">
        <v>15</v>
      </c>
      <c r="D3260" t="s">
        <v>27</v>
      </c>
      <c r="E3260" t="s">
        <v>17</v>
      </c>
      <c r="F3260" t="s">
        <v>21</v>
      </c>
      <c r="G3260" t="s">
        <v>41</v>
      </c>
      <c r="H3260" t="s">
        <v>20</v>
      </c>
      <c r="I3260" s="1">
        <v>2</v>
      </c>
      <c r="J3260" s="2">
        <v>45866</v>
      </c>
      <c r="K3260" s="2">
        <v>45839</v>
      </c>
      <c r="L3260" s="1" t="str">
        <f t="shared" si="377"/>
        <v>seg</v>
      </c>
      <c r="M3260" s="1" t="str">
        <f t="shared" si="378"/>
        <v>jul</v>
      </c>
      <c r="N3260">
        <f t="shared" si="379"/>
        <v>2025</v>
      </c>
      <c r="O3260" s="2">
        <f>_xlfn.XLOOKUP(A3260,Colaboradores!$A:$A,Colaboradores!$S:$S,"",0)</f>
        <v>46098</v>
      </c>
      <c r="P3260" t="str">
        <f t="shared" si="376"/>
        <v>164945866</v>
      </c>
    </row>
    <row r="3261" spans="1:16" x14ac:dyDescent="0.3">
      <c r="A3261">
        <v>1649</v>
      </c>
      <c r="B3261">
        <v>40</v>
      </c>
      <c r="C3261" t="s">
        <v>15</v>
      </c>
      <c r="D3261" t="s">
        <v>27</v>
      </c>
      <c r="E3261" t="s">
        <v>17</v>
      </c>
      <c r="F3261" t="s">
        <v>21</v>
      </c>
      <c r="G3261" t="s">
        <v>44</v>
      </c>
      <c r="H3261" t="s">
        <v>20</v>
      </c>
      <c r="I3261" s="1">
        <v>2</v>
      </c>
      <c r="J3261" s="2">
        <v>45897</v>
      </c>
      <c r="K3261" s="2">
        <v>45870</v>
      </c>
      <c r="L3261" s="1" t="str">
        <f t="shared" si="377"/>
        <v>qui</v>
      </c>
      <c r="M3261" s="1" t="str">
        <f t="shared" si="378"/>
        <v>ago</v>
      </c>
      <c r="N3261">
        <f t="shared" si="379"/>
        <v>2025</v>
      </c>
      <c r="O3261" s="2">
        <f>_xlfn.XLOOKUP(A3261,Colaboradores!$A:$A,Colaboradores!$S:$S,"",0)</f>
        <v>46098</v>
      </c>
      <c r="P3261" t="str">
        <f t="shared" si="376"/>
        <v>164945897</v>
      </c>
    </row>
    <row r="3262" spans="1:16" x14ac:dyDescent="0.3">
      <c r="A3262">
        <v>1649</v>
      </c>
      <c r="B3262">
        <v>40</v>
      </c>
      <c r="C3262" t="s">
        <v>15</v>
      </c>
      <c r="D3262" t="s">
        <v>27</v>
      </c>
      <c r="E3262" t="s">
        <v>17</v>
      </c>
      <c r="F3262" t="s">
        <v>21</v>
      </c>
      <c r="G3262" t="s">
        <v>41</v>
      </c>
      <c r="H3262" t="s">
        <v>20</v>
      </c>
      <c r="I3262" s="1">
        <v>2</v>
      </c>
      <c r="J3262" s="2">
        <v>46015</v>
      </c>
      <c r="K3262" s="2">
        <v>45992</v>
      </c>
      <c r="L3262" s="1" t="str">
        <f t="shared" si="377"/>
        <v>qua</v>
      </c>
      <c r="M3262" s="1" t="str">
        <f t="shared" si="378"/>
        <v>dez</v>
      </c>
      <c r="N3262">
        <f t="shared" si="379"/>
        <v>2025</v>
      </c>
      <c r="O3262" s="2">
        <f>_xlfn.XLOOKUP(A3262,Colaboradores!$A:$A,Colaboradores!$S:$S,"",0)</f>
        <v>46098</v>
      </c>
      <c r="P3262" t="str">
        <f t="shared" ref="P3262:P3325" si="380">CONCATENATE(A3262,J3262)</f>
        <v>164946015</v>
      </c>
    </row>
    <row r="3263" spans="1:16" x14ac:dyDescent="0.3">
      <c r="A3263">
        <v>1649</v>
      </c>
      <c r="B3263">
        <v>40</v>
      </c>
      <c r="C3263" t="s">
        <v>15</v>
      </c>
      <c r="D3263" t="s">
        <v>27</v>
      </c>
      <c r="E3263" t="s">
        <v>17</v>
      </c>
      <c r="F3263" t="s">
        <v>21</v>
      </c>
      <c r="G3263" t="s">
        <v>41</v>
      </c>
      <c r="H3263" t="s">
        <v>20</v>
      </c>
      <c r="I3263" s="1">
        <v>2</v>
      </c>
      <c r="J3263" s="2">
        <v>46191</v>
      </c>
      <c r="K3263" s="2">
        <v>46023</v>
      </c>
      <c r="L3263" s="1" t="str">
        <f t="shared" si="377"/>
        <v>qui</v>
      </c>
      <c r="M3263" s="1" t="str">
        <f t="shared" si="378"/>
        <v>jun</v>
      </c>
      <c r="N3263">
        <f t="shared" si="379"/>
        <v>2026</v>
      </c>
      <c r="O3263" s="2">
        <f>_xlfn.XLOOKUP(A3263,Colaboradores!$A:$A,Colaboradores!$S:$S,"",0)</f>
        <v>46098</v>
      </c>
      <c r="P3263" t="str">
        <f t="shared" si="380"/>
        <v>164946191</v>
      </c>
    </row>
    <row r="3264" spans="1:16" x14ac:dyDescent="0.3">
      <c r="A3264">
        <v>1649</v>
      </c>
      <c r="B3264">
        <v>40</v>
      </c>
      <c r="C3264" t="s">
        <v>15</v>
      </c>
      <c r="D3264" t="s">
        <v>27</v>
      </c>
      <c r="E3264" t="s">
        <v>17</v>
      </c>
      <c r="F3264" t="s">
        <v>21</v>
      </c>
      <c r="G3264" t="s">
        <v>41</v>
      </c>
      <c r="H3264" t="s">
        <v>20</v>
      </c>
      <c r="I3264" s="1">
        <v>2</v>
      </c>
      <c r="J3264" s="2">
        <v>46070</v>
      </c>
      <c r="K3264" s="2">
        <v>46054</v>
      </c>
      <c r="L3264" s="1" t="str">
        <f t="shared" si="377"/>
        <v>ter</v>
      </c>
      <c r="M3264" s="1" t="str">
        <f t="shared" si="378"/>
        <v>fev</v>
      </c>
      <c r="N3264">
        <f t="shared" si="379"/>
        <v>2026</v>
      </c>
      <c r="O3264" s="2">
        <f>_xlfn.XLOOKUP(A3264,Colaboradores!$A:$A,Colaboradores!$S:$S,"",0)</f>
        <v>46098</v>
      </c>
      <c r="P3264" t="str">
        <f t="shared" si="380"/>
        <v>164946070</v>
      </c>
    </row>
    <row r="3265" spans="1:16" x14ac:dyDescent="0.3">
      <c r="A3265">
        <v>1649</v>
      </c>
      <c r="B3265">
        <v>40</v>
      </c>
      <c r="C3265" t="s">
        <v>15</v>
      </c>
      <c r="D3265" t="s">
        <v>27</v>
      </c>
      <c r="E3265" t="s">
        <v>17</v>
      </c>
      <c r="F3265" t="s">
        <v>21</v>
      </c>
      <c r="G3265" t="s">
        <v>41</v>
      </c>
      <c r="H3265" t="s">
        <v>20</v>
      </c>
      <c r="I3265" s="1">
        <v>2</v>
      </c>
      <c r="J3265" s="2">
        <v>46080</v>
      </c>
      <c r="K3265" s="2">
        <v>46054</v>
      </c>
      <c r="L3265" s="1" t="str">
        <f t="shared" si="377"/>
        <v>sex</v>
      </c>
      <c r="M3265" s="1" t="str">
        <f t="shared" si="378"/>
        <v>fev</v>
      </c>
      <c r="N3265">
        <f t="shared" si="379"/>
        <v>2026</v>
      </c>
      <c r="O3265" s="2">
        <f>_xlfn.XLOOKUP(A3265,Colaboradores!$A:$A,Colaboradores!$S:$S,"",0)</f>
        <v>46098</v>
      </c>
      <c r="P3265" t="str">
        <f t="shared" si="380"/>
        <v>164946080</v>
      </c>
    </row>
    <row r="3266" spans="1:16" x14ac:dyDescent="0.3">
      <c r="A3266">
        <v>1650</v>
      </c>
      <c r="B3266">
        <v>25</v>
      </c>
      <c r="C3266" t="s">
        <v>15</v>
      </c>
      <c r="D3266" t="s">
        <v>29</v>
      </c>
      <c r="E3266" t="s">
        <v>17</v>
      </c>
      <c r="F3266" t="s">
        <v>18</v>
      </c>
      <c r="G3266" t="s">
        <v>41</v>
      </c>
      <c r="H3266" t="s">
        <v>25</v>
      </c>
      <c r="I3266" s="1">
        <v>1</v>
      </c>
      <c r="J3266" s="2">
        <v>45835</v>
      </c>
      <c r="K3266" s="2">
        <v>45809</v>
      </c>
      <c r="L3266" s="1" t="str">
        <f t="shared" si="377"/>
        <v>sex</v>
      </c>
      <c r="M3266" s="1" t="str">
        <f t="shared" si="378"/>
        <v>jun</v>
      </c>
      <c r="N3266">
        <f t="shared" si="379"/>
        <v>2025</v>
      </c>
      <c r="O3266" s="2"/>
      <c r="P3266" t="str">
        <f t="shared" si="380"/>
        <v>165045835</v>
      </c>
    </row>
    <row r="3267" spans="1:16" x14ac:dyDescent="0.3">
      <c r="A3267">
        <v>1650</v>
      </c>
      <c r="B3267">
        <v>25</v>
      </c>
      <c r="C3267" t="s">
        <v>15</v>
      </c>
      <c r="D3267" t="s">
        <v>29</v>
      </c>
      <c r="E3267" t="s">
        <v>17</v>
      </c>
      <c r="F3267" t="s">
        <v>18</v>
      </c>
      <c r="G3267" t="s">
        <v>41</v>
      </c>
      <c r="H3267" t="s">
        <v>25</v>
      </c>
      <c r="I3267" s="1">
        <v>1</v>
      </c>
      <c r="J3267" s="2">
        <v>45856</v>
      </c>
      <c r="K3267" s="2">
        <v>45839</v>
      </c>
      <c r="L3267" s="1" t="str">
        <f t="shared" si="377"/>
        <v>sex</v>
      </c>
      <c r="M3267" s="1" t="str">
        <f t="shared" si="378"/>
        <v>jul</v>
      </c>
      <c r="N3267">
        <f t="shared" si="379"/>
        <v>2025</v>
      </c>
      <c r="O3267" s="2"/>
      <c r="P3267" t="str">
        <f t="shared" si="380"/>
        <v>165045856</v>
      </c>
    </row>
    <row r="3268" spans="1:16" x14ac:dyDescent="0.3">
      <c r="A3268">
        <v>1650</v>
      </c>
      <c r="B3268">
        <v>25</v>
      </c>
      <c r="C3268" t="s">
        <v>15</v>
      </c>
      <c r="D3268" t="s">
        <v>29</v>
      </c>
      <c r="E3268" t="s">
        <v>17</v>
      </c>
      <c r="F3268" t="s">
        <v>18</v>
      </c>
      <c r="G3268" t="s">
        <v>41</v>
      </c>
      <c r="H3268" t="s">
        <v>25</v>
      </c>
      <c r="I3268" s="1">
        <v>1</v>
      </c>
      <c r="J3268" s="2">
        <v>45871</v>
      </c>
      <c r="K3268" s="2">
        <v>45870</v>
      </c>
      <c r="L3268" s="1" t="str">
        <f t="shared" si="377"/>
        <v>sáb</v>
      </c>
      <c r="M3268" s="1" t="str">
        <f t="shared" si="378"/>
        <v>ago</v>
      </c>
      <c r="N3268">
        <f t="shared" si="379"/>
        <v>2025</v>
      </c>
      <c r="O3268" s="2"/>
      <c r="P3268" t="str">
        <f t="shared" si="380"/>
        <v>165045871</v>
      </c>
    </row>
    <row r="3269" spans="1:16" x14ac:dyDescent="0.3">
      <c r="A3269">
        <v>1650</v>
      </c>
      <c r="B3269">
        <v>25</v>
      </c>
      <c r="C3269" t="s">
        <v>15</v>
      </c>
      <c r="D3269" t="s">
        <v>29</v>
      </c>
      <c r="E3269" t="s">
        <v>17</v>
      </c>
      <c r="F3269" t="s">
        <v>18</v>
      </c>
      <c r="G3269" t="s">
        <v>41</v>
      </c>
      <c r="H3269" t="s">
        <v>25</v>
      </c>
      <c r="I3269" s="1">
        <v>1</v>
      </c>
      <c r="J3269" s="2">
        <v>45896</v>
      </c>
      <c r="K3269" s="2">
        <v>45870</v>
      </c>
      <c r="L3269" s="1" t="str">
        <f t="shared" si="377"/>
        <v>qua</v>
      </c>
      <c r="M3269" s="1" t="str">
        <f t="shared" si="378"/>
        <v>ago</v>
      </c>
      <c r="N3269">
        <f t="shared" si="379"/>
        <v>2025</v>
      </c>
      <c r="O3269" s="2"/>
      <c r="P3269" t="str">
        <f t="shared" si="380"/>
        <v>165045896</v>
      </c>
    </row>
    <row r="3270" spans="1:16" x14ac:dyDescent="0.3">
      <c r="A3270">
        <v>1650</v>
      </c>
      <c r="B3270">
        <v>25</v>
      </c>
      <c r="C3270" t="s">
        <v>15</v>
      </c>
      <c r="D3270" t="s">
        <v>29</v>
      </c>
      <c r="E3270" t="s">
        <v>17</v>
      </c>
      <c r="F3270" t="s">
        <v>18</v>
      </c>
      <c r="G3270" t="s">
        <v>41</v>
      </c>
      <c r="H3270" t="s">
        <v>25</v>
      </c>
      <c r="I3270" s="1">
        <v>1</v>
      </c>
      <c r="J3270" s="2">
        <v>46084</v>
      </c>
      <c r="K3270" s="2">
        <v>46082</v>
      </c>
      <c r="L3270" s="1" t="str">
        <f t="shared" si="377"/>
        <v>ter</v>
      </c>
      <c r="M3270" s="1" t="str">
        <f t="shared" si="378"/>
        <v>mar</v>
      </c>
      <c r="N3270">
        <f t="shared" si="379"/>
        <v>2026</v>
      </c>
      <c r="O3270" s="2"/>
      <c r="P3270" t="str">
        <f t="shared" si="380"/>
        <v>165046084</v>
      </c>
    </row>
    <row r="3271" spans="1:16" x14ac:dyDescent="0.3">
      <c r="A3271">
        <v>1651</v>
      </c>
      <c r="B3271">
        <v>24</v>
      </c>
      <c r="C3271" t="s">
        <v>15</v>
      </c>
      <c r="D3271" t="s">
        <v>31</v>
      </c>
      <c r="E3271" t="s">
        <v>34</v>
      </c>
      <c r="F3271" t="s">
        <v>18</v>
      </c>
      <c r="G3271" t="s">
        <v>41</v>
      </c>
      <c r="H3271" t="s">
        <v>25</v>
      </c>
      <c r="I3271" s="1">
        <v>1</v>
      </c>
      <c r="J3271" s="2">
        <v>45842</v>
      </c>
      <c r="K3271" s="2">
        <v>45839</v>
      </c>
      <c r="L3271" s="1" t="str">
        <f t="shared" si="377"/>
        <v>sex</v>
      </c>
      <c r="M3271" s="1" t="str">
        <f t="shared" si="378"/>
        <v>jul</v>
      </c>
      <c r="N3271">
        <f t="shared" si="379"/>
        <v>2025</v>
      </c>
      <c r="O3271" s="2"/>
      <c r="P3271" t="str">
        <f t="shared" si="380"/>
        <v>165145842</v>
      </c>
    </row>
    <row r="3272" spans="1:16" x14ac:dyDescent="0.3">
      <c r="A3272">
        <v>1651</v>
      </c>
      <c r="B3272">
        <v>24</v>
      </c>
      <c r="C3272" t="s">
        <v>15</v>
      </c>
      <c r="D3272" t="s">
        <v>31</v>
      </c>
      <c r="E3272" t="s">
        <v>34</v>
      </c>
      <c r="F3272" t="s">
        <v>18</v>
      </c>
      <c r="G3272" t="s">
        <v>41</v>
      </c>
      <c r="H3272" t="s">
        <v>25</v>
      </c>
      <c r="I3272" s="1">
        <v>1</v>
      </c>
      <c r="J3272" s="2">
        <v>45958</v>
      </c>
      <c r="K3272" s="2">
        <v>45931</v>
      </c>
      <c r="L3272" s="1" t="str">
        <f t="shared" si="377"/>
        <v>ter</v>
      </c>
      <c r="M3272" s="1" t="str">
        <f t="shared" si="378"/>
        <v>out</v>
      </c>
      <c r="N3272">
        <f t="shared" si="379"/>
        <v>2025</v>
      </c>
      <c r="O3272" s="2"/>
      <c r="P3272" t="str">
        <f t="shared" si="380"/>
        <v>165145958</v>
      </c>
    </row>
    <row r="3273" spans="1:16" x14ac:dyDescent="0.3">
      <c r="A3273">
        <v>1651</v>
      </c>
      <c r="B3273">
        <v>24</v>
      </c>
      <c r="C3273" t="s">
        <v>15</v>
      </c>
      <c r="D3273" t="s">
        <v>31</v>
      </c>
      <c r="E3273" t="s">
        <v>34</v>
      </c>
      <c r="F3273" t="s">
        <v>18</v>
      </c>
      <c r="G3273" t="s">
        <v>41</v>
      </c>
      <c r="H3273" t="s">
        <v>25</v>
      </c>
      <c r="I3273" s="1">
        <v>1</v>
      </c>
      <c r="J3273" s="2">
        <v>45979</v>
      </c>
      <c r="K3273" s="2">
        <v>45962</v>
      </c>
      <c r="L3273" s="1" t="str">
        <f t="shared" si="377"/>
        <v>ter</v>
      </c>
      <c r="M3273" s="1" t="str">
        <f t="shared" si="378"/>
        <v>nov</v>
      </c>
      <c r="N3273">
        <f t="shared" si="379"/>
        <v>2025</v>
      </c>
      <c r="O3273" s="2"/>
      <c r="P3273" t="str">
        <f t="shared" si="380"/>
        <v>165145979</v>
      </c>
    </row>
    <row r="3274" spans="1:16" x14ac:dyDescent="0.3">
      <c r="A3274">
        <v>1651</v>
      </c>
      <c r="B3274">
        <v>24</v>
      </c>
      <c r="C3274" t="s">
        <v>15</v>
      </c>
      <c r="D3274" t="s">
        <v>31</v>
      </c>
      <c r="E3274" t="s">
        <v>34</v>
      </c>
      <c r="F3274" t="s">
        <v>18</v>
      </c>
      <c r="G3274" t="s">
        <v>41</v>
      </c>
      <c r="H3274" t="s">
        <v>25</v>
      </c>
      <c r="I3274" s="1">
        <v>1</v>
      </c>
      <c r="J3274" s="2">
        <v>46177</v>
      </c>
      <c r="K3274" s="2">
        <v>46023</v>
      </c>
      <c r="L3274" s="1" t="str">
        <f t="shared" si="377"/>
        <v>qui</v>
      </c>
      <c r="M3274" s="1" t="str">
        <f t="shared" si="378"/>
        <v>jun</v>
      </c>
      <c r="N3274">
        <f t="shared" si="379"/>
        <v>2026</v>
      </c>
      <c r="O3274" s="2"/>
      <c r="P3274" t="str">
        <f t="shared" si="380"/>
        <v>165146177</v>
      </c>
    </row>
    <row r="3275" spans="1:16" x14ac:dyDescent="0.3">
      <c r="A3275">
        <v>1651</v>
      </c>
      <c r="B3275">
        <v>24</v>
      </c>
      <c r="C3275" t="s">
        <v>15</v>
      </c>
      <c r="D3275" t="s">
        <v>31</v>
      </c>
      <c r="E3275" t="s">
        <v>34</v>
      </c>
      <c r="F3275" t="s">
        <v>18</v>
      </c>
      <c r="G3275" t="s">
        <v>41</v>
      </c>
      <c r="H3275" t="s">
        <v>25</v>
      </c>
      <c r="I3275" s="1">
        <v>1</v>
      </c>
      <c r="J3275" s="2">
        <v>46197</v>
      </c>
      <c r="K3275" s="2">
        <v>46023</v>
      </c>
      <c r="L3275" s="1" t="str">
        <f t="shared" si="377"/>
        <v>qua</v>
      </c>
      <c r="M3275" s="1" t="str">
        <f t="shared" si="378"/>
        <v>jun</v>
      </c>
      <c r="N3275">
        <f t="shared" si="379"/>
        <v>2026</v>
      </c>
      <c r="O3275" s="2"/>
      <c r="P3275" t="str">
        <f t="shared" si="380"/>
        <v>165146197</v>
      </c>
    </row>
    <row r="3276" spans="1:16" x14ac:dyDescent="0.3">
      <c r="A3276">
        <v>1651</v>
      </c>
      <c r="B3276">
        <v>24</v>
      </c>
      <c r="C3276" t="s">
        <v>15</v>
      </c>
      <c r="D3276" t="s">
        <v>31</v>
      </c>
      <c r="E3276" t="s">
        <v>34</v>
      </c>
      <c r="F3276" t="s">
        <v>18</v>
      </c>
      <c r="G3276" t="s">
        <v>41</v>
      </c>
      <c r="H3276" t="s">
        <v>25</v>
      </c>
      <c r="I3276" s="1">
        <v>1</v>
      </c>
      <c r="J3276" s="2">
        <v>46096</v>
      </c>
      <c r="K3276" s="2">
        <v>46082</v>
      </c>
      <c r="L3276" s="1" t="str">
        <f t="shared" si="377"/>
        <v>dom</v>
      </c>
      <c r="M3276" s="1" t="str">
        <f t="shared" si="378"/>
        <v>mar</v>
      </c>
      <c r="N3276">
        <f t="shared" si="379"/>
        <v>2026</v>
      </c>
      <c r="O3276" s="2"/>
      <c r="P3276" t="str">
        <f t="shared" si="380"/>
        <v>165146096</v>
      </c>
    </row>
    <row r="3277" spans="1:16" x14ac:dyDescent="0.3">
      <c r="A3277">
        <v>1653</v>
      </c>
      <c r="B3277">
        <v>44</v>
      </c>
      <c r="C3277" t="s">
        <v>26</v>
      </c>
      <c r="D3277" t="s">
        <v>16</v>
      </c>
      <c r="E3277" t="s">
        <v>17</v>
      </c>
      <c r="F3277" t="s">
        <v>18</v>
      </c>
      <c r="G3277" t="s">
        <v>41</v>
      </c>
      <c r="H3277" t="s">
        <v>25</v>
      </c>
      <c r="I3277" s="1">
        <v>3</v>
      </c>
      <c r="J3277" s="2">
        <v>45900</v>
      </c>
      <c r="K3277" s="2">
        <v>45870</v>
      </c>
      <c r="L3277" s="1" t="str">
        <f t="shared" si="377"/>
        <v>dom</v>
      </c>
      <c r="M3277" s="1" t="str">
        <f t="shared" si="378"/>
        <v>ago</v>
      </c>
      <c r="N3277">
        <f t="shared" si="379"/>
        <v>2025</v>
      </c>
      <c r="O3277" s="2"/>
      <c r="P3277" t="str">
        <f t="shared" si="380"/>
        <v>165345900</v>
      </c>
    </row>
    <row r="3278" spans="1:16" x14ac:dyDescent="0.3">
      <c r="A3278">
        <v>1653</v>
      </c>
      <c r="B3278">
        <v>44</v>
      </c>
      <c r="C3278" t="s">
        <v>26</v>
      </c>
      <c r="D3278" t="s">
        <v>16</v>
      </c>
      <c r="E3278" t="s">
        <v>17</v>
      </c>
      <c r="F3278" t="s">
        <v>18</v>
      </c>
      <c r="G3278" t="s">
        <v>41</v>
      </c>
      <c r="H3278" t="s">
        <v>25</v>
      </c>
      <c r="I3278" s="1">
        <v>3</v>
      </c>
      <c r="J3278" s="2">
        <v>46005</v>
      </c>
      <c r="K3278" s="2">
        <v>45992</v>
      </c>
      <c r="L3278" s="1" t="str">
        <f t="shared" si="377"/>
        <v>dom</v>
      </c>
      <c r="M3278" s="1" t="str">
        <f t="shared" si="378"/>
        <v>dez</v>
      </c>
      <c r="N3278">
        <f t="shared" si="379"/>
        <v>2025</v>
      </c>
      <c r="O3278" s="2"/>
      <c r="P3278" t="str">
        <f t="shared" si="380"/>
        <v>165346005</v>
      </c>
    </row>
    <row r="3279" spans="1:16" x14ac:dyDescent="0.3">
      <c r="A3279">
        <v>1653</v>
      </c>
      <c r="B3279">
        <v>44</v>
      </c>
      <c r="C3279" t="s">
        <v>26</v>
      </c>
      <c r="D3279" t="s">
        <v>16</v>
      </c>
      <c r="E3279" t="s">
        <v>17</v>
      </c>
      <c r="F3279" t="s">
        <v>18</v>
      </c>
      <c r="G3279" t="s">
        <v>41</v>
      </c>
      <c r="H3279" t="s">
        <v>25</v>
      </c>
      <c r="I3279" s="1">
        <v>3</v>
      </c>
      <c r="J3279" s="2">
        <v>46175</v>
      </c>
      <c r="K3279" s="2">
        <v>46023</v>
      </c>
      <c r="L3279" s="1" t="str">
        <f t="shared" si="377"/>
        <v>ter</v>
      </c>
      <c r="M3279" s="1" t="str">
        <f t="shared" si="378"/>
        <v>jun</v>
      </c>
      <c r="N3279">
        <f t="shared" si="379"/>
        <v>2026</v>
      </c>
      <c r="O3279" s="2"/>
      <c r="P3279" t="str">
        <f t="shared" si="380"/>
        <v>165346175</v>
      </c>
    </row>
    <row r="3280" spans="1:16" x14ac:dyDescent="0.3">
      <c r="A3280">
        <v>1653</v>
      </c>
      <c r="B3280">
        <v>44</v>
      </c>
      <c r="C3280" t="s">
        <v>26</v>
      </c>
      <c r="D3280" t="s">
        <v>16</v>
      </c>
      <c r="E3280" t="s">
        <v>17</v>
      </c>
      <c r="F3280" t="s">
        <v>18</v>
      </c>
      <c r="G3280" t="s">
        <v>41</v>
      </c>
      <c r="H3280" t="s">
        <v>25</v>
      </c>
      <c r="I3280" s="1">
        <v>3</v>
      </c>
      <c r="J3280" s="2">
        <v>46182</v>
      </c>
      <c r="K3280" s="2">
        <v>46023</v>
      </c>
      <c r="L3280" s="1" t="str">
        <f t="shared" si="377"/>
        <v>ter</v>
      </c>
      <c r="M3280" s="1" t="str">
        <f t="shared" si="378"/>
        <v>jun</v>
      </c>
      <c r="N3280">
        <f t="shared" si="379"/>
        <v>2026</v>
      </c>
      <c r="O3280" s="2"/>
      <c r="P3280" t="str">
        <f t="shared" si="380"/>
        <v>165346182</v>
      </c>
    </row>
    <row r="3281" spans="1:16" x14ac:dyDescent="0.3">
      <c r="A3281">
        <v>1653</v>
      </c>
      <c r="B3281">
        <v>44</v>
      </c>
      <c r="C3281" t="s">
        <v>26</v>
      </c>
      <c r="D3281" t="s">
        <v>16</v>
      </c>
      <c r="E3281" t="s">
        <v>17</v>
      </c>
      <c r="F3281" t="s">
        <v>18</v>
      </c>
      <c r="G3281" t="s">
        <v>41</v>
      </c>
      <c r="H3281" t="s">
        <v>25</v>
      </c>
      <c r="I3281" s="1">
        <v>3</v>
      </c>
      <c r="J3281" s="2">
        <v>46082</v>
      </c>
      <c r="K3281" s="2">
        <v>46082</v>
      </c>
      <c r="L3281" s="1" t="str">
        <f t="shared" si="377"/>
        <v>dom</v>
      </c>
      <c r="M3281" s="1" t="str">
        <f t="shared" si="378"/>
        <v>mar</v>
      </c>
      <c r="N3281">
        <f t="shared" si="379"/>
        <v>2026</v>
      </c>
      <c r="O3281" s="2"/>
      <c r="P3281" t="str">
        <f t="shared" si="380"/>
        <v>165346082</v>
      </c>
    </row>
    <row r="3282" spans="1:16" x14ac:dyDescent="0.3">
      <c r="A3282">
        <v>1653</v>
      </c>
      <c r="B3282">
        <v>44</v>
      </c>
      <c r="C3282" t="s">
        <v>26</v>
      </c>
      <c r="D3282" t="s">
        <v>16</v>
      </c>
      <c r="E3282" t="s">
        <v>17</v>
      </c>
      <c r="F3282" t="s">
        <v>18</v>
      </c>
      <c r="G3282" t="s">
        <v>41</v>
      </c>
      <c r="H3282" t="s">
        <v>25</v>
      </c>
      <c r="I3282" s="1">
        <v>3</v>
      </c>
      <c r="J3282" s="2">
        <v>46103</v>
      </c>
      <c r="K3282" s="2">
        <v>46082</v>
      </c>
      <c r="L3282" s="1" t="str">
        <f t="shared" si="377"/>
        <v>dom</v>
      </c>
      <c r="M3282" s="1" t="str">
        <f t="shared" si="378"/>
        <v>mar</v>
      </c>
      <c r="N3282">
        <f t="shared" si="379"/>
        <v>2026</v>
      </c>
      <c r="O3282" s="2"/>
      <c r="P3282" t="str">
        <f t="shared" si="380"/>
        <v>165346103</v>
      </c>
    </row>
    <row r="3283" spans="1:16" x14ac:dyDescent="0.3">
      <c r="A3283">
        <v>1655</v>
      </c>
      <c r="B3283">
        <v>47</v>
      </c>
      <c r="C3283" t="s">
        <v>26</v>
      </c>
      <c r="D3283" t="s">
        <v>16</v>
      </c>
      <c r="E3283" t="s">
        <v>17</v>
      </c>
      <c r="F3283" t="s">
        <v>18</v>
      </c>
      <c r="G3283" t="s">
        <v>41</v>
      </c>
      <c r="H3283" t="s">
        <v>25</v>
      </c>
      <c r="I3283" s="1">
        <v>2</v>
      </c>
      <c r="J3283" s="2">
        <v>45875</v>
      </c>
      <c r="K3283" s="2">
        <v>45870</v>
      </c>
      <c r="L3283" s="1" t="str">
        <f t="shared" si="377"/>
        <v>qua</v>
      </c>
      <c r="M3283" s="1" t="str">
        <f t="shared" si="378"/>
        <v>ago</v>
      </c>
      <c r="N3283">
        <f t="shared" si="379"/>
        <v>2025</v>
      </c>
      <c r="O3283" s="2"/>
      <c r="P3283" t="str">
        <f t="shared" si="380"/>
        <v>165545875</v>
      </c>
    </row>
    <row r="3284" spans="1:16" x14ac:dyDescent="0.3">
      <c r="A3284">
        <v>1655</v>
      </c>
      <c r="B3284">
        <v>47</v>
      </c>
      <c r="C3284" t="s">
        <v>26</v>
      </c>
      <c r="D3284" t="s">
        <v>16</v>
      </c>
      <c r="E3284" t="s">
        <v>17</v>
      </c>
      <c r="F3284" t="s">
        <v>18</v>
      </c>
      <c r="G3284" t="s">
        <v>41</v>
      </c>
      <c r="H3284" t="s">
        <v>25</v>
      </c>
      <c r="I3284" s="1">
        <v>2</v>
      </c>
      <c r="J3284" s="2">
        <v>45908</v>
      </c>
      <c r="K3284" s="2">
        <v>45901</v>
      </c>
      <c r="L3284" s="1" t="str">
        <f t="shared" si="377"/>
        <v>seg</v>
      </c>
      <c r="M3284" s="1" t="str">
        <f t="shared" si="378"/>
        <v>set</v>
      </c>
      <c r="N3284">
        <f t="shared" si="379"/>
        <v>2025</v>
      </c>
      <c r="O3284" s="2"/>
      <c r="P3284" t="str">
        <f t="shared" si="380"/>
        <v>165545908</v>
      </c>
    </row>
    <row r="3285" spans="1:16" x14ac:dyDescent="0.3">
      <c r="A3285">
        <v>1655</v>
      </c>
      <c r="B3285">
        <v>47</v>
      </c>
      <c r="C3285" t="s">
        <v>26</v>
      </c>
      <c r="D3285" t="s">
        <v>16</v>
      </c>
      <c r="E3285" t="s">
        <v>17</v>
      </c>
      <c r="F3285" t="s">
        <v>18</v>
      </c>
      <c r="G3285" t="s">
        <v>41</v>
      </c>
      <c r="H3285" t="s">
        <v>25</v>
      </c>
      <c r="I3285" s="1">
        <v>2</v>
      </c>
      <c r="J3285" s="2">
        <v>46079</v>
      </c>
      <c r="K3285" s="2">
        <v>46054</v>
      </c>
      <c r="L3285" s="1" t="str">
        <f t="shared" si="377"/>
        <v>qui</v>
      </c>
      <c r="M3285" s="1" t="str">
        <f t="shared" si="378"/>
        <v>fev</v>
      </c>
      <c r="N3285">
        <f t="shared" si="379"/>
        <v>2026</v>
      </c>
      <c r="O3285" s="2"/>
      <c r="P3285" t="str">
        <f t="shared" si="380"/>
        <v>165546079</v>
      </c>
    </row>
    <row r="3286" spans="1:16" x14ac:dyDescent="0.3">
      <c r="A3286">
        <v>1655</v>
      </c>
      <c r="B3286">
        <v>47</v>
      </c>
      <c r="C3286" t="s">
        <v>26</v>
      </c>
      <c r="D3286" t="s">
        <v>16</v>
      </c>
      <c r="E3286" t="s">
        <v>17</v>
      </c>
      <c r="F3286" t="s">
        <v>18</v>
      </c>
      <c r="G3286" t="s">
        <v>41</v>
      </c>
      <c r="H3286" t="s">
        <v>25</v>
      </c>
      <c r="I3286" s="1">
        <v>2</v>
      </c>
      <c r="J3286" s="2">
        <v>46107</v>
      </c>
      <c r="K3286" s="2">
        <v>46082</v>
      </c>
      <c r="L3286" s="1" t="str">
        <f t="shared" ref="L3286:L3317" si="381">TEXT(J3286,"ddd")</f>
        <v>qui</v>
      </c>
      <c r="M3286" s="1" t="str">
        <f t="shared" ref="M3286:M3317" si="382">TEXT($J3286,"mmm")</f>
        <v>mar</v>
      </c>
      <c r="N3286">
        <f t="shared" ref="N3286:N3317" si="383">YEAR(J3286)</f>
        <v>2026</v>
      </c>
      <c r="O3286" s="2"/>
      <c r="P3286" t="str">
        <f t="shared" si="380"/>
        <v>165546107</v>
      </c>
    </row>
    <row r="3287" spans="1:16" x14ac:dyDescent="0.3">
      <c r="A3287">
        <v>1655</v>
      </c>
      <c r="B3287">
        <v>47</v>
      </c>
      <c r="C3287" t="s">
        <v>26</v>
      </c>
      <c r="D3287" t="s">
        <v>16</v>
      </c>
      <c r="E3287" t="s">
        <v>17</v>
      </c>
      <c r="F3287" t="s">
        <v>18</v>
      </c>
      <c r="G3287" t="s">
        <v>41</v>
      </c>
      <c r="H3287" t="s">
        <v>25</v>
      </c>
      <c r="I3287" s="1">
        <v>2</v>
      </c>
      <c r="J3287" s="2">
        <v>46133</v>
      </c>
      <c r="K3287" s="2">
        <v>46113</v>
      </c>
      <c r="L3287" s="1" t="str">
        <f t="shared" si="381"/>
        <v>ter</v>
      </c>
      <c r="M3287" s="1" t="str">
        <f t="shared" si="382"/>
        <v>abr</v>
      </c>
      <c r="N3287">
        <f t="shared" si="383"/>
        <v>2026</v>
      </c>
      <c r="O3287" s="2"/>
      <c r="P3287" t="str">
        <f t="shared" si="380"/>
        <v>165546133</v>
      </c>
    </row>
    <row r="3288" spans="1:16" x14ac:dyDescent="0.3">
      <c r="A3288">
        <v>1656</v>
      </c>
      <c r="B3288">
        <v>35</v>
      </c>
      <c r="C3288" t="s">
        <v>15</v>
      </c>
      <c r="D3288" t="s">
        <v>29</v>
      </c>
      <c r="E3288" t="s">
        <v>17</v>
      </c>
      <c r="F3288" t="s">
        <v>23</v>
      </c>
      <c r="G3288" t="s">
        <v>41</v>
      </c>
      <c r="H3288" t="s">
        <v>25</v>
      </c>
      <c r="I3288" s="1">
        <v>3</v>
      </c>
      <c r="J3288" s="2">
        <v>45865</v>
      </c>
      <c r="K3288" s="2">
        <v>45839</v>
      </c>
      <c r="L3288" s="1" t="str">
        <f t="shared" si="381"/>
        <v>dom</v>
      </c>
      <c r="M3288" s="1" t="str">
        <f t="shared" si="382"/>
        <v>jul</v>
      </c>
      <c r="N3288">
        <f t="shared" si="383"/>
        <v>2025</v>
      </c>
      <c r="O3288" s="2"/>
      <c r="P3288" t="str">
        <f t="shared" si="380"/>
        <v>165645865</v>
      </c>
    </row>
    <row r="3289" spans="1:16" x14ac:dyDescent="0.3">
      <c r="A3289">
        <v>1656</v>
      </c>
      <c r="B3289">
        <v>35</v>
      </c>
      <c r="C3289" t="s">
        <v>15</v>
      </c>
      <c r="D3289" t="s">
        <v>29</v>
      </c>
      <c r="E3289" t="s">
        <v>17</v>
      </c>
      <c r="F3289" t="s">
        <v>23</v>
      </c>
      <c r="G3289" t="s">
        <v>41</v>
      </c>
      <c r="H3289" t="s">
        <v>25</v>
      </c>
      <c r="I3289" s="1">
        <v>3</v>
      </c>
      <c r="J3289" s="2">
        <v>45871</v>
      </c>
      <c r="K3289" s="2">
        <v>45870</v>
      </c>
      <c r="L3289" s="1" t="str">
        <f t="shared" si="381"/>
        <v>sáb</v>
      </c>
      <c r="M3289" s="1" t="str">
        <f t="shared" si="382"/>
        <v>ago</v>
      </c>
      <c r="N3289">
        <f t="shared" si="383"/>
        <v>2025</v>
      </c>
      <c r="O3289" s="2"/>
      <c r="P3289" t="str">
        <f t="shared" si="380"/>
        <v>165645871</v>
      </c>
    </row>
    <row r="3290" spans="1:16" x14ac:dyDescent="0.3">
      <c r="A3290">
        <v>1656</v>
      </c>
      <c r="B3290">
        <v>35</v>
      </c>
      <c r="C3290" t="s">
        <v>15</v>
      </c>
      <c r="D3290" t="s">
        <v>29</v>
      </c>
      <c r="E3290" t="s">
        <v>17</v>
      </c>
      <c r="F3290" t="s">
        <v>23</v>
      </c>
      <c r="G3290" t="s">
        <v>41</v>
      </c>
      <c r="H3290" t="s">
        <v>25</v>
      </c>
      <c r="I3290" s="1">
        <v>3</v>
      </c>
      <c r="J3290" s="2">
        <v>45872</v>
      </c>
      <c r="K3290" s="2">
        <v>45870</v>
      </c>
      <c r="L3290" s="1" t="str">
        <f t="shared" si="381"/>
        <v>dom</v>
      </c>
      <c r="M3290" s="1" t="str">
        <f t="shared" si="382"/>
        <v>ago</v>
      </c>
      <c r="N3290">
        <f t="shared" si="383"/>
        <v>2025</v>
      </c>
      <c r="O3290" s="2"/>
      <c r="P3290" t="str">
        <f t="shared" si="380"/>
        <v>165645872</v>
      </c>
    </row>
    <row r="3291" spans="1:16" x14ac:dyDescent="0.3">
      <c r="A3291">
        <v>1656</v>
      </c>
      <c r="B3291">
        <v>35</v>
      </c>
      <c r="C3291" t="s">
        <v>15</v>
      </c>
      <c r="D3291" t="s">
        <v>29</v>
      </c>
      <c r="E3291" t="s">
        <v>17</v>
      </c>
      <c r="F3291" t="s">
        <v>23</v>
      </c>
      <c r="G3291" t="s">
        <v>41</v>
      </c>
      <c r="H3291" t="s">
        <v>25</v>
      </c>
      <c r="I3291" s="1">
        <v>3</v>
      </c>
      <c r="J3291" s="2">
        <v>45938</v>
      </c>
      <c r="K3291" s="2">
        <v>45931</v>
      </c>
      <c r="L3291" s="1" t="str">
        <f t="shared" si="381"/>
        <v>qua</v>
      </c>
      <c r="M3291" s="1" t="str">
        <f t="shared" si="382"/>
        <v>out</v>
      </c>
      <c r="N3291">
        <f t="shared" si="383"/>
        <v>2025</v>
      </c>
      <c r="O3291" s="2"/>
      <c r="P3291" t="str">
        <f t="shared" si="380"/>
        <v>165645938</v>
      </c>
    </row>
    <row r="3292" spans="1:16" x14ac:dyDescent="0.3">
      <c r="A3292">
        <v>1656</v>
      </c>
      <c r="B3292">
        <v>35</v>
      </c>
      <c r="C3292" t="s">
        <v>15</v>
      </c>
      <c r="D3292" t="s">
        <v>29</v>
      </c>
      <c r="E3292" t="s">
        <v>17</v>
      </c>
      <c r="F3292" t="s">
        <v>23</v>
      </c>
      <c r="G3292" t="s">
        <v>41</v>
      </c>
      <c r="H3292" t="s">
        <v>25</v>
      </c>
      <c r="I3292" s="1">
        <v>3</v>
      </c>
      <c r="J3292" s="2">
        <v>46109</v>
      </c>
      <c r="K3292" s="2">
        <v>46082</v>
      </c>
      <c r="L3292" s="1" t="str">
        <f t="shared" si="381"/>
        <v>sáb</v>
      </c>
      <c r="M3292" s="1" t="str">
        <f t="shared" si="382"/>
        <v>mar</v>
      </c>
      <c r="N3292">
        <f t="shared" si="383"/>
        <v>2026</v>
      </c>
      <c r="O3292" s="2"/>
      <c r="P3292" t="str">
        <f t="shared" si="380"/>
        <v>165646109</v>
      </c>
    </row>
    <row r="3293" spans="1:16" x14ac:dyDescent="0.3">
      <c r="A3293">
        <v>1656</v>
      </c>
      <c r="B3293">
        <v>35</v>
      </c>
      <c r="C3293" t="s">
        <v>15</v>
      </c>
      <c r="D3293" t="s">
        <v>29</v>
      </c>
      <c r="E3293" t="s">
        <v>17</v>
      </c>
      <c r="F3293" t="s">
        <v>23</v>
      </c>
      <c r="G3293" t="s">
        <v>41</v>
      </c>
      <c r="H3293" t="s">
        <v>25</v>
      </c>
      <c r="I3293" s="1">
        <v>3</v>
      </c>
      <c r="J3293" s="2">
        <v>46177</v>
      </c>
      <c r="K3293" s="2">
        <v>46174</v>
      </c>
      <c r="L3293" s="1" t="str">
        <f t="shared" si="381"/>
        <v>qui</v>
      </c>
      <c r="M3293" s="1" t="str">
        <f t="shared" si="382"/>
        <v>jun</v>
      </c>
      <c r="N3293">
        <f t="shared" si="383"/>
        <v>2026</v>
      </c>
      <c r="O3293" s="2"/>
      <c r="P3293" t="str">
        <f t="shared" si="380"/>
        <v>165646177</v>
      </c>
    </row>
    <row r="3294" spans="1:16" x14ac:dyDescent="0.3">
      <c r="A3294">
        <v>1657</v>
      </c>
      <c r="B3294">
        <v>49</v>
      </c>
      <c r="C3294" t="s">
        <v>26</v>
      </c>
      <c r="D3294" t="s">
        <v>22</v>
      </c>
      <c r="E3294" t="s">
        <v>17</v>
      </c>
      <c r="F3294" t="s">
        <v>23</v>
      </c>
      <c r="G3294" t="s">
        <v>41</v>
      </c>
      <c r="H3294" t="s">
        <v>25</v>
      </c>
      <c r="I3294" s="1">
        <v>2</v>
      </c>
      <c r="J3294" s="2">
        <v>45842</v>
      </c>
      <c r="K3294" s="2">
        <v>45839</v>
      </c>
      <c r="L3294" s="1" t="str">
        <f t="shared" si="381"/>
        <v>sex</v>
      </c>
      <c r="M3294" s="1" t="str">
        <f t="shared" si="382"/>
        <v>jul</v>
      </c>
      <c r="N3294">
        <f t="shared" si="383"/>
        <v>2025</v>
      </c>
      <c r="O3294" s="2"/>
      <c r="P3294" t="str">
        <f t="shared" si="380"/>
        <v>165745842</v>
      </c>
    </row>
    <row r="3295" spans="1:16" x14ac:dyDescent="0.3">
      <c r="A3295">
        <v>1657</v>
      </c>
      <c r="B3295">
        <v>49</v>
      </c>
      <c r="C3295" t="s">
        <v>26</v>
      </c>
      <c r="D3295" t="s">
        <v>22</v>
      </c>
      <c r="E3295" t="s">
        <v>17</v>
      </c>
      <c r="F3295" t="s">
        <v>23</v>
      </c>
      <c r="G3295" t="s">
        <v>41</v>
      </c>
      <c r="H3295" t="s">
        <v>25</v>
      </c>
      <c r="I3295" s="1">
        <v>2</v>
      </c>
      <c r="J3295" s="2">
        <v>45882</v>
      </c>
      <c r="K3295" s="2">
        <v>45870</v>
      </c>
      <c r="L3295" s="1" t="str">
        <f t="shared" si="381"/>
        <v>qua</v>
      </c>
      <c r="M3295" s="1" t="str">
        <f t="shared" si="382"/>
        <v>ago</v>
      </c>
      <c r="N3295">
        <f t="shared" si="383"/>
        <v>2025</v>
      </c>
      <c r="O3295" s="2"/>
      <c r="P3295" t="str">
        <f t="shared" si="380"/>
        <v>165745882</v>
      </c>
    </row>
    <row r="3296" spans="1:16" x14ac:dyDescent="0.3">
      <c r="A3296">
        <v>1657</v>
      </c>
      <c r="B3296">
        <v>49</v>
      </c>
      <c r="C3296" t="s">
        <v>26</v>
      </c>
      <c r="D3296" t="s">
        <v>22</v>
      </c>
      <c r="E3296" t="s">
        <v>17</v>
      </c>
      <c r="F3296" t="s">
        <v>23</v>
      </c>
      <c r="G3296" t="s">
        <v>41</v>
      </c>
      <c r="H3296" t="s">
        <v>25</v>
      </c>
      <c r="I3296" s="1">
        <v>2</v>
      </c>
      <c r="J3296" s="2">
        <v>45966</v>
      </c>
      <c r="K3296" s="2">
        <v>45962</v>
      </c>
      <c r="L3296" s="1" t="str">
        <f t="shared" si="381"/>
        <v>qua</v>
      </c>
      <c r="M3296" s="1" t="str">
        <f t="shared" si="382"/>
        <v>nov</v>
      </c>
      <c r="N3296">
        <f t="shared" si="383"/>
        <v>2025</v>
      </c>
      <c r="O3296" s="2"/>
      <c r="P3296" t="str">
        <f t="shared" si="380"/>
        <v>165745966</v>
      </c>
    </row>
    <row r="3297" spans="1:16" x14ac:dyDescent="0.3">
      <c r="A3297">
        <v>1657</v>
      </c>
      <c r="B3297">
        <v>49</v>
      </c>
      <c r="C3297" t="s">
        <v>26</v>
      </c>
      <c r="D3297" t="s">
        <v>22</v>
      </c>
      <c r="E3297" t="s">
        <v>17</v>
      </c>
      <c r="F3297" t="s">
        <v>23</v>
      </c>
      <c r="G3297" t="s">
        <v>41</v>
      </c>
      <c r="H3297" t="s">
        <v>25</v>
      </c>
      <c r="I3297" s="1">
        <v>2</v>
      </c>
      <c r="J3297" s="2">
        <v>46008</v>
      </c>
      <c r="K3297" s="2">
        <v>45992</v>
      </c>
      <c r="L3297" s="1" t="str">
        <f t="shared" si="381"/>
        <v>qua</v>
      </c>
      <c r="M3297" s="1" t="str">
        <f t="shared" si="382"/>
        <v>dez</v>
      </c>
      <c r="N3297">
        <f t="shared" si="383"/>
        <v>2025</v>
      </c>
      <c r="O3297" s="2"/>
      <c r="P3297" t="str">
        <f t="shared" si="380"/>
        <v>165746008</v>
      </c>
    </row>
    <row r="3298" spans="1:16" x14ac:dyDescent="0.3">
      <c r="A3298">
        <v>1659</v>
      </c>
      <c r="B3298">
        <v>29</v>
      </c>
      <c r="C3298" t="s">
        <v>15</v>
      </c>
      <c r="D3298" t="s">
        <v>16</v>
      </c>
      <c r="E3298" t="s">
        <v>17</v>
      </c>
      <c r="F3298" t="s">
        <v>18</v>
      </c>
      <c r="G3298" t="s">
        <v>41</v>
      </c>
      <c r="H3298" t="s">
        <v>20</v>
      </c>
      <c r="I3298" s="1">
        <v>2</v>
      </c>
      <c r="J3298" s="2">
        <v>45779</v>
      </c>
      <c r="K3298" s="2">
        <v>45778</v>
      </c>
      <c r="L3298" s="1" t="str">
        <f t="shared" si="381"/>
        <v>sex</v>
      </c>
      <c r="M3298" s="1" t="str">
        <f t="shared" si="382"/>
        <v>mai</v>
      </c>
      <c r="N3298">
        <f t="shared" si="383"/>
        <v>2025</v>
      </c>
      <c r="O3298" s="2">
        <f>_xlfn.XLOOKUP(A3298,Colaboradores!$A:$A,Colaboradores!$S:$S,"",0)</f>
        <v>46190</v>
      </c>
      <c r="P3298" t="str">
        <f t="shared" si="380"/>
        <v>165945779</v>
      </c>
    </row>
    <row r="3299" spans="1:16" x14ac:dyDescent="0.3">
      <c r="A3299">
        <v>1659</v>
      </c>
      <c r="B3299">
        <v>29</v>
      </c>
      <c r="C3299" t="s">
        <v>15</v>
      </c>
      <c r="D3299" t="s">
        <v>16</v>
      </c>
      <c r="E3299" t="s">
        <v>17</v>
      </c>
      <c r="F3299" t="s">
        <v>18</v>
      </c>
      <c r="G3299" t="s">
        <v>41</v>
      </c>
      <c r="H3299" t="s">
        <v>20</v>
      </c>
      <c r="I3299" s="1">
        <v>2</v>
      </c>
      <c r="J3299" s="2">
        <v>45953</v>
      </c>
      <c r="K3299" s="2">
        <v>45931</v>
      </c>
      <c r="L3299" s="1" t="str">
        <f t="shared" si="381"/>
        <v>qui</v>
      </c>
      <c r="M3299" s="1" t="str">
        <f t="shared" si="382"/>
        <v>out</v>
      </c>
      <c r="N3299">
        <f t="shared" si="383"/>
        <v>2025</v>
      </c>
      <c r="O3299" s="2">
        <f>_xlfn.XLOOKUP(A3299,Colaboradores!$A:$A,Colaboradores!$S:$S,"",0)</f>
        <v>46190</v>
      </c>
      <c r="P3299" t="str">
        <f t="shared" si="380"/>
        <v>165945953</v>
      </c>
    </row>
    <row r="3300" spans="1:16" x14ac:dyDescent="0.3">
      <c r="A3300">
        <v>1659</v>
      </c>
      <c r="B3300">
        <v>29</v>
      </c>
      <c r="C3300" t="s">
        <v>15</v>
      </c>
      <c r="D3300" t="s">
        <v>16</v>
      </c>
      <c r="E3300" t="s">
        <v>17</v>
      </c>
      <c r="F3300" t="s">
        <v>18</v>
      </c>
      <c r="G3300" t="s">
        <v>41</v>
      </c>
      <c r="H3300" t="s">
        <v>20</v>
      </c>
      <c r="I3300" s="1">
        <v>2</v>
      </c>
      <c r="J3300" s="2">
        <v>46004</v>
      </c>
      <c r="K3300" s="2">
        <v>45992</v>
      </c>
      <c r="L3300" s="1" t="str">
        <f t="shared" si="381"/>
        <v>sáb</v>
      </c>
      <c r="M3300" s="1" t="str">
        <f t="shared" si="382"/>
        <v>dez</v>
      </c>
      <c r="N3300">
        <f t="shared" si="383"/>
        <v>2025</v>
      </c>
      <c r="O3300" s="2">
        <f>_xlfn.XLOOKUP(A3300,Colaboradores!$A:$A,Colaboradores!$S:$S,"",0)</f>
        <v>46190</v>
      </c>
      <c r="P3300" t="str">
        <f t="shared" si="380"/>
        <v>165946004</v>
      </c>
    </row>
    <row r="3301" spans="1:16" x14ac:dyDescent="0.3">
      <c r="A3301">
        <v>1659</v>
      </c>
      <c r="B3301">
        <v>29</v>
      </c>
      <c r="C3301" t="s">
        <v>15</v>
      </c>
      <c r="D3301" t="s">
        <v>16</v>
      </c>
      <c r="E3301" t="s">
        <v>17</v>
      </c>
      <c r="F3301" t="s">
        <v>18</v>
      </c>
      <c r="G3301" t="s">
        <v>41</v>
      </c>
      <c r="H3301" t="s">
        <v>20</v>
      </c>
      <c r="I3301" s="1">
        <v>2</v>
      </c>
      <c r="J3301" s="2">
        <v>46005</v>
      </c>
      <c r="K3301" s="2">
        <v>45992</v>
      </c>
      <c r="L3301" s="1" t="str">
        <f t="shared" si="381"/>
        <v>dom</v>
      </c>
      <c r="M3301" s="1" t="str">
        <f t="shared" si="382"/>
        <v>dez</v>
      </c>
      <c r="N3301">
        <f t="shared" si="383"/>
        <v>2025</v>
      </c>
      <c r="O3301" s="2">
        <f>_xlfn.XLOOKUP(A3301,Colaboradores!$A:$A,Colaboradores!$S:$S,"",0)</f>
        <v>46190</v>
      </c>
      <c r="P3301" t="str">
        <f t="shared" si="380"/>
        <v>165946005</v>
      </c>
    </row>
    <row r="3302" spans="1:16" x14ac:dyDescent="0.3">
      <c r="A3302">
        <v>1659</v>
      </c>
      <c r="B3302">
        <v>29</v>
      </c>
      <c r="C3302" t="s">
        <v>15</v>
      </c>
      <c r="D3302" t="s">
        <v>16</v>
      </c>
      <c r="E3302" t="s">
        <v>17</v>
      </c>
      <c r="F3302" t="s">
        <v>18</v>
      </c>
      <c r="G3302" t="s">
        <v>41</v>
      </c>
      <c r="H3302" t="s">
        <v>20</v>
      </c>
      <c r="I3302" s="1">
        <v>2</v>
      </c>
      <c r="J3302" s="2">
        <v>46012</v>
      </c>
      <c r="K3302" s="2">
        <v>45992</v>
      </c>
      <c r="L3302" s="1" t="str">
        <f t="shared" si="381"/>
        <v>dom</v>
      </c>
      <c r="M3302" s="1" t="str">
        <f t="shared" si="382"/>
        <v>dez</v>
      </c>
      <c r="N3302">
        <f t="shared" si="383"/>
        <v>2025</v>
      </c>
      <c r="O3302" s="2">
        <f>_xlfn.XLOOKUP(A3302,Colaboradores!$A:$A,Colaboradores!$S:$S,"",0)</f>
        <v>46190</v>
      </c>
      <c r="P3302" t="str">
        <f t="shared" si="380"/>
        <v>165946012</v>
      </c>
    </row>
    <row r="3303" spans="1:16" x14ac:dyDescent="0.3">
      <c r="A3303">
        <v>1659</v>
      </c>
      <c r="B3303">
        <v>29</v>
      </c>
      <c r="C3303" t="s">
        <v>15</v>
      </c>
      <c r="D3303" t="s">
        <v>16</v>
      </c>
      <c r="E3303" t="s">
        <v>17</v>
      </c>
      <c r="F3303" t="s">
        <v>18</v>
      </c>
      <c r="G3303" t="s">
        <v>41</v>
      </c>
      <c r="H3303" t="s">
        <v>20</v>
      </c>
      <c r="I3303" s="1">
        <v>2</v>
      </c>
      <c r="J3303" s="2">
        <v>46013</v>
      </c>
      <c r="K3303" s="2">
        <v>45992</v>
      </c>
      <c r="L3303" s="1" t="str">
        <f t="shared" si="381"/>
        <v>seg</v>
      </c>
      <c r="M3303" s="1" t="str">
        <f t="shared" si="382"/>
        <v>dez</v>
      </c>
      <c r="N3303">
        <f t="shared" si="383"/>
        <v>2025</v>
      </c>
      <c r="O3303" s="2">
        <f>_xlfn.XLOOKUP(A3303,Colaboradores!$A:$A,Colaboradores!$S:$S,"",0)</f>
        <v>46190</v>
      </c>
      <c r="P3303" t="str">
        <f t="shared" si="380"/>
        <v>165946013</v>
      </c>
    </row>
    <row r="3304" spans="1:16" x14ac:dyDescent="0.3">
      <c r="A3304">
        <v>1660</v>
      </c>
      <c r="B3304">
        <v>37</v>
      </c>
      <c r="C3304" t="s">
        <v>15</v>
      </c>
      <c r="D3304" t="s">
        <v>27</v>
      </c>
      <c r="E3304" t="s">
        <v>17</v>
      </c>
      <c r="F3304" t="s">
        <v>23</v>
      </c>
      <c r="G3304" t="s">
        <v>41</v>
      </c>
      <c r="H3304" t="s">
        <v>20</v>
      </c>
      <c r="I3304" s="1">
        <v>2</v>
      </c>
      <c r="J3304" s="2">
        <v>45783</v>
      </c>
      <c r="K3304" s="2">
        <v>45778</v>
      </c>
      <c r="L3304" s="1" t="str">
        <f t="shared" si="381"/>
        <v>ter</v>
      </c>
      <c r="M3304" s="1" t="str">
        <f t="shared" si="382"/>
        <v>mai</v>
      </c>
      <c r="N3304">
        <f t="shared" si="383"/>
        <v>2025</v>
      </c>
      <c r="O3304" s="2">
        <f>_xlfn.XLOOKUP(A3304,Colaboradores!$A:$A,Colaboradores!$S:$S,"",0)</f>
        <v>46055</v>
      </c>
      <c r="P3304" t="str">
        <f t="shared" si="380"/>
        <v>166045783</v>
      </c>
    </row>
    <row r="3305" spans="1:16" x14ac:dyDescent="0.3">
      <c r="A3305">
        <v>1660</v>
      </c>
      <c r="B3305">
        <v>37</v>
      </c>
      <c r="C3305" t="s">
        <v>15</v>
      </c>
      <c r="D3305" t="s">
        <v>27</v>
      </c>
      <c r="E3305" t="s">
        <v>17</v>
      </c>
      <c r="F3305" t="s">
        <v>23</v>
      </c>
      <c r="G3305" t="s">
        <v>41</v>
      </c>
      <c r="H3305" t="s">
        <v>20</v>
      </c>
      <c r="I3305" s="1">
        <v>2</v>
      </c>
      <c r="J3305" s="2">
        <v>45790</v>
      </c>
      <c r="K3305" s="2">
        <v>45778</v>
      </c>
      <c r="L3305" s="1" t="str">
        <f t="shared" si="381"/>
        <v>ter</v>
      </c>
      <c r="M3305" s="1" t="str">
        <f t="shared" si="382"/>
        <v>mai</v>
      </c>
      <c r="N3305">
        <f t="shared" si="383"/>
        <v>2025</v>
      </c>
      <c r="O3305" s="2">
        <f>_xlfn.XLOOKUP(A3305,Colaboradores!$A:$A,Colaboradores!$S:$S,"",0)</f>
        <v>46055</v>
      </c>
      <c r="P3305" t="str">
        <f t="shared" si="380"/>
        <v>166045790</v>
      </c>
    </row>
    <row r="3306" spans="1:16" x14ac:dyDescent="0.3">
      <c r="A3306">
        <v>1660</v>
      </c>
      <c r="B3306">
        <v>37</v>
      </c>
      <c r="C3306" t="s">
        <v>15</v>
      </c>
      <c r="D3306" t="s">
        <v>27</v>
      </c>
      <c r="E3306" t="s">
        <v>17</v>
      </c>
      <c r="F3306" t="s">
        <v>23</v>
      </c>
      <c r="G3306" t="s">
        <v>41</v>
      </c>
      <c r="H3306" t="s">
        <v>20</v>
      </c>
      <c r="I3306" s="1">
        <v>2</v>
      </c>
      <c r="J3306" s="2">
        <v>45849</v>
      </c>
      <c r="K3306" s="2">
        <v>45839</v>
      </c>
      <c r="L3306" s="1" t="str">
        <f t="shared" si="381"/>
        <v>sex</v>
      </c>
      <c r="M3306" s="1" t="str">
        <f t="shared" si="382"/>
        <v>jul</v>
      </c>
      <c r="N3306">
        <f t="shared" si="383"/>
        <v>2025</v>
      </c>
      <c r="O3306" s="2">
        <f>_xlfn.XLOOKUP(A3306,Colaboradores!$A:$A,Colaboradores!$S:$S,"",0)</f>
        <v>46055</v>
      </c>
      <c r="P3306" t="str">
        <f t="shared" si="380"/>
        <v>166045849</v>
      </c>
    </row>
    <row r="3307" spans="1:16" x14ac:dyDescent="0.3">
      <c r="A3307">
        <v>1660</v>
      </c>
      <c r="B3307">
        <v>37</v>
      </c>
      <c r="C3307" t="s">
        <v>15</v>
      </c>
      <c r="D3307" t="s">
        <v>27</v>
      </c>
      <c r="E3307" t="s">
        <v>17</v>
      </c>
      <c r="F3307" t="s">
        <v>23</v>
      </c>
      <c r="G3307" t="s">
        <v>41</v>
      </c>
      <c r="H3307" t="s">
        <v>20</v>
      </c>
      <c r="I3307" s="1">
        <v>2</v>
      </c>
      <c r="J3307" s="2">
        <v>45876</v>
      </c>
      <c r="K3307" s="2">
        <v>45870</v>
      </c>
      <c r="L3307" s="1" t="str">
        <f t="shared" si="381"/>
        <v>qui</v>
      </c>
      <c r="M3307" s="1" t="str">
        <f t="shared" si="382"/>
        <v>ago</v>
      </c>
      <c r="N3307">
        <f t="shared" si="383"/>
        <v>2025</v>
      </c>
      <c r="O3307" s="2">
        <f>_xlfn.XLOOKUP(A3307,Colaboradores!$A:$A,Colaboradores!$S:$S,"",0)</f>
        <v>46055</v>
      </c>
      <c r="P3307" t="str">
        <f t="shared" si="380"/>
        <v>166045876</v>
      </c>
    </row>
    <row r="3308" spans="1:16" x14ac:dyDescent="0.3">
      <c r="A3308">
        <v>1660</v>
      </c>
      <c r="B3308">
        <v>37</v>
      </c>
      <c r="C3308" t="s">
        <v>15</v>
      </c>
      <c r="D3308" t="s">
        <v>27</v>
      </c>
      <c r="E3308" t="s">
        <v>17</v>
      </c>
      <c r="F3308" t="s">
        <v>23</v>
      </c>
      <c r="G3308" t="s">
        <v>41</v>
      </c>
      <c r="H3308" t="s">
        <v>20</v>
      </c>
      <c r="I3308" s="1">
        <v>2</v>
      </c>
      <c r="J3308" s="2">
        <v>45940</v>
      </c>
      <c r="K3308" s="2">
        <v>45931</v>
      </c>
      <c r="L3308" s="1" t="str">
        <f t="shared" si="381"/>
        <v>sex</v>
      </c>
      <c r="M3308" s="1" t="str">
        <f t="shared" si="382"/>
        <v>out</v>
      </c>
      <c r="N3308">
        <f t="shared" si="383"/>
        <v>2025</v>
      </c>
      <c r="O3308" s="2">
        <f>_xlfn.XLOOKUP(A3308,Colaboradores!$A:$A,Colaboradores!$S:$S,"",0)</f>
        <v>46055</v>
      </c>
      <c r="P3308" t="str">
        <f t="shared" si="380"/>
        <v>166045940</v>
      </c>
    </row>
    <row r="3309" spans="1:16" x14ac:dyDescent="0.3">
      <c r="A3309">
        <v>1660</v>
      </c>
      <c r="B3309">
        <v>37</v>
      </c>
      <c r="C3309" t="s">
        <v>15</v>
      </c>
      <c r="D3309" t="s">
        <v>27</v>
      </c>
      <c r="E3309" t="s">
        <v>17</v>
      </c>
      <c r="F3309" t="s">
        <v>23</v>
      </c>
      <c r="G3309" t="s">
        <v>41</v>
      </c>
      <c r="H3309" t="s">
        <v>20</v>
      </c>
      <c r="I3309" s="1">
        <v>2</v>
      </c>
      <c r="J3309" s="2">
        <v>46179</v>
      </c>
      <c r="K3309" s="2">
        <v>46023</v>
      </c>
      <c r="L3309" s="1" t="str">
        <f t="shared" si="381"/>
        <v>sáb</v>
      </c>
      <c r="M3309" s="1" t="str">
        <f t="shared" si="382"/>
        <v>jun</v>
      </c>
      <c r="N3309">
        <f t="shared" si="383"/>
        <v>2026</v>
      </c>
      <c r="O3309" s="2">
        <f>_xlfn.XLOOKUP(A3309,Colaboradores!$A:$A,Colaboradores!$S:$S,"",0)</f>
        <v>46055</v>
      </c>
      <c r="P3309" t="str">
        <f t="shared" si="380"/>
        <v>166046179</v>
      </c>
    </row>
    <row r="3310" spans="1:16" x14ac:dyDescent="0.3">
      <c r="A3310">
        <v>1661</v>
      </c>
      <c r="B3310">
        <v>18</v>
      </c>
      <c r="C3310" t="s">
        <v>26</v>
      </c>
      <c r="D3310" t="s">
        <v>29</v>
      </c>
      <c r="E3310" t="s">
        <v>17</v>
      </c>
      <c r="F3310" t="s">
        <v>18</v>
      </c>
      <c r="G3310" t="s">
        <v>41</v>
      </c>
      <c r="H3310" t="s">
        <v>20</v>
      </c>
      <c r="I3310" s="1">
        <v>1</v>
      </c>
      <c r="J3310" s="2">
        <v>45784</v>
      </c>
      <c r="K3310" s="2">
        <v>45778</v>
      </c>
      <c r="L3310" s="1" t="str">
        <f t="shared" si="381"/>
        <v>qua</v>
      </c>
      <c r="M3310" s="1" t="str">
        <f t="shared" si="382"/>
        <v>mai</v>
      </c>
      <c r="N3310">
        <f t="shared" si="383"/>
        <v>2025</v>
      </c>
      <c r="O3310" s="2">
        <f>_xlfn.XLOOKUP(A3310,Colaboradores!$A:$A,Colaboradores!$S:$S,"",0)</f>
        <v>46075</v>
      </c>
      <c r="P3310" t="str">
        <f t="shared" si="380"/>
        <v>166145784</v>
      </c>
    </row>
    <row r="3311" spans="1:16" x14ac:dyDescent="0.3">
      <c r="A3311">
        <v>1661</v>
      </c>
      <c r="B3311">
        <v>18</v>
      </c>
      <c r="C3311" t="s">
        <v>26</v>
      </c>
      <c r="D3311" t="s">
        <v>29</v>
      </c>
      <c r="E3311" t="s">
        <v>17</v>
      </c>
      <c r="F3311" t="s">
        <v>18</v>
      </c>
      <c r="G3311" t="s">
        <v>41</v>
      </c>
      <c r="H3311" t="s">
        <v>20</v>
      </c>
      <c r="I3311" s="1">
        <v>1</v>
      </c>
      <c r="J3311" s="2">
        <v>45852</v>
      </c>
      <c r="K3311" s="2">
        <v>45839</v>
      </c>
      <c r="L3311" s="1" t="str">
        <f t="shared" si="381"/>
        <v>seg</v>
      </c>
      <c r="M3311" s="1" t="str">
        <f t="shared" si="382"/>
        <v>jul</v>
      </c>
      <c r="N3311">
        <f t="shared" si="383"/>
        <v>2025</v>
      </c>
      <c r="O3311" s="2">
        <f>_xlfn.XLOOKUP(A3311,Colaboradores!$A:$A,Colaboradores!$S:$S,"",0)</f>
        <v>46075</v>
      </c>
      <c r="P3311" t="str">
        <f t="shared" si="380"/>
        <v>166145852</v>
      </c>
    </row>
    <row r="3312" spans="1:16" x14ac:dyDescent="0.3">
      <c r="A3312">
        <v>1661</v>
      </c>
      <c r="B3312">
        <v>18</v>
      </c>
      <c r="C3312" t="s">
        <v>26</v>
      </c>
      <c r="D3312" t="s">
        <v>29</v>
      </c>
      <c r="E3312" t="s">
        <v>17</v>
      </c>
      <c r="F3312" t="s">
        <v>18</v>
      </c>
      <c r="G3312" t="s">
        <v>41</v>
      </c>
      <c r="H3312" t="s">
        <v>20</v>
      </c>
      <c r="I3312" s="1">
        <v>1</v>
      </c>
      <c r="J3312" s="2">
        <v>45854</v>
      </c>
      <c r="K3312" s="2">
        <v>45839</v>
      </c>
      <c r="L3312" s="1" t="str">
        <f t="shared" si="381"/>
        <v>qua</v>
      </c>
      <c r="M3312" s="1" t="str">
        <f t="shared" si="382"/>
        <v>jul</v>
      </c>
      <c r="N3312">
        <f t="shared" si="383"/>
        <v>2025</v>
      </c>
      <c r="O3312" s="2">
        <f>_xlfn.XLOOKUP(A3312,Colaboradores!$A:$A,Colaboradores!$S:$S,"",0)</f>
        <v>46075</v>
      </c>
      <c r="P3312" t="str">
        <f t="shared" si="380"/>
        <v>166145854</v>
      </c>
    </row>
    <row r="3313" spans="1:16" x14ac:dyDescent="0.3">
      <c r="A3313">
        <v>1661</v>
      </c>
      <c r="B3313">
        <v>18</v>
      </c>
      <c r="C3313" t="s">
        <v>26</v>
      </c>
      <c r="D3313" t="s">
        <v>29</v>
      </c>
      <c r="E3313" t="s">
        <v>17</v>
      </c>
      <c r="F3313" t="s">
        <v>18</v>
      </c>
      <c r="G3313" t="s">
        <v>41</v>
      </c>
      <c r="H3313" t="s">
        <v>20</v>
      </c>
      <c r="I3313" s="1">
        <v>1</v>
      </c>
      <c r="J3313" s="2">
        <v>45863</v>
      </c>
      <c r="K3313" s="2">
        <v>45839</v>
      </c>
      <c r="L3313" s="1" t="str">
        <f t="shared" si="381"/>
        <v>sex</v>
      </c>
      <c r="M3313" s="1" t="str">
        <f t="shared" si="382"/>
        <v>jul</v>
      </c>
      <c r="N3313">
        <f t="shared" si="383"/>
        <v>2025</v>
      </c>
      <c r="O3313" s="2">
        <f>_xlfn.XLOOKUP(A3313,Colaboradores!$A:$A,Colaboradores!$S:$S,"",0)</f>
        <v>46075</v>
      </c>
      <c r="P3313" t="str">
        <f t="shared" si="380"/>
        <v>166145863</v>
      </c>
    </row>
    <row r="3314" spans="1:16" x14ac:dyDescent="0.3">
      <c r="A3314">
        <v>1661</v>
      </c>
      <c r="B3314">
        <v>18</v>
      </c>
      <c r="C3314" t="s">
        <v>26</v>
      </c>
      <c r="D3314" t="s">
        <v>29</v>
      </c>
      <c r="E3314" t="s">
        <v>17</v>
      </c>
      <c r="F3314" t="s">
        <v>18</v>
      </c>
      <c r="G3314" t="s">
        <v>41</v>
      </c>
      <c r="H3314" t="s">
        <v>20</v>
      </c>
      <c r="I3314" s="1">
        <v>1</v>
      </c>
      <c r="J3314" s="2">
        <v>45899</v>
      </c>
      <c r="K3314" s="2">
        <v>45870</v>
      </c>
      <c r="L3314" s="1" t="str">
        <f t="shared" si="381"/>
        <v>sáb</v>
      </c>
      <c r="M3314" s="1" t="str">
        <f t="shared" si="382"/>
        <v>ago</v>
      </c>
      <c r="N3314">
        <f t="shared" si="383"/>
        <v>2025</v>
      </c>
      <c r="O3314" s="2">
        <f>_xlfn.XLOOKUP(A3314,Colaboradores!$A:$A,Colaboradores!$S:$S,"",0)</f>
        <v>46075</v>
      </c>
      <c r="P3314" t="str">
        <f t="shared" si="380"/>
        <v>166145899</v>
      </c>
    </row>
    <row r="3315" spans="1:16" x14ac:dyDescent="0.3">
      <c r="A3315">
        <v>1661</v>
      </c>
      <c r="B3315">
        <v>18</v>
      </c>
      <c r="C3315" t="s">
        <v>26</v>
      </c>
      <c r="D3315" t="s">
        <v>29</v>
      </c>
      <c r="E3315" t="s">
        <v>17</v>
      </c>
      <c r="F3315" t="s">
        <v>18</v>
      </c>
      <c r="G3315" t="s">
        <v>41</v>
      </c>
      <c r="H3315" t="s">
        <v>20</v>
      </c>
      <c r="I3315" s="1">
        <v>1</v>
      </c>
      <c r="J3315" s="2">
        <v>46065</v>
      </c>
      <c r="K3315" s="2">
        <v>46054</v>
      </c>
      <c r="L3315" s="1" t="str">
        <f t="shared" si="381"/>
        <v>qui</v>
      </c>
      <c r="M3315" s="1" t="str">
        <f t="shared" si="382"/>
        <v>fev</v>
      </c>
      <c r="N3315">
        <f t="shared" si="383"/>
        <v>2026</v>
      </c>
      <c r="O3315" s="2">
        <f>_xlfn.XLOOKUP(A3315,Colaboradores!$A:$A,Colaboradores!$S:$S,"",0)</f>
        <v>46075</v>
      </c>
      <c r="P3315" t="str">
        <f t="shared" si="380"/>
        <v>166146065</v>
      </c>
    </row>
    <row r="3316" spans="1:16" x14ac:dyDescent="0.3">
      <c r="A3316">
        <v>1662</v>
      </c>
      <c r="B3316">
        <v>22</v>
      </c>
      <c r="C3316" t="s">
        <v>15</v>
      </c>
      <c r="D3316" t="s">
        <v>16</v>
      </c>
      <c r="E3316" t="s">
        <v>17</v>
      </c>
      <c r="F3316" t="s">
        <v>21</v>
      </c>
      <c r="G3316" t="s">
        <v>41</v>
      </c>
      <c r="H3316" t="s">
        <v>25</v>
      </c>
      <c r="I3316" s="1">
        <v>1</v>
      </c>
      <c r="J3316" s="2">
        <v>45813</v>
      </c>
      <c r="K3316" s="2">
        <v>45809</v>
      </c>
      <c r="L3316" s="1" t="str">
        <f t="shared" si="381"/>
        <v>qui</v>
      </c>
      <c r="M3316" s="1" t="str">
        <f t="shared" si="382"/>
        <v>jun</v>
      </c>
      <c r="N3316">
        <f t="shared" si="383"/>
        <v>2025</v>
      </c>
      <c r="O3316" s="2"/>
      <c r="P3316" t="str">
        <f t="shared" si="380"/>
        <v>166245813</v>
      </c>
    </row>
    <row r="3317" spans="1:16" x14ac:dyDescent="0.3">
      <c r="A3317">
        <v>1662</v>
      </c>
      <c r="B3317">
        <v>22</v>
      </c>
      <c r="C3317" t="s">
        <v>15</v>
      </c>
      <c r="D3317" t="s">
        <v>16</v>
      </c>
      <c r="E3317" t="s">
        <v>17</v>
      </c>
      <c r="F3317" t="s">
        <v>21</v>
      </c>
      <c r="G3317" t="s">
        <v>41</v>
      </c>
      <c r="H3317" t="s">
        <v>25</v>
      </c>
      <c r="I3317" s="1">
        <v>1</v>
      </c>
      <c r="J3317" s="2">
        <v>45841</v>
      </c>
      <c r="K3317" s="2">
        <v>45839</v>
      </c>
      <c r="L3317" s="1" t="str">
        <f t="shared" si="381"/>
        <v>qui</v>
      </c>
      <c r="M3317" s="1" t="str">
        <f t="shared" si="382"/>
        <v>jul</v>
      </c>
      <c r="N3317">
        <f t="shared" si="383"/>
        <v>2025</v>
      </c>
      <c r="O3317" s="2"/>
      <c r="P3317" t="str">
        <f t="shared" si="380"/>
        <v>166245841</v>
      </c>
    </row>
    <row r="3318" spans="1:16" x14ac:dyDescent="0.3">
      <c r="A3318">
        <v>1662</v>
      </c>
      <c r="B3318">
        <v>22</v>
      </c>
      <c r="C3318" t="s">
        <v>15</v>
      </c>
      <c r="D3318" t="s">
        <v>16</v>
      </c>
      <c r="E3318" t="s">
        <v>17</v>
      </c>
      <c r="F3318" t="s">
        <v>21</v>
      </c>
      <c r="G3318" t="s">
        <v>41</v>
      </c>
      <c r="H3318" t="s">
        <v>25</v>
      </c>
      <c r="I3318" s="1">
        <v>1</v>
      </c>
      <c r="J3318" s="2">
        <v>45995</v>
      </c>
      <c r="K3318" s="2">
        <v>45992</v>
      </c>
      <c r="L3318" s="1" t="str">
        <f t="shared" ref="L3318:L3349" si="384">TEXT(J3318,"ddd")</f>
        <v>qui</v>
      </c>
      <c r="M3318" s="1" t="str">
        <f t="shared" ref="M3318:M3349" si="385">TEXT($J3318,"mmm")</f>
        <v>dez</v>
      </c>
      <c r="N3318">
        <f t="shared" ref="N3318:N3349" si="386">YEAR(J3318)</f>
        <v>2025</v>
      </c>
      <c r="O3318" s="2"/>
      <c r="P3318" t="str">
        <f t="shared" si="380"/>
        <v>166245995</v>
      </c>
    </row>
    <row r="3319" spans="1:16" x14ac:dyDescent="0.3">
      <c r="A3319">
        <v>1662</v>
      </c>
      <c r="B3319">
        <v>22</v>
      </c>
      <c r="C3319" t="s">
        <v>15</v>
      </c>
      <c r="D3319" t="s">
        <v>16</v>
      </c>
      <c r="E3319" t="s">
        <v>17</v>
      </c>
      <c r="F3319" t="s">
        <v>21</v>
      </c>
      <c r="G3319" t="s">
        <v>41</v>
      </c>
      <c r="H3319" t="s">
        <v>25</v>
      </c>
      <c r="I3319" s="1">
        <v>1</v>
      </c>
      <c r="J3319" s="2">
        <v>46202</v>
      </c>
      <c r="K3319" s="2">
        <v>46023</v>
      </c>
      <c r="L3319" s="1" t="str">
        <f t="shared" si="384"/>
        <v>seg</v>
      </c>
      <c r="M3319" s="1" t="str">
        <f t="shared" si="385"/>
        <v>jun</v>
      </c>
      <c r="N3319">
        <f t="shared" si="386"/>
        <v>2026</v>
      </c>
      <c r="O3319" s="2"/>
      <c r="P3319" t="str">
        <f t="shared" si="380"/>
        <v>166246202</v>
      </c>
    </row>
    <row r="3320" spans="1:16" x14ac:dyDescent="0.3">
      <c r="A3320">
        <v>1663</v>
      </c>
      <c r="B3320">
        <v>42</v>
      </c>
      <c r="C3320" t="s">
        <v>26</v>
      </c>
      <c r="D3320" t="s">
        <v>31</v>
      </c>
      <c r="E3320" t="s">
        <v>34</v>
      </c>
      <c r="F3320" t="s">
        <v>21</v>
      </c>
      <c r="G3320" t="s">
        <v>41</v>
      </c>
      <c r="H3320" t="s">
        <v>25</v>
      </c>
      <c r="I3320" s="1">
        <v>1</v>
      </c>
      <c r="J3320" s="2">
        <v>45818</v>
      </c>
      <c r="K3320" s="2">
        <v>45809</v>
      </c>
      <c r="L3320" s="1" t="str">
        <f t="shared" si="384"/>
        <v>ter</v>
      </c>
      <c r="M3320" s="1" t="str">
        <f t="shared" si="385"/>
        <v>jun</v>
      </c>
      <c r="N3320">
        <f t="shared" si="386"/>
        <v>2025</v>
      </c>
      <c r="O3320" s="2"/>
      <c r="P3320" t="str">
        <f t="shared" si="380"/>
        <v>166345818</v>
      </c>
    </row>
    <row r="3321" spans="1:16" x14ac:dyDescent="0.3">
      <c r="A3321">
        <v>1663</v>
      </c>
      <c r="B3321">
        <v>42</v>
      </c>
      <c r="C3321" t="s">
        <v>26</v>
      </c>
      <c r="D3321" t="s">
        <v>31</v>
      </c>
      <c r="E3321" t="s">
        <v>34</v>
      </c>
      <c r="F3321" t="s">
        <v>21</v>
      </c>
      <c r="G3321" t="s">
        <v>41</v>
      </c>
      <c r="H3321" t="s">
        <v>25</v>
      </c>
      <c r="I3321" s="1">
        <v>1</v>
      </c>
      <c r="J3321" s="2">
        <v>45826</v>
      </c>
      <c r="K3321" s="2">
        <v>45809</v>
      </c>
      <c r="L3321" s="1" t="str">
        <f t="shared" si="384"/>
        <v>qua</v>
      </c>
      <c r="M3321" s="1" t="str">
        <f t="shared" si="385"/>
        <v>jun</v>
      </c>
      <c r="N3321">
        <f t="shared" si="386"/>
        <v>2025</v>
      </c>
      <c r="O3321" s="2"/>
      <c r="P3321" t="str">
        <f t="shared" si="380"/>
        <v>166345826</v>
      </c>
    </row>
    <row r="3322" spans="1:16" x14ac:dyDescent="0.3">
      <c r="A3322">
        <v>1663</v>
      </c>
      <c r="B3322">
        <v>42</v>
      </c>
      <c r="C3322" t="s">
        <v>26</v>
      </c>
      <c r="D3322" t="s">
        <v>31</v>
      </c>
      <c r="E3322" t="s">
        <v>34</v>
      </c>
      <c r="F3322" t="s">
        <v>21</v>
      </c>
      <c r="G3322" t="s">
        <v>41</v>
      </c>
      <c r="H3322" t="s">
        <v>25</v>
      </c>
      <c r="I3322" s="1">
        <v>1</v>
      </c>
      <c r="J3322" s="2">
        <v>45858</v>
      </c>
      <c r="K3322" s="2">
        <v>45839</v>
      </c>
      <c r="L3322" s="1" t="str">
        <f t="shared" si="384"/>
        <v>dom</v>
      </c>
      <c r="M3322" s="1" t="str">
        <f t="shared" si="385"/>
        <v>jul</v>
      </c>
      <c r="N3322">
        <f t="shared" si="386"/>
        <v>2025</v>
      </c>
      <c r="O3322" s="2"/>
      <c r="P3322" t="str">
        <f t="shared" si="380"/>
        <v>166345858</v>
      </c>
    </row>
    <row r="3323" spans="1:16" x14ac:dyDescent="0.3">
      <c r="A3323">
        <v>1663</v>
      </c>
      <c r="B3323">
        <v>42</v>
      </c>
      <c r="C3323" t="s">
        <v>26</v>
      </c>
      <c r="D3323" t="s">
        <v>31</v>
      </c>
      <c r="E3323" t="s">
        <v>34</v>
      </c>
      <c r="F3323" t="s">
        <v>21</v>
      </c>
      <c r="G3323" t="s">
        <v>41</v>
      </c>
      <c r="H3323" t="s">
        <v>25</v>
      </c>
      <c r="I3323" s="1">
        <v>1</v>
      </c>
      <c r="J3323" s="2">
        <v>45863</v>
      </c>
      <c r="K3323" s="2">
        <v>45839</v>
      </c>
      <c r="L3323" s="1" t="str">
        <f t="shared" si="384"/>
        <v>sex</v>
      </c>
      <c r="M3323" s="1" t="str">
        <f t="shared" si="385"/>
        <v>jul</v>
      </c>
      <c r="N3323">
        <f t="shared" si="386"/>
        <v>2025</v>
      </c>
      <c r="O3323" s="2"/>
      <c r="P3323" t="str">
        <f t="shared" si="380"/>
        <v>166345863</v>
      </c>
    </row>
    <row r="3324" spans="1:16" x14ac:dyDescent="0.3">
      <c r="A3324">
        <v>1663</v>
      </c>
      <c r="B3324">
        <v>42</v>
      </c>
      <c r="C3324" t="s">
        <v>26</v>
      </c>
      <c r="D3324" t="s">
        <v>31</v>
      </c>
      <c r="E3324" t="s">
        <v>34</v>
      </c>
      <c r="F3324" t="s">
        <v>21</v>
      </c>
      <c r="G3324" t="s">
        <v>41</v>
      </c>
      <c r="H3324" t="s">
        <v>25</v>
      </c>
      <c r="I3324" s="1">
        <v>1</v>
      </c>
      <c r="J3324" s="2">
        <v>46192</v>
      </c>
      <c r="K3324" s="2">
        <v>46023</v>
      </c>
      <c r="L3324" s="1" t="str">
        <f t="shared" si="384"/>
        <v>sex</v>
      </c>
      <c r="M3324" s="1" t="str">
        <f t="shared" si="385"/>
        <v>jun</v>
      </c>
      <c r="N3324">
        <f t="shared" si="386"/>
        <v>2026</v>
      </c>
      <c r="O3324" s="2"/>
      <c r="P3324" t="str">
        <f t="shared" si="380"/>
        <v>166346192</v>
      </c>
    </row>
    <row r="3325" spans="1:16" x14ac:dyDescent="0.3">
      <c r="A3325">
        <v>1663</v>
      </c>
      <c r="B3325">
        <v>42</v>
      </c>
      <c r="C3325" t="s">
        <v>26</v>
      </c>
      <c r="D3325" t="s">
        <v>31</v>
      </c>
      <c r="E3325" t="s">
        <v>34</v>
      </c>
      <c r="F3325" t="s">
        <v>21</v>
      </c>
      <c r="G3325" t="s">
        <v>41</v>
      </c>
      <c r="H3325" t="s">
        <v>25</v>
      </c>
      <c r="I3325" s="1">
        <v>1</v>
      </c>
      <c r="J3325" s="2">
        <v>46060</v>
      </c>
      <c r="K3325" s="2">
        <v>46054</v>
      </c>
      <c r="L3325" s="1" t="str">
        <f t="shared" si="384"/>
        <v>sáb</v>
      </c>
      <c r="M3325" s="1" t="str">
        <f t="shared" si="385"/>
        <v>fev</v>
      </c>
      <c r="N3325">
        <f t="shared" si="386"/>
        <v>2026</v>
      </c>
      <c r="O3325" s="2"/>
      <c r="P3325" t="str">
        <f t="shared" si="380"/>
        <v>166346060</v>
      </c>
    </row>
    <row r="3326" spans="1:16" x14ac:dyDescent="0.3">
      <c r="A3326">
        <v>1664</v>
      </c>
      <c r="B3326">
        <v>34</v>
      </c>
      <c r="C3326" t="s">
        <v>15</v>
      </c>
      <c r="D3326" t="s">
        <v>16</v>
      </c>
      <c r="E3326" t="s">
        <v>17</v>
      </c>
      <c r="F3326" t="s">
        <v>23</v>
      </c>
      <c r="G3326" t="s">
        <v>57</v>
      </c>
      <c r="H3326" t="s">
        <v>20</v>
      </c>
      <c r="I3326" s="1">
        <v>1</v>
      </c>
      <c r="J3326" s="2">
        <v>45770</v>
      </c>
      <c r="K3326" s="2">
        <v>45748</v>
      </c>
      <c r="L3326" s="1" t="str">
        <f t="shared" si="384"/>
        <v>qua</v>
      </c>
      <c r="M3326" s="1" t="str">
        <f t="shared" si="385"/>
        <v>abr</v>
      </c>
      <c r="N3326">
        <f t="shared" si="386"/>
        <v>2025</v>
      </c>
      <c r="O3326" s="2">
        <f>_xlfn.XLOOKUP(A3326,Colaboradores!$A:$A,Colaboradores!$S:$S,"",0)</f>
        <v>45801</v>
      </c>
      <c r="P3326" t="str">
        <f t="shared" ref="P3326:P3389" si="387">CONCATENATE(A3326,J3326)</f>
        <v>166445770</v>
      </c>
    </row>
    <row r="3327" spans="1:16" x14ac:dyDescent="0.3">
      <c r="A3327">
        <v>1664</v>
      </c>
      <c r="B3327">
        <v>34</v>
      </c>
      <c r="C3327" t="s">
        <v>15</v>
      </c>
      <c r="D3327" t="s">
        <v>16</v>
      </c>
      <c r="E3327" t="s">
        <v>17</v>
      </c>
      <c r="F3327" t="s">
        <v>23</v>
      </c>
      <c r="G3327" t="s">
        <v>41</v>
      </c>
      <c r="H3327" t="s">
        <v>20</v>
      </c>
      <c r="I3327" s="1">
        <v>1</v>
      </c>
      <c r="J3327" s="2">
        <v>45786</v>
      </c>
      <c r="K3327" s="2">
        <v>45778</v>
      </c>
      <c r="L3327" s="1" t="str">
        <f t="shared" si="384"/>
        <v>sex</v>
      </c>
      <c r="M3327" s="1" t="str">
        <f t="shared" si="385"/>
        <v>mai</v>
      </c>
      <c r="N3327">
        <f t="shared" si="386"/>
        <v>2025</v>
      </c>
      <c r="O3327" s="2">
        <f>_xlfn.XLOOKUP(A3327,Colaboradores!$A:$A,Colaboradores!$S:$S,"",0)</f>
        <v>45801</v>
      </c>
      <c r="P3327" t="str">
        <f t="shared" si="387"/>
        <v>166445786</v>
      </c>
    </row>
    <row r="3328" spans="1:16" x14ac:dyDescent="0.3">
      <c r="A3328">
        <v>1664</v>
      </c>
      <c r="B3328">
        <v>34</v>
      </c>
      <c r="C3328" t="s">
        <v>15</v>
      </c>
      <c r="D3328" t="s">
        <v>16</v>
      </c>
      <c r="E3328" t="s">
        <v>17</v>
      </c>
      <c r="F3328" t="s">
        <v>23</v>
      </c>
      <c r="G3328" t="s">
        <v>41</v>
      </c>
      <c r="H3328" t="s">
        <v>20</v>
      </c>
      <c r="I3328" s="1">
        <v>1</v>
      </c>
      <c r="J3328" s="2">
        <v>45790</v>
      </c>
      <c r="K3328" s="2">
        <v>45778</v>
      </c>
      <c r="L3328" s="1" t="str">
        <f t="shared" si="384"/>
        <v>ter</v>
      </c>
      <c r="M3328" s="1" t="str">
        <f t="shared" si="385"/>
        <v>mai</v>
      </c>
      <c r="N3328">
        <f t="shared" si="386"/>
        <v>2025</v>
      </c>
      <c r="O3328" s="2">
        <f>_xlfn.XLOOKUP(A3328,Colaboradores!$A:$A,Colaboradores!$S:$S,"",0)</f>
        <v>45801</v>
      </c>
      <c r="P3328" t="str">
        <f t="shared" si="387"/>
        <v>166445790</v>
      </c>
    </row>
    <row r="3329" spans="1:16" x14ac:dyDescent="0.3">
      <c r="A3329">
        <v>1664</v>
      </c>
      <c r="B3329">
        <v>34</v>
      </c>
      <c r="C3329" t="s">
        <v>15</v>
      </c>
      <c r="D3329" t="s">
        <v>16</v>
      </c>
      <c r="E3329" t="s">
        <v>17</v>
      </c>
      <c r="F3329" t="s">
        <v>23</v>
      </c>
      <c r="G3329" t="s">
        <v>41</v>
      </c>
      <c r="H3329" t="s">
        <v>20</v>
      </c>
      <c r="I3329" s="1">
        <v>1</v>
      </c>
      <c r="J3329" s="2">
        <v>45791</v>
      </c>
      <c r="K3329" s="2">
        <v>45778</v>
      </c>
      <c r="L3329" s="1" t="str">
        <f t="shared" si="384"/>
        <v>qua</v>
      </c>
      <c r="M3329" s="1" t="str">
        <f t="shared" si="385"/>
        <v>mai</v>
      </c>
      <c r="N3329">
        <f t="shared" si="386"/>
        <v>2025</v>
      </c>
      <c r="O3329" s="2">
        <f>_xlfn.XLOOKUP(A3329,Colaboradores!$A:$A,Colaboradores!$S:$S,"",0)</f>
        <v>45801</v>
      </c>
      <c r="P3329" t="str">
        <f t="shared" si="387"/>
        <v>166445791</v>
      </c>
    </row>
    <row r="3330" spans="1:16" x14ac:dyDescent="0.3">
      <c r="A3330">
        <v>1664</v>
      </c>
      <c r="B3330">
        <v>34</v>
      </c>
      <c r="C3330" t="s">
        <v>15</v>
      </c>
      <c r="D3330" t="s">
        <v>16</v>
      </c>
      <c r="E3330" t="s">
        <v>17</v>
      </c>
      <c r="F3330" t="s">
        <v>23</v>
      </c>
      <c r="G3330" t="s">
        <v>41</v>
      </c>
      <c r="H3330" t="s">
        <v>20</v>
      </c>
      <c r="I3330" s="1">
        <v>1</v>
      </c>
      <c r="J3330" s="2">
        <v>45795</v>
      </c>
      <c r="K3330" s="2">
        <v>45778</v>
      </c>
      <c r="L3330" s="1" t="str">
        <f t="shared" si="384"/>
        <v>dom</v>
      </c>
      <c r="M3330" s="1" t="str">
        <f t="shared" si="385"/>
        <v>mai</v>
      </c>
      <c r="N3330">
        <f t="shared" si="386"/>
        <v>2025</v>
      </c>
      <c r="O3330" s="2">
        <f>_xlfn.XLOOKUP(A3330,Colaboradores!$A:$A,Colaboradores!$S:$S,"",0)</f>
        <v>45801</v>
      </c>
      <c r="P3330" t="str">
        <f t="shared" si="387"/>
        <v>166445795</v>
      </c>
    </row>
    <row r="3331" spans="1:16" x14ac:dyDescent="0.3">
      <c r="A3331">
        <v>1664</v>
      </c>
      <c r="B3331">
        <v>34</v>
      </c>
      <c r="C3331" t="s">
        <v>15</v>
      </c>
      <c r="D3331" t="s">
        <v>16</v>
      </c>
      <c r="E3331" t="s">
        <v>17</v>
      </c>
      <c r="F3331" t="s">
        <v>23</v>
      </c>
      <c r="G3331" t="s">
        <v>41</v>
      </c>
      <c r="H3331" t="s">
        <v>20</v>
      </c>
      <c r="I3331" s="1">
        <v>1</v>
      </c>
      <c r="J3331" s="2">
        <v>45796</v>
      </c>
      <c r="K3331" s="2">
        <v>45778</v>
      </c>
      <c r="L3331" s="1" t="str">
        <f t="shared" si="384"/>
        <v>seg</v>
      </c>
      <c r="M3331" s="1" t="str">
        <f t="shared" si="385"/>
        <v>mai</v>
      </c>
      <c r="N3331">
        <f t="shared" si="386"/>
        <v>2025</v>
      </c>
      <c r="O3331" s="2">
        <f>_xlfn.XLOOKUP(A3331,Colaboradores!$A:$A,Colaboradores!$S:$S,"",0)</f>
        <v>45801</v>
      </c>
      <c r="P3331" t="str">
        <f t="shared" si="387"/>
        <v>166445796</v>
      </c>
    </row>
    <row r="3332" spans="1:16" x14ac:dyDescent="0.3">
      <c r="A3332">
        <v>1665</v>
      </c>
      <c r="B3332">
        <v>36</v>
      </c>
      <c r="C3332" t="s">
        <v>26</v>
      </c>
      <c r="D3332" t="s">
        <v>16</v>
      </c>
      <c r="E3332" t="s">
        <v>17</v>
      </c>
      <c r="F3332" t="s">
        <v>23</v>
      </c>
      <c r="G3332" t="s">
        <v>41</v>
      </c>
      <c r="H3332" t="s">
        <v>25</v>
      </c>
      <c r="I3332" s="1">
        <v>3</v>
      </c>
      <c r="J3332" s="2">
        <v>45892</v>
      </c>
      <c r="K3332" s="2">
        <v>45870</v>
      </c>
      <c r="L3332" s="1" t="str">
        <f t="shared" si="384"/>
        <v>sáb</v>
      </c>
      <c r="M3332" s="1" t="str">
        <f t="shared" si="385"/>
        <v>ago</v>
      </c>
      <c r="N3332">
        <f t="shared" si="386"/>
        <v>2025</v>
      </c>
      <c r="O3332" s="2"/>
      <c r="P3332" t="str">
        <f t="shared" si="387"/>
        <v>166545892</v>
      </c>
    </row>
    <row r="3333" spans="1:16" x14ac:dyDescent="0.3">
      <c r="A3333">
        <v>1665</v>
      </c>
      <c r="B3333">
        <v>36</v>
      </c>
      <c r="C3333" t="s">
        <v>26</v>
      </c>
      <c r="D3333" t="s">
        <v>16</v>
      </c>
      <c r="E3333" t="s">
        <v>17</v>
      </c>
      <c r="F3333" t="s">
        <v>23</v>
      </c>
      <c r="G3333" t="s">
        <v>41</v>
      </c>
      <c r="H3333" t="s">
        <v>25</v>
      </c>
      <c r="I3333" s="1">
        <v>3</v>
      </c>
      <c r="J3333" s="2">
        <v>45898</v>
      </c>
      <c r="K3333" s="2">
        <v>45870</v>
      </c>
      <c r="L3333" s="1" t="str">
        <f t="shared" si="384"/>
        <v>sex</v>
      </c>
      <c r="M3333" s="1" t="str">
        <f t="shared" si="385"/>
        <v>ago</v>
      </c>
      <c r="N3333">
        <f t="shared" si="386"/>
        <v>2025</v>
      </c>
      <c r="O3333" s="2"/>
      <c r="P3333" t="str">
        <f t="shared" si="387"/>
        <v>166545898</v>
      </c>
    </row>
    <row r="3334" spans="1:16" x14ac:dyDescent="0.3">
      <c r="A3334">
        <v>1665</v>
      </c>
      <c r="B3334">
        <v>36</v>
      </c>
      <c r="C3334" t="s">
        <v>26</v>
      </c>
      <c r="D3334" t="s">
        <v>16</v>
      </c>
      <c r="E3334" t="s">
        <v>17</v>
      </c>
      <c r="F3334" t="s">
        <v>23</v>
      </c>
      <c r="G3334" t="s">
        <v>41</v>
      </c>
      <c r="H3334" t="s">
        <v>25</v>
      </c>
      <c r="I3334" s="1">
        <v>3</v>
      </c>
      <c r="J3334" s="2">
        <v>45901</v>
      </c>
      <c r="K3334" s="2">
        <v>45901</v>
      </c>
      <c r="L3334" s="1" t="str">
        <f t="shared" si="384"/>
        <v>seg</v>
      </c>
      <c r="M3334" s="1" t="str">
        <f t="shared" si="385"/>
        <v>set</v>
      </c>
      <c r="N3334">
        <f t="shared" si="386"/>
        <v>2025</v>
      </c>
      <c r="O3334" s="2"/>
      <c r="P3334" t="str">
        <f t="shared" si="387"/>
        <v>166545901</v>
      </c>
    </row>
    <row r="3335" spans="1:16" x14ac:dyDescent="0.3">
      <c r="A3335">
        <v>1665</v>
      </c>
      <c r="B3335">
        <v>36</v>
      </c>
      <c r="C3335" t="s">
        <v>26</v>
      </c>
      <c r="D3335" t="s">
        <v>16</v>
      </c>
      <c r="E3335" t="s">
        <v>17</v>
      </c>
      <c r="F3335" t="s">
        <v>23</v>
      </c>
      <c r="G3335" t="s">
        <v>41</v>
      </c>
      <c r="H3335" t="s">
        <v>25</v>
      </c>
      <c r="I3335" s="1">
        <v>3</v>
      </c>
      <c r="J3335" s="2">
        <v>45967</v>
      </c>
      <c r="K3335" s="2">
        <v>45962</v>
      </c>
      <c r="L3335" s="1" t="str">
        <f t="shared" si="384"/>
        <v>qui</v>
      </c>
      <c r="M3335" s="1" t="str">
        <f t="shared" si="385"/>
        <v>nov</v>
      </c>
      <c r="N3335">
        <f t="shared" si="386"/>
        <v>2025</v>
      </c>
      <c r="O3335" s="2"/>
      <c r="P3335" t="str">
        <f t="shared" si="387"/>
        <v>166545967</v>
      </c>
    </row>
    <row r="3336" spans="1:16" x14ac:dyDescent="0.3">
      <c r="A3336">
        <v>1667</v>
      </c>
      <c r="B3336">
        <v>37</v>
      </c>
      <c r="C3336" t="s">
        <v>26</v>
      </c>
      <c r="D3336" t="s">
        <v>31</v>
      </c>
      <c r="E3336" t="s">
        <v>34</v>
      </c>
      <c r="F3336" t="s">
        <v>18</v>
      </c>
      <c r="G3336" t="s">
        <v>41</v>
      </c>
      <c r="H3336" t="s">
        <v>20</v>
      </c>
      <c r="I3336" s="1">
        <v>3</v>
      </c>
      <c r="J3336" s="2">
        <v>45791</v>
      </c>
      <c r="K3336" s="2">
        <v>45778</v>
      </c>
      <c r="L3336" s="1" t="str">
        <f t="shared" si="384"/>
        <v>qua</v>
      </c>
      <c r="M3336" s="1" t="str">
        <f t="shared" si="385"/>
        <v>mai</v>
      </c>
      <c r="N3336">
        <f t="shared" si="386"/>
        <v>2025</v>
      </c>
      <c r="O3336" s="2">
        <f>_xlfn.XLOOKUP(A3336,Colaboradores!$A:$A,Colaboradores!$S:$S,"",0)</f>
        <v>45921</v>
      </c>
      <c r="P3336" t="str">
        <f t="shared" si="387"/>
        <v>166745791</v>
      </c>
    </row>
    <row r="3337" spans="1:16" x14ac:dyDescent="0.3">
      <c r="A3337">
        <v>1667</v>
      </c>
      <c r="B3337">
        <v>37</v>
      </c>
      <c r="C3337" t="s">
        <v>26</v>
      </c>
      <c r="D3337" t="s">
        <v>31</v>
      </c>
      <c r="E3337" t="s">
        <v>34</v>
      </c>
      <c r="F3337" t="s">
        <v>18</v>
      </c>
      <c r="G3337" t="s">
        <v>41</v>
      </c>
      <c r="H3337" t="s">
        <v>20</v>
      </c>
      <c r="I3337" s="1">
        <v>3</v>
      </c>
      <c r="J3337" s="2">
        <v>45793</v>
      </c>
      <c r="K3337" s="2">
        <v>45778</v>
      </c>
      <c r="L3337" s="1" t="str">
        <f t="shared" si="384"/>
        <v>sex</v>
      </c>
      <c r="M3337" s="1" t="str">
        <f t="shared" si="385"/>
        <v>mai</v>
      </c>
      <c r="N3337">
        <f t="shared" si="386"/>
        <v>2025</v>
      </c>
      <c r="O3337" s="2">
        <f>_xlfn.XLOOKUP(A3337,Colaboradores!$A:$A,Colaboradores!$S:$S,"",0)</f>
        <v>45921</v>
      </c>
      <c r="P3337" t="str">
        <f t="shared" si="387"/>
        <v>166745793</v>
      </c>
    </row>
    <row r="3338" spans="1:16" x14ac:dyDescent="0.3">
      <c r="A3338">
        <v>1667</v>
      </c>
      <c r="B3338">
        <v>37</v>
      </c>
      <c r="C3338" t="s">
        <v>26</v>
      </c>
      <c r="D3338" t="s">
        <v>31</v>
      </c>
      <c r="E3338" t="s">
        <v>34</v>
      </c>
      <c r="F3338" t="s">
        <v>18</v>
      </c>
      <c r="G3338" t="s">
        <v>41</v>
      </c>
      <c r="H3338" t="s">
        <v>20</v>
      </c>
      <c r="I3338" s="1">
        <v>3</v>
      </c>
      <c r="J3338" s="2">
        <v>45855</v>
      </c>
      <c r="K3338" s="2">
        <v>45839</v>
      </c>
      <c r="L3338" s="1" t="str">
        <f t="shared" si="384"/>
        <v>qui</v>
      </c>
      <c r="M3338" s="1" t="str">
        <f t="shared" si="385"/>
        <v>jul</v>
      </c>
      <c r="N3338">
        <f t="shared" si="386"/>
        <v>2025</v>
      </c>
      <c r="O3338" s="2">
        <f>_xlfn.XLOOKUP(A3338,Colaboradores!$A:$A,Colaboradores!$S:$S,"",0)</f>
        <v>45921</v>
      </c>
      <c r="P3338" t="str">
        <f t="shared" si="387"/>
        <v>166745855</v>
      </c>
    </row>
    <row r="3339" spans="1:16" x14ac:dyDescent="0.3">
      <c r="A3339">
        <v>1667</v>
      </c>
      <c r="B3339">
        <v>37</v>
      </c>
      <c r="C3339" t="s">
        <v>26</v>
      </c>
      <c r="D3339" t="s">
        <v>31</v>
      </c>
      <c r="E3339" t="s">
        <v>34</v>
      </c>
      <c r="F3339" t="s">
        <v>18</v>
      </c>
      <c r="G3339" t="s">
        <v>41</v>
      </c>
      <c r="H3339" t="s">
        <v>20</v>
      </c>
      <c r="I3339" s="1">
        <v>3</v>
      </c>
      <c r="J3339" s="2">
        <v>45870</v>
      </c>
      <c r="K3339" s="2">
        <v>45870</v>
      </c>
      <c r="L3339" s="1" t="str">
        <f t="shared" si="384"/>
        <v>sex</v>
      </c>
      <c r="M3339" s="1" t="str">
        <f t="shared" si="385"/>
        <v>ago</v>
      </c>
      <c r="N3339">
        <f t="shared" si="386"/>
        <v>2025</v>
      </c>
      <c r="O3339" s="2">
        <f>_xlfn.XLOOKUP(A3339,Colaboradores!$A:$A,Colaboradores!$S:$S,"",0)</f>
        <v>45921</v>
      </c>
      <c r="P3339" t="str">
        <f t="shared" si="387"/>
        <v>166745870</v>
      </c>
    </row>
    <row r="3340" spans="1:16" x14ac:dyDescent="0.3">
      <c r="A3340">
        <v>1667</v>
      </c>
      <c r="B3340">
        <v>37</v>
      </c>
      <c r="C3340" t="s">
        <v>26</v>
      </c>
      <c r="D3340" t="s">
        <v>31</v>
      </c>
      <c r="E3340" t="s">
        <v>34</v>
      </c>
      <c r="F3340" t="s">
        <v>18</v>
      </c>
      <c r="G3340" t="s">
        <v>41</v>
      </c>
      <c r="H3340" t="s">
        <v>20</v>
      </c>
      <c r="I3340" s="1">
        <v>3</v>
      </c>
      <c r="J3340" s="2">
        <v>45875</v>
      </c>
      <c r="K3340" s="2">
        <v>45870</v>
      </c>
      <c r="L3340" s="1" t="str">
        <f t="shared" si="384"/>
        <v>qua</v>
      </c>
      <c r="M3340" s="1" t="str">
        <f t="shared" si="385"/>
        <v>ago</v>
      </c>
      <c r="N3340">
        <f t="shared" si="386"/>
        <v>2025</v>
      </c>
      <c r="O3340" s="2">
        <f>_xlfn.XLOOKUP(A3340,Colaboradores!$A:$A,Colaboradores!$S:$S,"",0)</f>
        <v>45921</v>
      </c>
      <c r="P3340" t="str">
        <f t="shared" si="387"/>
        <v>166745875</v>
      </c>
    </row>
    <row r="3341" spans="1:16" x14ac:dyDescent="0.3">
      <c r="A3341">
        <v>1668</v>
      </c>
      <c r="B3341">
        <v>54</v>
      </c>
      <c r="C3341" t="s">
        <v>15</v>
      </c>
      <c r="D3341" t="s">
        <v>31</v>
      </c>
      <c r="E3341" t="s">
        <v>34</v>
      </c>
      <c r="F3341" t="s">
        <v>21</v>
      </c>
      <c r="G3341" t="s">
        <v>41</v>
      </c>
      <c r="H3341" t="s">
        <v>25</v>
      </c>
      <c r="I3341" s="1">
        <v>3</v>
      </c>
      <c r="J3341" s="2">
        <v>45843</v>
      </c>
      <c r="K3341" s="2">
        <v>45839</v>
      </c>
      <c r="L3341" s="1" t="str">
        <f t="shared" si="384"/>
        <v>sáb</v>
      </c>
      <c r="M3341" s="1" t="str">
        <f t="shared" si="385"/>
        <v>jul</v>
      </c>
      <c r="N3341">
        <f t="shared" si="386"/>
        <v>2025</v>
      </c>
      <c r="O3341" s="2"/>
      <c r="P3341" t="str">
        <f t="shared" si="387"/>
        <v>166845843</v>
      </c>
    </row>
    <row r="3342" spans="1:16" x14ac:dyDescent="0.3">
      <c r="A3342">
        <v>1668</v>
      </c>
      <c r="B3342">
        <v>54</v>
      </c>
      <c r="C3342" t="s">
        <v>15</v>
      </c>
      <c r="D3342" t="s">
        <v>31</v>
      </c>
      <c r="E3342" t="s">
        <v>34</v>
      </c>
      <c r="F3342" t="s">
        <v>21</v>
      </c>
      <c r="G3342" t="s">
        <v>41</v>
      </c>
      <c r="H3342" t="s">
        <v>25</v>
      </c>
      <c r="I3342" s="1">
        <v>3</v>
      </c>
      <c r="J3342" s="2">
        <v>45862</v>
      </c>
      <c r="K3342" s="2">
        <v>45839</v>
      </c>
      <c r="L3342" s="1" t="str">
        <f t="shared" si="384"/>
        <v>qui</v>
      </c>
      <c r="M3342" s="1" t="str">
        <f t="shared" si="385"/>
        <v>jul</v>
      </c>
      <c r="N3342">
        <f t="shared" si="386"/>
        <v>2025</v>
      </c>
      <c r="O3342" s="2"/>
      <c r="P3342" t="str">
        <f t="shared" si="387"/>
        <v>166845862</v>
      </c>
    </row>
    <row r="3343" spans="1:16" x14ac:dyDescent="0.3">
      <c r="A3343">
        <v>1668</v>
      </c>
      <c r="B3343">
        <v>54</v>
      </c>
      <c r="C3343" t="s">
        <v>15</v>
      </c>
      <c r="D3343" t="s">
        <v>31</v>
      </c>
      <c r="E3343" t="s">
        <v>34</v>
      </c>
      <c r="F3343" t="s">
        <v>21</v>
      </c>
      <c r="G3343" t="s">
        <v>41</v>
      </c>
      <c r="H3343" t="s">
        <v>25</v>
      </c>
      <c r="I3343" s="1">
        <v>3</v>
      </c>
      <c r="J3343" s="2">
        <v>45947</v>
      </c>
      <c r="K3343" s="2">
        <v>45931</v>
      </c>
      <c r="L3343" s="1" t="str">
        <f t="shared" si="384"/>
        <v>sex</v>
      </c>
      <c r="M3343" s="1" t="str">
        <f t="shared" si="385"/>
        <v>out</v>
      </c>
      <c r="N3343">
        <f t="shared" si="386"/>
        <v>2025</v>
      </c>
      <c r="O3343" s="2"/>
      <c r="P3343" t="str">
        <f t="shared" si="387"/>
        <v>166845947</v>
      </c>
    </row>
    <row r="3344" spans="1:16" x14ac:dyDescent="0.3">
      <c r="A3344">
        <v>1668</v>
      </c>
      <c r="B3344">
        <v>54</v>
      </c>
      <c r="C3344" t="s">
        <v>15</v>
      </c>
      <c r="D3344" t="s">
        <v>31</v>
      </c>
      <c r="E3344" t="s">
        <v>34</v>
      </c>
      <c r="F3344" t="s">
        <v>21</v>
      </c>
      <c r="G3344" t="s">
        <v>41</v>
      </c>
      <c r="H3344" t="s">
        <v>25</v>
      </c>
      <c r="I3344" s="1">
        <v>3</v>
      </c>
      <c r="J3344" s="2">
        <v>46068</v>
      </c>
      <c r="K3344" s="2">
        <v>46054</v>
      </c>
      <c r="L3344" s="1" t="str">
        <f t="shared" si="384"/>
        <v>dom</v>
      </c>
      <c r="M3344" s="1" t="str">
        <f t="shared" si="385"/>
        <v>fev</v>
      </c>
      <c r="N3344">
        <f t="shared" si="386"/>
        <v>2026</v>
      </c>
      <c r="O3344" s="2"/>
      <c r="P3344" t="str">
        <f t="shared" si="387"/>
        <v>166846068</v>
      </c>
    </row>
    <row r="3345" spans="1:16" x14ac:dyDescent="0.3">
      <c r="A3345">
        <v>1668</v>
      </c>
      <c r="B3345">
        <v>54</v>
      </c>
      <c r="C3345" t="s">
        <v>15</v>
      </c>
      <c r="D3345" t="s">
        <v>31</v>
      </c>
      <c r="E3345" t="s">
        <v>34</v>
      </c>
      <c r="F3345" t="s">
        <v>21</v>
      </c>
      <c r="G3345" t="s">
        <v>41</v>
      </c>
      <c r="H3345" t="s">
        <v>25</v>
      </c>
      <c r="I3345" s="1">
        <v>3</v>
      </c>
      <c r="J3345" s="2">
        <v>46073</v>
      </c>
      <c r="K3345" s="2">
        <v>46054</v>
      </c>
      <c r="L3345" s="1" t="str">
        <f t="shared" si="384"/>
        <v>sex</v>
      </c>
      <c r="M3345" s="1" t="str">
        <f t="shared" si="385"/>
        <v>fev</v>
      </c>
      <c r="N3345">
        <f t="shared" si="386"/>
        <v>2026</v>
      </c>
      <c r="O3345" s="2"/>
      <c r="P3345" t="str">
        <f t="shared" si="387"/>
        <v>166846073</v>
      </c>
    </row>
    <row r="3346" spans="1:16" x14ac:dyDescent="0.3">
      <c r="A3346">
        <v>1669</v>
      </c>
      <c r="B3346">
        <v>49</v>
      </c>
      <c r="C3346" t="s">
        <v>15</v>
      </c>
      <c r="D3346" t="s">
        <v>29</v>
      </c>
      <c r="E3346" t="s">
        <v>17</v>
      </c>
      <c r="F3346" t="s">
        <v>18</v>
      </c>
      <c r="G3346" t="s">
        <v>41</v>
      </c>
      <c r="H3346" t="s">
        <v>20</v>
      </c>
      <c r="I3346" s="1">
        <v>2</v>
      </c>
      <c r="J3346" s="2">
        <v>45787</v>
      </c>
      <c r="K3346" s="2">
        <v>45778</v>
      </c>
      <c r="L3346" s="1" t="str">
        <f t="shared" si="384"/>
        <v>sáb</v>
      </c>
      <c r="M3346" s="1" t="str">
        <f t="shared" si="385"/>
        <v>mai</v>
      </c>
      <c r="N3346">
        <f t="shared" si="386"/>
        <v>2025</v>
      </c>
      <c r="O3346" s="2">
        <f>_xlfn.XLOOKUP(A3346,Colaboradores!$A:$A,Colaboradores!$S:$S,"",0)</f>
        <v>46141</v>
      </c>
      <c r="P3346" t="str">
        <f t="shared" si="387"/>
        <v>166945787</v>
      </c>
    </row>
    <row r="3347" spans="1:16" x14ac:dyDescent="0.3">
      <c r="A3347">
        <v>1669</v>
      </c>
      <c r="B3347">
        <v>49</v>
      </c>
      <c r="C3347" t="s">
        <v>15</v>
      </c>
      <c r="D3347" t="s">
        <v>29</v>
      </c>
      <c r="E3347" t="s">
        <v>17</v>
      </c>
      <c r="F3347" t="s">
        <v>18</v>
      </c>
      <c r="G3347" t="s">
        <v>41</v>
      </c>
      <c r="H3347" t="s">
        <v>20</v>
      </c>
      <c r="I3347" s="1">
        <v>2</v>
      </c>
      <c r="J3347" s="2">
        <v>45826</v>
      </c>
      <c r="K3347" s="2">
        <v>45809</v>
      </c>
      <c r="L3347" s="1" t="str">
        <f t="shared" si="384"/>
        <v>qua</v>
      </c>
      <c r="M3347" s="1" t="str">
        <f t="shared" si="385"/>
        <v>jun</v>
      </c>
      <c r="N3347">
        <f t="shared" si="386"/>
        <v>2025</v>
      </c>
      <c r="O3347" s="2">
        <f>_xlfn.XLOOKUP(A3347,Colaboradores!$A:$A,Colaboradores!$S:$S,"",0)</f>
        <v>46141</v>
      </c>
      <c r="P3347" t="str">
        <f t="shared" si="387"/>
        <v>166945826</v>
      </c>
    </row>
    <row r="3348" spans="1:16" x14ac:dyDescent="0.3">
      <c r="A3348">
        <v>1669</v>
      </c>
      <c r="B3348">
        <v>49</v>
      </c>
      <c r="C3348" t="s">
        <v>15</v>
      </c>
      <c r="D3348" t="s">
        <v>29</v>
      </c>
      <c r="E3348" t="s">
        <v>17</v>
      </c>
      <c r="F3348" t="s">
        <v>18</v>
      </c>
      <c r="G3348" t="s">
        <v>41</v>
      </c>
      <c r="H3348" t="s">
        <v>20</v>
      </c>
      <c r="I3348" s="1">
        <v>2</v>
      </c>
      <c r="J3348" s="2">
        <v>45893</v>
      </c>
      <c r="K3348" s="2">
        <v>45870</v>
      </c>
      <c r="L3348" s="1" t="str">
        <f t="shared" si="384"/>
        <v>dom</v>
      </c>
      <c r="M3348" s="1" t="str">
        <f t="shared" si="385"/>
        <v>ago</v>
      </c>
      <c r="N3348">
        <f t="shared" si="386"/>
        <v>2025</v>
      </c>
      <c r="O3348" s="2">
        <f>_xlfn.XLOOKUP(A3348,Colaboradores!$A:$A,Colaboradores!$S:$S,"",0)</f>
        <v>46141</v>
      </c>
      <c r="P3348" t="str">
        <f t="shared" si="387"/>
        <v>166945893</v>
      </c>
    </row>
    <row r="3349" spans="1:16" x14ac:dyDescent="0.3">
      <c r="A3349">
        <v>1669</v>
      </c>
      <c r="B3349">
        <v>49</v>
      </c>
      <c r="C3349" t="s">
        <v>15</v>
      </c>
      <c r="D3349" t="s">
        <v>29</v>
      </c>
      <c r="E3349" t="s">
        <v>17</v>
      </c>
      <c r="F3349" t="s">
        <v>18</v>
      </c>
      <c r="G3349" t="s">
        <v>41</v>
      </c>
      <c r="H3349" t="s">
        <v>20</v>
      </c>
      <c r="I3349" s="1">
        <v>2</v>
      </c>
      <c r="J3349" s="2">
        <v>45959</v>
      </c>
      <c r="K3349" s="2">
        <v>45931</v>
      </c>
      <c r="L3349" s="1" t="str">
        <f t="shared" si="384"/>
        <v>qua</v>
      </c>
      <c r="M3349" s="1" t="str">
        <f t="shared" si="385"/>
        <v>out</v>
      </c>
      <c r="N3349">
        <f t="shared" si="386"/>
        <v>2025</v>
      </c>
      <c r="O3349" s="2">
        <f>_xlfn.XLOOKUP(A3349,Colaboradores!$A:$A,Colaboradores!$S:$S,"",0)</f>
        <v>46141</v>
      </c>
      <c r="P3349" t="str">
        <f t="shared" si="387"/>
        <v>166945959</v>
      </c>
    </row>
    <row r="3350" spans="1:16" x14ac:dyDescent="0.3">
      <c r="A3350">
        <v>1669</v>
      </c>
      <c r="B3350">
        <v>49</v>
      </c>
      <c r="C3350" t="s">
        <v>15</v>
      </c>
      <c r="D3350" t="s">
        <v>29</v>
      </c>
      <c r="E3350" t="s">
        <v>17</v>
      </c>
      <c r="F3350" t="s">
        <v>18</v>
      </c>
      <c r="G3350" t="s">
        <v>41</v>
      </c>
      <c r="H3350" t="s">
        <v>20</v>
      </c>
      <c r="I3350" s="1">
        <v>2</v>
      </c>
      <c r="J3350" s="2">
        <v>46093</v>
      </c>
      <c r="K3350" s="2">
        <v>46082</v>
      </c>
      <c r="L3350" s="1" t="str">
        <f t="shared" ref="L3350:L3381" si="388">TEXT(J3350,"ddd")</f>
        <v>qui</v>
      </c>
      <c r="M3350" s="1" t="str">
        <f t="shared" ref="M3350:M3381" si="389">TEXT($J3350,"mmm")</f>
        <v>mar</v>
      </c>
      <c r="N3350">
        <f t="shared" ref="N3350:N3381" si="390">YEAR(J3350)</f>
        <v>2026</v>
      </c>
      <c r="O3350" s="2">
        <f>_xlfn.XLOOKUP(A3350,Colaboradores!$A:$A,Colaboradores!$S:$S,"",0)</f>
        <v>46141</v>
      </c>
      <c r="P3350" t="str">
        <f t="shared" si="387"/>
        <v>166946093</v>
      </c>
    </row>
    <row r="3351" spans="1:16" x14ac:dyDescent="0.3">
      <c r="A3351">
        <v>1669</v>
      </c>
      <c r="B3351">
        <v>49</v>
      </c>
      <c r="C3351" t="s">
        <v>15</v>
      </c>
      <c r="D3351" t="s">
        <v>29</v>
      </c>
      <c r="E3351" t="s">
        <v>17</v>
      </c>
      <c r="F3351" t="s">
        <v>18</v>
      </c>
      <c r="G3351" t="s">
        <v>41</v>
      </c>
      <c r="H3351" t="s">
        <v>20</v>
      </c>
      <c r="I3351" s="1">
        <v>2</v>
      </c>
      <c r="J3351" s="2">
        <v>46103</v>
      </c>
      <c r="K3351" s="2">
        <v>46082</v>
      </c>
      <c r="L3351" s="1" t="str">
        <f t="shared" si="388"/>
        <v>dom</v>
      </c>
      <c r="M3351" s="1" t="str">
        <f t="shared" si="389"/>
        <v>mar</v>
      </c>
      <c r="N3351">
        <f t="shared" si="390"/>
        <v>2026</v>
      </c>
      <c r="O3351" s="2">
        <f>_xlfn.XLOOKUP(A3351,Colaboradores!$A:$A,Colaboradores!$S:$S,"",0)</f>
        <v>46141</v>
      </c>
      <c r="P3351" t="str">
        <f t="shared" si="387"/>
        <v>166946103</v>
      </c>
    </row>
    <row r="3352" spans="1:16" x14ac:dyDescent="0.3">
      <c r="A3352">
        <v>1670</v>
      </c>
      <c r="B3352">
        <v>43</v>
      </c>
      <c r="C3352" t="s">
        <v>15</v>
      </c>
      <c r="D3352" t="s">
        <v>29</v>
      </c>
      <c r="E3352" t="s">
        <v>17</v>
      </c>
      <c r="F3352" t="s">
        <v>18</v>
      </c>
      <c r="G3352" t="s">
        <v>41</v>
      </c>
      <c r="H3352" t="s">
        <v>20</v>
      </c>
      <c r="I3352" s="1">
        <v>1</v>
      </c>
      <c r="J3352" s="2">
        <v>45790</v>
      </c>
      <c r="K3352" s="2">
        <v>45778</v>
      </c>
      <c r="L3352" s="1" t="str">
        <f t="shared" si="388"/>
        <v>ter</v>
      </c>
      <c r="M3352" s="1" t="str">
        <f t="shared" si="389"/>
        <v>mai</v>
      </c>
      <c r="N3352">
        <f t="shared" si="390"/>
        <v>2025</v>
      </c>
      <c r="O3352" s="2">
        <f>_xlfn.XLOOKUP(A3352,Colaboradores!$A:$A,Colaboradores!$S:$S,"",0)</f>
        <v>45924</v>
      </c>
      <c r="P3352" t="str">
        <f t="shared" si="387"/>
        <v>167045790</v>
      </c>
    </row>
    <row r="3353" spans="1:16" x14ac:dyDescent="0.3">
      <c r="A3353">
        <v>1670</v>
      </c>
      <c r="B3353">
        <v>43</v>
      </c>
      <c r="C3353" t="s">
        <v>15</v>
      </c>
      <c r="D3353" t="s">
        <v>29</v>
      </c>
      <c r="E3353" t="s">
        <v>17</v>
      </c>
      <c r="F3353" t="s">
        <v>18</v>
      </c>
      <c r="G3353" t="s">
        <v>41</v>
      </c>
      <c r="H3353" t="s">
        <v>20</v>
      </c>
      <c r="I3353" s="1">
        <v>1</v>
      </c>
      <c r="J3353" s="2">
        <v>45848</v>
      </c>
      <c r="K3353" s="2">
        <v>45839</v>
      </c>
      <c r="L3353" s="1" t="str">
        <f t="shared" si="388"/>
        <v>qui</v>
      </c>
      <c r="M3353" s="1" t="str">
        <f t="shared" si="389"/>
        <v>jul</v>
      </c>
      <c r="N3353">
        <f t="shared" si="390"/>
        <v>2025</v>
      </c>
      <c r="O3353" s="2">
        <f>_xlfn.XLOOKUP(A3353,Colaboradores!$A:$A,Colaboradores!$S:$S,"",0)</f>
        <v>45924</v>
      </c>
      <c r="P3353" t="str">
        <f t="shared" si="387"/>
        <v>167045848</v>
      </c>
    </row>
    <row r="3354" spans="1:16" x14ac:dyDescent="0.3">
      <c r="A3354">
        <v>1670</v>
      </c>
      <c r="B3354">
        <v>43</v>
      </c>
      <c r="C3354" t="s">
        <v>15</v>
      </c>
      <c r="D3354" t="s">
        <v>29</v>
      </c>
      <c r="E3354" t="s">
        <v>17</v>
      </c>
      <c r="F3354" t="s">
        <v>18</v>
      </c>
      <c r="G3354" t="s">
        <v>41</v>
      </c>
      <c r="H3354" t="s">
        <v>20</v>
      </c>
      <c r="I3354" s="1">
        <v>1</v>
      </c>
      <c r="J3354" s="2">
        <v>45869</v>
      </c>
      <c r="K3354" s="2">
        <v>45839</v>
      </c>
      <c r="L3354" s="1" t="str">
        <f t="shared" si="388"/>
        <v>qui</v>
      </c>
      <c r="M3354" s="1" t="str">
        <f t="shared" si="389"/>
        <v>jul</v>
      </c>
      <c r="N3354">
        <f t="shared" si="390"/>
        <v>2025</v>
      </c>
      <c r="O3354" s="2">
        <f>_xlfn.XLOOKUP(A3354,Colaboradores!$A:$A,Colaboradores!$S:$S,"",0)</f>
        <v>45924</v>
      </c>
      <c r="P3354" t="str">
        <f t="shared" si="387"/>
        <v>167045869</v>
      </c>
    </row>
    <row r="3355" spans="1:16" x14ac:dyDescent="0.3">
      <c r="A3355">
        <v>1670</v>
      </c>
      <c r="B3355">
        <v>43</v>
      </c>
      <c r="C3355" t="s">
        <v>15</v>
      </c>
      <c r="D3355" t="s">
        <v>29</v>
      </c>
      <c r="E3355" t="s">
        <v>17</v>
      </c>
      <c r="F3355" t="s">
        <v>18</v>
      </c>
      <c r="G3355" t="s">
        <v>41</v>
      </c>
      <c r="H3355" t="s">
        <v>20</v>
      </c>
      <c r="I3355" s="1">
        <v>1</v>
      </c>
      <c r="J3355" s="2">
        <v>45871</v>
      </c>
      <c r="K3355" s="2">
        <v>45870</v>
      </c>
      <c r="L3355" s="1" t="str">
        <f t="shared" si="388"/>
        <v>sáb</v>
      </c>
      <c r="M3355" s="1" t="str">
        <f t="shared" si="389"/>
        <v>ago</v>
      </c>
      <c r="N3355">
        <f t="shared" si="390"/>
        <v>2025</v>
      </c>
      <c r="O3355" s="2">
        <f>_xlfn.XLOOKUP(A3355,Colaboradores!$A:$A,Colaboradores!$S:$S,"",0)</f>
        <v>45924</v>
      </c>
      <c r="P3355" t="str">
        <f t="shared" si="387"/>
        <v>167045871</v>
      </c>
    </row>
    <row r="3356" spans="1:16" x14ac:dyDescent="0.3">
      <c r="A3356">
        <v>1670</v>
      </c>
      <c r="B3356">
        <v>43</v>
      </c>
      <c r="C3356" t="s">
        <v>15</v>
      </c>
      <c r="D3356" t="s">
        <v>29</v>
      </c>
      <c r="E3356" t="s">
        <v>17</v>
      </c>
      <c r="F3356" t="s">
        <v>18</v>
      </c>
      <c r="G3356" t="s">
        <v>41</v>
      </c>
      <c r="H3356" t="s">
        <v>20</v>
      </c>
      <c r="I3356" s="1">
        <v>1</v>
      </c>
      <c r="J3356" s="2">
        <v>45875</v>
      </c>
      <c r="K3356" s="2">
        <v>45870</v>
      </c>
      <c r="L3356" s="1" t="str">
        <f t="shared" si="388"/>
        <v>qua</v>
      </c>
      <c r="M3356" s="1" t="str">
        <f t="shared" si="389"/>
        <v>ago</v>
      </c>
      <c r="N3356">
        <f t="shared" si="390"/>
        <v>2025</v>
      </c>
      <c r="O3356" s="2">
        <f>_xlfn.XLOOKUP(A3356,Colaboradores!$A:$A,Colaboradores!$S:$S,"",0)</f>
        <v>45924</v>
      </c>
      <c r="P3356" t="str">
        <f t="shared" si="387"/>
        <v>167045875</v>
      </c>
    </row>
    <row r="3357" spans="1:16" x14ac:dyDescent="0.3">
      <c r="A3357">
        <v>1670</v>
      </c>
      <c r="B3357">
        <v>43</v>
      </c>
      <c r="C3357" t="s">
        <v>15</v>
      </c>
      <c r="D3357" t="s">
        <v>29</v>
      </c>
      <c r="E3357" t="s">
        <v>17</v>
      </c>
      <c r="F3357" t="s">
        <v>18</v>
      </c>
      <c r="G3357" t="s">
        <v>41</v>
      </c>
      <c r="H3357" t="s">
        <v>20</v>
      </c>
      <c r="I3357" s="1">
        <v>1</v>
      </c>
      <c r="J3357" s="2">
        <v>45879</v>
      </c>
      <c r="K3357" s="2">
        <v>45870</v>
      </c>
      <c r="L3357" s="1" t="str">
        <f t="shared" si="388"/>
        <v>dom</v>
      </c>
      <c r="M3357" s="1" t="str">
        <f t="shared" si="389"/>
        <v>ago</v>
      </c>
      <c r="N3357">
        <f t="shared" si="390"/>
        <v>2025</v>
      </c>
      <c r="O3357" s="2">
        <f>_xlfn.XLOOKUP(A3357,Colaboradores!$A:$A,Colaboradores!$S:$S,"",0)</f>
        <v>45924</v>
      </c>
      <c r="P3357" t="str">
        <f t="shared" si="387"/>
        <v>167045879</v>
      </c>
    </row>
    <row r="3358" spans="1:16" x14ac:dyDescent="0.3">
      <c r="A3358">
        <v>1672</v>
      </c>
      <c r="B3358">
        <v>49</v>
      </c>
      <c r="C3358" t="s">
        <v>15</v>
      </c>
      <c r="D3358" t="s">
        <v>16</v>
      </c>
      <c r="E3358" t="s">
        <v>17</v>
      </c>
      <c r="F3358" t="s">
        <v>21</v>
      </c>
      <c r="G3358" t="s">
        <v>41</v>
      </c>
      <c r="H3358" t="s">
        <v>20</v>
      </c>
      <c r="I3358" s="1">
        <v>2</v>
      </c>
      <c r="J3358" s="2">
        <v>45805</v>
      </c>
      <c r="K3358" s="2">
        <v>45778</v>
      </c>
      <c r="L3358" s="1" t="str">
        <f t="shared" si="388"/>
        <v>qua</v>
      </c>
      <c r="M3358" s="1" t="str">
        <f t="shared" si="389"/>
        <v>mai</v>
      </c>
      <c r="N3358">
        <f t="shared" si="390"/>
        <v>2025</v>
      </c>
      <c r="O3358" s="2">
        <f>_xlfn.XLOOKUP(A3358,Colaboradores!$A:$A,Colaboradores!$S:$S,"",0)</f>
        <v>46004</v>
      </c>
      <c r="P3358" t="str">
        <f t="shared" si="387"/>
        <v>167245805</v>
      </c>
    </row>
    <row r="3359" spans="1:16" x14ac:dyDescent="0.3">
      <c r="A3359">
        <v>1672</v>
      </c>
      <c r="B3359">
        <v>49</v>
      </c>
      <c r="C3359" t="s">
        <v>15</v>
      </c>
      <c r="D3359" t="s">
        <v>16</v>
      </c>
      <c r="E3359" t="s">
        <v>17</v>
      </c>
      <c r="F3359" t="s">
        <v>21</v>
      </c>
      <c r="G3359" t="s">
        <v>41</v>
      </c>
      <c r="H3359" t="s">
        <v>20</v>
      </c>
      <c r="I3359" s="1">
        <v>2</v>
      </c>
      <c r="J3359" s="2">
        <v>45808</v>
      </c>
      <c r="K3359" s="2">
        <v>45778</v>
      </c>
      <c r="L3359" s="1" t="str">
        <f t="shared" si="388"/>
        <v>sáb</v>
      </c>
      <c r="M3359" s="1" t="str">
        <f t="shared" si="389"/>
        <v>mai</v>
      </c>
      <c r="N3359">
        <f t="shared" si="390"/>
        <v>2025</v>
      </c>
      <c r="O3359" s="2">
        <f>_xlfn.XLOOKUP(A3359,Colaboradores!$A:$A,Colaboradores!$S:$S,"",0)</f>
        <v>46004</v>
      </c>
      <c r="P3359" t="str">
        <f t="shared" si="387"/>
        <v>167245808</v>
      </c>
    </row>
    <row r="3360" spans="1:16" x14ac:dyDescent="0.3">
      <c r="A3360">
        <v>1672</v>
      </c>
      <c r="B3360">
        <v>49</v>
      </c>
      <c r="C3360" t="s">
        <v>15</v>
      </c>
      <c r="D3360" t="s">
        <v>16</v>
      </c>
      <c r="E3360" t="s">
        <v>17</v>
      </c>
      <c r="F3360" t="s">
        <v>21</v>
      </c>
      <c r="G3360" t="s">
        <v>41</v>
      </c>
      <c r="H3360" t="s">
        <v>20</v>
      </c>
      <c r="I3360" s="1">
        <v>2</v>
      </c>
      <c r="J3360" s="2">
        <v>45934</v>
      </c>
      <c r="K3360" s="2">
        <v>45931</v>
      </c>
      <c r="L3360" s="1" t="str">
        <f t="shared" si="388"/>
        <v>sáb</v>
      </c>
      <c r="M3360" s="1" t="str">
        <f t="shared" si="389"/>
        <v>out</v>
      </c>
      <c r="N3360">
        <f t="shared" si="390"/>
        <v>2025</v>
      </c>
      <c r="O3360" s="2">
        <f>_xlfn.XLOOKUP(A3360,Colaboradores!$A:$A,Colaboradores!$S:$S,"",0)</f>
        <v>46004</v>
      </c>
      <c r="P3360" t="str">
        <f t="shared" si="387"/>
        <v>167245934</v>
      </c>
    </row>
    <row r="3361" spans="1:16" x14ac:dyDescent="0.3">
      <c r="A3361">
        <v>1672</v>
      </c>
      <c r="B3361">
        <v>49</v>
      </c>
      <c r="C3361" t="s">
        <v>15</v>
      </c>
      <c r="D3361" t="s">
        <v>16</v>
      </c>
      <c r="E3361" t="s">
        <v>17</v>
      </c>
      <c r="F3361" t="s">
        <v>21</v>
      </c>
      <c r="G3361" t="s">
        <v>41</v>
      </c>
      <c r="H3361" t="s">
        <v>20</v>
      </c>
      <c r="I3361" s="1">
        <v>2</v>
      </c>
      <c r="J3361" s="2">
        <v>45939</v>
      </c>
      <c r="K3361" s="2">
        <v>45931</v>
      </c>
      <c r="L3361" s="1" t="str">
        <f t="shared" si="388"/>
        <v>qui</v>
      </c>
      <c r="M3361" s="1" t="str">
        <f t="shared" si="389"/>
        <v>out</v>
      </c>
      <c r="N3361">
        <f t="shared" si="390"/>
        <v>2025</v>
      </c>
      <c r="O3361" s="2">
        <f>_xlfn.XLOOKUP(A3361,Colaboradores!$A:$A,Colaboradores!$S:$S,"",0)</f>
        <v>46004</v>
      </c>
      <c r="P3361" t="str">
        <f t="shared" si="387"/>
        <v>167245939</v>
      </c>
    </row>
    <row r="3362" spans="1:16" x14ac:dyDescent="0.3">
      <c r="A3362">
        <v>1672</v>
      </c>
      <c r="B3362">
        <v>49</v>
      </c>
      <c r="C3362" t="s">
        <v>15</v>
      </c>
      <c r="D3362" t="s">
        <v>16</v>
      </c>
      <c r="E3362" t="s">
        <v>17</v>
      </c>
      <c r="F3362" t="s">
        <v>21</v>
      </c>
      <c r="G3362" t="s">
        <v>41</v>
      </c>
      <c r="H3362" t="s">
        <v>20</v>
      </c>
      <c r="I3362" s="1">
        <v>2</v>
      </c>
      <c r="J3362" s="2">
        <v>45969</v>
      </c>
      <c r="K3362" s="2">
        <v>45962</v>
      </c>
      <c r="L3362" s="1" t="str">
        <f t="shared" si="388"/>
        <v>sáb</v>
      </c>
      <c r="M3362" s="1" t="str">
        <f t="shared" si="389"/>
        <v>nov</v>
      </c>
      <c r="N3362">
        <f t="shared" si="390"/>
        <v>2025</v>
      </c>
      <c r="O3362" s="2">
        <f>_xlfn.XLOOKUP(A3362,Colaboradores!$A:$A,Colaboradores!$S:$S,"",0)</f>
        <v>46004</v>
      </c>
      <c r="P3362" t="str">
        <f t="shared" si="387"/>
        <v>167245969</v>
      </c>
    </row>
    <row r="3363" spans="1:16" x14ac:dyDescent="0.3">
      <c r="A3363">
        <v>1676</v>
      </c>
      <c r="B3363">
        <v>38</v>
      </c>
      <c r="C3363" t="s">
        <v>15</v>
      </c>
      <c r="D3363" t="s">
        <v>31</v>
      </c>
      <c r="E3363" t="s">
        <v>32</v>
      </c>
      <c r="F3363" t="s">
        <v>21</v>
      </c>
      <c r="G3363" t="s">
        <v>41</v>
      </c>
      <c r="H3363" t="s">
        <v>25</v>
      </c>
      <c r="I3363" s="1">
        <v>1</v>
      </c>
      <c r="J3363" s="2">
        <v>45816</v>
      </c>
      <c r="K3363" s="2">
        <v>45809</v>
      </c>
      <c r="L3363" s="1" t="str">
        <f t="shared" si="388"/>
        <v>dom</v>
      </c>
      <c r="M3363" s="1" t="str">
        <f t="shared" si="389"/>
        <v>jun</v>
      </c>
      <c r="N3363">
        <f t="shared" si="390"/>
        <v>2025</v>
      </c>
      <c r="O3363" s="2"/>
      <c r="P3363" t="str">
        <f t="shared" si="387"/>
        <v>167645816</v>
      </c>
    </row>
    <row r="3364" spans="1:16" x14ac:dyDescent="0.3">
      <c r="A3364">
        <v>1676</v>
      </c>
      <c r="B3364">
        <v>38</v>
      </c>
      <c r="C3364" t="s">
        <v>15</v>
      </c>
      <c r="D3364" t="s">
        <v>31</v>
      </c>
      <c r="E3364" t="s">
        <v>32</v>
      </c>
      <c r="F3364" t="s">
        <v>21</v>
      </c>
      <c r="G3364" t="s">
        <v>41</v>
      </c>
      <c r="H3364" t="s">
        <v>25</v>
      </c>
      <c r="I3364" s="1">
        <v>1</v>
      </c>
      <c r="J3364" s="2">
        <v>45904</v>
      </c>
      <c r="K3364" s="2">
        <v>45901</v>
      </c>
      <c r="L3364" s="1" t="str">
        <f t="shared" si="388"/>
        <v>qui</v>
      </c>
      <c r="M3364" s="1" t="str">
        <f t="shared" si="389"/>
        <v>set</v>
      </c>
      <c r="N3364">
        <f t="shared" si="390"/>
        <v>2025</v>
      </c>
      <c r="O3364" s="2"/>
      <c r="P3364" t="str">
        <f t="shared" si="387"/>
        <v>167645904</v>
      </c>
    </row>
    <row r="3365" spans="1:16" x14ac:dyDescent="0.3">
      <c r="A3365">
        <v>1676</v>
      </c>
      <c r="B3365">
        <v>38</v>
      </c>
      <c r="C3365" t="s">
        <v>15</v>
      </c>
      <c r="D3365" t="s">
        <v>31</v>
      </c>
      <c r="E3365" t="s">
        <v>32</v>
      </c>
      <c r="F3365" t="s">
        <v>21</v>
      </c>
      <c r="G3365" t="s">
        <v>41</v>
      </c>
      <c r="H3365" t="s">
        <v>25</v>
      </c>
      <c r="I3365" s="1">
        <v>1</v>
      </c>
      <c r="J3365" s="2">
        <v>45967</v>
      </c>
      <c r="K3365" s="2">
        <v>45962</v>
      </c>
      <c r="L3365" s="1" t="str">
        <f t="shared" si="388"/>
        <v>qui</v>
      </c>
      <c r="M3365" s="1" t="str">
        <f t="shared" si="389"/>
        <v>nov</v>
      </c>
      <c r="N3365">
        <f t="shared" si="390"/>
        <v>2025</v>
      </c>
      <c r="O3365" s="2"/>
      <c r="P3365" t="str">
        <f t="shared" si="387"/>
        <v>167645967</v>
      </c>
    </row>
    <row r="3366" spans="1:16" x14ac:dyDescent="0.3">
      <c r="A3366">
        <v>1676</v>
      </c>
      <c r="B3366">
        <v>38</v>
      </c>
      <c r="C3366" t="s">
        <v>15</v>
      </c>
      <c r="D3366" t="s">
        <v>31</v>
      </c>
      <c r="E3366" t="s">
        <v>32</v>
      </c>
      <c r="F3366" t="s">
        <v>21</v>
      </c>
      <c r="G3366" t="s">
        <v>41</v>
      </c>
      <c r="H3366" t="s">
        <v>25</v>
      </c>
      <c r="I3366" s="1">
        <v>1</v>
      </c>
      <c r="J3366" s="2">
        <v>45998</v>
      </c>
      <c r="K3366" s="2">
        <v>45992</v>
      </c>
      <c r="L3366" s="1" t="str">
        <f t="shared" si="388"/>
        <v>dom</v>
      </c>
      <c r="M3366" s="1" t="str">
        <f t="shared" si="389"/>
        <v>dez</v>
      </c>
      <c r="N3366">
        <f t="shared" si="390"/>
        <v>2025</v>
      </c>
      <c r="O3366" s="2"/>
      <c r="P3366" t="str">
        <f t="shared" si="387"/>
        <v>167645998</v>
      </c>
    </row>
    <row r="3367" spans="1:16" x14ac:dyDescent="0.3">
      <c r="A3367">
        <v>1676</v>
      </c>
      <c r="B3367">
        <v>38</v>
      </c>
      <c r="C3367" t="s">
        <v>15</v>
      </c>
      <c r="D3367" t="s">
        <v>31</v>
      </c>
      <c r="E3367" t="s">
        <v>32</v>
      </c>
      <c r="F3367" t="s">
        <v>21</v>
      </c>
      <c r="G3367" t="s">
        <v>41</v>
      </c>
      <c r="H3367" t="s">
        <v>25</v>
      </c>
      <c r="I3367" s="1">
        <v>1</v>
      </c>
      <c r="J3367" s="2">
        <v>46201</v>
      </c>
      <c r="K3367" s="2">
        <v>46023</v>
      </c>
      <c r="L3367" s="1" t="str">
        <f t="shared" si="388"/>
        <v>dom</v>
      </c>
      <c r="M3367" s="1" t="str">
        <f t="shared" si="389"/>
        <v>jun</v>
      </c>
      <c r="N3367">
        <f t="shared" si="390"/>
        <v>2026</v>
      </c>
      <c r="O3367" s="2"/>
      <c r="P3367" t="str">
        <f t="shared" si="387"/>
        <v>167646201</v>
      </c>
    </row>
    <row r="3368" spans="1:16" x14ac:dyDescent="0.3">
      <c r="A3368">
        <v>1676</v>
      </c>
      <c r="B3368">
        <v>38</v>
      </c>
      <c r="C3368" t="s">
        <v>15</v>
      </c>
      <c r="D3368" t="s">
        <v>31</v>
      </c>
      <c r="E3368" t="s">
        <v>32</v>
      </c>
      <c r="F3368" t="s">
        <v>21</v>
      </c>
      <c r="G3368" t="s">
        <v>41</v>
      </c>
      <c r="H3368" t="s">
        <v>25</v>
      </c>
      <c r="I3368" s="1">
        <v>1</v>
      </c>
      <c r="J3368" s="2">
        <v>46074</v>
      </c>
      <c r="K3368" s="2">
        <v>46054</v>
      </c>
      <c r="L3368" s="1" t="str">
        <f t="shared" si="388"/>
        <v>sáb</v>
      </c>
      <c r="M3368" s="1" t="str">
        <f t="shared" si="389"/>
        <v>fev</v>
      </c>
      <c r="N3368">
        <f t="shared" si="390"/>
        <v>2026</v>
      </c>
      <c r="O3368" s="2"/>
      <c r="P3368" t="str">
        <f t="shared" si="387"/>
        <v>167646074</v>
      </c>
    </row>
    <row r="3369" spans="1:16" x14ac:dyDescent="0.3">
      <c r="A3369">
        <v>1677</v>
      </c>
      <c r="B3369">
        <v>27</v>
      </c>
      <c r="C3369" t="s">
        <v>26</v>
      </c>
      <c r="D3369" t="s">
        <v>31</v>
      </c>
      <c r="E3369" t="s">
        <v>32</v>
      </c>
      <c r="F3369" t="s">
        <v>21</v>
      </c>
      <c r="G3369" t="s">
        <v>41</v>
      </c>
      <c r="H3369" t="s">
        <v>20</v>
      </c>
      <c r="I3369" s="1">
        <v>1</v>
      </c>
      <c r="J3369" s="2">
        <v>45763</v>
      </c>
      <c r="K3369" s="2">
        <v>45748</v>
      </c>
      <c r="L3369" s="1" t="str">
        <f t="shared" si="388"/>
        <v>qua</v>
      </c>
      <c r="M3369" s="1" t="str">
        <f t="shared" si="389"/>
        <v>abr</v>
      </c>
      <c r="N3369">
        <f t="shared" si="390"/>
        <v>2025</v>
      </c>
      <c r="O3369" s="2">
        <f>_xlfn.XLOOKUP(A3369,Colaboradores!$A:$A,Colaboradores!$S:$S,"",0)</f>
        <v>45877</v>
      </c>
      <c r="P3369" t="str">
        <f t="shared" si="387"/>
        <v>167745763</v>
      </c>
    </row>
    <row r="3370" spans="1:16" x14ac:dyDescent="0.3">
      <c r="A3370">
        <v>1677</v>
      </c>
      <c r="B3370">
        <v>27</v>
      </c>
      <c r="C3370" t="s">
        <v>26</v>
      </c>
      <c r="D3370" t="s">
        <v>31</v>
      </c>
      <c r="E3370" t="s">
        <v>32</v>
      </c>
      <c r="F3370" t="s">
        <v>21</v>
      </c>
      <c r="G3370" t="s">
        <v>41</v>
      </c>
      <c r="H3370" t="s">
        <v>20</v>
      </c>
      <c r="I3370" s="1">
        <v>1</v>
      </c>
      <c r="J3370" s="2">
        <v>45765</v>
      </c>
      <c r="K3370" s="2">
        <v>45748</v>
      </c>
      <c r="L3370" s="1" t="str">
        <f t="shared" si="388"/>
        <v>sex</v>
      </c>
      <c r="M3370" s="1" t="str">
        <f t="shared" si="389"/>
        <v>abr</v>
      </c>
      <c r="N3370">
        <f t="shared" si="390"/>
        <v>2025</v>
      </c>
      <c r="O3370" s="2">
        <f>_xlfn.XLOOKUP(A3370,Colaboradores!$A:$A,Colaboradores!$S:$S,"",0)</f>
        <v>45877</v>
      </c>
      <c r="P3370" t="str">
        <f t="shared" si="387"/>
        <v>167745765</v>
      </c>
    </row>
    <row r="3371" spans="1:16" x14ac:dyDescent="0.3">
      <c r="A3371">
        <v>1677</v>
      </c>
      <c r="B3371">
        <v>27</v>
      </c>
      <c r="C3371" t="s">
        <v>26</v>
      </c>
      <c r="D3371" t="s">
        <v>31</v>
      </c>
      <c r="E3371" t="s">
        <v>32</v>
      </c>
      <c r="F3371" t="s">
        <v>21</v>
      </c>
      <c r="G3371" t="s">
        <v>41</v>
      </c>
      <c r="H3371" t="s">
        <v>20</v>
      </c>
      <c r="I3371" s="1">
        <v>1</v>
      </c>
      <c r="J3371" s="2">
        <v>45842</v>
      </c>
      <c r="K3371" s="2">
        <v>45839</v>
      </c>
      <c r="L3371" s="1" t="str">
        <f t="shared" si="388"/>
        <v>sex</v>
      </c>
      <c r="M3371" s="1" t="str">
        <f t="shared" si="389"/>
        <v>jul</v>
      </c>
      <c r="N3371">
        <f t="shared" si="390"/>
        <v>2025</v>
      </c>
      <c r="O3371" s="2">
        <f>_xlfn.XLOOKUP(A3371,Colaboradores!$A:$A,Colaboradores!$S:$S,"",0)</f>
        <v>45877</v>
      </c>
      <c r="P3371" t="str">
        <f t="shared" si="387"/>
        <v>167745842</v>
      </c>
    </row>
    <row r="3372" spans="1:16" x14ac:dyDescent="0.3">
      <c r="A3372">
        <v>1677</v>
      </c>
      <c r="B3372">
        <v>27</v>
      </c>
      <c r="C3372" t="s">
        <v>26</v>
      </c>
      <c r="D3372" t="s">
        <v>31</v>
      </c>
      <c r="E3372" t="s">
        <v>32</v>
      </c>
      <c r="F3372" t="s">
        <v>21</v>
      </c>
      <c r="G3372" t="s">
        <v>41</v>
      </c>
      <c r="H3372" t="s">
        <v>20</v>
      </c>
      <c r="I3372" s="1">
        <v>1</v>
      </c>
      <c r="J3372" s="2">
        <v>45852</v>
      </c>
      <c r="K3372" s="2">
        <v>45839</v>
      </c>
      <c r="L3372" s="1" t="str">
        <f t="shared" si="388"/>
        <v>seg</v>
      </c>
      <c r="M3372" s="1" t="str">
        <f t="shared" si="389"/>
        <v>jul</v>
      </c>
      <c r="N3372">
        <f t="shared" si="390"/>
        <v>2025</v>
      </c>
      <c r="O3372" s="2">
        <f>_xlfn.XLOOKUP(A3372,Colaboradores!$A:$A,Colaboradores!$S:$S,"",0)</f>
        <v>45877</v>
      </c>
      <c r="P3372" t="str">
        <f t="shared" si="387"/>
        <v>167745852</v>
      </c>
    </row>
    <row r="3373" spans="1:16" x14ac:dyDescent="0.3">
      <c r="A3373">
        <v>1677</v>
      </c>
      <c r="B3373">
        <v>27</v>
      </c>
      <c r="C3373" t="s">
        <v>26</v>
      </c>
      <c r="D3373" t="s">
        <v>31</v>
      </c>
      <c r="E3373" t="s">
        <v>32</v>
      </c>
      <c r="F3373" t="s">
        <v>21</v>
      </c>
      <c r="G3373" t="s">
        <v>41</v>
      </c>
      <c r="H3373" t="s">
        <v>20</v>
      </c>
      <c r="I3373" s="1">
        <v>1</v>
      </c>
      <c r="J3373" s="2">
        <v>45864</v>
      </c>
      <c r="K3373" s="2">
        <v>45839</v>
      </c>
      <c r="L3373" s="1" t="str">
        <f t="shared" si="388"/>
        <v>sáb</v>
      </c>
      <c r="M3373" s="1" t="str">
        <f t="shared" si="389"/>
        <v>jul</v>
      </c>
      <c r="N3373">
        <f t="shared" si="390"/>
        <v>2025</v>
      </c>
      <c r="O3373" s="2">
        <f>_xlfn.XLOOKUP(A3373,Colaboradores!$A:$A,Colaboradores!$S:$S,"",0)</f>
        <v>45877</v>
      </c>
      <c r="P3373" t="str">
        <f t="shared" si="387"/>
        <v>167745864</v>
      </c>
    </row>
    <row r="3374" spans="1:16" x14ac:dyDescent="0.3">
      <c r="A3374">
        <v>1677</v>
      </c>
      <c r="B3374">
        <v>27</v>
      </c>
      <c r="C3374" t="s">
        <v>26</v>
      </c>
      <c r="D3374" t="s">
        <v>31</v>
      </c>
      <c r="E3374" t="s">
        <v>32</v>
      </c>
      <c r="F3374" t="s">
        <v>21</v>
      </c>
      <c r="G3374" t="s">
        <v>41</v>
      </c>
      <c r="H3374" t="s">
        <v>20</v>
      </c>
      <c r="I3374" s="1">
        <v>1</v>
      </c>
      <c r="J3374" s="2">
        <v>45869</v>
      </c>
      <c r="K3374" s="2">
        <v>45839</v>
      </c>
      <c r="L3374" s="1" t="str">
        <f t="shared" si="388"/>
        <v>qui</v>
      </c>
      <c r="M3374" s="1" t="str">
        <f t="shared" si="389"/>
        <v>jul</v>
      </c>
      <c r="N3374">
        <f t="shared" si="390"/>
        <v>2025</v>
      </c>
      <c r="O3374" s="2">
        <f>_xlfn.XLOOKUP(A3374,Colaboradores!$A:$A,Colaboradores!$S:$S,"",0)</f>
        <v>45877</v>
      </c>
      <c r="P3374" t="str">
        <f t="shared" si="387"/>
        <v>167745869</v>
      </c>
    </row>
    <row r="3375" spans="1:16" x14ac:dyDescent="0.3">
      <c r="A3375">
        <v>1679</v>
      </c>
      <c r="B3375">
        <v>52</v>
      </c>
      <c r="C3375" t="s">
        <v>26</v>
      </c>
      <c r="D3375" t="s">
        <v>31</v>
      </c>
      <c r="E3375" t="s">
        <v>34</v>
      </c>
      <c r="F3375" t="s">
        <v>21</v>
      </c>
      <c r="G3375" t="s">
        <v>41</v>
      </c>
      <c r="H3375" t="s">
        <v>20</v>
      </c>
      <c r="I3375" s="1">
        <v>1</v>
      </c>
      <c r="J3375" s="2">
        <v>45823</v>
      </c>
      <c r="K3375" s="2">
        <v>45809</v>
      </c>
      <c r="L3375" s="1" t="str">
        <f t="shared" si="388"/>
        <v>dom</v>
      </c>
      <c r="M3375" s="1" t="str">
        <f t="shared" si="389"/>
        <v>jun</v>
      </c>
      <c r="N3375">
        <f t="shared" si="390"/>
        <v>2025</v>
      </c>
      <c r="O3375" s="2">
        <f>_xlfn.XLOOKUP(A3375,Colaboradores!$A:$A,Colaboradores!$S:$S,"",0)</f>
        <v>46090</v>
      </c>
      <c r="P3375" t="str">
        <f t="shared" si="387"/>
        <v>167945823</v>
      </c>
    </row>
    <row r="3376" spans="1:16" x14ac:dyDescent="0.3">
      <c r="A3376">
        <v>1679</v>
      </c>
      <c r="B3376">
        <v>52</v>
      </c>
      <c r="C3376" t="s">
        <v>26</v>
      </c>
      <c r="D3376" t="s">
        <v>31</v>
      </c>
      <c r="E3376" t="s">
        <v>34</v>
      </c>
      <c r="F3376" t="s">
        <v>21</v>
      </c>
      <c r="G3376" t="s">
        <v>41</v>
      </c>
      <c r="H3376" t="s">
        <v>20</v>
      </c>
      <c r="I3376" s="1">
        <v>1</v>
      </c>
      <c r="J3376" s="2">
        <v>45837</v>
      </c>
      <c r="K3376" s="2">
        <v>45809</v>
      </c>
      <c r="L3376" s="1" t="str">
        <f t="shared" si="388"/>
        <v>dom</v>
      </c>
      <c r="M3376" s="1" t="str">
        <f t="shared" si="389"/>
        <v>jun</v>
      </c>
      <c r="N3376">
        <f t="shared" si="390"/>
        <v>2025</v>
      </c>
      <c r="O3376" s="2">
        <f>_xlfn.XLOOKUP(A3376,Colaboradores!$A:$A,Colaboradores!$S:$S,"",0)</f>
        <v>46090</v>
      </c>
      <c r="P3376" t="str">
        <f t="shared" si="387"/>
        <v>167945837</v>
      </c>
    </row>
    <row r="3377" spans="1:16" x14ac:dyDescent="0.3">
      <c r="A3377">
        <v>1679</v>
      </c>
      <c r="B3377">
        <v>52</v>
      </c>
      <c r="C3377" t="s">
        <v>26</v>
      </c>
      <c r="D3377" t="s">
        <v>31</v>
      </c>
      <c r="E3377" t="s">
        <v>34</v>
      </c>
      <c r="F3377" t="s">
        <v>21</v>
      </c>
      <c r="G3377" t="s">
        <v>41</v>
      </c>
      <c r="H3377" t="s">
        <v>20</v>
      </c>
      <c r="I3377" s="1">
        <v>1</v>
      </c>
      <c r="J3377" s="2">
        <v>45936</v>
      </c>
      <c r="K3377" s="2">
        <v>45931</v>
      </c>
      <c r="L3377" s="1" t="str">
        <f t="shared" si="388"/>
        <v>seg</v>
      </c>
      <c r="M3377" s="1" t="str">
        <f t="shared" si="389"/>
        <v>out</v>
      </c>
      <c r="N3377">
        <f t="shared" si="390"/>
        <v>2025</v>
      </c>
      <c r="O3377" s="2">
        <f>_xlfn.XLOOKUP(A3377,Colaboradores!$A:$A,Colaboradores!$S:$S,"",0)</f>
        <v>46090</v>
      </c>
      <c r="P3377" t="str">
        <f t="shared" si="387"/>
        <v>167945936</v>
      </c>
    </row>
    <row r="3378" spans="1:16" x14ac:dyDescent="0.3">
      <c r="A3378">
        <v>1679</v>
      </c>
      <c r="B3378">
        <v>52</v>
      </c>
      <c r="C3378" t="s">
        <v>26</v>
      </c>
      <c r="D3378" t="s">
        <v>31</v>
      </c>
      <c r="E3378" t="s">
        <v>34</v>
      </c>
      <c r="F3378" t="s">
        <v>21</v>
      </c>
      <c r="G3378" t="s">
        <v>41</v>
      </c>
      <c r="H3378" t="s">
        <v>20</v>
      </c>
      <c r="I3378" s="1">
        <v>1</v>
      </c>
      <c r="J3378" s="2">
        <v>45979</v>
      </c>
      <c r="K3378" s="2">
        <v>45962</v>
      </c>
      <c r="L3378" s="1" t="str">
        <f t="shared" si="388"/>
        <v>ter</v>
      </c>
      <c r="M3378" s="1" t="str">
        <f t="shared" si="389"/>
        <v>nov</v>
      </c>
      <c r="N3378">
        <f t="shared" si="390"/>
        <v>2025</v>
      </c>
      <c r="O3378" s="2">
        <f>_xlfn.XLOOKUP(A3378,Colaboradores!$A:$A,Colaboradores!$S:$S,"",0)</f>
        <v>46090</v>
      </c>
      <c r="P3378" t="str">
        <f t="shared" si="387"/>
        <v>167945979</v>
      </c>
    </row>
    <row r="3379" spans="1:16" x14ac:dyDescent="0.3">
      <c r="A3379">
        <v>1679</v>
      </c>
      <c r="B3379">
        <v>52</v>
      </c>
      <c r="C3379" t="s">
        <v>26</v>
      </c>
      <c r="D3379" t="s">
        <v>31</v>
      </c>
      <c r="E3379" t="s">
        <v>34</v>
      </c>
      <c r="F3379" t="s">
        <v>21</v>
      </c>
      <c r="G3379" t="s">
        <v>41</v>
      </c>
      <c r="H3379" t="s">
        <v>20</v>
      </c>
      <c r="I3379" s="1">
        <v>1</v>
      </c>
      <c r="J3379" s="2">
        <v>45989</v>
      </c>
      <c r="K3379" s="2">
        <v>45962</v>
      </c>
      <c r="L3379" s="1" t="str">
        <f t="shared" si="388"/>
        <v>sex</v>
      </c>
      <c r="M3379" s="1" t="str">
        <f t="shared" si="389"/>
        <v>nov</v>
      </c>
      <c r="N3379">
        <f t="shared" si="390"/>
        <v>2025</v>
      </c>
      <c r="O3379" s="2">
        <f>_xlfn.XLOOKUP(A3379,Colaboradores!$A:$A,Colaboradores!$S:$S,"",0)</f>
        <v>46090</v>
      </c>
      <c r="P3379" t="str">
        <f t="shared" si="387"/>
        <v>167945989</v>
      </c>
    </row>
    <row r="3380" spans="1:16" x14ac:dyDescent="0.3">
      <c r="A3380">
        <v>1680</v>
      </c>
      <c r="B3380">
        <v>24</v>
      </c>
      <c r="C3380" t="s">
        <v>15</v>
      </c>
      <c r="D3380" t="s">
        <v>29</v>
      </c>
      <c r="E3380" t="s">
        <v>17</v>
      </c>
      <c r="F3380" t="s">
        <v>21</v>
      </c>
      <c r="G3380" t="s">
        <v>41</v>
      </c>
      <c r="H3380" t="s">
        <v>25</v>
      </c>
      <c r="I3380" s="1">
        <v>1</v>
      </c>
      <c r="J3380" s="2">
        <v>45858</v>
      </c>
      <c r="K3380" s="2">
        <v>45839</v>
      </c>
      <c r="L3380" s="1" t="str">
        <f t="shared" si="388"/>
        <v>dom</v>
      </c>
      <c r="M3380" s="1" t="str">
        <f t="shared" si="389"/>
        <v>jul</v>
      </c>
      <c r="N3380">
        <f t="shared" si="390"/>
        <v>2025</v>
      </c>
      <c r="O3380" s="2"/>
      <c r="P3380" t="str">
        <f t="shared" si="387"/>
        <v>168045858</v>
      </c>
    </row>
    <row r="3381" spans="1:16" x14ac:dyDescent="0.3">
      <c r="A3381">
        <v>1680</v>
      </c>
      <c r="B3381">
        <v>24</v>
      </c>
      <c r="C3381" t="s">
        <v>15</v>
      </c>
      <c r="D3381" t="s">
        <v>29</v>
      </c>
      <c r="E3381" t="s">
        <v>17</v>
      </c>
      <c r="F3381" t="s">
        <v>21</v>
      </c>
      <c r="G3381" t="s">
        <v>41</v>
      </c>
      <c r="H3381" t="s">
        <v>25</v>
      </c>
      <c r="I3381" s="1">
        <v>1</v>
      </c>
      <c r="J3381" s="2">
        <v>45961</v>
      </c>
      <c r="K3381" s="2">
        <v>45931</v>
      </c>
      <c r="L3381" s="1" t="str">
        <f t="shared" si="388"/>
        <v>sex</v>
      </c>
      <c r="M3381" s="1" t="str">
        <f t="shared" si="389"/>
        <v>out</v>
      </c>
      <c r="N3381">
        <f t="shared" si="390"/>
        <v>2025</v>
      </c>
      <c r="O3381" s="2"/>
      <c r="P3381" t="str">
        <f t="shared" si="387"/>
        <v>168045961</v>
      </c>
    </row>
    <row r="3382" spans="1:16" x14ac:dyDescent="0.3">
      <c r="A3382">
        <v>1680</v>
      </c>
      <c r="B3382">
        <v>24</v>
      </c>
      <c r="C3382" t="s">
        <v>15</v>
      </c>
      <c r="D3382" t="s">
        <v>29</v>
      </c>
      <c r="E3382" t="s">
        <v>17</v>
      </c>
      <c r="F3382" t="s">
        <v>21</v>
      </c>
      <c r="G3382" t="s">
        <v>41</v>
      </c>
      <c r="H3382" t="s">
        <v>25</v>
      </c>
      <c r="I3382" s="1">
        <v>1</v>
      </c>
      <c r="J3382" s="2">
        <v>45977</v>
      </c>
      <c r="K3382" s="2">
        <v>45962</v>
      </c>
      <c r="L3382" s="1" t="str">
        <f t="shared" ref="L3382:L3413" si="391">TEXT(J3382,"ddd")</f>
        <v>dom</v>
      </c>
      <c r="M3382" s="1" t="str">
        <f t="shared" ref="M3382:M3413" si="392">TEXT($J3382,"mmm")</f>
        <v>nov</v>
      </c>
      <c r="N3382">
        <f t="shared" ref="N3382:N3413" si="393">YEAR(J3382)</f>
        <v>2025</v>
      </c>
      <c r="O3382" s="2"/>
      <c r="P3382" t="str">
        <f t="shared" si="387"/>
        <v>168045977</v>
      </c>
    </row>
    <row r="3383" spans="1:16" x14ac:dyDescent="0.3">
      <c r="A3383">
        <v>1680</v>
      </c>
      <c r="B3383">
        <v>24</v>
      </c>
      <c r="C3383" t="s">
        <v>15</v>
      </c>
      <c r="D3383" t="s">
        <v>29</v>
      </c>
      <c r="E3383" t="s">
        <v>17</v>
      </c>
      <c r="F3383" t="s">
        <v>21</v>
      </c>
      <c r="G3383" t="s">
        <v>41</v>
      </c>
      <c r="H3383" t="s">
        <v>25</v>
      </c>
      <c r="I3383" s="1">
        <v>1</v>
      </c>
      <c r="J3383" s="2">
        <v>46178</v>
      </c>
      <c r="K3383" s="2">
        <v>46023</v>
      </c>
      <c r="L3383" s="1" t="str">
        <f t="shared" si="391"/>
        <v>sex</v>
      </c>
      <c r="M3383" s="1" t="str">
        <f t="shared" si="392"/>
        <v>jun</v>
      </c>
      <c r="N3383">
        <f t="shared" si="393"/>
        <v>2026</v>
      </c>
      <c r="O3383" s="2"/>
      <c r="P3383" t="str">
        <f t="shared" si="387"/>
        <v>168046178</v>
      </c>
    </row>
    <row r="3384" spans="1:16" x14ac:dyDescent="0.3">
      <c r="A3384">
        <v>1681</v>
      </c>
      <c r="B3384">
        <v>33</v>
      </c>
      <c r="C3384" t="s">
        <v>26</v>
      </c>
      <c r="D3384" t="s">
        <v>29</v>
      </c>
      <c r="E3384" t="s">
        <v>17</v>
      </c>
      <c r="F3384" t="s">
        <v>23</v>
      </c>
      <c r="G3384" t="s">
        <v>57</v>
      </c>
      <c r="H3384" t="s">
        <v>20</v>
      </c>
      <c r="I3384" s="1">
        <v>3</v>
      </c>
      <c r="J3384" s="2">
        <v>45759</v>
      </c>
      <c r="K3384" s="2">
        <v>45748</v>
      </c>
      <c r="L3384" s="1" t="str">
        <f t="shared" si="391"/>
        <v>sáb</v>
      </c>
      <c r="M3384" s="1" t="str">
        <f t="shared" si="392"/>
        <v>abr</v>
      </c>
      <c r="N3384">
        <f t="shared" si="393"/>
        <v>2025</v>
      </c>
      <c r="O3384" s="2">
        <f>_xlfn.XLOOKUP(A3384,Colaboradores!$A:$A,Colaboradores!$S:$S,"",0)</f>
        <v>45978</v>
      </c>
      <c r="P3384" t="str">
        <f t="shared" si="387"/>
        <v>168145759</v>
      </c>
    </row>
    <row r="3385" spans="1:16" x14ac:dyDescent="0.3">
      <c r="A3385">
        <v>1681</v>
      </c>
      <c r="B3385">
        <v>33</v>
      </c>
      <c r="C3385" t="s">
        <v>26</v>
      </c>
      <c r="D3385" t="s">
        <v>29</v>
      </c>
      <c r="E3385" t="s">
        <v>17</v>
      </c>
      <c r="F3385" t="s">
        <v>23</v>
      </c>
      <c r="G3385" t="s">
        <v>41</v>
      </c>
      <c r="H3385" t="s">
        <v>20</v>
      </c>
      <c r="I3385" s="1">
        <v>3</v>
      </c>
      <c r="J3385" s="2">
        <v>45913</v>
      </c>
      <c r="K3385" s="2">
        <v>45901</v>
      </c>
      <c r="L3385" s="1" t="str">
        <f t="shared" si="391"/>
        <v>sáb</v>
      </c>
      <c r="M3385" s="1" t="str">
        <f t="shared" si="392"/>
        <v>set</v>
      </c>
      <c r="N3385">
        <f t="shared" si="393"/>
        <v>2025</v>
      </c>
      <c r="O3385" s="2">
        <f>_xlfn.XLOOKUP(A3385,Colaboradores!$A:$A,Colaboradores!$S:$S,"",0)</f>
        <v>45978</v>
      </c>
      <c r="P3385" t="str">
        <f t="shared" si="387"/>
        <v>168145913</v>
      </c>
    </row>
    <row r="3386" spans="1:16" x14ac:dyDescent="0.3">
      <c r="A3386">
        <v>1681</v>
      </c>
      <c r="B3386">
        <v>33</v>
      </c>
      <c r="C3386" t="s">
        <v>26</v>
      </c>
      <c r="D3386" t="s">
        <v>29</v>
      </c>
      <c r="E3386" t="s">
        <v>17</v>
      </c>
      <c r="F3386" t="s">
        <v>23</v>
      </c>
      <c r="G3386" t="s">
        <v>41</v>
      </c>
      <c r="H3386" t="s">
        <v>20</v>
      </c>
      <c r="I3386" s="1">
        <v>3</v>
      </c>
      <c r="J3386" s="2">
        <v>45921</v>
      </c>
      <c r="K3386" s="2">
        <v>45901</v>
      </c>
      <c r="L3386" s="1" t="str">
        <f t="shared" si="391"/>
        <v>dom</v>
      </c>
      <c r="M3386" s="1" t="str">
        <f t="shared" si="392"/>
        <v>set</v>
      </c>
      <c r="N3386">
        <f t="shared" si="393"/>
        <v>2025</v>
      </c>
      <c r="O3386" s="2">
        <f>_xlfn.XLOOKUP(A3386,Colaboradores!$A:$A,Colaboradores!$S:$S,"",0)</f>
        <v>45978</v>
      </c>
      <c r="P3386" t="str">
        <f t="shared" si="387"/>
        <v>168145921</v>
      </c>
    </row>
    <row r="3387" spans="1:16" x14ac:dyDescent="0.3">
      <c r="A3387">
        <v>1681</v>
      </c>
      <c r="B3387">
        <v>33</v>
      </c>
      <c r="C3387" t="s">
        <v>26</v>
      </c>
      <c r="D3387" t="s">
        <v>29</v>
      </c>
      <c r="E3387" t="s">
        <v>17</v>
      </c>
      <c r="F3387" t="s">
        <v>23</v>
      </c>
      <c r="G3387" t="s">
        <v>41</v>
      </c>
      <c r="H3387" t="s">
        <v>20</v>
      </c>
      <c r="I3387" s="1">
        <v>3</v>
      </c>
      <c r="J3387" s="2">
        <v>45939</v>
      </c>
      <c r="K3387" s="2">
        <v>45931</v>
      </c>
      <c r="L3387" s="1" t="str">
        <f t="shared" si="391"/>
        <v>qui</v>
      </c>
      <c r="M3387" s="1" t="str">
        <f t="shared" si="392"/>
        <v>out</v>
      </c>
      <c r="N3387">
        <f t="shared" si="393"/>
        <v>2025</v>
      </c>
      <c r="O3387" s="2">
        <f>_xlfn.XLOOKUP(A3387,Colaboradores!$A:$A,Colaboradores!$S:$S,"",0)</f>
        <v>45978</v>
      </c>
      <c r="P3387" t="str">
        <f t="shared" si="387"/>
        <v>168145939</v>
      </c>
    </row>
    <row r="3388" spans="1:16" x14ac:dyDescent="0.3">
      <c r="A3388">
        <v>1681</v>
      </c>
      <c r="B3388">
        <v>33</v>
      </c>
      <c r="C3388" t="s">
        <v>26</v>
      </c>
      <c r="D3388" t="s">
        <v>29</v>
      </c>
      <c r="E3388" t="s">
        <v>17</v>
      </c>
      <c r="F3388" t="s">
        <v>23</v>
      </c>
      <c r="G3388" t="s">
        <v>41</v>
      </c>
      <c r="H3388" t="s">
        <v>20</v>
      </c>
      <c r="I3388" s="1">
        <v>3</v>
      </c>
      <c r="J3388" s="2">
        <v>45940</v>
      </c>
      <c r="K3388" s="2">
        <v>45931</v>
      </c>
      <c r="L3388" s="1" t="str">
        <f t="shared" si="391"/>
        <v>sex</v>
      </c>
      <c r="M3388" s="1" t="str">
        <f t="shared" si="392"/>
        <v>out</v>
      </c>
      <c r="N3388">
        <f t="shared" si="393"/>
        <v>2025</v>
      </c>
      <c r="O3388" s="2">
        <f>_xlfn.XLOOKUP(A3388,Colaboradores!$A:$A,Colaboradores!$S:$S,"",0)</f>
        <v>45978</v>
      </c>
      <c r="P3388" t="str">
        <f t="shared" si="387"/>
        <v>168145940</v>
      </c>
    </row>
    <row r="3389" spans="1:16" x14ac:dyDescent="0.3">
      <c r="A3389">
        <v>1681</v>
      </c>
      <c r="B3389">
        <v>33</v>
      </c>
      <c r="C3389" t="s">
        <v>26</v>
      </c>
      <c r="D3389" t="s">
        <v>29</v>
      </c>
      <c r="E3389" t="s">
        <v>17</v>
      </c>
      <c r="F3389" t="s">
        <v>23</v>
      </c>
      <c r="G3389" t="s">
        <v>41</v>
      </c>
      <c r="H3389" t="s">
        <v>20</v>
      </c>
      <c r="I3389" s="1">
        <v>3</v>
      </c>
      <c r="J3389" s="2">
        <v>45941</v>
      </c>
      <c r="K3389" s="2">
        <v>45931</v>
      </c>
      <c r="L3389" s="1" t="str">
        <f t="shared" si="391"/>
        <v>sáb</v>
      </c>
      <c r="M3389" s="1" t="str">
        <f t="shared" si="392"/>
        <v>out</v>
      </c>
      <c r="N3389">
        <f t="shared" si="393"/>
        <v>2025</v>
      </c>
      <c r="O3389" s="2">
        <f>_xlfn.XLOOKUP(A3389,Colaboradores!$A:$A,Colaboradores!$S:$S,"",0)</f>
        <v>45978</v>
      </c>
      <c r="P3389" t="str">
        <f t="shared" si="387"/>
        <v>168145941</v>
      </c>
    </row>
    <row r="3390" spans="1:16" x14ac:dyDescent="0.3">
      <c r="A3390">
        <v>1688</v>
      </c>
      <c r="B3390">
        <v>39</v>
      </c>
      <c r="C3390" t="s">
        <v>15</v>
      </c>
      <c r="D3390" t="s">
        <v>29</v>
      </c>
      <c r="E3390" t="s">
        <v>17</v>
      </c>
      <c r="F3390" t="s">
        <v>23</v>
      </c>
      <c r="G3390" t="s">
        <v>41</v>
      </c>
      <c r="H3390" t="s">
        <v>20</v>
      </c>
      <c r="I3390" s="1">
        <v>2</v>
      </c>
      <c r="J3390" s="2">
        <v>45968</v>
      </c>
      <c r="K3390" s="2">
        <v>45962</v>
      </c>
      <c r="L3390" s="1" t="str">
        <f t="shared" si="391"/>
        <v>sex</v>
      </c>
      <c r="M3390" s="1" t="str">
        <f t="shared" si="392"/>
        <v>nov</v>
      </c>
      <c r="N3390">
        <f t="shared" si="393"/>
        <v>2025</v>
      </c>
      <c r="O3390" s="2">
        <f>_xlfn.XLOOKUP(A3390,Colaboradores!$A:$A,Colaboradores!$S:$S,"",0)</f>
        <v>46111</v>
      </c>
      <c r="P3390" t="str">
        <f t="shared" ref="P3390:P3453" si="394">CONCATENATE(A3390,J3390)</f>
        <v>168845968</v>
      </c>
    </row>
    <row r="3391" spans="1:16" x14ac:dyDescent="0.3">
      <c r="A3391">
        <v>1688</v>
      </c>
      <c r="B3391">
        <v>39</v>
      </c>
      <c r="C3391" t="s">
        <v>15</v>
      </c>
      <c r="D3391" t="s">
        <v>29</v>
      </c>
      <c r="E3391" t="s">
        <v>17</v>
      </c>
      <c r="F3391" t="s">
        <v>23</v>
      </c>
      <c r="G3391" t="s">
        <v>41</v>
      </c>
      <c r="H3391" t="s">
        <v>20</v>
      </c>
      <c r="I3391" s="1">
        <v>2</v>
      </c>
      <c r="J3391" s="2">
        <v>46199</v>
      </c>
      <c r="K3391" s="2">
        <v>46023</v>
      </c>
      <c r="L3391" s="1" t="str">
        <f t="shared" si="391"/>
        <v>sex</v>
      </c>
      <c r="M3391" s="1" t="str">
        <f t="shared" si="392"/>
        <v>jun</v>
      </c>
      <c r="N3391">
        <f t="shared" si="393"/>
        <v>2026</v>
      </c>
      <c r="O3391" s="2">
        <f>_xlfn.XLOOKUP(A3391,Colaboradores!$A:$A,Colaboradores!$S:$S,"",0)</f>
        <v>46111</v>
      </c>
      <c r="P3391" t="str">
        <f t="shared" si="394"/>
        <v>168846199</v>
      </c>
    </row>
    <row r="3392" spans="1:16" x14ac:dyDescent="0.3">
      <c r="A3392">
        <v>1688</v>
      </c>
      <c r="B3392">
        <v>39</v>
      </c>
      <c r="C3392" t="s">
        <v>15</v>
      </c>
      <c r="D3392" t="s">
        <v>29</v>
      </c>
      <c r="E3392" t="s">
        <v>17</v>
      </c>
      <c r="F3392" t="s">
        <v>23</v>
      </c>
      <c r="G3392" t="s">
        <v>41</v>
      </c>
      <c r="H3392" t="s">
        <v>20</v>
      </c>
      <c r="I3392" s="1">
        <v>2</v>
      </c>
      <c r="J3392" s="2">
        <v>46059</v>
      </c>
      <c r="K3392" s="2">
        <v>46054</v>
      </c>
      <c r="L3392" s="1" t="str">
        <f t="shared" si="391"/>
        <v>sex</v>
      </c>
      <c r="M3392" s="1" t="str">
        <f t="shared" si="392"/>
        <v>fev</v>
      </c>
      <c r="N3392">
        <f t="shared" si="393"/>
        <v>2026</v>
      </c>
      <c r="O3392" s="2">
        <f>_xlfn.XLOOKUP(A3392,Colaboradores!$A:$A,Colaboradores!$S:$S,"",0)</f>
        <v>46111</v>
      </c>
      <c r="P3392" t="str">
        <f t="shared" si="394"/>
        <v>168846059</v>
      </c>
    </row>
    <row r="3393" spans="1:16" x14ac:dyDescent="0.3">
      <c r="A3393">
        <v>1688</v>
      </c>
      <c r="B3393">
        <v>39</v>
      </c>
      <c r="C3393" t="s">
        <v>15</v>
      </c>
      <c r="D3393" t="s">
        <v>29</v>
      </c>
      <c r="E3393" t="s">
        <v>17</v>
      </c>
      <c r="F3393" t="s">
        <v>23</v>
      </c>
      <c r="G3393" t="s">
        <v>41</v>
      </c>
      <c r="H3393" t="s">
        <v>20</v>
      </c>
      <c r="I3393" s="1">
        <v>2</v>
      </c>
      <c r="J3393" s="2">
        <v>46077</v>
      </c>
      <c r="K3393" s="2">
        <v>46054</v>
      </c>
      <c r="L3393" s="1" t="str">
        <f t="shared" si="391"/>
        <v>ter</v>
      </c>
      <c r="M3393" s="1" t="str">
        <f t="shared" si="392"/>
        <v>fev</v>
      </c>
      <c r="N3393">
        <f t="shared" si="393"/>
        <v>2026</v>
      </c>
      <c r="O3393" s="2">
        <f>_xlfn.XLOOKUP(A3393,Colaboradores!$A:$A,Colaboradores!$S:$S,"",0)</f>
        <v>46111</v>
      </c>
      <c r="P3393" t="str">
        <f t="shared" si="394"/>
        <v>168846077</v>
      </c>
    </row>
    <row r="3394" spans="1:16" x14ac:dyDescent="0.3">
      <c r="A3394">
        <v>1688</v>
      </c>
      <c r="B3394">
        <v>39</v>
      </c>
      <c r="C3394" t="s">
        <v>15</v>
      </c>
      <c r="D3394" t="s">
        <v>29</v>
      </c>
      <c r="E3394" t="s">
        <v>17</v>
      </c>
      <c r="F3394" t="s">
        <v>23</v>
      </c>
      <c r="G3394" t="s">
        <v>41</v>
      </c>
      <c r="H3394" t="s">
        <v>20</v>
      </c>
      <c r="I3394" s="1">
        <v>2</v>
      </c>
      <c r="J3394" s="2">
        <v>46096</v>
      </c>
      <c r="K3394" s="2">
        <v>46082</v>
      </c>
      <c r="L3394" s="1" t="str">
        <f t="shared" si="391"/>
        <v>dom</v>
      </c>
      <c r="M3394" s="1" t="str">
        <f t="shared" si="392"/>
        <v>mar</v>
      </c>
      <c r="N3394">
        <f t="shared" si="393"/>
        <v>2026</v>
      </c>
      <c r="O3394" s="2">
        <f>_xlfn.XLOOKUP(A3394,Colaboradores!$A:$A,Colaboradores!$S:$S,"",0)</f>
        <v>46111</v>
      </c>
      <c r="P3394" t="str">
        <f t="shared" si="394"/>
        <v>168846096</v>
      </c>
    </row>
    <row r="3395" spans="1:16" x14ac:dyDescent="0.3">
      <c r="A3395">
        <v>1688</v>
      </c>
      <c r="B3395">
        <v>39</v>
      </c>
      <c r="C3395" t="s">
        <v>15</v>
      </c>
      <c r="D3395" t="s">
        <v>29</v>
      </c>
      <c r="E3395" t="s">
        <v>17</v>
      </c>
      <c r="F3395" t="s">
        <v>23</v>
      </c>
      <c r="G3395" t="s">
        <v>41</v>
      </c>
      <c r="H3395" t="s">
        <v>20</v>
      </c>
      <c r="I3395" s="1">
        <v>2</v>
      </c>
      <c r="J3395" s="2">
        <v>46106</v>
      </c>
      <c r="K3395" s="2">
        <v>46082</v>
      </c>
      <c r="L3395" s="1" t="str">
        <f t="shared" si="391"/>
        <v>qua</v>
      </c>
      <c r="M3395" s="1" t="str">
        <f t="shared" si="392"/>
        <v>mar</v>
      </c>
      <c r="N3395">
        <f t="shared" si="393"/>
        <v>2026</v>
      </c>
      <c r="O3395" s="2">
        <f>_xlfn.XLOOKUP(A3395,Colaboradores!$A:$A,Colaboradores!$S:$S,"",0)</f>
        <v>46111</v>
      </c>
      <c r="P3395" t="str">
        <f t="shared" si="394"/>
        <v>168846106</v>
      </c>
    </row>
    <row r="3396" spans="1:16" x14ac:dyDescent="0.3">
      <c r="A3396">
        <v>1689</v>
      </c>
      <c r="B3396">
        <v>52</v>
      </c>
      <c r="C3396" t="s">
        <v>15</v>
      </c>
      <c r="D3396" t="s">
        <v>29</v>
      </c>
      <c r="E3396" t="s">
        <v>17</v>
      </c>
      <c r="F3396" t="s">
        <v>21</v>
      </c>
      <c r="G3396" t="s">
        <v>41</v>
      </c>
      <c r="H3396" t="s">
        <v>20</v>
      </c>
      <c r="I3396" s="1">
        <v>2</v>
      </c>
      <c r="J3396" s="2">
        <v>45818</v>
      </c>
      <c r="K3396" s="2">
        <v>45809</v>
      </c>
      <c r="L3396" s="1" t="str">
        <f t="shared" si="391"/>
        <v>ter</v>
      </c>
      <c r="M3396" s="1" t="str">
        <f t="shared" si="392"/>
        <v>jun</v>
      </c>
      <c r="N3396">
        <f t="shared" si="393"/>
        <v>2025</v>
      </c>
      <c r="O3396" s="2">
        <f>_xlfn.XLOOKUP(A3396,Colaboradores!$A:$A,Colaboradores!$S:$S,"",0)</f>
        <v>46038</v>
      </c>
      <c r="P3396" t="str">
        <f t="shared" si="394"/>
        <v>168945818</v>
      </c>
    </row>
    <row r="3397" spans="1:16" x14ac:dyDescent="0.3">
      <c r="A3397">
        <v>1689</v>
      </c>
      <c r="B3397">
        <v>52</v>
      </c>
      <c r="C3397" t="s">
        <v>15</v>
      </c>
      <c r="D3397" t="s">
        <v>29</v>
      </c>
      <c r="E3397" t="s">
        <v>17</v>
      </c>
      <c r="F3397" t="s">
        <v>21</v>
      </c>
      <c r="G3397" t="s">
        <v>41</v>
      </c>
      <c r="H3397" t="s">
        <v>20</v>
      </c>
      <c r="I3397" s="1">
        <v>2</v>
      </c>
      <c r="J3397" s="2">
        <v>45919</v>
      </c>
      <c r="K3397" s="2">
        <v>45901</v>
      </c>
      <c r="L3397" s="1" t="str">
        <f t="shared" si="391"/>
        <v>sex</v>
      </c>
      <c r="M3397" s="1" t="str">
        <f t="shared" si="392"/>
        <v>set</v>
      </c>
      <c r="N3397">
        <f t="shared" si="393"/>
        <v>2025</v>
      </c>
      <c r="O3397" s="2">
        <f>_xlfn.XLOOKUP(A3397,Colaboradores!$A:$A,Colaboradores!$S:$S,"",0)</f>
        <v>46038</v>
      </c>
      <c r="P3397" t="str">
        <f t="shared" si="394"/>
        <v>168945919</v>
      </c>
    </row>
    <row r="3398" spans="1:16" x14ac:dyDescent="0.3">
      <c r="A3398">
        <v>1689</v>
      </c>
      <c r="B3398">
        <v>52</v>
      </c>
      <c r="C3398" t="s">
        <v>15</v>
      </c>
      <c r="D3398" t="s">
        <v>29</v>
      </c>
      <c r="E3398" t="s">
        <v>17</v>
      </c>
      <c r="F3398" t="s">
        <v>21</v>
      </c>
      <c r="G3398" t="s">
        <v>41</v>
      </c>
      <c r="H3398" t="s">
        <v>20</v>
      </c>
      <c r="I3398" s="1">
        <v>2</v>
      </c>
      <c r="J3398" s="2">
        <v>45943</v>
      </c>
      <c r="K3398" s="2">
        <v>45931</v>
      </c>
      <c r="L3398" s="1" t="str">
        <f t="shared" si="391"/>
        <v>seg</v>
      </c>
      <c r="M3398" s="1" t="str">
        <f t="shared" si="392"/>
        <v>out</v>
      </c>
      <c r="N3398">
        <f t="shared" si="393"/>
        <v>2025</v>
      </c>
      <c r="O3398" s="2">
        <f>_xlfn.XLOOKUP(A3398,Colaboradores!$A:$A,Colaboradores!$S:$S,"",0)</f>
        <v>46038</v>
      </c>
      <c r="P3398" t="str">
        <f t="shared" si="394"/>
        <v>168945943</v>
      </c>
    </row>
    <row r="3399" spans="1:16" x14ac:dyDescent="0.3">
      <c r="A3399">
        <v>1689</v>
      </c>
      <c r="B3399">
        <v>52</v>
      </c>
      <c r="C3399" t="s">
        <v>15</v>
      </c>
      <c r="D3399" t="s">
        <v>29</v>
      </c>
      <c r="E3399" t="s">
        <v>17</v>
      </c>
      <c r="F3399" t="s">
        <v>21</v>
      </c>
      <c r="G3399" t="s">
        <v>41</v>
      </c>
      <c r="H3399" t="s">
        <v>20</v>
      </c>
      <c r="I3399" s="1">
        <v>2</v>
      </c>
      <c r="J3399" s="2">
        <v>45944</v>
      </c>
      <c r="K3399" s="2">
        <v>45931</v>
      </c>
      <c r="L3399" s="1" t="str">
        <f t="shared" si="391"/>
        <v>ter</v>
      </c>
      <c r="M3399" s="1" t="str">
        <f t="shared" si="392"/>
        <v>out</v>
      </c>
      <c r="N3399">
        <f t="shared" si="393"/>
        <v>2025</v>
      </c>
      <c r="O3399" s="2">
        <f>_xlfn.XLOOKUP(A3399,Colaboradores!$A:$A,Colaboradores!$S:$S,"",0)</f>
        <v>46038</v>
      </c>
      <c r="P3399" t="str">
        <f t="shared" si="394"/>
        <v>168945944</v>
      </c>
    </row>
    <row r="3400" spans="1:16" x14ac:dyDescent="0.3">
      <c r="A3400">
        <v>1689</v>
      </c>
      <c r="B3400">
        <v>52</v>
      </c>
      <c r="C3400" t="s">
        <v>15</v>
      </c>
      <c r="D3400" t="s">
        <v>29</v>
      </c>
      <c r="E3400" t="s">
        <v>17</v>
      </c>
      <c r="F3400" t="s">
        <v>21</v>
      </c>
      <c r="G3400" t="s">
        <v>41</v>
      </c>
      <c r="H3400" t="s">
        <v>20</v>
      </c>
      <c r="I3400" s="1">
        <v>2</v>
      </c>
      <c r="J3400" s="2">
        <v>45945</v>
      </c>
      <c r="K3400" s="2">
        <v>45931</v>
      </c>
      <c r="L3400" s="1" t="str">
        <f t="shared" si="391"/>
        <v>qua</v>
      </c>
      <c r="M3400" s="1" t="str">
        <f t="shared" si="392"/>
        <v>out</v>
      </c>
      <c r="N3400">
        <f t="shared" si="393"/>
        <v>2025</v>
      </c>
      <c r="O3400" s="2">
        <f>_xlfn.XLOOKUP(A3400,Colaboradores!$A:$A,Colaboradores!$S:$S,"",0)</f>
        <v>46038</v>
      </c>
      <c r="P3400" t="str">
        <f t="shared" si="394"/>
        <v>168945945</v>
      </c>
    </row>
    <row r="3401" spans="1:16" x14ac:dyDescent="0.3">
      <c r="A3401">
        <v>1689</v>
      </c>
      <c r="B3401">
        <v>52</v>
      </c>
      <c r="C3401" t="s">
        <v>15</v>
      </c>
      <c r="D3401" t="s">
        <v>29</v>
      </c>
      <c r="E3401" t="s">
        <v>17</v>
      </c>
      <c r="F3401" t="s">
        <v>21</v>
      </c>
      <c r="G3401" t="s">
        <v>41</v>
      </c>
      <c r="H3401" t="s">
        <v>20</v>
      </c>
      <c r="I3401" s="1">
        <v>2</v>
      </c>
      <c r="J3401" s="2">
        <v>46178</v>
      </c>
      <c r="K3401" s="2">
        <v>46023</v>
      </c>
      <c r="L3401" s="1" t="str">
        <f t="shared" si="391"/>
        <v>sex</v>
      </c>
      <c r="M3401" s="1" t="str">
        <f t="shared" si="392"/>
        <v>jun</v>
      </c>
      <c r="N3401">
        <f t="shared" si="393"/>
        <v>2026</v>
      </c>
      <c r="O3401" s="2">
        <f>_xlfn.XLOOKUP(A3401,Colaboradores!$A:$A,Colaboradores!$S:$S,"",0)</f>
        <v>46038</v>
      </c>
      <c r="P3401" t="str">
        <f t="shared" si="394"/>
        <v>168946178</v>
      </c>
    </row>
    <row r="3402" spans="1:16" x14ac:dyDescent="0.3">
      <c r="A3402">
        <v>1691</v>
      </c>
      <c r="B3402">
        <v>49</v>
      </c>
      <c r="C3402" t="s">
        <v>15</v>
      </c>
      <c r="D3402" t="s">
        <v>16</v>
      </c>
      <c r="E3402" t="s">
        <v>17</v>
      </c>
      <c r="F3402" t="s">
        <v>21</v>
      </c>
      <c r="G3402" t="s">
        <v>41</v>
      </c>
      <c r="H3402" t="s">
        <v>25</v>
      </c>
      <c r="I3402" s="1">
        <v>2</v>
      </c>
      <c r="J3402" s="2">
        <v>45876</v>
      </c>
      <c r="K3402" s="2">
        <v>45870</v>
      </c>
      <c r="L3402" s="1" t="str">
        <f t="shared" si="391"/>
        <v>qui</v>
      </c>
      <c r="M3402" s="1" t="str">
        <f t="shared" si="392"/>
        <v>ago</v>
      </c>
      <c r="N3402">
        <f t="shared" si="393"/>
        <v>2025</v>
      </c>
      <c r="O3402" s="2"/>
      <c r="P3402" t="str">
        <f t="shared" si="394"/>
        <v>169145876</v>
      </c>
    </row>
    <row r="3403" spans="1:16" x14ac:dyDescent="0.3">
      <c r="A3403">
        <v>1691</v>
      </c>
      <c r="B3403">
        <v>49</v>
      </c>
      <c r="C3403" t="s">
        <v>15</v>
      </c>
      <c r="D3403" t="s">
        <v>16</v>
      </c>
      <c r="E3403" t="s">
        <v>17</v>
      </c>
      <c r="F3403" t="s">
        <v>21</v>
      </c>
      <c r="G3403" t="s">
        <v>41</v>
      </c>
      <c r="H3403" t="s">
        <v>25</v>
      </c>
      <c r="I3403" s="1">
        <v>2</v>
      </c>
      <c r="J3403" s="2">
        <v>45904</v>
      </c>
      <c r="K3403" s="2">
        <v>45901</v>
      </c>
      <c r="L3403" s="1" t="str">
        <f t="shared" si="391"/>
        <v>qui</v>
      </c>
      <c r="M3403" s="1" t="str">
        <f t="shared" si="392"/>
        <v>set</v>
      </c>
      <c r="N3403">
        <f t="shared" si="393"/>
        <v>2025</v>
      </c>
      <c r="O3403" s="2"/>
      <c r="P3403" t="str">
        <f t="shared" si="394"/>
        <v>169145904</v>
      </c>
    </row>
    <row r="3404" spans="1:16" x14ac:dyDescent="0.3">
      <c r="A3404">
        <v>1691</v>
      </c>
      <c r="B3404">
        <v>49</v>
      </c>
      <c r="C3404" t="s">
        <v>15</v>
      </c>
      <c r="D3404" t="s">
        <v>16</v>
      </c>
      <c r="E3404" t="s">
        <v>17</v>
      </c>
      <c r="F3404" t="s">
        <v>21</v>
      </c>
      <c r="G3404" t="s">
        <v>41</v>
      </c>
      <c r="H3404" t="s">
        <v>25</v>
      </c>
      <c r="I3404" s="1">
        <v>2</v>
      </c>
      <c r="J3404" s="2">
        <v>45954</v>
      </c>
      <c r="K3404" s="2">
        <v>45931</v>
      </c>
      <c r="L3404" s="1" t="str">
        <f t="shared" si="391"/>
        <v>sex</v>
      </c>
      <c r="M3404" s="1" t="str">
        <f t="shared" si="392"/>
        <v>out</v>
      </c>
      <c r="N3404">
        <f t="shared" si="393"/>
        <v>2025</v>
      </c>
      <c r="O3404" s="2"/>
      <c r="P3404" t="str">
        <f t="shared" si="394"/>
        <v>169145954</v>
      </c>
    </row>
    <row r="3405" spans="1:16" x14ac:dyDescent="0.3">
      <c r="A3405">
        <v>1691</v>
      </c>
      <c r="B3405">
        <v>49</v>
      </c>
      <c r="C3405" t="s">
        <v>15</v>
      </c>
      <c r="D3405" t="s">
        <v>16</v>
      </c>
      <c r="E3405" t="s">
        <v>17</v>
      </c>
      <c r="F3405" t="s">
        <v>21</v>
      </c>
      <c r="G3405" t="s">
        <v>41</v>
      </c>
      <c r="H3405" t="s">
        <v>25</v>
      </c>
      <c r="I3405" s="1">
        <v>2</v>
      </c>
      <c r="J3405" s="2">
        <v>45969</v>
      </c>
      <c r="K3405" s="2">
        <v>45962</v>
      </c>
      <c r="L3405" s="1" t="str">
        <f t="shared" si="391"/>
        <v>sáb</v>
      </c>
      <c r="M3405" s="1" t="str">
        <f t="shared" si="392"/>
        <v>nov</v>
      </c>
      <c r="N3405">
        <f t="shared" si="393"/>
        <v>2025</v>
      </c>
      <c r="O3405" s="2"/>
      <c r="P3405" t="str">
        <f t="shared" si="394"/>
        <v>169145969</v>
      </c>
    </row>
    <row r="3406" spans="1:16" x14ac:dyDescent="0.3">
      <c r="A3406">
        <v>1691</v>
      </c>
      <c r="B3406">
        <v>49</v>
      </c>
      <c r="C3406" t="s">
        <v>15</v>
      </c>
      <c r="D3406" t="s">
        <v>16</v>
      </c>
      <c r="E3406" t="s">
        <v>17</v>
      </c>
      <c r="F3406" t="s">
        <v>21</v>
      </c>
      <c r="G3406" t="s">
        <v>41</v>
      </c>
      <c r="H3406" t="s">
        <v>25</v>
      </c>
      <c r="I3406" s="1">
        <v>2</v>
      </c>
      <c r="J3406" s="2">
        <v>45988</v>
      </c>
      <c r="K3406" s="2">
        <v>45962</v>
      </c>
      <c r="L3406" s="1" t="str">
        <f t="shared" si="391"/>
        <v>qui</v>
      </c>
      <c r="M3406" s="1" t="str">
        <f t="shared" si="392"/>
        <v>nov</v>
      </c>
      <c r="N3406">
        <f t="shared" si="393"/>
        <v>2025</v>
      </c>
      <c r="O3406" s="2"/>
      <c r="P3406" t="str">
        <f t="shared" si="394"/>
        <v>169145988</v>
      </c>
    </row>
    <row r="3407" spans="1:16" x14ac:dyDescent="0.3">
      <c r="A3407">
        <v>1692</v>
      </c>
      <c r="B3407">
        <v>24</v>
      </c>
      <c r="C3407" t="s">
        <v>26</v>
      </c>
      <c r="D3407" t="s">
        <v>27</v>
      </c>
      <c r="E3407" t="s">
        <v>17</v>
      </c>
      <c r="F3407" t="s">
        <v>18</v>
      </c>
      <c r="G3407" t="s">
        <v>41</v>
      </c>
      <c r="H3407" t="s">
        <v>25</v>
      </c>
      <c r="I3407" s="1">
        <v>3</v>
      </c>
      <c r="J3407" s="2">
        <v>45883</v>
      </c>
      <c r="K3407" s="2">
        <v>45870</v>
      </c>
      <c r="L3407" s="1" t="str">
        <f t="shared" si="391"/>
        <v>qui</v>
      </c>
      <c r="M3407" s="1" t="str">
        <f t="shared" si="392"/>
        <v>ago</v>
      </c>
      <c r="N3407">
        <f t="shared" si="393"/>
        <v>2025</v>
      </c>
      <c r="O3407" s="2"/>
      <c r="P3407" t="str">
        <f t="shared" si="394"/>
        <v>169245883</v>
      </c>
    </row>
    <row r="3408" spans="1:16" x14ac:dyDescent="0.3">
      <c r="A3408">
        <v>1692</v>
      </c>
      <c r="B3408">
        <v>24</v>
      </c>
      <c r="C3408" t="s">
        <v>26</v>
      </c>
      <c r="D3408" t="s">
        <v>27</v>
      </c>
      <c r="E3408" t="s">
        <v>17</v>
      </c>
      <c r="F3408" t="s">
        <v>18</v>
      </c>
      <c r="G3408" t="s">
        <v>41</v>
      </c>
      <c r="H3408" t="s">
        <v>25</v>
      </c>
      <c r="I3408" s="1">
        <v>3</v>
      </c>
      <c r="J3408" s="2">
        <v>45892</v>
      </c>
      <c r="K3408" s="2">
        <v>45870</v>
      </c>
      <c r="L3408" s="1" t="str">
        <f t="shared" si="391"/>
        <v>sáb</v>
      </c>
      <c r="M3408" s="1" t="str">
        <f t="shared" si="392"/>
        <v>ago</v>
      </c>
      <c r="N3408">
        <f t="shared" si="393"/>
        <v>2025</v>
      </c>
      <c r="O3408" s="2"/>
      <c r="P3408" t="str">
        <f t="shared" si="394"/>
        <v>169245892</v>
      </c>
    </row>
    <row r="3409" spans="1:16" x14ac:dyDescent="0.3">
      <c r="A3409">
        <v>1692</v>
      </c>
      <c r="B3409">
        <v>24</v>
      </c>
      <c r="C3409" t="s">
        <v>26</v>
      </c>
      <c r="D3409" t="s">
        <v>27</v>
      </c>
      <c r="E3409" t="s">
        <v>17</v>
      </c>
      <c r="F3409" t="s">
        <v>18</v>
      </c>
      <c r="G3409" t="s">
        <v>41</v>
      </c>
      <c r="H3409" t="s">
        <v>25</v>
      </c>
      <c r="I3409" s="1">
        <v>3</v>
      </c>
      <c r="J3409" s="2">
        <v>45940</v>
      </c>
      <c r="K3409" s="2">
        <v>45931</v>
      </c>
      <c r="L3409" s="1" t="str">
        <f t="shared" si="391"/>
        <v>sex</v>
      </c>
      <c r="M3409" s="1" t="str">
        <f t="shared" si="392"/>
        <v>out</v>
      </c>
      <c r="N3409">
        <f t="shared" si="393"/>
        <v>2025</v>
      </c>
      <c r="O3409" s="2"/>
      <c r="P3409" t="str">
        <f t="shared" si="394"/>
        <v>169245940</v>
      </c>
    </row>
    <row r="3410" spans="1:16" x14ac:dyDescent="0.3">
      <c r="A3410">
        <v>1692</v>
      </c>
      <c r="B3410">
        <v>24</v>
      </c>
      <c r="C3410" t="s">
        <v>26</v>
      </c>
      <c r="D3410" t="s">
        <v>27</v>
      </c>
      <c r="E3410" t="s">
        <v>17</v>
      </c>
      <c r="F3410" t="s">
        <v>18</v>
      </c>
      <c r="G3410" t="s">
        <v>41</v>
      </c>
      <c r="H3410" t="s">
        <v>25</v>
      </c>
      <c r="I3410" s="1">
        <v>3</v>
      </c>
      <c r="J3410" s="2">
        <v>45996</v>
      </c>
      <c r="K3410" s="2">
        <v>45992</v>
      </c>
      <c r="L3410" s="1" t="str">
        <f t="shared" si="391"/>
        <v>sex</v>
      </c>
      <c r="M3410" s="1" t="str">
        <f t="shared" si="392"/>
        <v>dez</v>
      </c>
      <c r="N3410">
        <f t="shared" si="393"/>
        <v>2025</v>
      </c>
      <c r="O3410" s="2"/>
      <c r="P3410" t="str">
        <f t="shared" si="394"/>
        <v>169245996</v>
      </c>
    </row>
    <row r="3411" spans="1:16" x14ac:dyDescent="0.3">
      <c r="A3411">
        <v>1692</v>
      </c>
      <c r="B3411">
        <v>24</v>
      </c>
      <c r="C3411" t="s">
        <v>26</v>
      </c>
      <c r="D3411" t="s">
        <v>27</v>
      </c>
      <c r="E3411" t="s">
        <v>17</v>
      </c>
      <c r="F3411" t="s">
        <v>18</v>
      </c>
      <c r="G3411" t="s">
        <v>41</v>
      </c>
      <c r="H3411" t="s">
        <v>25</v>
      </c>
      <c r="I3411" s="1">
        <v>3</v>
      </c>
      <c r="J3411" s="2">
        <v>46001</v>
      </c>
      <c r="K3411" s="2">
        <v>45992</v>
      </c>
      <c r="L3411" s="1" t="str">
        <f t="shared" si="391"/>
        <v>qua</v>
      </c>
      <c r="M3411" s="1" t="str">
        <f t="shared" si="392"/>
        <v>dez</v>
      </c>
      <c r="N3411">
        <f t="shared" si="393"/>
        <v>2025</v>
      </c>
      <c r="O3411" s="2"/>
      <c r="P3411" t="str">
        <f t="shared" si="394"/>
        <v>169246001</v>
      </c>
    </row>
    <row r="3412" spans="1:16" x14ac:dyDescent="0.3">
      <c r="A3412">
        <v>1693</v>
      </c>
      <c r="B3412">
        <v>41</v>
      </c>
      <c r="C3412" t="s">
        <v>26</v>
      </c>
      <c r="D3412" t="s">
        <v>16</v>
      </c>
      <c r="E3412" t="s">
        <v>17</v>
      </c>
      <c r="F3412" t="s">
        <v>18</v>
      </c>
      <c r="G3412" t="s">
        <v>41</v>
      </c>
      <c r="H3412" t="s">
        <v>25</v>
      </c>
      <c r="I3412" s="1">
        <v>2</v>
      </c>
      <c r="J3412" s="2">
        <v>45974</v>
      </c>
      <c r="K3412" s="2">
        <v>45962</v>
      </c>
      <c r="L3412" s="1" t="str">
        <f t="shared" si="391"/>
        <v>qui</v>
      </c>
      <c r="M3412" s="1" t="str">
        <f t="shared" si="392"/>
        <v>nov</v>
      </c>
      <c r="N3412">
        <f t="shared" si="393"/>
        <v>2025</v>
      </c>
      <c r="O3412" s="2"/>
      <c r="P3412" t="str">
        <f t="shared" si="394"/>
        <v>169345974</v>
      </c>
    </row>
    <row r="3413" spans="1:16" x14ac:dyDescent="0.3">
      <c r="A3413">
        <v>1693</v>
      </c>
      <c r="B3413">
        <v>41</v>
      </c>
      <c r="C3413" t="s">
        <v>26</v>
      </c>
      <c r="D3413" t="s">
        <v>16</v>
      </c>
      <c r="E3413" t="s">
        <v>17</v>
      </c>
      <c r="F3413" t="s">
        <v>18</v>
      </c>
      <c r="G3413" t="s">
        <v>41</v>
      </c>
      <c r="H3413" t="s">
        <v>25</v>
      </c>
      <c r="I3413" s="1">
        <v>2</v>
      </c>
      <c r="J3413" s="2">
        <v>45978</v>
      </c>
      <c r="K3413" s="2">
        <v>45962</v>
      </c>
      <c r="L3413" s="1" t="str">
        <f t="shared" si="391"/>
        <v>seg</v>
      </c>
      <c r="M3413" s="1" t="str">
        <f t="shared" si="392"/>
        <v>nov</v>
      </c>
      <c r="N3413">
        <f t="shared" si="393"/>
        <v>2025</v>
      </c>
      <c r="O3413" s="2"/>
      <c r="P3413" t="str">
        <f t="shared" si="394"/>
        <v>169345978</v>
      </c>
    </row>
    <row r="3414" spans="1:16" x14ac:dyDescent="0.3">
      <c r="A3414">
        <v>1693</v>
      </c>
      <c r="B3414">
        <v>41</v>
      </c>
      <c r="C3414" t="s">
        <v>26</v>
      </c>
      <c r="D3414" t="s">
        <v>16</v>
      </c>
      <c r="E3414" t="s">
        <v>17</v>
      </c>
      <c r="F3414" t="s">
        <v>18</v>
      </c>
      <c r="G3414" t="s">
        <v>41</v>
      </c>
      <c r="H3414" t="s">
        <v>25</v>
      </c>
      <c r="I3414" s="1">
        <v>2</v>
      </c>
      <c r="J3414" s="2">
        <v>46007</v>
      </c>
      <c r="K3414" s="2">
        <v>45992</v>
      </c>
      <c r="L3414" s="1" t="str">
        <f t="shared" ref="L3414:L3439" si="395">TEXT(J3414,"ddd")</f>
        <v>ter</v>
      </c>
      <c r="M3414" s="1" t="str">
        <f t="shared" ref="M3414:M3439" si="396">TEXT($J3414,"mmm")</f>
        <v>dez</v>
      </c>
      <c r="N3414">
        <f t="shared" ref="N3414:N3439" si="397">YEAR(J3414)</f>
        <v>2025</v>
      </c>
      <c r="O3414" s="2"/>
      <c r="P3414" t="str">
        <f t="shared" si="394"/>
        <v>169346007</v>
      </c>
    </row>
    <row r="3415" spans="1:16" x14ac:dyDescent="0.3">
      <c r="A3415">
        <v>1693</v>
      </c>
      <c r="B3415">
        <v>41</v>
      </c>
      <c r="C3415" t="s">
        <v>26</v>
      </c>
      <c r="D3415" t="s">
        <v>16</v>
      </c>
      <c r="E3415" t="s">
        <v>17</v>
      </c>
      <c r="F3415" t="s">
        <v>18</v>
      </c>
      <c r="G3415" t="s">
        <v>41</v>
      </c>
      <c r="H3415" t="s">
        <v>25</v>
      </c>
      <c r="I3415" s="1">
        <v>2</v>
      </c>
      <c r="J3415" s="2">
        <v>46185</v>
      </c>
      <c r="K3415" s="2">
        <v>46023</v>
      </c>
      <c r="L3415" s="1" t="str">
        <f t="shared" si="395"/>
        <v>sex</v>
      </c>
      <c r="M3415" s="1" t="str">
        <f t="shared" si="396"/>
        <v>jun</v>
      </c>
      <c r="N3415">
        <f t="shared" si="397"/>
        <v>2026</v>
      </c>
      <c r="O3415" s="2"/>
      <c r="P3415" t="str">
        <f t="shared" si="394"/>
        <v>169346185</v>
      </c>
    </row>
    <row r="3416" spans="1:16" x14ac:dyDescent="0.3">
      <c r="A3416">
        <v>1693</v>
      </c>
      <c r="B3416">
        <v>41</v>
      </c>
      <c r="C3416" t="s">
        <v>26</v>
      </c>
      <c r="D3416" t="s">
        <v>16</v>
      </c>
      <c r="E3416" t="s">
        <v>17</v>
      </c>
      <c r="F3416" t="s">
        <v>18</v>
      </c>
      <c r="G3416" t="s">
        <v>41</v>
      </c>
      <c r="H3416" t="s">
        <v>25</v>
      </c>
      <c r="I3416" s="1">
        <v>2</v>
      </c>
      <c r="J3416" s="2">
        <v>46073</v>
      </c>
      <c r="K3416" s="2">
        <v>46054</v>
      </c>
      <c r="L3416" s="1" t="str">
        <f t="shared" si="395"/>
        <v>sex</v>
      </c>
      <c r="M3416" s="1" t="str">
        <f t="shared" si="396"/>
        <v>fev</v>
      </c>
      <c r="N3416">
        <f t="shared" si="397"/>
        <v>2026</v>
      </c>
      <c r="O3416" s="2"/>
      <c r="P3416" t="str">
        <f t="shared" si="394"/>
        <v>169346073</v>
      </c>
    </row>
    <row r="3417" spans="1:16" x14ac:dyDescent="0.3">
      <c r="A3417">
        <v>1693</v>
      </c>
      <c r="B3417">
        <v>41</v>
      </c>
      <c r="C3417" t="s">
        <v>26</v>
      </c>
      <c r="D3417" t="s">
        <v>16</v>
      </c>
      <c r="E3417" t="s">
        <v>17</v>
      </c>
      <c r="F3417" t="s">
        <v>18</v>
      </c>
      <c r="G3417" t="s">
        <v>41</v>
      </c>
      <c r="H3417" t="s">
        <v>25</v>
      </c>
      <c r="I3417" s="1">
        <v>2</v>
      </c>
      <c r="J3417" s="2">
        <v>46074</v>
      </c>
      <c r="K3417" s="2">
        <v>46054</v>
      </c>
      <c r="L3417" s="1" t="str">
        <f t="shared" si="395"/>
        <v>sáb</v>
      </c>
      <c r="M3417" s="1" t="str">
        <f t="shared" si="396"/>
        <v>fev</v>
      </c>
      <c r="N3417">
        <f t="shared" si="397"/>
        <v>2026</v>
      </c>
      <c r="O3417" s="2"/>
      <c r="P3417" t="str">
        <f t="shared" si="394"/>
        <v>169346074</v>
      </c>
    </row>
    <row r="3418" spans="1:16" x14ac:dyDescent="0.3">
      <c r="A3418">
        <v>1694</v>
      </c>
      <c r="B3418">
        <v>26</v>
      </c>
      <c r="C3418" t="s">
        <v>15</v>
      </c>
      <c r="D3418" t="s">
        <v>16</v>
      </c>
      <c r="E3418" t="s">
        <v>17</v>
      </c>
      <c r="F3418" t="s">
        <v>21</v>
      </c>
      <c r="G3418" t="s">
        <v>41</v>
      </c>
      <c r="H3418" t="s">
        <v>25</v>
      </c>
      <c r="I3418" s="1">
        <v>2</v>
      </c>
      <c r="J3418" s="2">
        <v>45815</v>
      </c>
      <c r="K3418" s="2">
        <v>45809</v>
      </c>
      <c r="L3418" s="1" t="str">
        <f t="shared" si="395"/>
        <v>sáb</v>
      </c>
      <c r="M3418" s="1" t="str">
        <f t="shared" si="396"/>
        <v>jun</v>
      </c>
      <c r="N3418">
        <f t="shared" si="397"/>
        <v>2025</v>
      </c>
      <c r="O3418" s="2"/>
      <c r="P3418" t="str">
        <f t="shared" si="394"/>
        <v>169445815</v>
      </c>
    </row>
    <row r="3419" spans="1:16" x14ac:dyDescent="0.3">
      <c r="A3419">
        <v>1694</v>
      </c>
      <c r="B3419">
        <v>26</v>
      </c>
      <c r="C3419" t="s">
        <v>15</v>
      </c>
      <c r="D3419" t="s">
        <v>16</v>
      </c>
      <c r="E3419" t="s">
        <v>17</v>
      </c>
      <c r="F3419" t="s">
        <v>21</v>
      </c>
      <c r="G3419" t="s">
        <v>41</v>
      </c>
      <c r="H3419" t="s">
        <v>25</v>
      </c>
      <c r="I3419" s="1">
        <v>2</v>
      </c>
      <c r="J3419" s="2">
        <v>45916</v>
      </c>
      <c r="K3419" s="2">
        <v>45901</v>
      </c>
      <c r="L3419" s="1" t="str">
        <f t="shared" si="395"/>
        <v>ter</v>
      </c>
      <c r="M3419" s="1" t="str">
        <f t="shared" si="396"/>
        <v>set</v>
      </c>
      <c r="N3419">
        <f t="shared" si="397"/>
        <v>2025</v>
      </c>
      <c r="O3419" s="2"/>
      <c r="P3419" t="str">
        <f t="shared" si="394"/>
        <v>169445916</v>
      </c>
    </row>
    <row r="3420" spans="1:16" x14ac:dyDescent="0.3">
      <c r="A3420">
        <v>1694</v>
      </c>
      <c r="B3420">
        <v>26</v>
      </c>
      <c r="C3420" t="s">
        <v>15</v>
      </c>
      <c r="D3420" t="s">
        <v>16</v>
      </c>
      <c r="E3420" t="s">
        <v>17</v>
      </c>
      <c r="F3420" t="s">
        <v>21</v>
      </c>
      <c r="G3420" t="s">
        <v>41</v>
      </c>
      <c r="H3420" t="s">
        <v>25</v>
      </c>
      <c r="I3420" s="1">
        <v>2</v>
      </c>
      <c r="J3420" s="2">
        <v>45921</v>
      </c>
      <c r="K3420" s="2">
        <v>45901</v>
      </c>
      <c r="L3420" s="1" t="str">
        <f t="shared" si="395"/>
        <v>dom</v>
      </c>
      <c r="M3420" s="1" t="str">
        <f t="shared" si="396"/>
        <v>set</v>
      </c>
      <c r="N3420">
        <f t="shared" si="397"/>
        <v>2025</v>
      </c>
      <c r="O3420" s="2"/>
      <c r="P3420" t="str">
        <f t="shared" si="394"/>
        <v>169445921</v>
      </c>
    </row>
    <row r="3421" spans="1:16" x14ac:dyDescent="0.3">
      <c r="A3421">
        <v>1694</v>
      </c>
      <c r="B3421">
        <v>26</v>
      </c>
      <c r="C3421" t="s">
        <v>15</v>
      </c>
      <c r="D3421" t="s">
        <v>16</v>
      </c>
      <c r="E3421" t="s">
        <v>17</v>
      </c>
      <c r="F3421" t="s">
        <v>21</v>
      </c>
      <c r="G3421" t="s">
        <v>41</v>
      </c>
      <c r="H3421" t="s">
        <v>25</v>
      </c>
      <c r="I3421" s="1">
        <v>2</v>
      </c>
      <c r="J3421" s="2">
        <v>46004</v>
      </c>
      <c r="K3421" s="2">
        <v>45992</v>
      </c>
      <c r="L3421" s="1" t="str">
        <f t="shared" si="395"/>
        <v>sáb</v>
      </c>
      <c r="M3421" s="1" t="str">
        <f t="shared" si="396"/>
        <v>dez</v>
      </c>
      <c r="N3421">
        <f t="shared" si="397"/>
        <v>2025</v>
      </c>
      <c r="O3421" s="2"/>
      <c r="P3421" t="str">
        <f t="shared" si="394"/>
        <v>169446004</v>
      </c>
    </row>
    <row r="3422" spans="1:16" x14ac:dyDescent="0.3">
      <c r="A3422">
        <v>1694</v>
      </c>
      <c r="B3422">
        <v>26</v>
      </c>
      <c r="C3422" t="s">
        <v>15</v>
      </c>
      <c r="D3422" t="s">
        <v>16</v>
      </c>
      <c r="E3422" t="s">
        <v>17</v>
      </c>
      <c r="F3422" t="s">
        <v>21</v>
      </c>
      <c r="G3422" t="s">
        <v>41</v>
      </c>
      <c r="H3422" t="s">
        <v>25</v>
      </c>
      <c r="I3422" s="1">
        <v>2</v>
      </c>
      <c r="J3422" s="2">
        <v>46183</v>
      </c>
      <c r="K3422" s="2">
        <v>46023</v>
      </c>
      <c r="L3422" s="1" t="str">
        <f t="shared" si="395"/>
        <v>qua</v>
      </c>
      <c r="M3422" s="1" t="str">
        <f t="shared" si="396"/>
        <v>jun</v>
      </c>
      <c r="N3422">
        <f t="shared" si="397"/>
        <v>2026</v>
      </c>
      <c r="O3422" s="2"/>
      <c r="P3422" t="str">
        <f t="shared" si="394"/>
        <v>169446183</v>
      </c>
    </row>
    <row r="3423" spans="1:16" x14ac:dyDescent="0.3">
      <c r="A3423">
        <v>1695</v>
      </c>
      <c r="B3423">
        <v>52</v>
      </c>
      <c r="C3423" t="s">
        <v>26</v>
      </c>
      <c r="D3423" t="s">
        <v>22</v>
      </c>
      <c r="E3423" t="s">
        <v>17</v>
      </c>
      <c r="F3423" t="s">
        <v>23</v>
      </c>
      <c r="G3423" t="s">
        <v>41</v>
      </c>
      <c r="H3423" t="s">
        <v>20</v>
      </c>
      <c r="I3423" s="1">
        <v>1</v>
      </c>
      <c r="J3423" s="2">
        <v>45891</v>
      </c>
      <c r="K3423" s="2">
        <v>45870</v>
      </c>
      <c r="L3423" s="1" t="str">
        <f t="shared" si="395"/>
        <v>sex</v>
      </c>
      <c r="M3423" s="1" t="str">
        <f t="shared" si="396"/>
        <v>ago</v>
      </c>
      <c r="N3423">
        <f t="shared" si="397"/>
        <v>2025</v>
      </c>
      <c r="O3423" s="2">
        <f>_xlfn.XLOOKUP(A3423,Colaboradores!$A:$A,Colaboradores!$S:$S,"",0)</f>
        <v>45995</v>
      </c>
      <c r="P3423" t="str">
        <f t="shared" si="394"/>
        <v>169545891</v>
      </c>
    </row>
    <row r="3424" spans="1:16" x14ac:dyDescent="0.3">
      <c r="A3424">
        <v>1695</v>
      </c>
      <c r="B3424">
        <v>52</v>
      </c>
      <c r="C3424" t="s">
        <v>26</v>
      </c>
      <c r="D3424" t="s">
        <v>22</v>
      </c>
      <c r="E3424" t="s">
        <v>17</v>
      </c>
      <c r="F3424" t="s">
        <v>23</v>
      </c>
      <c r="G3424" t="s">
        <v>41</v>
      </c>
      <c r="H3424" t="s">
        <v>20</v>
      </c>
      <c r="I3424" s="1">
        <v>1</v>
      </c>
      <c r="J3424" s="2">
        <v>45898</v>
      </c>
      <c r="K3424" s="2">
        <v>45870</v>
      </c>
      <c r="L3424" s="1" t="str">
        <f t="shared" si="395"/>
        <v>sex</v>
      </c>
      <c r="M3424" s="1" t="str">
        <f t="shared" si="396"/>
        <v>ago</v>
      </c>
      <c r="N3424">
        <f t="shared" si="397"/>
        <v>2025</v>
      </c>
      <c r="O3424" s="2">
        <f>_xlfn.XLOOKUP(A3424,Colaboradores!$A:$A,Colaboradores!$S:$S,"",0)</f>
        <v>45995</v>
      </c>
      <c r="P3424" t="str">
        <f t="shared" si="394"/>
        <v>169545898</v>
      </c>
    </row>
    <row r="3425" spans="1:16" x14ac:dyDescent="0.3">
      <c r="A3425">
        <v>1695</v>
      </c>
      <c r="B3425">
        <v>52</v>
      </c>
      <c r="C3425" t="s">
        <v>26</v>
      </c>
      <c r="D3425" t="s">
        <v>22</v>
      </c>
      <c r="E3425" t="s">
        <v>17</v>
      </c>
      <c r="F3425" t="s">
        <v>23</v>
      </c>
      <c r="G3425" t="s">
        <v>41</v>
      </c>
      <c r="H3425" t="s">
        <v>20</v>
      </c>
      <c r="I3425" s="1">
        <v>1</v>
      </c>
      <c r="J3425" s="2">
        <v>45902</v>
      </c>
      <c r="K3425" s="2">
        <v>45901</v>
      </c>
      <c r="L3425" s="1" t="str">
        <f t="shared" si="395"/>
        <v>ter</v>
      </c>
      <c r="M3425" s="1" t="str">
        <f t="shared" si="396"/>
        <v>set</v>
      </c>
      <c r="N3425">
        <f t="shared" si="397"/>
        <v>2025</v>
      </c>
      <c r="O3425" s="2">
        <f>_xlfn.XLOOKUP(A3425,Colaboradores!$A:$A,Colaboradores!$S:$S,"",0)</f>
        <v>45995</v>
      </c>
      <c r="P3425" t="str">
        <f t="shared" si="394"/>
        <v>169545902</v>
      </c>
    </row>
    <row r="3426" spans="1:16" x14ac:dyDescent="0.3">
      <c r="A3426">
        <v>1695</v>
      </c>
      <c r="B3426">
        <v>52</v>
      </c>
      <c r="C3426" t="s">
        <v>26</v>
      </c>
      <c r="D3426" t="s">
        <v>22</v>
      </c>
      <c r="E3426" t="s">
        <v>17</v>
      </c>
      <c r="F3426" t="s">
        <v>23</v>
      </c>
      <c r="G3426" t="s">
        <v>41</v>
      </c>
      <c r="H3426" t="s">
        <v>20</v>
      </c>
      <c r="I3426" s="1">
        <v>1</v>
      </c>
      <c r="J3426" s="2">
        <v>45936</v>
      </c>
      <c r="K3426" s="2">
        <v>45931</v>
      </c>
      <c r="L3426" s="1" t="str">
        <f t="shared" si="395"/>
        <v>seg</v>
      </c>
      <c r="M3426" s="1" t="str">
        <f t="shared" si="396"/>
        <v>out</v>
      </c>
      <c r="N3426">
        <f t="shared" si="397"/>
        <v>2025</v>
      </c>
      <c r="O3426" s="2">
        <f>_xlfn.XLOOKUP(A3426,Colaboradores!$A:$A,Colaboradores!$S:$S,"",0)</f>
        <v>45995</v>
      </c>
      <c r="P3426" t="str">
        <f t="shared" si="394"/>
        <v>169545936</v>
      </c>
    </row>
    <row r="3427" spans="1:16" x14ac:dyDescent="0.3">
      <c r="A3427">
        <v>1695</v>
      </c>
      <c r="B3427">
        <v>52</v>
      </c>
      <c r="C3427" t="s">
        <v>26</v>
      </c>
      <c r="D3427" t="s">
        <v>22</v>
      </c>
      <c r="E3427" t="s">
        <v>17</v>
      </c>
      <c r="F3427" t="s">
        <v>23</v>
      </c>
      <c r="G3427" t="s">
        <v>41</v>
      </c>
      <c r="H3427" t="s">
        <v>20</v>
      </c>
      <c r="I3427" s="1">
        <v>1</v>
      </c>
      <c r="J3427" s="2">
        <v>45969</v>
      </c>
      <c r="K3427" s="2">
        <v>45962</v>
      </c>
      <c r="L3427" s="1" t="str">
        <f t="shared" si="395"/>
        <v>sáb</v>
      </c>
      <c r="M3427" s="1" t="str">
        <f t="shared" si="396"/>
        <v>nov</v>
      </c>
      <c r="N3427">
        <f t="shared" si="397"/>
        <v>2025</v>
      </c>
      <c r="O3427" s="2">
        <f>_xlfn.XLOOKUP(A3427,Colaboradores!$A:$A,Colaboradores!$S:$S,"",0)</f>
        <v>45995</v>
      </c>
      <c r="P3427" t="str">
        <f t="shared" si="394"/>
        <v>169545969</v>
      </c>
    </row>
    <row r="3428" spans="1:16" x14ac:dyDescent="0.3">
      <c r="A3428">
        <v>1695</v>
      </c>
      <c r="B3428">
        <v>52</v>
      </c>
      <c r="C3428" t="s">
        <v>26</v>
      </c>
      <c r="D3428" t="s">
        <v>22</v>
      </c>
      <c r="E3428" t="s">
        <v>17</v>
      </c>
      <c r="F3428" t="s">
        <v>23</v>
      </c>
      <c r="G3428" t="s">
        <v>41</v>
      </c>
      <c r="H3428" t="s">
        <v>20</v>
      </c>
      <c r="I3428" s="1">
        <v>1</v>
      </c>
      <c r="J3428" s="2">
        <v>45975</v>
      </c>
      <c r="K3428" s="2">
        <v>45962</v>
      </c>
      <c r="L3428" s="1" t="str">
        <f t="shared" si="395"/>
        <v>sex</v>
      </c>
      <c r="M3428" s="1" t="str">
        <f t="shared" si="396"/>
        <v>nov</v>
      </c>
      <c r="N3428">
        <f t="shared" si="397"/>
        <v>2025</v>
      </c>
      <c r="O3428" s="2">
        <f>_xlfn.XLOOKUP(A3428,Colaboradores!$A:$A,Colaboradores!$S:$S,"",0)</f>
        <v>45995</v>
      </c>
      <c r="P3428" t="str">
        <f t="shared" si="394"/>
        <v>169545975</v>
      </c>
    </row>
    <row r="3429" spans="1:16" x14ac:dyDescent="0.3">
      <c r="A3429">
        <v>1696</v>
      </c>
      <c r="B3429">
        <v>34</v>
      </c>
      <c r="C3429" t="s">
        <v>15</v>
      </c>
      <c r="D3429" t="s">
        <v>16</v>
      </c>
      <c r="E3429" t="s">
        <v>17</v>
      </c>
      <c r="F3429" t="s">
        <v>18</v>
      </c>
      <c r="G3429" t="s">
        <v>41</v>
      </c>
      <c r="H3429" t="s">
        <v>25</v>
      </c>
      <c r="I3429" s="1">
        <v>1</v>
      </c>
      <c r="J3429" s="2">
        <v>45809</v>
      </c>
      <c r="K3429" s="2">
        <v>45809</v>
      </c>
      <c r="L3429" s="1" t="str">
        <f t="shared" si="395"/>
        <v>dom</v>
      </c>
      <c r="M3429" s="1" t="str">
        <f t="shared" si="396"/>
        <v>jun</v>
      </c>
      <c r="N3429">
        <f t="shared" si="397"/>
        <v>2025</v>
      </c>
      <c r="O3429" s="2"/>
      <c r="P3429" t="str">
        <f t="shared" si="394"/>
        <v>169645809</v>
      </c>
    </row>
    <row r="3430" spans="1:16" x14ac:dyDescent="0.3">
      <c r="A3430">
        <v>1696</v>
      </c>
      <c r="B3430">
        <v>34</v>
      </c>
      <c r="C3430" t="s">
        <v>15</v>
      </c>
      <c r="D3430" t="s">
        <v>16</v>
      </c>
      <c r="E3430" t="s">
        <v>17</v>
      </c>
      <c r="F3430" t="s">
        <v>18</v>
      </c>
      <c r="G3430" t="s">
        <v>41</v>
      </c>
      <c r="H3430" t="s">
        <v>25</v>
      </c>
      <c r="I3430" s="1">
        <v>1</v>
      </c>
      <c r="J3430" s="2">
        <v>45812</v>
      </c>
      <c r="K3430" s="2">
        <v>45809</v>
      </c>
      <c r="L3430" s="1" t="str">
        <f t="shared" si="395"/>
        <v>qua</v>
      </c>
      <c r="M3430" s="1" t="str">
        <f t="shared" si="396"/>
        <v>jun</v>
      </c>
      <c r="N3430">
        <f t="shared" si="397"/>
        <v>2025</v>
      </c>
      <c r="O3430" s="2"/>
      <c r="P3430" t="str">
        <f t="shared" si="394"/>
        <v>169645812</v>
      </c>
    </row>
    <row r="3431" spans="1:16" x14ac:dyDescent="0.3">
      <c r="A3431">
        <v>1696</v>
      </c>
      <c r="B3431">
        <v>34</v>
      </c>
      <c r="C3431" t="s">
        <v>15</v>
      </c>
      <c r="D3431" t="s">
        <v>16</v>
      </c>
      <c r="E3431" t="s">
        <v>17</v>
      </c>
      <c r="F3431" t="s">
        <v>18</v>
      </c>
      <c r="G3431" t="s">
        <v>41</v>
      </c>
      <c r="H3431" t="s">
        <v>25</v>
      </c>
      <c r="I3431" s="1">
        <v>1</v>
      </c>
      <c r="J3431" s="2">
        <v>45813</v>
      </c>
      <c r="K3431" s="2">
        <v>45809</v>
      </c>
      <c r="L3431" s="1" t="str">
        <f t="shared" si="395"/>
        <v>qui</v>
      </c>
      <c r="M3431" s="1" t="str">
        <f t="shared" si="396"/>
        <v>jun</v>
      </c>
      <c r="N3431">
        <f t="shared" si="397"/>
        <v>2025</v>
      </c>
      <c r="O3431" s="2"/>
      <c r="P3431" t="str">
        <f t="shared" si="394"/>
        <v>169645813</v>
      </c>
    </row>
    <row r="3432" spans="1:16" x14ac:dyDescent="0.3">
      <c r="A3432">
        <v>1696</v>
      </c>
      <c r="B3432">
        <v>34</v>
      </c>
      <c r="C3432" t="s">
        <v>15</v>
      </c>
      <c r="D3432" t="s">
        <v>16</v>
      </c>
      <c r="E3432" t="s">
        <v>17</v>
      </c>
      <c r="F3432" t="s">
        <v>18</v>
      </c>
      <c r="G3432" t="s">
        <v>41</v>
      </c>
      <c r="H3432" t="s">
        <v>25</v>
      </c>
      <c r="I3432" s="1">
        <v>1</v>
      </c>
      <c r="J3432" s="2">
        <v>45903</v>
      </c>
      <c r="K3432" s="2">
        <v>45901</v>
      </c>
      <c r="L3432" s="1" t="str">
        <f t="shared" si="395"/>
        <v>qua</v>
      </c>
      <c r="M3432" s="1" t="str">
        <f t="shared" si="396"/>
        <v>set</v>
      </c>
      <c r="N3432">
        <f t="shared" si="397"/>
        <v>2025</v>
      </c>
      <c r="O3432" s="2"/>
      <c r="P3432" t="str">
        <f t="shared" si="394"/>
        <v>169645903</v>
      </c>
    </row>
    <row r="3433" spans="1:16" x14ac:dyDescent="0.3">
      <c r="A3433">
        <v>1696</v>
      </c>
      <c r="B3433">
        <v>34</v>
      </c>
      <c r="C3433" t="s">
        <v>15</v>
      </c>
      <c r="D3433" t="s">
        <v>16</v>
      </c>
      <c r="E3433" t="s">
        <v>17</v>
      </c>
      <c r="F3433" t="s">
        <v>18</v>
      </c>
      <c r="G3433" t="s">
        <v>41</v>
      </c>
      <c r="H3433" t="s">
        <v>25</v>
      </c>
      <c r="I3433" s="1">
        <v>1</v>
      </c>
      <c r="J3433" s="2">
        <v>45981</v>
      </c>
      <c r="K3433" s="2">
        <v>45962</v>
      </c>
      <c r="L3433" s="1" t="str">
        <f t="shared" si="395"/>
        <v>qui</v>
      </c>
      <c r="M3433" s="1" t="str">
        <f t="shared" si="396"/>
        <v>nov</v>
      </c>
      <c r="N3433">
        <f t="shared" si="397"/>
        <v>2025</v>
      </c>
      <c r="O3433" s="2"/>
      <c r="P3433" t="str">
        <f t="shared" si="394"/>
        <v>169645981</v>
      </c>
    </row>
    <row r="3434" spans="1:16" x14ac:dyDescent="0.3">
      <c r="A3434">
        <v>1696</v>
      </c>
      <c r="B3434">
        <v>34</v>
      </c>
      <c r="C3434" t="s">
        <v>15</v>
      </c>
      <c r="D3434" t="s">
        <v>16</v>
      </c>
      <c r="E3434" t="s">
        <v>17</v>
      </c>
      <c r="F3434" t="s">
        <v>18</v>
      </c>
      <c r="G3434" t="s">
        <v>41</v>
      </c>
      <c r="H3434" t="s">
        <v>25</v>
      </c>
      <c r="I3434" s="1">
        <v>1</v>
      </c>
      <c r="J3434" s="2">
        <v>46066</v>
      </c>
      <c r="K3434" s="2">
        <v>46054</v>
      </c>
      <c r="L3434" s="1" t="str">
        <f t="shared" si="395"/>
        <v>sex</v>
      </c>
      <c r="M3434" s="1" t="str">
        <f t="shared" si="396"/>
        <v>fev</v>
      </c>
      <c r="N3434">
        <f t="shared" si="397"/>
        <v>2026</v>
      </c>
      <c r="O3434" s="2"/>
      <c r="P3434" t="str">
        <f t="shared" si="394"/>
        <v>169646066</v>
      </c>
    </row>
    <row r="3435" spans="1:16" x14ac:dyDescent="0.3">
      <c r="A3435">
        <v>1697</v>
      </c>
      <c r="B3435">
        <v>32</v>
      </c>
      <c r="C3435" t="s">
        <v>15</v>
      </c>
      <c r="D3435" t="s">
        <v>27</v>
      </c>
      <c r="E3435" t="s">
        <v>17</v>
      </c>
      <c r="F3435" t="s">
        <v>21</v>
      </c>
      <c r="G3435" t="s">
        <v>41</v>
      </c>
      <c r="H3435" t="s">
        <v>25</v>
      </c>
      <c r="I3435" s="1">
        <v>2</v>
      </c>
      <c r="J3435" s="2">
        <v>45775</v>
      </c>
      <c r="K3435" s="2">
        <v>45748</v>
      </c>
      <c r="L3435" s="1" t="str">
        <f t="shared" si="395"/>
        <v>seg</v>
      </c>
      <c r="M3435" s="1" t="str">
        <f t="shared" si="396"/>
        <v>abr</v>
      </c>
      <c r="N3435">
        <f t="shared" si="397"/>
        <v>2025</v>
      </c>
      <c r="O3435" s="2"/>
      <c r="P3435" t="str">
        <f t="shared" si="394"/>
        <v>169745775</v>
      </c>
    </row>
    <row r="3436" spans="1:16" x14ac:dyDescent="0.3">
      <c r="A3436">
        <v>1697</v>
      </c>
      <c r="B3436">
        <v>32</v>
      </c>
      <c r="C3436" t="s">
        <v>15</v>
      </c>
      <c r="D3436" t="s">
        <v>27</v>
      </c>
      <c r="E3436" t="s">
        <v>17</v>
      </c>
      <c r="F3436" t="s">
        <v>21</v>
      </c>
      <c r="G3436" t="s">
        <v>41</v>
      </c>
      <c r="H3436" t="s">
        <v>25</v>
      </c>
      <c r="I3436" s="1">
        <v>2</v>
      </c>
      <c r="J3436" s="2">
        <v>45936</v>
      </c>
      <c r="K3436" s="2">
        <v>45931</v>
      </c>
      <c r="L3436" s="1" t="str">
        <f t="shared" si="395"/>
        <v>seg</v>
      </c>
      <c r="M3436" s="1" t="str">
        <f t="shared" si="396"/>
        <v>out</v>
      </c>
      <c r="N3436">
        <f t="shared" si="397"/>
        <v>2025</v>
      </c>
      <c r="O3436" s="2"/>
      <c r="P3436" t="str">
        <f t="shared" si="394"/>
        <v>169745936</v>
      </c>
    </row>
    <row r="3437" spans="1:16" x14ac:dyDescent="0.3">
      <c r="A3437">
        <v>1697</v>
      </c>
      <c r="B3437">
        <v>32</v>
      </c>
      <c r="C3437" t="s">
        <v>15</v>
      </c>
      <c r="D3437" t="s">
        <v>27</v>
      </c>
      <c r="E3437" t="s">
        <v>17</v>
      </c>
      <c r="F3437" t="s">
        <v>21</v>
      </c>
      <c r="G3437" t="s">
        <v>41</v>
      </c>
      <c r="H3437" t="s">
        <v>25</v>
      </c>
      <c r="I3437" s="1">
        <v>2</v>
      </c>
      <c r="J3437" s="2">
        <v>45939</v>
      </c>
      <c r="K3437" s="2">
        <v>45931</v>
      </c>
      <c r="L3437" s="1" t="str">
        <f t="shared" si="395"/>
        <v>qui</v>
      </c>
      <c r="M3437" s="1" t="str">
        <f t="shared" si="396"/>
        <v>out</v>
      </c>
      <c r="N3437">
        <f t="shared" si="397"/>
        <v>2025</v>
      </c>
      <c r="O3437" s="2"/>
      <c r="P3437" t="str">
        <f t="shared" si="394"/>
        <v>169745939</v>
      </c>
    </row>
    <row r="3438" spans="1:16" x14ac:dyDescent="0.3">
      <c r="A3438">
        <v>1697</v>
      </c>
      <c r="B3438">
        <v>32</v>
      </c>
      <c r="C3438" t="s">
        <v>15</v>
      </c>
      <c r="D3438" t="s">
        <v>27</v>
      </c>
      <c r="E3438" t="s">
        <v>17</v>
      </c>
      <c r="F3438" t="s">
        <v>21</v>
      </c>
      <c r="G3438" t="s">
        <v>41</v>
      </c>
      <c r="H3438" t="s">
        <v>25</v>
      </c>
      <c r="I3438" s="1">
        <v>2</v>
      </c>
      <c r="J3438" s="2">
        <v>45954</v>
      </c>
      <c r="K3438" s="2">
        <v>45931</v>
      </c>
      <c r="L3438" s="1" t="str">
        <f t="shared" si="395"/>
        <v>sex</v>
      </c>
      <c r="M3438" s="1" t="str">
        <f t="shared" si="396"/>
        <v>out</v>
      </c>
      <c r="N3438">
        <f t="shared" si="397"/>
        <v>2025</v>
      </c>
      <c r="O3438" s="2"/>
      <c r="P3438" t="str">
        <f t="shared" si="394"/>
        <v>169745954</v>
      </c>
    </row>
    <row r="3439" spans="1:16" x14ac:dyDescent="0.3">
      <c r="A3439">
        <v>1697</v>
      </c>
      <c r="B3439">
        <v>32</v>
      </c>
      <c r="C3439" t="s">
        <v>15</v>
      </c>
      <c r="D3439" t="s">
        <v>27</v>
      </c>
      <c r="E3439" t="s">
        <v>17</v>
      </c>
      <c r="F3439" t="s">
        <v>21</v>
      </c>
      <c r="G3439" t="s">
        <v>41</v>
      </c>
      <c r="H3439" t="s">
        <v>25</v>
      </c>
      <c r="I3439" s="1">
        <v>2</v>
      </c>
      <c r="J3439" s="2">
        <v>45959</v>
      </c>
      <c r="K3439" s="2">
        <v>45931</v>
      </c>
      <c r="L3439" s="1" t="str">
        <f t="shared" si="395"/>
        <v>qua</v>
      </c>
      <c r="M3439" s="1" t="str">
        <f t="shared" si="396"/>
        <v>out</v>
      </c>
      <c r="N3439">
        <f t="shared" si="397"/>
        <v>2025</v>
      </c>
      <c r="O3439" s="2"/>
      <c r="P3439" t="str">
        <f t="shared" si="394"/>
        <v>169745959</v>
      </c>
    </row>
    <row r="3440" spans="1:16" x14ac:dyDescent="0.3">
      <c r="A3440">
        <v>1697</v>
      </c>
      <c r="B3440">
        <v>32</v>
      </c>
      <c r="C3440" t="s">
        <v>15</v>
      </c>
      <c r="D3440" t="s">
        <v>27</v>
      </c>
      <c r="E3440" t="s">
        <v>17</v>
      </c>
      <c r="F3440" t="s">
        <v>21</v>
      </c>
      <c r="G3440" t="s">
        <v>41</v>
      </c>
      <c r="H3440" t="s">
        <v>25</v>
      </c>
      <c r="I3440" s="1">
        <v>2</v>
      </c>
      <c r="J3440" s="2">
        <v>46140</v>
      </c>
      <c r="K3440" s="2">
        <v>46113</v>
      </c>
      <c r="L3440" s="1" t="s">
        <v>56</v>
      </c>
      <c r="M3440" s="1" t="s">
        <v>48</v>
      </c>
      <c r="N3440">
        <v>2025</v>
      </c>
      <c r="O3440" s="2"/>
      <c r="P3440" t="str">
        <f t="shared" si="394"/>
        <v>169746140</v>
      </c>
    </row>
    <row r="3441" spans="1:16" x14ac:dyDescent="0.3">
      <c r="A3441">
        <v>1699</v>
      </c>
      <c r="B3441">
        <v>56</v>
      </c>
      <c r="C3441" t="s">
        <v>26</v>
      </c>
      <c r="D3441" t="s">
        <v>29</v>
      </c>
      <c r="E3441" t="s">
        <v>17</v>
      </c>
      <c r="F3441" t="s">
        <v>21</v>
      </c>
      <c r="G3441" t="s">
        <v>41</v>
      </c>
      <c r="H3441" t="s">
        <v>25</v>
      </c>
      <c r="I3441" s="1">
        <v>3</v>
      </c>
      <c r="J3441" s="2">
        <v>45833</v>
      </c>
      <c r="K3441" s="2">
        <v>45809</v>
      </c>
      <c r="L3441" s="1" t="str">
        <f t="shared" ref="L3441:L3472" si="398">TEXT(J3441,"ddd")</f>
        <v>qua</v>
      </c>
      <c r="M3441" s="1" t="str">
        <f t="shared" ref="M3441:M3472" si="399">TEXT($J3441,"mmm")</f>
        <v>jun</v>
      </c>
      <c r="N3441">
        <f t="shared" ref="N3441:N3472" si="400">YEAR(J3441)</f>
        <v>2025</v>
      </c>
      <c r="O3441" s="2"/>
      <c r="P3441" t="str">
        <f t="shared" si="394"/>
        <v>169945833</v>
      </c>
    </row>
    <row r="3442" spans="1:16" x14ac:dyDescent="0.3">
      <c r="A3442">
        <v>1699</v>
      </c>
      <c r="B3442">
        <v>56</v>
      </c>
      <c r="C3442" t="s">
        <v>26</v>
      </c>
      <c r="D3442" t="s">
        <v>29</v>
      </c>
      <c r="E3442" t="s">
        <v>17</v>
      </c>
      <c r="F3442" t="s">
        <v>21</v>
      </c>
      <c r="G3442" t="s">
        <v>41</v>
      </c>
      <c r="H3442" t="s">
        <v>25</v>
      </c>
      <c r="I3442" s="1">
        <v>3</v>
      </c>
      <c r="J3442" s="2">
        <v>45936</v>
      </c>
      <c r="K3442" s="2">
        <v>45931</v>
      </c>
      <c r="L3442" s="1" t="str">
        <f t="shared" si="398"/>
        <v>seg</v>
      </c>
      <c r="M3442" s="1" t="str">
        <f t="shared" si="399"/>
        <v>out</v>
      </c>
      <c r="N3442">
        <f t="shared" si="400"/>
        <v>2025</v>
      </c>
      <c r="O3442" s="2"/>
      <c r="P3442" t="str">
        <f t="shared" si="394"/>
        <v>169945936</v>
      </c>
    </row>
    <row r="3443" spans="1:16" x14ac:dyDescent="0.3">
      <c r="A3443">
        <v>1699</v>
      </c>
      <c r="B3443">
        <v>56</v>
      </c>
      <c r="C3443" t="s">
        <v>26</v>
      </c>
      <c r="D3443" t="s">
        <v>29</v>
      </c>
      <c r="E3443" t="s">
        <v>17</v>
      </c>
      <c r="F3443" t="s">
        <v>21</v>
      </c>
      <c r="G3443" t="s">
        <v>41</v>
      </c>
      <c r="H3443" t="s">
        <v>25</v>
      </c>
      <c r="I3443" s="1">
        <v>3</v>
      </c>
      <c r="J3443" s="2">
        <v>46005</v>
      </c>
      <c r="K3443" s="2">
        <v>45992</v>
      </c>
      <c r="L3443" s="1" t="str">
        <f t="shared" si="398"/>
        <v>dom</v>
      </c>
      <c r="M3443" s="1" t="str">
        <f t="shared" si="399"/>
        <v>dez</v>
      </c>
      <c r="N3443">
        <f t="shared" si="400"/>
        <v>2025</v>
      </c>
      <c r="O3443" s="2"/>
      <c r="P3443" t="str">
        <f t="shared" si="394"/>
        <v>169946005</v>
      </c>
    </row>
    <row r="3444" spans="1:16" x14ac:dyDescent="0.3">
      <c r="A3444">
        <v>1699</v>
      </c>
      <c r="B3444">
        <v>56</v>
      </c>
      <c r="C3444" t="s">
        <v>26</v>
      </c>
      <c r="D3444" t="s">
        <v>29</v>
      </c>
      <c r="E3444" t="s">
        <v>17</v>
      </c>
      <c r="F3444" t="s">
        <v>21</v>
      </c>
      <c r="G3444" t="s">
        <v>41</v>
      </c>
      <c r="H3444" t="s">
        <v>25</v>
      </c>
      <c r="I3444" s="1">
        <v>3</v>
      </c>
      <c r="J3444" s="2">
        <v>46015</v>
      </c>
      <c r="K3444" s="2">
        <v>45992</v>
      </c>
      <c r="L3444" s="1" t="str">
        <f t="shared" si="398"/>
        <v>qua</v>
      </c>
      <c r="M3444" s="1" t="str">
        <f t="shared" si="399"/>
        <v>dez</v>
      </c>
      <c r="N3444">
        <f t="shared" si="400"/>
        <v>2025</v>
      </c>
      <c r="O3444" s="2"/>
      <c r="P3444" t="str">
        <f t="shared" si="394"/>
        <v>169946015</v>
      </c>
    </row>
    <row r="3445" spans="1:16" x14ac:dyDescent="0.3">
      <c r="A3445">
        <v>1699</v>
      </c>
      <c r="B3445">
        <v>56</v>
      </c>
      <c r="C3445" t="s">
        <v>26</v>
      </c>
      <c r="D3445" t="s">
        <v>29</v>
      </c>
      <c r="E3445" t="s">
        <v>17</v>
      </c>
      <c r="F3445" t="s">
        <v>21</v>
      </c>
      <c r="G3445" t="s">
        <v>41</v>
      </c>
      <c r="H3445" t="s">
        <v>25</v>
      </c>
      <c r="I3445" s="1">
        <v>3</v>
      </c>
      <c r="J3445" s="2">
        <v>46089</v>
      </c>
      <c r="K3445" s="2">
        <v>46082</v>
      </c>
      <c r="L3445" s="1" t="str">
        <f t="shared" si="398"/>
        <v>dom</v>
      </c>
      <c r="M3445" s="1" t="str">
        <f t="shared" si="399"/>
        <v>mar</v>
      </c>
      <c r="N3445">
        <f t="shared" si="400"/>
        <v>2026</v>
      </c>
      <c r="O3445" s="2"/>
      <c r="P3445" t="str">
        <f t="shared" si="394"/>
        <v>169946089</v>
      </c>
    </row>
    <row r="3446" spans="1:16" x14ac:dyDescent="0.3">
      <c r="A3446">
        <v>1699</v>
      </c>
      <c r="B3446">
        <v>56</v>
      </c>
      <c r="C3446" t="s">
        <v>26</v>
      </c>
      <c r="D3446" t="s">
        <v>29</v>
      </c>
      <c r="E3446" t="s">
        <v>17</v>
      </c>
      <c r="F3446" t="s">
        <v>21</v>
      </c>
      <c r="G3446" t="s">
        <v>41</v>
      </c>
      <c r="H3446" t="s">
        <v>25</v>
      </c>
      <c r="I3446" s="1">
        <v>3</v>
      </c>
      <c r="J3446" s="2">
        <v>46102</v>
      </c>
      <c r="K3446" s="2">
        <v>46082</v>
      </c>
      <c r="L3446" s="1" t="str">
        <f t="shared" si="398"/>
        <v>sáb</v>
      </c>
      <c r="M3446" s="1" t="str">
        <f t="shared" si="399"/>
        <v>mar</v>
      </c>
      <c r="N3446">
        <f t="shared" si="400"/>
        <v>2026</v>
      </c>
      <c r="O3446" s="2"/>
      <c r="P3446" t="str">
        <f t="shared" si="394"/>
        <v>169946102</v>
      </c>
    </row>
    <row r="3447" spans="1:16" x14ac:dyDescent="0.3">
      <c r="A3447">
        <v>1700</v>
      </c>
      <c r="B3447">
        <v>32</v>
      </c>
      <c r="C3447" t="s">
        <v>26</v>
      </c>
      <c r="D3447" t="s">
        <v>16</v>
      </c>
      <c r="E3447" t="s">
        <v>17</v>
      </c>
      <c r="F3447" t="s">
        <v>18</v>
      </c>
      <c r="G3447" t="s">
        <v>41</v>
      </c>
      <c r="H3447" t="s">
        <v>25</v>
      </c>
      <c r="I3447" s="1">
        <v>3</v>
      </c>
      <c r="J3447" s="2">
        <v>45993</v>
      </c>
      <c r="K3447" s="2">
        <v>45992</v>
      </c>
      <c r="L3447" s="1" t="str">
        <f t="shared" si="398"/>
        <v>ter</v>
      </c>
      <c r="M3447" s="1" t="str">
        <f t="shared" si="399"/>
        <v>dez</v>
      </c>
      <c r="N3447">
        <f t="shared" si="400"/>
        <v>2025</v>
      </c>
      <c r="O3447" s="2"/>
      <c r="P3447" t="str">
        <f t="shared" si="394"/>
        <v>170045993</v>
      </c>
    </row>
    <row r="3448" spans="1:16" x14ac:dyDescent="0.3">
      <c r="A3448">
        <v>1700</v>
      </c>
      <c r="B3448">
        <v>32</v>
      </c>
      <c r="C3448" t="s">
        <v>26</v>
      </c>
      <c r="D3448" t="s">
        <v>16</v>
      </c>
      <c r="E3448" t="s">
        <v>17</v>
      </c>
      <c r="F3448" t="s">
        <v>18</v>
      </c>
      <c r="G3448" t="s">
        <v>41</v>
      </c>
      <c r="H3448" t="s">
        <v>25</v>
      </c>
      <c r="I3448" s="1">
        <v>3</v>
      </c>
      <c r="J3448" s="2">
        <v>46077</v>
      </c>
      <c r="K3448" s="2">
        <v>46054</v>
      </c>
      <c r="L3448" s="1" t="str">
        <f t="shared" si="398"/>
        <v>ter</v>
      </c>
      <c r="M3448" s="1" t="str">
        <f t="shared" si="399"/>
        <v>fev</v>
      </c>
      <c r="N3448">
        <f t="shared" si="400"/>
        <v>2026</v>
      </c>
      <c r="O3448" s="2"/>
      <c r="P3448" t="str">
        <f t="shared" si="394"/>
        <v>170046077</v>
      </c>
    </row>
    <row r="3449" spans="1:16" x14ac:dyDescent="0.3">
      <c r="A3449">
        <v>1700</v>
      </c>
      <c r="B3449">
        <v>32</v>
      </c>
      <c r="C3449" t="s">
        <v>26</v>
      </c>
      <c r="D3449" t="s">
        <v>16</v>
      </c>
      <c r="E3449" t="s">
        <v>17</v>
      </c>
      <c r="F3449" t="s">
        <v>18</v>
      </c>
      <c r="G3449" t="s">
        <v>41</v>
      </c>
      <c r="H3449" t="s">
        <v>25</v>
      </c>
      <c r="I3449" s="1">
        <v>3</v>
      </c>
      <c r="J3449" s="2">
        <v>46078</v>
      </c>
      <c r="K3449" s="2">
        <v>46054</v>
      </c>
      <c r="L3449" s="1" t="str">
        <f t="shared" si="398"/>
        <v>qua</v>
      </c>
      <c r="M3449" s="1" t="str">
        <f t="shared" si="399"/>
        <v>fev</v>
      </c>
      <c r="N3449">
        <f t="shared" si="400"/>
        <v>2026</v>
      </c>
      <c r="O3449" s="2"/>
      <c r="P3449" t="str">
        <f t="shared" si="394"/>
        <v>170046078</v>
      </c>
    </row>
    <row r="3450" spans="1:16" x14ac:dyDescent="0.3">
      <c r="A3450">
        <v>1700</v>
      </c>
      <c r="B3450">
        <v>32</v>
      </c>
      <c r="C3450" t="s">
        <v>26</v>
      </c>
      <c r="D3450" t="s">
        <v>16</v>
      </c>
      <c r="E3450" t="s">
        <v>17</v>
      </c>
      <c r="F3450" t="s">
        <v>18</v>
      </c>
      <c r="G3450" t="s">
        <v>41</v>
      </c>
      <c r="H3450" t="s">
        <v>25</v>
      </c>
      <c r="I3450" s="1">
        <v>3</v>
      </c>
      <c r="J3450" s="2">
        <v>46094</v>
      </c>
      <c r="K3450" s="2">
        <v>46082</v>
      </c>
      <c r="L3450" s="1" t="str">
        <f t="shared" si="398"/>
        <v>sex</v>
      </c>
      <c r="M3450" s="1" t="str">
        <f t="shared" si="399"/>
        <v>mar</v>
      </c>
      <c r="N3450">
        <f t="shared" si="400"/>
        <v>2026</v>
      </c>
      <c r="O3450" s="2"/>
      <c r="P3450" t="str">
        <f t="shared" si="394"/>
        <v>170046094</v>
      </c>
    </row>
    <row r="3451" spans="1:16" x14ac:dyDescent="0.3">
      <c r="A3451">
        <v>1701</v>
      </c>
      <c r="B3451">
        <v>48</v>
      </c>
      <c r="C3451" t="s">
        <v>15</v>
      </c>
      <c r="D3451" t="s">
        <v>16</v>
      </c>
      <c r="E3451" t="s">
        <v>17</v>
      </c>
      <c r="F3451" t="s">
        <v>23</v>
      </c>
      <c r="G3451" t="s">
        <v>41</v>
      </c>
      <c r="H3451" t="s">
        <v>25</v>
      </c>
      <c r="I3451" s="1">
        <v>2</v>
      </c>
      <c r="J3451" s="2">
        <v>45834</v>
      </c>
      <c r="K3451" s="2">
        <v>45809</v>
      </c>
      <c r="L3451" s="1" t="str">
        <f t="shared" si="398"/>
        <v>qui</v>
      </c>
      <c r="M3451" s="1" t="str">
        <f t="shared" si="399"/>
        <v>jun</v>
      </c>
      <c r="N3451">
        <f t="shared" si="400"/>
        <v>2025</v>
      </c>
      <c r="O3451" s="2"/>
      <c r="P3451" t="str">
        <f t="shared" si="394"/>
        <v>170145834</v>
      </c>
    </row>
    <row r="3452" spans="1:16" x14ac:dyDescent="0.3">
      <c r="A3452">
        <v>1701</v>
      </c>
      <c r="B3452">
        <v>48</v>
      </c>
      <c r="C3452" t="s">
        <v>15</v>
      </c>
      <c r="D3452" t="s">
        <v>16</v>
      </c>
      <c r="E3452" t="s">
        <v>17</v>
      </c>
      <c r="F3452" t="s">
        <v>23</v>
      </c>
      <c r="G3452" t="s">
        <v>41</v>
      </c>
      <c r="H3452" t="s">
        <v>25</v>
      </c>
      <c r="I3452" s="1">
        <v>2</v>
      </c>
      <c r="J3452" s="2">
        <v>45940</v>
      </c>
      <c r="K3452" s="2">
        <v>45931</v>
      </c>
      <c r="L3452" s="1" t="str">
        <f t="shared" si="398"/>
        <v>sex</v>
      </c>
      <c r="M3452" s="1" t="str">
        <f t="shared" si="399"/>
        <v>out</v>
      </c>
      <c r="N3452">
        <f t="shared" si="400"/>
        <v>2025</v>
      </c>
      <c r="O3452" s="2"/>
      <c r="P3452" t="str">
        <f t="shared" si="394"/>
        <v>170145940</v>
      </c>
    </row>
    <row r="3453" spans="1:16" x14ac:dyDescent="0.3">
      <c r="A3453">
        <v>1701</v>
      </c>
      <c r="B3453">
        <v>48</v>
      </c>
      <c r="C3453" t="s">
        <v>15</v>
      </c>
      <c r="D3453" t="s">
        <v>16</v>
      </c>
      <c r="E3453" t="s">
        <v>17</v>
      </c>
      <c r="F3453" t="s">
        <v>23</v>
      </c>
      <c r="G3453" t="s">
        <v>41</v>
      </c>
      <c r="H3453" t="s">
        <v>25</v>
      </c>
      <c r="I3453" s="1">
        <v>2</v>
      </c>
      <c r="J3453" s="2">
        <v>46021</v>
      </c>
      <c r="K3453" s="2">
        <v>45992</v>
      </c>
      <c r="L3453" s="1" t="str">
        <f t="shared" si="398"/>
        <v>ter</v>
      </c>
      <c r="M3453" s="1" t="str">
        <f t="shared" si="399"/>
        <v>dez</v>
      </c>
      <c r="N3453">
        <f t="shared" si="400"/>
        <v>2025</v>
      </c>
      <c r="O3453" s="2"/>
      <c r="P3453" t="str">
        <f t="shared" si="394"/>
        <v>170146021</v>
      </c>
    </row>
    <row r="3454" spans="1:16" x14ac:dyDescent="0.3">
      <c r="A3454">
        <v>1701</v>
      </c>
      <c r="B3454">
        <v>48</v>
      </c>
      <c r="C3454" t="s">
        <v>15</v>
      </c>
      <c r="D3454" t="s">
        <v>16</v>
      </c>
      <c r="E3454" t="s">
        <v>17</v>
      </c>
      <c r="F3454" t="s">
        <v>23</v>
      </c>
      <c r="G3454" t="s">
        <v>41</v>
      </c>
      <c r="H3454" t="s">
        <v>25</v>
      </c>
      <c r="I3454" s="1">
        <v>2</v>
      </c>
      <c r="J3454" s="2">
        <v>46085</v>
      </c>
      <c r="K3454" s="2">
        <v>46082</v>
      </c>
      <c r="L3454" s="1" t="str">
        <f t="shared" si="398"/>
        <v>qua</v>
      </c>
      <c r="M3454" s="1" t="str">
        <f t="shared" si="399"/>
        <v>mar</v>
      </c>
      <c r="N3454">
        <f t="shared" si="400"/>
        <v>2026</v>
      </c>
      <c r="O3454" s="2"/>
      <c r="P3454" t="str">
        <f t="shared" ref="P3454:P3517" si="401">CONCATENATE(A3454,J3454)</f>
        <v>170146085</v>
      </c>
    </row>
    <row r="3455" spans="1:16" x14ac:dyDescent="0.3">
      <c r="A3455">
        <v>1702</v>
      </c>
      <c r="B3455">
        <v>53</v>
      </c>
      <c r="C3455" t="s">
        <v>26</v>
      </c>
      <c r="D3455" t="s">
        <v>27</v>
      </c>
      <c r="E3455" t="s">
        <v>17</v>
      </c>
      <c r="F3455" t="s">
        <v>18</v>
      </c>
      <c r="G3455" t="s">
        <v>41</v>
      </c>
      <c r="H3455" t="s">
        <v>20</v>
      </c>
      <c r="I3455" s="1">
        <v>2</v>
      </c>
      <c r="J3455" s="2">
        <v>45690</v>
      </c>
      <c r="K3455" s="2">
        <v>45689</v>
      </c>
      <c r="L3455" s="1" t="str">
        <f t="shared" si="398"/>
        <v>dom</v>
      </c>
      <c r="M3455" s="1" t="str">
        <f t="shared" si="399"/>
        <v>fev</v>
      </c>
      <c r="N3455">
        <f t="shared" si="400"/>
        <v>2025</v>
      </c>
      <c r="O3455" s="2">
        <f>_xlfn.XLOOKUP(A3455,Colaboradores!$A:$A,Colaboradores!$S:$S,"",0)</f>
        <v>45815</v>
      </c>
      <c r="P3455" t="str">
        <f t="shared" si="401"/>
        <v>170245690</v>
      </c>
    </row>
    <row r="3456" spans="1:16" x14ac:dyDescent="0.3">
      <c r="A3456">
        <v>1702</v>
      </c>
      <c r="B3456">
        <v>53</v>
      </c>
      <c r="C3456" t="s">
        <v>26</v>
      </c>
      <c r="D3456" t="s">
        <v>27</v>
      </c>
      <c r="E3456" t="s">
        <v>17</v>
      </c>
      <c r="F3456" t="s">
        <v>18</v>
      </c>
      <c r="G3456" t="s">
        <v>41</v>
      </c>
      <c r="H3456" t="s">
        <v>20</v>
      </c>
      <c r="I3456" s="1">
        <v>2</v>
      </c>
      <c r="J3456" s="2">
        <v>45790</v>
      </c>
      <c r="K3456" s="2">
        <v>45778</v>
      </c>
      <c r="L3456" s="1" t="str">
        <f t="shared" si="398"/>
        <v>ter</v>
      </c>
      <c r="M3456" s="1" t="str">
        <f t="shared" si="399"/>
        <v>mai</v>
      </c>
      <c r="N3456">
        <f t="shared" si="400"/>
        <v>2025</v>
      </c>
      <c r="O3456" s="2">
        <f>_xlfn.XLOOKUP(A3456,Colaboradores!$A:$A,Colaboradores!$S:$S,"",0)</f>
        <v>45815</v>
      </c>
      <c r="P3456" t="str">
        <f t="shared" si="401"/>
        <v>170245790</v>
      </c>
    </row>
    <row r="3457" spans="1:16" x14ac:dyDescent="0.3">
      <c r="A3457">
        <v>1702</v>
      </c>
      <c r="B3457">
        <v>53</v>
      </c>
      <c r="C3457" t="s">
        <v>26</v>
      </c>
      <c r="D3457" t="s">
        <v>27</v>
      </c>
      <c r="E3457" t="s">
        <v>17</v>
      </c>
      <c r="F3457" t="s">
        <v>18</v>
      </c>
      <c r="G3457" t="s">
        <v>41</v>
      </c>
      <c r="H3457" t="s">
        <v>20</v>
      </c>
      <c r="I3457" s="1">
        <v>2</v>
      </c>
      <c r="J3457" s="2">
        <v>45809</v>
      </c>
      <c r="K3457" s="2">
        <v>45809</v>
      </c>
      <c r="L3457" s="1" t="str">
        <f t="shared" si="398"/>
        <v>dom</v>
      </c>
      <c r="M3457" s="1" t="str">
        <f t="shared" si="399"/>
        <v>jun</v>
      </c>
      <c r="N3457">
        <f t="shared" si="400"/>
        <v>2025</v>
      </c>
      <c r="O3457" s="2">
        <f>_xlfn.XLOOKUP(A3457,Colaboradores!$A:$A,Colaboradores!$S:$S,"",0)</f>
        <v>45815</v>
      </c>
      <c r="P3457" t="str">
        <f t="shared" si="401"/>
        <v>170245809</v>
      </c>
    </row>
    <row r="3458" spans="1:16" x14ac:dyDescent="0.3">
      <c r="A3458">
        <v>1702</v>
      </c>
      <c r="B3458">
        <v>53</v>
      </c>
      <c r="C3458" t="s">
        <v>26</v>
      </c>
      <c r="D3458" t="s">
        <v>27</v>
      </c>
      <c r="E3458" t="s">
        <v>17</v>
      </c>
      <c r="F3458" t="s">
        <v>18</v>
      </c>
      <c r="G3458" t="s">
        <v>41</v>
      </c>
      <c r="H3458" t="s">
        <v>20</v>
      </c>
      <c r="I3458" s="1">
        <v>2</v>
      </c>
      <c r="J3458" s="2">
        <v>45811</v>
      </c>
      <c r="K3458" s="2">
        <v>45809</v>
      </c>
      <c r="L3458" s="1" t="str">
        <f t="shared" si="398"/>
        <v>ter</v>
      </c>
      <c r="M3458" s="1" t="str">
        <f t="shared" si="399"/>
        <v>jun</v>
      </c>
      <c r="N3458">
        <f t="shared" si="400"/>
        <v>2025</v>
      </c>
      <c r="O3458" s="2">
        <f>_xlfn.XLOOKUP(A3458,Colaboradores!$A:$A,Colaboradores!$S:$S,"",0)</f>
        <v>45815</v>
      </c>
      <c r="P3458" t="str">
        <f t="shared" si="401"/>
        <v>170245811</v>
      </c>
    </row>
    <row r="3459" spans="1:16" x14ac:dyDescent="0.3">
      <c r="A3459">
        <v>1702</v>
      </c>
      <c r="B3459">
        <v>53</v>
      </c>
      <c r="C3459" t="s">
        <v>26</v>
      </c>
      <c r="D3459" t="s">
        <v>27</v>
      </c>
      <c r="E3459" t="s">
        <v>17</v>
      </c>
      <c r="F3459" t="s">
        <v>18</v>
      </c>
      <c r="G3459" t="s">
        <v>41</v>
      </c>
      <c r="H3459" t="s">
        <v>20</v>
      </c>
      <c r="I3459" s="1">
        <v>2</v>
      </c>
      <c r="J3459" s="2">
        <v>45812</v>
      </c>
      <c r="K3459" s="2">
        <v>45809</v>
      </c>
      <c r="L3459" s="1" t="str">
        <f t="shared" si="398"/>
        <v>qua</v>
      </c>
      <c r="M3459" s="1" t="str">
        <f t="shared" si="399"/>
        <v>jun</v>
      </c>
      <c r="N3459">
        <f t="shared" si="400"/>
        <v>2025</v>
      </c>
      <c r="O3459" s="2">
        <f>_xlfn.XLOOKUP(A3459,Colaboradores!$A:$A,Colaboradores!$S:$S,"",0)</f>
        <v>45815</v>
      </c>
      <c r="P3459" t="str">
        <f t="shared" si="401"/>
        <v>170245812</v>
      </c>
    </row>
    <row r="3460" spans="1:16" x14ac:dyDescent="0.3">
      <c r="A3460">
        <v>1702</v>
      </c>
      <c r="B3460">
        <v>53</v>
      </c>
      <c r="C3460" t="s">
        <v>26</v>
      </c>
      <c r="D3460" t="s">
        <v>27</v>
      </c>
      <c r="E3460" t="s">
        <v>17</v>
      </c>
      <c r="F3460" t="s">
        <v>18</v>
      </c>
      <c r="G3460" t="s">
        <v>41</v>
      </c>
      <c r="H3460" t="s">
        <v>20</v>
      </c>
      <c r="I3460" s="1">
        <v>2</v>
      </c>
      <c r="J3460" s="2">
        <v>45813</v>
      </c>
      <c r="K3460" s="2">
        <v>45809</v>
      </c>
      <c r="L3460" s="1" t="str">
        <f t="shared" si="398"/>
        <v>qui</v>
      </c>
      <c r="M3460" s="1" t="str">
        <f t="shared" si="399"/>
        <v>jun</v>
      </c>
      <c r="N3460">
        <f t="shared" si="400"/>
        <v>2025</v>
      </c>
      <c r="O3460" s="2">
        <f>_xlfn.XLOOKUP(A3460,Colaboradores!$A:$A,Colaboradores!$S:$S,"",0)</f>
        <v>45815</v>
      </c>
      <c r="P3460" t="str">
        <f t="shared" si="401"/>
        <v>170245813</v>
      </c>
    </row>
    <row r="3461" spans="1:16" x14ac:dyDescent="0.3">
      <c r="A3461">
        <v>1704</v>
      </c>
      <c r="B3461">
        <v>57</v>
      </c>
      <c r="C3461" t="s">
        <v>15</v>
      </c>
      <c r="D3461" t="s">
        <v>27</v>
      </c>
      <c r="E3461" t="s">
        <v>17</v>
      </c>
      <c r="F3461" t="s">
        <v>21</v>
      </c>
      <c r="G3461" t="s">
        <v>41</v>
      </c>
      <c r="H3461" t="s">
        <v>20</v>
      </c>
      <c r="I3461" s="1">
        <v>3</v>
      </c>
      <c r="J3461" s="2">
        <v>45672</v>
      </c>
      <c r="K3461" s="2">
        <v>45658</v>
      </c>
      <c r="L3461" s="1" t="str">
        <f t="shared" si="398"/>
        <v>qua</v>
      </c>
      <c r="M3461" s="1" t="str">
        <f t="shared" si="399"/>
        <v>jan</v>
      </c>
      <c r="N3461">
        <f t="shared" si="400"/>
        <v>2025</v>
      </c>
      <c r="O3461" s="2">
        <f>_xlfn.XLOOKUP(A3461,Colaboradores!$A:$A,Colaboradores!$S:$S,"",0)</f>
        <v>45773</v>
      </c>
      <c r="P3461" t="str">
        <f t="shared" si="401"/>
        <v>170445672</v>
      </c>
    </row>
    <row r="3462" spans="1:16" x14ac:dyDescent="0.3">
      <c r="A3462">
        <v>1704</v>
      </c>
      <c r="B3462">
        <v>57</v>
      </c>
      <c r="C3462" t="s">
        <v>15</v>
      </c>
      <c r="D3462" t="s">
        <v>27</v>
      </c>
      <c r="E3462" t="s">
        <v>17</v>
      </c>
      <c r="F3462" t="s">
        <v>21</v>
      </c>
      <c r="G3462" t="s">
        <v>57</v>
      </c>
      <c r="H3462" t="s">
        <v>20</v>
      </c>
      <c r="I3462" s="1">
        <v>3</v>
      </c>
      <c r="J3462" s="2">
        <v>45759</v>
      </c>
      <c r="K3462" s="2">
        <v>45748</v>
      </c>
      <c r="L3462" s="1" t="str">
        <f t="shared" si="398"/>
        <v>sáb</v>
      </c>
      <c r="M3462" s="1" t="str">
        <f t="shared" si="399"/>
        <v>abr</v>
      </c>
      <c r="N3462">
        <f t="shared" si="400"/>
        <v>2025</v>
      </c>
      <c r="O3462" s="2">
        <f>_xlfn.XLOOKUP(A3462,Colaboradores!$A:$A,Colaboradores!$S:$S,"",0)</f>
        <v>45773</v>
      </c>
      <c r="P3462" t="str">
        <f t="shared" si="401"/>
        <v>170445759</v>
      </c>
    </row>
    <row r="3463" spans="1:16" x14ac:dyDescent="0.3">
      <c r="A3463">
        <v>1704</v>
      </c>
      <c r="B3463">
        <v>57</v>
      </c>
      <c r="C3463" t="s">
        <v>15</v>
      </c>
      <c r="D3463" t="s">
        <v>27</v>
      </c>
      <c r="E3463" t="s">
        <v>17</v>
      </c>
      <c r="F3463" t="s">
        <v>21</v>
      </c>
      <c r="G3463" t="s">
        <v>41</v>
      </c>
      <c r="H3463" t="s">
        <v>20</v>
      </c>
      <c r="I3463" s="1">
        <v>3</v>
      </c>
      <c r="J3463" s="2">
        <v>45760</v>
      </c>
      <c r="K3463" s="2">
        <v>45748</v>
      </c>
      <c r="L3463" s="1" t="str">
        <f t="shared" si="398"/>
        <v>dom</v>
      </c>
      <c r="M3463" s="1" t="str">
        <f t="shared" si="399"/>
        <v>abr</v>
      </c>
      <c r="N3463">
        <f t="shared" si="400"/>
        <v>2025</v>
      </c>
      <c r="O3463" s="2">
        <f>_xlfn.XLOOKUP(A3463,Colaboradores!$A:$A,Colaboradores!$S:$S,"",0)</f>
        <v>45773</v>
      </c>
      <c r="P3463" t="str">
        <f t="shared" si="401"/>
        <v>170445760</v>
      </c>
    </row>
    <row r="3464" spans="1:16" x14ac:dyDescent="0.3">
      <c r="A3464">
        <v>1704</v>
      </c>
      <c r="B3464">
        <v>57</v>
      </c>
      <c r="C3464" t="s">
        <v>15</v>
      </c>
      <c r="D3464" t="s">
        <v>27</v>
      </c>
      <c r="E3464" t="s">
        <v>17</v>
      </c>
      <c r="F3464" t="s">
        <v>21</v>
      </c>
      <c r="G3464" t="s">
        <v>41</v>
      </c>
      <c r="H3464" t="s">
        <v>20</v>
      </c>
      <c r="I3464" s="1">
        <v>3</v>
      </c>
      <c r="J3464" s="2">
        <v>45761</v>
      </c>
      <c r="K3464" s="2">
        <v>45748</v>
      </c>
      <c r="L3464" s="1" t="str">
        <f t="shared" si="398"/>
        <v>seg</v>
      </c>
      <c r="M3464" s="1" t="str">
        <f t="shared" si="399"/>
        <v>abr</v>
      </c>
      <c r="N3464">
        <f t="shared" si="400"/>
        <v>2025</v>
      </c>
      <c r="O3464" s="2">
        <f>_xlfn.XLOOKUP(A3464,Colaboradores!$A:$A,Colaboradores!$S:$S,"",0)</f>
        <v>45773</v>
      </c>
      <c r="P3464" t="str">
        <f t="shared" si="401"/>
        <v>170445761</v>
      </c>
    </row>
    <row r="3465" spans="1:16" x14ac:dyDescent="0.3">
      <c r="A3465">
        <v>1704</v>
      </c>
      <c r="B3465">
        <v>57</v>
      </c>
      <c r="C3465" t="s">
        <v>15</v>
      </c>
      <c r="D3465" t="s">
        <v>27</v>
      </c>
      <c r="E3465" t="s">
        <v>17</v>
      </c>
      <c r="F3465" t="s">
        <v>21</v>
      </c>
      <c r="G3465" t="s">
        <v>57</v>
      </c>
      <c r="H3465" t="s">
        <v>20</v>
      </c>
      <c r="I3465" s="1">
        <v>3</v>
      </c>
      <c r="J3465" s="2">
        <v>45765</v>
      </c>
      <c r="K3465" s="2">
        <v>45748</v>
      </c>
      <c r="L3465" s="1" t="str">
        <f t="shared" si="398"/>
        <v>sex</v>
      </c>
      <c r="M3465" s="1" t="str">
        <f t="shared" si="399"/>
        <v>abr</v>
      </c>
      <c r="N3465">
        <f t="shared" si="400"/>
        <v>2025</v>
      </c>
      <c r="O3465" s="2">
        <f>_xlfn.XLOOKUP(A3465,Colaboradores!$A:$A,Colaboradores!$S:$S,"",0)</f>
        <v>45773</v>
      </c>
      <c r="P3465" t="str">
        <f t="shared" si="401"/>
        <v>170445765</v>
      </c>
    </row>
    <row r="3466" spans="1:16" x14ac:dyDescent="0.3">
      <c r="A3466">
        <v>1704</v>
      </c>
      <c r="B3466">
        <v>57</v>
      </c>
      <c r="C3466" t="s">
        <v>15</v>
      </c>
      <c r="D3466" t="s">
        <v>27</v>
      </c>
      <c r="E3466" t="s">
        <v>17</v>
      </c>
      <c r="F3466" t="s">
        <v>21</v>
      </c>
      <c r="G3466" t="s">
        <v>57</v>
      </c>
      <c r="H3466" t="s">
        <v>20</v>
      </c>
      <c r="I3466" s="1">
        <v>3</v>
      </c>
      <c r="J3466" s="2">
        <v>45772</v>
      </c>
      <c r="K3466" s="2">
        <v>45748</v>
      </c>
      <c r="L3466" s="1" t="str">
        <f t="shared" si="398"/>
        <v>sex</v>
      </c>
      <c r="M3466" s="1" t="str">
        <f t="shared" si="399"/>
        <v>abr</v>
      </c>
      <c r="N3466">
        <f t="shared" si="400"/>
        <v>2025</v>
      </c>
      <c r="O3466" s="2">
        <f>_xlfn.XLOOKUP(A3466,Colaboradores!$A:$A,Colaboradores!$S:$S,"",0)</f>
        <v>45773</v>
      </c>
      <c r="P3466" t="str">
        <f t="shared" si="401"/>
        <v>170445772</v>
      </c>
    </row>
    <row r="3467" spans="1:16" x14ac:dyDescent="0.3">
      <c r="A3467">
        <v>1705</v>
      </c>
      <c r="B3467">
        <v>27</v>
      </c>
      <c r="C3467" t="s">
        <v>26</v>
      </c>
      <c r="D3467" t="s">
        <v>16</v>
      </c>
      <c r="E3467" t="s">
        <v>17</v>
      </c>
      <c r="F3467" t="s">
        <v>21</v>
      </c>
      <c r="G3467" t="s">
        <v>41</v>
      </c>
      <c r="H3467" t="s">
        <v>20</v>
      </c>
      <c r="I3467" s="1">
        <v>1</v>
      </c>
      <c r="J3467" s="2">
        <v>45734</v>
      </c>
      <c r="K3467" s="2">
        <v>45717</v>
      </c>
      <c r="L3467" s="1" t="str">
        <f t="shared" si="398"/>
        <v>ter</v>
      </c>
      <c r="M3467" s="1" t="str">
        <f t="shared" si="399"/>
        <v>mar</v>
      </c>
      <c r="N3467">
        <f t="shared" si="400"/>
        <v>2025</v>
      </c>
      <c r="O3467" s="2">
        <f>_xlfn.XLOOKUP(A3467,Colaboradores!$A:$A,Colaboradores!$S:$S,"",0)</f>
        <v>45838</v>
      </c>
      <c r="P3467" t="str">
        <f t="shared" si="401"/>
        <v>170545734</v>
      </c>
    </row>
    <row r="3468" spans="1:16" x14ac:dyDescent="0.3">
      <c r="A3468">
        <v>1705</v>
      </c>
      <c r="B3468">
        <v>27</v>
      </c>
      <c r="C3468" t="s">
        <v>26</v>
      </c>
      <c r="D3468" t="s">
        <v>16</v>
      </c>
      <c r="E3468" t="s">
        <v>17</v>
      </c>
      <c r="F3468" t="s">
        <v>21</v>
      </c>
      <c r="G3468" t="s">
        <v>41</v>
      </c>
      <c r="H3468" t="s">
        <v>20</v>
      </c>
      <c r="I3468" s="1">
        <v>1</v>
      </c>
      <c r="J3468" s="2">
        <v>45816</v>
      </c>
      <c r="K3468" s="2">
        <v>45809</v>
      </c>
      <c r="L3468" s="1" t="str">
        <f t="shared" si="398"/>
        <v>dom</v>
      </c>
      <c r="M3468" s="1" t="str">
        <f t="shared" si="399"/>
        <v>jun</v>
      </c>
      <c r="N3468">
        <f t="shared" si="400"/>
        <v>2025</v>
      </c>
      <c r="O3468" s="2">
        <f>_xlfn.XLOOKUP(A3468,Colaboradores!$A:$A,Colaboradores!$S:$S,"",0)</f>
        <v>45838</v>
      </c>
      <c r="P3468" t="str">
        <f t="shared" si="401"/>
        <v>170545816</v>
      </c>
    </row>
    <row r="3469" spans="1:16" x14ac:dyDescent="0.3">
      <c r="A3469">
        <v>1705</v>
      </c>
      <c r="B3469">
        <v>27</v>
      </c>
      <c r="C3469" t="s">
        <v>26</v>
      </c>
      <c r="D3469" t="s">
        <v>16</v>
      </c>
      <c r="E3469" t="s">
        <v>17</v>
      </c>
      <c r="F3469" t="s">
        <v>21</v>
      </c>
      <c r="G3469" t="s">
        <v>41</v>
      </c>
      <c r="H3469" t="s">
        <v>20</v>
      </c>
      <c r="I3469" s="1">
        <v>1</v>
      </c>
      <c r="J3469" s="2">
        <v>45822</v>
      </c>
      <c r="K3469" s="2">
        <v>45809</v>
      </c>
      <c r="L3469" s="1" t="str">
        <f t="shared" si="398"/>
        <v>sáb</v>
      </c>
      <c r="M3469" s="1" t="str">
        <f t="shared" si="399"/>
        <v>jun</v>
      </c>
      <c r="N3469">
        <f t="shared" si="400"/>
        <v>2025</v>
      </c>
      <c r="O3469" s="2">
        <f>_xlfn.XLOOKUP(A3469,Colaboradores!$A:$A,Colaboradores!$S:$S,"",0)</f>
        <v>45838</v>
      </c>
      <c r="P3469" t="str">
        <f t="shared" si="401"/>
        <v>170545822</v>
      </c>
    </row>
    <row r="3470" spans="1:16" x14ac:dyDescent="0.3">
      <c r="A3470">
        <v>1705</v>
      </c>
      <c r="B3470">
        <v>27</v>
      </c>
      <c r="C3470" t="s">
        <v>26</v>
      </c>
      <c r="D3470" t="s">
        <v>16</v>
      </c>
      <c r="E3470" t="s">
        <v>17</v>
      </c>
      <c r="F3470" t="s">
        <v>21</v>
      </c>
      <c r="G3470" t="s">
        <v>41</v>
      </c>
      <c r="H3470" t="s">
        <v>20</v>
      </c>
      <c r="I3470" s="1">
        <v>1</v>
      </c>
      <c r="J3470" s="2">
        <v>45826</v>
      </c>
      <c r="K3470" s="2">
        <v>45809</v>
      </c>
      <c r="L3470" s="1" t="str">
        <f t="shared" si="398"/>
        <v>qua</v>
      </c>
      <c r="M3470" s="1" t="str">
        <f t="shared" si="399"/>
        <v>jun</v>
      </c>
      <c r="N3470">
        <f t="shared" si="400"/>
        <v>2025</v>
      </c>
      <c r="O3470" s="2">
        <f>_xlfn.XLOOKUP(A3470,Colaboradores!$A:$A,Colaboradores!$S:$S,"",0)</f>
        <v>45838</v>
      </c>
      <c r="P3470" t="str">
        <f t="shared" si="401"/>
        <v>170545826</v>
      </c>
    </row>
    <row r="3471" spans="1:16" x14ac:dyDescent="0.3">
      <c r="A3471">
        <v>1705</v>
      </c>
      <c r="B3471">
        <v>27</v>
      </c>
      <c r="C3471" t="s">
        <v>26</v>
      </c>
      <c r="D3471" t="s">
        <v>16</v>
      </c>
      <c r="E3471" t="s">
        <v>17</v>
      </c>
      <c r="F3471" t="s">
        <v>21</v>
      </c>
      <c r="G3471" t="s">
        <v>41</v>
      </c>
      <c r="H3471" t="s">
        <v>20</v>
      </c>
      <c r="I3471" s="1">
        <v>1</v>
      </c>
      <c r="J3471" s="2">
        <v>45827</v>
      </c>
      <c r="K3471" s="2">
        <v>45809</v>
      </c>
      <c r="L3471" s="1" t="str">
        <f t="shared" si="398"/>
        <v>qui</v>
      </c>
      <c r="M3471" s="1" t="str">
        <f t="shared" si="399"/>
        <v>jun</v>
      </c>
      <c r="N3471">
        <f t="shared" si="400"/>
        <v>2025</v>
      </c>
      <c r="O3471" s="2">
        <f>_xlfn.XLOOKUP(A3471,Colaboradores!$A:$A,Colaboradores!$S:$S,"",0)</f>
        <v>45838</v>
      </c>
      <c r="P3471" t="str">
        <f t="shared" si="401"/>
        <v>170545827</v>
      </c>
    </row>
    <row r="3472" spans="1:16" x14ac:dyDescent="0.3">
      <c r="A3472">
        <v>1705</v>
      </c>
      <c r="B3472">
        <v>27</v>
      </c>
      <c r="C3472" t="s">
        <v>26</v>
      </c>
      <c r="D3472" t="s">
        <v>16</v>
      </c>
      <c r="E3472" t="s">
        <v>17</v>
      </c>
      <c r="F3472" t="s">
        <v>21</v>
      </c>
      <c r="G3472" t="s">
        <v>41</v>
      </c>
      <c r="H3472" t="s">
        <v>20</v>
      </c>
      <c r="I3472" s="1">
        <v>1</v>
      </c>
      <c r="J3472" s="2">
        <v>45831</v>
      </c>
      <c r="K3472" s="2">
        <v>45809</v>
      </c>
      <c r="L3472" s="1" t="str">
        <f t="shared" si="398"/>
        <v>seg</v>
      </c>
      <c r="M3472" s="1" t="str">
        <f t="shared" si="399"/>
        <v>jun</v>
      </c>
      <c r="N3472">
        <f t="shared" si="400"/>
        <v>2025</v>
      </c>
      <c r="O3472" s="2">
        <f>_xlfn.XLOOKUP(A3472,Colaboradores!$A:$A,Colaboradores!$S:$S,"",0)</f>
        <v>45838</v>
      </c>
      <c r="P3472" t="str">
        <f t="shared" si="401"/>
        <v>170545831</v>
      </c>
    </row>
    <row r="3473" spans="1:16" x14ac:dyDescent="0.3">
      <c r="A3473">
        <v>1706</v>
      </c>
      <c r="B3473">
        <v>41</v>
      </c>
      <c r="C3473" t="s">
        <v>26</v>
      </c>
      <c r="D3473" t="s">
        <v>27</v>
      </c>
      <c r="E3473" t="s">
        <v>17</v>
      </c>
      <c r="F3473" t="s">
        <v>21</v>
      </c>
      <c r="G3473" t="s">
        <v>41</v>
      </c>
      <c r="H3473" t="s">
        <v>25</v>
      </c>
      <c r="I3473" s="1">
        <v>3</v>
      </c>
      <c r="J3473" s="2">
        <v>45816</v>
      </c>
      <c r="K3473" s="2">
        <v>45809</v>
      </c>
      <c r="L3473" s="1" t="str">
        <f t="shared" ref="L3473:L3504" si="402">TEXT(J3473,"ddd")</f>
        <v>dom</v>
      </c>
      <c r="M3473" s="1" t="str">
        <f t="shared" ref="M3473:M3504" si="403">TEXT($J3473,"mmm")</f>
        <v>jun</v>
      </c>
      <c r="N3473">
        <f t="shared" ref="N3473:N3504" si="404">YEAR(J3473)</f>
        <v>2025</v>
      </c>
      <c r="O3473" s="2"/>
      <c r="P3473" t="str">
        <f t="shared" si="401"/>
        <v>170645816</v>
      </c>
    </row>
    <row r="3474" spans="1:16" x14ac:dyDescent="0.3">
      <c r="A3474">
        <v>1706</v>
      </c>
      <c r="B3474">
        <v>41</v>
      </c>
      <c r="C3474" t="s">
        <v>26</v>
      </c>
      <c r="D3474" t="s">
        <v>27</v>
      </c>
      <c r="E3474" t="s">
        <v>17</v>
      </c>
      <c r="F3474" t="s">
        <v>21</v>
      </c>
      <c r="G3474" t="s">
        <v>41</v>
      </c>
      <c r="H3474" t="s">
        <v>25</v>
      </c>
      <c r="I3474" s="1">
        <v>3</v>
      </c>
      <c r="J3474" s="2">
        <v>45912</v>
      </c>
      <c r="K3474" s="2">
        <v>45901</v>
      </c>
      <c r="L3474" s="1" t="str">
        <f t="shared" si="402"/>
        <v>sex</v>
      </c>
      <c r="M3474" s="1" t="str">
        <f t="shared" si="403"/>
        <v>set</v>
      </c>
      <c r="N3474">
        <f t="shared" si="404"/>
        <v>2025</v>
      </c>
      <c r="O3474" s="2"/>
      <c r="P3474" t="str">
        <f t="shared" si="401"/>
        <v>170645912</v>
      </c>
    </row>
    <row r="3475" spans="1:16" x14ac:dyDescent="0.3">
      <c r="A3475">
        <v>1706</v>
      </c>
      <c r="B3475">
        <v>41</v>
      </c>
      <c r="C3475" t="s">
        <v>26</v>
      </c>
      <c r="D3475" t="s">
        <v>27</v>
      </c>
      <c r="E3475" t="s">
        <v>17</v>
      </c>
      <c r="F3475" t="s">
        <v>21</v>
      </c>
      <c r="G3475" t="s">
        <v>41</v>
      </c>
      <c r="H3475" t="s">
        <v>25</v>
      </c>
      <c r="I3475" s="1">
        <v>3</v>
      </c>
      <c r="J3475" s="2">
        <v>45944</v>
      </c>
      <c r="K3475" s="2">
        <v>45931</v>
      </c>
      <c r="L3475" s="1" t="str">
        <f t="shared" si="402"/>
        <v>ter</v>
      </c>
      <c r="M3475" s="1" t="str">
        <f t="shared" si="403"/>
        <v>out</v>
      </c>
      <c r="N3475">
        <f t="shared" si="404"/>
        <v>2025</v>
      </c>
      <c r="O3475" s="2"/>
      <c r="P3475" t="str">
        <f t="shared" si="401"/>
        <v>170645944</v>
      </c>
    </row>
    <row r="3476" spans="1:16" x14ac:dyDescent="0.3">
      <c r="A3476">
        <v>1706</v>
      </c>
      <c r="B3476">
        <v>41</v>
      </c>
      <c r="C3476" t="s">
        <v>26</v>
      </c>
      <c r="D3476" t="s">
        <v>27</v>
      </c>
      <c r="E3476" t="s">
        <v>17</v>
      </c>
      <c r="F3476" t="s">
        <v>21</v>
      </c>
      <c r="G3476" t="s">
        <v>41</v>
      </c>
      <c r="H3476" t="s">
        <v>25</v>
      </c>
      <c r="I3476" s="1">
        <v>3</v>
      </c>
      <c r="J3476" s="2">
        <v>46004</v>
      </c>
      <c r="K3476" s="2">
        <v>45992</v>
      </c>
      <c r="L3476" s="1" t="str">
        <f t="shared" si="402"/>
        <v>sáb</v>
      </c>
      <c r="M3476" s="1" t="str">
        <f t="shared" si="403"/>
        <v>dez</v>
      </c>
      <c r="N3476">
        <f t="shared" si="404"/>
        <v>2025</v>
      </c>
      <c r="O3476" s="2"/>
      <c r="P3476" t="str">
        <f t="shared" si="401"/>
        <v>170646004</v>
      </c>
    </row>
    <row r="3477" spans="1:16" x14ac:dyDescent="0.3">
      <c r="A3477">
        <v>1706</v>
      </c>
      <c r="B3477">
        <v>41</v>
      </c>
      <c r="C3477" t="s">
        <v>26</v>
      </c>
      <c r="D3477" t="s">
        <v>27</v>
      </c>
      <c r="E3477" t="s">
        <v>17</v>
      </c>
      <c r="F3477" t="s">
        <v>21</v>
      </c>
      <c r="G3477" t="s">
        <v>41</v>
      </c>
      <c r="H3477" t="s">
        <v>25</v>
      </c>
      <c r="I3477" s="1">
        <v>3</v>
      </c>
      <c r="J3477" s="2">
        <v>46185</v>
      </c>
      <c r="K3477" s="2">
        <v>46023</v>
      </c>
      <c r="L3477" s="1" t="str">
        <f t="shared" si="402"/>
        <v>sex</v>
      </c>
      <c r="M3477" s="1" t="str">
        <f t="shared" si="403"/>
        <v>jun</v>
      </c>
      <c r="N3477">
        <f t="shared" si="404"/>
        <v>2026</v>
      </c>
      <c r="O3477" s="2"/>
      <c r="P3477" t="str">
        <f t="shared" si="401"/>
        <v>170646185</v>
      </c>
    </row>
    <row r="3478" spans="1:16" x14ac:dyDescent="0.3">
      <c r="A3478">
        <v>1706</v>
      </c>
      <c r="B3478">
        <v>41</v>
      </c>
      <c r="C3478" t="s">
        <v>26</v>
      </c>
      <c r="D3478" t="s">
        <v>27</v>
      </c>
      <c r="E3478" t="s">
        <v>17</v>
      </c>
      <c r="F3478" t="s">
        <v>21</v>
      </c>
      <c r="G3478" t="s">
        <v>41</v>
      </c>
      <c r="H3478" t="s">
        <v>25</v>
      </c>
      <c r="I3478" s="1">
        <v>3</v>
      </c>
      <c r="J3478" s="2">
        <v>46070</v>
      </c>
      <c r="K3478" s="2">
        <v>46054</v>
      </c>
      <c r="L3478" s="1" t="str">
        <f t="shared" si="402"/>
        <v>ter</v>
      </c>
      <c r="M3478" s="1" t="str">
        <f t="shared" si="403"/>
        <v>fev</v>
      </c>
      <c r="N3478">
        <f t="shared" si="404"/>
        <v>2026</v>
      </c>
      <c r="O3478" s="2"/>
      <c r="P3478" t="str">
        <f t="shared" si="401"/>
        <v>170646070</v>
      </c>
    </row>
    <row r="3479" spans="1:16" x14ac:dyDescent="0.3">
      <c r="A3479">
        <v>1707</v>
      </c>
      <c r="B3479">
        <v>45</v>
      </c>
      <c r="C3479" t="s">
        <v>26</v>
      </c>
      <c r="D3479" t="s">
        <v>27</v>
      </c>
      <c r="E3479" t="s">
        <v>17</v>
      </c>
      <c r="F3479" t="s">
        <v>18</v>
      </c>
      <c r="G3479" t="s">
        <v>41</v>
      </c>
      <c r="H3479" t="s">
        <v>25</v>
      </c>
      <c r="I3479" s="1">
        <v>3</v>
      </c>
      <c r="J3479" s="2">
        <v>45824</v>
      </c>
      <c r="K3479" s="2">
        <v>45809</v>
      </c>
      <c r="L3479" s="1" t="str">
        <f t="shared" si="402"/>
        <v>seg</v>
      </c>
      <c r="M3479" s="1" t="str">
        <f t="shared" si="403"/>
        <v>jun</v>
      </c>
      <c r="N3479">
        <f t="shared" si="404"/>
        <v>2025</v>
      </c>
      <c r="O3479" s="2"/>
      <c r="P3479" t="str">
        <f t="shared" si="401"/>
        <v>170745824</v>
      </c>
    </row>
    <row r="3480" spans="1:16" x14ac:dyDescent="0.3">
      <c r="A3480">
        <v>1707</v>
      </c>
      <c r="B3480">
        <v>45</v>
      </c>
      <c r="C3480" t="s">
        <v>26</v>
      </c>
      <c r="D3480" t="s">
        <v>27</v>
      </c>
      <c r="E3480" t="s">
        <v>17</v>
      </c>
      <c r="F3480" t="s">
        <v>18</v>
      </c>
      <c r="G3480" t="s">
        <v>41</v>
      </c>
      <c r="H3480" t="s">
        <v>25</v>
      </c>
      <c r="I3480" s="1">
        <v>3</v>
      </c>
      <c r="J3480" s="2">
        <v>45908</v>
      </c>
      <c r="K3480" s="2">
        <v>45901</v>
      </c>
      <c r="L3480" s="1" t="str">
        <f t="shared" si="402"/>
        <v>seg</v>
      </c>
      <c r="M3480" s="1" t="str">
        <f t="shared" si="403"/>
        <v>set</v>
      </c>
      <c r="N3480">
        <f t="shared" si="404"/>
        <v>2025</v>
      </c>
      <c r="O3480" s="2"/>
      <c r="P3480" t="str">
        <f t="shared" si="401"/>
        <v>170745908</v>
      </c>
    </row>
    <row r="3481" spans="1:16" x14ac:dyDescent="0.3">
      <c r="A3481">
        <v>1707</v>
      </c>
      <c r="B3481">
        <v>45</v>
      </c>
      <c r="C3481" t="s">
        <v>26</v>
      </c>
      <c r="D3481" t="s">
        <v>27</v>
      </c>
      <c r="E3481" t="s">
        <v>17</v>
      </c>
      <c r="F3481" t="s">
        <v>18</v>
      </c>
      <c r="G3481" t="s">
        <v>41</v>
      </c>
      <c r="H3481" t="s">
        <v>25</v>
      </c>
      <c r="I3481" s="1">
        <v>3</v>
      </c>
      <c r="J3481" s="2">
        <v>45976</v>
      </c>
      <c r="K3481" s="2">
        <v>45962</v>
      </c>
      <c r="L3481" s="1" t="str">
        <f t="shared" si="402"/>
        <v>sáb</v>
      </c>
      <c r="M3481" s="1" t="str">
        <f t="shared" si="403"/>
        <v>nov</v>
      </c>
      <c r="N3481">
        <f t="shared" si="404"/>
        <v>2025</v>
      </c>
      <c r="O3481" s="2"/>
      <c r="P3481" t="str">
        <f t="shared" si="401"/>
        <v>170745976</v>
      </c>
    </row>
    <row r="3482" spans="1:16" x14ac:dyDescent="0.3">
      <c r="A3482">
        <v>1708</v>
      </c>
      <c r="B3482">
        <v>37</v>
      </c>
      <c r="C3482" t="s">
        <v>15</v>
      </c>
      <c r="D3482" t="s">
        <v>16</v>
      </c>
      <c r="E3482" t="s">
        <v>17</v>
      </c>
      <c r="F3482" t="s">
        <v>21</v>
      </c>
      <c r="G3482" t="s">
        <v>41</v>
      </c>
      <c r="H3482" t="s">
        <v>20</v>
      </c>
      <c r="I3482" s="1">
        <v>2</v>
      </c>
      <c r="J3482" s="2">
        <v>45812</v>
      </c>
      <c r="K3482" s="2">
        <v>45809</v>
      </c>
      <c r="L3482" s="1" t="str">
        <f t="shared" si="402"/>
        <v>qua</v>
      </c>
      <c r="M3482" s="1" t="str">
        <f t="shared" si="403"/>
        <v>jun</v>
      </c>
      <c r="N3482">
        <f t="shared" si="404"/>
        <v>2025</v>
      </c>
      <c r="O3482" s="2">
        <f>_xlfn.XLOOKUP(A3482,Colaboradores!$A:$A,Colaboradores!$S:$S,"",0)</f>
        <v>46041</v>
      </c>
      <c r="P3482" t="str">
        <f t="shared" si="401"/>
        <v>170845812</v>
      </c>
    </row>
    <row r="3483" spans="1:16" x14ac:dyDescent="0.3">
      <c r="A3483">
        <v>1708</v>
      </c>
      <c r="B3483">
        <v>37</v>
      </c>
      <c r="C3483" t="s">
        <v>15</v>
      </c>
      <c r="D3483" t="s">
        <v>16</v>
      </c>
      <c r="E3483" t="s">
        <v>17</v>
      </c>
      <c r="F3483" t="s">
        <v>21</v>
      </c>
      <c r="G3483" t="s">
        <v>41</v>
      </c>
      <c r="H3483" t="s">
        <v>20</v>
      </c>
      <c r="I3483" s="1">
        <v>2</v>
      </c>
      <c r="J3483" s="2">
        <v>45842</v>
      </c>
      <c r="K3483" s="2">
        <v>45839</v>
      </c>
      <c r="L3483" s="1" t="str">
        <f t="shared" si="402"/>
        <v>sex</v>
      </c>
      <c r="M3483" s="1" t="str">
        <f t="shared" si="403"/>
        <v>jul</v>
      </c>
      <c r="N3483">
        <f t="shared" si="404"/>
        <v>2025</v>
      </c>
      <c r="O3483" s="2">
        <f>_xlfn.XLOOKUP(A3483,Colaboradores!$A:$A,Colaboradores!$S:$S,"",0)</f>
        <v>46041</v>
      </c>
      <c r="P3483" t="str">
        <f t="shared" si="401"/>
        <v>170845842</v>
      </c>
    </row>
    <row r="3484" spans="1:16" x14ac:dyDescent="0.3">
      <c r="A3484">
        <v>1708</v>
      </c>
      <c r="B3484">
        <v>37</v>
      </c>
      <c r="C3484" t="s">
        <v>15</v>
      </c>
      <c r="D3484" t="s">
        <v>16</v>
      </c>
      <c r="E3484" t="s">
        <v>17</v>
      </c>
      <c r="F3484" t="s">
        <v>21</v>
      </c>
      <c r="G3484" t="s">
        <v>41</v>
      </c>
      <c r="H3484" t="s">
        <v>20</v>
      </c>
      <c r="I3484" s="1">
        <v>2</v>
      </c>
      <c r="J3484" s="2">
        <v>45911</v>
      </c>
      <c r="K3484" s="2">
        <v>45901</v>
      </c>
      <c r="L3484" s="1" t="str">
        <f t="shared" si="402"/>
        <v>qui</v>
      </c>
      <c r="M3484" s="1" t="str">
        <f t="shared" si="403"/>
        <v>set</v>
      </c>
      <c r="N3484">
        <f t="shared" si="404"/>
        <v>2025</v>
      </c>
      <c r="O3484" s="2">
        <f>_xlfn.XLOOKUP(A3484,Colaboradores!$A:$A,Colaboradores!$S:$S,"",0)</f>
        <v>46041</v>
      </c>
      <c r="P3484" t="str">
        <f t="shared" si="401"/>
        <v>170845911</v>
      </c>
    </row>
    <row r="3485" spans="1:16" x14ac:dyDescent="0.3">
      <c r="A3485">
        <v>1708</v>
      </c>
      <c r="B3485">
        <v>37</v>
      </c>
      <c r="C3485" t="s">
        <v>15</v>
      </c>
      <c r="D3485" t="s">
        <v>16</v>
      </c>
      <c r="E3485" t="s">
        <v>17</v>
      </c>
      <c r="F3485" t="s">
        <v>21</v>
      </c>
      <c r="G3485" t="s">
        <v>41</v>
      </c>
      <c r="H3485" t="s">
        <v>20</v>
      </c>
      <c r="I3485" s="1">
        <v>2</v>
      </c>
      <c r="J3485" s="2">
        <v>45992</v>
      </c>
      <c r="K3485" s="2">
        <v>45992</v>
      </c>
      <c r="L3485" s="1" t="str">
        <f t="shared" si="402"/>
        <v>seg</v>
      </c>
      <c r="M3485" s="1" t="str">
        <f t="shared" si="403"/>
        <v>dez</v>
      </c>
      <c r="N3485">
        <f t="shared" si="404"/>
        <v>2025</v>
      </c>
      <c r="O3485" s="2">
        <f>_xlfn.XLOOKUP(A3485,Colaboradores!$A:$A,Colaboradores!$S:$S,"",0)</f>
        <v>46041</v>
      </c>
      <c r="P3485" t="str">
        <f t="shared" si="401"/>
        <v>170845992</v>
      </c>
    </row>
    <row r="3486" spans="1:16" x14ac:dyDescent="0.3">
      <c r="A3486">
        <v>1708</v>
      </c>
      <c r="B3486">
        <v>37</v>
      </c>
      <c r="C3486" t="s">
        <v>15</v>
      </c>
      <c r="D3486" t="s">
        <v>16</v>
      </c>
      <c r="E3486" t="s">
        <v>17</v>
      </c>
      <c r="F3486" t="s">
        <v>21</v>
      </c>
      <c r="G3486" t="s">
        <v>41</v>
      </c>
      <c r="H3486" t="s">
        <v>20</v>
      </c>
      <c r="I3486" s="1">
        <v>2</v>
      </c>
      <c r="J3486" s="2">
        <v>46179</v>
      </c>
      <c r="K3486" s="2">
        <v>46023</v>
      </c>
      <c r="L3486" s="1" t="str">
        <f t="shared" si="402"/>
        <v>sáb</v>
      </c>
      <c r="M3486" s="1" t="str">
        <f t="shared" si="403"/>
        <v>jun</v>
      </c>
      <c r="N3486">
        <f t="shared" si="404"/>
        <v>2026</v>
      </c>
      <c r="O3486" s="2">
        <f>_xlfn.XLOOKUP(A3486,Colaboradores!$A:$A,Colaboradores!$S:$S,"",0)</f>
        <v>46041</v>
      </c>
      <c r="P3486" t="str">
        <f t="shared" si="401"/>
        <v>170846179</v>
      </c>
    </row>
    <row r="3487" spans="1:16" x14ac:dyDescent="0.3">
      <c r="A3487">
        <v>1708</v>
      </c>
      <c r="B3487">
        <v>37</v>
      </c>
      <c r="C3487" t="s">
        <v>15</v>
      </c>
      <c r="D3487" t="s">
        <v>16</v>
      </c>
      <c r="E3487" t="s">
        <v>17</v>
      </c>
      <c r="F3487" t="s">
        <v>21</v>
      </c>
      <c r="G3487" t="s">
        <v>41</v>
      </c>
      <c r="H3487" t="s">
        <v>20</v>
      </c>
      <c r="I3487" s="1">
        <v>2</v>
      </c>
      <c r="J3487" s="2">
        <v>46190</v>
      </c>
      <c r="K3487" s="2">
        <v>46023</v>
      </c>
      <c r="L3487" s="1" t="str">
        <f t="shared" si="402"/>
        <v>qua</v>
      </c>
      <c r="M3487" s="1" t="str">
        <f t="shared" si="403"/>
        <v>jun</v>
      </c>
      <c r="N3487">
        <f t="shared" si="404"/>
        <v>2026</v>
      </c>
      <c r="O3487" s="2">
        <f>_xlfn.XLOOKUP(A3487,Colaboradores!$A:$A,Colaboradores!$S:$S,"",0)</f>
        <v>46041</v>
      </c>
      <c r="P3487" t="str">
        <f t="shared" si="401"/>
        <v>170846190</v>
      </c>
    </row>
    <row r="3488" spans="1:16" x14ac:dyDescent="0.3">
      <c r="A3488">
        <v>1709</v>
      </c>
      <c r="B3488">
        <v>25</v>
      </c>
      <c r="C3488" t="s">
        <v>15</v>
      </c>
      <c r="D3488" t="s">
        <v>29</v>
      </c>
      <c r="E3488" t="s">
        <v>17</v>
      </c>
      <c r="F3488" t="s">
        <v>18</v>
      </c>
      <c r="G3488" t="s">
        <v>41</v>
      </c>
      <c r="H3488" t="s">
        <v>20</v>
      </c>
      <c r="I3488" s="1">
        <v>3</v>
      </c>
      <c r="J3488" s="2">
        <v>45774</v>
      </c>
      <c r="K3488" s="2">
        <v>45748</v>
      </c>
      <c r="L3488" s="1" t="str">
        <f t="shared" si="402"/>
        <v>dom</v>
      </c>
      <c r="M3488" s="1" t="str">
        <f t="shared" si="403"/>
        <v>abr</v>
      </c>
      <c r="N3488">
        <f t="shared" si="404"/>
        <v>2025</v>
      </c>
      <c r="O3488" s="2">
        <f>_xlfn.XLOOKUP(A3488,Colaboradores!$A:$A,Colaboradores!$S:$S,"",0)</f>
        <v>45838</v>
      </c>
      <c r="P3488" t="str">
        <f t="shared" si="401"/>
        <v>170945774</v>
      </c>
    </row>
    <row r="3489" spans="1:16" x14ac:dyDescent="0.3">
      <c r="A3489">
        <v>1709</v>
      </c>
      <c r="B3489">
        <v>25</v>
      </c>
      <c r="C3489" t="s">
        <v>15</v>
      </c>
      <c r="D3489" t="s">
        <v>29</v>
      </c>
      <c r="E3489" t="s">
        <v>17</v>
      </c>
      <c r="F3489" t="s">
        <v>18</v>
      </c>
      <c r="G3489" t="s">
        <v>41</v>
      </c>
      <c r="H3489" t="s">
        <v>20</v>
      </c>
      <c r="I3489" s="1">
        <v>3</v>
      </c>
      <c r="J3489" s="2">
        <v>45810</v>
      </c>
      <c r="K3489" s="2">
        <v>45809</v>
      </c>
      <c r="L3489" s="1" t="str">
        <f t="shared" si="402"/>
        <v>seg</v>
      </c>
      <c r="M3489" s="1" t="str">
        <f t="shared" si="403"/>
        <v>jun</v>
      </c>
      <c r="N3489">
        <f t="shared" si="404"/>
        <v>2025</v>
      </c>
      <c r="O3489" s="2">
        <f>_xlfn.XLOOKUP(A3489,Colaboradores!$A:$A,Colaboradores!$S:$S,"",0)</f>
        <v>45838</v>
      </c>
      <c r="P3489" t="str">
        <f t="shared" si="401"/>
        <v>170945810</v>
      </c>
    </row>
    <row r="3490" spans="1:16" x14ac:dyDescent="0.3">
      <c r="A3490">
        <v>1709</v>
      </c>
      <c r="B3490">
        <v>25</v>
      </c>
      <c r="C3490" t="s">
        <v>15</v>
      </c>
      <c r="D3490" t="s">
        <v>29</v>
      </c>
      <c r="E3490" t="s">
        <v>17</v>
      </c>
      <c r="F3490" t="s">
        <v>18</v>
      </c>
      <c r="G3490" t="s">
        <v>41</v>
      </c>
      <c r="H3490" t="s">
        <v>20</v>
      </c>
      <c r="I3490" s="1">
        <v>3</v>
      </c>
      <c r="J3490" s="2">
        <v>45820</v>
      </c>
      <c r="K3490" s="2">
        <v>45809</v>
      </c>
      <c r="L3490" s="1" t="str">
        <f t="shared" si="402"/>
        <v>qui</v>
      </c>
      <c r="M3490" s="1" t="str">
        <f t="shared" si="403"/>
        <v>jun</v>
      </c>
      <c r="N3490">
        <f t="shared" si="404"/>
        <v>2025</v>
      </c>
      <c r="O3490" s="2">
        <f>_xlfn.XLOOKUP(A3490,Colaboradores!$A:$A,Colaboradores!$S:$S,"",0)</f>
        <v>45838</v>
      </c>
      <c r="P3490" t="str">
        <f t="shared" si="401"/>
        <v>170945820</v>
      </c>
    </row>
    <row r="3491" spans="1:16" x14ac:dyDescent="0.3">
      <c r="A3491">
        <v>1709</v>
      </c>
      <c r="B3491">
        <v>25</v>
      </c>
      <c r="C3491" t="s">
        <v>15</v>
      </c>
      <c r="D3491" t="s">
        <v>29</v>
      </c>
      <c r="E3491" t="s">
        <v>17</v>
      </c>
      <c r="F3491" t="s">
        <v>18</v>
      </c>
      <c r="G3491" t="s">
        <v>41</v>
      </c>
      <c r="H3491" t="s">
        <v>20</v>
      </c>
      <c r="I3491" s="1">
        <v>3</v>
      </c>
      <c r="J3491" s="2">
        <v>45827</v>
      </c>
      <c r="K3491" s="2">
        <v>45809</v>
      </c>
      <c r="L3491" s="1" t="str">
        <f t="shared" si="402"/>
        <v>qui</v>
      </c>
      <c r="M3491" s="1" t="str">
        <f t="shared" si="403"/>
        <v>jun</v>
      </c>
      <c r="N3491">
        <f t="shared" si="404"/>
        <v>2025</v>
      </c>
      <c r="O3491" s="2">
        <f>_xlfn.XLOOKUP(A3491,Colaboradores!$A:$A,Colaboradores!$S:$S,"",0)</f>
        <v>45838</v>
      </c>
      <c r="P3491" t="str">
        <f t="shared" si="401"/>
        <v>170945827</v>
      </c>
    </row>
    <row r="3492" spans="1:16" x14ac:dyDescent="0.3">
      <c r="A3492">
        <v>1709</v>
      </c>
      <c r="B3492">
        <v>25</v>
      </c>
      <c r="C3492" t="s">
        <v>15</v>
      </c>
      <c r="D3492" t="s">
        <v>29</v>
      </c>
      <c r="E3492" t="s">
        <v>17</v>
      </c>
      <c r="F3492" t="s">
        <v>18</v>
      </c>
      <c r="G3492" t="s">
        <v>41</v>
      </c>
      <c r="H3492" t="s">
        <v>20</v>
      </c>
      <c r="I3492" s="1">
        <v>3</v>
      </c>
      <c r="J3492" s="2">
        <v>45830</v>
      </c>
      <c r="K3492" s="2">
        <v>45809</v>
      </c>
      <c r="L3492" s="1" t="str">
        <f t="shared" si="402"/>
        <v>dom</v>
      </c>
      <c r="M3492" s="1" t="str">
        <f t="shared" si="403"/>
        <v>jun</v>
      </c>
      <c r="N3492">
        <f t="shared" si="404"/>
        <v>2025</v>
      </c>
      <c r="O3492" s="2">
        <f>_xlfn.XLOOKUP(A3492,Colaboradores!$A:$A,Colaboradores!$S:$S,"",0)</f>
        <v>45838</v>
      </c>
      <c r="P3492" t="str">
        <f t="shared" si="401"/>
        <v>170945830</v>
      </c>
    </row>
    <row r="3493" spans="1:16" x14ac:dyDescent="0.3">
      <c r="A3493">
        <v>1709</v>
      </c>
      <c r="B3493">
        <v>25</v>
      </c>
      <c r="C3493" t="s">
        <v>15</v>
      </c>
      <c r="D3493" t="s">
        <v>29</v>
      </c>
      <c r="E3493" t="s">
        <v>17</v>
      </c>
      <c r="F3493" t="s">
        <v>18</v>
      </c>
      <c r="G3493" t="s">
        <v>41</v>
      </c>
      <c r="H3493" t="s">
        <v>20</v>
      </c>
      <c r="I3493" s="1">
        <v>3</v>
      </c>
      <c r="J3493" s="2">
        <v>45831</v>
      </c>
      <c r="K3493" s="2">
        <v>45809</v>
      </c>
      <c r="L3493" s="1" t="str">
        <f t="shared" si="402"/>
        <v>seg</v>
      </c>
      <c r="M3493" s="1" t="str">
        <f t="shared" si="403"/>
        <v>jun</v>
      </c>
      <c r="N3493">
        <f t="shared" si="404"/>
        <v>2025</v>
      </c>
      <c r="O3493" s="2">
        <f>_xlfn.XLOOKUP(A3493,Colaboradores!$A:$A,Colaboradores!$S:$S,"",0)</f>
        <v>45838</v>
      </c>
      <c r="P3493" t="str">
        <f t="shared" si="401"/>
        <v>170945831</v>
      </c>
    </row>
    <row r="3494" spans="1:16" x14ac:dyDescent="0.3">
      <c r="A3494">
        <v>1710</v>
      </c>
      <c r="B3494">
        <v>20</v>
      </c>
      <c r="C3494" t="s">
        <v>26</v>
      </c>
      <c r="D3494" t="s">
        <v>16</v>
      </c>
      <c r="E3494" t="s">
        <v>17</v>
      </c>
      <c r="F3494" t="s">
        <v>23</v>
      </c>
      <c r="G3494" t="s">
        <v>41</v>
      </c>
      <c r="H3494" t="s">
        <v>25</v>
      </c>
      <c r="I3494" s="1">
        <v>3</v>
      </c>
      <c r="J3494" s="2">
        <v>45819</v>
      </c>
      <c r="K3494" s="2">
        <v>45809</v>
      </c>
      <c r="L3494" s="1" t="str">
        <f t="shared" si="402"/>
        <v>qua</v>
      </c>
      <c r="M3494" s="1" t="str">
        <f t="shared" si="403"/>
        <v>jun</v>
      </c>
      <c r="N3494">
        <f t="shared" si="404"/>
        <v>2025</v>
      </c>
      <c r="O3494" s="2"/>
      <c r="P3494" t="str">
        <f t="shared" si="401"/>
        <v>171045819</v>
      </c>
    </row>
    <row r="3495" spans="1:16" x14ac:dyDescent="0.3">
      <c r="A3495">
        <v>1710</v>
      </c>
      <c r="B3495">
        <v>20</v>
      </c>
      <c r="C3495" t="s">
        <v>26</v>
      </c>
      <c r="D3495" t="s">
        <v>16</v>
      </c>
      <c r="E3495" t="s">
        <v>17</v>
      </c>
      <c r="F3495" t="s">
        <v>23</v>
      </c>
      <c r="G3495" t="s">
        <v>41</v>
      </c>
      <c r="H3495" t="s">
        <v>25</v>
      </c>
      <c r="I3495" s="1">
        <v>3</v>
      </c>
      <c r="J3495" s="2">
        <v>45865</v>
      </c>
      <c r="K3495" s="2">
        <v>45839</v>
      </c>
      <c r="L3495" s="1" t="str">
        <f t="shared" si="402"/>
        <v>dom</v>
      </c>
      <c r="M3495" s="1" t="str">
        <f t="shared" si="403"/>
        <v>jul</v>
      </c>
      <c r="N3495">
        <f t="shared" si="404"/>
        <v>2025</v>
      </c>
      <c r="O3495" s="2"/>
      <c r="P3495" t="str">
        <f t="shared" si="401"/>
        <v>171045865</v>
      </c>
    </row>
    <row r="3496" spans="1:16" x14ac:dyDescent="0.3">
      <c r="A3496">
        <v>1710</v>
      </c>
      <c r="B3496">
        <v>20</v>
      </c>
      <c r="C3496" t="s">
        <v>26</v>
      </c>
      <c r="D3496" t="s">
        <v>16</v>
      </c>
      <c r="E3496" t="s">
        <v>17</v>
      </c>
      <c r="F3496" t="s">
        <v>23</v>
      </c>
      <c r="G3496" t="s">
        <v>41</v>
      </c>
      <c r="H3496" t="s">
        <v>25</v>
      </c>
      <c r="I3496" s="1">
        <v>3</v>
      </c>
      <c r="J3496" s="2">
        <v>45896</v>
      </c>
      <c r="K3496" s="2">
        <v>45870</v>
      </c>
      <c r="L3496" s="1" t="str">
        <f t="shared" si="402"/>
        <v>qua</v>
      </c>
      <c r="M3496" s="1" t="str">
        <f t="shared" si="403"/>
        <v>ago</v>
      </c>
      <c r="N3496">
        <f t="shared" si="404"/>
        <v>2025</v>
      </c>
      <c r="O3496" s="2"/>
      <c r="P3496" t="str">
        <f t="shared" si="401"/>
        <v>171045896</v>
      </c>
    </row>
    <row r="3497" spans="1:16" x14ac:dyDescent="0.3">
      <c r="A3497">
        <v>1710</v>
      </c>
      <c r="B3497">
        <v>20</v>
      </c>
      <c r="C3497" t="s">
        <v>26</v>
      </c>
      <c r="D3497" t="s">
        <v>16</v>
      </c>
      <c r="E3497" t="s">
        <v>17</v>
      </c>
      <c r="F3497" t="s">
        <v>23</v>
      </c>
      <c r="G3497" t="s">
        <v>41</v>
      </c>
      <c r="H3497" t="s">
        <v>25</v>
      </c>
      <c r="I3497" s="1">
        <v>3</v>
      </c>
      <c r="J3497" s="2">
        <v>45914</v>
      </c>
      <c r="K3497" s="2">
        <v>45901</v>
      </c>
      <c r="L3497" s="1" t="str">
        <f t="shared" si="402"/>
        <v>dom</v>
      </c>
      <c r="M3497" s="1" t="str">
        <f t="shared" si="403"/>
        <v>set</v>
      </c>
      <c r="N3497">
        <f t="shared" si="404"/>
        <v>2025</v>
      </c>
      <c r="O3497" s="2"/>
      <c r="P3497" t="str">
        <f t="shared" si="401"/>
        <v>171045914</v>
      </c>
    </row>
    <row r="3498" spans="1:16" x14ac:dyDescent="0.3">
      <c r="A3498">
        <v>1710</v>
      </c>
      <c r="B3498">
        <v>20</v>
      </c>
      <c r="C3498" t="s">
        <v>26</v>
      </c>
      <c r="D3498" t="s">
        <v>16</v>
      </c>
      <c r="E3498" t="s">
        <v>17</v>
      </c>
      <c r="F3498" t="s">
        <v>23</v>
      </c>
      <c r="G3498" t="s">
        <v>41</v>
      </c>
      <c r="H3498" t="s">
        <v>25</v>
      </c>
      <c r="I3498" s="1">
        <v>3</v>
      </c>
      <c r="J3498" s="2">
        <v>45962</v>
      </c>
      <c r="K3498" s="2">
        <v>45962</v>
      </c>
      <c r="L3498" s="1" t="str">
        <f t="shared" si="402"/>
        <v>sáb</v>
      </c>
      <c r="M3498" s="1" t="str">
        <f t="shared" si="403"/>
        <v>nov</v>
      </c>
      <c r="N3498">
        <f t="shared" si="404"/>
        <v>2025</v>
      </c>
      <c r="O3498" s="2"/>
      <c r="P3498" t="str">
        <f t="shared" si="401"/>
        <v>171045962</v>
      </c>
    </row>
    <row r="3499" spans="1:16" x14ac:dyDescent="0.3">
      <c r="A3499">
        <v>1710</v>
      </c>
      <c r="B3499">
        <v>20</v>
      </c>
      <c r="C3499" t="s">
        <v>26</v>
      </c>
      <c r="D3499" t="s">
        <v>16</v>
      </c>
      <c r="E3499" t="s">
        <v>17</v>
      </c>
      <c r="F3499" t="s">
        <v>23</v>
      </c>
      <c r="G3499" t="s">
        <v>41</v>
      </c>
      <c r="H3499" t="s">
        <v>25</v>
      </c>
      <c r="I3499" s="1">
        <v>3</v>
      </c>
      <c r="J3499" s="2">
        <v>45992</v>
      </c>
      <c r="K3499" s="2">
        <v>45992</v>
      </c>
      <c r="L3499" s="1" t="str">
        <f t="shared" si="402"/>
        <v>seg</v>
      </c>
      <c r="M3499" s="1" t="str">
        <f t="shared" si="403"/>
        <v>dez</v>
      </c>
      <c r="N3499">
        <f t="shared" si="404"/>
        <v>2025</v>
      </c>
      <c r="O3499" s="2"/>
      <c r="P3499" t="str">
        <f t="shared" si="401"/>
        <v>171045992</v>
      </c>
    </row>
    <row r="3500" spans="1:16" x14ac:dyDescent="0.3">
      <c r="A3500">
        <v>1711</v>
      </c>
      <c r="B3500">
        <v>38</v>
      </c>
      <c r="C3500" t="s">
        <v>15</v>
      </c>
      <c r="D3500" t="s">
        <v>22</v>
      </c>
      <c r="E3500" t="s">
        <v>17</v>
      </c>
      <c r="F3500" t="s">
        <v>21</v>
      </c>
      <c r="G3500" t="s">
        <v>41</v>
      </c>
      <c r="H3500" t="s">
        <v>25</v>
      </c>
      <c r="I3500" s="1">
        <v>1</v>
      </c>
      <c r="J3500" s="2">
        <v>45867</v>
      </c>
      <c r="K3500" s="2">
        <v>45839</v>
      </c>
      <c r="L3500" s="1" t="str">
        <f t="shared" si="402"/>
        <v>ter</v>
      </c>
      <c r="M3500" s="1" t="str">
        <f t="shared" si="403"/>
        <v>jul</v>
      </c>
      <c r="N3500">
        <f t="shared" si="404"/>
        <v>2025</v>
      </c>
      <c r="O3500" s="2"/>
      <c r="P3500" t="str">
        <f t="shared" si="401"/>
        <v>171145867</v>
      </c>
    </row>
    <row r="3501" spans="1:16" x14ac:dyDescent="0.3">
      <c r="A3501">
        <v>1711</v>
      </c>
      <c r="B3501">
        <v>38</v>
      </c>
      <c r="C3501" t="s">
        <v>15</v>
      </c>
      <c r="D3501" t="s">
        <v>22</v>
      </c>
      <c r="E3501" t="s">
        <v>17</v>
      </c>
      <c r="F3501" t="s">
        <v>21</v>
      </c>
      <c r="G3501" t="s">
        <v>41</v>
      </c>
      <c r="H3501" t="s">
        <v>25</v>
      </c>
      <c r="I3501" s="1">
        <v>1</v>
      </c>
      <c r="J3501" s="2">
        <v>45876</v>
      </c>
      <c r="K3501" s="2">
        <v>45870</v>
      </c>
      <c r="L3501" s="1" t="str">
        <f t="shared" si="402"/>
        <v>qui</v>
      </c>
      <c r="M3501" s="1" t="str">
        <f t="shared" si="403"/>
        <v>ago</v>
      </c>
      <c r="N3501">
        <f t="shared" si="404"/>
        <v>2025</v>
      </c>
      <c r="O3501" s="2"/>
      <c r="P3501" t="str">
        <f t="shared" si="401"/>
        <v>171145876</v>
      </c>
    </row>
    <row r="3502" spans="1:16" x14ac:dyDescent="0.3">
      <c r="A3502">
        <v>1711</v>
      </c>
      <c r="B3502">
        <v>38</v>
      </c>
      <c r="C3502" t="s">
        <v>15</v>
      </c>
      <c r="D3502" t="s">
        <v>22</v>
      </c>
      <c r="E3502" t="s">
        <v>17</v>
      </c>
      <c r="F3502" t="s">
        <v>21</v>
      </c>
      <c r="G3502" t="s">
        <v>41</v>
      </c>
      <c r="H3502" t="s">
        <v>25</v>
      </c>
      <c r="I3502" s="1">
        <v>1</v>
      </c>
      <c r="J3502" s="2">
        <v>45948</v>
      </c>
      <c r="K3502" s="2">
        <v>45931</v>
      </c>
      <c r="L3502" s="1" t="str">
        <f t="shared" si="402"/>
        <v>sáb</v>
      </c>
      <c r="M3502" s="1" t="str">
        <f t="shared" si="403"/>
        <v>out</v>
      </c>
      <c r="N3502">
        <f t="shared" si="404"/>
        <v>2025</v>
      </c>
      <c r="O3502" s="2"/>
      <c r="P3502" t="str">
        <f t="shared" si="401"/>
        <v>171145948</v>
      </c>
    </row>
    <row r="3503" spans="1:16" x14ac:dyDescent="0.3">
      <c r="A3503">
        <v>1711</v>
      </c>
      <c r="B3503">
        <v>38</v>
      </c>
      <c r="C3503" t="s">
        <v>15</v>
      </c>
      <c r="D3503" t="s">
        <v>22</v>
      </c>
      <c r="E3503" t="s">
        <v>17</v>
      </c>
      <c r="F3503" t="s">
        <v>21</v>
      </c>
      <c r="G3503" t="s">
        <v>41</v>
      </c>
      <c r="H3503" t="s">
        <v>25</v>
      </c>
      <c r="I3503" s="1">
        <v>1</v>
      </c>
      <c r="J3503" s="2">
        <v>45951</v>
      </c>
      <c r="K3503" s="2">
        <v>45931</v>
      </c>
      <c r="L3503" s="1" t="str">
        <f t="shared" si="402"/>
        <v>ter</v>
      </c>
      <c r="M3503" s="1" t="str">
        <f t="shared" si="403"/>
        <v>out</v>
      </c>
      <c r="N3503">
        <f t="shared" si="404"/>
        <v>2025</v>
      </c>
      <c r="O3503" s="2"/>
      <c r="P3503" t="str">
        <f t="shared" si="401"/>
        <v>171145951</v>
      </c>
    </row>
    <row r="3504" spans="1:16" x14ac:dyDescent="0.3">
      <c r="A3504">
        <v>1711</v>
      </c>
      <c r="B3504">
        <v>38</v>
      </c>
      <c r="C3504" t="s">
        <v>15</v>
      </c>
      <c r="D3504" t="s">
        <v>22</v>
      </c>
      <c r="E3504" t="s">
        <v>17</v>
      </c>
      <c r="F3504" t="s">
        <v>21</v>
      </c>
      <c r="G3504" t="s">
        <v>41</v>
      </c>
      <c r="H3504" t="s">
        <v>25</v>
      </c>
      <c r="I3504" s="1">
        <v>1</v>
      </c>
      <c r="J3504" s="2">
        <v>46010</v>
      </c>
      <c r="K3504" s="2">
        <v>45992</v>
      </c>
      <c r="L3504" s="1" t="str">
        <f t="shared" si="402"/>
        <v>sex</v>
      </c>
      <c r="M3504" s="1" t="str">
        <f t="shared" si="403"/>
        <v>dez</v>
      </c>
      <c r="N3504">
        <f t="shared" si="404"/>
        <v>2025</v>
      </c>
      <c r="O3504" s="2"/>
      <c r="P3504" t="str">
        <f t="shared" si="401"/>
        <v>171146010</v>
      </c>
    </row>
    <row r="3505" spans="1:16" x14ac:dyDescent="0.3">
      <c r="A3505">
        <v>1712</v>
      </c>
      <c r="B3505">
        <v>43</v>
      </c>
      <c r="C3505" t="s">
        <v>26</v>
      </c>
      <c r="D3505" t="s">
        <v>27</v>
      </c>
      <c r="E3505" t="s">
        <v>17</v>
      </c>
      <c r="F3505" t="s">
        <v>23</v>
      </c>
      <c r="G3505" t="s">
        <v>41</v>
      </c>
      <c r="H3505" t="s">
        <v>25</v>
      </c>
      <c r="I3505" s="1">
        <v>3</v>
      </c>
      <c r="J3505" s="2">
        <v>45837</v>
      </c>
      <c r="K3505" s="2">
        <v>45809</v>
      </c>
      <c r="L3505" s="1" t="str">
        <f t="shared" ref="L3505:L3536" si="405">TEXT(J3505,"ddd")</f>
        <v>dom</v>
      </c>
      <c r="M3505" s="1" t="str">
        <f t="shared" ref="M3505:M3536" si="406">TEXT($J3505,"mmm")</f>
        <v>jun</v>
      </c>
      <c r="N3505">
        <f t="shared" ref="N3505:N3536" si="407">YEAR(J3505)</f>
        <v>2025</v>
      </c>
      <c r="O3505" s="2"/>
      <c r="P3505" t="str">
        <f t="shared" si="401"/>
        <v>171245837</v>
      </c>
    </row>
    <row r="3506" spans="1:16" x14ac:dyDescent="0.3">
      <c r="A3506">
        <v>1712</v>
      </c>
      <c r="B3506">
        <v>43</v>
      </c>
      <c r="C3506" t="s">
        <v>26</v>
      </c>
      <c r="D3506" t="s">
        <v>27</v>
      </c>
      <c r="E3506" t="s">
        <v>17</v>
      </c>
      <c r="F3506" t="s">
        <v>23</v>
      </c>
      <c r="G3506" t="s">
        <v>41</v>
      </c>
      <c r="H3506" t="s">
        <v>25</v>
      </c>
      <c r="I3506" s="1">
        <v>3</v>
      </c>
      <c r="J3506" s="2">
        <v>45907</v>
      </c>
      <c r="K3506" s="2">
        <v>45901</v>
      </c>
      <c r="L3506" s="1" t="str">
        <f t="shared" si="405"/>
        <v>dom</v>
      </c>
      <c r="M3506" s="1" t="str">
        <f t="shared" si="406"/>
        <v>set</v>
      </c>
      <c r="N3506">
        <f t="shared" si="407"/>
        <v>2025</v>
      </c>
      <c r="O3506" s="2"/>
      <c r="P3506" t="str">
        <f t="shared" si="401"/>
        <v>171245907</v>
      </c>
    </row>
    <row r="3507" spans="1:16" x14ac:dyDescent="0.3">
      <c r="A3507">
        <v>1712</v>
      </c>
      <c r="B3507">
        <v>43</v>
      </c>
      <c r="C3507" t="s">
        <v>26</v>
      </c>
      <c r="D3507" t="s">
        <v>27</v>
      </c>
      <c r="E3507" t="s">
        <v>17</v>
      </c>
      <c r="F3507" t="s">
        <v>23</v>
      </c>
      <c r="G3507" t="s">
        <v>41</v>
      </c>
      <c r="H3507" t="s">
        <v>25</v>
      </c>
      <c r="I3507" s="1">
        <v>3</v>
      </c>
      <c r="J3507" s="2">
        <v>46178</v>
      </c>
      <c r="K3507" s="2">
        <v>46023</v>
      </c>
      <c r="L3507" s="1" t="str">
        <f t="shared" si="405"/>
        <v>sex</v>
      </c>
      <c r="M3507" s="1" t="str">
        <f t="shared" si="406"/>
        <v>jun</v>
      </c>
      <c r="N3507">
        <f t="shared" si="407"/>
        <v>2026</v>
      </c>
      <c r="O3507" s="2"/>
      <c r="P3507" t="str">
        <f t="shared" si="401"/>
        <v>171246178</v>
      </c>
    </row>
    <row r="3508" spans="1:16" x14ac:dyDescent="0.3">
      <c r="A3508">
        <v>1712</v>
      </c>
      <c r="B3508">
        <v>43</v>
      </c>
      <c r="C3508" t="s">
        <v>26</v>
      </c>
      <c r="D3508" t="s">
        <v>27</v>
      </c>
      <c r="E3508" t="s">
        <v>17</v>
      </c>
      <c r="F3508" t="s">
        <v>23</v>
      </c>
      <c r="G3508" t="s">
        <v>41</v>
      </c>
      <c r="H3508" t="s">
        <v>25</v>
      </c>
      <c r="I3508" s="1">
        <v>3</v>
      </c>
      <c r="J3508" s="2">
        <v>46056</v>
      </c>
      <c r="K3508" s="2">
        <v>46054</v>
      </c>
      <c r="L3508" s="1" t="str">
        <f t="shared" si="405"/>
        <v>ter</v>
      </c>
      <c r="M3508" s="1" t="str">
        <f t="shared" si="406"/>
        <v>fev</v>
      </c>
      <c r="N3508">
        <f t="shared" si="407"/>
        <v>2026</v>
      </c>
      <c r="O3508" s="2"/>
      <c r="P3508" t="str">
        <f t="shared" si="401"/>
        <v>171246056</v>
      </c>
    </row>
    <row r="3509" spans="1:16" x14ac:dyDescent="0.3">
      <c r="A3509">
        <v>1713</v>
      </c>
      <c r="B3509">
        <v>40</v>
      </c>
      <c r="C3509" t="s">
        <v>26</v>
      </c>
      <c r="D3509" t="s">
        <v>27</v>
      </c>
      <c r="E3509" t="s">
        <v>17</v>
      </c>
      <c r="F3509" t="s">
        <v>21</v>
      </c>
      <c r="G3509" t="s">
        <v>41</v>
      </c>
      <c r="H3509" t="s">
        <v>25</v>
      </c>
      <c r="I3509" s="1">
        <v>2</v>
      </c>
      <c r="J3509" s="2">
        <v>45822</v>
      </c>
      <c r="K3509" s="2">
        <v>45809</v>
      </c>
      <c r="L3509" s="1" t="str">
        <f t="shared" si="405"/>
        <v>sáb</v>
      </c>
      <c r="M3509" s="1" t="str">
        <f t="shared" si="406"/>
        <v>jun</v>
      </c>
      <c r="N3509">
        <f t="shared" si="407"/>
        <v>2025</v>
      </c>
      <c r="O3509" s="2"/>
      <c r="P3509" t="str">
        <f t="shared" si="401"/>
        <v>171345822</v>
      </c>
    </row>
    <row r="3510" spans="1:16" x14ac:dyDescent="0.3">
      <c r="A3510">
        <v>1713</v>
      </c>
      <c r="B3510">
        <v>40</v>
      </c>
      <c r="C3510" t="s">
        <v>26</v>
      </c>
      <c r="D3510" t="s">
        <v>27</v>
      </c>
      <c r="E3510" t="s">
        <v>17</v>
      </c>
      <c r="F3510" t="s">
        <v>21</v>
      </c>
      <c r="G3510" t="s">
        <v>41</v>
      </c>
      <c r="H3510" t="s">
        <v>25</v>
      </c>
      <c r="I3510" s="1">
        <v>2</v>
      </c>
      <c r="J3510" s="2">
        <v>45845</v>
      </c>
      <c r="K3510" s="2">
        <v>45839</v>
      </c>
      <c r="L3510" s="1" t="str">
        <f t="shared" si="405"/>
        <v>seg</v>
      </c>
      <c r="M3510" s="1" t="str">
        <f t="shared" si="406"/>
        <v>jul</v>
      </c>
      <c r="N3510">
        <f t="shared" si="407"/>
        <v>2025</v>
      </c>
      <c r="O3510" s="2"/>
      <c r="P3510" t="str">
        <f t="shared" si="401"/>
        <v>171345845</v>
      </c>
    </row>
    <row r="3511" spans="1:16" x14ac:dyDescent="0.3">
      <c r="A3511">
        <v>1713</v>
      </c>
      <c r="B3511">
        <v>40</v>
      </c>
      <c r="C3511" t="s">
        <v>26</v>
      </c>
      <c r="D3511" t="s">
        <v>27</v>
      </c>
      <c r="E3511" t="s">
        <v>17</v>
      </c>
      <c r="F3511" t="s">
        <v>21</v>
      </c>
      <c r="G3511" t="s">
        <v>41</v>
      </c>
      <c r="H3511" t="s">
        <v>25</v>
      </c>
      <c r="I3511" s="1">
        <v>2</v>
      </c>
      <c r="J3511" s="2">
        <v>45969</v>
      </c>
      <c r="K3511" s="2">
        <v>45962</v>
      </c>
      <c r="L3511" s="1" t="str">
        <f t="shared" si="405"/>
        <v>sáb</v>
      </c>
      <c r="M3511" s="1" t="str">
        <f t="shared" si="406"/>
        <v>nov</v>
      </c>
      <c r="N3511">
        <f t="shared" si="407"/>
        <v>2025</v>
      </c>
      <c r="O3511" s="2"/>
      <c r="P3511" t="str">
        <f t="shared" si="401"/>
        <v>171345969</v>
      </c>
    </row>
    <row r="3512" spans="1:16" x14ac:dyDescent="0.3">
      <c r="A3512">
        <v>1713</v>
      </c>
      <c r="B3512">
        <v>40</v>
      </c>
      <c r="C3512" t="s">
        <v>26</v>
      </c>
      <c r="D3512" t="s">
        <v>27</v>
      </c>
      <c r="E3512" t="s">
        <v>17</v>
      </c>
      <c r="F3512" t="s">
        <v>21</v>
      </c>
      <c r="G3512" t="s">
        <v>41</v>
      </c>
      <c r="H3512" t="s">
        <v>25</v>
      </c>
      <c r="I3512" s="1">
        <v>2</v>
      </c>
      <c r="J3512" s="2">
        <v>46067</v>
      </c>
      <c r="K3512" s="2">
        <v>46054</v>
      </c>
      <c r="L3512" s="1" t="str">
        <f t="shared" si="405"/>
        <v>sáb</v>
      </c>
      <c r="M3512" s="1" t="str">
        <f t="shared" si="406"/>
        <v>fev</v>
      </c>
      <c r="N3512">
        <f t="shared" si="407"/>
        <v>2026</v>
      </c>
      <c r="O3512" s="2"/>
      <c r="P3512" t="str">
        <f t="shared" si="401"/>
        <v>171346067</v>
      </c>
    </row>
    <row r="3513" spans="1:16" x14ac:dyDescent="0.3">
      <c r="A3513">
        <v>1713</v>
      </c>
      <c r="B3513">
        <v>40</v>
      </c>
      <c r="C3513" t="s">
        <v>26</v>
      </c>
      <c r="D3513" t="s">
        <v>27</v>
      </c>
      <c r="E3513" t="s">
        <v>17</v>
      </c>
      <c r="F3513" t="s">
        <v>21</v>
      </c>
      <c r="G3513" t="s">
        <v>41</v>
      </c>
      <c r="H3513" t="s">
        <v>25</v>
      </c>
      <c r="I3513" s="1">
        <v>2</v>
      </c>
      <c r="J3513" s="2">
        <v>46080</v>
      </c>
      <c r="K3513" s="2">
        <v>46054</v>
      </c>
      <c r="L3513" s="1" t="str">
        <f t="shared" si="405"/>
        <v>sex</v>
      </c>
      <c r="M3513" s="1" t="str">
        <f t="shared" si="406"/>
        <v>fev</v>
      </c>
      <c r="N3513">
        <f t="shared" si="407"/>
        <v>2026</v>
      </c>
      <c r="O3513" s="2"/>
      <c r="P3513" t="str">
        <f t="shared" si="401"/>
        <v>171346080</v>
      </c>
    </row>
    <row r="3514" spans="1:16" x14ac:dyDescent="0.3">
      <c r="A3514">
        <v>1713</v>
      </c>
      <c r="B3514">
        <v>40</v>
      </c>
      <c r="C3514" t="s">
        <v>26</v>
      </c>
      <c r="D3514" t="s">
        <v>27</v>
      </c>
      <c r="E3514" t="s">
        <v>17</v>
      </c>
      <c r="F3514" t="s">
        <v>21</v>
      </c>
      <c r="G3514" t="s">
        <v>41</v>
      </c>
      <c r="H3514" t="s">
        <v>25</v>
      </c>
      <c r="I3514" s="1">
        <v>2</v>
      </c>
      <c r="J3514" s="2">
        <v>46092</v>
      </c>
      <c r="K3514" s="2">
        <v>46082</v>
      </c>
      <c r="L3514" s="1" t="str">
        <f t="shared" si="405"/>
        <v>qua</v>
      </c>
      <c r="M3514" s="1" t="str">
        <f t="shared" si="406"/>
        <v>mar</v>
      </c>
      <c r="N3514">
        <f t="shared" si="407"/>
        <v>2026</v>
      </c>
      <c r="O3514" s="2"/>
      <c r="P3514" t="str">
        <f t="shared" si="401"/>
        <v>171346092</v>
      </c>
    </row>
    <row r="3515" spans="1:16" x14ac:dyDescent="0.3">
      <c r="A3515">
        <v>1714</v>
      </c>
      <c r="B3515">
        <v>22</v>
      </c>
      <c r="C3515" t="s">
        <v>15</v>
      </c>
      <c r="D3515" t="s">
        <v>31</v>
      </c>
      <c r="E3515" t="s">
        <v>34</v>
      </c>
      <c r="F3515" t="s">
        <v>18</v>
      </c>
      <c r="G3515" t="s">
        <v>41</v>
      </c>
      <c r="H3515" t="s">
        <v>20</v>
      </c>
      <c r="I3515" s="1">
        <v>3</v>
      </c>
      <c r="J3515" s="2">
        <v>45773</v>
      </c>
      <c r="K3515" s="2">
        <v>45748</v>
      </c>
      <c r="L3515" s="1" t="str">
        <f t="shared" si="405"/>
        <v>sáb</v>
      </c>
      <c r="M3515" s="1" t="str">
        <f t="shared" si="406"/>
        <v>abr</v>
      </c>
      <c r="N3515">
        <f t="shared" si="407"/>
        <v>2025</v>
      </c>
      <c r="O3515" s="2">
        <f>_xlfn.XLOOKUP(A3515,Colaboradores!$A:$A,Colaboradores!$S:$S,"",0)</f>
        <v>46196</v>
      </c>
      <c r="P3515" t="str">
        <f t="shared" si="401"/>
        <v>171445773</v>
      </c>
    </row>
    <row r="3516" spans="1:16" x14ac:dyDescent="0.3">
      <c r="A3516">
        <v>1714</v>
      </c>
      <c r="B3516">
        <v>22</v>
      </c>
      <c r="C3516" t="s">
        <v>15</v>
      </c>
      <c r="D3516" t="s">
        <v>31</v>
      </c>
      <c r="E3516" t="s">
        <v>34</v>
      </c>
      <c r="F3516" t="s">
        <v>18</v>
      </c>
      <c r="G3516" t="s">
        <v>41</v>
      </c>
      <c r="H3516" t="s">
        <v>20</v>
      </c>
      <c r="I3516" s="1">
        <v>3</v>
      </c>
      <c r="J3516" s="2">
        <v>45792</v>
      </c>
      <c r="K3516" s="2">
        <v>45778</v>
      </c>
      <c r="L3516" s="1" t="str">
        <f t="shared" si="405"/>
        <v>qui</v>
      </c>
      <c r="M3516" s="1" t="str">
        <f t="shared" si="406"/>
        <v>mai</v>
      </c>
      <c r="N3516">
        <f t="shared" si="407"/>
        <v>2025</v>
      </c>
      <c r="O3516" s="2">
        <f>_xlfn.XLOOKUP(A3516,Colaboradores!$A:$A,Colaboradores!$S:$S,"",0)</f>
        <v>46196</v>
      </c>
      <c r="P3516" t="str">
        <f t="shared" si="401"/>
        <v>171445792</v>
      </c>
    </row>
    <row r="3517" spans="1:16" x14ac:dyDescent="0.3">
      <c r="A3517">
        <v>1714</v>
      </c>
      <c r="B3517">
        <v>22</v>
      </c>
      <c r="C3517" t="s">
        <v>15</v>
      </c>
      <c r="D3517" t="s">
        <v>31</v>
      </c>
      <c r="E3517" t="s">
        <v>34</v>
      </c>
      <c r="F3517" t="s">
        <v>18</v>
      </c>
      <c r="G3517" t="s">
        <v>41</v>
      </c>
      <c r="H3517" t="s">
        <v>20</v>
      </c>
      <c r="I3517" s="1">
        <v>3</v>
      </c>
      <c r="J3517" s="2">
        <v>45879</v>
      </c>
      <c r="K3517" s="2">
        <v>45870</v>
      </c>
      <c r="L3517" s="1" t="str">
        <f t="shared" si="405"/>
        <v>dom</v>
      </c>
      <c r="M3517" s="1" t="str">
        <f t="shared" si="406"/>
        <v>ago</v>
      </c>
      <c r="N3517">
        <f t="shared" si="407"/>
        <v>2025</v>
      </c>
      <c r="O3517" s="2">
        <f>_xlfn.XLOOKUP(A3517,Colaboradores!$A:$A,Colaboradores!$S:$S,"",0)</f>
        <v>46196</v>
      </c>
      <c r="P3517" t="str">
        <f t="shared" si="401"/>
        <v>171445879</v>
      </c>
    </row>
    <row r="3518" spans="1:16" x14ac:dyDescent="0.3">
      <c r="A3518">
        <v>1714</v>
      </c>
      <c r="B3518">
        <v>22</v>
      </c>
      <c r="C3518" t="s">
        <v>15</v>
      </c>
      <c r="D3518" t="s">
        <v>31</v>
      </c>
      <c r="E3518" t="s">
        <v>34</v>
      </c>
      <c r="F3518" t="s">
        <v>18</v>
      </c>
      <c r="G3518" t="s">
        <v>41</v>
      </c>
      <c r="H3518" t="s">
        <v>20</v>
      </c>
      <c r="I3518" s="1">
        <v>3</v>
      </c>
      <c r="J3518" s="2">
        <v>45903</v>
      </c>
      <c r="K3518" s="2">
        <v>45901</v>
      </c>
      <c r="L3518" s="1" t="str">
        <f t="shared" si="405"/>
        <v>qua</v>
      </c>
      <c r="M3518" s="1" t="str">
        <f t="shared" si="406"/>
        <v>set</v>
      </c>
      <c r="N3518">
        <f t="shared" si="407"/>
        <v>2025</v>
      </c>
      <c r="O3518" s="2">
        <f>_xlfn.XLOOKUP(A3518,Colaboradores!$A:$A,Colaboradores!$S:$S,"",0)</f>
        <v>46196</v>
      </c>
      <c r="P3518" t="str">
        <f t="shared" ref="P3518:P3581" si="408">CONCATENATE(A3518,J3518)</f>
        <v>171445903</v>
      </c>
    </row>
    <row r="3519" spans="1:16" x14ac:dyDescent="0.3">
      <c r="A3519">
        <v>1714</v>
      </c>
      <c r="B3519">
        <v>22</v>
      </c>
      <c r="C3519" t="s">
        <v>15</v>
      </c>
      <c r="D3519" t="s">
        <v>31</v>
      </c>
      <c r="E3519" t="s">
        <v>34</v>
      </c>
      <c r="F3519" t="s">
        <v>18</v>
      </c>
      <c r="G3519" t="s">
        <v>41</v>
      </c>
      <c r="H3519" t="s">
        <v>20</v>
      </c>
      <c r="I3519" s="1">
        <v>3</v>
      </c>
      <c r="J3519" s="2">
        <v>45904</v>
      </c>
      <c r="K3519" s="2">
        <v>45901</v>
      </c>
      <c r="L3519" s="1" t="str">
        <f t="shared" si="405"/>
        <v>qui</v>
      </c>
      <c r="M3519" s="1" t="str">
        <f t="shared" si="406"/>
        <v>set</v>
      </c>
      <c r="N3519">
        <f t="shared" si="407"/>
        <v>2025</v>
      </c>
      <c r="O3519" s="2">
        <f>_xlfn.XLOOKUP(A3519,Colaboradores!$A:$A,Colaboradores!$S:$S,"",0)</f>
        <v>46196</v>
      </c>
      <c r="P3519" t="str">
        <f t="shared" si="408"/>
        <v>171445904</v>
      </c>
    </row>
    <row r="3520" spans="1:16" x14ac:dyDescent="0.3">
      <c r="A3520">
        <v>1714</v>
      </c>
      <c r="B3520">
        <v>22</v>
      </c>
      <c r="C3520" t="s">
        <v>15</v>
      </c>
      <c r="D3520" t="s">
        <v>31</v>
      </c>
      <c r="E3520" t="s">
        <v>34</v>
      </c>
      <c r="F3520" t="s">
        <v>18</v>
      </c>
      <c r="G3520" t="s">
        <v>41</v>
      </c>
      <c r="H3520" t="s">
        <v>20</v>
      </c>
      <c r="I3520" s="1">
        <v>3</v>
      </c>
      <c r="J3520" s="2">
        <v>46079</v>
      </c>
      <c r="K3520" s="2">
        <v>46054</v>
      </c>
      <c r="L3520" s="1" t="str">
        <f t="shared" si="405"/>
        <v>qui</v>
      </c>
      <c r="M3520" s="1" t="str">
        <f t="shared" si="406"/>
        <v>fev</v>
      </c>
      <c r="N3520">
        <f t="shared" si="407"/>
        <v>2026</v>
      </c>
      <c r="O3520" s="2">
        <f>_xlfn.XLOOKUP(A3520,Colaboradores!$A:$A,Colaboradores!$S:$S,"",0)</f>
        <v>46196</v>
      </c>
      <c r="P3520" t="str">
        <f t="shared" si="408"/>
        <v>171446079</v>
      </c>
    </row>
    <row r="3521" spans="1:16" x14ac:dyDescent="0.3">
      <c r="A3521">
        <v>1715</v>
      </c>
      <c r="B3521">
        <v>22</v>
      </c>
      <c r="C3521" t="s">
        <v>26</v>
      </c>
      <c r="D3521" t="s">
        <v>29</v>
      </c>
      <c r="E3521" t="s">
        <v>17</v>
      </c>
      <c r="F3521" t="s">
        <v>18</v>
      </c>
      <c r="G3521" t="s">
        <v>41</v>
      </c>
      <c r="H3521" t="s">
        <v>25</v>
      </c>
      <c r="I3521" s="1">
        <v>1</v>
      </c>
      <c r="J3521" s="2">
        <v>45967</v>
      </c>
      <c r="K3521" s="2">
        <v>45962</v>
      </c>
      <c r="L3521" s="1" t="str">
        <f t="shared" si="405"/>
        <v>qui</v>
      </c>
      <c r="M3521" s="1" t="str">
        <f t="shared" si="406"/>
        <v>nov</v>
      </c>
      <c r="N3521">
        <f t="shared" si="407"/>
        <v>2025</v>
      </c>
      <c r="O3521" s="2"/>
      <c r="P3521" t="str">
        <f t="shared" si="408"/>
        <v>171545967</v>
      </c>
    </row>
    <row r="3522" spans="1:16" x14ac:dyDescent="0.3">
      <c r="A3522">
        <v>1715</v>
      </c>
      <c r="B3522">
        <v>22</v>
      </c>
      <c r="C3522" t="s">
        <v>26</v>
      </c>
      <c r="D3522" t="s">
        <v>29</v>
      </c>
      <c r="E3522" t="s">
        <v>17</v>
      </c>
      <c r="F3522" t="s">
        <v>18</v>
      </c>
      <c r="G3522" t="s">
        <v>41</v>
      </c>
      <c r="H3522" t="s">
        <v>25</v>
      </c>
      <c r="I3522" s="1">
        <v>1</v>
      </c>
      <c r="J3522" s="2">
        <v>45987</v>
      </c>
      <c r="K3522" s="2">
        <v>45962</v>
      </c>
      <c r="L3522" s="1" t="str">
        <f t="shared" si="405"/>
        <v>qua</v>
      </c>
      <c r="M3522" s="1" t="str">
        <f t="shared" si="406"/>
        <v>nov</v>
      </c>
      <c r="N3522">
        <f t="shared" si="407"/>
        <v>2025</v>
      </c>
      <c r="O3522" s="2"/>
      <c r="P3522" t="str">
        <f t="shared" si="408"/>
        <v>171545987</v>
      </c>
    </row>
    <row r="3523" spans="1:16" x14ac:dyDescent="0.3">
      <c r="A3523">
        <v>1715</v>
      </c>
      <c r="B3523">
        <v>22</v>
      </c>
      <c r="C3523" t="s">
        <v>26</v>
      </c>
      <c r="D3523" t="s">
        <v>29</v>
      </c>
      <c r="E3523" t="s">
        <v>17</v>
      </c>
      <c r="F3523" t="s">
        <v>18</v>
      </c>
      <c r="G3523" t="s">
        <v>41</v>
      </c>
      <c r="H3523" t="s">
        <v>25</v>
      </c>
      <c r="I3523" s="1">
        <v>1</v>
      </c>
      <c r="J3523" s="2">
        <v>46100</v>
      </c>
      <c r="K3523" s="2">
        <v>46082</v>
      </c>
      <c r="L3523" s="1" t="str">
        <f t="shared" si="405"/>
        <v>qui</v>
      </c>
      <c r="M3523" s="1" t="str">
        <f t="shared" si="406"/>
        <v>mar</v>
      </c>
      <c r="N3523">
        <f t="shared" si="407"/>
        <v>2026</v>
      </c>
      <c r="O3523" s="2"/>
      <c r="P3523" t="str">
        <f t="shared" si="408"/>
        <v>171546100</v>
      </c>
    </row>
    <row r="3524" spans="1:16" x14ac:dyDescent="0.3">
      <c r="A3524">
        <v>1716</v>
      </c>
      <c r="B3524">
        <v>21</v>
      </c>
      <c r="C3524" t="s">
        <v>26</v>
      </c>
      <c r="D3524" t="s">
        <v>22</v>
      </c>
      <c r="E3524" t="s">
        <v>17</v>
      </c>
      <c r="F3524" t="s">
        <v>23</v>
      </c>
      <c r="G3524" t="s">
        <v>41</v>
      </c>
      <c r="H3524" t="s">
        <v>25</v>
      </c>
      <c r="I3524" s="1">
        <v>3</v>
      </c>
      <c r="J3524" s="2">
        <v>45851</v>
      </c>
      <c r="K3524" s="2">
        <v>45839</v>
      </c>
      <c r="L3524" s="1" t="str">
        <f t="shared" si="405"/>
        <v>dom</v>
      </c>
      <c r="M3524" s="1" t="str">
        <f t="shared" si="406"/>
        <v>jul</v>
      </c>
      <c r="N3524">
        <f t="shared" si="407"/>
        <v>2025</v>
      </c>
      <c r="O3524" s="2"/>
      <c r="P3524" t="str">
        <f t="shared" si="408"/>
        <v>171645851</v>
      </c>
    </row>
    <row r="3525" spans="1:16" x14ac:dyDescent="0.3">
      <c r="A3525">
        <v>1716</v>
      </c>
      <c r="B3525">
        <v>21</v>
      </c>
      <c r="C3525" t="s">
        <v>26</v>
      </c>
      <c r="D3525" t="s">
        <v>22</v>
      </c>
      <c r="E3525" t="s">
        <v>17</v>
      </c>
      <c r="F3525" t="s">
        <v>23</v>
      </c>
      <c r="G3525" t="s">
        <v>41</v>
      </c>
      <c r="H3525" t="s">
        <v>25</v>
      </c>
      <c r="I3525" s="1">
        <v>3</v>
      </c>
      <c r="J3525" s="2">
        <v>45930</v>
      </c>
      <c r="K3525" s="2">
        <v>45901</v>
      </c>
      <c r="L3525" s="1" t="str">
        <f t="shared" si="405"/>
        <v>ter</v>
      </c>
      <c r="M3525" s="1" t="str">
        <f t="shared" si="406"/>
        <v>set</v>
      </c>
      <c r="N3525">
        <f t="shared" si="407"/>
        <v>2025</v>
      </c>
      <c r="O3525" s="2"/>
      <c r="P3525" t="str">
        <f t="shared" si="408"/>
        <v>171645930</v>
      </c>
    </row>
    <row r="3526" spans="1:16" x14ac:dyDescent="0.3">
      <c r="A3526">
        <v>1716</v>
      </c>
      <c r="B3526">
        <v>21</v>
      </c>
      <c r="C3526" t="s">
        <v>26</v>
      </c>
      <c r="D3526" t="s">
        <v>22</v>
      </c>
      <c r="E3526" t="s">
        <v>17</v>
      </c>
      <c r="F3526" t="s">
        <v>23</v>
      </c>
      <c r="G3526" t="s">
        <v>41</v>
      </c>
      <c r="H3526" t="s">
        <v>25</v>
      </c>
      <c r="I3526" s="1">
        <v>3</v>
      </c>
      <c r="J3526" s="2">
        <v>45940</v>
      </c>
      <c r="K3526" s="2">
        <v>45931</v>
      </c>
      <c r="L3526" s="1" t="str">
        <f t="shared" si="405"/>
        <v>sex</v>
      </c>
      <c r="M3526" s="1" t="str">
        <f t="shared" si="406"/>
        <v>out</v>
      </c>
      <c r="N3526">
        <f t="shared" si="407"/>
        <v>2025</v>
      </c>
      <c r="O3526" s="2"/>
      <c r="P3526" t="str">
        <f t="shared" si="408"/>
        <v>171645940</v>
      </c>
    </row>
    <row r="3527" spans="1:16" x14ac:dyDescent="0.3">
      <c r="A3527">
        <v>1716</v>
      </c>
      <c r="B3527">
        <v>21</v>
      </c>
      <c r="C3527" t="s">
        <v>26</v>
      </c>
      <c r="D3527" t="s">
        <v>22</v>
      </c>
      <c r="E3527" t="s">
        <v>17</v>
      </c>
      <c r="F3527" t="s">
        <v>23</v>
      </c>
      <c r="G3527" t="s">
        <v>41</v>
      </c>
      <c r="H3527" t="s">
        <v>25</v>
      </c>
      <c r="I3527" s="1">
        <v>3</v>
      </c>
      <c r="J3527" s="2">
        <v>45947</v>
      </c>
      <c r="K3527" s="2">
        <v>45931</v>
      </c>
      <c r="L3527" s="1" t="str">
        <f t="shared" si="405"/>
        <v>sex</v>
      </c>
      <c r="M3527" s="1" t="str">
        <f t="shared" si="406"/>
        <v>out</v>
      </c>
      <c r="N3527">
        <f t="shared" si="407"/>
        <v>2025</v>
      </c>
      <c r="O3527" s="2"/>
      <c r="P3527" t="str">
        <f t="shared" si="408"/>
        <v>171645947</v>
      </c>
    </row>
    <row r="3528" spans="1:16" x14ac:dyDescent="0.3">
      <c r="A3528">
        <v>1716</v>
      </c>
      <c r="B3528">
        <v>21</v>
      </c>
      <c r="C3528" t="s">
        <v>26</v>
      </c>
      <c r="D3528" t="s">
        <v>22</v>
      </c>
      <c r="E3528" t="s">
        <v>17</v>
      </c>
      <c r="F3528" t="s">
        <v>23</v>
      </c>
      <c r="G3528" t="s">
        <v>41</v>
      </c>
      <c r="H3528" t="s">
        <v>25</v>
      </c>
      <c r="I3528" s="1">
        <v>3</v>
      </c>
      <c r="J3528" s="2">
        <v>46020</v>
      </c>
      <c r="K3528" s="2">
        <v>45992</v>
      </c>
      <c r="L3528" s="1" t="str">
        <f t="shared" si="405"/>
        <v>seg</v>
      </c>
      <c r="M3528" s="1" t="str">
        <f t="shared" si="406"/>
        <v>dez</v>
      </c>
      <c r="N3528">
        <f t="shared" si="407"/>
        <v>2025</v>
      </c>
      <c r="O3528" s="2"/>
      <c r="P3528" t="str">
        <f t="shared" si="408"/>
        <v>171646020</v>
      </c>
    </row>
    <row r="3529" spans="1:16" x14ac:dyDescent="0.3">
      <c r="A3529">
        <v>1717</v>
      </c>
      <c r="B3529">
        <v>54</v>
      </c>
      <c r="C3529" t="s">
        <v>15</v>
      </c>
      <c r="D3529" t="s">
        <v>16</v>
      </c>
      <c r="E3529" t="s">
        <v>17</v>
      </c>
      <c r="F3529" t="s">
        <v>18</v>
      </c>
      <c r="G3529" t="s">
        <v>41</v>
      </c>
      <c r="H3529" t="s">
        <v>25</v>
      </c>
      <c r="I3529" s="1">
        <v>3</v>
      </c>
      <c r="J3529" s="2">
        <v>45846</v>
      </c>
      <c r="K3529" s="2">
        <v>45839</v>
      </c>
      <c r="L3529" s="1" t="str">
        <f t="shared" si="405"/>
        <v>ter</v>
      </c>
      <c r="M3529" s="1" t="str">
        <f t="shared" si="406"/>
        <v>jul</v>
      </c>
      <c r="N3529">
        <f t="shared" si="407"/>
        <v>2025</v>
      </c>
      <c r="O3529" s="2"/>
      <c r="P3529" t="str">
        <f t="shared" si="408"/>
        <v>171745846</v>
      </c>
    </row>
    <row r="3530" spans="1:16" x14ac:dyDescent="0.3">
      <c r="A3530">
        <v>1717</v>
      </c>
      <c r="B3530">
        <v>54</v>
      </c>
      <c r="C3530" t="s">
        <v>15</v>
      </c>
      <c r="D3530" t="s">
        <v>16</v>
      </c>
      <c r="E3530" t="s">
        <v>17</v>
      </c>
      <c r="F3530" t="s">
        <v>18</v>
      </c>
      <c r="G3530" t="s">
        <v>41</v>
      </c>
      <c r="H3530" t="s">
        <v>25</v>
      </c>
      <c r="I3530" s="1">
        <v>3</v>
      </c>
      <c r="J3530" s="2">
        <v>45956</v>
      </c>
      <c r="K3530" s="2">
        <v>45931</v>
      </c>
      <c r="L3530" s="1" t="str">
        <f t="shared" si="405"/>
        <v>dom</v>
      </c>
      <c r="M3530" s="1" t="str">
        <f t="shared" si="406"/>
        <v>out</v>
      </c>
      <c r="N3530">
        <f t="shared" si="407"/>
        <v>2025</v>
      </c>
      <c r="O3530" s="2"/>
      <c r="P3530" t="str">
        <f t="shared" si="408"/>
        <v>171745956</v>
      </c>
    </row>
    <row r="3531" spans="1:16" x14ac:dyDescent="0.3">
      <c r="A3531">
        <v>1717</v>
      </c>
      <c r="B3531">
        <v>54</v>
      </c>
      <c r="C3531" t="s">
        <v>15</v>
      </c>
      <c r="D3531" t="s">
        <v>16</v>
      </c>
      <c r="E3531" t="s">
        <v>17</v>
      </c>
      <c r="F3531" t="s">
        <v>18</v>
      </c>
      <c r="G3531" t="s">
        <v>41</v>
      </c>
      <c r="H3531" t="s">
        <v>25</v>
      </c>
      <c r="I3531" s="1">
        <v>3</v>
      </c>
      <c r="J3531" s="2">
        <v>45958</v>
      </c>
      <c r="K3531" s="2">
        <v>45931</v>
      </c>
      <c r="L3531" s="1" t="str">
        <f t="shared" si="405"/>
        <v>ter</v>
      </c>
      <c r="M3531" s="1" t="str">
        <f t="shared" si="406"/>
        <v>out</v>
      </c>
      <c r="N3531">
        <f t="shared" si="407"/>
        <v>2025</v>
      </c>
      <c r="O3531" s="2"/>
      <c r="P3531" t="str">
        <f t="shared" si="408"/>
        <v>171745958</v>
      </c>
    </row>
    <row r="3532" spans="1:16" x14ac:dyDescent="0.3">
      <c r="A3532">
        <v>1717</v>
      </c>
      <c r="B3532">
        <v>54</v>
      </c>
      <c r="C3532" t="s">
        <v>15</v>
      </c>
      <c r="D3532" t="s">
        <v>16</v>
      </c>
      <c r="E3532" t="s">
        <v>17</v>
      </c>
      <c r="F3532" t="s">
        <v>18</v>
      </c>
      <c r="G3532" t="s">
        <v>41</v>
      </c>
      <c r="H3532" t="s">
        <v>25</v>
      </c>
      <c r="I3532" s="1">
        <v>3</v>
      </c>
      <c r="J3532" s="2">
        <v>45959</v>
      </c>
      <c r="K3532" s="2">
        <v>45931</v>
      </c>
      <c r="L3532" s="1" t="str">
        <f t="shared" si="405"/>
        <v>qua</v>
      </c>
      <c r="M3532" s="1" t="str">
        <f t="shared" si="406"/>
        <v>out</v>
      </c>
      <c r="N3532">
        <f t="shared" si="407"/>
        <v>2025</v>
      </c>
      <c r="O3532" s="2"/>
      <c r="P3532" t="str">
        <f t="shared" si="408"/>
        <v>171745959</v>
      </c>
    </row>
    <row r="3533" spans="1:16" x14ac:dyDescent="0.3">
      <c r="A3533">
        <v>1717</v>
      </c>
      <c r="B3533">
        <v>54</v>
      </c>
      <c r="C3533" t="s">
        <v>15</v>
      </c>
      <c r="D3533" t="s">
        <v>16</v>
      </c>
      <c r="E3533" t="s">
        <v>17</v>
      </c>
      <c r="F3533" t="s">
        <v>18</v>
      </c>
      <c r="G3533" t="s">
        <v>41</v>
      </c>
      <c r="H3533" t="s">
        <v>25</v>
      </c>
      <c r="I3533" s="1">
        <v>3</v>
      </c>
      <c r="J3533" s="2">
        <v>46035</v>
      </c>
      <c r="K3533" s="2">
        <v>46023</v>
      </c>
      <c r="L3533" s="1" t="str">
        <f t="shared" si="405"/>
        <v>ter</v>
      </c>
      <c r="M3533" s="1" t="str">
        <f t="shared" si="406"/>
        <v>jan</v>
      </c>
      <c r="N3533">
        <f t="shared" si="407"/>
        <v>2026</v>
      </c>
      <c r="O3533" s="2"/>
      <c r="P3533" t="str">
        <f t="shared" si="408"/>
        <v>171746035</v>
      </c>
    </row>
    <row r="3534" spans="1:16" x14ac:dyDescent="0.3">
      <c r="A3534">
        <v>1718</v>
      </c>
      <c r="B3534">
        <v>29</v>
      </c>
      <c r="C3534" t="s">
        <v>15</v>
      </c>
      <c r="D3534" t="s">
        <v>16</v>
      </c>
      <c r="E3534" t="s">
        <v>17</v>
      </c>
      <c r="F3534" t="s">
        <v>18</v>
      </c>
      <c r="G3534" t="s">
        <v>41</v>
      </c>
      <c r="H3534" t="s">
        <v>20</v>
      </c>
      <c r="I3534" s="1">
        <v>1</v>
      </c>
      <c r="J3534" s="2">
        <v>45855</v>
      </c>
      <c r="K3534" s="2">
        <v>45839</v>
      </c>
      <c r="L3534" s="1" t="str">
        <f t="shared" si="405"/>
        <v>qui</v>
      </c>
      <c r="M3534" s="1" t="str">
        <f t="shared" si="406"/>
        <v>jul</v>
      </c>
      <c r="N3534">
        <f t="shared" si="407"/>
        <v>2025</v>
      </c>
      <c r="O3534" s="2">
        <f>_xlfn.XLOOKUP(A3534,Colaboradores!$A:$A,Colaboradores!$S:$S,"",0)</f>
        <v>45925</v>
      </c>
      <c r="P3534" t="str">
        <f t="shared" si="408"/>
        <v>171845855</v>
      </c>
    </row>
    <row r="3535" spans="1:16" x14ac:dyDescent="0.3">
      <c r="A3535">
        <v>1718</v>
      </c>
      <c r="B3535">
        <v>29</v>
      </c>
      <c r="C3535" t="s">
        <v>15</v>
      </c>
      <c r="D3535" t="s">
        <v>16</v>
      </c>
      <c r="E3535" t="s">
        <v>17</v>
      </c>
      <c r="F3535" t="s">
        <v>18</v>
      </c>
      <c r="G3535" t="s">
        <v>41</v>
      </c>
      <c r="H3535" t="s">
        <v>20</v>
      </c>
      <c r="I3535" s="1">
        <v>1</v>
      </c>
      <c r="J3535" s="2">
        <v>45872</v>
      </c>
      <c r="K3535" s="2">
        <v>45870</v>
      </c>
      <c r="L3535" s="1" t="str">
        <f t="shared" si="405"/>
        <v>dom</v>
      </c>
      <c r="M3535" s="1" t="str">
        <f t="shared" si="406"/>
        <v>ago</v>
      </c>
      <c r="N3535">
        <f t="shared" si="407"/>
        <v>2025</v>
      </c>
      <c r="O3535" s="2">
        <f>_xlfn.XLOOKUP(A3535,Colaboradores!$A:$A,Colaboradores!$S:$S,"",0)</f>
        <v>45925</v>
      </c>
      <c r="P3535" t="str">
        <f t="shared" si="408"/>
        <v>171845872</v>
      </c>
    </row>
    <row r="3536" spans="1:16" x14ac:dyDescent="0.3">
      <c r="A3536">
        <v>1718</v>
      </c>
      <c r="B3536">
        <v>29</v>
      </c>
      <c r="C3536" t="s">
        <v>15</v>
      </c>
      <c r="D3536" t="s">
        <v>16</v>
      </c>
      <c r="E3536" t="s">
        <v>17</v>
      </c>
      <c r="F3536" t="s">
        <v>18</v>
      </c>
      <c r="G3536" t="s">
        <v>41</v>
      </c>
      <c r="H3536" t="s">
        <v>20</v>
      </c>
      <c r="I3536" s="1">
        <v>1</v>
      </c>
      <c r="J3536" s="2">
        <v>45907</v>
      </c>
      <c r="K3536" s="2">
        <v>45901</v>
      </c>
      <c r="L3536" s="1" t="str">
        <f t="shared" si="405"/>
        <v>dom</v>
      </c>
      <c r="M3536" s="1" t="str">
        <f t="shared" si="406"/>
        <v>set</v>
      </c>
      <c r="N3536">
        <f t="shared" si="407"/>
        <v>2025</v>
      </c>
      <c r="O3536" s="2">
        <f>_xlfn.XLOOKUP(A3536,Colaboradores!$A:$A,Colaboradores!$S:$S,"",0)</f>
        <v>45925</v>
      </c>
      <c r="P3536" t="str">
        <f t="shared" si="408"/>
        <v>171845907</v>
      </c>
    </row>
    <row r="3537" spans="1:16" x14ac:dyDescent="0.3">
      <c r="A3537">
        <v>1718</v>
      </c>
      <c r="B3537">
        <v>29</v>
      </c>
      <c r="C3537" t="s">
        <v>15</v>
      </c>
      <c r="D3537" t="s">
        <v>16</v>
      </c>
      <c r="E3537" t="s">
        <v>17</v>
      </c>
      <c r="F3537" t="s">
        <v>18</v>
      </c>
      <c r="G3537" t="s">
        <v>41</v>
      </c>
      <c r="H3537" t="s">
        <v>20</v>
      </c>
      <c r="I3537" s="1">
        <v>1</v>
      </c>
      <c r="J3537" s="2">
        <v>45908</v>
      </c>
      <c r="K3537" s="2">
        <v>45901</v>
      </c>
      <c r="L3537" s="1" t="str">
        <f t="shared" ref="L3537:L3567" si="409">TEXT(J3537,"ddd")</f>
        <v>seg</v>
      </c>
      <c r="M3537" s="1" t="str">
        <f t="shared" ref="M3537:M3567" si="410">TEXT($J3537,"mmm")</f>
        <v>set</v>
      </c>
      <c r="N3537">
        <f t="shared" ref="N3537:N3567" si="411">YEAR(J3537)</f>
        <v>2025</v>
      </c>
      <c r="O3537" s="2">
        <f>_xlfn.XLOOKUP(A3537,Colaboradores!$A:$A,Colaboradores!$S:$S,"",0)</f>
        <v>45925</v>
      </c>
      <c r="P3537" t="str">
        <f t="shared" si="408"/>
        <v>171845908</v>
      </c>
    </row>
    <row r="3538" spans="1:16" x14ac:dyDescent="0.3">
      <c r="A3538">
        <v>1718</v>
      </c>
      <c r="B3538">
        <v>29</v>
      </c>
      <c r="C3538" t="s">
        <v>15</v>
      </c>
      <c r="D3538" t="s">
        <v>16</v>
      </c>
      <c r="E3538" t="s">
        <v>17</v>
      </c>
      <c r="F3538" t="s">
        <v>18</v>
      </c>
      <c r="G3538" t="s">
        <v>41</v>
      </c>
      <c r="H3538" t="s">
        <v>20</v>
      </c>
      <c r="I3538" s="1">
        <v>1</v>
      </c>
      <c r="J3538" s="2">
        <v>45909</v>
      </c>
      <c r="K3538" s="2">
        <v>45901</v>
      </c>
      <c r="L3538" s="1" t="str">
        <f t="shared" si="409"/>
        <v>ter</v>
      </c>
      <c r="M3538" s="1" t="str">
        <f t="shared" si="410"/>
        <v>set</v>
      </c>
      <c r="N3538">
        <f t="shared" si="411"/>
        <v>2025</v>
      </c>
      <c r="O3538" s="2">
        <f>_xlfn.XLOOKUP(A3538,Colaboradores!$A:$A,Colaboradores!$S:$S,"",0)</f>
        <v>45925</v>
      </c>
      <c r="P3538" t="str">
        <f t="shared" si="408"/>
        <v>171845909</v>
      </c>
    </row>
    <row r="3539" spans="1:16" x14ac:dyDescent="0.3">
      <c r="A3539">
        <v>1718</v>
      </c>
      <c r="B3539">
        <v>29</v>
      </c>
      <c r="C3539" t="s">
        <v>15</v>
      </c>
      <c r="D3539" t="s">
        <v>16</v>
      </c>
      <c r="E3539" t="s">
        <v>17</v>
      </c>
      <c r="F3539" t="s">
        <v>18</v>
      </c>
      <c r="G3539" t="s">
        <v>41</v>
      </c>
      <c r="H3539" t="s">
        <v>20</v>
      </c>
      <c r="I3539" s="1">
        <v>1</v>
      </c>
      <c r="J3539" s="2">
        <v>45910</v>
      </c>
      <c r="K3539" s="2">
        <v>45901</v>
      </c>
      <c r="L3539" s="1" t="str">
        <f t="shared" si="409"/>
        <v>qua</v>
      </c>
      <c r="M3539" s="1" t="str">
        <f t="shared" si="410"/>
        <v>set</v>
      </c>
      <c r="N3539">
        <f t="shared" si="411"/>
        <v>2025</v>
      </c>
      <c r="O3539" s="2">
        <f>_xlfn.XLOOKUP(A3539,Colaboradores!$A:$A,Colaboradores!$S:$S,"",0)</f>
        <v>45925</v>
      </c>
      <c r="P3539" t="str">
        <f t="shared" si="408"/>
        <v>171845910</v>
      </c>
    </row>
    <row r="3540" spans="1:16" x14ac:dyDescent="0.3">
      <c r="A3540">
        <v>1721</v>
      </c>
      <c r="B3540">
        <v>42</v>
      </c>
      <c r="C3540" t="s">
        <v>26</v>
      </c>
      <c r="D3540" t="s">
        <v>22</v>
      </c>
      <c r="E3540" t="s">
        <v>17</v>
      </c>
      <c r="F3540" t="s">
        <v>21</v>
      </c>
      <c r="G3540" t="s">
        <v>41</v>
      </c>
      <c r="H3540" t="s">
        <v>20</v>
      </c>
      <c r="I3540" s="1">
        <v>2</v>
      </c>
      <c r="J3540" s="2">
        <v>45734</v>
      </c>
      <c r="K3540" s="2">
        <v>45717</v>
      </c>
      <c r="L3540" s="1" t="str">
        <f t="shared" si="409"/>
        <v>ter</v>
      </c>
      <c r="M3540" s="1" t="str">
        <f t="shared" si="410"/>
        <v>mar</v>
      </c>
      <c r="N3540">
        <f t="shared" si="411"/>
        <v>2025</v>
      </c>
      <c r="O3540" s="2">
        <f>_xlfn.XLOOKUP(A3540,Colaboradores!$A:$A,Colaboradores!$S:$S,"",0)</f>
        <v>45800</v>
      </c>
      <c r="P3540" t="str">
        <f t="shared" si="408"/>
        <v>172145734</v>
      </c>
    </row>
    <row r="3541" spans="1:16" x14ac:dyDescent="0.3">
      <c r="A3541">
        <v>1721</v>
      </c>
      <c r="B3541">
        <v>42</v>
      </c>
      <c r="C3541" t="s">
        <v>26</v>
      </c>
      <c r="D3541" t="s">
        <v>22</v>
      </c>
      <c r="E3541" t="s">
        <v>17</v>
      </c>
      <c r="F3541" t="s">
        <v>21</v>
      </c>
      <c r="G3541" t="s">
        <v>41</v>
      </c>
      <c r="H3541" t="s">
        <v>20</v>
      </c>
      <c r="I3541" s="1">
        <v>2</v>
      </c>
      <c r="J3541" s="2">
        <v>45767</v>
      </c>
      <c r="K3541" s="2">
        <v>45748</v>
      </c>
      <c r="L3541" s="1" t="str">
        <f t="shared" si="409"/>
        <v>dom</v>
      </c>
      <c r="M3541" s="1" t="str">
        <f t="shared" si="410"/>
        <v>abr</v>
      </c>
      <c r="N3541">
        <f t="shared" si="411"/>
        <v>2025</v>
      </c>
      <c r="O3541" s="2">
        <f>_xlfn.XLOOKUP(A3541,Colaboradores!$A:$A,Colaboradores!$S:$S,"",0)</f>
        <v>45800</v>
      </c>
      <c r="P3541" t="str">
        <f t="shared" si="408"/>
        <v>172145767</v>
      </c>
    </row>
    <row r="3542" spans="1:16" x14ac:dyDescent="0.3">
      <c r="A3542">
        <v>1721</v>
      </c>
      <c r="B3542">
        <v>42</v>
      </c>
      <c r="C3542" t="s">
        <v>26</v>
      </c>
      <c r="D3542" t="s">
        <v>22</v>
      </c>
      <c r="E3542" t="s">
        <v>17</v>
      </c>
      <c r="F3542" t="s">
        <v>21</v>
      </c>
      <c r="G3542" t="s">
        <v>41</v>
      </c>
      <c r="H3542" t="s">
        <v>20</v>
      </c>
      <c r="I3542" s="1">
        <v>2</v>
      </c>
      <c r="J3542" s="2">
        <v>45790</v>
      </c>
      <c r="K3542" s="2">
        <v>45778</v>
      </c>
      <c r="L3542" s="1" t="str">
        <f t="shared" si="409"/>
        <v>ter</v>
      </c>
      <c r="M3542" s="1" t="str">
        <f t="shared" si="410"/>
        <v>mai</v>
      </c>
      <c r="N3542">
        <f t="shared" si="411"/>
        <v>2025</v>
      </c>
      <c r="O3542" s="2">
        <f>_xlfn.XLOOKUP(A3542,Colaboradores!$A:$A,Colaboradores!$S:$S,"",0)</f>
        <v>45800</v>
      </c>
      <c r="P3542" t="str">
        <f t="shared" si="408"/>
        <v>172145790</v>
      </c>
    </row>
    <row r="3543" spans="1:16" x14ac:dyDescent="0.3">
      <c r="A3543">
        <v>1721</v>
      </c>
      <c r="B3543">
        <v>42</v>
      </c>
      <c r="C3543" t="s">
        <v>26</v>
      </c>
      <c r="D3543" t="s">
        <v>22</v>
      </c>
      <c r="E3543" t="s">
        <v>17</v>
      </c>
      <c r="F3543" t="s">
        <v>21</v>
      </c>
      <c r="G3543" t="s">
        <v>41</v>
      </c>
      <c r="H3543" t="s">
        <v>20</v>
      </c>
      <c r="I3543" s="1">
        <v>2</v>
      </c>
      <c r="J3543" s="2">
        <v>45791</v>
      </c>
      <c r="K3543" s="2">
        <v>45778</v>
      </c>
      <c r="L3543" s="1" t="str">
        <f t="shared" si="409"/>
        <v>qua</v>
      </c>
      <c r="M3543" s="1" t="str">
        <f t="shared" si="410"/>
        <v>mai</v>
      </c>
      <c r="N3543">
        <f t="shared" si="411"/>
        <v>2025</v>
      </c>
      <c r="O3543" s="2">
        <f>_xlfn.XLOOKUP(A3543,Colaboradores!$A:$A,Colaboradores!$S:$S,"",0)</f>
        <v>45800</v>
      </c>
      <c r="P3543" t="str">
        <f t="shared" si="408"/>
        <v>172145791</v>
      </c>
    </row>
    <row r="3544" spans="1:16" x14ac:dyDescent="0.3">
      <c r="A3544">
        <v>1721</v>
      </c>
      <c r="B3544">
        <v>42</v>
      </c>
      <c r="C3544" t="s">
        <v>26</v>
      </c>
      <c r="D3544" t="s">
        <v>22</v>
      </c>
      <c r="E3544" t="s">
        <v>17</v>
      </c>
      <c r="F3544" t="s">
        <v>21</v>
      </c>
      <c r="G3544" t="s">
        <v>41</v>
      </c>
      <c r="H3544" t="s">
        <v>20</v>
      </c>
      <c r="I3544" s="1">
        <v>2</v>
      </c>
      <c r="J3544" s="2">
        <v>45793</v>
      </c>
      <c r="K3544" s="2">
        <v>45778</v>
      </c>
      <c r="L3544" s="1" t="str">
        <f t="shared" si="409"/>
        <v>sex</v>
      </c>
      <c r="M3544" s="1" t="str">
        <f t="shared" si="410"/>
        <v>mai</v>
      </c>
      <c r="N3544">
        <f t="shared" si="411"/>
        <v>2025</v>
      </c>
      <c r="O3544" s="2">
        <f>_xlfn.XLOOKUP(A3544,Colaboradores!$A:$A,Colaboradores!$S:$S,"",0)</f>
        <v>45800</v>
      </c>
      <c r="P3544" t="str">
        <f t="shared" si="408"/>
        <v>172145793</v>
      </c>
    </row>
    <row r="3545" spans="1:16" x14ac:dyDescent="0.3">
      <c r="A3545">
        <v>1721</v>
      </c>
      <c r="B3545">
        <v>42</v>
      </c>
      <c r="C3545" t="s">
        <v>26</v>
      </c>
      <c r="D3545" t="s">
        <v>22</v>
      </c>
      <c r="E3545" t="s">
        <v>17</v>
      </c>
      <c r="F3545" t="s">
        <v>21</v>
      </c>
      <c r="G3545" t="s">
        <v>41</v>
      </c>
      <c r="H3545" t="s">
        <v>20</v>
      </c>
      <c r="I3545" s="1">
        <v>2</v>
      </c>
      <c r="J3545" s="2">
        <v>45795</v>
      </c>
      <c r="K3545" s="2">
        <v>45778</v>
      </c>
      <c r="L3545" s="1" t="str">
        <f t="shared" si="409"/>
        <v>dom</v>
      </c>
      <c r="M3545" s="1" t="str">
        <f t="shared" si="410"/>
        <v>mai</v>
      </c>
      <c r="N3545">
        <f t="shared" si="411"/>
        <v>2025</v>
      </c>
      <c r="O3545" s="2">
        <f>_xlfn.XLOOKUP(A3545,Colaboradores!$A:$A,Colaboradores!$S:$S,"",0)</f>
        <v>45800</v>
      </c>
      <c r="P3545" t="str">
        <f t="shared" si="408"/>
        <v>172145795</v>
      </c>
    </row>
    <row r="3546" spans="1:16" x14ac:dyDescent="0.3">
      <c r="A3546">
        <v>1722</v>
      </c>
      <c r="B3546">
        <v>29</v>
      </c>
      <c r="C3546" t="s">
        <v>15</v>
      </c>
      <c r="D3546" t="s">
        <v>16</v>
      </c>
      <c r="E3546" t="s">
        <v>17</v>
      </c>
      <c r="F3546" t="s">
        <v>18</v>
      </c>
      <c r="G3546" t="s">
        <v>41</v>
      </c>
      <c r="H3546" t="s">
        <v>25</v>
      </c>
      <c r="I3546" s="1">
        <v>3</v>
      </c>
      <c r="J3546" s="2">
        <v>45863</v>
      </c>
      <c r="K3546" s="2">
        <v>45839</v>
      </c>
      <c r="L3546" s="1" t="str">
        <f t="shared" si="409"/>
        <v>sex</v>
      </c>
      <c r="M3546" s="1" t="str">
        <f t="shared" si="410"/>
        <v>jul</v>
      </c>
      <c r="N3546">
        <f t="shared" si="411"/>
        <v>2025</v>
      </c>
      <c r="O3546" s="2"/>
      <c r="P3546" t="str">
        <f t="shared" si="408"/>
        <v>172245863</v>
      </c>
    </row>
    <row r="3547" spans="1:16" x14ac:dyDescent="0.3">
      <c r="A3547">
        <v>1722</v>
      </c>
      <c r="B3547">
        <v>29</v>
      </c>
      <c r="C3547" t="s">
        <v>15</v>
      </c>
      <c r="D3547" t="s">
        <v>16</v>
      </c>
      <c r="E3547" t="s">
        <v>17</v>
      </c>
      <c r="F3547" t="s">
        <v>18</v>
      </c>
      <c r="G3547" t="s">
        <v>41</v>
      </c>
      <c r="H3547" t="s">
        <v>25</v>
      </c>
      <c r="I3547" s="1">
        <v>3</v>
      </c>
      <c r="J3547" s="2">
        <v>45960</v>
      </c>
      <c r="K3547" s="2">
        <v>45931</v>
      </c>
      <c r="L3547" s="1" t="str">
        <f t="shared" si="409"/>
        <v>qui</v>
      </c>
      <c r="M3547" s="1" t="str">
        <f t="shared" si="410"/>
        <v>out</v>
      </c>
      <c r="N3547">
        <f t="shared" si="411"/>
        <v>2025</v>
      </c>
      <c r="O3547" s="2"/>
      <c r="P3547" t="str">
        <f t="shared" si="408"/>
        <v>172245960</v>
      </c>
    </row>
    <row r="3548" spans="1:16" x14ac:dyDescent="0.3">
      <c r="A3548">
        <v>1722</v>
      </c>
      <c r="B3548">
        <v>29</v>
      </c>
      <c r="C3548" t="s">
        <v>15</v>
      </c>
      <c r="D3548" t="s">
        <v>16</v>
      </c>
      <c r="E3548" t="s">
        <v>17</v>
      </c>
      <c r="F3548" t="s">
        <v>18</v>
      </c>
      <c r="G3548" t="s">
        <v>41</v>
      </c>
      <c r="H3548" t="s">
        <v>25</v>
      </c>
      <c r="I3548" s="1">
        <v>3</v>
      </c>
      <c r="J3548" s="2">
        <v>46189</v>
      </c>
      <c r="K3548" s="2">
        <v>46023</v>
      </c>
      <c r="L3548" s="1" t="str">
        <f t="shared" si="409"/>
        <v>ter</v>
      </c>
      <c r="M3548" s="1" t="str">
        <f t="shared" si="410"/>
        <v>jun</v>
      </c>
      <c r="N3548">
        <f t="shared" si="411"/>
        <v>2026</v>
      </c>
      <c r="O3548" s="2"/>
      <c r="P3548" t="str">
        <f t="shared" si="408"/>
        <v>172246189</v>
      </c>
    </row>
    <row r="3549" spans="1:16" x14ac:dyDescent="0.3">
      <c r="A3549">
        <v>1722</v>
      </c>
      <c r="B3549">
        <v>29</v>
      </c>
      <c r="C3549" t="s">
        <v>15</v>
      </c>
      <c r="D3549" t="s">
        <v>16</v>
      </c>
      <c r="E3549" t="s">
        <v>17</v>
      </c>
      <c r="F3549" t="s">
        <v>18</v>
      </c>
      <c r="G3549" t="s">
        <v>41</v>
      </c>
      <c r="H3549" t="s">
        <v>25</v>
      </c>
      <c r="I3549" s="1">
        <v>3</v>
      </c>
      <c r="J3549" s="2">
        <v>46092</v>
      </c>
      <c r="K3549" s="2">
        <v>46082</v>
      </c>
      <c r="L3549" s="1" t="str">
        <f t="shared" si="409"/>
        <v>qua</v>
      </c>
      <c r="M3549" s="1" t="str">
        <f t="shared" si="410"/>
        <v>mar</v>
      </c>
      <c r="N3549">
        <f t="shared" si="411"/>
        <v>2026</v>
      </c>
      <c r="O3549" s="2"/>
      <c r="P3549" t="str">
        <f t="shared" si="408"/>
        <v>172246092</v>
      </c>
    </row>
    <row r="3550" spans="1:16" x14ac:dyDescent="0.3">
      <c r="A3550">
        <v>1723</v>
      </c>
      <c r="B3550">
        <v>57</v>
      </c>
      <c r="C3550" t="s">
        <v>15</v>
      </c>
      <c r="D3550" t="s">
        <v>29</v>
      </c>
      <c r="E3550" t="s">
        <v>17</v>
      </c>
      <c r="F3550" t="s">
        <v>23</v>
      </c>
      <c r="G3550" t="s">
        <v>41</v>
      </c>
      <c r="H3550" t="s">
        <v>20</v>
      </c>
      <c r="I3550" s="1">
        <v>1</v>
      </c>
      <c r="J3550" s="2">
        <v>45806</v>
      </c>
      <c r="K3550" s="2">
        <v>45778</v>
      </c>
      <c r="L3550" s="1" t="str">
        <f t="shared" si="409"/>
        <v>qui</v>
      </c>
      <c r="M3550" s="1" t="str">
        <f t="shared" si="410"/>
        <v>mai</v>
      </c>
      <c r="N3550">
        <f t="shared" si="411"/>
        <v>2025</v>
      </c>
      <c r="O3550" s="2">
        <f>_xlfn.XLOOKUP(A3550,Colaboradores!$A:$A,Colaboradores!$S:$S,"",0)</f>
        <v>46043</v>
      </c>
      <c r="P3550" t="str">
        <f t="shared" si="408"/>
        <v>172345806</v>
      </c>
    </row>
    <row r="3551" spans="1:16" x14ac:dyDescent="0.3">
      <c r="A3551">
        <v>1723</v>
      </c>
      <c r="B3551">
        <v>57</v>
      </c>
      <c r="C3551" t="s">
        <v>15</v>
      </c>
      <c r="D3551" t="s">
        <v>29</v>
      </c>
      <c r="E3551" t="s">
        <v>17</v>
      </c>
      <c r="F3551" t="s">
        <v>23</v>
      </c>
      <c r="G3551" t="s">
        <v>41</v>
      </c>
      <c r="H3551" t="s">
        <v>20</v>
      </c>
      <c r="I3551" s="1">
        <v>1</v>
      </c>
      <c r="J3551" s="2">
        <v>45832</v>
      </c>
      <c r="K3551" s="2">
        <v>45809</v>
      </c>
      <c r="L3551" s="1" t="str">
        <f t="shared" si="409"/>
        <v>ter</v>
      </c>
      <c r="M3551" s="1" t="str">
        <f t="shared" si="410"/>
        <v>jun</v>
      </c>
      <c r="N3551">
        <f t="shared" si="411"/>
        <v>2025</v>
      </c>
      <c r="O3551" s="2">
        <f>_xlfn.XLOOKUP(A3551,Colaboradores!$A:$A,Colaboradores!$S:$S,"",0)</f>
        <v>46043</v>
      </c>
      <c r="P3551" t="str">
        <f t="shared" si="408"/>
        <v>172345832</v>
      </c>
    </row>
    <row r="3552" spans="1:16" x14ac:dyDescent="0.3">
      <c r="A3552">
        <v>1723</v>
      </c>
      <c r="B3552">
        <v>57</v>
      </c>
      <c r="C3552" t="s">
        <v>15</v>
      </c>
      <c r="D3552" t="s">
        <v>29</v>
      </c>
      <c r="E3552" t="s">
        <v>17</v>
      </c>
      <c r="F3552" t="s">
        <v>23</v>
      </c>
      <c r="G3552" t="s">
        <v>41</v>
      </c>
      <c r="H3552" t="s">
        <v>20</v>
      </c>
      <c r="I3552" s="1">
        <v>1</v>
      </c>
      <c r="J3552" s="2">
        <v>45869</v>
      </c>
      <c r="K3552" s="2">
        <v>45839</v>
      </c>
      <c r="L3552" s="1" t="str">
        <f t="shared" si="409"/>
        <v>qui</v>
      </c>
      <c r="M3552" s="1" t="str">
        <f t="shared" si="410"/>
        <v>jul</v>
      </c>
      <c r="N3552">
        <f t="shared" si="411"/>
        <v>2025</v>
      </c>
      <c r="O3552" s="2">
        <f>_xlfn.XLOOKUP(A3552,Colaboradores!$A:$A,Colaboradores!$S:$S,"",0)</f>
        <v>46043</v>
      </c>
      <c r="P3552" t="str">
        <f t="shared" si="408"/>
        <v>172345869</v>
      </c>
    </row>
    <row r="3553" spans="1:16" x14ac:dyDescent="0.3">
      <c r="A3553">
        <v>1723</v>
      </c>
      <c r="B3553">
        <v>57</v>
      </c>
      <c r="C3553" t="s">
        <v>15</v>
      </c>
      <c r="D3553" t="s">
        <v>29</v>
      </c>
      <c r="E3553" t="s">
        <v>17</v>
      </c>
      <c r="F3553" t="s">
        <v>23</v>
      </c>
      <c r="G3553" t="s">
        <v>41</v>
      </c>
      <c r="H3553" t="s">
        <v>20</v>
      </c>
      <c r="I3553" s="1">
        <v>1</v>
      </c>
      <c r="J3553" s="2">
        <v>45915</v>
      </c>
      <c r="K3553" s="2">
        <v>45901</v>
      </c>
      <c r="L3553" s="1" t="str">
        <f t="shared" si="409"/>
        <v>seg</v>
      </c>
      <c r="M3553" s="1" t="str">
        <f t="shared" si="410"/>
        <v>set</v>
      </c>
      <c r="N3553">
        <f t="shared" si="411"/>
        <v>2025</v>
      </c>
      <c r="O3553" s="2">
        <f>_xlfn.XLOOKUP(A3553,Colaboradores!$A:$A,Colaboradores!$S:$S,"",0)</f>
        <v>46043</v>
      </c>
      <c r="P3553" t="str">
        <f t="shared" si="408"/>
        <v>172345915</v>
      </c>
    </row>
    <row r="3554" spans="1:16" x14ac:dyDescent="0.3">
      <c r="A3554">
        <v>1723</v>
      </c>
      <c r="B3554">
        <v>57</v>
      </c>
      <c r="C3554" t="s">
        <v>15</v>
      </c>
      <c r="D3554" t="s">
        <v>29</v>
      </c>
      <c r="E3554" t="s">
        <v>17</v>
      </c>
      <c r="F3554" t="s">
        <v>23</v>
      </c>
      <c r="G3554" t="s">
        <v>41</v>
      </c>
      <c r="H3554" t="s">
        <v>20</v>
      </c>
      <c r="I3554" s="1">
        <v>1</v>
      </c>
      <c r="J3554" s="2">
        <v>45980</v>
      </c>
      <c r="K3554" s="2">
        <v>45962</v>
      </c>
      <c r="L3554" s="1" t="str">
        <f t="shared" si="409"/>
        <v>qua</v>
      </c>
      <c r="M3554" s="1" t="str">
        <f t="shared" si="410"/>
        <v>nov</v>
      </c>
      <c r="N3554">
        <f t="shared" si="411"/>
        <v>2025</v>
      </c>
      <c r="O3554" s="2">
        <f>_xlfn.XLOOKUP(A3554,Colaboradores!$A:$A,Colaboradores!$S:$S,"",0)</f>
        <v>46043</v>
      </c>
      <c r="P3554" t="str">
        <f t="shared" si="408"/>
        <v>172345980</v>
      </c>
    </row>
    <row r="3555" spans="1:16" x14ac:dyDescent="0.3">
      <c r="A3555">
        <v>1723</v>
      </c>
      <c r="B3555">
        <v>57</v>
      </c>
      <c r="C3555" t="s">
        <v>15</v>
      </c>
      <c r="D3555" t="s">
        <v>29</v>
      </c>
      <c r="E3555" t="s">
        <v>17</v>
      </c>
      <c r="F3555" t="s">
        <v>23</v>
      </c>
      <c r="G3555" t="s">
        <v>41</v>
      </c>
      <c r="H3555" t="s">
        <v>20</v>
      </c>
      <c r="I3555" s="1">
        <v>1</v>
      </c>
      <c r="J3555" s="2">
        <v>46178</v>
      </c>
      <c r="K3555" s="2">
        <v>46023</v>
      </c>
      <c r="L3555" s="1" t="str">
        <f t="shared" si="409"/>
        <v>sex</v>
      </c>
      <c r="M3555" s="1" t="str">
        <f t="shared" si="410"/>
        <v>jun</v>
      </c>
      <c r="N3555">
        <f t="shared" si="411"/>
        <v>2026</v>
      </c>
      <c r="O3555" s="2">
        <f>_xlfn.XLOOKUP(A3555,Colaboradores!$A:$A,Colaboradores!$S:$S,"",0)</f>
        <v>46043</v>
      </c>
      <c r="P3555" t="str">
        <f t="shared" si="408"/>
        <v>172346178</v>
      </c>
    </row>
    <row r="3556" spans="1:16" x14ac:dyDescent="0.3">
      <c r="A3556">
        <v>1724</v>
      </c>
      <c r="B3556">
        <v>33</v>
      </c>
      <c r="C3556" t="s">
        <v>26</v>
      </c>
      <c r="D3556" t="s">
        <v>27</v>
      </c>
      <c r="E3556" t="s">
        <v>17</v>
      </c>
      <c r="F3556" t="s">
        <v>21</v>
      </c>
      <c r="G3556" t="s">
        <v>41</v>
      </c>
      <c r="H3556" t="s">
        <v>25</v>
      </c>
      <c r="I3556" s="1">
        <v>1</v>
      </c>
      <c r="J3556" s="2">
        <v>45823</v>
      </c>
      <c r="K3556" s="2">
        <v>45809</v>
      </c>
      <c r="L3556" s="1" t="str">
        <f t="shared" si="409"/>
        <v>dom</v>
      </c>
      <c r="M3556" s="1" t="str">
        <f t="shared" si="410"/>
        <v>jun</v>
      </c>
      <c r="N3556">
        <f t="shared" si="411"/>
        <v>2025</v>
      </c>
      <c r="O3556" s="2"/>
      <c r="P3556" t="str">
        <f t="shared" si="408"/>
        <v>172445823</v>
      </c>
    </row>
    <row r="3557" spans="1:16" x14ac:dyDescent="0.3">
      <c r="A3557">
        <v>1724</v>
      </c>
      <c r="B3557">
        <v>33</v>
      </c>
      <c r="C3557" t="s">
        <v>26</v>
      </c>
      <c r="D3557" t="s">
        <v>27</v>
      </c>
      <c r="E3557" t="s">
        <v>17</v>
      </c>
      <c r="F3557" t="s">
        <v>21</v>
      </c>
      <c r="G3557" t="s">
        <v>41</v>
      </c>
      <c r="H3557" t="s">
        <v>25</v>
      </c>
      <c r="I3557" s="1">
        <v>1</v>
      </c>
      <c r="J3557" s="2">
        <v>45923</v>
      </c>
      <c r="K3557" s="2">
        <v>45901</v>
      </c>
      <c r="L3557" s="1" t="str">
        <f t="shared" si="409"/>
        <v>ter</v>
      </c>
      <c r="M3557" s="1" t="str">
        <f t="shared" si="410"/>
        <v>set</v>
      </c>
      <c r="N3557">
        <f t="shared" si="411"/>
        <v>2025</v>
      </c>
      <c r="O3557" s="2"/>
      <c r="P3557" t="str">
        <f t="shared" si="408"/>
        <v>172445923</v>
      </c>
    </row>
    <row r="3558" spans="1:16" x14ac:dyDescent="0.3">
      <c r="A3558">
        <v>1724</v>
      </c>
      <c r="B3558">
        <v>33</v>
      </c>
      <c r="C3558" t="s">
        <v>26</v>
      </c>
      <c r="D3558" t="s">
        <v>27</v>
      </c>
      <c r="E3558" t="s">
        <v>17</v>
      </c>
      <c r="F3558" t="s">
        <v>21</v>
      </c>
      <c r="G3558" t="s">
        <v>41</v>
      </c>
      <c r="H3558" t="s">
        <v>25</v>
      </c>
      <c r="I3558" s="1">
        <v>1</v>
      </c>
      <c r="J3558" s="2">
        <v>45949</v>
      </c>
      <c r="K3558" s="2">
        <v>45931</v>
      </c>
      <c r="L3558" s="1" t="str">
        <f t="shared" si="409"/>
        <v>dom</v>
      </c>
      <c r="M3558" s="1" t="str">
        <f t="shared" si="410"/>
        <v>out</v>
      </c>
      <c r="N3558">
        <f t="shared" si="411"/>
        <v>2025</v>
      </c>
      <c r="O3558" s="2"/>
      <c r="P3558" t="str">
        <f t="shared" si="408"/>
        <v>172445949</v>
      </c>
    </row>
    <row r="3559" spans="1:16" x14ac:dyDescent="0.3">
      <c r="A3559">
        <v>1724</v>
      </c>
      <c r="B3559">
        <v>33</v>
      </c>
      <c r="C3559" t="s">
        <v>26</v>
      </c>
      <c r="D3559" t="s">
        <v>27</v>
      </c>
      <c r="E3559" t="s">
        <v>17</v>
      </c>
      <c r="F3559" t="s">
        <v>21</v>
      </c>
      <c r="G3559" t="s">
        <v>41</v>
      </c>
      <c r="H3559" t="s">
        <v>25</v>
      </c>
      <c r="I3559" s="1">
        <v>1</v>
      </c>
      <c r="J3559" s="2">
        <v>45959</v>
      </c>
      <c r="K3559" s="2">
        <v>45931</v>
      </c>
      <c r="L3559" s="1" t="str">
        <f t="shared" si="409"/>
        <v>qua</v>
      </c>
      <c r="M3559" s="1" t="str">
        <f t="shared" si="410"/>
        <v>out</v>
      </c>
      <c r="N3559">
        <f t="shared" si="411"/>
        <v>2025</v>
      </c>
      <c r="O3559" s="2"/>
      <c r="P3559" t="str">
        <f t="shared" si="408"/>
        <v>172445959</v>
      </c>
    </row>
    <row r="3560" spans="1:16" x14ac:dyDescent="0.3">
      <c r="A3560">
        <v>1724</v>
      </c>
      <c r="B3560">
        <v>33</v>
      </c>
      <c r="C3560" t="s">
        <v>26</v>
      </c>
      <c r="D3560" t="s">
        <v>27</v>
      </c>
      <c r="E3560" t="s">
        <v>17</v>
      </c>
      <c r="F3560" t="s">
        <v>21</v>
      </c>
      <c r="G3560" t="s">
        <v>41</v>
      </c>
      <c r="H3560" t="s">
        <v>25</v>
      </c>
      <c r="I3560" s="1">
        <v>1</v>
      </c>
      <c r="J3560" s="2">
        <v>46008</v>
      </c>
      <c r="K3560" s="2">
        <v>45992</v>
      </c>
      <c r="L3560" s="1" t="str">
        <f t="shared" si="409"/>
        <v>qua</v>
      </c>
      <c r="M3560" s="1" t="str">
        <f t="shared" si="410"/>
        <v>dez</v>
      </c>
      <c r="N3560">
        <f t="shared" si="411"/>
        <v>2025</v>
      </c>
      <c r="O3560" s="2"/>
      <c r="P3560" t="str">
        <f t="shared" si="408"/>
        <v>172446008</v>
      </c>
    </row>
    <row r="3561" spans="1:16" x14ac:dyDescent="0.3">
      <c r="A3561">
        <v>1724</v>
      </c>
      <c r="B3561">
        <v>33</v>
      </c>
      <c r="C3561" t="s">
        <v>26</v>
      </c>
      <c r="D3561" t="s">
        <v>27</v>
      </c>
      <c r="E3561" t="s">
        <v>17</v>
      </c>
      <c r="F3561" t="s">
        <v>21</v>
      </c>
      <c r="G3561" t="s">
        <v>41</v>
      </c>
      <c r="H3561" t="s">
        <v>25</v>
      </c>
      <c r="I3561" s="1">
        <v>1</v>
      </c>
      <c r="J3561" s="2">
        <v>46202</v>
      </c>
      <c r="K3561" s="2">
        <v>46023</v>
      </c>
      <c r="L3561" s="1" t="str">
        <f t="shared" si="409"/>
        <v>seg</v>
      </c>
      <c r="M3561" s="1" t="str">
        <f t="shared" si="410"/>
        <v>jun</v>
      </c>
      <c r="N3561">
        <f t="shared" si="411"/>
        <v>2026</v>
      </c>
      <c r="O3561" s="2"/>
      <c r="P3561" t="str">
        <f t="shared" si="408"/>
        <v>172446202</v>
      </c>
    </row>
    <row r="3562" spans="1:16" x14ac:dyDescent="0.3">
      <c r="A3562">
        <v>1725</v>
      </c>
      <c r="B3562">
        <v>54</v>
      </c>
      <c r="C3562" t="s">
        <v>26</v>
      </c>
      <c r="D3562" t="s">
        <v>29</v>
      </c>
      <c r="E3562" t="s">
        <v>17</v>
      </c>
      <c r="F3562" t="s">
        <v>18</v>
      </c>
      <c r="G3562" t="s">
        <v>41</v>
      </c>
      <c r="H3562" t="s">
        <v>25</v>
      </c>
      <c r="I3562" s="1">
        <v>3</v>
      </c>
      <c r="J3562" s="2">
        <v>45774</v>
      </c>
      <c r="K3562" s="2">
        <v>45748</v>
      </c>
      <c r="L3562" s="1" t="str">
        <f t="shared" si="409"/>
        <v>dom</v>
      </c>
      <c r="M3562" s="1" t="str">
        <f t="shared" si="410"/>
        <v>abr</v>
      </c>
      <c r="N3562">
        <f t="shared" si="411"/>
        <v>2025</v>
      </c>
      <c r="O3562" s="2"/>
      <c r="P3562" t="str">
        <f t="shared" si="408"/>
        <v>172545774</v>
      </c>
    </row>
    <row r="3563" spans="1:16" x14ac:dyDescent="0.3">
      <c r="A3563">
        <v>1725</v>
      </c>
      <c r="B3563">
        <v>54</v>
      </c>
      <c r="C3563" t="s">
        <v>26</v>
      </c>
      <c r="D3563" t="s">
        <v>29</v>
      </c>
      <c r="E3563" t="s">
        <v>17</v>
      </c>
      <c r="F3563" t="s">
        <v>18</v>
      </c>
      <c r="G3563" t="s">
        <v>41</v>
      </c>
      <c r="H3563" t="s">
        <v>25</v>
      </c>
      <c r="I3563" s="1">
        <v>3</v>
      </c>
      <c r="J3563" s="2">
        <v>45852</v>
      </c>
      <c r="K3563" s="2">
        <v>45839</v>
      </c>
      <c r="L3563" s="1" t="str">
        <f t="shared" si="409"/>
        <v>seg</v>
      </c>
      <c r="M3563" s="1" t="str">
        <f t="shared" si="410"/>
        <v>jul</v>
      </c>
      <c r="N3563">
        <f t="shared" si="411"/>
        <v>2025</v>
      </c>
      <c r="O3563" s="2"/>
      <c r="P3563" t="str">
        <f t="shared" si="408"/>
        <v>172545852</v>
      </c>
    </row>
    <row r="3564" spans="1:16" x14ac:dyDescent="0.3">
      <c r="A3564">
        <v>1725</v>
      </c>
      <c r="B3564">
        <v>54</v>
      </c>
      <c r="C3564" t="s">
        <v>26</v>
      </c>
      <c r="D3564" t="s">
        <v>29</v>
      </c>
      <c r="E3564" t="s">
        <v>17</v>
      </c>
      <c r="F3564" t="s">
        <v>18</v>
      </c>
      <c r="G3564" t="s">
        <v>41</v>
      </c>
      <c r="H3564" t="s">
        <v>25</v>
      </c>
      <c r="I3564" s="1">
        <v>3</v>
      </c>
      <c r="J3564" s="2">
        <v>45894</v>
      </c>
      <c r="K3564" s="2">
        <v>45870</v>
      </c>
      <c r="L3564" s="1" t="str">
        <f t="shared" si="409"/>
        <v>seg</v>
      </c>
      <c r="M3564" s="1" t="str">
        <f t="shared" si="410"/>
        <v>ago</v>
      </c>
      <c r="N3564">
        <f t="shared" si="411"/>
        <v>2025</v>
      </c>
      <c r="O3564" s="2"/>
      <c r="P3564" t="str">
        <f t="shared" si="408"/>
        <v>172545894</v>
      </c>
    </row>
    <row r="3565" spans="1:16" x14ac:dyDescent="0.3">
      <c r="A3565">
        <v>1725</v>
      </c>
      <c r="B3565">
        <v>54</v>
      </c>
      <c r="C3565" t="s">
        <v>26</v>
      </c>
      <c r="D3565" t="s">
        <v>29</v>
      </c>
      <c r="E3565" t="s">
        <v>17</v>
      </c>
      <c r="F3565" t="s">
        <v>18</v>
      </c>
      <c r="G3565" t="s">
        <v>41</v>
      </c>
      <c r="H3565" t="s">
        <v>25</v>
      </c>
      <c r="I3565" s="1">
        <v>3</v>
      </c>
      <c r="J3565" s="2">
        <v>45924</v>
      </c>
      <c r="K3565" s="2">
        <v>45901</v>
      </c>
      <c r="L3565" s="1" t="str">
        <f t="shared" si="409"/>
        <v>qua</v>
      </c>
      <c r="M3565" s="1" t="str">
        <f t="shared" si="410"/>
        <v>set</v>
      </c>
      <c r="N3565">
        <f t="shared" si="411"/>
        <v>2025</v>
      </c>
      <c r="O3565" s="2"/>
      <c r="P3565" t="str">
        <f t="shared" si="408"/>
        <v>172545924</v>
      </c>
    </row>
    <row r="3566" spans="1:16" x14ac:dyDescent="0.3">
      <c r="A3566">
        <v>1725</v>
      </c>
      <c r="B3566">
        <v>54</v>
      </c>
      <c r="C3566" t="s">
        <v>26</v>
      </c>
      <c r="D3566" t="s">
        <v>29</v>
      </c>
      <c r="E3566" t="s">
        <v>17</v>
      </c>
      <c r="F3566" t="s">
        <v>18</v>
      </c>
      <c r="G3566" t="s">
        <v>41</v>
      </c>
      <c r="H3566" t="s">
        <v>25</v>
      </c>
      <c r="I3566" s="1">
        <v>3</v>
      </c>
      <c r="J3566" s="2">
        <v>46079</v>
      </c>
      <c r="K3566" s="2">
        <v>46054</v>
      </c>
      <c r="L3566" s="1" t="str">
        <f t="shared" si="409"/>
        <v>qui</v>
      </c>
      <c r="M3566" s="1" t="str">
        <f t="shared" si="410"/>
        <v>fev</v>
      </c>
      <c r="N3566">
        <f t="shared" si="411"/>
        <v>2026</v>
      </c>
      <c r="O3566" s="2"/>
      <c r="P3566" t="str">
        <f t="shared" si="408"/>
        <v>172546079</v>
      </c>
    </row>
    <row r="3567" spans="1:16" x14ac:dyDescent="0.3">
      <c r="A3567">
        <v>1725</v>
      </c>
      <c r="B3567">
        <v>54</v>
      </c>
      <c r="C3567" t="s">
        <v>26</v>
      </c>
      <c r="D3567" t="s">
        <v>29</v>
      </c>
      <c r="E3567" t="s">
        <v>17</v>
      </c>
      <c r="F3567" t="s">
        <v>18</v>
      </c>
      <c r="G3567" t="s">
        <v>41</v>
      </c>
      <c r="H3567" t="s">
        <v>25</v>
      </c>
      <c r="I3567" s="1">
        <v>3</v>
      </c>
      <c r="J3567" s="2">
        <v>46103</v>
      </c>
      <c r="K3567" s="2">
        <v>46082</v>
      </c>
      <c r="L3567" s="1" t="str">
        <f t="shared" si="409"/>
        <v>dom</v>
      </c>
      <c r="M3567" s="1" t="str">
        <f t="shared" si="410"/>
        <v>mar</v>
      </c>
      <c r="N3567">
        <f t="shared" si="411"/>
        <v>2026</v>
      </c>
      <c r="O3567" s="2"/>
      <c r="P3567" t="str">
        <f t="shared" si="408"/>
        <v>172546103</v>
      </c>
    </row>
    <row r="3568" spans="1:16" x14ac:dyDescent="0.3">
      <c r="A3568">
        <v>1725</v>
      </c>
      <c r="B3568">
        <v>54</v>
      </c>
      <c r="C3568" t="s">
        <v>26</v>
      </c>
      <c r="D3568" t="s">
        <v>29</v>
      </c>
      <c r="E3568" t="s">
        <v>17</v>
      </c>
      <c r="F3568" t="s">
        <v>18</v>
      </c>
      <c r="G3568" t="s">
        <v>41</v>
      </c>
      <c r="H3568" t="s">
        <v>25</v>
      </c>
      <c r="I3568" s="1">
        <v>3</v>
      </c>
      <c r="J3568" s="2">
        <v>46139</v>
      </c>
      <c r="K3568" s="2">
        <v>46113</v>
      </c>
      <c r="L3568" s="1" t="s">
        <v>55</v>
      </c>
      <c r="M3568" s="1" t="s">
        <v>48</v>
      </c>
      <c r="N3568">
        <v>2025</v>
      </c>
      <c r="O3568" s="2"/>
      <c r="P3568" t="str">
        <f t="shared" si="408"/>
        <v>172546139</v>
      </c>
    </row>
    <row r="3569" spans="1:16" x14ac:dyDescent="0.3">
      <c r="A3569">
        <v>1726</v>
      </c>
      <c r="B3569">
        <v>21</v>
      </c>
      <c r="C3569" t="s">
        <v>26</v>
      </c>
      <c r="D3569" t="s">
        <v>22</v>
      </c>
      <c r="E3569" t="s">
        <v>17</v>
      </c>
      <c r="F3569" t="s">
        <v>21</v>
      </c>
      <c r="G3569" t="s">
        <v>41</v>
      </c>
      <c r="H3569" t="s">
        <v>25</v>
      </c>
      <c r="I3569" s="1">
        <v>2</v>
      </c>
      <c r="J3569" s="2">
        <v>45851</v>
      </c>
      <c r="K3569" s="2">
        <v>45839</v>
      </c>
      <c r="L3569" s="1" t="str">
        <f t="shared" ref="L3569:L3580" si="412">TEXT(J3569,"ddd")</f>
        <v>dom</v>
      </c>
      <c r="M3569" s="1" t="str">
        <f t="shared" ref="M3569:M3580" si="413">TEXT($J3569,"mmm")</f>
        <v>jul</v>
      </c>
      <c r="N3569">
        <f t="shared" ref="N3569:N3580" si="414">YEAR(J3569)</f>
        <v>2025</v>
      </c>
      <c r="O3569" s="2"/>
      <c r="P3569" t="str">
        <f t="shared" si="408"/>
        <v>172645851</v>
      </c>
    </row>
    <row r="3570" spans="1:16" x14ac:dyDescent="0.3">
      <c r="A3570">
        <v>1726</v>
      </c>
      <c r="B3570">
        <v>21</v>
      </c>
      <c r="C3570" t="s">
        <v>26</v>
      </c>
      <c r="D3570" t="s">
        <v>22</v>
      </c>
      <c r="E3570" t="s">
        <v>17</v>
      </c>
      <c r="F3570" t="s">
        <v>21</v>
      </c>
      <c r="G3570" t="s">
        <v>41</v>
      </c>
      <c r="H3570" t="s">
        <v>25</v>
      </c>
      <c r="I3570" s="1">
        <v>2</v>
      </c>
      <c r="J3570" s="2">
        <v>45860</v>
      </c>
      <c r="K3570" s="2">
        <v>45839</v>
      </c>
      <c r="L3570" s="1" t="str">
        <f t="shared" si="412"/>
        <v>ter</v>
      </c>
      <c r="M3570" s="1" t="str">
        <f t="shared" si="413"/>
        <v>jul</v>
      </c>
      <c r="N3570">
        <f t="shared" si="414"/>
        <v>2025</v>
      </c>
      <c r="O3570" s="2"/>
      <c r="P3570" t="str">
        <f t="shared" si="408"/>
        <v>172645860</v>
      </c>
    </row>
    <row r="3571" spans="1:16" x14ac:dyDescent="0.3">
      <c r="A3571">
        <v>1726</v>
      </c>
      <c r="B3571">
        <v>21</v>
      </c>
      <c r="C3571" t="s">
        <v>26</v>
      </c>
      <c r="D3571" t="s">
        <v>22</v>
      </c>
      <c r="E3571" t="s">
        <v>17</v>
      </c>
      <c r="F3571" t="s">
        <v>21</v>
      </c>
      <c r="G3571" t="s">
        <v>41</v>
      </c>
      <c r="H3571" t="s">
        <v>25</v>
      </c>
      <c r="I3571" s="1">
        <v>2</v>
      </c>
      <c r="J3571" s="2">
        <v>45912</v>
      </c>
      <c r="K3571" s="2">
        <v>45901</v>
      </c>
      <c r="L3571" s="1" t="str">
        <f t="shared" si="412"/>
        <v>sex</v>
      </c>
      <c r="M3571" s="1" t="str">
        <f t="shared" si="413"/>
        <v>set</v>
      </c>
      <c r="N3571">
        <f t="shared" si="414"/>
        <v>2025</v>
      </c>
      <c r="O3571" s="2"/>
      <c r="P3571" t="str">
        <f t="shared" si="408"/>
        <v>172645912</v>
      </c>
    </row>
    <row r="3572" spans="1:16" x14ac:dyDescent="0.3">
      <c r="A3572">
        <v>1726</v>
      </c>
      <c r="B3572">
        <v>21</v>
      </c>
      <c r="C3572" t="s">
        <v>26</v>
      </c>
      <c r="D3572" t="s">
        <v>22</v>
      </c>
      <c r="E3572" t="s">
        <v>17</v>
      </c>
      <c r="F3572" t="s">
        <v>21</v>
      </c>
      <c r="G3572" t="s">
        <v>41</v>
      </c>
      <c r="H3572" t="s">
        <v>25</v>
      </c>
      <c r="I3572" s="1">
        <v>2</v>
      </c>
      <c r="J3572" s="2">
        <v>45971</v>
      </c>
      <c r="K3572" s="2">
        <v>45962</v>
      </c>
      <c r="L3572" s="1" t="str">
        <f t="shared" si="412"/>
        <v>seg</v>
      </c>
      <c r="M3572" s="1" t="str">
        <f t="shared" si="413"/>
        <v>nov</v>
      </c>
      <c r="N3572">
        <f t="shared" si="414"/>
        <v>2025</v>
      </c>
      <c r="O3572" s="2"/>
      <c r="P3572" t="str">
        <f t="shared" si="408"/>
        <v>172645971</v>
      </c>
    </row>
    <row r="3573" spans="1:16" x14ac:dyDescent="0.3">
      <c r="A3573">
        <v>1726</v>
      </c>
      <c r="B3573">
        <v>21</v>
      </c>
      <c r="C3573" t="s">
        <v>26</v>
      </c>
      <c r="D3573" t="s">
        <v>22</v>
      </c>
      <c r="E3573" t="s">
        <v>17</v>
      </c>
      <c r="F3573" t="s">
        <v>21</v>
      </c>
      <c r="G3573" t="s">
        <v>41</v>
      </c>
      <c r="H3573" t="s">
        <v>25</v>
      </c>
      <c r="I3573" s="1">
        <v>2</v>
      </c>
      <c r="J3573" s="2">
        <v>46179</v>
      </c>
      <c r="K3573" s="2">
        <v>46023</v>
      </c>
      <c r="L3573" s="1" t="str">
        <f t="shared" si="412"/>
        <v>sáb</v>
      </c>
      <c r="M3573" s="1" t="str">
        <f t="shared" si="413"/>
        <v>jun</v>
      </c>
      <c r="N3573">
        <f t="shared" si="414"/>
        <v>2026</v>
      </c>
      <c r="O3573" s="2"/>
      <c r="P3573" t="str">
        <f t="shared" si="408"/>
        <v>172646179</v>
      </c>
    </row>
    <row r="3574" spans="1:16" x14ac:dyDescent="0.3">
      <c r="A3574">
        <v>1726</v>
      </c>
      <c r="B3574">
        <v>21</v>
      </c>
      <c r="C3574" t="s">
        <v>26</v>
      </c>
      <c r="D3574" t="s">
        <v>22</v>
      </c>
      <c r="E3574" t="s">
        <v>17</v>
      </c>
      <c r="F3574" t="s">
        <v>21</v>
      </c>
      <c r="G3574" t="s">
        <v>41</v>
      </c>
      <c r="H3574" t="s">
        <v>25</v>
      </c>
      <c r="I3574" s="1">
        <v>2</v>
      </c>
      <c r="J3574" s="2">
        <v>46067</v>
      </c>
      <c r="K3574" s="2">
        <v>46054</v>
      </c>
      <c r="L3574" s="1" t="str">
        <f t="shared" si="412"/>
        <v>sáb</v>
      </c>
      <c r="M3574" s="1" t="str">
        <f t="shared" si="413"/>
        <v>fev</v>
      </c>
      <c r="N3574">
        <f t="shared" si="414"/>
        <v>2026</v>
      </c>
      <c r="O3574" s="2"/>
      <c r="P3574" t="str">
        <f t="shared" si="408"/>
        <v>172646067</v>
      </c>
    </row>
    <row r="3575" spans="1:16" x14ac:dyDescent="0.3">
      <c r="A3575">
        <v>1727</v>
      </c>
      <c r="B3575">
        <v>50</v>
      </c>
      <c r="C3575" t="s">
        <v>15</v>
      </c>
      <c r="D3575" t="s">
        <v>22</v>
      </c>
      <c r="E3575" t="s">
        <v>17</v>
      </c>
      <c r="F3575" t="s">
        <v>23</v>
      </c>
      <c r="G3575" t="s">
        <v>41</v>
      </c>
      <c r="H3575" t="s">
        <v>25</v>
      </c>
      <c r="I3575" s="1">
        <v>1</v>
      </c>
      <c r="J3575" s="2">
        <v>45777</v>
      </c>
      <c r="K3575" s="2">
        <v>45748</v>
      </c>
      <c r="L3575" s="1" t="str">
        <f t="shared" si="412"/>
        <v>qua</v>
      </c>
      <c r="M3575" s="1" t="str">
        <f t="shared" si="413"/>
        <v>abr</v>
      </c>
      <c r="N3575">
        <f t="shared" si="414"/>
        <v>2025</v>
      </c>
      <c r="O3575" s="2"/>
      <c r="P3575" t="str">
        <f t="shared" si="408"/>
        <v>172745777</v>
      </c>
    </row>
    <row r="3576" spans="1:16" x14ac:dyDescent="0.3">
      <c r="A3576">
        <v>1727</v>
      </c>
      <c r="B3576">
        <v>50</v>
      </c>
      <c r="C3576" t="s">
        <v>15</v>
      </c>
      <c r="D3576" t="s">
        <v>22</v>
      </c>
      <c r="E3576" t="s">
        <v>17</v>
      </c>
      <c r="F3576" t="s">
        <v>23</v>
      </c>
      <c r="G3576" t="s">
        <v>41</v>
      </c>
      <c r="H3576" t="s">
        <v>25</v>
      </c>
      <c r="I3576" s="1">
        <v>1</v>
      </c>
      <c r="J3576" s="2">
        <v>45943</v>
      </c>
      <c r="K3576" s="2">
        <v>45931</v>
      </c>
      <c r="L3576" s="1" t="str">
        <f t="shared" si="412"/>
        <v>seg</v>
      </c>
      <c r="M3576" s="1" t="str">
        <f t="shared" si="413"/>
        <v>out</v>
      </c>
      <c r="N3576">
        <f t="shared" si="414"/>
        <v>2025</v>
      </c>
      <c r="O3576" s="2"/>
      <c r="P3576" t="str">
        <f t="shared" si="408"/>
        <v>172745943</v>
      </c>
    </row>
    <row r="3577" spans="1:16" x14ac:dyDescent="0.3">
      <c r="A3577">
        <v>1727</v>
      </c>
      <c r="B3577">
        <v>50</v>
      </c>
      <c r="C3577" t="s">
        <v>15</v>
      </c>
      <c r="D3577" t="s">
        <v>22</v>
      </c>
      <c r="E3577" t="s">
        <v>17</v>
      </c>
      <c r="F3577" t="s">
        <v>23</v>
      </c>
      <c r="G3577" t="s">
        <v>41</v>
      </c>
      <c r="H3577" t="s">
        <v>25</v>
      </c>
      <c r="I3577" s="1">
        <v>1</v>
      </c>
      <c r="J3577" s="2">
        <v>45997</v>
      </c>
      <c r="K3577" s="2">
        <v>45992</v>
      </c>
      <c r="L3577" s="1" t="str">
        <f t="shared" si="412"/>
        <v>sáb</v>
      </c>
      <c r="M3577" s="1" t="str">
        <f t="shared" si="413"/>
        <v>dez</v>
      </c>
      <c r="N3577">
        <f t="shared" si="414"/>
        <v>2025</v>
      </c>
      <c r="O3577" s="2"/>
      <c r="P3577" t="str">
        <f t="shared" si="408"/>
        <v>172745997</v>
      </c>
    </row>
    <row r="3578" spans="1:16" x14ac:dyDescent="0.3">
      <c r="A3578">
        <v>1727</v>
      </c>
      <c r="B3578">
        <v>50</v>
      </c>
      <c r="C3578" t="s">
        <v>15</v>
      </c>
      <c r="D3578" t="s">
        <v>22</v>
      </c>
      <c r="E3578" t="s">
        <v>17</v>
      </c>
      <c r="F3578" t="s">
        <v>23</v>
      </c>
      <c r="G3578" t="s">
        <v>41</v>
      </c>
      <c r="H3578" t="s">
        <v>25</v>
      </c>
      <c r="I3578" s="1">
        <v>1</v>
      </c>
      <c r="J3578" s="2">
        <v>46174</v>
      </c>
      <c r="K3578" s="2">
        <v>46023</v>
      </c>
      <c r="L3578" s="1" t="str">
        <f t="shared" si="412"/>
        <v>seg</v>
      </c>
      <c r="M3578" s="1" t="str">
        <f t="shared" si="413"/>
        <v>jun</v>
      </c>
      <c r="N3578">
        <f t="shared" si="414"/>
        <v>2026</v>
      </c>
      <c r="O3578" s="2"/>
      <c r="P3578" t="str">
        <f t="shared" si="408"/>
        <v>172746174</v>
      </c>
    </row>
    <row r="3579" spans="1:16" x14ac:dyDescent="0.3">
      <c r="A3579">
        <v>1727</v>
      </c>
      <c r="B3579">
        <v>50</v>
      </c>
      <c r="C3579" t="s">
        <v>15</v>
      </c>
      <c r="D3579" t="s">
        <v>22</v>
      </c>
      <c r="E3579" t="s">
        <v>17</v>
      </c>
      <c r="F3579" t="s">
        <v>23</v>
      </c>
      <c r="G3579" t="s">
        <v>41</v>
      </c>
      <c r="H3579" t="s">
        <v>25</v>
      </c>
      <c r="I3579" s="1">
        <v>1</v>
      </c>
      <c r="J3579" s="2">
        <v>46070</v>
      </c>
      <c r="K3579" s="2">
        <v>46054</v>
      </c>
      <c r="L3579" s="1" t="str">
        <f t="shared" si="412"/>
        <v>ter</v>
      </c>
      <c r="M3579" s="1" t="str">
        <f t="shared" si="413"/>
        <v>fev</v>
      </c>
      <c r="N3579">
        <f t="shared" si="414"/>
        <v>2026</v>
      </c>
      <c r="O3579" s="2"/>
      <c r="P3579" t="str">
        <f t="shared" si="408"/>
        <v>172746070</v>
      </c>
    </row>
    <row r="3580" spans="1:16" x14ac:dyDescent="0.3">
      <c r="A3580">
        <v>1727</v>
      </c>
      <c r="B3580">
        <v>50</v>
      </c>
      <c r="C3580" t="s">
        <v>15</v>
      </c>
      <c r="D3580" t="s">
        <v>22</v>
      </c>
      <c r="E3580" t="s">
        <v>17</v>
      </c>
      <c r="F3580" t="s">
        <v>23</v>
      </c>
      <c r="G3580" t="s">
        <v>41</v>
      </c>
      <c r="H3580" t="s">
        <v>25</v>
      </c>
      <c r="I3580" s="1">
        <v>1</v>
      </c>
      <c r="J3580" s="2">
        <v>46101</v>
      </c>
      <c r="K3580" s="2">
        <v>46082</v>
      </c>
      <c r="L3580" s="1" t="str">
        <f t="shared" si="412"/>
        <v>sex</v>
      </c>
      <c r="M3580" s="1" t="str">
        <f t="shared" si="413"/>
        <v>mar</v>
      </c>
      <c r="N3580">
        <f t="shared" si="414"/>
        <v>2026</v>
      </c>
      <c r="O3580" s="2"/>
      <c r="P3580" t="str">
        <f t="shared" si="408"/>
        <v>172746101</v>
      </c>
    </row>
    <row r="3581" spans="1:16" x14ac:dyDescent="0.3">
      <c r="A3581">
        <v>1727</v>
      </c>
      <c r="B3581">
        <v>50</v>
      </c>
      <c r="C3581" t="s">
        <v>15</v>
      </c>
      <c r="D3581" t="s">
        <v>22</v>
      </c>
      <c r="E3581" t="s">
        <v>17</v>
      </c>
      <c r="F3581" t="s">
        <v>23</v>
      </c>
      <c r="G3581" t="s">
        <v>41</v>
      </c>
      <c r="H3581" t="s">
        <v>25</v>
      </c>
      <c r="I3581" s="1">
        <v>1</v>
      </c>
      <c r="J3581" s="2">
        <v>46142</v>
      </c>
      <c r="K3581" s="2">
        <v>46113</v>
      </c>
      <c r="L3581" s="1" t="s">
        <v>51</v>
      </c>
      <c r="M3581" s="1" t="s">
        <v>48</v>
      </c>
      <c r="N3581">
        <v>2025</v>
      </c>
      <c r="O3581" s="2"/>
      <c r="P3581" t="str">
        <f t="shared" si="408"/>
        <v>172746142</v>
      </c>
    </row>
    <row r="3582" spans="1:16" x14ac:dyDescent="0.3">
      <c r="A3582">
        <v>1728</v>
      </c>
      <c r="B3582">
        <v>41</v>
      </c>
      <c r="C3582" t="s">
        <v>15</v>
      </c>
      <c r="D3582" t="s">
        <v>29</v>
      </c>
      <c r="E3582" t="s">
        <v>17</v>
      </c>
      <c r="F3582" t="s">
        <v>23</v>
      </c>
      <c r="G3582" t="s">
        <v>41</v>
      </c>
      <c r="H3582" t="s">
        <v>20</v>
      </c>
      <c r="I3582" s="1">
        <v>2</v>
      </c>
      <c r="J3582" s="2">
        <v>45804</v>
      </c>
      <c r="K3582" s="2">
        <v>45778</v>
      </c>
      <c r="L3582" s="1" t="str">
        <f t="shared" ref="L3582:L3597" si="415">TEXT(J3582,"ddd")</f>
        <v>ter</v>
      </c>
      <c r="M3582" s="1" t="str">
        <f t="shared" ref="M3582:M3597" si="416">TEXT($J3582,"mmm")</f>
        <v>mai</v>
      </c>
      <c r="N3582">
        <f t="shared" ref="N3582:N3597" si="417">YEAR(J3582)</f>
        <v>2025</v>
      </c>
      <c r="O3582" s="2">
        <f>_xlfn.XLOOKUP(A3582,Colaboradores!$A:$A,Colaboradores!$S:$S,"",0)</f>
        <v>46033</v>
      </c>
      <c r="P3582" t="str">
        <f t="shared" ref="P3582:P3645" si="418">CONCATENATE(A3582,J3582)</f>
        <v>172845804</v>
      </c>
    </row>
    <row r="3583" spans="1:16" x14ac:dyDescent="0.3">
      <c r="A3583">
        <v>1728</v>
      </c>
      <c r="B3583">
        <v>41</v>
      </c>
      <c r="C3583" t="s">
        <v>15</v>
      </c>
      <c r="D3583" t="s">
        <v>29</v>
      </c>
      <c r="E3583" t="s">
        <v>17</v>
      </c>
      <c r="F3583" t="s">
        <v>23</v>
      </c>
      <c r="G3583" t="s">
        <v>41</v>
      </c>
      <c r="H3583" t="s">
        <v>20</v>
      </c>
      <c r="I3583" s="1">
        <v>2</v>
      </c>
      <c r="J3583" s="2">
        <v>45831</v>
      </c>
      <c r="K3583" s="2">
        <v>45809</v>
      </c>
      <c r="L3583" s="1" t="str">
        <f t="shared" si="415"/>
        <v>seg</v>
      </c>
      <c r="M3583" s="1" t="str">
        <f t="shared" si="416"/>
        <v>jun</v>
      </c>
      <c r="N3583">
        <f t="shared" si="417"/>
        <v>2025</v>
      </c>
      <c r="O3583" s="2">
        <f>_xlfn.XLOOKUP(A3583,Colaboradores!$A:$A,Colaboradores!$S:$S,"",0)</f>
        <v>46033</v>
      </c>
      <c r="P3583" t="str">
        <f t="shared" si="418"/>
        <v>172845831</v>
      </c>
    </row>
    <row r="3584" spans="1:16" x14ac:dyDescent="0.3">
      <c r="A3584">
        <v>1728</v>
      </c>
      <c r="B3584">
        <v>41</v>
      </c>
      <c r="C3584" t="s">
        <v>15</v>
      </c>
      <c r="D3584" t="s">
        <v>29</v>
      </c>
      <c r="E3584" t="s">
        <v>17</v>
      </c>
      <c r="F3584" t="s">
        <v>23</v>
      </c>
      <c r="G3584" t="s">
        <v>41</v>
      </c>
      <c r="H3584" t="s">
        <v>20</v>
      </c>
      <c r="I3584" s="1">
        <v>2</v>
      </c>
      <c r="J3584" s="2">
        <v>45837</v>
      </c>
      <c r="K3584" s="2">
        <v>45809</v>
      </c>
      <c r="L3584" s="1" t="str">
        <f t="shared" si="415"/>
        <v>dom</v>
      </c>
      <c r="M3584" s="1" t="str">
        <f t="shared" si="416"/>
        <v>jun</v>
      </c>
      <c r="N3584">
        <f t="shared" si="417"/>
        <v>2025</v>
      </c>
      <c r="O3584" s="2">
        <f>_xlfn.XLOOKUP(A3584,Colaboradores!$A:$A,Colaboradores!$S:$S,"",0)</f>
        <v>46033</v>
      </c>
      <c r="P3584" t="str">
        <f t="shared" si="418"/>
        <v>172845837</v>
      </c>
    </row>
    <row r="3585" spans="1:16" x14ac:dyDescent="0.3">
      <c r="A3585">
        <v>1728</v>
      </c>
      <c r="B3585">
        <v>41</v>
      </c>
      <c r="C3585" t="s">
        <v>15</v>
      </c>
      <c r="D3585" t="s">
        <v>29</v>
      </c>
      <c r="E3585" t="s">
        <v>17</v>
      </c>
      <c r="F3585" t="s">
        <v>23</v>
      </c>
      <c r="G3585" t="s">
        <v>41</v>
      </c>
      <c r="H3585" t="s">
        <v>20</v>
      </c>
      <c r="I3585" s="1">
        <v>2</v>
      </c>
      <c r="J3585" s="2">
        <v>45882</v>
      </c>
      <c r="K3585" s="2">
        <v>45870</v>
      </c>
      <c r="L3585" s="1" t="str">
        <f t="shared" si="415"/>
        <v>qua</v>
      </c>
      <c r="M3585" s="1" t="str">
        <f t="shared" si="416"/>
        <v>ago</v>
      </c>
      <c r="N3585">
        <f t="shared" si="417"/>
        <v>2025</v>
      </c>
      <c r="O3585" s="2">
        <f>_xlfn.XLOOKUP(A3585,Colaboradores!$A:$A,Colaboradores!$S:$S,"",0)</f>
        <v>46033</v>
      </c>
      <c r="P3585" t="str">
        <f t="shared" si="418"/>
        <v>172845882</v>
      </c>
    </row>
    <row r="3586" spans="1:16" x14ac:dyDescent="0.3">
      <c r="A3586">
        <v>1728</v>
      </c>
      <c r="B3586">
        <v>41</v>
      </c>
      <c r="C3586" t="s">
        <v>15</v>
      </c>
      <c r="D3586" t="s">
        <v>29</v>
      </c>
      <c r="E3586" t="s">
        <v>17</v>
      </c>
      <c r="F3586" t="s">
        <v>23</v>
      </c>
      <c r="G3586" t="s">
        <v>41</v>
      </c>
      <c r="H3586" t="s">
        <v>20</v>
      </c>
      <c r="I3586" s="1">
        <v>2</v>
      </c>
      <c r="J3586" s="2">
        <v>45893</v>
      </c>
      <c r="K3586" s="2">
        <v>45870</v>
      </c>
      <c r="L3586" s="1" t="str">
        <f t="shared" si="415"/>
        <v>dom</v>
      </c>
      <c r="M3586" s="1" t="str">
        <f t="shared" si="416"/>
        <v>ago</v>
      </c>
      <c r="N3586">
        <f t="shared" si="417"/>
        <v>2025</v>
      </c>
      <c r="O3586" s="2">
        <f>_xlfn.XLOOKUP(A3586,Colaboradores!$A:$A,Colaboradores!$S:$S,"",0)</f>
        <v>46033</v>
      </c>
      <c r="P3586" t="str">
        <f t="shared" si="418"/>
        <v>172845893</v>
      </c>
    </row>
    <row r="3587" spans="1:16" x14ac:dyDescent="0.3">
      <c r="A3587">
        <v>1728</v>
      </c>
      <c r="B3587">
        <v>41</v>
      </c>
      <c r="C3587" t="s">
        <v>15</v>
      </c>
      <c r="D3587" t="s">
        <v>29</v>
      </c>
      <c r="E3587" t="s">
        <v>17</v>
      </c>
      <c r="F3587" t="s">
        <v>23</v>
      </c>
      <c r="G3587" t="s">
        <v>41</v>
      </c>
      <c r="H3587" t="s">
        <v>20</v>
      </c>
      <c r="I3587" s="1">
        <v>2</v>
      </c>
      <c r="J3587" s="2">
        <v>45937</v>
      </c>
      <c r="K3587" s="2">
        <v>45931</v>
      </c>
      <c r="L3587" s="1" t="str">
        <f t="shared" si="415"/>
        <v>ter</v>
      </c>
      <c r="M3587" s="1" t="str">
        <f t="shared" si="416"/>
        <v>out</v>
      </c>
      <c r="N3587">
        <f t="shared" si="417"/>
        <v>2025</v>
      </c>
      <c r="O3587" s="2">
        <f>_xlfn.XLOOKUP(A3587,Colaboradores!$A:$A,Colaboradores!$S:$S,"",0)</f>
        <v>46033</v>
      </c>
      <c r="P3587" t="str">
        <f t="shared" si="418"/>
        <v>172845937</v>
      </c>
    </row>
    <row r="3588" spans="1:16" x14ac:dyDescent="0.3">
      <c r="A3588">
        <v>1729</v>
      </c>
      <c r="B3588">
        <v>36</v>
      </c>
      <c r="C3588" t="s">
        <v>26</v>
      </c>
      <c r="D3588" t="s">
        <v>27</v>
      </c>
      <c r="E3588" t="s">
        <v>17</v>
      </c>
      <c r="F3588" t="s">
        <v>23</v>
      </c>
      <c r="G3588" t="s">
        <v>41</v>
      </c>
      <c r="H3588" t="s">
        <v>20</v>
      </c>
      <c r="I3588" s="1">
        <v>3</v>
      </c>
      <c r="J3588" s="2">
        <v>45748</v>
      </c>
      <c r="K3588" s="2">
        <v>45748</v>
      </c>
      <c r="L3588" s="1" t="str">
        <f t="shared" si="415"/>
        <v>ter</v>
      </c>
      <c r="M3588" s="1" t="str">
        <f t="shared" si="416"/>
        <v>abr</v>
      </c>
      <c r="N3588">
        <f t="shared" si="417"/>
        <v>2025</v>
      </c>
      <c r="O3588" s="2">
        <f>_xlfn.XLOOKUP(A3588,Colaboradores!$A:$A,Colaboradores!$S:$S,"",0)</f>
        <v>46167</v>
      </c>
      <c r="P3588" t="str">
        <f t="shared" si="418"/>
        <v>172945748</v>
      </c>
    </row>
    <row r="3589" spans="1:16" x14ac:dyDescent="0.3">
      <c r="A3589">
        <v>1729</v>
      </c>
      <c r="B3589">
        <v>36</v>
      </c>
      <c r="C3589" t="s">
        <v>26</v>
      </c>
      <c r="D3589" t="s">
        <v>27</v>
      </c>
      <c r="E3589" t="s">
        <v>17</v>
      </c>
      <c r="F3589" t="s">
        <v>23</v>
      </c>
      <c r="G3589" t="s">
        <v>41</v>
      </c>
      <c r="H3589" t="s">
        <v>20</v>
      </c>
      <c r="I3589" s="1">
        <v>3</v>
      </c>
      <c r="J3589" s="2">
        <v>45873</v>
      </c>
      <c r="K3589" s="2">
        <v>45870</v>
      </c>
      <c r="L3589" s="1" t="str">
        <f t="shared" si="415"/>
        <v>seg</v>
      </c>
      <c r="M3589" s="1" t="str">
        <f t="shared" si="416"/>
        <v>ago</v>
      </c>
      <c r="N3589">
        <f t="shared" si="417"/>
        <v>2025</v>
      </c>
      <c r="O3589" s="2">
        <f>_xlfn.XLOOKUP(A3589,Colaboradores!$A:$A,Colaboradores!$S:$S,"",0)</f>
        <v>46167</v>
      </c>
      <c r="P3589" t="str">
        <f t="shared" si="418"/>
        <v>172945873</v>
      </c>
    </row>
    <row r="3590" spans="1:16" x14ac:dyDescent="0.3">
      <c r="A3590">
        <v>1729</v>
      </c>
      <c r="B3590">
        <v>36</v>
      </c>
      <c r="C3590" t="s">
        <v>26</v>
      </c>
      <c r="D3590" t="s">
        <v>27</v>
      </c>
      <c r="E3590" t="s">
        <v>17</v>
      </c>
      <c r="F3590" t="s">
        <v>23</v>
      </c>
      <c r="G3590" t="s">
        <v>41</v>
      </c>
      <c r="H3590" t="s">
        <v>20</v>
      </c>
      <c r="I3590" s="1">
        <v>3</v>
      </c>
      <c r="J3590" s="2">
        <v>45944</v>
      </c>
      <c r="K3590" s="2">
        <v>45931</v>
      </c>
      <c r="L3590" s="1" t="str">
        <f t="shared" si="415"/>
        <v>ter</v>
      </c>
      <c r="M3590" s="1" t="str">
        <f t="shared" si="416"/>
        <v>out</v>
      </c>
      <c r="N3590">
        <f t="shared" si="417"/>
        <v>2025</v>
      </c>
      <c r="O3590" s="2">
        <f>_xlfn.XLOOKUP(A3590,Colaboradores!$A:$A,Colaboradores!$S:$S,"",0)</f>
        <v>46167</v>
      </c>
      <c r="P3590" t="str">
        <f t="shared" si="418"/>
        <v>172945944</v>
      </c>
    </row>
    <row r="3591" spans="1:16" x14ac:dyDescent="0.3">
      <c r="A3591">
        <v>1729</v>
      </c>
      <c r="B3591">
        <v>36</v>
      </c>
      <c r="C3591" t="s">
        <v>26</v>
      </c>
      <c r="D3591" t="s">
        <v>27</v>
      </c>
      <c r="E3591" t="s">
        <v>17</v>
      </c>
      <c r="F3591" t="s">
        <v>23</v>
      </c>
      <c r="G3591" t="s">
        <v>41</v>
      </c>
      <c r="H3591" t="s">
        <v>20</v>
      </c>
      <c r="I3591" s="1">
        <v>3</v>
      </c>
      <c r="J3591" s="2">
        <v>46176</v>
      </c>
      <c r="K3591" s="2">
        <v>46023</v>
      </c>
      <c r="L3591" s="1" t="str">
        <f t="shared" si="415"/>
        <v>qua</v>
      </c>
      <c r="M3591" s="1" t="str">
        <f t="shared" si="416"/>
        <v>jun</v>
      </c>
      <c r="N3591">
        <f t="shared" si="417"/>
        <v>2026</v>
      </c>
      <c r="O3591" s="2">
        <f>_xlfn.XLOOKUP(A3591,Colaboradores!$A:$A,Colaboradores!$S:$S,"",0)</f>
        <v>46167</v>
      </c>
      <c r="P3591" t="str">
        <f t="shared" si="418"/>
        <v>172946176</v>
      </c>
    </row>
    <row r="3592" spans="1:16" x14ac:dyDescent="0.3">
      <c r="A3592">
        <v>1729</v>
      </c>
      <c r="B3592">
        <v>36</v>
      </c>
      <c r="C3592" t="s">
        <v>26</v>
      </c>
      <c r="D3592" t="s">
        <v>27</v>
      </c>
      <c r="E3592" t="s">
        <v>17</v>
      </c>
      <c r="F3592" t="s">
        <v>23</v>
      </c>
      <c r="G3592" t="s">
        <v>41</v>
      </c>
      <c r="H3592" t="s">
        <v>20</v>
      </c>
      <c r="I3592" s="1">
        <v>3</v>
      </c>
      <c r="J3592" s="2">
        <v>46058</v>
      </c>
      <c r="K3592" s="2">
        <v>46054</v>
      </c>
      <c r="L3592" s="1" t="str">
        <f t="shared" si="415"/>
        <v>qui</v>
      </c>
      <c r="M3592" s="1" t="str">
        <f t="shared" si="416"/>
        <v>fev</v>
      </c>
      <c r="N3592">
        <f t="shared" si="417"/>
        <v>2026</v>
      </c>
      <c r="O3592" s="2">
        <f>_xlfn.XLOOKUP(A3592,Colaboradores!$A:$A,Colaboradores!$S:$S,"",0)</f>
        <v>46167</v>
      </c>
      <c r="P3592" t="str">
        <f t="shared" si="418"/>
        <v>172946058</v>
      </c>
    </row>
    <row r="3593" spans="1:16" x14ac:dyDescent="0.3">
      <c r="A3593">
        <v>1730</v>
      </c>
      <c r="B3593">
        <v>27</v>
      </c>
      <c r="C3593" t="s">
        <v>26</v>
      </c>
      <c r="D3593" t="s">
        <v>16</v>
      </c>
      <c r="E3593" t="s">
        <v>17</v>
      </c>
      <c r="F3593" t="s">
        <v>18</v>
      </c>
      <c r="G3593" t="s">
        <v>57</v>
      </c>
      <c r="H3593" t="s">
        <v>25</v>
      </c>
      <c r="I3593" s="1">
        <v>3</v>
      </c>
      <c r="J3593" s="2">
        <v>45757</v>
      </c>
      <c r="K3593" s="2">
        <v>45748</v>
      </c>
      <c r="L3593" s="1" t="str">
        <f t="shared" si="415"/>
        <v>qui</v>
      </c>
      <c r="M3593" s="1" t="str">
        <f t="shared" si="416"/>
        <v>abr</v>
      </c>
      <c r="N3593">
        <f t="shared" si="417"/>
        <v>2025</v>
      </c>
      <c r="O3593" s="2"/>
      <c r="P3593" t="str">
        <f t="shared" si="418"/>
        <v>173045757</v>
      </c>
    </row>
    <row r="3594" spans="1:16" x14ac:dyDescent="0.3">
      <c r="A3594">
        <v>1730</v>
      </c>
      <c r="B3594">
        <v>27</v>
      </c>
      <c r="C3594" t="s">
        <v>26</v>
      </c>
      <c r="D3594" t="s">
        <v>16</v>
      </c>
      <c r="E3594" t="s">
        <v>17</v>
      </c>
      <c r="F3594" t="s">
        <v>18</v>
      </c>
      <c r="G3594" t="s">
        <v>41</v>
      </c>
      <c r="H3594" t="s">
        <v>25</v>
      </c>
      <c r="I3594" s="1">
        <v>3</v>
      </c>
      <c r="J3594" s="2">
        <v>45810</v>
      </c>
      <c r="K3594" s="2">
        <v>45809</v>
      </c>
      <c r="L3594" s="1" t="str">
        <f t="shared" si="415"/>
        <v>seg</v>
      </c>
      <c r="M3594" s="1" t="str">
        <f t="shared" si="416"/>
        <v>jun</v>
      </c>
      <c r="N3594">
        <f t="shared" si="417"/>
        <v>2025</v>
      </c>
      <c r="O3594" s="2"/>
      <c r="P3594" t="str">
        <f t="shared" si="418"/>
        <v>173045810</v>
      </c>
    </row>
    <row r="3595" spans="1:16" x14ac:dyDescent="0.3">
      <c r="A3595">
        <v>1730</v>
      </c>
      <c r="B3595">
        <v>27</v>
      </c>
      <c r="C3595" t="s">
        <v>26</v>
      </c>
      <c r="D3595" t="s">
        <v>16</v>
      </c>
      <c r="E3595" t="s">
        <v>17</v>
      </c>
      <c r="F3595" t="s">
        <v>18</v>
      </c>
      <c r="G3595" t="s">
        <v>41</v>
      </c>
      <c r="H3595" t="s">
        <v>25</v>
      </c>
      <c r="I3595" s="1">
        <v>3</v>
      </c>
      <c r="J3595" s="2">
        <v>45959</v>
      </c>
      <c r="K3595" s="2">
        <v>45931</v>
      </c>
      <c r="L3595" s="1" t="str">
        <f t="shared" si="415"/>
        <v>qua</v>
      </c>
      <c r="M3595" s="1" t="str">
        <f t="shared" si="416"/>
        <v>out</v>
      </c>
      <c r="N3595">
        <f t="shared" si="417"/>
        <v>2025</v>
      </c>
      <c r="O3595" s="2"/>
      <c r="P3595" t="str">
        <f t="shared" si="418"/>
        <v>173045959</v>
      </c>
    </row>
    <row r="3596" spans="1:16" x14ac:dyDescent="0.3">
      <c r="A3596">
        <v>1730</v>
      </c>
      <c r="B3596">
        <v>27</v>
      </c>
      <c r="C3596" t="s">
        <v>26</v>
      </c>
      <c r="D3596" t="s">
        <v>16</v>
      </c>
      <c r="E3596" t="s">
        <v>17</v>
      </c>
      <c r="F3596" t="s">
        <v>18</v>
      </c>
      <c r="G3596" t="s">
        <v>41</v>
      </c>
      <c r="H3596" t="s">
        <v>25</v>
      </c>
      <c r="I3596" s="1">
        <v>3</v>
      </c>
      <c r="J3596" s="2">
        <v>46096</v>
      </c>
      <c r="K3596" s="2">
        <v>46082</v>
      </c>
      <c r="L3596" s="1" t="str">
        <f t="shared" si="415"/>
        <v>dom</v>
      </c>
      <c r="M3596" s="1" t="str">
        <f t="shared" si="416"/>
        <v>mar</v>
      </c>
      <c r="N3596">
        <f t="shared" si="417"/>
        <v>2026</v>
      </c>
      <c r="O3596" s="2"/>
      <c r="P3596" t="str">
        <f t="shared" si="418"/>
        <v>173046096</v>
      </c>
    </row>
    <row r="3597" spans="1:16" x14ac:dyDescent="0.3">
      <c r="A3597">
        <v>1730</v>
      </c>
      <c r="B3597">
        <v>27</v>
      </c>
      <c r="C3597" t="s">
        <v>26</v>
      </c>
      <c r="D3597" t="s">
        <v>16</v>
      </c>
      <c r="E3597" t="s">
        <v>17</v>
      </c>
      <c r="F3597" t="s">
        <v>18</v>
      </c>
      <c r="G3597" t="s">
        <v>41</v>
      </c>
      <c r="H3597" t="s">
        <v>25</v>
      </c>
      <c r="I3597" s="1">
        <v>3</v>
      </c>
      <c r="J3597" s="2">
        <v>46101</v>
      </c>
      <c r="K3597" s="2">
        <v>46082</v>
      </c>
      <c r="L3597" s="1" t="str">
        <f t="shared" si="415"/>
        <v>sex</v>
      </c>
      <c r="M3597" s="1" t="str">
        <f t="shared" si="416"/>
        <v>mar</v>
      </c>
      <c r="N3597">
        <f t="shared" si="417"/>
        <v>2026</v>
      </c>
      <c r="O3597" s="2"/>
      <c r="P3597" t="str">
        <f t="shared" si="418"/>
        <v>173046101</v>
      </c>
    </row>
    <row r="3598" spans="1:16" x14ac:dyDescent="0.3">
      <c r="A3598">
        <v>1730</v>
      </c>
      <c r="B3598">
        <v>27</v>
      </c>
      <c r="C3598" t="s">
        <v>26</v>
      </c>
      <c r="D3598" t="s">
        <v>16</v>
      </c>
      <c r="E3598" t="s">
        <v>17</v>
      </c>
      <c r="F3598" t="s">
        <v>18</v>
      </c>
      <c r="G3598" t="s">
        <v>41</v>
      </c>
      <c r="H3598" t="s">
        <v>25</v>
      </c>
      <c r="I3598" s="1">
        <v>3</v>
      </c>
      <c r="J3598" s="2">
        <v>46122</v>
      </c>
      <c r="K3598" s="2">
        <v>46113</v>
      </c>
      <c r="L3598" s="1" t="s">
        <v>52</v>
      </c>
      <c r="M3598" s="1" t="s">
        <v>48</v>
      </c>
      <c r="N3598">
        <v>2025</v>
      </c>
      <c r="O3598" s="2"/>
      <c r="P3598" t="str">
        <f t="shared" si="418"/>
        <v>173046122</v>
      </c>
    </row>
    <row r="3599" spans="1:16" x14ac:dyDescent="0.3">
      <c r="A3599">
        <v>1732</v>
      </c>
      <c r="B3599">
        <v>23</v>
      </c>
      <c r="C3599" t="s">
        <v>26</v>
      </c>
      <c r="D3599" t="s">
        <v>16</v>
      </c>
      <c r="E3599" t="s">
        <v>17</v>
      </c>
      <c r="F3599" t="s">
        <v>21</v>
      </c>
      <c r="G3599" t="s">
        <v>41</v>
      </c>
      <c r="H3599" t="s">
        <v>25</v>
      </c>
      <c r="I3599" s="1">
        <v>1</v>
      </c>
      <c r="J3599" s="2">
        <v>45956</v>
      </c>
      <c r="K3599" s="2">
        <v>45931</v>
      </c>
      <c r="L3599" s="1" t="str">
        <f t="shared" ref="L3599:L3630" si="419">TEXT(J3599,"ddd")</f>
        <v>dom</v>
      </c>
      <c r="M3599" s="1" t="str">
        <f t="shared" ref="M3599:M3630" si="420">TEXT($J3599,"mmm")</f>
        <v>out</v>
      </c>
      <c r="N3599">
        <f t="shared" ref="N3599:N3630" si="421">YEAR(J3599)</f>
        <v>2025</v>
      </c>
      <c r="O3599" s="2"/>
      <c r="P3599" t="str">
        <f t="shared" si="418"/>
        <v>173245956</v>
      </c>
    </row>
    <row r="3600" spans="1:16" x14ac:dyDescent="0.3">
      <c r="A3600">
        <v>1732</v>
      </c>
      <c r="B3600">
        <v>23</v>
      </c>
      <c r="C3600" t="s">
        <v>26</v>
      </c>
      <c r="D3600" t="s">
        <v>16</v>
      </c>
      <c r="E3600" t="s">
        <v>17</v>
      </c>
      <c r="F3600" t="s">
        <v>21</v>
      </c>
      <c r="G3600" t="s">
        <v>41</v>
      </c>
      <c r="H3600" t="s">
        <v>25</v>
      </c>
      <c r="I3600" s="1">
        <v>1</v>
      </c>
      <c r="J3600" s="2">
        <v>45957</v>
      </c>
      <c r="K3600" s="2">
        <v>45931</v>
      </c>
      <c r="L3600" s="1" t="str">
        <f t="shared" si="419"/>
        <v>seg</v>
      </c>
      <c r="M3600" s="1" t="str">
        <f t="shared" si="420"/>
        <v>out</v>
      </c>
      <c r="N3600">
        <f t="shared" si="421"/>
        <v>2025</v>
      </c>
      <c r="O3600" s="2"/>
      <c r="P3600" t="str">
        <f t="shared" si="418"/>
        <v>173245957</v>
      </c>
    </row>
    <row r="3601" spans="1:16" x14ac:dyDescent="0.3">
      <c r="A3601">
        <v>1732</v>
      </c>
      <c r="B3601">
        <v>23</v>
      </c>
      <c r="C3601" t="s">
        <v>26</v>
      </c>
      <c r="D3601" t="s">
        <v>16</v>
      </c>
      <c r="E3601" t="s">
        <v>17</v>
      </c>
      <c r="F3601" t="s">
        <v>21</v>
      </c>
      <c r="G3601" t="s">
        <v>41</v>
      </c>
      <c r="H3601" t="s">
        <v>25</v>
      </c>
      <c r="I3601" s="1">
        <v>1</v>
      </c>
      <c r="J3601" s="2">
        <v>45986</v>
      </c>
      <c r="K3601" s="2">
        <v>45962</v>
      </c>
      <c r="L3601" s="1" t="str">
        <f t="shared" si="419"/>
        <v>ter</v>
      </c>
      <c r="M3601" s="1" t="str">
        <f t="shared" si="420"/>
        <v>nov</v>
      </c>
      <c r="N3601">
        <f t="shared" si="421"/>
        <v>2025</v>
      </c>
      <c r="O3601" s="2"/>
      <c r="P3601" t="str">
        <f t="shared" si="418"/>
        <v>173245986</v>
      </c>
    </row>
    <row r="3602" spans="1:16" x14ac:dyDescent="0.3">
      <c r="A3602">
        <v>1732</v>
      </c>
      <c r="B3602">
        <v>23</v>
      </c>
      <c r="C3602" t="s">
        <v>26</v>
      </c>
      <c r="D3602" t="s">
        <v>16</v>
      </c>
      <c r="E3602" t="s">
        <v>17</v>
      </c>
      <c r="F3602" t="s">
        <v>21</v>
      </c>
      <c r="G3602" t="s">
        <v>41</v>
      </c>
      <c r="H3602" t="s">
        <v>25</v>
      </c>
      <c r="I3602" s="1">
        <v>1</v>
      </c>
      <c r="J3602" s="2">
        <v>45992</v>
      </c>
      <c r="K3602" s="2">
        <v>45992</v>
      </c>
      <c r="L3602" s="1" t="str">
        <f t="shared" si="419"/>
        <v>seg</v>
      </c>
      <c r="M3602" s="1" t="str">
        <f t="shared" si="420"/>
        <v>dez</v>
      </c>
      <c r="N3602">
        <f t="shared" si="421"/>
        <v>2025</v>
      </c>
      <c r="O3602" s="2"/>
      <c r="P3602" t="str">
        <f t="shared" si="418"/>
        <v>173245992</v>
      </c>
    </row>
    <row r="3603" spans="1:16" x14ac:dyDescent="0.3">
      <c r="A3603">
        <v>1732</v>
      </c>
      <c r="B3603">
        <v>23</v>
      </c>
      <c r="C3603" t="s">
        <v>26</v>
      </c>
      <c r="D3603" t="s">
        <v>16</v>
      </c>
      <c r="E3603" t="s">
        <v>17</v>
      </c>
      <c r="F3603" t="s">
        <v>21</v>
      </c>
      <c r="G3603" t="s">
        <v>41</v>
      </c>
      <c r="H3603" t="s">
        <v>25</v>
      </c>
      <c r="I3603" s="1">
        <v>1</v>
      </c>
      <c r="J3603" s="2">
        <v>46008</v>
      </c>
      <c r="K3603" s="2">
        <v>45992</v>
      </c>
      <c r="L3603" s="1" t="str">
        <f t="shared" si="419"/>
        <v>qua</v>
      </c>
      <c r="M3603" s="1" t="str">
        <f t="shared" si="420"/>
        <v>dez</v>
      </c>
      <c r="N3603">
        <f t="shared" si="421"/>
        <v>2025</v>
      </c>
      <c r="O3603" s="2"/>
      <c r="P3603" t="str">
        <f t="shared" si="418"/>
        <v>173246008</v>
      </c>
    </row>
    <row r="3604" spans="1:16" x14ac:dyDescent="0.3">
      <c r="A3604">
        <v>1733</v>
      </c>
      <c r="B3604">
        <v>34</v>
      </c>
      <c r="C3604" t="s">
        <v>15</v>
      </c>
      <c r="D3604" t="s">
        <v>29</v>
      </c>
      <c r="E3604" t="s">
        <v>17</v>
      </c>
      <c r="F3604" t="s">
        <v>23</v>
      </c>
      <c r="G3604" t="s">
        <v>41</v>
      </c>
      <c r="H3604" t="s">
        <v>20</v>
      </c>
      <c r="I3604" s="1">
        <v>3</v>
      </c>
      <c r="J3604" s="2">
        <v>45779</v>
      </c>
      <c r="K3604" s="2">
        <v>45778</v>
      </c>
      <c r="L3604" s="1" t="str">
        <f t="shared" si="419"/>
        <v>sex</v>
      </c>
      <c r="M3604" s="1" t="str">
        <f t="shared" si="420"/>
        <v>mai</v>
      </c>
      <c r="N3604">
        <f t="shared" si="421"/>
        <v>2025</v>
      </c>
      <c r="O3604" s="2">
        <f>_xlfn.XLOOKUP(A3604,Colaboradores!$A:$A,Colaboradores!$S:$S,"",0)</f>
        <v>45987</v>
      </c>
      <c r="P3604" t="str">
        <f t="shared" si="418"/>
        <v>173345779</v>
      </c>
    </row>
    <row r="3605" spans="1:16" x14ac:dyDescent="0.3">
      <c r="A3605">
        <v>1733</v>
      </c>
      <c r="B3605">
        <v>34</v>
      </c>
      <c r="C3605" t="s">
        <v>15</v>
      </c>
      <c r="D3605" t="s">
        <v>29</v>
      </c>
      <c r="E3605" t="s">
        <v>17</v>
      </c>
      <c r="F3605" t="s">
        <v>23</v>
      </c>
      <c r="G3605" t="s">
        <v>41</v>
      </c>
      <c r="H3605" t="s">
        <v>20</v>
      </c>
      <c r="I3605" s="1">
        <v>3</v>
      </c>
      <c r="J3605" s="2">
        <v>45786</v>
      </c>
      <c r="K3605" s="2">
        <v>45778</v>
      </c>
      <c r="L3605" s="1" t="str">
        <f t="shared" si="419"/>
        <v>sex</v>
      </c>
      <c r="M3605" s="1" t="str">
        <f t="shared" si="420"/>
        <v>mai</v>
      </c>
      <c r="N3605">
        <f t="shared" si="421"/>
        <v>2025</v>
      </c>
      <c r="O3605" s="2">
        <f>_xlfn.XLOOKUP(A3605,Colaboradores!$A:$A,Colaboradores!$S:$S,"",0)</f>
        <v>45987</v>
      </c>
      <c r="P3605" t="str">
        <f t="shared" si="418"/>
        <v>173345786</v>
      </c>
    </row>
    <row r="3606" spans="1:16" x14ac:dyDescent="0.3">
      <c r="A3606">
        <v>1733</v>
      </c>
      <c r="B3606">
        <v>34</v>
      </c>
      <c r="C3606" t="s">
        <v>15</v>
      </c>
      <c r="D3606" t="s">
        <v>29</v>
      </c>
      <c r="E3606" t="s">
        <v>17</v>
      </c>
      <c r="F3606" t="s">
        <v>23</v>
      </c>
      <c r="G3606" t="s">
        <v>41</v>
      </c>
      <c r="H3606" t="s">
        <v>20</v>
      </c>
      <c r="I3606" s="1">
        <v>3</v>
      </c>
      <c r="J3606" s="2">
        <v>45883</v>
      </c>
      <c r="K3606" s="2">
        <v>45870</v>
      </c>
      <c r="L3606" s="1" t="str">
        <f t="shared" si="419"/>
        <v>qui</v>
      </c>
      <c r="M3606" s="1" t="str">
        <f t="shared" si="420"/>
        <v>ago</v>
      </c>
      <c r="N3606">
        <f t="shared" si="421"/>
        <v>2025</v>
      </c>
      <c r="O3606" s="2">
        <f>_xlfn.XLOOKUP(A3606,Colaboradores!$A:$A,Colaboradores!$S:$S,"",0)</f>
        <v>45987</v>
      </c>
      <c r="P3606" t="str">
        <f t="shared" si="418"/>
        <v>173345883</v>
      </c>
    </row>
    <row r="3607" spans="1:16" x14ac:dyDescent="0.3">
      <c r="A3607">
        <v>1733</v>
      </c>
      <c r="B3607">
        <v>34</v>
      </c>
      <c r="C3607" t="s">
        <v>15</v>
      </c>
      <c r="D3607" t="s">
        <v>29</v>
      </c>
      <c r="E3607" t="s">
        <v>17</v>
      </c>
      <c r="F3607" t="s">
        <v>23</v>
      </c>
      <c r="G3607" t="s">
        <v>41</v>
      </c>
      <c r="H3607" t="s">
        <v>20</v>
      </c>
      <c r="I3607" s="1">
        <v>3</v>
      </c>
      <c r="J3607" s="2">
        <v>45941</v>
      </c>
      <c r="K3607" s="2">
        <v>45931</v>
      </c>
      <c r="L3607" s="1" t="str">
        <f t="shared" si="419"/>
        <v>sáb</v>
      </c>
      <c r="M3607" s="1" t="str">
        <f t="shared" si="420"/>
        <v>out</v>
      </c>
      <c r="N3607">
        <f t="shared" si="421"/>
        <v>2025</v>
      </c>
      <c r="O3607" s="2">
        <f>_xlfn.XLOOKUP(A3607,Colaboradores!$A:$A,Colaboradores!$S:$S,"",0)</f>
        <v>45987</v>
      </c>
      <c r="P3607" t="str">
        <f t="shared" si="418"/>
        <v>173345941</v>
      </c>
    </row>
    <row r="3608" spans="1:16" x14ac:dyDescent="0.3">
      <c r="A3608">
        <v>1733</v>
      </c>
      <c r="B3608">
        <v>34</v>
      </c>
      <c r="C3608" t="s">
        <v>15</v>
      </c>
      <c r="D3608" t="s">
        <v>29</v>
      </c>
      <c r="E3608" t="s">
        <v>17</v>
      </c>
      <c r="F3608" t="s">
        <v>23</v>
      </c>
      <c r="G3608" t="s">
        <v>41</v>
      </c>
      <c r="H3608" t="s">
        <v>20</v>
      </c>
      <c r="I3608" s="1">
        <v>3</v>
      </c>
      <c r="J3608" s="2">
        <v>45969</v>
      </c>
      <c r="K3608" s="2">
        <v>45962</v>
      </c>
      <c r="L3608" s="1" t="str">
        <f t="shared" si="419"/>
        <v>sáb</v>
      </c>
      <c r="M3608" s="1" t="str">
        <f t="shared" si="420"/>
        <v>nov</v>
      </c>
      <c r="N3608">
        <f t="shared" si="421"/>
        <v>2025</v>
      </c>
      <c r="O3608" s="2">
        <f>_xlfn.XLOOKUP(A3608,Colaboradores!$A:$A,Colaboradores!$S:$S,"",0)</f>
        <v>45987</v>
      </c>
      <c r="P3608" t="str">
        <f t="shared" si="418"/>
        <v>173345969</v>
      </c>
    </row>
    <row r="3609" spans="1:16" x14ac:dyDescent="0.3">
      <c r="A3609">
        <v>1734</v>
      </c>
      <c r="B3609">
        <v>39</v>
      </c>
      <c r="C3609" t="s">
        <v>15</v>
      </c>
      <c r="D3609" t="s">
        <v>22</v>
      </c>
      <c r="E3609" t="s">
        <v>17</v>
      </c>
      <c r="F3609" t="s">
        <v>21</v>
      </c>
      <c r="G3609" t="s">
        <v>41</v>
      </c>
      <c r="H3609" t="s">
        <v>20</v>
      </c>
      <c r="I3609" s="1">
        <v>2</v>
      </c>
      <c r="J3609" s="2">
        <v>45860</v>
      </c>
      <c r="K3609" s="2">
        <v>45839</v>
      </c>
      <c r="L3609" s="1" t="str">
        <f t="shared" si="419"/>
        <v>ter</v>
      </c>
      <c r="M3609" s="1" t="str">
        <f t="shared" si="420"/>
        <v>jul</v>
      </c>
      <c r="N3609">
        <f t="shared" si="421"/>
        <v>2025</v>
      </c>
      <c r="O3609" s="2">
        <f>_xlfn.XLOOKUP(A3609,Colaboradores!$A:$A,Colaboradores!$S:$S,"",0)</f>
        <v>45877</v>
      </c>
      <c r="P3609" t="str">
        <f t="shared" si="418"/>
        <v>173445860</v>
      </c>
    </row>
    <row r="3610" spans="1:16" x14ac:dyDescent="0.3">
      <c r="A3610">
        <v>1734</v>
      </c>
      <c r="B3610">
        <v>39</v>
      </c>
      <c r="C3610" t="s">
        <v>15</v>
      </c>
      <c r="D3610" t="s">
        <v>22</v>
      </c>
      <c r="E3610" t="s">
        <v>17</v>
      </c>
      <c r="F3610" t="s">
        <v>21</v>
      </c>
      <c r="G3610" t="s">
        <v>41</v>
      </c>
      <c r="H3610" t="s">
        <v>20</v>
      </c>
      <c r="I3610" s="1">
        <v>2</v>
      </c>
      <c r="J3610" s="2">
        <v>45864</v>
      </c>
      <c r="K3610" s="2">
        <v>45839</v>
      </c>
      <c r="L3610" s="1" t="str">
        <f t="shared" si="419"/>
        <v>sáb</v>
      </c>
      <c r="M3610" s="1" t="str">
        <f t="shared" si="420"/>
        <v>jul</v>
      </c>
      <c r="N3610">
        <f t="shared" si="421"/>
        <v>2025</v>
      </c>
      <c r="O3610" s="2">
        <f>_xlfn.XLOOKUP(A3610,Colaboradores!$A:$A,Colaboradores!$S:$S,"",0)</f>
        <v>45877</v>
      </c>
      <c r="P3610" t="str">
        <f t="shared" si="418"/>
        <v>173445864</v>
      </c>
    </row>
    <row r="3611" spans="1:16" x14ac:dyDescent="0.3">
      <c r="A3611">
        <v>1735</v>
      </c>
      <c r="B3611">
        <v>30</v>
      </c>
      <c r="C3611" t="s">
        <v>15</v>
      </c>
      <c r="D3611" t="s">
        <v>16</v>
      </c>
      <c r="E3611" t="s">
        <v>17</v>
      </c>
      <c r="F3611" t="s">
        <v>18</v>
      </c>
      <c r="G3611" t="s">
        <v>41</v>
      </c>
      <c r="H3611" t="s">
        <v>25</v>
      </c>
      <c r="I3611" s="1">
        <v>2</v>
      </c>
      <c r="J3611" s="2">
        <v>45820</v>
      </c>
      <c r="K3611" s="2">
        <v>45809</v>
      </c>
      <c r="L3611" s="1" t="str">
        <f t="shared" si="419"/>
        <v>qui</v>
      </c>
      <c r="M3611" s="1" t="str">
        <f t="shared" si="420"/>
        <v>jun</v>
      </c>
      <c r="N3611">
        <f t="shared" si="421"/>
        <v>2025</v>
      </c>
      <c r="O3611" s="2"/>
      <c r="P3611" t="str">
        <f t="shared" si="418"/>
        <v>173545820</v>
      </c>
    </row>
    <row r="3612" spans="1:16" x14ac:dyDescent="0.3">
      <c r="A3612">
        <v>1735</v>
      </c>
      <c r="B3612">
        <v>30</v>
      </c>
      <c r="C3612" t="s">
        <v>15</v>
      </c>
      <c r="D3612" t="s">
        <v>16</v>
      </c>
      <c r="E3612" t="s">
        <v>17</v>
      </c>
      <c r="F3612" t="s">
        <v>18</v>
      </c>
      <c r="G3612" t="s">
        <v>41</v>
      </c>
      <c r="H3612" t="s">
        <v>25</v>
      </c>
      <c r="I3612" s="1">
        <v>2</v>
      </c>
      <c r="J3612" s="2">
        <v>45840</v>
      </c>
      <c r="K3612" s="2">
        <v>45839</v>
      </c>
      <c r="L3612" s="1" t="str">
        <f t="shared" si="419"/>
        <v>qua</v>
      </c>
      <c r="M3612" s="1" t="str">
        <f t="shared" si="420"/>
        <v>jul</v>
      </c>
      <c r="N3612">
        <f t="shared" si="421"/>
        <v>2025</v>
      </c>
      <c r="O3612" s="2"/>
      <c r="P3612" t="str">
        <f t="shared" si="418"/>
        <v>173545840</v>
      </c>
    </row>
    <row r="3613" spans="1:16" x14ac:dyDescent="0.3">
      <c r="A3613">
        <v>1735</v>
      </c>
      <c r="B3613">
        <v>30</v>
      </c>
      <c r="C3613" t="s">
        <v>15</v>
      </c>
      <c r="D3613" t="s">
        <v>16</v>
      </c>
      <c r="E3613" t="s">
        <v>17</v>
      </c>
      <c r="F3613" t="s">
        <v>18</v>
      </c>
      <c r="G3613" t="s">
        <v>41</v>
      </c>
      <c r="H3613" t="s">
        <v>25</v>
      </c>
      <c r="I3613" s="1">
        <v>2</v>
      </c>
      <c r="J3613" s="2">
        <v>45882</v>
      </c>
      <c r="K3613" s="2">
        <v>45870</v>
      </c>
      <c r="L3613" s="1" t="str">
        <f t="shared" si="419"/>
        <v>qua</v>
      </c>
      <c r="M3613" s="1" t="str">
        <f t="shared" si="420"/>
        <v>ago</v>
      </c>
      <c r="N3613">
        <f t="shared" si="421"/>
        <v>2025</v>
      </c>
      <c r="O3613" s="2"/>
      <c r="P3613" t="str">
        <f t="shared" si="418"/>
        <v>173545882</v>
      </c>
    </row>
    <row r="3614" spans="1:16" x14ac:dyDescent="0.3">
      <c r="A3614">
        <v>1735</v>
      </c>
      <c r="B3614">
        <v>30</v>
      </c>
      <c r="C3614" t="s">
        <v>15</v>
      </c>
      <c r="D3614" t="s">
        <v>16</v>
      </c>
      <c r="E3614" t="s">
        <v>17</v>
      </c>
      <c r="F3614" t="s">
        <v>18</v>
      </c>
      <c r="G3614" t="s">
        <v>41</v>
      </c>
      <c r="H3614" t="s">
        <v>25</v>
      </c>
      <c r="I3614" s="1">
        <v>2</v>
      </c>
      <c r="J3614" s="2">
        <v>45961</v>
      </c>
      <c r="K3614" s="2">
        <v>45931</v>
      </c>
      <c r="L3614" s="1" t="str">
        <f t="shared" si="419"/>
        <v>sex</v>
      </c>
      <c r="M3614" s="1" t="str">
        <f t="shared" si="420"/>
        <v>out</v>
      </c>
      <c r="N3614">
        <f t="shared" si="421"/>
        <v>2025</v>
      </c>
      <c r="O3614" s="2"/>
      <c r="P3614" t="str">
        <f t="shared" si="418"/>
        <v>173545961</v>
      </c>
    </row>
    <row r="3615" spans="1:16" x14ac:dyDescent="0.3">
      <c r="A3615">
        <v>1735</v>
      </c>
      <c r="B3615">
        <v>30</v>
      </c>
      <c r="C3615" t="s">
        <v>15</v>
      </c>
      <c r="D3615" t="s">
        <v>16</v>
      </c>
      <c r="E3615" t="s">
        <v>17</v>
      </c>
      <c r="F3615" t="s">
        <v>18</v>
      </c>
      <c r="G3615" t="s">
        <v>41</v>
      </c>
      <c r="H3615" t="s">
        <v>25</v>
      </c>
      <c r="I3615" s="1">
        <v>2</v>
      </c>
      <c r="J3615" s="2">
        <v>46070</v>
      </c>
      <c r="K3615" s="2">
        <v>46054</v>
      </c>
      <c r="L3615" s="1" t="str">
        <f t="shared" si="419"/>
        <v>ter</v>
      </c>
      <c r="M3615" s="1" t="str">
        <f t="shared" si="420"/>
        <v>fev</v>
      </c>
      <c r="N3615">
        <f t="shared" si="421"/>
        <v>2026</v>
      </c>
      <c r="O3615" s="2"/>
      <c r="P3615" t="str">
        <f t="shared" si="418"/>
        <v>173546070</v>
      </c>
    </row>
    <row r="3616" spans="1:16" x14ac:dyDescent="0.3">
      <c r="A3616">
        <v>1735</v>
      </c>
      <c r="B3616">
        <v>30</v>
      </c>
      <c r="C3616" t="s">
        <v>15</v>
      </c>
      <c r="D3616" t="s">
        <v>16</v>
      </c>
      <c r="E3616" t="s">
        <v>17</v>
      </c>
      <c r="F3616" t="s">
        <v>18</v>
      </c>
      <c r="G3616" t="s">
        <v>41</v>
      </c>
      <c r="H3616" t="s">
        <v>25</v>
      </c>
      <c r="I3616" s="1">
        <v>2</v>
      </c>
      <c r="J3616" s="2">
        <v>46090</v>
      </c>
      <c r="K3616" s="2">
        <v>46082</v>
      </c>
      <c r="L3616" s="1" t="str">
        <f t="shared" si="419"/>
        <v>seg</v>
      </c>
      <c r="M3616" s="1" t="str">
        <f t="shared" si="420"/>
        <v>mar</v>
      </c>
      <c r="N3616">
        <f t="shared" si="421"/>
        <v>2026</v>
      </c>
      <c r="O3616" s="2"/>
      <c r="P3616" t="str">
        <f t="shared" si="418"/>
        <v>173546090</v>
      </c>
    </row>
    <row r="3617" spans="1:16" x14ac:dyDescent="0.3">
      <c r="A3617">
        <v>1736</v>
      </c>
      <c r="B3617">
        <v>21</v>
      </c>
      <c r="C3617" t="s">
        <v>26</v>
      </c>
      <c r="D3617" t="s">
        <v>16</v>
      </c>
      <c r="E3617" t="s">
        <v>17</v>
      </c>
      <c r="F3617" t="s">
        <v>18</v>
      </c>
      <c r="G3617" t="s">
        <v>41</v>
      </c>
      <c r="H3617" t="s">
        <v>25</v>
      </c>
      <c r="I3617" s="1">
        <v>1</v>
      </c>
      <c r="J3617" s="2">
        <v>45914</v>
      </c>
      <c r="K3617" s="2">
        <v>45901</v>
      </c>
      <c r="L3617" s="1" t="str">
        <f t="shared" si="419"/>
        <v>dom</v>
      </c>
      <c r="M3617" s="1" t="str">
        <f t="shared" si="420"/>
        <v>set</v>
      </c>
      <c r="N3617">
        <f t="shared" si="421"/>
        <v>2025</v>
      </c>
      <c r="O3617" s="2"/>
      <c r="P3617" t="str">
        <f t="shared" si="418"/>
        <v>173645914</v>
      </c>
    </row>
    <row r="3618" spans="1:16" x14ac:dyDescent="0.3">
      <c r="A3618">
        <v>1736</v>
      </c>
      <c r="B3618">
        <v>21</v>
      </c>
      <c r="C3618" t="s">
        <v>26</v>
      </c>
      <c r="D3618" t="s">
        <v>16</v>
      </c>
      <c r="E3618" t="s">
        <v>17</v>
      </c>
      <c r="F3618" t="s">
        <v>18</v>
      </c>
      <c r="G3618" t="s">
        <v>41</v>
      </c>
      <c r="H3618" t="s">
        <v>25</v>
      </c>
      <c r="I3618" s="1">
        <v>1</v>
      </c>
      <c r="J3618" s="2">
        <v>45972</v>
      </c>
      <c r="K3618" s="2">
        <v>45962</v>
      </c>
      <c r="L3618" s="1" t="str">
        <f t="shared" si="419"/>
        <v>ter</v>
      </c>
      <c r="M3618" s="1" t="str">
        <f t="shared" si="420"/>
        <v>nov</v>
      </c>
      <c r="N3618">
        <f t="shared" si="421"/>
        <v>2025</v>
      </c>
      <c r="O3618" s="2"/>
      <c r="P3618" t="str">
        <f t="shared" si="418"/>
        <v>173645972</v>
      </c>
    </row>
    <row r="3619" spans="1:16" x14ac:dyDescent="0.3">
      <c r="A3619">
        <v>1736</v>
      </c>
      <c r="B3619">
        <v>21</v>
      </c>
      <c r="C3619" t="s">
        <v>26</v>
      </c>
      <c r="D3619" t="s">
        <v>16</v>
      </c>
      <c r="E3619" t="s">
        <v>17</v>
      </c>
      <c r="F3619" t="s">
        <v>18</v>
      </c>
      <c r="G3619" t="s">
        <v>41</v>
      </c>
      <c r="H3619" t="s">
        <v>25</v>
      </c>
      <c r="I3619" s="1">
        <v>1</v>
      </c>
      <c r="J3619" s="2">
        <v>46058</v>
      </c>
      <c r="K3619" s="2">
        <v>46054</v>
      </c>
      <c r="L3619" s="1" t="str">
        <f t="shared" si="419"/>
        <v>qui</v>
      </c>
      <c r="M3619" s="1" t="str">
        <f t="shared" si="420"/>
        <v>fev</v>
      </c>
      <c r="N3619">
        <f t="shared" si="421"/>
        <v>2026</v>
      </c>
      <c r="O3619" s="2"/>
      <c r="P3619" t="str">
        <f t="shared" si="418"/>
        <v>173646058</v>
      </c>
    </row>
    <row r="3620" spans="1:16" x14ac:dyDescent="0.3">
      <c r="A3620">
        <v>1736</v>
      </c>
      <c r="B3620">
        <v>21</v>
      </c>
      <c r="C3620" t="s">
        <v>26</v>
      </c>
      <c r="D3620" t="s">
        <v>16</v>
      </c>
      <c r="E3620" t="s">
        <v>17</v>
      </c>
      <c r="F3620" t="s">
        <v>18</v>
      </c>
      <c r="G3620" t="s">
        <v>41</v>
      </c>
      <c r="H3620" t="s">
        <v>25</v>
      </c>
      <c r="I3620" s="1">
        <v>1</v>
      </c>
      <c r="J3620" s="2">
        <v>46087</v>
      </c>
      <c r="K3620" s="2">
        <v>46082</v>
      </c>
      <c r="L3620" s="1" t="str">
        <f t="shared" si="419"/>
        <v>sex</v>
      </c>
      <c r="M3620" s="1" t="str">
        <f t="shared" si="420"/>
        <v>mar</v>
      </c>
      <c r="N3620">
        <f t="shared" si="421"/>
        <v>2026</v>
      </c>
      <c r="O3620" s="2"/>
      <c r="P3620" t="str">
        <f t="shared" si="418"/>
        <v>173646087</v>
      </c>
    </row>
    <row r="3621" spans="1:16" x14ac:dyDescent="0.3">
      <c r="A3621">
        <v>1737</v>
      </c>
      <c r="B3621">
        <v>41</v>
      </c>
      <c r="C3621" t="s">
        <v>26</v>
      </c>
      <c r="D3621" t="s">
        <v>22</v>
      </c>
      <c r="E3621" t="s">
        <v>17</v>
      </c>
      <c r="F3621" t="s">
        <v>21</v>
      </c>
      <c r="G3621" t="s">
        <v>57</v>
      </c>
      <c r="H3621" t="s">
        <v>20</v>
      </c>
      <c r="I3621" s="1">
        <v>2</v>
      </c>
      <c r="J3621" s="2">
        <v>45760</v>
      </c>
      <c r="K3621" s="2">
        <v>45748</v>
      </c>
      <c r="L3621" s="1" t="str">
        <f t="shared" si="419"/>
        <v>dom</v>
      </c>
      <c r="M3621" s="1" t="str">
        <f t="shared" si="420"/>
        <v>abr</v>
      </c>
      <c r="N3621">
        <f t="shared" si="421"/>
        <v>2025</v>
      </c>
      <c r="O3621" s="2">
        <f>_xlfn.XLOOKUP(A3621,Colaboradores!$A:$A,Colaboradores!$S:$S,"",0)</f>
        <v>45890</v>
      </c>
      <c r="P3621" t="str">
        <f t="shared" si="418"/>
        <v>173745760</v>
      </c>
    </row>
    <row r="3622" spans="1:16" x14ac:dyDescent="0.3">
      <c r="A3622">
        <v>1737</v>
      </c>
      <c r="B3622">
        <v>41</v>
      </c>
      <c r="C3622" t="s">
        <v>26</v>
      </c>
      <c r="D3622" t="s">
        <v>22</v>
      </c>
      <c r="E3622" t="s">
        <v>17</v>
      </c>
      <c r="F3622" t="s">
        <v>21</v>
      </c>
      <c r="G3622" t="s">
        <v>41</v>
      </c>
      <c r="H3622" t="s">
        <v>20</v>
      </c>
      <c r="I3622" s="1">
        <v>2</v>
      </c>
      <c r="J3622" s="2">
        <v>45807</v>
      </c>
      <c r="K3622" s="2">
        <v>45778</v>
      </c>
      <c r="L3622" s="1" t="str">
        <f t="shared" si="419"/>
        <v>sex</v>
      </c>
      <c r="M3622" s="1" t="str">
        <f t="shared" si="420"/>
        <v>mai</v>
      </c>
      <c r="N3622">
        <f t="shared" si="421"/>
        <v>2025</v>
      </c>
      <c r="O3622" s="2">
        <f>_xlfn.XLOOKUP(A3622,Colaboradores!$A:$A,Colaboradores!$S:$S,"",0)</f>
        <v>45890</v>
      </c>
      <c r="P3622" t="str">
        <f t="shared" si="418"/>
        <v>173745807</v>
      </c>
    </row>
    <row r="3623" spans="1:16" x14ac:dyDescent="0.3">
      <c r="A3623">
        <v>1737</v>
      </c>
      <c r="B3623">
        <v>41</v>
      </c>
      <c r="C3623" t="s">
        <v>26</v>
      </c>
      <c r="D3623" t="s">
        <v>22</v>
      </c>
      <c r="E3623" t="s">
        <v>17</v>
      </c>
      <c r="F3623" t="s">
        <v>21</v>
      </c>
      <c r="G3623" t="s">
        <v>41</v>
      </c>
      <c r="H3623" t="s">
        <v>20</v>
      </c>
      <c r="I3623" s="1">
        <v>2</v>
      </c>
      <c r="J3623" s="2">
        <v>45822</v>
      </c>
      <c r="K3623" s="2">
        <v>45809</v>
      </c>
      <c r="L3623" s="1" t="str">
        <f t="shared" si="419"/>
        <v>sáb</v>
      </c>
      <c r="M3623" s="1" t="str">
        <f t="shared" si="420"/>
        <v>jun</v>
      </c>
      <c r="N3623">
        <f t="shared" si="421"/>
        <v>2025</v>
      </c>
      <c r="O3623" s="2">
        <f>_xlfn.XLOOKUP(A3623,Colaboradores!$A:$A,Colaboradores!$S:$S,"",0)</f>
        <v>45890</v>
      </c>
      <c r="P3623" t="str">
        <f t="shared" si="418"/>
        <v>173745822</v>
      </c>
    </row>
    <row r="3624" spans="1:16" x14ac:dyDescent="0.3">
      <c r="A3624">
        <v>1737</v>
      </c>
      <c r="B3624">
        <v>41</v>
      </c>
      <c r="C3624" t="s">
        <v>26</v>
      </c>
      <c r="D3624" t="s">
        <v>22</v>
      </c>
      <c r="E3624" t="s">
        <v>17</v>
      </c>
      <c r="F3624" t="s">
        <v>21</v>
      </c>
      <c r="G3624" t="s">
        <v>41</v>
      </c>
      <c r="H3624" t="s">
        <v>20</v>
      </c>
      <c r="I3624" s="1">
        <v>2</v>
      </c>
      <c r="J3624" s="2">
        <v>45842</v>
      </c>
      <c r="K3624" s="2">
        <v>45839</v>
      </c>
      <c r="L3624" s="1" t="str">
        <f t="shared" si="419"/>
        <v>sex</v>
      </c>
      <c r="M3624" s="1" t="str">
        <f t="shared" si="420"/>
        <v>jul</v>
      </c>
      <c r="N3624">
        <f t="shared" si="421"/>
        <v>2025</v>
      </c>
      <c r="O3624" s="2">
        <f>_xlfn.XLOOKUP(A3624,Colaboradores!$A:$A,Colaboradores!$S:$S,"",0)</f>
        <v>45890</v>
      </c>
      <c r="P3624" t="str">
        <f t="shared" si="418"/>
        <v>173745842</v>
      </c>
    </row>
    <row r="3625" spans="1:16" x14ac:dyDescent="0.3">
      <c r="A3625">
        <v>1737</v>
      </c>
      <c r="B3625">
        <v>41</v>
      </c>
      <c r="C3625" t="s">
        <v>26</v>
      </c>
      <c r="D3625" t="s">
        <v>22</v>
      </c>
      <c r="E3625" t="s">
        <v>17</v>
      </c>
      <c r="F3625" t="s">
        <v>21</v>
      </c>
      <c r="G3625" t="s">
        <v>41</v>
      </c>
      <c r="H3625" t="s">
        <v>20</v>
      </c>
      <c r="I3625" s="1">
        <v>2</v>
      </c>
      <c r="J3625" s="2">
        <v>45862</v>
      </c>
      <c r="K3625" s="2">
        <v>45839</v>
      </c>
      <c r="L3625" s="1" t="str">
        <f t="shared" si="419"/>
        <v>qui</v>
      </c>
      <c r="M3625" s="1" t="str">
        <f t="shared" si="420"/>
        <v>jul</v>
      </c>
      <c r="N3625">
        <f t="shared" si="421"/>
        <v>2025</v>
      </c>
      <c r="O3625" s="2">
        <f>_xlfn.XLOOKUP(A3625,Colaboradores!$A:$A,Colaboradores!$S:$S,"",0)</f>
        <v>45890</v>
      </c>
      <c r="P3625" t="str">
        <f t="shared" si="418"/>
        <v>173745862</v>
      </c>
    </row>
    <row r="3626" spans="1:16" x14ac:dyDescent="0.3">
      <c r="A3626">
        <v>1737</v>
      </c>
      <c r="B3626">
        <v>41</v>
      </c>
      <c r="C3626" t="s">
        <v>26</v>
      </c>
      <c r="D3626" t="s">
        <v>22</v>
      </c>
      <c r="E3626" t="s">
        <v>17</v>
      </c>
      <c r="F3626" t="s">
        <v>21</v>
      </c>
      <c r="G3626" t="s">
        <v>41</v>
      </c>
      <c r="H3626" t="s">
        <v>20</v>
      </c>
      <c r="I3626" s="1">
        <v>2</v>
      </c>
      <c r="J3626" s="2">
        <v>45867</v>
      </c>
      <c r="K3626" s="2">
        <v>45839</v>
      </c>
      <c r="L3626" s="1" t="str">
        <f t="shared" si="419"/>
        <v>ter</v>
      </c>
      <c r="M3626" s="1" t="str">
        <f t="shared" si="420"/>
        <v>jul</v>
      </c>
      <c r="N3626">
        <f t="shared" si="421"/>
        <v>2025</v>
      </c>
      <c r="O3626" s="2">
        <f>_xlfn.XLOOKUP(A3626,Colaboradores!$A:$A,Colaboradores!$S:$S,"",0)</f>
        <v>45890</v>
      </c>
      <c r="P3626" t="str">
        <f t="shared" si="418"/>
        <v>173745867</v>
      </c>
    </row>
    <row r="3627" spans="1:16" x14ac:dyDescent="0.3">
      <c r="A3627">
        <v>1738</v>
      </c>
      <c r="B3627">
        <v>23</v>
      </c>
      <c r="C3627" t="s">
        <v>26</v>
      </c>
      <c r="D3627" t="s">
        <v>27</v>
      </c>
      <c r="E3627" t="s">
        <v>17</v>
      </c>
      <c r="F3627" t="s">
        <v>18</v>
      </c>
      <c r="G3627" t="s">
        <v>41</v>
      </c>
      <c r="H3627" t="s">
        <v>25</v>
      </c>
      <c r="I3627" s="1">
        <v>3</v>
      </c>
      <c r="J3627" s="2">
        <v>45900</v>
      </c>
      <c r="K3627" s="2">
        <v>45870</v>
      </c>
      <c r="L3627" s="1" t="str">
        <f t="shared" si="419"/>
        <v>dom</v>
      </c>
      <c r="M3627" s="1" t="str">
        <f t="shared" si="420"/>
        <v>ago</v>
      </c>
      <c r="N3627">
        <f t="shared" si="421"/>
        <v>2025</v>
      </c>
      <c r="O3627" s="2"/>
      <c r="P3627" t="str">
        <f t="shared" si="418"/>
        <v>173845900</v>
      </c>
    </row>
    <row r="3628" spans="1:16" x14ac:dyDescent="0.3">
      <c r="A3628">
        <v>1738</v>
      </c>
      <c r="B3628">
        <v>23</v>
      </c>
      <c r="C3628" t="s">
        <v>26</v>
      </c>
      <c r="D3628" t="s">
        <v>27</v>
      </c>
      <c r="E3628" t="s">
        <v>17</v>
      </c>
      <c r="F3628" t="s">
        <v>18</v>
      </c>
      <c r="G3628" t="s">
        <v>41</v>
      </c>
      <c r="H3628" t="s">
        <v>25</v>
      </c>
      <c r="I3628" s="1">
        <v>3</v>
      </c>
      <c r="J3628" s="2">
        <v>45974</v>
      </c>
      <c r="K3628" s="2">
        <v>45962</v>
      </c>
      <c r="L3628" s="1" t="str">
        <f t="shared" si="419"/>
        <v>qui</v>
      </c>
      <c r="M3628" s="1" t="str">
        <f t="shared" si="420"/>
        <v>nov</v>
      </c>
      <c r="N3628">
        <f t="shared" si="421"/>
        <v>2025</v>
      </c>
      <c r="O3628" s="2"/>
      <c r="P3628" t="str">
        <f t="shared" si="418"/>
        <v>173845974</v>
      </c>
    </row>
    <row r="3629" spans="1:16" x14ac:dyDescent="0.3">
      <c r="A3629">
        <v>1738</v>
      </c>
      <c r="B3629">
        <v>23</v>
      </c>
      <c r="C3629" t="s">
        <v>26</v>
      </c>
      <c r="D3629" t="s">
        <v>27</v>
      </c>
      <c r="E3629" t="s">
        <v>17</v>
      </c>
      <c r="F3629" t="s">
        <v>18</v>
      </c>
      <c r="G3629" t="s">
        <v>41</v>
      </c>
      <c r="H3629" t="s">
        <v>25</v>
      </c>
      <c r="I3629" s="1">
        <v>3</v>
      </c>
      <c r="J3629" s="2">
        <v>46012</v>
      </c>
      <c r="K3629" s="2">
        <v>45992</v>
      </c>
      <c r="L3629" s="1" t="str">
        <f t="shared" si="419"/>
        <v>dom</v>
      </c>
      <c r="M3629" s="1" t="str">
        <f t="shared" si="420"/>
        <v>dez</v>
      </c>
      <c r="N3629">
        <f t="shared" si="421"/>
        <v>2025</v>
      </c>
      <c r="O3629" s="2"/>
      <c r="P3629" t="str">
        <f t="shared" si="418"/>
        <v>173846012</v>
      </c>
    </row>
    <row r="3630" spans="1:16" x14ac:dyDescent="0.3">
      <c r="A3630">
        <v>1738</v>
      </c>
      <c r="B3630">
        <v>23</v>
      </c>
      <c r="C3630" t="s">
        <v>26</v>
      </c>
      <c r="D3630" t="s">
        <v>27</v>
      </c>
      <c r="E3630" t="s">
        <v>17</v>
      </c>
      <c r="F3630" t="s">
        <v>18</v>
      </c>
      <c r="G3630" t="s">
        <v>41</v>
      </c>
      <c r="H3630" t="s">
        <v>25</v>
      </c>
      <c r="I3630" s="1">
        <v>3</v>
      </c>
      <c r="J3630" s="2">
        <v>46084</v>
      </c>
      <c r="K3630" s="2">
        <v>46082</v>
      </c>
      <c r="L3630" s="1" t="str">
        <f t="shared" si="419"/>
        <v>ter</v>
      </c>
      <c r="M3630" s="1" t="str">
        <f t="shared" si="420"/>
        <v>mar</v>
      </c>
      <c r="N3630">
        <f t="shared" si="421"/>
        <v>2026</v>
      </c>
      <c r="O3630" s="2"/>
      <c r="P3630" t="str">
        <f t="shared" si="418"/>
        <v>173846084</v>
      </c>
    </row>
    <row r="3631" spans="1:16" x14ac:dyDescent="0.3">
      <c r="A3631">
        <v>1741</v>
      </c>
      <c r="B3631">
        <v>41</v>
      </c>
      <c r="C3631" t="s">
        <v>26</v>
      </c>
      <c r="D3631" t="s">
        <v>29</v>
      </c>
      <c r="E3631" t="s">
        <v>17</v>
      </c>
      <c r="F3631" t="s">
        <v>23</v>
      </c>
      <c r="G3631" t="s">
        <v>41</v>
      </c>
      <c r="H3631" t="s">
        <v>20</v>
      </c>
      <c r="I3631" s="1">
        <v>3</v>
      </c>
      <c r="J3631" s="2">
        <v>45741</v>
      </c>
      <c r="K3631" s="2">
        <v>45717</v>
      </c>
      <c r="L3631" s="1" t="str">
        <f t="shared" ref="L3631:L3648" si="422">TEXT(J3631,"ddd")</f>
        <v>ter</v>
      </c>
      <c r="M3631" s="1" t="str">
        <f t="shared" ref="M3631:M3648" si="423">TEXT($J3631,"mmm")</f>
        <v>mar</v>
      </c>
      <c r="N3631">
        <f t="shared" ref="N3631:N3648" si="424">YEAR(J3631)</f>
        <v>2025</v>
      </c>
      <c r="O3631" s="2">
        <f>_xlfn.XLOOKUP(A3631,Colaboradores!$A:$A,Colaboradores!$S:$S,"",0)</f>
        <v>45865</v>
      </c>
      <c r="P3631" t="str">
        <f t="shared" si="418"/>
        <v>174145741</v>
      </c>
    </row>
    <row r="3632" spans="1:16" x14ac:dyDescent="0.3">
      <c r="A3632">
        <v>1741</v>
      </c>
      <c r="B3632">
        <v>41</v>
      </c>
      <c r="C3632" t="s">
        <v>26</v>
      </c>
      <c r="D3632" t="s">
        <v>29</v>
      </c>
      <c r="E3632" t="s">
        <v>17</v>
      </c>
      <c r="F3632" t="s">
        <v>23</v>
      </c>
      <c r="G3632" t="s">
        <v>57</v>
      </c>
      <c r="H3632" t="s">
        <v>20</v>
      </c>
      <c r="I3632" s="1">
        <v>3</v>
      </c>
      <c r="J3632" s="2">
        <v>45764</v>
      </c>
      <c r="K3632" s="2">
        <v>45748</v>
      </c>
      <c r="L3632" s="1" t="str">
        <f t="shared" si="422"/>
        <v>qui</v>
      </c>
      <c r="M3632" s="1" t="str">
        <f t="shared" si="423"/>
        <v>abr</v>
      </c>
      <c r="N3632">
        <f t="shared" si="424"/>
        <v>2025</v>
      </c>
      <c r="O3632" s="2">
        <f>_xlfn.XLOOKUP(A3632,Colaboradores!$A:$A,Colaboradores!$S:$S,"",0)</f>
        <v>45865</v>
      </c>
      <c r="P3632" t="str">
        <f t="shared" si="418"/>
        <v>174145764</v>
      </c>
    </row>
    <row r="3633" spans="1:16" x14ac:dyDescent="0.3">
      <c r="A3633">
        <v>1741</v>
      </c>
      <c r="B3633">
        <v>41</v>
      </c>
      <c r="C3633" t="s">
        <v>26</v>
      </c>
      <c r="D3633" t="s">
        <v>29</v>
      </c>
      <c r="E3633" t="s">
        <v>17</v>
      </c>
      <c r="F3633" t="s">
        <v>23</v>
      </c>
      <c r="G3633" t="s">
        <v>41</v>
      </c>
      <c r="H3633" t="s">
        <v>20</v>
      </c>
      <c r="I3633" s="1">
        <v>3</v>
      </c>
      <c r="J3633" s="2">
        <v>45819</v>
      </c>
      <c r="K3633" s="2">
        <v>45809</v>
      </c>
      <c r="L3633" s="1" t="str">
        <f t="shared" si="422"/>
        <v>qua</v>
      </c>
      <c r="M3633" s="1" t="str">
        <f t="shared" si="423"/>
        <v>jun</v>
      </c>
      <c r="N3633">
        <f t="shared" si="424"/>
        <v>2025</v>
      </c>
      <c r="O3633" s="2">
        <f>_xlfn.XLOOKUP(A3633,Colaboradores!$A:$A,Colaboradores!$S:$S,"",0)</f>
        <v>45865</v>
      </c>
      <c r="P3633" t="str">
        <f t="shared" si="418"/>
        <v>174145819</v>
      </c>
    </row>
    <row r="3634" spans="1:16" x14ac:dyDescent="0.3">
      <c r="A3634">
        <v>1741</v>
      </c>
      <c r="B3634">
        <v>41</v>
      </c>
      <c r="C3634" t="s">
        <v>26</v>
      </c>
      <c r="D3634" t="s">
        <v>29</v>
      </c>
      <c r="E3634" t="s">
        <v>17</v>
      </c>
      <c r="F3634" t="s">
        <v>23</v>
      </c>
      <c r="G3634" t="s">
        <v>41</v>
      </c>
      <c r="H3634" t="s">
        <v>20</v>
      </c>
      <c r="I3634" s="1">
        <v>3</v>
      </c>
      <c r="J3634" s="2">
        <v>45837</v>
      </c>
      <c r="K3634" s="2">
        <v>45809</v>
      </c>
      <c r="L3634" s="1" t="str">
        <f t="shared" si="422"/>
        <v>dom</v>
      </c>
      <c r="M3634" s="1" t="str">
        <f t="shared" si="423"/>
        <v>jun</v>
      </c>
      <c r="N3634">
        <f t="shared" si="424"/>
        <v>2025</v>
      </c>
      <c r="O3634" s="2">
        <f>_xlfn.XLOOKUP(A3634,Colaboradores!$A:$A,Colaboradores!$S:$S,"",0)</f>
        <v>45865</v>
      </c>
      <c r="P3634" t="str">
        <f t="shared" si="418"/>
        <v>174145837</v>
      </c>
    </row>
    <row r="3635" spans="1:16" x14ac:dyDescent="0.3">
      <c r="A3635">
        <v>1741</v>
      </c>
      <c r="B3635">
        <v>41</v>
      </c>
      <c r="C3635" t="s">
        <v>26</v>
      </c>
      <c r="D3635" t="s">
        <v>29</v>
      </c>
      <c r="E3635" t="s">
        <v>17</v>
      </c>
      <c r="F3635" t="s">
        <v>23</v>
      </c>
      <c r="G3635" t="s">
        <v>41</v>
      </c>
      <c r="H3635" t="s">
        <v>20</v>
      </c>
      <c r="I3635" s="1">
        <v>3</v>
      </c>
      <c r="J3635" s="2">
        <v>45840</v>
      </c>
      <c r="K3635" s="2">
        <v>45839</v>
      </c>
      <c r="L3635" s="1" t="str">
        <f t="shared" si="422"/>
        <v>qua</v>
      </c>
      <c r="M3635" s="1" t="str">
        <f t="shared" si="423"/>
        <v>jul</v>
      </c>
      <c r="N3635">
        <f t="shared" si="424"/>
        <v>2025</v>
      </c>
      <c r="O3635" s="2">
        <f>_xlfn.XLOOKUP(A3635,Colaboradores!$A:$A,Colaboradores!$S:$S,"",0)</f>
        <v>45865</v>
      </c>
      <c r="P3635" t="str">
        <f t="shared" si="418"/>
        <v>174145840</v>
      </c>
    </row>
    <row r="3636" spans="1:16" x14ac:dyDescent="0.3">
      <c r="A3636">
        <v>1741</v>
      </c>
      <c r="B3636">
        <v>41</v>
      </c>
      <c r="C3636" t="s">
        <v>26</v>
      </c>
      <c r="D3636" t="s">
        <v>29</v>
      </c>
      <c r="E3636" t="s">
        <v>17</v>
      </c>
      <c r="F3636" t="s">
        <v>23</v>
      </c>
      <c r="G3636" t="s">
        <v>41</v>
      </c>
      <c r="H3636" t="s">
        <v>20</v>
      </c>
      <c r="I3636" s="1">
        <v>3</v>
      </c>
      <c r="J3636" s="2">
        <v>45852</v>
      </c>
      <c r="K3636" s="2">
        <v>45839</v>
      </c>
      <c r="L3636" s="1" t="str">
        <f t="shared" si="422"/>
        <v>seg</v>
      </c>
      <c r="M3636" s="1" t="str">
        <f t="shared" si="423"/>
        <v>jul</v>
      </c>
      <c r="N3636">
        <f t="shared" si="424"/>
        <v>2025</v>
      </c>
      <c r="O3636" s="2">
        <f>_xlfn.XLOOKUP(A3636,Colaboradores!$A:$A,Colaboradores!$S:$S,"",0)</f>
        <v>45865</v>
      </c>
      <c r="P3636" t="str">
        <f t="shared" si="418"/>
        <v>174145852</v>
      </c>
    </row>
    <row r="3637" spans="1:16" x14ac:dyDescent="0.3">
      <c r="A3637">
        <v>1744</v>
      </c>
      <c r="B3637">
        <v>28</v>
      </c>
      <c r="C3637" t="s">
        <v>15</v>
      </c>
      <c r="D3637" t="s">
        <v>22</v>
      </c>
      <c r="E3637" t="s">
        <v>17</v>
      </c>
      <c r="F3637" t="s">
        <v>21</v>
      </c>
      <c r="G3637" t="s">
        <v>41</v>
      </c>
      <c r="H3637" t="s">
        <v>25</v>
      </c>
      <c r="I3637" s="1">
        <v>3</v>
      </c>
      <c r="J3637" s="2">
        <v>45913</v>
      </c>
      <c r="K3637" s="2">
        <v>45901</v>
      </c>
      <c r="L3637" s="1" t="str">
        <f t="shared" si="422"/>
        <v>sáb</v>
      </c>
      <c r="M3637" s="1" t="str">
        <f t="shared" si="423"/>
        <v>set</v>
      </c>
      <c r="N3637">
        <f t="shared" si="424"/>
        <v>2025</v>
      </c>
      <c r="O3637" s="2"/>
      <c r="P3637" t="str">
        <f t="shared" si="418"/>
        <v>174445913</v>
      </c>
    </row>
    <row r="3638" spans="1:16" x14ac:dyDescent="0.3">
      <c r="A3638">
        <v>1744</v>
      </c>
      <c r="B3638">
        <v>28</v>
      </c>
      <c r="C3638" t="s">
        <v>15</v>
      </c>
      <c r="D3638" t="s">
        <v>22</v>
      </c>
      <c r="E3638" t="s">
        <v>17</v>
      </c>
      <c r="F3638" t="s">
        <v>21</v>
      </c>
      <c r="G3638" t="s">
        <v>41</v>
      </c>
      <c r="H3638" t="s">
        <v>25</v>
      </c>
      <c r="I3638" s="1">
        <v>3</v>
      </c>
      <c r="J3638" s="2">
        <v>45950</v>
      </c>
      <c r="K3638" s="2">
        <v>45931</v>
      </c>
      <c r="L3638" s="1" t="str">
        <f t="shared" si="422"/>
        <v>seg</v>
      </c>
      <c r="M3638" s="1" t="str">
        <f t="shared" si="423"/>
        <v>out</v>
      </c>
      <c r="N3638">
        <f t="shared" si="424"/>
        <v>2025</v>
      </c>
      <c r="O3638" s="2"/>
      <c r="P3638" t="str">
        <f t="shared" si="418"/>
        <v>174445950</v>
      </c>
    </row>
    <row r="3639" spans="1:16" x14ac:dyDescent="0.3">
      <c r="A3639">
        <v>1744</v>
      </c>
      <c r="B3639">
        <v>28</v>
      </c>
      <c r="C3639" t="s">
        <v>15</v>
      </c>
      <c r="D3639" t="s">
        <v>22</v>
      </c>
      <c r="E3639" t="s">
        <v>17</v>
      </c>
      <c r="F3639" t="s">
        <v>21</v>
      </c>
      <c r="G3639" t="s">
        <v>41</v>
      </c>
      <c r="H3639" t="s">
        <v>25</v>
      </c>
      <c r="I3639" s="1">
        <v>3</v>
      </c>
      <c r="J3639" s="2">
        <v>45971</v>
      </c>
      <c r="K3639" s="2">
        <v>45962</v>
      </c>
      <c r="L3639" s="1" t="str">
        <f t="shared" si="422"/>
        <v>seg</v>
      </c>
      <c r="M3639" s="1" t="str">
        <f t="shared" si="423"/>
        <v>nov</v>
      </c>
      <c r="N3639">
        <f t="shared" si="424"/>
        <v>2025</v>
      </c>
      <c r="O3639" s="2"/>
      <c r="P3639" t="str">
        <f t="shared" si="418"/>
        <v>174445971</v>
      </c>
    </row>
    <row r="3640" spans="1:16" x14ac:dyDescent="0.3">
      <c r="A3640">
        <v>1744</v>
      </c>
      <c r="B3640">
        <v>28</v>
      </c>
      <c r="C3640" t="s">
        <v>15</v>
      </c>
      <c r="D3640" t="s">
        <v>22</v>
      </c>
      <c r="E3640" t="s">
        <v>17</v>
      </c>
      <c r="F3640" t="s">
        <v>21</v>
      </c>
      <c r="G3640" t="s">
        <v>41</v>
      </c>
      <c r="H3640" t="s">
        <v>25</v>
      </c>
      <c r="I3640" s="1">
        <v>3</v>
      </c>
      <c r="J3640" s="2">
        <v>45992</v>
      </c>
      <c r="K3640" s="2">
        <v>45992</v>
      </c>
      <c r="L3640" s="1" t="str">
        <f t="shared" si="422"/>
        <v>seg</v>
      </c>
      <c r="M3640" s="1" t="str">
        <f t="shared" si="423"/>
        <v>dez</v>
      </c>
      <c r="N3640">
        <f t="shared" si="424"/>
        <v>2025</v>
      </c>
      <c r="O3640" s="2"/>
      <c r="P3640" t="str">
        <f t="shared" si="418"/>
        <v>174445992</v>
      </c>
    </row>
    <row r="3641" spans="1:16" x14ac:dyDescent="0.3">
      <c r="A3641">
        <v>1744</v>
      </c>
      <c r="B3641">
        <v>28</v>
      </c>
      <c r="C3641" t="s">
        <v>15</v>
      </c>
      <c r="D3641" t="s">
        <v>22</v>
      </c>
      <c r="E3641" t="s">
        <v>17</v>
      </c>
      <c r="F3641" t="s">
        <v>21</v>
      </c>
      <c r="G3641" t="s">
        <v>41</v>
      </c>
      <c r="H3641" t="s">
        <v>25</v>
      </c>
      <c r="I3641" s="1">
        <v>3</v>
      </c>
      <c r="J3641" s="2">
        <v>46182</v>
      </c>
      <c r="K3641" s="2">
        <v>46023</v>
      </c>
      <c r="L3641" s="1" t="str">
        <f t="shared" si="422"/>
        <v>ter</v>
      </c>
      <c r="M3641" s="1" t="str">
        <f t="shared" si="423"/>
        <v>jun</v>
      </c>
      <c r="N3641">
        <f t="shared" si="424"/>
        <v>2026</v>
      </c>
      <c r="O3641" s="2"/>
      <c r="P3641" t="str">
        <f t="shared" si="418"/>
        <v>174446182</v>
      </c>
    </row>
    <row r="3642" spans="1:16" x14ac:dyDescent="0.3">
      <c r="A3642">
        <v>1744</v>
      </c>
      <c r="B3642">
        <v>28</v>
      </c>
      <c r="C3642" t="s">
        <v>15</v>
      </c>
      <c r="D3642" t="s">
        <v>22</v>
      </c>
      <c r="E3642" t="s">
        <v>17</v>
      </c>
      <c r="F3642" t="s">
        <v>21</v>
      </c>
      <c r="G3642" t="s">
        <v>41</v>
      </c>
      <c r="H3642" t="s">
        <v>25</v>
      </c>
      <c r="I3642" s="1">
        <v>3</v>
      </c>
      <c r="J3642" s="2">
        <v>46028</v>
      </c>
      <c r="K3642" s="2">
        <v>46023</v>
      </c>
      <c r="L3642" s="1" t="str">
        <f t="shared" si="422"/>
        <v>ter</v>
      </c>
      <c r="M3642" s="1" t="str">
        <f t="shared" si="423"/>
        <v>jan</v>
      </c>
      <c r="N3642">
        <f t="shared" si="424"/>
        <v>2026</v>
      </c>
      <c r="O3642" s="2"/>
      <c r="P3642" t="str">
        <f t="shared" si="418"/>
        <v>174446028</v>
      </c>
    </row>
    <row r="3643" spans="1:16" x14ac:dyDescent="0.3">
      <c r="A3643">
        <v>1745</v>
      </c>
      <c r="B3643">
        <v>41</v>
      </c>
      <c r="C3643" t="s">
        <v>26</v>
      </c>
      <c r="D3643" t="s">
        <v>22</v>
      </c>
      <c r="E3643" t="s">
        <v>17</v>
      </c>
      <c r="F3643" t="s">
        <v>21</v>
      </c>
      <c r="G3643" t="s">
        <v>41</v>
      </c>
      <c r="H3643" t="s">
        <v>25</v>
      </c>
      <c r="I3643" s="1">
        <v>1</v>
      </c>
      <c r="J3643" s="2">
        <v>45774</v>
      </c>
      <c r="K3643" s="2">
        <v>45748</v>
      </c>
      <c r="L3643" s="1" t="str">
        <f t="shared" si="422"/>
        <v>dom</v>
      </c>
      <c r="M3643" s="1" t="str">
        <f t="shared" si="423"/>
        <v>abr</v>
      </c>
      <c r="N3643">
        <f t="shared" si="424"/>
        <v>2025</v>
      </c>
      <c r="O3643" s="2"/>
      <c r="P3643" t="str">
        <f t="shared" si="418"/>
        <v>174545774</v>
      </c>
    </row>
    <row r="3644" spans="1:16" x14ac:dyDescent="0.3">
      <c r="A3644">
        <v>1745</v>
      </c>
      <c r="B3644">
        <v>41</v>
      </c>
      <c r="C3644" t="s">
        <v>26</v>
      </c>
      <c r="D3644" t="s">
        <v>22</v>
      </c>
      <c r="E3644" t="s">
        <v>17</v>
      </c>
      <c r="F3644" t="s">
        <v>21</v>
      </c>
      <c r="G3644" t="s">
        <v>41</v>
      </c>
      <c r="H3644" t="s">
        <v>25</v>
      </c>
      <c r="I3644" s="1">
        <v>1</v>
      </c>
      <c r="J3644" s="2">
        <v>45865</v>
      </c>
      <c r="K3644" s="2">
        <v>45839</v>
      </c>
      <c r="L3644" s="1" t="str">
        <f t="shared" si="422"/>
        <v>dom</v>
      </c>
      <c r="M3644" s="1" t="str">
        <f t="shared" si="423"/>
        <v>jul</v>
      </c>
      <c r="N3644">
        <f t="shared" si="424"/>
        <v>2025</v>
      </c>
      <c r="O3644" s="2"/>
      <c r="P3644" t="str">
        <f t="shared" si="418"/>
        <v>174545865</v>
      </c>
    </row>
    <row r="3645" spans="1:16" x14ac:dyDescent="0.3">
      <c r="A3645">
        <v>1745</v>
      </c>
      <c r="B3645">
        <v>41</v>
      </c>
      <c r="C3645" t="s">
        <v>26</v>
      </c>
      <c r="D3645" t="s">
        <v>22</v>
      </c>
      <c r="E3645" t="s">
        <v>17</v>
      </c>
      <c r="F3645" t="s">
        <v>21</v>
      </c>
      <c r="G3645" t="s">
        <v>41</v>
      </c>
      <c r="H3645" t="s">
        <v>25</v>
      </c>
      <c r="I3645" s="1">
        <v>1</v>
      </c>
      <c r="J3645" s="2">
        <v>45909</v>
      </c>
      <c r="K3645" s="2">
        <v>45901</v>
      </c>
      <c r="L3645" s="1" t="str">
        <f t="shared" si="422"/>
        <v>ter</v>
      </c>
      <c r="M3645" s="1" t="str">
        <f t="shared" si="423"/>
        <v>set</v>
      </c>
      <c r="N3645">
        <f t="shared" si="424"/>
        <v>2025</v>
      </c>
      <c r="O3645" s="2"/>
      <c r="P3645" t="str">
        <f t="shared" si="418"/>
        <v>174545909</v>
      </c>
    </row>
    <row r="3646" spans="1:16" x14ac:dyDescent="0.3">
      <c r="A3646">
        <v>1745</v>
      </c>
      <c r="B3646">
        <v>41</v>
      </c>
      <c r="C3646" t="s">
        <v>26</v>
      </c>
      <c r="D3646" t="s">
        <v>22</v>
      </c>
      <c r="E3646" t="s">
        <v>17</v>
      </c>
      <c r="F3646" t="s">
        <v>21</v>
      </c>
      <c r="G3646" t="s">
        <v>41</v>
      </c>
      <c r="H3646" t="s">
        <v>25</v>
      </c>
      <c r="I3646" s="1">
        <v>1</v>
      </c>
      <c r="J3646" s="2">
        <v>45952</v>
      </c>
      <c r="K3646" s="2">
        <v>45931</v>
      </c>
      <c r="L3646" s="1" t="str">
        <f t="shared" si="422"/>
        <v>qua</v>
      </c>
      <c r="M3646" s="1" t="str">
        <f t="shared" si="423"/>
        <v>out</v>
      </c>
      <c r="N3646">
        <f t="shared" si="424"/>
        <v>2025</v>
      </c>
      <c r="O3646" s="2"/>
      <c r="P3646" t="str">
        <f t="shared" ref="P3646:P3709" si="425">CONCATENATE(A3646,J3646)</f>
        <v>174545952</v>
      </c>
    </row>
    <row r="3647" spans="1:16" x14ac:dyDescent="0.3">
      <c r="A3647">
        <v>1745</v>
      </c>
      <c r="B3647">
        <v>41</v>
      </c>
      <c r="C3647" t="s">
        <v>26</v>
      </c>
      <c r="D3647" t="s">
        <v>22</v>
      </c>
      <c r="E3647" t="s">
        <v>17</v>
      </c>
      <c r="F3647" t="s">
        <v>21</v>
      </c>
      <c r="G3647" t="s">
        <v>41</v>
      </c>
      <c r="H3647" t="s">
        <v>25</v>
      </c>
      <c r="I3647" s="1">
        <v>1</v>
      </c>
      <c r="J3647" s="2">
        <v>45968</v>
      </c>
      <c r="K3647" s="2">
        <v>45962</v>
      </c>
      <c r="L3647" s="1" t="str">
        <f t="shared" si="422"/>
        <v>sex</v>
      </c>
      <c r="M3647" s="1" t="str">
        <f t="shared" si="423"/>
        <v>nov</v>
      </c>
      <c r="N3647">
        <f t="shared" si="424"/>
        <v>2025</v>
      </c>
      <c r="O3647" s="2"/>
      <c r="P3647" t="str">
        <f t="shared" si="425"/>
        <v>174545968</v>
      </c>
    </row>
    <row r="3648" spans="1:16" x14ac:dyDescent="0.3">
      <c r="A3648">
        <v>1745</v>
      </c>
      <c r="B3648">
        <v>41</v>
      </c>
      <c r="C3648" t="s">
        <v>26</v>
      </c>
      <c r="D3648" t="s">
        <v>22</v>
      </c>
      <c r="E3648" t="s">
        <v>17</v>
      </c>
      <c r="F3648" t="s">
        <v>21</v>
      </c>
      <c r="G3648" t="s">
        <v>41</v>
      </c>
      <c r="H3648" t="s">
        <v>25</v>
      </c>
      <c r="I3648" s="1">
        <v>1</v>
      </c>
      <c r="J3648" s="2">
        <v>45987</v>
      </c>
      <c r="K3648" s="2">
        <v>45962</v>
      </c>
      <c r="L3648" s="1" t="str">
        <f t="shared" si="422"/>
        <v>qua</v>
      </c>
      <c r="M3648" s="1" t="str">
        <f t="shared" si="423"/>
        <v>nov</v>
      </c>
      <c r="N3648">
        <f t="shared" si="424"/>
        <v>2025</v>
      </c>
      <c r="O3648" s="2"/>
      <c r="P3648" t="str">
        <f t="shared" si="425"/>
        <v>174545987</v>
      </c>
    </row>
    <row r="3649" spans="1:16" x14ac:dyDescent="0.3">
      <c r="A3649">
        <v>1745</v>
      </c>
      <c r="B3649">
        <v>41</v>
      </c>
      <c r="C3649" t="s">
        <v>26</v>
      </c>
      <c r="D3649" t="s">
        <v>22</v>
      </c>
      <c r="E3649" t="s">
        <v>17</v>
      </c>
      <c r="F3649" t="s">
        <v>21</v>
      </c>
      <c r="G3649" t="s">
        <v>41</v>
      </c>
      <c r="H3649" t="s">
        <v>25</v>
      </c>
      <c r="I3649" s="1">
        <v>1</v>
      </c>
      <c r="J3649" s="2">
        <v>46139</v>
      </c>
      <c r="K3649" s="2">
        <v>46113</v>
      </c>
      <c r="L3649" s="1" t="s">
        <v>55</v>
      </c>
      <c r="M3649" s="1" t="s">
        <v>48</v>
      </c>
      <c r="N3649">
        <v>2025</v>
      </c>
      <c r="O3649" s="2"/>
      <c r="P3649" t="str">
        <f t="shared" si="425"/>
        <v>174546139</v>
      </c>
    </row>
    <row r="3650" spans="1:16" x14ac:dyDescent="0.3">
      <c r="A3650">
        <v>1746</v>
      </c>
      <c r="B3650">
        <v>54</v>
      </c>
      <c r="C3650" t="s">
        <v>15</v>
      </c>
      <c r="D3650" t="s">
        <v>16</v>
      </c>
      <c r="E3650" t="s">
        <v>17</v>
      </c>
      <c r="F3650" t="s">
        <v>18</v>
      </c>
      <c r="G3650" t="s">
        <v>41</v>
      </c>
      <c r="H3650" t="s">
        <v>25</v>
      </c>
      <c r="I3650" s="1">
        <v>3</v>
      </c>
      <c r="J3650" s="2">
        <v>45813</v>
      </c>
      <c r="K3650" s="2">
        <v>45809</v>
      </c>
      <c r="L3650" s="1" t="str">
        <f t="shared" ref="L3650:L3668" si="426">TEXT(J3650,"ddd")</f>
        <v>qui</v>
      </c>
      <c r="M3650" s="1" t="str">
        <f t="shared" ref="M3650:M3668" si="427">TEXT($J3650,"mmm")</f>
        <v>jun</v>
      </c>
      <c r="N3650">
        <f t="shared" ref="N3650:N3668" si="428">YEAR(J3650)</f>
        <v>2025</v>
      </c>
      <c r="O3650" s="2"/>
      <c r="P3650" t="str">
        <f t="shared" si="425"/>
        <v>174645813</v>
      </c>
    </row>
    <row r="3651" spans="1:16" x14ac:dyDescent="0.3">
      <c r="A3651">
        <v>1746</v>
      </c>
      <c r="B3651">
        <v>54</v>
      </c>
      <c r="C3651" t="s">
        <v>15</v>
      </c>
      <c r="D3651" t="s">
        <v>16</v>
      </c>
      <c r="E3651" t="s">
        <v>17</v>
      </c>
      <c r="F3651" t="s">
        <v>18</v>
      </c>
      <c r="G3651" t="s">
        <v>41</v>
      </c>
      <c r="H3651" t="s">
        <v>25</v>
      </c>
      <c r="I3651" s="1">
        <v>3</v>
      </c>
      <c r="J3651" s="2">
        <v>45854</v>
      </c>
      <c r="K3651" s="2">
        <v>45839</v>
      </c>
      <c r="L3651" s="1" t="str">
        <f t="shared" si="426"/>
        <v>qua</v>
      </c>
      <c r="M3651" s="1" t="str">
        <f t="shared" si="427"/>
        <v>jul</v>
      </c>
      <c r="N3651">
        <f t="shared" si="428"/>
        <v>2025</v>
      </c>
      <c r="O3651" s="2"/>
      <c r="P3651" t="str">
        <f t="shared" si="425"/>
        <v>174645854</v>
      </c>
    </row>
    <row r="3652" spans="1:16" x14ac:dyDescent="0.3">
      <c r="A3652">
        <v>1746</v>
      </c>
      <c r="B3652">
        <v>54</v>
      </c>
      <c r="C3652" t="s">
        <v>15</v>
      </c>
      <c r="D3652" t="s">
        <v>16</v>
      </c>
      <c r="E3652" t="s">
        <v>17</v>
      </c>
      <c r="F3652" t="s">
        <v>18</v>
      </c>
      <c r="G3652" t="s">
        <v>41</v>
      </c>
      <c r="H3652" t="s">
        <v>25</v>
      </c>
      <c r="I3652" s="1">
        <v>3</v>
      </c>
      <c r="J3652" s="2">
        <v>46180</v>
      </c>
      <c r="K3652" s="2">
        <v>46023</v>
      </c>
      <c r="L3652" s="1" t="str">
        <f t="shared" si="426"/>
        <v>dom</v>
      </c>
      <c r="M3652" s="1" t="str">
        <f t="shared" si="427"/>
        <v>jun</v>
      </c>
      <c r="N3652">
        <f t="shared" si="428"/>
        <v>2026</v>
      </c>
      <c r="O3652" s="2"/>
      <c r="P3652" t="str">
        <f t="shared" si="425"/>
        <v>174646180</v>
      </c>
    </row>
    <row r="3653" spans="1:16" x14ac:dyDescent="0.3">
      <c r="A3653">
        <v>1747</v>
      </c>
      <c r="B3653">
        <v>26</v>
      </c>
      <c r="C3653" t="s">
        <v>26</v>
      </c>
      <c r="D3653" t="s">
        <v>29</v>
      </c>
      <c r="E3653" t="s">
        <v>17</v>
      </c>
      <c r="F3653" t="s">
        <v>23</v>
      </c>
      <c r="G3653" t="s">
        <v>41</v>
      </c>
      <c r="H3653" t="s">
        <v>25</v>
      </c>
      <c r="I3653" s="1">
        <v>2</v>
      </c>
      <c r="J3653" s="2">
        <v>45815</v>
      </c>
      <c r="K3653" s="2">
        <v>45809</v>
      </c>
      <c r="L3653" s="1" t="str">
        <f t="shared" si="426"/>
        <v>sáb</v>
      </c>
      <c r="M3653" s="1" t="str">
        <f t="shared" si="427"/>
        <v>jun</v>
      </c>
      <c r="N3653">
        <f t="shared" si="428"/>
        <v>2025</v>
      </c>
      <c r="O3653" s="2"/>
      <c r="P3653" t="str">
        <f t="shared" si="425"/>
        <v>174745815</v>
      </c>
    </row>
    <row r="3654" spans="1:16" x14ac:dyDescent="0.3">
      <c r="A3654">
        <v>1747</v>
      </c>
      <c r="B3654">
        <v>26</v>
      </c>
      <c r="C3654" t="s">
        <v>26</v>
      </c>
      <c r="D3654" t="s">
        <v>29</v>
      </c>
      <c r="E3654" t="s">
        <v>17</v>
      </c>
      <c r="F3654" t="s">
        <v>23</v>
      </c>
      <c r="G3654" t="s">
        <v>41</v>
      </c>
      <c r="H3654" t="s">
        <v>25</v>
      </c>
      <c r="I3654" s="1">
        <v>2</v>
      </c>
      <c r="J3654" s="2">
        <v>45816</v>
      </c>
      <c r="K3654" s="2">
        <v>45809</v>
      </c>
      <c r="L3654" s="1" t="str">
        <f t="shared" si="426"/>
        <v>dom</v>
      </c>
      <c r="M3654" s="1" t="str">
        <f t="shared" si="427"/>
        <v>jun</v>
      </c>
      <c r="N3654">
        <f t="shared" si="428"/>
        <v>2025</v>
      </c>
      <c r="O3654" s="2"/>
      <c r="P3654" t="str">
        <f t="shared" si="425"/>
        <v>174745816</v>
      </c>
    </row>
    <row r="3655" spans="1:16" x14ac:dyDescent="0.3">
      <c r="A3655">
        <v>1747</v>
      </c>
      <c r="B3655">
        <v>26</v>
      </c>
      <c r="C3655" t="s">
        <v>26</v>
      </c>
      <c r="D3655" t="s">
        <v>29</v>
      </c>
      <c r="E3655" t="s">
        <v>17</v>
      </c>
      <c r="F3655" t="s">
        <v>23</v>
      </c>
      <c r="G3655" t="s">
        <v>41</v>
      </c>
      <c r="H3655" t="s">
        <v>25</v>
      </c>
      <c r="I3655" s="1">
        <v>2</v>
      </c>
      <c r="J3655" s="2">
        <v>45824</v>
      </c>
      <c r="K3655" s="2">
        <v>45809</v>
      </c>
      <c r="L3655" s="1" t="str">
        <f t="shared" si="426"/>
        <v>seg</v>
      </c>
      <c r="M3655" s="1" t="str">
        <f t="shared" si="427"/>
        <v>jun</v>
      </c>
      <c r="N3655">
        <f t="shared" si="428"/>
        <v>2025</v>
      </c>
      <c r="O3655" s="2"/>
      <c r="P3655" t="str">
        <f t="shared" si="425"/>
        <v>174745824</v>
      </c>
    </row>
    <row r="3656" spans="1:16" x14ac:dyDescent="0.3">
      <c r="A3656">
        <v>1747</v>
      </c>
      <c r="B3656">
        <v>26</v>
      </c>
      <c r="C3656" t="s">
        <v>26</v>
      </c>
      <c r="D3656" t="s">
        <v>29</v>
      </c>
      <c r="E3656" t="s">
        <v>17</v>
      </c>
      <c r="F3656" t="s">
        <v>23</v>
      </c>
      <c r="G3656" t="s">
        <v>41</v>
      </c>
      <c r="H3656" t="s">
        <v>25</v>
      </c>
      <c r="I3656" s="1">
        <v>2</v>
      </c>
      <c r="J3656" s="2">
        <v>46094</v>
      </c>
      <c r="K3656" s="2">
        <v>46082</v>
      </c>
      <c r="L3656" s="1" t="str">
        <f t="shared" si="426"/>
        <v>sex</v>
      </c>
      <c r="M3656" s="1" t="str">
        <f t="shared" si="427"/>
        <v>mar</v>
      </c>
      <c r="N3656">
        <f t="shared" si="428"/>
        <v>2026</v>
      </c>
      <c r="O3656" s="2"/>
      <c r="P3656" t="str">
        <f t="shared" si="425"/>
        <v>174746094</v>
      </c>
    </row>
    <row r="3657" spans="1:16" x14ac:dyDescent="0.3">
      <c r="A3657">
        <v>1749</v>
      </c>
      <c r="B3657">
        <v>55</v>
      </c>
      <c r="C3657" t="s">
        <v>15</v>
      </c>
      <c r="D3657" t="s">
        <v>16</v>
      </c>
      <c r="E3657" t="s">
        <v>17</v>
      </c>
      <c r="F3657" t="s">
        <v>21</v>
      </c>
      <c r="G3657" t="s">
        <v>41</v>
      </c>
      <c r="H3657" t="s">
        <v>25</v>
      </c>
      <c r="I3657" s="1">
        <v>1</v>
      </c>
      <c r="J3657" s="2">
        <v>45850</v>
      </c>
      <c r="K3657" s="2">
        <v>45839</v>
      </c>
      <c r="L3657" s="1" t="str">
        <f t="shared" si="426"/>
        <v>sáb</v>
      </c>
      <c r="M3657" s="1" t="str">
        <f t="shared" si="427"/>
        <v>jul</v>
      </c>
      <c r="N3657">
        <f t="shared" si="428"/>
        <v>2025</v>
      </c>
      <c r="O3657" s="2"/>
      <c r="P3657" t="str">
        <f t="shared" si="425"/>
        <v>174945850</v>
      </c>
    </row>
    <row r="3658" spans="1:16" x14ac:dyDescent="0.3">
      <c r="A3658">
        <v>1749</v>
      </c>
      <c r="B3658">
        <v>55</v>
      </c>
      <c r="C3658" t="s">
        <v>15</v>
      </c>
      <c r="D3658" t="s">
        <v>16</v>
      </c>
      <c r="E3658" t="s">
        <v>17</v>
      </c>
      <c r="F3658" t="s">
        <v>21</v>
      </c>
      <c r="G3658" t="s">
        <v>42</v>
      </c>
      <c r="H3658" t="s">
        <v>25</v>
      </c>
      <c r="I3658" s="1">
        <v>1</v>
      </c>
      <c r="J3658" s="2">
        <v>45853</v>
      </c>
      <c r="K3658" s="2">
        <v>45839</v>
      </c>
      <c r="L3658" s="1" t="str">
        <f t="shared" si="426"/>
        <v>ter</v>
      </c>
      <c r="M3658" s="1" t="str">
        <f t="shared" si="427"/>
        <v>jul</v>
      </c>
      <c r="N3658">
        <f t="shared" si="428"/>
        <v>2025</v>
      </c>
      <c r="O3658" s="2"/>
      <c r="P3658" t="str">
        <f t="shared" si="425"/>
        <v>174945853</v>
      </c>
    </row>
    <row r="3659" spans="1:16" x14ac:dyDescent="0.3">
      <c r="A3659">
        <v>1749</v>
      </c>
      <c r="B3659">
        <v>55</v>
      </c>
      <c r="C3659" t="s">
        <v>15</v>
      </c>
      <c r="D3659" t="s">
        <v>16</v>
      </c>
      <c r="E3659" t="s">
        <v>17</v>
      </c>
      <c r="F3659" t="s">
        <v>21</v>
      </c>
      <c r="G3659" t="s">
        <v>42</v>
      </c>
      <c r="H3659" t="s">
        <v>25</v>
      </c>
      <c r="I3659" s="1">
        <v>1</v>
      </c>
      <c r="J3659" s="2">
        <v>45889</v>
      </c>
      <c r="K3659" s="2">
        <v>45870</v>
      </c>
      <c r="L3659" s="1" t="str">
        <f t="shared" si="426"/>
        <v>qua</v>
      </c>
      <c r="M3659" s="1" t="str">
        <f t="shared" si="427"/>
        <v>ago</v>
      </c>
      <c r="N3659">
        <f t="shared" si="428"/>
        <v>2025</v>
      </c>
      <c r="O3659" s="2"/>
      <c r="P3659" t="str">
        <f t="shared" si="425"/>
        <v>174945889</v>
      </c>
    </row>
    <row r="3660" spans="1:16" x14ac:dyDescent="0.3">
      <c r="A3660">
        <v>1749</v>
      </c>
      <c r="B3660">
        <v>55</v>
      </c>
      <c r="C3660" t="s">
        <v>15</v>
      </c>
      <c r="D3660" t="s">
        <v>16</v>
      </c>
      <c r="E3660" t="s">
        <v>17</v>
      </c>
      <c r="F3660" t="s">
        <v>21</v>
      </c>
      <c r="G3660" t="s">
        <v>42</v>
      </c>
      <c r="H3660" t="s">
        <v>25</v>
      </c>
      <c r="I3660" s="1">
        <v>1</v>
      </c>
      <c r="J3660" s="2">
        <v>46012</v>
      </c>
      <c r="K3660" s="2">
        <v>45992</v>
      </c>
      <c r="L3660" s="1" t="str">
        <f t="shared" si="426"/>
        <v>dom</v>
      </c>
      <c r="M3660" s="1" t="str">
        <f t="shared" si="427"/>
        <v>dez</v>
      </c>
      <c r="N3660">
        <f t="shared" si="428"/>
        <v>2025</v>
      </c>
      <c r="O3660" s="2"/>
      <c r="P3660" t="str">
        <f t="shared" si="425"/>
        <v>174946012</v>
      </c>
    </row>
    <row r="3661" spans="1:16" x14ac:dyDescent="0.3">
      <c r="A3661">
        <v>1749</v>
      </c>
      <c r="B3661">
        <v>55</v>
      </c>
      <c r="C3661" t="s">
        <v>15</v>
      </c>
      <c r="D3661" t="s">
        <v>16</v>
      </c>
      <c r="E3661" t="s">
        <v>17</v>
      </c>
      <c r="F3661" t="s">
        <v>21</v>
      </c>
      <c r="G3661" t="s">
        <v>41</v>
      </c>
      <c r="H3661" t="s">
        <v>25</v>
      </c>
      <c r="I3661" s="1">
        <v>1</v>
      </c>
      <c r="J3661" s="2">
        <v>46194</v>
      </c>
      <c r="K3661" s="2">
        <v>46023</v>
      </c>
      <c r="L3661" s="1" t="str">
        <f t="shared" si="426"/>
        <v>dom</v>
      </c>
      <c r="M3661" s="1" t="str">
        <f t="shared" si="427"/>
        <v>jun</v>
      </c>
      <c r="N3661">
        <f t="shared" si="428"/>
        <v>2026</v>
      </c>
      <c r="O3661" s="2"/>
      <c r="P3661" t="str">
        <f t="shared" si="425"/>
        <v>174946194</v>
      </c>
    </row>
    <row r="3662" spans="1:16" x14ac:dyDescent="0.3">
      <c r="A3662">
        <v>1749</v>
      </c>
      <c r="B3662">
        <v>55</v>
      </c>
      <c r="C3662" t="s">
        <v>15</v>
      </c>
      <c r="D3662" t="s">
        <v>16</v>
      </c>
      <c r="E3662" t="s">
        <v>17</v>
      </c>
      <c r="F3662" t="s">
        <v>21</v>
      </c>
      <c r="G3662" t="s">
        <v>41</v>
      </c>
      <c r="H3662" t="s">
        <v>25</v>
      </c>
      <c r="I3662" s="1">
        <v>1</v>
      </c>
      <c r="J3662" s="2">
        <v>46106</v>
      </c>
      <c r="K3662" s="2">
        <v>46082</v>
      </c>
      <c r="L3662" s="1" t="str">
        <f t="shared" si="426"/>
        <v>qua</v>
      </c>
      <c r="M3662" s="1" t="str">
        <f t="shared" si="427"/>
        <v>mar</v>
      </c>
      <c r="N3662">
        <f t="shared" si="428"/>
        <v>2026</v>
      </c>
      <c r="O3662" s="2"/>
      <c r="P3662" t="str">
        <f t="shared" si="425"/>
        <v>174946106</v>
      </c>
    </row>
    <row r="3663" spans="1:16" x14ac:dyDescent="0.3">
      <c r="A3663">
        <v>1750</v>
      </c>
      <c r="B3663">
        <v>54</v>
      </c>
      <c r="C3663" t="s">
        <v>26</v>
      </c>
      <c r="D3663" t="s">
        <v>27</v>
      </c>
      <c r="E3663" t="s">
        <v>17</v>
      </c>
      <c r="F3663" t="s">
        <v>21</v>
      </c>
      <c r="G3663" t="s">
        <v>42</v>
      </c>
      <c r="H3663" t="s">
        <v>25</v>
      </c>
      <c r="I3663" s="1">
        <v>2</v>
      </c>
      <c r="J3663" s="2">
        <v>45787</v>
      </c>
      <c r="K3663" s="2">
        <v>45778</v>
      </c>
      <c r="L3663" s="1" t="str">
        <f t="shared" si="426"/>
        <v>sáb</v>
      </c>
      <c r="M3663" s="1" t="str">
        <f t="shared" si="427"/>
        <v>mai</v>
      </c>
      <c r="N3663">
        <f t="shared" si="428"/>
        <v>2025</v>
      </c>
      <c r="O3663" s="2"/>
      <c r="P3663" t="str">
        <f t="shared" si="425"/>
        <v>175045787</v>
      </c>
    </row>
    <row r="3664" spans="1:16" x14ac:dyDescent="0.3">
      <c r="A3664">
        <v>1750</v>
      </c>
      <c r="B3664">
        <v>54</v>
      </c>
      <c r="C3664" t="s">
        <v>26</v>
      </c>
      <c r="D3664" t="s">
        <v>27</v>
      </c>
      <c r="E3664" t="s">
        <v>17</v>
      </c>
      <c r="F3664" t="s">
        <v>21</v>
      </c>
      <c r="G3664" t="s">
        <v>42</v>
      </c>
      <c r="H3664" t="s">
        <v>25</v>
      </c>
      <c r="I3664" s="1">
        <v>2</v>
      </c>
      <c r="J3664" s="2">
        <v>45902</v>
      </c>
      <c r="K3664" s="2">
        <v>45901</v>
      </c>
      <c r="L3664" s="1" t="str">
        <f t="shared" si="426"/>
        <v>ter</v>
      </c>
      <c r="M3664" s="1" t="str">
        <f t="shared" si="427"/>
        <v>set</v>
      </c>
      <c r="N3664">
        <f t="shared" si="428"/>
        <v>2025</v>
      </c>
      <c r="O3664" s="2"/>
      <c r="P3664" t="str">
        <f t="shared" si="425"/>
        <v>175045902</v>
      </c>
    </row>
    <row r="3665" spans="1:16" x14ac:dyDescent="0.3">
      <c r="A3665">
        <v>1750</v>
      </c>
      <c r="B3665">
        <v>54</v>
      </c>
      <c r="C3665" t="s">
        <v>26</v>
      </c>
      <c r="D3665" t="s">
        <v>27</v>
      </c>
      <c r="E3665" t="s">
        <v>17</v>
      </c>
      <c r="F3665" t="s">
        <v>21</v>
      </c>
      <c r="G3665" t="s">
        <v>42</v>
      </c>
      <c r="H3665" t="s">
        <v>25</v>
      </c>
      <c r="I3665" s="1">
        <v>2</v>
      </c>
      <c r="J3665" s="2">
        <v>45962</v>
      </c>
      <c r="K3665" s="2">
        <v>45962</v>
      </c>
      <c r="L3665" s="1" t="str">
        <f t="shared" si="426"/>
        <v>sáb</v>
      </c>
      <c r="M3665" s="1" t="str">
        <f t="shared" si="427"/>
        <v>nov</v>
      </c>
      <c r="N3665">
        <f t="shared" si="428"/>
        <v>2025</v>
      </c>
      <c r="O3665" s="2"/>
      <c r="P3665" t="str">
        <f t="shared" si="425"/>
        <v>175045962</v>
      </c>
    </row>
    <row r="3666" spans="1:16" x14ac:dyDescent="0.3">
      <c r="A3666">
        <v>1750</v>
      </c>
      <c r="B3666">
        <v>54</v>
      </c>
      <c r="C3666" t="s">
        <v>26</v>
      </c>
      <c r="D3666" t="s">
        <v>27</v>
      </c>
      <c r="E3666" t="s">
        <v>17</v>
      </c>
      <c r="F3666" t="s">
        <v>21</v>
      </c>
      <c r="G3666" t="s">
        <v>42</v>
      </c>
      <c r="H3666" t="s">
        <v>25</v>
      </c>
      <c r="I3666" s="1">
        <v>2</v>
      </c>
      <c r="J3666" s="2">
        <v>45980</v>
      </c>
      <c r="K3666" s="2">
        <v>45962</v>
      </c>
      <c r="L3666" s="1" t="str">
        <f t="shared" si="426"/>
        <v>qua</v>
      </c>
      <c r="M3666" s="1" t="str">
        <f t="shared" si="427"/>
        <v>nov</v>
      </c>
      <c r="N3666">
        <f t="shared" si="428"/>
        <v>2025</v>
      </c>
      <c r="O3666" s="2"/>
      <c r="P3666" t="str">
        <f t="shared" si="425"/>
        <v>175045980</v>
      </c>
    </row>
    <row r="3667" spans="1:16" x14ac:dyDescent="0.3">
      <c r="A3667">
        <v>1750</v>
      </c>
      <c r="B3667">
        <v>54</v>
      </c>
      <c r="C3667" t="s">
        <v>26</v>
      </c>
      <c r="D3667" t="s">
        <v>27</v>
      </c>
      <c r="E3667" t="s">
        <v>17</v>
      </c>
      <c r="F3667" t="s">
        <v>21</v>
      </c>
      <c r="G3667" t="s">
        <v>42</v>
      </c>
      <c r="H3667" t="s">
        <v>25</v>
      </c>
      <c r="I3667" s="1">
        <v>2</v>
      </c>
      <c r="J3667" s="2">
        <v>45998</v>
      </c>
      <c r="K3667" s="2">
        <v>45992</v>
      </c>
      <c r="L3667" s="1" t="str">
        <f t="shared" si="426"/>
        <v>dom</v>
      </c>
      <c r="M3667" s="1" t="str">
        <f t="shared" si="427"/>
        <v>dez</v>
      </c>
      <c r="N3667">
        <f t="shared" si="428"/>
        <v>2025</v>
      </c>
      <c r="O3667" s="2"/>
      <c r="P3667" t="str">
        <f t="shared" si="425"/>
        <v>175045998</v>
      </c>
    </row>
    <row r="3668" spans="1:16" x14ac:dyDescent="0.3">
      <c r="A3668">
        <v>1750</v>
      </c>
      <c r="B3668">
        <v>54</v>
      </c>
      <c r="C3668" t="s">
        <v>26</v>
      </c>
      <c r="D3668" t="s">
        <v>27</v>
      </c>
      <c r="E3668" t="s">
        <v>17</v>
      </c>
      <c r="F3668" t="s">
        <v>21</v>
      </c>
      <c r="G3668" t="s">
        <v>42</v>
      </c>
      <c r="H3668" t="s">
        <v>25</v>
      </c>
      <c r="I3668" s="1">
        <v>2</v>
      </c>
      <c r="J3668" s="2">
        <v>46106</v>
      </c>
      <c r="K3668" s="2">
        <v>46082</v>
      </c>
      <c r="L3668" s="1" t="str">
        <f t="shared" si="426"/>
        <v>qua</v>
      </c>
      <c r="M3668" s="1" t="str">
        <f t="shared" si="427"/>
        <v>mar</v>
      </c>
      <c r="N3668">
        <f t="shared" si="428"/>
        <v>2026</v>
      </c>
      <c r="O3668" s="2"/>
      <c r="P3668" t="str">
        <f t="shared" si="425"/>
        <v>175046106</v>
      </c>
    </row>
    <row r="3669" spans="1:16" x14ac:dyDescent="0.3">
      <c r="A3669">
        <v>1750</v>
      </c>
      <c r="B3669">
        <v>54</v>
      </c>
      <c r="C3669" t="s">
        <v>26</v>
      </c>
      <c r="D3669" t="s">
        <v>27</v>
      </c>
      <c r="E3669" t="s">
        <v>17</v>
      </c>
      <c r="F3669" t="s">
        <v>21</v>
      </c>
      <c r="G3669" t="s">
        <v>42</v>
      </c>
      <c r="H3669" t="s">
        <v>25</v>
      </c>
      <c r="I3669" s="1">
        <v>2</v>
      </c>
      <c r="J3669" s="2">
        <v>46152</v>
      </c>
      <c r="K3669" s="2">
        <v>46143</v>
      </c>
      <c r="L3669" s="1" t="s">
        <v>54</v>
      </c>
      <c r="M3669" s="1" t="s">
        <v>49</v>
      </c>
      <c r="N3669">
        <v>2025</v>
      </c>
      <c r="O3669" s="2"/>
      <c r="P3669" t="str">
        <f t="shared" si="425"/>
        <v>175046152</v>
      </c>
    </row>
    <row r="3670" spans="1:16" x14ac:dyDescent="0.3">
      <c r="A3670">
        <v>1751</v>
      </c>
      <c r="B3670">
        <v>43</v>
      </c>
      <c r="C3670" t="s">
        <v>26</v>
      </c>
      <c r="D3670" t="s">
        <v>29</v>
      </c>
      <c r="E3670" t="s">
        <v>17</v>
      </c>
      <c r="F3670" t="s">
        <v>21</v>
      </c>
      <c r="G3670" t="s">
        <v>57</v>
      </c>
      <c r="H3670" t="s">
        <v>20</v>
      </c>
      <c r="I3670" s="1">
        <v>1</v>
      </c>
      <c r="J3670" s="2">
        <v>45673</v>
      </c>
      <c r="K3670" s="2">
        <v>45658</v>
      </c>
      <c r="L3670" s="1" t="str">
        <f t="shared" ref="L3670:L3681" si="429">TEXT(J3670,"ddd")</f>
        <v>qui</v>
      </c>
      <c r="M3670" s="1" t="str">
        <f t="shared" ref="M3670:M3681" si="430">TEXT($J3670,"mmm")</f>
        <v>jan</v>
      </c>
      <c r="N3670">
        <f t="shared" ref="N3670:N3681" si="431">YEAR(J3670)</f>
        <v>2025</v>
      </c>
      <c r="O3670" s="2">
        <f>_xlfn.XLOOKUP(A3670,Colaboradores!$A:$A,Colaboradores!$S:$S,"",0)</f>
        <v>45831</v>
      </c>
      <c r="P3670" t="str">
        <f t="shared" si="425"/>
        <v>175145673</v>
      </c>
    </row>
    <row r="3671" spans="1:16" x14ac:dyDescent="0.3">
      <c r="A3671">
        <v>1751</v>
      </c>
      <c r="B3671">
        <v>43</v>
      </c>
      <c r="C3671" t="s">
        <v>26</v>
      </c>
      <c r="D3671" t="s">
        <v>29</v>
      </c>
      <c r="E3671" t="s">
        <v>17</v>
      </c>
      <c r="F3671" t="s">
        <v>21</v>
      </c>
      <c r="G3671" t="s">
        <v>44</v>
      </c>
      <c r="H3671" t="s">
        <v>20</v>
      </c>
      <c r="I3671" s="1">
        <v>1</v>
      </c>
      <c r="J3671" s="2">
        <v>45709</v>
      </c>
      <c r="K3671" s="2">
        <v>45689</v>
      </c>
      <c r="L3671" s="1" t="str">
        <f t="shared" si="429"/>
        <v>sex</v>
      </c>
      <c r="M3671" s="1" t="str">
        <f t="shared" si="430"/>
        <v>fev</v>
      </c>
      <c r="N3671">
        <f t="shared" si="431"/>
        <v>2025</v>
      </c>
      <c r="O3671" s="2">
        <f>_xlfn.XLOOKUP(A3671,Colaboradores!$A:$A,Colaboradores!$S:$S,"",0)</f>
        <v>45831</v>
      </c>
      <c r="P3671" t="str">
        <f t="shared" si="425"/>
        <v>175145709</v>
      </c>
    </row>
    <row r="3672" spans="1:16" x14ac:dyDescent="0.3">
      <c r="A3672">
        <v>1751</v>
      </c>
      <c r="B3672">
        <v>43</v>
      </c>
      <c r="C3672" t="s">
        <v>26</v>
      </c>
      <c r="D3672" t="s">
        <v>29</v>
      </c>
      <c r="E3672" t="s">
        <v>17</v>
      </c>
      <c r="F3672" t="s">
        <v>21</v>
      </c>
      <c r="G3672" t="s">
        <v>42</v>
      </c>
      <c r="H3672" t="s">
        <v>20</v>
      </c>
      <c r="I3672" s="1">
        <v>1</v>
      </c>
      <c r="J3672" s="2">
        <v>45797</v>
      </c>
      <c r="K3672" s="2">
        <v>45778</v>
      </c>
      <c r="L3672" s="1" t="str">
        <f t="shared" si="429"/>
        <v>ter</v>
      </c>
      <c r="M3672" s="1" t="str">
        <f t="shared" si="430"/>
        <v>mai</v>
      </c>
      <c r="N3672">
        <f t="shared" si="431"/>
        <v>2025</v>
      </c>
      <c r="O3672" s="2">
        <f>_xlfn.XLOOKUP(A3672,Colaboradores!$A:$A,Colaboradores!$S:$S,"",0)</f>
        <v>45831</v>
      </c>
      <c r="P3672" t="str">
        <f t="shared" si="425"/>
        <v>175145797</v>
      </c>
    </row>
    <row r="3673" spans="1:16" x14ac:dyDescent="0.3">
      <c r="A3673">
        <v>1751</v>
      </c>
      <c r="B3673">
        <v>43</v>
      </c>
      <c r="C3673" t="s">
        <v>26</v>
      </c>
      <c r="D3673" t="s">
        <v>29</v>
      </c>
      <c r="E3673" t="s">
        <v>17</v>
      </c>
      <c r="F3673" t="s">
        <v>21</v>
      </c>
      <c r="G3673" t="s">
        <v>42</v>
      </c>
      <c r="H3673" t="s">
        <v>20</v>
      </c>
      <c r="I3673" s="1">
        <v>1</v>
      </c>
      <c r="J3673" s="2">
        <v>45811</v>
      </c>
      <c r="K3673" s="2">
        <v>45809</v>
      </c>
      <c r="L3673" s="1" t="str">
        <f t="shared" si="429"/>
        <v>ter</v>
      </c>
      <c r="M3673" s="1" t="str">
        <f t="shared" si="430"/>
        <v>jun</v>
      </c>
      <c r="N3673">
        <f t="shared" si="431"/>
        <v>2025</v>
      </c>
      <c r="O3673" s="2">
        <f>_xlfn.XLOOKUP(A3673,Colaboradores!$A:$A,Colaboradores!$S:$S,"",0)</f>
        <v>45831</v>
      </c>
      <c r="P3673" t="str">
        <f t="shared" si="425"/>
        <v>175145811</v>
      </c>
    </row>
    <row r="3674" spans="1:16" x14ac:dyDescent="0.3">
      <c r="A3674">
        <v>1751</v>
      </c>
      <c r="B3674">
        <v>43</v>
      </c>
      <c r="C3674" t="s">
        <v>26</v>
      </c>
      <c r="D3674" t="s">
        <v>29</v>
      </c>
      <c r="E3674" t="s">
        <v>17</v>
      </c>
      <c r="F3674" t="s">
        <v>21</v>
      </c>
      <c r="G3674" t="s">
        <v>44</v>
      </c>
      <c r="H3674" t="s">
        <v>20</v>
      </c>
      <c r="I3674" s="1">
        <v>1</v>
      </c>
      <c r="J3674" s="2">
        <v>45826</v>
      </c>
      <c r="K3674" s="2">
        <v>45809</v>
      </c>
      <c r="L3674" s="1" t="str">
        <f t="shared" si="429"/>
        <v>qua</v>
      </c>
      <c r="M3674" s="1" t="str">
        <f t="shared" si="430"/>
        <v>jun</v>
      </c>
      <c r="N3674">
        <f t="shared" si="431"/>
        <v>2025</v>
      </c>
      <c r="O3674" s="2">
        <f>_xlfn.XLOOKUP(A3674,Colaboradores!$A:$A,Colaboradores!$S:$S,"",0)</f>
        <v>45831</v>
      </c>
      <c r="P3674" t="str">
        <f t="shared" si="425"/>
        <v>175145826</v>
      </c>
    </row>
    <row r="3675" spans="1:16" x14ac:dyDescent="0.3">
      <c r="A3675">
        <v>1751</v>
      </c>
      <c r="B3675">
        <v>43</v>
      </c>
      <c r="C3675" t="s">
        <v>26</v>
      </c>
      <c r="D3675" t="s">
        <v>29</v>
      </c>
      <c r="E3675" t="s">
        <v>17</v>
      </c>
      <c r="F3675" t="s">
        <v>21</v>
      </c>
      <c r="G3675" t="s">
        <v>42</v>
      </c>
      <c r="H3675" t="s">
        <v>20</v>
      </c>
      <c r="I3675" s="1">
        <v>1</v>
      </c>
      <c r="J3675" s="2">
        <v>45827</v>
      </c>
      <c r="K3675" s="2">
        <v>45809</v>
      </c>
      <c r="L3675" s="1" t="str">
        <f t="shared" si="429"/>
        <v>qui</v>
      </c>
      <c r="M3675" s="1" t="str">
        <f t="shared" si="430"/>
        <v>jun</v>
      </c>
      <c r="N3675">
        <f t="shared" si="431"/>
        <v>2025</v>
      </c>
      <c r="O3675" s="2">
        <f>_xlfn.XLOOKUP(A3675,Colaboradores!$A:$A,Colaboradores!$S:$S,"",0)</f>
        <v>45831</v>
      </c>
      <c r="P3675" t="str">
        <f t="shared" si="425"/>
        <v>175145827</v>
      </c>
    </row>
    <row r="3676" spans="1:16" x14ac:dyDescent="0.3">
      <c r="A3676">
        <v>1752</v>
      </c>
      <c r="B3676">
        <v>38</v>
      </c>
      <c r="C3676" t="s">
        <v>26</v>
      </c>
      <c r="D3676" t="s">
        <v>31</v>
      </c>
      <c r="E3676" t="s">
        <v>32</v>
      </c>
      <c r="F3676" t="s">
        <v>18</v>
      </c>
      <c r="G3676" t="s">
        <v>44</v>
      </c>
      <c r="H3676" t="s">
        <v>25</v>
      </c>
      <c r="I3676" s="1">
        <v>2</v>
      </c>
      <c r="J3676" s="2">
        <v>45763</v>
      </c>
      <c r="K3676" s="2">
        <v>45748</v>
      </c>
      <c r="L3676" s="1" t="str">
        <f t="shared" si="429"/>
        <v>qua</v>
      </c>
      <c r="M3676" s="1" t="str">
        <f t="shared" si="430"/>
        <v>abr</v>
      </c>
      <c r="N3676">
        <f t="shared" si="431"/>
        <v>2025</v>
      </c>
      <c r="O3676" s="2"/>
      <c r="P3676" t="str">
        <f t="shared" si="425"/>
        <v>175245763</v>
      </c>
    </row>
    <row r="3677" spans="1:16" x14ac:dyDescent="0.3">
      <c r="A3677">
        <v>1752</v>
      </c>
      <c r="B3677">
        <v>38</v>
      </c>
      <c r="C3677" t="s">
        <v>26</v>
      </c>
      <c r="D3677" t="s">
        <v>31</v>
      </c>
      <c r="E3677" t="s">
        <v>32</v>
      </c>
      <c r="F3677" t="s">
        <v>18</v>
      </c>
      <c r="G3677" t="s">
        <v>44</v>
      </c>
      <c r="H3677" t="s">
        <v>25</v>
      </c>
      <c r="I3677" s="1">
        <v>2</v>
      </c>
      <c r="J3677" s="2">
        <v>45766</v>
      </c>
      <c r="K3677" s="2">
        <v>45748</v>
      </c>
      <c r="L3677" s="1" t="str">
        <f t="shared" si="429"/>
        <v>sáb</v>
      </c>
      <c r="M3677" s="1" t="str">
        <f t="shared" si="430"/>
        <v>abr</v>
      </c>
      <c r="N3677">
        <f t="shared" si="431"/>
        <v>2025</v>
      </c>
      <c r="O3677" s="2"/>
      <c r="P3677" t="str">
        <f t="shared" si="425"/>
        <v>175245766</v>
      </c>
    </row>
    <row r="3678" spans="1:16" x14ac:dyDescent="0.3">
      <c r="A3678">
        <v>1752</v>
      </c>
      <c r="B3678">
        <v>38</v>
      </c>
      <c r="C3678" t="s">
        <v>26</v>
      </c>
      <c r="D3678" t="s">
        <v>31</v>
      </c>
      <c r="E3678" t="s">
        <v>32</v>
      </c>
      <c r="F3678" t="s">
        <v>18</v>
      </c>
      <c r="G3678" t="s">
        <v>44</v>
      </c>
      <c r="H3678" t="s">
        <v>25</v>
      </c>
      <c r="I3678" s="1">
        <v>2</v>
      </c>
      <c r="J3678" s="2">
        <v>45819</v>
      </c>
      <c r="K3678" s="2">
        <v>45809</v>
      </c>
      <c r="L3678" s="1" t="str">
        <f t="shared" si="429"/>
        <v>qua</v>
      </c>
      <c r="M3678" s="1" t="str">
        <f t="shared" si="430"/>
        <v>jun</v>
      </c>
      <c r="N3678">
        <f t="shared" si="431"/>
        <v>2025</v>
      </c>
      <c r="O3678" s="2"/>
      <c r="P3678" t="str">
        <f t="shared" si="425"/>
        <v>175245819</v>
      </c>
    </row>
    <row r="3679" spans="1:16" x14ac:dyDescent="0.3">
      <c r="A3679">
        <v>1752</v>
      </c>
      <c r="B3679">
        <v>38</v>
      </c>
      <c r="C3679" t="s">
        <v>26</v>
      </c>
      <c r="D3679" t="s">
        <v>31</v>
      </c>
      <c r="E3679" t="s">
        <v>32</v>
      </c>
      <c r="F3679" t="s">
        <v>18</v>
      </c>
      <c r="G3679" t="s">
        <v>44</v>
      </c>
      <c r="H3679" t="s">
        <v>25</v>
      </c>
      <c r="I3679" s="1">
        <v>2</v>
      </c>
      <c r="J3679" s="2">
        <v>46002</v>
      </c>
      <c r="K3679" s="2">
        <v>45992</v>
      </c>
      <c r="L3679" s="1" t="str">
        <f t="shared" si="429"/>
        <v>qui</v>
      </c>
      <c r="M3679" s="1" t="str">
        <f t="shared" si="430"/>
        <v>dez</v>
      </c>
      <c r="N3679">
        <f t="shared" si="431"/>
        <v>2025</v>
      </c>
      <c r="O3679" s="2"/>
      <c r="P3679" t="str">
        <f t="shared" si="425"/>
        <v>175246002</v>
      </c>
    </row>
    <row r="3680" spans="1:16" x14ac:dyDescent="0.3">
      <c r="A3680">
        <v>1752</v>
      </c>
      <c r="B3680">
        <v>38</v>
      </c>
      <c r="C3680" t="s">
        <v>26</v>
      </c>
      <c r="D3680" t="s">
        <v>31</v>
      </c>
      <c r="E3680" t="s">
        <v>32</v>
      </c>
      <c r="F3680" t="s">
        <v>18</v>
      </c>
      <c r="G3680" t="s">
        <v>44</v>
      </c>
      <c r="H3680" t="s">
        <v>25</v>
      </c>
      <c r="I3680" s="1">
        <v>2</v>
      </c>
      <c r="J3680" s="2">
        <v>46009</v>
      </c>
      <c r="K3680" s="2">
        <v>45992</v>
      </c>
      <c r="L3680" s="1" t="str">
        <f t="shared" si="429"/>
        <v>qui</v>
      </c>
      <c r="M3680" s="1" t="str">
        <f t="shared" si="430"/>
        <v>dez</v>
      </c>
      <c r="N3680">
        <f t="shared" si="431"/>
        <v>2025</v>
      </c>
      <c r="O3680" s="2"/>
      <c r="P3680" t="str">
        <f t="shared" si="425"/>
        <v>175246009</v>
      </c>
    </row>
    <row r="3681" spans="1:16" x14ac:dyDescent="0.3">
      <c r="A3681">
        <v>1752</v>
      </c>
      <c r="B3681">
        <v>38</v>
      </c>
      <c r="C3681" t="s">
        <v>26</v>
      </c>
      <c r="D3681" t="s">
        <v>31</v>
      </c>
      <c r="E3681" t="s">
        <v>32</v>
      </c>
      <c r="F3681" t="s">
        <v>18</v>
      </c>
      <c r="G3681" t="s">
        <v>44</v>
      </c>
      <c r="H3681" t="s">
        <v>25</v>
      </c>
      <c r="I3681" s="1">
        <v>2</v>
      </c>
      <c r="J3681" s="2">
        <v>46106</v>
      </c>
      <c r="K3681" s="2">
        <v>46082</v>
      </c>
      <c r="L3681" s="1" t="str">
        <f t="shared" si="429"/>
        <v>qua</v>
      </c>
      <c r="M3681" s="1" t="str">
        <f t="shared" si="430"/>
        <v>mar</v>
      </c>
      <c r="N3681">
        <f t="shared" si="431"/>
        <v>2026</v>
      </c>
      <c r="O3681" s="2"/>
      <c r="P3681" t="str">
        <f t="shared" si="425"/>
        <v>175246106</v>
      </c>
    </row>
    <row r="3682" spans="1:16" x14ac:dyDescent="0.3">
      <c r="A3682">
        <v>1752</v>
      </c>
      <c r="B3682">
        <v>38</v>
      </c>
      <c r="C3682" t="s">
        <v>26</v>
      </c>
      <c r="D3682" t="s">
        <v>31</v>
      </c>
      <c r="E3682" t="s">
        <v>32</v>
      </c>
      <c r="F3682" t="s">
        <v>18</v>
      </c>
      <c r="G3682" t="s">
        <v>44</v>
      </c>
      <c r="H3682" t="s">
        <v>25</v>
      </c>
      <c r="I3682" s="1">
        <v>2</v>
      </c>
      <c r="J3682" s="2">
        <v>46128</v>
      </c>
      <c r="K3682" s="2">
        <v>46113</v>
      </c>
      <c r="L3682" s="1" t="s">
        <v>51</v>
      </c>
      <c r="M3682" s="1" t="s">
        <v>48</v>
      </c>
      <c r="N3682">
        <v>2025</v>
      </c>
      <c r="O3682" s="2"/>
      <c r="P3682" t="str">
        <f t="shared" si="425"/>
        <v>175246128</v>
      </c>
    </row>
    <row r="3683" spans="1:16" x14ac:dyDescent="0.3">
      <c r="A3683">
        <v>1752</v>
      </c>
      <c r="B3683">
        <v>38</v>
      </c>
      <c r="C3683" t="s">
        <v>26</v>
      </c>
      <c r="D3683" t="s">
        <v>31</v>
      </c>
      <c r="E3683" t="s">
        <v>32</v>
      </c>
      <c r="F3683" t="s">
        <v>18</v>
      </c>
      <c r="G3683" t="s">
        <v>44</v>
      </c>
      <c r="H3683" t="s">
        <v>25</v>
      </c>
      <c r="I3683" s="1">
        <v>2</v>
      </c>
      <c r="J3683" s="2">
        <v>46131</v>
      </c>
      <c r="K3683" s="2">
        <v>46113</v>
      </c>
      <c r="L3683" s="1" t="s">
        <v>54</v>
      </c>
      <c r="M3683" s="1" t="s">
        <v>48</v>
      </c>
      <c r="N3683">
        <v>2025</v>
      </c>
      <c r="O3683" s="2"/>
      <c r="P3683" t="str">
        <f t="shared" si="425"/>
        <v>175246131</v>
      </c>
    </row>
    <row r="3684" spans="1:16" x14ac:dyDescent="0.3">
      <c r="A3684">
        <v>1752</v>
      </c>
      <c r="B3684">
        <v>38</v>
      </c>
      <c r="C3684" t="s">
        <v>26</v>
      </c>
      <c r="D3684" t="s">
        <v>31</v>
      </c>
      <c r="E3684" t="s">
        <v>32</v>
      </c>
      <c r="F3684" t="s">
        <v>18</v>
      </c>
      <c r="G3684" t="s">
        <v>44</v>
      </c>
      <c r="H3684" t="s">
        <v>25</v>
      </c>
      <c r="I3684" s="1">
        <v>2</v>
      </c>
      <c r="J3684" s="2">
        <v>46145</v>
      </c>
      <c r="K3684" s="2">
        <v>46143</v>
      </c>
      <c r="L3684" s="1" t="str">
        <f t="shared" ref="L3684:L3695" si="432">TEXT(J3684,"ddd")</f>
        <v>dom</v>
      </c>
      <c r="M3684" s="1" t="str">
        <f t="shared" ref="M3684:M3695" si="433">TEXT($J3684,"mmm")</f>
        <v>mai</v>
      </c>
      <c r="N3684">
        <f t="shared" ref="N3684:N3695" si="434">YEAR(J3684)</f>
        <v>2026</v>
      </c>
      <c r="O3684" s="2"/>
      <c r="P3684" t="str">
        <f t="shared" si="425"/>
        <v>175246145</v>
      </c>
    </row>
    <row r="3685" spans="1:16" x14ac:dyDescent="0.3">
      <c r="A3685">
        <v>1753</v>
      </c>
      <c r="B3685">
        <v>24</v>
      </c>
      <c r="C3685" t="s">
        <v>15</v>
      </c>
      <c r="D3685" t="s">
        <v>16</v>
      </c>
      <c r="E3685" t="s">
        <v>17</v>
      </c>
      <c r="F3685" t="s">
        <v>18</v>
      </c>
      <c r="G3685" t="s">
        <v>41</v>
      </c>
      <c r="H3685" t="s">
        <v>20</v>
      </c>
      <c r="I3685" s="1">
        <v>2</v>
      </c>
      <c r="J3685" s="2">
        <v>45673</v>
      </c>
      <c r="K3685" s="2">
        <v>45658</v>
      </c>
      <c r="L3685" s="1" t="str">
        <f t="shared" si="432"/>
        <v>qui</v>
      </c>
      <c r="M3685" s="1" t="str">
        <f t="shared" si="433"/>
        <v>jan</v>
      </c>
      <c r="N3685">
        <f t="shared" si="434"/>
        <v>2025</v>
      </c>
      <c r="O3685" s="2">
        <f>_xlfn.XLOOKUP(A3685,Colaboradores!$A:$A,Colaboradores!$S:$S,"",0)</f>
        <v>45784</v>
      </c>
      <c r="P3685" t="str">
        <f t="shared" si="425"/>
        <v>175345673</v>
      </c>
    </row>
    <row r="3686" spans="1:16" x14ac:dyDescent="0.3">
      <c r="A3686">
        <v>1753</v>
      </c>
      <c r="B3686">
        <v>24</v>
      </c>
      <c r="C3686" t="s">
        <v>15</v>
      </c>
      <c r="D3686" t="s">
        <v>16</v>
      </c>
      <c r="E3686" t="s">
        <v>17</v>
      </c>
      <c r="F3686" t="s">
        <v>18</v>
      </c>
      <c r="G3686" t="s">
        <v>41</v>
      </c>
      <c r="H3686" t="s">
        <v>20</v>
      </c>
      <c r="I3686" s="1">
        <v>2</v>
      </c>
      <c r="J3686" s="2">
        <v>45709</v>
      </c>
      <c r="K3686" s="2">
        <v>45689</v>
      </c>
      <c r="L3686" s="1" t="str">
        <f t="shared" si="432"/>
        <v>sex</v>
      </c>
      <c r="M3686" s="1" t="str">
        <f t="shared" si="433"/>
        <v>fev</v>
      </c>
      <c r="N3686">
        <f t="shared" si="434"/>
        <v>2025</v>
      </c>
      <c r="O3686" s="2">
        <f>_xlfn.XLOOKUP(A3686,Colaboradores!$A:$A,Colaboradores!$S:$S,"",0)</f>
        <v>45784</v>
      </c>
      <c r="P3686" t="str">
        <f t="shared" si="425"/>
        <v>175345709</v>
      </c>
    </row>
    <row r="3687" spans="1:16" x14ac:dyDescent="0.3">
      <c r="A3687">
        <v>1753</v>
      </c>
      <c r="B3687">
        <v>24</v>
      </c>
      <c r="C3687" t="s">
        <v>15</v>
      </c>
      <c r="D3687" t="s">
        <v>16</v>
      </c>
      <c r="E3687" t="s">
        <v>17</v>
      </c>
      <c r="F3687" t="s">
        <v>18</v>
      </c>
      <c r="G3687" t="s">
        <v>41</v>
      </c>
      <c r="H3687" t="s">
        <v>20</v>
      </c>
      <c r="I3687" s="1">
        <v>2</v>
      </c>
      <c r="J3687" s="2">
        <v>45771</v>
      </c>
      <c r="K3687" s="2">
        <v>45748</v>
      </c>
      <c r="L3687" s="1" t="str">
        <f t="shared" si="432"/>
        <v>qui</v>
      </c>
      <c r="M3687" s="1" t="str">
        <f t="shared" si="433"/>
        <v>abr</v>
      </c>
      <c r="N3687">
        <f t="shared" si="434"/>
        <v>2025</v>
      </c>
      <c r="O3687" s="2">
        <f>_xlfn.XLOOKUP(A3687,Colaboradores!$A:$A,Colaboradores!$S:$S,"",0)</f>
        <v>45784</v>
      </c>
      <c r="P3687" t="str">
        <f t="shared" si="425"/>
        <v>175345771</v>
      </c>
    </row>
    <row r="3688" spans="1:16" x14ac:dyDescent="0.3">
      <c r="A3688">
        <v>1753</v>
      </c>
      <c r="B3688">
        <v>24</v>
      </c>
      <c r="C3688" t="s">
        <v>15</v>
      </c>
      <c r="D3688" t="s">
        <v>16</v>
      </c>
      <c r="E3688" t="s">
        <v>17</v>
      </c>
      <c r="F3688" t="s">
        <v>18</v>
      </c>
      <c r="G3688" t="s">
        <v>44</v>
      </c>
      <c r="H3688" t="s">
        <v>20</v>
      </c>
      <c r="I3688" s="1">
        <v>2</v>
      </c>
      <c r="J3688" s="2">
        <v>45772</v>
      </c>
      <c r="K3688" s="2">
        <v>45748</v>
      </c>
      <c r="L3688" s="1" t="str">
        <f t="shared" si="432"/>
        <v>sex</v>
      </c>
      <c r="M3688" s="1" t="str">
        <f t="shared" si="433"/>
        <v>abr</v>
      </c>
      <c r="N3688">
        <f t="shared" si="434"/>
        <v>2025</v>
      </c>
      <c r="O3688" s="2">
        <f>_xlfn.XLOOKUP(A3688,Colaboradores!$A:$A,Colaboradores!$S:$S,"",0)</f>
        <v>45784</v>
      </c>
      <c r="P3688" t="str">
        <f t="shared" si="425"/>
        <v>175345772</v>
      </c>
    </row>
    <row r="3689" spans="1:16" x14ac:dyDescent="0.3">
      <c r="A3689">
        <v>1753</v>
      </c>
      <c r="B3689">
        <v>24</v>
      </c>
      <c r="C3689" t="s">
        <v>15</v>
      </c>
      <c r="D3689" t="s">
        <v>16</v>
      </c>
      <c r="E3689" t="s">
        <v>17</v>
      </c>
      <c r="F3689" t="s">
        <v>18</v>
      </c>
      <c r="G3689" t="s">
        <v>57</v>
      </c>
      <c r="H3689" t="s">
        <v>20</v>
      </c>
      <c r="I3689" s="1">
        <v>2</v>
      </c>
      <c r="J3689" s="2">
        <v>45773</v>
      </c>
      <c r="K3689" s="2">
        <v>45748</v>
      </c>
      <c r="L3689" s="1" t="str">
        <f t="shared" si="432"/>
        <v>sáb</v>
      </c>
      <c r="M3689" s="1" t="str">
        <f t="shared" si="433"/>
        <v>abr</v>
      </c>
      <c r="N3689">
        <f t="shared" si="434"/>
        <v>2025</v>
      </c>
      <c r="O3689" s="2">
        <f>_xlfn.XLOOKUP(A3689,Colaboradores!$A:$A,Colaboradores!$S:$S,"",0)</f>
        <v>45784</v>
      </c>
      <c r="P3689" t="str">
        <f t="shared" si="425"/>
        <v>175345773</v>
      </c>
    </row>
    <row r="3690" spans="1:16" x14ac:dyDescent="0.3">
      <c r="A3690">
        <v>1753</v>
      </c>
      <c r="B3690">
        <v>24</v>
      </c>
      <c r="C3690" t="s">
        <v>15</v>
      </c>
      <c r="D3690" t="s">
        <v>16</v>
      </c>
      <c r="E3690" t="s">
        <v>17</v>
      </c>
      <c r="F3690" t="s">
        <v>18</v>
      </c>
      <c r="G3690" t="s">
        <v>41</v>
      </c>
      <c r="H3690" t="s">
        <v>20</v>
      </c>
      <c r="I3690" s="1">
        <v>2</v>
      </c>
      <c r="J3690" s="2">
        <v>45778</v>
      </c>
      <c r="K3690" s="2">
        <v>45778</v>
      </c>
      <c r="L3690" s="1" t="str">
        <f t="shared" si="432"/>
        <v>qui</v>
      </c>
      <c r="M3690" s="1" t="str">
        <f t="shared" si="433"/>
        <v>mai</v>
      </c>
      <c r="N3690">
        <f t="shared" si="434"/>
        <v>2025</v>
      </c>
      <c r="O3690" s="2">
        <f>_xlfn.XLOOKUP(A3690,Colaboradores!$A:$A,Colaboradores!$S:$S,"",0)</f>
        <v>45784</v>
      </c>
      <c r="P3690" t="str">
        <f t="shared" si="425"/>
        <v>175345778</v>
      </c>
    </row>
    <row r="3691" spans="1:16" x14ac:dyDescent="0.3">
      <c r="A3691">
        <v>1754</v>
      </c>
      <c r="B3691">
        <v>28</v>
      </c>
      <c r="C3691" t="s">
        <v>26</v>
      </c>
      <c r="D3691" t="s">
        <v>31</v>
      </c>
      <c r="E3691" t="s">
        <v>34</v>
      </c>
      <c r="F3691" t="s">
        <v>18</v>
      </c>
      <c r="G3691" t="s">
        <v>41</v>
      </c>
      <c r="H3691" t="s">
        <v>25</v>
      </c>
      <c r="I3691" s="1">
        <v>3</v>
      </c>
      <c r="J3691" s="2">
        <v>45775</v>
      </c>
      <c r="K3691" s="2">
        <v>45748</v>
      </c>
      <c r="L3691" s="1" t="str">
        <f t="shared" si="432"/>
        <v>seg</v>
      </c>
      <c r="M3691" s="1" t="str">
        <f t="shared" si="433"/>
        <v>abr</v>
      </c>
      <c r="N3691">
        <f t="shared" si="434"/>
        <v>2025</v>
      </c>
      <c r="O3691" s="2"/>
      <c r="P3691" t="str">
        <f t="shared" si="425"/>
        <v>175445775</v>
      </c>
    </row>
    <row r="3692" spans="1:16" x14ac:dyDescent="0.3">
      <c r="A3692">
        <v>1754</v>
      </c>
      <c r="B3692">
        <v>28</v>
      </c>
      <c r="C3692" t="s">
        <v>26</v>
      </c>
      <c r="D3692" t="s">
        <v>31</v>
      </c>
      <c r="E3692" t="s">
        <v>34</v>
      </c>
      <c r="F3692" t="s">
        <v>18</v>
      </c>
      <c r="G3692" t="s">
        <v>41</v>
      </c>
      <c r="H3692" t="s">
        <v>25</v>
      </c>
      <c r="I3692" s="1">
        <v>3</v>
      </c>
      <c r="J3692" s="2">
        <v>45876</v>
      </c>
      <c r="K3692" s="2">
        <v>45870</v>
      </c>
      <c r="L3692" s="1" t="str">
        <f t="shared" si="432"/>
        <v>qui</v>
      </c>
      <c r="M3692" s="1" t="str">
        <f t="shared" si="433"/>
        <v>ago</v>
      </c>
      <c r="N3692">
        <f t="shared" si="434"/>
        <v>2025</v>
      </c>
      <c r="O3692" s="2"/>
      <c r="P3692" t="str">
        <f t="shared" si="425"/>
        <v>175445876</v>
      </c>
    </row>
    <row r="3693" spans="1:16" x14ac:dyDescent="0.3">
      <c r="A3693">
        <v>1754</v>
      </c>
      <c r="B3693">
        <v>28</v>
      </c>
      <c r="C3693" t="s">
        <v>26</v>
      </c>
      <c r="D3693" t="s">
        <v>31</v>
      </c>
      <c r="E3693" t="s">
        <v>34</v>
      </c>
      <c r="F3693" t="s">
        <v>18</v>
      </c>
      <c r="G3693" t="s">
        <v>41</v>
      </c>
      <c r="H3693" t="s">
        <v>25</v>
      </c>
      <c r="I3693" s="1">
        <v>3</v>
      </c>
      <c r="J3693" s="2">
        <v>45974</v>
      </c>
      <c r="K3693" s="2">
        <v>45962</v>
      </c>
      <c r="L3693" s="1" t="str">
        <f t="shared" si="432"/>
        <v>qui</v>
      </c>
      <c r="M3693" s="1" t="str">
        <f t="shared" si="433"/>
        <v>nov</v>
      </c>
      <c r="N3693">
        <f t="shared" si="434"/>
        <v>2025</v>
      </c>
      <c r="O3693" s="2"/>
      <c r="P3693" t="str">
        <f t="shared" si="425"/>
        <v>175445974</v>
      </c>
    </row>
    <row r="3694" spans="1:16" x14ac:dyDescent="0.3">
      <c r="A3694">
        <v>1754</v>
      </c>
      <c r="B3694">
        <v>28</v>
      </c>
      <c r="C3694" t="s">
        <v>26</v>
      </c>
      <c r="D3694" t="s">
        <v>31</v>
      </c>
      <c r="E3694" t="s">
        <v>34</v>
      </c>
      <c r="F3694" t="s">
        <v>18</v>
      </c>
      <c r="G3694" t="s">
        <v>41</v>
      </c>
      <c r="H3694" t="s">
        <v>25</v>
      </c>
      <c r="I3694" s="1">
        <v>3</v>
      </c>
      <c r="J3694" s="2">
        <v>45979</v>
      </c>
      <c r="K3694" s="2">
        <v>45962</v>
      </c>
      <c r="L3694" s="1" t="str">
        <f t="shared" si="432"/>
        <v>ter</v>
      </c>
      <c r="M3694" s="1" t="str">
        <f t="shared" si="433"/>
        <v>nov</v>
      </c>
      <c r="N3694">
        <f t="shared" si="434"/>
        <v>2025</v>
      </c>
      <c r="O3694" s="2"/>
      <c r="P3694" t="str">
        <f t="shared" si="425"/>
        <v>175445979</v>
      </c>
    </row>
    <row r="3695" spans="1:16" x14ac:dyDescent="0.3">
      <c r="A3695">
        <v>1754</v>
      </c>
      <c r="B3695">
        <v>28</v>
      </c>
      <c r="C3695" t="s">
        <v>26</v>
      </c>
      <c r="D3695" t="s">
        <v>31</v>
      </c>
      <c r="E3695" t="s">
        <v>34</v>
      </c>
      <c r="F3695" t="s">
        <v>18</v>
      </c>
      <c r="G3695" t="s">
        <v>41</v>
      </c>
      <c r="H3695" t="s">
        <v>25</v>
      </c>
      <c r="I3695" s="1">
        <v>3</v>
      </c>
      <c r="J3695" s="2">
        <v>46057</v>
      </c>
      <c r="K3695" s="2">
        <v>46054</v>
      </c>
      <c r="L3695" s="1" t="str">
        <f t="shared" si="432"/>
        <v>qua</v>
      </c>
      <c r="M3695" s="1" t="str">
        <f t="shared" si="433"/>
        <v>fev</v>
      </c>
      <c r="N3695">
        <f t="shared" si="434"/>
        <v>2026</v>
      </c>
      <c r="O3695" s="2"/>
      <c r="P3695" t="str">
        <f t="shared" si="425"/>
        <v>175446057</v>
      </c>
    </row>
    <row r="3696" spans="1:16" x14ac:dyDescent="0.3">
      <c r="A3696">
        <v>1754</v>
      </c>
      <c r="B3696">
        <v>28</v>
      </c>
      <c r="C3696" t="s">
        <v>26</v>
      </c>
      <c r="D3696" t="s">
        <v>31</v>
      </c>
      <c r="E3696" t="s">
        <v>34</v>
      </c>
      <c r="F3696" t="s">
        <v>18</v>
      </c>
      <c r="G3696" t="s">
        <v>41</v>
      </c>
      <c r="H3696" t="s">
        <v>25</v>
      </c>
      <c r="I3696" s="1">
        <v>3</v>
      </c>
      <c r="J3696" s="2">
        <v>46140</v>
      </c>
      <c r="K3696" s="2">
        <v>46113</v>
      </c>
      <c r="L3696" s="1" t="s">
        <v>56</v>
      </c>
      <c r="M3696" s="1" t="s">
        <v>48</v>
      </c>
      <c r="N3696">
        <v>2025</v>
      </c>
      <c r="O3696" s="2"/>
      <c r="P3696" t="str">
        <f t="shared" si="425"/>
        <v>175446140</v>
      </c>
    </row>
    <row r="3697" spans="1:16" x14ac:dyDescent="0.3">
      <c r="A3697">
        <v>1756</v>
      </c>
      <c r="B3697">
        <v>41</v>
      </c>
      <c r="C3697" t="s">
        <v>26</v>
      </c>
      <c r="D3697" t="s">
        <v>29</v>
      </c>
      <c r="E3697" t="s">
        <v>17</v>
      </c>
      <c r="F3697" t="s">
        <v>18</v>
      </c>
      <c r="G3697" t="s">
        <v>41</v>
      </c>
      <c r="H3697" t="s">
        <v>25</v>
      </c>
      <c r="I3697" s="1">
        <v>3</v>
      </c>
      <c r="J3697" s="2">
        <v>45851</v>
      </c>
      <c r="K3697" s="2">
        <v>45839</v>
      </c>
      <c r="L3697" s="1" t="str">
        <f t="shared" ref="L3697:L3728" si="435">TEXT(J3697,"ddd")</f>
        <v>dom</v>
      </c>
      <c r="M3697" s="1" t="str">
        <f t="shared" ref="M3697:M3728" si="436">TEXT($J3697,"mmm")</f>
        <v>jul</v>
      </c>
      <c r="N3697">
        <f t="shared" ref="N3697:N3728" si="437">YEAR(J3697)</f>
        <v>2025</v>
      </c>
      <c r="O3697" s="2"/>
      <c r="P3697" t="str">
        <f t="shared" si="425"/>
        <v>175645851</v>
      </c>
    </row>
    <row r="3698" spans="1:16" x14ac:dyDescent="0.3">
      <c r="A3698">
        <v>1756</v>
      </c>
      <c r="B3698">
        <v>41</v>
      </c>
      <c r="C3698" t="s">
        <v>26</v>
      </c>
      <c r="D3698" t="s">
        <v>29</v>
      </c>
      <c r="E3698" t="s">
        <v>17</v>
      </c>
      <c r="F3698" t="s">
        <v>18</v>
      </c>
      <c r="G3698" t="s">
        <v>41</v>
      </c>
      <c r="H3698" t="s">
        <v>25</v>
      </c>
      <c r="I3698" s="1">
        <v>3</v>
      </c>
      <c r="J3698" s="2">
        <v>45941</v>
      </c>
      <c r="K3698" s="2">
        <v>45931</v>
      </c>
      <c r="L3698" s="1" t="str">
        <f t="shared" si="435"/>
        <v>sáb</v>
      </c>
      <c r="M3698" s="1" t="str">
        <f t="shared" si="436"/>
        <v>out</v>
      </c>
      <c r="N3698">
        <f t="shared" si="437"/>
        <v>2025</v>
      </c>
      <c r="O3698" s="2"/>
      <c r="P3698" t="str">
        <f t="shared" si="425"/>
        <v>175645941</v>
      </c>
    </row>
    <row r="3699" spans="1:16" x14ac:dyDescent="0.3">
      <c r="A3699">
        <v>1756</v>
      </c>
      <c r="B3699">
        <v>41</v>
      </c>
      <c r="C3699" t="s">
        <v>26</v>
      </c>
      <c r="D3699" t="s">
        <v>29</v>
      </c>
      <c r="E3699" t="s">
        <v>17</v>
      </c>
      <c r="F3699" t="s">
        <v>18</v>
      </c>
      <c r="G3699" t="s">
        <v>41</v>
      </c>
      <c r="H3699" t="s">
        <v>25</v>
      </c>
      <c r="I3699" s="1">
        <v>3</v>
      </c>
      <c r="J3699" s="2">
        <v>45944</v>
      </c>
      <c r="K3699" s="2">
        <v>45931</v>
      </c>
      <c r="L3699" s="1" t="str">
        <f t="shared" si="435"/>
        <v>ter</v>
      </c>
      <c r="M3699" s="1" t="str">
        <f t="shared" si="436"/>
        <v>out</v>
      </c>
      <c r="N3699">
        <f t="shared" si="437"/>
        <v>2025</v>
      </c>
      <c r="O3699" s="2"/>
      <c r="P3699" t="str">
        <f t="shared" si="425"/>
        <v>175645944</v>
      </c>
    </row>
    <row r="3700" spans="1:16" x14ac:dyDescent="0.3">
      <c r="A3700">
        <v>1756</v>
      </c>
      <c r="B3700">
        <v>41</v>
      </c>
      <c r="C3700" t="s">
        <v>26</v>
      </c>
      <c r="D3700" t="s">
        <v>29</v>
      </c>
      <c r="E3700" t="s">
        <v>17</v>
      </c>
      <c r="F3700" t="s">
        <v>18</v>
      </c>
      <c r="G3700" t="s">
        <v>41</v>
      </c>
      <c r="H3700" t="s">
        <v>25</v>
      </c>
      <c r="I3700" s="1">
        <v>3</v>
      </c>
      <c r="J3700" s="2">
        <v>46178</v>
      </c>
      <c r="K3700" s="2">
        <v>46023</v>
      </c>
      <c r="L3700" s="1" t="str">
        <f t="shared" si="435"/>
        <v>sex</v>
      </c>
      <c r="M3700" s="1" t="str">
        <f t="shared" si="436"/>
        <v>jun</v>
      </c>
      <c r="N3700">
        <f t="shared" si="437"/>
        <v>2026</v>
      </c>
      <c r="O3700" s="2"/>
      <c r="P3700" t="str">
        <f t="shared" si="425"/>
        <v>175646178</v>
      </c>
    </row>
    <row r="3701" spans="1:16" x14ac:dyDescent="0.3">
      <c r="A3701">
        <v>1757</v>
      </c>
      <c r="B3701">
        <v>53</v>
      </c>
      <c r="C3701" t="s">
        <v>26</v>
      </c>
      <c r="D3701" t="s">
        <v>22</v>
      </c>
      <c r="E3701" t="s">
        <v>17</v>
      </c>
      <c r="F3701" t="s">
        <v>21</v>
      </c>
      <c r="G3701" t="s">
        <v>43</v>
      </c>
      <c r="H3701" t="s">
        <v>25</v>
      </c>
      <c r="I3701" s="1">
        <v>2</v>
      </c>
      <c r="J3701" s="2">
        <v>45823</v>
      </c>
      <c r="K3701" s="2">
        <v>45809</v>
      </c>
      <c r="L3701" s="1" t="str">
        <f t="shared" si="435"/>
        <v>dom</v>
      </c>
      <c r="M3701" s="1" t="str">
        <f t="shared" si="436"/>
        <v>jun</v>
      </c>
      <c r="N3701">
        <f t="shared" si="437"/>
        <v>2025</v>
      </c>
      <c r="O3701" s="2"/>
      <c r="P3701" t="str">
        <f t="shared" si="425"/>
        <v>175745823</v>
      </c>
    </row>
    <row r="3702" spans="1:16" x14ac:dyDescent="0.3">
      <c r="A3702">
        <v>1757</v>
      </c>
      <c r="B3702">
        <v>53</v>
      </c>
      <c r="C3702" t="s">
        <v>26</v>
      </c>
      <c r="D3702" t="s">
        <v>22</v>
      </c>
      <c r="E3702" t="s">
        <v>17</v>
      </c>
      <c r="F3702" t="s">
        <v>21</v>
      </c>
      <c r="G3702" t="s">
        <v>43</v>
      </c>
      <c r="H3702" t="s">
        <v>25</v>
      </c>
      <c r="I3702" s="1">
        <v>2</v>
      </c>
      <c r="J3702" s="2">
        <v>45846</v>
      </c>
      <c r="K3702" s="2">
        <v>45839</v>
      </c>
      <c r="L3702" s="1" t="str">
        <f t="shared" si="435"/>
        <v>ter</v>
      </c>
      <c r="M3702" s="1" t="str">
        <f t="shared" si="436"/>
        <v>jul</v>
      </c>
      <c r="N3702">
        <f t="shared" si="437"/>
        <v>2025</v>
      </c>
      <c r="O3702" s="2"/>
      <c r="P3702" t="str">
        <f t="shared" si="425"/>
        <v>175745846</v>
      </c>
    </row>
    <row r="3703" spans="1:16" x14ac:dyDescent="0.3">
      <c r="A3703">
        <v>1757</v>
      </c>
      <c r="B3703">
        <v>53</v>
      </c>
      <c r="C3703" t="s">
        <v>26</v>
      </c>
      <c r="D3703" t="s">
        <v>22</v>
      </c>
      <c r="E3703" t="s">
        <v>17</v>
      </c>
      <c r="F3703" t="s">
        <v>21</v>
      </c>
      <c r="G3703" t="s">
        <v>43</v>
      </c>
      <c r="H3703" t="s">
        <v>25</v>
      </c>
      <c r="I3703" s="1">
        <v>2</v>
      </c>
      <c r="J3703" s="2">
        <v>45902</v>
      </c>
      <c r="K3703" s="2">
        <v>45901</v>
      </c>
      <c r="L3703" s="1" t="str">
        <f t="shared" si="435"/>
        <v>ter</v>
      </c>
      <c r="M3703" s="1" t="str">
        <f t="shared" si="436"/>
        <v>set</v>
      </c>
      <c r="N3703">
        <f t="shared" si="437"/>
        <v>2025</v>
      </c>
      <c r="O3703" s="2"/>
      <c r="P3703" t="str">
        <f t="shared" si="425"/>
        <v>175745902</v>
      </c>
    </row>
    <row r="3704" spans="1:16" x14ac:dyDescent="0.3">
      <c r="A3704">
        <v>1757</v>
      </c>
      <c r="B3704">
        <v>53</v>
      </c>
      <c r="C3704" t="s">
        <v>26</v>
      </c>
      <c r="D3704" t="s">
        <v>22</v>
      </c>
      <c r="E3704" t="s">
        <v>17</v>
      </c>
      <c r="F3704" t="s">
        <v>21</v>
      </c>
      <c r="G3704" t="s">
        <v>43</v>
      </c>
      <c r="H3704" t="s">
        <v>25</v>
      </c>
      <c r="I3704" s="1">
        <v>2</v>
      </c>
      <c r="J3704" s="2">
        <v>45904</v>
      </c>
      <c r="K3704" s="2">
        <v>45901</v>
      </c>
      <c r="L3704" s="1" t="str">
        <f t="shared" si="435"/>
        <v>qui</v>
      </c>
      <c r="M3704" s="1" t="str">
        <f t="shared" si="436"/>
        <v>set</v>
      </c>
      <c r="N3704">
        <f t="shared" si="437"/>
        <v>2025</v>
      </c>
      <c r="O3704" s="2"/>
      <c r="P3704" t="str">
        <f t="shared" si="425"/>
        <v>175745904</v>
      </c>
    </row>
    <row r="3705" spans="1:16" x14ac:dyDescent="0.3">
      <c r="A3705">
        <v>1757</v>
      </c>
      <c r="B3705">
        <v>53</v>
      </c>
      <c r="C3705" t="s">
        <v>26</v>
      </c>
      <c r="D3705" t="s">
        <v>22</v>
      </c>
      <c r="E3705" t="s">
        <v>17</v>
      </c>
      <c r="F3705" t="s">
        <v>21</v>
      </c>
      <c r="G3705" t="s">
        <v>43</v>
      </c>
      <c r="H3705" t="s">
        <v>25</v>
      </c>
      <c r="I3705" s="1">
        <v>2</v>
      </c>
      <c r="J3705" s="2">
        <v>46012</v>
      </c>
      <c r="K3705" s="2">
        <v>45992</v>
      </c>
      <c r="L3705" s="1" t="str">
        <f t="shared" si="435"/>
        <v>dom</v>
      </c>
      <c r="M3705" s="1" t="str">
        <f t="shared" si="436"/>
        <v>dez</v>
      </c>
      <c r="N3705">
        <f t="shared" si="437"/>
        <v>2025</v>
      </c>
      <c r="O3705" s="2"/>
      <c r="P3705" t="str">
        <f t="shared" si="425"/>
        <v>175746012</v>
      </c>
    </row>
    <row r="3706" spans="1:16" x14ac:dyDescent="0.3">
      <c r="A3706">
        <v>1757</v>
      </c>
      <c r="B3706">
        <v>53</v>
      </c>
      <c r="C3706" t="s">
        <v>26</v>
      </c>
      <c r="D3706" t="s">
        <v>22</v>
      </c>
      <c r="E3706" t="s">
        <v>17</v>
      </c>
      <c r="F3706" t="s">
        <v>21</v>
      </c>
      <c r="G3706" t="s">
        <v>43</v>
      </c>
      <c r="H3706" t="s">
        <v>25</v>
      </c>
      <c r="I3706" s="1">
        <v>2</v>
      </c>
      <c r="J3706" s="2">
        <v>46083</v>
      </c>
      <c r="K3706" s="2">
        <v>46082</v>
      </c>
      <c r="L3706" s="1" t="str">
        <f t="shared" si="435"/>
        <v>seg</v>
      </c>
      <c r="M3706" s="1" t="str">
        <f t="shared" si="436"/>
        <v>mar</v>
      </c>
      <c r="N3706">
        <f t="shared" si="437"/>
        <v>2026</v>
      </c>
      <c r="O3706" s="2"/>
      <c r="P3706" t="str">
        <f t="shared" si="425"/>
        <v>175746083</v>
      </c>
    </row>
    <row r="3707" spans="1:16" x14ac:dyDescent="0.3">
      <c r="A3707">
        <v>1759</v>
      </c>
      <c r="B3707">
        <v>57</v>
      </c>
      <c r="C3707" t="s">
        <v>26</v>
      </c>
      <c r="D3707" t="s">
        <v>16</v>
      </c>
      <c r="E3707" t="s">
        <v>17</v>
      </c>
      <c r="F3707" t="s">
        <v>21</v>
      </c>
      <c r="G3707" t="s">
        <v>43</v>
      </c>
      <c r="H3707" t="s">
        <v>25</v>
      </c>
      <c r="I3707" s="1">
        <v>3</v>
      </c>
      <c r="J3707" s="2">
        <v>45854</v>
      </c>
      <c r="K3707" s="2">
        <v>45839</v>
      </c>
      <c r="L3707" s="1" t="str">
        <f t="shared" si="435"/>
        <v>qua</v>
      </c>
      <c r="M3707" s="1" t="str">
        <f t="shared" si="436"/>
        <v>jul</v>
      </c>
      <c r="N3707">
        <f t="shared" si="437"/>
        <v>2025</v>
      </c>
      <c r="O3707" s="2"/>
      <c r="P3707" t="str">
        <f t="shared" si="425"/>
        <v>175945854</v>
      </c>
    </row>
    <row r="3708" spans="1:16" x14ac:dyDescent="0.3">
      <c r="A3708">
        <v>1759</v>
      </c>
      <c r="B3708">
        <v>57</v>
      </c>
      <c r="C3708" t="s">
        <v>26</v>
      </c>
      <c r="D3708" t="s">
        <v>16</v>
      </c>
      <c r="E3708" t="s">
        <v>17</v>
      </c>
      <c r="F3708" t="s">
        <v>21</v>
      </c>
      <c r="G3708" t="s">
        <v>43</v>
      </c>
      <c r="H3708" t="s">
        <v>25</v>
      </c>
      <c r="I3708" s="1">
        <v>3</v>
      </c>
      <c r="J3708" s="2">
        <v>45953</v>
      </c>
      <c r="K3708" s="2">
        <v>45931</v>
      </c>
      <c r="L3708" s="1" t="str">
        <f t="shared" si="435"/>
        <v>qui</v>
      </c>
      <c r="M3708" s="1" t="str">
        <f t="shared" si="436"/>
        <v>out</v>
      </c>
      <c r="N3708">
        <f t="shared" si="437"/>
        <v>2025</v>
      </c>
      <c r="O3708" s="2"/>
      <c r="P3708" t="str">
        <f t="shared" si="425"/>
        <v>175945953</v>
      </c>
    </row>
    <row r="3709" spans="1:16" x14ac:dyDescent="0.3">
      <c r="A3709">
        <v>1759</v>
      </c>
      <c r="B3709">
        <v>57</v>
      </c>
      <c r="C3709" t="s">
        <v>26</v>
      </c>
      <c r="D3709" t="s">
        <v>16</v>
      </c>
      <c r="E3709" t="s">
        <v>17</v>
      </c>
      <c r="F3709" t="s">
        <v>21</v>
      </c>
      <c r="G3709" t="s">
        <v>43</v>
      </c>
      <c r="H3709" t="s">
        <v>25</v>
      </c>
      <c r="I3709" s="1">
        <v>3</v>
      </c>
      <c r="J3709" s="2">
        <v>45976</v>
      </c>
      <c r="K3709" s="2">
        <v>45962</v>
      </c>
      <c r="L3709" s="1" t="str">
        <f t="shared" si="435"/>
        <v>sáb</v>
      </c>
      <c r="M3709" s="1" t="str">
        <f t="shared" si="436"/>
        <v>nov</v>
      </c>
      <c r="N3709">
        <f t="shared" si="437"/>
        <v>2025</v>
      </c>
      <c r="O3709" s="2"/>
      <c r="P3709" t="str">
        <f t="shared" si="425"/>
        <v>175945976</v>
      </c>
    </row>
    <row r="3710" spans="1:16" x14ac:dyDescent="0.3">
      <c r="A3710">
        <v>1759</v>
      </c>
      <c r="B3710">
        <v>57</v>
      </c>
      <c r="C3710" t="s">
        <v>26</v>
      </c>
      <c r="D3710" t="s">
        <v>16</v>
      </c>
      <c r="E3710" t="s">
        <v>17</v>
      </c>
      <c r="F3710" t="s">
        <v>21</v>
      </c>
      <c r="G3710" t="s">
        <v>43</v>
      </c>
      <c r="H3710" t="s">
        <v>25</v>
      </c>
      <c r="I3710" s="1">
        <v>3</v>
      </c>
      <c r="J3710" s="2">
        <v>46016</v>
      </c>
      <c r="K3710" s="2">
        <v>45992</v>
      </c>
      <c r="L3710" s="1" t="str">
        <f t="shared" si="435"/>
        <v>qui</v>
      </c>
      <c r="M3710" s="1" t="str">
        <f t="shared" si="436"/>
        <v>dez</v>
      </c>
      <c r="N3710">
        <f t="shared" si="437"/>
        <v>2025</v>
      </c>
      <c r="O3710" s="2"/>
      <c r="P3710" t="str">
        <f t="shared" ref="P3710:P3773" si="438">CONCATENATE(A3710,J3710)</f>
        <v>175946016</v>
      </c>
    </row>
    <row r="3711" spans="1:16" x14ac:dyDescent="0.3">
      <c r="A3711">
        <v>1760</v>
      </c>
      <c r="B3711">
        <v>37</v>
      </c>
      <c r="C3711" t="s">
        <v>26</v>
      </c>
      <c r="D3711" t="s">
        <v>22</v>
      </c>
      <c r="E3711" t="s">
        <v>17</v>
      </c>
      <c r="F3711" t="s">
        <v>18</v>
      </c>
      <c r="G3711" t="s">
        <v>43</v>
      </c>
      <c r="H3711" t="s">
        <v>25</v>
      </c>
      <c r="I3711" s="1">
        <v>1</v>
      </c>
      <c r="J3711" s="2">
        <v>45833</v>
      </c>
      <c r="K3711" s="2">
        <v>45809</v>
      </c>
      <c r="L3711" s="1" t="str">
        <f t="shared" si="435"/>
        <v>qua</v>
      </c>
      <c r="M3711" s="1" t="str">
        <f t="shared" si="436"/>
        <v>jun</v>
      </c>
      <c r="N3711">
        <f t="shared" si="437"/>
        <v>2025</v>
      </c>
      <c r="O3711" s="2"/>
      <c r="P3711" t="str">
        <f t="shared" si="438"/>
        <v>176045833</v>
      </c>
    </row>
    <row r="3712" spans="1:16" x14ac:dyDescent="0.3">
      <c r="A3712">
        <v>1760</v>
      </c>
      <c r="B3712">
        <v>37</v>
      </c>
      <c r="C3712" t="s">
        <v>26</v>
      </c>
      <c r="D3712" t="s">
        <v>22</v>
      </c>
      <c r="E3712" t="s">
        <v>17</v>
      </c>
      <c r="F3712" t="s">
        <v>18</v>
      </c>
      <c r="G3712" t="s">
        <v>43</v>
      </c>
      <c r="H3712" t="s">
        <v>25</v>
      </c>
      <c r="I3712" s="1">
        <v>1</v>
      </c>
      <c r="J3712" s="2">
        <v>45851</v>
      </c>
      <c r="K3712" s="2">
        <v>45839</v>
      </c>
      <c r="L3712" s="1" t="str">
        <f t="shared" si="435"/>
        <v>dom</v>
      </c>
      <c r="M3712" s="1" t="str">
        <f t="shared" si="436"/>
        <v>jul</v>
      </c>
      <c r="N3712">
        <f t="shared" si="437"/>
        <v>2025</v>
      </c>
      <c r="O3712" s="2"/>
      <c r="P3712" t="str">
        <f t="shared" si="438"/>
        <v>176045851</v>
      </c>
    </row>
    <row r="3713" spans="1:16" x14ac:dyDescent="0.3">
      <c r="A3713">
        <v>1760</v>
      </c>
      <c r="B3713">
        <v>37</v>
      </c>
      <c r="C3713" t="s">
        <v>26</v>
      </c>
      <c r="D3713" t="s">
        <v>22</v>
      </c>
      <c r="E3713" t="s">
        <v>17</v>
      </c>
      <c r="F3713" t="s">
        <v>18</v>
      </c>
      <c r="G3713" t="s">
        <v>41</v>
      </c>
      <c r="H3713" t="s">
        <v>25</v>
      </c>
      <c r="I3713" s="1">
        <v>1</v>
      </c>
      <c r="J3713" s="2">
        <v>45865</v>
      </c>
      <c r="K3713" s="2">
        <v>45839</v>
      </c>
      <c r="L3713" s="1" t="str">
        <f t="shared" si="435"/>
        <v>dom</v>
      </c>
      <c r="M3713" s="1" t="str">
        <f t="shared" si="436"/>
        <v>jul</v>
      </c>
      <c r="N3713">
        <f t="shared" si="437"/>
        <v>2025</v>
      </c>
      <c r="O3713" s="2"/>
      <c r="P3713" t="str">
        <f t="shared" si="438"/>
        <v>176045865</v>
      </c>
    </row>
    <row r="3714" spans="1:16" x14ac:dyDescent="0.3">
      <c r="A3714">
        <v>1760</v>
      </c>
      <c r="B3714">
        <v>37</v>
      </c>
      <c r="C3714" t="s">
        <v>26</v>
      </c>
      <c r="D3714" t="s">
        <v>22</v>
      </c>
      <c r="E3714" t="s">
        <v>17</v>
      </c>
      <c r="F3714" t="s">
        <v>18</v>
      </c>
      <c r="G3714" t="s">
        <v>43</v>
      </c>
      <c r="H3714" t="s">
        <v>25</v>
      </c>
      <c r="I3714" s="1">
        <v>1</v>
      </c>
      <c r="J3714" s="2">
        <v>45931</v>
      </c>
      <c r="K3714" s="2">
        <v>45931</v>
      </c>
      <c r="L3714" s="1" t="str">
        <f t="shared" si="435"/>
        <v>qua</v>
      </c>
      <c r="M3714" s="1" t="str">
        <f t="shared" si="436"/>
        <v>out</v>
      </c>
      <c r="N3714">
        <f t="shared" si="437"/>
        <v>2025</v>
      </c>
      <c r="O3714" s="2"/>
      <c r="P3714" t="str">
        <f t="shared" si="438"/>
        <v>176045931</v>
      </c>
    </row>
    <row r="3715" spans="1:16" x14ac:dyDescent="0.3">
      <c r="A3715">
        <v>1760</v>
      </c>
      <c r="B3715">
        <v>37</v>
      </c>
      <c r="C3715" t="s">
        <v>26</v>
      </c>
      <c r="D3715" t="s">
        <v>22</v>
      </c>
      <c r="E3715" t="s">
        <v>17</v>
      </c>
      <c r="F3715" t="s">
        <v>18</v>
      </c>
      <c r="G3715" t="s">
        <v>43</v>
      </c>
      <c r="H3715" t="s">
        <v>25</v>
      </c>
      <c r="I3715" s="1">
        <v>1</v>
      </c>
      <c r="J3715" s="2">
        <v>45939</v>
      </c>
      <c r="K3715" s="2">
        <v>45931</v>
      </c>
      <c r="L3715" s="1" t="str">
        <f t="shared" si="435"/>
        <v>qui</v>
      </c>
      <c r="M3715" s="1" t="str">
        <f t="shared" si="436"/>
        <v>out</v>
      </c>
      <c r="N3715">
        <f t="shared" si="437"/>
        <v>2025</v>
      </c>
      <c r="O3715" s="2"/>
      <c r="P3715" t="str">
        <f t="shared" si="438"/>
        <v>176045939</v>
      </c>
    </row>
    <row r="3716" spans="1:16" x14ac:dyDescent="0.3">
      <c r="A3716">
        <v>1760</v>
      </c>
      <c r="B3716">
        <v>37</v>
      </c>
      <c r="C3716" t="s">
        <v>26</v>
      </c>
      <c r="D3716" t="s">
        <v>22</v>
      </c>
      <c r="E3716" t="s">
        <v>17</v>
      </c>
      <c r="F3716" t="s">
        <v>18</v>
      </c>
      <c r="G3716" t="s">
        <v>43</v>
      </c>
      <c r="H3716" t="s">
        <v>25</v>
      </c>
      <c r="I3716" s="1">
        <v>1</v>
      </c>
      <c r="J3716" s="2">
        <v>46079</v>
      </c>
      <c r="K3716" s="2">
        <v>46054</v>
      </c>
      <c r="L3716" s="1" t="str">
        <f t="shared" si="435"/>
        <v>qui</v>
      </c>
      <c r="M3716" s="1" t="str">
        <f t="shared" si="436"/>
        <v>fev</v>
      </c>
      <c r="N3716">
        <f t="shared" si="437"/>
        <v>2026</v>
      </c>
      <c r="O3716" s="2"/>
      <c r="P3716" t="str">
        <f t="shared" si="438"/>
        <v>176046079</v>
      </c>
    </row>
    <row r="3717" spans="1:16" x14ac:dyDescent="0.3">
      <c r="A3717">
        <v>1761</v>
      </c>
      <c r="B3717">
        <v>55</v>
      </c>
      <c r="C3717" t="s">
        <v>15</v>
      </c>
      <c r="D3717" t="s">
        <v>27</v>
      </c>
      <c r="E3717" t="s">
        <v>17</v>
      </c>
      <c r="F3717" t="s">
        <v>21</v>
      </c>
      <c r="G3717" t="s">
        <v>41</v>
      </c>
      <c r="H3717" t="s">
        <v>20</v>
      </c>
      <c r="I3717" s="1">
        <v>1</v>
      </c>
      <c r="J3717" s="2">
        <v>45675</v>
      </c>
      <c r="K3717" s="2">
        <v>45658</v>
      </c>
      <c r="L3717" s="1" t="str">
        <f t="shared" si="435"/>
        <v>sáb</v>
      </c>
      <c r="M3717" s="1" t="str">
        <f t="shared" si="436"/>
        <v>jan</v>
      </c>
      <c r="N3717">
        <f t="shared" si="437"/>
        <v>2025</v>
      </c>
      <c r="O3717" s="2">
        <f>_xlfn.XLOOKUP(A3717,Colaboradores!$A:$A,Colaboradores!$S:$S,"",0)</f>
        <v>45802</v>
      </c>
      <c r="P3717" t="str">
        <f t="shared" si="438"/>
        <v>176145675</v>
      </c>
    </row>
    <row r="3718" spans="1:16" x14ac:dyDescent="0.3">
      <c r="A3718">
        <v>1761</v>
      </c>
      <c r="B3718">
        <v>55</v>
      </c>
      <c r="C3718" t="s">
        <v>15</v>
      </c>
      <c r="D3718" t="s">
        <v>27</v>
      </c>
      <c r="E3718" t="s">
        <v>17</v>
      </c>
      <c r="F3718" t="s">
        <v>21</v>
      </c>
      <c r="G3718" t="s">
        <v>41</v>
      </c>
      <c r="H3718" t="s">
        <v>20</v>
      </c>
      <c r="I3718" s="1">
        <v>1</v>
      </c>
      <c r="J3718" s="2">
        <v>45733</v>
      </c>
      <c r="K3718" s="2">
        <v>45717</v>
      </c>
      <c r="L3718" s="1" t="str">
        <f t="shared" si="435"/>
        <v>seg</v>
      </c>
      <c r="M3718" s="1" t="str">
        <f t="shared" si="436"/>
        <v>mar</v>
      </c>
      <c r="N3718">
        <f t="shared" si="437"/>
        <v>2025</v>
      </c>
      <c r="O3718" s="2">
        <f>_xlfn.XLOOKUP(A3718,Colaboradores!$A:$A,Colaboradores!$S:$S,"",0)</f>
        <v>45802</v>
      </c>
      <c r="P3718" t="str">
        <f t="shared" si="438"/>
        <v>176145733</v>
      </c>
    </row>
    <row r="3719" spans="1:16" x14ac:dyDescent="0.3">
      <c r="A3719">
        <v>1761</v>
      </c>
      <c r="B3719">
        <v>55</v>
      </c>
      <c r="C3719" t="s">
        <v>15</v>
      </c>
      <c r="D3719" t="s">
        <v>27</v>
      </c>
      <c r="E3719" t="s">
        <v>17</v>
      </c>
      <c r="F3719" t="s">
        <v>21</v>
      </c>
      <c r="G3719" t="s">
        <v>41</v>
      </c>
      <c r="H3719" t="s">
        <v>20</v>
      </c>
      <c r="I3719" s="1">
        <v>1</v>
      </c>
      <c r="J3719" s="2">
        <v>45790</v>
      </c>
      <c r="K3719" s="2">
        <v>45778</v>
      </c>
      <c r="L3719" s="1" t="str">
        <f t="shared" si="435"/>
        <v>ter</v>
      </c>
      <c r="M3719" s="1" t="str">
        <f t="shared" si="436"/>
        <v>mai</v>
      </c>
      <c r="N3719">
        <f t="shared" si="437"/>
        <v>2025</v>
      </c>
      <c r="O3719" s="2">
        <f>_xlfn.XLOOKUP(A3719,Colaboradores!$A:$A,Colaboradores!$S:$S,"",0)</f>
        <v>45802</v>
      </c>
      <c r="P3719" t="str">
        <f t="shared" si="438"/>
        <v>176145790</v>
      </c>
    </row>
    <row r="3720" spans="1:16" x14ac:dyDescent="0.3">
      <c r="A3720">
        <v>1761</v>
      </c>
      <c r="B3720">
        <v>55</v>
      </c>
      <c r="C3720" t="s">
        <v>15</v>
      </c>
      <c r="D3720" t="s">
        <v>27</v>
      </c>
      <c r="E3720" t="s">
        <v>17</v>
      </c>
      <c r="F3720" t="s">
        <v>21</v>
      </c>
      <c r="G3720" t="s">
        <v>41</v>
      </c>
      <c r="H3720" t="s">
        <v>20</v>
      </c>
      <c r="I3720" s="1">
        <v>1</v>
      </c>
      <c r="J3720" s="2">
        <v>45795</v>
      </c>
      <c r="K3720" s="2">
        <v>45778</v>
      </c>
      <c r="L3720" s="1" t="str">
        <f t="shared" si="435"/>
        <v>dom</v>
      </c>
      <c r="M3720" s="1" t="str">
        <f t="shared" si="436"/>
        <v>mai</v>
      </c>
      <c r="N3720">
        <f t="shared" si="437"/>
        <v>2025</v>
      </c>
      <c r="O3720" s="2">
        <f>_xlfn.XLOOKUP(A3720,Colaboradores!$A:$A,Colaboradores!$S:$S,"",0)</f>
        <v>45802</v>
      </c>
      <c r="P3720" t="str">
        <f t="shared" si="438"/>
        <v>176145795</v>
      </c>
    </row>
    <row r="3721" spans="1:16" x14ac:dyDescent="0.3">
      <c r="A3721">
        <v>1761</v>
      </c>
      <c r="B3721">
        <v>55</v>
      </c>
      <c r="C3721" t="s">
        <v>15</v>
      </c>
      <c r="D3721" t="s">
        <v>27</v>
      </c>
      <c r="E3721" t="s">
        <v>17</v>
      </c>
      <c r="F3721" t="s">
        <v>21</v>
      </c>
      <c r="G3721" t="s">
        <v>41</v>
      </c>
      <c r="H3721" t="s">
        <v>20</v>
      </c>
      <c r="I3721" s="1">
        <v>1</v>
      </c>
      <c r="J3721" s="2">
        <v>45796</v>
      </c>
      <c r="K3721" s="2">
        <v>45778</v>
      </c>
      <c r="L3721" s="1" t="str">
        <f t="shared" si="435"/>
        <v>seg</v>
      </c>
      <c r="M3721" s="1" t="str">
        <f t="shared" si="436"/>
        <v>mai</v>
      </c>
      <c r="N3721">
        <f t="shared" si="437"/>
        <v>2025</v>
      </c>
      <c r="O3721" s="2">
        <f>_xlfn.XLOOKUP(A3721,Colaboradores!$A:$A,Colaboradores!$S:$S,"",0)</f>
        <v>45802</v>
      </c>
      <c r="P3721" t="str">
        <f t="shared" si="438"/>
        <v>176145796</v>
      </c>
    </row>
    <row r="3722" spans="1:16" x14ac:dyDescent="0.3">
      <c r="A3722">
        <v>1761</v>
      </c>
      <c r="B3722">
        <v>55</v>
      </c>
      <c r="C3722" t="s">
        <v>15</v>
      </c>
      <c r="D3722" t="s">
        <v>27</v>
      </c>
      <c r="E3722" t="s">
        <v>17</v>
      </c>
      <c r="F3722" t="s">
        <v>21</v>
      </c>
      <c r="G3722" t="s">
        <v>41</v>
      </c>
      <c r="H3722" t="s">
        <v>20</v>
      </c>
      <c r="I3722" s="1">
        <v>1</v>
      </c>
      <c r="J3722" s="2">
        <v>45798</v>
      </c>
      <c r="K3722" s="2">
        <v>45778</v>
      </c>
      <c r="L3722" s="1" t="str">
        <f t="shared" si="435"/>
        <v>qua</v>
      </c>
      <c r="M3722" s="1" t="str">
        <f t="shared" si="436"/>
        <v>mai</v>
      </c>
      <c r="N3722">
        <f t="shared" si="437"/>
        <v>2025</v>
      </c>
      <c r="O3722" s="2">
        <f>_xlfn.XLOOKUP(A3722,Colaboradores!$A:$A,Colaboradores!$S:$S,"",0)</f>
        <v>45802</v>
      </c>
      <c r="P3722" t="str">
        <f t="shared" si="438"/>
        <v>176145798</v>
      </c>
    </row>
    <row r="3723" spans="1:16" x14ac:dyDescent="0.3">
      <c r="A3723">
        <v>1762</v>
      </c>
      <c r="B3723">
        <v>25</v>
      </c>
      <c r="C3723" t="s">
        <v>15</v>
      </c>
      <c r="D3723" t="s">
        <v>16</v>
      </c>
      <c r="E3723" t="s">
        <v>17</v>
      </c>
      <c r="F3723" t="s">
        <v>18</v>
      </c>
      <c r="G3723" t="s">
        <v>41</v>
      </c>
      <c r="H3723" t="s">
        <v>25</v>
      </c>
      <c r="I3723" s="1">
        <v>2</v>
      </c>
      <c r="J3723" s="2">
        <v>45937</v>
      </c>
      <c r="K3723" s="2">
        <v>45931</v>
      </c>
      <c r="L3723" s="1" t="str">
        <f t="shared" si="435"/>
        <v>ter</v>
      </c>
      <c r="M3723" s="1" t="str">
        <f t="shared" si="436"/>
        <v>out</v>
      </c>
      <c r="N3723">
        <f t="shared" si="437"/>
        <v>2025</v>
      </c>
      <c r="O3723" s="2"/>
      <c r="P3723" t="str">
        <f t="shared" si="438"/>
        <v>176245937</v>
      </c>
    </row>
    <row r="3724" spans="1:16" x14ac:dyDescent="0.3">
      <c r="A3724">
        <v>1762</v>
      </c>
      <c r="B3724">
        <v>25</v>
      </c>
      <c r="C3724" t="s">
        <v>15</v>
      </c>
      <c r="D3724" t="s">
        <v>16</v>
      </c>
      <c r="E3724" t="s">
        <v>17</v>
      </c>
      <c r="F3724" t="s">
        <v>18</v>
      </c>
      <c r="G3724" t="s">
        <v>41</v>
      </c>
      <c r="H3724" t="s">
        <v>25</v>
      </c>
      <c r="I3724" s="1">
        <v>2</v>
      </c>
      <c r="J3724" s="2">
        <v>45940</v>
      </c>
      <c r="K3724" s="2">
        <v>45931</v>
      </c>
      <c r="L3724" s="1" t="str">
        <f t="shared" si="435"/>
        <v>sex</v>
      </c>
      <c r="M3724" s="1" t="str">
        <f t="shared" si="436"/>
        <v>out</v>
      </c>
      <c r="N3724">
        <f t="shared" si="437"/>
        <v>2025</v>
      </c>
      <c r="O3724" s="2"/>
      <c r="P3724" t="str">
        <f t="shared" si="438"/>
        <v>176245940</v>
      </c>
    </row>
    <row r="3725" spans="1:16" x14ac:dyDescent="0.3">
      <c r="A3725">
        <v>1762</v>
      </c>
      <c r="B3725">
        <v>25</v>
      </c>
      <c r="C3725" t="s">
        <v>15</v>
      </c>
      <c r="D3725" t="s">
        <v>16</v>
      </c>
      <c r="E3725" t="s">
        <v>17</v>
      </c>
      <c r="F3725" t="s">
        <v>18</v>
      </c>
      <c r="G3725" t="s">
        <v>41</v>
      </c>
      <c r="H3725" t="s">
        <v>25</v>
      </c>
      <c r="I3725" s="1">
        <v>2</v>
      </c>
      <c r="J3725" s="2">
        <v>46186</v>
      </c>
      <c r="K3725" s="2">
        <v>46023</v>
      </c>
      <c r="L3725" s="1" t="str">
        <f t="shared" si="435"/>
        <v>sáb</v>
      </c>
      <c r="M3725" s="1" t="str">
        <f t="shared" si="436"/>
        <v>jun</v>
      </c>
      <c r="N3725">
        <f t="shared" si="437"/>
        <v>2026</v>
      </c>
      <c r="O3725" s="2"/>
      <c r="P3725" t="str">
        <f t="shared" si="438"/>
        <v>176246186</v>
      </c>
    </row>
    <row r="3726" spans="1:16" x14ac:dyDescent="0.3">
      <c r="A3726">
        <v>1762</v>
      </c>
      <c r="B3726">
        <v>25</v>
      </c>
      <c r="C3726" t="s">
        <v>15</v>
      </c>
      <c r="D3726" t="s">
        <v>16</v>
      </c>
      <c r="E3726" t="s">
        <v>17</v>
      </c>
      <c r="F3726" t="s">
        <v>18</v>
      </c>
      <c r="G3726" t="s">
        <v>41</v>
      </c>
      <c r="H3726" t="s">
        <v>25</v>
      </c>
      <c r="I3726" s="1">
        <v>2</v>
      </c>
      <c r="J3726" s="2">
        <v>46065</v>
      </c>
      <c r="K3726" s="2">
        <v>46054</v>
      </c>
      <c r="L3726" s="1" t="str">
        <f t="shared" si="435"/>
        <v>qui</v>
      </c>
      <c r="M3726" s="1" t="str">
        <f t="shared" si="436"/>
        <v>fev</v>
      </c>
      <c r="N3726">
        <f t="shared" si="437"/>
        <v>2026</v>
      </c>
      <c r="O3726" s="2"/>
      <c r="P3726" t="str">
        <f t="shared" si="438"/>
        <v>176246065</v>
      </c>
    </row>
    <row r="3727" spans="1:16" x14ac:dyDescent="0.3">
      <c r="A3727">
        <v>1762</v>
      </c>
      <c r="B3727">
        <v>25</v>
      </c>
      <c r="C3727" t="s">
        <v>15</v>
      </c>
      <c r="D3727" t="s">
        <v>16</v>
      </c>
      <c r="E3727" t="s">
        <v>17</v>
      </c>
      <c r="F3727" t="s">
        <v>18</v>
      </c>
      <c r="G3727" t="s">
        <v>41</v>
      </c>
      <c r="H3727" t="s">
        <v>25</v>
      </c>
      <c r="I3727" s="1">
        <v>2</v>
      </c>
      <c r="J3727" s="2">
        <v>46068</v>
      </c>
      <c r="K3727" s="2">
        <v>46054</v>
      </c>
      <c r="L3727" s="1" t="str">
        <f t="shared" si="435"/>
        <v>dom</v>
      </c>
      <c r="M3727" s="1" t="str">
        <f t="shared" si="436"/>
        <v>fev</v>
      </c>
      <c r="N3727">
        <f t="shared" si="437"/>
        <v>2026</v>
      </c>
      <c r="O3727" s="2"/>
      <c r="P3727" t="str">
        <f t="shared" si="438"/>
        <v>176246068</v>
      </c>
    </row>
    <row r="3728" spans="1:16" x14ac:dyDescent="0.3">
      <c r="A3728">
        <v>1762</v>
      </c>
      <c r="B3728">
        <v>25</v>
      </c>
      <c r="C3728" t="s">
        <v>15</v>
      </c>
      <c r="D3728" t="s">
        <v>16</v>
      </c>
      <c r="E3728" t="s">
        <v>17</v>
      </c>
      <c r="F3728" t="s">
        <v>18</v>
      </c>
      <c r="G3728" t="s">
        <v>41</v>
      </c>
      <c r="H3728" t="s">
        <v>25</v>
      </c>
      <c r="I3728" s="1">
        <v>2</v>
      </c>
      <c r="J3728" s="2">
        <v>46106</v>
      </c>
      <c r="K3728" s="2">
        <v>46082</v>
      </c>
      <c r="L3728" s="1" t="str">
        <f t="shared" si="435"/>
        <v>qua</v>
      </c>
      <c r="M3728" s="1" t="str">
        <f t="shared" si="436"/>
        <v>mar</v>
      </c>
      <c r="N3728">
        <f t="shared" si="437"/>
        <v>2026</v>
      </c>
      <c r="O3728" s="2"/>
      <c r="P3728" t="str">
        <f t="shared" si="438"/>
        <v>176246106</v>
      </c>
    </row>
    <row r="3729" spans="1:16" x14ac:dyDescent="0.3">
      <c r="A3729">
        <v>1763</v>
      </c>
      <c r="B3729">
        <v>21</v>
      </c>
      <c r="C3729" t="s">
        <v>15</v>
      </c>
      <c r="D3729" t="s">
        <v>29</v>
      </c>
      <c r="E3729" t="s">
        <v>17</v>
      </c>
      <c r="F3729" t="s">
        <v>21</v>
      </c>
      <c r="G3729" t="s">
        <v>41</v>
      </c>
      <c r="H3729" t="s">
        <v>25</v>
      </c>
      <c r="I3729" s="1">
        <v>3</v>
      </c>
      <c r="J3729" s="2">
        <v>45840</v>
      </c>
      <c r="K3729" s="2">
        <v>45839</v>
      </c>
      <c r="L3729" s="1" t="str">
        <f t="shared" ref="L3729:L3760" si="439">TEXT(J3729,"ddd")</f>
        <v>qua</v>
      </c>
      <c r="M3729" s="1" t="str">
        <f t="shared" ref="M3729:M3760" si="440">TEXT($J3729,"mmm")</f>
        <v>jul</v>
      </c>
      <c r="N3729">
        <f t="shared" ref="N3729:N3760" si="441">YEAR(J3729)</f>
        <v>2025</v>
      </c>
      <c r="O3729" s="2"/>
      <c r="P3729" t="str">
        <f t="shared" si="438"/>
        <v>176345840</v>
      </c>
    </row>
    <row r="3730" spans="1:16" x14ac:dyDescent="0.3">
      <c r="A3730">
        <v>1763</v>
      </c>
      <c r="B3730">
        <v>21</v>
      </c>
      <c r="C3730" t="s">
        <v>15</v>
      </c>
      <c r="D3730" t="s">
        <v>29</v>
      </c>
      <c r="E3730" t="s">
        <v>17</v>
      </c>
      <c r="F3730" t="s">
        <v>21</v>
      </c>
      <c r="G3730" t="s">
        <v>41</v>
      </c>
      <c r="H3730" t="s">
        <v>25</v>
      </c>
      <c r="I3730" s="1">
        <v>3</v>
      </c>
      <c r="J3730" s="2">
        <v>45890</v>
      </c>
      <c r="K3730" s="2">
        <v>45870</v>
      </c>
      <c r="L3730" s="1" t="str">
        <f t="shared" si="439"/>
        <v>qui</v>
      </c>
      <c r="M3730" s="1" t="str">
        <f t="shared" si="440"/>
        <v>ago</v>
      </c>
      <c r="N3730">
        <f t="shared" si="441"/>
        <v>2025</v>
      </c>
      <c r="O3730" s="2"/>
      <c r="P3730" t="str">
        <f t="shared" si="438"/>
        <v>176345890</v>
      </c>
    </row>
    <row r="3731" spans="1:16" x14ac:dyDescent="0.3">
      <c r="A3731">
        <v>1763</v>
      </c>
      <c r="B3731">
        <v>21</v>
      </c>
      <c r="C3731" t="s">
        <v>15</v>
      </c>
      <c r="D3731" t="s">
        <v>29</v>
      </c>
      <c r="E3731" t="s">
        <v>17</v>
      </c>
      <c r="F3731" t="s">
        <v>21</v>
      </c>
      <c r="G3731" t="s">
        <v>41</v>
      </c>
      <c r="H3731" t="s">
        <v>25</v>
      </c>
      <c r="I3731" s="1">
        <v>3</v>
      </c>
      <c r="J3731" s="2">
        <v>45911</v>
      </c>
      <c r="K3731" s="2">
        <v>45901</v>
      </c>
      <c r="L3731" s="1" t="str">
        <f t="shared" si="439"/>
        <v>qui</v>
      </c>
      <c r="M3731" s="1" t="str">
        <f t="shared" si="440"/>
        <v>set</v>
      </c>
      <c r="N3731">
        <f t="shared" si="441"/>
        <v>2025</v>
      </c>
      <c r="O3731" s="2"/>
      <c r="P3731" t="str">
        <f t="shared" si="438"/>
        <v>176345911</v>
      </c>
    </row>
    <row r="3732" spans="1:16" x14ac:dyDescent="0.3">
      <c r="A3732">
        <v>1763</v>
      </c>
      <c r="B3732">
        <v>21</v>
      </c>
      <c r="C3732" t="s">
        <v>15</v>
      </c>
      <c r="D3732" t="s">
        <v>29</v>
      </c>
      <c r="E3732" t="s">
        <v>17</v>
      </c>
      <c r="F3732" t="s">
        <v>21</v>
      </c>
      <c r="G3732" t="s">
        <v>41</v>
      </c>
      <c r="H3732" t="s">
        <v>25</v>
      </c>
      <c r="I3732" s="1">
        <v>3</v>
      </c>
      <c r="J3732" s="2">
        <v>45945</v>
      </c>
      <c r="K3732" s="2">
        <v>45931</v>
      </c>
      <c r="L3732" s="1" t="str">
        <f t="shared" si="439"/>
        <v>qua</v>
      </c>
      <c r="M3732" s="1" t="str">
        <f t="shared" si="440"/>
        <v>out</v>
      </c>
      <c r="N3732">
        <f t="shared" si="441"/>
        <v>2025</v>
      </c>
      <c r="O3732" s="2"/>
      <c r="P3732" t="str">
        <f t="shared" si="438"/>
        <v>176345945</v>
      </c>
    </row>
    <row r="3733" spans="1:16" x14ac:dyDescent="0.3">
      <c r="A3733">
        <v>1763</v>
      </c>
      <c r="B3733">
        <v>21</v>
      </c>
      <c r="C3733" t="s">
        <v>15</v>
      </c>
      <c r="D3733" t="s">
        <v>29</v>
      </c>
      <c r="E3733" t="s">
        <v>17</v>
      </c>
      <c r="F3733" t="s">
        <v>21</v>
      </c>
      <c r="G3733" t="s">
        <v>41</v>
      </c>
      <c r="H3733" t="s">
        <v>25</v>
      </c>
      <c r="I3733" s="1">
        <v>3</v>
      </c>
      <c r="J3733" s="2">
        <v>46184</v>
      </c>
      <c r="K3733" s="2">
        <v>46023</v>
      </c>
      <c r="L3733" s="1" t="str">
        <f t="shared" si="439"/>
        <v>qui</v>
      </c>
      <c r="M3733" s="1" t="str">
        <f t="shared" si="440"/>
        <v>jun</v>
      </c>
      <c r="N3733">
        <f t="shared" si="441"/>
        <v>2026</v>
      </c>
      <c r="O3733" s="2"/>
      <c r="P3733" t="str">
        <f t="shared" si="438"/>
        <v>176346184</v>
      </c>
    </row>
    <row r="3734" spans="1:16" x14ac:dyDescent="0.3">
      <c r="A3734">
        <v>1763</v>
      </c>
      <c r="B3734">
        <v>21</v>
      </c>
      <c r="C3734" t="s">
        <v>15</v>
      </c>
      <c r="D3734" t="s">
        <v>29</v>
      </c>
      <c r="E3734" t="s">
        <v>17</v>
      </c>
      <c r="F3734" t="s">
        <v>21</v>
      </c>
      <c r="G3734" t="s">
        <v>41</v>
      </c>
      <c r="H3734" t="s">
        <v>25</v>
      </c>
      <c r="I3734" s="1">
        <v>3</v>
      </c>
      <c r="J3734" s="2">
        <v>46188</v>
      </c>
      <c r="K3734" s="2">
        <v>46023</v>
      </c>
      <c r="L3734" s="1" t="str">
        <f t="shared" si="439"/>
        <v>seg</v>
      </c>
      <c r="M3734" s="1" t="str">
        <f t="shared" si="440"/>
        <v>jun</v>
      </c>
      <c r="N3734">
        <f t="shared" si="441"/>
        <v>2026</v>
      </c>
      <c r="O3734" s="2"/>
      <c r="P3734" t="str">
        <f t="shared" si="438"/>
        <v>176346188</v>
      </c>
    </row>
    <row r="3735" spans="1:16" x14ac:dyDescent="0.3">
      <c r="A3735">
        <v>1766</v>
      </c>
      <c r="B3735">
        <v>27</v>
      </c>
      <c r="C3735" t="s">
        <v>26</v>
      </c>
      <c r="D3735" t="s">
        <v>16</v>
      </c>
      <c r="E3735" t="s">
        <v>17</v>
      </c>
      <c r="F3735" t="s">
        <v>21</v>
      </c>
      <c r="G3735" t="s">
        <v>42</v>
      </c>
      <c r="H3735" t="s">
        <v>25</v>
      </c>
      <c r="I3735" s="1">
        <v>1</v>
      </c>
      <c r="J3735" s="2">
        <v>45829</v>
      </c>
      <c r="K3735" s="2">
        <v>45809</v>
      </c>
      <c r="L3735" s="1" t="str">
        <f t="shared" si="439"/>
        <v>sáb</v>
      </c>
      <c r="M3735" s="1" t="str">
        <f t="shared" si="440"/>
        <v>jun</v>
      </c>
      <c r="N3735">
        <f t="shared" si="441"/>
        <v>2025</v>
      </c>
      <c r="O3735" s="2"/>
      <c r="P3735" t="str">
        <f t="shared" si="438"/>
        <v>176645829</v>
      </c>
    </row>
    <row r="3736" spans="1:16" x14ac:dyDescent="0.3">
      <c r="A3736">
        <v>1766</v>
      </c>
      <c r="B3736">
        <v>27</v>
      </c>
      <c r="C3736" t="s">
        <v>26</v>
      </c>
      <c r="D3736" t="s">
        <v>16</v>
      </c>
      <c r="E3736" t="s">
        <v>17</v>
      </c>
      <c r="F3736" t="s">
        <v>21</v>
      </c>
      <c r="G3736" t="s">
        <v>42</v>
      </c>
      <c r="H3736" t="s">
        <v>25</v>
      </c>
      <c r="I3736" s="1">
        <v>1</v>
      </c>
      <c r="J3736" s="2">
        <v>45907</v>
      </c>
      <c r="K3736" s="2">
        <v>45901</v>
      </c>
      <c r="L3736" s="1" t="str">
        <f t="shared" si="439"/>
        <v>dom</v>
      </c>
      <c r="M3736" s="1" t="str">
        <f t="shared" si="440"/>
        <v>set</v>
      </c>
      <c r="N3736">
        <f t="shared" si="441"/>
        <v>2025</v>
      </c>
      <c r="O3736" s="2"/>
      <c r="P3736" t="str">
        <f t="shared" si="438"/>
        <v>176645907</v>
      </c>
    </row>
    <row r="3737" spans="1:16" x14ac:dyDescent="0.3">
      <c r="A3737">
        <v>1766</v>
      </c>
      <c r="B3737">
        <v>27</v>
      </c>
      <c r="C3737" t="s">
        <v>26</v>
      </c>
      <c r="D3737" t="s">
        <v>16</v>
      </c>
      <c r="E3737" t="s">
        <v>17</v>
      </c>
      <c r="F3737" t="s">
        <v>21</v>
      </c>
      <c r="G3737" t="s">
        <v>42</v>
      </c>
      <c r="H3737" t="s">
        <v>25</v>
      </c>
      <c r="I3737" s="1">
        <v>1</v>
      </c>
      <c r="J3737" s="2">
        <v>45915</v>
      </c>
      <c r="K3737" s="2">
        <v>45901</v>
      </c>
      <c r="L3737" s="1" t="str">
        <f t="shared" si="439"/>
        <v>seg</v>
      </c>
      <c r="M3737" s="1" t="str">
        <f t="shared" si="440"/>
        <v>set</v>
      </c>
      <c r="N3737">
        <f t="shared" si="441"/>
        <v>2025</v>
      </c>
      <c r="O3737" s="2"/>
      <c r="P3737" t="str">
        <f t="shared" si="438"/>
        <v>176645915</v>
      </c>
    </row>
    <row r="3738" spans="1:16" x14ac:dyDescent="0.3">
      <c r="A3738">
        <v>1766</v>
      </c>
      <c r="B3738">
        <v>27</v>
      </c>
      <c r="C3738" t="s">
        <v>26</v>
      </c>
      <c r="D3738" t="s">
        <v>16</v>
      </c>
      <c r="E3738" t="s">
        <v>17</v>
      </c>
      <c r="F3738" t="s">
        <v>21</v>
      </c>
      <c r="G3738" t="s">
        <v>42</v>
      </c>
      <c r="H3738" t="s">
        <v>25</v>
      </c>
      <c r="I3738" s="1">
        <v>1</v>
      </c>
      <c r="J3738" s="2">
        <v>46064</v>
      </c>
      <c r="K3738" s="2">
        <v>46054</v>
      </c>
      <c r="L3738" s="1" t="str">
        <f t="shared" si="439"/>
        <v>qua</v>
      </c>
      <c r="M3738" s="1" t="str">
        <f t="shared" si="440"/>
        <v>fev</v>
      </c>
      <c r="N3738">
        <f t="shared" si="441"/>
        <v>2026</v>
      </c>
      <c r="O3738" s="2"/>
      <c r="P3738" t="str">
        <f t="shared" si="438"/>
        <v>176646064</v>
      </c>
    </row>
    <row r="3739" spans="1:16" x14ac:dyDescent="0.3">
      <c r="A3739">
        <v>1766</v>
      </c>
      <c r="B3739">
        <v>27</v>
      </c>
      <c r="C3739" t="s">
        <v>26</v>
      </c>
      <c r="D3739" t="s">
        <v>16</v>
      </c>
      <c r="E3739" t="s">
        <v>17</v>
      </c>
      <c r="F3739" t="s">
        <v>21</v>
      </c>
      <c r="G3739" t="s">
        <v>42</v>
      </c>
      <c r="H3739" t="s">
        <v>25</v>
      </c>
      <c r="I3739" s="1">
        <v>1</v>
      </c>
      <c r="J3739" s="2">
        <v>46067</v>
      </c>
      <c r="K3739" s="2">
        <v>46054</v>
      </c>
      <c r="L3739" s="1" t="str">
        <f t="shared" si="439"/>
        <v>sáb</v>
      </c>
      <c r="M3739" s="1" t="str">
        <f t="shared" si="440"/>
        <v>fev</v>
      </c>
      <c r="N3739">
        <f t="shared" si="441"/>
        <v>2026</v>
      </c>
      <c r="O3739" s="2"/>
      <c r="P3739" t="str">
        <f t="shared" si="438"/>
        <v>176646067</v>
      </c>
    </row>
    <row r="3740" spans="1:16" x14ac:dyDescent="0.3">
      <c r="A3740">
        <v>1766</v>
      </c>
      <c r="B3740">
        <v>27</v>
      </c>
      <c r="C3740" t="s">
        <v>26</v>
      </c>
      <c r="D3740" t="s">
        <v>16</v>
      </c>
      <c r="E3740" t="s">
        <v>17</v>
      </c>
      <c r="F3740" t="s">
        <v>21</v>
      </c>
      <c r="G3740" t="s">
        <v>42</v>
      </c>
      <c r="H3740" t="s">
        <v>25</v>
      </c>
      <c r="I3740" s="1">
        <v>1</v>
      </c>
      <c r="J3740" s="2">
        <v>46107</v>
      </c>
      <c r="K3740" s="2">
        <v>46082</v>
      </c>
      <c r="L3740" s="1" t="str">
        <f t="shared" si="439"/>
        <v>qui</v>
      </c>
      <c r="M3740" s="1" t="str">
        <f t="shared" si="440"/>
        <v>mar</v>
      </c>
      <c r="N3740">
        <f t="shared" si="441"/>
        <v>2026</v>
      </c>
      <c r="O3740" s="2"/>
      <c r="P3740" t="str">
        <f t="shared" si="438"/>
        <v>176646107</v>
      </c>
    </row>
    <row r="3741" spans="1:16" x14ac:dyDescent="0.3">
      <c r="A3741">
        <v>1766</v>
      </c>
      <c r="B3741">
        <v>27</v>
      </c>
      <c r="C3741" t="s">
        <v>26</v>
      </c>
      <c r="D3741" t="s">
        <v>16</v>
      </c>
      <c r="E3741" t="s">
        <v>17</v>
      </c>
      <c r="F3741" t="s">
        <v>21</v>
      </c>
      <c r="G3741" t="s">
        <v>42</v>
      </c>
      <c r="H3741" t="s">
        <v>25</v>
      </c>
      <c r="I3741" s="1">
        <v>1</v>
      </c>
      <c r="J3741" s="2">
        <v>46138</v>
      </c>
      <c r="K3741" s="2">
        <v>46113</v>
      </c>
      <c r="L3741" s="1" t="str">
        <f t="shared" si="439"/>
        <v>dom</v>
      </c>
      <c r="M3741" s="1" t="str">
        <f t="shared" si="440"/>
        <v>abr</v>
      </c>
      <c r="N3741">
        <f t="shared" si="441"/>
        <v>2026</v>
      </c>
      <c r="O3741" s="2"/>
      <c r="P3741" t="str">
        <f t="shared" si="438"/>
        <v>176646138</v>
      </c>
    </row>
    <row r="3742" spans="1:16" x14ac:dyDescent="0.3">
      <c r="A3742">
        <v>1767</v>
      </c>
      <c r="B3742">
        <v>35</v>
      </c>
      <c r="C3742" t="s">
        <v>26</v>
      </c>
      <c r="D3742" t="s">
        <v>16</v>
      </c>
      <c r="E3742" t="s">
        <v>17</v>
      </c>
      <c r="F3742" t="s">
        <v>21</v>
      </c>
      <c r="G3742" t="s">
        <v>42</v>
      </c>
      <c r="H3742" t="s">
        <v>20</v>
      </c>
      <c r="I3742" s="1">
        <v>2</v>
      </c>
      <c r="J3742" s="2">
        <v>45823</v>
      </c>
      <c r="K3742" s="2">
        <v>45809</v>
      </c>
      <c r="L3742" s="1" t="str">
        <f t="shared" si="439"/>
        <v>dom</v>
      </c>
      <c r="M3742" s="1" t="str">
        <f t="shared" si="440"/>
        <v>jun</v>
      </c>
      <c r="N3742">
        <f t="shared" si="441"/>
        <v>2025</v>
      </c>
      <c r="O3742" s="2">
        <f>_xlfn.XLOOKUP(A3742,Colaboradores!$A:$A,Colaboradores!$S:$S,"",0)</f>
        <v>46048</v>
      </c>
      <c r="P3742" t="str">
        <f t="shared" si="438"/>
        <v>176745823</v>
      </c>
    </row>
    <row r="3743" spans="1:16" x14ac:dyDescent="0.3">
      <c r="A3743">
        <v>1767</v>
      </c>
      <c r="B3743">
        <v>35</v>
      </c>
      <c r="C3743" t="s">
        <v>26</v>
      </c>
      <c r="D3743" t="s">
        <v>16</v>
      </c>
      <c r="E3743" t="s">
        <v>17</v>
      </c>
      <c r="F3743" t="s">
        <v>21</v>
      </c>
      <c r="G3743" t="s">
        <v>42</v>
      </c>
      <c r="H3743" t="s">
        <v>20</v>
      </c>
      <c r="I3743" s="1">
        <v>2</v>
      </c>
      <c r="J3743" s="2">
        <v>45854</v>
      </c>
      <c r="K3743" s="2">
        <v>45839</v>
      </c>
      <c r="L3743" s="1" t="str">
        <f t="shared" si="439"/>
        <v>qua</v>
      </c>
      <c r="M3743" s="1" t="str">
        <f t="shared" si="440"/>
        <v>jul</v>
      </c>
      <c r="N3743">
        <f t="shared" si="441"/>
        <v>2025</v>
      </c>
      <c r="O3743" s="2">
        <f>_xlfn.XLOOKUP(A3743,Colaboradores!$A:$A,Colaboradores!$S:$S,"",0)</f>
        <v>46048</v>
      </c>
      <c r="P3743" t="str">
        <f t="shared" si="438"/>
        <v>176745854</v>
      </c>
    </row>
    <row r="3744" spans="1:16" x14ac:dyDescent="0.3">
      <c r="A3744">
        <v>1767</v>
      </c>
      <c r="B3744">
        <v>35</v>
      </c>
      <c r="C3744" t="s">
        <v>26</v>
      </c>
      <c r="D3744" t="s">
        <v>16</v>
      </c>
      <c r="E3744" t="s">
        <v>17</v>
      </c>
      <c r="F3744" t="s">
        <v>21</v>
      </c>
      <c r="G3744" t="s">
        <v>42</v>
      </c>
      <c r="H3744" t="s">
        <v>20</v>
      </c>
      <c r="I3744" s="1">
        <v>2</v>
      </c>
      <c r="J3744" s="2">
        <v>45855</v>
      </c>
      <c r="K3744" s="2">
        <v>45839</v>
      </c>
      <c r="L3744" s="1" t="str">
        <f t="shared" si="439"/>
        <v>qui</v>
      </c>
      <c r="M3744" s="1" t="str">
        <f t="shared" si="440"/>
        <v>jul</v>
      </c>
      <c r="N3744">
        <f t="shared" si="441"/>
        <v>2025</v>
      </c>
      <c r="O3744" s="2">
        <f>_xlfn.XLOOKUP(A3744,Colaboradores!$A:$A,Colaboradores!$S:$S,"",0)</f>
        <v>46048</v>
      </c>
      <c r="P3744" t="str">
        <f t="shared" si="438"/>
        <v>176745855</v>
      </c>
    </row>
    <row r="3745" spans="1:16" x14ac:dyDescent="0.3">
      <c r="A3745">
        <v>1767</v>
      </c>
      <c r="B3745">
        <v>35</v>
      </c>
      <c r="C3745" t="s">
        <v>26</v>
      </c>
      <c r="D3745" t="s">
        <v>16</v>
      </c>
      <c r="E3745" t="s">
        <v>17</v>
      </c>
      <c r="F3745" t="s">
        <v>21</v>
      </c>
      <c r="G3745" t="s">
        <v>42</v>
      </c>
      <c r="H3745" t="s">
        <v>20</v>
      </c>
      <c r="I3745" s="1">
        <v>2</v>
      </c>
      <c r="J3745" s="2">
        <v>45876</v>
      </c>
      <c r="K3745" s="2">
        <v>45870</v>
      </c>
      <c r="L3745" s="1" t="str">
        <f t="shared" si="439"/>
        <v>qui</v>
      </c>
      <c r="M3745" s="1" t="str">
        <f t="shared" si="440"/>
        <v>ago</v>
      </c>
      <c r="N3745">
        <f t="shared" si="441"/>
        <v>2025</v>
      </c>
      <c r="O3745" s="2">
        <f>_xlfn.XLOOKUP(A3745,Colaboradores!$A:$A,Colaboradores!$S:$S,"",0)</f>
        <v>46048</v>
      </c>
      <c r="P3745" t="str">
        <f t="shared" si="438"/>
        <v>176745876</v>
      </c>
    </row>
    <row r="3746" spans="1:16" x14ac:dyDescent="0.3">
      <c r="A3746">
        <v>1767</v>
      </c>
      <c r="B3746">
        <v>35</v>
      </c>
      <c r="C3746" t="s">
        <v>26</v>
      </c>
      <c r="D3746" t="s">
        <v>16</v>
      </c>
      <c r="E3746" t="s">
        <v>17</v>
      </c>
      <c r="F3746" t="s">
        <v>21</v>
      </c>
      <c r="G3746" t="s">
        <v>42</v>
      </c>
      <c r="H3746" t="s">
        <v>20</v>
      </c>
      <c r="I3746" s="1">
        <v>2</v>
      </c>
      <c r="J3746" s="2">
        <v>46176</v>
      </c>
      <c r="K3746" s="2">
        <v>46023</v>
      </c>
      <c r="L3746" s="1" t="str">
        <f t="shared" si="439"/>
        <v>qua</v>
      </c>
      <c r="M3746" s="1" t="str">
        <f t="shared" si="440"/>
        <v>jun</v>
      </c>
      <c r="N3746">
        <f t="shared" si="441"/>
        <v>2026</v>
      </c>
      <c r="O3746" s="2">
        <f>_xlfn.XLOOKUP(A3746,Colaboradores!$A:$A,Colaboradores!$S:$S,"",0)</f>
        <v>46048</v>
      </c>
      <c r="P3746" t="str">
        <f t="shared" si="438"/>
        <v>176746176</v>
      </c>
    </row>
    <row r="3747" spans="1:16" x14ac:dyDescent="0.3">
      <c r="A3747">
        <v>1767</v>
      </c>
      <c r="B3747">
        <v>35</v>
      </c>
      <c r="C3747" t="s">
        <v>26</v>
      </c>
      <c r="D3747" t="s">
        <v>16</v>
      </c>
      <c r="E3747" t="s">
        <v>17</v>
      </c>
      <c r="F3747" t="s">
        <v>21</v>
      </c>
      <c r="G3747" t="s">
        <v>42</v>
      </c>
      <c r="H3747" t="s">
        <v>20</v>
      </c>
      <c r="I3747" s="1">
        <v>2</v>
      </c>
      <c r="J3747" s="2">
        <v>46179</v>
      </c>
      <c r="K3747" s="2">
        <v>46023</v>
      </c>
      <c r="L3747" s="1" t="str">
        <f t="shared" si="439"/>
        <v>sáb</v>
      </c>
      <c r="M3747" s="1" t="str">
        <f t="shared" si="440"/>
        <v>jun</v>
      </c>
      <c r="N3747">
        <f t="shared" si="441"/>
        <v>2026</v>
      </c>
      <c r="O3747" s="2">
        <f>_xlfn.XLOOKUP(A3747,Colaboradores!$A:$A,Colaboradores!$S:$S,"",0)</f>
        <v>46048</v>
      </c>
      <c r="P3747" t="str">
        <f t="shared" si="438"/>
        <v>176746179</v>
      </c>
    </row>
    <row r="3748" spans="1:16" x14ac:dyDescent="0.3">
      <c r="A3748">
        <v>1768</v>
      </c>
      <c r="B3748">
        <v>44</v>
      </c>
      <c r="C3748" t="s">
        <v>26</v>
      </c>
      <c r="D3748" t="s">
        <v>27</v>
      </c>
      <c r="E3748" t="s">
        <v>17</v>
      </c>
      <c r="F3748" t="s">
        <v>23</v>
      </c>
      <c r="G3748" t="s">
        <v>41</v>
      </c>
      <c r="H3748" t="s">
        <v>25</v>
      </c>
      <c r="I3748" s="1">
        <v>2</v>
      </c>
      <c r="J3748" s="2">
        <v>45825</v>
      </c>
      <c r="K3748" s="2">
        <v>45809</v>
      </c>
      <c r="L3748" s="1" t="str">
        <f t="shared" si="439"/>
        <v>ter</v>
      </c>
      <c r="M3748" s="1" t="str">
        <f t="shared" si="440"/>
        <v>jun</v>
      </c>
      <c r="N3748">
        <f t="shared" si="441"/>
        <v>2025</v>
      </c>
      <c r="O3748" s="2"/>
      <c r="P3748" t="str">
        <f t="shared" si="438"/>
        <v>176845825</v>
      </c>
    </row>
    <row r="3749" spans="1:16" x14ac:dyDescent="0.3">
      <c r="A3749">
        <v>1768</v>
      </c>
      <c r="B3749">
        <v>44</v>
      </c>
      <c r="C3749" t="s">
        <v>26</v>
      </c>
      <c r="D3749" t="s">
        <v>27</v>
      </c>
      <c r="E3749" t="s">
        <v>17</v>
      </c>
      <c r="F3749" t="s">
        <v>23</v>
      </c>
      <c r="G3749" t="s">
        <v>41</v>
      </c>
      <c r="H3749" t="s">
        <v>25</v>
      </c>
      <c r="I3749" s="1">
        <v>2</v>
      </c>
      <c r="J3749" s="2">
        <v>45918</v>
      </c>
      <c r="K3749" s="2">
        <v>45901</v>
      </c>
      <c r="L3749" s="1" t="str">
        <f t="shared" si="439"/>
        <v>qui</v>
      </c>
      <c r="M3749" s="1" t="str">
        <f t="shared" si="440"/>
        <v>set</v>
      </c>
      <c r="N3749">
        <f t="shared" si="441"/>
        <v>2025</v>
      </c>
      <c r="O3749" s="2"/>
      <c r="P3749" t="str">
        <f t="shared" si="438"/>
        <v>176845918</v>
      </c>
    </row>
    <row r="3750" spans="1:16" x14ac:dyDescent="0.3">
      <c r="A3750">
        <v>1768</v>
      </c>
      <c r="B3750">
        <v>44</v>
      </c>
      <c r="C3750" t="s">
        <v>26</v>
      </c>
      <c r="D3750" t="s">
        <v>27</v>
      </c>
      <c r="E3750" t="s">
        <v>17</v>
      </c>
      <c r="F3750" t="s">
        <v>23</v>
      </c>
      <c r="G3750" t="s">
        <v>41</v>
      </c>
      <c r="H3750" t="s">
        <v>25</v>
      </c>
      <c r="I3750" s="1">
        <v>2</v>
      </c>
      <c r="J3750" s="2">
        <v>45959</v>
      </c>
      <c r="K3750" s="2">
        <v>45931</v>
      </c>
      <c r="L3750" s="1" t="str">
        <f t="shared" si="439"/>
        <v>qua</v>
      </c>
      <c r="M3750" s="1" t="str">
        <f t="shared" si="440"/>
        <v>out</v>
      </c>
      <c r="N3750">
        <f t="shared" si="441"/>
        <v>2025</v>
      </c>
      <c r="O3750" s="2"/>
      <c r="P3750" t="str">
        <f t="shared" si="438"/>
        <v>176845959</v>
      </c>
    </row>
    <row r="3751" spans="1:16" x14ac:dyDescent="0.3">
      <c r="A3751">
        <v>1768</v>
      </c>
      <c r="B3751">
        <v>44</v>
      </c>
      <c r="C3751" t="s">
        <v>26</v>
      </c>
      <c r="D3751" t="s">
        <v>27</v>
      </c>
      <c r="E3751" t="s">
        <v>17</v>
      </c>
      <c r="F3751" t="s">
        <v>23</v>
      </c>
      <c r="G3751" t="s">
        <v>41</v>
      </c>
      <c r="H3751" t="s">
        <v>25</v>
      </c>
      <c r="I3751" s="1">
        <v>2</v>
      </c>
      <c r="J3751" s="2">
        <v>45975</v>
      </c>
      <c r="K3751" s="2">
        <v>45962</v>
      </c>
      <c r="L3751" s="1" t="str">
        <f t="shared" si="439"/>
        <v>sex</v>
      </c>
      <c r="M3751" s="1" t="str">
        <f t="shared" si="440"/>
        <v>nov</v>
      </c>
      <c r="N3751">
        <f t="shared" si="441"/>
        <v>2025</v>
      </c>
      <c r="O3751" s="2"/>
      <c r="P3751" t="str">
        <f t="shared" si="438"/>
        <v>176845975</v>
      </c>
    </row>
    <row r="3752" spans="1:16" x14ac:dyDescent="0.3">
      <c r="A3752">
        <v>1768</v>
      </c>
      <c r="B3752">
        <v>44</v>
      </c>
      <c r="C3752" t="s">
        <v>26</v>
      </c>
      <c r="D3752" t="s">
        <v>27</v>
      </c>
      <c r="E3752" t="s">
        <v>17</v>
      </c>
      <c r="F3752" t="s">
        <v>23</v>
      </c>
      <c r="G3752" t="s">
        <v>41</v>
      </c>
      <c r="H3752" t="s">
        <v>25</v>
      </c>
      <c r="I3752" s="1">
        <v>2</v>
      </c>
      <c r="J3752" s="2">
        <v>46177</v>
      </c>
      <c r="K3752" s="2">
        <v>46023</v>
      </c>
      <c r="L3752" s="1" t="str">
        <f t="shared" si="439"/>
        <v>qui</v>
      </c>
      <c r="M3752" s="1" t="str">
        <f t="shared" si="440"/>
        <v>jun</v>
      </c>
      <c r="N3752">
        <f t="shared" si="441"/>
        <v>2026</v>
      </c>
      <c r="O3752" s="2"/>
      <c r="P3752" t="str">
        <f t="shared" si="438"/>
        <v>176846177</v>
      </c>
    </row>
    <row r="3753" spans="1:16" x14ac:dyDescent="0.3">
      <c r="A3753">
        <v>1769</v>
      </c>
      <c r="B3753">
        <v>30</v>
      </c>
      <c r="C3753" t="s">
        <v>26</v>
      </c>
      <c r="D3753" t="s">
        <v>16</v>
      </c>
      <c r="E3753" t="s">
        <v>17</v>
      </c>
      <c r="F3753" t="s">
        <v>21</v>
      </c>
      <c r="G3753" t="s">
        <v>41</v>
      </c>
      <c r="H3753" t="s">
        <v>25</v>
      </c>
      <c r="I3753" s="1">
        <v>2</v>
      </c>
      <c r="J3753" s="2">
        <v>45881</v>
      </c>
      <c r="K3753" s="2">
        <v>45870</v>
      </c>
      <c r="L3753" s="1" t="str">
        <f t="shared" si="439"/>
        <v>ter</v>
      </c>
      <c r="M3753" s="1" t="str">
        <f t="shared" si="440"/>
        <v>ago</v>
      </c>
      <c r="N3753">
        <f t="shared" si="441"/>
        <v>2025</v>
      </c>
      <c r="O3753" s="2"/>
      <c r="P3753" t="str">
        <f t="shared" si="438"/>
        <v>176945881</v>
      </c>
    </row>
    <row r="3754" spans="1:16" x14ac:dyDescent="0.3">
      <c r="A3754">
        <v>1769</v>
      </c>
      <c r="B3754">
        <v>30</v>
      </c>
      <c r="C3754" t="s">
        <v>26</v>
      </c>
      <c r="D3754" t="s">
        <v>16</v>
      </c>
      <c r="E3754" t="s">
        <v>17</v>
      </c>
      <c r="F3754" t="s">
        <v>21</v>
      </c>
      <c r="G3754" t="s">
        <v>41</v>
      </c>
      <c r="H3754" t="s">
        <v>25</v>
      </c>
      <c r="I3754" s="1">
        <v>2</v>
      </c>
      <c r="J3754" s="2">
        <v>45887</v>
      </c>
      <c r="K3754" s="2">
        <v>45870</v>
      </c>
      <c r="L3754" s="1" t="str">
        <f t="shared" si="439"/>
        <v>seg</v>
      </c>
      <c r="M3754" s="1" t="str">
        <f t="shared" si="440"/>
        <v>ago</v>
      </c>
      <c r="N3754">
        <f t="shared" si="441"/>
        <v>2025</v>
      </c>
      <c r="O3754" s="2"/>
      <c r="P3754" t="str">
        <f t="shared" si="438"/>
        <v>176945887</v>
      </c>
    </row>
    <row r="3755" spans="1:16" x14ac:dyDescent="0.3">
      <c r="A3755">
        <v>1769</v>
      </c>
      <c r="B3755">
        <v>30</v>
      </c>
      <c r="C3755" t="s">
        <v>26</v>
      </c>
      <c r="D3755" t="s">
        <v>16</v>
      </c>
      <c r="E3755" t="s">
        <v>17</v>
      </c>
      <c r="F3755" t="s">
        <v>21</v>
      </c>
      <c r="G3755" t="s">
        <v>44</v>
      </c>
      <c r="H3755" t="s">
        <v>25</v>
      </c>
      <c r="I3755" s="1">
        <v>2</v>
      </c>
      <c r="J3755" s="2">
        <v>45890</v>
      </c>
      <c r="K3755" s="2">
        <v>45870</v>
      </c>
      <c r="L3755" s="1" t="str">
        <f t="shared" si="439"/>
        <v>qui</v>
      </c>
      <c r="M3755" s="1" t="str">
        <f t="shared" si="440"/>
        <v>ago</v>
      </c>
      <c r="N3755">
        <f t="shared" si="441"/>
        <v>2025</v>
      </c>
      <c r="O3755" s="2"/>
      <c r="P3755" t="str">
        <f t="shared" si="438"/>
        <v>176945890</v>
      </c>
    </row>
    <row r="3756" spans="1:16" x14ac:dyDescent="0.3">
      <c r="A3756">
        <v>1769</v>
      </c>
      <c r="B3756">
        <v>30</v>
      </c>
      <c r="C3756" t="s">
        <v>26</v>
      </c>
      <c r="D3756" t="s">
        <v>16</v>
      </c>
      <c r="E3756" t="s">
        <v>17</v>
      </c>
      <c r="F3756" t="s">
        <v>21</v>
      </c>
      <c r="G3756" t="s">
        <v>41</v>
      </c>
      <c r="H3756" t="s">
        <v>25</v>
      </c>
      <c r="I3756" s="1">
        <v>2</v>
      </c>
      <c r="J3756" s="2">
        <v>45935</v>
      </c>
      <c r="K3756" s="2">
        <v>45931</v>
      </c>
      <c r="L3756" s="1" t="str">
        <f t="shared" si="439"/>
        <v>dom</v>
      </c>
      <c r="M3756" s="1" t="str">
        <f t="shared" si="440"/>
        <v>out</v>
      </c>
      <c r="N3756">
        <f t="shared" si="441"/>
        <v>2025</v>
      </c>
      <c r="O3756" s="2"/>
      <c r="P3756" t="str">
        <f t="shared" si="438"/>
        <v>176945935</v>
      </c>
    </row>
    <row r="3757" spans="1:16" x14ac:dyDescent="0.3">
      <c r="A3757">
        <v>1769</v>
      </c>
      <c r="B3757">
        <v>30</v>
      </c>
      <c r="C3757" t="s">
        <v>26</v>
      </c>
      <c r="D3757" t="s">
        <v>16</v>
      </c>
      <c r="E3757" t="s">
        <v>17</v>
      </c>
      <c r="F3757" t="s">
        <v>21</v>
      </c>
      <c r="G3757" t="s">
        <v>44</v>
      </c>
      <c r="H3757" t="s">
        <v>25</v>
      </c>
      <c r="I3757" s="1">
        <v>2</v>
      </c>
      <c r="J3757" s="2">
        <v>45961</v>
      </c>
      <c r="K3757" s="2">
        <v>45931</v>
      </c>
      <c r="L3757" s="1" t="str">
        <f t="shared" si="439"/>
        <v>sex</v>
      </c>
      <c r="M3757" s="1" t="str">
        <f t="shared" si="440"/>
        <v>out</v>
      </c>
      <c r="N3757">
        <f t="shared" si="441"/>
        <v>2025</v>
      </c>
      <c r="O3757" s="2"/>
      <c r="P3757" t="str">
        <f t="shared" si="438"/>
        <v>176945961</v>
      </c>
    </row>
    <row r="3758" spans="1:16" x14ac:dyDescent="0.3">
      <c r="A3758">
        <v>1769</v>
      </c>
      <c r="B3758">
        <v>30</v>
      </c>
      <c r="C3758" t="s">
        <v>26</v>
      </c>
      <c r="D3758" t="s">
        <v>16</v>
      </c>
      <c r="E3758" t="s">
        <v>17</v>
      </c>
      <c r="F3758" t="s">
        <v>21</v>
      </c>
      <c r="G3758" t="s">
        <v>41</v>
      </c>
      <c r="H3758" t="s">
        <v>25</v>
      </c>
      <c r="I3758" s="1">
        <v>2</v>
      </c>
      <c r="J3758" s="2">
        <v>45984</v>
      </c>
      <c r="K3758" s="2">
        <v>45962</v>
      </c>
      <c r="L3758" s="1" t="str">
        <f t="shared" si="439"/>
        <v>dom</v>
      </c>
      <c r="M3758" s="1" t="str">
        <f t="shared" si="440"/>
        <v>nov</v>
      </c>
      <c r="N3758">
        <f t="shared" si="441"/>
        <v>2025</v>
      </c>
      <c r="O3758" s="2"/>
      <c r="P3758" t="str">
        <f t="shared" si="438"/>
        <v>176945984</v>
      </c>
    </row>
    <row r="3759" spans="1:16" x14ac:dyDescent="0.3">
      <c r="A3759">
        <v>1770</v>
      </c>
      <c r="B3759">
        <v>29</v>
      </c>
      <c r="C3759" t="s">
        <v>15</v>
      </c>
      <c r="D3759" t="s">
        <v>31</v>
      </c>
      <c r="E3759" t="s">
        <v>34</v>
      </c>
      <c r="F3759" t="s">
        <v>18</v>
      </c>
      <c r="G3759" t="s">
        <v>41</v>
      </c>
      <c r="H3759" t="s">
        <v>25</v>
      </c>
      <c r="I3759" s="1">
        <v>1</v>
      </c>
      <c r="J3759" s="2">
        <v>45844</v>
      </c>
      <c r="K3759" s="2">
        <v>45839</v>
      </c>
      <c r="L3759" s="1" t="str">
        <f t="shared" si="439"/>
        <v>dom</v>
      </c>
      <c r="M3759" s="1" t="str">
        <f t="shared" si="440"/>
        <v>jul</v>
      </c>
      <c r="N3759">
        <f t="shared" si="441"/>
        <v>2025</v>
      </c>
      <c r="O3759" s="2"/>
      <c r="P3759" t="str">
        <f t="shared" si="438"/>
        <v>177045844</v>
      </c>
    </row>
    <row r="3760" spans="1:16" x14ac:dyDescent="0.3">
      <c r="A3760">
        <v>1770</v>
      </c>
      <c r="B3760">
        <v>29</v>
      </c>
      <c r="C3760" t="s">
        <v>15</v>
      </c>
      <c r="D3760" t="s">
        <v>31</v>
      </c>
      <c r="E3760" t="s">
        <v>34</v>
      </c>
      <c r="F3760" t="s">
        <v>18</v>
      </c>
      <c r="G3760" t="s">
        <v>41</v>
      </c>
      <c r="H3760" t="s">
        <v>25</v>
      </c>
      <c r="I3760" s="1">
        <v>1</v>
      </c>
      <c r="J3760" s="2">
        <v>45917</v>
      </c>
      <c r="K3760" s="2">
        <v>45901</v>
      </c>
      <c r="L3760" s="1" t="str">
        <f t="shared" si="439"/>
        <v>qua</v>
      </c>
      <c r="M3760" s="1" t="str">
        <f t="shared" si="440"/>
        <v>set</v>
      </c>
      <c r="N3760">
        <f t="shared" si="441"/>
        <v>2025</v>
      </c>
      <c r="O3760" s="2"/>
      <c r="P3760" t="str">
        <f t="shared" si="438"/>
        <v>177045917</v>
      </c>
    </row>
    <row r="3761" spans="1:16" x14ac:dyDescent="0.3">
      <c r="A3761">
        <v>1770</v>
      </c>
      <c r="B3761">
        <v>29</v>
      </c>
      <c r="C3761" t="s">
        <v>15</v>
      </c>
      <c r="D3761" t="s">
        <v>31</v>
      </c>
      <c r="E3761" t="s">
        <v>34</v>
      </c>
      <c r="F3761" t="s">
        <v>18</v>
      </c>
      <c r="G3761" t="s">
        <v>41</v>
      </c>
      <c r="H3761" t="s">
        <v>25</v>
      </c>
      <c r="I3761" s="1">
        <v>1</v>
      </c>
      <c r="J3761" s="2">
        <v>45965</v>
      </c>
      <c r="K3761" s="2">
        <v>45962</v>
      </c>
      <c r="L3761" s="1" t="str">
        <f t="shared" ref="L3761:L3795" si="442">TEXT(J3761,"ddd")</f>
        <v>ter</v>
      </c>
      <c r="M3761" s="1" t="str">
        <f t="shared" ref="M3761:M3795" si="443">TEXT($J3761,"mmm")</f>
        <v>nov</v>
      </c>
      <c r="N3761">
        <f t="shared" ref="N3761:N3795" si="444">YEAR(J3761)</f>
        <v>2025</v>
      </c>
      <c r="O3761" s="2"/>
      <c r="P3761" t="str">
        <f t="shared" si="438"/>
        <v>177045965</v>
      </c>
    </row>
    <row r="3762" spans="1:16" x14ac:dyDescent="0.3">
      <c r="A3762">
        <v>1770</v>
      </c>
      <c r="B3762">
        <v>29</v>
      </c>
      <c r="C3762" t="s">
        <v>15</v>
      </c>
      <c r="D3762" t="s">
        <v>31</v>
      </c>
      <c r="E3762" t="s">
        <v>34</v>
      </c>
      <c r="F3762" t="s">
        <v>18</v>
      </c>
      <c r="G3762" t="s">
        <v>41</v>
      </c>
      <c r="H3762" t="s">
        <v>25</v>
      </c>
      <c r="I3762" s="1">
        <v>1</v>
      </c>
      <c r="J3762" s="2">
        <v>46096</v>
      </c>
      <c r="K3762" s="2">
        <v>46082</v>
      </c>
      <c r="L3762" s="1" t="str">
        <f t="shared" si="442"/>
        <v>dom</v>
      </c>
      <c r="M3762" s="1" t="str">
        <f t="shared" si="443"/>
        <v>mar</v>
      </c>
      <c r="N3762">
        <f t="shared" si="444"/>
        <v>2026</v>
      </c>
      <c r="O3762" s="2"/>
      <c r="P3762" t="str">
        <f t="shared" si="438"/>
        <v>177046096</v>
      </c>
    </row>
    <row r="3763" spans="1:16" x14ac:dyDescent="0.3">
      <c r="A3763">
        <v>1771</v>
      </c>
      <c r="B3763">
        <v>52</v>
      </c>
      <c r="C3763" t="s">
        <v>26</v>
      </c>
      <c r="D3763" t="s">
        <v>22</v>
      </c>
      <c r="E3763" t="s">
        <v>17</v>
      </c>
      <c r="F3763" t="s">
        <v>23</v>
      </c>
      <c r="G3763" t="s">
        <v>43</v>
      </c>
      <c r="H3763" t="s">
        <v>25</v>
      </c>
      <c r="I3763" s="1">
        <v>3</v>
      </c>
      <c r="J3763" s="2">
        <v>45845</v>
      </c>
      <c r="K3763" s="2">
        <v>45839</v>
      </c>
      <c r="L3763" s="1" t="str">
        <f t="shared" si="442"/>
        <v>seg</v>
      </c>
      <c r="M3763" s="1" t="str">
        <f t="shared" si="443"/>
        <v>jul</v>
      </c>
      <c r="N3763">
        <f t="shared" si="444"/>
        <v>2025</v>
      </c>
      <c r="O3763" s="2"/>
      <c r="P3763" t="str">
        <f t="shared" si="438"/>
        <v>177145845</v>
      </c>
    </row>
    <row r="3764" spans="1:16" x14ac:dyDescent="0.3">
      <c r="A3764">
        <v>1771</v>
      </c>
      <c r="B3764">
        <v>52</v>
      </c>
      <c r="C3764" t="s">
        <v>26</v>
      </c>
      <c r="D3764" t="s">
        <v>22</v>
      </c>
      <c r="E3764" t="s">
        <v>17</v>
      </c>
      <c r="F3764" t="s">
        <v>23</v>
      </c>
      <c r="G3764" t="s">
        <v>43</v>
      </c>
      <c r="H3764" t="s">
        <v>25</v>
      </c>
      <c r="I3764" s="1">
        <v>3</v>
      </c>
      <c r="J3764" s="2">
        <v>45942</v>
      </c>
      <c r="K3764" s="2">
        <v>45931</v>
      </c>
      <c r="L3764" s="1" t="str">
        <f t="shared" si="442"/>
        <v>dom</v>
      </c>
      <c r="M3764" s="1" t="str">
        <f t="shared" si="443"/>
        <v>out</v>
      </c>
      <c r="N3764">
        <f t="shared" si="444"/>
        <v>2025</v>
      </c>
      <c r="O3764" s="2"/>
      <c r="P3764" t="str">
        <f t="shared" si="438"/>
        <v>177145942</v>
      </c>
    </row>
    <row r="3765" spans="1:16" x14ac:dyDescent="0.3">
      <c r="A3765">
        <v>1771</v>
      </c>
      <c r="B3765">
        <v>52</v>
      </c>
      <c r="C3765" t="s">
        <v>26</v>
      </c>
      <c r="D3765" t="s">
        <v>22</v>
      </c>
      <c r="E3765" t="s">
        <v>17</v>
      </c>
      <c r="F3765" t="s">
        <v>23</v>
      </c>
      <c r="G3765" t="s">
        <v>43</v>
      </c>
      <c r="H3765" t="s">
        <v>25</v>
      </c>
      <c r="I3765" s="1">
        <v>3</v>
      </c>
      <c r="J3765" s="2">
        <v>46182</v>
      </c>
      <c r="K3765" s="2">
        <v>46023</v>
      </c>
      <c r="L3765" s="1" t="str">
        <f t="shared" si="442"/>
        <v>ter</v>
      </c>
      <c r="M3765" s="1" t="str">
        <f t="shared" si="443"/>
        <v>jun</v>
      </c>
      <c r="N3765">
        <f t="shared" si="444"/>
        <v>2026</v>
      </c>
      <c r="O3765" s="2"/>
      <c r="P3765" t="str">
        <f t="shared" si="438"/>
        <v>177146182</v>
      </c>
    </row>
    <row r="3766" spans="1:16" x14ac:dyDescent="0.3">
      <c r="A3766">
        <v>1771</v>
      </c>
      <c r="B3766">
        <v>52</v>
      </c>
      <c r="C3766" t="s">
        <v>26</v>
      </c>
      <c r="D3766" t="s">
        <v>22</v>
      </c>
      <c r="E3766" t="s">
        <v>17</v>
      </c>
      <c r="F3766" t="s">
        <v>23</v>
      </c>
      <c r="G3766" t="s">
        <v>41</v>
      </c>
      <c r="H3766" t="s">
        <v>25</v>
      </c>
      <c r="I3766" s="1">
        <v>3</v>
      </c>
      <c r="J3766" s="2">
        <v>46194</v>
      </c>
      <c r="K3766" s="2">
        <v>46023</v>
      </c>
      <c r="L3766" s="1" t="str">
        <f t="shared" si="442"/>
        <v>dom</v>
      </c>
      <c r="M3766" s="1" t="str">
        <f t="shared" si="443"/>
        <v>jun</v>
      </c>
      <c r="N3766">
        <f t="shared" si="444"/>
        <v>2026</v>
      </c>
      <c r="O3766" s="2"/>
      <c r="P3766" t="str">
        <f t="shared" si="438"/>
        <v>177146194</v>
      </c>
    </row>
    <row r="3767" spans="1:16" x14ac:dyDescent="0.3">
      <c r="A3767">
        <v>1771</v>
      </c>
      <c r="B3767">
        <v>52</v>
      </c>
      <c r="C3767" t="s">
        <v>26</v>
      </c>
      <c r="D3767" t="s">
        <v>22</v>
      </c>
      <c r="E3767" t="s">
        <v>17</v>
      </c>
      <c r="F3767" t="s">
        <v>23</v>
      </c>
      <c r="G3767" t="s">
        <v>43</v>
      </c>
      <c r="H3767" t="s">
        <v>25</v>
      </c>
      <c r="I3767" s="1">
        <v>3</v>
      </c>
      <c r="J3767" s="2">
        <v>46085</v>
      </c>
      <c r="K3767" s="2">
        <v>46082</v>
      </c>
      <c r="L3767" s="1" t="str">
        <f t="shared" si="442"/>
        <v>qua</v>
      </c>
      <c r="M3767" s="1" t="str">
        <f t="shared" si="443"/>
        <v>mar</v>
      </c>
      <c r="N3767">
        <f t="shared" si="444"/>
        <v>2026</v>
      </c>
      <c r="O3767" s="2"/>
      <c r="P3767" t="str">
        <f t="shared" si="438"/>
        <v>177146085</v>
      </c>
    </row>
    <row r="3768" spans="1:16" x14ac:dyDescent="0.3">
      <c r="A3768">
        <v>1772</v>
      </c>
      <c r="B3768">
        <v>34</v>
      </c>
      <c r="C3768" t="s">
        <v>15</v>
      </c>
      <c r="D3768" t="s">
        <v>16</v>
      </c>
      <c r="E3768" t="s">
        <v>17</v>
      </c>
      <c r="F3768" t="s">
        <v>18</v>
      </c>
      <c r="G3768" t="s">
        <v>43</v>
      </c>
      <c r="H3768" t="s">
        <v>25</v>
      </c>
      <c r="I3768" s="1">
        <v>2</v>
      </c>
      <c r="J3768" s="2">
        <v>45904</v>
      </c>
      <c r="K3768" s="2">
        <v>45901</v>
      </c>
      <c r="L3768" s="1" t="str">
        <f t="shared" si="442"/>
        <v>qui</v>
      </c>
      <c r="M3768" s="1" t="str">
        <f t="shared" si="443"/>
        <v>set</v>
      </c>
      <c r="N3768">
        <f t="shared" si="444"/>
        <v>2025</v>
      </c>
      <c r="O3768" s="2"/>
      <c r="P3768" t="str">
        <f t="shared" si="438"/>
        <v>177245904</v>
      </c>
    </row>
    <row r="3769" spans="1:16" x14ac:dyDescent="0.3">
      <c r="A3769">
        <v>1772</v>
      </c>
      <c r="B3769">
        <v>34</v>
      </c>
      <c r="C3769" t="s">
        <v>15</v>
      </c>
      <c r="D3769" t="s">
        <v>16</v>
      </c>
      <c r="E3769" t="s">
        <v>17</v>
      </c>
      <c r="F3769" t="s">
        <v>18</v>
      </c>
      <c r="G3769" t="s">
        <v>43</v>
      </c>
      <c r="H3769" t="s">
        <v>25</v>
      </c>
      <c r="I3769" s="1">
        <v>2</v>
      </c>
      <c r="J3769" s="2">
        <v>45910</v>
      </c>
      <c r="K3769" s="2">
        <v>45901</v>
      </c>
      <c r="L3769" s="1" t="str">
        <f t="shared" si="442"/>
        <v>qua</v>
      </c>
      <c r="M3769" s="1" t="str">
        <f t="shared" si="443"/>
        <v>set</v>
      </c>
      <c r="N3769">
        <f t="shared" si="444"/>
        <v>2025</v>
      </c>
      <c r="O3769" s="2"/>
      <c r="P3769" t="str">
        <f t="shared" si="438"/>
        <v>177245910</v>
      </c>
    </row>
    <row r="3770" spans="1:16" x14ac:dyDescent="0.3">
      <c r="A3770">
        <v>1772</v>
      </c>
      <c r="B3770">
        <v>34</v>
      </c>
      <c r="C3770" t="s">
        <v>15</v>
      </c>
      <c r="D3770" t="s">
        <v>16</v>
      </c>
      <c r="E3770" t="s">
        <v>17</v>
      </c>
      <c r="F3770" t="s">
        <v>18</v>
      </c>
      <c r="G3770" t="s">
        <v>43</v>
      </c>
      <c r="H3770" t="s">
        <v>25</v>
      </c>
      <c r="I3770" s="1">
        <v>2</v>
      </c>
      <c r="J3770" s="2">
        <v>45933</v>
      </c>
      <c r="K3770" s="2">
        <v>45931</v>
      </c>
      <c r="L3770" s="1" t="str">
        <f t="shared" si="442"/>
        <v>sex</v>
      </c>
      <c r="M3770" s="1" t="str">
        <f t="shared" si="443"/>
        <v>out</v>
      </c>
      <c r="N3770">
        <f t="shared" si="444"/>
        <v>2025</v>
      </c>
      <c r="O3770" s="2"/>
      <c r="P3770" t="str">
        <f t="shared" si="438"/>
        <v>177245933</v>
      </c>
    </row>
    <row r="3771" spans="1:16" x14ac:dyDescent="0.3">
      <c r="A3771">
        <v>1772</v>
      </c>
      <c r="B3771">
        <v>34</v>
      </c>
      <c r="C3771" t="s">
        <v>15</v>
      </c>
      <c r="D3771" t="s">
        <v>16</v>
      </c>
      <c r="E3771" t="s">
        <v>17</v>
      </c>
      <c r="F3771" t="s">
        <v>18</v>
      </c>
      <c r="G3771" t="s">
        <v>43</v>
      </c>
      <c r="H3771" t="s">
        <v>25</v>
      </c>
      <c r="I3771" s="1">
        <v>2</v>
      </c>
      <c r="J3771" s="2">
        <v>45959</v>
      </c>
      <c r="K3771" s="2">
        <v>45931</v>
      </c>
      <c r="L3771" s="1" t="str">
        <f t="shared" si="442"/>
        <v>qua</v>
      </c>
      <c r="M3771" s="1" t="str">
        <f t="shared" si="443"/>
        <v>out</v>
      </c>
      <c r="N3771">
        <f t="shared" si="444"/>
        <v>2025</v>
      </c>
      <c r="O3771" s="2"/>
      <c r="P3771" t="str">
        <f t="shared" si="438"/>
        <v>177245959</v>
      </c>
    </row>
    <row r="3772" spans="1:16" x14ac:dyDescent="0.3">
      <c r="A3772">
        <v>1772</v>
      </c>
      <c r="B3772">
        <v>34</v>
      </c>
      <c r="C3772" t="s">
        <v>15</v>
      </c>
      <c r="D3772" t="s">
        <v>16</v>
      </c>
      <c r="E3772" t="s">
        <v>17</v>
      </c>
      <c r="F3772" t="s">
        <v>18</v>
      </c>
      <c r="G3772" t="s">
        <v>43</v>
      </c>
      <c r="H3772" t="s">
        <v>25</v>
      </c>
      <c r="I3772" s="1">
        <v>2</v>
      </c>
      <c r="J3772" s="2">
        <v>46193</v>
      </c>
      <c r="K3772" s="2">
        <v>46023</v>
      </c>
      <c r="L3772" s="1" t="str">
        <f t="shared" si="442"/>
        <v>sáb</v>
      </c>
      <c r="M3772" s="1" t="str">
        <f t="shared" si="443"/>
        <v>jun</v>
      </c>
      <c r="N3772">
        <f t="shared" si="444"/>
        <v>2026</v>
      </c>
      <c r="O3772" s="2"/>
      <c r="P3772" t="str">
        <f t="shared" si="438"/>
        <v>177246193</v>
      </c>
    </row>
    <row r="3773" spans="1:16" x14ac:dyDescent="0.3">
      <c r="A3773">
        <v>1772</v>
      </c>
      <c r="B3773">
        <v>34</v>
      </c>
      <c r="C3773" t="s">
        <v>15</v>
      </c>
      <c r="D3773" t="s">
        <v>16</v>
      </c>
      <c r="E3773" t="s">
        <v>17</v>
      </c>
      <c r="F3773" t="s">
        <v>18</v>
      </c>
      <c r="G3773" t="s">
        <v>43</v>
      </c>
      <c r="H3773" t="s">
        <v>25</v>
      </c>
      <c r="I3773" s="1">
        <v>2</v>
      </c>
      <c r="J3773" s="2">
        <v>46071</v>
      </c>
      <c r="K3773" s="2">
        <v>46054</v>
      </c>
      <c r="L3773" s="1" t="str">
        <f t="shared" si="442"/>
        <v>qua</v>
      </c>
      <c r="M3773" s="1" t="str">
        <f t="shared" si="443"/>
        <v>fev</v>
      </c>
      <c r="N3773">
        <f t="shared" si="444"/>
        <v>2026</v>
      </c>
      <c r="O3773" s="2"/>
      <c r="P3773" t="str">
        <f t="shared" si="438"/>
        <v>177246071</v>
      </c>
    </row>
    <row r="3774" spans="1:16" x14ac:dyDescent="0.3">
      <c r="A3774">
        <v>1773</v>
      </c>
      <c r="B3774">
        <v>50</v>
      </c>
      <c r="C3774" t="s">
        <v>26</v>
      </c>
      <c r="D3774" t="s">
        <v>16</v>
      </c>
      <c r="E3774" t="s">
        <v>17</v>
      </c>
      <c r="F3774" t="s">
        <v>21</v>
      </c>
      <c r="G3774" t="s">
        <v>43</v>
      </c>
      <c r="H3774" t="s">
        <v>20</v>
      </c>
      <c r="I3774" s="1">
        <v>2</v>
      </c>
      <c r="J3774" s="2">
        <v>45919</v>
      </c>
      <c r="K3774" s="2">
        <v>45901</v>
      </c>
      <c r="L3774" s="1" t="str">
        <f t="shared" si="442"/>
        <v>sex</v>
      </c>
      <c r="M3774" s="1" t="str">
        <f t="shared" si="443"/>
        <v>set</v>
      </c>
      <c r="N3774">
        <f t="shared" si="444"/>
        <v>2025</v>
      </c>
      <c r="O3774" s="2">
        <f>_xlfn.XLOOKUP(A3774,Colaboradores!$A:$A,Colaboradores!$S:$S,"",0)</f>
        <v>46106</v>
      </c>
      <c r="P3774" t="str">
        <f t="shared" ref="P3774:P3837" si="445">CONCATENATE(A3774,J3774)</f>
        <v>177345919</v>
      </c>
    </row>
    <row r="3775" spans="1:16" x14ac:dyDescent="0.3">
      <c r="A3775">
        <v>1773</v>
      </c>
      <c r="B3775">
        <v>50</v>
      </c>
      <c r="C3775" t="s">
        <v>26</v>
      </c>
      <c r="D3775" t="s">
        <v>16</v>
      </c>
      <c r="E3775" t="s">
        <v>17</v>
      </c>
      <c r="F3775" t="s">
        <v>21</v>
      </c>
      <c r="G3775" t="s">
        <v>43</v>
      </c>
      <c r="H3775" t="s">
        <v>20</v>
      </c>
      <c r="I3775" s="1">
        <v>2</v>
      </c>
      <c r="J3775" s="2">
        <v>45980</v>
      </c>
      <c r="K3775" s="2">
        <v>45962</v>
      </c>
      <c r="L3775" s="1" t="str">
        <f t="shared" si="442"/>
        <v>qua</v>
      </c>
      <c r="M3775" s="1" t="str">
        <f t="shared" si="443"/>
        <v>nov</v>
      </c>
      <c r="N3775">
        <f t="shared" si="444"/>
        <v>2025</v>
      </c>
      <c r="O3775" s="2">
        <f>_xlfn.XLOOKUP(A3775,Colaboradores!$A:$A,Colaboradores!$S:$S,"",0)</f>
        <v>46106</v>
      </c>
      <c r="P3775" t="str">
        <f t="shared" si="445"/>
        <v>177345980</v>
      </c>
    </row>
    <row r="3776" spans="1:16" x14ac:dyDescent="0.3">
      <c r="A3776">
        <v>1773</v>
      </c>
      <c r="B3776">
        <v>50</v>
      </c>
      <c r="C3776" t="s">
        <v>26</v>
      </c>
      <c r="D3776" t="s">
        <v>16</v>
      </c>
      <c r="E3776" t="s">
        <v>17</v>
      </c>
      <c r="F3776" t="s">
        <v>21</v>
      </c>
      <c r="G3776" t="s">
        <v>43</v>
      </c>
      <c r="H3776" t="s">
        <v>20</v>
      </c>
      <c r="I3776" s="1">
        <v>2</v>
      </c>
      <c r="J3776" s="2">
        <v>45999</v>
      </c>
      <c r="K3776" s="2">
        <v>45992</v>
      </c>
      <c r="L3776" s="1" t="str">
        <f t="shared" si="442"/>
        <v>seg</v>
      </c>
      <c r="M3776" s="1" t="str">
        <f t="shared" si="443"/>
        <v>dez</v>
      </c>
      <c r="N3776">
        <f t="shared" si="444"/>
        <v>2025</v>
      </c>
      <c r="O3776" s="2">
        <f>_xlfn.XLOOKUP(A3776,Colaboradores!$A:$A,Colaboradores!$S:$S,"",0)</f>
        <v>46106</v>
      </c>
      <c r="P3776" t="str">
        <f t="shared" si="445"/>
        <v>177345999</v>
      </c>
    </row>
    <row r="3777" spans="1:16" x14ac:dyDescent="0.3">
      <c r="A3777">
        <v>1773</v>
      </c>
      <c r="B3777">
        <v>50</v>
      </c>
      <c r="C3777" t="s">
        <v>26</v>
      </c>
      <c r="D3777" t="s">
        <v>16</v>
      </c>
      <c r="E3777" t="s">
        <v>17</v>
      </c>
      <c r="F3777" t="s">
        <v>21</v>
      </c>
      <c r="G3777" t="s">
        <v>43</v>
      </c>
      <c r="H3777" t="s">
        <v>20</v>
      </c>
      <c r="I3777" s="1">
        <v>2</v>
      </c>
      <c r="J3777" s="2">
        <v>46180</v>
      </c>
      <c r="K3777" s="2">
        <v>46023</v>
      </c>
      <c r="L3777" s="1" t="str">
        <f t="shared" si="442"/>
        <v>dom</v>
      </c>
      <c r="M3777" s="1" t="str">
        <f t="shared" si="443"/>
        <v>jun</v>
      </c>
      <c r="N3777">
        <f t="shared" si="444"/>
        <v>2026</v>
      </c>
      <c r="O3777" s="2">
        <f>_xlfn.XLOOKUP(A3777,Colaboradores!$A:$A,Colaboradores!$S:$S,"",0)</f>
        <v>46106</v>
      </c>
      <c r="P3777" t="str">
        <f t="shared" si="445"/>
        <v>177346180</v>
      </c>
    </row>
    <row r="3778" spans="1:16" x14ac:dyDescent="0.3">
      <c r="A3778">
        <v>1773</v>
      </c>
      <c r="B3778">
        <v>50</v>
      </c>
      <c r="C3778" t="s">
        <v>26</v>
      </c>
      <c r="D3778" t="s">
        <v>16</v>
      </c>
      <c r="E3778" t="s">
        <v>17</v>
      </c>
      <c r="F3778" t="s">
        <v>21</v>
      </c>
      <c r="G3778" t="s">
        <v>43</v>
      </c>
      <c r="H3778" t="s">
        <v>20</v>
      </c>
      <c r="I3778" s="1">
        <v>2</v>
      </c>
      <c r="J3778" s="2">
        <v>46087</v>
      </c>
      <c r="K3778" s="2">
        <v>46082</v>
      </c>
      <c r="L3778" s="1" t="str">
        <f t="shared" si="442"/>
        <v>sex</v>
      </c>
      <c r="M3778" s="1" t="str">
        <f t="shared" si="443"/>
        <v>mar</v>
      </c>
      <c r="N3778">
        <f t="shared" si="444"/>
        <v>2026</v>
      </c>
      <c r="O3778" s="2">
        <f>_xlfn.XLOOKUP(A3778,Colaboradores!$A:$A,Colaboradores!$S:$S,"",0)</f>
        <v>46106</v>
      </c>
      <c r="P3778" t="str">
        <f t="shared" si="445"/>
        <v>177346087</v>
      </c>
    </row>
    <row r="3779" spans="1:16" x14ac:dyDescent="0.3">
      <c r="A3779">
        <v>1773</v>
      </c>
      <c r="B3779">
        <v>50</v>
      </c>
      <c r="C3779" t="s">
        <v>26</v>
      </c>
      <c r="D3779" t="s">
        <v>16</v>
      </c>
      <c r="E3779" t="s">
        <v>17</v>
      </c>
      <c r="F3779" t="s">
        <v>21</v>
      </c>
      <c r="G3779" t="s">
        <v>43</v>
      </c>
      <c r="H3779" t="s">
        <v>20</v>
      </c>
      <c r="I3779" s="1">
        <v>2</v>
      </c>
      <c r="J3779" s="2">
        <v>46095</v>
      </c>
      <c r="K3779" s="2">
        <v>46082</v>
      </c>
      <c r="L3779" s="1" t="str">
        <f t="shared" si="442"/>
        <v>sáb</v>
      </c>
      <c r="M3779" s="1" t="str">
        <f t="shared" si="443"/>
        <v>mar</v>
      </c>
      <c r="N3779">
        <f t="shared" si="444"/>
        <v>2026</v>
      </c>
      <c r="O3779" s="2">
        <f>_xlfn.XLOOKUP(A3779,Colaboradores!$A:$A,Colaboradores!$S:$S,"",0)</f>
        <v>46106</v>
      </c>
      <c r="P3779" t="str">
        <f t="shared" si="445"/>
        <v>177346095</v>
      </c>
    </row>
    <row r="3780" spans="1:16" x14ac:dyDescent="0.3">
      <c r="A3780">
        <v>1774</v>
      </c>
      <c r="B3780">
        <v>46</v>
      </c>
      <c r="C3780" t="s">
        <v>26</v>
      </c>
      <c r="D3780" t="s">
        <v>31</v>
      </c>
      <c r="E3780" t="s">
        <v>34</v>
      </c>
      <c r="F3780" t="s">
        <v>21</v>
      </c>
      <c r="G3780" t="s">
        <v>41</v>
      </c>
      <c r="H3780" t="s">
        <v>25</v>
      </c>
      <c r="I3780" s="1">
        <v>1</v>
      </c>
      <c r="J3780" s="2">
        <v>45945</v>
      </c>
      <c r="K3780" s="2">
        <v>45931</v>
      </c>
      <c r="L3780" s="1" t="str">
        <f t="shared" si="442"/>
        <v>qua</v>
      </c>
      <c r="M3780" s="1" t="str">
        <f t="shared" si="443"/>
        <v>out</v>
      </c>
      <c r="N3780">
        <f t="shared" si="444"/>
        <v>2025</v>
      </c>
      <c r="O3780" s="2"/>
      <c r="P3780" t="str">
        <f t="shared" si="445"/>
        <v>177445945</v>
      </c>
    </row>
    <row r="3781" spans="1:16" x14ac:dyDescent="0.3">
      <c r="A3781">
        <v>1774</v>
      </c>
      <c r="B3781">
        <v>46</v>
      </c>
      <c r="C3781" t="s">
        <v>26</v>
      </c>
      <c r="D3781" t="s">
        <v>31</v>
      </c>
      <c r="E3781" t="s">
        <v>34</v>
      </c>
      <c r="F3781" t="s">
        <v>21</v>
      </c>
      <c r="G3781" t="s">
        <v>41</v>
      </c>
      <c r="H3781" t="s">
        <v>25</v>
      </c>
      <c r="I3781" s="1">
        <v>1</v>
      </c>
      <c r="J3781" s="2">
        <v>45950</v>
      </c>
      <c r="K3781" s="2">
        <v>45931</v>
      </c>
      <c r="L3781" s="1" t="str">
        <f t="shared" si="442"/>
        <v>seg</v>
      </c>
      <c r="M3781" s="1" t="str">
        <f t="shared" si="443"/>
        <v>out</v>
      </c>
      <c r="N3781">
        <f t="shared" si="444"/>
        <v>2025</v>
      </c>
      <c r="O3781" s="2"/>
      <c r="P3781" t="str">
        <f t="shared" si="445"/>
        <v>177445950</v>
      </c>
    </row>
    <row r="3782" spans="1:16" x14ac:dyDescent="0.3">
      <c r="A3782">
        <v>1774</v>
      </c>
      <c r="B3782">
        <v>46</v>
      </c>
      <c r="C3782" t="s">
        <v>26</v>
      </c>
      <c r="D3782" t="s">
        <v>31</v>
      </c>
      <c r="E3782" t="s">
        <v>34</v>
      </c>
      <c r="F3782" t="s">
        <v>21</v>
      </c>
      <c r="G3782" t="s">
        <v>41</v>
      </c>
      <c r="H3782" t="s">
        <v>25</v>
      </c>
      <c r="I3782" s="1">
        <v>1</v>
      </c>
      <c r="J3782" s="2">
        <v>45996</v>
      </c>
      <c r="K3782" s="2">
        <v>45992</v>
      </c>
      <c r="L3782" s="1" t="str">
        <f t="shared" si="442"/>
        <v>sex</v>
      </c>
      <c r="M3782" s="1" t="str">
        <f t="shared" si="443"/>
        <v>dez</v>
      </c>
      <c r="N3782">
        <f t="shared" si="444"/>
        <v>2025</v>
      </c>
      <c r="O3782" s="2"/>
      <c r="P3782" t="str">
        <f t="shared" si="445"/>
        <v>177445996</v>
      </c>
    </row>
    <row r="3783" spans="1:16" x14ac:dyDescent="0.3">
      <c r="A3783">
        <v>1774</v>
      </c>
      <c r="B3783">
        <v>46</v>
      </c>
      <c r="C3783" t="s">
        <v>26</v>
      </c>
      <c r="D3783" t="s">
        <v>31</v>
      </c>
      <c r="E3783" t="s">
        <v>34</v>
      </c>
      <c r="F3783" t="s">
        <v>21</v>
      </c>
      <c r="G3783" t="s">
        <v>41</v>
      </c>
      <c r="H3783" t="s">
        <v>25</v>
      </c>
      <c r="I3783" s="1">
        <v>1</v>
      </c>
      <c r="J3783" s="2">
        <v>46098</v>
      </c>
      <c r="K3783" s="2">
        <v>46082</v>
      </c>
      <c r="L3783" s="1" t="str">
        <f t="shared" si="442"/>
        <v>ter</v>
      </c>
      <c r="M3783" s="1" t="str">
        <f t="shared" si="443"/>
        <v>mar</v>
      </c>
      <c r="N3783">
        <f t="shared" si="444"/>
        <v>2026</v>
      </c>
      <c r="O3783" s="2"/>
      <c r="P3783" t="str">
        <f t="shared" si="445"/>
        <v>177446098</v>
      </c>
    </row>
    <row r="3784" spans="1:16" x14ac:dyDescent="0.3">
      <c r="A3784">
        <v>1775</v>
      </c>
      <c r="B3784">
        <v>28</v>
      </c>
      <c r="C3784" t="s">
        <v>26</v>
      </c>
      <c r="D3784" t="s">
        <v>27</v>
      </c>
      <c r="E3784" t="s">
        <v>17</v>
      </c>
      <c r="F3784" t="s">
        <v>21</v>
      </c>
      <c r="G3784" t="s">
        <v>41</v>
      </c>
      <c r="H3784" t="s">
        <v>20</v>
      </c>
      <c r="I3784" s="1">
        <v>1</v>
      </c>
      <c r="J3784" s="2">
        <v>45700</v>
      </c>
      <c r="K3784" s="2">
        <v>45689</v>
      </c>
      <c r="L3784" s="1" t="str">
        <f t="shared" si="442"/>
        <v>qua</v>
      </c>
      <c r="M3784" s="1" t="str">
        <f t="shared" si="443"/>
        <v>fev</v>
      </c>
      <c r="N3784">
        <f t="shared" si="444"/>
        <v>2025</v>
      </c>
      <c r="O3784" s="2">
        <f>_xlfn.XLOOKUP(A3784,Colaboradores!$A:$A,Colaboradores!$S:$S,"",0)</f>
        <v>45750</v>
      </c>
      <c r="P3784" t="str">
        <f t="shared" si="445"/>
        <v>177545700</v>
      </c>
    </row>
    <row r="3785" spans="1:16" x14ac:dyDescent="0.3">
      <c r="A3785">
        <v>1775</v>
      </c>
      <c r="B3785">
        <v>28</v>
      </c>
      <c r="C3785" t="s">
        <v>26</v>
      </c>
      <c r="D3785" t="s">
        <v>27</v>
      </c>
      <c r="E3785" t="s">
        <v>17</v>
      </c>
      <c r="F3785" t="s">
        <v>21</v>
      </c>
      <c r="G3785" t="s">
        <v>41</v>
      </c>
      <c r="H3785" t="s">
        <v>20</v>
      </c>
      <c r="I3785" s="1">
        <v>1</v>
      </c>
      <c r="J3785" s="2">
        <v>45721</v>
      </c>
      <c r="K3785" s="2">
        <v>45717</v>
      </c>
      <c r="L3785" s="1" t="str">
        <f t="shared" si="442"/>
        <v>qua</v>
      </c>
      <c r="M3785" s="1" t="str">
        <f t="shared" si="443"/>
        <v>mar</v>
      </c>
      <c r="N3785">
        <f t="shared" si="444"/>
        <v>2025</v>
      </c>
      <c r="O3785" s="2">
        <f>_xlfn.XLOOKUP(A3785,Colaboradores!$A:$A,Colaboradores!$S:$S,"",0)</f>
        <v>45750</v>
      </c>
      <c r="P3785" t="str">
        <f t="shared" si="445"/>
        <v>177545721</v>
      </c>
    </row>
    <row r="3786" spans="1:16" x14ac:dyDescent="0.3">
      <c r="A3786">
        <v>1775</v>
      </c>
      <c r="B3786">
        <v>28</v>
      </c>
      <c r="C3786" t="s">
        <v>26</v>
      </c>
      <c r="D3786" t="s">
        <v>27</v>
      </c>
      <c r="E3786" t="s">
        <v>17</v>
      </c>
      <c r="F3786" t="s">
        <v>21</v>
      </c>
      <c r="G3786" t="s">
        <v>57</v>
      </c>
      <c r="H3786" t="s">
        <v>20</v>
      </c>
      <c r="I3786" s="1">
        <v>1</v>
      </c>
      <c r="J3786" s="2">
        <v>45722</v>
      </c>
      <c r="K3786" s="2">
        <v>45717</v>
      </c>
      <c r="L3786" s="1" t="str">
        <f t="shared" si="442"/>
        <v>qui</v>
      </c>
      <c r="M3786" s="1" t="str">
        <f t="shared" si="443"/>
        <v>mar</v>
      </c>
      <c r="N3786">
        <f t="shared" si="444"/>
        <v>2025</v>
      </c>
      <c r="O3786" s="2">
        <f>_xlfn.XLOOKUP(A3786,Colaboradores!$A:$A,Colaboradores!$S:$S,"",0)</f>
        <v>45750</v>
      </c>
      <c r="P3786" t="str">
        <f t="shared" si="445"/>
        <v>177545722</v>
      </c>
    </row>
    <row r="3787" spans="1:16" x14ac:dyDescent="0.3">
      <c r="A3787">
        <v>1775</v>
      </c>
      <c r="B3787">
        <v>28</v>
      </c>
      <c r="C3787" t="s">
        <v>26</v>
      </c>
      <c r="D3787" t="s">
        <v>27</v>
      </c>
      <c r="E3787" t="s">
        <v>17</v>
      </c>
      <c r="F3787" t="s">
        <v>21</v>
      </c>
      <c r="G3787" t="s">
        <v>41</v>
      </c>
      <c r="H3787" t="s">
        <v>20</v>
      </c>
      <c r="I3787" s="1">
        <v>1</v>
      </c>
      <c r="J3787" s="2">
        <v>45723</v>
      </c>
      <c r="K3787" s="2">
        <v>45717</v>
      </c>
      <c r="L3787" s="1" t="str">
        <f t="shared" si="442"/>
        <v>sex</v>
      </c>
      <c r="M3787" s="1" t="str">
        <f t="shared" si="443"/>
        <v>mar</v>
      </c>
      <c r="N3787">
        <f t="shared" si="444"/>
        <v>2025</v>
      </c>
      <c r="O3787" s="2">
        <f>_xlfn.XLOOKUP(A3787,Colaboradores!$A:$A,Colaboradores!$S:$S,"",0)</f>
        <v>45750</v>
      </c>
      <c r="P3787" t="str">
        <f t="shared" si="445"/>
        <v>177545723</v>
      </c>
    </row>
    <row r="3788" spans="1:16" x14ac:dyDescent="0.3">
      <c r="A3788">
        <v>1775</v>
      </c>
      <c r="B3788">
        <v>28</v>
      </c>
      <c r="C3788" t="s">
        <v>26</v>
      </c>
      <c r="D3788" t="s">
        <v>27</v>
      </c>
      <c r="E3788" t="s">
        <v>17</v>
      </c>
      <c r="F3788" t="s">
        <v>21</v>
      </c>
      <c r="G3788" t="s">
        <v>41</v>
      </c>
      <c r="H3788" t="s">
        <v>20</v>
      </c>
      <c r="I3788" s="1">
        <v>1</v>
      </c>
      <c r="J3788" s="2">
        <v>45733</v>
      </c>
      <c r="K3788" s="2">
        <v>45717</v>
      </c>
      <c r="L3788" s="1" t="str">
        <f t="shared" si="442"/>
        <v>seg</v>
      </c>
      <c r="M3788" s="1" t="str">
        <f t="shared" si="443"/>
        <v>mar</v>
      </c>
      <c r="N3788">
        <f t="shared" si="444"/>
        <v>2025</v>
      </c>
      <c r="O3788" s="2">
        <f>_xlfn.XLOOKUP(A3788,Colaboradores!$A:$A,Colaboradores!$S:$S,"",0)</f>
        <v>45750</v>
      </c>
      <c r="P3788" t="str">
        <f t="shared" si="445"/>
        <v>177545733</v>
      </c>
    </row>
    <row r="3789" spans="1:16" x14ac:dyDescent="0.3">
      <c r="A3789">
        <v>1775</v>
      </c>
      <c r="B3789">
        <v>28</v>
      </c>
      <c r="C3789" t="s">
        <v>26</v>
      </c>
      <c r="D3789" t="s">
        <v>27</v>
      </c>
      <c r="E3789" t="s">
        <v>17</v>
      </c>
      <c r="F3789" t="s">
        <v>21</v>
      </c>
      <c r="G3789" t="s">
        <v>57</v>
      </c>
      <c r="H3789" t="s">
        <v>20</v>
      </c>
      <c r="I3789" s="1">
        <v>1</v>
      </c>
      <c r="J3789" s="2">
        <v>45746</v>
      </c>
      <c r="K3789" s="2">
        <v>45717</v>
      </c>
      <c r="L3789" s="1" t="str">
        <f t="shared" si="442"/>
        <v>dom</v>
      </c>
      <c r="M3789" s="1" t="str">
        <f t="shared" si="443"/>
        <v>mar</v>
      </c>
      <c r="N3789">
        <f t="shared" si="444"/>
        <v>2025</v>
      </c>
      <c r="O3789" s="2">
        <f>_xlfn.XLOOKUP(A3789,Colaboradores!$A:$A,Colaboradores!$S:$S,"",0)</f>
        <v>45750</v>
      </c>
      <c r="P3789" t="str">
        <f t="shared" si="445"/>
        <v>177545746</v>
      </c>
    </row>
    <row r="3790" spans="1:16" x14ac:dyDescent="0.3">
      <c r="A3790">
        <v>1776</v>
      </c>
      <c r="B3790">
        <v>26</v>
      </c>
      <c r="C3790" t="s">
        <v>26</v>
      </c>
      <c r="D3790" t="s">
        <v>16</v>
      </c>
      <c r="E3790" t="s">
        <v>17</v>
      </c>
      <c r="F3790" t="s">
        <v>21</v>
      </c>
      <c r="G3790" t="s">
        <v>40</v>
      </c>
      <c r="H3790" t="s">
        <v>25</v>
      </c>
      <c r="I3790" s="1">
        <v>1</v>
      </c>
      <c r="J3790" s="2">
        <v>45748</v>
      </c>
      <c r="K3790" s="2">
        <v>45748</v>
      </c>
      <c r="L3790" s="1" t="str">
        <f t="shared" si="442"/>
        <v>ter</v>
      </c>
      <c r="M3790" s="1" t="str">
        <f t="shared" si="443"/>
        <v>abr</v>
      </c>
      <c r="N3790">
        <f t="shared" si="444"/>
        <v>2025</v>
      </c>
      <c r="O3790" s="2"/>
      <c r="P3790" t="str">
        <f t="shared" si="445"/>
        <v>177645748</v>
      </c>
    </row>
    <row r="3791" spans="1:16" x14ac:dyDescent="0.3">
      <c r="A3791">
        <v>1776</v>
      </c>
      <c r="B3791">
        <v>26</v>
      </c>
      <c r="C3791" t="s">
        <v>26</v>
      </c>
      <c r="D3791" t="s">
        <v>16</v>
      </c>
      <c r="E3791" t="s">
        <v>17</v>
      </c>
      <c r="F3791" t="s">
        <v>21</v>
      </c>
      <c r="G3791" t="s">
        <v>40</v>
      </c>
      <c r="H3791" t="s">
        <v>25</v>
      </c>
      <c r="I3791" s="1">
        <v>1</v>
      </c>
      <c r="J3791" s="2">
        <v>45824</v>
      </c>
      <c r="K3791" s="2">
        <v>45809</v>
      </c>
      <c r="L3791" s="1" t="str">
        <f t="shared" si="442"/>
        <v>seg</v>
      </c>
      <c r="M3791" s="1" t="str">
        <f t="shared" si="443"/>
        <v>jun</v>
      </c>
      <c r="N3791">
        <f t="shared" si="444"/>
        <v>2025</v>
      </c>
      <c r="O3791" s="2"/>
      <c r="P3791" t="str">
        <f t="shared" si="445"/>
        <v>177645824</v>
      </c>
    </row>
    <row r="3792" spans="1:16" x14ac:dyDescent="0.3">
      <c r="A3792">
        <v>1776</v>
      </c>
      <c r="B3792">
        <v>26</v>
      </c>
      <c r="C3792" t="s">
        <v>26</v>
      </c>
      <c r="D3792" t="s">
        <v>16</v>
      </c>
      <c r="E3792" t="s">
        <v>17</v>
      </c>
      <c r="F3792" t="s">
        <v>21</v>
      </c>
      <c r="G3792" t="s">
        <v>40</v>
      </c>
      <c r="H3792" t="s">
        <v>25</v>
      </c>
      <c r="I3792" s="1">
        <v>1</v>
      </c>
      <c r="J3792" s="2">
        <v>45984</v>
      </c>
      <c r="K3792" s="2">
        <v>45962</v>
      </c>
      <c r="L3792" s="1" t="str">
        <f t="shared" si="442"/>
        <v>dom</v>
      </c>
      <c r="M3792" s="1" t="str">
        <f t="shared" si="443"/>
        <v>nov</v>
      </c>
      <c r="N3792">
        <f t="shared" si="444"/>
        <v>2025</v>
      </c>
      <c r="O3792" s="2"/>
      <c r="P3792" t="str">
        <f t="shared" si="445"/>
        <v>177645984</v>
      </c>
    </row>
    <row r="3793" spans="1:16" x14ac:dyDescent="0.3">
      <c r="A3793">
        <v>1776</v>
      </c>
      <c r="B3793">
        <v>26</v>
      </c>
      <c r="C3793" t="s">
        <v>26</v>
      </c>
      <c r="D3793" t="s">
        <v>16</v>
      </c>
      <c r="E3793" t="s">
        <v>17</v>
      </c>
      <c r="F3793" t="s">
        <v>21</v>
      </c>
      <c r="G3793" t="s">
        <v>40</v>
      </c>
      <c r="H3793" t="s">
        <v>25</v>
      </c>
      <c r="I3793" s="1">
        <v>1</v>
      </c>
      <c r="J3793" s="2">
        <v>46013</v>
      </c>
      <c r="K3793" s="2">
        <v>45992</v>
      </c>
      <c r="L3793" s="1" t="str">
        <f t="shared" si="442"/>
        <v>seg</v>
      </c>
      <c r="M3793" s="1" t="str">
        <f t="shared" si="443"/>
        <v>dez</v>
      </c>
      <c r="N3793">
        <f t="shared" si="444"/>
        <v>2025</v>
      </c>
      <c r="O3793" s="2"/>
      <c r="P3793" t="str">
        <f t="shared" si="445"/>
        <v>177646013</v>
      </c>
    </row>
    <row r="3794" spans="1:16" x14ac:dyDescent="0.3">
      <c r="A3794">
        <v>1776</v>
      </c>
      <c r="B3794">
        <v>26</v>
      </c>
      <c r="C3794" t="s">
        <v>26</v>
      </c>
      <c r="D3794" t="s">
        <v>16</v>
      </c>
      <c r="E3794" t="s">
        <v>17</v>
      </c>
      <c r="F3794" t="s">
        <v>21</v>
      </c>
      <c r="G3794" t="s">
        <v>40</v>
      </c>
      <c r="H3794" t="s">
        <v>25</v>
      </c>
      <c r="I3794" s="1">
        <v>1</v>
      </c>
      <c r="J3794" s="2">
        <v>46021</v>
      </c>
      <c r="K3794" s="2">
        <v>45992</v>
      </c>
      <c r="L3794" s="1" t="str">
        <f t="shared" si="442"/>
        <v>ter</v>
      </c>
      <c r="M3794" s="1" t="str">
        <f t="shared" si="443"/>
        <v>dez</v>
      </c>
      <c r="N3794">
        <f t="shared" si="444"/>
        <v>2025</v>
      </c>
      <c r="O3794" s="2"/>
      <c r="P3794" t="str">
        <f t="shared" si="445"/>
        <v>177646021</v>
      </c>
    </row>
    <row r="3795" spans="1:16" x14ac:dyDescent="0.3">
      <c r="A3795">
        <v>1776</v>
      </c>
      <c r="B3795">
        <v>26</v>
      </c>
      <c r="C3795" t="s">
        <v>26</v>
      </c>
      <c r="D3795" t="s">
        <v>16</v>
      </c>
      <c r="E3795" t="s">
        <v>17</v>
      </c>
      <c r="F3795" t="s">
        <v>21</v>
      </c>
      <c r="G3795" t="s">
        <v>40</v>
      </c>
      <c r="H3795" t="s">
        <v>25</v>
      </c>
      <c r="I3795" s="1">
        <v>1</v>
      </c>
      <c r="J3795" s="2">
        <v>46103</v>
      </c>
      <c r="K3795" s="2">
        <v>46082</v>
      </c>
      <c r="L3795" s="1" t="str">
        <f t="shared" si="442"/>
        <v>dom</v>
      </c>
      <c r="M3795" s="1" t="str">
        <f t="shared" si="443"/>
        <v>mar</v>
      </c>
      <c r="N3795">
        <f t="shared" si="444"/>
        <v>2026</v>
      </c>
      <c r="O3795" s="2"/>
      <c r="P3795" t="str">
        <f t="shared" si="445"/>
        <v>177646103</v>
      </c>
    </row>
    <row r="3796" spans="1:16" x14ac:dyDescent="0.3">
      <c r="A3796">
        <v>1776</v>
      </c>
      <c r="B3796">
        <v>26</v>
      </c>
      <c r="C3796" t="s">
        <v>26</v>
      </c>
      <c r="D3796" t="s">
        <v>16</v>
      </c>
      <c r="E3796" t="s">
        <v>17</v>
      </c>
      <c r="F3796" t="s">
        <v>21</v>
      </c>
      <c r="G3796" t="s">
        <v>40</v>
      </c>
      <c r="H3796" t="s">
        <v>25</v>
      </c>
      <c r="I3796" s="1">
        <v>1</v>
      </c>
      <c r="J3796" s="2">
        <v>46113</v>
      </c>
      <c r="K3796" s="2">
        <v>46113</v>
      </c>
      <c r="L3796" s="1" t="s">
        <v>50</v>
      </c>
      <c r="M3796" s="1" t="s">
        <v>48</v>
      </c>
      <c r="N3796">
        <v>2025</v>
      </c>
      <c r="O3796" s="2"/>
      <c r="P3796" t="str">
        <f t="shared" si="445"/>
        <v>177646113</v>
      </c>
    </row>
    <row r="3797" spans="1:16" x14ac:dyDescent="0.3">
      <c r="A3797">
        <v>1777</v>
      </c>
      <c r="B3797">
        <v>56</v>
      </c>
      <c r="C3797" t="s">
        <v>15</v>
      </c>
      <c r="D3797" t="s">
        <v>29</v>
      </c>
      <c r="E3797" t="s">
        <v>17</v>
      </c>
      <c r="F3797" t="s">
        <v>21</v>
      </c>
      <c r="G3797" t="s">
        <v>40</v>
      </c>
      <c r="H3797" t="s">
        <v>25</v>
      </c>
      <c r="I3797" s="1">
        <v>2</v>
      </c>
      <c r="J3797" s="2">
        <v>45817</v>
      </c>
      <c r="K3797" s="2">
        <v>45809</v>
      </c>
      <c r="L3797" s="1" t="str">
        <f t="shared" ref="L3797:L3807" si="446">TEXT(J3797,"ddd")</f>
        <v>seg</v>
      </c>
      <c r="M3797" s="1" t="str">
        <f t="shared" ref="M3797:M3807" si="447">TEXT($J3797,"mmm")</f>
        <v>jun</v>
      </c>
      <c r="N3797">
        <f t="shared" ref="N3797:N3807" si="448">YEAR(J3797)</f>
        <v>2025</v>
      </c>
      <c r="O3797" s="2"/>
      <c r="P3797" t="str">
        <f t="shared" si="445"/>
        <v>177745817</v>
      </c>
    </row>
    <row r="3798" spans="1:16" x14ac:dyDescent="0.3">
      <c r="A3798">
        <v>1777</v>
      </c>
      <c r="B3798">
        <v>56</v>
      </c>
      <c r="C3798" t="s">
        <v>15</v>
      </c>
      <c r="D3798" t="s">
        <v>29</v>
      </c>
      <c r="E3798" t="s">
        <v>17</v>
      </c>
      <c r="F3798" t="s">
        <v>21</v>
      </c>
      <c r="G3798" t="s">
        <v>40</v>
      </c>
      <c r="H3798" t="s">
        <v>25</v>
      </c>
      <c r="I3798" s="1">
        <v>2</v>
      </c>
      <c r="J3798" s="2">
        <v>45820</v>
      </c>
      <c r="K3798" s="2">
        <v>45809</v>
      </c>
      <c r="L3798" s="1" t="str">
        <f t="shared" si="446"/>
        <v>qui</v>
      </c>
      <c r="M3798" s="1" t="str">
        <f t="shared" si="447"/>
        <v>jun</v>
      </c>
      <c r="N3798">
        <f t="shared" si="448"/>
        <v>2025</v>
      </c>
      <c r="O3798" s="2"/>
      <c r="P3798" t="str">
        <f t="shared" si="445"/>
        <v>177745820</v>
      </c>
    </row>
    <row r="3799" spans="1:16" x14ac:dyDescent="0.3">
      <c r="A3799">
        <v>1777</v>
      </c>
      <c r="B3799">
        <v>56</v>
      </c>
      <c r="C3799" t="s">
        <v>15</v>
      </c>
      <c r="D3799" t="s">
        <v>29</v>
      </c>
      <c r="E3799" t="s">
        <v>17</v>
      </c>
      <c r="F3799" t="s">
        <v>21</v>
      </c>
      <c r="G3799" t="s">
        <v>40</v>
      </c>
      <c r="H3799" t="s">
        <v>25</v>
      </c>
      <c r="I3799" s="1">
        <v>2</v>
      </c>
      <c r="J3799" s="2">
        <v>45877</v>
      </c>
      <c r="K3799" s="2">
        <v>45870</v>
      </c>
      <c r="L3799" s="1" t="str">
        <f t="shared" si="446"/>
        <v>sex</v>
      </c>
      <c r="M3799" s="1" t="str">
        <f t="shared" si="447"/>
        <v>ago</v>
      </c>
      <c r="N3799">
        <f t="shared" si="448"/>
        <v>2025</v>
      </c>
      <c r="O3799" s="2"/>
      <c r="P3799" t="str">
        <f t="shared" si="445"/>
        <v>177745877</v>
      </c>
    </row>
    <row r="3800" spans="1:16" x14ac:dyDescent="0.3">
      <c r="A3800">
        <v>1777</v>
      </c>
      <c r="B3800">
        <v>56</v>
      </c>
      <c r="C3800" t="s">
        <v>15</v>
      </c>
      <c r="D3800" t="s">
        <v>29</v>
      </c>
      <c r="E3800" t="s">
        <v>17</v>
      </c>
      <c r="F3800" t="s">
        <v>21</v>
      </c>
      <c r="G3800" t="s">
        <v>40</v>
      </c>
      <c r="H3800" t="s">
        <v>25</v>
      </c>
      <c r="I3800" s="1">
        <v>2</v>
      </c>
      <c r="J3800" s="2">
        <v>45943</v>
      </c>
      <c r="K3800" s="2">
        <v>45931</v>
      </c>
      <c r="L3800" s="1" t="str">
        <f t="shared" si="446"/>
        <v>seg</v>
      </c>
      <c r="M3800" s="1" t="str">
        <f t="shared" si="447"/>
        <v>out</v>
      </c>
      <c r="N3800">
        <f t="shared" si="448"/>
        <v>2025</v>
      </c>
      <c r="O3800" s="2"/>
      <c r="P3800" t="str">
        <f t="shared" si="445"/>
        <v>177745943</v>
      </c>
    </row>
    <row r="3801" spans="1:16" x14ac:dyDescent="0.3">
      <c r="A3801">
        <v>1777</v>
      </c>
      <c r="B3801">
        <v>56</v>
      </c>
      <c r="C3801" t="s">
        <v>15</v>
      </c>
      <c r="D3801" t="s">
        <v>29</v>
      </c>
      <c r="E3801" t="s">
        <v>17</v>
      </c>
      <c r="F3801" t="s">
        <v>21</v>
      </c>
      <c r="G3801" t="s">
        <v>40</v>
      </c>
      <c r="H3801" t="s">
        <v>25</v>
      </c>
      <c r="I3801" s="1">
        <v>2</v>
      </c>
      <c r="J3801" s="2">
        <v>46201</v>
      </c>
      <c r="K3801" s="2">
        <v>46023</v>
      </c>
      <c r="L3801" s="1" t="str">
        <f t="shared" si="446"/>
        <v>dom</v>
      </c>
      <c r="M3801" s="1" t="str">
        <f t="shared" si="447"/>
        <v>jun</v>
      </c>
      <c r="N3801">
        <f t="shared" si="448"/>
        <v>2026</v>
      </c>
      <c r="O3801" s="2"/>
      <c r="P3801" t="str">
        <f t="shared" si="445"/>
        <v>177746201</v>
      </c>
    </row>
    <row r="3802" spans="1:16" x14ac:dyDescent="0.3">
      <c r="A3802">
        <v>1777</v>
      </c>
      <c r="B3802">
        <v>56</v>
      </c>
      <c r="C3802" t="s">
        <v>15</v>
      </c>
      <c r="D3802" t="s">
        <v>29</v>
      </c>
      <c r="E3802" t="s">
        <v>17</v>
      </c>
      <c r="F3802" t="s">
        <v>21</v>
      </c>
      <c r="G3802" t="s">
        <v>40</v>
      </c>
      <c r="H3802" t="s">
        <v>25</v>
      </c>
      <c r="I3802" s="1">
        <v>2</v>
      </c>
      <c r="J3802" s="2">
        <v>46058</v>
      </c>
      <c r="K3802" s="2">
        <v>46054</v>
      </c>
      <c r="L3802" s="1" t="str">
        <f t="shared" si="446"/>
        <v>qui</v>
      </c>
      <c r="M3802" s="1" t="str">
        <f t="shared" si="447"/>
        <v>fev</v>
      </c>
      <c r="N3802">
        <f t="shared" si="448"/>
        <v>2026</v>
      </c>
      <c r="O3802" s="2"/>
      <c r="P3802" t="str">
        <f t="shared" si="445"/>
        <v>177746058</v>
      </c>
    </row>
    <row r="3803" spans="1:16" x14ac:dyDescent="0.3">
      <c r="A3803">
        <v>1778</v>
      </c>
      <c r="B3803">
        <v>27</v>
      </c>
      <c r="C3803" t="s">
        <v>15</v>
      </c>
      <c r="D3803" t="s">
        <v>16</v>
      </c>
      <c r="E3803" t="s">
        <v>17</v>
      </c>
      <c r="F3803" t="s">
        <v>21</v>
      </c>
      <c r="G3803" t="s">
        <v>41</v>
      </c>
      <c r="H3803" t="s">
        <v>25</v>
      </c>
      <c r="I3803" s="1">
        <v>2</v>
      </c>
      <c r="J3803" s="2">
        <v>45775</v>
      </c>
      <c r="K3803" s="2">
        <v>45748</v>
      </c>
      <c r="L3803" s="1" t="str">
        <f t="shared" si="446"/>
        <v>seg</v>
      </c>
      <c r="M3803" s="1" t="str">
        <f t="shared" si="447"/>
        <v>abr</v>
      </c>
      <c r="N3803">
        <f t="shared" si="448"/>
        <v>2025</v>
      </c>
      <c r="O3803" s="2"/>
      <c r="P3803" t="str">
        <f t="shared" si="445"/>
        <v>177845775</v>
      </c>
    </row>
    <row r="3804" spans="1:16" x14ac:dyDescent="0.3">
      <c r="A3804">
        <v>1778</v>
      </c>
      <c r="B3804">
        <v>27</v>
      </c>
      <c r="C3804" t="s">
        <v>15</v>
      </c>
      <c r="D3804" t="s">
        <v>16</v>
      </c>
      <c r="E3804" t="s">
        <v>17</v>
      </c>
      <c r="F3804" t="s">
        <v>21</v>
      </c>
      <c r="G3804" t="s">
        <v>41</v>
      </c>
      <c r="H3804" t="s">
        <v>25</v>
      </c>
      <c r="I3804" s="1">
        <v>2</v>
      </c>
      <c r="J3804" s="2">
        <v>45870</v>
      </c>
      <c r="K3804" s="2">
        <v>45870</v>
      </c>
      <c r="L3804" s="1" t="str">
        <f t="shared" si="446"/>
        <v>sex</v>
      </c>
      <c r="M3804" s="1" t="str">
        <f t="shared" si="447"/>
        <v>ago</v>
      </c>
      <c r="N3804">
        <f t="shared" si="448"/>
        <v>2025</v>
      </c>
      <c r="O3804" s="2"/>
      <c r="P3804" t="str">
        <f t="shared" si="445"/>
        <v>177845870</v>
      </c>
    </row>
    <row r="3805" spans="1:16" x14ac:dyDescent="0.3">
      <c r="A3805">
        <v>1778</v>
      </c>
      <c r="B3805">
        <v>27</v>
      </c>
      <c r="C3805" t="s">
        <v>15</v>
      </c>
      <c r="D3805" t="s">
        <v>16</v>
      </c>
      <c r="E3805" t="s">
        <v>17</v>
      </c>
      <c r="F3805" t="s">
        <v>21</v>
      </c>
      <c r="G3805" t="s">
        <v>41</v>
      </c>
      <c r="H3805" t="s">
        <v>25</v>
      </c>
      <c r="I3805" s="1">
        <v>2</v>
      </c>
      <c r="J3805" s="2">
        <v>45954</v>
      </c>
      <c r="K3805" s="2">
        <v>45931</v>
      </c>
      <c r="L3805" s="1" t="str">
        <f t="shared" si="446"/>
        <v>sex</v>
      </c>
      <c r="M3805" s="1" t="str">
        <f t="shared" si="447"/>
        <v>out</v>
      </c>
      <c r="N3805">
        <f t="shared" si="448"/>
        <v>2025</v>
      </c>
      <c r="O3805" s="2"/>
      <c r="P3805" t="str">
        <f t="shared" si="445"/>
        <v>177845954</v>
      </c>
    </row>
    <row r="3806" spans="1:16" x14ac:dyDescent="0.3">
      <c r="A3806">
        <v>1778</v>
      </c>
      <c r="B3806">
        <v>27</v>
      </c>
      <c r="C3806" t="s">
        <v>15</v>
      </c>
      <c r="D3806" t="s">
        <v>16</v>
      </c>
      <c r="E3806" t="s">
        <v>17</v>
      </c>
      <c r="F3806" t="s">
        <v>21</v>
      </c>
      <c r="G3806" t="s">
        <v>41</v>
      </c>
      <c r="H3806" t="s">
        <v>25</v>
      </c>
      <c r="I3806" s="1">
        <v>2</v>
      </c>
      <c r="J3806" s="2">
        <v>46193</v>
      </c>
      <c r="K3806" s="2">
        <v>46023</v>
      </c>
      <c r="L3806" s="1" t="str">
        <f t="shared" si="446"/>
        <v>sáb</v>
      </c>
      <c r="M3806" s="1" t="str">
        <f t="shared" si="447"/>
        <v>jun</v>
      </c>
      <c r="N3806">
        <f t="shared" si="448"/>
        <v>2026</v>
      </c>
      <c r="O3806" s="2"/>
      <c r="P3806" t="str">
        <f t="shared" si="445"/>
        <v>177846193</v>
      </c>
    </row>
    <row r="3807" spans="1:16" x14ac:dyDescent="0.3">
      <c r="A3807">
        <v>1778</v>
      </c>
      <c r="B3807">
        <v>27</v>
      </c>
      <c r="C3807" t="s">
        <v>15</v>
      </c>
      <c r="D3807" t="s">
        <v>16</v>
      </c>
      <c r="E3807" t="s">
        <v>17</v>
      </c>
      <c r="F3807" t="s">
        <v>21</v>
      </c>
      <c r="G3807" t="s">
        <v>41</v>
      </c>
      <c r="H3807" t="s">
        <v>25</v>
      </c>
      <c r="I3807" s="1">
        <v>2</v>
      </c>
      <c r="J3807" s="2">
        <v>46067</v>
      </c>
      <c r="K3807" s="2">
        <v>46054</v>
      </c>
      <c r="L3807" s="1" t="str">
        <f t="shared" si="446"/>
        <v>sáb</v>
      </c>
      <c r="M3807" s="1" t="str">
        <f t="shared" si="447"/>
        <v>fev</v>
      </c>
      <c r="N3807">
        <f t="shared" si="448"/>
        <v>2026</v>
      </c>
      <c r="O3807" s="2"/>
      <c r="P3807" t="str">
        <f t="shared" si="445"/>
        <v>177846067</v>
      </c>
    </row>
    <row r="3808" spans="1:16" x14ac:dyDescent="0.3">
      <c r="A3808">
        <v>1778</v>
      </c>
      <c r="B3808">
        <v>27</v>
      </c>
      <c r="C3808" t="s">
        <v>15</v>
      </c>
      <c r="D3808" t="s">
        <v>16</v>
      </c>
      <c r="E3808" t="s">
        <v>17</v>
      </c>
      <c r="F3808" t="s">
        <v>21</v>
      </c>
      <c r="G3808" t="s">
        <v>41</v>
      </c>
      <c r="H3808" t="s">
        <v>25</v>
      </c>
      <c r="I3808" s="1">
        <v>2</v>
      </c>
      <c r="J3808" s="2">
        <v>46140</v>
      </c>
      <c r="K3808" s="2">
        <v>46113</v>
      </c>
      <c r="L3808" s="1" t="s">
        <v>56</v>
      </c>
      <c r="M3808" s="1" t="s">
        <v>48</v>
      </c>
      <c r="N3808">
        <v>2025</v>
      </c>
      <c r="O3808" s="2"/>
      <c r="P3808" t="str">
        <f t="shared" si="445"/>
        <v>177846140</v>
      </c>
    </row>
    <row r="3809" spans="1:16" x14ac:dyDescent="0.3">
      <c r="A3809">
        <v>1779</v>
      </c>
      <c r="B3809">
        <v>47</v>
      </c>
      <c r="C3809" t="s">
        <v>15</v>
      </c>
      <c r="D3809" t="s">
        <v>29</v>
      </c>
      <c r="E3809" t="s">
        <v>17</v>
      </c>
      <c r="F3809" t="s">
        <v>18</v>
      </c>
      <c r="G3809" t="s">
        <v>41</v>
      </c>
      <c r="H3809" t="s">
        <v>25</v>
      </c>
      <c r="I3809" s="1">
        <v>2</v>
      </c>
      <c r="J3809" s="2">
        <v>45849</v>
      </c>
      <c r="K3809" s="2">
        <v>45839</v>
      </c>
      <c r="L3809" s="1" t="str">
        <f t="shared" ref="L3809:L3840" si="449">TEXT(J3809,"ddd")</f>
        <v>sex</v>
      </c>
      <c r="M3809" s="1" t="str">
        <f t="shared" ref="M3809:M3840" si="450">TEXT($J3809,"mmm")</f>
        <v>jul</v>
      </c>
      <c r="N3809">
        <f t="shared" ref="N3809:N3840" si="451">YEAR(J3809)</f>
        <v>2025</v>
      </c>
      <c r="O3809" s="2"/>
      <c r="P3809" t="str">
        <f t="shared" si="445"/>
        <v>177945849</v>
      </c>
    </row>
    <row r="3810" spans="1:16" x14ac:dyDescent="0.3">
      <c r="A3810">
        <v>1779</v>
      </c>
      <c r="B3810">
        <v>47</v>
      </c>
      <c r="C3810" t="s">
        <v>15</v>
      </c>
      <c r="D3810" t="s">
        <v>29</v>
      </c>
      <c r="E3810" t="s">
        <v>17</v>
      </c>
      <c r="F3810" t="s">
        <v>18</v>
      </c>
      <c r="G3810" t="s">
        <v>41</v>
      </c>
      <c r="H3810" t="s">
        <v>25</v>
      </c>
      <c r="I3810" s="1">
        <v>2</v>
      </c>
      <c r="J3810" s="2">
        <v>45884</v>
      </c>
      <c r="K3810" s="2">
        <v>45870</v>
      </c>
      <c r="L3810" s="1" t="str">
        <f t="shared" si="449"/>
        <v>sex</v>
      </c>
      <c r="M3810" s="1" t="str">
        <f t="shared" si="450"/>
        <v>ago</v>
      </c>
      <c r="N3810">
        <f t="shared" si="451"/>
        <v>2025</v>
      </c>
      <c r="O3810" s="2"/>
      <c r="P3810" t="str">
        <f t="shared" si="445"/>
        <v>177945884</v>
      </c>
    </row>
    <row r="3811" spans="1:16" x14ac:dyDescent="0.3">
      <c r="A3811">
        <v>1779</v>
      </c>
      <c r="B3811">
        <v>47</v>
      </c>
      <c r="C3811" t="s">
        <v>15</v>
      </c>
      <c r="D3811" t="s">
        <v>29</v>
      </c>
      <c r="E3811" t="s">
        <v>17</v>
      </c>
      <c r="F3811" t="s">
        <v>18</v>
      </c>
      <c r="G3811" t="s">
        <v>41</v>
      </c>
      <c r="H3811" t="s">
        <v>25</v>
      </c>
      <c r="I3811" s="1">
        <v>2</v>
      </c>
      <c r="J3811" s="2">
        <v>45892</v>
      </c>
      <c r="K3811" s="2">
        <v>45870</v>
      </c>
      <c r="L3811" s="1" t="str">
        <f t="shared" si="449"/>
        <v>sáb</v>
      </c>
      <c r="M3811" s="1" t="str">
        <f t="shared" si="450"/>
        <v>ago</v>
      </c>
      <c r="N3811">
        <f t="shared" si="451"/>
        <v>2025</v>
      </c>
      <c r="O3811" s="2"/>
      <c r="P3811" t="str">
        <f t="shared" si="445"/>
        <v>177945892</v>
      </c>
    </row>
    <row r="3812" spans="1:16" x14ac:dyDescent="0.3">
      <c r="A3812">
        <v>1779</v>
      </c>
      <c r="B3812">
        <v>47</v>
      </c>
      <c r="C3812" t="s">
        <v>15</v>
      </c>
      <c r="D3812" t="s">
        <v>29</v>
      </c>
      <c r="E3812" t="s">
        <v>17</v>
      </c>
      <c r="F3812" t="s">
        <v>18</v>
      </c>
      <c r="G3812" t="s">
        <v>41</v>
      </c>
      <c r="H3812" t="s">
        <v>25</v>
      </c>
      <c r="I3812" s="1">
        <v>2</v>
      </c>
      <c r="J3812" s="2">
        <v>45968</v>
      </c>
      <c r="K3812" s="2">
        <v>45962</v>
      </c>
      <c r="L3812" s="1" t="str">
        <f t="shared" si="449"/>
        <v>sex</v>
      </c>
      <c r="M3812" s="1" t="str">
        <f t="shared" si="450"/>
        <v>nov</v>
      </c>
      <c r="N3812">
        <f t="shared" si="451"/>
        <v>2025</v>
      </c>
      <c r="O3812" s="2"/>
      <c r="P3812" t="str">
        <f t="shared" si="445"/>
        <v>177945968</v>
      </c>
    </row>
    <row r="3813" spans="1:16" x14ac:dyDescent="0.3">
      <c r="A3813">
        <v>1779</v>
      </c>
      <c r="B3813">
        <v>47</v>
      </c>
      <c r="C3813" t="s">
        <v>15</v>
      </c>
      <c r="D3813" t="s">
        <v>29</v>
      </c>
      <c r="E3813" t="s">
        <v>17</v>
      </c>
      <c r="F3813" t="s">
        <v>18</v>
      </c>
      <c r="G3813" t="s">
        <v>41</v>
      </c>
      <c r="H3813" t="s">
        <v>25</v>
      </c>
      <c r="I3813" s="1">
        <v>2</v>
      </c>
      <c r="J3813" s="2">
        <v>45973</v>
      </c>
      <c r="K3813" s="2">
        <v>45962</v>
      </c>
      <c r="L3813" s="1" t="str">
        <f t="shared" si="449"/>
        <v>qua</v>
      </c>
      <c r="M3813" s="1" t="str">
        <f t="shared" si="450"/>
        <v>nov</v>
      </c>
      <c r="N3813">
        <f t="shared" si="451"/>
        <v>2025</v>
      </c>
      <c r="O3813" s="2"/>
      <c r="P3813" t="str">
        <f t="shared" si="445"/>
        <v>177945973</v>
      </c>
    </row>
    <row r="3814" spans="1:16" x14ac:dyDescent="0.3">
      <c r="A3814">
        <v>1780</v>
      </c>
      <c r="B3814">
        <v>18</v>
      </c>
      <c r="C3814" t="s">
        <v>15</v>
      </c>
      <c r="D3814" t="s">
        <v>29</v>
      </c>
      <c r="E3814" t="s">
        <v>17</v>
      </c>
      <c r="F3814" t="s">
        <v>23</v>
      </c>
      <c r="G3814" t="s">
        <v>41</v>
      </c>
      <c r="H3814" t="s">
        <v>20</v>
      </c>
      <c r="I3814" s="1">
        <v>3</v>
      </c>
      <c r="J3814" s="2">
        <v>45750</v>
      </c>
      <c r="K3814" s="2">
        <v>45748</v>
      </c>
      <c r="L3814" s="1" t="str">
        <f t="shared" si="449"/>
        <v>qui</v>
      </c>
      <c r="M3814" s="1" t="str">
        <f t="shared" si="450"/>
        <v>abr</v>
      </c>
      <c r="N3814">
        <f t="shared" si="451"/>
        <v>2025</v>
      </c>
      <c r="O3814" s="2">
        <f>_xlfn.XLOOKUP(A3814,Colaboradores!$A:$A,Colaboradores!$S:$S,"",0)</f>
        <v>45757</v>
      </c>
      <c r="P3814" t="str">
        <f t="shared" si="445"/>
        <v>178045750</v>
      </c>
    </row>
    <row r="3815" spans="1:16" x14ac:dyDescent="0.3">
      <c r="A3815">
        <v>1780</v>
      </c>
      <c r="B3815">
        <v>18</v>
      </c>
      <c r="C3815" t="s">
        <v>15</v>
      </c>
      <c r="D3815" t="s">
        <v>29</v>
      </c>
      <c r="E3815" t="s">
        <v>17</v>
      </c>
      <c r="F3815" t="s">
        <v>23</v>
      </c>
      <c r="G3815" t="s">
        <v>41</v>
      </c>
      <c r="H3815" t="s">
        <v>20</v>
      </c>
      <c r="I3815" s="1">
        <v>3</v>
      </c>
      <c r="J3815" s="2">
        <v>45751</v>
      </c>
      <c r="K3815" s="2">
        <v>45748</v>
      </c>
      <c r="L3815" s="1" t="str">
        <f t="shared" si="449"/>
        <v>sex</v>
      </c>
      <c r="M3815" s="1" t="str">
        <f t="shared" si="450"/>
        <v>abr</v>
      </c>
      <c r="N3815">
        <f t="shared" si="451"/>
        <v>2025</v>
      </c>
      <c r="O3815" s="2">
        <f>_xlfn.XLOOKUP(A3815,Colaboradores!$A:$A,Colaboradores!$S:$S,"",0)</f>
        <v>45757</v>
      </c>
      <c r="P3815" t="str">
        <f t="shared" si="445"/>
        <v>178045751</v>
      </c>
    </row>
    <row r="3816" spans="1:16" x14ac:dyDescent="0.3">
      <c r="A3816">
        <v>1780</v>
      </c>
      <c r="B3816">
        <v>18</v>
      </c>
      <c r="C3816" t="s">
        <v>15</v>
      </c>
      <c r="D3816" t="s">
        <v>29</v>
      </c>
      <c r="E3816" t="s">
        <v>17</v>
      </c>
      <c r="F3816" t="s">
        <v>23</v>
      </c>
      <c r="G3816" t="s">
        <v>41</v>
      </c>
      <c r="H3816" t="s">
        <v>20</v>
      </c>
      <c r="I3816" s="1">
        <v>3</v>
      </c>
      <c r="J3816" s="2">
        <v>45753</v>
      </c>
      <c r="K3816" s="2">
        <v>45748</v>
      </c>
      <c r="L3816" s="1" t="str">
        <f t="shared" si="449"/>
        <v>dom</v>
      </c>
      <c r="M3816" s="1" t="str">
        <f t="shared" si="450"/>
        <v>abr</v>
      </c>
      <c r="N3816">
        <f t="shared" si="451"/>
        <v>2025</v>
      </c>
      <c r="O3816" s="2">
        <f>_xlfn.XLOOKUP(A3816,Colaboradores!$A:$A,Colaboradores!$S:$S,"",0)</f>
        <v>45757</v>
      </c>
      <c r="P3816" t="str">
        <f t="shared" si="445"/>
        <v>178045753</v>
      </c>
    </row>
    <row r="3817" spans="1:16" x14ac:dyDescent="0.3">
      <c r="A3817">
        <v>1780</v>
      </c>
      <c r="B3817">
        <v>18</v>
      </c>
      <c r="C3817" t="s">
        <v>15</v>
      </c>
      <c r="D3817" t="s">
        <v>29</v>
      </c>
      <c r="E3817" t="s">
        <v>17</v>
      </c>
      <c r="F3817" t="s">
        <v>23</v>
      </c>
      <c r="G3817" t="s">
        <v>57</v>
      </c>
      <c r="H3817" t="s">
        <v>20</v>
      </c>
      <c r="I3817" s="1">
        <v>3</v>
      </c>
      <c r="J3817" s="2">
        <v>45754</v>
      </c>
      <c r="K3817" s="2">
        <v>45748</v>
      </c>
      <c r="L3817" s="1" t="str">
        <f t="shared" si="449"/>
        <v>seg</v>
      </c>
      <c r="M3817" s="1" t="str">
        <f t="shared" si="450"/>
        <v>abr</v>
      </c>
      <c r="N3817">
        <f t="shared" si="451"/>
        <v>2025</v>
      </c>
      <c r="O3817" s="2">
        <f>_xlfn.XLOOKUP(A3817,Colaboradores!$A:$A,Colaboradores!$S:$S,"",0)</f>
        <v>45757</v>
      </c>
      <c r="P3817" t="str">
        <f t="shared" si="445"/>
        <v>178045754</v>
      </c>
    </row>
    <row r="3818" spans="1:16" x14ac:dyDescent="0.3">
      <c r="A3818">
        <v>1780</v>
      </c>
      <c r="B3818">
        <v>18</v>
      </c>
      <c r="C3818" t="s">
        <v>15</v>
      </c>
      <c r="D3818" t="s">
        <v>29</v>
      </c>
      <c r="E3818" t="s">
        <v>17</v>
      </c>
      <c r="F3818" t="s">
        <v>23</v>
      </c>
      <c r="G3818" t="s">
        <v>41</v>
      </c>
      <c r="H3818" t="s">
        <v>20</v>
      </c>
      <c r="I3818" s="1">
        <v>3</v>
      </c>
      <c r="J3818" s="2">
        <v>45755</v>
      </c>
      <c r="K3818" s="2">
        <v>45748</v>
      </c>
      <c r="L3818" s="1" t="str">
        <f t="shared" si="449"/>
        <v>ter</v>
      </c>
      <c r="M3818" s="1" t="str">
        <f t="shared" si="450"/>
        <v>abr</v>
      </c>
      <c r="N3818">
        <f t="shared" si="451"/>
        <v>2025</v>
      </c>
      <c r="O3818" s="2">
        <f>_xlfn.XLOOKUP(A3818,Colaboradores!$A:$A,Colaboradores!$S:$S,"",0)</f>
        <v>45757</v>
      </c>
      <c r="P3818" t="str">
        <f t="shared" si="445"/>
        <v>178045755</v>
      </c>
    </row>
    <row r="3819" spans="1:16" x14ac:dyDescent="0.3">
      <c r="A3819">
        <v>1782</v>
      </c>
      <c r="B3819">
        <v>52</v>
      </c>
      <c r="C3819" t="s">
        <v>15</v>
      </c>
      <c r="D3819" t="s">
        <v>27</v>
      </c>
      <c r="E3819" t="s">
        <v>17</v>
      </c>
      <c r="F3819" t="s">
        <v>18</v>
      </c>
      <c r="G3819" t="s">
        <v>40</v>
      </c>
      <c r="H3819" t="s">
        <v>25</v>
      </c>
      <c r="I3819" s="1">
        <v>3</v>
      </c>
      <c r="J3819" s="2">
        <v>45826</v>
      </c>
      <c r="K3819" s="2">
        <v>45809</v>
      </c>
      <c r="L3819" s="1" t="str">
        <f t="shared" si="449"/>
        <v>qua</v>
      </c>
      <c r="M3819" s="1" t="str">
        <f t="shared" si="450"/>
        <v>jun</v>
      </c>
      <c r="N3819">
        <f t="shared" si="451"/>
        <v>2025</v>
      </c>
      <c r="O3819" s="2"/>
      <c r="P3819" t="str">
        <f t="shared" si="445"/>
        <v>178245826</v>
      </c>
    </row>
    <row r="3820" spans="1:16" x14ac:dyDescent="0.3">
      <c r="A3820">
        <v>1782</v>
      </c>
      <c r="B3820">
        <v>52</v>
      </c>
      <c r="C3820" t="s">
        <v>15</v>
      </c>
      <c r="D3820" t="s">
        <v>27</v>
      </c>
      <c r="E3820" t="s">
        <v>17</v>
      </c>
      <c r="F3820" t="s">
        <v>18</v>
      </c>
      <c r="G3820" t="s">
        <v>40</v>
      </c>
      <c r="H3820" t="s">
        <v>25</v>
      </c>
      <c r="I3820" s="1">
        <v>3</v>
      </c>
      <c r="J3820" s="2">
        <v>45880</v>
      </c>
      <c r="K3820" s="2">
        <v>45870</v>
      </c>
      <c r="L3820" s="1" t="str">
        <f t="shared" si="449"/>
        <v>seg</v>
      </c>
      <c r="M3820" s="1" t="str">
        <f t="shared" si="450"/>
        <v>ago</v>
      </c>
      <c r="N3820">
        <f t="shared" si="451"/>
        <v>2025</v>
      </c>
      <c r="O3820" s="2"/>
      <c r="P3820" t="str">
        <f t="shared" si="445"/>
        <v>178245880</v>
      </c>
    </row>
    <row r="3821" spans="1:16" x14ac:dyDescent="0.3">
      <c r="A3821">
        <v>1782</v>
      </c>
      <c r="B3821">
        <v>52</v>
      </c>
      <c r="C3821" t="s">
        <v>15</v>
      </c>
      <c r="D3821" t="s">
        <v>27</v>
      </c>
      <c r="E3821" t="s">
        <v>17</v>
      </c>
      <c r="F3821" t="s">
        <v>18</v>
      </c>
      <c r="G3821" t="s">
        <v>40</v>
      </c>
      <c r="H3821" t="s">
        <v>25</v>
      </c>
      <c r="I3821" s="1">
        <v>3</v>
      </c>
      <c r="J3821" s="2">
        <v>45886</v>
      </c>
      <c r="K3821" s="2">
        <v>45870</v>
      </c>
      <c r="L3821" s="1" t="str">
        <f t="shared" si="449"/>
        <v>dom</v>
      </c>
      <c r="M3821" s="1" t="str">
        <f t="shared" si="450"/>
        <v>ago</v>
      </c>
      <c r="N3821">
        <f t="shared" si="451"/>
        <v>2025</v>
      </c>
      <c r="O3821" s="2"/>
      <c r="P3821" t="str">
        <f t="shared" si="445"/>
        <v>178245886</v>
      </c>
    </row>
    <row r="3822" spans="1:16" x14ac:dyDescent="0.3">
      <c r="A3822">
        <v>1782</v>
      </c>
      <c r="B3822">
        <v>52</v>
      </c>
      <c r="C3822" t="s">
        <v>15</v>
      </c>
      <c r="D3822" t="s">
        <v>27</v>
      </c>
      <c r="E3822" t="s">
        <v>17</v>
      </c>
      <c r="F3822" t="s">
        <v>18</v>
      </c>
      <c r="G3822" t="s">
        <v>40</v>
      </c>
      <c r="H3822" t="s">
        <v>25</v>
      </c>
      <c r="I3822" s="1">
        <v>3</v>
      </c>
      <c r="J3822" s="2">
        <v>45898</v>
      </c>
      <c r="K3822" s="2">
        <v>45870</v>
      </c>
      <c r="L3822" s="1" t="str">
        <f t="shared" si="449"/>
        <v>sex</v>
      </c>
      <c r="M3822" s="1" t="str">
        <f t="shared" si="450"/>
        <v>ago</v>
      </c>
      <c r="N3822">
        <f t="shared" si="451"/>
        <v>2025</v>
      </c>
      <c r="O3822" s="2"/>
      <c r="P3822" t="str">
        <f t="shared" si="445"/>
        <v>178245898</v>
      </c>
    </row>
    <row r="3823" spans="1:16" x14ac:dyDescent="0.3">
      <c r="A3823">
        <v>1782</v>
      </c>
      <c r="B3823">
        <v>52</v>
      </c>
      <c r="C3823" t="s">
        <v>15</v>
      </c>
      <c r="D3823" t="s">
        <v>27</v>
      </c>
      <c r="E3823" t="s">
        <v>17</v>
      </c>
      <c r="F3823" t="s">
        <v>18</v>
      </c>
      <c r="G3823" t="s">
        <v>40</v>
      </c>
      <c r="H3823" t="s">
        <v>25</v>
      </c>
      <c r="I3823" s="1">
        <v>3</v>
      </c>
      <c r="J3823" s="2">
        <v>45989</v>
      </c>
      <c r="K3823" s="2">
        <v>45962</v>
      </c>
      <c r="L3823" s="1" t="str">
        <f t="shared" si="449"/>
        <v>sex</v>
      </c>
      <c r="M3823" s="1" t="str">
        <f t="shared" si="450"/>
        <v>nov</v>
      </c>
      <c r="N3823">
        <f t="shared" si="451"/>
        <v>2025</v>
      </c>
      <c r="O3823" s="2"/>
      <c r="P3823" t="str">
        <f t="shared" si="445"/>
        <v>178245989</v>
      </c>
    </row>
    <row r="3824" spans="1:16" x14ac:dyDescent="0.3">
      <c r="A3824">
        <v>1782</v>
      </c>
      <c r="B3824">
        <v>52</v>
      </c>
      <c r="C3824" t="s">
        <v>15</v>
      </c>
      <c r="D3824" t="s">
        <v>27</v>
      </c>
      <c r="E3824" t="s">
        <v>17</v>
      </c>
      <c r="F3824" t="s">
        <v>18</v>
      </c>
      <c r="G3824" t="s">
        <v>40</v>
      </c>
      <c r="H3824" t="s">
        <v>25</v>
      </c>
      <c r="I3824" s="1">
        <v>3</v>
      </c>
      <c r="J3824" s="2">
        <v>46006</v>
      </c>
      <c r="K3824" s="2">
        <v>45992</v>
      </c>
      <c r="L3824" s="1" t="str">
        <f t="shared" si="449"/>
        <v>seg</v>
      </c>
      <c r="M3824" s="1" t="str">
        <f t="shared" si="450"/>
        <v>dez</v>
      </c>
      <c r="N3824">
        <f t="shared" si="451"/>
        <v>2025</v>
      </c>
      <c r="O3824" s="2"/>
      <c r="P3824" t="str">
        <f t="shared" si="445"/>
        <v>178246006</v>
      </c>
    </row>
    <row r="3825" spans="1:16" x14ac:dyDescent="0.3">
      <c r="A3825">
        <v>1784</v>
      </c>
      <c r="B3825">
        <v>19</v>
      </c>
      <c r="C3825" t="s">
        <v>15</v>
      </c>
      <c r="D3825" t="s">
        <v>16</v>
      </c>
      <c r="E3825" t="s">
        <v>17</v>
      </c>
      <c r="F3825" t="s">
        <v>23</v>
      </c>
      <c r="G3825" t="s">
        <v>41</v>
      </c>
      <c r="H3825" t="s">
        <v>25</v>
      </c>
      <c r="I3825" s="1">
        <v>3</v>
      </c>
      <c r="J3825" s="2">
        <v>45834</v>
      </c>
      <c r="K3825" s="2">
        <v>45809</v>
      </c>
      <c r="L3825" s="1" t="str">
        <f t="shared" si="449"/>
        <v>qui</v>
      </c>
      <c r="M3825" s="1" t="str">
        <f t="shared" si="450"/>
        <v>jun</v>
      </c>
      <c r="N3825">
        <f t="shared" si="451"/>
        <v>2025</v>
      </c>
      <c r="O3825" s="2"/>
      <c r="P3825" t="str">
        <f t="shared" si="445"/>
        <v>178445834</v>
      </c>
    </row>
    <row r="3826" spans="1:16" x14ac:dyDescent="0.3">
      <c r="A3826">
        <v>1784</v>
      </c>
      <c r="B3826">
        <v>19</v>
      </c>
      <c r="C3826" t="s">
        <v>15</v>
      </c>
      <c r="D3826" t="s">
        <v>16</v>
      </c>
      <c r="E3826" t="s">
        <v>17</v>
      </c>
      <c r="F3826" t="s">
        <v>23</v>
      </c>
      <c r="G3826" t="s">
        <v>41</v>
      </c>
      <c r="H3826" t="s">
        <v>25</v>
      </c>
      <c r="I3826" s="1">
        <v>3</v>
      </c>
      <c r="J3826" s="2">
        <v>45891</v>
      </c>
      <c r="K3826" s="2">
        <v>45870</v>
      </c>
      <c r="L3826" s="1" t="str">
        <f t="shared" si="449"/>
        <v>sex</v>
      </c>
      <c r="M3826" s="1" t="str">
        <f t="shared" si="450"/>
        <v>ago</v>
      </c>
      <c r="N3826">
        <f t="shared" si="451"/>
        <v>2025</v>
      </c>
      <c r="O3826" s="2"/>
      <c r="P3826" t="str">
        <f t="shared" si="445"/>
        <v>178445891</v>
      </c>
    </row>
    <row r="3827" spans="1:16" x14ac:dyDescent="0.3">
      <c r="A3827">
        <v>1784</v>
      </c>
      <c r="B3827">
        <v>19</v>
      </c>
      <c r="C3827" t="s">
        <v>15</v>
      </c>
      <c r="D3827" t="s">
        <v>16</v>
      </c>
      <c r="E3827" t="s">
        <v>17</v>
      </c>
      <c r="F3827" t="s">
        <v>23</v>
      </c>
      <c r="G3827" t="s">
        <v>41</v>
      </c>
      <c r="H3827" t="s">
        <v>25</v>
      </c>
      <c r="I3827" s="1">
        <v>3</v>
      </c>
      <c r="J3827" s="2">
        <v>45909</v>
      </c>
      <c r="K3827" s="2">
        <v>45901</v>
      </c>
      <c r="L3827" s="1" t="str">
        <f t="shared" si="449"/>
        <v>ter</v>
      </c>
      <c r="M3827" s="1" t="str">
        <f t="shared" si="450"/>
        <v>set</v>
      </c>
      <c r="N3827">
        <f t="shared" si="451"/>
        <v>2025</v>
      </c>
      <c r="O3827" s="2"/>
      <c r="P3827" t="str">
        <f t="shared" si="445"/>
        <v>178445909</v>
      </c>
    </row>
    <row r="3828" spans="1:16" x14ac:dyDescent="0.3">
      <c r="A3828">
        <v>1784</v>
      </c>
      <c r="B3828">
        <v>19</v>
      </c>
      <c r="C3828" t="s">
        <v>15</v>
      </c>
      <c r="D3828" t="s">
        <v>16</v>
      </c>
      <c r="E3828" t="s">
        <v>17</v>
      </c>
      <c r="F3828" t="s">
        <v>23</v>
      </c>
      <c r="G3828" t="s">
        <v>41</v>
      </c>
      <c r="H3828" t="s">
        <v>25</v>
      </c>
      <c r="I3828" s="1">
        <v>3</v>
      </c>
      <c r="J3828" s="2">
        <v>45923</v>
      </c>
      <c r="K3828" s="2">
        <v>45901</v>
      </c>
      <c r="L3828" s="1" t="str">
        <f t="shared" si="449"/>
        <v>ter</v>
      </c>
      <c r="M3828" s="1" t="str">
        <f t="shared" si="450"/>
        <v>set</v>
      </c>
      <c r="N3828">
        <f t="shared" si="451"/>
        <v>2025</v>
      </c>
      <c r="O3828" s="2"/>
      <c r="P3828" t="str">
        <f t="shared" si="445"/>
        <v>178445923</v>
      </c>
    </row>
    <row r="3829" spans="1:16" x14ac:dyDescent="0.3">
      <c r="A3829">
        <v>1784</v>
      </c>
      <c r="B3829">
        <v>19</v>
      </c>
      <c r="C3829" t="s">
        <v>15</v>
      </c>
      <c r="D3829" t="s">
        <v>16</v>
      </c>
      <c r="E3829" t="s">
        <v>17</v>
      </c>
      <c r="F3829" t="s">
        <v>23</v>
      </c>
      <c r="G3829" t="s">
        <v>41</v>
      </c>
      <c r="H3829" t="s">
        <v>25</v>
      </c>
      <c r="I3829" s="1">
        <v>3</v>
      </c>
      <c r="J3829" s="2">
        <v>45949</v>
      </c>
      <c r="K3829" s="2">
        <v>45931</v>
      </c>
      <c r="L3829" s="1" t="str">
        <f t="shared" si="449"/>
        <v>dom</v>
      </c>
      <c r="M3829" s="1" t="str">
        <f t="shared" si="450"/>
        <v>out</v>
      </c>
      <c r="N3829">
        <f t="shared" si="451"/>
        <v>2025</v>
      </c>
      <c r="O3829" s="2"/>
      <c r="P3829" t="str">
        <f t="shared" si="445"/>
        <v>178445949</v>
      </c>
    </row>
    <row r="3830" spans="1:16" x14ac:dyDescent="0.3">
      <c r="A3830">
        <v>1784</v>
      </c>
      <c r="B3830">
        <v>19</v>
      </c>
      <c r="C3830" t="s">
        <v>15</v>
      </c>
      <c r="D3830" t="s">
        <v>16</v>
      </c>
      <c r="E3830" t="s">
        <v>17</v>
      </c>
      <c r="F3830" t="s">
        <v>23</v>
      </c>
      <c r="G3830" t="s">
        <v>41</v>
      </c>
      <c r="H3830" t="s">
        <v>25</v>
      </c>
      <c r="I3830" s="1">
        <v>3</v>
      </c>
      <c r="J3830" s="2">
        <v>45952</v>
      </c>
      <c r="K3830" s="2">
        <v>45931</v>
      </c>
      <c r="L3830" s="1" t="str">
        <f t="shared" si="449"/>
        <v>qua</v>
      </c>
      <c r="M3830" s="1" t="str">
        <f t="shared" si="450"/>
        <v>out</v>
      </c>
      <c r="N3830">
        <f t="shared" si="451"/>
        <v>2025</v>
      </c>
      <c r="O3830" s="2"/>
      <c r="P3830" t="str">
        <f t="shared" si="445"/>
        <v>178445952</v>
      </c>
    </row>
    <row r="3831" spans="1:16" x14ac:dyDescent="0.3">
      <c r="A3831">
        <v>1786</v>
      </c>
      <c r="B3831">
        <v>27</v>
      </c>
      <c r="C3831" t="s">
        <v>15</v>
      </c>
      <c r="D3831" t="s">
        <v>29</v>
      </c>
      <c r="E3831" t="s">
        <v>17</v>
      </c>
      <c r="F3831" t="s">
        <v>18</v>
      </c>
      <c r="G3831" t="s">
        <v>41</v>
      </c>
      <c r="H3831" t="s">
        <v>25</v>
      </c>
      <c r="I3831" s="1">
        <v>1</v>
      </c>
      <c r="J3831" s="2">
        <v>45932</v>
      </c>
      <c r="K3831" s="2">
        <v>45931</v>
      </c>
      <c r="L3831" s="1" t="str">
        <f t="shared" si="449"/>
        <v>qui</v>
      </c>
      <c r="M3831" s="1" t="str">
        <f t="shared" si="450"/>
        <v>out</v>
      </c>
      <c r="N3831">
        <f t="shared" si="451"/>
        <v>2025</v>
      </c>
      <c r="O3831" s="2"/>
      <c r="P3831" t="str">
        <f t="shared" si="445"/>
        <v>178645932</v>
      </c>
    </row>
    <row r="3832" spans="1:16" x14ac:dyDescent="0.3">
      <c r="A3832">
        <v>1786</v>
      </c>
      <c r="B3832">
        <v>27</v>
      </c>
      <c r="C3832" t="s">
        <v>15</v>
      </c>
      <c r="D3832" t="s">
        <v>29</v>
      </c>
      <c r="E3832" t="s">
        <v>17</v>
      </c>
      <c r="F3832" t="s">
        <v>18</v>
      </c>
      <c r="G3832" t="s">
        <v>41</v>
      </c>
      <c r="H3832" t="s">
        <v>25</v>
      </c>
      <c r="I3832" s="1">
        <v>1</v>
      </c>
      <c r="J3832" s="2">
        <v>45996</v>
      </c>
      <c r="K3832" s="2">
        <v>45992</v>
      </c>
      <c r="L3832" s="1" t="str">
        <f t="shared" si="449"/>
        <v>sex</v>
      </c>
      <c r="M3832" s="1" t="str">
        <f t="shared" si="450"/>
        <v>dez</v>
      </c>
      <c r="N3832">
        <f t="shared" si="451"/>
        <v>2025</v>
      </c>
      <c r="O3832" s="2"/>
      <c r="P3832" t="str">
        <f t="shared" si="445"/>
        <v>178645996</v>
      </c>
    </row>
    <row r="3833" spans="1:16" x14ac:dyDescent="0.3">
      <c r="A3833">
        <v>1786</v>
      </c>
      <c r="B3833">
        <v>27</v>
      </c>
      <c r="C3833" t="s">
        <v>15</v>
      </c>
      <c r="D3833" t="s">
        <v>29</v>
      </c>
      <c r="E3833" t="s">
        <v>17</v>
      </c>
      <c r="F3833" t="s">
        <v>18</v>
      </c>
      <c r="G3833" t="s">
        <v>41</v>
      </c>
      <c r="H3833" t="s">
        <v>25</v>
      </c>
      <c r="I3833" s="1">
        <v>1</v>
      </c>
      <c r="J3833" s="2">
        <v>46016</v>
      </c>
      <c r="K3833" s="2">
        <v>45992</v>
      </c>
      <c r="L3833" s="1" t="str">
        <f t="shared" si="449"/>
        <v>qui</v>
      </c>
      <c r="M3833" s="1" t="str">
        <f t="shared" si="450"/>
        <v>dez</v>
      </c>
      <c r="N3833">
        <f t="shared" si="451"/>
        <v>2025</v>
      </c>
      <c r="O3833" s="2"/>
      <c r="P3833" t="str">
        <f t="shared" si="445"/>
        <v>178646016</v>
      </c>
    </row>
    <row r="3834" spans="1:16" x14ac:dyDescent="0.3">
      <c r="A3834">
        <v>1786</v>
      </c>
      <c r="B3834">
        <v>27</v>
      </c>
      <c r="C3834" t="s">
        <v>15</v>
      </c>
      <c r="D3834" t="s">
        <v>29</v>
      </c>
      <c r="E3834" t="s">
        <v>17</v>
      </c>
      <c r="F3834" t="s">
        <v>18</v>
      </c>
      <c r="G3834" t="s">
        <v>41</v>
      </c>
      <c r="H3834" t="s">
        <v>25</v>
      </c>
      <c r="I3834" s="1">
        <v>1</v>
      </c>
      <c r="J3834" s="2">
        <v>46022</v>
      </c>
      <c r="K3834" s="2">
        <v>45992</v>
      </c>
      <c r="L3834" s="1" t="str">
        <f t="shared" si="449"/>
        <v>qua</v>
      </c>
      <c r="M3834" s="1" t="str">
        <f t="shared" si="450"/>
        <v>dez</v>
      </c>
      <c r="N3834">
        <f t="shared" si="451"/>
        <v>2025</v>
      </c>
      <c r="O3834" s="2"/>
      <c r="P3834" t="str">
        <f t="shared" si="445"/>
        <v>178646022</v>
      </c>
    </row>
    <row r="3835" spans="1:16" x14ac:dyDescent="0.3">
      <c r="A3835">
        <v>1786</v>
      </c>
      <c r="B3835">
        <v>27</v>
      </c>
      <c r="C3835" t="s">
        <v>15</v>
      </c>
      <c r="D3835" t="s">
        <v>29</v>
      </c>
      <c r="E3835" t="s">
        <v>17</v>
      </c>
      <c r="F3835" t="s">
        <v>18</v>
      </c>
      <c r="G3835" t="s">
        <v>41</v>
      </c>
      <c r="H3835" t="s">
        <v>25</v>
      </c>
      <c r="I3835" s="1">
        <v>1</v>
      </c>
      <c r="J3835" s="2">
        <v>46067</v>
      </c>
      <c r="K3835" s="2">
        <v>46054</v>
      </c>
      <c r="L3835" s="1" t="str">
        <f t="shared" si="449"/>
        <v>sáb</v>
      </c>
      <c r="M3835" s="1" t="str">
        <f t="shared" si="450"/>
        <v>fev</v>
      </c>
      <c r="N3835">
        <f t="shared" si="451"/>
        <v>2026</v>
      </c>
      <c r="O3835" s="2"/>
      <c r="P3835" t="str">
        <f t="shared" si="445"/>
        <v>178646067</v>
      </c>
    </row>
    <row r="3836" spans="1:16" x14ac:dyDescent="0.3">
      <c r="A3836">
        <v>1786</v>
      </c>
      <c r="B3836">
        <v>27</v>
      </c>
      <c r="C3836" t="s">
        <v>15</v>
      </c>
      <c r="D3836" t="s">
        <v>29</v>
      </c>
      <c r="E3836" t="s">
        <v>17</v>
      </c>
      <c r="F3836" t="s">
        <v>18</v>
      </c>
      <c r="G3836" t="s">
        <v>41</v>
      </c>
      <c r="H3836" t="s">
        <v>25</v>
      </c>
      <c r="I3836" s="1">
        <v>1</v>
      </c>
      <c r="J3836" s="2">
        <v>46091</v>
      </c>
      <c r="K3836" s="2">
        <v>46082</v>
      </c>
      <c r="L3836" s="1" t="str">
        <f t="shared" si="449"/>
        <v>ter</v>
      </c>
      <c r="M3836" s="1" t="str">
        <f t="shared" si="450"/>
        <v>mar</v>
      </c>
      <c r="N3836">
        <f t="shared" si="451"/>
        <v>2026</v>
      </c>
      <c r="O3836" s="2"/>
      <c r="P3836" t="str">
        <f t="shared" si="445"/>
        <v>178646091</v>
      </c>
    </row>
    <row r="3837" spans="1:16" x14ac:dyDescent="0.3">
      <c r="A3837">
        <v>1787</v>
      </c>
      <c r="B3837">
        <v>21</v>
      </c>
      <c r="C3837" t="s">
        <v>26</v>
      </c>
      <c r="D3837" t="s">
        <v>31</v>
      </c>
      <c r="E3837" t="s">
        <v>34</v>
      </c>
      <c r="F3837" t="s">
        <v>21</v>
      </c>
      <c r="G3837" t="s">
        <v>41</v>
      </c>
      <c r="H3837" t="s">
        <v>25</v>
      </c>
      <c r="I3837" s="1">
        <v>1</v>
      </c>
      <c r="J3837" s="2">
        <v>45812</v>
      </c>
      <c r="K3837" s="2">
        <v>45809</v>
      </c>
      <c r="L3837" s="1" t="str">
        <f t="shared" si="449"/>
        <v>qua</v>
      </c>
      <c r="M3837" s="1" t="str">
        <f t="shared" si="450"/>
        <v>jun</v>
      </c>
      <c r="N3837">
        <f t="shared" si="451"/>
        <v>2025</v>
      </c>
      <c r="O3837" s="2"/>
      <c r="P3837" t="str">
        <f t="shared" si="445"/>
        <v>178745812</v>
      </c>
    </row>
    <row r="3838" spans="1:16" x14ac:dyDescent="0.3">
      <c r="A3838">
        <v>1787</v>
      </c>
      <c r="B3838">
        <v>21</v>
      </c>
      <c r="C3838" t="s">
        <v>26</v>
      </c>
      <c r="D3838" t="s">
        <v>31</v>
      </c>
      <c r="E3838" t="s">
        <v>34</v>
      </c>
      <c r="F3838" t="s">
        <v>21</v>
      </c>
      <c r="G3838" t="s">
        <v>41</v>
      </c>
      <c r="H3838" t="s">
        <v>25</v>
      </c>
      <c r="I3838" s="1">
        <v>1</v>
      </c>
      <c r="J3838" s="2">
        <v>45850</v>
      </c>
      <c r="K3838" s="2">
        <v>45839</v>
      </c>
      <c r="L3838" s="1" t="str">
        <f t="shared" si="449"/>
        <v>sáb</v>
      </c>
      <c r="M3838" s="1" t="str">
        <f t="shared" si="450"/>
        <v>jul</v>
      </c>
      <c r="N3838">
        <f t="shared" si="451"/>
        <v>2025</v>
      </c>
      <c r="O3838" s="2"/>
      <c r="P3838" t="str">
        <f t="shared" ref="P3838:P3901" si="452">CONCATENATE(A3838,J3838)</f>
        <v>178745850</v>
      </c>
    </row>
    <row r="3839" spans="1:16" x14ac:dyDescent="0.3">
      <c r="A3839">
        <v>1787</v>
      </c>
      <c r="B3839">
        <v>21</v>
      </c>
      <c r="C3839" t="s">
        <v>26</v>
      </c>
      <c r="D3839" t="s">
        <v>31</v>
      </c>
      <c r="E3839" t="s">
        <v>34</v>
      </c>
      <c r="F3839" t="s">
        <v>21</v>
      </c>
      <c r="G3839" t="s">
        <v>41</v>
      </c>
      <c r="H3839" t="s">
        <v>25</v>
      </c>
      <c r="I3839" s="1">
        <v>1</v>
      </c>
      <c r="J3839" s="2">
        <v>45977</v>
      </c>
      <c r="K3839" s="2">
        <v>45962</v>
      </c>
      <c r="L3839" s="1" t="str">
        <f t="shared" si="449"/>
        <v>dom</v>
      </c>
      <c r="M3839" s="1" t="str">
        <f t="shared" si="450"/>
        <v>nov</v>
      </c>
      <c r="N3839">
        <f t="shared" si="451"/>
        <v>2025</v>
      </c>
      <c r="O3839" s="2"/>
      <c r="P3839" t="str">
        <f t="shared" si="452"/>
        <v>178745977</v>
      </c>
    </row>
    <row r="3840" spans="1:16" x14ac:dyDescent="0.3">
      <c r="A3840">
        <v>1787</v>
      </c>
      <c r="B3840">
        <v>21</v>
      </c>
      <c r="C3840" t="s">
        <v>26</v>
      </c>
      <c r="D3840" t="s">
        <v>31</v>
      </c>
      <c r="E3840" t="s">
        <v>34</v>
      </c>
      <c r="F3840" t="s">
        <v>21</v>
      </c>
      <c r="G3840" t="s">
        <v>41</v>
      </c>
      <c r="H3840" t="s">
        <v>25</v>
      </c>
      <c r="I3840" s="1">
        <v>1</v>
      </c>
      <c r="J3840" s="2">
        <v>46015</v>
      </c>
      <c r="K3840" s="2">
        <v>45992</v>
      </c>
      <c r="L3840" s="1" t="str">
        <f t="shared" si="449"/>
        <v>qua</v>
      </c>
      <c r="M3840" s="1" t="str">
        <f t="shared" si="450"/>
        <v>dez</v>
      </c>
      <c r="N3840">
        <f t="shared" si="451"/>
        <v>2025</v>
      </c>
      <c r="O3840" s="2"/>
      <c r="P3840" t="str">
        <f t="shared" si="452"/>
        <v>178746015</v>
      </c>
    </row>
    <row r="3841" spans="1:16" x14ac:dyDescent="0.3">
      <c r="A3841">
        <v>1787</v>
      </c>
      <c r="B3841">
        <v>21</v>
      </c>
      <c r="C3841" t="s">
        <v>26</v>
      </c>
      <c r="D3841" t="s">
        <v>31</v>
      </c>
      <c r="E3841" t="s">
        <v>34</v>
      </c>
      <c r="F3841" t="s">
        <v>21</v>
      </c>
      <c r="G3841" t="s">
        <v>41</v>
      </c>
      <c r="H3841" t="s">
        <v>25</v>
      </c>
      <c r="I3841" s="1">
        <v>1</v>
      </c>
      <c r="J3841" s="2">
        <v>46058</v>
      </c>
      <c r="K3841" s="2">
        <v>46054</v>
      </c>
      <c r="L3841" s="1" t="str">
        <f t="shared" ref="L3841:L3875" si="453">TEXT(J3841,"ddd")</f>
        <v>qui</v>
      </c>
      <c r="M3841" s="1" t="str">
        <f t="shared" ref="M3841:M3875" si="454">TEXT($J3841,"mmm")</f>
        <v>fev</v>
      </c>
      <c r="N3841">
        <f t="shared" ref="N3841:N3875" si="455">YEAR(J3841)</f>
        <v>2026</v>
      </c>
      <c r="O3841" s="2"/>
      <c r="P3841" t="str">
        <f t="shared" si="452"/>
        <v>178746058</v>
      </c>
    </row>
    <row r="3842" spans="1:16" x14ac:dyDescent="0.3">
      <c r="A3842">
        <v>1787</v>
      </c>
      <c r="B3842">
        <v>21</v>
      </c>
      <c r="C3842" t="s">
        <v>26</v>
      </c>
      <c r="D3842" t="s">
        <v>31</v>
      </c>
      <c r="E3842" t="s">
        <v>34</v>
      </c>
      <c r="F3842" t="s">
        <v>21</v>
      </c>
      <c r="G3842" t="s">
        <v>41</v>
      </c>
      <c r="H3842" t="s">
        <v>25</v>
      </c>
      <c r="I3842" s="1">
        <v>1</v>
      </c>
      <c r="J3842" s="2">
        <v>46111</v>
      </c>
      <c r="K3842" s="2">
        <v>46082</v>
      </c>
      <c r="L3842" s="1" t="str">
        <f t="shared" si="453"/>
        <v>seg</v>
      </c>
      <c r="M3842" s="1" t="str">
        <f t="shared" si="454"/>
        <v>mar</v>
      </c>
      <c r="N3842">
        <f t="shared" si="455"/>
        <v>2026</v>
      </c>
      <c r="O3842" s="2"/>
      <c r="P3842" t="str">
        <f t="shared" si="452"/>
        <v>178746111</v>
      </c>
    </row>
    <row r="3843" spans="1:16" x14ac:dyDescent="0.3">
      <c r="A3843">
        <v>1787</v>
      </c>
      <c r="B3843">
        <v>21</v>
      </c>
      <c r="C3843" t="s">
        <v>26</v>
      </c>
      <c r="D3843" t="s">
        <v>31</v>
      </c>
      <c r="E3843" t="s">
        <v>34</v>
      </c>
      <c r="F3843" t="s">
        <v>21</v>
      </c>
      <c r="G3843" t="s">
        <v>41</v>
      </c>
      <c r="H3843" t="s">
        <v>25</v>
      </c>
      <c r="I3843" s="1">
        <v>1</v>
      </c>
      <c r="J3843" s="2">
        <v>46169</v>
      </c>
      <c r="K3843" s="2">
        <v>46143</v>
      </c>
      <c r="L3843" s="1" t="str">
        <f t="shared" si="453"/>
        <v>qua</v>
      </c>
      <c r="M3843" s="1" t="str">
        <f t="shared" si="454"/>
        <v>mai</v>
      </c>
      <c r="N3843">
        <f t="shared" si="455"/>
        <v>2026</v>
      </c>
      <c r="O3843" s="2"/>
      <c r="P3843" t="str">
        <f t="shared" si="452"/>
        <v>178746169</v>
      </c>
    </row>
    <row r="3844" spans="1:16" x14ac:dyDescent="0.3">
      <c r="A3844">
        <v>1788</v>
      </c>
      <c r="B3844">
        <v>32</v>
      </c>
      <c r="C3844" t="s">
        <v>26</v>
      </c>
      <c r="D3844" t="s">
        <v>22</v>
      </c>
      <c r="E3844" t="s">
        <v>17</v>
      </c>
      <c r="F3844" t="s">
        <v>23</v>
      </c>
      <c r="G3844" t="s">
        <v>41</v>
      </c>
      <c r="H3844" t="s">
        <v>25</v>
      </c>
      <c r="I3844" s="1">
        <v>3</v>
      </c>
      <c r="J3844" s="2">
        <v>45827</v>
      </c>
      <c r="K3844" s="2">
        <v>45809</v>
      </c>
      <c r="L3844" s="1" t="str">
        <f t="shared" si="453"/>
        <v>qui</v>
      </c>
      <c r="M3844" s="1" t="str">
        <f t="shared" si="454"/>
        <v>jun</v>
      </c>
      <c r="N3844">
        <f t="shared" si="455"/>
        <v>2025</v>
      </c>
      <c r="O3844" s="2"/>
      <c r="P3844" t="str">
        <f t="shared" si="452"/>
        <v>178845827</v>
      </c>
    </row>
    <row r="3845" spans="1:16" x14ac:dyDescent="0.3">
      <c r="A3845">
        <v>1788</v>
      </c>
      <c r="B3845">
        <v>32</v>
      </c>
      <c r="C3845" t="s">
        <v>26</v>
      </c>
      <c r="D3845" t="s">
        <v>22</v>
      </c>
      <c r="E3845" t="s">
        <v>17</v>
      </c>
      <c r="F3845" t="s">
        <v>23</v>
      </c>
      <c r="G3845" t="s">
        <v>41</v>
      </c>
      <c r="H3845" t="s">
        <v>25</v>
      </c>
      <c r="I3845" s="1">
        <v>3</v>
      </c>
      <c r="J3845" s="2">
        <v>45858</v>
      </c>
      <c r="K3845" s="2">
        <v>45839</v>
      </c>
      <c r="L3845" s="1" t="str">
        <f t="shared" si="453"/>
        <v>dom</v>
      </c>
      <c r="M3845" s="1" t="str">
        <f t="shared" si="454"/>
        <v>jul</v>
      </c>
      <c r="N3845">
        <f t="shared" si="455"/>
        <v>2025</v>
      </c>
      <c r="O3845" s="2"/>
      <c r="P3845" t="str">
        <f t="shared" si="452"/>
        <v>178845858</v>
      </c>
    </row>
    <row r="3846" spans="1:16" x14ac:dyDescent="0.3">
      <c r="A3846">
        <v>1788</v>
      </c>
      <c r="B3846">
        <v>32</v>
      </c>
      <c r="C3846" t="s">
        <v>26</v>
      </c>
      <c r="D3846" t="s">
        <v>22</v>
      </c>
      <c r="E3846" t="s">
        <v>17</v>
      </c>
      <c r="F3846" t="s">
        <v>23</v>
      </c>
      <c r="G3846" t="s">
        <v>41</v>
      </c>
      <c r="H3846" t="s">
        <v>25</v>
      </c>
      <c r="I3846" s="1">
        <v>3</v>
      </c>
      <c r="J3846" s="2">
        <v>45870</v>
      </c>
      <c r="K3846" s="2">
        <v>45870</v>
      </c>
      <c r="L3846" s="1" t="str">
        <f t="shared" si="453"/>
        <v>sex</v>
      </c>
      <c r="M3846" s="1" t="str">
        <f t="shared" si="454"/>
        <v>ago</v>
      </c>
      <c r="N3846">
        <f t="shared" si="455"/>
        <v>2025</v>
      </c>
      <c r="O3846" s="2"/>
      <c r="P3846" t="str">
        <f t="shared" si="452"/>
        <v>178845870</v>
      </c>
    </row>
    <row r="3847" spans="1:16" x14ac:dyDescent="0.3">
      <c r="A3847">
        <v>1788</v>
      </c>
      <c r="B3847">
        <v>32</v>
      </c>
      <c r="C3847" t="s">
        <v>26</v>
      </c>
      <c r="D3847" t="s">
        <v>22</v>
      </c>
      <c r="E3847" t="s">
        <v>17</v>
      </c>
      <c r="F3847" t="s">
        <v>23</v>
      </c>
      <c r="G3847" t="s">
        <v>41</v>
      </c>
      <c r="H3847" t="s">
        <v>25</v>
      </c>
      <c r="I3847" s="1">
        <v>3</v>
      </c>
      <c r="J3847" s="2">
        <v>45916</v>
      </c>
      <c r="K3847" s="2">
        <v>45901</v>
      </c>
      <c r="L3847" s="1" t="str">
        <f t="shared" si="453"/>
        <v>ter</v>
      </c>
      <c r="M3847" s="1" t="str">
        <f t="shared" si="454"/>
        <v>set</v>
      </c>
      <c r="N3847">
        <f t="shared" si="455"/>
        <v>2025</v>
      </c>
      <c r="O3847" s="2"/>
      <c r="P3847" t="str">
        <f t="shared" si="452"/>
        <v>178845916</v>
      </c>
    </row>
    <row r="3848" spans="1:16" x14ac:dyDescent="0.3">
      <c r="A3848">
        <v>1788</v>
      </c>
      <c r="B3848">
        <v>32</v>
      </c>
      <c r="C3848" t="s">
        <v>26</v>
      </c>
      <c r="D3848" t="s">
        <v>22</v>
      </c>
      <c r="E3848" t="s">
        <v>17</v>
      </c>
      <c r="F3848" t="s">
        <v>23</v>
      </c>
      <c r="G3848" t="s">
        <v>41</v>
      </c>
      <c r="H3848" t="s">
        <v>25</v>
      </c>
      <c r="I3848" s="1">
        <v>3</v>
      </c>
      <c r="J3848" s="2">
        <v>45962</v>
      </c>
      <c r="K3848" s="2">
        <v>45962</v>
      </c>
      <c r="L3848" s="1" t="str">
        <f t="shared" si="453"/>
        <v>sáb</v>
      </c>
      <c r="M3848" s="1" t="str">
        <f t="shared" si="454"/>
        <v>nov</v>
      </c>
      <c r="N3848">
        <f t="shared" si="455"/>
        <v>2025</v>
      </c>
      <c r="O3848" s="2"/>
      <c r="P3848" t="str">
        <f t="shared" si="452"/>
        <v>178845962</v>
      </c>
    </row>
    <row r="3849" spans="1:16" x14ac:dyDescent="0.3">
      <c r="A3849">
        <v>1788</v>
      </c>
      <c r="B3849">
        <v>32</v>
      </c>
      <c r="C3849" t="s">
        <v>26</v>
      </c>
      <c r="D3849" t="s">
        <v>22</v>
      </c>
      <c r="E3849" t="s">
        <v>17</v>
      </c>
      <c r="F3849" t="s">
        <v>23</v>
      </c>
      <c r="G3849" t="s">
        <v>41</v>
      </c>
      <c r="H3849" t="s">
        <v>25</v>
      </c>
      <c r="I3849" s="1">
        <v>3</v>
      </c>
      <c r="J3849" s="2">
        <v>46181</v>
      </c>
      <c r="K3849" s="2">
        <v>46023</v>
      </c>
      <c r="L3849" s="1" t="str">
        <f t="shared" si="453"/>
        <v>seg</v>
      </c>
      <c r="M3849" s="1" t="str">
        <f t="shared" si="454"/>
        <v>jun</v>
      </c>
      <c r="N3849">
        <f t="shared" si="455"/>
        <v>2026</v>
      </c>
      <c r="O3849" s="2"/>
      <c r="P3849" t="str">
        <f t="shared" si="452"/>
        <v>178846181</v>
      </c>
    </row>
    <row r="3850" spans="1:16" x14ac:dyDescent="0.3">
      <c r="A3850">
        <v>1790</v>
      </c>
      <c r="B3850">
        <v>56</v>
      </c>
      <c r="C3850" t="s">
        <v>15</v>
      </c>
      <c r="D3850" t="s">
        <v>22</v>
      </c>
      <c r="E3850" t="s">
        <v>17</v>
      </c>
      <c r="F3850" t="s">
        <v>23</v>
      </c>
      <c r="G3850" t="s">
        <v>41</v>
      </c>
      <c r="H3850" t="s">
        <v>20</v>
      </c>
      <c r="I3850" s="1">
        <v>2</v>
      </c>
      <c r="J3850" s="2">
        <v>45799</v>
      </c>
      <c r="K3850" s="2">
        <v>45778</v>
      </c>
      <c r="L3850" s="1" t="str">
        <f t="shared" si="453"/>
        <v>qui</v>
      </c>
      <c r="M3850" s="1" t="str">
        <f t="shared" si="454"/>
        <v>mai</v>
      </c>
      <c r="N3850">
        <f t="shared" si="455"/>
        <v>2025</v>
      </c>
      <c r="O3850" s="2">
        <f>_xlfn.XLOOKUP(A3850,Colaboradores!$A:$A,Colaboradores!$S:$S,"",0)</f>
        <v>45996</v>
      </c>
      <c r="P3850" t="str">
        <f t="shared" si="452"/>
        <v>179045799</v>
      </c>
    </row>
    <row r="3851" spans="1:16" x14ac:dyDescent="0.3">
      <c r="A3851">
        <v>1790</v>
      </c>
      <c r="B3851">
        <v>56</v>
      </c>
      <c r="C3851" t="s">
        <v>15</v>
      </c>
      <c r="D3851" t="s">
        <v>22</v>
      </c>
      <c r="E3851" t="s">
        <v>17</v>
      </c>
      <c r="F3851" t="s">
        <v>23</v>
      </c>
      <c r="G3851" t="s">
        <v>41</v>
      </c>
      <c r="H3851" t="s">
        <v>20</v>
      </c>
      <c r="I3851" s="1">
        <v>2</v>
      </c>
      <c r="J3851" s="2">
        <v>45925</v>
      </c>
      <c r="K3851" s="2">
        <v>45901</v>
      </c>
      <c r="L3851" s="1" t="str">
        <f t="shared" si="453"/>
        <v>qui</v>
      </c>
      <c r="M3851" s="1" t="str">
        <f t="shared" si="454"/>
        <v>set</v>
      </c>
      <c r="N3851">
        <f t="shared" si="455"/>
        <v>2025</v>
      </c>
      <c r="O3851" s="2">
        <f>_xlfn.XLOOKUP(A3851,Colaboradores!$A:$A,Colaboradores!$S:$S,"",0)</f>
        <v>45996</v>
      </c>
      <c r="P3851" t="str">
        <f t="shared" si="452"/>
        <v>179045925</v>
      </c>
    </row>
    <row r="3852" spans="1:16" x14ac:dyDescent="0.3">
      <c r="A3852">
        <v>1790</v>
      </c>
      <c r="B3852">
        <v>56</v>
      </c>
      <c r="C3852" t="s">
        <v>15</v>
      </c>
      <c r="D3852" t="s">
        <v>22</v>
      </c>
      <c r="E3852" t="s">
        <v>17</v>
      </c>
      <c r="F3852" t="s">
        <v>23</v>
      </c>
      <c r="G3852" t="s">
        <v>41</v>
      </c>
      <c r="H3852" t="s">
        <v>20</v>
      </c>
      <c r="I3852" s="1">
        <v>2</v>
      </c>
      <c r="J3852" s="2">
        <v>45937</v>
      </c>
      <c r="K3852" s="2">
        <v>45931</v>
      </c>
      <c r="L3852" s="1" t="str">
        <f t="shared" si="453"/>
        <v>ter</v>
      </c>
      <c r="M3852" s="1" t="str">
        <f t="shared" si="454"/>
        <v>out</v>
      </c>
      <c r="N3852">
        <f t="shared" si="455"/>
        <v>2025</v>
      </c>
      <c r="O3852" s="2">
        <f>_xlfn.XLOOKUP(A3852,Colaboradores!$A:$A,Colaboradores!$S:$S,"",0)</f>
        <v>45996</v>
      </c>
      <c r="P3852" t="str">
        <f t="shared" si="452"/>
        <v>179045937</v>
      </c>
    </row>
    <row r="3853" spans="1:16" x14ac:dyDescent="0.3">
      <c r="A3853">
        <v>1790</v>
      </c>
      <c r="B3853">
        <v>56</v>
      </c>
      <c r="C3853" t="s">
        <v>15</v>
      </c>
      <c r="D3853" t="s">
        <v>22</v>
      </c>
      <c r="E3853" t="s">
        <v>17</v>
      </c>
      <c r="F3853" t="s">
        <v>23</v>
      </c>
      <c r="G3853" t="s">
        <v>41</v>
      </c>
      <c r="H3853" t="s">
        <v>20</v>
      </c>
      <c r="I3853" s="1">
        <v>2</v>
      </c>
      <c r="J3853" s="2">
        <v>45938</v>
      </c>
      <c r="K3853" s="2">
        <v>45931</v>
      </c>
      <c r="L3853" s="1" t="str">
        <f t="shared" si="453"/>
        <v>qua</v>
      </c>
      <c r="M3853" s="1" t="str">
        <f t="shared" si="454"/>
        <v>out</v>
      </c>
      <c r="N3853">
        <f t="shared" si="455"/>
        <v>2025</v>
      </c>
      <c r="O3853" s="2">
        <f>_xlfn.XLOOKUP(A3853,Colaboradores!$A:$A,Colaboradores!$S:$S,"",0)</f>
        <v>45996</v>
      </c>
      <c r="P3853" t="str">
        <f t="shared" si="452"/>
        <v>179045938</v>
      </c>
    </row>
    <row r="3854" spans="1:16" x14ac:dyDescent="0.3">
      <c r="A3854">
        <v>1790</v>
      </c>
      <c r="B3854">
        <v>56</v>
      </c>
      <c r="C3854" t="s">
        <v>15</v>
      </c>
      <c r="D3854" t="s">
        <v>22</v>
      </c>
      <c r="E3854" t="s">
        <v>17</v>
      </c>
      <c r="F3854" t="s">
        <v>23</v>
      </c>
      <c r="G3854" t="s">
        <v>41</v>
      </c>
      <c r="H3854" t="s">
        <v>20</v>
      </c>
      <c r="I3854" s="1">
        <v>2</v>
      </c>
      <c r="J3854" s="2">
        <v>45939</v>
      </c>
      <c r="K3854" s="2">
        <v>45931</v>
      </c>
      <c r="L3854" s="1" t="str">
        <f t="shared" si="453"/>
        <v>qui</v>
      </c>
      <c r="M3854" s="1" t="str">
        <f t="shared" si="454"/>
        <v>out</v>
      </c>
      <c r="N3854">
        <f t="shared" si="455"/>
        <v>2025</v>
      </c>
      <c r="O3854" s="2">
        <f>_xlfn.XLOOKUP(A3854,Colaboradores!$A:$A,Colaboradores!$S:$S,"",0)</f>
        <v>45996</v>
      </c>
      <c r="P3854" t="str">
        <f t="shared" si="452"/>
        <v>179045939</v>
      </c>
    </row>
    <row r="3855" spans="1:16" x14ac:dyDescent="0.3">
      <c r="A3855">
        <v>1790</v>
      </c>
      <c r="B3855">
        <v>56</v>
      </c>
      <c r="C3855" t="s">
        <v>15</v>
      </c>
      <c r="D3855" t="s">
        <v>22</v>
      </c>
      <c r="E3855" t="s">
        <v>17</v>
      </c>
      <c r="F3855" t="s">
        <v>23</v>
      </c>
      <c r="G3855" t="s">
        <v>41</v>
      </c>
      <c r="H3855" t="s">
        <v>20</v>
      </c>
      <c r="I3855" s="1">
        <v>2</v>
      </c>
      <c r="J3855" s="2">
        <v>45954</v>
      </c>
      <c r="K3855" s="2">
        <v>45931</v>
      </c>
      <c r="L3855" s="1" t="str">
        <f t="shared" si="453"/>
        <v>sex</v>
      </c>
      <c r="M3855" s="1" t="str">
        <f t="shared" si="454"/>
        <v>out</v>
      </c>
      <c r="N3855">
        <f t="shared" si="455"/>
        <v>2025</v>
      </c>
      <c r="O3855" s="2">
        <f>_xlfn.XLOOKUP(A3855,Colaboradores!$A:$A,Colaboradores!$S:$S,"",0)</f>
        <v>45996</v>
      </c>
      <c r="P3855" t="str">
        <f t="shared" si="452"/>
        <v>179045954</v>
      </c>
    </row>
    <row r="3856" spans="1:16" x14ac:dyDescent="0.3">
      <c r="A3856">
        <v>1791</v>
      </c>
      <c r="B3856">
        <v>30</v>
      </c>
      <c r="C3856" t="s">
        <v>15</v>
      </c>
      <c r="D3856" t="s">
        <v>27</v>
      </c>
      <c r="E3856" t="s">
        <v>17</v>
      </c>
      <c r="F3856" t="s">
        <v>18</v>
      </c>
      <c r="G3856" t="s">
        <v>41</v>
      </c>
      <c r="H3856" t="s">
        <v>25</v>
      </c>
      <c r="I3856" s="1">
        <v>2</v>
      </c>
      <c r="J3856" s="2">
        <v>45915</v>
      </c>
      <c r="K3856" s="2">
        <v>45901</v>
      </c>
      <c r="L3856" s="1" t="str">
        <f t="shared" si="453"/>
        <v>seg</v>
      </c>
      <c r="M3856" s="1" t="str">
        <f t="shared" si="454"/>
        <v>set</v>
      </c>
      <c r="N3856">
        <f t="shared" si="455"/>
        <v>2025</v>
      </c>
      <c r="O3856" s="2"/>
      <c r="P3856" t="str">
        <f t="shared" si="452"/>
        <v>179145915</v>
      </c>
    </row>
    <row r="3857" spans="1:16" x14ac:dyDescent="0.3">
      <c r="A3857">
        <v>1791</v>
      </c>
      <c r="B3857">
        <v>30</v>
      </c>
      <c r="C3857" t="s">
        <v>15</v>
      </c>
      <c r="D3857" t="s">
        <v>27</v>
      </c>
      <c r="E3857" t="s">
        <v>17</v>
      </c>
      <c r="F3857" t="s">
        <v>18</v>
      </c>
      <c r="G3857" t="s">
        <v>41</v>
      </c>
      <c r="H3857" t="s">
        <v>25</v>
      </c>
      <c r="I3857" s="1">
        <v>2</v>
      </c>
      <c r="J3857" s="2">
        <v>45954</v>
      </c>
      <c r="K3857" s="2">
        <v>45931</v>
      </c>
      <c r="L3857" s="1" t="str">
        <f t="shared" si="453"/>
        <v>sex</v>
      </c>
      <c r="M3857" s="1" t="str">
        <f t="shared" si="454"/>
        <v>out</v>
      </c>
      <c r="N3857">
        <f t="shared" si="455"/>
        <v>2025</v>
      </c>
      <c r="O3857" s="2"/>
      <c r="P3857" t="str">
        <f t="shared" si="452"/>
        <v>179145954</v>
      </c>
    </row>
    <row r="3858" spans="1:16" x14ac:dyDescent="0.3">
      <c r="A3858">
        <v>1791</v>
      </c>
      <c r="B3858">
        <v>30</v>
      </c>
      <c r="C3858" t="s">
        <v>15</v>
      </c>
      <c r="D3858" t="s">
        <v>27</v>
      </c>
      <c r="E3858" t="s">
        <v>17</v>
      </c>
      <c r="F3858" t="s">
        <v>18</v>
      </c>
      <c r="G3858" t="s">
        <v>41</v>
      </c>
      <c r="H3858" t="s">
        <v>25</v>
      </c>
      <c r="I3858" s="1">
        <v>2</v>
      </c>
      <c r="J3858" s="2">
        <v>45996</v>
      </c>
      <c r="K3858" s="2">
        <v>45992</v>
      </c>
      <c r="L3858" s="1" t="str">
        <f t="shared" si="453"/>
        <v>sex</v>
      </c>
      <c r="M3858" s="1" t="str">
        <f t="shared" si="454"/>
        <v>dez</v>
      </c>
      <c r="N3858">
        <f t="shared" si="455"/>
        <v>2025</v>
      </c>
      <c r="O3858" s="2"/>
      <c r="P3858" t="str">
        <f t="shared" si="452"/>
        <v>179145996</v>
      </c>
    </row>
    <row r="3859" spans="1:16" x14ac:dyDescent="0.3">
      <c r="A3859">
        <v>1791</v>
      </c>
      <c r="B3859">
        <v>30</v>
      </c>
      <c r="C3859" t="s">
        <v>15</v>
      </c>
      <c r="D3859" t="s">
        <v>27</v>
      </c>
      <c r="E3859" t="s">
        <v>17</v>
      </c>
      <c r="F3859" t="s">
        <v>18</v>
      </c>
      <c r="G3859" t="s">
        <v>41</v>
      </c>
      <c r="H3859" t="s">
        <v>25</v>
      </c>
      <c r="I3859" s="1">
        <v>2</v>
      </c>
      <c r="J3859" s="2">
        <v>46181</v>
      </c>
      <c r="K3859" s="2">
        <v>46023</v>
      </c>
      <c r="L3859" s="1" t="str">
        <f t="shared" si="453"/>
        <v>seg</v>
      </c>
      <c r="M3859" s="1" t="str">
        <f t="shared" si="454"/>
        <v>jun</v>
      </c>
      <c r="N3859">
        <f t="shared" si="455"/>
        <v>2026</v>
      </c>
      <c r="O3859" s="2"/>
      <c r="P3859" t="str">
        <f t="shared" si="452"/>
        <v>179146181</v>
      </c>
    </row>
    <row r="3860" spans="1:16" x14ac:dyDescent="0.3">
      <c r="A3860">
        <v>1793</v>
      </c>
      <c r="B3860">
        <v>38</v>
      </c>
      <c r="C3860" t="s">
        <v>15</v>
      </c>
      <c r="D3860" t="s">
        <v>29</v>
      </c>
      <c r="E3860" t="s">
        <v>17</v>
      </c>
      <c r="F3860" t="s">
        <v>18</v>
      </c>
      <c r="G3860" t="s">
        <v>41</v>
      </c>
      <c r="H3860" t="s">
        <v>20</v>
      </c>
      <c r="I3860" s="1">
        <v>2</v>
      </c>
      <c r="J3860" s="2">
        <v>45673</v>
      </c>
      <c r="K3860" s="2">
        <v>45658</v>
      </c>
      <c r="L3860" s="1" t="str">
        <f t="shared" si="453"/>
        <v>qui</v>
      </c>
      <c r="M3860" s="1" t="str">
        <f t="shared" si="454"/>
        <v>jan</v>
      </c>
      <c r="N3860">
        <f t="shared" si="455"/>
        <v>2025</v>
      </c>
      <c r="O3860" s="2">
        <f>_xlfn.XLOOKUP(A3860,Colaboradores!$A:$A,Colaboradores!$S:$S,"",0)</f>
        <v>45785</v>
      </c>
      <c r="P3860" t="str">
        <f t="shared" si="452"/>
        <v>179345673</v>
      </c>
    </row>
    <row r="3861" spans="1:16" x14ac:dyDescent="0.3">
      <c r="A3861">
        <v>1793</v>
      </c>
      <c r="B3861">
        <v>38</v>
      </c>
      <c r="C3861" t="s">
        <v>15</v>
      </c>
      <c r="D3861" t="s">
        <v>29</v>
      </c>
      <c r="E3861" t="s">
        <v>17</v>
      </c>
      <c r="F3861" t="s">
        <v>18</v>
      </c>
      <c r="G3861" t="s">
        <v>41</v>
      </c>
      <c r="H3861" t="s">
        <v>20</v>
      </c>
      <c r="I3861" s="1">
        <v>2</v>
      </c>
      <c r="J3861" s="2">
        <v>45674</v>
      </c>
      <c r="K3861" s="2">
        <v>45658</v>
      </c>
      <c r="L3861" s="1" t="str">
        <f t="shared" si="453"/>
        <v>sex</v>
      </c>
      <c r="M3861" s="1" t="str">
        <f t="shared" si="454"/>
        <v>jan</v>
      </c>
      <c r="N3861">
        <f t="shared" si="455"/>
        <v>2025</v>
      </c>
      <c r="O3861" s="2">
        <f>_xlfn.XLOOKUP(A3861,Colaboradores!$A:$A,Colaboradores!$S:$S,"",0)</f>
        <v>45785</v>
      </c>
      <c r="P3861" t="str">
        <f t="shared" si="452"/>
        <v>179345674</v>
      </c>
    </row>
    <row r="3862" spans="1:16" x14ac:dyDescent="0.3">
      <c r="A3862">
        <v>1793</v>
      </c>
      <c r="B3862">
        <v>38</v>
      </c>
      <c r="C3862" t="s">
        <v>15</v>
      </c>
      <c r="D3862" t="s">
        <v>29</v>
      </c>
      <c r="E3862" t="s">
        <v>17</v>
      </c>
      <c r="F3862" t="s">
        <v>18</v>
      </c>
      <c r="G3862" t="s">
        <v>57</v>
      </c>
      <c r="H3862" t="s">
        <v>20</v>
      </c>
      <c r="I3862" s="1">
        <v>2</v>
      </c>
      <c r="J3862" s="2">
        <v>45772</v>
      </c>
      <c r="K3862" s="2">
        <v>45748</v>
      </c>
      <c r="L3862" s="1" t="str">
        <f t="shared" si="453"/>
        <v>sex</v>
      </c>
      <c r="M3862" s="1" t="str">
        <f t="shared" si="454"/>
        <v>abr</v>
      </c>
      <c r="N3862">
        <f t="shared" si="455"/>
        <v>2025</v>
      </c>
      <c r="O3862" s="2">
        <f>_xlfn.XLOOKUP(A3862,Colaboradores!$A:$A,Colaboradores!$S:$S,"",0)</f>
        <v>45785</v>
      </c>
      <c r="P3862" t="str">
        <f t="shared" si="452"/>
        <v>179345772</v>
      </c>
    </row>
    <row r="3863" spans="1:16" x14ac:dyDescent="0.3">
      <c r="A3863">
        <v>1793</v>
      </c>
      <c r="B3863">
        <v>38</v>
      </c>
      <c r="C3863" t="s">
        <v>15</v>
      </c>
      <c r="D3863" t="s">
        <v>29</v>
      </c>
      <c r="E3863" t="s">
        <v>17</v>
      </c>
      <c r="F3863" t="s">
        <v>18</v>
      </c>
      <c r="G3863" t="s">
        <v>41</v>
      </c>
      <c r="H3863" t="s">
        <v>20</v>
      </c>
      <c r="I3863" s="1">
        <v>2</v>
      </c>
      <c r="J3863" s="2">
        <v>45773</v>
      </c>
      <c r="K3863" s="2">
        <v>45748</v>
      </c>
      <c r="L3863" s="1" t="str">
        <f t="shared" si="453"/>
        <v>sáb</v>
      </c>
      <c r="M3863" s="1" t="str">
        <f t="shared" si="454"/>
        <v>abr</v>
      </c>
      <c r="N3863">
        <f t="shared" si="455"/>
        <v>2025</v>
      </c>
      <c r="O3863" s="2">
        <f>_xlfn.XLOOKUP(A3863,Colaboradores!$A:$A,Colaboradores!$S:$S,"",0)</f>
        <v>45785</v>
      </c>
      <c r="P3863" t="str">
        <f t="shared" si="452"/>
        <v>179345773</v>
      </c>
    </row>
    <row r="3864" spans="1:16" x14ac:dyDescent="0.3">
      <c r="A3864">
        <v>1793</v>
      </c>
      <c r="B3864">
        <v>38</v>
      </c>
      <c r="C3864" t="s">
        <v>15</v>
      </c>
      <c r="D3864" t="s">
        <v>29</v>
      </c>
      <c r="E3864" t="s">
        <v>17</v>
      </c>
      <c r="F3864" t="s">
        <v>18</v>
      </c>
      <c r="G3864" t="s">
        <v>41</v>
      </c>
      <c r="H3864" t="s">
        <v>20</v>
      </c>
      <c r="I3864" s="1">
        <v>2</v>
      </c>
      <c r="J3864" s="2">
        <v>45774</v>
      </c>
      <c r="K3864" s="2">
        <v>45748</v>
      </c>
      <c r="L3864" s="1" t="str">
        <f t="shared" si="453"/>
        <v>dom</v>
      </c>
      <c r="M3864" s="1" t="str">
        <f t="shared" si="454"/>
        <v>abr</v>
      </c>
      <c r="N3864">
        <f t="shared" si="455"/>
        <v>2025</v>
      </c>
      <c r="O3864" s="2">
        <f>_xlfn.XLOOKUP(A3864,Colaboradores!$A:$A,Colaboradores!$S:$S,"",0)</f>
        <v>45785</v>
      </c>
      <c r="P3864" t="str">
        <f t="shared" si="452"/>
        <v>179345774</v>
      </c>
    </row>
    <row r="3865" spans="1:16" x14ac:dyDescent="0.3">
      <c r="A3865">
        <v>1794</v>
      </c>
      <c r="B3865">
        <v>30</v>
      </c>
      <c r="C3865" t="s">
        <v>26</v>
      </c>
      <c r="D3865" t="s">
        <v>16</v>
      </c>
      <c r="E3865" t="s">
        <v>17</v>
      </c>
      <c r="F3865" t="s">
        <v>21</v>
      </c>
      <c r="G3865" t="s">
        <v>41</v>
      </c>
      <c r="H3865" t="s">
        <v>25</v>
      </c>
      <c r="I3865" s="1">
        <v>3</v>
      </c>
      <c r="J3865" s="2">
        <v>45920</v>
      </c>
      <c r="K3865" s="2">
        <v>45901</v>
      </c>
      <c r="L3865" s="1" t="str">
        <f t="shared" si="453"/>
        <v>sáb</v>
      </c>
      <c r="M3865" s="1" t="str">
        <f t="shared" si="454"/>
        <v>set</v>
      </c>
      <c r="N3865">
        <f t="shared" si="455"/>
        <v>2025</v>
      </c>
      <c r="O3865" s="2"/>
      <c r="P3865" t="str">
        <f t="shared" si="452"/>
        <v>179445920</v>
      </c>
    </row>
    <row r="3866" spans="1:16" x14ac:dyDescent="0.3">
      <c r="A3866">
        <v>1794</v>
      </c>
      <c r="B3866">
        <v>30</v>
      </c>
      <c r="C3866" t="s">
        <v>26</v>
      </c>
      <c r="D3866" t="s">
        <v>16</v>
      </c>
      <c r="E3866" t="s">
        <v>17</v>
      </c>
      <c r="F3866" t="s">
        <v>21</v>
      </c>
      <c r="G3866" t="s">
        <v>41</v>
      </c>
      <c r="H3866" t="s">
        <v>25</v>
      </c>
      <c r="I3866" s="1">
        <v>3</v>
      </c>
      <c r="J3866" s="2">
        <v>46009</v>
      </c>
      <c r="K3866" s="2">
        <v>45992</v>
      </c>
      <c r="L3866" s="1" t="str">
        <f t="shared" si="453"/>
        <v>qui</v>
      </c>
      <c r="M3866" s="1" t="str">
        <f t="shared" si="454"/>
        <v>dez</v>
      </c>
      <c r="N3866">
        <f t="shared" si="455"/>
        <v>2025</v>
      </c>
      <c r="O3866" s="2"/>
      <c r="P3866" t="str">
        <f t="shared" si="452"/>
        <v>179446009</v>
      </c>
    </row>
    <row r="3867" spans="1:16" x14ac:dyDescent="0.3">
      <c r="A3867">
        <v>1794</v>
      </c>
      <c r="B3867">
        <v>30</v>
      </c>
      <c r="C3867" t="s">
        <v>26</v>
      </c>
      <c r="D3867" t="s">
        <v>16</v>
      </c>
      <c r="E3867" t="s">
        <v>17</v>
      </c>
      <c r="F3867" t="s">
        <v>21</v>
      </c>
      <c r="G3867" t="s">
        <v>41</v>
      </c>
      <c r="H3867" t="s">
        <v>25</v>
      </c>
      <c r="I3867" s="1">
        <v>3</v>
      </c>
      <c r="J3867" s="2">
        <v>46019</v>
      </c>
      <c r="K3867" s="2">
        <v>45992</v>
      </c>
      <c r="L3867" s="1" t="str">
        <f t="shared" si="453"/>
        <v>dom</v>
      </c>
      <c r="M3867" s="1" t="str">
        <f t="shared" si="454"/>
        <v>dez</v>
      </c>
      <c r="N3867">
        <f t="shared" si="455"/>
        <v>2025</v>
      </c>
      <c r="O3867" s="2"/>
      <c r="P3867" t="str">
        <f t="shared" si="452"/>
        <v>179446019</v>
      </c>
    </row>
    <row r="3868" spans="1:16" x14ac:dyDescent="0.3">
      <c r="A3868">
        <v>1794</v>
      </c>
      <c r="B3868">
        <v>30</v>
      </c>
      <c r="C3868" t="s">
        <v>26</v>
      </c>
      <c r="D3868" t="s">
        <v>16</v>
      </c>
      <c r="E3868" t="s">
        <v>17</v>
      </c>
      <c r="F3868" t="s">
        <v>21</v>
      </c>
      <c r="G3868" t="s">
        <v>41</v>
      </c>
      <c r="H3868" t="s">
        <v>25</v>
      </c>
      <c r="I3868" s="1">
        <v>3</v>
      </c>
      <c r="J3868" s="2">
        <v>46066</v>
      </c>
      <c r="K3868" s="2">
        <v>46054</v>
      </c>
      <c r="L3868" s="1" t="str">
        <f t="shared" si="453"/>
        <v>sex</v>
      </c>
      <c r="M3868" s="1" t="str">
        <f t="shared" si="454"/>
        <v>fev</v>
      </c>
      <c r="N3868">
        <f t="shared" si="455"/>
        <v>2026</v>
      </c>
      <c r="O3868" s="2"/>
      <c r="P3868" t="str">
        <f t="shared" si="452"/>
        <v>179446066</v>
      </c>
    </row>
    <row r="3869" spans="1:16" x14ac:dyDescent="0.3">
      <c r="A3869">
        <v>1794</v>
      </c>
      <c r="B3869">
        <v>30</v>
      </c>
      <c r="C3869" t="s">
        <v>26</v>
      </c>
      <c r="D3869" t="s">
        <v>16</v>
      </c>
      <c r="E3869" t="s">
        <v>17</v>
      </c>
      <c r="F3869" t="s">
        <v>21</v>
      </c>
      <c r="G3869" t="s">
        <v>41</v>
      </c>
      <c r="H3869" t="s">
        <v>25</v>
      </c>
      <c r="I3869" s="1">
        <v>3</v>
      </c>
      <c r="J3869" s="2">
        <v>46105</v>
      </c>
      <c r="K3869" s="2">
        <v>46082</v>
      </c>
      <c r="L3869" s="1" t="str">
        <f t="shared" si="453"/>
        <v>ter</v>
      </c>
      <c r="M3869" s="1" t="str">
        <f t="shared" si="454"/>
        <v>mar</v>
      </c>
      <c r="N3869">
        <f t="shared" si="455"/>
        <v>2026</v>
      </c>
      <c r="O3869" s="2"/>
      <c r="P3869" t="str">
        <f t="shared" si="452"/>
        <v>179446105</v>
      </c>
    </row>
    <row r="3870" spans="1:16" x14ac:dyDescent="0.3">
      <c r="A3870">
        <v>1795</v>
      </c>
      <c r="B3870">
        <v>49</v>
      </c>
      <c r="C3870" t="s">
        <v>26</v>
      </c>
      <c r="D3870" t="s">
        <v>16</v>
      </c>
      <c r="E3870" t="s">
        <v>17</v>
      </c>
      <c r="F3870" t="s">
        <v>18</v>
      </c>
      <c r="G3870" t="s">
        <v>41</v>
      </c>
      <c r="H3870" t="s">
        <v>25</v>
      </c>
      <c r="I3870" s="1">
        <v>1</v>
      </c>
      <c r="J3870" s="2">
        <v>45776</v>
      </c>
      <c r="K3870" s="2">
        <v>45748</v>
      </c>
      <c r="L3870" s="1" t="str">
        <f t="shared" si="453"/>
        <v>ter</v>
      </c>
      <c r="M3870" s="1" t="str">
        <f t="shared" si="454"/>
        <v>abr</v>
      </c>
      <c r="N3870">
        <f t="shared" si="455"/>
        <v>2025</v>
      </c>
      <c r="O3870" s="2"/>
      <c r="P3870" t="str">
        <f t="shared" si="452"/>
        <v>179545776</v>
      </c>
    </row>
    <row r="3871" spans="1:16" x14ac:dyDescent="0.3">
      <c r="A3871">
        <v>1795</v>
      </c>
      <c r="B3871">
        <v>49</v>
      </c>
      <c r="C3871" t="s">
        <v>26</v>
      </c>
      <c r="D3871" t="s">
        <v>16</v>
      </c>
      <c r="E3871" t="s">
        <v>17</v>
      </c>
      <c r="F3871" t="s">
        <v>18</v>
      </c>
      <c r="G3871" t="s">
        <v>41</v>
      </c>
      <c r="H3871" t="s">
        <v>25</v>
      </c>
      <c r="I3871" s="1">
        <v>1</v>
      </c>
      <c r="J3871" s="2">
        <v>45820</v>
      </c>
      <c r="K3871" s="2">
        <v>45809</v>
      </c>
      <c r="L3871" s="1" t="str">
        <f t="shared" si="453"/>
        <v>qui</v>
      </c>
      <c r="M3871" s="1" t="str">
        <f t="shared" si="454"/>
        <v>jun</v>
      </c>
      <c r="N3871">
        <f t="shared" si="455"/>
        <v>2025</v>
      </c>
      <c r="O3871" s="2"/>
      <c r="P3871" t="str">
        <f t="shared" si="452"/>
        <v>179545820</v>
      </c>
    </row>
    <row r="3872" spans="1:16" x14ac:dyDescent="0.3">
      <c r="A3872">
        <v>1795</v>
      </c>
      <c r="B3872">
        <v>49</v>
      </c>
      <c r="C3872" t="s">
        <v>26</v>
      </c>
      <c r="D3872" t="s">
        <v>16</v>
      </c>
      <c r="E3872" t="s">
        <v>17</v>
      </c>
      <c r="F3872" t="s">
        <v>18</v>
      </c>
      <c r="G3872" t="s">
        <v>41</v>
      </c>
      <c r="H3872" t="s">
        <v>25</v>
      </c>
      <c r="I3872" s="1">
        <v>1</v>
      </c>
      <c r="J3872" s="2">
        <v>45880</v>
      </c>
      <c r="K3872" s="2">
        <v>45870</v>
      </c>
      <c r="L3872" s="1" t="str">
        <f t="shared" si="453"/>
        <v>seg</v>
      </c>
      <c r="M3872" s="1" t="str">
        <f t="shared" si="454"/>
        <v>ago</v>
      </c>
      <c r="N3872">
        <f t="shared" si="455"/>
        <v>2025</v>
      </c>
      <c r="O3872" s="2"/>
      <c r="P3872" t="str">
        <f t="shared" si="452"/>
        <v>179545880</v>
      </c>
    </row>
    <row r="3873" spans="1:16" x14ac:dyDescent="0.3">
      <c r="A3873">
        <v>1795</v>
      </c>
      <c r="B3873">
        <v>49</v>
      </c>
      <c r="C3873" t="s">
        <v>26</v>
      </c>
      <c r="D3873" t="s">
        <v>16</v>
      </c>
      <c r="E3873" t="s">
        <v>17</v>
      </c>
      <c r="F3873" t="s">
        <v>18</v>
      </c>
      <c r="G3873" t="s">
        <v>41</v>
      </c>
      <c r="H3873" t="s">
        <v>25</v>
      </c>
      <c r="I3873" s="1">
        <v>1</v>
      </c>
      <c r="J3873" s="2">
        <v>45893</v>
      </c>
      <c r="K3873" s="2">
        <v>45870</v>
      </c>
      <c r="L3873" s="1" t="str">
        <f t="shared" si="453"/>
        <v>dom</v>
      </c>
      <c r="M3873" s="1" t="str">
        <f t="shared" si="454"/>
        <v>ago</v>
      </c>
      <c r="N3873">
        <f t="shared" si="455"/>
        <v>2025</v>
      </c>
      <c r="O3873" s="2"/>
      <c r="P3873" t="str">
        <f t="shared" si="452"/>
        <v>179545893</v>
      </c>
    </row>
    <row r="3874" spans="1:16" x14ac:dyDescent="0.3">
      <c r="A3874">
        <v>1795</v>
      </c>
      <c r="B3874">
        <v>49</v>
      </c>
      <c r="C3874" t="s">
        <v>26</v>
      </c>
      <c r="D3874" t="s">
        <v>16</v>
      </c>
      <c r="E3874" t="s">
        <v>17</v>
      </c>
      <c r="F3874" t="s">
        <v>18</v>
      </c>
      <c r="G3874" t="s">
        <v>41</v>
      </c>
      <c r="H3874" t="s">
        <v>25</v>
      </c>
      <c r="I3874" s="1">
        <v>1</v>
      </c>
      <c r="J3874" s="2">
        <v>45985</v>
      </c>
      <c r="K3874" s="2">
        <v>45962</v>
      </c>
      <c r="L3874" s="1" t="str">
        <f t="shared" si="453"/>
        <v>seg</v>
      </c>
      <c r="M3874" s="1" t="str">
        <f t="shared" si="454"/>
        <v>nov</v>
      </c>
      <c r="N3874">
        <f t="shared" si="455"/>
        <v>2025</v>
      </c>
      <c r="O3874" s="2"/>
      <c r="P3874" t="str">
        <f t="shared" si="452"/>
        <v>179545985</v>
      </c>
    </row>
    <row r="3875" spans="1:16" x14ac:dyDescent="0.3">
      <c r="A3875">
        <v>1795</v>
      </c>
      <c r="B3875">
        <v>49</v>
      </c>
      <c r="C3875" t="s">
        <v>26</v>
      </c>
      <c r="D3875" t="s">
        <v>16</v>
      </c>
      <c r="E3875" t="s">
        <v>17</v>
      </c>
      <c r="F3875" t="s">
        <v>18</v>
      </c>
      <c r="G3875" t="s">
        <v>41</v>
      </c>
      <c r="H3875" t="s">
        <v>25</v>
      </c>
      <c r="I3875" s="1">
        <v>1</v>
      </c>
      <c r="J3875" s="2">
        <v>46072</v>
      </c>
      <c r="K3875" s="2">
        <v>46054</v>
      </c>
      <c r="L3875" s="1" t="str">
        <f t="shared" si="453"/>
        <v>qui</v>
      </c>
      <c r="M3875" s="1" t="str">
        <f t="shared" si="454"/>
        <v>fev</v>
      </c>
      <c r="N3875">
        <f t="shared" si="455"/>
        <v>2026</v>
      </c>
      <c r="O3875" s="2"/>
      <c r="P3875" t="str">
        <f t="shared" si="452"/>
        <v>179546072</v>
      </c>
    </row>
    <row r="3876" spans="1:16" x14ac:dyDescent="0.3">
      <c r="A3876">
        <v>1795</v>
      </c>
      <c r="B3876">
        <v>49</v>
      </c>
      <c r="C3876" t="s">
        <v>26</v>
      </c>
      <c r="D3876" t="s">
        <v>16</v>
      </c>
      <c r="E3876" t="s">
        <v>17</v>
      </c>
      <c r="F3876" t="s">
        <v>18</v>
      </c>
      <c r="G3876" t="s">
        <v>41</v>
      </c>
      <c r="H3876" t="s">
        <v>25</v>
      </c>
      <c r="I3876" s="1">
        <v>1</v>
      </c>
      <c r="J3876" s="2">
        <v>46141</v>
      </c>
      <c r="K3876" s="2">
        <v>46113</v>
      </c>
      <c r="L3876" s="1" t="s">
        <v>50</v>
      </c>
      <c r="M3876" s="1" t="s">
        <v>48</v>
      </c>
      <c r="N3876">
        <v>2025</v>
      </c>
      <c r="O3876" s="2"/>
      <c r="P3876" t="str">
        <f t="shared" si="452"/>
        <v>179546141</v>
      </c>
    </row>
    <row r="3877" spans="1:16" x14ac:dyDescent="0.3">
      <c r="A3877">
        <v>1796</v>
      </c>
      <c r="B3877">
        <v>22</v>
      </c>
      <c r="C3877" t="s">
        <v>15</v>
      </c>
      <c r="D3877" t="s">
        <v>22</v>
      </c>
      <c r="E3877" t="s">
        <v>17</v>
      </c>
      <c r="F3877" t="s">
        <v>18</v>
      </c>
      <c r="G3877" t="s">
        <v>41</v>
      </c>
      <c r="H3877" t="s">
        <v>25</v>
      </c>
      <c r="I3877" s="1">
        <v>2</v>
      </c>
      <c r="J3877" s="2">
        <v>45811</v>
      </c>
      <c r="K3877" s="2">
        <v>45809</v>
      </c>
      <c r="L3877" s="1" t="str">
        <f t="shared" ref="L3877:L3908" si="456">TEXT(J3877,"ddd")</f>
        <v>ter</v>
      </c>
      <c r="M3877" s="1" t="str">
        <f t="shared" ref="M3877:M3908" si="457">TEXT($J3877,"mmm")</f>
        <v>jun</v>
      </c>
      <c r="N3877">
        <f t="shared" ref="N3877:N3908" si="458">YEAR(J3877)</f>
        <v>2025</v>
      </c>
      <c r="O3877" s="2"/>
      <c r="P3877" t="str">
        <f t="shared" si="452"/>
        <v>179645811</v>
      </c>
    </row>
    <row r="3878" spans="1:16" x14ac:dyDescent="0.3">
      <c r="A3878">
        <v>1796</v>
      </c>
      <c r="B3878">
        <v>22</v>
      </c>
      <c r="C3878" t="s">
        <v>15</v>
      </c>
      <c r="D3878" t="s">
        <v>22</v>
      </c>
      <c r="E3878" t="s">
        <v>17</v>
      </c>
      <c r="F3878" t="s">
        <v>18</v>
      </c>
      <c r="G3878" t="s">
        <v>41</v>
      </c>
      <c r="H3878" t="s">
        <v>25</v>
      </c>
      <c r="I3878" s="1">
        <v>2</v>
      </c>
      <c r="J3878" s="2">
        <v>45828</v>
      </c>
      <c r="K3878" s="2">
        <v>45809</v>
      </c>
      <c r="L3878" s="1" t="str">
        <f t="shared" si="456"/>
        <v>sex</v>
      </c>
      <c r="M3878" s="1" t="str">
        <f t="shared" si="457"/>
        <v>jun</v>
      </c>
      <c r="N3878">
        <f t="shared" si="458"/>
        <v>2025</v>
      </c>
      <c r="O3878" s="2"/>
      <c r="P3878" t="str">
        <f t="shared" si="452"/>
        <v>179645828</v>
      </c>
    </row>
    <row r="3879" spans="1:16" x14ac:dyDescent="0.3">
      <c r="A3879">
        <v>1796</v>
      </c>
      <c r="B3879">
        <v>22</v>
      </c>
      <c r="C3879" t="s">
        <v>15</v>
      </c>
      <c r="D3879" t="s">
        <v>22</v>
      </c>
      <c r="E3879" t="s">
        <v>17</v>
      </c>
      <c r="F3879" t="s">
        <v>18</v>
      </c>
      <c r="G3879" t="s">
        <v>41</v>
      </c>
      <c r="H3879" t="s">
        <v>25</v>
      </c>
      <c r="I3879" s="1">
        <v>2</v>
      </c>
      <c r="J3879" s="2">
        <v>45942</v>
      </c>
      <c r="K3879" s="2">
        <v>45931</v>
      </c>
      <c r="L3879" s="1" t="str">
        <f t="shared" si="456"/>
        <v>dom</v>
      </c>
      <c r="M3879" s="1" t="str">
        <f t="shared" si="457"/>
        <v>out</v>
      </c>
      <c r="N3879">
        <f t="shared" si="458"/>
        <v>2025</v>
      </c>
      <c r="O3879" s="2"/>
      <c r="P3879" t="str">
        <f t="shared" si="452"/>
        <v>179645942</v>
      </c>
    </row>
    <row r="3880" spans="1:16" x14ac:dyDescent="0.3">
      <c r="A3880">
        <v>1796</v>
      </c>
      <c r="B3880">
        <v>22</v>
      </c>
      <c r="C3880" t="s">
        <v>15</v>
      </c>
      <c r="D3880" t="s">
        <v>22</v>
      </c>
      <c r="E3880" t="s">
        <v>17</v>
      </c>
      <c r="F3880" t="s">
        <v>18</v>
      </c>
      <c r="G3880" t="s">
        <v>41</v>
      </c>
      <c r="H3880" t="s">
        <v>25</v>
      </c>
      <c r="I3880" s="1">
        <v>2</v>
      </c>
      <c r="J3880" s="2">
        <v>45978</v>
      </c>
      <c r="K3880" s="2">
        <v>45962</v>
      </c>
      <c r="L3880" s="1" t="str">
        <f t="shared" si="456"/>
        <v>seg</v>
      </c>
      <c r="M3880" s="1" t="str">
        <f t="shared" si="457"/>
        <v>nov</v>
      </c>
      <c r="N3880">
        <f t="shared" si="458"/>
        <v>2025</v>
      </c>
      <c r="O3880" s="2"/>
      <c r="P3880" t="str">
        <f t="shared" si="452"/>
        <v>179645978</v>
      </c>
    </row>
    <row r="3881" spans="1:16" x14ac:dyDescent="0.3">
      <c r="A3881">
        <v>1797</v>
      </c>
      <c r="B3881">
        <v>57</v>
      </c>
      <c r="C3881" t="s">
        <v>26</v>
      </c>
      <c r="D3881" t="s">
        <v>27</v>
      </c>
      <c r="E3881" t="s">
        <v>17</v>
      </c>
      <c r="F3881" t="s">
        <v>23</v>
      </c>
      <c r="G3881" t="s">
        <v>41</v>
      </c>
      <c r="H3881" t="s">
        <v>25</v>
      </c>
      <c r="I3881" s="1">
        <v>1</v>
      </c>
      <c r="J3881" s="2">
        <v>45981</v>
      </c>
      <c r="K3881" s="2">
        <v>45962</v>
      </c>
      <c r="L3881" s="1" t="str">
        <f t="shared" si="456"/>
        <v>qui</v>
      </c>
      <c r="M3881" s="1" t="str">
        <f t="shared" si="457"/>
        <v>nov</v>
      </c>
      <c r="N3881">
        <f t="shared" si="458"/>
        <v>2025</v>
      </c>
      <c r="O3881" s="2"/>
      <c r="P3881" t="str">
        <f t="shared" si="452"/>
        <v>179745981</v>
      </c>
    </row>
    <row r="3882" spans="1:16" x14ac:dyDescent="0.3">
      <c r="A3882">
        <v>1797</v>
      </c>
      <c r="B3882">
        <v>57</v>
      </c>
      <c r="C3882" t="s">
        <v>26</v>
      </c>
      <c r="D3882" t="s">
        <v>27</v>
      </c>
      <c r="E3882" t="s">
        <v>17</v>
      </c>
      <c r="F3882" t="s">
        <v>23</v>
      </c>
      <c r="G3882" t="s">
        <v>41</v>
      </c>
      <c r="H3882" t="s">
        <v>25</v>
      </c>
      <c r="I3882" s="1">
        <v>1</v>
      </c>
      <c r="J3882" s="2">
        <v>46004</v>
      </c>
      <c r="K3882" s="2">
        <v>45992</v>
      </c>
      <c r="L3882" s="1" t="str">
        <f t="shared" si="456"/>
        <v>sáb</v>
      </c>
      <c r="M3882" s="1" t="str">
        <f t="shared" si="457"/>
        <v>dez</v>
      </c>
      <c r="N3882">
        <f t="shared" si="458"/>
        <v>2025</v>
      </c>
      <c r="O3882" s="2"/>
      <c r="P3882" t="str">
        <f t="shared" si="452"/>
        <v>179746004</v>
      </c>
    </row>
    <row r="3883" spans="1:16" x14ac:dyDescent="0.3">
      <c r="A3883">
        <v>1797</v>
      </c>
      <c r="B3883">
        <v>57</v>
      </c>
      <c r="C3883" t="s">
        <v>26</v>
      </c>
      <c r="D3883" t="s">
        <v>27</v>
      </c>
      <c r="E3883" t="s">
        <v>17</v>
      </c>
      <c r="F3883" t="s">
        <v>23</v>
      </c>
      <c r="G3883" t="s">
        <v>41</v>
      </c>
      <c r="H3883" t="s">
        <v>25</v>
      </c>
      <c r="I3883" s="1">
        <v>1</v>
      </c>
      <c r="J3883" s="2">
        <v>46197</v>
      </c>
      <c r="K3883" s="2">
        <v>46023</v>
      </c>
      <c r="L3883" s="1" t="str">
        <f t="shared" si="456"/>
        <v>qua</v>
      </c>
      <c r="M3883" s="1" t="str">
        <f t="shared" si="457"/>
        <v>jun</v>
      </c>
      <c r="N3883">
        <f t="shared" si="458"/>
        <v>2026</v>
      </c>
      <c r="O3883" s="2"/>
      <c r="P3883" t="str">
        <f t="shared" si="452"/>
        <v>179746197</v>
      </c>
    </row>
    <row r="3884" spans="1:16" x14ac:dyDescent="0.3">
      <c r="A3884">
        <v>1797</v>
      </c>
      <c r="B3884">
        <v>57</v>
      </c>
      <c r="C3884" t="s">
        <v>26</v>
      </c>
      <c r="D3884" t="s">
        <v>27</v>
      </c>
      <c r="E3884" t="s">
        <v>17</v>
      </c>
      <c r="F3884" t="s">
        <v>23</v>
      </c>
      <c r="G3884" t="s">
        <v>41</v>
      </c>
      <c r="H3884" t="s">
        <v>25</v>
      </c>
      <c r="I3884" s="1">
        <v>1</v>
      </c>
      <c r="J3884" s="2">
        <v>46202</v>
      </c>
      <c r="K3884" s="2">
        <v>46023</v>
      </c>
      <c r="L3884" s="1" t="str">
        <f t="shared" si="456"/>
        <v>seg</v>
      </c>
      <c r="M3884" s="1" t="str">
        <f t="shared" si="457"/>
        <v>jun</v>
      </c>
      <c r="N3884">
        <f t="shared" si="458"/>
        <v>2026</v>
      </c>
      <c r="O3884" s="2"/>
      <c r="P3884" t="str">
        <f t="shared" si="452"/>
        <v>179746202</v>
      </c>
    </row>
    <row r="3885" spans="1:16" x14ac:dyDescent="0.3">
      <c r="A3885">
        <v>1798</v>
      </c>
      <c r="B3885">
        <v>36</v>
      </c>
      <c r="C3885" t="s">
        <v>15</v>
      </c>
      <c r="D3885" t="s">
        <v>29</v>
      </c>
      <c r="E3885" t="s">
        <v>17</v>
      </c>
      <c r="F3885" t="s">
        <v>21</v>
      </c>
      <c r="G3885" t="s">
        <v>41</v>
      </c>
      <c r="H3885" t="s">
        <v>20</v>
      </c>
      <c r="I3885" s="1">
        <v>2</v>
      </c>
      <c r="J3885" s="2">
        <v>45734</v>
      </c>
      <c r="K3885" s="2">
        <v>45717</v>
      </c>
      <c r="L3885" s="1" t="str">
        <f t="shared" si="456"/>
        <v>ter</v>
      </c>
      <c r="M3885" s="1" t="str">
        <f t="shared" si="457"/>
        <v>mar</v>
      </c>
      <c r="N3885">
        <f t="shared" si="458"/>
        <v>2025</v>
      </c>
      <c r="O3885" s="2">
        <f>_xlfn.XLOOKUP(A3885,Colaboradores!$A:$A,Colaboradores!$S:$S,"",0)</f>
        <v>45771</v>
      </c>
      <c r="P3885" t="str">
        <f t="shared" si="452"/>
        <v>179845734</v>
      </c>
    </row>
    <row r="3886" spans="1:16" x14ac:dyDescent="0.3">
      <c r="A3886">
        <v>1798</v>
      </c>
      <c r="B3886">
        <v>36</v>
      </c>
      <c r="C3886" t="s">
        <v>15</v>
      </c>
      <c r="D3886" t="s">
        <v>29</v>
      </c>
      <c r="E3886" t="s">
        <v>17</v>
      </c>
      <c r="F3886" t="s">
        <v>21</v>
      </c>
      <c r="G3886" t="s">
        <v>57</v>
      </c>
      <c r="H3886" t="s">
        <v>20</v>
      </c>
      <c r="I3886" s="1">
        <v>2</v>
      </c>
      <c r="J3886" s="2">
        <v>45761</v>
      </c>
      <c r="K3886" s="2">
        <v>45748</v>
      </c>
      <c r="L3886" s="1" t="str">
        <f t="shared" si="456"/>
        <v>seg</v>
      </c>
      <c r="M3886" s="1" t="str">
        <f t="shared" si="457"/>
        <v>abr</v>
      </c>
      <c r="N3886">
        <f t="shared" si="458"/>
        <v>2025</v>
      </c>
      <c r="O3886" s="2">
        <f>_xlfn.XLOOKUP(A3886,Colaboradores!$A:$A,Colaboradores!$S:$S,"",0)</f>
        <v>45771</v>
      </c>
      <c r="P3886" t="str">
        <f t="shared" si="452"/>
        <v>179845761</v>
      </c>
    </row>
    <row r="3887" spans="1:16" x14ac:dyDescent="0.3">
      <c r="A3887">
        <v>1798</v>
      </c>
      <c r="B3887">
        <v>36</v>
      </c>
      <c r="C3887" t="s">
        <v>15</v>
      </c>
      <c r="D3887" t="s">
        <v>29</v>
      </c>
      <c r="E3887" t="s">
        <v>17</v>
      </c>
      <c r="F3887" t="s">
        <v>21</v>
      </c>
      <c r="G3887" t="s">
        <v>41</v>
      </c>
      <c r="H3887" t="s">
        <v>20</v>
      </c>
      <c r="I3887" s="1">
        <v>2</v>
      </c>
      <c r="J3887" s="2">
        <v>45762</v>
      </c>
      <c r="K3887" s="2">
        <v>45748</v>
      </c>
      <c r="L3887" s="1" t="str">
        <f t="shared" si="456"/>
        <v>ter</v>
      </c>
      <c r="M3887" s="1" t="str">
        <f t="shared" si="457"/>
        <v>abr</v>
      </c>
      <c r="N3887">
        <f t="shared" si="458"/>
        <v>2025</v>
      </c>
      <c r="O3887" s="2">
        <f>_xlfn.XLOOKUP(A3887,Colaboradores!$A:$A,Colaboradores!$S:$S,"",0)</f>
        <v>45771</v>
      </c>
      <c r="P3887" t="str">
        <f t="shared" si="452"/>
        <v>179845762</v>
      </c>
    </row>
    <row r="3888" spans="1:16" x14ac:dyDescent="0.3">
      <c r="A3888">
        <v>1798</v>
      </c>
      <c r="B3888">
        <v>36</v>
      </c>
      <c r="C3888" t="s">
        <v>15</v>
      </c>
      <c r="D3888" t="s">
        <v>29</v>
      </c>
      <c r="E3888" t="s">
        <v>17</v>
      </c>
      <c r="F3888" t="s">
        <v>21</v>
      </c>
      <c r="G3888" t="s">
        <v>57</v>
      </c>
      <c r="H3888" t="s">
        <v>20</v>
      </c>
      <c r="I3888" s="1">
        <v>2</v>
      </c>
      <c r="J3888" s="2">
        <v>45765</v>
      </c>
      <c r="K3888" s="2">
        <v>45748</v>
      </c>
      <c r="L3888" s="1" t="str">
        <f t="shared" si="456"/>
        <v>sex</v>
      </c>
      <c r="M3888" s="1" t="str">
        <f t="shared" si="457"/>
        <v>abr</v>
      </c>
      <c r="N3888">
        <f t="shared" si="458"/>
        <v>2025</v>
      </c>
      <c r="O3888" s="2">
        <f>_xlfn.XLOOKUP(A3888,Colaboradores!$A:$A,Colaboradores!$S:$S,"",0)</f>
        <v>45771</v>
      </c>
      <c r="P3888" t="str">
        <f t="shared" si="452"/>
        <v>179845765</v>
      </c>
    </row>
    <row r="3889" spans="1:16" x14ac:dyDescent="0.3">
      <c r="A3889">
        <v>1798</v>
      </c>
      <c r="B3889">
        <v>36</v>
      </c>
      <c r="C3889" t="s">
        <v>15</v>
      </c>
      <c r="D3889" t="s">
        <v>29</v>
      </c>
      <c r="E3889" t="s">
        <v>17</v>
      </c>
      <c r="F3889" t="s">
        <v>21</v>
      </c>
      <c r="G3889" t="s">
        <v>41</v>
      </c>
      <c r="H3889" t="s">
        <v>20</v>
      </c>
      <c r="I3889" s="1">
        <v>2</v>
      </c>
      <c r="J3889" s="2">
        <v>45767</v>
      </c>
      <c r="K3889" s="2">
        <v>45748</v>
      </c>
      <c r="L3889" s="1" t="str">
        <f t="shared" si="456"/>
        <v>dom</v>
      </c>
      <c r="M3889" s="1" t="str">
        <f t="shared" si="457"/>
        <v>abr</v>
      </c>
      <c r="N3889">
        <f t="shared" si="458"/>
        <v>2025</v>
      </c>
      <c r="O3889" s="2">
        <f>_xlfn.XLOOKUP(A3889,Colaboradores!$A:$A,Colaboradores!$S:$S,"",0)</f>
        <v>45771</v>
      </c>
      <c r="P3889" t="str">
        <f t="shared" si="452"/>
        <v>179845767</v>
      </c>
    </row>
    <row r="3890" spans="1:16" x14ac:dyDescent="0.3">
      <c r="A3890">
        <v>1798</v>
      </c>
      <c r="B3890">
        <v>36</v>
      </c>
      <c r="C3890" t="s">
        <v>15</v>
      </c>
      <c r="D3890" t="s">
        <v>29</v>
      </c>
      <c r="E3890" t="s">
        <v>17</v>
      </c>
      <c r="F3890" t="s">
        <v>21</v>
      </c>
      <c r="G3890" t="s">
        <v>41</v>
      </c>
      <c r="H3890" t="s">
        <v>20</v>
      </c>
      <c r="I3890" s="1">
        <v>2</v>
      </c>
      <c r="J3890" s="2">
        <v>45770</v>
      </c>
      <c r="K3890" s="2">
        <v>45748</v>
      </c>
      <c r="L3890" s="1" t="str">
        <f t="shared" si="456"/>
        <v>qua</v>
      </c>
      <c r="M3890" s="1" t="str">
        <f t="shared" si="457"/>
        <v>abr</v>
      </c>
      <c r="N3890">
        <f t="shared" si="458"/>
        <v>2025</v>
      </c>
      <c r="O3890" s="2">
        <f>_xlfn.XLOOKUP(A3890,Colaboradores!$A:$A,Colaboradores!$S:$S,"",0)</f>
        <v>45771</v>
      </c>
      <c r="P3890" t="str">
        <f t="shared" si="452"/>
        <v>179845770</v>
      </c>
    </row>
    <row r="3891" spans="1:16" x14ac:dyDescent="0.3">
      <c r="A3891">
        <v>1799</v>
      </c>
      <c r="B3891">
        <v>51</v>
      </c>
      <c r="C3891" t="s">
        <v>26</v>
      </c>
      <c r="D3891" t="s">
        <v>22</v>
      </c>
      <c r="E3891" t="s">
        <v>17</v>
      </c>
      <c r="F3891" t="s">
        <v>18</v>
      </c>
      <c r="G3891" t="s">
        <v>41</v>
      </c>
      <c r="H3891" t="s">
        <v>25</v>
      </c>
      <c r="I3891" s="1">
        <v>1</v>
      </c>
      <c r="J3891" s="2">
        <v>45828</v>
      </c>
      <c r="K3891" s="2">
        <v>45809</v>
      </c>
      <c r="L3891" s="1" t="str">
        <f t="shared" si="456"/>
        <v>sex</v>
      </c>
      <c r="M3891" s="1" t="str">
        <f t="shared" si="457"/>
        <v>jun</v>
      </c>
      <c r="N3891">
        <f t="shared" si="458"/>
        <v>2025</v>
      </c>
      <c r="O3891" s="2"/>
      <c r="P3891" t="str">
        <f t="shared" si="452"/>
        <v>179945828</v>
      </c>
    </row>
    <row r="3892" spans="1:16" x14ac:dyDescent="0.3">
      <c r="A3892">
        <v>1799</v>
      </c>
      <c r="B3892">
        <v>51</v>
      </c>
      <c r="C3892" t="s">
        <v>26</v>
      </c>
      <c r="D3892" t="s">
        <v>22</v>
      </c>
      <c r="E3892" t="s">
        <v>17</v>
      </c>
      <c r="F3892" t="s">
        <v>18</v>
      </c>
      <c r="G3892" t="s">
        <v>41</v>
      </c>
      <c r="H3892" t="s">
        <v>25</v>
      </c>
      <c r="I3892" s="1">
        <v>1</v>
      </c>
      <c r="J3892" s="2">
        <v>45933</v>
      </c>
      <c r="K3892" s="2">
        <v>45931</v>
      </c>
      <c r="L3892" s="1" t="str">
        <f t="shared" si="456"/>
        <v>sex</v>
      </c>
      <c r="M3892" s="1" t="str">
        <f t="shared" si="457"/>
        <v>out</v>
      </c>
      <c r="N3892">
        <f t="shared" si="458"/>
        <v>2025</v>
      </c>
      <c r="O3892" s="2"/>
      <c r="P3892" t="str">
        <f t="shared" si="452"/>
        <v>179945933</v>
      </c>
    </row>
    <row r="3893" spans="1:16" x14ac:dyDescent="0.3">
      <c r="A3893">
        <v>1799</v>
      </c>
      <c r="B3893">
        <v>51</v>
      </c>
      <c r="C3893" t="s">
        <v>26</v>
      </c>
      <c r="D3893" t="s">
        <v>22</v>
      </c>
      <c r="E3893" t="s">
        <v>17</v>
      </c>
      <c r="F3893" t="s">
        <v>18</v>
      </c>
      <c r="G3893" t="s">
        <v>41</v>
      </c>
      <c r="H3893" t="s">
        <v>25</v>
      </c>
      <c r="I3893" s="1">
        <v>1</v>
      </c>
      <c r="J3893" s="2">
        <v>45979</v>
      </c>
      <c r="K3893" s="2">
        <v>45962</v>
      </c>
      <c r="L3893" s="1" t="str">
        <f t="shared" si="456"/>
        <v>ter</v>
      </c>
      <c r="M3893" s="1" t="str">
        <f t="shared" si="457"/>
        <v>nov</v>
      </c>
      <c r="N3893">
        <f t="shared" si="458"/>
        <v>2025</v>
      </c>
      <c r="O3893" s="2"/>
      <c r="P3893" t="str">
        <f t="shared" si="452"/>
        <v>179945979</v>
      </c>
    </row>
    <row r="3894" spans="1:16" x14ac:dyDescent="0.3">
      <c r="A3894">
        <v>1799</v>
      </c>
      <c r="B3894">
        <v>51</v>
      </c>
      <c r="C3894" t="s">
        <v>26</v>
      </c>
      <c r="D3894" t="s">
        <v>22</v>
      </c>
      <c r="E3894" t="s">
        <v>17</v>
      </c>
      <c r="F3894" t="s">
        <v>18</v>
      </c>
      <c r="G3894" t="s">
        <v>41</v>
      </c>
      <c r="H3894" t="s">
        <v>25</v>
      </c>
      <c r="I3894" s="1">
        <v>1</v>
      </c>
      <c r="J3894" s="2">
        <v>46184</v>
      </c>
      <c r="K3894" s="2">
        <v>46023</v>
      </c>
      <c r="L3894" s="1" t="str">
        <f t="shared" si="456"/>
        <v>qui</v>
      </c>
      <c r="M3894" s="1" t="str">
        <f t="shared" si="457"/>
        <v>jun</v>
      </c>
      <c r="N3894">
        <f t="shared" si="458"/>
        <v>2026</v>
      </c>
      <c r="O3894" s="2"/>
      <c r="P3894" t="str">
        <f t="shared" si="452"/>
        <v>179946184</v>
      </c>
    </row>
    <row r="3895" spans="1:16" x14ac:dyDescent="0.3">
      <c r="A3895">
        <v>1799</v>
      </c>
      <c r="B3895">
        <v>51</v>
      </c>
      <c r="C3895" t="s">
        <v>26</v>
      </c>
      <c r="D3895" t="s">
        <v>22</v>
      </c>
      <c r="E3895" t="s">
        <v>17</v>
      </c>
      <c r="F3895" t="s">
        <v>18</v>
      </c>
      <c r="G3895" t="s">
        <v>41</v>
      </c>
      <c r="H3895" t="s">
        <v>25</v>
      </c>
      <c r="I3895" s="1">
        <v>1</v>
      </c>
      <c r="J3895" s="2">
        <v>46201</v>
      </c>
      <c r="K3895" s="2">
        <v>46023</v>
      </c>
      <c r="L3895" s="1" t="str">
        <f t="shared" si="456"/>
        <v>dom</v>
      </c>
      <c r="M3895" s="1" t="str">
        <f t="shared" si="457"/>
        <v>jun</v>
      </c>
      <c r="N3895">
        <f t="shared" si="458"/>
        <v>2026</v>
      </c>
      <c r="O3895" s="2"/>
      <c r="P3895" t="str">
        <f t="shared" si="452"/>
        <v>179946201</v>
      </c>
    </row>
    <row r="3896" spans="1:16" x14ac:dyDescent="0.3">
      <c r="A3896">
        <v>1799</v>
      </c>
      <c r="B3896">
        <v>51</v>
      </c>
      <c r="C3896" t="s">
        <v>26</v>
      </c>
      <c r="D3896" t="s">
        <v>22</v>
      </c>
      <c r="E3896" t="s">
        <v>17</v>
      </c>
      <c r="F3896" t="s">
        <v>18</v>
      </c>
      <c r="G3896" t="s">
        <v>41</v>
      </c>
      <c r="H3896" t="s">
        <v>25</v>
      </c>
      <c r="I3896" s="1">
        <v>1</v>
      </c>
      <c r="J3896" s="2">
        <v>46082</v>
      </c>
      <c r="K3896" s="2">
        <v>46082</v>
      </c>
      <c r="L3896" s="1" t="str">
        <f t="shared" si="456"/>
        <v>dom</v>
      </c>
      <c r="M3896" s="1" t="str">
        <f t="shared" si="457"/>
        <v>mar</v>
      </c>
      <c r="N3896">
        <f t="shared" si="458"/>
        <v>2026</v>
      </c>
      <c r="O3896" s="2"/>
      <c r="P3896" t="str">
        <f t="shared" si="452"/>
        <v>179946082</v>
      </c>
    </row>
    <row r="3897" spans="1:16" x14ac:dyDescent="0.3">
      <c r="A3897">
        <v>1800</v>
      </c>
      <c r="B3897">
        <v>32</v>
      </c>
      <c r="C3897" t="s">
        <v>26</v>
      </c>
      <c r="D3897" t="s">
        <v>27</v>
      </c>
      <c r="E3897" t="s">
        <v>17</v>
      </c>
      <c r="F3897" t="s">
        <v>23</v>
      </c>
      <c r="G3897" t="s">
        <v>41</v>
      </c>
      <c r="H3897" t="s">
        <v>25</v>
      </c>
      <c r="I3897" s="1">
        <v>3</v>
      </c>
      <c r="J3897" s="2">
        <v>45826</v>
      </c>
      <c r="K3897" s="2">
        <v>45809</v>
      </c>
      <c r="L3897" s="1" t="str">
        <f t="shared" si="456"/>
        <v>qua</v>
      </c>
      <c r="M3897" s="1" t="str">
        <f t="shared" si="457"/>
        <v>jun</v>
      </c>
      <c r="N3897">
        <f t="shared" si="458"/>
        <v>2025</v>
      </c>
      <c r="O3897" s="2"/>
      <c r="P3897" t="str">
        <f t="shared" si="452"/>
        <v>180045826</v>
      </c>
    </row>
    <row r="3898" spans="1:16" x14ac:dyDescent="0.3">
      <c r="A3898">
        <v>1800</v>
      </c>
      <c r="B3898">
        <v>32</v>
      </c>
      <c r="C3898" t="s">
        <v>26</v>
      </c>
      <c r="D3898" t="s">
        <v>27</v>
      </c>
      <c r="E3898" t="s">
        <v>17</v>
      </c>
      <c r="F3898" t="s">
        <v>23</v>
      </c>
      <c r="G3898" t="s">
        <v>41</v>
      </c>
      <c r="H3898" t="s">
        <v>25</v>
      </c>
      <c r="I3898" s="1">
        <v>3</v>
      </c>
      <c r="J3898" s="2">
        <v>45829</v>
      </c>
      <c r="K3898" s="2">
        <v>45809</v>
      </c>
      <c r="L3898" s="1" t="str">
        <f t="shared" si="456"/>
        <v>sáb</v>
      </c>
      <c r="M3898" s="1" t="str">
        <f t="shared" si="457"/>
        <v>jun</v>
      </c>
      <c r="N3898">
        <f t="shared" si="458"/>
        <v>2025</v>
      </c>
      <c r="O3898" s="2"/>
      <c r="P3898" t="str">
        <f t="shared" si="452"/>
        <v>180045829</v>
      </c>
    </row>
    <row r="3899" spans="1:16" x14ac:dyDescent="0.3">
      <c r="A3899">
        <v>1800</v>
      </c>
      <c r="B3899">
        <v>32</v>
      </c>
      <c r="C3899" t="s">
        <v>26</v>
      </c>
      <c r="D3899" t="s">
        <v>27</v>
      </c>
      <c r="E3899" t="s">
        <v>17</v>
      </c>
      <c r="F3899" t="s">
        <v>23</v>
      </c>
      <c r="G3899" t="s">
        <v>41</v>
      </c>
      <c r="H3899" t="s">
        <v>25</v>
      </c>
      <c r="I3899" s="1">
        <v>3</v>
      </c>
      <c r="J3899" s="2">
        <v>45923</v>
      </c>
      <c r="K3899" s="2">
        <v>45901</v>
      </c>
      <c r="L3899" s="1" t="str">
        <f t="shared" si="456"/>
        <v>ter</v>
      </c>
      <c r="M3899" s="1" t="str">
        <f t="shared" si="457"/>
        <v>set</v>
      </c>
      <c r="N3899">
        <f t="shared" si="458"/>
        <v>2025</v>
      </c>
      <c r="O3899" s="2"/>
      <c r="P3899" t="str">
        <f t="shared" si="452"/>
        <v>180045923</v>
      </c>
    </row>
    <row r="3900" spans="1:16" x14ac:dyDescent="0.3">
      <c r="A3900">
        <v>1800</v>
      </c>
      <c r="B3900">
        <v>32</v>
      </c>
      <c r="C3900" t="s">
        <v>26</v>
      </c>
      <c r="D3900" t="s">
        <v>27</v>
      </c>
      <c r="E3900" t="s">
        <v>17</v>
      </c>
      <c r="F3900" t="s">
        <v>23</v>
      </c>
      <c r="G3900" t="s">
        <v>41</v>
      </c>
      <c r="H3900" t="s">
        <v>25</v>
      </c>
      <c r="I3900" s="1">
        <v>3</v>
      </c>
      <c r="J3900" s="2">
        <v>45948</v>
      </c>
      <c r="K3900" s="2">
        <v>45931</v>
      </c>
      <c r="L3900" s="1" t="str">
        <f t="shared" si="456"/>
        <v>sáb</v>
      </c>
      <c r="M3900" s="1" t="str">
        <f t="shared" si="457"/>
        <v>out</v>
      </c>
      <c r="N3900">
        <f t="shared" si="458"/>
        <v>2025</v>
      </c>
      <c r="O3900" s="2"/>
      <c r="P3900" t="str">
        <f t="shared" si="452"/>
        <v>180045948</v>
      </c>
    </row>
    <row r="3901" spans="1:16" x14ac:dyDescent="0.3">
      <c r="A3901">
        <v>1800</v>
      </c>
      <c r="B3901">
        <v>32</v>
      </c>
      <c r="C3901" t="s">
        <v>26</v>
      </c>
      <c r="D3901" t="s">
        <v>27</v>
      </c>
      <c r="E3901" t="s">
        <v>17</v>
      </c>
      <c r="F3901" t="s">
        <v>23</v>
      </c>
      <c r="G3901" t="s">
        <v>41</v>
      </c>
      <c r="H3901" t="s">
        <v>25</v>
      </c>
      <c r="I3901" s="1">
        <v>3</v>
      </c>
      <c r="J3901" s="2">
        <v>45967</v>
      </c>
      <c r="K3901" s="2">
        <v>45962</v>
      </c>
      <c r="L3901" s="1" t="str">
        <f t="shared" si="456"/>
        <v>qui</v>
      </c>
      <c r="M3901" s="1" t="str">
        <f t="shared" si="457"/>
        <v>nov</v>
      </c>
      <c r="N3901">
        <f t="shared" si="458"/>
        <v>2025</v>
      </c>
      <c r="O3901" s="2"/>
      <c r="P3901" t="str">
        <f t="shared" si="452"/>
        <v>180045967</v>
      </c>
    </row>
    <row r="3902" spans="1:16" x14ac:dyDescent="0.3">
      <c r="A3902">
        <v>1800</v>
      </c>
      <c r="B3902">
        <v>32</v>
      </c>
      <c r="C3902" t="s">
        <v>26</v>
      </c>
      <c r="D3902" t="s">
        <v>27</v>
      </c>
      <c r="E3902" t="s">
        <v>17</v>
      </c>
      <c r="F3902" t="s">
        <v>23</v>
      </c>
      <c r="G3902" t="s">
        <v>41</v>
      </c>
      <c r="H3902" t="s">
        <v>25</v>
      </c>
      <c r="I3902" s="1">
        <v>3</v>
      </c>
      <c r="J3902" s="2">
        <v>45975</v>
      </c>
      <c r="K3902" s="2">
        <v>45962</v>
      </c>
      <c r="L3902" s="1" t="str">
        <f t="shared" si="456"/>
        <v>sex</v>
      </c>
      <c r="M3902" s="1" t="str">
        <f t="shared" si="457"/>
        <v>nov</v>
      </c>
      <c r="N3902">
        <f t="shared" si="458"/>
        <v>2025</v>
      </c>
      <c r="O3902" s="2"/>
      <c r="P3902" t="str">
        <f t="shared" ref="P3902:P3965" si="459">CONCATENATE(A3902,J3902)</f>
        <v>180045975</v>
      </c>
    </row>
    <row r="3903" spans="1:16" x14ac:dyDescent="0.3">
      <c r="A3903">
        <v>1801</v>
      </c>
      <c r="B3903">
        <v>28</v>
      </c>
      <c r="C3903" t="s">
        <v>15</v>
      </c>
      <c r="D3903" t="s">
        <v>29</v>
      </c>
      <c r="E3903" t="s">
        <v>17</v>
      </c>
      <c r="F3903" t="s">
        <v>18</v>
      </c>
      <c r="G3903" t="s">
        <v>41</v>
      </c>
      <c r="H3903" t="s">
        <v>20</v>
      </c>
      <c r="I3903" s="1">
        <v>1</v>
      </c>
      <c r="J3903" s="2">
        <v>45807</v>
      </c>
      <c r="K3903" s="2">
        <v>45778</v>
      </c>
      <c r="L3903" s="1" t="str">
        <f t="shared" si="456"/>
        <v>sex</v>
      </c>
      <c r="M3903" s="1" t="str">
        <f t="shared" si="457"/>
        <v>mai</v>
      </c>
      <c r="N3903">
        <f t="shared" si="458"/>
        <v>2025</v>
      </c>
      <c r="O3903" s="2">
        <f>_xlfn.XLOOKUP(A3903,Colaboradores!$A:$A,Colaboradores!$S:$S,"",0)</f>
        <v>45922</v>
      </c>
      <c r="P3903" t="str">
        <f t="shared" si="459"/>
        <v>180145807</v>
      </c>
    </row>
    <row r="3904" spans="1:16" x14ac:dyDescent="0.3">
      <c r="A3904">
        <v>1801</v>
      </c>
      <c r="B3904">
        <v>28</v>
      </c>
      <c r="C3904" t="s">
        <v>15</v>
      </c>
      <c r="D3904" t="s">
        <v>29</v>
      </c>
      <c r="E3904" t="s">
        <v>17</v>
      </c>
      <c r="F3904" t="s">
        <v>18</v>
      </c>
      <c r="G3904" t="s">
        <v>41</v>
      </c>
      <c r="H3904" t="s">
        <v>20</v>
      </c>
      <c r="I3904" s="1">
        <v>1</v>
      </c>
      <c r="J3904" s="2">
        <v>45823</v>
      </c>
      <c r="K3904" s="2">
        <v>45809</v>
      </c>
      <c r="L3904" s="1" t="str">
        <f t="shared" si="456"/>
        <v>dom</v>
      </c>
      <c r="M3904" s="1" t="str">
        <f t="shared" si="457"/>
        <v>jun</v>
      </c>
      <c r="N3904">
        <f t="shared" si="458"/>
        <v>2025</v>
      </c>
      <c r="O3904" s="2">
        <f>_xlfn.XLOOKUP(A3904,Colaboradores!$A:$A,Colaboradores!$S:$S,"",0)</f>
        <v>45922</v>
      </c>
      <c r="P3904" t="str">
        <f t="shared" si="459"/>
        <v>180145823</v>
      </c>
    </row>
    <row r="3905" spans="1:16" x14ac:dyDescent="0.3">
      <c r="A3905">
        <v>1801</v>
      </c>
      <c r="B3905">
        <v>28</v>
      </c>
      <c r="C3905" t="s">
        <v>15</v>
      </c>
      <c r="D3905" t="s">
        <v>29</v>
      </c>
      <c r="E3905" t="s">
        <v>17</v>
      </c>
      <c r="F3905" t="s">
        <v>18</v>
      </c>
      <c r="G3905" t="s">
        <v>41</v>
      </c>
      <c r="H3905" t="s">
        <v>20</v>
      </c>
      <c r="I3905" s="1">
        <v>1</v>
      </c>
      <c r="J3905" s="2">
        <v>45838</v>
      </c>
      <c r="K3905" s="2">
        <v>45809</v>
      </c>
      <c r="L3905" s="1" t="str">
        <f t="shared" si="456"/>
        <v>seg</v>
      </c>
      <c r="M3905" s="1" t="str">
        <f t="shared" si="457"/>
        <v>jun</v>
      </c>
      <c r="N3905">
        <f t="shared" si="458"/>
        <v>2025</v>
      </c>
      <c r="O3905" s="2">
        <f>_xlfn.XLOOKUP(A3905,Colaboradores!$A:$A,Colaboradores!$S:$S,"",0)</f>
        <v>45922</v>
      </c>
      <c r="P3905" t="str">
        <f t="shared" si="459"/>
        <v>180145838</v>
      </c>
    </row>
    <row r="3906" spans="1:16" x14ac:dyDescent="0.3">
      <c r="A3906">
        <v>1801</v>
      </c>
      <c r="B3906">
        <v>28</v>
      </c>
      <c r="C3906" t="s">
        <v>15</v>
      </c>
      <c r="D3906" t="s">
        <v>29</v>
      </c>
      <c r="E3906" t="s">
        <v>17</v>
      </c>
      <c r="F3906" t="s">
        <v>18</v>
      </c>
      <c r="G3906" t="s">
        <v>41</v>
      </c>
      <c r="H3906" t="s">
        <v>20</v>
      </c>
      <c r="I3906" s="1">
        <v>1</v>
      </c>
      <c r="J3906" s="2">
        <v>45844</v>
      </c>
      <c r="K3906" s="2">
        <v>45839</v>
      </c>
      <c r="L3906" s="1" t="str">
        <f t="shared" si="456"/>
        <v>dom</v>
      </c>
      <c r="M3906" s="1" t="str">
        <f t="shared" si="457"/>
        <v>jul</v>
      </c>
      <c r="N3906">
        <f t="shared" si="458"/>
        <v>2025</v>
      </c>
      <c r="O3906" s="2">
        <f>_xlfn.XLOOKUP(A3906,Colaboradores!$A:$A,Colaboradores!$S:$S,"",0)</f>
        <v>45922</v>
      </c>
      <c r="P3906" t="str">
        <f t="shared" si="459"/>
        <v>180145844</v>
      </c>
    </row>
    <row r="3907" spans="1:16" x14ac:dyDescent="0.3">
      <c r="A3907">
        <v>1801</v>
      </c>
      <c r="B3907">
        <v>28</v>
      </c>
      <c r="C3907" t="s">
        <v>15</v>
      </c>
      <c r="D3907" t="s">
        <v>29</v>
      </c>
      <c r="E3907" t="s">
        <v>17</v>
      </c>
      <c r="F3907" t="s">
        <v>18</v>
      </c>
      <c r="G3907" t="s">
        <v>41</v>
      </c>
      <c r="H3907" t="s">
        <v>20</v>
      </c>
      <c r="I3907" s="1">
        <v>1</v>
      </c>
      <c r="J3907" s="2">
        <v>45871</v>
      </c>
      <c r="K3907" s="2">
        <v>45870</v>
      </c>
      <c r="L3907" s="1" t="str">
        <f t="shared" si="456"/>
        <v>sáb</v>
      </c>
      <c r="M3907" s="1" t="str">
        <f t="shared" si="457"/>
        <v>ago</v>
      </c>
      <c r="N3907">
        <f t="shared" si="458"/>
        <v>2025</v>
      </c>
      <c r="O3907" s="2">
        <f>_xlfn.XLOOKUP(A3907,Colaboradores!$A:$A,Colaboradores!$S:$S,"",0)</f>
        <v>45922</v>
      </c>
      <c r="P3907" t="str">
        <f t="shared" si="459"/>
        <v>180145871</v>
      </c>
    </row>
    <row r="3908" spans="1:16" x14ac:dyDescent="0.3">
      <c r="A3908">
        <v>1801</v>
      </c>
      <c r="B3908">
        <v>28</v>
      </c>
      <c r="C3908" t="s">
        <v>15</v>
      </c>
      <c r="D3908" t="s">
        <v>29</v>
      </c>
      <c r="E3908" t="s">
        <v>17</v>
      </c>
      <c r="F3908" t="s">
        <v>18</v>
      </c>
      <c r="G3908" t="s">
        <v>41</v>
      </c>
      <c r="H3908" t="s">
        <v>20</v>
      </c>
      <c r="I3908" s="1">
        <v>1</v>
      </c>
      <c r="J3908" s="2">
        <v>45875</v>
      </c>
      <c r="K3908" s="2">
        <v>45870</v>
      </c>
      <c r="L3908" s="1" t="str">
        <f t="shared" si="456"/>
        <v>qua</v>
      </c>
      <c r="M3908" s="1" t="str">
        <f t="shared" si="457"/>
        <v>ago</v>
      </c>
      <c r="N3908">
        <f t="shared" si="458"/>
        <v>2025</v>
      </c>
      <c r="O3908" s="2">
        <f>_xlfn.XLOOKUP(A3908,Colaboradores!$A:$A,Colaboradores!$S:$S,"",0)</f>
        <v>45922</v>
      </c>
      <c r="P3908" t="str">
        <f t="shared" si="459"/>
        <v>180145875</v>
      </c>
    </row>
    <row r="3909" spans="1:16" x14ac:dyDescent="0.3">
      <c r="A3909">
        <v>1802</v>
      </c>
      <c r="B3909">
        <v>54</v>
      </c>
      <c r="C3909" t="s">
        <v>26</v>
      </c>
      <c r="D3909" t="s">
        <v>16</v>
      </c>
      <c r="E3909" t="s">
        <v>17</v>
      </c>
      <c r="F3909" t="s">
        <v>23</v>
      </c>
      <c r="G3909" t="s">
        <v>41</v>
      </c>
      <c r="H3909" t="s">
        <v>25</v>
      </c>
      <c r="I3909" s="1">
        <v>1</v>
      </c>
      <c r="J3909" s="2">
        <v>45918</v>
      </c>
      <c r="K3909" s="2">
        <v>45901</v>
      </c>
      <c r="L3909" s="1" t="str">
        <f t="shared" ref="L3909:L3940" si="460">TEXT(J3909,"ddd")</f>
        <v>qui</v>
      </c>
      <c r="M3909" s="1" t="str">
        <f t="shared" ref="M3909:M3940" si="461">TEXT($J3909,"mmm")</f>
        <v>set</v>
      </c>
      <c r="N3909">
        <f t="shared" ref="N3909:N3940" si="462">YEAR(J3909)</f>
        <v>2025</v>
      </c>
      <c r="O3909" s="2"/>
      <c r="P3909" t="str">
        <f t="shared" si="459"/>
        <v>180245918</v>
      </c>
    </row>
    <row r="3910" spans="1:16" x14ac:dyDescent="0.3">
      <c r="A3910">
        <v>1802</v>
      </c>
      <c r="B3910">
        <v>54</v>
      </c>
      <c r="C3910" t="s">
        <v>26</v>
      </c>
      <c r="D3910" t="s">
        <v>16</v>
      </c>
      <c r="E3910" t="s">
        <v>17</v>
      </c>
      <c r="F3910" t="s">
        <v>23</v>
      </c>
      <c r="G3910" t="s">
        <v>41</v>
      </c>
      <c r="H3910" t="s">
        <v>25</v>
      </c>
      <c r="I3910" s="1">
        <v>1</v>
      </c>
      <c r="J3910" s="2">
        <v>45963</v>
      </c>
      <c r="K3910" s="2">
        <v>45962</v>
      </c>
      <c r="L3910" s="1" t="str">
        <f t="shared" si="460"/>
        <v>dom</v>
      </c>
      <c r="M3910" s="1" t="str">
        <f t="shared" si="461"/>
        <v>nov</v>
      </c>
      <c r="N3910">
        <f t="shared" si="462"/>
        <v>2025</v>
      </c>
      <c r="O3910" s="2"/>
      <c r="P3910" t="str">
        <f t="shared" si="459"/>
        <v>180245963</v>
      </c>
    </row>
    <row r="3911" spans="1:16" x14ac:dyDescent="0.3">
      <c r="A3911">
        <v>1802</v>
      </c>
      <c r="B3911">
        <v>54</v>
      </c>
      <c r="C3911" t="s">
        <v>26</v>
      </c>
      <c r="D3911" t="s">
        <v>16</v>
      </c>
      <c r="E3911" t="s">
        <v>17</v>
      </c>
      <c r="F3911" t="s">
        <v>23</v>
      </c>
      <c r="G3911" t="s">
        <v>41</v>
      </c>
      <c r="H3911" t="s">
        <v>25</v>
      </c>
      <c r="I3911" s="1">
        <v>1</v>
      </c>
      <c r="J3911" s="2">
        <v>45972</v>
      </c>
      <c r="K3911" s="2">
        <v>45962</v>
      </c>
      <c r="L3911" s="1" t="str">
        <f t="shared" si="460"/>
        <v>ter</v>
      </c>
      <c r="M3911" s="1" t="str">
        <f t="shared" si="461"/>
        <v>nov</v>
      </c>
      <c r="N3911">
        <f t="shared" si="462"/>
        <v>2025</v>
      </c>
      <c r="O3911" s="2"/>
      <c r="P3911" t="str">
        <f t="shared" si="459"/>
        <v>180245972</v>
      </c>
    </row>
    <row r="3912" spans="1:16" x14ac:dyDescent="0.3">
      <c r="A3912">
        <v>1802</v>
      </c>
      <c r="B3912">
        <v>54</v>
      </c>
      <c r="C3912" t="s">
        <v>26</v>
      </c>
      <c r="D3912" t="s">
        <v>16</v>
      </c>
      <c r="E3912" t="s">
        <v>17</v>
      </c>
      <c r="F3912" t="s">
        <v>23</v>
      </c>
      <c r="G3912" t="s">
        <v>41</v>
      </c>
      <c r="H3912" t="s">
        <v>25</v>
      </c>
      <c r="I3912" s="1">
        <v>1</v>
      </c>
      <c r="J3912" s="2">
        <v>45993</v>
      </c>
      <c r="K3912" s="2">
        <v>45992</v>
      </c>
      <c r="L3912" s="1" t="str">
        <f t="shared" si="460"/>
        <v>ter</v>
      </c>
      <c r="M3912" s="1" t="str">
        <f t="shared" si="461"/>
        <v>dez</v>
      </c>
      <c r="N3912">
        <f t="shared" si="462"/>
        <v>2025</v>
      </c>
      <c r="O3912" s="2"/>
      <c r="P3912" t="str">
        <f t="shared" si="459"/>
        <v>180245993</v>
      </c>
    </row>
    <row r="3913" spans="1:16" x14ac:dyDescent="0.3">
      <c r="A3913">
        <v>1802</v>
      </c>
      <c r="B3913">
        <v>54</v>
      </c>
      <c r="C3913" t="s">
        <v>26</v>
      </c>
      <c r="D3913" t="s">
        <v>16</v>
      </c>
      <c r="E3913" t="s">
        <v>17</v>
      </c>
      <c r="F3913" t="s">
        <v>23</v>
      </c>
      <c r="G3913" t="s">
        <v>41</v>
      </c>
      <c r="H3913" t="s">
        <v>25</v>
      </c>
      <c r="I3913" s="1">
        <v>1</v>
      </c>
      <c r="J3913" s="2">
        <v>45995</v>
      </c>
      <c r="K3913" s="2">
        <v>45992</v>
      </c>
      <c r="L3913" s="1" t="str">
        <f t="shared" si="460"/>
        <v>qui</v>
      </c>
      <c r="M3913" s="1" t="str">
        <f t="shared" si="461"/>
        <v>dez</v>
      </c>
      <c r="N3913">
        <f t="shared" si="462"/>
        <v>2025</v>
      </c>
      <c r="O3913" s="2"/>
      <c r="P3913" t="str">
        <f t="shared" si="459"/>
        <v>180245995</v>
      </c>
    </row>
    <row r="3914" spans="1:16" x14ac:dyDescent="0.3">
      <c r="A3914">
        <v>1802</v>
      </c>
      <c r="B3914">
        <v>54</v>
      </c>
      <c r="C3914" t="s">
        <v>26</v>
      </c>
      <c r="D3914" t="s">
        <v>16</v>
      </c>
      <c r="E3914" t="s">
        <v>17</v>
      </c>
      <c r="F3914" t="s">
        <v>23</v>
      </c>
      <c r="G3914" t="s">
        <v>41</v>
      </c>
      <c r="H3914" t="s">
        <v>25</v>
      </c>
      <c r="I3914" s="1">
        <v>1</v>
      </c>
      <c r="J3914" s="2">
        <v>46083</v>
      </c>
      <c r="K3914" s="2">
        <v>46082</v>
      </c>
      <c r="L3914" s="1" t="str">
        <f t="shared" si="460"/>
        <v>seg</v>
      </c>
      <c r="M3914" s="1" t="str">
        <f t="shared" si="461"/>
        <v>mar</v>
      </c>
      <c r="N3914">
        <f t="shared" si="462"/>
        <v>2026</v>
      </c>
      <c r="O3914" s="2"/>
      <c r="P3914" t="str">
        <f t="shared" si="459"/>
        <v>180246083</v>
      </c>
    </row>
    <row r="3915" spans="1:16" x14ac:dyDescent="0.3">
      <c r="A3915">
        <v>1803</v>
      </c>
      <c r="B3915">
        <v>55</v>
      </c>
      <c r="C3915" t="s">
        <v>15</v>
      </c>
      <c r="D3915" t="s">
        <v>22</v>
      </c>
      <c r="E3915" t="s">
        <v>17</v>
      </c>
      <c r="F3915" t="s">
        <v>21</v>
      </c>
      <c r="G3915" t="s">
        <v>41</v>
      </c>
      <c r="H3915" t="s">
        <v>25</v>
      </c>
      <c r="I3915" s="1">
        <v>3</v>
      </c>
      <c r="J3915" s="2">
        <v>45884</v>
      </c>
      <c r="K3915" s="2">
        <v>45870</v>
      </c>
      <c r="L3915" s="1" t="str">
        <f t="shared" si="460"/>
        <v>sex</v>
      </c>
      <c r="M3915" s="1" t="str">
        <f t="shared" si="461"/>
        <v>ago</v>
      </c>
      <c r="N3915">
        <f t="shared" si="462"/>
        <v>2025</v>
      </c>
      <c r="O3915" s="2"/>
      <c r="P3915" t="str">
        <f t="shared" si="459"/>
        <v>180345884</v>
      </c>
    </row>
    <row r="3916" spans="1:16" x14ac:dyDescent="0.3">
      <c r="A3916">
        <v>1803</v>
      </c>
      <c r="B3916">
        <v>55</v>
      </c>
      <c r="C3916" t="s">
        <v>15</v>
      </c>
      <c r="D3916" t="s">
        <v>22</v>
      </c>
      <c r="E3916" t="s">
        <v>17</v>
      </c>
      <c r="F3916" t="s">
        <v>21</v>
      </c>
      <c r="G3916" t="s">
        <v>41</v>
      </c>
      <c r="H3916" t="s">
        <v>25</v>
      </c>
      <c r="I3916" s="1">
        <v>3</v>
      </c>
      <c r="J3916" s="2">
        <v>45984</v>
      </c>
      <c r="K3916" s="2">
        <v>45962</v>
      </c>
      <c r="L3916" s="1" t="str">
        <f t="shared" si="460"/>
        <v>dom</v>
      </c>
      <c r="M3916" s="1" t="str">
        <f t="shared" si="461"/>
        <v>nov</v>
      </c>
      <c r="N3916">
        <f t="shared" si="462"/>
        <v>2025</v>
      </c>
      <c r="O3916" s="2"/>
      <c r="P3916" t="str">
        <f t="shared" si="459"/>
        <v>180345984</v>
      </c>
    </row>
    <row r="3917" spans="1:16" x14ac:dyDescent="0.3">
      <c r="A3917">
        <v>1803</v>
      </c>
      <c r="B3917">
        <v>55</v>
      </c>
      <c r="C3917" t="s">
        <v>15</v>
      </c>
      <c r="D3917" t="s">
        <v>22</v>
      </c>
      <c r="E3917" t="s">
        <v>17</v>
      </c>
      <c r="F3917" t="s">
        <v>21</v>
      </c>
      <c r="G3917" t="s">
        <v>41</v>
      </c>
      <c r="H3917" t="s">
        <v>25</v>
      </c>
      <c r="I3917" s="1">
        <v>3</v>
      </c>
      <c r="J3917" s="2">
        <v>46107</v>
      </c>
      <c r="K3917" s="2">
        <v>46082</v>
      </c>
      <c r="L3917" s="1" t="str">
        <f t="shared" si="460"/>
        <v>qui</v>
      </c>
      <c r="M3917" s="1" t="str">
        <f t="shared" si="461"/>
        <v>mar</v>
      </c>
      <c r="N3917">
        <f t="shared" si="462"/>
        <v>2026</v>
      </c>
      <c r="O3917" s="2"/>
      <c r="P3917" t="str">
        <f t="shared" si="459"/>
        <v>180346107</v>
      </c>
    </row>
    <row r="3918" spans="1:16" x14ac:dyDescent="0.3">
      <c r="A3918">
        <v>1803</v>
      </c>
      <c r="B3918">
        <v>55</v>
      </c>
      <c r="C3918" t="s">
        <v>15</v>
      </c>
      <c r="D3918" t="s">
        <v>22</v>
      </c>
      <c r="E3918" t="s">
        <v>17</v>
      </c>
      <c r="F3918" t="s">
        <v>21</v>
      </c>
      <c r="G3918" t="s">
        <v>41</v>
      </c>
      <c r="H3918" t="s">
        <v>25</v>
      </c>
      <c r="I3918" s="1">
        <v>3</v>
      </c>
      <c r="J3918" s="2">
        <v>46124</v>
      </c>
      <c r="K3918" s="2">
        <v>46113</v>
      </c>
      <c r="L3918" s="1" t="str">
        <f t="shared" si="460"/>
        <v>dom</v>
      </c>
      <c r="M3918" s="1" t="str">
        <f t="shared" si="461"/>
        <v>abr</v>
      </c>
      <c r="N3918">
        <f t="shared" si="462"/>
        <v>2026</v>
      </c>
      <c r="O3918" s="2"/>
      <c r="P3918" t="str">
        <f t="shared" si="459"/>
        <v>180346124</v>
      </c>
    </row>
    <row r="3919" spans="1:16" x14ac:dyDescent="0.3">
      <c r="A3919">
        <v>1803</v>
      </c>
      <c r="B3919">
        <v>55</v>
      </c>
      <c r="C3919" t="s">
        <v>15</v>
      </c>
      <c r="D3919" t="s">
        <v>22</v>
      </c>
      <c r="E3919" t="s">
        <v>17</v>
      </c>
      <c r="F3919" t="s">
        <v>21</v>
      </c>
      <c r="G3919" t="s">
        <v>41</v>
      </c>
      <c r="H3919" t="s">
        <v>25</v>
      </c>
      <c r="I3919" s="1">
        <v>3</v>
      </c>
      <c r="J3919" s="2">
        <v>46125</v>
      </c>
      <c r="K3919" s="2">
        <v>46113</v>
      </c>
      <c r="L3919" s="1" t="str">
        <f t="shared" si="460"/>
        <v>seg</v>
      </c>
      <c r="M3919" s="1" t="str">
        <f t="shared" si="461"/>
        <v>abr</v>
      </c>
      <c r="N3919">
        <f t="shared" si="462"/>
        <v>2026</v>
      </c>
      <c r="O3919" s="2"/>
      <c r="P3919" t="str">
        <f t="shared" si="459"/>
        <v>180346125</v>
      </c>
    </row>
    <row r="3920" spans="1:16" x14ac:dyDescent="0.3">
      <c r="A3920">
        <v>1803</v>
      </c>
      <c r="B3920">
        <v>55</v>
      </c>
      <c r="C3920" t="s">
        <v>15</v>
      </c>
      <c r="D3920" t="s">
        <v>22</v>
      </c>
      <c r="E3920" t="s">
        <v>17</v>
      </c>
      <c r="F3920" t="s">
        <v>21</v>
      </c>
      <c r="G3920" t="s">
        <v>41</v>
      </c>
      <c r="H3920" t="s">
        <v>25</v>
      </c>
      <c r="I3920" s="1">
        <v>3</v>
      </c>
      <c r="J3920" s="2">
        <v>46132</v>
      </c>
      <c r="K3920" s="2">
        <v>46113</v>
      </c>
      <c r="L3920" s="1" t="str">
        <f t="shared" si="460"/>
        <v>seg</v>
      </c>
      <c r="M3920" s="1" t="str">
        <f t="shared" si="461"/>
        <v>abr</v>
      </c>
      <c r="N3920">
        <f t="shared" si="462"/>
        <v>2026</v>
      </c>
      <c r="O3920" s="2"/>
      <c r="P3920" t="str">
        <f t="shared" si="459"/>
        <v>180346132</v>
      </c>
    </row>
    <row r="3921" spans="1:16" x14ac:dyDescent="0.3">
      <c r="A3921">
        <v>1803</v>
      </c>
      <c r="B3921">
        <v>55</v>
      </c>
      <c r="C3921" t="s">
        <v>15</v>
      </c>
      <c r="D3921" t="s">
        <v>22</v>
      </c>
      <c r="E3921" t="s">
        <v>17</v>
      </c>
      <c r="F3921" t="s">
        <v>21</v>
      </c>
      <c r="G3921" t="s">
        <v>41</v>
      </c>
      <c r="H3921" t="s">
        <v>25</v>
      </c>
      <c r="I3921" s="1">
        <v>3</v>
      </c>
      <c r="J3921" s="2">
        <v>46161</v>
      </c>
      <c r="K3921" s="2">
        <v>46143</v>
      </c>
      <c r="L3921" s="1" t="str">
        <f t="shared" si="460"/>
        <v>ter</v>
      </c>
      <c r="M3921" s="1" t="str">
        <f t="shared" si="461"/>
        <v>mai</v>
      </c>
      <c r="N3921">
        <f t="shared" si="462"/>
        <v>2026</v>
      </c>
      <c r="O3921" s="2"/>
      <c r="P3921" t="str">
        <f t="shared" si="459"/>
        <v>180346161</v>
      </c>
    </row>
    <row r="3922" spans="1:16" x14ac:dyDescent="0.3">
      <c r="A3922">
        <v>1803</v>
      </c>
      <c r="B3922">
        <v>55</v>
      </c>
      <c r="C3922" t="s">
        <v>15</v>
      </c>
      <c r="D3922" t="s">
        <v>22</v>
      </c>
      <c r="E3922" t="s">
        <v>17</v>
      </c>
      <c r="F3922" t="s">
        <v>21</v>
      </c>
      <c r="G3922" t="s">
        <v>41</v>
      </c>
      <c r="H3922" t="s">
        <v>25</v>
      </c>
      <c r="I3922" s="1">
        <v>3</v>
      </c>
      <c r="J3922" s="2">
        <v>46194</v>
      </c>
      <c r="K3922" s="2">
        <v>46174</v>
      </c>
      <c r="L3922" s="1" t="str">
        <f t="shared" si="460"/>
        <v>dom</v>
      </c>
      <c r="M3922" s="1" t="str">
        <f t="shared" si="461"/>
        <v>jun</v>
      </c>
      <c r="N3922">
        <f t="shared" si="462"/>
        <v>2026</v>
      </c>
      <c r="O3922" s="2"/>
      <c r="P3922" t="str">
        <f t="shared" si="459"/>
        <v>180346194</v>
      </c>
    </row>
    <row r="3923" spans="1:16" x14ac:dyDescent="0.3">
      <c r="A3923">
        <v>1804</v>
      </c>
      <c r="B3923">
        <v>52</v>
      </c>
      <c r="C3923" t="s">
        <v>26</v>
      </c>
      <c r="D3923" t="s">
        <v>29</v>
      </c>
      <c r="E3923" t="s">
        <v>17</v>
      </c>
      <c r="F3923" t="s">
        <v>21</v>
      </c>
      <c r="G3923" t="s">
        <v>41</v>
      </c>
      <c r="H3923" t="s">
        <v>20</v>
      </c>
      <c r="I3923" s="1">
        <v>1</v>
      </c>
      <c r="J3923" s="2">
        <v>45672</v>
      </c>
      <c r="K3923" s="2">
        <v>45658</v>
      </c>
      <c r="L3923" s="1" t="str">
        <f t="shared" si="460"/>
        <v>qua</v>
      </c>
      <c r="M3923" s="1" t="str">
        <f t="shared" si="461"/>
        <v>jan</v>
      </c>
      <c r="N3923">
        <f t="shared" si="462"/>
        <v>2025</v>
      </c>
      <c r="O3923" s="2">
        <f>_xlfn.XLOOKUP(A3923,Colaboradores!$A:$A,Colaboradores!$S:$S,"",0)</f>
        <v>45791</v>
      </c>
      <c r="P3923" t="str">
        <f t="shared" si="459"/>
        <v>180445672</v>
      </c>
    </row>
    <row r="3924" spans="1:16" x14ac:dyDescent="0.3">
      <c r="A3924">
        <v>1804</v>
      </c>
      <c r="B3924">
        <v>52</v>
      </c>
      <c r="C3924" t="s">
        <v>26</v>
      </c>
      <c r="D3924" t="s">
        <v>29</v>
      </c>
      <c r="E3924" t="s">
        <v>17</v>
      </c>
      <c r="F3924" t="s">
        <v>21</v>
      </c>
      <c r="G3924" t="s">
        <v>41</v>
      </c>
      <c r="H3924" t="s">
        <v>20</v>
      </c>
      <c r="I3924" s="1">
        <v>1</v>
      </c>
      <c r="J3924" s="2">
        <v>45734</v>
      </c>
      <c r="K3924" s="2">
        <v>45717</v>
      </c>
      <c r="L3924" s="1" t="str">
        <f t="shared" si="460"/>
        <v>ter</v>
      </c>
      <c r="M3924" s="1" t="str">
        <f t="shared" si="461"/>
        <v>mar</v>
      </c>
      <c r="N3924">
        <f t="shared" si="462"/>
        <v>2025</v>
      </c>
      <c r="O3924" s="2">
        <f>_xlfn.XLOOKUP(A3924,Colaboradores!$A:$A,Colaboradores!$S:$S,"",0)</f>
        <v>45791</v>
      </c>
      <c r="P3924" t="str">
        <f t="shared" si="459"/>
        <v>180445734</v>
      </c>
    </row>
    <row r="3925" spans="1:16" x14ac:dyDescent="0.3">
      <c r="A3925">
        <v>1804</v>
      </c>
      <c r="B3925">
        <v>52</v>
      </c>
      <c r="C3925" t="s">
        <v>26</v>
      </c>
      <c r="D3925" t="s">
        <v>29</v>
      </c>
      <c r="E3925" t="s">
        <v>17</v>
      </c>
      <c r="F3925" t="s">
        <v>21</v>
      </c>
      <c r="G3925" t="s">
        <v>41</v>
      </c>
      <c r="H3925" t="s">
        <v>20</v>
      </c>
      <c r="I3925" s="1">
        <v>1</v>
      </c>
      <c r="J3925" s="2">
        <v>45783</v>
      </c>
      <c r="K3925" s="2">
        <v>45778</v>
      </c>
      <c r="L3925" s="1" t="str">
        <f t="shared" si="460"/>
        <v>ter</v>
      </c>
      <c r="M3925" s="1" t="str">
        <f t="shared" si="461"/>
        <v>mai</v>
      </c>
      <c r="N3925">
        <f t="shared" si="462"/>
        <v>2025</v>
      </c>
      <c r="O3925" s="2">
        <f>_xlfn.XLOOKUP(A3925,Colaboradores!$A:$A,Colaboradores!$S:$S,"",0)</f>
        <v>45791</v>
      </c>
      <c r="P3925" t="str">
        <f t="shared" si="459"/>
        <v>180445783</v>
      </c>
    </row>
    <row r="3926" spans="1:16" x14ac:dyDescent="0.3">
      <c r="A3926">
        <v>1804</v>
      </c>
      <c r="B3926">
        <v>52</v>
      </c>
      <c r="C3926" t="s">
        <v>26</v>
      </c>
      <c r="D3926" t="s">
        <v>29</v>
      </c>
      <c r="E3926" t="s">
        <v>17</v>
      </c>
      <c r="F3926" t="s">
        <v>21</v>
      </c>
      <c r="G3926" t="s">
        <v>41</v>
      </c>
      <c r="H3926" t="s">
        <v>20</v>
      </c>
      <c r="I3926" s="1">
        <v>1</v>
      </c>
      <c r="J3926" s="2">
        <v>45785</v>
      </c>
      <c r="K3926" s="2">
        <v>45778</v>
      </c>
      <c r="L3926" s="1" t="str">
        <f t="shared" si="460"/>
        <v>qui</v>
      </c>
      <c r="M3926" s="1" t="str">
        <f t="shared" si="461"/>
        <v>mai</v>
      </c>
      <c r="N3926">
        <f t="shared" si="462"/>
        <v>2025</v>
      </c>
      <c r="O3926" s="2">
        <f>_xlfn.XLOOKUP(A3926,Colaboradores!$A:$A,Colaboradores!$S:$S,"",0)</f>
        <v>45791</v>
      </c>
      <c r="P3926" t="str">
        <f t="shared" si="459"/>
        <v>180445785</v>
      </c>
    </row>
    <row r="3927" spans="1:16" x14ac:dyDescent="0.3">
      <c r="A3927">
        <v>1804</v>
      </c>
      <c r="B3927">
        <v>52</v>
      </c>
      <c r="C3927" t="s">
        <v>26</v>
      </c>
      <c r="D3927" t="s">
        <v>29</v>
      </c>
      <c r="E3927" t="s">
        <v>17</v>
      </c>
      <c r="F3927" t="s">
        <v>21</v>
      </c>
      <c r="G3927" t="s">
        <v>41</v>
      </c>
      <c r="H3927" t="s">
        <v>20</v>
      </c>
      <c r="I3927" s="1">
        <v>1</v>
      </c>
      <c r="J3927" s="2">
        <v>45786</v>
      </c>
      <c r="K3927" s="2">
        <v>45778</v>
      </c>
      <c r="L3927" s="1" t="str">
        <f t="shared" si="460"/>
        <v>sex</v>
      </c>
      <c r="M3927" s="1" t="str">
        <f t="shared" si="461"/>
        <v>mai</v>
      </c>
      <c r="N3927">
        <f t="shared" si="462"/>
        <v>2025</v>
      </c>
      <c r="O3927" s="2">
        <f>_xlfn.XLOOKUP(A3927,Colaboradores!$A:$A,Colaboradores!$S:$S,"",0)</f>
        <v>45791</v>
      </c>
      <c r="P3927" t="str">
        <f t="shared" si="459"/>
        <v>180445786</v>
      </c>
    </row>
    <row r="3928" spans="1:16" x14ac:dyDescent="0.3">
      <c r="A3928">
        <v>1804</v>
      </c>
      <c r="B3928">
        <v>52</v>
      </c>
      <c r="C3928" t="s">
        <v>26</v>
      </c>
      <c r="D3928" t="s">
        <v>29</v>
      </c>
      <c r="E3928" t="s">
        <v>17</v>
      </c>
      <c r="F3928" t="s">
        <v>21</v>
      </c>
      <c r="G3928" t="s">
        <v>41</v>
      </c>
      <c r="H3928" t="s">
        <v>20</v>
      </c>
      <c r="I3928" s="1">
        <v>1</v>
      </c>
      <c r="J3928" s="2">
        <v>45789</v>
      </c>
      <c r="K3928" s="2">
        <v>45778</v>
      </c>
      <c r="L3928" s="1" t="str">
        <f t="shared" si="460"/>
        <v>seg</v>
      </c>
      <c r="M3928" s="1" t="str">
        <f t="shared" si="461"/>
        <v>mai</v>
      </c>
      <c r="N3928">
        <f t="shared" si="462"/>
        <v>2025</v>
      </c>
      <c r="O3928" s="2">
        <f>_xlfn.XLOOKUP(A3928,Colaboradores!$A:$A,Colaboradores!$S:$S,"",0)</f>
        <v>45791</v>
      </c>
      <c r="P3928" t="str">
        <f t="shared" si="459"/>
        <v>180445789</v>
      </c>
    </row>
    <row r="3929" spans="1:16" x14ac:dyDescent="0.3">
      <c r="A3929">
        <v>1806</v>
      </c>
      <c r="B3929">
        <v>42</v>
      </c>
      <c r="C3929" t="s">
        <v>26</v>
      </c>
      <c r="D3929" t="s">
        <v>16</v>
      </c>
      <c r="E3929" t="s">
        <v>17</v>
      </c>
      <c r="F3929" t="s">
        <v>21</v>
      </c>
      <c r="G3929" t="s">
        <v>41</v>
      </c>
      <c r="H3929" t="s">
        <v>20</v>
      </c>
      <c r="I3929" s="1">
        <v>1</v>
      </c>
      <c r="J3929" s="2">
        <v>45885</v>
      </c>
      <c r="K3929" s="2">
        <v>45870</v>
      </c>
      <c r="L3929" s="1" t="str">
        <f t="shared" si="460"/>
        <v>sáb</v>
      </c>
      <c r="M3929" s="1" t="str">
        <f t="shared" si="461"/>
        <v>ago</v>
      </c>
      <c r="N3929">
        <f t="shared" si="462"/>
        <v>2025</v>
      </c>
      <c r="O3929" s="2">
        <f>_xlfn.XLOOKUP(A3929,Colaboradores!$A:$A,Colaboradores!$S:$S,"",0)</f>
        <v>46051</v>
      </c>
      <c r="P3929" t="str">
        <f t="shared" si="459"/>
        <v>180645885</v>
      </c>
    </row>
    <row r="3930" spans="1:16" x14ac:dyDescent="0.3">
      <c r="A3930">
        <v>1806</v>
      </c>
      <c r="B3930">
        <v>42</v>
      </c>
      <c r="C3930" t="s">
        <v>26</v>
      </c>
      <c r="D3930" t="s">
        <v>16</v>
      </c>
      <c r="E3930" t="s">
        <v>17</v>
      </c>
      <c r="F3930" t="s">
        <v>21</v>
      </c>
      <c r="G3930" t="s">
        <v>41</v>
      </c>
      <c r="H3930" t="s">
        <v>20</v>
      </c>
      <c r="I3930" s="1">
        <v>1</v>
      </c>
      <c r="J3930" s="2">
        <v>45890</v>
      </c>
      <c r="K3930" s="2">
        <v>45870</v>
      </c>
      <c r="L3930" s="1" t="str">
        <f t="shared" si="460"/>
        <v>qui</v>
      </c>
      <c r="M3930" s="1" t="str">
        <f t="shared" si="461"/>
        <v>ago</v>
      </c>
      <c r="N3930">
        <f t="shared" si="462"/>
        <v>2025</v>
      </c>
      <c r="O3930" s="2">
        <f>_xlfn.XLOOKUP(A3930,Colaboradores!$A:$A,Colaboradores!$S:$S,"",0)</f>
        <v>46051</v>
      </c>
      <c r="P3930" t="str">
        <f t="shared" si="459"/>
        <v>180645890</v>
      </c>
    </row>
    <row r="3931" spans="1:16" x14ac:dyDescent="0.3">
      <c r="A3931">
        <v>1806</v>
      </c>
      <c r="B3931">
        <v>42</v>
      </c>
      <c r="C3931" t="s">
        <v>26</v>
      </c>
      <c r="D3931" t="s">
        <v>16</v>
      </c>
      <c r="E3931" t="s">
        <v>17</v>
      </c>
      <c r="F3931" t="s">
        <v>21</v>
      </c>
      <c r="G3931" t="s">
        <v>41</v>
      </c>
      <c r="H3931" t="s">
        <v>20</v>
      </c>
      <c r="I3931" s="1">
        <v>1</v>
      </c>
      <c r="J3931" s="2">
        <v>45997</v>
      </c>
      <c r="K3931" s="2">
        <v>45992</v>
      </c>
      <c r="L3931" s="1" t="str">
        <f t="shared" si="460"/>
        <v>sáb</v>
      </c>
      <c r="M3931" s="1" t="str">
        <f t="shared" si="461"/>
        <v>dez</v>
      </c>
      <c r="N3931">
        <f t="shared" si="462"/>
        <v>2025</v>
      </c>
      <c r="O3931" s="2">
        <f>_xlfn.XLOOKUP(A3931,Colaboradores!$A:$A,Colaboradores!$S:$S,"",0)</f>
        <v>46051</v>
      </c>
      <c r="P3931" t="str">
        <f t="shared" si="459"/>
        <v>180645997</v>
      </c>
    </row>
    <row r="3932" spans="1:16" x14ac:dyDescent="0.3">
      <c r="A3932">
        <v>1806</v>
      </c>
      <c r="B3932">
        <v>42</v>
      </c>
      <c r="C3932" t="s">
        <v>26</v>
      </c>
      <c r="D3932" t="s">
        <v>16</v>
      </c>
      <c r="E3932" t="s">
        <v>17</v>
      </c>
      <c r="F3932" t="s">
        <v>21</v>
      </c>
      <c r="G3932" t="s">
        <v>41</v>
      </c>
      <c r="H3932" t="s">
        <v>20</v>
      </c>
      <c r="I3932" s="1">
        <v>1</v>
      </c>
      <c r="J3932" s="2">
        <v>46178</v>
      </c>
      <c r="K3932" s="2">
        <v>46023</v>
      </c>
      <c r="L3932" s="1" t="str">
        <f t="shared" si="460"/>
        <v>sex</v>
      </c>
      <c r="M3932" s="1" t="str">
        <f t="shared" si="461"/>
        <v>jun</v>
      </c>
      <c r="N3932">
        <f t="shared" si="462"/>
        <v>2026</v>
      </c>
      <c r="O3932" s="2">
        <f>_xlfn.XLOOKUP(A3932,Colaboradores!$A:$A,Colaboradores!$S:$S,"",0)</f>
        <v>46051</v>
      </c>
      <c r="P3932" t="str">
        <f t="shared" si="459"/>
        <v>180646178</v>
      </c>
    </row>
    <row r="3933" spans="1:16" x14ac:dyDescent="0.3">
      <c r="A3933">
        <v>1806</v>
      </c>
      <c r="B3933">
        <v>42</v>
      </c>
      <c r="C3933" t="s">
        <v>26</v>
      </c>
      <c r="D3933" t="s">
        <v>16</v>
      </c>
      <c r="E3933" t="s">
        <v>17</v>
      </c>
      <c r="F3933" t="s">
        <v>21</v>
      </c>
      <c r="G3933" t="s">
        <v>41</v>
      </c>
      <c r="H3933" t="s">
        <v>20</v>
      </c>
      <c r="I3933" s="1">
        <v>1</v>
      </c>
      <c r="J3933" s="2">
        <v>46179</v>
      </c>
      <c r="K3933" s="2">
        <v>46023</v>
      </c>
      <c r="L3933" s="1" t="str">
        <f t="shared" si="460"/>
        <v>sáb</v>
      </c>
      <c r="M3933" s="1" t="str">
        <f t="shared" si="461"/>
        <v>jun</v>
      </c>
      <c r="N3933">
        <f t="shared" si="462"/>
        <v>2026</v>
      </c>
      <c r="O3933" s="2">
        <f>_xlfn.XLOOKUP(A3933,Colaboradores!$A:$A,Colaboradores!$S:$S,"",0)</f>
        <v>46051</v>
      </c>
      <c r="P3933" t="str">
        <f t="shared" si="459"/>
        <v>180646179</v>
      </c>
    </row>
    <row r="3934" spans="1:16" x14ac:dyDescent="0.3">
      <c r="A3934">
        <v>1806</v>
      </c>
      <c r="B3934">
        <v>42</v>
      </c>
      <c r="C3934" t="s">
        <v>26</v>
      </c>
      <c r="D3934" t="s">
        <v>16</v>
      </c>
      <c r="E3934" t="s">
        <v>17</v>
      </c>
      <c r="F3934" t="s">
        <v>21</v>
      </c>
      <c r="G3934" t="s">
        <v>41</v>
      </c>
      <c r="H3934" t="s">
        <v>20</v>
      </c>
      <c r="I3934" s="1">
        <v>1</v>
      </c>
      <c r="J3934" s="2">
        <v>46189</v>
      </c>
      <c r="K3934" s="2">
        <v>46023</v>
      </c>
      <c r="L3934" s="1" t="str">
        <f t="shared" si="460"/>
        <v>ter</v>
      </c>
      <c r="M3934" s="1" t="str">
        <f t="shared" si="461"/>
        <v>jun</v>
      </c>
      <c r="N3934">
        <f t="shared" si="462"/>
        <v>2026</v>
      </c>
      <c r="O3934" s="2">
        <f>_xlfn.XLOOKUP(A3934,Colaboradores!$A:$A,Colaboradores!$S:$S,"",0)</f>
        <v>46051</v>
      </c>
      <c r="P3934" t="str">
        <f t="shared" si="459"/>
        <v>180646189</v>
      </c>
    </row>
    <row r="3935" spans="1:16" x14ac:dyDescent="0.3">
      <c r="A3935">
        <v>1808</v>
      </c>
      <c r="B3935">
        <v>35</v>
      </c>
      <c r="C3935" t="s">
        <v>15</v>
      </c>
      <c r="D3935" t="s">
        <v>16</v>
      </c>
      <c r="E3935" t="s">
        <v>17</v>
      </c>
      <c r="F3935" t="s">
        <v>23</v>
      </c>
      <c r="G3935" t="s">
        <v>41</v>
      </c>
      <c r="H3935" t="s">
        <v>25</v>
      </c>
      <c r="I3935" s="1">
        <v>3</v>
      </c>
      <c r="J3935" s="2">
        <v>45824</v>
      </c>
      <c r="K3935" s="2">
        <v>45809</v>
      </c>
      <c r="L3935" s="1" t="str">
        <f t="shared" si="460"/>
        <v>seg</v>
      </c>
      <c r="M3935" s="1" t="str">
        <f t="shared" si="461"/>
        <v>jun</v>
      </c>
      <c r="N3935">
        <f t="shared" si="462"/>
        <v>2025</v>
      </c>
      <c r="O3935" s="2"/>
      <c r="P3935" t="str">
        <f t="shared" si="459"/>
        <v>180845824</v>
      </c>
    </row>
    <row r="3936" spans="1:16" x14ac:dyDescent="0.3">
      <c r="A3936">
        <v>1808</v>
      </c>
      <c r="B3936">
        <v>35</v>
      </c>
      <c r="C3936" t="s">
        <v>15</v>
      </c>
      <c r="D3936" t="s">
        <v>16</v>
      </c>
      <c r="E3936" t="s">
        <v>17</v>
      </c>
      <c r="F3936" t="s">
        <v>23</v>
      </c>
      <c r="G3936" t="s">
        <v>41</v>
      </c>
      <c r="H3936" t="s">
        <v>25</v>
      </c>
      <c r="I3936" s="1">
        <v>3</v>
      </c>
      <c r="J3936" s="2">
        <v>45846</v>
      </c>
      <c r="K3936" s="2">
        <v>45839</v>
      </c>
      <c r="L3936" s="1" t="str">
        <f t="shared" si="460"/>
        <v>ter</v>
      </c>
      <c r="M3936" s="1" t="str">
        <f t="shared" si="461"/>
        <v>jul</v>
      </c>
      <c r="N3936">
        <f t="shared" si="462"/>
        <v>2025</v>
      </c>
      <c r="O3936" s="2"/>
      <c r="P3936" t="str">
        <f t="shared" si="459"/>
        <v>180845846</v>
      </c>
    </row>
    <row r="3937" spans="1:16" x14ac:dyDescent="0.3">
      <c r="A3937">
        <v>1808</v>
      </c>
      <c r="B3937">
        <v>35</v>
      </c>
      <c r="C3937" t="s">
        <v>15</v>
      </c>
      <c r="D3937" t="s">
        <v>16</v>
      </c>
      <c r="E3937" t="s">
        <v>17</v>
      </c>
      <c r="F3937" t="s">
        <v>23</v>
      </c>
      <c r="G3937" t="s">
        <v>41</v>
      </c>
      <c r="H3937" t="s">
        <v>25</v>
      </c>
      <c r="I3937" s="1">
        <v>3</v>
      </c>
      <c r="J3937" s="2">
        <v>45875</v>
      </c>
      <c r="K3937" s="2">
        <v>45870</v>
      </c>
      <c r="L3937" s="1" t="str">
        <f t="shared" si="460"/>
        <v>qua</v>
      </c>
      <c r="M3937" s="1" t="str">
        <f t="shared" si="461"/>
        <v>ago</v>
      </c>
      <c r="N3937">
        <f t="shared" si="462"/>
        <v>2025</v>
      </c>
      <c r="O3937" s="2"/>
      <c r="P3937" t="str">
        <f t="shared" si="459"/>
        <v>180845875</v>
      </c>
    </row>
    <row r="3938" spans="1:16" x14ac:dyDescent="0.3">
      <c r="A3938">
        <v>1808</v>
      </c>
      <c r="B3938">
        <v>35</v>
      </c>
      <c r="C3938" t="s">
        <v>15</v>
      </c>
      <c r="D3938" t="s">
        <v>16</v>
      </c>
      <c r="E3938" t="s">
        <v>17</v>
      </c>
      <c r="F3938" t="s">
        <v>23</v>
      </c>
      <c r="G3938" t="s">
        <v>41</v>
      </c>
      <c r="H3938" t="s">
        <v>25</v>
      </c>
      <c r="I3938" s="1">
        <v>3</v>
      </c>
      <c r="J3938" s="2">
        <v>45995</v>
      </c>
      <c r="K3938" s="2">
        <v>45992</v>
      </c>
      <c r="L3938" s="1" t="str">
        <f t="shared" si="460"/>
        <v>qui</v>
      </c>
      <c r="M3938" s="1" t="str">
        <f t="shared" si="461"/>
        <v>dez</v>
      </c>
      <c r="N3938">
        <f t="shared" si="462"/>
        <v>2025</v>
      </c>
      <c r="O3938" s="2"/>
      <c r="P3938" t="str">
        <f t="shared" si="459"/>
        <v>180845995</v>
      </c>
    </row>
    <row r="3939" spans="1:16" x14ac:dyDescent="0.3">
      <c r="A3939">
        <v>1808</v>
      </c>
      <c r="B3939">
        <v>35</v>
      </c>
      <c r="C3939" t="s">
        <v>15</v>
      </c>
      <c r="D3939" t="s">
        <v>16</v>
      </c>
      <c r="E3939" t="s">
        <v>17</v>
      </c>
      <c r="F3939" t="s">
        <v>23</v>
      </c>
      <c r="G3939" t="s">
        <v>41</v>
      </c>
      <c r="H3939" t="s">
        <v>25</v>
      </c>
      <c r="I3939" s="1">
        <v>3</v>
      </c>
      <c r="J3939" s="2">
        <v>46196</v>
      </c>
      <c r="K3939" s="2">
        <v>46023</v>
      </c>
      <c r="L3939" s="1" t="str">
        <f t="shared" si="460"/>
        <v>ter</v>
      </c>
      <c r="M3939" s="1" t="str">
        <f t="shared" si="461"/>
        <v>jun</v>
      </c>
      <c r="N3939">
        <f t="shared" si="462"/>
        <v>2026</v>
      </c>
      <c r="O3939" s="2"/>
      <c r="P3939" t="str">
        <f t="shared" si="459"/>
        <v>180846196</v>
      </c>
    </row>
    <row r="3940" spans="1:16" x14ac:dyDescent="0.3">
      <c r="A3940">
        <v>1808</v>
      </c>
      <c r="B3940">
        <v>35</v>
      </c>
      <c r="C3940" t="s">
        <v>15</v>
      </c>
      <c r="D3940" t="s">
        <v>16</v>
      </c>
      <c r="E3940" t="s">
        <v>17</v>
      </c>
      <c r="F3940" t="s">
        <v>23</v>
      </c>
      <c r="G3940" t="s">
        <v>41</v>
      </c>
      <c r="H3940" t="s">
        <v>25</v>
      </c>
      <c r="I3940" s="1">
        <v>3</v>
      </c>
      <c r="J3940" s="2">
        <v>46067</v>
      </c>
      <c r="K3940" s="2">
        <v>46054</v>
      </c>
      <c r="L3940" s="1" t="str">
        <f t="shared" si="460"/>
        <v>sáb</v>
      </c>
      <c r="M3940" s="1" t="str">
        <f t="shared" si="461"/>
        <v>fev</v>
      </c>
      <c r="N3940">
        <f t="shared" si="462"/>
        <v>2026</v>
      </c>
      <c r="O3940" s="2"/>
      <c r="P3940" t="str">
        <f t="shared" si="459"/>
        <v>180846067</v>
      </c>
    </row>
    <row r="3941" spans="1:16" x14ac:dyDescent="0.3">
      <c r="A3941">
        <v>1809</v>
      </c>
      <c r="B3941">
        <v>23</v>
      </c>
      <c r="C3941" t="s">
        <v>26</v>
      </c>
      <c r="D3941" t="s">
        <v>22</v>
      </c>
      <c r="E3941" t="s">
        <v>17</v>
      </c>
      <c r="F3941" t="s">
        <v>23</v>
      </c>
      <c r="G3941" t="s">
        <v>41</v>
      </c>
      <c r="H3941" t="s">
        <v>25</v>
      </c>
      <c r="I3941" s="1">
        <v>1</v>
      </c>
      <c r="J3941" s="2">
        <v>45913</v>
      </c>
      <c r="K3941" s="2">
        <v>45901</v>
      </c>
      <c r="L3941" s="1" t="str">
        <f t="shared" ref="L3941:L3972" si="463">TEXT(J3941,"ddd")</f>
        <v>sáb</v>
      </c>
      <c r="M3941" s="1" t="str">
        <f t="shared" ref="M3941:M3972" si="464">TEXT($J3941,"mmm")</f>
        <v>set</v>
      </c>
      <c r="N3941">
        <f t="shared" ref="N3941:N3972" si="465">YEAR(J3941)</f>
        <v>2025</v>
      </c>
      <c r="O3941" s="2"/>
      <c r="P3941" t="str">
        <f t="shared" si="459"/>
        <v>180945913</v>
      </c>
    </row>
    <row r="3942" spans="1:16" x14ac:dyDescent="0.3">
      <c r="A3942">
        <v>1809</v>
      </c>
      <c r="B3942">
        <v>23</v>
      </c>
      <c r="C3942" t="s">
        <v>26</v>
      </c>
      <c r="D3942" t="s">
        <v>22</v>
      </c>
      <c r="E3942" t="s">
        <v>17</v>
      </c>
      <c r="F3942" t="s">
        <v>23</v>
      </c>
      <c r="G3942" t="s">
        <v>41</v>
      </c>
      <c r="H3942" t="s">
        <v>25</v>
      </c>
      <c r="I3942" s="1">
        <v>1</v>
      </c>
      <c r="J3942" s="2">
        <v>45941</v>
      </c>
      <c r="K3942" s="2">
        <v>45931</v>
      </c>
      <c r="L3942" s="1" t="str">
        <f t="shared" si="463"/>
        <v>sáb</v>
      </c>
      <c r="M3942" s="1" t="str">
        <f t="shared" si="464"/>
        <v>out</v>
      </c>
      <c r="N3942">
        <f t="shared" si="465"/>
        <v>2025</v>
      </c>
      <c r="O3942" s="2"/>
      <c r="P3942" t="str">
        <f t="shared" si="459"/>
        <v>180945941</v>
      </c>
    </row>
    <row r="3943" spans="1:16" x14ac:dyDescent="0.3">
      <c r="A3943">
        <v>1809</v>
      </c>
      <c r="B3943">
        <v>23</v>
      </c>
      <c r="C3943" t="s">
        <v>26</v>
      </c>
      <c r="D3943" t="s">
        <v>22</v>
      </c>
      <c r="E3943" t="s">
        <v>17</v>
      </c>
      <c r="F3943" t="s">
        <v>23</v>
      </c>
      <c r="G3943" t="s">
        <v>41</v>
      </c>
      <c r="H3943" t="s">
        <v>25</v>
      </c>
      <c r="I3943" s="1">
        <v>1</v>
      </c>
      <c r="J3943" s="2">
        <v>45949</v>
      </c>
      <c r="K3943" s="2">
        <v>45931</v>
      </c>
      <c r="L3943" s="1" t="str">
        <f t="shared" si="463"/>
        <v>dom</v>
      </c>
      <c r="M3943" s="1" t="str">
        <f t="shared" si="464"/>
        <v>out</v>
      </c>
      <c r="N3943">
        <f t="shared" si="465"/>
        <v>2025</v>
      </c>
      <c r="O3943" s="2"/>
      <c r="P3943" t="str">
        <f t="shared" si="459"/>
        <v>180945949</v>
      </c>
    </row>
    <row r="3944" spans="1:16" x14ac:dyDescent="0.3">
      <c r="A3944">
        <v>1809</v>
      </c>
      <c r="B3944">
        <v>23</v>
      </c>
      <c r="C3944" t="s">
        <v>26</v>
      </c>
      <c r="D3944" t="s">
        <v>22</v>
      </c>
      <c r="E3944" t="s">
        <v>17</v>
      </c>
      <c r="F3944" t="s">
        <v>23</v>
      </c>
      <c r="G3944" t="s">
        <v>41</v>
      </c>
      <c r="H3944" t="s">
        <v>25</v>
      </c>
      <c r="I3944" s="1">
        <v>1</v>
      </c>
      <c r="J3944" s="2">
        <v>46017</v>
      </c>
      <c r="K3944" s="2">
        <v>45992</v>
      </c>
      <c r="L3944" s="1" t="str">
        <f t="shared" si="463"/>
        <v>sex</v>
      </c>
      <c r="M3944" s="1" t="str">
        <f t="shared" si="464"/>
        <v>dez</v>
      </c>
      <c r="N3944">
        <f t="shared" si="465"/>
        <v>2025</v>
      </c>
      <c r="O3944" s="2"/>
      <c r="P3944" t="str">
        <f t="shared" si="459"/>
        <v>180946017</v>
      </c>
    </row>
    <row r="3945" spans="1:16" x14ac:dyDescent="0.3">
      <c r="A3945">
        <v>1809</v>
      </c>
      <c r="B3945">
        <v>23</v>
      </c>
      <c r="C3945" t="s">
        <v>26</v>
      </c>
      <c r="D3945" t="s">
        <v>22</v>
      </c>
      <c r="E3945" t="s">
        <v>17</v>
      </c>
      <c r="F3945" t="s">
        <v>23</v>
      </c>
      <c r="G3945" t="s">
        <v>41</v>
      </c>
      <c r="H3945" t="s">
        <v>25</v>
      </c>
      <c r="I3945" s="1">
        <v>1</v>
      </c>
      <c r="J3945" s="2">
        <v>46078</v>
      </c>
      <c r="K3945" s="2">
        <v>46054</v>
      </c>
      <c r="L3945" s="1" t="str">
        <f t="shared" si="463"/>
        <v>qua</v>
      </c>
      <c r="M3945" s="1" t="str">
        <f t="shared" si="464"/>
        <v>fev</v>
      </c>
      <c r="N3945">
        <f t="shared" si="465"/>
        <v>2026</v>
      </c>
      <c r="O3945" s="2"/>
      <c r="P3945" t="str">
        <f t="shared" si="459"/>
        <v>180946078</v>
      </c>
    </row>
    <row r="3946" spans="1:16" x14ac:dyDescent="0.3">
      <c r="A3946">
        <v>1810</v>
      </c>
      <c r="B3946">
        <v>28</v>
      </c>
      <c r="C3946" t="s">
        <v>15</v>
      </c>
      <c r="D3946" t="s">
        <v>16</v>
      </c>
      <c r="E3946" t="s">
        <v>17</v>
      </c>
      <c r="F3946" t="s">
        <v>18</v>
      </c>
      <c r="G3946" t="s">
        <v>41</v>
      </c>
      <c r="H3946" t="s">
        <v>25</v>
      </c>
      <c r="I3946" s="1">
        <v>2</v>
      </c>
      <c r="J3946" s="2">
        <v>45809</v>
      </c>
      <c r="K3946" s="2">
        <v>45809</v>
      </c>
      <c r="L3946" s="1" t="str">
        <f t="shared" si="463"/>
        <v>dom</v>
      </c>
      <c r="M3946" s="1" t="str">
        <f t="shared" si="464"/>
        <v>jun</v>
      </c>
      <c r="N3946">
        <f t="shared" si="465"/>
        <v>2025</v>
      </c>
      <c r="O3946" s="2"/>
      <c r="P3946" t="str">
        <f t="shared" si="459"/>
        <v>181045809</v>
      </c>
    </row>
    <row r="3947" spans="1:16" x14ac:dyDescent="0.3">
      <c r="A3947">
        <v>1810</v>
      </c>
      <c r="B3947">
        <v>28</v>
      </c>
      <c r="C3947" t="s">
        <v>15</v>
      </c>
      <c r="D3947" t="s">
        <v>16</v>
      </c>
      <c r="E3947" t="s">
        <v>17</v>
      </c>
      <c r="F3947" t="s">
        <v>18</v>
      </c>
      <c r="G3947" t="s">
        <v>41</v>
      </c>
      <c r="H3947" t="s">
        <v>25</v>
      </c>
      <c r="I3947" s="1">
        <v>2</v>
      </c>
      <c r="J3947" s="2">
        <v>45912</v>
      </c>
      <c r="K3947" s="2">
        <v>45901</v>
      </c>
      <c r="L3947" s="1" t="str">
        <f t="shared" si="463"/>
        <v>sex</v>
      </c>
      <c r="M3947" s="1" t="str">
        <f t="shared" si="464"/>
        <v>set</v>
      </c>
      <c r="N3947">
        <f t="shared" si="465"/>
        <v>2025</v>
      </c>
      <c r="O3947" s="2"/>
      <c r="P3947" t="str">
        <f t="shared" si="459"/>
        <v>181045912</v>
      </c>
    </row>
    <row r="3948" spans="1:16" x14ac:dyDescent="0.3">
      <c r="A3948">
        <v>1810</v>
      </c>
      <c r="B3948">
        <v>28</v>
      </c>
      <c r="C3948" t="s">
        <v>15</v>
      </c>
      <c r="D3948" t="s">
        <v>16</v>
      </c>
      <c r="E3948" t="s">
        <v>17</v>
      </c>
      <c r="F3948" t="s">
        <v>18</v>
      </c>
      <c r="G3948" t="s">
        <v>41</v>
      </c>
      <c r="H3948" t="s">
        <v>25</v>
      </c>
      <c r="I3948" s="1">
        <v>2</v>
      </c>
      <c r="J3948" s="2">
        <v>46198</v>
      </c>
      <c r="K3948" s="2">
        <v>46023</v>
      </c>
      <c r="L3948" s="1" t="str">
        <f t="shared" si="463"/>
        <v>qui</v>
      </c>
      <c r="M3948" s="1" t="str">
        <f t="shared" si="464"/>
        <v>jun</v>
      </c>
      <c r="N3948">
        <f t="shared" si="465"/>
        <v>2026</v>
      </c>
      <c r="O3948" s="2"/>
      <c r="P3948" t="str">
        <f t="shared" si="459"/>
        <v>181046198</v>
      </c>
    </row>
    <row r="3949" spans="1:16" x14ac:dyDescent="0.3">
      <c r="A3949">
        <v>1810</v>
      </c>
      <c r="B3949">
        <v>28</v>
      </c>
      <c r="C3949" t="s">
        <v>15</v>
      </c>
      <c r="D3949" t="s">
        <v>16</v>
      </c>
      <c r="E3949" t="s">
        <v>17</v>
      </c>
      <c r="F3949" t="s">
        <v>18</v>
      </c>
      <c r="G3949" t="s">
        <v>41</v>
      </c>
      <c r="H3949" t="s">
        <v>25</v>
      </c>
      <c r="I3949" s="1">
        <v>2</v>
      </c>
      <c r="J3949" s="2">
        <v>46104</v>
      </c>
      <c r="K3949" s="2">
        <v>46082</v>
      </c>
      <c r="L3949" s="1" t="str">
        <f t="shared" si="463"/>
        <v>seg</v>
      </c>
      <c r="M3949" s="1" t="str">
        <f t="shared" si="464"/>
        <v>mar</v>
      </c>
      <c r="N3949">
        <f t="shared" si="465"/>
        <v>2026</v>
      </c>
      <c r="O3949" s="2"/>
      <c r="P3949" t="str">
        <f t="shared" si="459"/>
        <v>181046104</v>
      </c>
    </row>
    <row r="3950" spans="1:16" x14ac:dyDescent="0.3">
      <c r="A3950">
        <v>1810</v>
      </c>
      <c r="B3950">
        <v>28</v>
      </c>
      <c r="C3950" t="s">
        <v>15</v>
      </c>
      <c r="D3950" t="s">
        <v>16</v>
      </c>
      <c r="E3950" t="s">
        <v>17</v>
      </c>
      <c r="F3950" t="s">
        <v>18</v>
      </c>
      <c r="G3950" t="s">
        <v>41</v>
      </c>
      <c r="H3950" t="s">
        <v>25</v>
      </c>
      <c r="I3950" s="1">
        <v>2</v>
      </c>
      <c r="J3950" s="2">
        <v>46105</v>
      </c>
      <c r="K3950" s="2">
        <v>46082</v>
      </c>
      <c r="L3950" s="1" t="str">
        <f t="shared" si="463"/>
        <v>ter</v>
      </c>
      <c r="M3950" s="1" t="str">
        <f t="shared" si="464"/>
        <v>mar</v>
      </c>
      <c r="N3950">
        <f t="shared" si="465"/>
        <v>2026</v>
      </c>
      <c r="O3950" s="2"/>
      <c r="P3950" t="str">
        <f t="shared" si="459"/>
        <v>181046105</v>
      </c>
    </row>
    <row r="3951" spans="1:16" x14ac:dyDescent="0.3">
      <c r="A3951">
        <v>1811</v>
      </c>
      <c r="B3951">
        <v>41</v>
      </c>
      <c r="C3951" t="s">
        <v>26</v>
      </c>
      <c r="D3951" t="s">
        <v>31</v>
      </c>
      <c r="E3951" t="s">
        <v>34</v>
      </c>
      <c r="F3951" t="s">
        <v>21</v>
      </c>
      <c r="G3951" t="s">
        <v>41</v>
      </c>
      <c r="H3951" t="s">
        <v>25</v>
      </c>
      <c r="I3951" s="1">
        <v>3</v>
      </c>
      <c r="J3951" s="2">
        <v>45828</v>
      </c>
      <c r="K3951" s="2">
        <v>45809</v>
      </c>
      <c r="L3951" s="1" t="str">
        <f t="shared" si="463"/>
        <v>sex</v>
      </c>
      <c r="M3951" s="1" t="str">
        <f t="shared" si="464"/>
        <v>jun</v>
      </c>
      <c r="N3951">
        <f t="shared" si="465"/>
        <v>2025</v>
      </c>
      <c r="O3951" s="2"/>
      <c r="P3951" t="str">
        <f t="shared" si="459"/>
        <v>181145828</v>
      </c>
    </row>
    <row r="3952" spans="1:16" x14ac:dyDescent="0.3">
      <c r="A3952">
        <v>1811</v>
      </c>
      <c r="B3952">
        <v>41</v>
      </c>
      <c r="C3952" t="s">
        <v>26</v>
      </c>
      <c r="D3952" t="s">
        <v>31</v>
      </c>
      <c r="E3952" t="s">
        <v>34</v>
      </c>
      <c r="F3952" t="s">
        <v>21</v>
      </c>
      <c r="G3952" t="s">
        <v>41</v>
      </c>
      <c r="H3952" t="s">
        <v>25</v>
      </c>
      <c r="I3952" s="1">
        <v>3</v>
      </c>
      <c r="J3952" s="2">
        <v>45860</v>
      </c>
      <c r="K3952" s="2">
        <v>45839</v>
      </c>
      <c r="L3952" s="1" t="str">
        <f t="shared" si="463"/>
        <v>ter</v>
      </c>
      <c r="M3952" s="1" t="str">
        <f t="shared" si="464"/>
        <v>jul</v>
      </c>
      <c r="N3952">
        <f t="shared" si="465"/>
        <v>2025</v>
      </c>
      <c r="O3952" s="2"/>
      <c r="P3952" t="str">
        <f t="shared" si="459"/>
        <v>181145860</v>
      </c>
    </row>
    <row r="3953" spans="1:16" x14ac:dyDescent="0.3">
      <c r="A3953">
        <v>1811</v>
      </c>
      <c r="B3953">
        <v>41</v>
      </c>
      <c r="C3953" t="s">
        <v>26</v>
      </c>
      <c r="D3953" t="s">
        <v>31</v>
      </c>
      <c r="E3953" t="s">
        <v>34</v>
      </c>
      <c r="F3953" t="s">
        <v>21</v>
      </c>
      <c r="G3953" t="s">
        <v>41</v>
      </c>
      <c r="H3953" t="s">
        <v>25</v>
      </c>
      <c r="I3953" s="1">
        <v>3</v>
      </c>
      <c r="J3953" s="2">
        <v>45920</v>
      </c>
      <c r="K3953" s="2">
        <v>45901</v>
      </c>
      <c r="L3953" s="1" t="str">
        <f t="shared" si="463"/>
        <v>sáb</v>
      </c>
      <c r="M3953" s="1" t="str">
        <f t="shared" si="464"/>
        <v>set</v>
      </c>
      <c r="N3953">
        <f t="shared" si="465"/>
        <v>2025</v>
      </c>
      <c r="O3953" s="2"/>
      <c r="P3953" t="str">
        <f t="shared" si="459"/>
        <v>181145920</v>
      </c>
    </row>
    <row r="3954" spans="1:16" x14ac:dyDescent="0.3">
      <c r="A3954">
        <v>1811</v>
      </c>
      <c r="B3954">
        <v>41</v>
      </c>
      <c r="C3954" t="s">
        <v>26</v>
      </c>
      <c r="D3954" t="s">
        <v>31</v>
      </c>
      <c r="E3954" t="s">
        <v>34</v>
      </c>
      <c r="F3954" t="s">
        <v>21</v>
      </c>
      <c r="G3954" t="s">
        <v>41</v>
      </c>
      <c r="H3954" t="s">
        <v>25</v>
      </c>
      <c r="I3954" s="1">
        <v>3</v>
      </c>
      <c r="J3954" s="2">
        <v>45943</v>
      </c>
      <c r="K3954" s="2">
        <v>45931</v>
      </c>
      <c r="L3954" s="1" t="str">
        <f t="shared" si="463"/>
        <v>seg</v>
      </c>
      <c r="M3954" s="1" t="str">
        <f t="shared" si="464"/>
        <v>out</v>
      </c>
      <c r="N3954">
        <f t="shared" si="465"/>
        <v>2025</v>
      </c>
      <c r="O3954" s="2"/>
      <c r="P3954" t="str">
        <f t="shared" si="459"/>
        <v>181145943</v>
      </c>
    </row>
    <row r="3955" spans="1:16" x14ac:dyDescent="0.3">
      <c r="A3955">
        <v>1813</v>
      </c>
      <c r="B3955">
        <v>43</v>
      </c>
      <c r="C3955" t="s">
        <v>26</v>
      </c>
      <c r="D3955" t="s">
        <v>16</v>
      </c>
      <c r="E3955" t="s">
        <v>17</v>
      </c>
      <c r="F3955" t="s">
        <v>21</v>
      </c>
      <c r="G3955" t="s">
        <v>41</v>
      </c>
      <c r="H3955" t="s">
        <v>20</v>
      </c>
      <c r="I3955" s="1">
        <v>3</v>
      </c>
      <c r="J3955" s="2">
        <v>45781</v>
      </c>
      <c r="K3955" s="2">
        <v>45778</v>
      </c>
      <c r="L3955" s="1" t="str">
        <f t="shared" si="463"/>
        <v>dom</v>
      </c>
      <c r="M3955" s="1" t="str">
        <f t="shared" si="464"/>
        <v>mai</v>
      </c>
      <c r="N3955">
        <f t="shared" si="465"/>
        <v>2025</v>
      </c>
      <c r="O3955" s="2">
        <f>_xlfn.XLOOKUP(A3955,Colaboradores!$A:$A,Colaboradores!$S:$S,"",0)</f>
        <v>46101</v>
      </c>
      <c r="P3955" t="str">
        <f t="shared" si="459"/>
        <v>181345781</v>
      </c>
    </row>
    <row r="3956" spans="1:16" x14ac:dyDescent="0.3">
      <c r="A3956">
        <v>1813</v>
      </c>
      <c r="B3956">
        <v>43</v>
      </c>
      <c r="C3956" t="s">
        <v>26</v>
      </c>
      <c r="D3956" t="s">
        <v>16</v>
      </c>
      <c r="E3956" t="s">
        <v>17</v>
      </c>
      <c r="F3956" t="s">
        <v>21</v>
      </c>
      <c r="G3956" t="s">
        <v>41</v>
      </c>
      <c r="H3956" t="s">
        <v>20</v>
      </c>
      <c r="I3956" s="1">
        <v>3</v>
      </c>
      <c r="J3956" s="2">
        <v>45859</v>
      </c>
      <c r="K3956" s="2">
        <v>45839</v>
      </c>
      <c r="L3956" s="1" t="str">
        <f t="shared" si="463"/>
        <v>seg</v>
      </c>
      <c r="M3956" s="1" t="str">
        <f t="shared" si="464"/>
        <v>jul</v>
      </c>
      <c r="N3956">
        <f t="shared" si="465"/>
        <v>2025</v>
      </c>
      <c r="O3956" s="2">
        <f>_xlfn.XLOOKUP(A3956,Colaboradores!$A:$A,Colaboradores!$S:$S,"",0)</f>
        <v>46101</v>
      </c>
      <c r="P3956" t="str">
        <f t="shared" si="459"/>
        <v>181345859</v>
      </c>
    </row>
    <row r="3957" spans="1:16" x14ac:dyDescent="0.3">
      <c r="A3957">
        <v>1813</v>
      </c>
      <c r="B3957">
        <v>43</v>
      </c>
      <c r="C3957" t="s">
        <v>26</v>
      </c>
      <c r="D3957" t="s">
        <v>16</v>
      </c>
      <c r="E3957" t="s">
        <v>17</v>
      </c>
      <c r="F3957" t="s">
        <v>21</v>
      </c>
      <c r="G3957" t="s">
        <v>41</v>
      </c>
      <c r="H3957" t="s">
        <v>20</v>
      </c>
      <c r="I3957" s="1">
        <v>3</v>
      </c>
      <c r="J3957" s="2">
        <v>45969</v>
      </c>
      <c r="K3957" s="2">
        <v>45962</v>
      </c>
      <c r="L3957" s="1" t="str">
        <f t="shared" si="463"/>
        <v>sáb</v>
      </c>
      <c r="M3957" s="1" t="str">
        <f t="shared" si="464"/>
        <v>nov</v>
      </c>
      <c r="N3957">
        <f t="shared" si="465"/>
        <v>2025</v>
      </c>
      <c r="O3957" s="2">
        <f>_xlfn.XLOOKUP(A3957,Colaboradores!$A:$A,Colaboradores!$S:$S,"",0)</f>
        <v>46101</v>
      </c>
      <c r="P3957" t="str">
        <f t="shared" si="459"/>
        <v>181345969</v>
      </c>
    </row>
    <row r="3958" spans="1:16" x14ac:dyDescent="0.3">
      <c r="A3958">
        <v>1813</v>
      </c>
      <c r="B3958">
        <v>43</v>
      </c>
      <c r="C3958" t="s">
        <v>26</v>
      </c>
      <c r="D3958" t="s">
        <v>16</v>
      </c>
      <c r="E3958" t="s">
        <v>17</v>
      </c>
      <c r="F3958" t="s">
        <v>21</v>
      </c>
      <c r="G3958" t="s">
        <v>41</v>
      </c>
      <c r="H3958" t="s">
        <v>20</v>
      </c>
      <c r="I3958" s="1">
        <v>3</v>
      </c>
      <c r="J3958" s="2">
        <v>45985</v>
      </c>
      <c r="K3958" s="2">
        <v>45962</v>
      </c>
      <c r="L3958" s="1" t="str">
        <f t="shared" si="463"/>
        <v>seg</v>
      </c>
      <c r="M3958" s="1" t="str">
        <f t="shared" si="464"/>
        <v>nov</v>
      </c>
      <c r="N3958">
        <f t="shared" si="465"/>
        <v>2025</v>
      </c>
      <c r="O3958" s="2">
        <f>_xlfn.XLOOKUP(A3958,Colaboradores!$A:$A,Colaboradores!$S:$S,"",0)</f>
        <v>46101</v>
      </c>
      <c r="P3958" t="str">
        <f t="shared" si="459"/>
        <v>181345985</v>
      </c>
    </row>
    <row r="3959" spans="1:16" x14ac:dyDescent="0.3">
      <c r="A3959">
        <v>1813</v>
      </c>
      <c r="B3959">
        <v>43</v>
      </c>
      <c r="C3959" t="s">
        <v>26</v>
      </c>
      <c r="D3959" t="s">
        <v>16</v>
      </c>
      <c r="E3959" t="s">
        <v>17</v>
      </c>
      <c r="F3959" t="s">
        <v>21</v>
      </c>
      <c r="G3959" t="s">
        <v>41</v>
      </c>
      <c r="H3959" t="s">
        <v>20</v>
      </c>
      <c r="I3959" s="1">
        <v>3</v>
      </c>
      <c r="J3959" s="2">
        <v>46002</v>
      </c>
      <c r="K3959" s="2">
        <v>45992</v>
      </c>
      <c r="L3959" s="1" t="str">
        <f t="shared" si="463"/>
        <v>qui</v>
      </c>
      <c r="M3959" s="1" t="str">
        <f t="shared" si="464"/>
        <v>dez</v>
      </c>
      <c r="N3959">
        <f t="shared" si="465"/>
        <v>2025</v>
      </c>
      <c r="O3959" s="2">
        <f>_xlfn.XLOOKUP(A3959,Colaboradores!$A:$A,Colaboradores!$S:$S,"",0)</f>
        <v>46101</v>
      </c>
      <c r="P3959" t="str">
        <f t="shared" si="459"/>
        <v>181346002</v>
      </c>
    </row>
    <row r="3960" spans="1:16" x14ac:dyDescent="0.3">
      <c r="A3960">
        <v>1813</v>
      </c>
      <c r="B3960">
        <v>43</v>
      </c>
      <c r="C3960" t="s">
        <v>26</v>
      </c>
      <c r="D3960" t="s">
        <v>16</v>
      </c>
      <c r="E3960" t="s">
        <v>17</v>
      </c>
      <c r="F3960" t="s">
        <v>21</v>
      </c>
      <c r="G3960" t="s">
        <v>41</v>
      </c>
      <c r="H3960" t="s">
        <v>20</v>
      </c>
      <c r="I3960" s="1">
        <v>3</v>
      </c>
      <c r="J3960" s="2">
        <v>46082</v>
      </c>
      <c r="K3960" s="2">
        <v>46082</v>
      </c>
      <c r="L3960" s="1" t="str">
        <f t="shared" si="463"/>
        <v>dom</v>
      </c>
      <c r="M3960" s="1" t="str">
        <f t="shared" si="464"/>
        <v>mar</v>
      </c>
      <c r="N3960">
        <f t="shared" si="465"/>
        <v>2026</v>
      </c>
      <c r="O3960" s="2">
        <f>_xlfn.XLOOKUP(A3960,Colaboradores!$A:$A,Colaboradores!$S:$S,"",0)</f>
        <v>46101</v>
      </c>
      <c r="P3960" t="str">
        <f t="shared" si="459"/>
        <v>181346082</v>
      </c>
    </row>
    <row r="3961" spans="1:16" x14ac:dyDescent="0.3">
      <c r="A3961">
        <v>1814</v>
      </c>
      <c r="B3961">
        <v>54</v>
      </c>
      <c r="C3961" t="s">
        <v>15</v>
      </c>
      <c r="D3961" t="s">
        <v>29</v>
      </c>
      <c r="E3961" t="s">
        <v>17</v>
      </c>
      <c r="F3961" t="s">
        <v>21</v>
      </c>
      <c r="G3961" t="s">
        <v>41</v>
      </c>
      <c r="H3961" t="s">
        <v>25</v>
      </c>
      <c r="I3961" s="1">
        <v>3</v>
      </c>
      <c r="J3961" s="2">
        <v>45816</v>
      </c>
      <c r="K3961" s="2">
        <v>45809</v>
      </c>
      <c r="L3961" s="1" t="str">
        <f t="shared" si="463"/>
        <v>dom</v>
      </c>
      <c r="M3961" s="1" t="str">
        <f t="shared" si="464"/>
        <v>jun</v>
      </c>
      <c r="N3961">
        <f t="shared" si="465"/>
        <v>2025</v>
      </c>
      <c r="O3961" s="2"/>
      <c r="P3961" t="str">
        <f t="shared" si="459"/>
        <v>181445816</v>
      </c>
    </row>
    <row r="3962" spans="1:16" x14ac:dyDescent="0.3">
      <c r="A3962">
        <v>1814</v>
      </c>
      <c r="B3962">
        <v>54</v>
      </c>
      <c r="C3962" t="s">
        <v>15</v>
      </c>
      <c r="D3962" t="s">
        <v>29</v>
      </c>
      <c r="E3962" t="s">
        <v>17</v>
      </c>
      <c r="F3962" t="s">
        <v>21</v>
      </c>
      <c r="G3962" t="s">
        <v>41</v>
      </c>
      <c r="H3962" t="s">
        <v>25</v>
      </c>
      <c r="I3962" s="1">
        <v>3</v>
      </c>
      <c r="J3962" s="2">
        <v>45836</v>
      </c>
      <c r="K3962" s="2">
        <v>45809</v>
      </c>
      <c r="L3962" s="1" t="str">
        <f t="shared" si="463"/>
        <v>sáb</v>
      </c>
      <c r="M3962" s="1" t="str">
        <f t="shared" si="464"/>
        <v>jun</v>
      </c>
      <c r="N3962">
        <f t="shared" si="465"/>
        <v>2025</v>
      </c>
      <c r="O3962" s="2"/>
      <c r="P3962" t="str">
        <f t="shared" si="459"/>
        <v>181445836</v>
      </c>
    </row>
    <row r="3963" spans="1:16" x14ac:dyDescent="0.3">
      <c r="A3963">
        <v>1814</v>
      </c>
      <c r="B3963">
        <v>54</v>
      </c>
      <c r="C3963" t="s">
        <v>15</v>
      </c>
      <c r="D3963" t="s">
        <v>29</v>
      </c>
      <c r="E3963" t="s">
        <v>17</v>
      </c>
      <c r="F3963" t="s">
        <v>21</v>
      </c>
      <c r="G3963" t="s">
        <v>41</v>
      </c>
      <c r="H3963" t="s">
        <v>25</v>
      </c>
      <c r="I3963" s="1">
        <v>3</v>
      </c>
      <c r="J3963" s="2">
        <v>45864</v>
      </c>
      <c r="K3963" s="2">
        <v>45839</v>
      </c>
      <c r="L3963" s="1" t="str">
        <f t="shared" si="463"/>
        <v>sáb</v>
      </c>
      <c r="M3963" s="1" t="str">
        <f t="shared" si="464"/>
        <v>jul</v>
      </c>
      <c r="N3963">
        <f t="shared" si="465"/>
        <v>2025</v>
      </c>
      <c r="O3963" s="2"/>
      <c r="P3963" t="str">
        <f t="shared" si="459"/>
        <v>181445864</v>
      </c>
    </row>
    <row r="3964" spans="1:16" x14ac:dyDescent="0.3">
      <c r="A3964">
        <v>1814</v>
      </c>
      <c r="B3964">
        <v>54</v>
      </c>
      <c r="C3964" t="s">
        <v>15</v>
      </c>
      <c r="D3964" t="s">
        <v>29</v>
      </c>
      <c r="E3964" t="s">
        <v>17</v>
      </c>
      <c r="F3964" t="s">
        <v>21</v>
      </c>
      <c r="G3964" t="s">
        <v>41</v>
      </c>
      <c r="H3964" t="s">
        <v>25</v>
      </c>
      <c r="I3964" s="1">
        <v>3</v>
      </c>
      <c r="J3964" s="2">
        <v>45882</v>
      </c>
      <c r="K3964" s="2">
        <v>45870</v>
      </c>
      <c r="L3964" s="1" t="str">
        <f t="shared" si="463"/>
        <v>qua</v>
      </c>
      <c r="M3964" s="1" t="str">
        <f t="shared" si="464"/>
        <v>ago</v>
      </c>
      <c r="N3964">
        <f t="shared" si="465"/>
        <v>2025</v>
      </c>
      <c r="O3964" s="2"/>
      <c r="P3964" t="str">
        <f t="shared" si="459"/>
        <v>181445882</v>
      </c>
    </row>
    <row r="3965" spans="1:16" x14ac:dyDescent="0.3">
      <c r="A3965">
        <v>1814</v>
      </c>
      <c r="B3965">
        <v>54</v>
      </c>
      <c r="C3965" t="s">
        <v>15</v>
      </c>
      <c r="D3965" t="s">
        <v>29</v>
      </c>
      <c r="E3965" t="s">
        <v>17</v>
      </c>
      <c r="F3965" t="s">
        <v>21</v>
      </c>
      <c r="G3965" t="s">
        <v>41</v>
      </c>
      <c r="H3965" t="s">
        <v>25</v>
      </c>
      <c r="I3965" s="1">
        <v>3</v>
      </c>
      <c r="J3965" s="2">
        <v>45935</v>
      </c>
      <c r="K3965" s="2">
        <v>45931</v>
      </c>
      <c r="L3965" s="1" t="str">
        <f t="shared" si="463"/>
        <v>dom</v>
      </c>
      <c r="M3965" s="1" t="str">
        <f t="shared" si="464"/>
        <v>out</v>
      </c>
      <c r="N3965">
        <f t="shared" si="465"/>
        <v>2025</v>
      </c>
      <c r="O3965" s="2"/>
      <c r="P3965" t="str">
        <f t="shared" si="459"/>
        <v>181445935</v>
      </c>
    </row>
    <row r="3966" spans="1:16" x14ac:dyDescent="0.3">
      <c r="A3966">
        <v>1814</v>
      </c>
      <c r="B3966">
        <v>54</v>
      </c>
      <c r="C3966" t="s">
        <v>15</v>
      </c>
      <c r="D3966" t="s">
        <v>29</v>
      </c>
      <c r="E3966" t="s">
        <v>17</v>
      </c>
      <c r="F3966" t="s">
        <v>21</v>
      </c>
      <c r="G3966" t="s">
        <v>41</v>
      </c>
      <c r="H3966" t="s">
        <v>25</v>
      </c>
      <c r="I3966" s="1">
        <v>3</v>
      </c>
      <c r="J3966" s="2">
        <v>46187</v>
      </c>
      <c r="K3966" s="2">
        <v>46023</v>
      </c>
      <c r="L3966" s="1" t="str">
        <f t="shared" si="463"/>
        <v>dom</v>
      </c>
      <c r="M3966" s="1" t="str">
        <f t="shared" si="464"/>
        <v>jun</v>
      </c>
      <c r="N3966">
        <f t="shared" si="465"/>
        <v>2026</v>
      </c>
      <c r="O3966" s="2"/>
      <c r="P3966" t="str">
        <f t="shared" ref="P3966:P4029" si="466">CONCATENATE(A3966,J3966)</f>
        <v>181446187</v>
      </c>
    </row>
    <row r="3967" spans="1:16" x14ac:dyDescent="0.3">
      <c r="A3967">
        <v>1815</v>
      </c>
      <c r="B3967">
        <v>22</v>
      </c>
      <c r="C3967" t="s">
        <v>26</v>
      </c>
      <c r="D3967" t="s">
        <v>27</v>
      </c>
      <c r="E3967" t="s">
        <v>17</v>
      </c>
      <c r="F3967" t="s">
        <v>23</v>
      </c>
      <c r="G3967" t="s">
        <v>41</v>
      </c>
      <c r="H3967" t="s">
        <v>20</v>
      </c>
      <c r="I3967" s="1">
        <v>3</v>
      </c>
      <c r="J3967" s="2">
        <v>45757</v>
      </c>
      <c r="K3967" s="2">
        <v>45748</v>
      </c>
      <c r="L3967" s="1" t="str">
        <f t="shared" si="463"/>
        <v>qui</v>
      </c>
      <c r="M3967" s="1" t="str">
        <f t="shared" si="464"/>
        <v>abr</v>
      </c>
      <c r="N3967">
        <f t="shared" si="465"/>
        <v>2025</v>
      </c>
      <c r="O3967" s="2">
        <f>_xlfn.XLOOKUP(A3967,Colaboradores!$A:$A,Colaboradores!$S:$S,"",0)</f>
        <v>46061</v>
      </c>
      <c r="P3967" t="str">
        <f t="shared" si="466"/>
        <v>181545757</v>
      </c>
    </row>
    <row r="3968" spans="1:16" x14ac:dyDescent="0.3">
      <c r="A3968">
        <v>1815</v>
      </c>
      <c r="B3968">
        <v>22</v>
      </c>
      <c r="C3968" t="s">
        <v>26</v>
      </c>
      <c r="D3968" t="s">
        <v>27</v>
      </c>
      <c r="E3968" t="s">
        <v>17</v>
      </c>
      <c r="F3968" t="s">
        <v>23</v>
      </c>
      <c r="G3968" t="s">
        <v>41</v>
      </c>
      <c r="H3968" t="s">
        <v>20</v>
      </c>
      <c r="I3968" s="1">
        <v>3</v>
      </c>
      <c r="J3968" s="2">
        <v>45849</v>
      </c>
      <c r="K3968" s="2">
        <v>45839</v>
      </c>
      <c r="L3968" s="1" t="str">
        <f t="shared" si="463"/>
        <v>sex</v>
      </c>
      <c r="M3968" s="1" t="str">
        <f t="shared" si="464"/>
        <v>jul</v>
      </c>
      <c r="N3968">
        <f t="shared" si="465"/>
        <v>2025</v>
      </c>
      <c r="O3968" s="2">
        <f>_xlfn.XLOOKUP(A3968,Colaboradores!$A:$A,Colaboradores!$S:$S,"",0)</f>
        <v>46061</v>
      </c>
      <c r="P3968" t="str">
        <f t="shared" si="466"/>
        <v>181545849</v>
      </c>
    </row>
    <row r="3969" spans="1:16" x14ac:dyDescent="0.3">
      <c r="A3969">
        <v>1815</v>
      </c>
      <c r="B3969">
        <v>22</v>
      </c>
      <c r="C3969" t="s">
        <v>26</v>
      </c>
      <c r="D3969" t="s">
        <v>27</v>
      </c>
      <c r="E3969" t="s">
        <v>17</v>
      </c>
      <c r="F3969" t="s">
        <v>23</v>
      </c>
      <c r="G3969" t="s">
        <v>41</v>
      </c>
      <c r="H3969" t="s">
        <v>20</v>
      </c>
      <c r="I3969" s="1">
        <v>3</v>
      </c>
      <c r="J3969" s="2">
        <v>45856</v>
      </c>
      <c r="K3969" s="2">
        <v>45839</v>
      </c>
      <c r="L3969" s="1" t="str">
        <f t="shared" si="463"/>
        <v>sex</v>
      </c>
      <c r="M3969" s="1" t="str">
        <f t="shared" si="464"/>
        <v>jul</v>
      </c>
      <c r="N3969">
        <f t="shared" si="465"/>
        <v>2025</v>
      </c>
      <c r="O3969" s="2">
        <f>_xlfn.XLOOKUP(A3969,Colaboradores!$A:$A,Colaboradores!$S:$S,"",0)</f>
        <v>46061</v>
      </c>
      <c r="P3969" t="str">
        <f t="shared" si="466"/>
        <v>181545856</v>
      </c>
    </row>
    <row r="3970" spans="1:16" x14ac:dyDescent="0.3">
      <c r="A3970">
        <v>1815</v>
      </c>
      <c r="B3970">
        <v>22</v>
      </c>
      <c r="C3970" t="s">
        <v>26</v>
      </c>
      <c r="D3970" t="s">
        <v>27</v>
      </c>
      <c r="E3970" t="s">
        <v>17</v>
      </c>
      <c r="F3970" t="s">
        <v>23</v>
      </c>
      <c r="G3970" t="s">
        <v>41</v>
      </c>
      <c r="H3970" t="s">
        <v>20</v>
      </c>
      <c r="I3970" s="1">
        <v>3</v>
      </c>
      <c r="J3970" s="2">
        <v>45881</v>
      </c>
      <c r="K3970" s="2">
        <v>45870</v>
      </c>
      <c r="L3970" s="1" t="str">
        <f t="shared" si="463"/>
        <v>ter</v>
      </c>
      <c r="M3970" s="1" t="str">
        <f t="shared" si="464"/>
        <v>ago</v>
      </c>
      <c r="N3970">
        <f t="shared" si="465"/>
        <v>2025</v>
      </c>
      <c r="O3970" s="2">
        <f>_xlfn.XLOOKUP(A3970,Colaboradores!$A:$A,Colaboradores!$S:$S,"",0)</f>
        <v>46061</v>
      </c>
      <c r="P3970" t="str">
        <f t="shared" si="466"/>
        <v>181545881</v>
      </c>
    </row>
    <row r="3971" spans="1:16" x14ac:dyDescent="0.3">
      <c r="A3971">
        <v>1815</v>
      </c>
      <c r="B3971">
        <v>22</v>
      </c>
      <c r="C3971" t="s">
        <v>26</v>
      </c>
      <c r="D3971" t="s">
        <v>27</v>
      </c>
      <c r="E3971" t="s">
        <v>17</v>
      </c>
      <c r="F3971" t="s">
        <v>23</v>
      </c>
      <c r="G3971" t="s">
        <v>41</v>
      </c>
      <c r="H3971" t="s">
        <v>20</v>
      </c>
      <c r="I3971" s="1">
        <v>3</v>
      </c>
      <c r="J3971" s="2">
        <v>46017</v>
      </c>
      <c r="K3971" s="2">
        <v>45992</v>
      </c>
      <c r="L3971" s="1" t="str">
        <f t="shared" si="463"/>
        <v>sex</v>
      </c>
      <c r="M3971" s="1" t="str">
        <f t="shared" si="464"/>
        <v>dez</v>
      </c>
      <c r="N3971">
        <f t="shared" si="465"/>
        <v>2025</v>
      </c>
      <c r="O3971" s="2">
        <f>_xlfn.XLOOKUP(A3971,Colaboradores!$A:$A,Colaboradores!$S:$S,"",0)</f>
        <v>46061</v>
      </c>
      <c r="P3971" t="str">
        <f t="shared" si="466"/>
        <v>181546017</v>
      </c>
    </row>
    <row r="3972" spans="1:16" x14ac:dyDescent="0.3">
      <c r="A3972">
        <v>1815</v>
      </c>
      <c r="B3972">
        <v>22</v>
      </c>
      <c r="C3972" t="s">
        <v>26</v>
      </c>
      <c r="D3972" t="s">
        <v>27</v>
      </c>
      <c r="E3972" t="s">
        <v>17</v>
      </c>
      <c r="F3972" t="s">
        <v>23</v>
      </c>
      <c r="G3972" t="s">
        <v>41</v>
      </c>
      <c r="H3972" t="s">
        <v>20</v>
      </c>
      <c r="I3972" s="1">
        <v>3</v>
      </c>
      <c r="J3972" s="2">
        <v>46179</v>
      </c>
      <c r="K3972" s="2">
        <v>46023</v>
      </c>
      <c r="L3972" s="1" t="str">
        <f t="shared" si="463"/>
        <v>sáb</v>
      </c>
      <c r="M3972" s="1" t="str">
        <f t="shared" si="464"/>
        <v>jun</v>
      </c>
      <c r="N3972">
        <f t="shared" si="465"/>
        <v>2026</v>
      </c>
      <c r="O3972" s="2">
        <f>_xlfn.XLOOKUP(A3972,Colaboradores!$A:$A,Colaboradores!$S:$S,"",0)</f>
        <v>46061</v>
      </c>
      <c r="P3972" t="str">
        <f t="shared" si="466"/>
        <v>181546179</v>
      </c>
    </row>
    <row r="3973" spans="1:16" x14ac:dyDescent="0.3">
      <c r="A3973">
        <v>1816</v>
      </c>
      <c r="B3973">
        <v>56</v>
      </c>
      <c r="C3973" t="s">
        <v>26</v>
      </c>
      <c r="D3973" t="s">
        <v>29</v>
      </c>
      <c r="E3973" t="s">
        <v>17</v>
      </c>
      <c r="F3973" t="s">
        <v>21</v>
      </c>
      <c r="G3973" t="s">
        <v>57</v>
      </c>
      <c r="H3973" t="s">
        <v>20</v>
      </c>
      <c r="I3973" s="1">
        <v>1</v>
      </c>
      <c r="J3973" s="2">
        <v>45767</v>
      </c>
      <c r="K3973" s="2">
        <v>45748</v>
      </c>
      <c r="L3973" s="1" t="str">
        <f t="shared" ref="L3973:L4004" si="467">TEXT(J3973,"ddd")</f>
        <v>dom</v>
      </c>
      <c r="M3973" s="1" t="str">
        <f t="shared" ref="M3973:M4004" si="468">TEXT($J3973,"mmm")</f>
        <v>abr</v>
      </c>
      <c r="N3973">
        <f t="shared" ref="N3973:N4004" si="469">YEAR(J3973)</f>
        <v>2025</v>
      </c>
      <c r="O3973" s="2">
        <f>_xlfn.XLOOKUP(A3973,Colaboradores!$A:$A,Colaboradores!$S:$S,"",0)</f>
        <v>46163</v>
      </c>
      <c r="P3973" t="str">
        <f t="shared" si="466"/>
        <v>181645767</v>
      </c>
    </row>
    <row r="3974" spans="1:16" x14ac:dyDescent="0.3">
      <c r="A3974">
        <v>1816</v>
      </c>
      <c r="B3974">
        <v>56</v>
      </c>
      <c r="C3974" t="s">
        <v>26</v>
      </c>
      <c r="D3974" t="s">
        <v>29</v>
      </c>
      <c r="E3974" t="s">
        <v>17</v>
      </c>
      <c r="F3974" t="s">
        <v>21</v>
      </c>
      <c r="G3974" t="s">
        <v>41</v>
      </c>
      <c r="H3974" t="s">
        <v>20</v>
      </c>
      <c r="I3974" s="1">
        <v>1</v>
      </c>
      <c r="J3974" s="2">
        <v>45838</v>
      </c>
      <c r="K3974" s="2">
        <v>45809</v>
      </c>
      <c r="L3974" s="1" t="str">
        <f t="shared" si="467"/>
        <v>seg</v>
      </c>
      <c r="M3974" s="1" t="str">
        <f t="shared" si="468"/>
        <v>jun</v>
      </c>
      <c r="N3974">
        <f t="shared" si="469"/>
        <v>2025</v>
      </c>
      <c r="O3974" s="2">
        <f>_xlfn.XLOOKUP(A3974,Colaboradores!$A:$A,Colaboradores!$S:$S,"",0)</f>
        <v>46163</v>
      </c>
      <c r="P3974" t="str">
        <f t="shared" si="466"/>
        <v>181645838</v>
      </c>
    </row>
    <row r="3975" spans="1:16" x14ac:dyDescent="0.3">
      <c r="A3975">
        <v>1816</v>
      </c>
      <c r="B3975">
        <v>56</v>
      </c>
      <c r="C3975" t="s">
        <v>26</v>
      </c>
      <c r="D3975" t="s">
        <v>29</v>
      </c>
      <c r="E3975" t="s">
        <v>17</v>
      </c>
      <c r="F3975" t="s">
        <v>21</v>
      </c>
      <c r="G3975" t="s">
        <v>41</v>
      </c>
      <c r="H3975" t="s">
        <v>20</v>
      </c>
      <c r="I3975" s="1">
        <v>1</v>
      </c>
      <c r="J3975" s="2">
        <v>45868</v>
      </c>
      <c r="K3975" s="2">
        <v>45839</v>
      </c>
      <c r="L3975" s="1" t="str">
        <f t="shared" si="467"/>
        <v>qua</v>
      </c>
      <c r="M3975" s="1" t="str">
        <f t="shared" si="468"/>
        <v>jul</v>
      </c>
      <c r="N3975">
        <f t="shared" si="469"/>
        <v>2025</v>
      </c>
      <c r="O3975" s="2">
        <f>_xlfn.XLOOKUP(A3975,Colaboradores!$A:$A,Colaboradores!$S:$S,"",0)</f>
        <v>46163</v>
      </c>
      <c r="P3975" t="str">
        <f t="shared" si="466"/>
        <v>181645868</v>
      </c>
    </row>
    <row r="3976" spans="1:16" x14ac:dyDescent="0.3">
      <c r="A3976">
        <v>1816</v>
      </c>
      <c r="B3976">
        <v>56</v>
      </c>
      <c r="C3976" t="s">
        <v>26</v>
      </c>
      <c r="D3976" t="s">
        <v>29</v>
      </c>
      <c r="E3976" t="s">
        <v>17</v>
      </c>
      <c r="F3976" t="s">
        <v>21</v>
      </c>
      <c r="G3976" t="s">
        <v>41</v>
      </c>
      <c r="H3976" t="s">
        <v>20</v>
      </c>
      <c r="I3976" s="1">
        <v>1</v>
      </c>
      <c r="J3976" s="2">
        <v>46192</v>
      </c>
      <c r="K3976" s="2">
        <v>46023</v>
      </c>
      <c r="L3976" s="1" t="str">
        <f t="shared" si="467"/>
        <v>sex</v>
      </c>
      <c r="M3976" s="1" t="str">
        <f t="shared" si="468"/>
        <v>jun</v>
      </c>
      <c r="N3976">
        <f t="shared" si="469"/>
        <v>2026</v>
      </c>
      <c r="O3976" s="2">
        <f>_xlfn.XLOOKUP(A3976,Colaboradores!$A:$A,Colaboradores!$S:$S,"",0)</f>
        <v>46163</v>
      </c>
      <c r="P3976" t="str">
        <f t="shared" si="466"/>
        <v>181646192</v>
      </c>
    </row>
    <row r="3977" spans="1:16" x14ac:dyDescent="0.3">
      <c r="A3977">
        <v>1816</v>
      </c>
      <c r="B3977">
        <v>56</v>
      </c>
      <c r="C3977" t="s">
        <v>26</v>
      </c>
      <c r="D3977" t="s">
        <v>29</v>
      </c>
      <c r="E3977" t="s">
        <v>17</v>
      </c>
      <c r="F3977" t="s">
        <v>21</v>
      </c>
      <c r="G3977" t="s">
        <v>41</v>
      </c>
      <c r="H3977" t="s">
        <v>20</v>
      </c>
      <c r="I3977" s="1">
        <v>1</v>
      </c>
      <c r="J3977" s="2">
        <v>46107</v>
      </c>
      <c r="K3977" s="2">
        <v>46082</v>
      </c>
      <c r="L3977" s="1" t="str">
        <f t="shared" si="467"/>
        <v>qui</v>
      </c>
      <c r="M3977" s="1" t="str">
        <f t="shared" si="468"/>
        <v>mar</v>
      </c>
      <c r="N3977">
        <f t="shared" si="469"/>
        <v>2026</v>
      </c>
      <c r="O3977" s="2">
        <f>_xlfn.XLOOKUP(A3977,Colaboradores!$A:$A,Colaboradores!$S:$S,"",0)</f>
        <v>46163</v>
      </c>
      <c r="P3977" t="str">
        <f t="shared" si="466"/>
        <v>181646107</v>
      </c>
    </row>
    <row r="3978" spans="1:16" x14ac:dyDescent="0.3">
      <c r="A3978">
        <v>1817</v>
      </c>
      <c r="B3978">
        <v>33</v>
      </c>
      <c r="C3978" t="s">
        <v>26</v>
      </c>
      <c r="D3978" t="s">
        <v>16</v>
      </c>
      <c r="E3978" t="s">
        <v>17</v>
      </c>
      <c r="F3978" t="s">
        <v>21</v>
      </c>
      <c r="G3978" t="s">
        <v>41</v>
      </c>
      <c r="H3978" t="s">
        <v>20</v>
      </c>
      <c r="I3978" s="1">
        <v>1</v>
      </c>
      <c r="J3978" s="2">
        <v>45764</v>
      </c>
      <c r="K3978" s="2">
        <v>45748</v>
      </c>
      <c r="L3978" s="1" t="str">
        <f t="shared" si="467"/>
        <v>qui</v>
      </c>
      <c r="M3978" s="1" t="str">
        <f t="shared" si="468"/>
        <v>abr</v>
      </c>
      <c r="N3978">
        <f t="shared" si="469"/>
        <v>2025</v>
      </c>
      <c r="O3978" s="2">
        <f>_xlfn.XLOOKUP(A3978,Colaboradores!$A:$A,Colaboradores!$S:$S,"",0)</f>
        <v>45935</v>
      </c>
      <c r="P3978" t="str">
        <f t="shared" si="466"/>
        <v>181745764</v>
      </c>
    </row>
    <row r="3979" spans="1:16" x14ac:dyDescent="0.3">
      <c r="A3979">
        <v>1817</v>
      </c>
      <c r="B3979">
        <v>33</v>
      </c>
      <c r="C3979" t="s">
        <v>26</v>
      </c>
      <c r="D3979" t="s">
        <v>16</v>
      </c>
      <c r="E3979" t="s">
        <v>17</v>
      </c>
      <c r="F3979" t="s">
        <v>21</v>
      </c>
      <c r="G3979" t="s">
        <v>41</v>
      </c>
      <c r="H3979" t="s">
        <v>20</v>
      </c>
      <c r="I3979" s="1">
        <v>1</v>
      </c>
      <c r="J3979" s="2">
        <v>45808</v>
      </c>
      <c r="K3979" s="2">
        <v>45778</v>
      </c>
      <c r="L3979" s="1" t="str">
        <f t="shared" si="467"/>
        <v>sáb</v>
      </c>
      <c r="M3979" s="1" t="str">
        <f t="shared" si="468"/>
        <v>mai</v>
      </c>
      <c r="N3979">
        <f t="shared" si="469"/>
        <v>2025</v>
      </c>
      <c r="O3979" s="2">
        <f>_xlfn.XLOOKUP(A3979,Colaboradores!$A:$A,Colaboradores!$S:$S,"",0)</f>
        <v>45935</v>
      </c>
      <c r="P3979" t="str">
        <f t="shared" si="466"/>
        <v>181745808</v>
      </c>
    </row>
    <row r="3980" spans="1:16" x14ac:dyDescent="0.3">
      <c r="A3980">
        <v>1817</v>
      </c>
      <c r="B3980">
        <v>33</v>
      </c>
      <c r="C3980" t="s">
        <v>26</v>
      </c>
      <c r="D3980" t="s">
        <v>16</v>
      </c>
      <c r="E3980" t="s">
        <v>17</v>
      </c>
      <c r="F3980" t="s">
        <v>21</v>
      </c>
      <c r="G3980" t="s">
        <v>41</v>
      </c>
      <c r="H3980" t="s">
        <v>20</v>
      </c>
      <c r="I3980" s="1">
        <v>1</v>
      </c>
      <c r="J3980" s="2">
        <v>45853</v>
      </c>
      <c r="K3980" s="2">
        <v>45839</v>
      </c>
      <c r="L3980" s="1" t="str">
        <f t="shared" si="467"/>
        <v>ter</v>
      </c>
      <c r="M3980" s="1" t="str">
        <f t="shared" si="468"/>
        <v>jul</v>
      </c>
      <c r="N3980">
        <f t="shared" si="469"/>
        <v>2025</v>
      </c>
      <c r="O3980" s="2">
        <f>_xlfn.XLOOKUP(A3980,Colaboradores!$A:$A,Colaboradores!$S:$S,"",0)</f>
        <v>45935</v>
      </c>
      <c r="P3980" t="str">
        <f t="shared" si="466"/>
        <v>181745853</v>
      </c>
    </row>
    <row r="3981" spans="1:16" x14ac:dyDescent="0.3">
      <c r="A3981">
        <v>1817</v>
      </c>
      <c r="B3981">
        <v>33</v>
      </c>
      <c r="C3981" t="s">
        <v>26</v>
      </c>
      <c r="D3981" t="s">
        <v>16</v>
      </c>
      <c r="E3981" t="s">
        <v>17</v>
      </c>
      <c r="F3981" t="s">
        <v>21</v>
      </c>
      <c r="G3981" t="s">
        <v>41</v>
      </c>
      <c r="H3981" t="s">
        <v>20</v>
      </c>
      <c r="I3981" s="1">
        <v>1</v>
      </c>
      <c r="J3981" s="2">
        <v>45855</v>
      </c>
      <c r="K3981" s="2">
        <v>45839</v>
      </c>
      <c r="L3981" s="1" t="str">
        <f t="shared" si="467"/>
        <v>qui</v>
      </c>
      <c r="M3981" s="1" t="str">
        <f t="shared" si="468"/>
        <v>jul</v>
      </c>
      <c r="N3981">
        <f t="shared" si="469"/>
        <v>2025</v>
      </c>
      <c r="O3981" s="2">
        <f>_xlfn.XLOOKUP(A3981,Colaboradores!$A:$A,Colaboradores!$S:$S,"",0)</f>
        <v>45935</v>
      </c>
      <c r="P3981" t="str">
        <f t="shared" si="466"/>
        <v>181745855</v>
      </c>
    </row>
    <row r="3982" spans="1:16" x14ac:dyDescent="0.3">
      <c r="A3982">
        <v>1817</v>
      </c>
      <c r="B3982">
        <v>33</v>
      </c>
      <c r="C3982" t="s">
        <v>26</v>
      </c>
      <c r="D3982" t="s">
        <v>16</v>
      </c>
      <c r="E3982" t="s">
        <v>17</v>
      </c>
      <c r="F3982" t="s">
        <v>21</v>
      </c>
      <c r="G3982" t="s">
        <v>41</v>
      </c>
      <c r="H3982" t="s">
        <v>20</v>
      </c>
      <c r="I3982" s="1">
        <v>1</v>
      </c>
      <c r="J3982" s="2">
        <v>45908</v>
      </c>
      <c r="K3982" s="2">
        <v>45901</v>
      </c>
      <c r="L3982" s="1" t="str">
        <f t="shared" si="467"/>
        <v>seg</v>
      </c>
      <c r="M3982" s="1" t="str">
        <f t="shared" si="468"/>
        <v>set</v>
      </c>
      <c r="N3982">
        <f t="shared" si="469"/>
        <v>2025</v>
      </c>
      <c r="O3982" s="2">
        <f>_xlfn.XLOOKUP(A3982,Colaboradores!$A:$A,Colaboradores!$S:$S,"",0)</f>
        <v>45935</v>
      </c>
      <c r="P3982" t="str">
        <f t="shared" si="466"/>
        <v>181745908</v>
      </c>
    </row>
    <row r="3983" spans="1:16" x14ac:dyDescent="0.3">
      <c r="A3983">
        <v>1817</v>
      </c>
      <c r="B3983">
        <v>33</v>
      </c>
      <c r="C3983" t="s">
        <v>26</v>
      </c>
      <c r="D3983" t="s">
        <v>16</v>
      </c>
      <c r="E3983" t="s">
        <v>17</v>
      </c>
      <c r="F3983" t="s">
        <v>21</v>
      </c>
      <c r="G3983" t="s">
        <v>41</v>
      </c>
      <c r="H3983" t="s">
        <v>20</v>
      </c>
      <c r="I3983" s="1">
        <v>1</v>
      </c>
      <c r="J3983" s="2">
        <v>45912</v>
      </c>
      <c r="K3983" s="2">
        <v>45901</v>
      </c>
      <c r="L3983" s="1" t="str">
        <f t="shared" si="467"/>
        <v>sex</v>
      </c>
      <c r="M3983" s="1" t="str">
        <f t="shared" si="468"/>
        <v>set</v>
      </c>
      <c r="N3983">
        <f t="shared" si="469"/>
        <v>2025</v>
      </c>
      <c r="O3983" s="2">
        <f>_xlfn.XLOOKUP(A3983,Colaboradores!$A:$A,Colaboradores!$S:$S,"",0)</f>
        <v>45935</v>
      </c>
      <c r="P3983" t="str">
        <f t="shared" si="466"/>
        <v>181745912</v>
      </c>
    </row>
    <row r="3984" spans="1:16" x14ac:dyDescent="0.3">
      <c r="A3984">
        <v>1818</v>
      </c>
      <c r="B3984">
        <v>32</v>
      </c>
      <c r="C3984" t="s">
        <v>15</v>
      </c>
      <c r="D3984" t="s">
        <v>29</v>
      </c>
      <c r="E3984" t="s">
        <v>17</v>
      </c>
      <c r="F3984" t="s">
        <v>18</v>
      </c>
      <c r="G3984" t="s">
        <v>41</v>
      </c>
      <c r="H3984" t="s">
        <v>20</v>
      </c>
      <c r="I3984" s="1">
        <v>3</v>
      </c>
      <c r="J3984" s="2">
        <v>45791</v>
      </c>
      <c r="K3984" s="2">
        <v>45778</v>
      </c>
      <c r="L3984" s="1" t="str">
        <f t="shared" si="467"/>
        <v>qua</v>
      </c>
      <c r="M3984" s="1" t="str">
        <f t="shared" si="468"/>
        <v>mai</v>
      </c>
      <c r="N3984">
        <f t="shared" si="469"/>
        <v>2025</v>
      </c>
      <c r="O3984" s="2">
        <f>_xlfn.XLOOKUP(A3984,Colaboradores!$A:$A,Colaboradores!$S:$S,"",0)</f>
        <v>45923</v>
      </c>
      <c r="P3984" t="str">
        <f t="shared" si="466"/>
        <v>181845791</v>
      </c>
    </row>
    <row r="3985" spans="1:16" x14ac:dyDescent="0.3">
      <c r="A3985">
        <v>1818</v>
      </c>
      <c r="B3985">
        <v>32</v>
      </c>
      <c r="C3985" t="s">
        <v>15</v>
      </c>
      <c r="D3985" t="s">
        <v>29</v>
      </c>
      <c r="E3985" t="s">
        <v>17</v>
      </c>
      <c r="F3985" t="s">
        <v>18</v>
      </c>
      <c r="G3985" t="s">
        <v>41</v>
      </c>
      <c r="H3985" t="s">
        <v>20</v>
      </c>
      <c r="I3985" s="1">
        <v>3</v>
      </c>
      <c r="J3985" s="2">
        <v>45853</v>
      </c>
      <c r="K3985" s="2">
        <v>45839</v>
      </c>
      <c r="L3985" s="1" t="str">
        <f t="shared" si="467"/>
        <v>ter</v>
      </c>
      <c r="M3985" s="1" t="str">
        <f t="shared" si="468"/>
        <v>jul</v>
      </c>
      <c r="N3985">
        <f t="shared" si="469"/>
        <v>2025</v>
      </c>
      <c r="O3985" s="2">
        <f>_xlfn.XLOOKUP(A3985,Colaboradores!$A:$A,Colaboradores!$S:$S,"",0)</f>
        <v>45923</v>
      </c>
      <c r="P3985" t="str">
        <f t="shared" si="466"/>
        <v>181845853</v>
      </c>
    </row>
    <row r="3986" spans="1:16" x14ac:dyDescent="0.3">
      <c r="A3986">
        <v>1818</v>
      </c>
      <c r="B3986">
        <v>32</v>
      </c>
      <c r="C3986" t="s">
        <v>15</v>
      </c>
      <c r="D3986" t="s">
        <v>29</v>
      </c>
      <c r="E3986" t="s">
        <v>17</v>
      </c>
      <c r="F3986" t="s">
        <v>18</v>
      </c>
      <c r="G3986" t="s">
        <v>41</v>
      </c>
      <c r="H3986" t="s">
        <v>20</v>
      </c>
      <c r="I3986" s="1">
        <v>3</v>
      </c>
      <c r="J3986" s="2">
        <v>45855</v>
      </c>
      <c r="K3986" s="2">
        <v>45839</v>
      </c>
      <c r="L3986" s="1" t="str">
        <f t="shared" si="467"/>
        <v>qui</v>
      </c>
      <c r="M3986" s="1" t="str">
        <f t="shared" si="468"/>
        <v>jul</v>
      </c>
      <c r="N3986">
        <f t="shared" si="469"/>
        <v>2025</v>
      </c>
      <c r="O3986" s="2">
        <f>_xlfn.XLOOKUP(A3986,Colaboradores!$A:$A,Colaboradores!$S:$S,"",0)</f>
        <v>45923</v>
      </c>
      <c r="P3986" t="str">
        <f t="shared" si="466"/>
        <v>181845855</v>
      </c>
    </row>
    <row r="3987" spans="1:16" x14ac:dyDescent="0.3">
      <c r="A3987">
        <v>1818</v>
      </c>
      <c r="B3987">
        <v>32</v>
      </c>
      <c r="C3987" t="s">
        <v>15</v>
      </c>
      <c r="D3987" t="s">
        <v>29</v>
      </c>
      <c r="E3987" t="s">
        <v>17</v>
      </c>
      <c r="F3987" t="s">
        <v>18</v>
      </c>
      <c r="G3987" t="s">
        <v>41</v>
      </c>
      <c r="H3987" t="s">
        <v>20</v>
      </c>
      <c r="I3987" s="1">
        <v>3</v>
      </c>
      <c r="J3987" s="2">
        <v>45871</v>
      </c>
      <c r="K3987" s="2">
        <v>45870</v>
      </c>
      <c r="L3987" s="1" t="str">
        <f t="shared" si="467"/>
        <v>sáb</v>
      </c>
      <c r="M3987" s="1" t="str">
        <f t="shared" si="468"/>
        <v>ago</v>
      </c>
      <c r="N3987">
        <f t="shared" si="469"/>
        <v>2025</v>
      </c>
      <c r="O3987" s="2">
        <f>_xlfn.XLOOKUP(A3987,Colaboradores!$A:$A,Colaboradores!$S:$S,"",0)</f>
        <v>45923</v>
      </c>
      <c r="P3987" t="str">
        <f t="shared" si="466"/>
        <v>181845871</v>
      </c>
    </row>
    <row r="3988" spans="1:16" x14ac:dyDescent="0.3">
      <c r="A3988">
        <v>1818</v>
      </c>
      <c r="B3988">
        <v>32</v>
      </c>
      <c r="C3988" t="s">
        <v>15</v>
      </c>
      <c r="D3988" t="s">
        <v>29</v>
      </c>
      <c r="E3988" t="s">
        <v>17</v>
      </c>
      <c r="F3988" t="s">
        <v>18</v>
      </c>
      <c r="G3988" t="s">
        <v>41</v>
      </c>
      <c r="H3988" t="s">
        <v>20</v>
      </c>
      <c r="I3988" s="1">
        <v>3</v>
      </c>
      <c r="J3988" s="2">
        <v>45872</v>
      </c>
      <c r="K3988" s="2">
        <v>45870</v>
      </c>
      <c r="L3988" s="1" t="str">
        <f t="shared" si="467"/>
        <v>dom</v>
      </c>
      <c r="M3988" s="1" t="str">
        <f t="shared" si="468"/>
        <v>ago</v>
      </c>
      <c r="N3988">
        <f t="shared" si="469"/>
        <v>2025</v>
      </c>
      <c r="O3988" s="2">
        <f>_xlfn.XLOOKUP(A3988,Colaboradores!$A:$A,Colaboradores!$S:$S,"",0)</f>
        <v>45923</v>
      </c>
      <c r="P3988" t="str">
        <f t="shared" si="466"/>
        <v>181845872</v>
      </c>
    </row>
    <row r="3989" spans="1:16" x14ac:dyDescent="0.3">
      <c r="A3989">
        <v>1818</v>
      </c>
      <c r="B3989">
        <v>32</v>
      </c>
      <c r="C3989" t="s">
        <v>15</v>
      </c>
      <c r="D3989" t="s">
        <v>29</v>
      </c>
      <c r="E3989" t="s">
        <v>17</v>
      </c>
      <c r="F3989" t="s">
        <v>18</v>
      </c>
      <c r="G3989" t="s">
        <v>41</v>
      </c>
      <c r="H3989" t="s">
        <v>20</v>
      </c>
      <c r="I3989" s="1">
        <v>3</v>
      </c>
      <c r="J3989" s="2">
        <v>45873</v>
      </c>
      <c r="K3989" s="2">
        <v>45870</v>
      </c>
      <c r="L3989" s="1" t="str">
        <f t="shared" si="467"/>
        <v>seg</v>
      </c>
      <c r="M3989" s="1" t="str">
        <f t="shared" si="468"/>
        <v>ago</v>
      </c>
      <c r="N3989">
        <f t="shared" si="469"/>
        <v>2025</v>
      </c>
      <c r="O3989" s="2">
        <f>_xlfn.XLOOKUP(A3989,Colaboradores!$A:$A,Colaboradores!$S:$S,"",0)</f>
        <v>45923</v>
      </c>
      <c r="P3989" t="str">
        <f t="shared" si="466"/>
        <v>181845873</v>
      </c>
    </row>
    <row r="3990" spans="1:16" x14ac:dyDescent="0.3">
      <c r="A3990">
        <v>1821</v>
      </c>
      <c r="B3990">
        <v>28</v>
      </c>
      <c r="C3990" t="s">
        <v>15</v>
      </c>
      <c r="D3990" t="s">
        <v>29</v>
      </c>
      <c r="E3990" t="s">
        <v>17</v>
      </c>
      <c r="F3990" t="s">
        <v>21</v>
      </c>
      <c r="G3990" t="s">
        <v>41</v>
      </c>
      <c r="H3990" t="s">
        <v>25</v>
      </c>
      <c r="I3990" s="1">
        <v>3</v>
      </c>
      <c r="J3990" s="2">
        <v>45909</v>
      </c>
      <c r="K3990" s="2">
        <v>45901</v>
      </c>
      <c r="L3990" s="1" t="str">
        <f t="shared" si="467"/>
        <v>ter</v>
      </c>
      <c r="M3990" s="1" t="str">
        <f t="shared" si="468"/>
        <v>set</v>
      </c>
      <c r="N3990">
        <f t="shared" si="469"/>
        <v>2025</v>
      </c>
      <c r="O3990" s="2"/>
      <c r="P3990" t="str">
        <f t="shared" si="466"/>
        <v>182145909</v>
      </c>
    </row>
    <row r="3991" spans="1:16" x14ac:dyDescent="0.3">
      <c r="A3991">
        <v>1821</v>
      </c>
      <c r="B3991">
        <v>28</v>
      </c>
      <c r="C3991" t="s">
        <v>15</v>
      </c>
      <c r="D3991" t="s">
        <v>29</v>
      </c>
      <c r="E3991" t="s">
        <v>17</v>
      </c>
      <c r="F3991" t="s">
        <v>21</v>
      </c>
      <c r="G3991" t="s">
        <v>41</v>
      </c>
      <c r="H3991" t="s">
        <v>25</v>
      </c>
      <c r="I3991" s="1">
        <v>3</v>
      </c>
      <c r="J3991" s="2">
        <v>45994</v>
      </c>
      <c r="K3991" s="2">
        <v>45992</v>
      </c>
      <c r="L3991" s="1" t="str">
        <f t="shared" si="467"/>
        <v>qua</v>
      </c>
      <c r="M3991" s="1" t="str">
        <f t="shared" si="468"/>
        <v>dez</v>
      </c>
      <c r="N3991">
        <f t="shared" si="469"/>
        <v>2025</v>
      </c>
      <c r="O3991" s="2"/>
      <c r="P3991" t="str">
        <f t="shared" si="466"/>
        <v>182145994</v>
      </c>
    </row>
    <row r="3992" spans="1:16" x14ac:dyDescent="0.3">
      <c r="A3992">
        <v>1821</v>
      </c>
      <c r="B3992">
        <v>28</v>
      </c>
      <c r="C3992" t="s">
        <v>15</v>
      </c>
      <c r="D3992" t="s">
        <v>29</v>
      </c>
      <c r="E3992" t="s">
        <v>17</v>
      </c>
      <c r="F3992" t="s">
        <v>21</v>
      </c>
      <c r="G3992" t="s">
        <v>41</v>
      </c>
      <c r="H3992" t="s">
        <v>25</v>
      </c>
      <c r="I3992" s="1">
        <v>3</v>
      </c>
      <c r="J3992" s="2">
        <v>46054</v>
      </c>
      <c r="K3992" s="2">
        <v>46054</v>
      </c>
      <c r="L3992" s="1" t="str">
        <f t="shared" si="467"/>
        <v>dom</v>
      </c>
      <c r="M3992" s="1" t="str">
        <f t="shared" si="468"/>
        <v>fev</v>
      </c>
      <c r="N3992">
        <f t="shared" si="469"/>
        <v>2026</v>
      </c>
      <c r="O3992" s="2"/>
      <c r="P3992" t="str">
        <f t="shared" si="466"/>
        <v>182146054</v>
      </c>
    </row>
    <row r="3993" spans="1:16" x14ac:dyDescent="0.3">
      <c r="A3993">
        <v>1821</v>
      </c>
      <c r="B3993">
        <v>28</v>
      </c>
      <c r="C3993" t="s">
        <v>15</v>
      </c>
      <c r="D3993" t="s">
        <v>29</v>
      </c>
      <c r="E3993" t="s">
        <v>17</v>
      </c>
      <c r="F3993" t="s">
        <v>21</v>
      </c>
      <c r="G3993" t="s">
        <v>41</v>
      </c>
      <c r="H3993" t="s">
        <v>25</v>
      </c>
      <c r="I3993" s="1">
        <v>3</v>
      </c>
      <c r="J3993" s="2">
        <v>46100</v>
      </c>
      <c r="K3993" s="2">
        <v>46082</v>
      </c>
      <c r="L3993" s="1" t="str">
        <f t="shared" si="467"/>
        <v>qui</v>
      </c>
      <c r="M3993" s="1" t="str">
        <f t="shared" si="468"/>
        <v>mar</v>
      </c>
      <c r="N3993">
        <f t="shared" si="469"/>
        <v>2026</v>
      </c>
      <c r="O3993" s="2"/>
      <c r="P3993" t="str">
        <f t="shared" si="466"/>
        <v>182146100</v>
      </c>
    </row>
    <row r="3994" spans="1:16" x14ac:dyDescent="0.3">
      <c r="A3994">
        <v>1821</v>
      </c>
      <c r="B3994">
        <v>28</v>
      </c>
      <c r="C3994" t="s">
        <v>15</v>
      </c>
      <c r="D3994" t="s">
        <v>29</v>
      </c>
      <c r="E3994" t="s">
        <v>17</v>
      </c>
      <c r="F3994" t="s">
        <v>21</v>
      </c>
      <c r="G3994" t="s">
        <v>41</v>
      </c>
      <c r="H3994" t="s">
        <v>25</v>
      </c>
      <c r="I3994" s="1">
        <v>3</v>
      </c>
      <c r="J3994" s="2">
        <v>46111</v>
      </c>
      <c r="K3994" s="2">
        <v>46082</v>
      </c>
      <c r="L3994" s="1" t="str">
        <f t="shared" si="467"/>
        <v>seg</v>
      </c>
      <c r="M3994" s="1" t="str">
        <f t="shared" si="468"/>
        <v>mar</v>
      </c>
      <c r="N3994">
        <f t="shared" si="469"/>
        <v>2026</v>
      </c>
      <c r="O3994" s="2"/>
      <c r="P3994" t="str">
        <f t="shared" si="466"/>
        <v>182146111</v>
      </c>
    </row>
    <row r="3995" spans="1:16" x14ac:dyDescent="0.3">
      <c r="A3995">
        <v>1821</v>
      </c>
      <c r="B3995">
        <v>28</v>
      </c>
      <c r="C3995" t="s">
        <v>15</v>
      </c>
      <c r="D3995" t="s">
        <v>29</v>
      </c>
      <c r="E3995" t="s">
        <v>17</v>
      </c>
      <c r="F3995" t="s">
        <v>21</v>
      </c>
      <c r="G3995" t="s">
        <v>41</v>
      </c>
      <c r="H3995" t="s">
        <v>25</v>
      </c>
      <c r="I3995" s="1">
        <v>3</v>
      </c>
      <c r="J3995" s="2">
        <v>46166</v>
      </c>
      <c r="K3995" s="2">
        <v>46143</v>
      </c>
      <c r="L3995" s="1" t="str">
        <f t="shared" si="467"/>
        <v>dom</v>
      </c>
      <c r="M3995" s="1" t="str">
        <f t="shared" si="468"/>
        <v>mai</v>
      </c>
      <c r="N3995">
        <f t="shared" si="469"/>
        <v>2026</v>
      </c>
      <c r="O3995" s="2"/>
      <c r="P3995" t="str">
        <f t="shared" si="466"/>
        <v>182146166</v>
      </c>
    </row>
    <row r="3996" spans="1:16" x14ac:dyDescent="0.3">
      <c r="A3996">
        <v>1822</v>
      </c>
      <c r="B3996">
        <v>29</v>
      </c>
      <c r="C3996" t="s">
        <v>26</v>
      </c>
      <c r="D3996" t="s">
        <v>29</v>
      </c>
      <c r="E3996" t="s">
        <v>17</v>
      </c>
      <c r="F3996" t="s">
        <v>21</v>
      </c>
      <c r="G3996" t="s">
        <v>41</v>
      </c>
      <c r="H3996" t="s">
        <v>20</v>
      </c>
      <c r="I3996" s="1">
        <v>3</v>
      </c>
      <c r="J3996" s="2">
        <v>45672</v>
      </c>
      <c r="K3996" s="2">
        <v>45658</v>
      </c>
      <c r="L3996" s="1" t="str">
        <f t="shared" si="467"/>
        <v>qua</v>
      </c>
      <c r="M3996" s="1" t="str">
        <f t="shared" si="468"/>
        <v>jan</v>
      </c>
      <c r="N3996">
        <f t="shared" si="469"/>
        <v>2025</v>
      </c>
      <c r="O3996" s="2">
        <f>_xlfn.XLOOKUP(A3996,Colaboradores!$A:$A,Colaboradores!$S:$S,"",0)</f>
        <v>45800</v>
      </c>
      <c r="P3996" t="str">
        <f t="shared" si="466"/>
        <v>182245672</v>
      </c>
    </row>
    <row r="3997" spans="1:16" x14ac:dyDescent="0.3">
      <c r="A3997">
        <v>1822</v>
      </c>
      <c r="B3997">
        <v>29</v>
      </c>
      <c r="C3997" t="s">
        <v>26</v>
      </c>
      <c r="D3997" t="s">
        <v>29</v>
      </c>
      <c r="E3997" t="s">
        <v>17</v>
      </c>
      <c r="F3997" t="s">
        <v>21</v>
      </c>
      <c r="G3997" t="s">
        <v>57</v>
      </c>
      <c r="H3997" t="s">
        <v>20</v>
      </c>
      <c r="I3997" s="1">
        <v>3</v>
      </c>
      <c r="J3997" s="2">
        <v>45734</v>
      </c>
      <c r="K3997" s="2">
        <v>45717</v>
      </c>
      <c r="L3997" s="1" t="str">
        <f t="shared" si="467"/>
        <v>ter</v>
      </c>
      <c r="M3997" s="1" t="str">
        <f t="shared" si="468"/>
        <v>mar</v>
      </c>
      <c r="N3997">
        <f t="shared" si="469"/>
        <v>2025</v>
      </c>
      <c r="O3997" s="2">
        <f>_xlfn.XLOOKUP(A3997,Colaboradores!$A:$A,Colaboradores!$S:$S,"",0)</f>
        <v>45800</v>
      </c>
      <c r="P3997" t="str">
        <f t="shared" si="466"/>
        <v>182245734</v>
      </c>
    </row>
    <row r="3998" spans="1:16" x14ac:dyDescent="0.3">
      <c r="A3998">
        <v>1822</v>
      </c>
      <c r="B3998">
        <v>29</v>
      </c>
      <c r="C3998" t="s">
        <v>26</v>
      </c>
      <c r="D3998" t="s">
        <v>29</v>
      </c>
      <c r="E3998" t="s">
        <v>17</v>
      </c>
      <c r="F3998" t="s">
        <v>21</v>
      </c>
      <c r="G3998" t="s">
        <v>41</v>
      </c>
      <c r="H3998" t="s">
        <v>20</v>
      </c>
      <c r="I3998" s="1">
        <v>3</v>
      </c>
      <c r="J3998" s="2">
        <v>45785</v>
      </c>
      <c r="K3998" s="2">
        <v>45778</v>
      </c>
      <c r="L3998" s="1" t="str">
        <f t="shared" si="467"/>
        <v>qui</v>
      </c>
      <c r="M3998" s="1" t="str">
        <f t="shared" si="468"/>
        <v>mai</v>
      </c>
      <c r="N3998">
        <f t="shared" si="469"/>
        <v>2025</v>
      </c>
      <c r="O3998" s="2">
        <f>_xlfn.XLOOKUP(A3998,Colaboradores!$A:$A,Colaboradores!$S:$S,"",0)</f>
        <v>45800</v>
      </c>
      <c r="P3998" t="str">
        <f t="shared" si="466"/>
        <v>182245785</v>
      </c>
    </row>
    <row r="3999" spans="1:16" x14ac:dyDescent="0.3">
      <c r="A3999">
        <v>1822</v>
      </c>
      <c r="B3999">
        <v>29</v>
      </c>
      <c r="C3999" t="s">
        <v>26</v>
      </c>
      <c r="D3999" t="s">
        <v>29</v>
      </c>
      <c r="E3999" t="s">
        <v>17</v>
      </c>
      <c r="F3999" t="s">
        <v>21</v>
      </c>
      <c r="G3999" t="s">
        <v>41</v>
      </c>
      <c r="H3999" t="s">
        <v>20</v>
      </c>
      <c r="I3999" s="1">
        <v>3</v>
      </c>
      <c r="J3999" s="2">
        <v>45791</v>
      </c>
      <c r="K3999" s="2">
        <v>45778</v>
      </c>
      <c r="L3999" s="1" t="str">
        <f t="shared" si="467"/>
        <v>qua</v>
      </c>
      <c r="M3999" s="1" t="str">
        <f t="shared" si="468"/>
        <v>mai</v>
      </c>
      <c r="N3999">
        <f t="shared" si="469"/>
        <v>2025</v>
      </c>
      <c r="O3999" s="2">
        <f>_xlfn.XLOOKUP(A3999,Colaboradores!$A:$A,Colaboradores!$S:$S,"",0)</f>
        <v>45800</v>
      </c>
      <c r="P3999" t="str">
        <f t="shared" si="466"/>
        <v>182245791</v>
      </c>
    </row>
    <row r="4000" spans="1:16" x14ac:dyDescent="0.3">
      <c r="A4000">
        <v>1822</v>
      </c>
      <c r="B4000">
        <v>29</v>
      </c>
      <c r="C4000" t="s">
        <v>26</v>
      </c>
      <c r="D4000" t="s">
        <v>29</v>
      </c>
      <c r="E4000" t="s">
        <v>17</v>
      </c>
      <c r="F4000" t="s">
        <v>21</v>
      </c>
      <c r="G4000" t="s">
        <v>41</v>
      </c>
      <c r="H4000" t="s">
        <v>20</v>
      </c>
      <c r="I4000" s="1">
        <v>3</v>
      </c>
      <c r="J4000" s="2">
        <v>45795</v>
      </c>
      <c r="K4000" s="2">
        <v>45778</v>
      </c>
      <c r="L4000" s="1" t="str">
        <f t="shared" si="467"/>
        <v>dom</v>
      </c>
      <c r="M4000" s="1" t="str">
        <f t="shared" si="468"/>
        <v>mai</v>
      </c>
      <c r="N4000">
        <f t="shared" si="469"/>
        <v>2025</v>
      </c>
      <c r="O4000" s="2">
        <f>_xlfn.XLOOKUP(A4000,Colaboradores!$A:$A,Colaboradores!$S:$S,"",0)</f>
        <v>45800</v>
      </c>
      <c r="P4000" t="str">
        <f t="shared" si="466"/>
        <v>182245795</v>
      </c>
    </row>
    <row r="4001" spans="1:16" x14ac:dyDescent="0.3">
      <c r="A4001">
        <v>1822</v>
      </c>
      <c r="B4001">
        <v>29</v>
      </c>
      <c r="C4001" t="s">
        <v>26</v>
      </c>
      <c r="D4001" t="s">
        <v>29</v>
      </c>
      <c r="E4001" t="s">
        <v>17</v>
      </c>
      <c r="F4001" t="s">
        <v>21</v>
      </c>
      <c r="G4001" t="s">
        <v>41</v>
      </c>
      <c r="H4001" t="s">
        <v>20</v>
      </c>
      <c r="I4001" s="1">
        <v>3</v>
      </c>
      <c r="J4001" s="2">
        <v>45798</v>
      </c>
      <c r="K4001" s="2">
        <v>45778</v>
      </c>
      <c r="L4001" s="1" t="str">
        <f t="shared" si="467"/>
        <v>qua</v>
      </c>
      <c r="M4001" s="1" t="str">
        <f t="shared" si="468"/>
        <v>mai</v>
      </c>
      <c r="N4001">
        <f t="shared" si="469"/>
        <v>2025</v>
      </c>
      <c r="O4001" s="2">
        <f>_xlfn.XLOOKUP(A4001,Colaboradores!$A:$A,Colaboradores!$S:$S,"",0)</f>
        <v>45800</v>
      </c>
      <c r="P4001" t="str">
        <f t="shared" si="466"/>
        <v>182245798</v>
      </c>
    </row>
    <row r="4002" spans="1:16" x14ac:dyDescent="0.3">
      <c r="A4002">
        <v>1826</v>
      </c>
      <c r="B4002">
        <v>26</v>
      </c>
      <c r="C4002" t="s">
        <v>26</v>
      </c>
      <c r="D4002" t="s">
        <v>29</v>
      </c>
      <c r="E4002" t="s">
        <v>17</v>
      </c>
      <c r="F4002" t="s">
        <v>18</v>
      </c>
      <c r="G4002" t="s">
        <v>57</v>
      </c>
      <c r="H4002" t="s">
        <v>20</v>
      </c>
      <c r="I4002" s="1">
        <v>1</v>
      </c>
      <c r="J4002" s="2">
        <v>45768</v>
      </c>
      <c r="K4002" s="2">
        <v>45748</v>
      </c>
      <c r="L4002" s="1" t="str">
        <f t="shared" si="467"/>
        <v>seg</v>
      </c>
      <c r="M4002" s="1" t="str">
        <f t="shared" si="468"/>
        <v>abr</v>
      </c>
      <c r="N4002">
        <f t="shared" si="469"/>
        <v>2025</v>
      </c>
      <c r="O4002" s="2">
        <f>_xlfn.XLOOKUP(A4002,Colaboradores!$A:$A,Colaboradores!$S:$S,"",0)</f>
        <v>45835</v>
      </c>
      <c r="P4002" t="str">
        <f t="shared" si="466"/>
        <v>182645768</v>
      </c>
    </row>
    <row r="4003" spans="1:16" x14ac:dyDescent="0.3">
      <c r="A4003">
        <v>1826</v>
      </c>
      <c r="B4003">
        <v>26</v>
      </c>
      <c r="C4003" t="s">
        <v>26</v>
      </c>
      <c r="D4003" t="s">
        <v>29</v>
      </c>
      <c r="E4003" t="s">
        <v>17</v>
      </c>
      <c r="F4003" t="s">
        <v>18</v>
      </c>
      <c r="G4003" t="s">
        <v>41</v>
      </c>
      <c r="H4003" t="s">
        <v>20</v>
      </c>
      <c r="I4003" s="1">
        <v>1</v>
      </c>
      <c r="J4003" s="2">
        <v>45797</v>
      </c>
      <c r="K4003" s="2">
        <v>45778</v>
      </c>
      <c r="L4003" s="1" t="str">
        <f t="shared" si="467"/>
        <v>ter</v>
      </c>
      <c r="M4003" s="1" t="str">
        <f t="shared" si="468"/>
        <v>mai</v>
      </c>
      <c r="N4003">
        <f t="shared" si="469"/>
        <v>2025</v>
      </c>
      <c r="O4003" s="2">
        <f>_xlfn.XLOOKUP(A4003,Colaboradores!$A:$A,Colaboradores!$S:$S,"",0)</f>
        <v>45835</v>
      </c>
      <c r="P4003" t="str">
        <f t="shared" si="466"/>
        <v>182645797</v>
      </c>
    </row>
    <row r="4004" spans="1:16" x14ac:dyDescent="0.3">
      <c r="A4004">
        <v>1826</v>
      </c>
      <c r="B4004">
        <v>26</v>
      </c>
      <c r="C4004" t="s">
        <v>26</v>
      </c>
      <c r="D4004" t="s">
        <v>29</v>
      </c>
      <c r="E4004" t="s">
        <v>17</v>
      </c>
      <c r="F4004" t="s">
        <v>18</v>
      </c>
      <c r="G4004" t="s">
        <v>41</v>
      </c>
      <c r="H4004" t="s">
        <v>20</v>
      </c>
      <c r="I4004" s="1">
        <v>1</v>
      </c>
      <c r="J4004" s="2">
        <v>45826</v>
      </c>
      <c r="K4004" s="2">
        <v>45809</v>
      </c>
      <c r="L4004" s="1" t="str">
        <f t="shared" si="467"/>
        <v>qua</v>
      </c>
      <c r="M4004" s="1" t="str">
        <f t="shared" si="468"/>
        <v>jun</v>
      </c>
      <c r="N4004">
        <f t="shared" si="469"/>
        <v>2025</v>
      </c>
      <c r="O4004" s="2">
        <f>_xlfn.XLOOKUP(A4004,Colaboradores!$A:$A,Colaboradores!$S:$S,"",0)</f>
        <v>45835</v>
      </c>
      <c r="P4004" t="str">
        <f t="shared" si="466"/>
        <v>182645826</v>
      </c>
    </row>
    <row r="4005" spans="1:16" x14ac:dyDescent="0.3">
      <c r="A4005">
        <v>1826</v>
      </c>
      <c r="B4005">
        <v>26</v>
      </c>
      <c r="C4005" t="s">
        <v>26</v>
      </c>
      <c r="D4005" t="s">
        <v>29</v>
      </c>
      <c r="E4005" t="s">
        <v>17</v>
      </c>
      <c r="F4005" t="s">
        <v>18</v>
      </c>
      <c r="G4005" t="s">
        <v>41</v>
      </c>
      <c r="H4005" t="s">
        <v>20</v>
      </c>
      <c r="I4005" s="1">
        <v>1</v>
      </c>
      <c r="J4005" s="2">
        <v>45827</v>
      </c>
      <c r="K4005" s="2">
        <v>45809</v>
      </c>
      <c r="L4005" s="1" t="str">
        <f t="shared" ref="L4005:L4016" si="470">TEXT(J4005,"ddd")</f>
        <v>qui</v>
      </c>
      <c r="M4005" s="1" t="str">
        <f t="shared" ref="M4005:M4016" si="471">TEXT($J4005,"mmm")</f>
        <v>jun</v>
      </c>
      <c r="N4005">
        <f t="shared" ref="N4005:N4016" si="472">YEAR(J4005)</f>
        <v>2025</v>
      </c>
      <c r="O4005" s="2">
        <f>_xlfn.XLOOKUP(A4005,Colaboradores!$A:$A,Colaboradores!$S:$S,"",0)</f>
        <v>45835</v>
      </c>
      <c r="P4005" t="str">
        <f t="shared" si="466"/>
        <v>182645827</v>
      </c>
    </row>
    <row r="4006" spans="1:16" x14ac:dyDescent="0.3">
      <c r="A4006">
        <v>1826</v>
      </c>
      <c r="B4006">
        <v>26</v>
      </c>
      <c r="C4006" t="s">
        <v>26</v>
      </c>
      <c r="D4006" t="s">
        <v>29</v>
      </c>
      <c r="E4006" t="s">
        <v>17</v>
      </c>
      <c r="F4006" t="s">
        <v>18</v>
      </c>
      <c r="G4006" t="s">
        <v>41</v>
      </c>
      <c r="H4006" t="s">
        <v>20</v>
      </c>
      <c r="I4006" s="1">
        <v>1</v>
      </c>
      <c r="J4006" s="2">
        <v>45828</v>
      </c>
      <c r="K4006" s="2">
        <v>45809</v>
      </c>
      <c r="L4006" s="1" t="str">
        <f t="shared" si="470"/>
        <v>sex</v>
      </c>
      <c r="M4006" s="1" t="str">
        <f t="shared" si="471"/>
        <v>jun</v>
      </c>
      <c r="N4006">
        <f t="shared" si="472"/>
        <v>2025</v>
      </c>
      <c r="O4006" s="2">
        <f>_xlfn.XLOOKUP(A4006,Colaboradores!$A:$A,Colaboradores!$S:$S,"",0)</f>
        <v>45835</v>
      </c>
      <c r="P4006" t="str">
        <f t="shared" si="466"/>
        <v>182645828</v>
      </c>
    </row>
    <row r="4007" spans="1:16" x14ac:dyDescent="0.3">
      <c r="A4007">
        <v>1826</v>
      </c>
      <c r="B4007">
        <v>26</v>
      </c>
      <c r="C4007" t="s">
        <v>26</v>
      </c>
      <c r="D4007" t="s">
        <v>29</v>
      </c>
      <c r="E4007" t="s">
        <v>17</v>
      </c>
      <c r="F4007" t="s">
        <v>18</v>
      </c>
      <c r="G4007" t="s">
        <v>41</v>
      </c>
      <c r="H4007" t="s">
        <v>20</v>
      </c>
      <c r="I4007" s="1">
        <v>1</v>
      </c>
      <c r="J4007" s="2">
        <v>45834</v>
      </c>
      <c r="K4007" s="2">
        <v>45809</v>
      </c>
      <c r="L4007" s="1" t="str">
        <f t="shared" si="470"/>
        <v>qui</v>
      </c>
      <c r="M4007" s="1" t="str">
        <f t="shared" si="471"/>
        <v>jun</v>
      </c>
      <c r="N4007">
        <f t="shared" si="472"/>
        <v>2025</v>
      </c>
      <c r="O4007" s="2">
        <f>_xlfn.XLOOKUP(A4007,Colaboradores!$A:$A,Colaboradores!$S:$S,"",0)</f>
        <v>45835</v>
      </c>
      <c r="P4007" t="str">
        <f t="shared" si="466"/>
        <v>182645834</v>
      </c>
    </row>
    <row r="4008" spans="1:16" x14ac:dyDescent="0.3">
      <c r="A4008">
        <v>1827</v>
      </c>
      <c r="B4008">
        <v>46</v>
      </c>
      <c r="C4008" t="s">
        <v>15</v>
      </c>
      <c r="D4008" t="s">
        <v>22</v>
      </c>
      <c r="E4008" t="s">
        <v>17</v>
      </c>
      <c r="F4008" t="s">
        <v>23</v>
      </c>
      <c r="G4008" t="s">
        <v>41</v>
      </c>
      <c r="H4008" t="s">
        <v>25</v>
      </c>
      <c r="I4008" s="1">
        <v>2</v>
      </c>
      <c r="J4008" s="2">
        <v>45910</v>
      </c>
      <c r="K4008" s="2">
        <v>45901</v>
      </c>
      <c r="L4008" s="1" t="str">
        <f t="shared" si="470"/>
        <v>qua</v>
      </c>
      <c r="M4008" s="1" t="str">
        <f t="shared" si="471"/>
        <v>set</v>
      </c>
      <c r="N4008">
        <f t="shared" si="472"/>
        <v>2025</v>
      </c>
      <c r="O4008" s="2"/>
      <c r="P4008" t="str">
        <f t="shared" si="466"/>
        <v>182745910</v>
      </c>
    </row>
    <row r="4009" spans="1:16" x14ac:dyDescent="0.3">
      <c r="A4009">
        <v>1827</v>
      </c>
      <c r="B4009">
        <v>46</v>
      </c>
      <c r="C4009" t="s">
        <v>15</v>
      </c>
      <c r="D4009" t="s">
        <v>22</v>
      </c>
      <c r="E4009" t="s">
        <v>17</v>
      </c>
      <c r="F4009" t="s">
        <v>23</v>
      </c>
      <c r="G4009" t="s">
        <v>41</v>
      </c>
      <c r="H4009" t="s">
        <v>25</v>
      </c>
      <c r="I4009" s="1">
        <v>2</v>
      </c>
      <c r="J4009" s="2">
        <v>45923</v>
      </c>
      <c r="K4009" s="2">
        <v>45901</v>
      </c>
      <c r="L4009" s="1" t="str">
        <f t="shared" si="470"/>
        <v>ter</v>
      </c>
      <c r="M4009" s="1" t="str">
        <f t="shared" si="471"/>
        <v>set</v>
      </c>
      <c r="N4009">
        <f t="shared" si="472"/>
        <v>2025</v>
      </c>
      <c r="O4009" s="2"/>
      <c r="P4009" t="str">
        <f t="shared" si="466"/>
        <v>182745923</v>
      </c>
    </row>
    <row r="4010" spans="1:16" x14ac:dyDescent="0.3">
      <c r="A4010">
        <v>1827</v>
      </c>
      <c r="B4010">
        <v>46</v>
      </c>
      <c r="C4010" t="s">
        <v>15</v>
      </c>
      <c r="D4010" t="s">
        <v>22</v>
      </c>
      <c r="E4010" t="s">
        <v>17</v>
      </c>
      <c r="F4010" t="s">
        <v>23</v>
      </c>
      <c r="G4010" t="s">
        <v>41</v>
      </c>
      <c r="H4010" t="s">
        <v>25</v>
      </c>
      <c r="I4010" s="1">
        <v>2</v>
      </c>
      <c r="J4010" s="2">
        <v>46008</v>
      </c>
      <c r="K4010" s="2">
        <v>45992</v>
      </c>
      <c r="L4010" s="1" t="str">
        <f t="shared" si="470"/>
        <v>qua</v>
      </c>
      <c r="M4010" s="1" t="str">
        <f t="shared" si="471"/>
        <v>dez</v>
      </c>
      <c r="N4010">
        <f t="shared" si="472"/>
        <v>2025</v>
      </c>
      <c r="O4010" s="2"/>
      <c r="P4010" t="str">
        <f t="shared" si="466"/>
        <v>182746008</v>
      </c>
    </row>
    <row r="4011" spans="1:16" x14ac:dyDescent="0.3">
      <c r="A4011">
        <v>1827</v>
      </c>
      <c r="B4011">
        <v>46</v>
      </c>
      <c r="C4011" t="s">
        <v>15</v>
      </c>
      <c r="D4011" t="s">
        <v>22</v>
      </c>
      <c r="E4011" t="s">
        <v>17</v>
      </c>
      <c r="F4011" t="s">
        <v>23</v>
      </c>
      <c r="G4011" t="s">
        <v>41</v>
      </c>
      <c r="H4011" t="s">
        <v>25</v>
      </c>
      <c r="I4011" s="1">
        <v>2</v>
      </c>
      <c r="J4011" s="2">
        <v>46020</v>
      </c>
      <c r="K4011" s="2">
        <v>45992</v>
      </c>
      <c r="L4011" s="1" t="str">
        <f t="shared" si="470"/>
        <v>seg</v>
      </c>
      <c r="M4011" s="1" t="str">
        <f t="shared" si="471"/>
        <v>dez</v>
      </c>
      <c r="N4011">
        <f t="shared" si="472"/>
        <v>2025</v>
      </c>
      <c r="O4011" s="2"/>
      <c r="P4011" t="str">
        <f t="shared" si="466"/>
        <v>182746020</v>
      </c>
    </row>
    <row r="4012" spans="1:16" x14ac:dyDescent="0.3">
      <c r="A4012">
        <v>1827</v>
      </c>
      <c r="B4012">
        <v>46</v>
      </c>
      <c r="C4012" t="s">
        <v>15</v>
      </c>
      <c r="D4012" t="s">
        <v>22</v>
      </c>
      <c r="E4012" t="s">
        <v>17</v>
      </c>
      <c r="F4012" t="s">
        <v>23</v>
      </c>
      <c r="G4012" t="s">
        <v>41</v>
      </c>
      <c r="H4012" t="s">
        <v>25</v>
      </c>
      <c r="I4012" s="1">
        <v>2</v>
      </c>
      <c r="J4012" s="2">
        <v>46055</v>
      </c>
      <c r="K4012" s="2">
        <v>46054</v>
      </c>
      <c r="L4012" s="1" t="str">
        <f t="shared" si="470"/>
        <v>seg</v>
      </c>
      <c r="M4012" s="1" t="str">
        <f t="shared" si="471"/>
        <v>fev</v>
      </c>
      <c r="N4012">
        <f t="shared" si="472"/>
        <v>2026</v>
      </c>
      <c r="O4012" s="2"/>
      <c r="P4012" t="str">
        <f t="shared" si="466"/>
        <v>182746055</v>
      </c>
    </row>
    <row r="4013" spans="1:16" x14ac:dyDescent="0.3">
      <c r="A4013">
        <v>1828</v>
      </c>
      <c r="B4013">
        <v>49</v>
      </c>
      <c r="C4013" t="s">
        <v>26</v>
      </c>
      <c r="D4013" t="s">
        <v>27</v>
      </c>
      <c r="E4013" t="s">
        <v>17</v>
      </c>
      <c r="F4013" t="s">
        <v>18</v>
      </c>
      <c r="G4013" t="s">
        <v>41</v>
      </c>
      <c r="H4013" t="s">
        <v>25</v>
      </c>
      <c r="I4013" s="1">
        <v>1</v>
      </c>
      <c r="J4013" s="2">
        <v>45776</v>
      </c>
      <c r="K4013" s="2">
        <v>45748</v>
      </c>
      <c r="L4013" s="1" t="str">
        <f t="shared" si="470"/>
        <v>ter</v>
      </c>
      <c r="M4013" s="1" t="str">
        <f t="shared" si="471"/>
        <v>abr</v>
      </c>
      <c r="N4013">
        <f t="shared" si="472"/>
        <v>2025</v>
      </c>
      <c r="O4013" s="2"/>
      <c r="P4013" t="str">
        <f t="shared" si="466"/>
        <v>182845776</v>
      </c>
    </row>
    <row r="4014" spans="1:16" x14ac:dyDescent="0.3">
      <c r="A4014">
        <v>1828</v>
      </c>
      <c r="B4014">
        <v>49</v>
      </c>
      <c r="C4014" t="s">
        <v>26</v>
      </c>
      <c r="D4014" t="s">
        <v>27</v>
      </c>
      <c r="E4014" t="s">
        <v>17</v>
      </c>
      <c r="F4014" t="s">
        <v>18</v>
      </c>
      <c r="G4014" t="s">
        <v>41</v>
      </c>
      <c r="H4014" t="s">
        <v>25</v>
      </c>
      <c r="I4014" s="1">
        <v>1</v>
      </c>
      <c r="J4014" s="2">
        <v>45864</v>
      </c>
      <c r="K4014" s="2">
        <v>45839</v>
      </c>
      <c r="L4014" s="1" t="str">
        <f t="shared" si="470"/>
        <v>sáb</v>
      </c>
      <c r="M4014" s="1" t="str">
        <f t="shared" si="471"/>
        <v>jul</v>
      </c>
      <c r="N4014">
        <f t="shared" si="472"/>
        <v>2025</v>
      </c>
      <c r="O4014" s="2"/>
      <c r="P4014" t="str">
        <f t="shared" si="466"/>
        <v>182845864</v>
      </c>
    </row>
    <row r="4015" spans="1:16" x14ac:dyDescent="0.3">
      <c r="A4015">
        <v>1828</v>
      </c>
      <c r="B4015">
        <v>49</v>
      </c>
      <c r="C4015" t="s">
        <v>26</v>
      </c>
      <c r="D4015" t="s">
        <v>27</v>
      </c>
      <c r="E4015" t="s">
        <v>17</v>
      </c>
      <c r="F4015" t="s">
        <v>18</v>
      </c>
      <c r="G4015" t="s">
        <v>41</v>
      </c>
      <c r="H4015" t="s">
        <v>25</v>
      </c>
      <c r="I4015" s="1">
        <v>1</v>
      </c>
      <c r="J4015" s="2">
        <v>45883</v>
      </c>
      <c r="K4015" s="2">
        <v>45870</v>
      </c>
      <c r="L4015" s="1" t="str">
        <f t="shared" si="470"/>
        <v>qui</v>
      </c>
      <c r="M4015" s="1" t="str">
        <f t="shared" si="471"/>
        <v>ago</v>
      </c>
      <c r="N4015">
        <f t="shared" si="472"/>
        <v>2025</v>
      </c>
      <c r="O4015" s="2"/>
      <c r="P4015" t="str">
        <f t="shared" si="466"/>
        <v>182845883</v>
      </c>
    </row>
    <row r="4016" spans="1:16" x14ac:dyDescent="0.3">
      <c r="A4016">
        <v>1828</v>
      </c>
      <c r="B4016">
        <v>49</v>
      </c>
      <c r="C4016" t="s">
        <v>26</v>
      </c>
      <c r="D4016" t="s">
        <v>27</v>
      </c>
      <c r="E4016" t="s">
        <v>17</v>
      </c>
      <c r="F4016" t="s">
        <v>18</v>
      </c>
      <c r="G4016" t="s">
        <v>41</v>
      </c>
      <c r="H4016" t="s">
        <v>25</v>
      </c>
      <c r="I4016" s="1">
        <v>1</v>
      </c>
      <c r="J4016" s="2">
        <v>46007</v>
      </c>
      <c r="K4016" s="2">
        <v>45992</v>
      </c>
      <c r="L4016" s="1" t="str">
        <f t="shared" si="470"/>
        <v>ter</v>
      </c>
      <c r="M4016" s="1" t="str">
        <f t="shared" si="471"/>
        <v>dez</v>
      </c>
      <c r="N4016">
        <f t="shared" si="472"/>
        <v>2025</v>
      </c>
      <c r="O4016" s="2"/>
      <c r="P4016" t="str">
        <f t="shared" si="466"/>
        <v>182846007</v>
      </c>
    </row>
    <row r="4017" spans="1:16" x14ac:dyDescent="0.3">
      <c r="A4017">
        <v>1828</v>
      </c>
      <c r="B4017">
        <v>49</v>
      </c>
      <c r="C4017" t="s">
        <v>26</v>
      </c>
      <c r="D4017" t="s">
        <v>27</v>
      </c>
      <c r="E4017" t="s">
        <v>17</v>
      </c>
      <c r="F4017" t="s">
        <v>18</v>
      </c>
      <c r="G4017" t="s">
        <v>41</v>
      </c>
      <c r="H4017" t="s">
        <v>25</v>
      </c>
      <c r="I4017" s="1">
        <v>1</v>
      </c>
      <c r="J4017" s="2">
        <v>46141</v>
      </c>
      <c r="K4017" s="2">
        <v>46113</v>
      </c>
      <c r="L4017" s="1" t="s">
        <v>50</v>
      </c>
      <c r="M4017" s="1" t="s">
        <v>48</v>
      </c>
      <c r="N4017">
        <v>2025</v>
      </c>
      <c r="O4017" s="2"/>
      <c r="P4017" t="str">
        <f t="shared" si="466"/>
        <v>182846141</v>
      </c>
    </row>
    <row r="4018" spans="1:16" x14ac:dyDescent="0.3">
      <c r="A4018">
        <v>1829</v>
      </c>
      <c r="B4018">
        <v>52</v>
      </c>
      <c r="C4018" t="s">
        <v>26</v>
      </c>
      <c r="D4018" t="s">
        <v>16</v>
      </c>
      <c r="E4018" t="s">
        <v>17</v>
      </c>
      <c r="F4018" t="s">
        <v>18</v>
      </c>
      <c r="G4018" t="s">
        <v>41</v>
      </c>
      <c r="H4018" t="s">
        <v>25</v>
      </c>
      <c r="I4018" s="1">
        <v>1</v>
      </c>
      <c r="J4018" s="2">
        <v>45822</v>
      </c>
      <c r="K4018" s="2">
        <v>45809</v>
      </c>
      <c r="L4018" s="1" t="str">
        <f t="shared" ref="L4018:L4059" si="473">TEXT(J4018,"ddd")</f>
        <v>sáb</v>
      </c>
      <c r="M4018" s="1" t="str">
        <f t="shared" ref="M4018:M4059" si="474">TEXT($J4018,"mmm")</f>
        <v>jun</v>
      </c>
      <c r="N4018">
        <f t="shared" ref="N4018:N4059" si="475">YEAR(J4018)</f>
        <v>2025</v>
      </c>
      <c r="O4018" s="2"/>
      <c r="P4018" t="str">
        <f t="shared" si="466"/>
        <v>182945822</v>
      </c>
    </row>
    <row r="4019" spans="1:16" x14ac:dyDescent="0.3">
      <c r="A4019">
        <v>1829</v>
      </c>
      <c r="B4019">
        <v>52</v>
      </c>
      <c r="C4019" t="s">
        <v>26</v>
      </c>
      <c r="D4019" t="s">
        <v>16</v>
      </c>
      <c r="E4019" t="s">
        <v>17</v>
      </c>
      <c r="F4019" t="s">
        <v>18</v>
      </c>
      <c r="G4019" t="s">
        <v>41</v>
      </c>
      <c r="H4019" t="s">
        <v>25</v>
      </c>
      <c r="I4019" s="1">
        <v>1</v>
      </c>
      <c r="J4019" s="2">
        <v>45864</v>
      </c>
      <c r="K4019" s="2">
        <v>45839</v>
      </c>
      <c r="L4019" s="1" t="str">
        <f t="shared" si="473"/>
        <v>sáb</v>
      </c>
      <c r="M4019" s="1" t="str">
        <f t="shared" si="474"/>
        <v>jul</v>
      </c>
      <c r="N4019">
        <f t="shared" si="475"/>
        <v>2025</v>
      </c>
      <c r="O4019" s="2"/>
      <c r="P4019" t="str">
        <f t="shared" si="466"/>
        <v>182945864</v>
      </c>
    </row>
    <row r="4020" spans="1:16" x14ac:dyDescent="0.3">
      <c r="A4020">
        <v>1829</v>
      </c>
      <c r="B4020">
        <v>52</v>
      </c>
      <c r="C4020" t="s">
        <v>26</v>
      </c>
      <c r="D4020" t="s">
        <v>16</v>
      </c>
      <c r="E4020" t="s">
        <v>17</v>
      </c>
      <c r="F4020" t="s">
        <v>18</v>
      </c>
      <c r="G4020" t="s">
        <v>41</v>
      </c>
      <c r="H4020" t="s">
        <v>25</v>
      </c>
      <c r="I4020" s="1">
        <v>1</v>
      </c>
      <c r="J4020" s="2">
        <v>45969</v>
      </c>
      <c r="K4020" s="2">
        <v>45962</v>
      </c>
      <c r="L4020" s="1" t="str">
        <f t="shared" si="473"/>
        <v>sáb</v>
      </c>
      <c r="M4020" s="1" t="str">
        <f t="shared" si="474"/>
        <v>nov</v>
      </c>
      <c r="N4020">
        <f t="shared" si="475"/>
        <v>2025</v>
      </c>
      <c r="O4020" s="2"/>
      <c r="P4020" t="str">
        <f t="shared" si="466"/>
        <v>182945969</v>
      </c>
    </row>
    <row r="4021" spans="1:16" x14ac:dyDescent="0.3">
      <c r="A4021">
        <v>1829</v>
      </c>
      <c r="B4021">
        <v>52</v>
      </c>
      <c r="C4021" t="s">
        <v>26</v>
      </c>
      <c r="D4021" t="s">
        <v>16</v>
      </c>
      <c r="E4021" t="s">
        <v>17</v>
      </c>
      <c r="F4021" t="s">
        <v>18</v>
      </c>
      <c r="G4021" t="s">
        <v>41</v>
      </c>
      <c r="H4021" t="s">
        <v>25</v>
      </c>
      <c r="I4021" s="1">
        <v>1</v>
      </c>
      <c r="J4021" s="2">
        <v>46179</v>
      </c>
      <c r="K4021" s="2">
        <v>46023</v>
      </c>
      <c r="L4021" s="1" t="str">
        <f t="shared" si="473"/>
        <v>sáb</v>
      </c>
      <c r="M4021" s="1" t="str">
        <f t="shared" si="474"/>
        <v>jun</v>
      </c>
      <c r="N4021">
        <f t="shared" si="475"/>
        <v>2026</v>
      </c>
      <c r="O4021" s="2"/>
      <c r="P4021" t="str">
        <f t="shared" si="466"/>
        <v>182946179</v>
      </c>
    </row>
    <row r="4022" spans="1:16" x14ac:dyDescent="0.3">
      <c r="A4022">
        <v>1829</v>
      </c>
      <c r="B4022">
        <v>52</v>
      </c>
      <c r="C4022" t="s">
        <v>26</v>
      </c>
      <c r="D4022" t="s">
        <v>16</v>
      </c>
      <c r="E4022" t="s">
        <v>17</v>
      </c>
      <c r="F4022" t="s">
        <v>18</v>
      </c>
      <c r="G4022" t="s">
        <v>41</v>
      </c>
      <c r="H4022" t="s">
        <v>25</v>
      </c>
      <c r="I4022" s="1">
        <v>1</v>
      </c>
      <c r="J4022" s="2">
        <v>46067</v>
      </c>
      <c r="K4022" s="2">
        <v>46054</v>
      </c>
      <c r="L4022" s="1" t="str">
        <f t="shared" si="473"/>
        <v>sáb</v>
      </c>
      <c r="M4022" s="1" t="str">
        <f t="shared" si="474"/>
        <v>fev</v>
      </c>
      <c r="N4022">
        <f t="shared" si="475"/>
        <v>2026</v>
      </c>
      <c r="O4022" s="2"/>
      <c r="P4022" t="str">
        <f t="shared" si="466"/>
        <v>182946067</v>
      </c>
    </row>
    <row r="4023" spans="1:16" x14ac:dyDescent="0.3">
      <c r="A4023">
        <v>1829</v>
      </c>
      <c r="B4023">
        <v>52</v>
      </c>
      <c r="C4023" t="s">
        <v>26</v>
      </c>
      <c r="D4023" t="s">
        <v>16</v>
      </c>
      <c r="E4023" t="s">
        <v>17</v>
      </c>
      <c r="F4023" t="s">
        <v>18</v>
      </c>
      <c r="G4023" t="s">
        <v>41</v>
      </c>
      <c r="H4023" t="s">
        <v>25</v>
      </c>
      <c r="I4023" s="1">
        <v>1</v>
      </c>
      <c r="J4023" s="2">
        <v>46094</v>
      </c>
      <c r="K4023" s="2">
        <v>46082</v>
      </c>
      <c r="L4023" s="1" t="str">
        <f t="shared" si="473"/>
        <v>sex</v>
      </c>
      <c r="M4023" s="1" t="str">
        <f t="shared" si="474"/>
        <v>mar</v>
      </c>
      <c r="N4023">
        <f t="shared" si="475"/>
        <v>2026</v>
      </c>
      <c r="O4023" s="2"/>
      <c r="P4023" t="str">
        <f t="shared" si="466"/>
        <v>182946094</v>
      </c>
    </row>
    <row r="4024" spans="1:16" x14ac:dyDescent="0.3">
      <c r="A4024">
        <v>1831</v>
      </c>
      <c r="B4024">
        <v>23</v>
      </c>
      <c r="C4024" t="s">
        <v>26</v>
      </c>
      <c r="D4024" t="s">
        <v>22</v>
      </c>
      <c r="E4024" t="s">
        <v>17</v>
      </c>
      <c r="F4024" t="s">
        <v>23</v>
      </c>
      <c r="G4024" t="s">
        <v>41</v>
      </c>
      <c r="H4024" t="s">
        <v>20</v>
      </c>
      <c r="I4024" s="1">
        <v>1</v>
      </c>
      <c r="J4024" s="2">
        <v>45771</v>
      </c>
      <c r="K4024" s="2">
        <v>45748</v>
      </c>
      <c r="L4024" s="1" t="str">
        <f t="shared" si="473"/>
        <v>qui</v>
      </c>
      <c r="M4024" s="1" t="str">
        <f t="shared" si="474"/>
        <v>abr</v>
      </c>
      <c r="N4024">
        <f t="shared" si="475"/>
        <v>2025</v>
      </c>
      <c r="O4024" s="2">
        <f>_xlfn.XLOOKUP(A4024,Colaboradores!$A:$A,Colaboradores!$S:$S,"",0)</f>
        <v>45932</v>
      </c>
      <c r="P4024" t="str">
        <f t="shared" si="466"/>
        <v>183145771</v>
      </c>
    </row>
    <row r="4025" spans="1:16" x14ac:dyDescent="0.3">
      <c r="A4025">
        <v>1831</v>
      </c>
      <c r="B4025">
        <v>23</v>
      </c>
      <c r="C4025" t="s">
        <v>26</v>
      </c>
      <c r="D4025" t="s">
        <v>22</v>
      </c>
      <c r="E4025" t="s">
        <v>17</v>
      </c>
      <c r="F4025" t="s">
        <v>23</v>
      </c>
      <c r="G4025" t="s">
        <v>41</v>
      </c>
      <c r="H4025" t="s">
        <v>20</v>
      </c>
      <c r="I4025" s="1">
        <v>1</v>
      </c>
      <c r="J4025" s="2">
        <v>45869</v>
      </c>
      <c r="K4025" s="2">
        <v>45839</v>
      </c>
      <c r="L4025" s="1" t="str">
        <f t="shared" si="473"/>
        <v>qui</v>
      </c>
      <c r="M4025" s="1" t="str">
        <f t="shared" si="474"/>
        <v>jul</v>
      </c>
      <c r="N4025">
        <f t="shared" si="475"/>
        <v>2025</v>
      </c>
      <c r="O4025" s="2">
        <f>_xlfn.XLOOKUP(A4025,Colaboradores!$A:$A,Colaboradores!$S:$S,"",0)</f>
        <v>45932</v>
      </c>
      <c r="P4025" t="str">
        <f t="shared" si="466"/>
        <v>183145869</v>
      </c>
    </row>
    <row r="4026" spans="1:16" x14ac:dyDescent="0.3">
      <c r="A4026">
        <v>1831</v>
      </c>
      <c r="B4026">
        <v>23</v>
      </c>
      <c r="C4026" t="s">
        <v>26</v>
      </c>
      <c r="D4026" t="s">
        <v>22</v>
      </c>
      <c r="E4026" t="s">
        <v>17</v>
      </c>
      <c r="F4026" t="s">
        <v>23</v>
      </c>
      <c r="G4026" t="s">
        <v>41</v>
      </c>
      <c r="H4026" t="s">
        <v>20</v>
      </c>
      <c r="I4026" s="1">
        <v>1</v>
      </c>
      <c r="J4026" s="2">
        <v>45906</v>
      </c>
      <c r="K4026" s="2">
        <v>45901</v>
      </c>
      <c r="L4026" s="1" t="str">
        <f t="shared" si="473"/>
        <v>sáb</v>
      </c>
      <c r="M4026" s="1" t="str">
        <f t="shared" si="474"/>
        <v>set</v>
      </c>
      <c r="N4026">
        <f t="shared" si="475"/>
        <v>2025</v>
      </c>
      <c r="O4026" s="2">
        <f>_xlfn.XLOOKUP(A4026,Colaboradores!$A:$A,Colaboradores!$S:$S,"",0)</f>
        <v>45932</v>
      </c>
      <c r="P4026" t="str">
        <f t="shared" si="466"/>
        <v>183145906</v>
      </c>
    </row>
    <row r="4027" spans="1:16" x14ac:dyDescent="0.3">
      <c r="A4027">
        <v>1831</v>
      </c>
      <c r="B4027">
        <v>23</v>
      </c>
      <c r="C4027" t="s">
        <v>26</v>
      </c>
      <c r="D4027" t="s">
        <v>22</v>
      </c>
      <c r="E4027" t="s">
        <v>17</v>
      </c>
      <c r="F4027" t="s">
        <v>23</v>
      </c>
      <c r="G4027" t="s">
        <v>41</v>
      </c>
      <c r="H4027" t="s">
        <v>20</v>
      </c>
      <c r="I4027" s="1">
        <v>1</v>
      </c>
      <c r="J4027" s="2">
        <v>45908</v>
      </c>
      <c r="K4027" s="2">
        <v>45901</v>
      </c>
      <c r="L4027" s="1" t="str">
        <f t="shared" si="473"/>
        <v>seg</v>
      </c>
      <c r="M4027" s="1" t="str">
        <f t="shared" si="474"/>
        <v>set</v>
      </c>
      <c r="N4027">
        <f t="shared" si="475"/>
        <v>2025</v>
      </c>
      <c r="O4027" s="2">
        <f>_xlfn.XLOOKUP(A4027,Colaboradores!$A:$A,Colaboradores!$S:$S,"",0)</f>
        <v>45932</v>
      </c>
      <c r="P4027" t="str">
        <f t="shared" si="466"/>
        <v>183145908</v>
      </c>
    </row>
    <row r="4028" spans="1:16" x14ac:dyDescent="0.3">
      <c r="A4028">
        <v>1831</v>
      </c>
      <c r="B4028">
        <v>23</v>
      </c>
      <c r="C4028" t="s">
        <v>26</v>
      </c>
      <c r="D4028" t="s">
        <v>22</v>
      </c>
      <c r="E4028" t="s">
        <v>17</v>
      </c>
      <c r="F4028" t="s">
        <v>23</v>
      </c>
      <c r="G4028" t="s">
        <v>41</v>
      </c>
      <c r="H4028" t="s">
        <v>20</v>
      </c>
      <c r="I4028" s="1">
        <v>1</v>
      </c>
      <c r="J4028" s="2">
        <v>45909</v>
      </c>
      <c r="K4028" s="2">
        <v>45901</v>
      </c>
      <c r="L4028" s="1" t="str">
        <f t="shared" si="473"/>
        <v>ter</v>
      </c>
      <c r="M4028" s="1" t="str">
        <f t="shared" si="474"/>
        <v>set</v>
      </c>
      <c r="N4028">
        <f t="shared" si="475"/>
        <v>2025</v>
      </c>
      <c r="O4028" s="2">
        <f>_xlfn.XLOOKUP(A4028,Colaboradores!$A:$A,Colaboradores!$S:$S,"",0)</f>
        <v>45932</v>
      </c>
      <c r="P4028" t="str">
        <f t="shared" si="466"/>
        <v>183145909</v>
      </c>
    </row>
    <row r="4029" spans="1:16" x14ac:dyDescent="0.3">
      <c r="A4029">
        <v>1831</v>
      </c>
      <c r="B4029">
        <v>23</v>
      </c>
      <c r="C4029" t="s">
        <v>26</v>
      </c>
      <c r="D4029" t="s">
        <v>22</v>
      </c>
      <c r="E4029" t="s">
        <v>17</v>
      </c>
      <c r="F4029" t="s">
        <v>23</v>
      </c>
      <c r="G4029" t="s">
        <v>41</v>
      </c>
      <c r="H4029" t="s">
        <v>20</v>
      </c>
      <c r="I4029" s="1">
        <v>1</v>
      </c>
      <c r="J4029" s="2">
        <v>45914</v>
      </c>
      <c r="K4029" s="2">
        <v>45901</v>
      </c>
      <c r="L4029" s="1" t="str">
        <f t="shared" si="473"/>
        <v>dom</v>
      </c>
      <c r="M4029" s="1" t="str">
        <f t="shared" si="474"/>
        <v>set</v>
      </c>
      <c r="N4029">
        <f t="shared" si="475"/>
        <v>2025</v>
      </c>
      <c r="O4029" s="2">
        <f>_xlfn.XLOOKUP(A4029,Colaboradores!$A:$A,Colaboradores!$S:$S,"",0)</f>
        <v>45932</v>
      </c>
      <c r="P4029" t="str">
        <f t="shared" si="466"/>
        <v>183145914</v>
      </c>
    </row>
    <row r="4030" spans="1:16" x14ac:dyDescent="0.3">
      <c r="A4030">
        <v>1832</v>
      </c>
      <c r="B4030">
        <v>26</v>
      </c>
      <c r="C4030" t="s">
        <v>15</v>
      </c>
      <c r="D4030" t="s">
        <v>22</v>
      </c>
      <c r="E4030" t="s">
        <v>17</v>
      </c>
      <c r="F4030" t="s">
        <v>23</v>
      </c>
      <c r="G4030" t="s">
        <v>41</v>
      </c>
      <c r="H4030" t="s">
        <v>25</v>
      </c>
      <c r="I4030" s="1">
        <v>1</v>
      </c>
      <c r="J4030" s="2">
        <v>45894</v>
      </c>
      <c r="K4030" s="2">
        <v>45870</v>
      </c>
      <c r="L4030" s="1" t="str">
        <f t="shared" si="473"/>
        <v>seg</v>
      </c>
      <c r="M4030" s="1" t="str">
        <f t="shared" si="474"/>
        <v>ago</v>
      </c>
      <c r="N4030">
        <f t="shared" si="475"/>
        <v>2025</v>
      </c>
      <c r="O4030" s="2"/>
      <c r="P4030" t="str">
        <f t="shared" ref="P4030:P4093" si="476">CONCATENATE(A4030,J4030)</f>
        <v>183245894</v>
      </c>
    </row>
    <row r="4031" spans="1:16" x14ac:dyDescent="0.3">
      <c r="A4031">
        <v>1832</v>
      </c>
      <c r="B4031">
        <v>26</v>
      </c>
      <c r="C4031" t="s">
        <v>15</v>
      </c>
      <c r="D4031" t="s">
        <v>22</v>
      </c>
      <c r="E4031" t="s">
        <v>17</v>
      </c>
      <c r="F4031" t="s">
        <v>23</v>
      </c>
      <c r="G4031" t="s">
        <v>41</v>
      </c>
      <c r="H4031" t="s">
        <v>25</v>
      </c>
      <c r="I4031" s="1">
        <v>1</v>
      </c>
      <c r="J4031" s="2">
        <v>45906</v>
      </c>
      <c r="K4031" s="2">
        <v>45901</v>
      </c>
      <c r="L4031" s="1" t="str">
        <f t="shared" si="473"/>
        <v>sáb</v>
      </c>
      <c r="M4031" s="1" t="str">
        <f t="shared" si="474"/>
        <v>set</v>
      </c>
      <c r="N4031">
        <f t="shared" si="475"/>
        <v>2025</v>
      </c>
      <c r="O4031" s="2"/>
      <c r="P4031" t="str">
        <f t="shared" si="476"/>
        <v>183245906</v>
      </c>
    </row>
    <row r="4032" spans="1:16" x14ac:dyDescent="0.3">
      <c r="A4032">
        <v>1832</v>
      </c>
      <c r="B4032">
        <v>26</v>
      </c>
      <c r="C4032" t="s">
        <v>15</v>
      </c>
      <c r="D4032" t="s">
        <v>22</v>
      </c>
      <c r="E4032" t="s">
        <v>17</v>
      </c>
      <c r="F4032" t="s">
        <v>23</v>
      </c>
      <c r="G4032" t="s">
        <v>41</v>
      </c>
      <c r="H4032" t="s">
        <v>25</v>
      </c>
      <c r="I4032" s="1">
        <v>1</v>
      </c>
      <c r="J4032" s="2">
        <v>45999</v>
      </c>
      <c r="K4032" s="2">
        <v>45992</v>
      </c>
      <c r="L4032" s="1" t="str">
        <f t="shared" si="473"/>
        <v>seg</v>
      </c>
      <c r="M4032" s="1" t="str">
        <f t="shared" si="474"/>
        <v>dez</v>
      </c>
      <c r="N4032">
        <f t="shared" si="475"/>
        <v>2025</v>
      </c>
      <c r="O4032" s="2"/>
      <c r="P4032" t="str">
        <f t="shared" si="476"/>
        <v>183245999</v>
      </c>
    </row>
    <row r="4033" spans="1:16" x14ac:dyDescent="0.3">
      <c r="A4033">
        <v>1832</v>
      </c>
      <c r="B4033">
        <v>26</v>
      </c>
      <c r="C4033" t="s">
        <v>15</v>
      </c>
      <c r="D4033" t="s">
        <v>22</v>
      </c>
      <c r="E4033" t="s">
        <v>17</v>
      </c>
      <c r="F4033" t="s">
        <v>23</v>
      </c>
      <c r="G4033" t="s">
        <v>41</v>
      </c>
      <c r="H4033" t="s">
        <v>25</v>
      </c>
      <c r="I4033" s="1">
        <v>1</v>
      </c>
      <c r="J4033" s="2">
        <v>46181</v>
      </c>
      <c r="K4033" s="2">
        <v>46023</v>
      </c>
      <c r="L4033" s="1" t="str">
        <f t="shared" si="473"/>
        <v>seg</v>
      </c>
      <c r="M4033" s="1" t="str">
        <f t="shared" si="474"/>
        <v>jun</v>
      </c>
      <c r="N4033">
        <f t="shared" si="475"/>
        <v>2026</v>
      </c>
      <c r="O4033" s="2"/>
      <c r="P4033" t="str">
        <f t="shared" si="476"/>
        <v>183246181</v>
      </c>
    </row>
    <row r="4034" spans="1:16" x14ac:dyDescent="0.3">
      <c r="A4034">
        <v>1834</v>
      </c>
      <c r="B4034">
        <v>33</v>
      </c>
      <c r="C4034" t="s">
        <v>26</v>
      </c>
      <c r="D4034" t="s">
        <v>29</v>
      </c>
      <c r="E4034" t="s">
        <v>17</v>
      </c>
      <c r="F4034" t="s">
        <v>21</v>
      </c>
      <c r="G4034" t="s">
        <v>41</v>
      </c>
      <c r="H4034" t="s">
        <v>25</v>
      </c>
      <c r="I4034" s="1">
        <v>1</v>
      </c>
      <c r="J4034" s="2">
        <v>45843</v>
      </c>
      <c r="K4034" s="2">
        <v>45839</v>
      </c>
      <c r="L4034" s="1" t="str">
        <f t="shared" si="473"/>
        <v>sáb</v>
      </c>
      <c r="M4034" s="1" t="str">
        <f t="shared" si="474"/>
        <v>jul</v>
      </c>
      <c r="N4034">
        <f t="shared" si="475"/>
        <v>2025</v>
      </c>
      <c r="O4034" s="2"/>
      <c r="P4034" t="str">
        <f t="shared" si="476"/>
        <v>183445843</v>
      </c>
    </row>
    <row r="4035" spans="1:16" x14ac:dyDescent="0.3">
      <c r="A4035">
        <v>1834</v>
      </c>
      <c r="B4035">
        <v>33</v>
      </c>
      <c r="C4035" t="s">
        <v>26</v>
      </c>
      <c r="D4035" t="s">
        <v>29</v>
      </c>
      <c r="E4035" t="s">
        <v>17</v>
      </c>
      <c r="F4035" t="s">
        <v>21</v>
      </c>
      <c r="G4035" t="s">
        <v>41</v>
      </c>
      <c r="H4035" t="s">
        <v>25</v>
      </c>
      <c r="I4035" s="1">
        <v>1</v>
      </c>
      <c r="J4035" s="2">
        <v>45928</v>
      </c>
      <c r="K4035" s="2">
        <v>45901</v>
      </c>
      <c r="L4035" s="1" t="str">
        <f t="shared" si="473"/>
        <v>dom</v>
      </c>
      <c r="M4035" s="1" t="str">
        <f t="shared" si="474"/>
        <v>set</v>
      </c>
      <c r="N4035">
        <f t="shared" si="475"/>
        <v>2025</v>
      </c>
      <c r="O4035" s="2"/>
      <c r="P4035" t="str">
        <f t="shared" si="476"/>
        <v>183445928</v>
      </c>
    </row>
    <row r="4036" spans="1:16" x14ac:dyDescent="0.3">
      <c r="A4036">
        <v>1834</v>
      </c>
      <c r="B4036">
        <v>33</v>
      </c>
      <c r="C4036" t="s">
        <v>26</v>
      </c>
      <c r="D4036" t="s">
        <v>29</v>
      </c>
      <c r="E4036" t="s">
        <v>17</v>
      </c>
      <c r="F4036" t="s">
        <v>21</v>
      </c>
      <c r="G4036" t="s">
        <v>41</v>
      </c>
      <c r="H4036" t="s">
        <v>25</v>
      </c>
      <c r="I4036" s="1">
        <v>1</v>
      </c>
      <c r="J4036" s="2">
        <v>45956</v>
      </c>
      <c r="K4036" s="2">
        <v>45931</v>
      </c>
      <c r="L4036" s="1" t="str">
        <f t="shared" si="473"/>
        <v>dom</v>
      </c>
      <c r="M4036" s="1" t="str">
        <f t="shared" si="474"/>
        <v>out</v>
      </c>
      <c r="N4036">
        <f t="shared" si="475"/>
        <v>2025</v>
      </c>
      <c r="O4036" s="2"/>
      <c r="P4036" t="str">
        <f t="shared" si="476"/>
        <v>183445956</v>
      </c>
    </row>
    <row r="4037" spans="1:16" x14ac:dyDescent="0.3">
      <c r="A4037">
        <v>1834</v>
      </c>
      <c r="B4037">
        <v>33</v>
      </c>
      <c r="C4037" t="s">
        <v>26</v>
      </c>
      <c r="D4037" t="s">
        <v>29</v>
      </c>
      <c r="E4037" t="s">
        <v>17</v>
      </c>
      <c r="F4037" t="s">
        <v>21</v>
      </c>
      <c r="G4037" t="s">
        <v>41</v>
      </c>
      <c r="H4037" t="s">
        <v>25</v>
      </c>
      <c r="I4037" s="1">
        <v>1</v>
      </c>
      <c r="J4037" s="2">
        <v>46179</v>
      </c>
      <c r="K4037" s="2">
        <v>46023</v>
      </c>
      <c r="L4037" s="1" t="str">
        <f t="shared" si="473"/>
        <v>sáb</v>
      </c>
      <c r="M4037" s="1" t="str">
        <f t="shared" si="474"/>
        <v>jun</v>
      </c>
      <c r="N4037">
        <f t="shared" si="475"/>
        <v>2026</v>
      </c>
      <c r="O4037" s="2"/>
      <c r="P4037" t="str">
        <f t="shared" si="476"/>
        <v>183446179</v>
      </c>
    </row>
    <row r="4038" spans="1:16" x14ac:dyDescent="0.3">
      <c r="A4038">
        <v>1834</v>
      </c>
      <c r="B4038">
        <v>33</v>
      </c>
      <c r="C4038" t="s">
        <v>26</v>
      </c>
      <c r="D4038" t="s">
        <v>29</v>
      </c>
      <c r="E4038" t="s">
        <v>17</v>
      </c>
      <c r="F4038" t="s">
        <v>21</v>
      </c>
      <c r="G4038" t="s">
        <v>41</v>
      </c>
      <c r="H4038" t="s">
        <v>25</v>
      </c>
      <c r="I4038" s="1">
        <v>1</v>
      </c>
      <c r="J4038" s="2">
        <v>46196</v>
      </c>
      <c r="K4038" s="2">
        <v>46023</v>
      </c>
      <c r="L4038" s="1" t="str">
        <f t="shared" si="473"/>
        <v>ter</v>
      </c>
      <c r="M4038" s="1" t="str">
        <f t="shared" si="474"/>
        <v>jun</v>
      </c>
      <c r="N4038">
        <f t="shared" si="475"/>
        <v>2026</v>
      </c>
      <c r="O4038" s="2"/>
      <c r="P4038" t="str">
        <f t="shared" si="476"/>
        <v>183446196</v>
      </c>
    </row>
    <row r="4039" spans="1:16" x14ac:dyDescent="0.3">
      <c r="A4039">
        <v>1835</v>
      </c>
      <c r="B4039">
        <v>41</v>
      </c>
      <c r="C4039" t="s">
        <v>26</v>
      </c>
      <c r="D4039" t="s">
        <v>31</v>
      </c>
      <c r="E4039" t="s">
        <v>34</v>
      </c>
      <c r="F4039" t="s">
        <v>21</v>
      </c>
      <c r="G4039" t="s">
        <v>41</v>
      </c>
      <c r="H4039" t="s">
        <v>20</v>
      </c>
      <c r="I4039" s="1">
        <v>1</v>
      </c>
      <c r="J4039" s="2">
        <v>45794</v>
      </c>
      <c r="K4039" s="2">
        <v>45778</v>
      </c>
      <c r="L4039" s="1" t="str">
        <f t="shared" si="473"/>
        <v>sáb</v>
      </c>
      <c r="M4039" s="1" t="str">
        <f t="shared" si="474"/>
        <v>mai</v>
      </c>
      <c r="N4039">
        <f t="shared" si="475"/>
        <v>2025</v>
      </c>
      <c r="O4039" s="2">
        <f>_xlfn.XLOOKUP(A4039,Colaboradores!$A:$A,Colaboradores!$S:$S,"",0)</f>
        <v>45957</v>
      </c>
      <c r="P4039" t="str">
        <f t="shared" si="476"/>
        <v>183545794</v>
      </c>
    </row>
    <row r="4040" spans="1:16" x14ac:dyDescent="0.3">
      <c r="A4040">
        <v>1835</v>
      </c>
      <c r="B4040">
        <v>41</v>
      </c>
      <c r="C4040" t="s">
        <v>26</v>
      </c>
      <c r="D4040" t="s">
        <v>31</v>
      </c>
      <c r="E4040" t="s">
        <v>34</v>
      </c>
      <c r="F4040" t="s">
        <v>21</v>
      </c>
      <c r="G4040" t="s">
        <v>41</v>
      </c>
      <c r="H4040" t="s">
        <v>20</v>
      </c>
      <c r="I4040" s="1">
        <v>1</v>
      </c>
      <c r="J4040" s="2">
        <v>45809</v>
      </c>
      <c r="K4040" s="2">
        <v>45809</v>
      </c>
      <c r="L4040" s="1" t="str">
        <f t="shared" si="473"/>
        <v>dom</v>
      </c>
      <c r="M4040" s="1" t="str">
        <f t="shared" si="474"/>
        <v>jun</v>
      </c>
      <c r="N4040">
        <f t="shared" si="475"/>
        <v>2025</v>
      </c>
      <c r="O4040" s="2">
        <f>_xlfn.XLOOKUP(A4040,Colaboradores!$A:$A,Colaboradores!$S:$S,"",0)</f>
        <v>45957</v>
      </c>
      <c r="P4040" t="str">
        <f t="shared" si="476"/>
        <v>183545809</v>
      </c>
    </row>
    <row r="4041" spans="1:16" x14ac:dyDescent="0.3">
      <c r="A4041">
        <v>1835</v>
      </c>
      <c r="B4041">
        <v>41</v>
      </c>
      <c r="C4041" t="s">
        <v>26</v>
      </c>
      <c r="D4041" t="s">
        <v>31</v>
      </c>
      <c r="E4041" t="s">
        <v>34</v>
      </c>
      <c r="F4041" t="s">
        <v>21</v>
      </c>
      <c r="G4041" t="s">
        <v>41</v>
      </c>
      <c r="H4041" t="s">
        <v>20</v>
      </c>
      <c r="I4041" s="1">
        <v>1</v>
      </c>
      <c r="J4041" s="2">
        <v>45890</v>
      </c>
      <c r="K4041" s="2">
        <v>45870</v>
      </c>
      <c r="L4041" s="1" t="str">
        <f t="shared" si="473"/>
        <v>qui</v>
      </c>
      <c r="M4041" s="1" t="str">
        <f t="shared" si="474"/>
        <v>ago</v>
      </c>
      <c r="N4041">
        <f t="shared" si="475"/>
        <v>2025</v>
      </c>
      <c r="O4041" s="2">
        <f>_xlfn.XLOOKUP(A4041,Colaboradores!$A:$A,Colaboradores!$S:$S,"",0)</f>
        <v>45957</v>
      </c>
      <c r="P4041" t="str">
        <f t="shared" si="476"/>
        <v>183545890</v>
      </c>
    </row>
    <row r="4042" spans="1:16" x14ac:dyDescent="0.3">
      <c r="A4042">
        <v>1835</v>
      </c>
      <c r="B4042">
        <v>41</v>
      </c>
      <c r="C4042" t="s">
        <v>26</v>
      </c>
      <c r="D4042" t="s">
        <v>31</v>
      </c>
      <c r="E4042" t="s">
        <v>34</v>
      </c>
      <c r="F4042" t="s">
        <v>21</v>
      </c>
      <c r="G4042" t="s">
        <v>41</v>
      </c>
      <c r="H4042" t="s">
        <v>20</v>
      </c>
      <c r="I4042" s="1">
        <v>1</v>
      </c>
      <c r="J4042" s="2">
        <v>45906</v>
      </c>
      <c r="K4042" s="2">
        <v>45901</v>
      </c>
      <c r="L4042" s="1" t="str">
        <f t="shared" si="473"/>
        <v>sáb</v>
      </c>
      <c r="M4042" s="1" t="str">
        <f t="shared" si="474"/>
        <v>set</v>
      </c>
      <c r="N4042">
        <f t="shared" si="475"/>
        <v>2025</v>
      </c>
      <c r="O4042" s="2">
        <f>_xlfn.XLOOKUP(A4042,Colaboradores!$A:$A,Colaboradores!$S:$S,"",0)</f>
        <v>45957</v>
      </c>
      <c r="P4042" t="str">
        <f t="shared" si="476"/>
        <v>183545906</v>
      </c>
    </row>
    <row r="4043" spans="1:16" x14ac:dyDescent="0.3">
      <c r="A4043">
        <v>1835</v>
      </c>
      <c r="B4043">
        <v>41</v>
      </c>
      <c r="C4043" t="s">
        <v>26</v>
      </c>
      <c r="D4043" t="s">
        <v>31</v>
      </c>
      <c r="E4043" t="s">
        <v>34</v>
      </c>
      <c r="F4043" t="s">
        <v>21</v>
      </c>
      <c r="G4043" t="s">
        <v>41</v>
      </c>
      <c r="H4043" t="s">
        <v>20</v>
      </c>
      <c r="I4043" s="1">
        <v>1</v>
      </c>
      <c r="J4043" s="2">
        <v>45950</v>
      </c>
      <c r="K4043" s="2">
        <v>45931</v>
      </c>
      <c r="L4043" s="1" t="str">
        <f t="shared" si="473"/>
        <v>seg</v>
      </c>
      <c r="M4043" s="1" t="str">
        <f t="shared" si="474"/>
        <v>out</v>
      </c>
      <c r="N4043">
        <f t="shared" si="475"/>
        <v>2025</v>
      </c>
      <c r="O4043" s="2">
        <f>_xlfn.XLOOKUP(A4043,Colaboradores!$A:$A,Colaboradores!$S:$S,"",0)</f>
        <v>45957</v>
      </c>
      <c r="P4043" t="str">
        <f t="shared" si="476"/>
        <v>183545950</v>
      </c>
    </row>
    <row r="4044" spans="1:16" x14ac:dyDescent="0.3">
      <c r="A4044">
        <v>1835</v>
      </c>
      <c r="B4044">
        <v>41</v>
      </c>
      <c r="C4044" t="s">
        <v>26</v>
      </c>
      <c r="D4044" t="s">
        <v>31</v>
      </c>
      <c r="E4044" t="s">
        <v>34</v>
      </c>
      <c r="F4044" t="s">
        <v>21</v>
      </c>
      <c r="G4044" t="s">
        <v>41</v>
      </c>
      <c r="H4044" t="s">
        <v>20</v>
      </c>
      <c r="I4044" s="1">
        <v>1</v>
      </c>
      <c r="J4044" s="2">
        <v>45951</v>
      </c>
      <c r="K4044" s="2">
        <v>45931</v>
      </c>
      <c r="L4044" s="1" t="str">
        <f t="shared" si="473"/>
        <v>ter</v>
      </c>
      <c r="M4044" s="1" t="str">
        <f t="shared" si="474"/>
        <v>out</v>
      </c>
      <c r="N4044">
        <f t="shared" si="475"/>
        <v>2025</v>
      </c>
      <c r="O4044" s="2">
        <f>_xlfn.XLOOKUP(A4044,Colaboradores!$A:$A,Colaboradores!$S:$S,"",0)</f>
        <v>45957</v>
      </c>
      <c r="P4044" t="str">
        <f t="shared" si="476"/>
        <v>183545951</v>
      </c>
    </row>
    <row r="4045" spans="1:16" x14ac:dyDescent="0.3">
      <c r="A4045">
        <v>1837</v>
      </c>
      <c r="B4045">
        <v>21</v>
      </c>
      <c r="C4045" t="s">
        <v>15</v>
      </c>
      <c r="D4045" t="s">
        <v>16</v>
      </c>
      <c r="E4045" t="s">
        <v>17</v>
      </c>
      <c r="F4045" t="s">
        <v>18</v>
      </c>
      <c r="G4045" t="s">
        <v>41</v>
      </c>
      <c r="H4045" t="s">
        <v>25</v>
      </c>
      <c r="I4045" s="1">
        <v>3</v>
      </c>
      <c r="J4045" s="2">
        <v>45827</v>
      </c>
      <c r="K4045" s="2">
        <v>45809</v>
      </c>
      <c r="L4045" s="1" t="str">
        <f t="shared" si="473"/>
        <v>qui</v>
      </c>
      <c r="M4045" s="1" t="str">
        <f t="shared" si="474"/>
        <v>jun</v>
      </c>
      <c r="N4045">
        <f t="shared" si="475"/>
        <v>2025</v>
      </c>
      <c r="O4045" s="2"/>
      <c r="P4045" t="str">
        <f t="shared" si="476"/>
        <v>183745827</v>
      </c>
    </row>
    <row r="4046" spans="1:16" x14ac:dyDescent="0.3">
      <c r="A4046">
        <v>1837</v>
      </c>
      <c r="B4046">
        <v>21</v>
      </c>
      <c r="C4046" t="s">
        <v>15</v>
      </c>
      <c r="D4046" t="s">
        <v>16</v>
      </c>
      <c r="E4046" t="s">
        <v>17</v>
      </c>
      <c r="F4046" t="s">
        <v>18</v>
      </c>
      <c r="G4046" t="s">
        <v>41</v>
      </c>
      <c r="H4046" t="s">
        <v>25</v>
      </c>
      <c r="I4046" s="1">
        <v>3</v>
      </c>
      <c r="J4046" s="2">
        <v>45846</v>
      </c>
      <c r="K4046" s="2">
        <v>45839</v>
      </c>
      <c r="L4046" s="1" t="str">
        <f t="shared" si="473"/>
        <v>ter</v>
      </c>
      <c r="M4046" s="1" t="str">
        <f t="shared" si="474"/>
        <v>jul</v>
      </c>
      <c r="N4046">
        <f t="shared" si="475"/>
        <v>2025</v>
      </c>
      <c r="O4046" s="2"/>
      <c r="P4046" t="str">
        <f t="shared" si="476"/>
        <v>183745846</v>
      </c>
    </row>
    <row r="4047" spans="1:16" x14ac:dyDescent="0.3">
      <c r="A4047">
        <v>1837</v>
      </c>
      <c r="B4047">
        <v>21</v>
      </c>
      <c r="C4047" t="s">
        <v>15</v>
      </c>
      <c r="D4047" t="s">
        <v>16</v>
      </c>
      <c r="E4047" t="s">
        <v>17</v>
      </c>
      <c r="F4047" t="s">
        <v>18</v>
      </c>
      <c r="G4047" t="s">
        <v>41</v>
      </c>
      <c r="H4047" t="s">
        <v>25</v>
      </c>
      <c r="I4047" s="1">
        <v>3</v>
      </c>
      <c r="J4047" s="2">
        <v>45926</v>
      </c>
      <c r="K4047" s="2">
        <v>45901</v>
      </c>
      <c r="L4047" s="1" t="str">
        <f t="shared" si="473"/>
        <v>sex</v>
      </c>
      <c r="M4047" s="1" t="str">
        <f t="shared" si="474"/>
        <v>set</v>
      </c>
      <c r="N4047">
        <f t="shared" si="475"/>
        <v>2025</v>
      </c>
      <c r="O4047" s="2"/>
      <c r="P4047" t="str">
        <f t="shared" si="476"/>
        <v>183745926</v>
      </c>
    </row>
    <row r="4048" spans="1:16" x14ac:dyDescent="0.3">
      <c r="A4048">
        <v>1837</v>
      </c>
      <c r="B4048">
        <v>21</v>
      </c>
      <c r="C4048" t="s">
        <v>15</v>
      </c>
      <c r="D4048" t="s">
        <v>16</v>
      </c>
      <c r="E4048" t="s">
        <v>17</v>
      </c>
      <c r="F4048" t="s">
        <v>18</v>
      </c>
      <c r="G4048" t="s">
        <v>41</v>
      </c>
      <c r="H4048" t="s">
        <v>25</v>
      </c>
      <c r="I4048" s="1">
        <v>3</v>
      </c>
      <c r="J4048" s="2">
        <v>45970</v>
      </c>
      <c r="K4048" s="2">
        <v>45962</v>
      </c>
      <c r="L4048" s="1" t="str">
        <f t="shared" si="473"/>
        <v>dom</v>
      </c>
      <c r="M4048" s="1" t="str">
        <f t="shared" si="474"/>
        <v>nov</v>
      </c>
      <c r="N4048">
        <f t="shared" si="475"/>
        <v>2025</v>
      </c>
      <c r="O4048" s="2"/>
      <c r="P4048" t="str">
        <f t="shared" si="476"/>
        <v>183745970</v>
      </c>
    </row>
    <row r="4049" spans="1:16" x14ac:dyDescent="0.3">
      <c r="A4049">
        <v>1837</v>
      </c>
      <c r="B4049">
        <v>21</v>
      </c>
      <c r="C4049" t="s">
        <v>15</v>
      </c>
      <c r="D4049" t="s">
        <v>16</v>
      </c>
      <c r="E4049" t="s">
        <v>17</v>
      </c>
      <c r="F4049" t="s">
        <v>18</v>
      </c>
      <c r="G4049" t="s">
        <v>41</v>
      </c>
      <c r="H4049" t="s">
        <v>25</v>
      </c>
      <c r="I4049" s="1">
        <v>3</v>
      </c>
      <c r="J4049" s="2">
        <v>46074</v>
      </c>
      <c r="K4049" s="2">
        <v>46054</v>
      </c>
      <c r="L4049" s="1" t="str">
        <f t="shared" si="473"/>
        <v>sáb</v>
      </c>
      <c r="M4049" s="1" t="str">
        <f t="shared" si="474"/>
        <v>fev</v>
      </c>
      <c r="N4049">
        <f t="shared" si="475"/>
        <v>2026</v>
      </c>
      <c r="O4049" s="2"/>
      <c r="P4049" t="str">
        <f t="shared" si="476"/>
        <v>183746074</v>
      </c>
    </row>
    <row r="4050" spans="1:16" x14ac:dyDescent="0.3">
      <c r="A4050">
        <v>1837</v>
      </c>
      <c r="B4050">
        <v>21</v>
      </c>
      <c r="C4050" t="s">
        <v>15</v>
      </c>
      <c r="D4050" t="s">
        <v>16</v>
      </c>
      <c r="E4050" t="s">
        <v>17</v>
      </c>
      <c r="F4050" t="s">
        <v>18</v>
      </c>
      <c r="G4050" t="s">
        <v>41</v>
      </c>
      <c r="H4050" t="s">
        <v>25</v>
      </c>
      <c r="I4050" s="1">
        <v>3</v>
      </c>
      <c r="J4050" s="2">
        <v>46096</v>
      </c>
      <c r="K4050" s="2">
        <v>46082</v>
      </c>
      <c r="L4050" s="1" t="str">
        <f t="shared" si="473"/>
        <v>dom</v>
      </c>
      <c r="M4050" s="1" t="str">
        <f t="shared" si="474"/>
        <v>mar</v>
      </c>
      <c r="N4050">
        <f t="shared" si="475"/>
        <v>2026</v>
      </c>
      <c r="O4050" s="2"/>
      <c r="P4050" t="str">
        <f t="shared" si="476"/>
        <v>183746096</v>
      </c>
    </row>
    <row r="4051" spans="1:16" x14ac:dyDescent="0.3">
      <c r="A4051">
        <v>1839</v>
      </c>
      <c r="B4051">
        <v>32</v>
      </c>
      <c r="C4051" t="s">
        <v>26</v>
      </c>
      <c r="D4051" t="s">
        <v>27</v>
      </c>
      <c r="E4051" t="s">
        <v>17</v>
      </c>
      <c r="F4051" t="s">
        <v>21</v>
      </c>
      <c r="G4051" t="s">
        <v>41</v>
      </c>
      <c r="H4051" t="s">
        <v>20</v>
      </c>
      <c r="I4051" s="1">
        <v>2</v>
      </c>
      <c r="J4051" s="2">
        <v>45870</v>
      </c>
      <c r="K4051" s="2">
        <v>45870</v>
      </c>
      <c r="L4051" s="1" t="str">
        <f t="shared" si="473"/>
        <v>sex</v>
      </c>
      <c r="M4051" s="1" t="str">
        <f t="shared" si="474"/>
        <v>ago</v>
      </c>
      <c r="N4051">
        <f t="shared" si="475"/>
        <v>2025</v>
      </c>
      <c r="O4051" s="2">
        <f>_xlfn.XLOOKUP(A4051,Colaboradores!$A:$A,Colaboradores!$S:$S,"",0)</f>
        <v>46169</v>
      </c>
      <c r="P4051" t="str">
        <f t="shared" si="476"/>
        <v>183945870</v>
      </c>
    </row>
    <row r="4052" spans="1:16" x14ac:dyDescent="0.3">
      <c r="A4052">
        <v>1839</v>
      </c>
      <c r="B4052">
        <v>32</v>
      </c>
      <c r="C4052" t="s">
        <v>26</v>
      </c>
      <c r="D4052" t="s">
        <v>27</v>
      </c>
      <c r="E4052" t="s">
        <v>17</v>
      </c>
      <c r="F4052" t="s">
        <v>21</v>
      </c>
      <c r="G4052" t="s">
        <v>41</v>
      </c>
      <c r="H4052" t="s">
        <v>20</v>
      </c>
      <c r="I4052" s="1">
        <v>2</v>
      </c>
      <c r="J4052" s="2">
        <v>45872</v>
      </c>
      <c r="K4052" s="2">
        <v>45870</v>
      </c>
      <c r="L4052" s="1" t="str">
        <f t="shared" si="473"/>
        <v>dom</v>
      </c>
      <c r="M4052" s="1" t="str">
        <f t="shared" si="474"/>
        <v>ago</v>
      </c>
      <c r="N4052">
        <f t="shared" si="475"/>
        <v>2025</v>
      </c>
      <c r="O4052" s="2">
        <f>_xlfn.XLOOKUP(A4052,Colaboradores!$A:$A,Colaboradores!$S:$S,"",0)</f>
        <v>46169</v>
      </c>
      <c r="P4052" t="str">
        <f t="shared" si="476"/>
        <v>183945872</v>
      </c>
    </row>
    <row r="4053" spans="1:16" x14ac:dyDescent="0.3">
      <c r="A4053">
        <v>1839</v>
      </c>
      <c r="B4053">
        <v>32</v>
      </c>
      <c r="C4053" t="s">
        <v>26</v>
      </c>
      <c r="D4053" t="s">
        <v>27</v>
      </c>
      <c r="E4053" t="s">
        <v>17</v>
      </c>
      <c r="F4053" t="s">
        <v>21</v>
      </c>
      <c r="G4053" t="s">
        <v>41</v>
      </c>
      <c r="H4053" t="s">
        <v>20</v>
      </c>
      <c r="I4053" s="1">
        <v>2</v>
      </c>
      <c r="J4053" s="2">
        <v>45874</v>
      </c>
      <c r="K4053" s="2">
        <v>45870</v>
      </c>
      <c r="L4053" s="1" t="str">
        <f t="shared" si="473"/>
        <v>ter</v>
      </c>
      <c r="M4053" s="1" t="str">
        <f t="shared" si="474"/>
        <v>ago</v>
      </c>
      <c r="N4053">
        <f t="shared" si="475"/>
        <v>2025</v>
      </c>
      <c r="O4053" s="2">
        <f>_xlfn.XLOOKUP(A4053,Colaboradores!$A:$A,Colaboradores!$S:$S,"",0)</f>
        <v>46169</v>
      </c>
      <c r="P4053" t="str">
        <f t="shared" si="476"/>
        <v>183945874</v>
      </c>
    </row>
    <row r="4054" spans="1:16" x14ac:dyDescent="0.3">
      <c r="A4054">
        <v>1839</v>
      </c>
      <c r="B4054">
        <v>32</v>
      </c>
      <c r="C4054" t="s">
        <v>26</v>
      </c>
      <c r="D4054" t="s">
        <v>27</v>
      </c>
      <c r="E4054" t="s">
        <v>17</v>
      </c>
      <c r="F4054" t="s">
        <v>21</v>
      </c>
      <c r="G4054" t="s">
        <v>41</v>
      </c>
      <c r="H4054" t="s">
        <v>20</v>
      </c>
      <c r="I4054" s="1">
        <v>2</v>
      </c>
      <c r="J4054" s="2">
        <v>45876</v>
      </c>
      <c r="K4054" s="2">
        <v>45870</v>
      </c>
      <c r="L4054" s="1" t="str">
        <f t="shared" si="473"/>
        <v>qui</v>
      </c>
      <c r="M4054" s="1" t="str">
        <f t="shared" si="474"/>
        <v>ago</v>
      </c>
      <c r="N4054">
        <f t="shared" si="475"/>
        <v>2025</v>
      </c>
      <c r="O4054" s="2">
        <f>_xlfn.XLOOKUP(A4054,Colaboradores!$A:$A,Colaboradores!$S:$S,"",0)</f>
        <v>46169</v>
      </c>
      <c r="P4054" t="str">
        <f t="shared" si="476"/>
        <v>183945876</v>
      </c>
    </row>
    <row r="4055" spans="1:16" x14ac:dyDescent="0.3">
      <c r="A4055">
        <v>1839</v>
      </c>
      <c r="B4055">
        <v>32</v>
      </c>
      <c r="C4055" t="s">
        <v>26</v>
      </c>
      <c r="D4055" t="s">
        <v>27</v>
      </c>
      <c r="E4055" t="s">
        <v>17</v>
      </c>
      <c r="F4055" t="s">
        <v>21</v>
      </c>
      <c r="G4055" t="s">
        <v>41</v>
      </c>
      <c r="H4055" t="s">
        <v>20</v>
      </c>
      <c r="I4055" s="1">
        <v>2</v>
      </c>
      <c r="J4055" s="2">
        <v>46007</v>
      </c>
      <c r="K4055" s="2">
        <v>45992</v>
      </c>
      <c r="L4055" s="1" t="str">
        <f t="shared" si="473"/>
        <v>ter</v>
      </c>
      <c r="M4055" s="1" t="str">
        <f t="shared" si="474"/>
        <v>dez</v>
      </c>
      <c r="N4055">
        <f t="shared" si="475"/>
        <v>2025</v>
      </c>
      <c r="O4055" s="2">
        <f>_xlfn.XLOOKUP(A4055,Colaboradores!$A:$A,Colaboradores!$S:$S,"",0)</f>
        <v>46169</v>
      </c>
      <c r="P4055" t="str">
        <f t="shared" si="476"/>
        <v>183946007</v>
      </c>
    </row>
    <row r="4056" spans="1:16" x14ac:dyDescent="0.3">
      <c r="A4056">
        <v>1839</v>
      </c>
      <c r="B4056">
        <v>32</v>
      </c>
      <c r="C4056" t="s">
        <v>26</v>
      </c>
      <c r="D4056" t="s">
        <v>27</v>
      </c>
      <c r="E4056" t="s">
        <v>17</v>
      </c>
      <c r="F4056" t="s">
        <v>21</v>
      </c>
      <c r="G4056" t="s">
        <v>41</v>
      </c>
      <c r="H4056" t="s">
        <v>20</v>
      </c>
      <c r="I4056" s="1">
        <v>2</v>
      </c>
      <c r="J4056" s="2">
        <v>46090</v>
      </c>
      <c r="K4056" s="2">
        <v>46082</v>
      </c>
      <c r="L4056" s="1" t="str">
        <f t="shared" si="473"/>
        <v>seg</v>
      </c>
      <c r="M4056" s="1" t="str">
        <f t="shared" si="474"/>
        <v>mar</v>
      </c>
      <c r="N4056">
        <f t="shared" si="475"/>
        <v>2026</v>
      </c>
      <c r="O4056" s="2">
        <f>_xlfn.XLOOKUP(A4056,Colaboradores!$A:$A,Colaboradores!$S:$S,"",0)</f>
        <v>46169</v>
      </c>
      <c r="P4056" t="str">
        <f t="shared" si="476"/>
        <v>183946090</v>
      </c>
    </row>
    <row r="4057" spans="1:16" x14ac:dyDescent="0.3">
      <c r="A4057">
        <v>1840</v>
      </c>
      <c r="B4057">
        <v>39</v>
      </c>
      <c r="C4057" t="s">
        <v>15</v>
      </c>
      <c r="D4057" t="s">
        <v>31</v>
      </c>
      <c r="E4057" t="s">
        <v>34</v>
      </c>
      <c r="F4057" t="s">
        <v>21</v>
      </c>
      <c r="G4057" t="s">
        <v>41</v>
      </c>
      <c r="H4057" t="s">
        <v>25</v>
      </c>
      <c r="I4057" s="1">
        <v>1</v>
      </c>
      <c r="J4057" s="2">
        <v>45775</v>
      </c>
      <c r="K4057" s="2">
        <v>45748</v>
      </c>
      <c r="L4057" s="1" t="str">
        <f t="shared" si="473"/>
        <v>seg</v>
      </c>
      <c r="M4057" s="1" t="str">
        <f t="shared" si="474"/>
        <v>abr</v>
      </c>
      <c r="N4057">
        <f t="shared" si="475"/>
        <v>2025</v>
      </c>
      <c r="O4057" s="2"/>
      <c r="P4057" t="str">
        <f t="shared" si="476"/>
        <v>184045775</v>
      </c>
    </row>
    <row r="4058" spans="1:16" x14ac:dyDescent="0.3">
      <c r="A4058">
        <v>1840</v>
      </c>
      <c r="B4058">
        <v>39</v>
      </c>
      <c r="C4058" t="s">
        <v>15</v>
      </c>
      <c r="D4058" t="s">
        <v>31</v>
      </c>
      <c r="E4058" t="s">
        <v>34</v>
      </c>
      <c r="F4058" t="s">
        <v>21</v>
      </c>
      <c r="G4058" t="s">
        <v>41</v>
      </c>
      <c r="H4058" t="s">
        <v>25</v>
      </c>
      <c r="I4058" s="1">
        <v>1</v>
      </c>
      <c r="J4058" s="2">
        <v>45934</v>
      </c>
      <c r="K4058" s="2">
        <v>45931</v>
      </c>
      <c r="L4058" s="1" t="str">
        <f t="shared" si="473"/>
        <v>sáb</v>
      </c>
      <c r="M4058" s="1" t="str">
        <f t="shared" si="474"/>
        <v>out</v>
      </c>
      <c r="N4058">
        <f t="shared" si="475"/>
        <v>2025</v>
      </c>
      <c r="O4058" s="2"/>
      <c r="P4058" t="str">
        <f t="shared" si="476"/>
        <v>184045934</v>
      </c>
    </row>
    <row r="4059" spans="1:16" x14ac:dyDescent="0.3">
      <c r="A4059">
        <v>1840</v>
      </c>
      <c r="B4059">
        <v>39</v>
      </c>
      <c r="C4059" t="s">
        <v>15</v>
      </c>
      <c r="D4059" t="s">
        <v>31</v>
      </c>
      <c r="E4059" t="s">
        <v>34</v>
      </c>
      <c r="F4059" t="s">
        <v>21</v>
      </c>
      <c r="G4059" t="s">
        <v>41</v>
      </c>
      <c r="H4059" t="s">
        <v>25</v>
      </c>
      <c r="I4059" s="1">
        <v>1</v>
      </c>
      <c r="J4059" s="2">
        <v>46202</v>
      </c>
      <c r="K4059" s="2">
        <v>46023</v>
      </c>
      <c r="L4059" s="1" t="str">
        <f t="shared" si="473"/>
        <v>seg</v>
      </c>
      <c r="M4059" s="1" t="str">
        <f t="shared" si="474"/>
        <v>jun</v>
      </c>
      <c r="N4059">
        <f t="shared" si="475"/>
        <v>2026</v>
      </c>
      <c r="O4059" s="2"/>
      <c r="P4059" t="str">
        <f t="shared" si="476"/>
        <v>184046202</v>
      </c>
    </row>
    <row r="4060" spans="1:16" x14ac:dyDescent="0.3">
      <c r="A4060">
        <v>1840</v>
      </c>
      <c r="B4060">
        <v>39</v>
      </c>
      <c r="C4060" t="s">
        <v>15</v>
      </c>
      <c r="D4060" t="s">
        <v>31</v>
      </c>
      <c r="E4060" t="s">
        <v>34</v>
      </c>
      <c r="F4060" t="s">
        <v>21</v>
      </c>
      <c r="G4060" t="s">
        <v>41</v>
      </c>
      <c r="H4060" t="s">
        <v>25</v>
      </c>
      <c r="I4060" s="1">
        <v>1</v>
      </c>
      <c r="J4060" s="2">
        <v>46140</v>
      </c>
      <c r="K4060" s="2">
        <v>46113</v>
      </c>
      <c r="L4060" s="1" t="s">
        <v>56</v>
      </c>
      <c r="M4060" s="1" t="s">
        <v>48</v>
      </c>
      <c r="N4060">
        <v>2025</v>
      </c>
      <c r="O4060" s="2"/>
      <c r="P4060" t="str">
        <f t="shared" si="476"/>
        <v>184046140</v>
      </c>
    </row>
    <row r="4061" spans="1:16" x14ac:dyDescent="0.3">
      <c r="A4061">
        <v>1841</v>
      </c>
      <c r="B4061">
        <v>37</v>
      </c>
      <c r="C4061" t="s">
        <v>15</v>
      </c>
      <c r="D4061" t="s">
        <v>29</v>
      </c>
      <c r="E4061" t="s">
        <v>17</v>
      </c>
      <c r="F4061" t="s">
        <v>23</v>
      </c>
      <c r="G4061" t="s">
        <v>41</v>
      </c>
      <c r="H4061" t="s">
        <v>25</v>
      </c>
      <c r="I4061" s="1">
        <v>1</v>
      </c>
      <c r="J4061" s="2">
        <v>45810</v>
      </c>
      <c r="K4061" s="2">
        <v>45809</v>
      </c>
      <c r="L4061" s="1" t="str">
        <f t="shared" ref="L4061:L4092" si="477">TEXT(J4061,"ddd")</f>
        <v>seg</v>
      </c>
      <c r="M4061" s="1" t="str">
        <f t="shared" ref="M4061:M4092" si="478">TEXT($J4061,"mmm")</f>
        <v>jun</v>
      </c>
      <c r="N4061">
        <f t="shared" ref="N4061:N4092" si="479">YEAR(J4061)</f>
        <v>2025</v>
      </c>
      <c r="O4061" s="2"/>
      <c r="P4061" t="str">
        <f t="shared" si="476"/>
        <v>184145810</v>
      </c>
    </row>
    <row r="4062" spans="1:16" x14ac:dyDescent="0.3">
      <c r="A4062">
        <v>1841</v>
      </c>
      <c r="B4062">
        <v>37</v>
      </c>
      <c r="C4062" t="s">
        <v>15</v>
      </c>
      <c r="D4062" t="s">
        <v>29</v>
      </c>
      <c r="E4062" t="s">
        <v>17</v>
      </c>
      <c r="F4062" t="s">
        <v>23</v>
      </c>
      <c r="G4062" t="s">
        <v>41</v>
      </c>
      <c r="H4062" t="s">
        <v>25</v>
      </c>
      <c r="I4062" s="1">
        <v>1</v>
      </c>
      <c r="J4062" s="2">
        <v>45928</v>
      </c>
      <c r="K4062" s="2">
        <v>45901</v>
      </c>
      <c r="L4062" s="1" t="str">
        <f t="shared" si="477"/>
        <v>dom</v>
      </c>
      <c r="M4062" s="1" t="str">
        <f t="shared" si="478"/>
        <v>set</v>
      </c>
      <c r="N4062">
        <f t="shared" si="479"/>
        <v>2025</v>
      </c>
      <c r="O4062" s="2"/>
      <c r="P4062" t="str">
        <f t="shared" si="476"/>
        <v>184145928</v>
      </c>
    </row>
    <row r="4063" spans="1:16" x14ac:dyDescent="0.3">
      <c r="A4063">
        <v>1841</v>
      </c>
      <c r="B4063">
        <v>37</v>
      </c>
      <c r="C4063" t="s">
        <v>15</v>
      </c>
      <c r="D4063" t="s">
        <v>29</v>
      </c>
      <c r="E4063" t="s">
        <v>17</v>
      </c>
      <c r="F4063" t="s">
        <v>23</v>
      </c>
      <c r="G4063" t="s">
        <v>41</v>
      </c>
      <c r="H4063" t="s">
        <v>25</v>
      </c>
      <c r="I4063" s="1">
        <v>1</v>
      </c>
      <c r="J4063" s="2">
        <v>45945</v>
      </c>
      <c r="K4063" s="2">
        <v>45931</v>
      </c>
      <c r="L4063" s="1" t="str">
        <f t="shared" si="477"/>
        <v>qua</v>
      </c>
      <c r="M4063" s="1" t="str">
        <f t="shared" si="478"/>
        <v>out</v>
      </c>
      <c r="N4063">
        <f t="shared" si="479"/>
        <v>2025</v>
      </c>
      <c r="O4063" s="2"/>
      <c r="P4063" t="str">
        <f t="shared" si="476"/>
        <v>184145945</v>
      </c>
    </row>
    <row r="4064" spans="1:16" x14ac:dyDescent="0.3">
      <c r="A4064">
        <v>1841</v>
      </c>
      <c r="B4064">
        <v>37</v>
      </c>
      <c r="C4064" t="s">
        <v>15</v>
      </c>
      <c r="D4064" t="s">
        <v>29</v>
      </c>
      <c r="E4064" t="s">
        <v>17</v>
      </c>
      <c r="F4064" t="s">
        <v>23</v>
      </c>
      <c r="G4064" t="s">
        <v>41</v>
      </c>
      <c r="H4064" t="s">
        <v>25</v>
      </c>
      <c r="I4064" s="1">
        <v>1</v>
      </c>
      <c r="J4064" s="2">
        <v>45990</v>
      </c>
      <c r="K4064" s="2">
        <v>45962</v>
      </c>
      <c r="L4064" s="1" t="str">
        <f t="shared" si="477"/>
        <v>sáb</v>
      </c>
      <c r="M4064" s="1" t="str">
        <f t="shared" si="478"/>
        <v>nov</v>
      </c>
      <c r="N4064">
        <f t="shared" si="479"/>
        <v>2025</v>
      </c>
      <c r="O4064" s="2"/>
      <c r="P4064" t="str">
        <f t="shared" si="476"/>
        <v>184145990</v>
      </c>
    </row>
    <row r="4065" spans="1:16" x14ac:dyDescent="0.3">
      <c r="A4065">
        <v>1841</v>
      </c>
      <c r="B4065">
        <v>37</v>
      </c>
      <c r="C4065" t="s">
        <v>15</v>
      </c>
      <c r="D4065" t="s">
        <v>29</v>
      </c>
      <c r="E4065" t="s">
        <v>17</v>
      </c>
      <c r="F4065" t="s">
        <v>23</v>
      </c>
      <c r="G4065" t="s">
        <v>41</v>
      </c>
      <c r="H4065" t="s">
        <v>25</v>
      </c>
      <c r="I4065" s="1">
        <v>1</v>
      </c>
      <c r="J4065" s="2">
        <v>46059</v>
      </c>
      <c r="K4065" s="2">
        <v>46054</v>
      </c>
      <c r="L4065" s="1" t="str">
        <f t="shared" si="477"/>
        <v>sex</v>
      </c>
      <c r="M4065" s="1" t="str">
        <f t="shared" si="478"/>
        <v>fev</v>
      </c>
      <c r="N4065">
        <f t="shared" si="479"/>
        <v>2026</v>
      </c>
      <c r="O4065" s="2"/>
      <c r="P4065" t="str">
        <f t="shared" si="476"/>
        <v>184146059</v>
      </c>
    </row>
    <row r="4066" spans="1:16" x14ac:dyDescent="0.3">
      <c r="A4066">
        <v>1842</v>
      </c>
      <c r="B4066">
        <v>58</v>
      </c>
      <c r="C4066" t="s">
        <v>15</v>
      </c>
      <c r="D4066" t="s">
        <v>31</v>
      </c>
      <c r="E4066" t="s">
        <v>34</v>
      </c>
      <c r="F4066" t="s">
        <v>23</v>
      </c>
      <c r="G4066" t="s">
        <v>41</v>
      </c>
      <c r="H4066" t="s">
        <v>25</v>
      </c>
      <c r="I4066" s="1">
        <v>2</v>
      </c>
      <c r="J4066" s="2">
        <v>45903</v>
      </c>
      <c r="K4066" s="2">
        <v>45901</v>
      </c>
      <c r="L4066" s="1" t="str">
        <f t="shared" si="477"/>
        <v>qua</v>
      </c>
      <c r="M4066" s="1" t="str">
        <f t="shared" si="478"/>
        <v>set</v>
      </c>
      <c r="N4066">
        <f t="shared" si="479"/>
        <v>2025</v>
      </c>
      <c r="O4066" s="2"/>
      <c r="P4066" t="str">
        <f t="shared" si="476"/>
        <v>184245903</v>
      </c>
    </row>
    <row r="4067" spans="1:16" x14ac:dyDescent="0.3">
      <c r="A4067">
        <v>1842</v>
      </c>
      <c r="B4067">
        <v>58</v>
      </c>
      <c r="C4067" t="s">
        <v>15</v>
      </c>
      <c r="D4067" t="s">
        <v>31</v>
      </c>
      <c r="E4067" t="s">
        <v>34</v>
      </c>
      <c r="F4067" t="s">
        <v>23</v>
      </c>
      <c r="G4067" t="s">
        <v>41</v>
      </c>
      <c r="H4067" t="s">
        <v>25</v>
      </c>
      <c r="I4067" s="1">
        <v>2</v>
      </c>
      <c r="J4067" s="2">
        <v>45923</v>
      </c>
      <c r="K4067" s="2">
        <v>45901</v>
      </c>
      <c r="L4067" s="1" t="str">
        <f t="shared" si="477"/>
        <v>ter</v>
      </c>
      <c r="M4067" s="1" t="str">
        <f t="shared" si="478"/>
        <v>set</v>
      </c>
      <c r="N4067">
        <f t="shared" si="479"/>
        <v>2025</v>
      </c>
      <c r="O4067" s="2"/>
      <c r="P4067" t="str">
        <f t="shared" si="476"/>
        <v>184245923</v>
      </c>
    </row>
    <row r="4068" spans="1:16" x14ac:dyDescent="0.3">
      <c r="A4068">
        <v>1842</v>
      </c>
      <c r="B4068">
        <v>58</v>
      </c>
      <c r="C4068" t="s">
        <v>15</v>
      </c>
      <c r="D4068" t="s">
        <v>31</v>
      </c>
      <c r="E4068" t="s">
        <v>34</v>
      </c>
      <c r="F4068" t="s">
        <v>23</v>
      </c>
      <c r="G4068" t="s">
        <v>41</v>
      </c>
      <c r="H4068" t="s">
        <v>25</v>
      </c>
      <c r="I4068" s="1">
        <v>2</v>
      </c>
      <c r="J4068" s="2">
        <v>45944</v>
      </c>
      <c r="K4068" s="2">
        <v>45931</v>
      </c>
      <c r="L4068" s="1" t="str">
        <f t="shared" si="477"/>
        <v>ter</v>
      </c>
      <c r="M4068" s="1" t="str">
        <f t="shared" si="478"/>
        <v>out</v>
      </c>
      <c r="N4068">
        <f t="shared" si="479"/>
        <v>2025</v>
      </c>
      <c r="O4068" s="2"/>
      <c r="P4068" t="str">
        <f t="shared" si="476"/>
        <v>184245944</v>
      </c>
    </row>
    <row r="4069" spans="1:16" x14ac:dyDescent="0.3">
      <c r="A4069">
        <v>1842</v>
      </c>
      <c r="B4069">
        <v>58</v>
      </c>
      <c r="C4069" t="s">
        <v>15</v>
      </c>
      <c r="D4069" t="s">
        <v>31</v>
      </c>
      <c r="E4069" t="s">
        <v>34</v>
      </c>
      <c r="F4069" t="s">
        <v>23</v>
      </c>
      <c r="G4069" t="s">
        <v>41</v>
      </c>
      <c r="H4069" t="s">
        <v>25</v>
      </c>
      <c r="I4069" s="1">
        <v>2</v>
      </c>
      <c r="J4069" s="2">
        <v>46182</v>
      </c>
      <c r="K4069" s="2">
        <v>46023</v>
      </c>
      <c r="L4069" s="1" t="str">
        <f t="shared" si="477"/>
        <v>ter</v>
      </c>
      <c r="M4069" s="1" t="str">
        <f t="shared" si="478"/>
        <v>jun</v>
      </c>
      <c r="N4069">
        <f t="shared" si="479"/>
        <v>2026</v>
      </c>
      <c r="O4069" s="2"/>
      <c r="P4069" t="str">
        <f t="shared" si="476"/>
        <v>184246182</v>
      </c>
    </row>
    <row r="4070" spans="1:16" x14ac:dyDescent="0.3">
      <c r="A4070">
        <v>1842</v>
      </c>
      <c r="B4070">
        <v>58</v>
      </c>
      <c r="C4070" t="s">
        <v>15</v>
      </c>
      <c r="D4070" t="s">
        <v>31</v>
      </c>
      <c r="E4070" t="s">
        <v>34</v>
      </c>
      <c r="F4070" t="s">
        <v>23</v>
      </c>
      <c r="G4070" t="s">
        <v>41</v>
      </c>
      <c r="H4070" t="s">
        <v>25</v>
      </c>
      <c r="I4070" s="1">
        <v>2</v>
      </c>
      <c r="J4070" s="2">
        <v>46083</v>
      </c>
      <c r="K4070" s="2">
        <v>46082</v>
      </c>
      <c r="L4070" s="1" t="str">
        <f t="shared" si="477"/>
        <v>seg</v>
      </c>
      <c r="M4070" s="1" t="str">
        <f t="shared" si="478"/>
        <v>mar</v>
      </c>
      <c r="N4070">
        <f t="shared" si="479"/>
        <v>2026</v>
      </c>
      <c r="O4070" s="2"/>
      <c r="P4070" t="str">
        <f t="shared" si="476"/>
        <v>184246083</v>
      </c>
    </row>
    <row r="4071" spans="1:16" x14ac:dyDescent="0.3">
      <c r="A4071">
        <v>1843</v>
      </c>
      <c r="B4071">
        <v>26</v>
      </c>
      <c r="C4071" t="s">
        <v>15</v>
      </c>
      <c r="D4071" t="s">
        <v>16</v>
      </c>
      <c r="E4071" t="s">
        <v>17</v>
      </c>
      <c r="F4071" t="s">
        <v>23</v>
      </c>
      <c r="G4071" t="s">
        <v>41</v>
      </c>
      <c r="H4071" t="s">
        <v>25</v>
      </c>
      <c r="I4071" s="1">
        <v>3</v>
      </c>
      <c r="J4071" s="2">
        <v>45838</v>
      </c>
      <c r="K4071" s="2">
        <v>45809</v>
      </c>
      <c r="L4071" s="1" t="str">
        <f t="shared" si="477"/>
        <v>seg</v>
      </c>
      <c r="M4071" s="1" t="str">
        <f t="shared" si="478"/>
        <v>jun</v>
      </c>
      <c r="N4071">
        <f t="shared" si="479"/>
        <v>2025</v>
      </c>
      <c r="O4071" s="2"/>
      <c r="P4071" t="str">
        <f t="shared" si="476"/>
        <v>184345838</v>
      </c>
    </row>
    <row r="4072" spans="1:16" x14ac:dyDescent="0.3">
      <c r="A4072">
        <v>1843</v>
      </c>
      <c r="B4072">
        <v>26</v>
      </c>
      <c r="C4072" t="s">
        <v>15</v>
      </c>
      <c r="D4072" t="s">
        <v>16</v>
      </c>
      <c r="E4072" t="s">
        <v>17</v>
      </c>
      <c r="F4072" t="s">
        <v>23</v>
      </c>
      <c r="G4072" t="s">
        <v>41</v>
      </c>
      <c r="H4072" t="s">
        <v>25</v>
      </c>
      <c r="I4072" s="1">
        <v>3</v>
      </c>
      <c r="J4072" s="2">
        <v>45852</v>
      </c>
      <c r="K4072" s="2">
        <v>45839</v>
      </c>
      <c r="L4072" s="1" t="str">
        <f t="shared" si="477"/>
        <v>seg</v>
      </c>
      <c r="M4072" s="1" t="str">
        <f t="shared" si="478"/>
        <v>jul</v>
      </c>
      <c r="N4072">
        <f t="shared" si="479"/>
        <v>2025</v>
      </c>
      <c r="O4072" s="2"/>
      <c r="P4072" t="str">
        <f t="shared" si="476"/>
        <v>184345852</v>
      </c>
    </row>
    <row r="4073" spans="1:16" x14ac:dyDescent="0.3">
      <c r="A4073">
        <v>1843</v>
      </c>
      <c r="B4073">
        <v>26</v>
      </c>
      <c r="C4073" t="s">
        <v>15</v>
      </c>
      <c r="D4073" t="s">
        <v>16</v>
      </c>
      <c r="E4073" t="s">
        <v>17</v>
      </c>
      <c r="F4073" t="s">
        <v>23</v>
      </c>
      <c r="G4073" t="s">
        <v>41</v>
      </c>
      <c r="H4073" t="s">
        <v>25</v>
      </c>
      <c r="I4073" s="1">
        <v>3</v>
      </c>
      <c r="J4073" s="2">
        <v>45868</v>
      </c>
      <c r="K4073" s="2">
        <v>45839</v>
      </c>
      <c r="L4073" s="1" t="str">
        <f t="shared" si="477"/>
        <v>qua</v>
      </c>
      <c r="M4073" s="1" t="str">
        <f t="shared" si="478"/>
        <v>jul</v>
      </c>
      <c r="N4073">
        <f t="shared" si="479"/>
        <v>2025</v>
      </c>
      <c r="O4073" s="2"/>
      <c r="P4073" t="str">
        <f t="shared" si="476"/>
        <v>184345868</v>
      </c>
    </row>
    <row r="4074" spans="1:16" x14ac:dyDescent="0.3">
      <c r="A4074">
        <v>1843</v>
      </c>
      <c r="B4074">
        <v>26</v>
      </c>
      <c r="C4074" t="s">
        <v>15</v>
      </c>
      <c r="D4074" t="s">
        <v>16</v>
      </c>
      <c r="E4074" t="s">
        <v>17</v>
      </c>
      <c r="F4074" t="s">
        <v>23</v>
      </c>
      <c r="G4074" t="s">
        <v>41</v>
      </c>
      <c r="H4074" t="s">
        <v>25</v>
      </c>
      <c r="I4074" s="1">
        <v>3</v>
      </c>
      <c r="J4074" s="2">
        <v>45956</v>
      </c>
      <c r="K4074" s="2">
        <v>45931</v>
      </c>
      <c r="L4074" s="1" t="str">
        <f t="shared" si="477"/>
        <v>dom</v>
      </c>
      <c r="M4074" s="1" t="str">
        <f t="shared" si="478"/>
        <v>out</v>
      </c>
      <c r="N4074">
        <f t="shared" si="479"/>
        <v>2025</v>
      </c>
      <c r="O4074" s="2"/>
      <c r="P4074" t="str">
        <f t="shared" si="476"/>
        <v>184345956</v>
      </c>
    </row>
    <row r="4075" spans="1:16" x14ac:dyDescent="0.3">
      <c r="A4075">
        <v>1843</v>
      </c>
      <c r="B4075">
        <v>26</v>
      </c>
      <c r="C4075" t="s">
        <v>15</v>
      </c>
      <c r="D4075" t="s">
        <v>16</v>
      </c>
      <c r="E4075" t="s">
        <v>17</v>
      </c>
      <c r="F4075" t="s">
        <v>23</v>
      </c>
      <c r="G4075" t="s">
        <v>41</v>
      </c>
      <c r="H4075" t="s">
        <v>25</v>
      </c>
      <c r="I4075" s="1">
        <v>3</v>
      </c>
      <c r="J4075" s="2">
        <v>45970</v>
      </c>
      <c r="K4075" s="2">
        <v>45962</v>
      </c>
      <c r="L4075" s="1" t="str">
        <f t="shared" si="477"/>
        <v>dom</v>
      </c>
      <c r="M4075" s="1" t="str">
        <f t="shared" si="478"/>
        <v>nov</v>
      </c>
      <c r="N4075">
        <f t="shared" si="479"/>
        <v>2025</v>
      </c>
      <c r="O4075" s="2"/>
      <c r="P4075" t="str">
        <f t="shared" si="476"/>
        <v>184345970</v>
      </c>
    </row>
    <row r="4076" spans="1:16" x14ac:dyDescent="0.3">
      <c r="A4076">
        <v>1843</v>
      </c>
      <c r="B4076">
        <v>26</v>
      </c>
      <c r="C4076" t="s">
        <v>15</v>
      </c>
      <c r="D4076" t="s">
        <v>16</v>
      </c>
      <c r="E4076" t="s">
        <v>17</v>
      </c>
      <c r="F4076" t="s">
        <v>23</v>
      </c>
      <c r="G4076" t="s">
        <v>41</v>
      </c>
      <c r="H4076" t="s">
        <v>25</v>
      </c>
      <c r="I4076" s="1">
        <v>3</v>
      </c>
      <c r="J4076" s="2">
        <v>46132</v>
      </c>
      <c r="K4076" s="2">
        <v>46113</v>
      </c>
      <c r="L4076" s="1" t="str">
        <f t="shared" si="477"/>
        <v>seg</v>
      </c>
      <c r="M4076" s="1" t="str">
        <f t="shared" si="478"/>
        <v>abr</v>
      </c>
      <c r="N4076">
        <f t="shared" si="479"/>
        <v>2026</v>
      </c>
      <c r="O4076" s="2"/>
      <c r="P4076" t="str">
        <f t="shared" si="476"/>
        <v>184346132</v>
      </c>
    </row>
    <row r="4077" spans="1:16" x14ac:dyDescent="0.3">
      <c r="A4077">
        <v>1843</v>
      </c>
      <c r="B4077">
        <v>26</v>
      </c>
      <c r="C4077" t="s">
        <v>15</v>
      </c>
      <c r="D4077" t="s">
        <v>16</v>
      </c>
      <c r="E4077" t="s">
        <v>17</v>
      </c>
      <c r="F4077" t="s">
        <v>23</v>
      </c>
      <c r="G4077" t="s">
        <v>41</v>
      </c>
      <c r="H4077" t="s">
        <v>25</v>
      </c>
      <c r="I4077" s="1">
        <v>3</v>
      </c>
      <c r="J4077" s="2">
        <v>46203</v>
      </c>
      <c r="K4077" s="2">
        <v>46174</v>
      </c>
      <c r="L4077" s="1" t="str">
        <f t="shared" si="477"/>
        <v>ter</v>
      </c>
      <c r="M4077" s="1" t="str">
        <f t="shared" si="478"/>
        <v>jun</v>
      </c>
      <c r="N4077">
        <f t="shared" si="479"/>
        <v>2026</v>
      </c>
      <c r="O4077" s="2"/>
      <c r="P4077" t="str">
        <f t="shared" si="476"/>
        <v>184346203</v>
      </c>
    </row>
    <row r="4078" spans="1:16" x14ac:dyDescent="0.3">
      <c r="A4078">
        <v>1845</v>
      </c>
      <c r="B4078">
        <v>49</v>
      </c>
      <c r="C4078" t="s">
        <v>15</v>
      </c>
      <c r="D4078" t="s">
        <v>29</v>
      </c>
      <c r="E4078" t="s">
        <v>17</v>
      </c>
      <c r="F4078" t="s">
        <v>23</v>
      </c>
      <c r="G4078" t="s">
        <v>41</v>
      </c>
      <c r="H4078" t="s">
        <v>25</v>
      </c>
      <c r="I4078" s="1">
        <v>2</v>
      </c>
      <c r="J4078" s="2">
        <v>45925</v>
      </c>
      <c r="K4078" s="2">
        <v>45901</v>
      </c>
      <c r="L4078" s="1" t="str">
        <f t="shared" si="477"/>
        <v>qui</v>
      </c>
      <c r="M4078" s="1" t="str">
        <f t="shared" si="478"/>
        <v>set</v>
      </c>
      <c r="N4078">
        <f t="shared" si="479"/>
        <v>2025</v>
      </c>
      <c r="O4078" s="2"/>
      <c r="P4078" t="str">
        <f t="shared" si="476"/>
        <v>184545925</v>
      </c>
    </row>
    <row r="4079" spans="1:16" x14ac:dyDescent="0.3">
      <c r="A4079">
        <v>1845</v>
      </c>
      <c r="B4079">
        <v>49</v>
      </c>
      <c r="C4079" t="s">
        <v>15</v>
      </c>
      <c r="D4079" t="s">
        <v>29</v>
      </c>
      <c r="E4079" t="s">
        <v>17</v>
      </c>
      <c r="F4079" t="s">
        <v>23</v>
      </c>
      <c r="G4079" t="s">
        <v>41</v>
      </c>
      <c r="H4079" t="s">
        <v>25</v>
      </c>
      <c r="I4079" s="1">
        <v>2</v>
      </c>
      <c r="J4079" s="2">
        <v>45966</v>
      </c>
      <c r="K4079" s="2">
        <v>45962</v>
      </c>
      <c r="L4079" s="1" t="str">
        <f t="shared" si="477"/>
        <v>qua</v>
      </c>
      <c r="M4079" s="1" t="str">
        <f t="shared" si="478"/>
        <v>nov</v>
      </c>
      <c r="N4079">
        <f t="shared" si="479"/>
        <v>2025</v>
      </c>
      <c r="O4079" s="2"/>
      <c r="P4079" t="str">
        <f t="shared" si="476"/>
        <v>184545966</v>
      </c>
    </row>
    <row r="4080" spans="1:16" x14ac:dyDescent="0.3">
      <c r="A4080">
        <v>1845</v>
      </c>
      <c r="B4080">
        <v>49</v>
      </c>
      <c r="C4080" t="s">
        <v>15</v>
      </c>
      <c r="D4080" t="s">
        <v>29</v>
      </c>
      <c r="E4080" t="s">
        <v>17</v>
      </c>
      <c r="F4080" t="s">
        <v>23</v>
      </c>
      <c r="G4080" t="s">
        <v>41</v>
      </c>
      <c r="H4080" t="s">
        <v>25</v>
      </c>
      <c r="I4080" s="1">
        <v>2</v>
      </c>
      <c r="J4080" s="2">
        <v>45978</v>
      </c>
      <c r="K4080" s="2">
        <v>45962</v>
      </c>
      <c r="L4080" s="1" t="str">
        <f t="shared" si="477"/>
        <v>seg</v>
      </c>
      <c r="M4080" s="1" t="str">
        <f t="shared" si="478"/>
        <v>nov</v>
      </c>
      <c r="N4080">
        <f t="shared" si="479"/>
        <v>2025</v>
      </c>
      <c r="O4080" s="2"/>
      <c r="P4080" t="str">
        <f t="shared" si="476"/>
        <v>184545978</v>
      </c>
    </row>
    <row r="4081" spans="1:16" x14ac:dyDescent="0.3">
      <c r="A4081">
        <v>1845</v>
      </c>
      <c r="B4081">
        <v>49</v>
      </c>
      <c r="C4081" t="s">
        <v>15</v>
      </c>
      <c r="D4081" t="s">
        <v>29</v>
      </c>
      <c r="E4081" t="s">
        <v>17</v>
      </c>
      <c r="F4081" t="s">
        <v>23</v>
      </c>
      <c r="G4081" t="s">
        <v>41</v>
      </c>
      <c r="H4081" t="s">
        <v>25</v>
      </c>
      <c r="I4081" s="1">
        <v>2</v>
      </c>
      <c r="J4081" s="2">
        <v>46089</v>
      </c>
      <c r="K4081" s="2">
        <v>46082</v>
      </c>
      <c r="L4081" s="1" t="str">
        <f t="shared" si="477"/>
        <v>dom</v>
      </c>
      <c r="M4081" s="1" t="str">
        <f t="shared" si="478"/>
        <v>mar</v>
      </c>
      <c r="N4081">
        <f t="shared" si="479"/>
        <v>2026</v>
      </c>
      <c r="O4081" s="2"/>
      <c r="P4081" t="str">
        <f t="shared" si="476"/>
        <v>184546089</v>
      </c>
    </row>
    <row r="4082" spans="1:16" x14ac:dyDescent="0.3">
      <c r="A4082">
        <v>1846</v>
      </c>
      <c r="B4082">
        <v>22</v>
      </c>
      <c r="C4082" t="s">
        <v>15</v>
      </c>
      <c r="D4082" t="s">
        <v>29</v>
      </c>
      <c r="E4082" t="s">
        <v>17</v>
      </c>
      <c r="F4082" t="s">
        <v>23</v>
      </c>
      <c r="G4082" t="s">
        <v>41</v>
      </c>
      <c r="H4082" t="s">
        <v>25</v>
      </c>
      <c r="I4082" s="1">
        <v>2</v>
      </c>
      <c r="J4082" s="2">
        <v>45814</v>
      </c>
      <c r="K4082" s="2">
        <v>45809</v>
      </c>
      <c r="L4082" s="1" t="str">
        <f t="shared" si="477"/>
        <v>sex</v>
      </c>
      <c r="M4082" s="1" t="str">
        <f t="shared" si="478"/>
        <v>jun</v>
      </c>
      <c r="N4082">
        <f t="shared" si="479"/>
        <v>2025</v>
      </c>
      <c r="O4082" s="2"/>
      <c r="P4082" t="str">
        <f t="shared" si="476"/>
        <v>184645814</v>
      </c>
    </row>
    <row r="4083" spans="1:16" x14ac:dyDescent="0.3">
      <c r="A4083">
        <v>1846</v>
      </c>
      <c r="B4083">
        <v>22</v>
      </c>
      <c r="C4083" t="s">
        <v>15</v>
      </c>
      <c r="D4083" t="s">
        <v>29</v>
      </c>
      <c r="E4083" t="s">
        <v>17</v>
      </c>
      <c r="F4083" t="s">
        <v>23</v>
      </c>
      <c r="G4083" t="s">
        <v>41</v>
      </c>
      <c r="H4083" t="s">
        <v>25</v>
      </c>
      <c r="I4083" s="1">
        <v>2</v>
      </c>
      <c r="J4083" s="2">
        <v>45849</v>
      </c>
      <c r="K4083" s="2">
        <v>45839</v>
      </c>
      <c r="L4083" s="1" t="str">
        <f t="shared" si="477"/>
        <v>sex</v>
      </c>
      <c r="M4083" s="1" t="str">
        <f t="shared" si="478"/>
        <v>jul</v>
      </c>
      <c r="N4083">
        <f t="shared" si="479"/>
        <v>2025</v>
      </c>
      <c r="O4083" s="2"/>
      <c r="P4083" t="str">
        <f t="shared" si="476"/>
        <v>184645849</v>
      </c>
    </row>
    <row r="4084" spans="1:16" x14ac:dyDescent="0.3">
      <c r="A4084">
        <v>1846</v>
      </c>
      <c r="B4084">
        <v>22</v>
      </c>
      <c r="C4084" t="s">
        <v>15</v>
      </c>
      <c r="D4084" t="s">
        <v>29</v>
      </c>
      <c r="E4084" t="s">
        <v>17</v>
      </c>
      <c r="F4084" t="s">
        <v>23</v>
      </c>
      <c r="G4084" t="s">
        <v>41</v>
      </c>
      <c r="H4084" t="s">
        <v>25</v>
      </c>
      <c r="I4084" s="1">
        <v>2</v>
      </c>
      <c r="J4084" s="2">
        <v>45925</v>
      </c>
      <c r="K4084" s="2">
        <v>45901</v>
      </c>
      <c r="L4084" s="1" t="str">
        <f t="shared" si="477"/>
        <v>qui</v>
      </c>
      <c r="M4084" s="1" t="str">
        <f t="shared" si="478"/>
        <v>set</v>
      </c>
      <c r="N4084">
        <f t="shared" si="479"/>
        <v>2025</v>
      </c>
      <c r="O4084" s="2"/>
      <c r="P4084" t="str">
        <f t="shared" si="476"/>
        <v>184645925</v>
      </c>
    </row>
    <row r="4085" spans="1:16" x14ac:dyDescent="0.3">
      <c r="A4085">
        <v>1846</v>
      </c>
      <c r="B4085">
        <v>22</v>
      </c>
      <c r="C4085" t="s">
        <v>15</v>
      </c>
      <c r="D4085" t="s">
        <v>29</v>
      </c>
      <c r="E4085" t="s">
        <v>17</v>
      </c>
      <c r="F4085" t="s">
        <v>23</v>
      </c>
      <c r="G4085" t="s">
        <v>41</v>
      </c>
      <c r="H4085" t="s">
        <v>25</v>
      </c>
      <c r="I4085" s="1">
        <v>2</v>
      </c>
      <c r="J4085" s="2">
        <v>46083</v>
      </c>
      <c r="K4085" s="2">
        <v>46082</v>
      </c>
      <c r="L4085" s="1" t="str">
        <f t="shared" si="477"/>
        <v>seg</v>
      </c>
      <c r="M4085" s="1" t="str">
        <f t="shared" si="478"/>
        <v>mar</v>
      </c>
      <c r="N4085">
        <f t="shared" si="479"/>
        <v>2026</v>
      </c>
      <c r="O4085" s="2"/>
      <c r="P4085" t="str">
        <f t="shared" si="476"/>
        <v>184646083</v>
      </c>
    </row>
    <row r="4086" spans="1:16" x14ac:dyDescent="0.3">
      <c r="A4086">
        <v>1847</v>
      </c>
      <c r="B4086">
        <v>50</v>
      </c>
      <c r="C4086" t="s">
        <v>26</v>
      </c>
      <c r="D4086" t="s">
        <v>29</v>
      </c>
      <c r="E4086" t="s">
        <v>17</v>
      </c>
      <c r="F4086" t="s">
        <v>18</v>
      </c>
      <c r="G4086" t="s">
        <v>41</v>
      </c>
      <c r="H4086" t="s">
        <v>25</v>
      </c>
      <c r="I4086" s="1">
        <v>1</v>
      </c>
      <c r="J4086" s="2">
        <v>45832</v>
      </c>
      <c r="K4086" s="2">
        <v>45809</v>
      </c>
      <c r="L4086" s="1" t="str">
        <f t="shared" si="477"/>
        <v>ter</v>
      </c>
      <c r="M4086" s="1" t="str">
        <f t="shared" si="478"/>
        <v>jun</v>
      </c>
      <c r="N4086">
        <f t="shared" si="479"/>
        <v>2025</v>
      </c>
      <c r="O4086" s="2"/>
      <c r="P4086" t="str">
        <f t="shared" si="476"/>
        <v>184745832</v>
      </c>
    </row>
    <row r="4087" spans="1:16" x14ac:dyDescent="0.3">
      <c r="A4087">
        <v>1847</v>
      </c>
      <c r="B4087">
        <v>50</v>
      </c>
      <c r="C4087" t="s">
        <v>26</v>
      </c>
      <c r="D4087" t="s">
        <v>29</v>
      </c>
      <c r="E4087" t="s">
        <v>17</v>
      </c>
      <c r="F4087" t="s">
        <v>18</v>
      </c>
      <c r="G4087" t="s">
        <v>41</v>
      </c>
      <c r="H4087" t="s">
        <v>25</v>
      </c>
      <c r="I4087" s="1">
        <v>1</v>
      </c>
      <c r="J4087" s="2">
        <v>45863</v>
      </c>
      <c r="K4087" s="2">
        <v>45839</v>
      </c>
      <c r="L4087" s="1" t="str">
        <f t="shared" si="477"/>
        <v>sex</v>
      </c>
      <c r="M4087" s="1" t="str">
        <f t="shared" si="478"/>
        <v>jul</v>
      </c>
      <c r="N4087">
        <f t="shared" si="479"/>
        <v>2025</v>
      </c>
      <c r="O4087" s="2"/>
      <c r="P4087" t="str">
        <f t="shared" si="476"/>
        <v>184745863</v>
      </c>
    </row>
    <row r="4088" spans="1:16" x14ac:dyDescent="0.3">
      <c r="A4088">
        <v>1847</v>
      </c>
      <c r="B4088">
        <v>50</v>
      </c>
      <c r="C4088" t="s">
        <v>26</v>
      </c>
      <c r="D4088" t="s">
        <v>29</v>
      </c>
      <c r="E4088" t="s">
        <v>17</v>
      </c>
      <c r="F4088" t="s">
        <v>18</v>
      </c>
      <c r="G4088" t="s">
        <v>41</v>
      </c>
      <c r="H4088" t="s">
        <v>25</v>
      </c>
      <c r="I4088" s="1">
        <v>1</v>
      </c>
      <c r="J4088" s="2">
        <v>45905</v>
      </c>
      <c r="K4088" s="2">
        <v>45901</v>
      </c>
      <c r="L4088" s="1" t="str">
        <f t="shared" si="477"/>
        <v>sex</v>
      </c>
      <c r="M4088" s="1" t="str">
        <f t="shared" si="478"/>
        <v>set</v>
      </c>
      <c r="N4088">
        <f t="shared" si="479"/>
        <v>2025</v>
      </c>
      <c r="O4088" s="2"/>
      <c r="P4088" t="str">
        <f t="shared" si="476"/>
        <v>184745905</v>
      </c>
    </row>
    <row r="4089" spans="1:16" x14ac:dyDescent="0.3">
      <c r="A4089">
        <v>1847</v>
      </c>
      <c r="B4089">
        <v>50</v>
      </c>
      <c r="C4089" t="s">
        <v>26</v>
      </c>
      <c r="D4089" t="s">
        <v>29</v>
      </c>
      <c r="E4089" t="s">
        <v>17</v>
      </c>
      <c r="F4089" t="s">
        <v>18</v>
      </c>
      <c r="G4089" t="s">
        <v>41</v>
      </c>
      <c r="H4089" t="s">
        <v>25</v>
      </c>
      <c r="I4089" s="1">
        <v>1</v>
      </c>
      <c r="J4089" s="2">
        <v>45945</v>
      </c>
      <c r="K4089" s="2">
        <v>45931</v>
      </c>
      <c r="L4089" s="1" t="str">
        <f t="shared" si="477"/>
        <v>qua</v>
      </c>
      <c r="M4089" s="1" t="str">
        <f t="shared" si="478"/>
        <v>out</v>
      </c>
      <c r="N4089">
        <f t="shared" si="479"/>
        <v>2025</v>
      </c>
      <c r="O4089" s="2"/>
      <c r="P4089" t="str">
        <f t="shared" si="476"/>
        <v>184745945</v>
      </c>
    </row>
    <row r="4090" spans="1:16" x14ac:dyDescent="0.3">
      <c r="A4090">
        <v>1847</v>
      </c>
      <c r="B4090">
        <v>50</v>
      </c>
      <c r="C4090" t="s">
        <v>26</v>
      </c>
      <c r="D4090" t="s">
        <v>29</v>
      </c>
      <c r="E4090" t="s">
        <v>17</v>
      </c>
      <c r="F4090" t="s">
        <v>18</v>
      </c>
      <c r="G4090" t="s">
        <v>41</v>
      </c>
      <c r="H4090" t="s">
        <v>25</v>
      </c>
      <c r="I4090" s="1">
        <v>1</v>
      </c>
      <c r="J4090" s="2">
        <v>45948</v>
      </c>
      <c r="K4090" s="2">
        <v>45931</v>
      </c>
      <c r="L4090" s="1" t="str">
        <f t="shared" si="477"/>
        <v>sáb</v>
      </c>
      <c r="M4090" s="1" t="str">
        <f t="shared" si="478"/>
        <v>out</v>
      </c>
      <c r="N4090">
        <f t="shared" si="479"/>
        <v>2025</v>
      </c>
      <c r="O4090" s="2"/>
      <c r="P4090" t="str">
        <f t="shared" si="476"/>
        <v>184745948</v>
      </c>
    </row>
    <row r="4091" spans="1:16" x14ac:dyDescent="0.3">
      <c r="A4091">
        <v>1849</v>
      </c>
      <c r="B4091">
        <v>45</v>
      </c>
      <c r="C4091" t="s">
        <v>15</v>
      </c>
      <c r="D4091" t="s">
        <v>29</v>
      </c>
      <c r="E4091" t="s">
        <v>17</v>
      </c>
      <c r="F4091" t="s">
        <v>21</v>
      </c>
      <c r="G4091" t="s">
        <v>41</v>
      </c>
      <c r="H4091" t="s">
        <v>20</v>
      </c>
      <c r="I4091" s="1">
        <v>2</v>
      </c>
      <c r="J4091" s="2">
        <v>45757</v>
      </c>
      <c r="K4091" s="2">
        <v>45748</v>
      </c>
      <c r="L4091" s="1" t="str">
        <f t="shared" si="477"/>
        <v>qui</v>
      </c>
      <c r="M4091" s="1" t="str">
        <f t="shared" si="478"/>
        <v>abr</v>
      </c>
      <c r="N4091">
        <f t="shared" si="479"/>
        <v>2025</v>
      </c>
      <c r="O4091" s="2">
        <f>_xlfn.XLOOKUP(A4091,Colaboradores!$A:$A,Colaboradores!$S:$S,"",0)</f>
        <v>45947</v>
      </c>
      <c r="P4091" t="str">
        <f t="shared" si="476"/>
        <v>184945757</v>
      </c>
    </row>
    <row r="4092" spans="1:16" x14ac:dyDescent="0.3">
      <c r="A4092">
        <v>1849</v>
      </c>
      <c r="B4092">
        <v>45</v>
      </c>
      <c r="C4092" t="s">
        <v>15</v>
      </c>
      <c r="D4092" t="s">
        <v>29</v>
      </c>
      <c r="E4092" t="s">
        <v>17</v>
      </c>
      <c r="F4092" t="s">
        <v>21</v>
      </c>
      <c r="G4092" t="s">
        <v>41</v>
      </c>
      <c r="H4092" t="s">
        <v>20</v>
      </c>
      <c r="I4092" s="1">
        <v>2</v>
      </c>
      <c r="J4092" s="2">
        <v>45782</v>
      </c>
      <c r="K4092" s="2">
        <v>45778</v>
      </c>
      <c r="L4092" s="1" t="str">
        <f t="shared" si="477"/>
        <v>seg</v>
      </c>
      <c r="M4092" s="1" t="str">
        <f t="shared" si="478"/>
        <v>mai</v>
      </c>
      <c r="N4092">
        <f t="shared" si="479"/>
        <v>2025</v>
      </c>
      <c r="O4092" s="2">
        <f>_xlfn.XLOOKUP(A4092,Colaboradores!$A:$A,Colaboradores!$S:$S,"",0)</f>
        <v>45947</v>
      </c>
      <c r="P4092" t="str">
        <f t="shared" si="476"/>
        <v>184945782</v>
      </c>
    </row>
    <row r="4093" spans="1:16" x14ac:dyDescent="0.3">
      <c r="A4093">
        <v>1849</v>
      </c>
      <c r="B4093">
        <v>45</v>
      </c>
      <c r="C4093" t="s">
        <v>15</v>
      </c>
      <c r="D4093" t="s">
        <v>29</v>
      </c>
      <c r="E4093" t="s">
        <v>17</v>
      </c>
      <c r="F4093" t="s">
        <v>21</v>
      </c>
      <c r="G4093" t="s">
        <v>41</v>
      </c>
      <c r="H4093" t="s">
        <v>20</v>
      </c>
      <c r="I4093" s="1">
        <v>2</v>
      </c>
      <c r="J4093" s="2">
        <v>45896</v>
      </c>
      <c r="K4093" s="2">
        <v>45870</v>
      </c>
      <c r="L4093" s="1" t="str">
        <f t="shared" ref="L4093:L4128" si="480">TEXT(J4093,"ddd")</f>
        <v>qua</v>
      </c>
      <c r="M4093" s="1" t="str">
        <f t="shared" ref="M4093:M4128" si="481">TEXT($J4093,"mmm")</f>
        <v>ago</v>
      </c>
      <c r="N4093">
        <f t="shared" ref="N4093:N4128" si="482">YEAR(J4093)</f>
        <v>2025</v>
      </c>
      <c r="O4093" s="2">
        <f>_xlfn.XLOOKUP(A4093,Colaboradores!$A:$A,Colaboradores!$S:$S,"",0)</f>
        <v>45947</v>
      </c>
      <c r="P4093" t="str">
        <f t="shared" si="476"/>
        <v>184945896</v>
      </c>
    </row>
    <row r="4094" spans="1:16" x14ac:dyDescent="0.3">
      <c r="A4094">
        <v>1849</v>
      </c>
      <c r="B4094">
        <v>45</v>
      </c>
      <c r="C4094" t="s">
        <v>15</v>
      </c>
      <c r="D4094" t="s">
        <v>29</v>
      </c>
      <c r="E4094" t="s">
        <v>17</v>
      </c>
      <c r="F4094" t="s">
        <v>21</v>
      </c>
      <c r="G4094" t="s">
        <v>41</v>
      </c>
      <c r="H4094" t="s">
        <v>20</v>
      </c>
      <c r="I4094" s="1">
        <v>2</v>
      </c>
      <c r="J4094" s="2">
        <v>45906</v>
      </c>
      <c r="K4094" s="2">
        <v>45901</v>
      </c>
      <c r="L4094" s="1" t="str">
        <f t="shared" si="480"/>
        <v>sáb</v>
      </c>
      <c r="M4094" s="1" t="str">
        <f t="shared" si="481"/>
        <v>set</v>
      </c>
      <c r="N4094">
        <f t="shared" si="482"/>
        <v>2025</v>
      </c>
      <c r="O4094" s="2">
        <f>_xlfn.XLOOKUP(A4094,Colaboradores!$A:$A,Colaboradores!$S:$S,"",0)</f>
        <v>45947</v>
      </c>
      <c r="P4094" t="str">
        <f t="shared" ref="P4094:P4156" si="483">CONCATENATE(A4094,J4094)</f>
        <v>184945906</v>
      </c>
    </row>
    <row r="4095" spans="1:16" x14ac:dyDescent="0.3">
      <c r="A4095">
        <v>1849</v>
      </c>
      <c r="B4095">
        <v>45</v>
      </c>
      <c r="C4095" t="s">
        <v>15</v>
      </c>
      <c r="D4095" t="s">
        <v>29</v>
      </c>
      <c r="E4095" t="s">
        <v>17</v>
      </c>
      <c r="F4095" t="s">
        <v>21</v>
      </c>
      <c r="G4095" t="s">
        <v>41</v>
      </c>
      <c r="H4095" t="s">
        <v>20</v>
      </c>
      <c r="I4095" s="1">
        <v>2</v>
      </c>
      <c r="J4095" s="2">
        <v>45912</v>
      </c>
      <c r="K4095" s="2">
        <v>45901</v>
      </c>
      <c r="L4095" s="1" t="str">
        <f t="shared" si="480"/>
        <v>sex</v>
      </c>
      <c r="M4095" s="1" t="str">
        <f t="shared" si="481"/>
        <v>set</v>
      </c>
      <c r="N4095">
        <f t="shared" si="482"/>
        <v>2025</v>
      </c>
      <c r="O4095" s="2">
        <f>_xlfn.XLOOKUP(A4095,Colaboradores!$A:$A,Colaboradores!$S:$S,"",0)</f>
        <v>45947</v>
      </c>
      <c r="P4095" t="str">
        <f t="shared" si="483"/>
        <v>184945912</v>
      </c>
    </row>
    <row r="4096" spans="1:16" x14ac:dyDescent="0.3">
      <c r="A4096">
        <v>1849</v>
      </c>
      <c r="B4096">
        <v>45</v>
      </c>
      <c r="C4096" t="s">
        <v>15</v>
      </c>
      <c r="D4096" t="s">
        <v>29</v>
      </c>
      <c r="E4096" t="s">
        <v>17</v>
      </c>
      <c r="F4096" t="s">
        <v>21</v>
      </c>
      <c r="G4096" t="s">
        <v>41</v>
      </c>
      <c r="H4096" t="s">
        <v>20</v>
      </c>
      <c r="I4096" s="1">
        <v>2</v>
      </c>
      <c r="J4096" s="2">
        <v>45940</v>
      </c>
      <c r="K4096" s="2">
        <v>45931</v>
      </c>
      <c r="L4096" s="1" t="str">
        <f t="shared" si="480"/>
        <v>sex</v>
      </c>
      <c r="M4096" s="1" t="str">
        <f t="shared" si="481"/>
        <v>out</v>
      </c>
      <c r="N4096">
        <f t="shared" si="482"/>
        <v>2025</v>
      </c>
      <c r="O4096" s="2">
        <f>_xlfn.XLOOKUP(A4096,Colaboradores!$A:$A,Colaboradores!$S:$S,"",0)</f>
        <v>45947</v>
      </c>
      <c r="P4096" t="str">
        <f t="shared" si="483"/>
        <v>184945940</v>
      </c>
    </row>
    <row r="4097" spans="1:16" x14ac:dyDescent="0.3">
      <c r="A4097">
        <v>1850</v>
      </c>
      <c r="B4097">
        <v>40</v>
      </c>
      <c r="C4097" t="s">
        <v>26</v>
      </c>
      <c r="D4097" t="s">
        <v>16</v>
      </c>
      <c r="E4097" t="s">
        <v>17</v>
      </c>
      <c r="F4097" t="s">
        <v>23</v>
      </c>
      <c r="G4097" t="s">
        <v>41</v>
      </c>
      <c r="H4097" t="s">
        <v>20</v>
      </c>
      <c r="I4097" s="1">
        <v>3</v>
      </c>
      <c r="J4097" s="2">
        <v>45675</v>
      </c>
      <c r="K4097" s="2">
        <v>45658</v>
      </c>
      <c r="L4097" s="1" t="str">
        <f t="shared" si="480"/>
        <v>sáb</v>
      </c>
      <c r="M4097" s="1" t="str">
        <f t="shared" si="481"/>
        <v>jan</v>
      </c>
      <c r="N4097">
        <f t="shared" si="482"/>
        <v>2025</v>
      </c>
      <c r="O4097" s="2">
        <f>_xlfn.XLOOKUP(A4097,Colaboradores!$A:$A,Colaboradores!$S:$S,"",0)</f>
        <v>45748</v>
      </c>
      <c r="P4097" t="str">
        <f t="shared" si="483"/>
        <v>185045675</v>
      </c>
    </row>
    <row r="4098" spans="1:16" x14ac:dyDescent="0.3">
      <c r="A4098">
        <v>1850</v>
      </c>
      <c r="B4098">
        <v>40</v>
      </c>
      <c r="C4098" t="s">
        <v>26</v>
      </c>
      <c r="D4098" t="s">
        <v>16</v>
      </c>
      <c r="E4098" t="s">
        <v>17</v>
      </c>
      <c r="F4098" t="s">
        <v>23</v>
      </c>
      <c r="G4098" t="s">
        <v>41</v>
      </c>
      <c r="H4098" t="s">
        <v>20</v>
      </c>
      <c r="I4098" s="1">
        <v>3</v>
      </c>
      <c r="J4098" s="2">
        <v>45709</v>
      </c>
      <c r="K4098" s="2">
        <v>45689</v>
      </c>
      <c r="L4098" s="1" t="str">
        <f t="shared" si="480"/>
        <v>sex</v>
      </c>
      <c r="M4098" s="1" t="str">
        <f t="shared" si="481"/>
        <v>fev</v>
      </c>
      <c r="N4098">
        <f t="shared" si="482"/>
        <v>2025</v>
      </c>
      <c r="O4098" s="2">
        <f>_xlfn.XLOOKUP(A4098,Colaboradores!$A:$A,Colaboradores!$S:$S,"",0)</f>
        <v>45748</v>
      </c>
      <c r="P4098" t="str">
        <f t="shared" si="483"/>
        <v>185045709</v>
      </c>
    </row>
    <row r="4099" spans="1:16" x14ac:dyDescent="0.3">
      <c r="A4099">
        <v>1850</v>
      </c>
      <c r="B4099">
        <v>40</v>
      </c>
      <c r="C4099" t="s">
        <v>26</v>
      </c>
      <c r="D4099" t="s">
        <v>16</v>
      </c>
      <c r="E4099" t="s">
        <v>17</v>
      </c>
      <c r="F4099" t="s">
        <v>23</v>
      </c>
      <c r="G4099" t="s">
        <v>41</v>
      </c>
      <c r="H4099" t="s">
        <v>20</v>
      </c>
      <c r="I4099" s="1">
        <v>3</v>
      </c>
      <c r="J4099" s="2">
        <v>45719</v>
      </c>
      <c r="K4099" s="2">
        <v>45717</v>
      </c>
      <c r="L4099" s="1" t="str">
        <f t="shared" si="480"/>
        <v>seg</v>
      </c>
      <c r="M4099" s="1" t="str">
        <f t="shared" si="481"/>
        <v>mar</v>
      </c>
      <c r="N4099">
        <f t="shared" si="482"/>
        <v>2025</v>
      </c>
      <c r="O4099" s="2">
        <f>_xlfn.XLOOKUP(A4099,Colaboradores!$A:$A,Colaboradores!$S:$S,"",0)</f>
        <v>45748</v>
      </c>
      <c r="P4099" t="str">
        <f t="shared" si="483"/>
        <v>185045719</v>
      </c>
    </row>
    <row r="4100" spans="1:16" x14ac:dyDescent="0.3">
      <c r="A4100">
        <v>1850</v>
      </c>
      <c r="B4100">
        <v>40</v>
      </c>
      <c r="C4100" t="s">
        <v>26</v>
      </c>
      <c r="D4100" t="s">
        <v>16</v>
      </c>
      <c r="E4100" t="s">
        <v>17</v>
      </c>
      <c r="F4100" t="s">
        <v>23</v>
      </c>
      <c r="G4100" t="s">
        <v>41</v>
      </c>
      <c r="H4100" t="s">
        <v>20</v>
      </c>
      <c r="I4100" s="1">
        <v>3</v>
      </c>
      <c r="J4100" s="2">
        <v>45721</v>
      </c>
      <c r="K4100" s="2">
        <v>45717</v>
      </c>
      <c r="L4100" s="1" t="str">
        <f t="shared" si="480"/>
        <v>qua</v>
      </c>
      <c r="M4100" s="1" t="str">
        <f t="shared" si="481"/>
        <v>mar</v>
      </c>
      <c r="N4100">
        <f t="shared" si="482"/>
        <v>2025</v>
      </c>
      <c r="O4100" s="2">
        <f>_xlfn.XLOOKUP(A4100,Colaboradores!$A:$A,Colaboradores!$S:$S,"",0)</f>
        <v>45748</v>
      </c>
      <c r="P4100" t="str">
        <f t="shared" si="483"/>
        <v>185045721</v>
      </c>
    </row>
    <row r="4101" spans="1:16" x14ac:dyDescent="0.3">
      <c r="A4101">
        <v>1850</v>
      </c>
      <c r="B4101">
        <v>40</v>
      </c>
      <c r="C4101" t="s">
        <v>26</v>
      </c>
      <c r="D4101" t="s">
        <v>16</v>
      </c>
      <c r="E4101" t="s">
        <v>17</v>
      </c>
      <c r="F4101" t="s">
        <v>23</v>
      </c>
      <c r="G4101" t="s">
        <v>41</v>
      </c>
      <c r="H4101" t="s">
        <v>20</v>
      </c>
      <c r="I4101" s="1">
        <v>3</v>
      </c>
      <c r="J4101" s="2">
        <v>45722</v>
      </c>
      <c r="K4101" s="2">
        <v>45717</v>
      </c>
      <c r="L4101" s="1" t="str">
        <f t="shared" si="480"/>
        <v>qui</v>
      </c>
      <c r="M4101" s="1" t="str">
        <f t="shared" si="481"/>
        <v>mar</v>
      </c>
      <c r="N4101">
        <f t="shared" si="482"/>
        <v>2025</v>
      </c>
      <c r="O4101" s="2">
        <f>_xlfn.XLOOKUP(A4101,Colaboradores!$A:$A,Colaboradores!$S:$S,"",0)</f>
        <v>45748</v>
      </c>
      <c r="P4101" t="str">
        <f t="shared" si="483"/>
        <v>185045722</v>
      </c>
    </row>
    <row r="4102" spans="1:16" x14ac:dyDescent="0.3">
      <c r="A4102">
        <v>1850</v>
      </c>
      <c r="B4102">
        <v>40</v>
      </c>
      <c r="C4102" t="s">
        <v>26</v>
      </c>
      <c r="D4102" t="s">
        <v>16</v>
      </c>
      <c r="E4102" t="s">
        <v>17</v>
      </c>
      <c r="F4102" t="s">
        <v>23</v>
      </c>
      <c r="G4102" t="s">
        <v>41</v>
      </c>
      <c r="H4102" t="s">
        <v>20</v>
      </c>
      <c r="I4102" s="1">
        <v>3</v>
      </c>
      <c r="J4102" s="2">
        <v>45733</v>
      </c>
      <c r="K4102" s="2">
        <v>45717</v>
      </c>
      <c r="L4102" s="1" t="str">
        <f t="shared" si="480"/>
        <v>seg</v>
      </c>
      <c r="M4102" s="1" t="str">
        <f t="shared" si="481"/>
        <v>mar</v>
      </c>
      <c r="N4102">
        <f t="shared" si="482"/>
        <v>2025</v>
      </c>
      <c r="O4102" s="2">
        <f>_xlfn.XLOOKUP(A4102,Colaboradores!$A:$A,Colaboradores!$S:$S,"",0)</f>
        <v>45748</v>
      </c>
      <c r="P4102" t="str">
        <f t="shared" si="483"/>
        <v>185045733</v>
      </c>
    </row>
    <row r="4103" spans="1:16" x14ac:dyDescent="0.3">
      <c r="A4103">
        <v>1850</v>
      </c>
      <c r="B4103">
        <v>40</v>
      </c>
      <c r="C4103" t="s">
        <v>26</v>
      </c>
      <c r="D4103" t="s">
        <v>16</v>
      </c>
      <c r="E4103" t="s">
        <v>17</v>
      </c>
      <c r="F4103" t="s">
        <v>23</v>
      </c>
      <c r="G4103" t="s">
        <v>41</v>
      </c>
      <c r="H4103" t="s">
        <v>20</v>
      </c>
      <c r="I4103" s="1">
        <v>3</v>
      </c>
      <c r="J4103" s="2">
        <v>46138</v>
      </c>
      <c r="L4103" s="1" t="str">
        <f t="shared" si="480"/>
        <v>dom</v>
      </c>
      <c r="M4103" s="1" t="str">
        <f t="shared" si="481"/>
        <v>abr</v>
      </c>
      <c r="N4103">
        <f t="shared" si="482"/>
        <v>2026</v>
      </c>
      <c r="P4103" t="str">
        <f t="shared" si="483"/>
        <v>185046138</v>
      </c>
    </row>
    <row r="4104" spans="1:16" x14ac:dyDescent="0.3">
      <c r="A4104">
        <v>1850</v>
      </c>
      <c r="B4104">
        <v>40</v>
      </c>
      <c r="C4104" t="s">
        <v>26</v>
      </c>
      <c r="D4104" t="s">
        <v>16</v>
      </c>
      <c r="E4104" t="s">
        <v>17</v>
      </c>
      <c r="F4104" t="s">
        <v>23</v>
      </c>
      <c r="G4104" t="s">
        <v>41</v>
      </c>
      <c r="H4104" t="s">
        <v>20</v>
      </c>
      <c r="I4104" s="1">
        <v>3</v>
      </c>
      <c r="J4104" s="2">
        <v>46140</v>
      </c>
      <c r="L4104" s="1" t="str">
        <f t="shared" si="480"/>
        <v>ter</v>
      </c>
      <c r="M4104" s="1" t="str">
        <f t="shared" si="481"/>
        <v>abr</v>
      </c>
      <c r="N4104">
        <f t="shared" si="482"/>
        <v>2026</v>
      </c>
      <c r="P4104" t="str">
        <f t="shared" si="483"/>
        <v>185046140</v>
      </c>
    </row>
    <row r="4105" spans="1:16" x14ac:dyDescent="0.3">
      <c r="A4105">
        <v>1850</v>
      </c>
      <c r="B4105">
        <v>40</v>
      </c>
      <c r="C4105" t="s">
        <v>26</v>
      </c>
      <c r="D4105" t="s">
        <v>16</v>
      </c>
      <c r="E4105" t="s">
        <v>17</v>
      </c>
      <c r="F4105" t="s">
        <v>23</v>
      </c>
      <c r="G4105" t="s">
        <v>41</v>
      </c>
      <c r="H4105" t="s">
        <v>20</v>
      </c>
      <c r="I4105" s="1">
        <v>3</v>
      </c>
      <c r="J4105" s="2">
        <v>46141</v>
      </c>
      <c r="L4105" s="1" t="str">
        <f t="shared" si="480"/>
        <v>qua</v>
      </c>
      <c r="M4105" s="1" t="str">
        <f t="shared" si="481"/>
        <v>abr</v>
      </c>
      <c r="N4105">
        <f t="shared" si="482"/>
        <v>2026</v>
      </c>
      <c r="P4105" t="str">
        <f t="shared" si="483"/>
        <v>185046141</v>
      </c>
    </row>
    <row r="4106" spans="1:16" x14ac:dyDescent="0.3">
      <c r="A4106">
        <v>1850</v>
      </c>
      <c r="B4106">
        <v>40</v>
      </c>
      <c r="C4106" t="s">
        <v>26</v>
      </c>
      <c r="D4106" t="s">
        <v>16</v>
      </c>
      <c r="E4106" t="s">
        <v>17</v>
      </c>
      <c r="F4106" t="s">
        <v>23</v>
      </c>
      <c r="G4106" t="s">
        <v>41</v>
      </c>
      <c r="H4106" t="s">
        <v>20</v>
      </c>
      <c r="I4106" s="1">
        <v>3</v>
      </c>
      <c r="J4106" s="2">
        <v>46113</v>
      </c>
      <c r="L4106" s="1" t="str">
        <f t="shared" si="480"/>
        <v>qua</v>
      </c>
      <c r="M4106" s="1" t="str">
        <f t="shared" si="481"/>
        <v>abr</v>
      </c>
      <c r="N4106">
        <f t="shared" si="482"/>
        <v>2026</v>
      </c>
      <c r="P4106" t="str">
        <f t="shared" si="483"/>
        <v>185046113</v>
      </c>
    </row>
    <row r="4107" spans="1:16" x14ac:dyDescent="0.3">
      <c r="A4107">
        <v>1850</v>
      </c>
      <c r="B4107">
        <v>40</v>
      </c>
      <c r="C4107" t="s">
        <v>26</v>
      </c>
      <c r="D4107" t="s">
        <v>16</v>
      </c>
      <c r="E4107" t="s">
        <v>17</v>
      </c>
      <c r="F4107" t="s">
        <v>23</v>
      </c>
      <c r="G4107" t="s">
        <v>41</v>
      </c>
      <c r="H4107" t="s">
        <v>20</v>
      </c>
      <c r="I4107" s="1">
        <v>3</v>
      </c>
      <c r="J4107" s="2">
        <v>46114</v>
      </c>
      <c r="L4107" s="1" t="str">
        <f t="shared" si="480"/>
        <v>qui</v>
      </c>
      <c r="M4107" s="1" t="str">
        <f t="shared" si="481"/>
        <v>abr</v>
      </c>
      <c r="N4107">
        <f t="shared" si="482"/>
        <v>2026</v>
      </c>
      <c r="P4107" t="str">
        <f t="shared" si="483"/>
        <v>185046114</v>
      </c>
    </row>
    <row r="4108" spans="1:16" x14ac:dyDescent="0.3">
      <c r="A4108">
        <v>1850</v>
      </c>
      <c r="B4108">
        <v>40</v>
      </c>
      <c r="C4108" t="s">
        <v>26</v>
      </c>
      <c r="D4108" t="s">
        <v>16</v>
      </c>
      <c r="E4108" t="s">
        <v>17</v>
      </c>
      <c r="F4108" t="s">
        <v>23</v>
      </c>
      <c r="G4108" t="s">
        <v>41</v>
      </c>
      <c r="H4108" t="s">
        <v>20</v>
      </c>
      <c r="I4108" s="1">
        <v>3</v>
      </c>
      <c r="J4108" s="2">
        <v>46122</v>
      </c>
      <c r="L4108" s="1" t="str">
        <f t="shared" si="480"/>
        <v>sex</v>
      </c>
      <c r="M4108" s="1" t="str">
        <f t="shared" si="481"/>
        <v>abr</v>
      </c>
      <c r="N4108">
        <f t="shared" si="482"/>
        <v>2026</v>
      </c>
      <c r="P4108" t="str">
        <f t="shared" si="483"/>
        <v>185046122</v>
      </c>
    </row>
    <row r="4109" spans="1:16" x14ac:dyDescent="0.3">
      <c r="A4109">
        <v>1850</v>
      </c>
      <c r="B4109">
        <v>40</v>
      </c>
      <c r="C4109" t="s">
        <v>26</v>
      </c>
      <c r="D4109" t="s">
        <v>16</v>
      </c>
      <c r="E4109" t="s">
        <v>17</v>
      </c>
      <c r="F4109" t="s">
        <v>23</v>
      </c>
      <c r="G4109" t="s">
        <v>41</v>
      </c>
      <c r="H4109" t="s">
        <v>20</v>
      </c>
      <c r="I4109" s="1">
        <v>3</v>
      </c>
      <c r="J4109" s="2">
        <v>46127</v>
      </c>
      <c r="L4109" s="1" t="str">
        <f t="shared" si="480"/>
        <v>qua</v>
      </c>
      <c r="M4109" s="1" t="str">
        <f t="shared" si="481"/>
        <v>abr</v>
      </c>
      <c r="N4109">
        <f t="shared" si="482"/>
        <v>2026</v>
      </c>
      <c r="P4109" t="str">
        <f t="shared" si="483"/>
        <v>185046127</v>
      </c>
    </row>
    <row r="4110" spans="1:16" x14ac:dyDescent="0.3">
      <c r="A4110">
        <v>1850</v>
      </c>
      <c r="B4110">
        <v>40</v>
      </c>
      <c r="C4110" t="s">
        <v>26</v>
      </c>
      <c r="D4110" t="s">
        <v>16</v>
      </c>
      <c r="E4110" t="s">
        <v>17</v>
      </c>
      <c r="F4110" t="s">
        <v>23</v>
      </c>
      <c r="G4110" t="s">
        <v>41</v>
      </c>
      <c r="H4110" t="s">
        <v>20</v>
      </c>
      <c r="I4110" s="1">
        <v>3</v>
      </c>
      <c r="J4110" s="2">
        <v>46143</v>
      </c>
      <c r="L4110" s="1" t="str">
        <f t="shared" si="480"/>
        <v>sex</v>
      </c>
      <c r="M4110" s="1" t="str">
        <f t="shared" si="481"/>
        <v>mai</v>
      </c>
      <c r="N4110">
        <f t="shared" si="482"/>
        <v>2026</v>
      </c>
      <c r="P4110" t="str">
        <f t="shared" si="483"/>
        <v>185046143</v>
      </c>
    </row>
    <row r="4111" spans="1:16" x14ac:dyDescent="0.3">
      <c r="A4111">
        <v>1850</v>
      </c>
      <c r="B4111">
        <v>40</v>
      </c>
      <c r="C4111" t="s">
        <v>26</v>
      </c>
      <c r="D4111" t="s">
        <v>16</v>
      </c>
      <c r="E4111" t="s">
        <v>17</v>
      </c>
      <c r="F4111" t="s">
        <v>23</v>
      </c>
      <c r="G4111" t="s">
        <v>41</v>
      </c>
      <c r="H4111" t="s">
        <v>20</v>
      </c>
      <c r="I4111" s="1">
        <v>3</v>
      </c>
      <c r="J4111" s="2">
        <v>46144</v>
      </c>
      <c r="L4111" s="1" t="str">
        <f t="shared" si="480"/>
        <v>sáb</v>
      </c>
      <c r="M4111" s="1" t="str">
        <f t="shared" si="481"/>
        <v>mai</v>
      </c>
      <c r="N4111">
        <f t="shared" si="482"/>
        <v>2026</v>
      </c>
      <c r="P4111" t="str">
        <f t="shared" si="483"/>
        <v>185046144</v>
      </c>
    </row>
    <row r="4112" spans="1:16" x14ac:dyDescent="0.3">
      <c r="A4112">
        <v>1850</v>
      </c>
      <c r="B4112">
        <v>40</v>
      </c>
      <c r="C4112" t="s">
        <v>26</v>
      </c>
      <c r="D4112" t="s">
        <v>16</v>
      </c>
      <c r="E4112" t="s">
        <v>17</v>
      </c>
      <c r="F4112" t="s">
        <v>23</v>
      </c>
      <c r="G4112" t="s">
        <v>41</v>
      </c>
      <c r="H4112" t="s">
        <v>20</v>
      </c>
      <c r="I4112" s="1">
        <v>3</v>
      </c>
      <c r="J4112" s="2">
        <v>46152</v>
      </c>
      <c r="L4112" s="1" t="str">
        <f t="shared" si="480"/>
        <v>dom</v>
      </c>
      <c r="M4112" s="1" t="str">
        <f t="shared" si="481"/>
        <v>mai</v>
      </c>
      <c r="N4112">
        <f t="shared" si="482"/>
        <v>2026</v>
      </c>
      <c r="P4112" t="str">
        <f t="shared" si="483"/>
        <v>185046152</v>
      </c>
    </row>
    <row r="4113" spans="1:16" x14ac:dyDescent="0.3">
      <c r="A4113">
        <v>1850</v>
      </c>
      <c r="B4113">
        <v>40</v>
      </c>
      <c r="C4113" t="s">
        <v>26</v>
      </c>
      <c r="D4113" t="s">
        <v>16</v>
      </c>
      <c r="E4113" t="s">
        <v>17</v>
      </c>
      <c r="F4113" t="s">
        <v>23</v>
      </c>
      <c r="G4113" t="s">
        <v>41</v>
      </c>
      <c r="H4113" t="s">
        <v>20</v>
      </c>
      <c r="I4113" s="1">
        <v>3</v>
      </c>
      <c r="J4113" s="2">
        <v>46157</v>
      </c>
      <c r="L4113" s="1" t="str">
        <f t="shared" si="480"/>
        <v>sex</v>
      </c>
      <c r="M4113" s="1" t="str">
        <f t="shared" si="481"/>
        <v>mai</v>
      </c>
      <c r="N4113">
        <f t="shared" si="482"/>
        <v>2026</v>
      </c>
      <c r="P4113" t="str">
        <f t="shared" si="483"/>
        <v>185046157</v>
      </c>
    </row>
    <row r="4114" spans="1:16" x14ac:dyDescent="0.3">
      <c r="A4114">
        <v>1851</v>
      </c>
      <c r="B4114">
        <v>22</v>
      </c>
      <c r="C4114" t="s">
        <v>26</v>
      </c>
      <c r="D4114" t="s">
        <v>27</v>
      </c>
      <c r="E4114" t="s">
        <v>17</v>
      </c>
      <c r="F4114" t="s">
        <v>21</v>
      </c>
      <c r="G4114" t="s">
        <v>41</v>
      </c>
      <c r="H4114" t="s">
        <v>25</v>
      </c>
      <c r="I4114" s="1">
        <v>1</v>
      </c>
      <c r="J4114" s="2">
        <v>45821</v>
      </c>
      <c r="K4114" s="2">
        <v>45809</v>
      </c>
      <c r="L4114" s="1" t="str">
        <f t="shared" si="480"/>
        <v>sex</v>
      </c>
      <c r="M4114" s="1" t="str">
        <f t="shared" si="481"/>
        <v>jun</v>
      </c>
      <c r="N4114">
        <f t="shared" si="482"/>
        <v>2025</v>
      </c>
      <c r="O4114" s="2"/>
      <c r="P4114" t="str">
        <f t="shared" si="483"/>
        <v>185145821</v>
      </c>
    </row>
    <row r="4115" spans="1:16" x14ac:dyDescent="0.3">
      <c r="A4115">
        <v>1851</v>
      </c>
      <c r="B4115">
        <v>22</v>
      </c>
      <c r="C4115" t="s">
        <v>26</v>
      </c>
      <c r="D4115" t="s">
        <v>27</v>
      </c>
      <c r="E4115" t="s">
        <v>17</v>
      </c>
      <c r="F4115" t="s">
        <v>21</v>
      </c>
      <c r="G4115" t="s">
        <v>41</v>
      </c>
      <c r="H4115" t="s">
        <v>25</v>
      </c>
      <c r="I4115" s="1">
        <v>1</v>
      </c>
      <c r="J4115" s="2">
        <v>45838</v>
      </c>
      <c r="K4115" s="2">
        <v>45809</v>
      </c>
      <c r="L4115" s="1" t="str">
        <f t="shared" si="480"/>
        <v>seg</v>
      </c>
      <c r="M4115" s="1" t="str">
        <f t="shared" si="481"/>
        <v>jun</v>
      </c>
      <c r="N4115">
        <f t="shared" si="482"/>
        <v>2025</v>
      </c>
      <c r="O4115" s="2"/>
      <c r="P4115" t="str">
        <f t="shared" si="483"/>
        <v>185145838</v>
      </c>
    </row>
    <row r="4116" spans="1:16" x14ac:dyDescent="0.3">
      <c r="A4116">
        <v>1851</v>
      </c>
      <c r="B4116">
        <v>22</v>
      </c>
      <c r="C4116" t="s">
        <v>26</v>
      </c>
      <c r="D4116" t="s">
        <v>27</v>
      </c>
      <c r="E4116" t="s">
        <v>17</v>
      </c>
      <c r="F4116" t="s">
        <v>21</v>
      </c>
      <c r="G4116" t="s">
        <v>41</v>
      </c>
      <c r="H4116" t="s">
        <v>25</v>
      </c>
      <c r="I4116" s="1">
        <v>1</v>
      </c>
      <c r="J4116" s="2">
        <v>45887</v>
      </c>
      <c r="K4116" s="2">
        <v>45870</v>
      </c>
      <c r="L4116" s="1" t="str">
        <f t="shared" si="480"/>
        <v>seg</v>
      </c>
      <c r="M4116" s="1" t="str">
        <f t="shared" si="481"/>
        <v>ago</v>
      </c>
      <c r="N4116">
        <f t="shared" si="482"/>
        <v>2025</v>
      </c>
      <c r="O4116" s="2"/>
      <c r="P4116" t="str">
        <f t="shared" si="483"/>
        <v>185145887</v>
      </c>
    </row>
    <row r="4117" spans="1:16" x14ac:dyDescent="0.3">
      <c r="A4117">
        <v>1851</v>
      </c>
      <c r="B4117">
        <v>22</v>
      </c>
      <c r="C4117" t="s">
        <v>26</v>
      </c>
      <c r="D4117" t="s">
        <v>27</v>
      </c>
      <c r="E4117" t="s">
        <v>17</v>
      </c>
      <c r="F4117" t="s">
        <v>21</v>
      </c>
      <c r="G4117" t="s">
        <v>41</v>
      </c>
      <c r="H4117" t="s">
        <v>25</v>
      </c>
      <c r="I4117" s="1">
        <v>1</v>
      </c>
      <c r="J4117" s="2">
        <v>45900</v>
      </c>
      <c r="K4117" s="2">
        <v>45870</v>
      </c>
      <c r="L4117" s="1" t="str">
        <f t="shared" si="480"/>
        <v>dom</v>
      </c>
      <c r="M4117" s="1" t="str">
        <f t="shared" si="481"/>
        <v>ago</v>
      </c>
      <c r="N4117">
        <f t="shared" si="482"/>
        <v>2025</v>
      </c>
      <c r="O4117" s="2"/>
      <c r="P4117" t="str">
        <f t="shared" si="483"/>
        <v>185145900</v>
      </c>
    </row>
    <row r="4118" spans="1:16" x14ac:dyDescent="0.3">
      <c r="A4118">
        <v>1851</v>
      </c>
      <c r="B4118">
        <v>22</v>
      </c>
      <c r="C4118" t="s">
        <v>26</v>
      </c>
      <c r="D4118" t="s">
        <v>27</v>
      </c>
      <c r="E4118" t="s">
        <v>17</v>
      </c>
      <c r="F4118" t="s">
        <v>21</v>
      </c>
      <c r="G4118" t="s">
        <v>41</v>
      </c>
      <c r="H4118" t="s">
        <v>25</v>
      </c>
      <c r="I4118" s="1">
        <v>1</v>
      </c>
      <c r="J4118" s="2">
        <v>45942</v>
      </c>
      <c r="K4118" s="2">
        <v>45931</v>
      </c>
      <c r="L4118" s="1" t="str">
        <f t="shared" si="480"/>
        <v>dom</v>
      </c>
      <c r="M4118" s="1" t="str">
        <f t="shared" si="481"/>
        <v>out</v>
      </c>
      <c r="N4118">
        <f t="shared" si="482"/>
        <v>2025</v>
      </c>
      <c r="O4118" s="2"/>
      <c r="P4118" t="str">
        <f t="shared" si="483"/>
        <v>185145942</v>
      </c>
    </row>
    <row r="4119" spans="1:16" x14ac:dyDescent="0.3">
      <c r="A4119">
        <v>1852</v>
      </c>
      <c r="B4119">
        <v>34</v>
      </c>
      <c r="C4119" t="s">
        <v>15</v>
      </c>
      <c r="D4119" t="s">
        <v>22</v>
      </c>
      <c r="E4119" t="s">
        <v>17</v>
      </c>
      <c r="F4119" t="s">
        <v>21</v>
      </c>
      <c r="G4119" t="s">
        <v>41</v>
      </c>
      <c r="H4119" t="s">
        <v>20</v>
      </c>
      <c r="I4119" s="1">
        <v>1</v>
      </c>
      <c r="J4119" s="2">
        <v>45812</v>
      </c>
      <c r="K4119" s="2">
        <v>45809</v>
      </c>
      <c r="L4119" s="1" t="str">
        <f t="shared" si="480"/>
        <v>qua</v>
      </c>
      <c r="M4119" s="1" t="str">
        <f t="shared" si="481"/>
        <v>jun</v>
      </c>
      <c r="N4119">
        <f t="shared" si="482"/>
        <v>2025</v>
      </c>
      <c r="O4119" s="2">
        <f>_xlfn.XLOOKUP(A4119,Colaboradores!$A:$A,Colaboradores!$S:$S,"",0)</f>
        <v>45973</v>
      </c>
      <c r="P4119" t="str">
        <f t="shared" si="483"/>
        <v>185245812</v>
      </c>
    </row>
    <row r="4120" spans="1:16" x14ac:dyDescent="0.3">
      <c r="A4120">
        <v>1852</v>
      </c>
      <c r="B4120">
        <v>34</v>
      </c>
      <c r="C4120" t="s">
        <v>15</v>
      </c>
      <c r="D4120" t="s">
        <v>22</v>
      </c>
      <c r="E4120" t="s">
        <v>17</v>
      </c>
      <c r="F4120" t="s">
        <v>21</v>
      </c>
      <c r="G4120" t="s">
        <v>41</v>
      </c>
      <c r="H4120" t="s">
        <v>20</v>
      </c>
      <c r="I4120" s="1">
        <v>1</v>
      </c>
      <c r="J4120" s="2">
        <v>45824</v>
      </c>
      <c r="K4120" s="2">
        <v>45809</v>
      </c>
      <c r="L4120" s="1" t="str">
        <f t="shared" si="480"/>
        <v>seg</v>
      </c>
      <c r="M4120" s="1" t="str">
        <f t="shared" si="481"/>
        <v>jun</v>
      </c>
      <c r="N4120">
        <f t="shared" si="482"/>
        <v>2025</v>
      </c>
      <c r="O4120" s="2">
        <f>_xlfn.XLOOKUP(A4120,Colaboradores!$A:$A,Colaboradores!$S:$S,"",0)</f>
        <v>45973</v>
      </c>
      <c r="P4120" t="str">
        <f t="shared" si="483"/>
        <v>185245824</v>
      </c>
    </row>
    <row r="4121" spans="1:16" x14ac:dyDescent="0.3">
      <c r="A4121">
        <v>1852</v>
      </c>
      <c r="B4121">
        <v>34</v>
      </c>
      <c r="C4121" t="s">
        <v>15</v>
      </c>
      <c r="D4121" t="s">
        <v>22</v>
      </c>
      <c r="E4121" t="s">
        <v>17</v>
      </c>
      <c r="F4121" t="s">
        <v>21</v>
      </c>
      <c r="G4121" t="s">
        <v>41</v>
      </c>
      <c r="H4121" t="s">
        <v>20</v>
      </c>
      <c r="I4121" s="1">
        <v>1</v>
      </c>
      <c r="J4121" s="2">
        <v>45926</v>
      </c>
      <c r="K4121" s="2">
        <v>45901</v>
      </c>
      <c r="L4121" s="1" t="str">
        <f t="shared" si="480"/>
        <v>sex</v>
      </c>
      <c r="M4121" s="1" t="str">
        <f t="shared" si="481"/>
        <v>set</v>
      </c>
      <c r="N4121">
        <f t="shared" si="482"/>
        <v>2025</v>
      </c>
      <c r="O4121" s="2">
        <f>_xlfn.XLOOKUP(A4121,Colaboradores!$A:$A,Colaboradores!$S:$S,"",0)</f>
        <v>45973</v>
      </c>
      <c r="P4121" t="str">
        <f t="shared" si="483"/>
        <v>185245926</v>
      </c>
    </row>
    <row r="4122" spans="1:16" x14ac:dyDescent="0.3">
      <c r="A4122">
        <v>1852</v>
      </c>
      <c r="B4122">
        <v>34</v>
      </c>
      <c r="C4122" t="s">
        <v>15</v>
      </c>
      <c r="D4122" t="s">
        <v>22</v>
      </c>
      <c r="E4122" t="s">
        <v>17</v>
      </c>
      <c r="F4122" t="s">
        <v>21</v>
      </c>
      <c r="G4122" t="s">
        <v>41</v>
      </c>
      <c r="H4122" t="s">
        <v>20</v>
      </c>
      <c r="I4122" s="1">
        <v>1</v>
      </c>
      <c r="J4122" s="2">
        <v>45969</v>
      </c>
      <c r="K4122" s="2">
        <v>45962</v>
      </c>
      <c r="L4122" s="1" t="str">
        <f t="shared" si="480"/>
        <v>sáb</v>
      </c>
      <c r="M4122" s="1" t="str">
        <f t="shared" si="481"/>
        <v>nov</v>
      </c>
      <c r="N4122">
        <f t="shared" si="482"/>
        <v>2025</v>
      </c>
      <c r="O4122" s="2">
        <f>_xlfn.XLOOKUP(A4122,Colaboradores!$A:$A,Colaboradores!$S:$S,"",0)</f>
        <v>45973</v>
      </c>
      <c r="P4122" t="str">
        <f t="shared" si="483"/>
        <v>185245969</v>
      </c>
    </row>
    <row r="4123" spans="1:16" x14ac:dyDescent="0.3">
      <c r="A4123">
        <v>1852</v>
      </c>
      <c r="B4123">
        <v>34</v>
      </c>
      <c r="C4123" t="s">
        <v>15</v>
      </c>
      <c r="D4123" t="s">
        <v>22</v>
      </c>
      <c r="E4123" t="s">
        <v>17</v>
      </c>
      <c r="F4123" t="s">
        <v>21</v>
      </c>
      <c r="G4123" t="s">
        <v>41</v>
      </c>
      <c r="H4123" t="s">
        <v>20</v>
      </c>
      <c r="I4123" s="1">
        <v>1</v>
      </c>
      <c r="J4123" s="2">
        <v>45971</v>
      </c>
      <c r="K4123" s="2">
        <v>45962</v>
      </c>
      <c r="L4123" s="1" t="str">
        <f t="shared" si="480"/>
        <v>seg</v>
      </c>
      <c r="M4123" s="1" t="str">
        <f t="shared" si="481"/>
        <v>nov</v>
      </c>
      <c r="N4123">
        <f t="shared" si="482"/>
        <v>2025</v>
      </c>
      <c r="O4123" s="2">
        <f>_xlfn.XLOOKUP(A4123,Colaboradores!$A:$A,Colaboradores!$S:$S,"",0)</f>
        <v>45973</v>
      </c>
      <c r="P4123" t="str">
        <f t="shared" si="483"/>
        <v>185245971</v>
      </c>
    </row>
    <row r="4124" spans="1:16" x14ac:dyDescent="0.3">
      <c r="A4124">
        <v>1852</v>
      </c>
      <c r="B4124">
        <v>34</v>
      </c>
      <c r="C4124" t="s">
        <v>15</v>
      </c>
      <c r="D4124" t="s">
        <v>22</v>
      </c>
      <c r="E4124" t="s">
        <v>17</v>
      </c>
      <c r="F4124" t="s">
        <v>21</v>
      </c>
      <c r="G4124" t="s">
        <v>41</v>
      </c>
      <c r="H4124" t="s">
        <v>20</v>
      </c>
      <c r="I4124" s="1">
        <v>1</v>
      </c>
      <c r="J4124" s="2">
        <v>45972</v>
      </c>
      <c r="K4124" s="2">
        <v>45962</v>
      </c>
      <c r="L4124" s="1" t="str">
        <f t="shared" si="480"/>
        <v>ter</v>
      </c>
      <c r="M4124" s="1" t="str">
        <f t="shared" si="481"/>
        <v>nov</v>
      </c>
      <c r="N4124">
        <f t="shared" si="482"/>
        <v>2025</v>
      </c>
      <c r="O4124" s="2">
        <f>_xlfn.XLOOKUP(A4124,Colaboradores!$A:$A,Colaboradores!$S:$S,"",0)</f>
        <v>45973</v>
      </c>
      <c r="P4124" t="str">
        <f t="shared" si="483"/>
        <v>185245972</v>
      </c>
    </row>
    <row r="4125" spans="1:16" x14ac:dyDescent="0.3">
      <c r="A4125">
        <v>1853</v>
      </c>
      <c r="B4125">
        <v>41</v>
      </c>
      <c r="C4125" t="s">
        <v>26</v>
      </c>
      <c r="D4125" t="s">
        <v>31</v>
      </c>
      <c r="E4125" t="s">
        <v>32</v>
      </c>
      <c r="F4125" t="s">
        <v>23</v>
      </c>
      <c r="G4125" t="s">
        <v>41</v>
      </c>
      <c r="H4125" t="s">
        <v>25</v>
      </c>
      <c r="I4125" s="1">
        <v>1</v>
      </c>
      <c r="J4125" s="2">
        <v>45777</v>
      </c>
      <c r="K4125" s="2">
        <v>45748</v>
      </c>
      <c r="L4125" s="1" t="str">
        <f t="shared" si="480"/>
        <v>qua</v>
      </c>
      <c r="M4125" s="1" t="str">
        <f t="shared" si="481"/>
        <v>abr</v>
      </c>
      <c r="N4125">
        <f t="shared" si="482"/>
        <v>2025</v>
      </c>
      <c r="O4125" s="2"/>
      <c r="P4125" t="str">
        <f t="shared" si="483"/>
        <v>185345777</v>
      </c>
    </row>
    <row r="4126" spans="1:16" x14ac:dyDescent="0.3">
      <c r="A4126">
        <v>1853</v>
      </c>
      <c r="B4126">
        <v>41</v>
      </c>
      <c r="C4126" t="s">
        <v>26</v>
      </c>
      <c r="D4126" t="s">
        <v>31</v>
      </c>
      <c r="E4126" t="s">
        <v>32</v>
      </c>
      <c r="F4126" t="s">
        <v>23</v>
      </c>
      <c r="G4126" t="s">
        <v>41</v>
      </c>
      <c r="H4126" t="s">
        <v>25</v>
      </c>
      <c r="I4126" s="1">
        <v>1</v>
      </c>
      <c r="J4126" s="2">
        <v>45936</v>
      </c>
      <c r="K4126" s="2">
        <v>45931</v>
      </c>
      <c r="L4126" s="1" t="str">
        <f t="shared" si="480"/>
        <v>seg</v>
      </c>
      <c r="M4126" s="1" t="str">
        <f t="shared" si="481"/>
        <v>out</v>
      </c>
      <c r="N4126">
        <f t="shared" si="482"/>
        <v>2025</v>
      </c>
      <c r="O4126" s="2"/>
      <c r="P4126" t="str">
        <f t="shared" si="483"/>
        <v>185345936</v>
      </c>
    </row>
    <row r="4127" spans="1:16" x14ac:dyDescent="0.3">
      <c r="A4127">
        <v>1853</v>
      </c>
      <c r="B4127">
        <v>41</v>
      </c>
      <c r="C4127" t="s">
        <v>26</v>
      </c>
      <c r="D4127" t="s">
        <v>31</v>
      </c>
      <c r="E4127" t="s">
        <v>32</v>
      </c>
      <c r="F4127" t="s">
        <v>23</v>
      </c>
      <c r="G4127" t="s">
        <v>41</v>
      </c>
      <c r="H4127" t="s">
        <v>25</v>
      </c>
      <c r="I4127" s="1">
        <v>1</v>
      </c>
      <c r="J4127" s="2">
        <v>45980</v>
      </c>
      <c r="K4127" s="2">
        <v>45962</v>
      </c>
      <c r="L4127" s="1" t="str">
        <f t="shared" si="480"/>
        <v>qua</v>
      </c>
      <c r="M4127" s="1" t="str">
        <f t="shared" si="481"/>
        <v>nov</v>
      </c>
      <c r="N4127">
        <f t="shared" si="482"/>
        <v>2025</v>
      </c>
      <c r="O4127" s="2"/>
      <c r="P4127" t="str">
        <f t="shared" si="483"/>
        <v>185345980</v>
      </c>
    </row>
    <row r="4128" spans="1:16" x14ac:dyDescent="0.3">
      <c r="A4128">
        <v>1853</v>
      </c>
      <c r="B4128">
        <v>41</v>
      </c>
      <c r="C4128" t="s">
        <v>26</v>
      </c>
      <c r="D4128" t="s">
        <v>31</v>
      </c>
      <c r="E4128" t="s">
        <v>32</v>
      </c>
      <c r="F4128" t="s">
        <v>23</v>
      </c>
      <c r="G4128" t="s">
        <v>41</v>
      </c>
      <c r="H4128" t="s">
        <v>25</v>
      </c>
      <c r="I4128" s="1">
        <v>1</v>
      </c>
      <c r="J4128" s="2">
        <v>46176</v>
      </c>
      <c r="K4128" s="2">
        <v>46023</v>
      </c>
      <c r="L4128" s="1" t="str">
        <f t="shared" si="480"/>
        <v>qua</v>
      </c>
      <c r="M4128" s="1" t="str">
        <f t="shared" si="481"/>
        <v>jun</v>
      </c>
      <c r="N4128">
        <f t="shared" si="482"/>
        <v>2026</v>
      </c>
      <c r="O4128" s="2"/>
      <c r="P4128" t="str">
        <f t="shared" si="483"/>
        <v>185346176</v>
      </c>
    </row>
    <row r="4129" spans="1:16" x14ac:dyDescent="0.3">
      <c r="A4129">
        <v>1853</v>
      </c>
      <c r="B4129">
        <v>41</v>
      </c>
      <c r="C4129" t="s">
        <v>26</v>
      </c>
      <c r="D4129" t="s">
        <v>31</v>
      </c>
      <c r="E4129" t="s">
        <v>32</v>
      </c>
      <c r="F4129" t="s">
        <v>23</v>
      </c>
      <c r="G4129" t="s">
        <v>41</v>
      </c>
      <c r="H4129" t="s">
        <v>25</v>
      </c>
      <c r="I4129" s="1">
        <v>1</v>
      </c>
      <c r="J4129" s="2">
        <v>46142</v>
      </c>
      <c r="K4129" s="2">
        <v>46113</v>
      </c>
      <c r="L4129" s="1" t="s">
        <v>51</v>
      </c>
      <c r="M4129" s="1" t="s">
        <v>48</v>
      </c>
      <c r="N4129">
        <v>2025</v>
      </c>
      <c r="O4129" s="2"/>
      <c r="P4129" t="str">
        <f t="shared" si="483"/>
        <v>185346142</v>
      </c>
    </row>
    <row r="4130" spans="1:16" x14ac:dyDescent="0.3">
      <c r="A4130">
        <v>1854</v>
      </c>
      <c r="B4130">
        <v>25</v>
      </c>
      <c r="C4130" t="s">
        <v>15</v>
      </c>
      <c r="D4130" t="s">
        <v>16</v>
      </c>
      <c r="E4130" t="s">
        <v>17</v>
      </c>
      <c r="F4130" t="s">
        <v>21</v>
      </c>
      <c r="G4130" t="s">
        <v>41</v>
      </c>
      <c r="H4130" t="s">
        <v>20</v>
      </c>
      <c r="I4130" s="1">
        <v>1</v>
      </c>
      <c r="J4130" s="2">
        <v>45767</v>
      </c>
      <c r="K4130" s="2">
        <v>45748</v>
      </c>
      <c r="L4130" s="1" t="str">
        <f t="shared" ref="L4130:L4172" si="484">TEXT(J4130,"ddd")</f>
        <v>dom</v>
      </c>
      <c r="M4130" s="1" t="str">
        <f t="shared" ref="M4130:M4172" si="485">TEXT($J4130,"mmm")</f>
        <v>abr</v>
      </c>
      <c r="N4130">
        <f t="shared" ref="N4130:N4172" si="486">YEAR(J4130)</f>
        <v>2025</v>
      </c>
      <c r="O4130" s="2">
        <f>_xlfn.XLOOKUP(A4130,Colaboradores!$A:$A,Colaboradores!$S:$S,"",0)</f>
        <v>46004</v>
      </c>
      <c r="P4130" t="str">
        <f t="shared" si="483"/>
        <v>185445767</v>
      </c>
    </row>
    <row r="4131" spans="1:16" x14ac:dyDescent="0.3">
      <c r="A4131">
        <v>1854</v>
      </c>
      <c r="B4131">
        <v>25</v>
      </c>
      <c r="C4131" t="s">
        <v>15</v>
      </c>
      <c r="D4131" t="s">
        <v>16</v>
      </c>
      <c r="E4131" t="s">
        <v>17</v>
      </c>
      <c r="F4131" t="s">
        <v>21</v>
      </c>
      <c r="G4131" t="s">
        <v>41</v>
      </c>
      <c r="H4131" t="s">
        <v>20</v>
      </c>
      <c r="I4131" s="1">
        <v>1</v>
      </c>
      <c r="J4131" s="2">
        <v>45789</v>
      </c>
      <c r="K4131" s="2">
        <v>45778</v>
      </c>
      <c r="L4131" s="1" t="str">
        <f t="shared" si="484"/>
        <v>seg</v>
      </c>
      <c r="M4131" s="1" t="str">
        <f t="shared" si="485"/>
        <v>mai</v>
      </c>
      <c r="N4131">
        <f t="shared" si="486"/>
        <v>2025</v>
      </c>
      <c r="O4131" s="2">
        <f>_xlfn.XLOOKUP(A4131,Colaboradores!$A:$A,Colaboradores!$S:$S,"",0)</f>
        <v>46004</v>
      </c>
      <c r="P4131" t="str">
        <f t="shared" si="483"/>
        <v>185445789</v>
      </c>
    </row>
    <row r="4132" spans="1:16" x14ac:dyDescent="0.3">
      <c r="A4132">
        <v>1854</v>
      </c>
      <c r="B4132">
        <v>25</v>
      </c>
      <c r="C4132" t="s">
        <v>15</v>
      </c>
      <c r="D4132" t="s">
        <v>16</v>
      </c>
      <c r="E4132" t="s">
        <v>17</v>
      </c>
      <c r="F4132" t="s">
        <v>21</v>
      </c>
      <c r="G4132" t="s">
        <v>41</v>
      </c>
      <c r="H4132" t="s">
        <v>20</v>
      </c>
      <c r="I4132" s="1">
        <v>1</v>
      </c>
      <c r="J4132" s="2">
        <v>45906</v>
      </c>
      <c r="K4132" s="2">
        <v>45901</v>
      </c>
      <c r="L4132" s="1" t="str">
        <f t="shared" si="484"/>
        <v>sáb</v>
      </c>
      <c r="M4132" s="1" t="str">
        <f t="shared" si="485"/>
        <v>set</v>
      </c>
      <c r="N4132">
        <f t="shared" si="486"/>
        <v>2025</v>
      </c>
      <c r="O4132" s="2">
        <f>_xlfn.XLOOKUP(A4132,Colaboradores!$A:$A,Colaboradores!$S:$S,"",0)</f>
        <v>46004</v>
      </c>
      <c r="P4132" t="str">
        <f t="shared" si="483"/>
        <v>185445906</v>
      </c>
    </row>
    <row r="4133" spans="1:16" x14ac:dyDescent="0.3">
      <c r="A4133">
        <v>1854</v>
      </c>
      <c r="B4133">
        <v>25</v>
      </c>
      <c r="C4133" t="s">
        <v>15</v>
      </c>
      <c r="D4133" t="s">
        <v>16</v>
      </c>
      <c r="E4133" t="s">
        <v>17</v>
      </c>
      <c r="F4133" t="s">
        <v>21</v>
      </c>
      <c r="G4133" t="s">
        <v>41</v>
      </c>
      <c r="H4133" t="s">
        <v>20</v>
      </c>
      <c r="I4133" s="1">
        <v>1</v>
      </c>
      <c r="J4133" s="2">
        <v>45941</v>
      </c>
      <c r="K4133" s="2">
        <v>45931</v>
      </c>
      <c r="L4133" s="1" t="str">
        <f t="shared" si="484"/>
        <v>sáb</v>
      </c>
      <c r="M4133" s="1" t="str">
        <f t="shared" si="485"/>
        <v>out</v>
      </c>
      <c r="N4133">
        <f t="shared" si="486"/>
        <v>2025</v>
      </c>
      <c r="O4133" s="2">
        <f>_xlfn.XLOOKUP(A4133,Colaboradores!$A:$A,Colaboradores!$S:$S,"",0)</f>
        <v>46004</v>
      </c>
      <c r="P4133" t="str">
        <f t="shared" si="483"/>
        <v>185445941</v>
      </c>
    </row>
    <row r="4134" spans="1:16" x14ac:dyDescent="0.3">
      <c r="A4134">
        <v>1854</v>
      </c>
      <c r="B4134">
        <v>25</v>
      </c>
      <c r="C4134" t="s">
        <v>15</v>
      </c>
      <c r="D4134" t="s">
        <v>16</v>
      </c>
      <c r="E4134" t="s">
        <v>17</v>
      </c>
      <c r="F4134" t="s">
        <v>21</v>
      </c>
      <c r="G4134" t="s">
        <v>41</v>
      </c>
      <c r="H4134" t="s">
        <v>20</v>
      </c>
      <c r="I4134" s="1">
        <v>1</v>
      </c>
      <c r="J4134" s="2">
        <v>45945</v>
      </c>
      <c r="K4134" s="2">
        <v>45931</v>
      </c>
      <c r="L4134" s="1" t="str">
        <f t="shared" si="484"/>
        <v>qua</v>
      </c>
      <c r="M4134" s="1" t="str">
        <f t="shared" si="485"/>
        <v>out</v>
      </c>
      <c r="N4134">
        <f t="shared" si="486"/>
        <v>2025</v>
      </c>
      <c r="O4134" s="2">
        <f>_xlfn.XLOOKUP(A4134,Colaboradores!$A:$A,Colaboradores!$S:$S,"",0)</f>
        <v>46004</v>
      </c>
      <c r="P4134" t="str">
        <f t="shared" si="483"/>
        <v>185445945</v>
      </c>
    </row>
    <row r="4135" spans="1:16" x14ac:dyDescent="0.3">
      <c r="A4135">
        <v>1854</v>
      </c>
      <c r="B4135">
        <v>25</v>
      </c>
      <c r="C4135" t="s">
        <v>15</v>
      </c>
      <c r="D4135" t="s">
        <v>16</v>
      </c>
      <c r="E4135" t="s">
        <v>17</v>
      </c>
      <c r="F4135" t="s">
        <v>21</v>
      </c>
      <c r="G4135" t="s">
        <v>41</v>
      </c>
      <c r="H4135" t="s">
        <v>20</v>
      </c>
      <c r="I4135" s="1">
        <v>1</v>
      </c>
      <c r="J4135" s="2">
        <v>45970</v>
      </c>
      <c r="K4135" s="2">
        <v>45962</v>
      </c>
      <c r="L4135" s="1" t="str">
        <f t="shared" si="484"/>
        <v>dom</v>
      </c>
      <c r="M4135" s="1" t="str">
        <f t="shared" si="485"/>
        <v>nov</v>
      </c>
      <c r="N4135">
        <f t="shared" si="486"/>
        <v>2025</v>
      </c>
      <c r="O4135" s="2">
        <f>_xlfn.XLOOKUP(A4135,Colaboradores!$A:$A,Colaboradores!$S:$S,"",0)</f>
        <v>46004</v>
      </c>
      <c r="P4135" t="str">
        <f t="shared" si="483"/>
        <v>185445970</v>
      </c>
    </row>
    <row r="4136" spans="1:16" x14ac:dyDescent="0.3">
      <c r="A4136">
        <v>1856</v>
      </c>
      <c r="B4136">
        <v>30</v>
      </c>
      <c r="C4136" t="s">
        <v>15</v>
      </c>
      <c r="D4136" t="s">
        <v>16</v>
      </c>
      <c r="E4136" t="s">
        <v>17</v>
      </c>
      <c r="F4136" t="s">
        <v>18</v>
      </c>
      <c r="G4136" t="s">
        <v>41</v>
      </c>
      <c r="H4136" t="s">
        <v>25</v>
      </c>
      <c r="I4136" s="1">
        <v>1</v>
      </c>
      <c r="J4136" s="2">
        <v>45817</v>
      </c>
      <c r="K4136" s="2">
        <v>45809</v>
      </c>
      <c r="L4136" s="1" t="str">
        <f t="shared" si="484"/>
        <v>seg</v>
      </c>
      <c r="M4136" s="1" t="str">
        <f t="shared" si="485"/>
        <v>jun</v>
      </c>
      <c r="N4136">
        <f t="shared" si="486"/>
        <v>2025</v>
      </c>
      <c r="O4136" s="2"/>
      <c r="P4136" t="str">
        <f t="shared" si="483"/>
        <v>185645817</v>
      </c>
    </row>
    <row r="4137" spans="1:16" x14ac:dyDescent="0.3">
      <c r="A4137">
        <v>1856</v>
      </c>
      <c r="B4137">
        <v>30</v>
      </c>
      <c r="C4137" t="s">
        <v>15</v>
      </c>
      <c r="D4137" t="s">
        <v>16</v>
      </c>
      <c r="E4137" t="s">
        <v>17</v>
      </c>
      <c r="F4137" t="s">
        <v>18</v>
      </c>
      <c r="G4137" t="s">
        <v>41</v>
      </c>
      <c r="H4137" t="s">
        <v>25</v>
      </c>
      <c r="I4137" s="1">
        <v>1</v>
      </c>
      <c r="J4137" s="2">
        <v>45850</v>
      </c>
      <c r="K4137" s="2">
        <v>45839</v>
      </c>
      <c r="L4137" s="1" t="str">
        <f t="shared" si="484"/>
        <v>sáb</v>
      </c>
      <c r="M4137" s="1" t="str">
        <f t="shared" si="485"/>
        <v>jul</v>
      </c>
      <c r="N4137">
        <f t="shared" si="486"/>
        <v>2025</v>
      </c>
      <c r="O4137" s="2"/>
      <c r="P4137" t="str">
        <f t="shared" si="483"/>
        <v>185645850</v>
      </c>
    </row>
    <row r="4138" spans="1:16" x14ac:dyDescent="0.3">
      <c r="A4138">
        <v>1856</v>
      </c>
      <c r="B4138">
        <v>30</v>
      </c>
      <c r="C4138" t="s">
        <v>15</v>
      </c>
      <c r="D4138" t="s">
        <v>16</v>
      </c>
      <c r="E4138" t="s">
        <v>17</v>
      </c>
      <c r="F4138" t="s">
        <v>18</v>
      </c>
      <c r="G4138" t="s">
        <v>41</v>
      </c>
      <c r="H4138" t="s">
        <v>25</v>
      </c>
      <c r="I4138" s="1">
        <v>1</v>
      </c>
      <c r="J4138" s="2">
        <v>45874</v>
      </c>
      <c r="K4138" s="2">
        <v>45870</v>
      </c>
      <c r="L4138" s="1" t="str">
        <f t="shared" si="484"/>
        <v>ter</v>
      </c>
      <c r="M4138" s="1" t="str">
        <f t="shared" si="485"/>
        <v>ago</v>
      </c>
      <c r="N4138">
        <f t="shared" si="486"/>
        <v>2025</v>
      </c>
      <c r="O4138" s="2"/>
      <c r="P4138" t="str">
        <f t="shared" si="483"/>
        <v>185645874</v>
      </c>
    </row>
    <row r="4139" spans="1:16" x14ac:dyDescent="0.3">
      <c r="A4139">
        <v>1856</v>
      </c>
      <c r="B4139">
        <v>30</v>
      </c>
      <c r="C4139" t="s">
        <v>15</v>
      </c>
      <c r="D4139" t="s">
        <v>16</v>
      </c>
      <c r="E4139" t="s">
        <v>17</v>
      </c>
      <c r="F4139" t="s">
        <v>18</v>
      </c>
      <c r="G4139" t="s">
        <v>41</v>
      </c>
      <c r="H4139" t="s">
        <v>25</v>
      </c>
      <c r="I4139" s="1">
        <v>1</v>
      </c>
      <c r="J4139" s="2">
        <v>46068</v>
      </c>
      <c r="K4139" s="2">
        <v>46054</v>
      </c>
      <c r="L4139" s="1" t="str">
        <f t="shared" si="484"/>
        <v>dom</v>
      </c>
      <c r="M4139" s="1" t="str">
        <f t="shared" si="485"/>
        <v>fev</v>
      </c>
      <c r="N4139">
        <f t="shared" si="486"/>
        <v>2026</v>
      </c>
      <c r="O4139" s="2"/>
      <c r="P4139" t="str">
        <f t="shared" si="483"/>
        <v>185646068</v>
      </c>
    </row>
    <row r="4140" spans="1:16" x14ac:dyDescent="0.3">
      <c r="A4140">
        <v>1857</v>
      </c>
      <c r="B4140">
        <v>42</v>
      </c>
      <c r="C4140" t="s">
        <v>26</v>
      </c>
      <c r="D4140" t="s">
        <v>16</v>
      </c>
      <c r="E4140" t="s">
        <v>17</v>
      </c>
      <c r="F4140" t="s">
        <v>21</v>
      </c>
      <c r="G4140" t="s">
        <v>41</v>
      </c>
      <c r="H4140" t="s">
        <v>20</v>
      </c>
      <c r="I4140" s="1">
        <v>1</v>
      </c>
      <c r="J4140" s="2">
        <v>45849</v>
      </c>
      <c r="K4140" s="2">
        <v>45839</v>
      </c>
      <c r="L4140" s="1" t="str">
        <f t="shared" si="484"/>
        <v>sex</v>
      </c>
      <c r="M4140" s="1" t="str">
        <f t="shared" si="485"/>
        <v>jul</v>
      </c>
      <c r="N4140">
        <f t="shared" si="486"/>
        <v>2025</v>
      </c>
      <c r="O4140" s="2">
        <f>_xlfn.XLOOKUP(A4140,Colaboradores!$A:$A,Colaboradores!$S:$S,"",0)</f>
        <v>46053</v>
      </c>
      <c r="P4140" t="str">
        <f t="shared" si="483"/>
        <v>185745849</v>
      </c>
    </row>
    <row r="4141" spans="1:16" x14ac:dyDescent="0.3">
      <c r="A4141">
        <v>1857</v>
      </c>
      <c r="B4141">
        <v>42</v>
      </c>
      <c r="C4141" t="s">
        <v>26</v>
      </c>
      <c r="D4141" t="s">
        <v>16</v>
      </c>
      <c r="E4141" t="s">
        <v>17</v>
      </c>
      <c r="F4141" t="s">
        <v>21</v>
      </c>
      <c r="G4141" t="s">
        <v>41</v>
      </c>
      <c r="H4141" t="s">
        <v>20</v>
      </c>
      <c r="I4141" s="1">
        <v>1</v>
      </c>
      <c r="J4141" s="2">
        <v>45969</v>
      </c>
      <c r="K4141" s="2">
        <v>45962</v>
      </c>
      <c r="L4141" s="1" t="str">
        <f t="shared" si="484"/>
        <v>sáb</v>
      </c>
      <c r="M4141" s="1" t="str">
        <f t="shared" si="485"/>
        <v>nov</v>
      </c>
      <c r="N4141">
        <f t="shared" si="486"/>
        <v>2025</v>
      </c>
      <c r="O4141" s="2">
        <f>_xlfn.XLOOKUP(A4141,Colaboradores!$A:$A,Colaboradores!$S:$S,"",0)</f>
        <v>46053</v>
      </c>
      <c r="P4141" t="str">
        <f t="shared" si="483"/>
        <v>185745969</v>
      </c>
    </row>
    <row r="4142" spans="1:16" x14ac:dyDescent="0.3">
      <c r="A4142">
        <v>1857</v>
      </c>
      <c r="B4142">
        <v>42</v>
      </c>
      <c r="C4142" t="s">
        <v>26</v>
      </c>
      <c r="D4142" t="s">
        <v>16</v>
      </c>
      <c r="E4142" t="s">
        <v>17</v>
      </c>
      <c r="F4142" t="s">
        <v>21</v>
      </c>
      <c r="G4142" t="s">
        <v>41</v>
      </c>
      <c r="H4142" t="s">
        <v>20</v>
      </c>
      <c r="I4142" s="1">
        <v>1</v>
      </c>
      <c r="J4142" s="2">
        <v>45974</v>
      </c>
      <c r="K4142" s="2">
        <v>45962</v>
      </c>
      <c r="L4142" s="1" t="str">
        <f t="shared" si="484"/>
        <v>qui</v>
      </c>
      <c r="M4142" s="1" t="str">
        <f t="shared" si="485"/>
        <v>nov</v>
      </c>
      <c r="N4142">
        <f t="shared" si="486"/>
        <v>2025</v>
      </c>
      <c r="O4142" s="2">
        <f>_xlfn.XLOOKUP(A4142,Colaboradores!$A:$A,Colaboradores!$S:$S,"",0)</f>
        <v>46053</v>
      </c>
      <c r="P4142" t="str">
        <f t="shared" si="483"/>
        <v>185745974</v>
      </c>
    </row>
    <row r="4143" spans="1:16" x14ac:dyDescent="0.3">
      <c r="A4143">
        <v>1857</v>
      </c>
      <c r="B4143">
        <v>42</v>
      </c>
      <c r="C4143" t="s">
        <v>26</v>
      </c>
      <c r="D4143" t="s">
        <v>16</v>
      </c>
      <c r="E4143" t="s">
        <v>17</v>
      </c>
      <c r="F4143" t="s">
        <v>21</v>
      </c>
      <c r="G4143" t="s">
        <v>41</v>
      </c>
      <c r="H4143" t="s">
        <v>20</v>
      </c>
      <c r="I4143" s="1">
        <v>1</v>
      </c>
      <c r="J4143" s="2">
        <v>45978</v>
      </c>
      <c r="K4143" s="2">
        <v>45962</v>
      </c>
      <c r="L4143" s="1" t="str">
        <f t="shared" si="484"/>
        <v>seg</v>
      </c>
      <c r="M4143" s="1" t="str">
        <f t="shared" si="485"/>
        <v>nov</v>
      </c>
      <c r="N4143">
        <f t="shared" si="486"/>
        <v>2025</v>
      </c>
      <c r="O4143" s="2">
        <f>_xlfn.XLOOKUP(A4143,Colaboradores!$A:$A,Colaboradores!$S:$S,"",0)</f>
        <v>46053</v>
      </c>
      <c r="P4143" t="str">
        <f t="shared" si="483"/>
        <v>185745978</v>
      </c>
    </row>
    <row r="4144" spans="1:16" x14ac:dyDescent="0.3">
      <c r="A4144">
        <v>1857</v>
      </c>
      <c r="B4144">
        <v>42</v>
      </c>
      <c r="C4144" t="s">
        <v>26</v>
      </c>
      <c r="D4144" t="s">
        <v>16</v>
      </c>
      <c r="E4144" t="s">
        <v>17</v>
      </c>
      <c r="F4144" t="s">
        <v>21</v>
      </c>
      <c r="G4144" t="s">
        <v>41</v>
      </c>
      <c r="H4144" t="s">
        <v>20</v>
      </c>
      <c r="I4144" s="1">
        <v>1</v>
      </c>
      <c r="J4144" s="2">
        <v>46178</v>
      </c>
      <c r="K4144" s="2">
        <v>46023</v>
      </c>
      <c r="L4144" s="1" t="str">
        <f t="shared" si="484"/>
        <v>sex</v>
      </c>
      <c r="M4144" s="1" t="str">
        <f t="shared" si="485"/>
        <v>jun</v>
      </c>
      <c r="N4144">
        <f t="shared" si="486"/>
        <v>2026</v>
      </c>
      <c r="O4144" s="2">
        <f>_xlfn.XLOOKUP(A4144,Colaboradores!$A:$A,Colaboradores!$S:$S,"",0)</f>
        <v>46053</v>
      </c>
      <c r="P4144" t="str">
        <f t="shared" si="483"/>
        <v>185746178</v>
      </c>
    </row>
    <row r="4145" spans="1:16" x14ac:dyDescent="0.3">
      <c r="A4145">
        <v>1858</v>
      </c>
      <c r="B4145">
        <v>32</v>
      </c>
      <c r="C4145" t="s">
        <v>26</v>
      </c>
      <c r="D4145" t="s">
        <v>27</v>
      </c>
      <c r="E4145" t="s">
        <v>17</v>
      </c>
      <c r="F4145" t="s">
        <v>18</v>
      </c>
      <c r="G4145" t="s">
        <v>41</v>
      </c>
      <c r="H4145" t="s">
        <v>25</v>
      </c>
      <c r="I4145" s="1">
        <v>2</v>
      </c>
      <c r="J4145" s="2">
        <v>45818</v>
      </c>
      <c r="K4145" s="2">
        <v>45809</v>
      </c>
      <c r="L4145" s="1" t="str">
        <f t="shared" si="484"/>
        <v>ter</v>
      </c>
      <c r="M4145" s="1" t="str">
        <f t="shared" si="485"/>
        <v>jun</v>
      </c>
      <c r="N4145">
        <f t="shared" si="486"/>
        <v>2025</v>
      </c>
      <c r="O4145" s="2"/>
      <c r="P4145" t="str">
        <f t="shared" si="483"/>
        <v>185845818</v>
      </c>
    </row>
    <row r="4146" spans="1:16" x14ac:dyDescent="0.3">
      <c r="A4146">
        <v>1858</v>
      </c>
      <c r="B4146">
        <v>32</v>
      </c>
      <c r="C4146" t="s">
        <v>26</v>
      </c>
      <c r="D4146" t="s">
        <v>27</v>
      </c>
      <c r="E4146" t="s">
        <v>17</v>
      </c>
      <c r="F4146" t="s">
        <v>18</v>
      </c>
      <c r="G4146" t="s">
        <v>41</v>
      </c>
      <c r="H4146" t="s">
        <v>25</v>
      </c>
      <c r="I4146" s="1">
        <v>2</v>
      </c>
      <c r="J4146" s="2">
        <v>45843</v>
      </c>
      <c r="K4146" s="2">
        <v>45839</v>
      </c>
      <c r="L4146" s="1" t="str">
        <f t="shared" si="484"/>
        <v>sáb</v>
      </c>
      <c r="M4146" s="1" t="str">
        <f t="shared" si="485"/>
        <v>jul</v>
      </c>
      <c r="N4146">
        <f t="shared" si="486"/>
        <v>2025</v>
      </c>
      <c r="O4146" s="2"/>
      <c r="P4146" t="str">
        <f t="shared" si="483"/>
        <v>185845843</v>
      </c>
    </row>
    <row r="4147" spans="1:16" x14ac:dyDescent="0.3">
      <c r="A4147">
        <v>1858</v>
      </c>
      <c r="B4147">
        <v>32</v>
      </c>
      <c r="C4147" t="s">
        <v>26</v>
      </c>
      <c r="D4147" t="s">
        <v>27</v>
      </c>
      <c r="E4147" t="s">
        <v>17</v>
      </c>
      <c r="F4147" t="s">
        <v>18</v>
      </c>
      <c r="G4147" t="s">
        <v>41</v>
      </c>
      <c r="H4147" t="s">
        <v>25</v>
      </c>
      <c r="I4147" s="1">
        <v>2</v>
      </c>
      <c r="J4147" s="2">
        <v>45948</v>
      </c>
      <c r="K4147" s="2">
        <v>45931</v>
      </c>
      <c r="L4147" s="1" t="str">
        <f t="shared" si="484"/>
        <v>sáb</v>
      </c>
      <c r="M4147" s="1" t="str">
        <f t="shared" si="485"/>
        <v>out</v>
      </c>
      <c r="N4147">
        <f t="shared" si="486"/>
        <v>2025</v>
      </c>
      <c r="O4147" s="2"/>
      <c r="P4147" t="str">
        <f t="shared" si="483"/>
        <v>185845948</v>
      </c>
    </row>
    <row r="4148" spans="1:16" x14ac:dyDescent="0.3">
      <c r="A4148">
        <v>1858</v>
      </c>
      <c r="B4148">
        <v>32</v>
      </c>
      <c r="C4148" t="s">
        <v>26</v>
      </c>
      <c r="D4148" t="s">
        <v>27</v>
      </c>
      <c r="E4148" t="s">
        <v>17</v>
      </c>
      <c r="F4148" t="s">
        <v>18</v>
      </c>
      <c r="G4148" t="s">
        <v>41</v>
      </c>
      <c r="H4148" t="s">
        <v>25</v>
      </c>
      <c r="I4148" s="1">
        <v>2</v>
      </c>
      <c r="J4148" s="2">
        <v>46187</v>
      </c>
      <c r="K4148" s="2">
        <v>46023</v>
      </c>
      <c r="L4148" s="1" t="str">
        <f t="shared" si="484"/>
        <v>dom</v>
      </c>
      <c r="M4148" s="1" t="str">
        <f t="shared" si="485"/>
        <v>jun</v>
      </c>
      <c r="N4148">
        <f t="shared" si="486"/>
        <v>2026</v>
      </c>
      <c r="O4148" s="2"/>
      <c r="P4148" t="str">
        <f t="shared" si="483"/>
        <v>185846187</v>
      </c>
    </row>
    <row r="4149" spans="1:16" x14ac:dyDescent="0.3">
      <c r="A4149">
        <v>1858</v>
      </c>
      <c r="B4149">
        <v>32</v>
      </c>
      <c r="C4149" t="s">
        <v>26</v>
      </c>
      <c r="D4149" t="s">
        <v>27</v>
      </c>
      <c r="E4149" t="s">
        <v>17</v>
      </c>
      <c r="F4149" t="s">
        <v>18</v>
      </c>
      <c r="G4149" t="s">
        <v>41</v>
      </c>
      <c r="H4149" t="s">
        <v>25</v>
      </c>
      <c r="I4149" s="1">
        <v>2</v>
      </c>
      <c r="J4149" s="2">
        <v>46084</v>
      </c>
      <c r="K4149" s="2">
        <v>46082</v>
      </c>
      <c r="L4149" s="1" t="str">
        <f t="shared" si="484"/>
        <v>ter</v>
      </c>
      <c r="M4149" s="1" t="str">
        <f t="shared" si="485"/>
        <v>mar</v>
      </c>
      <c r="N4149">
        <f t="shared" si="486"/>
        <v>2026</v>
      </c>
      <c r="O4149" s="2"/>
      <c r="P4149" t="str">
        <f t="shared" si="483"/>
        <v>185846084</v>
      </c>
    </row>
    <row r="4150" spans="1:16" x14ac:dyDescent="0.3">
      <c r="A4150">
        <v>1858</v>
      </c>
      <c r="B4150">
        <v>32</v>
      </c>
      <c r="C4150" t="s">
        <v>26</v>
      </c>
      <c r="D4150" t="s">
        <v>27</v>
      </c>
      <c r="E4150" t="s">
        <v>17</v>
      </c>
      <c r="F4150" t="s">
        <v>18</v>
      </c>
      <c r="G4150" t="s">
        <v>41</v>
      </c>
      <c r="H4150" t="s">
        <v>25</v>
      </c>
      <c r="I4150" s="1">
        <v>2</v>
      </c>
      <c r="J4150" s="2">
        <v>46098</v>
      </c>
      <c r="K4150" s="2">
        <v>46082</v>
      </c>
      <c r="L4150" s="1" t="str">
        <f t="shared" si="484"/>
        <v>ter</v>
      </c>
      <c r="M4150" s="1" t="str">
        <f t="shared" si="485"/>
        <v>mar</v>
      </c>
      <c r="N4150">
        <f t="shared" si="486"/>
        <v>2026</v>
      </c>
      <c r="O4150" s="2"/>
      <c r="P4150" t="str">
        <f t="shared" si="483"/>
        <v>185846098</v>
      </c>
    </row>
    <row r="4151" spans="1:16" x14ac:dyDescent="0.3">
      <c r="A4151">
        <v>1861</v>
      </c>
      <c r="B4151">
        <v>47</v>
      </c>
      <c r="C4151" t="s">
        <v>26</v>
      </c>
      <c r="D4151" t="s">
        <v>22</v>
      </c>
      <c r="E4151" t="s">
        <v>17</v>
      </c>
      <c r="F4151" t="s">
        <v>23</v>
      </c>
      <c r="G4151" t="s">
        <v>41</v>
      </c>
      <c r="H4151" t="s">
        <v>25</v>
      </c>
      <c r="I4151" s="1">
        <v>1</v>
      </c>
      <c r="J4151" s="2">
        <v>45850</v>
      </c>
      <c r="K4151" s="2">
        <v>45839</v>
      </c>
      <c r="L4151" s="1" t="str">
        <f t="shared" si="484"/>
        <v>sáb</v>
      </c>
      <c r="M4151" s="1" t="str">
        <f t="shared" si="485"/>
        <v>jul</v>
      </c>
      <c r="N4151">
        <f t="shared" si="486"/>
        <v>2025</v>
      </c>
      <c r="O4151" s="2"/>
      <c r="P4151" t="str">
        <f t="shared" si="483"/>
        <v>186145850</v>
      </c>
    </row>
    <row r="4152" spans="1:16" x14ac:dyDescent="0.3">
      <c r="A4152">
        <v>1861</v>
      </c>
      <c r="B4152">
        <v>47</v>
      </c>
      <c r="C4152" t="s">
        <v>26</v>
      </c>
      <c r="D4152" t="s">
        <v>22</v>
      </c>
      <c r="E4152" t="s">
        <v>17</v>
      </c>
      <c r="F4152" t="s">
        <v>23</v>
      </c>
      <c r="G4152" t="s">
        <v>41</v>
      </c>
      <c r="H4152" t="s">
        <v>25</v>
      </c>
      <c r="I4152" s="1">
        <v>1</v>
      </c>
      <c r="J4152" s="2">
        <v>45892</v>
      </c>
      <c r="K4152" s="2">
        <v>45870</v>
      </c>
      <c r="L4152" s="1" t="str">
        <f t="shared" si="484"/>
        <v>sáb</v>
      </c>
      <c r="M4152" s="1" t="str">
        <f t="shared" si="485"/>
        <v>ago</v>
      </c>
      <c r="N4152">
        <f t="shared" si="486"/>
        <v>2025</v>
      </c>
      <c r="O4152" s="2"/>
      <c r="P4152" t="str">
        <f t="shared" si="483"/>
        <v>186145892</v>
      </c>
    </row>
    <row r="4153" spans="1:16" x14ac:dyDescent="0.3">
      <c r="A4153">
        <v>1861</v>
      </c>
      <c r="B4153">
        <v>47</v>
      </c>
      <c r="C4153" t="s">
        <v>26</v>
      </c>
      <c r="D4153" t="s">
        <v>22</v>
      </c>
      <c r="E4153" t="s">
        <v>17</v>
      </c>
      <c r="F4153" t="s">
        <v>23</v>
      </c>
      <c r="G4153" t="s">
        <v>41</v>
      </c>
      <c r="H4153" t="s">
        <v>25</v>
      </c>
      <c r="I4153" s="1">
        <v>1</v>
      </c>
      <c r="J4153" s="2">
        <v>45896</v>
      </c>
      <c r="K4153" s="2">
        <v>45870</v>
      </c>
      <c r="L4153" s="1" t="str">
        <f t="shared" si="484"/>
        <v>qua</v>
      </c>
      <c r="M4153" s="1" t="str">
        <f t="shared" si="485"/>
        <v>ago</v>
      </c>
      <c r="N4153">
        <f t="shared" si="486"/>
        <v>2025</v>
      </c>
      <c r="O4153" s="2"/>
      <c r="P4153" t="str">
        <f t="shared" si="483"/>
        <v>186145896</v>
      </c>
    </row>
    <row r="4154" spans="1:16" x14ac:dyDescent="0.3">
      <c r="A4154">
        <v>1861</v>
      </c>
      <c r="B4154">
        <v>47</v>
      </c>
      <c r="C4154" t="s">
        <v>26</v>
      </c>
      <c r="D4154" t="s">
        <v>22</v>
      </c>
      <c r="E4154" t="s">
        <v>17</v>
      </c>
      <c r="F4154" t="s">
        <v>23</v>
      </c>
      <c r="G4154" t="s">
        <v>41</v>
      </c>
      <c r="H4154" t="s">
        <v>25</v>
      </c>
      <c r="I4154" s="1">
        <v>1</v>
      </c>
      <c r="J4154" s="2">
        <v>45964</v>
      </c>
      <c r="K4154" s="2">
        <v>45962</v>
      </c>
      <c r="L4154" s="1" t="str">
        <f t="shared" si="484"/>
        <v>seg</v>
      </c>
      <c r="M4154" s="1" t="str">
        <f t="shared" si="485"/>
        <v>nov</v>
      </c>
      <c r="N4154">
        <f t="shared" si="486"/>
        <v>2025</v>
      </c>
      <c r="O4154" s="2"/>
      <c r="P4154" t="str">
        <f t="shared" si="483"/>
        <v>186145964</v>
      </c>
    </row>
    <row r="4155" spans="1:16" x14ac:dyDescent="0.3">
      <c r="A4155">
        <v>1861</v>
      </c>
      <c r="B4155">
        <v>47</v>
      </c>
      <c r="C4155" t="s">
        <v>26</v>
      </c>
      <c r="D4155" t="s">
        <v>22</v>
      </c>
      <c r="E4155" t="s">
        <v>17</v>
      </c>
      <c r="F4155" t="s">
        <v>23</v>
      </c>
      <c r="G4155" t="s">
        <v>41</v>
      </c>
      <c r="H4155" t="s">
        <v>25</v>
      </c>
      <c r="I4155" s="1">
        <v>1</v>
      </c>
      <c r="J4155" s="2">
        <v>46194</v>
      </c>
      <c r="K4155" s="2">
        <v>46023</v>
      </c>
      <c r="L4155" s="1" t="str">
        <f t="shared" si="484"/>
        <v>dom</v>
      </c>
      <c r="M4155" s="1" t="str">
        <f t="shared" si="485"/>
        <v>jun</v>
      </c>
      <c r="N4155">
        <f t="shared" si="486"/>
        <v>2026</v>
      </c>
      <c r="O4155" s="2"/>
      <c r="P4155" t="str">
        <f t="shared" si="483"/>
        <v>186146194</v>
      </c>
    </row>
    <row r="4156" spans="1:16" x14ac:dyDescent="0.3">
      <c r="A4156">
        <v>1862</v>
      </c>
      <c r="B4156">
        <v>40</v>
      </c>
      <c r="C4156" t="s">
        <v>26</v>
      </c>
      <c r="D4156" t="s">
        <v>29</v>
      </c>
      <c r="E4156" t="s">
        <v>17</v>
      </c>
      <c r="F4156" t="s">
        <v>21</v>
      </c>
      <c r="G4156" t="s">
        <v>41</v>
      </c>
      <c r="H4156" t="s">
        <v>20</v>
      </c>
      <c r="I4156" s="1">
        <v>1</v>
      </c>
      <c r="J4156" s="2">
        <v>45790</v>
      </c>
      <c r="K4156" s="2">
        <v>45778</v>
      </c>
      <c r="L4156" s="1" t="str">
        <f t="shared" si="484"/>
        <v>ter</v>
      </c>
      <c r="M4156" s="1" t="str">
        <f t="shared" si="485"/>
        <v>mai</v>
      </c>
      <c r="N4156">
        <f t="shared" si="486"/>
        <v>2025</v>
      </c>
      <c r="O4156" s="2">
        <f>_xlfn.XLOOKUP(A4156,Colaboradores!$A:$A,Colaboradores!$S:$S,"",0)</f>
        <v>45806</v>
      </c>
      <c r="P4156" t="str">
        <f t="shared" si="483"/>
        <v>186245790</v>
      </c>
    </row>
    <row r="4157" spans="1:16" x14ac:dyDescent="0.3">
      <c r="A4157">
        <v>1862</v>
      </c>
      <c r="B4157">
        <v>40</v>
      </c>
      <c r="C4157" t="s">
        <v>26</v>
      </c>
      <c r="D4157" t="s">
        <v>29</v>
      </c>
      <c r="E4157" t="s">
        <v>17</v>
      </c>
      <c r="F4157" t="s">
        <v>21</v>
      </c>
      <c r="G4157" t="s">
        <v>41</v>
      </c>
      <c r="H4157" t="s">
        <v>20</v>
      </c>
      <c r="I4157" s="1">
        <v>1</v>
      </c>
      <c r="J4157" s="2">
        <v>45793</v>
      </c>
      <c r="K4157" s="2">
        <v>45778</v>
      </c>
      <c r="L4157" s="1" t="str">
        <f t="shared" si="484"/>
        <v>sex</v>
      </c>
      <c r="M4157" s="1" t="str">
        <f t="shared" si="485"/>
        <v>mai</v>
      </c>
      <c r="N4157">
        <f t="shared" si="486"/>
        <v>2025</v>
      </c>
      <c r="O4157" s="2">
        <f>_xlfn.XLOOKUP(A4157,Colaboradores!$A:$A,Colaboradores!$S:$S,"",0)</f>
        <v>45806</v>
      </c>
      <c r="P4157" t="str">
        <f t="shared" ref="P4157:P4220" si="487">CONCATENATE(A4157,J4157)</f>
        <v>186245793</v>
      </c>
    </row>
    <row r="4158" spans="1:16" x14ac:dyDescent="0.3">
      <c r="A4158">
        <v>1862</v>
      </c>
      <c r="B4158">
        <v>40</v>
      </c>
      <c r="C4158" t="s">
        <v>26</v>
      </c>
      <c r="D4158" t="s">
        <v>29</v>
      </c>
      <c r="E4158" t="s">
        <v>17</v>
      </c>
      <c r="F4158" t="s">
        <v>21</v>
      </c>
      <c r="G4158" t="s">
        <v>41</v>
      </c>
      <c r="H4158" t="s">
        <v>20</v>
      </c>
      <c r="I4158" s="1">
        <v>1</v>
      </c>
      <c r="J4158" s="2">
        <v>45795</v>
      </c>
      <c r="K4158" s="2">
        <v>45778</v>
      </c>
      <c r="L4158" s="1" t="str">
        <f t="shared" si="484"/>
        <v>dom</v>
      </c>
      <c r="M4158" s="1" t="str">
        <f t="shared" si="485"/>
        <v>mai</v>
      </c>
      <c r="N4158">
        <f t="shared" si="486"/>
        <v>2025</v>
      </c>
      <c r="O4158" s="2">
        <f>_xlfn.XLOOKUP(A4158,Colaboradores!$A:$A,Colaboradores!$S:$S,"",0)</f>
        <v>45806</v>
      </c>
      <c r="P4158" t="str">
        <f t="shared" si="487"/>
        <v>186245795</v>
      </c>
    </row>
    <row r="4159" spans="1:16" x14ac:dyDescent="0.3">
      <c r="A4159">
        <v>1862</v>
      </c>
      <c r="B4159">
        <v>40</v>
      </c>
      <c r="C4159" t="s">
        <v>26</v>
      </c>
      <c r="D4159" t="s">
        <v>29</v>
      </c>
      <c r="E4159" t="s">
        <v>17</v>
      </c>
      <c r="F4159" t="s">
        <v>21</v>
      </c>
      <c r="G4159" t="s">
        <v>41</v>
      </c>
      <c r="H4159" t="s">
        <v>20</v>
      </c>
      <c r="I4159" s="1">
        <v>1</v>
      </c>
      <c r="J4159" s="2">
        <v>45796</v>
      </c>
      <c r="K4159" s="2">
        <v>45778</v>
      </c>
      <c r="L4159" s="1" t="str">
        <f t="shared" si="484"/>
        <v>seg</v>
      </c>
      <c r="M4159" s="1" t="str">
        <f t="shared" si="485"/>
        <v>mai</v>
      </c>
      <c r="N4159">
        <f t="shared" si="486"/>
        <v>2025</v>
      </c>
      <c r="O4159" s="2">
        <f>_xlfn.XLOOKUP(A4159,Colaboradores!$A:$A,Colaboradores!$S:$S,"",0)</f>
        <v>45806</v>
      </c>
      <c r="P4159" t="str">
        <f t="shared" si="487"/>
        <v>186245796</v>
      </c>
    </row>
    <row r="4160" spans="1:16" x14ac:dyDescent="0.3">
      <c r="A4160">
        <v>1862</v>
      </c>
      <c r="B4160">
        <v>40</v>
      </c>
      <c r="C4160" t="s">
        <v>26</v>
      </c>
      <c r="D4160" t="s">
        <v>29</v>
      </c>
      <c r="E4160" t="s">
        <v>17</v>
      </c>
      <c r="F4160" t="s">
        <v>21</v>
      </c>
      <c r="G4160" t="s">
        <v>41</v>
      </c>
      <c r="H4160" t="s">
        <v>20</v>
      </c>
      <c r="I4160" s="1">
        <v>1</v>
      </c>
      <c r="J4160" s="2">
        <v>45797</v>
      </c>
      <c r="K4160" s="2">
        <v>45778</v>
      </c>
      <c r="L4160" s="1" t="str">
        <f t="shared" si="484"/>
        <v>ter</v>
      </c>
      <c r="M4160" s="1" t="str">
        <f t="shared" si="485"/>
        <v>mai</v>
      </c>
      <c r="N4160">
        <f t="shared" si="486"/>
        <v>2025</v>
      </c>
      <c r="O4160" s="2">
        <f>_xlfn.XLOOKUP(A4160,Colaboradores!$A:$A,Colaboradores!$S:$S,"",0)</f>
        <v>45806</v>
      </c>
      <c r="P4160" t="str">
        <f t="shared" si="487"/>
        <v>186245797</v>
      </c>
    </row>
    <row r="4161" spans="1:16" x14ac:dyDescent="0.3">
      <c r="A4161">
        <v>1862</v>
      </c>
      <c r="B4161">
        <v>40</v>
      </c>
      <c r="C4161" t="s">
        <v>26</v>
      </c>
      <c r="D4161" t="s">
        <v>29</v>
      </c>
      <c r="E4161" t="s">
        <v>17</v>
      </c>
      <c r="F4161" t="s">
        <v>21</v>
      </c>
      <c r="G4161" t="s">
        <v>41</v>
      </c>
      <c r="H4161" t="s">
        <v>20</v>
      </c>
      <c r="I4161" s="1">
        <v>1</v>
      </c>
      <c r="J4161" s="2">
        <v>45798</v>
      </c>
      <c r="K4161" s="2">
        <v>45778</v>
      </c>
      <c r="L4161" s="1" t="str">
        <f t="shared" si="484"/>
        <v>qua</v>
      </c>
      <c r="M4161" s="1" t="str">
        <f t="shared" si="485"/>
        <v>mai</v>
      </c>
      <c r="N4161">
        <f t="shared" si="486"/>
        <v>2025</v>
      </c>
      <c r="O4161" s="2">
        <f>_xlfn.XLOOKUP(A4161,Colaboradores!$A:$A,Colaboradores!$S:$S,"",0)</f>
        <v>45806</v>
      </c>
      <c r="P4161" t="str">
        <f t="shared" si="487"/>
        <v>186245798</v>
      </c>
    </row>
    <row r="4162" spans="1:16" x14ac:dyDescent="0.3">
      <c r="A4162">
        <v>1863</v>
      </c>
      <c r="B4162">
        <v>24</v>
      </c>
      <c r="C4162" t="s">
        <v>15</v>
      </c>
      <c r="D4162" t="s">
        <v>16</v>
      </c>
      <c r="E4162" t="s">
        <v>17</v>
      </c>
      <c r="F4162" t="s">
        <v>23</v>
      </c>
      <c r="G4162" t="s">
        <v>41</v>
      </c>
      <c r="H4162" t="s">
        <v>25</v>
      </c>
      <c r="I4162" s="1">
        <v>2</v>
      </c>
      <c r="J4162" s="2">
        <v>45843</v>
      </c>
      <c r="K4162" s="2">
        <v>45839</v>
      </c>
      <c r="L4162" s="1" t="str">
        <f t="shared" si="484"/>
        <v>sáb</v>
      </c>
      <c r="M4162" s="1" t="str">
        <f t="shared" si="485"/>
        <v>jul</v>
      </c>
      <c r="N4162">
        <f t="shared" si="486"/>
        <v>2025</v>
      </c>
      <c r="O4162" s="2"/>
      <c r="P4162" t="str">
        <f t="shared" si="487"/>
        <v>186345843</v>
      </c>
    </row>
    <row r="4163" spans="1:16" x14ac:dyDescent="0.3">
      <c r="A4163">
        <v>1863</v>
      </c>
      <c r="B4163">
        <v>24</v>
      </c>
      <c r="C4163" t="s">
        <v>15</v>
      </c>
      <c r="D4163" t="s">
        <v>16</v>
      </c>
      <c r="E4163" t="s">
        <v>17</v>
      </c>
      <c r="F4163" t="s">
        <v>23</v>
      </c>
      <c r="G4163" t="s">
        <v>41</v>
      </c>
      <c r="H4163" t="s">
        <v>25</v>
      </c>
      <c r="I4163" s="1">
        <v>2</v>
      </c>
      <c r="J4163" s="2">
        <v>45900</v>
      </c>
      <c r="K4163" s="2">
        <v>45870</v>
      </c>
      <c r="L4163" s="1" t="str">
        <f t="shared" si="484"/>
        <v>dom</v>
      </c>
      <c r="M4163" s="1" t="str">
        <f t="shared" si="485"/>
        <v>ago</v>
      </c>
      <c r="N4163">
        <f t="shared" si="486"/>
        <v>2025</v>
      </c>
      <c r="O4163" s="2"/>
      <c r="P4163" t="str">
        <f t="shared" si="487"/>
        <v>186345900</v>
      </c>
    </row>
    <row r="4164" spans="1:16" x14ac:dyDescent="0.3">
      <c r="A4164">
        <v>1863</v>
      </c>
      <c r="B4164">
        <v>24</v>
      </c>
      <c r="C4164" t="s">
        <v>15</v>
      </c>
      <c r="D4164" t="s">
        <v>16</v>
      </c>
      <c r="E4164" t="s">
        <v>17</v>
      </c>
      <c r="F4164" t="s">
        <v>23</v>
      </c>
      <c r="G4164" t="s">
        <v>41</v>
      </c>
      <c r="H4164" t="s">
        <v>25</v>
      </c>
      <c r="I4164" s="1">
        <v>2</v>
      </c>
      <c r="J4164" s="2">
        <v>45919</v>
      </c>
      <c r="K4164" s="2">
        <v>45901</v>
      </c>
      <c r="L4164" s="1" t="str">
        <f t="shared" si="484"/>
        <v>sex</v>
      </c>
      <c r="M4164" s="1" t="str">
        <f t="shared" si="485"/>
        <v>set</v>
      </c>
      <c r="N4164">
        <f t="shared" si="486"/>
        <v>2025</v>
      </c>
      <c r="O4164" s="2"/>
      <c r="P4164" t="str">
        <f t="shared" si="487"/>
        <v>186345919</v>
      </c>
    </row>
    <row r="4165" spans="1:16" x14ac:dyDescent="0.3">
      <c r="A4165">
        <v>1863</v>
      </c>
      <c r="B4165">
        <v>24</v>
      </c>
      <c r="C4165" t="s">
        <v>15</v>
      </c>
      <c r="D4165" t="s">
        <v>16</v>
      </c>
      <c r="E4165" t="s">
        <v>17</v>
      </c>
      <c r="F4165" t="s">
        <v>23</v>
      </c>
      <c r="G4165" t="s">
        <v>41</v>
      </c>
      <c r="H4165" t="s">
        <v>25</v>
      </c>
      <c r="I4165" s="1">
        <v>2</v>
      </c>
      <c r="J4165" s="2">
        <v>46176</v>
      </c>
      <c r="K4165" s="2">
        <v>46023</v>
      </c>
      <c r="L4165" s="1" t="str">
        <f t="shared" si="484"/>
        <v>qua</v>
      </c>
      <c r="M4165" s="1" t="str">
        <f t="shared" si="485"/>
        <v>jun</v>
      </c>
      <c r="N4165">
        <f t="shared" si="486"/>
        <v>2026</v>
      </c>
      <c r="O4165" s="2"/>
      <c r="P4165" t="str">
        <f t="shared" si="487"/>
        <v>186346176</v>
      </c>
    </row>
    <row r="4166" spans="1:16" x14ac:dyDescent="0.3">
      <c r="A4166">
        <v>1863</v>
      </c>
      <c r="B4166">
        <v>24</v>
      </c>
      <c r="C4166" t="s">
        <v>15</v>
      </c>
      <c r="D4166" t="s">
        <v>16</v>
      </c>
      <c r="E4166" t="s">
        <v>17</v>
      </c>
      <c r="F4166" t="s">
        <v>23</v>
      </c>
      <c r="G4166" t="s">
        <v>41</v>
      </c>
      <c r="H4166" t="s">
        <v>25</v>
      </c>
      <c r="I4166" s="1">
        <v>2</v>
      </c>
      <c r="J4166" s="2">
        <v>46185</v>
      </c>
      <c r="K4166" s="2">
        <v>46023</v>
      </c>
      <c r="L4166" s="1" t="str">
        <f t="shared" si="484"/>
        <v>sex</v>
      </c>
      <c r="M4166" s="1" t="str">
        <f t="shared" si="485"/>
        <v>jun</v>
      </c>
      <c r="N4166">
        <f t="shared" si="486"/>
        <v>2026</v>
      </c>
      <c r="O4166" s="2"/>
      <c r="P4166" t="str">
        <f t="shared" si="487"/>
        <v>186346185</v>
      </c>
    </row>
    <row r="4167" spans="1:16" x14ac:dyDescent="0.3">
      <c r="A4167">
        <v>1864</v>
      </c>
      <c r="B4167">
        <v>34</v>
      </c>
      <c r="C4167" t="s">
        <v>15</v>
      </c>
      <c r="D4167" t="s">
        <v>16</v>
      </c>
      <c r="E4167" t="s">
        <v>17</v>
      </c>
      <c r="F4167" t="s">
        <v>23</v>
      </c>
      <c r="G4167" t="s">
        <v>41</v>
      </c>
      <c r="H4167" t="s">
        <v>25</v>
      </c>
      <c r="I4167" s="1">
        <v>1</v>
      </c>
      <c r="J4167" s="2">
        <v>45773</v>
      </c>
      <c r="K4167" s="2">
        <v>45748</v>
      </c>
      <c r="L4167" s="1" t="str">
        <f t="shared" si="484"/>
        <v>sáb</v>
      </c>
      <c r="M4167" s="1" t="str">
        <f t="shared" si="485"/>
        <v>abr</v>
      </c>
      <c r="N4167">
        <f t="shared" si="486"/>
        <v>2025</v>
      </c>
      <c r="O4167" s="2"/>
      <c r="P4167" t="str">
        <f t="shared" si="487"/>
        <v>186445773</v>
      </c>
    </row>
    <row r="4168" spans="1:16" x14ac:dyDescent="0.3">
      <c r="A4168">
        <v>1864</v>
      </c>
      <c r="B4168">
        <v>34</v>
      </c>
      <c r="C4168" t="s">
        <v>15</v>
      </c>
      <c r="D4168" t="s">
        <v>16</v>
      </c>
      <c r="E4168" t="s">
        <v>17</v>
      </c>
      <c r="F4168" t="s">
        <v>23</v>
      </c>
      <c r="G4168" t="s">
        <v>41</v>
      </c>
      <c r="H4168" t="s">
        <v>25</v>
      </c>
      <c r="I4168" s="1">
        <v>1</v>
      </c>
      <c r="J4168" s="2">
        <v>45856</v>
      </c>
      <c r="K4168" s="2">
        <v>45839</v>
      </c>
      <c r="L4168" s="1" t="str">
        <f t="shared" si="484"/>
        <v>sex</v>
      </c>
      <c r="M4168" s="1" t="str">
        <f t="shared" si="485"/>
        <v>jul</v>
      </c>
      <c r="N4168">
        <f t="shared" si="486"/>
        <v>2025</v>
      </c>
      <c r="O4168" s="2"/>
      <c r="P4168" t="str">
        <f t="shared" si="487"/>
        <v>186445856</v>
      </c>
    </row>
    <row r="4169" spans="1:16" x14ac:dyDescent="0.3">
      <c r="A4169">
        <v>1864</v>
      </c>
      <c r="B4169">
        <v>34</v>
      </c>
      <c r="C4169" t="s">
        <v>15</v>
      </c>
      <c r="D4169" t="s">
        <v>16</v>
      </c>
      <c r="E4169" t="s">
        <v>17</v>
      </c>
      <c r="F4169" t="s">
        <v>23</v>
      </c>
      <c r="G4169" t="s">
        <v>41</v>
      </c>
      <c r="H4169" t="s">
        <v>25</v>
      </c>
      <c r="I4169" s="1">
        <v>1</v>
      </c>
      <c r="J4169" s="2">
        <v>45874</v>
      </c>
      <c r="K4169" s="2">
        <v>45870</v>
      </c>
      <c r="L4169" s="1" t="str">
        <f t="shared" si="484"/>
        <v>ter</v>
      </c>
      <c r="M4169" s="1" t="str">
        <f t="shared" si="485"/>
        <v>ago</v>
      </c>
      <c r="N4169">
        <f t="shared" si="486"/>
        <v>2025</v>
      </c>
      <c r="O4169" s="2"/>
      <c r="P4169" t="str">
        <f t="shared" si="487"/>
        <v>186445874</v>
      </c>
    </row>
    <row r="4170" spans="1:16" x14ac:dyDescent="0.3">
      <c r="A4170">
        <v>1864</v>
      </c>
      <c r="B4170">
        <v>34</v>
      </c>
      <c r="C4170" t="s">
        <v>15</v>
      </c>
      <c r="D4170" t="s">
        <v>16</v>
      </c>
      <c r="E4170" t="s">
        <v>17</v>
      </c>
      <c r="F4170" t="s">
        <v>23</v>
      </c>
      <c r="G4170" t="s">
        <v>41</v>
      </c>
      <c r="H4170" t="s">
        <v>25</v>
      </c>
      <c r="I4170" s="1">
        <v>1</v>
      </c>
      <c r="J4170" s="2">
        <v>45910</v>
      </c>
      <c r="K4170" s="2">
        <v>45901</v>
      </c>
      <c r="L4170" s="1" t="str">
        <f t="shared" si="484"/>
        <v>qua</v>
      </c>
      <c r="M4170" s="1" t="str">
        <f t="shared" si="485"/>
        <v>set</v>
      </c>
      <c r="N4170">
        <f t="shared" si="486"/>
        <v>2025</v>
      </c>
      <c r="O4170" s="2"/>
      <c r="P4170" t="str">
        <f t="shared" si="487"/>
        <v>186445910</v>
      </c>
    </row>
    <row r="4171" spans="1:16" x14ac:dyDescent="0.3">
      <c r="A4171">
        <v>1864</v>
      </c>
      <c r="B4171">
        <v>34</v>
      </c>
      <c r="C4171" t="s">
        <v>15</v>
      </c>
      <c r="D4171" t="s">
        <v>16</v>
      </c>
      <c r="E4171" t="s">
        <v>17</v>
      </c>
      <c r="F4171" t="s">
        <v>23</v>
      </c>
      <c r="G4171" t="s">
        <v>41</v>
      </c>
      <c r="H4171" t="s">
        <v>25</v>
      </c>
      <c r="I4171" s="1">
        <v>1</v>
      </c>
      <c r="J4171" s="2">
        <v>45935</v>
      </c>
      <c r="K4171" s="2">
        <v>45931</v>
      </c>
      <c r="L4171" s="1" t="str">
        <f t="shared" si="484"/>
        <v>dom</v>
      </c>
      <c r="M4171" s="1" t="str">
        <f t="shared" si="485"/>
        <v>out</v>
      </c>
      <c r="N4171">
        <f t="shared" si="486"/>
        <v>2025</v>
      </c>
      <c r="O4171" s="2"/>
      <c r="P4171" t="str">
        <f t="shared" si="487"/>
        <v>186445935</v>
      </c>
    </row>
    <row r="4172" spans="1:16" x14ac:dyDescent="0.3">
      <c r="A4172">
        <v>1864</v>
      </c>
      <c r="B4172">
        <v>34</v>
      </c>
      <c r="C4172" t="s">
        <v>15</v>
      </c>
      <c r="D4172" t="s">
        <v>16</v>
      </c>
      <c r="E4172" t="s">
        <v>17</v>
      </c>
      <c r="F4172" t="s">
        <v>23</v>
      </c>
      <c r="G4172" t="s">
        <v>41</v>
      </c>
      <c r="H4172" t="s">
        <v>25</v>
      </c>
      <c r="I4172" s="1">
        <v>1</v>
      </c>
      <c r="J4172" s="2">
        <v>46061</v>
      </c>
      <c r="K4172" s="2">
        <v>46054</v>
      </c>
      <c r="L4172" s="1" t="str">
        <f t="shared" si="484"/>
        <v>dom</v>
      </c>
      <c r="M4172" s="1" t="str">
        <f t="shared" si="485"/>
        <v>fev</v>
      </c>
      <c r="N4172">
        <f t="shared" si="486"/>
        <v>2026</v>
      </c>
      <c r="O4172" s="2"/>
      <c r="P4172" t="str">
        <f t="shared" si="487"/>
        <v>186446061</v>
      </c>
    </row>
    <row r="4173" spans="1:16" x14ac:dyDescent="0.3">
      <c r="A4173">
        <v>1864</v>
      </c>
      <c r="B4173">
        <v>34</v>
      </c>
      <c r="C4173" t="s">
        <v>15</v>
      </c>
      <c r="D4173" t="s">
        <v>16</v>
      </c>
      <c r="E4173" t="s">
        <v>17</v>
      </c>
      <c r="F4173" t="s">
        <v>23</v>
      </c>
      <c r="G4173" t="s">
        <v>41</v>
      </c>
      <c r="H4173" t="s">
        <v>25</v>
      </c>
      <c r="I4173" s="1">
        <v>1</v>
      </c>
      <c r="J4173" s="2">
        <v>46138</v>
      </c>
      <c r="K4173" s="2">
        <v>46113</v>
      </c>
      <c r="L4173" s="1" t="s">
        <v>54</v>
      </c>
      <c r="M4173" s="1" t="s">
        <v>48</v>
      </c>
      <c r="N4173">
        <v>2025</v>
      </c>
      <c r="O4173" s="2"/>
      <c r="P4173" t="str">
        <f t="shared" si="487"/>
        <v>186446138</v>
      </c>
    </row>
    <row r="4174" spans="1:16" x14ac:dyDescent="0.3">
      <c r="A4174">
        <v>1865</v>
      </c>
      <c r="B4174">
        <v>21</v>
      </c>
      <c r="C4174" t="s">
        <v>15</v>
      </c>
      <c r="D4174" t="s">
        <v>31</v>
      </c>
      <c r="E4174" t="s">
        <v>34</v>
      </c>
      <c r="F4174" t="s">
        <v>21</v>
      </c>
      <c r="G4174" t="s">
        <v>41</v>
      </c>
      <c r="H4174" t="s">
        <v>25</v>
      </c>
      <c r="I4174" s="1">
        <v>2</v>
      </c>
      <c r="J4174" s="2">
        <v>45881</v>
      </c>
      <c r="K4174" s="2">
        <v>45870</v>
      </c>
      <c r="L4174" s="1" t="str">
        <f t="shared" ref="L4174:L4237" si="488">TEXT(J4174,"ddd")</f>
        <v>ter</v>
      </c>
      <c r="M4174" s="1" t="str">
        <f t="shared" ref="M4174:M4237" si="489">TEXT($J4174,"mmm")</f>
        <v>ago</v>
      </c>
      <c r="N4174">
        <f t="shared" ref="N4174:N4237" si="490">YEAR(J4174)</f>
        <v>2025</v>
      </c>
      <c r="O4174" s="2"/>
      <c r="P4174" t="str">
        <f t="shared" si="487"/>
        <v>186545881</v>
      </c>
    </row>
    <row r="4175" spans="1:16" x14ac:dyDescent="0.3">
      <c r="A4175">
        <v>1865</v>
      </c>
      <c r="B4175">
        <v>21</v>
      </c>
      <c r="C4175" t="s">
        <v>15</v>
      </c>
      <c r="D4175" t="s">
        <v>31</v>
      </c>
      <c r="E4175" t="s">
        <v>34</v>
      </c>
      <c r="F4175" t="s">
        <v>21</v>
      </c>
      <c r="G4175" t="s">
        <v>41</v>
      </c>
      <c r="H4175" t="s">
        <v>25</v>
      </c>
      <c r="I4175" s="1">
        <v>2</v>
      </c>
      <c r="J4175" s="2">
        <v>45996</v>
      </c>
      <c r="K4175" s="2">
        <v>45992</v>
      </c>
      <c r="L4175" s="1" t="str">
        <f t="shared" si="488"/>
        <v>sex</v>
      </c>
      <c r="M4175" s="1" t="str">
        <f t="shared" si="489"/>
        <v>dez</v>
      </c>
      <c r="N4175">
        <f t="shared" si="490"/>
        <v>2025</v>
      </c>
      <c r="O4175" s="2"/>
      <c r="P4175" t="str">
        <f t="shared" si="487"/>
        <v>186545996</v>
      </c>
    </row>
    <row r="4176" spans="1:16" x14ac:dyDescent="0.3">
      <c r="A4176">
        <v>1865</v>
      </c>
      <c r="B4176">
        <v>21</v>
      </c>
      <c r="C4176" t="s">
        <v>15</v>
      </c>
      <c r="D4176" t="s">
        <v>31</v>
      </c>
      <c r="E4176" t="s">
        <v>34</v>
      </c>
      <c r="F4176" t="s">
        <v>21</v>
      </c>
      <c r="G4176" t="s">
        <v>41</v>
      </c>
      <c r="H4176" t="s">
        <v>25</v>
      </c>
      <c r="I4176" s="1">
        <v>2</v>
      </c>
      <c r="J4176" s="2">
        <v>46077</v>
      </c>
      <c r="K4176" s="2">
        <v>46054</v>
      </c>
      <c r="L4176" s="1" t="str">
        <f t="shared" si="488"/>
        <v>ter</v>
      </c>
      <c r="M4176" s="1" t="str">
        <f t="shared" si="489"/>
        <v>fev</v>
      </c>
      <c r="N4176">
        <f t="shared" si="490"/>
        <v>2026</v>
      </c>
      <c r="O4176" s="2"/>
      <c r="P4176" t="str">
        <f t="shared" si="487"/>
        <v>186546077</v>
      </c>
    </row>
    <row r="4177" spans="1:16" x14ac:dyDescent="0.3">
      <c r="A4177">
        <v>1867</v>
      </c>
      <c r="B4177">
        <v>42</v>
      </c>
      <c r="C4177" t="s">
        <v>15</v>
      </c>
      <c r="D4177" t="s">
        <v>29</v>
      </c>
      <c r="E4177" t="s">
        <v>17</v>
      </c>
      <c r="F4177" t="s">
        <v>21</v>
      </c>
      <c r="G4177" t="s">
        <v>41</v>
      </c>
      <c r="H4177" t="s">
        <v>25</v>
      </c>
      <c r="I4177" s="1">
        <v>3</v>
      </c>
      <c r="J4177" s="2">
        <v>45841</v>
      </c>
      <c r="K4177" s="2">
        <v>45839</v>
      </c>
      <c r="L4177" s="1" t="str">
        <f t="shared" si="488"/>
        <v>qui</v>
      </c>
      <c r="M4177" s="1" t="str">
        <f t="shared" si="489"/>
        <v>jul</v>
      </c>
      <c r="N4177">
        <f t="shared" si="490"/>
        <v>2025</v>
      </c>
      <c r="O4177" s="2"/>
      <c r="P4177" t="str">
        <f t="shared" si="487"/>
        <v>186745841</v>
      </c>
    </row>
    <row r="4178" spans="1:16" x14ac:dyDescent="0.3">
      <c r="A4178">
        <v>1867</v>
      </c>
      <c r="B4178">
        <v>42</v>
      </c>
      <c r="C4178" t="s">
        <v>15</v>
      </c>
      <c r="D4178" t="s">
        <v>29</v>
      </c>
      <c r="E4178" t="s">
        <v>17</v>
      </c>
      <c r="F4178" t="s">
        <v>21</v>
      </c>
      <c r="G4178" t="s">
        <v>41</v>
      </c>
      <c r="H4178" t="s">
        <v>25</v>
      </c>
      <c r="I4178" s="1">
        <v>3</v>
      </c>
      <c r="J4178" s="2">
        <v>45863</v>
      </c>
      <c r="K4178" s="2">
        <v>45839</v>
      </c>
      <c r="L4178" s="1" t="str">
        <f t="shared" si="488"/>
        <v>sex</v>
      </c>
      <c r="M4178" s="1" t="str">
        <f t="shared" si="489"/>
        <v>jul</v>
      </c>
      <c r="N4178">
        <f t="shared" si="490"/>
        <v>2025</v>
      </c>
      <c r="O4178" s="2"/>
      <c r="P4178" t="str">
        <f t="shared" si="487"/>
        <v>186745863</v>
      </c>
    </row>
    <row r="4179" spans="1:16" x14ac:dyDescent="0.3">
      <c r="A4179">
        <v>1867</v>
      </c>
      <c r="B4179">
        <v>42</v>
      </c>
      <c r="C4179" t="s">
        <v>15</v>
      </c>
      <c r="D4179" t="s">
        <v>29</v>
      </c>
      <c r="E4179" t="s">
        <v>17</v>
      </c>
      <c r="F4179" t="s">
        <v>21</v>
      </c>
      <c r="G4179" t="s">
        <v>41</v>
      </c>
      <c r="H4179" t="s">
        <v>25</v>
      </c>
      <c r="I4179" s="1">
        <v>3</v>
      </c>
      <c r="J4179" s="2">
        <v>45886</v>
      </c>
      <c r="K4179" s="2">
        <v>45870</v>
      </c>
      <c r="L4179" s="1" t="str">
        <f t="shared" si="488"/>
        <v>dom</v>
      </c>
      <c r="M4179" s="1" t="str">
        <f t="shared" si="489"/>
        <v>ago</v>
      </c>
      <c r="N4179">
        <f t="shared" si="490"/>
        <v>2025</v>
      </c>
      <c r="O4179" s="2"/>
      <c r="P4179" t="str">
        <f t="shared" si="487"/>
        <v>186745886</v>
      </c>
    </row>
    <row r="4180" spans="1:16" x14ac:dyDescent="0.3">
      <c r="A4180">
        <v>1867</v>
      </c>
      <c r="B4180">
        <v>42</v>
      </c>
      <c r="C4180" t="s">
        <v>15</v>
      </c>
      <c r="D4180" t="s">
        <v>29</v>
      </c>
      <c r="E4180" t="s">
        <v>17</v>
      </c>
      <c r="F4180" t="s">
        <v>21</v>
      </c>
      <c r="G4180" t="s">
        <v>41</v>
      </c>
      <c r="H4180" t="s">
        <v>25</v>
      </c>
      <c r="I4180" s="1">
        <v>3</v>
      </c>
      <c r="J4180" s="2">
        <v>46194</v>
      </c>
      <c r="K4180" s="2">
        <v>46023</v>
      </c>
      <c r="L4180" s="1" t="str">
        <f t="shared" si="488"/>
        <v>dom</v>
      </c>
      <c r="M4180" s="1" t="str">
        <f t="shared" si="489"/>
        <v>jun</v>
      </c>
      <c r="N4180">
        <f t="shared" si="490"/>
        <v>2026</v>
      </c>
      <c r="O4180" s="2"/>
      <c r="P4180" t="str">
        <f t="shared" si="487"/>
        <v>186746194</v>
      </c>
    </row>
    <row r="4181" spans="1:16" x14ac:dyDescent="0.3">
      <c r="A4181">
        <v>1867</v>
      </c>
      <c r="B4181">
        <v>42</v>
      </c>
      <c r="C4181" t="s">
        <v>15</v>
      </c>
      <c r="D4181" t="s">
        <v>29</v>
      </c>
      <c r="E4181" t="s">
        <v>17</v>
      </c>
      <c r="F4181" t="s">
        <v>21</v>
      </c>
      <c r="G4181" t="s">
        <v>41</v>
      </c>
      <c r="H4181" t="s">
        <v>25</v>
      </c>
      <c r="I4181" s="1">
        <v>3</v>
      </c>
      <c r="J4181" s="2">
        <v>46105</v>
      </c>
      <c r="K4181" s="2">
        <v>46082</v>
      </c>
      <c r="L4181" s="1" t="str">
        <f t="shared" si="488"/>
        <v>ter</v>
      </c>
      <c r="M4181" s="1" t="str">
        <f t="shared" si="489"/>
        <v>mar</v>
      </c>
      <c r="N4181">
        <f t="shared" si="490"/>
        <v>2026</v>
      </c>
      <c r="O4181" s="2"/>
      <c r="P4181" t="str">
        <f t="shared" si="487"/>
        <v>186746105</v>
      </c>
    </row>
    <row r="4182" spans="1:16" x14ac:dyDescent="0.3">
      <c r="A4182">
        <v>1868</v>
      </c>
      <c r="B4182">
        <v>40</v>
      </c>
      <c r="C4182" t="s">
        <v>26</v>
      </c>
      <c r="D4182" t="s">
        <v>29</v>
      </c>
      <c r="E4182" t="s">
        <v>17</v>
      </c>
      <c r="F4182" t="s">
        <v>18</v>
      </c>
      <c r="G4182" t="s">
        <v>41</v>
      </c>
      <c r="H4182" t="s">
        <v>25</v>
      </c>
      <c r="I4182" s="1">
        <v>3</v>
      </c>
      <c r="J4182" s="2">
        <v>45818</v>
      </c>
      <c r="K4182" s="2">
        <v>45809</v>
      </c>
      <c r="L4182" s="1" t="str">
        <f t="shared" si="488"/>
        <v>ter</v>
      </c>
      <c r="M4182" s="1" t="str">
        <f t="shared" si="489"/>
        <v>jun</v>
      </c>
      <c r="N4182">
        <f t="shared" si="490"/>
        <v>2025</v>
      </c>
      <c r="O4182" s="2"/>
      <c r="P4182" t="str">
        <f t="shared" si="487"/>
        <v>186845818</v>
      </c>
    </row>
    <row r="4183" spans="1:16" x14ac:dyDescent="0.3">
      <c r="A4183">
        <v>1868</v>
      </c>
      <c r="B4183">
        <v>40</v>
      </c>
      <c r="C4183" t="s">
        <v>26</v>
      </c>
      <c r="D4183" t="s">
        <v>29</v>
      </c>
      <c r="E4183" t="s">
        <v>17</v>
      </c>
      <c r="F4183" t="s">
        <v>18</v>
      </c>
      <c r="G4183" t="s">
        <v>41</v>
      </c>
      <c r="H4183" t="s">
        <v>25</v>
      </c>
      <c r="I4183" s="1">
        <v>3</v>
      </c>
      <c r="J4183" s="2">
        <v>45823</v>
      </c>
      <c r="K4183" s="2">
        <v>45809</v>
      </c>
      <c r="L4183" s="1" t="str">
        <f t="shared" si="488"/>
        <v>dom</v>
      </c>
      <c r="M4183" s="1" t="str">
        <f t="shared" si="489"/>
        <v>jun</v>
      </c>
      <c r="N4183">
        <f t="shared" si="490"/>
        <v>2025</v>
      </c>
      <c r="O4183" s="2"/>
      <c r="P4183" t="str">
        <f t="shared" si="487"/>
        <v>186845823</v>
      </c>
    </row>
    <row r="4184" spans="1:16" x14ac:dyDescent="0.3">
      <c r="A4184">
        <v>1868</v>
      </c>
      <c r="B4184">
        <v>40</v>
      </c>
      <c r="C4184" t="s">
        <v>26</v>
      </c>
      <c r="D4184" t="s">
        <v>29</v>
      </c>
      <c r="E4184" t="s">
        <v>17</v>
      </c>
      <c r="F4184" t="s">
        <v>18</v>
      </c>
      <c r="G4184" t="s">
        <v>41</v>
      </c>
      <c r="H4184" t="s">
        <v>25</v>
      </c>
      <c r="I4184" s="1">
        <v>3</v>
      </c>
      <c r="J4184" s="2">
        <v>45888</v>
      </c>
      <c r="K4184" s="2">
        <v>45870</v>
      </c>
      <c r="L4184" s="1" t="str">
        <f t="shared" si="488"/>
        <v>ter</v>
      </c>
      <c r="M4184" s="1" t="str">
        <f t="shared" si="489"/>
        <v>ago</v>
      </c>
      <c r="N4184">
        <f t="shared" si="490"/>
        <v>2025</v>
      </c>
      <c r="O4184" s="2"/>
      <c r="P4184" t="str">
        <f t="shared" si="487"/>
        <v>186845888</v>
      </c>
    </row>
    <row r="4185" spans="1:16" x14ac:dyDescent="0.3">
      <c r="A4185">
        <v>1868</v>
      </c>
      <c r="B4185">
        <v>40</v>
      </c>
      <c r="C4185" t="s">
        <v>26</v>
      </c>
      <c r="D4185" t="s">
        <v>29</v>
      </c>
      <c r="E4185" t="s">
        <v>17</v>
      </c>
      <c r="F4185" t="s">
        <v>18</v>
      </c>
      <c r="G4185" t="s">
        <v>41</v>
      </c>
      <c r="H4185" t="s">
        <v>25</v>
      </c>
      <c r="I4185" s="1">
        <v>3</v>
      </c>
      <c r="J4185" s="2">
        <v>45950</v>
      </c>
      <c r="K4185" s="2">
        <v>45931</v>
      </c>
      <c r="L4185" s="1" t="str">
        <f t="shared" si="488"/>
        <v>seg</v>
      </c>
      <c r="M4185" s="1" t="str">
        <f t="shared" si="489"/>
        <v>out</v>
      </c>
      <c r="N4185">
        <f t="shared" si="490"/>
        <v>2025</v>
      </c>
      <c r="O4185" s="2"/>
      <c r="P4185" t="str">
        <f t="shared" si="487"/>
        <v>186845950</v>
      </c>
    </row>
    <row r="4186" spans="1:16" x14ac:dyDescent="0.3">
      <c r="A4186">
        <v>1868</v>
      </c>
      <c r="B4186">
        <v>40</v>
      </c>
      <c r="C4186" t="s">
        <v>26</v>
      </c>
      <c r="D4186" t="s">
        <v>29</v>
      </c>
      <c r="E4186" t="s">
        <v>17</v>
      </c>
      <c r="F4186" t="s">
        <v>18</v>
      </c>
      <c r="G4186" t="s">
        <v>41</v>
      </c>
      <c r="H4186" t="s">
        <v>25</v>
      </c>
      <c r="I4186" s="1">
        <v>3</v>
      </c>
      <c r="J4186" s="2">
        <v>46097</v>
      </c>
      <c r="K4186" s="2">
        <v>46082</v>
      </c>
      <c r="L4186" s="1" t="str">
        <f t="shared" si="488"/>
        <v>seg</v>
      </c>
      <c r="M4186" s="1" t="str">
        <f t="shared" si="489"/>
        <v>mar</v>
      </c>
      <c r="N4186">
        <f t="shared" si="490"/>
        <v>2026</v>
      </c>
      <c r="O4186" s="2"/>
      <c r="P4186" t="str">
        <f t="shared" si="487"/>
        <v>186846097</v>
      </c>
    </row>
    <row r="4187" spans="1:16" x14ac:dyDescent="0.3">
      <c r="A4187">
        <v>1869</v>
      </c>
      <c r="B4187">
        <v>19</v>
      </c>
      <c r="C4187" t="s">
        <v>26</v>
      </c>
      <c r="D4187" t="s">
        <v>16</v>
      </c>
      <c r="E4187" t="s">
        <v>17</v>
      </c>
      <c r="F4187" t="s">
        <v>18</v>
      </c>
      <c r="G4187" t="s">
        <v>41</v>
      </c>
      <c r="H4187" t="s">
        <v>20</v>
      </c>
      <c r="I4187" s="1">
        <v>3</v>
      </c>
      <c r="J4187" s="2">
        <v>45804</v>
      </c>
      <c r="K4187" s="2">
        <v>45778</v>
      </c>
      <c r="L4187" s="1" t="str">
        <f t="shared" si="488"/>
        <v>ter</v>
      </c>
      <c r="M4187" s="1" t="str">
        <f t="shared" si="489"/>
        <v>mai</v>
      </c>
      <c r="N4187">
        <f t="shared" si="490"/>
        <v>2025</v>
      </c>
      <c r="O4187" s="2">
        <f>_xlfn.XLOOKUP(A4187,Colaboradores!$A:$A,Colaboradores!$S:$S,"",0)</f>
        <v>46165</v>
      </c>
      <c r="P4187" t="str">
        <f t="shared" si="487"/>
        <v>186945804</v>
      </c>
    </row>
    <row r="4188" spans="1:16" x14ac:dyDescent="0.3">
      <c r="A4188">
        <v>1869</v>
      </c>
      <c r="B4188">
        <v>19</v>
      </c>
      <c r="C4188" t="s">
        <v>26</v>
      </c>
      <c r="D4188" t="s">
        <v>16</v>
      </c>
      <c r="E4188" t="s">
        <v>17</v>
      </c>
      <c r="F4188" t="s">
        <v>18</v>
      </c>
      <c r="G4188" t="s">
        <v>41</v>
      </c>
      <c r="H4188" t="s">
        <v>20</v>
      </c>
      <c r="I4188" s="1">
        <v>3</v>
      </c>
      <c r="J4188" s="2">
        <v>45853</v>
      </c>
      <c r="K4188" s="2">
        <v>45839</v>
      </c>
      <c r="L4188" s="1" t="str">
        <f t="shared" si="488"/>
        <v>ter</v>
      </c>
      <c r="M4188" s="1" t="str">
        <f t="shared" si="489"/>
        <v>jul</v>
      </c>
      <c r="N4188">
        <f t="shared" si="490"/>
        <v>2025</v>
      </c>
      <c r="O4188" s="2">
        <f>_xlfn.XLOOKUP(A4188,Colaboradores!$A:$A,Colaboradores!$S:$S,"",0)</f>
        <v>46165</v>
      </c>
      <c r="P4188" t="str">
        <f t="shared" si="487"/>
        <v>186945853</v>
      </c>
    </row>
    <row r="4189" spans="1:16" x14ac:dyDescent="0.3">
      <c r="A4189">
        <v>1869</v>
      </c>
      <c r="B4189">
        <v>19</v>
      </c>
      <c r="C4189" t="s">
        <v>26</v>
      </c>
      <c r="D4189" t="s">
        <v>16</v>
      </c>
      <c r="E4189" t="s">
        <v>17</v>
      </c>
      <c r="F4189" t="s">
        <v>18</v>
      </c>
      <c r="G4189" t="s">
        <v>41</v>
      </c>
      <c r="H4189" t="s">
        <v>20</v>
      </c>
      <c r="I4189" s="1">
        <v>3</v>
      </c>
      <c r="J4189" s="2">
        <v>45859</v>
      </c>
      <c r="K4189" s="2">
        <v>45839</v>
      </c>
      <c r="L4189" s="1" t="str">
        <f t="shared" si="488"/>
        <v>seg</v>
      </c>
      <c r="M4189" s="1" t="str">
        <f t="shared" si="489"/>
        <v>jul</v>
      </c>
      <c r="N4189">
        <f t="shared" si="490"/>
        <v>2025</v>
      </c>
      <c r="O4189" s="2">
        <f>_xlfn.XLOOKUP(A4189,Colaboradores!$A:$A,Colaboradores!$S:$S,"",0)</f>
        <v>46165</v>
      </c>
      <c r="P4189" t="str">
        <f t="shared" si="487"/>
        <v>186945859</v>
      </c>
    </row>
    <row r="4190" spans="1:16" x14ac:dyDescent="0.3">
      <c r="A4190">
        <v>1869</v>
      </c>
      <c r="B4190">
        <v>19</v>
      </c>
      <c r="C4190" t="s">
        <v>26</v>
      </c>
      <c r="D4190" t="s">
        <v>16</v>
      </c>
      <c r="E4190" t="s">
        <v>17</v>
      </c>
      <c r="F4190" t="s">
        <v>18</v>
      </c>
      <c r="G4190" t="s">
        <v>41</v>
      </c>
      <c r="H4190" t="s">
        <v>20</v>
      </c>
      <c r="I4190" s="1">
        <v>3</v>
      </c>
      <c r="J4190" s="2">
        <v>46014</v>
      </c>
      <c r="K4190" s="2">
        <v>45992</v>
      </c>
      <c r="L4190" s="1" t="str">
        <f t="shared" si="488"/>
        <v>ter</v>
      </c>
      <c r="M4190" s="1" t="str">
        <f t="shared" si="489"/>
        <v>dez</v>
      </c>
      <c r="N4190">
        <f t="shared" si="490"/>
        <v>2025</v>
      </c>
      <c r="O4190" s="2">
        <f>_xlfn.XLOOKUP(A4190,Colaboradores!$A:$A,Colaboradores!$S:$S,"",0)</f>
        <v>46165</v>
      </c>
      <c r="P4190" t="str">
        <f t="shared" si="487"/>
        <v>186946014</v>
      </c>
    </row>
    <row r="4191" spans="1:16" x14ac:dyDescent="0.3">
      <c r="A4191">
        <v>1869</v>
      </c>
      <c r="B4191">
        <v>19</v>
      </c>
      <c r="C4191" t="s">
        <v>26</v>
      </c>
      <c r="D4191" t="s">
        <v>16</v>
      </c>
      <c r="E4191" t="s">
        <v>17</v>
      </c>
      <c r="F4191" t="s">
        <v>18</v>
      </c>
      <c r="G4191" t="s">
        <v>41</v>
      </c>
      <c r="H4191" t="s">
        <v>20</v>
      </c>
      <c r="I4191" s="1">
        <v>3</v>
      </c>
      <c r="J4191" s="2">
        <v>46099</v>
      </c>
      <c r="K4191" s="2">
        <v>46082</v>
      </c>
      <c r="L4191" s="1" t="str">
        <f t="shared" si="488"/>
        <v>qua</v>
      </c>
      <c r="M4191" s="1" t="str">
        <f t="shared" si="489"/>
        <v>mar</v>
      </c>
      <c r="N4191">
        <f t="shared" si="490"/>
        <v>2026</v>
      </c>
      <c r="O4191" s="2">
        <f>_xlfn.XLOOKUP(A4191,Colaboradores!$A:$A,Colaboradores!$S:$S,"",0)</f>
        <v>46165</v>
      </c>
      <c r="P4191" t="str">
        <f t="shared" si="487"/>
        <v>186946099</v>
      </c>
    </row>
    <row r="4192" spans="1:16" x14ac:dyDescent="0.3">
      <c r="A4192">
        <v>1869</v>
      </c>
      <c r="B4192">
        <v>19</v>
      </c>
      <c r="C4192" t="s">
        <v>26</v>
      </c>
      <c r="D4192" t="s">
        <v>16</v>
      </c>
      <c r="E4192" t="s">
        <v>17</v>
      </c>
      <c r="F4192" t="s">
        <v>18</v>
      </c>
      <c r="G4192" t="s">
        <v>41</v>
      </c>
      <c r="H4192" t="s">
        <v>20</v>
      </c>
      <c r="I4192" s="1">
        <v>3</v>
      </c>
      <c r="J4192" s="2">
        <v>46110</v>
      </c>
      <c r="K4192" s="2">
        <v>46082</v>
      </c>
      <c r="L4192" s="1" t="str">
        <f t="shared" si="488"/>
        <v>dom</v>
      </c>
      <c r="M4192" s="1" t="str">
        <f t="shared" si="489"/>
        <v>mar</v>
      </c>
      <c r="N4192">
        <f t="shared" si="490"/>
        <v>2026</v>
      </c>
      <c r="O4192" s="2">
        <f>_xlfn.XLOOKUP(A4192,Colaboradores!$A:$A,Colaboradores!$S:$S,"",0)</f>
        <v>46165</v>
      </c>
      <c r="P4192" t="str">
        <f t="shared" si="487"/>
        <v>186946110</v>
      </c>
    </row>
    <row r="4193" spans="1:16" x14ac:dyDescent="0.3">
      <c r="A4193">
        <v>1870</v>
      </c>
      <c r="B4193">
        <v>21</v>
      </c>
      <c r="C4193" t="s">
        <v>15</v>
      </c>
      <c r="D4193" t="s">
        <v>29</v>
      </c>
      <c r="E4193" t="s">
        <v>17</v>
      </c>
      <c r="F4193" t="s">
        <v>18</v>
      </c>
      <c r="G4193" t="s">
        <v>41</v>
      </c>
      <c r="H4193" t="s">
        <v>25</v>
      </c>
      <c r="I4193" s="1">
        <v>1</v>
      </c>
      <c r="J4193" s="2">
        <v>45836</v>
      </c>
      <c r="K4193" s="2">
        <v>45809</v>
      </c>
      <c r="L4193" s="1" t="str">
        <f t="shared" si="488"/>
        <v>sáb</v>
      </c>
      <c r="M4193" s="1" t="str">
        <f t="shared" si="489"/>
        <v>jun</v>
      </c>
      <c r="N4193">
        <f t="shared" si="490"/>
        <v>2025</v>
      </c>
      <c r="O4193" s="2"/>
      <c r="P4193" t="str">
        <f t="shared" si="487"/>
        <v>187045836</v>
      </c>
    </row>
    <row r="4194" spans="1:16" x14ac:dyDescent="0.3">
      <c r="A4194">
        <v>1870</v>
      </c>
      <c r="B4194">
        <v>21</v>
      </c>
      <c r="C4194" t="s">
        <v>15</v>
      </c>
      <c r="D4194" t="s">
        <v>29</v>
      </c>
      <c r="E4194" t="s">
        <v>17</v>
      </c>
      <c r="F4194" t="s">
        <v>18</v>
      </c>
      <c r="G4194" t="s">
        <v>41</v>
      </c>
      <c r="H4194" t="s">
        <v>25</v>
      </c>
      <c r="I4194" s="1">
        <v>1</v>
      </c>
      <c r="J4194" s="2">
        <v>45856</v>
      </c>
      <c r="K4194" s="2">
        <v>45839</v>
      </c>
      <c r="L4194" s="1" t="str">
        <f t="shared" si="488"/>
        <v>sex</v>
      </c>
      <c r="M4194" s="1" t="str">
        <f t="shared" si="489"/>
        <v>jul</v>
      </c>
      <c r="N4194">
        <f t="shared" si="490"/>
        <v>2025</v>
      </c>
      <c r="O4194" s="2"/>
      <c r="P4194" t="str">
        <f t="shared" si="487"/>
        <v>187045856</v>
      </c>
    </row>
    <row r="4195" spans="1:16" x14ac:dyDescent="0.3">
      <c r="A4195">
        <v>1870</v>
      </c>
      <c r="B4195">
        <v>21</v>
      </c>
      <c r="C4195" t="s">
        <v>15</v>
      </c>
      <c r="D4195" t="s">
        <v>29</v>
      </c>
      <c r="E4195" t="s">
        <v>17</v>
      </c>
      <c r="F4195" t="s">
        <v>18</v>
      </c>
      <c r="G4195" t="s">
        <v>41</v>
      </c>
      <c r="H4195" t="s">
        <v>25</v>
      </c>
      <c r="I4195" s="1">
        <v>1</v>
      </c>
      <c r="J4195" s="2">
        <v>45870</v>
      </c>
      <c r="K4195" s="2">
        <v>45870</v>
      </c>
      <c r="L4195" s="1" t="str">
        <f t="shared" si="488"/>
        <v>sex</v>
      </c>
      <c r="M4195" s="1" t="str">
        <f t="shared" si="489"/>
        <v>ago</v>
      </c>
      <c r="N4195">
        <f t="shared" si="490"/>
        <v>2025</v>
      </c>
      <c r="O4195" s="2"/>
      <c r="P4195" t="str">
        <f t="shared" si="487"/>
        <v>187045870</v>
      </c>
    </row>
    <row r="4196" spans="1:16" x14ac:dyDescent="0.3">
      <c r="A4196">
        <v>1870</v>
      </c>
      <c r="B4196">
        <v>21</v>
      </c>
      <c r="C4196" t="s">
        <v>15</v>
      </c>
      <c r="D4196" t="s">
        <v>29</v>
      </c>
      <c r="E4196" t="s">
        <v>17</v>
      </c>
      <c r="F4196" t="s">
        <v>18</v>
      </c>
      <c r="G4196" t="s">
        <v>41</v>
      </c>
      <c r="H4196" t="s">
        <v>25</v>
      </c>
      <c r="I4196" s="1">
        <v>1</v>
      </c>
      <c r="J4196" s="2">
        <v>45887</v>
      </c>
      <c r="K4196" s="2">
        <v>45870</v>
      </c>
      <c r="L4196" s="1" t="str">
        <f t="shared" si="488"/>
        <v>seg</v>
      </c>
      <c r="M4196" s="1" t="str">
        <f t="shared" si="489"/>
        <v>ago</v>
      </c>
      <c r="N4196">
        <f t="shared" si="490"/>
        <v>2025</v>
      </c>
      <c r="O4196" s="2"/>
      <c r="P4196" t="str">
        <f t="shared" si="487"/>
        <v>187045887</v>
      </c>
    </row>
    <row r="4197" spans="1:16" x14ac:dyDescent="0.3">
      <c r="A4197">
        <v>1870</v>
      </c>
      <c r="B4197">
        <v>21</v>
      </c>
      <c r="C4197" t="s">
        <v>15</v>
      </c>
      <c r="D4197" t="s">
        <v>29</v>
      </c>
      <c r="E4197" t="s">
        <v>17</v>
      </c>
      <c r="F4197" t="s">
        <v>18</v>
      </c>
      <c r="G4197" t="s">
        <v>41</v>
      </c>
      <c r="H4197" t="s">
        <v>25</v>
      </c>
      <c r="I4197" s="1">
        <v>1</v>
      </c>
      <c r="J4197" s="2">
        <v>45993</v>
      </c>
      <c r="K4197" s="2">
        <v>45992</v>
      </c>
      <c r="L4197" s="1" t="str">
        <f t="shared" si="488"/>
        <v>ter</v>
      </c>
      <c r="M4197" s="1" t="str">
        <f t="shared" si="489"/>
        <v>dez</v>
      </c>
      <c r="N4197">
        <f t="shared" si="490"/>
        <v>2025</v>
      </c>
      <c r="O4197" s="2"/>
      <c r="P4197" t="str">
        <f t="shared" si="487"/>
        <v>187045993</v>
      </c>
    </row>
    <row r="4198" spans="1:16" x14ac:dyDescent="0.3">
      <c r="A4198">
        <v>1870</v>
      </c>
      <c r="B4198">
        <v>21</v>
      </c>
      <c r="C4198" t="s">
        <v>15</v>
      </c>
      <c r="D4198" t="s">
        <v>29</v>
      </c>
      <c r="E4198" t="s">
        <v>17</v>
      </c>
      <c r="F4198" t="s">
        <v>18</v>
      </c>
      <c r="G4198" t="s">
        <v>41</v>
      </c>
      <c r="H4198" t="s">
        <v>25</v>
      </c>
      <c r="I4198" s="1">
        <v>1</v>
      </c>
      <c r="J4198" s="2">
        <v>46066</v>
      </c>
      <c r="K4198" s="2">
        <v>46054</v>
      </c>
      <c r="L4198" s="1" t="str">
        <f t="shared" si="488"/>
        <v>sex</v>
      </c>
      <c r="M4198" s="1" t="str">
        <f t="shared" si="489"/>
        <v>fev</v>
      </c>
      <c r="N4198">
        <f t="shared" si="490"/>
        <v>2026</v>
      </c>
      <c r="O4198" s="2"/>
      <c r="P4198" t="str">
        <f t="shared" si="487"/>
        <v>187046066</v>
      </c>
    </row>
    <row r="4199" spans="1:16" x14ac:dyDescent="0.3">
      <c r="A4199">
        <v>1871</v>
      </c>
      <c r="B4199">
        <v>40</v>
      </c>
      <c r="C4199" t="s">
        <v>15</v>
      </c>
      <c r="D4199" t="s">
        <v>29</v>
      </c>
      <c r="E4199" t="s">
        <v>17</v>
      </c>
      <c r="F4199" t="s">
        <v>23</v>
      </c>
      <c r="G4199" t="s">
        <v>41</v>
      </c>
      <c r="H4199" t="s">
        <v>25</v>
      </c>
      <c r="I4199" s="1">
        <v>1</v>
      </c>
      <c r="J4199" s="2">
        <v>45813</v>
      </c>
      <c r="K4199" s="2">
        <v>45809</v>
      </c>
      <c r="L4199" s="1" t="str">
        <f t="shared" si="488"/>
        <v>qui</v>
      </c>
      <c r="M4199" s="1" t="str">
        <f t="shared" si="489"/>
        <v>jun</v>
      </c>
      <c r="N4199">
        <f t="shared" si="490"/>
        <v>2025</v>
      </c>
      <c r="O4199" s="2"/>
      <c r="P4199" t="str">
        <f t="shared" si="487"/>
        <v>187145813</v>
      </c>
    </row>
    <row r="4200" spans="1:16" x14ac:dyDescent="0.3">
      <c r="A4200">
        <v>1871</v>
      </c>
      <c r="B4200">
        <v>40</v>
      </c>
      <c r="C4200" t="s">
        <v>15</v>
      </c>
      <c r="D4200" t="s">
        <v>29</v>
      </c>
      <c r="E4200" t="s">
        <v>17</v>
      </c>
      <c r="F4200" t="s">
        <v>23</v>
      </c>
      <c r="G4200" t="s">
        <v>41</v>
      </c>
      <c r="H4200" t="s">
        <v>25</v>
      </c>
      <c r="I4200" s="1">
        <v>1</v>
      </c>
      <c r="J4200" s="2">
        <v>45974</v>
      </c>
      <c r="K4200" s="2">
        <v>45962</v>
      </c>
      <c r="L4200" s="1" t="str">
        <f t="shared" si="488"/>
        <v>qui</v>
      </c>
      <c r="M4200" s="1" t="str">
        <f t="shared" si="489"/>
        <v>nov</v>
      </c>
      <c r="N4200">
        <f t="shared" si="490"/>
        <v>2025</v>
      </c>
      <c r="O4200" s="2"/>
      <c r="P4200" t="str">
        <f t="shared" si="487"/>
        <v>187145974</v>
      </c>
    </row>
    <row r="4201" spans="1:16" x14ac:dyDescent="0.3">
      <c r="A4201">
        <v>1871</v>
      </c>
      <c r="B4201">
        <v>40</v>
      </c>
      <c r="C4201" t="s">
        <v>15</v>
      </c>
      <c r="D4201" t="s">
        <v>29</v>
      </c>
      <c r="E4201" t="s">
        <v>17</v>
      </c>
      <c r="F4201" t="s">
        <v>23</v>
      </c>
      <c r="G4201" t="s">
        <v>41</v>
      </c>
      <c r="H4201" t="s">
        <v>25</v>
      </c>
      <c r="I4201" s="1">
        <v>1</v>
      </c>
      <c r="J4201" s="2">
        <v>46072</v>
      </c>
      <c r="K4201" s="2">
        <v>46054</v>
      </c>
      <c r="L4201" s="1" t="str">
        <f t="shared" si="488"/>
        <v>qui</v>
      </c>
      <c r="M4201" s="1" t="str">
        <f t="shared" si="489"/>
        <v>fev</v>
      </c>
      <c r="N4201">
        <f t="shared" si="490"/>
        <v>2026</v>
      </c>
      <c r="O4201" s="2"/>
      <c r="P4201" t="str">
        <f t="shared" si="487"/>
        <v>187146072</v>
      </c>
    </row>
    <row r="4202" spans="1:16" x14ac:dyDescent="0.3">
      <c r="A4202">
        <v>1871</v>
      </c>
      <c r="B4202">
        <v>40</v>
      </c>
      <c r="C4202" t="s">
        <v>15</v>
      </c>
      <c r="D4202" t="s">
        <v>29</v>
      </c>
      <c r="E4202" t="s">
        <v>17</v>
      </c>
      <c r="F4202" t="s">
        <v>23</v>
      </c>
      <c r="G4202" t="s">
        <v>41</v>
      </c>
      <c r="H4202" t="s">
        <v>25</v>
      </c>
      <c r="I4202" s="1">
        <v>1</v>
      </c>
      <c r="J4202" s="2">
        <v>46088</v>
      </c>
      <c r="K4202" s="2">
        <v>46082</v>
      </c>
      <c r="L4202" s="1" t="str">
        <f t="shared" si="488"/>
        <v>sáb</v>
      </c>
      <c r="M4202" s="1" t="str">
        <f t="shared" si="489"/>
        <v>mar</v>
      </c>
      <c r="N4202">
        <f t="shared" si="490"/>
        <v>2026</v>
      </c>
      <c r="O4202" s="2"/>
      <c r="P4202" t="str">
        <f t="shared" si="487"/>
        <v>187146088</v>
      </c>
    </row>
    <row r="4203" spans="1:16" x14ac:dyDescent="0.3">
      <c r="A4203">
        <v>1872</v>
      </c>
      <c r="B4203">
        <v>32</v>
      </c>
      <c r="C4203" t="s">
        <v>15</v>
      </c>
      <c r="D4203" t="s">
        <v>29</v>
      </c>
      <c r="E4203" t="s">
        <v>17</v>
      </c>
      <c r="F4203" t="s">
        <v>23</v>
      </c>
      <c r="G4203" t="s">
        <v>41</v>
      </c>
      <c r="H4203" t="s">
        <v>20</v>
      </c>
      <c r="I4203" s="1">
        <v>1</v>
      </c>
      <c r="J4203" s="2">
        <v>45777</v>
      </c>
      <c r="K4203" s="2">
        <v>45748</v>
      </c>
      <c r="L4203" s="1" t="str">
        <f t="shared" si="488"/>
        <v>qua</v>
      </c>
      <c r="M4203" s="1" t="str">
        <f t="shared" si="489"/>
        <v>abr</v>
      </c>
      <c r="N4203">
        <f t="shared" si="490"/>
        <v>2025</v>
      </c>
      <c r="O4203" s="2">
        <f>_xlfn.XLOOKUP(A4203,Colaboradores!$A:$A,Colaboradores!$S:$S,"",0)</f>
        <v>46053</v>
      </c>
      <c r="P4203" t="str">
        <f t="shared" si="487"/>
        <v>187245777</v>
      </c>
    </row>
    <row r="4204" spans="1:16" x14ac:dyDescent="0.3">
      <c r="A4204">
        <v>1872</v>
      </c>
      <c r="B4204">
        <v>32</v>
      </c>
      <c r="C4204" t="s">
        <v>15</v>
      </c>
      <c r="D4204" t="s">
        <v>29</v>
      </c>
      <c r="E4204" t="s">
        <v>17</v>
      </c>
      <c r="F4204" t="s">
        <v>23</v>
      </c>
      <c r="G4204" t="s">
        <v>41</v>
      </c>
      <c r="H4204" t="s">
        <v>20</v>
      </c>
      <c r="I4204" s="1">
        <v>1</v>
      </c>
      <c r="J4204" s="2">
        <v>45817</v>
      </c>
      <c r="K4204" s="2">
        <v>45809</v>
      </c>
      <c r="L4204" s="1" t="str">
        <f t="shared" si="488"/>
        <v>seg</v>
      </c>
      <c r="M4204" s="1" t="str">
        <f t="shared" si="489"/>
        <v>jun</v>
      </c>
      <c r="N4204">
        <f t="shared" si="490"/>
        <v>2025</v>
      </c>
      <c r="O4204" s="2">
        <f>_xlfn.XLOOKUP(A4204,Colaboradores!$A:$A,Colaboradores!$S:$S,"",0)</f>
        <v>46053</v>
      </c>
      <c r="P4204" t="str">
        <f t="shared" si="487"/>
        <v>187245817</v>
      </c>
    </row>
    <row r="4205" spans="1:16" x14ac:dyDescent="0.3">
      <c r="A4205">
        <v>1872</v>
      </c>
      <c r="B4205">
        <v>32</v>
      </c>
      <c r="C4205" t="s">
        <v>15</v>
      </c>
      <c r="D4205" t="s">
        <v>29</v>
      </c>
      <c r="E4205" t="s">
        <v>17</v>
      </c>
      <c r="F4205" t="s">
        <v>23</v>
      </c>
      <c r="G4205" t="s">
        <v>41</v>
      </c>
      <c r="H4205" t="s">
        <v>20</v>
      </c>
      <c r="I4205" s="1">
        <v>1</v>
      </c>
      <c r="J4205" s="2">
        <v>45894</v>
      </c>
      <c r="K4205" s="2">
        <v>45870</v>
      </c>
      <c r="L4205" s="1" t="str">
        <f t="shared" si="488"/>
        <v>seg</v>
      </c>
      <c r="M4205" s="1" t="str">
        <f t="shared" si="489"/>
        <v>ago</v>
      </c>
      <c r="N4205">
        <f t="shared" si="490"/>
        <v>2025</v>
      </c>
      <c r="O4205" s="2">
        <f>_xlfn.XLOOKUP(A4205,Colaboradores!$A:$A,Colaboradores!$S:$S,"",0)</f>
        <v>46053</v>
      </c>
      <c r="P4205" t="str">
        <f t="shared" si="487"/>
        <v>187245894</v>
      </c>
    </row>
    <row r="4206" spans="1:16" x14ac:dyDescent="0.3">
      <c r="A4206">
        <v>1872</v>
      </c>
      <c r="B4206">
        <v>32</v>
      </c>
      <c r="C4206" t="s">
        <v>15</v>
      </c>
      <c r="D4206" t="s">
        <v>29</v>
      </c>
      <c r="E4206" t="s">
        <v>17</v>
      </c>
      <c r="F4206" t="s">
        <v>23</v>
      </c>
      <c r="G4206" t="s">
        <v>41</v>
      </c>
      <c r="H4206" t="s">
        <v>20</v>
      </c>
      <c r="I4206" s="1">
        <v>1</v>
      </c>
      <c r="J4206" s="2">
        <v>45933</v>
      </c>
      <c r="K4206" s="2">
        <v>45931</v>
      </c>
      <c r="L4206" s="1" t="str">
        <f t="shared" si="488"/>
        <v>sex</v>
      </c>
      <c r="M4206" s="1" t="str">
        <f t="shared" si="489"/>
        <v>out</v>
      </c>
      <c r="N4206">
        <f t="shared" si="490"/>
        <v>2025</v>
      </c>
      <c r="O4206" s="2">
        <f>_xlfn.XLOOKUP(A4206,Colaboradores!$A:$A,Colaboradores!$S:$S,"",0)</f>
        <v>46053</v>
      </c>
      <c r="P4206" t="str">
        <f t="shared" si="487"/>
        <v>187245933</v>
      </c>
    </row>
    <row r="4207" spans="1:16" x14ac:dyDescent="0.3">
      <c r="A4207">
        <v>1872</v>
      </c>
      <c r="B4207">
        <v>32</v>
      </c>
      <c r="C4207" t="s">
        <v>15</v>
      </c>
      <c r="D4207" t="s">
        <v>29</v>
      </c>
      <c r="E4207" t="s">
        <v>17</v>
      </c>
      <c r="F4207" t="s">
        <v>23</v>
      </c>
      <c r="G4207" t="s">
        <v>41</v>
      </c>
      <c r="H4207" t="s">
        <v>20</v>
      </c>
      <c r="I4207" s="1">
        <v>1</v>
      </c>
      <c r="J4207" s="2">
        <v>45984</v>
      </c>
      <c r="K4207" s="2">
        <v>45962</v>
      </c>
      <c r="L4207" s="1" t="str">
        <f t="shared" si="488"/>
        <v>dom</v>
      </c>
      <c r="M4207" s="1" t="str">
        <f t="shared" si="489"/>
        <v>nov</v>
      </c>
      <c r="N4207">
        <f t="shared" si="490"/>
        <v>2025</v>
      </c>
      <c r="O4207" s="2">
        <f>_xlfn.XLOOKUP(A4207,Colaboradores!$A:$A,Colaboradores!$S:$S,"",0)</f>
        <v>46053</v>
      </c>
      <c r="P4207" t="str">
        <f t="shared" si="487"/>
        <v>187245984</v>
      </c>
    </row>
    <row r="4208" spans="1:16" x14ac:dyDescent="0.3">
      <c r="A4208">
        <v>1872</v>
      </c>
      <c r="B4208">
        <v>32</v>
      </c>
      <c r="C4208" t="s">
        <v>15</v>
      </c>
      <c r="D4208" t="s">
        <v>29</v>
      </c>
      <c r="E4208" t="s">
        <v>17</v>
      </c>
      <c r="F4208" t="s">
        <v>23</v>
      </c>
      <c r="G4208" t="s">
        <v>41</v>
      </c>
      <c r="H4208" t="s">
        <v>20</v>
      </c>
      <c r="I4208" s="1">
        <v>1</v>
      </c>
      <c r="J4208" s="2">
        <v>46179</v>
      </c>
      <c r="K4208" s="2">
        <v>46023</v>
      </c>
      <c r="L4208" s="1" t="str">
        <f t="shared" si="488"/>
        <v>sáb</v>
      </c>
      <c r="M4208" s="1" t="str">
        <f t="shared" si="489"/>
        <v>jun</v>
      </c>
      <c r="N4208">
        <f t="shared" si="490"/>
        <v>2026</v>
      </c>
      <c r="O4208" s="2">
        <f>_xlfn.XLOOKUP(A4208,Colaboradores!$A:$A,Colaboradores!$S:$S,"",0)</f>
        <v>46053</v>
      </c>
      <c r="P4208" t="str">
        <f t="shared" si="487"/>
        <v>187246179</v>
      </c>
    </row>
    <row r="4209" spans="1:16" x14ac:dyDescent="0.3">
      <c r="A4209">
        <v>1873</v>
      </c>
      <c r="B4209">
        <v>27</v>
      </c>
      <c r="C4209" t="s">
        <v>15</v>
      </c>
      <c r="D4209" t="s">
        <v>22</v>
      </c>
      <c r="E4209" t="s">
        <v>17</v>
      </c>
      <c r="F4209" t="s">
        <v>18</v>
      </c>
      <c r="G4209" t="s">
        <v>41</v>
      </c>
      <c r="H4209" t="s">
        <v>25</v>
      </c>
      <c r="I4209" s="1">
        <v>3</v>
      </c>
      <c r="J4209" s="2">
        <v>45980</v>
      </c>
      <c r="K4209" s="2">
        <v>45962</v>
      </c>
      <c r="L4209" s="1" t="str">
        <f t="shared" si="488"/>
        <v>qua</v>
      </c>
      <c r="M4209" s="1" t="str">
        <f t="shared" si="489"/>
        <v>nov</v>
      </c>
      <c r="N4209">
        <f t="shared" si="490"/>
        <v>2025</v>
      </c>
      <c r="O4209" s="2"/>
      <c r="P4209" t="str">
        <f t="shared" si="487"/>
        <v>187345980</v>
      </c>
    </row>
    <row r="4210" spans="1:16" x14ac:dyDescent="0.3">
      <c r="A4210">
        <v>1873</v>
      </c>
      <c r="B4210">
        <v>27</v>
      </c>
      <c r="C4210" t="s">
        <v>15</v>
      </c>
      <c r="D4210" t="s">
        <v>22</v>
      </c>
      <c r="E4210" t="s">
        <v>17</v>
      </c>
      <c r="F4210" t="s">
        <v>18</v>
      </c>
      <c r="G4210" t="s">
        <v>41</v>
      </c>
      <c r="H4210" t="s">
        <v>25</v>
      </c>
      <c r="I4210" s="1">
        <v>3</v>
      </c>
      <c r="J4210" s="2">
        <v>45994</v>
      </c>
      <c r="K4210" s="2">
        <v>45992</v>
      </c>
      <c r="L4210" s="1" t="str">
        <f t="shared" si="488"/>
        <v>qua</v>
      </c>
      <c r="M4210" s="1" t="str">
        <f t="shared" si="489"/>
        <v>dez</v>
      </c>
      <c r="N4210">
        <f t="shared" si="490"/>
        <v>2025</v>
      </c>
      <c r="O4210" s="2"/>
      <c r="P4210" t="str">
        <f t="shared" si="487"/>
        <v>187345994</v>
      </c>
    </row>
    <row r="4211" spans="1:16" x14ac:dyDescent="0.3">
      <c r="A4211">
        <v>1873</v>
      </c>
      <c r="B4211">
        <v>27</v>
      </c>
      <c r="C4211" t="s">
        <v>15</v>
      </c>
      <c r="D4211" t="s">
        <v>22</v>
      </c>
      <c r="E4211" t="s">
        <v>17</v>
      </c>
      <c r="F4211" t="s">
        <v>18</v>
      </c>
      <c r="G4211" t="s">
        <v>41</v>
      </c>
      <c r="H4211" t="s">
        <v>25</v>
      </c>
      <c r="I4211" s="1">
        <v>3</v>
      </c>
      <c r="J4211" s="2">
        <v>46082</v>
      </c>
      <c r="K4211" s="2">
        <v>46082</v>
      </c>
      <c r="L4211" s="1" t="str">
        <f t="shared" si="488"/>
        <v>dom</v>
      </c>
      <c r="M4211" s="1" t="str">
        <f t="shared" si="489"/>
        <v>mar</v>
      </c>
      <c r="N4211">
        <f t="shared" si="490"/>
        <v>2026</v>
      </c>
      <c r="O4211" s="2"/>
      <c r="P4211" t="str">
        <f t="shared" si="487"/>
        <v>187346082</v>
      </c>
    </row>
    <row r="4212" spans="1:16" x14ac:dyDescent="0.3">
      <c r="A4212">
        <v>1873</v>
      </c>
      <c r="B4212">
        <v>27</v>
      </c>
      <c r="C4212" t="s">
        <v>15</v>
      </c>
      <c r="D4212" t="s">
        <v>22</v>
      </c>
      <c r="E4212" t="s">
        <v>17</v>
      </c>
      <c r="F4212" t="s">
        <v>18</v>
      </c>
      <c r="G4212" t="s">
        <v>41</v>
      </c>
      <c r="H4212" t="s">
        <v>25</v>
      </c>
      <c r="I4212" s="1">
        <v>3</v>
      </c>
      <c r="J4212" s="2">
        <v>46097</v>
      </c>
      <c r="K4212" s="2">
        <v>46082</v>
      </c>
      <c r="L4212" s="1" t="str">
        <f t="shared" si="488"/>
        <v>seg</v>
      </c>
      <c r="M4212" s="1" t="str">
        <f t="shared" si="489"/>
        <v>mar</v>
      </c>
      <c r="N4212">
        <f t="shared" si="490"/>
        <v>2026</v>
      </c>
      <c r="O4212" s="2"/>
      <c r="P4212" t="str">
        <f t="shared" si="487"/>
        <v>187346097</v>
      </c>
    </row>
    <row r="4213" spans="1:16" x14ac:dyDescent="0.3">
      <c r="A4213">
        <v>1874</v>
      </c>
      <c r="B4213">
        <v>45</v>
      </c>
      <c r="C4213" t="s">
        <v>26</v>
      </c>
      <c r="D4213" t="s">
        <v>27</v>
      </c>
      <c r="E4213" t="s">
        <v>17</v>
      </c>
      <c r="F4213" t="s">
        <v>23</v>
      </c>
      <c r="G4213" t="s">
        <v>41</v>
      </c>
      <c r="H4213" t="s">
        <v>25</v>
      </c>
      <c r="I4213" s="1">
        <v>2</v>
      </c>
      <c r="J4213" s="2">
        <v>45830</v>
      </c>
      <c r="K4213" s="2">
        <v>45809</v>
      </c>
      <c r="L4213" s="1" t="str">
        <f t="shared" si="488"/>
        <v>dom</v>
      </c>
      <c r="M4213" s="1" t="str">
        <f t="shared" si="489"/>
        <v>jun</v>
      </c>
      <c r="N4213">
        <f t="shared" si="490"/>
        <v>2025</v>
      </c>
      <c r="O4213" s="2"/>
      <c r="P4213" t="str">
        <f t="shared" si="487"/>
        <v>187445830</v>
      </c>
    </row>
    <row r="4214" spans="1:16" x14ac:dyDescent="0.3">
      <c r="A4214">
        <v>1874</v>
      </c>
      <c r="B4214">
        <v>45</v>
      </c>
      <c r="C4214" t="s">
        <v>26</v>
      </c>
      <c r="D4214" t="s">
        <v>27</v>
      </c>
      <c r="E4214" t="s">
        <v>17</v>
      </c>
      <c r="F4214" t="s">
        <v>23</v>
      </c>
      <c r="G4214" t="s">
        <v>41</v>
      </c>
      <c r="H4214" t="s">
        <v>25</v>
      </c>
      <c r="I4214" s="1">
        <v>2</v>
      </c>
      <c r="J4214" s="2">
        <v>45943</v>
      </c>
      <c r="K4214" s="2">
        <v>45931</v>
      </c>
      <c r="L4214" s="1" t="str">
        <f t="shared" si="488"/>
        <v>seg</v>
      </c>
      <c r="M4214" s="1" t="str">
        <f t="shared" si="489"/>
        <v>out</v>
      </c>
      <c r="N4214">
        <f t="shared" si="490"/>
        <v>2025</v>
      </c>
      <c r="O4214" s="2"/>
      <c r="P4214" t="str">
        <f t="shared" si="487"/>
        <v>187445943</v>
      </c>
    </row>
    <row r="4215" spans="1:16" x14ac:dyDescent="0.3">
      <c r="A4215">
        <v>1874</v>
      </c>
      <c r="B4215">
        <v>45</v>
      </c>
      <c r="C4215" t="s">
        <v>26</v>
      </c>
      <c r="D4215" t="s">
        <v>27</v>
      </c>
      <c r="E4215" t="s">
        <v>17</v>
      </c>
      <c r="F4215" t="s">
        <v>23</v>
      </c>
      <c r="G4215" t="s">
        <v>41</v>
      </c>
      <c r="H4215" t="s">
        <v>25</v>
      </c>
      <c r="I4215" s="1">
        <v>2</v>
      </c>
      <c r="J4215" s="2">
        <v>45957</v>
      </c>
      <c r="K4215" s="2">
        <v>45931</v>
      </c>
      <c r="L4215" s="1" t="str">
        <f t="shared" si="488"/>
        <v>seg</v>
      </c>
      <c r="M4215" s="1" t="str">
        <f t="shared" si="489"/>
        <v>out</v>
      </c>
      <c r="N4215">
        <f t="shared" si="490"/>
        <v>2025</v>
      </c>
      <c r="O4215" s="2"/>
      <c r="P4215" t="str">
        <f t="shared" si="487"/>
        <v>187445957</v>
      </c>
    </row>
    <row r="4216" spans="1:16" x14ac:dyDescent="0.3">
      <c r="A4216">
        <v>1874</v>
      </c>
      <c r="B4216">
        <v>45</v>
      </c>
      <c r="C4216" t="s">
        <v>26</v>
      </c>
      <c r="D4216" t="s">
        <v>27</v>
      </c>
      <c r="E4216" t="s">
        <v>17</v>
      </c>
      <c r="F4216" t="s">
        <v>23</v>
      </c>
      <c r="G4216" t="s">
        <v>41</v>
      </c>
      <c r="H4216" t="s">
        <v>25</v>
      </c>
      <c r="I4216" s="1">
        <v>2</v>
      </c>
      <c r="J4216" s="2">
        <v>45965</v>
      </c>
      <c r="K4216" s="2">
        <v>45962</v>
      </c>
      <c r="L4216" s="1" t="str">
        <f t="shared" si="488"/>
        <v>ter</v>
      </c>
      <c r="M4216" s="1" t="str">
        <f t="shared" si="489"/>
        <v>nov</v>
      </c>
      <c r="N4216">
        <f t="shared" si="490"/>
        <v>2025</v>
      </c>
      <c r="O4216" s="2"/>
      <c r="P4216" t="str">
        <f t="shared" si="487"/>
        <v>187445965</v>
      </c>
    </row>
    <row r="4217" spans="1:16" x14ac:dyDescent="0.3">
      <c r="A4217">
        <v>1874</v>
      </c>
      <c r="B4217">
        <v>45</v>
      </c>
      <c r="C4217" t="s">
        <v>26</v>
      </c>
      <c r="D4217" t="s">
        <v>27</v>
      </c>
      <c r="E4217" t="s">
        <v>17</v>
      </c>
      <c r="F4217" t="s">
        <v>23</v>
      </c>
      <c r="G4217" t="s">
        <v>41</v>
      </c>
      <c r="H4217" t="s">
        <v>25</v>
      </c>
      <c r="I4217" s="1">
        <v>2</v>
      </c>
      <c r="J4217" s="2">
        <v>46003</v>
      </c>
      <c r="K4217" s="2">
        <v>45992</v>
      </c>
      <c r="L4217" s="1" t="str">
        <f t="shared" si="488"/>
        <v>sex</v>
      </c>
      <c r="M4217" s="1" t="str">
        <f t="shared" si="489"/>
        <v>dez</v>
      </c>
      <c r="N4217">
        <f t="shared" si="490"/>
        <v>2025</v>
      </c>
      <c r="O4217" s="2"/>
      <c r="P4217" t="str">
        <f t="shared" si="487"/>
        <v>187446003</v>
      </c>
    </row>
    <row r="4218" spans="1:16" x14ac:dyDescent="0.3">
      <c r="A4218">
        <v>1874</v>
      </c>
      <c r="B4218">
        <v>45</v>
      </c>
      <c r="C4218" t="s">
        <v>26</v>
      </c>
      <c r="D4218" t="s">
        <v>27</v>
      </c>
      <c r="E4218" t="s">
        <v>17</v>
      </c>
      <c r="F4218" t="s">
        <v>23</v>
      </c>
      <c r="G4218" t="s">
        <v>41</v>
      </c>
      <c r="H4218" t="s">
        <v>25</v>
      </c>
      <c r="I4218" s="1">
        <v>2</v>
      </c>
      <c r="J4218" s="2">
        <v>46015</v>
      </c>
      <c r="K4218" s="2">
        <v>45992</v>
      </c>
      <c r="L4218" s="1" t="str">
        <f t="shared" si="488"/>
        <v>qua</v>
      </c>
      <c r="M4218" s="1" t="str">
        <f t="shared" si="489"/>
        <v>dez</v>
      </c>
      <c r="N4218">
        <f t="shared" si="490"/>
        <v>2025</v>
      </c>
      <c r="O4218" s="2"/>
      <c r="P4218" t="str">
        <f t="shared" si="487"/>
        <v>187446015</v>
      </c>
    </row>
    <row r="4219" spans="1:16" x14ac:dyDescent="0.3">
      <c r="A4219">
        <v>1875</v>
      </c>
      <c r="B4219">
        <v>36</v>
      </c>
      <c r="C4219" t="s">
        <v>15</v>
      </c>
      <c r="D4219" t="s">
        <v>16</v>
      </c>
      <c r="E4219" t="s">
        <v>17</v>
      </c>
      <c r="F4219" t="s">
        <v>23</v>
      </c>
      <c r="G4219" t="s">
        <v>41</v>
      </c>
      <c r="H4219" t="s">
        <v>25</v>
      </c>
      <c r="I4219" s="1">
        <v>2</v>
      </c>
      <c r="J4219" s="2">
        <v>45825</v>
      </c>
      <c r="K4219" s="2">
        <v>45809</v>
      </c>
      <c r="L4219" s="1" t="str">
        <f t="shared" si="488"/>
        <v>ter</v>
      </c>
      <c r="M4219" s="1" t="str">
        <f t="shared" si="489"/>
        <v>jun</v>
      </c>
      <c r="N4219">
        <f t="shared" si="490"/>
        <v>2025</v>
      </c>
      <c r="O4219" s="2"/>
      <c r="P4219" t="str">
        <f t="shared" si="487"/>
        <v>187545825</v>
      </c>
    </row>
    <row r="4220" spans="1:16" x14ac:dyDescent="0.3">
      <c r="A4220">
        <v>1875</v>
      </c>
      <c r="B4220">
        <v>36</v>
      </c>
      <c r="C4220" t="s">
        <v>15</v>
      </c>
      <c r="D4220" t="s">
        <v>16</v>
      </c>
      <c r="E4220" t="s">
        <v>17</v>
      </c>
      <c r="F4220" t="s">
        <v>23</v>
      </c>
      <c r="G4220" t="s">
        <v>41</v>
      </c>
      <c r="H4220" t="s">
        <v>25</v>
      </c>
      <c r="I4220" s="1">
        <v>2</v>
      </c>
      <c r="J4220" s="2">
        <v>45833</v>
      </c>
      <c r="K4220" s="2">
        <v>45809</v>
      </c>
      <c r="L4220" s="1" t="str">
        <f t="shared" si="488"/>
        <v>qua</v>
      </c>
      <c r="M4220" s="1" t="str">
        <f t="shared" si="489"/>
        <v>jun</v>
      </c>
      <c r="N4220">
        <f t="shared" si="490"/>
        <v>2025</v>
      </c>
      <c r="O4220" s="2"/>
      <c r="P4220" t="str">
        <f t="shared" si="487"/>
        <v>187545833</v>
      </c>
    </row>
    <row r="4221" spans="1:16" x14ac:dyDescent="0.3">
      <c r="A4221">
        <v>1875</v>
      </c>
      <c r="B4221">
        <v>36</v>
      </c>
      <c r="C4221" t="s">
        <v>15</v>
      </c>
      <c r="D4221" t="s">
        <v>16</v>
      </c>
      <c r="E4221" t="s">
        <v>17</v>
      </c>
      <c r="F4221" t="s">
        <v>23</v>
      </c>
      <c r="G4221" t="s">
        <v>41</v>
      </c>
      <c r="H4221" t="s">
        <v>25</v>
      </c>
      <c r="I4221" s="1">
        <v>2</v>
      </c>
      <c r="J4221" s="2">
        <v>45888</v>
      </c>
      <c r="K4221" s="2">
        <v>45870</v>
      </c>
      <c r="L4221" s="1" t="str">
        <f t="shared" si="488"/>
        <v>ter</v>
      </c>
      <c r="M4221" s="1" t="str">
        <f t="shared" si="489"/>
        <v>ago</v>
      </c>
      <c r="N4221">
        <f t="shared" si="490"/>
        <v>2025</v>
      </c>
      <c r="O4221" s="2"/>
      <c r="P4221" t="str">
        <f t="shared" ref="P4221:P4284" si="491">CONCATENATE(A4221,J4221)</f>
        <v>187545888</v>
      </c>
    </row>
    <row r="4222" spans="1:16" x14ac:dyDescent="0.3">
      <c r="A4222">
        <v>1875</v>
      </c>
      <c r="B4222">
        <v>36</v>
      </c>
      <c r="C4222" t="s">
        <v>15</v>
      </c>
      <c r="D4222" t="s">
        <v>16</v>
      </c>
      <c r="E4222" t="s">
        <v>17</v>
      </c>
      <c r="F4222" t="s">
        <v>23</v>
      </c>
      <c r="G4222" t="s">
        <v>41</v>
      </c>
      <c r="H4222" t="s">
        <v>25</v>
      </c>
      <c r="I4222" s="1">
        <v>2</v>
      </c>
      <c r="J4222" s="2">
        <v>45898</v>
      </c>
      <c r="K4222" s="2">
        <v>45870</v>
      </c>
      <c r="L4222" s="1" t="str">
        <f t="shared" si="488"/>
        <v>sex</v>
      </c>
      <c r="M4222" s="1" t="str">
        <f t="shared" si="489"/>
        <v>ago</v>
      </c>
      <c r="N4222">
        <f t="shared" si="490"/>
        <v>2025</v>
      </c>
      <c r="O4222" s="2"/>
      <c r="P4222" t="str">
        <f t="shared" si="491"/>
        <v>187545898</v>
      </c>
    </row>
    <row r="4223" spans="1:16" x14ac:dyDescent="0.3">
      <c r="A4223">
        <v>1875</v>
      </c>
      <c r="B4223">
        <v>36</v>
      </c>
      <c r="C4223" t="s">
        <v>15</v>
      </c>
      <c r="D4223" t="s">
        <v>16</v>
      </c>
      <c r="E4223" t="s">
        <v>17</v>
      </c>
      <c r="F4223" t="s">
        <v>23</v>
      </c>
      <c r="G4223" t="s">
        <v>41</v>
      </c>
      <c r="H4223" t="s">
        <v>25</v>
      </c>
      <c r="I4223" s="1">
        <v>2</v>
      </c>
      <c r="J4223" s="2">
        <v>46004</v>
      </c>
      <c r="K4223" s="2">
        <v>45992</v>
      </c>
      <c r="L4223" s="1" t="str">
        <f t="shared" si="488"/>
        <v>sáb</v>
      </c>
      <c r="M4223" s="1" t="str">
        <f t="shared" si="489"/>
        <v>dez</v>
      </c>
      <c r="N4223">
        <f t="shared" si="490"/>
        <v>2025</v>
      </c>
      <c r="O4223" s="2"/>
      <c r="P4223" t="str">
        <f t="shared" si="491"/>
        <v>187546004</v>
      </c>
    </row>
    <row r="4224" spans="1:16" x14ac:dyDescent="0.3">
      <c r="A4224">
        <v>1876</v>
      </c>
      <c r="B4224">
        <v>57</v>
      </c>
      <c r="C4224" t="s">
        <v>15</v>
      </c>
      <c r="D4224" t="s">
        <v>27</v>
      </c>
      <c r="E4224" t="s">
        <v>17</v>
      </c>
      <c r="F4224" t="s">
        <v>23</v>
      </c>
      <c r="G4224" t="s">
        <v>41</v>
      </c>
      <c r="H4224" t="s">
        <v>20</v>
      </c>
      <c r="I4224" s="1">
        <v>2</v>
      </c>
      <c r="J4224" s="2">
        <v>45825</v>
      </c>
      <c r="K4224" s="2">
        <v>45809</v>
      </c>
      <c r="L4224" s="1" t="str">
        <f t="shared" si="488"/>
        <v>ter</v>
      </c>
      <c r="M4224" s="1" t="str">
        <f t="shared" si="489"/>
        <v>jun</v>
      </c>
      <c r="N4224">
        <f t="shared" si="490"/>
        <v>2025</v>
      </c>
      <c r="O4224" s="2">
        <f>_xlfn.XLOOKUP(A4224,Colaboradores!$A:$A,Colaboradores!$S:$S,"",0)</f>
        <v>45898</v>
      </c>
      <c r="P4224" t="str">
        <f t="shared" si="491"/>
        <v>187645825</v>
      </c>
    </row>
    <row r="4225" spans="1:16" x14ac:dyDescent="0.3">
      <c r="A4225">
        <v>1876</v>
      </c>
      <c r="B4225">
        <v>57</v>
      </c>
      <c r="C4225" t="s">
        <v>15</v>
      </c>
      <c r="D4225" t="s">
        <v>27</v>
      </c>
      <c r="E4225" t="s">
        <v>17</v>
      </c>
      <c r="F4225" t="s">
        <v>23</v>
      </c>
      <c r="G4225" t="s">
        <v>41</v>
      </c>
      <c r="H4225" t="s">
        <v>20</v>
      </c>
      <c r="I4225" s="1">
        <v>2</v>
      </c>
      <c r="J4225" s="2">
        <v>45872</v>
      </c>
      <c r="K4225" s="2">
        <v>45870</v>
      </c>
      <c r="L4225" s="1" t="str">
        <f t="shared" si="488"/>
        <v>dom</v>
      </c>
      <c r="M4225" s="1" t="str">
        <f t="shared" si="489"/>
        <v>ago</v>
      </c>
      <c r="N4225">
        <f t="shared" si="490"/>
        <v>2025</v>
      </c>
      <c r="O4225" s="2">
        <f>_xlfn.XLOOKUP(A4225,Colaboradores!$A:$A,Colaboradores!$S:$S,"",0)</f>
        <v>45898</v>
      </c>
      <c r="P4225" t="str">
        <f t="shared" si="491"/>
        <v>187645872</v>
      </c>
    </row>
    <row r="4226" spans="1:16" x14ac:dyDescent="0.3">
      <c r="A4226">
        <v>1876</v>
      </c>
      <c r="B4226">
        <v>57</v>
      </c>
      <c r="C4226" t="s">
        <v>15</v>
      </c>
      <c r="D4226" t="s">
        <v>27</v>
      </c>
      <c r="E4226" t="s">
        <v>17</v>
      </c>
      <c r="F4226" t="s">
        <v>23</v>
      </c>
      <c r="G4226" t="s">
        <v>41</v>
      </c>
      <c r="H4226" t="s">
        <v>20</v>
      </c>
      <c r="I4226" s="1">
        <v>2</v>
      </c>
      <c r="J4226" s="2">
        <v>45873</v>
      </c>
      <c r="K4226" s="2">
        <v>45870</v>
      </c>
      <c r="L4226" s="1" t="str">
        <f t="shared" si="488"/>
        <v>seg</v>
      </c>
      <c r="M4226" s="1" t="str">
        <f t="shared" si="489"/>
        <v>ago</v>
      </c>
      <c r="N4226">
        <f t="shared" si="490"/>
        <v>2025</v>
      </c>
      <c r="O4226" s="2">
        <f>_xlfn.XLOOKUP(A4226,Colaboradores!$A:$A,Colaboradores!$S:$S,"",0)</f>
        <v>45898</v>
      </c>
      <c r="P4226" t="str">
        <f t="shared" si="491"/>
        <v>187645873</v>
      </c>
    </row>
    <row r="4227" spans="1:16" x14ac:dyDescent="0.3">
      <c r="A4227">
        <v>1876</v>
      </c>
      <c r="B4227">
        <v>57</v>
      </c>
      <c r="C4227" t="s">
        <v>15</v>
      </c>
      <c r="D4227" t="s">
        <v>27</v>
      </c>
      <c r="E4227" t="s">
        <v>17</v>
      </c>
      <c r="F4227" t="s">
        <v>23</v>
      </c>
      <c r="G4227" t="s">
        <v>41</v>
      </c>
      <c r="H4227" t="s">
        <v>20</v>
      </c>
      <c r="I4227" s="1">
        <v>2</v>
      </c>
      <c r="J4227" s="2">
        <v>45881</v>
      </c>
      <c r="K4227" s="2">
        <v>45870</v>
      </c>
      <c r="L4227" s="1" t="str">
        <f t="shared" si="488"/>
        <v>ter</v>
      </c>
      <c r="M4227" s="1" t="str">
        <f t="shared" si="489"/>
        <v>ago</v>
      </c>
      <c r="N4227">
        <f t="shared" si="490"/>
        <v>2025</v>
      </c>
      <c r="O4227" s="2">
        <f>_xlfn.XLOOKUP(A4227,Colaboradores!$A:$A,Colaboradores!$S:$S,"",0)</f>
        <v>45898</v>
      </c>
      <c r="P4227" t="str">
        <f t="shared" si="491"/>
        <v>187645881</v>
      </c>
    </row>
    <row r="4228" spans="1:16" x14ac:dyDescent="0.3">
      <c r="A4228">
        <v>1877</v>
      </c>
      <c r="B4228">
        <v>23</v>
      </c>
      <c r="C4228" t="s">
        <v>26</v>
      </c>
      <c r="D4228" t="s">
        <v>29</v>
      </c>
      <c r="E4228" t="s">
        <v>17</v>
      </c>
      <c r="F4228" t="s">
        <v>18</v>
      </c>
      <c r="G4228" t="s">
        <v>41</v>
      </c>
      <c r="H4228" t="s">
        <v>20</v>
      </c>
      <c r="I4228" s="1">
        <v>3</v>
      </c>
      <c r="J4228" s="2">
        <v>45708</v>
      </c>
      <c r="K4228" s="2">
        <v>45689</v>
      </c>
      <c r="L4228" s="1" t="str">
        <f t="shared" si="488"/>
        <v>qui</v>
      </c>
      <c r="M4228" s="1" t="str">
        <f t="shared" si="489"/>
        <v>fev</v>
      </c>
      <c r="N4228">
        <f t="shared" si="490"/>
        <v>2025</v>
      </c>
      <c r="O4228" s="2">
        <f>_xlfn.XLOOKUP(A4228,Colaboradores!$A:$A,Colaboradores!$S:$S,"",0)</f>
        <v>45776</v>
      </c>
      <c r="P4228" t="str">
        <f t="shared" si="491"/>
        <v>187745708</v>
      </c>
    </row>
    <row r="4229" spans="1:16" x14ac:dyDescent="0.3">
      <c r="A4229">
        <v>1877</v>
      </c>
      <c r="B4229">
        <v>23</v>
      </c>
      <c r="C4229" t="s">
        <v>26</v>
      </c>
      <c r="D4229" t="s">
        <v>29</v>
      </c>
      <c r="E4229" t="s">
        <v>17</v>
      </c>
      <c r="F4229" t="s">
        <v>18</v>
      </c>
      <c r="G4229" t="s">
        <v>41</v>
      </c>
      <c r="H4229" t="s">
        <v>20</v>
      </c>
      <c r="I4229" s="1">
        <v>3</v>
      </c>
      <c r="J4229" s="2">
        <v>45709</v>
      </c>
      <c r="K4229" s="2">
        <v>45689</v>
      </c>
      <c r="L4229" s="1" t="str">
        <f t="shared" si="488"/>
        <v>sex</v>
      </c>
      <c r="M4229" s="1" t="str">
        <f t="shared" si="489"/>
        <v>fev</v>
      </c>
      <c r="N4229">
        <f t="shared" si="490"/>
        <v>2025</v>
      </c>
      <c r="O4229" s="2">
        <f>_xlfn.XLOOKUP(A4229,Colaboradores!$A:$A,Colaboradores!$S:$S,"",0)</f>
        <v>45776</v>
      </c>
      <c r="P4229" t="str">
        <f t="shared" si="491"/>
        <v>187745709</v>
      </c>
    </row>
    <row r="4230" spans="1:16" x14ac:dyDescent="0.3">
      <c r="A4230">
        <v>1877</v>
      </c>
      <c r="B4230">
        <v>23</v>
      </c>
      <c r="C4230" t="s">
        <v>26</v>
      </c>
      <c r="D4230" t="s">
        <v>29</v>
      </c>
      <c r="E4230" t="s">
        <v>17</v>
      </c>
      <c r="F4230" t="s">
        <v>18</v>
      </c>
      <c r="G4230" t="s">
        <v>41</v>
      </c>
      <c r="H4230" t="s">
        <v>20</v>
      </c>
      <c r="I4230" s="1">
        <v>3</v>
      </c>
      <c r="J4230" s="2">
        <v>45770</v>
      </c>
      <c r="K4230" s="2">
        <v>45748</v>
      </c>
      <c r="L4230" s="1" t="str">
        <f t="shared" si="488"/>
        <v>qua</v>
      </c>
      <c r="M4230" s="1" t="str">
        <f t="shared" si="489"/>
        <v>abr</v>
      </c>
      <c r="N4230">
        <f t="shared" si="490"/>
        <v>2025</v>
      </c>
      <c r="O4230" s="2">
        <f>_xlfn.XLOOKUP(A4230,Colaboradores!$A:$A,Colaboradores!$S:$S,"",0)</f>
        <v>45776</v>
      </c>
      <c r="P4230" t="str">
        <f t="shared" si="491"/>
        <v>187745770</v>
      </c>
    </row>
    <row r="4231" spans="1:16" x14ac:dyDescent="0.3">
      <c r="A4231">
        <v>1877</v>
      </c>
      <c r="B4231">
        <v>23</v>
      </c>
      <c r="C4231" t="s">
        <v>26</v>
      </c>
      <c r="D4231" t="s">
        <v>29</v>
      </c>
      <c r="E4231" t="s">
        <v>17</v>
      </c>
      <c r="F4231" t="s">
        <v>18</v>
      </c>
      <c r="G4231" t="s">
        <v>57</v>
      </c>
      <c r="H4231" t="s">
        <v>20</v>
      </c>
      <c r="I4231" s="1">
        <v>3</v>
      </c>
      <c r="J4231" s="2">
        <v>45771</v>
      </c>
      <c r="K4231" s="2">
        <v>45748</v>
      </c>
      <c r="L4231" s="1" t="str">
        <f t="shared" si="488"/>
        <v>qui</v>
      </c>
      <c r="M4231" s="1" t="str">
        <f t="shared" si="489"/>
        <v>abr</v>
      </c>
      <c r="N4231">
        <f t="shared" si="490"/>
        <v>2025</v>
      </c>
      <c r="O4231" s="2">
        <f>_xlfn.XLOOKUP(A4231,Colaboradores!$A:$A,Colaboradores!$S:$S,"",0)</f>
        <v>45776</v>
      </c>
      <c r="P4231" t="str">
        <f t="shared" si="491"/>
        <v>187745771</v>
      </c>
    </row>
    <row r="4232" spans="1:16" x14ac:dyDescent="0.3">
      <c r="A4232">
        <v>1877</v>
      </c>
      <c r="B4232">
        <v>23</v>
      </c>
      <c r="C4232" t="s">
        <v>26</v>
      </c>
      <c r="D4232" t="s">
        <v>29</v>
      </c>
      <c r="E4232" t="s">
        <v>17</v>
      </c>
      <c r="F4232" t="s">
        <v>18</v>
      </c>
      <c r="G4232" t="s">
        <v>41</v>
      </c>
      <c r="H4232" t="s">
        <v>20</v>
      </c>
      <c r="I4232" s="1">
        <v>3</v>
      </c>
      <c r="J4232" s="2">
        <v>45772</v>
      </c>
      <c r="K4232" s="2">
        <v>45748</v>
      </c>
      <c r="L4232" s="1" t="str">
        <f t="shared" si="488"/>
        <v>sex</v>
      </c>
      <c r="M4232" s="1" t="str">
        <f t="shared" si="489"/>
        <v>abr</v>
      </c>
      <c r="N4232">
        <f t="shared" si="490"/>
        <v>2025</v>
      </c>
      <c r="O4232" s="2">
        <f>_xlfn.XLOOKUP(A4232,Colaboradores!$A:$A,Colaboradores!$S:$S,"",0)</f>
        <v>45776</v>
      </c>
      <c r="P4232" t="str">
        <f t="shared" si="491"/>
        <v>187745772</v>
      </c>
    </row>
    <row r="4233" spans="1:16" x14ac:dyDescent="0.3">
      <c r="A4233">
        <v>1879</v>
      </c>
      <c r="B4233">
        <v>22</v>
      </c>
      <c r="C4233" t="s">
        <v>15</v>
      </c>
      <c r="D4233" t="s">
        <v>16</v>
      </c>
      <c r="E4233" t="s">
        <v>17</v>
      </c>
      <c r="F4233" t="s">
        <v>18</v>
      </c>
      <c r="G4233" t="s">
        <v>41</v>
      </c>
      <c r="H4233" t="s">
        <v>25</v>
      </c>
      <c r="I4233" s="1">
        <v>3</v>
      </c>
      <c r="J4233" s="2">
        <v>45969</v>
      </c>
      <c r="K4233" s="2">
        <v>45962</v>
      </c>
      <c r="L4233" s="1" t="str">
        <f t="shared" si="488"/>
        <v>sáb</v>
      </c>
      <c r="M4233" s="1" t="str">
        <f t="shared" si="489"/>
        <v>nov</v>
      </c>
      <c r="N4233">
        <f t="shared" si="490"/>
        <v>2025</v>
      </c>
      <c r="O4233" s="2"/>
      <c r="P4233" t="str">
        <f t="shared" si="491"/>
        <v>187945969</v>
      </c>
    </row>
    <row r="4234" spans="1:16" x14ac:dyDescent="0.3">
      <c r="A4234">
        <v>1879</v>
      </c>
      <c r="B4234">
        <v>22</v>
      </c>
      <c r="C4234" t="s">
        <v>15</v>
      </c>
      <c r="D4234" t="s">
        <v>16</v>
      </c>
      <c r="E4234" t="s">
        <v>17</v>
      </c>
      <c r="F4234" t="s">
        <v>18</v>
      </c>
      <c r="G4234" t="s">
        <v>41</v>
      </c>
      <c r="H4234" t="s">
        <v>25</v>
      </c>
      <c r="I4234" s="1">
        <v>3</v>
      </c>
      <c r="J4234" s="2">
        <v>45971</v>
      </c>
      <c r="K4234" s="2">
        <v>45962</v>
      </c>
      <c r="L4234" s="1" t="str">
        <f t="shared" si="488"/>
        <v>seg</v>
      </c>
      <c r="M4234" s="1" t="str">
        <f t="shared" si="489"/>
        <v>nov</v>
      </c>
      <c r="N4234">
        <f t="shared" si="490"/>
        <v>2025</v>
      </c>
      <c r="O4234" s="2"/>
      <c r="P4234" t="str">
        <f t="shared" si="491"/>
        <v>187945971</v>
      </c>
    </row>
    <row r="4235" spans="1:16" x14ac:dyDescent="0.3">
      <c r="A4235">
        <v>1879</v>
      </c>
      <c r="B4235">
        <v>22</v>
      </c>
      <c r="C4235" t="s">
        <v>15</v>
      </c>
      <c r="D4235" t="s">
        <v>16</v>
      </c>
      <c r="E4235" t="s">
        <v>17</v>
      </c>
      <c r="F4235" t="s">
        <v>18</v>
      </c>
      <c r="G4235" t="s">
        <v>41</v>
      </c>
      <c r="H4235" t="s">
        <v>25</v>
      </c>
      <c r="I4235" s="1">
        <v>3</v>
      </c>
      <c r="J4235" s="2">
        <v>45981</v>
      </c>
      <c r="K4235" s="2">
        <v>45962</v>
      </c>
      <c r="L4235" s="1" t="str">
        <f t="shared" si="488"/>
        <v>qui</v>
      </c>
      <c r="M4235" s="1" t="str">
        <f t="shared" si="489"/>
        <v>nov</v>
      </c>
      <c r="N4235">
        <f t="shared" si="490"/>
        <v>2025</v>
      </c>
      <c r="O4235" s="2"/>
      <c r="P4235" t="str">
        <f t="shared" si="491"/>
        <v>187945981</v>
      </c>
    </row>
    <row r="4236" spans="1:16" x14ac:dyDescent="0.3">
      <c r="A4236">
        <v>1879</v>
      </c>
      <c r="B4236">
        <v>22</v>
      </c>
      <c r="C4236" t="s">
        <v>15</v>
      </c>
      <c r="D4236" t="s">
        <v>16</v>
      </c>
      <c r="E4236" t="s">
        <v>17</v>
      </c>
      <c r="F4236" t="s">
        <v>18</v>
      </c>
      <c r="G4236" t="s">
        <v>41</v>
      </c>
      <c r="H4236" t="s">
        <v>25</v>
      </c>
      <c r="I4236" s="1">
        <v>3</v>
      </c>
      <c r="J4236" s="2">
        <v>46180</v>
      </c>
      <c r="K4236" s="2">
        <v>46023</v>
      </c>
      <c r="L4236" s="1" t="str">
        <f t="shared" si="488"/>
        <v>dom</v>
      </c>
      <c r="M4236" s="1" t="str">
        <f t="shared" si="489"/>
        <v>jun</v>
      </c>
      <c r="N4236">
        <f t="shared" si="490"/>
        <v>2026</v>
      </c>
      <c r="O4236" s="2"/>
      <c r="P4236" t="str">
        <f t="shared" si="491"/>
        <v>187946180</v>
      </c>
    </row>
    <row r="4237" spans="1:16" x14ac:dyDescent="0.3">
      <c r="A4237">
        <v>1879</v>
      </c>
      <c r="B4237">
        <v>22</v>
      </c>
      <c r="C4237" t="s">
        <v>15</v>
      </c>
      <c r="D4237" t="s">
        <v>16</v>
      </c>
      <c r="E4237" t="s">
        <v>17</v>
      </c>
      <c r="F4237" t="s">
        <v>18</v>
      </c>
      <c r="G4237" t="s">
        <v>41</v>
      </c>
      <c r="H4237" t="s">
        <v>25</v>
      </c>
      <c r="I4237" s="1">
        <v>3</v>
      </c>
      <c r="J4237" s="2">
        <v>46063</v>
      </c>
      <c r="K4237" s="2">
        <v>46054</v>
      </c>
      <c r="L4237" s="1" t="str">
        <f t="shared" si="488"/>
        <v>ter</v>
      </c>
      <c r="M4237" s="1" t="str">
        <f t="shared" si="489"/>
        <v>fev</v>
      </c>
      <c r="N4237">
        <f t="shared" si="490"/>
        <v>2026</v>
      </c>
      <c r="O4237" s="2"/>
      <c r="P4237" t="str">
        <f t="shared" si="491"/>
        <v>187946063</v>
      </c>
    </row>
    <row r="4238" spans="1:16" x14ac:dyDescent="0.3">
      <c r="A4238">
        <v>1880</v>
      </c>
      <c r="B4238">
        <v>23</v>
      </c>
      <c r="C4238" t="s">
        <v>26</v>
      </c>
      <c r="D4238" t="s">
        <v>29</v>
      </c>
      <c r="E4238" t="s">
        <v>17</v>
      </c>
      <c r="F4238" t="s">
        <v>21</v>
      </c>
      <c r="G4238" t="s">
        <v>41</v>
      </c>
      <c r="H4238" t="s">
        <v>25</v>
      </c>
      <c r="I4238" s="1">
        <v>3</v>
      </c>
      <c r="J4238" s="2">
        <v>45827</v>
      </c>
      <c r="K4238" s="2">
        <v>45809</v>
      </c>
      <c r="L4238" s="1" t="str">
        <f t="shared" ref="L4238:L4301" si="492">TEXT(J4238,"ddd")</f>
        <v>qui</v>
      </c>
      <c r="M4238" s="1" t="str">
        <f t="shared" ref="M4238:M4301" si="493">TEXT($J4238,"mmm")</f>
        <v>jun</v>
      </c>
      <c r="N4238">
        <f t="shared" ref="N4238:N4301" si="494">YEAR(J4238)</f>
        <v>2025</v>
      </c>
      <c r="O4238" s="2"/>
      <c r="P4238" t="str">
        <f t="shared" si="491"/>
        <v>188045827</v>
      </c>
    </row>
    <row r="4239" spans="1:16" x14ac:dyDescent="0.3">
      <c r="A4239">
        <v>1880</v>
      </c>
      <c r="B4239">
        <v>23</v>
      </c>
      <c r="C4239" t="s">
        <v>26</v>
      </c>
      <c r="D4239" t="s">
        <v>29</v>
      </c>
      <c r="E4239" t="s">
        <v>17</v>
      </c>
      <c r="F4239" t="s">
        <v>21</v>
      </c>
      <c r="G4239" t="s">
        <v>41</v>
      </c>
      <c r="H4239" t="s">
        <v>25</v>
      </c>
      <c r="I4239" s="1">
        <v>3</v>
      </c>
      <c r="J4239" s="2">
        <v>45864</v>
      </c>
      <c r="K4239" s="2">
        <v>45839</v>
      </c>
      <c r="L4239" s="1" t="str">
        <f t="shared" si="492"/>
        <v>sáb</v>
      </c>
      <c r="M4239" s="1" t="str">
        <f t="shared" si="493"/>
        <v>jul</v>
      </c>
      <c r="N4239">
        <f t="shared" si="494"/>
        <v>2025</v>
      </c>
      <c r="O4239" s="2"/>
      <c r="P4239" t="str">
        <f t="shared" si="491"/>
        <v>188045864</v>
      </c>
    </row>
    <row r="4240" spans="1:16" x14ac:dyDescent="0.3">
      <c r="A4240">
        <v>1880</v>
      </c>
      <c r="B4240">
        <v>23</v>
      </c>
      <c r="C4240" t="s">
        <v>26</v>
      </c>
      <c r="D4240" t="s">
        <v>29</v>
      </c>
      <c r="E4240" t="s">
        <v>17</v>
      </c>
      <c r="F4240" t="s">
        <v>21</v>
      </c>
      <c r="G4240" t="s">
        <v>41</v>
      </c>
      <c r="H4240" t="s">
        <v>25</v>
      </c>
      <c r="I4240" s="1">
        <v>3</v>
      </c>
      <c r="J4240" s="2">
        <v>45935</v>
      </c>
      <c r="K4240" s="2">
        <v>45931</v>
      </c>
      <c r="L4240" s="1" t="str">
        <f t="shared" si="492"/>
        <v>dom</v>
      </c>
      <c r="M4240" s="1" t="str">
        <f t="shared" si="493"/>
        <v>out</v>
      </c>
      <c r="N4240">
        <f t="shared" si="494"/>
        <v>2025</v>
      </c>
      <c r="O4240" s="2"/>
      <c r="P4240" t="str">
        <f t="shared" si="491"/>
        <v>188045935</v>
      </c>
    </row>
    <row r="4241" spans="1:16" x14ac:dyDescent="0.3">
      <c r="A4241">
        <v>1880</v>
      </c>
      <c r="B4241">
        <v>23</v>
      </c>
      <c r="C4241" t="s">
        <v>26</v>
      </c>
      <c r="D4241" t="s">
        <v>29</v>
      </c>
      <c r="E4241" t="s">
        <v>17</v>
      </c>
      <c r="F4241" t="s">
        <v>21</v>
      </c>
      <c r="G4241" t="s">
        <v>41</v>
      </c>
      <c r="H4241" t="s">
        <v>25</v>
      </c>
      <c r="I4241" s="1">
        <v>3</v>
      </c>
      <c r="J4241" s="2">
        <v>45951</v>
      </c>
      <c r="K4241" s="2">
        <v>45931</v>
      </c>
      <c r="L4241" s="1" t="str">
        <f t="shared" si="492"/>
        <v>ter</v>
      </c>
      <c r="M4241" s="1" t="str">
        <f t="shared" si="493"/>
        <v>out</v>
      </c>
      <c r="N4241">
        <f t="shared" si="494"/>
        <v>2025</v>
      </c>
      <c r="O4241" s="2"/>
      <c r="P4241" t="str">
        <f t="shared" si="491"/>
        <v>188045951</v>
      </c>
    </row>
    <row r="4242" spans="1:16" x14ac:dyDescent="0.3">
      <c r="A4242">
        <v>1880</v>
      </c>
      <c r="B4242">
        <v>23</v>
      </c>
      <c r="C4242" t="s">
        <v>26</v>
      </c>
      <c r="D4242" t="s">
        <v>29</v>
      </c>
      <c r="E4242" t="s">
        <v>17</v>
      </c>
      <c r="F4242" t="s">
        <v>21</v>
      </c>
      <c r="G4242" t="s">
        <v>41</v>
      </c>
      <c r="H4242" t="s">
        <v>25</v>
      </c>
      <c r="I4242" s="1">
        <v>3</v>
      </c>
      <c r="J4242" s="2">
        <v>46202</v>
      </c>
      <c r="K4242" s="2">
        <v>46023</v>
      </c>
      <c r="L4242" s="1" t="str">
        <f t="shared" si="492"/>
        <v>seg</v>
      </c>
      <c r="M4242" s="1" t="str">
        <f t="shared" si="493"/>
        <v>jun</v>
      </c>
      <c r="N4242">
        <f t="shared" si="494"/>
        <v>2026</v>
      </c>
      <c r="O4242" s="2"/>
      <c r="P4242" t="str">
        <f t="shared" si="491"/>
        <v>188046202</v>
      </c>
    </row>
    <row r="4243" spans="1:16" x14ac:dyDescent="0.3">
      <c r="A4243">
        <v>1880</v>
      </c>
      <c r="B4243">
        <v>23</v>
      </c>
      <c r="C4243" t="s">
        <v>26</v>
      </c>
      <c r="D4243" t="s">
        <v>29</v>
      </c>
      <c r="E4243" t="s">
        <v>17</v>
      </c>
      <c r="F4243" t="s">
        <v>21</v>
      </c>
      <c r="G4243" t="s">
        <v>41</v>
      </c>
      <c r="H4243" t="s">
        <v>25</v>
      </c>
      <c r="I4243" s="1">
        <v>3</v>
      </c>
      <c r="J4243" s="2">
        <v>46110</v>
      </c>
      <c r="K4243" s="2">
        <v>46082</v>
      </c>
      <c r="L4243" s="1" t="str">
        <f t="shared" si="492"/>
        <v>dom</v>
      </c>
      <c r="M4243" s="1" t="str">
        <f t="shared" si="493"/>
        <v>mar</v>
      </c>
      <c r="N4243">
        <f t="shared" si="494"/>
        <v>2026</v>
      </c>
      <c r="O4243" s="2"/>
      <c r="P4243" t="str">
        <f t="shared" si="491"/>
        <v>188046110</v>
      </c>
    </row>
    <row r="4244" spans="1:16" x14ac:dyDescent="0.3">
      <c r="A4244">
        <v>1880</v>
      </c>
      <c r="B4244">
        <v>23</v>
      </c>
      <c r="C4244" t="s">
        <v>26</v>
      </c>
      <c r="D4244" t="s">
        <v>29</v>
      </c>
      <c r="E4244" t="s">
        <v>17</v>
      </c>
      <c r="F4244" t="s">
        <v>21</v>
      </c>
      <c r="G4244" t="s">
        <v>41</v>
      </c>
      <c r="H4244" t="s">
        <v>25</v>
      </c>
      <c r="I4244" s="1">
        <v>3</v>
      </c>
      <c r="J4244" s="2">
        <v>46190</v>
      </c>
      <c r="K4244" s="2">
        <v>46174</v>
      </c>
      <c r="L4244" s="1" t="str">
        <f t="shared" si="492"/>
        <v>qua</v>
      </c>
      <c r="M4244" s="1" t="str">
        <f t="shared" si="493"/>
        <v>jun</v>
      </c>
      <c r="N4244">
        <f t="shared" si="494"/>
        <v>2026</v>
      </c>
      <c r="O4244" s="2"/>
      <c r="P4244" t="str">
        <f t="shared" si="491"/>
        <v>188046190</v>
      </c>
    </row>
    <row r="4245" spans="1:16" x14ac:dyDescent="0.3">
      <c r="A4245">
        <v>1881</v>
      </c>
      <c r="B4245">
        <v>24</v>
      </c>
      <c r="C4245" t="s">
        <v>26</v>
      </c>
      <c r="D4245" t="s">
        <v>16</v>
      </c>
      <c r="E4245" t="s">
        <v>17</v>
      </c>
      <c r="F4245" t="s">
        <v>23</v>
      </c>
      <c r="G4245" t="s">
        <v>41</v>
      </c>
      <c r="H4245" t="s">
        <v>25</v>
      </c>
      <c r="I4245" s="1">
        <v>3</v>
      </c>
      <c r="J4245" s="2">
        <v>45833</v>
      </c>
      <c r="K4245" s="2">
        <v>45809</v>
      </c>
      <c r="L4245" s="1" t="str">
        <f t="shared" si="492"/>
        <v>qua</v>
      </c>
      <c r="M4245" s="1" t="str">
        <f t="shared" si="493"/>
        <v>jun</v>
      </c>
      <c r="N4245">
        <f t="shared" si="494"/>
        <v>2025</v>
      </c>
      <c r="O4245" s="2"/>
      <c r="P4245" t="str">
        <f t="shared" si="491"/>
        <v>188145833</v>
      </c>
    </row>
    <row r="4246" spans="1:16" x14ac:dyDescent="0.3">
      <c r="A4246">
        <v>1881</v>
      </c>
      <c r="B4246">
        <v>24</v>
      </c>
      <c r="C4246" t="s">
        <v>26</v>
      </c>
      <c r="D4246" t="s">
        <v>16</v>
      </c>
      <c r="E4246" t="s">
        <v>17</v>
      </c>
      <c r="F4246" t="s">
        <v>23</v>
      </c>
      <c r="G4246" t="s">
        <v>41</v>
      </c>
      <c r="H4246" t="s">
        <v>25</v>
      </c>
      <c r="I4246" s="1">
        <v>3</v>
      </c>
      <c r="J4246" s="2">
        <v>45836</v>
      </c>
      <c r="K4246" s="2">
        <v>45809</v>
      </c>
      <c r="L4246" s="1" t="str">
        <f t="shared" si="492"/>
        <v>sáb</v>
      </c>
      <c r="M4246" s="1" t="str">
        <f t="shared" si="493"/>
        <v>jun</v>
      </c>
      <c r="N4246">
        <f t="shared" si="494"/>
        <v>2025</v>
      </c>
      <c r="O4246" s="2"/>
      <c r="P4246" t="str">
        <f t="shared" si="491"/>
        <v>188145836</v>
      </c>
    </row>
    <row r="4247" spans="1:16" x14ac:dyDescent="0.3">
      <c r="A4247">
        <v>1881</v>
      </c>
      <c r="B4247">
        <v>24</v>
      </c>
      <c r="C4247" t="s">
        <v>26</v>
      </c>
      <c r="D4247" t="s">
        <v>16</v>
      </c>
      <c r="E4247" t="s">
        <v>17</v>
      </c>
      <c r="F4247" t="s">
        <v>23</v>
      </c>
      <c r="G4247" t="s">
        <v>41</v>
      </c>
      <c r="H4247" t="s">
        <v>25</v>
      </c>
      <c r="I4247" s="1">
        <v>3</v>
      </c>
      <c r="J4247" s="2">
        <v>45846</v>
      </c>
      <c r="K4247" s="2">
        <v>45839</v>
      </c>
      <c r="L4247" s="1" t="str">
        <f t="shared" si="492"/>
        <v>ter</v>
      </c>
      <c r="M4247" s="1" t="str">
        <f t="shared" si="493"/>
        <v>jul</v>
      </c>
      <c r="N4247">
        <f t="shared" si="494"/>
        <v>2025</v>
      </c>
      <c r="O4247" s="2"/>
      <c r="P4247" t="str">
        <f t="shared" si="491"/>
        <v>188145846</v>
      </c>
    </row>
    <row r="4248" spans="1:16" x14ac:dyDescent="0.3">
      <c r="A4248">
        <v>1881</v>
      </c>
      <c r="B4248">
        <v>24</v>
      </c>
      <c r="C4248" t="s">
        <v>26</v>
      </c>
      <c r="D4248" t="s">
        <v>16</v>
      </c>
      <c r="E4248" t="s">
        <v>17</v>
      </c>
      <c r="F4248" t="s">
        <v>23</v>
      </c>
      <c r="G4248" t="s">
        <v>41</v>
      </c>
      <c r="H4248" t="s">
        <v>25</v>
      </c>
      <c r="I4248" s="1">
        <v>3</v>
      </c>
      <c r="J4248" s="2">
        <v>45951</v>
      </c>
      <c r="K4248" s="2">
        <v>45931</v>
      </c>
      <c r="L4248" s="1" t="str">
        <f t="shared" si="492"/>
        <v>ter</v>
      </c>
      <c r="M4248" s="1" t="str">
        <f t="shared" si="493"/>
        <v>out</v>
      </c>
      <c r="N4248">
        <f t="shared" si="494"/>
        <v>2025</v>
      </c>
      <c r="O4248" s="2"/>
      <c r="P4248" t="str">
        <f t="shared" si="491"/>
        <v>188145951</v>
      </c>
    </row>
    <row r="4249" spans="1:16" x14ac:dyDescent="0.3">
      <c r="A4249">
        <v>1881</v>
      </c>
      <c r="B4249">
        <v>24</v>
      </c>
      <c r="C4249" t="s">
        <v>26</v>
      </c>
      <c r="D4249" t="s">
        <v>16</v>
      </c>
      <c r="E4249" t="s">
        <v>17</v>
      </c>
      <c r="F4249" t="s">
        <v>23</v>
      </c>
      <c r="G4249" t="s">
        <v>41</v>
      </c>
      <c r="H4249" t="s">
        <v>25</v>
      </c>
      <c r="I4249" s="1">
        <v>3</v>
      </c>
      <c r="J4249" s="2">
        <v>46082</v>
      </c>
      <c r="K4249" s="2">
        <v>46082</v>
      </c>
      <c r="L4249" s="1" t="str">
        <f t="shared" si="492"/>
        <v>dom</v>
      </c>
      <c r="M4249" s="1" t="str">
        <f t="shared" si="493"/>
        <v>mar</v>
      </c>
      <c r="N4249">
        <f t="shared" si="494"/>
        <v>2026</v>
      </c>
      <c r="O4249" s="2"/>
      <c r="P4249" t="str">
        <f t="shared" si="491"/>
        <v>188146082</v>
      </c>
    </row>
    <row r="4250" spans="1:16" x14ac:dyDescent="0.3">
      <c r="A4250">
        <v>1882</v>
      </c>
      <c r="B4250">
        <v>54</v>
      </c>
      <c r="C4250" t="s">
        <v>26</v>
      </c>
      <c r="D4250" t="s">
        <v>16</v>
      </c>
      <c r="E4250" t="s">
        <v>17</v>
      </c>
      <c r="F4250" t="s">
        <v>18</v>
      </c>
      <c r="G4250" t="s">
        <v>41</v>
      </c>
      <c r="H4250" t="s">
        <v>25</v>
      </c>
      <c r="I4250" s="1">
        <v>1</v>
      </c>
      <c r="J4250" s="2">
        <v>45918</v>
      </c>
      <c r="K4250" s="2">
        <v>45901</v>
      </c>
      <c r="L4250" s="1" t="str">
        <f t="shared" si="492"/>
        <v>qui</v>
      </c>
      <c r="M4250" s="1" t="str">
        <f t="shared" si="493"/>
        <v>set</v>
      </c>
      <c r="N4250">
        <f t="shared" si="494"/>
        <v>2025</v>
      </c>
      <c r="O4250" s="2"/>
      <c r="P4250" t="str">
        <f t="shared" si="491"/>
        <v>188245918</v>
      </c>
    </row>
    <row r="4251" spans="1:16" x14ac:dyDescent="0.3">
      <c r="A4251">
        <v>1882</v>
      </c>
      <c r="B4251">
        <v>54</v>
      </c>
      <c r="C4251" t="s">
        <v>26</v>
      </c>
      <c r="D4251" t="s">
        <v>16</v>
      </c>
      <c r="E4251" t="s">
        <v>17</v>
      </c>
      <c r="F4251" t="s">
        <v>18</v>
      </c>
      <c r="G4251" t="s">
        <v>41</v>
      </c>
      <c r="H4251" t="s">
        <v>25</v>
      </c>
      <c r="I4251" s="1">
        <v>1</v>
      </c>
      <c r="J4251" s="2">
        <v>45939</v>
      </c>
      <c r="K4251" s="2">
        <v>45931</v>
      </c>
      <c r="L4251" s="1" t="str">
        <f t="shared" si="492"/>
        <v>qui</v>
      </c>
      <c r="M4251" s="1" t="str">
        <f t="shared" si="493"/>
        <v>out</v>
      </c>
      <c r="N4251">
        <f t="shared" si="494"/>
        <v>2025</v>
      </c>
      <c r="O4251" s="2"/>
      <c r="P4251" t="str">
        <f t="shared" si="491"/>
        <v>188245939</v>
      </c>
    </row>
    <row r="4252" spans="1:16" x14ac:dyDescent="0.3">
      <c r="A4252">
        <v>1882</v>
      </c>
      <c r="B4252">
        <v>54</v>
      </c>
      <c r="C4252" t="s">
        <v>26</v>
      </c>
      <c r="D4252" t="s">
        <v>16</v>
      </c>
      <c r="E4252" t="s">
        <v>17</v>
      </c>
      <c r="F4252" t="s">
        <v>18</v>
      </c>
      <c r="G4252" t="s">
        <v>41</v>
      </c>
      <c r="H4252" t="s">
        <v>25</v>
      </c>
      <c r="I4252" s="1">
        <v>1</v>
      </c>
      <c r="J4252" s="2">
        <v>45966</v>
      </c>
      <c r="K4252" s="2">
        <v>45962</v>
      </c>
      <c r="L4252" s="1" t="str">
        <f t="shared" si="492"/>
        <v>qua</v>
      </c>
      <c r="M4252" s="1" t="str">
        <f t="shared" si="493"/>
        <v>nov</v>
      </c>
      <c r="N4252">
        <f t="shared" si="494"/>
        <v>2025</v>
      </c>
      <c r="O4252" s="2"/>
      <c r="P4252" t="str">
        <f t="shared" si="491"/>
        <v>188245966</v>
      </c>
    </row>
    <row r="4253" spans="1:16" x14ac:dyDescent="0.3">
      <c r="A4253">
        <v>1882</v>
      </c>
      <c r="B4253">
        <v>54</v>
      </c>
      <c r="C4253" t="s">
        <v>26</v>
      </c>
      <c r="D4253" t="s">
        <v>16</v>
      </c>
      <c r="E4253" t="s">
        <v>17</v>
      </c>
      <c r="F4253" t="s">
        <v>18</v>
      </c>
      <c r="G4253" t="s">
        <v>41</v>
      </c>
      <c r="H4253" t="s">
        <v>25</v>
      </c>
      <c r="I4253" s="1">
        <v>1</v>
      </c>
      <c r="J4253" s="2">
        <v>45992</v>
      </c>
      <c r="K4253" s="2">
        <v>45992</v>
      </c>
      <c r="L4253" s="1" t="str">
        <f t="shared" si="492"/>
        <v>seg</v>
      </c>
      <c r="M4253" s="1" t="str">
        <f t="shared" si="493"/>
        <v>dez</v>
      </c>
      <c r="N4253">
        <f t="shared" si="494"/>
        <v>2025</v>
      </c>
      <c r="O4253" s="2"/>
      <c r="P4253" t="str">
        <f t="shared" si="491"/>
        <v>188245992</v>
      </c>
    </row>
    <row r="4254" spans="1:16" x14ac:dyDescent="0.3">
      <c r="A4254">
        <v>1882</v>
      </c>
      <c r="B4254">
        <v>54</v>
      </c>
      <c r="C4254" t="s">
        <v>26</v>
      </c>
      <c r="D4254" t="s">
        <v>16</v>
      </c>
      <c r="E4254" t="s">
        <v>17</v>
      </c>
      <c r="F4254" t="s">
        <v>18</v>
      </c>
      <c r="G4254" t="s">
        <v>41</v>
      </c>
      <c r="H4254" t="s">
        <v>25</v>
      </c>
      <c r="I4254" s="1">
        <v>1</v>
      </c>
      <c r="J4254" s="2">
        <v>46178</v>
      </c>
      <c r="K4254" s="2">
        <v>46023</v>
      </c>
      <c r="L4254" s="1" t="str">
        <f t="shared" si="492"/>
        <v>sex</v>
      </c>
      <c r="M4254" s="1" t="str">
        <f t="shared" si="493"/>
        <v>jun</v>
      </c>
      <c r="N4254">
        <f t="shared" si="494"/>
        <v>2026</v>
      </c>
      <c r="O4254" s="2"/>
      <c r="P4254" t="str">
        <f t="shared" si="491"/>
        <v>188246178</v>
      </c>
    </row>
    <row r="4255" spans="1:16" x14ac:dyDescent="0.3">
      <c r="A4255">
        <v>1882</v>
      </c>
      <c r="B4255">
        <v>54</v>
      </c>
      <c r="C4255" t="s">
        <v>26</v>
      </c>
      <c r="D4255" t="s">
        <v>16</v>
      </c>
      <c r="E4255" t="s">
        <v>17</v>
      </c>
      <c r="F4255" t="s">
        <v>18</v>
      </c>
      <c r="G4255" t="s">
        <v>41</v>
      </c>
      <c r="H4255" t="s">
        <v>25</v>
      </c>
      <c r="I4255" s="1">
        <v>1</v>
      </c>
      <c r="J4255" s="2">
        <v>46182</v>
      </c>
      <c r="K4255" s="2">
        <v>46023</v>
      </c>
      <c r="L4255" s="1" t="str">
        <f t="shared" si="492"/>
        <v>ter</v>
      </c>
      <c r="M4255" s="1" t="str">
        <f t="shared" si="493"/>
        <v>jun</v>
      </c>
      <c r="N4255">
        <f t="shared" si="494"/>
        <v>2026</v>
      </c>
      <c r="O4255" s="2"/>
      <c r="P4255" t="str">
        <f t="shared" si="491"/>
        <v>188246182</v>
      </c>
    </row>
    <row r="4256" spans="1:16" x14ac:dyDescent="0.3">
      <c r="A4256">
        <v>1883</v>
      </c>
      <c r="B4256">
        <v>28</v>
      </c>
      <c r="C4256" t="s">
        <v>26</v>
      </c>
      <c r="D4256" t="s">
        <v>31</v>
      </c>
      <c r="E4256" t="s">
        <v>34</v>
      </c>
      <c r="F4256" t="s">
        <v>23</v>
      </c>
      <c r="G4256" t="s">
        <v>41</v>
      </c>
      <c r="H4256" t="s">
        <v>25</v>
      </c>
      <c r="I4256" s="1">
        <v>2</v>
      </c>
      <c r="J4256" s="2">
        <v>45940</v>
      </c>
      <c r="K4256" s="2">
        <v>45931</v>
      </c>
      <c r="L4256" s="1" t="str">
        <f t="shared" si="492"/>
        <v>sex</v>
      </c>
      <c r="M4256" s="1" t="str">
        <f t="shared" si="493"/>
        <v>out</v>
      </c>
      <c r="N4256">
        <f t="shared" si="494"/>
        <v>2025</v>
      </c>
      <c r="O4256" s="2"/>
      <c r="P4256" t="str">
        <f t="shared" si="491"/>
        <v>188345940</v>
      </c>
    </row>
    <row r="4257" spans="1:16" x14ac:dyDescent="0.3">
      <c r="A4257">
        <v>1883</v>
      </c>
      <c r="B4257">
        <v>28</v>
      </c>
      <c r="C4257" t="s">
        <v>26</v>
      </c>
      <c r="D4257" t="s">
        <v>31</v>
      </c>
      <c r="E4257" t="s">
        <v>34</v>
      </c>
      <c r="F4257" t="s">
        <v>23</v>
      </c>
      <c r="G4257" t="s">
        <v>41</v>
      </c>
      <c r="H4257" t="s">
        <v>25</v>
      </c>
      <c r="I4257" s="1">
        <v>2</v>
      </c>
      <c r="J4257" s="2">
        <v>45966</v>
      </c>
      <c r="K4257" s="2">
        <v>45962</v>
      </c>
      <c r="L4257" s="1" t="str">
        <f t="shared" si="492"/>
        <v>qua</v>
      </c>
      <c r="M4257" s="1" t="str">
        <f t="shared" si="493"/>
        <v>nov</v>
      </c>
      <c r="N4257">
        <f t="shared" si="494"/>
        <v>2025</v>
      </c>
      <c r="O4257" s="2"/>
      <c r="P4257" t="str">
        <f t="shared" si="491"/>
        <v>188345966</v>
      </c>
    </row>
    <row r="4258" spans="1:16" x14ac:dyDescent="0.3">
      <c r="A4258">
        <v>1883</v>
      </c>
      <c r="B4258">
        <v>28</v>
      </c>
      <c r="C4258" t="s">
        <v>26</v>
      </c>
      <c r="D4258" t="s">
        <v>31</v>
      </c>
      <c r="E4258" t="s">
        <v>34</v>
      </c>
      <c r="F4258" t="s">
        <v>23</v>
      </c>
      <c r="G4258" t="s">
        <v>41</v>
      </c>
      <c r="H4258" t="s">
        <v>25</v>
      </c>
      <c r="I4258" s="1">
        <v>2</v>
      </c>
      <c r="J4258" s="2">
        <v>46015</v>
      </c>
      <c r="K4258" s="2">
        <v>45992</v>
      </c>
      <c r="L4258" s="1" t="str">
        <f t="shared" si="492"/>
        <v>qua</v>
      </c>
      <c r="M4258" s="1" t="str">
        <f t="shared" si="493"/>
        <v>dez</v>
      </c>
      <c r="N4258">
        <f t="shared" si="494"/>
        <v>2025</v>
      </c>
      <c r="O4258" s="2"/>
      <c r="P4258" t="str">
        <f t="shared" si="491"/>
        <v>188346015</v>
      </c>
    </row>
    <row r="4259" spans="1:16" x14ac:dyDescent="0.3">
      <c r="A4259">
        <v>1883</v>
      </c>
      <c r="B4259">
        <v>28</v>
      </c>
      <c r="C4259" t="s">
        <v>26</v>
      </c>
      <c r="D4259" t="s">
        <v>31</v>
      </c>
      <c r="E4259" t="s">
        <v>34</v>
      </c>
      <c r="F4259" t="s">
        <v>23</v>
      </c>
      <c r="G4259" t="s">
        <v>41</v>
      </c>
      <c r="H4259" t="s">
        <v>25</v>
      </c>
      <c r="I4259" s="1">
        <v>2</v>
      </c>
      <c r="J4259" s="2">
        <v>46203</v>
      </c>
      <c r="K4259" s="2">
        <v>46023</v>
      </c>
      <c r="L4259" s="1" t="str">
        <f t="shared" si="492"/>
        <v>ter</v>
      </c>
      <c r="M4259" s="1" t="str">
        <f t="shared" si="493"/>
        <v>jun</v>
      </c>
      <c r="N4259">
        <f t="shared" si="494"/>
        <v>2026</v>
      </c>
      <c r="O4259" s="2"/>
      <c r="P4259" t="str">
        <f t="shared" si="491"/>
        <v>188346203</v>
      </c>
    </row>
    <row r="4260" spans="1:16" x14ac:dyDescent="0.3">
      <c r="A4260">
        <v>1883</v>
      </c>
      <c r="B4260">
        <v>28</v>
      </c>
      <c r="C4260" t="s">
        <v>26</v>
      </c>
      <c r="D4260" t="s">
        <v>31</v>
      </c>
      <c r="E4260" t="s">
        <v>34</v>
      </c>
      <c r="F4260" t="s">
        <v>23</v>
      </c>
      <c r="G4260" t="s">
        <v>41</v>
      </c>
      <c r="H4260" t="s">
        <v>25</v>
      </c>
      <c r="I4260" s="1">
        <v>2</v>
      </c>
      <c r="J4260" s="2">
        <v>46090</v>
      </c>
      <c r="K4260" s="2">
        <v>46082</v>
      </c>
      <c r="L4260" s="1" t="str">
        <f t="shared" si="492"/>
        <v>seg</v>
      </c>
      <c r="M4260" s="1" t="str">
        <f t="shared" si="493"/>
        <v>mar</v>
      </c>
      <c r="N4260">
        <f t="shared" si="494"/>
        <v>2026</v>
      </c>
      <c r="O4260" s="2"/>
      <c r="P4260" t="str">
        <f t="shared" si="491"/>
        <v>188346090</v>
      </c>
    </row>
    <row r="4261" spans="1:16" x14ac:dyDescent="0.3">
      <c r="A4261">
        <v>1883</v>
      </c>
      <c r="B4261">
        <v>28</v>
      </c>
      <c r="C4261" t="s">
        <v>26</v>
      </c>
      <c r="D4261" t="s">
        <v>31</v>
      </c>
      <c r="E4261" t="s">
        <v>34</v>
      </c>
      <c r="F4261" t="s">
        <v>23</v>
      </c>
      <c r="G4261" t="s">
        <v>41</v>
      </c>
      <c r="H4261" t="s">
        <v>25</v>
      </c>
      <c r="I4261" s="1">
        <v>2</v>
      </c>
      <c r="J4261" s="2">
        <v>46101</v>
      </c>
      <c r="K4261" s="2">
        <v>46082</v>
      </c>
      <c r="L4261" s="1" t="str">
        <f t="shared" si="492"/>
        <v>sex</v>
      </c>
      <c r="M4261" s="1" t="str">
        <f t="shared" si="493"/>
        <v>mar</v>
      </c>
      <c r="N4261">
        <f t="shared" si="494"/>
        <v>2026</v>
      </c>
      <c r="O4261" s="2"/>
      <c r="P4261" t="str">
        <f t="shared" si="491"/>
        <v>188346101</v>
      </c>
    </row>
    <row r="4262" spans="1:16" x14ac:dyDescent="0.3">
      <c r="A4262">
        <v>1884</v>
      </c>
      <c r="B4262">
        <v>42</v>
      </c>
      <c r="C4262" t="s">
        <v>26</v>
      </c>
      <c r="D4262" t="s">
        <v>16</v>
      </c>
      <c r="E4262" t="s">
        <v>17</v>
      </c>
      <c r="F4262" t="s">
        <v>23</v>
      </c>
      <c r="G4262" t="s">
        <v>41</v>
      </c>
      <c r="H4262" t="s">
        <v>25</v>
      </c>
      <c r="I4262" s="1">
        <v>2</v>
      </c>
      <c r="J4262" s="2">
        <v>45857</v>
      </c>
      <c r="K4262" s="2">
        <v>45839</v>
      </c>
      <c r="L4262" s="1" t="str">
        <f t="shared" si="492"/>
        <v>sáb</v>
      </c>
      <c r="M4262" s="1" t="str">
        <f t="shared" si="493"/>
        <v>jul</v>
      </c>
      <c r="N4262">
        <f t="shared" si="494"/>
        <v>2025</v>
      </c>
      <c r="O4262" s="2"/>
      <c r="P4262" t="str">
        <f t="shared" si="491"/>
        <v>188445857</v>
      </c>
    </row>
    <row r="4263" spans="1:16" x14ac:dyDescent="0.3">
      <c r="A4263">
        <v>1884</v>
      </c>
      <c r="B4263">
        <v>42</v>
      </c>
      <c r="C4263" t="s">
        <v>26</v>
      </c>
      <c r="D4263" t="s">
        <v>16</v>
      </c>
      <c r="E4263" t="s">
        <v>17</v>
      </c>
      <c r="F4263" t="s">
        <v>23</v>
      </c>
      <c r="G4263" t="s">
        <v>41</v>
      </c>
      <c r="H4263" t="s">
        <v>25</v>
      </c>
      <c r="I4263" s="1">
        <v>2</v>
      </c>
      <c r="J4263" s="2">
        <v>45962</v>
      </c>
      <c r="K4263" s="2">
        <v>45962</v>
      </c>
      <c r="L4263" s="1" t="str">
        <f t="shared" si="492"/>
        <v>sáb</v>
      </c>
      <c r="M4263" s="1" t="str">
        <f t="shared" si="493"/>
        <v>nov</v>
      </c>
      <c r="N4263">
        <f t="shared" si="494"/>
        <v>2025</v>
      </c>
      <c r="O4263" s="2"/>
      <c r="P4263" t="str">
        <f t="shared" si="491"/>
        <v>188445962</v>
      </c>
    </row>
    <row r="4264" spans="1:16" x14ac:dyDescent="0.3">
      <c r="A4264">
        <v>1884</v>
      </c>
      <c r="B4264">
        <v>42</v>
      </c>
      <c r="C4264" t="s">
        <v>26</v>
      </c>
      <c r="D4264" t="s">
        <v>16</v>
      </c>
      <c r="E4264" t="s">
        <v>17</v>
      </c>
      <c r="F4264" t="s">
        <v>23</v>
      </c>
      <c r="G4264" t="s">
        <v>41</v>
      </c>
      <c r="H4264" t="s">
        <v>25</v>
      </c>
      <c r="I4264" s="1">
        <v>2</v>
      </c>
      <c r="J4264" s="2">
        <v>45978</v>
      </c>
      <c r="K4264" s="2">
        <v>45962</v>
      </c>
      <c r="L4264" s="1" t="str">
        <f t="shared" si="492"/>
        <v>seg</v>
      </c>
      <c r="M4264" s="1" t="str">
        <f t="shared" si="493"/>
        <v>nov</v>
      </c>
      <c r="N4264">
        <f t="shared" si="494"/>
        <v>2025</v>
      </c>
      <c r="O4264" s="2"/>
      <c r="P4264" t="str">
        <f t="shared" si="491"/>
        <v>188445978</v>
      </c>
    </row>
    <row r="4265" spans="1:16" x14ac:dyDescent="0.3">
      <c r="A4265">
        <v>1884</v>
      </c>
      <c r="B4265">
        <v>42</v>
      </c>
      <c r="C4265" t="s">
        <v>26</v>
      </c>
      <c r="D4265" t="s">
        <v>16</v>
      </c>
      <c r="E4265" t="s">
        <v>17</v>
      </c>
      <c r="F4265" t="s">
        <v>23</v>
      </c>
      <c r="G4265" t="s">
        <v>41</v>
      </c>
      <c r="H4265" t="s">
        <v>25</v>
      </c>
      <c r="I4265" s="1">
        <v>2</v>
      </c>
      <c r="J4265" s="2">
        <v>46020</v>
      </c>
      <c r="K4265" s="2">
        <v>45992</v>
      </c>
      <c r="L4265" s="1" t="str">
        <f t="shared" si="492"/>
        <v>seg</v>
      </c>
      <c r="M4265" s="1" t="str">
        <f t="shared" si="493"/>
        <v>dez</v>
      </c>
      <c r="N4265">
        <f t="shared" si="494"/>
        <v>2025</v>
      </c>
      <c r="O4265" s="2"/>
      <c r="P4265" t="str">
        <f t="shared" si="491"/>
        <v>188446020</v>
      </c>
    </row>
    <row r="4266" spans="1:16" x14ac:dyDescent="0.3">
      <c r="A4266">
        <v>1884</v>
      </c>
      <c r="B4266">
        <v>42</v>
      </c>
      <c r="C4266" t="s">
        <v>26</v>
      </c>
      <c r="D4266" t="s">
        <v>16</v>
      </c>
      <c r="E4266" t="s">
        <v>17</v>
      </c>
      <c r="F4266" t="s">
        <v>23</v>
      </c>
      <c r="G4266" t="s">
        <v>41</v>
      </c>
      <c r="H4266" t="s">
        <v>25</v>
      </c>
      <c r="I4266" s="1">
        <v>2</v>
      </c>
      <c r="J4266" s="2">
        <v>46192</v>
      </c>
      <c r="K4266" s="2">
        <v>46023</v>
      </c>
      <c r="L4266" s="1" t="str">
        <f t="shared" si="492"/>
        <v>sex</v>
      </c>
      <c r="M4266" s="1" t="str">
        <f t="shared" si="493"/>
        <v>jun</v>
      </c>
      <c r="N4266">
        <f t="shared" si="494"/>
        <v>2026</v>
      </c>
      <c r="O4266" s="2"/>
      <c r="P4266" t="str">
        <f t="shared" si="491"/>
        <v>188446192</v>
      </c>
    </row>
    <row r="4267" spans="1:16" x14ac:dyDescent="0.3">
      <c r="A4267">
        <v>1884</v>
      </c>
      <c r="B4267">
        <v>42</v>
      </c>
      <c r="C4267" t="s">
        <v>26</v>
      </c>
      <c r="D4267" t="s">
        <v>16</v>
      </c>
      <c r="E4267" t="s">
        <v>17</v>
      </c>
      <c r="F4267" t="s">
        <v>23</v>
      </c>
      <c r="G4267" t="s">
        <v>41</v>
      </c>
      <c r="H4267" t="s">
        <v>25</v>
      </c>
      <c r="I4267" s="1">
        <v>2</v>
      </c>
      <c r="J4267" s="2">
        <v>46126</v>
      </c>
      <c r="K4267" s="2">
        <v>46113</v>
      </c>
      <c r="L4267" s="1" t="str">
        <f t="shared" si="492"/>
        <v>ter</v>
      </c>
      <c r="M4267" s="1" t="str">
        <f t="shared" si="493"/>
        <v>abr</v>
      </c>
      <c r="N4267">
        <f t="shared" si="494"/>
        <v>2026</v>
      </c>
      <c r="O4267" s="2"/>
      <c r="P4267" t="str">
        <f t="shared" si="491"/>
        <v>188446126</v>
      </c>
    </row>
    <row r="4268" spans="1:16" x14ac:dyDescent="0.3">
      <c r="A4268">
        <v>1884</v>
      </c>
      <c r="B4268">
        <v>42</v>
      </c>
      <c r="C4268" t="s">
        <v>26</v>
      </c>
      <c r="D4268" t="s">
        <v>16</v>
      </c>
      <c r="E4268" t="s">
        <v>17</v>
      </c>
      <c r="F4268" t="s">
        <v>23</v>
      </c>
      <c r="G4268" t="s">
        <v>41</v>
      </c>
      <c r="H4268" t="s">
        <v>25</v>
      </c>
      <c r="I4268" s="1">
        <v>2</v>
      </c>
      <c r="J4268" s="2">
        <v>46161</v>
      </c>
      <c r="K4268" s="2">
        <v>46143</v>
      </c>
      <c r="L4268" s="1" t="str">
        <f t="shared" si="492"/>
        <v>ter</v>
      </c>
      <c r="M4268" s="1" t="str">
        <f t="shared" si="493"/>
        <v>mai</v>
      </c>
      <c r="N4268">
        <f t="shared" si="494"/>
        <v>2026</v>
      </c>
      <c r="O4268" s="2"/>
      <c r="P4268" t="str">
        <f t="shared" si="491"/>
        <v>188446161</v>
      </c>
    </row>
    <row r="4269" spans="1:16" x14ac:dyDescent="0.3">
      <c r="A4269">
        <v>1885</v>
      </c>
      <c r="B4269">
        <v>24</v>
      </c>
      <c r="C4269" t="s">
        <v>15</v>
      </c>
      <c r="D4269" t="s">
        <v>27</v>
      </c>
      <c r="E4269" t="s">
        <v>17</v>
      </c>
      <c r="F4269" t="s">
        <v>21</v>
      </c>
      <c r="G4269" t="s">
        <v>41</v>
      </c>
      <c r="H4269" t="s">
        <v>25</v>
      </c>
      <c r="I4269" s="1">
        <v>3</v>
      </c>
      <c r="J4269" s="2">
        <v>45817</v>
      </c>
      <c r="K4269" s="2">
        <v>45809</v>
      </c>
      <c r="L4269" s="1" t="str">
        <f t="shared" si="492"/>
        <v>seg</v>
      </c>
      <c r="M4269" s="1" t="str">
        <f t="shared" si="493"/>
        <v>jun</v>
      </c>
      <c r="N4269">
        <f t="shared" si="494"/>
        <v>2025</v>
      </c>
      <c r="O4269" s="2"/>
      <c r="P4269" t="str">
        <f t="shared" si="491"/>
        <v>188545817</v>
      </c>
    </row>
    <row r="4270" spans="1:16" x14ac:dyDescent="0.3">
      <c r="A4270">
        <v>1885</v>
      </c>
      <c r="B4270">
        <v>24</v>
      </c>
      <c r="C4270" t="s">
        <v>15</v>
      </c>
      <c r="D4270" t="s">
        <v>27</v>
      </c>
      <c r="E4270" t="s">
        <v>17</v>
      </c>
      <c r="F4270" t="s">
        <v>21</v>
      </c>
      <c r="G4270" t="s">
        <v>41</v>
      </c>
      <c r="H4270" t="s">
        <v>25</v>
      </c>
      <c r="I4270" s="1">
        <v>3</v>
      </c>
      <c r="J4270" s="2">
        <v>45824</v>
      </c>
      <c r="K4270" s="2">
        <v>45809</v>
      </c>
      <c r="L4270" s="1" t="str">
        <f t="shared" si="492"/>
        <v>seg</v>
      </c>
      <c r="M4270" s="1" t="str">
        <f t="shared" si="493"/>
        <v>jun</v>
      </c>
      <c r="N4270">
        <f t="shared" si="494"/>
        <v>2025</v>
      </c>
      <c r="O4270" s="2"/>
      <c r="P4270" t="str">
        <f t="shared" si="491"/>
        <v>188545824</v>
      </c>
    </row>
    <row r="4271" spans="1:16" x14ac:dyDescent="0.3">
      <c r="A4271">
        <v>1885</v>
      </c>
      <c r="B4271">
        <v>24</v>
      </c>
      <c r="C4271" t="s">
        <v>15</v>
      </c>
      <c r="D4271" t="s">
        <v>27</v>
      </c>
      <c r="E4271" t="s">
        <v>17</v>
      </c>
      <c r="F4271" t="s">
        <v>21</v>
      </c>
      <c r="G4271" t="s">
        <v>41</v>
      </c>
      <c r="H4271" t="s">
        <v>25</v>
      </c>
      <c r="I4271" s="1">
        <v>3</v>
      </c>
      <c r="J4271" s="2">
        <v>45866</v>
      </c>
      <c r="K4271" s="2">
        <v>45839</v>
      </c>
      <c r="L4271" s="1" t="str">
        <f t="shared" si="492"/>
        <v>seg</v>
      </c>
      <c r="M4271" s="1" t="str">
        <f t="shared" si="493"/>
        <v>jul</v>
      </c>
      <c r="N4271">
        <f t="shared" si="494"/>
        <v>2025</v>
      </c>
      <c r="O4271" s="2"/>
      <c r="P4271" t="str">
        <f t="shared" si="491"/>
        <v>188545866</v>
      </c>
    </row>
    <row r="4272" spans="1:16" x14ac:dyDescent="0.3">
      <c r="A4272">
        <v>1885</v>
      </c>
      <c r="B4272">
        <v>24</v>
      </c>
      <c r="C4272" t="s">
        <v>15</v>
      </c>
      <c r="D4272" t="s">
        <v>27</v>
      </c>
      <c r="E4272" t="s">
        <v>17</v>
      </c>
      <c r="F4272" t="s">
        <v>21</v>
      </c>
      <c r="G4272" t="s">
        <v>41</v>
      </c>
      <c r="H4272" t="s">
        <v>25</v>
      </c>
      <c r="I4272" s="1">
        <v>3</v>
      </c>
      <c r="J4272" s="2">
        <v>45932</v>
      </c>
      <c r="K4272" s="2">
        <v>45931</v>
      </c>
      <c r="L4272" s="1" t="str">
        <f t="shared" si="492"/>
        <v>qui</v>
      </c>
      <c r="M4272" s="1" t="str">
        <f t="shared" si="493"/>
        <v>out</v>
      </c>
      <c r="N4272">
        <f t="shared" si="494"/>
        <v>2025</v>
      </c>
      <c r="O4272" s="2"/>
      <c r="P4272" t="str">
        <f t="shared" si="491"/>
        <v>188545932</v>
      </c>
    </row>
    <row r="4273" spans="1:16" x14ac:dyDescent="0.3">
      <c r="A4273">
        <v>1885</v>
      </c>
      <c r="B4273">
        <v>24</v>
      </c>
      <c r="C4273" t="s">
        <v>15</v>
      </c>
      <c r="D4273" t="s">
        <v>27</v>
      </c>
      <c r="E4273" t="s">
        <v>17</v>
      </c>
      <c r="F4273" t="s">
        <v>21</v>
      </c>
      <c r="G4273" t="s">
        <v>41</v>
      </c>
      <c r="H4273" t="s">
        <v>25</v>
      </c>
      <c r="I4273" s="1">
        <v>3</v>
      </c>
      <c r="J4273" s="2">
        <v>45980</v>
      </c>
      <c r="K4273" s="2">
        <v>45962</v>
      </c>
      <c r="L4273" s="1" t="str">
        <f t="shared" si="492"/>
        <v>qua</v>
      </c>
      <c r="M4273" s="1" t="str">
        <f t="shared" si="493"/>
        <v>nov</v>
      </c>
      <c r="N4273">
        <f t="shared" si="494"/>
        <v>2025</v>
      </c>
      <c r="O4273" s="2"/>
      <c r="P4273" t="str">
        <f t="shared" si="491"/>
        <v>188545980</v>
      </c>
    </row>
    <row r="4274" spans="1:16" x14ac:dyDescent="0.3">
      <c r="A4274">
        <v>1886</v>
      </c>
      <c r="B4274">
        <v>33</v>
      </c>
      <c r="C4274" t="s">
        <v>26</v>
      </c>
      <c r="D4274" t="s">
        <v>16</v>
      </c>
      <c r="E4274" t="s">
        <v>17</v>
      </c>
      <c r="F4274" t="s">
        <v>18</v>
      </c>
      <c r="G4274" t="s">
        <v>41</v>
      </c>
      <c r="H4274" t="s">
        <v>25</v>
      </c>
      <c r="I4274" s="1">
        <v>3</v>
      </c>
      <c r="J4274" s="2">
        <v>45858</v>
      </c>
      <c r="K4274" s="2">
        <v>45839</v>
      </c>
      <c r="L4274" s="1" t="str">
        <f t="shared" si="492"/>
        <v>dom</v>
      </c>
      <c r="M4274" s="1" t="str">
        <f t="shared" si="493"/>
        <v>jul</v>
      </c>
      <c r="N4274">
        <f t="shared" si="494"/>
        <v>2025</v>
      </c>
      <c r="O4274" s="2"/>
      <c r="P4274" t="str">
        <f t="shared" si="491"/>
        <v>188645858</v>
      </c>
    </row>
    <row r="4275" spans="1:16" x14ac:dyDescent="0.3">
      <c r="A4275">
        <v>1886</v>
      </c>
      <c r="B4275">
        <v>33</v>
      </c>
      <c r="C4275" t="s">
        <v>26</v>
      </c>
      <c r="D4275" t="s">
        <v>16</v>
      </c>
      <c r="E4275" t="s">
        <v>17</v>
      </c>
      <c r="F4275" t="s">
        <v>18</v>
      </c>
      <c r="G4275" t="s">
        <v>41</v>
      </c>
      <c r="H4275" t="s">
        <v>25</v>
      </c>
      <c r="I4275" s="1">
        <v>3</v>
      </c>
      <c r="J4275" s="2">
        <v>45994</v>
      </c>
      <c r="K4275" s="2">
        <v>45992</v>
      </c>
      <c r="L4275" s="1" t="str">
        <f t="shared" si="492"/>
        <v>qua</v>
      </c>
      <c r="M4275" s="1" t="str">
        <f t="shared" si="493"/>
        <v>dez</v>
      </c>
      <c r="N4275">
        <f t="shared" si="494"/>
        <v>2025</v>
      </c>
      <c r="O4275" s="2"/>
      <c r="P4275" t="str">
        <f t="shared" si="491"/>
        <v>188645994</v>
      </c>
    </row>
    <row r="4276" spans="1:16" x14ac:dyDescent="0.3">
      <c r="A4276">
        <v>1886</v>
      </c>
      <c r="B4276">
        <v>33</v>
      </c>
      <c r="C4276" t="s">
        <v>26</v>
      </c>
      <c r="D4276" t="s">
        <v>16</v>
      </c>
      <c r="E4276" t="s">
        <v>17</v>
      </c>
      <c r="F4276" t="s">
        <v>18</v>
      </c>
      <c r="G4276" t="s">
        <v>41</v>
      </c>
      <c r="H4276" t="s">
        <v>25</v>
      </c>
      <c r="I4276" s="1">
        <v>3</v>
      </c>
      <c r="J4276" s="2">
        <v>46013</v>
      </c>
      <c r="K4276" s="2">
        <v>45992</v>
      </c>
      <c r="L4276" s="1" t="str">
        <f t="shared" si="492"/>
        <v>seg</v>
      </c>
      <c r="M4276" s="1" t="str">
        <f t="shared" si="493"/>
        <v>dez</v>
      </c>
      <c r="N4276">
        <f t="shared" si="494"/>
        <v>2025</v>
      </c>
      <c r="O4276" s="2"/>
      <c r="P4276" t="str">
        <f t="shared" si="491"/>
        <v>188646013</v>
      </c>
    </row>
    <row r="4277" spans="1:16" x14ac:dyDescent="0.3">
      <c r="A4277">
        <v>1886</v>
      </c>
      <c r="B4277">
        <v>33</v>
      </c>
      <c r="C4277" t="s">
        <v>26</v>
      </c>
      <c r="D4277" t="s">
        <v>16</v>
      </c>
      <c r="E4277" t="s">
        <v>17</v>
      </c>
      <c r="F4277" t="s">
        <v>18</v>
      </c>
      <c r="G4277" t="s">
        <v>41</v>
      </c>
      <c r="H4277" t="s">
        <v>25</v>
      </c>
      <c r="I4277" s="1">
        <v>3</v>
      </c>
      <c r="J4277" s="2">
        <v>46094</v>
      </c>
      <c r="K4277" s="2">
        <v>46082</v>
      </c>
      <c r="L4277" s="1" t="str">
        <f t="shared" si="492"/>
        <v>sex</v>
      </c>
      <c r="M4277" s="1" t="str">
        <f t="shared" si="493"/>
        <v>mar</v>
      </c>
      <c r="N4277">
        <f t="shared" si="494"/>
        <v>2026</v>
      </c>
      <c r="O4277" s="2"/>
      <c r="P4277" t="str">
        <f t="shared" si="491"/>
        <v>188646094</v>
      </c>
    </row>
    <row r="4278" spans="1:16" x14ac:dyDescent="0.3">
      <c r="A4278">
        <v>1886</v>
      </c>
      <c r="B4278">
        <v>33</v>
      </c>
      <c r="C4278" t="s">
        <v>26</v>
      </c>
      <c r="D4278" t="s">
        <v>16</v>
      </c>
      <c r="E4278" t="s">
        <v>17</v>
      </c>
      <c r="F4278" t="s">
        <v>18</v>
      </c>
      <c r="G4278" t="s">
        <v>41</v>
      </c>
      <c r="H4278" t="s">
        <v>25</v>
      </c>
      <c r="I4278" s="1">
        <v>3</v>
      </c>
      <c r="J4278" s="2">
        <v>46100</v>
      </c>
      <c r="K4278" s="2">
        <v>46082</v>
      </c>
      <c r="L4278" s="1" t="str">
        <f t="shared" si="492"/>
        <v>qui</v>
      </c>
      <c r="M4278" s="1" t="str">
        <f t="shared" si="493"/>
        <v>mar</v>
      </c>
      <c r="N4278">
        <f t="shared" si="494"/>
        <v>2026</v>
      </c>
      <c r="O4278" s="2"/>
      <c r="P4278" t="str">
        <f t="shared" si="491"/>
        <v>188646100</v>
      </c>
    </row>
    <row r="4279" spans="1:16" x14ac:dyDescent="0.3">
      <c r="A4279">
        <v>1887</v>
      </c>
      <c r="B4279">
        <v>28</v>
      </c>
      <c r="C4279" t="s">
        <v>15</v>
      </c>
      <c r="D4279" t="s">
        <v>22</v>
      </c>
      <c r="E4279" t="s">
        <v>17</v>
      </c>
      <c r="F4279" t="s">
        <v>23</v>
      </c>
      <c r="G4279" t="s">
        <v>41</v>
      </c>
      <c r="H4279" t="s">
        <v>25</v>
      </c>
      <c r="I4279" s="1">
        <v>2</v>
      </c>
      <c r="J4279" s="2">
        <v>46192</v>
      </c>
      <c r="K4279" s="2">
        <v>46023</v>
      </c>
      <c r="L4279" s="1" t="str">
        <f t="shared" si="492"/>
        <v>sex</v>
      </c>
      <c r="M4279" s="1" t="str">
        <f t="shared" si="493"/>
        <v>jun</v>
      </c>
      <c r="N4279">
        <f t="shared" si="494"/>
        <v>2026</v>
      </c>
      <c r="O4279" s="2"/>
      <c r="P4279" t="str">
        <f t="shared" si="491"/>
        <v>188746192</v>
      </c>
    </row>
    <row r="4280" spans="1:16" x14ac:dyDescent="0.3">
      <c r="A4280">
        <v>1887</v>
      </c>
      <c r="B4280">
        <v>28</v>
      </c>
      <c r="C4280" t="s">
        <v>15</v>
      </c>
      <c r="D4280" t="s">
        <v>22</v>
      </c>
      <c r="E4280" t="s">
        <v>17</v>
      </c>
      <c r="F4280" t="s">
        <v>23</v>
      </c>
      <c r="G4280" t="s">
        <v>41</v>
      </c>
      <c r="H4280" t="s">
        <v>25</v>
      </c>
      <c r="I4280" s="1">
        <v>2</v>
      </c>
      <c r="J4280" s="2">
        <v>46201</v>
      </c>
      <c r="K4280" s="2">
        <v>46023</v>
      </c>
      <c r="L4280" s="1" t="str">
        <f t="shared" si="492"/>
        <v>dom</v>
      </c>
      <c r="M4280" s="1" t="str">
        <f t="shared" si="493"/>
        <v>jun</v>
      </c>
      <c r="N4280">
        <f t="shared" si="494"/>
        <v>2026</v>
      </c>
      <c r="O4280" s="2"/>
      <c r="P4280" t="str">
        <f t="shared" si="491"/>
        <v>188746201</v>
      </c>
    </row>
    <row r="4281" spans="1:16" x14ac:dyDescent="0.3">
      <c r="A4281">
        <v>1889</v>
      </c>
      <c r="B4281">
        <v>27</v>
      </c>
      <c r="C4281" t="s">
        <v>15</v>
      </c>
      <c r="D4281" t="s">
        <v>29</v>
      </c>
      <c r="E4281" t="s">
        <v>17</v>
      </c>
      <c r="F4281" t="s">
        <v>21</v>
      </c>
      <c r="G4281" t="s">
        <v>41</v>
      </c>
      <c r="H4281" t="s">
        <v>25</v>
      </c>
      <c r="I4281" s="1">
        <v>3</v>
      </c>
      <c r="J4281" s="2">
        <v>45836</v>
      </c>
      <c r="K4281" s="2">
        <v>45809</v>
      </c>
      <c r="L4281" s="1" t="str">
        <f t="shared" si="492"/>
        <v>sáb</v>
      </c>
      <c r="M4281" s="1" t="str">
        <f t="shared" si="493"/>
        <v>jun</v>
      </c>
      <c r="N4281">
        <f t="shared" si="494"/>
        <v>2025</v>
      </c>
      <c r="O4281" s="2"/>
      <c r="P4281" t="str">
        <f t="shared" si="491"/>
        <v>188945836</v>
      </c>
    </row>
    <row r="4282" spans="1:16" x14ac:dyDescent="0.3">
      <c r="A4282">
        <v>1889</v>
      </c>
      <c r="B4282">
        <v>27</v>
      </c>
      <c r="C4282" t="s">
        <v>15</v>
      </c>
      <c r="D4282" t="s">
        <v>29</v>
      </c>
      <c r="E4282" t="s">
        <v>17</v>
      </c>
      <c r="F4282" t="s">
        <v>21</v>
      </c>
      <c r="G4282" t="s">
        <v>41</v>
      </c>
      <c r="H4282" t="s">
        <v>25</v>
      </c>
      <c r="I4282" s="1">
        <v>3</v>
      </c>
      <c r="J4282" s="2">
        <v>45839</v>
      </c>
      <c r="K4282" s="2">
        <v>45839</v>
      </c>
      <c r="L4282" s="1" t="str">
        <f t="shared" si="492"/>
        <v>ter</v>
      </c>
      <c r="M4282" s="1" t="str">
        <f t="shared" si="493"/>
        <v>jul</v>
      </c>
      <c r="N4282">
        <f t="shared" si="494"/>
        <v>2025</v>
      </c>
      <c r="O4282" s="2"/>
      <c r="P4282" t="str">
        <f t="shared" si="491"/>
        <v>188945839</v>
      </c>
    </row>
    <row r="4283" spans="1:16" x14ac:dyDescent="0.3">
      <c r="A4283">
        <v>1889</v>
      </c>
      <c r="B4283">
        <v>27</v>
      </c>
      <c r="C4283" t="s">
        <v>15</v>
      </c>
      <c r="D4283" t="s">
        <v>29</v>
      </c>
      <c r="E4283" t="s">
        <v>17</v>
      </c>
      <c r="F4283" t="s">
        <v>21</v>
      </c>
      <c r="G4283" t="s">
        <v>41</v>
      </c>
      <c r="H4283" t="s">
        <v>25</v>
      </c>
      <c r="I4283" s="1">
        <v>3</v>
      </c>
      <c r="J4283" s="2">
        <v>45877</v>
      </c>
      <c r="K4283" s="2">
        <v>45870</v>
      </c>
      <c r="L4283" s="1" t="str">
        <f t="shared" si="492"/>
        <v>sex</v>
      </c>
      <c r="M4283" s="1" t="str">
        <f t="shared" si="493"/>
        <v>ago</v>
      </c>
      <c r="N4283">
        <f t="shared" si="494"/>
        <v>2025</v>
      </c>
      <c r="O4283" s="2"/>
      <c r="P4283" t="str">
        <f t="shared" si="491"/>
        <v>188945877</v>
      </c>
    </row>
    <row r="4284" spans="1:16" x14ac:dyDescent="0.3">
      <c r="A4284">
        <v>1889</v>
      </c>
      <c r="B4284">
        <v>27</v>
      </c>
      <c r="C4284" t="s">
        <v>15</v>
      </c>
      <c r="D4284" t="s">
        <v>29</v>
      </c>
      <c r="E4284" t="s">
        <v>17</v>
      </c>
      <c r="F4284" t="s">
        <v>21</v>
      </c>
      <c r="G4284" t="s">
        <v>41</v>
      </c>
      <c r="H4284" t="s">
        <v>25</v>
      </c>
      <c r="I4284" s="1">
        <v>3</v>
      </c>
      <c r="J4284" s="2">
        <v>46188</v>
      </c>
      <c r="K4284" s="2">
        <v>46023</v>
      </c>
      <c r="L4284" s="1" t="str">
        <f t="shared" si="492"/>
        <v>seg</v>
      </c>
      <c r="M4284" s="1" t="str">
        <f t="shared" si="493"/>
        <v>jun</v>
      </c>
      <c r="N4284">
        <f t="shared" si="494"/>
        <v>2026</v>
      </c>
      <c r="O4284" s="2"/>
      <c r="P4284" t="str">
        <f t="shared" si="491"/>
        <v>188946188</v>
      </c>
    </row>
    <row r="4285" spans="1:16" x14ac:dyDescent="0.3">
      <c r="A4285">
        <v>1889</v>
      </c>
      <c r="B4285">
        <v>27</v>
      </c>
      <c r="C4285" t="s">
        <v>15</v>
      </c>
      <c r="D4285" t="s">
        <v>29</v>
      </c>
      <c r="E4285" t="s">
        <v>17</v>
      </c>
      <c r="F4285" t="s">
        <v>21</v>
      </c>
      <c r="G4285" t="s">
        <v>41</v>
      </c>
      <c r="H4285" t="s">
        <v>25</v>
      </c>
      <c r="I4285" s="1">
        <v>3</v>
      </c>
      <c r="J4285" s="2">
        <v>46085</v>
      </c>
      <c r="K4285" s="2">
        <v>46082</v>
      </c>
      <c r="L4285" s="1" t="str">
        <f t="shared" si="492"/>
        <v>qua</v>
      </c>
      <c r="M4285" s="1" t="str">
        <f t="shared" si="493"/>
        <v>mar</v>
      </c>
      <c r="N4285">
        <f t="shared" si="494"/>
        <v>2026</v>
      </c>
      <c r="O4285" s="2"/>
      <c r="P4285" t="str">
        <f t="shared" ref="P4285:P4348" si="495">CONCATENATE(A4285,J4285)</f>
        <v>188946085</v>
      </c>
    </row>
    <row r="4286" spans="1:16" x14ac:dyDescent="0.3">
      <c r="A4286">
        <v>1889</v>
      </c>
      <c r="B4286">
        <v>27</v>
      </c>
      <c r="C4286" t="s">
        <v>15</v>
      </c>
      <c r="D4286" t="s">
        <v>29</v>
      </c>
      <c r="E4286" t="s">
        <v>17</v>
      </c>
      <c r="F4286" t="s">
        <v>21</v>
      </c>
      <c r="G4286" t="s">
        <v>41</v>
      </c>
      <c r="H4286" t="s">
        <v>25</v>
      </c>
      <c r="I4286" s="1">
        <v>3</v>
      </c>
      <c r="J4286" s="2">
        <v>46110</v>
      </c>
      <c r="K4286" s="2">
        <v>46082</v>
      </c>
      <c r="L4286" s="1" t="str">
        <f t="shared" si="492"/>
        <v>dom</v>
      </c>
      <c r="M4286" s="1" t="str">
        <f t="shared" si="493"/>
        <v>mar</v>
      </c>
      <c r="N4286">
        <f t="shared" si="494"/>
        <v>2026</v>
      </c>
      <c r="O4286" s="2"/>
      <c r="P4286" t="str">
        <f t="shared" si="495"/>
        <v>188946110</v>
      </c>
    </row>
    <row r="4287" spans="1:16" x14ac:dyDescent="0.3">
      <c r="A4287">
        <v>1889</v>
      </c>
      <c r="B4287">
        <v>27</v>
      </c>
      <c r="C4287" t="s">
        <v>15</v>
      </c>
      <c r="D4287" t="s">
        <v>29</v>
      </c>
      <c r="E4287" t="s">
        <v>17</v>
      </c>
      <c r="F4287" t="s">
        <v>21</v>
      </c>
      <c r="G4287" t="s">
        <v>41</v>
      </c>
      <c r="H4287" t="s">
        <v>25</v>
      </c>
      <c r="I4287" s="1">
        <v>3</v>
      </c>
      <c r="J4287" s="2">
        <v>46147</v>
      </c>
      <c r="K4287" s="2">
        <v>46143</v>
      </c>
      <c r="L4287" s="1" t="str">
        <f t="shared" si="492"/>
        <v>ter</v>
      </c>
      <c r="M4287" s="1" t="str">
        <f t="shared" si="493"/>
        <v>mai</v>
      </c>
      <c r="N4287">
        <f t="shared" si="494"/>
        <v>2026</v>
      </c>
      <c r="O4287" s="2"/>
      <c r="P4287" t="str">
        <f t="shared" si="495"/>
        <v>188946147</v>
      </c>
    </row>
    <row r="4288" spans="1:16" x14ac:dyDescent="0.3">
      <c r="A4288">
        <v>1890</v>
      </c>
      <c r="B4288">
        <v>34</v>
      </c>
      <c r="C4288" t="s">
        <v>26</v>
      </c>
      <c r="D4288" t="s">
        <v>27</v>
      </c>
      <c r="E4288" t="s">
        <v>17</v>
      </c>
      <c r="F4288" t="s">
        <v>21</v>
      </c>
      <c r="G4288" t="s">
        <v>41</v>
      </c>
      <c r="H4288" t="s">
        <v>25</v>
      </c>
      <c r="I4288" s="1">
        <v>1</v>
      </c>
      <c r="J4288" s="2">
        <v>45876</v>
      </c>
      <c r="K4288" s="2">
        <v>45870</v>
      </c>
      <c r="L4288" s="1" t="str">
        <f t="shared" si="492"/>
        <v>qui</v>
      </c>
      <c r="M4288" s="1" t="str">
        <f t="shared" si="493"/>
        <v>ago</v>
      </c>
      <c r="N4288">
        <f t="shared" si="494"/>
        <v>2025</v>
      </c>
      <c r="O4288" s="2"/>
      <c r="P4288" t="str">
        <f t="shared" si="495"/>
        <v>189045876</v>
      </c>
    </row>
    <row r="4289" spans="1:16" x14ac:dyDescent="0.3">
      <c r="A4289">
        <v>1890</v>
      </c>
      <c r="B4289">
        <v>34</v>
      </c>
      <c r="C4289" t="s">
        <v>26</v>
      </c>
      <c r="D4289" t="s">
        <v>27</v>
      </c>
      <c r="E4289" t="s">
        <v>17</v>
      </c>
      <c r="F4289" t="s">
        <v>21</v>
      </c>
      <c r="G4289" t="s">
        <v>41</v>
      </c>
      <c r="H4289" t="s">
        <v>25</v>
      </c>
      <c r="I4289" s="1">
        <v>1</v>
      </c>
      <c r="J4289" s="2">
        <v>45896</v>
      </c>
      <c r="K4289" s="2">
        <v>45870</v>
      </c>
      <c r="L4289" s="1" t="str">
        <f t="shared" si="492"/>
        <v>qua</v>
      </c>
      <c r="M4289" s="1" t="str">
        <f t="shared" si="493"/>
        <v>ago</v>
      </c>
      <c r="N4289">
        <f t="shared" si="494"/>
        <v>2025</v>
      </c>
      <c r="O4289" s="2"/>
      <c r="P4289" t="str">
        <f t="shared" si="495"/>
        <v>189045896</v>
      </c>
    </row>
    <row r="4290" spans="1:16" x14ac:dyDescent="0.3">
      <c r="A4290">
        <v>1890</v>
      </c>
      <c r="B4290">
        <v>34</v>
      </c>
      <c r="C4290" t="s">
        <v>26</v>
      </c>
      <c r="D4290" t="s">
        <v>27</v>
      </c>
      <c r="E4290" t="s">
        <v>17</v>
      </c>
      <c r="F4290" t="s">
        <v>21</v>
      </c>
      <c r="G4290" t="s">
        <v>41</v>
      </c>
      <c r="H4290" t="s">
        <v>25</v>
      </c>
      <c r="I4290" s="1">
        <v>1</v>
      </c>
      <c r="J4290" s="2">
        <v>45915</v>
      </c>
      <c r="K4290" s="2">
        <v>45901</v>
      </c>
      <c r="L4290" s="1" t="str">
        <f t="shared" si="492"/>
        <v>seg</v>
      </c>
      <c r="M4290" s="1" t="str">
        <f t="shared" si="493"/>
        <v>set</v>
      </c>
      <c r="N4290">
        <f t="shared" si="494"/>
        <v>2025</v>
      </c>
      <c r="O4290" s="2"/>
      <c r="P4290" t="str">
        <f t="shared" si="495"/>
        <v>189045915</v>
      </c>
    </row>
    <row r="4291" spans="1:16" x14ac:dyDescent="0.3">
      <c r="A4291">
        <v>1890</v>
      </c>
      <c r="B4291">
        <v>34</v>
      </c>
      <c r="C4291" t="s">
        <v>26</v>
      </c>
      <c r="D4291" t="s">
        <v>27</v>
      </c>
      <c r="E4291" t="s">
        <v>17</v>
      </c>
      <c r="F4291" t="s">
        <v>21</v>
      </c>
      <c r="G4291" t="s">
        <v>41</v>
      </c>
      <c r="H4291" t="s">
        <v>25</v>
      </c>
      <c r="I4291" s="1">
        <v>1</v>
      </c>
      <c r="J4291" s="2">
        <v>45987</v>
      </c>
      <c r="K4291" s="2">
        <v>45962</v>
      </c>
      <c r="L4291" s="1" t="str">
        <f t="shared" si="492"/>
        <v>qua</v>
      </c>
      <c r="M4291" s="1" t="str">
        <f t="shared" si="493"/>
        <v>nov</v>
      </c>
      <c r="N4291">
        <f t="shared" si="494"/>
        <v>2025</v>
      </c>
      <c r="O4291" s="2"/>
      <c r="P4291" t="str">
        <f t="shared" si="495"/>
        <v>189045987</v>
      </c>
    </row>
    <row r="4292" spans="1:16" x14ac:dyDescent="0.3">
      <c r="A4292">
        <v>1890</v>
      </c>
      <c r="B4292">
        <v>34</v>
      </c>
      <c r="C4292" t="s">
        <v>26</v>
      </c>
      <c r="D4292" t="s">
        <v>27</v>
      </c>
      <c r="E4292" t="s">
        <v>17</v>
      </c>
      <c r="F4292" t="s">
        <v>21</v>
      </c>
      <c r="G4292" t="s">
        <v>41</v>
      </c>
      <c r="H4292" t="s">
        <v>25</v>
      </c>
      <c r="I4292" s="1">
        <v>1</v>
      </c>
      <c r="J4292" s="2">
        <v>46076</v>
      </c>
      <c r="K4292" s="2">
        <v>46054</v>
      </c>
      <c r="L4292" s="1" t="str">
        <f t="shared" si="492"/>
        <v>seg</v>
      </c>
      <c r="M4292" s="1" t="str">
        <f t="shared" si="493"/>
        <v>fev</v>
      </c>
      <c r="N4292">
        <f t="shared" si="494"/>
        <v>2026</v>
      </c>
      <c r="O4292" s="2"/>
      <c r="P4292" t="str">
        <f t="shared" si="495"/>
        <v>189046076</v>
      </c>
    </row>
    <row r="4293" spans="1:16" x14ac:dyDescent="0.3">
      <c r="A4293">
        <v>1890</v>
      </c>
      <c r="B4293">
        <v>34</v>
      </c>
      <c r="C4293" t="s">
        <v>26</v>
      </c>
      <c r="D4293" t="s">
        <v>27</v>
      </c>
      <c r="E4293" t="s">
        <v>17</v>
      </c>
      <c r="F4293" t="s">
        <v>21</v>
      </c>
      <c r="G4293" t="s">
        <v>41</v>
      </c>
      <c r="H4293" t="s">
        <v>25</v>
      </c>
      <c r="I4293" s="1">
        <v>1</v>
      </c>
      <c r="J4293" s="2">
        <v>46107</v>
      </c>
      <c r="K4293" s="2">
        <v>46082</v>
      </c>
      <c r="L4293" s="1" t="str">
        <f t="shared" si="492"/>
        <v>qui</v>
      </c>
      <c r="M4293" s="1" t="str">
        <f t="shared" si="493"/>
        <v>mar</v>
      </c>
      <c r="N4293">
        <f t="shared" si="494"/>
        <v>2026</v>
      </c>
      <c r="O4293" s="2"/>
      <c r="P4293" t="str">
        <f t="shared" si="495"/>
        <v>189046107</v>
      </c>
    </row>
    <row r="4294" spans="1:16" x14ac:dyDescent="0.3">
      <c r="A4294">
        <v>1890</v>
      </c>
      <c r="B4294">
        <v>34</v>
      </c>
      <c r="C4294" t="s">
        <v>26</v>
      </c>
      <c r="D4294" t="s">
        <v>27</v>
      </c>
      <c r="E4294" t="s">
        <v>17</v>
      </c>
      <c r="F4294" t="s">
        <v>21</v>
      </c>
      <c r="G4294" t="s">
        <v>41</v>
      </c>
      <c r="H4294" t="s">
        <v>25</v>
      </c>
      <c r="I4294" s="1">
        <v>1</v>
      </c>
      <c r="J4294" s="2">
        <v>46136</v>
      </c>
      <c r="K4294" s="2">
        <v>46113</v>
      </c>
      <c r="L4294" s="1" t="str">
        <f t="shared" si="492"/>
        <v>sex</v>
      </c>
      <c r="M4294" s="1" t="str">
        <f t="shared" si="493"/>
        <v>abr</v>
      </c>
      <c r="N4294">
        <f t="shared" si="494"/>
        <v>2026</v>
      </c>
      <c r="O4294" s="2"/>
      <c r="P4294" t="str">
        <f t="shared" si="495"/>
        <v>189046136</v>
      </c>
    </row>
    <row r="4295" spans="1:16" x14ac:dyDescent="0.3">
      <c r="A4295">
        <v>1893</v>
      </c>
      <c r="B4295">
        <v>44</v>
      </c>
      <c r="C4295" t="s">
        <v>26</v>
      </c>
      <c r="D4295" t="s">
        <v>22</v>
      </c>
      <c r="E4295" t="s">
        <v>17</v>
      </c>
      <c r="F4295" t="s">
        <v>18</v>
      </c>
      <c r="G4295" t="s">
        <v>41</v>
      </c>
      <c r="H4295" t="s">
        <v>25</v>
      </c>
      <c r="I4295" s="1">
        <v>3</v>
      </c>
      <c r="J4295" s="2">
        <v>45861</v>
      </c>
      <c r="K4295" s="2">
        <v>45839</v>
      </c>
      <c r="L4295" s="1" t="str">
        <f t="shared" si="492"/>
        <v>qua</v>
      </c>
      <c r="M4295" s="1" t="str">
        <f t="shared" si="493"/>
        <v>jul</v>
      </c>
      <c r="N4295">
        <f t="shared" si="494"/>
        <v>2025</v>
      </c>
      <c r="O4295" s="2"/>
      <c r="P4295" t="str">
        <f t="shared" si="495"/>
        <v>189345861</v>
      </c>
    </row>
    <row r="4296" spans="1:16" x14ac:dyDescent="0.3">
      <c r="A4296">
        <v>1893</v>
      </c>
      <c r="B4296">
        <v>44</v>
      </c>
      <c r="C4296" t="s">
        <v>26</v>
      </c>
      <c r="D4296" t="s">
        <v>22</v>
      </c>
      <c r="E4296" t="s">
        <v>17</v>
      </c>
      <c r="F4296" t="s">
        <v>18</v>
      </c>
      <c r="G4296" t="s">
        <v>41</v>
      </c>
      <c r="H4296" t="s">
        <v>25</v>
      </c>
      <c r="I4296" s="1">
        <v>3</v>
      </c>
      <c r="J4296" s="2">
        <v>45955</v>
      </c>
      <c r="K4296" s="2">
        <v>45931</v>
      </c>
      <c r="L4296" s="1" t="str">
        <f t="shared" si="492"/>
        <v>sáb</v>
      </c>
      <c r="M4296" s="1" t="str">
        <f t="shared" si="493"/>
        <v>out</v>
      </c>
      <c r="N4296">
        <f t="shared" si="494"/>
        <v>2025</v>
      </c>
      <c r="O4296" s="2"/>
      <c r="P4296" t="str">
        <f t="shared" si="495"/>
        <v>189345955</v>
      </c>
    </row>
    <row r="4297" spans="1:16" x14ac:dyDescent="0.3">
      <c r="A4297">
        <v>1893</v>
      </c>
      <c r="B4297">
        <v>44</v>
      </c>
      <c r="C4297" t="s">
        <v>26</v>
      </c>
      <c r="D4297" t="s">
        <v>22</v>
      </c>
      <c r="E4297" t="s">
        <v>17</v>
      </c>
      <c r="F4297" t="s">
        <v>18</v>
      </c>
      <c r="G4297" t="s">
        <v>41</v>
      </c>
      <c r="H4297" t="s">
        <v>25</v>
      </c>
      <c r="I4297" s="1">
        <v>3</v>
      </c>
      <c r="J4297" s="2">
        <v>45981</v>
      </c>
      <c r="K4297" s="2">
        <v>45962</v>
      </c>
      <c r="L4297" s="1" t="str">
        <f t="shared" si="492"/>
        <v>qui</v>
      </c>
      <c r="M4297" s="1" t="str">
        <f t="shared" si="493"/>
        <v>nov</v>
      </c>
      <c r="N4297">
        <f t="shared" si="494"/>
        <v>2025</v>
      </c>
      <c r="O4297" s="2"/>
      <c r="P4297" t="str">
        <f t="shared" si="495"/>
        <v>189345981</v>
      </c>
    </row>
    <row r="4298" spans="1:16" x14ac:dyDescent="0.3">
      <c r="A4298">
        <v>1893</v>
      </c>
      <c r="B4298">
        <v>44</v>
      </c>
      <c r="C4298" t="s">
        <v>26</v>
      </c>
      <c r="D4298" t="s">
        <v>22</v>
      </c>
      <c r="E4298" t="s">
        <v>17</v>
      </c>
      <c r="F4298" t="s">
        <v>18</v>
      </c>
      <c r="G4298" t="s">
        <v>41</v>
      </c>
      <c r="H4298" t="s">
        <v>25</v>
      </c>
      <c r="I4298" s="1">
        <v>3</v>
      </c>
      <c r="J4298" s="2">
        <v>46088</v>
      </c>
      <c r="K4298" s="2">
        <v>46082</v>
      </c>
      <c r="L4298" s="1" t="str">
        <f t="shared" si="492"/>
        <v>sáb</v>
      </c>
      <c r="M4298" s="1" t="str">
        <f t="shared" si="493"/>
        <v>mar</v>
      </c>
      <c r="N4298">
        <f t="shared" si="494"/>
        <v>2026</v>
      </c>
      <c r="O4298" s="2"/>
      <c r="P4298" t="str">
        <f t="shared" si="495"/>
        <v>189346088</v>
      </c>
    </row>
    <row r="4299" spans="1:16" x14ac:dyDescent="0.3">
      <c r="A4299">
        <v>1893</v>
      </c>
      <c r="B4299">
        <v>44</v>
      </c>
      <c r="C4299" t="s">
        <v>26</v>
      </c>
      <c r="D4299" t="s">
        <v>22</v>
      </c>
      <c r="E4299" t="s">
        <v>17</v>
      </c>
      <c r="F4299" t="s">
        <v>18</v>
      </c>
      <c r="G4299" t="s">
        <v>41</v>
      </c>
      <c r="H4299" t="s">
        <v>25</v>
      </c>
      <c r="I4299" s="1">
        <v>3</v>
      </c>
      <c r="J4299" s="2">
        <v>46111</v>
      </c>
      <c r="K4299" s="2">
        <v>46082</v>
      </c>
      <c r="L4299" s="1" t="str">
        <f t="shared" si="492"/>
        <v>seg</v>
      </c>
      <c r="M4299" s="1" t="str">
        <f t="shared" si="493"/>
        <v>mar</v>
      </c>
      <c r="N4299">
        <f t="shared" si="494"/>
        <v>2026</v>
      </c>
      <c r="O4299" s="2"/>
      <c r="P4299" t="str">
        <f t="shared" si="495"/>
        <v>189346111</v>
      </c>
    </row>
    <row r="4300" spans="1:16" x14ac:dyDescent="0.3">
      <c r="A4300">
        <v>1893</v>
      </c>
      <c r="B4300">
        <v>44</v>
      </c>
      <c r="C4300" t="s">
        <v>26</v>
      </c>
      <c r="D4300" t="s">
        <v>22</v>
      </c>
      <c r="E4300" t="s">
        <v>17</v>
      </c>
      <c r="F4300" t="s">
        <v>18</v>
      </c>
      <c r="G4300" t="s">
        <v>41</v>
      </c>
      <c r="H4300" t="s">
        <v>25</v>
      </c>
      <c r="I4300" s="1">
        <v>3</v>
      </c>
      <c r="J4300" s="2">
        <v>46181</v>
      </c>
      <c r="K4300" s="2">
        <v>46174</v>
      </c>
      <c r="L4300" s="1" t="str">
        <f t="shared" si="492"/>
        <v>seg</v>
      </c>
      <c r="M4300" s="1" t="str">
        <f t="shared" si="493"/>
        <v>jun</v>
      </c>
      <c r="N4300">
        <f t="shared" si="494"/>
        <v>2026</v>
      </c>
      <c r="O4300" s="2"/>
      <c r="P4300" t="str">
        <f t="shared" si="495"/>
        <v>189346181</v>
      </c>
    </row>
    <row r="4301" spans="1:16" x14ac:dyDescent="0.3">
      <c r="A4301">
        <v>1894</v>
      </c>
      <c r="B4301">
        <v>51</v>
      </c>
      <c r="C4301" t="s">
        <v>15</v>
      </c>
      <c r="D4301" t="s">
        <v>16</v>
      </c>
      <c r="E4301" t="s">
        <v>17</v>
      </c>
      <c r="F4301" t="s">
        <v>23</v>
      </c>
      <c r="G4301" t="s">
        <v>41</v>
      </c>
      <c r="H4301" t="s">
        <v>25</v>
      </c>
      <c r="I4301" s="1">
        <v>3</v>
      </c>
      <c r="J4301" s="2">
        <v>45840</v>
      </c>
      <c r="K4301" s="2">
        <v>45839</v>
      </c>
      <c r="L4301" s="1" t="str">
        <f t="shared" si="492"/>
        <v>qua</v>
      </c>
      <c r="M4301" s="1" t="str">
        <f t="shared" si="493"/>
        <v>jul</v>
      </c>
      <c r="N4301">
        <f t="shared" si="494"/>
        <v>2025</v>
      </c>
      <c r="O4301" s="2"/>
      <c r="P4301" t="str">
        <f t="shared" si="495"/>
        <v>189445840</v>
      </c>
    </row>
    <row r="4302" spans="1:16" x14ac:dyDescent="0.3">
      <c r="A4302">
        <v>1894</v>
      </c>
      <c r="B4302">
        <v>51</v>
      </c>
      <c r="C4302" t="s">
        <v>15</v>
      </c>
      <c r="D4302" t="s">
        <v>16</v>
      </c>
      <c r="E4302" t="s">
        <v>17</v>
      </c>
      <c r="F4302" t="s">
        <v>23</v>
      </c>
      <c r="G4302" t="s">
        <v>41</v>
      </c>
      <c r="H4302" t="s">
        <v>25</v>
      </c>
      <c r="I4302" s="1">
        <v>3</v>
      </c>
      <c r="J4302" s="2">
        <v>45864</v>
      </c>
      <c r="K4302" s="2">
        <v>45839</v>
      </c>
      <c r="L4302" s="1" t="str">
        <f t="shared" ref="L4302:L4365" si="496">TEXT(J4302,"ddd")</f>
        <v>sáb</v>
      </c>
      <c r="M4302" s="1" t="str">
        <f t="shared" ref="M4302:M4365" si="497">TEXT($J4302,"mmm")</f>
        <v>jul</v>
      </c>
      <c r="N4302">
        <f t="shared" ref="N4302:N4365" si="498">YEAR(J4302)</f>
        <v>2025</v>
      </c>
      <c r="O4302" s="2"/>
      <c r="P4302" t="str">
        <f t="shared" si="495"/>
        <v>189445864</v>
      </c>
    </row>
    <row r="4303" spans="1:16" x14ac:dyDescent="0.3">
      <c r="A4303">
        <v>1894</v>
      </c>
      <c r="B4303">
        <v>51</v>
      </c>
      <c r="C4303" t="s">
        <v>15</v>
      </c>
      <c r="D4303" t="s">
        <v>16</v>
      </c>
      <c r="E4303" t="s">
        <v>17</v>
      </c>
      <c r="F4303" t="s">
        <v>23</v>
      </c>
      <c r="G4303" t="s">
        <v>41</v>
      </c>
      <c r="H4303" t="s">
        <v>25</v>
      </c>
      <c r="I4303" s="1">
        <v>3</v>
      </c>
      <c r="J4303" s="2">
        <v>45917</v>
      </c>
      <c r="K4303" s="2">
        <v>45901</v>
      </c>
      <c r="L4303" s="1" t="str">
        <f t="shared" si="496"/>
        <v>qua</v>
      </c>
      <c r="M4303" s="1" t="str">
        <f t="shared" si="497"/>
        <v>set</v>
      </c>
      <c r="N4303">
        <f t="shared" si="498"/>
        <v>2025</v>
      </c>
      <c r="O4303" s="2"/>
      <c r="P4303" t="str">
        <f t="shared" si="495"/>
        <v>189445917</v>
      </c>
    </row>
    <row r="4304" spans="1:16" x14ac:dyDescent="0.3">
      <c r="A4304">
        <v>1894</v>
      </c>
      <c r="B4304">
        <v>51</v>
      </c>
      <c r="C4304" t="s">
        <v>15</v>
      </c>
      <c r="D4304" t="s">
        <v>16</v>
      </c>
      <c r="E4304" t="s">
        <v>17</v>
      </c>
      <c r="F4304" t="s">
        <v>23</v>
      </c>
      <c r="G4304" t="s">
        <v>41</v>
      </c>
      <c r="H4304" t="s">
        <v>25</v>
      </c>
      <c r="I4304" s="1">
        <v>3</v>
      </c>
      <c r="J4304" s="2">
        <v>45922</v>
      </c>
      <c r="K4304" s="2">
        <v>45901</v>
      </c>
      <c r="L4304" s="1" t="str">
        <f t="shared" si="496"/>
        <v>seg</v>
      </c>
      <c r="M4304" s="1" t="str">
        <f t="shared" si="497"/>
        <v>set</v>
      </c>
      <c r="N4304">
        <f t="shared" si="498"/>
        <v>2025</v>
      </c>
      <c r="O4304" s="2"/>
      <c r="P4304" t="str">
        <f t="shared" si="495"/>
        <v>189445922</v>
      </c>
    </row>
    <row r="4305" spans="1:16" x14ac:dyDescent="0.3">
      <c r="A4305">
        <v>1894</v>
      </c>
      <c r="B4305">
        <v>51</v>
      </c>
      <c r="C4305" t="s">
        <v>15</v>
      </c>
      <c r="D4305" t="s">
        <v>16</v>
      </c>
      <c r="E4305" t="s">
        <v>17</v>
      </c>
      <c r="F4305" t="s">
        <v>23</v>
      </c>
      <c r="G4305" t="s">
        <v>41</v>
      </c>
      <c r="H4305" t="s">
        <v>25</v>
      </c>
      <c r="I4305" s="1">
        <v>3</v>
      </c>
      <c r="J4305" s="2">
        <v>45971</v>
      </c>
      <c r="K4305" s="2">
        <v>45962</v>
      </c>
      <c r="L4305" s="1" t="str">
        <f t="shared" si="496"/>
        <v>seg</v>
      </c>
      <c r="M4305" s="1" t="str">
        <f t="shared" si="497"/>
        <v>nov</v>
      </c>
      <c r="N4305">
        <f t="shared" si="498"/>
        <v>2025</v>
      </c>
      <c r="O4305" s="2"/>
      <c r="P4305" t="str">
        <f t="shared" si="495"/>
        <v>189445971</v>
      </c>
    </row>
    <row r="4306" spans="1:16" x14ac:dyDescent="0.3">
      <c r="A4306">
        <v>1894</v>
      </c>
      <c r="B4306">
        <v>51</v>
      </c>
      <c r="C4306" t="s">
        <v>15</v>
      </c>
      <c r="D4306" t="s">
        <v>16</v>
      </c>
      <c r="E4306" t="s">
        <v>17</v>
      </c>
      <c r="F4306" t="s">
        <v>23</v>
      </c>
      <c r="G4306" t="s">
        <v>41</v>
      </c>
      <c r="H4306" t="s">
        <v>25</v>
      </c>
      <c r="I4306" s="1">
        <v>3</v>
      </c>
      <c r="J4306" s="2">
        <v>46183</v>
      </c>
      <c r="K4306" s="2">
        <v>46023</v>
      </c>
      <c r="L4306" s="1" t="str">
        <f t="shared" si="496"/>
        <v>qua</v>
      </c>
      <c r="M4306" s="1" t="str">
        <f t="shared" si="497"/>
        <v>jun</v>
      </c>
      <c r="N4306">
        <f t="shared" si="498"/>
        <v>2026</v>
      </c>
      <c r="O4306" s="2"/>
      <c r="P4306" t="str">
        <f t="shared" si="495"/>
        <v>189446183</v>
      </c>
    </row>
    <row r="4307" spans="1:16" x14ac:dyDescent="0.3">
      <c r="A4307">
        <v>1895</v>
      </c>
      <c r="B4307">
        <v>47</v>
      </c>
      <c r="C4307" t="s">
        <v>26</v>
      </c>
      <c r="D4307" t="s">
        <v>27</v>
      </c>
      <c r="E4307" t="s">
        <v>17</v>
      </c>
      <c r="F4307" t="s">
        <v>23</v>
      </c>
      <c r="G4307" t="s">
        <v>41</v>
      </c>
      <c r="H4307" t="s">
        <v>25</v>
      </c>
      <c r="I4307" s="1">
        <v>2</v>
      </c>
      <c r="J4307" s="2">
        <v>45819</v>
      </c>
      <c r="K4307" s="2">
        <v>45809</v>
      </c>
      <c r="L4307" s="1" t="str">
        <f t="shared" si="496"/>
        <v>qua</v>
      </c>
      <c r="M4307" s="1" t="str">
        <f t="shared" si="497"/>
        <v>jun</v>
      </c>
      <c r="N4307">
        <f t="shared" si="498"/>
        <v>2025</v>
      </c>
      <c r="O4307" s="2"/>
      <c r="P4307" t="str">
        <f t="shared" si="495"/>
        <v>189545819</v>
      </c>
    </row>
    <row r="4308" spans="1:16" x14ac:dyDescent="0.3">
      <c r="A4308">
        <v>1895</v>
      </c>
      <c r="B4308">
        <v>47</v>
      </c>
      <c r="C4308" t="s">
        <v>26</v>
      </c>
      <c r="D4308" t="s">
        <v>27</v>
      </c>
      <c r="E4308" t="s">
        <v>17</v>
      </c>
      <c r="F4308" t="s">
        <v>23</v>
      </c>
      <c r="G4308" t="s">
        <v>41</v>
      </c>
      <c r="H4308" t="s">
        <v>25</v>
      </c>
      <c r="I4308" s="1">
        <v>2</v>
      </c>
      <c r="J4308" s="2">
        <v>45870</v>
      </c>
      <c r="K4308" s="2">
        <v>45870</v>
      </c>
      <c r="L4308" s="1" t="str">
        <f t="shared" si="496"/>
        <v>sex</v>
      </c>
      <c r="M4308" s="1" t="str">
        <f t="shared" si="497"/>
        <v>ago</v>
      </c>
      <c r="N4308">
        <f t="shared" si="498"/>
        <v>2025</v>
      </c>
      <c r="O4308" s="2"/>
      <c r="P4308" t="str">
        <f t="shared" si="495"/>
        <v>189545870</v>
      </c>
    </row>
    <row r="4309" spans="1:16" x14ac:dyDescent="0.3">
      <c r="A4309">
        <v>1895</v>
      </c>
      <c r="B4309">
        <v>47</v>
      </c>
      <c r="C4309" t="s">
        <v>26</v>
      </c>
      <c r="D4309" t="s">
        <v>27</v>
      </c>
      <c r="E4309" t="s">
        <v>17</v>
      </c>
      <c r="F4309" t="s">
        <v>23</v>
      </c>
      <c r="G4309" t="s">
        <v>41</v>
      </c>
      <c r="H4309" t="s">
        <v>25</v>
      </c>
      <c r="I4309" s="1">
        <v>2</v>
      </c>
      <c r="J4309" s="2">
        <v>45907</v>
      </c>
      <c r="K4309" s="2">
        <v>45901</v>
      </c>
      <c r="L4309" s="1" t="str">
        <f t="shared" si="496"/>
        <v>dom</v>
      </c>
      <c r="M4309" s="1" t="str">
        <f t="shared" si="497"/>
        <v>set</v>
      </c>
      <c r="N4309">
        <f t="shared" si="498"/>
        <v>2025</v>
      </c>
      <c r="O4309" s="2"/>
      <c r="P4309" t="str">
        <f t="shared" si="495"/>
        <v>189545907</v>
      </c>
    </row>
    <row r="4310" spans="1:16" x14ac:dyDescent="0.3">
      <c r="A4310">
        <v>1895</v>
      </c>
      <c r="B4310">
        <v>47</v>
      </c>
      <c r="C4310" t="s">
        <v>26</v>
      </c>
      <c r="D4310" t="s">
        <v>27</v>
      </c>
      <c r="E4310" t="s">
        <v>17</v>
      </c>
      <c r="F4310" t="s">
        <v>23</v>
      </c>
      <c r="G4310" t="s">
        <v>41</v>
      </c>
      <c r="H4310" t="s">
        <v>25</v>
      </c>
      <c r="I4310" s="1">
        <v>2</v>
      </c>
      <c r="J4310" s="2">
        <v>45935</v>
      </c>
      <c r="K4310" s="2">
        <v>45931</v>
      </c>
      <c r="L4310" s="1" t="str">
        <f t="shared" si="496"/>
        <v>dom</v>
      </c>
      <c r="M4310" s="1" t="str">
        <f t="shared" si="497"/>
        <v>out</v>
      </c>
      <c r="N4310">
        <f t="shared" si="498"/>
        <v>2025</v>
      </c>
      <c r="O4310" s="2"/>
      <c r="P4310" t="str">
        <f t="shared" si="495"/>
        <v>189545935</v>
      </c>
    </row>
    <row r="4311" spans="1:16" x14ac:dyDescent="0.3">
      <c r="A4311">
        <v>1895</v>
      </c>
      <c r="B4311">
        <v>47</v>
      </c>
      <c r="C4311" t="s">
        <v>26</v>
      </c>
      <c r="D4311" t="s">
        <v>27</v>
      </c>
      <c r="E4311" t="s">
        <v>17</v>
      </c>
      <c r="F4311" t="s">
        <v>23</v>
      </c>
      <c r="G4311" t="s">
        <v>41</v>
      </c>
      <c r="H4311" t="s">
        <v>25</v>
      </c>
      <c r="I4311" s="1">
        <v>2</v>
      </c>
      <c r="J4311" s="2">
        <v>46080</v>
      </c>
      <c r="K4311" s="2">
        <v>46054</v>
      </c>
      <c r="L4311" s="1" t="str">
        <f t="shared" si="496"/>
        <v>sex</v>
      </c>
      <c r="M4311" s="1" t="str">
        <f t="shared" si="497"/>
        <v>fev</v>
      </c>
      <c r="N4311">
        <f t="shared" si="498"/>
        <v>2026</v>
      </c>
      <c r="O4311" s="2"/>
      <c r="P4311" t="str">
        <f t="shared" si="495"/>
        <v>189546080</v>
      </c>
    </row>
    <row r="4312" spans="1:16" x14ac:dyDescent="0.3">
      <c r="A4312">
        <v>1895</v>
      </c>
      <c r="B4312">
        <v>47</v>
      </c>
      <c r="C4312" t="s">
        <v>26</v>
      </c>
      <c r="D4312" t="s">
        <v>27</v>
      </c>
      <c r="E4312" t="s">
        <v>17</v>
      </c>
      <c r="F4312" t="s">
        <v>23</v>
      </c>
      <c r="G4312" t="s">
        <v>41</v>
      </c>
      <c r="H4312" t="s">
        <v>25</v>
      </c>
      <c r="I4312" s="1">
        <v>2</v>
      </c>
      <c r="J4312" s="2">
        <v>46081</v>
      </c>
      <c r="K4312" s="2">
        <v>46054</v>
      </c>
      <c r="L4312" s="1" t="str">
        <f t="shared" si="496"/>
        <v>sáb</v>
      </c>
      <c r="M4312" s="1" t="str">
        <f t="shared" si="497"/>
        <v>fev</v>
      </c>
      <c r="N4312">
        <f t="shared" si="498"/>
        <v>2026</v>
      </c>
      <c r="O4312" s="2"/>
      <c r="P4312" t="str">
        <f t="shared" si="495"/>
        <v>189546081</v>
      </c>
    </row>
    <row r="4313" spans="1:16" x14ac:dyDescent="0.3">
      <c r="A4313">
        <v>1897</v>
      </c>
      <c r="B4313">
        <v>32</v>
      </c>
      <c r="C4313" t="s">
        <v>15</v>
      </c>
      <c r="D4313" t="s">
        <v>16</v>
      </c>
      <c r="E4313" t="s">
        <v>17</v>
      </c>
      <c r="F4313" t="s">
        <v>18</v>
      </c>
      <c r="G4313" t="s">
        <v>41</v>
      </c>
      <c r="H4313" t="s">
        <v>25</v>
      </c>
      <c r="I4313" s="1">
        <v>3</v>
      </c>
      <c r="J4313" s="2">
        <v>45820</v>
      </c>
      <c r="K4313" s="2">
        <v>45809</v>
      </c>
      <c r="L4313" s="1" t="str">
        <f t="shared" si="496"/>
        <v>qui</v>
      </c>
      <c r="M4313" s="1" t="str">
        <f t="shared" si="497"/>
        <v>jun</v>
      </c>
      <c r="N4313">
        <f t="shared" si="498"/>
        <v>2025</v>
      </c>
      <c r="O4313" s="2"/>
      <c r="P4313" t="str">
        <f t="shared" si="495"/>
        <v>189745820</v>
      </c>
    </row>
    <row r="4314" spans="1:16" x14ac:dyDescent="0.3">
      <c r="A4314">
        <v>1897</v>
      </c>
      <c r="B4314">
        <v>32</v>
      </c>
      <c r="C4314" t="s">
        <v>15</v>
      </c>
      <c r="D4314" t="s">
        <v>16</v>
      </c>
      <c r="E4314" t="s">
        <v>17</v>
      </c>
      <c r="F4314" t="s">
        <v>18</v>
      </c>
      <c r="G4314" t="s">
        <v>41</v>
      </c>
      <c r="H4314" t="s">
        <v>25</v>
      </c>
      <c r="I4314" s="1">
        <v>3</v>
      </c>
      <c r="J4314" s="2">
        <v>45865</v>
      </c>
      <c r="K4314" s="2">
        <v>45839</v>
      </c>
      <c r="L4314" s="1" t="str">
        <f t="shared" si="496"/>
        <v>dom</v>
      </c>
      <c r="M4314" s="1" t="str">
        <f t="shared" si="497"/>
        <v>jul</v>
      </c>
      <c r="N4314">
        <f t="shared" si="498"/>
        <v>2025</v>
      </c>
      <c r="O4314" s="2"/>
      <c r="P4314" t="str">
        <f t="shared" si="495"/>
        <v>189745865</v>
      </c>
    </row>
    <row r="4315" spans="1:16" x14ac:dyDescent="0.3">
      <c r="A4315">
        <v>1897</v>
      </c>
      <c r="B4315">
        <v>32</v>
      </c>
      <c r="C4315" t="s">
        <v>15</v>
      </c>
      <c r="D4315" t="s">
        <v>16</v>
      </c>
      <c r="E4315" t="s">
        <v>17</v>
      </c>
      <c r="F4315" t="s">
        <v>18</v>
      </c>
      <c r="G4315" t="s">
        <v>41</v>
      </c>
      <c r="H4315" t="s">
        <v>25</v>
      </c>
      <c r="I4315" s="1">
        <v>3</v>
      </c>
      <c r="J4315" s="2">
        <v>45887</v>
      </c>
      <c r="K4315" s="2">
        <v>45870</v>
      </c>
      <c r="L4315" s="1" t="str">
        <f t="shared" si="496"/>
        <v>seg</v>
      </c>
      <c r="M4315" s="1" t="str">
        <f t="shared" si="497"/>
        <v>ago</v>
      </c>
      <c r="N4315">
        <f t="shared" si="498"/>
        <v>2025</v>
      </c>
      <c r="O4315" s="2"/>
      <c r="P4315" t="str">
        <f t="shared" si="495"/>
        <v>189745887</v>
      </c>
    </row>
    <row r="4316" spans="1:16" x14ac:dyDescent="0.3">
      <c r="A4316">
        <v>1897</v>
      </c>
      <c r="B4316">
        <v>32</v>
      </c>
      <c r="C4316" t="s">
        <v>15</v>
      </c>
      <c r="D4316" t="s">
        <v>16</v>
      </c>
      <c r="E4316" t="s">
        <v>17</v>
      </c>
      <c r="F4316" t="s">
        <v>18</v>
      </c>
      <c r="G4316" t="s">
        <v>41</v>
      </c>
      <c r="H4316" t="s">
        <v>25</v>
      </c>
      <c r="I4316" s="1">
        <v>3</v>
      </c>
      <c r="J4316" s="2">
        <v>45970</v>
      </c>
      <c r="K4316" s="2">
        <v>45962</v>
      </c>
      <c r="L4316" s="1" t="str">
        <f t="shared" si="496"/>
        <v>dom</v>
      </c>
      <c r="M4316" s="1" t="str">
        <f t="shared" si="497"/>
        <v>nov</v>
      </c>
      <c r="N4316">
        <f t="shared" si="498"/>
        <v>2025</v>
      </c>
      <c r="O4316" s="2"/>
      <c r="P4316" t="str">
        <f t="shared" si="495"/>
        <v>189745970</v>
      </c>
    </row>
    <row r="4317" spans="1:16" x14ac:dyDescent="0.3">
      <c r="A4317">
        <v>1897</v>
      </c>
      <c r="B4317">
        <v>32</v>
      </c>
      <c r="C4317" t="s">
        <v>15</v>
      </c>
      <c r="D4317" t="s">
        <v>16</v>
      </c>
      <c r="E4317" t="s">
        <v>17</v>
      </c>
      <c r="F4317" t="s">
        <v>18</v>
      </c>
      <c r="G4317" t="s">
        <v>41</v>
      </c>
      <c r="H4317" t="s">
        <v>25</v>
      </c>
      <c r="I4317" s="1">
        <v>3</v>
      </c>
      <c r="J4317" s="2">
        <v>46021</v>
      </c>
      <c r="K4317" s="2">
        <v>45992</v>
      </c>
      <c r="L4317" s="1" t="str">
        <f t="shared" si="496"/>
        <v>ter</v>
      </c>
      <c r="M4317" s="1" t="str">
        <f t="shared" si="497"/>
        <v>dez</v>
      </c>
      <c r="N4317">
        <f t="shared" si="498"/>
        <v>2025</v>
      </c>
      <c r="O4317" s="2"/>
      <c r="P4317" t="str">
        <f t="shared" si="495"/>
        <v>189746021</v>
      </c>
    </row>
    <row r="4318" spans="1:16" x14ac:dyDescent="0.3">
      <c r="A4318">
        <v>1897</v>
      </c>
      <c r="B4318">
        <v>32</v>
      </c>
      <c r="C4318" t="s">
        <v>15</v>
      </c>
      <c r="D4318" t="s">
        <v>16</v>
      </c>
      <c r="E4318" t="s">
        <v>17</v>
      </c>
      <c r="F4318" t="s">
        <v>18</v>
      </c>
      <c r="G4318" t="s">
        <v>41</v>
      </c>
      <c r="H4318" t="s">
        <v>25</v>
      </c>
      <c r="I4318" s="1">
        <v>3</v>
      </c>
      <c r="J4318" s="2">
        <v>46084</v>
      </c>
      <c r="K4318" s="2">
        <v>46082</v>
      </c>
      <c r="L4318" s="1" t="str">
        <f t="shared" si="496"/>
        <v>ter</v>
      </c>
      <c r="M4318" s="1" t="str">
        <f t="shared" si="497"/>
        <v>mar</v>
      </c>
      <c r="N4318">
        <f t="shared" si="498"/>
        <v>2026</v>
      </c>
      <c r="O4318" s="2"/>
      <c r="P4318" t="str">
        <f t="shared" si="495"/>
        <v>189746084</v>
      </c>
    </row>
    <row r="4319" spans="1:16" x14ac:dyDescent="0.3">
      <c r="A4319">
        <v>1898</v>
      </c>
      <c r="B4319">
        <v>56</v>
      </c>
      <c r="C4319" t="s">
        <v>26</v>
      </c>
      <c r="D4319" t="s">
        <v>27</v>
      </c>
      <c r="E4319" t="s">
        <v>17</v>
      </c>
      <c r="F4319" t="s">
        <v>21</v>
      </c>
      <c r="G4319" t="s">
        <v>41</v>
      </c>
      <c r="H4319" t="s">
        <v>25</v>
      </c>
      <c r="I4319" s="1">
        <v>2</v>
      </c>
      <c r="J4319" s="2">
        <v>45811</v>
      </c>
      <c r="K4319" s="2">
        <v>45809</v>
      </c>
      <c r="L4319" s="1" t="str">
        <f t="shared" si="496"/>
        <v>ter</v>
      </c>
      <c r="M4319" s="1" t="str">
        <f t="shared" si="497"/>
        <v>jun</v>
      </c>
      <c r="N4319">
        <f t="shared" si="498"/>
        <v>2025</v>
      </c>
      <c r="O4319" s="2"/>
      <c r="P4319" t="str">
        <f t="shared" si="495"/>
        <v>189845811</v>
      </c>
    </row>
    <row r="4320" spans="1:16" x14ac:dyDescent="0.3">
      <c r="A4320">
        <v>1898</v>
      </c>
      <c r="B4320">
        <v>56</v>
      </c>
      <c r="C4320" t="s">
        <v>26</v>
      </c>
      <c r="D4320" t="s">
        <v>27</v>
      </c>
      <c r="E4320" t="s">
        <v>17</v>
      </c>
      <c r="F4320" t="s">
        <v>21</v>
      </c>
      <c r="G4320" t="s">
        <v>41</v>
      </c>
      <c r="H4320" t="s">
        <v>25</v>
      </c>
      <c r="I4320" s="1">
        <v>2</v>
      </c>
      <c r="J4320" s="2">
        <v>45889</v>
      </c>
      <c r="K4320" s="2">
        <v>45870</v>
      </c>
      <c r="L4320" s="1" t="str">
        <f t="shared" si="496"/>
        <v>qua</v>
      </c>
      <c r="M4320" s="1" t="str">
        <f t="shared" si="497"/>
        <v>ago</v>
      </c>
      <c r="N4320">
        <f t="shared" si="498"/>
        <v>2025</v>
      </c>
      <c r="O4320" s="2"/>
      <c r="P4320" t="str">
        <f t="shared" si="495"/>
        <v>189845889</v>
      </c>
    </row>
    <row r="4321" spans="1:16" x14ac:dyDescent="0.3">
      <c r="A4321">
        <v>1898</v>
      </c>
      <c r="B4321">
        <v>56</v>
      </c>
      <c r="C4321" t="s">
        <v>26</v>
      </c>
      <c r="D4321" t="s">
        <v>27</v>
      </c>
      <c r="E4321" t="s">
        <v>17</v>
      </c>
      <c r="F4321" t="s">
        <v>21</v>
      </c>
      <c r="G4321" t="s">
        <v>41</v>
      </c>
      <c r="H4321" t="s">
        <v>25</v>
      </c>
      <c r="I4321" s="1">
        <v>2</v>
      </c>
      <c r="J4321" s="2">
        <v>46199</v>
      </c>
      <c r="K4321" s="2">
        <v>46023</v>
      </c>
      <c r="L4321" s="1" t="str">
        <f t="shared" si="496"/>
        <v>sex</v>
      </c>
      <c r="M4321" s="1" t="str">
        <f t="shared" si="497"/>
        <v>jun</v>
      </c>
      <c r="N4321">
        <f t="shared" si="498"/>
        <v>2026</v>
      </c>
      <c r="O4321" s="2"/>
      <c r="P4321" t="str">
        <f t="shared" si="495"/>
        <v>189846199</v>
      </c>
    </row>
    <row r="4322" spans="1:16" x14ac:dyDescent="0.3">
      <c r="A4322">
        <v>1899</v>
      </c>
      <c r="B4322">
        <v>37</v>
      </c>
      <c r="C4322" t="s">
        <v>26</v>
      </c>
      <c r="D4322" t="s">
        <v>29</v>
      </c>
      <c r="E4322" t="s">
        <v>17</v>
      </c>
      <c r="F4322" t="s">
        <v>23</v>
      </c>
      <c r="G4322" t="s">
        <v>41</v>
      </c>
      <c r="H4322" t="s">
        <v>25</v>
      </c>
      <c r="I4322" s="1">
        <v>3</v>
      </c>
      <c r="J4322" s="2">
        <v>45849</v>
      </c>
      <c r="K4322" s="2">
        <v>45839</v>
      </c>
      <c r="L4322" s="1" t="str">
        <f t="shared" si="496"/>
        <v>sex</v>
      </c>
      <c r="M4322" s="1" t="str">
        <f t="shared" si="497"/>
        <v>jul</v>
      </c>
      <c r="N4322">
        <f t="shared" si="498"/>
        <v>2025</v>
      </c>
      <c r="O4322" s="2"/>
      <c r="P4322" t="str">
        <f t="shared" si="495"/>
        <v>189945849</v>
      </c>
    </row>
    <row r="4323" spans="1:16" x14ac:dyDescent="0.3">
      <c r="A4323">
        <v>1899</v>
      </c>
      <c r="B4323">
        <v>37</v>
      </c>
      <c r="C4323" t="s">
        <v>26</v>
      </c>
      <c r="D4323" t="s">
        <v>29</v>
      </c>
      <c r="E4323" t="s">
        <v>17</v>
      </c>
      <c r="F4323" t="s">
        <v>23</v>
      </c>
      <c r="G4323" t="s">
        <v>41</v>
      </c>
      <c r="H4323" t="s">
        <v>25</v>
      </c>
      <c r="I4323" s="1">
        <v>3</v>
      </c>
      <c r="J4323" s="2">
        <v>45890</v>
      </c>
      <c r="K4323" s="2">
        <v>45870</v>
      </c>
      <c r="L4323" s="1" t="str">
        <f t="shared" si="496"/>
        <v>qui</v>
      </c>
      <c r="M4323" s="1" t="str">
        <f t="shared" si="497"/>
        <v>ago</v>
      </c>
      <c r="N4323">
        <f t="shared" si="498"/>
        <v>2025</v>
      </c>
      <c r="O4323" s="2"/>
      <c r="P4323" t="str">
        <f t="shared" si="495"/>
        <v>189945890</v>
      </c>
    </row>
    <row r="4324" spans="1:16" x14ac:dyDescent="0.3">
      <c r="A4324">
        <v>1899</v>
      </c>
      <c r="B4324">
        <v>37</v>
      </c>
      <c r="C4324" t="s">
        <v>26</v>
      </c>
      <c r="D4324" t="s">
        <v>29</v>
      </c>
      <c r="E4324" t="s">
        <v>17</v>
      </c>
      <c r="F4324" t="s">
        <v>23</v>
      </c>
      <c r="G4324" t="s">
        <v>41</v>
      </c>
      <c r="H4324" t="s">
        <v>25</v>
      </c>
      <c r="I4324" s="1">
        <v>3</v>
      </c>
      <c r="J4324" s="2">
        <v>45982</v>
      </c>
      <c r="K4324" s="2">
        <v>45962</v>
      </c>
      <c r="L4324" s="1" t="str">
        <f t="shared" si="496"/>
        <v>sex</v>
      </c>
      <c r="M4324" s="1" t="str">
        <f t="shared" si="497"/>
        <v>nov</v>
      </c>
      <c r="N4324">
        <f t="shared" si="498"/>
        <v>2025</v>
      </c>
      <c r="O4324" s="2"/>
      <c r="P4324" t="str">
        <f t="shared" si="495"/>
        <v>189945982</v>
      </c>
    </row>
    <row r="4325" spans="1:16" x14ac:dyDescent="0.3">
      <c r="A4325">
        <v>1899</v>
      </c>
      <c r="B4325">
        <v>37</v>
      </c>
      <c r="C4325" t="s">
        <v>26</v>
      </c>
      <c r="D4325" t="s">
        <v>29</v>
      </c>
      <c r="E4325" t="s">
        <v>17</v>
      </c>
      <c r="F4325" t="s">
        <v>23</v>
      </c>
      <c r="G4325" t="s">
        <v>41</v>
      </c>
      <c r="H4325" t="s">
        <v>25</v>
      </c>
      <c r="I4325" s="1">
        <v>3</v>
      </c>
      <c r="J4325" s="2">
        <v>45991</v>
      </c>
      <c r="K4325" s="2">
        <v>45962</v>
      </c>
      <c r="L4325" s="1" t="str">
        <f t="shared" si="496"/>
        <v>dom</v>
      </c>
      <c r="M4325" s="1" t="str">
        <f t="shared" si="497"/>
        <v>nov</v>
      </c>
      <c r="N4325">
        <f t="shared" si="498"/>
        <v>2025</v>
      </c>
      <c r="O4325" s="2"/>
      <c r="P4325" t="str">
        <f t="shared" si="495"/>
        <v>189945991</v>
      </c>
    </row>
    <row r="4326" spans="1:16" x14ac:dyDescent="0.3">
      <c r="A4326">
        <v>1899</v>
      </c>
      <c r="B4326">
        <v>37</v>
      </c>
      <c r="C4326" t="s">
        <v>26</v>
      </c>
      <c r="D4326" t="s">
        <v>29</v>
      </c>
      <c r="E4326" t="s">
        <v>17</v>
      </c>
      <c r="F4326" t="s">
        <v>23</v>
      </c>
      <c r="G4326" t="s">
        <v>41</v>
      </c>
      <c r="H4326" t="s">
        <v>25</v>
      </c>
      <c r="I4326" s="1">
        <v>3</v>
      </c>
      <c r="J4326" s="2">
        <v>46093</v>
      </c>
      <c r="K4326" s="2">
        <v>46082</v>
      </c>
      <c r="L4326" s="1" t="str">
        <f t="shared" si="496"/>
        <v>qui</v>
      </c>
      <c r="M4326" s="1" t="str">
        <f t="shared" si="497"/>
        <v>mar</v>
      </c>
      <c r="N4326">
        <f t="shared" si="498"/>
        <v>2026</v>
      </c>
      <c r="O4326" s="2"/>
      <c r="P4326" t="str">
        <f t="shared" si="495"/>
        <v>189946093</v>
      </c>
    </row>
    <row r="4327" spans="1:16" x14ac:dyDescent="0.3">
      <c r="A4327">
        <v>1900</v>
      </c>
      <c r="B4327">
        <v>39</v>
      </c>
      <c r="C4327" t="s">
        <v>26</v>
      </c>
      <c r="D4327" t="s">
        <v>27</v>
      </c>
      <c r="E4327" t="s">
        <v>17</v>
      </c>
      <c r="F4327" t="s">
        <v>18</v>
      </c>
      <c r="G4327" t="s">
        <v>41</v>
      </c>
      <c r="H4327" t="s">
        <v>25</v>
      </c>
      <c r="I4327" s="1">
        <v>2</v>
      </c>
      <c r="J4327" s="2">
        <v>45892</v>
      </c>
      <c r="K4327" s="2">
        <v>45870</v>
      </c>
      <c r="L4327" s="1" t="str">
        <f t="shared" si="496"/>
        <v>sáb</v>
      </c>
      <c r="M4327" s="1" t="str">
        <f t="shared" si="497"/>
        <v>ago</v>
      </c>
      <c r="N4327">
        <f t="shared" si="498"/>
        <v>2025</v>
      </c>
      <c r="O4327" s="2"/>
      <c r="P4327" t="str">
        <f t="shared" si="495"/>
        <v>190045892</v>
      </c>
    </row>
    <row r="4328" spans="1:16" x14ac:dyDescent="0.3">
      <c r="A4328">
        <v>1900</v>
      </c>
      <c r="B4328">
        <v>39</v>
      </c>
      <c r="C4328" t="s">
        <v>26</v>
      </c>
      <c r="D4328" t="s">
        <v>27</v>
      </c>
      <c r="E4328" t="s">
        <v>17</v>
      </c>
      <c r="F4328" t="s">
        <v>18</v>
      </c>
      <c r="G4328" t="s">
        <v>41</v>
      </c>
      <c r="H4328" t="s">
        <v>25</v>
      </c>
      <c r="I4328" s="1">
        <v>2</v>
      </c>
      <c r="J4328" s="2">
        <v>45897</v>
      </c>
      <c r="K4328" s="2">
        <v>45870</v>
      </c>
      <c r="L4328" s="1" t="str">
        <f t="shared" si="496"/>
        <v>qui</v>
      </c>
      <c r="M4328" s="1" t="str">
        <f t="shared" si="497"/>
        <v>ago</v>
      </c>
      <c r="N4328">
        <f t="shared" si="498"/>
        <v>2025</v>
      </c>
      <c r="O4328" s="2"/>
      <c r="P4328" t="str">
        <f t="shared" si="495"/>
        <v>190045897</v>
      </c>
    </row>
    <row r="4329" spans="1:16" x14ac:dyDescent="0.3">
      <c r="A4329">
        <v>1900</v>
      </c>
      <c r="B4329">
        <v>39</v>
      </c>
      <c r="C4329" t="s">
        <v>26</v>
      </c>
      <c r="D4329" t="s">
        <v>27</v>
      </c>
      <c r="E4329" t="s">
        <v>17</v>
      </c>
      <c r="F4329" t="s">
        <v>18</v>
      </c>
      <c r="G4329" t="s">
        <v>41</v>
      </c>
      <c r="H4329" t="s">
        <v>25</v>
      </c>
      <c r="I4329" s="1">
        <v>2</v>
      </c>
      <c r="J4329" s="2">
        <v>45930</v>
      </c>
      <c r="K4329" s="2">
        <v>45901</v>
      </c>
      <c r="L4329" s="1" t="str">
        <f t="shared" si="496"/>
        <v>ter</v>
      </c>
      <c r="M4329" s="1" t="str">
        <f t="shared" si="497"/>
        <v>set</v>
      </c>
      <c r="N4329">
        <f t="shared" si="498"/>
        <v>2025</v>
      </c>
      <c r="O4329" s="2"/>
      <c r="P4329" t="str">
        <f t="shared" si="495"/>
        <v>190045930</v>
      </c>
    </row>
    <row r="4330" spans="1:16" x14ac:dyDescent="0.3">
      <c r="A4330">
        <v>1900</v>
      </c>
      <c r="B4330">
        <v>39</v>
      </c>
      <c r="C4330" t="s">
        <v>26</v>
      </c>
      <c r="D4330" t="s">
        <v>27</v>
      </c>
      <c r="E4330" t="s">
        <v>17</v>
      </c>
      <c r="F4330" t="s">
        <v>18</v>
      </c>
      <c r="G4330" t="s">
        <v>41</v>
      </c>
      <c r="H4330" t="s">
        <v>25</v>
      </c>
      <c r="I4330" s="1">
        <v>2</v>
      </c>
      <c r="J4330" s="2">
        <v>46198</v>
      </c>
      <c r="K4330" s="2">
        <v>46023</v>
      </c>
      <c r="L4330" s="1" t="str">
        <f t="shared" si="496"/>
        <v>qui</v>
      </c>
      <c r="M4330" s="1" t="str">
        <f t="shared" si="497"/>
        <v>jun</v>
      </c>
      <c r="N4330">
        <f t="shared" si="498"/>
        <v>2026</v>
      </c>
      <c r="O4330" s="2"/>
      <c r="P4330" t="str">
        <f t="shared" si="495"/>
        <v>190046198</v>
      </c>
    </row>
    <row r="4331" spans="1:16" x14ac:dyDescent="0.3">
      <c r="A4331">
        <v>1900</v>
      </c>
      <c r="B4331">
        <v>39</v>
      </c>
      <c r="C4331" t="s">
        <v>26</v>
      </c>
      <c r="D4331" t="s">
        <v>27</v>
      </c>
      <c r="E4331" t="s">
        <v>17</v>
      </c>
      <c r="F4331" t="s">
        <v>18</v>
      </c>
      <c r="G4331" t="s">
        <v>41</v>
      </c>
      <c r="H4331" t="s">
        <v>25</v>
      </c>
      <c r="I4331" s="1">
        <v>2</v>
      </c>
      <c r="J4331" s="2">
        <v>46070</v>
      </c>
      <c r="K4331" s="2">
        <v>46054</v>
      </c>
      <c r="L4331" s="1" t="str">
        <f t="shared" si="496"/>
        <v>ter</v>
      </c>
      <c r="M4331" s="1" t="str">
        <f t="shared" si="497"/>
        <v>fev</v>
      </c>
      <c r="N4331">
        <f t="shared" si="498"/>
        <v>2026</v>
      </c>
      <c r="O4331" s="2"/>
      <c r="P4331" t="str">
        <f t="shared" si="495"/>
        <v>190046070</v>
      </c>
    </row>
    <row r="4332" spans="1:16" x14ac:dyDescent="0.3">
      <c r="A4332">
        <v>1901</v>
      </c>
      <c r="B4332">
        <v>58</v>
      </c>
      <c r="C4332" t="s">
        <v>15</v>
      </c>
      <c r="D4332" t="s">
        <v>16</v>
      </c>
      <c r="E4332" t="s">
        <v>17</v>
      </c>
      <c r="F4332" t="s">
        <v>18</v>
      </c>
      <c r="G4332" t="s">
        <v>41</v>
      </c>
      <c r="H4332" t="s">
        <v>25</v>
      </c>
      <c r="I4332" s="1">
        <v>2</v>
      </c>
      <c r="J4332" s="2">
        <v>45970</v>
      </c>
      <c r="K4332" s="2">
        <v>45962</v>
      </c>
      <c r="L4332" s="1" t="str">
        <f t="shared" si="496"/>
        <v>dom</v>
      </c>
      <c r="M4332" s="1" t="str">
        <f t="shared" si="497"/>
        <v>nov</v>
      </c>
      <c r="N4332">
        <f t="shared" si="498"/>
        <v>2025</v>
      </c>
      <c r="O4332" s="2"/>
      <c r="P4332" t="str">
        <f t="shared" si="495"/>
        <v>190145970</v>
      </c>
    </row>
    <row r="4333" spans="1:16" x14ac:dyDescent="0.3">
      <c r="A4333">
        <v>1901</v>
      </c>
      <c r="B4333">
        <v>58</v>
      </c>
      <c r="C4333" t="s">
        <v>15</v>
      </c>
      <c r="D4333" t="s">
        <v>16</v>
      </c>
      <c r="E4333" t="s">
        <v>17</v>
      </c>
      <c r="F4333" t="s">
        <v>18</v>
      </c>
      <c r="G4333" t="s">
        <v>41</v>
      </c>
      <c r="H4333" t="s">
        <v>25</v>
      </c>
      <c r="I4333" s="1">
        <v>2</v>
      </c>
      <c r="J4333" s="2">
        <v>45983</v>
      </c>
      <c r="K4333" s="2">
        <v>45962</v>
      </c>
      <c r="L4333" s="1" t="str">
        <f t="shared" si="496"/>
        <v>sáb</v>
      </c>
      <c r="M4333" s="1" t="str">
        <f t="shared" si="497"/>
        <v>nov</v>
      </c>
      <c r="N4333">
        <f t="shared" si="498"/>
        <v>2025</v>
      </c>
      <c r="O4333" s="2"/>
      <c r="P4333" t="str">
        <f t="shared" si="495"/>
        <v>190145983</v>
      </c>
    </row>
    <row r="4334" spans="1:16" x14ac:dyDescent="0.3">
      <c r="A4334">
        <v>1901</v>
      </c>
      <c r="B4334">
        <v>58</v>
      </c>
      <c r="C4334" t="s">
        <v>15</v>
      </c>
      <c r="D4334" t="s">
        <v>16</v>
      </c>
      <c r="E4334" t="s">
        <v>17</v>
      </c>
      <c r="F4334" t="s">
        <v>18</v>
      </c>
      <c r="G4334" t="s">
        <v>41</v>
      </c>
      <c r="H4334" t="s">
        <v>25</v>
      </c>
      <c r="I4334" s="1">
        <v>2</v>
      </c>
      <c r="J4334" s="2">
        <v>45988</v>
      </c>
      <c r="K4334" s="2">
        <v>45962</v>
      </c>
      <c r="L4334" s="1" t="str">
        <f t="shared" si="496"/>
        <v>qui</v>
      </c>
      <c r="M4334" s="1" t="str">
        <f t="shared" si="497"/>
        <v>nov</v>
      </c>
      <c r="N4334">
        <f t="shared" si="498"/>
        <v>2025</v>
      </c>
      <c r="O4334" s="2"/>
      <c r="P4334" t="str">
        <f t="shared" si="495"/>
        <v>190145988</v>
      </c>
    </row>
    <row r="4335" spans="1:16" x14ac:dyDescent="0.3">
      <c r="A4335">
        <v>1901</v>
      </c>
      <c r="B4335">
        <v>58</v>
      </c>
      <c r="C4335" t="s">
        <v>15</v>
      </c>
      <c r="D4335" t="s">
        <v>16</v>
      </c>
      <c r="E4335" t="s">
        <v>17</v>
      </c>
      <c r="F4335" t="s">
        <v>18</v>
      </c>
      <c r="G4335" t="s">
        <v>41</v>
      </c>
      <c r="H4335" t="s">
        <v>25</v>
      </c>
      <c r="I4335" s="1">
        <v>2</v>
      </c>
      <c r="J4335" s="2">
        <v>46201</v>
      </c>
      <c r="K4335" s="2">
        <v>46023</v>
      </c>
      <c r="L4335" s="1" t="str">
        <f t="shared" si="496"/>
        <v>dom</v>
      </c>
      <c r="M4335" s="1" t="str">
        <f t="shared" si="497"/>
        <v>jun</v>
      </c>
      <c r="N4335">
        <f t="shared" si="498"/>
        <v>2026</v>
      </c>
      <c r="O4335" s="2"/>
      <c r="P4335" t="str">
        <f t="shared" si="495"/>
        <v>190146201</v>
      </c>
    </row>
    <row r="4336" spans="1:16" x14ac:dyDescent="0.3">
      <c r="A4336">
        <v>1901</v>
      </c>
      <c r="B4336">
        <v>58</v>
      </c>
      <c r="C4336" t="s">
        <v>15</v>
      </c>
      <c r="D4336" t="s">
        <v>16</v>
      </c>
      <c r="E4336" t="s">
        <v>17</v>
      </c>
      <c r="F4336" t="s">
        <v>18</v>
      </c>
      <c r="G4336" t="s">
        <v>41</v>
      </c>
      <c r="H4336" t="s">
        <v>25</v>
      </c>
      <c r="I4336" s="1">
        <v>2</v>
      </c>
      <c r="J4336" s="2">
        <v>46084</v>
      </c>
      <c r="K4336" s="2">
        <v>46082</v>
      </c>
      <c r="L4336" s="1" t="str">
        <f t="shared" si="496"/>
        <v>ter</v>
      </c>
      <c r="M4336" s="1" t="str">
        <f t="shared" si="497"/>
        <v>mar</v>
      </c>
      <c r="N4336">
        <f t="shared" si="498"/>
        <v>2026</v>
      </c>
      <c r="O4336" s="2"/>
      <c r="P4336" t="str">
        <f t="shared" si="495"/>
        <v>190146084</v>
      </c>
    </row>
    <row r="4337" spans="1:16" x14ac:dyDescent="0.3">
      <c r="A4337">
        <v>1901</v>
      </c>
      <c r="B4337">
        <v>58</v>
      </c>
      <c r="C4337" t="s">
        <v>15</v>
      </c>
      <c r="D4337" t="s">
        <v>16</v>
      </c>
      <c r="E4337" t="s">
        <v>17</v>
      </c>
      <c r="F4337" t="s">
        <v>18</v>
      </c>
      <c r="G4337" t="s">
        <v>41</v>
      </c>
      <c r="H4337" t="s">
        <v>25</v>
      </c>
      <c r="I4337" s="1">
        <v>2</v>
      </c>
      <c r="J4337" s="2">
        <v>46096</v>
      </c>
      <c r="K4337" s="2">
        <v>46082</v>
      </c>
      <c r="L4337" s="1" t="str">
        <f t="shared" si="496"/>
        <v>dom</v>
      </c>
      <c r="M4337" s="1" t="str">
        <f t="shared" si="497"/>
        <v>mar</v>
      </c>
      <c r="N4337">
        <f t="shared" si="498"/>
        <v>2026</v>
      </c>
      <c r="O4337" s="2"/>
      <c r="P4337" t="str">
        <f t="shared" si="495"/>
        <v>190146096</v>
      </c>
    </row>
    <row r="4338" spans="1:16" x14ac:dyDescent="0.3">
      <c r="A4338">
        <v>1902</v>
      </c>
      <c r="B4338">
        <v>23</v>
      </c>
      <c r="C4338" t="s">
        <v>15</v>
      </c>
      <c r="D4338" t="s">
        <v>16</v>
      </c>
      <c r="E4338" t="s">
        <v>17</v>
      </c>
      <c r="F4338" t="s">
        <v>21</v>
      </c>
      <c r="G4338" t="s">
        <v>41</v>
      </c>
      <c r="H4338" t="s">
        <v>25</v>
      </c>
      <c r="I4338" s="1">
        <v>3</v>
      </c>
      <c r="J4338" s="2">
        <v>45840</v>
      </c>
      <c r="K4338" s="2">
        <v>45839</v>
      </c>
      <c r="L4338" s="1" t="str">
        <f t="shared" si="496"/>
        <v>qua</v>
      </c>
      <c r="M4338" s="1" t="str">
        <f t="shared" si="497"/>
        <v>jul</v>
      </c>
      <c r="N4338">
        <f t="shared" si="498"/>
        <v>2025</v>
      </c>
      <c r="O4338" s="2"/>
      <c r="P4338" t="str">
        <f t="shared" si="495"/>
        <v>190245840</v>
      </c>
    </row>
    <row r="4339" spans="1:16" x14ac:dyDescent="0.3">
      <c r="A4339">
        <v>1902</v>
      </c>
      <c r="B4339">
        <v>23</v>
      </c>
      <c r="C4339" t="s">
        <v>15</v>
      </c>
      <c r="D4339" t="s">
        <v>16</v>
      </c>
      <c r="E4339" t="s">
        <v>17</v>
      </c>
      <c r="F4339" t="s">
        <v>21</v>
      </c>
      <c r="G4339" t="s">
        <v>41</v>
      </c>
      <c r="H4339" t="s">
        <v>25</v>
      </c>
      <c r="I4339" s="1">
        <v>3</v>
      </c>
      <c r="J4339" s="2">
        <v>45944</v>
      </c>
      <c r="K4339" s="2">
        <v>45931</v>
      </c>
      <c r="L4339" s="1" t="str">
        <f t="shared" si="496"/>
        <v>ter</v>
      </c>
      <c r="M4339" s="1" t="str">
        <f t="shared" si="497"/>
        <v>out</v>
      </c>
      <c r="N4339">
        <f t="shared" si="498"/>
        <v>2025</v>
      </c>
      <c r="O4339" s="2"/>
      <c r="P4339" t="str">
        <f t="shared" si="495"/>
        <v>190245944</v>
      </c>
    </row>
    <row r="4340" spans="1:16" x14ac:dyDescent="0.3">
      <c r="A4340">
        <v>1902</v>
      </c>
      <c r="B4340">
        <v>23</v>
      </c>
      <c r="C4340" t="s">
        <v>15</v>
      </c>
      <c r="D4340" t="s">
        <v>16</v>
      </c>
      <c r="E4340" t="s">
        <v>17</v>
      </c>
      <c r="F4340" t="s">
        <v>21</v>
      </c>
      <c r="G4340" t="s">
        <v>41</v>
      </c>
      <c r="H4340" t="s">
        <v>25</v>
      </c>
      <c r="I4340" s="1">
        <v>3</v>
      </c>
      <c r="J4340" s="2">
        <v>45985</v>
      </c>
      <c r="K4340" s="2">
        <v>45962</v>
      </c>
      <c r="L4340" s="1" t="str">
        <f t="shared" si="496"/>
        <v>seg</v>
      </c>
      <c r="M4340" s="1" t="str">
        <f t="shared" si="497"/>
        <v>nov</v>
      </c>
      <c r="N4340">
        <f t="shared" si="498"/>
        <v>2025</v>
      </c>
      <c r="O4340" s="2"/>
      <c r="P4340" t="str">
        <f t="shared" si="495"/>
        <v>190245985</v>
      </c>
    </row>
    <row r="4341" spans="1:16" x14ac:dyDescent="0.3">
      <c r="A4341">
        <v>1902</v>
      </c>
      <c r="B4341">
        <v>23</v>
      </c>
      <c r="C4341" t="s">
        <v>15</v>
      </c>
      <c r="D4341" t="s">
        <v>16</v>
      </c>
      <c r="E4341" t="s">
        <v>17</v>
      </c>
      <c r="F4341" t="s">
        <v>21</v>
      </c>
      <c r="G4341" t="s">
        <v>41</v>
      </c>
      <c r="H4341" t="s">
        <v>25</v>
      </c>
      <c r="I4341" s="1">
        <v>3</v>
      </c>
      <c r="J4341" s="2">
        <v>45993</v>
      </c>
      <c r="K4341" s="2">
        <v>45992</v>
      </c>
      <c r="L4341" s="1" t="str">
        <f t="shared" si="496"/>
        <v>ter</v>
      </c>
      <c r="M4341" s="1" t="str">
        <f t="shared" si="497"/>
        <v>dez</v>
      </c>
      <c r="N4341">
        <f t="shared" si="498"/>
        <v>2025</v>
      </c>
      <c r="O4341" s="2"/>
      <c r="P4341" t="str">
        <f t="shared" si="495"/>
        <v>190245993</v>
      </c>
    </row>
    <row r="4342" spans="1:16" x14ac:dyDescent="0.3">
      <c r="A4342">
        <v>1902</v>
      </c>
      <c r="B4342">
        <v>23</v>
      </c>
      <c r="C4342" t="s">
        <v>15</v>
      </c>
      <c r="D4342" t="s">
        <v>16</v>
      </c>
      <c r="E4342" t="s">
        <v>17</v>
      </c>
      <c r="F4342" t="s">
        <v>21</v>
      </c>
      <c r="G4342" t="s">
        <v>41</v>
      </c>
      <c r="H4342" t="s">
        <v>25</v>
      </c>
      <c r="I4342" s="1">
        <v>3</v>
      </c>
      <c r="J4342" s="2">
        <v>46066</v>
      </c>
      <c r="K4342" s="2">
        <v>46054</v>
      </c>
      <c r="L4342" s="1" t="str">
        <f t="shared" si="496"/>
        <v>sex</v>
      </c>
      <c r="M4342" s="1" t="str">
        <f t="shared" si="497"/>
        <v>fev</v>
      </c>
      <c r="N4342">
        <f t="shared" si="498"/>
        <v>2026</v>
      </c>
      <c r="O4342" s="2"/>
      <c r="P4342" t="str">
        <f t="shared" si="495"/>
        <v>190246066</v>
      </c>
    </row>
    <row r="4343" spans="1:16" x14ac:dyDescent="0.3">
      <c r="A4343">
        <v>1904</v>
      </c>
      <c r="B4343">
        <v>40</v>
      </c>
      <c r="C4343" t="s">
        <v>26</v>
      </c>
      <c r="D4343" t="s">
        <v>27</v>
      </c>
      <c r="E4343" t="s">
        <v>17</v>
      </c>
      <c r="F4343" t="s">
        <v>23</v>
      </c>
      <c r="G4343" t="s">
        <v>41</v>
      </c>
      <c r="H4343" t="s">
        <v>25</v>
      </c>
      <c r="I4343" s="1">
        <v>1</v>
      </c>
      <c r="J4343" s="2">
        <v>45849</v>
      </c>
      <c r="K4343" s="2">
        <v>45839</v>
      </c>
      <c r="L4343" s="1" t="str">
        <f t="shared" si="496"/>
        <v>sex</v>
      </c>
      <c r="M4343" s="1" t="str">
        <f t="shared" si="497"/>
        <v>jul</v>
      </c>
      <c r="N4343">
        <f t="shared" si="498"/>
        <v>2025</v>
      </c>
      <c r="O4343" s="2"/>
      <c r="P4343" t="str">
        <f t="shared" si="495"/>
        <v>190445849</v>
      </c>
    </row>
    <row r="4344" spans="1:16" x14ac:dyDescent="0.3">
      <c r="A4344">
        <v>1904</v>
      </c>
      <c r="B4344">
        <v>40</v>
      </c>
      <c r="C4344" t="s">
        <v>26</v>
      </c>
      <c r="D4344" t="s">
        <v>27</v>
      </c>
      <c r="E4344" t="s">
        <v>17</v>
      </c>
      <c r="F4344" t="s">
        <v>23</v>
      </c>
      <c r="G4344" t="s">
        <v>41</v>
      </c>
      <c r="H4344" t="s">
        <v>25</v>
      </c>
      <c r="I4344" s="1">
        <v>1</v>
      </c>
      <c r="J4344" s="2">
        <v>45940</v>
      </c>
      <c r="K4344" s="2">
        <v>45931</v>
      </c>
      <c r="L4344" s="1" t="str">
        <f t="shared" si="496"/>
        <v>sex</v>
      </c>
      <c r="M4344" s="1" t="str">
        <f t="shared" si="497"/>
        <v>out</v>
      </c>
      <c r="N4344">
        <f t="shared" si="498"/>
        <v>2025</v>
      </c>
      <c r="O4344" s="2"/>
      <c r="P4344" t="str">
        <f t="shared" si="495"/>
        <v>190445940</v>
      </c>
    </row>
    <row r="4345" spans="1:16" x14ac:dyDescent="0.3">
      <c r="A4345">
        <v>1904</v>
      </c>
      <c r="B4345">
        <v>40</v>
      </c>
      <c r="C4345" t="s">
        <v>26</v>
      </c>
      <c r="D4345" t="s">
        <v>27</v>
      </c>
      <c r="E4345" t="s">
        <v>17</v>
      </c>
      <c r="F4345" t="s">
        <v>23</v>
      </c>
      <c r="G4345" t="s">
        <v>41</v>
      </c>
      <c r="H4345" t="s">
        <v>25</v>
      </c>
      <c r="I4345" s="1">
        <v>1</v>
      </c>
      <c r="J4345" s="2">
        <v>46193</v>
      </c>
      <c r="K4345" s="2">
        <v>46023</v>
      </c>
      <c r="L4345" s="1" t="str">
        <f t="shared" si="496"/>
        <v>sáb</v>
      </c>
      <c r="M4345" s="1" t="str">
        <f t="shared" si="497"/>
        <v>jun</v>
      </c>
      <c r="N4345">
        <f t="shared" si="498"/>
        <v>2026</v>
      </c>
      <c r="O4345" s="2"/>
      <c r="P4345" t="str">
        <f t="shared" si="495"/>
        <v>190446193</v>
      </c>
    </row>
    <row r="4346" spans="1:16" x14ac:dyDescent="0.3">
      <c r="A4346">
        <v>1904</v>
      </c>
      <c r="B4346">
        <v>40</v>
      </c>
      <c r="C4346" t="s">
        <v>26</v>
      </c>
      <c r="D4346" t="s">
        <v>27</v>
      </c>
      <c r="E4346" t="s">
        <v>17</v>
      </c>
      <c r="F4346" t="s">
        <v>23</v>
      </c>
      <c r="G4346" t="s">
        <v>41</v>
      </c>
      <c r="H4346" t="s">
        <v>25</v>
      </c>
      <c r="I4346" s="1">
        <v>1</v>
      </c>
      <c r="J4346" s="2">
        <v>46199</v>
      </c>
      <c r="K4346" s="2">
        <v>46023</v>
      </c>
      <c r="L4346" s="1" t="str">
        <f t="shared" si="496"/>
        <v>sex</v>
      </c>
      <c r="M4346" s="1" t="str">
        <f t="shared" si="497"/>
        <v>jun</v>
      </c>
      <c r="N4346">
        <f t="shared" si="498"/>
        <v>2026</v>
      </c>
      <c r="O4346" s="2"/>
      <c r="P4346" t="str">
        <f t="shared" si="495"/>
        <v>190446199</v>
      </c>
    </row>
    <row r="4347" spans="1:16" x14ac:dyDescent="0.3">
      <c r="A4347">
        <v>1905</v>
      </c>
      <c r="B4347">
        <v>57</v>
      </c>
      <c r="C4347" t="s">
        <v>26</v>
      </c>
      <c r="D4347" t="s">
        <v>29</v>
      </c>
      <c r="E4347" t="s">
        <v>17</v>
      </c>
      <c r="F4347" t="s">
        <v>21</v>
      </c>
      <c r="G4347" t="s">
        <v>41</v>
      </c>
      <c r="H4347" t="s">
        <v>25</v>
      </c>
      <c r="I4347" s="1">
        <v>3</v>
      </c>
      <c r="J4347" s="2">
        <v>45816</v>
      </c>
      <c r="K4347" s="2">
        <v>45809</v>
      </c>
      <c r="L4347" s="1" t="str">
        <f t="shared" si="496"/>
        <v>dom</v>
      </c>
      <c r="M4347" s="1" t="str">
        <f t="shared" si="497"/>
        <v>jun</v>
      </c>
      <c r="N4347">
        <f t="shared" si="498"/>
        <v>2025</v>
      </c>
      <c r="O4347" s="2"/>
      <c r="P4347" t="str">
        <f t="shared" si="495"/>
        <v>190545816</v>
      </c>
    </row>
    <row r="4348" spans="1:16" x14ac:dyDescent="0.3">
      <c r="A4348">
        <v>1905</v>
      </c>
      <c r="B4348">
        <v>57</v>
      </c>
      <c r="C4348" t="s">
        <v>26</v>
      </c>
      <c r="D4348" t="s">
        <v>29</v>
      </c>
      <c r="E4348" t="s">
        <v>17</v>
      </c>
      <c r="F4348" t="s">
        <v>21</v>
      </c>
      <c r="G4348" t="s">
        <v>41</v>
      </c>
      <c r="H4348" t="s">
        <v>25</v>
      </c>
      <c r="I4348" s="1">
        <v>3</v>
      </c>
      <c r="J4348" s="2">
        <v>45951</v>
      </c>
      <c r="K4348" s="2">
        <v>45931</v>
      </c>
      <c r="L4348" s="1" t="str">
        <f t="shared" si="496"/>
        <v>ter</v>
      </c>
      <c r="M4348" s="1" t="str">
        <f t="shared" si="497"/>
        <v>out</v>
      </c>
      <c r="N4348">
        <f t="shared" si="498"/>
        <v>2025</v>
      </c>
      <c r="O4348" s="2"/>
      <c r="P4348" t="str">
        <f t="shared" si="495"/>
        <v>190545951</v>
      </c>
    </row>
    <row r="4349" spans="1:16" x14ac:dyDescent="0.3">
      <c r="A4349">
        <v>1905</v>
      </c>
      <c r="B4349">
        <v>57</v>
      </c>
      <c r="C4349" t="s">
        <v>26</v>
      </c>
      <c r="D4349" t="s">
        <v>29</v>
      </c>
      <c r="E4349" t="s">
        <v>17</v>
      </c>
      <c r="F4349" t="s">
        <v>21</v>
      </c>
      <c r="G4349" t="s">
        <v>41</v>
      </c>
      <c r="H4349" t="s">
        <v>25</v>
      </c>
      <c r="I4349" s="1">
        <v>3</v>
      </c>
      <c r="J4349" s="2">
        <v>45968</v>
      </c>
      <c r="K4349" s="2">
        <v>45962</v>
      </c>
      <c r="L4349" s="1" t="str">
        <f t="shared" si="496"/>
        <v>sex</v>
      </c>
      <c r="M4349" s="1" t="str">
        <f t="shared" si="497"/>
        <v>nov</v>
      </c>
      <c r="N4349">
        <f t="shared" si="498"/>
        <v>2025</v>
      </c>
      <c r="O4349" s="2"/>
      <c r="P4349" t="str">
        <f t="shared" ref="P4349:P4412" si="499">CONCATENATE(A4349,J4349)</f>
        <v>190545968</v>
      </c>
    </row>
    <row r="4350" spans="1:16" x14ac:dyDescent="0.3">
      <c r="A4350">
        <v>1905</v>
      </c>
      <c r="B4350">
        <v>57</v>
      </c>
      <c r="C4350" t="s">
        <v>26</v>
      </c>
      <c r="D4350" t="s">
        <v>29</v>
      </c>
      <c r="E4350" t="s">
        <v>17</v>
      </c>
      <c r="F4350" t="s">
        <v>21</v>
      </c>
      <c r="G4350" t="s">
        <v>41</v>
      </c>
      <c r="H4350" t="s">
        <v>25</v>
      </c>
      <c r="I4350" s="1">
        <v>3</v>
      </c>
      <c r="J4350" s="2">
        <v>46190</v>
      </c>
      <c r="K4350" s="2">
        <v>46023</v>
      </c>
      <c r="L4350" s="1" t="str">
        <f t="shared" si="496"/>
        <v>qua</v>
      </c>
      <c r="M4350" s="1" t="str">
        <f t="shared" si="497"/>
        <v>jun</v>
      </c>
      <c r="N4350">
        <f t="shared" si="498"/>
        <v>2026</v>
      </c>
      <c r="O4350" s="2"/>
      <c r="P4350" t="str">
        <f t="shared" si="499"/>
        <v>190546190</v>
      </c>
    </row>
    <row r="4351" spans="1:16" x14ac:dyDescent="0.3">
      <c r="A4351">
        <v>1905</v>
      </c>
      <c r="B4351">
        <v>57</v>
      </c>
      <c r="C4351" t="s">
        <v>26</v>
      </c>
      <c r="D4351" t="s">
        <v>29</v>
      </c>
      <c r="E4351" t="s">
        <v>17</v>
      </c>
      <c r="F4351" t="s">
        <v>21</v>
      </c>
      <c r="G4351" t="s">
        <v>41</v>
      </c>
      <c r="H4351" t="s">
        <v>25</v>
      </c>
      <c r="I4351" s="1">
        <v>3</v>
      </c>
      <c r="J4351" s="2">
        <v>46198</v>
      </c>
      <c r="K4351" s="2">
        <v>46023</v>
      </c>
      <c r="L4351" s="1" t="str">
        <f t="shared" si="496"/>
        <v>qui</v>
      </c>
      <c r="M4351" s="1" t="str">
        <f t="shared" si="497"/>
        <v>jun</v>
      </c>
      <c r="N4351">
        <f t="shared" si="498"/>
        <v>2026</v>
      </c>
      <c r="O4351" s="2"/>
      <c r="P4351" t="str">
        <f t="shared" si="499"/>
        <v>190546198</v>
      </c>
    </row>
    <row r="4352" spans="1:16" x14ac:dyDescent="0.3">
      <c r="A4352">
        <v>1906</v>
      </c>
      <c r="B4352">
        <v>47</v>
      </c>
      <c r="C4352" t="s">
        <v>26</v>
      </c>
      <c r="D4352" t="s">
        <v>16</v>
      </c>
      <c r="E4352" t="s">
        <v>17</v>
      </c>
      <c r="F4352" t="s">
        <v>18</v>
      </c>
      <c r="G4352" t="s">
        <v>41</v>
      </c>
      <c r="H4352" t="s">
        <v>25</v>
      </c>
      <c r="I4352" s="1">
        <v>2</v>
      </c>
      <c r="J4352" s="2">
        <v>45813</v>
      </c>
      <c r="K4352" s="2">
        <v>45809</v>
      </c>
      <c r="L4352" s="1" t="str">
        <f t="shared" si="496"/>
        <v>qui</v>
      </c>
      <c r="M4352" s="1" t="str">
        <f t="shared" si="497"/>
        <v>jun</v>
      </c>
      <c r="N4352">
        <f t="shared" si="498"/>
        <v>2025</v>
      </c>
      <c r="O4352" s="2"/>
      <c r="P4352" t="str">
        <f t="shared" si="499"/>
        <v>190645813</v>
      </c>
    </row>
    <row r="4353" spans="1:16" x14ac:dyDescent="0.3">
      <c r="A4353">
        <v>1906</v>
      </c>
      <c r="B4353">
        <v>47</v>
      </c>
      <c r="C4353" t="s">
        <v>26</v>
      </c>
      <c r="D4353" t="s">
        <v>16</v>
      </c>
      <c r="E4353" t="s">
        <v>17</v>
      </c>
      <c r="F4353" t="s">
        <v>18</v>
      </c>
      <c r="G4353" t="s">
        <v>41</v>
      </c>
      <c r="H4353" t="s">
        <v>25</v>
      </c>
      <c r="I4353" s="1">
        <v>2</v>
      </c>
      <c r="J4353" s="2">
        <v>45919</v>
      </c>
      <c r="K4353" s="2">
        <v>45901</v>
      </c>
      <c r="L4353" s="1" t="str">
        <f t="shared" si="496"/>
        <v>sex</v>
      </c>
      <c r="M4353" s="1" t="str">
        <f t="shared" si="497"/>
        <v>set</v>
      </c>
      <c r="N4353">
        <f t="shared" si="498"/>
        <v>2025</v>
      </c>
      <c r="O4353" s="2"/>
      <c r="P4353" t="str">
        <f t="shared" si="499"/>
        <v>190645919</v>
      </c>
    </row>
    <row r="4354" spans="1:16" x14ac:dyDescent="0.3">
      <c r="A4354">
        <v>1906</v>
      </c>
      <c r="B4354">
        <v>47</v>
      </c>
      <c r="C4354" t="s">
        <v>26</v>
      </c>
      <c r="D4354" t="s">
        <v>16</v>
      </c>
      <c r="E4354" t="s">
        <v>17</v>
      </c>
      <c r="F4354" t="s">
        <v>18</v>
      </c>
      <c r="G4354" t="s">
        <v>41</v>
      </c>
      <c r="H4354" t="s">
        <v>25</v>
      </c>
      <c r="I4354" s="1">
        <v>2</v>
      </c>
      <c r="J4354" s="2">
        <v>45978</v>
      </c>
      <c r="K4354" s="2">
        <v>45962</v>
      </c>
      <c r="L4354" s="1" t="str">
        <f t="shared" si="496"/>
        <v>seg</v>
      </c>
      <c r="M4354" s="1" t="str">
        <f t="shared" si="497"/>
        <v>nov</v>
      </c>
      <c r="N4354">
        <f t="shared" si="498"/>
        <v>2025</v>
      </c>
      <c r="O4354" s="2"/>
      <c r="P4354" t="str">
        <f t="shared" si="499"/>
        <v>190645978</v>
      </c>
    </row>
    <row r="4355" spans="1:16" x14ac:dyDescent="0.3">
      <c r="A4355">
        <v>1906</v>
      </c>
      <c r="B4355">
        <v>47</v>
      </c>
      <c r="C4355" t="s">
        <v>26</v>
      </c>
      <c r="D4355" t="s">
        <v>16</v>
      </c>
      <c r="E4355" t="s">
        <v>17</v>
      </c>
      <c r="F4355" t="s">
        <v>18</v>
      </c>
      <c r="G4355" t="s">
        <v>41</v>
      </c>
      <c r="H4355" t="s">
        <v>25</v>
      </c>
      <c r="I4355" s="1">
        <v>2</v>
      </c>
      <c r="J4355" s="2">
        <v>46091</v>
      </c>
      <c r="K4355" s="2">
        <v>46082</v>
      </c>
      <c r="L4355" s="1" t="str">
        <f t="shared" si="496"/>
        <v>ter</v>
      </c>
      <c r="M4355" s="1" t="str">
        <f t="shared" si="497"/>
        <v>mar</v>
      </c>
      <c r="N4355">
        <f t="shared" si="498"/>
        <v>2026</v>
      </c>
      <c r="O4355" s="2"/>
      <c r="P4355" t="str">
        <f t="shared" si="499"/>
        <v>190646091</v>
      </c>
    </row>
    <row r="4356" spans="1:16" x14ac:dyDescent="0.3">
      <c r="A4356">
        <v>1906</v>
      </c>
      <c r="B4356">
        <v>47</v>
      </c>
      <c r="C4356" t="s">
        <v>26</v>
      </c>
      <c r="D4356" t="s">
        <v>16</v>
      </c>
      <c r="E4356" t="s">
        <v>17</v>
      </c>
      <c r="F4356" t="s">
        <v>18</v>
      </c>
      <c r="G4356" t="s">
        <v>41</v>
      </c>
      <c r="H4356" t="s">
        <v>25</v>
      </c>
      <c r="I4356" s="1">
        <v>2</v>
      </c>
      <c r="J4356" s="2">
        <v>46096</v>
      </c>
      <c r="K4356" s="2">
        <v>46082</v>
      </c>
      <c r="L4356" s="1" t="str">
        <f t="shared" si="496"/>
        <v>dom</v>
      </c>
      <c r="M4356" s="1" t="str">
        <f t="shared" si="497"/>
        <v>mar</v>
      </c>
      <c r="N4356">
        <f t="shared" si="498"/>
        <v>2026</v>
      </c>
      <c r="O4356" s="2"/>
      <c r="P4356" t="str">
        <f t="shared" si="499"/>
        <v>190646096</v>
      </c>
    </row>
    <row r="4357" spans="1:16" x14ac:dyDescent="0.3">
      <c r="A4357">
        <v>1907</v>
      </c>
      <c r="B4357">
        <v>42</v>
      </c>
      <c r="C4357" t="s">
        <v>26</v>
      </c>
      <c r="D4357" t="s">
        <v>31</v>
      </c>
      <c r="E4357" t="s">
        <v>32</v>
      </c>
      <c r="F4357" t="s">
        <v>21</v>
      </c>
      <c r="G4357" t="s">
        <v>41</v>
      </c>
      <c r="H4357" t="s">
        <v>25</v>
      </c>
      <c r="I4357" s="1">
        <v>1</v>
      </c>
      <c r="J4357" s="2">
        <v>45810</v>
      </c>
      <c r="K4357" s="2">
        <v>45809</v>
      </c>
      <c r="L4357" s="1" t="str">
        <f t="shared" si="496"/>
        <v>seg</v>
      </c>
      <c r="M4357" s="1" t="str">
        <f t="shared" si="497"/>
        <v>jun</v>
      </c>
      <c r="N4357">
        <f t="shared" si="498"/>
        <v>2025</v>
      </c>
      <c r="O4357" s="2"/>
      <c r="P4357" t="str">
        <f t="shared" si="499"/>
        <v>190745810</v>
      </c>
    </row>
    <row r="4358" spans="1:16" x14ac:dyDescent="0.3">
      <c r="A4358">
        <v>1907</v>
      </c>
      <c r="B4358">
        <v>42</v>
      </c>
      <c r="C4358" t="s">
        <v>26</v>
      </c>
      <c r="D4358" t="s">
        <v>31</v>
      </c>
      <c r="E4358" t="s">
        <v>32</v>
      </c>
      <c r="F4358" t="s">
        <v>21</v>
      </c>
      <c r="G4358" t="s">
        <v>41</v>
      </c>
      <c r="H4358" t="s">
        <v>25</v>
      </c>
      <c r="I4358" s="1">
        <v>1</v>
      </c>
      <c r="J4358" s="2">
        <v>45880</v>
      </c>
      <c r="K4358" s="2">
        <v>45870</v>
      </c>
      <c r="L4358" s="1" t="str">
        <f t="shared" si="496"/>
        <v>seg</v>
      </c>
      <c r="M4358" s="1" t="str">
        <f t="shared" si="497"/>
        <v>ago</v>
      </c>
      <c r="N4358">
        <f t="shared" si="498"/>
        <v>2025</v>
      </c>
      <c r="O4358" s="2"/>
      <c r="P4358" t="str">
        <f t="shared" si="499"/>
        <v>190745880</v>
      </c>
    </row>
    <row r="4359" spans="1:16" x14ac:dyDescent="0.3">
      <c r="A4359">
        <v>1907</v>
      </c>
      <c r="B4359">
        <v>42</v>
      </c>
      <c r="C4359" t="s">
        <v>26</v>
      </c>
      <c r="D4359" t="s">
        <v>31</v>
      </c>
      <c r="E4359" t="s">
        <v>32</v>
      </c>
      <c r="F4359" t="s">
        <v>21</v>
      </c>
      <c r="G4359" t="s">
        <v>41</v>
      </c>
      <c r="H4359" t="s">
        <v>25</v>
      </c>
      <c r="I4359" s="1">
        <v>1</v>
      </c>
      <c r="J4359" s="2">
        <v>46188</v>
      </c>
      <c r="K4359" s="2">
        <v>46023</v>
      </c>
      <c r="L4359" s="1" t="str">
        <f t="shared" si="496"/>
        <v>seg</v>
      </c>
      <c r="M4359" s="1" t="str">
        <f t="shared" si="497"/>
        <v>jun</v>
      </c>
      <c r="N4359">
        <f t="shared" si="498"/>
        <v>2026</v>
      </c>
      <c r="O4359" s="2"/>
      <c r="P4359" t="str">
        <f t="shared" si="499"/>
        <v>190746188</v>
      </c>
    </row>
    <row r="4360" spans="1:16" x14ac:dyDescent="0.3">
      <c r="A4360">
        <v>1907</v>
      </c>
      <c r="B4360">
        <v>42</v>
      </c>
      <c r="C4360" t="s">
        <v>26</v>
      </c>
      <c r="D4360" t="s">
        <v>31</v>
      </c>
      <c r="E4360" t="s">
        <v>32</v>
      </c>
      <c r="F4360" t="s">
        <v>21</v>
      </c>
      <c r="G4360" t="s">
        <v>41</v>
      </c>
      <c r="H4360" t="s">
        <v>25</v>
      </c>
      <c r="I4360" s="1">
        <v>1</v>
      </c>
      <c r="J4360" s="2">
        <v>46191</v>
      </c>
      <c r="K4360" s="2">
        <v>46023</v>
      </c>
      <c r="L4360" s="1" t="str">
        <f t="shared" si="496"/>
        <v>qui</v>
      </c>
      <c r="M4360" s="1" t="str">
        <f t="shared" si="497"/>
        <v>jun</v>
      </c>
      <c r="N4360">
        <f t="shared" si="498"/>
        <v>2026</v>
      </c>
      <c r="O4360" s="2"/>
      <c r="P4360" t="str">
        <f t="shared" si="499"/>
        <v>190746191</v>
      </c>
    </row>
    <row r="4361" spans="1:16" x14ac:dyDescent="0.3">
      <c r="A4361">
        <v>1907</v>
      </c>
      <c r="B4361">
        <v>42</v>
      </c>
      <c r="C4361" t="s">
        <v>26</v>
      </c>
      <c r="D4361" t="s">
        <v>31</v>
      </c>
      <c r="E4361" t="s">
        <v>32</v>
      </c>
      <c r="F4361" t="s">
        <v>21</v>
      </c>
      <c r="G4361" t="s">
        <v>41</v>
      </c>
      <c r="H4361" t="s">
        <v>25</v>
      </c>
      <c r="I4361" s="1">
        <v>1</v>
      </c>
      <c r="J4361" s="2">
        <v>46056</v>
      </c>
      <c r="K4361" s="2">
        <v>46054</v>
      </c>
      <c r="L4361" s="1" t="str">
        <f t="shared" si="496"/>
        <v>ter</v>
      </c>
      <c r="M4361" s="1" t="str">
        <f t="shared" si="497"/>
        <v>fev</v>
      </c>
      <c r="N4361">
        <f t="shared" si="498"/>
        <v>2026</v>
      </c>
      <c r="O4361" s="2"/>
      <c r="P4361" t="str">
        <f t="shared" si="499"/>
        <v>190746056</v>
      </c>
    </row>
    <row r="4362" spans="1:16" x14ac:dyDescent="0.3">
      <c r="A4362">
        <v>1908</v>
      </c>
      <c r="B4362">
        <v>54</v>
      </c>
      <c r="C4362" t="s">
        <v>26</v>
      </c>
      <c r="D4362" t="s">
        <v>16</v>
      </c>
      <c r="E4362" t="s">
        <v>17</v>
      </c>
      <c r="F4362" t="s">
        <v>18</v>
      </c>
      <c r="G4362" t="s">
        <v>41</v>
      </c>
      <c r="H4362" t="s">
        <v>25</v>
      </c>
      <c r="I4362" s="1">
        <v>3</v>
      </c>
      <c r="J4362" s="2">
        <v>45820</v>
      </c>
      <c r="K4362" s="2">
        <v>45809</v>
      </c>
      <c r="L4362" s="1" t="str">
        <f t="shared" si="496"/>
        <v>qui</v>
      </c>
      <c r="M4362" s="1" t="str">
        <f t="shared" si="497"/>
        <v>jun</v>
      </c>
      <c r="N4362">
        <f t="shared" si="498"/>
        <v>2025</v>
      </c>
      <c r="O4362" s="2"/>
      <c r="P4362" t="str">
        <f t="shared" si="499"/>
        <v>190845820</v>
      </c>
    </row>
    <row r="4363" spans="1:16" x14ac:dyDescent="0.3">
      <c r="A4363">
        <v>1908</v>
      </c>
      <c r="B4363">
        <v>54</v>
      </c>
      <c r="C4363" t="s">
        <v>26</v>
      </c>
      <c r="D4363" t="s">
        <v>16</v>
      </c>
      <c r="E4363" t="s">
        <v>17</v>
      </c>
      <c r="F4363" t="s">
        <v>18</v>
      </c>
      <c r="G4363" t="s">
        <v>41</v>
      </c>
      <c r="H4363" t="s">
        <v>25</v>
      </c>
      <c r="I4363" s="1">
        <v>3</v>
      </c>
      <c r="J4363" s="2">
        <v>45858</v>
      </c>
      <c r="K4363" s="2">
        <v>45839</v>
      </c>
      <c r="L4363" s="1" t="str">
        <f t="shared" si="496"/>
        <v>dom</v>
      </c>
      <c r="M4363" s="1" t="str">
        <f t="shared" si="497"/>
        <v>jul</v>
      </c>
      <c r="N4363">
        <f t="shared" si="498"/>
        <v>2025</v>
      </c>
      <c r="O4363" s="2"/>
      <c r="P4363" t="str">
        <f t="shared" si="499"/>
        <v>190845858</v>
      </c>
    </row>
    <row r="4364" spans="1:16" x14ac:dyDescent="0.3">
      <c r="A4364">
        <v>1908</v>
      </c>
      <c r="B4364">
        <v>54</v>
      </c>
      <c r="C4364" t="s">
        <v>26</v>
      </c>
      <c r="D4364" t="s">
        <v>16</v>
      </c>
      <c r="E4364" t="s">
        <v>17</v>
      </c>
      <c r="F4364" t="s">
        <v>18</v>
      </c>
      <c r="G4364" t="s">
        <v>41</v>
      </c>
      <c r="H4364" t="s">
        <v>25</v>
      </c>
      <c r="I4364" s="1">
        <v>3</v>
      </c>
      <c r="J4364" s="2">
        <v>45862</v>
      </c>
      <c r="K4364" s="2">
        <v>45839</v>
      </c>
      <c r="L4364" s="1" t="str">
        <f t="shared" si="496"/>
        <v>qui</v>
      </c>
      <c r="M4364" s="1" t="str">
        <f t="shared" si="497"/>
        <v>jul</v>
      </c>
      <c r="N4364">
        <f t="shared" si="498"/>
        <v>2025</v>
      </c>
      <c r="O4364" s="2"/>
      <c r="P4364" t="str">
        <f t="shared" si="499"/>
        <v>190845862</v>
      </c>
    </row>
    <row r="4365" spans="1:16" x14ac:dyDescent="0.3">
      <c r="A4365">
        <v>1908</v>
      </c>
      <c r="B4365">
        <v>54</v>
      </c>
      <c r="C4365" t="s">
        <v>26</v>
      </c>
      <c r="D4365" t="s">
        <v>16</v>
      </c>
      <c r="E4365" t="s">
        <v>17</v>
      </c>
      <c r="F4365" t="s">
        <v>18</v>
      </c>
      <c r="G4365" t="s">
        <v>41</v>
      </c>
      <c r="H4365" t="s">
        <v>25</v>
      </c>
      <c r="I4365" s="1">
        <v>3</v>
      </c>
      <c r="J4365" s="2">
        <v>45970</v>
      </c>
      <c r="K4365" s="2">
        <v>45962</v>
      </c>
      <c r="L4365" s="1" t="str">
        <f t="shared" si="496"/>
        <v>dom</v>
      </c>
      <c r="M4365" s="1" t="str">
        <f t="shared" si="497"/>
        <v>nov</v>
      </c>
      <c r="N4365">
        <f t="shared" si="498"/>
        <v>2025</v>
      </c>
      <c r="O4365" s="2"/>
      <c r="P4365" t="str">
        <f t="shared" si="499"/>
        <v>190845970</v>
      </c>
    </row>
    <row r="4366" spans="1:16" x14ac:dyDescent="0.3">
      <c r="A4366">
        <v>1909</v>
      </c>
      <c r="B4366">
        <v>45</v>
      </c>
      <c r="C4366" t="s">
        <v>26</v>
      </c>
      <c r="D4366" t="s">
        <v>29</v>
      </c>
      <c r="E4366" t="s">
        <v>17</v>
      </c>
      <c r="F4366" t="s">
        <v>23</v>
      </c>
      <c r="G4366" t="s">
        <v>41</v>
      </c>
      <c r="H4366" t="s">
        <v>25</v>
      </c>
      <c r="I4366" s="1">
        <v>2</v>
      </c>
      <c r="J4366" s="2">
        <v>45815</v>
      </c>
      <c r="K4366" s="2">
        <v>45809</v>
      </c>
      <c r="L4366" s="1" t="str">
        <f t="shared" ref="L4366:L4429" si="500">TEXT(J4366,"ddd")</f>
        <v>sáb</v>
      </c>
      <c r="M4366" s="1" t="str">
        <f t="shared" ref="M4366:M4429" si="501">TEXT($J4366,"mmm")</f>
        <v>jun</v>
      </c>
      <c r="N4366">
        <f t="shared" ref="N4366:N4429" si="502">YEAR(J4366)</f>
        <v>2025</v>
      </c>
      <c r="O4366" s="2"/>
      <c r="P4366" t="str">
        <f t="shared" si="499"/>
        <v>190945815</v>
      </c>
    </row>
    <row r="4367" spans="1:16" x14ac:dyDescent="0.3">
      <c r="A4367">
        <v>1909</v>
      </c>
      <c r="B4367">
        <v>45</v>
      </c>
      <c r="C4367" t="s">
        <v>26</v>
      </c>
      <c r="D4367" t="s">
        <v>29</v>
      </c>
      <c r="E4367" t="s">
        <v>17</v>
      </c>
      <c r="F4367" t="s">
        <v>23</v>
      </c>
      <c r="G4367" t="s">
        <v>41</v>
      </c>
      <c r="H4367" t="s">
        <v>25</v>
      </c>
      <c r="I4367" s="1">
        <v>2</v>
      </c>
      <c r="J4367" s="2">
        <v>45850</v>
      </c>
      <c r="K4367" s="2">
        <v>45839</v>
      </c>
      <c r="L4367" s="1" t="str">
        <f t="shared" si="500"/>
        <v>sáb</v>
      </c>
      <c r="M4367" s="1" t="str">
        <f t="shared" si="501"/>
        <v>jul</v>
      </c>
      <c r="N4367">
        <f t="shared" si="502"/>
        <v>2025</v>
      </c>
      <c r="O4367" s="2"/>
      <c r="P4367" t="str">
        <f t="shared" si="499"/>
        <v>190945850</v>
      </c>
    </row>
    <row r="4368" spans="1:16" x14ac:dyDescent="0.3">
      <c r="A4368">
        <v>1909</v>
      </c>
      <c r="B4368">
        <v>45</v>
      </c>
      <c r="C4368" t="s">
        <v>26</v>
      </c>
      <c r="D4368" t="s">
        <v>29</v>
      </c>
      <c r="E4368" t="s">
        <v>17</v>
      </c>
      <c r="F4368" t="s">
        <v>23</v>
      </c>
      <c r="G4368" t="s">
        <v>41</v>
      </c>
      <c r="H4368" t="s">
        <v>25</v>
      </c>
      <c r="I4368" s="1">
        <v>2</v>
      </c>
      <c r="J4368" s="2">
        <v>45971</v>
      </c>
      <c r="K4368" s="2">
        <v>45962</v>
      </c>
      <c r="L4368" s="1" t="str">
        <f t="shared" si="500"/>
        <v>seg</v>
      </c>
      <c r="M4368" s="1" t="str">
        <f t="shared" si="501"/>
        <v>nov</v>
      </c>
      <c r="N4368">
        <f t="shared" si="502"/>
        <v>2025</v>
      </c>
      <c r="O4368" s="2"/>
      <c r="P4368" t="str">
        <f t="shared" si="499"/>
        <v>190945971</v>
      </c>
    </row>
    <row r="4369" spans="1:16" x14ac:dyDescent="0.3">
      <c r="A4369">
        <v>1909</v>
      </c>
      <c r="B4369">
        <v>45</v>
      </c>
      <c r="C4369" t="s">
        <v>26</v>
      </c>
      <c r="D4369" t="s">
        <v>29</v>
      </c>
      <c r="E4369" t="s">
        <v>17</v>
      </c>
      <c r="F4369" t="s">
        <v>23</v>
      </c>
      <c r="G4369" t="s">
        <v>41</v>
      </c>
      <c r="H4369" t="s">
        <v>25</v>
      </c>
      <c r="I4369" s="1">
        <v>2</v>
      </c>
      <c r="J4369" s="2">
        <v>46007</v>
      </c>
      <c r="K4369" s="2">
        <v>45992</v>
      </c>
      <c r="L4369" s="1" t="str">
        <f t="shared" si="500"/>
        <v>ter</v>
      </c>
      <c r="M4369" s="1" t="str">
        <f t="shared" si="501"/>
        <v>dez</v>
      </c>
      <c r="N4369">
        <f t="shared" si="502"/>
        <v>2025</v>
      </c>
      <c r="O4369" s="2"/>
      <c r="P4369" t="str">
        <f t="shared" si="499"/>
        <v>190946007</v>
      </c>
    </row>
    <row r="4370" spans="1:16" x14ac:dyDescent="0.3">
      <c r="A4370">
        <v>1909</v>
      </c>
      <c r="B4370">
        <v>45</v>
      </c>
      <c r="C4370" t="s">
        <v>26</v>
      </c>
      <c r="D4370" t="s">
        <v>29</v>
      </c>
      <c r="E4370" t="s">
        <v>17</v>
      </c>
      <c r="F4370" t="s">
        <v>23</v>
      </c>
      <c r="G4370" t="s">
        <v>41</v>
      </c>
      <c r="H4370" t="s">
        <v>25</v>
      </c>
      <c r="I4370" s="1">
        <v>2</v>
      </c>
      <c r="J4370" s="2">
        <v>46191</v>
      </c>
      <c r="K4370" s="2">
        <v>46023</v>
      </c>
      <c r="L4370" s="1" t="str">
        <f t="shared" si="500"/>
        <v>qui</v>
      </c>
      <c r="M4370" s="1" t="str">
        <f t="shared" si="501"/>
        <v>jun</v>
      </c>
      <c r="N4370">
        <f t="shared" si="502"/>
        <v>2026</v>
      </c>
      <c r="O4370" s="2"/>
      <c r="P4370" t="str">
        <f t="shared" si="499"/>
        <v>190946191</v>
      </c>
    </row>
    <row r="4371" spans="1:16" x14ac:dyDescent="0.3">
      <c r="A4371">
        <v>1909</v>
      </c>
      <c r="B4371">
        <v>45</v>
      </c>
      <c r="C4371" t="s">
        <v>26</v>
      </c>
      <c r="D4371" t="s">
        <v>29</v>
      </c>
      <c r="E4371" t="s">
        <v>17</v>
      </c>
      <c r="F4371" t="s">
        <v>23</v>
      </c>
      <c r="G4371" t="s">
        <v>41</v>
      </c>
      <c r="H4371" t="s">
        <v>25</v>
      </c>
      <c r="I4371" s="1">
        <v>2</v>
      </c>
      <c r="J4371" s="2">
        <v>46094</v>
      </c>
      <c r="K4371" s="2">
        <v>46082</v>
      </c>
      <c r="L4371" s="1" t="str">
        <f t="shared" si="500"/>
        <v>sex</v>
      </c>
      <c r="M4371" s="1" t="str">
        <f t="shared" si="501"/>
        <v>mar</v>
      </c>
      <c r="N4371">
        <f t="shared" si="502"/>
        <v>2026</v>
      </c>
      <c r="O4371" s="2"/>
      <c r="P4371" t="str">
        <f t="shared" si="499"/>
        <v>190946094</v>
      </c>
    </row>
    <row r="4372" spans="1:16" x14ac:dyDescent="0.3">
      <c r="A4372">
        <v>1911</v>
      </c>
      <c r="B4372">
        <v>52</v>
      </c>
      <c r="C4372" t="s">
        <v>26</v>
      </c>
      <c r="D4372" t="s">
        <v>22</v>
      </c>
      <c r="E4372" t="s">
        <v>17</v>
      </c>
      <c r="F4372" t="s">
        <v>18</v>
      </c>
      <c r="G4372" t="s">
        <v>41</v>
      </c>
      <c r="H4372" t="s">
        <v>25</v>
      </c>
      <c r="I4372" s="1">
        <v>3</v>
      </c>
      <c r="J4372" s="2">
        <v>45847</v>
      </c>
      <c r="K4372" s="2">
        <v>45839</v>
      </c>
      <c r="L4372" s="1" t="str">
        <f t="shared" si="500"/>
        <v>qua</v>
      </c>
      <c r="M4372" s="1" t="str">
        <f t="shared" si="501"/>
        <v>jul</v>
      </c>
      <c r="N4372">
        <f t="shared" si="502"/>
        <v>2025</v>
      </c>
      <c r="O4372" s="2"/>
      <c r="P4372" t="str">
        <f t="shared" si="499"/>
        <v>191145847</v>
      </c>
    </row>
    <row r="4373" spans="1:16" x14ac:dyDescent="0.3">
      <c r="A4373">
        <v>1911</v>
      </c>
      <c r="B4373">
        <v>52</v>
      </c>
      <c r="C4373" t="s">
        <v>26</v>
      </c>
      <c r="D4373" t="s">
        <v>22</v>
      </c>
      <c r="E4373" t="s">
        <v>17</v>
      </c>
      <c r="F4373" t="s">
        <v>18</v>
      </c>
      <c r="G4373" t="s">
        <v>41</v>
      </c>
      <c r="H4373" t="s">
        <v>25</v>
      </c>
      <c r="I4373" s="1">
        <v>3</v>
      </c>
      <c r="J4373" s="2">
        <v>45878</v>
      </c>
      <c r="K4373" s="2">
        <v>45870</v>
      </c>
      <c r="L4373" s="1" t="str">
        <f t="shared" si="500"/>
        <v>sáb</v>
      </c>
      <c r="M4373" s="1" t="str">
        <f t="shared" si="501"/>
        <v>ago</v>
      </c>
      <c r="N4373">
        <f t="shared" si="502"/>
        <v>2025</v>
      </c>
      <c r="O4373" s="2"/>
      <c r="P4373" t="str">
        <f t="shared" si="499"/>
        <v>191145878</v>
      </c>
    </row>
    <row r="4374" spans="1:16" x14ac:dyDescent="0.3">
      <c r="A4374">
        <v>1911</v>
      </c>
      <c r="B4374">
        <v>52</v>
      </c>
      <c r="C4374" t="s">
        <v>26</v>
      </c>
      <c r="D4374" t="s">
        <v>22</v>
      </c>
      <c r="E4374" t="s">
        <v>17</v>
      </c>
      <c r="F4374" t="s">
        <v>18</v>
      </c>
      <c r="G4374" t="s">
        <v>41</v>
      </c>
      <c r="H4374" t="s">
        <v>25</v>
      </c>
      <c r="I4374" s="1">
        <v>3</v>
      </c>
      <c r="J4374" s="2">
        <v>45927</v>
      </c>
      <c r="K4374" s="2">
        <v>45901</v>
      </c>
      <c r="L4374" s="1" t="str">
        <f t="shared" si="500"/>
        <v>sáb</v>
      </c>
      <c r="M4374" s="1" t="str">
        <f t="shared" si="501"/>
        <v>set</v>
      </c>
      <c r="N4374">
        <f t="shared" si="502"/>
        <v>2025</v>
      </c>
      <c r="O4374" s="2"/>
      <c r="P4374" t="str">
        <f t="shared" si="499"/>
        <v>191145927</v>
      </c>
    </row>
    <row r="4375" spans="1:16" x14ac:dyDescent="0.3">
      <c r="A4375">
        <v>1911</v>
      </c>
      <c r="B4375">
        <v>52</v>
      </c>
      <c r="C4375" t="s">
        <v>26</v>
      </c>
      <c r="D4375" t="s">
        <v>22</v>
      </c>
      <c r="E4375" t="s">
        <v>17</v>
      </c>
      <c r="F4375" t="s">
        <v>18</v>
      </c>
      <c r="G4375" t="s">
        <v>41</v>
      </c>
      <c r="H4375" t="s">
        <v>25</v>
      </c>
      <c r="I4375" s="1">
        <v>3</v>
      </c>
      <c r="J4375" s="2">
        <v>45959</v>
      </c>
      <c r="K4375" s="2">
        <v>45931</v>
      </c>
      <c r="L4375" s="1" t="str">
        <f t="shared" si="500"/>
        <v>qua</v>
      </c>
      <c r="M4375" s="1" t="str">
        <f t="shared" si="501"/>
        <v>out</v>
      </c>
      <c r="N4375">
        <f t="shared" si="502"/>
        <v>2025</v>
      </c>
      <c r="O4375" s="2"/>
      <c r="P4375" t="str">
        <f t="shared" si="499"/>
        <v>191145959</v>
      </c>
    </row>
    <row r="4376" spans="1:16" x14ac:dyDescent="0.3">
      <c r="A4376">
        <v>1911</v>
      </c>
      <c r="B4376">
        <v>52</v>
      </c>
      <c r="C4376" t="s">
        <v>26</v>
      </c>
      <c r="D4376" t="s">
        <v>22</v>
      </c>
      <c r="E4376" t="s">
        <v>17</v>
      </c>
      <c r="F4376" t="s">
        <v>18</v>
      </c>
      <c r="G4376" t="s">
        <v>41</v>
      </c>
      <c r="H4376" t="s">
        <v>25</v>
      </c>
      <c r="I4376" s="1">
        <v>3</v>
      </c>
      <c r="J4376" s="2">
        <v>45978</v>
      </c>
      <c r="K4376" s="2">
        <v>45962</v>
      </c>
      <c r="L4376" s="1" t="str">
        <f t="shared" si="500"/>
        <v>seg</v>
      </c>
      <c r="M4376" s="1" t="str">
        <f t="shared" si="501"/>
        <v>nov</v>
      </c>
      <c r="N4376">
        <f t="shared" si="502"/>
        <v>2025</v>
      </c>
      <c r="O4376" s="2"/>
      <c r="P4376" t="str">
        <f t="shared" si="499"/>
        <v>191145978</v>
      </c>
    </row>
    <row r="4377" spans="1:16" x14ac:dyDescent="0.3">
      <c r="A4377">
        <v>1911</v>
      </c>
      <c r="B4377">
        <v>52</v>
      </c>
      <c r="C4377" t="s">
        <v>26</v>
      </c>
      <c r="D4377" t="s">
        <v>22</v>
      </c>
      <c r="E4377" t="s">
        <v>17</v>
      </c>
      <c r="F4377" t="s">
        <v>18</v>
      </c>
      <c r="G4377" t="s">
        <v>41</v>
      </c>
      <c r="H4377" t="s">
        <v>25</v>
      </c>
      <c r="I4377" s="1">
        <v>3</v>
      </c>
      <c r="J4377" s="2">
        <v>46084</v>
      </c>
      <c r="K4377" s="2">
        <v>46082</v>
      </c>
      <c r="L4377" s="1" t="str">
        <f t="shared" si="500"/>
        <v>ter</v>
      </c>
      <c r="M4377" s="1" t="str">
        <f t="shared" si="501"/>
        <v>mar</v>
      </c>
      <c r="N4377">
        <f t="shared" si="502"/>
        <v>2026</v>
      </c>
      <c r="O4377" s="2"/>
      <c r="P4377" t="str">
        <f t="shared" si="499"/>
        <v>191146084</v>
      </c>
    </row>
    <row r="4378" spans="1:16" x14ac:dyDescent="0.3">
      <c r="A4378">
        <v>1912</v>
      </c>
      <c r="B4378">
        <v>24</v>
      </c>
      <c r="C4378" t="s">
        <v>26</v>
      </c>
      <c r="D4378" t="s">
        <v>22</v>
      </c>
      <c r="E4378" t="s">
        <v>17</v>
      </c>
      <c r="F4378" t="s">
        <v>21</v>
      </c>
      <c r="G4378" t="s">
        <v>41</v>
      </c>
      <c r="H4378" t="s">
        <v>25</v>
      </c>
      <c r="I4378" s="1">
        <v>2</v>
      </c>
      <c r="J4378" s="2">
        <v>45913</v>
      </c>
      <c r="K4378" s="2">
        <v>45901</v>
      </c>
      <c r="L4378" s="1" t="str">
        <f t="shared" si="500"/>
        <v>sáb</v>
      </c>
      <c r="M4378" s="1" t="str">
        <f t="shared" si="501"/>
        <v>set</v>
      </c>
      <c r="N4378">
        <f t="shared" si="502"/>
        <v>2025</v>
      </c>
      <c r="O4378" s="2"/>
      <c r="P4378" t="str">
        <f t="shared" si="499"/>
        <v>191245913</v>
      </c>
    </row>
    <row r="4379" spans="1:16" x14ac:dyDescent="0.3">
      <c r="A4379">
        <v>1912</v>
      </c>
      <c r="B4379">
        <v>24</v>
      </c>
      <c r="C4379" t="s">
        <v>26</v>
      </c>
      <c r="D4379" t="s">
        <v>22</v>
      </c>
      <c r="E4379" t="s">
        <v>17</v>
      </c>
      <c r="F4379" t="s">
        <v>21</v>
      </c>
      <c r="G4379" t="s">
        <v>41</v>
      </c>
      <c r="H4379" t="s">
        <v>25</v>
      </c>
      <c r="I4379" s="1">
        <v>2</v>
      </c>
      <c r="J4379" s="2">
        <v>45914</v>
      </c>
      <c r="K4379" s="2">
        <v>45901</v>
      </c>
      <c r="L4379" s="1" t="str">
        <f t="shared" si="500"/>
        <v>dom</v>
      </c>
      <c r="M4379" s="1" t="str">
        <f t="shared" si="501"/>
        <v>set</v>
      </c>
      <c r="N4379">
        <f t="shared" si="502"/>
        <v>2025</v>
      </c>
      <c r="O4379" s="2"/>
      <c r="P4379" t="str">
        <f t="shared" si="499"/>
        <v>191245914</v>
      </c>
    </row>
    <row r="4380" spans="1:16" x14ac:dyDescent="0.3">
      <c r="A4380">
        <v>1912</v>
      </c>
      <c r="B4380">
        <v>24</v>
      </c>
      <c r="C4380" t="s">
        <v>26</v>
      </c>
      <c r="D4380" t="s">
        <v>22</v>
      </c>
      <c r="E4380" t="s">
        <v>17</v>
      </c>
      <c r="F4380" t="s">
        <v>21</v>
      </c>
      <c r="G4380" t="s">
        <v>41</v>
      </c>
      <c r="H4380" t="s">
        <v>25</v>
      </c>
      <c r="I4380" s="1">
        <v>2</v>
      </c>
      <c r="J4380" s="2">
        <v>45947</v>
      </c>
      <c r="K4380" s="2">
        <v>45931</v>
      </c>
      <c r="L4380" s="1" t="str">
        <f t="shared" si="500"/>
        <v>sex</v>
      </c>
      <c r="M4380" s="1" t="str">
        <f t="shared" si="501"/>
        <v>out</v>
      </c>
      <c r="N4380">
        <f t="shared" si="502"/>
        <v>2025</v>
      </c>
      <c r="O4380" s="2"/>
      <c r="P4380" t="str">
        <f t="shared" si="499"/>
        <v>191245947</v>
      </c>
    </row>
    <row r="4381" spans="1:16" x14ac:dyDescent="0.3">
      <c r="A4381">
        <v>1912</v>
      </c>
      <c r="B4381">
        <v>24</v>
      </c>
      <c r="C4381" t="s">
        <v>26</v>
      </c>
      <c r="D4381" t="s">
        <v>22</v>
      </c>
      <c r="E4381" t="s">
        <v>17</v>
      </c>
      <c r="F4381" t="s">
        <v>21</v>
      </c>
      <c r="G4381" t="s">
        <v>41</v>
      </c>
      <c r="H4381" t="s">
        <v>25</v>
      </c>
      <c r="I4381" s="1">
        <v>2</v>
      </c>
      <c r="J4381" s="2">
        <v>46015</v>
      </c>
      <c r="K4381" s="2">
        <v>45992</v>
      </c>
      <c r="L4381" s="1" t="str">
        <f t="shared" si="500"/>
        <v>qua</v>
      </c>
      <c r="M4381" s="1" t="str">
        <f t="shared" si="501"/>
        <v>dez</v>
      </c>
      <c r="N4381">
        <f t="shared" si="502"/>
        <v>2025</v>
      </c>
      <c r="O4381" s="2"/>
      <c r="P4381" t="str">
        <f t="shared" si="499"/>
        <v>191246015</v>
      </c>
    </row>
    <row r="4382" spans="1:16" x14ac:dyDescent="0.3">
      <c r="A4382">
        <v>1912</v>
      </c>
      <c r="B4382">
        <v>24</v>
      </c>
      <c r="C4382" t="s">
        <v>26</v>
      </c>
      <c r="D4382" t="s">
        <v>22</v>
      </c>
      <c r="E4382" t="s">
        <v>17</v>
      </c>
      <c r="F4382" t="s">
        <v>21</v>
      </c>
      <c r="G4382" t="s">
        <v>41</v>
      </c>
      <c r="H4382" t="s">
        <v>25</v>
      </c>
      <c r="I4382" s="1">
        <v>2</v>
      </c>
      <c r="J4382" s="2">
        <v>46056</v>
      </c>
      <c r="K4382" s="2">
        <v>46054</v>
      </c>
      <c r="L4382" s="1" t="str">
        <f t="shared" si="500"/>
        <v>ter</v>
      </c>
      <c r="M4382" s="1" t="str">
        <f t="shared" si="501"/>
        <v>fev</v>
      </c>
      <c r="N4382">
        <f t="shared" si="502"/>
        <v>2026</v>
      </c>
      <c r="O4382" s="2"/>
      <c r="P4382" t="str">
        <f t="shared" si="499"/>
        <v>191246056</v>
      </c>
    </row>
    <row r="4383" spans="1:16" x14ac:dyDescent="0.3">
      <c r="A4383">
        <v>1913</v>
      </c>
      <c r="B4383">
        <v>49</v>
      </c>
      <c r="C4383" t="s">
        <v>15</v>
      </c>
      <c r="D4383" t="s">
        <v>16</v>
      </c>
      <c r="E4383" t="s">
        <v>17</v>
      </c>
      <c r="F4383" t="s">
        <v>18</v>
      </c>
      <c r="G4383" t="s">
        <v>41</v>
      </c>
      <c r="H4383" t="s">
        <v>25</v>
      </c>
      <c r="I4383" s="1">
        <v>2</v>
      </c>
      <c r="J4383" s="2">
        <v>45837</v>
      </c>
      <c r="K4383" s="2">
        <v>45809</v>
      </c>
      <c r="L4383" s="1" t="str">
        <f t="shared" si="500"/>
        <v>dom</v>
      </c>
      <c r="M4383" s="1" t="str">
        <f t="shared" si="501"/>
        <v>jun</v>
      </c>
      <c r="N4383">
        <f t="shared" si="502"/>
        <v>2025</v>
      </c>
      <c r="O4383" s="2"/>
      <c r="P4383" t="str">
        <f t="shared" si="499"/>
        <v>191345837</v>
      </c>
    </row>
    <row r="4384" spans="1:16" x14ac:dyDescent="0.3">
      <c r="A4384">
        <v>1913</v>
      </c>
      <c r="B4384">
        <v>49</v>
      </c>
      <c r="C4384" t="s">
        <v>15</v>
      </c>
      <c r="D4384" t="s">
        <v>16</v>
      </c>
      <c r="E4384" t="s">
        <v>17</v>
      </c>
      <c r="F4384" t="s">
        <v>18</v>
      </c>
      <c r="G4384" t="s">
        <v>41</v>
      </c>
      <c r="H4384" t="s">
        <v>25</v>
      </c>
      <c r="I4384" s="1">
        <v>2</v>
      </c>
      <c r="J4384" s="2">
        <v>45851</v>
      </c>
      <c r="K4384" s="2">
        <v>45839</v>
      </c>
      <c r="L4384" s="1" t="str">
        <f t="shared" si="500"/>
        <v>dom</v>
      </c>
      <c r="M4384" s="1" t="str">
        <f t="shared" si="501"/>
        <v>jul</v>
      </c>
      <c r="N4384">
        <f t="shared" si="502"/>
        <v>2025</v>
      </c>
      <c r="O4384" s="2"/>
      <c r="P4384" t="str">
        <f t="shared" si="499"/>
        <v>191345851</v>
      </c>
    </row>
    <row r="4385" spans="1:16" x14ac:dyDescent="0.3">
      <c r="A4385">
        <v>1913</v>
      </c>
      <c r="B4385">
        <v>49</v>
      </c>
      <c r="C4385" t="s">
        <v>15</v>
      </c>
      <c r="D4385" t="s">
        <v>16</v>
      </c>
      <c r="E4385" t="s">
        <v>17</v>
      </c>
      <c r="F4385" t="s">
        <v>18</v>
      </c>
      <c r="G4385" t="s">
        <v>41</v>
      </c>
      <c r="H4385" t="s">
        <v>25</v>
      </c>
      <c r="I4385" s="1">
        <v>2</v>
      </c>
      <c r="J4385" s="2">
        <v>45919</v>
      </c>
      <c r="K4385" s="2">
        <v>45901</v>
      </c>
      <c r="L4385" s="1" t="str">
        <f t="shared" si="500"/>
        <v>sex</v>
      </c>
      <c r="M4385" s="1" t="str">
        <f t="shared" si="501"/>
        <v>set</v>
      </c>
      <c r="N4385">
        <f t="shared" si="502"/>
        <v>2025</v>
      </c>
      <c r="O4385" s="2"/>
      <c r="P4385" t="str">
        <f t="shared" si="499"/>
        <v>191345919</v>
      </c>
    </row>
    <row r="4386" spans="1:16" x14ac:dyDescent="0.3">
      <c r="A4386">
        <v>1913</v>
      </c>
      <c r="B4386">
        <v>49</v>
      </c>
      <c r="C4386" t="s">
        <v>15</v>
      </c>
      <c r="D4386" t="s">
        <v>16</v>
      </c>
      <c r="E4386" t="s">
        <v>17</v>
      </c>
      <c r="F4386" t="s">
        <v>18</v>
      </c>
      <c r="G4386" t="s">
        <v>41</v>
      </c>
      <c r="H4386" t="s">
        <v>25</v>
      </c>
      <c r="I4386" s="1">
        <v>2</v>
      </c>
      <c r="J4386" s="2">
        <v>46006</v>
      </c>
      <c r="K4386" s="2">
        <v>45992</v>
      </c>
      <c r="L4386" s="1" t="str">
        <f t="shared" si="500"/>
        <v>seg</v>
      </c>
      <c r="M4386" s="1" t="str">
        <f t="shared" si="501"/>
        <v>dez</v>
      </c>
      <c r="N4386">
        <f t="shared" si="502"/>
        <v>2025</v>
      </c>
      <c r="O4386" s="2"/>
      <c r="P4386" t="str">
        <f t="shared" si="499"/>
        <v>191346006</v>
      </c>
    </row>
    <row r="4387" spans="1:16" x14ac:dyDescent="0.3">
      <c r="A4387">
        <v>1915</v>
      </c>
      <c r="B4387">
        <v>43</v>
      </c>
      <c r="C4387" t="s">
        <v>26</v>
      </c>
      <c r="D4387" t="s">
        <v>29</v>
      </c>
      <c r="E4387" t="s">
        <v>17</v>
      </c>
      <c r="F4387" t="s">
        <v>21</v>
      </c>
      <c r="G4387" t="s">
        <v>41</v>
      </c>
      <c r="H4387" t="s">
        <v>25</v>
      </c>
      <c r="I4387" s="1">
        <v>3</v>
      </c>
      <c r="J4387" s="2">
        <v>45889</v>
      </c>
      <c r="K4387" s="2">
        <v>45870</v>
      </c>
      <c r="L4387" s="1" t="str">
        <f t="shared" si="500"/>
        <v>qua</v>
      </c>
      <c r="M4387" s="1" t="str">
        <f t="shared" si="501"/>
        <v>ago</v>
      </c>
      <c r="N4387">
        <f t="shared" si="502"/>
        <v>2025</v>
      </c>
      <c r="O4387" s="2"/>
      <c r="P4387" t="str">
        <f t="shared" si="499"/>
        <v>191545889</v>
      </c>
    </row>
    <row r="4388" spans="1:16" x14ac:dyDescent="0.3">
      <c r="A4388">
        <v>1915</v>
      </c>
      <c r="B4388">
        <v>43</v>
      </c>
      <c r="C4388" t="s">
        <v>26</v>
      </c>
      <c r="D4388" t="s">
        <v>29</v>
      </c>
      <c r="E4388" t="s">
        <v>17</v>
      </c>
      <c r="F4388" t="s">
        <v>21</v>
      </c>
      <c r="G4388" t="s">
        <v>41</v>
      </c>
      <c r="H4388" t="s">
        <v>25</v>
      </c>
      <c r="I4388" s="1">
        <v>3</v>
      </c>
      <c r="J4388" s="2">
        <v>45993</v>
      </c>
      <c r="K4388" s="2">
        <v>45992</v>
      </c>
      <c r="L4388" s="1" t="str">
        <f t="shared" si="500"/>
        <v>ter</v>
      </c>
      <c r="M4388" s="1" t="str">
        <f t="shared" si="501"/>
        <v>dez</v>
      </c>
      <c r="N4388">
        <f t="shared" si="502"/>
        <v>2025</v>
      </c>
      <c r="O4388" s="2"/>
      <c r="P4388" t="str">
        <f t="shared" si="499"/>
        <v>191545993</v>
      </c>
    </row>
    <row r="4389" spans="1:16" x14ac:dyDescent="0.3">
      <c r="A4389">
        <v>1915</v>
      </c>
      <c r="B4389">
        <v>43</v>
      </c>
      <c r="C4389" t="s">
        <v>26</v>
      </c>
      <c r="D4389" t="s">
        <v>29</v>
      </c>
      <c r="E4389" t="s">
        <v>17</v>
      </c>
      <c r="F4389" t="s">
        <v>21</v>
      </c>
      <c r="G4389" t="s">
        <v>41</v>
      </c>
      <c r="H4389" t="s">
        <v>25</v>
      </c>
      <c r="I4389" s="1">
        <v>3</v>
      </c>
      <c r="J4389" s="2">
        <v>46029</v>
      </c>
      <c r="K4389" s="2">
        <v>46023</v>
      </c>
      <c r="L4389" s="1" t="str">
        <f t="shared" si="500"/>
        <v>qua</v>
      </c>
      <c r="M4389" s="1" t="str">
        <f t="shared" si="501"/>
        <v>jan</v>
      </c>
      <c r="N4389">
        <f t="shared" si="502"/>
        <v>2026</v>
      </c>
      <c r="O4389" s="2"/>
      <c r="P4389" t="str">
        <f t="shared" si="499"/>
        <v>191546029</v>
      </c>
    </row>
    <row r="4390" spans="1:16" x14ac:dyDescent="0.3">
      <c r="A4390">
        <v>1915</v>
      </c>
      <c r="B4390">
        <v>43</v>
      </c>
      <c r="C4390" t="s">
        <v>26</v>
      </c>
      <c r="D4390" t="s">
        <v>29</v>
      </c>
      <c r="E4390" t="s">
        <v>17</v>
      </c>
      <c r="F4390" t="s">
        <v>21</v>
      </c>
      <c r="G4390" t="s">
        <v>41</v>
      </c>
      <c r="H4390" t="s">
        <v>25</v>
      </c>
      <c r="I4390" s="1">
        <v>3</v>
      </c>
      <c r="J4390" s="2">
        <v>46084</v>
      </c>
      <c r="K4390" s="2">
        <v>46082</v>
      </c>
      <c r="L4390" s="1" t="str">
        <f t="shared" si="500"/>
        <v>ter</v>
      </c>
      <c r="M4390" s="1" t="str">
        <f t="shared" si="501"/>
        <v>mar</v>
      </c>
      <c r="N4390">
        <f t="shared" si="502"/>
        <v>2026</v>
      </c>
      <c r="O4390" s="2"/>
      <c r="P4390" t="str">
        <f t="shared" si="499"/>
        <v>191546084</v>
      </c>
    </row>
    <row r="4391" spans="1:16" x14ac:dyDescent="0.3">
      <c r="A4391">
        <v>1915</v>
      </c>
      <c r="B4391">
        <v>43</v>
      </c>
      <c r="C4391" t="s">
        <v>26</v>
      </c>
      <c r="D4391" t="s">
        <v>29</v>
      </c>
      <c r="E4391" t="s">
        <v>17</v>
      </c>
      <c r="F4391" t="s">
        <v>21</v>
      </c>
      <c r="G4391" t="s">
        <v>41</v>
      </c>
      <c r="H4391" t="s">
        <v>25</v>
      </c>
      <c r="I4391" s="1">
        <v>3</v>
      </c>
      <c r="J4391" s="2">
        <v>46092</v>
      </c>
      <c r="K4391" s="2">
        <v>46082</v>
      </c>
      <c r="L4391" s="1" t="str">
        <f t="shared" si="500"/>
        <v>qua</v>
      </c>
      <c r="M4391" s="1" t="str">
        <f t="shared" si="501"/>
        <v>mar</v>
      </c>
      <c r="N4391">
        <f t="shared" si="502"/>
        <v>2026</v>
      </c>
      <c r="O4391" s="2"/>
      <c r="P4391" t="str">
        <f t="shared" si="499"/>
        <v>191546092</v>
      </c>
    </row>
    <row r="4392" spans="1:16" x14ac:dyDescent="0.3">
      <c r="A4392">
        <v>1915</v>
      </c>
      <c r="B4392">
        <v>43</v>
      </c>
      <c r="C4392" t="s">
        <v>26</v>
      </c>
      <c r="D4392" t="s">
        <v>29</v>
      </c>
      <c r="E4392" t="s">
        <v>17</v>
      </c>
      <c r="F4392" t="s">
        <v>21</v>
      </c>
      <c r="G4392" t="s">
        <v>41</v>
      </c>
      <c r="H4392" t="s">
        <v>25</v>
      </c>
      <c r="I4392" s="1">
        <v>3</v>
      </c>
      <c r="J4392" s="2">
        <v>46096</v>
      </c>
      <c r="K4392" s="2">
        <v>46082</v>
      </c>
      <c r="L4392" s="1" t="str">
        <f t="shared" si="500"/>
        <v>dom</v>
      </c>
      <c r="M4392" s="1" t="str">
        <f t="shared" si="501"/>
        <v>mar</v>
      </c>
      <c r="N4392">
        <f t="shared" si="502"/>
        <v>2026</v>
      </c>
      <c r="O4392" s="2"/>
      <c r="P4392" t="str">
        <f t="shared" si="499"/>
        <v>191546096</v>
      </c>
    </row>
    <row r="4393" spans="1:16" x14ac:dyDescent="0.3">
      <c r="A4393">
        <v>1916</v>
      </c>
      <c r="B4393">
        <v>18</v>
      </c>
      <c r="C4393" t="s">
        <v>15</v>
      </c>
      <c r="D4393" t="s">
        <v>27</v>
      </c>
      <c r="E4393" t="s">
        <v>17</v>
      </c>
      <c r="F4393" t="s">
        <v>23</v>
      </c>
      <c r="G4393" t="s">
        <v>41</v>
      </c>
      <c r="H4393" t="s">
        <v>25</v>
      </c>
      <c r="I4393" s="1">
        <v>1</v>
      </c>
      <c r="J4393" s="2">
        <v>45838</v>
      </c>
      <c r="K4393" s="2">
        <v>45809</v>
      </c>
      <c r="L4393" s="1" t="str">
        <f t="shared" si="500"/>
        <v>seg</v>
      </c>
      <c r="M4393" s="1" t="str">
        <f t="shared" si="501"/>
        <v>jun</v>
      </c>
      <c r="N4393">
        <f t="shared" si="502"/>
        <v>2025</v>
      </c>
      <c r="O4393" s="2"/>
      <c r="P4393" t="str">
        <f t="shared" si="499"/>
        <v>191645838</v>
      </c>
    </row>
    <row r="4394" spans="1:16" x14ac:dyDescent="0.3">
      <c r="A4394">
        <v>1916</v>
      </c>
      <c r="B4394">
        <v>18</v>
      </c>
      <c r="C4394" t="s">
        <v>15</v>
      </c>
      <c r="D4394" t="s">
        <v>27</v>
      </c>
      <c r="E4394" t="s">
        <v>17</v>
      </c>
      <c r="F4394" t="s">
        <v>23</v>
      </c>
      <c r="G4394" t="s">
        <v>41</v>
      </c>
      <c r="H4394" t="s">
        <v>25</v>
      </c>
      <c r="I4394" s="1">
        <v>1</v>
      </c>
      <c r="J4394" s="2">
        <v>46004</v>
      </c>
      <c r="K4394" s="2">
        <v>45992</v>
      </c>
      <c r="L4394" s="1" t="str">
        <f t="shared" si="500"/>
        <v>sáb</v>
      </c>
      <c r="M4394" s="1" t="str">
        <f t="shared" si="501"/>
        <v>dez</v>
      </c>
      <c r="N4394">
        <f t="shared" si="502"/>
        <v>2025</v>
      </c>
      <c r="O4394" s="2"/>
      <c r="P4394" t="str">
        <f t="shared" si="499"/>
        <v>191646004</v>
      </c>
    </row>
    <row r="4395" spans="1:16" x14ac:dyDescent="0.3">
      <c r="A4395">
        <v>1916</v>
      </c>
      <c r="B4395">
        <v>18</v>
      </c>
      <c r="C4395" t="s">
        <v>15</v>
      </c>
      <c r="D4395" t="s">
        <v>27</v>
      </c>
      <c r="E4395" t="s">
        <v>17</v>
      </c>
      <c r="F4395" t="s">
        <v>23</v>
      </c>
      <c r="G4395" t="s">
        <v>41</v>
      </c>
      <c r="H4395" t="s">
        <v>25</v>
      </c>
      <c r="I4395" s="1">
        <v>1</v>
      </c>
      <c r="J4395" s="2">
        <v>46009</v>
      </c>
      <c r="K4395" s="2">
        <v>45992</v>
      </c>
      <c r="L4395" s="1" t="str">
        <f t="shared" si="500"/>
        <v>qui</v>
      </c>
      <c r="M4395" s="1" t="str">
        <f t="shared" si="501"/>
        <v>dez</v>
      </c>
      <c r="N4395">
        <f t="shared" si="502"/>
        <v>2025</v>
      </c>
      <c r="O4395" s="2"/>
      <c r="P4395" t="str">
        <f t="shared" si="499"/>
        <v>191646009</v>
      </c>
    </row>
    <row r="4396" spans="1:16" x14ac:dyDescent="0.3">
      <c r="A4396">
        <v>1916</v>
      </c>
      <c r="B4396">
        <v>18</v>
      </c>
      <c r="C4396" t="s">
        <v>15</v>
      </c>
      <c r="D4396" t="s">
        <v>27</v>
      </c>
      <c r="E4396" t="s">
        <v>17</v>
      </c>
      <c r="F4396" t="s">
        <v>23</v>
      </c>
      <c r="G4396" t="s">
        <v>41</v>
      </c>
      <c r="H4396" t="s">
        <v>25</v>
      </c>
      <c r="I4396" s="1">
        <v>1</v>
      </c>
      <c r="J4396" s="2">
        <v>46066</v>
      </c>
      <c r="K4396" s="2">
        <v>46054</v>
      </c>
      <c r="L4396" s="1" t="str">
        <f t="shared" si="500"/>
        <v>sex</v>
      </c>
      <c r="M4396" s="1" t="str">
        <f t="shared" si="501"/>
        <v>fev</v>
      </c>
      <c r="N4396">
        <f t="shared" si="502"/>
        <v>2026</v>
      </c>
      <c r="O4396" s="2"/>
      <c r="P4396" t="str">
        <f t="shared" si="499"/>
        <v>191646066</v>
      </c>
    </row>
    <row r="4397" spans="1:16" x14ac:dyDescent="0.3">
      <c r="A4397">
        <v>1917</v>
      </c>
      <c r="B4397">
        <v>31</v>
      </c>
      <c r="C4397" t="s">
        <v>15</v>
      </c>
      <c r="D4397" t="s">
        <v>27</v>
      </c>
      <c r="E4397" t="s">
        <v>17</v>
      </c>
      <c r="F4397" t="s">
        <v>21</v>
      </c>
      <c r="G4397" t="s">
        <v>41</v>
      </c>
      <c r="H4397" t="s">
        <v>25</v>
      </c>
      <c r="I4397" s="1">
        <v>1</v>
      </c>
      <c r="J4397" s="2">
        <v>45838</v>
      </c>
      <c r="K4397" s="2">
        <v>45809</v>
      </c>
      <c r="L4397" s="1" t="str">
        <f t="shared" si="500"/>
        <v>seg</v>
      </c>
      <c r="M4397" s="1" t="str">
        <f t="shared" si="501"/>
        <v>jun</v>
      </c>
      <c r="N4397">
        <f t="shared" si="502"/>
        <v>2025</v>
      </c>
      <c r="O4397" s="2"/>
      <c r="P4397" t="str">
        <f t="shared" si="499"/>
        <v>191745838</v>
      </c>
    </row>
    <row r="4398" spans="1:16" x14ac:dyDescent="0.3">
      <c r="A4398">
        <v>1917</v>
      </c>
      <c r="B4398">
        <v>31</v>
      </c>
      <c r="C4398" t="s">
        <v>15</v>
      </c>
      <c r="D4398" t="s">
        <v>27</v>
      </c>
      <c r="E4398" t="s">
        <v>17</v>
      </c>
      <c r="F4398" t="s">
        <v>21</v>
      </c>
      <c r="G4398" t="s">
        <v>41</v>
      </c>
      <c r="H4398" t="s">
        <v>25</v>
      </c>
      <c r="I4398" s="1">
        <v>1</v>
      </c>
      <c r="J4398" s="2">
        <v>45845</v>
      </c>
      <c r="K4398" s="2">
        <v>45839</v>
      </c>
      <c r="L4398" s="1" t="str">
        <f t="shared" si="500"/>
        <v>seg</v>
      </c>
      <c r="M4398" s="1" t="str">
        <f t="shared" si="501"/>
        <v>jul</v>
      </c>
      <c r="N4398">
        <f t="shared" si="502"/>
        <v>2025</v>
      </c>
      <c r="O4398" s="2"/>
      <c r="P4398" t="str">
        <f t="shared" si="499"/>
        <v>191745845</v>
      </c>
    </row>
    <row r="4399" spans="1:16" x14ac:dyDescent="0.3">
      <c r="A4399">
        <v>1917</v>
      </c>
      <c r="B4399">
        <v>31</v>
      </c>
      <c r="C4399" t="s">
        <v>15</v>
      </c>
      <c r="D4399" t="s">
        <v>27</v>
      </c>
      <c r="E4399" t="s">
        <v>17</v>
      </c>
      <c r="F4399" t="s">
        <v>21</v>
      </c>
      <c r="G4399" t="s">
        <v>41</v>
      </c>
      <c r="H4399" t="s">
        <v>25</v>
      </c>
      <c r="I4399" s="1">
        <v>1</v>
      </c>
      <c r="J4399" s="2">
        <v>45918</v>
      </c>
      <c r="K4399" s="2">
        <v>45901</v>
      </c>
      <c r="L4399" s="1" t="str">
        <f t="shared" si="500"/>
        <v>qui</v>
      </c>
      <c r="M4399" s="1" t="str">
        <f t="shared" si="501"/>
        <v>set</v>
      </c>
      <c r="N4399">
        <f t="shared" si="502"/>
        <v>2025</v>
      </c>
      <c r="O4399" s="2"/>
      <c r="P4399" t="str">
        <f t="shared" si="499"/>
        <v>191745918</v>
      </c>
    </row>
    <row r="4400" spans="1:16" x14ac:dyDescent="0.3">
      <c r="A4400">
        <v>1917</v>
      </c>
      <c r="B4400">
        <v>31</v>
      </c>
      <c r="C4400" t="s">
        <v>15</v>
      </c>
      <c r="D4400" t="s">
        <v>27</v>
      </c>
      <c r="E4400" t="s">
        <v>17</v>
      </c>
      <c r="F4400" t="s">
        <v>21</v>
      </c>
      <c r="G4400" t="s">
        <v>41</v>
      </c>
      <c r="H4400" t="s">
        <v>25</v>
      </c>
      <c r="I4400" s="1">
        <v>1</v>
      </c>
      <c r="J4400" s="2">
        <v>45987</v>
      </c>
      <c r="K4400" s="2">
        <v>45962</v>
      </c>
      <c r="L4400" s="1" t="str">
        <f t="shared" si="500"/>
        <v>qua</v>
      </c>
      <c r="M4400" s="1" t="str">
        <f t="shared" si="501"/>
        <v>nov</v>
      </c>
      <c r="N4400">
        <f t="shared" si="502"/>
        <v>2025</v>
      </c>
      <c r="O4400" s="2"/>
      <c r="P4400" t="str">
        <f t="shared" si="499"/>
        <v>191745987</v>
      </c>
    </row>
    <row r="4401" spans="1:16" x14ac:dyDescent="0.3">
      <c r="A4401">
        <v>1917</v>
      </c>
      <c r="B4401">
        <v>31</v>
      </c>
      <c r="C4401" t="s">
        <v>15</v>
      </c>
      <c r="D4401" t="s">
        <v>27</v>
      </c>
      <c r="E4401" t="s">
        <v>17</v>
      </c>
      <c r="F4401" t="s">
        <v>21</v>
      </c>
      <c r="G4401" t="s">
        <v>41</v>
      </c>
      <c r="H4401" t="s">
        <v>25</v>
      </c>
      <c r="I4401" s="1">
        <v>1</v>
      </c>
      <c r="J4401" s="2">
        <v>46096</v>
      </c>
      <c r="K4401" s="2">
        <v>46082</v>
      </c>
      <c r="L4401" s="1" t="str">
        <f t="shared" si="500"/>
        <v>dom</v>
      </c>
      <c r="M4401" s="1" t="str">
        <f t="shared" si="501"/>
        <v>mar</v>
      </c>
      <c r="N4401">
        <f t="shared" si="502"/>
        <v>2026</v>
      </c>
      <c r="O4401" s="2"/>
      <c r="P4401" t="str">
        <f t="shared" si="499"/>
        <v>191746096</v>
      </c>
    </row>
    <row r="4402" spans="1:16" x14ac:dyDescent="0.3">
      <c r="A4402">
        <v>1918</v>
      </c>
      <c r="B4402">
        <v>45</v>
      </c>
      <c r="C4402" t="s">
        <v>26</v>
      </c>
      <c r="D4402" t="s">
        <v>29</v>
      </c>
      <c r="E4402" t="s">
        <v>17</v>
      </c>
      <c r="F4402" t="s">
        <v>18</v>
      </c>
      <c r="G4402" t="s">
        <v>41</v>
      </c>
      <c r="H4402" t="s">
        <v>25</v>
      </c>
      <c r="I4402" s="1">
        <v>1</v>
      </c>
      <c r="J4402" s="2">
        <v>45819</v>
      </c>
      <c r="K4402" s="2">
        <v>45809</v>
      </c>
      <c r="L4402" s="1" t="str">
        <f t="shared" si="500"/>
        <v>qua</v>
      </c>
      <c r="M4402" s="1" t="str">
        <f t="shared" si="501"/>
        <v>jun</v>
      </c>
      <c r="N4402">
        <f t="shared" si="502"/>
        <v>2025</v>
      </c>
      <c r="O4402" s="2"/>
      <c r="P4402" t="str">
        <f t="shared" si="499"/>
        <v>191845819</v>
      </c>
    </row>
    <row r="4403" spans="1:16" x14ac:dyDescent="0.3">
      <c r="A4403">
        <v>1918</v>
      </c>
      <c r="B4403">
        <v>45</v>
      </c>
      <c r="C4403" t="s">
        <v>26</v>
      </c>
      <c r="D4403" t="s">
        <v>29</v>
      </c>
      <c r="E4403" t="s">
        <v>17</v>
      </c>
      <c r="F4403" t="s">
        <v>18</v>
      </c>
      <c r="G4403" t="s">
        <v>41</v>
      </c>
      <c r="H4403" t="s">
        <v>25</v>
      </c>
      <c r="I4403" s="1">
        <v>1</v>
      </c>
      <c r="J4403" s="2">
        <v>45921</v>
      </c>
      <c r="K4403" s="2">
        <v>45901</v>
      </c>
      <c r="L4403" s="1" t="str">
        <f t="shared" si="500"/>
        <v>dom</v>
      </c>
      <c r="M4403" s="1" t="str">
        <f t="shared" si="501"/>
        <v>set</v>
      </c>
      <c r="N4403">
        <f t="shared" si="502"/>
        <v>2025</v>
      </c>
      <c r="O4403" s="2"/>
      <c r="P4403" t="str">
        <f t="shared" si="499"/>
        <v>191845921</v>
      </c>
    </row>
    <row r="4404" spans="1:16" x14ac:dyDescent="0.3">
      <c r="A4404">
        <v>1918</v>
      </c>
      <c r="B4404">
        <v>45</v>
      </c>
      <c r="C4404" t="s">
        <v>26</v>
      </c>
      <c r="D4404" t="s">
        <v>29</v>
      </c>
      <c r="E4404" t="s">
        <v>17</v>
      </c>
      <c r="F4404" t="s">
        <v>18</v>
      </c>
      <c r="G4404" t="s">
        <v>41</v>
      </c>
      <c r="H4404" t="s">
        <v>25</v>
      </c>
      <c r="I4404" s="1">
        <v>1</v>
      </c>
      <c r="J4404" s="2">
        <v>46003</v>
      </c>
      <c r="K4404" s="2">
        <v>45992</v>
      </c>
      <c r="L4404" s="1" t="str">
        <f t="shared" si="500"/>
        <v>sex</v>
      </c>
      <c r="M4404" s="1" t="str">
        <f t="shared" si="501"/>
        <v>dez</v>
      </c>
      <c r="N4404">
        <f t="shared" si="502"/>
        <v>2025</v>
      </c>
      <c r="O4404" s="2"/>
      <c r="P4404" t="str">
        <f t="shared" si="499"/>
        <v>191846003</v>
      </c>
    </row>
    <row r="4405" spans="1:16" x14ac:dyDescent="0.3">
      <c r="A4405">
        <v>1918</v>
      </c>
      <c r="B4405">
        <v>45</v>
      </c>
      <c r="C4405" t="s">
        <v>26</v>
      </c>
      <c r="D4405" t="s">
        <v>29</v>
      </c>
      <c r="E4405" t="s">
        <v>17</v>
      </c>
      <c r="F4405" t="s">
        <v>18</v>
      </c>
      <c r="G4405" t="s">
        <v>41</v>
      </c>
      <c r="H4405" t="s">
        <v>25</v>
      </c>
      <c r="I4405" s="1">
        <v>1</v>
      </c>
      <c r="J4405" s="2">
        <v>46196</v>
      </c>
      <c r="K4405" s="2">
        <v>46023</v>
      </c>
      <c r="L4405" s="1" t="str">
        <f t="shared" si="500"/>
        <v>ter</v>
      </c>
      <c r="M4405" s="1" t="str">
        <f t="shared" si="501"/>
        <v>jun</v>
      </c>
      <c r="N4405">
        <f t="shared" si="502"/>
        <v>2026</v>
      </c>
      <c r="O4405" s="2"/>
      <c r="P4405" t="str">
        <f t="shared" si="499"/>
        <v>191846196</v>
      </c>
    </row>
    <row r="4406" spans="1:16" x14ac:dyDescent="0.3">
      <c r="A4406">
        <v>1918</v>
      </c>
      <c r="B4406">
        <v>45</v>
      </c>
      <c r="C4406" t="s">
        <v>26</v>
      </c>
      <c r="D4406" t="s">
        <v>29</v>
      </c>
      <c r="E4406" t="s">
        <v>17</v>
      </c>
      <c r="F4406" t="s">
        <v>18</v>
      </c>
      <c r="G4406" t="s">
        <v>41</v>
      </c>
      <c r="H4406" t="s">
        <v>25</v>
      </c>
      <c r="I4406" s="1">
        <v>1</v>
      </c>
      <c r="J4406" s="2">
        <v>46094</v>
      </c>
      <c r="K4406" s="2">
        <v>46082</v>
      </c>
      <c r="L4406" s="1" t="str">
        <f t="shared" si="500"/>
        <v>sex</v>
      </c>
      <c r="M4406" s="1" t="str">
        <f t="shared" si="501"/>
        <v>mar</v>
      </c>
      <c r="N4406">
        <f t="shared" si="502"/>
        <v>2026</v>
      </c>
      <c r="O4406" s="2"/>
      <c r="P4406" t="str">
        <f t="shared" si="499"/>
        <v>191846094</v>
      </c>
    </row>
    <row r="4407" spans="1:16" x14ac:dyDescent="0.3">
      <c r="A4407">
        <v>1919</v>
      </c>
      <c r="B4407">
        <v>30</v>
      </c>
      <c r="C4407" t="s">
        <v>26</v>
      </c>
      <c r="D4407" t="s">
        <v>16</v>
      </c>
      <c r="E4407" t="s">
        <v>17</v>
      </c>
      <c r="F4407" t="s">
        <v>23</v>
      </c>
      <c r="G4407" t="s">
        <v>41</v>
      </c>
      <c r="H4407" t="s">
        <v>25</v>
      </c>
      <c r="I4407" s="1">
        <v>3</v>
      </c>
      <c r="J4407" s="2">
        <v>45832</v>
      </c>
      <c r="K4407" s="2">
        <v>45809</v>
      </c>
      <c r="L4407" s="1" t="str">
        <f t="shared" si="500"/>
        <v>ter</v>
      </c>
      <c r="M4407" s="1" t="str">
        <f t="shared" si="501"/>
        <v>jun</v>
      </c>
      <c r="N4407">
        <f t="shared" si="502"/>
        <v>2025</v>
      </c>
      <c r="O4407" s="2"/>
      <c r="P4407" t="str">
        <f t="shared" si="499"/>
        <v>191945832</v>
      </c>
    </row>
    <row r="4408" spans="1:16" x14ac:dyDescent="0.3">
      <c r="A4408">
        <v>1919</v>
      </c>
      <c r="B4408">
        <v>30</v>
      </c>
      <c r="C4408" t="s">
        <v>26</v>
      </c>
      <c r="D4408" t="s">
        <v>16</v>
      </c>
      <c r="E4408" t="s">
        <v>17</v>
      </c>
      <c r="F4408" t="s">
        <v>23</v>
      </c>
      <c r="G4408" t="s">
        <v>41</v>
      </c>
      <c r="H4408" t="s">
        <v>25</v>
      </c>
      <c r="I4408" s="1">
        <v>3</v>
      </c>
      <c r="J4408" s="2">
        <v>45899</v>
      </c>
      <c r="K4408" s="2">
        <v>45870</v>
      </c>
      <c r="L4408" s="1" t="str">
        <f t="shared" si="500"/>
        <v>sáb</v>
      </c>
      <c r="M4408" s="1" t="str">
        <f t="shared" si="501"/>
        <v>ago</v>
      </c>
      <c r="N4408">
        <f t="shared" si="502"/>
        <v>2025</v>
      </c>
      <c r="O4408" s="2"/>
      <c r="P4408" t="str">
        <f t="shared" si="499"/>
        <v>191945899</v>
      </c>
    </row>
    <row r="4409" spans="1:16" x14ac:dyDescent="0.3">
      <c r="A4409">
        <v>1919</v>
      </c>
      <c r="B4409">
        <v>30</v>
      </c>
      <c r="C4409" t="s">
        <v>26</v>
      </c>
      <c r="D4409" t="s">
        <v>16</v>
      </c>
      <c r="E4409" t="s">
        <v>17</v>
      </c>
      <c r="F4409" t="s">
        <v>23</v>
      </c>
      <c r="G4409" t="s">
        <v>41</v>
      </c>
      <c r="H4409" t="s">
        <v>25</v>
      </c>
      <c r="I4409" s="1">
        <v>3</v>
      </c>
      <c r="J4409" s="2">
        <v>45901</v>
      </c>
      <c r="K4409" s="2">
        <v>45901</v>
      </c>
      <c r="L4409" s="1" t="str">
        <f t="shared" si="500"/>
        <v>seg</v>
      </c>
      <c r="M4409" s="1" t="str">
        <f t="shared" si="501"/>
        <v>set</v>
      </c>
      <c r="N4409">
        <f t="shared" si="502"/>
        <v>2025</v>
      </c>
      <c r="O4409" s="2"/>
      <c r="P4409" t="str">
        <f t="shared" si="499"/>
        <v>191945901</v>
      </c>
    </row>
    <row r="4410" spans="1:16" x14ac:dyDescent="0.3">
      <c r="A4410">
        <v>1919</v>
      </c>
      <c r="B4410">
        <v>30</v>
      </c>
      <c r="C4410" t="s">
        <v>26</v>
      </c>
      <c r="D4410" t="s">
        <v>16</v>
      </c>
      <c r="E4410" t="s">
        <v>17</v>
      </c>
      <c r="F4410" t="s">
        <v>23</v>
      </c>
      <c r="G4410" t="s">
        <v>41</v>
      </c>
      <c r="H4410" t="s">
        <v>25</v>
      </c>
      <c r="I4410" s="1">
        <v>3</v>
      </c>
      <c r="J4410" s="2">
        <v>45922</v>
      </c>
      <c r="K4410" s="2">
        <v>45901</v>
      </c>
      <c r="L4410" s="1" t="str">
        <f t="shared" si="500"/>
        <v>seg</v>
      </c>
      <c r="M4410" s="1" t="str">
        <f t="shared" si="501"/>
        <v>set</v>
      </c>
      <c r="N4410">
        <f t="shared" si="502"/>
        <v>2025</v>
      </c>
      <c r="O4410" s="2"/>
      <c r="P4410" t="str">
        <f t="shared" si="499"/>
        <v>191945922</v>
      </c>
    </row>
    <row r="4411" spans="1:16" x14ac:dyDescent="0.3">
      <c r="A4411">
        <v>1919</v>
      </c>
      <c r="B4411">
        <v>30</v>
      </c>
      <c r="C4411" t="s">
        <v>26</v>
      </c>
      <c r="D4411" t="s">
        <v>16</v>
      </c>
      <c r="E4411" t="s">
        <v>17</v>
      </c>
      <c r="F4411" t="s">
        <v>23</v>
      </c>
      <c r="G4411" t="s">
        <v>41</v>
      </c>
      <c r="H4411" t="s">
        <v>25</v>
      </c>
      <c r="I4411" s="1">
        <v>3</v>
      </c>
      <c r="J4411" s="2">
        <v>45944</v>
      </c>
      <c r="K4411" s="2">
        <v>45931</v>
      </c>
      <c r="L4411" s="1" t="str">
        <f t="shared" si="500"/>
        <v>ter</v>
      </c>
      <c r="M4411" s="1" t="str">
        <f t="shared" si="501"/>
        <v>out</v>
      </c>
      <c r="N4411">
        <f t="shared" si="502"/>
        <v>2025</v>
      </c>
      <c r="O4411" s="2"/>
      <c r="P4411" t="str">
        <f t="shared" si="499"/>
        <v>191945944</v>
      </c>
    </row>
    <row r="4412" spans="1:16" x14ac:dyDescent="0.3">
      <c r="A4412">
        <v>1920</v>
      </c>
      <c r="B4412">
        <v>52</v>
      </c>
      <c r="C4412" t="s">
        <v>15</v>
      </c>
      <c r="D4412" t="s">
        <v>31</v>
      </c>
      <c r="E4412" t="s">
        <v>32</v>
      </c>
      <c r="F4412" t="s">
        <v>23</v>
      </c>
      <c r="G4412" t="s">
        <v>41</v>
      </c>
      <c r="H4412" t="s">
        <v>25</v>
      </c>
      <c r="I4412" s="1">
        <v>1</v>
      </c>
      <c r="J4412" s="2">
        <v>45855</v>
      </c>
      <c r="K4412" s="2">
        <v>45839</v>
      </c>
      <c r="L4412" s="1" t="str">
        <f t="shared" si="500"/>
        <v>qui</v>
      </c>
      <c r="M4412" s="1" t="str">
        <f t="shared" si="501"/>
        <v>jul</v>
      </c>
      <c r="N4412">
        <f t="shared" si="502"/>
        <v>2025</v>
      </c>
      <c r="O4412" s="2"/>
      <c r="P4412" t="str">
        <f t="shared" si="499"/>
        <v>192045855</v>
      </c>
    </row>
    <row r="4413" spans="1:16" x14ac:dyDescent="0.3">
      <c r="A4413">
        <v>1920</v>
      </c>
      <c r="B4413">
        <v>52</v>
      </c>
      <c r="C4413" t="s">
        <v>15</v>
      </c>
      <c r="D4413" t="s">
        <v>31</v>
      </c>
      <c r="E4413" t="s">
        <v>32</v>
      </c>
      <c r="F4413" t="s">
        <v>23</v>
      </c>
      <c r="G4413" t="s">
        <v>41</v>
      </c>
      <c r="H4413" t="s">
        <v>25</v>
      </c>
      <c r="I4413" s="1">
        <v>1</v>
      </c>
      <c r="J4413" s="2">
        <v>45887</v>
      </c>
      <c r="K4413" s="2">
        <v>45870</v>
      </c>
      <c r="L4413" s="1" t="str">
        <f t="shared" si="500"/>
        <v>seg</v>
      </c>
      <c r="M4413" s="1" t="str">
        <f t="shared" si="501"/>
        <v>ago</v>
      </c>
      <c r="N4413">
        <f t="shared" si="502"/>
        <v>2025</v>
      </c>
      <c r="O4413" s="2"/>
      <c r="P4413" t="str">
        <f t="shared" ref="P4413:P4476" si="503">CONCATENATE(A4413,J4413)</f>
        <v>192045887</v>
      </c>
    </row>
    <row r="4414" spans="1:16" x14ac:dyDescent="0.3">
      <c r="A4414">
        <v>1920</v>
      </c>
      <c r="B4414">
        <v>52</v>
      </c>
      <c r="C4414" t="s">
        <v>15</v>
      </c>
      <c r="D4414" t="s">
        <v>31</v>
      </c>
      <c r="E4414" t="s">
        <v>32</v>
      </c>
      <c r="F4414" t="s">
        <v>23</v>
      </c>
      <c r="G4414" t="s">
        <v>41</v>
      </c>
      <c r="H4414" t="s">
        <v>25</v>
      </c>
      <c r="I4414" s="1">
        <v>1</v>
      </c>
      <c r="J4414" s="2">
        <v>46014</v>
      </c>
      <c r="K4414" s="2">
        <v>45992</v>
      </c>
      <c r="L4414" s="1" t="str">
        <f t="shared" si="500"/>
        <v>ter</v>
      </c>
      <c r="M4414" s="1" t="str">
        <f t="shared" si="501"/>
        <v>dez</v>
      </c>
      <c r="N4414">
        <f t="shared" si="502"/>
        <v>2025</v>
      </c>
      <c r="O4414" s="2"/>
      <c r="P4414" t="str">
        <f t="shared" si="503"/>
        <v>192046014</v>
      </c>
    </row>
    <row r="4415" spans="1:16" x14ac:dyDescent="0.3">
      <c r="A4415">
        <v>1920</v>
      </c>
      <c r="B4415">
        <v>52</v>
      </c>
      <c r="C4415" t="s">
        <v>15</v>
      </c>
      <c r="D4415" t="s">
        <v>31</v>
      </c>
      <c r="E4415" t="s">
        <v>32</v>
      </c>
      <c r="F4415" t="s">
        <v>23</v>
      </c>
      <c r="G4415" t="s">
        <v>41</v>
      </c>
      <c r="H4415" t="s">
        <v>25</v>
      </c>
      <c r="I4415" s="1">
        <v>1</v>
      </c>
      <c r="J4415" s="2">
        <v>46199</v>
      </c>
      <c r="K4415" s="2">
        <v>46023</v>
      </c>
      <c r="L4415" s="1" t="str">
        <f t="shared" si="500"/>
        <v>sex</v>
      </c>
      <c r="M4415" s="1" t="str">
        <f t="shared" si="501"/>
        <v>jun</v>
      </c>
      <c r="N4415">
        <f t="shared" si="502"/>
        <v>2026</v>
      </c>
      <c r="O4415" s="2"/>
      <c r="P4415" t="str">
        <f t="shared" si="503"/>
        <v>192046199</v>
      </c>
    </row>
    <row r="4416" spans="1:16" x14ac:dyDescent="0.3">
      <c r="A4416">
        <v>1920</v>
      </c>
      <c r="B4416">
        <v>52</v>
      </c>
      <c r="C4416" t="s">
        <v>15</v>
      </c>
      <c r="D4416" t="s">
        <v>31</v>
      </c>
      <c r="E4416" t="s">
        <v>32</v>
      </c>
      <c r="F4416" t="s">
        <v>23</v>
      </c>
      <c r="G4416" t="s">
        <v>41</v>
      </c>
      <c r="H4416" t="s">
        <v>25</v>
      </c>
      <c r="I4416" s="1">
        <v>1</v>
      </c>
      <c r="J4416" s="2">
        <v>46057</v>
      </c>
      <c r="K4416" s="2">
        <v>46054</v>
      </c>
      <c r="L4416" s="1" t="str">
        <f t="shared" si="500"/>
        <v>qua</v>
      </c>
      <c r="M4416" s="1" t="str">
        <f t="shared" si="501"/>
        <v>fev</v>
      </c>
      <c r="N4416">
        <f t="shared" si="502"/>
        <v>2026</v>
      </c>
      <c r="O4416" s="2"/>
      <c r="P4416" t="str">
        <f t="shared" si="503"/>
        <v>192046057</v>
      </c>
    </row>
    <row r="4417" spans="1:16" x14ac:dyDescent="0.3">
      <c r="A4417">
        <v>1921</v>
      </c>
      <c r="B4417">
        <v>42</v>
      </c>
      <c r="C4417" t="s">
        <v>26</v>
      </c>
      <c r="D4417" t="s">
        <v>31</v>
      </c>
      <c r="E4417" t="s">
        <v>34</v>
      </c>
      <c r="F4417" t="s">
        <v>18</v>
      </c>
      <c r="G4417" t="s">
        <v>41</v>
      </c>
      <c r="H4417" t="s">
        <v>25</v>
      </c>
      <c r="I4417" s="1">
        <v>2</v>
      </c>
      <c r="J4417" s="2">
        <v>45837</v>
      </c>
      <c r="K4417" s="2">
        <v>45809</v>
      </c>
      <c r="L4417" s="1" t="str">
        <f t="shared" si="500"/>
        <v>dom</v>
      </c>
      <c r="M4417" s="1" t="str">
        <f t="shared" si="501"/>
        <v>jun</v>
      </c>
      <c r="N4417">
        <f t="shared" si="502"/>
        <v>2025</v>
      </c>
      <c r="O4417" s="2"/>
      <c r="P4417" t="str">
        <f t="shared" si="503"/>
        <v>192145837</v>
      </c>
    </row>
    <row r="4418" spans="1:16" x14ac:dyDescent="0.3">
      <c r="A4418">
        <v>1921</v>
      </c>
      <c r="B4418">
        <v>42</v>
      </c>
      <c r="C4418" t="s">
        <v>26</v>
      </c>
      <c r="D4418" t="s">
        <v>31</v>
      </c>
      <c r="E4418" t="s">
        <v>34</v>
      </c>
      <c r="F4418" t="s">
        <v>18</v>
      </c>
      <c r="G4418" t="s">
        <v>41</v>
      </c>
      <c r="H4418" t="s">
        <v>25</v>
      </c>
      <c r="I4418" s="1">
        <v>2</v>
      </c>
      <c r="J4418" s="2">
        <v>45960</v>
      </c>
      <c r="K4418" s="2">
        <v>45931</v>
      </c>
      <c r="L4418" s="1" t="str">
        <f t="shared" si="500"/>
        <v>qui</v>
      </c>
      <c r="M4418" s="1" t="str">
        <f t="shared" si="501"/>
        <v>out</v>
      </c>
      <c r="N4418">
        <f t="shared" si="502"/>
        <v>2025</v>
      </c>
      <c r="O4418" s="2"/>
      <c r="P4418" t="str">
        <f t="shared" si="503"/>
        <v>192145960</v>
      </c>
    </row>
    <row r="4419" spans="1:16" x14ac:dyDescent="0.3">
      <c r="A4419">
        <v>1921</v>
      </c>
      <c r="B4419">
        <v>42</v>
      </c>
      <c r="C4419" t="s">
        <v>26</v>
      </c>
      <c r="D4419" t="s">
        <v>31</v>
      </c>
      <c r="E4419" t="s">
        <v>34</v>
      </c>
      <c r="F4419" t="s">
        <v>18</v>
      </c>
      <c r="G4419" t="s">
        <v>41</v>
      </c>
      <c r="H4419" t="s">
        <v>25</v>
      </c>
      <c r="I4419" s="1">
        <v>2</v>
      </c>
      <c r="J4419" s="2">
        <v>45971</v>
      </c>
      <c r="K4419" s="2">
        <v>45962</v>
      </c>
      <c r="L4419" s="1" t="str">
        <f t="shared" si="500"/>
        <v>seg</v>
      </c>
      <c r="M4419" s="1" t="str">
        <f t="shared" si="501"/>
        <v>nov</v>
      </c>
      <c r="N4419">
        <f t="shared" si="502"/>
        <v>2025</v>
      </c>
      <c r="O4419" s="2"/>
      <c r="P4419" t="str">
        <f t="shared" si="503"/>
        <v>192145971</v>
      </c>
    </row>
    <row r="4420" spans="1:16" x14ac:dyDescent="0.3">
      <c r="A4420">
        <v>1921</v>
      </c>
      <c r="B4420">
        <v>42</v>
      </c>
      <c r="C4420" t="s">
        <v>26</v>
      </c>
      <c r="D4420" t="s">
        <v>31</v>
      </c>
      <c r="E4420" t="s">
        <v>34</v>
      </c>
      <c r="F4420" t="s">
        <v>18</v>
      </c>
      <c r="G4420" t="s">
        <v>41</v>
      </c>
      <c r="H4420" t="s">
        <v>25</v>
      </c>
      <c r="I4420" s="1">
        <v>2</v>
      </c>
      <c r="J4420" s="2">
        <v>46182</v>
      </c>
      <c r="K4420" s="2">
        <v>46023</v>
      </c>
      <c r="L4420" s="1" t="str">
        <f t="shared" si="500"/>
        <v>ter</v>
      </c>
      <c r="M4420" s="1" t="str">
        <f t="shared" si="501"/>
        <v>jun</v>
      </c>
      <c r="N4420">
        <f t="shared" si="502"/>
        <v>2026</v>
      </c>
      <c r="O4420" s="2"/>
      <c r="P4420" t="str">
        <f t="shared" si="503"/>
        <v>192146182</v>
      </c>
    </row>
    <row r="4421" spans="1:16" x14ac:dyDescent="0.3">
      <c r="A4421">
        <v>1921</v>
      </c>
      <c r="B4421">
        <v>42</v>
      </c>
      <c r="C4421" t="s">
        <v>26</v>
      </c>
      <c r="D4421" t="s">
        <v>31</v>
      </c>
      <c r="E4421" t="s">
        <v>34</v>
      </c>
      <c r="F4421" t="s">
        <v>18</v>
      </c>
      <c r="G4421" t="s">
        <v>41</v>
      </c>
      <c r="H4421" t="s">
        <v>25</v>
      </c>
      <c r="I4421" s="1">
        <v>2</v>
      </c>
      <c r="J4421" s="2">
        <v>46097</v>
      </c>
      <c r="K4421" s="2">
        <v>46082</v>
      </c>
      <c r="L4421" s="1" t="str">
        <f t="shared" si="500"/>
        <v>seg</v>
      </c>
      <c r="M4421" s="1" t="str">
        <f t="shared" si="501"/>
        <v>mar</v>
      </c>
      <c r="N4421">
        <f t="shared" si="502"/>
        <v>2026</v>
      </c>
      <c r="O4421" s="2"/>
      <c r="P4421" t="str">
        <f t="shared" si="503"/>
        <v>192146097</v>
      </c>
    </row>
    <row r="4422" spans="1:16" x14ac:dyDescent="0.3">
      <c r="A4422">
        <v>1921</v>
      </c>
      <c r="B4422">
        <v>42</v>
      </c>
      <c r="C4422" t="s">
        <v>26</v>
      </c>
      <c r="D4422" t="s">
        <v>31</v>
      </c>
      <c r="E4422" t="s">
        <v>34</v>
      </c>
      <c r="F4422" t="s">
        <v>18</v>
      </c>
      <c r="G4422" t="s">
        <v>41</v>
      </c>
      <c r="H4422" t="s">
        <v>25</v>
      </c>
      <c r="I4422" s="1">
        <v>2</v>
      </c>
      <c r="J4422" s="2">
        <v>46105</v>
      </c>
      <c r="K4422" s="2">
        <v>46082</v>
      </c>
      <c r="L4422" s="1" t="str">
        <f t="shared" si="500"/>
        <v>ter</v>
      </c>
      <c r="M4422" s="1" t="str">
        <f t="shared" si="501"/>
        <v>mar</v>
      </c>
      <c r="N4422">
        <f t="shared" si="502"/>
        <v>2026</v>
      </c>
      <c r="O4422" s="2"/>
      <c r="P4422" t="str">
        <f t="shared" si="503"/>
        <v>192146105</v>
      </c>
    </row>
    <row r="4423" spans="1:16" x14ac:dyDescent="0.3">
      <c r="A4423">
        <v>1922</v>
      </c>
      <c r="B4423">
        <v>21</v>
      </c>
      <c r="C4423" t="s">
        <v>15</v>
      </c>
      <c r="D4423" t="s">
        <v>29</v>
      </c>
      <c r="E4423" t="s">
        <v>17</v>
      </c>
      <c r="F4423" t="s">
        <v>21</v>
      </c>
      <c r="G4423" t="s">
        <v>41</v>
      </c>
      <c r="H4423" t="s">
        <v>25</v>
      </c>
      <c r="I4423" s="1">
        <v>1</v>
      </c>
      <c r="J4423" s="2">
        <v>45832</v>
      </c>
      <c r="K4423" s="2">
        <v>45809</v>
      </c>
      <c r="L4423" s="1" t="str">
        <f t="shared" si="500"/>
        <v>ter</v>
      </c>
      <c r="M4423" s="1" t="str">
        <f t="shared" si="501"/>
        <v>jun</v>
      </c>
      <c r="N4423">
        <f t="shared" si="502"/>
        <v>2025</v>
      </c>
      <c r="O4423" s="2"/>
      <c r="P4423" t="str">
        <f t="shared" si="503"/>
        <v>192245832</v>
      </c>
    </row>
    <row r="4424" spans="1:16" x14ac:dyDescent="0.3">
      <c r="A4424">
        <v>1922</v>
      </c>
      <c r="B4424">
        <v>21</v>
      </c>
      <c r="C4424" t="s">
        <v>15</v>
      </c>
      <c r="D4424" t="s">
        <v>29</v>
      </c>
      <c r="E4424" t="s">
        <v>17</v>
      </c>
      <c r="F4424" t="s">
        <v>21</v>
      </c>
      <c r="G4424" t="s">
        <v>41</v>
      </c>
      <c r="H4424" t="s">
        <v>25</v>
      </c>
      <c r="I4424" s="1">
        <v>1</v>
      </c>
      <c r="J4424" s="2">
        <v>45852</v>
      </c>
      <c r="K4424" s="2">
        <v>45839</v>
      </c>
      <c r="L4424" s="1" t="str">
        <f t="shared" si="500"/>
        <v>seg</v>
      </c>
      <c r="M4424" s="1" t="str">
        <f t="shared" si="501"/>
        <v>jul</v>
      </c>
      <c r="N4424">
        <f t="shared" si="502"/>
        <v>2025</v>
      </c>
      <c r="O4424" s="2"/>
      <c r="P4424" t="str">
        <f t="shared" si="503"/>
        <v>192245852</v>
      </c>
    </row>
    <row r="4425" spans="1:16" x14ac:dyDescent="0.3">
      <c r="A4425">
        <v>1922</v>
      </c>
      <c r="B4425">
        <v>21</v>
      </c>
      <c r="C4425" t="s">
        <v>15</v>
      </c>
      <c r="D4425" t="s">
        <v>29</v>
      </c>
      <c r="E4425" t="s">
        <v>17</v>
      </c>
      <c r="F4425" t="s">
        <v>21</v>
      </c>
      <c r="G4425" t="s">
        <v>41</v>
      </c>
      <c r="H4425" t="s">
        <v>25</v>
      </c>
      <c r="I4425" s="1">
        <v>1</v>
      </c>
      <c r="J4425" s="2">
        <v>45865</v>
      </c>
      <c r="K4425" s="2">
        <v>45839</v>
      </c>
      <c r="L4425" s="1" t="str">
        <f t="shared" si="500"/>
        <v>dom</v>
      </c>
      <c r="M4425" s="1" t="str">
        <f t="shared" si="501"/>
        <v>jul</v>
      </c>
      <c r="N4425">
        <f t="shared" si="502"/>
        <v>2025</v>
      </c>
      <c r="O4425" s="2"/>
      <c r="P4425" t="str">
        <f t="shared" si="503"/>
        <v>192245865</v>
      </c>
    </row>
    <row r="4426" spans="1:16" x14ac:dyDescent="0.3">
      <c r="A4426">
        <v>1922</v>
      </c>
      <c r="B4426">
        <v>21</v>
      </c>
      <c r="C4426" t="s">
        <v>15</v>
      </c>
      <c r="D4426" t="s">
        <v>29</v>
      </c>
      <c r="E4426" t="s">
        <v>17</v>
      </c>
      <c r="F4426" t="s">
        <v>21</v>
      </c>
      <c r="G4426" t="s">
        <v>41</v>
      </c>
      <c r="H4426" t="s">
        <v>25</v>
      </c>
      <c r="I4426" s="1">
        <v>1</v>
      </c>
      <c r="J4426" s="2">
        <v>45893</v>
      </c>
      <c r="K4426" s="2">
        <v>45870</v>
      </c>
      <c r="L4426" s="1" t="str">
        <f t="shared" si="500"/>
        <v>dom</v>
      </c>
      <c r="M4426" s="1" t="str">
        <f t="shared" si="501"/>
        <v>ago</v>
      </c>
      <c r="N4426">
        <f t="shared" si="502"/>
        <v>2025</v>
      </c>
      <c r="O4426" s="2"/>
      <c r="P4426" t="str">
        <f t="shared" si="503"/>
        <v>192245893</v>
      </c>
    </row>
    <row r="4427" spans="1:16" x14ac:dyDescent="0.3">
      <c r="A4427">
        <v>1923</v>
      </c>
      <c r="B4427">
        <v>33</v>
      </c>
      <c r="C4427" t="s">
        <v>26</v>
      </c>
      <c r="D4427" t="s">
        <v>16</v>
      </c>
      <c r="E4427" t="s">
        <v>17</v>
      </c>
      <c r="F4427" t="s">
        <v>21</v>
      </c>
      <c r="G4427" t="s">
        <v>41</v>
      </c>
      <c r="H4427" t="s">
        <v>25</v>
      </c>
      <c r="I4427" s="1">
        <v>2</v>
      </c>
      <c r="J4427" s="2">
        <v>45840</v>
      </c>
      <c r="K4427" s="2">
        <v>45839</v>
      </c>
      <c r="L4427" s="1" t="str">
        <f t="shared" si="500"/>
        <v>qua</v>
      </c>
      <c r="M4427" s="1" t="str">
        <f t="shared" si="501"/>
        <v>jul</v>
      </c>
      <c r="N4427">
        <f t="shared" si="502"/>
        <v>2025</v>
      </c>
      <c r="O4427" s="2"/>
      <c r="P4427" t="str">
        <f t="shared" si="503"/>
        <v>192345840</v>
      </c>
    </row>
    <row r="4428" spans="1:16" x14ac:dyDescent="0.3">
      <c r="A4428">
        <v>1923</v>
      </c>
      <c r="B4428">
        <v>33</v>
      </c>
      <c r="C4428" t="s">
        <v>26</v>
      </c>
      <c r="D4428" t="s">
        <v>16</v>
      </c>
      <c r="E4428" t="s">
        <v>17</v>
      </c>
      <c r="F4428" t="s">
        <v>21</v>
      </c>
      <c r="G4428" t="s">
        <v>41</v>
      </c>
      <c r="H4428" t="s">
        <v>25</v>
      </c>
      <c r="I4428" s="1">
        <v>2</v>
      </c>
      <c r="J4428" s="2">
        <v>45942</v>
      </c>
      <c r="K4428" s="2">
        <v>45931</v>
      </c>
      <c r="L4428" s="1" t="str">
        <f t="shared" si="500"/>
        <v>dom</v>
      </c>
      <c r="M4428" s="1" t="str">
        <f t="shared" si="501"/>
        <v>out</v>
      </c>
      <c r="N4428">
        <f t="shared" si="502"/>
        <v>2025</v>
      </c>
      <c r="O4428" s="2"/>
      <c r="P4428" t="str">
        <f t="shared" si="503"/>
        <v>192345942</v>
      </c>
    </row>
    <row r="4429" spans="1:16" x14ac:dyDescent="0.3">
      <c r="A4429">
        <v>1923</v>
      </c>
      <c r="B4429">
        <v>33</v>
      </c>
      <c r="C4429" t="s">
        <v>26</v>
      </c>
      <c r="D4429" t="s">
        <v>16</v>
      </c>
      <c r="E4429" t="s">
        <v>17</v>
      </c>
      <c r="F4429" t="s">
        <v>21</v>
      </c>
      <c r="G4429" t="s">
        <v>41</v>
      </c>
      <c r="H4429" t="s">
        <v>25</v>
      </c>
      <c r="I4429" s="1">
        <v>2</v>
      </c>
      <c r="J4429" s="2">
        <v>45964</v>
      </c>
      <c r="K4429" s="2">
        <v>45962</v>
      </c>
      <c r="L4429" s="1" t="str">
        <f t="shared" si="500"/>
        <v>seg</v>
      </c>
      <c r="M4429" s="1" t="str">
        <f t="shared" si="501"/>
        <v>nov</v>
      </c>
      <c r="N4429">
        <f t="shared" si="502"/>
        <v>2025</v>
      </c>
      <c r="O4429" s="2"/>
      <c r="P4429" t="str">
        <f t="shared" si="503"/>
        <v>192345964</v>
      </c>
    </row>
    <row r="4430" spans="1:16" x14ac:dyDescent="0.3">
      <c r="A4430">
        <v>1923</v>
      </c>
      <c r="B4430">
        <v>33</v>
      </c>
      <c r="C4430" t="s">
        <v>26</v>
      </c>
      <c r="D4430" t="s">
        <v>16</v>
      </c>
      <c r="E4430" t="s">
        <v>17</v>
      </c>
      <c r="F4430" t="s">
        <v>21</v>
      </c>
      <c r="G4430" t="s">
        <v>41</v>
      </c>
      <c r="H4430" t="s">
        <v>25</v>
      </c>
      <c r="I4430" s="1">
        <v>2</v>
      </c>
      <c r="J4430" s="2">
        <v>46197</v>
      </c>
      <c r="K4430" s="2">
        <v>46023</v>
      </c>
      <c r="L4430" s="1" t="str">
        <f t="shared" ref="L4430:L4456" si="504">TEXT(J4430,"ddd")</f>
        <v>qua</v>
      </c>
      <c r="M4430" s="1" t="str">
        <f t="shared" ref="M4430:M4456" si="505">TEXT($J4430,"mmm")</f>
        <v>jun</v>
      </c>
      <c r="N4430">
        <f t="shared" ref="N4430:N4456" si="506">YEAR(J4430)</f>
        <v>2026</v>
      </c>
      <c r="O4430" s="2"/>
      <c r="P4430" t="str">
        <f t="shared" si="503"/>
        <v>192346197</v>
      </c>
    </row>
    <row r="4431" spans="1:16" x14ac:dyDescent="0.3">
      <c r="A4431">
        <v>1923</v>
      </c>
      <c r="B4431">
        <v>33</v>
      </c>
      <c r="C4431" t="s">
        <v>26</v>
      </c>
      <c r="D4431" t="s">
        <v>16</v>
      </c>
      <c r="E4431" t="s">
        <v>17</v>
      </c>
      <c r="F4431" t="s">
        <v>21</v>
      </c>
      <c r="G4431" t="s">
        <v>41</v>
      </c>
      <c r="H4431" t="s">
        <v>25</v>
      </c>
      <c r="I4431" s="1">
        <v>2</v>
      </c>
      <c r="J4431" s="2">
        <v>46202</v>
      </c>
      <c r="K4431" s="2">
        <v>46023</v>
      </c>
      <c r="L4431" s="1" t="str">
        <f t="shared" si="504"/>
        <v>seg</v>
      </c>
      <c r="M4431" s="1" t="str">
        <f t="shared" si="505"/>
        <v>jun</v>
      </c>
      <c r="N4431">
        <f t="shared" si="506"/>
        <v>2026</v>
      </c>
      <c r="O4431" s="2"/>
      <c r="P4431" t="str">
        <f t="shared" si="503"/>
        <v>192346202</v>
      </c>
    </row>
    <row r="4432" spans="1:16" x14ac:dyDescent="0.3">
      <c r="A4432">
        <v>1923</v>
      </c>
      <c r="B4432">
        <v>33</v>
      </c>
      <c r="C4432" t="s">
        <v>26</v>
      </c>
      <c r="D4432" t="s">
        <v>16</v>
      </c>
      <c r="E4432" t="s">
        <v>17</v>
      </c>
      <c r="F4432" t="s">
        <v>21</v>
      </c>
      <c r="G4432" t="s">
        <v>41</v>
      </c>
      <c r="H4432" t="s">
        <v>25</v>
      </c>
      <c r="I4432" s="1">
        <v>2</v>
      </c>
      <c r="J4432" s="2">
        <v>46056</v>
      </c>
      <c r="K4432" s="2">
        <v>46054</v>
      </c>
      <c r="L4432" s="1" t="str">
        <f t="shared" si="504"/>
        <v>ter</v>
      </c>
      <c r="M4432" s="1" t="str">
        <f t="shared" si="505"/>
        <v>fev</v>
      </c>
      <c r="N4432">
        <f t="shared" si="506"/>
        <v>2026</v>
      </c>
      <c r="O4432" s="2"/>
      <c r="P4432" t="str">
        <f t="shared" si="503"/>
        <v>192346056</v>
      </c>
    </row>
    <row r="4433" spans="1:16" x14ac:dyDescent="0.3">
      <c r="A4433">
        <v>1924</v>
      </c>
      <c r="B4433">
        <v>38</v>
      </c>
      <c r="C4433" t="s">
        <v>15</v>
      </c>
      <c r="D4433" t="s">
        <v>16</v>
      </c>
      <c r="E4433" t="s">
        <v>17</v>
      </c>
      <c r="F4433" t="s">
        <v>23</v>
      </c>
      <c r="G4433" t="s">
        <v>41</v>
      </c>
      <c r="H4433" t="s">
        <v>25</v>
      </c>
      <c r="I4433" s="1">
        <v>2</v>
      </c>
      <c r="J4433" s="2">
        <v>45839</v>
      </c>
      <c r="K4433" s="2">
        <v>45839</v>
      </c>
      <c r="L4433" s="1" t="str">
        <f t="shared" si="504"/>
        <v>ter</v>
      </c>
      <c r="M4433" s="1" t="str">
        <f t="shared" si="505"/>
        <v>jul</v>
      </c>
      <c r="N4433">
        <f t="shared" si="506"/>
        <v>2025</v>
      </c>
      <c r="O4433" s="2"/>
      <c r="P4433" t="str">
        <f t="shared" si="503"/>
        <v>192445839</v>
      </c>
    </row>
    <row r="4434" spans="1:16" x14ac:dyDescent="0.3">
      <c r="A4434">
        <v>1924</v>
      </c>
      <c r="B4434">
        <v>38</v>
      </c>
      <c r="C4434" t="s">
        <v>15</v>
      </c>
      <c r="D4434" t="s">
        <v>16</v>
      </c>
      <c r="E4434" t="s">
        <v>17</v>
      </c>
      <c r="F4434" t="s">
        <v>23</v>
      </c>
      <c r="G4434" t="s">
        <v>41</v>
      </c>
      <c r="H4434" t="s">
        <v>25</v>
      </c>
      <c r="I4434" s="1">
        <v>2</v>
      </c>
      <c r="J4434" s="2">
        <v>45872</v>
      </c>
      <c r="K4434" s="2">
        <v>45870</v>
      </c>
      <c r="L4434" s="1" t="str">
        <f t="shared" si="504"/>
        <v>dom</v>
      </c>
      <c r="M4434" s="1" t="str">
        <f t="shared" si="505"/>
        <v>ago</v>
      </c>
      <c r="N4434">
        <f t="shared" si="506"/>
        <v>2025</v>
      </c>
      <c r="O4434" s="2"/>
      <c r="P4434" t="str">
        <f t="shared" si="503"/>
        <v>192445872</v>
      </c>
    </row>
    <row r="4435" spans="1:16" x14ac:dyDescent="0.3">
      <c r="A4435">
        <v>1924</v>
      </c>
      <c r="B4435">
        <v>38</v>
      </c>
      <c r="C4435" t="s">
        <v>15</v>
      </c>
      <c r="D4435" t="s">
        <v>16</v>
      </c>
      <c r="E4435" t="s">
        <v>17</v>
      </c>
      <c r="F4435" t="s">
        <v>23</v>
      </c>
      <c r="G4435" t="s">
        <v>41</v>
      </c>
      <c r="H4435" t="s">
        <v>25</v>
      </c>
      <c r="I4435" s="1">
        <v>2</v>
      </c>
      <c r="J4435" s="2">
        <v>45890</v>
      </c>
      <c r="K4435" s="2">
        <v>45870</v>
      </c>
      <c r="L4435" s="1" t="str">
        <f t="shared" si="504"/>
        <v>qui</v>
      </c>
      <c r="M4435" s="1" t="str">
        <f t="shared" si="505"/>
        <v>ago</v>
      </c>
      <c r="N4435">
        <f t="shared" si="506"/>
        <v>2025</v>
      </c>
      <c r="O4435" s="2"/>
      <c r="P4435" t="str">
        <f t="shared" si="503"/>
        <v>192445890</v>
      </c>
    </row>
    <row r="4436" spans="1:16" x14ac:dyDescent="0.3">
      <c r="A4436">
        <v>1924</v>
      </c>
      <c r="B4436">
        <v>38</v>
      </c>
      <c r="C4436" t="s">
        <v>15</v>
      </c>
      <c r="D4436" t="s">
        <v>16</v>
      </c>
      <c r="E4436" t="s">
        <v>17</v>
      </c>
      <c r="F4436" t="s">
        <v>23</v>
      </c>
      <c r="G4436" t="s">
        <v>41</v>
      </c>
      <c r="H4436" t="s">
        <v>25</v>
      </c>
      <c r="I4436" s="1">
        <v>2</v>
      </c>
      <c r="J4436" s="2">
        <v>45968</v>
      </c>
      <c r="K4436" s="2">
        <v>45962</v>
      </c>
      <c r="L4436" s="1" t="str">
        <f t="shared" si="504"/>
        <v>sex</v>
      </c>
      <c r="M4436" s="1" t="str">
        <f t="shared" si="505"/>
        <v>nov</v>
      </c>
      <c r="N4436">
        <f t="shared" si="506"/>
        <v>2025</v>
      </c>
      <c r="O4436" s="2"/>
      <c r="P4436" t="str">
        <f t="shared" si="503"/>
        <v>192445968</v>
      </c>
    </row>
    <row r="4437" spans="1:16" x14ac:dyDescent="0.3">
      <c r="A4437">
        <v>1924</v>
      </c>
      <c r="B4437">
        <v>38</v>
      </c>
      <c r="C4437" t="s">
        <v>15</v>
      </c>
      <c r="D4437" t="s">
        <v>16</v>
      </c>
      <c r="E4437" t="s">
        <v>17</v>
      </c>
      <c r="F4437" t="s">
        <v>23</v>
      </c>
      <c r="G4437" t="s">
        <v>41</v>
      </c>
      <c r="H4437" t="s">
        <v>25</v>
      </c>
      <c r="I4437" s="1">
        <v>2</v>
      </c>
      <c r="J4437" s="2">
        <v>45985</v>
      </c>
      <c r="K4437" s="2">
        <v>45962</v>
      </c>
      <c r="L4437" s="1" t="str">
        <f t="shared" si="504"/>
        <v>seg</v>
      </c>
      <c r="M4437" s="1" t="str">
        <f t="shared" si="505"/>
        <v>nov</v>
      </c>
      <c r="N4437">
        <f t="shared" si="506"/>
        <v>2025</v>
      </c>
      <c r="O4437" s="2"/>
      <c r="P4437" t="str">
        <f t="shared" si="503"/>
        <v>192445985</v>
      </c>
    </row>
    <row r="4438" spans="1:16" x14ac:dyDescent="0.3">
      <c r="A4438">
        <v>1925</v>
      </c>
      <c r="B4438">
        <v>54</v>
      </c>
      <c r="C4438" t="s">
        <v>15</v>
      </c>
      <c r="D4438" t="s">
        <v>16</v>
      </c>
      <c r="E4438" t="s">
        <v>17</v>
      </c>
      <c r="F4438" t="s">
        <v>23</v>
      </c>
      <c r="G4438" t="s">
        <v>41</v>
      </c>
      <c r="H4438" t="s">
        <v>25</v>
      </c>
      <c r="I4438" s="1">
        <v>3</v>
      </c>
      <c r="J4438" s="2">
        <v>45831</v>
      </c>
      <c r="K4438" s="2">
        <v>45809</v>
      </c>
      <c r="L4438" s="1" t="str">
        <f t="shared" si="504"/>
        <v>seg</v>
      </c>
      <c r="M4438" s="1" t="str">
        <f t="shared" si="505"/>
        <v>jun</v>
      </c>
      <c r="N4438">
        <f t="shared" si="506"/>
        <v>2025</v>
      </c>
      <c r="O4438" s="2"/>
      <c r="P4438" t="str">
        <f t="shared" si="503"/>
        <v>192545831</v>
      </c>
    </row>
    <row r="4439" spans="1:16" x14ac:dyDescent="0.3">
      <c r="A4439">
        <v>1925</v>
      </c>
      <c r="B4439">
        <v>54</v>
      </c>
      <c r="C4439" t="s">
        <v>15</v>
      </c>
      <c r="D4439" t="s">
        <v>16</v>
      </c>
      <c r="E4439" t="s">
        <v>17</v>
      </c>
      <c r="F4439" t="s">
        <v>23</v>
      </c>
      <c r="G4439" t="s">
        <v>41</v>
      </c>
      <c r="H4439" t="s">
        <v>25</v>
      </c>
      <c r="I4439" s="1">
        <v>3</v>
      </c>
      <c r="J4439" s="2">
        <v>45868</v>
      </c>
      <c r="K4439" s="2">
        <v>45839</v>
      </c>
      <c r="L4439" s="1" t="str">
        <f t="shared" si="504"/>
        <v>qua</v>
      </c>
      <c r="M4439" s="1" t="str">
        <f t="shared" si="505"/>
        <v>jul</v>
      </c>
      <c r="N4439">
        <f t="shared" si="506"/>
        <v>2025</v>
      </c>
      <c r="O4439" s="2"/>
      <c r="P4439" t="str">
        <f t="shared" si="503"/>
        <v>192545868</v>
      </c>
    </row>
    <row r="4440" spans="1:16" x14ac:dyDescent="0.3">
      <c r="A4440">
        <v>1925</v>
      </c>
      <c r="B4440">
        <v>54</v>
      </c>
      <c r="C4440" t="s">
        <v>15</v>
      </c>
      <c r="D4440" t="s">
        <v>16</v>
      </c>
      <c r="E4440" t="s">
        <v>17</v>
      </c>
      <c r="F4440" t="s">
        <v>23</v>
      </c>
      <c r="G4440" t="s">
        <v>41</v>
      </c>
      <c r="H4440" t="s">
        <v>25</v>
      </c>
      <c r="I4440" s="1">
        <v>3</v>
      </c>
      <c r="J4440" s="2">
        <v>45967</v>
      </c>
      <c r="K4440" s="2">
        <v>45962</v>
      </c>
      <c r="L4440" s="1" t="str">
        <f t="shared" si="504"/>
        <v>qui</v>
      </c>
      <c r="M4440" s="1" t="str">
        <f t="shared" si="505"/>
        <v>nov</v>
      </c>
      <c r="N4440">
        <f t="shared" si="506"/>
        <v>2025</v>
      </c>
      <c r="O4440" s="2"/>
      <c r="P4440" t="str">
        <f t="shared" si="503"/>
        <v>192545967</v>
      </c>
    </row>
    <row r="4441" spans="1:16" x14ac:dyDescent="0.3">
      <c r="A4441">
        <v>1925</v>
      </c>
      <c r="B4441">
        <v>54</v>
      </c>
      <c r="C4441" t="s">
        <v>15</v>
      </c>
      <c r="D4441" t="s">
        <v>16</v>
      </c>
      <c r="E4441" t="s">
        <v>17</v>
      </c>
      <c r="F4441" t="s">
        <v>23</v>
      </c>
      <c r="G4441" t="s">
        <v>41</v>
      </c>
      <c r="H4441" t="s">
        <v>25</v>
      </c>
      <c r="I4441" s="1">
        <v>3</v>
      </c>
      <c r="J4441" s="2">
        <v>45980</v>
      </c>
      <c r="K4441" s="2">
        <v>45962</v>
      </c>
      <c r="L4441" s="1" t="str">
        <f t="shared" si="504"/>
        <v>qua</v>
      </c>
      <c r="M4441" s="1" t="str">
        <f t="shared" si="505"/>
        <v>nov</v>
      </c>
      <c r="N4441">
        <f t="shared" si="506"/>
        <v>2025</v>
      </c>
      <c r="O4441" s="2"/>
      <c r="P4441" t="str">
        <f t="shared" si="503"/>
        <v>192545980</v>
      </c>
    </row>
    <row r="4442" spans="1:16" x14ac:dyDescent="0.3">
      <c r="A4442">
        <v>1925</v>
      </c>
      <c r="B4442">
        <v>54</v>
      </c>
      <c r="C4442" t="s">
        <v>15</v>
      </c>
      <c r="D4442" t="s">
        <v>16</v>
      </c>
      <c r="E4442" t="s">
        <v>17</v>
      </c>
      <c r="F4442" t="s">
        <v>23</v>
      </c>
      <c r="G4442" t="s">
        <v>41</v>
      </c>
      <c r="H4442" t="s">
        <v>25</v>
      </c>
      <c r="I4442" s="1">
        <v>3</v>
      </c>
      <c r="J4442" s="2">
        <v>46055</v>
      </c>
      <c r="K4442" s="2">
        <v>46054</v>
      </c>
      <c r="L4442" s="1" t="str">
        <f t="shared" si="504"/>
        <v>seg</v>
      </c>
      <c r="M4442" s="1" t="str">
        <f t="shared" si="505"/>
        <v>fev</v>
      </c>
      <c r="N4442">
        <f t="shared" si="506"/>
        <v>2026</v>
      </c>
      <c r="O4442" s="2"/>
      <c r="P4442" t="str">
        <f t="shared" si="503"/>
        <v>192546055</v>
      </c>
    </row>
    <row r="4443" spans="1:16" x14ac:dyDescent="0.3">
      <c r="A4443">
        <v>1926</v>
      </c>
      <c r="B4443">
        <v>46</v>
      </c>
      <c r="C4443" t="s">
        <v>26</v>
      </c>
      <c r="D4443" t="s">
        <v>27</v>
      </c>
      <c r="E4443" t="s">
        <v>17</v>
      </c>
      <c r="F4443" t="s">
        <v>21</v>
      </c>
      <c r="G4443" t="s">
        <v>41</v>
      </c>
      <c r="H4443" t="s">
        <v>25</v>
      </c>
      <c r="I4443" s="1">
        <v>2</v>
      </c>
      <c r="J4443" s="2">
        <v>45871</v>
      </c>
      <c r="K4443" s="2">
        <v>45870</v>
      </c>
      <c r="L4443" s="1" t="str">
        <f t="shared" si="504"/>
        <v>sáb</v>
      </c>
      <c r="M4443" s="1" t="str">
        <f t="shared" si="505"/>
        <v>ago</v>
      </c>
      <c r="N4443">
        <f t="shared" si="506"/>
        <v>2025</v>
      </c>
      <c r="O4443" s="2"/>
      <c r="P4443" t="str">
        <f t="shared" si="503"/>
        <v>192645871</v>
      </c>
    </row>
    <row r="4444" spans="1:16" x14ac:dyDescent="0.3">
      <c r="A4444">
        <v>1926</v>
      </c>
      <c r="B4444">
        <v>46</v>
      </c>
      <c r="C4444" t="s">
        <v>26</v>
      </c>
      <c r="D4444" t="s">
        <v>27</v>
      </c>
      <c r="E4444" t="s">
        <v>17</v>
      </c>
      <c r="F4444" t="s">
        <v>21</v>
      </c>
      <c r="G4444" t="s">
        <v>41</v>
      </c>
      <c r="H4444" t="s">
        <v>25</v>
      </c>
      <c r="I4444" s="1">
        <v>2</v>
      </c>
      <c r="J4444" s="2">
        <v>45885</v>
      </c>
      <c r="K4444" s="2">
        <v>45870</v>
      </c>
      <c r="L4444" s="1" t="str">
        <f t="shared" si="504"/>
        <v>sáb</v>
      </c>
      <c r="M4444" s="1" t="str">
        <f t="shared" si="505"/>
        <v>ago</v>
      </c>
      <c r="N4444">
        <f t="shared" si="506"/>
        <v>2025</v>
      </c>
      <c r="O4444" s="2"/>
      <c r="P4444" t="str">
        <f t="shared" si="503"/>
        <v>192645885</v>
      </c>
    </row>
    <row r="4445" spans="1:16" x14ac:dyDescent="0.3">
      <c r="A4445">
        <v>1926</v>
      </c>
      <c r="B4445">
        <v>46</v>
      </c>
      <c r="C4445" t="s">
        <v>26</v>
      </c>
      <c r="D4445" t="s">
        <v>27</v>
      </c>
      <c r="E4445" t="s">
        <v>17</v>
      </c>
      <c r="F4445" t="s">
        <v>21</v>
      </c>
      <c r="G4445" t="s">
        <v>41</v>
      </c>
      <c r="H4445" t="s">
        <v>25</v>
      </c>
      <c r="I4445" s="1">
        <v>2</v>
      </c>
      <c r="J4445" s="2">
        <v>45914</v>
      </c>
      <c r="K4445" s="2">
        <v>45901</v>
      </c>
      <c r="L4445" s="1" t="str">
        <f t="shared" si="504"/>
        <v>dom</v>
      </c>
      <c r="M4445" s="1" t="str">
        <f t="shared" si="505"/>
        <v>set</v>
      </c>
      <c r="N4445">
        <f t="shared" si="506"/>
        <v>2025</v>
      </c>
      <c r="O4445" s="2"/>
      <c r="P4445" t="str">
        <f t="shared" si="503"/>
        <v>192645914</v>
      </c>
    </row>
    <row r="4446" spans="1:16" x14ac:dyDescent="0.3">
      <c r="A4446">
        <v>1926</v>
      </c>
      <c r="B4446">
        <v>46</v>
      </c>
      <c r="C4446" t="s">
        <v>26</v>
      </c>
      <c r="D4446" t="s">
        <v>27</v>
      </c>
      <c r="E4446" t="s">
        <v>17</v>
      </c>
      <c r="F4446" t="s">
        <v>21</v>
      </c>
      <c r="G4446" t="s">
        <v>41</v>
      </c>
      <c r="H4446" t="s">
        <v>25</v>
      </c>
      <c r="I4446" s="1">
        <v>2</v>
      </c>
      <c r="J4446" s="2">
        <v>46016</v>
      </c>
      <c r="K4446" s="2">
        <v>45992</v>
      </c>
      <c r="L4446" s="1" t="str">
        <f t="shared" si="504"/>
        <v>qui</v>
      </c>
      <c r="M4446" s="1" t="str">
        <f t="shared" si="505"/>
        <v>dez</v>
      </c>
      <c r="N4446">
        <f t="shared" si="506"/>
        <v>2025</v>
      </c>
      <c r="O4446" s="2"/>
      <c r="P4446" t="str">
        <f t="shared" si="503"/>
        <v>192646016</v>
      </c>
    </row>
    <row r="4447" spans="1:16" x14ac:dyDescent="0.3">
      <c r="A4447">
        <v>1927</v>
      </c>
      <c r="B4447">
        <v>24</v>
      </c>
      <c r="C4447" t="s">
        <v>15</v>
      </c>
      <c r="D4447" t="s">
        <v>16</v>
      </c>
      <c r="E4447" t="s">
        <v>17</v>
      </c>
      <c r="F4447" t="s">
        <v>21</v>
      </c>
      <c r="G4447" t="s">
        <v>41</v>
      </c>
      <c r="H4447" t="s">
        <v>25</v>
      </c>
      <c r="I4447" s="1">
        <v>2</v>
      </c>
      <c r="J4447" s="2">
        <v>45866</v>
      </c>
      <c r="K4447" s="2">
        <v>45839</v>
      </c>
      <c r="L4447" s="1" t="str">
        <f t="shared" si="504"/>
        <v>seg</v>
      </c>
      <c r="M4447" s="1" t="str">
        <f t="shared" si="505"/>
        <v>jul</v>
      </c>
      <c r="N4447">
        <f t="shared" si="506"/>
        <v>2025</v>
      </c>
      <c r="O4447" s="2"/>
      <c r="P4447" t="str">
        <f t="shared" si="503"/>
        <v>192745866</v>
      </c>
    </row>
    <row r="4448" spans="1:16" x14ac:dyDescent="0.3">
      <c r="A4448">
        <v>1927</v>
      </c>
      <c r="B4448">
        <v>24</v>
      </c>
      <c r="C4448" t="s">
        <v>15</v>
      </c>
      <c r="D4448" t="s">
        <v>16</v>
      </c>
      <c r="E4448" t="s">
        <v>17</v>
      </c>
      <c r="F4448" t="s">
        <v>21</v>
      </c>
      <c r="G4448" t="s">
        <v>41</v>
      </c>
      <c r="H4448" t="s">
        <v>25</v>
      </c>
      <c r="I4448" s="1">
        <v>2</v>
      </c>
      <c r="J4448" s="2">
        <v>46199</v>
      </c>
      <c r="K4448" s="2">
        <v>46023</v>
      </c>
      <c r="L4448" s="1" t="str">
        <f t="shared" si="504"/>
        <v>sex</v>
      </c>
      <c r="M4448" s="1" t="str">
        <f t="shared" si="505"/>
        <v>jun</v>
      </c>
      <c r="N4448">
        <f t="shared" si="506"/>
        <v>2026</v>
      </c>
      <c r="O4448" s="2"/>
      <c r="P4448" t="str">
        <f t="shared" si="503"/>
        <v>192746199</v>
      </c>
    </row>
    <row r="4449" spans="1:16" x14ac:dyDescent="0.3">
      <c r="A4449">
        <v>1927</v>
      </c>
      <c r="B4449">
        <v>24</v>
      </c>
      <c r="C4449" t="s">
        <v>15</v>
      </c>
      <c r="D4449" t="s">
        <v>16</v>
      </c>
      <c r="E4449" t="s">
        <v>17</v>
      </c>
      <c r="F4449" t="s">
        <v>21</v>
      </c>
      <c r="G4449" t="s">
        <v>41</v>
      </c>
      <c r="H4449" t="s">
        <v>25</v>
      </c>
      <c r="I4449" s="1">
        <v>2</v>
      </c>
      <c r="J4449" s="2">
        <v>46093</v>
      </c>
      <c r="K4449" s="2">
        <v>46082</v>
      </c>
      <c r="L4449" s="1" t="str">
        <f t="shared" si="504"/>
        <v>qui</v>
      </c>
      <c r="M4449" s="1" t="str">
        <f t="shared" si="505"/>
        <v>mar</v>
      </c>
      <c r="N4449">
        <f t="shared" si="506"/>
        <v>2026</v>
      </c>
      <c r="O4449" s="2"/>
      <c r="P4449" t="str">
        <f t="shared" si="503"/>
        <v>192746093</v>
      </c>
    </row>
    <row r="4450" spans="1:16" x14ac:dyDescent="0.3">
      <c r="A4450">
        <v>1927</v>
      </c>
      <c r="B4450">
        <v>24</v>
      </c>
      <c r="C4450" t="s">
        <v>15</v>
      </c>
      <c r="D4450" t="s">
        <v>16</v>
      </c>
      <c r="E4450" t="s">
        <v>17</v>
      </c>
      <c r="F4450" t="s">
        <v>21</v>
      </c>
      <c r="G4450" t="s">
        <v>41</v>
      </c>
      <c r="H4450" t="s">
        <v>25</v>
      </c>
      <c r="I4450" s="1">
        <v>2</v>
      </c>
      <c r="J4450" s="2">
        <v>46106</v>
      </c>
      <c r="K4450" s="2">
        <v>46082</v>
      </c>
      <c r="L4450" s="1" t="str">
        <f t="shared" si="504"/>
        <v>qua</v>
      </c>
      <c r="M4450" s="1" t="str">
        <f t="shared" si="505"/>
        <v>mar</v>
      </c>
      <c r="N4450">
        <f t="shared" si="506"/>
        <v>2026</v>
      </c>
      <c r="O4450" s="2"/>
      <c r="P4450" t="str">
        <f t="shared" si="503"/>
        <v>192746106</v>
      </c>
    </row>
    <row r="4451" spans="1:16" x14ac:dyDescent="0.3">
      <c r="A4451">
        <v>1929</v>
      </c>
      <c r="B4451">
        <v>45</v>
      </c>
      <c r="C4451" t="s">
        <v>15</v>
      </c>
      <c r="D4451" t="s">
        <v>16</v>
      </c>
      <c r="E4451" t="s">
        <v>17</v>
      </c>
      <c r="F4451" t="s">
        <v>21</v>
      </c>
      <c r="G4451" t="s">
        <v>41</v>
      </c>
      <c r="H4451" t="s">
        <v>25</v>
      </c>
      <c r="I4451" s="1">
        <v>1</v>
      </c>
      <c r="J4451" s="2">
        <v>45775</v>
      </c>
      <c r="K4451" s="2">
        <v>45748</v>
      </c>
      <c r="L4451" s="1" t="str">
        <f t="shared" si="504"/>
        <v>seg</v>
      </c>
      <c r="M4451" s="1" t="str">
        <f t="shared" si="505"/>
        <v>abr</v>
      </c>
      <c r="N4451">
        <f t="shared" si="506"/>
        <v>2025</v>
      </c>
      <c r="O4451" s="2"/>
      <c r="P4451" t="str">
        <f t="shared" si="503"/>
        <v>192945775</v>
      </c>
    </row>
    <row r="4452" spans="1:16" x14ac:dyDescent="0.3">
      <c r="A4452">
        <v>1929</v>
      </c>
      <c r="B4452">
        <v>45</v>
      </c>
      <c r="C4452" t="s">
        <v>15</v>
      </c>
      <c r="D4452" t="s">
        <v>16</v>
      </c>
      <c r="E4452" t="s">
        <v>17</v>
      </c>
      <c r="F4452" t="s">
        <v>21</v>
      </c>
      <c r="G4452" t="s">
        <v>41</v>
      </c>
      <c r="H4452" t="s">
        <v>25</v>
      </c>
      <c r="I4452" s="1">
        <v>1</v>
      </c>
      <c r="J4452" s="2">
        <v>45955</v>
      </c>
      <c r="K4452" s="2">
        <v>45931</v>
      </c>
      <c r="L4452" s="1" t="str">
        <f t="shared" si="504"/>
        <v>sáb</v>
      </c>
      <c r="M4452" s="1" t="str">
        <f t="shared" si="505"/>
        <v>out</v>
      </c>
      <c r="N4452">
        <f t="shared" si="506"/>
        <v>2025</v>
      </c>
      <c r="O4452" s="2"/>
      <c r="P4452" t="str">
        <f t="shared" si="503"/>
        <v>192945955</v>
      </c>
    </row>
    <row r="4453" spans="1:16" x14ac:dyDescent="0.3">
      <c r="A4453">
        <v>1929</v>
      </c>
      <c r="B4453">
        <v>45</v>
      </c>
      <c r="C4453" t="s">
        <v>15</v>
      </c>
      <c r="D4453" t="s">
        <v>16</v>
      </c>
      <c r="E4453" t="s">
        <v>17</v>
      </c>
      <c r="F4453" t="s">
        <v>21</v>
      </c>
      <c r="G4453" t="s">
        <v>41</v>
      </c>
      <c r="H4453" t="s">
        <v>25</v>
      </c>
      <c r="I4453" s="1">
        <v>1</v>
      </c>
      <c r="J4453" s="2">
        <v>45961</v>
      </c>
      <c r="K4453" s="2">
        <v>45931</v>
      </c>
      <c r="L4453" s="1" t="str">
        <f t="shared" si="504"/>
        <v>sex</v>
      </c>
      <c r="M4453" s="1" t="str">
        <f t="shared" si="505"/>
        <v>out</v>
      </c>
      <c r="N4453">
        <f t="shared" si="506"/>
        <v>2025</v>
      </c>
      <c r="O4453" s="2"/>
      <c r="P4453" t="str">
        <f t="shared" si="503"/>
        <v>192945961</v>
      </c>
    </row>
    <row r="4454" spans="1:16" x14ac:dyDescent="0.3">
      <c r="A4454">
        <v>1929</v>
      </c>
      <c r="B4454">
        <v>45</v>
      </c>
      <c r="C4454" t="s">
        <v>15</v>
      </c>
      <c r="D4454" t="s">
        <v>16</v>
      </c>
      <c r="E4454" t="s">
        <v>17</v>
      </c>
      <c r="F4454" t="s">
        <v>21</v>
      </c>
      <c r="G4454" t="s">
        <v>41</v>
      </c>
      <c r="H4454" t="s">
        <v>25</v>
      </c>
      <c r="I4454" s="1">
        <v>1</v>
      </c>
      <c r="J4454" s="2">
        <v>46007</v>
      </c>
      <c r="K4454" s="2">
        <v>45992</v>
      </c>
      <c r="L4454" s="1" t="str">
        <f t="shared" si="504"/>
        <v>ter</v>
      </c>
      <c r="M4454" s="1" t="str">
        <f t="shared" si="505"/>
        <v>dez</v>
      </c>
      <c r="N4454">
        <f t="shared" si="506"/>
        <v>2025</v>
      </c>
      <c r="O4454" s="2"/>
      <c r="P4454" t="str">
        <f t="shared" si="503"/>
        <v>192946007</v>
      </c>
    </row>
    <row r="4455" spans="1:16" x14ac:dyDescent="0.3">
      <c r="A4455">
        <v>1929</v>
      </c>
      <c r="B4455">
        <v>45</v>
      </c>
      <c r="C4455" t="s">
        <v>15</v>
      </c>
      <c r="D4455" t="s">
        <v>16</v>
      </c>
      <c r="E4455" t="s">
        <v>17</v>
      </c>
      <c r="F4455" t="s">
        <v>21</v>
      </c>
      <c r="G4455" t="s">
        <v>41</v>
      </c>
      <c r="H4455" t="s">
        <v>25</v>
      </c>
      <c r="I4455" s="1">
        <v>1</v>
      </c>
      <c r="J4455" s="2">
        <v>46058</v>
      </c>
      <c r="K4455" s="2">
        <v>46054</v>
      </c>
      <c r="L4455" s="1" t="str">
        <f t="shared" si="504"/>
        <v>qui</v>
      </c>
      <c r="M4455" s="1" t="str">
        <f t="shared" si="505"/>
        <v>fev</v>
      </c>
      <c r="N4455">
        <f t="shared" si="506"/>
        <v>2026</v>
      </c>
      <c r="O4455" s="2"/>
      <c r="P4455" t="str">
        <f t="shared" si="503"/>
        <v>192946058</v>
      </c>
    </row>
    <row r="4456" spans="1:16" x14ac:dyDescent="0.3">
      <c r="A4456">
        <v>1929</v>
      </c>
      <c r="B4456">
        <v>45</v>
      </c>
      <c r="C4456" t="s">
        <v>15</v>
      </c>
      <c r="D4456" t="s">
        <v>16</v>
      </c>
      <c r="E4456" t="s">
        <v>17</v>
      </c>
      <c r="F4456" t="s">
        <v>21</v>
      </c>
      <c r="G4456" t="s">
        <v>41</v>
      </c>
      <c r="H4456" t="s">
        <v>25</v>
      </c>
      <c r="I4456" s="1">
        <v>1</v>
      </c>
      <c r="J4456" s="2">
        <v>46091</v>
      </c>
      <c r="K4456" s="2">
        <v>46082</v>
      </c>
      <c r="L4456" s="1" t="str">
        <f t="shared" si="504"/>
        <v>ter</v>
      </c>
      <c r="M4456" s="1" t="str">
        <f t="shared" si="505"/>
        <v>mar</v>
      </c>
      <c r="N4456">
        <f t="shared" si="506"/>
        <v>2026</v>
      </c>
      <c r="O4456" s="2"/>
      <c r="P4456" t="str">
        <f t="shared" si="503"/>
        <v>192946091</v>
      </c>
    </row>
    <row r="4457" spans="1:16" x14ac:dyDescent="0.3">
      <c r="A4457">
        <v>1929</v>
      </c>
      <c r="B4457">
        <v>45</v>
      </c>
      <c r="C4457" t="s">
        <v>15</v>
      </c>
      <c r="D4457" t="s">
        <v>16</v>
      </c>
      <c r="E4457" t="s">
        <v>17</v>
      </c>
      <c r="F4457" t="s">
        <v>21</v>
      </c>
      <c r="G4457" t="s">
        <v>41</v>
      </c>
      <c r="H4457" t="s">
        <v>25</v>
      </c>
      <c r="I4457" s="1">
        <v>1</v>
      </c>
      <c r="J4457" s="2">
        <v>46140</v>
      </c>
      <c r="K4457" s="2">
        <v>46113</v>
      </c>
      <c r="L4457" s="1" t="s">
        <v>56</v>
      </c>
      <c r="M4457" s="1" t="s">
        <v>48</v>
      </c>
      <c r="N4457">
        <v>2025</v>
      </c>
      <c r="O4457" s="2"/>
      <c r="P4457" t="str">
        <f t="shared" si="503"/>
        <v>192946140</v>
      </c>
    </row>
    <row r="4458" spans="1:16" x14ac:dyDescent="0.3">
      <c r="A4458">
        <v>1930</v>
      </c>
      <c r="B4458">
        <v>37</v>
      </c>
      <c r="C4458" t="s">
        <v>26</v>
      </c>
      <c r="D4458" t="s">
        <v>22</v>
      </c>
      <c r="E4458" t="s">
        <v>17</v>
      </c>
      <c r="F4458" t="s">
        <v>23</v>
      </c>
      <c r="G4458" t="s">
        <v>41</v>
      </c>
      <c r="H4458" t="s">
        <v>25</v>
      </c>
      <c r="I4458" s="1">
        <v>3</v>
      </c>
      <c r="J4458" s="2">
        <v>45777</v>
      </c>
      <c r="K4458" s="2">
        <v>45748</v>
      </c>
      <c r="L4458" s="1" t="str">
        <f>TEXT(J4458,"ddd")</f>
        <v>qua</v>
      </c>
      <c r="M4458" s="1" t="str">
        <f>TEXT($J4458,"mmm")</f>
        <v>abr</v>
      </c>
      <c r="N4458">
        <f>YEAR(J4458)</f>
        <v>2025</v>
      </c>
      <c r="O4458" s="2"/>
      <c r="P4458" t="str">
        <f t="shared" si="503"/>
        <v>193045777</v>
      </c>
    </row>
    <row r="4459" spans="1:16" x14ac:dyDescent="0.3">
      <c r="A4459">
        <v>1930</v>
      </c>
      <c r="B4459">
        <v>37</v>
      </c>
      <c r="C4459" t="s">
        <v>26</v>
      </c>
      <c r="D4459" t="s">
        <v>22</v>
      </c>
      <c r="E4459" t="s">
        <v>17</v>
      </c>
      <c r="F4459" t="s">
        <v>23</v>
      </c>
      <c r="G4459" t="s">
        <v>41</v>
      </c>
      <c r="H4459" t="s">
        <v>25</v>
      </c>
      <c r="I4459" s="1">
        <v>3</v>
      </c>
      <c r="J4459" s="2">
        <v>45846</v>
      </c>
      <c r="K4459" s="2">
        <v>45839</v>
      </c>
      <c r="L4459" s="1" t="str">
        <f>TEXT(J4459,"ddd")</f>
        <v>ter</v>
      </c>
      <c r="M4459" s="1" t="str">
        <f>TEXT($J4459,"mmm")</f>
        <v>jul</v>
      </c>
      <c r="N4459">
        <f>YEAR(J4459)</f>
        <v>2025</v>
      </c>
      <c r="O4459" s="2"/>
      <c r="P4459" t="str">
        <f t="shared" si="503"/>
        <v>193045846</v>
      </c>
    </row>
    <row r="4460" spans="1:16" x14ac:dyDescent="0.3">
      <c r="A4460">
        <v>1930</v>
      </c>
      <c r="B4460">
        <v>37</v>
      </c>
      <c r="C4460" t="s">
        <v>26</v>
      </c>
      <c r="D4460" t="s">
        <v>22</v>
      </c>
      <c r="E4460" t="s">
        <v>17</v>
      </c>
      <c r="F4460" t="s">
        <v>23</v>
      </c>
      <c r="G4460" t="s">
        <v>41</v>
      </c>
      <c r="H4460" t="s">
        <v>25</v>
      </c>
      <c r="I4460" s="1">
        <v>3</v>
      </c>
      <c r="J4460" s="2">
        <v>45859</v>
      </c>
      <c r="K4460" s="2">
        <v>45839</v>
      </c>
      <c r="L4460" s="1" t="str">
        <f>TEXT(J4460,"ddd")</f>
        <v>seg</v>
      </c>
      <c r="M4460" s="1" t="str">
        <f>TEXT($J4460,"mmm")</f>
        <v>jul</v>
      </c>
      <c r="N4460">
        <f>YEAR(J4460)</f>
        <v>2025</v>
      </c>
      <c r="O4460" s="2"/>
      <c r="P4460" t="str">
        <f t="shared" si="503"/>
        <v>193045859</v>
      </c>
    </row>
    <row r="4461" spans="1:16" x14ac:dyDescent="0.3">
      <c r="A4461">
        <v>1930</v>
      </c>
      <c r="B4461">
        <v>37</v>
      </c>
      <c r="C4461" t="s">
        <v>26</v>
      </c>
      <c r="D4461" t="s">
        <v>22</v>
      </c>
      <c r="E4461" t="s">
        <v>17</v>
      </c>
      <c r="F4461" t="s">
        <v>23</v>
      </c>
      <c r="G4461" t="s">
        <v>41</v>
      </c>
      <c r="H4461" t="s">
        <v>25</v>
      </c>
      <c r="I4461" s="1">
        <v>3</v>
      </c>
      <c r="J4461" s="2">
        <v>45888</v>
      </c>
      <c r="K4461" s="2">
        <v>45870</v>
      </c>
      <c r="L4461" s="1" t="str">
        <f>TEXT(J4461,"ddd")</f>
        <v>ter</v>
      </c>
      <c r="M4461" s="1" t="str">
        <f>TEXT($J4461,"mmm")</f>
        <v>ago</v>
      </c>
      <c r="N4461">
        <f>YEAR(J4461)</f>
        <v>2025</v>
      </c>
      <c r="O4461" s="2"/>
      <c r="P4461" t="str">
        <f t="shared" si="503"/>
        <v>193045888</v>
      </c>
    </row>
    <row r="4462" spans="1:16" x14ac:dyDescent="0.3">
      <c r="A4462">
        <v>1930</v>
      </c>
      <c r="B4462">
        <v>37</v>
      </c>
      <c r="C4462" t="s">
        <v>26</v>
      </c>
      <c r="D4462" t="s">
        <v>22</v>
      </c>
      <c r="E4462" t="s">
        <v>17</v>
      </c>
      <c r="F4462" t="s">
        <v>23</v>
      </c>
      <c r="G4462" t="s">
        <v>41</v>
      </c>
      <c r="H4462" t="s">
        <v>25</v>
      </c>
      <c r="I4462" s="1">
        <v>3</v>
      </c>
      <c r="J4462" s="2">
        <v>46190</v>
      </c>
      <c r="K4462" s="2">
        <v>46023</v>
      </c>
      <c r="L4462" s="1" t="str">
        <f>TEXT(J4462,"ddd")</f>
        <v>qua</v>
      </c>
      <c r="M4462" s="1" t="str">
        <f>TEXT($J4462,"mmm")</f>
        <v>jun</v>
      </c>
      <c r="N4462">
        <f>YEAR(J4462)</f>
        <v>2026</v>
      </c>
      <c r="O4462" s="2"/>
      <c r="P4462" t="str">
        <f t="shared" si="503"/>
        <v>193046190</v>
      </c>
    </row>
    <row r="4463" spans="1:16" x14ac:dyDescent="0.3">
      <c r="A4463">
        <v>1930</v>
      </c>
      <c r="B4463">
        <v>37</v>
      </c>
      <c r="C4463" t="s">
        <v>26</v>
      </c>
      <c r="D4463" t="s">
        <v>22</v>
      </c>
      <c r="E4463" t="s">
        <v>17</v>
      </c>
      <c r="F4463" t="s">
        <v>23</v>
      </c>
      <c r="G4463" t="s">
        <v>41</v>
      </c>
      <c r="H4463" t="s">
        <v>25</v>
      </c>
      <c r="I4463" s="1">
        <v>3</v>
      </c>
      <c r="J4463" s="2">
        <v>46142</v>
      </c>
      <c r="K4463" s="2">
        <v>46113</v>
      </c>
      <c r="L4463" s="1" t="s">
        <v>51</v>
      </c>
      <c r="M4463" s="1" t="s">
        <v>48</v>
      </c>
      <c r="N4463">
        <v>2025</v>
      </c>
      <c r="O4463" s="2"/>
      <c r="P4463" t="str">
        <f t="shared" si="503"/>
        <v>193046142</v>
      </c>
    </row>
    <row r="4464" spans="1:16" x14ac:dyDescent="0.3">
      <c r="A4464">
        <v>1931</v>
      </c>
      <c r="B4464">
        <v>27</v>
      </c>
      <c r="C4464" t="s">
        <v>15</v>
      </c>
      <c r="D4464" t="s">
        <v>22</v>
      </c>
      <c r="E4464" t="s">
        <v>17</v>
      </c>
      <c r="F4464" t="s">
        <v>23</v>
      </c>
      <c r="G4464" t="s">
        <v>41</v>
      </c>
      <c r="H4464" t="s">
        <v>25</v>
      </c>
      <c r="I4464" s="1">
        <v>1</v>
      </c>
      <c r="J4464" s="2">
        <v>45821</v>
      </c>
      <c r="K4464" s="2">
        <v>45809</v>
      </c>
      <c r="L4464" s="1" t="str">
        <f t="shared" ref="L4464:L4495" si="507">TEXT(J4464,"ddd")</f>
        <v>sex</v>
      </c>
      <c r="M4464" s="1" t="str">
        <f t="shared" ref="M4464:M4495" si="508">TEXT($J4464,"mmm")</f>
        <v>jun</v>
      </c>
      <c r="N4464">
        <f t="shared" ref="N4464:N4495" si="509">YEAR(J4464)</f>
        <v>2025</v>
      </c>
      <c r="O4464" s="2"/>
      <c r="P4464" t="str">
        <f t="shared" si="503"/>
        <v>193145821</v>
      </c>
    </row>
    <row r="4465" spans="1:16" x14ac:dyDescent="0.3">
      <c r="A4465">
        <v>1931</v>
      </c>
      <c r="B4465">
        <v>27</v>
      </c>
      <c r="C4465" t="s">
        <v>15</v>
      </c>
      <c r="D4465" t="s">
        <v>22</v>
      </c>
      <c r="E4465" t="s">
        <v>17</v>
      </c>
      <c r="F4465" t="s">
        <v>23</v>
      </c>
      <c r="G4465" t="s">
        <v>41</v>
      </c>
      <c r="H4465" t="s">
        <v>25</v>
      </c>
      <c r="I4465" s="1">
        <v>1</v>
      </c>
      <c r="J4465" s="2">
        <v>45943</v>
      </c>
      <c r="K4465" s="2">
        <v>45931</v>
      </c>
      <c r="L4465" s="1" t="str">
        <f t="shared" si="507"/>
        <v>seg</v>
      </c>
      <c r="M4465" s="1" t="str">
        <f t="shared" si="508"/>
        <v>out</v>
      </c>
      <c r="N4465">
        <f t="shared" si="509"/>
        <v>2025</v>
      </c>
      <c r="O4465" s="2"/>
      <c r="P4465" t="str">
        <f t="shared" si="503"/>
        <v>193145943</v>
      </c>
    </row>
    <row r="4466" spans="1:16" x14ac:dyDescent="0.3">
      <c r="A4466">
        <v>1931</v>
      </c>
      <c r="B4466">
        <v>27</v>
      </c>
      <c r="C4466" t="s">
        <v>15</v>
      </c>
      <c r="D4466" t="s">
        <v>22</v>
      </c>
      <c r="E4466" t="s">
        <v>17</v>
      </c>
      <c r="F4466" t="s">
        <v>23</v>
      </c>
      <c r="G4466" t="s">
        <v>41</v>
      </c>
      <c r="H4466" t="s">
        <v>25</v>
      </c>
      <c r="I4466" s="1">
        <v>1</v>
      </c>
      <c r="J4466" s="2">
        <v>46195</v>
      </c>
      <c r="K4466" s="2">
        <v>46023</v>
      </c>
      <c r="L4466" s="1" t="str">
        <f t="shared" si="507"/>
        <v>seg</v>
      </c>
      <c r="M4466" s="1" t="str">
        <f t="shared" si="508"/>
        <v>jun</v>
      </c>
      <c r="N4466">
        <f t="shared" si="509"/>
        <v>2026</v>
      </c>
      <c r="O4466" s="2"/>
      <c r="P4466" t="str">
        <f t="shared" si="503"/>
        <v>193146195</v>
      </c>
    </row>
    <row r="4467" spans="1:16" x14ac:dyDescent="0.3">
      <c r="A4467">
        <v>1931</v>
      </c>
      <c r="B4467">
        <v>27</v>
      </c>
      <c r="C4467" t="s">
        <v>15</v>
      </c>
      <c r="D4467" t="s">
        <v>22</v>
      </c>
      <c r="E4467" t="s">
        <v>17</v>
      </c>
      <c r="F4467" t="s">
        <v>23</v>
      </c>
      <c r="G4467" t="s">
        <v>41</v>
      </c>
      <c r="H4467" t="s">
        <v>25</v>
      </c>
      <c r="I4467" s="1">
        <v>1</v>
      </c>
      <c r="J4467" s="2">
        <v>46099</v>
      </c>
      <c r="K4467" s="2">
        <v>46082</v>
      </c>
      <c r="L4467" s="1" t="str">
        <f t="shared" si="507"/>
        <v>qua</v>
      </c>
      <c r="M4467" s="1" t="str">
        <f t="shared" si="508"/>
        <v>mar</v>
      </c>
      <c r="N4467">
        <f t="shared" si="509"/>
        <v>2026</v>
      </c>
      <c r="O4467" s="2"/>
      <c r="P4467" t="str">
        <f t="shared" si="503"/>
        <v>193146099</v>
      </c>
    </row>
    <row r="4468" spans="1:16" x14ac:dyDescent="0.3">
      <c r="A4468">
        <v>1931</v>
      </c>
      <c r="B4468">
        <v>27</v>
      </c>
      <c r="C4468" t="s">
        <v>15</v>
      </c>
      <c r="D4468" t="s">
        <v>22</v>
      </c>
      <c r="E4468" t="s">
        <v>17</v>
      </c>
      <c r="F4468" t="s">
        <v>23</v>
      </c>
      <c r="G4468" t="s">
        <v>41</v>
      </c>
      <c r="H4468" t="s">
        <v>25</v>
      </c>
      <c r="I4468" s="1">
        <v>1</v>
      </c>
      <c r="J4468" s="2">
        <v>46100</v>
      </c>
      <c r="K4468" s="2">
        <v>46082</v>
      </c>
      <c r="L4468" s="1" t="str">
        <f t="shared" si="507"/>
        <v>qui</v>
      </c>
      <c r="M4468" s="1" t="str">
        <f t="shared" si="508"/>
        <v>mar</v>
      </c>
      <c r="N4468">
        <f t="shared" si="509"/>
        <v>2026</v>
      </c>
      <c r="O4468" s="2"/>
      <c r="P4468" t="str">
        <f t="shared" si="503"/>
        <v>193146100</v>
      </c>
    </row>
    <row r="4469" spans="1:16" x14ac:dyDescent="0.3">
      <c r="A4469">
        <v>1932</v>
      </c>
      <c r="B4469">
        <v>33</v>
      </c>
      <c r="C4469" t="s">
        <v>26</v>
      </c>
      <c r="D4469" t="s">
        <v>16</v>
      </c>
      <c r="E4469" t="s">
        <v>17</v>
      </c>
      <c r="F4469" t="s">
        <v>21</v>
      </c>
      <c r="G4469" t="s">
        <v>41</v>
      </c>
      <c r="H4469" t="s">
        <v>25</v>
      </c>
      <c r="I4469" s="1">
        <v>2</v>
      </c>
      <c r="J4469" s="2">
        <v>45925</v>
      </c>
      <c r="K4469" s="2">
        <v>45901</v>
      </c>
      <c r="L4469" s="1" t="str">
        <f t="shared" si="507"/>
        <v>qui</v>
      </c>
      <c r="M4469" s="1" t="str">
        <f t="shared" si="508"/>
        <v>set</v>
      </c>
      <c r="N4469">
        <f t="shared" si="509"/>
        <v>2025</v>
      </c>
      <c r="O4469" s="2"/>
      <c r="P4469" t="str">
        <f t="shared" si="503"/>
        <v>193245925</v>
      </c>
    </row>
    <row r="4470" spans="1:16" x14ac:dyDescent="0.3">
      <c r="A4470">
        <v>1932</v>
      </c>
      <c r="B4470">
        <v>33</v>
      </c>
      <c r="C4470" t="s">
        <v>26</v>
      </c>
      <c r="D4470" t="s">
        <v>16</v>
      </c>
      <c r="E4470" t="s">
        <v>17</v>
      </c>
      <c r="F4470" t="s">
        <v>21</v>
      </c>
      <c r="G4470" t="s">
        <v>41</v>
      </c>
      <c r="H4470" t="s">
        <v>25</v>
      </c>
      <c r="I4470" s="1">
        <v>2</v>
      </c>
      <c r="J4470" s="2">
        <v>45941</v>
      </c>
      <c r="K4470" s="2">
        <v>45931</v>
      </c>
      <c r="L4470" s="1" t="str">
        <f t="shared" si="507"/>
        <v>sáb</v>
      </c>
      <c r="M4470" s="1" t="str">
        <f t="shared" si="508"/>
        <v>out</v>
      </c>
      <c r="N4470">
        <f t="shared" si="509"/>
        <v>2025</v>
      </c>
      <c r="O4470" s="2"/>
      <c r="P4470" t="str">
        <f t="shared" si="503"/>
        <v>193245941</v>
      </c>
    </row>
    <row r="4471" spans="1:16" x14ac:dyDescent="0.3">
      <c r="A4471">
        <v>1932</v>
      </c>
      <c r="B4471">
        <v>33</v>
      </c>
      <c r="C4471" t="s">
        <v>26</v>
      </c>
      <c r="D4471" t="s">
        <v>16</v>
      </c>
      <c r="E4471" t="s">
        <v>17</v>
      </c>
      <c r="F4471" t="s">
        <v>21</v>
      </c>
      <c r="G4471" t="s">
        <v>41</v>
      </c>
      <c r="H4471" t="s">
        <v>25</v>
      </c>
      <c r="I4471" s="1">
        <v>2</v>
      </c>
      <c r="J4471" s="2">
        <v>45974</v>
      </c>
      <c r="K4471" s="2">
        <v>45962</v>
      </c>
      <c r="L4471" s="1" t="str">
        <f t="shared" si="507"/>
        <v>qui</v>
      </c>
      <c r="M4471" s="1" t="str">
        <f t="shared" si="508"/>
        <v>nov</v>
      </c>
      <c r="N4471">
        <f t="shared" si="509"/>
        <v>2025</v>
      </c>
      <c r="O4471" s="2"/>
      <c r="P4471" t="str">
        <f t="shared" si="503"/>
        <v>193245974</v>
      </c>
    </row>
    <row r="4472" spans="1:16" x14ac:dyDescent="0.3">
      <c r="A4472">
        <v>1932</v>
      </c>
      <c r="B4472">
        <v>33</v>
      </c>
      <c r="C4472" t="s">
        <v>26</v>
      </c>
      <c r="D4472" t="s">
        <v>16</v>
      </c>
      <c r="E4472" t="s">
        <v>17</v>
      </c>
      <c r="F4472" t="s">
        <v>21</v>
      </c>
      <c r="G4472" t="s">
        <v>41</v>
      </c>
      <c r="H4472" t="s">
        <v>25</v>
      </c>
      <c r="I4472" s="1">
        <v>2</v>
      </c>
      <c r="J4472" s="2">
        <v>46083</v>
      </c>
      <c r="K4472" s="2">
        <v>46082</v>
      </c>
      <c r="L4472" s="1" t="str">
        <f t="shared" si="507"/>
        <v>seg</v>
      </c>
      <c r="M4472" s="1" t="str">
        <f t="shared" si="508"/>
        <v>mar</v>
      </c>
      <c r="N4472">
        <f t="shared" si="509"/>
        <v>2026</v>
      </c>
      <c r="O4472" s="2"/>
      <c r="P4472" t="str">
        <f t="shared" si="503"/>
        <v>193246083</v>
      </c>
    </row>
    <row r="4473" spans="1:16" x14ac:dyDescent="0.3">
      <c r="A4473">
        <v>1934</v>
      </c>
      <c r="B4473">
        <v>52</v>
      </c>
      <c r="C4473" t="s">
        <v>26</v>
      </c>
      <c r="D4473" t="s">
        <v>31</v>
      </c>
      <c r="E4473" t="s">
        <v>32</v>
      </c>
      <c r="F4473" t="s">
        <v>18</v>
      </c>
      <c r="G4473" t="s">
        <v>41</v>
      </c>
      <c r="H4473" t="s">
        <v>25</v>
      </c>
      <c r="I4473" s="1">
        <v>1</v>
      </c>
      <c r="J4473" s="2">
        <v>45888</v>
      </c>
      <c r="K4473" s="2">
        <v>45870</v>
      </c>
      <c r="L4473" s="1" t="str">
        <f t="shared" si="507"/>
        <v>ter</v>
      </c>
      <c r="M4473" s="1" t="str">
        <f t="shared" si="508"/>
        <v>ago</v>
      </c>
      <c r="N4473">
        <f t="shared" si="509"/>
        <v>2025</v>
      </c>
      <c r="O4473" s="2"/>
      <c r="P4473" t="str">
        <f t="shared" si="503"/>
        <v>193445888</v>
      </c>
    </row>
    <row r="4474" spans="1:16" x14ac:dyDescent="0.3">
      <c r="A4474">
        <v>1934</v>
      </c>
      <c r="B4474">
        <v>52</v>
      </c>
      <c r="C4474" t="s">
        <v>26</v>
      </c>
      <c r="D4474" t="s">
        <v>31</v>
      </c>
      <c r="E4474" t="s">
        <v>32</v>
      </c>
      <c r="F4474" t="s">
        <v>18</v>
      </c>
      <c r="G4474" t="s">
        <v>41</v>
      </c>
      <c r="H4474" t="s">
        <v>25</v>
      </c>
      <c r="I4474" s="1">
        <v>1</v>
      </c>
      <c r="J4474" s="2">
        <v>45919</v>
      </c>
      <c r="K4474" s="2">
        <v>45901</v>
      </c>
      <c r="L4474" s="1" t="str">
        <f t="shared" si="507"/>
        <v>sex</v>
      </c>
      <c r="M4474" s="1" t="str">
        <f t="shared" si="508"/>
        <v>set</v>
      </c>
      <c r="N4474">
        <f t="shared" si="509"/>
        <v>2025</v>
      </c>
      <c r="O4474" s="2"/>
      <c r="P4474" t="str">
        <f t="shared" si="503"/>
        <v>193445919</v>
      </c>
    </row>
    <row r="4475" spans="1:16" x14ac:dyDescent="0.3">
      <c r="A4475">
        <v>1934</v>
      </c>
      <c r="B4475">
        <v>52</v>
      </c>
      <c r="C4475" t="s">
        <v>26</v>
      </c>
      <c r="D4475" t="s">
        <v>31</v>
      </c>
      <c r="E4475" t="s">
        <v>32</v>
      </c>
      <c r="F4475" t="s">
        <v>18</v>
      </c>
      <c r="G4475" t="s">
        <v>41</v>
      </c>
      <c r="H4475" t="s">
        <v>25</v>
      </c>
      <c r="I4475" s="1">
        <v>1</v>
      </c>
      <c r="J4475" s="2">
        <v>45926</v>
      </c>
      <c r="K4475" s="2">
        <v>45901</v>
      </c>
      <c r="L4475" s="1" t="str">
        <f t="shared" si="507"/>
        <v>sex</v>
      </c>
      <c r="M4475" s="1" t="str">
        <f t="shared" si="508"/>
        <v>set</v>
      </c>
      <c r="N4475">
        <f t="shared" si="509"/>
        <v>2025</v>
      </c>
      <c r="O4475" s="2"/>
      <c r="P4475" t="str">
        <f t="shared" si="503"/>
        <v>193445926</v>
      </c>
    </row>
    <row r="4476" spans="1:16" x14ac:dyDescent="0.3">
      <c r="A4476">
        <v>1934</v>
      </c>
      <c r="B4476">
        <v>52</v>
      </c>
      <c r="C4476" t="s">
        <v>26</v>
      </c>
      <c r="D4476" t="s">
        <v>31</v>
      </c>
      <c r="E4476" t="s">
        <v>32</v>
      </c>
      <c r="F4476" t="s">
        <v>18</v>
      </c>
      <c r="G4476" t="s">
        <v>41</v>
      </c>
      <c r="H4476" t="s">
        <v>25</v>
      </c>
      <c r="I4476" s="1">
        <v>1</v>
      </c>
      <c r="J4476" s="2">
        <v>45999</v>
      </c>
      <c r="K4476" s="2">
        <v>45992</v>
      </c>
      <c r="L4476" s="1" t="str">
        <f t="shared" si="507"/>
        <v>seg</v>
      </c>
      <c r="M4476" s="1" t="str">
        <f t="shared" si="508"/>
        <v>dez</v>
      </c>
      <c r="N4476">
        <f t="shared" si="509"/>
        <v>2025</v>
      </c>
      <c r="O4476" s="2"/>
      <c r="P4476" t="str">
        <f t="shared" si="503"/>
        <v>193445999</v>
      </c>
    </row>
    <row r="4477" spans="1:16" x14ac:dyDescent="0.3">
      <c r="A4477">
        <v>1934</v>
      </c>
      <c r="B4477">
        <v>52</v>
      </c>
      <c r="C4477" t="s">
        <v>26</v>
      </c>
      <c r="D4477" t="s">
        <v>31</v>
      </c>
      <c r="E4477" t="s">
        <v>32</v>
      </c>
      <c r="F4477" t="s">
        <v>18</v>
      </c>
      <c r="G4477" t="s">
        <v>41</v>
      </c>
      <c r="H4477" t="s">
        <v>25</v>
      </c>
      <c r="I4477" s="1">
        <v>1</v>
      </c>
      <c r="J4477" s="2">
        <v>46054</v>
      </c>
      <c r="K4477" s="2">
        <v>46054</v>
      </c>
      <c r="L4477" s="1" t="str">
        <f t="shared" si="507"/>
        <v>dom</v>
      </c>
      <c r="M4477" s="1" t="str">
        <f t="shared" si="508"/>
        <v>fev</v>
      </c>
      <c r="N4477">
        <f t="shared" si="509"/>
        <v>2026</v>
      </c>
      <c r="O4477" s="2"/>
      <c r="P4477" t="str">
        <f t="shared" ref="P4477:P4540" si="510">CONCATENATE(A4477,J4477)</f>
        <v>193446054</v>
      </c>
    </row>
    <row r="4478" spans="1:16" x14ac:dyDescent="0.3">
      <c r="A4478">
        <v>1935</v>
      </c>
      <c r="B4478">
        <v>50</v>
      </c>
      <c r="C4478" t="s">
        <v>15</v>
      </c>
      <c r="D4478" t="s">
        <v>29</v>
      </c>
      <c r="E4478" t="s">
        <v>17</v>
      </c>
      <c r="F4478" t="s">
        <v>21</v>
      </c>
      <c r="G4478" t="s">
        <v>41</v>
      </c>
      <c r="H4478" t="s">
        <v>25</v>
      </c>
      <c r="I4478" s="1">
        <v>3</v>
      </c>
      <c r="J4478" s="2">
        <v>45835</v>
      </c>
      <c r="K4478" s="2">
        <v>45809</v>
      </c>
      <c r="L4478" s="1" t="str">
        <f t="shared" si="507"/>
        <v>sex</v>
      </c>
      <c r="M4478" s="1" t="str">
        <f t="shared" si="508"/>
        <v>jun</v>
      </c>
      <c r="N4478">
        <f t="shared" si="509"/>
        <v>2025</v>
      </c>
      <c r="O4478" s="2"/>
      <c r="P4478" t="str">
        <f t="shared" si="510"/>
        <v>193545835</v>
      </c>
    </row>
    <row r="4479" spans="1:16" x14ac:dyDescent="0.3">
      <c r="A4479">
        <v>1935</v>
      </c>
      <c r="B4479">
        <v>50</v>
      </c>
      <c r="C4479" t="s">
        <v>15</v>
      </c>
      <c r="D4479" t="s">
        <v>29</v>
      </c>
      <c r="E4479" t="s">
        <v>17</v>
      </c>
      <c r="F4479" t="s">
        <v>21</v>
      </c>
      <c r="G4479" t="s">
        <v>41</v>
      </c>
      <c r="H4479" t="s">
        <v>25</v>
      </c>
      <c r="I4479" s="1">
        <v>3</v>
      </c>
      <c r="J4479" s="2">
        <v>45882</v>
      </c>
      <c r="K4479" s="2">
        <v>45870</v>
      </c>
      <c r="L4479" s="1" t="str">
        <f t="shared" si="507"/>
        <v>qua</v>
      </c>
      <c r="M4479" s="1" t="str">
        <f t="shared" si="508"/>
        <v>ago</v>
      </c>
      <c r="N4479">
        <f t="shared" si="509"/>
        <v>2025</v>
      </c>
      <c r="O4479" s="2"/>
      <c r="P4479" t="str">
        <f t="shared" si="510"/>
        <v>193545882</v>
      </c>
    </row>
    <row r="4480" spans="1:16" x14ac:dyDescent="0.3">
      <c r="A4480">
        <v>1935</v>
      </c>
      <c r="B4480">
        <v>50</v>
      </c>
      <c r="C4480" t="s">
        <v>15</v>
      </c>
      <c r="D4480" t="s">
        <v>29</v>
      </c>
      <c r="E4480" t="s">
        <v>17</v>
      </c>
      <c r="F4480" t="s">
        <v>21</v>
      </c>
      <c r="G4480" t="s">
        <v>41</v>
      </c>
      <c r="H4480" t="s">
        <v>25</v>
      </c>
      <c r="I4480" s="1">
        <v>3</v>
      </c>
      <c r="J4480" s="2">
        <v>45991</v>
      </c>
      <c r="K4480" s="2">
        <v>45962</v>
      </c>
      <c r="L4480" s="1" t="str">
        <f t="shared" si="507"/>
        <v>dom</v>
      </c>
      <c r="M4480" s="1" t="str">
        <f t="shared" si="508"/>
        <v>nov</v>
      </c>
      <c r="N4480">
        <f t="shared" si="509"/>
        <v>2025</v>
      </c>
      <c r="O4480" s="2"/>
      <c r="P4480" t="str">
        <f t="shared" si="510"/>
        <v>193545991</v>
      </c>
    </row>
    <row r="4481" spans="1:16" x14ac:dyDescent="0.3">
      <c r="A4481">
        <v>1935</v>
      </c>
      <c r="B4481">
        <v>50</v>
      </c>
      <c r="C4481" t="s">
        <v>15</v>
      </c>
      <c r="D4481" t="s">
        <v>29</v>
      </c>
      <c r="E4481" t="s">
        <v>17</v>
      </c>
      <c r="F4481" t="s">
        <v>21</v>
      </c>
      <c r="G4481" t="s">
        <v>41</v>
      </c>
      <c r="H4481" t="s">
        <v>25</v>
      </c>
      <c r="I4481" s="1">
        <v>3</v>
      </c>
      <c r="J4481" s="2">
        <v>46015</v>
      </c>
      <c r="K4481" s="2">
        <v>45992</v>
      </c>
      <c r="L4481" s="1" t="str">
        <f t="shared" si="507"/>
        <v>qua</v>
      </c>
      <c r="M4481" s="1" t="str">
        <f t="shared" si="508"/>
        <v>dez</v>
      </c>
      <c r="N4481">
        <f t="shared" si="509"/>
        <v>2025</v>
      </c>
      <c r="O4481" s="2"/>
      <c r="P4481" t="str">
        <f t="shared" si="510"/>
        <v>193546015</v>
      </c>
    </row>
    <row r="4482" spans="1:16" x14ac:dyDescent="0.3">
      <c r="A4482">
        <v>1935</v>
      </c>
      <c r="B4482">
        <v>50</v>
      </c>
      <c r="C4482" t="s">
        <v>15</v>
      </c>
      <c r="D4482" t="s">
        <v>29</v>
      </c>
      <c r="E4482" t="s">
        <v>17</v>
      </c>
      <c r="F4482" t="s">
        <v>21</v>
      </c>
      <c r="G4482" t="s">
        <v>41</v>
      </c>
      <c r="H4482" t="s">
        <v>25</v>
      </c>
      <c r="I4482" s="1">
        <v>3</v>
      </c>
      <c r="J4482" s="2">
        <v>46089</v>
      </c>
      <c r="K4482" s="2">
        <v>46082</v>
      </c>
      <c r="L4482" s="1" t="str">
        <f t="shared" si="507"/>
        <v>dom</v>
      </c>
      <c r="M4482" s="1" t="str">
        <f t="shared" si="508"/>
        <v>mar</v>
      </c>
      <c r="N4482">
        <f t="shared" si="509"/>
        <v>2026</v>
      </c>
      <c r="O4482" s="2"/>
      <c r="P4482" t="str">
        <f t="shared" si="510"/>
        <v>193546089</v>
      </c>
    </row>
    <row r="4483" spans="1:16" x14ac:dyDescent="0.3">
      <c r="A4483">
        <v>1937</v>
      </c>
      <c r="B4483">
        <v>53</v>
      </c>
      <c r="C4483" t="s">
        <v>15</v>
      </c>
      <c r="D4483" t="s">
        <v>16</v>
      </c>
      <c r="E4483" t="s">
        <v>17</v>
      </c>
      <c r="F4483" t="s">
        <v>21</v>
      </c>
      <c r="G4483" t="s">
        <v>41</v>
      </c>
      <c r="H4483" t="s">
        <v>25</v>
      </c>
      <c r="I4483" s="1">
        <v>1</v>
      </c>
      <c r="J4483" s="2">
        <v>45897</v>
      </c>
      <c r="K4483" s="2">
        <v>45870</v>
      </c>
      <c r="L4483" s="1" t="str">
        <f t="shared" si="507"/>
        <v>qui</v>
      </c>
      <c r="M4483" s="1" t="str">
        <f t="shared" si="508"/>
        <v>ago</v>
      </c>
      <c r="N4483">
        <f t="shared" si="509"/>
        <v>2025</v>
      </c>
      <c r="O4483" s="2"/>
      <c r="P4483" t="str">
        <f t="shared" si="510"/>
        <v>193745897</v>
      </c>
    </row>
    <row r="4484" spans="1:16" x14ac:dyDescent="0.3">
      <c r="A4484">
        <v>1937</v>
      </c>
      <c r="B4484">
        <v>53</v>
      </c>
      <c r="C4484" t="s">
        <v>15</v>
      </c>
      <c r="D4484" t="s">
        <v>16</v>
      </c>
      <c r="E4484" t="s">
        <v>17</v>
      </c>
      <c r="F4484" t="s">
        <v>21</v>
      </c>
      <c r="G4484" t="s">
        <v>41</v>
      </c>
      <c r="H4484" t="s">
        <v>25</v>
      </c>
      <c r="I4484" s="1">
        <v>1</v>
      </c>
      <c r="J4484" s="2">
        <v>45952</v>
      </c>
      <c r="K4484" s="2">
        <v>45931</v>
      </c>
      <c r="L4484" s="1" t="str">
        <f t="shared" si="507"/>
        <v>qua</v>
      </c>
      <c r="M4484" s="1" t="str">
        <f t="shared" si="508"/>
        <v>out</v>
      </c>
      <c r="N4484">
        <f t="shared" si="509"/>
        <v>2025</v>
      </c>
      <c r="O4484" s="2"/>
      <c r="P4484" t="str">
        <f t="shared" si="510"/>
        <v>193745952</v>
      </c>
    </row>
    <row r="4485" spans="1:16" x14ac:dyDescent="0.3">
      <c r="A4485">
        <v>1937</v>
      </c>
      <c r="B4485">
        <v>53</v>
      </c>
      <c r="C4485" t="s">
        <v>15</v>
      </c>
      <c r="D4485" t="s">
        <v>16</v>
      </c>
      <c r="E4485" t="s">
        <v>17</v>
      </c>
      <c r="F4485" t="s">
        <v>21</v>
      </c>
      <c r="G4485" t="s">
        <v>41</v>
      </c>
      <c r="H4485" t="s">
        <v>25</v>
      </c>
      <c r="I4485" s="1">
        <v>1</v>
      </c>
      <c r="J4485" s="2">
        <v>45973</v>
      </c>
      <c r="K4485" s="2">
        <v>45962</v>
      </c>
      <c r="L4485" s="1" t="str">
        <f t="shared" si="507"/>
        <v>qua</v>
      </c>
      <c r="M4485" s="1" t="str">
        <f t="shared" si="508"/>
        <v>nov</v>
      </c>
      <c r="N4485">
        <f t="shared" si="509"/>
        <v>2025</v>
      </c>
      <c r="O4485" s="2"/>
      <c r="P4485" t="str">
        <f t="shared" si="510"/>
        <v>193745973</v>
      </c>
    </row>
    <row r="4486" spans="1:16" x14ac:dyDescent="0.3">
      <c r="A4486">
        <v>1937</v>
      </c>
      <c r="B4486">
        <v>53</v>
      </c>
      <c r="C4486" t="s">
        <v>15</v>
      </c>
      <c r="D4486" t="s">
        <v>16</v>
      </c>
      <c r="E4486" t="s">
        <v>17</v>
      </c>
      <c r="F4486" t="s">
        <v>21</v>
      </c>
      <c r="G4486" t="s">
        <v>41</v>
      </c>
      <c r="H4486" t="s">
        <v>25</v>
      </c>
      <c r="I4486" s="1">
        <v>1</v>
      </c>
      <c r="J4486" s="2">
        <v>46182</v>
      </c>
      <c r="K4486" s="2">
        <v>46023</v>
      </c>
      <c r="L4486" s="1" t="str">
        <f t="shared" si="507"/>
        <v>ter</v>
      </c>
      <c r="M4486" s="1" t="str">
        <f t="shared" si="508"/>
        <v>jun</v>
      </c>
      <c r="N4486">
        <f t="shared" si="509"/>
        <v>2026</v>
      </c>
      <c r="O4486" s="2"/>
      <c r="P4486" t="str">
        <f t="shared" si="510"/>
        <v>193746182</v>
      </c>
    </row>
    <row r="4487" spans="1:16" x14ac:dyDescent="0.3">
      <c r="A4487">
        <v>1937</v>
      </c>
      <c r="B4487">
        <v>53</v>
      </c>
      <c r="C4487" t="s">
        <v>15</v>
      </c>
      <c r="D4487" t="s">
        <v>16</v>
      </c>
      <c r="E4487" t="s">
        <v>17</v>
      </c>
      <c r="F4487" t="s">
        <v>21</v>
      </c>
      <c r="G4487" t="s">
        <v>41</v>
      </c>
      <c r="H4487" t="s">
        <v>25</v>
      </c>
      <c r="I4487" s="1">
        <v>1</v>
      </c>
      <c r="J4487" s="2">
        <v>46192</v>
      </c>
      <c r="K4487" s="2">
        <v>46023</v>
      </c>
      <c r="L4487" s="1" t="str">
        <f t="shared" si="507"/>
        <v>sex</v>
      </c>
      <c r="M4487" s="1" t="str">
        <f t="shared" si="508"/>
        <v>jun</v>
      </c>
      <c r="N4487">
        <f t="shared" si="509"/>
        <v>2026</v>
      </c>
      <c r="O4487" s="2"/>
      <c r="P4487" t="str">
        <f t="shared" si="510"/>
        <v>193746192</v>
      </c>
    </row>
    <row r="4488" spans="1:16" x14ac:dyDescent="0.3">
      <c r="A4488">
        <v>1938</v>
      </c>
      <c r="B4488">
        <v>45</v>
      </c>
      <c r="C4488" t="s">
        <v>26</v>
      </c>
      <c r="D4488" t="s">
        <v>29</v>
      </c>
      <c r="E4488" t="s">
        <v>17</v>
      </c>
      <c r="F4488" t="s">
        <v>18</v>
      </c>
      <c r="G4488" t="s">
        <v>41</v>
      </c>
      <c r="H4488" t="s">
        <v>25</v>
      </c>
      <c r="I4488" s="1">
        <v>3</v>
      </c>
      <c r="J4488" s="2">
        <v>45907</v>
      </c>
      <c r="K4488" s="2">
        <v>45901</v>
      </c>
      <c r="L4488" s="1" t="str">
        <f t="shared" si="507"/>
        <v>dom</v>
      </c>
      <c r="M4488" s="1" t="str">
        <f t="shared" si="508"/>
        <v>set</v>
      </c>
      <c r="N4488">
        <f t="shared" si="509"/>
        <v>2025</v>
      </c>
      <c r="O4488" s="2"/>
      <c r="P4488" t="str">
        <f t="shared" si="510"/>
        <v>193845907</v>
      </c>
    </row>
    <row r="4489" spans="1:16" x14ac:dyDescent="0.3">
      <c r="A4489">
        <v>1938</v>
      </c>
      <c r="B4489">
        <v>45</v>
      </c>
      <c r="C4489" t="s">
        <v>26</v>
      </c>
      <c r="D4489" t="s">
        <v>29</v>
      </c>
      <c r="E4489" t="s">
        <v>17</v>
      </c>
      <c r="F4489" t="s">
        <v>18</v>
      </c>
      <c r="G4489" t="s">
        <v>41</v>
      </c>
      <c r="H4489" t="s">
        <v>25</v>
      </c>
      <c r="I4489" s="1">
        <v>3</v>
      </c>
      <c r="J4489" s="2">
        <v>46015</v>
      </c>
      <c r="K4489" s="2">
        <v>45992</v>
      </c>
      <c r="L4489" s="1" t="str">
        <f t="shared" si="507"/>
        <v>qua</v>
      </c>
      <c r="M4489" s="1" t="str">
        <f t="shared" si="508"/>
        <v>dez</v>
      </c>
      <c r="N4489">
        <f t="shared" si="509"/>
        <v>2025</v>
      </c>
      <c r="O4489" s="2"/>
      <c r="P4489" t="str">
        <f t="shared" si="510"/>
        <v>193846015</v>
      </c>
    </row>
    <row r="4490" spans="1:16" x14ac:dyDescent="0.3">
      <c r="A4490">
        <v>1938</v>
      </c>
      <c r="B4490">
        <v>45</v>
      </c>
      <c r="C4490" t="s">
        <v>26</v>
      </c>
      <c r="D4490" t="s">
        <v>29</v>
      </c>
      <c r="E4490" t="s">
        <v>17</v>
      </c>
      <c r="F4490" t="s">
        <v>18</v>
      </c>
      <c r="G4490" t="s">
        <v>41</v>
      </c>
      <c r="H4490" t="s">
        <v>25</v>
      </c>
      <c r="I4490" s="1">
        <v>3</v>
      </c>
      <c r="J4490" s="2">
        <v>46183</v>
      </c>
      <c r="K4490" s="2">
        <v>46023</v>
      </c>
      <c r="L4490" s="1" t="str">
        <f t="shared" si="507"/>
        <v>qua</v>
      </c>
      <c r="M4490" s="1" t="str">
        <f t="shared" si="508"/>
        <v>jun</v>
      </c>
      <c r="N4490">
        <f t="shared" si="509"/>
        <v>2026</v>
      </c>
      <c r="O4490" s="2"/>
      <c r="P4490" t="str">
        <f t="shared" si="510"/>
        <v>193846183</v>
      </c>
    </row>
    <row r="4491" spans="1:16" x14ac:dyDescent="0.3">
      <c r="A4491">
        <v>1938</v>
      </c>
      <c r="B4491">
        <v>45</v>
      </c>
      <c r="C4491" t="s">
        <v>26</v>
      </c>
      <c r="D4491" t="s">
        <v>29</v>
      </c>
      <c r="E4491" t="s">
        <v>17</v>
      </c>
      <c r="F4491" t="s">
        <v>18</v>
      </c>
      <c r="G4491" t="s">
        <v>41</v>
      </c>
      <c r="H4491" t="s">
        <v>25</v>
      </c>
      <c r="I4491" s="1">
        <v>3</v>
      </c>
      <c r="J4491" s="2">
        <v>46081</v>
      </c>
      <c r="K4491" s="2">
        <v>46054</v>
      </c>
      <c r="L4491" s="1" t="str">
        <f t="shared" si="507"/>
        <v>sáb</v>
      </c>
      <c r="M4491" s="1" t="str">
        <f t="shared" si="508"/>
        <v>fev</v>
      </c>
      <c r="N4491">
        <f t="shared" si="509"/>
        <v>2026</v>
      </c>
      <c r="O4491" s="2"/>
      <c r="P4491" t="str">
        <f t="shared" si="510"/>
        <v>193846081</v>
      </c>
    </row>
    <row r="4492" spans="1:16" x14ac:dyDescent="0.3">
      <c r="A4492">
        <v>1939</v>
      </c>
      <c r="B4492">
        <v>58</v>
      </c>
      <c r="C4492" t="s">
        <v>26</v>
      </c>
      <c r="D4492" t="s">
        <v>16</v>
      </c>
      <c r="E4492" t="s">
        <v>17</v>
      </c>
      <c r="F4492" t="s">
        <v>23</v>
      </c>
      <c r="G4492" t="s">
        <v>41</v>
      </c>
      <c r="H4492" t="s">
        <v>25</v>
      </c>
      <c r="I4492" s="1">
        <v>2</v>
      </c>
      <c r="J4492" s="2">
        <v>45813</v>
      </c>
      <c r="K4492" s="2">
        <v>45809</v>
      </c>
      <c r="L4492" s="1" t="str">
        <f t="shared" si="507"/>
        <v>qui</v>
      </c>
      <c r="M4492" s="1" t="str">
        <f t="shared" si="508"/>
        <v>jun</v>
      </c>
      <c r="N4492">
        <f t="shared" si="509"/>
        <v>2025</v>
      </c>
      <c r="O4492" s="2"/>
      <c r="P4492" t="str">
        <f t="shared" si="510"/>
        <v>193945813</v>
      </c>
    </row>
    <row r="4493" spans="1:16" x14ac:dyDescent="0.3">
      <c r="A4493">
        <v>1939</v>
      </c>
      <c r="B4493">
        <v>58</v>
      </c>
      <c r="C4493" t="s">
        <v>26</v>
      </c>
      <c r="D4493" t="s">
        <v>16</v>
      </c>
      <c r="E4493" t="s">
        <v>17</v>
      </c>
      <c r="F4493" t="s">
        <v>23</v>
      </c>
      <c r="G4493" t="s">
        <v>41</v>
      </c>
      <c r="H4493" t="s">
        <v>25</v>
      </c>
      <c r="I4493" s="1">
        <v>2</v>
      </c>
      <c r="J4493" s="2">
        <v>45822</v>
      </c>
      <c r="K4493" s="2">
        <v>45809</v>
      </c>
      <c r="L4493" s="1" t="str">
        <f t="shared" si="507"/>
        <v>sáb</v>
      </c>
      <c r="M4493" s="1" t="str">
        <f t="shared" si="508"/>
        <v>jun</v>
      </c>
      <c r="N4493">
        <f t="shared" si="509"/>
        <v>2025</v>
      </c>
      <c r="O4493" s="2"/>
      <c r="P4493" t="str">
        <f t="shared" si="510"/>
        <v>193945822</v>
      </c>
    </row>
    <row r="4494" spans="1:16" x14ac:dyDescent="0.3">
      <c r="A4494">
        <v>1939</v>
      </c>
      <c r="B4494">
        <v>58</v>
      </c>
      <c r="C4494" t="s">
        <v>26</v>
      </c>
      <c r="D4494" t="s">
        <v>16</v>
      </c>
      <c r="E4494" t="s">
        <v>17</v>
      </c>
      <c r="F4494" t="s">
        <v>23</v>
      </c>
      <c r="G4494" t="s">
        <v>41</v>
      </c>
      <c r="H4494" t="s">
        <v>25</v>
      </c>
      <c r="I4494" s="1">
        <v>2</v>
      </c>
      <c r="J4494" s="2">
        <v>45848</v>
      </c>
      <c r="K4494" s="2">
        <v>45839</v>
      </c>
      <c r="L4494" s="1" t="str">
        <f t="shared" si="507"/>
        <v>qui</v>
      </c>
      <c r="M4494" s="1" t="str">
        <f t="shared" si="508"/>
        <v>jul</v>
      </c>
      <c r="N4494">
        <f t="shared" si="509"/>
        <v>2025</v>
      </c>
      <c r="O4494" s="2"/>
      <c r="P4494" t="str">
        <f t="shared" si="510"/>
        <v>193945848</v>
      </c>
    </row>
    <row r="4495" spans="1:16" x14ac:dyDescent="0.3">
      <c r="A4495">
        <v>1939</v>
      </c>
      <c r="B4495">
        <v>58</v>
      </c>
      <c r="C4495" t="s">
        <v>26</v>
      </c>
      <c r="D4495" t="s">
        <v>16</v>
      </c>
      <c r="E4495" t="s">
        <v>17</v>
      </c>
      <c r="F4495" t="s">
        <v>23</v>
      </c>
      <c r="G4495" t="s">
        <v>41</v>
      </c>
      <c r="H4495" t="s">
        <v>25</v>
      </c>
      <c r="I4495" s="1">
        <v>2</v>
      </c>
      <c r="J4495" s="2">
        <v>45908</v>
      </c>
      <c r="K4495" s="2">
        <v>45901</v>
      </c>
      <c r="L4495" s="1" t="str">
        <f t="shared" si="507"/>
        <v>seg</v>
      </c>
      <c r="M4495" s="1" t="str">
        <f t="shared" si="508"/>
        <v>set</v>
      </c>
      <c r="N4495">
        <f t="shared" si="509"/>
        <v>2025</v>
      </c>
      <c r="O4495" s="2"/>
      <c r="P4495" t="str">
        <f t="shared" si="510"/>
        <v>193945908</v>
      </c>
    </row>
    <row r="4496" spans="1:16" x14ac:dyDescent="0.3">
      <c r="A4496">
        <v>1939</v>
      </c>
      <c r="B4496">
        <v>58</v>
      </c>
      <c r="C4496" t="s">
        <v>26</v>
      </c>
      <c r="D4496" t="s">
        <v>16</v>
      </c>
      <c r="E4496" t="s">
        <v>17</v>
      </c>
      <c r="F4496" t="s">
        <v>23</v>
      </c>
      <c r="G4496" t="s">
        <v>41</v>
      </c>
      <c r="H4496" t="s">
        <v>25</v>
      </c>
      <c r="I4496" s="1">
        <v>2</v>
      </c>
      <c r="J4496" s="2">
        <v>45941</v>
      </c>
      <c r="K4496" s="2">
        <v>45931</v>
      </c>
      <c r="L4496" s="1" t="str">
        <f t="shared" ref="L4496:L4527" si="511">TEXT(J4496,"ddd")</f>
        <v>sáb</v>
      </c>
      <c r="M4496" s="1" t="str">
        <f t="shared" ref="M4496:M4527" si="512">TEXT($J4496,"mmm")</f>
        <v>out</v>
      </c>
      <c r="N4496">
        <f t="shared" ref="N4496:N4527" si="513">YEAR(J4496)</f>
        <v>2025</v>
      </c>
      <c r="O4496" s="2"/>
      <c r="P4496" t="str">
        <f t="shared" si="510"/>
        <v>193945941</v>
      </c>
    </row>
    <row r="4497" spans="1:16" x14ac:dyDescent="0.3">
      <c r="A4497">
        <v>1940</v>
      </c>
      <c r="B4497">
        <v>57</v>
      </c>
      <c r="C4497" t="s">
        <v>15</v>
      </c>
      <c r="D4497" t="s">
        <v>29</v>
      </c>
      <c r="E4497" t="s">
        <v>17</v>
      </c>
      <c r="F4497" t="s">
        <v>21</v>
      </c>
      <c r="G4497" t="s">
        <v>41</v>
      </c>
      <c r="H4497" t="s">
        <v>25</v>
      </c>
      <c r="I4497" s="1">
        <v>2</v>
      </c>
      <c r="J4497" s="2">
        <v>45835</v>
      </c>
      <c r="K4497" s="2">
        <v>45809</v>
      </c>
      <c r="L4497" s="1" t="str">
        <f t="shared" si="511"/>
        <v>sex</v>
      </c>
      <c r="M4497" s="1" t="str">
        <f t="shared" si="512"/>
        <v>jun</v>
      </c>
      <c r="N4497">
        <f t="shared" si="513"/>
        <v>2025</v>
      </c>
      <c r="O4497" s="2"/>
      <c r="P4497" t="str">
        <f t="shared" si="510"/>
        <v>194045835</v>
      </c>
    </row>
    <row r="4498" spans="1:16" x14ac:dyDescent="0.3">
      <c r="A4498">
        <v>1940</v>
      </c>
      <c r="B4498">
        <v>57</v>
      </c>
      <c r="C4498" t="s">
        <v>15</v>
      </c>
      <c r="D4498" t="s">
        <v>29</v>
      </c>
      <c r="E4498" t="s">
        <v>17</v>
      </c>
      <c r="F4498" t="s">
        <v>21</v>
      </c>
      <c r="G4498" t="s">
        <v>41</v>
      </c>
      <c r="H4498" t="s">
        <v>25</v>
      </c>
      <c r="I4498" s="1">
        <v>2</v>
      </c>
      <c r="J4498" s="2">
        <v>45850</v>
      </c>
      <c r="K4498" s="2">
        <v>45839</v>
      </c>
      <c r="L4498" s="1" t="str">
        <f t="shared" si="511"/>
        <v>sáb</v>
      </c>
      <c r="M4498" s="1" t="str">
        <f t="shared" si="512"/>
        <v>jul</v>
      </c>
      <c r="N4498">
        <f t="shared" si="513"/>
        <v>2025</v>
      </c>
      <c r="O4498" s="2"/>
      <c r="P4498" t="str">
        <f t="shared" si="510"/>
        <v>194045850</v>
      </c>
    </row>
    <row r="4499" spans="1:16" x14ac:dyDescent="0.3">
      <c r="A4499">
        <v>1940</v>
      </c>
      <c r="B4499">
        <v>57</v>
      </c>
      <c r="C4499" t="s">
        <v>15</v>
      </c>
      <c r="D4499" t="s">
        <v>29</v>
      </c>
      <c r="E4499" t="s">
        <v>17</v>
      </c>
      <c r="F4499" t="s">
        <v>21</v>
      </c>
      <c r="G4499" t="s">
        <v>41</v>
      </c>
      <c r="H4499" t="s">
        <v>25</v>
      </c>
      <c r="I4499" s="1">
        <v>2</v>
      </c>
      <c r="J4499" s="2">
        <v>45944</v>
      </c>
      <c r="K4499" s="2">
        <v>45931</v>
      </c>
      <c r="L4499" s="1" t="str">
        <f t="shared" si="511"/>
        <v>ter</v>
      </c>
      <c r="M4499" s="1" t="str">
        <f t="shared" si="512"/>
        <v>out</v>
      </c>
      <c r="N4499">
        <f t="shared" si="513"/>
        <v>2025</v>
      </c>
      <c r="O4499" s="2"/>
      <c r="P4499" t="str">
        <f t="shared" si="510"/>
        <v>194045944</v>
      </c>
    </row>
    <row r="4500" spans="1:16" x14ac:dyDescent="0.3">
      <c r="A4500">
        <v>1940</v>
      </c>
      <c r="B4500">
        <v>57</v>
      </c>
      <c r="C4500" t="s">
        <v>15</v>
      </c>
      <c r="D4500" t="s">
        <v>29</v>
      </c>
      <c r="E4500" t="s">
        <v>17</v>
      </c>
      <c r="F4500" t="s">
        <v>21</v>
      </c>
      <c r="G4500" t="s">
        <v>41</v>
      </c>
      <c r="H4500" t="s">
        <v>25</v>
      </c>
      <c r="I4500" s="1">
        <v>2</v>
      </c>
      <c r="J4500" s="2">
        <v>45987</v>
      </c>
      <c r="K4500" s="2">
        <v>45962</v>
      </c>
      <c r="L4500" s="1" t="str">
        <f t="shared" si="511"/>
        <v>qua</v>
      </c>
      <c r="M4500" s="1" t="str">
        <f t="shared" si="512"/>
        <v>nov</v>
      </c>
      <c r="N4500">
        <f t="shared" si="513"/>
        <v>2025</v>
      </c>
      <c r="O4500" s="2"/>
      <c r="P4500" t="str">
        <f t="shared" si="510"/>
        <v>194045987</v>
      </c>
    </row>
    <row r="4501" spans="1:16" x14ac:dyDescent="0.3">
      <c r="A4501">
        <v>1940</v>
      </c>
      <c r="B4501">
        <v>57</v>
      </c>
      <c r="C4501" t="s">
        <v>15</v>
      </c>
      <c r="D4501" t="s">
        <v>29</v>
      </c>
      <c r="E4501" t="s">
        <v>17</v>
      </c>
      <c r="F4501" t="s">
        <v>21</v>
      </c>
      <c r="G4501" t="s">
        <v>41</v>
      </c>
      <c r="H4501" t="s">
        <v>25</v>
      </c>
      <c r="I4501" s="1">
        <v>2</v>
      </c>
      <c r="J4501" s="2">
        <v>46000</v>
      </c>
      <c r="K4501" s="2">
        <v>45992</v>
      </c>
      <c r="L4501" s="1" t="str">
        <f t="shared" si="511"/>
        <v>ter</v>
      </c>
      <c r="M4501" s="1" t="str">
        <f t="shared" si="512"/>
        <v>dez</v>
      </c>
      <c r="N4501">
        <f t="shared" si="513"/>
        <v>2025</v>
      </c>
      <c r="O4501" s="2"/>
      <c r="P4501" t="str">
        <f t="shared" si="510"/>
        <v>194046000</v>
      </c>
    </row>
    <row r="4502" spans="1:16" x14ac:dyDescent="0.3">
      <c r="A4502">
        <v>1940</v>
      </c>
      <c r="B4502">
        <v>57</v>
      </c>
      <c r="C4502" t="s">
        <v>15</v>
      </c>
      <c r="D4502" t="s">
        <v>29</v>
      </c>
      <c r="E4502" t="s">
        <v>17</v>
      </c>
      <c r="F4502" t="s">
        <v>21</v>
      </c>
      <c r="G4502" t="s">
        <v>41</v>
      </c>
      <c r="H4502" t="s">
        <v>25</v>
      </c>
      <c r="I4502" s="1">
        <v>2</v>
      </c>
      <c r="J4502" s="2">
        <v>46187</v>
      </c>
      <c r="K4502" s="2">
        <v>46023</v>
      </c>
      <c r="L4502" s="1" t="str">
        <f t="shared" si="511"/>
        <v>dom</v>
      </c>
      <c r="M4502" s="1" t="str">
        <f t="shared" si="512"/>
        <v>jun</v>
      </c>
      <c r="N4502">
        <f t="shared" si="513"/>
        <v>2026</v>
      </c>
      <c r="O4502" s="2"/>
      <c r="P4502" t="str">
        <f t="shared" si="510"/>
        <v>194046187</v>
      </c>
    </row>
    <row r="4503" spans="1:16" x14ac:dyDescent="0.3">
      <c r="A4503">
        <v>1941</v>
      </c>
      <c r="B4503">
        <v>24</v>
      </c>
      <c r="C4503" t="s">
        <v>26</v>
      </c>
      <c r="D4503" t="s">
        <v>16</v>
      </c>
      <c r="E4503" t="s">
        <v>17</v>
      </c>
      <c r="F4503" t="s">
        <v>21</v>
      </c>
      <c r="G4503" t="s">
        <v>41</v>
      </c>
      <c r="H4503" t="s">
        <v>25</v>
      </c>
      <c r="I4503" s="1">
        <v>3</v>
      </c>
      <c r="J4503" s="2">
        <v>45941</v>
      </c>
      <c r="K4503" s="2">
        <v>45931</v>
      </c>
      <c r="L4503" s="1" t="str">
        <f t="shared" si="511"/>
        <v>sáb</v>
      </c>
      <c r="M4503" s="1" t="str">
        <f t="shared" si="512"/>
        <v>out</v>
      </c>
      <c r="N4503">
        <f t="shared" si="513"/>
        <v>2025</v>
      </c>
      <c r="O4503" s="2"/>
      <c r="P4503" t="str">
        <f t="shared" si="510"/>
        <v>194145941</v>
      </c>
    </row>
    <row r="4504" spans="1:16" x14ac:dyDescent="0.3">
      <c r="A4504">
        <v>1941</v>
      </c>
      <c r="B4504">
        <v>24</v>
      </c>
      <c r="C4504" t="s">
        <v>26</v>
      </c>
      <c r="D4504" t="s">
        <v>16</v>
      </c>
      <c r="E4504" t="s">
        <v>17</v>
      </c>
      <c r="F4504" t="s">
        <v>21</v>
      </c>
      <c r="G4504" t="s">
        <v>41</v>
      </c>
      <c r="H4504" t="s">
        <v>25</v>
      </c>
      <c r="I4504" s="1">
        <v>3</v>
      </c>
      <c r="J4504" s="2">
        <v>45995</v>
      </c>
      <c r="K4504" s="2">
        <v>45992</v>
      </c>
      <c r="L4504" s="1" t="str">
        <f t="shared" si="511"/>
        <v>qui</v>
      </c>
      <c r="M4504" s="1" t="str">
        <f t="shared" si="512"/>
        <v>dez</v>
      </c>
      <c r="N4504">
        <f t="shared" si="513"/>
        <v>2025</v>
      </c>
      <c r="O4504" s="2"/>
      <c r="P4504" t="str">
        <f t="shared" si="510"/>
        <v>194145995</v>
      </c>
    </row>
    <row r="4505" spans="1:16" x14ac:dyDescent="0.3">
      <c r="A4505">
        <v>1941</v>
      </c>
      <c r="B4505">
        <v>24</v>
      </c>
      <c r="C4505" t="s">
        <v>26</v>
      </c>
      <c r="D4505" t="s">
        <v>16</v>
      </c>
      <c r="E4505" t="s">
        <v>17</v>
      </c>
      <c r="F4505" t="s">
        <v>21</v>
      </c>
      <c r="G4505" t="s">
        <v>41</v>
      </c>
      <c r="H4505" t="s">
        <v>25</v>
      </c>
      <c r="I4505" s="1">
        <v>3</v>
      </c>
      <c r="J4505" s="2">
        <v>46069</v>
      </c>
      <c r="K4505" s="2">
        <v>46054</v>
      </c>
      <c r="L4505" s="1" t="str">
        <f t="shared" si="511"/>
        <v>seg</v>
      </c>
      <c r="M4505" s="1" t="str">
        <f t="shared" si="512"/>
        <v>fev</v>
      </c>
      <c r="N4505">
        <f t="shared" si="513"/>
        <v>2026</v>
      </c>
      <c r="O4505" s="2"/>
      <c r="P4505" t="str">
        <f t="shared" si="510"/>
        <v>194146069</v>
      </c>
    </row>
    <row r="4506" spans="1:16" x14ac:dyDescent="0.3">
      <c r="A4506">
        <v>1941</v>
      </c>
      <c r="B4506">
        <v>24</v>
      </c>
      <c r="C4506" t="s">
        <v>26</v>
      </c>
      <c r="D4506" t="s">
        <v>16</v>
      </c>
      <c r="E4506" t="s">
        <v>17</v>
      </c>
      <c r="F4506" t="s">
        <v>21</v>
      </c>
      <c r="G4506" t="s">
        <v>41</v>
      </c>
      <c r="H4506" t="s">
        <v>25</v>
      </c>
      <c r="I4506" s="1">
        <v>3</v>
      </c>
      <c r="J4506" s="2">
        <v>46077</v>
      </c>
      <c r="K4506" s="2">
        <v>46054</v>
      </c>
      <c r="L4506" s="1" t="str">
        <f t="shared" si="511"/>
        <v>ter</v>
      </c>
      <c r="M4506" s="1" t="str">
        <f t="shared" si="512"/>
        <v>fev</v>
      </c>
      <c r="N4506">
        <f t="shared" si="513"/>
        <v>2026</v>
      </c>
      <c r="O4506" s="2"/>
      <c r="P4506" t="str">
        <f t="shared" si="510"/>
        <v>194146077</v>
      </c>
    </row>
    <row r="4507" spans="1:16" x14ac:dyDescent="0.3">
      <c r="A4507">
        <v>1941</v>
      </c>
      <c r="B4507">
        <v>24</v>
      </c>
      <c r="C4507" t="s">
        <v>26</v>
      </c>
      <c r="D4507" t="s">
        <v>16</v>
      </c>
      <c r="E4507" t="s">
        <v>17</v>
      </c>
      <c r="F4507" t="s">
        <v>21</v>
      </c>
      <c r="G4507" t="s">
        <v>41</v>
      </c>
      <c r="H4507" t="s">
        <v>25</v>
      </c>
      <c r="I4507" s="1">
        <v>3</v>
      </c>
      <c r="J4507" s="2">
        <v>46079</v>
      </c>
      <c r="K4507" s="2">
        <v>46054</v>
      </c>
      <c r="L4507" s="1" t="str">
        <f t="shared" si="511"/>
        <v>qui</v>
      </c>
      <c r="M4507" s="1" t="str">
        <f t="shared" si="512"/>
        <v>fev</v>
      </c>
      <c r="N4507">
        <f t="shared" si="513"/>
        <v>2026</v>
      </c>
      <c r="O4507" s="2"/>
      <c r="P4507" t="str">
        <f t="shared" si="510"/>
        <v>194146079</v>
      </c>
    </row>
    <row r="4508" spans="1:16" x14ac:dyDescent="0.3">
      <c r="A4508">
        <v>1941</v>
      </c>
      <c r="B4508">
        <v>24</v>
      </c>
      <c r="C4508" t="s">
        <v>26</v>
      </c>
      <c r="D4508" t="s">
        <v>16</v>
      </c>
      <c r="E4508" t="s">
        <v>17</v>
      </c>
      <c r="F4508" t="s">
        <v>21</v>
      </c>
      <c r="G4508" t="s">
        <v>41</v>
      </c>
      <c r="H4508" t="s">
        <v>25</v>
      </c>
      <c r="I4508" s="1">
        <v>3</v>
      </c>
      <c r="J4508" s="2">
        <v>46086</v>
      </c>
      <c r="K4508" s="2">
        <v>46082</v>
      </c>
      <c r="L4508" s="1" t="str">
        <f t="shared" si="511"/>
        <v>qui</v>
      </c>
      <c r="M4508" s="1" t="str">
        <f t="shared" si="512"/>
        <v>mar</v>
      </c>
      <c r="N4508">
        <f t="shared" si="513"/>
        <v>2026</v>
      </c>
      <c r="O4508" s="2"/>
      <c r="P4508" t="str">
        <f t="shared" si="510"/>
        <v>194146086</v>
      </c>
    </row>
    <row r="4509" spans="1:16" x14ac:dyDescent="0.3">
      <c r="A4509">
        <v>1942</v>
      </c>
      <c r="B4509">
        <v>51</v>
      </c>
      <c r="C4509" t="s">
        <v>26</v>
      </c>
      <c r="D4509" t="s">
        <v>31</v>
      </c>
      <c r="E4509" t="s">
        <v>34</v>
      </c>
      <c r="F4509" t="s">
        <v>21</v>
      </c>
      <c r="G4509" t="s">
        <v>41</v>
      </c>
      <c r="H4509" t="s">
        <v>25</v>
      </c>
      <c r="I4509" s="1">
        <v>1</v>
      </c>
      <c r="J4509" s="2">
        <v>45811</v>
      </c>
      <c r="K4509" s="2">
        <v>45809</v>
      </c>
      <c r="L4509" s="1" t="str">
        <f t="shared" si="511"/>
        <v>ter</v>
      </c>
      <c r="M4509" s="1" t="str">
        <f t="shared" si="512"/>
        <v>jun</v>
      </c>
      <c r="N4509">
        <f t="shared" si="513"/>
        <v>2025</v>
      </c>
      <c r="O4509" s="2"/>
      <c r="P4509" t="str">
        <f t="shared" si="510"/>
        <v>194245811</v>
      </c>
    </row>
    <row r="4510" spans="1:16" x14ac:dyDescent="0.3">
      <c r="A4510">
        <v>1942</v>
      </c>
      <c r="B4510">
        <v>51</v>
      </c>
      <c r="C4510" t="s">
        <v>26</v>
      </c>
      <c r="D4510" t="s">
        <v>31</v>
      </c>
      <c r="E4510" t="s">
        <v>34</v>
      </c>
      <c r="F4510" t="s">
        <v>21</v>
      </c>
      <c r="G4510" t="s">
        <v>41</v>
      </c>
      <c r="H4510" t="s">
        <v>25</v>
      </c>
      <c r="I4510" s="1">
        <v>1</v>
      </c>
      <c r="J4510" s="2">
        <v>45829</v>
      </c>
      <c r="K4510" s="2">
        <v>45809</v>
      </c>
      <c r="L4510" s="1" t="str">
        <f t="shared" si="511"/>
        <v>sáb</v>
      </c>
      <c r="M4510" s="1" t="str">
        <f t="shared" si="512"/>
        <v>jun</v>
      </c>
      <c r="N4510">
        <f t="shared" si="513"/>
        <v>2025</v>
      </c>
      <c r="O4510" s="2"/>
      <c r="P4510" t="str">
        <f t="shared" si="510"/>
        <v>194245829</v>
      </c>
    </row>
    <row r="4511" spans="1:16" x14ac:dyDescent="0.3">
      <c r="A4511">
        <v>1942</v>
      </c>
      <c r="B4511">
        <v>51</v>
      </c>
      <c r="C4511" t="s">
        <v>26</v>
      </c>
      <c r="D4511" t="s">
        <v>31</v>
      </c>
      <c r="E4511" t="s">
        <v>34</v>
      </c>
      <c r="F4511" t="s">
        <v>21</v>
      </c>
      <c r="G4511" t="s">
        <v>41</v>
      </c>
      <c r="H4511" t="s">
        <v>25</v>
      </c>
      <c r="I4511" s="1">
        <v>1</v>
      </c>
      <c r="J4511" s="2">
        <v>45840</v>
      </c>
      <c r="K4511" s="2">
        <v>45839</v>
      </c>
      <c r="L4511" s="1" t="str">
        <f t="shared" si="511"/>
        <v>qua</v>
      </c>
      <c r="M4511" s="1" t="str">
        <f t="shared" si="512"/>
        <v>jul</v>
      </c>
      <c r="N4511">
        <f t="shared" si="513"/>
        <v>2025</v>
      </c>
      <c r="O4511" s="2"/>
      <c r="P4511" t="str">
        <f t="shared" si="510"/>
        <v>194245840</v>
      </c>
    </row>
    <row r="4512" spans="1:16" x14ac:dyDescent="0.3">
      <c r="A4512">
        <v>1942</v>
      </c>
      <c r="B4512">
        <v>51</v>
      </c>
      <c r="C4512" t="s">
        <v>26</v>
      </c>
      <c r="D4512" t="s">
        <v>31</v>
      </c>
      <c r="E4512" t="s">
        <v>34</v>
      </c>
      <c r="F4512" t="s">
        <v>21</v>
      </c>
      <c r="G4512" t="s">
        <v>41</v>
      </c>
      <c r="H4512" t="s">
        <v>25</v>
      </c>
      <c r="I4512" s="1">
        <v>1</v>
      </c>
      <c r="J4512" s="2">
        <v>45931</v>
      </c>
      <c r="K4512" s="2">
        <v>45931</v>
      </c>
      <c r="L4512" s="1" t="str">
        <f t="shared" si="511"/>
        <v>qua</v>
      </c>
      <c r="M4512" s="1" t="str">
        <f t="shared" si="512"/>
        <v>out</v>
      </c>
      <c r="N4512">
        <f t="shared" si="513"/>
        <v>2025</v>
      </c>
      <c r="O4512" s="2"/>
      <c r="P4512" t="str">
        <f t="shared" si="510"/>
        <v>194245931</v>
      </c>
    </row>
    <row r="4513" spans="1:16" x14ac:dyDescent="0.3">
      <c r="A4513">
        <v>1942</v>
      </c>
      <c r="B4513">
        <v>51</v>
      </c>
      <c r="C4513" t="s">
        <v>26</v>
      </c>
      <c r="D4513" t="s">
        <v>31</v>
      </c>
      <c r="E4513" t="s">
        <v>34</v>
      </c>
      <c r="F4513" t="s">
        <v>21</v>
      </c>
      <c r="G4513" t="s">
        <v>41</v>
      </c>
      <c r="H4513" t="s">
        <v>25</v>
      </c>
      <c r="I4513" s="1">
        <v>1</v>
      </c>
      <c r="J4513" s="2">
        <v>45949</v>
      </c>
      <c r="K4513" s="2">
        <v>45931</v>
      </c>
      <c r="L4513" s="1" t="str">
        <f t="shared" si="511"/>
        <v>dom</v>
      </c>
      <c r="M4513" s="1" t="str">
        <f t="shared" si="512"/>
        <v>out</v>
      </c>
      <c r="N4513">
        <f t="shared" si="513"/>
        <v>2025</v>
      </c>
      <c r="O4513" s="2"/>
      <c r="P4513" t="str">
        <f t="shared" si="510"/>
        <v>194245949</v>
      </c>
    </row>
    <row r="4514" spans="1:16" x14ac:dyDescent="0.3">
      <c r="A4514">
        <v>1942</v>
      </c>
      <c r="B4514">
        <v>51</v>
      </c>
      <c r="C4514" t="s">
        <v>26</v>
      </c>
      <c r="D4514" t="s">
        <v>31</v>
      </c>
      <c r="E4514" t="s">
        <v>34</v>
      </c>
      <c r="F4514" t="s">
        <v>21</v>
      </c>
      <c r="G4514" t="s">
        <v>41</v>
      </c>
      <c r="H4514" t="s">
        <v>25</v>
      </c>
      <c r="I4514" s="1">
        <v>1</v>
      </c>
      <c r="J4514" s="2">
        <v>45965</v>
      </c>
      <c r="K4514" s="2">
        <v>45962</v>
      </c>
      <c r="L4514" s="1" t="str">
        <f t="shared" si="511"/>
        <v>ter</v>
      </c>
      <c r="M4514" s="1" t="str">
        <f t="shared" si="512"/>
        <v>nov</v>
      </c>
      <c r="N4514">
        <f t="shared" si="513"/>
        <v>2025</v>
      </c>
      <c r="O4514" s="2"/>
      <c r="P4514" t="str">
        <f t="shared" si="510"/>
        <v>194245965</v>
      </c>
    </row>
    <row r="4515" spans="1:16" x14ac:dyDescent="0.3">
      <c r="A4515">
        <v>1944</v>
      </c>
      <c r="B4515">
        <v>52</v>
      </c>
      <c r="C4515" t="s">
        <v>15</v>
      </c>
      <c r="D4515" t="s">
        <v>16</v>
      </c>
      <c r="E4515" t="s">
        <v>17</v>
      </c>
      <c r="F4515" t="s">
        <v>23</v>
      </c>
      <c r="G4515" t="s">
        <v>41</v>
      </c>
      <c r="H4515" t="s">
        <v>25</v>
      </c>
      <c r="I4515" s="1">
        <v>1</v>
      </c>
      <c r="J4515" s="2">
        <v>45847</v>
      </c>
      <c r="K4515" s="2">
        <v>45839</v>
      </c>
      <c r="L4515" s="1" t="str">
        <f t="shared" si="511"/>
        <v>qua</v>
      </c>
      <c r="M4515" s="1" t="str">
        <f t="shared" si="512"/>
        <v>jul</v>
      </c>
      <c r="N4515">
        <f t="shared" si="513"/>
        <v>2025</v>
      </c>
      <c r="O4515" s="2"/>
      <c r="P4515" t="str">
        <f t="shared" si="510"/>
        <v>194445847</v>
      </c>
    </row>
    <row r="4516" spans="1:16" x14ac:dyDescent="0.3">
      <c r="A4516">
        <v>1944</v>
      </c>
      <c r="B4516">
        <v>52</v>
      </c>
      <c r="C4516" t="s">
        <v>15</v>
      </c>
      <c r="D4516" t="s">
        <v>16</v>
      </c>
      <c r="E4516" t="s">
        <v>17</v>
      </c>
      <c r="F4516" t="s">
        <v>23</v>
      </c>
      <c r="G4516" t="s">
        <v>41</v>
      </c>
      <c r="H4516" t="s">
        <v>25</v>
      </c>
      <c r="I4516" s="1">
        <v>1</v>
      </c>
      <c r="J4516" s="2">
        <v>45889</v>
      </c>
      <c r="K4516" s="2">
        <v>45870</v>
      </c>
      <c r="L4516" s="1" t="str">
        <f t="shared" si="511"/>
        <v>qua</v>
      </c>
      <c r="M4516" s="1" t="str">
        <f t="shared" si="512"/>
        <v>ago</v>
      </c>
      <c r="N4516">
        <f t="shared" si="513"/>
        <v>2025</v>
      </c>
      <c r="O4516" s="2"/>
      <c r="P4516" t="str">
        <f t="shared" si="510"/>
        <v>194445889</v>
      </c>
    </row>
    <row r="4517" spans="1:16" x14ac:dyDescent="0.3">
      <c r="A4517">
        <v>1944</v>
      </c>
      <c r="B4517">
        <v>52</v>
      </c>
      <c r="C4517" t="s">
        <v>15</v>
      </c>
      <c r="D4517" t="s">
        <v>16</v>
      </c>
      <c r="E4517" t="s">
        <v>17</v>
      </c>
      <c r="F4517" t="s">
        <v>23</v>
      </c>
      <c r="G4517" t="s">
        <v>41</v>
      </c>
      <c r="H4517" t="s">
        <v>25</v>
      </c>
      <c r="I4517" s="1">
        <v>1</v>
      </c>
      <c r="J4517" s="2">
        <v>45963</v>
      </c>
      <c r="K4517" s="2">
        <v>45962</v>
      </c>
      <c r="L4517" s="1" t="str">
        <f t="shared" si="511"/>
        <v>dom</v>
      </c>
      <c r="M4517" s="1" t="str">
        <f t="shared" si="512"/>
        <v>nov</v>
      </c>
      <c r="N4517">
        <f t="shared" si="513"/>
        <v>2025</v>
      </c>
      <c r="O4517" s="2"/>
      <c r="P4517" t="str">
        <f t="shared" si="510"/>
        <v>194445963</v>
      </c>
    </row>
    <row r="4518" spans="1:16" x14ac:dyDescent="0.3">
      <c r="A4518">
        <v>1944</v>
      </c>
      <c r="B4518">
        <v>52</v>
      </c>
      <c r="C4518" t="s">
        <v>15</v>
      </c>
      <c r="D4518" t="s">
        <v>16</v>
      </c>
      <c r="E4518" t="s">
        <v>17</v>
      </c>
      <c r="F4518" t="s">
        <v>23</v>
      </c>
      <c r="G4518" t="s">
        <v>41</v>
      </c>
      <c r="H4518" t="s">
        <v>25</v>
      </c>
      <c r="I4518" s="1">
        <v>1</v>
      </c>
      <c r="J4518" s="2">
        <v>45989</v>
      </c>
      <c r="K4518" s="2">
        <v>45962</v>
      </c>
      <c r="L4518" s="1" t="str">
        <f t="shared" si="511"/>
        <v>sex</v>
      </c>
      <c r="M4518" s="1" t="str">
        <f t="shared" si="512"/>
        <v>nov</v>
      </c>
      <c r="N4518">
        <f t="shared" si="513"/>
        <v>2025</v>
      </c>
      <c r="O4518" s="2"/>
      <c r="P4518" t="str">
        <f t="shared" si="510"/>
        <v>194445989</v>
      </c>
    </row>
    <row r="4519" spans="1:16" x14ac:dyDescent="0.3">
      <c r="A4519">
        <v>1944</v>
      </c>
      <c r="B4519">
        <v>52</v>
      </c>
      <c r="C4519" t="s">
        <v>15</v>
      </c>
      <c r="D4519" t="s">
        <v>16</v>
      </c>
      <c r="E4519" t="s">
        <v>17</v>
      </c>
      <c r="F4519" t="s">
        <v>23</v>
      </c>
      <c r="G4519" t="s">
        <v>41</v>
      </c>
      <c r="H4519" t="s">
        <v>25</v>
      </c>
      <c r="I4519" s="1">
        <v>1</v>
      </c>
      <c r="J4519" s="2">
        <v>46001</v>
      </c>
      <c r="K4519" s="2">
        <v>45992</v>
      </c>
      <c r="L4519" s="1" t="str">
        <f t="shared" si="511"/>
        <v>qua</v>
      </c>
      <c r="M4519" s="1" t="str">
        <f t="shared" si="512"/>
        <v>dez</v>
      </c>
      <c r="N4519">
        <f t="shared" si="513"/>
        <v>2025</v>
      </c>
      <c r="O4519" s="2"/>
      <c r="P4519" t="str">
        <f t="shared" si="510"/>
        <v>194446001</v>
      </c>
    </row>
    <row r="4520" spans="1:16" x14ac:dyDescent="0.3">
      <c r="A4520">
        <v>1945</v>
      </c>
      <c r="B4520">
        <v>31</v>
      </c>
      <c r="C4520" t="s">
        <v>26</v>
      </c>
      <c r="D4520" t="s">
        <v>29</v>
      </c>
      <c r="E4520" t="s">
        <v>17</v>
      </c>
      <c r="F4520" t="s">
        <v>21</v>
      </c>
      <c r="G4520" t="s">
        <v>41</v>
      </c>
      <c r="H4520" t="s">
        <v>25</v>
      </c>
      <c r="I4520" s="1">
        <v>2</v>
      </c>
      <c r="J4520" s="2">
        <v>45814</v>
      </c>
      <c r="K4520" s="2">
        <v>45809</v>
      </c>
      <c r="L4520" s="1" t="str">
        <f t="shared" si="511"/>
        <v>sex</v>
      </c>
      <c r="M4520" s="1" t="str">
        <f t="shared" si="512"/>
        <v>jun</v>
      </c>
      <c r="N4520">
        <f t="shared" si="513"/>
        <v>2025</v>
      </c>
      <c r="O4520" s="2"/>
      <c r="P4520" t="str">
        <f t="shared" si="510"/>
        <v>194545814</v>
      </c>
    </row>
    <row r="4521" spans="1:16" x14ac:dyDescent="0.3">
      <c r="A4521">
        <v>1945</v>
      </c>
      <c r="B4521">
        <v>31</v>
      </c>
      <c r="C4521" t="s">
        <v>26</v>
      </c>
      <c r="D4521" t="s">
        <v>29</v>
      </c>
      <c r="E4521" t="s">
        <v>17</v>
      </c>
      <c r="F4521" t="s">
        <v>21</v>
      </c>
      <c r="G4521" t="s">
        <v>41</v>
      </c>
      <c r="H4521" t="s">
        <v>25</v>
      </c>
      <c r="I4521" s="1">
        <v>2</v>
      </c>
      <c r="J4521" s="2">
        <v>45897</v>
      </c>
      <c r="K4521" s="2">
        <v>45870</v>
      </c>
      <c r="L4521" s="1" t="str">
        <f t="shared" si="511"/>
        <v>qui</v>
      </c>
      <c r="M4521" s="1" t="str">
        <f t="shared" si="512"/>
        <v>ago</v>
      </c>
      <c r="N4521">
        <f t="shared" si="513"/>
        <v>2025</v>
      </c>
      <c r="O4521" s="2"/>
      <c r="P4521" t="str">
        <f t="shared" si="510"/>
        <v>194545897</v>
      </c>
    </row>
    <row r="4522" spans="1:16" x14ac:dyDescent="0.3">
      <c r="A4522">
        <v>1945</v>
      </c>
      <c r="B4522">
        <v>31</v>
      </c>
      <c r="C4522" t="s">
        <v>26</v>
      </c>
      <c r="D4522" t="s">
        <v>29</v>
      </c>
      <c r="E4522" t="s">
        <v>17</v>
      </c>
      <c r="F4522" t="s">
        <v>21</v>
      </c>
      <c r="G4522" t="s">
        <v>41</v>
      </c>
      <c r="H4522" t="s">
        <v>25</v>
      </c>
      <c r="I4522" s="1">
        <v>2</v>
      </c>
      <c r="J4522" s="2">
        <v>46192</v>
      </c>
      <c r="K4522" s="2">
        <v>46023</v>
      </c>
      <c r="L4522" s="1" t="str">
        <f t="shared" si="511"/>
        <v>sex</v>
      </c>
      <c r="M4522" s="1" t="str">
        <f t="shared" si="512"/>
        <v>jun</v>
      </c>
      <c r="N4522">
        <f t="shared" si="513"/>
        <v>2026</v>
      </c>
      <c r="O4522" s="2"/>
      <c r="P4522" t="str">
        <f t="shared" si="510"/>
        <v>194546192</v>
      </c>
    </row>
    <row r="4523" spans="1:16" x14ac:dyDescent="0.3">
      <c r="A4523">
        <v>1945</v>
      </c>
      <c r="B4523">
        <v>31</v>
      </c>
      <c r="C4523" t="s">
        <v>26</v>
      </c>
      <c r="D4523" t="s">
        <v>29</v>
      </c>
      <c r="E4523" t="s">
        <v>17</v>
      </c>
      <c r="F4523" t="s">
        <v>21</v>
      </c>
      <c r="G4523" t="s">
        <v>41</v>
      </c>
      <c r="H4523" t="s">
        <v>25</v>
      </c>
      <c r="I4523" s="1">
        <v>2</v>
      </c>
      <c r="J4523" s="2">
        <v>46101</v>
      </c>
      <c r="K4523" s="2">
        <v>46082</v>
      </c>
      <c r="L4523" s="1" t="str">
        <f t="shared" si="511"/>
        <v>sex</v>
      </c>
      <c r="M4523" s="1" t="str">
        <f t="shared" si="512"/>
        <v>mar</v>
      </c>
      <c r="N4523">
        <f t="shared" si="513"/>
        <v>2026</v>
      </c>
      <c r="O4523" s="2"/>
      <c r="P4523" t="str">
        <f t="shared" si="510"/>
        <v>194546101</v>
      </c>
    </row>
    <row r="4524" spans="1:16" x14ac:dyDescent="0.3">
      <c r="A4524">
        <v>1946</v>
      </c>
      <c r="B4524">
        <v>44</v>
      </c>
      <c r="C4524" t="s">
        <v>15</v>
      </c>
      <c r="D4524" t="s">
        <v>29</v>
      </c>
      <c r="E4524" t="s">
        <v>17</v>
      </c>
      <c r="F4524" t="s">
        <v>18</v>
      </c>
      <c r="G4524" t="s">
        <v>41</v>
      </c>
      <c r="H4524" t="s">
        <v>25</v>
      </c>
      <c r="I4524" s="1">
        <v>3</v>
      </c>
      <c r="J4524" s="2">
        <v>45886</v>
      </c>
      <c r="K4524" s="2">
        <v>45870</v>
      </c>
      <c r="L4524" s="1" t="str">
        <f t="shared" si="511"/>
        <v>dom</v>
      </c>
      <c r="M4524" s="1" t="str">
        <f t="shared" si="512"/>
        <v>ago</v>
      </c>
      <c r="N4524">
        <f t="shared" si="513"/>
        <v>2025</v>
      </c>
      <c r="O4524" s="2"/>
      <c r="P4524" t="str">
        <f t="shared" si="510"/>
        <v>194645886</v>
      </c>
    </row>
    <row r="4525" spans="1:16" x14ac:dyDescent="0.3">
      <c r="A4525">
        <v>1946</v>
      </c>
      <c r="B4525">
        <v>44</v>
      </c>
      <c r="C4525" t="s">
        <v>15</v>
      </c>
      <c r="D4525" t="s">
        <v>29</v>
      </c>
      <c r="E4525" t="s">
        <v>17</v>
      </c>
      <c r="F4525" t="s">
        <v>18</v>
      </c>
      <c r="G4525" t="s">
        <v>41</v>
      </c>
      <c r="H4525" t="s">
        <v>25</v>
      </c>
      <c r="I4525" s="1">
        <v>3</v>
      </c>
      <c r="J4525" s="2">
        <v>45915</v>
      </c>
      <c r="K4525" s="2">
        <v>45901</v>
      </c>
      <c r="L4525" s="1" t="str">
        <f t="shared" si="511"/>
        <v>seg</v>
      </c>
      <c r="M4525" s="1" t="str">
        <f t="shared" si="512"/>
        <v>set</v>
      </c>
      <c r="N4525">
        <f t="shared" si="513"/>
        <v>2025</v>
      </c>
      <c r="O4525" s="2"/>
      <c r="P4525" t="str">
        <f t="shared" si="510"/>
        <v>194645915</v>
      </c>
    </row>
    <row r="4526" spans="1:16" x14ac:dyDescent="0.3">
      <c r="A4526">
        <v>1946</v>
      </c>
      <c r="B4526">
        <v>44</v>
      </c>
      <c r="C4526" t="s">
        <v>15</v>
      </c>
      <c r="D4526" t="s">
        <v>29</v>
      </c>
      <c r="E4526" t="s">
        <v>17</v>
      </c>
      <c r="F4526" t="s">
        <v>18</v>
      </c>
      <c r="G4526" t="s">
        <v>41</v>
      </c>
      <c r="H4526" t="s">
        <v>25</v>
      </c>
      <c r="I4526" s="1">
        <v>3</v>
      </c>
      <c r="J4526" s="2">
        <v>46203</v>
      </c>
      <c r="K4526" s="2">
        <v>46023</v>
      </c>
      <c r="L4526" s="1" t="str">
        <f t="shared" si="511"/>
        <v>ter</v>
      </c>
      <c r="M4526" s="1" t="str">
        <f t="shared" si="512"/>
        <v>jun</v>
      </c>
      <c r="N4526">
        <f t="shared" si="513"/>
        <v>2026</v>
      </c>
      <c r="O4526" s="2"/>
      <c r="P4526" t="str">
        <f t="shared" si="510"/>
        <v>194646203</v>
      </c>
    </row>
    <row r="4527" spans="1:16" x14ac:dyDescent="0.3">
      <c r="A4527">
        <v>1946</v>
      </c>
      <c r="B4527">
        <v>44</v>
      </c>
      <c r="C4527" t="s">
        <v>15</v>
      </c>
      <c r="D4527" t="s">
        <v>29</v>
      </c>
      <c r="E4527" t="s">
        <v>17</v>
      </c>
      <c r="F4527" t="s">
        <v>18</v>
      </c>
      <c r="G4527" t="s">
        <v>41</v>
      </c>
      <c r="H4527" t="s">
        <v>25</v>
      </c>
      <c r="I4527" s="1">
        <v>3</v>
      </c>
      <c r="J4527" s="2">
        <v>46072</v>
      </c>
      <c r="K4527" s="2">
        <v>46054</v>
      </c>
      <c r="L4527" s="1" t="str">
        <f t="shared" si="511"/>
        <v>qui</v>
      </c>
      <c r="M4527" s="1" t="str">
        <f t="shared" si="512"/>
        <v>fev</v>
      </c>
      <c r="N4527">
        <f t="shared" si="513"/>
        <v>2026</v>
      </c>
      <c r="O4527" s="2"/>
      <c r="P4527" t="str">
        <f t="shared" si="510"/>
        <v>194646072</v>
      </c>
    </row>
    <row r="4528" spans="1:16" x14ac:dyDescent="0.3">
      <c r="A4528">
        <v>1946</v>
      </c>
      <c r="B4528">
        <v>44</v>
      </c>
      <c r="C4528" t="s">
        <v>15</v>
      </c>
      <c r="D4528" t="s">
        <v>29</v>
      </c>
      <c r="E4528" t="s">
        <v>17</v>
      </c>
      <c r="F4528" t="s">
        <v>18</v>
      </c>
      <c r="G4528" t="s">
        <v>41</v>
      </c>
      <c r="H4528" t="s">
        <v>25</v>
      </c>
      <c r="I4528" s="1">
        <v>3</v>
      </c>
      <c r="J4528" s="2">
        <v>46097</v>
      </c>
      <c r="K4528" s="2">
        <v>46082</v>
      </c>
      <c r="L4528" s="1" t="str">
        <f t="shared" ref="L4528:L4542" si="514">TEXT(J4528,"ddd")</f>
        <v>seg</v>
      </c>
      <c r="M4528" s="1" t="str">
        <f t="shared" ref="M4528:M4542" si="515">TEXT($J4528,"mmm")</f>
        <v>mar</v>
      </c>
      <c r="N4528">
        <f t="shared" ref="N4528:N4542" si="516">YEAR(J4528)</f>
        <v>2026</v>
      </c>
      <c r="O4528" s="2"/>
      <c r="P4528" t="str">
        <f t="shared" si="510"/>
        <v>194646097</v>
      </c>
    </row>
    <row r="4529" spans="1:16" x14ac:dyDescent="0.3">
      <c r="A4529">
        <v>1946</v>
      </c>
      <c r="B4529">
        <v>44</v>
      </c>
      <c r="C4529" t="s">
        <v>15</v>
      </c>
      <c r="D4529" t="s">
        <v>29</v>
      </c>
      <c r="E4529" t="s">
        <v>17</v>
      </c>
      <c r="F4529" t="s">
        <v>18</v>
      </c>
      <c r="G4529" t="s">
        <v>41</v>
      </c>
      <c r="H4529" t="s">
        <v>25</v>
      </c>
      <c r="I4529" s="1">
        <v>3</v>
      </c>
      <c r="J4529" s="2">
        <v>46098</v>
      </c>
      <c r="K4529" s="2">
        <v>46082</v>
      </c>
      <c r="L4529" s="1" t="str">
        <f t="shared" si="514"/>
        <v>ter</v>
      </c>
      <c r="M4529" s="1" t="str">
        <f t="shared" si="515"/>
        <v>mar</v>
      </c>
      <c r="N4529">
        <f t="shared" si="516"/>
        <v>2026</v>
      </c>
      <c r="O4529" s="2"/>
      <c r="P4529" t="str">
        <f t="shared" si="510"/>
        <v>194646098</v>
      </c>
    </row>
    <row r="4530" spans="1:16" x14ac:dyDescent="0.3">
      <c r="A4530">
        <v>1947</v>
      </c>
      <c r="B4530">
        <v>26</v>
      </c>
      <c r="C4530" t="s">
        <v>15</v>
      </c>
      <c r="D4530" t="s">
        <v>31</v>
      </c>
      <c r="E4530" t="s">
        <v>32</v>
      </c>
      <c r="F4530" t="s">
        <v>23</v>
      </c>
      <c r="G4530" t="s">
        <v>41</v>
      </c>
      <c r="H4530" t="s">
        <v>25</v>
      </c>
      <c r="I4530" s="1">
        <v>2</v>
      </c>
      <c r="J4530" s="2">
        <v>46179</v>
      </c>
      <c r="K4530" s="2">
        <v>46023</v>
      </c>
      <c r="L4530" s="1" t="str">
        <f t="shared" si="514"/>
        <v>sáb</v>
      </c>
      <c r="M4530" s="1" t="str">
        <f t="shared" si="515"/>
        <v>jun</v>
      </c>
      <c r="N4530">
        <f t="shared" si="516"/>
        <v>2026</v>
      </c>
      <c r="O4530" s="2"/>
      <c r="P4530" t="str">
        <f t="shared" si="510"/>
        <v>194746179</v>
      </c>
    </row>
    <row r="4531" spans="1:16" x14ac:dyDescent="0.3">
      <c r="A4531">
        <v>1947</v>
      </c>
      <c r="B4531">
        <v>26</v>
      </c>
      <c r="C4531" t="s">
        <v>15</v>
      </c>
      <c r="D4531" t="s">
        <v>31</v>
      </c>
      <c r="E4531" t="s">
        <v>32</v>
      </c>
      <c r="F4531" t="s">
        <v>23</v>
      </c>
      <c r="G4531" t="s">
        <v>41</v>
      </c>
      <c r="H4531" t="s">
        <v>25</v>
      </c>
      <c r="I4531" s="1">
        <v>2</v>
      </c>
      <c r="J4531" s="2">
        <v>46061</v>
      </c>
      <c r="K4531" s="2">
        <v>46054</v>
      </c>
      <c r="L4531" s="1" t="str">
        <f t="shared" si="514"/>
        <v>dom</v>
      </c>
      <c r="M4531" s="1" t="str">
        <f t="shared" si="515"/>
        <v>fev</v>
      </c>
      <c r="N4531">
        <f t="shared" si="516"/>
        <v>2026</v>
      </c>
      <c r="O4531" s="2"/>
      <c r="P4531" t="str">
        <f t="shared" si="510"/>
        <v>194746061</v>
      </c>
    </row>
    <row r="4532" spans="1:16" x14ac:dyDescent="0.3">
      <c r="A4532">
        <v>1947</v>
      </c>
      <c r="B4532">
        <v>26</v>
      </c>
      <c r="C4532" t="s">
        <v>15</v>
      </c>
      <c r="D4532" t="s">
        <v>31</v>
      </c>
      <c r="E4532" t="s">
        <v>32</v>
      </c>
      <c r="F4532" t="s">
        <v>23</v>
      </c>
      <c r="G4532" t="s">
        <v>41</v>
      </c>
      <c r="H4532" t="s">
        <v>25</v>
      </c>
      <c r="I4532" s="1">
        <v>2</v>
      </c>
      <c r="J4532" s="2">
        <v>46101</v>
      </c>
      <c r="K4532" s="2">
        <v>46082</v>
      </c>
      <c r="L4532" s="1" t="str">
        <f t="shared" si="514"/>
        <v>sex</v>
      </c>
      <c r="M4532" s="1" t="str">
        <f t="shared" si="515"/>
        <v>mar</v>
      </c>
      <c r="N4532">
        <f t="shared" si="516"/>
        <v>2026</v>
      </c>
      <c r="O4532" s="2"/>
      <c r="P4532" t="str">
        <f t="shared" si="510"/>
        <v>194746101</v>
      </c>
    </row>
    <row r="4533" spans="1:16" x14ac:dyDescent="0.3">
      <c r="A4533">
        <v>1949</v>
      </c>
      <c r="B4533">
        <v>40</v>
      </c>
      <c r="C4533" t="s">
        <v>15</v>
      </c>
      <c r="D4533" t="s">
        <v>27</v>
      </c>
      <c r="E4533" t="s">
        <v>17</v>
      </c>
      <c r="F4533" t="s">
        <v>21</v>
      </c>
      <c r="G4533" t="s">
        <v>41</v>
      </c>
      <c r="H4533" t="s">
        <v>25</v>
      </c>
      <c r="I4533" s="1">
        <v>1</v>
      </c>
      <c r="J4533" s="2">
        <v>45843</v>
      </c>
      <c r="K4533" s="2">
        <v>45839</v>
      </c>
      <c r="L4533" s="1" t="str">
        <f t="shared" si="514"/>
        <v>sáb</v>
      </c>
      <c r="M4533" s="1" t="str">
        <f t="shared" si="515"/>
        <v>jul</v>
      </c>
      <c r="N4533">
        <f t="shared" si="516"/>
        <v>2025</v>
      </c>
      <c r="O4533" s="2"/>
      <c r="P4533" t="str">
        <f t="shared" si="510"/>
        <v>194945843</v>
      </c>
    </row>
    <row r="4534" spans="1:16" x14ac:dyDescent="0.3">
      <c r="A4534">
        <v>1949</v>
      </c>
      <c r="B4534">
        <v>40</v>
      </c>
      <c r="C4534" t="s">
        <v>15</v>
      </c>
      <c r="D4534" t="s">
        <v>27</v>
      </c>
      <c r="E4534" t="s">
        <v>17</v>
      </c>
      <c r="F4534" t="s">
        <v>21</v>
      </c>
      <c r="G4534" t="s">
        <v>41</v>
      </c>
      <c r="H4534" t="s">
        <v>25</v>
      </c>
      <c r="I4534" s="1">
        <v>1</v>
      </c>
      <c r="J4534" s="2">
        <v>45987</v>
      </c>
      <c r="K4534" s="2">
        <v>45962</v>
      </c>
      <c r="L4534" s="1" t="str">
        <f t="shared" si="514"/>
        <v>qua</v>
      </c>
      <c r="M4534" s="1" t="str">
        <f t="shared" si="515"/>
        <v>nov</v>
      </c>
      <c r="N4534">
        <f t="shared" si="516"/>
        <v>2025</v>
      </c>
      <c r="O4534" s="2"/>
      <c r="P4534" t="str">
        <f t="shared" si="510"/>
        <v>194945987</v>
      </c>
    </row>
    <row r="4535" spans="1:16" x14ac:dyDescent="0.3">
      <c r="A4535">
        <v>1949</v>
      </c>
      <c r="B4535">
        <v>40</v>
      </c>
      <c r="C4535" t="s">
        <v>15</v>
      </c>
      <c r="D4535" t="s">
        <v>27</v>
      </c>
      <c r="E4535" t="s">
        <v>17</v>
      </c>
      <c r="F4535" t="s">
        <v>21</v>
      </c>
      <c r="G4535" t="s">
        <v>41</v>
      </c>
      <c r="H4535" t="s">
        <v>25</v>
      </c>
      <c r="I4535" s="1">
        <v>1</v>
      </c>
      <c r="J4535" s="2">
        <v>46003</v>
      </c>
      <c r="K4535" s="2">
        <v>45992</v>
      </c>
      <c r="L4535" s="1" t="str">
        <f t="shared" si="514"/>
        <v>sex</v>
      </c>
      <c r="M4535" s="1" t="str">
        <f t="shared" si="515"/>
        <v>dez</v>
      </c>
      <c r="N4535">
        <f t="shared" si="516"/>
        <v>2025</v>
      </c>
      <c r="O4535" s="2"/>
      <c r="P4535" t="str">
        <f t="shared" si="510"/>
        <v>194946003</v>
      </c>
    </row>
    <row r="4536" spans="1:16" x14ac:dyDescent="0.3">
      <c r="A4536">
        <v>1949</v>
      </c>
      <c r="B4536">
        <v>40</v>
      </c>
      <c r="C4536" t="s">
        <v>15</v>
      </c>
      <c r="D4536" t="s">
        <v>27</v>
      </c>
      <c r="E4536" t="s">
        <v>17</v>
      </c>
      <c r="F4536" t="s">
        <v>21</v>
      </c>
      <c r="G4536" t="s">
        <v>41</v>
      </c>
      <c r="H4536" t="s">
        <v>25</v>
      </c>
      <c r="I4536" s="1">
        <v>1</v>
      </c>
      <c r="J4536" s="2">
        <v>46096</v>
      </c>
      <c r="K4536" s="2">
        <v>46082</v>
      </c>
      <c r="L4536" s="1" t="str">
        <f t="shared" si="514"/>
        <v>dom</v>
      </c>
      <c r="M4536" s="1" t="str">
        <f t="shared" si="515"/>
        <v>mar</v>
      </c>
      <c r="N4536">
        <f t="shared" si="516"/>
        <v>2026</v>
      </c>
      <c r="O4536" s="2"/>
      <c r="P4536" t="str">
        <f t="shared" si="510"/>
        <v>194946096</v>
      </c>
    </row>
    <row r="4537" spans="1:16" x14ac:dyDescent="0.3">
      <c r="A4537">
        <v>1950</v>
      </c>
      <c r="B4537">
        <v>25</v>
      </c>
      <c r="C4537" t="s">
        <v>15</v>
      </c>
      <c r="D4537" t="s">
        <v>29</v>
      </c>
      <c r="E4537" t="s">
        <v>17</v>
      </c>
      <c r="F4537" t="s">
        <v>18</v>
      </c>
      <c r="G4537" t="s">
        <v>41</v>
      </c>
      <c r="H4537" t="s">
        <v>25</v>
      </c>
      <c r="I4537" s="1">
        <v>1</v>
      </c>
      <c r="J4537" s="2">
        <v>45776</v>
      </c>
      <c r="K4537" s="2">
        <v>45748</v>
      </c>
      <c r="L4537" s="1" t="str">
        <f t="shared" si="514"/>
        <v>ter</v>
      </c>
      <c r="M4537" s="1" t="str">
        <f t="shared" si="515"/>
        <v>abr</v>
      </c>
      <c r="N4537">
        <f t="shared" si="516"/>
        <v>2025</v>
      </c>
      <c r="O4537" s="2"/>
      <c r="P4537" t="str">
        <f t="shared" si="510"/>
        <v>195045776</v>
      </c>
    </row>
    <row r="4538" spans="1:16" x14ac:dyDescent="0.3">
      <c r="A4538">
        <v>1950</v>
      </c>
      <c r="B4538">
        <v>25</v>
      </c>
      <c r="C4538" t="s">
        <v>15</v>
      </c>
      <c r="D4538" t="s">
        <v>29</v>
      </c>
      <c r="E4538" t="s">
        <v>17</v>
      </c>
      <c r="F4538" t="s">
        <v>18</v>
      </c>
      <c r="G4538" t="s">
        <v>41</v>
      </c>
      <c r="H4538" t="s">
        <v>25</v>
      </c>
      <c r="I4538" s="1">
        <v>1</v>
      </c>
      <c r="J4538" s="2">
        <v>45871</v>
      </c>
      <c r="K4538" s="2">
        <v>45870</v>
      </c>
      <c r="L4538" s="1" t="str">
        <f t="shared" si="514"/>
        <v>sáb</v>
      </c>
      <c r="M4538" s="1" t="str">
        <f t="shared" si="515"/>
        <v>ago</v>
      </c>
      <c r="N4538">
        <f t="shared" si="516"/>
        <v>2025</v>
      </c>
      <c r="O4538" s="2"/>
      <c r="P4538" t="str">
        <f t="shared" si="510"/>
        <v>195045871</v>
      </c>
    </row>
    <row r="4539" spans="1:16" x14ac:dyDescent="0.3">
      <c r="A4539">
        <v>1950</v>
      </c>
      <c r="B4539">
        <v>25</v>
      </c>
      <c r="C4539" t="s">
        <v>15</v>
      </c>
      <c r="D4539" t="s">
        <v>29</v>
      </c>
      <c r="E4539" t="s">
        <v>17</v>
      </c>
      <c r="F4539" t="s">
        <v>18</v>
      </c>
      <c r="G4539" t="s">
        <v>41</v>
      </c>
      <c r="H4539" t="s">
        <v>25</v>
      </c>
      <c r="I4539" s="1">
        <v>1</v>
      </c>
      <c r="J4539" s="2">
        <v>45891</v>
      </c>
      <c r="K4539" s="2">
        <v>45870</v>
      </c>
      <c r="L4539" s="1" t="str">
        <f t="shared" si="514"/>
        <v>sex</v>
      </c>
      <c r="M4539" s="1" t="str">
        <f t="shared" si="515"/>
        <v>ago</v>
      </c>
      <c r="N4539">
        <f t="shared" si="516"/>
        <v>2025</v>
      </c>
      <c r="O4539" s="2"/>
      <c r="P4539" t="str">
        <f t="shared" si="510"/>
        <v>195045891</v>
      </c>
    </row>
    <row r="4540" spans="1:16" x14ac:dyDescent="0.3">
      <c r="A4540">
        <v>1950</v>
      </c>
      <c r="B4540">
        <v>25</v>
      </c>
      <c r="C4540" t="s">
        <v>15</v>
      </c>
      <c r="D4540" t="s">
        <v>29</v>
      </c>
      <c r="E4540" t="s">
        <v>17</v>
      </c>
      <c r="F4540" t="s">
        <v>18</v>
      </c>
      <c r="G4540" t="s">
        <v>41</v>
      </c>
      <c r="H4540" t="s">
        <v>25</v>
      </c>
      <c r="I4540" s="1">
        <v>1</v>
      </c>
      <c r="J4540" s="2">
        <v>45993</v>
      </c>
      <c r="K4540" s="2">
        <v>45992</v>
      </c>
      <c r="L4540" s="1" t="str">
        <f t="shared" si="514"/>
        <v>ter</v>
      </c>
      <c r="M4540" s="1" t="str">
        <f t="shared" si="515"/>
        <v>dez</v>
      </c>
      <c r="N4540">
        <f t="shared" si="516"/>
        <v>2025</v>
      </c>
      <c r="O4540" s="2"/>
      <c r="P4540" t="str">
        <f t="shared" si="510"/>
        <v>195045993</v>
      </c>
    </row>
    <row r="4541" spans="1:16" x14ac:dyDescent="0.3">
      <c r="A4541">
        <v>1950</v>
      </c>
      <c r="B4541">
        <v>25</v>
      </c>
      <c r="C4541" t="s">
        <v>15</v>
      </c>
      <c r="D4541" t="s">
        <v>29</v>
      </c>
      <c r="E4541" t="s">
        <v>17</v>
      </c>
      <c r="F4541" t="s">
        <v>18</v>
      </c>
      <c r="G4541" t="s">
        <v>41</v>
      </c>
      <c r="H4541" t="s">
        <v>25</v>
      </c>
      <c r="I4541" s="1">
        <v>1</v>
      </c>
      <c r="J4541" s="2">
        <v>46180</v>
      </c>
      <c r="K4541" s="2">
        <v>46023</v>
      </c>
      <c r="L4541" s="1" t="str">
        <f t="shared" si="514"/>
        <v>dom</v>
      </c>
      <c r="M4541" s="1" t="str">
        <f t="shared" si="515"/>
        <v>jun</v>
      </c>
      <c r="N4541">
        <f t="shared" si="516"/>
        <v>2026</v>
      </c>
      <c r="O4541" s="2"/>
      <c r="P4541" t="str">
        <f t="shared" ref="P4541:P4604" si="517">CONCATENATE(A4541,J4541)</f>
        <v>195046180</v>
      </c>
    </row>
    <row r="4542" spans="1:16" x14ac:dyDescent="0.3">
      <c r="A4542">
        <v>1950</v>
      </c>
      <c r="B4542">
        <v>25</v>
      </c>
      <c r="C4542" t="s">
        <v>15</v>
      </c>
      <c r="D4542" t="s">
        <v>29</v>
      </c>
      <c r="E4542" t="s">
        <v>17</v>
      </c>
      <c r="F4542" t="s">
        <v>18</v>
      </c>
      <c r="G4542" t="s">
        <v>41</v>
      </c>
      <c r="H4542" t="s">
        <v>25</v>
      </c>
      <c r="I4542" s="1">
        <v>1</v>
      </c>
      <c r="J4542" s="2">
        <v>46074</v>
      </c>
      <c r="K4542" s="2">
        <v>46054</v>
      </c>
      <c r="L4542" s="1" t="str">
        <f t="shared" si="514"/>
        <v>sáb</v>
      </c>
      <c r="M4542" s="1" t="str">
        <f t="shared" si="515"/>
        <v>fev</v>
      </c>
      <c r="N4542">
        <f t="shared" si="516"/>
        <v>2026</v>
      </c>
      <c r="O4542" s="2"/>
      <c r="P4542" t="str">
        <f t="shared" si="517"/>
        <v>195046074</v>
      </c>
    </row>
    <row r="4543" spans="1:16" x14ac:dyDescent="0.3">
      <c r="A4543">
        <v>1950</v>
      </c>
      <c r="B4543">
        <v>25</v>
      </c>
      <c r="C4543" t="s">
        <v>15</v>
      </c>
      <c r="D4543" t="s">
        <v>29</v>
      </c>
      <c r="E4543" t="s">
        <v>17</v>
      </c>
      <c r="F4543" t="s">
        <v>18</v>
      </c>
      <c r="G4543" t="s">
        <v>41</v>
      </c>
      <c r="H4543" t="s">
        <v>25</v>
      </c>
      <c r="I4543" s="1">
        <v>1</v>
      </c>
      <c r="J4543" s="2">
        <v>46141</v>
      </c>
      <c r="K4543" s="2">
        <v>46113</v>
      </c>
      <c r="L4543" s="1" t="s">
        <v>50</v>
      </c>
      <c r="M4543" s="1" t="s">
        <v>48</v>
      </c>
      <c r="N4543">
        <v>2025</v>
      </c>
      <c r="O4543" s="2"/>
      <c r="P4543" t="str">
        <f t="shared" si="517"/>
        <v>195046141</v>
      </c>
    </row>
    <row r="4544" spans="1:16" x14ac:dyDescent="0.3">
      <c r="A4544">
        <v>1951</v>
      </c>
      <c r="B4544">
        <v>24</v>
      </c>
      <c r="C4544" t="s">
        <v>15</v>
      </c>
      <c r="D4544" t="s">
        <v>31</v>
      </c>
      <c r="E4544" t="s">
        <v>34</v>
      </c>
      <c r="F4544" t="s">
        <v>18</v>
      </c>
      <c r="G4544" t="s">
        <v>41</v>
      </c>
      <c r="H4544" t="s">
        <v>25</v>
      </c>
      <c r="I4544" s="1">
        <v>1</v>
      </c>
      <c r="J4544" s="2">
        <v>45878</v>
      </c>
      <c r="K4544" s="2">
        <v>45870</v>
      </c>
      <c r="L4544" s="1" t="str">
        <f t="shared" ref="L4544:L4575" si="518">TEXT(J4544,"ddd")</f>
        <v>sáb</v>
      </c>
      <c r="M4544" s="1" t="str">
        <f t="shared" ref="M4544:M4575" si="519">TEXT($J4544,"mmm")</f>
        <v>ago</v>
      </c>
      <c r="N4544">
        <f t="shared" ref="N4544:N4575" si="520">YEAR(J4544)</f>
        <v>2025</v>
      </c>
      <c r="O4544" s="2"/>
      <c r="P4544" t="str">
        <f t="shared" si="517"/>
        <v>195145878</v>
      </c>
    </row>
    <row r="4545" spans="1:16" x14ac:dyDescent="0.3">
      <c r="A4545">
        <v>1951</v>
      </c>
      <c r="B4545">
        <v>24</v>
      </c>
      <c r="C4545" t="s">
        <v>15</v>
      </c>
      <c r="D4545" t="s">
        <v>31</v>
      </c>
      <c r="E4545" t="s">
        <v>34</v>
      </c>
      <c r="F4545" t="s">
        <v>18</v>
      </c>
      <c r="G4545" t="s">
        <v>41</v>
      </c>
      <c r="H4545" t="s">
        <v>25</v>
      </c>
      <c r="I4545" s="1">
        <v>1</v>
      </c>
      <c r="J4545" s="2">
        <v>45979</v>
      </c>
      <c r="K4545" s="2">
        <v>45962</v>
      </c>
      <c r="L4545" s="1" t="str">
        <f t="shared" si="518"/>
        <v>ter</v>
      </c>
      <c r="M4545" s="1" t="str">
        <f t="shared" si="519"/>
        <v>nov</v>
      </c>
      <c r="N4545">
        <f t="shared" si="520"/>
        <v>2025</v>
      </c>
      <c r="O4545" s="2"/>
      <c r="P4545" t="str">
        <f t="shared" si="517"/>
        <v>195145979</v>
      </c>
    </row>
    <row r="4546" spans="1:16" x14ac:dyDescent="0.3">
      <c r="A4546">
        <v>1951</v>
      </c>
      <c r="B4546">
        <v>24</v>
      </c>
      <c r="C4546" t="s">
        <v>15</v>
      </c>
      <c r="D4546" t="s">
        <v>31</v>
      </c>
      <c r="E4546" t="s">
        <v>34</v>
      </c>
      <c r="F4546" t="s">
        <v>18</v>
      </c>
      <c r="G4546" t="s">
        <v>41</v>
      </c>
      <c r="H4546" t="s">
        <v>25</v>
      </c>
      <c r="I4546" s="1">
        <v>1</v>
      </c>
      <c r="J4546" s="2">
        <v>45983</v>
      </c>
      <c r="K4546" s="2">
        <v>45962</v>
      </c>
      <c r="L4546" s="1" t="str">
        <f t="shared" si="518"/>
        <v>sáb</v>
      </c>
      <c r="M4546" s="1" t="str">
        <f t="shared" si="519"/>
        <v>nov</v>
      </c>
      <c r="N4546">
        <f t="shared" si="520"/>
        <v>2025</v>
      </c>
      <c r="O4546" s="2"/>
      <c r="P4546" t="str">
        <f t="shared" si="517"/>
        <v>195145983</v>
      </c>
    </row>
    <row r="4547" spans="1:16" x14ac:dyDescent="0.3">
      <c r="A4547">
        <v>1951</v>
      </c>
      <c r="B4547">
        <v>24</v>
      </c>
      <c r="C4547" t="s">
        <v>15</v>
      </c>
      <c r="D4547" t="s">
        <v>31</v>
      </c>
      <c r="E4547" t="s">
        <v>34</v>
      </c>
      <c r="F4547" t="s">
        <v>18</v>
      </c>
      <c r="G4547" t="s">
        <v>41</v>
      </c>
      <c r="H4547" t="s">
        <v>25</v>
      </c>
      <c r="I4547" s="1">
        <v>1</v>
      </c>
      <c r="J4547" s="2">
        <v>46014</v>
      </c>
      <c r="K4547" s="2">
        <v>45992</v>
      </c>
      <c r="L4547" s="1" t="str">
        <f t="shared" si="518"/>
        <v>ter</v>
      </c>
      <c r="M4547" s="1" t="str">
        <f t="shared" si="519"/>
        <v>dez</v>
      </c>
      <c r="N4547">
        <f t="shared" si="520"/>
        <v>2025</v>
      </c>
      <c r="O4547" s="2"/>
      <c r="P4547" t="str">
        <f t="shared" si="517"/>
        <v>195146014</v>
      </c>
    </row>
    <row r="4548" spans="1:16" x14ac:dyDescent="0.3">
      <c r="A4548">
        <v>1951</v>
      </c>
      <c r="B4548">
        <v>24</v>
      </c>
      <c r="C4548" t="s">
        <v>15</v>
      </c>
      <c r="D4548" t="s">
        <v>31</v>
      </c>
      <c r="E4548" t="s">
        <v>34</v>
      </c>
      <c r="F4548" t="s">
        <v>18</v>
      </c>
      <c r="G4548" t="s">
        <v>41</v>
      </c>
      <c r="H4548" t="s">
        <v>25</v>
      </c>
      <c r="I4548" s="1">
        <v>1</v>
      </c>
      <c r="J4548" s="2">
        <v>46184</v>
      </c>
      <c r="K4548" s="2">
        <v>46023</v>
      </c>
      <c r="L4548" s="1" t="str">
        <f t="shared" si="518"/>
        <v>qui</v>
      </c>
      <c r="M4548" s="1" t="str">
        <f t="shared" si="519"/>
        <v>jun</v>
      </c>
      <c r="N4548">
        <f t="shared" si="520"/>
        <v>2026</v>
      </c>
      <c r="O4548" s="2"/>
      <c r="P4548" t="str">
        <f t="shared" si="517"/>
        <v>195146184</v>
      </c>
    </row>
    <row r="4549" spans="1:16" x14ac:dyDescent="0.3">
      <c r="A4549">
        <v>1953</v>
      </c>
      <c r="B4549">
        <v>44</v>
      </c>
      <c r="C4549" t="s">
        <v>26</v>
      </c>
      <c r="D4549" t="s">
        <v>16</v>
      </c>
      <c r="E4549" t="s">
        <v>17</v>
      </c>
      <c r="F4549" t="s">
        <v>18</v>
      </c>
      <c r="G4549" t="s">
        <v>41</v>
      </c>
      <c r="H4549" t="s">
        <v>25</v>
      </c>
      <c r="I4549" s="1">
        <v>1</v>
      </c>
      <c r="J4549" s="2">
        <v>45951</v>
      </c>
      <c r="K4549" s="2">
        <v>45931</v>
      </c>
      <c r="L4549" s="1" t="str">
        <f t="shared" si="518"/>
        <v>ter</v>
      </c>
      <c r="M4549" s="1" t="str">
        <f t="shared" si="519"/>
        <v>out</v>
      </c>
      <c r="N4549">
        <f t="shared" si="520"/>
        <v>2025</v>
      </c>
      <c r="O4549" s="2"/>
      <c r="P4549" t="str">
        <f t="shared" si="517"/>
        <v>195345951</v>
      </c>
    </row>
    <row r="4550" spans="1:16" x14ac:dyDescent="0.3">
      <c r="A4550">
        <v>1953</v>
      </c>
      <c r="B4550">
        <v>44</v>
      </c>
      <c r="C4550" t="s">
        <v>26</v>
      </c>
      <c r="D4550" t="s">
        <v>16</v>
      </c>
      <c r="E4550" t="s">
        <v>17</v>
      </c>
      <c r="F4550" t="s">
        <v>18</v>
      </c>
      <c r="G4550" t="s">
        <v>41</v>
      </c>
      <c r="H4550" t="s">
        <v>25</v>
      </c>
      <c r="I4550" s="1">
        <v>1</v>
      </c>
      <c r="J4550" s="2">
        <v>45975</v>
      </c>
      <c r="K4550" s="2">
        <v>45962</v>
      </c>
      <c r="L4550" s="1" t="str">
        <f t="shared" si="518"/>
        <v>sex</v>
      </c>
      <c r="M4550" s="1" t="str">
        <f t="shared" si="519"/>
        <v>nov</v>
      </c>
      <c r="N4550">
        <f t="shared" si="520"/>
        <v>2025</v>
      </c>
      <c r="O4550" s="2"/>
      <c r="P4550" t="str">
        <f t="shared" si="517"/>
        <v>195345975</v>
      </c>
    </row>
    <row r="4551" spans="1:16" x14ac:dyDescent="0.3">
      <c r="A4551">
        <v>1953</v>
      </c>
      <c r="B4551">
        <v>44</v>
      </c>
      <c r="C4551" t="s">
        <v>26</v>
      </c>
      <c r="D4551" t="s">
        <v>16</v>
      </c>
      <c r="E4551" t="s">
        <v>17</v>
      </c>
      <c r="F4551" t="s">
        <v>18</v>
      </c>
      <c r="G4551" t="s">
        <v>41</v>
      </c>
      <c r="H4551" t="s">
        <v>25</v>
      </c>
      <c r="I4551" s="1">
        <v>1</v>
      </c>
      <c r="J4551" s="2">
        <v>46177</v>
      </c>
      <c r="K4551" s="2">
        <v>46023</v>
      </c>
      <c r="L4551" s="1" t="str">
        <f t="shared" si="518"/>
        <v>qui</v>
      </c>
      <c r="M4551" s="1" t="str">
        <f t="shared" si="519"/>
        <v>jun</v>
      </c>
      <c r="N4551">
        <f t="shared" si="520"/>
        <v>2026</v>
      </c>
      <c r="O4551" s="2"/>
      <c r="P4551" t="str">
        <f t="shared" si="517"/>
        <v>195346177</v>
      </c>
    </row>
    <row r="4552" spans="1:16" x14ac:dyDescent="0.3">
      <c r="A4552">
        <v>1955</v>
      </c>
      <c r="B4552">
        <v>47</v>
      </c>
      <c r="C4552" t="s">
        <v>26</v>
      </c>
      <c r="D4552" t="s">
        <v>16</v>
      </c>
      <c r="E4552" t="s">
        <v>17</v>
      </c>
      <c r="F4552" t="s">
        <v>18</v>
      </c>
      <c r="G4552" t="s">
        <v>41</v>
      </c>
      <c r="H4552" t="s">
        <v>25</v>
      </c>
      <c r="I4552" s="1">
        <v>2</v>
      </c>
      <c r="J4552" s="2">
        <v>45825</v>
      </c>
      <c r="K4552" s="2">
        <v>45809</v>
      </c>
      <c r="L4552" s="1" t="str">
        <f t="shared" si="518"/>
        <v>ter</v>
      </c>
      <c r="M4552" s="1" t="str">
        <f t="shared" si="519"/>
        <v>jun</v>
      </c>
      <c r="N4552">
        <f t="shared" si="520"/>
        <v>2025</v>
      </c>
      <c r="O4552" s="2"/>
      <c r="P4552" t="str">
        <f t="shared" si="517"/>
        <v>195545825</v>
      </c>
    </row>
    <row r="4553" spans="1:16" x14ac:dyDescent="0.3">
      <c r="A4553">
        <v>1955</v>
      </c>
      <c r="B4553">
        <v>47</v>
      </c>
      <c r="C4553" t="s">
        <v>26</v>
      </c>
      <c r="D4553" t="s">
        <v>16</v>
      </c>
      <c r="E4553" t="s">
        <v>17</v>
      </c>
      <c r="F4553" t="s">
        <v>18</v>
      </c>
      <c r="G4553" t="s">
        <v>41</v>
      </c>
      <c r="H4553" t="s">
        <v>25</v>
      </c>
      <c r="I4553" s="1">
        <v>2</v>
      </c>
      <c r="J4553" s="2">
        <v>45838</v>
      </c>
      <c r="K4553" s="2">
        <v>45809</v>
      </c>
      <c r="L4553" s="1" t="str">
        <f t="shared" si="518"/>
        <v>seg</v>
      </c>
      <c r="M4553" s="1" t="str">
        <f t="shared" si="519"/>
        <v>jun</v>
      </c>
      <c r="N4553">
        <f t="shared" si="520"/>
        <v>2025</v>
      </c>
      <c r="O4553" s="2"/>
      <c r="P4553" t="str">
        <f t="shared" si="517"/>
        <v>195545838</v>
      </c>
    </row>
    <row r="4554" spans="1:16" x14ac:dyDescent="0.3">
      <c r="A4554">
        <v>1955</v>
      </c>
      <c r="B4554">
        <v>47</v>
      </c>
      <c r="C4554" t="s">
        <v>26</v>
      </c>
      <c r="D4554" t="s">
        <v>16</v>
      </c>
      <c r="E4554" t="s">
        <v>17</v>
      </c>
      <c r="F4554" t="s">
        <v>18</v>
      </c>
      <c r="G4554" t="s">
        <v>41</v>
      </c>
      <c r="H4554" t="s">
        <v>25</v>
      </c>
      <c r="I4554" s="1">
        <v>2</v>
      </c>
      <c r="J4554" s="2">
        <v>45849</v>
      </c>
      <c r="K4554" s="2">
        <v>45839</v>
      </c>
      <c r="L4554" s="1" t="str">
        <f t="shared" si="518"/>
        <v>sex</v>
      </c>
      <c r="M4554" s="1" t="str">
        <f t="shared" si="519"/>
        <v>jul</v>
      </c>
      <c r="N4554">
        <f t="shared" si="520"/>
        <v>2025</v>
      </c>
      <c r="O4554" s="2"/>
      <c r="P4554" t="str">
        <f t="shared" si="517"/>
        <v>195545849</v>
      </c>
    </row>
    <row r="4555" spans="1:16" x14ac:dyDescent="0.3">
      <c r="A4555">
        <v>1955</v>
      </c>
      <c r="B4555">
        <v>47</v>
      </c>
      <c r="C4555" t="s">
        <v>26</v>
      </c>
      <c r="D4555" t="s">
        <v>16</v>
      </c>
      <c r="E4555" t="s">
        <v>17</v>
      </c>
      <c r="F4555" t="s">
        <v>18</v>
      </c>
      <c r="G4555" t="s">
        <v>41</v>
      </c>
      <c r="H4555" t="s">
        <v>25</v>
      </c>
      <c r="I4555" s="1">
        <v>2</v>
      </c>
      <c r="J4555" s="2">
        <v>45869</v>
      </c>
      <c r="K4555" s="2">
        <v>45839</v>
      </c>
      <c r="L4555" s="1" t="str">
        <f t="shared" si="518"/>
        <v>qui</v>
      </c>
      <c r="M4555" s="1" t="str">
        <f t="shared" si="519"/>
        <v>jul</v>
      </c>
      <c r="N4555">
        <f t="shared" si="520"/>
        <v>2025</v>
      </c>
      <c r="O4555" s="2"/>
      <c r="P4555" t="str">
        <f t="shared" si="517"/>
        <v>195545869</v>
      </c>
    </row>
    <row r="4556" spans="1:16" x14ac:dyDescent="0.3">
      <c r="A4556">
        <v>1956</v>
      </c>
      <c r="B4556">
        <v>35</v>
      </c>
      <c r="C4556" t="s">
        <v>15</v>
      </c>
      <c r="D4556" t="s">
        <v>29</v>
      </c>
      <c r="E4556" t="s">
        <v>17</v>
      </c>
      <c r="F4556" t="s">
        <v>23</v>
      </c>
      <c r="G4556" t="s">
        <v>41</v>
      </c>
      <c r="H4556" t="s">
        <v>25</v>
      </c>
      <c r="I4556" s="1">
        <v>3</v>
      </c>
      <c r="J4556" s="2">
        <v>45820</v>
      </c>
      <c r="K4556" s="2">
        <v>45809</v>
      </c>
      <c r="L4556" s="1" t="str">
        <f t="shared" si="518"/>
        <v>qui</v>
      </c>
      <c r="M4556" s="1" t="str">
        <f t="shared" si="519"/>
        <v>jun</v>
      </c>
      <c r="N4556">
        <f t="shared" si="520"/>
        <v>2025</v>
      </c>
      <c r="O4556" s="2"/>
      <c r="P4556" t="str">
        <f t="shared" si="517"/>
        <v>195645820</v>
      </c>
    </row>
    <row r="4557" spans="1:16" x14ac:dyDescent="0.3">
      <c r="A4557">
        <v>1956</v>
      </c>
      <c r="B4557">
        <v>35</v>
      </c>
      <c r="C4557" t="s">
        <v>15</v>
      </c>
      <c r="D4557" t="s">
        <v>29</v>
      </c>
      <c r="E4557" t="s">
        <v>17</v>
      </c>
      <c r="F4557" t="s">
        <v>23</v>
      </c>
      <c r="G4557" t="s">
        <v>41</v>
      </c>
      <c r="H4557" t="s">
        <v>25</v>
      </c>
      <c r="I4557" s="1">
        <v>3</v>
      </c>
      <c r="J4557" s="2">
        <v>45858</v>
      </c>
      <c r="K4557" s="2">
        <v>45839</v>
      </c>
      <c r="L4557" s="1" t="str">
        <f t="shared" si="518"/>
        <v>dom</v>
      </c>
      <c r="M4557" s="1" t="str">
        <f t="shared" si="519"/>
        <v>jul</v>
      </c>
      <c r="N4557">
        <f t="shared" si="520"/>
        <v>2025</v>
      </c>
      <c r="O4557" s="2"/>
      <c r="P4557" t="str">
        <f t="shared" si="517"/>
        <v>195645858</v>
      </c>
    </row>
    <row r="4558" spans="1:16" x14ac:dyDescent="0.3">
      <c r="A4558">
        <v>1956</v>
      </c>
      <c r="B4558">
        <v>35</v>
      </c>
      <c r="C4558" t="s">
        <v>15</v>
      </c>
      <c r="D4558" t="s">
        <v>29</v>
      </c>
      <c r="E4558" t="s">
        <v>17</v>
      </c>
      <c r="F4558" t="s">
        <v>23</v>
      </c>
      <c r="G4558" t="s">
        <v>41</v>
      </c>
      <c r="H4558" t="s">
        <v>25</v>
      </c>
      <c r="I4558" s="1">
        <v>3</v>
      </c>
      <c r="J4558" s="2">
        <v>45882</v>
      </c>
      <c r="K4558" s="2">
        <v>45870</v>
      </c>
      <c r="L4558" s="1" t="str">
        <f t="shared" si="518"/>
        <v>qua</v>
      </c>
      <c r="M4558" s="1" t="str">
        <f t="shared" si="519"/>
        <v>ago</v>
      </c>
      <c r="N4558">
        <f t="shared" si="520"/>
        <v>2025</v>
      </c>
      <c r="O4558" s="2"/>
      <c r="P4558" t="str">
        <f t="shared" si="517"/>
        <v>195645882</v>
      </c>
    </row>
    <row r="4559" spans="1:16" x14ac:dyDescent="0.3">
      <c r="A4559">
        <v>1956</v>
      </c>
      <c r="B4559">
        <v>35</v>
      </c>
      <c r="C4559" t="s">
        <v>15</v>
      </c>
      <c r="D4559" t="s">
        <v>29</v>
      </c>
      <c r="E4559" t="s">
        <v>17</v>
      </c>
      <c r="F4559" t="s">
        <v>23</v>
      </c>
      <c r="G4559" t="s">
        <v>41</v>
      </c>
      <c r="H4559" t="s">
        <v>25</v>
      </c>
      <c r="I4559" s="1">
        <v>3</v>
      </c>
      <c r="J4559" s="2">
        <v>45971</v>
      </c>
      <c r="K4559" s="2">
        <v>45962</v>
      </c>
      <c r="L4559" s="1" t="str">
        <f t="shared" si="518"/>
        <v>seg</v>
      </c>
      <c r="M4559" s="1" t="str">
        <f t="shared" si="519"/>
        <v>nov</v>
      </c>
      <c r="N4559">
        <f t="shared" si="520"/>
        <v>2025</v>
      </c>
      <c r="O4559" s="2"/>
      <c r="P4559" t="str">
        <f t="shared" si="517"/>
        <v>195645971</v>
      </c>
    </row>
    <row r="4560" spans="1:16" x14ac:dyDescent="0.3">
      <c r="A4560">
        <v>1956</v>
      </c>
      <c r="B4560">
        <v>35</v>
      </c>
      <c r="C4560" t="s">
        <v>15</v>
      </c>
      <c r="D4560" t="s">
        <v>29</v>
      </c>
      <c r="E4560" t="s">
        <v>17</v>
      </c>
      <c r="F4560" t="s">
        <v>23</v>
      </c>
      <c r="G4560" t="s">
        <v>41</v>
      </c>
      <c r="H4560" t="s">
        <v>25</v>
      </c>
      <c r="I4560" s="1">
        <v>3</v>
      </c>
      <c r="J4560" s="2">
        <v>46019</v>
      </c>
      <c r="K4560" s="2">
        <v>45992</v>
      </c>
      <c r="L4560" s="1" t="str">
        <f t="shared" si="518"/>
        <v>dom</v>
      </c>
      <c r="M4560" s="1" t="str">
        <f t="shared" si="519"/>
        <v>dez</v>
      </c>
      <c r="N4560">
        <f t="shared" si="520"/>
        <v>2025</v>
      </c>
      <c r="O4560" s="2"/>
      <c r="P4560" t="str">
        <f t="shared" si="517"/>
        <v>195646019</v>
      </c>
    </row>
    <row r="4561" spans="1:17" x14ac:dyDescent="0.3">
      <c r="A4561">
        <v>1956</v>
      </c>
      <c r="B4561">
        <v>35</v>
      </c>
      <c r="C4561" t="s">
        <v>15</v>
      </c>
      <c r="D4561" t="s">
        <v>29</v>
      </c>
      <c r="E4561" t="s">
        <v>17</v>
      </c>
      <c r="F4561" t="s">
        <v>23</v>
      </c>
      <c r="G4561" t="s">
        <v>41</v>
      </c>
      <c r="H4561" t="s">
        <v>25</v>
      </c>
      <c r="I4561" s="1">
        <v>3</v>
      </c>
      <c r="J4561" s="2">
        <v>46193</v>
      </c>
      <c r="K4561" s="2">
        <v>46023</v>
      </c>
      <c r="L4561" s="1" t="str">
        <f t="shared" si="518"/>
        <v>sáb</v>
      </c>
      <c r="M4561" s="1" t="str">
        <f t="shared" si="519"/>
        <v>jun</v>
      </c>
      <c r="N4561">
        <f t="shared" si="520"/>
        <v>2026</v>
      </c>
      <c r="O4561" s="2"/>
      <c r="P4561" t="str">
        <f t="shared" si="517"/>
        <v>195646193</v>
      </c>
    </row>
    <row r="4562" spans="1:17" x14ac:dyDescent="0.3">
      <c r="A4562">
        <v>1957</v>
      </c>
      <c r="B4562">
        <v>49</v>
      </c>
      <c r="C4562" t="s">
        <v>26</v>
      </c>
      <c r="D4562" t="s">
        <v>22</v>
      </c>
      <c r="E4562" t="s">
        <v>17</v>
      </c>
      <c r="F4562" t="s">
        <v>23</v>
      </c>
      <c r="G4562" t="s">
        <v>41</v>
      </c>
      <c r="H4562" t="s">
        <v>25</v>
      </c>
      <c r="I4562" s="1">
        <v>1</v>
      </c>
      <c r="J4562" s="2">
        <v>45835</v>
      </c>
      <c r="K4562" s="2">
        <v>45809</v>
      </c>
      <c r="L4562" s="1" t="str">
        <f t="shared" si="518"/>
        <v>sex</v>
      </c>
      <c r="M4562" s="1" t="str">
        <f t="shared" si="519"/>
        <v>jun</v>
      </c>
      <c r="N4562">
        <f t="shared" si="520"/>
        <v>2025</v>
      </c>
      <c r="O4562" s="2"/>
      <c r="P4562" t="str">
        <f t="shared" si="517"/>
        <v>195745835</v>
      </c>
    </row>
    <row r="4563" spans="1:17" x14ac:dyDescent="0.3">
      <c r="A4563">
        <v>1957</v>
      </c>
      <c r="B4563">
        <v>49</v>
      </c>
      <c r="C4563" t="s">
        <v>26</v>
      </c>
      <c r="D4563" t="s">
        <v>22</v>
      </c>
      <c r="E4563" t="s">
        <v>17</v>
      </c>
      <c r="F4563" t="s">
        <v>23</v>
      </c>
      <c r="G4563" t="s">
        <v>41</v>
      </c>
      <c r="H4563" t="s">
        <v>25</v>
      </c>
      <c r="I4563" s="1">
        <v>1</v>
      </c>
      <c r="J4563" s="2">
        <v>45896</v>
      </c>
      <c r="K4563" s="2">
        <v>45870</v>
      </c>
      <c r="L4563" s="1" t="str">
        <f t="shared" si="518"/>
        <v>qua</v>
      </c>
      <c r="M4563" s="1" t="str">
        <f t="shared" si="519"/>
        <v>ago</v>
      </c>
      <c r="N4563">
        <f t="shared" si="520"/>
        <v>2025</v>
      </c>
      <c r="O4563" s="2"/>
      <c r="P4563" t="str">
        <f t="shared" si="517"/>
        <v>195745896</v>
      </c>
    </row>
    <row r="4564" spans="1:17" x14ac:dyDescent="0.3">
      <c r="A4564">
        <v>1957</v>
      </c>
      <c r="B4564">
        <v>49</v>
      </c>
      <c r="C4564" t="s">
        <v>26</v>
      </c>
      <c r="D4564" t="s">
        <v>22</v>
      </c>
      <c r="E4564" t="s">
        <v>17</v>
      </c>
      <c r="F4564" t="s">
        <v>23</v>
      </c>
      <c r="G4564" t="s">
        <v>41</v>
      </c>
      <c r="H4564" t="s">
        <v>25</v>
      </c>
      <c r="I4564" s="1">
        <v>1</v>
      </c>
      <c r="J4564" s="2">
        <v>46014</v>
      </c>
      <c r="K4564" s="2">
        <v>45992</v>
      </c>
      <c r="L4564" s="1" t="str">
        <f t="shared" si="518"/>
        <v>ter</v>
      </c>
      <c r="M4564" s="1" t="str">
        <f t="shared" si="519"/>
        <v>dez</v>
      </c>
      <c r="N4564">
        <f t="shared" si="520"/>
        <v>2025</v>
      </c>
      <c r="O4564" s="2"/>
      <c r="P4564" t="str">
        <f t="shared" si="517"/>
        <v>195746014</v>
      </c>
    </row>
    <row r="4565" spans="1:17" x14ac:dyDescent="0.3">
      <c r="A4565">
        <v>1957</v>
      </c>
      <c r="B4565">
        <v>49</v>
      </c>
      <c r="C4565" t="s">
        <v>26</v>
      </c>
      <c r="D4565" t="s">
        <v>22</v>
      </c>
      <c r="E4565" t="s">
        <v>17</v>
      </c>
      <c r="F4565" t="s">
        <v>23</v>
      </c>
      <c r="G4565" t="s">
        <v>41</v>
      </c>
      <c r="H4565" t="s">
        <v>25</v>
      </c>
      <c r="I4565" s="1">
        <v>1</v>
      </c>
      <c r="J4565" s="2">
        <v>46191</v>
      </c>
      <c r="K4565" s="2">
        <v>46023</v>
      </c>
      <c r="L4565" s="1" t="str">
        <f t="shared" si="518"/>
        <v>qui</v>
      </c>
      <c r="M4565" s="1" t="str">
        <f t="shared" si="519"/>
        <v>jun</v>
      </c>
      <c r="N4565">
        <f t="shared" si="520"/>
        <v>2026</v>
      </c>
      <c r="O4565" s="2"/>
      <c r="P4565" t="str">
        <f t="shared" si="517"/>
        <v>195746191</v>
      </c>
    </row>
    <row r="4566" spans="1:17" x14ac:dyDescent="0.3">
      <c r="A4566">
        <v>1957</v>
      </c>
      <c r="B4566">
        <v>49</v>
      </c>
      <c r="C4566" t="s">
        <v>26</v>
      </c>
      <c r="D4566" t="s">
        <v>22</v>
      </c>
      <c r="E4566" t="s">
        <v>17</v>
      </c>
      <c r="F4566" t="s">
        <v>23</v>
      </c>
      <c r="G4566" t="s">
        <v>41</v>
      </c>
      <c r="H4566" t="s">
        <v>25</v>
      </c>
      <c r="I4566" s="1">
        <v>1</v>
      </c>
      <c r="J4566" s="2">
        <v>46104</v>
      </c>
      <c r="K4566" s="2">
        <v>46082</v>
      </c>
      <c r="L4566" s="1" t="str">
        <f t="shared" si="518"/>
        <v>seg</v>
      </c>
      <c r="M4566" s="1" t="str">
        <f t="shared" si="519"/>
        <v>mar</v>
      </c>
      <c r="N4566">
        <f t="shared" si="520"/>
        <v>2026</v>
      </c>
      <c r="O4566" s="2"/>
      <c r="P4566" t="str">
        <f t="shared" si="517"/>
        <v>195746104</v>
      </c>
      <c r="Q4566" s="2"/>
    </row>
    <row r="4567" spans="1:17" x14ac:dyDescent="0.3">
      <c r="A4567">
        <v>1959</v>
      </c>
      <c r="B4567">
        <v>29</v>
      </c>
      <c r="C4567" t="s">
        <v>15</v>
      </c>
      <c r="D4567" t="s">
        <v>16</v>
      </c>
      <c r="E4567" t="s">
        <v>17</v>
      </c>
      <c r="F4567" t="s">
        <v>18</v>
      </c>
      <c r="G4567" t="s">
        <v>41</v>
      </c>
      <c r="H4567" t="s">
        <v>25</v>
      </c>
      <c r="I4567" s="1">
        <v>1</v>
      </c>
      <c r="J4567" s="2">
        <v>45854</v>
      </c>
      <c r="K4567" s="2">
        <v>45839</v>
      </c>
      <c r="L4567" s="1" t="str">
        <f t="shared" si="518"/>
        <v>qua</v>
      </c>
      <c r="M4567" s="1" t="str">
        <f t="shared" si="519"/>
        <v>jul</v>
      </c>
      <c r="N4567">
        <f t="shared" si="520"/>
        <v>2025</v>
      </c>
      <c r="O4567" s="2"/>
      <c r="P4567" t="str">
        <f t="shared" si="517"/>
        <v>195945854</v>
      </c>
    </row>
    <row r="4568" spans="1:17" x14ac:dyDescent="0.3">
      <c r="A4568">
        <v>1959</v>
      </c>
      <c r="B4568">
        <v>29</v>
      </c>
      <c r="C4568" t="s">
        <v>15</v>
      </c>
      <c r="D4568" t="s">
        <v>16</v>
      </c>
      <c r="E4568" t="s">
        <v>17</v>
      </c>
      <c r="F4568" t="s">
        <v>18</v>
      </c>
      <c r="G4568" t="s">
        <v>41</v>
      </c>
      <c r="H4568" t="s">
        <v>25</v>
      </c>
      <c r="I4568" s="1">
        <v>1</v>
      </c>
      <c r="J4568" s="2">
        <v>45863</v>
      </c>
      <c r="K4568" s="2">
        <v>45839</v>
      </c>
      <c r="L4568" s="1" t="str">
        <f t="shared" si="518"/>
        <v>sex</v>
      </c>
      <c r="M4568" s="1" t="str">
        <f t="shared" si="519"/>
        <v>jul</v>
      </c>
      <c r="N4568">
        <f t="shared" si="520"/>
        <v>2025</v>
      </c>
      <c r="O4568" s="2"/>
      <c r="P4568" t="str">
        <f t="shared" si="517"/>
        <v>195945863</v>
      </c>
    </row>
    <row r="4569" spans="1:17" x14ac:dyDescent="0.3">
      <c r="A4569">
        <v>1959</v>
      </c>
      <c r="B4569">
        <v>29</v>
      </c>
      <c r="C4569" t="s">
        <v>15</v>
      </c>
      <c r="D4569" t="s">
        <v>16</v>
      </c>
      <c r="E4569" t="s">
        <v>17</v>
      </c>
      <c r="F4569" t="s">
        <v>18</v>
      </c>
      <c r="G4569" t="s">
        <v>41</v>
      </c>
      <c r="H4569" t="s">
        <v>25</v>
      </c>
      <c r="I4569" s="1">
        <v>1</v>
      </c>
      <c r="J4569" s="2">
        <v>45927</v>
      </c>
      <c r="K4569" s="2">
        <v>45901</v>
      </c>
      <c r="L4569" s="1" t="str">
        <f t="shared" si="518"/>
        <v>sáb</v>
      </c>
      <c r="M4569" s="1" t="str">
        <f t="shared" si="519"/>
        <v>set</v>
      </c>
      <c r="N4569">
        <f t="shared" si="520"/>
        <v>2025</v>
      </c>
      <c r="O4569" s="2"/>
      <c r="P4569" t="str">
        <f t="shared" si="517"/>
        <v>195945927</v>
      </c>
    </row>
    <row r="4570" spans="1:17" x14ac:dyDescent="0.3">
      <c r="A4570">
        <v>1959</v>
      </c>
      <c r="B4570">
        <v>29</v>
      </c>
      <c r="C4570" t="s">
        <v>15</v>
      </c>
      <c r="D4570" t="s">
        <v>16</v>
      </c>
      <c r="E4570" t="s">
        <v>17</v>
      </c>
      <c r="F4570" t="s">
        <v>18</v>
      </c>
      <c r="G4570" t="s">
        <v>41</v>
      </c>
      <c r="H4570" t="s">
        <v>25</v>
      </c>
      <c r="I4570" s="1">
        <v>1</v>
      </c>
      <c r="J4570" s="2">
        <v>45997</v>
      </c>
      <c r="K4570" s="2">
        <v>45992</v>
      </c>
      <c r="L4570" s="1" t="str">
        <f t="shared" si="518"/>
        <v>sáb</v>
      </c>
      <c r="M4570" s="1" t="str">
        <f t="shared" si="519"/>
        <v>dez</v>
      </c>
      <c r="N4570">
        <f t="shared" si="520"/>
        <v>2025</v>
      </c>
      <c r="O4570" s="2"/>
      <c r="P4570" t="str">
        <f t="shared" si="517"/>
        <v>195945997</v>
      </c>
    </row>
    <row r="4571" spans="1:17" x14ac:dyDescent="0.3">
      <c r="A4571">
        <v>1959</v>
      </c>
      <c r="B4571">
        <v>29</v>
      </c>
      <c r="C4571" t="s">
        <v>15</v>
      </c>
      <c r="D4571" t="s">
        <v>16</v>
      </c>
      <c r="E4571" t="s">
        <v>17</v>
      </c>
      <c r="F4571" t="s">
        <v>18</v>
      </c>
      <c r="G4571" t="s">
        <v>41</v>
      </c>
      <c r="H4571" t="s">
        <v>25</v>
      </c>
      <c r="I4571" s="1">
        <v>1</v>
      </c>
      <c r="J4571" s="2">
        <v>46111</v>
      </c>
      <c r="K4571" s="2">
        <v>46082</v>
      </c>
      <c r="L4571" s="1" t="str">
        <f t="shared" si="518"/>
        <v>seg</v>
      </c>
      <c r="M4571" s="1" t="str">
        <f t="shared" si="519"/>
        <v>mar</v>
      </c>
      <c r="N4571">
        <f t="shared" si="520"/>
        <v>2026</v>
      </c>
      <c r="O4571" s="2"/>
      <c r="P4571" t="str">
        <f t="shared" si="517"/>
        <v>195946111</v>
      </c>
    </row>
    <row r="4572" spans="1:17" x14ac:dyDescent="0.3">
      <c r="A4572">
        <v>1959</v>
      </c>
      <c r="B4572">
        <v>29</v>
      </c>
      <c r="C4572" t="s">
        <v>15</v>
      </c>
      <c r="D4572" t="s">
        <v>16</v>
      </c>
      <c r="E4572" t="s">
        <v>17</v>
      </c>
      <c r="F4572" t="s">
        <v>18</v>
      </c>
      <c r="G4572" t="s">
        <v>41</v>
      </c>
      <c r="H4572" t="s">
        <v>25</v>
      </c>
      <c r="I4572" s="1">
        <v>1</v>
      </c>
      <c r="J4572" s="2">
        <v>46164</v>
      </c>
      <c r="K4572" s="2">
        <v>46143</v>
      </c>
      <c r="L4572" s="1" t="str">
        <f t="shared" si="518"/>
        <v>sex</v>
      </c>
      <c r="M4572" s="1" t="str">
        <f t="shared" si="519"/>
        <v>mai</v>
      </c>
      <c r="N4572">
        <f t="shared" si="520"/>
        <v>2026</v>
      </c>
      <c r="O4572" s="2"/>
      <c r="P4572" t="str">
        <f t="shared" si="517"/>
        <v>195946164</v>
      </c>
    </row>
    <row r="4573" spans="1:17" x14ac:dyDescent="0.3">
      <c r="A4573">
        <v>1960</v>
      </c>
      <c r="B4573">
        <v>37</v>
      </c>
      <c r="C4573" t="s">
        <v>15</v>
      </c>
      <c r="D4573" t="s">
        <v>27</v>
      </c>
      <c r="E4573" t="s">
        <v>17</v>
      </c>
      <c r="F4573" t="s">
        <v>23</v>
      </c>
      <c r="G4573" t="s">
        <v>41</v>
      </c>
      <c r="H4573" t="s">
        <v>25</v>
      </c>
      <c r="I4573" s="1">
        <v>1</v>
      </c>
      <c r="J4573" s="2">
        <v>45843</v>
      </c>
      <c r="K4573" s="2">
        <v>45839</v>
      </c>
      <c r="L4573" s="1" t="str">
        <f t="shared" si="518"/>
        <v>sáb</v>
      </c>
      <c r="M4573" s="1" t="str">
        <f t="shared" si="519"/>
        <v>jul</v>
      </c>
      <c r="N4573">
        <f t="shared" si="520"/>
        <v>2025</v>
      </c>
      <c r="O4573" s="2"/>
      <c r="P4573" t="str">
        <f t="shared" si="517"/>
        <v>196045843</v>
      </c>
    </row>
    <row r="4574" spans="1:17" x14ac:dyDescent="0.3">
      <c r="A4574">
        <v>1960</v>
      </c>
      <c r="B4574">
        <v>37</v>
      </c>
      <c r="C4574" t="s">
        <v>15</v>
      </c>
      <c r="D4574" t="s">
        <v>27</v>
      </c>
      <c r="E4574" t="s">
        <v>17</v>
      </c>
      <c r="F4574" t="s">
        <v>23</v>
      </c>
      <c r="G4574" t="s">
        <v>41</v>
      </c>
      <c r="H4574" t="s">
        <v>25</v>
      </c>
      <c r="I4574" s="1">
        <v>1</v>
      </c>
      <c r="J4574" s="2">
        <v>45899</v>
      </c>
      <c r="K4574" s="2">
        <v>45870</v>
      </c>
      <c r="L4574" s="1" t="str">
        <f t="shared" si="518"/>
        <v>sáb</v>
      </c>
      <c r="M4574" s="1" t="str">
        <f t="shared" si="519"/>
        <v>ago</v>
      </c>
      <c r="N4574">
        <f t="shared" si="520"/>
        <v>2025</v>
      </c>
      <c r="O4574" s="2"/>
      <c r="P4574" t="str">
        <f t="shared" si="517"/>
        <v>196045899</v>
      </c>
    </row>
    <row r="4575" spans="1:17" x14ac:dyDescent="0.3">
      <c r="A4575">
        <v>1960</v>
      </c>
      <c r="B4575">
        <v>37</v>
      </c>
      <c r="C4575" t="s">
        <v>15</v>
      </c>
      <c r="D4575" t="s">
        <v>27</v>
      </c>
      <c r="E4575" t="s">
        <v>17</v>
      </c>
      <c r="F4575" t="s">
        <v>23</v>
      </c>
      <c r="G4575" t="s">
        <v>41</v>
      </c>
      <c r="H4575" t="s">
        <v>25</v>
      </c>
      <c r="I4575" s="1">
        <v>1</v>
      </c>
      <c r="J4575" s="2">
        <v>45959</v>
      </c>
      <c r="K4575" s="2">
        <v>45931</v>
      </c>
      <c r="L4575" s="1" t="str">
        <f t="shared" si="518"/>
        <v>qua</v>
      </c>
      <c r="M4575" s="1" t="str">
        <f t="shared" si="519"/>
        <v>out</v>
      </c>
      <c r="N4575">
        <f t="shared" si="520"/>
        <v>2025</v>
      </c>
      <c r="O4575" s="2"/>
      <c r="P4575" t="str">
        <f t="shared" si="517"/>
        <v>196045959</v>
      </c>
    </row>
    <row r="4576" spans="1:17" x14ac:dyDescent="0.3">
      <c r="A4576">
        <v>1960</v>
      </c>
      <c r="B4576">
        <v>37</v>
      </c>
      <c r="C4576" t="s">
        <v>15</v>
      </c>
      <c r="D4576" t="s">
        <v>27</v>
      </c>
      <c r="E4576" t="s">
        <v>17</v>
      </c>
      <c r="F4576" t="s">
        <v>23</v>
      </c>
      <c r="G4576" t="s">
        <v>41</v>
      </c>
      <c r="H4576" t="s">
        <v>25</v>
      </c>
      <c r="I4576" s="1">
        <v>1</v>
      </c>
      <c r="J4576" s="2">
        <v>46020</v>
      </c>
      <c r="K4576" s="2">
        <v>45992</v>
      </c>
      <c r="L4576" s="1" t="str">
        <f t="shared" ref="L4576:L4610" si="521">TEXT(J4576,"ddd")</f>
        <v>seg</v>
      </c>
      <c r="M4576" s="1" t="str">
        <f t="shared" ref="M4576:M4610" si="522">TEXT($J4576,"mmm")</f>
        <v>dez</v>
      </c>
      <c r="N4576">
        <f t="shared" ref="N4576:N4610" si="523">YEAR(J4576)</f>
        <v>2025</v>
      </c>
      <c r="O4576" s="2"/>
      <c r="P4576" t="str">
        <f t="shared" si="517"/>
        <v>196046020</v>
      </c>
    </row>
    <row r="4577" spans="1:16" x14ac:dyDescent="0.3">
      <c r="A4577">
        <v>1960</v>
      </c>
      <c r="B4577">
        <v>37</v>
      </c>
      <c r="C4577" t="s">
        <v>15</v>
      </c>
      <c r="D4577" t="s">
        <v>27</v>
      </c>
      <c r="E4577" t="s">
        <v>17</v>
      </c>
      <c r="F4577" t="s">
        <v>23</v>
      </c>
      <c r="G4577" t="s">
        <v>41</v>
      </c>
      <c r="H4577" t="s">
        <v>25</v>
      </c>
      <c r="I4577" s="1">
        <v>1</v>
      </c>
      <c r="J4577" s="2">
        <v>46073</v>
      </c>
      <c r="K4577" s="2">
        <v>46054</v>
      </c>
      <c r="L4577" s="1" t="str">
        <f t="shared" si="521"/>
        <v>sex</v>
      </c>
      <c r="M4577" s="1" t="str">
        <f t="shared" si="522"/>
        <v>fev</v>
      </c>
      <c r="N4577">
        <f t="shared" si="523"/>
        <v>2026</v>
      </c>
      <c r="O4577" s="2"/>
      <c r="P4577" t="str">
        <f t="shared" si="517"/>
        <v>196046073</v>
      </c>
    </row>
    <row r="4578" spans="1:16" x14ac:dyDescent="0.3">
      <c r="A4578">
        <v>1961</v>
      </c>
      <c r="B4578">
        <v>18</v>
      </c>
      <c r="C4578" t="s">
        <v>26</v>
      </c>
      <c r="D4578" t="s">
        <v>29</v>
      </c>
      <c r="E4578" t="s">
        <v>17</v>
      </c>
      <c r="F4578" t="s">
        <v>18</v>
      </c>
      <c r="G4578" t="s">
        <v>41</v>
      </c>
      <c r="H4578" t="s">
        <v>25</v>
      </c>
      <c r="I4578" s="1">
        <v>1</v>
      </c>
      <c r="J4578" s="2">
        <v>45809</v>
      </c>
      <c r="K4578" s="2">
        <v>45809</v>
      </c>
      <c r="L4578" s="1" t="str">
        <f t="shared" si="521"/>
        <v>dom</v>
      </c>
      <c r="M4578" s="1" t="str">
        <f t="shared" si="522"/>
        <v>jun</v>
      </c>
      <c r="N4578">
        <f t="shared" si="523"/>
        <v>2025</v>
      </c>
      <c r="O4578" s="2"/>
      <c r="P4578" t="str">
        <f t="shared" si="517"/>
        <v>196145809</v>
      </c>
    </row>
    <row r="4579" spans="1:16" x14ac:dyDescent="0.3">
      <c r="A4579">
        <v>1961</v>
      </c>
      <c r="B4579">
        <v>18</v>
      </c>
      <c r="C4579" t="s">
        <v>26</v>
      </c>
      <c r="D4579" t="s">
        <v>29</v>
      </c>
      <c r="E4579" t="s">
        <v>17</v>
      </c>
      <c r="F4579" t="s">
        <v>18</v>
      </c>
      <c r="G4579" t="s">
        <v>41</v>
      </c>
      <c r="H4579" t="s">
        <v>25</v>
      </c>
      <c r="I4579" s="1">
        <v>1</v>
      </c>
      <c r="J4579" s="2">
        <v>45879</v>
      </c>
      <c r="K4579" s="2">
        <v>45870</v>
      </c>
      <c r="L4579" s="1" t="str">
        <f t="shared" si="521"/>
        <v>dom</v>
      </c>
      <c r="M4579" s="1" t="str">
        <f t="shared" si="522"/>
        <v>ago</v>
      </c>
      <c r="N4579">
        <f t="shared" si="523"/>
        <v>2025</v>
      </c>
      <c r="O4579" s="2"/>
      <c r="P4579" t="str">
        <f t="shared" si="517"/>
        <v>196145879</v>
      </c>
    </row>
    <row r="4580" spans="1:16" x14ac:dyDescent="0.3">
      <c r="A4580">
        <v>1961</v>
      </c>
      <c r="B4580">
        <v>18</v>
      </c>
      <c r="C4580" t="s">
        <v>26</v>
      </c>
      <c r="D4580" t="s">
        <v>29</v>
      </c>
      <c r="E4580" t="s">
        <v>17</v>
      </c>
      <c r="F4580" t="s">
        <v>18</v>
      </c>
      <c r="G4580" t="s">
        <v>41</v>
      </c>
      <c r="H4580" t="s">
        <v>25</v>
      </c>
      <c r="I4580" s="1">
        <v>1</v>
      </c>
      <c r="J4580" s="2">
        <v>46016</v>
      </c>
      <c r="K4580" s="2">
        <v>45992</v>
      </c>
      <c r="L4580" s="1" t="str">
        <f t="shared" si="521"/>
        <v>qui</v>
      </c>
      <c r="M4580" s="1" t="str">
        <f t="shared" si="522"/>
        <v>dez</v>
      </c>
      <c r="N4580">
        <f t="shared" si="523"/>
        <v>2025</v>
      </c>
      <c r="O4580" s="2"/>
      <c r="P4580" t="str">
        <f t="shared" si="517"/>
        <v>196146016</v>
      </c>
    </row>
    <row r="4581" spans="1:16" x14ac:dyDescent="0.3">
      <c r="A4581">
        <v>1961</v>
      </c>
      <c r="B4581">
        <v>18</v>
      </c>
      <c r="C4581" t="s">
        <v>26</v>
      </c>
      <c r="D4581" t="s">
        <v>29</v>
      </c>
      <c r="E4581" t="s">
        <v>17</v>
      </c>
      <c r="F4581" t="s">
        <v>18</v>
      </c>
      <c r="G4581" t="s">
        <v>41</v>
      </c>
      <c r="H4581" t="s">
        <v>25</v>
      </c>
      <c r="I4581" s="1">
        <v>1</v>
      </c>
      <c r="J4581" s="2">
        <v>46075</v>
      </c>
      <c r="K4581" s="2">
        <v>46054</v>
      </c>
      <c r="L4581" s="1" t="str">
        <f t="shared" si="521"/>
        <v>dom</v>
      </c>
      <c r="M4581" s="1" t="str">
        <f t="shared" si="522"/>
        <v>fev</v>
      </c>
      <c r="N4581">
        <f t="shared" si="523"/>
        <v>2026</v>
      </c>
      <c r="O4581" s="2"/>
      <c r="P4581" t="str">
        <f t="shared" si="517"/>
        <v>196146075</v>
      </c>
    </row>
    <row r="4582" spans="1:16" x14ac:dyDescent="0.3">
      <c r="A4582">
        <v>1961</v>
      </c>
      <c r="B4582">
        <v>18</v>
      </c>
      <c r="C4582" t="s">
        <v>26</v>
      </c>
      <c r="D4582" t="s">
        <v>29</v>
      </c>
      <c r="E4582" t="s">
        <v>17</v>
      </c>
      <c r="F4582" t="s">
        <v>18</v>
      </c>
      <c r="G4582" t="s">
        <v>41</v>
      </c>
      <c r="H4582" t="s">
        <v>25</v>
      </c>
      <c r="I4582" s="1">
        <v>1</v>
      </c>
      <c r="J4582" s="2">
        <v>46105</v>
      </c>
      <c r="K4582" s="2">
        <v>46082</v>
      </c>
      <c r="L4582" s="1" t="str">
        <f t="shared" si="521"/>
        <v>ter</v>
      </c>
      <c r="M4582" s="1" t="str">
        <f t="shared" si="522"/>
        <v>mar</v>
      </c>
      <c r="N4582">
        <f t="shared" si="523"/>
        <v>2026</v>
      </c>
      <c r="O4582" s="2"/>
      <c r="P4582" t="str">
        <f t="shared" si="517"/>
        <v>196146105</v>
      </c>
    </row>
    <row r="4583" spans="1:16" x14ac:dyDescent="0.3">
      <c r="A4583">
        <v>1962</v>
      </c>
      <c r="B4583">
        <v>22</v>
      </c>
      <c r="C4583" t="s">
        <v>15</v>
      </c>
      <c r="D4583" t="s">
        <v>16</v>
      </c>
      <c r="E4583" t="s">
        <v>17</v>
      </c>
      <c r="F4583" t="s">
        <v>21</v>
      </c>
      <c r="G4583" t="s">
        <v>41</v>
      </c>
      <c r="H4583" t="s">
        <v>25</v>
      </c>
      <c r="I4583" s="1">
        <v>2</v>
      </c>
      <c r="J4583" s="2">
        <v>45821</v>
      </c>
      <c r="K4583" s="2">
        <v>45809</v>
      </c>
      <c r="L4583" s="1" t="str">
        <f t="shared" si="521"/>
        <v>sex</v>
      </c>
      <c r="M4583" s="1" t="str">
        <f t="shared" si="522"/>
        <v>jun</v>
      </c>
      <c r="N4583">
        <f t="shared" si="523"/>
        <v>2025</v>
      </c>
      <c r="O4583" s="2"/>
      <c r="P4583" t="str">
        <f t="shared" si="517"/>
        <v>196245821</v>
      </c>
    </row>
    <row r="4584" spans="1:16" x14ac:dyDescent="0.3">
      <c r="A4584">
        <v>1962</v>
      </c>
      <c r="B4584">
        <v>22</v>
      </c>
      <c r="C4584" t="s">
        <v>15</v>
      </c>
      <c r="D4584" t="s">
        <v>16</v>
      </c>
      <c r="E4584" t="s">
        <v>17</v>
      </c>
      <c r="F4584" t="s">
        <v>21</v>
      </c>
      <c r="G4584" t="s">
        <v>41</v>
      </c>
      <c r="H4584" t="s">
        <v>25</v>
      </c>
      <c r="I4584" s="1">
        <v>2</v>
      </c>
      <c r="J4584" s="2">
        <v>45856</v>
      </c>
      <c r="K4584" s="2">
        <v>45839</v>
      </c>
      <c r="L4584" s="1" t="str">
        <f t="shared" si="521"/>
        <v>sex</v>
      </c>
      <c r="M4584" s="1" t="str">
        <f t="shared" si="522"/>
        <v>jul</v>
      </c>
      <c r="N4584">
        <f t="shared" si="523"/>
        <v>2025</v>
      </c>
      <c r="O4584" s="2"/>
      <c r="P4584" t="str">
        <f t="shared" si="517"/>
        <v>196245856</v>
      </c>
    </row>
    <row r="4585" spans="1:16" x14ac:dyDescent="0.3">
      <c r="A4585">
        <v>1962</v>
      </c>
      <c r="B4585">
        <v>22</v>
      </c>
      <c r="C4585" t="s">
        <v>15</v>
      </c>
      <c r="D4585" t="s">
        <v>16</v>
      </c>
      <c r="E4585" t="s">
        <v>17</v>
      </c>
      <c r="F4585" t="s">
        <v>21</v>
      </c>
      <c r="G4585" t="s">
        <v>41</v>
      </c>
      <c r="H4585" t="s">
        <v>25</v>
      </c>
      <c r="I4585" s="1">
        <v>2</v>
      </c>
      <c r="J4585" s="2">
        <v>45947</v>
      </c>
      <c r="K4585" s="2">
        <v>45931</v>
      </c>
      <c r="L4585" s="1" t="str">
        <f t="shared" si="521"/>
        <v>sex</v>
      </c>
      <c r="M4585" s="1" t="str">
        <f t="shared" si="522"/>
        <v>out</v>
      </c>
      <c r="N4585">
        <f t="shared" si="523"/>
        <v>2025</v>
      </c>
      <c r="O4585" s="2"/>
      <c r="P4585" t="str">
        <f t="shared" si="517"/>
        <v>196245947</v>
      </c>
    </row>
    <row r="4586" spans="1:16" x14ac:dyDescent="0.3">
      <c r="A4586">
        <v>1962</v>
      </c>
      <c r="B4586">
        <v>22</v>
      </c>
      <c r="C4586" t="s">
        <v>15</v>
      </c>
      <c r="D4586" t="s">
        <v>16</v>
      </c>
      <c r="E4586" t="s">
        <v>17</v>
      </c>
      <c r="F4586" t="s">
        <v>21</v>
      </c>
      <c r="G4586" t="s">
        <v>41</v>
      </c>
      <c r="H4586" t="s">
        <v>25</v>
      </c>
      <c r="I4586" s="1">
        <v>2</v>
      </c>
      <c r="J4586" s="2">
        <v>45992</v>
      </c>
      <c r="K4586" s="2">
        <v>45992</v>
      </c>
      <c r="L4586" s="1" t="str">
        <f t="shared" si="521"/>
        <v>seg</v>
      </c>
      <c r="M4586" s="1" t="str">
        <f t="shared" si="522"/>
        <v>dez</v>
      </c>
      <c r="N4586">
        <f t="shared" si="523"/>
        <v>2025</v>
      </c>
      <c r="O4586" s="2"/>
      <c r="P4586" t="str">
        <f t="shared" si="517"/>
        <v>196245992</v>
      </c>
    </row>
    <row r="4587" spans="1:16" x14ac:dyDescent="0.3">
      <c r="A4587">
        <v>1962</v>
      </c>
      <c r="B4587">
        <v>22</v>
      </c>
      <c r="C4587" t="s">
        <v>15</v>
      </c>
      <c r="D4587" t="s">
        <v>16</v>
      </c>
      <c r="E4587" t="s">
        <v>17</v>
      </c>
      <c r="F4587" t="s">
        <v>21</v>
      </c>
      <c r="G4587" t="s">
        <v>41</v>
      </c>
      <c r="H4587" t="s">
        <v>25</v>
      </c>
      <c r="I4587" s="1">
        <v>2</v>
      </c>
      <c r="J4587" s="2">
        <v>46183</v>
      </c>
      <c r="K4587" s="2">
        <v>46023</v>
      </c>
      <c r="L4587" s="1" t="str">
        <f t="shared" si="521"/>
        <v>qua</v>
      </c>
      <c r="M4587" s="1" t="str">
        <f t="shared" si="522"/>
        <v>jun</v>
      </c>
      <c r="N4587">
        <f t="shared" si="523"/>
        <v>2026</v>
      </c>
      <c r="O4587" s="2"/>
      <c r="P4587" t="str">
        <f t="shared" si="517"/>
        <v>196246183</v>
      </c>
    </row>
    <row r="4588" spans="1:16" x14ac:dyDescent="0.3">
      <c r="A4588">
        <v>1963</v>
      </c>
      <c r="B4588">
        <v>42</v>
      </c>
      <c r="C4588" t="s">
        <v>26</v>
      </c>
      <c r="D4588" t="s">
        <v>31</v>
      </c>
      <c r="E4588" t="s">
        <v>34</v>
      </c>
      <c r="F4588" t="s">
        <v>21</v>
      </c>
      <c r="G4588" t="s">
        <v>41</v>
      </c>
      <c r="H4588" t="s">
        <v>25</v>
      </c>
      <c r="I4588" s="1">
        <v>1</v>
      </c>
      <c r="J4588" s="2">
        <v>45809</v>
      </c>
      <c r="K4588" s="2">
        <v>45809</v>
      </c>
      <c r="L4588" s="1" t="str">
        <f t="shared" si="521"/>
        <v>dom</v>
      </c>
      <c r="M4588" s="1" t="str">
        <f t="shared" si="522"/>
        <v>jun</v>
      </c>
      <c r="N4588">
        <f t="shared" si="523"/>
        <v>2025</v>
      </c>
      <c r="O4588" s="2"/>
      <c r="P4588" t="str">
        <f t="shared" si="517"/>
        <v>196345809</v>
      </c>
    </row>
    <row r="4589" spans="1:16" x14ac:dyDescent="0.3">
      <c r="A4589">
        <v>1963</v>
      </c>
      <c r="B4589">
        <v>42</v>
      </c>
      <c r="C4589" t="s">
        <v>26</v>
      </c>
      <c r="D4589" t="s">
        <v>31</v>
      </c>
      <c r="E4589" t="s">
        <v>34</v>
      </c>
      <c r="F4589" t="s">
        <v>21</v>
      </c>
      <c r="G4589" t="s">
        <v>41</v>
      </c>
      <c r="H4589" t="s">
        <v>25</v>
      </c>
      <c r="I4589" s="1">
        <v>1</v>
      </c>
      <c r="J4589" s="2">
        <v>45961</v>
      </c>
      <c r="K4589" s="2">
        <v>45931</v>
      </c>
      <c r="L4589" s="1" t="str">
        <f t="shared" si="521"/>
        <v>sex</v>
      </c>
      <c r="M4589" s="1" t="str">
        <f t="shared" si="522"/>
        <v>out</v>
      </c>
      <c r="N4589">
        <f t="shared" si="523"/>
        <v>2025</v>
      </c>
      <c r="O4589" s="2"/>
      <c r="P4589" t="str">
        <f t="shared" si="517"/>
        <v>196345961</v>
      </c>
    </row>
    <row r="4590" spans="1:16" x14ac:dyDescent="0.3">
      <c r="A4590">
        <v>1963</v>
      </c>
      <c r="B4590">
        <v>42</v>
      </c>
      <c r="C4590" t="s">
        <v>26</v>
      </c>
      <c r="D4590" t="s">
        <v>31</v>
      </c>
      <c r="E4590" t="s">
        <v>34</v>
      </c>
      <c r="F4590" t="s">
        <v>21</v>
      </c>
      <c r="G4590" t="s">
        <v>41</v>
      </c>
      <c r="H4590" t="s">
        <v>25</v>
      </c>
      <c r="I4590" s="1">
        <v>1</v>
      </c>
      <c r="J4590" s="2">
        <v>46004</v>
      </c>
      <c r="K4590" s="2">
        <v>45992</v>
      </c>
      <c r="L4590" s="1" t="str">
        <f t="shared" si="521"/>
        <v>sáb</v>
      </c>
      <c r="M4590" s="1" t="str">
        <f t="shared" si="522"/>
        <v>dez</v>
      </c>
      <c r="N4590">
        <f t="shared" si="523"/>
        <v>2025</v>
      </c>
      <c r="O4590" s="2"/>
      <c r="P4590" t="str">
        <f t="shared" si="517"/>
        <v>196346004</v>
      </c>
    </row>
    <row r="4591" spans="1:16" x14ac:dyDescent="0.3">
      <c r="A4591">
        <v>1963</v>
      </c>
      <c r="B4591">
        <v>42</v>
      </c>
      <c r="C4591" t="s">
        <v>26</v>
      </c>
      <c r="D4591" t="s">
        <v>31</v>
      </c>
      <c r="E4591" t="s">
        <v>34</v>
      </c>
      <c r="F4591" t="s">
        <v>21</v>
      </c>
      <c r="G4591" t="s">
        <v>41</v>
      </c>
      <c r="H4591" t="s">
        <v>25</v>
      </c>
      <c r="I4591" s="1">
        <v>1</v>
      </c>
      <c r="J4591" s="2">
        <v>46184</v>
      </c>
      <c r="K4591" s="2">
        <v>46023</v>
      </c>
      <c r="L4591" s="1" t="str">
        <f t="shared" si="521"/>
        <v>qui</v>
      </c>
      <c r="M4591" s="1" t="str">
        <f t="shared" si="522"/>
        <v>jun</v>
      </c>
      <c r="N4591">
        <f t="shared" si="523"/>
        <v>2026</v>
      </c>
      <c r="O4591" s="2"/>
      <c r="P4591" t="str">
        <f t="shared" si="517"/>
        <v>196346184</v>
      </c>
    </row>
    <row r="4592" spans="1:16" x14ac:dyDescent="0.3">
      <c r="A4592">
        <v>1963</v>
      </c>
      <c r="B4592">
        <v>42</v>
      </c>
      <c r="C4592" t="s">
        <v>26</v>
      </c>
      <c r="D4592" t="s">
        <v>31</v>
      </c>
      <c r="E4592" t="s">
        <v>34</v>
      </c>
      <c r="F4592" t="s">
        <v>21</v>
      </c>
      <c r="G4592" t="s">
        <v>41</v>
      </c>
      <c r="H4592" t="s">
        <v>25</v>
      </c>
      <c r="I4592" s="1">
        <v>1</v>
      </c>
      <c r="J4592" s="2">
        <v>46203</v>
      </c>
      <c r="K4592" s="2">
        <v>46023</v>
      </c>
      <c r="L4592" s="1" t="str">
        <f t="shared" si="521"/>
        <v>ter</v>
      </c>
      <c r="M4592" s="1" t="str">
        <f t="shared" si="522"/>
        <v>jun</v>
      </c>
      <c r="N4592">
        <f t="shared" si="523"/>
        <v>2026</v>
      </c>
      <c r="O4592" s="2"/>
      <c r="P4592" t="str">
        <f t="shared" si="517"/>
        <v>196346203</v>
      </c>
    </row>
    <row r="4593" spans="1:16" x14ac:dyDescent="0.3">
      <c r="A4593">
        <v>1964</v>
      </c>
      <c r="B4593">
        <v>34</v>
      </c>
      <c r="C4593" t="s">
        <v>15</v>
      </c>
      <c r="D4593" t="s">
        <v>16</v>
      </c>
      <c r="E4593" t="s">
        <v>17</v>
      </c>
      <c r="F4593" t="s">
        <v>23</v>
      </c>
      <c r="G4593" t="s">
        <v>41</v>
      </c>
      <c r="H4593" t="s">
        <v>25</v>
      </c>
      <c r="I4593" s="1">
        <v>3</v>
      </c>
      <c r="J4593" s="2">
        <v>45883</v>
      </c>
      <c r="K4593" s="2">
        <v>45870</v>
      </c>
      <c r="L4593" s="1" t="str">
        <f t="shared" si="521"/>
        <v>qui</v>
      </c>
      <c r="M4593" s="1" t="str">
        <f t="shared" si="522"/>
        <v>ago</v>
      </c>
      <c r="N4593">
        <f t="shared" si="523"/>
        <v>2025</v>
      </c>
      <c r="O4593" s="2"/>
      <c r="P4593" t="str">
        <f t="shared" si="517"/>
        <v>196445883</v>
      </c>
    </row>
    <row r="4594" spans="1:16" x14ac:dyDescent="0.3">
      <c r="A4594">
        <v>1964</v>
      </c>
      <c r="B4594">
        <v>34</v>
      </c>
      <c r="C4594" t="s">
        <v>15</v>
      </c>
      <c r="D4594" t="s">
        <v>16</v>
      </c>
      <c r="E4594" t="s">
        <v>17</v>
      </c>
      <c r="F4594" t="s">
        <v>23</v>
      </c>
      <c r="G4594" t="s">
        <v>41</v>
      </c>
      <c r="H4594" t="s">
        <v>25</v>
      </c>
      <c r="I4594" s="1">
        <v>3</v>
      </c>
      <c r="J4594" s="2">
        <v>45885</v>
      </c>
      <c r="K4594" s="2">
        <v>45870</v>
      </c>
      <c r="L4594" s="1" t="str">
        <f t="shared" si="521"/>
        <v>sáb</v>
      </c>
      <c r="M4594" s="1" t="str">
        <f t="shared" si="522"/>
        <v>ago</v>
      </c>
      <c r="N4594">
        <f t="shared" si="523"/>
        <v>2025</v>
      </c>
      <c r="O4594" s="2"/>
      <c r="P4594" t="str">
        <f t="shared" si="517"/>
        <v>196445885</v>
      </c>
    </row>
    <row r="4595" spans="1:16" x14ac:dyDescent="0.3">
      <c r="A4595">
        <v>1964</v>
      </c>
      <c r="B4595">
        <v>34</v>
      </c>
      <c r="C4595" t="s">
        <v>15</v>
      </c>
      <c r="D4595" t="s">
        <v>16</v>
      </c>
      <c r="E4595" t="s">
        <v>17</v>
      </c>
      <c r="F4595" t="s">
        <v>23</v>
      </c>
      <c r="G4595" t="s">
        <v>41</v>
      </c>
      <c r="H4595" t="s">
        <v>25</v>
      </c>
      <c r="I4595" s="1">
        <v>3</v>
      </c>
      <c r="J4595" s="2">
        <v>46174</v>
      </c>
      <c r="K4595" s="2">
        <v>46023</v>
      </c>
      <c r="L4595" s="1" t="str">
        <f t="shared" si="521"/>
        <v>seg</v>
      </c>
      <c r="M4595" s="1" t="str">
        <f t="shared" si="522"/>
        <v>jun</v>
      </c>
      <c r="N4595">
        <f t="shared" si="523"/>
        <v>2026</v>
      </c>
      <c r="O4595" s="2"/>
      <c r="P4595" t="str">
        <f t="shared" si="517"/>
        <v>196446174</v>
      </c>
    </row>
    <row r="4596" spans="1:16" x14ac:dyDescent="0.3">
      <c r="A4596">
        <v>1964</v>
      </c>
      <c r="B4596">
        <v>34</v>
      </c>
      <c r="C4596" t="s">
        <v>15</v>
      </c>
      <c r="D4596" t="s">
        <v>16</v>
      </c>
      <c r="E4596" t="s">
        <v>17</v>
      </c>
      <c r="F4596" t="s">
        <v>23</v>
      </c>
      <c r="G4596" t="s">
        <v>41</v>
      </c>
      <c r="H4596" t="s">
        <v>25</v>
      </c>
      <c r="I4596" s="1">
        <v>3</v>
      </c>
      <c r="J4596" s="2">
        <v>46192</v>
      </c>
      <c r="K4596" s="2">
        <v>46023</v>
      </c>
      <c r="L4596" s="1" t="str">
        <f t="shared" si="521"/>
        <v>sex</v>
      </c>
      <c r="M4596" s="1" t="str">
        <f t="shared" si="522"/>
        <v>jun</v>
      </c>
      <c r="N4596">
        <f t="shared" si="523"/>
        <v>2026</v>
      </c>
      <c r="O4596" s="2"/>
      <c r="P4596" t="str">
        <f t="shared" si="517"/>
        <v>196446192</v>
      </c>
    </row>
    <row r="4597" spans="1:16" x14ac:dyDescent="0.3">
      <c r="A4597">
        <v>1964</v>
      </c>
      <c r="B4597">
        <v>34</v>
      </c>
      <c r="C4597" t="s">
        <v>15</v>
      </c>
      <c r="D4597" t="s">
        <v>16</v>
      </c>
      <c r="E4597" t="s">
        <v>17</v>
      </c>
      <c r="F4597" t="s">
        <v>23</v>
      </c>
      <c r="G4597" t="s">
        <v>41</v>
      </c>
      <c r="H4597" t="s">
        <v>25</v>
      </c>
      <c r="I4597" s="1">
        <v>3</v>
      </c>
      <c r="J4597" s="2">
        <v>46076</v>
      </c>
      <c r="K4597" s="2">
        <v>46054</v>
      </c>
      <c r="L4597" s="1" t="str">
        <f t="shared" si="521"/>
        <v>seg</v>
      </c>
      <c r="M4597" s="1" t="str">
        <f t="shared" si="522"/>
        <v>fev</v>
      </c>
      <c r="N4597">
        <f t="shared" si="523"/>
        <v>2026</v>
      </c>
      <c r="O4597" s="2"/>
      <c r="P4597" t="str">
        <f t="shared" si="517"/>
        <v>196446076</v>
      </c>
    </row>
    <row r="4598" spans="1:16" x14ac:dyDescent="0.3">
      <c r="A4598">
        <v>1964</v>
      </c>
      <c r="B4598">
        <v>34</v>
      </c>
      <c r="C4598" t="s">
        <v>15</v>
      </c>
      <c r="D4598" t="s">
        <v>16</v>
      </c>
      <c r="E4598" t="s">
        <v>17</v>
      </c>
      <c r="F4598" t="s">
        <v>23</v>
      </c>
      <c r="G4598" t="s">
        <v>41</v>
      </c>
      <c r="H4598" t="s">
        <v>25</v>
      </c>
      <c r="I4598" s="1">
        <v>3</v>
      </c>
      <c r="J4598" s="2">
        <v>46093</v>
      </c>
      <c r="K4598" s="2">
        <v>46082</v>
      </c>
      <c r="L4598" s="1" t="str">
        <f t="shared" si="521"/>
        <v>qui</v>
      </c>
      <c r="M4598" s="1" t="str">
        <f t="shared" si="522"/>
        <v>mar</v>
      </c>
      <c r="N4598">
        <f t="shared" si="523"/>
        <v>2026</v>
      </c>
      <c r="O4598" s="2"/>
      <c r="P4598" t="str">
        <f t="shared" si="517"/>
        <v>196446093</v>
      </c>
    </row>
    <row r="4599" spans="1:16" x14ac:dyDescent="0.3">
      <c r="A4599">
        <v>1965</v>
      </c>
      <c r="B4599">
        <v>36</v>
      </c>
      <c r="C4599" t="s">
        <v>26</v>
      </c>
      <c r="D4599" t="s">
        <v>16</v>
      </c>
      <c r="E4599" t="s">
        <v>17</v>
      </c>
      <c r="F4599" t="s">
        <v>23</v>
      </c>
      <c r="G4599" t="s">
        <v>41</v>
      </c>
      <c r="H4599" t="s">
        <v>25</v>
      </c>
      <c r="I4599" s="1">
        <v>2</v>
      </c>
      <c r="J4599" s="2">
        <v>45847</v>
      </c>
      <c r="K4599" s="2">
        <v>45839</v>
      </c>
      <c r="L4599" s="1" t="str">
        <f t="shared" si="521"/>
        <v>qua</v>
      </c>
      <c r="M4599" s="1" t="str">
        <f t="shared" si="522"/>
        <v>jul</v>
      </c>
      <c r="N4599">
        <f t="shared" si="523"/>
        <v>2025</v>
      </c>
      <c r="O4599" s="2"/>
      <c r="P4599" t="str">
        <f t="shared" si="517"/>
        <v>196545847</v>
      </c>
    </row>
    <row r="4600" spans="1:16" x14ac:dyDescent="0.3">
      <c r="A4600">
        <v>1965</v>
      </c>
      <c r="B4600">
        <v>36</v>
      </c>
      <c r="C4600" t="s">
        <v>26</v>
      </c>
      <c r="D4600" t="s">
        <v>16</v>
      </c>
      <c r="E4600" t="s">
        <v>17</v>
      </c>
      <c r="F4600" t="s">
        <v>23</v>
      </c>
      <c r="G4600" t="s">
        <v>41</v>
      </c>
      <c r="H4600" t="s">
        <v>25</v>
      </c>
      <c r="I4600" s="1">
        <v>2</v>
      </c>
      <c r="J4600" s="2">
        <v>45858</v>
      </c>
      <c r="K4600" s="2">
        <v>45839</v>
      </c>
      <c r="L4600" s="1" t="str">
        <f t="shared" si="521"/>
        <v>dom</v>
      </c>
      <c r="M4600" s="1" t="str">
        <f t="shared" si="522"/>
        <v>jul</v>
      </c>
      <c r="N4600">
        <f t="shared" si="523"/>
        <v>2025</v>
      </c>
      <c r="O4600" s="2"/>
      <c r="P4600" t="str">
        <f t="shared" si="517"/>
        <v>196545858</v>
      </c>
    </row>
    <row r="4601" spans="1:16" x14ac:dyDescent="0.3">
      <c r="A4601">
        <v>1965</v>
      </c>
      <c r="B4601">
        <v>36</v>
      </c>
      <c r="C4601" t="s">
        <v>26</v>
      </c>
      <c r="D4601" t="s">
        <v>16</v>
      </c>
      <c r="E4601" t="s">
        <v>17</v>
      </c>
      <c r="F4601" t="s">
        <v>23</v>
      </c>
      <c r="G4601" t="s">
        <v>41</v>
      </c>
      <c r="H4601" t="s">
        <v>25</v>
      </c>
      <c r="I4601" s="1">
        <v>2</v>
      </c>
      <c r="J4601" s="2">
        <v>45861</v>
      </c>
      <c r="K4601" s="2">
        <v>45839</v>
      </c>
      <c r="L4601" s="1" t="str">
        <f t="shared" si="521"/>
        <v>qua</v>
      </c>
      <c r="M4601" s="1" t="str">
        <f t="shared" si="522"/>
        <v>jul</v>
      </c>
      <c r="N4601">
        <f t="shared" si="523"/>
        <v>2025</v>
      </c>
      <c r="O4601" s="2"/>
      <c r="P4601" t="str">
        <f t="shared" si="517"/>
        <v>196545861</v>
      </c>
    </row>
    <row r="4602" spans="1:16" x14ac:dyDescent="0.3">
      <c r="A4602">
        <v>1965</v>
      </c>
      <c r="B4602">
        <v>36</v>
      </c>
      <c r="C4602" t="s">
        <v>26</v>
      </c>
      <c r="D4602" t="s">
        <v>16</v>
      </c>
      <c r="E4602" t="s">
        <v>17</v>
      </c>
      <c r="F4602" t="s">
        <v>23</v>
      </c>
      <c r="G4602" t="s">
        <v>41</v>
      </c>
      <c r="H4602" t="s">
        <v>25</v>
      </c>
      <c r="I4602" s="1">
        <v>2</v>
      </c>
      <c r="J4602" s="2">
        <v>46177</v>
      </c>
      <c r="K4602" s="2">
        <v>46023</v>
      </c>
      <c r="L4602" s="1" t="str">
        <f t="shared" si="521"/>
        <v>qui</v>
      </c>
      <c r="M4602" s="1" t="str">
        <f t="shared" si="522"/>
        <v>jun</v>
      </c>
      <c r="N4602">
        <f t="shared" si="523"/>
        <v>2026</v>
      </c>
      <c r="O4602" s="2"/>
      <c r="P4602" t="str">
        <f t="shared" si="517"/>
        <v>196546177</v>
      </c>
    </row>
    <row r="4603" spans="1:16" x14ac:dyDescent="0.3">
      <c r="A4603">
        <v>1965</v>
      </c>
      <c r="B4603">
        <v>36</v>
      </c>
      <c r="C4603" t="s">
        <v>26</v>
      </c>
      <c r="D4603" t="s">
        <v>16</v>
      </c>
      <c r="E4603" t="s">
        <v>17</v>
      </c>
      <c r="F4603" t="s">
        <v>23</v>
      </c>
      <c r="G4603" t="s">
        <v>41</v>
      </c>
      <c r="H4603" t="s">
        <v>25</v>
      </c>
      <c r="I4603" s="1">
        <v>2</v>
      </c>
      <c r="J4603" s="2">
        <v>46111</v>
      </c>
      <c r="K4603" s="2">
        <v>46082</v>
      </c>
      <c r="L4603" s="1" t="str">
        <f t="shared" si="521"/>
        <v>seg</v>
      </c>
      <c r="M4603" s="1" t="str">
        <f t="shared" si="522"/>
        <v>mar</v>
      </c>
      <c r="N4603">
        <f t="shared" si="523"/>
        <v>2026</v>
      </c>
      <c r="O4603" s="2"/>
      <c r="P4603" t="str">
        <f t="shared" si="517"/>
        <v>196546111</v>
      </c>
    </row>
    <row r="4604" spans="1:16" x14ac:dyDescent="0.3">
      <c r="A4604">
        <v>1965</v>
      </c>
      <c r="B4604">
        <v>36</v>
      </c>
      <c r="C4604" t="s">
        <v>26</v>
      </c>
      <c r="D4604" t="s">
        <v>16</v>
      </c>
      <c r="E4604" t="s">
        <v>17</v>
      </c>
      <c r="F4604" t="s">
        <v>23</v>
      </c>
      <c r="G4604" t="s">
        <v>41</v>
      </c>
      <c r="H4604" t="s">
        <v>25</v>
      </c>
      <c r="I4604" s="1">
        <v>2</v>
      </c>
      <c r="J4604" s="2">
        <v>46173</v>
      </c>
      <c r="K4604" s="2">
        <v>46143</v>
      </c>
      <c r="L4604" s="1" t="str">
        <f t="shared" si="521"/>
        <v>dom</v>
      </c>
      <c r="M4604" s="1" t="str">
        <f t="shared" si="522"/>
        <v>mai</v>
      </c>
      <c r="N4604">
        <f t="shared" si="523"/>
        <v>2026</v>
      </c>
      <c r="O4604" s="2"/>
      <c r="P4604" t="str">
        <f t="shared" si="517"/>
        <v>196546173</v>
      </c>
    </row>
    <row r="4605" spans="1:16" x14ac:dyDescent="0.3">
      <c r="A4605">
        <v>1967</v>
      </c>
      <c r="B4605">
        <v>37</v>
      </c>
      <c r="C4605" t="s">
        <v>26</v>
      </c>
      <c r="D4605" t="s">
        <v>31</v>
      </c>
      <c r="E4605" t="s">
        <v>34</v>
      </c>
      <c r="F4605" t="s">
        <v>18</v>
      </c>
      <c r="G4605" t="s">
        <v>42</v>
      </c>
      <c r="H4605" t="s">
        <v>25</v>
      </c>
      <c r="I4605" s="1">
        <v>1</v>
      </c>
      <c r="J4605" s="2">
        <v>45773</v>
      </c>
      <c r="K4605" s="2">
        <v>45748</v>
      </c>
      <c r="L4605" s="1" t="str">
        <f t="shared" si="521"/>
        <v>sáb</v>
      </c>
      <c r="M4605" s="1" t="str">
        <f t="shared" si="522"/>
        <v>abr</v>
      </c>
      <c r="N4605">
        <f t="shared" si="523"/>
        <v>2025</v>
      </c>
      <c r="O4605" s="2"/>
      <c r="P4605" t="str">
        <f t="shared" ref="P4605:P4668" si="524">CONCATENATE(A4605,J4605)</f>
        <v>196745773</v>
      </c>
    </row>
    <row r="4606" spans="1:16" x14ac:dyDescent="0.3">
      <c r="A4606">
        <v>1967</v>
      </c>
      <c r="B4606">
        <v>37</v>
      </c>
      <c r="C4606" t="s">
        <v>26</v>
      </c>
      <c r="D4606" t="s">
        <v>31</v>
      </c>
      <c r="E4606" t="s">
        <v>34</v>
      </c>
      <c r="F4606" t="s">
        <v>18</v>
      </c>
      <c r="G4606" t="s">
        <v>42</v>
      </c>
      <c r="H4606" t="s">
        <v>25</v>
      </c>
      <c r="I4606" s="1">
        <v>1</v>
      </c>
      <c r="J4606" s="2">
        <v>45792</v>
      </c>
      <c r="K4606" s="2">
        <v>45778</v>
      </c>
      <c r="L4606" s="1" t="str">
        <f t="shared" si="521"/>
        <v>qui</v>
      </c>
      <c r="M4606" s="1" t="str">
        <f t="shared" si="522"/>
        <v>mai</v>
      </c>
      <c r="N4606">
        <f t="shared" si="523"/>
        <v>2025</v>
      </c>
      <c r="O4606" s="2"/>
      <c r="P4606" t="str">
        <f t="shared" si="524"/>
        <v>196745792</v>
      </c>
    </row>
    <row r="4607" spans="1:16" x14ac:dyDescent="0.3">
      <c r="A4607">
        <v>1967</v>
      </c>
      <c r="B4607">
        <v>37</v>
      </c>
      <c r="C4607" t="s">
        <v>26</v>
      </c>
      <c r="D4607" t="s">
        <v>31</v>
      </c>
      <c r="E4607" t="s">
        <v>34</v>
      </c>
      <c r="F4607" t="s">
        <v>18</v>
      </c>
      <c r="G4607" t="s">
        <v>42</v>
      </c>
      <c r="H4607" t="s">
        <v>25</v>
      </c>
      <c r="I4607" s="1">
        <v>1</v>
      </c>
      <c r="J4607" s="2">
        <v>45849</v>
      </c>
      <c r="K4607" s="2">
        <v>45839</v>
      </c>
      <c r="L4607" s="1" t="str">
        <f t="shared" si="521"/>
        <v>sex</v>
      </c>
      <c r="M4607" s="1" t="str">
        <f t="shared" si="522"/>
        <v>jul</v>
      </c>
      <c r="N4607">
        <f t="shared" si="523"/>
        <v>2025</v>
      </c>
      <c r="O4607" s="2"/>
      <c r="P4607" t="str">
        <f t="shared" si="524"/>
        <v>196745849</v>
      </c>
    </row>
    <row r="4608" spans="1:16" x14ac:dyDescent="0.3">
      <c r="A4608">
        <v>1967</v>
      </c>
      <c r="B4608">
        <v>37</v>
      </c>
      <c r="C4608" t="s">
        <v>26</v>
      </c>
      <c r="D4608" t="s">
        <v>31</v>
      </c>
      <c r="E4608" t="s">
        <v>34</v>
      </c>
      <c r="F4608" t="s">
        <v>18</v>
      </c>
      <c r="G4608" t="s">
        <v>42</v>
      </c>
      <c r="H4608" t="s">
        <v>25</v>
      </c>
      <c r="I4608" s="1">
        <v>1</v>
      </c>
      <c r="J4608" s="2">
        <v>45993</v>
      </c>
      <c r="K4608" s="2">
        <v>45992</v>
      </c>
      <c r="L4608" s="1" t="str">
        <f t="shared" si="521"/>
        <v>ter</v>
      </c>
      <c r="M4608" s="1" t="str">
        <f t="shared" si="522"/>
        <v>dez</v>
      </c>
      <c r="N4608">
        <f t="shared" si="523"/>
        <v>2025</v>
      </c>
      <c r="O4608" s="2"/>
      <c r="P4608" t="str">
        <f t="shared" si="524"/>
        <v>196745993</v>
      </c>
    </row>
    <row r="4609" spans="1:16" x14ac:dyDescent="0.3">
      <c r="A4609">
        <v>1967</v>
      </c>
      <c r="B4609">
        <v>37</v>
      </c>
      <c r="C4609" t="s">
        <v>26</v>
      </c>
      <c r="D4609" t="s">
        <v>31</v>
      </c>
      <c r="E4609" t="s">
        <v>34</v>
      </c>
      <c r="F4609" t="s">
        <v>18</v>
      </c>
      <c r="G4609" t="s">
        <v>42</v>
      </c>
      <c r="H4609" t="s">
        <v>25</v>
      </c>
      <c r="I4609" s="1">
        <v>1</v>
      </c>
      <c r="J4609" s="2">
        <v>45996</v>
      </c>
      <c r="K4609" s="2">
        <v>45992</v>
      </c>
      <c r="L4609" s="1" t="str">
        <f t="shared" si="521"/>
        <v>sex</v>
      </c>
      <c r="M4609" s="1" t="str">
        <f t="shared" si="522"/>
        <v>dez</v>
      </c>
      <c r="N4609">
        <f t="shared" si="523"/>
        <v>2025</v>
      </c>
      <c r="O4609" s="2"/>
      <c r="P4609" t="str">
        <f t="shared" si="524"/>
        <v>196745996</v>
      </c>
    </row>
    <row r="4610" spans="1:16" x14ac:dyDescent="0.3">
      <c r="A4610">
        <v>1967</v>
      </c>
      <c r="B4610">
        <v>37</v>
      </c>
      <c r="C4610" t="s">
        <v>26</v>
      </c>
      <c r="D4610" t="s">
        <v>31</v>
      </c>
      <c r="E4610" t="s">
        <v>34</v>
      </c>
      <c r="F4610" t="s">
        <v>18</v>
      </c>
      <c r="G4610" t="s">
        <v>42</v>
      </c>
      <c r="H4610" t="s">
        <v>25</v>
      </c>
      <c r="I4610" s="1">
        <v>1</v>
      </c>
      <c r="J4610" s="2">
        <v>46107</v>
      </c>
      <c r="K4610" s="2">
        <v>46082</v>
      </c>
      <c r="L4610" s="1" t="str">
        <f t="shared" si="521"/>
        <v>qui</v>
      </c>
      <c r="M4610" s="1" t="str">
        <f t="shared" si="522"/>
        <v>mar</v>
      </c>
      <c r="N4610">
        <f t="shared" si="523"/>
        <v>2026</v>
      </c>
      <c r="O4610" s="2"/>
      <c r="P4610" t="str">
        <f t="shared" si="524"/>
        <v>196746107</v>
      </c>
    </row>
    <row r="4611" spans="1:16" x14ac:dyDescent="0.3">
      <c r="A4611">
        <v>1967</v>
      </c>
      <c r="B4611">
        <v>37</v>
      </c>
      <c r="C4611" t="s">
        <v>26</v>
      </c>
      <c r="D4611" t="s">
        <v>31</v>
      </c>
      <c r="E4611" t="s">
        <v>34</v>
      </c>
      <c r="F4611" t="s">
        <v>18</v>
      </c>
      <c r="G4611" t="s">
        <v>42</v>
      </c>
      <c r="H4611" t="s">
        <v>25</v>
      </c>
      <c r="I4611" s="1">
        <v>1</v>
      </c>
      <c r="J4611" s="2">
        <v>46138</v>
      </c>
      <c r="K4611" s="2">
        <v>46113</v>
      </c>
      <c r="L4611" s="1" t="s">
        <v>54</v>
      </c>
      <c r="M4611" s="1" t="s">
        <v>48</v>
      </c>
      <c r="N4611">
        <v>2025</v>
      </c>
      <c r="O4611" s="2"/>
      <c r="P4611" t="str">
        <f t="shared" si="524"/>
        <v>196746138</v>
      </c>
    </row>
    <row r="4612" spans="1:16" x14ac:dyDescent="0.3">
      <c r="A4612">
        <v>1967</v>
      </c>
      <c r="B4612">
        <v>37</v>
      </c>
      <c r="C4612" t="s">
        <v>26</v>
      </c>
      <c r="D4612" t="s">
        <v>31</v>
      </c>
      <c r="E4612" t="s">
        <v>34</v>
      </c>
      <c r="F4612" t="s">
        <v>18</v>
      </c>
      <c r="G4612" t="s">
        <v>42</v>
      </c>
      <c r="H4612" t="s">
        <v>25</v>
      </c>
      <c r="I4612" s="1">
        <v>1</v>
      </c>
      <c r="J4612" s="2">
        <v>46157</v>
      </c>
      <c r="K4612" s="2">
        <v>46143</v>
      </c>
      <c r="L4612" s="1" t="s">
        <v>52</v>
      </c>
      <c r="M4612" s="1" t="s">
        <v>49</v>
      </c>
      <c r="N4612">
        <v>2025</v>
      </c>
      <c r="O4612" s="2"/>
      <c r="P4612" t="str">
        <f t="shared" si="524"/>
        <v>196746157</v>
      </c>
    </row>
    <row r="4613" spans="1:16" x14ac:dyDescent="0.3">
      <c r="A4613">
        <v>1967</v>
      </c>
      <c r="B4613">
        <v>37</v>
      </c>
      <c r="C4613" t="s">
        <v>26</v>
      </c>
      <c r="D4613" t="s">
        <v>31</v>
      </c>
      <c r="E4613" t="s">
        <v>34</v>
      </c>
      <c r="F4613" t="s">
        <v>18</v>
      </c>
      <c r="G4613" t="s">
        <v>42</v>
      </c>
      <c r="H4613" t="s">
        <v>25</v>
      </c>
      <c r="I4613" s="1">
        <v>1</v>
      </c>
      <c r="J4613" s="2">
        <v>46180</v>
      </c>
      <c r="K4613" s="2">
        <v>46174</v>
      </c>
      <c r="L4613" s="1" t="str">
        <f t="shared" ref="L4613:L4618" si="525">TEXT(J4613,"ddd")</f>
        <v>dom</v>
      </c>
      <c r="M4613" s="1" t="str">
        <f t="shared" ref="M4613:M4618" si="526">TEXT($J4613,"mmm")</f>
        <v>jun</v>
      </c>
      <c r="N4613">
        <f t="shared" ref="N4613:N4618" si="527">YEAR(J4613)</f>
        <v>2026</v>
      </c>
      <c r="O4613" s="2"/>
      <c r="P4613" t="str">
        <f t="shared" si="524"/>
        <v>196746180</v>
      </c>
    </row>
    <row r="4614" spans="1:16" x14ac:dyDescent="0.3">
      <c r="A4614">
        <v>1968</v>
      </c>
      <c r="B4614">
        <v>54</v>
      </c>
      <c r="C4614" t="s">
        <v>15</v>
      </c>
      <c r="D4614" t="s">
        <v>31</v>
      </c>
      <c r="E4614" t="s">
        <v>34</v>
      </c>
      <c r="F4614" t="s">
        <v>21</v>
      </c>
      <c r="G4614" t="s">
        <v>42</v>
      </c>
      <c r="H4614" t="s">
        <v>25</v>
      </c>
      <c r="I4614" s="1">
        <v>3</v>
      </c>
      <c r="J4614" s="2">
        <v>45768</v>
      </c>
      <c r="K4614" s="2">
        <v>45748</v>
      </c>
      <c r="L4614" s="1" t="str">
        <f t="shared" si="525"/>
        <v>seg</v>
      </c>
      <c r="M4614" s="1" t="str">
        <f t="shared" si="526"/>
        <v>abr</v>
      </c>
      <c r="N4614">
        <f t="shared" si="527"/>
        <v>2025</v>
      </c>
      <c r="O4614" s="2"/>
      <c r="P4614" t="str">
        <f t="shared" si="524"/>
        <v>196845768</v>
      </c>
    </row>
    <row r="4615" spans="1:16" x14ac:dyDescent="0.3">
      <c r="A4615">
        <v>1968</v>
      </c>
      <c r="B4615">
        <v>54</v>
      </c>
      <c r="C4615" t="s">
        <v>15</v>
      </c>
      <c r="D4615" t="s">
        <v>31</v>
      </c>
      <c r="E4615" t="s">
        <v>34</v>
      </c>
      <c r="F4615" t="s">
        <v>21</v>
      </c>
      <c r="G4615" t="s">
        <v>42</v>
      </c>
      <c r="H4615" t="s">
        <v>25</v>
      </c>
      <c r="I4615" s="1">
        <v>3</v>
      </c>
      <c r="J4615" s="2">
        <v>45820</v>
      </c>
      <c r="K4615" s="2">
        <v>45809</v>
      </c>
      <c r="L4615" s="1" t="str">
        <f t="shared" si="525"/>
        <v>qui</v>
      </c>
      <c r="M4615" s="1" t="str">
        <f t="shared" si="526"/>
        <v>jun</v>
      </c>
      <c r="N4615">
        <f t="shared" si="527"/>
        <v>2025</v>
      </c>
      <c r="O4615" s="2"/>
      <c r="P4615" t="str">
        <f t="shared" si="524"/>
        <v>196845820</v>
      </c>
    </row>
    <row r="4616" spans="1:16" x14ac:dyDescent="0.3">
      <c r="A4616">
        <v>1968</v>
      </c>
      <c r="B4616">
        <v>54</v>
      </c>
      <c r="C4616" t="s">
        <v>15</v>
      </c>
      <c r="D4616" t="s">
        <v>31</v>
      </c>
      <c r="E4616" t="s">
        <v>34</v>
      </c>
      <c r="F4616" t="s">
        <v>21</v>
      </c>
      <c r="G4616" t="s">
        <v>41</v>
      </c>
      <c r="H4616" t="s">
        <v>25</v>
      </c>
      <c r="I4616" s="1">
        <v>3</v>
      </c>
      <c r="J4616" s="2">
        <v>45856</v>
      </c>
      <c r="K4616" s="2">
        <v>45839</v>
      </c>
      <c r="L4616" s="1" t="str">
        <f t="shared" si="525"/>
        <v>sex</v>
      </c>
      <c r="M4616" s="1" t="str">
        <f t="shared" si="526"/>
        <v>jul</v>
      </c>
      <c r="N4616">
        <f t="shared" si="527"/>
        <v>2025</v>
      </c>
      <c r="O4616" s="2"/>
      <c r="P4616" t="str">
        <f t="shared" si="524"/>
        <v>196845856</v>
      </c>
    </row>
    <row r="4617" spans="1:16" x14ac:dyDescent="0.3">
      <c r="A4617">
        <v>1968</v>
      </c>
      <c r="B4617">
        <v>54</v>
      </c>
      <c r="C4617" t="s">
        <v>15</v>
      </c>
      <c r="D4617" t="s">
        <v>31</v>
      </c>
      <c r="E4617" t="s">
        <v>34</v>
      </c>
      <c r="F4617" t="s">
        <v>21</v>
      </c>
      <c r="G4617" t="s">
        <v>41</v>
      </c>
      <c r="H4617" t="s">
        <v>25</v>
      </c>
      <c r="I4617" s="1">
        <v>3</v>
      </c>
      <c r="J4617" s="2">
        <v>45875</v>
      </c>
      <c r="K4617" s="2">
        <v>45870</v>
      </c>
      <c r="L4617" s="1" t="str">
        <f t="shared" si="525"/>
        <v>qua</v>
      </c>
      <c r="M4617" s="1" t="str">
        <f t="shared" si="526"/>
        <v>ago</v>
      </c>
      <c r="N4617">
        <f t="shared" si="527"/>
        <v>2025</v>
      </c>
      <c r="O4617" s="2"/>
      <c r="P4617" t="str">
        <f t="shared" si="524"/>
        <v>196845875</v>
      </c>
    </row>
    <row r="4618" spans="1:16" x14ac:dyDescent="0.3">
      <c r="A4618">
        <v>1968</v>
      </c>
      <c r="B4618">
        <v>54</v>
      </c>
      <c r="C4618" t="s">
        <v>15</v>
      </c>
      <c r="D4618" t="s">
        <v>31</v>
      </c>
      <c r="E4618" t="s">
        <v>34</v>
      </c>
      <c r="F4618" t="s">
        <v>21</v>
      </c>
      <c r="G4618" t="s">
        <v>41</v>
      </c>
      <c r="H4618" t="s">
        <v>25</v>
      </c>
      <c r="I4618" s="1">
        <v>3</v>
      </c>
      <c r="J4618" s="2">
        <v>45909</v>
      </c>
      <c r="K4618" s="2">
        <v>45901</v>
      </c>
      <c r="L4618" s="1" t="str">
        <f t="shared" si="525"/>
        <v>ter</v>
      </c>
      <c r="M4618" s="1" t="str">
        <f t="shared" si="526"/>
        <v>set</v>
      </c>
      <c r="N4618">
        <f t="shared" si="527"/>
        <v>2025</v>
      </c>
      <c r="O4618" s="2"/>
      <c r="P4618" t="str">
        <f t="shared" si="524"/>
        <v>196845909</v>
      </c>
    </row>
    <row r="4619" spans="1:16" x14ac:dyDescent="0.3">
      <c r="A4619">
        <v>1968</v>
      </c>
      <c r="B4619">
        <v>54</v>
      </c>
      <c r="C4619" t="s">
        <v>15</v>
      </c>
      <c r="D4619" t="s">
        <v>31</v>
      </c>
      <c r="E4619" t="s">
        <v>34</v>
      </c>
      <c r="F4619" t="s">
        <v>21</v>
      </c>
      <c r="G4619" t="s">
        <v>42</v>
      </c>
      <c r="H4619" t="s">
        <v>25</v>
      </c>
      <c r="I4619" s="1">
        <v>3</v>
      </c>
      <c r="J4619" s="2">
        <v>46133</v>
      </c>
      <c r="K4619" s="2">
        <v>46113</v>
      </c>
      <c r="L4619" s="1" t="s">
        <v>56</v>
      </c>
      <c r="M4619" s="1" t="s">
        <v>48</v>
      </c>
      <c r="N4619">
        <v>2025</v>
      </c>
      <c r="O4619" s="2"/>
      <c r="P4619" t="str">
        <f t="shared" si="524"/>
        <v>196846133</v>
      </c>
    </row>
    <row r="4620" spans="1:16" x14ac:dyDescent="0.3">
      <c r="A4620">
        <v>1969</v>
      </c>
      <c r="B4620">
        <v>49</v>
      </c>
      <c r="C4620" t="s">
        <v>15</v>
      </c>
      <c r="D4620" t="s">
        <v>29</v>
      </c>
      <c r="E4620" t="s">
        <v>17</v>
      </c>
      <c r="F4620" t="s">
        <v>18</v>
      </c>
      <c r="G4620" t="s">
        <v>41</v>
      </c>
      <c r="H4620" t="s">
        <v>25</v>
      </c>
      <c r="I4620" s="1">
        <v>2</v>
      </c>
      <c r="J4620" s="2">
        <v>45832</v>
      </c>
      <c r="K4620" s="2">
        <v>45809</v>
      </c>
      <c r="L4620" s="1" t="str">
        <f t="shared" ref="L4620:L4651" si="528">TEXT(J4620,"ddd")</f>
        <v>ter</v>
      </c>
      <c r="M4620" s="1" t="str">
        <f t="shared" ref="M4620:M4651" si="529">TEXT($J4620,"mmm")</f>
        <v>jun</v>
      </c>
      <c r="N4620">
        <f t="shared" ref="N4620:N4651" si="530">YEAR(J4620)</f>
        <v>2025</v>
      </c>
      <c r="O4620" s="2"/>
      <c r="P4620" t="str">
        <f t="shared" si="524"/>
        <v>196945832</v>
      </c>
    </row>
    <row r="4621" spans="1:16" x14ac:dyDescent="0.3">
      <c r="A4621">
        <v>1969</v>
      </c>
      <c r="B4621">
        <v>49</v>
      </c>
      <c r="C4621" t="s">
        <v>15</v>
      </c>
      <c r="D4621" t="s">
        <v>29</v>
      </c>
      <c r="E4621" t="s">
        <v>17</v>
      </c>
      <c r="F4621" t="s">
        <v>18</v>
      </c>
      <c r="G4621" t="s">
        <v>41</v>
      </c>
      <c r="H4621" t="s">
        <v>25</v>
      </c>
      <c r="I4621" s="1">
        <v>2</v>
      </c>
      <c r="J4621" s="2">
        <v>45907</v>
      </c>
      <c r="K4621" s="2">
        <v>45901</v>
      </c>
      <c r="L4621" s="1" t="str">
        <f t="shared" si="528"/>
        <v>dom</v>
      </c>
      <c r="M4621" s="1" t="str">
        <f t="shared" si="529"/>
        <v>set</v>
      </c>
      <c r="N4621">
        <f t="shared" si="530"/>
        <v>2025</v>
      </c>
      <c r="O4621" s="2"/>
      <c r="P4621" t="str">
        <f t="shared" si="524"/>
        <v>196945907</v>
      </c>
    </row>
    <row r="4622" spans="1:16" x14ac:dyDescent="0.3">
      <c r="A4622">
        <v>1969</v>
      </c>
      <c r="B4622">
        <v>49</v>
      </c>
      <c r="C4622" t="s">
        <v>15</v>
      </c>
      <c r="D4622" t="s">
        <v>29</v>
      </c>
      <c r="E4622" t="s">
        <v>17</v>
      </c>
      <c r="F4622" t="s">
        <v>18</v>
      </c>
      <c r="G4622" t="s">
        <v>41</v>
      </c>
      <c r="H4622" t="s">
        <v>25</v>
      </c>
      <c r="I4622" s="1">
        <v>2</v>
      </c>
      <c r="J4622" s="2">
        <v>45938</v>
      </c>
      <c r="K4622" s="2">
        <v>45931</v>
      </c>
      <c r="L4622" s="1" t="str">
        <f t="shared" si="528"/>
        <v>qua</v>
      </c>
      <c r="M4622" s="1" t="str">
        <f t="shared" si="529"/>
        <v>out</v>
      </c>
      <c r="N4622">
        <f t="shared" si="530"/>
        <v>2025</v>
      </c>
      <c r="O4622" s="2"/>
      <c r="P4622" t="str">
        <f t="shared" si="524"/>
        <v>196945938</v>
      </c>
    </row>
    <row r="4623" spans="1:16" x14ac:dyDescent="0.3">
      <c r="A4623">
        <v>1969</v>
      </c>
      <c r="B4623">
        <v>49</v>
      </c>
      <c r="C4623" t="s">
        <v>15</v>
      </c>
      <c r="D4623" t="s">
        <v>29</v>
      </c>
      <c r="E4623" t="s">
        <v>17</v>
      </c>
      <c r="F4623" t="s">
        <v>18</v>
      </c>
      <c r="G4623" t="s">
        <v>41</v>
      </c>
      <c r="H4623" t="s">
        <v>25</v>
      </c>
      <c r="I4623" s="1">
        <v>2</v>
      </c>
      <c r="J4623" s="2">
        <v>46059</v>
      </c>
      <c r="K4623" s="2">
        <v>46054</v>
      </c>
      <c r="L4623" s="1" t="str">
        <f t="shared" si="528"/>
        <v>sex</v>
      </c>
      <c r="M4623" s="1" t="str">
        <f t="shared" si="529"/>
        <v>fev</v>
      </c>
      <c r="N4623">
        <f t="shared" si="530"/>
        <v>2026</v>
      </c>
      <c r="O4623" s="2"/>
      <c r="P4623" t="str">
        <f t="shared" si="524"/>
        <v>196946059</v>
      </c>
    </row>
    <row r="4624" spans="1:16" x14ac:dyDescent="0.3">
      <c r="A4624">
        <v>1969</v>
      </c>
      <c r="B4624">
        <v>49</v>
      </c>
      <c r="C4624" t="s">
        <v>15</v>
      </c>
      <c r="D4624" t="s">
        <v>29</v>
      </c>
      <c r="E4624" t="s">
        <v>17</v>
      </c>
      <c r="F4624" t="s">
        <v>18</v>
      </c>
      <c r="G4624" t="s">
        <v>41</v>
      </c>
      <c r="H4624" t="s">
        <v>25</v>
      </c>
      <c r="I4624" s="1">
        <v>2</v>
      </c>
      <c r="J4624" s="2">
        <v>46091</v>
      </c>
      <c r="K4624" s="2">
        <v>46082</v>
      </c>
      <c r="L4624" s="1" t="str">
        <f t="shared" si="528"/>
        <v>ter</v>
      </c>
      <c r="M4624" s="1" t="str">
        <f t="shared" si="529"/>
        <v>mar</v>
      </c>
      <c r="N4624">
        <f t="shared" si="530"/>
        <v>2026</v>
      </c>
      <c r="O4624" s="2"/>
      <c r="P4624" t="str">
        <f t="shared" si="524"/>
        <v>196946091</v>
      </c>
    </row>
    <row r="4625" spans="1:16" x14ac:dyDescent="0.3">
      <c r="A4625">
        <v>1969</v>
      </c>
      <c r="B4625">
        <v>49</v>
      </c>
      <c r="C4625" t="s">
        <v>15</v>
      </c>
      <c r="D4625" t="s">
        <v>29</v>
      </c>
      <c r="E4625" t="s">
        <v>17</v>
      </c>
      <c r="F4625" t="s">
        <v>18</v>
      </c>
      <c r="G4625" t="s">
        <v>41</v>
      </c>
      <c r="H4625" t="s">
        <v>25</v>
      </c>
      <c r="I4625" s="1">
        <v>2</v>
      </c>
      <c r="J4625" s="2">
        <v>46113</v>
      </c>
      <c r="L4625" s="1" t="str">
        <f t="shared" si="528"/>
        <v>qua</v>
      </c>
      <c r="M4625" s="1" t="str">
        <f t="shared" si="529"/>
        <v>abr</v>
      </c>
      <c r="N4625">
        <f t="shared" si="530"/>
        <v>2026</v>
      </c>
      <c r="P4625" t="str">
        <f t="shared" si="524"/>
        <v>196946113</v>
      </c>
    </row>
    <row r="4626" spans="1:16" x14ac:dyDescent="0.3">
      <c r="A4626">
        <v>1969</v>
      </c>
      <c r="B4626">
        <v>49</v>
      </c>
      <c r="C4626" t="s">
        <v>15</v>
      </c>
      <c r="D4626" t="s">
        <v>29</v>
      </c>
      <c r="E4626" t="s">
        <v>17</v>
      </c>
      <c r="F4626" t="s">
        <v>18</v>
      </c>
      <c r="G4626" t="s">
        <v>41</v>
      </c>
      <c r="H4626" t="s">
        <v>25</v>
      </c>
      <c r="I4626" s="1">
        <v>2</v>
      </c>
      <c r="J4626" s="2">
        <v>46114</v>
      </c>
      <c r="L4626" s="1" t="str">
        <f t="shared" si="528"/>
        <v>qui</v>
      </c>
      <c r="M4626" s="1" t="str">
        <f t="shared" si="529"/>
        <v>abr</v>
      </c>
      <c r="N4626">
        <f t="shared" si="530"/>
        <v>2026</v>
      </c>
      <c r="P4626" t="str">
        <f t="shared" si="524"/>
        <v>196946114</v>
      </c>
    </row>
    <row r="4627" spans="1:16" x14ac:dyDescent="0.3">
      <c r="A4627">
        <v>1969</v>
      </c>
      <c r="B4627">
        <v>49</v>
      </c>
      <c r="C4627" t="s">
        <v>15</v>
      </c>
      <c r="D4627" t="s">
        <v>29</v>
      </c>
      <c r="E4627" t="s">
        <v>17</v>
      </c>
      <c r="F4627" t="s">
        <v>18</v>
      </c>
      <c r="G4627" t="s">
        <v>41</v>
      </c>
      <c r="H4627" t="s">
        <v>25</v>
      </c>
      <c r="I4627" s="1">
        <v>2</v>
      </c>
      <c r="J4627" s="2">
        <v>46122</v>
      </c>
      <c r="L4627" s="1" t="str">
        <f t="shared" si="528"/>
        <v>sex</v>
      </c>
      <c r="M4627" s="1" t="str">
        <f t="shared" si="529"/>
        <v>abr</v>
      </c>
      <c r="N4627">
        <f t="shared" si="530"/>
        <v>2026</v>
      </c>
      <c r="P4627" t="str">
        <f t="shared" si="524"/>
        <v>196946122</v>
      </c>
    </row>
    <row r="4628" spans="1:16" x14ac:dyDescent="0.3">
      <c r="A4628">
        <v>1969</v>
      </c>
      <c r="B4628">
        <v>49</v>
      </c>
      <c r="C4628" t="s">
        <v>15</v>
      </c>
      <c r="D4628" t="s">
        <v>29</v>
      </c>
      <c r="E4628" t="s">
        <v>17</v>
      </c>
      <c r="F4628" t="s">
        <v>18</v>
      </c>
      <c r="G4628" t="s">
        <v>41</v>
      </c>
      <c r="H4628" t="s">
        <v>25</v>
      </c>
      <c r="I4628" s="1">
        <v>2</v>
      </c>
      <c r="J4628" s="2">
        <v>46127</v>
      </c>
      <c r="L4628" s="1" t="str">
        <f t="shared" si="528"/>
        <v>qua</v>
      </c>
      <c r="M4628" s="1" t="str">
        <f t="shared" si="529"/>
        <v>abr</v>
      </c>
      <c r="N4628">
        <f t="shared" si="530"/>
        <v>2026</v>
      </c>
      <c r="P4628" t="str">
        <f t="shared" si="524"/>
        <v>196946127</v>
      </c>
    </row>
    <row r="4629" spans="1:16" x14ac:dyDescent="0.3">
      <c r="A4629">
        <v>1969</v>
      </c>
      <c r="B4629">
        <v>49</v>
      </c>
      <c r="C4629" t="s">
        <v>15</v>
      </c>
      <c r="D4629" t="s">
        <v>29</v>
      </c>
      <c r="E4629" t="s">
        <v>17</v>
      </c>
      <c r="F4629" t="s">
        <v>18</v>
      </c>
      <c r="G4629" t="s">
        <v>41</v>
      </c>
      <c r="H4629" t="s">
        <v>25</v>
      </c>
      <c r="I4629" s="1">
        <v>2</v>
      </c>
      <c r="J4629" s="2">
        <v>46143</v>
      </c>
      <c r="L4629" s="1" t="str">
        <f t="shared" si="528"/>
        <v>sex</v>
      </c>
      <c r="M4629" s="1" t="str">
        <f t="shared" si="529"/>
        <v>mai</v>
      </c>
      <c r="N4629">
        <f t="shared" si="530"/>
        <v>2026</v>
      </c>
      <c r="P4629" t="str">
        <f t="shared" si="524"/>
        <v>196946143</v>
      </c>
    </row>
    <row r="4630" spans="1:16" x14ac:dyDescent="0.3">
      <c r="A4630">
        <v>1969</v>
      </c>
      <c r="B4630">
        <v>49</v>
      </c>
      <c r="C4630" t="s">
        <v>15</v>
      </c>
      <c r="D4630" t="s">
        <v>29</v>
      </c>
      <c r="E4630" t="s">
        <v>17</v>
      </c>
      <c r="F4630" t="s">
        <v>18</v>
      </c>
      <c r="G4630" t="s">
        <v>41</v>
      </c>
      <c r="H4630" t="s">
        <v>25</v>
      </c>
      <c r="I4630" s="1">
        <v>2</v>
      </c>
      <c r="J4630" s="2">
        <v>46144</v>
      </c>
      <c r="L4630" s="1" t="str">
        <f t="shared" si="528"/>
        <v>sáb</v>
      </c>
      <c r="M4630" s="1" t="str">
        <f t="shared" si="529"/>
        <v>mai</v>
      </c>
      <c r="N4630">
        <f t="shared" si="530"/>
        <v>2026</v>
      </c>
      <c r="P4630" t="str">
        <f t="shared" si="524"/>
        <v>196946144</v>
      </c>
    </row>
    <row r="4631" spans="1:16" x14ac:dyDescent="0.3">
      <c r="A4631">
        <v>1969</v>
      </c>
      <c r="B4631">
        <v>49</v>
      </c>
      <c r="C4631" t="s">
        <v>15</v>
      </c>
      <c r="D4631" t="s">
        <v>29</v>
      </c>
      <c r="E4631" t="s">
        <v>17</v>
      </c>
      <c r="F4631" t="s">
        <v>18</v>
      </c>
      <c r="G4631" t="s">
        <v>41</v>
      </c>
      <c r="H4631" t="s">
        <v>25</v>
      </c>
      <c r="I4631" s="1">
        <v>2</v>
      </c>
      <c r="J4631" s="2">
        <v>46152</v>
      </c>
      <c r="L4631" s="1" t="str">
        <f t="shared" si="528"/>
        <v>dom</v>
      </c>
      <c r="M4631" s="1" t="str">
        <f t="shared" si="529"/>
        <v>mai</v>
      </c>
      <c r="N4631">
        <f t="shared" si="530"/>
        <v>2026</v>
      </c>
      <c r="P4631" t="str">
        <f t="shared" si="524"/>
        <v>196946152</v>
      </c>
    </row>
    <row r="4632" spans="1:16" x14ac:dyDescent="0.3">
      <c r="A4632">
        <v>1969</v>
      </c>
      <c r="B4632">
        <v>49</v>
      </c>
      <c r="C4632" t="s">
        <v>15</v>
      </c>
      <c r="D4632" t="s">
        <v>29</v>
      </c>
      <c r="E4632" t="s">
        <v>17</v>
      </c>
      <c r="F4632" t="s">
        <v>18</v>
      </c>
      <c r="G4632" t="s">
        <v>41</v>
      </c>
      <c r="H4632" t="s">
        <v>25</v>
      </c>
      <c r="I4632" s="1">
        <v>2</v>
      </c>
      <c r="J4632" s="2">
        <v>46157</v>
      </c>
      <c r="L4632" s="1" t="str">
        <f t="shared" si="528"/>
        <v>sex</v>
      </c>
      <c r="M4632" s="1" t="str">
        <f t="shared" si="529"/>
        <v>mai</v>
      </c>
      <c r="N4632">
        <f t="shared" si="530"/>
        <v>2026</v>
      </c>
      <c r="P4632" t="str">
        <f t="shared" si="524"/>
        <v>196946157</v>
      </c>
    </row>
    <row r="4633" spans="1:16" x14ac:dyDescent="0.3">
      <c r="A4633">
        <v>1970</v>
      </c>
      <c r="B4633">
        <v>43</v>
      </c>
      <c r="C4633" t="s">
        <v>15</v>
      </c>
      <c r="D4633" t="s">
        <v>29</v>
      </c>
      <c r="E4633" t="s">
        <v>17</v>
      </c>
      <c r="F4633" t="s">
        <v>18</v>
      </c>
      <c r="G4633" t="s">
        <v>41</v>
      </c>
      <c r="H4633" t="s">
        <v>25</v>
      </c>
      <c r="I4633" s="1">
        <v>2</v>
      </c>
      <c r="J4633" s="2">
        <v>45887</v>
      </c>
      <c r="K4633" s="2">
        <v>45870</v>
      </c>
      <c r="L4633" s="1" t="str">
        <f t="shared" si="528"/>
        <v>seg</v>
      </c>
      <c r="M4633" s="1" t="str">
        <f t="shared" si="529"/>
        <v>ago</v>
      </c>
      <c r="N4633">
        <f t="shared" si="530"/>
        <v>2025</v>
      </c>
      <c r="O4633" s="2"/>
      <c r="P4633" t="str">
        <f t="shared" si="524"/>
        <v>197045887</v>
      </c>
    </row>
    <row r="4634" spans="1:16" x14ac:dyDescent="0.3">
      <c r="A4634">
        <v>1970</v>
      </c>
      <c r="B4634">
        <v>43</v>
      </c>
      <c r="C4634" t="s">
        <v>15</v>
      </c>
      <c r="D4634" t="s">
        <v>29</v>
      </c>
      <c r="E4634" t="s">
        <v>17</v>
      </c>
      <c r="F4634" t="s">
        <v>18</v>
      </c>
      <c r="G4634" t="s">
        <v>41</v>
      </c>
      <c r="H4634" t="s">
        <v>25</v>
      </c>
      <c r="I4634" s="1">
        <v>2</v>
      </c>
      <c r="J4634" s="2">
        <v>45971</v>
      </c>
      <c r="K4634" s="2">
        <v>45962</v>
      </c>
      <c r="L4634" s="1" t="str">
        <f t="shared" si="528"/>
        <v>seg</v>
      </c>
      <c r="M4634" s="1" t="str">
        <f t="shared" si="529"/>
        <v>nov</v>
      </c>
      <c r="N4634">
        <f t="shared" si="530"/>
        <v>2025</v>
      </c>
      <c r="O4634" s="2"/>
      <c r="P4634" t="str">
        <f t="shared" si="524"/>
        <v>197045971</v>
      </c>
    </row>
    <row r="4635" spans="1:16" x14ac:dyDescent="0.3">
      <c r="A4635">
        <v>1970</v>
      </c>
      <c r="B4635">
        <v>43</v>
      </c>
      <c r="C4635" t="s">
        <v>15</v>
      </c>
      <c r="D4635" t="s">
        <v>29</v>
      </c>
      <c r="E4635" t="s">
        <v>17</v>
      </c>
      <c r="F4635" t="s">
        <v>18</v>
      </c>
      <c r="G4635" t="s">
        <v>41</v>
      </c>
      <c r="H4635" t="s">
        <v>25</v>
      </c>
      <c r="I4635" s="1">
        <v>2</v>
      </c>
      <c r="J4635" s="2">
        <v>45973</v>
      </c>
      <c r="K4635" s="2">
        <v>45962</v>
      </c>
      <c r="L4635" s="1" t="str">
        <f t="shared" si="528"/>
        <v>qua</v>
      </c>
      <c r="M4635" s="1" t="str">
        <f t="shared" si="529"/>
        <v>nov</v>
      </c>
      <c r="N4635">
        <f t="shared" si="530"/>
        <v>2025</v>
      </c>
      <c r="O4635" s="2"/>
      <c r="P4635" t="str">
        <f t="shared" si="524"/>
        <v>197045973</v>
      </c>
    </row>
    <row r="4636" spans="1:16" x14ac:dyDescent="0.3">
      <c r="A4636">
        <v>1970</v>
      </c>
      <c r="B4636">
        <v>43</v>
      </c>
      <c r="C4636" t="s">
        <v>15</v>
      </c>
      <c r="D4636" t="s">
        <v>29</v>
      </c>
      <c r="E4636" t="s">
        <v>17</v>
      </c>
      <c r="F4636" t="s">
        <v>18</v>
      </c>
      <c r="G4636" t="s">
        <v>41</v>
      </c>
      <c r="H4636" t="s">
        <v>25</v>
      </c>
      <c r="I4636" s="1">
        <v>2</v>
      </c>
      <c r="J4636" s="2">
        <v>45984</v>
      </c>
      <c r="K4636" s="2">
        <v>45962</v>
      </c>
      <c r="L4636" s="1" t="str">
        <f t="shared" si="528"/>
        <v>dom</v>
      </c>
      <c r="M4636" s="1" t="str">
        <f t="shared" si="529"/>
        <v>nov</v>
      </c>
      <c r="N4636">
        <f t="shared" si="530"/>
        <v>2025</v>
      </c>
      <c r="O4636" s="2"/>
      <c r="P4636" t="str">
        <f t="shared" si="524"/>
        <v>197045984</v>
      </c>
    </row>
    <row r="4637" spans="1:16" x14ac:dyDescent="0.3">
      <c r="A4637">
        <v>1970</v>
      </c>
      <c r="B4637">
        <v>43</v>
      </c>
      <c r="C4637" t="s">
        <v>15</v>
      </c>
      <c r="D4637" t="s">
        <v>29</v>
      </c>
      <c r="E4637" t="s">
        <v>17</v>
      </c>
      <c r="F4637" t="s">
        <v>18</v>
      </c>
      <c r="G4637" t="s">
        <v>41</v>
      </c>
      <c r="H4637" t="s">
        <v>25</v>
      </c>
      <c r="I4637" s="1">
        <v>2</v>
      </c>
      <c r="J4637" s="2">
        <v>46091</v>
      </c>
      <c r="K4637" s="2">
        <v>46082</v>
      </c>
      <c r="L4637" s="1" t="str">
        <f t="shared" si="528"/>
        <v>ter</v>
      </c>
      <c r="M4637" s="1" t="str">
        <f t="shared" si="529"/>
        <v>mar</v>
      </c>
      <c r="N4637">
        <f t="shared" si="530"/>
        <v>2026</v>
      </c>
      <c r="O4637" s="2"/>
      <c r="P4637" t="str">
        <f t="shared" si="524"/>
        <v>197046091</v>
      </c>
    </row>
    <row r="4638" spans="1:16" x14ac:dyDescent="0.3">
      <c r="A4638">
        <v>1970</v>
      </c>
      <c r="B4638">
        <v>43</v>
      </c>
      <c r="C4638" t="s">
        <v>15</v>
      </c>
      <c r="D4638" t="s">
        <v>29</v>
      </c>
      <c r="E4638" t="s">
        <v>17</v>
      </c>
      <c r="F4638" t="s">
        <v>18</v>
      </c>
      <c r="G4638" t="s">
        <v>41</v>
      </c>
      <c r="H4638" t="s">
        <v>25</v>
      </c>
      <c r="I4638" s="1">
        <v>2</v>
      </c>
      <c r="J4638" s="2">
        <v>46119</v>
      </c>
      <c r="K4638" s="2">
        <v>46113</v>
      </c>
      <c r="L4638" s="1" t="str">
        <f t="shared" si="528"/>
        <v>ter</v>
      </c>
      <c r="M4638" s="1" t="str">
        <f t="shared" si="529"/>
        <v>abr</v>
      </c>
      <c r="N4638">
        <f t="shared" si="530"/>
        <v>2026</v>
      </c>
      <c r="O4638" s="2"/>
      <c r="P4638" t="str">
        <f t="shared" si="524"/>
        <v>197046119</v>
      </c>
    </row>
    <row r="4639" spans="1:16" x14ac:dyDescent="0.3">
      <c r="A4639">
        <v>1970</v>
      </c>
      <c r="B4639">
        <v>43</v>
      </c>
      <c r="C4639" t="s">
        <v>15</v>
      </c>
      <c r="D4639" t="s">
        <v>29</v>
      </c>
      <c r="E4639" t="s">
        <v>17</v>
      </c>
      <c r="F4639" t="s">
        <v>18</v>
      </c>
      <c r="G4639" t="s">
        <v>41</v>
      </c>
      <c r="H4639" t="s">
        <v>25</v>
      </c>
      <c r="I4639" s="1">
        <v>2</v>
      </c>
      <c r="J4639" s="2">
        <v>46199</v>
      </c>
      <c r="K4639" s="2">
        <v>46174</v>
      </c>
      <c r="L4639" s="1" t="str">
        <f t="shared" si="528"/>
        <v>sex</v>
      </c>
      <c r="M4639" s="1" t="str">
        <f t="shared" si="529"/>
        <v>jun</v>
      </c>
      <c r="N4639">
        <f t="shared" si="530"/>
        <v>2026</v>
      </c>
      <c r="O4639" s="2"/>
      <c r="P4639" t="str">
        <f t="shared" si="524"/>
        <v>197046199</v>
      </c>
    </row>
    <row r="4640" spans="1:16" x14ac:dyDescent="0.3">
      <c r="A4640">
        <v>1971</v>
      </c>
      <c r="B4640">
        <v>30</v>
      </c>
      <c r="C4640" t="s">
        <v>26</v>
      </c>
      <c r="D4640" t="s">
        <v>27</v>
      </c>
      <c r="E4640" t="s">
        <v>17</v>
      </c>
      <c r="F4640" t="s">
        <v>18</v>
      </c>
      <c r="G4640" t="s">
        <v>41</v>
      </c>
      <c r="H4640" t="s">
        <v>25</v>
      </c>
      <c r="I4640" s="1">
        <v>2</v>
      </c>
      <c r="J4640" s="2">
        <v>45880</v>
      </c>
      <c r="K4640" s="2">
        <v>45870</v>
      </c>
      <c r="L4640" s="1" t="str">
        <f t="shared" si="528"/>
        <v>seg</v>
      </c>
      <c r="M4640" s="1" t="str">
        <f t="shared" si="529"/>
        <v>ago</v>
      </c>
      <c r="N4640">
        <f t="shared" si="530"/>
        <v>2025</v>
      </c>
      <c r="O4640" s="2"/>
      <c r="P4640" t="str">
        <f t="shared" si="524"/>
        <v>197145880</v>
      </c>
    </row>
    <row r="4641" spans="1:16" x14ac:dyDescent="0.3">
      <c r="A4641">
        <v>1971</v>
      </c>
      <c r="B4641">
        <v>30</v>
      </c>
      <c r="C4641" t="s">
        <v>26</v>
      </c>
      <c r="D4641" t="s">
        <v>27</v>
      </c>
      <c r="E4641" t="s">
        <v>17</v>
      </c>
      <c r="F4641" t="s">
        <v>18</v>
      </c>
      <c r="G4641" t="s">
        <v>41</v>
      </c>
      <c r="H4641" t="s">
        <v>25</v>
      </c>
      <c r="I4641" s="1">
        <v>2</v>
      </c>
      <c r="J4641" s="2">
        <v>45920</v>
      </c>
      <c r="K4641" s="2">
        <v>45901</v>
      </c>
      <c r="L4641" s="1" t="str">
        <f t="shared" si="528"/>
        <v>sáb</v>
      </c>
      <c r="M4641" s="1" t="str">
        <f t="shared" si="529"/>
        <v>set</v>
      </c>
      <c r="N4641">
        <f t="shared" si="530"/>
        <v>2025</v>
      </c>
      <c r="O4641" s="2"/>
      <c r="P4641" t="str">
        <f t="shared" si="524"/>
        <v>197145920</v>
      </c>
    </row>
    <row r="4642" spans="1:16" x14ac:dyDescent="0.3">
      <c r="A4642">
        <v>1971</v>
      </c>
      <c r="B4642">
        <v>30</v>
      </c>
      <c r="C4642" t="s">
        <v>26</v>
      </c>
      <c r="D4642" t="s">
        <v>27</v>
      </c>
      <c r="E4642" t="s">
        <v>17</v>
      </c>
      <c r="F4642" t="s">
        <v>18</v>
      </c>
      <c r="G4642" t="s">
        <v>41</v>
      </c>
      <c r="H4642" t="s">
        <v>25</v>
      </c>
      <c r="I4642" s="1">
        <v>2</v>
      </c>
      <c r="J4642" s="2">
        <v>45930</v>
      </c>
      <c r="K4642" s="2">
        <v>45901</v>
      </c>
      <c r="L4642" s="1" t="str">
        <f t="shared" si="528"/>
        <v>ter</v>
      </c>
      <c r="M4642" s="1" t="str">
        <f t="shared" si="529"/>
        <v>set</v>
      </c>
      <c r="N4642">
        <f t="shared" si="530"/>
        <v>2025</v>
      </c>
      <c r="O4642" s="2"/>
      <c r="P4642" t="str">
        <f t="shared" si="524"/>
        <v>197145930</v>
      </c>
    </row>
    <row r="4643" spans="1:16" x14ac:dyDescent="0.3">
      <c r="A4643">
        <v>1971</v>
      </c>
      <c r="B4643">
        <v>30</v>
      </c>
      <c r="C4643" t="s">
        <v>26</v>
      </c>
      <c r="D4643" t="s">
        <v>27</v>
      </c>
      <c r="E4643" t="s">
        <v>17</v>
      </c>
      <c r="F4643" t="s">
        <v>18</v>
      </c>
      <c r="G4643" t="s">
        <v>41</v>
      </c>
      <c r="H4643" t="s">
        <v>25</v>
      </c>
      <c r="I4643" s="1">
        <v>2</v>
      </c>
      <c r="J4643" s="2">
        <v>45965</v>
      </c>
      <c r="K4643" s="2">
        <v>45962</v>
      </c>
      <c r="L4643" s="1" t="str">
        <f t="shared" si="528"/>
        <v>ter</v>
      </c>
      <c r="M4643" s="1" t="str">
        <f t="shared" si="529"/>
        <v>nov</v>
      </c>
      <c r="N4643">
        <f t="shared" si="530"/>
        <v>2025</v>
      </c>
      <c r="O4643" s="2"/>
      <c r="P4643" t="str">
        <f t="shared" si="524"/>
        <v>197145965</v>
      </c>
    </row>
    <row r="4644" spans="1:16" x14ac:dyDescent="0.3">
      <c r="A4644">
        <v>1971</v>
      </c>
      <c r="B4644">
        <v>30</v>
      </c>
      <c r="C4644" t="s">
        <v>26</v>
      </c>
      <c r="D4644" t="s">
        <v>27</v>
      </c>
      <c r="E4644" t="s">
        <v>17</v>
      </c>
      <c r="F4644" t="s">
        <v>18</v>
      </c>
      <c r="G4644" t="s">
        <v>41</v>
      </c>
      <c r="H4644" t="s">
        <v>25</v>
      </c>
      <c r="I4644" s="1">
        <v>2</v>
      </c>
      <c r="J4644" s="2">
        <v>46019</v>
      </c>
      <c r="K4644" s="2">
        <v>45992</v>
      </c>
      <c r="L4644" s="1" t="str">
        <f t="shared" si="528"/>
        <v>dom</v>
      </c>
      <c r="M4644" s="1" t="str">
        <f t="shared" si="529"/>
        <v>dez</v>
      </c>
      <c r="N4644">
        <f t="shared" si="530"/>
        <v>2025</v>
      </c>
      <c r="O4644" s="2"/>
      <c r="P4644" t="str">
        <f t="shared" si="524"/>
        <v>197146019</v>
      </c>
    </row>
    <row r="4645" spans="1:16" x14ac:dyDescent="0.3">
      <c r="A4645">
        <v>1972</v>
      </c>
      <c r="B4645">
        <v>49</v>
      </c>
      <c r="C4645" t="s">
        <v>15</v>
      </c>
      <c r="D4645" t="s">
        <v>16</v>
      </c>
      <c r="E4645" t="s">
        <v>17</v>
      </c>
      <c r="F4645" t="s">
        <v>21</v>
      </c>
      <c r="G4645" t="s">
        <v>41</v>
      </c>
      <c r="H4645" t="s">
        <v>25</v>
      </c>
      <c r="I4645" s="1">
        <v>3</v>
      </c>
      <c r="J4645" s="2">
        <v>45884</v>
      </c>
      <c r="K4645" s="2">
        <v>45870</v>
      </c>
      <c r="L4645" s="1" t="str">
        <f t="shared" si="528"/>
        <v>sex</v>
      </c>
      <c r="M4645" s="1" t="str">
        <f t="shared" si="529"/>
        <v>ago</v>
      </c>
      <c r="N4645">
        <f t="shared" si="530"/>
        <v>2025</v>
      </c>
      <c r="O4645" s="2"/>
      <c r="P4645" t="str">
        <f t="shared" si="524"/>
        <v>197245884</v>
      </c>
    </row>
    <row r="4646" spans="1:16" x14ac:dyDescent="0.3">
      <c r="A4646">
        <v>1972</v>
      </c>
      <c r="B4646">
        <v>49</v>
      </c>
      <c r="C4646" t="s">
        <v>15</v>
      </c>
      <c r="D4646" t="s">
        <v>16</v>
      </c>
      <c r="E4646" t="s">
        <v>17</v>
      </c>
      <c r="F4646" t="s">
        <v>21</v>
      </c>
      <c r="G4646" t="s">
        <v>41</v>
      </c>
      <c r="H4646" t="s">
        <v>25</v>
      </c>
      <c r="I4646" s="1">
        <v>3</v>
      </c>
      <c r="J4646" s="2">
        <v>45888</v>
      </c>
      <c r="K4646" s="2">
        <v>45870</v>
      </c>
      <c r="L4646" s="1" t="str">
        <f t="shared" si="528"/>
        <v>ter</v>
      </c>
      <c r="M4646" s="1" t="str">
        <f t="shared" si="529"/>
        <v>ago</v>
      </c>
      <c r="N4646">
        <f t="shared" si="530"/>
        <v>2025</v>
      </c>
      <c r="O4646" s="2"/>
      <c r="P4646" t="str">
        <f t="shared" si="524"/>
        <v>197245888</v>
      </c>
    </row>
    <row r="4647" spans="1:16" x14ac:dyDescent="0.3">
      <c r="A4647">
        <v>1972</v>
      </c>
      <c r="B4647">
        <v>49</v>
      </c>
      <c r="C4647" t="s">
        <v>15</v>
      </c>
      <c r="D4647" t="s">
        <v>16</v>
      </c>
      <c r="E4647" t="s">
        <v>17</v>
      </c>
      <c r="F4647" t="s">
        <v>21</v>
      </c>
      <c r="G4647" t="s">
        <v>41</v>
      </c>
      <c r="H4647" t="s">
        <v>25</v>
      </c>
      <c r="I4647" s="1">
        <v>3</v>
      </c>
      <c r="J4647" s="2">
        <v>45968</v>
      </c>
      <c r="K4647" s="2">
        <v>45962</v>
      </c>
      <c r="L4647" s="1" t="str">
        <f t="shared" si="528"/>
        <v>sex</v>
      </c>
      <c r="M4647" s="1" t="str">
        <f t="shared" si="529"/>
        <v>nov</v>
      </c>
      <c r="N4647">
        <f t="shared" si="530"/>
        <v>2025</v>
      </c>
      <c r="O4647" s="2"/>
      <c r="P4647" t="str">
        <f t="shared" si="524"/>
        <v>197245968</v>
      </c>
    </row>
    <row r="4648" spans="1:16" x14ac:dyDescent="0.3">
      <c r="A4648">
        <v>1972</v>
      </c>
      <c r="B4648">
        <v>49</v>
      </c>
      <c r="C4648" t="s">
        <v>15</v>
      </c>
      <c r="D4648" t="s">
        <v>16</v>
      </c>
      <c r="E4648" t="s">
        <v>17</v>
      </c>
      <c r="F4648" t="s">
        <v>21</v>
      </c>
      <c r="G4648" t="s">
        <v>41</v>
      </c>
      <c r="H4648" t="s">
        <v>25</v>
      </c>
      <c r="I4648" s="1">
        <v>3</v>
      </c>
      <c r="J4648" s="2">
        <v>46073</v>
      </c>
      <c r="K4648" s="2">
        <v>46054</v>
      </c>
      <c r="L4648" s="1" t="str">
        <f t="shared" si="528"/>
        <v>sex</v>
      </c>
      <c r="M4648" s="1" t="str">
        <f t="shared" si="529"/>
        <v>fev</v>
      </c>
      <c r="N4648">
        <f t="shared" si="530"/>
        <v>2026</v>
      </c>
      <c r="O4648" s="2"/>
      <c r="P4648" t="str">
        <f t="shared" si="524"/>
        <v>197246073</v>
      </c>
    </row>
    <row r="4649" spans="1:16" x14ac:dyDescent="0.3">
      <c r="A4649">
        <v>1972</v>
      </c>
      <c r="B4649">
        <v>49</v>
      </c>
      <c r="C4649" t="s">
        <v>15</v>
      </c>
      <c r="D4649" t="s">
        <v>16</v>
      </c>
      <c r="E4649" t="s">
        <v>17</v>
      </c>
      <c r="F4649" t="s">
        <v>21</v>
      </c>
      <c r="G4649" t="s">
        <v>41</v>
      </c>
      <c r="H4649" t="s">
        <v>25</v>
      </c>
      <c r="I4649" s="1">
        <v>3</v>
      </c>
      <c r="J4649" s="2">
        <v>46098</v>
      </c>
      <c r="K4649" s="2">
        <v>46082</v>
      </c>
      <c r="L4649" s="1" t="str">
        <f t="shared" si="528"/>
        <v>ter</v>
      </c>
      <c r="M4649" s="1" t="str">
        <f t="shared" si="529"/>
        <v>mar</v>
      </c>
      <c r="N4649">
        <f t="shared" si="530"/>
        <v>2026</v>
      </c>
      <c r="O4649" s="2"/>
      <c r="P4649" t="str">
        <f t="shared" si="524"/>
        <v>197246098</v>
      </c>
    </row>
    <row r="4650" spans="1:16" x14ac:dyDescent="0.3">
      <c r="A4650">
        <v>1973</v>
      </c>
      <c r="B4650">
        <v>25</v>
      </c>
      <c r="C4650" t="s">
        <v>26</v>
      </c>
      <c r="D4650" t="s">
        <v>31</v>
      </c>
      <c r="E4650" t="s">
        <v>32</v>
      </c>
      <c r="F4650" t="s">
        <v>18</v>
      </c>
      <c r="G4650" t="s">
        <v>41</v>
      </c>
      <c r="H4650" t="s">
        <v>25</v>
      </c>
      <c r="I4650" s="1">
        <v>3</v>
      </c>
      <c r="J4650" s="2">
        <v>45826</v>
      </c>
      <c r="K4650" s="2">
        <v>45809</v>
      </c>
      <c r="L4650" s="1" t="str">
        <f t="shared" si="528"/>
        <v>qua</v>
      </c>
      <c r="M4650" s="1" t="str">
        <f t="shared" si="529"/>
        <v>jun</v>
      </c>
      <c r="N4650">
        <f t="shared" si="530"/>
        <v>2025</v>
      </c>
      <c r="O4650" s="2"/>
      <c r="P4650" t="str">
        <f t="shared" si="524"/>
        <v>197345826</v>
      </c>
    </row>
    <row r="4651" spans="1:16" x14ac:dyDescent="0.3">
      <c r="A4651">
        <v>1973</v>
      </c>
      <c r="B4651">
        <v>25</v>
      </c>
      <c r="C4651" t="s">
        <v>26</v>
      </c>
      <c r="D4651" t="s">
        <v>31</v>
      </c>
      <c r="E4651" t="s">
        <v>32</v>
      </c>
      <c r="F4651" t="s">
        <v>18</v>
      </c>
      <c r="G4651" t="s">
        <v>41</v>
      </c>
      <c r="H4651" t="s">
        <v>25</v>
      </c>
      <c r="I4651" s="1">
        <v>3</v>
      </c>
      <c r="J4651" s="2">
        <v>45891</v>
      </c>
      <c r="K4651" s="2">
        <v>45870</v>
      </c>
      <c r="L4651" s="1" t="str">
        <f t="shared" si="528"/>
        <v>sex</v>
      </c>
      <c r="M4651" s="1" t="str">
        <f t="shared" si="529"/>
        <v>ago</v>
      </c>
      <c r="N4651">
        <f t="shared" si="530"/>
        <v>2025</v>
      </c>
      <c r="O4651" s="2"/>
      <c r="P4651" t="str">
        <f t="shared" si="524"/>
        <v>197345891</v>
      </c>
    </row>
    <row r="4652" spans="1:16" x14ac:dyDescent="0.3">
      <c r="A4652">
        <v>1973</v>
      </c>
      <c r="B4652">
        <v>25</v>
      </c>
      <c r="C4652" t="s">
        <v>26</v>
      </c>
      <c r="D4652" t="s">
        <v>31</v>
      </c>
      <c r="E4652" t="s">
        <v>32</v>
      </c>
      <c r="F4652" t="s">
        <v>18</v>
      </c>
      <c r="G4652" t="s">
        <v>41</v>
      </c>
      <c r="H4652" t="s">
        <v>25</v>
      </c>
      <c r="I4652" s="1">
        <v>3</v>
      </c>
      <c r="J4652" s="2">
        <v>46005</v>
      </c>
      <c r="K4652" s="2">
        <v>45992</v>
      </c>
      <c r="L4652" s="1" t="str">
        <f t="shared" ref="L4652:L4678" si="531">TEXT(J4652,"ddd")</f>
        <v>dom</v>
      </c>
      <c r="M4652" s="1" t="str">
        <f t="shared" ref="M4652:M4678" si="532">TEXT($J4652,"mmm")</f>
        <v>dez</v>
      </c>
      <c r="N4652">
        <f t="shared" ref="N4652:N4678" si="533">YEAR(J4652)</f>
        <v>2025</v>
      </c>
      <c r="O4652" s="2"/>
      <c r="P4652" t="str">
        <f t="shared" si="524"/>
        <v>197346005</v>
      </c>
    </row>
    <row r="4653" spans="1:16" x14ac:dyDescent="0.3">
      <c r="A4653">
        <v>1973</v>
      </c>
      <c r="B4653">
        <v>25</v>
      </c>
      <c r="C4653" t="s">
        <v>26</v>
      </c>
      <c r="D4653" t="s">
        <v>31</v>
      </c>
      <c r="E4653" t="s">
        <v>32</v>
      </c>
      <c r="F4653" t="s">
        <v>18</v>
      </c>
      <c r="G4653" t="s">
        <v>41</v>
      </c>
      <c r="H4653" t="s">
        <v>25</v>
      </c>
      <c r="I4653" s="1">
        <v>3</v>
      </c>
      <c r="J4653" s="2">
        <v>46079</v>
      </c>
      <c r="K4653" s="2">
        <v>46054</v>
      </c>
      <c r="L4653" s="1" t="str">
        <f t="shared" si="531"/>
        <v>qui</v>
      </c>
      <c r="M4653" s="1" t="str">
        <f t="shared" si="532"/>
        <v>fev</v>
      </c>
      <c r="N4653">
        <f t="shared" si="533"/>
        <v>2026</v>
      </c>
      <c r="O4653" s="2"/>
      <c r="P4653" t="str">
        <f t="shared" si="524"/>
        <v>197346079</v>
      </c>
    </row>
    <row r="4654" spans="1:16" x14ac:dyDescent="0.3">
      <c r="A4654">
        <v>1973</v>
      </c>
      <c r="B4654">
        <v>25</v>
      </c>
      <c r="C4654" t="s">
        <v>26</v>
      </c>
      <c r="D4654" t="s">
        <v>31</v>
      </c>
      <c r="E4654" t="s">
        <v>32</v>
      </c>
      <c r="F4654" t="s">
        <v>18</v>
      </c>
      <c r="G4654" t="s">
        <v>41</v>
      </c>
      <c r="H4654" t="s">
        <v>25</v>
      </c>
      <c r="I4654" s="1">
        <v>3</v>
      </c>
      <c r="J4654" s="2">
        <v>46103</v>
      </c>
      <c r="K4654" s="2">
        <v>46082</v>
      </c>
      <c r="L4654" s="1" t="str">
        <f t="shared" si="531"/>
        <v>dom</v>
      </c>
      <c r="M4654" s="1" t="str">
        <f t="shared" si="532"/>
        <v>mar</v>
      </c>
      <c r="N4654">
        <f t="shared" si="533"/>
        <v>2026</v>
      </c>
      <c r="O4654" s="2"/>
      <c r="P4654" t="str">
        <f t="shared" si="524"/>
        <v>197346103</v>
      </c>
    </row>
    <row r="4655" spans="1:16" x14ac:dyDescent="0.3">
      <c r="A4655">
        <v>1974</v>
      </c>
      <c r="B4655">
        <v>27</v>
      </c>
      <c r="C4655" t="s">
        <v>26</v>
      </c>
      <c r="D4655" t="s">
        <v>16</v>
      </c>
      <c r="E4655" t="s">
        <v>17</v>
      </c>
      <c r="F4655" t="s">
        <v>21</v>
      </c>
      <c r="G4655" t="s">
        <v>41</v>
      </c>
      <c r="H4655" t="s">
        <v>25</v>
      </c>
      <c r="I4655" s="1">
        <v>3</v>
      </c>
      <c r="J4655" s="2">
        <v>45817</v>
      </c>
      <c r="K4655" s="2">
        <v>45809</v>
      </c>
      <c r="L4655" s="1" t="str">
        <f t="shared" si="531"/>
        <v>seg</v>
      </c>
      <c r="M4655" s="1" t="str">
        <f t="shared" si="532"/>
        <v>jun</v>
      </c>
      <c r="N4655">
        <f t="shared" si="533"/>
        <v>2025</v>
      </c>
      <c r="O4655" s="2"/>
      <c r="P4655" t="str">
        <f t="shared" si="524"/>
        <v>197445817</v>
      </c>
    </row>
    <row r="4656" spans="1:16" x14ac:dyDescent="0.3">
      <c r="A4656">
        <v>1974</v>
      </c>
      <c r="B4656">
        <v>27</v>
      </c>
      <c r="C4656" t="s">
        <v>26</v>
      </c>
      <c r="D4656" t="s">
        <v>16</v>
      </c>
      <c r="E4656" t="s">
        <v>17</v>
      </c>
      <c r="F4656" t="s">
        <v>21</v>
      </c>
      <c r="G4656" t="s">
        <v>41</v>
      </c>
      <c r="H4656" t="s">
        <v>25</v>
      </c>
      <c r="I4656" s="1">
        <v>3</v>
      </c>
      <c r="J4656" s="2">
        <v>45833</v>
      </c>
      <c r="K4656" s="2">
        <v>45809</v>
      </c>
      <c r="L4656" s="1" t="str">
        <f t="shared" si="531"/>
        <v>qua</v>
      </c>
      <c r="M4656" s="1" t="str">
        <f t="shared" si="532"/>
        <v>jun</v>
      </c>
      <c r="N4656">
        <f t="shared" si="533"/>
        <v>2025</v>
      </c>
      <c r="O4656" s="2"/>
      <c r="P4656" t="str">
        <f t="shared" si="524"/>
        <v>197445833</v>
      </c>
    </row>
    <row r="4657" spans="1:16" x14ac:dyDescent="0.3">
      <c r="A4657">
        <v>1974</v>
      </c>
      <c r="B4657">
        <v>27</v>
      </c>
      <c r="C4657" t="s">
        <v>26</v>
      </c>
      <c r="D4657" t="s">
        <v>16</v>
      </c>
      <c r="E4657" t="s">
        <v>17</v>
      </c>
      <c r="F4657" t="s">
        <v>21</v>
      </c>
      <c r="G4657" t="s">
        <v>41</v>
      </c>
      <c r="H4657" t="s">
        <v>25</v>
      </c>
      <c r="I4657" s="1">
        <v>3</v>
      </c>
      <c r="J4657" s="2">
        <v>45863</v>
      </c>
      <c r="K4657" s="2">
        <v>45839</v>
      </c>
      <c r="L4657" s="1" t="str">
        <f t="shared" si="531"/>
        <v>sex</v>
      </c>
      <c r="M4657" s="1" t="str">
        <f t="shared" si="532"/>
        <v>jul</v>
      </c>
      <c r="N4657">
        <f t="shared" si="533"/>
        <v>2025</v>
      </c>
      <c r="O4657" s="2"/>
      <c r="P4657" t="str">
        <f t="shared" si="524"/>
        <v>197445863</v>
      </c>
    </row>
    <row r="4658" spans="1:16" x14ac:dyDescent="0.3">
      <c r="A4658">
        <v>1974</v>
      </c>
      <c r="B4658">
        <v>27</v>
      </c>
      <c r="C4658" t="s">
        <v>26</v>
      </c>
      <c r="D4658" t="s">
        <v>16</v>
      </c>
      <c r="E4658" t="s">
        <v>17</v>
      </c>
      <c r="F4658" t="s">
        <v>21</v>
      </c>
      <c r="G4658" t="s">
        <v>41</v>
      </c>
      <c r="H4658" t="s">
        <v>25</v>
      </c>
      <c r="I4658" s="1">
        <v>3</v>
      </c>
      <c r="J4658" s="2">
        <v>46182</v>
      </c>
      <c r="K4658" s="2">
        <v>46023</v>
      </c>
      <c r="L4658" s="1" t="str">
        <f t="shared" si="531"/>
        <v>ter</v>
      </c>
      <c r="M4658" s="1" t="str">
        <f t="shared" si="532"/>
        <v>jun</v>
      </c>
      <c r="N4658">
        <f t="shared" si="533"/>
        <v>2026</v>
      </c>
      <c r="O4658" s="2"/>
      <c r="P4658" t="str">
        <f t="shared" si="524"/>
        <v>197446182</v>
      </c>
    </row>
    <row r="4659" spans="1:16" x14ac:dyDescent="0.3">
      <c r="A4659">
        <v>1974</v>
      </c>
      <c r="B4659">
        <v>27</v>
      </c>
      <c r="C4659" t="s">
        <v>26</v>
      </c>
      <c r="D4659" t="s">
        <v>16</v>
      </c>
      <c r="E4659" t="s">
        <v>17</v>
      </c>
      <c r="F4659" t="s">
        <v>21</v>
      </c>
      <c r="G4659" t="s">
        <v>41</v>
      </c>
      <c r="H4659" t="s">
        <v>25</v>
      </c>
      <c r="I4659" s="1">
        <v>3</v>
      </c>
      <c r="J4659" s="2">
        <v>46077</v>
      </c>
      <c r="K4659" s="2">
        <v>46054</v>
      </c>
      <c r="L4659" s="1" t="str">
        <f t="shared" si="531"/>
        <v>ter</v>
      </c>
      <c r="M4659" s="1" t="str">
        <f t="shared" si="532"/>
        <v>fev</v>
      </c>
      <c r="N4659">
        <f t="shared" si="533"/>
        <v>2026</v>
      </c>
      <c r="O4659" s="2"/>
      <c r="P4659" t="str">
        <f t="shared" si="524"/>
        <v>197446077</v>
      </c>
    </row>
    <row r="4660" spans="1:16" x14ac:dyDescent="0.3">
      <c r="A4660">
        <v>1974</v>
      </c>
      <c r="B4660">
        <v>27</v>
      </c>
      <c r="C4660" t="s">
        <v>26</v>
      </c>
      <c r="D4660" t="s">
        <v>16</v>
      </c>
      <c r="E4660" t="s">
        <v>17</v>
      </c>
      <c r="F4660" t="s">
        <v>21</v>
      </c>
      <c r="G4660" t="s">
        <v>41</v>
      </c>
      <c r="H4660" t="s">
        <v>25</v>
      </c>
      <c r="I4660" s="1">
        <v>3</v>
      </c>
      <c r="J4660" s="2">
        <v>46089</v>
      </c>
      <c r="K4660" s="2">
        <v>46082</v>
      </c>
      <c r="L4660" s="1" t="str">
        <f t="shared" si="531"/>
        <v>dom</v>
      </c>
      <c r="M4660" s="1" t="str">
        <f t="shared" si="532"/>
        <v>mar</v>
      </c>
      <c r="N4660">
        <f t="shared" si="533"/>
        <v>2026</v>
      </c>
      <c r="O4660" s="2"/>
      <c r="P4660" t="str">
        <f t="shared" si="524"/>
        <v>197446089</v>
      </c>
    </row>
    <row r="4661" spans="1:16" x14ac:dyDescent="0.3">
      <c r="A4661">
        <v>1975</v>
      </c>
      <c r="B4661">
        <v>36</v>
      </c>
      <c r="C4661" t="s">
        <v>26</v>
      </c>
      <c r="D4661" t="s">
        <v>22</v>
      </c>
      <c r="E4661" t="s">
        <v>17</v>
      </c>
      <c r="F4661" t="s">
        <v>21</v>
      </c>
      <c r="G4661" t="s">
        <v>41</v>
      </c>
      <c r="H4661" t="s">
        <v>25</v>
      </c>
      <c r="I4661" s="1">
        <v>3</v>
      </c>
      <c r="J4661" s="2">
        <v>45903</v>
      </c>
      <c r="K4661" s="2">
        <v>45901</v>
      </c>
      <c r="L4661" s="1" t="str">
        <f t="shared" si="531"/>
        <v>qua</v>
      </c>
      <c r="M4661" s="1" t="str">
        <f t="shared" si="532"/>
        <v>set</v>
      </c>
      <c r="N4661">
        <f t="shared" si="533"/>
        <v>2025</v>
      </c>
      <c r="O4661" s="2"/>
      <c r="P4661" t="str">
        <f t="shared" si="524"/>
        <v>197545903</v>
      </c>
    </row>
    <row r="4662" spans="1:16" x14ac:dyDescent="0.3">
      <c r="A4662">
        <v>1975</v>
      </c>
      <c r="B4662">
        <v>36</v>
      </c>
      <c r="C4662" t="s">
        <v>26</v>
      </c>
      <c r="D4662" t="s">
        <v>22</v>
      </c>
      <c r="E4662" t="s">
        <v>17</v>
      </c>
      <c r="F4662" t="s">
        <v>21</v>
      </c>
      <c r="G4662" t="s">
        <v>41</v>
      </c>
      <c r="H4662" t="s">
        <v>25</v>
      </c>
      <c r="I4662" s="1">
        <v>3</v>
      </c>
      <c r="J4662" s="2">
        <v>45919</v>
      </c>
      <c r="K4662" s="2">
        <v>45901</v>
      </c>
      <c r="L4662" s="1" t="str">
        <f t="shared" si="531"/>
        <v>sex</v>
      </c>
      <c r="M4662" s="1" t="str">
        <f t="shared" si="532"/>
        <v>set</v>
      </c>
      <c r="N4662">
        <f t="shared" si="533"/>
        <v>2025</v>
      </c>
      <c r="O4662" s="2"/>
      <c r="P4662" t="str">
        <f t="shared" si="524"/>
        <v>197545919</v>
      </c>
    </row>
    <row r="4663" spans="1:16" x14ac:dyDescent="0.3">
      <c r="A4663">
        <v>1975</v>
      </c>
      <c r="B4663">
        <v>36</v>
      </c>
      <c r="C4663" t="s">
        <v>26</v>
      </c>
      <c r="D4663" t="s">
        <v>22</v>
      </c>
      <c r="E4663" t="s">
        <v>17</v>
      </c>
      <c r="F4663" t="s">
        <v>21</v>
      </c>
      <c r="G4663" t="s">
        <v>41</v>
      </c>
      <c r="H4663" t="s">
        <v>25</v>
      </c>
      <c r="I4663" s="1">
        <v>3</v>
      </c>
      <c r="J4663" s="2">
        <v>45935</v>
      </c>
      <c r="K4663" s="2">
        <v>45931</v>
      </c>
      <c r="L4663" s="1" t="str">
        <f t="shared" si="531"/>
        <v>dom</v>
      </c>
      <c r="M4663" s="1" t="str">
        <f t="shared" si="532"/>
        <v>out</v>
      </c>
      <c r="N4663">
        <f t="shared" si="533"/>
        <v>2025</v>
      </c>
      <c r="O4663" s="2"/>
      <c r="P4663" t="str">
        <f t="shared" si="524"/>
        <v>197545935</v>
      </c>
    </row>
    <row r="4664" spans="1:16" x14ac:dyDescent="0.3">
      <c r="A4664">
        <v>1975</v>
      </c>
      <c r="B4664">
        <v>36</v>
      </c>
      <c r="C4664" t="s">
        <v>26</v>
      </c>
      <c r="D4664" t="s">
        <v>22</v>
      </c>
      <c r="E4664" t="s">
        <v>17</v>
      </c>
      <c r="F4664" t="s">
        <v>21</v>
      </c>
      <c r="G4664" t="s">
        <v>41</v>
      </c>
      <c r="H4664" t="s">
        <v>25</v>
      </c>
      <c r="I4664" s="1">
        <v>3</v>
      </c>
      <c r="J4664" s="2">
        <v>45994</v>
      </c>
      <c r="K4664" s="2">
        <v>45992</v>
      </c>
      <c r="L4664" s="1" t="str">
        <f t="shared" si="531"/>
        <v>qua</v>
      </c>
      <c r="M4664" s="1" t="str">
        <f t="shared" si="532"/>
        <v>dez</v>
      </c>
      <c r="N4664">
        <f t="shared" si="533"/>
        <v>2025</v>
      </c>
      <c r="O4664" s="2"/>
      <c r="P4664" t="str">
        <f t="shared" si="524"/>
        <v>197545994</v>
      </c>
    </row>
    <row r="4665" spans="1:16" x14ac:dyDescent="0.3">
      <c r="A4665">
        <v>1975</v>
      </c>
      <c r="B4665">
        <v>36</v>
      </c>
      <c r="C4665" t="s">
        <v>26</v>
      </c>
      <c r="D4665" t="s">
        <v>22</v>
      </c>
      <c r="E4665" t="s">
        <v>17</v>
      </c>
      <c r="F4665" t="s">
        <v>21</v>
      </c>
      <c r="G4665" t="s">
        <v>41</v>
      </c>
      <c r="H4665" t="s">
        <v>25</v>
      </c>
      <c r="I4665" s="1">
        <v>3</v>
      </c>
      <c r="J4665" s="2">
        <v>46180</v>
      </c>
      <c r="K4665" s="2">
        <v>46023</v>
      </c>
      <c r="L4665" s="1" t="str">
        <f t="shared" si="531"/>
        <v>dom</v>
      </c>
      <c r="M4665" s="1" t="str">
        <f t="shared" si="532"/>
        <v>jun</v>
      </c>
      <c r="N4665">
        <f t="shared" si="533"/>
        <v>2026</v>
      </c>
      <c r="O4665" s="2"/>
      <c r="P4665" t="str">
        <f t="shared" si="524"/>
        <v>197546180</v>
      </c>
    </row>
    <row r="4666" spans="1:16" x14ac:dyDescent="0.3">
      <c r="A4666">
        <v>1975</v>
      </c>
      <c r="B4666">
        <v>36</v>
      </c>
      <c r="C4666" t="s">
        <v>26</v>
      </c>
      <c r="D4666" t="s">
        <v>22</v>
      </c>
      <c r="E4666" t="s">
        <v>17</v>
      </c>
      <c r="F4666" t="s">
        <v>21</v>
      </c>
      <c r="G4666" t="s">
        <v>41</v>
      </c>
      <c r="H4666" t="s">
        <v>25</v>
      </c>
      <c r="I4666" s="1">
        <v>3</v>
      </c>
      <c r="J4666" s="2">
        <v>46101</v>
      </c>
      <c r="K4666" s="2">
        <v>46082</v>
      </c>
      <c r="L4666" s="1" t="str">
        <f t="shared" si="531"/>
        <v>sex</v>
      </c>
      <c r="M4666" s="1" t="str">
        <f t="shared" si="532"/>
        <v>mar</v>
      </c>
      <c r="N4666">
        <f t="shared" si="533"/>
        <v>2026</v>
      </c>
      <c r="O4666" s="2"/>
      <c r="P4666" t="str">
        <f t="shared" si="524"/>
        <v>197546101</v>
      </c>
    </row>
    <row r="4667" spans="1:16" x14ac:dyDescent="0.3">
      <c r="A4667">
        <v>1976</v>
      </c>
      <c r="B4667">
        <v>38</v>
      </c>
      <c r="C4667" t="s">
        <v>15</v>
      </c>
      <c r="D4667" t="s">
        <v>31</v>
      </c>
      <c r="E4667" t="s">
        <v>32</v>
      </c>
      <c r="F4667" t="s">
        <v>21</v>
      </c>
      <c r="G4667" t="s">
        <v>41</v>
      </c>
      <c r="H4667" t="s">
        <v>25</v>
      </c>
      <c r="I4667" s="1">
        <v>2</v>
      </c>
      <c r="J4667" s="2">
        <v>45811</v>
      </c>
      <c r="K4667" s="2">
        <v>45809</v>
      </c>
      <c r="L4667" s="1" t="str">
        <f t="shared" si="531"/>
        <v>ter</v>
      </c>
      <c r="M4667" s="1" t="str">
        <f t="shared" si="532"/>
        <v>jun</v>
      </c>
      <c r="N4667">
        <f t="shared" si="533"/>
        <v>2025</v>
      </c>
      <c r="O4667" s="2"/>
      <c r="P4667" t="str">
        <f t="shared" si="524"/>
        <v>197645811</v>
      </c>
    </row>
    <row r="4668" spans="1:16" x14ac:dyDescent="0.3">
      <c r="A4668">
        <v>1976</v>
      </c>
      <c r="B4668">
        <v>38</v>
      </c>
      <c r="C4668" t="s">
        <v>15</v>
      </c>
      <c r="D4668" t="s">
        <v>31</v>
      </c>
      <c r="E4668" t="s">
        <v>32</v>
      </c>
      <c r="F4668" t="s">
        <v>21</v>
      </c>
      <c r="G4668" t="s">
        <v>41</v>
      </c>
      <c r="H4668" t="s">
        <v>25</v>
      </c>
      <c r="I4668" s="1">
        <v>2</v>
      </c>
      <c r="J4668" s="2">
        <v>46013</v>
      </c>
      <c r="K4668" s="2">
        <v>45992</v>
      </c>
      <c r="L4668" s="1" t="str">
        <f t="shared" si="531"/>
        <v>seg</v>
      </c>
      <c r="M4668" s="1" t="str">
        <f t="shared" si="532"/>
        <v>dez</v>
      </c>
      <c r="N4668">
        <f t="shared" si="533"/>
        <v>2025</v>
      </c>
      <c r="O4668" s="2"/>
      <c r="P4668" t="str">
        <f t="shared" si="524"/>
        <v>197646013</v>
      </c>
    </row>
    <row r="4669" spans="1:16" x14ac:dyDescent="0.3">
      <c r="A4669">
        <v>1976</v>
      </c>
      <c r="B4669">
        <v>38</v>
      </c>
      <c r="C4669" t="s">
        <v>15</v>
      </c>
      <c r="D4669" t="s">
        <v>31</v>
      </c>
      <c r="E4669" t="s">
        <v>32</v>
      </c>
      <c r="F4669" t="s">
        <v>21</v>
      </c>
      <c r="G4669" t="s">
        <v>41</v>
      </c>
      <c r="H4669" t="s">
        <v>25</v>
      </c>
      <c r="I4669" s="1">
        <v>2</v>
      </c>
      <c r="J4669" s="2">
        <v>46065</v>
      </c>
      <c r="K4669" s="2">
        <v>46054</v>
      </c>
      <c r="L4669" s="1" t="str">
        <f t="shared" si="531"/>
        <v>qui</v>
      </c>
      <c r="M4669" s="1" t="str">
        <f t="shared" si="532"/>
        <v>fev</v>
      </c>
      <c r="N4669">
        <f t="shared" si="533"/>
        <v>2026</v>
      </c>
      <c r="O4669" s="2"/>
      <c r="P4669" t="str">
        <f t="shared" ref="P4669:P4732" si="534">CONCATENATE(A4669,J4669)</f>
        <v>197646065</v>
      </c>
    </row>
    <row r="4670" spans="1:16" x14ac:dyDescent="0.3">
      <c r="A4670">
        <v>1977</v>
      </c>
      <c r="B4670">
        <v>27</v>
      </c>
      <c r="C4670" t="s">
        <v>26</v>
      </c>
      <c r="D4670" t="s">
        <v>31</v>
      </c>
      <c r="E4670" t="s">
        <v>32</v>
      </c>
      <c r="F4670" t="s">
        <v>21</v>
      </c>
      <c r="G4670" t="s">
        <v>41</v>
      </c>
      <c r="H4670" t="s">
        <v>25</v>
      </c>
      <c r="I4670" s="1">
        <v>3</v>
      </c>
      <c r="J4670" s="2">
        <v>45832</v>
      </c>
      <c r="K4670" s="2">
        <v>45809</v>
      </c>
      <c r="L4670" s="1" t="str">
        <f t="shared" si="531"/>
        <v>ter</v>
      </c>
      <c r="M4670" s="1" t="str">
        <f t="shared" si="532"/>
        <v>jun</v>
      </c>
      <c r="N4670">
        <f t="shared" si="533"/>
        <v>2025</v>
      </c>
      <c r="O4670" s="2"/>
      <c r="P4670" t="str">
        <f t="shared" si="534"/>
        <v>197745832</v>
      </c>
    </row>
    <row r="4671" spans="1:16" x14ac:dyDescent="0.3">
      <c r="A4671">
        <v>1977</v>
      </c>
      <c r="B4671">
        <v>27</v>
      </c>
      <c r="C4671" t="s">
        <v>26</v>
      </c>
      <c r="D4671" t="s">
        <v>31</v>
      </c>
      <c r="E4671" t="s">
        <v>32</v>
      </c>
      <c r="F4671" t="s">
        <v>21</v>
      </c>
      <c r="G4671" t="s">
        <v>41</v>
      </c>
      <c r="H4671" t="s">
        <v>25</v>
      </c>
      <c r="I4671" s="1">
        <v>3</v>
      </c>
      <c r="J4671" s="2">
        <v>46013</v>
      </c>
      <c r="K4671" s="2">
        <v>45992</v>
      </c>
      <c r="L4671" s="1" t="str">
        <f t="shared" si="531"/>
        <v>seg</v>
      </c>
      <c r="M4671" s="1" t="str">
        <f t="shared" si="532"/>
        <v>dez</v>
      </c>
      <c r="N4671">
        <f t="shared" si="533"/>
        <v>2025</v>
      </c>
      <c r="O4671" s="2"/>
      <c r="P4671" t="str">
        <f t="shared" si="534"/>
        <v>197746013</v>
      </c>
    </row>
    <row r="4672" spans="1:16" x14ac:dyDescent="0.3">
      <c r="A4672">
        <v>1977</v>
      </c>
      <c r="B4672">
        <v>27</v>
      </c>
      <c r="C4672" t="s">
        <v>26</v>
      </c>
      <c r="D4672" t="s">
        <v>31</v>
      </c>
      <c r="E4672" t="s">
        <v>32</v>
      </c>
      <c r="F4672" t="s">
        <v>21</v>
      </c>
      <c r="G4672" t="s">
        <v>41</v>
      </c>
      <c r="H4672" t="s">
        <v>25</v>
      </c>
      <c r="I4672" s="1">
        <v>3</v>
      </c>
      <c r="J4672" s="2">
        <v>46061</v>
      </c>
      <c r="K4672" s="2">
        <v>46054</v>
      </c>
      <c r="L4672" s="1" t="str">
        <f t="shared" si="531"/>
        <v>dom</v>
      </c>
      <c r="M4672" s="1" t="str">
        <f t="shared" si="532"/>
        <v>fev</v>
      </c>
      <c r="N4672">
        <f t="shared" si="533"/>
        <v>2026</v>
      </c>
      <c r="O4672" s="2"/>
      <c r="P4672" t="str">
        <f t="shared" si="534"/>
        <v>197746061</v>
      </c>
    </row>
    <row r="4673" spans="1:16" x14ac:dyDescent="0.3">
      <c r="A4673">
        <v>1979</v>
      </c>
      <c r="B4673">
        <v>52</v>
      </c>
      <c r="C4673" t="s">
        <v>26</v>
      </c>
      <c r="D4673" t="s">
        <v>31</v>
      </c>
      <c r="E4673" t="s">
        <v>34</v>
      </c>
      <c r="F4673" t="s">
        <v>21</v>
      </c>
      <c r="G4673" t="s">
        <v>41</v>
      </c>
      <c r="H4673" t="s">
        <v>25</v>
      </c>
      <c r="I4673" s="1">
        <v>2</v>
      </c>
      <c r="J4673" s="2">
        <v>45776</v>
      </c>
      <c r="K4673" s="2">
        <v>45748</v>
      </c>
      <c r="L4673" s="1" t="str">
        <f t="shared" si="531"/>
        <v>ter</v>
      </c>
      <c r="M4673" s="1" t="str">
        <f t="shared" si="532"/>
        <v>abr</v>
      </c>
      <c r="N4673">
        <f t="shared" si="533"/>
        <v>2025</v>
      </c>
      <c r="O4673" s="2"/>
      <c r="P4673" t="str">
        <f t="shared" si="534"/>
        <v>197945776</v>
      </c>
    </row>
    <row r="4674" spans="1:16" x14ac:dyDescent="0.3">
      <c r="A4674">
        <v>1979</v>
      </c>
      <c r="B4674">
        <v>52</v>
      </c>
      <c r="C4674" t="s">
        <v>26</v>
      </c>
      <c r="D4674" t="s">
        <v>31</v>
      </c>
      <c r="E4674" t="s">
        <v>34</v>
      </c>
      <c r="F4674" t="s">
        <v>21</v>
      </c>
      <c r="G4674" t="s">
        <v>41</v>
      </c>
      <c r="H4674" t="s">
        <v>25</v>
      </c>
      <c r="I4674" s="1">
        <v>2</v>
      </c>
      <c r="J4674" s="2">
        <v>45833</v>
      </c>
      <c r="K4674" s="2">
        <v>45809</v>
      </c>
      <c r="L4674" s="1" t="str">
        <f t="shared" si="531"/>
        <v>qua</v>
      </c>
      <c r="M4674" s="1" t="str">
        <f t="shared" si="532"/>
        <v>jun</v>
      </c>
      <c r="N4674">
        <f t="shared" si="533"/>
        <v>2025</v>
      </c>
      <c r="O4674" s="2"/>
      <c r="P4674" t="str">
        <f t="shared" si="534"/>
        <v>197945833</v>
      </c>
    </row>
    <row r="4675" spans="1:16" x14ac:dyDescent="0.3">
      <c r="A4675">
        <v>1979</v>
      </c>
      <c r="B4675">
        <v>52</v>
      </c>
      <c r="C4675" t="s">
        <v>26</v>
      </c>
      <c r="D4675" t="s">
        <v>31</v>
      </c>
      <c r="E4675" t="s">
        <v>34</v>
      </c>
      <c r="F4675" t="s">
        <v>21</v>
      </c>
      <c r="G4675" t="s">
        <v>41</v>
      </c>
      <c r="H4675" t="s">
        <v>25</v>
      </c>
      <c r="I4675" s="1">
        <v>2</v>
      </c>
      <c r="J4675" s="2">
        <v>45985</v>
      </c>
      <c r="K4675" s="2">
        <v>45962</v>
      </c>
      <c r="L4675" s="1" t="str">
        <f t="shared" si="531"/>
        <v>seg</v>
      </c>
      <c r="M4675" s="1" t="str">
        <f t="shared" si="532"/>
        <v>nov</v>
      </c>
      <c r="N4675">
        <f t="shared" si="533"/>
        <v>2025</v>
      </c>
      <c r="O4675" s="2"/>
      <c r="P4675" t="str">
        <f t="shared" si="534"/>
        <v>197945985</v>
      </c>
    </row>
    <row r="4676" spans="1:16" x14ac:dyDescent="0.3">
      <c r="A4676">
        <v>1979</v>
      </c>
      <c r="B4676">
        <v>52</v>
      </c>
      <c r="C4676" t="s">
        <v>26</v>
      </c>
      <c r="D4676" t="s">
        <v>31</v>
      </c>
      <c r="E4676" t="s">
        <v>34</v>
      </c>
      <c r="F4676" t="s">
        <v>21</v>
      </c>
      <c r="G4676" t="s">
        <v>41</v>
      </c>
      <c r="H4676" t="s">
        <v>25</v>
      </c>
      <c r="I4676" s="1">
        <v>2</v>
      </c>
      <c r="J4676" s="2">
        <v>46009</v>
      </c>
      <c r="K4676" s="2">
        <v>45992</v>
      </c>
      <c r="L4676" s="1" t="str">
        <f t="shared" si="531"/>
        <v>qui</v>
      </c>
      <c r="M4676" s="1" t="str">
        <f t="shared" si="532"/>
        <v>dez</v>
      </c>
      <c r="N4676">
        <f t="shared" si="533"/>
        <v>2025</v>
      </c>
      <c r="O4676" s="2"/>
      <c r="P4676" t="str">
        <f t="shared" si="534"/>
        <v>197946009</v>
      </c>
    </row>
    <row r="4677" spans="1:16" x14ac:dyDescent="0.3">
      <c r="A4677">
        <v>1979</v>
      </c>
      <c r="B4677">
        <v>52</v>
      </c>
      <c r="C4677" t="s">
        <v>26</v>
      </c>
      <c r="D4677" t="s">
        <v>31</v>
      </c>
      <c r="E4677" t="s">
        <v>34</v>
      </c>
      <c r="F4677" t="s">
        <v>21</v>
      </c>
      <c r="G4677" t="s">
        <v>41</v>
      </c>
      <c r="H4677" t="s">
        <v>25</v>
      </c>
      <c r="I4677" s="1">
        <v>2</v>
      </c>
      <c r="J4677" s="2">
        <v>46057</v>
      </c>
      <c r="K4677" s="2">
        <v>46054</v>
      </c>
      <c r="L4677" s="1" t="str">
        <f t="shared" si="531"/>
        <v>qua</v>
      </c>
      <c r="M4677" s="1" t="str">
        <f t="shared" si="532"/>
        <v>fev</v>
      </c>
      <c r="N4677">
        <f t="shared" si="533"/>
        <v>2026</v>
      </c>
      <c r="O4677" s="2"/>
      <c r="P4677" t="str">
        <f t="shared" si="534"/>
        <v>197946057</v>
      </c>
    </row>
    <row r="4678" spans="1:16" x14ac:dyDescent="0.3">
      <c r="A4678">
        <v>1979</v>
      </c>
      <c r="B4678">
        <v>52</v>
      </c>
      <c r="C4678" t="s">
        <v>26</v>
      </c>
      <c r="D4678" t="s">
        <v>31</v>
      </c>
      <c r="E4678" t="s">
        <v>34</v>
      </c>
      <c r="F4678" t="s">
        <v>21</v>
      </c>
      <c r="G4678" t="s">
        <v>41</v>
      </c>
      <c r="H4678" t="s">
        <v>25</v>
      </c>
      <c r="I4678" s="1">
        <v>2</v>
      </c>
      <c r="J4678" s="2">
        <v>46077</v>
      </c>
      <c r="K4678" s="2">
        <v>46054</v>
      </c>
      <c r="L4678" s="1" t="str">
        <f t="shared" si="531"/>
        <v>ter</v>
      </c>
      <c r="M4678" s="1" t="str">
        <f t="shared" si="532"/>
        <v>fev</v>
      </c>
      <c r="N4678">
        <f t="shared" si="533"/>
        <v>2026</v>
      </c>
      <c r="O4678" s="2"/>
      <c r="P4678" t="str">
        <f t="shared" si="534"/>
        <v>197946077</v>
      </c>
    </row>
    <row r="4679" spans="1:16" x14ac:dyDescent="0.3">
      <c r="A4679">
        <v>1979</v>
      </c>
      <c r="B4679">
        <v>52</v>
      </c>
      <c r="C4679" t="s">
        <v>26</v>
      </c>
      <c r="D4679" t="s">
        <v>31</v>
      </c>
      <c r="E4679" t="s">
        <v>34</v>
      </c>
      <c r="F4679" t="s">
        <v>21</v>
      </c>
      <c r="G4679" t="s">
        <v>41</v>
      </c>
      <c r="H4679" t="s">
        <v>25</v>
      </c>
      <c r="I4679" s="1">
        <v>2</v>
      </c>
      <c r="J4679" s="2">
        <v>46141</v>
      </c>
      <c r="K4679" s="2">
        <v>46113</v>
      </c>
      <c r="L4679" s="1" t="s">
        <v>50</v>
      </c>
      <c r="M4679" s="1" t="s">
        <v>48</v>
      </c>
      <c r="N4679">
        <v>2025</v>
      </c>
      <c r="O4679" s="2"/>
      <c r="P4679" t="str">
        <f t="shared" si="534"/>
        <v>197946141</v>
      </c>
    </row>
    <row r="4680" spans="1:16" x14ac:dyDescent="0.3">
      <c r="A4680">
        <v>1980</v>
      </c>
      <c r="B4680">
        <v>24</v>
      </c>
      <c r="C4680" t="s">
        <v>15</v>
      </c>
      <c r="D4680" t="s">
        <v>29</v>
      </c>
      <c r="E4680" t="s">
        <v>17</v>
      </c>
      <c r="F4680" t="s">
        <v>21</v>
      </c>
      <c r="G4680" t="s">
        <v>41</v>
      </c>
      <c r="H4680" t="s">
        <v>25</v>
      </c>
      <c r="I4680" s="1">
        <v>2</v>
      </c>
      <c r="J4680" s="2">
        <v>45825</v>
      </c>
      <c r="K4680" s="2">
        <v>45809</v>
      </c>
      <c r="L4680" s="1" t="str">
        <f t="shared" ref="L4680:L4690" si="535">TEXT(J4680,"ddd")</f>
        <v>ter</v>
      </c>
      <c r="M4680" s="1" t="str">
        <f t="shared" ref="M4680:M4690" si="536">TEXT($J4680,"mmm")</f>
        <v>jun</v>
      </c>
      <c r="N4680">
        <f t="shared" ref="N4680:N4690" si="537">YEAR(J4680)</f>
        <v>2025</v>
      </c>
      <c r="O4680" s="2"/>
      <c r="P4680" t="str">
        <f t="shared" si="534"/>
        <v>198045825</v>
      </c>
    </row>
    <row r="4681" spans="1:16" x14ac:dyDescent="0.3">
      <c r="A4681">
        <v>1980</v>
      </c>
      <c r="B4681">
        <v>24</v>
      </c>
      <c r="C4681" t="s">
        <v>15</v>
      </c>
      <c r="D4681" t="s">
        <v>29</v>
      </c>
      <c r="E4681" t="s">
        <v>17</v>
      </c>
      <c r="F4681" t="s">
        <v>21</v>
      </c>
      <c r="G4681" t="s">
        <v>41</v>
      </c>
      <c r="H4681" t="s">
        <v>25</v>
      </c>
      <c r="I4681" s="1">
        <v>2</v>
      </c>
      <c r="J4681" s="2">
        <v>45863</v>
      </c>
      <c r="K4681" s="2">
        <v>45839</v>
      </c>
      <c r="L4681" s="1" t="str">
        <f t="shared" si="535"/>
        <v>sex</v>
      </c>
      <c r="M4681" s="1" t="str">
        <f t="shared" si="536"/>
        <v>jul</v>
      </c>
      <c r="N4681">
        <f t="shared" si="537"/>
        <v>2025</v>
      </c>
      <c r="O4681" s="2"/>
      <c r="P4681" t="str">
        <f t="shared" si="534"/>
        <v>198045863</v>
      </c>
    </row>
    <row r="4682" spans="1:16" x14ac:dyDescent="0.3">
      <c r="A4682">
        <v>1980</v>
      </c>
      <c r="B4682">
        <v>24</v>
      </c>
      <c r="C4682" t="s">
        <v>15</v>
      </c>
      <c r="D4682" t="s">
        <v>29</v>
      </c>
      <c r="E4682" t="s">
        <v>17</v>
      </c>
      <c r="F4682" t="s">
        <v>21</v>
      </c>
      <c r="G4682" t="s">
        <v>41</v>
      </c>
      <c r="H4682" t="s">
        <v>25</v>
      </c>
      <c r="I4682" s="1">
        <v>2</v>
      </c>
      <c r="J4682" s="2">
        <v>45874</v>
      </c>
      <c r="K4682" s="2">
        <v>45870</v>
      </c>
      <c r="L4682" s="1" t="str">
        <f t="shared" si="535"/>
        <v>ter</v>
      </c>
      <c r="M4682" s="1" t="str">
        <f t="shared" si="536"/>
        <v>ago</v>
      </c>
      <c r="N4682">
        <f t="shared" si="537"/>
        <v>2025</v>
      </c>
      <c r="O4682" s="2"/>
      <c r="P4682" t="str">
        <f t="shared" si="534"/>
        <v>198045874</v>
      </c>
    </row>
    <row r="4683" spans="1:16" x14ac:dyDescent="0.3">
      <c r="A4683">
        <v>1980</v>
      </c>
      <c r="B4683">
        <v>24</v>
      </c>
      <c r="C4683" t="s">
        <v>15</v>
      </c>
      <c r="D4683" t="s">
        <v>29</v>
      </c>
      <c r="E4683" t="s">
        <v>17</v>
      </c>
      <c r="F4683" t="s">
        <v>21</v>
      </c>
      <c r="G4683" t="s">
        <v>41</v>
      </c>
      <c r="H4683" t="s">
        <v>25</v>
      </c>
      <c r="I4683" s="1">
        <v>2</v>
      </c>
      <c r="J4683" s="2">
        <v>46068</v>
      </c>
      <c r="K4683" s="2">
        <v>46054</v>
      </c>
      <c r="L4683" s="1" t="str">
        <f t="shared" si="535"/>
        <v>dom</v>
      </c>
      <c r="M4683" s="1" t="str">
        <f t="shared" si="536"/>
        <v>fev</v>
      </c>
      <c r="N4683">
        <f t="shared" si="537"/>
        <v>2026</v>
      </c>
      <c r="O4683" s="2"/>
      <c r="P4683" t="str">
        <f t="shared" si="534"/>
        <v>198046068</v>
      </c>
    </row>
    <row r="4684" spans="1:16" x14ac:dyDescent="0.3">
      <c r="A4684">
        <v>1980</v>
      </c>
      <c r="B4684">
        <v>24</v>
      </c>
      <c r="C4684" t="s">
        <v>15</v>
      </c>
      <c r="D4684" t="s">
        <v>29</v>
      </c>
      <c r="E4684" t="s">
        <v>17</v>
      </c>
      <c r="F4684" t="s">
        <v>21</v>
      </c>
      <c r="G4684" t="s">
        <v>41</v>
      </c>
      <c r="H4684" t="s">
        <v>25</v>
      </c>
      <c r="I4684" s="1">
        <v>2</v>
      </c>
      <c r="J4684" s="2">
        <v>46085</v>
      </c>
      <c r="K4684" s="2">
        <v>46082</v>
      </c>
      <c r="L4684" s="1" t="str">
        <f t="shared" si="535"/>
        <v>qua</v>
      </c>
      <c r="M4684" s="1" t="str">
        <f t="shared" si="536"/>
        <v>mar</v>
      </c>
      <c r="N4684">
        <f t="shared" si="537"/>
        <v>2026</v>
      </c>
      <c r="O4684" s="2"/>
      <c r="P4684" t="str">
        <f t="shared" si="534"/>
        <v>198046085</v>
      </c>
    </row>
    <row r="4685" spans="1:16" x14ac:dyDescent="0.3">
      <c r="A4685">
        <v>1981</v>
      </c>
      <c r="B4685">
        <v>33</v>
      </c>
      <c r="C4685" t="s">
        <v>26</v>
      </c>
      <c r="D4685" t="s">
        <v>29</v>
      </c>
      <c r="E4685" t="s">
        <v>17</v>
      </c>
      <c r="F4685" t="s">
        <v>23</v>
      </c>
      <c r="G4685" t="s">
        <v>41</v>
      </c>
      <c r="H4685" t="s">
        <v>25</v>
      </c>
      <c r="I4685" s="1">
        <v>3</v>
      </c>
      <c r="J4685" s="2">
        <v>45775</v>
      </c>
      <c r="K4685" s="2">
        <v>45748</v>
      </c>
      <c r="L4685" s="1" t="str">
        <f t="shared" si="535"/>
        <v>seg</v>
      </c>
      <c r="M4685" s="1" t="str">
        <f t="shared" si="536"/>
        <v>abr</v>
      </c>
      <c r="N4685">
        <f t="shared" si="537"/>
        <v>2025</v>
      </c>
      <c r="O4685" s="2"/>
      <c r="P4685" t="str">
        <f t="shared" si="534"/>
        <v>198145775</v>
      </c>
    </row>
    <row r="4686" spans="1:16" x14ac:dyDescent="0.3">
      <c r="A4686">
        <v>1981</v>
      </c>
      <c r="B4686">
        <v>33</v>
      </c>
      <c r="C4686" t="s">
        <v>26</v>
      </c>
      <c r="D4686" t="s">
        <v>29</v>
      </c>
      <c r="E4686" t="s">
        <v>17</v>
      </c>
      <c r="F4686" t="s">
        <v>23</v>
      </c>
      <c r="G4686" t="s">
        <v>41</v>
      </c>
      <c r="H4686" t="s">
        <v>25</v>
      </c>
      <c r="I4686" s="1">
        <v>3</v>
      </c>
      <c r="J4686" s="2">
        <v>45876</v>
      </c>
      <c r="K4686" s="2">
        <v>45870</v>
      </c>
      <c r="L4686" s="1" t="str">
        <f t="shared" si="535"/>
        <v>qui</v>
      </c>
      <c r="M4686" s="1" t="str">
        <f t="shared" si="536"/>
        <v>ago</v>
      </c>
      <c r="N4686">
        <f t="shared" si="537"/>
        <v>2025</v>
      </c>
      <c r="O4686" s="2"/>
      <c r="P4686" t="str">
        <f t="shared" si="534"/>
        <v>198145876</v>
      </c>
    </row>
    <row r="4687" spans="1:16" x14ac:dyDescent="0.3">
      <c r="A4687">
        <v>1981</v>
      </c>
      <c r="B4687">
        <v>33</v>
      </c>
      <c r="C4687" t="s">
        <v>26</v>
      </c>
      <c r="D4687" t="s">
        <v>29</v>
      </c>
      <c r="E4687" t="s">
        <v>17</v>
      </c>
      <c r="F4687" t="s">
        <v>23</v>
      </c>
      <c r="G4687" t="s">
        <v>41</v>
      </c>
      <c r="H4687" t="s">
        <v>25</v>
      </c>
      <c r="I4687" s="1">
        <v>3</v>
      </c>
      <c r="J4687" s="2">
        <v>45909</v>
      </c>
      <c r="K4687" s="2">
        <v>45901</v>
      </c>
      <c r="L4687" s="1" t="str">
        <f t="shared" si="535"/>
        <v>ter</v>
      </c>
      <c r="M4687" s="1" t="str">
        <f t="shared" si="536"/>
        <v>set</v>
      </c>
      <c r="N4687">
        <f t="shared" si="537"/>
        <v>2025</v>
      </c>
      <c r="O4687" s="2"/>
      <c r="P4687" t="str">
        <f t="shared" si="534"/>
        <v>198145909</v>
      </c>
    </row>
    <row r="4688" spans="1:16" x14ac:dyDescent="0.3">
      <c r="A4688">
        <v>1981</v>
      </c>
      <c r="B4688">
        <v>33</v>
      </c>
      <c r="C4688" t="s">
        <v>26</v>
      </c>
      <c r="D4688" t="s">
        <v>29</v>
      </c>
      <c r="E4688" t="s">
        <v>17</v>
      </c>
      <c r="F4688" t="s">
        <v>23</v>
      </c>
      <c r="G4688" t="s">
        <v>41</v>
      </c>
      <c r="H4688" t="s">
        <v>25</v>
      </c>
      <c r="I4688" s="1">
        <v>3</v>
      </c>
      <c r="J4688" s="2">
        <v>46176</v>
      </c>
      <c r="K4688" s="2">
        <v>46023</v>
      </c>
      <c r="L4688" s="1" t="str">
        <f t="shared" si="535"/>
        <v>qua</v>
      </c>
      <c r="M4688" s="1" t="str">
        <f t="shared" si="536"/>
        <v>jun</v>
      </c>
      <c r="N4688">
        <f t="shared" si="537"/>
        <v>2026</v>
      </c>
      <c r="O4688" s="2"/>
      <c r="P4688" t="str">
        <f t="shared" si="534"/>
        <v>198146176</v>
      </c>
    </row>
    <row r="4689" spans="1:16" x14ac:dyDescent="0.3">
      <c r="A4689">
        <v>1981</v>
      </c>
      <c r="B4689">
        <v>33</v>
      </c>
      <c r="C4689" t="s">
        <v>26</v>
      </c>
      <c r="D4689" t="s">
        <v>29</v>
      </c>
      <c r="E4689" t="s">
        <v>17</v>
      </c>
      <c r="F4689" t="s">
        <v>23</v>
      </c>
      <c r="G4689" t="s">
        <v>41</v>
      </c>
      <c r="H4689" t="s">
        <v>25</v>
      </c>
      <c r="I4689" s="1">
        <v>3</v>
      </c>
      <c r="J4689" s="2">
        <v>46200</v>
      </c>
      <c r="K4689" s="2">
        <v>46023</v>
      </c>
      <c r="L4689" s="1" t="str">
        <f t="shared" si="535"/>
        <v>sáb</v>
      </c>
      <c r="M4689" s="1" t="str">
        <f t="shared" si="536"/>
        <v>jun</v>
      </c>
      <c r="N4689">
        <f t="shared" si="537"/>
        <v>2026</v>
      </c>
      <c r="O4689" s="2"/>
      <c r="P4689" t="str">
        <f t="shared" si="534"/>
        <v>198146200</v>
      </c>
    </row>
    <row r="4690" spans="1:16" x14ac:dyDescent="0.3">
      <c r="A4690">
        <v>1981</v>
      </c>
      <c r="B4690">
        <v>33</v>
      </c>
      <c r="C4690" t="s">
        <v>26</v>
      </c>
      <c r="D4690" t="s">
        <v>29</v>
      </c>
      <c r="E4690" t="s">
        <v>17</v>
      </c>
      <c r="F4690" t="s">
        <v>23</v>
      </c>
      <c r="G4690" t="s">
        <v>41</v>
      </c>
      <c r="H4690" t="s">
        <v>25</v>
      </c>
      <c r="I4690" s="1">
        <v>3</v>
      </c>
      <c r="J4690" s="2">
        <v>46096</v>
      </c>
      <c r="K4690" s="2">
        <v>46082</v>
      </c>
      <c r="L4690" s="1" t="str">
        <f t="shared" si="535"/>
        <v>dom</v>
      </c>
      <c r="M4690" s="1" t="str">
        <f t="shared" si="536"/>
        <v>mar</v>
      </c>
      <c r="N4690">
        <f t="shared" si="537"/>
        <v>2026</v>
      </c>
      <c r="O4690" s="2"/>
      <c r="P4690" t="str">
        <f t="shared" si="534"/>
        <v>198146096</v>
      </c>
    </row>
    <row r="4691" spans="1:16" x14ac:dyDescent="0.3">
      <c r="A4691">
        <v>1981</v>
      </c>
      <c r="B4691">
        <v>33</v>
      </c>
      <c r="C4691" t="s">
        <v>26</v>
      </c>
      <c r="D4691" t="s">
        <v>29</v>
      </c>
      <c r="E4691" t="s">
        <v>17</v>
      </c>
      <c r="F4691" t="s">
        <v>23</v>
      </c>
      <c r="G4691" t="s">
        <v>41</v>
      </c>
      <c r="H4691" t="s">
        <v>25</v>
      </c>
      <c r="I4691" s="1">
        <v>3</v>
      </c>
      <c r="J4691" s="2">
        <v>46140</v>
      </c>
      <c r="K4691" s="2">
        <v>46113</v>
      </c>
      <c r="L4691" s="1" t="s">
        <v>56</v>
      </c>
      <c r="M4691" s="1" t="s">
        <v>48</v>
      </c>
      <c r="N4691">
        <v>2025</v>
      </c>
      <c r="O4691" s="2"/>
      <c r="P4691" t="str">
        <f t="shared" si="534"/>
        <v>198146140</v>
      </c>
    </row>
    <row r="4692" spans="1:16" x14ac:dyDescent="0.3">
      <c r="A4692">
        <v>1983</v>
      </c>
      <c r="B4692">
        <v>37</v>
      </c>
      <c r="C4692" t="s">
        <v>26</v>
      </c>
      <c r="D4692" t="s">
        <v>27</v>
      </c>
      <c r="E4692" t="s">
        <v>17</v>
      </c>
      <c r="F4692" t="s">
        <v>18</v>
      </c>
      <c r="G4692" t="s">
        <v>41</v>
      </c>
      <c r="H4692" t="s">
        <v>25</v>
      </c>
      <c r="I4692" s="1">
        <v>3</v>
      </c>
      <c r="J4692" s="2">
        <v>45841</v>
      </c>
      <c r="K4692" s="2">
        <v>45839</v>
      </c>
      <c r="L4692" s="1" t="str">
        <f t="shared" ref="L4692:L4724" si="538">TEXT(J4692,"ddd")</f>
        <v>qui</v>
      </c>
      <c r="M4692" s="1" t="str">
        <f t="shared" ref="M4692:M4724" si="539">TEXT($J4692,"mmm")</f>
        <v>jul</v>
      </c>
      <c r="N4692">
        <f t="shared" ref="N4692:N4724" si="540">YEAR(J4692)</f>
        <v>2025</v>
      </c>
      <c r="O4692" s="2"/>
      <c r="P4692" t="str">
        <f t="shared" si="534"/>
        <v>198345841</v>
      </c>
    </row>
    <row r="4693" spans="1:16" x14ac:dyDescent="0.3">
      <c r="A4693">
        <v>1983</v>
      </c>
      <c r="B4693">
        <v>37</v>
      </c>
      <c r="C4693" t="s">
        <v>26</v>
      </c>
      <c r="D4693" t="s">
        <v>27</v>
      </c>
      <c r="E4693" t="s">
        <v>17</v>
      </c>
      <c r="F4693" t="s">
        <v>18</v>
      </c>
      <c r="G4693" t="s">
        <v>41</v>
      </c>
      <c r="H4693" t="s">
        <v>25</v>
      </c>
      <c r="I4693" s="1">
        <v>3</v>
      </c>
      <c r="J4693" s="2">
        <v>45846</v>
      </c>
      <c r="K4693" s="2">
        <v>45839</v>
      </c>
      <c r="L4693" s="1" t="str">
        <f t="shared" si="538"/>
        <v>ter</v>
      </c>
      <c r="M4693" s="1" t="str">
        <f t="shared" si="539"/>
        <v>jul</v>
      </c>
      <c r="N4693">
        <f t="shared" si="540"/>
        <v>2025</v>
      </c>
      <c r="O4693" s="2"/>
      <c r="P4693" t="str">
        <f t="shared" si="534"/>
        <v>198345846</v>
      </c>
    </row>
    <row r="4694" spans="1:16" x14ac:dyDescent="0.3">
      <c r="A4694">
        <v>1983</v>
      </c>
      <c r="B4694">
        <v>37</v>
      </c>
      <c r="C4694" t="s">
        <v>26</v>
      </c>
      <c r="D4694" t="s">
        <v>27</v>
      </c>
      <c r="E4694" t="s">
        <v>17</v>
      </c>
      <c r="F4694" t="s">
        <v>18</v>
      </c>
      <c r="G4694" t="s">
        <v>41</v>
      </c>
      <c r="H4694" t="s">
        <v>25</v>
      </c>
      <c r="I4694" s="1">
        <v>3</v>
      </c>
      <c r="J4694" s="2">
        <v>45956</v>
      </c>
      <c r="K4694" s="2">
        <v>45931</v>
      </c>
      <c r="L4694" s="1" t="str">
        <f t="shared" si="538"/>
        <v>dom</v>
      </c>
      <c r="M4694" s="1" t="str">
        <f t="shared" si="539"/>
        <v>out</v>
      </c>
      <c r="N4694">
        <f t="shared" si="540"/>
        <v>2025</v>
      </c>
      <c r="O4694" s="2"/>
      <c r="P4694" t="str">
        <f t="shared" si="534"/>
        <v>198345956</v>
      </c>
    </row>
    <row r="4695" spans="1:16" x14ac:dyDescent="0.3">
      <c r="A4695">
        <v>1983</v>
      </c>
      <c r="B4695">
        <v>37</v>
      </c>
      <c r="C4695" t="s">
        <v>26</v>
      </c>
      <c r="D4695" t="s">
        <v>27</v>
      </c>
      <c r="E4695" t="s">
        <v>17</v>
      </c>
      <c r="F4695" t="s">
        <v>18</v>
      </c>
      <c r="G4695" t="s">
        <v>41</v>
      </c>
      <c r="H4695" t="s">
        <v>25</v>
      </c>
      <c r="I4695" s="1">
        <v>3</v>
      </c>
      <c r="J4695" s="2">
        <v>46075</v>
      </c>
      <c r="K4695" s="2">
        <v>46054</v>
      </c>
      <c r="L4695" s="1" t="str">
        <f t="shared" si="538"/>
        <v>dom</v>
      </c>
      <c r="M4695" s="1" t="str">
        <f t="shared" si="539"/>
        <v>fev</v>
      </c>
      <c r="N4695">
        <f t="shared" si="540"/>
        <v>2026</v>
      </c>
      <c r="O4695" s="2"/>
      <c r="P4695" t="str">
        <f t="shared" si="534"/>
        <v>198346075</v>
      </c>
    </row>
    <row r="4696" spans="1:16" x14ac:dyDescent="0.3">
      <c r="A4696">
        <v>1985</v>
      </c>
      <c r="B4696">
        <v>36</v>
      </c>
      <c r="C4696" t="s">
        <v>15</v>
      </c>
      <c r="D4696" t="s">
        <v>27</v>
      </c>
      <c r="E4696" t="s">
        <v>17</v>
      </c>
      <c r="F4696" t="s">
        <v>18</v>
      </c>
      <c r="G4696" t="s">
        <v>41</v>
      </c>
      <c r="H4696" t="s">
        <v>25</v>
      </c>
      <c r="I4696" s="1">
        <v>2</v>
      </c>
      <c r="J4696" s="2">
        <v>45840</v>
      </c>
      <c r="K4696" s="2">
        <v>45839</v>
      </c>
      <c r="L4696" s="1" t="str">
        <f t="shared" si="538"/>
        <v>qua</v>
      </c>
      <c r="M4696" s="1" t="str">
        <f t="shared" si="539"/>
        <v>jul</v>
      </c>
      <c r="N4696">
        <f t="shared" si="540"/>
        <v>2025</v>
      </c>
      <c r="O4696" s="2"/>
      <c r="P4696" t="str">
        <f t="shared" si="534"/>
        <v>198545840</v>
      </c>
    </row>
    <row r="4697" spans="1:16" x14ac:dyDescent="0.3">
      <c r="A4697">
        <v>1985</v>
      </c>
      <c r="B4697">
        <v>36</v>
      </c>
      <c r="C4697" t="s">
        <v>15</v>
      </c>
      <c r="D4697" t="s">
        <v>27</v>
      </c>
      <c r="E4697" t="s">
        <v>17</v>
      </c>
      <c r="F4697" t="s">
        <v>18</v>
      </c>
      <c r="G4697" t="s">
        <v>41</v>
      </c>
      <c r="H4697" t="s">
        <v>25</v>
      </c>
      <c r="I4697" s="1">
        <v>2</v>
      </c>
      <c r="J4697" s="2">
        <v>45900</v>
      </c>
      <c r="K4697" s="2">
        <v>45870</v>
      </c>
      <c r="L4697" s="1" t="str">
        <f t="shared" si="538"/>
        <v>dom</v>
      </c>
      <c r="M4697" s="1" t="str">
        <f t="shared" si="539"/>
        <v>ago</v>
      </c>
      <c r="N4697">
        <f t="shared" si="540"/>
        <v>2025</v>
      </c>
      <c r="O4697" s="2"/>
      <c r="P4697" t="str">
        <f t="shared" si="534"/>
        <v>198545900</v>
      </c>
    </row>
    <row r="4698" spans="1:16" x14ac:dyDescent="0.3">
      <c r="A4698">
        <v>1985</v>
      </c>
      <c r="B4698">
        <v>36</v>
      </c>
      <c r="C4698" t="s">
        <v>15</v>
      </c>
      <c r="D4698" t="s">
        <v>27</v>
      </c>
      <c r="E4698" t="s">
        <v>17</v>
      </c>
      <c r="F4698" t="s">
        <v>18</v>
      </c>
      <c r="G4698" t="s">
        <v>41</v>
      </c>
      <c r="H4698" t="s">
        <v>25</v>
      </c>
      <c r="I4698" s="1">
        <v>2</v>
      </c>
      <c r="J4698" s="2">
        <v>45901</v>
      </c>
      <c r="K4698" s="2">
        <v>45901</v>
      </c>
      <c r="L4698" s="1" t="str">
        <f t="shared" si="538"/>
        <v>seg</v>
      </c>
      <c r="M4698" s="1" t="str">
        <f t="shared" si="539"/>
        <v>set</v>
      </c>
      <c r="N4698">
        <f t="shared" si="540"/>
        <v>2025</v>
      </c>
      <c r="O4698" s="2"/>
      <c r="P4698" t="str">
        <f t="shared" si="534"/>
        <v>198545901</v>
      </c>
    </row>
    <row r="4699" spans="1:16" x14ac:dyDescent="0.3">
      <c r="A4699">
        <v>1985</v>
      </c>
      <c r="B4699">
        <v>36</v>
      </c>
      <c r="C4699" t="s">
        <v>15</v>
      </c>
      <c r="D4699" t="s">
        <v>27</v>
      </c>
      <c r="E4699" t="s">
        <v>17</v>
      </c>
      <c r="F4699" t="s">
        <v>18</v>
      </c>
      <c r="G4699" t="s">
        <v>41</v>
      </c>
      <c r="H4699" t="s">
        <v>25</v>
      </c>
      <c r="I4699" s="1">
        <v>2</v>
      </c>
      <c r="J4699" s="2">
        <v>45916</v>
      </c>
      <c r="K4699" s="2">
        <v>45901</v>
      </c>
      <c r="L4699" s="1" t="str">
        <f t="shared" si="538"/>
        <v>ter</v>
      </c>
      <c r="M4699" s="1" t="str">
        <f t="shared" si="539"/>
        <v>set</v>
      </c>
      <c r="N4699">
        <f t="shared" si="540"/>
        <v>2025</v>
      </c>
      <c r="O4699" s="2"/>
      <c r="P4699" t="str">
        <f t="shared" si="534"/>
        <v>198545916</v>
      </c>
    </row>
    <row r="4700" spans="1:16" x14ac:dyDescent="0.3">
      <c r="A4700">
        <v>1985</v>
      </c>
      <c r="B4700">
        <v>36</v>
      </c>
      <c r="C4700" t="s">
        <v>15</v>
      </c>
      <c r="D4700" t="s">
        <v>27</v>
      </c>
      <c r="E4700" t="s">
        <v>17</v>
      </c>
      <c r="F4700" t="s">
        <v>18</v>
      </c>
      <c r="G4700" t="s">
        <v>41</v>
      </c>
      <c r="H4700" t="s">
        <v>25</v>
      </c>
      <c r="I4700" s="1">
        <v>2</v>
      </c>
      <c r="J4700" s="2">
        <v>45954</v>
      </c>
      <c r="K4700" s="2">
        <v>45931</v>
      </c>
      <c r="L4700" s="1" t="str">
        <f t="shared" si="538"/>
        <v>sex</v>
      </c>
      <c r="M4700" s="1" t="str">
        <f t="shared" si="539"/>
        <v>out</v>
      </c>
      <c r="N4700">
        <f t="shared" si="540"/>
        <v>2025</v>
      </c>
      <c r="O4700" s="2"/>
      <c r="P4700" t="str">
        <f t="shared" si="534"/>
        <v>198545954</v>
      </c>
    </row>
    <row r="4701" spans="1:16" x14ac:dyDescent="0.3">
      <c r="A4701">
        <v>1985</v>
      </c>
      <c r="B4701">
        <v>36</v>
      </c>
      <c r="C4701" t="s">
        <v>15</v>
      </c>
      <c r="D4701" t="s">
        <v>27</v>
      </c>
      <c r="E4701" t="s">
        <v>17</v>
      </c>
      <c r="F4701" t="s">
        <v>18</v>
      </c>
      <c r="G4701" t="s">
        <v>41</v>
      </c>
      <c r="H4701" t="s">
        <v>25</v>
      </c>
      <c r="I4701" s="1">
        <v>2</v>
      </c>
      <c r="J4701" s="2">
        <v>45995</v>
      </c>
      <c r="K4701" s="2">
        <v>45992</v>
      </c>
      <c r="L4701" s="1" t="str">
        <f t="shared" si="538"/>
        <v>qui</v>
      </c>
      <c r="M4701" s="1" t="str">
        <f t="shared" si="539"/>
        <v>dez</v>
      </c>
      <c r="N4701">
        <f t="shared" si="540"/>
        <v>2025</v>
      </c>
      <c r="O4701" s="2"/>
      <c r="P4701" t="str">
        <f t="shared" si="534"/>
        <v>198545995</v>
      </c>
    </row>
    <row r="4702" spans="1:16" x14ac:dyDescent="0.3">
      <c r="A4702">
        <v>1986</v>
      </c>
      <c r="B4702">
        <v>20</v>
      </c>
      <c r="C4702" t="s">
        <v>26</v>
      </c>
      <c r="D4702" t="s">
        <v>22</v>
      </c>
      <c r="E4702" t="s">
        <v>17</v>
      </c>
      <c r="F4702" t="s">
        <v>23</v>
      </c>
      <c r="G4702" t="s">
        <v>41</v>
      </c>
      <c r="H4702" t="s">
        <v>25</v>
      </c>
      <c r="I4702" s="1">
        <v>1</v>
      </c>
      <c r="J4702" s="2">
        <v>45902</v>
      </c>
      <c r="K4702" s="2">
        <v>45901</v>
      </c>
      <c r="L4702" s="1" t="str">
        <f t="shared" si="538"/>
        <v>ter</v>
      </c>
      <c r="M4702" s="1" t="str">
        <f t="shared" si="539"/>
        <v>set</v>
      </c>
      <c r="N4702">
        <f t="shared" si="540"/>
        <v>2025</v>
      </c>
      <c r="O4702" s="2"/>
      <c r="P4702" t="str">
        <f t="shared" si="534"/>
        <v>198645902</v>
      </c>
    </row>
    <row r="4703" spans="1:16" x14ac:dyDescent="0.3">
      <c r="A4703">
        <v>1986</v>
      </c>
      <c r="B4703">
        <v>20</v>
      </c>
      <c r="C4703" t="s">
        <v>26</v>
      </c>
      <c r="D4703" t="s">
        <v>22</v>
      </c>
      <c r="E4703" t="s">
        <v>17</v>
      </c>
      <c r="F4703" t="s">
        <v>23</v>
      </c>
      <c r="G4703" t="s">
        <v>41</v>
      </c>
      <c r="H4703" t="s">
        <v>25</v>
      </c>
      <c r="I4703" s="1">
        <v>1</v>
      </c>
      <c r="J4703" s="2">
        <v>46195</v>
      </c>
      <c r="K4703" s="2">
        <v>46023</v>
      </c>
      <c r="L4703" s="1" t="str">
        <f t="shared" si="538"/>
        <v>seg</v>
      </c>
      <c r="M4703" s="1" t="str">
        <f t="shared" si="539"/>
        <v>jun</v>
      </c>
      <c r="N4703">
        <f t="shared" si="540"/>
        <v>2026</v>
      </c>
      <c r="O4703" s="2"/>
      <c r="P4703" t="str">
        <f t="shared" si="534"/>
        <v>198646195</v>
      </c>
    </row>
    <row r="4704" spans="1:16" x14ac:dyDescent="0.3">
      <c r="A4704">
        <v>1986</v>
      </c>
      <c r="B4704">
        <v>20</v>
      </c>
      <c r="C4704" t="s">
        <v>26</v>
      </c>
      <c r="D4704" t="s">
        <v>22</v>
      </c>
      <c r="E4704" t="s">
        <v>17</v>
      </c>
      <c r="F4704" t="s">
        <v>23</v>
      </c>
      <c r="G4704" t="s">
        <v>41</v>
      </c>
      <c r="H4704" t="s">
        <v>25</v>
      </c>
      <c r="I4704" s="1">
        <v>1</v>
      </c>
      <c r="J4704" s="2">
        <v>46081</v>
      </c>
      <c r="K4704" s="2">
        <v>46054</v>
      </c>
      <c r="L4704" s="1" t="str">
        <f t="shared" si="538"/>
        <v>sáb</v>
      </c>
      <c r="M4704" s="1" t="str">
        <f t="shared" si="539"/>
        <v>fev</v>
      </c>
      <c r="N4704">
        <f t="shared" si="540"/>
        <v>2026</v>
      </c>
      <c r="O4704" s="2"/>
      <c r="P4704" t="str">
        <f t="shared" si="534"/>
        <v>198646081</v>
      </c>
    </row>
    <row r="4705" spans="1:16" x14ac:dyDescent="0.3">
      <c r="A4705">
        <v>1986</v>
      </c>
      <c r="B4705">
        <v>20</v>
      </c>
      <c r="C4705" t="s">
        <v>26</v>
      </c>
      <c r="D4705" t="s">
        <v>22</v>
      </c>
      <c r="E4705" t="s">
        <v>17</v>
      </c>
      <c r="F4705" t="s">
        <v>23</v>
      </c>
      <c r="G4705" t="s">
        <v>41</v>
      </c>
      <c r="H4705" t="s">
        <v>25</v>
      </c>
      <c r="I4705" s="1">
        <v>1</v>
      </c>
      <c r="J4705" s="2">
        <v>46089</v>
      </c>
      <c r="K4705" s="2">
        <v>46082</v>
      </c>
      <c r="L4705" s="1" t="str">
        <f t="shared" si="538"/>
        <v>dom</v>
      </c>
      <c r="M4705" s="1" t="str">
        <f t="shared" si="539"/>
        <v>mar</v>
      </c>
      <c r="N4705">
        <f t="shared" si="540"/>
        <v>2026</v>
      </c>
      <c r="O4705" s="2"/>
      <c r="P4705" t="str">
        <f t="shared" si="534"/>
        <v>198646089</v>
      </c>
    </row>
    <row r="4706" spans="1:16" x14ac:dyDescent="0.3">
      <c r="A4706">
        <v>1988</v>
      </c>
      <c r="B4706">
        <v>39</v>
      </c>
      <c r="C4706" t="s">
        <v>15</v>
      </c>
      <c r="D4706" t="s">
        <v>29</v>
      </c>
      <c r="E4706" t="s">
        <v>17</v>
      </c>
      <c r="F4706" t="s">
        <v>23</v>
      </c>
      <c r="G4706" t="s">
        <v>41</v>
      </c>
      <c r="H4706" t="s">
        <v>25</v>
      </c>
      <c r="I4706" s="1">
        <v>1</v>
      </c>
      <c r="J4706" s="2">
        <v>45819</v>
      </c>
      <c r="K4706" s="2">
        <v>45809</v>
      </c>
      <c r="L4706" s="1" t="str">
        <f t="shared" si="538"/>
        <v>qua</v>
      </c>
      <c r="M4706" s="1" t="str">
        <f t="shared" si="539"/>
        <v>jun</v>
      </c>
      <c r="N4706">
        <f t="shared" si="540"/>
        <v>2025</v>
      </c>
      <c r="O4706" s="2"/>
      <c r="P4706" t="str">
        <f t="shared" si="534"/>
        <v>198845819</v>
      </c>
    </row>
    <row r="4707" spans="1:16" x14ac:dyDescent="0.3">
      <c r="A4707">
        <v>1988</v>
      </c>
      <c r="B4707">
        <v>39</v>
      </c>
      <c r="C4707" t="s">
        <v>15</v>
      </c>
      <c r="D4707" t="s">
        <v>29</v>
      </c>
      <c r="E4707" t="s">
        <v>17</v>
      </c>
      <c r="F4707" t="s">
        <v>23</v>
      </c>
      <c r="G4707" t="s">
        <v>41</v>
      </c>
      <c r="H4707" t="s">
        <v>25</v>
      </c>
      <c r="I4707" s="1">
        <v>1</v>
      </c>
      <c r="J4707" s="2">
        <v>45826</v>
      </c>
      <c r="K4707" s="2">
        <v>45809</v>
      </c>
      <c r="L4707" s="1" t="str">
        <f t="shared" si="538"/>
        <v>qua</v>
      </c>
      <c r="M4707" s="1" t="str">
        <f t="shared" si="539"/>
        <v>jun</v>
      </c>
      <c r="N4707">
        <f t="shared" si="540"/>
        <v>2025</v>
      </c>
      <c r="O4707" s="2"/>
      <c r="P4707" t="str">
        <f t="shared" si="534"/>
        <v>198845826</v>
      </c>
    </row>
    <row r="4708" spans="1:16" x14ac:dyDescent="0.3">
      <c r="A4708">
        <v>1988</v>
      </c>
      <c r="B4708">
        <v>39</v>
      </c>
      <c r="C4708" t="s">
        <v>15</v>
      </c>
      <c r="D4708" t="s">
        <v>29</v>
      </c>
      <c r="E4708" t="s">
        <v>17</v>
      </c>
      <c r="F4708" t="s">
        <v>23</v>
      </c>
      <c r="G4708" t="s">
        <v>41</v>
      </c>
      <c r="H4708" t="s">
        <v>25</v>
      </c>
      <c r="I4708" s="1">
        <v>1</v>
      </c>
      <c r="J4708" s="2">
        <v>46006</v>
      </c>
      <c r="K4708" s="2">
        <v>45992</v>
      </c>
      <c r="L4708" s="1" t="str">
        <f t="shared" si="538"/>
        <v>seg</v>
      </c>
      <c r="M4708" s="1" t="str">
        <f t="shared" si="539"/>
        <v>dez</v>
      </c>
      <c r="N4708">
        <f t="shared" si="540"/>
        <v>2025</v>
      </c>
      <c r="O4708" s="2"/>
      <c r="P4708" t="str">
        <f t="shared" si="534"/>
        <v>198846006</v>
      </c>
    </row>
    <row r="4709" spans="1:16" x14ac:dyDescent="0.3">
      <c r="A4709">
        <v>1989</v>
      </c>
      <c r="B4709">
        <v>52</v>
      </c>
      <c r="C4709" t="s">
        <v>15</v>
      </c>
      <c r="D4709" t="s">
        <v>29</v>
      </c>
      <c r="E4709" t="s">
        <v>17</v>
      </c>
      <c r="F4709" t="s">
        <v>21</v>
      </c>
      <c r="G4709" t="s">
        <v>41</v>
      </c>
      <c r="H4709" t="s">
        <v>25</v>
      </c>
      <c r="I4709" s="1">
        <v>3</v>
      </c>
      <c r="J4709" s="2">
        <v>45823</v>
      </c>
      <c r="K4709" s="2">
        <v>45809</v>
      </c>
      <c r="L4709" s="1" t="str">
        <f t="shared" si="538"/>
        <v>dom</v>
      </c>
      <c r="M4709" s="1" t="str">
        <f t="shared" si="539"/>
        <v>jun</v>
      </c>
      <c r="N4709">
        <f t="shared" si="540"/>
        <v>2025</v>
      </c>
      <c r="O4709" s="2"/>
      <c r="P4709" t="str">
        <f t="shared" si="534"/>
        <v>198945823</v>
      </c>
    </row>
    <row r="4710" spans="1:16" x14ac:dyDescent="0.3">
      <c r="A4710">
        <v>1989</v>
      </c>
      <c r="B4710">
        <v>52</v>
      </c>
      <c r="C4710" t="s">
        <v>15</v>
      </c>
      <c r="D4710" t="s">
        <v>29</v>
      </c>
      <c r="E4710" t="s">
        <v>17</v>
      </c>
      <c r="F4710" t="s">
        <v>21</v>
      </c>
      <c r="G4710" t="s">
        <v>41</v>
      </c>
      <c r="H4710" t="s">
        <v>25</v>
      </c>
      <c r="I4710" s="1">
        <v>3</v>
      </c>
      <c r="J4710" s="2">
        <v>45917</v>
      </c>
      <c r="K4710" s="2">
        <v>45901</v>
      </c>
      <c r="L4710" s="1" t="str">
        <f t="shared" si="538"/>
        <v>qua</v>
      </c>
      <c r="M4710" s="1" t="str">
        <f t="shared" si="539"/>
        <v>set</v>
      </c>
      <c r="N4710">
        <f t="shared" si="540"/>
        <v>2025</v>
      </c>
      <c r="O4710" s="2"/>
      <c r="P4710" t="str">
        <f t="shared" si="534"/>
        <v>198945917</v>
      </c>
    </row>
    <row r="4711" spans="1:16" x14ac:dyDescent="0.3">
      <c r="A4711">
        <v>1989</v>
      </c>
      <c r="B4711">
        <v>52</v>
      </c>
      <c r="C4711" t="s">
        <v>15</v>
      </c>
      <c r="D4711" t="s">
        <v>29</v>
      </c>
      <c r="E4711" t="s">
        <v>17</v>
      </c>
      <c r="F4711" t="s">
        <v>21</v>
      </c>
      <c r="G4711" t="s">
        <v>41</v>
      </c>
      <c r="H4711" t="s">
        <v>25</v>
      </c>
      <c r="I4711" s="1">
        <v>3</v>
      </c>
      <c r="J4711" s="2">
        <v>45932</v>
      </c>
      <c r="K4711" s="2">
        <v>45931</v>
      </c>
      <c r="L4711" s="1" t="str">
        <f t="shared" si="538"/>
        <v>qui</v>
      </c>
      <c r="M4711" s="1" t="str">
        <f t="shared" si="539"/>
        <v>out</v>
      </c>
      <c r="N4711">
        <f t="shared" si="540"/>
        <v>2025</v>
      </c>
      <c r="O4711" s="2"/>
      <c r="P4711" t="str">
        <f t="shared" si="534"/>
        <v>198945932</v>
      </c>
    </row>
    <row r="4712" spans="1:16" x14ac:dyDescent="0.3">
      <c r="A4712">
        <v>1989</v>
      </c>
      <c r="B4712">
        <v>52</v>
      </c>
      <c r="C4712" t="s">
        <v>15</v>
      </c>
      <c r="D4712" t="s">
        <v>29</v>
      </c>
      <c r="E4712" t="s">
        <v>17</v>
      </c>
      <c r="F4712" t="s">
        <v>21</v>
      </c>
      <c r="G4712" t="s">
        <v>41</v>
      </c>
      <c r="H4712" t="s">
        <v>25</v>
      </c>
      <c r="I4712" s="1">
        <v>3</v>
      </c>
      <c r="J4712" s="2">
        <v>46055</v>
      </c>
      <c r="K4712" s="2">
        <v>46054</v>
      </c>
      <c r="L4712" s="1" t="str">
        <f t="shared" si="538"/>
        <v>seg</v>
      </c>
      <c r="M4712" s="1" t="str">
        <f t="shared" si="539"/>
        <v>fev</v>
      </c>
      <c r="N4712">
        <f t="shared" si="540"/>
        <v>2026</v>
      </c>
      <c r="O4712" s="2"/>
      <c r="P4712" t="str">
        <f t="shared" si="534"/>
        <v>198946055</v>
      </c>
    </row>
    <row r="4713" spans="1:16" x14ac:dyDescent="0.3">
      <c r="A4713">
        <v>1989</v>
      </c>
      <c r="B4713">
        <v>52</v>
      </c>
      <c r="C4713" t="s">
        <v>15</v>
      </c>
      <c r="D4713" t="s">
        <v>29</v>
      </c>
      <c r="E4713" t="s">
        <v>17</v>
      </c>
      <c r="F4713" t="s">
        <v>21</v>
      </c>
      <c r="G4713" t="s">
        <v>41</v>
      </c>
      <c r="H4713" t="s">
        <v>25</v>
      </c>
      <c r="I4713" s="1">
        <v>3</v>
      </c>
      <c r="J4713" s="2">
        <v>46056</v>
      </c>
      <c r="K4713" s="2">
        <v>46054</v>
      </c>
      <c r="L4713" s="1" t="str">
        <f t="shared" si="538"/>
        <v>ter</v>
      </c>
      <c r="M4713" s="1" t="str">
        <f t="shared" si="539"/>
        <v>fev</v>
      </c>
      <c r="N4713">
        <f t="shared" si="540"/>
        <v>2026</v>
      </c>
      <c r="O4713" s="2"/>
      <c r="P4713" t="str">
        <f t="shared" si="534"/>
        <v>198946056</v>
      </c>
    </row>
    <row r="4714" spans="1:16" x14ac:dyDescent="0.3">
      <c r="A4714">
        <v>1991</v>
      </c>
      <c r="B4714">
        <v>49</v>
      </c>
      <c r="C4714" t="s">
        <v>15</v>
      </c>
      <c r="D4714" t="s">
        <v>16</v>
      </c>
      <c r="E4714" t="s">
        <v>17</v>
      </c>
      <c r="F4714" t="s">
        <v>21</v>
      </c>
      <c r="G4714" t="s">
        <v>41</v>
      </c>
      <c r="H4714" t="s">
        <v>25</v>
      </c>
      <c r="I4714" s="1">
        <v>1</v>
      </c>
      <c r="J4714" s="2">
        <v>45889</v>
      </c>
      <c r="K4714" s="2">
        <v>45870</v>
      </c>
      <c r="L4714" s="1" t="str">
        <f t="shared" si="538"/>
        <v>qua</v>
      </c>
      <c r="M4714" s="1" t="str">
        <f t="shared" si="539"/>
        <v>ago</v>
      </c>
      <c r="N4714">
        <f t="shared" si="540"/>
        <v>2025</v>
      </c>
      <c r="O4714" s="2"/>
      <c r="P4714" t="str">
        <f t="shared" si="534"/>
        <v>199145889</v>
      </c>
    </row>
    <row r="4715" spans="1:16" x14ac:dyDescent="0.3">
      <c r="A4715">
        <v>1991</v>
      </c>
      <c r="B4715">
        <v>49</v>
      </c>
      <c r="C4715" t="s">
        <v>15</v>
      </c>
      <c r="D4715" t="s">
        <v>16</v>
      </c>
      <c r="E4715" t="s">
        <v>17</v>
      </c>
      <c r="F4715" t="s">
        <v>21</v>
      </c>
      <c r="G4715" t="s">
        <v>41</v>
      </c>
      <c r="H4715" t="s">
        <v>25</v>
      </c>
      <c r="I4715" s="1">
        <v>1</v>
      </c>
      <c r="J4715" s="2">
        <v>45901</v>
      </c>
      <c r="K4715" s="2">
        <v>45901</v>
      </c>
      <c r="L4715" s="1" t="str">
        <f t="shared" si="538"/>
        <v>seg</v>
      </c>
      <c r="M4715" s="1" t="str">
        <f t="shared" si="539"/>
        <v>set</v>
      </c>
      <c r="N4715">
        <f t="shared" si="540"/>
        <v>2025</v>
      </c>
      <c r="O4715" s="2"/>
      <c r="P4715" t="str">
        <f t="shared" si="534"/>
        <v>199145901</v>
      </c>
    </row>
    <row r="4716" spans="1:16" x14ac:dyDescent="0.3">
      <c r="A4716">
        <v>1991</v>
      </c>
      <c r="B4716">
        <v>49</v>
      </c>
      <c r="C4716" t="s">
        <v>15</v>
      </c>
      <c r="D4716" t="s">
        <v>16</v>
      </c>
      <c r="E4716" t="s">
        <v>17</v>
      </c>
      <c r="F4716" t="s">
        <v>21</v>
      </c>
      <c r="G4716" t="s">
        <v>41</v>
      </c>
      <c r="H4716" t="s">
        <v>25</v>
      </c>
      <c r="I4716" s="1">
        <v>1</v>
      </c>
      <c r="J4716" s="2">
        <v>45944</v>
      </c>
      <c r="K4716" s="2">
        <v>45931</v>
      </c>
      <c r="L4716" s="1" t="str">
        <f t="shared" si="538"/>
        <v>ter</v>
      </c>
      <c r="M4716" s="1" t="str">
        <f t="shared" si="539"/>
        <v>out</v>
      </c>
      <c r="N4716">
        <f t="shared" si="540"/>
        <v>2025</v>
      </c>
      <c r="O4716" s="2"/>
      <c r="P4716" t="str">
        <f t="shared" si="534"/>
        <v>199145944</v>
      </c>
    </row>
    <row r="4717" spans="1:16" x14ac:dyDescent="0.3">
      <c r="A4717">
        <v>1991</v>
      </c>
      <c r="B4717">
        <v>49</v>
      </c>
      <c r="C4717" t="s">
        <v>15</v>
      </c>
      <c r="D4717" t="s">
        <v>16</v>
      </c>
      <c r="E4717" t="s">
        <v>17</v>
      </c>
      <c r="F4717" t="s">
        <v>21</v>
      </c>
      <c r="G4717" t="s">
        <v>41</v>
      </c>
      <c r="H4717" t="s">
        <v>25</v>
      </c>
      <c r="I4717" s="1">
        <v>1</v>
      </c>
      <c r="J4717" s="2">
        <v>46198</v>
      </c>
      <c r="K4717" s="2">
        <v>46023</v>
      </c>
      <c r="L4717" s="1" t="str">
        <f t="shared" si="538"/>
        <v>qui</v>
      </c>
      <c r="M4717" s="1" t="str">
        <f t="shared" si="539"/>
        <v>jun</v>
      </c>
      <c r="N4717">
        <f t="shared" si="540"/>
        <v>2026</v>
      </c>
      <c r="O4717" s="2"/>
      <c r="P4717" t="str">
        <f t="shared" si="534"/>
        <v>199146198</v>
      </c>
    </row>
    <row r="4718" spans="1:16" x14ac:dyDescent="0.3">
      <c r="A4718">
        <v>1991</v>
      </c>
      <c r="B4718">
        <v>49</v>
      </c>
      <c r="C4718" t="s">
        <v>15</v>
      </c>
      <c r="D4718" t="s">
        <v>16</v>
      </c>
      <c r="E4718" t="s">
        <v>17</v>
      </c>
      <c r="F4718" t="s">
        <v>21</v>
      </c>
      <c r="G4718" t="s">
        <v>41</v>
      </c>
      <c r="H4718" t="s">
        <v>25</v>
      </c>
      <c r="I4718" s="1">
        <v>1</v>
      </c>
      <c r="J4718" s="2">
        <v>46104</v>
      </c>
      <c r="K4718" s="2">
        <v>46082</v>
      </c>
      <c r="L4718" s="1" t="str">
        <f t="shared" si="538"/>
        <v>seg</v>
      </c>
      <c r="M4718" s="1" t="str">
        <f t="shared" si="539"/>
        <v>mar</v>
      </c>
      <c r="N4718">
        <f t="shared" si="540"/>
        <v>2026</v>
      </c>
      <c r="O4718" s="2"/>
      <c r="P4718" t="str">
        <f t="shared" si="534"/>
        <v>199146104</v>
      </c>
    </row>
    <row r="4719" spans="1:16" x14ac:dyDescent="0.3">
      <c r="A4719">
        <v>1992</v>
      </c>
      <c r="B4719">
        <v>24</v>
      </c>
      <c r="C4719" t="s">
        <v>26</v>
      </c>
      <c r="D4719" t="s">
        <v>27</v>
      </c>
      <c r="E4719" t="s">
        <v>17</v>
      </c>
      <c r="F4719" t="s">
        <v>18</v>
      </c>
      <c r="G4719" t="s">
        <v>41</v>
      </c>
      <c r="H4719" t="s">
        <v>25</v>
      </c>
      <c r="I4719" s="1">
        <v>3</v>
      </c>
      <c r="J4719" s="2">
        <v>45773</v>
      </c>
      <c r="K4719" s="2">
        <v>45748</v>
      </c>
      <c r="L4719" s="1" t="str">
        <f t="shared" si="538"/>
        <v>sáb</v>
      </c>
      <c r="M4719" s="1" t="str">
        <f t="shared" si="539"/>
        <v>abr</v>
      </c>
      <c r="N4719">
        <f t="shared" si="540"/>
        <v>2025</v>
      </c>
      <c r="O4719" s="2"/>
      <c r="P4719" t="str">
        <f t="shared" si="534"/>
        <v>199245773</v>
      </c>
    </row>
    <row r="4720" spans="1:16" x14ac:dyDescent="0.3">
      <c r="A4720">
        <v>1992</v>
      </c>
      <c r="B4720">
        <v>24</v>
      </c>
      <c r="C4720" t="s">
        <v>26</v>
      </c>
      <c r="D4720" t="s">
        <v>27</v>
      </c>
      <c r="E4720" t="s">
        <v>17</v>
      </c>
      <c r="F4720" t="s">
        <v>18</v>
      </c>
      <c r="G4720" t="s">
        <v>41</v>
      </c>
      <c r="H4720" t="s">
        <v>25</v>
      </c>
      <c r="I4720" s="1">
        <v>3</v>
      </c>
      <c r="J4720" s="2">
        <v>45829</v>
      </c>
      <c r="K4720" s="2">
        <v>45809</v>
      </c>
      <c r="L4720" s="1" t="str">
        <f t="shared" si="538"/>
        <v>sáb</v>
      </c>
      <c r="M4720" s="1" t="str">
        <f t="shared" si="539"/>
        <v>jun</v>
      </c>
      <c r="N4720">
        <f t="shared" si="540"/>
        <v>2025</v>
      </c>
      <c r="O4720" s="2"/>
      <c r="P4720" t="str">
        <f t="shared" si="534"/>
        <v>199245829</v>
      </c>
    </row>
    <row r="4721" spans="1:16" x14ac:dyDescent="0.3">
      <c r="A4721">
        <v>1992</v>
      </c>
      <c r="B4721">
        <v>24</v>
      </c>
      <c r="C4721" t="s">
        <v>26</v>
      </c>
      <c r="D4721" t="s">
        <v>27</v>
      </c>
      <c r="E4721" t="s">
        <v>17</v>
      </c>
      <c r="F4721" t="s">
        <v>18</v>
      </c>
      <c r="G4721" t="s">
        <v>41</v>
      </c>
      <c r="H4721" t="s">
        <v>25</v>
      </c>
      <c r="I4721" s="1">
        <v>3</v>
      </c>
      <c r="J4721" s="2">
        <v>45862</v>
      </c>
      <c r="K4721" s="2">
        <v>45839</v>
      </c>
      <c r="L4721" s="1" t="str">
        <f t="shared" si="538"/>
        <v>qui</v>
      </c>
      <c r="M4721" s="1" t="str">
        <f t="shared" si="539"/>
        <v>jul</v>
      </c>
      <c r="N4721">
        <f t="shared" si="540"/>
        <v>2025</v>
      </c>
      <c r="O4721" s="2"/>
      <c r="P4721" t="str">
        <f t="shared" si="534"/>
        <v>199245862</v>
      </c>
    </row>
    <row r="4722" spans="1:16" x14ac:dyDescent="0.3">
      <c r="A4722">
        <v>1992</v>
      </c>
      <c r="B4722">
        <v>24</v>
      </c>
      <c r="C4722" t="s">
        <v>26</v>
      </c>
      <c r="D4722" t="s">
        <v>27</v>
      </c>
      <c r="E4722" t="s">
        <v>17</v>
      </c>
      <c r="F4722" t="s">
        <v>18</v>
      </c>
      <c r="G4722" t="s">
        <v>41</v>
      </c>
      <c r="H4722" t="s">
        <v>25</v>
      </c>
      <c r="I4722" s="1">
        <v>3</v>
      </c>
      <c r="J4722" s="2">
        <v>45868</v>
      </c>
      <c r="K4722" s="2">
        <v>45839</v>
      </c>
      <c r="L4722" s="1" t="str">
        <f t="shared" si="538"/>
        <v>qua</v>
      </c>
      <c r="M4722" s="1" t="str">
        <f t="shared" si="539"/>
        <v>jul</v>
      </c>
      <c r="N4722">
        <f t="shared" si="540"/>
        <v>2025</v>
      </c>
      <c r="O4722" s="2"/>
      <c r="P4722" t="str">
        <f t="shared" si="534"/>
        <v>199245868</v>
      </c>
    </row>
    <row r="4723" spans="1:16" x14ac:dyDescent="0.3">
      <c r="A4723">
        <v>1992</v>
      </c>
      <c r="B4723">
        <v>24</v>
      </c>
      <c r="C4723" t="s">
        <v>26</v>
      </c>
      <c r="D4723" t="s">
        <v>27</v>
      </c>
      <c r="E4723" t="s">
        <v>17</v>
      </c>
      <c r="F4723" t="s">
        <v>18</v>
      </c>
      <c r="G4723" t="s">
        <v>41</v>
      </c>
      <c r="H4723" t="s">
        <v>25</v>
      </c>
      <c r="I4723" s="1">
        <v>3</v>
      </c>
      <c r="J4723" s="2">
        <v>45985</v>
      </c>
      <c r="K4723" s="2">
        <v>45962</v>
      </c>
      <c r="L4723" s="1" t="str">
        <f t="shared" si="538"/>
        <v>seg</v>
      </c>
      <c r="M4723" s="1" t="str">
        <f t="shared" si="539"/>
        <v>nov</v>
      </c>
      <c r="N4723">
        <f t="shared" si="540"/>
        <v>2025</v>
      </c>
      <c r="O4723" s="2"/>
      <c r="P4723" t="str">
        <f t="shared" si="534"/>
        <v>199245985</v>
      </c>
    </row>
    <row r="4724" spans="1:16" x14ac:dyDescent="0.3">
      <c r="A4724">
        <v>1992</v>
      </c>
      <c r="B4724">
        <v>24</v>
      </c>
      <c r="C4724" t="s">
        <v>26</v>
      </c>
      <c r="D4724" t="s">
        <v>27</v>
      </c>
      <c r="E4724" t="s">
        <v>17</v>
      </c>
      <c r="F4724" t="s">
        <v>18</v>
      </c>
      <c r="G4724" t="s">
        <v>41</v>
      </c>
      <c r="H4724" t="s">
        <v>25</v>
      </c>
      <c r="I4724" s="1">
        <v>3</v>
      </c>
      <c r="J4724" s="2">
        <v>46017</v>
      </c>
      <c r="K4724" s="2">
        <v>45992</v>
      </c>
      <c r="L4724" s="1" t="str">
        <f t="shared" si="538"/>
        <v>sex</v>
      </c>
      <c r="M4724" s="1" t="str">
        <f t="shared" si="539"/>
        <v>dez</v>
      </c>
      <c r="N4724">
        <f t="shared" si="540"/>
        <v>2025</v>
      </c>
      <c r="O4724" s="2"/>
      <c r="P4724" t="str">
        <f t="shared" si="534"/>
        <v>199246017</v>
      </c>
    </row>
    <row r="4725" spans="1:16" x14ac:dyDescent="0.3">
      <c r="A4725">
        <v>1992</v>
      </c>
      <c r="B4725">
        <v>24</v>
      </c>
      <c r="C4725" t="s">
        <v>26</v>
      </c>
      <c r="D4725" t="s">
        <v>27</v>
      </c>
      <c r="E4725" t="s">
        <v>17</v>
      </c>
      <c r="F4725" t="s">
        <v>18</v>
      </c>
      <c r="G4725" t="s">
        <v>41</v>
      </c>
      <c r="H4725" t="s">
        <v>25</v>
      </c>
      <c r="I4725" s="1">
        <v>3</v>
      </c>
      <c r="J4725" s="2">
        <v>46138</v>
      </c>
      <c r="K4725" s="2">
        <v>46113</v>
      </c>
      <c r="L4725" s="1" t="s">
        <v>54</v>
      </c>
      <c r="M4725" s="1" t="s">
        <v>48</v>
      </c>
      <c r="N4725">
        <v>2025</v>
      </c>
      <c r="O4725" s="2"/>
      <c r="P4725" t="str">
        <f t="shared" si="534"/>
        <v>199246138</v>
      </c>
    </row>
    <row r="4726" spans="1:16" x14ac:dyDescent="0.3">
      <c r="A4726">
        <v>1993</v>
      </c>
      <c r="B4726">
        <v>41</v>
      </c>
      <c r="C4726" t="s">
        <v>26</v>
      </c>
      <c r="D4726" t="s">
        <v>16</v>
      </c>
      <c r="E4726" t="s">
        <v>17</v>
      </c>
      <c r="F4726" t="s">
        <v>18</v>
      </c>
      <c r="G4726" t="s">
        <v>41</v>
      </c>
      <c r="H4726" t="s">
        <v>25</v>
      </c>
      <c r="I4726" s="1">
        <v>2</v>
      </c>
      <c r="J4726" s="2">
        <v>45774</v>
      </c>
      <c r="K4726" s="2">
        <v>45748</v>
      </c>
      <c r="L4726" s="1" t="str">
        <f t="shared" ref="L4726:L4731" si="541">TEXT(J4726,"ddd")</f>
        <v>dom</v>
      </c>
      <c r="M4726" s="1" t="str">
        <f t="shared" ref="M4726:M4731" si="542">TEXT($J4726,"mmm")</f>
        <v>abr</v>
      </c>
      <c r="N4726">
        <f t="shared" ref="N4726:N4731" si="543">YEAR(J4726)</f>
        <v>2025</v>
      </c>
      <c r="O4726" s="2"/>
      <c r="P4726" t="str">
        <f t="shared" si="534"/>
        <v>199345774</v>
      </c>
    </row>
    <row r="4727" spans="1:16" x14ac:dyDescent="0.3">
      <c r="A4727">
        <v>1993</v>
      </c>
      <c r="B4727">
        <v>41</v>
      </c>
      <c r="C4727" t="s">
        <v>26</v>
      </c>
      <c r="D4727" t="s">
        <v>16</v>
      </c>
      <c r="E4727" t="s">
        <v>17</v>
      </c>
      <c r="F4727" t="s">
        <v>18</v>
      </c>
      <c r="G4727" t="s">
        <v>41</v>
      </c>
      <c r="H4727" t="s">
        <v>25</v>
      </c>
      <c r="I4727" s="1">
        <v>2</v>
      </c>
      <c r="J4727" s="2">
        <v>45850</v>
      </c>
      <c r="K4727" s="2">
        <v>45839</v>
      </c>
      <c r="L4727" s="1" t="str">
        <f t="shared" si="541"/>
        <v>sáb</v>
      </c>
      <c r="M4727" s="1" t="str">
        <f t="shared" si="542"/>
        <v>jul</v>
      </c>
      <c r="N4727">
        <f t="shared" si="543"/>
        <v>2025</v>
      </c>
      <c r="O4727" s="2"/>
      <c r="P4727" t="str">
        <f t="shared" si="534"/>
        <v>199345850</v>
      </c>
    </row>
    <row r="4728" spans="1:16" x14ac:dyDescent="0.3">
      <c r="A4728">
        <v>1993</v>
      </c>
      <c r="B4728">
        <v>41</v>
      </c>
      <c r="C4728" t="s">
        <v>26</v>
      </c>
      <c r="D4728" t="s">
        <v>16</v>
      </c>
      <c r="E4728" t="s">
        <v>17</v>
      </c>
      <c r="F4728" t="s">
        <v>18</v>
      </c>
      <c r="G4728" t="s">
        <v>41</v>
      </c>
      <c r="H4728" t="s">
        <v>25</v>
      </c>
      <c r="I4728" s="1">
        <v>2</v>
      </c>
      <c r="J4728" s="2">
        <v>46188</v>
      </c>
      <c r="K4728" s="2">
        <v>46023</v>
      </c>
      <c r="L4728" s="1" t="str">
        <f t="shared" si="541"/>
        <v>seg</v>
      </c>
      <c r="M4728" s="1" t="str">
        <f t="shared" si="542"/>
        <v>jun</v>
      </c>
      <c r="N4728">
        <f t="shared" si="543"/>
        <v>2026</v>
      </c>
      <c r="O4728" s="2"/>
      <c r="P4728" t="str">
        <f t="shared" si="534"/>
        <v>199346188</v>
      </c>
    </row>
    <row r="4729" spans="1:16" x14ac:dyDescent="0.3">
      <c r="A4729">
        <v>1993</v>
      </c>
      <c r="B4729">
        <v>41</v>
      </c>
      <c r="C4729" t="s">
        <v>26</v>
      </c>
      <c r="D4729" t="s">
        <v>16</v>
      </c>
      <c r="E4729" t="s">
        <v>17</v>
      </c>
      <c r="F4729" t="s">
        <v>18</v>
      </c>
      <c r="G4729" t="s">
        <v>41</v>
      </c>
      <c r="H4729" t="s">
        <v>25</v>
      </c>
      <c r="I4729" s="1">
        <v>2</v>
      </c>
      <c r="J4729" s="2">
        <v>46189</v>
      </c>
      <c r="K4729" s="2">
        <v>45658</v>
      </c>
      <c r="L4729" s="1" t="str">
        <f t="shared" si="541"/>
        <v>ter</v>
      </c>
      <c r="M4729" s="1" t="str">
        <f t="shared" si="542"/>
        <v>jun</v>
      </c>
      <c r="N4729">
        <f t="shared" si="543"/>
        <v>2026</v>
      </c>
      <c r="O4729" s="2"/>
      <c r="P4729" t="str">
        <f t="shared" si="534"/>
        <v>199346189</v>
      </c>
    </row>
    <row r="4730" spans="1:16" x14ac:dyDescent="0.3">
      <c r="A4730">
        <v>1993</v>
      </c>
      <c r="B4730">
        <v>41</v>
      </c>
      <c r="C4730" t="s">
        <v>26</v>
      </c>
      <c r="D4730" t="s">
        <v>16</v>
      </c>
      <c r="E4730" t="s">
        <v>17</v>
      </c>
      <c r="F4730" t="s">
        <v>18</v>
      </c>
      <c r="G4730" t="s">
        <v>41</v>
      </c>
      <c r="H4730" t="s">
        <v>25</v>
      </c>
      <c r="I4730" s="1">
        <v>2</v>
      </c>
      <c r="J4730" s="2">
        <v>46076</v>
      </c>
      <c r="K4730" s="2">
        <v>46054</v>
      </c>
      <c r="L4730" s="1" t="str">
        <f t="shared" si="541"/>
        <v>seg</v>
      </c>
      <c r="M4730" s="1" t="str">
        <f t="shared" si="542"/>
        <v>fev</v>
      </c>
      <c r="N4730">
        <f t="shared" si="543"/>
        <v>2026</v>
      </c>
      <c r="O4730" s="2"/>
      <c r="P4730" t="str">
        <f t="shared" si="534"/>
        <v>199346076</v>
      </c>
    </row>
    <row r="4731" spans="1:16" x14ac:dyDescent="0.3">
      <c r="A4731">
        <v>1993</v>
      </c>
      <c r="B4731">
        <v>41</v>
      </c>
      <c r="C4731" t="s">
        <v>26</v>
      </c>
      <c r="D4731" t="s">
        <v>16</v>
      </c>
      <c r="E4731" t="s">
        <v>17</v>
      </c>
      <c r="F4731" t="s">
        <v>18</v>
      </c>
      <c r="G4731" t="s">
        <v>41</v>
      </c>
      <c r="H4731" t="s">
        <v>25</v>
      </c>
      <c r="I4731" s="1">
        <v>2</v>
      </c>
      <c r="J4731" s="2">
        <v>46089</v>
      </c>
      <c r="K4731" s="2">
        <v>46082</v>
      </c>
      <c r="L4731" s="1" t="str">
        <f t="shared" si="541"/>
        <v>dom</v>
      </c>
      <c r="M4731" s="1" t="str">
        <f t="shared" si="542"/>
        <v>mar</v>
      </c>
      <c r="N4731">
        <f t="shared" si="543"/>
        <v>2026</v>
      </c>
      <c r="O4731" s="2"/>
      <c r="P4731" t="str">
        <f t="shared" si="534"/>
        <v>199346089</v>
      </c>
    </row>
    <row r="4732" spans="1:16" x14ac:dyDescent="0.3">
      <c r="A4732">
        <v>1993</v>
      </c>
      <c r="B4732">
        <v>41</v>
      </c>
      <c r="C4732" t="s">
        <v>26</v>
      </c>
      <c r="D4732" t="s">
        <v>16</v>
      </c>
      <c r="E4732" t="s">
        <v>17</v>
      </c>
      <c r="F4732" t="s">
        <v>18</v>
      </c>
      <c r="G4732" t="s">
        <v>41</v>
      </c>
      <c r="H4732" t="s">
        <v>25</v>
      </c>
      <c r="I4732" s="1">
        <v>2</v>
      </c>
      <c r="J4732" s="2">
        <v>46139</v>
      </c>
      <c r="K4732" s="2">
        <v>46113</v>
      </c>
      <c r="L4732" s="1" t="s">
        <v>55</v>
      </c>
      <c r="M4732" s="1" t="s">
        <v>48</v>
      </c>
      <c r="N4732">
        <v>2025</v>
      </c>
      <c r="O4732" s="2"/>
      <c r="P4732" t="str">
        <f t="shared" si="534"/>
        <v>199346139</v>
      </c>
    </row>
    <row r="4733" spans="1:16" x14ac:dyDescent="0.3">
      <c r="A4733">
        <v>1994</v>
      </c>
      <c r="B4733">
        <v>26</v>
      </c>
      <c r="C4733" t="s">
        <v>15</v>
      </c>
      <c r="D4733" t="s">
        <v>16</v>
      </c>
      <c r="E4733" t="s">
        <v>17</v>
      </c>
      <c r="F4733" t="s">
        <v>21</v>
      </c>
      <c r="G4733" t="s">
        <v>41</v>
      </c>
      <c r="H4733" t="s">
        <v>25</v>
      </c>
      <c r="I4733" s="1">
        <v>3</v>
      </c>
      <c r="J4733" s="2">
        <v>45814</v>
      </c>
      <c r="K4733" s="2">
        <v>45809</v>
      </c>
      <c r="L4733" s="1" t="str">
        <f t="shared" ref="L4733:L4764" si="544">TEXT(J4733,"ddd")</f>
        <v>sex</v>
      </c>
      <c r="M4733" s="1" t="str">
        <f t="shared" ref="M4733:M4764" si="545">TEXT($J4733,"mmm")</f>
        <v>jun</v>
      </c>
      <c r="N4733">
        <f t="shared" ref="N4733:N4764" si="546">YEAR(J4733)</f>
        <v>2025</v>
      </c>
      <c r="O4733" s="2"/>
      <c r="P4733" t="str">
        <f t="shared" ref="P4733:P4796" si="547">CONCATENATE(A4733,J4733)</f>
        <v>199445814</v>
      </c>
    </row>
    <row r="4734" spans="1:16" x14ac:dyDescent="0.3">
      <c r="A4734">
        <v>1994</v>
      </c>
      <c r="B4734">
        <v>26</v>
      </c>
      <c r="C4734" t="s">
        <v>15</v>
      </c>
      <c r="D4734" t="s">
        <v>16</v>
      </c>
      <c r="E4734" t="s">
        <v>17</v>
      </c>
      <c r="F4734" t="s">
        <v>21</v>
      </c>
      <c r="G4734" t="s">
        <v>41</v>
      </c>
      <c r="H4734" t="s">
        <v>25</v>
      </c>
      <c r="I4734" s="1">
        <v>3</v>
      </c>
      <c r="J4734" s="2">
        <v>45930</v>
      </c>
      <c r="K4734" s="2">
        <v>45901</v>
      </c>
      <c r="L4734" s="1" t="str">
        <f t="shared" si="544"/>
        <v>ter</v>
      </c>
      <c r="M4734" s="1" t="str">
        <f t="shared" si="545"/>
        <v>set</v>
      </c>
      <c r="N4734">
        <f t="shared" si="546"/>
        <v>2025</v>
      </c>
      <c r="O4734" s="2"/>
      <c r="P4734" t="str">
        <f t="shared" si="547"/>
        <v>199445930</v>
      </c>
    </row>
    <row r="4735" spans="1:16" x14ac:dyDescent="0.3">
      <c r="A4735">
        <v>1994</v>
      </c>
      <c r="B4735">
        <v>26</v>
      </c>
      <c r="C4735" t="s">
        <v>15</v>
      </c>
      <c r="D4735" t="s">
        <v>16</v>
      </c>
      <c r="E4735" t="s">
        <v>17</v>
      </c>
      <c r="F4735" t="s">
        <v>21</v>
      </c>
      <c r="G4735" t="s">
        <v>41</v>
      </c>
      <c r="H4735" t="s">
        <v>25</v>
      </c>
      <c r="I4735" s="1">
        <v>3</v>
      </c>
      <c r="J4735" s="2">
        <v>46067</v>
      </c>
      <c r="K4735" s="2">
        <v>46054</v>
      </c>
      <c r="L4735" s="1" t="str">
        <f t="shared" si="544"/>
        <v>sáb</v>
      </c>
      <c r="M4735" s="1" t="str">
        <f t="shared" si="545"/>
        <v>fev</v>
      </c>
      <c r="N4735">
        <f t="shared" si="546"/>
        <v>2026</v>
      </c>
      <c r="O4735" s="2"/>
      <c r="P4735" t="str">
        <f t="shared" si="547"/>
        <v>199446067</v>
      </c>
    </row>
    <row r="4736" spans="1:16" x14ac:dyDescent="0.3">
      <c r="A4736">
        <v>1994</v>
      </c>
      <c r="B4736">
        <v>26</v>
      </c>
      <c r="C4736" t="s">
        <v>15</v>
      </c>
      <c r="D4736" t="s">
        <v>16</v>
      </c>
      <c r="E4736" t="s">
        <v>17</v>
      </c>
      <c r="F4736" t="s">
        <v>21</v>
      </c>
      <c r="G4736" t="s">
        <v>41</v>
      </c>
      <c r="H4736" t="s">
        <v>25</v>
      </c>
      <c r="I4736" s="1">
        <v>3</v>
      </c>
      <c r="J4736" s="2">
        <v>46084</v>
      </c>
      <c r="K4736" s="2">
        <v>46082</v>
      </c>
      <c r="L4736" s="1" t="str">
        <f t="shared" si="544"/>
        <v>ter</v>
      </c>
      <c r="M4736" s="1" t="str">
        <f t="shared" si="545"/>
        <v>mar</v>
      </c>
      <c r="N4736">
        <f t="shared" si="546"/>
        <v>2026</v>
      </c>
      <c r="O4736" s="2"/>
      <c r="P4736" t="str">
        <f t="shared" si="547"/>
        <v>199446084</v>
      </c>
    </row>
    <row r="4737" spans="1:16" x14ac:dyDescent="0.3">
      <c r="A4737">
        <v>1995</v>
      </c>
      <c r="B4737">
        <v>52</v>
      </c>
      <c r="C4737" t="s">
        <v>26</v>
      </c>
      <c r="D4737" t="s">
        <v>22</v>
      </c>
      <c r="E4737" t="s">
        <v>17</v>
      </c>
      <c r="F4737" t="s">
        <v>23</v>
      </c>
      <c r="G4737" t="s">
        <v>41</v>
      </c>
      <c r="H4737" t="s">
        <v>25</v>
      </c>
      <c r="I4737" s="1">
        <v>2</v>
      </c>
      <c r="J4737" s="2">
        <v>45848</v>
      </c>
      <c r="K4737" s="2">
        <v>45839</v>
      </c>
      <c r="L4737" s="1" t="str">
        <f t="shared" si="544"/>
        <v>qui</v>
      </c>
      <c r="M4737" s="1" t="str">
        <f t="shared" si="545"/>
        <v>jul</v>
      </c>
      <c r="N4737">
        <f t="shared" si="546"/>
        <v>2025</v>
      </c>
      <c r="O4737" s="2"/>
      <c r="P4737" t="str">
        <f t="shared" si="547"/>
        <v>199545848</v>
      </c>
    </row>
    <row r="4738" spans="1:16" x14ac:dyDescent="0.3">
      <c r="A4738">
        <v>1995</v>
      </c>
      <c r="B4738">
        <v>52</v>
      </c>
      <c r="C4738" t="s">
        <v>26</v>
      </c>
      <c r="D4738" t="s">
        <v>22</v>
      </c>
      <c r="E4738" t="s">
        <v>17</v>
      </c>
      <c r="F4738" t="s">
        <v>23</v>
      </c>
      <c r="G4738" t="s">
        <v>41</v>
      </c>
      <c r="H4738" t="s">
        <v>25</v>
      </c>
      <c r="I4738" s="1">
        <v>2</v>
      </c>
      <c r="J4738" s="2">
        <v>45935</v>
      </c>
      <c r="K4738" s="2">
        <v>45931</v>
      </c>
      <c r="L4738" s="1" t="str">
        <f t="shared" si="544"/>
        <v>dom</v>
      </c>
      <c r="M4738" s="1" t="str">
        <f t="shared" si="545"/>
        <v>out</v>
      </c>
      <c r="N4738">
        <f t="shared" si="546"/>
        <v>2025</v>
      </c>
      <c r="O4738" s="2"/>
      <c r="P4738" t="str">
        <f t="shared" si="547"/>
        <v>199545935</v>
      </c>
    </row>
    <row r="4739" spans="1:16" x14ac:dyDescent="0.3">
      <c r="A4739">
        <v>1995</v>
      </c>
      <c r="B4739">
        <v>52</v>
      </c>
      <c r="C4739" t="s">
        <v>26</v>
      </c>
      <c r="D4739" t="s">
        <v>22</v>
      </c>
      <c r="E4739" t="s">
        <v>17</v>
      </c>
      <c r="F4739" t="s">
        <v>23</v>
      </c>
      <c r="G4739" t="s">
        <v>41</v>
      </c>
      <c r="H4739" t="s">
        <v>25</v>
      </c>
      <c r="I4739" s="1">
        <v>2</v>
      </c>
      <c r="J4739" s="2">
        <v>45949</v>
      </c>
      <c r="K4739" s="2">
        <v>45931</v>
      </c>
      <c r="L4739" s="1" t="str">
        <f t="shared" si="544"/>
        <v>dom</v>
      </c>
      <c r="M4739" s="1" t="str">
        <f t="shared" si="545"/>
        <v>out</v>
      </c>
      <c r="N4739">
        <f t="shared" si="546"/>
        <v>2025</v>
      </c>
      <c r="O4739" s="2"/>
      <c r="P4739" t="str">
        <f t="shared" si="547"/>
        <v>199545949</v>
      </c>
    </row>
    <row r="4740" spans="1:16" x14ac:dyDescent="0.3">
      <c r="A4740">
        <v>1995</v>
      </c>
      <c r="B4740">
        <v>52</v>
      </c>
      <c r="C4740" t="s">
        <v>26</v>
      </c>
      <c r="D4740" t="s">
        <v>22</v>
      </c>
      <c r="E4740" t="s">
        <v>17</v>
      </c>
      <c r="F4740" t="s">
        <v>23</v>
      </c>
      <c r="G4740" t="s">
        <v>41</v>
      </c>
      <c r="H4740" t="s">
        <v>25</v>
      </c>
      <c r="I4740" s="1">
        <v>2</v>
      </c>
      <c r="J4740" s="2">
        <v>46186</v>
      </c>
      <c r="K4740" s="2">
        <v>46023</v>
      </c>
      <c r="L4740" s="1" t="str">
        <f t="shared" si="544"/>
        <v>sáb</v>
      </c>
      <c r="M4740" s="1" t="str">
        <f t="shared" si="545"/>
        <v>jun</v>
      </c>
      <c r="N4740">
        <f t="shared" si="546"/>
        <v>2026</v>
      </c>
      <c r="O4740" s="2"/>
      <c r="P4740" t="str">
        <f t="shared" si="547"/>
        <v>199546186</v>
      </c>
    </row>
    <row r="4741" spans="1:16" x14ac:dyDescent="0.3">
      <c r="A4741">
        <v>1996</v>
      </c>
      <c r="B4741">
        <v>34</v>
      </c>
      <c r="C4741" t="s">
        <v>15</v>
      </c>
      <c r="D4741" t="s">
        <v>16</v>
      </c>
      <c r="E4741" t="s">
        <v>17</v>
      </c>
      <c r="F4741" t="s">
        <v>18</v>
      </c>
      <c r="G4741" t="s">
        <v>41</v>
      </c>
      <c r="H4741" t="s">
        <v>25</v>
      </c>
      <c r="I4741" s="1">
        <v>3</v>
      </c>
      <c r="J4741" s="2">
        <v>45855</v>
      </c>
      <c r="K4741" s="2">
        <v>45839</v>
      </c>
      <c r="L4741" s="1" t="str">
        <f t="shared" si="544"/>
        <v>qui</v>
      </c>
      <c r="M4741" s="1" t="str">
        <f t="shared" si="545"/>
        <v>jul</v>
      </c>
      <c r="N4741">
        <f t="shared" si="546"/>
        <v>2025</v>
      </c>
      <c r="O4741" s="2"/>
      <c r="P4741" t="str">
        <f t="shared" si="547"/>
        <v>199645855</v>
      </c>
    </row>
    <row r="4742" spans="1:16" x14ac:dyDescent="0.3">
      <c r="A4742">
        <v>1996</v>
      </c>
      <c r="B4742">
        <v>34</v>
      </c>
      <c r="C4742" t="s">
        <v>15</v>
      </c>
      <c r="D4742" t="s">
        <v>16</v>
      </c>
      <c r="E4742" t="s">
        <v>17</v>
      </c>
      <c r="F4742" t="s">
        <v>18</v>
      </c>
      <c r="G4742" t="s">
        <v>41</v>
      </c>
      <c r="H4742" t="s">
        <v>25</v>
      </c>
      <c r="I4742" s="1">
        <v>3</v>
      </c>
      <c r="J4742" s="2">
        <v>45903</v>
      </c>
      <c r="K4742" s="2">
        <v>45901</v>
      </c>
      <c r="L4742" s="1" t="str">
        <f t="shared" si="544"/>
        <v>qua</v>
      </c>
      <c r="M4742" s="1" t="str">
        <f t="shared" si="545"/>
        <v>set</v>
      </c>
      <c r="N4742">
        <f t="shared" si="546"/>
        <v>2025</v>
      </c>
      <c r="O4742" s="2"/>
      <c r="P4742" t="str">
        <f t="shared" si="547"/>
        <v>199645903</v>
      </c>
    </row>
    <row r="4743" spans="1:16" x14ac:dyDescent="0.3">
      <c r="A4743">
        <v>1996</v>
      </c>
      <c r="B4743">
        <v>34</v>
      </c>
      <c r="C4743" t="s">
        <v>15</v>
      </c>
      <c r="D4743" t="s">
        <v>16</v>
      </c>
      <c r="E4743" t="s">
        <v>17</v>
      </c>
      <c r="F4743" t="s">
        <v>18</v>
      </c>
      <c r="G4743" t="s">
        <v>41</v>
      </c>
      <c r="H4743" t="s">
        <v>25</v>
      </c>
      <c r="I4743" s="1">
        <v>3</v>
      </c>
      <c r="J4743" s="2">
        <v>45905</v>
      </c>
      <c r="K4743" s="2">
        <v>45901</v>
      </c>
      <c r="L4743" s="1" t="str">
        <f t="shared" si="544"/>
        <v>sex</v>
      </c>
      <c r="M4743" s="1" t="str">
        <f t="shared" si="545"/>
        <v>set</v>
      </c>
      <c r="N4743">
        <f t="shared" si="546"/>
        <v>2025</v>
      </c>
      <c r="O4743" s="2"/>
      <c r="P4743" t="str">
        <f t="shared" si="547"/>
        <v>199645905</v>
      </c>
    </row>
    <row r="4744" spans="1:16" x14ac:dyDescent="0.3">
      <c r="A4744">
        <v>1996</v>
      </c>
      <c r="B4744">
        <v>34</v>
      </c>
      <c r="C4744" t="s">
        <v>15</v>
      </c>
      <c r="D4744" t="s">
        <v>16</v>
      </c>
      <c r="E4744" t="s">
        <v>17</v>
      </c>
      <c r="F4744" t="s">
        <v>18</v>
      </c>
      <c r="G4744" t="s">
        <v>41</v>
      </c>
      <c r="H4744" t="s">
        <v>25</v>
      </c>
      <c r="I4744" s="1">
        <v>3</v>
      </c>
      <c r="J4744" s="2">
        <v>45953</v>
      </c>
      <c r="K4744" s="2">
        <v>45931</v>
      </c>
      <c r="L4744" s="1" t="str">
        <f t="shared" si="544"/>
        <v>qui</v>
      </c>
      <c r="M4744" s="1" t="str">
        <f t="shared" si="545"/>
        <v>out</v>
      </c>
      <c r="N4744">
        <f t="shared" si="546"/>
        <v>2025</v>
      </c>
      <c r="O4744" s="2"/>
      <c r="P4744" t="str">
        <f t="shared" si="547"/>
        <v>199645953</v>
      </c>
    </row>
    <row r="4745" spans="1:16" x14ac:dyDescent="0.3">
      <c r="A4745">
        <v>1996</v>
      </c>
      <c r="B4745">
        <v>34</v>
      </c>
      <c r="C4745" t="s">
        <v>15</v>
      </c>
      <c r="D4745" t="s">
        <v>16</v>
      </c>
      <c r="E4745" t="s">
        <v>17</v>
      </c>
      <c r="F4745" t="s">
        <v>18</v>
      </c>
      <c r="G4745" t="s">
        <v>41</v>
      </c>
      <c r="H4745" t="s">
        <v>25</v>
      </c>
      <c r="I4745" s="1">
        <v>3</v>
      </c>
      <c r="J4745" s="2">
        <v>45972</v>
      </c>
      <c r="K4745" s="2">
        <v>45962</v>
      </c>
      <c r="L4745" s="1" t="str">
        <f t="shared" si="544"/>
        <v>ter</v>
      </c>
      <c r="M4745" s="1" t="str">
        <f t="shared" si="545"/>
        <v>nov</v>
      </c>
      <c r="N4745">
        <f t="shared" si="546"/>
        <v>2025</v>
      </c>
      <c r="O4745" s="2"/>
      <c r="P4745" t="str">
        <f t="shared" si="547"/>
        <v>199645972</v>
      </c>
    </row>
    <row r="4746" spans="1:16" x14ac:dyDescent="0.3">
      <c r="A4746">
        <v>1996</v>
      </c>
      <c r="B4746">
        <v>34</v>
      </c>
      <c r="C4746" t="s">
        <v>15</v>
      </c>
      <c r="D4746" t="s">
        <v>16</v>
      </c>
      <c r="E4746" t="s">
        <v>17</v>
      </c>
      <c r="F4746" t="s">
        <v>18</v>
      </c>
      <c r="G4746" t="s">
        <v>41</v>
      </c>
      <c r="H4746" t="s">
        <v>25</v>
      </c>
      <c r="I4746" s="1">
        <v>3</v>
      </c>
      <c r="J4746" s="2">
        <v>45983</v>
      </c>
      <c r="K4746" s="2">
        <v>45962</v>
      </c>
      <c r="L4746" s="1" t="str">
        <f t="shared" si="544"/>
        <v>sáb</v>
      </c>
      <c r="M4746" s="1" t="str">
        <f t="shared" si="545"/>
        <v>nov</v>
      </c>
      <c r="N4746">
        <f t="shared" si="546"/>
        <v>2025</v>
      </c>
      <c r="O4746" s="2"/>
      <c r="P4746" t="str">
        <f t="shared" si="547"/>
        <v>199645983</v>
      </c>
    </row>
    <row r="4747" spans="1:16" x14ac:dyDescent="0.3">
      <c r="A4747">
        <v>1997</v>
      </c>
      <c r="B4747">
        <v>32</v>
      </c>
      <c r="C4747" t="s">
        <v>15</v>
      </c>
      <c r="D4747" t="s">
        <v>27</v>
      </c>
      <c r="E4747" t="s">
        <v>17</v>
      </c>
      <c r="F4747" t="s">
        <v>21</v>
      </c>
      <c r="G4747" t="s">
        <v>41</v>
      </c>
      <c r="H4747" t="s">
        <v>25</v>
      </c>
      <c r="I4747" s="1">
        <v>2</v>
      </c>
      <c r="J4747" s="2">
        <v>45893</v>
      </c>
      <c r="K4747" s="2">
        <v>45870</v>
      </c>
      <c r="L4747" s="1" t="str">
        <f t="shared" si="544"/>
        <v>dom</v>
      </c>
      <c r="M4747" s="1" t="str">
        <f t="shared" si="545"/>
        <v>ago</v>
      </c>
      <c r="N4747">
        <f t="shared" si="546"/>
        <v>2025</v>
      </c>
      <c r="O4747" s="2"/>
      <c r="P4747" t="str">
        <f t="shared" si="547"/>
        <v>199745893</v>
      </c>
    </row>
    <row r="4748" spans="1:16" x14ac:dyDescent="0.3">
      <c r="A4748">
        <v>1997</v>
      </c>
      <c r="B4748">
        <v>32</v>
      </c>
      <c r="C4748" t="s">
        <v>15</v>
      </c>
      <c r="D4748" t="s">
        <v>27</v>
      </c>
      <c r="E4748" t="s">
        <v>17</v>
      </c>
      <c r="F4748" t="s">
        <v>21</v>
      </c>
      <c r="G4748" t="s">
        <v>41</v>
      </c>
      <c r="H4748" t="s">
        <v>25</v>
      </c>
      <c r="I4748" s="1">
        <v>2</v>
      </c>
      <c r="J4748" s="2">
        <v>45903</v>
      </c>
      <c r="K4748" s="2">
        <v>45901</v>
      </c>
      <c r="L4748" s="1" t="str">
        <f t="shared" si="544"/>
        <v>qua</v>
      </c>
      <c r="M4748" s="1" t="str">
        <f t="shared" si="545"/>
        <v>set</v>
      </c>
      <c r="N4748">
        <f t="shared" si="546"/>
        <v>2025</v>
      </c>
      <c r="O4748" s="2"/>
      <c r="P4748" t="str">
        <f t="shared" si="547"/>
        <v>199745903</v>
      </c>
    </row>
    <row r="4749" spans="1:16" x14ac:dyDescent="0.3">
      <c r="A4749">
        <v>1997</v>
      </c>
      <c r="B4749">
        <v>32</v>
      </c>
      <c r="C4749" t="s">
        <v>15</v>
      </c>
      <c r="D4749" t="s">
        <v>27</v>
      </c>
      <c r="E4749" t="s">
        <v>17</v>
      </c>
      <c r="F4749" t="s">
        <v>21</v>
      </c>
      <c r="G4749" t="s">
        <v>41</v>
      </c>
      <c r="H4749" t="s">
        <v>25</v>
      </c>
      <c r="I4749" s="1">
        <v>2</v>
      </c>
      <c r="J4749" s="2">
        <v>45970</v>
      </c>
      <c r="K4749" s="2">
        <v>45962</v>
      </c>
      <c r="L4749" s="1" t="str">
        <f t="shared" si="544"/>
        <v>dom</v>
      </c>
      <c r="M4749" s="1" t="str">
        <f t="shared" si="545"/>
        <v>nov</v>
      </c>
      <c r="N4749">
        <f t="shared" si="546"/>
        <v>2025</v>
      </c>
      <c r="O4749" s="2"/>
      <c r="P4749" t="str">
        <f t="shared" si="547"/>
        <v>199745970</v>
      </c>
    </row>
    <row r="4750" spans="1:16" x14ac:dyDescent="0.3">
      <c r="A4750">
        <v>1999</v>
      </c>
      <c r="B4750">
        <v>56</v>
      </c>
      <c r="C4750" t="s">
        <v>26</v>
      </c>
      <c r="D4750" t="s">
        <v>29</v>
      </c>
      <c r="E4750" t="s">
        <v>17</v>
      </c>
      <c r="F4750" t="s">
        <v>21</v>
      </c>
      <c r="G4750" t="s">
        <v>41</v>
      </c>
      <c r="H4750" t="s">
        <v>25</v>
      </c>
      <c r="I4750" s="1">
        <v>1</v>
      </c>
      <c r="J4750" s="2">
        <v>45821</v>
      </c>
      <c r="K4750" s="2">
        <v>45809</v>
      </c>
      <c r="L4750" s="1" t="str">
        <f t="shared" si="544"/>
        <v>sex</v>
      </c>
      <c r="M4750" s="1" t="str">
        <f t="shared" si="545"/>
        <v>jun</v>
      </c>
      <c r="N4750">
        <f t="shared" si="546"/>
        <v>2025</v>
      </c>
      <c r="O4750" s="2"/>
      <c r="P4750" t="str">
        <f t="shared" si="547"/>
        <v>199945821</v>
      </c>
    </row>
    <row r="4751" spans="1:16" x14ac:dyDescent="0.3">
      <c r="A4751">
        <v>1999</v>
      </c>
      <c r="B4751">
        <v>56</v>
      </c>
      <c r="C4751" t="s">
        <v>26</v>
      </c>
      <c r="D4751" t="s">
        <v>29</v>
      </c>
      <c r="E4751" t="s">
        <v>17</v>
      </c>
      <c r="F4751" t="s">
        <v>21</v>
      </c>
      <c r="G4751" t="s">
        <v>41</v>
      </c>
      <c r="H4751" t="s">
        <v>25</v>
      </c>
      <c r="I4751" s="1">
        <v>1</v>
      </c>
      <c r="J4751" s="2">
        <v>45825</v>
      </c>
      <c r="K4751" s="2">
        <v>45809</v>
      </c>
      <c r="L4751" s="1" t="str">
        <f t="shared" si="544"/>
        <v>ter</v>
      </c>
      <c r="M4751" s="1" t="str">
        <f t="shared" si="545"/>
        <v>jun</v>
      </c>
      <c r="N4751">
        <f t="shared" si="546"/>
        <v>2025</v>
      </c>
      <c r="O4751" s="2"/>
      <c r="P4751" t="str">
        <f t="shared" si="547"/>
        <v>199945825</v>
      </c>
    </row>
    <row r="4752" spans="1:16" x14ac:dyDescent="0.3">
      <c r="A4752">
        <v>1999</v>
      </c>
      <c r="B4752">
        <v>56</v>
      </c>
      <c r="C4752" t="s">
        <v>26</v>
      </c>
      <c r="D4752" t="s">
        <v>29</v>
      </c>
      <c r="E4752" t="s">
        <v>17</v>
      </c>
      <c r="F4752" t="s">
        <v>21</v>
      </c>
      <c r="G4752" t="s">
        <v>41</v>
      </c>
      <c r="H4752" t="s">
        <v>25</v>
      </c>
      <c r="I4752" s="1">
        <v>1</v>
      </c>
      <c r="J4752" s="2">
        <v>45867</v>
      </c>
      <c r="K4752" s="2">
        <v>45839</v>
      </c>
      <c r="L4752" s="1" t="str">
        <f t="shared" si="544"/>
        <v>ter</v>
      </c>
      <c r="M4752" s="1" t="str">
        <f t="shared" si="545"/>
        <v>jul</v>
      </c>
      <c r="N4752">
        <f t="shared" si="546"/>
        <v>2025</v>
      </c>
      <c r="O4752" s="2"/>
      <c r="P4752" t="str">
        <f t="shared" si="547"/>
        <v>199945867</v>
      </c>
    </row>
    <row r="4753" spans="1:16" x14ac:dyDescent="0.3">
      <c r="A4753">
        <v>2000</v>
      </c>
      <c r="B4753">
        <v>32</v>
      </c>
      <c r="C4753" t="s">
        <v>26</v>
      </c>
      <c r="D4753" t="s">
        <v>16</v>
      </c>
      <c r="E4753" t="s">
        <v>17</v>
      </c>
      <c r="F4753" t="s">
        <v>18</v>
      </c>
      <c r="G4753" t="s">
        <v>41</v>
      </c>
      <c r="H4753" t="s">
        <v>25</v>
      </c>
      <c r="I4753" s="1">
        <v>1</v>
      </c>
      <c r="J4753" s="2">
        <v>45849</v>
      </c>
      <c r="K4753" s="2">
        <v>45839</v>
      </c>
      <c r="L4753" s="1" t="str">
        <f t="shared" si="544"/>
        <v>sex</v>
      </c>
      <c r="M4753" s="1" t="str">
        <f t="shared" si="545"/>
        <v>jul</v>
      </c>
      <c r="N4753">
        <f t="shared" si="546"/>
        <v>2025</v>
      </c>
      <c r="O4753" s="2"/>
      <c r="P4753" t="str">
        <f t="shared" si="547"/>
        <v>200045849</v>
      </c>
    </row>
    <row r="4754" spans="1:16" x14ac:dyDescent="0.3">
      <c r="A4754">
        <v>2000</v>
      </c>
      <c r="B4754">
        <v>32</v>
      </c>
      <c r="C4754" t="s">
        <v>26</v>
      </c>
      <c r="D4754" t="s">
        <v>16</v>
      </c>
      <c r="E4754" t="s">
        <v>17</v>
      </c>
      <c r="F4754" t="s">
        <v>18</v>
      </c>
      <c r="G4754" t="s">
        <v>41</v>
      </c>
      <c r="H4754" t="s">
        <v>25</v>
      </c>
      <c r="I4754" s="1">
        <v>1</v>
      </c>
      <c r="J4754" s="2">
        <v>45874</v>
      </c>
      <c r="K4754" s="2">
        <v>45870</v>
      </c>
      <c r="L4754" s="1" t="str">
        <f t="shared" si="544"/>
        <v>ter</v>
      </c>
      <c r="M4754" s="1" t="str">
        <f t="shared" si="545"/>
        <v>ago</v>
      </c>
      <c r="N4754">
        <f t="shared" si="546"/>
        <v>2025</v>
      </c>
      <c r="O4754" s="2"/>
      <c r="P4754" t="str">
        <f t="shared" si="547"/>
        <v>200045874</v>
      </c>
    </row>
    <row r="4755" spans="1:16" x14ac:dyDescent="0.3">
      <c r="A4755">
        <v>2000</v>
      </c>
      <c r="B4755">
        <v>32</v>
      </c>
      <c r="C4755" t="s">
        <v>26</v>
      </c>
      <c r="D4755" t="s">
        <v>16</v>
      </c>
      <c r="E4755" t="s">
        <v>17</v>
      </c>
      <c r="F4755" t="s">
        <v>18</v>
      </c>
      <c r="G4755" t="s">
        <v>41</v>
      </c>
      <c r="H4755" t="s">
        <v>25</v>
      </c>
      <c r="I4755" s="1">
        <v>1</v>
      </c>
      <c r="J4755" s="2">
        <v>45890</v>
      </c>
      <c r="K4755" s="2">
        <v>45870</v>
      </c>
      <c r="L4755" s="1" t="str">
        <f t="shared" si="544"/>
        <v>qui</v>
      </c>
      <c r="M4755" s="1" t="str">
        <f t="shared" si="545"/>
        <v>ago</v>
      </c>
      <c r="N4755">
        <f t="shared" si="546"/>
        <v>2025</v>
      </c>
      <c r="O4755" s="2"/>
      <c r="P4755" t="str">
        <f t="shared" si="547"/>
        <v>200045890</v>
      </c>
    </row>
    <row r="4756" spans="1:16" x14ac:dyDescent="0.3">
      <c r="A4756">
        <v>2000</v>
      </c>
      <c r="B4756">
        <v>32</v>
      </c>
      <c r="C4756" t="s">
        <v>26</v>
      </c>
      <c r="D4756" t="s">
        <v>16</v>
      </c>
      <c r="E4756" t="s">
        <v>17</v>
      </c>
      <c r="F4756" t="s">
        <v>18</v>
      </c>
      <c r="G4756" t="s">
        <v>41</v>
      </c>
      <c r="H4756" t="s">
        <v>25</v>
      </c>
      <c r="I4756" s="1">
        <v>1</v>
      </c>
      <c r="J4756" s="2">
        <v>46008</v>
      </c>
      <c r="K4756" s="2">
        <v>45992</v>
      </c>
      <c r="L4756" s="1" t="str">
        <f t="shared" si="544"/>
        <v>qua</v>
      </c>
      <c r="M4756" s="1" t="str">
        <f t="shared" si="545"/>
        <v>dez</v>
      </c>
      <c r="N4756">
        <f t="shared" si="546"/>
        <v>2025</v>
      </c>
      <c r="O4756" s="2"/>
      <c r="P4756" t="str">
        <f t="shared" si="547"/>
        <v>200046008</v>
      </c>
    </row>
    <row r="4757" spans="1:16" x14ac:dyDescent="0.3">
      <c r="A4757">
        <v>2000</v>
      </c>
      <c r="B4757">
        <v>32</v>
      </c>
      <c r="C4757" t="s">
        <v>26</v>
      </c>
      <c r="D4757" t="s">
        <v>16</v>
      </c>
      <c r="E4757" t="s">
        <v>17</v>
      </c>
      <c r="F4757" t="s">
        <v>18</v>
      </c>
      <c r="G4757" t="s">
        <v>41</v>
      </c>
      <c r="H4757" t="s">
        <v>25</v>
      </c>
      <c r="I4757" s="1">
        <v>1</v>
      </c>
      <c r="J4757" s="2">
        <v>46198</v>
      </c>
      <c r="K4757" s="2">
        <v>46023</v>
      </c>
      <c r="L4757" s="1" t="str">
        <f t="shared" si="544"/>
        <v>qui</v>
      </c>
      <c r="M4757" s="1" t="str">
        <f t="shared" si="545"/>
        <v>jun</v>
      </c>
      <c r="N4757">
        <f t="shared" si="546"/>
        <v>2026</v>
      </c>
      <c r="O4757" s="2"/>
      <c r="P4757" t="str">
        <f t="shared" si="547"/>
        <v>200046198</v>
      </c>
    </row>
    <row r="4758" spans="1:16" x14ac:dyDescent="0.3">
      <c r="A4758">
        <v>2001</v>
      </c>
      <c r="B4758">
        <v>48</v>
      </c>
      <c r="C4758" t="s">
        <v>15</v>
      </c>
      <c r="D4758" t="s">
        <v>16</v>
      </c>
      <c r="E4758" t="s">
        <v>17</v>
      </c>
      <c r="F4758" t="s">
        <v>23</v>
      </c>
      <c r="G4758" t="s">
        <v>41</v>
      </c>
      <c r="H4758" t="s">
        <v>25</v>
      </c>
      <c r="I4758" s="1">
        <v>3</v>
      </c>
      <c r="J4758" s="2">
        <v>45910</v>
      </c>
      <c r="K4758" s="2">
        <v>45901</v>
      </c>
      <c r="L4758" s="1" t="str">
        <f t="shared" si="544"/>
        <v>qua</v>
      </c>
      <c r="M4758" s="1" t="str">
        <f t="shared" si="545"/>
        <v>set</v>
      </c>
      <c r="N4758">
        <f t="shared" si="546"/>
        <v>2025</v>
      </c>
      <c r="O4758" s="2"/>
      <c r="P4758" t="str">
        <f t="shared" si="547"/>
        <v>200145910</v>
      </c>
    </row>
    <row r="4759" spans="1:16" x14ac:dyDescent="0.3">
      <c r="A4759">
        <v>2001</v>
      </c>
      <c r="B4759">
        <v>48</v>
      </c>
      <c r="C4759" t="s">
        <v>15</v>
      </c>
      <c r="D4759" t="s">
        <v>16</v>
      </c>
      <c r="E4759" t="s">
        <v>17</v>
      </c>
      <c r="F4759" t="s">
        <v>23</v>
      </c>
      <c r="G4759" t="s">
        <v>41</v>
      </c>
      <c r="H4759" t="s">
        <v>25</v>
      </c>
      <c r="I4759" s="1">
        <v>3</v>
      </c>
      <c r="J4759" s="2">
        <v>45946</v>
      </c>
      <c r="K4759" s="2">
        <v>45931</v>
      </c>
      <c r="L4759" s="1" t="str">
        <f t="shared" si="544"/>
        <v>qui</v>
      </c>
      <c r="M4759" s="1" t="str">
        <f t="shared" si="545"/>
        <v>out</v>
      </c>
      <c r="N4759">
        <f t="shared" si="546"/>
        <v>2025</v>
      </c>
      <c r="O4759" s="2"/>
      <c r="P4759" t="str">
        <f t="shared" si="547"/>
        <v>200145946</v>
      </c>
    </row>
    <row r="4760" spans="1:16" x14ac:dyDescent="0.3">
      <c r="A4760">
        <v>2001</v>
      </c>
      <c r="B4760">
        <v>48</v>
      </c>
      <c r="C4760" t="s">
        <v>15</v>
      </c>
      <c r="D4760" t="s">
        <v>16</v>
      </c>
      <c r="E4760" t="s">
        <v>17</v>
      </c>
      <c r="F4760" t="s">
        <v>23</v>
      </c>
      <c r="G4760" t="s">
        <v>41</v>
      </c>
      <c r="H4760" t="s">
        <v>25</v>
      </c>
      <c r="I4760" s="1">
        <v>3</v>
      </c>
      <c r="J4760" s="2">
        <v>45962</v>
      </c>
      <c r="K4760" s="2">
        <v>45962</v>
      </c>
      <c r="L4760" s="1" t="str">
        <f t="shared" si="544"/>
        <v>sáb</v>
      </c>
      <c r="M4760" s="1" t="str">
        <f t="shared" si="545"/>
        <v>nov</v>
      </c>
      <c r="N4760">
        <f t="shared" si="546"/>
        <v>2025</v>
      </c>
      <c r="O4760" s="2"/>
      <c r="P4760" t="str">
        <f t="shared" si="547"/>
        <v>200145962</v>
      </c>
    </row>
    <row r="4761" spans="1:16" x14ac:dyDescent="0.3">
      <c r="A4761">
        <v>2001</v>
      </c>
      <c r="B4761">
        <v>48</v>
      </c>
      <c r="C4761" t="s">
        <v>15</v>
      </c>
      <c r="D4761" t="s">
        <v>16</v>
      </c>
      <c r="E4761" t="s">
        <v>17</v>
      </c>
      <c r="F4761" t="s">
        <v>23</v>
      </c>
      <c r="G4761" t="s">
        <v>41</v>
      </c>
      <c r="H4761" t="s">
        <v>25</v>
      </c>
      <c r="I4761" s="1">
        <v>3</v>
      </c>
      <c r="J4761" s="2">
        <v>45982</v>
      </c>
      <c r="K4761" s="2">
        <v>45962</v>
      </c>
      <c r="L4761" s="1" t="str">
        <f t="shared" si="544"/>
        <v>sex</v>
      </c>
      <c r="M4761" s="1" t="str">
        <f t="shared" si="545"/>
        <v>nov</v>
      </c>
      <c r="N4761">
        <f t="shared" si="546"/>
        <v>2025</v>
      </c>
      <c r="O4761" s="2"/>
      <c r="P4761" t="str">
        <f t="shared" si="547"/>
        <v>200145982</v>
      </c>
    </row>
    <row r="4762" spans="1:16" x14ac:dyDescent="0.3">
      <c r="A4762">
        <v>2001</v>
      </c>
      <c r="B4762">
        <v>48</v>
      </c>
      <c r="C4762" t="s">
        <v>15</v>
      </c>
      <c r="D4762" t="s">
        <v>16</v>
      </c>
      <c r="E4762" t="s">
        <v>17</v>
      </c>
      <c r="F4762" t="s">
        <v>23</v>
      </c>
      <c r="G4762" t="s">
        <v>41</v>
      </c>
      <c r="H4762" t="s">
        <v>25</v>
      </c>
      <c r="I4762" s="1">
        <v>3</v>
      </c>
      <c r="J4762" s="2">
        <v>46174</v>
      </c>
      <c r="K4762" s="2">
        <v>46023</v>
      </c>
      <c r="L4762" s="1" t="str">
        <f t="shared" si="544"/>
        <v>seg</v>
      </c>
      <c r="M4762" s="1" t="str">
        <f t="shared" si="545"/>
        <v>jun</v>
      </c>
      <c r="N4762">
        <f t="shared" si="546"/>
        <v>2026</v>
      </c>
      <c r="O4762" s="2"/>
      <c r="P4762" t="str">
        <f t="shared" si="547"/>
        <v>200146174</v>
      </c>
    </row>
    <row r="4763" spans="1:16" x14ac:dyDescent="0.3">
      <c r="A4763">
        <v>2002</v>
      </c>
      <c r="B4763">
        <v>53</v>
      </c>
      <c r="C4763" t="s">
        <v>26</v>
      </c>
      <c r="D4763" t="s">
        <v>27</v>
      </c>
      <c r="E4763" t="s">
        <v>17</v>
      </c>
      <c r="F4763" t="s">
        <v>18</v>
      </c>
      <c r="G4763" t="s">
        <v>41</v>
      </c>
      <c r="H4763" t="s">
        <v>25</v>
      </c>
      <c r="I4763" s="1">
        <v>3</v>
      </c>
      <c r="J4763" s="2">
        <v>45841</v>
      </c>
      <c r="K4763" s="2">
        <v>45839</v>
      </c>
      <c r="L4763" s="1" t="str">
        <f t="shared" si="544"/>
        <v>qui</v>
      </c>
      <c r="M4763" s="1" t="str">
        <f t="shared" si="545"/>
        <v>jul</v>
      </c>
      <c r="N4763">
        <f t="shared" si="546"/>
        <v>2025</v>
      </c>
      <c r="O4763" s="2"/>
      <c r="P4763" t="str">
        <f t="shared" si="547"/>
        <v>200245841</v>
      </c>
    </row>
    <row r="4764" spans="1:16" x14ac:dyDescent="0.3">
      <c r="A4764">
        <v>2002</v>
      </c>
      <c r="B4764">
        <v>53</v>
      </c>
      <c r="C4764" t="s">
        <v>26</v>
      </c>
      <c r="D4764" t="s">
        <v>27</v>
      </c>
      <c r="E4764" t="s">
        <v>17</v>
      </c>
      <c r="F4764" t="s">
        <v>18</v>
      </c>
      <c r="G4764" t="s">
        <v>41</v>
      </c>
      <c r="H4764" t="s">
        <v>25</v>
      </c>
      <c r="I4764" s="1">
        <v>3</v>
      </c>
      <c r="J4764" s="2">
        <v>45889</v>
      </c>
      <c r="K4764" s="2">
        <v>45870</v>
      </c>
      <c r="L4764" s="1" t="str">
        <f t="shared" si="544"/>
        <v>qua</v>
      </c>
      <c r="M4764" s="1" t="str">
        <f t="shared" si="545"/>
        <v>ago</v>
      </c>
      <c r="N4764">
        <f t="shared" si="546"/>
        <v>2025</v>
      </c>
      <c r="O4764" s="2"/>
      <c r="P4764" t="str">
        <f t="shared" si="547"/>
        <v>200245889</v>
      </c>
    </row>
    <row r="4765" spans="1:16" x14ac:dyDescent="0.3">
      <c r="A4765">
        <v>2002</v>
      </c>
      <c r="B4765">
        <v>53</v>
      </c>
      <c r="C4765" t="s">
        <v>26</v>
      </c>
      <c r="D4765" t="s">
        <v>27</v>
      </c>
      <c r="E4765" t="s">
        <v>17</v>
      </c>
      <c r="F4765" t="s">
        <v>18</v>
      </c>
      <c r="G4765" t="s">
        <v>41</v>
      </c>
      <c r="H4765" t="s">
        <v>25</v>
      </c>
      <c r="I4765" s="1">
        <v>3</v>
      </c>
      <c r="J4765" s="2">
        <v>45904</v>
      </c>
      <c r="K4765" s="2">
        <v>45901</v>
      </c>
      <c r="L4765" s="1" t="str">
        <f t="shared" ref="L4765:L4784" si="548">TEXT(J4765,"ddd")</f>
        <v>qui</v>
      </c>
      <c r="M4765" s="1" t="str">
        <f t="shared" ref="M4765:M4784" si="549">TEXT($J4765,"mmm")</f>
        <v>set</v>
      </c>
      <c r="N4765">
        <f t="shared" ref="N4765:N4784" si="550">YEAR(J4765)</f>
        <v>2025</v>
      </c>
      <c r="O4765" s="2"/>
      <c r="P4765" t="str">
        <f t="shared" si="547"/>
        <v>200245904</v>
      </c>
    </row>
    <row r="4766" spans="1:16" x14ac:dyDescent="0.3">
      <c r="A4766">
        <v>2002</v>
      </c>
      <c r="B4766">
        <v>53</v>
      </c>
      <c r="C4766" t="s">
        <v>26</v>
      </c>
      <c r="D4766" t="s">
        <v>27</v>
      </c>
      <c r="E4766" t="s">
        <v>17</v>
      </c>
      <c r="F4766" t="s">
        <v>18</v>
      </c>
      <c r="G4766" t="s">
        <v>41</v>
      </c>
      <c r="H4766" t="s">
        <v>25</v>
      </c>
      <c r="I4766" s="1">
        <v>3</v>
      </c>
      <c r="J4766" s="2">
        <v>45951</v>
      </c>
      <c r="K4766" s="2">
        <v>45931</v>
      </c>
      <c r="L4766" s="1" t="str">
        <f t="shared" si="548"/>
        <v>ter</v>
      </c>
      <c r="M4766" s="1" t="str">
        <f t="shared" si="549"/>
        <v>out</v>
      </c>
      <c r="N4766">
        <f t="shared" si="550"/>
        <v>2025</v>
      </c>
      <c r="O4766" s="2"/>
      <c r="P4766" t="str">
        <f t="shared" si="547"/>
        <v>200245951</v>
      </c>
    </row>
    <row r="4767" spans="1:16" x14ac:dyDescent="0.3">
      <c r="A4767">
        <v>2004</v>
      </c>
      <c r="B4767">
        <v>57</v>
      </c>
      <c r="C4767" t="s">
        <v>15</v>
      </c>
      <c r="D4767" t="s">
        <v>27</v>
      </c>
      <c r="E4767" t="s">
        <v>17</v>
      </c>
      <c r="F4767" t="s">
        <v>21</v>
      </c>
      <c r="G4767" t="s">
        <v>41</v>
      </c>
      <c r="H4767" t="s">
        <v>25</v>
      </c>
      <c r="I4767" s="1">
        <v>3</v>
      </c>
      <c r="J4767" s="2">
        <v>45840</v>
      </c>
      <c r="K4767" s="2">
        <v>45839</v>
      </c>
      <c r="L4767" s="1" t="str">
        <f t="shared" si="548"/>
        <v>qua</v>
      </c>
      <c r="M4767" s="1" t="str">
        <f t="shared" si="549"/>
        <v>jul</v>
      </c>
      <c r="N4767">
        <f t="shared" si="550"/>
        <v>2025</v>
      </c>
      <c r="O4767" s="2"/>
      <c r="P4767" t="str">
        <f t="shared" si="547"/>
        <v>200445840</v>
      </c>
    </row>
    <row r="4768" spans="1:16" x14ac:dyDescent="0.3">
      <c r="A4768">
        <v>2004</v>
      </c>
      <c r="B4768">
        <v>57</v>
      </c>
      <c r="C4768" t="s">
        <v>15</v>
      </c>
      <c r="D4768" t="s">
        <v>27</v>
      </c>
      <c r="E4768" t="s">
        <v>17</v>
      </c>
      <c r="F4768" t="s">
        <v>21</v>
      </c>
      <c r="G4768" t="s">
        <v>41</v>
      </c>
      <c r="H4768" t="s">
        <v>25</v>
      </c>
      <c r="I4768" s="1">
        <v>3</v>
      </c>
      <c r="J4768" s="2">
        <v>45885</v>
      </c>
      <c r="K4768" s="2">
        <v>45870</v>
      </c>
      <c r="L4768" s="1" t="str">
        <f t="shared" si="548"/>
        <v>sáb</v>
      </c>
      <c r="M4768" s="1" t="str">
        <f t="shared" si="549"/>
        <v>ago</v>
      </c>
      <c r="N4768">
        <f t="shared" si="550"/>
        <v>2025</v>
      </c>
      <c r="O4768" s="2"/>
      <c r="P4768" t="str">
        <f t="shared" si="547"/>
        <v>200445885</v>
      </c>
    </row>
    <row r="4769" spans="1:16" x14ac:dyDescent="0.3">
      <c r="A4769">
        <v>2004</v>
      </c>
      <c r="B4769">
        <v>57</v>
      </c>
      <c r="C4769" t="s">
        <v>15</v>
      </c>
      <c r="D4769" t="s">
        <v>27</v>
      </c>
      <c r="E4769" t="s">
        <v>17</v>
      </c>
      <c r="F4769" t="s">
        <v>21</v>
      </c>
      <c r="G4769" t="s">
        <v>41</v>
      </c>
      <c r="H4769" t="s">
        <v>25</v>
      </c>
      <c r="I4769" s="1">
        <v>3</v>
      </c>
      <c r="J4769" s="2">
        <v>45958</v>
      </c>
      <c r="K4769" s="2">
        <v>45931</v>
      </c>
      <c r="L4769" s="1" t="str">
        <f t="shared" si="548"/>
        <v>ter</v>
      </c>
      <c r="M4769" s="1" t="str">
        <f t="shared" si="549"/>
        <v>out</v>
      </c>
      <c r="N4769">
        <f t="shared" si="550"/>
        <v>2025</v>
      </c>
      <c r="O4769" s="2"/>
      <c r="P4769" t="str">
        <f t="shared" si="547"/>
        <v>200445958</v>
      </c>
    </row>
    <row r="4770" spans="1:16" x14ac:dyDescent="0.3">
      <c r="A4770">
        <v>2004</v>
      </c>
      <c r="B4770">
        <v>57</v>
      </c>
      <c r="C4770" t="s">
        <v>15</v>
      </c>
      <c r="D4770" t="s">
        <v>27</v>
      </c>
      <c r="E4770" t="s">
        <v>17</v>
      </c>
      <c r="F4770" t="s">
        <v>21</v>
      </c>
      <c r="G4770" t="s">
        <v>41</v>
      </c>
      <c r="H4770" t="s">
        <v>25</v>
      </c>
      <c r="I4770" s="1">
        <v>3</v>
      </c>
      <c r="J4770" s="2">
        <v>46193</v>
      </c>
      <c r="K4770" s="2">
        <v>46023</v>
      </c>
      <c r="L4770" s="1" t="str">
        <f t="shared" si="548"/>
        <v>sáb</v>
      </c>
      <c r="M4770" s="1" t="str">
        <f t="shared" si="549"/>
        <v>jun</v>
      </c>
      <c r="N4770">
        <f t="shared" si="550"/>
        <v>2026</v>
      </c>
      <c r="O4770" s="2"/>
      <c r="P4770" t="str">
        <f t="shared" si="547"/>
        <v>200446193</v>
      </c>
    </row>
    <row r="4771" spans="1:16" x14ac:dyDescent="0.3">
      <c r="A4771">
        <v>2004</v>
      </c>
      <c r="B4771">
        <v>57</v>
      </c>
      <c r="C4771" t="s">
        <v>15</v>
      </c>
      <c r="D4771" t="s">
        <v>27</v>
      </c>
      <c r="E4771" t="s">
        <v>17</v>
      </c>
      <c r="F4771" t="s">
        <v>21</v>
      </c>
      <c r="G4771" t="s">
        <v>41</v>
      </c>
      <c r="H4771" t="s">
        <v>25</v>
      </c>
      <c r="I4771" s="1">
        <v>3</v>
      </c>
      <c r="J4771" s="2">
        <v>46110</v>
      </c>
      <c r="K4771" s="2">
        <v>46082</v>
      </c>
      <c r="L4771" s="1" t="str">
        <f t="shared" si="548"/>
        <v>dom</v>
      </c>
      <c r="M4771" s="1" t="str">
        <f t="shared" si="549"/>
        <v>mar</v>
      </c>
      <c r="N4771">
        <f t="shared" si="550"/>
        <v>2026</v>
      </c>
      <c r="O4771" s="2"/>
      <c r="P4771" t="str">
        <f t="shared" si="547"/>
        <v>200446110</v>
      </c>
    </row>
    <row r="4772" spans="1:16" x14ac:dyDescent="0.3">
      <c r="A4772">
        <v>2004</v>
      </c>
      <c r="B4772">
        <v>57</v>
      </c>
      <c r="C4772" t="s">
        <v>15</v>
      </c>
      <c r="D4772" t="s">
        <v>27</v>
      </c>
      <c r="E4772" t="s">
        <v>17</v>
      </c>
      <c r="F4772" t="s">
        <v>21</v>
      </c>
      <c r="G4772" t="s">
        <v>41</v>
      </c>
      <c r="H4772" t="s">
        <v>25</v>
      </c>
      <c r="I4772" s="1">
        <v>3</v>
      </c>
      <c r="J4772" s="2">
        <v>46142</v>
      </c>
      <c r="K4772" s="2">
        <v>46113</v>
      </c>
      <c r="L4772" s="1" t="str">
        <f t="shared" si="548"/>
        <v>qui</v>
      </c>
      <c r="M4772" s="1" t="str">
        <f t="shared" si="549"/>
        <v>abr</v>
      </c>
      <c r="N4772">
        <f t="shared" si="550"/>
        <v>2026</v>
      </c>
      <c r="O4772" s="2"/>
      <c r="P4772" t="str">
        <f t="shared" si="547"/>
        <v>200446142</v>
      </c>
    </row>
    <row r="4773" spans="1:16" x14ac:dyDescent="0.3">
      <c r="A4773">
        <v>2005</v>
      </c>
      <c r="B4773">
        <v>27</v>
      </c>
      <c r="C4773" t="s">
        <v>26</v>
      </c>
      <c r="D4773" t="s">
        <v>16</v>
      </c>
      <c r="E4773" t="s">
        <v>17</v>
      </c>
      <c r="F4773" t="s">
        <v>21</v>
      </c>
      <c r="G4773" t="s">
        <v>41</v>
      </c>
      <c r="H4773" t="s">
        <v>25</v>
      </c>
      <c r="I4773" s="1">
        <v>1</v>
      </c>
      <c r="J4773" s="2">
        <v>45829</v>
      </c>
      <c r="K4773" s="2">
        <v>45809</v>
      </c>
      <c r="L4773" s="1" t="str">
        <f t="shared" si="548"/>
        <v>sáb</v>
      </c>
      <c r="M4773" s="1" t="str">
        <f t="shared" si="549"/>
        <v>jun</v>
      </c>
      <c r="N4773">
        <f t="shared" si="550"/>
        <v>2025</v>
      </c>
      <c r="O4773" s="2"/>
      <c r="P4773" t="str">
        <f t="shared" si="547"/>
        <v>200545829</v>
      </c>
    </row>
    <row r="4774" spans="1:16" x14ac:dyDescent="0.3">
      <c r="A4774">
        <v>2005</v>
      </c>
      <c r="B4774">
        <v>27</v>
      </c>
      <c r="C4774" t="s">
        <v>26</v>
      </c>
      <c r="D4774" t="s">
        <v>16</v>
      </c>
      <c r="E4774" t="s">
        <v>17</v>
      </c>
      <c r="F4774" t="s">
        <v>21</v>
      </c>
      <c r="G4774" t="s">
        <v>41</v>
      </c>
      <c r="H4774" t="s">
        <v>25</v>
      </c>
      <c r="I4774" s="1">
        <v>1</v>
      </c>
      <c r="J4774" s="2">
        <v>45832</v>
      </c>
      <c r="K4774" s="2">
        <v>45809</v>
      </c>
      <c r="L4774" s="1" t="str">
        <f t="shared" si="548"/>
        <v>ter</v>
      </c>
      <c r="M4774" s="1" t="str">
        <f t="shared" si="549"/>
        <v>jun</v>
      </c>
      <c r="N4774">
        <f t="shared" si="550"/>
        <v>2025</v>
      </c>
      <c r="O4774" s="2"/>
      <c r="P4774" t="str">
        <f t="shared" si="547"/>
        <v>200545832</v>
      </c>
    </row>
    <row r="4775" spans="1:16" x14ac:dyDescent="0.3">
      <c r="A4775">
        <v>2005</v>
      </c>
      <c r="B4775">
        <v>27</v>
      </c>
      <c r="C4775" t="s">
        <v>26</v>
      </c>
      <c r="D4775" t="s">
        <v>16</v>
      </c>
      <c r="E4775" t="s">
        <v>17</v>
      </c>
      <c r="F4775" t="s">
        <v>21</v>
      </c>
      <c r="G4775" t="s">
        <v>41</v>
      </c>
      <c r="H4775" t="s">
        <v>25</v>
      </c>
      <c r="I4775" s="1">
        <v>1</v>
      </c>
      <c r="J4775" s="2">
        <v>45834</v>
      </c>
      <c r="K4775" s="2">
        <v>45809</v>
      </c>
      <c r="L4775" s="1" t="str">
        <f t="shared" si="548"/>
        <v>qui</v>
      </c>
      <c r="M4775" s="1" t="str">
        <f t="shared" si="549"/>
        <v>jun</v>
      </c>
      <c r="N4775">
        <f t="shared" si="550"/>
        <v>2025</v>
      </c>
      <c r="O4775" s="2"/>
      <c r="P4775" t="str">
        <f t="shared" si="547"/>
        <v>200545834</v>
      </c>
    </row>
    <row r="4776" spans="1:16" x14ac:dyDescent="0.3">
      <c r="A4776">
        <v>2005</v>
      </c>
      <c r="B4776">
        <v>27</v>
      </c>
      <c r="C4776" t="s">
        <v>26</v>
      </c>
      <c r="D4776" t="s">
        <v>16</v>
      </c>
      <c r="E4776" t="s">
        <v>17</v>
      </c>
      <c r="F4776" t="s">
        <v>21</v>
      </c>
      <c r="G4776" t="s">
        <v>41</v>
      </c>
      <c r="H4776" t="s">
        <v>25</v>
      </c>
      <c r="I4776" s="1">
        <v>1</v>
      </c>
      <c r="J4776" s="2">
        <v>45858</v>
      </c>
      <c r="K4776" s="2">
        <v>45839</v>
      </c>
      <c r="L4776" s="1" t="str">
        <f t="shared" si="548"/>
        <v>dom</v>
      </c>
      <c r="M4776" s="1" t="str">
        <f t="shared" si="549"/>
        <v>jul</v>
      </c>
      <c r="N4776">
        <f t="shared" si="550"/>
        <v>2025</v>
      </c>
      <c r="O4776" s="2"/>
      <c r="P4776" t="str">
        <f t="shared" si="547"/>
        <v>200545858</v>
      </c>
    </row>
    <row r="4777" spans="1:16" x14ac:dyDescent="0.3">
      <c r="A4777">
        <v>2005</v>
      </c>
      <c r="B4777">
        <v>27</v>
      </c>
      <c r="C4777" t="s">
        <v>26</v>
      </c>
      <c r="D4777" t="s">
        <v>16</v>
      </c>
      <c r="E4777" t="s">
        <v>17</v>
      </c>
      <c r="F4777" t="s">
        <v>21</v>
      </c>
      <c r="G4777" t="s">
        <v>41</v>
      </c>
      <c r="H4777" t="s">
        <v>25</v>
      </c>
      <c r="I4777" s="1">
        <v>1</v>
      </c>
      <c r="J4777" s="2">
        <v>46186</v>
      </c>
      <c r="K4777" s="2">
        <v>46023</v>
      </c>
      <c r="L4777" s="1" t="str">
        <f t="shared" si="548"/>
        <v>sáb</v>
      </c>
      <c r="M4777" s="1" t="str">
        <f t="shared" si="549"/>
        <v>jun</v>
      </c>
      <c r="N4777">
        <f t="shared" si="550"/>
        <v>2026</v>
      </c>
      <c r="O4777" s="2"/>
      <c r="P4777" t="str">
        <f t="shared" si="547"/>
        <v>200546186</v>
      </c>
    </row>
    <row r="4778" spans="1:16" x14ac:dyDescent="0.3">
      <c r="A4778">
        <v>2005</v>
      </c>
      <c r="B4778">
        <v>27</v>
      </c>
      <c r="C4778" t="s">
        <v>26</v>
      </c>
      <c r="D4778" t="s">
        <v>16</v>
      </c>
      <c r="E4778" t="s">
        <v>17</v>
      </c>
      <c r="F4778" t="s">
        <v>21</v>
      </c>
      <c r="G4778" t="s">
        <v>41</v>
      </c>
      <c r="H4778" t="s">
        <v>25</v>
      </c>
      <c r="I4778" s="1">
        <v>1</v>
      </c>
      <c r="J4778" s="2">
        <v>46108</v>
      </c>
      <c r="K4778" s="2">
        <v>46082</v>
      </c>
      <c r="L4778" s="1" t="str">
        <f t="shared" si="548"/>
        <v>sex</v>
      </c>
      <c r="M4778" s="1" t="str">
        <f t="shared" si="549"/>
        <v>mar</v>
      </c>
      <c r="N4778">
        <f t="shared" si="550"/>
        <v>2026</v>
      </c>
      <c r="O4778" s="2"/>
      <c r="P4778" t="str">
        <f t="shared" si="547"/>
        <v>200546108</v>
      </c>
    </row>
    <row r="4779" spans="1:16" x14ac:dyDescent="0.3">
      <c r="A4779">
        <v>2005</v>
      </c>
      <c r="B4779">
        <v>27</v>
      </c>
      <c r="C4779" t="s">
        <v>26</v>
      </c>
      <c r="D4779" t="s">
        <v>16</v>
      </c>
      <c r="E4779" t="s">
        <v>17</v>
      </c>
      <c r="F4779" t="s">
        <v>21</v>
      </c>
      <c r="G4779" t="s">
        <v>41</v>
      </c>
      <c r="H4779" t="s">
        <v>25</v>
      </c>
      <c r="I4779" s="1">
        <v>1</v>
      </c>
      <c r="J4779" s="2">
        <v>46189</v>
      </c>
      <c r="K4779" s="2">
        <v>46174</v>
      </c>
      <c r="L4779" s="1" t="str">
        <f t="shared" si="548"/>
        <v>ter</v>
      </c>
      <c r="M4779" s="1" t="str">
        <f t="shared" si="549"/>
        <v>jun</v>
      </c>
      <c r="N4779">
        <f t="shared" si="550"/>
        <v>2026</v>
      </c>
      <c r="O4779" s="2"/>
      <c r="P4779" t="str">
        <f t="shared" si="547"/>
        <v>200546189</v>
      </c>
    </row>
    <row r="4780" spans="1:16" x14ac:dyDescent="0.3">
      <c r="A4780">
        <v>2006</v>
      </c>
      <c r="B4780">
        <v>41</v>
      </c>
      <c r="C4780" t="s">
        <v>26</v>
      </c>
      <c r="D4780" t="s">
        <v>27</v>
      </c>
      <c r="E4780" t="s">
        <v>17</v>
      </c>
      <c r="F4780" t="s">
        <v>21</v>
      </c>
      <c r="G4780" t="s">
        <v>41</v>
      </c>
      <c r="H4780" t="s">
        <v>25</v>
      </c>
      <c r="I4780" s="1">
        <v>2</v>
      </c>
      <c r="J4780" s="2">
        <v>45772</v>
      </c>
      <c r="K4780" s="2">
        <v>45748</v>
      </c>
      <c r="L4780" s="1" t="str">
        <f t="shared" si="548"/>
        <v>sex</v>
      </c>
      <c r="M4780" s="1" t="str">
        <f t="shared" si="549"/>
        <v>abr</v>
      </c>
      <c r="N4780">
        <f t="shared" si="550"/>
        <v>2025</v>
      </c>
      <c r="O4780" s="2"/>
      <c r="P4780" t="str">
        <f t="shared" si="547"/>
        <v>200645772</v>
      </c>
    </row>
    <row r="4781" spans="1:16" x14ac:dyDescent="0.3">
      <c r="A4781">
        <v>2006</v>
      </c>
      <c r="B4781">
        <v>41</v>
      </c>
      <c r="C4781" t="s">
        <v>26</v>
      </c>
      <c r="D4781" t="s">
        <v>27</v>
      </c>
      <c r="E4781" t="s">
        <v>17</v>
      </c>
      <c r="F4781" t="s">
        <v>21</v>
      </c>
      <c r="G4781" t="s">
        <v>41</v>
      </c>
      <c r="H4781" t="s">
        <v>25</v>
      </c>
      <c r="I4781" s="1">
        <v>2</v>
      </c>
      <c r="J4781" s="2">
        <v>45923</v>
      </c>
      <c r="K4781" s="2">
        <v>45901</v>
      </c>
      <c r="L4781" s="1" t="str">
        <f t="shared" si="548"/>
        <v>ter</v>
      </c>
      <c r="M4781" s="1" t="str">
        <f t="shared" si="549"/>
        <v>set</v>
      </c>
      <c r="N4781">
        <f t="shared" si="550"/>
        <v>2025</v>
      </c>
      <c r="O4781" s="2"/>
      <c r="P4781" t="str">
        <f t="shared" si="547"/>
        <v>200645923</v>
      </c>
    </row>
    <row r="4782" spans="1:16" x14ac:dyDescent="0.3">
      <c r="A4782">
        <v>2006</v>
      </c>
      <c r="B4782">
        <v>41</v>
      </c>
      <c r="C4782" t="s">
        <v>26</v>
      </c>
      <c r="D4782" t="s">
        <v>27</v>
      </c>
      <c r="E4782" t="s">
        <v>17</v>
      </c>
      <c r="F4782" t="s">
        <v>21</v>
      </c>
      <c r="G4782" t="s">
        <v>41</v>
      </c>
      <c r="H4782" t="s">
        <v>25</v>
      </c>
      <c r="I4782" s="1">
        <v>2</v>
      </c>
      <c r="J4782" s="2">
        <v>45961</v>
      </c>
      <c r="K4782" s="2">
        <v>45931</v>
      </c>
      <c r="L4782" s="1" t="str">
        <f t="shared" si="548"/>
        <v>sex</v>
      </c>
      <c r="M4782" s="1" t="str">
        <f t="shared" si="549"/>
        <v>out</v>
      </c>
      <c r="N4782">
        <f t="shared" si="550"/>
        <v>2025</v>
      </c>
      <c r="O4782" s="2"/>
      <c r="P4782" t="str">
        <f t="shared" si="547"/>
        <v>200645961</v>
      </c>
    </row>
    <row r="4783" spans="1:16" x14ac:dyDescent="0.3">
      <c r="A4783">
        <v>2006</v>
      </c>
      <c r="B4783">
        <v>41</v>
      </c>
      <c r="C4783" t="s">
        <v>26</v>
      </c>
      <c r="D4783" t="s">
        <v>27</v>
      </c>
      <c r="E4783" t="s">
        <v>17</v>
      </c>
      <c r="F4783" t="s">
        <v>21</v>
      </c>
      <c r="G4783" t="s">
        <v>41</v>
      </c>
      <c r="H4783" t="s">
        <v>25</v>
      </c>
      <c r="I4783" s="1">
        <v>2</v>
      </c>
      <c r="J4783" s="2">
        <v>45987</v>
      </c>
      <c r="K4783" s="2">
        <v>45962</v>
      </c>
      <c r="L4783" s="1" t="str">
        <f t="shared" si="548"/>
        <v>qua</v>
      </c>
      <c r="M4783" s="1" t="str">
        <f t="shared" si="549"/>
        <v>nov</v>
      </c>
      <c r="N4783">
        <f t="shared" si="550"/>
        <v>2025</v>
      </c>
      <c r="O4783" s="2"/>
      <c r="P4783" t="str">
        <f t="shared" si="547"/>
        <v>200645987</v>
      </c>
    </row>
    <row r="4784" spans="1:16" x14ac:dyDescent="0.3">
      <c r="A4784">
        <v>2006</v>
      </c>
      <c r="B4784">
        <v>41</v>
      </c>
      <c r="C4784" t="s">
        <v>26</v>
      </c>
      <c r="D4784" t="s">
        <v>27</v>
      </c>
      <c r="E4784" t="s">
        <v>17</v>
      </c>
      <c r="F4784" t="s">
        <v>21</v>
      </c>
      <c r="G4784" t="s">
        <v>41</v>
      </c>
      <c r="H4784" t="s">
        <v>25</v>
      </c>
      <c r="I4784" s="1">
        <v>2</v>
      </c>
      <c r="J4784" s="2">
        <v>46073</v>
      </c>
      <c r="K4784" s="2">
        <v>46054</v>
      </c>
      <c r="L4784" s="1" t="str">
        <f t="shared" si="548"/>
        <v>sex</v>
      </c>
      <c r="M4784" s="1" t="str">
        <f t="shared" si="549"/>
        <v>fev</v>
      </c>
      <c r="N4784">
        <f t="shared" si="550"/>
        <v>2026</v>
      </c>
      <c r="O4784" s="2"/>
      <c r="P4784" t="str">
        <f t="shared" si="547"/>
        <v>200646073</v>
      </c>
    </row>
    <row r="4785" spans="1:16" x14ac:dyDescent="0.3">
      <c r="A4785">
        <v>2006</v>
      </c>
      <c r="B4785">
        <v>41</v>
      </c>
      <c r="C4785" t="s">
        <v>26</v>
      </c>
      <c r="D4785" t="s">
        <v>27</v>
      </c>
      <c r="E4785" t="s">
        <v>17</v>
      </c>
      <c r="F4785" t="s">
        <v>21</v>
      </c>
      <c r="G4785" t="s">
        <v>41</v>
      </c>
      <c r="H4785" t="s">
        <v>25</v>
      </c>
      <c r="I4785" s="1">
        <v>2</v>
      </c>
      <c r="J4785" s="2">
        <v>46137</v>
      </c>
      <c r="K4785" s="2">
        <v>46113</v>
      </c>
      <c r="L4785" s="1" t="s">
        <v>53</v>
      </c>
      <c r="M4785" s="1" t="s">
        <v>48</v>
      </c>
      <c r="N4785">
        <v>2025</v>
      </c>
      <c r="O4785" s="2"/>
      <c r="P4785" t="str">
        <f t="shared" si="547"/>
        <v>200646137</v>
      </c>
    </row>
    <row r="4786" spans="1:16" x14ac:dyDescent="0.3">
      <c r="A4786">
        <v>2007</v>
      </c>
      <c r="B4786">
        <v>45</v>
      </c>
      <c r="C4786" t="s">
        <v>26</v>
      </c>
      <c r="D4786" t="s">
        <v>27</v>
      </c>
      <c r="E4786" t="s">
        <v>17</v>
      </c>
      <c r="F4786" t="s">
        <v>18</v>
      </c>
      <c r="G4786" t="s">
        <v>41</v>
      </c>
      <c r="H4786" t="s">
        <v>25</v>
      </c>
      <c r="I4786" s="1">
        <v>2</v>
      </c>
      <c r="J4786" s="2">
        <v>45868</v>
      </c>
      <c r="K4786" s="2">
        <v>45839</v>
      </c>
      <c r="L4786" s="1" t="str">
        <f t="shared" ref="L4786:L4817" si="551">TEXT(J4786,"ddd")</f>
        <v>qua</v>
      </c>
      <c r="M4786" s="1" t="str">
        <f t="shared" ref="M4786:M4817" si="552">TEXT($J4786,"mmm")</f>
        <v>jul</v>
      </c>
      <c r="N4786">
        <f t="shared" ref="N4786:N4817" si="553">YEAR(J4786)</f>
        <v>2025</v>
      </c>
      <c r="O4786" s="2"/>
      <c r="P4786" t="str">
        <f t="shared" si="547"/>
        <v>200745868</v>
      </c>
    </row>
    <row r="4787" spans="1:16" x14ac:dyDescent="0.3">
      <c r="A4787">
        <v>2007</v>
      </c>
      <c r="B4787">
        <v>45</v>
      </c>
      <c r="C4787" t="s">
        <v>26</v>
      </c>
      <c r="D4787" t="s">
        <v>27</v>
      </c>
      <c r="E4787" t="s">
        <v>17</v>
      </c>
      <c r="F4787" t="s">
        <v>18</v>
      </c>
      <c r="G4787" t="s">
        <v>41</v>
      </c>
      <c r="H4787" t="s">
        <v>25</v>
      </c>
      <c r="I4787" s="1">
        <v>2</v>
      </c>
      <c r="J4787" s="2">
        <v>45873</v>
      </c>
      <c r="K4787" s="2">
        <v>45870</v>
      </c>
      <c r="L4787" s="1" t="str">
        <f t="shared" si="551"/>
        <v>seg</v>
      </c>
      <c r="M4787" s="1" t="str">
        <f t="shared" si="552"/>
        <v>ago</v>
      </c>
      <c r="N4787">
        <f t="shared" si="553"/>
        <v>2025</v>
      </c>
      <c r="O4787" s="2"/>
      <c r="P4787" t="str">
        <f t="shared" si="547"/>
        <v>200745873</v>
      </c>
    </row>
    <row r="4788" spans="1:16" x14ac:dyDescent="0.3">
      <c r="A4788">
        <v>2007</v>
      </c>
      <c r="B4788">
        <v>45</v>
      </c>
      <c r="C4788" t="s">
        <v>26</v>
      </c>
      <c r="D4788" t="s">
        <v>27</v>
      </c>
      <c r="E4788" t="s">
        <v>17</v>
      </c>
      <c r="F4788" t="s">
        <v>18</v>
      </c>
      <c r="G4788" t="s">
        <v>41</v>
      </c>
      <c r="H4788" t="s">
        <v>25</v>
      </c>
      <c r="I4788" s="1">
        <v>2</v>
      </c>
      <c r="J4788" s="2">
        <v>45930</v>
      </c>
      <c r="K4788" s="2">
        <v>45901</v>
      </c>
      <c r="L4788" s="1" t="str">
        <f t="shared" si="551"/>
        <v>ter</v>
      </c>
      <c r="M4788" s="1" t="str">
        <f t="shared" si="552"/>
        <v>set</v>
      </c>
      <c r="N4788">
        <f t="shared" si="553"/>
        <v>2025</v>
      </c>
      <c r="O4788" s="2"/>
      <c r="P4788" t="str">
        <f t="shared" si="547"/>
        <v>200745930</v>
      </c>
    </row>
    <row r="4789" spans="1:16" x14ac:dyDescent="0.3">
      <c r="A4789">
        <v>2007</v>
      </c>
      <c r="B4789">
        <v>45</v>
      </c>
      <c r="C4789" t="s">
        <v>26</v>
      </c>
      <c r="D4789" t="s">
        <v>27</v>
      </c>
      <c r="E4789" t="s">
        <v>17</v>
      </c>
      <c r="F4789" t="s">
        <v>18</v>
      </c>
      <c r="G4789" t="s">
        <v>41</v>
      </c>
      <c r="H4789" t="s">
        <v>25</v>
      </c>
      <c r="I4789" s="1">
        <v>2</v>
      </c>
      <c r="J4789" s="2">
        <v>46071</v>
      </c>
      <c r="K4789" s="2">
        <v>46054</v>
      </c>
      <c r="L4789" s="1" t="str">
        <f t="shared" si="551"/>
        <v>qua</v>
      </c>
      <c r="M4789" s="1" t="str">
        <f t="shared" si="552"/>
        <v>fev</v>
      </c>
      <c r="N4789">
        <f t="shared" si="553"/>
        <v>2026</v>
      </c>
      <c r="O4789" s="2"/>
      <c r="P4789" t="str">
        <f t="shared" si="547"/>
        <v>200746071</v>
      </c>
    </row>
    <row r="4790" spans="1:16" x14ac:dyDescent="0.3">
      <c r="A4790">
        <v>2008</v>
      </c>
      <c r="B4790">
        <v>37</v>
      </c>
      <c r="C4790" t="s">
        <v>15</v>
      </c>
      <c r="D4790" t="s">
        <v>16</v>
      </c>
      <c r="E4790" t="s">
        <v>17</v>
      </c>
      <c r="F4790" t="s">
        <v>21</v>
      </c>
      <c r="G4790" t="s">
        <v>41</v>
      </c>
      <c r="H4790" t="s">
        <v>25</v>
      </c>
      <c r="I4790" s="1">
        <v>2</v>
      </c>
      <c r="J4790" s="2">
        <v>45907</v>
      </c>
      <c r="K4790" s="2">
        <v>45901</v>
      </c>
      <c r="L4790" s="1" t="str">
        <f t="shared" si="551"/>
        <v>dom</v>
      </c>
      <c r="M4790" s="1" t="str">
        <f t="shared" si="552"/>
        <v>set</v>
      </c>
      <c r="N4790">
        <f t="shared" si="553"/>
        <v>2025</v>
      </c>
      <c r="O4790" s="2"/>
      <c r="P4790" t="str">
        <f t="shared" si="547"/>
        <v>200845907</v>
      </c>
    </row>
    <row r="4791" spans="1:16" x14ac:dyDescent="0.3">
      <c r="A4791">
        <v>2008</v>
      </c>
      <c r="B4791">
        <v>37</v>
      </c>
      <c r="C4791" t="s">
        <v>15</v>
      </c>
      <c r="D4791" t="s">
        <v>16</v>
      </c>
      <c r="E4791" t="s">
        <v>17</v>
      </c>
      <c r="F4791" t="s">
        <v>21</v>
      </c>
      <c r="G4791" t="s">
        <v>41</v>
      </c>
      <c r="H4791" t="s">
        <v>25</v>
      </c>
      <c r="I4791" s="1">
        <v>2</v>
      </c>
      <c r="J4791" s="2">
        <v>45913</v>
      </c>
      <c r="K4791" s="2">
        <v>45901</v>
      </c>
      <c r="L4791" s="1" t="str">
        <f t="shared" si="551"/>
        <v>sáb</v>
      </c>
      <c r="M4791" s="1" t="str">
        <f t="shared" si="552"/>
        <v>set</v>
      </c>
      <c r="N4791">
        <f t="shared" si="553"/>
        <v>2025</v>
      </c>
      <c r="O4791" s="2"/>
      <c r="P4791" t="str">
        <f t="shared" si="547"/>
        <v>200845913</v>
      </c>
    </row>
    <row r="4792" spans="1:16" x14ac:dyDescent="0.3">
      <c r="A4792">
        <v>2008</v>
      </c>
      <c r="B4792">
        <v>37</v>
      </c>
      <c r="C4792" t="s">
        <v>15</v>
      </c>
      <c r="D4792" t="s">
        <v>16</v>
      </c>
      <c r="E4792" t="s">
        <v>17</v>
      </c>
      <c r="F4792" t="s">
        <v>21</v>
      </c>
      <c r="G4792" t="s">
        <v>41</v>
      </c>
      <c r="H4792" t="s">
        <v>25</v>
      </c>
      <c r="I4792" s="1">
        <v>2</v>
      </c>
      <c r="J4792" s="2">
        <v>45916</v>
      </c>
      <c r="K4792" s="2">
        <v>45901</v>
      </c>
      <c r="L4792" s="1" t="str">
        <f t="shared" si="551"/>
        <v>ter</v>
      </c>
      <c r="M4792" s="1" t="str">
        <f t="shared" si="552"/>
        <v>set</v>
      </c>
      <c r="N4792">
        <f t="shared" si="553"/>
        <v>2025</v>
      </c>
      <c r="O4792" s="2"/>
      <c r="P4792" t="str">
        <f t="shared" si="547"/>
        <v>200845916</v>
      </c>
    </row>
    <row r="4793" spans="1:16" x14ac:dyDescent="0.3">
      <c r="A4793">
        <v>2008</v>
      </c>
      <c r="B4793">
        <v>37</v>
      </c>
      <c r="C4793" t="s">
        <v>15</v>
      </c>
      <c r="D4793" t="s">
        <v>16</v>
      </c>
      <c r="E4793" t="s">
        <v>17</v>
      </c>
      <c r="F4793" t="s">
        <v>21</v>
      </c>
      <c r="G4793" t="s">
        <v>41</v>
      </c>
      <c r="H4793" t="s">
        <v>25</v>
      </c>
      <c r="I4793" s="1">
        <v>2</v>
      </c>
      <c r="J4793" s="2">
        <v>45959</v>
      </c>
      <c r="K4793" s="2">
        <v>45931</v>
      </c>
      <c r="L4793" s="1" t="str">
        <f t="shared" si="551"/>
        <v>qua</v>
      </c>
      <c r="M4793" s="1" t="str">
        <f t="shared" si="552"/>
        <v>out</v>
      </c>
      <c r="N4793">
        <f t="shared" si="553"/>
        <v>2025</v>
      </c>
      <c r="O4793" s="2"/>
      <c r="P4793" t="str">
        <f t="shared" si="547"/>
        <v>200845959</v>
      </c>
    </row>
    <row r="4794" spans="1:16" x14ac:dyDescent="0.3">
      <c r="A4794">
        <v>2008</v>
      </c>
      <c r="B4794">
        <v>37</v>
      </c>
      <c r="C4794" t="s">
        <v>15</v>
      </c>
      <c r="D4794" t="s">
        <v>16</v>
      </c>
      <c r="E4794" t="s">
        <v>17</v>
      </c>
      <c r="F4794" t="s">
        <v>21</v>
      </c>
      <c r="G4794" t="s">
        <v>41</v>
      </c>
      <c r="H4794" t="s">
        <v>25</v>
      </c>
      <c r="I4794" s="1">
        <v>2</v>
      </c>
      <c r="J4794" s="2">
        <v>46021</v>
      </c>
      <c r="K4794" s="2">
        <v>45992</v>
      </c>
      <c r="L4794" s="1" t="str">
        <f t="shared" si="551"/>
        <v>ter</v>
      </c>
      <c r="M4794" s="1" t="str">
        <f t="shared" si="552"/>
        <v>dez</v>
      </c>
      <c r="N4794">
        <f t="shared" si="553"/>
        <v>2025</v>
      </c>
      <c r="O4794" s="2"/>
      <c r="P4794" t="str">
        <f t="shared" si="547"/>
        <v>200846021</v>
      </c>
    </row>
    <row r="4795" spans="1:16" x14ac:dyDescent="0.3">
      <c r="A4795">
        <v>2009</v>
      </c>
      <c r="B4795">
        <v>25</v>
      </c>
      <c r="C4795" t="s">
        <v>15</v>
      </c>
      <c r="D4795" t="s">
        <v>29</v>
      </c>
      <c r="E4795" t="s">
        <v>17</v>
      </c>
      <c r="F4795" t="s">
        <v>18</v>
      </c>
      <c r="G4795" t="s">
        <v>41</v>
      </c>
      <c r="H4795" t="s">
        <v>25</v>
      </c>
      <c r="I4795" s="1">
        <v>1</v>
      </c>
      <c r="J4795" s="2">
        <v>45837</v>
      </c>
      <c r="K4795" s="2">
        <v>45809</v>
      </c>
      <c r="L4795" s="1" t="str">
        <f t="shared" si="551"/>
        <v>dom</v>
      </c>
      <c r="M4795" s="1" t="str">
        <f t="shared" si="552"/>
        <v>jun</v>
      </c>
      <c r="N4795">
        <f t="shared" si="553"/>
        <v>2025</v>
      </c>
      <c r="O4795" s="2"/>
      <c r="P4795" t="str">
        <f t="shared" si="547"/>
        <v>200945837</v>
      </c>
    </row>
    <row r="4796" spans="1:16" x14ac:dyDescent="0.3">
      <c r="A4796">
        <v>2009</v>
      </c>
      <c r="B4796">
        <v>25</v>
      </c>
      <c r="C4796" t="s">
        <v>15</v>
      </c>
      <c r="D4796" t="s">
        <v>29</v>
      </c>
      <c r="E4796" t="s">
        <v>17</v>
      </c>
      <c r="F4796" t="s">
        <v>18</v>
      </c>
      <c r="G4796" t="s">
        <v>41</v>
      </c>
      <c r="H4796" t="s">
        <v>25</v>
      </c>
      <c r="I4796" s="1">
        <v>1</v>
      </c>
      <c r="J4796" s="2">
        <v>45879</v>
      </c>
      <c r="K4796" s="2">
        <v>45870</v>
      </c>
      <c r="L4796" s="1" t="str">
        <f t="shared" si="551"/>
        <v>dom</v>
      </c>
      <c r="M4796" s="1" t="str">
        <f t="shared" si="552"/>
        <v>ago</v>
      </c>
      <c r="N4796">
        <f t="shared" si="553"/>
        <v>2025</v>
      </c>
      <c r="O4796" s="2"/>
      <c r="P4796" t="str">
        <f t="shared" si="547"/>
        <v>200945879</v>
      </c>
    </row>
    <row r="4797" spans="1:16" x14ac:dyDescent="0.3">
      <c r="A4797">
        <v>2009</v>
      </c>
      <c r="B4797">
        <v>25</v>
      </c>
      <c r="C4797" t="s">
        <v>15</v>
      </c>
      <c r="D4797" t="s">
        <v>29</v>
      </c>
      <c r="E4797" t="s">
        <v>17</v>
      </c>
      <c r="F4797" t="s">
        <v>18</v>
      </c>
      <c r="G4797" t="s">
        <v>41</v>
      </c>
      <c r="H4797" t="s">
        <v>25</v>
      </c>
      <c r="I4797" s="1">
        <v>1</v>
      </c>
      <c r="J4797" s="2">
        <v>45921</v>
      </c>
      <c r="K4797" s="2">
        <v>45901</v>
      </c>
      <c r="L4797" s="1" t="str">
        <f t="shared" si="551"/>
        <v>dom</v>
      </c>
      <c r="M4797" s="1" t="str">
        <f t="shared" si="552"/>
        <v>set</v>
      </c>
      <c r="N4797">
        <f t="shared" si="553"/>
        <v>2025</v>
      </c>
      <c r="O4797" s="2"/>
      <c r="P4797" t="str">
        <f t="shared" ref="P4797:P4860" si="554">CONCATENATE(A4797,J4797)</f>
        <v>200945921</v>
      </c>
    </row>
    <row r="4798" spans="1:16" x14ac:dyDescent="0.3">
      <c r="A4798">
        <v>2009</v>
      </c>
      <c r="B4798">
        <v>25</v>
      </c>
      <c r="C4798" t="s">
        <v>15</v>
      </c>
      <c r="D4798" t="s">
        <v>29</v>
      </c>
      <c r="E4798" t="s">
        <v>17</v>
      </c>
      <c r="F4798" t="s">
        <v>18</v>
      </c>
      <c r="G4798" t="s">
        <v>41</v>
      </c>
      <c r="H4798" t="s">
        <v>25</v>
      </c>
      <c r="I4798" s="1">
        <v>1</v>
      </c>
      <c r="J4798" s="2">
        <v>46004</v>
      </c>
      <c r="K4798" s="2">
        <v>45992</v>
      </c>
      <c r="L4798" s="1" t="str">
        <f t="shared" si="551"/>
        <v>sáb</v>
      </c>
      <c r="M4798" s="1" t="str">
        <f t="shared" si="552"/>
        <v>dez</v>
      </c>
      <c r="N4798">
        <f t="shared" si="553"/>
        <v>2025</v>
      </c>
      <c r="O4798" s="2"/>
      <c r="P4798" t="str">
        <f t="shared" si="554"/>
        <v>200946004</v>
      </c>
    </row>
    <row r="4799" spans="1:16" x14ac:dyDescent="0.3">
      <c r="A4799">
        <v>2009</v>
      </c>
      <c r="B4799">
        <v>25</v>
      </c>
      <c r="C4799" t="s">
        <v>15</v>
      </c>
      <c r="D4799" t="s">
        <v>29</v>
      </c>
      <c r="E4799" t="s">
        <v>17</v>
      </c>
      <c r="F4799" t="s">
        <v>18</v>
      </c>
      <c r="G4799" t="s">
        <v>41</v>
      </c>
      <c r="H4799" t="s">
        <v>25</v>
      </c>
      <c r="I4799" s="1">
        <v>1</v>
      </c>
      <c r="J4799" s="2">
        <v>46058</v>
      </c>
      <c r="K4799" s="2">
        <v>46054</v>
      </c>
      <c r="L4799" s="1" t="str">
        <f t="shared" si="551"/>
        <v>qui</v>
      </c>
      <c r="M4799" s="1" t="str">
        <f t="shared" si="552"/>
        <v>fev</v>
      </c>
      <c r="N4799">
        <f t="shared" si="553"/>
        <v>2026</v>
      </c>
      <c r="O4799" s="2"/>
      <c r="P4799" t="str">
        <f t="shared" si="554"/>
        <v>200946058</v>
      </c>
    </row>
    <row r="4800" spans="1:16" x14ac:dyDescent="0.3">
      <c r="A4800">
        <v>2009</v>
      </c>
      <c r="B4800">
        <v>25</v>
      </c>
      <c r="C4800" t="s">
        <v>15</v>
      </c>
      <c r="D4800" t="s">
        <v>29</v>
      </c>
      <c r="E4800" t="s">
        <v>17</v>
      </c>
      <c r="F4800" t="s">
        <v>18</v>
      </c>
      <c r="G4800" t="s">
        <v>41</v>
      </c>
      <c r="H4800" t="s">
        <v>25</v>
      </c>
      <c r="I4800" s="1">
        <v>1</v>
      </c>
      <c r="J4800" s="2">
        <v>46110</v>
      </c>
      <c r="K4800" s="2">
        <v>46082</v>
      </c>
      <c r="L4800" s="1" t="str">
        <f t="shared" si="551"/>
        <v>dom</v>
      </c>
      <c r="M4800" s="1" t="str">
        <f t="shared" si="552"/>
        <v>mar</v>
      </c>
      <c r="N4800">
        <f t="shared" si="553"/>
        <v>2026</v>
      </c>
      <c r="O4800" s="2"/>
      <c r="P4800" t="str">
        <f t="shared" si="554"/>
        <v>200946110</v>
      </c>
    </row>
    <row r="4801" spans="1:16" x14ac:dyDescent="0.3">
      <c r="A4801">
        <v>2009</v>
      </c>
      <c r="B4801">
        <v>25</v>
      </c>
      <c r="C4801" t="s">
        <v>15</v>
      </c>
      <c r="D4801" t="s">
        <v>29</v>
      </c>
      <c r="E4801" t="s">
        <v>17</v>
      </c>
      <c r="F4801" t="s">
        <v>18</v>
      </c>
      <c r="G4801" t="s">
        <v>41</v>
      </c>
      <c r="H4801" t="s">
        <v>25</v>
      </c>
      <c r="I4801" s="1">
        <v>1</v>
      </c>
      <c r="J4801" s="2">
        <v>46163</v>
      </c>
      <c r="K4801" s="2">
        <v>46143</v>
      </c>
      <c r="L4801" s="1" t="str">
        <f t="shared" si="551"/>
        <v>qui</v>
      </c>
      <c r="M4801" s="1" t="str">
        <f t="shared" si="552"/>
        <v>mai</v>
      </c>
      <c r="N4801">
        <f t="shared" si="553"/>
        <v>2026</v>
      </c>
      <c r="O4801" s="2"/>
      <c r="P4801" t="str">
        <f t="shared" si="554"/>
        <v>200946163</v>
      </c>
    </row>
    <row r="4802" spans="1:16" x14ac:dyDescent="0.3">
      <c r="A4802">
        <v>2010</v>
      </c>
      <c r="B4802">
        <v>20</v>
      </c>
      <c r="C4802" t="s">
        <v>26</v>
      </c>
      <c r="D4802" t="s">
        <v>16</v>
      </c>
      <c r="E4802" t="s">
        <v>17</v>
      </c>
      <c r="F4802" t="s">
        <v>23</v>
      </c>
      <c r="G4802" t="s">
        <v>41</v>
      </c>
      <c r="H4802" t="s">
        <v>25</v>
      </c>
      <c r="I4802" s="1">
        <v>3</v>
      </c>
      <c r="J4802" s="2">
        <v>46064</v>
      </c>
      <c r="K4802" s="2">
        <v>46054</v>
      </c>
      <c r="L4802" s="1" t="str">
        <f t="shared" si="551"/>
        <v>qua</v>
      </c>
      <c r="M4802" s="1" t="str">
        <f t="shared" si="552"/>
        <v>fev</v>
      </c>
      <c r="N4802">
        <f t="shared" si="553"/>
        <v>2026</v>
      </c>
      <c r="O4802" s="2"/>
      <c r="P4802" t="str">
        <f t="shared" si="554"/>
        <v>201046064</v>
      </c>
    </row>
    <row r="4803" spans="1:16" x14ac:dyDescent="0.3">
      <c r="A4803">
        <v>2010</v>
      </c>
      <c r="B4803">
        <v>20</v>
      </c>
      <c r="C4803" t="s">
        <v>26</v>
      </c>
      <c r="D4803" t="s">
        <v>16</v>
      </c>
      <c r="E4803" t="s">
        <v>17</v>
      </c>
      <c r="F4803" t="s">
        <v>23</v>
      </c>
      <c r="G4803" t="s">
        <v>41</v>
      </c>
      <c r="H4803" t="s">
        <v>25</v>
      </c>
      <c r="I4803" s="1">
        <v>3</v>
      </c>
      <c r="J4803" s="2">
        <v>46078</v>
      </c>
      <c r="K4803" s="2">
        <v>46054</v>
      </c>
      <c r="L4803" s="1" t="str">
        <f t="shared" si="551"/>
        <v>qua</v>
      </c>
      <c r="M4803" s="1" t="str">
        <f t="shared" si="552"/>
        <v>fev</v>
      </c>
      <c r="N4803">
        <f t="shared" si="553"/>
        <v>2026</v>
      </c>
      <c r="O4803" s="2"/>
      <c r="P4803" t="str">
        <f t="shared" si="554"/>
        <v>201046078</v>
      </c>
    </row>
    <row r="4804" spans="1:16" x14ac:dyDescent="0.3">
      <c r="A4804">
        <v>2010</v>
      </c>
      <c r="B4804">
        <v>20</v>
      </c>
      <c r="C4804" t="s">
        <v>26</v>
      </c>
      <c r="D4804" t="s">
        <v>16</v>
      </c>
      <c r="E4804" t="s">
        <v>17</v>
      </c>
      <c r="F4804" t="s">
        <v>23</v>
      </c>
      <c r="G4804" t="s">
        <v>41</v>
      </c>
      <c r="H4804" t="s">
        <v>25</v>
      </c>
      <c r="I4804" s="1">
        <v>3</v>
      </c>
      <c r="J4804" s="2">
        <v>46080</v>
      </c>
      <c r="K4804" s="2">
        <v>46054</v>
      </c>
      <c r="L4804" s="1" t="str">
        <f t="shared" si="551"/>
        <v>sex</v>
      </c>
      <c r="M4804" s="1" t="str">
        <f t="shared" si="552"/>
        <v>fev</v>
      </c>
      <c r="N4804">
        <f t="shared" si="553"/>
        <v>2026</v>
      </c>
      <c r="O4804" s="2"/>
      <c r="P4804" t="str">
        <f t="shared" si="554"/>
        <v>201046080</v>
      </c>
    </row>
    <row r="4805" spans="1:16" x14ac:dyDescent="0.3">
      <c r="A4805">
        <v>2010</v>
      </c>
      <c r="B4805">
        <v>20</v>
      </c>
      <c r="C4805" t="s">
        <v>26</v>
      </c>
      <c r="D4805" t="s">
        <v>16</v>
      </c>
      <c r="E4805" t="s">
        <v>17</v>
      </c>
      <c r="F4805" t="s">
        <v>23</v>
      </c>
      <c r="G4805" t="s">
        <v>41</v>
      </c>
      <c r="H4805" t="s">
        <v>25</v>
      </c>
      <c r="I4805" s="1">
        <v>3</v>
      </c>
      <c r="J4805" s="2">
        <v>46081</v>
      </c>
      <c r="K4805" s="2">
        <v>46054</v>
      </c>
      <c r="L4805" s="1" t="str">
        <f t="shared" si="551"/>
        <v>sáb</v>
      </c>
      <c r="M4805" s="1" t="str">
        <f t="shared" si="552"/>
        <v>fev</v>
      </c>
      <c r="N4805">
        <f t="shared" si="553"/>
        <v>2026</v>
      </c>
      <c r="O4805" s="2"/>
      <c r="P4805" t="str">
        <f t="shared" si="554"/>
        <v>201046081</v>
      </c>
    </row>
    <row r="4806" spans="1:16" x14ac:dyDescent="0.3">
      <c r="A4806">
        <v>2011</v>
      </c>
      <c r="B4806">
        <v>38</v>
      </c>
      <c r="C4806" t="s">
        <v>15</v>
      </c>
      <c r="D4806" t="s">
        <v>22</v>
      </c>
      <c r="E4806" t="s">
        <v>17</v>
      </c>
      <c r="F4806" t="s">
        <v>21</v>
      </c>
      <c r="G4806" t="s">
        <v>41</v>
      </c>
      <c r="H4806" t="s">
        <v>25</v>
      </c>
      <c r="I4806" s="1">
        <v>2</v>
      </c>
      <c r="J4806" s="2">
        <v>45825</v>
      </c>
      <c r="K4806" s="2">
        <v>45809</v>
      </c>
      <c r="L4806" s="1" t="str">
        <f t="shared" si="551"/>
        <v>ter</v>
      </c>
      <c r="M4806" s="1" t="str">
        <f t="shared" si="552"/>
        <v>jun</v>
      </c>
      <c r="N4806">
        <f t="shared" si="553"/>
        <v>2025</v>
      </c>
      <c r="O4806" s="2"/>
      <c r="P4806" t="str">
        <f t="shared" si="554"/>
        <v>201145825</v>
      </c>
    </row>
    <row r="4807" spans="1:16" x14ac:dyDescent="0.3">
      <c r="A4807">
        <v>2011</v>
      </c>
      <c r="B4807">
        <v>38</v>
      </c>
      <c r="C4807" t="s">
        <v>15</v>
      </c>
      <c r="D4807" t="s">
        <v>22</v>
      </c>
      <c r="E4807" t="s">
        <v>17</v>
      </c>
      <c r="F4807" t="s">
        <v>21</v>
      </c>
      <c r="G4807" t="s">
        <v>41</v>
      </c>
      <c r="H4807" t="s">
        <v>25</v>
      </c>
      <c r="I4807" s="1">
        <v>2</v>
      </c>
      <c r="J4807" s="2">
        <v>45965</v>
      </c>
      <c r="K4807" s="2">
        <v>45962</v>
      </c>
      <c r="L4807" s="1" t="str">
        <f t="shared" si="551"/>
        <v>ter</v>
      </c>
      <c r="M4807" s="1" t="str">
        <f t="shared" si="552"/>
        <v>nov</v>
      </c>
      <c r="N4807">
        <f t="shared" si="553"/>
        <v>2025</v>
      </c>
      <c r="O4807" s="2"/>
      <c r="P4807" t="str">
        <f t="shared" si="554"/>
        <v>201145965</v>
      </c>
    </row>
    <row r="4808" spans="1:16" x14ac:dyDescent="0.3">
      <c r="A4808">
        <v>2011</v>
      </c>
      <c r="B4808">
        <v>38</v>
      </c>
      <c r="C4808" t="s">
        <v>15</v>
      </c>
      <c r="D4808" t="s">
        <v>22</v>
      </c>
      <c r="E4808" t="s">
        <v>17</v>
      </c>
      <c r="F4808" t="s">
        <v>21</v>
      </c>
      <c r="G4808" t="s">
        <v>41</v>
      </c>
      <c r="H4808" t="s">
        <v>25</v>
      </c>
      <c r="I4808" s="1">
        <v>2</v>
      </c>
      <c r="J4808" s="2">
        <v>45966</v>
      </c>
      <c r="K4808" s="2">
        <v>45962</v>
      </c>
      <c r="L4808" s="1" t="str">
        <f t="shared" si="551"/>
        <v>qua</v>
      </c>
      <c r="M4808" s="1" t="str">
        <f t="shared" si="552"/>
        <v>nov</v>
      </c>
      <c r="N4808">
        <f t="shared" si="553"/>
        <v>2025</v>
      </c>
      <c r="O4808" s="2"/>
      <c r="P4808" t="str">
        <f t="shared" si="554"/>
        <v>201145966</v>
      </c>
    </row>
    <row r="4809" spans="1:16" x14ac:dyDescent="0.3">
      <c r="A4809">
        <v>2011</v>
      </c>
      <c r="B4809">
        <v>38</v>
      </c>
      <c r="C4809" t="s">
        <v>15</v>
      </c>
      <c r="D4809" t="s">
        <v>22</v>
      </c>
      <c r="E4809" t="s">
        <v>17</v>
      </c>
      <c r="F4809" t="s">
        <v>21</v>
      </c>
      <c r="G4809" t="s">
        <v>41</v>
      </c>
      <c r="H4809" t="s">
        <v>25</v>
      </c>
      <c r="I4809" s="1">
        <v>2</v>
      </c>
      <c r="J4809" s="2">
        <v>45987</v>
      </c>
      <c r="K4809" s="2">
        <v>45962</v>
      </c>
      <c r="L4809" s="1" t="str">
        <f t="shared" si="551"/>
        <v>qua</v>
      </c>
      <c r="M4809" s="1" t="str">
        <f t="shared" si="552"/>
        <v>nov</v>
      </c>
      <c r="N4809">
        <f t="shared" si="553"/>
        <v>2025</v>
      </c>
      <c r="O4809" s="2"/>
      <c r="P4809" t="str">
        <f t="shared" si="554"/>
        <v>201145987</v>
      </c>
    </row>
    <row r="4810" spans="1:16" x14ac:dyDescent="0.3">
      <c r="A4810">
        <v>2011</v>
      </c>
      <c r="B4810">
        <v>38</v>
      </c>
      <c r="C4810" t="s">
        <v>15</v>
      </c>
      <c r="D4810" t="s">
        <v>22</v>
      </c>
      <c r="E4810" t="s">
        <v>17</v>
      </c>
      <c r="F4810" t="s">
        <v>21</v>
      </c>
      <c r="G4810" t="s">
        <v>41</v>
      </c>
      <c r="H4810" t="s">
        <v>25</v>
      </c>
      <c r="I4810" s="1">
        <v>2</v>
      </c>
      <c r="J4810" s="2">
        <v>46054</v>
      </c>
      <c r="K4810" s="2">
        <v>46054</v>
      </c>
      <c r="L4810" s="1" t="str">
        <f t="shared" si="551"/>
        <v>dom</v>
      </c>
      <c r="M4810" s="1" t="str">
        <f t="shared" si="552"/>
        <v>fev</v>
      </c>
      <c r="N4810">
        <f t="shared" si="553"/>
        <v>2026</v>
      </c>
      <c r="O4810" s="2"/>
      <c r="P4810" t="str">
        <f t="shared" si="554"/>
        <v>201146054</v>
      </c>
    </row>
    <row r="4811" spans="1:16" x14ac:dyDescent="0.3">
      <c r="A4811">
        <v>2012</v>
      </c>
      <c r="B4811">
        <v>43</v>
      </c>
      <c r="C4811" t="s">
        <v>26</v>
      </c>
      <c r="D4811" t="s">
        <v>27</v>
      </c>
      <c r="E4811" t="s">
        <v>17</v>
      </c>
      <c r="F4811" t="s">
        <v>23</v>
      </c>
      <c r="G4811" t="s">
        <v>41</v>
      </c>
      <c r="H4811" t="s">
        <v>25</v>
      </c>
      <c r="I4811" s="1">
        <v>2</v>
      </c>
      <c r="J4811" s="2">
        <v>45848</v>
      </c>
      <c r="K4811" s="2">
        <v>45839</v>
      </c>
      <c r="L4811" s="1" t="str">
        <f t="shared" si="551"/>
        <v>qui</v>
      </c>
      <c r="M4811" s="1" t="str">
        <f t="shared" si="552"/>
        <v>jul</v>
      </c>
      <c r="N4811">
        <f t="shared" si="553"/>
        <v>2025</v>
      </c>
      <c r="O4811" s="2"/>
      <c r="P4811" t="str">
        <f t="shared" si="554"/>
        <v>201245848</v>
      </c>
    </row>
    <row r="4812" spans="1:16" x14ac:dyDescent="0.3">
      <c r="A4812">
        <v>2012</v>
      </c>
      <c r="B4812">
        <v>43</v>
      </c>
      <c r="C4812" t="s">
        <v>26</v>
      </c>
      <c r="D4812" t="s">
        <v>27</v>
      </c>
      <c r="E4812" t="s">
        <v>17</v>
      </c>
      <c r="F4812" t="s">
        <v>23</v>
      </c>
      <c r="G4812" t="s">
        <v>41</v>
      </c>
      <c r="H4812" t="s">
        <v>25</v>
      </c>
      <c r="I4812" s="1">
        <v>2</v>
      </c>
      <c r="J4812" s="2">
        <v>45881</v>
      </c>
      <c r="K4812" s="2">
        <v>45870</v>
      </c>
      <c r="L4812" s="1" t="str">
        <f t="shared" si="551"/>
        <v>ter</v>
      </c>
      <c r="M4812" s="1" t="str">
        <f t="shared" si="552"/>
        <v>ago</v>
      </c>
      <c r="N4812">
        <f t="shared" si="553"/>
        <v>2025</v>
      </c>
      <c r="O4812" s="2"/>
      <c r="P4812" t="str">
        <f t="shared" si="554"/>
        <v>201245881</v>
      </c>
    </row>
    <row r="4813" spans="1:16" x14ac:dyDescent="0.3">
      <c r="A4813">
        <v>2012</v>
      </c>
      <c r="B4813">
        <v>43</v>
      </c>
      <c r="C4813" t="s">
        <v>26</v>
      </c>
      <c r="D4813" t="s">
        <v>27</v>
      </c>
      <c r="E4813" t="s">
        <v>17</v>
      </c>
      <c r="F4813" t="s">
        <v>23</v>
      </c>
      <c r="G4813" t="s">
        <v>41</v>
      </c>
      <c r="H4813" t="s">
        <v>25</v>
      </c>
      <c r="I4813" s="1">
        <v>2</v>
      </c>
      <c r="J4813" s="2">
        <v>45919</v>
      </c>
      <c r="K4813" s="2">
        <v>45901</v>
      </c>
      <c r="L4813" s="1" t="str">
        <f t="shared" si="551"/>
        <v>sex</v>
      </c>
      <c r="M4813" s="1" t="str">
        <f t="shared" si="552"/>
        <v>set</v>
      </c>
      <c r="N4813">
        <f t="shared" si="553"/>
        <v>2025</v>
      </c>
      <c r="O4813" s="2"/>
      <c r="P4813" t="str">
        <f t="shared" si="554"/>
        <v>201245919</v>
      </c>
    </row>
    <row r="4814" spans="1:16" x14ac:dyDescent="0.3">
      <c r="A4814">
        <v>2012</v>
      </c>
      <c r="B4814">
        <v>43</v>
      </c>
      <c r="C4814" t="s">
        <v>26</v>
      </c>
      <c r="D4814" t="s">
        <v>27</v>
      </c>
      <c r="E4814" t="s">
        <v>17</v>
      </c>
      <c r="F4814" t="s">
        <v>23</v>
      </c>
      <c r="G4814" t="s">
        <v>41</v>
      </c>
      <c r="H4814" t="s">
        <v>25</v>
      </c>
      <c r="I4814" s="1">
        <v>2</v>
      </c>
      <c r="J4814" s="2">
        <v>45953</v>
      </c>
      <c r="K4814" s="2">
        <v>45931</v>
      </c>
      <c r="L4814" s="1" t="str">
        <f t="shared" si="551"/>
        <v>qui</v>
      </c>
      <c r="M4814" s="1" t="str">
        <f t="shared" si="552"/>
        <v>out</v>
      </c>
      <c r="N4814">
        <f t="shared" si="553"/>
        <v>2025</v>
      </c>
      <c r="O4814" s="2"/>
      <c r="P4814" t="str">
        <f t="shared" si="554"/>
        <v>201245953</v>
      </c>
    </row>
    <row r="4815" spans="1:16" x14ac:dyDescent="0.3">
      <c r="A4815">
        <v>2012</v>
      </c>
      <c r="B4815">
        <v>43</v>
      </c>
      <c r="C4815" t="s">
        <v>26</v>
      </c>
      <c r="D4815" t="s">
        <v>27</v>
      </c>
      <c r="E4815" t="s">
        <v>17</v>
      </c>
      <c r="F4815" t="s">
        <v>23</v>
      </c>
      <c r="G4815" t="s">
        <v>41</v>
      </c>
      <c r="H4815" t="s">
        <v>25</v>
      </c>
      <c r="I4815" s="1">
        <v>2</v>
      </c>
      <c r="J4815" s="2">
        <v>46056</v>
      </c>
      <c r="K4815" s="2">
        <v>46054</v>
      </c>
      <c r="L4815" s="1" t="str">
        <f t="shared" si="551"/>
        <v>ter</v>
      </c>
      <c r="M4815" s="1" t="str">
        <f t="shared" si="552"/>
        <v>fev</v>
      </c>
      <c r="N4815">
        <f t="shared" si="553"/>
        <v>2026</v>
      </c>
      <c r="O4815" s="2"/>
      <c r="P4815" t="str">
        <f t="shared" si="554"/>
        <v>201246056</v>
      </c>
    </row>
    <row r="4816" spans="1:16" x14ac:dyDescent="0.3">
      <c r="A4816">
        <v>2012</v>
      </c>
      <c r="B4816">
        <v>43</v>
      </c>
      <c r="C4816" t="s">
        <v>26</v>
      </c>
      <c r="D4816" t="s">
        <v>27</v>
      </c>
      <c r="E4816" t="s">
        <v>17</v>
      </c>
      <c r="F4816" t="s">
        <v>23</v>
      </c>
      <c r="G4816" t="s">
        <v>41</v>
      </c>
      <c r="H4816" t="s">
        <v>25</v>
      </c>
      <c r="I4816" s="1">
        <v>2</v>
      </c>
      <c r="J4816" s="2">
        <v>46090</v>
      </c>
      <c r="K4816" s="2">
        <v>46082</v>
      </c>
      <c r="L4816" s="1" t="str">
        <f t="shared" si="551"/>
        <v>seg</v>
      </c>
      <c r="M4816" s="1" t="str">
        <f t="shared" si="552"/>
        <v>mar</v>
      </c>
      <c r="N4816">
        <f t="shared" si="553"/>
        <v>2026</v>
      </c>
      <c r="O4816" s="2"/>
      <c r="P4816" t="str">
        <f t="shared" si="554"/>
        <v>201246090</v>
      </c>
    </row>
    <row r="4817" spans="1:16" x14ac:dyDescent="0.3">
      <c r="A4817">
        <v>2013</v>
      </c>
      <c r="B4817">
        <v>40</v>
      </c>
      <c r="C4817" t="s">
        <v>26</v>
      </c>
      <c r="D4817" t="s">
        <v>27</v>
      </c>
      <c r="E4817" t="s">
        <v>17</v>
      </c>
      <c r="F4817" t="s">
        <v>21</v>
      </c>
      <c r="G4817" t="s">
        <v>41</v>
      </c>
      <c r="H4817" t="s">
        <v>25</v>
      </c>
      <c r="I4817" s="1">
        <v>3</v>
      </c>
      <c r="J4817" s="2">
        <v>45841</v>
      </c>
      <c r="K4817" s="2">
        <v>45839</v>
      </c>
      <c r="L4817" s="1" t="str">
        <f t="shared" si="551"/>
        <v>qui</v>
      </c>
      <c r="M4817" s="1" t="str">
        <f t="shared" si="552"/>
        <v>jul</v>
      </c>
      <c r="N4817">
        <f t="shared" si="553"/>
        <v>2025</v>
      </c>
      <c r="O4817" s="2"/>
      <c r="P4817" t="str">
        <f t="shared" si="554"/>
        <v>201345841</v>
      </c>
    </row>
    <row r="4818" spans="1:16" x14ac:dyDescent="0.3">
      <c r="A4818">
        <v>2013</v>
      </c>
      <c r="B4818">
        <v>40</v>
      </c>
      <c r="C4818" t="s">
        <v>26</v>
      </c>
      <c r="D4818" t="s">
        <v>27</v>
      </c>
      <c r="E4818" t="s">
        <v>17</v>
      </c>
      <c r="F4818" t="s">
        <v>21</v>
      </c>
      <c r="G4818" t="s">
        <v>41</v>
      </c>
      <c r="H4818" t="s">
        <v>25</v>
      </c>
      <c r="I4818" s="1">
        <v>3</v>
      </c>
      <c r="J4818" s="2">
        <v>45859</v>
      </c>
      <c r="K4818" s="2">
        <v>45839</v>
      </c>
      <c r="L4818" s="1" t="str">
        <f t="shared" ref="L4818:L4849" si="555">TEXT(J4818,"ddd")</f>
        <v>seg</v>
      </c>
      <c r="M4818" s="1" t="str">
        <f t="shared" ref="M4818:M4849" si="556">TEXT($J4818,"mmm")</f>
        <v>jul</v>
      </c>
      <c r="N4818">
        <f t="shared" ref="N4818:N4849" si="557">YEAR(J4818)</f>
        <v>2025</v>
      </c>
      <c r="O4818" s="2"/>
      <c r="P4818" t="str">
        <f t="shared" si="554"/>
        <v>201345859</v>
      </c>
    </row>
    <row r="4819" spans="1:16" x14ac:dyDescent="0.3">
      <c r="A4819">
        <v>2013</v>
      </c>
      <c r="B4819">
        <v>40</v>
      </c>
      <c r="C4819" t="s">
        <v>26</v>
      </c>
      <c r="D4819" t="s">
        <v>27</v>
      </c>
      <c r="E4819" t="s">
        <v>17</v>
      </c>
      <c r="F4819" t="s">
        <v>21</v>
      </c>
      <c r="G4819" t="s">
        <v>41</v>
      </c>
      <c r="H4819" t="s">
        <v>25</v>
      </c>
      <c r="I4819" s="1">
        <v>3</v>
      </c>
      <c r="J4819" s="2">
        <v>46186</v>
      </c>
      <c r="K4819" s="2">
        <v>46023</v>
      </c>
      <c r="L4819" s="1" t="str">
        <f t="shared" si="555"/>
        <v>sáb</v>
      </c>
      <c r="M4819" s="1" t="str">
        <f t="shared" si="556"/>
        <v>jun</v>
      </c>
      <c r="N4819">
        <f t="shared" si="557"/>
        <v>2026</v>
      </c>
      <c r="O4819" s="2"/>
      <c r="P4819" t="str">
        <f t="shared" si="554"/>
        <v>201346186</v>
      </c>
    </row>
    <row r="4820" spans="1:16" x14ac:dyDescent="0.3">
      <c r="A4820">
        <v>2013</v>
      </c>
      <c r="B4820">
        <v>40</v>
      </c>
      <c r="C4820" t="s">
        <v>26</v>
      </c>
      <c r="D4820" t="s">
        <v>27</v>
      </c>
      <c r="E4820" t="s">
        <v>17</v>
      </c>
      <c r="F4820" t="s">
        <v>21</v>
      </c>
      <c r="G4820" t="s">
        <v>41</v>
      </c>
      <c r="H4820" t="s">
        <v>25</v>
      </c>
      <c r="I4820" s="1">
        <v>3</v>
      </c>
      <c r="J4820" s="2">
        <v>46200</v>
      </c>
      <c r="K4820" s="2">
        <v>46023</v>
      </c>
      <c r="L4820" s="1" t="str">
        <f t="shared" si="555"/>
        <v>sáb</v>
      </c>
      <c r="M4820" s="1" t="str">
        <f t="shared" si="556"/>
        <v>jun</v>
      </c>
      <c r="N4820">
        <f t="shared" si="557"/>
        <v>2026</v>
      </c>
      <c r="O4820" s="2"/>
      <c r="P4820" t="str">
        <f t="shared" si="554"/>
        <v>201346200</v>
      </c>
    </row>
    <row r="4821" spans="1:16" x14ac:dyDescent="0.3">
      <c r="A4821">
        <v>2013</v>
      </c>
      <c r="B4821">
        <v>40</v>
      </c>
      <c r="C4821" t="s">
        <v>26</v>
      </c>
      <c r="D4821" t="s">
        <v>27</v>
      </c>
      <c r="E4821" t="s">
        <v>17</v>
      </c>
      <c r="F4821" t="s">
        <v>21</v>
      </c>
      <c r="G4821" t="s">
        <v>41</v>
      </c>
      <c r="H4821" t="s">
        <v>25</v>
      </c>
      <c r="I4821" s="1">
        <v>3</v>
      </c>
      <c r="J4821" s="2">
        <v>46106</v>
      </c>
      <c r="K4821" s="2">
        <v>46082</v>
      </c>
      <c r="L4821" s="1" t="str">
        <f t="shared" si="555"/>
        <v>qua</v>
      </c>
      <c r="M4821" s="1" t="str">
        <f t="shared" si="556"/>
        <v>mar</v>
      </c>
      <c r="N4821">
        <f t="shared" si="557"/>
        <v>2026</v>
      </c>
      <c r="O4821" s="2"/>
      <c r="P4821" t="str">
        <f t="shared" si="554"/>
        <v>201346106</v>
      </c>
    </row>
    <row r="4822" spans="1:16" x14ac:dyDescent="0.3">
      <c r="A4822">
        <v>2014</v>
      </c>
      <c r="B4822">
        <v>22</v>
      </c>
      <c r="C4822" t="s">
        <v>15</v>
      </c>
      <c r="D4822" t="s">
        <v>31</v>
      </c>
      <c r="E4822" t="s">
        <v>34</v>
      </c>
      <c r="F4822" t="s">
        <v>18</v>
      </c>
      <c r="G4822" t="s">
        <v>41</v>
      </c>
      <c r="H4822" t="s">
        <v>25</v>
      </c>
      <c r="I4822" s="1">
        <v>2</v>
      </c>
      <c r="J4822" s="2">
        <v>45816</v>
      </c>
      <c r="K4822" s="2">
        <v>45809</v>
      </c>
      <c r="L4822" s="1" t="str">
        <f t="shared" si="555"/>
        <v>dom</v>
      </c>
      <c r="M4822" s="1" t="str">
        <f t="shared" si="556"/>
        <v>jun</v>
      </c>
      <c r="N4822">
        <f t="shared" si="557"/>
        <v>2025</v>
      </c>
      <c r="O4822" s="2"/>
      <c r="P4822" t="str">
        <f t="shared" si="554"/>
        <v>201445816</v>
      </c>
    </row>
    <row r="4823" spans="1:16" x14ac:dyDescent="0.3">
      <c r="A4823">
        <v>2014</v>
      </c>
      <c r="B4823">
        <v>22</v>
      </c>
      <c r="C4823" t="s">
        <v>15</v>
      </c>
      <c r="D4823" t="s">
        <v>31</v>
      </c>
      <c r="E4823" t="s">
        <v>34</v>
      </c>
      <c r="F4823" t="s">
        <v>18</v>
      </c>
      <c r="G4823" t="s">
        <v>41</v>
      </c>
      <c r="H4823" t="s">
        <v>25</v>
      </c>
      <c r="I4823" s="1">
        <v>2</v>
      </c>
      <c r="J4823" s="2">
        <v>45991</v>
      </c>
      <c r="K4823" s="2">
        <v>45962</v>
      </c>
      <c r="L4823" s="1" t="str">
        <f t="shared" si="555"/>
        <v>dom</v>
      </c>
      <c r="M4823" s="1" t="str">
        <f t="shared" si="556"/>
        <v>nov</v>
      </c>
      <c r="N4823">
        <f t="shared" si="557"/>
        <v>2025</v>
      </c>
      <c r="O4823" s="2"/>
      <c r="P4823" t="str">
        <f t="shared" si="554"/>
        <v>201445991</v>
      </c>
    </row>
    <row r="4824" spans="1:16" x14ac:dyDescent="0.3">
      <c r="A4824">
        <v>2014</v>
      </c>
      <c r="B4824">
        <v>22</v>
      </c>
      <c r="C4824" t="s">
        <v>15</v>
      </c>
      <c r="D4824" t="s">
        <v>31</v>
      </c>
      <c r="E4824" t="s">
        <v>34</v>
      </c>
      <c r="F4824" t="s">
        <v>18</v>
      </c>
      <c r="G4824" t="s">
        <v>41</v>
      </c>
      <c r="H4824" t="s">
        <v>25</v>
      </c>
      <c r="I4824" s="1">
        <v>2</v>
      </c>
      <c r="J4824" s="2">
        <v>46202</v>
      </c>
      <c r="K4824" s="2">
        <v>46023</v>
      </c>
      <c r="L4824" s="1" t="str">
        <f t="shared" si="555"/>
        <v>seg</v>
      </c>
      <c r="M4824" s="1" t="str">
        <f t="shared" si="556"/>
        <v>jun</v>
      </c>
      <c r="N4824">
        <f t="shared" si="557"/>
        <v>2026</v>
      </c>
      <c r="O4824" s="2"/>
      <c r="P4824" t="str">
        <f t="shared" si="554"/>
        <v>201446202</v>
      </c>
    </row>
    <row r="4825" spans="1:16" x14ac:dyDescent="0.3">
      <c r="A4825">
        <v>2014</v>
      </c>
      <c r="B4825">
        <v>22</v>
      </c>
      <c r="C4825" t="s">
        <v>15</v>
      </c>
      <c r="D4825" t="s">
        <v>31</v>
      </c>
      <c r="E4825" t="s">
        <v>34</v>
      </c>
      <c r="F4825" t="s">
        <v>18</v>
      </c>
      <c r="G4825" t="s">
        <v>41</v>
      </c>
      <c r="H4825" t="s">
        <v>25</v>
      </c>
      <c r="I4825" s="1">
        <v>2</v>
      </c>
      <c r="J4825" s="2">
        <v>46078</v>
      </c>
      <c r="K4825" s="2">
        <v>46054</v>
      </c>
      <c r="L4825" s="1" t="str">
        <f t="shared" si="555"/>
        <v>qua</v>
      </c>
      <c r="M4825" s="1" t="str">
        <f t="shared" si="556"/>
        <v>fev</v>
      </c>
      <c r="N4825">
        <f t="shared" si="557"/>
        <v>2026</v>
      </c>
      <c r="O4825" s="2"/>
      <c r="P4825" t="str">
        <f t="shared" si="554"/>
        <v>201446078</v>
      </c>
    </row>
    <row r="4826" spans="1:16" x14ac:dyDescent="0.3">
      <c r="A4826">
        <v>2014</v>
      </c>
      <c r="B4826">
        <v>22</v>
      </c>
      <c r="C4826" t="s">
        <v>15</v>
      </c>
      <c r="D4826" t="s">
        <v>31</v>
      </c>
      <c r="E4826" t="s">
        <v>34</v>
      </c>
      <c r="F4826" t="s">
        <v>18</v>
      </c>
      <c r="G4826" t="s">
        <v>41</v>
      </c>
      <c r="H4826" t="s">
        <v>25</v>
      </c>
      <c r="I4826" s="1">
        <v>2</v>
      </c>
      <c r="J4826" s="2">
        <v>46096</v>
      </c>
      <c r="K4826" s="2">
        <v>46082</v>
      </c>
      <c r="L4826" s="1" t="str">
        <f t="shared" si="555"/>
        <v>dom</v>
      </c>
      <c r="M4826" s="1" t="str">
        <f t="shared" si="556"/>
        <v>mar</v>
      </c>
      <c r="N4826">
        <f t="shared" si="557"/>
        <v>2026</v>
      </c>
      <c r="O4826" s="2"/>
      <c r="P4826" t="str">
        <f t="shared" si="554"/>
        <v>201446096</v>
      </c>
    </row>
    <row r="4827" spans="1:16" x14ac:dyDescent="0.3">
      <c r="A4827">
        <v>2015</v>
      </c>
      <c r="B4827">
        <v>22</v>
      </c>
      <c r="C4827" t="s">
        <v>26</v>
      </c>
      <c r="D4827" t="s">
        <v>29</v>
      </c>
      <c r="E4827" t="s">
        <v>17</v>
      </c>
      <c r="F4827" t="s">
        <v>18</v>
      </c>
      <c r="G4827" t="s">
        <v>41</v>
      </c>
      <c r="H4827" t="s">
        <v>25</v>
      </c>
      <c r="I4827" s="1">
        <v>2</v>
      </c>
      <c r="J4827" s="2">
        <v>45842</v>
      </c>
      <c r="K4827" s="2">
        <v>45839</v>
      </c>
      <c r="L4827" s="1" t="str">
        <f t="shared" si="555"/>
        <v>sex</v>
      </c>
      <c r="M4827" s="1" t="str">
        <f t="shared" si="556"/>
        <v>jul</v>
      </c>
      <c r="N4827">
        <f t="shared" si="557"/>
        <v>2025</v>
      </c>
      <c r="O4827" s="2"/>
      <c r="P4827" t="str">
        <f t="shared" si="554"/>
        <v>201545842</v>
      </c>
    </row>
    <row r="4828" spans="1:16" x14ac:dyDescent="0.3">
      <c r="A4828">
        <v>2015</v>
      </c>
      <c r="B4828">
        <v>22</v>
      </c>
      <c r="C4828" t="s">
        <v>26</v>
      </c>
      <c r="D4828" t="s">
        <v>29</v>
      </c>
      <c r="E4828" t="s">
        <v>17</v>
      </c>
      <c r="F4828" t="s">
        <v>18</v>
      </c>
      <c r="G4828" t="s">
        <v>41</v>
      </c>
      <c r="H4828" t="s">
        <v>25</v>
      </c>
      <c r="I4828" s="1">
        <v>2</v>
      </c>
      <c r="J4828" s="2">
        <v>45848</v>
      </c>
      <c r="K4828" s="2">
        <v>45839</v>
      </c>
      <c r="L4828" s="1" t="str">
        <f t="shared" si="555"/>
        <v>qui</v>
      </c>
      <c r="M4828" s="1" t="str">
        <f t="shared" si="556"/>
        <v>jul</v>
      </c>
      <c r="N4828">
        <f t="shared" si="557"/>
        <v>2025</v>
      </c>
      <c r="O4828" s="2"/>
      <c r="P4828" t="str">
        <f t="shared" si="554"/>
        <v>201545848</v>
      </c>
    </row>
    <row r="4829" spans="1:16" x14ac:dyDescent="0.3">
      <c r="A4829">
        <v>2015</v>
      </c>
      <c r="B4829">
        <v>22</v>
      </c>
      <c r="C4829" t="s">
        <v>26</v>
      </c>
      <c r="D4829" t="s">
        <v>29</v>
      </c>
      <c r="E4829" t="s">
        <v>17</v>
      </c>
      <c r="F4829" t="s">
        <v>18</v>
      </c>
      <c r="G4829" t="s">
        <v>41</v>
      </c>
      <c r="H4829" t="s">
        <v>25</v>
      </c>
      <c r="I4829" s="1">
        <v>2</v>
      </c>
      <c r="J4829" s="2">
        <v>45887</v>
      </c>
      <c r="K4829" s="2">
        <v>45870</v>
      </c>
      <c r="L4829" s="1" t="str">
        <f t="shared" si="555"/>
        <v>seg</v>
      </c>
      <c r="M4829" s="1" t="str">
        <f t="shared" si="556"/>
        <v>ago</v>
      </c>
      <c r="N4829">
        <f t="shared" si="557"/>
        <v>2025</v>
      </c>
      <c r="O4829" s="2"/>
      <c r="P4829" t="str">
        <f t="shared" si="554"/>
        <v>201545887</v>
      </c>
    </row>
    <row r="4830" spans="1:16" x14ac:dyDescent="0.3">
      <c r="A4830">
        <v>2015</v>
      </c>
      <c r="B4830">
        <v>22</v>
      </c>
      <c r="C4830" t="s">
        <v>26</v>
      </c>
      <c r="D4830" t="s">
        <v>29</v>
      </c>
      <c r="E4830" t="s">
        <v>17</v>
      </c>
      <c r="F4830" t="s">
        <v>18</v>
      </c>
      <c r="G4830" t="s">
        <v>41</v>
      </c>
      <c r="H4830" t="s">
        <v>25</v>
      </c>
      <c r="I4830" s="1">
        <v>2</v>
      </c>
      <c r="J4830" s="2">
        <v>45909</v>
      </c>
      <c r="K4830" s="2">
        <v>45901</v>
      </c>
      <c r="L4830" s="1" t="str">
        <f t="shared" si="555"/>
        <v>ter</v>
      </c>
      <c r="M4830" s="1" t="str">
        <f t="shared" si="556"/>
        <v>set</v>
      </c>
      <c r="N4830">
        <f t="shared" si="557"/>
        <v>2025</v>
      </c>
      <c r="O4830" s="2"/>
      <c r="P4830" t="str">
        <f t="shared" si="554"/>
        <v>201545909</v>
      </c>
    </row>
    <row r="4831" spans="1:16" x14ac:dyDescent="0.3">
      <c r="A4831">
        <v>2015</v>
      </c>
      <c r="B4831">
        <v>22</v>
      </c>
      <c r="C4831" t="s">
        <v>26</v>
      </c>
      <c r="D4831" t="s">
        <v>29</v>
      </c>
      <c r="E4831" t="s">
        <v>17</v>
      </c>
      <c r="F4831" t="s">
        <v>18</v>
      </c>
      <c r="G4831" t="s">
        <v>41</v>
      </c>
      <c r="H4831" t="s">
        <v>25</v>
      </c>
      <c r="I4831" s="1">
        <v>2</v>
      </c>
      <c r="J4831" s="2">
        <v>45921</v>
      </c>
      <c r="K4831" s="2">
        <v>45901</v>
      </c>
      <c r="L4831" s="1" t="str">
        <f t="shared" si="555"/>
        <v>dom</v>
      </c>
      <c r="M4831" s="1" t="str">
        <f t="shared" si="556"/>
        <v>set</v>
      </c>
      <c r="N4831">
        <f t="shared" si="557"/>
        <v>2025</v>
      </c>
      <c r="O4831" s="2"/>
      <c r="P4831" t="str">
        <f t="shared" si="554"/>
        <v>201545921</v>
      </c>
    </row>
    <row r="4832" spans="1:16" x14ac:dyDescent="0.3">
      <c r="A4832">
        <v>2015</v>
      </c>
      <c r="B4832">
        <v>22</v>
      </c>
      <c r="C4832" t="s">
        <v>26</v>
      </c>
      <c r="D4832" t="s">
        <v>29</v>
      </c>
      <c r="E4832" t="s">
        <v>17</v>
      </c>
      <c r="F4832" t="s">
        <v>18</v>
      </c>
      <c r="G4832" t="s">
        <v>41</v>
      </c>
      <c r="H4832" t="s">
        <v>25</v>
      </c>
      <c r="I4832" s="1">
        <v>2</v>
      </c>
      <c r="J4832" s="2">
        <v>46020</v>
      </c>
      <c r="K4832" s="2">
        <v>45992</v>
      </c>
      <c r="L4832" s="1" t="str">
        <f t="shared" si="555"/>
        <v>seg</v>
      </c>
      <c r="M4832" s="1" t="str">
        <f t="shared" si="556"/>
        <v>dez</v>
      </c>
      <c r="N4832">
        <f t="shared" si="557"/>
        <v>2025</v>
      </c>
      <c r="O4832" s="2"/>
      <c r="P4832" t="str">
        <f t="shared" si="554"/>
        <v>201546020</v>
      </c>
    </row>
    <row r="4833" spans="1:16" x14ac:dyDescent="0.3">
      <c r="A4833">
        <v>2016</v>
      </c>
      <c r="B4833">
        <v>21</v>
      </c>
      <c r="C4833" t="s">
        <v>26</v>
      </c>
      <c r="D4833" t="s">
        <v>22</v>
      </c>
      <c r="E4833" t="s">
        <v>17</v>
      </c>
      <c r="F4833" t="s">
        <v>23</v>
      </c>
      <c r="G4833" t="s">
        <v>41</v>
      </c>
      <c r="H4833" t="s">
        <v>25</v>
      </c>
      <c r="I4833" s="1">
        <v>3</v>
      </c>
      <c r="J4833" s="2">
        <v>45839</v>
      </c>
      <c r="K4833" s="2">
        <v>45839</v>
      </c>
      <c r="L4833" s="1" t="str">
        <f t="shared" si="555"/>
        <v>ter</v>
      </c>
      <c r="M4833" s="1" t="str">
        <f t="shared" si="556"/>
        <v>jul</v>
      </c>
      <c r="N4833">
        <f t="shared" si="557"/>
        <v>2025</v>
      </c>
      <c r="O4833" s="2"/>
      <c r="P4833" t="str">
        <f t="shared" si="554"/>
        <v>201645839</v>
      </c>
    </row>
    <row r="4834" spans="1:16" x14ac:dyDescent="0.3">
      <c r="A4834">
        <v>2016</v>
      </c>
      <c r="B4834">
        <v>21</v>
      </c>
      <c r="C4834" t="s">
        <v>26</v>
      </c>
      <c r="D4834" t="s">
        <v>22</v>
      </c>
      <c r="E4834" t="s">
        <v>17</v>
      </c>
      <c r="F4834" t="s">
        <v>23</v>
      </c>
      <c r="G4834" t="s">
        <v>41</v>
      </c>
      <c r="H4834" t="s">
        <v>25</v>
      </c>
      <c r="I4834" s="1">
        <v>3</v>
      </c>
      <c r="J4834" s="2">
        <v>45845</v>
      </c>
      <c r="K4834" s="2">
        <v>45839</v>
      </c>
      <c r="L4834" s="1" t="str">
        <f t="shared" si="555"/>
        <v>seg</v>
      </c>
      <c r="M4834" s="1" t="str">
        <f t="shared" si="556"/>
        <v>jul</v>
      </c>
      <c r="N4834">
        <f t="shared" si="557"/>
        <v>2025</v>
      </c>
      <c r="O4834" s="2"/>
      <c r="P4834" t="str">
        <f t="shared" si="554"/>
        <v>201645845</v>
      </c>
    </row>
    <row r="4835" spans="1:16" x14ac:dyDescent="0.3">
      <c r="A4835">
        <v>2016</v>
      </c>
      <c r="B4835">
        <v>21</v>
      </c>
      <c r="C4835" t="s">
        <v>26</v>
      </c>
      <c r="D4835" t="s">
        <v>22</v>
      </c>
      <c r="E4835" t="s">
        <v>17</v>
      </c>
      <c r="F4835" t="s">
        <v>23</v>
      </c>
      <c r="G4835" t="s">
        <v>41</v>
      </c>
      <c r="H4835" t="s">
        <v>25</v>
      </c>
      <c r="I4835" s="1">
        <v>3</v>
      </c>
      <c r="J4835" s="2">
        <v>45874</v>
      </c>
      <c r="K4835" s="2">
        <v>45870</v>
      </c>
      <c r="L4835" s="1" t="str">
        <f t="shared" si="555"/>
        <v>ter</v>
      </c>
      <c r="M4835" s="1" t="str">
        <f t="shared" si="556"/>
        <v>ago</v>
      </c>
      <c r="N4835">
        <f t="shared" si="557"/>
        <v>2025</v>
      </c>
      <c r="O4835" s="2"/>
      <c r="P4835" t="str">
        <f t="shared" si="554"/>
        <v>201645874</v>
      </c>
    </row>
    <row r="4836" spans="1:16" x14ac:dyDescent="0.3">
      <c r="A4836">
        <v>2016</v>
      </c>
      <c r="B4836">
        <v>21</v>
      </c>
      <c r="C4836" t="s">
        <v>26</v>
      </c>
      <c r="D4836" t="s">
        <v>22</v>
      </c>
      <c r="E4836" t="s">
        <v>17</v>
      </c>
      <c r="F4836" t="s">
        <v>23</v>
      </c>
      <c r="G4836" t="s">
        <v>41</v>
      </c>
      <c r="H4836" t="s">
        <v>25</v>
      </c>
      <c r="I4836" s="1">
        <v>3</v>
      </c>
      <c r="J4836" s="2">
        <v>45932</v>
      </c>
      <c r="K4836" s="2">
        <v>45931</v>
      </c>
      <c r="L4836" s="1" t="str">
        <f t="shared" si="555"/>
        <v>qui</v>
      </c>
      <c r="M4836" s="1" t="str">
        <f t="shared" si="556"/>
        <v>out</v>
      </c>
      <c r="N4836">
        <f t="shared" si="557"/>
        <v>2025</v>
      </c>
      <c r="O4836" s="2"/>
      <c r="P4836" t="str">
        <f t="shared" si="554"/>
        <v>201645932</v>
      </c>
    </row>
    <row r="4837" spans="1:16" x14ac:dyDescent="0.3">
      <c r="A4837">
        <v>2016</v>
      </c>
      <c r="B4837">
        <v>21</v>
      </c>
      <c r="C4837" t="s">
        <v>26</v>
      </c>
      <c r="D4837" t="s">
        <v>22</v>
      </c>
      <c r="E4837" t="s">
        <v>17</v>
      </c>
      <c r="F4837" t="s">
        <v>23</v>
      </c>
      <c r="G4837" t="s">
        <v>41</v>
      </c>
      <c r="H4837" t="s">
        <v>25</v>
      </c>
      <c r="I4837" s="1">
        <v>3</v>
      </c>
      <c r="J4837" s="2">
        <v>45967</v>
      </c>
      <c r="K4837" s="2">
        <v>45962</v>
      </c>
      <c r="L4837" s="1" t="str">
        <f t="shared" si="555"/>
        <v>qui</v>
      </c>
      <c r="M4837" s="1" t="str">
        <f t="shared" si="556"/>
        <v>nov</v>
      </c>
      <c r="N4837">
        <f t="shared" si="557"/>
        <v>2025</v>
      </c>
      <c r="O4837" s="2"/>
      <c r="P4837" t="str">
        <f t="shared" si="554"/>
        <v>201645967</v>
      </c>
    </row>
    <row r="4838" spans="1:16" x14ac:dyDescent="0.3">
      <c r="A4838">
        <v>2017</v>
      </c>
      <c r="B4838">
        <v>54</v>
      </c>
      <c r="C4838" t="s">
        <v>15</v>
      </c>
      <c r="D4838" t="s">
        <v>16</v>
      </c>
      <c r="E4838" t="s">
        <v>17</v>
      </c>
      <c r="F4838" t="s">
        <v>18</v>
      </c>
      <c r="G4838" t="s">
        <v>41</v>
      </c>
      <c r="H4838" t="s">
        <v>25</v>
      </c>
      <c r="I4838" s="1">
        <v>3</v>
      </c>
      <c r="J4838" s="2">
        <v>45848</v>
      </c>
      <c r="K4838" s="2">
        <v>45839</v>
      </c>
      <c r="L4838" s="1" t="str">
        <f t="shared" si="555"/>
        <v>qui</v>
      </c>
      <c r="M4838" s="1" t="str">
        <f t="shared" si="556"/>
        <v>jul</v>
      </c>
      <c r="N4838">
        <f t="shared" si="557"/>
        <v>2025</v>
      </c>
      <c r="O4838" s="2"/>
      <c r="P4838" t="str">
        <f t="shared" si="554"/>
        <v>201745848</v>
      </c>
    </row>
    <row r="4839" spans="1:16" x14ac:dyDescent="0.3">
      <c r="A4839">
        <v>2017</v>
      </c>
      <c r="B4839">
        <v>54</v>
      </c>
      <c r="C4839" t="s">
        <v>15</v>
      </c>
      <c r="D4839" t="s">
        <v>16</v>
      </c>
      <c r="E4839" t="s">
        <v>17</v>
      </c>
      <c r="F4839" t="s">
        <v>18</v>
      </c>
      <c r="G4839" t="s">
        <v>41</v>
      </c>
      <c r="H4839" t="s">
        <v>25</v>
      </c>
      <c r="I4839" s="1">
        <v>3</v>
      </c>
      <c r="J4839" s="2">
        <v>45948</v>
      </c>
      <c r="K4839" s="2">
        <v>45931</v>
      </c>
      <c r="L4839" s="1" t="str">
        <f t="shared" si="555"/>
        <v>sáb</v>
      </c>
      <c r="M4839" s="1" t="str">
        <f t="shared" si="556"/>
        <v>out</v>
      </c>
      <c r="N4839">
        <f t="shared" si="557"/>
        <v>2025</v>
      </c>
      <c r="O4839" s="2"/>
      <c r="P4839" t="str">
        <f t="shared" si="554"/>
        <v>201745948</v>
      </c>
    </row>
    <row r="4840" spans="1:16" x14ac:dyDescent="0.3">
      <c r="A4840">
        <v>2017</v>
      </c>
      <c r="B4840">
        <v>54</v>
      </c>
      <c r="C4840" t="s">
        <v>15</v>
      </c>
      <c r="D4840" t="s">
        <v>16</v>
      </c>
      <c r="E4840" t="s">
        <v>17</v>
      </c>
      <c r="F4840" t="s">
        <v>18</v>
      </c>
      <c r="G4840" t="s">
        <v>41</v>
      </c>
      <c r="H4840" t="s">
        <v>25</v>
      </c>
      <c r="I4840" s="1">
        <v>3</v>
      </c>
      <c r="J4840" s="2">
        <v>45956</v>
      </c>
      <c r="K4840" s="2">
        <v>45931</v>
      </c>
      <c r="L4840" s="1" t="str">
        <f t="shared" si="555"/>
        <v>dom</v>
      </c>
      <c r="M4840" s="1" t="str">
        <f t="shared" si="556"/>
        <v>out</v>
      </c>
      <c r="N4840">
        <f t="shared" si="557"/>
        <v>2025</v>
      </c>
      <c r="O4840" s="2"/>
      <c r="P4840" t="str">
        <f t="shared" si="554"/>
        <v>201745956</v>
      </c>
    </row>
    <row r="4841" spans="1:16" x14ac:dyDescent="0.3">
      <c r="A4841">
        <v>2017</v>
      </c>
      <c r="B4841">
        <v>54</v>
      </c>
      <c r="C4841" t="s">
        <v>15</v>
      </c>
      <c r="D4841" t="s">
        <v>16</v>
      </c>
      <c r="E4841" t="s">
        <v>17</v>
      </c>
      <c r="F4841" t="s">
        <v>18</v>
      </c>
      <c r="G4841" t="s">
        <v>41</v>
      </c>
      <c r="H4841" t="s">
        <v>25</v>
      </c>
      <c r="I4841" s="1">
        <v>3</v>
      </c>
      <c r="J4841" s="2">
        <v>45970</v>
      </c>
      <c r="K4841" s="2">
        <v>45962</v>
      </c>
      <c r="L4841" s="1" t="str">
        <f t="shared" si="555"/>
        <v>dom</v>
      </c>
      <c r="M4841" s="1" t="str">
        <f t="shared" si="556"/>
        <v>nov</v>
      </c>
      <c r="N4841">
        <f t="shared" si="557"/>
        <v>2025</v>
      </c>
      <c r="O4841" s="2"/>
      <c r="P4841" t="str">
        <f t="shared" si="554"/>
        <v>201745970</v>
      </c>
    </row>
    <row r="4842" spans="1:16" x14ac:dyDescent="0.3">
      <c r="A4842">
        <v>2017</v>
      </c>
      <c r="B4842">
        <v>54</v>
      </c>
      <c r="C4842" t="s">
        <v>15</v>
      </c>
      <c r="D4842" t="s">
        <v>16</v>
      </c>
      <c r="E4842" t="s">
        <v>17</v>
      </c>
      <c r="F4842" t="s">
        <v>18</v>
      </c>
      <c r="G4842" t="s">
        <v>41</v>
      </c>
      <c r="H4842" t="s">
        <v>25</v>
      </c>
      <c r="I4842" s="1">
        <v>3</v>
      </c>
      <c r="J4842" s="2">
        <v>46086</v>
      </c>
      <c r="K4842" s="2">
        <v>46082</v>
      </c>
      <c r="L4842" s="1" t="str">
        <f t="shared" si="555"/>
        <v>qui</v>
      </c>
      <c r="M4842" s="1" t="str">
        <f t="shared" si="556"/>
        <v>mar</v>
      </c>
      <c r="N4842">
        <f t="shared" si="557"/>
        <v>2026</v>
      </c>
      <c r="O4842" s="2"/>
      <c r="P4842" t="str">
        <f t="shared" si="554"/>
        <v>201746086</v>
      </c>
    </row>
    <row r="4843" spans="1:16" x14ac:dyDescent="0.3">
      <c r="A4843">
        <v>2017</v>
      </c>
      <c r="B4843">
        <v>54</v>
      </c>
      <c r="C4843" t="s">
        <v>15</v>
      </c>
      <c r="D4843" t="s">
        <v>16</v>
      </c>
      <c r="E4843" t="s">
        <v>17</v>
      </c>
      <c r="F4843" t="s">
        <v>18</v>
      </c>
      <c r="G4843" t="s">
        <v>41</v>
      </c>
      <c r="H4843" t="s">
        <v>25</v>
      </c>
      <c r="I4843" s="1">
        <v>3</v>
      </c>
      <c r="J4843" s="2">
        <v>46088</v>
      </c>
      <c r="K4843" s="2">
        <v>46082</v>
      </c>
      <c r="L4843" s="1" t="str">
        <f t="shared" si="555"/>
        <v>sáb</v>
      </c>
      <c r="M4843" s="1" t="str">
        <f t="shared" si="556"/>
        <v>mar</v>
      </c>
      <c r="N4843">
        <f t="shared" si="557"/>
        <v>2026</v>
      </c>
      <c r="O4843" s="2"/>
      <c r="P4843" t="str">
        <f t="shared" si="554"/>
        <v>201746088</v>
      </c>
    </row>
    <row r="4844" spans="1:16" x14ac:dyDescent="0.3">
      <c r="A4844">
        <v>2018</v>
      </c>
      <c r="B4844">
        <v>29</v>
      </c>
      <c r="C4844" t="s">
        <v>15</v>
      </c>
      <c r="D4844" t="s">
        <v>16</v>
      </c>
      <c r="E4844" t="s">
        <v>17</v>
      </c>
      <c r="F4844" t="s">
        <v>18</v>
      </c>
      <c r="G4844" t="s">
        <v>41</v>
      </c>
      <c r="H4844" t="s">
        <v>25</v>
      </c>
      <c r="I4844" s="1">
        <v>2</v>
      </c>
      <c r="J4844" s="2">
        <v>45825</v>
      </c>
      <c r="K4844" s="2">
        <v>45809</v>
      </c>
      <c r="L4844" s="1" t="str">
        <f t="shared" si="555"/>
        <v>ter</v>
      </c>
      <c r="M4844" s="1" t="str">
        <f t="shared" si="556"/>
        <v>jun</v>
      </c>
      <c r="N4844">
        <f t="shared" si="557"/>
        <v>2025</v>
      </c>
      <c r="O4844" s="2"/>
      <c r="P4844" t="str">
        <f t="shared" si="554"/>
        <v>201845825</v>
      </c>
    </row>
    <row r="4845" spans="1:16" x14ac:dyDescent="0.3">
      <c r="A4845">
        <v>2018</v>
      </c>
      <c r="B4845">
        <v>29</v>
      </c>
      <c r="C4845" t="s">
        <v>15</v>
      </c>
      <c r="D4845" t="s">
        <v>16</v>
      </c>
      <c r="E4845" t="s">
        <v>17</v>
      </c>
      <c r="F4845" t="s">
        <v>18</v>
      </c>
      <c r="G4845" t="s">
        <v>41</v>
      </c>
      <c r="H4845" t="s">
        <v>25</v>
      </c>
      <c r="I4845" s="1">
        <v>2</v>
      </c>
      <c r="J4845" s="2">
        <v>45950</v>
      </c>
      <c r="K4845" s="2">
        <v>45931</v>
      </c>
      <c r="L4845" s="1" t="str">
        <f t="shared" si="555"/>
        <v>seg</v>
      </c>
      <c r="M4845" s="1" t="str">
        <f t="shared" si="556"/>
        <v>out</v>
      </c>
      <c r="N4845">
        <f t="shared" si="557"/>
        <v>2025</v>
      </c>
      <c r="O4845" s="2"/>
      <c r="P4845" t="str">
        <f t="shared" si="554"/>
        <v>201845950</v>
      </c>
    </row>
    <row r="4846" spans="1:16" x14ac:dyDescent="0.3">
      <c r="A4846">
        <v>2018</v>
      </c>
      <c r="B4846">
        <v>29</v>
      </c>
      <c r="C4846" t="s">
        <v>15</v>
      </c>
      <c r="D4846" t="s">
        <v>16</v>
      </c>
      <c r="E4846" t="s">
        <v>17</v>
      </c>
      <c r="F4846" t="s">
        <v>18</v>
      </c>
      <c r="G4846" t="s">
        <v>41</v>
      </c>
      <c r="H4846" t="s">
        <v>25</v>
      </c>
      <c r="I4846" s="1">
        <v>2</v>
      </c>
      <c r="J4846" s="2">
        <v>45981</v>
      </c>
      <c r="K4846" s="2">
        <v>45962</v>
      </c>
      <c r="L4846" s="1" t="str">
        <f t="shared" si="555"/>
        <v>qui</v>
      </c>
      <c r="M4846" s="1" t="str">
        <f t="shared" si="556"/>
        <v>nov</v>
      </c>
      <c r="N4846">
        <f t="shared" si="557"/>
        <v>2025</v>
      </c>
      <c r="O4846" s="2"/>
      <c r="P4846" t="str">
        <f t="shared" si="554"/>
        <v>201845981</v>
      </c>
    </row>
    <row r="4847" spans="1:16" x14ac:dyDescent="0.3">
      <c r="A4847">
        <v>2018</v>
      </c>
      <c r="B4847">
        <v>29</v>
      </c>
      <c r="C4847" t="s">
        <v>15</v>
      </c>
      <c r="D4847" t="s">
        <v>16</v>
      </c>
      <c r="E4847" t="s">
        <v>17</v>
      </c>
      <c r="F4847" t="s">
        <v>18</v>
      </c>
      <c r="G4847" t="s">
        <v>41</v>
      </c>
      <c r="H4847" t="s">
        <v>25</v>
      </c>
      <c r="I4847" s="1">
        <v>2</v>
      </c>
      <c r="J4847" s="2">
        <v>46179</v>
      </c>
      <c r="K4847" s="2">
        <v>46023</v>
      </c>
      <c r="L4847" s="1" t="str">
        <f t="shared" si="555"/>
        <v>sáb</v>
      </c>
      <c r="M4847" s="1" t="str">
        <f t="shared" si="556"/>
        <v>jun</v>
      </c>
      <c r="N4847">
        <f t="shared" si="557"/>
        <v>2026</v>
      </c>
      <c r="O4847" s="2"/>
      <c r="P4847" t="str">
        <f t="shared" si="554"/>
        <v>201846179</v>
      </c>
    </row>
    <row r="4848" spans="1:16" x14ac:dyDescent="0.3">
      <c r="A4848">
        <v>2018</v>
      </c>
      <c r="B4848">
        <v>29</v>
      </c>
      <c r="C4848" t="s">
        <v>15</v>
      </c>
      <c r="D4848" t="s">
        <v>16</v>
      </c>
      <c r="E4848" t="s">
        <v>17</v>
      </c>
      <c r="F4848" t="s">
        <v>18</v>
      </c>
      <c r="G4848" t="s">
        <v>41</v>
      </c>
      <c r="H4848" t="s">
        <v>25</v>
      </c>
      <c r="I4848" s="1">
        <v>2</v>
      </c>
      <c r="J4848" s="2">
        <v>46089</v>
      </c>
      <c r="K4848" s="2">
        <v>46082</v>
      </c>
      <c r="L4848" s="1" t="str">
        <f t="shared" si="555"/>
        <v>dom</v>
      </c>
      <c r="M4848" s="1" t="str">
        <f t="shared" si="556"/>
        <v>mar</v>
      </c>
      <c r="N4848">
        <f t="shared" si="557"/>
        <v>2026</v>
      </c>
      <c r="O4848" s="2"/>
      <c r="P4848" t="str">
        <f t="shared" si="554"/>
        <v>201846089</v>
      </c>
    </row>
    <row r="4849" spans="1:16" x14ac:dyDescent="0.3">
      <c r="A4849">
        <v>2021</v>
      </c>
      <c r="B4849">
        <v>42</v>
      </c>
      <c r="C4849" t="s">
        <v>26</v>
      </c>
      <c r="D4849" t="s">
        <v>22</v>
      </c>
      <c r="E4849" t="s">
        <v>17</v>
      </c>
      <c r="F4849" t="s">
        <v>21</v>
      </c>
      <c r="G4849" t="s">
        <v>41</v>
      </c>
      <c r="H4849" t="s">
        <v>25</v>
      </c>
      <c r="I4849" s="1">
        <v>3</v>
      </c>
      <c r="J4849" s="2">
        <v>45902</v>
      </c>
      <c r="K4849" s="2">
        <v>45901</v>
      </c>
      <c r="L4849" s="1" t="str">
        <f t="shared" si="555"/>
        <v>ter</v>
      </c>
      <c r="M4849" s="1" t="str">
        <f t="shared" si="556"/>
        <v>set</v>
      </c>
      <c r="N4849">
        <f t="shared" si="557"/>
        <v>2025</v>
      </c>
      <c r="O4849" s="2"/>
      <c r="P4849" t="str">
        <f t="shared" si="554"/>
        <v>202145902</v>
      </c>
    </row>
    <row r="4850" spans="1:16" x14ac:dyDescent="0.3">
      <c r="A4850">
        <v>2021</v>
      </c>
      <c r="B4850">
        <v>42</v>
      </c>
      <c r="C4850" t="s">
        <v>26</v>
      </c>
      <c r="D4850" t="s">
        <v>22</v>
      </c>
      <c r="E4850" t="s">
        <v>17</v>
      </c>
      <c r="F4850" t="s">
        <v>21</v>
      </c>
      <c r="G4850" t="s">
        <v>41</v>
      </c>
      <c r="H4850" t="s">
        <v>25</v>
      </c>
      <c r="I4850" s="1">
        <v>3</v>
      </c>
      <c r="J4850" s="2">
        <v>45920</v>
      </c>
      <c r="K4850" s="2">
        <v>45901</v>
      </c>
      <c r="L4850" s="1" t="str">
        <f t="shared" ref="L4850:L4881" si="558">TEXT(J4850,"ddd")</f>
        <v>sáb</v>
      </c>
      <c r="M4850" s="1" t="str">
        <f t="shared" ref="M4850:M4881" si="559">TEXT($J4850,"mmm")</f>
        <v>set</v>
      </c>
      <c r="N4850">
        <f t="shared" ref="N4850:N4881" si="560">YEAR(J4850)</f>
        <v>2025</v>
      </c>
      <c r="O4850" s="2"/>
      <c r="P4850" t="str">
        <f t="shared" si="554"/>
        <v>202145920</v>
      </c>
    </row>
    <row r="4851" spans="1:16" x14ac:dyDescent="0.3">
      <c r="A4851">
        <v>2021</v>
      </c>
      <c r="B4851">
        <v>42</v>
      </c>
      <c r="C4851" t="s">
        <v>26</v>
      </c>
      <c r="D4851" t="s">
        <v>22</v>
      </c>
      <c r="E4851" t="s">
        <v>17</v>
      </c>
      <c r="F4851" t="s">
        <v>21</v>
      </c>
      <c r="G4851" t="s">
        <v>41</v>
      </c>
      <c r="H4851" t="s">
        <v>25</v>
      </c>
      <c r="I4851" s="1">
        <v>3</v>
      </c>
      <c r="J4851" s="2">
        <v>46101</v>
      </c>
      <c r="K4851" s="2">
        <v>46082</v>
      </c>
      <c r="L4851" s="1" t="str">
        <f t="shared" si="558"/>
        <v>sex</v>
      </c>
      <c r="M4851" s="1" t="str">
        <f t="shared" si="559"/>
        <v>mar</v>
      </c>
      <c r="N4851">
        <f t="shared" si="560"/>
        <v>2026</v>
      </c>
      <c r="O4851" s="2"/>
      <c r="P4851" t="str">
        <f t="shared" si="554"/>
        <v>202146101</v>
      </c>
    </row>
    <row r="4852" spans="1:16" x14ac:dyDescent="0.3">
      <c r="A4852">
        <v>2021</v>
      </c>
      <c r="B4852">
        <v>42</v>
      </c>
      <c r="C4852" t="s">
        <v>26</v>
      </c>
      <c r="D4852" t="s">
        <v>22</v>
      </c>
      <c r="E4852" t="s">
        <v>17</v>
      </c>
      <c r="F4852" t="s">
        <v>21</v>
      </c>
      <c r="G4852" t="s">
        <v>41</v>
      </c>
      <c r="H4852" t="s">
        <v>25</v>
      </c>
      <c r="I4852" s="1">
        <v>3</v>
      </c>
      <c r="J4852" s="2">
        <v>46108</v>
      </c>
      <c r="K4852" s="2">
        <v>46082</v>
      </c>
      <c r="L4852" s="1" t="str">
        <f t="shared" si="558"/>
        <v>sex</v>
      </c>
      <c r="M4852" s="1" t="str">
        <f t="shared" si="559"/>
        <v>mar</v>
      </c>
      <c r="N4852">
        <f t="shared" si="560"/>
        <v>2026</v>
      </c>
      <c r="O4852" s="2"/>
      <c r="P4852" t="str">
        <f t="shared" si="554"/>
        <v>202146108</v>
      </c>
    </row>
    <row r="4853" spans="1:16" x14ac:dyDescent="0.3">
      <c r="A4853">
        <v>2021</v>
      </c>
      <c r="B4853">
        <v>42</v>
      </c>
      <c r="C4853" t="s">
        <v>26</v>
      </c>
      <c r="D4853" t="s">
        <v>22</v>
      </c>
      <c r="E4853" t="s">
        <v>17</v>
      </c>
      <c r="F4853" t="s">
        <v>21</v>
      </c>
      <c r="G4853" t="s">
        <v>41</v>
      </c>
      <c r="H4853" t="s">
        <v>25</v>
      </c>
      <c r="I4853" s="1">
        <v>3</v>
      </c>
      <c r="J4853" s="2">
        <v>46178</v>
      </c>
      <c r="K4853" s="2">
        <v>46174</v>
      </c>
      <c r="L4853" s="1" t="str">
        <f t="shared" si="558"/>
        <v>sex</v>
      </c>
      <c r="M4853" s="1" t="str">
        <f t="shared" si="559"/>
        <v>jun</v>
      </c>
      <c r="N4853">
        <f t="shared" si="560"/>
        <v>2026</v>
      </c>
      <c r="O4853" s="2"/>
      <c r="P4853" t="str">
        <f t="shared" si="554"/>
        <v>202146178</v>
      </c>
    </row>
    <row r="4854" spans="1:16" x14ac:dyDescent="0.3">
      <c r="A4854">
        <v>2022</v>
      </c>
      <c r="B4854">
        <v>29</v>
      </c>
      <c r="C4854" t="s">
        <v>15</v>
      </c>
      <c r="D4854" t="s">
        <v>16</v>
      </c>
      <c r="E4854" t="s">
        <v>17</v>
      </c>
      <c r="F4854" t="s">
        <v>18</v>
      </c>
      <c r="G4854" t="s">
        <v>41</v>
      </c>
      <c r="H4854" t="s">
        <v>25</v>
      </c>
      <c r="I4854" s="1">
        <v>3</v>
      </c>
      <c r="J4854" s="2">
        <v>45846</v>
      </c>
      <c r="K4854" s="2">
        <v>45839</v>
      </c>
      <c r="L4854" s="1" t="str">
        <f t="shared" si="558"/>
        <v>ter</v>
      </c>
      <c r="M4854" s="1" t="str">
        <f t="shared" si="559"/>
        <v>jul</v>
      </c>
      <c r="N4854">
        <f t="shared" si="560"/>
        <v>2025</v>
      </c>
      <c r="O4854" s="2"/>
      <c r="P4854" t="str">
        <f t="shared" si="554"/>
        <v>202245846</v>
      </c>
    </row>
    <row r="4855" spans="1:16" x14ac:dyDescent="0.3">
      <c r="A4855">
        <v>2022</v>
      </c>
      <c r="B4855">
        <v>29</v>
      </c>
      <c r="C4855" t="s">
        <v>15</v>
      </c>
      <c r="D4855" t="s">
        <v>16</v>
      </c>
      <c r="E4855" t="s">
        <v>17</v>
      </c>
      <c r="F4855" t="s">
        <v>18</v>
      </c>
      <c r="G4855" t="s">
        <v>41</v>
      </c>
      <c r="H4855" t="s">
        <v>25</v>
      </c>
      <c r="I4855" s="1">
        <v>3</v>
      </c>
      <c r="J4855" s="2">
        <v>45893</v>
      </c>
      <c r="K4855" s="2">
        <v>45870</v>
      </c>
      <c r="L4855" s="1" t="str">
        <f t="shared" si="558"/>
        <v>dom</v>
      </c>
      <c r="M4855" s="1" t="str">
        <f t="shared" si="559"/>
        <v>ago</v>
      </c>
      <c r="N4855">
        <f t="shared" si="560"/>
        <v>2025</v>
      </c>
      <c r="O4855" s="2"/>
      <c r="P4855" t="str">
        <f t="shared" si="554"/>
        <v>202245893</v>
      </c>
    </row>
    <row r="4856" spans="1:16" x14ac:dyDescent="0.3">
      <c r="A4856">
        <v>2022</v>
      </c>
      <c r="B4856">
        <v>29</v>
      </c>
      <c r="C4856" t="s">
        <v>15</v>
      </c>
      <c r="D4856" t="s">
        <v>16</v>
      </c>
      <c r="E4856" t="s">
        <v>17</v>
      </c>
      <c r="F4856" t="s">
        <v>18</v>
      </c>
      <c r="G4856" t="s">
        <v>41</v>
      </c>
      <c r="H4856" t="s">
        <v>25</v>
      </c>
      <c r="I4856" s="1">
        <v>3</v>
      </c>
      <c r="J4856" s="2">
        <v>45901</v>
      </c>
      <c r="K4856" s="2">
        <v>45901</v>
      </c>
      <c r="L4856" s="1" t="str">
        <f t="shared" si="558"/>
        <v>seg</v>
      </c>
      <c r="M4856" s="1" t="str">
        <f t="shared" si="559"/>
        <v>set</v>
      </c>
      <c r="N4856">
        <f t="shared" si="560"/>
        <v>2025</v>
      </c>
      <c r="O4856" s="2"/>
      <c r="P4856" t="str">
        <f t="shared" si="554"/>
        <v>202245901</v>
      </c>
    </row>
    <row r="4857" spans="1:16" s="3" customFormat="1" x14ac:dyDescent="0.3">
      <c r="A4857">
        <v>2022</v>
      </c>
      <c r="B4857">
        <v>29</v>
      </c>
      <c r="C4857" t="s">
        <v>15</v>
      </c>
      <c r="D4857" t="s">
        <v>16</v>
      </c>
      <c r="E4857" t="s">
        <v>17</v>
      </c>
      <c r="F4857" t="s">
        <v>18</v>
      </c>
      <c r="G4857" t="s">
        <v>41</v>
      </c>
      <c r="H4857" t="s">
        <v>25</v>
      </c>
      <c r="I4857" s="1">
        <v>3</v>
      </c>
      <c r="J4857" s="2">
        <v>45938</v>
      </c>
      <c r="K4857" s="2">
        <v>45931</v>
      </c>
      <c r="L4857" s="1" t="str">
        <f t="shared" si="558"/>
        <v>qua</v>
      </c>
      <c r="M4857" s="1" t="str">
        <f t="shared" si="559"/>
        <v>out</v>
      </c>
      <c r="N4857">
        <f t="shared" si="560"/>
        <v>2025</v>
      </c>
      <c r="O4857" s="2"/>
      <c r="P4857" t="str">
        <f t="shared" si="554"/>
        <v>202245938</v>
      </c>
    </row>
    <row r="4858" spans="1:16" x14ac:dyDescent="0.3">
      <c r="A4858">
        <v>2022</v>
      </c>
      <c r="B4858">
        <v>29</v>
      </c>
      <c r="C4858" t="s">
        <v>15</v>
      </c>
      <c r="D4858" t="s">
        <v>16</v>
      </c>
      <c r="E4858" t="s">
        <v>17</v>
      </c>
      <c r="F4858" t="s">
        <v>18</v>
      </c>
      <c r="G4858" t="s">
        <v>41</v>
      </c>
      <c r="H4858" t="s">
        <v>25</v>
      </c>
      <c r="I4858" s="1">
        <v>3</v>
      </c>
      <c r="J4858" s="2">
        <v>46056</v>
      </c>
      <c r="K4858" s="2">
        <v>46054</v>
      </c>
      <c r="L4858" s="1" t="str">
        <f t="shared" si="558"/>
        <v>ter</v>
      </c>
      <c r="M4858" s="1" t="str">
        <f t="shared" si="559"/>
        <v>fev</v>
      </c>
      <c r="N4858">
        <f t="shared" si="560"/>
        <v>2026</v>
      </c>
      <c r="O4858" s="2"/>
      <c r="P4858" t="str">
        <f t="shared" si="554"/>
        <v>202246056</v>
      </c>
    </row>
    <row r="4859" spans="1:16" x14ac:dyDescent="0.3">
      <c r="A4859">
        <v>2022</v>
      </c>
      <c r="B4859">
        <v>29</v>
      </c>
      <c r="C4859" t="s">
        <v>15</v>
      </c>
      <c r="D4859" t="s">
        <v>16</v>
      </c>
      <c r="E4859" t="s">
        <v>17</v>
      </c>
      <c r="F4859" t="s">
        <v>18</v>
      </c>
      <c r="G4859" t="s">
        <v>41</v>
      </c>
      <c r="H4859" t="s">
        <v>25</v>
      </c>
      <c r="I4859" s="1">
        <v>3</v>
      </c>
      <c r="J4859" s="2">
        <v>46086</v>
      </c>
      <c r="K4859" s="2">
        <v>46082</v>
      </c>
      <c r="L4859" s="1" t="str">
        <f t="shared" si="558"/>
        <v>qui</v>
      </c>
      <c r="M4859" s="1" t="str">
        <f t="shared" si="559"/>
        <v>mar</v>
      </c>
      <c r="N4859">
        <f t="shared" si="560"/>
        <v>2026</v>
      </c>
      <c r="O4859" s="2"/>
      <c r="P4859" t="str">
        <f t="shared" si="554"/>
        <v>202246086</v>
      </c>
    </row>
    <row r="4860" spans="1:16" x14ac:dyDescent="0.3">
      <c r="A4860">
        <v>2022</v>
      </c>
      <c r="B4860">
        <v>37</v>
      </c>
      <c r="C4860" t="s">
        <v>26</v>
      </c>
      <c r="D4860" t="s">
        <v>27</v>
      </c>
      <c r="E4860" t="s">
        <v>17</v>
      </c>
      <c r="F4860" t="s">
        <v>21</v>
      </c>
      <c r="G4860" t="s">
        <v>43</v>
      </c>
      <c r="H4860" t="s">
        <v>25</v>
      </c>
      <c r="I4860" s="1">
        <v>2</v>
      </c>
      <c r="J4860" s="2">
        <v>46113</v>
      </c>
      <c r="K4860" s="2">
        <v>46175</v>
      </c>
      <c r="L4860" s="1" t="str">
        <f t="shared" si="558"/>
        <v>qua</v>
      </c>
      <c r="M4860" s="1" t="str">
        <f t="shared" si="559"/>
        <v>abr</v>
      </c>
      <c r="N4860">
        <f t="shared" si="560"/>
        <v>2026</v>
      </c>
      <c r="P4860" t="str">
        <f t="shared" si="554"/>
        <v>202246113</v>
      </c>
    </row>
    <row r="4861" spans="1:16" x14ac:dyDescent="0.3">
      <c r="A4861">
        <v>2022</v>
      </c>
      <c r="B4861">
        <v>37</v>
      </c>
      <c r="C4861" t="s">
        <v>26</v>
      </c>
      <c r="D4861" t="s">
        <v>27</v>
      </c>
      <c r="E4861" t="s">
        <v>17</v>
      </c>
      <c r="F4861" t="s">
        <v>21</v>
      </c>
      <c r="G4861" t="s">
        <v>43</v>
      </c>
      <c r="H4861" t="s">
        <v>25</v>
      </c>
      <c r="I4861" s="1">
        <v>2</v>
      </c>
      <c r="J4861" s="2">
        <v>46114</v>
      </c>
      <c r="K4861" s="2">
        <v>46175</v>
      </c>
      <c r="L4861" s="1" t="str">
        <f t="shared" si="558"/>
        <v>qui</v>
      </c>
      <c r="M4861" s="1" t="str">
        <f t="shared" si="559"/>
        <v>abr</v>
      </c>
      <c r="N4861">
        <f t="shared" si="560"/>
        <v>2026</v>
      </c>
      <c r="P4861" t="str">
        <f t="shared" ref="P4861:P4924" si="561">CONCATENATE(A4861,J4861)</f>
        <v>202246114</v>
      </c>
    </row>
    <row r="4862" spans="1:16" x14ac:dyDescent="0.3">
      <c r="A4862">
        <v>2022</v>
      </c>
      <c r="B4862">
        <v>37</v>
      </c>
      <c r="C4862" t="s">
        <v>26</v>
      </c>
      <c r="D4862" t="s">
        <v>27</v>
      </c>
      <c r="E4862" t="s">
        <v>17</v>
      </c>
      <c r="F4862" t="s">
        <v>21</v>
      </c>
      <c r="G4862" t="s">
        <v>43</v>
      </c>
      <c r="H4862" t="s">
        <v>25</v>
      </c>
      <c r="I4862" s="1">
        <v>2</v>
      </c>
      <c r="J4862" s="2">
        <v>46115</v>
      </c>
      <c r="K4862" s="2">
        <v>46175</v>
      </c>
      <c r="L4862" s="1" t="str">
        <f t="shared" si="558"/>
        <v>sex</v>
      </c>
      <c r="M4862" s="1" t="str">
        <f t="shared" si="559"/>
        <v>abr</v>
      </c>
      <c r="N4862">
        <f t="shared" si="560"/>
        <v>2026</v>
      </c>
      <c r="P4862" t="str">
        <f t="shared" si="561"/>
        <v>202246115</v>
      </c>
    </row>
    <row r="4863" spans="1:16" x14ac:dyDescent="0.3">
      <c r="A4863">
        <v>2022</v>
      </c>
      <c r="B4863">
        <v>37</v>
      </c>
      <c r="C4863" t="s">
        <v>26</v>
      </c>
      <c r="D4863" t="s">
        <v>27</v>
      </c>
      <c r="E4863" t="s">
        <v>17</v>
      </c>
      <c r="F4863" t="s">
        <v>21</v>
      </c>
      <c r="G4863" t="s">
        <v>43</v>
      </c>
      <c r="H4863" t="s">
        <v>25</v>
      </c>
      <c r="I4863" s="1">
        <v>2</v>
      </c>
      <c r="J4863" s="2">
        <v>46116</v>
      </c>
      <c r="K4863" s="2">
        <v>46175</v>
      </c>
      <c r="L4863" s="1" t="str">
        <f t="shared" si="558"/>
        <v>sáb</v>
      </c>
      <c r="M4863" s="1" t="str">
        <f t="shared" si="559"/>
        <v>abr</v>
      </c>
      <c r="N4863">
        <f t="shared" si="560"/>
        <v>2026</v>
      </c>
      <c r="P4863" t="str">
        <f t="shared" si="561"/>
        <v>202246116</v>
      </c>
    </row>
    <row r="4864" spans="1:16" x14ac:dyDescent="0.3">
      <c r="A4864">
        <v>2022</v>
      </c>
      <c r="B4864">
        <v>37</v>
      </c>
      <c r="C4864" t="s">
        <v>26</v>
      </c>
      <c r="D4864" t="s">
        <v>27</v>
      </c>
      <c r="E4864" t="s">
        <v>17</v>
      </c>
      <c r="F4864" t="s">
        <v>21</v>
      </c>
      <c r="G4864" t="s">
        <v>43</v>
      </c>
      <c r="H4864" t="s">
        <v>25</v>
      </c>
      <c r="I4864" s="1">
        <v>2</v>
      </c>
      <c r="J4864" s="2">
        <v>46117</v>
      </c>
      <c r="K4864" s="2">
        <v>46175</v>
      </c>
      <c r="L4864" s="1" t="str">
        <f t="shared" si="558"/>
        <v>dom</v>
      </c>
      <c r="M4864" s="1" t="str">
        <f t="shared" si="559"/>
        <v>abr</v>
      </c>
      <c r="N4864">
        <f t="shared" si="560"/>
        <v>2026</v>
      </c>
      <c r="P4864" t="str">
        <f t="shared" si="561"/>
        <v>202246117</v>
      </c>
    </row>
    <row r="4865" spans="1:16" x14ac:dyDescent="0.3">
      <c r="A4865">
        <v>2022</v>
      </c>
      <c r="B4865">
        <v>37</v>
      </c>
      <c r="C4865" t="s">
        <v>26</v>
      </c>
      <c r="D4865" t="s">
        <v>27</v>
      </c>
      <c r="E4865" t="s">
        <v>17</v>
      </c>
      <c r="F4865" t="s">
        <v>21</v>
      </c>
      <c r="G4865" t="s">
        <v>43</v>
      </c>
      <c r="H4865" t="s">
        <v>25</v>
      </c>
      <c r="I4865" s="1">
        <v>2</v>
      </c>
      <c r="J4865" s="2">
        <v>46118</v>
      </c>
      <c r="K4865" s="2">
        <v>46175</v>
      </c>
      <c r="L4865" s="1" t="str">
        <f t="shared" si="558"/>
        <v>seg</v>
      </c>
      <c r="M4865" s="1" t="str">
        <f t="shared" si="559"/>
        <v>abr</v>
      </c>
      <c r="N4865">
        <f t="shared" si="560"/>
        <v>2026</v>
      </c>
      <c r="P4865" t="str">
        <f t="shared" si="561"/>
        <v>202246118</v>
      </c>
    </row>
    <row r="4866" spans="1:16" x14ac:dyDescent="0.3">
      <c r="A4866">
        <v>2022</v>
      </c>
      <c r="B4866">
        <v>37</v>
      </c>
      <c r="C4866" t="s">
        <v>26</v>
      </c>
      <c r="D4866" t="s">
        <v>27</v>
      </c>
      <c r="E4866" t="s">
        <v>17</v>
      </c>
      <c r="F4866" t="s">
        <v>21</v>
      </c>
      <c r="G4866" t="s">
        <v>43</v>
      </c>
      <c r="H4866" t="s">
        <v>25</v>
      </c>
      <c r="I4866" s="1">
        <v>2</v>
      </c>
      <c r="J4866" s="2">
        <v>46119</v>
      </c>
      <c r="K4866" s="2">
        <v>46175</v>
      </c>
      <c r="L4866" s="1" t="str">
        <f t="shared" si="558"/>
        <v>ter</v>
      </c>
      <c r="M4866" s="1" t="str">
        <f t="shared" si="559"/>
        <v>abr</v>
      </c>
      <c r="N4866">
        <f t="shared" si="560"/>
        <v>2026</v>
      </c>
      <c r="P4866" t="str">
        <f t="shared" si="561"/>
        <v>202246119</v>
      </c>
    </row>
    <row r="4867" spans="1:16" x14ac:dyDescent="0.3">
      <c r="A4867">
        <v>2022</v>
      </c>
      <c r="B4867">
        <v>37</v>
      </c>
      <c r="C4867" t="s">
        <v>26</v>
      </c>
      <c r="D4867" t="s">
        <v>27</v>
      </c>
      <c r="E4867" t="s">
        <v>17</v>
      </c>
      <c r="F4867" t="s">
        <v>21</v>
      </c>
      <c r="G4867" t="s">
        <v>43</v>
      </c>
      <c r="H4867" t="s">
        <v>25</v>
      </c>
      <c r="I4867" s="1">
        <v>2</v>
      </c>
      <c r="J4867" s="2">
        <v>46120</v>
      </c>
      <c r="K4867" s="2">
        <v>46175</v>
      </c>
      <c r="L4867" s="1" t="str">
        <f t="shared" si="558"/>
        <v>qua</v>
      </c>
      <c r="M4867" s="1" t="str">
        <f t="shared" si="559"/>
        <v>abr</v>
      </c>
      <c r="N4867">
        <f t="shared" si="560"/>
        <v>2026</v>
      </c>
      <c r="P4867" t="str">
        <f t="shared" si="561"/>
        <v>202246120</v>
      </c>
    </row>
    <row r="4868" spans="1:16" x14ac:dyDescent="0.3">
      <c r="A4868">
        <v>2022</v>
      </c>
      <c r="B4868">
        <v>37</v>
      </c>
      <c r="C4868" t="s">
        <v>26</v>
      </c>
      <c r="D4868" t="s">
        <v>27</v>
      </c>
      <c r="E4868" t="s">
        <v>17</v>
      </c>
      <c r="F4868" t="s">
        <v>21</v>
      </c>
      <c r="G4868" t="s">
        <v>43</v>
      </c>
      <c r="H4868" t="s">
        <v>25</v>
      </c>
      <c r="I4868" s="1">
        <v>2</v>
      </c>
      <c r="J4868" s="2">
        <v>46121</v>
      </c>
      <c r="K4868" s="2">
        <v>46175</v>
      </c>
      <c r="L4868" s="1" t="str">
        <f t="shared" si="558"/>
        <v>qui</v>
      </c>
      <c r="M4868" s="1" t="str">
        <f t="shared" si="559"/>
        <v>abr</v>
      </c>
      <c r="N4868">
        <f t="shared" si="560"/>
        <v>2026</v>
      </c>
      <c r="P4868" t="str">
        <f t="shared" si="561"/>
        <v>202246121</v>
      </c>
    </row>
    <row r="4869" spans="1:16" x14ac:dyDescent="0.3">
      <c r="A4869">
        <v>2022</v>
      </c>
      <c r="B4869">
        <v>37</v>
      </c>
      <c r="C4869" t="s">
        <v>26</v>
      </c>
      <c r="D4869" t="s">
        <v>27</v>
      </c>
      <c r="E4869" t="s">
        <v>17</v>
      </c>
      <c r="F4869" t="s">
        <v>21</v>
      </c>
      <c r="G4869" t="s">
        <v>43</v>
      </c>
      <c r="H4869" t="s">
        <v>25</v>
      </c>
      <c r="I4869" s="1">
        <v>2</v>
      </c>
      <c r="J4869" s="2">
        <v>46122</v>
      </c>
      <c r="K4869" s="2">
        <v>46175</v>
      </c>
      <c r="L4869" s="1" t="str">
        <f t="shared" si="558"/>
        <v>sex</v>
      </c>
      <c r="M4869" s="1" t="str">
        <f t="shared" si="559"/>
        <v>abr</v>
      </c>
      <c r="N4869">
        <f t="shared" si="560"/>
        <v>2026</v>
      </c>
      <c r="P4869" t="str">
        <f t="shared" si="561"/>
        <v>202246122</v>
      </c>
    </row>
    <row r="4870" spans="1:16" x14ac:dyDescent="0.3">
      <c r="A4870">
        <v>2022</v>
      </c>
      <c r="B4870">
        <v>37</v>
      </c>
      <c r="C4870" t="s">
        <v>26</v>
      </c>
      <c r="D4870" t="s">
        <v>27</v>
      </c>
      <c r="E4870" t="s">
        <v>17</v>
      </c>
      <c r="F4870" t="s">
        <v>21</v>
      </c>
      <c r="G4870" t="s">
        <v>43</v>
      </c>
      <c r="H4870" t="s">
        <v>25</v>
      </c>
      <c r="I4870" s="1">
        <v>2</v>
      </c>
      <c r="J4870" s="2">
        <v>46123</v>
      </c>
      <c r="K4870" s="2">
        <v>46175</v>
      </c>
      <c r="L4870" s="1" t="str">
        <f t="shared" si="558"/>
        <v>sáb</v>
      </c>
      <c r="M4870" s="1" t="str">
        <f t="shared" si="559"/>
        <v>abr</v>
      </c>
      <c r="N4870">
        <f t="shared" si="560"/>
        <v>2026</v>
      </c>
      <c r="P4870" t="str">
        <f t="shared" si="561"/>
        <v>202246123</v>
      </c>
    </row>
    <row r="4871" spans="1:16" x14ac:dyDescent="0.3">
      <c r="A4871">
        <v>2022</v>
      </c>
      <c r="B4871">
        <v>37</v>
      </c>
      <c r="C4871" t="s">
        <v>26</v>
      </c>
      <c r="D4871" t="s">
        <v>27</v>
      </c>
      <c r="E4871" t="s">
        <v>17</v>
      </c>
      <c r="F4871" t="s">
        <v>21</v>
      </c>
      <c r="G4871" t="s">
        <v>43</v>
      </c>
      <c r="H4871" t="s">
        <v>25</v>
      </c>
      <c r="I4871" s="1">
        <v>2</v>
      </c>
      <c r="J4871" s="2">
        <v>46124</v>
      </c>
      <c r="K4871" s="2">
        <v>46175</v>
      </c>
      <c r="L4871" s="1" t="str">
        <f t="shared" si="558"/>
        <v>dom</v>
      </c>
      <c r="M4871" s="1" t="str">
        <f t="shared" si="559"/>
        <v>abr</v>
      </c>
      <c r="N4871">
        <f t="shared" si="560"/>
        <v>2026</v>
      </c>
      <c r="P4871" t="str">
        <f t="shared" si="561"/>
        <v>202246124</v>
      </c>
    </row>
    <row r="4872" spans="1:16" x14ac:dyDescent="0.3">
      <c r="A4872">
        <v>2022</v>
      </c>
      <c r="B4872">
        <v>37</v>
      </c>
      <c r="C4872" t="s">
        <v>26</v>
      </c>
      <c r="D4872" t="s">
        <v>27</v>
      </c>
      <c r="E4872" t="s">
        <v>17</v>
      </c>
      <c r="F4872" t="s">
        <v>21</v>
      </c>
      <c r="G4872" t="s">
        <v>43</v>
      </c>
      <c r="H4872" t="s">
        <v>25</v>
      </c>
      <c r="I4872" s="1">
        <v>2</v>
      </c>
      <c r="J4872" s="2">
        <v>46125</v>
      </c>
      <c r="K4872" s="2">
        <v>46175</v>
      </c>
      <c r="L4872" s="1" t="str">
        <f t="shared" si="558"/>
        <v>seg</v>
      </c>
      <c r="M4872" s="1" t="str">
        <f t="shared" si="559"/>
        <v>abr</v>
      </c>
      <c r="N4872">
        <f t="shared" si="560"/>
        <v>2026</v>
      </c>
      <c r="P4872" t="str">
        <f t="shared" si="561"/>
        <v>202246125</v>
      </c>
    </row>
    <row r="4873" spans="1:16" x14ac:dyDescent="0.3">
      <c r="A4873">
        <v>2022</v>
      </c>
      <c r="B4873">
        <v>37</v>
      </c>
      <c r="C4873" t="s">
        <v>26</v>
      </c>
      <c r="D4873" t="s">
        <v>27</v>
      </c>
      <c r="E4873" t="s">
        <v>17</v>
      </c>
      <c r="F4873" t="s">
        <v>21</v>
      </c>
      <c r="G4873" t="s">
        <v>43</v>
      </c>
      <c r="H4873" t="s">
        <v>25</v>
      </c>
      <c r="I4873" s="1">
        <v>2</v>
      </c>
      <c r="J4873" s="2">
        <v>46126</v>
      </c>
      <c r="K4873" s="2">
        <v>46175</v>
      </c>
      <c r="L4873" s="1" t="str">
        <f t="shared" si="558"/>
        <v>ter</v>
      </c>
      <c r="M4873" s="1" t="str">
        <f t="shared" si="559"/>
        <v>abr</v>
      </c>
      <c r="N4873">
        <f t="shared" si="560"/>
        <v>2026</v>
      </c>
      <c r="P4873" t="str">
        <f t="shared" si="561"/>
        <v>202246126</v>
      </c>
    </row>
    <row r="4874" spans="1:16" x14ac:dyDescent="0.3">
      <c r="A4874">
        <v>2022</v>
      </c>
      <c r="B4874">
        <v>37</v>
      </c>
      <c r="C4874" t="s">
        <v>26</v>
      </c>
      <c r="D4874" t="s">
        <v>27</v>
      </c>
      <c r="E4874" t="s">
        <v>17</v>
      </c>
      <c r="F4874" t="s">
        <v>21</v>
      </c>
      <c r="G4874" t="s">
        <v>43</v>
      </c>
      <c r="H4874" t="s">
        <v>25</v>
      </c>
      <c r="I4874" s="1">
        <v>2</v>
      </c>
      <c r="J4874" s="2">
        <v>46127</v>
      </c>
      <c r="K4874" s="2">
        <v>46175</v>
      </c>
      <c r="L4874" s="1" t="str">
        <f t="shared" si="558"/>
        <v>qua</v>
      </c>
      <c r="M4874" s="1" t="str">
        <f t="shared" si="559"/>
        <v>abr</v>
      </c>
      <c r="N4874">
        <f t="shared" si="560"/>
        <v>2026</v>
      </c>
      <c r="P4874" t="str">
        <f t="shared" si="561"/>
        <v>202246127</v>
      </c>
    </row>
    <row r="4875" spans="1:16" x14ac:dyDescent="0.3">
      <c r="A4875">
        <v>2022</v>
      </c>
      <c r="B4875">
        <v>37</v>
      </c>
      <c r="C4875" t="s">
        <v>26</v>
      </c>
      <c r="D4875" t="s">
        <v>27</v>
      </c>
      <c r="E4875" t="s">
        <v>17</v>
      </c>
      <c r="F4875" t="s">
        <v>21</v>
      </c>
      <c r="G4875" t="s">
        <v>43</v>
      </c>
      <c r="H4875" t="s">
        <v>25</v>
      </c>
      <c r="I4875" s="1">
        <v>2</v>
      </c>
      <c r="J4875" s="2">
        <v>46128</v>
      </c>
      <c r="K4875" s="2">
        <v>46175</v>
      </c>
      <c r="L4875" s="1" t="str">
        <f t="shared" si="558"/>
        <v>qui</v>
      </c>
      <c r="M4875" s="1" t="str">
        <f t="shared" si="559"/>
        <v>abr</v>
      </c>
      <c r="N4875">
        <f t="shared" si="560"/>
        <v>2026</v>
      </c>
      <c r="P4875" t="str">
        <f t="shared" si="561"/>
        <v>202246128</v>
      </c>
    </row>
    <row r="4876" spans="1:16" x14ac:dyDescent="0.3">
      <c r="A4876">
        <v>2022</v>
      </c>
      <c r="B4876">
        <v>37</v>
      </c>
      <c r="C4876" t="s">
        <v>26</v>
      </c>
      <c r="D4876" t="s">
        <v>27</v>
      </c>
      <c r="E4876" t="s">
        <v>17</v>
      </c>
      <c r="F4876" t="s">
        <v>21</v>
      </c>
      <c r="G4876" t="s">
        <v>43</v>
      </c>
      <c r="H4876" t="s">
        <v>25</v>
      </c>
      <c r="I4876" s="1">
        <v>2</v>
      </c>
      <c r="J4876" s="2">
        <v>46129</v>
      </c>
      <c r="K4876" s="2">
        <v>46175</v>
      </c>
      <c r="L4876" s="1" t="str">
        <f t="shared" si="558"/>
        <v>sex</v>
      </c>
      <c r="M4876" s="1" t="str">
        <f t="shared" si="559"/>
        <v>abr</v>
      </c>
      <c r="N4876">
        <f t="shared" si="560"/>
        <v>2026</v>
      </c>
      <c r="P4876" t="str">
        <f t="shared" si="561"/>
        <v>202246129</v>
      </c>
    </row>
    <row r="4877" spans="1:16" x14ac:dyDescent="0.3">
      <c r="A4877">
        <v>2022</v>
      </c>
      <c r="B4877">
        <v>37</v>
      </c>
      <c r="C4877" t="s">
        <v>26</v>
      </c>
      <c r="D4877" t="s">
        <v>27</v>
      </c>
      <c r="E4877" t="s">
        <v>17</v>
      </c>
      <c r="F4877" t="s">
        <v>21</v>
      </c>
      <c r="G4877" t="s">
        <v>43</v>
      </c>
      <c r="H4877" t="s">
        <v>25</v>
      </c>
      <c r="I4877" s="1">
        <v>2</v>
      </c>
      <c r="J4877" s="2">
        <v>46130</v>
      </c>
      <c r="K4877" s="2">
        <v>46175</v>
      </c>
      <c r="L4877" s="1" t="str">
        <f t="shared" si="558"/>
        <v>sáb</v>
      </c>
      <c r="M4877" s="1" t="str">
        <f t="shared" si="559"/>
        <v>abr</v>
      </c>
      <c r="N4877">
        <f t="shared" si="560"/>
        <v>2026</v>
      </c>
      <c r="P4877" t="str">
        <f t="shared" si="561"/>
        <v>202246130</v>
      </c>
    </row>
    <row r="4878" spans="1:16" x14ac:dyDescent="0.3">
      <c r="A4878">
        <v>2022</v>
      </c>
      <c r="B4878">
        <v>37</v>
      </c>
      <c r="C4878" t="s">
        <v>26</v>
      </c>
      <c r="D4878" t="s">
        <v>27</v>
      </c>
      <c r="E4878" t="s">
        <v>17</v>
      </c>
      <c r="F4878" t="s">
        <v>21</v>
      </c>
      <c r="G4878" t="s">
        <v>43</v>
      </c>
      <c r="H4878" t="s">
        <v>25</v>
      </c>
      <c r="I4878" s="1">
        <v>2</v>
      </c>
      <c r="J4878" s="2">
        <v>46131</v>
      </c>
      <c r="K4878" s="2">
        <v>46175</v>
      </c>
      <c r="L4878" s="1" t="str">
        <f t="shared" si="558"/>
        <v>dom</v>
      </c>
      <c r="M4878" s="1" t="str">
        <f t="shared" si="559"/>
        <v>abr</v>
      </c>
      <c r="N4878">
        <f t="shared" si="560"/>
        <v>2026</v>
      </c>
      <c r="P4878" t="str">
        <f t="shared" si="561"/>
        <v>202246131</v>
      </c>
    </row>
    <row r="4879" spans="1:16" x14ac:dyDescent="0.3">
      <c r="A4879">
        <v>2022</v>
      </c>
      <c r="B4879">
        <v>37</v>
      </c>
      <c r="C4879" t="s">
        <v>26</v>
      </c>
      <c r="D4879" t="s">
        <v>27</v>
      </c>
      <c r="E4879" t="s">
        <v>17</v>
      </c>
      <c r="F4879" t="s">
        <v>21</v>
      </c>
      <c r="G4879" t="s">
        <v>43</v>
      </c>
      <c r="H4879" t="s">
        <v>25</v>
      </c>
      <c r="I4879" s="1">
        <v>2</v>
      </c>
      <c r="J4879" s="2">
        <v>46132</v>
      </c>
      <c r="K4879" s="2">
        <v>46175</v>
      </c>
      <c r="L4879" s="1" t="str">
        <f t="shared" si="558"/>
        <v>seg</v>
      </c>
      <c r="M4879" s="1" t="str">
        <f t="shared" si="559"/>
        <v>abr</v>
      </c>
      <c r="N4879">
        <f t="shared" si="560"/>
        <v>2026</v>
      </c>
      <c r="P4879" t="str">
        <f t="shared" si="561"/>
        <v>202246132</v>
      </c>
    </row>
    <row r="4880" spans="1:16" x14ac:dyDescent="0.3">
      <c r="A4880">
        <v>2022</v>
      </c>
      <c r="B4880">
        <v>37</v>
      </c>
      <c r="C4880" t="s">
        <v>26</v>
      </c>
      <c r="D4880" t="s">
        <v>27</v>
      </c>
      <c r="E4880" t="s">
        <v>17</v>
      </c>
      <c r="F4880" t="s">
        <v>21</v>
      </c>
      <c r="G4880" t="s">
        <v>43</v>
      </c>
      <c r="H4880" t="s">
        <v>25</v>
      </c>
      <c r="I4880" s="1">
        <v>2</v>
      </c>
      <c r="J4880" s="2">
        <v>46133</v>
      </c>
      <c r="K4880" s="2">
        <v>46175</v>
      </c>
      <c r="L4880" s="1" t="str">
        <f t="shared" si="558"/>
        <v>ter</v>
      </c>
      <c r="M4880" s="1" t="str">
        <f t="shared" si="559"/>
        <v>abr</v>
      </c>
      <c r="N4880">
        <f t="shared" si="560"/>
        <v>2026</v>
      </c>
      <c r="P4880" t="str">
        <f t="shared" si="561"/>
        <v>202246133</v>
      </c>
    </row>
    <row r="4881" spans="1:16" x14ac:dyDescent="0.3">
      <c r="A4881">
        <v>2022</v>
      </c>
      <c r="B4881">
        <v>37</v>
      </c>
      <c r="C4881" t="s">
        <v>26</v>
      </c>
      <c r="D4881" t="s">
        <v>27</v>
      </c>
      <c r="E4881" t="s">
        <v>17</v>
      </c>
      <c r="F4881" t="s">
        <v>21</v>
      </c>
      <c r="G4881" t="s">
        <v>43</v>
      </c>
      <c r="H4881" t="s">
        <v>25</v>
      </c>
      <c r="I4881" s="1">
        <v>2</v>
      </c>
      <c r="J4881" s="2">
        <v>46134</v>
      </c>
      <c r="K4881" s="2">
        <v>46175</v>
      </c>
      <c r="L4881" s="1" t="str">
        <f t="shared" si="558"/>
        <v>qua</v>
      </c>
      <c r="M4881" s="1" t="str">
        <f t="shared" si="559"/>
        <v>abr</v>
      </c>
      <c r="N4881">
        <f t="shared" si="560"/>
        <v>2026</v>
      </c>
      <c r="P4881" t="str">
        <f t="shared" si="561"/>
        <v>202246134</v>
      </c>
    </row>
    <row r="4882" spans="1:16" x14ac:dyDescent="0.3">
      <c r="A4882">
        <v>2022</v>
      </c>
      <c r="B4882">
        <v>37</v>
      </c>
      <c r="C4882" t="s">
        <v>26</v>
      </c>
      <c r="D4882" t="s">
        <v>27</v>
      </c>
      <c r="E4882" t="s">
        <v>17</v>
      </c>
      <c r="F4882" t="s">
        <v>21</v>
      </c>
      <c r="G4882" t="s">
        <v>43</v>
      </c>
      <c r="H4882" t="s">
        <v>25</v>
      </c>
      <c r="I4882" s="1">
        <v>2</v>
      </c>
      <c r="J4882" s="2">
        <v>46135</v>
      </c>
      <c r="K4882" s="2">
        <v>46175</v>
      </c>
      <c r="L4882" s="1" t="str">
        <f t="shared" ref="L4882:L4908" si="562">TEXT(J4882,"ddd")</f>
        <v>qui</v>
      </c>
      <c r="M4882" s="1" t="str">
        <f t="shared" ref="M4882:M4908" si="563">TEXT($J4882,"mmm")</f>
        <v>abr</v>
      </c>
      <c r="N4882">
        <f t="shared" ref="N4882:N4908" si="564">YEAR(J4882)</f>
        <v>2026</v>
      </c>
      <c r="P4882" t="str">
        <f t="shared" si="561"/>
        <v>202246135</v>
      </c>
    </row>
    <row r="4883" spans="1:16" x14ac:dyDescent="0.3">
      <c r="A4883">
        <v>2022</v>
      </c>
      <c r="B4883">
        <v>37</v>
      </c>
      <c r="C4883" t="s">
        <v>26</v>
      </c>
      <c r="D4883" t="s">
        <v>27</v>
      </c>
      <c r="E4883" t="s">
        <v>17</v>
      </c>
      <c r="F4883" t="s">
        <v>21</v>
      </c>
      <c r="G4883" t="s">
        <v>43</v>
      </c>
      <c r="H4883" t="s">
        <v>25</v>
      </c>
      <c r="I4883" s="1">
        <v>2</v>
      </c>
      <c r="J4883" s="2">
        <v>46136</v>
      </c>
      <c r="K4883" s="2">
        <v>46175</v>
      </c>
      <c r="L4883" s="1" t="str">
        <f t="shared" si="562"/>
        <v>sex</v>
      </c>
      <c r="M4883" s="1" t="str">
        <f t="shared" si="563"/>
        <v>abr</v>
      </c>
      <c r="N4883">
        <f t="shared" si="564"/>
        <v>2026</v>
      </c>
      <c r="P4883" t="str">
        <f t="shared" si="561"/>
        <v>202246136</v>
      </c>
    </row>
    <row r="4884" spans="1:16" x14ac:dyDescent="0.3">
      <c r="A4884">
        <v>2022</v>
      </c>
      <c r="B4884">
        <v>37</v>
      </c>
      <c r="C4884" t="s">
        <v>26</v>
      </c>
      <c r="D4884" t="s">
        <v>27</v>
      </c>
      <c r="E4884" t="s">
        <v>17</v>
      </c>
      <c r="F4884" t="s">
        <v>21</v>
      </c>
      <c r="G4884" t="s">
        <v>43</v>
      </c>
      <c r="H4884" t="s">
        <v>25</v>
      </c>
      <c r="I4884" s="1">
        <v>2</v>
      </c>
      <c r="J4884" s="2">
        <v>46137</v>
      </c>
      <c r="K4884" s="2">
        <v>46175</v>
      </c>
      <c r="L4884" s="1" t="str">
        <f t="shared" si="562"/>
        <v>sáb</v>
      </c>
      <c r="M4884" s="1" t="str">
        <f t="shared" si="563"/>
        <v>abr</v>
      </c>
      <c r="N4884">
        <f t="shared" si="564"/>
        <v>2026</v>
      </c>
      <c r="P4884" t="str">
        <f t="shared" si="561"/>
        <v>202246137</v>
      </c>
    </row>
    <row r="4885" spans="1:16" x14ac:dyDescent="0.3">
      <c r="A4885">
        <v>2022</v>
      </c>
      <c r="B4885">
        <v>37</v>
      </c>
      <c r="C4885" t="s">
        <v>26</v>
      </c>
      <c r="D4885" t="s">
        <v>27</v>
      </c>
      <c r="E4885" t="s">
        <v>17</v>
      </c>
      <c r="F4885" t="s">
        <v>21</v>
      </c>
      <c r="G4885" t="s">
        <v>43</v>
      </c>
      <c r="H4885" t="s">
        <v>25</v>
      </c>
      <c r="I4885" s="1">
        <v>2</v>
      </c>
      <c r="J4885" s="2">
        <v>46138</v>
      </c>
      <c r="K4885" s="2">
        <v>46175</v>
      </c>
      <c r="L4885" s="1" t="str">
        <f t="shared" si="562"/>
        <v>dom</v>
      </c>
      <c r="M4885" s="1" t="str">
        <f t="shared" si="563"/>
        <v>abr</v>
      </c>
      <c r="N4885">
        <f t="shared" si="564"/>
        <v>2026</v>
      </c>
      <c r="P4885" t="str">
        <f t="shared" si="561"/>
        <v>202246138</v>
      </c>
    </row>
    <row r="4886" spans="1:16" x14ac:dyDescent="0.3">
      <c r="A4886">
        <v>2022</v>
      </c>
      <c r="B4886">
        <v>37</v>
      </c>
      <c r="C4886" t="s">
        <v>26</v>
      </c>
      <c r="D4886" t="s">
        <v>27</v>
      </c>
      <c r="E4886" t="s">
        <v>17</v>
      </c>
      <c r="F4886" t="s">
        <v>21</v>
      </c>
      <c r="G4886" t="s">
        <v>43</v>
      </c>
      <c r="H4886" t="s">
        <v>25</v>
      </c>
      <c r="I4886" s="1">
        <v>2</v>
      </c>
      <c r="J4886" s="2">
        <v>46139</v>
      </c>
      <c r="K4886" s="2">
        <v>46175</v>
      </c>
      <c r="L4886" s="1" t="str">
        <f t="shared" si="562"/>
        <v>seg</v>
      </c>
      <c r="M4886" s="1" t="str">
        <f t="shared" si="563"/>
        <v>abr</v>
      </c>
      <c r="N4886">
        <f t="shared" si="564"/>
        <v>2026</v>
      </c>
      <c r="P4886" t="str">
        <f t="shared" si="561"/>
        <v>202246139</v>
      </c>
    </row>
    <row r="4887" spans="1:16" x14ac:dyDescent="0.3">
      <c r="A4887">
        <v>2022</v>
      </c>
      <c r="B4887">
        <v>37</v>
      </c>
      <c r="C4887" t="s">
        <v>26</v>
      </c>
      <c r="D4887" t="s">
        <v>27</v>
      </c>
      <c r="E4887" t="s">
        <v>17</v>
      </c>
      <c r="F4887" t="s">
        <v>21</v>
      </c>
      <c r="G4887" t="s">
        <v>43</v>
      </c>
      <c r="H4887" t="s">
        <v>25</v>
      </c>
      <c r="I4887" s="1">
        <v>2</v>
      </c>
      <c r="J4887" s="2">
        <v>46140</v>
      </c>
      <c r="K4887" s="2">
        <v>46175</v>
      </c>
      <c r="L4887" s="1" t="str">
        <f t="shared" si="562"/>
        <v>ter</v>
      </c>
      <c r="M4887" s="1" t="str">
        <f t="shared" si="563"/>
        <v>abr</v>
      </c>
      <c r="N4887">
        <f t="shared" si="564"/>
        <v>2026</v>
      </c>
      <c r="P4887" t="str">
        <f t="shared" si="561"/>
        <v>202246140</v>
      </c>
    </row>
    <row r="4888" spans="1:16" x14ac:dyDescent="0.3">
      <c r="A4888">
        <v>2022</v>
      </c>
      <c r="B4888">
        <v>37</v>
      </c>
      <c r="C4888" t="s">
        <v>26</v>
      </c>
      <c r="D4888" t="s">
        <v>27</v>
      </c>
      <c r="E4888" t="s">
        <v>17</v>
      </c>
      <c r="F4888" t="s">
        <v>21</v>
      </c>
      <c r="G4888" t="s">
        <v>43</v>
      </c>
      <c r="H4888" t="s">
        <v>25</v>
      </c>
      <c r="I4888" s="1">
        <v>2</v>
      </c>
      <c r="J4888" s="2">
        <v>46141</v>
      </c>
      <c r="K4888" s="2">
        <v>46175</v>
      </c>
      <c r="L4888" s="1" t="str">
        <f t="shared" si="562"/>
        <v>qua</v>
      </c>
      <c r="M4888" s="1" t="str">
        <f t="shared" si="563"/>
        <v>abr</v>
      </c>
      <c r="N4888">
        <f t="shared" si="564"/>
        <v>2026</v>
      </c>
      <c r="P4888" t="str">
        <f t="shared" si="561"/>
        <v>202246141</v>
      </c>
    </row>
    <row r="4889" spans="1:16" x14ac:dyDescent="0.3">
      <c r="A4889">
        <v>2022</v>
      </c>
      <c r="B4889">
        <v>37</v>
      </c>
      <c r="C4889" t="s">
        <v>26</v>
      </c>
      <c r="D4889" t="s">
        <v>27</v>
      </c>
      <c r="E4889" t="s">
        <v>17</v>
      </c>
      <c r="F4889" t="s">
        <v>21</v>
      </c>
      <c r="G4889" t="s">
        <v>43</v>
      </c>
      <c r="H4889" t="s">
        <v>25</v>
      </c>
      <c r="I4889" s="1">
        <v>2</v>
      </c>
      <c r="J4889" s="2">
        <v>46142</v>
      </c>
      <c r="K4889" s="2">
        <v>46175</v>
      </c>
      <c r="L4889" s="1" t="str">
        <f t="shared" si="562"/>
        <v>qui</v>
      </c>
      <c r="M4889" s="1" t="str">
        <f t="shared" si="563"/>
        <v>abr</v>
      </c>
      <c r="N4889">
        <f t="shared" si="564"/>
        <v>2026</v>
      </c>
      <c r="P4889" t="str">
        <f t="shared" si="561"/>
        <v>202246142</v>
      </c>
    </row>
    <row r="4890" spans="1:16" x14ac:dyDescent="0.3">
      <c r="A4890">
        <v>2022</v>
      </c>
      <c r="B4890">
        <v>37</v>
      </c>
      <c r="C4890" t="s">
        <v>26</v>
      </c>
      <c r="D4890" t="s">
        <v>27</v>
      </c>
      <c r="E4890" t="s">
        <v>17</v>
      </c>
      <c r="F4890" t="s">
        <v>21</v>
      </c>
      <c r="G4890" t="s">
        <v>43</v>
      </c>
      <c r="H4890" t="s">
        <v>25</v>
      </c>
      <c r="I4890" s="1">
        <v>2</v>
      </c>
      <c r="J4890" s="2">
        <v>46143</v>
      </c>
      <c r="K4890" s="2">
        <v>46175</v>
      </c>
      <c r="L4890" s="1" t="str">
        <f t="shared" si="562"/>
        <v>sex</v>
      </c>
      <c r="M4890" s="1" t="str">
        <f t="shared" si="563"/>
        <v>mai</v>
      </c>
      <c r="N4890">
        <f t="shared" si="564"/>
        <v>2026</v>
      </c>
      <c r="P4890" t="str">
        <f t="shared" si="561"/>
        <v>202246143</v>
      </c>
    </row>
    <row r="4891" spans="1:16" x14ac:dyDescent="0.3">
      <c r="A4891">
        <v>2023</v>
      </c>
      <c r="B4891">
        <v>57</v>
      </c>
      <c r="C4891" t="s">
        <v>15</v>
      </c>
      <c r="D4891" t="s">
        <v>29</v>
      </c>
      <c r="E4891" t="s">
        <v>17</v>
      </c>
      <c r="F4891" t="s">
        <v>23</v>
      </c>
      <c r="G4891" t="s">
        <v>41</v>
      </c>
      <c r="H4891" t="s">
        <v>25</v>
      </c>
      <c r="I4891" s="1">
        <v>1</v>
      </c>
      <c r="J4891" s="2">
        <v>45829</v>
      </c>
      <c r="K4891" s="2">
        <v>45809</v>
      </c>
      <c r="L4891" s="1" t="str">
        <f t="shared" si="562"/>
        <v>sáb</v>
      </c>
      <c r="M4891" s="1" t="str">
        <f t="shared" si="563"/>
        <v>jun</v>
      </c>
      <c r="N4891">
        <f t="shared" si="564"/>
        <v>2025</v>
      </c>
      <c r="O4891" s="2"/>
      <c r="P4891" t="str">
        <f t="shared" si="561"/>
        <v>202345829</v>
      </c>
    </row>
    <row r="4892" spans="1:16" x14ac:dyDescent="0.3">
      <c r="A4892">
        <v>2023</v>
      </c>
      <c r="B4892">
        <v>57</v>
      </c>
      <c r="C4892" t="s">
        <v>15</v>
      </c>
      <c r="D4892" t="s">
        <v>29</v>
      </c>
      <c r="E4892" t="s">
        <v>17</v>
      </c>
      <c r="F4892" t="s">
        <v>23</v>
      </c>
      <c r="G4892" t="s">
        <v>41</v>
      </c>
      <c r="H4892" t="s">
        <v>25</v>
      </c>
      <c r="I4892" s="1">
        <v>1</v>
      </c>
      <c r="J4892" s="2">
        <v>45834</v>
      </c>
      <c r="K4892" s="2">
        <v>45809</v>
      </c>
      <c r="L4892" s="1" t="str">
        <f t="shared" si="562"/>
        <v>qui</v>
      </c>
      <c r="M4892" s="1" t="str">
        <f t="shared" si="563"/>
        <v>jun</v>
      </c>
      <c r="N4892">
        <f t="shared" si="564"/>
        <v>2025</v>
      </c>
      <c r="O4892" s="2"/>
      <c r="P4892" t="str">
        <f t="shared" si="561"/>
        <v>202345834</v>
      </c>
    </row>
    <row r="4893" spans="1:16" x14ac:dyDescent="0.3">
      <c r="A4893">
        <v>2023</v>
      </c>
      <c r="B4893">
        <v>57</v>
      </c>
      <c r="C4893" t="s">
        <v>15</v>
      </c>
      <c r="D4893" t="s">
        <v>29</v>
      </c>
      <c r="E4893" t="s">
        <v>17</v>
      </c>
      <c r="F4893" t="s">
        <v>23</v>
      </c>
      <c r="G4893" t="s">
        <v>41</v>
      </c>
      <c r="H4893" t="s">
        <v>25</v>
      </c>
      <c r="I4893" s="1">
        <v>1</v>
      </c>
      <c r="J4893" s="2">
        <v>45901</v>
      </c>
      <c r="K4893" s="2">
        <v>45901</v>
      </c>
      <c r="L4893" s="1" t="str">
        <f t="shared" si="562"/>
        <v>seg</v>
      </c>
      <c r="M4893" s="1" t="str">
        <f t="shared" si="563"/>
        <v>set</v>
      </c>
      <c r="N4893">
        <f t="shared" si="564"/>
        <v>2025</v>
      </c>
      <c r="O4893" s="2"/>
      <c r="P4893" t="str">
        <f t="shared" si="561"/>
        <v>202345901</v>
      </c>
    </row>
    <row r="4894" spans="1:16" x14ac:dyDescent="0.3">
      <c r="A4894">
        <v>2023</v>
      </c>
      <c r="B4894">
        <v>57</v>
      </c>
      <c r="C4894" t="s">
        <v>15</v>
      </c>
      <c r="D4894" t="s">
        <v>29</v>
      </c>
      <c r="E4894" t="s">
        <v>17</v>
      </c>
      <c r="F4894" t="s">
        <v>23</v>
      </c>
      <c r="G4894" t="s">
        <v>41</v>
      </c>
      <c r="H4894" t="s">
        <v>25</v>
      </c>
      <c r="I4894" s="1">
        <v>1</v>
      </c>
      <c r="J4894" s="2">
        <v>45919</v>
      </c>
      <c r="K4894" s="2">
        <v>45901</v>
      </c>
      <c r="L4894" s="1" t="str">
        <f t="shared" si="562"/>
        <v>sex</v>
      </c>
      <c r="M4894" s="1" t="str">
        <f t="shared" si="563"/>
        <v>set</v>
      </c>
      <c r="N4894">
        <f t="shared" si="564"/>
        <v>2025</v>
      </c>
      <c r="O4894" s="2"/>
      <c r="P4894" t="str">
        <f t="shared" si="561"/>
        <v>202345919</v>
      </c>
    </row>
    <row r="4895" spans="1:16" x14ac:dyDescent="0.3">
      <c r="A4895">
        <v>2023</v>
      </c>
      <c r="B4895">
        <v>57</v>
      </c>
      <c r="C4895" t="s">
        <v>15</v>
      </c>
      <c r="D4895" t="s">
        <v>29</v>
      </c>
      <c r="E4895" t="s">
        <v>17</v>
      </c>
      <c r="F4895" t="s">
        <v>23</v>
      </c>
      <c r="G4895" t="s">
        <v>41</v>
      </c>
      <c r="H4895" t="s">
        <v>25</v>
      </c>
      <c r="I4895" s="1">
        <v>1</v>
      </c>
      <c r="J4895" s="2">
        <v>46064</v>
      </c>
      <c r="K4895" s="2">
        <v>46054</v>
      </c>
      <c r="L4895" s="1" t="str">
        <f t="shared" si="562"/>
        <v>qua</v>
      </c>
      <c r="M4895" s="1" t="str">
        <f t="shared" si="563"/>
        <v>fev</v>
      </c>
      <c r="N4895">
        <f t="shared" si="564"/>
        <v>2026</v>
      </c>
      <c r="O4895" s="2"/>
      <c r="P4895" t="str">
        <f t="shared" si="561"/>
        <v>202346064</v>
      </c>
    </row>
    <row r="4896" spans="1:16" x14ac:dyDescent="0.3">
      <c r="A4896">
        <v>2024</v>
      </c>
      <c r="B4896">
        <v>33</v>
      </c>
      <c r="C4896" t="s">
        <v>26</v>
      </c>
      <c r="D4896" t="s">
        <v>27</v>
      </c>
      <c r="E4896" t="s">
        <v>17</v>
      </c>
      <c r="F4896" t="s">
        <v>21</v>
      </c>
      <c r="G4896" t="s">
        <v>41</v>
      </c>
      <c r="H4896" t="s">
        <v>25</v>
      </c>
      <c r="I4896" s="1">
        <v>2</v>
      </c>
      <c r="J4896" s="2">
        <v>45900</v>
      </c>
      <c r="K4896" s="2">
        <v>45870</v>
      </c>
      <c r="L4896" s="1" t="str">
        <f t="shared" si="562"/>
        <v>dom</v>
      </c>
      <c r="M4896" s="1" t="str">
        <f t="shared" si="563"/>
        <v>ago</v>
      </c>
      <c r="N4896">
        <f t="shared" si="564"/>
        <v>2025</v>
      </c>
      <c r="O4896" s="2"/>
      <c r="P4896" t="str">
        <f t="shared" si="561"/>
        <v>202445900</v>
      </c>
    </row>
    <row r="4897" spans="1:16" x14ac:dyDescent="0.3">
      <c r="A4897">
        <v>2024</v>
      </c>
      <c r="B4897">
        <v>33</v>
      </c>
      <c r="C4897" t="s">
        <v>26</v>
      </c>
      <c r="D4897" t="s">
        <v>27</v>
      </c>
      <c r="E4897" t="s">
        <v>17</v>
      </c>
      <c r="F4897" t="s">
        <v>21</v>
      </c>
      <c r="G4897" t="s">
        <v>41</v>
      </c>
      <c r="H4897" t="s">
        <v>25</v>
      </c>
      <c r="I4897" s="1">
        <v>2</v>
      </c>
      <c r="J4897" s="2">
        <v>45928</v>
      </c>
      <c r="K4897" s="2">
        <v>45901</v>
      </c>
      <c r="L4897" s="1" t="str">
        <f t="shared" si="562"/>
        <v>dom</v>
      </c>
      <c r="M4897" s="1" t="str">
        <f t="shared" si="563"/>
        <v>set</v>
      </c>
      <c r="N4897">
        <f t="shared" si="564"/>
        <v>2025</v>
      </c>
      <c r="O4897" s="2"/>
      <c r="P4897" t="str">
        <f t="shared" si="561"/>
        <v>202445928</v>
      </c>
    </row>
    <row r="4898" spans="1:16" x14ac:dyDescent="0.3">
      <c r="A4898">
        <v>2024</v>
      </c>
      <c r="B4898">
        <v>33</v>
      </c>
      <c r="C4898" t="s">
        <v>26</v>
      </c>
      <c r="D4898" t="s">
        <v>27</v>
      </c>
      <c r="E4898" t="s">
        <v>17</v>
      </c>
      <c r="F4898" t="s">
        <v>21</v>
      </c>
      <c r="G4898" t="s">
        <v>41</v>
      </c>
      <c r="H4898" t="s">
        <v>25</v>
      </c>
      <c r="I4898" s="1">
        <v>2</v>
      </c>
      <c r="J4898" s="2">
        <v>46174</v>
      </c>
      <c r="K4898" s="2">
        <v>46023</v>
      </c>
      <c r="L4898" s="1" t="str">
        <f t="shared" si="562"/>
        <v>seg</v>
      </c>
      <c r="M4898" s="1" t="str">
        <f t="shared" si="563"/>
        <v>jun</v>
      </c>
      <c r="N4898">
        <f t="shared" si="564"/>
        <v>2026</v>
      </c>
      <c r="O4898" s="2"/>
      <c r="P4898" t="str">
        <f t="shared" si="561"/>
        <v>202446174</v>
      </c>
    </row>
    <row r="4899" spans="1:16" x14ac:dyDescent="0.3">
      <c r="A4899">
        <v>2025</v>
      </c>
      <c r="B4899">
        <v>54</v>
      </c>
      <c r="C4899" t="s">
        <v>26</v>
      </c>
      <c r="D4899" t="s">
        <v>29</v>
      </c>
      <c r="E4899" t="s">
        <v>17</v>
      </c>
      <c r="F4899" t="s">
        <v>18</v>
      </c>
      <c r="G4899" t="s">
        <v>44</v>
      </c>
      <c r="H4899" t="s">
        <v>25</v>
      </c>
      <c r="I4899" s="1">
        <v>1</v>
      </c>
      <c r="J4899" s="2">
        <v>45816</v>
      </c>
      <c r="K4899" s="2">
        <v>45809</v>
      </c>
      <c r="L4899" s="1" t="str">
        <f t="shared" si="562"/>
        <v>dom</v>
      </c>
      <c r="M4899" s="1" t="str">
        <f t="shared" si="563"/>
        <v>jun</v>
      </c>
      <c r="N4899">
        <f t="shared" si="564"/>
        <v>2025</v>
      </c>
      <c r="O4899" s="2"/>
      <c r="P4899" t="str">
        <f t="shared" si="561"/>
        <v>202545816</v>
      </c>
    </row>
    <row r="4900" spans="1:16" x14ac:dyDescent="0.3">
      <c r="A4900">
        <v>2025</v>
      </c>
      <c r="B4900">
        <v>54</v>
      </c>
      <c r="C4900" t="s">
        <v>26</v>
      </c>
      <c r="D4900" t="s">
        <v>29</v>
      </c>
      <c r="E4900" t="s">
        <v>17</v>
      </c>
      <c r="F4900" t="s">
        <v>18</v>
      </c>
      <c r="G4900" t="s">
        <v>41</v>
      </c>
      <c r="H4900" t="s">
        <v>25</v>
      </c>
      <c r="I4900" s="1">
        <v>1</v>
      </c>
      <c r="J4900" s="2">
        <v>45832</v>
      </c>
      <c r="K4900" s="2">
        <v>45809</v>
      </c>
      <c r="L4900" s="1" t="str">
        <f t="shared" si="562"/>
        <v>ter</v>
      </c>
      <c r="M4900" s="1" t="str">
        <f t="shared" si="563"/>
        <v>jun</v>
      </c>
      <c r="N4900">
        <f t="shared" si="564"/>
        <v>2025</v>
      </c>
      <c r="O4900" s="2"/>
      <c r="P4900" t="str">
        <f t="shared" si="561"/>
        <v>202545832</v>
      </c>
    </row>
    <row r="4901" spans="1:16" x14ac:dyDescent="0.3">
      <c r="A4901">
        <v>2025</v>
      </c>
      <c r="B4901">
        <v>54</v>
      </c>
      <c r="C4901" t="s">
        <v>26</v>
      </c>
      <c r="D4901" t="s">
        <v>29</v>
      </c>
      <c r="E4901" t="s">
        <v>17</v>
      </c>
      <c r="F4901" t="s">
        <v>18</v>
      </c>
      <c r="G4901" t="s">
        <v>44</v>
      </c>
      <c r="H4901" t="s">
        <v>25</v>
      </c>
      <c r="I4901" s="1">
        <v>1</v>
      </c>
      <c r="J4901" s="2">
        <v>45921</v>
      </c>
      <c r="K4901" s="2">
        <v>45901</v>
      </c>
      <c r="L4901" s="1" t="str">
        <f t="shared" si="562"/>
        <v>dom</v>
      </c>
      <c r="M4901" s="1" t="str">
        <f t="shared" si="563"/>
        <v>set</v>
      </c>
      <c r="N4901">
        <f t="shared" si="564"/>
        <v>2025</v>
      </c>
      <c r="O4901" s="2"/>
      <c r="P4901" t="str">
        <f t="shared" si="561"/>
        <v>202545921</v>
      </c>
    </row>
    <row r="4902" spans="1:16" x14ac:dyDescent="0.3">
      <c r="A4902">
        <v>2025</v>
      </c>
      <c r="B4902">
        <v>54</v>
      </c>
      <c r="C4902" t="s">
        <v>26</v>
      </c>
      <c r="D4902" t="s">
        <v>29</v>
      </c>
      <c r="E4902" t="s">
        <v>17</v>
      </c>
      <c r="F4902" t="s">
        <v>18</v>
      </c>
      <c r="G4902" t="s">
        <v>41</v>
      </c>
      <c r="H4902" t="s">
        <v>25</v>
      </c>
      <c r="I4902" s="1">
        <v>1</v>
      </c>
      <c r="J4902" s="2">
        <v>46002</v>
      </c>
      <c r="K4902" s="2">
        <v>45992</v>
      </c>
      <c r="L4902" s="1" t="str">
        <f t="shared" si="562"/>
        <v>qui</v>
      </c>
      <c r="M4902" s="1" t="str">
        <f t="shared" si="563"/>
        <v>dez</v>
      </c>
      <c r="N4902">
        <f t="shared" si="564"/>
        <v>2025</v>
      </c>
      <c r="O4902" s="2"/>
      <c r="P4902" t="str">
        <f t="shared" si="561"/>
        <v>202546002</v>
      </c>
    </row>
    <row r="4903" spans="1:16" x14ac:dyDescent="0.3">
      <c r="A4903">
        <v>2025</v>
      </c>
      <c r="B4903">
        <v>54</v>
      </c>
      <c r="C4903" t="s">
        <v>26</v>
      </c>
      <c r="D4903" t="s">
        <v>29</v>
      </c>
      <c r="E4903" t="s">
        <v>17</v>
      </c>
      <c r="F4903" t="s">
        <v>18</v>
      </c>
      <c r="G4903" t="s">
        <v>41</v>
      </c>
      <c r="H4903" t="s">
        <v>25</v>
      </c>
      <c r="I4903" s="1">
        <v>1</v>
      </c>
      <c r="J4903" s="2">
        <v>46096</v>
      </c>
      <c r="K4903" s="2">
        <v>46082</v>
      </c>
      <c r="L4903" s="1" t="str">
        <f t="shared" si="562"/>
        <v>dom</v>
      </c>
      <c r="M4903" s="1" t="str">
        <f t="shared" si="563"/>
        <v>mar</v>
      </c>
      <c r="N4903">
        <f t="shared" si="564"/>
        <v>2026</v>
      </c>
      <c r="O4903" s="2"/>
      <c r="P4903" t="str">
        <f t="shared" si="561"/>
        <v>202546096</v>
      </c>
    </row>
    <row r="4904" spans="1:16" x14ac:dyDescent="0.3">
      <c r="A4904">
        <v>2026</v>
      </c>
      <c r="B4904">
        <v>21</v>
      </c>
      <c r="C4904" t="s">
        <v>26</v>
      </c>
      <c r="D4904" t="s">
        <v>22</v>
      </c>
      <c r="E4904" t="s">
        <v>17</v>
      </c>
      <c r="F4904" t="s">
        <v>21</v>
      </c>
      <c r="G4904" t="s">
        <v>44</v>
      </c>
      <c r="H4904" t="s">
        <v>25</v>
      </c>
      <c r="I4904" s="1">
        <v>1</v>
      </c>
      <c r="J4904" s="2">
        <v>45791</v>
      </c>
      <c r="K4904" s="2">
        <v>45778</v>
      </c>
      <c r="L4904" s="1" t="str">
        <f t="shared" si="562"/>
        <v>qua</v>
      </c>
      <c r="M4904" s="1" t="str">
        <f t="shared" si="563"/>
        <v>mai</v>
      </c>
      <c r="N4904">
        <f t="shared" si="564"/>
        <v>2025</v>
      </c>
      <c r="O4904" s="2"/>
      <c r="P4904" t="str">
        <f t="shared" si="561"/>
        <v>202645791</v>
      </c>
    </row>
    <row r="4905" spans="1:16" x14ac:dyDescent="0.3">
      <c r="A4905">
        <v>2026</v>
      </c>
      <c r="B4905">
        <v>21</v>
      </c>
      <c r="C4905" t="s">
        <v>26</v>
      </c>
      <c r="D4905" t="s">
        <v>22</v>
      </c>
      <c r="E4905" t="s">
        <v>17</v>
      </c>
      <c r="F4905" t="s">
        <v>21</v>
      </c>
      <c r="G4905" t="s">
        <v>44</v>
      </c>
      <c r="H4905" t="s">
        <v>25</v>
      </c>
      <c r="I4905" s="1">
        <v>1</v>
      </c>
      <c r="J4905" s="2">
        <v>45830</v>
      </c>
      <c r="K4905" s="2">
        <v>45809</v>
      </c>
      <c r="L4905" s="1" t="str">
        <f t="shared" si="562"/>
        <v>dom</v>
      </c>
      <c r="M4905" s="1" t="str">
        <f t="shared" si="563"/>
        <v>jun</v>
      </c>
      <c r="N4905">
        <f t="shared" si="564"/>
        <v>2025</v>
      </c>
      <c r="O4905" s="2"/>
      <c r="P4905" t="str">
        <f t="shared" si="561"/>
        <v>202645830</v>
      </c>
    </row>
    <row r="4906" spans="1:16" x14ac:dyDescent="0.3">
      <c r="A4906">
        <v>2026</v>
      </c>
      <c r="B4906">
        <v>21</v>
      </c>
      <c r="C4906" t="s">
        <v>26</v>
      </c>
      <c r="D4906" t="s">
        <v>22</v>
      </c>
      <c r="E4906" t="s">
        <v>17</v>
      </c>
      <c r="F4906" t="s">
        <v>21</v>
      </c>
      <c r="G4906" t="s">
        <v>44</v>
      </c>
      <c r="H4906" t="s">
        <v>25</v>
      </c>
      <c r="I4906" s="1">
        <v>1</v>
      </c>
      <c r="J4906" s="2">
        <v>45850</v>
      </c>
      <c r="K4906" s="2">
        <v>45839</v>
      </c>
      <c r="L4906" s="1" t="str">
        <f t="shared" si="562"/>
        <v>sáb</v>
      </c>
      <c r="M4906" s="1" t="str">
        <f t="shared" si="563"/>
        <v>jul</v>
      </c>
      <c r="N4906">
        <f t="shared" si="564"/>
        <v>2025</v>
      </c>
      <c r="O4906" s="2"/>
      <c r="P4906" t="str">
        <f t="shared" si="561"/>
        <v>202645850</v>
      </c>
    </row>
    <row r="4907" spans="1:16" x14ac:dyDescent="0.3">
      <c r="A4907">
        <v>2026</v>
      </c>
      <c r="B4907">
        <v>21</v>
      </c>
      <c r="C4907" t="s">
        <v>26</v>
      </c>
      <c r="D4907" t="s">
        <v>22</v>
      </c>
      <c r="E4907" t="s">
        <v>17</v>
      </c>
      <c r="F4907" t="s">
        <v>21</v>
      </c>
      <c r="G4907" t="s">
        <v>44</v>
      </c>
      <c r="H4907" t="s">
        <v>25</v>
      </c>
      <c r="I4907" s="1">
        <v>1</v>
      </c>
      <c r="J4907" s="2">
        <v>46011</v>
      </c>
      <c r="K4907" s="2">
        <v>45992</v>
      </c>
      <c r="L4907" s="1" t="str">
        <f t="shared" si="562"/>
        <v>sáb</v>
      </c>
      <c r="M4907" s="1" t="str">
        <f t="shared" si="563"/>
        <v>dez</v>
      </c>
      <c r="N4907">
        <f t="shared" si="564"/>
        <v>2025</v>
      </c>
      <c r="O4907" s="2"/>
      <c r="P4907" t="str">
        <f t="shared" si="561"/>
        <v>202646011</v>
      </c>
    </row>
    <row r="4908" spans="1:16" x14ac:dyDescent="0.3">
      <c r="A4908">
        <v>2026</v>
      </c>
      <c r="B4908">
        <v>21</v>
      </c>
      <c r="C4908" t="s">
        <v>26</v>
      </c>
      <c r="D4908" t="s">
        <v>22</v>
      </c>
      <c r="E4908" t="s">
        <v>17</v>
      </c>
      <c r="F4908" t="s">
        <v>21</v>
      </c>
      <c r="G4908" t="s">
        <v>44</v>
      </c>
      <c r="H4908" t="s">
        <v>25</v>
      </c>
      <c r="I4908" s="1">
        <v>1</v>
      </c>
      <c r="J4908" s="2">
        <v>46176</v>
      </c>
      <c r="K4908" s="2">
        <v>46023</v>
      </c>
      <c r="L4908" s="1" t="str">
        <f t="shared" si="562"/>
        <v>qua</v>
      </c>
      <c r="M4908" s="1" t="str">
        <f t="shared" si="563"/>
        <v>jun</v>
      </c>
      <c r="N4908">
        <f t="shared" si="564"/>
        <v>2026</v>
      </c>
      <c r="O4908" s="2"/>
      <c r="P4908" t="str">
        <f t="shared" si="561"/>
        <v>202646176</v>
      </c>
    </row>
    <row r="4909" spans="1:16" x14ac:dyDescent="0.3">
      <c r="A4909">
        <v>2026</v>
      </c>
      <c r="B4909">
        <v>21</v>
      </c>
      <c r="C4909" t="s">
        <v>26</v>
      </c>
      <c r="D4909" t="s">
        <v>22</v>
      </c>
      <c r="E4909" t="s">
        <v>17</v>
      </c>
      <c r="F4909" t="s">
        <v>21</v>
      </c>
      <c r="G4909" t="s">
        <v>44</v>
      </c>
      <c r="H4909" t="s">
        <v>25</v>
      </c>
      <c r="I4909" s="1">
        <v>1</v>
      </c>
      <c r="J4909" s="2">
        <v>46156</v>
      </c>
      <c r="K4909" s="2">
        <v>46143</v>
      </c>
      <c r="L4909" s="1" t="s">
        <v>51</v>
      </c>
      <c r="M4909" s="1" t="s">
        <v>49</v>
      </c>
      <c r="N4909">
        <v>2025</v>
      </c>
      <c r="O4909" s="2"/>
      <c r="P4909" t="str">
        <f t="shared" si="561"/>
        <v>202646156</v>
      </c>
    </row>
    <row r="4910" spans="1:16" x14ac:dyDescent="0.3">
      <c r="A4910">
        <v>2027</v>
      </c>
      <c r="B4910">
        <v>50</v>
      </c>
      <c r="C4910" t="s">
        <v>15</v>
      </c>
      <c r="D4910" t="s">
        <v>22</v>
      </c>
      <c r="E4910" t="s">
        <v>17</v>
      </c>
      <c r="F4910" t="s">
        <v>23</v>
      </c>
      <c r="G4910" t="s">
        <v>44</v>
      </c>
      <c r="H4910" t="s">
        <v>25</v>
      </c>
      <c r="I4910" s="1">
        <v>1</v>
      </c>
      <c r="J4910" s="2">
        <v>45773</v>
      </c>
      <c r="K4910" s="2">
        <v>45748</v>
      </c>
      <c r="L4910" s="1" t="str">
        <f t="shared" ref="L4910:L4915" si="565">TEXT(J4910,"ddd")</f>
        <v>sáb</v>
      </c>
      <c r="M4910" s="1" t="str">
        <f t="shared" ref="M4910:M4915" si="566">TEXT($J4910,"mmm")</f>
        <v>abr</v>
      </c>
      <c r="N4910">
        <f t="shared" ref="N4910:N4915" si="567">YEAR(J4910)</f>
        <v>2025</v>
      </c>
      <c r="O4910" s="2"/>
      <c r="P4910" t="str">
        <f t="shared" si="561"/>
        <v>202745773</v>
      </c>
    </row>
    <row r="4911" spans="1:16" x14ac:dyDescent="0.3">
      <c r="A4911">
        <v>2027</v>
      </c>
      <c r="B4911">
        <v>50</v>
      </c>
      <c r="C4911" t="s">
        <v>15</v>
      </c>
      <c r="D4911" t="s">
        <v>22</v>
      </c>
      <c r="E4911" t="s">
        <v>17</v>
      </c>
      <c r="F4911" t="s">
        <v>23</v>
      </c>
      <c r="G4911" t="s">
        <v>44</v>
      </c>
      <c r="H4911" t="s">
        <v>25</v>
      </c>
      <c r="I4911" s="1">
        <v>1</v>
      </c>
      <c r="J4911" s="2">
        <v>45893</v>
      </c>
      <c r="K4911" s="2">
        <v>45870</v>
      </c>
      <c r="L4911" s="1" t="str">
        <f t="shared" si="565"/>
        <v>dom</v>
      </c>
      <c r="M4911" s="1" t="str">
        <f t="shared" si="566"/>
        <v>ago</v>
      </c>
      <c r="N4911">
        <f t="shared" si="567"/>
        <v>2025</v>
      </c>
      <c r="O4911" s="2"/>
      <c r="P4911" t="str">
        <f t="shared" si="561"/>
        <v>202745893</v>
      </c>
    </row>
    <row r="4912" spans="1:16" x14ac:dyDescent="0.3">
      <c r="A4912">
        <v>2027</v>
      </c>
      <c r="B4912">
        <v>50</v>
      </c>
      <c r="C4912" t="s">
        <v>15</v>
      </c>
      <c r="D4912" t="s">
        <v>22</v>
      </c>
      <c r="E4912" t="s">
        <v>17</v>
      </c>
      <c r="F4912" t="s">
        <v>23</v>
      </c>
      <c r="G4912" t="s">
        <v>44</v>
      </c>
      <c r="H4912" t="s">
        <v>25</v>
      </c>
      <c r="I4912" s="1">
        <v>1</v>
      </c>
      <c r="J4912" s="2">
        <v>45897</v>
      </c>
      <c r="K4912" s="2">
        <v>45870</v>
      </c>
      <c r="L4912" s="1" t="str">
        <f t="shared" si="565"/>
        <v>qui</v>
      </c>
      <c r="M4912" s="1" t="str">
        <f t="shared" si="566"/>
        <v>ago</v>
      </c>
      <c r="N4912">
        <f t="shared" si="567"/>
        <v>2025</v>
      </c>
      <c r="O4912" s="2"/>
      <c r="P4912" t="str">
        <f t="shared" si="561"/>
        <v>202745897</v>
      </c>
    </row>
    <row r="4913" spans="1:16" x14ac:dyDescent="0.3">
      <c r="A4913">
        <v>2027</v>
      </c>
      <c r="B4913">
        <v>50</v>
      </c>
      <c r="C4913" t="s">
        <v>15</v>
      </c>
      <c r="D4913" t="s">
        <v>22</v>
      </c>
      <c r="E4913" t="s">
        <v>17</v>
      </c>
      <c r="F4913" t="s">
        <v>23</v>
      </c>
      <c r="G4913" t="s">
        <v>44</v>
      </c>
      <c r="H4913" t="s">
        <v>25</v>
      </c>
      <c r="I4913" s="1">
        <v>1</v>
      </c>
      <c r="J4913" s="2">
        <v>45935</v>
      </c>
      <c r="K4913" s="2">
        <v>45931</v>
      </c>
      <c r="L4913" s="1" t="str">
        <f t="shared" si="565"/>
        <v>dom</v>
      </c>
      <c r="M4913" s="1" t="str">
        <f t="shared" si="566"/>
        <v>out</v>
      </c>
      <c r="N4913">
        <f t="shared" si="567"/>
        <v>2025</v>
      </c>
      <c r="O4913" s="2"/>
      <c r="P4913" t="str">
        <f t="shared" si="561"/>
        <v>202745935</v>
      </c>
    </row>
    <row r="4914" spans="1:16" x14ac:dyDescent="0.3">
      <c r="A4914">
        <v>2027</v>
      </c>
      <c r="B4914">
        <v>50</v>
      </c>
      <c r="C4914" t="s">
        <v>15</v>
      </c>
      <c r="D4914" t="s">
        <v>22</v>
      </c>
      <c r="E4914" t="s">
        <v>17</v>
      </c>
      <c r="F4914" t="s">
        <v>23</v>
      </c>
      <c r="G4914" t="s">
        <v>44</v>
      </c>
      <c r="H4914" t="s">
        <v>25</v>
      </c>
      <c r="I4914" s="1">
        <v>1</v>
      </c>
      <c r="J4914" s="2">
        <v>45979</v>
      </c>
      <c r="K4914" s="2">
        <v>45962</v>
      </c>
      <c r="L4914" s="1" t="str">
        <f t="shared" si="565"/>
        <v>ter</v>
      </c>
      <c r="M4914" s="1" t="str">
        <f t="shared" si="566"/>
        <v>nov</v>
      </c>
      <c r="N4914">
        <f t="shared" si="567"/>
        <v>2025</v>
      </c>
      <c r="O4914" s="2"/>
      <c r="P4914" t="str">
        <f t="shared" si="561"/>
        <v>202745979</v>
      </c>
    </row>
    <row r="4915" spans="1:16" x14ac:dyDescent="0.3">
      <c r="A4915">
        <v>2027</v>
      </c>
      <c r="B4915">
        <v>50</v>
      </c>
      <c r="C4915" t="s">
        <v>15</v>
      </c>
      <c r="D4915" t="s">
        <v>22</v>
      </c>
      <c r="E4915" t="s">
        <v>17</v>
      </c>
      <c r="F4915" t="s">
        <v>23</v>
      </c>
      <c r="G4915" t="s">
        <v>44</v>
      </c>
      <c r="H4915" t="s">
        <v>25</v>
      </c>
      <c r="I4915" s="1">
        <v>1</v>
      </c>
      <c r="J4915" s="2">
        <v>46177</v>
      </c>
      <c r="K4915" s="2">
        <v>46023</v>
      </c>
      <c r="L4915" s="1" t="str">
        <f t="shared" si="565"/>
        <v>qui</v>
      </c>
      <c r="M4915" s="1" t="str">
        <f t="shared" si="566"/>
        <v>jun</v>
      </c>
      <c r="N4915">
        <f t="shared" si="567"/>
        <v>2026</v>
      </c>
      <c r="O4915" s="2"/>
      <c r="P4915" t="str">
        <f t="shared" si="561"/>
        <v>202746177</v>
      </c>
    </row>
    <row r="4916" spans="1:16" x14ac:dyDescent="0.3">
      <c r="A4916">
        <v>2027</v>
      </c>
      <c r="B4916">
        <v>50</v>
      </c>
      <c r="C4916" t="s">
        <v>15</v>
      </c>
      <c r="D4916" t="s">
        <v>22</v>
      </c>
      <c r="E4916" t="s">
        <v>17</v>
      </c>
      <c r="F4916" t="s">
        <v>23</v>
      </c>
      <c r="G4916" t="s">
        <v>44</v>
      </c>
      <c r="H4916" t="s">
        <v>25</v>
      </c>
      <c r="I4916" s="1">
        <v>1</v>
      </c>
      <c r="J4916" s="2">
        <v>46138</v>
      </c>
      <c r="K4916" s="2">
        <v>46113</v>
      </c>
      <c r="L4916" s="1" t="s">
        <v>54</v>
      </c>
      <c r="M4916" s="1" t="s">
        <v>48</v>
      </c>
      <c r="N4916">
        <v>2025</v>
      </c>
      <c r="O4916" s="2"/>
      <c r="P4916" t="str">
        <f t="shared" si="561"/>
        <v>202746138</v>
      </c>
    </row>
    <row r="4917" spans="1:16" x14ac:dyDescent="0.3">
      <c r="A4917">
        <v>2028</v>
      </c>
      <c r="B4917">
        <v>41</v>
      </c>
      <c r="C4917" t="s">
        <v>15</v>
      </c>
      <c r="D4917" t="s">
        <v>29</v>
      </c>
      <c r="E4917" t="s">
        <v>17</v>
      </c>
      <c r="F4917" t="s">
        <v>23</v>
      </c>
      <c r="G4917" t="s">
        <v>41</v>
      </c>
      <c r="H4917" t="s">
        <v>25</v>
      </c>
      <c r="I4917" s="1">
        <v>3</v>
      </c>
      <c r="J4917" s="2">
        <v>45858</v>
      </c>
      <c r="K4917" s="2">
        <v>45839</v>
      </c>
      <c r="L4917" s="1" t="str">
        <f t="shared" ref="L4917:L4953" si="568">TEXT(J4917,"ddd")</f>
        <v>dom</v>
      </c>
      <c r="M4917" s="1" t="str">
        <f t="shared" ref="M4917:M4953" si="569">TEXT($J4917,"mmm")</f>
        <v>jul</v>
      </c>
      <c r="N4917">
        <f t="shared" ref="N4917:N4953" si="570">YEAR(J4917)</f>
        <v>2025</v>
      </c>
      <c r="O4917" s="2"/>
      <c r="P4917" t="str">
        <f t="shared" si="561"/>
        <v>202845858</v>
      </c>
    </row>
    <row r="4918" spans="1:16" x14ac:dyDescent="0.3">
      <c r="A4918">
        <v>2028</v>
      </c>
      <c r="B4918">
        <v>41</v>
      </c>
      <c r="C4918" t="s">
        <v>15</v>
      </c>
      <c r="D4918" t="s">
        <v>29</v>
      </c>
      <c r="E4918" t="s">
        <v>17</v>
      </c>
      <c r="F4918" t="s">
        <v>23</v>
      </c>
      <c r="G4918" t="s">
        <v>44</v>
      </c>
      <c r="H4918" t="s">
        <v>25</v>
      </c>
      <c r="I4918" s="1">
        <v>3</v>
      </c>
      <c r="J4918" s="2">
        <v>45890</v>
      </c>
      <c r="K4918" s="2">
        <v>45870</v>
      </c>
      <c r="L4918" s="1" t="str">
        <f t="shared" si="568"/>
        <v>qui</v>
      </c>
      <c r="M4918" s="1" t="str">
        <f t="shared" si="569"/>
        <v>ago</v>
      </c>
      <c r="N4918">
        <f t="shared" si="570"/>
        <v>2025</v>
      </c>
      <c r="O4918" s="2"/>
      <c r="P4918" t="str">
        <f t="shared" si="561"/>
        <v>202845890</v>
      </c>
    </row>
    <row r="4919" spans="1:16" x14ac:dyDescent="0.3">
      <c r="A4919">
        <v>2028</v>
      </c>
      <c r="B4919">
        <v>41</v>
      </c>
      <c r="C4919" t="s">
        <v>15</v>
      </c>
      <c r="D4919" t="s">
        <v>29</v>
      </c>
      <c r="E4919" t="s">
        <v>17</v>
      </c>
      <c r="F4919" t="s">
        <v>23</v>
      </c>
      <c r="G4919" t="s">
        <v>41</v>
      </c>
      <c r="H4919" t="s">
        <v>25</v>
      </c>
      <c r="I4919" s="1">
        <v>3</v>
      </c>
      <c r="J4919" s="2">
        <v>46013</v>
      </c>
      <c r="K4919" s="2">
        <v>45992</v>
      </c>
      <c r="L4919" s="1" t="str">
        <f t="shared" si="568"/>
        <v>seg</v>
      </c>
      <c r="M4919" s="1" t="str">
        <f t="shared" si="569"/>
        <v>dez</v>
      </c>
      <c r="N4919">
        <f t="shared" si="570"/>
        <v>2025</v>
      </c>
      <c r="O4919" s="2"/>
      <c r="P4919" t="str">
        <f t="shared" si="561"/>
        <v>202846013</v>
      </c>
    </row>
    <row r="4920" spans="1:16" x14ac:dyDescent="0.3">
      <c r="A4920">
        <v>2028</v>
      </c>
      <c r="B4920">
        <v>41</v>
      </c>
      <c r="C4920" t="s">
        <v>15</v>
      </c>
      <c r="D4920" t="s">
        <v>29</v>
      </c>
      <c r="E4920" t="s">
        <v>17</v>
      </c>
      <c r="F4920" t="s">
        <v>23</v>
      </c>
      <c r="G4920" t="s">
        <v>41</v>
      </c>
      <c r="H4920" t="s">
        <v>25</v>
      </c>
      <c r="I4920" s="1">
        <v>3</v>
      </c>
      <c r="J4920" s="2">
        <v>46199</v>
      </c>
      <c r="K4920" s="2">
        <v>46023</v>
      </c>
      <c r="L4920" s="1" t="str">
        <f t="shared" si="568"/>
        <v>sex</v>
      </c>
      <c r="M4920" s="1" t="str">
        <f t="shared" si="569"/>
        <v>jun</v>
      </c>
      <c r="N4920">
        <f t="shared" si="570"/>
        <v>2026</v>
      </c>
      <c r="O4920" s="2"/>
      <c r="P4920" t="str">
        <f t="shared" si="561"/>
        <v>202846199</v>
      </c>
    </row>
    <row r="4921" spans="1:16" x14ac:dyDescent="0.3">
      <c r="A4921">
        <v>2028</v>
      </c>
      <c r="B4921">
        <v>41</v>
      </c>
      <c r="C4921" t="s">
        <v>15</v>
      </c>
      <c r="D4921" t="s">
        <v>29</v>
      </c>
      <c r="E4921" t="s">
        <v>17</v>
      </c>
      <c r="F4921" t="s">
        <v>23</v>
      </c>
      <c r="G4921" t="s">
        <v>44</v>
      </c>
      <c r="H4921" t="s">
        <v>25</v>
      </c>
      <c r="I4921" s="1">
        <v>3</v>
      </c>
      <c r="J4921" s="2">
        <v>46106</v>
      </c>
      <c r="K4921" s="2">
        <v>46082</v>
      </c>
      <c r="L4921" s="1" t="str">
        <f t="shared" si="568"/>
        <v>qua</v>
      </c>
      <c r="M4921" s="1" t="str">
        <f t="shared" si="569"/>
        <v>mar</v>
      </c>
      <c r="N4921">
        <f t="shared" si="570"/>
        <v>2026</v>
      </c>
      <c r="O4921" s="2"/>
      <c r="P4921" t="str">
        <f t="shared" si="561"/>
        <v>202846106</v>
      </c>
    </row>
    <row r="4922" spans="1:16" x14ac:dyDescent="0.3">
      <c r="A4922">
        <v>2028</v>
      </c>
      <c r="B4922">
        <v>41</v>
      </c>
      <c r="C4922" t="s">
        <v>15</v>
      </c>
      <c r="D4922" t="s">
        <v>29</v>
      </c>
      <c r="E4922" t="s">
        <v>17</v>
      </c>
      <c r="F4922" t="s">
        <v>23</v>
      </c>
      <c r="G4922" t="s">
        <v>44</v>
      </c>
      <c r="H4922" t="s">
        <v>25</v>
      </c>
      <c r="I4922" s="1">
        <v>3</v>
      </c>
      <c r="J4922" s="2">
        <v>46120</v>
      </c>
      <c r="K4922" s="2">
        <v>46113</v>
      </c>
      <c r="L4922" s="1" t="str">
        <f t="shared" si="568"/>
        <v>qua</v>
      </c>
      <c r="M4922" s="1" t="str">
        <f t="shared" si="569"/>
        <v>abr</v>
      </c>
      <c r="N4922">
        <f t="shared" si="570"/>
        <v>2026</v>
      </c>
      <c r="O4922" s="2"/>
      <c r="P4922" t="str">
        <f t="shared" si="561"/>
        <v>202846120</v>
      </c>
    </row>
    <row r="4923" spans="1:16" x14ac:dyDescent="0.3">
      <c r="A4923">
        <v>2029</v>
      </c>
      <c r="B4923">
        <v>36</v>
      </c>
      <c r="C4923" t="s">
        <v>26</v>
      </c>
      <c r="D4923" t="s">
        <v>27</v>
      </c>
      <c r="E4923" t="s">
        <v>17</v>
      </c>
      <c r="F4923" t="s">
        <v>23</v>
      </c>
      <c r="G4923" t="s">
        <v>41</v>
      </c>
      <c r="H4923" t="s">
        <v>25</v>
      </c>
      <c r="I4923" s="1">
        <v>2</v>
      </c>
      <c r="J4923" s="2">
        <v>45861</v>
      </c>
      <c r="K4923" s="2">
        <v>45839</v>
      </c>
      <c r="L4923" s="1" t="str">
        <f t="shared" si="568"/>
        <v>qua</v>
      </c>
      <c r="M4923" s="1" t="str">
        <f t="shared" si="569"/>
        <v>jul</v>
      </c>
      <c r="N4923">
        <f t="shared" si="570"/>
        <v>2025</v>
      </c>
      <c r="O4923" s="2"/>
      <c r="P4923" t="str">
        <f t="shared" si="561"/>
        <v>202945861</v>
      </c>
    </row>
    <row r="4924" spans="1:16" x14ac:dyDescent="0.3">
      <c r="A4924">
        <v>2029</v>
      </c>
      <c r="B4924">
        <v>36</v>
      </c>
      <c r="C4924" t="s">
        <v>26</v>
      </c>
      <c r="D4924" t="s">
        <v>27</v>
      </c>
      <c r="E4924" t="s">
        <v>17</v>
      </c>
      <c r="F4924" t="s">
        <v>23</v>
      </c>
      <c r="G4924" t="s">
        <v>41</v>
      </c>
      <c r="H4924" t="s">
        <v>25</v>
      </c>
      <c r="I4924" s="1">
        <v>2</v>
      </c>
      <c r="J4924" s="2">
        <v>45886</v>
      </c>
      <c r="K4924" s="2">
        <v>45870</v>
      </c>
      <c r="L4924" s="1" t="str">
        <f t="shared" si="568"/>
        <v>dom</v>
      </c>
      <c r="M4924" s="1" t="str">
        <f t="shared" si="569"/>
        <v>ago</v>
      </c>
      <c r="N4924">
        <f t="shared" si="570"/>
        <v>2025</v>
      </c>
      <c r="O4924" s="2"/>
      <c r="P4924" t="str">
        <f t="shared" si="561"/>
        <v>202945886</v>
      </c>
    </row>
    <row r="4925" spans="1:16" x14ac:dyDescent="0.3">
      <c r="A4925">
        <v>2029</v>
      </c>
      <c r="B4925">
        <v>36</v>
      </c>
      <c r="C4925" t="s">
        <v>26</v>
      </c>
      <c r="D4925" t="s">
        <v>27</v>
      </c>
      <c r="E4925" t="s">
        <v>17</v>
      </c>
      <c r="F4925" t="s">
        <v>23</v>
      </c>
      <c r="G4925" t="s">
        <v>41</v>
      </c>
      <c r="H4925" t="s">
        <v>25</v>
      </c>
      <c r="I4925" s="1">
        <v>2</v>
      </c>
      <c r="J4925" s="2">
        <v>46183</v>
      </c>
      <c r="K4925" s="2">
        <v>46023</v>
      </c>
      <c r="L4925" s="1" t="str">
        <f t="shared" si="568"/>
        <v>qua</v>
      </c>
      <c r="M4925" s="1" t="str">
        <f t="shared" si="569"/>
        <v>jun</v>
      </c>
      <c r="N4925">
        <f t="shared" si="570"/>
        <v>2026</v>
      </c>
      <c r="O4925" s="2"/>
      <c r="P4925" t="str">
        <f t="shared" ref="P4925:P4987" si="571">CONCATENATE(A4925,J4925)</f>
        <v>202946183</v>
      </c>
    </row>
    <row r="4926" spans="1:16" x14ac:dyDescent="0.3">
      <c r="A4926">
        <v>2029</v>
      </c>
      <c r="B4926">
        <v>36</v>
      </c>
      <c r="C4926" t="s">
        <v>26</v>
      </c>
      <c r="D4926" t="s">
        <v>27</v>
      </c>
      <c r="E4926" t="s">
        <v>17</v>
      </c>
      <c r="F4926" t="s">
        <v>23</v>
      </c>
      <c r="G4926" t="s">
        <v>41</v>
      </c>
      <c r="H4926" t="s">
        <v>25</v>
      </c>
      <c r="I4926" s="1">
        <v>2</v>
      </c>
      <c r="J4926" s="2">
        <v>46077</v>
      </c>
      <c r="K4926" s="2">
        <v>46054</v>
      </c>
      <c r="L4926" s="1" t="str">
        <f t="shared" si="568"/>
        <v>ter</v>
      </c>
      <c r="M4926" s="1" t="str">
        <f t="shared" si="569"/>
        <v>fev</v>
      </c>
      <c r="N4926">
        <f t="shared" si="570"/>
        <v>2026</v>
      </c>
      <c r="O4926" s="2"/>
      <c r="P4926" t="str">
        <f t="shared" si="571"/>
        <v>202946077</v>
      </c>
    </row>
    <row r="4927" spans="1:16" x14ac:dyDescent="0.3">
      <c r="A4927">
        <v>2029</v>
      </c>
      <c r="B4927">
        <v>36</v>
      </c>
      <c r="C4927" t="s">
        <v>26</v>
      </c>
      <c r="D4927" t="s">
        <v>27</v>
      </c>
      <c r="E4927" t="s">
        <v>17</v>
      </c>
      <c r="F4927" t="s">
        <v>23</v>
      </c>
      <c r="G4927" t="s">
        <v>41</v>
      </c>
      <c r="H4927" t="s">
        <v>25</v>
      </c>
      <c r="I4927" s="1">
        <v>2</v>
      </c>
      <c r="J4927" s="2">
        <v>46091</v>
      </c>
      <c r="K4927" s="2">
        <v>46082</v>
      </c>
      <c r="L4927" s="1" t="str">
        <f t="shared" si="568"/>
        <v>ter</v>
      </c>
      <c r="M4927" s="1" t="str">
        <f t="shared" si="569"/>
        <v>mar</v>
      </c>
      <c r="N4927">
        <f t="shared" si="570"/>
        <v>2026</v>
      </c>
      <c r="O4927" s="2"/>
      <c r="P4927" t="str">
        <f t="shared" si="571"/>
        <v>202946091</v>
      </c>
    </row>
    <row r="4928" spans="1:16" x14ac:dyDescent="0.3">
      <c r="A4928">
        <v>2030</v>
      </c>
      <c r="B4928">
        <v>27</v>
      </c>
      <c r="C4928" t="s">
        <v>26</v>
      </c>
      <c r="D4928" t="s">
        <v>16</v>
      </c>
      <c r="E4928" t="s">
        <v>17</v>
      </c>
      <c r="F4928" t="s">
        <v>18</v>
      </c>
      <c r="G4928" t="s">
        <v>41</v>
      </c>
      <c r="H4928" t="s">
        <v>25</v>
      </c>
      <c r="I4928" s="1">
        <v>1</v>
      </c>
      <c r="J4928" s="2">
        <v>45828</v>
      </c>
      <c r="K4928" s="2">
        <v>45809</v>
      </c>
      <c r="L4928" s="1" t="str">
        <f t="shared" si="568"/>
        <v>sex</v>
      </c>
      <c r="M4928" s="1" t="str">
        <f t="shared" si="569"/>
        <v>jun</v>
      </c>
      <c r="N4928">
        <f t="shared" si="570"/>
        <v>2025</v>
      </c>
      <c r="O4928" s="2"/>
      <c r="P4928" t="str">
        <f t="shared" si="571"/>
        <v>203045828</v>
      </c>
    </row>
    <row r="4929" spans="1:16" x14ac:dyDescent="0.3">
      <c r="A4929">
        <v>2030</v>
      </c>
      <c r="B4929">
        <v>27</v>
      </c>
      <c r="C4929" t="s">
        <v>26</v>
      </c>
      <c r="D4929" t="s">
        <v>16</v>
      </c>
      <c r="E4929" t="s">
        <v>17</v>
      </c>
      <c r="F4929" t="s">
        <v>18</v>
      </c>
      <c r="G4929" t="s">
        <v>41</v>
      </c>
      <c r="H4929" t="s">
        <v>25</v>
      </c>
      <c r="I4929" s="1">
        <v>1</v>
      </c>
      <c r="J4929" s="2">
        <v>45853</v>
      </c>
      <c r="K4929" s="2">
        <v>45839</v>
      </c>
      <c r="L4929" s="1" t="str">
        <f t="shared" si="568"/>
        <v>ter</v>
      </c>
      <c r="M4929" s="1" t="str">
        <f t="shared" si="569"/>
        <v>jul</v>
      </c>
      <c r="N4929">
        <f t="shared" si="570"/>
        <v>2025</v>
      </c>
      <c r="O4929" s="2"/>
      <c r="P4929" t="str">
        <f t="shared" si="571"/>
        <v>203045853</v>
      </c>
    </row>
    <row r="4930" spans="1:16" x14ac:dyDescent="0.3">
      <c r="A4930">
        <v>2030</v>
      </c>
      <c r="B4930">
        <v>27</v>
      </c>
      <c r="C4930" t="s">
        <v>26</v>
      </c>
      <c r="D4930" t="s">
        <v>16</v>
      </c>
      <c r="E4930" t="s">
        <v>17</v>
      </c>
      <c r="F4930" t="s">
        <v>18</v>
      </c>
      <c r="G4930" t="s">
        <v>41</v>
      </c>
      <c r="H4930" t="s">
        <v>25</v>
      </c>
      <c r="I4930" s="1">
        <v>1</v>
      </c>
      <c r="J4930" s="2">
        <v>45972</v>
      </c>
      <c r="K4930" s="2">
        <v>45962</v>
      </c>
      <c r="L4930" s="1" t="str">
        <f t="shared" si="568"/>
        <v>ter</v>
      </c>
      <c r="M4930" s="1" t="str">
        <f t="shared" si="569"/>
        <v>nov</v>
      </c>
      <c r="N4930">
        <f t="shared" si="570"/>
        <v>2025</v>
      </c>
      <c r="O4930" s="2"/>
      <c r="P4930" t="str">
        <f t="shared" si="571"/>
        <v>203045972</v>
      </c>
    </row>
    <row r="4931" spans="1:16" x14ac:dyDescent="0.3">
      <c r="A4931">
        <v>2030</v>
      </c>
      <c r="B4931">
        <v>27</v>
      </c>
      <c r="C4931" t="s">
        <v>26</v>
      </c>
      <c r="D4931" t="s">
        <v>16</v>
      </c>
      <c r="E4931" t="s">
        <v>17</v>
      </c>
      <c r="F4931" t="s">
        <v>18</v>
      </c>
      <c r="G4931" t="s">
        <v>41</v>
      </c>
      <c r="H4931" t="s">
        <v>25</v>
      </c>
      <c r="I4931" s="1">
        <v>1</v>
      </c>
      <c r="J4931" s="2">
        <v>46183</v>
      </c>
      <c r="K4931" s="2">
        <v>46023</v>
      </c>
      <c r="L4931" s="1" t="str">
        <f t="shared" si="568"/>
        <v>qua</v>
      </c>
      <c r="M4931" s="1" t="str">
        <f t="shared" si="569"/>
        <v>jun</v>
      </c>
      <c r="N4931">
        <f t="shared" si="570"/>
        <v>2026</v>
      </c>
      <c r="O4931" s="2"/>
      <c r="P4931" t="str">
        <f t="shared" si="571"/>
        <v>203046183</v>
      </c>
    </row>
    <row r="4932" spans="1:16" x14ac:dyDescent="0.3">
      <c r="A4932">
        <v>2030</v>
      </c>
      <c r="B4932">
        <v>27</v>
      </c>
      <c r="C4932" t="s">
        <v>26</v>
      </c>
      <c r="D4932" t="s">
        <v>16</v>
      </c>
      <c r="E4932" t="s">
        <v>17</v>
      </c>
      <c r="F4932" t="s">
        <v>18</v>
      </c>
      <c r="G4932" t="s">
        <v>41</v>
      </c>
      <c r="H4932" t="s">
        <v>25</v>
      </c>
      <c r="I4932" s="1">
        <v>1</v>
      </c>
      <c r="J4932" s="2">
        <v>46104</v>
      </c>
      <c r="K4932" s="2">
        <v>46082</v>
      </c>
      <c r="L4932" s="1" t="str">
        <f t="shared" si="568"/>
        <v>seg</v>
      </c>
      <c r="M4932" s="1" t="str">
        <f t="shared" si="569"/>
        <v>mar</v>
      </c>
      <c r="N4932">
        <f t="shared" si="570"/>
        <v>2026</v>
      </c>
      <c r="O4932" s="2"/>
      <c r="P4932" t="str">
        <f t="shared" si="571"/>
        <v>203046104</v>
      </c>
    </row>
    <row r="4933" spans="1:16" x14ac:dyDescent="0.3">
      <c r="A4933">
        <v>2032</v>
      </c>
      <c r="B4933">
        <v>23</v>
      </c>
      <c r="C4933" t="s">
        <v>26</v>
      </c>
      <c r="D4933" t="s">
        <v>16</v>
      </c>
      <c r="E4933" t="s">
        <v>17</v>
      </c>
      <c r="F4933" t="s">
        <v>21</v>
      </c>
      <c r="G4933" t="s">
        <v>41</v>
      </c>
      <c r="H4933" t="s">
        <v>25</v>
      </c>
      <c r="I4933" s="1">
        <v>2</v>
      </c>
      <c r="J4933" s="2">
        <v>45812</v>
      </c>
      <c r="K4933" s="2">
        <v>45809</v>
      </c>
      <c r="L4933" s="1" t="str">
        <f t="shared" si="568"/>
        <v>qua</v>
      </c>
      <c r="M4933" s="1" t="str">
        <f t="shared" si="569"/>
        <v>jun</v>
      </c>
      <c r="N4933">
        <f t="shared" si="570"/>
        <v>2025</v>
      </c>
      <c r="O4933" s="2"/>
      <c r="P4933" t="str">
        <f t="shared" si="571"/>
        <v>203245812</v>
      </c>
    </row>
    <row r="4934" spans="1:16" x14ac:dyDescent="0.3">
      <c r="A4934">
        <v>2032</v>
      </c>
      <c r="B4934">
        <v>23</v>
      </c>
      <c r="C4934" t="s">
        <v>26</v>
      </c>
      <c r="D4934" t="s">
        <v>16</v>
      </c>
      <c r="E4934" t="s">
        <v>17</v>
      </c>
      <c r="F4934" t="s">
        <v>21</v>
      </c>
      <c r="G4934" t="s">
        <v>41</v>
      </c>
      <c r="H4934" t="s">
        <v>25</v>
      </c>
      <c r="I4934" s="1">
        <v>2</v>
      </c>
      <c r="J4934" s="2">
        <v>45849</v>
      </c>
      <c r="K4934" s="2">
        <v>45839</v>
      </c>
      <c r="L4934" s="1" t="str">
        <f t="shared" si="568"/>
        <v>sex</v>
      </c>
      <c r="M4934" s="1" t="str">
        <f t="shared" si="569"/>
        <v>jul</v>
      </c>
      <c r="N4934">
        <f t="shared" si="570"/>
        <v>2025</v>
      </c>
      <c r="O4934" s="2"/>
      <c r="P4934" t="str">
        <f t="shared" si="571"/>
        <v>203245849</v>
      </c>
    </row>
    <row r="4935" spans="1:16" x14ac:dyDescent="0.3">
      <c r="A4935">
        <v>2032</v>
      </c>
      <c r="B4935">
        <v>23</v>
      </c>
      <c r="C4935" t="s">
        <v>26</v>
      </c>
      <c r="D4935" t="s">
        <v>16</v>
      </c>
      <c r="E4935" t="s">
        <v>17</v>
      </c>
      <c r="F4935" t="s">
        <v>21</v>
      </c>
      <c r="G4935" t="s">
        <v>41</v>
      </c>
      <c r="H4935" t="s">
        <v>25</v>
      </c>
      <c r="I4935" s="1">
        <v>2</v>
      </c>
      <c r="J4935" s="2">
        <v>45894</v>
      </c>
      <c r="K4935" s="2">
        <v>45870</v>
      </c>
      <c r="L4935" s="1" t="str">
        <f t="shared" si="568"/>
        <v>seg</v>
      </c>
      <c r="M4935" s="1" t="str">
        <f t="shared" si="569"/>
        <v>ago</v>
      </c>
      <c r="N4935">
        <f t="shared" si="570"/>
        <v>2025</v>
      </c>
      <c r="O4935" s="2"/>
      <c r="P4935" t="str">
        <f t="shared" si="571"/>
        <v>203245894</v>
      </c>
    </row>
    <row r="4936" spans="1:16" x14ac:dyDescent="0.3">
      <c r="A4936">
        <v>2032</v>
      </c>
      <c r="B4936">
        <v>23</v>
      </c>
      <c r="C4936" t="s">
        <v>26</v>
      </c>
      <c r="D4936" t="s">
        <v>16</v>
      </c>
      <c r="E4936" t="s">
        <v>17</v>
      </c>
      <c r="F4936" t="s">
        <v>21</v>
      </c>
      <c r="G4936" t="s">
        <v>41</v>
      </c>
      <c r="H4936" t="s">
        <v>25</v>
      </c>
      <c r="I4936" s="1">
        <v>2</v>
      </c>
      <c r="J4936" s="2">
        <v>45944</v>
      </c>
      <c r="K4936" s="2">
        <v>45931</v>
      </c>
      <c r="L4936" s="1" t="str">
        <f t="shared" si="568"/>
        <v>ter</v>
      </c>
      <c r="M4936" s="1" t="str">
        <f t="shared" si="569"/>
        <v>out</v>
      </c>
      <c r="N4936">
        <f t="shared" si="570"/>
        <v>2025</v>
      </c>
      <c r="O4936" s="2"/>
      <c r="P4936" t="str">
        <f t="shared" si="571"/>
        <v>203245944</v>
      </c>
    </row>
    <row r="4937" spans="1:16" x14ac:dyDescent="0.3">
      <c r="A4937">
        <v>2032</v>
      </c>
      <c r="B4937">
        <v>23</v>
      </c>
      <c r="C4937" t="s">
        <v>26</v>
      </c>
      <c r="D4937" t="s">
        <v>16</v>
      </c>
      <c r="E4937" t="s">
        <v>17</v>
      </c>
      <c r="F4937" t="s">
        <v>21</v>
      </c>
      <c r="G4937" t="s">
        <v>41</v>
      </c>
      <c r="H4937" t="s">
        <v>25</v>
      </c>
      <c r="I4937" s="1">
        <v>2</v>
      </c>
      <c r="J4937" s="2">
        <v>45982</v>
      </c>
      <c r="K4937" s="2">
        <v>45962</v>
      </c>
      <c r="L4937" s="1" t="str">
        <f t="shared" si="568"/>
        <v>sex</v>
      </c>
      <c r="M4937" s="1" t="str">
        <f t="shared" si="569"/>
        <v>nov</v>
      </c>
      <c r="N4937">
        <f t="shared" si="570"/>
        <v>2025</v>
      </c>
      <c r="O4937" s="2"/>
      <c r="P4937" t="str">
        <f t="shared" si="571"/>
        <v>203245982</v>
      </c>
    </row>
    <row r="4938" spans="1:16" x14ac:dyDescent="0.3">
      <c r="A4938">
        <v>2032</v>
      </c>
      <c r="B4938">
        <v>23</v>
      </c>
      <c r="C4938" t="s">
        <v>26</v>
      </c>
      <c r="D4938" t="s">
        <v>16</v>
      </c>
      <c r="E4938" t="s">
        <v>17</v>
      </c>
      <c r="F4938" t="s">
        <v>21</v>
      </c>
      <c r="G4938" t="s">
        <v>41</v>
      </c>
      <c r="H4938" t="s">
        <v>25</v>
      </c>
      <c r="I4938" s="1">
        <v>2</v>
      </c>
      <c r="J4938" s="2">
        <v>46080</v>
      </c>
      <c r="K4938" s="2">
        <v>46054</v>
      </c>
      <c r="L4938" s="1" t="str">
        <f t="shared" si="568"/>
        <v>sex</v>
      </c>
      <c r="M4938" s="1" t="str">
        <f t="shared" si="569"/>
        <v>fev</v>
      </c>
      <c r="N4938">
        <f t="shared" si="570"/>
        <v>2026</v>
      </c>
      <c r="O4938" s="2"/>
      <c r="P4938" t="str">
        <f t="shared" si="571"/>
        <v>203246080</v>
      </c>
    </row>
    <row r="4939" spans="1:16" x14ac:dyDescent="0.3">
      <c r="A4939">
        <v>2033</v>
      </c>
      <c r="B4939">
        <v>34</v>
      </c>
      <c r="C4939" t="s">
        <v>15</v>
      </c>
      <c r="D4939" t="s">
        <v>29</v>
      </c>
      <c r="E4939" t="s">
        <v>17</v>
      </c>
      <c r="F4939" t="s">
        <v>23</v>
      </c>
      <c r="G4939" t="s">
        <v>41</v>
      </c>
      <c r="H4939" t="s">
        <v>25</v>
      </c>
      <c r="I4939" s="1">
        <v>2</v>
      </c>
      <c r="J4939" s="2">
        <v>45839</v>
      </c>
      <c r="K4939" s="2">
        <v>45839</v>
      </c>
      <c r="L4939" s="1" t="str">
        <f t="shared" si="568"/>
        <v>ter</v>
      </c>
      <c r="M4939" s="1" t="str">
        <f t="shared" si="569"/>
        <v>jul</v>
      </c>
      <c r="N4939">
        <f t="shared" si="570"/>
        <v>2025</v>
      </c>
      <c r="O4939" s="2"/>
      <c r="P4939" t="str">
        <f t="shared" si="571"/>
        <v>203345839</v>
      </c>
    </row>
    <row r="4940" spans="1:16" x14ac:dyDescent="0.3">
      <c r="A4940">
        <v>2033</v>
      </c>
      <c r="B4940">
        <v>34</v>
      </c>
      <c r="C4940" t="s">
        <v>15</v>
      </c>
      <c r="D4940" t="s">
        <v>29</v>
      </c>
      <c r="E4940" t="s">
        <v>17</v>
      </c>
      <c r="F4940" t="s">
        <v>23</v>
      </c>
      <c r="G4940" t="s">
        <v>41</v>
      </c>
      <c r="H4940" t="s">
        <v>25</v>
      </c>
      <c r="I4940" s="1">
        <v>2</v>
      </c>
      <c r="J4940" s="2">
        <v>45847</v>
      </c>
      <c r="K4940" s="2">
        <v>45839</v>
      </c>
      <c r="L4940" s="1" t="str">
        <f t="shared" si="568"/>
        <v>qua</v>
      </c>
      <c r="M4940" s="1" t="str">
        <f t="shared" si="569"/>
        <v>jul</v>
      </c>
      <c r="N4940">
        <f t="shared" si="570"/>
        <v>2025</v>
      </c>
      <c r="O4940" s="2"/>
      <c r="P4940" t="str">
        <f t="shared" si="571"/>
        <v>203345847</v>
      </c>
    </row>
    <row r="4941" spans="1:16" x14ac:dyDescent="0.3">
      <c r="A4941">
        <v>2033</v>
      </c>
      <c r="B4941">
        <v>34</v>
      </c>
      <c r="C4941" t="s">
        <v>15</v>
      </c>
      <c r="D4941" t="s">
        <v>29</v>
      </c>
      <c r="E4941" t="s">
        <v>17</v>
      </c>
      <c r="F4941" t="s">
        <v>23</v>
      </c>
      <c r="G4941" t="s">
        <v>41</v>
      </c>
      <c r="H4941" t="s">
        <v>25</v>
      </c>
      <c r="I4941" s="1">
        <v>2</v>
      </c>
      <c r="J4941" s="2">
        <v>45950</v>
      </c>
      <c r="K4941" s="2">
        <v>45931</v>
      </c>
      <c r="L4941" s="1" t="str">
        <f t="shared" si="568"/>
        <v>seg</v>
      </c>
      <c r="M4941" s="1" t="str">
        <f t="shared" si="569"/>
        <v>out</v>
      </c>
      <c r="N4941">
        <f t="shared" si="570"/>
        <v>2025</v>
      </c>
      <c r="O4941" s="2"/>
      <c r="P4941" t="str">
        <f t="shared" si="571"/>
        <v>203345950</v>
      </c>
    </row>
    <row r="4942" spans="1:16" x14ac:dyDescent="0.3">
      <c r="A4942">
        <v>2033</v>
      </c>
      <c r="B4942">
        <v>34</v>
      </c>
      <c r="C4942" t="s">
        <v>15</v>
      </c>
      <c r="D4942" t="s">
        <v>29</v>
      </c>
      <c r="E4942" t="s">
        <v>17</v>
      </c>
      <c r="F4942" t="s">
        <v>23</v>
      </c>
      <c r="G4942" t="s">
        <v>41</v>
      </c>
      <c r="H4942" t="s">
        <v>25</v>
      </c>
      <c r="I4942" s="1">
        <v>2</v>
      </c>
      <c r="J4942" s="2">
        <v>45954</v>
      </c>
      <c r="K4942" s="2">
        <v>45931</v>
      </c>
      <c r="L4942" s="1" t="str">
        <f t="shared" si="568"/>
        <v>sex</v>
      </c>
      <c r="M4942" s="1" t="str">
        <f t="shared" si="569"/>
        <v>out</v>
      </c>
      <c r="N4942">
        <f t="shared" si="570"/>
        <v>2025</v>
      </c>
      <c r="O4942" s="2"/>
      <c r="P4942" t="str">
        <f t="shared" si="571"/>
        <v>203345954</v>
      </c>
    </row>
    <row r="4943" spans="1:16" x14ac:dyDescent="0.3">
      <c r="A4943">
        <v>2033</v>
      </c>
      <c r="B4943">
        <v>34</v>
      </c>
      <c r="C4943" t="s">
        <v>15</v>
      </c>
      <c r="D4943" t="s">
        <v>29</v>
      </c>
      <c r="E4943" t="s">
        <v>17</v>
      </c>
      <c r="F4943" t="s">
        <v>23</v>
      </c>
      <c r="G4943" t="s">
        <v>41</v>
      </c>
      <c r="H4943" t="s">
        <v>25</v>
      </c>
      <c r="I4943" s="1">
        <v>2</v>
      </c>
      <c r="J4943" s="2">
        <v>46070</v>
      </c>
      <c r="K4943" s="2">
        <v>46054</v>
      </c>
      <c r="L4943" s="1" t="str">
        <f t="shared" si="568"/>
        <v>ter</v>
      </c>
      <c r="M4943" s="1" t="str">
        <f t="shared" si="569"/>
        <v>fev</v>
      </c>
      <c r="N4943">
        <f t="shared" si="570"/>
        <v>2026</v>
      </c>
      <c r="O4943" s="2"/>
      <c r="P4943" t="str">
        <f t="shared" si="571"/>
        <v>203346070</v>
      </c>
    </row>
    <row r="4944" spans="1:16" x14ac:dyDescent="0.3">
      <c r="A4944">
        <v>2034</v>
      </c>
      <c r="B4944">
        <v>39</v>
      </c>
      <c r="C4944" t="s">
        <v>15</v>
      </c>
      <c r="D4944" t="s">
        <v>22</v>
      </c>
      <c r="E4944" t="s">
        <v>17</v>
      </c>
      <c r="F4944" t="s">
        <v>21</v>
      </c>
      <c r="G4944" t="s">
        <v>41</v>
      </c>
      <c r="H4944" t="s">
        <v>25</v>
      </c>
      <c r="I4944" s="1">
        <v>2</v>
      </c>
      <c r="J4944" s="2">
        <v>45863</v>
      </c>
      <c r="K4944" s="2">
        <v>45839</v>
      </c>
      <c r="L4944" s="1" t="str">
        <f t="shared" si="568"/>
        <v>sex</v>
      </c>
      <c r="M4944" s="1" t="str">
        <f t="shared" si="569"/>
        <v>jul</v>
      </c>
      <c r="N4944">
        <f t="shared" si="570"/>
        <v>2025</v>
      </c>
      <c r="O4944" s="2"/>
      <c r="P4944" t="str">
        <f t="shared" si="571"/>
        <v>203445863</v>
      </c>
    </row>
    <row r="4945" spans="1:16" x14ac:dyDescent="0.3">
      <c r="A4945">
        <v>2034</v>
      </c>
      <c r="B4945">
        <v>39</v>
      </c>
      <c r="C4945" t="s">
        <v>15</v>
      </c>
      <c r="D4945" t="s">
        <v>22</v>
      </c>
      <c r="E4945" t="s">
        <v>17</v>
      </c>
      <c r="F4945" t="s">
        <v>21</v>
      </c>
      <c r="G4945" t="s">
        <v>41</v>
      </c>
      <c r="H4945" t="s">
        <v>25</v>
      </c>
      <c r="I4945" s="1">
        <v>2</v>
      </c>
      <c r="J4945" s="2">
        <v>45925</v>
      </c>
      <c r="K4945" s="2">
        <v>45901</v>
      </c>
      <c r="L4945" s="1" t="str">
        <f t="shared" si="568"/>
        <v>qui</v>
      </c>
      <c r="M4945" s="1" t="str">
        <f t="shared" si="569"/>
        <v>set</v>
      </c>
      <c r="N4945">
        <f t="shared" si="570"/>
        <v>2025</v>
      </c>
      <c r="O4945" s="2"/>
      <c r="P4945" t="str">
        <f t="shared" si="571"/>
        <v>203445925</v>
      </c>
    </row>
    <row r="4946" spans="1:16" x14ac:dyDescent="0.3">
      <c r="A4946">
        <v>2034</v>
      </c>
      <c r="B4946">
        <v>39</v>
      </c>
      <c r="C4946" t="s">
        <v>15</v>
      </c>
      <c r="D4946" t="s">
        <v>22</v>
      </c>
      <c r="E4946" t="s">
        <v>17</v>
      </c>
      <c r="F4946" t="s">
        <v>21</v>
      </c>
      <c r="G4946" t="s">
        <v>41</v>
      </c>
      <c r="H4946" t="s">
        <v>25</v>
      </c>
      <c r="I4946" s="1">
        <v>2</v>
      </c>
      <c r="J4946" s="2">
        <v>45973</v>
      </c>
      <c r="K4946" s="2">
        <v>45962</v>
      </c>
      <c r="L4946" s="1" t="str">
        <f t="shared" si="568"/>
        <v>qua</v>
      </c>
      <c r="M4946" s="1" t="str">
        <f t="shared" si="569"/>
        <v>nov</v>
      </c>
      <c r="N4946">
        <f t="shared" si="570"/>
        <v>2025</v>
      </c>
      <c r="O4946" s="2"/>
      <c r="P4946" t="str">
        <f t="shared" si="571"/>
        <v>203445973</v>
      </c>
    </row>
    <row r="4947" spans="1:16" x14ac:dyDescent="0.3">
      <c r="A4947">
        <v>2034</v>
      </c>
      <c r="B4947">
        <v>39</v>
      </c>
      <c r="C4947" t="s">
        <v>15</v>
      </c>
      <c r="D4947" t="s">
        <v>22</v>
      </c>
      <c r="E4947" t="s">
        <v>17</v>
      </c>
      <c r="F4947" t="s">
        <v>21</v>
      </c>
      <c r="G4947" t="s">
        <v>41</v>
      </c>
      <c r="H4947" t="s">
        <v>25</v>
      </c>
      <c r="I4947" s="1">
        <v>2</v>
      </c>
      <c r="J4947" s="2">
        <v>45977</v>
      </c>
      <c r="K4947" s="2">
        <v>45962</v>
      </c>
      <c r="L4947" s="1" t="str">
        <f t="shared" si="568"/>
        <v>dom</v>
      </c>
      <c r="M4947" s="1" t="str">
        <f t="shared" si="569"/>
        <v>nov</v>
      </c>
      <c r="N4947">
        <f t="shared" si="570"/>
        <v>2025</v>
      </c>
      <c r="O4947" s="2"/>
      <c r="P4947" t="str">
        <f t="shared" si="571"/>
        <v>203445977</v>
      </c>
    </row>
    <row r="4948" spans="1:16" x14ac:dyDescent="0.3">
      <c r="A4948">
        <v>2034</v>
      </c>
      <c r="B4948">
        <v>39</v>
      </c>
      <c r="C4948" t="s">
        <v>15</v>
      </c>
      <c r="D4948" t="s">
        <v>22</v>
      </c>
      <c r="E4948" t="s">
        <v>17</v>
      </c>
      <c r="F4948" t="s">
        <v>21</v>
      </c>
      <c r="G4948" t="s">
        <v>41</v>
      </c>
      <c r="H4948" t="s">
        <v>25</v>
      </c>
      <c r="I4948" s="1">
        <v>2</v>
      </c>
      <c r="J4948" s="2">
        <v>45988</v>
      </c>
      <c r="K4948" s="2">
        <v>45962</v>
      </c>
      <c r="L4948" s="1" t="str">
        <f t="shared" si="568"/>
        <v>qui</v>
      </c>
      <c r="M4948" s="1" t="str">
        <f t="shared" si="569"/>
        <v>nov</v>
      </c>
      <c r="N4948">
        <f t="shared" si="570"/>
        <v>2025</v>
      </c>
      <c r="O4948" s="2"/>
      <c r="P4948" t="str">
        <f t="shared" si="571"/>
        <v>203445988</v>
      </c>
    </row>
    <row r="4949" spans="1:16" x14ac:dyDescent="0.3">
      <c r="A4949">
        <v>2035</v>
      </c>
      <c r="B4949">
        <v>30</v>
      </c>
      <c r="C4949" t="s">
        <v>15</v>
      </c>
      <c r="D4949" t="s">
        <v>16</v>
      </c>
      <c r="E4949" t="s">
        <v>17</v>
      </c>
      <c r="F4949" t="s">
        <v>18</v>
      </c>
      <c r="G4949" t="s">
        <v>41</v>
      </c>
      <c r="H4949" t="s">
        <v>25</v>
      </c>
      <c r="I4949" s="1">
        <v>3</v>
      </c>
      <c r="J4949" s="2">
        <v>45774</v>
      </c>
      <c r="K4949" s="2">
        <v>45748</v>
      </c>
      <c r="L4949" s="1" t="str">
        <f t="shared" si="568"/>
        <v>dom</v>
      </c>
      <c r="M4949" s="1" t="str">
        <f t="shared" si="569"/>
        <v>abr</v>
      </c>
      <c r="N4949">
        <f t="shared" si="570"/>
        <v>2025</v>
      </c>
      <c r="O4949" s="2"/>
      <c r="P4949" t="str">
        <f t="shared" si="571"/>
        <v>203545774</v>
      </c>
    </row>
    <row r="4950" spans="1:16" x14ac:dyDescent="0.3">
      <c r="A4950">
        <v>2035</v>
      </c>
      <c r="B4950">
        <v>30</v>
      </c>
      <c r="C4950" t="s">
        <v>15</v>
      </c>
      <c r="D4950" t="s">
        <v>16</v>
      </c>
      <c r="E4950" t="s">
        <v>17</v>
      </c>
      <c r="F4950" t="s">
        <v>18</v>
      </c>
      <c r="G4950" t="s">
        <v>41</v>
      </c>
      <c r="H4950" t="s">
        <v>25</v>
      </c>
      <c r="I4950" s="1">
        <v>3</v>
      </c>
      <c r="J4950" s="2">
        <v>45895</v>
      </c>
      <c r="K4950" s="2">
        <v>45870</v>
      </c>
      <c r="L4950" s="1" t="str">
        <f t="shared" si="568"/>
        <v>ter</v>
      </c>
      <c r="M4950" s="1" t="str">
        <f t="shared" si="569"/>
        <v>ago</v>
      </c>
      <c r="N4950">
        <f t="shared" si="570"/>
        <v>2025</v>
      </c>
      <c r="O4950" s="2"/>
      <c r="P4950" t="str">
        <f t="shared" si="571"/>
        <v>203545895</v>
      </c>
    </row>
    <row r="4951" spans="1:16" x14ac:dyDescent="0.3">
      <c r="A4951">
        <v>2035</v>
      </c>
      <c r="B4951">
        <v>30</v>
      </c>
      <c r="C4951" t="s">
        <v>15</v>
      </c>
      <c r="D4951" t="s">
        <v>16</v>
      </c>
      <c r="E4951" t="s">
        <v>17</v>
      </c>
      <c r="F4951" t="s">
        <v>18</v>
      </c>
      <c r="G4951" t="s">
        <v>41</v>
      </c>
      <c r="H4951" t="s">
        <v>25</v>
      </c>
      <c r="I4951" s="1">
        <v>3</v>
      </c>
      <c r="J4951" s="2">
        <v>45968</v>
      </c>
      <c r="K4951" s="2">
        <v>45962</v>
      </c>
      <c r="L4951" s="1" t="str">
        <f t="shared" si="568"/>
        <v>sex</v>
      </c>
      <c r="M4951" s="1" t="str">
        <f t="shared" si="569"/>
        <v>nov</v>
      </c>
      <c r="N4951">
        <f t="shared" si="570"/>
        <v>2025</v>
      </c>
      <c r="O4951" s="2"/>
      <c r="P4951" t="str">
        <f t="shared" si="571"/>
        <v>203545968</v>
      </c>
    </row>
    <row r="4952" spans="1:16" x14ac:dyDescent="0.3">
      <c r="A4952">
        <v>2035</v>
      </c>
      <c r="B4952">
        <v>30</v>
      </c>
      <c r="C4952" t="s">
        <v>15</v>
      </c>
      <c r="D4952" t="s">
        <v>16</v>
      </c>
      <c r="E4952" t="s">
        <v>17</v>
      </c>
      <c r="F4952" t="s">
        <v>18</v>
      </c>
      <c r="G4952" t="s">
        <v>41</v>
      </c>
      <c r="H4952" t="s">
        <v>25</v>
      </c>
      <c r="I4952" s="1">
        <v>3</v>
      </c>
      <c r="J4952" s="2">
        <v>45983</v>
      </c>
      <c r="K4952" s="2">
        <v>45962</v>
      </c>
      <c r="L4952" s="1" t="str">
        <f t="shared" si="568"/>
        <v>sáb</v>
      </c>
      <c r="M4952" s="1" t="str">
        <f t="shared" si="569"/>
        <v>nov</v>
      </c>
      <c r="N4952">
        <f t="shared" si="570"/>
        <v>2025</v>
      </c>
      <c r="O4952" s="2"/>
      <c r="P4952" t="str">
        <f t="shared" si="571"/>
        <v>203545983</v>
      </c>
    </row>
    <row r="4953" spans="1:16" x14ac:dyDescent="0.3">
      <c r="A4953">
        <v>2035</v>
      </c>
      <c r="B4953">
        <v>30</v>
      </c>
      <c r="C4953" t="s">
        <v>15</v>
      </c>
      <c r="D4953" t="s">
        <v>16</v>
      </c>
      <c r="E4953" t="s">
        <v>17</v>
      </c>
      <c r="F4953" t="s">
        <v>18</v>
      </c>
      <c r="G4953" t="s">
        <v>41</v>
      </c>
      <c r="H4953" t="s">
        <v>25</v>
      </c>
      <c r="I4953" s="1">
        <v>3</v>
      </c>
      <c r="J4953" s="2">
        <v>46190</v>
      </c>
      <c r="K4953" s="2">
        <v>46023</v>
      </c>
      <c r="L4953" s="1" t="str">
        <f t="shared" si="568"/>
        <v>qua</v>
      </c>
      <c r="M4953" s="1" t="str">
        <f t="shared" si="569"/>
        <v>jun</v>
      </c>
      <c r="N4953">
        <f t="shared" si="570"/>
        <v>2026</v>
      </c>
      <c r="O4953" s="2"/>
      <c r="P4953" t="str">
        <f t="shared" si="571"/>
        <v>203546190</v>
      </c>
    </row>
    <row r="4954" spans="1:16" x14ac:dyDescent="0.3">
      <c r="A4954">
        <v>2035</v>
      </c>
      <c r="B4954">
        <v>30</v>
      </c>
      <c r="C4954" t="s">
        <v>15</v>
      </c>
      <c r="D4954" t="s">
        <v>16</v>
      </c>
      <c r="E4954" t="s">
        <v>17</v>
      </c>
      <c r="F4954" t="s">
        <v>18</v>
      </c>
      <c r="G4954" t="s">
        <v>41</v>
      </c>
      <c r="H4954" t="s">
        <v>25</v>
      </c>
      <c r="I4954" s="1">
        <v>3</v>
      </c>
      <c r="J4954" s="2">
        <v>46139</v>
      </c>
      <c r="K4954" s="2">
        <v>46113</v>
      </c>
      <c r="L4954" s="1" t="s">
        <v>55</v>
      </c>
      <c r="M4954" s="1" t="s">
        <v>48</v>
      </c>
      <c r="N4954">
        <v>2025</v>
      </c>
      <c r="O4954" s="2"/>
      <c r="P4954" t="str">
        <f t="shared" si="571"/>
        <v>203546139</v>
      </c>
    </row>
    <row r="4955" spans="1:16" x14ac:dyDescent="0.3">
      <c r="A4955">
        <v>2036</v>
      </c>
      <c r="B4955">
        <v>21</v>
      </c>
      <c r="C4955" t="s">
        <v>26</v>
      </c>
      <c r="D4955" t="s">
        <v>16</v>
      </c>
      <c r="E4955" t="s">
        <v>17</v>
      </c>
      <c r="F4955" t="s">
        <v>18</v>
      </c>
      <c r="G4955" t="s">
        <v>41</v>
      </c>
      <c r="H4955" t="s">
        <v>25</v>
      </c>
      <c r="I4955" s="1">
        <v>2</v>
      </c>
      <c r="J4955" s="2">
        <v>45812</v>
      </c>
      <c r="K4955" s="2">
        <v>45809</v>
      </c>
      <c r="L4955" s="1" t="str">
        <f t="shared" ref="L4955:L4987" si="572">TEXT(J4955,"ddd")</f>
        <v>qua</v>
      </c>
      <c r="M4955" s="1" t="str">
        <f t="shared" ref="M4955:M4987" si="573">TEXT($J4955,"mmm")</f>
        <v>jun</v>
      </c>
      <c r="N4955">
        <f t="shared" ref="N4955:N4987" si="574">YEAR(J4955)</f>
        <v>2025</v>
      </c>
      <c r="O4955" s="2"/>
      <c r="P4955" t="str">
        <f t="shared" si="571"/>
        <v>203645812</v>
      </c>
    </row>
    <row r="4956" spans="1:16" x14ac:dyDescent="0.3">
      <c r="A4956">
        <v>2036</v>
      </c>
      <c r="B4956">
        <v>21</v>
      </c>
      <c r="C4956" t="s">
        <v>26</v>
      </c>
      <c r="D4956" t="s">
        <v>16</v>
      </c>
      <c r="E4956" t="s">
        <v>17</v>
      </c>
      <c r="F4956" t="s">
        <v>18</v>
      </c>
      <c r="G4956" t="s">
        <v>41</v>
      </c>
      <c r="H4956" t="s">
        <v>25</v>
      </c>
      <c r="I4956" s="1">
        <v>2</v>
      </c>
      <c r="J4956" s="2">
        <v>45954</v>
      </c>
      <c r="K4956" s="2">
        <v>45931</v>
      </c>
      <c r="L4956" s="1" t="str">
        <f t="shared" si="572"/>
        <v>sex</v>
      </c>
      <c r="M4956" s="1" t="str">
        <f t="shared" si="573"/>
        <v>out</v>
      </c>
      <c r="N4956">
        <f t="shared" si="574"/>
        <v>2025</v>
      </c>
      <c r="O4956" s="2"/>
      <c r="P4956" t="str">
        <f t="shared" si="571"/>
        <v>203645954</v>
      </c>
    </row>
    <row r="4957" spans="1:16" x14ac:dyDescent="0.3">
      <c r="A4957">
        <v>2036</v>
      </c>
      <c r="B4957">
        <v>21</v>
      </c>
      <c r="C4957" t="s">
        <v>26</v>
      </c>
      <c r="D4957" t="s">
        <v>16</v>
      </c>
      <c r="E4957" t="s">
        <v>17</v>
      </c>
      <c r="F4957" t="s">
        <v>18</v>
      </c>
      <c r="G4957" t="s">
        <v>41</v>
      </c>
      <c r="H4957" t="s">
        <v>25</v>
      </c>
      <c r="I4957" s="1">
        <v>2</v>
      </c>
      <c r="J4957" s="2">
        <v>46202</v>
      </c>
      <c r="K4957" s="2">
        <v>46023</v>
      </c>
      <c r="L4957" s="1" t="str">
        <f t="shared" si="572"/>
        <v>seg</v>
      </c>
      <c r="M4957" s="1" t="str">
        <f t="shared" si="573"/>
        <v>jun</v>
      </c>
      <c r="N4957">
        <f t="shared" si="574"/>
        <v>2026</v>
      </c>
      <c r="O4957" s="2"/>
      <c r="P4957" t="str">
        <f t="shared" si="571"/>
        <v>203646202</v>
      </c>
    </row>
    <row r="4958" spans="1:16" x14ac:dyDescent="0.3">
      <c r="A4958">
        <v>2036</v>
      </c>
      <c r="B4958">
        <v>21</v>
      </c>
      <c r="C4958" t="s">
        <v>26</v>
      </c>
      <c r="D4958" t="s">
        <v>16</v>
      </c>
      <c r="E4958" t="s">
        <v>17</v>
      </c>
      <c r="F4958" t="s">
        <v>18</v>
      </c>
      <c r="G4958" t="s">
        <v>41</v>
      </c>
      <c r="H4958" t="s">
        <v>25</v>
      </c>
      <c r="I4958" s="1">
        <v>2</v>
      </c>
      <c r="J4958" s="2">
        <v>46061</v>
      </c>
      <c r="K4958" s="2">
        <v>46054</v>
      </c>
      <c r="L4958" s="1" t="str">
        <f t="shared" si="572"/>
        <v>dom</v>
      </c>
      <c r="M4958" s="1" t="str">
        <f t="shared" si="573"/>
        <v>fev</v>
      </c>
      <c r="N4958">
        <f t="shared" si="574"/>
        <v>2026</v>
      </c>
      <c r="O4958" s="2"/>
      <c r="P4958" t="str">
        <f t="shared" si="571"/>
        <v>203646061</v>
      </c>
    </row>
    <row r="4959" spans="1:16" x14ac:dyDescent="0.3">
      <c r="A4959">
        <v>2036</v>
      </c>
      <c r="B4959">
        <v>21</v>
      </c>
      <c r="C4959" t="s">
        <v>26</v>
      </c>
      <c r="D4959" t="s">
        <v>16</v>
      </c>
      <c r="E4959" t="s">
        <v>17</v>
      </c>
      <c r="F4959" t="s">
        <v>18</v>
      </c>
      <c r="G4959" t="s">
        <v>41</v>
      </c>
      <c r="H4959" t="s">
        <v>25</v>
      </c>
      <c r="I4959" s="1">
        <v>2</v>
      </c>
      <c r="J4959" s="2">
        <v>46080</v>
      </c>
      <c r="K4959" s="2">
        <v>46054</v>
      </c>
      <c r="L4959" s="1" t="str">
        <f t="shared" si="572"/>
        <v>sex</v>
      </c>
      <c r="M4959" s="1" t="str">
        <f t="shared" si="573"/>
        <v>fev</v>
      </c>
      <c r="N4959">
        <f t="shared" si="574"/>
        <v>2026</v>
      </c>
      <c r="O4959" s="2"/>
      <c r="P4959" t="str">
        <f t="shared" si="571"/>
        <v>203646080</v>
      </c>
    </row>
    <row r="4960" spans="1:16" x14ac:dyDescent="0.3">
      <c r="A4960">
        <v>2037</v>
      </c>
      <c r="B4960">
        <v>41</v>
      </c>
      <c r="C4960" t="s">
        <v>26</v>
      </c>
      <c r="D4960" t="s">
        <v>22</v>
      </c>
      <c r="E4960" t="s">
        <v>17</v>
      </c>
      <c r="F4960" t="s">
        <v>21</v>
      </c>
      <c r="G4960" t="s">
        <v>41</v>
      </c>
      <c r="H4960" t="s">
        <v>25</v>
      </c>
      <c r="I4960" s="1">
        <v>2</v>
      </c>
      <c r="J4960" s="2">
        <v>45898</v>
      </c>
      <c r="K4960" s="2">
        <v>45870</v>
      </c>
      <c r="L4960" s="1" t="str">
        <f t="shared" si="572"/>
        <v>sex</v>
      </c>
      <c r="M4960" s="1" t="str">
        <f t="shared" si="573"/>
        <v>ago</v>
      </c>
      <c r="N4960">
        <f t="shared" si="574"/>
        <v>2025</v>
      </c>
      <c r="O4960" s="2"/>
      <c r="P4960" t="str">
        <f t="shared" si="571"/>
        <v>203745898</v>
      </c>
    </row>
    <row r="4961" spans="1:16" x14ac:dyDescent="0.3">
      <c r="A4961">
        <v>2037</v>
      </c>
      <c r="B4961">
        <v>41</v>
      </c>
      <c r="C4961" t="s">
        <v>26</v>
      </c>
      <c r="D4961" t="s">
        <v>22</v>
      </c>
      <c r="E4961" t="s">
        <v>17</v>
      </c>
      <c r="F4961" t="s">
        <v>21</v>
      </c>
      <c r="G4961" t="s">
        <v>41</v>
      </c>
      <c r="H4961" t="s">
        <v>25</v>
      </c>
      <c r="I4961" s="1">
        <v>2</v>
      </c>
      <c r="J4961" s="2">
        <v>45964</v>
      </c>
      <c r="K4961" s="2">
        <v>45962</v>
      </c>
      <c r="L4961" s="1" t="str">
        <f t="shared" si="572"/>
        <v>seg</v>
      </c>
      <c r="M4961" s="1" t="str">
        <f t="shared" si="573"/>
        <v>nov</v>
      </c>
      <c r="N4961">
        <f t="shared" si="574"/>
        <v>2025</v>
      </c>
      <c r="O4961" s="2"/>
      <c r="P4961" t="str">
        <f t="shared" si="571"/>
        <v>203745964</v>
      </c>
    </row>
    <row r="4962" spans="1:16" x14ac:dyDescent="0.3">
      <c r="A4962">
        <v>2037</v>
      </c>
      <c r="B4962">
        <v>41</v>
      </c>
      <c r="C4962" t="s">
        <v>26</v>
      </c>
      <c r="D4962" t="s">
        <v>22</v>
      </c>
      <c r="E4962" t="s">
        <v>17</v>
      </c>
      <c r="F4962" t="s">
        <v>21</v>
      </c>
      <c r="G4962" t="s">
        <v>41</v>
      </c>
      <c r="H4962" t="s">
        <v>25</v>
      </c>
      <c r="I4962" s="1">
        <v>2</v>
      </c>
      <c r="J4962" s="2">
        <v>45970</v>
      </c>
      <c r="K4962" s="2">
        <v>45962</v>
      </c>
      <c r="L4962" s="1" t="str">
        <f t="shared" si="572"/>
        <v>dom</v>
      </c>
      <c r="M4962" s="1" t="str">
        <f t="shared" si="573"/>
        <v>nov</v>
      </c>
      <c r="N4962">
        <f t="shared" si="574"/>
        <v>2025</v>
      </c>
      <c r="O4962" s="2"/>
      <c r="P4962" t="str">
        <f t="shared" si="571"/>
        <v>203745970</v>
      </c>
    </row>
    <row r="4963" spans="1:16" x14ac:dyDescent="0.3">
      <c r="A4963">
        <v>2037</v>
      </c>
      <c r="B4963">
        <v>41</v>
      </c>
      <c r="C4963" t="s">
        <v>26</v>
      </c>
      <c r="D4963" t="s">
        <v>22</v>
      </c>
      <c r="E4963" t="s">
        <v>17</v>
      </c>
      <c r="F4963" t="s">
        <v>21</v>
      </c>
      <c r="G4963" t="s">
        <v>41</v>
      </c>
      <c r="H4963" t="s">
        <v>25</v>
      </c>
      <c r="I4963" s="1">
        <v>2</v>
      </c>
      <c r="J4963" s="2">
        <v>45978</v>
      </c>
      <c r="K4963" s="2">
        <v>45962</v>
      </c>
      <c r="L4963" s="1" t="str">
        <f t="shared" si="572"/>
        <v>seg</v>
      </c>
      <c r="M4963" s="1" t="str">
        <f t="shared" si="573"/>
        <v>nov</v>
      </c>
      <c r="N4963">
        <f t="shared" si="574"/>
        <v>2025</v>
      </c>
      <c r="O4963" s="2"/>
      <c r="P4963" t="str">
        <f t="shared" si="571"/>
        <v>203745978</v>
      </c>
    </row>
    <row r="4964" spans="1:16" x14ac:dyDescent="0.3">
      <c r="A4964">
        <v>2037</v>
      </c>
      <c r="B4964">
        <v>41</v>
      </c>
      <c r="C4964" t="s">
        <v>26</v>
      </c>
      <c r="D4964" t="s">
        <v>22</v>
      </c>
      <c r="E4964" t="s">
        <v>17</v>
      </c>
      <c r="F4964" t="s">
        <v>21</v>
      </c>
      <c r="G4964" t="s">
        <v>41</v>
      </c>
      <c r="H4964" t="s">
        <v>25</v>
      </c>
      <c r="I4964" s="1">
        <v>2</v>
      </c>
      <c r="J4964" s="2">
        <v>46067</v>
      </c>
      <c r="K4964" s="2">
        <v>46054</v>
      </c>
      <c r="L4964" s="1" t="str">
        <f t="shared" si="572"/>
        <v>sáb</v>
      </c>
      <c r="M4964" s="1" t="str">
        <f t="shared" si="573"/>
        <v>fev</v>
      </c>
      <c r="N4964">
        <f t="shared" si="574"/>
        <v>2026</v>
      </c>
      <c r="O4964" s="2"/>
      <c r="P4964" t="str">
        <f t="shared" si="571"/>
        <v>203746067</v>
      </c>
    </row>
    <row r="4965" spans="1:16" x14ac:dyDescent="0.3">
      <c r="A4965">
        <v>2038</v>
      </c>
      <c r="B4965">
        <v>23</v>
      </c>
      <c r="C4965" t="s">
        <v>26</v>
      </c>
      <c r="D4965" t="s">
        <v>27</v>
      </c>
      <c r="E4965" t="s">
        <v>17</v>
      </c>
      <c r="F4965" t="s">
        <v>18</v>
      </c>
      <c r="G4965" t="s">
        <v>41</v>
      </c>
      <c r="H4965" t="s">
        <v>25</v>
      </c>
      <c r="I4965" s="1">
        <v>2</v>
      </c>
      <c r="J4965" s="2">
        <v>45815</v>
      </c>
      <c r="K4965" s="2">
        <v>45809</v>
      </c>
      <c r="L4965" s="1" t="str">
        <f t="shared" si="572"/>
        <v>sáb</v>
      </c>
      <c r="M4965" s="1" t="str">
        <f t="shared" si="573"/>
        <v>jun</v>
      </c>
      <c r="N4965">
        <f t="shared" si="574"/>
        <v>2025</v>
      </c>
      <c r="O4965" s="2"/>
      <c r="P4965" t="str">
        <f t="shared" si="571"/>
        <v>203845815</v>
      </c>
    </row>
    <row r="4966" spans="1:16" x14ac:dyDescent="0.3">
      <c r="A4966">
        <v>2038</v>
      </c>
      <c r="B4966">
        <v>23</v>
      </c>
      <c r="C4966" t="s">
        <v>26</v>
      </c>
      <c r="D4966" t="s">
        <v>27</v>
      </c>
      <c r="E4966" t="s">
        <v>17</v>
      </c>
      <c r="F4966" t="s">
        <v>18</v>
      </c>
      <c r="G4966" t="s">
        <v>41</v>
      </c>
      <c r="H4966" t="s">
        <v>25</v>
      </c>
      <c r="I4966" s="1">
        <v>2</v>
      </c>
      <c r="J4966" s="2">
        <v>45831</v>
      </c>
      <c r="K4966" s="2">
        <v>45809</v>
      </c>
      <c r="L4966" s="1" t="str">
        <f t="shared" si="572"/>
        <v>seg</v>
      </c>
      <c r="M4966" s="1" t="str">
        <f t="shared" si="573"/>
        <v>jun</v>
      </c>
      <c r="N4966">
        <f t="shared" si="574"/>
        <v>2025</v>
      </c>
      <c r="O4966" s="2"/>
      <c r="P4966" t="str">
        <f t="shared" si="571"/>
        <v>203845831</v>
      </c>
    </row>
    <row r="4967" spans="1:16" x14ac:dyDescent="0.3">
      <c r="A4967">
        <v>2038</v>
      </c>
      <c r="B4967">
        <v>23</v>
      </c>
      <c r="C4967" t="s">
        <v>26</v>
      </c>
      <c r="D4967" t="s">
        <v>27</v>
      </c>
      <c r="E4967" t="s">
        <v>17</v>
      </c>
      <c r="F4967" t="s">
        <v>18</v>
      </c>
      <c r="G4967" t="s">
        <v>41</v>
      </c>
      <c r="H4967" t="s">
        <v>25</v>
      </c>
      <c r="I4967" s="1">
        <v>2</v>
      </c>
      <c r="J4967" s="2">
        <v>45841</v>
      </c>
      <c r="K4967" s="2">
        <v>45839</v>
      </c>
      <c r="L4967" s="1" t="str">
        <f t="shared" si="572"/>
        <v>qui</v>
      </c>
      <c r="M4967" s="1" t="str">
        <f t="shared" si="573"/>
        <v>jul</v>
      </c>
      <c r="N4967">
        <f t="shared" si="574"/>
        <v>2025</v>
      </c>
      <c r="O4967" s="2"/>
      <c r="P4967" t="str">
        <f t="shared" si="571"/>
        <v>203845841</v>
      </c>
    </row>
    <row r="4968" spans="1:16" x14ac:dyDescent="0.3">
      <c r="A4968">
        <v>2038</v>
      </c>
      <c r="B4968">
        <v>23</v>
      </c>
      <c r="C4968" t="s">
        <v>26</v>
      </c>
      <c r="D4968" t="s">
        <v>27</v>
      </c>
      <c r="E4968" t="s">
        <v>17</v>
      </c>
      <c r="F4968" t="s">
        <v>18</v>
      </c>
      <c r="G4968" t="s">
        <v>41</v>
      </c>
      <c r="H4968" t="s">
        <v>25</v>
      </c>
      <c r="I4968" s="1">
        <v>2</v>
      </c>
      <c r="J4968" s="2">
        <v>46007</v>
      </c>
      <c r="K4968" s="2">
        <v>45992</v>
      </c>
      <c r="L4968" s="1" t="str">
        <f t="shared" si="572"/>
        <v>ter</v>
      </c>
      <c r="M4968" s="1" t="str">
        <f t="shared" si="573"/>
        <v>dez</v>
      </c>
      <c r="N4968">
        <f t="shared" si="574"/>
        <v>2025</v>
      </c>
      <c r="O4968" s="2"/>
      <c r="P4968" t="str">
        <f t="shared" si="571"/>
        <v>203846007</v>
      </c>
    </row>
    <row r="4969" spans="1:16" x14ac:dyDescent="0.3">
      <c r="A4969">
        <v>2038</v>
      </c>
      <c r="B4969">
        <v>23</v>
      </c>
      <c r="C4969" t="s">
        <v>26</v>
      </c>
      <c r="D4969" t="s">
        <v>27</v>
      </c>
      <c r="E4969" t="s">
        <v>17</v>
      </c>
      <c r="F4969" t="s">
        <v>18</v>
      </c>
      <c r="G4969" t="s">
        <v>41</v>
      </c>
      <c r="H4969" t="s">
        <v>25</v>
      </c>
      <c r="I4969" s="1">
        <v>2</v>
      </c>
      <c r="J4969" s="2">
        <v>46066</v>
      </c>
      <c r="K4969" s="2">
        <v>46054</v>
      </c>
      <c r="L4969" s="1" t="str">
        <f t="shared" si="572"/>
        <v>sex</v>
      </c>
      <c r="M4969" s="1" t="str">
        <f t="shared" si="573"/>
        <v>fev</v>
      </c>
      <c r="N4969">
        <f t="shared" si="574"/>
        <v>2026</v>
      </c>
      <c r="O4969" s="2"/>
      <c r="P4969" t="str">
        <f t="shared" si="571"/>
        <v>203846066</v>
      </c>
    </row>
    <row r="4970" spans="1:16" x14ac:dyDescent="0.3">
      <c r="A4970">
        <v>2041</v>
      </c>
      <c r="B4970">
        <v>41</v>
      </c>
      <c r="C4970" t="s">
        <v>26</v>
      </c>
      <c r="D4970" t="s">
        <v>29</v>
      </c>
      <c r="E4970" t="s">
        <v>17</v>
      </c>
      <c r="F4970" t="s">
        <v>23</v>
      </c>
      <c r="G4970" t="s">
        <v>41</v>
      </c>
      <c r="H4970" t="s">
        <v>25</v>
      </c>
      <c r="I4970" s="1">
        <v>1</v>
      </c>
      <c r="J4970" s="2">
        <v>45812</v>
      </c>
      <c r="K4970" s="2">
        <v>45809</v>
      </c>
      <c r="L4970" s="1" t="str">
        <f t="shared" si="572"/>
        <v>qua</v>
      </c>
      <c r="M4970" s="1" t="str">
        <f t="shared" si="573"/>
        <v>jun</v>
      </c>
      <c r="N4970">
        <f t="shared" si="574"/>
        <v>2025</v>
      </c>
      <c r="O4970" s="2"/>
      <c r="P4970" t="str">
        <f t="shared" si="571"/>
        <v>204145812</v>
      </c>
    </row>
    <row r="4971" spans="1:16" x14ac:dyDescent="0.3">
      <c r="A4971">
        <v>2041</v>
      </c>
      <c r="B4971">
        <v>41</v>
      </c>
      <c r="C4971" t="s">
        <v>26</v>
      </c>
      <c r="D4971" t="s">
        <v>29</v>
      </c>
      <c r="E4971" t="s">
        <v>17</v>
      </c>
      <c r="F4971" t="s">
        <v>23</v>
      </c>
      <c r="G4971" t="s">
        <v>41</v>
      </c>
      <c r="H4971" t="s">
        <v>25</v>
      </c>
      <c r="I4971" s="1">
        <v>1</v>
      </c>
      <c r="J4971" s="2">
        <v>45888</v>
      </c>
      <c r="K4971" s="2">
        <v>45870</v>
      </c>
      <c r="L4971" s="1" t="str">
        <f t="shared" si="572"/>
        <v>ter</v>
      </c>
      <c r="M4971" s="1" t="str">
        <f t="shared" si="573"/>
        <v>ago</v>
      </c>
      <c r="N4971">
        <f t="shared" si="574"/>
        <v>2025</v>
      </c>
      <c r="O4971" s="2"/>
      <c r="P4971" t="str">
        <f t="shared" si="571"/>
        <v>204145888</v>
      </c>
    </row>
    <row r="4972" spans="1:16" x14ac:dyDescent="0.3">
      <c r="A4972">
        <v>2041</v>
      </c>
      <c r="B4972">
        <v>41</v>
      </c>
      <c r="C4972" t="s">
        <v>26</v>
      </c>
      <c r="D4972" t="s">
        <v>29</v>
      </c>
      <c r="E4972" t="s">
        <v>17</v>
      </c>
      <c r="F4972" t="s">
        <v>23</v>
      </c>
      <c r="G4972" t="s">
        <v>41</v>
      </c>
      <c r="H4972" t="s">
        <v>25</v>
      </c>
      <c r="I4972" s="1">
        <v>1</v>
      </c>
      <c r="J4972" s="2">
        <v>45907</v>
      </c>
      <c r="K4972" s="2">
        <v>45901</v>
      </c>
      <c r="L4972" s="1" t="str">
        <f t="shared" si="572"/>
        <v>dom</v>
      </c>
      <c r="M4972" s="1" t="str">
        <f t="shared" si="573"/>
        <v>set</v>
      </c>
      <c r="N4972">
        <f t="shared" si="574"/>
        <v>2025</v>
      </c>
      <c r="O4972" s="2"/>
      <c r="P4972" t="str">
        <f t="shared" si="571"/>
        <v>204145907</v>
      </c>
    </row>
    <row r="4973" spans="1:16" x14ac:dyDescent="0.3">
      <c r="A4973">
        <v>2041</v>
      </c>
      <c r="B4973">
        <v>41</v>
      </c>
      <c r="C4973" t="s">
        <v>26</v>
      </c>
      <c r="D4973" t="s">
        <v>29</v>
      </c>
      <c r="E4973" t="s">
        <v>17</v>
      </c>
      <c r="F4973" t="s">
        <v>23</v>
      </c>
      <c r="G4973" t="s">
        <v>41</v>
      </c>
      <c r="H4973" t="s">
        <v>25</v>
      </c>
      <c r="I4973" s="1">
        <v>1</v>
      </c>
      <c r="J4973" s="2">
        <v>45934</v>
      </c>
      <c r="K4973" s="2">
        <v>45931</v>
      </c>
      <c r="L4973" s="1" t="str">
        <f t="shared" si="572"/>
        <v>sáb</v>
      </c>
      <c r="M4973" s="1" t="str">
        <f t="shared" si="573"/>
        <v>out</v>
      </c>
      <c r="N4973">
        <f t="shared" si="574"/>
        <v>2025</v>
      </c>
      <c r="O4973" s="2"/>
      <c r="P4973" t="str">
        <f t="shared" si="571"/>
        <v>204145934</v>
      </c>
    </row>
    <row r="4974" spans="1:16" x14ac:dyDescent="0.3">
      <c r="A4974">
        <v>2041</v>
      </c>
      <c r="B4974">
        <v>41</v>
      </c>
      <c r="C4974" t="s">
        <v>26</v>
      </c>
      <c r="D4974" t="s">
        <v>29</v>
      </c>
      <c r="E4974" t="s">
        <v>17</v>
      </c>
      <c r="F4974" t="s">
        <v>23</v>
      </c>
      <c r="G4974" t="s">
        <v>41</v>
      </c>
      <c r="H4974" t="s">
        <v>25</v>
      </c>
      <c r="I4974" s="1">
        <v>1</v>
      </c>
      <c r="J4974" s="2">
        <v>46185</v>
      </c>
      <c r="K4974" s="2">
        <v>46023</v>
      </c>
      <c r="L4974" s="1" t="str">
        <f t="shared" si="572"/>
        <v>sex</v>
      </c>
      <c r="M4974" s="1" t="str">
        <f t="shared" si="573"/>
        <v>jun</v>
      </c>
      <c r="N4974">
        <f t="shared" si="574"/>
        <v>2026</v>
      </c>
      <c r="O4974" s="2"/>
      <c r="P4974" t="str">
        <f t="shared" si="571"/>
        <v>204146185</v>
      </c>
    </row>
    <row r="4975" spans="1:16" x14ac:dyDescent="0.3">
      <c r="A4975">
        <v>2044</v>
      </c>
      <c r="B4975">
        <v>28</v>
      </c>
      <c r="C4975" t="s">
        <v>15</v>
      </c>
      <c r="D4975" t="s">
        <v>22</v>
      </c>
      <c r="E4975" t="s">
        <v>17</v>
      </c>
      <c r="F4975" t="s">
        <v>21</v>
      </c>
      <c r="G4975" t="s">
        <v>41</v>
      </c>
      <c r="H4975" t="s">
        <v>25</v>
      </c>
      <c r="I4975" s="1">
        <v>3</v>
      </c>
      <c r="J4975" s="2">
        <v>45935</v>
      </c>
      <c r="K4975" s="2">
        <v>45931</v>
      </c>
      <c r="L4975" s="1" t="str">
        <f t="shared" si="572"/>
        <v>dom</v>
      </c>
      <c r="M4975" s="1" t="str">
        <f t="shared" si="573"/>
        <v>out</v>
      </c>
      <c r="N4975">
        <f t="shared" si="574"/>
        <v>2025</v>
      </c>
      <c r="O4975" s="2"/>
      <c r="P4975" t="str">
        <f t="shared" si="571"/>
        <v>204445935</v>
      </c>
    </row>
    <row r="4976" spans="1:16" x14ac:dyDescent="0.3">
      <c r="A4976">
        <v>2044</v>
      </c>
      <c r="B4976">
        <v>28</v>
      </c>
      <c r="C4976" t="s">
        <v>15</v>
      </c>
      <c r="D4976" t="s">
        <v>22</v>
      </c>
      <c r="E4976" t="s">
        <v>17</v>
      </c>
      <c r="F4976" t="s">
        <v>21</v>
      </c>
      <c r="G4976" t="s">
        <v>41</v>
      </c>
      <c r="H4976" t="s">
        <v>25</v>
      </c>
      <c r="I4976" s="1">
        <v>3</v>
      </c>
      <c r="J4976" s="2">
        <v>45961</v>
      </c>
      <c r="K4976" s="2">
        <v>45931</v>
      </c>
      <c r="L4976" s="1" t="str">
        <f t="shared" si="572"/>
        <v>sex</v>
      </c>
      <c r="M4976" s="1" t="str">
        <f t="shared" si="573"/>
        <v>out</v>
      </c>
      <c r="N4976">
        <f t="shared" si="574"/>
        <v>2025</v>
      </c>
      <c r="O4976" s="2"/>
      <c r="P4976" t="str">
        <f t="shared" si="571"/>
        <v>204445961</v>
      </c>
    </row>
    <row r="4977" spans="1:16" x14ac:dyDescent="0.3">
      <c r="A4977">
        <v>2044</v>
      </c>
      <c r="B4977">
        <v>28</v>
      </c>
      <c r="C4977" t="s">
        <v>15</v>
      </c>
      <c r="D4977" t="s">
        <v>22</v>
      </c>
      <c r="E4977" t="s">
        <v>17</v>
      </c>
      <c r="F4977" t="s">
        <v>21</v>
      </c>
      <c r="G4977" t="s">
        <v>41</v>
      </c>
      <c r="H4977" t="s">
        <v>25</v>
      </c>
      <c r="I4977" s="1">
        <v>3</v>
      </c>
      <c r="J4977" s="2">
        <v>45996</v>
      </c>
      <c r="K4977" s="2">
        <v>45992</v>
      </c>
      <c r="L4977" s="1" t="str">
        <f t="shared" si="572"/>
        <v>sex</v>
      </c>
      <c r="M4977" s="1" t="str">
        <f t="shared" si="573"/>
        <v>dez</v>
      </c>
      <c r="N4977">
        <f t="shared" si="574"/>
        <v>2025</v>
      </c>
      <c r="O4977" s="2"/>
      <c r="P4977" t="str">
        <f t="shared" si="571"/>
        <v>204445996</v>
      </c>
    </row>
    <row r="4978" spans="1:16" x14ac:dyDescent="0.3">
      <c r="A4978">
        <v>2044</v>
      </c>
      <c r="B4978">
        <v>28</v>
      </c>
      <c r="C4978" t="s">
        <v>15</v>
      </c>
      <c r="D4978" t="s">
        <v>22</v>
      </c>
      <c r="E4978" t="s">
        <v>17</v>
      </c>
      <c r="F4978" t="s">
        <v>21</v>
      </c>
      <c r="G4978" t="s">
        <v>41</v>
      </c>
      <c r="H4978" t="s">
        <v>25</v>
      </c>
      <c r="I4978" s="1">
        <v>3</v>
      </c>
      <c r="J4978" s="2">
        <v>46018</v>
      </c>
      <c r="K4978" s="2">
        <v>45992</v>
      </c>
      <c r="L4978" s="1" t="str">
        <f t="shared" si="572"/>
        <v>sáb</v>
      </c>
      <c r="M4978" s="1" t="str">
        <f t="shared" si="573"/>
        <v>dez</v>
      </c>
      <c r="N4978">
        <f t="shared" si="574"/>
        <v>2025</v>
      </c>
      <c r="O4978" s="2"/>
      <c r="P4978" t="str">
        <f t="shared" si="571"/>
        <v>204446018</v>
      </c>
    </row>
    <row r="4979" spans="1:16" x14ac:dyDescent="0.3">
      <c r="A4979">
        <v>2044</v>
      </c>
      <c r="B4979">
        <v>28</v>
      </c>
      <c r="C4979" t="s">
        <v>15</v>
      </c>
      <c r="D4979" t="s">
        <v>22</v>
      </c>
      <c r="E4979" t="s">
        <v>17</v>
      </c>
      <c r="F4979" t="s">
        <v>21</v>
      </c>
      <c r="G4979" t="s">
        <v>41</v>
      </c>
      <c r="H4979" t="s">
        <v>25</v>
      </c>
      <c r="I4979" s="1">
        <v>3</v>
      </c>
      <c r="J4979" s="2">
        <v>46181</v>
      </c>
      <c r="K4979" s="2">
        <v>46023</v>
      </c>
      <c r="L4979" s="1" t="str">
        <f t="shared" si="572"/>
        <v>seg</v>
      </c>
      <c r="M4979" s="1" t="str">
        <f t="shared" si="573"/>
        <v>jun</v>
      </c>
      <c r="N4979">
        <f t="shared" si="574"/>
        <v>2026</v>
      </c>
      <c r="O4979" s="2"/>
      <c r="P4979" t="str">
        <f t="shared" si="571"/>
        <v>204446181</v>
      </c>
    </row>
    <row r="4980" spans="1:16" x14ac:dyDescent="0.3">
      <c r="A4980">
        <v>2045</v>
      </c>
      <c r="B4980">
        <v>41</v>
      </c>
      <c r="C4980" t="s">
        <v>26</v>
      </c>
      <c r="D4980" t="s">
        <v>22</v>
      </c>
      <c r="E4980" t="s">
        <v>17</v>
      </c>
      <c r="F4980" t="s">
        <v>21</v>
      </c>
      <c r="G4980" t="s">
        <v>41</v>
      </c>
      <c r="H4980" t="s">
        <v>25</v>
      </c>
      <c r="I4980" s="1">
        <v>1</v>
      </c>
      <c r="J4980" s="2">
        <v>45859</v>
      </c>
      <c r="K4980" s="2">
        <v>45839</v>
      </c>
      <c r="L4980" s="1" t="str">
        <f t="shared" si="572"/>
        <v>seg</v>
      </c>
      <c r="M4980" s="1" t="str">
        <f t="shared" si="573"/>
        <v>jul</v>
      </c>
      <c r="N4980">
        <f t="shared" si="574"/>
        <v>2025</v>
      </c>
      <c r="O4980" s="2"/>
      <c r="P4980" t="str">
        <f t="shared" si="571"/>
        <v>204545859</v>
      </c>
    </row>
    <row r="4981" spans="1:16" x14ac:dyDescent="0.3">
      <c r="A4981">
        <v>2045</v>
      </c>
      <c r="B4981">
        <v>41</v>
      </c>
      <c r="C4981" t="s">
        <v>26</v>
      </c>
      <c r="D4981" t="s">
        <v>22</v>
      </c>
      <c r="E4981" t="s">
        <v>17</v>
      </c>
      <c r="F4981" t="s">
        <v>21</v>
      </c>
      <c r="G4981" t="s">
        <v>41</v>
      </c>
      <c r="H4981" t="s">
        <v>25</v>
      </c>
      <c r="I4981" s="1">
        <v>1</v>
      </c>
      <c r="J4981" s="2">
        <v>46015</v>
      </c>
      <c r="K4981" s="2">
        <v>45992</v>
      </c>
      <c r="L4981" s="1" t="str">
        <f t="shared" si="572"/>
        <v>qua</v>
      </c>
      <c r="M4981" s="1" t="str">
        <f t="shared" si="573"/>
        <v>dez</v>
      </c>
      <c r="N4981">
        <f t="shared" si="574"/>
        <v>2025</v>
      </c>
      <c r="O4981" s="2"/>
      <c r="P4981" t="str">
        <f t="shared" si="571"/>
        <v>204546015</v>
      </c>
    </row>
    <row r="4982" spans="1:16" x14ac:dyDescent="0.3">
      <c r="A4982">
        <v>2045</v>
      </c>
      <c r="B4982">
        <v>41</v>
      </c>
      <c r="C4982" t="s">
        <v>26</v>
      </c>
      <c r="D4982" t="s">
        <v>22</v>
      </c>
      <c r="E4982" t="s">
        <v>17</v>
      </c>
      <c r="F4982" t="s">
        <v>21</v>
      </c>
      <c r="G4982" t="s">
        <v>41</v>
      </c>
      <c r="H4982" t="s">
        <v>25</v>
      </c>
      <c r="I4982" s="1">
        <v>1</v>
      </c>
      <c r="J4982" s="2">
        <v>46185</v>
      </c>
      <c r="K4982" s="2">
        <v>46023</v>
      </c>
      <c r="L4982" s="1" t="str">
        <f t="shared" si="572"/>
        <v>sex</v>
      </c>
      <c r="M4982" s="1" t="str">
        <f t="shared" si="573"/>
        <v>jun</v>
      </c>
      <c r="N4982">
        <f t="shared" si="574"/>
        <v>2026</v>
      </c>
      <c r="O4982" s="2"/>
      <c r="P4982" t="str">
        <f t="shared" si="571"/>
        <v>204546185</v>
      </c>
    </row>
    <row r="4983" spans="1:16" x14ac:dyDescent="0.3">
      <c r="A4983">
        <v>2045</v>
      </c>
      <c r="B4983">
        <v>41</v>
      </c>
      <c r="C4983" t="s">
        <v>26</v>
      </c>
      <c r="D4983" t="s">
        <v>22</v>
      </c>
      <c r="E4983" t="s">
        <v>17</v>
      </c>
      <c r="F4983" t="s">
        <v>21</v>
      </c>
      <c r="G4983" t="s">
        <v>41</v>
      </c>
      <c r="H4983" t="s">
        <v>25</v>
      </c>
      <c r="I4983" s="1">
        <v>1</v>
      </c>
      <c r="J4983" s="2">
        <v>46061</v>
      </c>
      <c r="K4983" s="2">
        <v>46054</v>
      </c>
      <c r="L4983" s="1" t="str">
        <f t="shared" si="572"/>
        <v>dom</v>
      </c>
      <c r="M4983" s="1" t="str">
        <f t="shared" si="573"/>
        <v>fev</v>
      </c>
      <c r="N4983">
        <f t="shared" si="574"/>
        <v>2026</v>
      </c>
      <c r="O4983" s="2"/>
      <c r="P4983" t="str">
        <f t="shared" si="571"/>
        <v>204546061</v>
      </c>
    </row>
    <row r="4984" spans="1:16" x14ac:dyDescent="0.3">
      <c r="A4984">
        <v>2046</v>
      </c>
      <c r="B4984">
        <v>54</v>
      </c>
      <c r="C4984" t="s">
        <v>15</v>
      </c>
      <c r="D4984" t="s">
        <v>16</v>
      </c>
      <c r="E4984" t="s">
        <v>17</v>
      </c>
      <c r="F4984" t="s">
        <v>18</v>
      </c>
      <c r="G4984" t="s">
        <v>41</v>
      </c>
      <c r="H4984" t="s">
        <v>25</v>
      </c>
      <c r="I4984" s="1">
        <v>3</v>
      </c>
      <c r="J4984" s="2">
        <v>45773</v>
      </c>
      <c r="K4984" s="2">
        <v>45748</v>
      </c>
      <c r="L4984" s="1" t="str">
        <f t="shared" si="572"/>
        <v>sáb</v>
      </c>
      <c r="M4984" s="1" t="str">
        <f t="shared" si="573"/>
        <v>abr</v>
      </c>
      <c r="N4984">
        <f t="shared" si="574"/>
        <v>2025</v>
      </c>
      <c r="O4984" s="2"/>
      <c r="P4984" t="str">
        <f t="shared" si="571"/>
        <v>204645773</v>
      </c>
    </row>
    <row r="4985" spans="1:16" x14ac:dyDescent="0.3">
      <c r="A4985">
        <v>2046</v>
      </c>
      <c r="B4985">
        <v>54</v>
      </c>
      <c r="C4985" t="s">
        <v>15</v>
      </c>
      <c r="D4985" t="s">
        <v>16</v>
      </c>
      <c r="E4985" t="s">
        <v>17</v>
      </c>
      <c r="F4985" t="s">
        <v>18</v>
      </c>
      <c r="G4985" t="s">
        <v>41</v>
      </c>
      <c r="H4985" t="s">
        <v>25</v>
      </c>
      <c r="I4985" s="1">
        <v>3</v>
      </c>
      <c r="J4985" s="2">
        <v>45932</v>
      </c>
      <c r="K4985" s="2">
        <v>45931</v>
      </c>
      <c r="L4985" s="1" t="str">
        <f t="shared" si="572"/>
        <v>qui</v>
      </c>
      <c r="M4985" s="1" t="str">
        <f t="shared" si="573"/>
        <v>out</v>
      </c>
      <c r="N4985">
        <f t="shared" si="574"/>
        <v>2025</v>
      </c>
      <c r="O4985" s="2"/>
      <c r="P4985" t="str">
        <f t="shared" si="571"/>
        <v>204645932</v>
      </c>
    </row>
    <row r="4986" spans="1:16" x14ac:dyDescent="0.3">
      <c r="A4986">
        <v>2046</v>
      </c>
      <c r="B4986">
        <v>54</v>
      </c>
      <c r="C4986" t="s">
        <v>15</v>
      </c>
      <c r="D4986" t="s">
        <v>16</v>
      </c>
      <c r="E4986" t="s">
        <v>17</v>
      </c>
      <c r="F4986" t="s">
        <v>18</v>
      </c>
      <c r="G4986" t="s">
        <v>41</v>
      </c>
      <c r="H4986" t="s">
        <v>25</v>
      </c>
      <c r="I4986" s="1">
        <v>3</v>
      </c>
      <c r="J4986" s="2">
        <v>46067</v>
      </c>
      <c r="K4986" s="2">
        <v>46054</v>
      </c>
      <c r="L4986" s="1" t="str">
        <f t="shared" si="572"/>
        <v>sáb</v>
      </c>
      <c r="M4986" s="1" t="str">
        <f t="shared" si="573"/>
        <v>fev</v>
      </c>
      <c r="N4986">
        <f t="shared" si="574"/>
        <v>2026</v>
      </c>
      <c r="O4986" s="2"/>
      <c r="P4986" t="str">
        <f t="shared" si="571"/>
        <v>204646067</v>
      </c>
    </row>
    <row r="4987" spans="1:16" x14ac:dyDescent="0.3">
      <c r="A4987">
        <v>2046</v>
      </c>
      <c r="B4987">
        <v>54</v>
      </c>
      <c r="C4987" t="s">
        <v>15</v>
      </c>
      <c r="D4987" t="s">
        <v>16</v>
      </c>
      <c r="E4987" t="s">
        <v>17</v>
      </c>
      <c r="F4987" t="s">
        <v>18</v>
      </c>
      <c r="G4987" t="s">
        <v>41</v>
      </c>
      <c r="H4987" t="s">
        <v>25</v>
      </c>
      <c r="I4987" s="1">
        <v>3</v>
      </c>
      <c r="J4987" s="2">
        <v>46075</v>
      </c>
      <c r="K4987" s="2">
        <v>46054</v>
      </c>
      <c r="L4987" s="1" t="str">
        <f t="shared" si="572"/>
        <v>dom</v>
      </c>
      <c r="M4987" s="1" t="str">
        <f t="shared" si="573"/>
        <v>fev</v>
      </c>
      <c r="N4987">
        <f t="shared" si="574"/>
        <v>2026</v>
      </c>
      <c r="O4987" s="2"/>
      <c r="P4987" t="str">
        <f t="shared" si="571"/>
        <v>204646075</v>
      </c>
    </row>
    <row r="4988" spans="1:16" x14ac:dyDescent="0.3">
      <c r="A4988">
        <v>2046</v>
      </c>
      <c r="B4988">
        <v>54</v>
      </c>
      <c r="C4988" t="s">
        <v>15</v>
      </c>
      <c r="D4988" t="s">
        <v>16</v>
      </c>
      <c r="E4988" t="s">
        <v>17</v>
      </c>
      <c r="F4988" t="s">
        <v>18</v>
      </c>
      <c r="G4988" t="s">
        <v>41</v>
      </c>
      <c r="H4988" t="s">
        <v>25</v>
      </c>
      <c r="I4988" s="1">
        <v>3</v>
      </c>
      <c r="J4988" s="2">
        <v>46138</v>
      </c>
      <c r="K4988" s="2">
        <v>46113</v>
      </c>
      <c r="L4988" s="1" t="s">
        <v>54</v>
      </c>
      <c r="M4988" s="1" t="s">
        <v>48</v>
      </c>
      <c r="N4988">
        <v>2025</v>
      </c>
      <c r="O4988" s="2"/>
      <c r="P4988" t="str">
        <f t="shared" ref="P4988:P5051" si="575">CONCATENATE(A4988,J4988)</f>
        <v>204646138</v>
      </c>
    </row>
    <row r="4989" spans="1:16" x14ac:dyDescent="0.3">
      <c r="A4989">
        <v>2047</v>
      </c>
      <c r="B4989">
        <v>26</v>
      </c>
      <c r="C4989" t="s">
        <v>26</v>
      </c>
      <c r="D4989" t="s">
        <v>29</v>
      </c>
      <c r="E4989" t="s">
        <v>17</v>
      </c>
      <c r="F4989" t="s">
        <v>23</v>
      </c>
      <c r="G4989" t="s">
        <v>41</v>
      </c>
      <c r="H4989" t="s">
        <v>25</v>
      </c>
      <c r="I4989" s="1">
        <v>3</v>
      </c>
      <c r="J4989" s="2">
        <v>45833</v>
      </c>
      <c r="K4989" s="2">
        <v>45809</v>
      </c>
      <c r="L4989" s="1" t="str">
        <f t="shared" ref="L4989:L4998" si="576">TEXT(J4989,"ddd")</f>
        <v>qua</v>
      </c>
      <c r="M4989" s="1" t="str">
        <f t="shared" ref="M4989:M4998" si="577">TEXT($J4989,"mmm")</f>
        <v>jun</v>
      </c>
      <c r="N4989">
        <f t="shared" ref="N4989:N4998" si="578">YEAR(J4989)</f>
        <v>2025</v>
      </c>
      <c r="O4989" s="2"/>
      <c r="P4989" t="str">
        <f t="shared" si="575"/>
        <v>204745833</v>
      </c>
    </row>
    <row r="4990" spans="1:16" x14ac:dyDescent="0.3">
      <c r="A4990">
        <v>2047</v>
      </c>
      <c r="B4990">
        <v>26</v>
      </c>
      <c r="C4990" t="s">
        <v>26</v>
      </c>
      <c r="D4990" t="s">
        <v>29</v>
      </c>
      <c r="E4990" t="s">
        <v>17</v>
      </c>
      <c r="F4990" t="s">
        <v>23</v>
      </c>
      <c r="G4990" t="s">
        <v>41</v>
      </c>
      <c r="H4990" t="s">
        <v>25</v>
      </c>
      <c r="I4990" s="1">
        <v>3</v>
      </c>
      <c r="J4990" s="2">
        <v>45866</v>
      </c>
      <c r="K4990" s="2">
        <v>45839</v>
      </c>
      <c r="L4990" s="1" t="str">
        <f t="shared" si="576"/>
        <v>seg</v>
      </c>
      <c r="M4990" s="1" t="str">
        <f t="shared" si="577"/>
        <v>jul</v>
      </c>
      <c r="N4990">
        <f t="shared" si="578"/>
        <v>2025</v>
      </c>
      <c r="O4990" s="2"/>
      <c r="P4990" t="str">
        <f t="shared" si="575"/>
        <v>204745866</v>
      </c>
    </row>
    <row r="4991" spans="1:16" x14ac:dyDescent="0.3">
      <c r="A4991">
        <v>2047</v>
      </c>
      <c r="B4991">
        <v>26</v>
      </c>
      <c r="C4991" t="s">
        <v>26</v>
      </c>
      <c r="D4991" t="s">
        <v>29</v>
      </c>
      <c r="E4991" t="s">
        <v>17</v>
      </c>
      <c r="F4991" t="s">
        <v>23</v>
      </c>
      <c r="G4991" t="s">
        <v>41</v>
      </c>
      <c r="H4991" t="s">
        <v>25</v>
      </c>
      <c r="I4991" s="1">
        <v>3</v>
      </c>
      <c r="J4991" s="2">
        <v>45916</v>
      </c>
      <c r="K4991" s="2">
        <v>45901</v>
      </c>
      <c r="L4991" s="1" t="str">
        <f t="shared" si="576"/>
        <v>ter</v>
      </c>
      <c r="M4991" s="1" t="str">
        <f t="shared" si="577"/>
        <v>set</v>
      </c>
      <c r="N4991">
        <f t="shared" si="578"/>
        <v>2025</v>
      </c>
      <c r="O4991" s="2"/>
      <c r="P4991" t="str">
        <f t="shared" si="575"/>
        <v>204745916</v>
      </c>
    </row>
    <row r="4992" spans="1:16" x14ac:dyDescent="0.3">
      <c r="A4992">
        <v>2047</v>
      </c>
      <c r="B4992">
        <v>26</v>
      </c>
      <c r="C4992" t="s">
        <v>26</v>
      </c>
      <c r="D4992" t="s">
        <v>29</v>
      </c>
      <c r="E4992" t="s">
        <v>17</v>
      </c>
      <c r="F4992" t="s">
        <v>23</v>
      </c>
      <c r="G4992" t="s">
        <v>41</v>
      </c>
      <c r="H4992" t="s">
        <v>25</v>
      </c>
      <c r="I4992" s="1">
        <v>3</v>
      </c>
      <c r="J4992" s="2">
        <v>45918</v>
      </c>
      <c r="K4992" s="2">
        <v>45901</v>
      </c>
      <c r="L4992" s="1" t="str">
        <f t="shared" si="576"/>
        <v>qui</v>
      </c>
      <c r="M4992" s="1" t="str">
        <f t="shared" si="577"/>
        <v>set</v>
      </c>
      <c r="N4992">
        <f t="shared" si="578"/>
        <v>2025</v>
      </c>
      <c r="O4992" s="2"/>
      <c r="P4992" t="str">
        <f t="shared" si="575"/>
        <v>204745918</v>
      </c>
    </row>
    <row r="4993" spans="1:16" x14ac:dyDescent="0.3">
      <c r="A4993">
        <v>2047</v>
      </c>
      <c r="B4993">
        <v>26</v>
      </c>
      <c r="C4993" t="s">
        <v>26</v>
      </c>
      <c r="D4993" t="s">
        <v>29</v>
      </c>
      <c r="E4993" t="s">
        <v>17</v>
      </c>
      <c r="F4993" t="s">
        <v>23</v>
      </c>
      <c r="G4993" t="s">
        <v>41</v>
      </c>
      <c r="H4993" t="s">
        <v>25</v>
      </c>
      <c r="I4993" s="1">
        <v>3</v>
      </c>
      <c r="J4993" s="2">
        <v>45949</v>
      </c>
      <c r="K4993" s="2">
        <v>45931</v>
      </c>
      <c r="L4993" s="1" t="str">
        <f t="shared" si="576"/>
        <v>dom</v>
      </c>
      <c r="M4993" s="1" t="str">
        <f t="shared" si="577"/>
        <v>out</v>
      </c>
      <c r="N4993">
        <f t="shared" si="578"/>
        <v>2025</v>
      </c>
      <c r="O4993" s="2"/>
      <c r="P4993" t="str">
        <f t="shared" si="575"/>
        <v>204745949</v>
      </c>
    </row>
    <row r="4994" spans="1:16" x14ac:dyDescent="0.3">
      <c r="A4994">
        <v>2047</v>
      </c>
      <c r="B4994">
        <v>26</v>
      </c>
      <c r="C4994" t="s">
        <v>26</v>
      </c>
      <c r="D4994" t="s">
        <v>29</v>
      </c>
      <c r="E4994" t="s">
        <v>17</v>
      </c>
      <c r="F4994" t="s">
        <v>23</v>
      </c>
      <c r="G4994" t="s">
        <v>41</v>
      </c>
      <c r="H4994" t="s">
        <v>25</v>
      </c>
      <c r="I4994" s="1">
        <v>3</v>
      </c>
      <c r="J4994" s="2">
        <v>45957</v>
      </c>
      <c r="K4994" s="2">
        <v>45931</v>
      </c>
      <c r="L4994" s="1" t="str">
        <f t="shared" si="576"/>
        <v>seg</v>
      </c>
      <c r="M4994" s="1" t="str">
        <f t="shared" si="577"/>
        <v>out</v>
      </c>
      <c r="N4994">
        <f t="shared" si="578"/>
        <v>2025</v>
      </c>
      <c r="O4994" s="2"/>
      <c r="P4994" t="str">
        <f t="shared" si="575"/>
        <v>204745957</v>
      </c>
    </row>
    <row r="4995" spans="1:16" x14ac:dyDescent="0.3">
      <c r="A4995">
        <v>2049</v>
      </c>
      <c r="B4995">
        <v>55</v>
      </c>
      <c r="C4995" t="s">
        <v>15</v>
      </c>
      <c r="D4995" t="s">
        <v>16</v>
      </c>
      <c r="E4995" t="s">
        <v>17</v>
      </c>
      <c r="F4995" t="s">
        <v>21</v>
      </c>
      <c r="G4995" t="s">
        <v>41</v>
      </c>
      <c r="H4995" t="s">
        <v>25</v>
      </c>
      <c r="I4995" s="1">
        <v>1</v>
      </c>
      <c r="J4995" s="2">
        <v>45773</v>
      </c>
      <c r="K4995" s="2">
        <v>45748</v>
      </c>
      <c r="L4995" s="1" t="str">
        <f t="shared" si="576"/>
        <v>sáb</v>
      </c>
      <c r="M4995" s="1" t="str">
        <f t="shared" si="577"/>
        <v>abr</v>
      </c>
      <c r="N4995">
        <f t="shared" si="578"/>
        <v>2025</v>
      </c>
      <c r="O4995" s="2"/>
      <c r="P4995" t="str">
        <f t="shared" si="575"/>
        <v>204945773</v>
      </c>
    </row>
    <row r="4996" spans="1:16" x14ac:dyDescent="0.3">
      <c r="A4996">
        <v>2049</v>
      </c>
      <c r="B4996">
        <v>55</v>
      </c>
      <c r="C4996" t="s">
        <v>15</v>
      </c>
      <c r="D4996" t="s">
        <v>16</v>
      </c>
      <c r="E4996" t="s">
        <v>17</v>
      </c>
      <c r="F4996" t="s">
        <v>21</v>
      </c>
      <c r="G4996" t="s">
        <v>41</v>
      </c>
      <c r="H4996" t="s">
        <v>25</v>
      </c>
      <c r="I4996" s="1">
        <v>1</v>
      </c>
      <c r="J4996" s="2">
        <v>45867</v>
      </c>
      <c r="K4996" s="2">
        <v>45839</v>
      </c>
      <c r="L4996" s="1" t="str">
        <f t="shared" si="576"/>
        <v>ter</v>
      </c>
      <c r="M4996" s="1" t="str">
        <f t="shared" si="577"/>
        <v>jul</v>
      </c>
      <c r="N4996">
        <f t="shared" si="578"/>
        <v>2025</v>
      </c>
      <c r="O4996" s="2"/>
      <c r="P4996" t="str">
        <f t="shared" si="575"/>
        <v>204945867</v>
      </c>
    </row>
    <row r="4997" spans="1:16" x14ac:dyDescent="0.3">
      <c r="A4997">
        <v>2049</v>
      </c>
      <c r="B4997">
        <v>55</v>
      </c>
      <c r="C4997" t="s">
        <v>15</v>
      </c>
      <c r="D4997" t="s">
        <v>16</v>
      </c>
      <c r="E4997" t="s">
        <v>17</v>
      </c>
      <c r="F4997" t="s">
        <v>21</v>
      </c>
      <c r="G4997" t="s">
        <v>41</v>
      </c>
      <c r="H4997" t="s">
        <v>25</v>
      </c>
      <c r="I4997" s="1">
        <v>1</v>
      </c>
      <c r="J4997" s="2">
        <v>45904</v>
      </c>
      <c r="K4997" s="2">
        <v>45901</v>
      </c>
      <c r="L4997" s="1" t="str">
        <f t="shared" si="576"/>
        <v>qui</v>
      </c>
      <c r="M4997" s="1" t="str">
        <f t="shared" si="577"/>
        <v>set</v>
      </c>
      <c r="N4997">
        <f t="shared" si="578"/>
        <v>2025</v>
      </c>
      <c r="O4997" s="2"/>
      <c r="P4997" t="str">
        <f t="shared" si="575"/>
        <v>204945904</v>
      </c>
    </row>
    <row r="4998" spans="1:16" x14ac:dyDescent="0.3">
      <c r="A4998">
        <v>2049</v>
      </c>
      <c r="B4998">
        <v>55</v>
      </c>
      <c r="C4998" t="s">
        <v>15</v>
      </c>
      <c r="D4998" t="s">
        <v>16</v>
      </c>
      <c r="E4998" t="s">
        <v>17</v>
      </c>
      <c r="F4998" t="s">
        <v>21</v>
      </c>
      <c r="G4998" t="s">
        <v>41</v>
      </c>
      <c r="H4998" t="s">
        <v>25</v>
      </c>
      <c r="I4998" s="1">
        <v>1</v>
      </c>
      <c r="J4998" s="2">
        <v>46177</v>
      </c>
      <c r="K4998" s="2">
        <v>46023</v>
      </c>
      <c r="L4998" s="1" t="str">
        <f t="shared" si="576"/>
        <v>qui</v>
      </c>
      <c r="M4998" s="1" t="str">
        <f t="shared" si="577"/>
        <v>jun</v>
      </c>
      <c r="N4998">
        <f t="shared" si="578"/>
        <v>2026</v>
      </c>
      <c r="O4998" s="2"/>
      <c r="P4998" t="str">
        <f t="shared" si="575"/>
        <v>204946177</v>
      </c>
    </row>
    <row r="4999" spans="1:16" x14ac:dyDescent="0.3">
      <c r="A4999">
        <v>2049</v>
      </c>
      <c r="B4999">
        <v>55</v>
      </c>
      <c r="C4999" t="s">
        <v>15</v>
      </c>
      <c r="D4999" t="s">
        <v>16</v>
      </c>
      <c r="E4999" t="s">
        <v>17</v>
      </c>
      <c r="F4999" t="s">
        <v>21</v>
      </c>
      <c r="G4999" t="s">
        <v>41</v>
      </c>
      <c r="H4999" t="s">
        <v>25</v>
      </c>
      <c r="I4999" s="1">
        <v>1</v>
      </c>
      <c r="J4999" s="2">
        <v>46138</v>
      </c>
      <c r="K4999" s="2">
        <v>46113</v>
      </c>
      <c r="L4999" s="1" t="s">
        <v>54</v>
      </c>
      <c r="M4999" s="1" t="s">
        <v>48</v>
      </c>
      <c r="N4999">
        <v>2025</v>
      </c>
      <c r="O4999" s="2"/>
      <c r="P4999" t="str">
        <f t="shared" si="575"/>
        <v>204946138</v>
      </c>
    </row>
    <row r="5000" spans="1:16" x14ac:dyDescent="0.3">
      <c r="A5000">
        <v>2050</v>
      </c>
      <c r="B5000">
        <v>54</v>
      </c>
      <c r="C5000" t="s">
        <v>26</v>
      </c>
      <c r="D5000" t="s">
        <v>27</v>
      </c>
      <c r="E5000" t="s">
        <v>17</v>
      </c>
      <c r="F5000" t="s">
        <v>21</v>
      </c>
      <c r="G5000" t="s">
        <v>41</v>
      </c>
      <c r="H5000" t="s">
        <v>25</v>
      </c>
      <c r="I5000" s="1">
        <v>1</v>
      </c>
      <c r="J5000" s="2">
        <v>45854</v>
      </c>
      <c r="K5000" s="2">
        <v>45839</v>
      </c>
      <c r="L5000" s="1" t="str">
        <f t="shared" ref="L5000:L5039" si="579">TEXT(J5000,"ddd")</f>
        <v>qua</v>
      </c>
      <c r="M5000" s="1" t="str">
        <f t="shared" ref="M5000:M5039" si="580">TEXT($J5000,"mmm")</f>
        <v>jul</v>
      </c>
      <c r="N5000">
        <f t="shared" ref="N5000:N5039" si="581">YEAR(J5000)</f>
        <v>2025</v>
      </c>
      <c r="O5000" s="2"/>
      <c r="P5000" t="str">
        <f t="shared" si="575"/>
        <v>205045854</v>
      </c>
    </row>
    <row r="5001" spans="1:16" x14ac:dyDescent="0.3">
      <c r="A5001">
        <v>2050</v>
      </c>
      <c r="B5001">
        <v>54</v>
      </c>
      <c r="C5001" t="s">
        <v>26</v>
      </c>
      <c r="D5001" t="s">
        <v>27</v>
      </c>
      <c r="E5001" t="s">
        <v>17</v>
      </c>
      <c r="F5001" t="s">
        <v>21</v>
      </c>
      <c r="G5001" t="s">
        <v>41</v>
      </c>
      <c r="H5001" t="s">
        <v>25</v>
      </c>
      <c r="I5001" s="1">
        <v>1</v>
      </c>
      <c r="J5001" s="2">
        <v>45863</v>
      </c>
      <c r="K5001" s="2">
        <v>45839</v>
      </c>
      <c r="L5001" s="1" t="str">
        <f t="shared" si="579"/>
        <v>sex</v>
      </c>
      <c r="M5001" s="1" t="str">
        <f t="shared" si="580"/>
        <v>jul</v>
      </c>
      <c r="N5001">
        <f t="shared" si="581"/>
        <v>2025</v>
      </c>
      <c r="O5001" s="2"/>
      <c r="P5001" t="str">
        <f t="shared" si="575"/>
        <v>205045863</v>
      </c>
    </row>
    <row r="5002" spans="1:16" x14ac:dyDescent="0.3">
      <c r="A5002">
        <v>2050</v>
      </c>
      <c r="B5002">
        <v>54</v>
      </c>
      <c r="C5002" t="s">
        <v>26</v>
      </c>
      <c r="D5002" t="s">
        <v>27</v>
      </c>
      <c r="E5002" t="s">
        <v>17</v>
      </c>
      <c r="F5002" t="s">
        <v>21</v>
      </c>
      <c r="G5002" t="s">
        <v>41</v>
      </c>
      <c r="H5002" t="s">
        <v>25</v>
      </c>
      <c r="I5002" s="1">
        <v>1</v>
      </c>
      <c r="J5002" s="2">
        <v>45921</v>
      </c>
      <c r="K5002" s="2">
        <v>45901</v>
      </c>
      <c r="L5002" s="1" t="str">
        <f t="shared" si="579"/>
        <v>dom</v>
      </c>
      <c r="M5002" s="1" t="str">
        <f t="shared" si="580"/>
        <v>set</v>
      </c>
      <c r="N5002">
        <f t="shared" si="581"/>
        <v>2025</v>
      </c>
      <c r="O5002" s="2"/>
      <c r="P5002" t="str">
        <f t="shared" si="575"/>
        <v>205045921</v>
      </c>
    </row>
    <row r="5003" spans="1:16" x14ac:dyDescent="0.3">
      <c r="A5003">
        <v>2050</v>
      </c>
      <c r="B5003">
        <v>54</v>
      </c>
      <c r="C5003" t="s">
        <v>26</v>
      </c>
      <c r="D5003" t="s">
        <v>27</v>
      </c>
      <c r="E5003" t="s">
        <v>17</v>
      </c>
      <c r="F5003" t="s">
        <v>21</v>
      </c>
      <c r="G5003" t="s">
        <v>41</v>
      </c>
      <c r="H5003" t="s">
        <v>25</v>
      </c>
      <c r="I5003" s="1">
        <v>1</v>
      </c>
      <c r="J5003" s="2">
        <v>45926</v>
      </c>
      <c r="K5003" s="2">
        <v>45901</v>
      </c>
      <c r="L5003" s="1" t="str">
        <f t="shared" si="579"/>
        <v>sex</v>
      </c>
      <c r="M5003" s="1" t="str">
        <f t="shared" si="580"/>
        <v>set</v>
      </c>
      <c r="N5003">
        <f t="shared" si="581"/>
        <v>2025</v>
      </c>
      <c r="O5003" s="2"/>
      <c r="P5003" t="str">
        <f t="shared" si="575"/>
        <v>205045926</v>
      </c>
    </row>
    <row r="5004" spans="1:16" x14ac:dyDescent="0.3">
      <c r="A5004">
        <v>2050</v>
      </c>
      <c r="B5004">
        <v>54</v>
      </c>
      <c r="C5004" t="s">
        <v>26</v>
      </c>
      <c r="D5004" t="s">
        <v>27</v>
      </c>
      <c r="E5004" t="s">
        <v>17</v>
      </c>
      <c r="F5004" t="s">
        <v>21</v>
      </c>
      <c r="G5004" t="s">
        <v>41</v>
      </c>
      <c r="H5004" t="s">
        <v>25</v>
      </c>
      <c r="I5004" s="1">
        <v>1</v>
      </c>
      <c r="J5004" s="2">
        <v>46109</v>
      </c>
      <c r="K5004" s="2">
        <v>46082</v>
      </c>
      <c r="L5004" s="1" t="str">
        <f t="shared" si="579"/>
        <v>sáb</v>
      </c>
      <c r="M5004" s="1" t="str">
        <f t="shared" si="580"/>
        <v>mar</v>
      </c>
      <c r="N5004">
        <f t="shared" si="581"/>
        <v>2026</v>
      </c>
      <c r="O5004" s="2"/>
      <c r="P5004" t="str">
        <f t="shared" si="575"/>
        <v>205046109</v>
      </c>
    </row>
    <row r="5005" spans="1:16" x14ac:dyDescent="0.3">
      <c r="A5005">
        <v>2050</v>
      </c>
      <c r="B5005">
        <v>54</v>
      </c>
      <c r="C5005" t="s">
        <v>26</v>
      </c>
      <c r="D5005" t="s">
        <v>27</v>
      </c>
      <c r="E5005" t="s">
        <v>17</v>
      </c>
      <c r="F5005" t="s">
        <v>21</v>
      </c>
      <c r="G5005" t="s">
        <v>41</v>
      </c>
      <c r="H5005" t="s">
        <v>25</v>
      </c>
      <c r="I5005" s="1">
        <v>1</v>
      </c>
      <c r="J5005" s="2">
        <v>46174</v>
      </c>
      <c r="K5005" s="2">
        <v>46174</v>
      </c>
      <c r="L5005" s="1" t="str">
        <f t="shared" si="579"/>
        <v>seg</v>
      </c>
      <c r="M5005" s="1" t="str">
        <f t="shared" si="580"/>
        <v>jun</v>
      </c>
      <c r="N5005">
        <f t="shared" si="581"/>
        <v>2026</v>
      </c>
      <c r="O5005" s="2"/>
      <c r="P5005" t="str">
        <f t="shared" si="575"/>
        <v>205046174</v>
      </c>
    </row>
    <row r="5006" spans="1:16" x14ac:dyDescent="0.3">
      <c r="A5006">
        <v>2051</v>
      </c>
      <c r="B5006">
        <v>43</v>
      </c>
      <c r="C5006" t="s">
        <v>26</v>
      </c>
      <c r="D5006" t="s">
        <v>29</v>
      </c>
      <c r="E5006" t="s">
        <v>17</v>
      </c>
      <c r="F5006" t="s">
        <v>21</v>
      </c>
      <c r="G5006" t="s">
        <v>41</v>
      </c>
      <c r="H5006" t="s">
        <v>25</v>
      </c>
      <c r="I5006" s="1">
        <v>2</v>
      </c>
      <c r="J5006" s="2">
        <v>45867</v>
      </c>
      <c r="K5006" s="2">
        <v>45839</v>
      </c>
      <c r="L5006" s="1" t="str">
        <f t="shared" si="579"/>
        <v>ter</v>
      </c>
      <c r="M5006" s="1" t="str">
        <f t="shared" si="580"/>
        <v>jul</v>
      </c>
      <c r="N5006">
        <f t="shared" si="581"/>
        <v>2025</v>
      </c>
      <c r="O5006" s="2"/>
      <c r="P5006" t="str">
        <f t="shared" si="575"/>
        <v>205145867</v>
      </c>
    </row>
    <row r="5007" spans="1:16" x14ac:dyDescent="0.3">
      <c r="A5007">
        <v>2051</v>
      </c>
      <c r="B5007">
        <v>43</v>
      </c>
      <c r="C5007" t="s">
        <v>26</v>
      </c>
      <c r="D5007" t="s">
        <v>29</v>
      </c>
      <c r="E5007" t="s">
        <v>17</v>
      </c>
      <c r="F5007" t="s">
        <v>21</v>
      </c>
      <c r="G5007" t="s">
        <v>41</v>
      </c>
      <c r="H5007" t="s">
        <v>25</v>
      </c>
      <c r="I5007" s="1">
        <v>2</v>
      </c>
      <c r="J5007" s="2">
        <v>45886</v>
      </c>
      <c r="K5007" s="2">
        <v>45870</v>
      </c>
      <c r="L5007" s="1" t="str">
        <f t="shared" si="579"/>
        <v>dom</v>
      </c>
      <c r="M5007" s="1" t="str">
        <f t="shared" si="580"/>
        <v>ago</v>
      </c>
      <c r="N5007">
        <f t="shared" si="581"/>
        <v>2025</v>
      </c>
      <c r="O5007" s="2"/>
      <c r="P5007" t="str">
        <f t="shared" si="575"/>
        <v>205145886</v>
      </c>
    </row>
    <row r="5008" spans="1:16" x14ac:dyDescent="0.3">
      <c r="A5008">
        <v>2051</v>
      </c>
      <c r="B5008">
        <v>43</v>
      </c>
      <c r="C5008" t="s">
        <v>26</v>
      </c>
      <c r="D5008" t="s">
        <v>29</v>
      </c>
      <c r="E5008" t="s">
        <v>17</v>
      </c>
      <c r="F5008" t="s">
        <v>21</v>
      </c>
      <c r="G5008" t="s">
        <v>41</v>
      </c>
      <c r="H5008" t="s">
        <v>25</v>
      </c>
      <c r="I5008" s="1">
        <v>2</v>
      </c>
      <c r="J5008" s="2">
        <v>45888</v>
      </c>
      <c r="K5008" s="2">
        <v>45870</v>
      </c>
      <c r="L5008" s="1" t="str">
        <f t="shared" si="579"/>
        <v>ter</v>
      </c>
      <c r="M5008" s="1" t="str">
        <f t="shared" si="580"/>
        <v>ago</v>
      </c>
      <c r="N5008">
        <f t="shared" si="581"/>
        <v>2025</v>
      </c>
      <c r="O5008" s="2"/>
      <c r="P5008" t="str">
        <f t="shared" si="575"/>
        <v>205145888</v>
      </c>
    </row>
    <row r="5009" spans="1:16" x14ac:dyDescent="0.3">
      <c r="A5009">
        <v>2051</v>
      </c>
      <c r="B5009">
        <v>43</v>
      </c>
      <c r="C5009" t="s">
        <v>26</v>
      </c>
      <c r="D5009" t="s">
        <v>29</v>
      </c>
      <c r="E5009" t="s">
        <v>17</v>
      </c>
      <c r="F5009" t="s">
        <v>21</v>
      </c>
      <c r="G5009" t="s">
        <v>41</v>
      </c>
      <c r="H5009" t="s">
        <v>25</v>
      </c>
      <c r="I5009" s="1">
        <v>2</v>
      </c>
      <c r="J5009" s="2">
        <v>45973</v>
      </c>
      <c r="K5009" s="2">
        <v>45962</v>
      </c>
      <c r="L5009" s="1" t="str">
        <f t="shared" si="579"/>
        <v>qua</v>
      </c>
      <c r="M5009" s="1" t="str">
        <f t="shared" si="580"/>
        <v>nov</v>
      </c>
      <c r="N5009">
        <f t="shared" si="581"/>
        <v>2025</v>
      </c>
      <c r="O5009" s="2"/>
      <c r="P5009" t="str">
        <f t="shared" si="575"/>
        <v>205145973</v>
      </c>
    </row>
    <row r="5010" spans="1:16" x14ac:dyDescent="0.3">
      <c r="A5010">
        <v>2051</v>
      </c>
      <c r="B5010">
        <v>43</v>
      </c>
      <c r="C5010" t="s">
        <v>26</v>
      </c>
      <c r="D5010" t="s">
        <v>29</v>
      </c>
      <c r="E5010" t="s">
        <v>17</v>
      </c>
      <c r="F5010" t="s">
        <v>21</v>
      </c>
      <c r="G5010" t="s">
        <v>41</v>
      </c>
      <c r="H5010" t="s">
        <v>25</v>
      </c>
      <c r="I5010" s="1">
        <v>2</v>
      </c>
      <c r="J5010" s="2">
        <v>45995</v>
      </c>
      <c r="K5010" s="2">
        <v>45992</v>
      </c>
      <c r="L5010" s="1" t="str">
        <f t="shared" si="579"/>
        <v>qui</v>
      </c>
      <c r="M5010" s="1" t="str">
        <f t="shared" si="580"/>
        <v>dez</v>
      </c>
      <c r="N5010">
        <f t="shared" si="581"/>
        <v>2025</v>
      </c>
      <c r="O5010" s="2"/>
      <c r="P5010" t="str">
        <f t="shared" si="575"/>
        <v>205145995</v>
      </c>
    </row>
    <row r="5011" spans="1:16" x14ac:dyDescent="0.3">
      <c r="A5011">
        <v>2051</v>
      </c>
      <c r="B5011">
        <v>43</v>
      </c>
      <c r="C5011" t="s">
        <v>26</v>
      </c>
      <c r="D5011" t="s">
        <v>29</v>
      </c>
      <c r="E5011" t="s">
        <v>17</v>
      </c>
      <c r="F5011" t="s">
        <v>21</v>
      </c>
      <c r="G5011" t="s">
        <v>41</v>
      </c>
      <c r="H5011" t="s">
        <v>25</v>
      </c>
      <c r="I5011" s="1">
        <v>2</v>
      </c>
      <c r="J5011" s="2">
        <v>46068</v>
      </c>
      <c r="K5011" s="2">
        <v>46054</v>
      </c>
      <c r="L5011" s="1" t="str">
        <f t="shared" si="579"/>
        <v>dom</v>
      </c>
      <c r="M5011" s="1" t="str">
        <f t="shared" si="580"/>
        <v>fev</v>
      </c>
      <c r="N5011">
        <f t="shared" si="581"/>
        <v>2026</v>
      </c>
      <c r="O5011" s="2"/>
      <c r="P5011" t="str">
        <f t="shared" si="575"/>
        <v>205146068</v>
      </c>
    </row>
    <row r="5012" spans="1:16" x14ac:dyDescent="0.3">
      <c r="A5012">
        <v>2052</v>
      </c>
      <c r="B5012">
        <v>38</v>
      </c>
      <c r="C5012" t="s">
        <v>26</v>
      </c>
      <c r="D5012" t="s">
        <v>31</v>
      </c>
      <c r="E5012" t="s">
        <v>32</v>
      </c>
      <c r="F5012" t="s">
        <v>18</v>
      </c>
      <c r="G5012" t="s">
        <v>41</v>
      </c>
      <c r="H5012" t="s">
        <v>25</v>
      </c>
      <c r="I5012" s="1">
        <v>1</v>
      </c>
      <c r="J5012" s="2">
        <v>45814</v>
      </c>
      <c r="K5012" s="2">
        <v>45809</v>
      </c>
      <c r="L5012" s="1" t="str">
        <f t="shared" si="579"/>
        <v>sex</v>
      </c>
      <c r="M5012" s="1" t="str">
        <f t="shared" si="580"/>
        <v>jun</v>
      </c>
      <c r="N5012">
        <f t="shared" si="581"/>
        <v>2025</v>
      </c>
      <c r="O5012" s="2"/>
      <c r="P5012" t="str">
        <f t="shared" si="575"/>
        <v>205245814</v>
      </c>
    </row>
    <row r="5013" spans="1:16" x14ac:dyDescent="0.3">
      <c r="A5013">
        <v>2052</v>
      </c>
      <c r="B5013">
        <v>38</v>
      </c>
      <c r="C5013" t="s">
        <v>26</v>
      </c>
      <c r="D5013" t="s">
        <v>31</v>
      </c>
      <c r="E5013" t="s">
        <v>32</v>
      </c>
      <c r="F5013" t="s">
        <v>18</v>
      </c>
      <c r="G5013" t="s">
        <v>41</v>
      </c>
      <c r="H5013" t="s">
        <v>25</v>
      </c>
      <c r="I5013" s="1">
        <v>1</v>
      </c>
      <c r="J5013" s="2">
        <v>45859</v>
      </c>
      <c r="K5013" s="2">
        <v>45839</v>
      </c>
      <c r="L5013" s="1" t="str">
        <f t="shared" si="579"/>
        <v>seg</v>
      </c>
      <c r="M5013" s="1" t="str">
        <f t="shared" si="580"/>
        <v>jul</v>
      </c>
      <c r="N5013">
        <f t="shared" si="581"/>
        <v>2025</v>
      </c>
      <c r="O5013" s="2"/>
      <c r="P5013" t="str">
        <f t="shared" si="575"/>
        <v>205245859</v>
      </c>
    </row>
    <row r="5014" spans="1:16" x14ac:dyDescent="0.3">
      <c r="A5014">
        <v>2052</v>
      </c>
      <c r="B5014">
        <v>38</v>
      </c>
      <c r="C5014" t="s">
        <v>26</v>
      </c>
      <c r="D5014" t="s">
        <v>31</v>
      </c>
      <c r="E5014" t="s">
        <v>32</v>
      </c>
      <c r="F5014" t="s">
        <v>18</v>
      </c>
      <c r="G5014" t="s">
        <v>41</v>
      </c>
      <c r="H5014" t="s">
        <v>25</v>
      </c>
      <c r="I5014" s="1">
        <v>1</v>
      </c>
      <c r="J5014" s="2">
        <v>45918</v>
      </c>
      <c r="K5014" s="2">
        <v>45901</v>
      </c>
      <c r="L5014" s="1" t="str">
        <f t="shared" si="579"/>
        <v>qui</v>
      </c>
      <c r="M5014" s="1" t="str">
        <f t="shared" si="580"/>
        <v>set</v>
      </c>
      <c r="N5014">
        <f t="shared" si="581"/>
        <v>2025</v>
      </c>
      <c r="O5014" s="2"/>
      <c r="P5014" t="str">
        <f t="shared" si="575"/>
        <v>205245918</v>
      </c>
    </row>
    <row r="5015" spans="1:16" x14ac:dyDescent="0.3">
      <c r="A5015">
        <v>2052</v>
      </c>
      <c r="B5015">
        <v>38</v>
      </c>
      <c r="C5015" t="s">
        <v>26</v>
      </c>
      <c r="D5015" t="s">
        <v>31</v>
      </c>
      <c r="E5015" t="s">
        <v>32</v>
      </c>
      <c r="F5015" t="s">
        <v>18</v>
      </c>
      <c r="G5015" t="s">
        <v>41</v>
      </c>
      <c r="H5015" t="s">
        <v>25</v>
      </c>
      <c r="I5015" s="1">
        <v>1</v>
      </c>
      <c r="J5015" s="2">
        <v>46189</v>
      </c>
      <c r="K5015" s="2">
        <v>46023</v>
      </c>
      <c r="L5015" s="1" t="str">
        <f t="shared" si="579"/>
        <v>ter</v>
      </c>
      <c r="M5015" s="1" t="str">
        <f t="shared" si="580"/>
        <v>jun</v>
      </c>
      <c r="N5015">
        <f t="shared" si="581"/>
        <v>2026</v>
      </c>
      <c r="O5015" s="2"/>
      <c r="P5015" t="str">
        <f t="shared" si="575"/>
        <v>205246189</v>
      </c>
    </row>
    <row r="5016" spans="1:16" x14ac:dyDescent="0.3">
      <c r="A5016">
        <v>2053</v>
      </c>
      <c r="B5016">
        <v>24</v>
      </c>
      <c r="C5016" t="s">
        <v>15</v>
      </c>
      <c r="D5016" t="s">
        <v>16</v>
      </c>
      <c r="E5016" t="s">
        <v>17</v>
      </c>
      <c r="F5016" t="s">
        <v>18</v>
      </c>
      <c r="G5016" t="s">
        <v>41</v>
      </c>
      <c r="H5016" t="s">
        <v>25</v>
      </c>
      <c r="I5016" s="1">
        <v>3</v>
      </c>
      <c r="J5016" s="2">
        <v>45837</v>
      </c>
      <c r="K5016" s="2">
        <v>45809</v>
      </c>
      <c r="L5016" s="1" t="str">
        <f t="shared" si="579"/>
        <v>dom</v>
      </c>
      <c r="M5016" s="1" t="str">
        <f t="shared" si="580"/>
        <v>jun</v>
      </c>
      <c r="N5016">
        <f t="shared" si="581"/>
        <v>2025</v>
      </c>
      <c r="O5016" s="2"/>
      <c r="P5016" t="str">
        <f t="shared" si="575"/>
        <v>205345837</v>
      </c>
    </row>
    <row r="5017" spans="1:16" x14ac:dyDescent="0.3">
      <c r="A5017">
        <v>2053</v>
      </c>
      <c r="B5017">
        <v>24</v>
      </c>
      <c r="C5017" t="s">
        <v>15</v>
      </c>
      <c r="D5017" t="s">
        <v>16</v>
      </c>
      <c r="E5017" t="s">
        <v>17</v>
      </c>
      <c r="F5017" t="s">
        <v>18</v>
      </c>
      <c r="G5017" t="s">
        <v>41</v>
      </c>
      <c r="H5017" t="s">
        <v>25</v>
      </c>
      <c r="I5017" s="1">
        <v>3</v>
      </c>
      <c r="J5017" s="2">
        <v>45872</v>
      </c>
      <c r="K5017" s="2">
        <v>45870</v>
      </c>
      <c r="L5017" s="1" t="str">
        <f t="shared" si="579"/>
        <v>dom</v>
      </c>
      <c r="M5017" s="1" t="str">
        <f t="shared" si="580"/>
        <v>ago</v>
      </c>
      <c r="N5017">
        <f t="shared" si="581"/>
        <v>2025</v>
      </c>
      <c r="O5017" s="2"/>
      <c r="P5017" t="str">
        <f t="shared" si="575"/>
        <v>205345872</v>
      </c>
    </row>
    <row r="5018" spans="1:16" x14ac:dyDescent="0.3">
      <c r="A5018">
        <v>2053</v>
      </c>
      <c r="B5018">
        <v>24</v>
      </c>
      <c r="C5018" t="s">
        <v>15</v>
      </c>
      <c r="D5018" t="s">
        <v>16</v>
      </c>
      <c r="E5018" t="s">
        <v>17</v>
      </c>
      <c r="F5018" t="s">
        <v>18</v>
      </c>
      <c r="G5018" t="s">
        <v>41</v>
      </c>
      <c r="H5018" t="s">
        <v>25</v>
      </c>
      <c r="I5018" s="1">
        <v>3</v>
      </c>
      <c r="J5018" s="2">
        <v>45898</v>
      </c>
      <c r="K5018" s="2">
        <v>45870</v>
      </c>
      <c r="L5018" s="1" t="str">
        <f t="shared" si="579"/>
        <v>sex</v>
      </c>
      <c r="M5018" s="1" t="str">
        <f t="shared" si="580"/>
        <v>ago</v>
      </c>
      <c r="N5018">
        <f t="shared" si="581"/>
        <v>2025</v>
      </c>
      <c r="O5018" s="2"/>
      <c r="P5018" t="str">
        <f t="shared" si="575"/>
        <v>205345898</v>
      </c>
    </row>
    <row r="5019" spans="1:16" x14ac:dyDescent="0.3">
      <c r="A5019">
        <v>2053</v>
      </c>
      <c r="B5019">
        <v>24</v>
      </c>
      <c r="C5019" t="s">
        <v>15</v>
      </c>
      <c r="D5019" t="s">
        <v>16</v>
      </c>
      <c r="E5019" t="s">
        <v>17</v>
      </c>
      <c r="F5019" t="s">
        <v>18</v>
      </c>
      <c r="G5019" t="s">
        <v>41</v>
      </c>
      <c r="H5019" t="s">
        <v>25</v>
      </c>
      <c r="I5019" s="1">
        <v>3</v>
      </c>
      <c r="J5019" s="2">
        <v>45935</v>
      </c>
      <c r="K5019" s="2">
        <v>45931</v>
      </c>
      <c r="L5019" s="1" t="str">
        <f t="shared" si="579"/>
        <v>dom</v>
      </c>
      <c r="M5019" s="1" t="str">
        <f t="shared" si="580"/>
        <v>out</v>
      </c>
      <c r="N5019">
        <f t="shared" si="581"/>
        <v>2025</v>
      </c>
      <c r="O5019" s="2"/>
      <c r="P5019" t="str">
        <f t="shared" si="575"/>
        <v>205345935</v>
      </c>
    </row>
    <row r="5020" spans="1:16" x14ac:dyDescent="0.3">
      <c r="A5020">
        <v>2053</v>
      </c>
      <c r="B5020">
        <v>24</v>
      </c>
      <c r="C5020" t="s">
        <v>15</v>
      </c>
      <c r="D5020" t="s">
        <v>16</v>
      </c>
      <c r="E5020" t="s">
        <v>17</v>
      </c>
      <c r="F5020" t="s">
        <v>18</v>
      </c>
      <c r="G5020" t="s">
        <v>41</v>
      </c>
      <c r="H5020" t="s">
        <v>25</v>
      </c>
      <c r="I5020" s="1">
        <v>3</v>
      </c>
      <c r="J5020" s="2">
        <v>45981</v>
      </c>
      <c r="K5020" s="2">
        <v>45962</v>
      </c>
      <c r="L5020" s="1" t="str">
        <f t="shared" si="579"/>
        <v>qui</v>
      </c>
      <c r="M5020" s="1" t="str">
        <f t="shared" si="580"/>
        <v>nov</v>
      </c>
      <c r="N5020">
        <f t="shared" si="581"/>
        <v>2025</v>
      </c>
      <c r="O5020" s="2"/>
      <c r="P5020" t="str">
        <f t="shared" si="575"/>
        <v>205345981</v>
      </c>
    </row>
    <row r="5021" spans="1:16" x14ac:dyDescent="0.3">
      <c r="A5021">
        <v>2053</v>
      </c>
      <c r="B5021">
        <v>24</v>
      </c>
      <c r="C5021" t="s">
        <v>15</v>
      </c>
      <c r="D5021" t="s">
        <v>16</v>
      </c>
      <c r="E5021" t="s">
        <v>17</v>
      </c>
      <c r="F5021" t="s">
        <v>18</v>
      </c>
      <c r="G5021" t="s">
        <v>41</v>
      </c>
      <c r="H5021" t="s">
        <v>25</v>
      </c>
      <c r="I5021" s="1">
        <v>3</v>
      </c>
      <c r="J5021" s="2">
        <v>46202</v>
      </c>
      <c r="K5021" s="2">
        <v>46023</v>
      </c>
      <c r="L5021" s="1" t="str">
        <f t="shared" si="579"/>
        <v>seg</v>
      </c>
      <c r="M5021" s="1" t="str">
        <f t="shared" si="580"/>
        <v>jun</v>
      </c>
      <c r="N5021">
        <f t="shared" si="581"/>
        <v>2026</v>
      </c>
      <c r="O5021" s="2"/>
      <c r="P5021" t="str">
        <f t="shared" si="575"/>
        <v>205346202</v>
      </c>
    </row>
    <row r="5022" spans="1:16" x14ac:dyDescent="0.3">
      <c r="A5022">
        <v>2054</v>
      </c>
      <c r="B5022">
        <v>28</v>
      </c>
      <c r="C5022" t="s">
        <v>26</v>
      </c>
      <c r="D5022" t="s">
        <v>31</v>
      </c>
      <c r="E5022" t="s">
        <v>34</v>
      </c>
      <c r="F5022" t="s">
        <v>18</v>
      </c>
      <c r="G5022" t="s">
        <v>41</v>
      </c>
      <c r="H5022" t="s">
        <v>25</v>
      </c>
      <c r="I5022" s="1">
        <v>1</v>
      </c>
      <c r="J5022" s="2">
        <v>45940</v>
      </c>
      <c r="K5022" s="2">
        <v>45931</v>
      </c>
      <c r="L5022" s="1" t="str">
        <f t="shared" si="579"/>
        <v>sex</v>
      </c>
      <c r="M5022" s="1" t="str">
        <f t="shared" si="580"/>
        <v>out</v>
      </c>
      <c r="N5022">
        <f t="shared" si="581"/>
        <v>2025</v>
      </c>
      <c r="O5022" s="2"/>
      <c r="P5022" t="str">
        <f t="shared" si="575"/>
        <v>205445940</v>
      </c>
    </row>
    <row r="5023" spans="1:16" x14ac:dyDescent="0.3">
      <c r="A5023">
        <v>2054</v>
      </c>
      <c r="B5023">
        <v>28</v>
      </c>
      <c r="C5023" t="s">
        <v>26</v>
      </c>
      <c r="D5023" t="s">
        <v>31</v>
      </c>
      <c r="E5023" t="s">
        <v>34</v>
      </c>
      <c r="F5023" t="s">
        <v>18</v>
      </c>
      <c r="G5023" t="s">
        <v>41</v>
      </c>
      <c r="H5023" t="s">
        <v>25</v>
      </c>
      <c r="I5023" s="1">
        <v>1</v>
      </c>
      <c r="J5023" s="2">
        <v>45943</v>
      </c>
      <c r="K5023" s="2">
        <v>45931</v>
      </c>
      <c r="L5023" s="1" t="str">
        <f t="shared" si="579"/>
        <v>seg</v>
      </c>
      <c r="M5023" s="1" t="str">
        <f t="shared" si="580"/>
        <v>out</v>
      </c>
      <c r="N5023">
        <f t="shared" si="581"/>
        <v>2025</v>
      </c>
      <c r="O5023" s="2"/>
      <c r="P5023" t="str">
        <f t="shared" si="575"/>
        <v>205445943</v>
      </c>
    </row>
    <row r="5024" spans="1:16" x14ac:dyDescent="0.3">
      <c r="A5024">
        <v>2054</v>
      </c>
      <c r="B5024">
        <v>28</v>
      </c>
      <c r="C5024" t="s">
        <v>26</v>
      </c>
      <c r="D5024" t="s">
        <v>31</v>
      </c>
      <c r="E5024" t="s">
        <v>34</v>
      </c>
      <c r="F5024" t="s">
        <v>18</v>
      </c>
      <c r="G5024" t="s">
        <v>41</v>
      </c>
      <c r="H5024" t="s">
        <v>25</v>
      </c>
      <c r="I5024" s="1">
        <v>1</v>
      </c>
      <c r="J5024" s="2">
        <v>46188</v>
      </c>
      <c r="K5024" s="2">
        <v>46023</v>
      </c>
      <c r="L5024" s="1" t="str">
        <f t="shared" si="579"/>
        <v>seg</v>
      </c>
      <c r="M5024" s="1" t="str">
        <f t="shared" si="580"/>
        <v>jun</v>
      </c>
      <c r="N5024">
        <f t="shared" si="581"/>
        <v>2026</v>
      </c>
      <c r="O5024" s="2"/>
      <c r="P5024" t="str">
        <f t="shared" si="575"/>
        <v>205446188</v>
      </c>
    </row>
    <row r="5025" spans="1:16" x14ac:dyDescent="0.3">
      <c r="A5025">
        <v>2054</v>
      </c>
      <c r="B5025">
        <v>28</v>
      </c>
      <c r="C5025" t="s">
        <v>26</v>
      </c>
      <c r="D5025" t="s">
        <v>31</v>
      </c>
      <c r="E5025" t="s">
        <v>34</v>
      </c>
      <c r="F5025" t="s">
        <v>18</v>
      </c>
      <c r="G5025" t="s">
        <v>41</v>
      </c>
      <c r="H5025" t="s">
        <v>25</v>
      </c>
      <c r="I5025" s="1">
        <v>1</v>
      </c>
      <c r="J5025" s="2">
        <v>46074</v>
      </c>
      <c r="K5025" s="2">
        <v>46054</v>
      </c>
      <c r="L5025" s="1" t="str">
        <f t="shared" si="579"/>
        <v>sáb</v>
      </c>
      <c r="M5025" s="1" t="str">
        <f t="shared" si="580"/>
        <v>fev</v>
      </c>
      <c r="N5025">
        <f t="shared" si="581"/>
        <v>2026</v>
      </c>
      <c r="O5025" s="2"/>
      <c r="P5025" t="str">
        <f t="shared" si="575"/>
        <v>205446074</v>
      </c>
    </row>
    <row r="5026" spans="1:16" x14ac:dyDescent="0.3">
      <c r="A5026">
        <v>2056</v>
      </c>
      <c r="B5026">
        <v>41</v>
      </c>
      <c r="C5026" t="s">
        <v>26</v>
      </c>
      <c r="D5026" t="s">
        <v>29</v>
      </c>
      <c r="E5026" t="s">
        <v>17</v>
      </c>
      <c r="F5026" t="s">
        <v>18</v>
      </c>
      <c r="G5026" t="s">
        <v>41</v>
      </c>
      <c r="H5026" t="s">
        <v>25</v>
      </c>
      <c r="I5026" s="1">
        <v>2</v>
      </c>
      <c r="J5026" s="2">
        <v>45828</v>
      </c>
      <c r="K5026" s="2">
        <v>45809</v>
      </c>
      <c r="L5026" s="1" t="str">
        <f t="shared" si="579"/>
        <v>sex</v>
      </c>
      <c r="M5026" s="1" t="str">
        <f t="shared" si="580"/>
        <v>jun</v>
      </c>
      <c r="N5026">
        <f t="shared" si="581"/>
        <v>2025</v>
      </c>
      <c r="O5026" s="2"/>
      <c r="P5026" t="str">
        <f t="shared" si="575"/>
        <v>205645828</v>
      </c>
    </row>
    <row r="5027" spans="1:16" x14ac:dyDescent="0.3">
      <c r="A5027">
        <v>2056</v>
      </c>
      <c r="B5027">
        <v>41</v>
      </c>
      <c r="C5027" t="s">
        <v>26</v>
      </c>
      <c r="D5027" t="s">
        <v>29</v>
      </c>
      <c r="E5027" t="s">
        <v>17</v>
      </c>
      <c r="F5027" t="s">
        <v>18</v>
      </c>
      <c r="G5027" t="s">
        <v>41</v>
      </c>
      <c r="H5027" t="s">
        <v>25</v>
      </c>
      <c r="I5027" s="1">
        <v>2</v>
      </c>
      <c r="J5027" s="2">
        <v>45837</v>
      </c>
      <c r="K5027" s="2">
        <v>45809</v>
      </c>
      <c r="L5027" s="1" t="str">
        <f t="shared" si="579"/>
        <v>dom</v>
      </c>
      <c r="M5027" s="1" t="str">
        <f t="shared" si="580"/>
        <v>jun</v>
      </c>
      <c r="N5027">
        <f t="shared" si="581"/>
        <v>2025</v>
      </c>
      <c r="O5027" s="2"/>
      <c r="P5027" t="str">
        <f t="shared" si="575"/>
        <v>205645837</v>
      </c>
    </row>
    <row r="5028" spans="1:16" x14ac:dyDescent="0.3">
      <c r="A5028">
        <v>2056</v>
      </c>
      <c r="B5028">
        <v>41</v>
      </c>
      <c r="C5028" t="s">
        <v>26</v>
      </c>
      <c r="D5028" t="s">
        <v>29</v>
      </c>
      <c r="E5028" t="s">
        <v>17</v>
      </c>
      <c r="F5028" t="s">
        <v>18</v>
      </c>
      <c r="G5028" t="s">
        <v>41</v>
      </c>
      <c r="H5028" t="s">
        <v>25</v>
      </c>
      <c r="I5028" s="1">
        <v>2</v>
      </c>
      <c r="J5028" s="2">
        <v>45894</v>
      </c>
      <c r="K5028" s="2">
        <v>45870</v>
      </c>
      <c r="L5028" s="1" t="str">
        <f t="shared" si="579"/>
        <v>seg</v>
      </c>
      <c r="M5028" s="1" t="str">
        <f t="shared" si="580"/>
        <v>ago</v>
      </c>
      <c r="N5028">
        <f t="shared" si="581"/>
        <v>2025</v>
      </c>
      <c r="O5028" s="2"/>
      <c r="P5028" t="str">
        <f t="shared" si="575"/>
        <v>205645894</v>
      </c>
    </row>
    <row r="5029" spans="1:16" x14ac:dyDescent="0.3">
      <c r="A5029">
        <v>2056</v>
      </c>
      <c r="B5029">
        <v>41</v>
      </c>
      <c r="C5029" t="s">
        <v>26</v>
      </c>
      <c r="D5029" t="s">
        <v>29</v>
      </c>
      <c r="E5029" t="s">
        <v>17</v>
      </c>
      <c r="F5029" t="s">
        <v>18</v>
      </c>
      <c r="G5029" t="s">
        <v>41</v>
      </c>
      <c r="H5029" t="s">
        <v>25</v>
      </c>
      <c r="I5029" s="1">
        <v>2</v>
      </c>
      <c r="J5029" s="2">
        <v>45919</v>
      </c>
      <c r="K5029" s="2">
        <v>45901</v>
      </c>
      <c r="L5029" s="1" t="str">
        <f t="shared" si="579"/>
        <v>sex</v>
      </c>
      <c r="M5029" s="1" t="str">
        <f t="shared" si="580"/>
        <v>set</v>
      </c>
      <c r="N5029">
        <f t="shared" si="581"/>
        <v>2025</v>
      </c>
      <c r="O5029" s="2"/>
      <c r="P5029" t="str">
        <f t="shared" si="575"/>
        <v>205645919</v>
      </c>
    </row>
    <row r="5030" spans="1:16" x14ac:dyDescent="0.3">
      <c r="A5030">
        <v>2056</v>
      </c>
      <c r="B5030">
        <v>41</v>
      </c>
      <c r="C5030" t="s">
        <v>26</v>
      </c>
      <c r="D5030" t="s">
        <v>29</v>
      </c>
      <c r="E5030" t="s">
        <v>17</v>
      </c>
      <c r="F5030" t="s">
        <v>18</v>
      </c>
      <c r="G5030" t="s">
        <v>41</v>
      </c>
      <c r="H5030" t="s">
        <v>25</v>
      </c>
      <c r="I5030" s="1">
        <v>2</v>
      </c>
      <c r="J5030" s="2">
        <v>46055</v>
      </c>
      <c r="K5030" s="2">
        <v>46054</v>
      </c>
      <c r="L5030" s="1" t="str">
        <f t="shared" si="579"/>
        <v>seg</v>
      </c>
      <c r="M5030" s="1" t="str">
        <f t="shared" si="580"/>
        <v>fev</v>
      </c>
      <c r="N5030">
        <f t="shared" si="581"/>
        <v>2026</v>
      </c>
      <c r="O5030" s="2"/>
      <c r="P5030" t="str">
        <f t="shared" si="575"/>
        <v>205646055</v>
      </c>
    </row>
    <row r="5031" spans="1:16" x14ac:dyDescent="0.3">
      <c r="A5031">
        <v>2057</v>
      </c>
      <c r="B5031">
        <v>53</v>
      </c>
      <c r="C5031" t="s">
        <v>26</v>
      </c>
      <c r="D5031" t="s">
        <v>22</v>
      </c>
      <c r="E5031" t="s">
        <v>17</v>
      </c>
      <c r="F5031" t="s">
        <v>21</v>
      </c>
      <c r="G5031" t="s">
        <v>41</v>
      </c>
      <c r="H5031" t="s">
        <v>25</v>
      </c>
      <c r="I5031" s="1">
        <v>1</v>
      </c>
      <c r="J5031" s="2">
        <v>45896</v>
      </c>
      <c r="K5031" s="2">
        <v>45870</v>
      </c>
      <c r="L5031" s="1" t="str">
        <f t="shared" si="579"/>
        <v>qua</v>
      </c>
      <c r="M5031" s="1" t="str">
        <f t="shared" si="580"/>
        <v>ago</v>
      </c>
      <c r="N5031">
        <f t="shared" si="581"/>
        <v>2025</v>
      </c>
      <c r="O5031" s="2"/>
      <c r="P5031" t="str">
        <f t="shared" si="575"/>
        <v>205745896</v>
      </c>
    </row>
    <row r="5032" spans="1:16" x14ac:dyDescent="0.3">
      <c r="A5032">
        <v>2057</v>
      </c>
      <c r="B5032">
        <v>53</v>
      </c>
      <c r="C5032" t="s">
        <v>26</v>
      </c>
      <c r="D5032" t="s">
        <v>22</v>
      </c>
      <c r="E5032" t="s">
        <v>17</v>
      </c>
      <c r="F5032" t="s">
        <v>21</v>
      </c>
      <c r="G5032" t="s">
        <v>41</v>
      </c>
      <c r="H5032" t="s">
        <v>25</v>
      </c>
      <c r="I5032" s="1">
        <v>1</v>
      </c>
      <c r="J5032" s="2">
        <v>45911</v>
      </c>
      <c r="K5032" s="2">
        <v>45901</v>
      </c>
      <c r="L5032" s="1" t="str">
        <f t="shared" si="579"/>
        <v>qui</v>
      </c>
      <c r="M5032" s="1" t="str">
        <f t="shared" si="580"/>
        <v>set</v>
      </c>
      <c r="N5032">
        <f t="shared" si="581"/>
        <v>2025</v>
      </c>
      <c r="O5032" s="2"/>
      <c r="P5032" t="str">
        <f t="shared" si="575"/>
        <v>205745911</v>
      </c>
    </row>
    <row r="5033" spans="1:16" x14ac:dyDescent="0.3">
      <c r="A5033">
        <v>2057</v>
      </c>
      <c r="B5033">
        <v>53</v>
      </c>
      <c r="C5033" t="s">
        <v>26</v>
      </c>
      <c r="D5033" t="s">
        <v>22</v>
      </c>
      <c r="E5033" t="s">
        <v>17</v>
      </c>
      <c r="F5033" t="s">
        <v>21</v>
      </c>
      <c r="G5033" t="s">
        <v>41</v>
      </c>
      <c r="H5033" t="s">
        <v>25</v>
      </c>
      <c r="I5033" s="1">
        <v>1</v>
      </c>
      <c r="J5033" s="2">
        <v>46018</v>
      </c>
      <c r="K5033" s="2">
        <v>45992</v>
      </c>
      <c r="L5033" s="1" t="str">
        <f t="shared" si="579"/>
        <v>sáb</v>
      </c>
      <c r="M5033" s="1" t="str">
        <f t="shared" si="580"/>
        <v>dez</v>
      </c>
      <c r="N5033">
        <f t="shared" si="581"/>
        <v>2025</v>
      </c>
      <c r="O5033" s="2"/>
      <c r="P5033" t="str">
        <f t="shared" si="575"/>
        <v>205746018</v>
      </c>
    </row>
    <row r="5034" spans="1:16" x14ac:dyDescent="0.3">
      <c r="A5034">
        <v>2057</v>
      </c>
      <c r="B5034">
        <v>53</v>
      </c>
      <c r="C5034" t="s">
        <v>26</v>
      </c>
      <c r="D5034" t="s">
        <v>22</v>
      </c>
      <c r="E5034" t="s">
        <v>17</v>
      </c>
      <c r="F5034" t="s">
        <v>21</v>
      </c>
      <c r="G5034" t="s">
        <v>41</v>
      </c>
      <c r="H5034" t="s">
        <v>25</v>
      </c>
      <c r="I5034" s="1">
        <v>1</v>
      </c>
      <c r="J5034" s="2">
        <v>46072</v>
      </c>
      <c r="K5034" s="2">
        <v>46054</v>
      </c>
      <c r="L5034" s="1" t="str">
        <f t="shared" si="579"/>
        <v>qui</v>
      </c>
      <c r="M5034" s="1" t="str">
        <f t="shared" si="580"/>
        <v>fev</v>
      </c>
      <c r="N5034">
        <f t="shared" si="581"/>
        <v>2026</v>
      </c>
      <c r="O5034" s="2"/>
      <c r="P5034" t="str">
        <f t="shared" si="575"/>
        <v>205746072</v>
      </c>
    </row>
    <row r="5035" spans="1:16" x14ac:dyDescent="0.3">
      <c r="A5035">
        <v>2059</v>
      </c>
      <c r="B5035">
        <v>57</v>
      </c>
      <c r="C5035" t="s">
        <v>26</v>
      </c>
      <c r="D5035" t="s">
        <v>16</v>
      </c>
      <c r="E5035" t="s">
        <v>17</v>
      </c>
      <c r="F5035" t="s">
        <v>21</v>
      </c>
      <c r="G5035" t="s">
        <v>41</v>
      </c>
      <c r="H5035" t="s">
        <v>25</v>
      </c>
      <c r="I5035" s="1">
        <v>2</v>
      </c>
      <c r="J5035" s="2">
        <v>45775</v>
      </c>
      <c r="K5035" s="2">
        <v>45748</v>
      </c>
      <c r="L5035" s="1" t="str">
        <f t="shared" si="579"/>
        <v>seg</v>
      </c>
      <c r="M5035" s="1" t="str">
        <f t="shared" si="580"/>
        <v>abr</v>
      </c>
      <c r="N5035">
        <f t="shared" si="581"/>
        <v>2025</v>
      </c>
      <c r="O5035" s="2"/>
      <c r="P5035" t="str">
        <f t="shared" si="575"/>
        <v>205945775</v>
      </c>
    </row>
    <row r="5036" spans="1:16" x14ac:dyDescent="0.3">
      <c r="A5036">
        <v>2059</v>
      </c>
      <c r="B5036">
        <v>57</v>
      </c>
      <c r="C5036" t="s">
        <v>26</v>
      </c>
      <c r="D5036" t="s">
        <v>16</v>
      </c>
      <c r="E5036" t="s">
        <v>17</v>
      </c>
      <c r="F5036" t="s">
        <v>21</v>
      </c>
      <c r="G5036" t="s">
        <v>41</v>
      </c>
      <c r="H5036" t="s">
        <v>25</v>
      </c>
      <c r="I5036" s="1">
        <v>2</v>
      </c>
      <c r="J5036" s="2">
        <v>45925</v>
      </c>
      <c r="K5036" s="2">
        <v>45901</v>
      </c>
      <c r="L5036" s="1" t="str">
        <f t="shared" si="579"/>
        <v>qui</v>
      </c>
      <c r="M5036" s="1" t="str">
        <f t="shared" si="580"/>
        <v>set</v>
      </c>
      <c r="N5036">
        <f t="shared" si="581"/>
        <v>2025</v>
      </c>
      <c r="O5036" s="2"/>
      <c r="P5036" t="str">
        <f t="shared" si="575"/>
        <v>205945925</v>
      </c>
    </row>
    <row r="5037" spans="1:16" x14ac:dyDescent="0.3">
      <c r="A5037">
        <v>2059</v>
      </c>
      <c r="B5037">
        <v>57</v>
      </c>
      <c r="C5037" t="s">
        <v>26</v>
      </c>
      <c r="D5037" t="s">
        <v>16</v>
      </c>
      <c r="E5037" t="s">
        <v>17</v>
      </c>
      <c r="F5037" t="s">
        <v>21</v>
      </c>
      <c r="G5037" t="s">
        <v>41</v>
      </c>
      <c r="H5037" t="s">
        <v>25</v>
      </c>
      <c r="I5037" s="1">
        <v>2</v>
      </c>
      <c r="J5037" s="2">
        <v>45967</v>
      </c>
      <c r="K5037" s="2">
        <v>45962</v>
      </c>
      <c r="L5037" s="1" t="str">
        <f t="shared" si="579"/>
        <v>qui</v>
      </c>
      <c r="M5037" s="1" t="str">
        <f t="shared" si="580"/>
        <v>nov</v>
      </c>
      <c r="N5037">
        <f t="shared" si="581"/>
        <v>2025</v>
      </c>
      <c r="O5037" s="2"/>
      <c r="P5037" t="str">
        <f t="shared" si="575"/>
        <v>205945967</v>
      </c>
    </row>
    <row r="5038" spans="1:16" x14ac:dyDescent="0.3">
      <c r="A5038">
        <v>2059</v>
      </c>
      <c r="B5038">
        <v>57</v>
      </c>
      <c r="C5038" t="s">
        <v>26</v>
      </c>
      <c r="D5038" t="s">
        <v>16</v>
      </c>
      <c r="E5038" t="s">
        <v>17</v>
      </c>
      <c r="F5038" t="s">
        <v>21</v>
      </c>
      <c r="G5038" t="s">
        <v>41</v>
      </c>
      <c r="H5038" t="s">
        <v>25</v>
      </c>
      <c r="I5038" s="1">
        <v>2</v>
      </c>
      <c r="J5038" s="2">
        <v>45995</v>
      </c>
      <c r="K5038" s="2">
        <v>45992</v>
      </c>
      <c r="L5038" s="1" t="str">
        <f t="shared" si="579"/>
        <v>qui</v>
      </c>
      <c r="M5038" s="1" t="str">
        <f t="shared" si="580"/>
        <v>dez</v>
      </c>
      <c r="N5038">
        <f t="shared" si="581"/>
        <v>2025</v>
      </c>
      <c r="O5038" s="2"/>
      <c r="P5038" t="str">
        <f t="shared" si="575"/>
        <v>205945995</v>
      </c>
    </row>
    <row r="5039" spans="1:16" x14ac:dyDescent="0.3">
      <c r="A5039">
        <v>2059</v>
      </c>
      <c r="B5039">
        <v>57</v>
      </c>
      <c r="C5039" t="s">
        <v>26</v>
      </c>
      <c r="D5039" t="s">
        <v>16</v>
      </c>
      <c r="E5039" t="s">
        <v>17</v>
      </c>
      <c r="F5039" t="s">
        <v>21</v>
      </c>
      <c r="G5039" t="s">
        <v>41</v>
      </c>
      <c r="H5039" t="s">
        <v>25</v>
      </c>
      <c r="I5039" s="1">
        <v>2</v>
      </c>
      <c r="J5039" s="2">
        <v>46182</v>
      </c>
      <c r="K5039" s="2">
        <v>46023</v>
      </c>
      <c r="L5039" s="1" t="str">
        <f t="shared" si="579"/>
        <v>ter</v>
      </c>
      <c r="M5039" s="1" t="str">
        <f t="shared" si="580"/>
        <v>jun</v>
      </c>
      <c r="N5039">
        <f t="shared" si="581"/>
        <v>2026</v>
      </c>
      <c r="O5039" s="2"/>
      <c r="P5039" t="str">
        <f t="shared" si="575"/>
        <v>205946182</v>
      </c>
    </row>
    <row r="5040" spans="1:16" x14ac:dyDescent="0.3">
      <c r="A5040">
        <v>2059</v>
      </c>
      <c r="B5040">
        <v>57</v>
      </c>
      <c r="C5040" t="s">
        <v>26</v>
      </c>
      <c r="D5040" t="s">
        <v>16</v>
      </c>
      <c r="E5040" t="s">
        <v>17</v>
      </c>
      <c r="F5040" t="s">
        <v>21</v>
      </c>
      <c r="G5040" t="s">
        <v>41</v>
      </c>
      <c r="H5040" t="s">
        <v>25</v>
      </c>
      <c r="I5040" s="1">
        <v>2</v>
      </c>
      <c r="J5040" s="2">
        <v>46140</v>
      </c>
      <c r="K5040" s="2">
        <v>46113</v>
      </c>
      <c r="L5040" s="1" t="s">
        <v>56</v>
      </c>
      <c r="M5040" s="1" t="s">
        <v>48</v>
      </c>
      <c r="N5040">
        <v>2025</v>
      </c>
      <c r="O5040" s="2"/>
      <c r="P5040" t="str">
        <f t="shared" si="575"/>
        <v>205946140</v>
      </c>
    </row>
    <row r="5041" spans="1:16" x14ac:dyDescent="0.3">
      <c r="A5041">
        <v>2060</v>
      </c>
      <c r="B5041">
        <v>37</v>
      </c>
      <c r="C5041" t="s">
        <v>26</v>
      </c>
      <c r="D5041" t="s">
        <v>22</v>
      </c>
      <c r="E5041" t="s">
        <v>17</v>
      </c>
      <c r="F5041" t="s">
        <v>18</v>
      </c>
      <c r="G5041" t="s">
        <v>41</v>
      </c>
      <c r="H5041" t="s">
        <v>25</v>
      </c>
      <c r="I5041" s="1">
        <v>3</v>
      </c>
      <c r="J5041" s="2">
        <v>45897</v>
      </c>
      <c r="K5041" s="2">
        <v>45870</v>
      </c>
      <c r="L5041" s="1" t="str">
        <f t="shared" ref="L5041:L5072" si="582">TEXT(J5041,"ddd")</f>
        <v>qui</v>
      </c>
      <c r="M5041" s="1" t="str">
        <f t="shared" ref="M5041:M5072" si="583">TEXT($J5041,"mmm")</f>
        <v>ago</v>
      </c>
      <c r="N5041">
        <f t="shared" ref="N5041:N5072" si="584">YEAR(J5041)</f>
        <v>2025</v>
      </c>
      <c r="O5041" s="2"/>
      <c r="P5041" t="str">
        <f t="shared" si="575"/>
        <v>206045897</v>
      </c>
    </row>
    <row r="5042" spans="1:16" x14ac:dyDescent="0.3">
      <c r="A5042">
        <v>2060</v>
      </c>
      <c r="B5042">
        <v>37</v>
      </c>
      <c r="C5042" t="s">
        <v>26</v>
      </c>
      <c r="D5042" t="s">
        <v>22</v>
      </c>
      <c r="E5042" t="s">
        <v>17</v>
      </c>
      <c r="F5042" t="s">
        <v>18</v>
      </c>
      <c r="G5042" t="s">
        <v>41</v>
      </c>
      <c r="H5042" t="s">
        <v>25</v>
      </c>
      <c r="I5042" s="1">
        <v>3</v>
      </c>
      <c r="J5042" s="2">
        <v>45904</v>
      </c>
      <c r="K5042" s="2">
        <v>45901</v>
      </c>
      <c r="L5042" s="1" t="str">
        <f t="shared" si="582"/>
        <v>qui</v>
      </c>
      <c r="M5042" s="1" t="str">
        <f t="shared" si="583"/>
        <v>set</v>
      </c>
      <c r="N5042">
        <f t="shared" si="584"/>
        <v>2025</v>
      </c>
      <c r="O5042" s="2"/>
      <c r="P5042" t="str">
        <f t="shared" si="575"/>
        <v>206045904</v>
      </c>
    </row>
    <row r="5043" spans="1:16" x14ac:dyDescent="0.3">
      <c r="A5043">
        <v>2060</v>
      </c>
      <c r="B5043">
        <v>37</v>
      </c>
      <c r="C5043" t="s">
        <v>26</v>
      </c>
      <c r="D5043" t="s">
        <v>22</v>
      </c>
      <c r="E5043" t="s">
        <v>17</v>
      </c>
      <c r="F5043" t="s">
        <v>18</v>
      </c>
      <c r="G5043" t="s">
        <v>41</v>
      </c>
      <c r="H5043" t="s">
        <v>25</v>
      </c>
      <c r="I5043" s="1">
        <v>3</v>
      </c>
      <c r="J5043" s="2">
        <v>45942</v>
      </c>
      <c r="K5043" s="2">
        <v>45931</v>
      </c>
      <c r="L5043" s="1" t="str">
        <f t="shared" si="582"/>
        <v>dom</v>
      </c>
      <c r="M5043" s="1" t="str">
        <f t="shared" si="583"/>
        <v>out</v>
      </c>
      <c r="N5043">
        <f t="shared" si="584"/>
        <v>2025</v>
      </c>
      <c r="O5043" s="2"/>
      <c r="P5043" t="str">
        <f t="shared" si="575"/>
        <v>206045942</v>
      </c>
    </row>
    <row r="5044" spans="1:16" x14ac:dyDescent="0.3">
      <c r="A5044">
        <v>2060</v>
      </c>
      <c r="B5044">
        <v>37</v>
      </c>
      <c r="C5044" t="s">
        <v>26</v>
      </c>
      <c r="D5044" t="s">
        <v>22</v>
      </c>
      <c r="E5044" t="s">
        <v>17</v>
      </c>
      <c r="F5044" t="s">
        <v>18</v>
      </c>
      <c r="G5044" t="s">
        <v>41</v>
      </c>
      <c r="H5044" t="s">
        <v>25</v>
      </c>
      <c r="I5044" s="1">
        <v>3</v>
      </c>
      <c r="J5044" s="2">
        <v>45958</v>
      </c>
      <c r="K5044" s="2">
        <v>45931</v>
      </c>
      <c r="L5044" s="1" t="str">
        <f t="shared" si="582"/>
        <v>ter</v>
      </c>
      <c r="M5044" s="1" t="str">
        <f t="shared" si="583"/>
        <v>out</v>
      </c>
      <c r="N5044">
        <f t="shared" si="584"/>
        <v>2025</v>
      </c>
      <c r="O5044" s="2"/>
      <c r="P5044" t="str">
        <f t="shared" si="575"/>
        <v>206045958</v>
      </c>
    </row>
    <row r="5045" spans="1:16" x14ac:dyDescent="0.3">
      <c r="A5045">
        <v>2060</v>
      </c>
      <c r="B5045">
        <v>37</v>
      </c>
      <c r="C5045" t="s">
        <v>26</v>
      </c>
      <c r="D5045" t="s">
        <v>22</v>
      </c>
      <c r="E5045" t="s">
        <v>17</v>
      </c>
      <c r="F5045" t="s">
        <v>18</v>
      </c>
      <c r="G5045" t="s">
        <v>41</v>
      </c>
      <c r="H5045" t="s">
        <v>25</v>
      </c>
      <c r="I5045" s="1">
        <v>3</v>
      </c>
      <c r="J5045" s="2">
        <v>45985</v>
      </c>
      <c r="K5045" s="2">
        <v>45962</v>
      </c>
      <c r="L5045" s="1" t="str">
        <f t="shared" si="582"/>
        <v>seg</v>
      </c>
      <c r="M5045" s="1" t="str">
        <f t="shared" si="583"/>
        <v>nov</v>
      </c>
      <c r="N5045">
        <f t="shared" si="584"/>
        <v>2025</v>
      </c>
      <c r="O5045" s="2"/>
      <c r="P5045" t="str">
        <f t="shared" si="575"/>
        <v>206045985</v>
      </c>
    </row>
    <row r="5046" spans="1:16" x14ac:dyDescent="0.3">
      <c r="A5046">
        <v>2060</v>
      </c>
      <c r="B5046">
        <v>37</v>
      </c>
      <c r="C5046" t="s">
        <v>26</v>
      </c>
      <c r="D5046" t="s">
        <v>22</v>
      </c>
      <c r="E5046" t="s">
        <v>17</v>
      </c>
      <c r="F5046" t="s">
        <v>18</v>
      </c>
      <c r="G5046" t="s">
        <v>41</v>
      </c>
      <c r="H5046" t="s">
        <v>25</v>
      </c>
      <c r="I5046" s="1">
        <v>3</v>
      </c>
      <c r="J5046" s="2">
        <v>46189</v>
      </c>
      <c r="K5046" s="2">
        <v>46023</v>
      </c>
      <c r="L5046" s="1" t="str">
        <f t="shared" si="582"/>
        <v>ter</v>
      </c>
      <c r="M5046" s="1" t="str">
        <f t="shared" si="583"/>
        <v>jun</v>
      </c>
      <c r="N5046">
        <f t="shared" si="584"/>
        <v>2026</v>
      </c>
      <c r="O5046" s="2"/>
      <c r="P5046" t="str">
        <f t="shared" si="575"/>
        <v>206046189</v>
      </c>
    </row>
    <row r="5047" spans="1:16" x14ac:dyDescent="0.3">
      <c r="A5047">
        <v>2061</v>
      </c>
      <c r="B5047">
        <v>55</v>
      </c>
      <c r="C5047" t="s">
        <v>15</v>
      </c>
      <c r="D5047" t="s">
        <v>27</v>
      </c>
      <c r="E5047" t="s">
        <v>17</v>
      </c>
      <c r="F5047" t="s">
        <v>21</v>
      </c>
      <c r="G5047" t="s">
        <v>41</v>
      </c>
      <c r="H5047" t="s">
        <v>25</v>
      </c>
      <c r="I5047" s="1">
        <v>2</v>
      </c>
      <c r="J5047" s="2">
        <v>45827</v>
      </c>
      <c r="K5047" s="2">
        <v>45809</v>
      </c>
      <c r="L5047" s="1" t="str">
        <f t="shared" si="582"/>
        <v>qui</v>
      </c>
      <c r="M5047" s="1" t="str">
        <f t="shared" si="583"/>
        <v>jun</v>
      </c>
      <c r="N5047">
        <f t="shared" si="584"/>
        <v>2025</v>
      </c>
      <c r="O5047" s="2"/>
      <c r="P5047" t="str">
        <f t="shared" si="575"/>
        <v>206145827</v>
      </c>
    </row>
    <row r="5048" spans="1:16" x14ac:dyDescent="0.3">
      <c r="A5048">
        <v>2061</v>
      </c>
      <c r="B5048">
        <v>55</v>
      </c>
      <c r="C5048" t="s">
        <v>15</v>
      </c>
      <c r="D5048" t="s">
        <v>27</v>
      </c>
      <c r="E5048" t="s">
        <v>17</v>
      </c>
      <c r="F5048" t="s">
        <v>21</v>
      </c>
      <c r="G5048" t="s">
        <v>41</v>
      </c>
      <c r="H5048" t="s">
        <v>25</v>
      </c>
      <c r="I5048" s="1">
        <v>2</v>
      </c>
      <c r="J5048" s="2">
        <v>45898</v>
      </c>
      <c r="K5048" s="2">
        <v>45870</v>
      </c>
      <c r="L5048" s="1" t="str">
        <f t="shared" si="582"/>
        <v>sex</v>
      </c>
      <c r="M5048" s="1" t="str">
        <f t="shared" si="583"/>
        <v>ago</v>
      </c>
      <c r="N5048">
        <f t="shared" si="584"/>
        <v>2025</v>
      </c>
      <c r="O5048" s="2"/>
      <c r="P5048" t="str">
        <f t="shared" si="575"/>
        <v>206145898</v>
      </c>
    </row>
    <row r="5049" spans="1:16" x14ac:dyDescent="0.3">
      <c r="A5049">
        <v>2061</v>
      </c>
      <c r="B5049">
        <v>55</v>
      </c>
      <c r="C5049" t="s">
        <v>15</v>
      </c>
      <c r="D5049" t="s">
        <v>27</v>
      </c>
      <c r="E5049" t="s">
        <v>17</v>
      </c>
      <c r="F5049" t="s">
        <v>21</v>
      </c>
      <c r="G5049" t="s">
        <v>41</v>
      </c>
      <c r="H5049" t="s">
        <v>25</v>
      </c>
      <c r="I5049" s="1">
        <v>2</v>
      </c>
      <c r="J5049" s="2">
        <v>45930</v>
      </c>
      <c r="K5049" s="2">
        <v>45901</v>
      </c>
      <c r="L5049" s="1" t="str">
        <f t="shared" si="582"/>
        <v>ter</v>
      </c>
      <c r="M5049" s="1" t="str">
        <f t="shared" si="583"/>
        <v>set</v>
      </c>
      <c r="N5049">
        <f t="shared" si="584"/>
        <v>2025</v>
      </c>
      <c r="O5049" s="2"/>
      <c r="P5049" t="str">
        <f t="shared" si="575"/>
        <v>206145930</v>
      </c>
    </row>
    <row r="5050" spans="1:16" x14ac:dyDescent="0.3">
      <c r="A5050">
        <v>2061</v>
      </c>
      <c r="B5050">
        <v>55</v>
      </c>
      <c r="C5050" t="s">
        <v>15</v>
      </c>
      <c r="D5050" t="s">
        <v>27</v>
      </c>
      <c r="E5050" t="s">
        <v>17</v>
      </c>
      <c r="F5050" t="s">
        <v>21</v>
      </c>
      <c r="G5050" t="s">
        <v>41</v>
      </c>
      <c r="H5050" t="s">
        <v>25</v>
      </c>
      <c r="I5050" s="1">
        <v>2</v>
      </c>
      <c r="J5050" s="2">
        <v>45939</v>
      </c>
      <c r="K5050" s="2">
        <v>45931</v>
      </c>
      <c r="L5050" s="1" t="str">
        <f t="shared" si="582"/>
        <v>qui</v>
      </c>
      <c r="M5050" s="1" t="str">
        <f t="shared" si="583"/>
        <v>out</v>
      </c>
      <c r="N5050">
        <f t="shared" si="584"/>
        <v>2025</v>
      </c>
      <c r="O5050" s="2"/>
      <c r="P5050" t="str">
        <f t="shared" si="575"/>
        <v>206145939</v>
      </c>
    </row>
    <row r="5051" spans="1:16" x14ac:dyDescent="0.3">
      <c r="A5051">
        <v>2061</v>
      </c>
      <c r="B5051">
        <v>55</v>
      </c>
      <c r="C5051" t="s">
        <v>15</v>
      </c>
      <c r="D5051" t="s">
        <v>27</v>
      </c>
      <c r="E5051" t="s">
        <v>17</v>
      </c>
      <c r="F5051" t="s">
        <v>21</v>
      </c>
      <c r="G5051" t="s">
        <v>41</v>
      </c>
      <c r="H5051" t="s">
        <v>25</v>
      </c>
      <c r="I5051" s="1">
        <v>2</v>
      </c>
      <c r="J5051" s="2">
        <v>45944</v>
      </c>
      <c r="K5051" s="2">
        <v>45931</v>
      </c>
      <c r="L5051" s="1" t="str">
        <f t="shared" si="582"/>
        <v>ter</v>
      </c>
      <c r="M5051" s="1" t="str">
        <f t="shared" si="583"/>
        <v>out</v>
      </c>
      <c r="N5051">
        <f t="shared" si="584"/>
        <v>2025</v>
      </c>
      <c r="O5051" s="2"/>
      <c r="P5051" t="str">
        <f t="shared" si="575"/>
        <v>206145944</v>
      </c>
    </row>
    <row r="5052" spans="1:16" x14ac:dyDescent="0.3">
      <c r="A5052">
        <v>2062</v>
      </c>
      <c r="B5052">
        <v>25</v>
      </c>
      <c r="C5052" t="s">
        <v>15</v>
      </c>
      <c r="D5052" t="s">
        <v>16</v>
      </c>
      <c r="E5052" t="s">
        <v>17</v>
      </c>
      <c r="F5052" t="s">
        <v>18</v>
      </c>
      <c r="G5052" t="s">
        <v>41</v>
      </c>
      <c r="H5052" t="s">
        <v>25</v>
      </c>
      <c r="I5052" s="1">
        <v>1</v>
      </c>
      <c r="J5052" s="2">
        <v>45990</v>
      </c>
      <c r="K5052" s="2">
        <v>45962</v>
      </c>
      <c r="L5052" s="1" t="str">
        <f t="shared" si="582"/>
        <v>sáb</v>
      </c>
      <c r="M5052" s="1" t="str">
        <f t="shared" si="583"/>
        <v>nov</v>
      </c>
      <c r="N5052">
        <f t="shared" si="584"/>
        <v>2025</v>
      </c>
      <c r="O5052" s="2"/>
      <c r="P5052" t="str">
        <f t="shared" ref="P5052:P5115" si="585">CONCATENATE(A5052,J5052)</f>
        <v>206245990</v>
      </c>
    </row>
    <row r="5053" spans="1:16" x14ac:dyDescent="0.3">
      <c r="A5053">
        <v>2062</v>
      </c>
      <c r="B5053">
        <v>25</v>
      </c>
      <c r="C5053" t="s">
        <v>15</v>
      </c>
      <c r="D5053" t="s">
        <v>16</v>
      </c>
      <c r="E5053" t="s">
        <v>17</v>
      </c>
      <c r="F5053" t="s">
        <v>18</v>
      </c>
      <c r="G5053" t="s">
        <v>41</v>
      </c>
      <c r="H5053" t="s">
        <v>25</v>
      </c>
      <c r="I5053" s="1">
        <v>1</v>
      </c>
      <c r="J5053" s="2">
        <v>45999</v>
      </c>
      <c r="K5053" s="2">
        <v>45992</v>
      </c>
      <c r="L5053" s="1" t="str">
        <f t="shared" si="582"/>
        <v>seg</v>
      </c>
      <c r="M5053" s="1" t="str">
        <f t="shared" si="583"/>
        <v>dez</v>
      </c>
      <c r="N5053">
        <f t="shared" si="584"/>
        <v>2025</v>
      </c>
      <c r="O5053" s="2"/>
      <c r="P5053" t="str">
        <f t="shared" si="585"/>
        <v>206245999</v>
      </c>
    </row>
    <row r="5054" spans="1:16" x14ac:dyDescent="0.3">
      <c r="A5054">
        <v>2062</v>
      </c>
      <c r="B5054">
        <v>25</v>
      </c>
      <c r="C5054" t="s">
        <v>15</v>
      </c>
      <c r="D5054" t="s">
        <v>16</v>
      </c>
      <c r="E5054" t="s">
        <v>17</v>
      </c>
      <c r="F5054" t="s">
        <v>18</v>
      </c>
      <c r="G5054" t="s">
        <v>41</v>
      </c>
      <c r="H5054" t="s">
        <v>25</v>
      </c>
      <c r="I5054" s="1">
        <v>1</v>
      </c>
      <c r="J5054" s="2">
        <v>46183</v>
      </c>
      <c r="K5054" s="2">
        <v>46023</v>
      </c>
      <c r="L5054" s="1" t="str">
        <f t="shared" si="582"/>
        <v>qua</v>
      </c>
      <c r="M5054" s="1" t="str">
        <f t="shared" si="583"/>
        <v>jun</v>
      </c>
      <c r="N5054">
        <f t="shared" si="584"/>
        <v>2026</v>
      </c>
      <c r="O5054" s="2"/>
      <c r="P5054" t="str">
        <f t="shared" si="585"/>
        <v>206246183</v>
      </c>
    </row>
    <row r="5055" spans="1:16" x14ac:dyDescent="0.3">
      <c r="A5055">
        <v>2062</v>
      </c>
      <c r="B5055">
        <v>25</v>
      </c>
      <c r="C5055" t="s">
        <v>15</v>
      </c>
      <c r="D5055" t="s">
        <v>16</v>
      </c>
      <c r="E5055" t="s">
        <v>17</v>
      </c>
      <c r="F5055" t="s">
        <v>18</v>
      </c>
      <c r="G5055" t="s">
        <v>41</v>
      </c>
      <c r="H5055" t="s">
        <v>25</v>
      </c>
      <c r="I5055" s="1">
        <v>1</v>
      </c>
      <c r="J5055" s="2">
        <v>46038</v>
      </c>
      <c r="K5055" s="2">
        <v>46023</v>
      </c>
      <c r="L5055" s="1" t="str">
        <f t="shared" si="582"/>
        <v>sex</v>
      </c>
      <c r="M5055" s="1" t="str">
        <f t="shared" si="583"/>
        <v>jan</v>
      </c>
      <c r="N5055">
        <f t="shared" si="584"/>
        <v>2026</v>
      </c>
      <c r="O5055" s="2"/>
      <c r="P5055" t="str">
        <f t="shared" si="585"/>
        <v>206246038</v>
      </c>
    </row>
    <row r="5056" spans="1:16" x14ac:dyDescent="0.3">
      <c r="A5056">
        <v>2063</v>
      </c>
      <c r="B5056">
        <v>21</v>
      </c>
      <c r="C5056" t="s">
        <v>15</v>
      </c>
      <c r="D5056" t="s">
        <v>29</v>
      </c>
      <c r="E5056" t="s">
        <v>17</v>
      </c>
      <c r="F5056" t="s">
        <v>21</v>
      </c>
      <c r="G5056" t="s">
        <v>41</v>
      </c>
      <c r="H5056" t="s">
        <v>25</v>
      </c>
      <c r="I5056" s="1">
        <v>3</v>
      </c>
      <c r="J5056" s="2">
        <v>45850</v>
      </c>
      <c r="K5056" s="2">
        <v>45839</v>
      </c>
      <c r="L5056" s="1" t="str">
        <f t="shared" si="582"/>
        <v>sáb</v>
      </c>
      <c r="M5056" s="1" t="str">
        <f t="shared" si="583"/>
        <v>jul</v>
      </c>
      <c r="N5056">
        <f t="shared" si="584"/>
        <v>2025</v>
      </c>
      <c r="O5056" s="2"/>
      <c r="P5056" t="str">
        <f t="shared" si="585"/>
        <v>206345850</v>
      </c>
    </row>
    <row r="5057" spans="1:16" x14ac:dyDescent="0.3">
      <c r="A5057">
        <v>2063</v>
      </c>
      <c r="B5057">
        <v>21</v>
      </c>
      <c r="C5057" t="s">
        <v>15</v>
      </c>
      <c r="D5057" t="s">
        <v>29</v>
      </c>
      <c r="E5057" t="s">
        <v>17</v>
      </c>
      <c r="F5057" t="s">
        <v>21</v>
      </c>
      <c r="G5057" t="s">
        <v>41</v>
      </c>
      <c r="H5057" t="s">
        <v>25</v>
      </c>
      <c r="I5057" s="1">
        <v>3</v>
      </c>
      <c r="J5057" s="2">
        <v>45852</v>
      </c>
      <c r="K5057" s="2">
        <v>45839</v>
      </c>
      <c r="L5057" s="1" t="str">
        <f t="shared" si="582"/>
        <v>seg</v>
      </c>
      <c r="M5057" s="1" t="str">
        <f t="shared" si="583"/>
        <v>jul</v>
      </c>
      <c r="N5057">
        <f t="shared" si="584"/>
        <v>2025</v>
      </c>
      <c r="O5057" s="2"/>
      <c r="P5057" t="str">
        <f t="shared" si="585"/>
        <v>206345852</v>
      </c>
    </row>
    <row r="5058" spans="1:16" x14ac:dyDescent="0.3">
      <c r="A5058">
        <v>2063</v>
      </c>
      <c r="B5058">
        <v>21</v>
      </c>
      <c r="C5058" t="s">
        <v>15</v>
      </c>
      <c r="D5058" t="s">
        <v>29</v>
      </c>
      <c r="E5058" t="s">
        <v>17</v>
      </c>
      <c r="F5058" t="s">
        <v>21</v>
      </c>
      <c r="G5058" t="s">
        <v>41</v>
      </c>
      <c r="H5058" t="s">
        <v>25</v>
      </c>
      <c r="I5058" s="1">
        <v>3</v>
      </c>
      <c r="J5058" s="2">
        <v>45878</v>
      </c>
      <c r="K5058" s="2">
        <v>45870</v>
      </c>
      <c r="L5058" s="1" t="str">
        <f t="shared" si="582"/>
        <v>sáb</v>
      </c>
      <c r="M5058" s="1" t="str">
        <f t="shared" si="583"/>
        <v>ago</v>
      </c>
      <c r="N5058">
        <f t="shared" si="584"/>
        <v>2025</v>
      </c>
      <c r="O5058" s="2"/>
      <c r="P5058" t="str">
        <f t="shared" si="585"/>
        <v>206345878</v>
      </c>
    </row>
    <row r="5059" spans="1:16" x14ac:dyDescent="0.3">
      <c r="A5059">
        <v>2063</v>
      </c>
      <c r="B5059">
        <v>21</v>
      </c>
      <c r="C5059" t="s">
        <v>15</v>
      </c>
      <c r="D5059" t="s">
        <v>29</v>
      </c>
      <c r="E5059" t="s">
        <v>17</v>
      </c>
      <c r="F5059" t="s">
        <v>21</v>
      </c>
      <c r="G5059" t="s">
        <v>41</v>
      </c>
      <c r="H5059" t="s">
        <v>25</v>
      </c>
      <c r="I5059" s="1">
        <v>3</v>
      </c>
      <c r="J5059" s="2">
        <v>45979</v>
      </c>
      <c r="K5059" s="2">
        <v>45962</v>
      </c>
      <c r="L5059" s="1" t="str">
        <f t="shared" si="582"/>
        <v>ter</v>
      </c>
      <c r="M5059" s="1" t="str">
        <f t="shared" si="583"/>
        <v>nov</v>
      </c>
      <c r="N5059">
        <f t="shared" si="584"/>
        <v>2025</v>
      </c>
      <c r="O5059" s="2"/>
      <c r="P5059" t="str">
        <f t="shared" si="585"/>
        <v>206345979</v>
      </c>
    </row>
    <row r="5060" spans="1:16" x14ac:dyDescent="0.3">
      <c r="A5060">
        <v>2063</v>
      </c>
      <c r="B5060">
        <v>21</v>
      </c>
      <c r="C5060" t="s">
        <v>15</v>
      </c>
      <c r="D5060" t="s">
        <v>29</v>
      </c>
      <c r="E5060" t="s">
        <v>17</v>
      </c>
      <c r="F5060" t="s">
        <v>21</v>
      </c>
      <c r="G5060" t="s">
        <v>41</v>
      </c>
      <c r="H5060" t="s">
        <v>25</v>
      </c>
      <c r="I5060" s="1">
        <v>3</v>
      </c>
      <c r="J5060" s="2">
        <v>46196</v>
      </c>
      <c r="K5060" s="2">
        <v>46023</v>
      </c>
      <c r="L5060" s="1" t="str">
        <f t="shared" si="582"/>
        <v>ter</v>
      </c>
      <c r="M5060" s="1" t="str">
        <f t="shared" si="583"/>
        <v>jun</v>
      </c>
      <c r="N5060">
        <f t="shared" si="584"/>
        <v>2026</v>
      </c>
      <c r="O5060" s="2"/>
      <c r="P5060" t="str">
        <f t="shared" si="585"/>
        <v>206346196</v>
      </c>
    </row>
    <row r="5061" spans="1:16" x14ac:dyDescent="0.3">
      <c r="A5061">
        <v>2063</v>
      </c>
      <c r="B5061">
        <v>21</v>
      </c>
      <c r="C5061" t="s">
        <v>15</v>
      </c>
      <c r="D5061" t="s">
        <v>29</v>
      </c>
      <c r="E5061" t="s">
        <v>17</v>
      </c>
      <c r="F5061" t="s">
        <v>21</v>
      </c>
      <c r="G5061" t="s">
        <v>41</v>
      </c>
      <c r="H5061" t="s">
        <v>25</v>
      </c>
      <c r="I5061" s="1">
        <v>3</v>
      </c>
      <c r="J5061" s="2">
        <v>46107</v>
      </c>
      <c r="K5061" s="2">
        <v>46082</v>
      </c>
      <c r="L5061" s="1" t="str">
        <f t="shared" si="582"/>
        <v>qui</v>
      </c>
      <c r="M5061" s="1" t="str">
        <f t="shared" si="583"/>
        <v>mar</v>
      </c>
      <c r="N5061">
        <f t="shared" si="584"/>
        <v>2026</v>
      </c>
      <c r="O5061" s="2"/>
      <c r="P5061" t="str">
        <f t="shared" si="585"/>
        <v>206346107</v>
      </c>
    </row>
    <row r="5062" spans="1:16" x14ac:dyDescent="0.3">
      <c r="A5062">
        <v>2063</v>
      </c>
      <c r="B5062">
        <v>21</v>
      </c>
      <c r="C5062" t="s">
        <v>15</v>
      </c>
      <c r="D5062" t="s">
        <v>29</v>
      </c>
      <c r="E5062" t="s">
        <v>17</v>
      </c>
      <c r="F5062" t="s">
        <v>21</v>
      </c>
      <c r="G5062" t="s">
        <v>41</v>
      </c>
      <c r="H5062" t="s">
        <v>25</v>
      </c>
      <c r="I5062" s="1">
        <v>3</v>
      </c>
      <c r="J5062" s="2">
        <v>46169</v>
      </c>
      <c r="K5062" s="2">
        <v>46143</v>
      </c>
      <c r="L5062" s="1" t="str">
        <f t="shared" si="582"/>
        <v>qua</v>
      </c>
      <c r="M5062" s="1" t="str">
        <f t="shared" si="583"/>
        <v>mai</v>
      </c>
      <c r="N5062">
        <f t="shared" si="584"/>
        <v>2026</v>
      </c>
      <c r="O5062" s="2"/>
      <c r="P5062" t="str">
        <f t="shared" si="585"/>
        <v>206346169</v>
      </c>
    </row>
    <row r="5063" spans="1:16" x14ac:dyDescent="0.3">
      <c r="A5063">
        <v>2066</v>
      </c>
      <c r="B5063">
        <v>27</v>
      </c>
      <c r="C5063" t="s">
        <v>26</v>
      </c>
      <c r="D5063" t="s">
        <v>16</v>
      </c>
      <c r="E5063" t="s">
        <v>17</v>
      </c>
      <c r="F5063" t="s">
        <v>21</v>
      </c>
      <c r="G5063" t="s">
        <v>41</v>
      </c>
      <c r="H5063" t="s">
        <v>25</v>
      </c>
      <c r="I5063" s="1">
        <v>1</v>
      </c>
      <c r="J5063" s="2">
        <v>45819</v>
      </c>
      <c r="K5063" s="2">
        <v>45809</v>
      </c>
      <c r="L5063" s="1" t="str">
        <f t="shared" si="582"/>
        <v>qua</v>
      </c>
      <c r="M5063" s="1" t="str">
        <f t="shared" si="583"/>
        <v>jun</v>
      </c>
      <c r="N5063">
        <f t="shared" si="584"/>
        <v>2025</v>
      </c>
      <c r="O5063" s="2"/>
      <c r="P5063" t="str">
        <f t="shared" si="585"/>
        <v>206645819</v>
      </c>
    </row>
    <row r="5064" spans="1:16" x14ac:dyDescent="0.3">
      <c r="A5064">
        <v>2066</v>
      </c>
      <c r="B5064">
        <v>27</v>
      </c>
      <c r="C5064" t="s">
        <v>26</v>
      </c>
      <c r="D5064" t="s">
        <v>16</v>
      </c>
      <c r="E5064" t="s">
        <v>17</v>
      </c>
      <c r="F5064" t="s">
        <v>21</v>
      </c>
      <c r="G5064" t="s">
        <v>41</v>
      </c>
      <c r="H5064" t="s">
        <v>25</v>
      </c>
      <c r="I5064" s="1">
        <v>1</v>
      </c>
      <c r="J5064" s="2">
        <v>45983</v>
      </c>
      <c r="K5064" s="2">
        <v>45962</v>
      </c>
      <c r="L5064" s="1" t="str">
        <f t="shared" si="582"/>
        <v>sáb</v>
      </c>
      <c r="M5064" s="1" t="str">
        <f t="shared" si="583"/>
        <v>nov</v>
      </c>
      <c r="N5064">
        <f t="shared" si="584"/>
        <v>2025</v>
      </c>
      <c r="O5064" s="2"/>
      <c r="P5064" t="str">
        <f t="shared" si="585"/>
        <v>206645983</v>
      </c>
    </row>
    <row r="5065" spans="1:16" x14ac:dyDescent="0.3">
      <c r="A5065">
        <v>2066</v>
      </c>
      <c r="B5065">
        <v>27</v>
      </c>
      <c r="C5065" t="s">
        <v>26</v>
      </c>
      <c r="D5065" t="s">
        <v>16</v>
      </c>
      <c r="E5065" t="s">
        <v>17</v>
      </c>
      <c r="F5065" t="s">
        <v>21</v>
      </c>
      <c r="G5065" t="s">
        <v>41</v>
      </c>
      <c r="H5065" t="s">
        <v>25</v>
      </c>
      <c r="I5065" s="1">
        <v>1</v>
      </c>
      <c r="J5065" s="2">
        <v>46179</v>
      </c>
      <c r="K5065" s="2">
        <v>46023</v>
      </c>
      <c r="L5065" s="1" t="str">
        <f t="shared" si="582"/>
        <v>sáb</v>
      </c>
      <c r="M5065" s="1" t="str">
        <f t="shared" si="583"/>
        <v>jun</v>
      </c>
      <c r="N5065">
        <f t="shared" si="584"/>
        <v>2026</v>
      </c>
      <c r="O5065" s="2"/>
      <c r="P5065" t="str">
        <f t="shared" si="585"/>
        <v>206646179</v>
      </c>
    </row>
    <row r="5066" spans="1:16" x14ac:dyDescent="0.3">
      <c r="A5066">
        <v>2066</v>
      </c>
      <c r="B5066">
        <v>27</v>
      </c>
      <c r="C5066" t="s">
        <v>26</v>
      </c>
      <c r="D5066" t="s">
        <v>16</v>
      </c>
      <c r="E5066" t="s">
        <v>17</v>
      </c>
      <c r="F5066" t="s">
        <v>21</v>
      </c>
      <c r="G5066" t="s">
        <v>41</v>
      </c>
      <c r="H5066" t="s">
        <v>25</v>
      </c>
      <c r="I5066" s="1">
        <v>1</v>
      </c>
      <c r="J5066" s="2">
        <v>46187</v>
      </c>
      <c r="K5066" s="2">
        <v>46023</v>
      </c>
      <c r="L5066" s="1" t="str">
        <f t="shared" si="582"/>
        <v>dom</v>
      </c>
      <c r="M5066" s="1" t="str">
        <f t="shared" si="583"/>
        <v>jun</v>
      </c>
      <c r="N5066">
        <f t="shared" si="584"/>
        <v>2026</v>
      </c>
      <c r="O5066" s="2"/>
      <c r="P5066" t="str">
        <f t="shared" si="585"/>
        <v>206646187</v>
      </c>
    </row>
    <row r="5067" spans="1:16" x14ac:dyDescent="0.3">
      <c r="A5067">
        <v>2066</v>
      </c>
      <c r="B5067">
        <v>27</v>
      </c>
      <c r="C5067" t="s">
        <v>26</v>
      </c>
      <c r="D5067" t="s">
        <v>16</v>
      </c>
      <c r="E5067" t="s">
        <v>17</v>
      </c>
      <c r="F5067" t="s">
        <v>21</v>
      </c>
      <c r="G5067" t="s">
        <v>41</v>
      </c>
      <c r="H5067" t="s">
        <v>25</v>
      </c>
      <c r="I5067" s="1">
        <v>1</v>
      </c>
      <c r="J5067" s="2">
        <v>46109</v>
      </c>
      <c r="K5067" s="2">
        <v>46082</v>
      </c>
      <c r="L5067" s="1" t="str">
        <f t="shared" si="582"/>
        <v>sáb</v>
      </c>
      <c r="M5067" s="1" t="str">
        <f t="shared" si="583"/>
        <v>mar</v>
      </c>
      <c r="N5067">
        <f t="shared" si="584"/>
        <v>2026</v>
      </c>
      <c r="O5067" s="2"/>
      <c r="P5067" t="str">
        <f t="shared" si="585"/>
        <v>206646109</v>
      </c>
    </row>
    <row r="5068" spans="1:16" x14ac:dyDescent="0.3">
      <c r="A5068">
        <v>2066</v>
      </c>
      <c r="B5068">
        <v>27</v>
      </c>
      <c r="C5068" t="s">
        <v>26</v>
      </c>
      <c r="D5068" t="s">
        <v>16</v>
      </c>
      <c r="E5068" t="s">
        <v>17</v>
      </c>
      <c r="F5068" t="s">
        <v>21</v>
      </c>
      <c r="G5068" t="s">
        <v>41</v>
      </c>
      <c r="H5068" t="s">
        <v>25</v>
      </c>
      <c r="I5068" s="1">
        <v>1</v>
      </c>
      <c r="J5068" s="2">
        <v>46150</v>
      </c>
      <c r="K5068" s="2">
        <v>46143</v>
      </c>
      <c r="L5068" s="1" t="str">
        <f t="shared" si="582"/>
        <v>sex</v>
      </c>
      <c r="M5068" s="1" t="str">
        <f t="shared" si="583"/>
        <v>mai</v>
      </c>
      <c r="N5068">
        <f t="shared" si="584"/>
        <v>2026</v>
      </c>
      <c r="O5068" s="2"/>
      <c r="P5068" t="str">
        <f t="shared" si="585"/>
        <v>206646150</v>
      </c>
    </row>
    <row r="5069" spans="1:16" x14ac:dyDescent="0.3">
      <c r="A5069">
        <v>2067</v>
      </c>
      <c r="B5069">
        <v>35</v>
      </c>
      <c r="C5069" t="s">
        <v>26</v>
      </c>
      <c r="D5069" t="s">
        <v>16</v>
      </c>
      <c r="E5069" t="s">
        <v>17</v>
      </c>
      <c r="F5069" t="s">
        <v>21</v>
      </c>
      <c r="G5069" t="s">
        <v>41</v>
      </c>
      <c r="H5069" t="s">
        <v>25</v>
      </c>
      <c r="I5069" s="1">
        <v>3</v>
      </c>
      <c r="J5069" s="2">
        <v>45862</v>
      </c>
      <c r="K5069" s="2">
        <v>45839</v>
      </c>
      <c r="L5069" s="1" t="str">
        <f t="shared" si="582"/>
        <v>qui</v>
      </c>
      <c r="M5069" s="1" t="str">
        <f t="shared" si="583"/>
        <v>jul</v>
      </c>
      <c r="N5069">
        <f t="shared" si="584"/>
        <v>2025</v>
      </c>
      <c r="O5069" s="2"/>
      <c r="P5069" t="str">
        <f t="shared" si="585"/>
        <v>206745862</v>
      </c>
    </row>
    <row r="5070" spans="1:16" x14ac:dyDescent="0.3">
      <c r="A5070">
        <v>2067</v>
      </c>
      <c r="B5070">
        <v>35</v>
      </c>
      <c r="C5070" t="s">
        <v>26</v>
      </c>
      <c r="D5070" t="s">
        <v>16</v>
      </c>
      <c r="E5070" t="s">
        <v>17</v>
      </c>
      <c r="F5070" t="s">
        <v>21</v>
      </c>
      <c r="G5070" t="s">
        <v>41</v>
      </c>
      <c r="H5070" t="s">
        <v>25</v>
      </c>
      <c r="I5070" s="1">
        <v>3</v>
      </c>
      <c r="J5070" s="2">
        <v>45914</v>
      </c>
      <c r="K5070" s="2">
        <v>45901</v>
      </c>
      <c r="L5070" s="1" t="str">
        <f t="shared" si="582"/>
        <v>dom</v>
      </c>
      <c r="M5070" s="1" t="str">
        <f t="shared" si="583"/>
        <v>set</v>
      </c>
      <c r="N5070">
        <f t="shared" si="584"/>
        <v>2025</v>
      </c>
      <c r="O5070" s="2"/>
      <c r="P5070" t="str">
        <f t="shared" si="585"/>
        <v>206745914</v>
      </c>
    </row>
    <row r="5071" spans="1:16" x14ac:dyDescent="0.3">
      <c r="A5071">
        <v>2067</v>
      </c>
      <c r="B5071">
        <v>35</v>
      </c>
      <c r="C5071" t="s">
        <v>26</v>
      </c>
      <c r="D5071" t="s">
        <v>16</v>
      </c>
      <c r="E5071" t="s">
        <v>17</v>
      </c>
      <c r="F5071" t="s">
        <v>21</v>
      </c>
      <c r="G5071" t="s">
        <v>41</v>
      </c>
      <c r="H5071" t="s">
        <v>25</v>
      </c>
      <c r="I5071" s="1">
        <v>3</v>
      </c>
      <c r="J5071" s="2">
        <v>46190</v>
      </c>
      <c r="K5071" s="2">
        <v>46023</v>
      </c>
      <c r="L5071" s="1" t="str">
        <f t="shared" si="582"/>
        <v>qua</v>
      </c>
      <c r="M5071" s="1" t="str">
        <f t="shared" si="583"/>
        <v>jun</v>
      </c>
      <c r="N5071">
        <f t="shared" si="584"/>
        <v>2026</v>
      </c>
      <c r="O5071" s="2"/>
      <c r="P5071" t="str">
        <f t="shared" si="585"/>
        <v>206746190</v>
      </c>
    </row>
    <row r="5072" spans="1:16" x14ac:dyDescent="0.3">
      <c r="A5072">
        <v>2067</v>
      </c>
      <c r="B5072">
        <v>35</v>
      </c>
      <c r="C5072" t="s">
        <v>26</v>
      </c>
      <c r="D5072" t="s">
        <v>16</v>
      </c>
      <c r="E5072" t="s">
        <v>17</v>
      </c>
      <c r="F5072" t="s">
        <v>21</v>
      </c>
      <c r="G5072" t="s">
        <v>41</v>
      </c>
      <c r="H5072" t="s">
        <v>25</v>
      </c>
      <c r="I5072" s="1">
        <v>3</v>
      </c>
      <c r="J5072" s="2">
        <v>46107</v>
      </c>
      <c r="K5072" s="2">
        <v>46082</v>
      </c>
      <c r="L5072" s="1" t="str">
        <f t="shared" si="582"/>
        <v>qui</v>
      </c>
      <c r="M5072" s="1" t="str">
        <f t="shared" si="583"/>
        <v>mar</v>
      </c>
      <c r="N5072">
        <f t="shared" si="584"/>
        <v>2026</v>
      </c>
      <c r="O5072" s="2"/>
      <c r="P5072" t="str">
        <f t="shared" si="585"/>
        <v>206746107</v>
      </c>
    </row>
    <row r="5073" spans="1:16" x14ac:dyDescent="0.3">
      <c r="A5073">
        <v>2067</v>
      </c>
      <c r="B5073">
        <v>35</v>
      </c>
      <c r="C5073" t="s">
        <v>26</v>
      </c>
      <c r="D5073" t="s">
        <v>16</v>
      </c>
      <c r="E5073" t="s">
        <v>17</v>
      </c>
      <c r="F5073" t="s">
        <v>21</v>
      </c>
      <c r="G5073" t="s">
        <v>41</v>
      </c>
      <c r="H5073" t="s">
        <v>25</v>
      </c>
      <c r="I5073" s="1">
        <v>3</v>
      </c>
      <c r="J5073" s="2">
        <v>46157</v>
      </c>
      <c r="K5073" s="2">
        <v>46143</v>
      </c>
      <c r="L5073" s="1" t="str">
        <f t="shared" ref="L5073:L5104" si="586">TEXT(J5073,"ddd")</f>
        <v>sex</v>
      </c>
      <c r="M5073" s="1" t="str">
        <f t="shared" ref="M5073:M5104" si="587">TEXT($J5073,"mmm")</f>
        <v>mai</v>
      </c>
      <c r="N5073">
        <f t="shared" ref="N5073:N5104" si="588">YEAR(J5073)</f>
        <v>2026</v>
      </c>
      <c r="O5073" s="2"/>
      <c r="P5073" t="str">
        <f t="shared" si="585"/>
        <v>206746157</v>
      </c>
    </row>
    <row r="5074" spans="1:16" x14ac:dyDescent="0.3">
      <c r="A5074">
        <v>2068</v>
      </c>
      <c r="B5074">
        <v>44</v>
      </c>
      <c r="C5074" t="s">
        <v>26</v>
      </c>
      <c r="D5074" t="s">
        <v>27</v>
      </c>
      <c r="E5074" t="s">
        <v>17</v>
      </c>
      <c r="F5074" t="s">
        <v>23</v>
      </c>
      <c r="G5074" t="s">
        <v>41</v>
      </c>
      <c r="H5074" t="s">
        <v>25</v>
      </c>
      <c r="I5074" s="1">
        <v>2</v>
      </c>
      <c r="J5074" s="2">
        <v>45848</v>
      </c>
      <c r="K5074" s="2">
        <v>45839</v>
      </c>
      <c r="L5074" s="1" t="str">
        <f t="shared" si="586"/>
        <v>qui</v>
      </c>
      <c r="M5074" s="1" t="str">
        <f t="shared" si="587"/>
        <v>jul</v>
      </c>
      <c r="N5074">
        <f t="shared" si="588"/>
        <v>2025</v>
      </c>
      <c r="O5074" s="2"/>
      <c r="P5074" t="str">
        <f t="shared" si="585"/>
        <v>206845848</v>
      </c>
    </row>
    <row r="5075" spans="1:16" x14ac:dyDescent="0.3">
      <c r="A5075">
        <v>2068</v>
      </c>
      <c r="B5075">
        <v>44</v>
      </c>
      <c r="C5075" t="s">
        <v>26</v>
      </c>
      <c r="D5075" t="s">
        <v>27</v>
      </c>
      <c r="E5075" t="s">
        <v>17</v>
      </c>
      <c r="F5075" t="s">
        <v>23</v>
      </c>
      <c r="G5075" t="s">
        <v>41</v>
      </c>
      <c r="H5075" t="s">
        <v>25</v>
      </c>
      <c r="I5075" s="1">
        <v>2</v>
      </c>
      <c r="J5075" s="2">
        <v>45855</v>
      </c>
      <c r="K5075" s="2">
        <v>45839</v>
      </c>
      <c r="L5075" s="1" t="str">
        <f t="shared" si="586"/>
        <v>qui</v>
      </c>
      <c r="M5075" s="1" t="str">
        <f t="shared" si="587"/>
        <v>jul</v>
      </c>
      <c r="N5075">
        <f t="shared" si="588"/>
        <v>2025</v>
      </c>
      <c r="O5075" s="2"/>
      <c r="P5075" t="str">
        <f t="shared" si="585"/>
        <v>206845855</v>
      </c>
    </row>
    <row r="5076" spans="1:16" x14ac:dyDescent="0.3">
      <c r="A5076">
        <v>2068</v>
      </c>
      <c r="B5076">
        <v>44</v>
      </c>
      <c r="C5076" t="s">
        <v>26</v>
      </c>
      <c r="D5076" t="s">
        <v>27</v>
      </c>
      <c r="E5076" t="s">
        <v>17</v>
      </c>
      <c r="F5076" t="s">
        <v>23</v>
      </c>
      <c r="G5076" t="s">
        <v>41</v>
      </c>
      <c r="H5076" t="s">
        <v>25</v>
      </c>
      <c r="I5076" s="1">
        <v>2</v>
      </c>
      <c r="J5076" s="2">
        <v>45926</v>
      </c>
      <c r="K5076" s="2">
        <v>45901</v>
      </c>
      <c r="L5076" s="1" t="str">
        <f t="shared" si="586"/>
        <v>sex</v>
      </c>
      <c r="M5076" s="1" t="str">
        <f t="shared" si="587"/>
        <v>set</v>
      </c>
      <c r="N5076">
        <f t="shared" si="588"/>
        <v>2025</v>
      </c>
      <c r="O5076" s="2"/>
      <c r="P5076" t="str">
        <f t="shared" si="585"/>
        <v>206845926</v>
      </c>
    </row>
    <row r="5077" spans="1:16" x14ac:dyDescent="0.3">
      <c r="A5077">
        <v>2068</v>
      </c>
      <c r="B5077">
        <v>44</v>
      </c>
      <c r="C5077" t="s">
        <v>26</v>
      </c>
      <c r="D5077" t="s">
        <v>27</v>
      </c>
      <c r="E5077" t="s">
        <v>17</v>
      </c>
      <c r="F5077" t="s">
        <v>23</v>
      </c>
      <c r="G5077" t="s">
        <v>41</v>
      </c>
      <c r="H5077" t="s">
        <v>25</v>
      </c>
      <c r="I5077" s="1">
        <v>2</v>
      </c>
      <c r="J5077" s="2">
        <v>45997</v>
      </c>
      <c r="K5077" s="2">
        <v>45992</v>
      </c>
      <c r="L5077" s="1" t="str">
        <f t="shared" si="586"/>
        <v>sáb</v>
      </c>
      <c r="M5077" s="1" t="str">
        <f t="shared" si="587"/>
        <v>dez</v>
      </c>
      <c r="N5077">
        <f t="shared" si="588"/>
        <v>2025</v>
      </c>
      <c r="O5077" s="2"/>
      <c r="P5077" t="str">
        <f t="shared" si="585"/>
        <v>206845997</v>
      </c>
    </row>
    <row r="5078" spans="1:16" x14ac:dyDescent="0.3">
      <c r="A5078">
        <v>2068</v>
      </c>
      <c r="B5078">
        <v>44</v>
      </c>
      <c r="C5078" t="s">
        <v>26</v>
      </c>
      <c r="D5078" t="s">
        <v>27</v>
      </c>
      <c r="E5078" t="s">
        <v>17</v>
      </c>
      <c r="F5078" t="s">
        <v>23</v>
      </c>
      <c r="G5078" t="s">
        <v>41</v>
      </c>
      <c r="H5078" t="s">
        <v>25</v>
      </c>
      <c r="I5078" s="1">
        <v>2</v>
      </c>
      <c r="J5078" s="2">
        <v>46011</v>
      </c>
      <c r="K5078" s="2">
        <v>45992</v>
      </c>
      <c r="L5078" s="1" t="str">
        <f t="shared" si="586"/>
        <v>sáb</v>
      </c>
      <c r="M5078" s="1" t="str">
        <f t="shared" si="587"/>
        <v>dez</v>
      </c>
      <c r="N5078">
        <f t="shared" si="588"/>
        <v>2025</v>
      </c>
      <c r="O5078" s="2"/>
      <c r="P5078" t="str">
        <f t="shared" si="585"/>
        <v>206846011</v>
      </c>
    </row>
    <row r="5079" spans="1:16" x14ac:dyDescent="0.3">
      <c r="A5079">
        <v>2069</v>
      </c>
      <c r="B5079">
        <v>30</v>
      </c>
      <c r="C5079" t="s">
        <v>26</v>
      </c>
      <c r="D5079" t="s">
        <v>16</v>
      </c>
      <c r="E5079" t="s">
        <v>17</v>
      </c>
      <c r="F5079" t="s">
        <v>21</v>
      </c>
      <c r="G5079" t="s">
        <v>41</v>
      </c>
      <c r="H5079" t="s">
        <v>25</v>
      </c>
      <c r="I5079" s="1">
        <v>2</v>
      </c>
      <c r="J5079" s="2">
        <v>45852</v>
      </c>
      <c r="K5079" s="2">
        <v>45839</v>
      </c>
      <c r="L5079" s="1" t="str">
        <f t="shared" si="586"/>
        <v>seg</v>
      </c>
      <c r="M5079" s="1" t="str">
        <f t="shared" si="587"/>
        <v>jul</v>
      </c>
      <c r="N5079">
        <f t="shared" si="588"/>
        <v>2025</v>
      </c>
      <c r="O5079" s="2"/>
      <c r="P5079" t="str">
        <f t="shared" si="585"/>
        <v>206945852</v>
      </c>
    </row>
    <row r="5080" spans="1:16" x14ac:dyDescent="0.3">
      <c r="A5080">
        <v>2069</v>
      </c>
      <c r="B5080">
        <v>30</v>
      </c>
      <c r="C5080" t="s">
        <v>26</v>
      </c>
      <c r="D5080" t="s">
        <v>16</v>
      </c>
      <c r="E5080" t="s">
        <v>17</v>
      </c>
      <c r="F5080" t="s">
        <v>21</v>
      </c>
      <c r="G5080" t="s">
        <v>41</v>
      </c>
      <c r="H5080" t="s">
        <v>25</v>
      </c>
      <c r="I5080" s="1">
        <v>2</v>
      </c>
      <c r="J5080" s="2">
        <v>45858</v>
      </c>
      <c r="K5080" s="2">
        <v>45839</v>
      </c>
      <c r="L5080" s="1" t="str">
        <f t="shared" si="586"/>
        <v>dom</v>
      </c>
      <c r="M5080" s="1" t="str">
        <f t="shared" si="587"/>
        <v>jul</v>
      </c>
      <c r="N5080">
        <f t="shared" si="588"/>
        <v>2025</v>
      </c>
      <c r="O5080" s="2"/>
      <c r="P5080" t="str">
        <f t="shared" si="585"/>
        <v>206945858</v>
      </c>
    </row>
    <row r="5081" spans="1:16" x14ac:dyDescent="0.3">
      <c r="A5081">
        <v>2069</v>
      </c>
      <c r="B5081">
        <v>30</v>
      </c>
      <c r="C5081" t="s">
        <v>26</v>
      </c>
      <c r="D5081" t="s">
        <v>16</v>
      </c>
      <c r="E5081" t="s">
        <v>17</v>
      </c>
      <c r="F5081" t="s">
        <v>21</v>
      </c>
      <c r="G5081" t="s">
        <v>41</v>
      </c>
      <c r="H5081" t="s">
        <v>25</v>
      </c>
      <c r="I5081" s="1">
        <v>2</v>
      </c>
      <c r="J5081" s="2">
        <v>45941</v>
      </c>
      <c r="K5081" s="2">
        <v>45931</v>
      </c>
      <c r="L5081" s="1" t="str">
        <f t="shared" si="586"/>
        <v>sáb</v>
      </c>
      <c r="M5081" s="1" t="str">
        <f t="shared" si="587"/>
        <v>out</v>
      </c>
      <c r="N5081">
        <f t="shared" si="588"/>
        <v>2025</v>
      </c>
      <c r="O5081" s="2"/>
      <c r="P5081" t="str">
        <f t="shared" si="585"/>
        <v>206945941</v>
      </c>
    </row>
    <row r="5082" spans="1:16" x14ac:dyDescent="0.3">
      <c r="A5082">
        <v>2069</v>
      </c>
      <c r="B5082">
        <v>30</v>
      </c>
      <c r="C5082" t="s">
        <v>26</v>
      </c>
      <c r="D5082" t="s">
        <v>16</v>
      </c>
      <c r="E5082" t="s">
        <v>17</v>
      </c>
      <c r="F5082" t="s">
        <v>21</v>
      </c>
      <c r="G5082" t="s">
        <v>41</v>
      </c>
      <c r="H5082" t="s">
        <v>25</v>
      </c>
      <c r="I5082" s="1">
        <v>2</v>
      </c>
      <c r="J5082" s="2">
        <v>46013</v>
      </c>
      <c r="K5082" s="2">
        <v>45992</v>
      </c>
      <c r="L5082" s="1" t="str">
        <f t="shared" si="586"/>
        <v>seg</v>
      </c>
      <c r="M5082" s="1" t="str">
        <f t="shared" si="587"/>
        <v>dez</v>
      </c>
      <c r="N5082">
        <f t="shared" si="588"/>
        <v>2025</v>
      </c>
      <c r="O5082" s="2"/>
      <c r="P5082" t="str">
        <f t="shared" si="585"/>
        <v>206946013</v>
      </c>
    </row>
    <row r="5083" spans="1:16" x14ac:dyDescent="0.3">
      <c r="A5083">
        <v>2069</v>
      </c>
      <c r="B5083">
        <v>30</v>
      </c>
      <c r="C5083" t="s">
        <v>26</v>
      </c>
      <c r="D5083" t="s">
        <v>16</v>
      </c>
      <c r="E5083" t="s">
        <v>17</v>
      </c>
      <c r="F5083" t="s">
        <v>21</v>
      </c>
      <c r="G5083" t="s">
        <v>41</v>
      </c>
      <c r="H5083" t="s">
        <v>25</v>
      </c>
      <c r="I5083" s="1">
        <v>2</v>
      </c>
      <c r="J5083" s="2">
        <v>46082</v>
      </c>
      <c r="K5083" s="2">
        <v>46082</v>
      </c>
      <c r="L5083" s="1" t="str">
        <f t="shared" si="586"/>
        <v>dom</v>
      </c>
      <c r="M5083" s="1" t="str">
        <f t="shared" si="587"/>
        <v>mar</v>
      </c>
      <c r="N5083">
        <f t="shared" si="588"/>
        <v>2026</v>
      </c>
      <c r="O5083" s="2"/>
      <c r="P5083" t="str">
        <f t="shared" si="585"/>
        <v>206946082</v>
      </c>
    </row>
    <row r="5084" spans="1:16" x14ac:dyDescent="0.3">
      <c r="A5084">
        <v>2069</v>
      </c>
      <c r="B5084">
        <v>30</v>
      </c>
      <c r="C5084" t="s">
        <v>26</v>
      </c>
      <c r="D5084" t="s">
        <v>16</v>
      </c>
      <c r="E5084" t="s">
        <v>17</v>
      </c>
      <c r="F5084" t="s">
        <v>21</v>
      </c>
      <c r="G5084" t="s">
        <v>41</v>
      </c>
      <c r="H5084" t="s">
        <v>25</v>
      </c>
      <c r="I5084" s="1">
        <v>2</v>
      </c>
      <c r="J5084" s="2">
        <v>46093</v>
      </c>
      <c r="K5084" s="2">
        <v>46082</v>
      </c>
      <c r="L5084" s="1" t="str">
        <f t="shared" si="586"/>
        <v>qui</v>
      </c>
      <c r="M5084" s="1" t="str">
        <f t="shared" si="587"/>
        <v>mar</v>
      </c>
      <c r="N5084">
        <f t="shared" si="588"/>
        <v>2026</v>
      </c>
      <c r="O5084" s="2"/>
      <c r="P5084" t="str">
        <f t="shared" si="585"/>
        <v>206946093</v>
      </c>
    </row>
    <row r="5085" spans="1:16" x14ac:dyDescent="0.3">
      <c r="A5085">
        <v>2070</v>
      </c>
      <c r="B5085">
        <v>29</v>
      </c>
      <c r="C5085" t="s">
        <v>15</v>
      </c>
      <c r="D5085" t="s">
        <v>31</v>
      </c>
      <c r="E5085" t="s">
        <v>34</v>
      </c>
      <c r="F5085" t="s">
        <v>18</v>
      </c>
      <c r="G5085" t="s">
        <v>41</v>
      </c>
      <c r="H5085" t="s">
        <v>25</v>
      </c>
      <c r="I5085" s="1">
        <v>3</v>
      </c>
      <c r="J5085" s="2">
        <v>45812</v>
      </c>
      <c r="K5085" s="2">
        <v>45809</v>
      </c>
      <c r="L5085" s="1" t="str">
        <f t="shared" si="586"/>
        <v>qua</v>
      </c>
      <c r="M5085" s="1" t="str">
        <f t="shared" si="587"/>
        <v>jun</v>
      </c>
      <c r="N5085">
        <f t="shared" si="588"/>
        <v>2025</v>
      </c>
      <c r="O5085" s="2"/>
      <c r="P5085" t="str">
        <f t="shared" si="585"/>
        <v>207045812</v>
      </c>
    </row>
    <row r="5086" spans="1:16" x14ac:dyDescent="0.3">
      <c r="A5086">
        <v>2070</v>
      </c>
      <c r="B5086">
        <v>29</v>
      </c>
      <c r="C5086" t="s">
        <v>15</v>
      </c>
      <c r="D5086" t="s">
        <v>31</v>
      </c>
      <c r="E5086" t="s">
        <v>34</v>
      </c>
      <c r="F5086" t="s">
        <v>18</v>
      </c>
      <c r="G5086" t="s">
        <v>41</v>
      </c>
      <c r="H5086" t="s">
        <v>25</v>
      </c>
      <c r="I5086" s="1">
        <v>3</v>
      </c>
      <c r="J5086" s="2">
        <v>45870</v>
      </c>
      <c r="K5086" s="2">
        <v>45870</v>
      </c>
      <c r="L5086" s="1" t="str">
        <f t="shared" si="586"/>
        <v>sex</v>
      </c>
      <c r="M5086" s="1" t="str">
        <f t="shared" si="587"/>
        <v>ago</v>
      </c>
      <c r="N5086">
        <f t="shared" si="588"/>
        <v>2025</v>
      </c>
      <c r="O5086" s="2"/>
      <c r="P5086" t="str">
        <f t="shared" si="585"/>
        <v>207045870</v>
      </c>
    </row>
    <row r="5087" spans="1:16" x14ac:dyDescent="0.3">
      <c r="A5087">
        <v>2070</v>
      </c>
      <c r="B5087">
        <v>29</v>
      </c>
      <c r="C5087" t="s">
        <v>15</v>
      </c>
      <c r="D5087" t="s">
        <v>31</v>
      </c>
      <c r="E5087" t="s">
        <v>34</v>
      </c>
      <c r="F5087" t="s">
        <v>18</v>
      </c>
      <c r="G5087" t="s">
        <v>41</v>
      </c>
      <c r="H5087" t="s">
        <v>25</v>
      </c>
      <c r="I5087" s="1">
        <v>3</v>
      </c>
      <c r="J5087" s="2">
        <v>45970</v>
      </c>
      <c r="K5087" s="2">
        <v>45962</v>
      </c>
      <c r="L5087" s="1" t="str">
        <f t="shared" si="586"/>
        <v>dom</v>
      </c>
      <c r="M5087" s="1" t="str">
        <f t="shared" si="587"/>
        <v>nov</v>
      </c>
      <c r="N5087">
        <f t="shared" si="588"/>
        <v>2025</v>
      </c>
      <c r="O5087" s="2"/>
      <c r="P5087" t="str">
        <f t="shared" si="585"/>
        <v>207045970</v>
      </c>
    </row>
    <row r="5088" spans="1:16" x14ac:dyDescent="0.3">
      <c r="A5088">
        <v>2070</v>
      </c>
      <c r="B5088">
        <v>29</v>
      </c>
      <c r="C5088" t="s">
        <v>15</v>
      </c>
      <c r="D5088" t="s">
        <v>31</v>
      </c>
      <c r="E5088" t="s">
        <v>34</v>
      </c>
      <c r="F5088" t="s">
        <v>18</v>
      </c>
      <c r="G5088" t="s">
        <v>41</v>
      </c>
      <c r="H5088" t="s">
        <v>25</v>
      </c>
      <c r="I5088" s="1">
        <v>3</v>
      </c>
      <c r="J5088" s="2">
        <v>46067</v>
      </c>
      <c r="K5088" s="2">
        <v>46054</v>
      </c>
      <c r="L5088" s="1" t="str">
        <f t="shared" si="586"/>
        <v>sáb</v>
      </c>
      <c r="M5088" s="1" t="str">
        <f t="shared" si="587"/>
        <v>fev</v>
      </c>
      <c r="N5088">
        <f t="shared" si="588"/>
        <v>2026</v>
      </c>
      <c r="O5088" s="2"/>
      <c r="P5088" t="str">
        <f t="shared" si="585"/>
        <v>207046067</v>
      </c>
    </row>
    <row r="5089" spans="1:16" x14ac:dyDescent="0.3">
      <c r="A5089">
        <v>2070</v>
      </c>
      <c r="B5089">
        <v>29</v>
      </c>
      <c r="C5089" t="s">
        <v>15</v>
      </c>
      <c r="D5089" t="s">
        <v>31</v>
      </c>
      <c r="E5089" t="s">
        <v>34</v>
      </c>
      <c r="F5089" t="s">
        <v>18</v>
      </c>
      <c r="G5089" t="s">
        <v>41</v>
      </c>
      <c r="H5089" t="s">
        <v>25</v>
      </c>
      <c r="I5089" s="1">
        <v>3</v>
      </c>
      <c r="J5089" s="2">
        <v>46105</v>
      </c>
      <c r="K5089" s="2">
        <v>46082</v>
      </c>
      <c r="L5089" s="1" t="str">
        <f t="shared" si="586"/>
        <v>ter</v>
      </c>
      <c r="M5089" s="1" t="str">
        <f t="shared" si="587"/>
        <v>mar</v>
      </c>
      <c r="N5089">
        <f t="shared" si="588"/>
        <v>2026</v>
      </c>
      <c r="O5089" s="2"/>
      <c r="P5089" t="str">
        <f t="shared" si="585"/>
        <v>207046105</v>
      </c>
    </row>
    <row r="5090" spans="1:16" x14ac:dyDescent="0.3">
      <c r="A5090">
        <v>2071</v>
      </c>
      <c r="B5090">
        <v>52</v>
      </c>
      <c r="C5090" t="s">
        <v>26</v>
      </c>
      <c r="D5090" t="s">
        <v>22</v>
      </c>
      <c r="E5090" t="s">
        <v>17</v>
      </c>
      <c r="F5090" t="s">
        <v>23</v>
      </c>
      <c r="G5090" t="s">
        <v>41</v>
      </c>
      <c r="H5090" t="s">
        <v>25</v>
      </c>
      <c r="I5090" s="1">
        <v>2</v>
      </c>
      <c r="J5090" s="2">
        <v>45850</v>
      </c>
      <c r="K5090" s="2">
        <v>45839</v>
      </c>
      <c r="L5090" s="1" t="str">
        <f t="shared" si="586"/>
        <v>sáb</v>
      </c>
      <c r="M5090" s="1" t="str">
        <f t="shared" si="587"/>
        <v>jul</v>
      </c>
      <c r="N5090">
        <f t="shared" si="588"/>
        <v>2025</v>
      </c>
      <c r="O5090" s="2"/>
      <c r="P5090" t="str">
        <f t="shared" si="585"/>
        <v>207145850</v>
      </c>
    </row>
    <row r="5091" spans="1:16" x14ac:dyDescent="0.3">
      <c r="A5091">
        <v>2071</v>
      </c>
      <c r="B5091">
        <v>52</v>
      </c>
      <c r="C5091" t="s">
        <v>26</v>
      </c>
      <c r="D5091" t="s">
        <v>22</v>
      </c>
      <c r="E5091" t="s">
        <v>17</v>
      </c>
      <c r="F5091" t="s">
        <v>23</v>
      </c>
      <c r="G5091" t="s">
        <v>41</v>
      </c>
      <c r="H5091" t="s">
        <v>25</v>
      </c>
      <c r="I5091" s="1">
        <v>2</v>
      </c>
      <c r="J5091" s="2">
        <v>45851</v>
      </c>
      <c r="K5091" s="2">
        <v>45839</v>
      </c>
      <c r="L5091" s="1" t="str">
        <f t="shared" si="586"/>
        <v>dom</v>
      </c>
      <c r="M5091" s="1" t="str">
        <f t="shared" si="587"/>
        <v>jul</v>
      </c>
      <c r="N5091">
        <f t="shared" si="588"/>
        <v>2025</v>
      </c>
      <c r="O5091" s="2"/>
      <c r="P5091" t="str">
        <f t="shared" si="585"/>
        <v>207145851</v>
      </c>
    </row>
    <row r="5092" spans="1:16" x14ac:dyDescent="0.3">
      <c r="A5092">
        <v>2071</v>
      </c>
      <c r="B5092">
        <v>52</v>
      </c>
      <c r="C5092" t="s">
        <v>26</v>
      </c>
      <c r="D5092" t="s">
        <v>22</v>
      </c>
      <c r="E5092" t="s">
        <v>17</v>
      </c>
      <c r="F5092" t="s">
        <v>23</v>
      </c>
      <c r="G5092" t="s">
        <v>41</v>
      </c>
      <c r="H5092" t="s">
        <v>25</v>
      </c>
      <c r="I5092" s="1">
        <v>2</v>
      </c>
      <c r="J5092" s="2">
        <v>45901</v>
      </c>
      <c r="K5092" s="2">
        <v>45901</v>
      </c>
      <c r="L5092" s="1" t="str">
        <f t="shared" si="586"/>
        <v>seg</v>
      </c>
      <c r="M5092" s="1" t="str">
        <f t="shared" si="587"/>
        <v>set</v>
      </c>
      <c r="N5092">
        <f t="shared" si="588"/>
        <v>2025</v>
      </c>
      <c r="O5092" s="2"/>
      <c r="P5092" t="str">
        <f t="shared" si="585"/>
        <v>207145901</v>
      </c>
    </row>
    <row r="5093" spans="1:16" x14ac:dyDescent="0.3">
      <c r="A5093">
        <v>2071</v>
      </c>
      <c r="B5093">
        <v>52</v>
      </c>
      <c r="C5093" t="s">
        <v>26</v>
      </c>
      <c r="D5093" t="s">
        <v>22</v>
      </c>
      <c r="E5093" t="s">
        <v>17</v>
      </c>
      <c r="F5093" t="s">
        <v>23</v>
      </c>
      <c r="G5093" t="s">
        <v>41</v>
      </c>
      <c r="H5093" t="s">
        <v>25</v>
      </c>
      <c r="I5093" s="1">
        <v>2</v>
      </c>
      <c r="J5093" s="2">
        <v>45949</v>
      </c>
      <c r="K5093" s="2">
        <v>45931</v>
      </c>
      <c r="L5093" s="1" t="str">
        <f t="shared" si="586"/>
        <v>dom</v>
      </c>
      <c r="M5093" s="1" t="str">
        <f t="shared" si="587"/>
        <v>out</v>
      </c>
      <c r="N5093">
        <f t="shared" si="588"/>
        <v>2025</v>
      </c>
      <c r="O5093" s="2"/>
      <c r="P5093" t="str">
        <f t="shared" si="585"/>
        <v>207145949</v>
      </c>
    </row>
    <row r="5094" spans="1:16" x14ac:dyDescent="0.3">
      <c r="A5094">
        <v>2071</v>
      </c>
      <c r="B5094">
        <v>52</v>
      </c>
      <c r="C5094" t="s">
        <v>26</v>
      </c>
      <c r="D5094" t="s">
        <v>22</v>
      </c>
      <c r="E5094" t="s">
        <v>17</v>
      </c>
      <c r="F5094" t="s">
        <v>23</v>
      </c>
      <c r="G5094" t="s">
        <v>41</v>
      </c>
      <c r="H5094" t="s">
        <v>25</v>
      </c>
      <c r="I5094" s="1">
        <v>2</v>
      </c>
      <c r="J5094" s="2">
        <v>46089</v>
      </c>
      <c r="K5094" s="2">
        <v>46082</v>
      </c>
      <c r="L5094" s="1" t="str">
        <f t="shared" si="586"/>
        <v>dom</v>
      </c>
      <c r="M5094" s="1" t="str">
        <f t="shared" si="587"/>
        <v>mar</v>
      </c>
      <c r="N5094">
        <f t="shared" si="588"/>
        <v>2026</v>
      </c>
      <c r="O5094" s="2"/>
      <c r="P5094" t="str">
        <f t="shared" si="585"/>
        <v>207146089</v>
      </c>
    </row>
    <row r="5095" spans="1:16" x14ac:dyDescent="0.3">
      <c r="A5095">
        <v>2072</v>
      </c>
      <c r="B5095">
        <v>34</v>
      </c>
      <c r="C5095" t="s">
        <v>15</v>
      </c>
      <c r="D5095" t="s">
        <v>16</v>
      </c>
      <c r="E5095" t="s">
        <v>17</v>
      </c>
      <c r="F5095" t="s">
        <v>18</v>
      </c>
      <c r="G5095" t="s">
        <v>41</v>
      </c>
      <c r="H5095" t="s">
        <v>25</v>
      </c>
      <c r="I5095" s="1">
        <v>2</v>
      </c>
      <c r="J5095" s="2">
        <v>45882</v>
      </c>
      <c r="K5095" s="2">
        <v>45870</v>
      </c>
      <c r="L5095" s="1" t="str">
        <f t="shared" si="586"/>
        <v>qua</v>
      </c>
      <c r="M5095" s="1" t="str">
        <f t="shared" si="587"/>
        <v>ago</v>
      </c>
      <c r="N5095">
        <f t="shared" si="588"/>
        <v>2025</v>
      </c>
      <c r="O5095" s="2"/>
      <c r="P5095" t="str">
        <f t="shared" si="585"/>
        <v>207245882</v>
      </c>
    </row>
    <row r="5096" spans="1:16" x14ac:dyDescent="0.3">
      <c r="A5096">
        <v>2072</v>
      </c>
      <c r="B5096">
        <v>34</v>
      </c>
      <c r="C5096" t="s">
        <v>15</v>
      </c>
      <c r="D5096" t="s">
        <v>16</v>
      </c>
      <c r="E5096" t="s">
        <v>17</v>
      </c>
      <c r="F5096" t="s">
        <v>18</v>
      </c>
      <c r="G5096" t="s">
        <v>41</v>
      </c>
      <c r="H5096" t="s">
        <v>25</v>
      </c>
      <c r="I5096" s="1">
        <v>2</v>
      </c>
      <c r="J5096" s="2">
        <v>45942</v>
      </c>
      <c r="K5096" s="2">
        <v>45931</v>
      </c>
      <c r="L5096" s="1" t="str">
        <f t="shared" si="586"/>
        <v>dom</v>
      </c>
      <c r="M5096" s="1" t="str">
        <f t="shared" si="587"/>
        <v>out</v>
      </c>
      <c r="N5096">
        <f t="shared" si="588"/>
        <v>2025</v>
      </c>
      <c r="O5096" s="2"/>
      <c r="P5096" t="str">
        <f t="shared" si="585"/>
        <v>207245942</v>
      </c>
    </row>
    <row r="5097" spans="1:16" x14ac:dyDescent="0.3">
      <c r="A5097">
        <v>2072</v>
      </c>
      <c r="B5097">
        <v>34</v>
      </c>
      <c r="C5097" t="s">
        <v>15</v>
      </c>
      <c r="D5097" t="s">
        <v>16</v>
      </c>
      <c r="E5097" t="s">
        <v>17</v>
      </c>
      <c r="F5097" t="s">
        <v>18</v>
      </c>
      <c r="G5097" t="s">
        <v>41</v>
      </c>
      <c r="H5097" t="s">
        <v>25</v>
      </c>
      <c r="I5097" s="1">
        <v>2</v>
      </c>
      <c r="J5097" s="2">
        <v>46176</v>
      </c>
      <c r="K5097" s="2">
        <v>46023</v>
      </c>
      <c r="L5097" s="1" t="str">
        <f t="shared" si="586"/>
        <v>qua</v>
      </c>
      <c r="M5097" s="1" t="str">
        <f t="shared" si="587"/>
        <v>jun</v>
      </c>
      <c r="N5097">
        <f t="shared" si="588"/>
        <v>2026</v>
      </c>
      <c r="O5097" s="2"/>
      <c r="P5097" t="str">
        <f t="shared" si="585"/>
        <v>207246176</v>
      </c>
    </row>
    <row r="5098" spans="1:16" x14ac:dyDescent="0.3">
      <c r="A5098">
        <v>2072</v>
      </c>
      <c r="B5098">
        <v>34</v>
      </c>
      <c r="C5098" t="s">
        <v>15</v>
      </c>
      <c r="D5098" t="s">
        <v>16</v>
      </c>
      <c r="E5098" t="s">
        <v>17</v>
      </c>
      <c r="F5098" t="s">
        <v>18</v>
      </c>
      <c r="G5098" t="s">
        <v>41</v>
      </c>
      <c r="H5098" t="s">
        <v>25</v>
      </c>
      <c r="I5098" s="1">
        <v>2</v>
      </c>
      <c r="J5098" s="2">
        <v>46094</v>
      </c>
      <c r="K5098" s="2">
        <v>46082</v>
      </c>
      <c r="L5098" s="1" t="str">
        <f t="shared" si="586"/>
        <v>sex</v>
      </c>
      <c r="M5098" s="1" t="str">
        <f t="shared" si="587"/>
        <v>mar</v>
      </c>
      <c r="N5098">
        <f t="shared" si="588"/>
        <v>2026</v>
      </c>
      <c r="O5098" s="2"/>
      <c r="P5098" t="str">
        <f t="shared" si="585"/>
        <v>207246094</v>
      </c>
    </row>
    <row r="5099" spans="1:16" x14ac:dyDescent="0.3">
      <c r="A5099">
        <v>2072</v>
      </c>
      <c r="B5099">
        <v>34</v>
      </c>
      <c r="C5099" t="s">
        <v>15</v>
      </c>
      <c r="D5099" t="s">
        <v>16</v>
      </c>
      <c r="E5099" t="s">
        <v>17</v>
      </c>
      <c r="F5099" t="s">
        <v>18</v>
      </c>
      <c r="G5099" t="s">
        <v>41</v>
      </c>
      <c r="H5099" t="s">
        <v>25</v>
      </c>
      <c r="I5099" s="1">
        <v>2</v>
      </c>
      <c r="J5099" s="2">
        <v>46106</v>
      </c>
      <c r="K5099" s="2">
        <v>46082</v>
      </c>
      <c r="L5099" s="1" t="str">
        <f t="shared" si="586"/>
        <v>qua</v>
      </c>
      <c r="M5099" s="1" t="str">
        <f t="shared" si="587"/>
        <v>mar</v>
      </c>
      <c r="N5099">
        <f t="shared" si="588"/>
        <v>2026</v>
      </c>
      <c r="O5099" s="2"/>
      <c r="P5099" t="str">
        <f t="shared" si="585"/>
        <v>207246106</v>
      </c>
    </row>
    <row r="5100" spans="1:16" x14ac:dyDescent="0.3">
      <c r="A5100">
        <v>2073</v>
      </c>
      <c r="B5100">
        <v>50</v>
      </c>
      <c r="C5100" t="s">
        <v>26</v>
      </c>
      <c r="D5100" t="s">
        <v>16</v>
      </c>
      <c r="E5100" t="s">
        <v>17</v>
      </c>
      <c r="F5100" t="s">
        <v>21</v>
      </c>
      <c r="G5100" t="s">
        <v>41</v>
      </c>
      <c r="H5100" t="s">
        <v>25</v>
      </c>
      <c r="I5100" s="1">
        <v>1</v>
      </c>
      <c r="J5100" s="2">
        <v>45837</v>
      </c>
      <c r="K5100" s="2">
        <v>45809</v>
      </c>
      <c r="L5100" s="1" t="str">
        <f t="shared" si="586"/>
        <v>dom</v>
      </c>
      <c r="M5100" s="1" t="str">
        <f t="shared" si="587"/>
        <v>jun</v>
      </c>
      <c r="N5100">
        <f t="shared" si="588"/>
        <v>2025</v>
      </c>
      <c r="O5100" s="2"/>
      <c r="P5100" t="str">
        <f t="shared" si="585"/>
        <v>207345837</v>
      </c>
    </row>
    <row r="5101" spans="1:16" x14ac:dyDescent="0.3">
      <c r="A5101">
        <v>2073</v>
      </c>
      <c r="B5101">
        <v>50</v>
      </c>
      <c r="C5101" t="s">
        <v>26</v>
      </c>
      <c r="D5101" t="s">
        <v>16</v>
      </c>
      <c r="E5101" t="s">
        <v>17</v>
      </c>
      <c r="F5101" t="s">
        <v>21</v>
      </c>
      <c r="G5101" t="s">
        <v>41</v>
      </c>
      <c r="H5101" t="s">
        <v>25</v>
      </c>
      <c r="I5101" s="1">
        <v>1</v>
      </c>
      <c r="J5101" s="2">
        <v>45942</v>
      </c>
      <c r="K5101" s="2">
        <v>45931</v>
      </c>
      <c r="L5101" s="1" t="str">
        <f t="shared" si="586"/>
        <v>dom</v>
      </c>
      <c r="M5101" s="1" t="str">
        <f t="shared" si="587"/>
        <v>out</v>
      </c>
      <c r="N5101">
        <f t="shared" si="588"/>
        <v>2025</v>
      </c>
      <c r="O5101" s="2"/>
      <c r="P5101" t="str">
        <f t="shared" si="585"/>
        <v>207345942</v>
      </c>
    </row>
    <row r="5102" spans="1:16" x14ac:dyDescent="0.3">
      <c r="A5102">
        <v>2073</v>
      </c>
      <c r="B5102">
        <v>50</v>
      </c>
      <c r="C5102" t="s">
        <v>26</v>
      </c>
      <c r="D5102" t="s">
        <v>16</v>
      </c>
      <c r="E5102" t="s">
        <v>17</v>
      </c>
      <c r="F5102" t="s">
        <v>21</v>
      </c>
      <c r="G5102" t="s">
        <v>41</v>
      </c>
      <c r="H5102" t="s">
        <v>25</v>
      </c>
      <c r="I5102" s="1">
        <v>1</v>
      </c>
      <c r="J5102" s="2">
        <v>46018</v>
      </c>
      <c r="K5102" s="2">
        <v>45992</v>
      </c>
      <c r="L5102" s="1" t="str">
        <f t="shared" si="586"/>
        <v>sáb</v>
      </c>
      <c r="M5102" s="1" t="str">
        <f t="shared" si="587"/>
        <v>dez</v>
      </c>
      <c r="N5102">
        <f t="shared" si="588"/>
        <v>2025</v>
      </c>
      <c r="O5102" s="2"/>
      <c r="P5102" t="str">
        <f t="shared" si="585"/>
        <v>207346018</v>
      </c>
    </row>
    <row r="5103" spans="1:16" x14ac:dyDescent="0.3">
      <c r="A5103">
        <v>2073</v>
      </c>
      <c r="B5103">
        <v>50</v>
      </c>
      <c r="C5103" t="s">
        <v>26</v>
      </c>
      <c r="D5103" t="s">
        <v>16</v>
      </c>
      <c r="E5103" t="s">
        <v>17</v>
      </c>
      <c r="F5103" t="s">
        <v>21</v>
      </c>
      <c r="G5103" t="s">
        <v>41</v>
      </c>
      <c r="H5103" t="s">
        <v>25</v>
      </c>
      <c r="I5103" s="1">
        <v>1</v>
      </c>
      <c r="J5103" s="2">
        <v>46067</v>
      </c>
      <c r="K5103" s="2">
        <v>46054</v>
      </c>
      <c r="L5103" s="1" t="str">
        <f t="shared" si="586"/>
        <v>sáb</v>
      </c>
      <c r="M5103" s="1" t="str">
        <f t="shared" si="587"/>
        <v>fev</v>
      </c>
      <c r="N5103">
        <f t="shared" si="588"/>
        <v>2026</v>
      </c>
      <c r="O5103" s="2"/>
      <c r="P5103" t="str">
        <f t="shared" si="585"/>
        <v>207346067</v>
      </c>
    </row>
    <row r="5104" spans="1:16" x14ac:dyDescent="0.3">
      <c r="A5104">
        <v>2074</v>
      </c>
      <c r="B5104">
        <v>46</v>
      </c>
      <c r="C5104" t="s">
        <v>26</v>
      </c>
      <c r="D5104" t="s">
        <v>31</v>
      </c>
      <c r="E5104" t="s">
        <v>34</v>
      </c>
      <c r="F5104" t="s">
        <v>21</v>
      </c>
      <c r="G5104" t="s">
        <v>41</v>
      </c>
      <c r="H5104" t="s">
        <v>25</v>
      </c>
      <c r="I5104" s="1">
        <v>3</v>
      </c>
      <c r="J5104" s="2">
        <v>45841</v>
      </c>
      <c r="K5104" s="2">
        <v>45839</v>
      </c>
      <c r="L5104" s="1" t="str">
        <f t="shared" si="586"/>
        <v>qui</v>
      </c>
      <c r="M5104" s="1" t="str">
        <f t="shared" si="587"/>
        <v>jul</v>
      </c>
      <c r="N5104">
        <f t="shared" si="588"/>
        <v>2025</v>
      </c>
      <c r="O5104" s="2"/>
      <c r="P5104" t="str">
        <f t="shared" si="585"/>
        <v>207445841</v>
      </c>
    </row>
    <row r="5105" spans="1:16" x14ac:dyDescent="0.3">
      <c r="A5105">
        <v>2074</v>
      </c>
      <c r="B5105">
        <v>46</v>
      </c>
      <c r="C5105" t="s">
        <v>26</v>
      </c>
      <c r="D5105" t="s">
        <v>31</v>
      </c>
      <c r="E5105" t="s">
        <v>34</v>
      </c>
      <c r="F5105" t="s">
        <v>21</v>
      </c>
      <c r="G5105" t="s">
        <v>41</v>
      </c>
      <c r="H5105" t="s">
        <v>25</v>
      </c>
      <c r="I5105" s="1">
        <v>3</v>
      </c>
      <c r="J5105" s="2">
        <v>45903</v>
      </c>
      <c r="K5105" s="2">
        <v>45901</v>
      </c>
      <c r="L5105" s="1" t="str">
        <f t="shared" ref="L5105:L5136" si="589">TEXT(J5105,"ddd")</f>
        <v>qua</v>
      </c>
      <c r="M5105" s="1" t="str">
        <f t="shared" ref="M5105:M5136" si="590">TEXT($J5105,"mmm")</f>
        <v>set</v>
      </c>
      <c r="N5105">
        <f t="shared" ref="N5105:N5136" si="591">YEAR(J5105)</f>
        <v>2025</v>
      </c>
      <c r="O5105" s="2"/>
      <c r="P5105" t="str">
        <f t="shared" si="585"/>
        <v>207445903</v>
      </c>
    </row>
    <row r="5106" spans="1:16" x14ac:dyDescent="0.3">
      <c r="A5106">
        <v>2074</v>
      </c>
      <c r="B5106">
        <v>46</v>
      </c>
      <c r="C5106" t="s">
        <v>26</v>
      </c>
      <c r="D5106" t="s">
        <v>31</v>
      </c>
      <c r="E5106" t="s">
        <v>34</v>
      </c>
      <c r="F5106" t="s">
        <v>21</v>
      </c>
      <c r="G5106" t="s">
        <v>41</v>
      </c>
      <c r="H5106" t="s">
        <v>25</v>
      </c>
      <c r="I5106" s="1">
        <v>3</v>
      </c>
      <c r="J5106" s="2">
        <v>46203</v>
      </c>
      <c r="K5106" s="2">
        <v>46023</v>
      </c>
      <c r="L5106" s="1" t="str">
        <f t="shared" si="589"/>
        <v>ter</v>
      </c>
      <c r="M5106" s="1" t="str">
        <f t="shared" si="590"/>
        <v>jun</v>
      </c>
      <c r="N5106">
        <f t="shared" si="591"/>
        <v>2026</v>
      </c>
      <c r="O5106" s="2"/>
      <c r="P5106" t="str">
        <f t="shared" si="585"/>
        <v>207446203</v>
      </c>
    </row>
    <row r="5107" spans="1:16" x14ac:dyDescent="0.3">
      <c r="A5107">
        <v>2074</v>
      </c>
      <c r="B5107">
        <v>46</v>
      </c>
      <c r="C5107" t="s">
        <v>26</v>
      </c>
      <c r="D5107" t="s">
        <v>31</v>
      </c>
      <c r="E5107" t="s">
        <v>34</v>
      </c>
      <c r="F5107" t="s">
        <v>21</v>
      </c>
      <c r="G5107" t="s">
        <v>41</v>
      </c>
      <c r="H5107" t="s">
        <v>25</v>
      </c>
      <c r="I5107" s="1">
        <v>3</v>
      </c>
      <c r="J5107" s="2">
        <v>46088</v>
      </c>
      <c r="K5107" s="2">
        <v>46082</v>
      </c>
      <c r="L5107" s="1" t="str">
        <f t="shared" si="589"/>
        <v>sáb</v>
      </c>
      <c r="M5107" s="1" t="str">
        <f t="shared" si="590"/>
        <v>mar</v>
      </c>
      <c r="N5107">
        <f t="shared" si="591"/>
        <v>2026</v>
      </c>
      <c r="O5107" s="2"/>
      <c r="P5107" t="str">
        <f t="shared" si="585"/>
        <v>207446088</v>
      </c>
    </row>
    <row r="5108" spans="1:16" x14ac:dyDescent="0.3">
      <c r="A5108">
        <v>2075</v>
      </c>
      <c r="B5108">
        <v>28</v>
      </c>
      <c r="C5108" t="s">
        <v>26</v>
      </c>
      <c r="D5108" t="s">
        <v>27</v>
      </c>
      <c r="E5108" t="s">
        <v>17</v>
      </c>
      <c r="F5108" t="s">
        <v>21</v>
      </c>
      <c r="G5108" t="s">
        <v>41</v>
      </c>
      <c r="H5108" t="s">
        <v>25</v>
      </c>
      <c r="I5108" s="1">
        <v>2</v>
      </c>
      <c r="J5108" s="2">
        <v>45839</v>
      </c>
      <c r="K5108" s="2">
        <v>45839</v>
      </c>
      <c r="L5108" s="1" t="str">
        <f t="shared" si="589"/>
        <v>ter</v>
      </c>
      <c r="M5108" s="1" t="str">
        <f t="shared" si="590"/>
        <v>jul</v>
      </c>
      <c r="N5108">
        <f t="shared" si="591"/>
        <v>2025</v>
      </c>
      <c r="O5108" s="2"/>
      <c r="P5108" t="str">
        <f t="shared" si="585"/>
        <v>207545839</v>
      </c>
    </row>
    <row r="5109" spans="1:16" x14ac:dyDescent="0.3">
      <c r="A5109">
        <v>2075</v>
      </c>
      <c r="B5109">
        <v>28</v>
      </c>
      <c r="C5109" t="s">
        <v>26</v>
      </c>
      <c r="D5109" t="s">
        <v>27</v>
      </c>
      <c r="E5109" t="s">
        <v>17</v>
      </c>
      <c r="F5109" t="s">
        <v>21</v>
      </c>
      <c r="G5109" t="s">
        <v>41</v>
      </c>
      <c r="H5109" t="s">
        <v>25</v>
      </c>
      <c r="I5109" s="1">
        <v>2</v>
      </c>
      <c r="J5109" s="2">
        <v>45850</v>
      </c>
      <c r="K5109" s="2">
        <v>45839</v>
      </c>
      <c r="L5109" s="1" t="str">
        <f t="shared" si="589"/>
        <v>sáb</v>
      </c>
      <c r="M5109" s="1" t="str">
        <f t="shared" si="590"/>
        <v>jul</v>
      </c>
      <c r="N5109">
        <f t="shared" si="591"/>
        <v>2025</v>
      </c>
      <c r="O5109" s="2"/>
      <c r="P5109" t="str">
        <f t="shared" si="585"/>
        <v>207545850</v>
      </c>
    </row>
    <row r="5110" spans="1:16" x14ac:dyDescent="0.3">
      <c r="A5110">
        <v>2075</v>
      </c>
      <c r="B5110">
        <v>28</v>
      </c>
      <c r="C5110" t="s">
        <v>26</v>
      </c>
      <c r="D5110" t="s">
        <v>27</v>
      </c>
      <c r="E5110" t="s">
        <v>17</v>
      </c>
      <c r="F5110" t="s">
        <v>21</v>
      </c>
      <c r="G5110" t="s">
        <v>41</v>
      </c>
      <c r="H5110" t="s">
        <v>25</v>
      </c>
      <c r="I5110" s="1">
        <v>2</v>
      </c>
      <c r="J5110" s="2">
        <v>45932</v>
      </c>
      <c r="K5110" s="2">
        <v>45931</v>
      </c>
      <c r="L5110" s="1" t="str">
        <f t="shared" si="589"/>
        <v>qui</v>
      </c>
      <c r="M5110" s="1" t="str">
        <f t="shared" si="590"/>
        <v>out</v>
      </c>
      <c r="N5110">
        <f t="shared" si="591"/>
        <v>2025</v>
      </c>
      <c r="O5110" s="2"/>
      <c r="P5110" t="str">
        <f t="shared" si="585"/>
        <v>207545932</v>
      </c>
    </row>
    <row r="5111" spans="1:16" x14ac:dyDescent="0.3">
      <c r="A5111">
        <v>2075</v>
      </c>
      <c r="B5111">
        <v>28</v>
      </c>
      <c r="C5111" t="s">
        <v>26</v>
      </c>
      <c r="D5111" t="s">
        <v>27</v>
      </c>
      <c r="E5111" t="s">
        <v>17</v>
      </c>
      <c r="F5111" t="s">
        <v>21</v>
      </c>
      <c r="G5111" t="s">
        <v>41</v>
      </c>
      <c r="H5111" t="s">
        <v>25</v>
      </c>
      <c r="I5111" s="1">
        <v>2</v>
      </c>
      <c r="J5111" s="2">
        <v>45977</v>
      </c>
      <c r="K5111" s="2">
        <v>45962</v>
      </c>
      <c r="L5111" s="1" t="str">
        <f t="shared" si="589"/>
        <v>dom</v>
      </c>
      <c r="M5111" s="1" t="str">
        <f t="shared" si="590"/>
        <v>nov</v>
      </c>
      <c r="N5111">
        <f t="shared" si="591"/>
        <v>2025</v>
      </c>
      <c r="O5111" s="2"/>
      <c r="P5111" t="str">
        <f t="shared" si="585"/>
        <v>207545977</v>
      </c>
    </row>
    <row r="5112" spans="1:16" x14ac:dyDescent="0.3">
      <c r="A5112">
        <v>2075</v>
      </c>
      <c r="B5112">
        <v>28</v>
      </c>
      <c r="C5112" t="s">
        <v>26</v>
      </c>
      <c r="D5112" t="s">
        <v>27</v>
      </c>
      <c r="E5112" t="s">
        <v>17</v>
      </c>
      <c r="F5112" t="s">
        <v>21</v>
      </c>
      <c r="G5112" t="s">
        <v>41</v>
      </c>
      <c r="H5112" t="s">
        <v>25</v>
      </c>
      <c r="I5112" s="1">
        <v>2</v>
      </c>
      <c r="J5112" s="2">
        <v>45984</v>
      </c>
      <c r="K5112" s="2">
        <v>45962</v>
      </c>
      <c r="L5112" s="1" t="str">
        <f t="shared" si="589"/>
        <v>dom</v>
      </c>
      <c r="M5112" s="1" t="str">
        <f t="shared" si="590"/>
        <v>nov</v>
      </c>
      <c r="N5112">
        <f t="shared" si="591"/>
        <v>2025</v>
      </c>
      <c r="O5112" s="2"/>
      <c r="P5112" t="str">
        <f t="shared" si="585"/>
        <v>207545984</v>
      </c>
    </row>
    <row r="5113" spans="1:16" x14ac:dyDescent="0.3">
      <c r="A5113">
        <v>2075</v>
      </c>
      <c r="B5113">
        <v>28</v>
      </c>
      <c r="C5113" t="s">
        <v>26</v>
      </c>
      <c r="D5113" t="s">
        <v>27</v>
      </c>
      <c r="E5113" t="s">
        <v>17</v>
      </c>
      <c r="F5113" t="s">
        <v>21</v>
      </c>
      <c r="G5113" t="s">
        <v>41</v>
      </c>
      <c r="H5113" t="s">
        <v>25</v>
      </c>
      <c r="I5113" s="1">
        <v>2</v>
      </c>
      <c r="J5113" s="2">
        <v>46089</v>
      </c>
      <c r="K5113" s="2">
        <v>46082</v>
      </c>
      <c r="L5113" s="1" t="str">
        <f t="shared" si="589"/>
        <v>dom</v>
      </c>
      <c r="M5113" s="1" t="str">
        <f t="shared" si="590"/>
        <v>mar</v>
      </c>
      <c r="N5113">
        <f t="shared" si="591"/>
        <v>2026</v>
      </c>
      <c r="O5113" s="2"/>
      <c r="P5113" t="str">
        <f t="shared" si="585"/>
        <v>207546089</v>
      </c>
    </row>
    <row r="5114" spans="1:16" x14ac:dyDescent="0.3">
      <c r="A5114">
        <v>2076</v>
      </c>
      <c r="B5114">
        <v>26</v>
      </c>
      <c r="C5114" t="s">
        <v>26</v>
      </c>
      <c r="D5114" t="s">
        <v>16</v>
      </c>
      <c r="E5114" t="s">
        <v>17</v>
      </c>
      <c r="F5114" t="s">
        <v>21</v>
      </c>
      <c r="G5114" t="s">
        <v>41</v>
      </c>
      <c r="H5114" t="s">
        <v>25</v>
      </c>
      <c r="I5114" s="1">
        <v>3</v>
      </c>
      <c r="J5114" s="2">
        <v>45817</v>
      </c>
      <c r="K5114" s="2">
        <v>45809</v>
      </c>
      <c r="L5114" s="1" t="str">
        <f t="shared" si="589"/>
        <v>seg</v>
      </c>
      <c r="M5114" s="1" t="str">
        <f t="shared" si="590"/>
        <v>jun</v>
      </c>
      <c r="N5114">
        <f t="shared" si="591"/>
        <v>2025</v>
      </c>
      <c r="O5114" s="2"/>
      <c r="P5114" t="str">
        <f t="shared" si="585"/>
        <v>207645817</v>
      </c>
    </row>
    <row r="5115" spans="1:16" x14ac:dyDescent="0.3">
      <c r="A5115">
        <v>2076</v>
      </c>
      <c r="B5115">
        <v>26</v>
      </c>
      <c r="C5115" t="s">
        <v>26</v>
      </c>
      <c r="D5115" t="s">
        <v>16</v>
      </c>
      <c r="E5115" t="s">
        <v>17</v>
      </c>
      <c r="F5115" t="s">
        <v>21</v>
      </c>
      <c r="G5115" t="s">
        <v>41</v>
      </c>
      <c r="H5115" t="s">
        <v>25</v>
      </c>
      <c r="I5115" s="1">
        <v>3</v>
      </c>
      <c r="J5115" s="2">
        <v>45823</v>
      </c>
      <c r="K5115" s="2">
        <v>45809</v>
      </c>
      <c r="L5115" s="1" t="str">
        <f t="shared" si="589"/>
        <v>dom</v>
      </c>
      <c r="M5115" s="1" t="str">
        <f t="shared" si="590"/>
        <v>jun</v>
      </c>
      <c r="N5115">
        <f t="shared" si="591"/>
        <v>2025</v>
      </c>
      <c r="O5115" s="2"/>
      <c r="P5115" t="str">
        <f t="shared" si="585"/>
        <v>207645823</v>
      </c>
    </row>
    <row r="5116" spans="1:16" x14ac:dyDescent="0.3">
      <c r="A5116">
        <v>2076</v>
      </c>
      <c r="B5116">
        <v>26</v>
      </c>
      <c r="C5116" t="s">
        <v>26</v>
      </c>
      <c r="D5116" t="s">
        <v>16</v>
      </c>
      <c r="E5116" t="s">
        <v>17</v>
      </c>
      <c r="F5116" t="s">
        <v>21</v>
      </c>
      <c r="G5116" t="s">
        <v>41</v>
      </c>
      <c r="H5116" t="s">
        <v>25</v>
      </c>
      <c r="I5116" s="1">
        <v>3</v>
      </c>
      <c r="J5116" s="2">
        <v>45975</v>
      </c>
      <c r="K5116" s="2">
        <v>45962</v>
      </c>
      <c r="L5116" s="1" t="str">
        <f t="shared" si="589"/>
        <v>sex</v>
      </c>
      <c r="M5116" s="1" t="str">
        <f t="shared" si="590"/>
        <v>nov</v>
      </c>
      <c r="N5116">
        <f t="shared" si="591"/>
        <v>2025</v>
      </c>
      <c r="O5116" s="2"/>
      <c r="P5116" t="str">
        <f t="shared" ref="P5116:P5179" si="592">CONCATENATE(A5116,J5116)</f>
        <v>207645975</v>
      </c>
    </row>
    <row r="5117" spans="1:16" x14ac:dyDescent="0.3">
      <c r="A5117">
        <v>2076</v>
      </c>
      <c r="B5117">
        <v>26</v>
      </c>
      <c r="C5117" t="s">
        <v>26</v>
      </c>
      <c r="D5117" t="s">
        <v>16</v>
      </c>
      <c r="E5117" t="s">
        <v>17</v>
      </c>
      <c r="F5117" t="s">
        <v>21</v>
      </c>
      <c r="G5117" t="s">
        <v>41</v>
      </c>
      <c r="H5117" t="s">
        <v>25</v>
      </c>
      <c r="I5117" s="1">
        <v>3</v>
      </c>
      <c r="J5117" s="2">
        <v>46063</v>
      </c>
      <c r="K5117" s="2">
        <v>46054</v>
      </c>
      <c r="L5117" s="1" t="str">
        <f t="shared" si="589"/>
        <v>ter</v>
      </c>
      <c r="M5117" s="1" t="str">
        <f t="shared" si="590"/>
        <v>fev</v>
      </c>
      <c r="N5117">
        <f t="shared" si="591"/>
        <v>2026</v>
      </c>
      <c r="O5117" s="2"/>
      <c r="P5117" t="str">
        <f t="shared" si="592"/>
        <v>207646063</v>
      </c>
    </row>
    <row r="5118" spans="1:16" x14ac:dyDescent="0.3">
      <c r="A5118">
        <v>2076</v>
      </c>
      <c r="B5118">
        <v>26</v>
      </c>
      <c r="C5118" t="s">
        <v>26</v>
      </c>
      <c r="D5118" t="s">
        <v>16</v>
      </c>
      <c r="E5118" t="s">
        <v>17</v>
      </c>
      <c r="F5118" t="s">
        <v>21</v>
      </c>
      <c r="G5118" t="s">
        <v>41</v>
      </c>
      <c r="H5118" t="s">
        <v>25</v>
      </c>
      <c r="I5118" s="1">
        <v>3</v>
      </c>
      <c r="J5118" s="2">
        <v>46078</v>
      </c>
      <c r="K5118" s="2">
        <v>46054</v>
      </c>
      <c r="L5118" s="1" t="str">
        <f t="shared" si="589"/>
        <v>qua</v>
      </c>
      <c r="M5118" s="1" t="str">
        <f t="shared" si="590"/>
        <v>fev</v>
      </c>
      <c r="N5118">
        <f t="shared" si="591"/>
        <v>2026</v>
      </c>
      <c r="O5118" s="2"/>
      <c r="P5118" t="str">
        <f t="shared" si="592"/>
        <v>207646078</v>
      </c>
    </row>
    <row r="5119" spans="1:16" x14ac:dyDescent="0.3">
      <c r="A5119">
        <v>2076</v>
      </c>
      <c r="B5119">
        <v>26</v>
      </c>
      <c r="C5119" t="s">
        <v>26</v>
      </c>
      <c r="D5119" t="s">
        <v>16</v>
      </c>
      <c r="E5119" t="s">
        <v>17</v>
      </c>
      <c r="F5119" t="s">
        <v>21</v>
      </c>
      <c r="G5119" t="s">
        <v>41</v>
      </c>
      <c r="H5119" t="s">
        <v>25</v>
      </c>
      <c r="I5119" s="1">
        <v>3</v>
      </c>
      <c r="J5119" s="2">
        <v>46088</v>
      </c>
      <c r="K5119" s="2">
        <v>46082</v>
      </c>
      <c r="L5119" s="1" t="str">
        <f t="shared" si="589"/>
        <v>sáb</v>
      </c>
      <c r="M5119" s="1" t="str">
        <f t="shared" si="590"/>
        <v>mar</v>
      </c>
      <c r="N5119">
        <f t="shared" si="591"/>
        <v>2026</v>
      </c>
      <c r="O5119" s="2"/>
      <c r="P5119" t="str">
        <f t="shared" si="592"/>
        <v>207646088</v>
      </c>
    </row>
    <row r="5120" spans="1:16" x14ac:dyDescent="0.3">
      <c r="A5120">
        <v>2077</v>
      </c>
      <c r="B5120">
        <v>56</v>
      </c>
      <c r="C5120" t="s">
        <v>15</v>
      </c>
      <c r="D5120" t="s">
        <v>29</v>
      </c>
      <c r="E5120" t="s">
        <v>17</v>
      </c>
      <c r="F5120" t="s">
        <v>21</v>
      </c>
      <c r="G5120" t="s">
        <v>41</v>
      </c>
      <c r="H5120" t="s">
        <v>25</v>
      </c>
      <c r="I5120" s="1">
        <v>1</v>
      </c>
      <c r="J5120" s="2">
        <v>45856</v>
      </c>
      <c r="K5120" s="2">
        <v>45839</v>
      </c>
      <c r="L5120" s="1" t="str">
        <f t="shared" si="589"/>
        <v>sex</v>
      </c>
      <c r="M5120" s="1" t="str">
        <f t="shared" si="590"/>
        <v>jul</v>
      </c>
      <c r="N5120">
        <f t="shared" si="591"/>
        <v>2025</v>
      </c>
      <c r="O5120" s="2"/>
      <c r="P5120" t="str">
        <f t="shared" si="592"/>
        <v>207745856</v>
      </c>
    </row>
    <row r="5121" spans="1:16" x14ac:dyDescent="0.3">
      <c r="A5121">
        <v>2077</v>
      </c>
      <c r="B5121">
        <v>56</v>
      </c>
      <c r="C5121" t="s">
        <v>15</v>
      </c>
      <c r="D5121" t="s">
        <v>29</v>
      </c>
      <c r="E5121" t="s">
        <v>17</v>
      </c>
      <c r="F5121" t="s">
        <v>21</v>
      </c>
      <c r="G5121" t="s">
        <v>41</v>
      </c>
      <c r="H5121" t="s">
        <v>25</v>
      </c>
      <c r="I5121" s="1">
        <v>1</v>
      </c>
      <c r="J5121" s="2">
        <v>45862</v>
      </c>
      <c r="K5121" s="2">
        <v>45839</v>
      </c>
      <c r="L5121" s="1" t="str">
        <f t="shared" si="589"/>
        <v>qui</v>
      </c>
      <c r="M5121" s="1" t="str">
        <f t="shared" si="590"/>
        <v>jul</v>
      </c>
      <c r="N5121">
        <f t="shared" si="591"/>
        <v>2025</v>
      </c>
      <c r="O5121" s="2"/>
      <c r="P5121" t="str">
        <f t="shared" si="592"/>
        <v>207745862</v>
      </c>
    </row>
    <row r="5122" spans="1:16" x14ac:dyDescent="0.3">
      <c r="A5122">
        <v>2077</v>
      </c>
      <c r="B5122">
        <v>56</v>
      </c>
      <c r="C5122" t="s">
        <v>15</v>
      </c>
      <c r="D5122" t="s">
        <v>29</v>
      </c>
      <c r="E5122" t="s">
        <v>17</v>
      </c>
      <c r="F5122" t="s">
        <v>21</v>
      </c>
      <c r="G5122" t="s">
        <v>41</v>
      </c>
      <c r="H5122" t="s">
        <v>25</v>
      </c>
      <c r="I5122" s="1">
        <v>1</v>
      </c>
      <c r="J5122" s="2">
        <v>45913</v>
      </c>
      <c r="K5122" s="2">
        <v>45901</v>
      </c>
      <c r="L5122" s="1" t="str">
        <f t="shared" si="589"/>
        <v>sáb</v>
      </c>
      <c r="M5122" s="1" t="str">
        <f t="shared" si="590"/>
        <v>set</v>
      </c>
      <c r="N5122">
        <f t="shared" si="591"/>
        <v>2025</v>
      </c>
      <c r="O5122" s="2"/>
      <c r="P5122" t="str">
        <f t="shared" si="592"/>
        <v>207745913</v>
      </c>
    </row>
    <row r="5123" spans="1:16" x14ac:dyDescent="0.3">
      <c r="A5123">
        <v>2077</v>
      </c>
      <c r="B5123">
        <v>56</v>
      </c>
      <c r="C5123" t="s">
        <v>15</v>
      </c>
      <c r="D5123" t="s">
        <v>29</v>
      </c>
      <c r="E5123" t="s">
        <v>17</v>
      </c>
      <c r="F5123" t="s">
        <v>21</v>
      </c>
      <c r="G5123" t="s">
        <v>41</v>
      </c>
      <c r="H5123" t="s">
        <v>25</v>
      </c>
      <c r="I5123" s="1">
        <v>1</v>
      </c>
      <c r="J5123" s="2">
        <v>46010</v>
      </c>
      <c r="K5123" s="2">
        <v>45992</v>
      </c>
      <c r="L5123" s="1" t="str">
        <f t="shared" si="589"/>
        <v>sex</v>
      </c>
      <c r="M5123" s="1" t="str">
        <f t="shared" si="590"/>
        <v>dez</v>
      </c>
      <c r="N5123">
        <f t="shared" si="591"/>
        <v>2025</v>
      </c>
      <c r="O5123" s="2"/>
      <c r="P5123" t="str">
        <f t="shared" si="592"/>
        <v>207746010</v>
      </c>
    </row>
    <row r="5124" spans="1:16" x14ac:dyDescent="0.3">
      <c r="A5124">
        <v>2078</v>
      </c>
      <c r="B5124">
        <v>27</v>
      </c>
      <c r="C5124" t="s">
        <v>15</v>
      </c>
      <c r="D5124" t="s">
        <v>16</v>
      </c>
      <c r="E5124" t="s">
        <v>17</v>
      </c>
      <c r="F5124" t="s">
        <v>21</v>
      </c>
      <c r="G5124" t="s">
        <v>41</v>
      </c>
      <c r="H5124" t="s">
        <v>25</v>
      </c>
      <c r="I5124" s="1">
        <v>3</v>
      </c>
      <c r="J5124" s="2">
        <v>45848</v>
      </c>
      <c r="K5124" s="2">
        <v>45839</v>
      </c>
      <c r="L5124" s="1" t="str">
        <f t="shared" si="589"/>
        <v>qui</v>
      </c>
      <c r="M5124" s="1" t="str">
        <f t="shared" si="590"/>
        <v>jul</v>
      </c>
      <c r="N5124">
        <f t="shared" si="591"/>
        <v>2025</v>
      </c>
      <c r="O5124" s="2"/>
      <c r="P5124" t="str">
        <f t="shared" si="592"/>
        <v>207845848</v>
      </c>
    </row>
    <row r="5125" spans="1:16" x14ac:dyDescent="0.3">
      <c r="A5125">
        <v>2078</v>
      </c>
      <c r="B5125">
        <v>27</v>
      </c>
      <c r="C5125" t="s">
        <v>15</v>
      </c>
      <c r="D5125" t="s">
        <v>16</v>
      </c>
      <c r="E5125" t="s">
        <v>17</v>
      </c>
      <c r="F5125" t="s">
        <v>21</v>
      </c>
      <c r="G5125" t="s">
        <v>41</v>
      </c>
      <c r="H5125" t="s">
        <v>25</v>
      </c>
      <c r="I5125" s="1">
        <v>3</v>
      </c>
      <c r="J5125" s="2">
        <v>45915</v>
      </c>
      <c r="K5125" s="2">
        <v>45901</v>
      </c>
      <c r="L5125" s="1" t="str">
        <f t="shared" si="589"/>
        <v>seg</v>
      </c>
      <c r="M5125" s="1" t="str">
        <f t="shared" si="590"/>
        <v>set</v>
      </c>
      <c r="N5125">
        <f t="shared" si="591"/>
        <v>2025</v>
      </c>
      <c r="O5125" s="2"/>
      <c r="P5125" t="str">
        <f t="shared" si="592"/>
        <v>207845915</v>
      </c>
    </row>
    <row r="5126" spans="1:16" x14ac:dyDescent="0.3">
      <c r="A5126">
        <v>2078</v>
      </c>
      <c r="B5126">
        <v>27</v>
      </c>
      <c r="C5126" t="s">
        <v>15</v>
      </c>
      <c r="D5126" t="s">
        <v>16</v>
      </c>
      <c r="E5126" t="s">
        <v>17</v>
      </c>
      <c r="F5126" t="s">
        <v>21</v>
      </c>
      <c r="G5126" t="s">
        <v>41</v>
      </c>
      <c r="H5126" t="s">
        <v>25</v>
      </c>
      <c r="I5126" s="1">
        <v>3</v>
      </c>
      <c r="J5126" s="2">
        <v>45941</v>
      </c>
      <c r="K5126" s="2">
        <v>45931</v>
      </c>
      <c r="L5126" s="1" t="str">
        <f t="shared" si="589"/>
        <v>sáb</v>
      </c>
      <c r="M5126" s="1" t="str">
        <f t="shared" si="590"/>
        <v>out</v>
      </c>
      <c r="N5126">
        <f t="shared" si="591"/>
        <v>2025</v>
      </c>
      <c r="O5126" s="2"/>
      <c r="P5126" t="str">
        <f t="shared" si="592"/>
        <v>207845941</v>
      </c>
    </row>
    <row r="5127" spans="1:16" x14ac:dyDescent="0.3">
      <c r="A5127">
        <v>2078</v>
      </c>
      <c r="B5127">
        <v>27</v>
      </c>
      <c r="C5127" t="s">
        <v>15</v>
      </c>
      <c r="D5127" t="s">
        <v>16</v>
      </c>
      <c r="E5127" t="s">
        <v>17</v>
      </c>
      <c r="F5127" t="s">
        <v>21</v>
      </c>
      <c r="G5127" t="s">
        <v>41</v>
      </c>
      <c r="H5127" t="s">
        <v>25</v>
      </c>
      <c r="I5127" s="1">
        <v>3</v>
      </c>
      <c r="J5127" s="2">
        <v>46065</v>
      </c>
      <c r="K5127" s="2">
        <v>46054</v>
      </c>
      <c r="L5127" s="1" t="str">
        <f t="shared" si="589"/>
        <v>qui</v>
      </c>
      <c r="M5127" s="1" t="str">
        <f t="shared" si="590"/>
        <v>fev</v>
      </c>
      <c r="N5127">
        <f t="shared" si="591"/>
        <v>2026</v>
      </c>
      <c r="O5127" s="2"/>
      <c r="P5127" t="str">
        <f t="shared" si="592"/>
        <v>207846065</v>
      </c>
    </row>
    <row r="5128" spans="1:16" x14ac:dyDescent="0.3">
      <c r="A5128">
        <v>2078</v>
      </c>
      <c r="B5128">
        <v>27</v>
      </c>
      <c r="C5128" t="s">
        <v>15</v>
      </c>
      <c r="D5128" t="s">
        <v>16</v>
      </c>
      <c r="E5128" t="s">
        <v>17</v>
      </c>
      <c r="F5128" t="s">
        <v>21</v>
      </c>
      <c r="G5128" t="s">
        <v>41</v>
      </c>
      <c r="H5128" t="s">
        <v>25</v>
      </c>
      <c r="I5128" s="1">
        <v>3</v>
      </c>
      <c r="J5128" s="2">
        <v>46101</v>
      </c>
      <c r="K5128" s="2">
        <v>46082</v>
      </c>
      <c r="L5128" s="1" t="str">
        <f t="shared" si="589"/>
        <v>sex</v>
      </c>
      <c r="M5128" s="1" t="str">
        <f t="shared" si="590"/>
        <v>mar</v>
      </c>
      <c r="N5128">
        <f t="shared" si="591"/>
        <v>2026</v>
      </c>
      <c r="O5128" s="2"/>
      <c r="P5128" t="str">
        <f t="shared" si="592"/>
        <v>207846101</v>
      </c>
    </row>
    <row r="5129" spans="1:16" x14ac:dyDescent="0.3">
      <c r="A5129">
        <v>2079</v>
      </c>
      <c r="B5129">
        <v>47</v>
      </c>
      <c r="C5129" t="s">
        <v>15</v>
      </c>
      <c r="D5129" t="s">
        <v>29</v>
      </c>
      <c r="E5129" t="s">
        <v>17</v>
      </c>
      <c r="F5129" t="s">
        <v>18</v>
      </c>
      <c r="G5129" t="s">
        <v>41</v>
      </c>
      <c r="H5129" t="s">
        <v>25</v>
      </c>
      <c r="I5129" s="1">
        <v>1</v>
      </c>
      <c r="J5129" s="2">
        <v>45818</v>
      </c>
      <c r="K5129" s="2">
        <v>45809</v>
      </c>
      <c r="L5129" s="1" t="str">
        <f t="shared" si="589"/>
        <v>ter</v>
      </c>
      <c r="M5129" s="1" t="str">
        <f t="shared" si="590"/>
        <v>jun</v>
      </c>
      <c r="N5129">
        <f t="shared" si="591"/>
        <v>2025</v>
      </c>
      <c r="O5129" s="2"/>
      <c r="P5129" t="str">
        <f t="shared" si="592"/>
        <v>207945818</v>
      </c>
    </row>
    <row r="5130" spans="1:16" x14ac:dyDescent="0.3">
      <c r="A5130">
        <v>2079</v>
      </c>
      <c r="B5130">
        <v>47</v>
      </c>
      <c r="C5130" t="s">
        <v>15</v>
      </c>
      <c r="D5130" t="s">
        <v>29</v>
      </c>
      <c r="E5130" t="s">
        <v>17</v>
      </c>
      <c r="F5130" t="s">
        <v>18</v>
      </c>
      <c r="G5130" t="s">
        <v>41</v>
      </c>
      <c r="H5130" t="s">
        <v>25</v>
      </c>
      <c r="I5130" s="1">
        <v>1</v>
      </c>
      <c r="J5130" s="2">
        <v>45842</v>
      </c>
      <c r="K5130" s="2">
        <v>45839</v>
      </c>
      <c r="L5130" s="1" t="str">
        <f t="shared" si="589"/>
        <v>sex</v>
      </c>
      <c r="M5130" s="1" t="str">
        <f t="shared" si="590"/>
        <v>jul</v>
      </c>
      <c r="N5130">
        <f t="shared" si="591"/>
        <v>2025</v>
      </c>
      <c r="O5130" s="2"/>
      <c r="P5130" t="str">
        <f t="shared" si="592"/>
        <v>207945842</v>
      </c>
    </row>
    <row r="5131" spans="1:16" x14ac:dyDescent="0.3">
      <c r="A5131">
        <v>2079</v>
      </c>
      <c r="B5131">
        <v>47</v>
      </c>
      <c r="C5131" t="s">
        <v>15</v>
      </c>
      <c r="D5131" t="s">
        <v>29</v>
      </c>
      <c r="E5131" t="s">
        <v>17</v>
      </c>
      <c r="F5131" t="s">
        <v>18</v>
      </c>
      <c r="G5131" t="s">
        <v>41</v>
      </c>
      <c r="H5131" t="s">
        <v>25</v>
      </c>
      <c r="I5131" s="1">
        <v>1</v>
      </c>
      <c r="J5131" s="2">
        <v>46000</v>
      </c>
      <c r="K5131" s="2">
        <v>45992</v>
      </c>
      <c r="L5131" s="1" t="str">
        <f t="shared" si="589"/>
        <v>ter</v>
      </c>
      <c r="M5131" s="1" t="str">
        <f t="shared" si="590"/>
        <v>dez</v>
      </c>
      <c r="N5131">
        <f t="shared" si="591"/>
        <v>2025</v>
      </c>
      <c r="O5131" s="2"/>
      <c r="P5131" t="str">
        <f t="shared" si="592"/>
        <v>207946000</v>
      </c>
    </row>
    <row r="5132" spans="1:16" x14ac:dyDescent="0.3">
      <c r="A5132">
        <v>2079</v>
      </c>
      <c r="B5132">
        <v>47</v>
      </c>
      <c r="C5132" t="s">
        <v>15</v>
      </c>
      <c r="D5132" t="s">
        <v>29</v>
      </c>
      <c r="E5132" t="s">
        <v>17</v>
      </c>
      <c r="F5132" t="s">
        <v>18</v>
      </c>
      <c r="G5132" t="s">
        <v>41</v>
      </c>
      <c r="H5132" t="s">
        <v>25</v>
      </c>
      <c r="I5132" s="1">
        <v>1</v>
      </c>
      <c r="J5132" s="2">
        <v>46101</v>
      </c>
      <c r="K5132" s="2">
        <v>46082</v>
      </c>
      <c r="L5132" s="1" t="str">
        <f t="shared" si="589"/>
        <v>sex</v>
      </c>
      <c r="M5132" s="1" t="str">
        <f t="shared" si="590"/>
        <v>mar</v>
      </c>
      <c r="N5132">
        <f t="shared" si="591"/>
        <v>2026</v>
      </c>
      <c r="O5132" s="2"/>
      <c r="P5132" t="str">
        <f t="shared" si="592"/>
        <v>207946101</v>
      </c>
    </row>
    <row r="5133" spans="1:16" x14ac:dyDescent="0.3">
      <c r="A5133">
        <v>2080</v>
      </c>
      <c r="B5133">
        <v>18</v>
      </c>
      <c r="C5133" t="s">
        <v>15</v>
      </c>
      <c r="D5133" t="s">
        <v>29</v>
      </c>
      <c r="E5133" t="s">
        <v>17</v>
      </c>
      <c r="F5133" t="s">
        <v>23</v>
      </c>
      <c r="G5133" t="s">
        <v>41</v>
      </c>
      <c r="H5133" t="s">
        <v>25</v>
      </c>
      <c r="I5133" s="1">
        <v>3</v>
      </c>
      <c r="J5133" s="2">
        <v>45826</v>
      </c>
      <c r="K5133" s="2">
        <v>45809</v>
      </c>
      <c r="L5133" s="1" t="str">
        <f t="shared" si="589"/>
        <v>qua</v>
      </c>
      <c r="M5133" s="1" t="str">
        <f t="shared" si="590"/>
        <v>jun</v>
      </c>
      <c r="N5133">
        <f t="shared" si="591"/>
        <v>2025</v>
      </c>
      <c r="O5133" s="2"/>
      <c r="P5133" t="str">
        <f t="shared" si="592"/>
        <v>208045826</v>
      </c>
    </row>
    <row r="5134" spans="1:16" x14ac:dyDescent="0.3">
      <c r="A5134">
        <v>2080</v>
      </c>
      <c r="B5134">
        <v>18</v>
      </c>
      <c r="C5134" t="s">
        <v>15</v>
      </c>
      <c r="D5134" t="s">
        <v>29</v>
      </c>
      <c r="E5134" t="s">
        <v>17</v>
      </c>
      <c r="F5134" t="s">
        <v>23</v>
      </c>
      <c r="G5134" t="s">
        <v>41</v>
      </c>
      <c r="H5134" t="s">
        <v>25</v>
      </c>
      <c r="I5134" s="1">
        <v>3</v>
      </c>
      <c r="J5134" s="2">
        <v>45905</v>
      </c>
      <c r="K5134" s="2">
        <v>45901</v>
      </c>
      <c r="L5134" s="1" t="str">
        <f t="shared" si="589"/>
        <v>sex</v>
      </c>
      <c r="M5134" s="1" t="str">
        <f t="shared" si="590"/>
        <v>set</v>
      </c>
      <c r="N5134">
        <f t="shared" si="591"/>
        <v>2025</v>
      </c>
      <c r="O5134" s="2"/>
      <c r="P5134" t="str">
        <f t="shared" si="592"/>
        <v>208045905</v>
      </c>
    </row>
    <row r="5135" spans="1:16" x14ac:dyDescent="0.3">
      <c r="A5135">
        <v>2080</v>
      </c>
      <c r="B5135">
        <v>18</v>
      </c>
      <c r="C5135" t="s">
        <v>15</v>
      </c>
      <c r="D5135" t="s">
        <v>29</v>
      </c>
      <c r="E5135" t="s">
        <v>17</v>
      </c>
      <c r="F5135" t="s">
        <v>23</v>
      </c>
      <c r="G5135" t="s">
        <v>41</v>
      </c>
      <c r="H5135" t="s">
        <v>25</v>
      </c>
      <c r="I5135" s="1">
        <v>3</v>
      </c>
      <c r="J5135" s="2">
        <v>45963</v>
      </c>
      <c r="K5135" s="2">
        <v>45962</v>
      </c>
      <c r="L5135" s="1" t="str">
        <f t="shared" si="589"/>
        <v>dom</v>
      </c>
      <c r="M5135" s="1" t="str">
        <f t="shared" si="590"/>
        <v>nov</v>
      </c>
      <c r="N5135">
        <f t="shared" si="591"/>
        <v>2025</v>
      </c>
      <c r="O5135" s="2"/>
      <c r="P5135" t="str">
        <f t="shared" si="592"/>
        <v>208045963</v>
      </c>
    </row>
    <row r="5136" spans="1:16" x14ac:dyDescent="0.3">
      <c r="A5136">
        <v>2080</v>
      </c>
      <c r="B5136">
        <v>18</v>
      </c>
      <c r="C5136" t="s">
        <v>15</v>
      </c>
      <c r="D5136" t="s">
        <v>29</v>
      </c>
      <c r="E5136" t="s">
        <v>17</v>
      </c>
      <c r="F5136" t="s">
        <v>23</v>
      </c>
      <c r="G5136" t="s">
        <v>41</v>
      </c>
      <c r="H5136" t="s">
        <v>25</v>
      </c>
      <c r="I5136" s="1">
        <v>3</v>
      </c>
      <c r="J5136" s="2">
        <v>46197</v>
      </c>
      <c r="K5136" s="2">
        <v>46023</v>
      </c>
      <c r="L5136" s="1" t="str">
        <f t="shared" si="589"/>
        <v>qua</v>
      </c>
      <c r="M5136" s="1" t="str">
        <f t="shared" si="590"/>
        <v>jun</v>
      </c>
      <c r="N5136">
        <f t="shared" si="591"/>
        <v>2026</v>
      </c>
      <c r="O5136" s="2"/>
      <c r="P5136" t="str">
        <f t="shared" si="592"/>
        <v>208046197</v>
      </c>
    </row>
    <row r="5137" spans="1:16" x14ac:dyDescent="0.3">
      <c r="A5137">
        <v>2080</v>
      </c>
      <c r="B5137">
        <v>18</v>
      </c>
      <c r="C5137" t="s">
        <v>15</v>
      </c>
      <c r="D5137" t="s">
        <v>29</v>
      </c>
      <c r="E5137" t="s">
        <v>17</v>
      </c>
      <c r="F5137" t="s">
        <v>23</v>
      </c>
      <c r="G5137" t="s">
        <v>41</v>
      </c>
      <c r="H5137" t="s">
        <v>25</v>
      </c>
      <c r="I5137" s="1">
        <v>3</v>
      </c>
      <c r="J5137" s="2">
        <v>46083</v>
      </c>
      <c r="K5137" s="2">
        <v>46082</v>
      </c>
      <c r="L5137" s="1" t="str">
        <f t="shared" ref="L5137:L5149" si="593">TEXT(J5137,"ddd")</f>
        <v>seg</v>
      </c>
      <c r="M5137" s="1" t="str">
        <f t="shared" ref="M5137:M5149" si="594">TEXT($J5137,"mmm")</f>
        <v>mar</v>
      </c>
      <c r="N5137">
        <f t="shared" ref="N5137:N5149" si="595">YEAR(J5137)</f>
        <v>2026</v>
      </c>
      <c r="O5137" s="2"/>
      <c r="P5137" t="str">
        <f t="shared" si="592"/>
        <v>208046083</v>
      </c>
    </row>
    <row r="5138" spans="1:16" x14ac:dyDescent="0.3">
      <c r="A5138">
        <v>2080</v>
      </c>
      <c r="B5138">
        <v>18</v>
      </c>
      <c r="C5138" t="s">
        <v>15</v>
      </c>
      <c r="D5138" t="s">
        <v>29</v>
      </c>
      <c r="E5138" t="s">
        <v>17</v>
      </c>
      <c r="F5138" t="s">
        <v>23</v>
      </c>
      <c r="G5138" t="s">
        <v>41</v>
      </c>
      <c r="H5138" t="s">
        <v>25</v>
      </c>
      <c r="I5138" s="1">
        <v>3</v>
      </c>
      <c r="J5138" s="2">
        <v>46103</v>
      </c>
      <c r="K5138" s="2">
        <v>46082</v>
      </c>
      <c r="L5138" s="1" t="str">
        <f t="shared" si="593"/>
        <v>dom</v>
      </c>
      <c r="M5138" s="1" t="str">
        <f t="shared" si="594"/>
        <v>mar</v>
      </c>
      <c r="N5138">
        <f t="shared" si="595"/>
        <v>2026</v>
      </c>
      <c r="O5138" s="2"/>
      <c r="P5138" t="str">
        <f t="shared" si="592"/>
        <v>208046103</v>
      </c>
    </row>
    <row r="5139" spans="1:16" x14ac:dyDescent="0.3">
      <c r="A5139">
        <v>2082</v>
      </c>
      <c r="B5139">
        <v>52</v>
      </c>
      <c r="C5139" t="s">
        <v>15</v>
      </c>
      <c r="D5139" t="s">
        <v>27</v>
      </c>
      <c r="E5139" t="s">
        <v>17</v>
      </c>
      <c r="F5139" t="s">
        <v>18</v>
      </c>
      <c r="G5139" t="s">
        <v>41</v>
      </c>
      <c r="H5139" t="s">
        <v>25</v>
      </c>
      <c r="I5139" s="1">
        <v>2</v>
      </c>
      <c r="J5139" s="2">
        <v>45816</v>
      </c>
      <c r="K5139" s="2">
        <v>45809</v>
      </c>
      <c r="L5139" s="1" t="str">
        <f t="shared" si="593"/>
        <v>dom</v>
      </c>
      <c r="M5139" s="1" t="str">
        <f t="shared" si="594"/>
        <v>jun</v>
      </c>
      <c r="N5139">
        <f t="shared" si="595"/>
        <v>2025</v>
      </c>
      <c r="O5139" s="2"/>
      <c r="P5139" t="str">
        <f t="shared" si="592"/>
        <v>208245816</v>
      </c>
    </row>
    <row r="5140" spans="1:16" x14ac:dyDescent="0.3">
      <c r="A5140">
        <v>2082</v>
      </c>
      <c r="B5140">
        <v>52</v>
      </c>
      <c r="C5140" t="s">
        <v>15</v>
      </c>
      <c r="D5140" t="s">
        <v>27</v>
      </c>
      <c r="E5140" t="s">
        <v>17</v>
      </c>
      <c r="F5140" t="s">
        <v>18</v>
      </c>
      <c r="G5140" t="s">
        <v>41</v>
      </c>
      <c r="H5140" t="s">
        <v>25</v>
      </c>
      <c r="I5140" s="1">
        <v>2</v>
      </c>
      <c r="J5140" s="2">
        <v>45819</v>
      </c>
      <c r="K5140" s="2">
        <v>45809</v>
      </c>
      <c r="L5140" s="1" t="str">
        <f t="shared" si="593"/>
        <v>qua</v>
      </c>
      <c r="M5140" s="1" t="str">
        <f t="shared" si="594"/>
        <v>jun</v>
      </c>
      <c r="N5140">
        <f t="shared" si="595"/>
        <v>2025</v>
      </c>
      <c r="O5140" s="2"/>
      <c r="P5140" t="str">
        <f t="shared" si="592"/>
        <v>208245819</v>
      </c>
    </row>
    <row r="5141" spans="1:16" x14ac:dyDescent="0.3">
      <c r="A5141">
        <v>2082</v>
      </c>
      <c r="B5141">
        <v>52</v>
      </c>
      <c r="C5141" t="s">
        <v>15</v>
      </c>
      <c r="D5141" t="s">
        <v>27</v>
      </c>
      <c r="E5141" t="s">
        <v>17</v>
      </c>
      <c r="F5141" t="s">
        <v>18</v>
      </c>
      <c r="G5141" t="s">
        <v>41</v>
      </c>
      <c r="H5141" t="s">
        <v>25</v>
      </c>
      <c r="I5141" s="1">
        <v>2</v>
      </c>
      <c r="J5141" s="2">
        <v>45832</v>
      </c>
      <c r="K5141" s="2">
        <v>45809</v>
      </c>
      <c r="L5141" s="1" t="str">
        <f t="shared" si="593"/>
        <v>ter</v>
      </c>
      <c r="M5141" s="1" t="str">
        <f t="shared" si="594"/>
        <v>jun</v>
      </c>
      <c r="N5141">
        <f t="shared" si="595"/>
        <v>2025</v>
      </c>
      <c r="O5141" s="2"/>
      <c r="P5141" t="str">
        <f t="shared" si="592"/>
        <v>208245832</v>
      </c>
    </row>
    <row r="5142" spans="1:16" x14ac:dyDescent="0.3">
      <c r="A5142">
        <v>2082</v>
      </c>
      <c r="B5142">
        <v>52</v>
      </c>
      <c r="C5142" t="s">
        <v>15</v>
      </c>
      <c r="D5142" t="s">
        <v>27</v>
      </c>
      <c r="E5142" t="s">
        <v>17</v>
      </c>
      <c r="F5142" t="s">
        <v>18</v>
      </c>
      <c r="G5142" t="s">
        <v>41</v>
      </c>
      <c r="H5142" t="s">
        <v>25</v>
      </c>
      <c r="I5142" s="1">
        <v>2</v>
      </c>
      <c r="J5142" s="2">
        <v>45919</v>
      </c>
      <c r="K5142" s="2">
        <v>45901</v>
      </c>
      <c r="L5142" s="1" t="str">
        <f t="shared" si="593"/>
        <v>sex</v>
      </c>
      <c r="M5142" s="1" t="str">
        <f t="shared" si="594"/>
        <v>set</v>
      </c>
      <c r="N5142">
        <f t="shared" si="595"/>
        <v>2025</v>
      </c>
      <c r="O5142" s="2"/>
      <c r="P5142" t="str">
        <f t="shared" si="592"/>
        <v>208245919</v>
      </c>
    </row>
    <row r="5143" spans="1:16" x14ac:dyDescent="0.3">
      <c r="A5143">
        <v>2082</v>
      </c>
      <c r="B5143">
        <v>52</v>
      </c>
      <c r="C5143" t="s">
        <v>15</v>
      </c>
      <c r="D5143" t="s">
        <v>27</v>
      </c>
      <c r="E5143" t="s">
        <v>17</v>
      </c>
      <c r="F5143" t="s">
        <v>18</v>
      </c>
      <c r="G5143" t="s">
        <v>41</v>
      </c>
      <c r="H5143" t="s">
        <v>25</v>
      </c>
      <c r="I5143" s="1">
        <v>2</v>
      </c>
      <c r="J5143" s="2">
        <v>45941</v>
      </c>
      <c r="K5143" s="2">
        <v>45931</v>
      </c>
      <c r="L5143" s="1" t="str">
        <f t="shared" si="593"/>
        <v>sáb</v>
      </c>
      <c r="M5143" s="1" t="str">
        <f t="shared" si="594"/>
        <v>out</v>
      </c>
      <c r="N5143">
        <f t="shared" si="595"/>
        <v>2025</v>
      </c>
      <c r="O5143" s="2"/>
      <c r="P5143" t="str">
        <f t="shared" si="592"/>
        <v>208245941</v>
      </c>
    </row>
    <row r="5144" spans="1:16" x14ac:dyDescent="0.3">
      <c r="A5144">
        <v>2082</v>
      </c>
      <c r="B5144">
        <v>52</v>
      </c>
      <c r="C5144" t="s">
        <v>15</v>
      </c>
      <c r="D5144" t="s">
        <v>27</v>
      </c>
      <c r="E5144" t="s">
        <v>17</v>
      </c>
      <c r="F5144" t="s">
        <v>18</v>
      </c>
      <c r="G5144" t="s">
        <v>41</v>
      </c>
      <c r="H5144" t="s">
        <v>25</v>
      </c>
      <c r="I5144" s="1">
        <v>2</v>
      </c>
      <c r="J5144" s="2">
        <v>46076</v>
      </c>
      <c r="K5144" s="2">
        <v>46054</v>
      </c>
      <c r="L5144" s="1" t="str">
        <f t="shared" si="593"/>
        <v>seg</v>
      </c>
      <c r="M5144" s="1" t="str">
        <f t="shared" si="594"/>
        <v>fev</v>
      </c>
      <c r="N5144">
        <f t="shared" si="595"/>
        <v>2026</v>
      </c>
      <c r="O5144" s="2"/>
      <c r="P5144" t="str">
        <f t="shared" si="592"/>
        <v>208246076</v>
      </c>
    </row>
    <row r="5145" spans="1:16" x14ac:dyDescent="0.3">
      <c r="A5145">
        <v>2084</v>
      </c>
      <c r="B5145">
        <v>19</v>
      </c>
      <c r="C5145" t="s">
        <v>15</v>
      </c>
      <c r="D5145" t="s">
        <v>16</v>
      </c>
      <c r="E5145" t="s">
        <v>17</v>
      </c>
      <c r="F5145" t="s">
        <v>23</v>
      </c>
      <c r="G5145" t="s">
        <v>41</v>
      </c>
      <c r="H5145" t="s">
        <v>25</v>
      </c>
      <c r="I5145" s="1">
        <v>2</v>
      </c>
      <c r="J5145" s="2">
        <v>45777</v>
      </c>
      <c r="K5145" s="2">
        <v>45748</v>
      </c>
      <c r="L5145" s="1" t="str">
        <f t="shared" si="593"/>
        <v>qua</v>
      </c>
      <c r="M5145" s="1" t="str">
        <f t="shared" si="594"/>
        <v>abr</v>
      </c>
      <c r="N5145">
        <f t="shared" si="595"/>
        <v>2025</v>
      </c>
      <c r="O5145" s="2"/>
      <c r="P5145" t="str">
        <f t="shared" si="592"/>
        <v>208445777</v>
      </c>
    </row>
    <row r="5146" spans="1:16" x14ac:dyDescent="0.3">
      <c r="A5146">
        <v>2084</v>
      </c>
      <c r="B5146">
        <v>19</v>
      </c>
      <c r="C5146" t="s">
        <v>15</v>
      </c>
      <c r="D5146" t="s">
        <v>16</v>
      </c>
      <c r="E5146" t="s">
        <v>17</v>
      </c>
      <c r="F5146" t="s">
        <v>23</v>
      </c>
      <c r="G5146" t="s">
        <v>41</v>
      </c>
      <c r="H5146" t="s">
        <v>25</v>
      </c>
      <c r="I5146" s="1">
        <v>2</v>
      </c>
      <c r="J5146" s="2">
        <v>45845</v>
      </c>
      <c r="K5146" s="2">
        <v>45839</v>
      </c>
      <c r="L5146" s="1" t="str">
        <f t="shared" si="593"/>
        <v>seg</v>
      </c>
      <c r="M5146" s="1" t="str">
        <f t="shared" si="594"/>
        <v>jul</v>
      </c>
      <c r="N5146">
        <f t="shared" si="595"/>
        <v>2025</v>
      </c>
      <c r="O5146" s="2"/>
      <c r="P5146" t="str">
        <f t="shared" si="592"/>
        <v>208445845</v>
      </c>
    </row>
    <row r="5147" spans="1:16" x14ac:dyDescent="0.3">
      <c r="A5147">
        <v>2084</v>
      </c>
      <c r="B5147">
        <v>19</v>
      </c>
      <c r="C5147" t="s">
        <v>15</v>
      </c>
      <c r="D5147" t="s">
        <v>16</v>
      </c>
      <c r="E5147" t="s">
        <v>17</v>
      </c>
      <c r="F5147" t="s">
        <v>23</v>
      </c>
      <c r="G5147" t="s">
        <v>41</v>
      </c>
      <c r="H5147" t="s">
        <v>25</v>
      </c>
      <c r="I5147" s="1">
        <v>2</v>
      </c>
      <c r="J5147" s="2">
        <v>45874</v>
      </c>
      <c r="K5147" s="2">
        <v>45870</v>
      </c>
      <c r="L5147" s="1" t="str">
        <f t="shared" si="593"/>
        <v>ter</v>
      </c>
      <c r="M5147" s="1" t="str">
        <f t="shared" si="594"/>
        <v>ago</v>
      </c>
      <c r="N5147">
        <f t="shared" si="595"/>
        <v>2025</v>
      </c>
      <c r="O5147" s="2"/>
      <c r="P5147" t="str">
        <f t="shared" si="592"/>
        <v>208445874</v>
      </c>
    </row>
    <row r="5148" spans="1:16" x14ac:dyDescent="0.3">
      <c r="A5148">
        <v>2084</v>
      </c>
      <c r="B5148">
        <v>19</v>
      </c>
      <c r="C5148" t="s">
        <v>15</v>
      </c>
      <c r="D5148" t="s">
        <v>16</v>
      </c>
      <c r="E5148" t="s">
        <v>17</v>
      </c>
      <c r="F5148" t="s">
        <v>23</v>
      </c>
      <c r="G5148" t="s">
        <v>41</v>
      </c>
      <c r="H5148" t="s">
        <v>25</v>
      </c>
      <c r="I5148" s="1">
        <v>2</v>
      </c>
      <c r="J5148" s="2">
        <v>45898</v>
      </c>
      <c r="K5148" s="2">
        <v>45870</v>
      </c>
      <c r="L5148" s="1" t="str">
        <f t="shared" si="593"/>
        <v>sex</v>
      </c>
      <c r="M5148" s="1" t="str">
        <f t="shared" si="594"/>
        <v>ago</v>
      </c>
      <c r="N5148">
        <f t="shared" si="595"/>
        <v>2025</v>
      </c>
      <c r="O5148" s="2"/>
      <c r="P5148" t="str">
        <f t="shared" si="592"/>
        <v>208445898</v>
      </c>
    </row>
    <row r="5149" spans="1:16" x14ac:dyDescent="0.3">
      <c r="A5149">
        <v>2084</v>
      </c>
      <c r="B5149">
        <v>19</v>
      </c>
      <c r="C5149" t="s">
        <v>15</v>
      </c>
      <c r="D5149" t="s">
        <v>16</v>
      </c>
      <c r="E5149" t="s">
        <v>17</v>
      </c>
      <c r="F5149" t="s">
        <v>23</v>
      </c>
      <c r="G5149" t="s">
        <v>41</v>
      </c>
      <c r="H5149" t="s">
        <v>25</v>
      </c>
      <c r="I5149" s="1">
        <v>2</v>
      </c>
      <c r="J5149" s="2">
        <v>46050</v>
      </c>
      <c r="K5149" s="2">
        <v>46023</v>
      </c>
      <c r="L5149" s="1" t="str">
        <f t="shared" si="593"/>
        <v>qua</v>
      </c>
      <c r="M5149" s="1" t="str">
        <f t="shared" si="594"/>
        <v>jan</v>
      </c>
      <c r="N5149">
        <f t="shared" si="595"/>
        <v>2026</v>
      </c>
      <c r="O5149" s="2"/>
      <c r="P5149" t="str">
        <f t="shared" si="592"/>
        <v>208446050</v>
      </c>
    </row>
    <row r="5150" spans="1:16" x14ac:dyDescent="0.3">
      <c r="A5150">
        <v>2084</v>
      </c>
      <c r="B5150">
        <v>19</v>
      </c>
      <c r="C5150" t="s">
        <v>15</v>
      </c>
      <c r="D5150" t="s">
        <v>16</v>
      </c>
      <c r="E5150" t="s">
        <v>17</v>
      </c>
      <c r="F5150" t="s">
        <v>23</v>
      </c>
      <c r="G5150" t="s">
        <v>41</v>
      </c>
      <c r="H5150" t="s">
        <v>25</v>
      </c>
      <c r="I5150" s="1">
        <v>2</v>
      </c>
      <c r="J5150" s="2">
        <v>46142</v>
      </c>
      <c r="K5150" s="2">
        <v>46113</v>
      </c>
      <c r="L5150" s="1" t="s">
        <v>51</v>
      </c>
      <c r="M5150" s="1" t="s">
        <v>48</v>
      </c>
      <c r="N5150">
        <v>2025</v>
      </c>
      <c r="O5150" s="2"/>
      <c r="P5150" t="str">
        <f t="shared" si="592"/>
        <v>208446142</v>
      </c>
    </row>
    <row r="5151" spans="1:16" x14ac:dyDescent="0.3">
      <c r="A5151">
        <v>2086</v>
      </c>
      <c r="B5151">
        <v>27</v>
      </c>
      <c r="C5151" t="s">
        <v>15</v>
      </c>
      <c r="D5151" t="s">
        <v>29</v>
      </c>
      <c r="E5151" t="s">
        <v>17</v>
      </c>
      <c r="F5151" t="s">
        <v>18</v>
      </c>
      <c r="G5151" t="s">
        <v>41</v>
      </c>
      <c r="H5151" t="s">
        <v>25</v>
      </c>
      <c r="I5151" s="1">
        <v>1</v>
      </c>
      <c r="J5151" s="2">
        <v>45841</v>
      </c>
      <c r="K5151" s="2">
        <v>45839</v>
      </c>
      <c r="L5151" s="1" t="str">
        <f t="shared" ref="L5151:L5182" si="596">TEXT(J5151,"ddd")</f>
        <v>qui</v>
      </c>
      <c r="M5151" s="1" t="str">
        <f t="shared" ref="M5151:M5182" si="597">TEXT($J5151,"mmm")</f>
        <v>jul</v>
      </c>
      <c r="N5151">
        <f t="shared" ref="N5151:N5182" si="598">YEAR(J5151)</f>
        <v>2025</v>
      </c>
      <c r="O5151" s="2"/>
      <c r="P5151" t="str">
        <f t="shared" si="592"/>
        <v>208645841</v>
      </c>
    </row>
    <row r="5152" spans="1:16" x14ac:dyDescent="0.3">
      <c r="A5152">
        <v>2086</v>
      </c>
      <c r="B5152">
        <v>27</v>
      </c>
      <c r="C5152" t="s">
        <v>15</v>
      </c>
      <c r="D5152" t="s">
        <v>29</v>
      </c>
      <c r="E5152" t="s">
        <v>17</v>
      </c>
      <c r="F5152" t="s">
        <v>18</v>
      </c>
      <c r="G5152" t="s">
        <v>41</v>
      </c>
      <c r="H5152" t="s">
        <v>25</v>
      </c>
      <c r="I5152" s="1">
        <v>1</v>
      </c>
      <c r="J5152" s="2">
        <v>45917</v>
      </c>
      <c r="K5152" s="2">
        <v>45901</v>
      </c>
      <c r="L5152" s="1" t="str">
        <f t="shared" si="596"/>
        <v>qua</v>
      </c>
      <c r="M5152" s="1" t="str">
        <f t="shared" si="597"/>
        <v>set</v>
      </c>
      <c r="N5152">
        <f t="shared" si="598"/>
        <v>2025</v>
      </c>
      <c r="O5152" s="2"/>
      <c r="P5152" t="str">
        <f t="shared" si="592"/>
        <v>208645917</v>
      </c>
    </row>
    <row r="5153" spans="1:16" x14ac:dyDescent="0.3">
      <c r="A5153">
        <v>2086</v>
      </c>
      <c r="B5153">
        <v>27</v>
      </c>
      <c r="C5153" t="s">
        <v>15</v>
      </c>
      <c r="D5153" t="s">
        <v>29</v>
      </c>
      <c r="E5153" t="s">
        <v>17</v>
      </c>
      <c r="F5153" t="s">
        <v>18</v>
      </c>
      <c r="G5153" t="s">
        <v>41</v>
      </c>
      <c r="H5153" t="s">
        <v>25</v>
      </c>
      <c r="I5153" s="1">
        <v>1</v>
      </c>
      <c r="J5153" s="2">
        <v>45929</v>
      </c>
      <c r="K5153" s="2">
        <v>45901</v>
      </c>
      <c r="L5153" s="1" t="str">
        <f t="shared" si="596"/>
        <v>seg</v>
      </c>
      <c r="M5153" s="1" t="str">
        <f t="shared" si="597"/>
        <v>set</v>
      </c>
      <c r="N5153">
        <f t="shared" si="598"/>
        <v>2025</v>
      </c>
      <c r="O5153" s="2"/>
      <c r="P5153" t="str">
        <f t="shared" si="592"/>
        <v>208645929</v>
      </c>
    </row>
    <row r="5154" spans="1:16" x14ac:dyDescent="0.3">
      <c r="A5154">
        <v>2086</v>
      </c>
      <c r="B5154">
        <v>27</v>
      </c>
      <c r="C5154" t="s">
        <v>15</v>
      </c>
      <c r="D5154" t="s">
        <v>29</v>
      </c>
      <c r="E5154" t="s">
        <v>17</v>
      </c>
      <c r="F5154" t="s">
        <v>18</v>
      </c>
      <c r="G5154" t="s">
        <v>41</v>
      </c>
      <c r="H5154" t="s">
        <v>25</v>
      </c>
      <c r="I5154" s="1">
        <v>1</v>
      </c>
      <c r="J5154" s="2">
        <v>45963</v>
      </c>
      <c r="K5154" s="2">
        <v>45962</v>
      </c>
      <c r="L5154" s="1" t="str">
        <f t="shared" si="596"/>
        <v>dom</v>
      </c>
      <c r="M5154" s="1" t="str">
        <f t="shared" si="597"/>
        <v>nov</v>
      </c>
      <c r="N5154">
        <f t="shared" si="598"/>
        <v>2025</v>
      </c>
      <c r="O5154" s="2"/>
      <c r="P5154" t="str">
        <f t="shared" si="592"/>
        <v>208645963</v>
      </c>
    </row>
    <row r="5155" spans="1:16" x14ac:dyDescent="0.3">
      <c r="A5155">
        <v>2086</v>
      </c>
      <c r="B5155">
        <v>27</v>
      </c>
      <c r="C5155" t="s">
        <v>15</v>
      </c>
      <c r="D5155" t="s">
        <v>29</v>
      </c>
      <c r="E5155" t="s">
        <v>17</v>
      </c>
      <c r="F5155" t="s">
        <v>18</v>
      </c>
      <c r="G5155" t="s">
        <v>41</v>
      </c>
      <c r="H5155" t="s">
        <v>25</v>
      </c>
      <c r="I5155" s="1">
        <v>1</v>
      </c>
      <c r="J5155" s="2">
        <v>45974</v>
      </c>
      <c r="K5155" s="2">
        <v>45962</v>
      </c>
      <c r="L5155" s="1" t="str">
        <f t="shared" si="596"/>
        <v>qui</v>
      </c>
      <c r="M5155" s="1" t="str">
        <f t="shared" si="597"/>
        <v>nov</v>
      </c>
      <c r="N5155">
        <f t="shared" si="598"/>
        <v>2025</v>
      </c>
      <c r="O5155" s="2"/>
      <c r="P5155" t="str">
        <f t="shared" si="592"/>
        <v>208645974</v>
      </c>
    </row>
    <row r="5156" spans="1:16" x14ac:dyDescent="0.3">
      <c r="A5156">
        <v>2086</v>
      </c>
      <c r="B5156">
        <v>27</v>
      </c>
      <c r="C5156" t="s">
        <v>15</v>
      </c>
      <c r="D5156" t="s">
        <v>29</v>
      </c>
      <c r="E5156" t="s">
        <v>17</v>
      </c>
      <c r="F5156" t="s">
        <v>18</v>
      </c>
      <c r="G5156" t="s">
        <v>41</v>
      </c>
      <c r="H5156" t="s">
        <v>25</v>
      </c>
      <c r="I5156" s="1">
        <v>1</v>
      </c>
      <c r="J5156" s="2">
        <v>45994</v>
      </c>
      <c r="K5156" s="2">
        <v>45992</v>
      </c>
      <c r="L5156" s="1" t="str">
        <f t="shared" si="596"/>
        <v>qua</v>
      </c>
      <c r="M5156" s="1" t="str">
        <f t="shared" si="597"/>
        <v>dez</v>
      </c>
      <c r="N5156">
        <f t="shared" si="598"/>
        <v>2025</v>
      </c>
      <c r="O5156" s="2"/>
      <c r="P5156" t="str">
        <f t="shared" si="592"/>
        <v>208645994</v>
      </c>
    </row>
    <row r="5157" spans="1:16" x14ac:dyDescent="0.3">
      <c r="A5157">
        <v>2087</v>
      </c>
      <c r="B5157">
        <v>21</v>
      </c>
      <c r="C5157" t="s">
        <v>26</v>
      </c>
      <c r="D5157" t="s">
        <v>31</v>
      </c>
      <c r="E5157" t="s">
        <v>34</v>
      </c>
      <c r="F5157" t="s">
        <v>21</v>
      </c>
      <c r="G5157" t="s">
        <v>41</v>
      </c>
      <c r="H5157" t="s">
        <v>25</v>
      </c>
      <c r="I5157" s="1">
        <v>1</v>
      </c>
      <c r="J5157" s="2">
        <v>45893</v>
      </c>
      <c r="K5157" s="2">
        <v>45870</v>
      </c>
      <c r="L5157" s="1" t="str">
        <f t="shared" si="596"/>
        <v>dom</v>
      </c>
      <c r="M5157" s="1" t="str">
        <f t="shared" si="597"/>
        <v>ago</v>
      </c>
      <c r="N5157">
        <f t="shared" si="598"/>
        <v>2025</v>
      </c>
      <c r="O5157" s="2"/>
      <c r="P5157" t="str">
        <f t="shared" si="592"/>
        <v>208745893</v>
      </c>
    </row>
    <row r="5158" spans="1:16" x14ac:dyDescent="0.3">
      <c r="A5158">
        <v>2087</v>
      </c>
      <c r="B5158">
        <v>21</v>
      </c>
      <c r="C5158" t="s">
        <v>26</v>
      </c>
      <c r="D5158" t="s">
        <v>31</v>
      </c>
      <c r="E5158" t="s">
        <v>34</v>
      </c>
      <c r="F5158" t="s">
        <v>21</v>
      </c>
      <c r="G5158" t="s">
        <v>41</v>
      </c>
      <c r="H5158" t="s">
        <v>25</v>
      </c>
      <c r="I5158" s="1">
        <v>1</v>
      </c>
      <c r="J5158" s="2">
        <v>45924</v>
      </c>
      <c r="K5158" s="2">
        <v>45901</v>
      </c>
      <c r="L5158" s="1" t="str">
        <f t="shared" si="596"/>
        <v>qua</v>
      </c>
      <c r="M5158" s="1" t="str">
        <f t="shared" si="597"/>
        <v>set</v>
      </c>
      <c r="N5158">
        <f t="shared" si="598"/>
        <v>2025</v>
      </c>
      <c r="O5158" s="2"/>
      <c r="P5158" t="str">
        <f t="shared" si="592"/>
        <v>208745924</v>
      </c>
    </row>
    <row r="5159" spans="1:16" x14ac:dyDescent="0.3">
      <c r="A5159">
        <v>2087</v>
      </c>
      <c r="B5159">
        <v>21</v>
      </c>
      <c r="C5159" t="s">
        <v>26</v>
      </c>
      <c r="D5159" t="s">
        <v>31</v>
      </c>
      <c r="E5159" t="s">
        <v>34</v>
      </c>
      <c r="F5159" t="s">
        <v>21</v>
      </c>
      <c r="G5159" t="s">
        <v>41</v>
      </c>
      <c r="H5159" t="s">
        <v>25</v>
      </c>
      <c r="I5159" s="1">
        <v>1</v>
      </c>
      <c r="J5159" s="2">
        <v>45952</v>
      </c>
      <c r="K5159" s="2">
        <v>45931</v>
      </c>
      <c r="L5159" s="1" t="str">
        <f t="shared" si="596"/>
        <v>qua</v>
      </c>
      <c r="M5159" s="1" t="str">
        <f t="shared" si="597"/>
        <v>out</v>
      </c>
      <c r="N5159">
        <f t="shared" si="598"/>
        <v>2025</v>
      </c>
      <c r="O5159" s="2"/>
      <c r="P5159" t="str">
        <f t="shared" si="592"/>
        <v>208745952</v>
      </c>
    </row>
    <row r="5160" spans="1:16" x14ac:dyDescent="0.3">
      <c r="A5160">
        <v>2087</v>
      </c>
      <c r="B5160">
        <v>21</v>
      </c>
      <c r="C5160" t="s">
        <v>26</v>
      </c>
      <c r="D5160" t="s">
        <v>31</v>
      </c>
      <c r="E5160" t="s">
        <v>34</v>
      </c>
      <c r="F5160" t="s">
        <v>21</v>
      </c>
      <c r="G5160" t="s">
        <v>41</v>
      </c>
      <c r="H5160" t="s">
        <v>25</v>
      </c>
      <c r="I5160" s="1">
        <v>1</v>
      </c>
      <c r="J5160" s="2">
        <v>46020</v>
      </c>
      <c r="K5160" s="2">
        <v>45992</v>
      </c>
      <c r="L5160" s="1" t="str">
        <f t="shared" si="596"/>
        <v>seg</v>
      </c>
      <c r="M5160" s="1" t="str">
        <f t="shared" si="597"/>
        <v>dez</v>
      </c>
      <c r="N5160">
        <f t="shared" si="598"/>
        <v>2025</v>
      </c>
      <c r="O5160" s="2"/>
      <c r="P5160" t="str">
        <f t="shared" si="592"/>
        <v>208746020</v>
      </c>
    </row>
    <row r="5161" spans="1:16" x14ac:dyDescent="0.3">
      <c r="A5161">
        <v>2087</v>
      </c>
      <c r="B5161">
        <v>21</v>
      </c>
      <c r="C5161" t="s">
        <v>26</v>
      </c>
      <c r="D5161" t="s">
        <v>31</v>
      </c>
      <c r="E5161" t="s">
        <v>34</v>
      </c>
      <c r="F5161" t="s">
        <v>21</v>
      </c>
      <c r="G5161" t="s">
        <v>41</v>
      </c>
      <c r="H5161" t="s">
        <v>25</v>
      </c>
      <c r="I5161" s="1">
        <v>1</v>
      </c>
      <c r="J5161" s="2">
        <v>46068</v>
      </c>
      <c r="K5161" s="2">
        <v>46054</v>
      </c>
      <c r="L5161" s="1" t="str">
        <f t="shared" si="596"/>
        <v>dom</v>
      </c>
      <c r="M5161" s="1" t="str">
        <f t="shared" si="597"/>
        <v>fev</v>
      </c>
      <c r="N5161">
        <f t="shared" si="598"/>
        <v>2026</v>
      </c>
      <c r="O5161" s="2"/>
      <c r="P5161" t="str">
        <f t="shared" si="592"/>
        <v>208746068</v>
      </c>
    </row>
    <row r="5162" spans="1:16" x14ac:dyDescent="0.3">
      <c r="A5162">
        <v>2087</v>
      </c>
      <c r="B5162">
        <v>21</v>
      </c>
      <c r="C5162" t="s">
        <v>26</v>
      </c>
      <c r="D5162" t="s">
        <v>31</v>
      </c>
      <c r="E5162" t="s">
        <v>34</v>
      </c>
      <c r="F5162" t="s">
        <v>21</v>
      </c>
      <c r="G5162" t="s">
        <v>41</v>
      </c>
      <c r="H5162" t="s">
        <v>25</v>
      </c>
      <c r="I5162" s="1">
        <v>1</v>
      </c>
      <c r="J5162" s="2">
        <v>46080</v>
      </c>
      <c r="K5162" s="2">
        <v>46054</v>
      </c>
      <c r="L5162" s="1" t="str">
        <f t="shared" si="596"/>
        <v>sex</v>
      </c>
      <c r="M5162" s="1" t="str">
        <f t="shared" si="597"/>
        <v>fev</v>
      </c>
      <c r="N5162">
        <f t="shared" si="598"/>
        <v>2026</v>
      </c>
      <c r="O5162" s="2"/>
      <c r="P5162" t="str">
        <f t="shared" si="592"/>
        <v>208746080</v>
      </c>
    </row>
    <row r="5163" spans="1:16" x14ac:dyDescent="0.3">
      <c r="A5163">
        <v>2088</v>
      </c>
      <c r="B5163">
        <v>32</v>
      </c>
      <c r="C5163" t="s">
        <v>26</v>
      </c>
      <c r="D5163" t="s">
        <v>22</v>
      </c>
      <c r="E5163" t="s">
        <v>17</v>
      </c>
      <c r="F5163" t="s">
        <v>23</v>
      </c>
      <c r="G5163" t="s">
        <v>41</v>
      </c>
      <c r="H5163" t="s">
        <v>25</v>
      </c>
      <c r="I5163" s="1">
        <v>2</v>
      </c>
      <c r="J5163" s="2">
        <v>45810</v>
      </c>
      <c r="K5163" s="2">
        <v>45809</v>
      </c>
      <c r="L5163" s="1" t="str">
        <f t="shared" si="596"/>
        <v>seg</v>
      </c>
      <c r="M5163" s="1" t="str">
        <f t="shared" si="597"/>
        <v>jun</v>
      </c>
      <c r="N5163">
        <f t="shared" si="598"/>
        <v>2025</v>
      </c>
      <c r="O5163" s="2"/>
      <c r="P5163" t="str">
        <f t="shared" si="592"/>
        <v>208845810</v>
      </c>
    </row>
    <row r="5164" spans="1:16" x14ac:dyDescent="0.3">
      <c r="A5164">
        <v>2088</v>
      </c>
      <c r="B5164">
        <v>32</v>
      </c>
      <c r="C5164" t="s">
        <v>26</v>
      </c>
      <c r="D5164" t="s">
        <v>22</v>
      </c>
      <c r="E5164" t="s">
        <v>17</v>
      </c>
      <c r="F5164" t="s">
        <v>23</v>
      </c>
      <c r="G5164" t="s">
        <v>41</v>
      </c>
      <c r="H5164" t="s">
        <v>25</v>
      </c>
      <c r="I5164" s="1">
        <v>2</v>
      </c>
      <c r="J5164" s="2">
        <v>45818</v>
      </c>
      <c r="K5164" s="2">
        <v>45809</v>
      </c>
      <c r="L5164" s="1" t="str">
        <f t="shared" si="596"/>
        <v>ter</v>
      </c>
      <c r="M5164" s="1" t="str">
        <f t="shared" si="597"/>
        <v>jun</v>
      </c>
      <c r="N5164">
        <f t="shared" si="598"/>
        <v>2025</v>
      </c>
      <c r="O5164" s="2"/>
      <c r="P5164" t="str">
        <f t="shared" si="592"/>
        <v>208845818</v>
      </c>
    </row>
    <row r="5165" spans="1:16" x14ac:dyDescent="0.3">
      <c r="A5165">
        <v>2088</v>
      </c>
      <c r="B5165">
        <v>32</v>
      </c>
      <c r="C5165" t="s">
        <v>26</v>
      </c>
      <c r="D5165" t="s">
        <v>22</v>
      </c>
      <c r="E5165" t="s">
        <v>17</v>
      </c>
      <c r="F5165" t="s">
        <v>23</v>
      </c>
      <c r="G5165" t="s">
        <v>41</v>
      </c>
      <c r="H5165" t="s">
        <v>25</v>
      </c>
      <c r="I5165" s="1">
        <v>2</v>
      </c>
      <c r="J5165" s="2">
        <v>45835</v>
      </c>
      <c r="K5165" s="2">
        <v>45809</v>
      </c>
      <c r="L5165" s="1" t="str">
        <f t="shared" si="596"/>
        <v>sex</v>
      </c>
      <c r="M5165" s="1" t="str">
        <f t="shared" si="597"/>
        <v>jun</v>
      </c>
      <c r="N5165">
        <f t="shared" si="598"/>
        <v>2025</v>
      </c>
      <c r="O5165" s="2"/>
      <c r="P5165" t="str">
        <f t="shared" si="592"/>
        <v>208845835</v>
      </c>
    </row>
    <row r="5166" spans="1:16" x14ac:dyDescent="0.3">
      <c r="A5166">
        <v>2088</v>
      </c>
      <c r="B5166">
        <v>32</v>
      </c>
      <c r="C5166" t="s">
        <v>26</v>
      </c>
      <c r="D5166" t="s">
        <v>22</v>
      </c>
      <c r="E5166" t="s">
        <v>17</v>
      </c>
      <c r="F5166" t="s">
        <v>23</v>
      </c>
      <c r="G5166" t="s">
        <v>41</v>
      </c>
      <c r="H5166" t="s">
        <v>25</v>
      </c>
      <c r="I5166" s="1">
        <v>2</v>
      </c>
      <c r="J5166" s="2">
        <v>45892</v>
      </c>
      <c r="K5166" s="2">
        <v>45870</v>
      </c>
      <c r="L5166" s="1" t="str">
        <f t="shared" si="596"/>
        <v>sáb</v>
      </c>
      <c r="M5166" s="1" t="str">
        <f t="shared" si="597"/>
        <v>ago</v>
      </c>
      <c r="N5166">
        <f t="shared" si="598"/>
        <v>2025</v>
      </c>
      <c r="O5166" s="2"/>
      <c r="P5166" t="str">
        <f t="shared" si="592"/>
        <v>208845892</v>
      </c>
    </row>
    <row r="5167" spans="1:16" x14ac:dyDescent="0.3">
      <c r="A5167">
        <v>2088</v>
      </c>
      <c r="B5167">
        <v>32</v>
      </c>
      <c r="C5167" t="s">
        <v>26</v>
      </c>
      <c r="D5167" t="s">
        <v>22</v>
      </c>
      <c r="E5167" t="s">
        <v>17</v>
      </c>
      <c r="F5167" t="s">
        <v>23</v>
      </c>
      <c r="G5167" t="s">
        <v>41</v>
      </c>
      <c r="H5167" t="s">
        <v>25</v>
      </c>
      <c r="I5167" s="1">
        <v>2</v>
      </c>
      <c r="J5167" s="2">
        <v>45955</v>
      </c>
      <c r="K5167" s="2">
        <v>45931</v>
      </c>
      <c r="L5167" s="1" t="str">
        <f t="shared" si="596"/>
        <v>sáb</v>
      </c>
      <c r="M5167" s="1" t="str">
        <f t="shared" si="597"/>
        <v>out</v>
      </c>
      <c r="N5167">
        <f t="shared" si="598"/>
        <v>2025</v>
      </c>
      <c r="O5167" s="2"/>
      <c r="P5167" t="str">
        <f t="shared" si="592"/>
        <v>208845955</v>
      </c>
    </row>
    <row r="5168" spans="1:16" x14ac:dyDescent="0.3">
      <c r="A5168">
        <v>2088</v>
      </c>
      <c r="B5168">
        <v>32</v>
      </c>
      <c r="C5168" t="s">
        <v>26</v>
      </c>
      <c r="D5168" t="s">
        <v>22</v>
      </c>
      <c r="E5168" t="s">
        <v>17</v>
      </c>
      <c r="F5168" t="s">
        <v>23</v>
      </c>
      <c r="G5168" t="s">
        <v>41</v>
      </c>
      <c r="H5168" t="s">
        <v>25</v>
      </c>
      <c r="I5168" s="1">
        <v>2</v>
      </c>
      <c r="J5168" s="2">
        <v>45962</v>
      </c>
      <c r="K5168" s="2">
        <v>45962</v>
      </c>
      <c r="L5168" s="1" t="str">
        <f t="shared" si="596"/>
        <v>sáb</v>
      </c>
      <c r="M5168" s="1" t="str">
        <f t="shared" si="597"/>
        <v>nov</v>
      </c>
      <c r="N5168">
        <f t="shared" si="598"/>
        <v>2025</v>
      </c>
      <c r="O5168" s="2"/>
      <c r="P5168" t="str">
        <f t="shared" si="592"/>
        <v>208845962</v>
      </c>
    </row>
    <row r="5169" spans="1:16" x14ac:dyDescent="0.3">
      <c r="A5169">
        <v>2090</v>
      </c>
      <c r="B5169">
        <v>56</v>
      </c>
      <c r="C5169" t="s">
        <v>15</v>
      </c>
      <c r="D5169" t="s">
        <v>22</v>
      </c>
      <c r="E5169" t="s">
        <v>17</v>
      </c>
      <c r="F5169" t="s">
        <v>23</v>
      </c>
      <c r="G5169" t="s">
        <v>41</v>
      </c>
      <c r="H5169" t="s">
        <v>25</v>
      </c>
      <c r="I5169" s="1">
        <v>2</v>
      </c>
      <c r="J5169" s="2">
        <v>45991</v>
      </c>
      <c r="K5169" s="2">
        <v>45962</v>
      </c>
      <c r="L5169" s="1" t="str">
        <f t="shared" si="596"/>
        <v>dom</v>
      </c>
      <c r="M5169" s="1" t="str">
        <f t="shared" si="597"/>
        <v>nov</v>
      </c>
      <c r="N5169">
        <f t="shared" si="598"/>
        <v>2025</v>
      </c>
      <c r="O5169" s="2"/>
      <c r="P5169" t="str">
        <f t="shared" si="592"/>
        <v>209045991</v>
      </c>
    </row>
    <row r="5170" spans="1:16" x14ac:dyDescent="0.3">
      <c r="A5170">
        <v>2090</v>
      </c>
      <c r="B5170">
        <v>56</v>
      </c>
      <c r="C5170" t="s">
        <v>15</v>
      </c>
      <c r="D5170" t="s">
        <v>22</v>
      </c>
      <c r="E5170" t="s">
        <v>17</v>
      </c>
      <c r="F5170" t="s">
        <v>23</v>
      </c>
      <c r="G5170" t="s">
        <v>41</v>
      </c>
      <c r="H5170" t="s">
        <v>25</v>
      </c>
      <c r="I5170" s="1">
        <v>2</v>
      </c>
      <c r="J5170" s="2">
        <v>45993</v>
      </c>
      <c r="K5170" s="2">
        <v>45992</v>
      </c>
      <c r="L5170" s="1" t="str">
        <f t="shared" si="596"/>
        <v>ter</v>
      </c>
      <c r="M5170" s="1" t="str">
        <f t="shared" si="597"/>
        <v>dez</v>
      </c>
      <c r="N5170">
        <f t="shared" si="598"/>
        <v>2025</v>
      </c>
      <c r="O5170" s="2"/>
      <c r="P5170" t="str">
        <f t="shared" si="592"/>
        <v>209045993</v>
      </c>
    </row>
    <row r="5171" spans="1:16" x14ac:dyDescent="0.3">
      <c r="A5171">
        <v>2090</v>
      </c>
      <c r="B5171">
        <v>56</v>
      </c>
      <c r="C5171" t="s">
        <v>15</v>
      </c>
      <c r="D5171" t="s">
        <v>22</v>
      </c>
      <c r="E5171" t="s">
        <v>17</v>
      </c>
      <c r="F5171" t="s">
        <v>23</v>
      </c>
      <c r="G5171" t="s">
        <v>41</v>
      </c>
      <c r="H5171" t="s">
        <v>25</v>
      </c>
      <c r="I5171" s="1">
        <v>2</v>
      </c>
      <c r="J5171" s="2">
        <v>46182</v>
      </c>
      <c r="K5171" s="2">
        <v>46023</v>
      </c>
      <c r="L5171" s="1" t="str">
        <f t="shared" si="596"/>
        <v>ter</v>
      </c>
      <c r="M5171" s="1" t="str">
        <f t="shared" si="597"/>
        <v>jun</v>
      </c>
      <c r="N5171">
        <f t="shared" si="598"/>
        <v>2026</v>
      </c>
      <c r="O5171" s="2"/>
      <c r="P5171" t="str">
        <f t="shared" si="592"/>
        <v>209046182</v>
      </c>
    </row>
    <row r="5172" spans="1:16" x14ac:dyDescent="0.3">
      <c r="A5172">
        <v>2090</v>
      </c>
      <c r="B5172">
        <v>56</v>
      </c>
      <c r="C5172" t="s">
        <v>15</v>
      </c>
      <c r="D5172" t="s">
        <v>22</v>
      </c>
      <c r="E5172" t="s">
        <v>17</v>
      </c>
      <c r="F5172" t="s">
        <v>23</v>
      </c>
      <c r="G5172" t="s">
        <v>41</v>
      </c>
      <c r="H5172" t="s">
        <v>25</v>
      </c>
      <c r="I5172" s="1">
        <v>2</v>
      </c>
      <c r="J5172" s="2">
        <v>46062</v>
      </c>
      <c r="K5172" s="2">
        <v>46054</v>
      </c>
      <c r="L5172" s="1" t="str">
        <f t="shared" si="596"/>
        <v>seg</v>
      </c>
      <c r="M5172" s="1" t="str">
        <f t="shared" si="597"/>
        <v>fev</v>
      </c>
      <c r="N5172">
        <f t="shared" si="598"/>
        <v>2026</v>
      </c>
      <c r="O5172" s="2"/>
      <c r="P5172" t="str">
        <f t="shared" si="592"/>
        <v>209046062</v>
      </c>
    </row>
    <row r="5173" spans="1:16" x14ac:dyDescent="0.3">
      <c r="A5173">
        <v>2091</v>
      </c>
      <c r="B5173">
        <v>30</v>
      </c>
      <c r="C5173" t="s">
        <v>15</v>
      </c>
      <c r="D5173" t="s">
        <v>27</v>
      </c>
      <c r="E5173" t="s">
        <v>17</v>
      </c>
      <c r="F5173" t="s">
        <v>18</v>
      </c>
      <c r="G5173" t="s">
        <v>41</v>
      </c>
      <c r="H5173" t="s">
        <v>25</v>
      </c>
      <c r="I5173" s="1">
        <v>2</v>
      </c>
      <c r="J5173" s="2">
        <v>45897</v>
      </c>
      <c r="K5173" s="2">
        <v>45870</v>
      </c>
      <c r="L5173" s="1" t="str">
        <f t="shared" si="596"/>
        <v>qui</v>
      </c>
      <c r="M5173" s="1" t="str">
        <f t="shared" si="597"/>
        <v>ago</v>
      </c>
      <c r="N5173">
        <f t="shared" si="598"/>
        <v>2025</v>
      </c>
      <c r="O5173" s="2"/>
      <c r="P5173" t="str">
        <f t="shared" si="592"/>
        <v>209145897</v>
      </c>
    </row>
    <row r="5174" spans="1:16" x14ac:dyDescent="0.3">
      <c r="A5174">
        <v>2091</v>
      </c>
      <c r="B5174">
        <v>30</v>
      </c>
      <c r="C5174" t="s">
        <v>15</v>
      </c>
      <c r="D5174" t="s">
        <v>27</v>
      </c>
      <c r="E5174" t="s">
        <v>17</v>
      </c>
      <c r="F5174" t="s">
        <v>18</v>
      </c>
      <c r="G5174" t="s">
        <v>41</v>
      </c>
      <c r="H5174" t="s">
        <v>25</v>
      </c>
      <c r="I5174" s="1">
        <v>2</v>
      </c>
      <c r="J5174" s="2">
        <v>46005</v>
      </c>
      <c r="K5174" s="2">
        <v>45992</v>
      </c>
      <c r="L5174" s="1" t="str">
        <f t="shared" si="596"/>
        <v>dom</v>
      </c>
      <c r="M5174" s="1" t="str">
        <f t="shared" si="597"/>
        <v>dez</v>
      </c>
      <c r="N5174">
        <f t="shared" si="598"/>
        <v>2025</v>
      </c>
      <c r="O5174" s="2"/>
      <c r="P5174" t="str">
        <f t="shared" si="592"/>
        <v>209146005</v>
      </c>
    </row>
    <row r="5175" spans="1:16" x14ac:dyDescent="0.3">
      <c r="A5175">
        <v>2091</v>
      </c>
      <c r="B5175">
        <v>30</v>
      </c>
      <c r="C5175" t="s">
        <v>15</v>
      </c>
      <c r="D5175" t="s">
        <v>27</v>
      </c>
      <c r="E5175" t="s">
        <v>17</v>
      </c>
      <c r="F5175" t="s">
        <v>18</v>
      </c>
      <c r="G5175" t="s">
        <v>41</v>
      </c>
      <c r="H5175" t="s">
        <v>25</v>
      </c>
      <c r="I5175" s="1">
        <v>2</v>
      </c>
      <c r="J5175" s="2">
        <v>46007</v>
      </c>
      <c r="K5175" s="2">
        <v>45992</v>
      </c>
      <c r="L5175" s="1" t="str">
        <f t="shared" si="596"/>
        <v>ter</v>
      </c>
      <c r="M5175" s="1" t="str">
        <f t="shared" si="597"/>
        <v>dez</v>
      </c>
      <c r="N5175">
        <f t="shared" si="598"/>
        <v>2025</v>
      </c>
      <c r="O5175" s="2"/>
      <c r="P5175" t="str">
        <f t="shared" si="592"/>
        <v>209146007</v>
      </c>
    </row>
    <row r="5176" spans="1:16" x14ac:dyDescent="0.3">
      <c r="A5176">
        <v>2091</v>
      </c>
      <c r="B5176">
        <v>30</v>
      </c>
      <c r="C5176" t="s">
        <v>15</v>
      </c>
      <c r="D5176" t="s">
        <v>27</v>
      </c>
      <c r="E5176" t="s">
        <v>17</v>
      </c>
      <c r="F5176" t="s">
        <v>18</v>
      </c>
      <c r="G5176" t="s">
        <v>41</v>
      </c>
      <c r="H5176" t="s">
        <v>25</v>
      </c>
      <c r="I5176" s="1">
        <v>2</v>
      </c>
      <c r="J5176" s="2">
        <v>46060</v>
      </c>
      <c r="K5176" s="2">
        <v>46054</v>
      </c>
      <c r="L5176" s="1" t="str">
        <f t="shared" si="596"/>
        <v>sáb</v>
      </c>
      <c r="M5176" s="1" t="str">
        <f t="shared" si="597"/>
        <v>fev</v>
      </c>
      <c r="N5176">
        <f t="shared" si="598"/>
        <v>2026</v>
      </c>
      <c r="O5176" s="2"/>
      <c r="P5176" t="str">
        <f t="shared" si="592"/>
        <v>209146060</v>
      </c>
    </row>
    <row r="5177" spans="1:16" x14ac:dyDescent="0.3">
      <c r="A5177">
        <v>2093</v>
      </c>
      <c r="B5177">
        <v>38</v>
      </c>
      <c r="C5177" t="s">
        <v>15</v>
      </c>
      <c r="D5177" t="s">
        <v>29</v>
      </c>
      <c r="E5177" t="s">
        <v>17</v>
      </c>
      <c r="F5177" t="s">
        <v>18</v>
      </c>
      <c r="G5177" t="s">
        <v>41</v>
      </c>
      <c r="H5177" t="s">
        <v>25</v>
      </c>
      <c r="I5177" s="1">
        <v>3</v>
      </c>
      <c r="J5177" s="2">
        <v>45852</v>
      </c>
      <c r="K5177" s="2">
        <v>45839</v>
      </c>
      <c r="L5177" s="1" t="str">
        <f t="shared" si="596"/>
        <v>seg</v>
      </c>
      <c r="M5177" s="1" t="str">
        <f t="shared" si="597"/>
        <v>jul</v>
      </c>
      <c r="N5177">
        <f t="shared" si="598"/>
        <v>2025</v>
      </c>
      <c r="O5177" s="2"/>
      <c r="P5177" t="str">
        <f t="shared" si="592"/>
        <v>209345852</v>
      </c>
    </row>
    <row r="5178" spans="1:16" x14ac:dyDescent="0.3">
      <c r="A5178">
        <v>2093</v>
      </c>
      <c r="B5178">
        <v>38</v>
      </c>
      <c r="C5178" t="s">
        <v>15</v>
      </c>
      <c r="D5178" t="s">
        <v>29</v>
      </c>
      <c r="E5178" t="s">
        <v>17</v>
      </c>
      <c r="F5178" t="s">
        <v>18</v>
      </c>
      <c r="G5178" t="s">
        <v>41</v>
      </c>
      <c r="H5178" t="s">
        <v>25</v>
      </c>
      <c r="I5178" s="1">
        <v>3</v>
      </c>
      <c r="J5178" s="2">
        <v>45878</v>
      </c>
      <c r="K5178" s="2">
        <v>45870</v>
      </c>
      <c r="L5178" s="1" t="str">
        <f t="shared" si="596"/>
        <v>sáb</v>
      </c>
      <c r="M5178" s="1" t="str">
        <f t="shared" si="597"/>
        <v>ago</v>
      </c>
      <c r="N5178">
        <f t="shared" si="598"/>
        <v>2025</v>
      </c>
      <c r="O5178" s="2"/>
      <c r="P5178" t="str">
        <f t="shared" si="592"/>
        <v>209345878</v>
      </c>
    </row>
    <row r="5179" spans="1:16" x14ac:dyDescent="0.3">
      <c r="A5179">
        <v>2093</v>
      </c>
      <c r="B5179">
        <v>38</v>
      </c>
      <c r="C5179" t="s">
        <v>15</v>
      </c>
      <c r="D5179" t="s">
        <v>29</v>
      </c>
      <c r="E5179" t="s">
        <v>17</v>
      </c>
      <c r="F5179" t="s">
        <v>18</v>
      </c>
      <c r="G5179" t="s">
        <v>41</v>
      </c>
      <c r="H5179" t="s">
        <v>25</v>
      </c>
      <c r="I5179" s="1">
        <v>3</v>
      </c>
      <c r="J5179" s="2">
        <v>45947</v>
      </c>
      <c r="K5179" s="2">
        <v>45931</v>
      </c>
      <c r="L5179" s="1" t="str">
        <f t="shared" si="596"/>
        <v>sex</v>
      </c>
      <c r="M5179" s="1" t="str">
        <f t="shared" si="597"/>
        <v>out</v>
      </c>
      <c r="N5179">
        <f t="shared" si="598"/>
        <v>2025</v>
      </c>
      <c r="O5179" s="2"/>
      <c r="P5179" t="str">
        <f t="shared" si="592"/>
        <v>209345947</v>
      </c>
    </row>
    <row r="5180" spans="1:16" x14ac:dyDescent="0.3">
      <c r="A5180">
        <v>2093</v>
      </c>
      <c r="B5180">
        <v>38</v>
      </c>
      <c r="C5180" t="s">
        <v>15</v>
      </c>
      <c r="D5180" t="s">
        <v>29</v>
      </c>
      <c r="E5180" t="s">
        <v>17</v>
      </c>
      <c r="F5180" t="s">
        <v>18</v>
      </c>
      <c r="G5180" t="s">
        <v>41</v>
      </c>
      <c r="H5180" t="s">
        <v>25</v>
      </c>
      <c r="I5180" s="1">
        <v>3</v>
      </c>
      <c r="J5180" s="2">
        <v>45973</v>
      </c>
      <c r="K5180" s="2">
        <v>45962</v>
      </c>
      <c r="L5180" s="1" t="str">
        <f t="shared" si="596"/>
        <v>qua</v>
      </c>
      <c r="M5180" s="1" t="str">
        <f t="shared" si="597"/>
        <v>nov</v>
      </c>
      <c r="N5180">
        <f t="shared" si="598"/>
        <v>2025</v>
      </c>
      <c r="O5180" s="2"/>
      <c r="P5180" t="str">
        <f t="shared" ref="P5180:P5243" si="599">CONCATENATE(A5180,J5180)</f>
        <v>209345973</v>
      </c>
    </row>
    <row r="5181" spans="1:16" x14ac:dyDescent="0.3">
      <c r="A5181">
        <v>2093</v>
      </c>
      <c r="B5181">
        <v>38</v>
      </c>
      <c r="C5181" t="s">
        <v>15</v>
      </c>
      <c r="D5181" t="s">
        <v>29</v>
      </c>
      <c r="E5181" t="s">
        <v>17</v>
      </c>
      <c r="F5181" t="s">
        <v>18</v>
      </c>
      <c r="G5181" t="s">
        <v>41</v>
      </c>
      <c r="H5181" t="s">
        <v>25</v>
      </c>
      <c r="I5181" s="1">
        <v>3</v>
      </c>
      <c r="J5181" s="2">
        <v>46012</v>
      </c>
      <c r="K5181" s="2">
        <v>45992</v>
      </c>
      <c r="L5181" s="1" t="str">
        <f t="shared" si="596"/>
        <v>dom</v>
      </c>
      <c r="M5181" s="1" t="str">
        <f t="shared" si="597"/>
        <v>dez</v>
      </c>
      <c r="N5181">
        <f t="shared" si="598"/>
        <v>2025</v>
      </c>
      <c r="O5181" s="2"/>
      <c r="P5181" t="str">
        <f t="shared" si="599"/>
        <v>209346012</v>
      </c>
    </row>
    <row r="5182" spans="1:16" x14ac:dyDescent="0.3">
      <c r="A5182">
        <v>2094</v>
      </c>
      <c r="B5182">
        <v>30</v>
      </c>
      <c r="C5182" t="s">
        <v>26</v>
      </c>
      <c r="D5182" t="s">
        <v>16</v>
      </c>
      <c r="E5182" t="s">
        <v>17</v>
      </c>
      <c r="F5182" t="s">
        <v>21</v>
      </c>
      <c r="G5182" t="s">
        <v>41</v>
      </c>
      <c r="H5182" t="s">
        <v>25</v>
      </c>
      <c r="I5182" s="1">
        <v>3</v>
      </c>
      <c r="J5182" s="2">
        <v>45818</v>
      </c>
      <c r="K5182" s="2">
        <v>45809</v>
      </c>
      <c r="L5182" s="1" t="str">
        <f t="shared" si="596"/>
        <v>ter</v>
      </c>
      <c r="M5182" s="1" t="str">
        <f t="shared" si="597"/>
        <v>jun</v>
      </c>
      <c r="N5182">
        <f t="shared" si="598"/>
        <v>2025</v>
      </c>
      <c r="O5182" s="2"/>
      <c r="P5182" t="str">
        <f t="shared" si="599"/>
        <v>209445818</v>
      </c>
    </row>
    <row r="5183" spans="1:16" x14ac:dyDescent="0.3">
      <c r="A5183">
        <v>2094</v>
      </c>
      <c r="B5183">
        <v>30</v>
      </c>
      <c r="C5183" t="s">
        <v>26</v>
      </c>
      <c r="D5183" t="s">
        <v>16</v>
      </c>
      <c r="E5183" t="s">
        <v>17</v>
      </c>
      <c r="F5183" t="s">
        <v>21</v>
      </c>
      <c r="G5183" t="s">
        <v>41</v>
      </c>
      <c r="H5183" t="s">
        <v>25</v>
      </c>
      <c r="I5183" s="1">
        <v>3</v>
      </c>
      <c r="J5183" s="2">
        <v>45872</v>
      </c>
      <c r="K5183" s="2">
        <v>45870</v>
      </c>
      <c r="L5183" s="1" t="str">
        <f t="shared" ref="L5183:L5214" si="600">TEXT(J5183,"ddd")</f>
        <v>dom</v>
      </c>
      <c r="M5183" s="1" t="str">
        <f t="shared" ref="M5183:M5214" si="601">TEXT($J5183,"mmm")</f>
        <v>ago</v>
      </c>
      <c r="N5183">
        <f t="shared" ref="N5183:N5214" si="602">YEAR(J5183)</f>
        <v>2025</v>
      </c>
      <c r="O5183" s="2"/>
      <c r="P5183" t="str">
        <f t="shared" si="599"/>
        <v>209445872</v>
      </c>
    </row>
    <row r="5184" spans="1:16" x14ac:dyDescent="0.3">
      <c r="A5184">
        <v>2094</v>
      </c>
      <c r="B5184">
        <v>30</v>
      </c>
      <c r="C5184" t="s">
        <v>26</v>
      </c>
      <c r="D5184" t="s">
        <v>16</v>
      </c>
      <c r="E5184" t="s">
        <v>17</v>
      </c>
      <c r="F5184" t="s">
        <v>21</v>
      </c>
      <c r="G5184" t="s">
        <v>41</v>
      </c>
      <c r="H5184" t="s">
        <v>25</v>
      </c>
      <c r="I5184" s="1">
        <v>3</v>
      </c>
      <c r="J5184" s="2">
        <v>45901</v>
      </c>
      <c r="K5184" s="2">
        <v>45901</v>
      </c>
      <c r="L5184" s="1" t="str">
        <f t="shared" si="600"/>
        <v>seg</v>
      </c>
      <c r="M5184" s="1" t="str">
        <f t="shared" si="601"/>
        <v>set</v>
      </c>
      <c r="N5184">
        <f t="shared" si="602"/>
        <v>2025</v>
      </c>
      <c r="O5184" s="2"/>
      <c r="P5184" t="str">
        <f t="shared" si="599"/>
        <v>209445901</v>
      </c>
    </row>
    <row r="5185" spans="1:16" x14ac:dyDescent="0.3">
      <c r="A5185">
        <v>2094</v>
      </c>
      <c r="B5185">
        <v>30</v>
      </c>
      <c r="C5185" t="s">
        <v>26</v>
      </c>
      <c r="D5185" t="s">
        <v>16</v>
      </c>
      <c r="E5185" t="s">
        <v>17</v>
      </c>
      <c r="F5185" t="s">
        <v>21</v>
      </c>
      <c r="G5185" t="s">
        <v>41</v>
      </c>
      <c r="H5185" t="s">
        <v>25</v>
      </c>
      <c r="I5185" s="1">
        <v>3</v>
      </c>
      <c r="J5185" s="2">
        <v>45909</v>
      </c>
      <c r="K5185" s="2">
        <v>45901</v>
      </c>
      <c r="L5185" s="1" t="str">
        <f t="shared" si="600"/>
        <v>ter</v>
      </c>
      <c r="M5185" s="1" t="str">
        <f t="shared" si="601"/>
        <v>set</v>
      </c>
      <c r="N5185">
        <f t="shared" si="602"/>
        <v>2025</v>
      </c>
      <c r="O5185" s="2"/>
      <c r="P5185" t="str">
        <f t="shared" si="599"/>
        <v>209445909</v>
      </c>
    </row>
    <row r="5186" spans="1:16" x14ac:dyDescent="0.3">
      <c r="A5186">
        <v>2094</v>
      </c>
      <c r="B5186">
        <v>30</v>
      </c>
      <c r="C5186" t="s">
        <v>26</v>
      </c>
      <c r="D5186" t="s">
        <v>16</v>
      </c>
      <c r="E5186" t="s">
        <v>17</v>
      </c>
      <c r="F5186" t="s">
        <v>21</v>
      </c>
      <c r="G5186" t="s">
        <v>41</v>
      </c>
      <c r="H5186" t="s">
        <v>25</v>
      </c>
      <c r="I5186" s="1">
        <v>3</v>
      </c>
      <c r="J5186" s="2">
        <v>45968</v>
      </c>
      <c r="K5186" s="2">
        <v>45962</v>
      </c>
      <c r="L5186" s="1" t="str">
        <f t="shared" si="600"/>
        <v>sex</v>
      </c>
      <c r="M5186" s="1" t="str">
        <f t="shared" si="601"/>
        <v>nov</v>
      </c>
      <c r="N5186">
        <f t="shared" si="602"/>
        <v>2025</v>
      </c>
      <c r="O5186" s="2"/>
      <c r="P5186" t="str">
        <f t="shared" si="599"/>
        <v>209445968</v>
      </c>
    </row>
    <row r="5187" spans="1:16" x14ac:dyDescent="0.3">
      <c r="A5187">
        <v>2094</v>
      </c>
      <c r="B5187">
        <v>30</v>
      </c>
      <c r="C5187" t="s">
        <v>26</v>
      </c>
      <c r="D5187" t="s">
        <v>16</v>
      </c>
      <c r="E5187" t="s">
        <v>17</v>
      </c>
      <c r="F5187" t="s">
        <v>21</v>
      </c>
      <c r="G5187" t="s">
        <v>41</v>
      </c>
      <c r="H5187" t="s">
        <v>25</v>
      </c>
      <c r="I5187" s="1">
        <v>3</v>
      </c>
      <c r="J5187" s="2">
        <v>46102</v>
      </c>
      <c r="K5187" s="2">
        <v>46082</v>
      </c>
      <c r="L5187" s="1" t="str">
        <f t="shared" si="600"/>
        <v>sáb</v>
      </c>
      <c r="M5187" s="1" t="str">
        <f t="shared" si="601"/>
        <v>mar</v>
      </c>
      <c r="N5187">
        <f t="shared" si="602"/>
        <v>2026</v>
      </c>
      <c r="O5187" s="2"/>
      <c r="P5187" t="str">
        <f t="shared" si="599"/>
        <v>209446102</v>
      </c>
    </row>
    <row r="5188" spans="1:16" x14ac:dyDescent="0.3">
      <c r="A5188">
        <v>2095</v>
      </c>
      <c r="B5188">
        <v>49</v>
      </c>
      <c r="C5188" t="s">
        <v>26</v>
      </c>
      <c r="D5188" t="s">
        <v>16</v>
      </c>
      <c r="E5188" t="s">
        <v>17</v>
      </c>
      <c r="F5188" t="s">
        <v>18</v>
      </c>
      <c r="G5188" t="s">
        <v>41</v>
      </c>
      <c r="H5188" t="s">
        <v>25</v>
      </c>
      <c r="I5188" s="1">
        <v>3</v>
      </c>
      <c r="J5188" s="2">
        <v>45845</v>
      </c>
      <c r="K5188" s="2">
        <v>45839</v>
      </c>
      <c r="L5188" s="1" t="str">
        <f t="shared" si="600"/>
        <v>seg</v>
      </c>
      <c r="M5188" s="1" t="str">
        <f t="shared" si="601"/>
        <v>jul</v>
      </c>
      <c r="N5188">
        <f t="shared" si="602"/>
        <v>2025</v>
      </c>
      <c r="O5188" s="2"/>
      <c r="P5188" t="str">
        <f t="shared" si="599"/>
        <v>209545845</v>
      </c>
    </row>
    <row r="5189" spans="1:16" x14ac:dyDescent="0.3">
      <c r="A5189">
        <v>2095</v>
      </c>
      <c r="B5189">
        <v>49</v>
      </c>
      <c r="C5189" t="s">
        <v>26</v>
      </c>
      <c r="D5189" t="s">
        <v>16</v>
      </c>
      <c r="E5189" t="s">
        <v>17</v>
      </c>
      <c r="F5189" t="s">
        <v>18</v>
      </c>
      <c r="G5189" t="s">
        <v>41</v>
      </c>
      <c r="H5189" t="s">
        <v>25</v>
      </c>
      <c r="I5189" s="1">
        <v>3</v>
      </c>
      <c r="J5189" s="2">
        <v>45868</v>
      </c>
      <c r="K5189" s="2">
        <v>45839</v>
      </c>
      <c r="L5189" s="1" t="str">
        <f t="shared" si="600"/>
        <v>qua</v>
      </c>
      <c r="M5189" s="1" t="str">
        <f t="shared" si="601"/>
        <v>jul</v>
      </c>
      <c r="N5189">
        <f t="shared" si="602"/>
        <v>2025</v>
      </c>
      <c r="O5189" s="2"/>
      <c r="P5189" t="str">
        <f t="shared" si="599"/>
        <v>209545868</v>
      </c>
    </row>
    <row r="5190" spans="1:16" x14ac:dyDescent="0.3">
      <c r="A5190">
        <v>2095</v>
      </c>
      <c r="B5190">
        <v>49</v>
      </c>
      <c r="C5190" t="s">
        <v>26</v>
      </c>
      <c r="D5190" t="s">
        <v>16</v>
      </c>
      <c r="E5190" t="s">
        <v>17</v>
      </c>
      <c r="F5190" t="s">
        <v>18</v>
      </c>
      <c r="G5190" t="s">
        <v>41</v>
      </c>
      <c r="H5190" t="s">
        <v>25</v>
      </c>
      <c r="I5190" s="1">
        <v>3</v>
      </c>
      <c r="J5190" s="2">
        <v>45936</v>
      </c>
      <c r="K5190" s="2">
        <v>45931</v>
      </c>
      <c r="L5190" s="1" t="str">
        <f t="shared" si="600"/>
        <v>seg</v>
      </c>
      <c r="M5190" s="1" t="str">
        <f t="shared" si="601"/>
        <v>out</v>
      </c>
      <c r="N5190">
        <f t="shared" si="602"/>
        <v>2025</v>
      </c>
      <c r="O5190" s="2"/>
      <c r="P5190" t="str">
        <f t="shared" si="599"/>
        <v>209545936</v>
      </c>
    </row>
    <row r="5191" spans="1:16" x14ac:dyDescent="0.3">
      <c r="A5191">
        <v>2095</v>
      </c>
      <c r="B5191">
        <v>49</v>
      </c>
      <c r="C5191" t="s">
        <v>26</v>
      </c>
      <c r="D5191" t="s">
        <v>16</v>
      </c>
      <c r="E5191" t="s">
        <v>17</v>
      </c>
      <c r="F5191" t="s">
        <v>18</v>
      </c>
      <c r="G5191" t="s">
        <v>41</v>
      </c>
      <c r="H5191" t="s">
        <v>25</v>
      </c>
      <c r="I5191" s="1">
        <v>3</v>
      </c>
      <c r="J5191" s="2">
        <v>46011</v>
      </c>
      <c r="K5191" s="2">
        <v>45992</v>
      </c>
      <c r="L5191" s="1" t="str">
        <f t="shared" si="600"/>
        <v>sáb</v>
      </c>
      <c r="M5191" s="1" t="str">
        <f t="shared" si="601"/>
        <v>dez</v>
      </c>
      <c r="N5191">
        <f t="shared" si="602"/>
        <v>2025</v>
      </c>
      <c r="O5191" s="2"/>
      <c r="P5191" t="str">
        <f t="shared" si="599"/>
        <v>209546011</v>
      </c>
    </row>
    <row r="5192" spans="1:16" x14ac:dyDescent="0.3">
      <c r="A5192">
        <v>2095</v>
      </c>
      <c r="B5192">
        <v>49</v>
      </c>
      <c r="C5192" t="s">
        <v>26</v>
      </c>
      <c r="D5192" t="s">
        <v>16</v>
      </c>
      <c r="E5192" t="s">
        <v>17</v>
      </c>
      <c r="F5192" t="s">
        <v>18</v>
      </c>
      <c r="G5192" t="s">
        <v>41</v>
      </c>
      <c r="H5192" t="s">
        <v>25</v>
      </c>
      <c r="I5192" s="1">
        <v>3</v>
      </c>
      <c r="J5192" s="2">
        <v>46193</v>
      </c>
      <c r="K5192" s="2">
        <v>46023</v>
      </c>
      <c r="L5192" s="1" t="str">
        <f t="shared" si="600"/>
        <v>sáb</v>
      </c>
      <c r="M5192" s="1" t="str">
        <f t="shared" si="601"/>
        <v>jun</v>
      </c>
      <c r="N5192">
        <f t="shared" si="602"/>
        <v>2026</v>
      </c>
      <c r="O5192" s="2"/>
      <c r="P5192" t="str">
        <f t="shared" si="599"/>
        <v>209546193</v>
      </c>
    </row>
    <row r="5193" spans="1:16" x14ac:dyDescent="0.3">
      <c r="A5193">
        <v>2096</v>
      </c>
      <c r="B5193">
        <v>22</v>
      </c>
      <c r="C5193" t="s">
        <v>15</v>
      </c>
      <c r="D5193" t="s">
        <v>22</v>
      </c>
      <c r="E5193" t="s">
        <v>17</v>
      </c>
      <c r="F5193" t="s">
        <v>18</v>
      </c>
      <c r="G5193" t="s">
        <v>41</v>
      </c>
      <c r="H5193" t="s">
        <v>25</v>
      </c>
      <c r="I5193" s="1">
        <v>2</v>
      </c>
      <c r="J5193" s="2">
        <v>45865</v>
      </c>
      <c r="K5193" s="2">
        <v>45839</v>
      </c>
      <c r="L5193" s="1" t="str">
        <f t="shared" si="600"/>
        <v>dom</v>
      </c>
      <c r="M5193" s="1" t="str">
        <f t="shared" si="601"/>
        <v>jul</v>
      </c>
      <c r="N5193">
        <f t="shared" si="602"/>
        <v>2025</v>
      </c>
      <c r="O5193" s="2"/>
      <c r="P5193" t="str">
        <f t="shared" si="599"/>
        <v>209645865</v>
      </c>
    </row>
    <row r="5194" spans="1:16" x14ac:dyDescent="0.3">
      <c r="A5194">
        <v>2096</v>
      </c>
      <c r="B5194">
        <v>22</v>
      </c>
      <c r="C5194" t="s">
        <v>15</v>
      </c>
      <c r="D5194" t="s">
        <v>22</v>
      </c>
      <c r="E5194" t="s">
        <v>17</v>
      </c>
      <c r="F5194" t="s">
        <v>18</v>
      </c>
      <c r="G5194" t="s">
        <v>41</v>
      </c>
      <c r="H5194" t="s">
        <v>25</v>
      </c>
      <c r="I5194" s="1">
        <v>2</v>
      </c>
      <c r="J5194" s="2">
        <v>45875</v>
      </c>
      <c r="K5194" s="2">
        <v>45870</v>
      </c>
      <c r="L5194" s="1" t="str">
        <f t="shared" si="600"/>
        <v>qua</v>
      </c>
      <c r="M5194" s="1" t="str">
        <f t="shared" si="601"/>
        <v>ago</v>
      </c>
      <c r="N5194">
        <f t="shared" si="602"/>
        <v>2025</v>
      </c>
      <c r="O5194" s="2"/>
      <c r="P5194" t="str">
        <f t="shared" si="599"/>
        <v>209645875</v>
      </c>
    </row>
    <row r="5195" spans="1:16" x14ac:dyDescent="0.3">
      <c r="A5195">
        <v>2096</v>
      </c>
      <c r="B5195">
        <v>22</v>
      </c>
      <c r="C5195" t="s">
        <v>15</v>
      </c>
      <c r="D5195" t="s">
        <v>22</v>
      </c>
      <c r="E5195" t="s">
        <v>17</v>
      </c>
      <c r="F5195" t="s">
        <v>18</v>
      </c>
      <c r="G5195" t="s">
        <v>41</v>
      </c>
      <c r="H5195" t="s">
        <v>25</v>
      </c>
      <c r="I5195" s="1">
        <v>2</v>
      </c>
      <c r="J5195" s="2">
        <v>45927</v>
      </c>
      <c r="K5195" s="2">
        <v>45901</v>
      </c>
      <c r="L5195" s="1" t="str">
        <f t="shared" si="600"/>
        <v>sáb</v>
      </c>
      <c r="M5195" s="1" t="str">
        <f t="shared" si="601"/>
        <v>set</v>
      </c>
      <c r="N5195">
        <f t="shared" si="602"/>
        <v>2025</v>
      </c>
      <c r="O5195" s="2"/>
      <c r="P5195" t="str">
        <f t="shared" si="599"/>
        <v>209645927</v>
      </c>
    </row>
    <row r="5196" spans="1:16" x14ac:dyDescent="0.3">
      <c r="A5196">
        <v>2096</v>
      </c>
      <c r="B5196">
        <v>22</v>
      </c>
      <c r="C5196" t="s">
        <v>15</v>
      </c>
      <c r="D5196" t="s">
        <v>22</v>
      </c>
      <c r="E5196" t="s">
        <v>17</v>
      </c>
      <c r="F5196" t="s">
        <v>18</v>
      </c>
      <c r="G5196" t="s">
        <v>41</v>
      </c>
      <c r="H5196" t="s">
        <v>25</v>
      </c>
      <c r="I5196" s="1">
        <v>2</v>
      </c>
      <c r="J5196" s="2">
        <v>45942</v>
      </c>
      <c r="K5196" s="2">
        <v>45931</v>
      </c>
      <c r="L5196" s="1" t="str">
        <f t="shared" si="600"/>
        <v>dom</v>
      </c>
      <c r="M5196" s="1" t="str">
        <f t="shared" si="601"/>
        <v>out</v>
      </c>
      <c r="N5196">
        <f t="shared" si="602"/>
        <v>2025</v>
      </c>
      <c r="O5196" s="2"/>
      <c r="P5196" t="str">
        <f t="shared" si="599"/>
        <v>209645942</v>
      </c>
    </row>
    <row r="5197" spans="1:16" x14ac:dyDescent="0.3">
      <c r="A5197">
        <v>2096</v>
      </c>
      <c r="B5197">
        <v>22</v>
      </c>
      <c r="C5197" t="s">
        <v>15</v>
      </c>
      <c r="D5197" t="s">
        <v>22</v>
      </c>
      <c r="E5197" t="s">
        <v>17</v>
      </c>
      <c r="F5197" t="s">
        <v>18</v>
      </c>
      <c r="G5197" t="s">
        <v>41</v>
      </c>
      <c r="H5197" t="s">
        <v>25</v>
      </c>
      <c r="I5197" s="1">
        <v>2</v>
      </c>
      <c r="J5197" s="2">
        <v>45993</v>
      </c>
      <c r="K5197" s="2">
        <v>45992</v>
      </c>
      <c r="L5197" s="1" t="str">
        <f t="shared" si="600"/>
        <v>ter</v>
      </c>
      <c r="M5197" s="1" t="str">
        <f t="shared" si="601"/>
        <v>dez</v>
      </c>
      <c r="N5197">
        <f t="shared" si="602"/>
        <v>2025</v>
      </c>
      <c r="O5197" s="2"/>
      <c r="P5197" t="str">
        <f t="shared" si="599"/>
        <v>209645993</v>
      </c>
    </row>
    <row r="5198" spans="1:16" x14ac:dyDescent="0.3">
      <c r="A5198">
        <v>2096</v>
      </c>
      <c r="B5198">
        <v>22</v>
      </c>
      <c r="C5198" t="s">
        <v>15</v>
      </c>
      <c r="D5198" t="s">
        <v>22</v>
      </c>
      <c r="E5198" t="s">
        <v>17</v>
      </c>
      <c r="F5198" t="s">
        <v>18</v>
      </c>
      <c r="G5198" t="s">
        <v>41</v>
      </c>
      <c r="H5198" t="s">
        <v>25</v>
      </c>
      <c r="I5198" s="1">
        <v>2</v>
      </c>
      <c r="J5198" s="2">
        <v>46203</v>
      </c>
      <c r="K5198" s="2">
        <v>46023</v>
      </c>
      <c r="L5198" s="1" t="str">
        <f t="shared" si="600"/>
        <v>ter</v>
      </c>
      <c r="M5198" s="1" t="str">
        <f t="shared" si="601"/>
        <v>jun</v>
      </c>
      <c r="N5198">
        <f t="shared" si="602"/>
        <v>2026</v>
      </c>
      <c r="O5198" s="2"/>
      <c r="P5198" t="str">
        <f t="shared" si="599"/>
        <v>209646203</v>
      </c>
    </row>
    <row r="5199" spans="1:16" x14ac:dyDescent="0.3">
      <c r="A5199">
        <v>2097</v>
      </c>
      <c r="B5199">
        <v>57</v>
      </c>
      <c r="C5199" t="s">
        <v>26</v>
      </c>
      <c r="D5199" t="s">
        <v>27</v>
      </c>
      <c r="E5199" t="s">
        <v>17</v>
      </c>
      <c r="F5199" t="s">
        <v>23</v>
      </c>
      <c r="G5199" t="s">
        <v>41</v>
      </c>
      <c r="H5199" t="s">
        <v>25</v>
      </c>
      <c r="I5199" s="1">
        <v>2</v>
      </c>
      <c r="J5199" s="2">
        <v>45826</v>
      </c>
      <c r="K5199" s="2">
        <v>45809</v>
      </c>
      <c r="L5199" s="1" t="str">
        <f t="shared" si="600"/>
        <v>qua</v>
      </c>
      <c r="M5199" s="1" t="str">
        <f t="shared" si="601"/>
        <v>jun</v>
      </c>
      <c r="N5199">
        <f t="shared" si="602"/>
        <v>2025</v>
      </c>
      <c r="O5199" s="2"/>
      <c r="P5199" t="str">
        <f t="shared" si="599"/>
        <v>209745826</v>
      </c>
    </row>
    <row r="5200" spans="1:16" x14ac:dyDescent="0.3">
      <c r="A5200">
        <v>2097</v>
      </c>
      <c r="B5200">
        <v>57</v>
      </c>
      <c r="C5200" t="s">
        <v>26</v>
      </c>
      <c r="D5200" t="s">
        <v>27</v>
      </c>
      <c r="E5200" t="s">
        <v>17</v>
      </c>
      <c r="F5200" t="s">
        <v>23</v>
      </c>
      <c r="G5200" t="s">
        <v>41</v>
      </c>
      <c r="H5200" t="s">
        <v>25</v>
      </c>
      <c r="I5200" s="1">
        <v>2</v>
      </c>
      <c r="J5200" s="2">
        <v>45954</v>
      </c>
      <c r="K5200" s="2">
        <v>45931</v>
      </c>
      <c r="L5200" s="1" t="str">
        <f t="shared" si="600"/>
        <v>sex</v>
      </c>
      <c r="M5200" s="1" t="str">
        <f t="shared" si="601"/>
        <v>out</v>
      </c>
      <c r="N5200">
        <f t="shared" si="602"/>
        <v>2025</v>
      </c>
      <c r="O5200" s="2"/>
      <c r="P5200" t="str">
        <f t="shared" si="599"/>
        <v>209745954</v>
      </c>
    </row>
    <row r="5201" spans="1:16" x14ac:dyDescent="0.3">
      <c r="A5201">
        <v>2097</v>
      </c>
      <c r="B5201">
        <v>57</v>
      </c>
      <c r="C5201" t="s">
        <v>26</v>
      </c>
      <c r="D5201" t="s">
        <v>27</v>
      </c>
      <c r="E5201" t="s">
        <v>17</v>
      </c>
      <c r="F5201" t="s">
        <v>23</v>
      </c>
      <c r="G5201" t="s">
        <v>41</v>
      </c>
      <c r="H5201" t="s">
        <v>25</v>
      </c>
      <c r="I5201" s="1">
        <v>2</v>
      </c>
      <c r="J5201" s="2">
        <v>46108</v>
      </c>
      <c r="K5201" s="2">
        <v>46082</v>
      </c>
      <c r="L5201" s="1" t="str">
        <f t="shared" si="600"/>
        <v>sex</v>
      </c>
      <c r="M5201" s="1" t="str">
        <f t="shared" si="601"/>
        <v>mar</v>
      </c>
      <c r="N5201">
        <f t="shared" si="602"/>
        <v>2026</v>
      </c>
      <c r="O5201" s="2"/>
      <c r="P5201" t="str">
        <f t="shared" si="599"/>
        <v>209746108</v>
      </c>
    </row>
    <row r="5202" spans="1:16" x14ac:dyDescent="0.3">
      <c r="A5202">
        <v>2097</v>
      </c>
      <c r="B5202">
        <v>57</v>
      </c>
      <c r="C5202" t="s">
        <v>26</v>
      </c>
      <c r="D5202" t="s">
        <v>27</v>
      </c>
      <c r="E5202" t="s">
        <v>17</v>
      </c>
      <c r="F5202" t="s">
        <v>23</v>
      </c>
      <c r="G5202" t="s">
        <v>41</v>
      </c>
      <c r="H5202" t="s">
        <v>25</v>
      </c>
      <c r="I5202" s="1">
        <v>2</v>
      </c>
      <c r="J5202" s="2">
        <v>46119</v>
      </c>
      <c r="K5202" s="2">
        <v>46113</v>
      </c>
      <c r="L5202" s="1" t="str">
        <f t="shared" si="600"/>
        <v>ter</v>
      </c>
      <c r="M5202" s="1" t="str">
        <f t="shared" si="601"/>
        <v>abr</v>
      </c>
      <c r="N5202">
        <f t="shared" si="602"/>
        <v>2026</v>
      </c>
      <c r="O5202" s="2"/>
      <c r="P5202" t="str">
        <f t="shared" si="599"/>
        <v>209746119</v>
      </c>
    </row>
    <row r="5203" spans="1:16" x14ac:dyDescent="0.3">
      <c r="A5203">
        <v>2098</v>
      </c>
      <c r="B5203">
        <v>36</v>
      </c>
      <c r="C5203" t="s">
        <v>15</v>
      </c>
      <c r="D5203" t="s">
        <v>29</v>
      </c>
      <c r="E5203" t="s">
        <v>17</v>
      </c>
      <c r="F5203" t="s">
        <v>21</v>
      </c>
      <c r="G5203" t="s">
        <v>41</v>
      </c>
      <c r="H5203" t="s">
        <v>25</v>
      </c>
      <c r="I5203" s="1">
        <v>2</v>
      </c>
      <c r="J5203" s="2">
        <v>45848</v>
      </c>
      <c r="K5203" s="2">
        <v>45839</v>
      </c>
      <c r="L5203" s="1" t="str">
        <f t="shared" si="600"/>
        <v>qui</v>
      </c>
      <c r="M5203" s="1" t="str">
        <f t="shared" si="601"/>
        <v>jul</v>
      </c>
      <c r="N5203">
        <f t="shared" si="602"/>
        <v>2025</v>
      </c>
      <c r="O5203" s="2"/>
      <c r="P5203" t="str">
        <f t="shared" si="599"/>
        <v>209845848</v>
      </c>
    </row>
    <row r="5204" spans="1:16" x14ac:dyDescent="0.3">
      <c r="A5204">
        <v>2098</v>
      </c>
      <c r="B5204">
        <v>36</v>
      </c>
      <c r="C5204" t="s">
        <v>15</v>
      </c>
      <c r="D5204" t="s">
        <v>29</v>
      </c>
      <c r="E5204" t="s">
        <v>17</v>
      </c>
      <c r="F5204" t="s">
        <v>21</v>
      </c>
      <c r="G5204" t="s">
        <v>41</v>
      </c>
      <c r="H5204" t="s">
        <v>25</v>
      </c>
      <c r="I5204" s="1">
        <v>2</v>
      </c>
      <c r="J5204" s="2">
        <v>45915</v>
      </c>
      <c r="K5204" s="2">
        <v>45901</v>
      </c>
      <c r="L5204" s="1" t="str">
        <f t="shared" si="600"/>
        <v>seg</v>
      </c>
      <c r="M5204" s="1" t="str">
        <f t="shared" si="601"/>
        <v>set</v>
      </c>
      <c r="N5204">
        <f t="shared" si="602"/>
        <v>2025</v>
      </c>
      <c r="O5204" s="2"/>
      <c r="P5204" t="str">
        <f t="shared" si="599"/>
        <v>209845915</v>
      </c>
    </row>
    <row r="5205" spans="1:16" x14ac:dyDescent="0.3">
      <c r="A5205">
        <v>2098</v>
      </c>
      <c r="B5205">
        <v>36</v>
      </c>
      <c r="C5205" t="s">
        <v>15</v>
      </c>
      <c r="D5205" t="s">
        <v>29</v>
      </c>
      <c r="E5205" t="s">
        <v>17</v>
      </c>
      <c r="F5205" t="s">
        <v>21</v>
      </c>
      <c r="G5205" t="s">
        <v>41</v>
      </c>
      <c r="H5205" t="s">
        <v>25</v>
      </c>
      <c r="I5205" s="1">
        <v>2</v>
      </c>
      <c r="J5205" s="2">
        <v>45964</v>
      </c>
      <c r="K5205" s="2">
        <v>45962</v>
      </c>
      <c r="L5205" s="1" t="str">
        <f t="shared" si="600"/>
        <v>seg</v>
      </c>
      <c r="M5205" s="1" t="str">
        <f t="shared" si="601"/>
        <v>nov</v>
      </c>
      <c r="N5205">
        <f t="shared" si="602"/>
        <v>2025</v>
      </c>
      <c r="O5205" s="2"/>
      <c r="P5205" t="str">
        <f t="shared" si="599"/>
        <v>209845964</v>
      </c>
    </row>
    <row r="5206" spans="1:16" x14ac:dyDescent="0.3">
      <c r="A5206">
        <v>2098</v>
      </c>
      <c r="B5206">
        <v>36</v>
      </c>
      <c r="C5206" t="s">
        <v>15</v>
      </c>
      <c r="D5206" t="s">
        <v>29</v>
      </c>
      <c r="E5206" t="s">
        <v>17</v>
      </c>
      <c r="F5206" t="s">
        <v>21</v>
      </c>
      <c r="G5206" t="s">
        <v>41</v>
      </c>
      <c r="H5206" t="s">
        <v>25</v>
      </c>
      <c r="I5206" s="1">
        <v>2</v>
      </c>
      <c r="J5206" s="2">
        <v>46098</v>
      </c>
      <c r="K5206" s="2">
        <v>46082</v>
      </c>
      <c r="L5206" s="1" t="str">
        <f t="shared" si="600"/>
        <v>ter</v>
      </c>
      <c r="M5206" s="1" t="str">
        <f t="shared" si="601"/>
        <v>mar</v>
      </c>
      <c r="N5206">
        <f t="shared" si="602"/>
        <v>2026</v>
      </c>
      <c r="O5206" s="2"/>
      <c r="P5206" t="str">
        <f t="shared" si="599"/>
        <v>209846098</v>
      </c>
    </row>
    <row r="5207" spans="1:16" x14ac:dyDescent="0.3">
      <c r="A5207">
        <v>2099</v>
      </c>
      <c r="B5207">
        <v>51</v>
      </c>
      <c r="C5207" t="s">
        <v>26</v>
      </c>
      <c r="D5207" t="s">
        <v>22</v>
      </c>
      <c r="E5207" t="s">
        <v>17</v>
      </c>
      <c r="F5207" t="s">
        <v>18</v>
      </c>
      <c r="G5207" t="s">
        <v>41</v>
      </c>
      <c r="H5207" t="s">
        <v>25</v>
      </c>
      <c r="I5207" s="1">
        <v>2</v>
      </c>
      <c r="J5207" s="2">
        <v>45945</v>
      </c>
      <c r="K5207" s="2">
        <v>45931</v>
      </c>
      <c r="L5207" s="1" t="str">
        <f t="shared" si="600"/>
        <v>qua</v>
      </c>
      <c r="M5207" s="1" t="str">
        <f t="shared" si="601"/>
        <v>out</v>
      </c>
      <c r="N5207">
        <f t="shared" si="602"/>
        <v>2025</v>
      </c>
      <c r="O5207" s="2"/>
      <c r="P5207" t="str">
        <f t="shared" si="599"/>
        <v>209945945</v>
      </c>
    </row>
    <row r="5208" spans="1:16" x14ac:dyDescent="0.3">
      <c r="A5208">
        <v>2099</v>
      </c>
      <c r="B5208">
        <v>51</v>
      </c>
      <c r="C5208" t="s">
        <v>26</v>
      </c>
      <c r="D5208" t="s">
        <v>22</v>
      </c>
      <c r="E5208" t="s">
        <v>17</v>
      </c>
      <c r="F5208" t="s">
        <v>18</v>
      </c>
      <c r="G5208" t="s">
        <v>41</v>
      </c>
      <c r="H5208" t="s">
        <v>25</v>
      </c>
      <c r="I5208" s="1">
        <v>2</v>
      </c>
      <c r="J5208" s="2">
        <v>46014</v>
      </c>
      <c r="K5208" s="2">
        <v>45992</v>
      </c>
      <c r="L5208" s="1" t="str">
        <f t="shared" si="600"/>
        <v>ter</v>
      </c>
      <c r="M5208" s="1" t="str">
        <f t="shared" si="601"/>
        <v>dez</v>
      </c>
      <c r="N5208">
        <f t="shared" si="602"/>
        <v>2025</v>
      </c>
      <c r="O5208" s="2"/>
      <c r="P5208" t="str">
        <f t="shared" si="599"/>
        <v>209946014</v>
      </c>
    </row>
    <row r="5209" spans="1:16" x14ac:dyDescent="0.3">
      <c r="A5209">
        <v>2099</v>
      </c>
      <c r="B5209">
        <v>51</v>
      </c>
      <c r="C5209" t="s">
        <v>26</v>
      </c>
      <c r="D5209" t="s">
        <v>22</v>
      </c>
      <c r="E5209" t="s">
        <v>17</v>
      </c>
      <c r="F5209" t="s">
        <v>18</v>
      </c>
      <c r="G5209" t="s">
        <v>41</v>
      </c>
      <c r="H5209" t="s">
        <v>25</v>
      </c>
      <c r="I5209" s="1">
        <v>2</v>
      </c>
      <c r="J5209" s="2">
        <v>46020</v>
      </c>
      <c r="K5209" s="2">
        <v>45992</v>
      </c>
      <c r="L5209" s="1" t="str">
        <f t="shared" si="600"/>
        <v>seg</v>
      </c>
      <c r="M5209" s="1" t="str">
        <f t="shared" si="601"/>
        <v>dez</v>
      </c>
      <c r="N5209">
        <f t="shared" si="602"/>
        <v>2025</v>
      </c>
      <c r="O5209" s="2"/>
      <c r="P5209" t="str">
        <f t="shared" si="599"/>
        <v>209946020</v>
      </c>
    </row>
    <row r="5210" spans="1:16" x14ac:dyDescent="0.3">
      <c r="A5210">
        <v>2099</v>
      </c>
      <c r="B5210">
        <v>51</v>
      </c>
      <c r="C5210" t="s">
        <v>26</v>
      </c>
      <c r="D5210" t="s">
        <v>22</v>
      </c>
      <c r="E5210" t="s">
        <v>17</v>
      </c>
      <c r="F5210" t="s">
        <v>18</v>
      </c>
      <c r="G5210" t="s">
        <v>41</v>
      </c>
      <c r="H5210" t="s">
        <v>25</v>
      </c>
      <c r="I5210" s="1">
        <v>2</v>
      </c>
      <c r="J5210" s="2">
        <v>46178</v>
      </c>
      <c r="K5210" s="2">
        <v>46023</v>
      </c>
      <c r="L5210" s="1" t="str">
        <f t="shared" si="600"/>
        <v>sex</v>
      </c>
      <c r="M5210" s="1" t="str">
        <f t="shared" si="601"/>
        <v>jun</v>
      </c>
      <c r="N5210">
        <f t="shared" si="602"/>
        <v>2026</v>
      </c>
      <c r="O5210" s="2"/>
      <c r="P5210" t="str">
        <f t="shared" si="599"/>
        <v>209946178</v>
      </c>
    </row>
    <row r="5211" spans="1:16" x14ac:dyDescent="0.3">
      <c r="A5211">
        <v>2099</v>
      </c>
      <c r="B5211">
        <v>51</v>
      </c>
      <c r="C5211" t="s">
        <v>26</v>
      </c>
      <c r="D5211" t="s">
        <v>22</v>
      </c>
      <c r="E5211" t="s">
        <v>17</v>
      </c>
      <c r="F5211" t="s">
        <v>18</v>
      </c>
      <c r="G5211" t="s">
        <v>41</v>
      </c>
      <c r="H5211" t="s">
        <v>25</v>
      </c>
      <c r="I5211" s="1">
        <v>2</v>
      </c>
      <c r="J5211" s="2">
        <v>46064</v>
      </c>
      <c r="K5211" s="2">
        <v>46054</v>
      </c>
      <c r="L5211" s="1" t="str">
        <f t="shared" si="600"/>
        <v>qua</v>
      </c>
      <c r="M5211" s="1" t="str">
        <f t="shared" si="601"/>
        <v>fev</v>
      </c>
      <c r="N5211">
        <f t="shared" si="602"/>
        <v>2026</v>
      </c>
      <c r="O5211" s="2"/>
      <c r="P5211" t="str">
        <f t="shared" si="599"/>
        <v>209946064</v>
      </c>
    </row>
    <row r="5212" spans="1:16" x14ac:dyDescent="0.3">
      <c r="A5212">
        <v>2100</v>
      </c>
      <c r="B5212">
        <v>32</v>
      </c>
      <c r="C5212" t="s">
        <v>26</v>
      </c>
      <c r="D5212" t="s">
        <v>27</v>
      </c>
      <c r="E5212" t="s">
        <v>17</v>
      </c>
      <c r="F5212" t="s">
        <v>23</v>
      </c>
      <c r="G5212" t="s">
        <v>41</v>
      </c>
      <c r="H5212" t="s">
        <v>25</v>
      </c>
      <c r="I5212" s="1">
        <v>2</v>
      </c>
      <c r="J5212" s="2">
        <v>45809</v>
      </c>
      <c r="K5212" s="2">
        <v>45809</v>
      </c>
      <c r="L5212" s="1" t="str">
        <f t="shared" si="600"/>
        <v>dom</v>
      </c>
      <c r="M5212" s="1" t="str">
        <f t="shared" si="601"/>
        <v>jun</v>
      </c>
      <c r="N5212">
        <f t="shared" si="602"/>
        <v>2025</v>
      </c>
      <c r="O5212" s="2"/>
      <c r="P5212" t="str">
        <f t="shared" si="599"/>
        <v>210045809</v>
      </c>
    </row>
    <row r="5213" spans="1:16" x14ac:dyDescent="0.3">
      <c r="A5213">
        <v>2100</v>
      </c>
      <c r="B5213">
        <v>32</v>
      </c>
      <c r="C5213" t="s">
        <v>26</v>
      </c>
      <c r="D5213" t="s">
        <v>27</v>
      </c>
      <c r="E5213" t="s">
        <v>17</v>
      </c>
      <c r="F5213" t="s">
        <v>23</v>
      </c>
      <c r="G5213" t="s">
        <v>41</v>
      </c>
      <c r="H5213" t="s">
        <v>25</v>
      </c>
      <c r="I5213" s="1">
        <v>2</v>
      </c>
      <c r="J5213" s="2">
        <v>45824</v>
      </c>
      <c r="K5213" s="2">
        <v>45809</v>
      </c>
      <c r="L5213" s="1" t="str">
        <f t="shared" si="600"/>
        <v>seg</v>
      </c>
      <c r="M5213" s="1" t="str">
        <f t="shared" si="601"/>
        <v>jun</v>
      </c>
      <c r="N5213">
        <f t="shared" si="602"/>
        <v>2025</v>
      </c>
      <c r="O5213" s="2"/>
      <c r="P5213" t="str">
        <f t="shared" si="599"/>
        <v>210045824</v>
      </c>
    </row>
    <row r="5214" spans="1:16" x14ac:dyDescent="0.3">
      <c r="A5214">
        <v>2100</v>
      </c>
      <c r="B5214">
        <v>32</v>
      </c>
      <c r="C5214" t="s">
        <v>26</v>
      </c>
      <c r="D5214" t="s">
        <v>27</v>
      </c>
      <c r="E5214" t="s">
        <v>17</v>
      </c>
      <c r="F5214" t="s">
        <v>23</v>
      </c>
      <c r="G5214" t="s">
        <v>41</v>
      </c>
      <c r="H5214" t="s">
        <v>25</v>
      </c>
      <c r="I5214" s="1">
        <v>2</v>
      </c>
      <c r="J5214" s="2">
        <v>45904</v>
      </c>
      <c r="K5214" s="2">
        <v>45901</v>
      </c>
      <c r="L5214" s="1" t="str">
        <f t="shared" si="600"/>
        <v>qui</v>
      </c>
      <c r="M5214" s="1" t="str">
        <f t="shared" si="601"/>
        <v>set</v>
      </c>
      <c r="N5214">
        <f t="shared" si="602"/>
        <v>2025</v>
      </c>
      <c r="O5214" s="2"/>
      <c r="P5214" t="str">
        <f t="shared" si="599"/>
        <v>210045904</v>
      </c>
    </row>
    <row r="5215" spans="1:16" x14ac:dyDescent="0.3">
      <c r="A5215">
        <v>2100</v>
      </c>
      <c r="B5215">
        <v>32</v>
      </c>
      <c r="C5215" t="s">
        <v>26</v>
      </c>
      <c r="D5215" t="s">
        <v>27</v>
      </c>
      <c r="E5215" t="s">
        <v>17</v>
      </c>
      <c r="F5215" t="s">
        <v>23</v>
      </c>
      <c r="G5215" t="s">
        <v>41</v>
      </c>
      <c r="H5215" t="s">
        <v>25</v>
      </c>
      <c r="I5215" s="1">
        <v>2</v>
      </c>
      <c r="J5215" s="2">
        <v>45978</v>
      </c>
      <c r="K5215" s="2">
        <v>45962</v>
      </c>
      <c r="L5215" s="1" t="str">
        <f t="shared" ref="L5215:L5246" si="603">TEXT(J5215,"ddd")</f>
        <v>seg</v>
      </c>
      <c r="M5215" s="1" t="str">
        <f t="shared" ref="M5215:M5246" si="604">TEXT($J5215,"mmm")</f>
        <v>nov</v>
      </c>
      <c r="N5215">
        <f t="shared" ref="N5215:N5246" si="605">YEAR(J5215)</f>
        <v>2025</v>
      </c>
      <c r="O5215" s="2"/>
      <c r="P5215" t="str">
        <f t="shared" si="599"/>
        <v>210045978</v>
      </c>
    </row>
    <row r="5216" spans="1:16" x14ac:dyDescent="0.3">
      <c r="A5216">
        <v>2100</v>
      </c>
      <c r="B5216">
        <v>32</v>
      </c>
      <c r="C5216" t="s">
        <v>26</v>
      </c>
      <c r="D5216" t="s">
        <v>27</v>
      </c>
      <c r="E5216" t="s">
        <v>17</v>
      </c>
      <c r="F5216" t="s">
        <v>23</v>
      </c>
      <c r="G5216" t="s">
        <v>41</v>
      </c>
      <c r="H5216" t="s">
        <v>25</v>
      </c>
      <c r="I5216" s="1">
        <v>2</v>
      </c>
      <c r="J5216" s="2">
        <v>46074</v>
      </c>
      <c r="K5216" s="2">
        <v>46054</v>
      </c>
      <c r="L5216" s="1" t="str">
        <f t="shared" si="603"/>
        <v>sáb</v>
      </c>
      <c r="M5216" s="1" t="str">
        <f t="shared" si="604"/>
        <v>fev</v>
      </c>
      <c r="N5216">
        <f t="shared" si="605"/>
        <v>2026</v>
      </c>
      <c r="O5216" s="2"/>
      <c r="P5216" t="str">
        <f t="shared" si="599"/>
        <v>210046074</v>
      </c>
    </row>
    <row r="5217" spans="1:16" x14ac:dyDescent="0.3">
      <c r="A5217">
        <v>2101</v>
      </c>
      <c r="B5217">
        <v>28</v>
      </c>
      <c r="C5217" t="s">
        <v>15</v>
      </c>
      <c r="D5217" t="s">
        <v>29</v>
      </c>
      <c r="E5217" t="s">
        <v>17</v>
      </c>
      <c r="F5217" t="s">
        <v>18</v>
      </c>
      <c r="G5217" t="s">
        <v>41</v>
      </c>
      <c r="H5217" t="s">
        <v>25</v>
      </c>
      <c r="I5217" s="1">
        <v>2</v>
      </c>
      <c r="J5217" s="2">
        <v>45972</v>
      </c>
      <c r="K5217" s="2">
        <v>45962</v>
      </c>
      <c r="L5217" s="1" t="str">
        <f t="shared" si="603"/>
        <v>ter</v>
      </c>
      <c r="M5217" s="1" t="str">
        <f t="shared" si="604"/>
        <v>nov</v>
      </c>
      <c r="N5217">
        <f t="shared" si="605"/>
        <v>2025</v>
      </c>
      <c r="O5217" s="2"/>
      <c r="P5217" t="str">
        <f t="shared" si="599"/>
        <v>210145972</v>
      </c>
    </row>
    <row r="5218" spans="1:16" x14ac:dyDescent="0.3">
      <c r="A5218">
        <v>2101</v>
      </c>
      <c r="B5218">
        <v>28</v>
      </c>
      <c r="C5218" t="s">
        <v>15</v>
      </c>
      <c r="D5218" t="s">
        <v>29</v>
      </c>
      <c r="E5218" t="s">
        <v>17</v>
      </c>
      <c r="F5218" t="s">
        <v>18</v>
      </c>
      <c r="G5218" t="s">
        <v>41</v>
      </c>
      <c r="H5218" t="s">
        <v>25</v>
      </c>
      <c r="I5218" s="1">
        <v>2</v>
      </c>
      <c r="J5218" s="2">
        <v>46000</v>
      </c>
      <c r="K5218" s="2">
        <v>45992</v>
      </c>
      <c r="L5218" s="1" t="str">
        <f t="shared" si="603"/>
        <v>ter</v>
      </c>
      <c r="M5218" s="1" t="str">
        <f t="shared" si="604"/>
        <v>dez</v>
      </c>
      <c r="N5218">
        <f t="shared" si="605"/>
        <v>2025</v>
      </c>
      <c r="O5218" s="2"/>
      <c r="P5218" t="str">
        <f t="shared" si="599"/>
        <v>210146000</v>
      </c>
    </row>
    <row r="5219" spans="1:16" x14ac:dyDescent="0.3">
      <c r="A5219">
        <v>2101</v>
      </c>
      <c r="B5219">
        <v>28</v>
      </c>
      <c r="C5219" t="s">
        <v>15</v>
      </c>
      <c r="D5219" t="s">
        <v>29</v>
      </c>
      <c r="E5219" t="s">
        <v>17</v>
      </c>
      <c r="F5219" t="s">
        <v>18</v>
      </c>
      <c r="G5219" t="s">
        <v>41</v>
      </c>
      <c r="H5219" t="s">
        <v>25</v>
      </c>
      <c r="I5219" s="1">
        <v>2</v>
      </c>
      <c r="J5219" s="2">
        <v>46011</v>
      </c>
      <c r="K5219" s="2">
        <v>45992</v>
      </c>
      <c r="L5219" s="1" t="str">
        <f t="shared" si="603"/>
        <v>sáb</v>
      </c>
      <c r="M5219" s="1" t="str">
        <f t="shared" si="604"/>
        <v>dez</v>
      </c>
      <c r="N5219">
        <f t="shared" si="605"/>
        <v>2025</v>
      </c>
      <c r="O5219" s="2"/>
      <c r="P5219" t="str">
        <f t="shared" si="599"/>
        <v>210146011</v>
      </c>
    </row>
    <row r="5220" spans="1:16" x14ac:dyDescent="0.3">
      <c r="A5220">
        <v>2101</v>
      </c>
      <c r="B5220">
        <v>28</v>
      </c>
      <c r="C5220" t="s">
        <v>15</v>
      </c>
      <c r="D5220" t="s">
        <v>29</v>
      </c>
      <c r="E5220" t="s">
        <v>17</v>
      </c>
      <c r="F5220" t="s">
        <v>18</v>
      </c>
      <c r="G5220" t="s">
        <v>41</v>
      </c>
      <c r="H5220" t="s">
        <v>25</v>
      </c>
      <c r="I5220" s="1">
        <v>2</v>
      </c>
      <c r="J5220" s="2">
        <v>46071</v>
      </c>
      <c r="K5220" s="2">
        <v>46054</v>
      </c>
      <c r="L5220" s="1" t="str">
        <f t="shared" si="603"/>
        <v>qua</v>
      </c>
      <c r="M5220" s="1" t="str">
        <f t="shared" si="604"/>
        <v>fev</v>
      </c>
      <c r="N5220">
        <f t="shared" si="605"/>
        <v>2026</v>
      </c>
      <c r="O5220" s="2"/>
      <c r="P5220" t="str">
        <f t="shared" si="599"/>
        <v>210146071</v>
      </c>
    </row>
    <row r="5221" spans="1:16" x14ac:dyDescent="0.3">
      <c r="A5221">
        <v>2102</v>
      </c>
      <c r="B5221">
        <v>54</v>
      </c>
      <c r="C5221" t="s">
        <v>26</v>
      </c>
      <c r="D5221" t="s">
        <v>16</v>
      </c>
      <c r="E5221" t="s">
        <v>17</v>
      </c>
      <c r="F5221" t="s">
        <v>23</v>
      </c>
      <c r="G5221" t="s">
        <v>41</v>
      </c>
      <c r="H5221" t="s">
        <v>25</v>
      </c>
      <c r="I5221" s="1">
        <v>3</v>
      </c>
      <c r="J5221" s="2">
        <v>45981</v>
      </c>
      <c r="K5221" s="2">
        <v>45962</v>
      </c>
      <c r="L5221" s="1" t="str">
        <f t="shared" si="603"/>
        <v>qui</v>
      </c>
      <c r="M5221" s="1" t="str">
        <f t="shared" si="604"/>
        <v>nov</v>
      </c>
      <c r="N5221">
        <f t="shared" si="605"/>
        <v>2025</v>
      </c>
      <c r="O5221" s="2"/>
      <c r="P5221" t="str">
        <f t="shared" si="599"/>
        <v>210245981</v>
      </c>
    </row>
    <row r="5222" spans="1:16" x14ac:dyDescent="0.3">
      <c r="A5222">
        <v>2102</v>
      </c>
      <c r="B5222">
        <v>54</v>
      </c>
      <c r="C5222" t="s">
        <v>26</v>
      </c>
      <c r="D5222" t="s">
        <v>16</v>
      </c>
      <c r="E5222" t="s">
        <v>17</v>
      </c>
      <c r="F5222" t="s">
        <v>23</v>
      </c>
      <c r="G5222" t="s">
        <v>41</v>
      </c>
      <c r="H5222" t="s">
        <v>25</v>
      </c>
      <c r="I5222" s="1">
        <v>3</v>
      </c>
      <c r="J5222" s="2">
        <v>46191</v>
      </c>
      <c r="K5222" s="2">
        <v>46023</v>
      </c>
      <c r="L5222" s="1" t="str">
        <f t="shared" si="603"/>
        <v>qui</v>
      </c>
      <c r="M5222" s="1" t="str">
        <f t="shared" si="604"/>
        <v>jun</v>
      </c>
      <c r="N5222">
        <f t="shared" si="605"/>
        <v>2026</v>
      </c>
      <c r="O5222" s="2"/>
      <c r="P5222" t="str">
        <f t="shared" si="599"/>
        <v>210246191</v>
      </c>
    </row>
    <row r="5223" spans="1:16" x14ac:dyDescent="0.3">
      <c r="A5223">
        <v>2102</v>
      </c>
      <c r="B5223">
        <v>54</v>
      </c>
      <c r="C5223" t="s">
        <v>26</v>
      </c>
      <c r="D5223" t="s">
        <v>16</v>
      </c>
      <c r="E5223" t="s">
        <v>17</v>
      </c>
      <c r="F5223" t="s">
        <v>23</v>
      </c>
      <c r="G5223" t="s">
        <v>41</v>
      </c>
      <c r="H5223" t="s">
        <v>25</v>
      </c>
      <c r="I5223" s="1">
        <v>3</v>
      </c>
      <c r="J5223" s="2">
        <v>46197</v>
      </c>
      <c r="K5223" s="2">
        <v>46023</v>
      </c>
      <c r="L5223" s="1" t="str">
        <f t="shared" si="603"/>
        <v>qua</v>
      </c>
      <c r="M5223" s="1" t="str">
        <f t="shared" si="604"/>
        <v>jun</v>
      </c>
      <c r="N5223">
        <f t="shared" si="605"/>
        <v>2026</v>
      </c>
      <c r="O5223" s="2"/>
      <c r="P5223" t="str">
        <f t="shared" si="599"/>
        <v>210246197</v>
      </c>
    </row>
    <row r="5224" spans="1:16" x14ac:dyDescent="0.3">
      <c r="A5224">
        <v>2102</v>
      </c>
      <c r="B5224">
        <v>54</v>
      </c>
      <c r="C5224" t="s">
        <v>26</v>
      </c>
      <c r="D5224" t="s">
        <v>16</v>
      </c>
      <c r="E5224" t="s">
        <v>17</v>
      </c>
      <c r="F5224" t="s">
        <v>23</v>
      </c>
      <c r="G5224" t="s">
        <v>41</v>
      </c>
      <c r="H5224" t="s">
        <v>25</v>
      </c>
      <c r="I5224" s="1">
        <v>3</v>
      </c>
      <c r="J5224" s="2">
        <v>46070</v>
      </c>
      <c r="K5224" s="2">
        <v>46054</v>
      </c>
      <c r="L5224" s="1" t="str">
        <f t="shared" si="603"/>
        <v>ter</v>
      </c>
      <c r="M5224" s="1" t="str">
        <f t="shared" si="604"/>
        <v>fev</v>
      </c>
      <c r="N5224">
        <f t="shared" si="605"/>
        <v>2026</v>
      </c>
      <c r="O5224" s="2"/>
      <c r="P5224" t="str">
        <f t="shared" si="599"/>
        <v>210246070</v>
      </c>
    </row>
    <row r="5225" spans="1:16" x14ac:dyDescent="0.3">
      <c r="A5225">
        <v>2103</v>
      </c>
      <c r="B5225">
        <v>55</v>
      </c>
      <c r="C5225" t="s">
        <v>15</v>
      </c>
      <c r="D5225" t="s">
        <v>22</v>
      </c>
      <c r="E5225" t="s">
        <v>17</v>
      </c>
      <c r="F5225" t="s">
        <v>21</v>
      </c>
      <c r="G5225" t="s">
        <v>41</v>
      </c>
      <c r="H5225" t="s">
        <v>25</v>
      </c>
      <c r="I5225" s="1">
        <v>1</v>
      </c>
      <c r="J5225" s="2">
        <v>45852</v>
      </c>
      <c r="K5225" s="2">
        <v>45839</v>
      </c>
      <c r="L5225" s="1" t="str">
        <f t="shared" si="603"/>
        <v>seg</v>
      </c>
      <c r="M5225" s="1" t="str">
        <f t="shared" si="604"/>
        <v>jul</v>
      </c>
      <c r="N5225">
        <f t="shared" si="605"/>
        <v>2025</v>
      </c>
      <c r="O5225" s="2"/>
      <c r="P5225" t="str">
        <f t="shared" si="599"/>
        <v>210345852</v>
      </c>
    </row>
    <row r="5226" spans="1:16" x14ac:dyDescent="0.3">
      <c r="A5226">
        <v>2103</v>
      </c>
      <c r="B5226">
        <v>55</v>
      </c>
      <c r="C5226" t="s">
        <v>15</v>
      </c>
      <c r="D5226" t="s">
        <v>22</v>
      </c>
      <c r="E5226" t="s">
        <v>17</v>
      </c>
      <c r="F5226" t="s">
        <v>21</v>
      </c>
      <c r="G5226" t="s">
        <v>41</v>
      </c>
      <c r="H5226" t="s">
        <v>25</v>
      </c>
      <c r="I5226" s="1">
        <v>1</v>
      </c>
      <c r="J5226" s="2">
        <v>45962</v>
      </c>
      <c r="K5226" s="2">
        <v>45962</v>
      </c>
      <c r="L5226" s="1" t="str">
        <f t="shared" si="603"/>
        <v>sáb</v>
      </c>
      <c r="M5226" s="1" t="str">
        <f t="shared" si="604"/>
        <v>nov</v>
      </c>
      <c r="N5226">
        <f t="shared" si="605"/>
        <v>2025</v>
      </c>
      <c r="O5226" s="2"/>
      <c r="P5226" t="str">
        <f t="shared" si="599"/>
        <v>210345962</v>
      </c>
    </row>
    <row r="5227" spans="1:16" x14ac:dyDescent="0.3">
      <c r="A5227">
        <v>2103</v>
      </c>
      <c r="B5227">
        <v>55</v>
      </c>
      <c r="C5227" t="s">
        <v>15</v>
      </c>
      <c r="D5227" t="s">
        <v>22</v>
      </c>
      <c r="E5227" t="s">
        <v>17</v>
      </c>
      <c r="F5227" t="s">
        <v>21</v>
      </c>
      <c r="G5227" t="s">
        <v>41</v>
      </c>
      <c r="H5227" t="s">
        <v>25</v>
      </c>
      <c r="I5227" s="1">
        <v>1</v>
      </c>
      <c r="J5227" s="2">
        <v>45975</v>
      </c>
      <c r="K5227" s="2">
        <v>45962</v>
      </c>
      <c r="L5227" s="1" t="str">
        <f t="shared" si="603"/>
        <v>sex</v>
      </c>
      <c r="M5227" s="1" t="str">
        <f t="shared" si="604"/>
        <v>nov</v>
      </c>
      <c r="N5227">
        <f t="shared" si="605"/>
        <v>2025</v>
      </c>
      <c r="O5227" s="2"/>
      <c r="P5227" t="str">
        <f t="shared" si="599"/>
        <v>210345975</v>
      </c>
    </row>
    <row r="5228" spans="1:16" x14ac:dyDescent="0.3">
      <c r="A5228">
        <v>2103</v>
      </c>
      <c r="B5228">
        <v>55</v>
      </c>
      <c r="C5228" t="s">
        <v>15</v>
      </c>
      <c r="D5228" t="s">
        <v>22</v>
      </c>
      <c r="E5228" t="s">
        <v>17</v>
      </c>
      <c r="F5228" t="s">
        <v>21</v>
      </c>
      <c r="G5228" t="s">
        <v>41</v>
      </c>
      <c r="H5228" t="s">
        <v>25</v>
      </c>
      <c r="I5228" s="1">
        <v>1</v>
      </c>
      <c r="J5228" s="2">
        <v>45990</v>
      </c>
      <c r="K5228" s="2">
        <v>45962</v>
      </c>
      <c r="L5228" s="1" t="str">
        <f t="shared" si="603"/>
        <v>sáb</v>
      </c>
      <c r="M5228" s="1" t="str">
        <f t="shared" si="604"/>
        <v>nov</v>
      </c>
      <c r="N5228">
        <f t="shared" si="605"/>
        <v>2025</v>
      </c>
      <c r="O5228" s="2"/>
      <c r="P5228" t="str">
        <f t="shared" si="599"/>
        <v>210345990</v>
      </c>
    </row>
    <row r="5229" spans="1:16" x14ac:dyDescent="0.3">
      <c r="A5229">
        <v>2103</v>
      </c>
      <c r="B5229">
        <v>55</v>
      </c>
      <c r="C5229" t="s">
        <v>15</v>
      </c>
      <c r="D5229" t="s">
        <v>22</v>
      </c>
      <c r="E5229" t="s">
        <v>17</v>
      </c>
      <c r="F5229" t="s">
        <v>21</v>
      </c>
      <c r="G5229" t="s">
        <v>41</v>
      </c>
      <c r="H5229" t="s">
        <v>25</v>
      </c>
      <c r="I5229" s="1">
        <v>1</v>
      </c>
      <c r="J5229" s="2">
        <v>46017</v>
      </c>
      <c r="K5229" s="2">
        <v>45992</v>
      </c>
      <c r="L5229" s="1" t="str">
        <f t="shared" si="603"/>
        <v>sex</v>
      </c>
      <c r="M5229" s="1" t="str">
        <f t="shared" si="604"/>
        <v>dez</v>
      </c>
      <c r="N5229">
        <f t="shared" si="605"/>
        <v>2025</v>
      </c>
      <c r="O5229" s="2"/>
      <c r="P5229" t="str">
        <f t="shared" si="599"/>
        <v>210346017</v>
      </c>
    </row>
    <row r="5230" spans="1:16" x14ac:dyDescent="0.3">
      <c r="A5230">
        <v>2103</v>
      </c>
      <c r="B5230">
        <v>55</v>
      </c>
      <c r="C5230" t="s">
        <v>15</v>
      </c>
      <c r="D5230" t="s">
        <v>22</v>
      </c>
      <c r="E5230" t="s">
        <v>17</v>
      </c>
      <c r="F5230" t="s">
        <v>21</v>
      </c>
      <c r="G5230" t="s">
        <v>41</v>
      </c>
      <c r="H5230" t="s">
        <v>25</v>
      </c>
      <c r="I5230" s="1">
        <v>1</v>
      </c>
      <c r="J5230" s="2">
        <v>46193</v>
      </c>
      <c r="K5230" s="2">
        <v>46023</v>
      </c>
      <c r="L5230" s="1" t="str">
        <f t="shared" si="603"/>
        <v>sáb</v>
      </c>
      <c r="M5230" s="1" t="str">
        <f t="shared" si="604"/>
        <v>jun</v>
      </c>
      <c r="N5230">
        <f t="shared" si="605"/>
        <v>2026</v>
      </c>
      <c r="O5230" s="2"/>
      <c r="P5230" t="str">
        <f t="shared" si="599"/>
        <v>210346193</v>
      </c>
    </row>
    <row r="5231" spans="1:16" x14ac:dyDescent="0.3">
      <c r="A5231">
        <v>2104</v>
      </c>
      <c r="B5231">
        <v>52</v>
      </c>
      <c r="C5231" t="s">
        <v>26</v>
      </c>
      <c r="D5231" t="s">
        <v>29</v>
      </c>
      <c r="E5231" t="s">
        <v>17</v>
      </c>
      <c r="F5231" t="s">
        <v>21</v>
      </c>
      <c r="G5231" t="s">
        <v>41</v>
      </c>
      <c r="H5231" t="s">
        <v>25</v>
      </c>
      <c r="I5231" s="1">
        <v>1</v>
      </c>
      <c r="J5231" s="2">
        <v>45873</v>
      </c>
      <c r="K5231" s="2">
        <v>45870</v>
      </c>
      <c r="L5231" s="1" t="str">
        <f t="shared" si="603"/>
        <v>seg</v>
      </c>
      <c r="M5231" s="1" t="str">
        <f t="shared" si="604"/>
        <v>ago</v>
      </c>
      <c r="N5231">
        <f t="shared" si="605"/>
        <v>2025</v>
      </c>
      <c r="O5231" s="2"/>
      <c r="P5231" t="str">
        <f t="shared" si="599"/>
        <v>210445873</v>
      </c>
    </row>
    <row r="5232" spans="1:16" x14ac:dyDescent="0.3">
      <c r="A5232">
        <v>2104</v>
      </c>
      <c r="B5232">
        <v>52</v>
      </c>
      <c r="C5232" t="s">
        <v>26</v>
      </c>
      <c r="D5232" t="s">
        <v>29</v>
      </c>
      <c r="E5232" t="s">
        <v>17</v>
      </c>
      <c r="F5232" t="s">
        <v>21</v>
      </c>
      <c r="G5232" t="s">
        <v>41</v>
      </c>
      <c r="H5232" t="s">
        <v>25</v>
      </c>
      <c r="I5232" s="1">
        <v>1</v>
      </c>
      <c r="J5232" s="2">
        <v>45930</v>
      </c>
      <c r="K5232" s="2">
        <v>45901</v>
      </c>
      <c r="L5232" s="1" t="str">
        <f t="shared" si="603"/>
        <v>ter</v>
      </c>
      <c r="M5232" s="1" t="str">
        <f t="shared" si="604"/>
        <v>set</v>
      </c>
      <c r="N5232">
        <f t="shared" si="605"/>
        <v>2025</v>
      </c>
      <c r="O5232" s="2"/>
      <c r="P5232" t="str">
        <f t="shared" si="599"/>
        <v>210445930</v>
      </c>
    </row>
    <row r="5233" spans="1:16" x14ac:dyDescent="0.3">
      <c r="A5233">
        <v>2104</v>
      </c>
      <c r="B5233">
        <v>52</v>
      </c>
      <c r="C5233" t="s">
        <v>26</v>
      </c>
      <c r="D5233" t="s">
        <v>29</v>
      </c>
      <c r="E5233" t="s">
        <v>17</v>
      </c>
      <c r="F5233" t="s">
        <v>21</v>
      </c>
      <c r="G5233" t="s">
        <v>41</v>
      </c>
      <c r="H5233" t="s">
        <v>25</v>
      </c>
      <c r="I5233" s="1">
        <v>1</v>
      </c>
      <c r="J5233" s="2">
        <v>45935</v>
      </c>
      <c r="K5233" s="2">
        <v>45931</v>
      </c>
      <c r="L5233" s="1" t="str">
        <f t="shared" si="603"/>
        <v>dom</v>
      </c>
      <c r="M5233" s="1" t="str">
        <f t="shared" si="604"/>
        <v>out</v>
      </c>
      <c r="N5233">
        <f t="shared" si="605"/>
        <v>2025</v>
      </c>
      <c r="O5233" s="2"/>
      <c r="P5233" t="str">
        <f t="shared" si="599"/>
        <v>210445935</v>
      </c>
    </row>
    <row r="5234" spans="1:16" x14ac:dyDescent="0.3">
      <c r="A5234">
        <v>2104</v>
      </c>
      <c r="B5234">
        <v>52</v>
      </c>
      <c r="C5234" t="s">
        <v>26</v>
      </c>
      <c r="D5234" t="s">
        <v>29</v>
      </c>
      <c r="E5234" t="s">
        <v>17</v>
      </c>
      <c r="F5234" t="s">
        <v>21</v>
      </c>
      <c r="G5234" t="s">
        <v>41</v>
      </c>
      <c r="H5234" t="s">
        <v>25</v>
      </c>
      <c r="I5234" s="1">
        <v>1</v>
      </c>
      <c r="J5234" s="2">
        <v>45957</v>
      </c>
      <c r="K5234" s="2">
        <v>45931</v>
      </c>
      <c r="L5234" s="1" t="str">
        <f t="shared" si="603"/>
        <v>seg</v>
      </c>
      <c r="M5234" s="1" t="str">
        <f t="shared" si="604"/>
        <v>out</v>
      </c>
      <c r="N5234">
        <f t="shared" si="605"/>
        <v>2025</v>
      </c>
      <c r="O5234" s="2"/>
      <c r="P5234" t="str">
        <f t="shared" si="599"/>
        <v>210445957</v>
      </c>
    </row>
    <row r="5235" spans="1:16" x14ac:dyDescent="0.3">
      <c r="A5235">
        <v>2104</v>
      </c>
      <c r="B5235">
        <v>52</v>
      </c>
      <c r="C5235" t="s">
        <v>26</v>
      </c>
      <c r="D5235" t="s">
        <v>29</v>
      </c>
      <c r="E5235" t="s">
        <v>17</v>
      </c>
      <c r="F5235" t="s">
        <v>21</v>
      </c>
      <c r="G5235" t="s">
        <v>41</v>
      </c>
      <c r="H5235" t="s">
        <v>25</v>
      </c>
      <c r="I5235" s="1">
        <v>1</v>
      </c>
      <c r="J5235" s="2">
        <v>45994</v>
      </c>
      <c r="K5235" s="2">
        <v>45992</v>
      </c>
      <c r="L5235" s="1" t="str">
        <f t="shared" si="603"/>
        <v>qua</v>
      </c>
      <c r="M5235" s="1" t="str">
        <f t="shared" si="604"/>
        <v>dez</v>
      </c>
      <c r="N5235">
        <f t="shared" si="605"/>
        <v>2025</v>
      </c>
      <c r="O5235" s="2"/>
      <c r="P5235" t="str">
        <f t="shared" si="599"/>
        <v>210445994</v>
      </c>
    </row>
    <row r="5236" spans="1:16" x14ac:dyDescent="0.3">
      <c r="A5236">
        <v>2104</v>
      </c>
      <c r="B5236">
        <v>52</v>
      </c>
      <c r="C5236" t="s">
        <v>26</v>
      </c>
      <c r="D5236" t="s">
        <v>29</v>
      </c>
      <c r="E5236" t="s">
        <v>17</v>
      </c>
      <c r="F5236" t="s">
        <v>21</v>
      </c>
      <c r="G5236" t="s">
        <v>41</v>
      </c>
      <c r="H5236" t="s">
        <v>25</v>
      </c>
      <c r="I5236" s="1">
        <v>1</v>
      </c>
      <c r="J5236" s="2">
        <v>46067</v>
      </c>
      <c r="K5236" s="2">
        <v>46054</v>
      </c>
      <c r="L5236" s="1" t="str">
        <f t="shared" si="603"/>
        <v>sáb</v>
      </c>
      <c r="M5236" s="1" t="str">
        <f t="shared" si="604"/>
        <v>fev</v>
      </c>
      <c r="N5236">
        <f t="shared" si="605"/>
        <v>2026</v>
      </c>
      <c r="O5236" s="2"/>
      <c r="P5236" t="str">
        <f t="shared" si="599"/>
        <v>210446067</v>
      </c>
    </row>
    <row r="5237" spans="1:16" x14ac:dyDescent="0.3">
      <c r="A5237">
        <v>2106</v>
      </c>
      <c r="B5237">
        <v>42</v>
      </c>
      <c r="C5237" t="s">
        <v>26</v>
      </c>
      <c r="D5237" t="s">
        <v>16</v>
      </c>
      <c r="E5237" t="s">
        <v>17</v>
      </c>
      <c r="F5237" t="s">
        <v>21</v>
      </c>
      <c r="G5237" t="s">
        <v>41</v>
      </c>
      <c r="H5237" t="s">
        <v>25</v>
      </c>
      <c r="I5237" s="1">
        <v>2</v>
      </c>
      <c r="J5237" s="2">
        <v>45871</v>
      </c>
      <c r="K5237" s="2">
        <v>45870</v>
      </c>
      <c r="L5237" s="1" t="str">
        <f t="shared" si="603"/>
        <v>sáb</v>
      </c>
      <c r="M5237" s="1" t="str">
        <f t="shared" si="604"/>
        <v>ago</v>
      </c>
      <c r="N5237">
        <f t="shared" si="605"/>
        <v>2025</v>
      </c>
      <c r="O5237" s="2"/>
      <c r="P5237" t="str">
        <f t="shared" si="599"/>
        <v>210645871</v>
      </c>
    </row>
    <row r="5238" spans="1:16" x14ac:dyDescent="0.3">
      <c r="A5238">
        <v>2106</v>
      </c>
      <c r="B5238">
        <v>42</v>
      </c>
      <c r="C5238" t="s">
        <v>26</v>
      </c>
      <c r="D5238" t="s">
        <v>16</v>
      </c>
      <c r="E5238" t="s">
        <v>17</v>
      </c>
      <c r="F5238" t="s">
        <v>21</v>
      </c>
      <c r="G5238" t="s">
        <v>41</v>
      </c>
      <c r="H5238" t="s">
        <v>25</v>
      </c>
      <c r="I5238" s="1">
        <v>2</v>
      </c>
      <c r="J5238" s="2">
        <v>45890</v>
      </c>
      <c r="K5238" s="2">
        <v>45870</v>
      </c>
      <c r="L5238" s="1" t="str">
        <f t="shared" si="603"/>
        <v>qui</v>
      </c>
      <c r="M5238" s="1" t="str">
        <f t="shared" si="604"/>
        <v>ago</v>
      </c>
      <c r="N5238">
        <f t="shared" si="605"/>
        <v>2025</v>
      </c>
      <c r="O5238" s="2"/>
      <c r="P5238" t="str">
        <f t="shared" si="599"/>
        <v>210645890</v>
      </c>
    </row>
    <row r="5239" spans="1:16" x14ac:dyDescent="0.3">
      <c r="A5239">
        <v>2106</v>
      </c>
      <c r="B5239">
        <v>42</v>
      </c>
      <c r="C5239" t="s">
        <v>26</v>
      </c>
      <c r="D5239" t="s">
        <v>16</v>
      </c>
      <c r="E5239" t="s">
        <v>17</v>
      </c>
      <c r="F5239" t="s">
        <v>21</v>
      </c>
      <c r="G5239" t="s">
        <v>41</v>
      </c>
      <c r="H5239" t="s">
        <v>25</v>
      </c>
      <c r="I5239" s="1">
        <v>2</v>
      </c>
      <c r="J5239" s="2">
        <v>45978</v>
      </c>
      <c r="K5239" s="2">
        <v>45962</v>
      </c>
      <c r="L5239" s="1" t="str">
        <f t="shared" si="603"/>
        <v>seg</v>
      </c>
      <c r="M5239" s="1" t="str">
        <f t="shared" si="604"/>
        <v>nov</v>
      </c>
      <c r="N5239">
        <f t="shared" si="605"/>
        <v>2025</v>
      </c>
      <c r="O5239" s="2"/>
      <c r="P5239" t="str">
        <f t="shared" si="599"/>
        <v>210645978</v>
      </c>
    </row>
    <row r="5240" spans="1:16" x14ac:dyDescent="0.3">
      <c r="A5240">
        <v>2106</v>
      </c>
      <c r="B5240">
        <v>42</v>
      </c>
      <c r="C5240" t="s">
        <v>26</v>
      </c>
      <c r="D5240" t="s">
        <v>16</v>
      </c>
      <c r="E5240" t="s">
        <v>17</v>
      </c>
      <c r="F5240" t="s">
        <v>21</v>
      </c>
      <c r="G5240" t="s">
        <v>41</v>
      </c>
      <c r="H5240" t="s">
        <v>25</v>
      </c>
      <c r="I5240" s="1">
        <v>2</v>
      </c>
      <c r="J5240" s="2">
        <v>46016</v>
      </c>
      <c r="K5240" s="2">
        <v>45992</v>
      </c>
      <c r="L5240" s="1" t="str">
        <f t="shared" si="603"/>
        <v>qui</v>
      </c>
      <c r="M5240" s="1" t="str">
        <f t="shared" si="604"/>
        <v>dez</v>
      </c>
      <c r="N5240">
        <f t="shared" si="605"/>
        <v>2025</v>
      </c>
      <c r="O5240" s="2"/>
      <c r="P5240" t="str">
        <f t="shared" si="599"/>
        <v>210646016</v>
      </c>
    </row>
    <row r="5241" spans="1:16" x14ac:dyDescent="0.3">
      <c r="A5241">
        <v>2106</v>
      </c>
      <c r="B5241">
        <v>42</v>
      </c>
      <c r="C5241" t="s">
        <v>26</v>
      </c>
      <c r="D5241" t="s">
        <v>16</v>
      </c>
      <c r="E5241" t="s">
        <v>17</v>
      </c>
      <c r="F5241" t="s">
        <v>21</v>
      </c>
      <c r="G5241" t="s">
        <v>41</v>
      </c>
      <c r="H5241" t="s">
        <v>25</v>
      </c>
      <c r="I5241" s="1">
        <v>2</v>
      </c>
      <c r="J5241" s="2">
        <v>46071</v>
      </c>
      <c r="K5241" s="2">
        <v>46054</v>
      </c>
      <c r="L5241" s="1" t="str">
        <f t="shared" si="603"/>
        <v>qua</v>
      </c>
      <c r="M5241" s="1" t="str">
        <f t="shared" si="604"/>
        <v>fev</v>
      </c>
      <c r="N5241">
        <f t="shared" si="605"/>
        <v>2026</v>
      </c>
      <c r="O5241" s="2"/>
      <c r="P5241" t="str">
        <f t="shared" si="599"/>
        <v>210646071</v>
      </c>
    </row>
    <row r="5242" spans="1:16" x14ac:dyDescent="0.3">
      <c r="A5242">
        <v>2108</v>
      </c>
      <c r="B5242">
        <v>35</v>
      </c>
      <c r="C5242" t="s">
        <v>15</v>
      </c>
      <c r="D5242" t="s">
        <v>16</v>
      </c>
      <c r="E5242" t="s">
        <v>17</v>
      </c>
      <c r="F5242" t="s">
        <v>23</v>
      </c>
      <c r="G5242" t="s">
        <v>41</v>
      </c>
      <c r="H5242" t="s">
        <v>25</v>
      </c>
      <c r="I5242" s="1">
        <v>3</v>
      </c>
      <c r="J5242" s="2">
        <v>45841</v>
      </c>
      <c r="K5242" s="2">
        <v>45839</v>
      </c>
      <c r="L5242" s="1" t="str">
        <f t="shared" si="603"/>
        <v>qui</v>
      </c>
      <c r="M5242" s="1" t="str">
        <f t="shared" si="604"/>
        <v>jul</v>
      </c>
      <c r="N5242">
        <f t="shared" si="605"/>
        <v>2025</v>
      </c>
      <c r="O5242" s="2"/>
      <c r="P5242" t="str">
        <f t="shared" si="599"/>
        <v>210845841</v>
      </c>
    </row>
    <row r="5243" spans="1:16" x14ac:dyDescent="0.3">
      <c r="A5243">
        <v>2108</v>
      </c>
      <c r="B5243">
        <v>35</v>
      </c>
      <c r="C5243" t="s">
        <v>15</v>
      </c>
      <c r="D5243" t="s">
        <v>16</v>
      </c>
      <c r="E5243" t="s">
        <v>17</v>
      </c>
      <c r="F5243" t="s">
        <v>23</v>
      </c>
      <c r="G5243" t="s">
        <v>41</v>
      </c>
      <c r="H5243" t="s">
        <v>25</v>
      </c>
      <c r="I5243" s="1">
        <v>3</v>
      </c>
      <c r="J5243" s="2">
        <v>45861</v>
      </c>
      <c r="K5243" s="2">
        <v>45839</v>
      </c>
      <c r="L5243" s="1" t="str">
        <f t="shared" si="603"/>
        <v>qua</v>
      </c>
      <c r="M5243" s="1" t="str">
        <f t="shared" si="604"/>
        <v>jul</v>
      </c>
      <c r="N5243">
        <f t="shared" si="605"/>
        <v>2025</v>
      </c>
      <c r="O5243" s="2"/>
      <c r="P5243" t="str">
        <f t="shared" si="599"/>
        <v>210845861</v>
      </c>
    </row>
    <row r="5244" spans="1:16" x14ac:dyDescent="0.3">
      <c r="A5244">
        <v>2108</v>
      </c>
      <c r="B5244">
        <v>35</v>
      </c>
      <c r="C5244" t="s">
        <v>15</v>
      </c>
      <c r="D5244" t="s">
        <v>16</v>
      </c>
      <c r="E5244" t="s">
        <v>17</v>
      </c>
      <c r="F5244" t="s">
        <v>23</v>
      </c>
      <c r="G5244" t="s">
        <v>41</v>
      </c>
      <c r="H5244" t="s">
        <v>25</v>
      </c>
      <c r="I5244" s="1">
        <v>3</v>
      </c>
      <c r="J5244" s="2">
        <v>45888</v>
      </c>
      <c r="K5244" s="2">
        <v>45870</v>
      </c>
      <c r="L5244" s="1" t="str">
        <f t="shared" si="603"/>
        <v>ter</v>
      </c>
      <c r="M5244" s="1" t="str">
        <f t="shared" si="604"/>
        <v>ago</v>
      </c>
      <c r="N5244">
        <f t="shared" si="605"/>
        <v>2025</v>
      </c>
      <c r="O5244" s="2"/>
      <c r="P5244" t="str">
        <f t="shared" ref="P5244:P5307" si="606">CONCATENATE(A5244,J5244)</f>
        <v>210845888</v>
      </c>
    </row>
    <row r="5245" spans="1:16" x14ac:dyDescent="0.3">
      <c r="A5245">
        <v>2108</v>
      </c>
      <c r="B5245">
        <v>35</v>
      </c>
      <c r="C5245" t="s">
        <v>15</v>
      </c>
      <c r="D5245" t="s">
        <v>16</v>
      </c>
      <c r="E5245" t="s">
        <v>17</v>
      </c>
      <c r="F5245" t="s">
        <v>23</v>
      </c>
      <c r="G5245" t="s">
        <v>41</v>
      </c>
      <c r="H5245" t="s">
        <v>25</v>
      </c>
      <c r="I5245" s="1">
        <v>3</v>
      </c>
      <c r="J5245" s="2">
        <v>45916</v>
      </c>
      <c r="K5245" s="2">
        <v>45901</v>
      </c>
      <c r="L5245" s="1" t="str">
        <f t="shared" si="603"/>
        <v>ter</v>
      </c>
      <c r="M5245" s="1" t="str">
        <f t="shared" si="604"/>
        <v>set</v>
      </c>
      <c r="N5245">
        <f t="shared" si="605"/>
        <v>2025</v>
      </c>
      <c r="O5245" s="2"/>
      <c r="P5245" t="str">
        <f t="shared" si="606"/>
        <v>210845916</v>
      </c>
    </row>
    <row r="5246" spans="1:16" x14ac:dyDescent="0.3">
      <c r="A5246">
        <v>2108</v>
      </c>
      <c r="B5246">
        <v>35</v>
      </c>
      <c r="C5246" t="s">
        <v>15</v>
      </c>
      <c r="D5246" t="s">
        <v>16</v>
      </c>
      <c r="E5246" t="s">
        <v>17</v>
      </c>
      <c r="F5246" t="s">
        <v>23</v>
      </c>
      <c r="G5246" t="s">
        <v>41</v>
      </c>
      <c r="H5246" t="s">
        <v>25</v>
      </c>
      <c r="I5246" s="1">
        <v>3</v>
      </c>
      <c r="J5246" s="2">
        <v>45926</v>
      </c>
      <c r="K5246" s="2">
        <v>45901</v>
      </c>
      <c r="L5246" s="1" t="str">
        <f t="shared" si="603"/>
        <v>sex</v>
      </c>
      <c r="M5246" s="1" t="str">
        <f t="shared" si="604"/>
        <v>set</v>
      </c>
      <c r="N5246">
        <f t="shared" si="605"/>
        <v>2025</v>
      </c>
      <c r="O5246" s="2"/>
      <c r="P5246" t="str">
        <f t="shared" si="606"/>
        <v>210845926</v>
      </c>
    </row>
    <row r="5247" spans="1:16" x14ac:dyDescent="0.3">
      <c r="A5247">
        <v>2109</v>
      </c>
      <c r="B5247">
        <v>23</v>
      </c>
      <c r="C5247" t="s">
        <v>26</v>
      </c>
      <c r="D5247" t="s">
        <v>22</v>
      </c>
      <c r="E5247" t="s">
        <v>17</v>
      </c>
      <c r="F5247" t="s">
        <v>23</v>
      </c>
      <c r="G5247" t="s">
        <v>41</v>
      </c>
      <c r="H5247" t="s">
        <v>25</v>
      </c>
      <c r="I5247" s="1">
        <v>1</v>
      </c>
      <c r="J5247" s="2">
        <v>45818</v>
      </c>
      <c r="K5247" s="2">
        <v>45809</v>
      </c>
      <c r="L5247" s="1" t="str">
        <f t="shared" ref="L5247:L5271" si="607">TEXT(J5247,"ddd")</f>
        <v>ter</v>
      </c>
      <c r="M5247" s="1" t="str">
        <f t="shared" ref="M5247:M5271" si="608">TEXT($J5247,"mmm")</f>
        <v>jun</v>
      </c>
      <c r="N5247">
        <f t="shared" ref="N5247:N5271" si="609">YEAR(J5247)</f>
        <v>2025</v>
      </c>
      <c r="O5247" s="2"/>
      <c r="P5247" t="str">
        <f t="shared" si="606"/>
        <v>210945818</v>
      </c>
    </row>
    <row r="5248" spans="1:16" x14ac:dyDescent="0.3">
      <c r="A5248">
        <v>2109</v>
      </c>
      <c r="B5248">
        <v>23</v>
      </c>
      <c r="C5248" t="s">
        <v>26</v>
      </c>
      <c r="D5248" t="s">
        <v>22</v>
      </c>
      <c r="E5248" t="s">
        <v>17</v>
      </c>
      <c r="F5248" t="s">
        <v>23</v>
      </c>
      <c r="G5248" t="s">
        <v>41</v>
      </c>
      <c r="H5248" t="s">
        <v>25</v>
      </c>
      <c r="I5248" s="1">
        <v>1</v>
      </c>
      <c r="J5248" s="2">
        <v>46183</v>
      </c>
      <c r="K5248" s="2">
        <v>46023</v>
      </c>
      <c r="L5248" s="1" t="str">
        <f t="shared" si="607"/>
        <v>qua</v>
      </c>
      <c r="M5248" s="1" t="str">
        <f t="shared" si="608"/>
        <v>jun</v>
      </c>
      <c r="N5248">
        <f t="shared" si="609"/>
        <v>2026</v>
      </c>
      <c r="O5248" s="2"/>
      <c r="P5248" t="str">
        <f t="shared" si="606"/>
        <v>210946183</v>
      </c>
    </row>
    <row r="5249" spans="1:16" x14ac:dyDescent="0.3">
      <c r="A5249">
        <v>2109</v>
      </c>
      <c r="B5249">
        <v>23</v>
      </c>
      <c r="C5249" t="s">
        <v>26</v>
      </c>
      <c r="D5249" t="s">
        <v>22</v>
      </c>
      <c r="E5249" t="s">
        <v>17</v>
      </c>
      <c r="F5249" t="s">
        <v>23</v>
      </c>
      <c r="G5249" t="s">
        <v>41</v>
      </c>
      <c r="H5249" t="s">
        <v>25</v>
      </c>
      <c r="I5249" s="1">
        <v>1</v>
      </c>
      <c r="J5249" s="2">
        <v>46068</v>
      </c>
      <c r="K5249" s="2">
        <v>46054</v>
      </c>
      <c r="L5249" s="1" t="str">
        <f t="shared" si="607"/>
        <v>dom</v>
      </c>
      <c r="M5249" s="1" t="str">
        <f t="shared" si="608"/>
        <v>fev</v>
      </c>
      <c r="N5249">
        <f t="shared" si="609"/>
        <v>2026</v>
      </c>
      <c r="O5249" s="2"/>
      <c r="P5249" t="str">
        <f t="shared" si="606"/>
        <v>210946068</v>
      </c>
    </row>
    <row r="5250" spans="1:16" x14ac:dyDescent="0.3">
      <c r="A5250">
        <v>2109</v>
      </c>
      <c r="B5250">
        <v>23</v>
      </c>
      <c r="C5250" t="s">
        <v>26</v>
      </c>
      <c r="D5250" t="s">
        <v>22</v>
      </c>
      <c r="E5250" t="s">
        <v>17</v>
      </c>
      <c r="F5250" t="s">
        <v>23</v>
      </c>
      <c r="G5250" t="s">
        <v>41</v>
      </c>
      <c r="H5250" t="s">
        <v>25</v>
      </c>
      <c r="I5250" s="1">
        <v>1</v>
      </c>
      <c r="J5250" s="2">
        <v>46108</v>
      </c>
      <c r="K5250" s="2">
        <v>46082</v>
      </c>
      <c r="L5250" s="1" t="str">
        <f t="shared" si="607"/>
        <v>sex</v>
      </c>
      <c r="M5250" s="1" t="str">
        <f t="shared" si="608"/>
        <v>mar</v>
      </c>
      <c r="N5250">
        <f t="shared" si="609"/>
        <v>2026</v>
      </c>
      <c r="O5250" s="2"/>
      <c r="P5250" t="str">
        <f t="shared" si="606"/>
        <v>210946108</v>
      </c>
    </row>
    <row r="5251" spans="1:16" x14ac:dyDescent="0.3">
      <c r="A5251">
        <v>2109</v>
      </c>
      <c r="B5251">
        <v>23</v>
      </c>
      <c r="C5251" t="s">
        <v>26</v>
      </c>
      <c r="D5251" t="s">
        <v>22</v>
      </c>
      <c r="E5251" t="s">
        <v>17</v>
      </c>
      <c r="F5251" t="s">
        <v>23</v>
      </c>
      <c r="G5251" t="s">
        <v>41</v>
      </c>
      <c r="H5251" t="s">
        <v>25</v>
      </c>
      <c r="I5251" s="1">
        <v>1</v>
      </c>
      <c r="J5251" s="2">
        <v>46176</v>
      </c>
      <c r="K5251" s="2">
        <v>46174</v>
      </c>
      <c r="L5251" s="1" t="str">
        <f t="shared" si="607"/>
        <v>qua</v>
      </c>
      <c r="M5251" s="1" t="str">
        <f t="shared" si="608"/>
        <v>jun</v>
      </c>
      <c r="N5251">
        <f t="shared" si="609"/>
        <v>2026</v>
      </c>
      <c r="O5251" s="2"/>
      <c r="P5251" t="str">
        <f t="shared" si="606"/>
        <v>210946176</v>
      </c>
    </row>
    <row r="5252" spans="1:16" x14ac:dyDescent="0.3">
      <c r="A5252">
        <v>2110</v>
      </c>
      <c r="B5252">
        <v>28</v>
      </c>
      <c r="C5252" t="s">
        <v>15</v>
      </c>
      <c r="D5252" t="s">
        <v>16</v>
      </c>
      <c r="E5252" t="s">
        <v>17</v>
      </c>
      <c r="F5252" t="s">
        <v>18</v>
      </c>
      <c r="G5252" t="s">
        <v>41</v>
      </c>
      <c r="H5252" t="s">
        <v>25</v>
      </c>
      <c r="I5252" s="1">
        <v>1</v>
      </c>
      <c r="J5252" s="2">
        <v>45846</v>
      </c>
      <c r="K5252" s="2">
        <v>45839</v>
      </c>
      <c r="L5252" s="1" t="str">
        <f t="shared" si="607"/>
        <v>ter</v>
      </c>
      <c r="M5252" s="1" t="str">
        <f t="shared" si="608"/>
        <v>jul</v>
      </c>
      <c r="N5252">
        <f t="shared" si="609"/>
        <v>2025</v>
      </c>
      <c r="O5252" s="2"/>
      <c r="P5252" t="str">
        <f t="shared" si="606"/>
        <v>211045846</v>
      </c>
    </row>
    <row r="5253" spans="1:16" x14ac:dyDescent="0.3">
      <c r="A5253">
        <v>2110</v>
      </c>
      <c r="B5253">
        <v>28</v>
      </c>
      <c r="C5253" t="s">
        <v>15</v>
      </c>
      <c r="D5253" t="s">
        <v>16</v>
      </c>
      <c r="E5253" t="s">
        <v>17</v>
      </c>
      <c r="F5253" t="s">
        <v>18</v>
      </c>
      <c r="G5253" t="s">
        <v>41</v>
      </c>
      <c r="H5253" t="s">
        <v>25</v>
      </c>
      <c r="I5253" s="1">
        <v>1</v>
      </c>
      <c r="J5253" s="2">
        <v>45890</v>
      </c>
      <c r="K5253" s="2">
        <v>45870</v>
      </c>
      <c r="L5253" s="1" t="str">
        <f t="shared" si="607"/>
        <v>qui</v>
      </c>
      <c r="M5253" s="1" t="str">
        <f t="shared" si="608"/>
        <v>ago</v>
      </c>
      <c r="N5253">
        <f t="shared" si="609"/>
        <v>2025</v>
      </c>
      <c r="O5253" s="2"/>
      <c r="P5253" t="str">
        <f t="shared" si="606"/>
        <v>211045890</v>
      </c>
    </row>
    <row r="5254" spans="1:16" x14ac:dyDescent="0.3">
      <c r="A5254">
        <v>2110</v>
      </c>
      <c r="B5254">
        <v>28</v>
      </c>
      <c r="C5254" t="s">
        <v>15</v>
      </c>
      <c r="D5254" t="s">
        <v>16</v>
      </c>
      <c r="E5254" t="s">
        <v>17</v>
      </c>
      <c r="F5254" t="s">
        <v>18</v>
      </c>
      <c r="G5254" t="s">
        <v>41</v>
      </c>
      <c r="H5254" t="s">
        <v>25</v>
      </c>
      <c r="I5254" s="1">
        <v>1</v>
      </c>
      <c r="J5254" s="2">
        <v>45905</v>
      </c>
      <c r="K5254" s="2">
        <v>45901</v>
      </c>
      <c r="L5254" s="1" t="str">
        <f t="shared" si="607"/>
        <v>sex</v>
      </c>
      <c r="M5254" s="1" t="str">
        <f t="shared" si="608"/>
        <v>set</v>
      </c>
      <c r="N5254">
        <f t="shared" si="609"/>
        <v>2025</v>
      </c>
      <c r="O5254" s="2"/>
      <c r="P5254" t="str">
        <f t="shared" si="606"/>
        <v>211045905</v>
      </c>
    </row>
    <row r="5255" spans="1:16" x14ac:dyDescent="0.3">
      <c r="A5255">
        <v>2110</v>
      </c>
      <c r="B5255">
        <v>28</v>
      </c>
      <c r="C5255" t="s">
        <v>15</v>
      </c>
      <c r="D5255" t="s">
        <v>16</v>
      </c>
      <c r="E5255" t="s">
        <v>17</v>
      </c>
      <c r="F5255" t="s">
        <v>18</v>
      </c>
      <c r="G5255" t="s">
        <v>41</v>
      </c>
      <c r="H5255" t="s">
        <v>25</v>
      </c>
      <c r="I5255" s="1">
        <v>1</v>
      </c>
      <c r="J5255" s="2">
        <v>46009</v>
      </c>
      <c r="K5255" s="2">
        <v>45992</v>
      </c>
      <c r="L5255" s="1" t="str">
        <f t="shared" si="607"/>
        <v>qui</v>
      </c>
      <c r="M5255" s="1" t="str">
        <f t="shared" si="608"/>
        <v>dez</v>
      </c>
      <c r="N5255">
        <f t="shared" si="609"/>
        <v>2025</v>
      </c>
      <c r="O5255" s="2"/>
      <c r="P5255" t="str">
        <f t="shared" si="606"/>
        <v>211046009</v>
      </c>
    </row>
    <row r="5256" spans="1:16" x14ac:dyDescent="0.3">
      <c r="A5256">
        <v>2110</v>
      </c>
      <c r="B5256">
        <v>28</v>
      </c>
      <c r="C5256" t="s">
        <v>15</v>
      </c>
      <c r="D5256" t="s">
        <v>16</v>
      </c>
      <c r="E5256" t="s">
        <v>17</v>
      </c>
      <c r="F5256" t="s">
        <v>18</v>
      </c>
      <c r="G5256" t="s">
        <v>41</v>
      </c>
      <c r="H5256" t="s">
        <v>25</v>
      </c>
      <c r="I5256" s="1">
        <v>1</v>
      </c>
      <c r="J5256" s="2">
        <v>46197</v>
      </c>
      <c r="K5256" s="2">
        <v>46023</v>
      </c>
      <c r="L5256" s="1" t="str">
        <f t="shared" si="607"/>
        <v>qua</v>
      </c>
      <c r="M5256" s="1" t="str">
        <f t="shared" si="608"/>
        <v>jun</v>
      </c>
      <c r="N5256">
        <f t="shared" si="609"/>
        <v>2026</v>
      </c>
      <c r="O5256" s="2"/>
      <c r="P5256" t="str">
        <f t="shared" si="606"/>
        <v>211046197</v>
      </c>
    </row>
    <row r="5257" spans="1:16" x14ac:dyDescent="0.3">
      <c r="A5257">
        <v>2110</v>
      </c>
      <c r="B5257">
        <v>28</v>
      </c>
      <c r="C5257" t="s">
        <v>15</v>
      </c>
      <c r="D5257" t="s">
        <v>16</v>
      </c>
      <c r="E5257" t="s">
        <v>17</v>
      </c>
      <c r="F5257" t="s">
        <v>18</v>
      </c>
      <c r="G5257" t="s">
        <v>41</v>
      </c>
      <c r="H5257" t="s">
        <v>25</v>
      </c>
      <c r="I5257" s="1">
        <v>1</v>
      </c>
      <c r="J5257" s="2">
        <v>46080</v>
      </c>
      <c r="K5257" s="2">
        <v>46054</v>
      </c>
      <c r="L5257" s="1" t="str">
        <f t="shared" si="607"/>
        <v>sex</v>
      </c>
      <c r="M5257" s="1" t="str">
        <f t="shared" si="608"/>
        <v>fev</v>
      </c>
      <c r="N5257">
        <f t="shared" si="609"/>
        <v>2026</v>
      </c>
      <c r="O5257" s="2"/>
      <c r="P5257" t="str">
        <f t="shared" si="606"/>
        <v>211046080</v>
      </c>
    </row>
    <row r="5258" spans="1:16" x14ac:dyDescent="0.3">
      <c r="A5258">
        <v>2111</v>
      </c>
      <c r="B5258">
        <v>41</v>
      </c>
      <c r="C5258" t="s">
        <v>26</v>
      </c>
      <c r="D5258" t="s">
        <v>31</v>
      </c>
      <c r="E5258" t="s">
        <v>34</v>
      </c>
      <c r="F5258" t="s">
        <v>21</v>
      </c>
      <c r="G5258" t="s">
        <v>41</v>
      </c>
      <c r="H5258" t="s">
        <v>25</v>
      </c>
      <c r="I5258" s="1">
        <v>1</v>
      </c>
      <c r="J5258" s="2">
        <v>45829</v>
      </c>
      <c r="K5258" s="2">
        <v>45809</v>
      </c>
      <c r="L5258" s="1" t="str">
        <f t="shared" si="607"/>
        <v>sáb</v>
      </c>
      <c r="M5258" s="1" t="str">
        <f t="shared" si="608"/>
        <v>jun</v>
      </c>
      <c r="N5258">
        <f t="shared" si="609"/>
        <v>2025</v>
      </c>
      <c r="O5258" s="2"/>
      <c r="P5258" t="str">
        <f t="shared" si="606"/>
        <v>211145829</v>
      </c>
    </row>
    <row r="5259" spans="1:16" x14ac:dyDescent="0.3">
      <c r="A5259">
        <v>2111</v>
      </c>
      <c r="B5259">
        <v>41</v>
      </c>
      <c r="C5259" t="s">
        <v>26</v>
      </c>
      <c r="D5259" t="s">
        <v>31</v>
      </c>
      <c r="E5259" t="s">
        <v>34</v>
      </c>
      <c r="F5259" t="s">
        <v>21</v>
      </c>
      <c r="G5259" t="s">
        <v>41</v>
      </c>
      <c r="H5259" t="s">
        <v>25</v>
      </c>
      <c r="I5259" s="1">
        <v>1</v>
      </c>
      <c r="J5259" s="2">
        <v>45841</v>
      </c>
      <c r="K5259" s="2">
        <v>45839</v>
      </c>
      <c r="L5259" s="1" t="str">
        <f t="shared" si="607"/>
        <v>qui</v>
      </c>
      <c r="M5259" s="1" t="str">
        <f t="shared" si="608"/>
        <v>jul</v>
      </c>
      <c r="N5259">
        <f t="shared" si="609"/>
        <v>2025</v>
      </c>
      <c r="O5259" s="2"/>
      <c r="P5259" t="str">
        <f t="shared" si="606"/>
        <v>211145841</v>
      </c>
    </row>
    <row r="5260" spans="1:16" x14ac:dyDescent="0.3">
      <c r="A5260">
        <v>2111</v>
      </c>
      <c r="B5260">
        <v>41</v>
      </c>
      <c r="C5260" t="s">
        <v>26</v>
      </c>
      <c r="D5260" t="s">
        <v>31</v>
      </c>
      <c r="E5260" t="s">
        <v>34</v>
      </c>
      <c r="F5260" t="s">
        <v>21</v>
      </c>
      <c r="G5260" t="s">
        <v>41</v>
      </c>
      <c r="H5260" t="s">
        <v>25</v>
      </c>
      <c r="I5260" s="1">
        <v>1</v>
      </c>
      <c r="J5260" s="2">
        <v>45843</v>
      </c>
      <c r="K5260" s="2">
        <v>45839</v>
      </c>
      <c r="L5260" s="1" t="str">
        <f t="shared" si="607"/>
        <v>sáb</v>
      </c>
      <c r="M5260" s="1" t="str">
        <f t="shared" si="608"/>
        <v>jul</v>
      </c>
      <c r="N5260">
        <f t="shared" si="609"/>
        <v>2025</v>
      </c>
      <c r="O5260" s="2"/>
      <c r="P5260" t="str">
        <f t="shared" si="606"/>
        <v>211145843</v>
      </c>
    </row>
    <row r="5261" spans="1:16" x14ac:dyDescent="0.3">
      <c r="A5261">
        <v>2111</v>
      </c>
      <c r="B5261">
        <v>41</v>
      </c>
      <c r="C5261" t="s">
        <v>26</v>
      </c>
      <c r="D5261" t="s">
        <v>31</v>
      </c>
      <c r="E5261" t="s">
        <v>34</v>
      </c>
      <c r="F5261" t="s">
        <v>21</v>
      </c>
      <c r="G5261" t="s">
        <v>41</v>
      </c>
      <c r="H5261" t="s">
        <v>25</v>
      </c>
      <c r="I5261" s="1">
        <v>1</v>
      </c>
      <c r="J5261" s="2">
        <v>45872</v>
      </c>
      <c r="K5261" s="2">
        <v>45870</v>
      </c>
      <c r="L5261" s="1" t="str">
        <f t="shared" si="607"/>
        <v>dom</v>
      </c>
      <c r="M5261" s="1" t="str">
        <f t="shared" si="608"/>
        <v>ago</v>
      </c>
      <c r="N5261">
        <f t="shared" si="609"/>
        <v>2025</v>
      </c>
      <c r="O5261" s="2"/>
      <c r="P5261" t="str">
        <f t="shared" si="606"/>
        <v>211145872</v>
      </c>
    </row>
    <row r="5262" spans="1:16" x14ac:dyDescent="0.3">
      <c r="A5262">
        <v>2111</v>
      </c>
      <c r="B5262">
        <v>41</v>
      </c>
      <c r="C5262" t="s">
        <v>26</v>
      </c>
      <c r="D5262" t="s">
        <v>31</v>
      </c>
      <c r="E5262" t="s">
        <v>34</v>
      </c>
      <c r="F5262" t="s">
        <v>21</v>
      </c>
      <c r="G5262" t="s">
        <v>41</v>
      </c>
      <c r="H5262" t="s">
        <v>25</v>
      </c>
      <c r="I5262" s="1">
        <v>1</v>
      </c>
      <c r="J5262" s="2">
        <v>46009</v>
      </c>
      <c r="K5262" s="2">
        <v>45992</v>
      </c>
      <c r="L5262" s="1" t="str">
        <f t="shared" si="607"/>
        <v>qui</v>
      </c>
      <c r="M5262" s="1" t="str">
        <f t="shared" si="608"/>
        <v>dez</v>
      </c>
      <c r="N5262">
        <f t="shared" si="609"/>
        <v>2025</v>
      </c>
      <c r="O5262" s="2"/>
      <c r="P5262" t="str">
        <f t="shared" si="606"/>
        <v>211146009</v>
      </c>
    </row>
    <row r="5263" spans="1:16" x14ac:dyDescent="0.3">
      <c r="A5263">
        <v>2113</v>
      </c>
      <c r="B5263">
        <v>43</v>
      </c>
      <c r="C5263" t="s">
        <v>26</v>
      </c>
      <c r="D5263" t="s">
        <v>16</v>
      </c>
      <c r="E5263" t="s">
        <v>17</v>
      </c>
      <c r="F5263" t="s">
        <v>21</v>
      </c>
      <c r="G5263" t="s">
        <v>41</v>
      </c>
      <c r="H5263" t="s">
        <v>25</v>
      </c>
      <c r="I5263" s="1">
        <v>3</v>
      </c>
      <c r="J5263" s="2">
        <v>45854</v>
      </c>
      <c r="K5263" s="2">
        <v>45839</v>
      </c>
      <c r="L5263" s="1" t="str">
        <f t="shared" si="607"/>
        <v>qua</v>
      </c>
      <c r="M5263" s="1" t="str">
        <f t="shared" si="608"/>
        <v>jul</v>
      </c>
      <c r="N5263">
        <f t="shared" si="609"/>
        <v>2025</v>
      </c>
      <c r="O5263" s="2"/>
      <c r="P5263" t="str">
        <f t="shared" si="606"/>
        <v>211345854</v>
      </c>
    </row>
    <row r="5264" spans="1:16" x14ac:dyDescent="0.3">
      <c r="A5264">
        <v>2113</v>
      </c>
      <c r="B5264">
        <v>43</v>
      </c>
      <c r="C5264" t="s">
        <v>26</v>
      </c>
      <c r="D5264" t="s">
        <v>16</v>
      </c>
      <c r="E5264" t="s">
        <v>17</v>
      </c>
      <c r="F5264" t="s">
        <v>21</v>
      </c>
      <c r="G5264" t="s">
        <v>41</v>
      </c>
      <c r="H5264" t="s">
        <v>25</v>
      </c>
      <c r="I5264" s="1">
        <v>3</v>
      </c>
      <c r="J5264" s="2">
        <v>45875</v>
      </c>
      <c r="K5264" s="2">
        <v>45870</v>
      </c>
      <c r="L5264" s="1" t="str">
        <f t="shared" si="607"/>
        <v>qua</v>
      </c>
      <c r="M5264" s="1" t="str">
        <f t="shared" si="608"/>
        <v>ago</v>
      </c>
      <c r="N5264">
        <f t="shared" si="609"/>
        <v>2025</v>
      </c>
      <c r="O5264" s="2"/>
      <c r="P5264" t="str">
        <f t="shared" si="606"/>
        <v>211345875</v>
      </c>
    </row>
    <row r="5265" spans="1:16" x14ac:dyDescent="0.3">
      <c r="A5265">
        <v>2113</v>
      </c>
      <c r="B5265">
        <v>43</v>
      </c>
      <c r="C5265" t="s">
        <v>26</v>
      </c>
      <c r="D5265" t="s">
        <v>16</v>
      </c>
      <c r="E5265" t="s">
        <v>17</v>
      </c>
      <c r="F5265" t="s">
        <v>21</v>
      </c>
      <c r="G5265" t="s">
        <v>41</v>
      </c>
      <c r="H5265" t="s">
        <v>25</v>
      </c>
      <c r="I5265" s="1">
        <v>3</v>
      </c>
      <c r="J5265" s="2">
        <v>46070</v>
      </c>
      <c r="K5265" s="2">
        <v>46054</v>
      </c>
      <c r="L5265" s="1" t="str">
        <f t="shared" si="607"/>
        <v>ter</v>
      </c>
      <c r="M5265" s="1" t="str">
        <f t="shared" si="608"/>
        <v>fev</v>
      </c>
      <c r="N5265">
        <f t="shared" si="609"/>
        <v>2026</v>
      </c>
      <c r="O5265" s="2"/>
      <c r="P5265" t="str">
        <f t="shared" si="606"/>
        <v>211346070</v>
      </c>
    </row>
    <row r="5266" spans="1:16" x14ac:dyDescent="0.3">
      <c r="A5266">
        <v>2113</v>
      </c>
      <c r="B5266">
        <v>43</v>
      </c>
      <c r="C5266" t="s">
        <v>26</v>
      </c>
      <c r="D5266" t="s">
        <v>16</v>
      </c>
      <c r="E5266" t="s">
        <v>17</v>
      </c>
      <c r="F5266" t="s">
        <v>21</v>
      </c>
      <c r="G5266" t="s">
        <v>41</v>
      </c>
      <c r="H5266" t="s">
        <v>25</v>
      </c>
      <c r="I5266" s="1">
        <v>3</v>
      </c>
      <c r="J5266" s="2">
        <v>46097</v>
      </c>
      <c r="K5266" s="2">
        <v>46082</v>
      </c>
      <c r="L5266" s="1" t="str">
        <f t="shared" si="607"/>
        <v>seg</v>
      </c>
      <c r="M5266" s="1" t="str">
        <f t="shared" si="608"/>
        <v>mar</v>
      </c>
      <c r="N5266">
        <f t="shared" si="609"/>
        <v>2026</v>
      </c>
      <c r="O5266" s="2"/>
      <c r="P5266" t="str">
        <f t="shared" si="606"/>
        <v>211346097</v>
      </c>
    </row>
    <row r="5267" spans="1:16" x14ac:dyDescent="0.3">
      <c r="A5267">
        <v>2114</v>
      </c>
      <c r="B5267">
        <v>54</v>
      </c>
      <c r="C5267" t="s">
        <v>15</v>
      </c>
      <c r="D5267" t="s">
        <v>29</v>
      </c>
      <c r="E5267" t="s">
        <v>17</v>
      </c>
      <c r="F5267" t="s">
        <v>21</v>
      </c>
      <c r="G5267" t="s">
        <v>41</v>
      </c>
      <c r="H5267" t="s">
        <v>25</v>
      </c>
      <c r="I5267" s="1">
        <v>1</v>
      </c>
      <c r="J5267" s="2">
        <v>45776</v>
      </c>
      <c r="K5267" s="2">
        <v>45748</v>
      </c>
      <c r="L5267" s="1" t="str">
        <f t="shared" si="607"/>
        <v>ter</v>
      </c>
      <c r="M5267" s="1" t="str">
        <f t="shared" si="608"/>
        <v>abr</v>
      </c>
      <c r="N5267">
        <f t="shared" si="609"/>
        <v>2025</v>
      </c>
      <c r="O5267" s="2"/>
      <c r="P5267" t="str">
        <f t="shared" si="606"/>
        <v>211445776</v>
      </c>
    </row>
    <row r="5268" spans="1:16" x14ac:dyDescent="0.3">
      <c r="A5268">
        <v>2114</v>
      </c>
      <c r="B5268">
        <v>54</v>
      </c>
      <c r="C5268" t="s">
        <v>15</v>
      </c>
      <c r="D5268" t="s">
        <v>29</v>
      </c>
      <c r="E5268" t="s">
        <v>17</v>
      </c>
      <c r="F5268" t="s">
        <v>21</v>
      </c>
      <c r="G5268" t="s">
        <v>41</v>
      </c>
      <c r="H5268" t="s">
        <v>25</v>
      </c>
      <c r="I5268" s="1">
        <v>1</v>
      </c>
      <c r="J5268" s="2">
        <v>45830</v>
      </c>
      <c r="K5268" s="2">
        <v>45809</v>
      </c>
      <c r="L5268" s="1" t="str">
        <f t="shared" si="607"/>
        <v>dom</v>
      </c>
      <c r="M5268" s="1" t="str">
        <f t="shared" si="608"/>
        <v>jun</v>
      </c>
      <c r="N5268">
        <f t="shared" si="609"/>
        <v>2025</v>
      </c>
      <c r="O5268" s="2"/>
      <c r="P5268" t="str">
        <f t="shared" si="606"/>
        <v>211445830</v>
      </c>
    </row>
    <row r="5269" spans="1:16" x14ac:dyDescent="0.3">
      <c r="A5269">
        <v>2114</v>
      </c>
      <c r="B5269">
        <v>54</v>
      </c>
      <c r="C5269" t="s">
        <v>15</v>
      </c>
      <c r="D5269" t="s">
        <v>29</v>
      </c>
      <c r="E5269" t="s">
        <v>17</v>
      </c>
      <c r="F5269" t="s">
        <v>21</v>
      </c>
      <c r="G5269" t="s">
        <v>41</v>
      </c>
      <c r="H5269" t="s">
        <v>25</v>
      </c>
      <c r="I5269" s="1">
        <v>1</v>
      </c>
      <c r="J5269" s="2">
        <v>45954</v>
      </c>
      <c r="K5269" s="2">
        <v>45931</v>
      </c>
      <c r="L5269" s="1" t="str">
        <f t="shared" si="607"/>
        <v>sex</v>
      </c>
      <c r="M5269" s="1" t="str">
        <f t="shared" si="608"/>
        <v>out</v>
      </c>
      <c r="N5269">
        <f t="shared" si="609"/>
        <v>2025</v>
      </c>
      <c r="O5269" s="2"/>
      <c r="P5269" t="str">
        <f t="shared" si="606"/>
        <v>211445954</v>
      </c>
    </row>
    <row r="5270" spans="1:16" x14ac:dyDescent="0.3">
      <c r="A5270">
        <v>2114</v>
      </c>
      <c r="B5270">
        <v>54</v>
      </c>
      <c r="C5270" t="s">
        <v>15</v>
      </c>
      <c r="D5270" t="s">
        <v>29</v>
      </c>
      <c r="E5270" t="s">
        <v>17</v>
      </c>
      <c r="F5270" t="s">
        <v>21</v>
      </c>
      <c r="G5270" t="s">
        <v>41</v>
      </c>
      <c r="H5270" t="s">
        <v>25</v>
      </c>
      <c r="I5270" s="1">
        <v>1</v>
      </c>
      <c r="J5270" s="2">
        <v>45957</v>
      </c>
      <c r="K5270" s="2">
        <v>45931</v>
      </c>
      <c r="L5270" s="1" t="str">
        <f t="shared" si="607"/>
        <v>seg</v>
      </c>
      <c r="M5270" s="1" t="str">
        <f t="shared" si="608"/>
        <v>out</v>
      </c>
      <c r="N5270">
        <f t="shared" si="609"/>
        <v>2025</v>
      </c>
      <c r="O5270" s="2"/>
      <c r="P5270" t="str">
        <f t="shared" si="606"/>
        <v>211445957</v>
      </c>
    </row>
    <row r="5271" spans="1:16" x14ac:dyDescent="0.3">
      <c r="A5271">
        <v>2114</v>
      </c>
      <c r="B5271">
        <v>54</v>
      </c>
      <c r="C5271" t="s">
        <v>15</v>
      </c>
      <c r="D5271" t="s">
        <v>29</v>
      </c>
      <c r="E5271" t="s">
        <v>17</v>
      </c>
      <c r="F5271" t="s">
        <v>21</v>
      </c>
      <c r="G5271" t="s">
        <v>41</v>
      </c>
      <c r="H5271" t="s">
        <v>25</v>
      </c>
      <c r="I5271" s="1">
        <v>1</v>
      </c>
      <c r="J5271" s="2">
        <v>46022</v>
      </c>
      <c r="K5271" s="2">
        <v>45992</v>
      </c>
      <c r="L5271" s="1" t="str">
        <f t="shared" si="607"/>
        <v>qua</v>
      </c>
      <c r="M5271" s="1" t="str">
        <f t="shared" si="608"/>
        <v>dez</v>
      </c>
      <c r="N5271">
        <f t="shared" si="609"/>
        <v>2025</v>
      </c>
      <c r="O5271" s="2"/>
      <c r="P5271" t="str">
        <f t="shared" si="606"/>
        <v>211446022</v>
      </c>
    </row>
    <row r="5272" spans="1:16" x14ac:dyDescent="0.3">
      <c r="A5272">
        <v>2114</v>
      </c>
      <c r="B5272">
        <v>54</v>
      </c>
      <c r="C5272" t="s">
        <v>15</v>
      </c>
      <c r="D5272" t="s">
        <v>29</v>
      </c>
      <c r="E5272" t="s">
        <v>17</v>
      </c>
      <c r="F5272" t="s">
        <v>21</v>
      </c>
      <c r="G5272" t="s">
        <v>41</v>
      </c>
      <c r="H5272" t="s">
        <v>25</v>
      </c>
      <c r="I5272" s="1">
        <v>1</v>
      </c>
      <c r="J5272" s="2">
        <v>46141</v>
      </c>
      <c r="K5272" s="2">
        <v>46113</v>
      </c>
      <c r="L5272" s="1" t="s">
        <v>50</v>
      </c>
      <c r="M5272" s="1" t="s">
        <v>48</v>
      </c>
      <c r="N5272">
        <v>2025</v>
      </c>
      <c r="O5272" s="2"/>
      <c r="P5272" t="str">
        <f t="shared" si="606"/>
        <v>211446141</v>
      </c>
    </row>
    <row r="5273" spans="1:16" x14ac:dyDescent="0.3">
      <c r="A5273">
        <v>2115</v>
      </c>
      <c r="B5273">
        <v>22</v>
      </c>
      <c r="C5273" t="s">
        <v>26</v>
      </c>
      <c r="D5273" t="s">
        <v>27</v>
      </c>
      <c r="E5273" t="s">
        <v>17</v>
      </c>
      <c r="F5273" t="s">
        <v>23</v>
      </c>
      <c r="G5273" t="s">
        <v>41</v>
      </c>
      <c r="H5273" t="s">
        <v>25</v>
      </c>
      <c r="I5273" s="1">
        <v>2</v>
      </c>
      <c r="J5273" s="2">
        <v>45818</v>
      </c>
      <c r="K5273" s="2">
        <v>45809</v>
      </c>
      <c r="L5273" s="1" t="str">
        <f t="shared" ref="L5273:L5304" si="610">TEXT(J5273,"ddd")</f>
        <v>ter</v>
      </c>
      <c r="M5273" s="1" t="str">
        <f t="shared" ref="M5273:M5304" si="611">TEXT($J5273,"mmm")</f>
        <v>jun</v>
      </c>
      <c r="N5273">
        <f t="shared" ref="N5273:N5304" si="612">YEAR(J5273)</f>
        <v>2025</v>
      </c>
      <c r="O5273" s="2"/>
      <c r="P5273" t="str">
        <f t="shared" si="606"/>
        <v>211545818</v>
      </c>
    </row>
    <row r="5274" spans="1:16" x14ac:dyDescent="0.3">
      <c r="A5274">
        <v>2115</v>
      </c>
      <c r="B5274">
        <v>22</v>
      </c>
      <c r="C5274" t="s">
        <v>26</v>
      </c>
      <c r="D5274" t="s">
        <v>27</v>
      </c>
      <c r="E5274" t="s">
        <v>17</v>
      </c>
      <c r="F5274" t="s">
        <v>23</v>
      </c>
      <c r="G5274" t="s">
        <v>41</v>
      </c>
      <c r="H5274" t="s">
        <v>25</v>
      </c>
      <c r="I5274" s="1">
        <v>2</v>
      </c>
      <c r="J5274" s="2">
        <v>45869</v>
      </c>
      <c r="K5274" s="2">
        <v>45839</v>
      </c>
      <c r="L5274" s="1" t="str">
        <f t="shared" si="610"/>
        <v>qui</v>
      </c>
      <c r="M5274" s="1" t="str">
        <f t="shared" si="611"/>
        <v>jul</v>
      </c>
      <c r="N5274">
        <f t="shared" si="612"/>
        <v>2025</v>
      </c>
      <c r="O5274" s="2"/>
      <c r="P5274" t="str">
        <f t="shared" si="606"/>
        <v>211545869</v>
      </c>
    </row>
    <row r="5275" spans="1:16" x14ac:dyDescent="0.3">
      <c r="A5275">
        <v>2115</v>
      </c>
      <c r="B5275">
        <v>22</v>
      </c>
      <c r="C5275" t="s">
        <v>26</v>
      </c>
      <c r="D5275" t="s">
        <v>27</v>
      </c>
      <c r="E5275" t="s">
        <v>17</v>
      </c>
      <c r="F5275" t="s">
        <v>23</v>
      </c>
      <c r="G5275" t="s">
        <v>41</v>
      </c>
      <c r="H5275" t="s">
        <v>25</v>
      </c>
      <c r="I5275" s="1">
        <v>2</v>
      </c>
      <c r="J5275" s="2">
        <v>45905</v>
      </c>
      <c r="K5275" s="2">
        <v>45901</v>
      </c>
      <c r="L5275" s="1" t="str">
        <f t="shared" si="610"/>
        <v>sex</v>
      </c>
      <c r="M5275" s="1" t="str">
        <f t="shared" si="611"/>
        <v>set</v>
      </c>
      <c r="N5275">
        <f t="shared" si="612"/>
        <v>2025</v>
      </c>
      <c r="O5275" s="2"/>
      <c r="P5275" t="str">
        <f t="shared" si="606"/>
        <v>211545905</v>
      </c>
    </row>
    <row r="5276" spans="1:16" x14ac:dyDescent="0.3">
      <c r="A5276">
        <v>2115</v>
      </c>
      <c r="B5276">
        <v>22</v>
      </c>
      <c r="C5276" t="s">
        <v>26</v>
      </c>
      <c r="D5276" t="s">
        <v>27</v>
      </c>
      <c r="E5276" t="s">
        <v>17</v>
      </c>
      <c r="F5276" t="s">
        <v>23</v>
      </c>
      <c r="G5276" t="s">
        <v>41</v>
      </c>
      <c r="H5276" t="s">
        <v>25</v>
      </c>
      <c r="I5276" s="1">
        <v>2</v>
      </c>
      <c r="J5276" s="2">
        <v>45982</v>
      </c>
      <c r="K5276" s="2">
        <v>45962</v>
      </c>
      <c r="L5276" s="1" t="str">
        <f t="shared" si="610"/>
        <v>sex</v>
      </c>
      <c r="M5276" s="1" t="str">
        <f t="shared" si="611"/>
        <v>nov</v>
      </c>
      <c r="N5276">
        <f t="shared" si="612"/>
        <v>2025</v>
      </c>
      <c r="O5276" s="2"/>
      <c r="P5276" t="str">
        <f t="shared" si="606"/>
        <v>211545982</v>
      </c>
    </row>
    <row r="5277" spans="1:16" x14ac:dyDescent="0.3">
      <c r="A5277">
        <v>2115</v>
      </c>
      <c r="B5277">
        <v>22</v>
      </c>
      <c r="C5277" t="s">
        <v>26</v>
      </c>
      <c r="D5277" t="s">
        <v>27</v>
      </c>
      <c r="E5277" t="s">
        <v>17</v>
      </c>
      <c r="F5277" t="s">
        <v>23</v>
      </c>
      <c r="G5277" t="s">
        <v>41</v>
      </c>
      <c r="H5277" t="s">
        <v>25</v>
      </c>
      <c r="I5277" s="1">
        <v>2</v>
      </c>
      <c r="J5277" s="2">
        <v>46005</v>
      </c>
      <c r="K5277" s="2">
        <v>45992</v>
      </c>
      <c r="L5277" s="1" t="str">
        <f t="shared" si="610"/>
        <v>dom</v>
      </c>
      <c r="M5277" s="1" t="str">
        <f t="shared" si="611"/>
        <v>dez</v>
      </c>
      <c r="N5277">
        <f t="shared" si="612"/>
        <v>2025</v>
      </c>
      <c r="O5277" s="2"/>
      <c r="P5277" t="str">
        <f t="shared" si="606"/>
        <v>211546005</v>
      </c>
    </row>
    <row r="5278" spans="1:16" x14ac:dyDescent="0.3">
      <c r="A5278">
        <v>2116</v>
      </c>
      <c r="B5278">
        <v>56</v>
      </c>
      <c r="C5278" t="s">
        <v>26</v>
      </c>
      <c r="D5278" t="s">
        <v>29</v>
      </c>
      <c r="E5278" t="s">
        <v>17</v>
      </c>
      <c r="F5278" t="s">
        <v>21</v>
      </c>
      <c r="G5278" t="s">
        <v>41</v>
      </c>
      <c r="H5278" t="s">
        <v>25</v>
      </c>
      <c r="I5278" s="1">
        <v>3</v>
      </c>
      <c r="J5278" s="2">
        <v>45809</v>
      </c>
      <c r="K5278" s="2">
        <v>45809</v>
      </c>
      <c r="L5278" s="1" t="str">
        <f t="shared" si="610"/>
        <v>dom</v>
      </c>
      <c r="M5278" s="1" t="str">
        <f t="shared" si="611"/>
        <v>jun</v>
      </c>
      <c r="N5278">
        <f t="shared" si="612"/>
        <v>2025</v>
      </c>
      <c r="O5278" s="2"/>
      <c r="P5278" t="str">
        <f t="shared" si="606"/>
        <v>211645809</v>
      </c>
    </row>
    <row r="5279" spans="1:16" x14ac:dyDescent="0.3">
      <c r="A5279">
        <v>2116</v>
      </c>
      <c r="B5279">
        <v>56</v>
      </c>
      <c r="C5279" t="s">
        <v>26</v>
      </c>
      <c r="D5279" t="s">
        <v>29</v>
      </c>
      <c r="E5279" t="s">
        <v>17</v>
      </c>
      <c r="F5279" t="s">
        <v>21</v>
      </c>
      <c r="G5279" t="s">
        <v>41</v>
      </c>
      <c r="H5279" t="s">
        <v>25</v>
      </c>
      <c r="I5279" s="1">
        <v>3</v>
      </c>
      <c r="J5279" s="2">
        <v>45820</v>
      </c>
      <c r="K5279" s="2">
        <v>45809</v>
      </c>
      <c r="L5279" s="1" t="str">
        <f t="shared" si="610"/>
        <v>qui</v>
      </c>
      <c r="M5279" s="1" t="str">
        <f t="shared" si="611"/>
        <v>jun</v>
      </c>
      <c r="N5279">
        <f t="shared" si="612"/>
        <v>2025</v>
      </c>
      <c r="O5279" s="2"/>
      <c r="P5279" t="str">
        <f t="shared" si="606"/>
        <v>211645820</v>
      </c>
    </row>
    <row r="5280" spans="1:16" x14ac:dyDescent="0.3">
      <c r="A5280">
        <v>2116</v>
      </c>
      <c r="B5280">
        <v>56</v>
      </c>
      <c r="C5280" t="s">
        <v>26</v>
      </c>
      <c r="D5280" t="s">
        <v>29</v>
      </c>
      <c r="E5280" t="s">
        <v>17</v>
      </c>
      <c r="F5280" t="s">
        <v>21</v>
      </c>
      <c r="G5280" t="s">
        <v>41</v>
      </c>
      <c r="H5280" t="s">
        <v>25</v>
      </c>
      <c r="I5280" s="1">
        <v>3</v>
      </c>
      <c r="J5280" s="2">
        <v>45917</v>
      </c>
      <c r="K5280" s="2">
        <v>45901</v>
      </c>
      <c r="L5280" s="1" t="str">
        <f t="shared" si="610"/>
        <v>qua</v>
      </c>
      <c r="M5280" s="1" t="str">
        <f t="shared" si="611"/>
        <v>set</v>
      </c>
      <c r="N5280">
        <f t="shared" si="612"/>
        <v>2025</v>
      </c>
      <c r="O5280" s="2"/>
      <c r="P5280" t="str">
        <f t="shared" si="606"/>
        <v>211645917</v>
      </c>
    </row>
    <row r="5281" spans="1:16" x14ac:dyDescent="0.3">
      <c r="A5281">
        <v>2116</v>
      </c>
      <c r="B5281">
        <v>56</v>
      </c>
      <c r="C5281" t="s">
        <v>26</v>
      </c>
      <c r="D5281" t="s">
        <v>29</v>
      </c>
      <c r="E5281" t="s">
        <v>17</v>
      </c>
      <c r="F5281" t="s">
        <v>21</v>
      </c>
      <c r="G5281" t="s">
        <v>41</v>
      </c>
      <c r="H5281" t="s">
        <v>25</v>
      </c>
      <c r="I5281" s="1">
        <v>3</v>
      </c>
      <c r="J5281" s="2">
        <v>45974</v>
      </c>
      <c r="K5281" s="2">
        <v>45962</v>
      </c>
      <c r="L5281" s="1" t="str">
        <f t="shared" si="610"/>
        <v>qui</v>
      </c>
      <c r="M5281" s="1" t="str">
        <f t="shared" si="611"/>
        <v>nov</v>
      </c>
      <c r="N5281">
        <f t="shared" si="612"/>
        <v>2025</v>
      </c>
      <c r="O5281" s="2"/>
      <c r="P5281" t="str">
        <f t="shared" si="606"/>
        <v>211645974</v>
      </c>
    </row>
    <row r="5282" spans="1:16" x14ac:dyDescent="0.3">
      <c r="A5282">
        <v>2116</v>
      </c>
      <c r="B5282">
        <v>56</v>
      </c>
      <c r="C5282" t="s">
        <v>26</v>
      </c>
      <c r="D5282" t="s">
        <v>29</v>
      </c>
      <c r="E5282" t="s">
        <v>17</v>
      </c>
      <c r="F5282" t="s">
        <v>21</v>
      </c>
      <c r="G5282" t="s">
        <v>41</v>
      </c>
      <c r="H5282" t="s">
        <v>25</v>
      </c>
      <c r="I5282" s="1">
        <v>3</v>
      </c>
      <c r="J5282" s="2">
        <v>46003</v>
      </c>
      <c r="K5282" s="2">
        <v>45992</v>
      </c>
      <c r="L5282" s="1" t="str">
        <f t="shared" si="610"/>
        <v>sex</v>
      </c>
      <c r="M5282" s="1" t="str">
        <f t="shared" si="611"/>
        <v>dez</v>
      </c>
      <c r="N5282">
        <f t="shared" si="612"/>
        <v>2025</v>
      </c>
      <c r="O5282" s="2"/>
      <c r="P5282" t="str">
        <f t="shared" si="606"/>
        <v>211646003</v>
      </c>
    </row>
    <row r="5283" spans="1:16" x14ac:dyDescent="0.3">
      <c r="A5283">
        <v>2116</v>
      </c>
      <c r="B5283">
        <v>56</v>
      </c>
      <c r="C5283" t="s">
        <v>26</v>
      </c>
      <c r="D5283" t="s">
        <v>29</v>
      </c>
      <c r="E5283" t="s">
        <v>17</v>
      </c>
      <c r="F5283" t="s">
        <v>21</v>
      </c>
      <c r="G5283" t="s">
        <v>41</v>
      </c>
      <c r="H5283" t="s">
        <v>25</v>
      </c>
      <c r="I5283" s="1">
        <v>3</v>
      </c>
      <c r="J5283" s="2">
        <v>46080</v>
      </c>
      <c r="K5283" s="2">
        <v>46054</v>
      </c>
      <c r="L5283" s="1" t="str">
        <f t="shared" si="610"/>
        <v>sex</v>
      </c>
      <c r="M5283" s="1" t="str">
        <f t="shared" si="611"/>
        <v>fev</v>
      </c>
      <c r="N5283">
        <f t="shared" si="612"/>
        <v>2026</v>
      </c>
      <c r="O5283" s="2"/>
      <c r="P5283" t="str">
        <f t="shared" si="606"/>
        <v>211646080</v>
      </c>
    </row>
    <row r="5284" spans="1:16" x14ac:dyDescent="0.3">
      <c r="A5284">
        <v>2117</v>
      </c>
      <c r="B5284">
        <v>33</v>
      </c>
      <c r="C5284" t="s">
        <v>26</v>
      </c>
      <c r="D5284" t="s">
        <v>16</v>
      </c>
      <c r="E5284" t="s">
        <v>17</v>
      </c>
      <c r="F5284" t="s">
        <v>21</v>
      </c>
      <c r="G5284" t="s">
        <v>41</v>
      </c>
      <c r="H5284" t="s">
        <v>25</v>
      </c>
      <c r="I5284" s="1">
        <v>1</v>
      </c>
      <c r="J5284" s="2">
        <v>45816</v>
      </c>
      <c r="K5284" s="2">
        <v>45809</v>
      </c>
      <c r="L5284" s="1" t="str">
        <f t="shared" si="610"/>
        <v>dom</v>
      </c>
      <c r="M5284" s="1" t="str">
        <f t="shared" si="611"/>
        <v>jun</v>
      </c>
      <c r="N5284">
        <f t="shared" si="612"/>
        <v>2025</v>
      </c>
      <c r="O5284" s="2"/>
      <c r="P5284" t="str">
        <f t="shared" si="606"/>
        <v>211745816</v>
      </c>
    </row>
    <row r="5285" spans="1:16" x14ac:dyDescent="0.3">
      <c r="A5285">
        <v>2117</v>
      </c>
      <c r="B5285">
        <v>33</v>
      </c>
      <c r="C5285" t="s">
        <v>26</v>
      </c>
      <c r="D5285" t="s">
        <v>16</v>
      </c>
      <c r="E5285" t="s">
        <v>17</v>
      </c>
      <c r="F5285" t="s">
        <v>21</v>
      </c>
      <c r="G5285" t="s">
        <v>41</v>
      </c>
      <c r="H5285" t="s">
        <v>25</v>
      </c>
      <c r="I5285" s="1">
        <v>1</v>
      </c>
      <c r="J5285" s="2">
        <v>45846</v>
      </c>
      <c r="K5285" s="2">
        <v>45839</v>
      </c>
      <c r="L5285" s="1" t="str">
        <f t="shared" si="610"/>
        <v>ter</v>
      </c>
      <c r="M5285" s="1" t="str">
        <f t="shared" si="611"/>
        <v>jul</v>
      </c>
      <c r="N5285">
        <f t="shared" si="612"/>
        <v>2025</v>
      </c>
      <c r="O5285" s="2"/>
      <c r="P5285" t="str">
        <f t="shared" si="606"/>
        <v>211745846</v>
      </c>
    </row>
    <row r="5286" spans="1:16" x14ac:dyDescent="0.3">
      <c r="A5286">
        <v>2117</v>
      </c>
      <c r="B5286">
        <v>33</v>
      </c>
      <c r="C5286" t="s">
        <v>26</v>
      </c>
      <c r="D5286" t="s">
        <v>16</v>
      </c>
      <c r="E5286" t="s">
        <v>17</v>
      </c>
      <c r="F5286" t="s">
        <v>21</v>
      </c>
      <c r="G5286" t="s">
        <v>41</v>
      </c>
      <c r="H5286" t="s">
        <v>25</v>
      </c>
      <c r="I5286" s="1">
        <v>1</v>
      </c>
      <c r="J5286" s="2">
        <v>45892</v>
      </c>
      <c r="K5286" s="2">
        <v>45870</v>
      </c>
      <c r="L5286" s="1" t="str">
        <f t="shared" si="610"/>
        <v>sáb</v>
      </c>
      <c r="M5286" s="1" t="str">
        <f t="shared" si="611"/>
        <v>ago</v>
      </c>
      <c r="N5286">
        <f t="shared" si="612"/>
        <v>2025</v>
      </c>
      <c r="O5286" s="2"/>
      <c r="P5286" t="str">
        <f t="shared" si="606"/>
        <v>211745892</v>
      </c>
    </row>
    <row r="5287" spans="1:16" x14ac:dyDescent="0.3">
      <c r="A5287">
        <v>2117</v>
      </c>
      <c r="B5287">
        <v>33</v>
      </c>
      <c r="C5287" t="s">
        <v>26</v>
      </c>
      <c r="D5287" t="s">
        <v>16</v>
      </c>
      <c r="E5287" t="s">
        <v>17</v>
      </c>
      <c r="F5287" t="s">
        <v>21</v>
      </c>
      <c r="G5287" t="s">
        <v>41</v>
      </c>
      <c r="H5287" t="s">
        <v>25</v>
      </c>
      <c r="I5287" s="1">
        <v>1</v>
      </c>
      <c r="J5287" s="2">
        <v>45943</v>
      </c>
      <c r="K5287" s="2">
        <v>45931</v>
      </c>
      <c r="L5287" s="1" t="str">
        <f t="shared" si="610"/>
        <v>seg</v>
      </c>
      <c r="M5287" s="1" t="str">
        <f t="shared" si="611"/>
        <v>out</v>
      </c>
      <c r="N5287">
        <f t="shared" si="612"/>
        <v>2025</v>
      </c>
      <c r="O5287" s="2"/>
      <c r="P5287" t="str">
        <f t="shared" si="606"/>
        <v>211745943</v>
      </c>
    </row>
    <row r="5288" spans="1:16" x14ac:dyDescent="0.3">
      <c r="A5288">
        <v>2117</v>
      </c>
      <c r="B5288">
        <v>33</v>
      </c>
      <c r="C5288" t="s">
        <v>26</v>
      </c>
      <c r="D5288" t="s">
        <v>16</v>
      </c>
      <c r="E5288" t="s">
        <v>17</v>
      </c>
      <c r="F5288" t="s">
        <v>21</v>
      </c>
      <c r="G5288" t="s">
        <v>41</v>
      </c>
      <c r="H5288" t="s">
        <v>25</v>
      </c>
      <c r="I5288" s="1">
        <v>1</v>
      </c>
      <c r="J5288" s="2">
        <v>45946</v>
      </c>
      <c r="K5288" s="2">
        <v>45931</v>
      </c>
      <c r="L5288" s="1" t="str">
        <f t="shared" si="610"/>
        <v>qui</v>
      </c>
      <c r="M5288" s="1" t="str">
        <f t="shared" si="611"/>
        <v>out</v>
      </c>
      <c r="N5288">
        <f t="shared" si="612"/>
        <v>2025</v>
      </c>
      <c r="O5288" s="2"/>
      <c r="P5288" t="str">
        <f t="shared" si="606"/>
        <v>211745946</v>
      </c>
    </row>
    <row r="5289" spans="1:16" x14ac:dyDescent="0.3">
      <c r="A5289">
        <v>2117</v>
      </c>
      <c r="B5289">
        <v>33</v>
      </c>
      <c r="C5289" t="s">
        <v>26</v>
      </c>
      <c r="D5289" t="s">
        <v>16</v>
      </c>
      <c r="E5289" t="s">
        <v>17</v>
      </c>
      <c r="F5289" t="s">
        <v>21</v>
      </c>
      <c r="G5289" t="s">
        <v>41</v>
      </c>
      <c r="H5289" t="s">
        <v>25</v>
      </c>
      <c r="I5289" s="1">
        <v>1</v>
      </c>
      <c r="J5289" s="2">
        <v>46070</v>
      </c>
      <c r="K5289" s="2">
        <v>46054</v>
      </c>
      <c r="L5289" s="1" t="str">
        <f t="shared" si="610"/>
        <v>ter</v>
      </c>
      <c r="M5289" s="1" t="str">
        <f t="shared" si="611"/>
        <v>fev</v>
      </c>
      <c r="N5289">
        <f t="shared" si="612"/>
        <v>2026</v>
      </c>
      <c r="O5289" s="2"/>
      <c r="P5289" t="str">
        <f t="shared" si="606"/>
        <v>211746070</v>
      </c>
    </row>
    <row r="5290" spans="1:16" x14ac:dyDescent="0.3">
      <c r="A5290">
        <v>2118</v>
      </c>
      <c r="B5290">
        <v>32</v>
      </c>
      <c r="C5290" t="s">
        <v>15</v>
      </c>
      <c r="D5290" t="s">
        <v>29</v>
      </c>
      <c r="E5290" t="s">
        <v>17</v>
      </c>
      <c r="F5290" t="s">
        <v>18</v>
      </c>
      <c r="G5290" t="s">
        <v>41</v>
      </c>
      <c r="H5290" t="s">
        <v>20</v>
      </c>
      <c r="I5290" s="1">
        <v>3</v>
      </c>
      <c r="J5290" s="2">
        <v>45741</v>
      </c>
      <c r="K5290" s="2">
        <v>45717</v>
      </c>
      <c r="L5290" s="1" t="str">
        <f t="shared" si="610"/>
        <v>ter</v>
      </c>
      <c r="M5290" s="1" t="str">
        <f t="shared" si="611"/>
        <v>mar</v>
      </c>
      <c r="N5290">
        <f t="shared" si="612"/>
        <v>2025</v>
      </c>
      <c r="O5290" s="2">
        <f>_xlfn.XLOOKUP(A5290,Colaboradores!$A:$A,Colaboradores!$S:$S,"",0)</f>
        <v>45861</v>
      </c>
      <c r="P5290" t="str">
        <f t="shared" si="606"/>
        <v>211845741</v>
      </c>
    </row>
    <row r="5291" spans="1:16" x14ac:dyDescent="0.3">
      <c r="A5291">
        <v>2118</v>
      </c>
      <c r="B5291">
        <v>32</v>
      </c>
      <c r="C5291" t="s">
        <v>15</v>
      </c>
      <c r="D5291" t="s">
        <v>29</v>
      </c>
      <c r="E5291" t="s">
        <v>17</v>
      </c>
      <c r="F5291" t="s">
        <v>18</v>
      </c>
      <c r="G5291" t="s">
        <v>41</v>
      </c>
      <c r="H5291" t="s">
        <v>20</v>
      </c>
      <c r="I5291" s="1">
        <v>3</v>
      </c>
      <c r="J5291" s="2">
        <v>45850</v>
      </c>
      <c r="K5291" s="2">
        <v>45839</v>
      </c>
      <c r="L5291" s="1" t="str">
        <f t="shared" si="610"/>
        <v>sáb</v>
      </c>
      <c r="M5291" s="1" t="str">
        <f t="shared" si="611"/>
        <v>jul</v>
      </c>
      <c r="N5291">
        <f t="shared" si="612"/>
        <v>2025</v>
      </c>
      <c r="O5291" s="2">
        <f>_xlfn.XLOOKUP(A5291,Colaboradores!$A:$A,Colaboradores!$S:$S,"",0)</f>
        <v>45861</v>
      </c>
      <c r="P5291" t="str">
        <f t="shared" si="606"/>
        <v>211845850</v>
      </c>
    </row>
    <row r="5292" spans="1:16" x14ac:dyDescent="0.3">
      <c r="A5292">
        <v>2118</v>
      </c>
      <c r="B5292">
        <v>32</v>
      </c>
      <c r="C5292" t="s">
        <v>15</v>
      </c>
      <c r="D5292" t="s">
        <v>29</v>
      </c>
      <c r="E5292" t="s">
        <v>17</v>
      </c>
      <c r="F5292" t="s">
        <v>18</v>
      </c>
      <c r="G5292" t="s">
        <v>41</v>
      </c>
      <c r="H5292" t="s">
        <v>20</v>
      </c>
      <c r="I5292" s="1">
        <v>3</v>
      </c>
      <c r="J5292" s="2">
        <v>45851</v>
      </c>
      <c r="K5292" s="2">
        <v>45839</v>
      </c>
      <c r="L5292" s="1" t="str">
        <f t="shared" si="610"/>
        <v>dom</v>
      </c>
      <c r="M5292" s="1" t="str">
        <f t="shared" si="611"/>
        <v>jul</v>
      </c>
      <c r="N5292">
        <f t="shared" si="612"/>
        <v>2025</v>
      </c>
      <c r="O5292" s="2">
        <f>_xlfn.XLOOKUP(A5292,Colaboradores!$A:$A,Colaboradores!$S:$S,"",0)</f>
        <v>45861</v>
      </c>
      <c r="P5292" t="str">
        <f t="shared" si="606"/>
        <v>211845851</v>
      </c>
    </row>
    <row r="5293" spans="1:16" x14ac:dyDescent="0.3">
      <c r="A5293">
        <v>2118</v>
      </c>
      <c r="B5293">
        <v>32</v>
      </c>
      <c r="C5293" t="s">
        <v>15</v>
      </c>
      <c r="D5293" t="s">
        <v>29</v>
      </c>
      <c r="E5293" t="s">
        <v>17</v>
      </c>
      <c r="F5293" t="s">
        <v>18</v>
      </c>
      <c r="G5293" t="s">
        <v>41</v>
      </c>
      <c r="H5293" t="s">
        <v>20</v>
      </c>
      <c r="I5293" s="1">
        <v>3</v>
      </c>
      <c r="J5293" s="2">
        <v>45852</v>
      </c>
      <c r="K5293" s="2">
        <v>45839</v>
      </c>
      <c r="L5293" s="1" t="str">
        <f t="shared" si="610"/>
        <v>seg</v>
      </c>
      <c r="M5293" s="1" t="str">
        <f t="shared" si="611"/>
        <v>jul</v>
      </c>
      <c r="N5293">
        <f t="shared" si="612"/>
        <v>2025</v>
      </c>
      <c r="O5293" s="2">
        <f>_xlfn.XLOOKUP(A5293,Colaboradores!$A:$A,Colaboradores!$S:$S,"",0)</f>
        <v>45861</v>
      </c>
      <c r="P5293" t="str">
        <f t="shared" si="606"/>
        <v>211845852</v>
      </c>
    </row>
    <row r="5294" spans="1:16" x14ac:dyDescent="0.3">
      <c r="A5294">
        <v>2118</v>
      </c>
      <c r="B5294">
        <v>32</v>
      </c>
      <c r="C5294" t="s">
        <v>15</v>
      </c>
      <c r="D5294" t="s">
        <v>29</v>
      </c>
      <c r="E5294" t="s">
        <v>17</v>
      </c>
      <c r="F5294" t="s">
        <v>18</v>
      </c>
      <c r="G5294" t="s">
        <v>41</v>
      </c>
      <c r="H5294" t="s">
        <v>20</v>
      </c>
      <c r="I5294" s="1">
        <v>3</v>
      </c>
      <c r="J5294" s="2">
        <v>45853</v>
      </c>
      <c r="K5294" s="2">
        <v>45839</v>
      </c>
      <c r="L5294" s="1" t="str">
        <f t="shared" si="610"/>
        <v>ter</v>
      </c>
      <c r="M5294" s="1" t="str">
        <f t="shared" si="611"/>
        <v>jul</v>
      </c>
      <c r="N5294">
        <f t="shared" si="612"/>
        <v>2025</v>
      </c>
      <c r="O5294" s="2">
        <f>_xlfn.XLOOKUP(A5294,Colaboradores!$A:$A,Colaboradores!$S:$S,"",0)</f>
        <v>45861</v>
      </c>
      <c r="P5294" t="str">
        <f t="shared" si="606"/>
        <v>211845853</v>
      </c>
    </row>
    <row r="5295" spans="1:16" x14ac:dyDescent="0.3">
      <c r="A5295">
        <v>2118</v>
      </c>
      <c r="B5295">
        <v>32</v>
      </c>
      <c r="C5295" t="s">
        <v>15</v>
      </c>
      <c r="D5295" t="s">
        <v>29</v>
      </c>
      <c r="E5295" t="s">
        <v>17</v>
      </c>
      <c r="F5295" t="s">
        <v>18</v>
      </c>
      <c r="G5295" t="s">
        <v>41</v>
      </c>
      <c r="H5295" t="s">
        <v>20</v>
      </c>
      <c r="I5295" s="1">
        <v>3</v>
      </c>
      <c r="J5295" s="2">
        <v>45854</v>
      </c>
      <c r="K5295" s="2">
        <v>45839</v>
      </c>
      <c r="L5295" s="1" t="str">
        <f t="shared" si="610"/>
        <v>qua</v>
      </c>
      <c r="M5295" s="1" t="str">
        <f t="shared" si="611"/>
        <v>jul</v>
      </c>
      <c r="N5295">
        <f t="shared" si="612"/>
        <v>2025</v>
      </c>
      <c r="O5295" s="2">
        <f>_xlfn.XLOOKUP(A5295,Colaboradores!$A:$A,Colaboradores!$S:$S,"",0)</f>
        <v>45861</v>
      </c>
      <c r="P5295" t="str">
        <f t="shared" si="606"/>
        <v>211845854</v>
      </c>
    </row>
    <row r="5296" spans="1:16" x14ac:dyDescent="0.3">
      <c r="A5296">
        <v>2121</v>
      </c>
      <c r="B5296">
        <v>28</v>
      </c>
      <c r="C5296" t="s">
        <v>15</v>
      </c>
      <c r="D5296" t="s">
        <v>29</v>
      </c>
      <c r="E5296" t="s">
        <v>17</v>
      </c>
      <c r="F5296" t="s">
        <v>21</v>
      </c>
      <c r="G5296" t="s">
        <v>41</v>
      </c>
      <c r="H5296" t="s">
        <v>25</v>
      </c>
      <c r="I5296" s="1">
        <v>2</v>
      </c>
      <c r="J5296" s="2">
        <v>45860</v>
      </c>
      <c r="K5296" s="2">
        <v>45839</v>
      </c>
      <c r="L5296" s="1" t="str">
        <f t="shared" si="610"/>
        <v>ter</v>
      </c>
      <c r="M5296" s="1" t="str">
        <f t="shared" si="611"/>
        <v>jul</v>
      </c>
      <c r="N5296">
        <f t="shared" si="612"/>
        <v>2025</v>
      </c>
      <c r="O5296" s="2"/>
      <c r="P5296" t="str">
        <f t="shared" si="606"/>
        <v>212145860</v>
      </c>
    </row>
    <row r="5297" spans="1:16" x14ac:dyDescent="0.3">
      <c r="A5297">
        <v>2121</v>
      </c>
      <c r="B5297">
        <v>28</v>
      </c>
      <c r="C5297" t="s">
        <v>15</v>
      </c>
      <c r="D5297" t="s">
        <v>29</v>
      </c>
      <c r="E5297" t="s">
        <v>17</v>
      </c>
      <c r="F5297" t="s">
        <v>21</v>
      </c>
      <c r="G5297" t="s">
        <v>41</v>
      </c>
      <c r="H5297" t="s">
        <v>25</v>
      </c>
      <c r="I5297" s="1">
        <v>2</v>
      </c>
      <c r="J5297" s="2">
        <v>45873</v>
      </c>
      <c r="K5297" s="2">
        <v>45870</v>
      </c>
      <c r="L5297" s="1" t="str">
        <f t="shared" si="610"/>
        <v>seg</v>
      </c>
      <c r="M5297" s="1" t="str">
        <f t="shared" si="611"/>
        <v>ago</v>
      </c>
      <c r="N5297">
        <f t="shared" si="612"/>
        <v>2025</v>
      </c>
      <c r="O5297" s="2"/>
      <c r="P5297" t="str">
        <f t="shared" si="606"/>
        <v>212145873</v>
      </c>
    </row>
    <row r="5298" spans="1:16" x14ac:dyDescent="0.3">
      <c r="A5298">
        <v>2121</v>
      </c>
      <c r="B5298">
        <v>28</v>
      </c>
      <c r="C5298" t="s">
        <v>15</v>
      </c>
      <c r="D5298" t="s">
        <v>29</v>
      </c>
      <c r="E5298" t="s">
        <v>17</v>
      </c>
      <c r="F5298" t="s">
        <v>21</v>
      </c>
      <c r="G5298" t="s">
        <v>41</v>
      </c>
      <c r="H5298" t="s">
        <v>25</v>
      </c>
      <c r="I5298" s="1">
        <v>2</v>
      </c>
      <c r="J5298" s="2">
        <v>45936</v>
      </c>
      <c r="K5298" s="2">
        <v>45931</v>
      </c>
      <c r="L5298" s="1" t="str">
        <f t="shared" si="610"/>
        <v>seg</v>
      </c>
      <c r="M5298" s="1" t="str">
        <f t="shared" si="611"/>
        <v>out</v>
      </c>
      <c r="N5298">
        <f t="shared" si="612"/>
        <v>2025</v>
      </c>
      <c r="O5298" s="2"/>
      <c r="P5298" t="str">
        <f t="shared" si="606"/>
        <v>212145936</v>
      </c>
    </row>
    <row r="5299" spans="1:16" x14ac:dyDescent="0.3">
      <c r="A5299">
        <v>2121</v>
      </c>
      <c r="B5299">
        <v>28</v>
      </c>
      <c r="C5299" t="s">
        <v>15</v>
      </c>
      <c r="D5299" t="s">
        <v>29</v>
      </c>
      <c r="E5299" t="s">
        <v>17</v>
      </c>
      <c r="F5299" t="s">
        <v>21</v>
      </c>
      <c r="G5299" t="s">
        <v>41</v>
      </c>
      <c r="H5299" t="s">
        <v>25</v>
      </c>
      <c r="I5299" s="1">
        <v>2</v>
      </c>
      <c r="J5299" s="2">
        <v>46078</v>
      </c>
      <c r="K5299" s="2">
        <v>46054</v>
      </c>
      <c r="L5299" s="1" t="str">
        <f t="shared" si="610"/>
        <v>qua</v>
      </c>
      <c r="M5299" s="1" t="str">
        <f t="shared" si="611"/>
        <v>fev</v>
      </c>
      <c r="N5299">
        <f t="shared" si="612"/>
        <v>2026</v>
      </c>
      <c r="O5299" s="2"/>
      <c r="P5299" t="str">
        <f t="shared" si="606"/>
        <v>212146078</v>
      </c>
    </row>
    <row r="5300" spans="1:16" x14ac:dyDescent="0.3">
      <c r="A5300">
        <v>2121</v>
      </c>
      <c r="B5300">
        <v>28</v>
      </c>
      <c r="C5300" t="s">
        <v>15</v>
      </c>
      <c r="D5300" t="s">
        <v>29</v>
      </c>
      <c r="E5300" t="s">
        <v>17</v>
      </c>
      <c r="F5300" t="s">
        <v>21</v>
      </c>
      <c r="G5300" t="s">
        <v>41</v>
      </c>
      <c r="H5300" t="s">
        <v>25</v>
      </c>
      <c r="I5300" s="1">
        <v>2</v>
      </c>
      <c r="J5300" s="2">
        <v>46085</v>
      </c>
      <c r="K5300" s="2">
        <v>46082</v>
      </c>
      <c r="L5300" s="1" t="str">
        <f t="shared" si="610"/>
        <v>qua</v>
      </c>
      <c r="M5300" s="1" t="str">
        <f t="shared" si="611"/>
        <v>mar</v>
      </c>
      <c r="N5300">
        <f t="shared" si="612"/>
        <v>2026</v>
      </c>
      <c r="O5300" s="2"/>
      <c r="P5300" t="str">
        <f t="shared" si="606"/>
        <v>212146085</v>
      </c>
    </row>
    <row r="5301" spans="1:16" x14ac:dyDescent="0.3">
      <c r="A5301">
        <v>2122</v>
      </c>
      <c r="B5301">
        <v>29</v>
      </c>
      <c r="C5301" t="s">
        <v>26</v>
      </c>
      <c r="D5301" t="s">
        <v>29</v>
      </c>
      <c r="E5301" t="s">
        <v>17</v>
      </c>
      <c r="F5301" t="s">
        <v>21</v>
      </c>
      <c r="G5301" t="s">
        <v>41</v>
      </c>
      <c r="H5301" t="s">
        <v>20</v>
      </c>
      <c r="I5301" s="1">
        <v>1</v>
      </c>
      <c r="J5301" s="2">
        <v>45914</v>
      </c>
      <c r="K5301" s="2">
        <v>45901</v>
      </c>
      <c r="L5301" s="1" t="str">
        <f t="shared" si="610"/>
        <v>dom</v>
      </c>
      <c r="M5301" s="1" t="str">
        <f t="shared" si="611"/>
        <v>set</v>
      </c>
      <c r="N5301">
        <f t="shared" si="612"/>
        <v>2025</v>
      </c>
      <c r="O5301" s="2">
        <f>_xlfn.XLOOKUP(A5301,Colaboradores!$A:$A,Colaboradores!$S:$S,"",0)</f>
        <v>46121</v>
      </c>
      <c r="P5301" t="str">
        <f t="shared" si="606"/>
        <v>212245914</v>
      </c>
    </row>
    <row r="5302" spans="1:16" x14ac:dyDescent="0.3">
      <c r="A5302">
        <v>2122</v>
      </c>
      <c r="B5302">
        <v>29</v>
      </c>
      <c r="C5302" t="s">
        <v>26</v>
      </c>
      <c r="D5302" t="s">
        <v>29</v>
      </c>
      <c r="E5302" t="s">
        <v>17</v>
      </c>
      <c r="F5302" t="s">
        <v>21</v>
      </c>
      <c r="G5302" t="s">
        <v>41</v>
      </c>
      <c r="H5302" t="s">
        <v>20</v>
      </c>
      <c r="I5302" s="1">
        <v>1</v>
      </c>
      <c r="J5302" s="2">
        <v>45948</v>
      </c>
      <c r="K5302" s="2">
        <v>45931</v>
      </c>
      <c r="L5302" s="1" t="str">
        <f t="shared" si="610"/>
        <v>sáb</v>
      </c>
      <c r="M5302" s="1" t="str">
        <f t="shared" si="611"/>
        <v>out</v>
      </c>
      <c r="N5302">
        <f t="shared" si="612"/>
        <v>2025</v>
      </c>
      <c r="O5302" s="2">
        <f>_xlfn.XLOOKUP(A5302,Colaboradores!$A:$A,Colaboradores!$S:$S,"",0)</f>
        <v>46121</v>
      </c>
      <c r="P5302" t="str">
        <f t="shared" si="606"/>
        <v>212245948</v>
      </c>
    </row>
    <row r="5303" spans="1:16" x14ac:dyDescent="0.3">
      <c r="A5303">
        <v>2122</v>
      </c>
      <c r="B5303">
        <v>29</v>
      </c>
      <c r="C5303" t="s">
        <v>26</v>
      </c>
      <c r="D5303" t="s">
        <v>29</v>
      </c>
      <c r="E5303" t="s">
        <v>17</v>
      </c>
      <c r="F5303" t="s">
        <v>21</v>
      </c>
      <c r="G5303" t="s">
        <v>41</v>
      </c>
      <c r="H5303" t="s">
        <v>20</v>
      </c>
      <c r="I5303" s="1">
        <v>1</v>
      </c>
      <c r="J5303" s="2">
        <v>45951</v>
      </c>
      <c r="K5303" s="2">
        <v>45931</v>
      </c>
      <c r="L5303" s="1" t="str">
        <f t="shared" si="610"/>
        <v>ter</v>
      </c>
      <c r="M5303" s="1" t="str">
        <f t="shared" si="611"/>
        <v>out</v>
      </c>
      <c r="N5303">
        <f t="shared" si="612"/>
        <v>2025</v>
      </c>
      <c r="O5303" s="2">
        <f>_xlfn.XLOOKUP(A5303,Colaboradores!$A:$A,Colaboradores!$S:$S,"",0)</f>
        <v>46121</v>
      </c>
      <c r="P5303" t="str">
        <f t="shared" si="606"/>
        <v>212245951</v>
      </c>
    </row>
    <row r="5304" spans="1:16" x14ac:dyDescent="0.3">
      <c r="A5304">
        <v>2122</v>
      </c>
      <c r="B5304">
        <v>29</v>
      </c>
      <c r="C5304" t="s">
        <v>26</v>
      </c>
      <c r="D5304" t="s">
        <v>29</v>
      </c>
      <c r="E5304" t="s">
        <v>17</v>
      </c>
      <c r="F5304" t="s">
        <v>21</v>
      </c>
      <c r="G5304" t="s">
        <v>41</v>
      </c>
      <c r="H5304" t="s">
        <v>20</v>
      </c>
      <c r="I5304" s="1">
        <v>1</v>
      </c>
      <c r="J5304" s="2">
        <v>46178</v>
      </c>
      <c r="K5304" s="2">
        <v>46023</v>
      </c>
      <c r="L5304" s="1" t="str">
        <f t="shared" si="610"/>
        <v>sex</v>
      </c>
      <c r="M5304" s="1" t="str">
        <f t="shared" si="611"/>
        <v>jun</v>
      </c>
      <c r="N5304">
        <f t="shared" si="612"/>
        <v>2026</v>
      </c>
      <c r="O5304" s="2">
        <f>_xlfn.XLOOKUP(A5304,Colaboradores!$A:$A,Colaboradores!$S:$S,"",0)</f>
        <v>46121</v>
      </c>
      <c r="P5304" t="str">
        <f t="shared" si="606"/>
        <v>212246178</v>
      </c>
    </row>
    <row r="5305" spans="1:16" x14ac:dyDescent="0.3">
      <c r="A5305">
        <v>2122</v>
      </c>
      <c r="B5305">
        <v>29</v>
      </c>
      <c r="C5305" t="s">
        <v>26</v>
      </c>
      <c r="D5305" t="s">
        <v>29</v>
      </c>
      <c r="E5305" t="s">
        <v>17</v>
      </c>
      <c r="F5305" t="s">
        <v>21</v>
      </c>
      <c r="G5305" t="s">
        <v>41</v>
      </c>
      <c r="H5305" t="s">
        <v>20</v>
      </c>
      <c r="I5305" s="1">
        <v>1</v>
      </c>
      <c r="J5305" s="2">
        <v>46179</v>
      </c>
      <c r="K5305" s="2">
        <v>46023</v>
      </c>
      <c r="L5305" s="1" t="str">
        <f t="shared" ref="L5305:L5336" si="613">TEXT(J5305,"ddd")</f>
        <v>sáb</v>
      </c>
      <c r="M5305" s="1" t="str">
        <f t="shared" ref="M5305:M5336" si="614">TEXT($J5305,"mmm")</f>
        <v>jun</v>
      </c>
      <c r="N5305">
        <f t="shared" ref="N5305:N5336" si="615">YEAR(J5305)</f>
        <v>2026</v>
      </c>
      <c r="O5305" s="2">
        <f>_xlfn.XLOOKUP(A5305,Colaboradores!$A:$A,Colaboradores!$S:$S,"",0)</f>
        <v>46121</v>
      </c>
      <c r="P5305" t="str">
        <f t="shared" si="606"/>
        <v>212246179</v>
      </c>
    </row>
    <row r="5306" spans="1:16" x14ac:dyDescent="0.3">
      <c r="A5306">
        <v>2126</v>
      </c>
      <c r="B5306">
        <v>26</v>
      </c>
      <c r="C5306" t="s">
        <v>26</v>
      </c>
      <c r="D5306" t="s">
        <v>29</v>
      </c>
      <c r="E5306" t="s">
        <v>17</v>
      </c>
      <c r="F5306" t="s">
        <v>18</v>
      </c>
      <c r="G5306" t="s">
        <v>41</v>
      </c>
      <c r="H5306" t="s">
        <v>20</v>
      </c>
      <c r="I5306" s="1">
        <v>3</v>
      </c>
      <c r="J5306" s="2">
        <v>45776</v>
      </c>
      <c r="K5306" s="2">
        <v>45748</v>
      </c>
      <c r="L5306" s="1" t="str">
        <f t="shared" si="613"/>
        <v>ter</v>
      </c>
      <c r="M5306" s="1" t="str">
        <f t="shared" si="614"/>
        <v>abr</v>
      </c>
      <c r="N5306">
        <f t="shared" si="615"/>
        <v>2025</v>
      </c>
      <c r="O5306" s="2">
        <f>_xlfn.XLOOKUP(A5306,Colaboradores!$A:$A,Colaboradores!$S:$S,"",0)</f>
        <v>46159</v>
      </c>
      <c r="P5306" t="str">
        <f t="shared" si="606"/>
        <v>212645776</v>
      </c>
    </row>
    <row r="5307" spans="1:16" x14ac:dyDescent="0.3">
      <c r="A5307">
        <v>2126</v>
      </c>
      <c r="B5307">
        <v>26</v>
      </c>
      <c r="C5307" t="s">
        <v>26</v>
      </c>
      <c r="D5307" t="s">
        <v>29</v>
      </c>
      <c r="E5307" t="s">
        <v>17</v>
      </c>
      <c r="F5307" t="s">
        <v>18</v>
      </c>
      <c r="G5307" t="s">
        <v>41</v>
      </c>
      <c r="H5307" t="s">
        <v>20</v>
      </c>
      <c r="I5307" s="1">
        <v>3</v>
      </c>
      <c r="J5307" s="2">
        <v>45833</v>
      </c>
      <c r="K5307" s="2">
        <v>45809</v>
      </c>
      <c r="L5307" s="1" t="str">
        <f t="shared" si="613"/>
        <v>qua</v>
      </c>
      <c r="M5307" s="1" t="str">
        <f t="shared" si="614"/>
        <v>jun</v>
      </c>
      <c r="N5307">
        <f t="shared" si="615"/>
        <v>2025</v>
      </c>
      <c r="O5307" s="2">
        <f>_xlfn.XLOOKUP(A5307,Colaboradores!$A:$A,Colaboradores!$S:$S,"",0)</f>
        <v>46159</v>
      </c>
      <c r="P5307" t="str">
        <f t="shared" si="606"/>
        <v>212645833</v>
      </c>
    </row>
    <row r="5308" spans="1:16" x14ac:dyDescent="0.3">
      <c r="A5308">
        <v>2126</v>
      </c>
      <c r="B5308">
        <v>26</v>
      </c>
      <c r="C5308" t="s">
        <v>26</v>
      </c>
      <c r="D5308" t="s">
        <v>29</v>
      </c>
      <c r="E5308" t="s">
        <v>17</v>
      </c>
      <c r="F5308" t="s">
        <v>18</v>
      </c>
      <c r="G5308" t="s">
        <v>41</v>
      </c>
      <c r="H5308" t="s">
        <v>20</v>
      </c>
      <c r="I5308" s="1">
        <v>3</v>
      </c>
      <c r="J5308" s="2">
        <v>45836</v>
      </c>
      <c r="K5308" s="2">
        <v>45809</v>
      </c>
      <c r="L5308" s="1" t="str">
        <f t="shared" si="613"/>
        <v>sáb</v>
      </c>
      <c r="M5308" s="1" t="str">
        <f t="shared" si="614"/>
        <v>jun</v>
      </c>
      <c r="N5308">
        <f t="shared" si="615"/>
        <v>2025</v>
      </c>
      <c r="O5308" s="2">
        <f>_xlfn.XLOOKUP(A5308,Colaboradores!$A:$A,Colaboradores!$S:$S,"",0)</f>
        <v>46159</v>
      </c>
      <c r="P5308" t="str">
        <f t="shared" ref="P5308:P5371" si="616">CONCATENATE(A5308,J5308)</f>
        <v>212645836</v>
      </c>
    </row>
    <row r="5309" spans="1:16" x14ac:dyDescent="0.3">
      <c r="A5309">
        <v>2126</v>
      </c>
      <c r="B5309">
        <v>26</v>
      </c>
      <c r="C5309" t="s">
        <v>26</v>
      </c>
      <c r="D5309" t="s">
        <v>29</v>
      </c>
      <c r="E5309" t="s">
        <v>17</v>
      </c>
      <c r="F5309" t="s">
        <v>18</v>
      </c>
      <c r="G5309" t="s">
        <v>41</v>
      </c>
      <c r="H5309" t="s">
        <v>20</v>
      </c>
      <c r="I5309" s="1">
        <v>3</v>
      </c>
      <c r="J5309" s="2">
        <v>45876</v>
      </c>
      <c r="K5309" s="2">
        <v>45870</v>
      </c>
      <c r="L5309" s="1" t="str">
        <f t="shared" si="613"/>
        <v>qui</v>
      </c>
      <c r="M5309" s="1" t="str">
        <f t="shared" si="614"/>
        <v>ago</v>
      </c>
      <c r="N5309">
        <f t="shared" si="615"/>
        <v>2025</v>
      </c>
      <c r="O5309" s="2">
        <f>_xlfn.XLOOKUP(A5309,Colaboradores!$A:$A,Colaboradores!$S:$S,"",0)</f>
        <v>46159</v>
      </c>
      <c r="P5309" t="str">
        <f t="shared" si="616"/>
        <v>212645876</v>
      </c>
    </row>
    <row r="5310" spans="1:16" x14ac:dyDescent="0.3">
      <c r="A5310">
        <v>2126</v>
      </c>
      <c r="B5310">
        <v>26</v>
      </c>
      <c r="C5310" t="s">
        <v>26</v>
      </c>
      <c r="D5310" t="s">
        <v>29</v>
      </c>
      <c r="E5310" t="s">
        <v>17</v>
      </c>
      <c r="F5310" t="s">
        <v>18</v>
      </c>
      <c r="G5310" t="s">
        <v>41</v>
      </c>
      <c r="H5310" t="s">
        <v>20</v>
      </c>
      <c r="I5310" s="1">
        <v>3</v>
      </c>
      <c r="J5310" s="2">
        <v>45939</v>
      </c>
      <c r="K5310" s="2">
        <v>45931</v>
      </c>
      <c r="L5310" s="1" t="str">
        <f t="shared" si="613"/>
        <v>qui</v>
      </c>
      <c r="M5310" s="1" t="str">
        <f t="shared" si="614"/>
        <v>out</v>
      </c>
      <c r="N5310">
        <f t="shared" si="615"/>
        <v>2025</v>
      </c>
      <c r="O5310" s="2">
        <f>_xlfn.XLOOKUP(A5310,Colaboradores!$A:$A,Colaboradores!$S:$S,"",0)</f>
        <v>46159</v>
      </c>
      <c r="P5310" t="str">
        <f t="shared" si="616"/>
        <v>212645939</v>
      </c>
    </row>
    <row r="5311" spans="1:16" x14ac:dyDescent="0.3">
      <c r="A5311">
        <v>2126</v>
      </c>
      <c r="B5311">
        <v>26</v>
      </c>
      <c r="C5311" t="s">
        <v>26</v>
      </c>
      <c r="D5311" t="s">
        <v>29</v>
      </c>
      <c r="E5311" t="s">
        <v>17</v>
      </c>
      <c r="F5311" t="s">
        <v>18</v>
      </c>
      <c r="G5311" t="s">
        <v>41</v>
      </c>
      <c r="H5311" t="s">
        <v>20</v>
      </c>
      <c r="I5311" s="1">
        <v>3</v>
      </c>
      <c r="J5311" s="2">
        <v>45969</v>
      </c>
      <c r="K5311" s="2">
        <v>45962</v>
      </c>
      <c r="L5311" s="1" t="str">
        <f t="shared" si="613"/>
        <v>sáb</v>
      </c>
      <c r="M5311" s="1" t="str">
        <f t="shared" si="614"/>
        <v>nov</v>
      </c>
      <c r="N5311">
        <f t="shared" si="615"/>
        <v>2025</v>
      </c>
      <c r="O5311" s="2">
        <f>_xlfn.XLOOKUP(A5311,Colaboradores!$A:$A,Colaboradores!$S:$S,"",0)</f>
        <v>46159</v>
      </c>
      <c r="P5311" t="str">
        <f t="shared" si="616"/>
        <v>212645969</v>
      </c>
    </row>
    <row r="5312" spans="1:16" x14ac:dyDescent="0.3">
      <c r="A5312">
        <v>2127</v>
      </c>
      <c r="B5312">
        <v>46</v>
      </c>
      <c r="C5312" t="s">
        <v>15</v>
      </c>
      <c r="D5312" t="s">
        <v>22</v>
      </c>
      <c r="E5312" t="s">
        <v>17</v>
      </c>
      <c r="F5312" t="s">
        <v>23</v>
      </c>
      <c r="G5312" t="s">
        <v>41</v>
      </c>
      <c r="H5312" t="s">
        <v>25</v>
      </c>
      <c r="I5312" s="1">
        <v>1</v>
      </c>
      <c r="J5312" s="2">
        <v>45851</v>
      </c>
      <c r="K5312" s="2">
        <v>45839</v>
      </c>
      <c r="L5312" s="1" t="str">
        <f t="shared" si="613"/>
        <v>dom</v>
      </c>
      <c r="M5312" s="1" t="str">
        <f t="shared" si="614"/>
        <v>jul</v>
      </c>
      <c r="N5312">
        <f t="shared" si="615"/>
        <v>2025</v>
      </c>
      <c r="O5312" s="2"/>
      <c r="P5312" t="str">
        <f t="shared" si="616"/>
        <v>212745851</v>
      </c>
    </row>
    <row r="5313" spans="1:16" x14ac:dyDescent="0.3">
      <c r="A5313">
        <v>2127</v>
      </c>
      <c r="B5313">
        <v>46</v>
      </c>
      <c r="C5313" t="s">
        <v>15</v>
      </c>
      <c r="D5313" t="s">
        <v>22</v>
      </c>
      <c r="E5313" t="s">
        <v>17</v>
      </c>
      <c r="F5313" t="s">
        <v>23</v>
      </c>
      <c r="G5313" t="s">
        <v>41</v>
      </c>
      <c r="H5313" t="s">
        <v>25</v>
      </c>
      <c r="I5313" s="1">
        <v>1</v>
      </c>
      <c r="J5313" s="2">
        <v>45859</v>
      </c>
      <c r="K5313" s="2">
        <v>45839</v>
      </c>
      <c r="L5313" s="1" t="str">
        <f t="shared" si="613"/>
        <v>seg</v>
      </c>
      <c r="M5313" s="1" t="str">
        <f t="shared" si="614"/>
        <v>jul</v>
      </c>
      <c r="N5313">
        <f t="shared" si="615"/>
        <v>2025</v>
      </c>
      <c r="O5313" s="2"/>
      <c r="P5313" t="str">
        <f t="shared" si="616"/>
        <v>212745859</v>
      </c>
    </row>
    <row r="5314" spans="1:16" x14ac:dyDescent="0.3">
      <c r="A5314">
        <v>2127</v>
      </c>
      <c r="B5314">
        <v>46</v>
      </c>
      <c r="C5314" t="s">
        <v>15</v>
      </c>
      <c r="D5314" t="s">
        <v>22</v>
      </c>
      <c r="E5314" t="s">
        <v>17</v>
      </c>
      <c r="F5314" t="s">
        <v>23</v>
      </c>
      <c r="G5314" t="s">
        <v>41</v>
      </c>
      <c r="H5314" t="s">
        <v>25</v>
      </c>
      <c r="I5314" s="1">
        <v>1</v>
      </c>
      <c r="J5314" s="2">
        <v>45895</v>
      </c>
      <c r="K5314" s="2">
        <v>45870</v>
      </c>
      <c r="L5314" s="1" t="str">
        <f t="shared" si="613"/>
        <v>ter</v>
      </c>
      <c r="M5314" s="1" t="str">
        <f t="shared" si="614"/>
        <v>ago</v>
      </c>
      <c r="N5314">
        <f t="shared" si="615"/>
        <v>2025</v>
      </c>
      <c r="O5314" s="2"/>
      <c r="P5314" t="str">
        <f t="shared" si="616"/>
        <v>212745895</v>
      </c>
    </row>
    <row r="5315" spans="1:16" x14ac:dyDescent="0.3">
      <c r="A5315">
        <v>2127</v>
      </c>
      <c r="B5315">
        <v>46</v>
      </c>
      <c r="C5315" t="s">
        <v>15</v>
      </c>
      <c r="D5315" t="s">
        <v>22</v>
      </c>
      <c r="E5315" t="s">
        <v>17</v>
      </c>
      <c r="F5315" t="s">
        <v>23</v>
      </c>
      <c r="G5315" t="s">
        <v>41</v>
      </c>
      <c r="H5315" t="s">
        <v>25</v>
      </c>
      <c r="I5315" s="1">
        <v>1</v>
      </c>
      <c r="J5315" s="2">
        <v>45995</v>
      </c>
      <c r="K5315" s="2">
        <v>45992</v>
      </c>
      <c r="L5315" s="1" t="str">
        <f t="shared" si="613"/>
        <v>qui</v>
      </c>
      <c r="M5315" s="1" t="str">
        <f t="shared" si="614"/>
        <v>dez</v>
      </c>
      <c r="N5315">
        <f t="shared" si="615"/>
        <v>2025</v>
      </c>
      <c r="O5315" s="2"/>
      <c r="P5315" t="str">
        <f t="shared" si="616"/>
        <v>212745995</v>
      </c>
    </row>
    <row r="5316" spans="1:16" x14ac:dyDescent="0.3">
      <c r="A5316">
        <v>2127</v>
      </c>
      <c r="B5316">
        <v>46</v>
      </c>
      <c r="C5316" t="s">
        <v>15</v>
      </c>
      <c r="D5316" t="s">
        <v>22</v>
      </c>
      <c r="E5316" t="s">
        <v>17</v>
      </c>
      <c r="F5316" t="s">
        <v>23</v>
      </c>
      <c r="G5316" t="s">
        <v>41</v>
      </c>
      <c r="H5316" t="s">
        <v>25</v>
      </c>
      <c r="I5316" s="1">
        <v>1</v>
      </c>
      <c r="J5316" s="2">
        <v>46002</v>
      </c>
      <c r="K5316" s="2">
        <v>45992</v>
      </c>
      <c r="L5316" s="1" t="str">
        <f t="shared" si="613"/>
        <v>qui</v>
      </c>
      <c r="M5316" s="1" t="str">
        <f t="shared" si="614"/>
        <v>dez</v>
      </c>
      <c r="N5316">
        <f t="shared" si="615"/>
        <v>2025</v>
      </c>
      <c r="O5316" s="2"/>
      <c r="P5316" t="str">
        <f t="shared" si="616"/>
        <v>212746002</v>
      </c>
    </row>
    <row r="5317" spans="1:16" x14ac:dyDescent="0.3">
      <c r="A5317">
        <v>2128</v>
      </c>
      <c r="B5317">
        <v>49</v>
      </c>
      <c r="C5317" t="s">
        <v>26</v>
      </c>
      <c r="D5317" t="s">
        <v>27</v>
      </c>
      <c r="E5317" t="s">
        <v>17</v>
      </c>
      <c r="F5317" t="s">
        <v>18</v>
      </c>
      <c r="G5317" t="s">
        <v>41</v>
      </c>
      <c r="H5317" t="s">
        <v>25</v>
      </c>
      <c r="I5317" s="1">
        <v>3</v>
      </c>
      <c r="J5317" s="2">
        <v>45871</v>
      </c>
      <c r="K5317" s="2">
        <v>45870</v>
      </c>
      <c r="L5317" s="1" t="str">
        <f t="shared" si="613"/>
        <v>sáb</v>
      </c>
      <c r="M5317" s="1" t="str">
        <f t="shared" si="614"/>
        <v>ago</v>
      </c>
      <c r="N5317">
        <f t="shared" si="615"/>
        <v>2025</v>
      </c>
      <c r="O5317" s="2"/>
      <c r="P5317" t="str">
        <f t="shared" si="616"/>
        <v>212845871</v>
      </c>
    </row>
    <row r="5318" spans="1:16" x14ac:dyDescent="0.3">
      <c r="A5318">
        <v>2128</v>
      </c>
      <c r="B5318">
        <v>49</v>
      </c>
      <c r="C5318" t="s">
        <v>26</v>
      </c>
      <c r="D5318" t="s">
        <v>27</v>
      </c>
      <c r="E5318" t="s">
        <v>17</v>
      </c>
      <c r="F5318" t="s">
        <v>18</v>
      </c>
      <c r="G5318" t="s">
        <v>41</v>
      </c>
      <c r="H5318" t="s">
        <v>25</v>
      </c>
      <c r="I5318" s="1">
        <v>3</v>
      </c>
      <c r="J5318" s="2">
        <v>45904</v>
      </c>
      <c r="K5318" s="2">
        <v>45901</v>
      </c>
      <c r="L5318" s="1" t="str">
        <f t="shared" si="613"/>
        <v>qui</v>
      </c>
      <c r="M5318" s="1" t="str">
        <f t="shared" si="614"/>
        <v>set</v>
      </c>
      <c r="N5318">
        <f t="shared" si="615"/>
        <v>2025</v>
      </c>
      <c r="O5318" s="2"/>
      <c r="P5318" t="str">
        <f t="shared" si="616"/>
        <v>212845904</v>
      </c>
    </row>
    <row r="5319" spans="1:16" x14ac:dyDescent="0.3">
      <c r="A5319">
        <v>2128</v>
      </c>
      <c r="B5319">
        <v>49</v>
      </c>
      <c r="C5319" t="s">
        <v>26</v>
      </c>
      <c r="D5319" t="s">
        <v>27</v>
      </c>
      <c r="E5319" t="s">
        <v>17</v>
      </c>
      <c r="F5319" t="s">
        <v>18</v>
      </c>
      <c r="G5319" t="s">
        <v>41</v>
      </c>
      <c r="H5319" t="s">
        <v>25</v>
      </c>
      <c r="I5319" s="1">
        <v>3</v>
      </c>
      <c r="J5319" s="2">
        <v>45913</v>
      </c>
      <c r="K5319" s="2">
        <v>45901</v>
      </c>
      <c r="L5319" s="1" t="str">
        <f t="shared" si="613"/>
        <v>sáb</v>
      </c>
      <c r="M5319" s="1" t="str">
        <f t="shared" si="614"/>
        <v>set</v>
      </c>
      <c r="N5319">
        <f t="shared" si="615"/>
        <v>2025</v>
      </c>
      <c r="O5319" s="2"/>
      <c r="P5319" t="str">
        <f t="shared" si="616"/>
        <v>212845913</v>
      </c>
    </row>
    <row r="5320" spans="1:16" x14ac:dyDescent="0.3">
      <c r="A5320">
        <v>2128</v>
      </c>
      <c r="B5320">
        <v>49</v>
      </c>
      <c r="C5320" t="s">
        <v>26</v>
      </c>
      <c r="D5320" t="s">
        <v>27</v>
      </c>
      <c r="E5320" t="s">
        <v>17</v>
      </c>
      <c r="F5320" t="s">
        <v>18</v>
      </c>
      <c r="G5320" t="s">
        <v>41</v>
      </c>
      <c r="H5320" t="s">
        <v>25</v>
      </c>
      <c r="I5320" s="1">
        <v>3</v>
      </c>
      <c r="J5320" s="2">
        <v>45916</v>
      </c>
      <c r="K5320" s="2">
        <v>45901</v>
      </c>
      <c r="L5320" s="1" t="str">
        <f t="shared" si="613"/>
        <v>ter</v>
      </c>
      <c r="M5320" s="1" t="str">
        <f t="shared" si="614"/>
        <v>set</v>
      </c>
      <c r="N5320">
        <f t="shared" si="615"/>
        <v>2025</v>
      </c>
      <c r="O5320" s="2"/>
      <c r="P5320" t="str">
        <f t="shared" si="616"/>
        <v>212845916</v>
      </c>
    </row>
    <row r="5321" spans="1:16" x14ac:dyDescent="0.3">
      <c r="A5321">
        <v>2128</v>
      </c>
      <c r="B5321">
        <v>49</v>
      </c>
      <c r="C5321" t="s">
        <v>26</v>
      </c>
      <c r="D5321" t="s">
        <v>27</v>
      </c>
      <c r="E5321" t="s">
        <v>17</v>
      </c>
      <c r="F5321" t="s">
        <v>18</v>
      </c>
      <c r="G5321" t="s">
        <v>41</v>
      </c>
      <c r="H5321" t="s">
        <v>25</v>
      </c>
      <c r="I5321" s="1">
        <v>3</v>
      </c>
      <c r="J5321" s="2">
        <v>45918</v>
      </c>
      <c r="K5321" s="2">
        <v>45901</v>
      </c>
      <c r="L5321" s="1" t="str">
        <f t="shared" si="613"/>
        <v>qui</v>
      </c>
      <c r="M5321" s="1" t="str">
        <f t="shared" si="614"/>
        <v>set</v>
      </c>
      <c r="N5321">
        <f t="shared" si="615"/>
        <v>2025</v>
      </c>
      <c r="O5321" s="2"/>
      <c r="P5321" t="str">
        <f t="shared" si="616"/>
        <v>212845918</v>
      </c>
    </row>
    <row r="5322" spans="1:16" x14ac:dyDescent="0.3">
      <c r="A5322">
        <v>2129</v>
      </c>
      <c r="B5322">
        <v>52</v>
      </c>
      <c r="C5322" t="s">
        <v>26</v>
      </c>
      <c r="D5322" t="s">
        <v>16</v>
      </c>
      <c r="E5322" t="s">
        <v>17</v>
      </c>
      <c r="F5322" t="s">
        <v>18</v>
      </c>
      <c r="G5322" t="s">
        <v>41</v>
      </c>
      <c r="H5322" t="s">
        <v>25</v>
      </c>
      <c r="I5322" s="1">
        <v>3</v>
      </c>
      <c r="J5322" s="2">
        <v>45890</v>
      </c>
      <c r="K5322" s="2">
        <v>45870</v>
      </c>
      <c r="L5322" s="1" t="str">
        <f t="shared" si="613"/>
        <v>qui</v>
      </c>
      <c r="M5322" s="1" t="str">
        <f t="shared" si="614"/>
        <v>ago</v>
      </c>
      <c r="N5322">
        <f t="shared" si="615"/>
        <v>2025</v>
      </c>
      <c r="O5322" s="2"/>
      <c r="P5322" t="str">
        <f t="shared" si="616"/>
        <v>212945890</v>
      </c>
    </row>
    <row r="5323" spans="1:16" x14ac:dyDescent="0.3">
      <c r="A5323">
        <v>2129</v>
      </c>
      <c r="B5323">
        <v>52</v>
      </c>
      <c r="C5323" t="s">
        <v>26</v>
      </c>
      <c r="D5323" t="s">
        <v>16</v>
      </c>
      <c r="E5323" t="s">
        <v>17</v>
      </c>
      <c r="F5323" t="s">
        <v>18</v>
      </c>
      <c r="G5323" t="s">
        <v>41</v>
      </c>
      <c r="H5323" t="s">
        <v>25</v>
      </c>
      <c r="I5323" s="1">
        <v>3</v>
      </c>
      <c r="J5323" s="2">
        <v>45896</v>
      </c>
      <c r="K5323" s="2">
        <v>45870</v>
      </c>
      <c r="L5323" s="1" t="str">
        <f t="shared" si="613"/>
        <v>qua</v>
      </c>
      <c r="M5323" s="1" t="str">
        <f t="shared" si="614"/>
        <v>ago</v>
      </c>
      <c r="N5323">
        <f t="shared" si="615"/>
        <v>2025</v>
      </c>
      <c r="O5323" s="2"/>
      <c r="P5323" t="str">
        <f t="shared" si="616"/>
        <v>212945896</v>
      </c>
    </row>
    <row r="5324" spans="1:16" x14ac:dyDescent="0.3">
      <c r="A5324">
        <v>2129</v>
      </c>
      <c r="B5324">
        <v>52</v>
      </c>
      <c r="C5324" t="s">
        <v>26</v>
      </c>
      <c r="D5324" t="s">
        <v>16</v>
      </c>
      <c r="E5324" t="s">
        <v>17</v>
      </c>
      <c r="F5324" t="s">
        <v>18</v>
      </c>
      <c r="G5324" t="s">
        <v>41</v>
      </c>
      <c r="H5324" t="s">
        <v>25</v>
      </c>
      <c r="I5324" s="1">
        <v>3</v>
      </c>
      <c r="J5324" s="2">
        <v>45900</v>
      </c>
      <c r="K5324" s="2">
        <v>45870</v>
      </c>
      <c r="L5324" s="1" t="str">
        <f t="shared" si="613"/>
        <v>dom</v>
      </c>
      <c r="M5324" s="1" t="str">
        <f t="shared" si="614"/>
        <v>ago</v>
      </c>
      <c r="N5324">
        <f t="shared" si="615"/>
        <v>2025</v>
      </c>
      <c r="O5324" s="2"/>
      <c r="P5324" t="str">
        <f t="shared" si="616"/>
        <v>212945900</v>
      </c>
    </row>
    <row r="5325" spans="1:16" x14ac:dyDescent="0.3">
      <c r="A5325">
        <v>2129</v>
      </c>
      <c r="B5325">
        <v>52</v>
      </c>
      <c r="C5325" t="s">
        <v>26</v>
      </c>
      <c r="D5325" t="s">
        <v>16</v>
      </c>
      <c r="E5325" t="s">
        <v>17</v>
      </c>
      <c r="F5325" t="s">
        <v>18</v>
      </c>
      <c r="G5325" t="s">
        <v>41</v>
      </c>
      <c r="H5325" t="s">
        <v>25</v>
      </c>
      <c r="I5325" s="1">
        <v>3</v>
      </c>
      <c r="J5325" s="2">
        <v>45915</v>
      </c>
      <c r="K5325" s="2">
        <v>45901</v>
      </c>
      <c r="L5325" s="1" t="str">
        <f t="shared" si="613"/>
        <v>seg</v>
      </c>
      <c r="M5325" s="1" t="str">
        <f t="shared" si="614"/>
        <v>set</v>
      </c>
      <c r="N5325">
        <f t="shared" si="615"/>
        <v>2025</v>
      </c>
      <c r="O5325" s="2"/>
      <c r="P5325" t="str">
        <f t="shared" si="616"/>
        <v>212945915</v>
      </c>
    </row>
    <row r="5326" spans="1:16" x14ac:dyDescent="0.3">
      <c r="A5326">
        <v>2129</v>
      </c>
      <c r="B5326">
        <v>52</v>
      </c>
      <c r="C5326" t="s">
        <v>26</v>
      </c>
      <c r="D5326" t="s">
        <v>16</v>
      </c>
      <c r="E5326" t="s">
        <v>17</v>
      </c>
      <c r="F5326" t="s">
        <v>18</v>
      </c>
      <c r="G5326" t="s">
        <v>41</v>
      </c>
      <c r="H5326" t="s">
        <v>25</v>
      </c>
      <c r="I5326" s="1">
        <v>3</v>
      </c>
      <c r="J5326" s="2">
        <v>45994</v>
      </c>
      <c r="K5326" s="2">
        <v>45992</v>
      </c>
      <c r="L5326" s="1" t="str">
        <f t="shared" si="613"/>
        <v>qua</v>
      </c>
      <c r="M5326" s="1" t="str">
        <f t="shared" si="614"/>
        <v>dez</v>
      </c>
      <c r="N5326">
        <f t="shared" si="615"/>
        <v>2025</v>
      </c>
      <c r="O5326" s="2"/>
      <c r="P5326" t="str">
        <f t="shared" si="616"/>
        <v>212945994</v>
      </c>
    </row>
    <row r="5327" spans="1:16" x14ac:dyDescent="0.3">
      <c r="A5327">
        <v>2129</v>
      </c>
      <c r="B5327">
        <v>52</v>
      </c>
      <c r="C5327" t="s">
        <v>26</v>
      </c>
      <c r="D5327" t="s">
        <v>16</v>
      </c>
      <c r="E5327" t="s">
        <v>17</v>
      </c>
      <c r="F5327" t="s">
        <v>18</v>
      </c>
      <c r="G5327" t="s">
        <v>41</v>
      </c>
      <c r="H5327" t="s">
        <v>25</v>
      </c>
      <c r="I5327" s="1">
        <v>3</v>
      </c>
      <c r="J5327" s="2">
        <v>45998</v>
      </c>
      <c r="K5327" s="2">
        <v>45992</v>
      </c>
      <c r="L5327" s="1" t="str">
        <f t="shared" si="613"/>
        <v>dom</v>
      </c>
      <c r="M5327" s="1" t="str">
        <f t="shared" si="614"/>
        <v>dez</v>
      </c>
      <c r="N5327">
        <f t="shared" si="615"/>
        <v>2025</v>
      </c>
      <c r="O5327" s="2"/>
      <c r="P5327" t="str">
        <f t="shared" si="616"/>
        <v>212945998</v>
      </c>
    </row>
    <row r="5328" spans="1:16" x14ac:dyDescent="0.3">
      <c r="A5328">
        <v>2131</v>
      </c>
      <c r="B5328">
        <v>23</v>
      </c>
      <c r="C5328" t="s">
        <v>26</v>
      </c>
      <c r="D5328" t="s">
        <v>22</v>
      </c>
      <c r="E5328" t="s">
        <v>17</v>
      </c>
      <c r="F5328" t="s">
        <v>23</v>
      </c>
      <c r="G5328" t="s">
        <v>41</v>
      </c>
      <c r="H5328" t="s">
        <v>20</v>
      </c>
      <c r="I5328" s="1">
        <v>2</v>
      </c>
      <c r="J5328" s="2">
        <v>45841</v>
      </c>
      <c r="K5328" s="2">
        <v>45839</v>
      </c>
      <c r="L5328" s="1" t="str">
        <f t="shared" si="613"/>
        <v>qui</v>
      </c>
      <c r="M5328" s="1" t="str">
        <f t="shared" si="614"/>
        <v>jul</v>
      </c>
      <c r="N5328">
        <f t="shared" si="615"/>
        <v>2025</v>
      </c>
      <c r="O5328" s="2">
        <f>_xlfn.XLOOKUP(A5328,Colaboradores!$A:$A,Colaboradores!$S:$S,"",0)</f>
        <v>45864</v>
      </c>
      <c r="P5328" t="str">
        <f t="shared" si="616"/>
        <v>213145841</v>
      </c>
    </row>
    <row r="5329" spans="1:16" x14ac:dyDescent="0.3">
      <c r="A5329">
        <v>2132</v>
      </c>
      <c r="B5329">
        <v>26</v>
      </c>
      <c r="C5329" t="s">
        <v>15</v>
      </c>
      <c r="D5329" t="s">
        <v>22</v>
      </c>
      <c r="E5329" t="s">
        <v>17</v>
      </c>
      <c r="F5329" t="s">
        <v>23</v>
      </c>
      <c r="G5329" t="s">
        <v>41</v>
      </c>
      <c r="H5329" t="s">
        <v>25</v>
      </c>
      <c r="I5329" s="1">
        <v>1</v>
      </c>
      <c r="J5329" s="2">
        <v>45857</v>
      </c>
      <c r="K5329" s="2">
        <v>45839</v>
      </c>
      <c r="L5329" s="1" t="str">
        <f t="shared" si="613"/>
        <v>sáb</v>
      </c>
      <c r="M5329" s="1" t="str">
        <f t="shared" si="614"/>
        <v>jul</v>
      </c>
      <c r="N5329">
        <f t="shared" si="615"/>
        <v>2025</v>
      </c>
      <c r="O5329" s="2"/>
      <c r="P5329" t="str">
        <f t="shared" si="616"/>
        <v>213245857</v>
      </c>
    </row>
    <row r="5330" spans="1:16" x14ac:dyDescent="0.3">
      <c r="A5330">
        <v>2132</v>
      </c>
      <c r="B5330">
        <v>26</v>
      </c>
      <c r="C5330" t="s">
        <v>15</v>
      </c>
      <c r="D5330" t="s">
        <v>22</v>
      </c>
      <c r="E5330" t="s">
        <v>17</v>
      </c>
      <c r="F5330" t="s">
        <v>23</v>
      </c>
      <c r="G5330" t="s">
        <v>41</v>
      </c>
      <c r="H5330" t="s">
        <v>25</v>
      </c>
      <c r="I5330" s="1">
        <v>1</v>
      </c>
      <c r="J5330" s="2">
        <v>45959</v>
      </c>
      <c r="K5330" s="2">
        <v>45931</v>
      </c>
      <c r="L5330" s="1" t="str">
        <f t="shared" si="613"/>
        <v>qua</v>
      </c>
      <c r="M5330" s="1" t="str">
        <f t="shared" si="614"/>
        <v>out</v>
      </c>
      <c r="N5330">
        <f t="shared" si="615"/>
        <v>2025</v>
      </c>
      <c r="O5330" s="2"/>
      <c r="P5330" t="str">
        <f t="shared" si="616"/>
        <v>213245959</v>
      </c>
    </row>
    <row r="5331" spans="1:16" x14ac:dyDescent="0.3">
      <c r="A5331">
        <v>2132</v>
      </c>
      <c r="B5331">
        <v>26</v>
      </c>
      <c r="C5331" t="s">
        <v>15</v>
      </c>
      <c r="D5331" t="s">
        <v>22</v>
      </c>
      <c r="E5331" t="s">
        <v>17</v>
      </c>
      <c r="F5331" t="s">
        <v>23</v>
      </c>
      <c r="G5331" t="s">
        <v>41</v>
      </c>
      <c r="H5331" t="s">
        <v>25</v>
      </c>
      <c r="I5331" s="1">
        <v>1</v>
      </c>
      <c r="J5331" s="2">
        <v>45962</v>
      </c>
      <c r="K5331" s="2">
        <v>45962</v>
      </c>
      <c r="L5331" s="1" t="str">
        <f t="shared" si="613"/>
        <v>sáb</v>
      </c>
      <c r="M5331" s="1" t="str">
        <f t="shared" si="614"/>
        <v>nov</v>
      </c>
      <c r="N5331">
        <f t="shared" si="615"/>
        <v>2025</v>
      </c>
      <c r="O5331" s="2"/>
      <c r="P5331" t="str">
        <f t="shared" si="616"/>
        <v>213245962</v>
      </c>
    </row>
    <row r="5332" spans="1:16" x14ac:dyDescent="0.3">
      <c r="A5332">
        <v>2132</v>
      </c>
      <c r="B5332">
        <v>26</v>
      </c>
      <c r="C5332" t="s">
        <v>15</v>
      </c>
      <c r="D5332" t="s">
        <v>22</v>
      </c>
      <c r="E5332" t="s">
        <v>17</v>
      </c>
      <c r="F5332" t="s">
        <v>23</v>
      </c>
      <c r="G5332" t="s">
        <v>41</v>
      </c>
      <c r="H5332" t="s">
        <v>25</v>
      </c>
      <c r="I5332" s="1">
        <v>1</v>
      </c>
      <c r="J5332" s="2">
        <v>46019</v>
      </c>
      <c r="K5332" s="2">
        <v>45992</v>
      </c>
      <c r="L5332" s="1" t="str">
        <f t="shared" si="613"/>
        <v>dom</v>
      </c>
      <c r="M5332" s="1" t="str">
        <f t="shared" si="614"/>
        <v>dez</v>
      </c>
      <c r="N5332">
        <f t="shared" si="615"/>
        <v>2025</v>
      </c>
      <c r="O5332" s="2"/>
      <c r="P5332" t="str">
        <f t="shared" si="616"/>
        <v>213246019</v>
      </c>
    </row>
    <row r="5333" spans="1:16" x14ac:dyDescent="0.3">
      <c r="A5333">
        <v>2132</v>
      </c>
      <c r="B5333">
        <v>26</v>
      </c>
      <c r="C5333" t="s">
        <v>15</v>
      </c>
      <c r="D5333" t="s">
        <v>22</v>
      </c>
      <c r="E5333" t="s">
        <v>17</v>
      </c>
      <c r="F5333" t="s">
        <v>23</v>
      </c>
      <c r="G5333" t="s">
        <v>41</v>
      </c>
      <c r="H5333" t="s">
        <v>25</v>
      </c>
      <c r="I5333" s="1">
        <v>1</v>
      </c>
      <c r="J5333" s="2">
        <v>46076</v>
      </c>
      <c r="K5333" s="2">
        <v>46054</v>
      </c>
      <c r="L5333" s="1" t="str">
        <f t="shared" si="613"/>
        <v>seg</v>
      </c>
      <c r="M5333" s="1" t="str">
        <f t="shared" si="614"/>
        <v>fev</v>
      </c>
      <c r="N5333">
        <f t="shared" si="615"/>
        <v>2026</v>
      </c>
      <c r="O5333" s="2"/>
      <c r="P5333" t="str">
        <f t="shared" si="616"/>
        <v>213246076</v>
      </c>
    </row>
    <row r="5334" spans="1:16" x14ac:dyDescent="0.3">
      <c r="A5334">
        <v>2132</v>
      </c>
      <c r="B5334">
        <v>26</v>
      </c>
      <c r="C5334" t="s">
        <v>15</v>
      </c>
      <c r="D5334" t="s">
        <v>22</v>
      </c>
      <c r="E5334" t="s">
        <v>17</v>
      </c>
      <c r="F5334" t="s">
        <v>23</v>
      </c>
      <c r="G5334" t="s">
        <v>41</v>
      </c>
      <c r="H5334" t="s">
        <v>25</v>
      </c>
      <c r="I5334" s="1">
        <v>1</v>
      </c>
      <c r="J5334" s="2">
        <v>46110</v>
      </c>
      <c r="K5334" s="2">
        <v>46082</v>
      </c>
      <c r="L5334" s="1" t="str">
        <f t="shared" si="613"/>
        <v>dom</v>
      </c>
      <c r="M5334" s="1" t="str">
        <f t="shared" si="614"/>
        <v>mar</v>
      </c>
      <c r="N5334">
        <f t="shared" si="615"/>
        <v>2026</v>
      </c>
      <c r="O5334" s="2"/>
      <c r="P5334" t="str">
        <f t="shared" si="616"/>
        <v>213246110</v>
      </c>
    </row>
    <row r="5335" spans="1:16" x14ac:dyDescent="0.3">
      <c r="A5335">
        <v>2132</v>
      </c>
      <c r="B5335">
        <v>26</v>
      </c>
      <c r="C5335" t="s">
        <v>15</v>
      </c>
      <c r="D5335" t="s">
        <v>22</v>
      </c>
      <c r="E5335" t="s">
        <v>17</v>
      </c>
      <c r="F5335" t="s">
        <v>23</v>
      </c>
      <c r="G5335" t="s">
        <v>41</v>
      </c>
      <c r="H5335" t="s">
        <v>25</v>
      </c>
      <c r="I5335" s="1">
        <v>1</v>
      </c>
      <c r="J5335" s="2">
        <v>46162</v>
      </c>
      <c r="K5335" s="2">
        <v>46143</v>
      </c>
      <c r="L5335" s="1" t="str">
        <f t="shared" si="613"/>
        <v>qua</v>
      </c>
      <c r="M5335" s="1" t="str">
        <f t="shared" si="614"/>
        <v>mai</v>
      </c>
      <c r="N5335">
        <f t="shared" si="615"/>
        <v>2026</v>
      </c>
      <c r="O5335" s="2"/>
      <c r="P5335" t="str">
        <f t="shared" si="616"/>
        <v>213246162</v>
      </c>
    </row>
    <row r="5336" spans="1:16" x14ac:dyDescent="0.3">
      <c r="A5336">
        <v>2134</v>
      </c>
      <c r="B5336">
        <v>33</v>
      </c>
      <c r="C5336" t="s">
        <v>26</v>
      </c>
      <c r="D5336" t="s">
        <v>29</v>
      </c>
      <c r="E5336" t="s">
        <v>17</v>
      </c>
      <c r="F5336" t="s">
        <v>21</v>
      </c>
      <c r="G5336" t="s">
        <v>41</v>
      </c>
      <c r="H5336" t="s">
        <v>25</v>
      </c>
      <c r="I5336" s="1">
        <v>2</v>
      </c>
      <c r="J5336" s="2">
        <v>45823</v>
      </c>
      <c r="K5336" s="2">
        <v>45809</v>
      </c>
      <c r="L5336" s="1" t="str">
        <f t="shared" si="613"/>
        <v>dom</v>
      </c>
      <c r="M5336" s="1" t="str">
        <f t="shared" si="614"/>
        <v>jun</v>
      </c>
      <c r="N5336">
        <f t="shared" si="615"/>
        <v>2025</v>
      </c>
      <c r="O5336" s="2"/>
      <c r="P5336" t="str">
        <f t="shared" si="616"/>
        <v>213445823</v>
      </c>
    </row>
    <row r="5337" spans="1:16" x14ac:dyDescent="0.3">
      <c r="A5337">
        <v>2134</v>
      </c>
      <c r="B5337">
        <v>33</v>
      </c>
      <c r="C5337" t="s">
        <v>26</v>
      </c>
      <c r="D5337" t="s">
        <v>29</v>
      </c>
      <c r="E5337" t="s">
        <v>17</v>
      </c>
      <c r="F5337" t="s">
        <v>21</v>
      </c>
      <c r="G5337" t="s">
        <v>41</v>
      </c>
      <c r="H5337" t="s">
        <v>25</v>
      </c>
      <c r="I5337" s="1">
        <v>2</v>
      </c>
      <c r="J5337" s="2">
        <v>45867</v>
      </c>
      <c r="K5337" s="2">
        <v>45839</v>
      </c>
      <c r="L5337" s="1" t="str">
        <f t="shared" ref="L5337:L5368" si="617">TEXT(J5337,"ddd")</f>
        <v>ter</v>
      </c>
      <c r="M5337" s="1" t="str">
        <f t="shared" ref="M5337:M5368" si="618">TEXT($J5337,"mmm")</f>
        <v>jul</v>
      </c>
      <c r="N5337">
        <f t="shared" ref="N5337:N5368" si="619">YEAR(J5337)</f>
        <v>2025</v>
      </c>
      <c r="O5337" s="2"/>
      <c r="P5337" t="str">
        <f t="shared" si="616"/>
        <v>213445867</v>
      </c>
    </row>
    <row r="5338" spans="1:16" x14ac:dyDescent="0.3">
      <c r="A5338">
        <v>2134</v>
      </c>
      <c r="B5338">
        <v>33</v>
      </c>
      <c r="C5338" t="s">
        <v>26</v>
      </c>
      <c r="D5338" t="s">
        <v>29</v>
      </c>
      <c r="E5338" t="s">
        <v>17</v>
      </c>
      <c r="F5338" t="s">
        <v>21</v>
      </c>
      <c r="G5338" t="s">
        <v>41</v>
      </c>
      <c r="H5338" t="s">
        <v>25</v>
      </c>
      <c r="I5338" s="1">
        <v>2</v>
      </c>
      <c r="J5338" s="2">
        <v>45878</v>
      </c>
      <c r="K5338" s="2">
        <v>45870</v>
      </c>
      <c r="L5338" s="1" t="str">
        <f t="shared" si="617"/>
        <v>sáb</v>
      </c>
      <c r="M5338" s="1" t="str">
        <f t="shared" si="618"/>
        <v>ago</v>
      </c>
      <c r="N5338">
        <f t="shared" si="619"/>
        <v>2025</v>
      </c>
      <c r="O5338" s="2"/>
      <c r="P5338" t="str">
        <f t="shared" si="616"/>
        <v>213445878</v>
      </c>
    </row>
    <row r="5339" spans="1:16" x14ac:dyDescent="0.3">
      <c r="A5339">
        <v>2134</v>
      </c>
      <c r="B5339">
        <v>33</v>
      </c>
      <c r="C5339" t="s">
        <v>26</v>
      </c>
      <c r="D5339" t="s">
        <v>29</v>
      </c>
      <c r="E5339" t="s">
        <v>17</v>
      </c>
      <c r="F5339" t="s">
        <v>21</v>
      </c>
      <c r="G5339" t="s">
        <v>41</v>
      </c>
      <c r="H5339" t="s">
        <v>25</v>
      </c>
      <c r="I5339" s="1">
        <v>2</v>
      </c>
      <c r="J5339" s="2">
        <v>45898</v>
      </c>
      <c r="K5339" s="2">
        <v>45870</v>
      </c>
      <c r="L5339" s="1" t="str">
        <f t="shared" si="617"/>
        <v>sex</v>
      </c>
      <c r="M5339" s="1" t="str">
        <f t="shared" si="618"/>
        <v>ago</v>
      </c>
      <c r="N5339">
        <f t="shared" si="619"/>
        <v>2025</v>
      </c>
      <c r="O5339" s="2"/>
      <c r="P5339" t="str">
        <f t="shared" si="616"/>
        <v>213445898</v>
      </c>
    </row>
    <row r="5340" spans="1:16" x14ac:dyDescent="0.3">
      <c r="A5340">
        <v>2134</v>
      </c>
      <c r="B5340">
        <v>33</v>
      </c>
      <c r="C5340" t="s">
        <v>26</v>
      </c>
      <c r="D5340" t="s">
        <v>29</v>
      </c>
      <c r="E5340" t="s">
        <v>17</v>
      </c>
      <c r="F5340" t="s">
        <v>21</v>
      </c>
      <c r="G5340" t="s">
        <v>41</v>
      </c>
      <c r="H5340" t="s">
        <v>25</v>
      </c>
      <c r="I5340" s="1">
        <v>2</v>
      </c>
      <c r="J5340" s="2">
        <v>45979</v>
      </c>
      <c r="K5340" s="2">
        <v>45962</v>
      </c>
      <c r="L5340" s="1" t="str">
        <f t="shared" si="617"/>
        <v>ter</v>
      </c>
      <c r="M5340" s="1" t="str">
        <f t="shared" si="618"/>
        <v>nov</v>
      </c>
      <c r="N5340">
        <f t="shared" si="619"/>
        <v>2025</v>
      </c>
      <c r="O5340" s="2"/>
      <c r="P5340" t="str">
        <f t="shared" si="616"/>
        <v>213445979</v>
      </c>
    </row>
    <row r="5341" spans="1:16" x14ac:dyDescent="0.3">
      <c r="A5341">
        <v>2134</v>
      </c>
      <c r="B5341">
        <v>33</v>
      </c>
      <c r="C5341" t="s">
        <v>26</v>
      </c>
      <c r="D5341" t="s">
        <v>29</v>
      </c>
      <c r="E5341" t="s">
        <v>17</v>
      </c>
      <c r="F5341" t="s">
        <v>21</v>
      </c>
      <c r="G5341" t="s">
        <v>41</v>
      </c>
      <c r="H5341" t="s">
        <v>25</v>
      </c>
      <c r="I5341" s="1">
        <v>2</v>
      </c>
      <c r="J5341" s="2">
        <v>45996</v>
      </c>
      <c r="K5341" s="2">
        <v>45992</v>
      </c>
      <c r="L5341" s="1" t="str">
        <f t="shared" si="617"/>
        <v>sex</v>
      </c>
      <c r="M5341" s="1" t="str">
        <f t="shared" si="618"/>
        <v>dez</v>
      </c>
      <c r="N5341">
        <f t="shared" si="619"/>
        <v>2025</v>
      </c>
      <c r="O5341" s="2"/>
      <c r="P5341" t="str">
        <f t="shared" si="616"/>
        <v>213445996</v>
      </c>
    </row>
    <row r="5342" spans="1:16" x14ac:dyDescent="0.3">
      <c r="A5342">
        <v>2135</v>
      </c>
      <c r="B5342">
        <v>41</v>
      </c>
      <c r="C5342" t="s">
        <v>26</v>
      </c>
      <c r="D5342" t="s">
        <v>31</v>
      </c>
      <c r="E5342" t="s">
        <v>34</v>
      </c>
      <c r="F5342" t="s">
        <v>21</v>
      </c>
      <c r="G5342" t="s">
        <v>41</v>
      </c>
      <c r="H5342" t="s">
        <v>20</v>
      </c>
      <c r="I5342" s="1">
        <v>1</v>
      </c>
      <c r="J5342" s="2">
        <v>45673</v>
      </c>
      <c r="K5342" s="2">
        <v>45658</v>
      </c>
      <c r="L5342" s="1" t="str">
        <f t="shared" si="617"/>
        <v>qui</v>
      </c>
      <c r="M5342" s="1" t="str">
        <f t="shared" si="618"/>
        <v>jan</v>
      </c>
      <c r="N5342">
        <f t="shared" si="619"/>
        <v>2025</v>
      </c>
      <c r="O5342" s="2">
        <f>_xlfn.XLOOKUP(A5342,Colaboradores!$A:$A,Colaboradores!$S:$S,"",0)</f>
        <v>45788</v>
      </c>
      <c r="P5342" t="str">
        <f t="shared" si="616"/>
        <v>213545673</v>
      </c>
    </row>
    <row r="5343" spans="1:16" x14ac:dyDescent="0.3">
      <c r="A5343">
        <v>2135</v>
      </c>
      <c r="B5343">
        <v>41</v>
      </c>
      <c r="C5343" t="s">
        <v>26</v>
      </c>
      <c r="D5343" t="s">
        <v>31</v>
      </c>
      <c r="E5343" t="s">
        <v>34</v>
      </c>
      <c r="F5343" t="s">
        <v>21</v>
      </c>
      <c r="G5343" t="s">
        <v>41</v>
      </c>
      <c r="H5343" t="s">
        <v>20</v>
      </c>
      <c r="I5343" s="1">
        <v>1</v>
      </c>
      <c r="J5343" s="2">
        <v>45676</v>
      </c>
      <c r="K5343" s="2">
        <v>45658</v>
      </c>
      <c r="L5343" s="1" t="str">
        <f t="shared" si="617"/>
        <v>dom</v>
      </c>
      <c r="M5343" s="1" t="str">
        <f t="shared" si="618"/>
        <v>jan</v>
      </c>
      <c r="N5343">
        <f t="shared" si="619"/>
        <v>2025</v>
      </c>
      <c r="O5343" s="2">
        <f>_xlfn.XLOOKUP(A5343,Colaboradores!$A:$A,Colaboradores!$S:$S,"",0)</f>
        <v>45788</v>
      </c>
      <c r="P5343" t="str">
        <f t="shared" si="616"/>
        <v>213545676</v>
      </c>
    </row>
    <row r="5344" spans="1:16" x14ac:dyDescent="0.3">
      <c r="A5344">
        <v>2135</v>
      </c>
      <c r="B5344">
        <v>41</v>
      </c>
      <c r="C5344" t="s">
        <v>26</v>
      </c>
      <c r="D5344" t="s">
        <v>31</v>
      </c>
      <c r="E5344" t="s">
        <v>34</v>
      </c>
      <c r="F5344" t="s">
        <v>21</v>
      </c>
      <c r="G5344" t="s">
        <v>57</v>
      </c>
      <c r="H5344" t="s">
        <v>20</v>
      </c>
      <c r="I5344" s="1">
        <v>1</v>
      </c>
      <c r="J5344" s="2">
        <v>45734</v>
      </c>
      <c r="K5344" s="2">
        <v>45717</v>
      </c>
      <c r="L5344" s="1" t="str">
        <f t="shared" si="617"/>
        <v>ter</v>
      </c>
      <c r="M5344" s="1" t="str">
        <f t="shared" si="618"/>
        <v>mar</v>
      </c>
      <c r="N5344">
        <f t="shared" si="619"/>
        <v>2025</v>
      </c>
      <c r="O5344" s="2">
        <f>_xlfn.XLOOKUP(A5344,Colaboradores!$A:$A,Colaboradores!$S:$S,"",0)</f>
        <v>45788</v>
      </c>
      <c r="P5344" t="str">
        <f t="shared" si="616"/>
        <v>213545734</v>
      </c>
    </row>
    <row r="5345" spans="1:16" x14ac:dyDescent="0.3">
      <c r="A5345">
        <v>2135</v>
      </c>
      <c r="B5345">
        <v>41</v>
      </c>
      <c r="C5345" t="s">
        <v>26</v>
      </c>
      <c r="D5345" t="s">
        <v>31</v>
      </c>
      <c r="E5345" t="s">
        <v>34</v>
      </c>
      <c r="F5345" t="s">
        <v>21</v>
      </c>
      <c r="G5345" t="s">
        <v>41</v>
      </c>
      <c r="H5345" t="s">
        <v>20</v>
      </c>
      <c r="I5345" s="1">
        <v>1</v>
      </c>
      <c r="J5345" s="2">
        <v>45772</v>
      </c>
      <c r="K5345" s="2">
        <v>45748</v>
      </c>
      <c r="L5345" s="1" t="str">
        <f t="shared" si="617"/>
        <v>sex</v>
      </c>
      <c r="M5345" s="1" t="str">
        <f t="shared" si="618"/>
        <v>abr</v>
      </c>
      <c r="N5345">
        <f t="shared" si="619"/>
        <v>2025</v>
      </c>
      <c r="O5345" s="2">
        <f>_xlfn.XLOOKUP(A5345,Colaboradores!$A:$A,Colaboradores!$S:$S,"",0)</f>
        <v>45788</v>
      </c>
      <c r="P5345" t="str">
        <f t="shared" si="616"/>
        <v>213545772</v>
      </c>
    </row>
    <row r="5346" spans="1:16" x14ac:dyDescent="0.3">
      <c r="A5346">
        <v>2135</v>
      </c>
      <c r="B5346">
        <v>41</v>
      </c>
      <c r="C5346" t="s">
        <v>26</v>
      </c>
      <c r="D5346" t="s">
        <v>31</v>
      </c>
      <c r="E5346" t="s">
        <v>34</v>
      </c>
      <c r="F5346" t="s">
        <v>21</v>
      </c>
      <c r="G5346" t="s">
        <v>41</v>
      </c>
      <c r="H5346" t="s">
        <v>20</v>
      </c>
      <c r="I5346" s="1">
        <v>1</v>
      </c>
      <c r="J5346" s="2">
        <v>45773</v>
      </c>
      <c r="K5346" s="2">
        <v>45748</v>
      </c>
      <c r="L5346" s="1" t="str">
        <f t="shared" si="617"/>
        <v>sáb</v>
      </c>
      <c r="M5346" s="1" t="str">
        <f t="shared" si="618"/>
        <v>abr</v>
      </c>
      <c r="N5346">
        <f t="shared" si="619"/>
        <v>2025</v>
      </c>
      <c r="O5346" s="2">
        <f>_xlfn.XLOOKUP(A5346,Colaboradores!$A:$A,Colaboradores!$S:$S,"",0)</f>
        <v>45788</v>
      </c>
      <c r="P5346" t="str">
        <f t="shared" si="616"/>
        <v>213545773</v>
      </c>
    </row>
    <row r="5347" spans="1:16" x14ac:dyDescent="0.3">
      <c r="A5347">
        <v>2135</v>
      </c>
      <c r="B5347">
        <v>41</v>
      </c>
      <c r="C5347" t="s">
        <v>26</v>
      </c>
      <c r="D5347" t="s">
        <v>31</v>
      </c>
      <c r="E5347" t="s">
        <v>34</v>
      </c>
      <c r="F5347" t="s">
        <v>21</v>
      </c>
      <c r="G5347" t="s">
        <v>41</v>
      </c>
      <c r="H5347" t="s">
        <v>20</v>
      </c>
      <c r="I5347" s="1">
        <v>1</v>
      </c>
      <c r="J5347" s="2">
        <v>45783</v>
      </c>
      <c r="K5347" s="2">
        <v>45778</v>
      </c>
      <c r="L5347" s="1" t="str">
        <f t="shared" si="617"/>
        <v>ter</v>
      </c>
      <c r="M5347" s="1" t="str">
        <f t="shared" si="618"/>
        <v>mai</v>
      </c>
      <c r="N5347">
        <f t="shared" si="619"/>
        <v>2025</v>
      </c>
      <c r="O5347" s="2">
        <f>_xlfn.XLOOKUP(A5347,Colaboradores!$A:$A,Colaboradores!$S:$S,"",0)</f>
        <v>45788</v>
      </c>
      <c r="P5347" t="str">
        <f t="shared" si="616"/>
        <v>213545783</v>
      </c>
    </row>
    <row r="5348" spans="1:16" x14ac:dyDescent="0.3">
      <c r="A5348">
        <v>2137</v>
      </c>
      <c r="B5348">
        <v>21</v>
      </c>
      <c r="C5348" t="s">
        <v>15</v>
      </c>
      <c r="D5348" t="s">
        <v>16</v>
      </c>
      <c r="E5348" t="s">
        <v>17</v>
      </c>
      <c r="F5348" t="s">
        <v>18</v>
      </c>
      <c r="G5348" t="s">
        <v>41</v>
      </c>
      <c r="H5348" t="s">
        <v>25</v>
      </c>
      <c r="I5348" s="1">
        <v>3</v>
      </c>
      <c r="J5348" s="2">
        <v>45871</v>
      </c>
      <c r="K5348" s="2">
        <v>45870</v>
      </c>
      <c r="L5348" s="1" t="str">
        <f t="shared" si="617"/>
        <v>sáb</v>
      </c>
      <c r="M5348" s="1" t="str">
        <f t="shared" si="618"/>
        <v>ago</v>
      </c>
      <c r="N5348">
        <f t="shared" si="619"/>
        <v>2025</v>
      </c>
      <c r="O5348" s="2"/>
      <c r="P5348" t="str">
        <f t="shared" si="616"/>
        <v>213745871</v>
      </c>
    </row>
    <row r="5349" spans="1:16" x14ac:dyDescent="0.3">
      <c r="A5349">
        <v>2137</v>
      </c>
      <c r="B5349">
        <v>21</v>
      </c>
      <c r="C5349" t="s">
        <v>15</v>
      </c>
      <c r="D5349" t="s">
        <v>16</v>
      </c>
      <c r="E5349" t="s">
        <v>17</v>
      </c>
      <c r="F5349" t="s">
        <v>18</v>
      </c>
      <c r="G5349" t="s">
        <v>41</v>
      </c>
      <c r="H5349" t="s">
        <v>25</v>
      </c>
      <c r="I5349" s="1">
        <v>3</v>
      </c>
      <c r="J5349" s="2">
        <v>45898</v>
      </c>
      <c r="K5349" s="2">
        <v>45870</v>
      </c>
      <c r="L5349" s="1" t="str">
        <f t="shared" si="617"/>
        <v>sex</v>
      </c>
      <c r="M5349" s="1" t="str">
        <f t="shared" si="618"/>
        <v>ago</v>
      </c>
      <c r="N5349">
        <f t="shared" si="619"/>
        <v>2025</v>
      </c>
      <c r="O5349" s="2"/>
      <c r="P5349" t="str">
        <f t="shared" si="616"/>
        <v>213745898</v>
      </c>
    </row>
    <row r="5350" spans="1:16" x14ac:dyDescent="0.3">
      <c r="A5350">
        <v>2137</v>
      </c>
      <c r="B5350">
        <v>21</v>
      </c>
      <c r="C5350" t="s">
        <v>15</v>
      </c>
      <c r="D5350" t="s">
        <v>16</v>
      </c>
      <c r="E5350" t="s">
        <v>17</v>
      </c>
      <c r="F5350" t="s">
        <v>18</v>
      </c>
      <c r="G5350" t="s">
        <v>41</v>
      </c>
      <c r="H5350" t="s">
        <v>25</v>
      </c>
      <c r="I5350" s="1">
        <v>3</v>
      </c>
      <c r="J5350" s="2">
        <v>45989</v>
      </c>
      <c r="K5350" s="2">
        <v>45962</v>
      </c>
      <c r="L5350" s="1" t="str">
        <f t="shared" si="617"/>
        <v>sex</v>
      </c>
      <c r="M5350" s="1" t="str">
        <f t="shared" si="618"/>
        <v>nov</v>
      </c>
      <c r="N5350">
        <f t="shared" si="619"/>
        <v>2025</v>
      </c>
      <c r="O5350" s="2"/>
      <c r="P5350" t="str">
        <f t="shared" si="616"/>
        <v>213745989</v>
      </c>
    </row>
    <row r="5351" spans="1:16" x14ac:dyDescent="0.3">
      <c r="A5351">
        <v>2137</v>
      </c>
      <c r="B5351">
        <v>21</v>
      </c>
      <c r="C5351" t="s">
        <v>15</v>
      </c>
      <c r="D5351" t="s">
        <v>16</v>
      </c>
      <c r="E5351" t="s">
        <v>17</v>
      </c>
      <c r="F5351" t="s">
        <v>18</v>
      </c>
      <c r="G5351" t="s">
        <v>41</v>
      </c>
      <c r="H5351" t="s">
        <v>25</v>
      </c>
      <c r="I5351" s="1">
        <v>3</v>
      </c>
      <c r="J5351" s="2">
        <v>46189</v>
      </c>
      <c r="K5351" s="2">
        <v>46023</v>
      </c>
      <c r="L5351" s="1" t="str">
        <f t="shared" si="617"/>
        <v>ter</v>
      </c>
      <c r="M5351" s="1" t="str">
        <f t="shared" si="618"/>
        <v>jun</v>
      </c>
      <c r="N5351">
        <f t="shared" si="619"/>
        <v>2026</v>
      </c>
      <c r="O5351" s="2"/>
      <c r="P5351" t="str">
        <f t="shared" si="616"/>
        <v>213746189</v>
      </c>
    </row>
    <row r="5352" spans="1:16" x14ac:dyDescent="0.3">
      <c r="A5352">
        <v>2139</v>
      </c>
      <c r="B5352">
        <v>32</v>
      </c>
      <c r="C5352" t="s">
        <v>26</v>
      </c>
      <c r="D5352" t="s">
        <v>27</v>
      </c>
      <c r="E5352" t="s">
        <v>17</v>
      </c>
      <c r="F5352" t="s">
        <v>21</v>
      </c>
      <c r="G5352" t="s">
        <v>41</v>
      </c>
      <c r="H5352" t="s">
        <v>20</v>
      </c>
      <c r="I5352" s="1">
        <v>1</v>
      </c>
      <c r="J5352" s="2">
        <v>45676</v>
      </c>
      <c r="K5352" s="2">
        <v>45658</v>
      </c>
      <c r="L5352" s="1" t="str">
        <f t="shared" si="617"/>
        <v>dom</v>
      </c>
      <c r="M5352" s="1" t="str">
        <f t="shared" si="618"/>
        <v>jan</v>
      </c>
      <c r="N5352">
        <f t="shared" si="619"/>
        <v>2025</v>
      </c>
      <c r="O5352" s="2">
        <f>_xlfn.XLOOKUP(A5352,Colaboradores!$A:$A,Colaboradores!$S:$S,"",0)</f>
        <v>45807</v>
      </c>
      <c r="P5352" t="str">
        <f t="shared" si="616"/>
        <v>213945676</v>
      </c>
    </row>
    <row r="5353" spans="1:16" x14ac:dyDescent="0.3">
      <c r="A5353">
        <v>2139</v>
      </c>
      <c r="B5353">
        <v>32</v>
      </c>
      <c r="C5353" t="s">
        <v>26</v>
      </c>
      <c r="D5353" t="s">
        <v>27</v>
      </c>
      <c r="E5353" t="s">
        <v>17</v>
      </c>
      <c r="F5353" t="s">
        <v>21</v>
      </c>
      <c r="G5353" t="s">
        <v>41</v>
      </c>
      <c r="H5353" t="s">
        <v>20</v>
      </c>
      <c r="I5353" s="1">
        <v>1</v>
      </c>
      <c r="J5353" s="2">
        <v>45791</v>
      </c>
      <c r="K5353" s="2">
        <v>45778</v>
      </c>
      <c r="L5353" s="1" t="str">
        <f t="shared" si="617"/>
        <v>qua</v>
      </c>
      <c r="M5353" s="1" t="str">
        <f t="shared" si="618"/>
        <v>mai</v>
      </c>
      <c r="N5353">
        <f t="shared" si="619"/>
        <v>2025</v>
      </c>
      <c r="O5353" s="2">
        <f>_xlfn.XLOOKUP(A5353,Colaboradores!$A:$A,Colaboradores!$S:$S,"",0)</f>
        <v>45807</v>
      </c>
      <c r="P5353" t="str">
        <f t="shared" si="616"/>
        <v>213945791</v>
      </c>
    </row>
    <row r="5354" spans="1:16" x14ac:dyDescent="0.3">
      <c r="A5354">
        <v>2139</v>
      </c>
      <c r="B5354">
        <v>32</v>
      </c>
      <c r="C5354" t="s">
        <v>26</v>
      </c>
      <c r="D5354" t="s">
        <v>27</v>
      </c>
      <c r="E5354" t="s">
        <v>17</v>
      </c>
      <c r="F5354" t="s">
        <v>21</v>
      </c>
      <c r="G5354" t="s">
        <v>41</v>
      </c>
      <c r="H5354" t="s">
        <v>20</v>
      </c>
      <c r="I5354" s="1">
        <v>1</v>
      </c>
      <c r="J5354" s="2">
        <v>45795</v>
      </c>
      <c r="K5354" s="2">
        <v>45778</v>
      </c>
      <c r="L5354" s="1" t="str">
        <f t="shared" si="617"/>
        <v>dom</v>
      </c>
      <c r="M5354" s="1" t="str">
        <f t="shared" si="618"/>
        <v>mai</v>
      </c>
      <c r="N5354">
        <f t="shared" si="619"/>
        <v>2025</v>
      </c>
      <c r="O5354" s="2">
        <f>_xlfn.XLOOKUP(A5354,Colaboradores!$A:$A,Colaboradores!$S:$S,"",0)</f>
        <v>45807</v>
      </c>
      <c r="P5354" t="str">
        <f t="shared" si="616"/>
        <v>213945795</v>
      </c>
    </row>
    <row r="5355" spans="1:16" x14ac:dyDescent="0.3">
      <c r="A5355">
        <v>2139</v>
      </c>
      <c r="B5355">
        <v>32</v>
      </c>
      <c r="C5355" t="s">
        <v>26</v>
      </c>
      <c r="D5355" t="s">
        <v>27</v>
      </c>
      <c r="E5355" t="s">
        <v>17</v>
      </c>
      <c r="F5355" t="s">
        <v>21</v>
      </c>
      <c r="G5355" t="s">
        <v>41</v>
      </c>
      <c r="H5355" t="s">
        <v>20</v>
      </c>
      <c r="I5355" s="1">
        <v>1</v>
      </c>
      <c r="J5355" s="2">
        <v>45796</v>
      </c>
      <c r="K5355" s="2">
        <v>45778</v>
      </c>
      <c r="L5355" s="1" t="str">
        <f t="shared" si="617"/>
        <v>seg</v>
      </c>
      <c r="M5355" s="1" t="str">
        <f t="shared" si="618"/>
        <v>mai</v>
      </c>
      <c r="N5355">
        <f t="shared" si="619"/>
        <v>2025</v>
      </c>
      <c r="O5355" s="2">
        <f>_xlfn.XLOOKUP(A5355,Colaboradores!$A:$A,Colaboradores!$S:$S,"",0)</f>
        <v>45807</v>
      </c>
      <c r="P5355" t="str">
        <f t="shared" si="616"/>
        <v>213945796</v>
      </c>
    </row>
    <row r="5356" spans="1:16" x14ac:dyDescent="0.3">
      <c r="A5356">
        <v>2139</v>
      </c>
      <c r="B5356">
        <v>32</v>
      </c>
      <c r="C5356" t="s">
        <v>26</v>
      </c>
      <c r="D5356" t="s">
        <v>27</v>
      </c>
      <c r="E5356" t="s">
        <v>17</v>
      </c>
      <c r="F5356" t="s">
        <v>21</v>
      </c>
      <c r="G5356" t="s">
        <v>41</v>
      </c>
      <c r="H5356" t="s">
        <v>20</v>
      </c>
      <c r="I5356" s="1">
        <v>1</v>
      </c>
      <c r="J5356" s="2">
        <v>45797</v>
      </c>
      <c r="K5356" s="2">
        <v>45778</v>
      </c>
      <c r="L5356" s="1" t="str">
        <f t="shared" si="617"/>
        <v>ter</v>
      </c>
      <c r="M5356" s="1" t="str">
        <f t="shared" si="618"/>
        <v>mai</v>
      </c>
      <c r="N5356">
        <f t="shared" si="619"/>
        <v>2025</v>
      </c>
      <c r="O5356" s="2">
        <f>_xlfn.XLOOKUP(A5356,Colaboradores!$A:$A,Colaboradores!$S:$S,"",0)</f>
        <v>45807</v>
      </c>
      <c r="P5356" t="str">
        <f t="shared" si="616"/>
        <v>213945797</v>
      </c>
    </row>
    <row r="5357" spans="1:16" x14ac:dyDescent="0.3">
      <c r="A5357">
        <v>2139</v>
      </c>
      <c r="B5357">
        <v>32</v>
      </c>
      <c r="C5357" t="s">
        <v>26</v>
      </c>
      <c r="D5357" t="s">
        <v>27</v>
      </c>
      <c r="E5357" t="s">
        <v>17</v>
      </c>
      <c r="F5357" t="s">
        <v>21</v>
      </c>
      <c r="G5357" t="s">
        <v>41</v>
      </c>
      <c r="H5357" t="s">
        <v>20</v>
      </c>
      <c r="I5357" s="1">
        <v>1</v>
      </c>
      <c r="J5357" s="2">
        <v>45799</v>
      </c>
      <c r="K5357" s="2">
        <v>45778</v>
      </c>
      <c r="L5357" s="1" t="str">
        <f t="shared" si="617"/>
        <v>qui</v>
      </c>
      <c r="M5357" s="1" t="str">
        <f t="shared" si="618"/>
        <v>mai</v>
      </c>
      <c r="N5357">
        <f t="shared" si="619"/>
        <v>2025</v>
      </c>
      <c r="O5357" s="2">
        <f>_xlfn.XLOOKUP(A5357,Colaboradores!$A:$A,Colaboradores!$S:$S,"",0)</f>
        <v>45807</v>
      </c>
      <c r="P5357" t="str">
        <f t="shared" si="616"/>
        <v>213945799</v>
      </c>
    </row>
    <row r="5358" spans="1:16" x14ac:dyDescent="0.3">
      <c r="A5358">
        <v>2140</v>
      </c>
      <c r="B5358">
        <v>39</v>
      </c>
      <c r="C5358" t="s">
        <v>15</v>
      </c>
      <c r="D5358" t="s">
        <v>31</v>
      </c>
      <c r="E5358" t="s">
        <v>34</v>
      </c>
      <c r="F5358" t="s">
        <v>21</v>
      </c>
      <c r="G5358" t="s">
        <v>41</v>
      </c>
      <c r="H5358" t="s">
        <v>25</v>
      </c>
      <c r="I5358" s="1">
        <v>2</v>
      </c>
      <c r="J5358" s="2">
        <v>45901</v>
      </c>
      <c r="K5358" s="2">
        <v>45901</v>
      </c>
      <c r="L5358" s="1" t="str">
        <f t="shared" si="617"/>
        <v>seg</v>
      </c>
      <c r="M5358" s="1" t="str">
        <f t="shared" si="618"/>
        <v>set</v>
      </c>
      <c r="N5358">
        <f t="shared" si="619"/>
        <v>2025</v>
      </c>
      <c r="O5358" s="2"/>
      <c r="P5358" t="str">
        <f t="shared" si="616"/>
        <v>214045901</v>
      </c>
    </row>
    <row r="5359" spans="1:16" x14ac:dyDescent="0.3">
      <c r="A5359">
        <v>2140</v>
      </c>
      <c r="B5359">
        <v>39</v>
      </c>
      <c r="C5359" t="s">
        <v>15</v>
      </c>
      <c r="D5359" t="s">
        <v>31</v>
      </c>
      <c r="E5359" t="s">
        <v>34</v>
      </c>
      <c r="F5359" t="s">
        <v>21</v>
      </c>
      <c r="G5359" t="s">
        <v>41</v>
      </c>
      <c r="H5359" t="s">
        <v>25</v>
      </c>
      <c r="I5359" s="1">
        <v>2</v>
      </c>
      <c r="J5359" s="2">
        <v>45934</v>
      </c>
      <c r="K5359" s="2">
        <v>45931</v>
      </c>
      <c r="L5359" s="1" t="str">
        <f t="shared" si="617"/>
        <v>sáb</v>
      </c>
      <c r="M5359" s="1" t="str">
        <f t="shared" si="618"/>
        <v>out</v>
      </c>
      <c r="N5359">
        <f t="shared" si="619"/>
        <v>2025</v>
      </c>
      <c r="O5359" s="2"/>
      <c r="P5359" t="str">
        <f t="shared" si="616"/>
        <v>214045934</v>
      </c>
    </row>
    <row r="5360" spans="1:16" x14ac:dyDescent="0.3">
      <c r="A5360">
        <v>2140</v>
      </c>
      <c r="B5360">
        <v>39</v>
      </c>
      <c r="C5360" t="s">
        <v>15</v>
      </c>
      <c r="D5360" t="s">
        <v>31</v>
      </c>
      <c r="E5360" t="s">
        <v>34</v>
      </c>
      <c r="F5360" t="s">
        <v>21</v>
      </c>
      <c r="G5360" t="s">
        <v>41</v>
      </c>
      <c r="H5360" t="s">
        <v>25</v>
      </c>
      <c r="I5360" s="1">
        <v>2</v>
      </c>
      <c r="J5360" s="2">
        <v>45966</v>
      </c>
      <c r="K5360" s="2">
        <v>45962</v>
      </c>
      <c r="L5360" s="1" t="str">
        <f t="shared" si="617"/>
        <v>qua</v>
      </c>
      <c r="M5360" s="1" t="str">
        <f t="shared" si="618"/>
        <v>nov</v>
      </c>
      <c r="N5360">
        <f t="shared" si="619"/>
        <v>2025</v>
      </c>
      <c r="O5360" s="2"/>
      <c r="P5360" t="str">
        <f t="shared" si="616"/>
        <v>214045966</v>
      </c>
    </row>
    <row r="5361" spans="1:16" x14ac:dyDescent="0.3">
      <c r="A5361">
        <v>2140</v>
      </c>
      <c r="B5361">
        <v>39</v>
      </c>
      <c r="C5361" t="s">
        <v>15</v>
      </c>
      <c r="D5361" t="s">
        <v>31</v>
      </c>
      <c r="E5361" t="s">
        <v>34</v>
      </c>
      <c r="F5361" t="s">
        <v>21</v>
      </c>
      <c r="G5361" t="s">
        <v>41</v>
      </c>
      <c r="H5361" t="s">
        <v>25</v>
      </c>
      <c r="I5361" s="1">
        <v>2</v>
      </c>
      <c r="J5361" s="2">
        <v>46201</v>
      </c>
      <c r="K5361" s="2">
        <v>46023</v>
      </c>
      <c r="L5361" s="1" t="str">
        <f t="shared" si="617"/>
        <v>dom</v>
      </c>
      <c r="M5361" s="1" t="str">
        <f t="shared" si="618"/>
        <v>jun</v>
      </c>
      <c r="N5361">
        <f t="shared" si="619"/>
        <v>2026</v>
      </c>
      <c r="O5361" s="2"/>
      <c r="P5361" t="str">
        <f t="shared" si="616"/>
        <v>214046201</v>
      </c>
    </row>
    <row r="5362" spans="1:16" x14ac:dyDescent="0.3">
      <c r="A5362">
        <v>2141</v>
      </c>
      <c r="B5362">
        <v>37</v>
      </c>
      <c r="C5362" t="s">
        <v>15</v>
      </c>
      <c r="D5362" t="s">
        <v>29</v>
      </c>
      <c r="E5362" t="s">
        <v>17</v>
      </c>
      <c r="F5362" t="s">
        <v>23</v>
      </c>
      <c r="G5362" t="s">
        <v>41</v>
      </c>
      <c r="H5362" t="s">
        <v>25</v>
      </c>
      <c r="I5362" s="1">
        <v>1</v>
      </c>
      <c r="J5362" s="2">
        <v>45844</v>
      </c>
      <c r="K5362" s="2">
        <v>45839</v>
      </c>
      <c r="L5362" s="1" t="str">
        <f t="shared" si="617"/>
        <v>dom</v>
      </c>
      <c r="M5362" s="1" t="str">
        <f t="shared" si="618"/>
        <v>jul</v>
      </c>
      <c r="N5362">
        <f t="shared" si="619"/>
        <v>2025</v>
      </c>
      <c r="O5362" s="2"/>
      <c r="P5362" t="str">
        <f t="shared" si="616"/>
        <v>214145844</v>
      </c>
    </row>
    <row r="5363" spans="1:16" x14ac:dyDescent="0.3">
      <c r="A5363">
        <v>2141</v>
      </c>
      <c r="B5363">
        <v>37</v>
      </c>
      <c r="C5363" t="s">
        <v>15</v>
      </c>
      <c r="D5363" t="s">
        <v>29</v>
      </c>
      <c r="E5363" t="s">
        <v>17</v>
      </c>
      <c r="F5363" t="s">
        <v>23</v>
      </c>
      <c r="G5363" t="s">
        <v>41</v>
      </c>
      <c r="H5363" t="s">
        <v>25</v>
      </c>
      <c r="I5363" s="1">
        <v>1</v>
      </c>
      <c r="J5363" s="2">
        <v>45856</v>
      </c>
      <c r="K5363" s="2">
        <v>45839</v>
      </c>
      <c r="L5363" s="1" t="str">
        <f t="shared" si="617"/>
        <v>sex</v>
      </c>
      <c r="M5363" s="1" t="str">
        <f t="shared" si="618"/>
        <v>jul</v>
      </c>
      <c r="N5363">
        <f t="shared" si="619"/>
        <v>2025</v>
      </c>
      <c r="O5363" s="2"/>
      <c r="P5363" t="str">
        <f t="shared" si="616"/>
        <v>214145856</v>
      </c>
    </row>
    <row r="5364" spans="1:16" x14ac:dyDescent="0.3">
      <c r="A5364">
        <v>2141</v>
      </c>
      <c r="B5364">
        <v>37</v>
      </c>
      <c r="C5364" t="s">
        <v>15</v>
      </c>
      <c r="D5364" t="s">
        <v>29</v>
      </c>
      <c r="E5364" t="s">
        <v>17</v>
      </c>
      <c r="F5364" t="s">
        <v>23</v>
      </c>
      <c r="G5364" t="s">
        <v>41</v>
      </c>
      <c r="H5364" t="s">
        <v>25</v>
      </c>
      <c r="I5364" s="1">
        <v>1</v>
      </c>
      <c r="J5364" s="2">
        <v>45941</v>
      </c>
      <c r="K5364" s="2">
        <v>45931</v>
      </c>
      <c r="L5364" s="1" t="str">
        <f t="shared" si="617"/>
        <v>sáb</v>
      </c>
      <c r="M5364" s="1" t="str">
        <f t="shared" si="618"/>
        <v>out</v>
      </c>
      <c r="N5364">
        <f t="shared" si="619"/>
        <v>2025</v>
      </c>
      <c r="O5364" s="2"/>
      <c r="P5364" t="str">
        <f t="shared" si="616"/>
        <v>214145941</v>
      </c>
    </row>
    <row r="5365" spans="1:16" x14ac:dyDescent="0.3">
      <c r="A5365">
        <v>2141</v>
      </c>
      <c r="B5365">
        <v>37</v>
      </c>
      <c r="C5365" t="s">
        <v>15</v>
      </c>
      <c r="D5365" t="s">
        <v>29</v>
      </c>
      <c r="E5365" t="s">
        <v>17</v>
      </c>
      <c r="F5365" t="s">
        <v>23</v>
      </c>
      <c r="G5365" t="s">
        <v>41</v>
      </c>
      <c r="H5365" t="s">
        <v>25</v>
      </c>
      <c r="I5365" s="1">
        <v>1</v>
      </c>
      <c r="J5365" s="2">
        <v>46195</v>
      </c>
      <c r="K5365" s="2">
        <v>46023</v>
      </c>
      <c r="L5365" s="1" t="str">
        <f t="shared" si="617"/>
        <v>seg</v>
      </c>
      <c r="M5365" s="1" t="str">
        <f t="shared" si="618"/>
        <v>jun</v>
      </c>
      <c r="N5365">
        <f t="shared" si="619"/>
        <v>2026</v>
      </c>
      <c r="O5365" s="2"/>
      <c r="P5365" t="str">
        <f t="shared" si="616"/>
        <v>214146195</v>
      </c>
    </row>
    <row r="5366" spans="1:16" x14ac:dyDescent="0.3">
      <c r="A5366">
        <v>2141</v>
      </c>
      <c r="B5366">
        <v>37</v>
      </c>
      <c r="C5366" t="s">
        <v>15</v>
      </c>
      <c r="D5366" t="s">
        <v>29</v>
      </c>
      <c r="E5366" t="s">
        <v>17</v>
      </c>
      <c r="F5366" t="s">
        <v>23</v>
      </c>
      <c r="G5366" t="s">
        <v>41</v>
      </c>
      <c r="H5366" t="s">
        <v>25</v>
      </c>
      <c r="I5366" s="1">
        <v>1</v>
      </c>
      <c r="J5366" s="2">
        <v>46090</v>
      </c>
      <c r="K5366" s="2">
        <v>46082</v>
      </c>
      <c r="L5366" s="1" t="str">
        <f t="shared" si="617"/>
        <v>seg</v>
      </c>
      <c r="M5366" s="1" t="str">
        <f t="shared" si="618"/>
        <v>mar</v>
      </c>
      <c r="N5366">
        <f t="shared" si="619"/>
        <v>2026</v>
      </c>
      <c r="O5366" s="2"/>
      <c r="P5366" t="str">
        <f t="shared" si="616"/>
        <v>214146090</v>
      </c>
    </row>
    <row r="5367" spans="1:16" x14ac:dyDescent="0.3">
      <c r="A5367">
        <v>2142</v>
      </c>
      <c r="B5367">
        <v>58</v>
      </c>
      <c r="C5367" t="s">
        <v>15</v>
      </c>
      <c r="D5367" t="s">
        <v>31</v>
      </c>
      <c r="E5367" t="s">
        <v>34</v>
      </c>
      <c r="F5367" t="s">
        <v>23</v>
      </c>
      <c r="G5367" t="s">
        <v>41</v>
      </c>
      <c r="H5367" t="s">
        <v>20</v>
      </c>
      <c r="I5367" s="1">
        <v>3</v>
      </c>
      <c r="J5367" s="2">
        <v>45824</v>
      </c>
      <c r="K5367" s="2">
        <v>45809</v>
      </c>
      <c r="L5367" s="1" t="str">
        <f t="shared" si="617"/>
        <v>seg</v>
      </c>
      <c r="M5367" s="1" t="str">
        <f t="shared" si="618"/>
        <v>jun</v>
      </c>
      <c r="N5367">
        <f t="shared" si="619"/>
        <v>2025</v>
      </c>
      <c r="O5367" s="2">
        <f>_xlfn.XLOOKUP(A5367,Colaboradores!$A:$A,Colaboradores!$S:$S,"",0)</f>
        <v>46015</v>
      </c>
      <c r="P5367" t="str">
        <f t="shared" si="616"/>
        <v>214245824</v>
      </c>
    </row>
    <row r="5368" spans="1:16" x14ac:dyDescent="0.3">
      <c r="A5368">
        <v>2142</v>
      </c>
      <c r="B5368">
        <v>58</v>
      </c>
      <c r="C5368" t="s">
        <v>15</v>
      </c>
      <c r="D5368" t="s">
        <v>31</v>
      </c>
      <c r="E5368" t="s">
        <v>34</v>
      </c>
      <c r="F5368" t="s">
        <v>23</v>
      </c>
      <c r="G5368" t="s">
        <v>41</v>
      </c>
      <c r="H5368" t="s">
        <v>20</v>
      </c>
      <c r="I5368" s="1">
        <v>3</v>
      </c>
      <c r="J5368" s="2">
        <v>45856</v>
      </c>
      <c r="K5368" s="2">
        <v>45839</v>
      </c>
      <c r="L5368" s="1" t="str">
        <f t="shared" si="617"/>
        <v>sex</v>
      </c>
      <c r="M5368" s="1" t="str">
        <f t="shared" si="618"/>
        <v>jul</v>
      </c>
      <c r="N5368">
        <f t="shared" si="619"/>
        <v>2025</v>
      </c>
      <c r="O5368" s="2">
        <f>_xlfn.XLOOKUP(A5368,Colaboradores!$A:$A,Colaboradores!$S:$S,"",0)</f>
        <v>46015</v>
      </c>
      <c r="P5368" t="str">
        <f t="shared" si="616"/>
        <v>214245856</v>
      </c>
    </row>
    <row r="5369" spans="1:16" x14ac:dyDescent="0.3">
      <c r="A5369">
        <v>2142</v>
      </c>
      <c r="B5369">
        <v>58</v>
      </c>
      <c r="C5369" t="s">
        <v>15</v>
      </c>
      <c r="D5369" t="s">
        <v>31</v>
      </c>
      <c r="E5369" t="s">
        <v>34</v>
      </c>
      <c r="F5369" t="s">
        <v>23</v>
      </c>
      <c r="G5369" t="s">
        <v>41</v>
      </c>
      <c r="H5369" t="s">
        <v>20</v>
      </c>
      <c r="I5369" s="1">
        <v>3</v>
      </c>
      <c r="J5369" s="2">
        <v>45916</v>
      </c>
      <c r="K5369" s="2">
        <v>45901</v>
      </c>
      <c r="L5369" s="1" t="str">
        <f t="shared" ref="L5369:L5390" si="620">TEXT(J5369,"ddd")</f>
        <v>ter</v>
      </c>
      <c r="M5369" s="1" t="str">
        <f t="shared" ref="M5369:M5390" si="621">TEXT($J5369,"mmm")</f>
        <v>set</v>
      </c>
      <c r="N5369">
        <f t="shared" ref="N5369:N5390" si="622">YEAR(J5369)</f>
        <v>2025</v>
      </c>
      <c r="O5369" s="2">
        <f>_xlfn.XLOOKUP(A5369,Colaboradores!$A:$A,Colaboradores!$S:$S,"",0)</f>
        <v>46015</v>
      </c>
      <c r="P5369" t="str">
        <f t="shared" si="616"/>
        <v>214245916</v>
      </c>
    </row>
    <row r="5370" spans="1:16" x14ac:dyDescent="0.3">
      <c r="A5370">
        <v>2142</v>
      </c>
      <c r="B5370">
        <v>58</v>
      </c>
      <c r="C5370" t="s">
        <v>15</v>
      </c>
      <c r="D5370" t="s">
        <v>31</v>
      </c>
      <c r="E5370" t="s">
        <v>34</v>
      </c>
      <c r="F5370" t="s">
        <v>23</v>
      </c>
      <c r="G5370" t="s">
        <v>41</v>
      </c>
      <c r="H5370" t="s">
        <v>20</v>
      </c>
      <c r="I5370" s="1">
        <v>3</v>
      </c>
      <c r="J5370" s="2">
        <v>45939</v>
      </c>
      <c r="K5370" s="2">
        <v>45931</v>
      </c>
      <c r="L5370" s="1" t="str">
        <f t="shared" si="620"/>
        <v>qui</v>
      </c>
      <c r="M5370" s="1" t="str">
        <f t="shared" si="621"/>
        <v>out</v>
      </c>
      <c r="N5370">
        <f t="shared" si="622"/>
        <v>2025</v>
      </c>
      <c r="O5370" s="2">
        <f>_xlfn.XLOOKUP(A5370,Colaboradores!$A:$A,Colaboradores!$S:$S,"",0)</f>
        <v>46015</v>
      </c>
      <c r="P5370" t="str">
        <f t="shared" si="616"/>
        <v>214245939</v>
      </c>
    </row>
    <row r="5371" spans="1:16" x14ac:dyDescent="0.3">
      <c r="A5371">
        <v>2142</v>
      </c>
      <c r="B5371">
        <v>58</v>
      </c>
      <c r="C5371" t="s">
        <v>15</v>
      </c>
      <c r="D5371" t="s">
        <v>31</v>
      </c>
      <c r="E5371" t="s">
        <v>34</v>
      </c>
      <c r="F5371" t="s">
        <v>23</v>
      </c>
      <c r="G5371" t="s">
        <v>41</v>
      </c>
      <c r="H5371" t="s">
        <v>20</v>
      </c>
      <c r="I5371" s="1">
        <v>3</v>
      </c>
      <c r="J5371" s="2">
        <v>45940</v>
      </c>
      <c r="K5371" s="2">
        <v>45931</v>
      </c>
      <c r="L5371" s="1" t="str">
        <f t="shared" si="620"/>
        <v>sex</v>
      </c>
      <c r="M5371" s="1" t="str">
        <f t="shared" si="621"/>
        <v>out</v>
      </c>
      <c r="N5371">
        <f t="shared" si="622"/>
        <v>2025</v>
      </c>
      <c r="O5371" s="2">
        <f>_xlfn.XLOOKUP(A5371,Colaboradores!$A:$A,Colaboradores!$S:$S,"",0)</f>
        <v>46015</v>
      </c>
      <c r="P5371" t="str">
        <f t="shared" si="616"/>
        <v>214245940</v>
      </c>
    </row>
    <row r="5372" spans="1:16" x14ac:dyDescent="0.3">
      <c r="A5372">
        <v>2142</v>
      </c>
      <c r="B5372">
        <v>58</v>
      </c>
      <c r="C5372" t="s">
        <v>15</v>
      </c>
      <c r="D5372" t="s">
        <v>31</v>
      </c>
      <c r="E5372" t="s">
        <v>34</v>
      </c>
      <c r="F5372" t="s">
        <v>23</v>
      </c>
      <c r="G5372" t="s">
        <v>41</v>
      </c>
      <c r="H5372" t="s">
        <v>20</v>
      </c>
      <c r="I5372" s="1">
        <v>3</v>
      </c>
      <c r="J5372" s="2">
        <v>45964</v>
      </c>
      <c r="K5372" s="2">
        <v>45962</v>
      </c>
      <c r="L5372" s="1" t="str">
        <f t="shared" si="620"/>
        <v>seg</v>
      </c>
      <c r="M5372" s="1" t="str">
        <f t="shared" si="621"/>
        <v>nov</v>
      </c>
      <c r="N5372">
        <f t="shared" si="622"/>
        <v>2025</v>
      </c>
      <c r="O5372" s="2">
        <f>_xlfn.XLOOKUP(A5372,Colaboradores!$A:$A,Colaboradores!$S:$S,"",0)</f>
        <v>46015</v>
      </c>
      <c r="P5372" t="str">
        <f t="shared" ref="P5372:P5435" si="623">CONCATENATE(A5372,J5372)</f>
        <v>214245964</v>
      </c>
    </row>
    <row r="5373" spans="1:16" x14ac:dyDescent="0.3">
      <c r="A5373">
        <v>2143</v>
      </c>
      <c r="B5373">
        <v>26</v>
      </c>
      <c r="C5373" t="s">
        <v>15</v>
      </c>
      <c r="D5373" t="s">
        <v>16</v>
      </c>
      <c r="E5373" t="s">
        <v>17</v>
      </c>
      <c r="F5373" t="s">
        <v>23</v>
      </c>
      <c r="G5373" t="s">
        <v>41</v>
      </c>
      <c r="H5373" t="s">
        <v>25</v>
      </c>
      <c r="I5373" s="1">
        <v>2</v>
      </c>
      <c r="J5373" s="2">
        <v>45840</v>
      </c>
      <c r="K5373" s="2">
        <v>45839</v>
      </c>
      <c r="L5373" s="1" t="str">
        <f t="shared" si="620"/>
        <v>qua</v>
      </c>
      <c r="M5373" s="1" t="str">
        <f t="shared" si="621"/>
        <v>jul</v>
      </c>
      <c r="N5373">
        <f t="shared" si="622"/>
        <v>2025</v>
      </c>
      <c r="O5373" s="2"/>
      <c r="P5373" t="str">
        <f t="shared" si="623"/>
        <v>214345840</v>
      </c>
    </row>
    <row r="5374" spans="1:16" x14ac:dyDescent="0.3">
      <c r="A5374">
        <v>2143</v>
      </c>
      <c r="B5374">
        <v>26</v>
      </c>
      <c r="C5374" t="s">
        <v>15</v>
      </c>
      <c r="D5374" t="s">
        <v>16</v>
      </c>
      <c r="E5374" t="s">
        <v>17</v>
      </c>
      <c r="F5374" t="s">
        <v>23</v>
      </c>
      <c r="G5374" t="s">
        <v>41</v>
      </c>
      <c r="H5374" t="s">
        <v>25</v>
      </c>
      <c r="I5374" s="1">
        <v>2</v>
      </c>
      <c r="J5374" s="2">
        <v>45848</v>
      </c>
      <c r="K5374" s="2">
        <v>45839</v>
      </c>
      <c r="L5374" s="1" t="str">
        <f t="shared" si="620"/>
        <v>qui</v>
      </c>
      <c r="M5374" s="1" t="str">
        <f t="shared" si="621"/>
        <v>jul</v>
      </c>
      <c r="N5374">
        <f t="shared" si="622"/>
        <v>2025</v>
      </c>
      <c r="O5374" s="2"/>
      <c r="P5374" t="str">
        <f t="shared" si="623"/>
        <v>214345848</v>
      </c>
    </row>
    <row r="5375" spans="1:16" x14ac:dyDescent="0.3">
      <c r="A5375">
        <v>2143</v>
      </c>
      <c r="B5375">
        <v>26</v>
      </c>
      <c r="C5375" t="s">
        <v>15</v>
      </c>
      <c r="D5375" t="s">
        <v>16</v>
      </c>
      <c r="E5375" t="s">
        <v>17</v>
      </c>
      <c r="F5375" t="s">
        <v>23</v>
      </c>
      <c r="G5375" t="s">
        <v>41</v>
      </c>
      <c r="H5375" t="s">
        <v>25</v>
      </c>
      <c r="I5375" s="1">
        <v>2</v>
      </c>
      <c r="J5375" s="2">
        <v>45850</v>
      </c>
      <c r="K5375" s="2">
        <v>45839</v>
      </c>
      <c r="L5375" s="1" t="str">
        <f t="shared" si="620"/>
        <v>sáb</v>
      </c>
      <c r="M5375" s="1" t="str">
        <f t="shared" si="621"/>
        <v>jul</v>
      </c>
      <c r="N5375">
        <f t="shared" si="622"/>
        <v>2025</v>
      </c>
      <c r="O5375" s="2"/>
      <c r="P5375" t="str">
        <f t="shared" si="623"/>
        <v>214345850</v>
      </c>
    </row>
    <row r="5376" spans="1:16" x14ac:dyDescent="0.3">
      <c r="A5376">
        <v>2143</v>
      </c>
      <c r="B5376">
        <v>26</v>
      </c>
      <c r="C5376" t="s">
        <v>15</v>
      </c>
      <c r="D5376" t="s">
        <v>16</v>
      </c>
      <c r="E5376" t="s">
        <v>17</v>
      </c>
      <c r="F5376" t="s">
        <v>23</v>
      </c>
      <c r="G5376" t="s">
        <v>41</v>
      </c>
      <c r="H5376" t="s">
        <v>25</v>
      </c>
      <c r="I5376" s="1">
        <v>2</v>
      </c>
      <c r="J5376" s="2">
        <v>45867</v>
      </c>
      <c r="K5376" s="2">
        <v>45839</v>
      </c>
      <c r="L5376" s="1" t="str">
        <f t="shared" si="620"/>
        <v>ter</v>
      </c>
      <c r="M5376" s="1" t="str">
        <f t="shared" si="621"/>
        <v>jul</v>
      </c>
      <c r="N5376">
        <f t="shared" si="622"/>
        <v>2025</v>
      </c>
      <c r="O5376" s="2"/>
      <c r="P5376" t="str">
        <f t="shared" si="623"/>
        <v>214345867</v>
      </c>
    </row>
    <row r="5377" spans="1:16" x14ac:dyDescent="0.3">
      <c r="A5377">
        <v>2143</v>
      </c>
      <c r="B5377">
        <v>26</v>
      </c>
      <c r="C5377" t="s">
        <v>15</v>
      </c>
      <c r="D5377" t="s">
        <v>16</v>
      </c>
      <c r="E5377" t="s">
        <v>17</v>
      </c>
      <c r="F5377" t="s">
        <v>23</v>
      </c>
      <c r="G5377" t="s">
        <v>41</v>
      </c>
      <c r="H5377" t="s">
        <v>25</v>
      </c>
      <c r="I5377" s="1">
        <v>2</v>
      </c>
      <c r="J5377" s="2">
        <v>46182</v>
      </c>
      <c r="K5377" s="2">
        <v>46023</v>
      </c>
      <c r="L5377" s="1" t="str">
        <f t="shared" si="620"/>
        <v>ter</v>
      </c>
      <c r="M5377" s="1" t="str">
        <f t="shared" si="621"/>
        <v>jun</v>
      </c>
      <c r="N5377">
        <f t="shared" si="622"/>
        <v>2026</v>
      </c>
      <c r="O5377" s="2"/>
      <c r="P5377" t="str">
        <f t="shared" si="623"/>
        <v>214346182</v>
      </c>
    </row>
    <row r="5378" spans="1:16" x14ac:dyDescent="0.3">
      <c r="A5378">
        <v>2143</v>
      </c>
      <c r="B5378">
        <v>26</v>
      </c>
      <c r="C5378" t="s">
        <v>15</v>
      </c>
      <c r="D5378" t="s">
        <v>16</v>
      </c>
      <c r="E5378" t="s">
        <v>17</v>
      </c>
      <c r="F5378" t="s">
        <v>23</v>
      </c>
      <c r="G5378" t="s">
        <v>41</v>
      </c>
      <c r="H5378" t="s">
        <v>25</v>
      </c>
      <c r="I5378" s="1">
        <v>2</v>
      </c>
      <c r="J5378" s="2">
        <v>46093</v>
      </c>
      <c r="K5378" s="2">
        <v>46082</v>
      </c>
      <c r="L5378" s="1" t="str">
        <f t="shared" si="620"/>
        <v>qui</v>
      </c>
      <c r="M5378" s="1" t="str">
        <f t="shared" si="621"/>
        <v>mar</v>
      </c>
      <c r="N5378">
        <f t="shared" si="622"/>
        <v>2026</v>
      </c>
      <c r="O5378" s="2"/>
      <c r="P5378" t="str">
        <f t="shared" si="623"/>
        <v>214346093</v>
      </c>
    </row>
    <row r="5379" spans="1:16" x14ac:dyDescent="0.3">
      <c r="A5379">
        <v>2145</v>
      </c>
      <c r="B5379">
        <v>49</v>
      </c>
      <c r="C5379" t="s">
        <v>15</v>
      </c>
      <c r="D5379" t="s">
        <v>29</v>
      </c>
      <c r="E5379" t="s">
        <v>17</v>
      </c>
      <c r="F5379" t="s">
        <v>23</v>
      </c>
      <c r="G5379" t="s">
        <v>41</v>
      </c>
      <c r="H5379" t="s">
        <v>25</v>
      </c>
      <c r="I5379" s="1">
        <v>2</v>
      </c>
      <c r="J5379" s="2">
        <v>45827</v>
      </c>
      <c r="K5379" s="2">
        <v>45809</v>
      </c>
      <c r="L5379" s="1" t="str">
        <f t="shared" si="620"/>
        <v>qui</v>
      </c>
      <c r="M5379" s="1" t="str">
        <f t="shared" si="621"/>
        <v>jun</v>
      </c>
      <c r="N5379">
        <f t="shared" si="622"/>
        <v>2025</v>
      </c>
      <c r="O5379" s="2"/>
      <c r="P5379" t="str">
        <f t="shared" si="623"/>
        <v>214545827</v>
      </c>
    </row>
    <row r="5380" spans="1:16" x14ac:dyDescent="0.3">
      <c r="A5380">
        <v>2145</v>
      </c>
      <c r="B5380">
        <v>49</v>
      </c>
      <c r="C5380" t="s">
        <v>15</v>
      </c>
      <c r="D5380" t="s">
        <v>29</v>
      </c>
      <c r="E5380" t="s">
        <v>17</v>
      </c>
      <c r="F5380" t="s">
        <v>23</v>
      </c>
      <c r="G5380" t="s">
        <v>41</v>
      </c>
      <c r="H5380" t="s">
        <v>25</v>
      </c>
      <c r="I5380" s="1">
        <v>2</v>
      </c>
      <c r="J5380" s="2">
        <v>45837</v>
      </c>
      <c r="K5380" s="2">
        <v>45809</v>
      </c>
      <c r="L5380" s="1" t="str">
        <f t="shared" si="620"/>
        <v>dom</v>
      </c>
      <c r="M5380" s="1" t="str">
        <f t="shared" si="621"/>
        <v>jun</v>
      </c>
      <c r="N5380">
        <f t="shared" si="622"/>
        <v>2025</v>
      </c>
      <c r="O5380" s="2"/>
      <c r="P5380" t="str">
        <f t="shared" si="623"/>
        <v>214545837</v>
      </c>
    </row>
    <row r="5381" spans="1:16" x14ac:dyDescent="0.3">
      <c r="A5381">
        <v>2145</v>
      </c>
      <c r="B5381">
        <v>49</v>
      </c>
      <c r="C5381" t="s">
        <v>15</v>
      </c>
      <c r="D5381" t="s">
        <v>29</v>
      </c>
      <c r="E5381" t="s">
        <v>17</v>
      </c>
      <c r="F5381" t="s">
        <v>23</v>
      </c>
      <c r="G5381" t="s">
        <v>41</v>
      </c>
      <c r="H5381" t="s">
        <v>25</v>
      </c>
      <c r="I5381" s="1">
        <v>2</v>
      </c>
      <c r="J5381" s="2">
        <v>45863</v>
      </c>
      <c r="K5381" s="2">
        <v>45839</v>
      </c>
      <c r="L5381" s="1" t="str">
        <f t="shared" si="620"/>
        <v>sex</v>
      </c>
      <c r="M5381" s="1" t="str">
        <f t="shared" si="621"/>
        <v>jul</v>
      </c>
      <c r="N5381">
        <f t="shared" si="622"/>
        <v>2025</v>
      </c>
      <c r="O5381" s="2"/>
      <c r="P5381" t="str">
        <f t="shared" si="623"/>
        <v>214545863</v>
      </c>
    </row>
    <row r="5382" spans="1:16" x14ac:dyDescent="0.3">
      <c r="A5382">
        <v>2145</v>
      </c>
      <c r="B5382">
        <v>49</v>
      </c>
      <c r="C5382" t="s">
        <v>15</v>
      </c>
      <c r="D5382" t="s">
        <v>29</v>
      </c>
      <c r="E5382" t="s">
        <v>17</v>
      </c>
      <c r="F5382" t="s">
        <v>23</v>
      </c>
      <c r="G5382" t="s">
        <v>41</v>
      </c>
      <c r="H5382" t="s">
        <v>25</v>
      </c>
      <c r="I5382" s="1">
        <v>2</v>
      </c>
      <c r="J5382" s="2">
        <v>45888</v>
      </c>
      <c r="K5382" s="2">
        <v>45870</v>
      </c>
      <c r="L5382" s="1" t="str">
        <f t="shared" si="620"/>
        <v>ter</v>
      </c>
      <c r="M5382" s="1" t="str">
        <f t="shared" si="621"/>
        <v>ago</v>
      </c>
      <c r="N5382">
        <f t="shared" si="622"/>
        <v>2025</v>
      </c>
      <c r="O5382" s="2"/>
      <c r="P5382" t="str">
        <f t="shared" si="623"/>
        <v>214545888</v>
      </c>
    </row>
    <row r="5383" spans="1:16" x14ac:dyDescent="0.3">
      <c r="A5383">
        <v>2145</v>
      </c>
      <c r="B5383">
        <v>49</v>
      </c>
      <c r="C5383" t="s">
        <v>15</v>
      </c>
      <c r="D5383" t="s">
        <v>29</v>
      </c>
      <c r="E5383" t="s">
        <v>17</v>
      </c>
      <c r="F5383" t="s">
        <v>23</v>
      </c>
      <c r="G5383" t="s">
        <v>41</v>
      </c>
      <c r="H5383" t="s">
        <v>25</v>
      </c>
      <c r="I5383" s="1">
        <v>2</v>
      </c>
      <c r="J5383" s="2">
        <v>45901</v>
      </c>
      <c r="K5383" s="2">
        <v>45901</v>
      </c>
      <c r="L5383" s="1" t="str">
        <f t="shared" si="620"/>
        <v>seg</v>
      </c>
      <c r="M5383" s="1" t="str">
        <f t="shared" si="621"/>
        <v>set</v>
      </c>
      <c r="N5383">
        <f t="shared" si="622"/>
        <v>2025</v>
      </c>
      <c r="O5383" s="2"/>
      <c r="P5383" t="str">
        <f t="shared" si="623"/>
        <v>214545901</v>
      </c>
    </row>
    <row r="5384" spans="1:16" x14ac:dyDescent="0.3">
      <c r="A5384">
        <v>2145</v>
      </c>
      <c r="B5384">
        <v>49</v>
      </c>
      <c r="C5384" t="s">
        <v>15</v>
      </c>
      <c r="D5384" t="s">
        <v>29</v>
      </c>
      <c r="E5384" t="s">
        <v>17</v>
      </c>
      <c r="F5384" t="s">
        <v>23</v>
      </c>
      <c r="G5384" t="s">
        <v>41</v>
      </c>
      <c r="H5384" t="s">
        <v>25</v>
      </c>
      <c r="I5384" s="1">
        <v>2</v>
      </c>
      <c r="J5384" s="2">
        <v>46055</v>
      </c>
      <c r="K5384" s="2">
        <v>46054</v>
      </c>
      <c r="L5384" s="1" t="str">
        <f t="shared" si="620"/>
        <v>seg</v>
      </c>
      <c r="M5384" s="1" t="str">
        <f t="shared" si="621"/>
        <v>fev</v>
      </c>
      <c r="N5384">
        <f t="shared" si="622"/>
        <v>2026</v>
      </c>
      <c r="O5384" s="2"/>
      <c r="P5384" t="str">
        <f t="shared" si="623"/>
        <v>214546055</v>
      </c>
    </row>
    <row r="5385" spans="1:16" x14ac:dyDescent="0.3">
      <c r="A5385">
        <v>2146</v>
      </c>
      <c r="B5385">
        <v>22</v>
      </c>
      <c r="C5385" t="s">
        <v>15</v>
      </c>
      <c r="D5385" t="s">
        <v>29</v>
      </c>
      <c r="E5385" t="s">
        <v>17</v>
      </c>
      <c r="F5385" t="s">
        <v>23</v>
      </c>
      <c r="G5385" t="s">
        <v>41</v>
      </c>
      <c r="H5385" t="s">
        <v>25</v>
      </c>
      <c r="I5385" s="1">
        <v>2</v>
      </c>
      <c r="J5385" s="2">
        <v>45773</v>
      </c>
      <c r="K5385" s="2">
        <v>45748</v>
      </c>
      <c r="L5385" s="1" t="str">
        <f t="shared" si="620"/>
        <v>sáb</v>
      </c>
      <c r="M5385" s="1" t="str">
        <f t="shared" si="621"/>
        <v>abr</v>
      </c>
      <c r="N5385">
        <f t="shared" si="622"/>
        <v>2025</v>
      </c>
      <c r="O5385" s="2"/>
      <c r="P5385" t="str">
        <f t="shared" si="623"/>
        <v>214645773</v>
      </c>
    </row>
    <row r="5386" spans="1:16" x14ac:dyDescent="0.3">
      <c r="A5386">
        <v>2146</v>
      </c>
      <c r="B5386">
        <v>22</v>
      </c>
      <c r="C5386" t="s">
        <v>15</v>
      </c>
      <c r="D5386" t="s">
        <v>29</v>
      </c>
      <c r="E5386" t="s">
        <v>17</v>
      </c>
      <c r="F5386" t="s">
        <v>23</v>
      </c>
      <c r="G5386" t="s">
        <v>41</v>
      </c>
      <c r="H5386" t="s">
        <v>25</v>
      </c>
      <c r="I5386" s="1">
        <v>2</v>
      </c>
      <c r="J5386" s="2">
        <v>45907</v>
      </c>
      <c r="K5386" s="2">
        <v>45901</v>
      </c>
      <c r="L5386" s="1" t="str">
        <f t="shared" si="620"/>
        <v>dom</v>
      </c>
      <c r="M5386" s="1" t="str">
        <f t="shared" si="621"/>
        <v>set</v>
      </c>
      <c r="N5386">
        <f t="shared" si="622"/>
        <v>2025</v>
      </c>
      <c r="O5386" s="2"/>
      <c r="P5386" t="str">
        <f t="shared" si="623"/>
        <v>214645907</v>
      </c>
    </row>
    <row r="5387" spans="1:16" x14ac:dyDescent="0.3">
      <c r="A5387">
        <v>2146</v>
      </c>
      <c r="B5387">
        <v>22</v>
      </c>
      <c r="C5387" t="s">
        <v>15</v>
      </c>
      <c r="D5387" t="s">
        <v>29</v>
      </c>
      <c r="E5387" t="s">
        <v>17</v>
      </c>
      <c r="F5387" t="s">
        <v>23</v>
      </c>
      <c r="G5387" t="s">
        <v>41</v>
      </c>
      <c r="H5387" t="s">
        <v>25</v>
      </c>
      <c r="I5387" s="1">
        <v>2</v>
      </c>
      <c r="J5387" s="2">
        <v>45985</v>
      </c>
      <c r="K5387" s="2">
        <v>45962</v>
      </c>
      <c r="L5387" s="1" t="str">
        <f t="shared" si="620"/>
        <v>seg</v>
      </c>
      <c r="M5387" s="1" t="str">
        <f t="shared" si="621"/>
        <v>nov</v>
      </c>
      <c r="N5387">
        <f t="shared" si="622"/>
        <v>2025</v>
      </c>
      <c r="O5387" s="2"/>
      <c r="P5387" t="str">
        <f t="shared" si="623"/>
        <v>214645985</v>
      </c>
    </row>
    <row r="5388" spans="1:16" x14ac:dyDescent="0.3">
      <c r="A5388">
        <v>2146</v>
      </c>
      <c r="B5388">
        <v>22</v>
      </c>
      <c r="C5388" t="s">
        <v>15</v>
      </c>
      <c r="D5388" t="s">
        <v>29</v>
      </c>
      <c r="E5388" t="s">
        <v>17</v>
      </c>
      <c r="F5388" t="s">
        <v>23</v>
      </c>
      <c r="G5388" t="s">
        <v>41</v>
      </c>
      <c r="H5388" t="s">
        <v>25</v>
      </c>
      <c r="I5388" s="1">
        <v>2</v>
      </c>
      <c r="J5388" s="2">
        <v>46174</v>
      </c>
      <c r="K5388" s="2">
        <v>46023</v>
      </c>
      <c r="L5388" s="1" t="str">
        <f t="shared" si="620"/>
        <v>seg</v>
      </c>
      <c r="M5388" s="1" t="str">
        <f t="shared" si="621"/>
        <v>jun</v>
      </c>
      <c r="N5388">
        <f t="shared" si="622"/>
        <v>2026</v>
      </c>
      <c r="O5388" s="2"/>
      <c r="P5388" t="str">
        <f t="shared" si="623"/>
        <v>214646174</v>
      </c>
    </row>
    <row r="5389" spans="1:16" x14ac:dyDescent="0.3">
      <c r="A5389">
        <v>2146</v>
      </c>
      <c r="B5389">
        <v>22</v>
      </c>
      <c r="C5389" t="s">
        <v>15</v>
      </c>
      <c r="D5389" t="s">
        <v>29</v>
      </c>
      <c r="E5389" t="s">
        <v>17</v>
      </c>
      <c r="F5389" t="s">
        <v>23</v>
      </c>
      <c r="G5389" t="s">
        <v>41</v>
      </c>
      <c r="H5389" t="s">
        <v>25</v>
      </c>
      <c r="I5389" s="1">
        <v>2</v>
      </c>
      <c r="J5389" s="2">
        <v>46057</v>
      </c>
      <c r="K5389" s="2">
        <v>46054</v>
      </c>
      <c r="L5389" s="1" t="str">
        <f t="shared" si="620"/>
        <v>qua</v>
      </c>
      <c r="M5389" s="1" t="str">
        <f t="shared" si="621"/>
        <v>fev</v>
      </c>
      <c r="N5389">
        <f t="shared" si="622"/>
        <v>2026</v>
      </c>
      <c r="O5389" s="2"/>
      <c r="P5389" t="str">
        <f t="shared" si="623"/>
        <v>214646057</v>
      </c>
    </row>
    <row r="5390" spans="1:16" x14ac:dyDescent="0.3">
      <c r="A5390">
        <v>2146</v>
      </c>
      <c r="B5390">
        <v>22</v>
      </c>
      <c r="C5390" t="s">
        <v>15</v>
      </c>
      <c r="D5390" t="s">
        <v>29</v>
      </c>
      <c r="E5390" t="s">
        <v>17</v>
      </c>
      <c r="F5390" t="s">
        <v>23</v>
      </c>
      <c r="G5390" t="s">
        <v>41</v>
      </c>
      <c r="H5390" t="s">
        <v>25</v>
      </c>
      <c r="I5390" s="1">
        <v>2</v>
      </c>
      <c r="J5390" s="2">
        <v>46075</v>
      </c>
      <c r="K5390" s="2">
        <v>46054</v>
      </c>
      <c r="L5390" s="1" t="str">
        <f t="shared" si="620"/>
        <v>dom</v>
      </c>
      <c r="M5390" s="1" t="str">
        <f t="shared" si="621"/>
        <v>fev</v>
      </c>
      <c r="N5390">
        <f t="shared" si="622"/>
        <v>2026</v>
      </c>
      <c r="O5390" s="2"/>
      <c r="P5390" t="str">
        <f t="shared" si="623"/>
        <v>214646075</v>
      </c>
    </row>
    <row r="5391" spans="1:16" x14ac:dyDescent="0.3">
      <c r="A5391">
        <v>2146</v>
      </c>
      <c r="B5391">
        <v>22</v>
      </c>
      <c r="C5391" t="s">
        <v>15</v>
      </c>
      <c r="D5391" t="s">
        <v>29</v>
      </c>
      <c r="E5391" t="s">
        <v>17</v>
      </c>
      <c r="F5391" t="s">
        <v>23</v>
      </c>
      <c r="G5391" t="s">
        <v>41</v>
      </c>
      <c r="H5391" t="s">
        <v>25</v>
      </c>
      <c r="I5391" s="1">
        <v>2</v>
      </c>
      <c r="J5391" s="2">
        <v>46138</v>
      </c>
      <c r="K5391" s="2">
        <v>46113</v>
      </c>
      <c r="L5391" s="1" t="s">
        <v>54</v>
      </c>
      <c r="M5391" s="1" t="s">
        <v>48</v>
      </c>
      <c r="N5391">
        <v>2025</v>
      </c>
      <c r="O5391" s="2"/>
      <c r="P5391" t="str">
        <f t="shared" si="623"/>
        <v>214646138</v>
      </c>
    </row>
    <row r="5392" spans="1:16" x14ac:dyDescent="0.3">
      <c r="A5392">
        <v>2147</v>
      </c>
      <c r="B5392">
        <v>50</v>
      </c>
      <c r="C5392" t="s">
        <v>26</v>
      </c>
      <c r="D5392" t="s">
        <v>29</v>
      </c>
      <c r="E5392" t="s">
        <v>17</v>
      </c>
      <c r="F5392" t="s">
        <v>18</v>
      </c>
      <c r="G5392" t="s">
        <v>41</v>
      </c>
      <c r="H5392" t="s">
        <v>25</v>
      </c>
      <c r="I5392" s="1">
        <v>3</v>
      </c>
      <c r="J5392" s="2">
        <v>45873</v>
      </c>
      <c r="K5392" s="2">
        <v>45870</v>
      </c>
      <c r="L5392" s="1" t="str">
        <f t="shared" ref="L5392:L5423" si="624">TEXT(J5392,"ddd")</f>
        <v>seg</v>
      </c>
      <c r="M5392" s="1" t="str">
        <f t="shared" ref="M5392:M5423" si="625">TEXT($J5392,"mmm")</f>
        <v>ago</v>
      </c>
      <c r="N5392">
        <f t="shared" ref="N5392:N5423" si="626">YEAR(J5392)</f>
        <v>2025</v>
      </c>
      <c r="O5392" s="2"/>
      <c r="P5392" t="str">
        <f t="shared" si="623"/>
        <v>214745873</v>
      </c>
    </row>
    <row r="5393" spans="1:16" x14ac:dyDescent="0.3">
      <c r="A5393">
        <v>2147</v>
      </c>
      <c r="B5393">
        <v>50</v>
      </c>
      <c r="C5393" t="s">
        <v>26</v>
      </c>
      <c r="D5393" t="s">
        <v>29</v>
      </c>
      <c r="E5393" t="s">
        <v>17</v>
      </c>
      <c r="F5393" t="s">
        <v>18</v>
      </c>
      <c r="G5393" t="s">
        <v>41</v>
      </c>
      <c r="H5393" t="s">
        <v>25</v>
      </c>
      <c r="I5393" s="1">
        <v>3</v>
      </c>
      <c r="J5393" s="2">
        <v>45887</v>
      </c>
      <c r="K5393" s="2">
        <v>45870</v>
      </c>
      <c r="L5393" s="1" t="str">
        <f t="shared" si="624"/>
        <v>seg</v>
      </c>
      <c r="M5393" s="1" t="str">
        <f t="shared" si="625"/>
        <v>ago</v>
      </c>
      <c r="N5393">
        <f t="shared" si="626"/>
        <v>2025</v>
      </c>
      <c r="O5393" s="2"/>
      <c r="P5393" t="str">
        <f t="shared" si="623"/>
        <v>214745887</v>
      </c>
    </row>
    <row r="5394" spans="1:16" x14ac:dyDescent="0.3">
      <c r="A5394">
        <v>2147</v>
      </c>
      <c r="B5394">
        <v>50</v>
      </c>
      <c r="C5394" t="s">
        <v>26</v>
      </c>
      <c r="D5394" t="s">
        <v>29</v>
      </c>
      <c r="E5394" t="s">
        <v>17</v>
      </c>
      <c r="F5394" t="s">
        <v>18</v>
      </c>
      <c r="G5394" t="s">
        <v>41</v>
      </c>
      <c r="H5394" t="s">
        <v>25</v>
      </c>
      <c r="I5394" s="1">
        <v>3</v>
      </c>
      <c r="J5394" s="2">
        <v>45904</v>
      </c>
      <c r="K5394" s="2">
        <v>45901</v>
      </c>
      <c r="L5394" s="1" t="str">
        <f t="shared" si="624"/>
        <v>qui</v>
      </c>
      <c r="M5394" s="1" t="str">
        <f t="shared" si="625"/>
        <v>set</v>
      </c>
      <c r="N5394">
        <f t="shared" si="626"/>
        <v>2025</v>
      </c>
      <c r="O5394" s="2"/>
      <c r="P5394" t="str">
        <f t="shared" si="623"/>
        <v>214745904</v>
      </c>
    </row>
    <row r="5395" spans="1:16" x14ac:dyDescent="0.3">
      <c r="A5395">
        <v>2147</v>
      </c>
      <c r="B5395">
        <v>50</v>
      </c>
      <c r="C5395" t="s">
        <v>26</v>
      </c>
      <c r="D5395" t="s">
        <v>29</v>
      </c>
      <c r="E5395" t="s">
        <v>17</v>
      </c>
      <c r="F5395" t="s">
        <v>18</v>
      </c>
      <c r="G5395" t="s">
        <v>41</v>
      </c>
      <c r="H5395" t="s">
        <v>25</v>
      </c>
      <c r="I5395" s="1">
        <v>3</v>
      </c>
      <c r="J5395" s="2">
        <v>45972</v>
      </c>
      <c r="K5395" s="2">
        <v>45962</v>
      </c>
      <c r="L5395" s="1" t="str">
        <f t="shared" si="624"/>
        <v>ter</v>
      </c>
      <c r="M5395" s="1" t="str">
        <f t="shared" si="625"/>
        <v>nov</v>
      </c>
      <c r="N5395">
        <f t="shared" si="626"/>
        <v>2025</v>
      </c>
      <c r="O5395" s="2"/>
      <c r="P5395" t="str">
        <f t="shared" si="623"/>
        <v>214745972</v>
      </c>
    </row>
    <row r="5396" spans="1:16" x14ac:dyDescent="0.3">
      <c r="A5396">
        <v>2147</v>
      </c>
      <c r="B5396">
        <v>50</v>
      </c>
      <c r="C5396" t="s">
        <v>26</v>
      </c>
      <c r="D5396" t="s">
        <v>29</v>
      </c>
      <c r="E5396" t="s">
        <v>17</v>
      </c>
      <c r="F5396" t="s">
        <v>18</v>
      </c>
      <c r="G5396" t="s">
        <v>41</v>
      </c>
      <c r="H5396" t="s">
        <v>25</v>
      </c>
      <c r="I5396" s="1">
        <v>3</v>
      </c>
      <c r="J5396" s="2">
        <v>45979</v>
      </c>
      <c r="K5396" s="2">
        <v>45962</v>
      </c>
      <c r="L5396" s="1" t="str">
        <f t="shared" si="624"/>
        <v>ter</v>
      </c>
      <c r="M5396" s="1" t="str">
        <f t="shared" si="625"/>
        <v>nov</v>
      </c>
      <c r="N5396">
        <f t="shared" si="626"/>
        <v>2025</v>
      </c>
      <c r="O5396" s="2"/>
      <c r="P5396" t="str">
        <f t="shared" si="623"/>
        <v>214745979</v>
      </c>
    </row>
    <row r="5397" spans="1:16" x14ac:dyDescent="0.3">
      <c r="A5397">
        <v>2147</v>
      </c>
      <c r="B5397">
        <v>50</v>
      </c>
      <c r="C5397" t="s">
        <v>26</v>
      </c>
      <c r="D5397" t="s">
        <v>29</v>
      </c>
      <c r="E5397" t="s">
        <v>17</v>
      </c>
      <c r="F5397" t="s">
        <v>18</v>
      </c>
      <c r="G5397" t="s">
        <v>41</v>
      </c>
      <c r="H5397" t="s">
        <v>25</v>
      </c>
      <c r="I5397" s="1">
        <v>3</v>
      </c>
      <c r="J5397" s="2">
        <v>45995</v>
      </c>
      <c r="K5397" s="2">
        <v>45992</v>
      </c>
      <c r="L5397" s="1" t="str">
        <f t="shared" si="624"/>
        <v>qui</v>
      </c>
      <c r="M5397" s="1" t="str">
        <f t="shared" si="625"/>
        <v>dez</v>
      </c>
      <c r="N5397">
        <f t="shared" si="626"/>
        <v>2025</v>
      </c>
      <c r="O5397" s="2"/>
      <c r="P5397" t="str">
        <f t="shared" si="623"/>
        <v>214745995</v>
      </c>
    </row>
    <row r="5398" spans="1:16" x14ac:dyDescent="0.3">
      <c r="A5398">
        <v>2149</v>
      </c>
      <c r="B5398">
        <v>45</v>
      </c>
      <c r="C5398" t="s">
        <v>15</v>
      </c>
      <c r="D5398" t="s">
        <v>29</v>
      </c>
      <c r="E5398" t="s">
        <v>17</v>
      </c>
      <c r="F5398" t="s">
        <v>21</v>
      </c>
      <c r="G5398" t="s">
        <v>41</v>
      </c>
      <c r="H5398" t="s">
        <v>20</v>
      </c>
      <c r="I5398" s="1">
        <v>2</v>
      </c>
      <c r="J5398" s="2">
        <v>45808</v>
      </c>
      <c r="K5398" s="2">
        <v>45778</v>
      </c>
      <c r="L5398" s="1" t="str">
        <f t="shared" si="624"/>
        <v>sáb</v>
      </c>
      <c r="M5398" s="1" t="str">
        <f t="shared" si="625"/>
        <v>mai</v>
      </c>
      <c r="N5398">
        <f t="shared" si="626"/>
        <v>2025</v>
      </c>
      <c r="O5398" s="2">
        <f>_xlfn.XLOOKUP(A5398,Colaboradores!$A:$A,Colaboradores!$S:$S,"",0)</f>
        <v>46025</v>
      </c>
      <c r="P5398" t="str">
        <f t="shared" si="623"/>
        <v>214945808</v>
      </c>
    </row>
    <row r="5399" spans="1:16" x14ac:dyDescent="0.3">
      <c r="A5399">
        <v>2149</v>
      </c>
      <c r="B5399">
        <v>45</v>
      </c>
      <c r="C5399" t="s">
        <v>15</v>
      </c>
      <c r="D5399" t="s">
        <v>29</v>
      </c>
      <c r="E5399" t="s">
        <v>17</v>
      </c>
      <c r="F5399" t="s">
        <v>21</v>
      </c>
      <c r="G5399" t="s">
        <v>41</v>
      </c>
      <c r="H5399" t="s">
        <v>20</v>
      </c>
      <c r="I5399" s="1">
        <v>2</v>
      </c>
      <c r="J5399" s="2">
        <v>45915</v>
      </c>
      <c r="K5399" s="2">
        <v>45901</v>
      </c>
      <c r="L5399" s="1" t="str">
        <f t="shared" si="624"/>
        <v>seg</v>
      </c>
      <c r="M5399" s="1" t="str">
        <f t="shared" si="625"/>
        <v>set</v>
      </c>
      <c r="N5399">
        <f t="shared" si="626"/>
        <v>2025</v>
      </c>
      <c r="O5399" s="2">
        <f>_xlfn.XLOOKUP(A5399,Colaboradores!$A:$A,Colaboradores!$S:$S,"",0)</f>
        <v>46025</v>
      </c>
      <c r="P5399" t="str">
        <f t="shared" si="623"/>
        <v>214945915</v>
      </c>
    </row>
    <row r="5400" spans="1:16" x14ac:dyDescent="0.3">
      <c r="A5400">
        <v>2149</v>
      </c>
      <c r="B5400">
        <v>45</v>
      </c>
      <c r="C5400" t="s">
        <v>15</v>
      </c>
      <c r="D5400" t="s">
        <v>29</v>
      </c>
      <c r="E5400" t="s">
        <v>17</v>
      </c>
      <c r="F5400" t="s">
        <v>21</v>
      </c>
      <c r="G5400" t="s">
        <v>41</v>
      </c>
      <c r="H5400" t="s">
        <v>20</v>
      </c>
      <c r="I5400" s="1">
        <v>2</v>
      </c>
      <c r="J5400" s="2">
        <v>45969</v>
      </c>
      <c r="K5400" s="2">
        <v>45962</v>
      </c>
      <c r="L5400" s="1" t="str">
        <f t="shared" si="624"/>
        <v>sáb</v>
      </c>
      <c r="M5400" s="1" t="str">
        <f t="shared" si="625"/>
        <v>nov</v>
      </c>
      <c r="N5400">
        <f t="shared" si="626"/>
        <v>2025</v>
      </c>
      <c r="O5400" s="2">
        <f>_xlfn.XLOOKUP(A5400,Colaboradores!$A:$A,Colaboradores!$S:$S,"",0)</f>
        <v>46025</v>
      </c>
      <c r="P5400" t="str">
        <f t="shared" si="623"/>
        <v>214945969</v>
      </c>
    </row>
    <row r="5401" spans="1:16" x14ac:dyDescent="0.3">
      <c r="A5401">
        <v>2149</v>
      </c>
      <c r="B5401">
        <v>45</v>
      </c>
      <c r="C5401" t="s">
        <v>15</v>
      </c>
      <c r="D5401" t="s">
        <v>29</v>
      </c>
      <c r="E5401" t="s">
        <v>17</v>
      </c>
      <c r="F5401" t="s">
        <v>21</v>
      </c>
      <c r="G5401" t="s">
        <v>41</v>
      </c>
      <c r="H5401" t="s">
        <v>20</v>
      </c>
      <c r="I5401" s="1">
        <v>2</v>
      </c>
      <c r="J5401" s="2">
        <v>45970</v>
      </c>
      <c r="K5401" s="2">
        <v>45962</v>
      </c>
      <c r="L5401" s="1" t="str">
        <f t="shared" si="624"/>
        <v>dom</v>
      </c>
      <c r="M5401" s="1" t="str">
        <f t="shared" si="625"/>
        <v>nov</v>
      </c>
      <c r="N5401">
        <f t="shared" si="626"/>
        <v>2025</v>
      </c>
      <c r="O5401" s="2">
        <f>_xlfn.XLOOKUP(A5401,Colaboradores!$A:$A,Colaboradores!$S:$S,"",0)</f>
        <v>46025</v>
      </c>
      <c r="P5401" t="str">
        <f t="shared" si="623"/>
        <v>214945970</v>
      </c>
    </row>
    <row r="5402" spans="1:16" x14ac:dyDescent="0.3">
      <c r="A5402">
        <v>2149</v>
      </c>
      <c r="B5402">
        <v>45</v>
      </c>
      <c r="C5402" t="s">
        <v>15</v>
      </c>
      <c r="D5402" t="s">
        <v>29</v>
      </c>
      <c r="E5402" t="s">
        <v>17</v>
      </c>
      <c r="F5402" t="s">
        <v>21</v>
      </c>
      <c r="G5402" t="s">
        <v>41</v>
      </c>
      <c r="H5402" t="s">
        <v>20</v>
      </c>
      <c r="I5402" s="1">
        <v>2</v>
      </c>
      <c r="J5402" s="2">
        <v>45975</v>
      </c>
      <c r="K5402" s="2">
        <v>45962</v>
      </c>
      <c r="L5402" s="1" t="str">
        <f t="shared" si="624"/>
        <v>sex</v>
      </c>
      <c r="M5402" s="1" t="str">
        <f t="shared" si="625"/>
        <v>nov</v>
      </c>
      <c r="N5402">
        <f t="shared" si="626"/>
        <v>2025</v>
      </c>
      <c r="O5402" s="2">
        <f>_xlfn.XLOOKUP(A5402,Colaboradores!$A:$A,Colaboradores!$S:$S,"",0)</f>
        <v>46025</v>
      </c>
      <c r="P5402" t="str">
        <f t="shared" si="623"/>
        <v>214945975</v>
      </c>
    </row>
    <row r="5403" spans="1:16" x14ac:dyDescent="0.3">
      <c r="A5403">
        <v>2149</v>
      </c>
      <c r="B5403">
        <v>45</v>
      </c>
      <c r="C5403" t="s">
        <v>15</v>
      </c>
      <c r="D5403" t="s">
        <v>29</v>
      </c>
      <c r="E5403" t="s">
        <v>17</v>
      </c>
      <c r="F5403" t="s">
        <v>21</v>
      </c>
      <c r="G5403" t="s">
        <v>41</v>
      </c>
      <c r="H5403" t="s">
        <v>20</v>
      </c>
      <c r="I5403" s="1">
        <v>2</v>
      </c>
      <c r="J5403" s="2">
        <v>46008</v>
      </c>
      <c r="K5403" s="2">
        <v>45992</v>
      </c>
      <c r="L5403" s="1" t="str">
        <f t="shared" si="624"/>
        <v>qua</v>
      </c>
      <c r="M5403" s="1" t="str">
        <f t="shared" si="625"/>
        <v>dez</v>
      </c>
      <c r="N5403">
        <f t="shared" si="626"/>
        <v>2025</v>
      </c>
      <c r="O5403" s="2">
        <f>_xlfn.XLOOKUP(A5403,Colaboradores!$A:$A,Colaboradores!$S:$S,"",0)</f>
        <v>46025</v>
      </c>
      <c r="P5403" t="str">
        <f t="shared" si="623"/>
        <v>214946008</v>
      </c>
    </row>
    <row r="5404" spans="1:16" x14ac:dyDescent="0.3">
      <c r="A5404">
        <v>2150</v>
      </c>
      <c r="B5404">
        <v>40</v>
      </c>
      <c r="C5404" t="s">
        <v>26</v>
      </c>
      <c r="D5404" t="s">
        <v>16</v>
      </c>
      <c r="E5404" t="s">
        <v>17</v>
      </c>
      <c r="F5404" t="s">
        <v>23</v>
      </c>
      <c r="G5404" t="s">
        <v>41</v>
      </c>
      <c r="H5404" t="s">
        <v>25</v>
      </c>
      <c r="I5404" s="1">
        <v>2</v>
      </c>
      <c r="J5404" s="2">
        <v>45881</v>
      </c>
      <c r="K5404" s="2">
        <v>45870</v>
      </c>
      <c r="L5404" s="1" t="str">
        <f t="shared" si="624"/>
        <v>ter</v>
      </c>
      <c r="M5404" s="1" t="str">
        <f t="shared" si="625"/>
        <v>ago</v>
      </c>
      <c r="N5404">
        <f t="shared" si="626"/>
        <v>2025</v>
      </c>
      <c r="O5404" s="2"/>
      <c r="P5404" t="str">
        <f t="shared" si="623"/>
        <v>215045881</v>
      </c>
    </row>
    <row r="5405" spans="1:16" x14ac:dyDescent="0.3">
      <c r="A5405">
        <v>2150</v>
      </c>
      <c r="B5405">
        <v>40</v>
      </c>
      <c r="C5405" t="s">
        <v>26</v>
      </c>
      <c r="D5405" t="s">
        <v>16</v>
      </c>
      <c r="E5405" t="s">
        <v>17</v>
      </c>
      <c r="F5405" t="s">
        <v>23</v>
      </c>
      <c r="G5405" t="s">
        <v>41</v>
      </c>
      <c r="H5405" t="s">
        <v>25</v>
      </c>
      <c r="I5405" s="1">
        <v>2</v>
      </c>
      <c r="J5405" s="2">
        <v>45953</v>
      </c>
      <c r="K5405" s="2">
        <v>45931</v>
      </c>
      <c r="L5405" s="1" t="str">
        <f t="shared" si="624"/>
        <v>qui</v>
      </c>
      <c r="M5405" s="1" t="str">
        <f t="shared" si="625"/>
        <v>out</v>
      </c>
      <c r="N5405">
        <f t="shared" si="626"/>
        <v>2025</v>
      </c>
      <c r="O5405" s="2"/>
      <c r="P5405" t="str">
        <f t="shared" si="623"/>
        <v>215045953</v>
      </c>
    </row>
    <row r="5406" spans="1:16" x14ac:dyDescent="0.3">
      <c r="A5406">
        <v>2150</v>
      </c>
      <c r="B5406">
        <v>40</v>
      </c>
      <c r="C5406" t="s">
        <v>26</v>
      </c>
      <c r="D5406" t="s">
        <v>16</v>
      </c>
      <c r="E5406" t="s">
        <v>17</v>
      </c>
      <c r="F5406" t="s">
        <v>23</v>
      </c>
      <c r="G5406" t="s">
        <v>41</v>
      </c>
      <c r="H5406" t="s">
        <v>25</v>
      </c>
      <c r="I5406" s="1">
        <v>2</v>
      </c>
      <c r="J5406" s="2">
        <v>45959</v>
      </c>
      <c r="K5406" s="2">
        <v>45931</v>
      </c>
      <c r="L5406" s="1" t="str">
        <f t="shared" si="624"/>
        <v>qua</v>
      </c>
      <c r="M5406" s="1" t="str">
        <f t="shared" si="625"/>
        <v>out</v>
      </c>
      <c r="N5406">
        <f t="shared" si="626"/>
        <v>2025</v>
      </c>
      <c r="O5406" s="2"/>
      <c r="P5406" t="str">
        <f t="shared" si="623"/>
        <v>215045959</v>
      </c>
    </row>
    <row r="5407" spans="1:16" x14ac:dyDescent="0.3">
      <c r="A5407">
        <v>2150</v>
      </c>
      <c r="B5407">
        <v>40</v>
      </c>
      <c r="C5407" t="s">
        <v>26</v>
      </c>
      <c r="D5407" t="s">
        <v>16</v>
      </c>
      <c r="E5407" t="s">
        <v>17</v>
      </c>
      <c r="F5407" t="s">
        <v>23</v>
      </c>
      <c r="G5407" t="s">
        <v>41</v>
      </c>
      <c r="H5407" t="s">
        <v>25</v>
      </c>
      <c r="I5407" s="1">
        <v>2</v>
      </c>
      <c r="J5407" s="2">
        <v>45974</v>
      </c>
      <c r="K5407" s="2">
        <v>45962</v>
      </c>
      <c r="L5407" s="1" t="str">
        <f t="shared" si="624"/>
        <v>qui</v>
      </c>
      <c r="M5407" s="1" t="str">
        <f t="shared" si="625"/>
        <v>nov</v>
      </c>
      <c r="N5407">
        <f t="shared" si="626"/>
        <v>2025</v>
      </c>
      <c r="O5407" s="2"/>
      <c r="P5407" t="str">
        <f t="shared" si="623"/>
        <v>215045974</v>
      </c>
    </row>
    <row r="5408" spans="1:16" x14ac:dyDescent="0.3">
      <c r="A5408">
        <v>2150</v>
      </c>
      <c r="B5408">
        <v>40</v>
      </c>
      <c r="C5408" t="s">
        <v>26</v>
      </c>
      <c r="D5408" t="s">
        <v>16</v>
      </c>
      <c r="E5408" t="s">
        <v>17</v>
      </c>
      <c r="F5408" t="s">
        <v>23</v>
      </c>
      <c r="G5408" t="s">
        <v>41</v>
      </c>
      <c r="H5408" t="s">
        <v>25</v>
      </c>
      <c r="I5408" s="1">
        <v>2</v>
      </c>
      <c r="J5408" s="2">
        <v>46193</v>
      </c>
      <c r="K5408" s="2">
        <v>46023</v>
      </c>
      <c r="L5408" s="1" t="str">
        <f t="shared" si="624"/>
        <v>sáb</v>
      </c>
      <c r="M5408" s="1" t="str">
        <f t="shared" si="625"/>
        <v>jun</v>
      </c>
      <c r="N5408">
        <f t="shared" si="626"/>
        <v>2026</v>
      </c>
      <c r="O5408" s="2"/>
      <c r="P5408" t="str">
        <f t="shared" si="623"/>
        <v>215046193</v>
      </c>
    </row>
    <row r="5409" spans="1:16" x14ac:dyDescent="0.3">
      <c r="A5409">
        <v>2150</v>
      </c>
      <c r="B5409">
        <v>40</v>
      </c>
      <c r="C5409" t="s">
        <v>26</v>
      </c>
      <c r="D5409" t="s">
        <v>16</v>
      </c>
      <c r="E5409" t="s">
        <v>17</v>
      </c>
      <c r="F5409" t="s">
        <v>23</v>
      </c>
      <c r="G5409" t="s">
        <v>41</v>
      </c>
      <c r="H5409" t="s">
        <v>25</v>
      </c>
      <c r="I5409" s="1">
        <v>2</v>
      </c>
      <c r="J5409" s="2">
        <v>46107</v>
      </c>
      <c r="K5409" s="2">
        <v>46082</v>
      </c>
      <c r="L5409" s="1" t="str">
        <f t="shared" si="624"/>
        <v>qui</v>
      </c>
      <c r="M5409" s="1" t="str">
        <f t="shared" si="625"/>
        <v>mar</v>
      </c>
      <c r="N5409">
        <f t="shared" si="626"/>
        <v>2026</v>
      </c>
      <c r="O5409" s="2"/>
      <c r="P5409" t="str">
        <f t="shared" si="623"/>
        <v>215046107</v>
      </c>
    </row>
    <row r="5410" spans="1:16" x14ac:dyDescent="0.3">
      <c r="A5410">
        <v>2150</v>
      </c>
      <c r="B5410">
        <v>40</v>
      </c>
      <c r="C5410" t="s">
        <v>26</v>
      </c>
      <c r="D5410" t="s">
        <v>16</v>
      </c>
      <c r="E5410" t="s">
        <v>17</v>
      </c>
      <c r="F5410" t="s">
        <v>23</v>
      </c>
      <c r="G5410" t="s">
        <v>41</v>
      </c>
      <c r="H5410" t="s">
        <v>25</v>
      </c>
      <c r="I5410" s="1">
        <v>2</v>
      </c>
      <c r="J5410" s="2">
        <v>46122</v>
      </c>
      <c r="K5410" s="2">
        <v>46113</v>
      </c>
      <c r="L5410" s="1" t="str">
        <f t="shared" si="624"/>
        <v>sex</v>
      </c>
      <c r="M5410" s="1" t="str">
        <f t="shared" si="625"/>
        <v>abr</v>
      </c>
      <c r="N5410">
        <f t="shared" si="626"/>
        <v>2026</v>
      </c>
      <c r="O5410" s="2"/>
      <c r="P5410" t="str">
        <f t="shared" si="623"/>
        <v>215046122</v>
      </c>
    </row>
    <row r="5411" spans="1:16" x14ac:dyDescent="0.3">
      <c r="A5411">
        <v>2151</v>
      </c>
      <c r="B5411">
        <v>22</v>
      </c>
      <c r="C5411" t="s">
        <v>26</v>
      </c>
      <c r="D5411" t="s">
        <v>27</v>
      </c>
      <c r="E5411" t="s">
        <v>17</v>
      </c>
      <c r="F5411" t="s">
        <v>21</v>
      </c>
      <c r="G5411" t="s">
        <v>41</v>
      </c>
      <c r="H5411" t="s">
        <v>25</v>
      </c>
      <c r="I5411" s="1">
        <v>2</v>
      </c>
      <c r="J5411" s="2">
        <v>45907</v>
      </c>
      <c r="K5411" s="2">
        <v>45901</v>
      </c>
      <c r="L5411" s="1" t="str">
        <f t="shared" si="624"/>
        <v>dom</v>
      </c>
      <c r="M5411" s="1" t="str">
        <f t="shared" si="625"/>
        <v>set</v>
      </c>
      <c r="N5411">
        <f t="shared" si="626"/>
        <v>2025</v>
      </c>
      <c r="O5411" s="2"/>
      <c r="P5411" t="str">
        <f t="shared" si="623"/>
        <v>215145907</v>
      </c>
    </row>
    <row r="5412" spans="1:16" x14ac:dyDescent="0.3">
      <c r="A5412">
        <v>2151</v>
      </c>
      <c r="B5412">
        <v>22</v>
      </c>
      <c r="C5412" t="s">
        <v>26</v>
      </c>
      <c r="D5412" t="s">
        <v>27</v>
      </c>
      <c r="E5412" t="s">
        <v>17</v>
      </c>
      <c r="F5412" t="s">
        <v>21</v>
      </c>
      <c r="G5412" t="s">
        <v>41</v>
      </c>
      <c r="H5412" t="s">
        <v>25</v>
      </c>
      <c r="I5412" s="1">
        <v>2</v>
      </c>
      <c r="J5412" s="2">
        <v>45910</v>
      </c>
      <c r="K5412" s="2">
        <v>45901</v>
      </c>
      <c r="L5412" s="1" t="str">
        <f t="shared" si="624"/>
        <v>qua</v>
      </c>
      <c r="M5412" s="1" t="str">
        <f t="shared" si="625"/>
        <v>set</v>
      </c>
      <c r="N5412">
        <f t="shared" si="626"/>
        <v>2025</v>
      </c>
      <c r="O5412" s="2"/>
      <c r="P5412" t="str">
        <f t="shared" si="623"/>
        <v>215145910</v>
      </c>
    </row>
    <row r="5413" spans="1:16" x14ac:dyDescent="0.3">
      <c r="A5413">
        <v>2151</v>
      </c>
      <c r="B5413">
        <v>22</v>
      </c>
      <c r="C5413" t="s">
        <v>26</v>
      </c>
      <c r="D5413" t="s">
        <v>27</v>
      </c>
      <c r="E5413" t="s">
        <v>17</v>
      </c>
      <c r="F5413" t="s">
        <v>21</v>
      </c>
      <c r="G5413" t="s">
        <v>41</v>
      </c>
      <c r="H5413" t="s">
        <v>25</v>
      </c>
      <c r="I5413" s="1">
        <v>2</v>
      </c>
      <c r="J5413" s="2">
        <v>45920</v>
      </c>
      <c r="K5413" s="2">
        <v>45901</v>
      </c>
      <c r="L5413" s="1" t="str">
        <f t="shared" si="624"/>
        <v>sáb</v>
      </c>
      <c r="M5413" s="1" t="str">
        <f t="shared" si="625"/>
        <v>set</v>
      </c>
      <c r="N5413">
        <f t="shared" si="626"/>
        <v>2025</v>
      </c>
      <c r="O5413" s="2"/>
      <c r="P5413" t="str">
        <f t="shared" si="623"/>
        <v>215145920</v>
      </c>
    </row>
    <row r="5414" spans="1:16" x14ac:dyDescent="0.3">
      <c r="A5414">
        <v>2151</v>
      </c>
      <c r="B5414">
        <v>22</v>
      </c>
      <c r="C5414" t="s">
        <v>26</v>
      </c>
      <c r="D5414" t="s">
        <v>27</v>
      </c>
      <c r="E5414" t="s">
        <v>17</v>
      </c>
      <c r="F5414" t="s">
        <v>21</v>
      </c>
      <c r="G5414" t="s">
        <v>41</v>
      </c>
      <c r="H5414" t="s">
        <v>25</v>
      </c>
      <c r="I5414" s="1">
        <v>2</v>
      </c>
      <c r="J5414" s="2">
        <v>45965</v>
      </c>
      <c r="K5414" s="2">
        <v>45962</v>
      </c>
      <c r="L5414" s="1" t="str">
        <f t="shared" si="624"/>
        <v>ter</v>
      </c>
      <c r="M5414" s="1" t="str">
        <f t="shared" si="625"/>
        <v>nov</v>
      </c>
      <c r="N5414">
        <f t="shared" si="626"/>
        <v>2025</v>
      </c>
      <c r="O5414" s="2"/>
      <c r="P5414" t="str">
        <f t="shared" si="623"/>
        <v>215145965</v>
      </c>
    </row>
    <row r="5415" spans="1:16" x14ac:dyDescent="0.3">
      <c r="A5415">
        <v>2151</v>
      </c>
      <c r="B5415">
        <v>22</v>
      </c>
      <c r="C5415" t="s">
        <v>26</v>
      </c>
      <c r="D5415" t="s">
        <v>27</v>
      </c>
      <c r="E5415" t="s">
        <v>17</v>
      </c>
      <c r="F5415" t="s">
        <v>21</v>
      </c>
      <c r="G5415" t="s">
        <v>41</v>
      </c>
      <c r="H5415" t="s">
        <v>25</v>
      </c>
      <c r="I5415" s="1">
        <v>2</v>
      </c>
      <c r="J5415" s="2">
        <v>45976</v>
      </c>
      <c r="K5415" s="2">
        <v>45962</v>
      </c>
      <c r="L5415" s="1" t="str">
        <f t="shared" si="624"/>
        <v>sáb</v>
      </c>
      <c r="M5415" s="1" t="str">
        <f t="shared" si="625"/>
        <v>nov</v>
      </c>
      <c r="N5415">
        <f t="shared" si="626"/>
        <v>2025</v>
      </c>
      <c r="O5415" s="2"/>
      <c r="P5415" t="str">
        <f t="shared" si="623"/>
        <v>215145976</v>
      </c>
    </row>
    <row r="5416" spans="1:16" x14ac:dyDescent="0.3">
      <c r="A5416">
        <v>2152</v>
      </c>
      <c r="B5416">
        <v>34</v>
      </c>
      <c r="C5416" t="s">
        <v>15</v>
      </c>
      <c r="D5416" t="s">
        <v>22</v>
      </c>
      <c r="E5416" t="s">
        <v>17</v>
      </c>
      <c r="F5416" t="s">
        <v>21</v>
      </c>
      <c r="G5416" t="s">
        <v>41</v>
      </c>
      <c r="H5416" t="s">
        <v>25</v>
      </c>
      <c r="I5416" s="1">
        <v>1</v>
      </c>
      <c r="J5416" s="2">
        <v>45845</v>
      </c>
      <c r="K5416" s="2">
        <v>45839</v>
      </c>
      <c r="L5416" s="1" t="str">
        <f t="shared" si="624"/>
        <v>seg</v>
      </c>
      <c r="M5416" s="1" t="str">
        <f t="shared" si="625"/>
        <v>jul</v>
      </c>
      <c r="N5416">
        <f t="shared" si="626"/>
        <v>2025</v>
      </c>
      <c r="O5416" s="2"/>
      <c r="P5416" t="str">
        <f t="shared" si="623"/>
        <v>215245845</v>
      </c>
    </row>
    <row r="5417" spans="1:16" x14ac:dyDescent="0.3">
      <c r="A5417">
        <v>2152</v>
      </c>
      <c r="B5417">
        <v>34</v>
      </c>
      <c r="C5417" t="s">
        <v>15</v>
      </c>
      <c r="D5417" t="s">
        <v>22</v>
      </c>
      <c r="E5417" t="s">
        <v>17</v>
      </c>
      <c r="F5417" t="s">
        <v>21</v>
      </c>
      <c r="G5417" t="s">
        <v>41</v>
      </c>
      <c r="H5417" t="s">
        <v>25</v>
      </c>
      <c r="I5417" s="1">
        <v>1</v>
      </c>
      <c r="J5417" s="2">
        <v>45958</v>
      </c>
      <c r="K5417" s="2">
        <v>45931</v>
      </c>
      <c r="L5417" s="1" t="str">
        <f t="shared" si="624"/>
        <v>ter</v>
      </c>
      <c r="M5417" s="1" t="str">
        <f t="shared" si="625"/>
        <v>out</v>
      </c>
      <c r="N5417">
        <f t="shared" si="626"/>
        <v>2025</v>
      </c>
      <c r="O5417" s="2"/>
      <c r="P5417" t="str">
        <f t="shared" si="623"/>
        <v>215245958</v>
      </c>
    </row>
    <row r="5418" spans="1:16" x14ac:dyDescent="0.3">
      <c r="A5418">
        <v>2152</v>
      </c>
      <c r="B5418">
        <v>34</v>
      </c>
      <c r="C5418" t="s">
        <v>15</v>
      </c>
      <c r="D5418" t="s">
        <v>22</v>
      </c>
      <c r="E5418" t="s">
        <v>17</v>
      </c>
      <c r="F5418" t="s">
        <v>21</v>
      </c>
      <c r="G5418" t="s">
        <v>41</v>
      </c>
      <c r="H5418" t="s">
        <v>25</v>
      </c>
      <c r="I5418" s="1">
        <v>1</v>
      </c>
      <c r="J5418" s="2">
        <v>46196</v>
      </c>
      <c r="K5418" s="2">
        <v>46023</v>
      </c>
      <c r="L5418" s="1" t="str">
        <f t="shared" si="624"/>
        <v>ter</v>
      </c>
      <c r="M5418" s="1" t="str">
        <f t="shared" si="625"/>
        <v>jun</v>
      </c>
      <c r="N5418">
        <f t="shared" si="626"/>
        <v>2026</v>
      </c>
      <c r="O5418" s="2"/>
      <c r="P5418" t="str">
        <f t="shared" si="623"/>
        <v>215246196</v>
      </c>
    </row>
    <row r="5419" spans="1:16" x14ac:dyDescent="0.3">
      <c r="A5419">
        <v>2152</v>
      </c>
      <c r="B5419">
        <v>34</v>
      </c>
      <c r="C5419" t="s">
        <v>15</v>
      </c>
      <c r="D5419" t="s">
        <v>22</v>
      </c>
      <c r="E5419" t="s">
        <v>17</v>
      </c>
      <c r="F5419" t="s">
        <v>21</v>
      </c>
      <c r="G5419" t="s">
        <v>41</v>
      </c>
      <c r="H5419" t="s">
        <v>25</v>
      </c>
      <c r="I5419" s="1">
        <v>1</v>
      </c>
      <c r="J5419" s="2">
        <v>46056</v>
      </c>
      <c r="K5419" s="2">
        <v>46054</v>
      </c>
      <c r="L5419" s="1" t="str">
        <f t="shared" si="624"/>
        <v>ter</v>
      </c>
      <c r="M5419" s="1" t="str">
        <f t="shared" si="625"/>
        <v>fev</v>
      </c>
      <c r="N5419">
        <f t="shared" si="626"/>
        <v>2026</v>
      </c>
      <c r="O5419" s="2"/>
      <c r="P5419" t="str">
        <f t="shared" si="623"/>
        <v>215246056</v>
      </c>
    </row>
    <row r="5420" spans="1:16" x14ac:dyDescent="0.3">
      <c r="A5420">
        <v>2152</v>
      </c>
      <c r="B5420">
        <v>34</v>
      </c>
      <c r="C5420" t="s">
        <v>15</v>
      </c>
      <c r="D5420" t="s">
        <v>22</v>
      </c>
      <c r="E5420" t="s">
        <v>17</v>
      </c>
      <c r="F5420" t="s">
        <v>21</v>
      </c>
      <c r="G5420" t="s">
        <v>41</v>
      </c>
      <c r="H5420" t="s">
        <v>25</v>
      </c>
      <c r="I5420" s="1">
        <v>1</v>
      </c>
      <c r="J5420" s="2">
        <v>46067</v>
      </c>
      <c r="K5420" s="2">
        <v>46054</v>
      </c>
      <c r="L5420" s="1" t="str">
        <f t="shared" si="624"/>
        <v>sáb</v>
      </c>
      <c r="M5420" s="1" t="str">
        <f t="shared" si="625"/>
        <v>fev</v>
      </c>
      <c r="N5420">
        <f t="shared" si="626"/>
        <v>2026</v>
      </c>
      <c r="O5420" s="2"/>
      <c r="P5420" t="str">
        <f t="shared" si="623"/>
        <v>215246067</v>
      </c>
    </row>
    <row r="5421" spans="1:16" x14ac:dyDescent="0.3">
      <c r="A5421">
        <v>2152</v>
      </c>
      <c r="B5421">
        <v>34</v>
      </c>
      <c r="C5421" t="s">
        <v>15</v>
      </c>
      <c r="D5421" t="s">
        <v>22</v>
      </c>
      <c r="E5421" t="s">
        <v>17</v>
      </c>
      <c r="F5421" t="s">
        <v>21</v>
      </c>
      <c r="G5421" t="s">
        <v>41</v>
      </c>
      <c r="H5421" t="s">
        <v>25</v>
      </c>
      <c r="I5421" s="1">
        <v>1</v>
      </c>
      <c r="J5421" s="2">
        <v>46108</v>
      </c>
      <c r="K5421" s="2">
        <v>46082</v>
      </c>
      <c r="L5421" s="1" t="str">
        <f t="shared" si="624"/>
        <v>sex</v>
      </c>
      <c r="M5421" s="1" t="str">
        <f t="shared" si="625"/>
        <v>mar</v>
      </c>
      <c r="N5421">
        <f t="shared" si="626"/>
        <v>2026</v>
      </c>
      <c r="O5421" s="2"/>
      <c r="P5421" t="str">
        <f t="shared" si="623"/>
        <v>215246108</v>
      </c>
    </row>
    <row r="5422" spans="1:16" x14ac:dyDescent="0.3">
      <c r="A5422">
        <v>2152</v>
      </c>
      <c r="B5422">
        <v>34</v>
      </c>
      <c r="C5422" t="s">
        <v>15</v>
      </c>
      <c r="D5422" t="s">
        <v>22</v>
      </c>
      <c r="E5422" t="s">
        <v>17</v>
      </c>
      <c r="F5422" t="s">
        <v>21</v>
      </c>
      <c r="G5422" t="s">
        <v>41</v>
      </c>
      <c r="H5422" t="s">
        <v>25</v>
      </c>
      <c r="I5422" s="1">
        <v>1</v>
      </c>
      <c r="J5422" s="2">
        <v>46134</v>
      </c>
      <c r="K5422" s="2">
        <v>46113</v>
      </c>
      <c r="L5422" s="1" t="str">
        <f t="shared" si="624"/>
        <v>qua</v>
      </c>
      <c r="M5422" s="1" t="str">
        <f t="shared" si="625"/>
        <v>abr</v>
      </c>
      <c r="N5422">
        <f t="shared" si="626"/>
        <v>2026</v>
      </c>
      <c r="O5422" s="2"/>
      <c r="P5422" t="str">
        <f t="shared" si="623"/>
        <v>215246134</v>
      </c>
    </row>
    <row r="5423" spans="1:16" x14ac:dyDescent="0.3">
      <c r="A5423">
        <v>2153</v>
      </c>
      <c r="B5423">
        <v>41</v>
      </c>
      <c r="C5423" t="s">
        <v>26</v>
      </c>
      <c r="D5423" t="s">
        <v>31</v>
      </c>
      <c r="E5423" t="s">
        <v>32</v>
      </c>
      <c r="F5423" t="s">
        <v>23</v>
      </c>
      <c r="G5423" t="s">
        <v>41</v>
      </c>
      <c r="H5423" t="s">
        <v>25</v>
      </c>
      <c r="I5423" s="1">
        <v>3</v>
      </c>
      <c r="J5423" s="2">
        <v>45842</v>
      </c>
      <c r="K5423" s="2">
        <v>45839</v>
      </c>
      <c r="L5423" s="1" t="str">
        <f t="shared" si="624"/>
        <v>sex</v>
      </c>
      <c r="M5423" s="1" t="str">
        <f t="shared" si="625"/>
        <v>jul</v>
      </c>
      <c r="N5423">
        <f t="shared" si="626"/>
        <v>2025</v>
      </c>
      <c r="O5423" s="2"/>
      <c r="P5423" t="str">
        <f t="shared" si="623"/>
        <v>215345842</v>
      </c>
    </row>
    <row r="5424" spans="1:16" x14ac:dyDescent="0.3">
      <c r="A5424">
        <v>2153</v>
      </c>
      <c r="B5424">
        <v>41</v>
      </c>
      <c r="C5424" t="s">
        <v>26</v>
      </c>
      <c r="D5424" t="s">
        <v>31</v>
      </c>
      <c r="E5424" t="s">
        <v>32</v>
      </c>
      <c r="F5424" t="s">
        <v>23</v>
      </c>
      <c r="G5424" t="s">
        <v>41</v>
      </c>
      <c r="H5424" t="s">
        <v>25</v>
      </c>
      <c r="I5424" s="1">
        <v>3</v>
      </c>
      <c r="J5424" s="2">
        <v>45918</v>
      </c>
      <c r="K5424" s="2">
        <v>45901</v>
      </c>
      <c r="L5424" s="1" t="str">
        <f t="shared" ref="L5424:L5449" si="627">TEXT(J5424,"ddd")</f>
        <v>qui</v>
      </c>
      <c r="M5424" s="1" t="str">
        <f t="shared" ref="M5424:M5449" si="628">TEXT($J5424,"mmm")</f>
        <v>set</v>
      </c>
      <c r="N5424">
        <f t="shared" ref="N5424:N5449" si="629">YEAR(J5424)</f>
        <v>2025</v>
      </c>
      <c r="O5424" s="2"/>
      <c r="P5424" t="str">
        <f t="shared" si="623"/>
        <v>215345918</v>
      </c>
    </row>
    <row r="5425" spans="1:16" x14ac:dyDescent="0.3">
      <c r="A5425">
        <v>2153</v>
      </c>
      <c r="B5425">
        <v>41</v>
      </c>
      <c r="C5425" t="s">
        <v>26</v>
      </c>
      <c r="D5425" t="s">
        <v>31</v>
      </c>
      <c r="E5425" t="s">
        <v>32</v>
      </c>
      <c r="F5425" t="s">
        <v>23</v>
      </c>
      <c r="G5425" t="s">
        <v>41</v>
      </c>
      <c r="H5425" t="s">
        <v>25</v>
      </c>
      <c r="I5425" s="1">
        <v>3</v>
      </c>
      <c r="J5425" s="2">
        <v>45957</v>
      </c>
      <c r="K5425" s="2">
        <v>45931</v>
      </c>
      <c r="L5425" s="1" t="str">
        <f t="shared" si="627"/>
        <v>seg</v>
      </c>
      <c r="M5425" s="1" t="str">
        <f t="shared" si="628"/>
        <v>out</v>
      </c>
      <c r="N5425">
        <f t="shared" si="629"/>
        <v>2025</v>
      </c>
      <c r="O5425" s="2"/>
      <c r="P5425" t="str">
        <f t="shared" si="623"/>
        <v>215345957</v>
      </c>
    </row>
    <row r="5426" spans="1:16" x14ac:dyDescent="0.3">
      <c r="A5426">
        <v>2153</v>
      </c>
      <c r="B5426">
        <v>41</v>
      </c>
      <c r="C5426" t="s">
        <v>26</v>
      </c>
      <c r="D5426" t="s">
        <v>31</v>
      </c>
      <c r="E5426" t="s">
        <v>32</v>
      </c>
      <c r="F5426" t="s">
        <v>23</v>
      </c>
      <c r="G5426" t="s">
        <v>41</v>
      </c>
      <c r="H5426" t="s">
        <v>25</v>
      </c>
      <c r="I5426" s="1">
        <v>3</v>
      </c>
      <c r="J5426" s="2">
        <v>45999</v>
      </c>
      <c r="K5426" s="2">
        <v>45992</v>
      </c>
      <c r="L5426" s="1" t="str">
        <f t="shared" si="627"/>
        <v>seg</v>
      </c>
      <c r="M5426" s="1" t="str">
        <f t="shared" si="628"/>
        <v>dez</v>
      </c>
      <c r="N5426">
        <f t="shared" si="629"/>
        <v>2025</v>
      </c>
      <c r="O5426" s="2"/>
      <c r="P5426" t="str">
        <f t="shared" si="623"/>
        <v>215345999</v>
      </c>
    </row>
    <row r="5427" spans="1:16" x14ac:dyDescent="0.3">
      <c r="A5427">
        <v>2153</v>
      </c>
      <c r="B5427">
        <v>41</v>
      </c>
      <c r="C5427" t="s">
        <v>26</v>
      </c>
      <c r="D5427" t="s">
        <v>31</v>
      </c>
      <c r="E5427" t="s">
        <v>32</v>
      </c>
      <c r="F5427" t="s">
        <v>23</v>
      </c>
      <c r="G5427" t="s">
        <v>41</v>
      </c>
      <c r="H5427" t="s">
        <v>25</v>
      </c>
      <c r="I5427" s="1">
        <v>3</v>
      </c>
      <c r="J5427" s="2">
        <v>46060</v>
      </c>
      <c r="K5427" s="2">
        <v>46054</v>
      </c>
      <c r="L5427" s="1" t="str">
        <f t="shared" si="627"/>
        <v>sáb</v>
      </c>
      <c r="M5427" s="1" t="str">
        <f t="shared" si="628"/>
        <v>fev</v>
      </c>
      <c r="N5427">
        <f t="shared" si="629"/>
        <v>2026</v>
      </c>
      <c r="O5427" s="2"/>
      <c r="P5427" t="str">
        <f t="shared" si="623"/>
        <v>215346060</v>
      </c>
    </row>
    <row r="5428" spans="1:16" x14ac:dyDescent="0.3">
      <c r="A5428">
        <v>2153</v>
      </c>
      <c r="B5428">
        <v>41</v>
      </c>
      <c r="C5428" t="s">
        <v>26</v>
      </c>
      <c r="D5428" t="s">
        <v>31</v>
      </c>
      <c r="E5428" t="s">
        <v>32</v>
      </c>
      <c r="F5428" t="s">
        <v>23</v>
      </c>
      <c r="G5428" t="s">
        <v>41</v>
      </c>
      <c r="H5428" t="s">
        <v>25</v>
      </c>
      <c r="I5428" s="1">
        <v>3</v>
      </c>
      <c r="J5428" s="2">
        <v>46108</v>
      </c>
      <c r="K5428" s="2">
        <v>46082</v>
      </c>
      <c r="L5428" s="1" t="str">
        <f t="shared" si="627"/>
        <v>sex</v>
      </c>
      <c r="M5428" s="1" t="str">
        <f t="shared" si="628"/>
        <v>mar</v>
      </c>
      <c r="N5428">
        <f t="shared" si="629"/>
        <v>2026</v>
      </c>
      <c r="O5428" s="2"/>
      <c r="P5428" t="str">
        <f t="shared" si="623"/>
        <v>215346108</v>
      </c>
    </row>
    <row r="5429" spans="1:16" x14ac:dyDescent="0.3">
      <c r="A5429">
        <v>2153</v>
      </c>
      <c r="B5429">
        <v>41</v>
      </c>
      <c r="C5429" t="s">
        <v>26</v>
      </c>
      <c r="D5429" t="s">
        <v>31</v>
      </c>
      <c r="E5429" t="s">
        <v>32</v>
      </c>
      <c r="F5429" t="s">
        <v>23</v>
      </c>
      <c r="G5429" t="s">
        <v>41</v>
      </c>
      <c r="H5429" t="s">
        <v>25</v>
      </c>
      <c r="I5429" s="1">
        <v>3</v>
      </c>
      <c r="J5429" s="2">
        <v>46176</v>
      </c>
      <c r="K5429" s="2">
        <v>46174</v>
      </c>
      <c r="L5429" s="1" t="str">
        <f t="shared" si="627"/>
        <v>qua</v>
      </c>
      <c r="M5429" s="1" t="str">
        <f t="shared" si="628"/>
        <v>jun</v>
      </c>
      <c r="N5429">
        <f t="shared" si="629"/>
        <v>2026</v>
      </c>
      <c r="O5429" s="2"/>
      <c r="P5429" t="str">
        <f t="shared" si="623"/>
        <v>215346176</v>
      </c>
    </row>
    <row r="5430" spans="1:16" x14ac:dyDescent="0.3">
      <c r="A5430">
        <v>2154</v>
      </c>
      <c r="B5430">
        <v>25</v>
      </c>
      <c r="C5430" t="s">
        <v>15</v>
      </c>
      <c r="D5430" t="s">
        <v>16</v>
      </c>
      <c r="E5430" t="s">
        <v>17</v>
      </c>
      <c r="F5430" t="s">
        <v>21</v>
      </c>
      <c r="G5430" t="s">
        <v>41</v>
      </c>
      <c r="H5430" t="s">
        <v>25</v>
      </c>
      <c r="I5430" s="1">
        <v>1</v>
      </c>
      <c r="J5430" s="2">
        <v>45883</v>
      </c>
      <c r="K5430" s="2">
        <v>45870</v>
      </c>
      <c r="L5430" s="1" t="str">
        <f t="shared" si="627"/>
        <v>qui</v>
      </c>
      <c r="M5430" s="1" t="str">
        <f t="shared" si="628"/>
        <v>ago</v>
      </c>
      <c r="N5430">
        <f t="shared" si="629"/>
        <v>2025</v>
      </c>
      <c r="O5430" s="2"/>
      <c r="P5430" t="str">
        <f t="shared" si="623"/>
        <v>215445883</v>
      </c>
    </row>
    <row r="5431" spans="1:16" x14ac:dyDescent="0.3">
      <c r="A5431">
        <v>2154</v>
      </c>
      <c r="B5431">
        <v>25</v>
      </c>
      <c r="C5431" t="s">
        <v>15</v>
      </c>
      <c r="D5431" t="s">
        <v>16</v>
      </c>
      <c r="E5431" t="s">
        <v>17</v>
      </c>
      <c r="F5431" t="s">
        <v>21</v>
      </c>
      <c r="G5431" t="s">
        <v>41</v>
      </c>
      <c r="H5431" t="s">
        <v>25</v>
      </c>
      <c r="I5431" s="1">
        <v>1</v>
      </c>
      <c r="J5431" s="2">
        <v>45891</v>
      </c>
      <c r="K5431" s="2">
        <v>45870</v>
      </c>
      <c r="L5431" s="1" t="str">
        <f t="shared" si="627"/>
        <v>sex</v>
      </c>
      <c r="M5431" s="1" t="str">
        <f t="shared" si="628"/>
        <v>ago</v>
      </c>
      <c r="N5431">
        <f t="shared" si="629"/>
        <v>2025</v>
      </c>
      <c r="O5431" s="2"/>
      <c r="P5431" t="str">
        <f t="shared" si="623"/>
        <v>215445891</v>
      </c>
    </row>
    <row r="5432" spans="1:16" x14ac:dyDescent="0.3">
      <c r="A5432">
        <v>2154</v>
      </c>
      <c r="B5432">
        <v>25</v>
      </c>
      <c r="C5432" t="s">
        <v>15</v>
      </c>
      <c r="D5432" t="s">
        <v>16</v>
      </c>
      <c r="E5432" t="s">
        <v>17</v>
      </c>
      <c r="F5432" t="s">
        <v>21</v>
      </c>
      <c r="G5432" t="s">
        <v>41</v>
      </c>
      <c r="H5432" t="s">
        <v>25</v>
      </c>
      <c r="I5432" s="1">
        <v>1</v>
      </c>
      <c r="J5432" s="2">
        <v>46055</v>
      </c>
      <c r="K5432" s="2">
        <v>46054</v>
      </c>
      <c r="L5432" s="1" t="str">
        <f t="shared" si="627"/>
        <v>seg</v>
      </c>
      <c r="M5432" s="1" t="str">
        <f t="shared" si="628"/>
        <v>fev</v>
      </c>
      <c r="N5432">
        <f t="shared" si="629"/>
        <v>2026</v>
      </c>
      <c r="O5432" s="2"/>
      <c r="P5432" t="str">
        <f t="shared" si="623"/>
        <v>215446055</v>
      </c>
    </row>
    <row r="5433" spans="1:16" x14ac:dyDescent="0.3">
      <c r="A5433">
        <v>2154</v>
      </c>
      <c r="B5433">
        <v>25</v>
      </c>
      <c r="C5433" t="s">
        <v>15</v>
      </c>
      <c r="D5433" t="s">
        <v>16</v>
      </c>
      <c r="E5433" t="s">
        <v>17</v>
      </c>
      <c r="F5433" t="s">
        <v>21</v>
      </c>
      <c r="G5433" t="s">
        <v>41</v>
      </c>
      <c r="H5433" t="s">
        <v>25</v>
      </c>
      <c r="I5433" s="1">
        <v>1</v>
      </c>
      <c r="J5433" s="2">
        <v>46106</v>
      </c>
      <c r="K5433" s="2">
        <v>46082</v>
      </c>
      <c r="L5433" s="1" t="str">
        <f t="shared" si="627"/>
        <v>qua</v>
      </c>
      <c r="M5433" s="1" t="str">
        <f t="shared" si="628"/>
        <v>mar</v>
      </c>
      <c r="N5433">
        <f t="shared" si="629"/>
        <v>2026</v>
      </c>
      <c r="O5433" s="2"/>
      <c r="P5433" t="str">
        <f t="shared" si="623"/>
        <v>215446106</v>
      </c>
    </row>
    <row r="5434" spans="1:16" x14ac:dyDescent="0.3">
      <c r="A5434">
        <v>2154</v>
      </c>
      <c r="B5434">
        <v>25</v>
      </c>
      <c r="C5434" t="s">
        <v>15</v>
      </c>
      <c r="D5434" t="s">
        <v>16</v>
      </c>
      <c r="E5434" t="s">
        <v>17</v>
      </c>
      <c r="F5434" t="s">
        <v>21</v>
      </c>
      <c r="G5434" t="s">
        <v>41</v>
      </c>
      <c r="H5434" t="s">
        <v>25</v>
      </c>
      <c r="I5434" s="1">
        <v>1</v>
      </c>
      <c r="J5434" s="2">
        <v>46140</v>
      </c>
      <c r="K5434" s="2">
        <v>46113</v>
      </c>
      <c r="L5434" s="1" t="str">
        <f t="shared" si="627"/>
        <v>ter</v>
      </c>
      <c r="M5434" s="1" t="str">
        <f t="shared" si="628"/>
        <v>abr</v>
      </c>
      <c r="N5434">
        <f t="shared" si="629"/>
        <v>2026</v>
      </c>
      <c r="O5434" s="2"/>
      <c r="P5434" t="str">
        <f t="shared" si="623"/>
        <v>215446140</v>
      </c>
    </row>
    <row r="5435" spans="1:16" x14ac:dyDescent="0.3">
      <c r="A5435">
        <v>2156</v>
      </c>
      <c r="B5435">
        <v>30</v>
      </c>
      <c r="C5435" t="s">
        <v>15</v>
      </c>
      <c r="D5435" t="s">
        <v>16</v>
      </c>
      <c r="E5435" t="s">
        <v>17</v>
      </c>
      <c r="F5435" t="s">
        <v>18</v>
      </c>
      <c r="G5435" t="s">
        <v>41</v>
      </c>
      <c r="H5435" t="s">
        <v>25</v>
      </c>
      <c r="I5435" s="1">
        <v>2</v>
      </c>
      <c r="J5435" s="2">
        <v>45810</v>
      </c>
      <c r="K5435" s="2">
        <v>45809</v>
      </c>
      <c r="L5435" s="1" t="str">
        <f t="shared" si="627"/>
        <v>seg</v>
      </c>
      <c r="M5435" s="1" t="str">
        <f t="shared" si="628"/>
        <v>jun</v>
      </c>
      <c r="N5435">
        <f t="shared" si="629"/>
        <v>2025</v>
      </c>
      <c r="O5435" s="2"/>
      <c r="P5435" t="str">
        <f t="shared" si="623"/>
        <v>215645810</v>
      </c>
    </row>
    <row r="5436" spans="1:16" x14ac:dyDescent="0.3">
      <c r="A5436">
        <v>2156</v>
      </c>
      <c r="B5436">
        <v>30</v>
      </c>
      <c r="C5436" t="s">
        <v>15</v>
      </c>
      <c r="D5436" t="s">
        <v>16</v>
      </c>
      <c r="E5436" t="s">
        <v>17</v>
      </c>
      <c r="F5436" t="s">
        <v>18</v>
      </c>
      <c r="G5436" t="s">
        <v>41</v>
      </c>
      <c r="H5436" t="s">
        <v>25</v>
      </c>
      <c r="I5436" s="1">
        <v>2</v>
      </c>
      <c r="J5436" s="2">
        <v>45924</v>
      </c>
      <c r="K5436" s="2">
        <v>45901</v>
      </c>
      <c r="L5436" s="1" t="str">
        <f t="shared" si="627"/>
        <v>qua</v>
      </c>
      <c r="M5436" s="1" t="str">
        <f t="shared" si="628"/>
        <v>set</v>
      </c>
      <c r="N5436">
        <f t="shared" si="629"/>
        <v>2025</v>
      </c>
      <c r="O5436" s="2"/>
      <c r="P5436" t="str">
        <f t="shared" ref="P5436:P5499" si="630">CONCATENATE(A5436,J5436)</f>
        <v>215645924</v>
      </c>
    </row>
    <row r="5437" spans="1:16" x14ac:dyDescent="0.3">
      <c r="A5437">
        <v>2156</v>
      </c>
      <c r="B5437">
        <v>30</v>
      </c>
      <c r="C5437" t="s">
        <v>15</v>
      </c>
      <c r="D5437" t="s">
        <v>16</v>
      </c>
      <c r="E5437" t="s">
        <v>17</v>
      </c>
      <c r="F5437" t="s">
        <v>18</v>
      </c>
      <c r="G5437" t="s">
        <v>41</v>
      </c>
      <c r="H5437" t="s">
        <v>25</v>
      </c>
      <c r="I5437" s="1">
        <v>2</v>
      </c>
      <c r="J5437" s="2">
        <v>45998</v>
      </c>
      <c r="K5437" s="2">
        <v>45992</v>
      </c>
      <c r="L5437" s="1" t="str">
        <f t="shared" si="627"/>
        <v>dom</v>
      </c>
      <c r="M5437" s="1" t="str">
        <f t="shared" si="628"/>
        <v>dez</v>
      </c>
      <c r="N5437">
        <f t="shared" si="629"/>
        <v>2025</v>
      </c>
      <c r="O5437" s="2"/>
      <c r="P5437" t="str">
        <f t="shared" si="630"/>
        <v>215645998</v>
      </c>
    </row>
    <row r="5438" spans="1:16" x14ac:dyDescent="0.3">
      <c r="A5438">
        <v>2156</v>
      </c>
      <c r="B5438">
        <v>30</v>
      </c>
      <c r="C5438" t="s">
        <v>15</v>
      </c>
      <c r="D5438" t="s">
        <v>16</v>
      </c>
      <c r="E5438" t="s">
        <v>17</v>
      </c>
      <c r="F5438" t="s">
        <v>18</v>
      </c>
      <c r="G5438" t="s">
        <v>41</v>
      </c>
      <c r="H5438" t="s">
        <v>25</v>
      </c>
      <c r="I5438" s="1">
        <v>2</v>
      </c>
      <c r="J5438" s="2">
        <v>46064</v>
      </c>
      <c r="K5438" s="2">
        <v>46054</v>
      </c>
      <c r="L5438" s="1" t="str">
        <f t="shared" si="627"/>
        <v>qua</v>
      </c>
      <c r="M5438" s="1" t="str">
        <f t="shared" si="628"/>
        <v>fev</v>
      </c>
      <c r="N5438">
        <f t="shared" si="629"/>
        <v>2026</v>
      </c>
      <c r="O5438" s="2"/>
      <c r="P5438" t="str">
        <f t="shared" si="630"/>
        <v>215646064</v>
      </c>
    </row>
    <row r="5439" spans="1:16" x14ac:dyDescent="0.3">
      <c r="A5439">
        <v>2156</v>
      </c>
      <c r="B5439">
        <v>30</v>
      </c>
      <c r="C5439" t="s">
        <v>15</v>
      </c>
      <c r="D5439" t="s">
        <v>16</v>
      </c>
      <c r="E5439" t="s">
        <v>17</v>
      </c>
      <c r="F5439" t="s">
        <v>18</v>
      </c>
      <c r="G5439" t="s">
        <v>41</v>
      </c>
      <c r="H5439" t="s">
        <v>25</v>
      </c>
      <c r="I5439" s="1">
        <v>2</v>
      </c>
      <c r="J5439" s="2">
        <v>46067</v>
      </c>
      <c r="K5439" s="2">
        <v>46054</v>
      </c>
      <c r="L5439" s="1" t="str">
        <f t="shared" si="627"/>
        <v>sáb</v>
      </c>
      <c r="M5439" s="1" t="str">
        <f t="shared" si="628"/>
        <v>fev</v>
      </c>
      <c r="N5439">
        <f t="shared" si="629"/>
        <v>2026</v>
      </c>
      <c r="O5439" s="2"/>
      <c r="P5439" t="str">
        <f t="shared" si="630"/>
        <v>215646067</v>
      </c>
    </row>
    <row r="5440" spans="1:16" x14ac:dyDescent="0.3">
      <c r="A5440">
        <v>2157</v>
      </c>
      <c r="B5440">
        <v>42</v>
      </c>
      <c r="C5440" t="s">
        <v>26</v>
      </c>
      <c r="D5440" t="s">
        <v>16</v>
      </c>
      <c r="E5440" t="s">
        <v>17</v>
      </c>
      <c r="F5440" t="s">
        <v>21</v>
      </c>
      <c r="G5440" t="s">
        <v>41</v>
      </c>
      <c r="H5440" t="s">
        <v>25</v>
      </c>
      <c r="I5440" s="1">
        <v>3</v>
      </c>
      <c r="J5440" s="2">
        <v>45876</v>
      </c>
      <c r="K5440" s="2">
        <v>45870</v>
      </c>
      <c r="L5440" s="1" t="str">
        <f t="shared" si="627"/>
        <v>qui</v>
      </c>
      <c r="M5440" s="1" t="str">
        <f t="shared" si="628"/>
        <v>ago</v>
      </c>
      <c r="N5440">
        <f t="shared" si="629"/>
        <v>2025</v>
      </c>
      <c r="O5440" s="2"/>
      <c r="P5440" t="str">
        <f t="shared" si="630"/>
        <v>215745876</v>
      </c>
    </row>
    <row r="5441" spans="1:16" x14ac:dyDescent="0.3">
      <c r="A5441">
        <v>2157</v>
      </c>
      <c r="B5441">
        <v>42</v>
      </c>
      <c r="C5441" t="s">
        <v>26</v>
      </c>
      <c r="D5441" t="s">
        <v>16</v>
      </c>
      <c r="E5441" t="s">
        <v>17</v>
      </c>
      <c r="F5441" t="s">
        <v>21</v>
      </c>
      <c r="G5441" t="s">
        <v>41</v>
      </c>
      <c r="H5441" t="s">
        <v>25</v>
      </c>
      <c r="I5441" s="1">
        <v>3</v>
      </c>
      <c r="J5441" s="2">
        <v>45888</v>
      </c>
      <c r="K5441" s="2">
        <v>45870</v>
      </c>
      <c r="L5441" s="1" t="str">
        <f t="shared" si="627"/>
        <v>ter</v>
      </c>
      <c r="M5441" s="1" t="str">
        <f t="shared" si="628"/>
        <v>ago</v>
      </c>
      <c r="N5441">
        <f t="shared" si="629"/>
        <v>2025</v>
      </c>
      <c r="O5441" s="2"/>
      <c r="P5441" t="str">
        <f t="shared" si="630"/>
        <v>215745888</v>
      </c>
    </row>
    <row r="5442" spans="1:16" x14ac:dyDescent="0.3">
      <c r="A5442">
        <v>2157</v>
      </c>
      <c r="B5442">
        <v>42</v>
      </c>
      <c r="C5442" t="s">
        <v>26</v>
      </c>
      <c r="D5442" t="s">
        <v>16</v>
      </c>
      <c r="E5442" t="s">
        <v>17</v>
      </c>
      <c r="F5442" t="s">
        <v>21</v>
      </c>
      <c r="G5442" t="s">
        <v>41</v>
      </c>
      <c r="H5442" t="s">
        <v>25</v>
      </c>
      <c r="I5442" s="1">
        <v>3</v>
      </c>
      <c r="J5442" s="2">
        <v>45979</v>
      </c>
      <c r="K5442" s="2">
        <v>45962</v>
      </c>
      <c r="L5442" s="1" t="str">
        <f t="shared" si="627"/>
        <v>ter</v>
      </c>
      <c r="M5442" s="1" t="str">
        <f t="shared" si="628"/>
        <v>nov</v>
      </c>
      <c r="N5442">
        <f t="shared" si="629"/>
        <v>2025</v>
      </c>
      <c r="O5442" s="2"/>
      <c r="P5442" t="str">
        <f t="shared" si="630"/>
        <v>215745979</v>
      </c>
    </row>
    <row r="5443" spans="1:16" x14ac:dyDescent="0.3">
      <c r="A5443">
        <v>2157</v>
      </c>
      <c r="B5443">
        <v>42</v>
      </c>
      <c r="C5443" t="s">
        <v>26</v>
      </c>
      <c r="D5443" t="s">
        <v>16</v>
      </c>
      <c r="E5443" t="s">
        <v>17</v>
      </c>
      <c r="F5443" t="s">
        <v>21</v>
      </c>
      <c r="G5443" t="s">
        <v>41</v>
      </c>
      <c r="H5443" t="s">
        <v>25</v>
      </c>
      <c r="I5443" s="1">
        <v>3</v>
      </c>
      <c r="J5443" s="2">
        <v>45987</v>
      </c>
      <c r="K5443" s="2">
        <v>45962</v>
      </c>
      <c r="L5443" s="1" t="str">
        <f t="shared" si="627"/>
        <v>qua</v>
      </c>
      <c r="M5443" s="1" t="str">
        <f t="shared" si="628"/>
        <v>nov</v>
      </c>
      <c r="N5443">
        <f t="shared" si="629"/>
        <v>2025</v>
      </c>
      <c r="O5443" s="2"/>
      <c r="P5443" t="str">
        <f t="shared" si="630"/>
        <v>215745987</v>
      </c>
    </row>
    <row r="5444" spans="1:16" x14ac:dyDescent="0.3">
      <c r="A5444">
        <v>2157</v>
      </c>
      <c r="B5444">
        <v>42</v>
      </c>
      <c r="C5444" t="s">
        <v>26</v>
      </c>
      <c r="D5444" t="s">
        <v>16</v>
      </c>
      <c r="E5444" t="s">
        <v>17</v>
      </c>
      <c r="F5444" t="s">
        <v>21</v>
      </c>
      <c r="G5444" t="s">
        <v>41</v>
      </c>
      <c r="H5444" t="s">
        <v>25</v>
      </c>
      <c r="I5444" s="1">
        <v>3</v>
      </c>
      <c r="J5444" s="2">
        <v>45999</v>
      </c>
      <c r="K5444" s="2">
        <v>45992</v>
      </c>
      <c r="L5444" s="1" t="str">
        <f t="shared" si="627"/>
        <v>seg</v>
      </c>
      <c r="M5444" s="1" t="str">
        <f t="shared" si="628"/>
        <v>dez</v>
      </c>
      <c r="N5444">
        <f t="shared" si="629"/>
        <v>2025</v>
      </c>
      <c r="O5444" s="2"/>
      <c r="P5444" t="str">
        <f t="shared" si="630"/>
        <v>215745999</v>
      </c>
    </row>
    <row r="5445" spans="1:16" x14ac:dyDescent="0.3">
      <c r="A5445">
        <v>2158</v>
      </c>
      <c r="B5445">
        <v>32</v>
      </c>
      <c r="C5445" t="s">
        <v>26</v>
      </c>
      <c r="D5445" t="s">
        <v>27</v>
      </c>
      <c r="E5445" t="s">
        <v>17</v>
      </c>
      <c r="F5445" t="s">
        <v>18</v>
      </c>
      <c r="G5445" t="s">
        <v>41</v>
      </c>
      <c r="H5445" t="s">
        <v>25</v>
      </c>
      <c r="I5445" s="1">
        <v>2</v>
      </c>
      <c r="J5445" s="2">
        <v>45772</v>
      </c>
      <c r="K5445" s="2">
        <v>45748</v>
      </c>
      <c r="L5445" s="1" t="str">
        <f t="shared" si="627"/>
        <v>sex</v>
      </c>
      <c r="M5445" s="1" t="str">
        <f t="shared" si="628"/>
        <v>abr</v>
      </c>
      <c r="N5445">
        <f t="shared" si="629"/>
        <v>2025</v>
      </c>
      <c r="O5445" s="2"/>
      <c r="P5445" t="str">
        <f t="shared" si="630"/>
        <v>215845772</v>
      </c>
    </row>
    <row r="5446" spans="1:16" x14ac:dyDescent="0.3">
      <c r="A5446">
        <v>2158</v>
      </c>
      <c r="B5446">
        <v>32</v>
      </c>
      <c r="C5446" t="s">
        <v>26</v>
      </c>
      <c r="D5446" t="s">
        <v>27</v>
      </c>
      <c r="E5446" t="s">
        <v>17</v>
      </c>
      <c r="F5446" t="s">
        <v>18</v>
      </c>
      <c r="G5446" t="s">
        <v>41</v>
      </c>
      <c r="H5446" t="s">
        <v>25</v>
      </c>
      <c r="I5446" s="1">
        <v>2</v>
      </c>
      <c r="J5446" s="2">
        <v>45875</v>
      </c>
      <c r="K5446" s="2">
        <v>45870</v>
      </c>
      <c r="L5446" s="1" t="str">
        <f t="shared" si="627"/>
        <v>qua</v>
      </c>
      <c r="M5446" s="1" t="str">
        <f t="shared" si="628"/>
        <v>ago</v>
      </c>
      <c r="N5446">
        <f t="shared" si="629"/>
        <v>2025</v>
      </c>
      <c r="O5446" s="2"/>
      <c r="P5446" t="str">
        <f t="shared" si="630"/>
        <v>215845875</v>
      </c>
    </row>
    <row r="5447" spans="1:16" x14ac:dyDescent="0.3">
      <c r="A5447">
        <v>2158</v>
      </c>
      <c r="B5447">
        <v>32</v>
      </c>
      <c r="C5447" t="s">
        <v>26</v>
      </c>
      <c r="D5447" t="s">
        <v>27</v>
      </c>
      <c r="E5447" t="s">
        <v>17</v>
      </c>
      <c r="F5447" t="s">
        <v>18</v>
      </c>
      <c r="G5447" t="s">
        <v>41</v>
      </c>
      <c r="H5447" t="s">
        <v>25</v>
      </c>
      <c r="I5447" s="1">
        <v>2</v>
      </c>
      <c r="J5447" s="2">
        <v>46068</v>
      </c>
      <c r="K5447" s="2">
        <v>46054</v>
      </c>
      <c r="L5447" s="1" t="str">
        <f t="shared" si="627"/>
        <v>dom</v>
      </c>
      <c r="M5447" s="1" t="str">
        <f t="shared" si="628"/>
        <v>fev</v>
      </c>
      <c r="N5447">
        <f t="shared" si="629"/>
        <v>2026</v>
      </c>
      <c r="O5447" s="2"/>
      <c r="P5447" t="str">
        <f t="shared" si="630"/>
        <v>215846068</v>
      </c>
    </row>
    <row r="5448" spans="1:16" x14ac:dyDescent="0.3">
      <c r="A5448">
        <v>2158</v>
      </c>
      <c r="B5448">
        <v>32</v>
      </c>
      <c r="C5448" t="s">
        <v>26</v>
      </c>
      <c r="D5448" t="s">
        <v>27</v>
      </c>
      <c r="E5448" t="s">
        <v>17</v>
      </c>
      <c r="F5448" t="s">
        <v>18</v>
      </c>
      <c r="G5448" t="s">
        <v>41</v>
      </c>
      <c r="H5448" t="s">
        <v>25</v>
      </c>
      <c r="I5448" s="1">
        <v>2</v>
      </c>
      <c r="J5448" s="2">
        <v>46081</v>
      </c>
      <c r="K5448" s="2">
        <v>46054</v>
      </c>
      <c r="L5448" s="1" t="str">
        <f t="shared" si="627"/>
        <v>sáb</v>
      </c>
      <c r="M5448" s="1" t="str">
        <f t="shared" si="628"/>
        <v>fev</v>
      </c>
      <c r="N5448">
        <f t="shared" si="629"/>
        <v>2026</v>
      </c>
      <c r="O5448" s="2"/>
      <c r="P5448" t="str">
        <f t="shared" si="630"/>
        <v>215846081</v>
      </c>
    </row>
    <row r="5449" spans="1:16" x14ac:dyDescent="0.3">
      <c r="A5449">
        <v>2158</v>
      </c>
      <c r="B5449">
        <v>32</v>
      </c>
      <c r="C5449" t="s">
        <v>26</v>
      </c>
      <c r="D5449" t="s">
        <v>27</v>
      </c>
      <c r="E5449" t="s">
        <v>17</v>
      </c>
      <c r="F5449" t="s">
        <v>18</v>
      </c>
      <c r="G5449" t="s">
        <v>41</v>
      </c>
      <c r="H5449" t="s">
        <v>25</v>
      </c>
      <c r="I5449" s="1">
        <v>2</v>
      </c>
      <c r="J5449" s="2">
        <v>46082</v>
      </c>
      <c r="K5449" s="2">
        <v>46082</v>
      </c>
      <c r="L5449" s="1" t="str">
        <f t="shared" si="627"/>
        <v>dom</v>
      </c>
      <c r="M5449" s="1" t="str">
        <f t="shared" si="628"/>
        <v>mar</v>
      </c>
      <c r="N5449">
        <f t="shared" si="629"/>
        <v>2026</v>
      </c>
      <c r="O5449" s="2"/>
      <c r="P5449" t="str">
        <f t="shared" si="630"/>
        <v>215846082</v>
      </c>
    </row>
    <row r="5450" spans="1:16" x14ac:dyDescent="0.3">
      <c r="A5450">
        <v>2158</v>
      </c>
      <c r="B5450">
        <v>32</v>
      </c>
      <c r="C5450" t="s">
        <v>26</v>
      </c>
      <c r="D5450" t="s">
        <v>27</v>
      </c>
      <c r="E5450" t="s">
        <v>17</v>
      </c>
      <c r="F5450" t="s">
        <v>18</v>
      </c>
      <c r="G5450" t="s">
        <v>41</v>
      </c>
      <c r="H5450" t="s">
        <v>25</v>
      </c>
      <c r="I5450" s="1">
        <v>2</v>
      </c>
      <c r="J5450" s="2">
        <v>46137</v>
      </c>
      <c r="K5450" s="2">
        <v>46113</v>
      </c>
      <c r="L5450" s="1" t="s">
        <v>53</v>
      </c>
      <c r="M5450" s="1" t="s">
        <v>48</v>
      </c>
      <c r="N5450">
        <v>2025</v>
      </c>
      <c r="O5450" s="2"/>
      <c r="P5450" t="str">
        <f t="shared" si="630"/>
        <v>215846137</v>
      </c>
    </row>
    <row r="5451" spans="1:16" x14ac:dyDescent="0.3">
      <c r="A5451">
        <v>2161</v>
      </c>
      <c r="B5451">
        <v>47</v>
      </c>
      <c r="C5451" t="s">
        <v>26</v>
      </c>
      <c r="D5451" t="s">
        <v>22</v>
      </c>
      <c r="E5451" t="s">
        <v>17</v>
      </c>
      <c r="F5451" t="s">
        <v>23</v>
      </c>
      <c r="G5451" t="s">
        <v>41</v>
      </c>
      <c r="H5451" t="s">
        <v>25</v>
      </c>
      <c r="I5451" s="1">
        <v>1</v>
      </c>
      <c r="J5451" s="2">
        <v>45894</v>
      </c>
      <c r="K5451" s="2">
        <v>45870</v>
      </c>
      <c r="L5451" s="1" t="str">
        <f t="shared" ref="L5451:L5466" si="631">TEXT(J5451,"ddd")</f>
        <v>seg</v>
      </c>
      <c r="M5451" s="1" t="str">
        <f t="shared" ref="M5451:M5466" si="632">TEXT($J5451,"mmm")</f>
        <v>ago</v>
      </c>
      <c r="N5451">
        <f t="shared" ref="N5451:N5466" si="633">YEAR(J5451)</f>
        <v>2025</v>
      </c>
      <c r="O5451" s="2"/>
      <c r="P5451" t="str">
        <f t="shared" si="630"/>
        <v>216145894</v>
      </c>
    </row>
    <row r="5452" spans="1:16" x14ac:dyDescent="0.3">
      <c r="A5452">
        <v>2161</v>
      </c>
      <c r="B5452">
        <v>47</v>
      </c>
      <c r="C5452" t="s">
        <v>26</v>
      </c>
      <c r="D5452" t="s">
        <v>22</v>
      </c>
      <c r="E5452" t="s">
        <v>17</v>
      </c>
      <c r="F5452" t="s">
        <v>23</v>
      </c>
      <c r="G5452" t="s">
        <v>41</v>
      </c>
      <c r="H5452" t="s">
        <v>25</v>
      </c>
      <c r="I5452" s="1">
        <v>1</v>
      </c>
      <c r="J5452" s="2">
        <v>45913</v>
      </c>
      <c r="K5452" s="2">
        <v>45901</v>
      </c>
      <c r="L5452" s="1" t="str">
        <f t="shared" si="631"/>
        <v>sáb</v>
      </c>
      <c r="M5452" s="1" t="str">
        <f t="shared" si="632"/>
        <v>set</v>
      </c>
      <c r="N5452">
        <f t="shared" si="633"/>
        <v>2025</v>
      </c>
      <c r="O5452" s="2"/>
      <c r="P5452" t="str">
        <f t="shared" si="630"/>
        <v>216145913</v>
      </c>
    </row>
    <row r="5453" spans="1:16" x14ac:dyDescent="0.3">
      <c r="A5453">
        <v>2161</v>
      </c>
      <c r="B5453">
        <v>47</v>
      </c>
      <c r="C5453" t="s">
        <v>26</v>
      </c>
      <c r="D5453" t="s">
        <v>22</v>
      </c>
      <c r="E5453" t="s">
        <v>17</v>
      </c>
      <c r="F5453" t="s">
        <v>23</v>
      </c>
      <c r="G5453" t="s">
        <v>41</v>
      </c>
      <c r="H5453" t="s">
        <v>25</v>
      </c>
      <c r="I5453" s="1">
        <v>1</v>
      </c>
      <c r="J5453" s="2">
        <v>45995</v>
      </c>
      <c r="K5453" s="2">
        <v>45992</v>
      </c>
      <c r="L5453" s="1" t="str">
        <f t="shared" si="631"/>
        <v>qui</v>
      </c>
      <c r="M5453" s="1" t="str">
        <f t="shared" si="632"/>
        <v>dez</v>
      </c>
      <c r="N5453">
        <f t="shared" si="633"/>
        <v>2025</v>
      </c>
      <c r="O5453" s="2"/>
      <c r="P5453" t="str">
        <f t="shared" si="630"/>
        <v>216145995</v>
      </c>
    </row>
    <row r="5454" spans="1:16" x14ac:dyDescent="0.3">
      <c r="A5454">
        <v>2161</v>
      </c>
      <c r="B5454">
        <v>47</v>
      </c>
      <c r="C5454" t="s">
        <v>26</v>
      </c>
      <c r="D5454" t="s">
        <v>22</v>
      </c>
      <c r="E5454" t="s">
        <v>17</v>
      </c>
      <c r="F5454" t="s">
        <v>23</v>
      </c>
      <c r="G5454" t="s">
        <v>41</v>
      </c>
      <c r="H5454" t="s">
        <v>25</v>
      </c>
      <c r="I5454" s="1">
        <v>1</v>
      </c>
      <c r="J5454" s="2">
        <v>46180</v>
      </c>
      <c r="K5454" s="2">
        <v>46023</v>
      </c>
      <c r="L5454" s="1" t="str">
        <f t="shared" si="631"/>
        <v>dom</v>
      </c>
      <c r="M5454" s="1" t="str">
        <f t="shared" si="632"/>
        <v>jun</v>
      </c>
      <c r="N5454">
        <f t="shared" si="633"/>
        <v>2026</v>
      </c>
      <c r="O5454" s="2"/>
      <c r="P5454" t="str">
        <f t="shared" si="630"/>
        <v>216146180</v>
      </c>
    </row>
    <row r="5455" spans="1:16" x14ac:dyDescent="0.3">
      <c r="A5455">
        <v>2162</v>
      </c>
      <c r="B5455">
        <v>40</v>
      </c>
      <c r="C5455" t="s">
        <v>26</v>
      </c>
      <c r="D5455" t="s">
        <v>29</v>
      </c>
      <c r="E5455" t="s">
        <v>17</v>
      </c>
      <c r="F5455" t="s">
        <v>21</v>
      </c>
      <c r="G5455" t="s">
        <v>41</v>
      </c>
      <c r="H5455" t="s">
        <v>25</v>
      </c>
      <c r="I5455" s="1">
        <v>3</v>
      </c>
      <c r="J5455" s="2">
        <v>45831</v>
      </c>
      <c r="K5455" s="2">
        <v>45809</v>
      </c>
      <c r="L5455" s="1" t="str">
        <f t="shared" si="631"/>
        <v>seg</v>
      </c>
      <c r="M5455" s="1" t="str">
        <f t="shared" si="632"/>
        <v>jun</v>
      </c>
      <c r="N5455">
        <f t="shared" si="633"/>
        <v>2025</v>
      </c>
      <c r="O5455" s="2"/>
      <c r="P5455" t="str">
        <f t="shared" si="630"/>
        <v>216245831</v>
      </c>
    </row>
    <row r="5456" spans="1:16" x14ac:dyDescent="0.3">
      <c r="A5456">
        <v>2162</v>
      </c>
      <c r="B5456">
        <v>40</v>
      </c>
      <c r="C5456" t="s">
        <v>26</v>
      </c>
      <c r="D5456" t="s">
        <v>29</v>
      </c>
      <c r="E5456" t="s">
        <v>17</v>
      </c>
      <c r="F5456" t="s">
        <v>21</v>
      </c>
      <c r="G5456" t="s">
        <v>41</v>
      </c>
      <c r="H5456" t="s">
        <v>25</v>
      </c>
      <c r="I5456" s="1">
        <v>3</v>
      </c>
      <c r="J5456" s="2">
        <v>45872</v>
      </c>
      <c r="K5456" s="2">
        <v>45870</v>
      </c>
      <c r="L5456" s="1" t="str">
        <f t="shared" si="631"/>
        <v>dom</v>
      </c>
      <c r="M5456" s="1" t="str">
        <f t="shared" si="632"/>
        <v>ago</v>
      </c>
      <c r="N5456">
        <f t="shared" si="633"/>
        <v>2025</v>
      </c>
      <c r="O5456" s="2"/>
      <c r="P5456" t="str">
        <f t="shared" si="630"/>
        <v>216245872</v>
      </c>
    </row>
    <row r="5457" spans="1:16" x14ac:dyDescent="0.3">
      <c r="A5457">
        <v>2162</v>
      </c>
      <c r="B5457">
        <v>40</v>
      </c>
      <c r="C5457" t="s">
        <v>26</v>
      </c>
      <c r="D5457" t="s">
        <v>29</v>
      </c>
      <c r="E5457" t="s">
        <v>17</v>
      </c>
      <c r="F5457" t="s">
        <v>21</v>
      </c>
      <c r="G5457" t="s">
        <v>41</v>
      </c>
      <c r="H5457" t="s">
        <v>25</v>
      </c>
      <c r="I5457" s="1">
        <v>3</v>
      </c>
      <c r="J5457" s="2">
        <v>45889</v>
      </c>
      <c r="K5457" s="2">
        <v>45870</v>
      </c>
      <c r="L5457" s="1" t="str">
        <f t="shared" si="631"/>
        <v>qua</v>
      </c>
      <c r="M5457" s="1" t="str">
        <f t="shared" si="632"/>
        <v>ago</v>
      </c>
      <c r="N5457">
        <f t="shared" si="633"/>
        <v>2025</v>
      </c>
      <c r="O5457" s="2"/>
      <c r="P5457" t="str">
        <f t="shared" si="630"/>
        <v>216245889</v>
      </c>
    </row>
    <row r="5458" spans="1:16" x14ac:dyDescent="0.3">
      <c r="A5458">
        <v>2162</v>
      </c>
      <c r="B5458">
        <v>40</v>
      </c>
      <c r="C5458" t="s">
        <v>26</v>
      </c>
      <c r="D5458" t="s">
        <v>29</v>
      </c>
      <c r="E5458" t="s">
        <v>17</v>
      </c>
      <c r="F5458" t="s">
        <v>21</v>
      </c>
      <c r="G5458" t="s">
        <v>41</v>
      </c>
      <c r="H5458" t="s">
        <v>25</v>
      </c>
      <c r="I5458" s="1">
        <v>3</v>
      </c>
      <c r="J5458" s="2">
        <v>45927</v>
      </c>
      <c r="K5458" s="2">
        <v>45901</v>
      </c>
      <c r="L5458" s="1" t="str">
        <f t="shared" si="631"/>
        <v>sáb</v>
      </c>
      <c r="M5458" s="1" t="str">
        <f t="shared" si="632"/>
        <v>set</v>
      </c>
      <c r="N5458">
        <f t="shared" si="633"/>
        <v>2025</v>
      </c>
      <c r="O5458" s="2"/>
      <c r="P5458" t="str">
        <f t="shared" si="630"/>
        <v>216245927</v>
      </c>
    </row>
    <row r="5459" spans="1:16" x14ac:dyDescent="0.3">
      <c r="A5459">
        <v>2162</v>
      </c>
      <c r="B5459">
        <v>40</v>
      </c>
      <c r="C5459" t="s">
        <v>26</v>
      </c>
      <c r="D5459" t="s">
        <v>29</v>
      </c>
      <c r="E5459" t="s">
        <v>17</v>
      </c>
      <c r="F5459" t="s">
        <v>21</v>
      </c>
      <c r="G5459" t="s">
        <v>41</v>
      </c>
      <c r="H5459" t="s">
        <v>25</v>
      </c>
      <c r="I5459" s="1">
        <v>3</v>
      </c>
      <c r="J5459" s="2">
        <v>46082</v>
      </c>
      <c r="K5459" s="2">
        <v>46082</v>
      </c>
      <c r="L5459" s="1" t="str">
        <f t="shared" si="631"/>
        <v>dom</v>
      </c>
      <c r="M5459" s="1" t="str">
        <f t="shared" si="632"/>
        <v>mar</v>
      </c>
      <c r="N5459">
        <f t="shared" si="633"/>
        <v>2026</v>
      </c>
      <c r="O5459" s="2"/>
      <c r="P5459" t="str">
        <f t="shared" si="630"/>
        <v>216246082</v>
      </c>
    </row>
    <row r="5460" spans="1:16" x14ac:dyDescent="0.3">
      <c r="A5460">
        <v>2162</v>
      </c>
      <c r="B5460">
        <v>40</v>
      </c>
      <c r="C5460" t="s">
        <v>26</v>
      </c>
      <c r="D5460" t="s">
        <v>29</v>
      </c>
      <c r="E5460" t="s">
        <v>17</v>
      </c>
      <c r="F5460" t="s">
        <v>21</v>
      </c>
      <c r="G5460" t="s">
        <v>41</v>
      </c>
      <c r="H5460" t="s">
        <v>25</v>
      </c>
      <c r="I5460" s="1">
        <v>3</v>
      </c>
      <c r="J5460" s="2">
        <v>46091</v>
      </c>
      <c r="K5460" s="2">
        <v>46082</v>
      </c>
      <c r="L5460" s="1" t="str">
        <f t="shared" si="631"/>
        <v>ter</v>
      </c>
      <c r="M5460" s="1" t="str">
        <f t="shared" si="632"/>
        <v>mar</v>
      </c>
      <c r="N5460">
        <f t="shared" si="633"/>
        <v>2026</v>
      </c>
      <c r="O5460" s="2"/>
      <c r="P5460" t="str">
        <f t="shared" si="630"/>
        <v>216246091</v>
      </c>
    </row>
    <row r="5461" spans="1:16" x14ac:dyDescent="0.3">
      <c r="A5461">
        <v>2163</v>
      </c>
      <c r="B5461">
        <v>24</v>
      </c>
      <c r="C5461" t="s">
        <v>15</v>
      </c>
      <c r="D5461" t="s">
        <v>16</v>
      </c>
      <c r="E5461" t="s">
        <v>17</v>
      </c>
      <c r="F5461" t="s">
        <v>23</v>
      </c>
      <c r="G5461" t="s">
        <v>41</v>
      </c>
      <c r="H5461" t="s">
        <v>25</v>
      </c>
      <c r="I5461" s="1">
        <v>1</v>
      </c>
      <c r="J5461" s="2">
        <v>45775</v>
      </c>
      <c r="K5461" s="2">
        <v>45748</v>
      </c>
      <c r="L5461" s="1" t="str">
        <f t="shared" si="631"/>
        <v>seg</v>
      </c>
      <c r="M5461" s="1" t="str">
        <f t="shared" si="632"/>
        <v>abr</v>
      </c>
      <c r="N5461">
        <f t="shared" si="633"/>
        <v>2025</v>
      </c>
      <c r="O5461" s="2"/>
      <c r="P5461" t="str">
        <f t="shared" si="630"/>
        <v>216345775</v>
      </c>
    </row>
    <row r="5462" spans="1:16" x14ac:dyDescent="0.3">
      <c r="A5462">
        <v>2163</v>
      </c>
      <c r="B5462">
        <v>24</v>
      </c>
      <c r="C5462" t="s">
        <v>15</v>
      </c>
      <c r="D5462" t="s">
        <v>16</v>
      </c>
      <c r="E5462" t="s">
        <v>17</v>
      </c>
      <c r="F5462" t="s">
        <v>23</v>
      </c>
      <c r="G5462" t="s">
        <v>41</v>
      </c>
      <c r="H5462" t="s">
        <v>25</v>
      </c>
      <c r="I5462" s="1">
        <v>1</v>
      </c>
      <c r="J5462" s="2">
        <v>45828</v>
      </c>
      <c r="K5462" s="2">
        <v>45809</v>
      </c>
      <c r="L5462" s="1" t="str">
        <f t="shared" si="631"/>
        <v>sex</v>
      </c>
      <c r="M5462" s="1" t="str">
        <f t="shared" si="632"/>
        <v>jun</v>
      </c>
      <c r="N5462">
        <f t="shared" si="633"/>
        <v>2025</v>
      </c>
      <c r="O5462" s="2"/>
      <c r="P5462" t="str">
        <f t="shared" si="630"/>
        <v>216345828</v>
      </c>
    </row>
    <row r="5463" spans="1:16" x14ac:dyDescent="0.3">
      <c r="A5463">
        <v>2163</v>
      </c>
      <c r="B5463">
        <v>24</v>
      </c>
      <c r="C5463" t="s">
        <v>15</v>
      </c>
      <c r="D5463" t="s">
        <v>16</v>
      </c>
      <c r="E5463" t="s">
        <v>17</v>
      </c>
      <c r="F5463" t="s">
        <v>23</v>
      </c>
      <c r="G5463" t="s">
        <v>41</v>
      </c>
      <c r="H5463" t="s">
        <v>25</v>
      </c>
      <c r="I5463" s="1">
        <v>1</v>
      </c>
      <c r="J5463" s="2">
        <v>45961</v>
      </c>
      <c r="K5463" s="2">
        <v>45931</v>
      </c>
      <c r="L5463" s="1" t="str">
        <f t="shared" si="631"/>
        <v>sex</v>
      </c>
      <c r="M5463" s="1" t="str">
        <f t="shared" si="632"/>
        <v>out</v>
      </c>
      <c r="N5463">
        <f t="shared" si="633"/>
        <v>2025</v>
      </c>
      <c r="O5463" s="2"/>
      <c r="P5463" t="str">
        <f t="shared" si="630"/>
        <v>216345961</v>
      </c>
    </row>
    <row r="5464" spans="1:16" x14ac:dyDescent="0.3">
      <c r="A5464">
        <v>2163</v>
      </c>
      <c r="B5464">
        <v>24</v>
      </c>
      <c r="C5464" t="s">
        <v>15</v>
      </c>
      <c r="D5464" t="s">
        <v>16</v>
      </c>
      <c r="E5464" t="s">
        <v>17</v>
      </c>
      <c r="F5464" t="s">
        <v>23</v>
      </c>
      <c r="G5464" t="s">
        <v>41</v>
      </c>
      <c r="H5464" t="s">
        <v>25</v>
      </c>
      <c r="I5464" s="1">
        <v>1</v>
      </c>
      <c r="J5464" s="2">
        <v>45986</v>
      </c>
      <c r="K5464" s="2">
        <v>45962</v>
      </c>
      <c r="L5464" s="1" t="str">
        <f t="shared" si="631"/>
        <v>ter</v>
      </c>
      <c r="M5464" s="1" t="str">
        <f t="shared" si="632"/>
        <v>nov</v>
      </c>
      <c r="N5464">
        <f t="shared" si="633"/>
        <v>2025</v>
      </c>
      <c r="O5464" s="2"/>
      <c r="P5464" t="str">
        <f t="shared" si="630"/>
        <v>216345986</v>
      </c>
    </row>
    <row r="5465" spans="1:16" x14ac:dyDescent="0.3">
      <c r="A5465">
        <v>2163</v>
      </c>
      <c r="B5465">
        <v>24</v>
      </c>
      <c r="C5465" t="s">
        <v>15</v>
      </c>
      <c r="D5465" t="s">
        <v>16</v>
      </c>
      <c r="E5465" t="s">
        <v>17</v>
      </c>
      <c r="F5465" t="s">
        <v>23</v>
      </c>
      <c r="G5465" t="s">
        <v>41</v>
      </c>
      <c r="H5465" t="s">
        <v>25</v>
      </c>
      <c r="I5465" s="1">
        <v>1</v>
      </c>
      <c r="J5465" s="2">
        <v>46010</v>
      </c>
      <c r="K5465" s="2">
        <v>45992</v>
      </c>
      <c r="L5465" s="1" t="str">
        <f t="shared" si="631"/>
        <v>sex</v>
      </c>
      <c r="M5465" s="1" t="str">
        <f t="shared" si="632"/>
        <v>dez</v>
      </c>
      <c r="N5465">
        <f t="shared" si="633"/>
        <v>2025</v>
      </c>
      <c r="O5465" s="2"/>
      <c r="P5465" t="str">
        <f t="shared" si="630"/>
        <v>216346010</v>
      </c>
    </row>
    <row r="5466" spans="1:16" x14ac:dyDescent="0.3">
      <c r="A5466">
        <v>2163</v>
      </c>
      <c r="B5466">
        <v>24</v>
      </c>
      <c r="C5466" t="s">
        <v>15</v>
      </c>
      <c r="D5466" t="s">
        <v>16</v>
      </c>
      <c r="E5466" t="s">
        <v>17</v>
      </c>
      <c r="F5466" t="s">
        <v>23</v>
      </c>
      <c r="G5466" t="s">
        <v>41</v>
      </c>
      <c r="H5466" t="s">
        <v>25</v>
      </c>
      <c r="I5466" s="1">
        <v>1</v>
      </c>
      <c r="J5466" s="2">
        <v>46011</v>
      </c>
      <c r="K5466" s="2">
        <v>45992</v>
      </c>
      <c r="L5466" s="1" t="str">
        <f t="shared" si="631"/>
        <v>sáb</v>
      </c>
      <c r="M5466" s="1" t="str">
        <f t="shared" si="632"/>
        <v>dez</v>
      </c>
      <c r="N5466">
        <f t="shared" si="633"/>
        <v>2025</v>
      </c>
      <c r="O5466" s="2"/>
      <c r="P5466" t="str">
        <f t="shared" si="630"/>
        <v>216346011</v>
      </c>
    </row>
    <row r="5467" spans="1:16" x14ac:dyDescent="0.3">
      <c r="A5467">
        <v>2163</v>
      </c>
      <c r="B5467">
        <v>24</v>
      </c>
      <c r="C5467" t="s">
        <v>15</v>
      </c>
      <c r="D5467" t="s">
        <v>16</v>
      </c>
      <c r="E5467" t="s">
        <v>17</v>
      </c>
      <c r="F5467" t="s">
        <v>23</v>
      </c>
      <c r="G5467" t="s">
        <v>41</v>
      </c>
      <c r="H5467" t="s">
        <v>25</v>
      </c>
      <c r="I5467" s="1">
        <v>1</v>
      </c>
      <c r="J5467" s="2">
        <v>46140</v>
      </c>
      <c r="K5467" s="2">
        <v>46113</v>
      </c>
      <c r="L5467" s="1" t="s">
        <v>56</v>
      </c>
      <c r="M5467" s="1" t="s">
        <v>48</v>
      </c>
      <c r="N5467">
        <v>2025</v>
      </c>
      <c r="O5467" s="2"/>
      <c r="P5467" t="str">
        <f t="shared" si="630"/>
        <v>216346140</v>
      </c>
    </row>
    <row r="5468" spans="1:16" x14ac:dyDescent="0.3">
      <c r="A5468">
        <v>2164</v>
      </c>
      <c r="B5468">
        <v>34</v>
      </c>
      <c r="C5468" t="s">
        <v>15</v>
      </c>
      <c r="D5468" t="s">
        <v>16</v>
      </c>
      <c r="E5468" t="s">
        <v>17</v>
      </c>
      <c r="F5468" t="s">
        <v>23</v>
      </c>
      <c r="G5468" t="s">
        <v>41</v>
      </c>
      <c r="H5468" t="s">
        <v>25</v>
      </c>
      <c r="I5468" s="1">
        <v>3</v>
      </c>
      <c r="J5468" s="2">
        <v>45894</v>
      </c>
      <c r="K5468" s="2">
        <v>45870</v>
      </c>
      <c r="L5468" s="1" t="str">
        <f t="shared" ref="L5468:L5475" si="634">TEXT(J5468,"ddd")</f>
        <v>seg</v>
      </c>
      <c r="M5468" s="1" t="str">
        <f t="shared" ref="M5468:M5475" si="635">TEXT($J5468,"mmm")</f>
        <v>ago</v>
      </c>
      <c r="N5468">
        <f t="shared" ref="N5468:N5475" si="636">YEAR(J5468)</f>
        <v>2025</v>
      </c>
      <c r="O5468" s="2"/>
      <c r="P5468" t="str">
        <f t="shared" si="630"/>
        <v>216445894</v>
      </c>
    </row>
    <row r="5469" spans="1:16" x14ac:dyDescent="0.3">
      <c r="A5469">
        <v>2164</v>
      </c>
      <c r="B5469">
        <v>34</v>
      </c>
      <c r="C5469" t="s">
        <v>15</v>
      </c>
      <c r="D5469" t="s">
        <v>16</v>
      </c>
      <c r="E5469" t="s">
        <v>17</v>
      </c>
      <c r="F5469" t="s">
        <v>23</v>
      </c>
      <c r="G5469" t="s">
        <v>41</v>
      </c>
      <c r="H5469" t="s">
        <v>25</v>
      </c>
      <c r="I5469" s="1">
        <v>3</v>
      </c>
      <c r="J5469" s="2">
        <v>45915</v>
      </c>
      <c r="K5469" s="2">
        <v>45901</v>
      </c>
      <c r="L5469" s="1" t="str">
        <f t="shared" si="634"/>
        <v>seg</v>
      </c>
      <c r="M5469" s="1" t="str">
        <f t="shared" si="635"/>
        <v>set</v>
      </c>
      <c r="N5469">
        <f t="shared" si="636"/>
        <v>2025</v>
      </c>
      <c r="O5469" s="2"/>
      <c r="P5469" t="str">
        <f t="shared" si="630"/>
        <v>216445915</v>
      </c>
    </row>
    <row r="5470" spans="1:16" x14ac:dyDescent="0.3">
      <c r="A5470">
        <v>2164</v>
      </c>
      <c r="B5470">
        <v>34</v>
      </c>
      <c r="C5470" t="s">
        <v>15</v>
      </c>
      <c r="D5470" t="s">
        <v>16</v>
      </c>
      <c r="E5470" t="s">
        <v>17</v>
      </c>
      <c r="F5470" t="s">
        <v>23</v>
      </c>
      <c r="G5470" t="s">
        <v>41</v>
      </c>
      <c r="H5470" t="s">
        <v>25</v>
      </c>
      <c r="I5470" s="1">
        <v>3</v>
      </c>
      <c r="J5470" s="2">
        <v>45951</v>
      </c>
      <c r="K5470" s="2">
        <v>45931</v>
      </c>
      <c r="L5470" s="1" t="str">
        <f t="shared" si="634"/>
        <v>ter</v>
      </c>
      <c r="M5470" s="1" t="str">
        <f t="shared" si="635"/>
        <v>out</v>
      </c>
      <c r="N5470">
        <f t="shared" si="636"/>
        <v>2025</v>
      </c>
      <c r="O5470" s="2"/>
      <c r="P5470" t="str">
        <f t="shared" si="630"/>
        <v>216445951</v>
      </c>
    </row>
    <row r="5471" spans="1:16" x14ac:dyDescent="0.3">
      <c r="A5471">
        <v>2164</v>
      </c>
      <c r="B5471">
        <v>34</v>
      </c>
      <c r="C5471" t="s">
        <v>15</v>
      </c>
      <c r="D5471" t="s">
        <v>16</v>
      </c>
      <c r="E5471" t="s">
        <v>17</v>
      </c>
      <c r="F5471" t="s">
        <v>23</v>
      </c>
      <c r="G5471" t="s">
        <v>41</v>
      </c>
      <c r="H5471" t="s">
        <v>25</v>
      </c>
      <c r="I5471" s="1">
        <v>3</v>
      </c>
      <c r="J5471" s="2">
        <v>46202</v>
      </c>
      <c r="K5471" s="2">
        <v>46023</v>
      </c>
      <c r="L5471" s="1" t="str">
        <f t="shared" si="634"/>
        <v>seg</v>
      </c>
      <c r="M5471" s="1" t="str">
        <f t="shared" si="635"/>
        <v>jun</v>
      </c>
      <c r="N5471">
        <f t="shared" si="636"/>
        <v>2026</v>
      </c>
      <c r="O5471" s="2"/>
      <c r="P5471" t="str">
        <f t="shared" si="630"/>
        <v>216446202</v>
      </c>
    </row>
    <row r="5472" spans="1:16" x14ac:dyDescent="0.3">
      <c r="A5472">
        <v>2165</v>
      </c>
      <c r="B5472">
        <v>21</v>
      </c>
      <c r="C5472" t="s">
        <v>15</v>
      </c>
      <c r="D5472" t="s">
        <v>31</v>
      </c>
      <c r="E5472" t="s">
        <v>34</v>
      </c>
      <c r="F5472" t="s">
        <v>21</v>
      </c>
      <c r="G5472" t="s">
        <v>41</v>
      </c>
      <c r="H5472" t="s">
        <v>25</v>
      </c>
      <c r="I5472" s="1">
        <v>3</v>
      </c>
      <c r="J5472" s="2">
        <v>45777</v>
      </c>
      <c r="K5472" s="2">
        <v>45748</v>
      </c>
      <c r="L5472" s="1" t="str">
        <f t="shared" si="634"/>
        <v>qua</v>
      </c>
      <c r="M5472" s="1" t="str">
        <f t="shared" si="635"/>
        <v>abr</v>
      </c>
      <c r="N5472">
        <f t="shared" si="636"/>
        <v>2025</v>
      </c>
      <c r="O5472" s="2"/>
      <c r="P5472" t="str">
        <f t="shared" si="630"/>
        <v>216545777</v>
      </c>
    </row>
    <row r="5473" spans="1:16" x14ac:dyDescent="0.3">
      <c r="A5473">
        <v>2165</v>
      </c>
      <c r="B5473">
        <v>21</v>
      </c>
      <c r="C5473" t="s">
        <v>15</v>
      </c>
      <c r="D5473" t="s">
        <v>31</v>
      </c>
      <c r="E5473" t="s">
        <v>34</v>
      </c>
      <c r="F5473" t="s">
        <v>21</v>
      </c>
      <c r="G5473" t="s">
        <v>41</v>
      </c>
      <c r="H5473" t="s">
        <v>25</v>
      </c>
      <c r="I5473" s="1">
        <v>3</v>
      </c>
      <c r="J5473" s="2">
        <v>45844</v>
      </c>
      <c r="K5473" s="2">
        <v>45839</v>
      </c>
      <c r="L5473" s="1" t="str">
        <f t="shared" si="634"/>
        <v>dom</v>
      </c>
      <c r="M5473" s="1" t="str">
        <f t="shared" si="635"/>
        <v>jul</v>
      </c>
      <c r="N5473">
        <f t="shared" si="636"/>
        <v>2025</v>
      </c>
      <c r="O5473" s="2"/>
      <c r="P5473" t="str">
        <f t="shared" si="630"/>
        <v>216545844</v>
      </c>
    </row>
    <row r="5474" spans="1:16" x14ac:dyDescent="0.3">
      <c r="A5474">
        <v>2165</v>
      </c>
      <c r="B5474">
        <v>21</v>
      </c>
      <c r="C5474" t="s">
        <v>15</v>
      </c>
      <c r="D5474" t="s">
        <v>31</v>
      </c>
      <c r="E5474" t="s">
        <v>34</v>
      </c>
      <c r="F5474" t="s">
        <v>21</v>
      </c>
      <c r="G5474" t="s">
        <v>41</v>
      </c>
      <c r="H5474" t="s">
        <v>25</v>
      </c>
      <c r="I5474" s="1">
        <v>3</v>
      </c>
      <c r="J5474" s="2">
        <v>45880</v>
      </c>
      <c r="K5474" s="2">
        <v>45870</v>
      </c>
      <c r="L5474" s="1" t="str">
        <f t="shared" si="634"/>
        <v>seg</v>
      </c>
      <c r="M5474" s="1" t="str">
        <f t="shared" si="635"/>
        <v>ago</v>
      </c>
      <c r="N5474">
        <f t="shared" si="636"/>
        <v>2025</v>
      </c>
      <c r="O5474" s="2"/>
      <c r="P5474" t="str">
        <f t="shared" si="630"/>
        <v>216545880</v>
      </c>
    </row>
    <row r="5475" spans="1:16" x14ac:dyDescent="0.3">
      <c r="A5475">
        <v>2165</v>
      </c>
      <c r="B5475">
        <v>21</v>
      </c>
      <c r="C5475" t="s">
        <v>15</v>
      </c>
      <c r="D5475" t="s">
        <v>31</v>
      </c>
      <c r="E5475" t="s">
        <v>34</v>
      </c>
      <c r="F5475" t="s">
        <v>21</v>
      </c>
      <c r="G5475" t="s">
        <v>41</v>
      </c>
      <c r="H5475" t="s">
        <v>25</v>
      </c>
      <c r="I5475" s="1">
        <v>3</v>
      </c>
      <c r="J5475" s="2">
        <v>45926</v>
      </c>
      <c r="K5475" s="2">
        <v>45901</v>
      </c>
      <c r="L5475" s="1" t="str">
        <f t="shared" si="634"/>
        <v>sex</v>
      </c>
      <c r="M5475" s="1" t="str">
        <f t="shared" si="635"/>
        <v>set</v>
      </c>
      <c r="N5475">
        <f t="shared" si="636"/>
        <v>2025</v>
      </c>
      <c r="O5475" s="2"/>
      <c r="P5475" t="str">
        <f t="shared" si="630"/>
        <v>216545926</v>
      </c>
    </row>
    <row r="5476" spans="1:16" x14ac:dyDescent="0.3">
      <c r="A5476">
        <v>2165</v>
      </c>
      <c r="B5476">
        <v>21</v>
      </c>
      <c r="C5476" t="s">
        <v>15</v>
      </c>
      <c r="D5476" t="s">
        <v>31</v>
      </c>
      <c r="E5476" t="s">
        <v>34</v>
      </c>
      <c r="F5476" t="s">
        <v>21</v>
      </c>
      <c r="G5476" t="s">
        <v>41</v>
      </c>
      <c r="H5476" t="s">
        <v>25</v>
      </c>
      <c r="I5476" s="1">
        <v>3</v>
      </c>
      <c r="J5476" s="2">
        <v>46142</v>
      </c>
      <c r="K5476" s="2">
        <v>46113</v>
      </c>
      <c r="L5476" s="1" t="s">
        <v>51</v>
      </c>
      <c r="M5476" s="1" t="s">
        <v>48</v>
      </c>
      <c r="N5476">
        <v>2025</v>
      </c>
      <c r="O5476" s="2"/>
      <c r="P5476" t="str">
        <f t="shared" si="630"/>
        <v>216546142</v>
      </c>
    </row>
    <row r="5477" spans="1:16" x14ac:dyDescent="0.3">
      <c r="A5477">
        <v>2167</v>
      </c>
      <c r="B5477">
        <v>42</v>
      </c>
      <c r="C5477" t="s">
        <v>15</v>
      </c>
      <c r="D5477" t="s">
        <v>29</v>
      </c>
      <c r="E5477" t="s">
        <v>17</v>
      </c>
      <c r="F5477" t="s">
        <v>21</v>
      </c>
      <c r="G5477" t="s">
        <v>41</v>
      </c>
      <c r="H5477" t="s">
        <v>25</v>
      </c>
      <c r="I5477" s="1">
        <v>2</v>
      </c>
      <c r="J5477" s="2">
        <v>45821</v>
      </c>
      <c r="K5477" s="2">
        <v>45809</v>
      </c>
      <c r="L5477" s="1" t="str">
        <f t="shared" ref="L5477:L5490" si="637">TEXT(J5477,"ddd")</f>
        <v>sex</v>
      </c>
      <c r="M5477" s="1" t="str">
        <f t="shared" ref="M5477:M5490" si="638">TEXT($J5477,"mmm")</f>
        <v>jun</v>
      </c>
      <c r="N5477">
        <f t="shared" ref="N5477:N5490" si="639">YEAR(J5477)</f>
        <v>2025</v>
      </c>
      <c r="O5477" s="2"/>
      <c r="P5477" t="str">
        <f t="shared" si="630"/>
        <v>216745821</v>
      </c>
    </row>
    <row r="5478" spans="1:16" x14ac:dyDescent="0.3">
      <c r="A5478">
        <v>2167</v>
      </c>
      <c r="B5478">
        <v>42</v>
      </c>
      <c r="C5478" t="s">
        <v>15</v>
      </c>
      <c r="D5478" t="s">
        <v>29</v>
      </c>
      <c r="E5478" t="s">
        <v>17</v>
      </c>
      <c r="F5478" t="s">
        <v>21</v>
      </c>
      <c r="G5478" t="s">
        <v>41</v>
      </c>
      <c r="H5478" t="s">
        <v>25</v>
      </c>
      <c r="I5478" s="1">
        <v>2</v>
      </c>
      <c r="J5478" s="2">
        <v>45840</v>
      </c>
      <c r="K5478" s="2">
        <v>45839</v>
      </c>
      <c r="L5478" s="1" t="str">
        <f t="shared" si="637"/>
        <v>qua</v>
      </c>
      <c r="M5478" s="1" t="str">
        <f t="shared" si="638"/>
        <v>jul</v>
      </c>
      <c r="N5478">
        <f t="shared" si="639"/>
        <v>2025</v>
      </c>
      <c r="O5478" s="2"/>
      <c r="P5478" t="str">
        <f t="shared" si="630"/>
        <v>216745840</v>
      </c>
    </row>
    <row r="5479" spans="1:16" x14ac:dyDescent="0.3">
      <c r="A5479">
        <v>2167</v>
      </c>
      <c r="B5479">
        <v>42</v>
      </c>
      <c r="C5479" t="s">
        <v>15</v>
      </c>
      <c r="D5479" t="s">
        <v>29</v>
      </c>
      <c r="E5479" t="s">
        <v>17</v>
      </c>
      <c r="F5479" t="s">
        <v>21</v>
      </c>
      <c r="G5479" t="s">
        <v>41</v>
      </c>
      <c r="H5479" t="s">
        <v>25</v>
      </c>
      <c r="I5479" s="1">
        <v>2</v>
      </c>
      <c r="J5479" s="2">
        <v>45943</v>
      </c>
      <c r="K5479" s="2">
        <v>45931</v>
      </c>
      <c r="L5479" s="1" t="str">
        <f t="shared" si="637"/>
        <v>seg</v>
      </c>
      <c r="M5479" s="1" t="str">
        <f t="shared" si="638"/>
        <v>out</v>
      </c>
      <c r="N5479">
        <f t="shared" si="639"/>
        <v>2025</v>
      </c>
      <c r="O5479" s="2"/>
      <c r="P5479" t="str">
        <f t="shared" si="630"/>
        <v>216745943</v>
      </c>
    </row>
    <row r="5480" spans="1:16" x14ac:dyDescent="0.3">
      <c r="A5480">
        <v>2167</v>
      </c>
      <c r="B5480">
        <v>42</v>
      </c>
      <c r="C5480" t="s">
        <v>15</v>
      </c>
      <c r="D5480" t="s">
        <v>29</v>
      </c>
      <c r="E5480" t="s">
        <v>17</v>
      </c>
      <c r="F5480" t="s">
        <v>21</v>
      </c>
      <c r="G5480" t="s">
        <v>41</v>
      </c>
      <c r="H5480" t="s">
        <v>25</v>
      </c>
      <c r="I5480" s="1">
        <v>2</v>
      </c>
      <c r="J5480" s="2">
        <v>46018</v>
      </c>
      <c r="K5480" s="2">
        <v>45992</v>
      </c>
      <c r="L5480" s="1" t="str">
        <f t="shared" si="637"/>
        <v>sáb</v>
      </c>
      <c r="M5480" s="1" t="str">
        <f t="shared" si="638"/>
        <v>dez</v>
      </c>
      <c r="N5480">
        <f t="shared" si="639"/>
        <v>2025</v>
      </c>
      <c r="O5480" s="2"/>
      <c r="P5480" t="str">
        <f t="shared" si="630"/>
        <v>216746018</v>
      </c>
    </row>
    <row r="5481" spans="1:16" x14ac:dyDescent="0.3">
      <c r="A5481">
        <v>2167</v>
      </c>
      <c r="B5481">
        <v>42</v>
      </c>
      <c r="C5481" t="s">
        <v>15</v>
      </c>
      <c r="D5481" t="s">
        <v>29</v>
      </c>
      <c r="E5481" t="s">
        <v>17</v>
      </c>
      <c r="F5481" t="s">
        <v>21</v>
      </c>
      <c r="G5481" t="s">
        <v>41</v>
      </c>
      <c r="H5481" t="s">
        <v>25</v>
      </c>
      <c r="I5481" s="1">
        <v>2</v>
      </c>
      <c r="J5481" s="2">
        <v>46093</v>
      </c>
      <c r="K5481" s="2">
        <v>46082</v>
      </c>
      <c r="L5481" s="1" t="str">
        <f t="shared" si="637"/>
        <v>qui</v>
      </c>
      <c r="M5481" s="1" t="str">
        <f t="shared" si="638"/>
        <v>mar</v>
      </c>
      <c r="N5481">
        <f t="shared" si="639"/>
        <v>2026</v>
      </c>
      <c r="O5481" s="2"/>
      <c r="P5481" t="str">
        <f t="shared" si="630"/>
        <v>216746093</v>
      </c>
    </row>
    <row r="5482" spans="1:16" x14ac:dyDescent="0.3">
      <c r="A5482">
        <v>2168</v>
      </c>
      <c r="B5482">
        <v>40</v>
      </c>
      <c r="C5482" t="s">
        <v>26</v>
      </c>
      <c r="D5482" t="s">
        <v>29</v>
      </c>
      <c r="E5482" t="s">
        <v>17</v>
      </c>
      <c r="F5482" t="s">
        <v>18</v>
      </c>
      <c r="G5482" t="s">
        <v>41</v>
      </c>
      <c r="H5482" t="s">
        <v>25</v>
      </c>
      <c r="I5482" s="1">
        <v>2</v>
      </c>
      <c r="J5482" s="2">
        <v>45813</v>
      </c>
      <c r="K5482" s="2">
        <v>45809</v>
      </c>
      <c r="L5482" s="1" t="str">
        <f t="shared" si="637"/>
        <v>qui</v>
      </c>
      <c r="M5482" s="1" t="str">
        <f t="shared" si="638"/>
        <v>jun</v>
      </c>
      <c r="N5482">
        <f t="shared" si="639"/>
        <v>2025</v>
      </c>
      <c r="O5482" s="2"/>
      <c r="P5482" t="str">
        <f t="shared" si="630"/>
        <v>216845813</v>
      </c>
    </row>
    <row r="5483" spans="1:16" x14ac:dyDescent="0.3">
      <c r="A5483">
        <v>2168</v>
      </c>
      <c r="B5483">
        <v>40</v>
      </c>
      <c r="C5483" t="s">
        <v>26</v>
      </c>
      <c r="D5483" t="s">
        <v>29</v>
      </c>
      <c r="E5483" t="s">
        <v>17</v>
      </c>
      <c r="F5483" t="s">
        <v>18</v>
      </c>
      <c r="G5483" t="s">
        <v>41</v>
      </c>
      <c r="H5483" t="s">
        <v>25</v>
      </c>
      <c r="I5483" s="1">
        <v>2</v>
      </c>
      <c r="J5483" s="2">
        <v>45931</v>
      </c>
      <c r="K5483" s="2">
        <v>45931</v>
      </c>
      <c r="L5483" s="1" t="str">
        <f t="shared" si="637"/>
        <v>qua</v>
      </c>
      <c r="M5483" s="1" t="str">
        <f t="shared" si="638"/>
        <v>out</v>
      </c>
      <c r="N5483">
        <f t="shared" si="639"/>
        <v>2025</v>
      </c>
      <c r="O5483" s="2"/>
      <c r="P5483" t="str">
        <f t="shared" si="630"/>
        <v>216845931</v>
      </c>
    </row>
    <row r="5484" spans="1:16" x14ac:dyDescent="0.3">
      <c r="A5484">
        <v>2168</v>
      </c>
      <c r="B5484">
        <v>40</v>
      </c>
      <c r="C5484" t="s">
        <v>26</v>
      </c>
      <c r="D5484" t="s">
        <v>29</v>
      </c>
      <c r="E5484" t="s">
        <v>17</v>
      </c>
      <c r="F5484" t="s">
        <v>18</v>
      </c>
      <c r="G5484" t="s">
        <v>41</v>
      </c>
      <c r="H5484" t="s">
        <v>25</v>
      </c>
      <c r="I5484" s="1">
        <v>2</v>
      </c>
      <c r="J5484" s="2">
        <v>46008</v>
      </c>
      <c r="K5484" s="2">
        <v>45992</v>
      </c>
      <c r="L5484" s="1" t="str">
        <f t="shared" si="637"/>
        <v>qua</v>
      </c>
      <c r="M5484" s="1" t="str">
        <f t="shared" si="638"/>
        <v>dez</v>
      </c>
      <c r="N5484">
        <f t="shared" si="639"/>
        <v>2025</v>
      </c>
      <c r="O5484" s="2"/>
      <c r="P5484" t="str">
        <f t="shared" si="630"/>
        <v>216846008</v>
      </c>
    </row>
    <row r="5485" spans="1:16" x14ac:dyDescent="0.3">
      <c r="A5485">
        <v>2169</v>
      </c>
      <c r="B5485">
        <v>19</v>
      </c>
      <c r="C5485" t="s">
        <v>26</v>
      </c>
      <c r="D5485" t="s">
        <v>16</v>
      </c>
      <c r="E5485" t="s">
        <v>17</v>
      </c>
      <c r="F5485" t="s">
        <v>18</v>
      </c>
      <c r="G5485" t="s">
        <v>41</v>
      </c>
      <c r="H5485" t="s">
        <v>25</v>
      </c>
      <c r="I5485" s="1">
        <v>1</v>
      </c>
      <c r="J5485" s="2">
        <v>45772</v>
      </c>
      <c r="K5485" s="2">
        <v>45748</v>
      </c>
      <c r="L5485" s="1" t="str">
        <f t="shared" si="637"/>
        <v>sex</v>
      </c>
      <c r="M5485" s="1" t="str">
        <f t="shared" si="638"/>
        <v>abr</v>
      </c>
      <c r="N5485">
        <f t="shared" si="639"/>
        <v>2025</v>
      </c>
      <c r="O5485" s="2"/>
      <c r="P5485" t="str">
        <f t="shared" si="630"/>
        <v>216945772</v>
      </c>
    </row>
    <row r="5486" spans="1:16" x14ac:dyDescent="0.3">
      <c r="A5486">
        <v>2169</v>
      </c>
      <c r="B5486">
        <v>19</v>
      </c>
      <c r="C5486" t="s">
        <v>26</v>
      </c>
      <c r="D5486" t="s">
        <v>16</v>
      </c>
      <c r="E5486" t="s">
        <v>17</v>
      </c>
      <c r="F5486" t="s">
        <v>18</v>
      </c>
      <c r="G5486" t="s">
        <v>41</v>
      </c>
      <c r="H5486" t="s">
        <v>25</v>
      </c>
      <c r="I5486" s="1">
        <v>1</v>
      </c>
      <c r="J5486" s="2">
        <v>45835</v>
      </c>
      <c r="K5486" s="2">
        <v>45809</v>
      </c>
      <c r="L5486" s="1" t="str">
        <f t="shared" si="637"/>
        <v>sex</v>
      </c>
      <c r="M5486" s="1" t="str">
        <f t="shared" si="638"/>
        <v>jun</v>
      </c>
      <c r="N5486">
        <f t="shared" si="639"/>
        <v>2025</v>
      </c>
      <c r="O5486" s="2"/>
      <c r="P5486" t="str">
        <f t="shared" si="630"/>
        <v>216945835</v>
      </c>
    </row>
    <row r="5487" spans="1:16" x14ac:dyDescent="0.3">
      <c r="A5487">
        <v>2169</v>
      </c>
      <c r="B5487">
        <v>19</v>
      </c>
      <c r="C5487" t="s">
        <v>26</v>
      </c>
      <c r="D5487" t="s">
        <v>16</v>
      </c>
      <c r="E5487" t="s">
        <v>17</v>
      </c>
      <c r="F5487" t="s">
        <v>18</v>
      </c>
      <c r="G5487" t="s">
        <v>41</v>
      </c>
      <c r="H5487" t="s">
        <v>25</v>
      </c>
      <c r="I5487" s="1">
        <v>1</v>
      </c>
      <c r="J5487" s="2">
        <v>45899</v>
      </c>
      <c r="K5487" s="2">
        <v>45870</v>
      </c>
      <c r="L5487" s="1" t="str">
        <f t="shared" si="637"/>
        <v>sáb</v>
      </c>
      <c r="M5487" s="1" t="str">
        <f t="shared" si="638"/>
        <v>ago</v>
      </c>
      <c r="N5487">
        <f t="shared" si="639"/>
        <v>2025</v>
      </c>
      <c r="O5487" s="2"/>
      <c r="P5487" t="str">
        <f t="shared" si="630"/>
        <v>216945899</v>
      </c>
    </row>
    <row r="5488" spans="1:16" x14ac:dyDescent="0.3">
      <c r="A5488">
        <v>2169</v>
      </c>
      <c r="B5488">
        <v>19</v>
      </c>
      <c r="C5488" t="s">
        <v>26</v>
      </c>
      <c r="D5488" t="s">
        <v>16</v>
      </c>
      <c r="E5488" t="s">
        <v>17</v>
      </c>
      <c r="F5488" t="s">
        <v>18</v>
      </c>
      <c r="G5488" t="s">
        <v>41</v>
      </c>
      <c r="H5488" t="s">
        <v>25</v>
      </c>
      <c r="I5488" s="1">
        <v>1</v>
      </c>
      <c r="J5488" s="2">
        <v>45987</v>
      </c>
      <c r="K5488" s="2">
        <v>45962</v>
      </c>
      <c r="L5488" s="1" t="str">
        <f t="shared" si="637"/>
        <v>qua</v>
      </c>
      <c r="M5488" s="1" t="str">
        <f t="shared" si="638"/>
        <v>nov</v>
      </c>
      <c r="N5488">
        <f t="shared" si="639"/>
        <v>2025</v>
      </c>
      <c r="O5488" s="2"/>
      <c r="P5488" t="str">
        <f t="shared" si="630"/>
        <v>216945987</v>
      </c>
    </row>
    <row r="5489" spans="1:16" x14ac:dyDescent="0.3">
      <c r="A5489">
        <v>2169</v>
      </c>
      <c r="B5489">
        <v>19</v>
      </c>
      <c r="C5489" t="s">
        <v>26</v>
      </c>
      <c r="D5489" t="s">
        <v>16</v>
      </c>
      <c r="E5489" t="s">
        <v>17</v>
      </c>
      <c r="F5489" t="s">
        <v>18</v>
      </c>
      <c r="G5489" t="s">
        <v>41</v>
      </c>
      <c r="H5489" t="s">
        <v>25</v>
      </c>
      <c r="I5489" s="1">
        <v>1</v>
      </c>
      <c r="J5489" s="2">
        <v>46193</v>
      </c>
      <c r="K5489" s="2">
        <v>46023</v>
      </c>
      <c r="L5489" s="1" t="str">
        <f t="shared" si="637"/>
        <v>sáb</v>
      </c>
      <c r="M5489" s="1" t="str">
        <f t="shared" si="638"/>
        <v>jun</v>
      </c>
      <c r="N5489">
        <f t="shared" si="639"/>
        <v>2026</v>
      </c>
      <c r="O5489" s="2"/>
      <c r="P5489" t="str">
        <f t="shared" si="630"/>
        <v>216946193</v>
      </c>
    </row>
    <row r="5490" spans="1:16" x14ac:dyDescent="0.3">
      <c r="A5490">
        <v>2169</v>
      </c>
      <c r="B5490">
        <v>19</v>
      </c>
      <c r="C5490" t="s">
        <v>26</v>
      </c>
      <c r="D5490" t="s">
        <v>16</v>
      </c>
      <c r="E5490" t="s">
        <v>17</v>
      </c>
      <c r="F5490" t="s">
        <v>18</v>
      </c>
      <c r="G5490" t="s">
        <v>41</v>
      </c>
      <c r="H5490" t="s">
        <v>25</v>
      </c>
      <c r="I5490" s="1">
        <v>1</v>
      </c>
      <c r="J5490" s="2">
        <v>46067</v>
      </c>
      <c r="K5490" s="2">
        <v>46054</v>
      </c>
      <c r="L5490" s="1" t="str">
        <f t="shared" si="637"/>
        <v>sáb</v>
      </c>
      <c r="M5490" s="1" t="str">
        <f t="shared" si="638"/>
        <v>fev</v>
      </c>
      <c r="N5490">
        <f t="shared" si="639"/>
        <v>2026</v>
      </c>
      <c r="O5490" s="2"/>
      <c r="P5490" t="str">
        <f t="shared" si="630"/>
        <v>216946067</v>
      </c>
    </row>
    <row r="5491" spans="1:16" x14ac:dyDescent="0.3">
      <c r="A5491">
        <v>2169</v>
      </c>
      <c r="B5491">
        <v>19</v>
      </c>
      <c r="C5491" t="s">
        <v>26</v>
      </c>
      <c r="D5491" t="s">
        <v>16</v>
      </c>
      <c r="E5491" t="s">
        <v>17</v>
      </c>
      <c r="F5491" t="s">
        <v>18</v>
      </c>
      <c r="G5491" t="s">
        <v>41</v>
      </c>
      <c r="H5491" t="s">
        <v>25</v>
      </c>
      <c r="I5491" s="1">
        <v>1</v>
      </c>
      <c r="J5491" s="2">
        <v>46137</v>
      </c>
      <c r="K5491" s="2">
        <v>46113</v>
      </c>
      <c r="L5491" s="1" t="s">
        <v>53</v>
      </c>
      <c r="M5491" s="1" t="s">
        <v>48</v>
      </c>
      <c r="N5491">
        <v>2025</v>
      </c>
      <c r="O5491" s="2"/>
      <c r="P5491" t="str">
        <f t="shared" si="630"/>
        <v>216946137</v>
      </c>
    </row>
    <row r="5492" spans="1:16" x14ac:dyDescent="0.3">
      <c r="A5492">
        <v>2171</v>
      </c>
      <c r="B5492">
        <v>40</v>
      </c>
      <c r="C5492" t="s">
        <v>15</v>
      </c>
      <c r="D5492" t="s">
        <v>29</v>
      </c>
      <c r="E5492" t="s">
        <v>17</v>
      </c>
      <c r="F5492" t="s">
        <v>23</v>
      </c>
      <c r="G5492" t="s">
        <v>41</v>
      </c>
      <c r="H5492" t="s">
        <v>25</v>
      </c>
      <c r="I5492" s="1">
        <v>3</v>
      </c>
      <c r="J5492" s="2">
        <v>45839</v>
      </c>
      <c r="K5492" s="2">
        <v>45839</v>
      </c>
      <c r="L5492" s="1" t="str">
        <f t="shared" ref="L5492:L5523" si="640">TEXT(J5492,"ddd")</f>
        <v>ter</v>
      </c>
      <c r="M5492" s="1" t="str">
        <f t="shared" ref="M5492:M5523" si="641">TEXT($J5492,"mmm")</f>
        <v>jul</v>
      </c>
      <c r="N5492">
        <f t="shared" ref="N5492:N5523" si="642">YEAR(J5492)</f>
        <v>2025</v>
      </c>
      <c r="O5492" s="2"/>
      <c r="P5492" t="str">
        <f t="shared" si="630"/>
        <v>217145839</v>
      </c>
    </row>
    <row r="5493" spans="1:16" x14ac:dyDescent="0.3">
      <c r="A5493">
        <v>2171</v>
      </c>
      <c r="B5493">
        <v>40</v>
      </c>
      <c r="C5493" t="s">
        <v>15</v>
      </c>
      <c r="D5493" t="s">
        <v>29</v>
      </c>
      <c r="E5493" t="s">
        <v>17</v>
      </c>
      <c r="F5493" t="s">
        <v>23</v>
      </c>
      <c r="G5493" t="s">
        <v>41</v>
      </c>
      <c r="H5493" t="s">
        <v>25</v>
      </c>
      <c r="I5493" s="1">
        <v>3</v>
      </c>
      <c r="J5493" s="2">
        <v>45861</v>
      </c>
      <c r="K5493" s="2">
        <v>45839</v>
      </c>
      <c r="L5493" s="1" t="str">
        <f t="shared" si="640"/>
        <v>qua</v>
      </c>
      <c r="M5493" s="1" t="str">
        <f t="shared" si="641"/>
        <v>jul</v>
      </c>
      <c r="N5493">
        <f t="shared" si="642"/>
        <v>2025</v>
      </c>
      <c r="O5493" s="2"/>
      <c r="P5493" t="str">
        <f t="shared" si="630"/>
        <v>217145861</v>
      </c>
    </row>
    <row r="5494" spans="1:16" x14ac:dyDescent="0.3">
      <c r="A5494">
        <v>2171</v>
      </c>
      <c r="B5494">
        <v>40</v>
      </c>
      <c r="C5494" t="s">
        <v>15</v>
      </c>
      <c r="D5494" t="s">
        <v>29</v>
      </c>
      <c r="E5494" t="s">
        <v>17</v>
      </c>
      <c r="F5494" t="s">
        <v>23</v>
      </c>
      <c r="G5494" t="s">
        <v>41</v>
      </c>
      <c r="H5494" t="s">
        <v>25</v>
      </c>
      <c r="I5494" s="1">
        <v>3</v>
      </c>
      <c r="J5494" s="2">
        <v>45933</v>
      </c>
      <c r="K5494" s="2">
        <v>45931</v>
      </c>
      <c r="L5494" s="1" t="str">
        <f t="shared" si="640"/>
        <v>sex</v>
      </c>
      <c r="M5494" s="1" t="str">
        <f t="shared" si="641"/>
        <v>out</v>
      </c>
      <c r="N5494">
        <f t="shared" si="642"/>
        <v>2025</v>
      </c>
      <c r="O5494" s="2"/>
      <c r="P5494" t="str">
        <f t="shared" si="630"/>
        <v>217145933</v>
      </c>
    </row>
    <row r="5495" spans="1:16" x14ac:dyDescent="0.3">
      <c r="A5495">
        <v>2171</v>
      </c>
      <c r="B5495">
        <v>40</v>
      </c>
      <c r="C5495" t="s">
        <v>15</v>
      </c>
      <c r="D5495" t="s">
        <v>29</v>
      </c>
      <c r="E5495" t="s">
        <v>17</v>
      </c>
      <c r="F5495" t="s">
        <v>23</v>
      </c>
      <c r="G5495" t="s">
        <v>41</v>
      </c>
      <c r="H5495" t="s">
        <v>25</v>
      </c>
      <c r="I5495" s="1">
        <v>3</v>
      </c>
      <c r="J5495" s="2">
        <v>46014</v>
      </c>
      <c r="K5495" s="2">
        <v>45992</v>
      </c>
      <c r="L5495" s="1" t="str">
        <f t="shared" si="640"/>
        <v>ter</v>
      </c>
      <c r="M5495" s="1" t="str">
        <f t="shared" si="641"/>
        <v>dez</v>
      </c>
      <c r="N5495">
        <f t="shared" si="642"/>
        <v>2025</v>
      </c>
      <c r="O5495" s="2"/>
      <c r="P5495" t="str">
        <f t="shared" si="630"/>
        <v>217146014</v>
      </c>
    </row>
    <row r="5496" spans="1:16" x14ac:dyDescent="0.3">
      <c r="A5496">
        <v>2171</v>
      </c>
      <c r="B5496">
        <v>40</v>
      </c>
      <c r="C5496" t="s">
        <v>15</v>
      </c>
      <c r="D5496" t="s">
        <v>29</v>
      </c>
      <c r="E5496" t="s">
        <v>17</v>
      </c>
      <c r="F5496" t="s">
        <v>23</v>
      </c>
      <c r="G5496" t="s">
        <v>41</v>
      </c>
      <c r="H5496" t="s">
        <v>25</v>
      </c>
      <c r="I5496" s="1">
        <v>3</v>
      </c>
      <c r="J5496" s="2">
        <v>46181</v>
      </c>
      <c r="K5496" s="2">
        <v>46023</v>
      </c>
      <c r="L5496" s="1" t="str">
        <f t="shared" si="640"/>
        <v>seg</v>
      </c>
      <c r="M5496" s="1" t="str">
        <f t="shared" si="641"/>
        <v>jun</v>
      </c>
      <c r="N5496">
        <f t="shared" si="642"/>
        <v>2026</v>
      </c>
      <c r="O5496" s="2"/>
      <c r="P5496" t="str">
        <f t="shared" si="630"/>
        <v>217146181</v>
      </c>
    </row>
    <row r="5497" spans="1:16" x14ac:dyDescent="0.3">
      <c r="A5497">
        <v>2175</v>
      </c>
      <c r="B5497">
        <v>36</v>
      </c>
      <c r="C5497" t="s">
        <v>15</v>
      </c>
      <c r="D5497" t="s">
        <v>16</v>
      </c>
      <c r="E5497" t="s">
        <v>17</v>
      </c>
      <c r="F5497" t="s">
        <v>23</v>
      </c>
      <c r="G5497" t="s">
        <v>41</v>
      </c>
      <c r="H5497" t="s">
        <v>25</v>
      </c>
      <c r="I5497" s="1">
        <v>3</v>
      </c>
      <c r="J5497" s="2">
        <v>45907</v>
      </c>
      <c r="K5497" s="2">
        <v>45901</v>
      </c>
      <c r="L5497" s="1" t="str">
        <f t="shared" si="640"/>
        <v>dom</v>
      </c>
      <c r="M5497" s="1" t="str">
        <f t="shared" si="641"/>
        <v>set</v>
      </c>
      <c r="N5497">
        <f t="shared" si="642"/>
        <v>2025</v>
      </c>
      <c r="O5497" s="2"/>
      <c r="P5497" t="str">
        <f t="shared" si="630"/>
        <v>217545907</v>
      </c>
    </row>
    <row r="5498" spans="1:16" x14ac:dyDescent="0.3">
      <c r="A5498">
        <v>2175</v>
      </c>
      <c r="B5498">
        <v>36</v>
      </c>
      <c r="C5498" t="s">
        <v>15</v>
      </c>
      <c r="D5498" t="s">
        <v>16</v>
      </c>
      <c r="E5498" t="s">
        <v>17</v>
      </c>
      <c r="F5498" t="s">
        <v>23</v>
      </c>
      <c r="G5498" t="s">
        <v>41</v>
      </c>
      <c r="H5498" t="s">
        <v>25</v>
      </c>
      <c r="I5498" s="1">
        <v>3</v>
      </c>
      <c r="J5498" s="2">
        <v>45912</v>
      </c>
      <c r="K5498" s="2">
        <v>45901</v>
      </c>
      <c r="L5498" s="1" t="str">
        <f t="shared" si="640"/>
        <v>sex</v>
      </c>
      <c r="M5498" s="1" t="str">
        <f t="shared" si="641"/>
        <v>set</v>
      </c>
      <c r="N5498">
        <f t="shared" si="642"/>
        <v>2025</v>
      </c>
      <c r="O5498" s="2"/>
      <c r="P5498" t="str">
        <f t="shared" si="630"/>
        <v>217545912</v>
      </c>
    </row>
    <row r="5499" spans="1:16" x14ac:dyDescent="0.3">
      <c r="A5499">
        <v>2175</v>
      </c>
      <c r="B5499">
        <v>36</v>
      </c>
      <c r="C5499" t="s">
        <v>15</v>
      </c>
      <c r="D5499" t="s">
        <v>16</v>
      </c>
      <c r="E5499" t="s">
        <v>17</v>
      </c>
      <c r="F5499" t="s">
        <v>23</v>
      </c>
      <c r="G5499" t="s">
        <v>41</v>
      </c>
      <c r="H5499" t="s">
        <v>25</v>
      </c>
      <c r="I5499" s="1">
        <v>3</v>
      </c>
      <c r="J5499" s="2">
        <v>45926</v>
      </c>
      <c r="K5499" s="2">
        <v>45901</v>
      </c>
      <c r="L5499" s="1" t="str">
        <f t="shared" si="640"/>
        <v>sex</v>
      </c>
      <c r="M5499" s="1" t="str">
        <f t="shared" si="641"/>
        <v>set</v>
      </c>
      <c r="N5499">
        <f t="shared" si="642"/>
        <v>2025</v>
      </c>
      <c r="O5499" s="2"/>
      <c r="P5499" t="str">
        <f t="shared" si="630"/>
        <v>217545926</v>
      </c>
    </row>
    <row r="5500" spans="1:16" x14ac:dyDescent="0.3">
      <c r="A5500">
        <v>2175</v>
      </c>
      <c r="B5500">
        <v>36</v>
      </c>
      <c r="C5500" t="s">
        <v>15</v>
      </c>
      <c r="D5500" t="s">
        <v>16</v>
      </c>
      <c r="E5500" t="s">
        <v>17</v>
      </c>
      <c r="F5500" t="s">
        <v>23</v>
      </c>
      <c r="G5500" t="s">
        <v>41</v>
      </c>
      <c r="H5500" t="s">
        <v>25</v>
      </c>
      <c r="I5500" s="1">
        <v>3</v>
      </c>
      <c r="J5500" s="2">
        <v>45969</v>
      </c>
      <c r="K5500" s="2">
        <v>45962</v>
      </c>
      <c r="L5500" s="1" t="str">
        <f t="shared" si="640"/>
        <v>sáb</v>
      </c>
      <c r="M5500" s="1" t="str">
        <f t="shared" si="641"/>
        <v>nov</v>
      </c>
      <c r="N5500">
        <f t="shared" si="642"/>
        <v>2025</v>
      </c>
      <c r="O5500" s="2"/>
      <c r="P5500" t="str">
        <f t="shared" ref="P5500:P5563" si="643">CONCATENATE(A5500,J5500)</f>
        <v>217545969</v>
      </c>
    </row>
    <row r="5501" spans="1:16" x14ac:dyDescent="0.3">
      <c r="A5501">
        <v>2175</v>
      </c>
      <c r="B5501">
        <v>36</v>
      </c>
      <c r="C5501" t="s">
        <v>15</v>
      </c>
      <c r="D5501" t="s">
        <v>16</v>
      </c>
      <c r="E5501" t="s">
        <v>17</v>
      </c>
      <c r="F5501" t="s">
        <v>23</v>
      </c>
      <c r="G5501" t="s">
        <v>41</v>
      </c>
      <c r="H5501" t="s">
        <v>25</v>
      </c>
      <c r="I5501" s="1">
        <v>3</v>
      </c>
      <c r="J5501" s="2">
        <v>46123</v>
      </c>
      <c r="K5501" s="2">
        <v>46113</v>
      </c>
      <c r="L5501" s="1" t="str">
        <f t="shared" si="640"/>
        <v>sáb</v>
      </c>
      <c r="M5501" s="1" t="str">
        <f t="shared" si="641"/>
        <v>abr</v>
      </c>
      <c r="N5501">
        <f t="shared" si="642"/>
        <v>2026</v>
      </c>
      <c r="O5501" s="2"/>
      <c r="P5501" t="str">
        <f t="shared" si="643"/>
        <v>217546123</v>
      </c>
    </row>
    <row r="5502" spans="1:16" x14ac:dyDescent="0.3">
      <c r="A5502">
        <v>2175</v>
      </c>
      <c r="B5502">
        <v>36</v>
      </c>
      <c r="C5502" t="s">
        <v>15</v>
      </c>
      <c r="D5502" t="s">
        <v>16</v>
      </c>
      <c r="E5502" t="s">
        <v>17</v>
      </c>
      <c r="F5502" t="s">
        <v>23</v>
      </c>
      <c r="G5502" t="s">
        <v>41</v>
      </c>
      <c r="H5502" t="s">
        <v>25</v>
      </c>
      <c r="I5502" s="1">
        <v>3</v>
      </c>
      <c r="J5502" s="2">
        <v>46130</v>
      </c>
      <c r="K5502" s="2">
        <v>46113</v>
      </c>
      <c r="L5502" s="1" t="str">
        <f t="shared" si="640"/>
        <v>sáb</v>
      </c>
      <c r="M5502" s="1" t="str">
        <f t="shared" si="641"/>
        <v>abr</v>
      </c>
      <c r="N5502">
        <f t="shared" si="642"/>
        <v>2026</v>
      </c>
      <c r="O5502" s="2"/>
      <c r="P5502" t="str">
        <f t="shared" si="643"/>
        <v>217546130</v>
      </c>
    </row>
    <row r="5503" spans="1:16" x14ac:dyDescent="0.3">
      <c r="A5503">
        <v>2177</v>
      </c>
      <c r="B5503">
        <v>23</v>
      </c>
      <c r="C5503" t="s">
        <v>26</v>
      </c>
      <c r="D5503" t="s">
        <v>29</v>
      </c>
      <c r="E5503" t="s">
        <v>17</v>
      </c>
      <c r="F5503" t="s">
        <v>18</v>
      </c>
      <c r="G5503" t="s">
        <v>41</v>
      </c>
      <c r="H5503" t="s">
        <v>25</v>
      </c>
      <c r="I5503" s="1">
        <v>2</v>
      </c>
      <c r="J5503" s="2">
        <v>45899</v>
      </c>
      <c r="K5503" s="2">
        <v>45870</v>
      </c>
      <c r="L5503" s="1" t="str">
        <f t="shared" si="640"/>
        <v>sáb</v>
      </c>
      <c r="M5503" s="1" t="str">
        <f t="shared" si="641"/>
        <v>ago</v>
      </c>
      <c r="N5503">
        <f t="shared" si="642"/>
        <v>2025</v>
      </c>
      <c r="O5503" s="2"/>
      <c r="P5503" t="str">
        <f t="shared" si="643"/>
        <v>217745899</v>
      </c>
    </row>
    <row r="5504" spans="1:16" x14ac:dyDescent="0.3">
      <c r="A5504">
        <v>2177</v>
      </c>
      <c r="B5504">
        <v>23</v>
      </c>
      <c r="C5504" t="s">
        <v>26</v>
      </c>
      <c r="D5504" t="s">
        <v>29</v>
      </c>
      <c r="E5504" t="s">
        <v>17</v>
      </c>
      <c r="F5504" t="s">
        <v>18</v>
      </c>
      <c r="G5504" t="s">
        <v>41</v>
      </c>
      <c r="H5504" t="s">
        <v>25</v>
      </c>
      <c r="I5504" s="1">
        <v>2</v>
      </c>
      <c r="J5504" s="2">
        <v>45961</v>
      </c>
      <c r="K5504" s="2">
        <v>45931</v>
      </c>
      <c r="L5504" s="1" t="str">
        <f t="shared" si="640"/>
        <v>sex</v>
      </c>
      <c r="M5504" s="1" t="str">
        <f t="shared" si="641"/>
        <v>out</v>
      </c>
      <c r="N5504">
        <f t="shared" si="642"/>
        <v>2025</v>
      </c>
      <c r="O5504" s="2"/>
      <c r="P5504" t="str">
        <f t="shared" si="643"/>
        <v>217745961</v>
      </c>
    </row>
    <row r="5505" spans="1:16" x14ac:dyDescent="0.3">
      <c r="A5505">
        <v>2177</v>
      </c>
      <c r="B5505">
        <v>23</v>
      </c>
      <c r="C5505" t="s">
        <v>26</v>
      </c>
      <c r="D5505" t="s">
        <v>29</v>
      </c>
      <c r="E5505" t="s">
        <v>17</v>
      </c>
      <c r="F5505" t="s">
        <v>18</v>
      </c>
      <c r="G5505" t="s">
        <v>41</v>
      </c>
      <c r="H5505" t="s">
        <v>25</v>
      </c>
      <c r="I5505" s="1">
        <v>2</v>
      </c>
      <c r="J5505" s="2">
        <v>45966</v>
      </c>
      <c r="K5505" s="2">
        <v>45962</v>
      </c>
      <c r="L5505" s="1" t="str">
        <f t="shared" si="640"/>
        <v>qua</v>
      </c>
      <c r="M5505" s="1" t="str">
        <f t="shared" si="641"/>
        <v>nov</v>
      </c>
      <c r="N5505">
        <f t="shared" si="642"/>
        <v>2025</v>
      </c>
      <c r="O5505" s="2"/>
      <c r="P5505" t="str">
        <f t="shared" si="643"/>
        <v>217745966</v>
      </c>
    </row>
    <row r="5506" spans="1:16" x14ac:dyDescent="0.3">
      <c r="A5506">
        <v>2177</v>
      </c>
      <c r="B5506">
        <v>23</v>
      </c>
      <c r="C5506" t="s">
        <v>26</v>
      </c>
      <c r="D5506" t="s">
        <v>29</v>
      </c>
      <c r="E5506" t="s">
        <v>17</v>
      </c>
      <c r="F5506" t="s">
        <v>18</v>
      </c>
      <c r="G5506" t="s">
        <v>41</v>
      </c>
      <c r="H5506" t="s">
        <v>25</v>
      </c>
      <c r="I5506" s="1">
        <v>2</v>
      </c>
      <c r="J5506" s="2">
        <v>46183</v>
      </c>
      <c r="K5506" s="2">
        <v>46023</v>
      </c>
      <c r="L5506" s="1" t="str">
        <f t="shared" si="640"/>
        <v>qua</v>
      </c>
      <c r="M5506" s="1" t="str">
        <f t="shared" si="641"/>
        <v>jun</v>
      </c>
      <c r="N5506">
        <f t="shared" si="642"/>
        <v>2026</v>
      </c>
      <c r="O5506" s="2"/>
      <c r="P5506" t="str">
        <f t="shared" si="643"/>
        <v>217746183</v>
      </c>
    </row>
    <row r="5507" spans="1:16" x14ac:dyDescent="0.3">
      <c r="A5507">
        <v>2177</v>
      </c>
      <c r="B5507">
        <v>23</v>
      </c>
      <c r="C5507" t="s">
        <v>26</v>
      </c>
      <c r="D5507" t="s">
        <v>29</v>
      </c>
      <c r="E5507" t="s">
        <v>17</v>
      </c>
      <c r="F5507" t="s">
        <v>18</v>
      </c>
      <c r="G5507" t="s">
        <v>41</v>
      </c>
      <c r="H5507" t="s">
        <v>25</v>
      </c>
      <c r="I5507" s="1">
        <v>2</v>
      </c>
      <c r="J5507" s="2">
        <v>46058</v>
      </c>
      <c r="K5507" s="2">
        <v>46054</v>
      </c>
      <c r="L5507" s="1" t="str">
        <f t="shared" si="640"/>
        <v>qui</v>
      </c>
      <c r="M5507" s="1" t="str">
        <f t="shared" si="641"/>
        <v>fev</v>
      </c>
      <c r="N5507">
        <f t="shared" si="642"/>
        <v>2026</v>
      </c>
      <c r="O5507" s="2"/>
      <c r="P5507" t="str">
        <f t="shared" si="643"/>
        <v>217746058</v>
      </c>
    </row>
    <row r="5508" spans="1:16" x14ac:dyDescent="0.3">
      <c r="A5508">
        <v>2179</v>
      </c>
      <c r="B5508">
        <v>22</v>
      </c>
      <c r="C5508" t="s">
        <v>15</v>
      </c>
      <c r="D5508" t="s">
        <v>16</v>
      </c>
      <c r="E5508" t="s">
        <v>17</v>
      </c>
      <c r="F5508" t="s">
        <v>18</v>
      </c>
      <c r="G5508" t="s">
        <v>41</v>
      </c>
      <c r="H5508" t="s">
        <v>25</v>
      </c>
      <c r="I5508" s="1">
        <v>2</v>
      </c>
      <c r="J5508" s="2">
        <v>45915</v>
      </c>
      <c r="K5508" s="2">
        <v>45901</v>
      </c>
      <c r="L5508" s="1" t="str">
        <f t="shared" si="640"/>
        <v>seg</v>
      </c>
      <c r="M5508" s="1" t="str">
        <f t="shared" si="641"/>
        <v>set</v>
      </c>
      <c r="N5508">
        <f t="shared" si="642"/>
        <v>2025</v>
      </c>
      <c r="O5508" s="2"/>
      <c r="P5508" t="str">
        <f t="shared" si="643"/>
        <v>217945915</v>
      </c>
    </row>
    <row r="5509" spans="1:16" x14ac:dyDescent="0.3">
      <c r="A5509">
        <v>2179</v>
      </c>
      <c r="B5509">
        <v>22</v>
      </c>
      <c r="C5509" t="s">
        <v>15</v>
      </c>
      <c r="D5509" t="s">
        <v>16</v>
      </c>
      <c r="E5509" t="s">
        <v>17</v>
      </c>
      <c r="F5509" t="s">
        <v>18</v>
      </c>
      <c r="G5509" t="s">
        <v>41</v>
      </c>
      <c r="H5509" t="s">
        <v>25</v>
      </c>
      <c r="I5509" s="1">
        <v>2</v>
      </c>
      <c r="J5509" s="2">
        <v>45970</v>
      </c>
      <c r="K5509" s="2">
        <v>45962</v>
      </c>
      <c r="L5509" s="1" t="str">
        <f t="shared" si="640"/>
        <v>dom</v>
      </c>
      <c r="M5509" s="1" t="str">
        <f t="shared" si="641"/>
        <v>nov</v>
      </c>
      <c r="N5509">
        <f t="shared" si="642"/>
        <v>2025</v>
      </c>
      <c r="O5509" s="2"/>
      <c r="P5509" t="str">
        <f t="shared" si="643"/>
        <v>217945970</v>
      </c>
    </row>
    <row r="5510" spans="1:16" x14ac:dyDescent="0.3">
      <c r="A5510">
        <v>2179</v>
      </c>
      <c r="B5510">
        <v>22</v>
      </c>
      <c r="C5510" t="s">
        <v>15</v>
      </c>
      <c r="D5510" t="s">
        <v>16</v>
      </c>
      <c r="E5510" t="s">
        <v>17</v>
      </c>
      <c r="F5510" t="s">
        <v>18</v>
      </c>
      <c r="G5510" t="s">
        <v>41</v>
      </c>
      <c r="H5510" t="s">
        <v>25</v>
      </c>
      <c r="I5510" s="1">
        <v>2</v>
      </c>
      <c r="J5510" s="2">
        <v>46010</v>
      </c>
      <c r="K5510" s="2">
        <v>45992</v>
      </c>
      <c r="L5510" s="1" t="str">
        <f t="shared" si="640"/>
        <v>sex</v>
      </c>
      <c r="M5510" s="1" t="str">
        <f t="shared" si="641"/>
        <v>dez</v>
      </c>
      <c r="N5510">
        <f t="shared" si="642"/>
        <v>2025</v>
      </c>
      <c r="O5510" s="2"/>
      <c r="P5510" t="str">
        <f t="shared" si="643"/>
        <v>217946010</v>
      </c>
    </row>
    <row r="5511" spans="1:16" x14ac:dyDescent="0.3">
      <c r="A5511">
        <v>2179</v>
      </c>
      <c r="B5511">
        <v>22</v>
      </c>
      <c r="C5511" t="s">
        <v>15</v>
      </c>
      <c r="D5511" t="s">
        <v>16</v>
      </c>
      <c r="E5511" t="s">
        <v>17</v>
      </c>
      <c r="F5511" t="s">
        <v>18</v>
      </c>
      <c r="G5511" t="s">
        <v>41</v>
      </c>
      <c r="H5511" t="s">
        <v>25</v>
      </c>
      <c r="I5511" s="1">
        <v>2</v>
      </c>
      <c r="J5511" s="2">
        <v>46177</v>
      </c>
      <c r="K5511" s="2">
        <v>46023</v>
      </c>
      <c r="L5511" s="1" t="str">
        <f t="shared" si="640"/>
        <v>qui</v>
      </c>
      <c r="M5511" s="1" t="str">
        <f t="shared" si="641"/>
        <v>jun</v>
      </c>
      <c r="N5511">
        <f t="shared" si="642"/>
        <v>2026</v>
      </c>
      <c r="O5511" s="2"/>
      <c r="P5511" t="str">
        <f t="shared" si="643"/>
        <v>217946177</v>
      </c>
    </row>
    <row r="5512" spans="1:16" x14ac:dyDescent="0.3">
      <c r="A5512">
        <v>2180</v>
      </c>
      <c r="B5512">
        <v>23</v>
      </c>
      <c r="C5512" t="s">
        <v>26</v>
      </c>
      <c r="D5512" t="s">
        <v>29</v>
      </c>
      <c r="E5512" t="s">
        <v>17</v>
      </c>
      <c r="F5512" t="s">
        <v>21</v>
      </c>
      <c r="G5512" t="s">
        <v>41</v>
      </c>
      <c r="H5512" t="s">
        <v>25</v>
      </c>
      <c r="I5512" s="1">
        <v>2</v>
      </c>
      <c r="J5512" s="2">
        <v>45909</v>
      </c>
      <c r="K5512" s="2">
        <v>45901</v>
      </c>
      <c r="L5512" s="1" t="str">
        <f t="shared" si="640"/>
        <v>ter</v>
      </c>
      <c r="M5512" s="1" t="str">
        <f t="shared" si="641"/>
        <v>set</v>
      </c>
      <c r="N5512">
        <f t="shared" si="642"/>
        <v>2025</v>
      </c>
      <c r="O5512" s="2"/>
      <c r="P5512" t="str">
        <f t="shared" si="643"/>
        <v>218045909</v>
      </c>
    </row>
    <row r="5513" spans="1:16" x14ac:dyDescent="0.3">
      <c r="A5513">
        <v>2180</v>
      </c>
      <c r="B5513">
        <v>23</v>
      </c>
      <c r="C5513" t="s">
        <v>26</v>
      </c>
      <c r="D5513" t="s">
        <v>29</v>
      </c>
      <c r="E5513" t="s">
        <v>17</v>
      </c>
      <c r="F5513" t="s">
        <v>21</v>
      </c>
      <c r="G5513" t="s">
        <v>41</v>
      </c>
      <c r="H5513" t="s">
        <v>25</v>
      </c>
      <c r="I5513" s="1">
        <v>2</v>
      </c>
      <c r="J5513" s="2">
        <v>45993</v>
      </c>
      <c r="K5513" s="2">
        <v>45992</v>
      </c>
      <c r="L5513" s="1" t="str">
        <f t="shared" si="640"/>
        <v>ter</v>
      </c>
      <c r="M5513" s="1" t="str">
        <f t="shared" si="641"/>
        <v>dez</v>
      </c>
      <c r="N5513">
        <f t="shared" si="642"/>
        <v>2025</v>
      </c>
      <c r="O5513" s="2"/>
      <c r="P5513" t="str">
        <f t="shared" si="643"/>
        <v>218045993</v>
      </c>
    </row>
    <row r="5514" spans="1:16" x14ac:dyDescent="0.3">
      <c r="A5514">
        <v>2180</v>
      </c>
      <c r="B5514">
        <v>23</v>
      </c>
      <c r="C5514" t="s">
        <v>26</v>
      </c>
      <c r="D5514" t="s">
        <v>29</v>
      </c>
      <c r="E5514" t="s">
        <v>17</v>
      </c>
      <c r="F5514" t="s">
        <v>21</v>
      </c>
      <c r="G5514" t="s">
        <v>41</v>
      </c>
      <c r="H5514" t="s">
        <v>25</v>
      </c>
      <c r="I5514" s="1">
        <v>2</v>
      </c>
      <c r="J5514" s="2">
        <v>46074</v>
      </c>
      <c r="K5514" s="2">
        <v>46054</v>
      </c>
      <c r="L5514" s="1" t="str">
        <f t="shared" si="640"/>
        <v>sáb</v>
      </c>
      <c r="M5514" s="1" t="str">
        <f t="shared" si="641"/>
        <v>fev</v>
      </c>
      <c r="N5514">
        <f t="shared" si="642"/>
        <v>2026</v>
      </c>
      <c r="O5514" s="2"/>
      <c r="P5514" t="str">
        <f t="shared" si="643"/>
        <v>218046074</v>
      </c>
    </row>
    <row r="5515" spans="1:16" x14ac:dyDescent="0.3">
      <c r="A5515">
        <v>2180</v>
      </c>
      <c r="B5515">
        <v>23</v>
      </c>
      <c r="C5515" t="s">
        <v>26</v>
      </c>
      <c r="D5515" t="s">
        <v>29</v>
      </c>
      <c r="E5515" t="s">
        <v>17</v>
      </c>
      <c r="F5515" t="s">
        <v>21</v>
      </c>
      <c r="G5515" t="s">
        <v>41</v>
      </c>
      <c r="H5515" t="s">
        <v>25</v>
      </c>
      <c r="I5515" s="1">
        <v>2</v>
      </c>
      <c r="J5515" s="2">
        <v>46090</v>
      </c>
      <c r="K5515" s="2">
        <v>46082</v>
      </c>
      <c r="L5515" s="1" t="str">
        <f t="shared" si="640"/>
        <v>seg</v>
      </c>
      <c r="M5515" s="1" t="str">
        <f t="shared" si="641"/>
        <v>mar</v>
      </c>
      <c r="N5515">
        <f t="shared" si="642"/>
        <v>2026</v>
      </c>
      <c r="O5515" s="2"/>
      <c r="P5515" t="str">
        <f t="shared" si="643"/>
        <v>218046090</v>
      </c>
    </row>
    <row r="5516" spans="1:16" x14ac:dyDescent="0.3">
      <c r="A5516">
        <v>2180</v>
      </c>
      <c r="B5516">
        <v>23</v>
      </c>
      <c r="C5516" t="s">
        <v>26</v>
      </c>
      <c r="D5516" t="s">
        <v>29</v>
      </c>
      <c r="E5516" t="s">
        <v>17</v>
      </c>
      <c r="F5516" t="s">
        <v>21</v>
      </c>
      <c r="G5516" t="s">
        <v>41</v>
      </c>
      <c r="H5516" t="s">
        <v>25</v>
      </c>
      <c r="I5516" s="1">
        <v>2</v>
      </c>
      <c r="J5516" s="2">
        <v>46095</v>
      </c>
      <c r="K5516" s="2">
        <v>46082</v>
      </c>
      <c r="L5516" s="1" t="str">
        <f t="shared" si="640"/>
        <v>sáb</v>
      </c>
      <c r="M5516" s="1" t="str">
        <f t="shared" si="641"/>
        <v>mar</v>
      </c>
      <c r="N5516">
        <f t="shared" si="642"/>
        <v>2026</v>
      </c>
      <c r="O5516" s="2"/>
      <c r="P5516" t="str">
        <f t="shared" si="643"/>
        <v>218046095</v>
      </c>
    </row>
    <row r="5517" spans="1:16" x14ac:dyDescent="0.3">
      <c r="A5517">
        <v>2181</v>
      </c>
      <c r="B5517">
        <v>24</v>
      </c>
      <c r="C5517" t="s">
        <v>26</v>
      </c>
      <c r="D5517" t="s">
        <v>16</v>
      </c>
      <c r="E5517" t="s">
        <v>17</v>
      </c>
      <c r="F5517" t="s">
        <v>23</v>
      </c>
      <c r="G5517" t="s">
        <v>41</v>
      </c>
      <c r="H5517" t="s">
        <v>25</v>
      </c>
      <c r="I5517" s="1">
        <v>3</v>
      </c>
      <c r="J5517" s="2">
        <v>45823</v>
      </c>
      <c r="K5517" s="2">
        <v>45809</v>
      </c>
      <c r="L5517" s="1" t="str">
        <f t="shared" si="640"/>
        <v>dom</v>
      </c>
      <c r="M5517" s="1" t="str">
        <f t="shared" si="641"/>
        <v>jun</v>
      </c>
      <c r="N5517">
        <f t="shared" si="642"/>
        <v>2025</v>
      </c>
      <c r="O5517" s="2"/>
      <c r="P5517" t="str">
        <f t="shared" si="643"/>
        <v>218145823</v>
      </c>
    </row>
    <row r="5518" spans="1:16" x14ac:dyDescent="0.3">
      <c r="A5518">
        <v>2181</v>
      </c>
      <c r="B5518">
        <v>24</v>
      </c>
      <c r="C5518" t="s">
        <v>26</v>
      </c>
      <c r="D5518" t="s">
        <v>16</v>
      </c>
      <c r="E5518" t="s">
        <v>17</v>
      </c>
      <c r="F5518" t="s">
        <v>23</v>
      </c>
      <c r="G5518" t="s">
        <v>41</v>
      </c>
      <c r="H5518" t="s">
        <v>25</v>
      </c>
      <c r="I5518" s="1">
        <v>3</v>
      </c>
      <c r="J5518" s="2">
        <v>46007</v>
      </c>
      <c r="K5518" s="2">
        <v>45992</v>
      </c>
      <c r="L5518" s="1" t="str">
        <f t="shared" si="640"/>
        <v>ter</v>
      </c>
      <c r="M5518" s="1" t="str">
        <f t="shared" si="641"/>
        <v>dez</v>
      </c>
      <c r="N5518">
        <f t="shared" si="642"/>
        <v>2025</v>
      </c>
      <c r="O5518" s="2"/>
      <c r="P5518" t="str">
        <f t="shared" si="643"/>
        <v>218146007</v>
      </c>
    </row>
    <row r="5519" spans="1:16" x14ac:dyDescent="0.3">
      <c r="A5519">
        <v>2181</v>
      </c>
      <c r="B5519">
        <v>24</v>
      </c>
      <c r="C5519" t="s">
        <v>26</v>
      </c>
      <c r="D5519" t="s">
        <v>16</v>
      </c>
      <c r="E5519" t="s">
        <v>17</v>
      </c>
      <c r="F5519" t="s">
        <v>23</v>
      </c>
      <c r="G5519" t="s">
        <v>41</v>
      </c>
      <c r="H5519" t="s">
        <v>25</v>
      </c>
      <c r="I5519" s="1">
        <v>3</v>
      </c>
      <c r="J5519" s="2">
        <v>46174</v>
      </c>
      <c r="K5519" s="2">
        <v>46023</v>
      </c>
      <c r="L5519" s="1" t="str">
        <f t="shared" si="640"/>
        <v>seg</v>
      </c>
      <c r="M5519" s="1" t="str">
        <f t="shared" si="641"/>
        <v>jun</v>
      </c>
      <c r="N5519">
        <f t="shared" si="642"/>
        <v>2026</v>
      </c>
      <c r="O5519" s="2"/>
      <c r="P5519" t="str">
        <f t="shared" si="643"/>
        <v>218146174</v>
      </c>
    </row>
    <row r="5520" spans="1:16" x14ac:dyDescent="0.3">
      <c r="A5520">
        <v>2181</v>
      </c>
      <c r="B5520">
        <v>24</v>
      </c>
      <c r="C5520" t="s">
        <v>26</v>
      </c>
      <c r="D5520" t="s">
        <v>16</v>
      </c>
      <c r="E5520" t="s">
        <v>17</v>
      </c>
      <c r="F5520" t="s">
        <v>23</v>
      </c>
      <c r="G5520" t="s">
        <v>41</v>
      </c>
      <c r="H5520" t="s">
        <v>25</v>
      </c>
      <c r="I5520" s="1">
        <v>3</v>
      </c>
      <c r="J5520" s="2">
        <v>46191</v>
      </c>
      <c r="K5520" s="2">
        <v>46023</v>
      </c>
      <c r="L5520" s="1" t="str">
        <f t="shared" si="640"/>
        <v>qui</v>
      </c>
      <c r="M5520" s="1" t="str">
        <f t="shared" si="641"/>
        <v>jun</v>
      </c>
      <c r="N5520">
        <f t="shared" si="642"/>
        <v>2026</v>
      </c>
      <c r="O5520" s="2"/>
      <c r="P5520" t="str">
        <f t="shared" si="643"/>
        <v>218146191</v>
      </c>
    </row>
    <row r="5521" spans="1:16" x14ac:dyDescent="0.3">
      <c r="A5521">
        <v>2182</v>
      </c>
      <c r="B5521">
        <v>54</v>
      </c>
      <c r="C5521" t="s">
        <v>26</v>
      </c>
      <c r="D5521" t="s">
        <v>16</v>
      </c>
      <c r="E5521" t="s">
        <v>17</v>
      </c>
      <c r="F5521" t="s">
        <v>18</v>
      </c>
      <c r="G5521" t="s">
        <v>41</v>
      </c>
      <c r="H5521" t="s">
        <v>25</v>
      </c>
      <c r="I5521" s="1">
        <v>2</v>
      </c>
      <c r="J5521" s="2">
        <v>45898</v>
      </c>
      <c r="K5521" s="2">
        <v>45870</v>
      </c>
      <c r="L5521" s="1" t="str">
        <f t="shared" si="640"/>
        <v>sex</v>
      </c>
      <c r="M5521" s="1" t="str">
        <f t="shared" si="641"/>
        <v>ago</v>
      </c>
      <c r="N5521">
        <f t="shared" si="642"/>
        <v>2025</v>
      </c>
      <c r="O5521" s="2"/>
      <c r="P5521" t="str">
        <f t="shared" si="643"/>
        <v>218245898</v>
      </c>
    </row>
    <row r="5522" spans="1:16" x14ac:dyDescent="0.3">
      <c r="A5522">
        <v>2182</v>
      </c>
      <c r="B5522">
        <v>54</v>
      </c>
      <c r="C5522" t="s">
        <v>26</v>
      </c>
      <c r="D5522" t="s">
        <v>16</v>
      </c>
      <c r="E5522" t="s">
        <v>17</v>
      </c>
      <c r="F5522" t="s">
        <v>18</v>
      </c>
      <c r="G5522" t="s">
        <v>41</v>
      </c>
      <c r="H5522" t="s">
        <v>25</v>
      </c>
      <c r="I5522" s="1">
        <v>2</v>
      </c>
      <c r="J5522" s="2">
        <v>45901</v>
      </c>
      <c r="K5522" s="2">
        <v>45901</v>
      </c>
      <c r="L5522" s="1" t="str">
        <f t="shared" si="640"/>
        <v>seg</v>
      </c>
      <c r="M5522" s="1" t="str">
        <f t="shared" si="641"/>
        <v>set</v>
      </c>
      <c r="N5522">
        <f t="shared" si="642"/>
        <v>2025</v>
      </c>
      <c r="O5522" s="2"/>
      <c r="P5522" t="str">
        <f t="shared" si="643"/>
        <v>218245901</v>
      </c>
    </row>
    <row r="5523" spans="1:16" x14ac:dyDescent="0.3">
      <c r="A5523">
        <v>2182</v>
      </c>
      <c r="B5523">
        <v>54</v>
      </c>
      <c r="C5523" t="s">
        <v>26</v>
      </c>
      <c r="D5523" t="s">
        <v>16</v>
      </c>
      <c r="E5523" t="s">
        <v>17</v>
      </c>
      <c r="F5523" t="s">
        <v>18</v>
      </c>
      <c r="G5523" t="s">
        <v>41</v>
      </c>
      <c r="H5523" t="s">
        <v>25</v>
      </c>
      <c r="I5523" s="1">
        <v>2</v>
      </c>
      <c r="J5523" s="2">
        <v>45912</v>
      </c>
      <c r="K5523" s="2">
        <v>45901</v>
      </c>
      <c r="L5523" s="1" t="str">
        <f t="shared" si="640"/>
        <v>sex</v>
      </c>
      <c r="M5523" s="1" t="str">
        <f t="shared" si="641"/>
        <v>set</v>
      </c>
      <c r="N5523">
        <f t="shared" si="642"/>
        <v>2025</v>
      </c>
      <c r="O5523" s="2"/>
      <c r="P5523" t="str">
        <f t="shared" si="643"/>
        <v>218245912</v>
      </c>
    </row>
    <row r="5524" spans="1:16" x14ac:dyDescent="0.3">
      <c r="A5524">
        <v>2182</v>
      </c>
      <c r="B5524">
        <v>54</v>
      </c>
      <c r="C5524" t="s">
        <v>26</v>
      </c>
      <c r="D5524" t="s">
        <v>16</v>
      </c>
      <c r="E5524" t="s">
        <v>17</v>
      </c>
      <c r="F5524" t="s">
        <v>18</v>
      </c>
      <c r="G5524" t="s">
        <v>41</v>
      </c>
      <c r="H5524" t="s">
        <v>25</v>
      </c>
      <c r="I5524" s="1">
        <v>2</v>
      </c>
      <c r="J5524" s="2">
        <v>45950</v>
      </c>
      <c r="K5524" s="2">
        <v>45931</v>
      </c>
      <c r="L5524" s="1" t="str">
        <f t="shared" ref="L5524:L5544" si="644">TEXT(J5524,"ddd")</f>
        <v>seg</v>
      </c>
      <c r="M5524" s="1" t="str">
        <f t="shared" ref="M5524:M5544" si="645">TEXT($J5524,"mmm")</f>
        <v>out</v>
      </c>
      <c r="N5524">
        <f t="shared" ref="N5524:N5544" si="646">YEAR(J5524)</f>
        <v>2025</v>
      </c>
      <c r="O5524" s="2"/>
      <c r="P5524" t="str">
        <f t="shared" si="643"/>
        <v>218245950</v>
      </c>
    </row>
    <row r="5525" spans="1:16" x14ac:dyDescent="0.3">
      <c r="A5525">
        <v>2182</v>
      </c>
      <c r="B5525">
        <v>54</v>
      </c>
      <c r="C5525" t="s">
        <v>26</v>
      </c>
      <c r="D5525" t="s">
        <v>16</v>
      </c>
      <c r="E5525" t="s">
        <v>17</v>
      </c>
      <c r="F5525" t="s">
        <v>18</v>
      </c>
      <c r="G5525" t="s">
        <v>41</v>
      </c>
      <c r="H5525" t="s">
        <v>25</v>
      </c>
      <c r="I5525" s="1">
        <v>2</v>
      </c>
      <c r="J5525" s="2">
        <v>45962</v>
      </c>
      <c r="K5525" s="2">
        <v>45962</v>
      </c>
      <c r="L5525" s="1" t="str">
        <f t="shared" si="644"/>
        <v>sáb</v>
      </c>
      <c r="M5525" s="1" t="str">
        <f t="shared" si="645"/>
        <v>nov</v>
      </c>
      <c r="N5525">
        <f t="shared" si="646"/>
        <v>2025</v>
      </c>
      <c r="O5525" s="2"/>
      <c r="P5525" t="str">
        <f t="shared" si="643"/>
        <v>218245962</v>
      </c>
    </row>
    <row r="5526" spans="1:16" x14ac:dyDescent="0.3">
      <c r="A5526">
        <v>2182</v>
      </c>
      <c r="B5526">
        <v>54</v>
      </c>
      <c r="C5526" t="s">
        <v>26</v>
      </c>
      <c r="D5526" t="s">
        <v>16</v>
      </c>
      <c r="E5526" t="s">
        <v>17</v>
      </c>
      <c r="F5526" t="s">
        <v>18</v>
      </c>
      <c r="G5526" t="s">
        <v>41</v>
      </c>
      <c r="H5526" t="s">
        <v>25</v>
      </c>
      <c r="I5526" s="1">
        <v>2</v>
      </c>
      <c r="J5526" s="2">
        <v>46102</v>
      </c>
      <c r="K5526" s="2">
        <v>46082</v>
      </c>
      <c r="L5526" s="1" t="str">
        <f t="shared" si="644"/>
        <v>sáb</v>
      </c>
      <c r="M5526" s="1" t="str">
        <f t="shared" si="645"/>
        <v>mar</v>
      </c>
      <c r="N5526">
        <f t="shared" si="646"/>
        <v>2026</v>
      </c>
      <c r="O5526" s="2"/>
      <c r="P5526" t="str">
        <f t="shared" si="643"/>
        <v>218246102</v>
      </c>
    </row>
    <row r="5527" spans="1:16" x14ac:dyDescent="0.3">
      <c r="A5527">
        <v>2183</v>
      </c>
      <c r="B5527">
        <v>28</v>
      </c>
      <c r="C5527" t="s">
        <v>26</v>
      </c>
      <c r="D5527" t="s">
        <v>31</v>
      </c>
      <c r="E5527" t="s">
        <v>34</v>
      </c>
      <c r="F5527" t="s">
        <v>23</v>
      </c>
      <c r="G5527" t="s">
        <v>41</v>
      </c>
      <c r="H5527" t="s">
        <v>25</v>
      </c>
      <c r="I5527" s="1">
        <v>1</v>
      </c>
      <c r="J5527" s="2">
        <v>45825</v>
      </c>
      <c r="K5527" s="2">
        <v>45809</v>
      </c>
      <c r="L5527" s="1" t="str">
        <f t="shared" si="644"/>
        <v>ter</v>
      </c>
      <c r="M5527" s="1" t="str">
        <f t="shared" si="645"/>
        <v>jun</v>
      </c>
      <c r="N5527">
        <f t="shared" si="646"/>
        <v>2025</v>
      </c>
      <c r="O5527" s="2"/>
      <c r="P5527" t="str">
        <f t="shared" si="643"/>
        <v>218345825</v>
      </c>
    </row>
    <row r="5528" spans="1:16" x14ac:dyDescent="0.3">
      <c r="A5528">
        <v>2183</v>
      </c>
      <c r="B5528">
        <v>28</v>
      </c>
      <c r="C5528" t="s">
        <v>26</v>
      </c>
      <c r="D5528" t="s">
        <v>31</v>
      </c>
      <c r="E5528" t="s">
        <v>34</v>
      </c>
      <c r="F5528" t="s">
        <v>23</v>
      </c>
      <c r="G5528" t="s">
        <v>41</v>
      </c>
      <c r="H5528" t="s">
        <v>25</v>
      </c>
      <c r="I5528" s="1">
        <v>1</v>
      </c>
      <c r="J5528" s="2">
        <v>45928</v>
      </c>
      <c r="K5528" s="2">
        <v>45901</v>
      </c>
      <c r="L5528" s="1" t="str">
        <f t="shared" si="644"/>
        <v>dom</v>
      </c>
      <c r="M5528" s="1" t="str">
        <f t="shared" si="645"/>
        <v>set</v>
      </c>
      <c r="N5528">
        <f t="shared" si="646"/>
        <v>2025</v>
      </c>
      <c r="O5528" s="2"/>
      <c r="P5528" t="str">
        <f t="shared" si="643"/>
        <v>218345928</v>
      </c>
    </row>
    <row r="5529" spans="1:16" x14ac:dyDescent="0.3">
      <c r="A5529">
        <v>2183</v>
      </c>
      <c r="B5529">
        <v>28</v>
      </c>
      <c r="C5529" t="s">
        <v>26</v>
      </c>
      <c r="D5529" t="s">
        <v>31</v>
      </c>
      <c r="E5529" t="s">
        <v>34</v>
      </c>
      <c r="F5529" t="s">
        <v>23</v>
      </c>
      <c r="G5529" t="s">
        <v>41</v>
      </c>
      <c r="H5529" t="s">
        <v>25</v>
      </c>
      <c r="I5529" s="1">
        <v>1</v>
      </c>
      <c r="J5529" s="2">
        <v>46076</v>
      </c>
      <c r="K5529" s="2">
        <v>46054</v>
      </c>
      <c r="L5529" s="1" t="str">
        <f t="shared" si="644"/>
        <v>seg</v>
      </c>
      <c r="M5529" s="1" t="str">
        <f t="shared" si="645"/>
        <v>fev</v>
      </c>
      <c r="N5529">
        <f t="shared" si="646"/>
        <v>2026</v>
      </c>
      <c r="O5529" s="2"/>
      <c r="P5529" t="str">
        <f t="shared" si="643"/>
        <v>218346076</v>
      </c>
    </row>
    <row r="5530" spans="1:16" x14ac:dyDescent="0.3">
      <c r="A5530">
        <v>2183</v>
      </c>
      <c r="B5530">
        <v>28</v>
      </c>
      <c r="C5530" t="s">
        <v>26</v>
      </c>
      <c r="D5530" t="s">
        <v>31</v>
      </c>
      <c r="E5530" t="s">
        <v>34</v>
      </c>
      <c r="F5530" t="s">
        <v>23</v>
      </c>
      <c r="G5530" t="s">
        <v>41</v>
      </c>
      <c r="H5530" t="s">
        <v>25</v>
      </c>
      <c r="I5530" s="1">
        <v>1</v>
      </c>
      <c r="J5530" s="2">
        <v>46089</v>
      </c>
      <c r="K5530" s="2">
        <v>46082</v>
      </c>
      <c r="L5530" s="1" t="str">
        <f t="shared" si="644"/>
        <v>dom</v>
      </c>
      <c r="M5530" s="1" t="str">
        <f t="shared" si="645"/>
        <v>mar</v>
      </c>
      <c r="N5530">
        <f t="shared" si="646"/>
        <v>2026</v>
      </c>
      <c r="O5530" s="2"/>
      <c r="P5530" t="str">
        <f t="shared" si="643"/>
        <v>218346089</v>
      </c>
    </row>
    <row r="5531" spans="1:16" x14ac:dyDescent="0.3">
      <c r="A5531">
        <v>2184</v>
      </c>
      <c r="B5531">
        <v>42</v>
      </c>
      <c r="C5531" t="s">
        <v>26</v>
      </c>
      <c r="D5531" t="s">
        <v>16</v>
      </c>
      <c r="E5531" t="s">
        <v>17</v>
      </c>
      <c r="F5531" t="s">
        <v>23</v>
      </c>
      <c r="G5531" t="s">
        <v>41</v>
      </c>
      <c r="H5531" t="s">
        <v>25</v>
      </c>
      <c r="I5531" s="1">
        <v>2</v>
      </c>
      <c r="J5531" s="2">
        <v>45862</v>
      </c>
      <c r="K5531" s="2">
        <v>45839</v>
      </c>
      <c r="L5531" s="1" t="str">
        <f t="shared" si="644"/>
        <v>qui</v>
      </c>
      <c r="M5531" s="1" t="str">
        <f t="shared" si="645"/>
        <v>jul</v>
      </c>
      <c r="N5531">
        <f t="shared" si="646"/>
        <v>2025</v>
      </c>
      <c r="O5531" s="2"/>
      <c r="P5531" t="str">
        <f t="shared" si="643"/>
        <v>218445862</v>
      </c>
    </row>
    <row r="5532" spans="1:16" x14ac:dyDescent="0.3">
      <c r="A5532">
        <v>2184</v>
      </c>
      <c r="B5532">
        <v>42</v>
      </c>
      <c r="C5532" t="s">
        <v>26</v>
      </c>
      <c r="D5532" t="s">
        <v>16</v>
      </c>
      <c r="E5532" t="s">
        <v>17</v>
      </c>
      <c r="F5532" t="s">
        <v>23</v>
      </c>
      <c r="G5532" t="s">
        <v>41</v>
      </c>
      <c r="H5532" t="s">
        <v>25</v>
      </c>
      <c r="I5532" s="1">
        <v>2</v>
      </c>
      <c r="J5532" s="2">
        <v>45868</v>
      </c>
      <c r="K5532" s="2">
        <v>45839</v>
      </c>
      <c r="L5532" s="1" t="str">
        <f t="shared" si="644"/>
        <v>qua</v>
      </c>
      <c r="M5532" s="1" t="str">
        <f t="shared" si="645"/>
        <v>jul</v>
      </c>
      <c r="N5532">
        <f t="shared" si="646"/>
        <v>2025</v>
      </c>
      <c r="O5532" s="2"/>
      <c r="P5532" t="str">
        <f t="shared" si="643"/>
        <v>218445868</v>
      </c>
    </row>
    <row r="5533" spans="1:16" x14ac:dyDescent="0.3">
      <c r="A5533">
        <v>2184</v>
      </c>
      <c r="B5533">
        <v>42</v>
      </c>
      <c r="C5533" t="s">
        <v>26</v>
      </c>
      <c r="D5533" t="s">
        <v>16</v>
      </c>
      <c r="E5533" t="s">
        <v>17</v>
      </c>
      <c r="F5533" t="s">
        <v>23</v>
      </c>
      <c r="G5533" t="s">
        <v>41</v>
      </c>
      <c r="H5533" t="s">
        <v>25</v>
      </c>
      <c r="I5533" s="1">
        <v>2</v>
      </c>
      <c r="J5533" s="2">
        <v>45879</v>
      </c>
      <c r="K5533" s="2">
        <v>45870</v>
      </c>
      <c r="L5533" s="1" t="str">
        <f t="shared" si="644"/>
        <v>dom</v>
      </c>
      <c r="M5533" s="1" t="str">
        <f t="shared" si="645"/>
        <v>ago</v>
      </c>
      <c r="N5533">
        <f t="shared" si="646"/>
        <v>2025</v>
      </c>
      <c r="O5533" s="2"/>
      <c r="P5533" t="str">
        <f t="shared" si="643"/>
        <v>218445879</v>
      </c>
    </row>
    <row r="5534" spans="1:16" x14ac:dyDescent="0.3">
      <c r="A5534">
        <v>2184</v>
      </c>
      <c r="B5534">
        <v>42</v>
      </c>
      <c r="C5534" t="s">
        <v>26</v>
      </c>
      <c r="D5534" t="s">
        <v>16</v>
      </c>
      <c r="E5534" t="s">
        <v>17</v>
      </c>
      <c r="F5534" t="s">
        <v>23</v>
      </c>
      <c r="G5534" t="s">
        <v>41</v>
      </c>
      <c r="H5534" t="s">
        <v>25</v>
      </c>
      <c r="I5534" s="1">
        <v>2</v>
      </c>
      <c r="J5534" s="2">
        <v>46055</v>
      </c>
      <c r="K5534" s="2">
        <v>46054</v>
      </c>
      <c r="L5534" s="1" t="str">
        <f t="shared" si="644"/>
        <v>seg</v>
      </c>
      <c r="M5534" s="1" t="str">
        <f t="shared" si="645"/>
        <v>fev</v>
      </c>
      <c r="N5534">
        <f t="shared" si="646"/>
        <v>2026</v>
      </c>
      <c r="O5534" s="2"/>
      <c r="P5534" t="str">
        <f t="shared" si="643"/>
        <v>218446055</v>
      </c>
    </row>
    <row r="5535" spans="1:16" x14ac:dyDescent="0.3">
      <c r="A5535">
        <v>2185</v>
      </c>
      <c r="B5535">
        <v>24</v>
      </c>
      <c r="C5535" t="s">
        <v>15</v>
      </c>
      <c r="D5535" t="s">
        <v>27</v>
      </c>
      <c r="E5535" t="s">
        <v>17</v>
      </c>
      <c r="F5535" t="s">
        <v>21</v>
      </c>
      <c r="G5535" t="s">
        <v>41</v>
      </c>
      <c r="H5535" t="s">
        <v>25</v>
      </c>
      <c r="I5535" s="1">
        <v>1</v>
      </c>
      <c r="J5535" s="2">
        <v>45848</v>
      </c>
      <c r="K5535" s="2">
        <v>45839</v>
      </c>
      <c r="L5535" s="1" t="str">
        <f t="shared" si="644"/>
        <v>qui</v>
      </c>
      <c r="M5535" s="1" t="str">
        <f t="shared" si="645"/>
        <v>jul</v>
      </c>
      <c r="N5535">
        <f t="shared" si="646"/>
        <v>2025</v>
      </c>
      <c r="O5535" s="2"/>
      <c r="P5535" t="str">
        <f t="shared" si="643"/>
        <v>218545848</v>
      </c>
    </row>
    <row r="5536" spans="1:16" x14ac:dyDescent="0.3">
      <c r="A5536">
        <v>2185</v>
      </c>
      <c r="B5536">
        <v>24</v>
      </c>
      <c r="C5536" t="s">
        <v>15</v>
      </c>
      <c r="D5536" t="s">
        <v>27</v>
      </c>
      <c r="E5536" t="s">
        <v>17</v>
      </c>
      <c r="F5536" t="s">
        <v>21</v>
      </c>
      <c r="G5536" t="s">
        <v>41</v>
      </c>
      <c r="H5536" t="s">
        <v>25</v>
      </c>
      <c r="I5536" s="1">
        <v>1</v>
      </c>
      <c r="J5536" s="2">
        <v>45905</v>
      </c>
      <c r="K5536" s="2">
        <v>45901</v>
      </c>
      <c r="L5536" s="1" t="str">
        <f t="shared" si="644"/>
        <v>sex</v>
      </c>
      <c r="M5536" s="1" t="str">
        <f t="shared" si="645"/>
        <v>set</v>
      </c>
      <c r="N5536">
        <f t="shared" si="646"/>
        <v>2025</v>
      </c>
      <c r="O5536" s="2"/>
      <c r="P5536" t="str">
        <f t="shared" si="643"/>
        <v>218545905</v>
      </c>
    </row>
    <row r="5537" spans="1:16" x14ac:dyDescent="0.3">
      <c r="A5537">
        <v>2185</v>
      </c>
      <c r="B5537">
        <v>24</v>
      </c>
      <c r="C5537" t="s">
        <v>15</v>
      </c>
      <c r="D5537" t="s">
        <v>27</v>
      </c>
      <c r="E5537" t="s">
        <v>17</v>
      </c>
      <c r="F5537" t="s">
        <v>21</v>
      </c>
      <c r="G5537" t="s">
        <v>41</v>
      </c>
      <c r="H5537" t="s">
        <v>25</v>
      </c>
      <c r="I5537" s="1">
        <v>1</v>
      </c>
      <c r="J5537" s="2">
        <v>46175</v>
      </c>
      <c r="K5537" s="2">
        <v>46023</v>
      </c>
      <c r="L5537" s="1" t="str">
        <f t="shared" si="644"/>
        <v>ter</v>
      </c>
      <c r="M5537" s="1" t="str">
        <f t="shared" si="645"/>
        <v>jun</v>
      </c>
      <c r="N5537">
        <f t="shared" si="646"/>
        <v>2026</v>
      </c>
      <c r="O5537" s="2"/>
      <c r="P5537" t="str">
        <f t="shared" si="643"/>
        <v>218546175</v>
      </c>
    </row>
    <row r="5538" spans="1:16" x14ac:dyDescent="0.3">
      <c r="A5538">
        <v>2185</v>
      </c>
      <c r="B5538">
        <v>24</v>
      </c>
      <c r="C5538" t="s">
        <v>15</v>
      </c>
      <c r="D5538" t="s">
        <v>27</v>
      </c>
      <c r="E5538" t="s">
        <v>17</v>
      </c>
      <c r="F5538" t="s">
        <v>21</v>
      </c>
      <c r="G5538" t="s">
        <v>41</v>
      </c>
      <c r="H5538" t="s">
        <v>25</v>
      </c>
      <c r="I5538" s="1">
        <v>1</v>
      </c>
      <c r="J5538" s="2">
        <v>46072</v>
      </c>
      <c r="K5538" s="2">
        <v>46054</v>
      </c>
      <c r="L5538" s="1" t="str">
        <f t="shared" si="644"/>
        <v>qui</v>
      </c>
      <c r="M5538" s="1" t="str">
        <f t="shared" si="645"/>
        <v>fev</v>
      </c>
      <c r="N5538">
        <f t="shared" si="646"/>
        <v>2026</v>
      </c>
      <c r="O5538" s="2"/>
      <c r="P5538" t="str">
        <f t="shared" si="643"/>
        <v>218546072</v>
      </c>
    </row>
    <row r="5539" spans="1:16" x14ac:dyDescent="0.3">
      <c r="A5539">
        <v>2185</v>
      </c>
      <c r="B5539">
        <v>24</v>
      </c>
      <c r="C5539" t="s">
        <v>15</v>
      </c>
      <c r="D5539" t="s">
        <v>27</v>
      </c>
      <c r="E5539" t="s">
        <v>17</v>
      </c>
      <c r="F5539" t="s">
        <v>21</v>
      </c>
      <c r="G5539" t="s">
        <v>41</v>
      </c>
      <c r="H5539" t="s">
        <v>25</v>
      </c>
      <c r="I5539" s="1">
        <v>1</v>
      </c>
      <c r="J5539" s="2">
        <v>46097</v>
      </c>
      <c r="K5539" s="2">
        <v>46082</v>
      </c>
      <c r="L5539" s="1" t="str">
        <f t="shared" si="644"/>
        <v>seg</v>
      </c>
      <c r="M5539" s="1" t="str">
        <f t="shared" si="645"/>
        <v>mar</v>
      </c>
      <c r="N5539">
        <f t="shared" si="646"/>
        <v>2026</v>
      </c>
      <c r="O5539" s="2"/>
      <c r="P5539" t="str">
        <f t="shared" si="643"/>
        <v>218546097</v>
      </c>
    </row>
    <row r="5540" spans="1:16" x14ac:dyDescent="0.3">
      <c r="A5540">
        <v>2186</v>
      </c>
      <c r="B5540">
        <v>33</v>
      </c>
      <c r="C5540" t="s">
        <v>26</v>
      </c>
      <c r="D5540" t="s">
        <v>16</v>
      </c>
      <c r="E5540" t="s">
        <v>17</v>
      </c>
      <c r="F5540" t="s">
        <v>18</v>
      </c>
      <c r="G5540" t="s">
        <v>41</v>
      </c>
      <c r="H5540" t="s">
        <v>25</v>
      </c>
      <c r="I5540" s="1">
        <v>3</v>
      </c>
      <c r="J5540" s="2">
        <v>45773</v>
      </c>
      <c r="K5540" s="2">
        <v>45748</v>
      </c>
      <c r="L5540" s="1" t="str">
        <f t="shared" si="644"/>
        <v>sáb</v>
      </c>
      <c r="M5540" s="1" t="str">
        <f t="shared" si="645"/>
        <v>abr</v>
      </c>
      <c r="N5540">
        <f t="shared" si="646"/>
        <v>2025</v>
      </c>
      <c r="O5540" s="2"/>
      <c r="P5540" t="str">
        <f t="shared" si="643"/>
        <v>218645773</v>
      </c>
    </row>
    <row r="5541" spans="1:16" x14ac:dyDescent="0.3">
      <c r="A5541">
        <v>2186</v>
      </c>
      <c r="B5541">
        <v>33</v>
      </c>
      <c r="C5541" t="s">
        <v>26</v>
      </c>
      <c r="D5541" t="s">
        <v>16</v>
      </c>
      <c r="E5541" t="s">
        <v>17</v>
      </c>
      <c r="F5541" t="s">
        <v>18</v>
      </c>
      <c r="G5541" t="s">
        <v>41</v>
      </c>
      <c r="H5541" t="s">
        <v>25</v>
      </c>
      <c r="I5541" s="1">
        <v>3</v>
      </c>
      <c r="J5541" s="2">
        <v>45868</v>
      </c>
      <c r="K5541" s="2">
        <v>45839</v>
      </c>
      <c r="L5541" s="1" t="str">
        <f t="shared" si="644"/>
        <v>qua</v>
      </c>
      <c r="M5541" s="1" t="str">
        <f t="shared" si="645"/>
        <v>jul</v>
      </c>
      <c r="N5541">
        <f t="shared" si="646"/>
        <v>2025</v>
      </c>
      <c r="O5541" s="2"/>
      <c r="P5541" t="str">
        <f t="shared" si="643"/>
        <v>218645868</v>
      </c>
    </row>
    <row r="5542" spans="1:16" x14ac:dyDescent="0.3">
      <c r="A5542">
        <v>2186</v>
      </c>
      <c r="B5542">
        <v>33</v>
      </c>
      <c r="C5542" t="s">
        <v>26</v>
      </c>
      <c r="D5542" t="s">
        <v>16</v>
      </c>
      <c r="E5542" t="s">
        <v>17</v>
      </c>
      <c r="F5542" t="s">
        <v>18</v>
      </c>
      <c r="G5542" t="s">
        <v>41</v>
      </c>
      <c r="H5542" t="s">
        <v>25</v>
      </c>
      <c r="I5542" s="1">
        <v>3</v>
      </c>
      <c r="J5542" s="2">
        <v>45906</v>
      </c>
      <c r="K5542" s="2">
        <v>45901</v>
      </c>
      <c r="L5542" s="1" t="str">
        <f t="shared" si="644"/>
        <v>sáb</v>
      </c>
      <c r="M5542" s="1" t="str">
        <f t="shared" si="645"/>
        <v>set</v>
      </c>
      <c r="N5542">
        <f t="shared" si="646"/>
        <v>2025</v>
      </c>
      <c r="O5542" s="2"/>
      <c r="P5542" t="str">
        <f t="shared" si="643"/>
        <v>218645906</v>
      </c>
    </row>
    <row r="5543" spans="1:16" x14ac:dyDescent="0.3">
      <c r="A5543">
        <v>2186</v>
      </c>
      <c r="B5543">
        <v>33</v>
      </c>
      <c r="C5543" t="s">
        <v>26</v>
      </c>
      <c r="D5543" t="s">
        <v>16</v>
      </c>
      <c r="E5543" t="s">
        <v>17</v>
      </c>
      <c r="F5543" t="s">
        <v>18</v>
      </c>
      <c r="G5543" t="s">
        <v>41</v>
      </c>
      <c r="H5543" t="s">
        <v>25</v>
      </c>
      <c r="I5543" s="1">
        <v>3</v>
      </c>
      <c r="J5543" s="2">
        <v>45985</v>
      </c>
      <c r="K5543" s="2">
        <v>45962</v>
      </c>
      <c r="L5543" s="1" t="str">
        <f t="shared" si="644"/>
        <v>seg</v>
      </c>
      <c r="M5543" s="1" t="str">
        <f t="shared" si="645"/>
        <v>nov</v>
      </c>
      <c r="N5543">
        <f t="shared" si="646"/>
        <v>2025</v>
      </c>
      <c r="O5543" s="2"/>
      <c r="P5543" t="str">
        <f t="shared" si="643"/>
        <v>218645985</v>
      </c>
    </row>
    <row r="5544" spans="1:16" x14ac:dyDescent="0.3">
      <c r="A5544">
        <v>2186</v>
      </c>
      <c r="B5544">
        <v>33</v>
      </c>
      <c r="C5544" t="s">
        <v>26</v>
      </c>
      <c r="D5544" t="s">
        <v>16</v>
      </c>
      <c r="E5544" t="s">
        <v>17</v>
      </c>
      <c r="F5544" t="s">
        <v>18</v>
      </c>
      <c r="G5544" t="s">
        <v>41</v>
      </c>
      <c r="H5544" t="s">
        <v>25</v>
      </c>
      <c r="I5544" s="1">
        <v>3</v>
      </c>
      <c r="J5544" s="2">
        <v>46021</v>
      </c>
      <c r="K5544" s="2">
        <v>45992</v>
      </c>
      <c r="L5544" s="1" t="str">
        <f t="shared" si="644"/>
        <v>ter</v>
      </c>
      <c r="M5544" s="1" t="str">
        <f t="shared" si="645"/>
        <v>dez</v>
      </c>
      <c r="N5544">
        <f t="shared" si="646"/>
        <v>2025</v>
      </c>
      <c r="O5544" s="2"/>
      <c r="P5544" t="str">
        <f t="shared" si="643"/>
        <v>218646021</v>
      </c>
    </row>
    <row r="5545" spans="1:16" x14ac:dyDescent="0.3">
      <c r="A5545">
        <v>2186</v>
      </c>
      <c r="B5545">
        <v>33</v>
      </c>
      <c r="C5545" t="s">
        <v>26</v>
      </c>
      <c r="D5545" t="s">
        <v>16</v>
      </c>
      <c r="E5545" t="s">
        <v>17</v>
      </c>
      <c r="F5545" t="s">
        <v>18</v>
      </c>
      <c r="G5545" t="s">
        <v>41</v>
      </c>
      <c r="H5545" t="s">
        <v>25</v>
      </c>
      <c r="I5545" s="1">
        <v>3</v>
      </c>
      <c r="J5545" s="2">
        <v>46138</v>
      </c>
      <c r="K5545" s="2">
        <v>46113</v>
      </c>
      <c r="L5545" s="1" t="s">
        <v>54</v>
      </c>
      <c r="M5545" s="1" t="s">
        <v>48</v>
      </c>
      <c r="N5545">
        <v>2025</v>
      </c>
      <c r="O5545" s="2"/>
      <c r="P5545" t="str">
        <f t="shared" si="643"/>
        <v>218646138</v>
      </c>
    </row>
    <row r="5546" spans="1:16" x14ac:dyDescent="0.3">
      <c r="A5546">
        <v>2194</v>
      </c>
      <c r="B5546">
        <v>51</v>
      </c>
      <c r="C5546" t="s">
        <v>15</v>
      </c>
      <c r="D5546" t="s">
        <v>16</v>
      </c>
      <c r="E5546" t="s">
        <v>17</v>
      </c>
      <c r="F5546" t="s">
        <v>23</v>
      </c>
      <c r="G5546" t="s">
        <v>41</v>
      </c>
      <c r="H5546" t="s">
        <v>25</v>
      </c>
      <c r="I5546" s="1">
        <v>2</v>
      </c>
      <c r="J5546" s="2">
        <v>45985</v>
      </c>
      <c r="K5546" s="2">
        <v>45962</v>
      </c>
      <c r="L5546" s="1" t="str">
        <f t="shared" ref="L5546:L5552" si="647">TEXT(J5546,"ddd")</f>
        <v>seg</v>
      </c>
      <c r="M5546" s="1" t="str">
        <f t="shared" ref="M5546:M5552" si="648">TEXT($J5546,"mmm")</f>
        <v>nov</v>
      </c>
      <c r="N5546">
        <f t="shared" ref="N5546:N5552" si="649">YEAR(J5546)</f>
        <v>2025</v>
      </c>
      <c r="O5546" s="2"/>
      <c r="P5546" t="str">
        <f t="shared" si="643"/>
        <v>219445985</v>
      </c>
    </row>
    <row r="5547" spans="1:16" x14ac:dyDescent="0.3">
      <c r="A5547">
        <v>2194</v>
      </c>
      <c r="B5547">
        <v>51</v>
      </c>
      <c r="C5547" t="s">
        <v>15</v>
      </c>
      <c r="D5547" t="s">
        <v>16</v>
      </c>
      <c r="E5547" t="s">
        <v>17</v>
      </c>
      <c r="F5547" t="s">
        <v>23</v>
      </c>
      <c r="G5547" t="s">
        <v>41</v>
      </c>
      <c r="H5547" t="s">
        <v>25</v>
      </c>
      <c r="I5547" s="1">
        <v>2</v>
      </c>
      <c r="J5547" s="2">
        <v>45991</v>
      </c>
      <c r="K5547" s="2">
        <v>45962</v>
      </c>
      <c r="L5547" s="1" t="str">
        <f t="shared" si="647"/>
        <v>dom</v>
      </c>
      <c r="M5547" s="1" t="str">
        <f t="shared" si="648"/>
        <v>nov</v>
      </c>
      <c r="N5547">
        <f t="shared" si="649"/>
        <v>2025</v>
      </c>
      <c r="O5547" s="2"/>
      <c r="P5547" t="str">
        <f t="shared" si="643"/>
        <v>219445991</v>
      </c>
    </row>
    <row r="5548" spans="1:16" x14ac:dyDescent="0.3">
      <c r="A5548">
        <v>2194</v>
      </c>
      <c r="B5548">
        <v>51</v>
      </c>
      <c r="C5548" t="s">
        <v>15</v>
      </c>
      <c r="D5548" t="s">
        <v>16</v>
      </c>
      <c r="E5548" t="s">
        <v>17</v>
      </c>
      <c r="F5548" t="s">
        <v>23</v>
      </c>
      <c r="G5548" t="s">
        <v>41</v>
      </c>
      <c r="H5548" t="s">
        <v>25</v>
      </c>
      <c r="I5548" s="1">
        <v>2</v>
      </c>
      <c r="J5548" s="2">
        <v>46176</v>
      </c>
      <c r="K5548" s="2">
        <v>46023</v>
      </c>
      <c r="L5548" s="1" t="str">
        <f t="shared" si="647"/>
        <v>qua</v>
      </c>
      <c r="M5548" s="1" t="str">
        <f t="shared" si="648"/>
        <v>jun</v>
      </c>
      <c r="N5548">
        <f t="shared" si="649"/>
        <v>2026</v>
      </c>
      <c r="O5548" s="2"/>
      <c r="P5548" t="str">
        <f t="shared" si="643"/>
        <v>219446176</v>
      </c>
    </row>
    <row r="5549" spans="1:16" x14ac:dyDescent="0.3">
      <c r="A5549">
        <v>2194</v>
      </c>
      <c r="B5549">
        <v>51</v>
      </c>
      <c r="C5549" t="s">
        <v>15</v>
      </c>
      <c r="D5549" t="s">
        <v>16</v>
      </c>
      <c r="E5549" t="s">
        <v>17</v>
      </c>
      <c r="F5549" t="s">
        <v>23</v>
      </c>
      <c r="G5549" t="s">
        <v>41</v>
      </c>
      <c r="H5549" t="s">
        <v>25</v>
      </c>
      <c r="I5549" s="1">
        <v>2</v>
      </c>
      <c r="J5549" s="2">
        <v>46182</v>
      </c>
      <c r="K5549" s="2">
        <v>46023</v>
      </c>
      <c r="L5549" s="1" t="str">
        <f t="shared" si="647"/>
        <v>ter</v>
      </c>
      <c r="M5549" s="1" t="str">
        <f t="shared" si="648"/>
        <v>jun</v>
      </c>
      <c r="N5549">
        <f t="shared" si="649"/>
        <v>2026</v>
      </c>
      <c r="O5549" s="2"/>
      <c r="P5549" t="str">
        <f t="shared" si="643"/>
        <v>219446182</v>
      </c>
    </row>
    <row r="5550" spans="1:16" x14ac:dyDescent="0.3">
      <c r="A5550">
        <v>2194</v>
      </c>
      <c r="B5550">
        <v>51</v>
      </c>
      <c r="C5550" t="s">
        <v>15</v>
      </c>
      <c r="D5550" t="s">
        <v>16</v>
      </c>
      <c r="E5550" t="s">
        <v>17</v>
      </c>
      <c r="F5550" t="s">
        <v>23</v>
      </c>
      <c r="G5550" t="s">
        <v>41</v>
      </c>
      <c r="H5550" t="s">
        <v>25</v>
      </c>
      <c r="I5550" s="1">
        <v>2</v>
      </c>
      <c r="J5550" s="2">
        <v>46078</v>
      </c>
      <c r="K5550" s="2">
        <v>46054</v>
      </c>
      <c r="L5550" s="1" t="str">
        <f t="shared" si="647"/>
        <v>qua</v>
      </c>
      <c r="M5550" s="1" t="str">
        <f t="shared" si="648"/>
        <v>fev</v>
      </c>
      <c r="N5550">
        <f t="shared" si="649"/>
        <v>2026</v>
      </c>
      <c r="O5550" s="2"/>
      <c r="P5550" t="str">
        <f t="shared" si="643"/>
        <v>219446078</v>
      </c>
    </row>
    <row r="5551" spans="1:16" x14ac:dyDescent="0.3">
      <c r="A5551">
        <v>1780</v>
      </c>
      <c r="B5551">
        <v>18</v>
      </c>
      <c r="C5551" t="s">
        <v>15</v>
      </c>
      <c r="D5551" t="s">
        <v>29</v>
      </c>
      <c r="E5551" t="s">
        <v>17</v>
      </c>
      <c r="F5551" t="s">
        <v>23</v>
      </c>
      <c r="G5551" t="s">
        <v>43</v>
      </c>
      <c r="H5551" t="s">
        <v>25</v>
      </c>
      <c r="I5551" s="1">
        <v>3</v>
      </c>
      <c r="J5551" s="2">
        <v>45660</v>
      </c>
      <c r="L5551" s="1" t="str">
        <f t="shared" si="647"/>
        <v>sex</v>
      </c>
      <c r="M5551" s="1" t="str">
        <f t="shared" si="648"/>
        <v>jan</v>
      </c>
      <c r="N5551">
        <f t="shared" si="649"/>
        <v>2025</v>
      </c>
      <c r="P5551" t="str">
        <f t="shared" si="643"/>
        <v>178045660</v>
      </c>
    </row>
    <row r="5552" spans="1:16" x14ac:dyDescent="0.3">
      <c r="A5552">
        <v>1780</v>
      </c>
      <c r="B5552">
        <v>18</v>
      </c>
      <c r="C5552" t="s">
        <v>15</v>
      </c>
      <c r="D5552" t="s">
        <v>29</v>
      </c>
      <c r="E5552" t="s">
        <v>17</v>
      </c>
      <c r="F5552" t="s">
        <v>23</v>
      </c>
      <c r="G5552" t="s">
        <v>43</v>
      </c>
      <c r="H5552" t="s">
        <v>25</v>
      </c>
      <c r="I5552" s="1">
        <v>3</v>
      </c>
      <c r="J5552" s="2">
        <v>45661</v>
      </c>
      <c r="L5552" s="1" t="str">
        <f t="shared" si="647"/>
        <v>sáb</v>
      </c>
      <c r="M5552" s="1" t="str">
        <f t="shared" si="648"/>
        <v>jan</v>
      </c>
      <c r="N5552">
        <f t="shared" si="649"/>
        <v>2025</v>
      </c>
      <c r="P5552" t="str">
        <f t="shared" si="643"/>
        <v>178045661</v>
      </c>
    </row>
    <row r="5553" spans="1:16" x14ac:dyDescent="0.3">
      <c r="A5553">
        <v>1780</v>
      </c>
      <c r="B5553">
        <v>18</v>
      </c>
      <c r="C5553" t="s">
        <v>15</v>
      </c>
      <c r="D5553" t="s">
        <v>29</v>
      </c>
      <c r="E5553" t="s">
        <v>17</v>
      </c>
      <c r="F5553" t="s">
        <v>23</v>
      </c>
      <c r="G5553" t="s">
        <v>43</v>
      </c>
      <c r="H5553" t="s">
        <v>25</v>
      </c>
      <c r="I5553" s="1">
        <v>3</v>
      </c>
      <c r="J5553" s="2">
        <v>45662</v>
      </c>
      <c r="L5553" s="1" t="str">
        <f t="shared" ref="L5553:L5615" si="650">TEXT(J5553,"ddd")</f>
        <v>dom</v>
      </c>
      <c r="M5553" s="1" t="str">
        <f t="shared" ref="M5553:M5616" si="651">TEXT($J5553,"mmm")</f>
        <v>jan</v>
      </c>
      <c r="N5553">
        <f t="shared" ref="N5553:N5615" si="652">YEAR(J5553)</f>
        <v>2025</v>
      </c>
      <c r="P5553" t="str">
        <f t="shared" si="643"/>
        <v>178045662</v>
      </c>
    </row>
    <row r="5554" spans="1:16" x14ac:dyDescent="0.3">
      <c r="A5554">
        <v>1780</v>
      </c>
      <c r="B5554">
        <v>18</v>
      </c>
      <c r="C5554" t="s">
        <v>15</v>
      </c>
      <c r="D5554" t="s">
        <v>29</v>
      </c>
      <c r="E5554" t="s">
        <v>17</v>
      </c>
      <c r="F5554" t="s">
        <v>23</v>
      </c>
      <c r="G5554" t="s">
        <v>43</v>
      </c>
      <c r="H5554" t="s">
        <v>25</v>
      </c>
      <c r="I5554" s="1">
        <v>3</v>
      </c>
      <c r="J5554" s="2">
        <v>45663</v>
      </c>
      <c r="L5554" s="1" t="str">
        <f t="shared" si="650"/>
        <v>seg</v>
      </c>
      <c r="M5554" s="1" t="str">
        <f t="shared" si="651"/>
        <v>jan</v>
      </c>
      <c r="N5554">
        <f t="shared" si="652"/>
        <v>2025</v>
      </c>
      <c r="P5554" t="str">
        <f t="shared" si="643"/>
        <v>178045663</v>
      </c>
    </row>
    <row r="5555" spans="1:16" x14ac:dyDescent="0.3">
      <c r="A5555">
        <v>1780</v>
      </c>
      <c r="B5555">
        <v>18</v>
      </c>
      <c r="C5555" t="s">
        <v>15</v>
      </c>
      <c r="D5555" t="s">
        <v>29</v>
      </c>
      <c r="E5555" t="s">
        <v>17</v>
      </c>
      <c r="F5555" t="s">
        <v>23</v>
      </c>
      <c r="G5555" t="s">
        <v>43</v>
      </c>
      <c r="H5555" t="s">
        <v>25</v>
      </c>
      <c r="I5555" s="1">
        <v>3</v>
      </c>
      <c r="J5555" s="2">
        <v>45664</v>
      </c>
      <c r="L5555" s="1" t="str">
        <f t="shared" si="650"/>
        <v>ter</v>
      </c>
      <c r="M5555" s="1" t="str">
        <f t="shared" si="651"/>
        <v>jan</v>
      </c>
      <c r="N5555">
        <f t="shared" si="652"/>
        <v>2025</v>
      </c>
      <c r="P5555" t="str">
        <f t="shared" si="643"/>
        <v>178045664</v>
      </c>
    </row>
    <row r="5556" spans="1:16" x14ac:dyDescent="0.3">
      <c r="A5556">
        <v>1780</v>
      </c>
      <c r="B5556">
        <v>18</v>
      </c>
      <c r="C5556" t="s">
        <v>15</v>
      </c>
      <c r="D5556" t="s">
        <v>29</v>
      </c>
      <c r="E5556" t="s">
        <v>17</v>
      </c>
      <c r="F5556" t="s">
        <v>23</v>
      </c>
      <c r="G5556" t="s">
        <v>43</v>
      </c>
      <c r="H5556" t="s">
        <v>25</v>
      </c>
      <c r="I5556" s="1">
        <v>3</v>
      </c>
      <c r="J5556" s="2">
        <v>45665</v>
      </c>
      <c r="L5556" s="1" t="str">
        <f t="shared" si="650"/>
        <v>qua</v>
      </c>
      <c r="M5556" s="1" t="str">
        <f t="shared" si="651"/>
        <v>jan</v>
      </c>
      <c r="N5556">
        <f t="shared" si="652"/>
        <v>2025</v>
      </c>
      <c r="P5556" t="str">
        <f t="shared" si="643"/>
        <v>178045665</v>
      </c>
    </row>
    <row r="5557" spans="1:16" x14ac:dyDescent="0.3">
      <c r="A5557">
        <v>1780</v>
      </c>
      <c r="B5557">
        <v>18</v>
      </c>
      <c r="C5557" t="s">
        <v>15</v>
      </c>
      <c r="D5557" t="s">
        <v>29</v>
      </c>
      <c r="E5557" t="s">
        <v>17</v>
      </c>
      <c r="F5557" t="s">
        <v>23</v>
      </c>
      <c r="G5557" t="s">
        <v>43</v>
      </c>
      <c r="H5557" t="s">
        <v>25</v>
      </c>
      <c r="I5557" s="1">
        <v>3</v>
      </c>
      <c r="J5557" s="2">
        <v>45666</v>
      </c>
      <c r="L5557" s="1" t="str">
        <f t="shared" si="650"/>
        <v>qui</v>
      </c>
      <c r="M5557" s="1" t="str">
        <f t="shared" si="651"/>
        <v>jan</v>
      </c>
      <c r="N5557">
        <f t="shared" si="652"/>
        <v>2025</v>
      </c>
      <c r="P5557" t="str">
        <f t="shared" si="643"/>
        <v>178045666</v>
      </c>
    </row>
    <row r="5558" spans="1:16" x14ac:dyDescent="0.3">
      <c r="A5558">
        <v>1780</v>
      </c>
      <c r="B5558">
        <v>18</v>
      </c>
      <c r="C5558" t="s">
        <v>15</v>
      </c>
      <c r="D5558" t="s">
        <v>29</v>
      </c>
      <c r="E5558" t="s">
        <v>17</v>
      </c>
      <c r="F5558" t="s">
        <v>23</v>
      </c>
      <c r="G5558" t="s">
        <v>43</v>
      </c>
      <c r="H5558" t="s">
        <v>25</v>
      </c>
      <c r="I5558" s="1">
        <v>3</v>
      </c>
      <c r="J5558" s="2">
        <v>45667</v>
      </c>
      <c r="L5558" s="1" t="str">
        <f t="shared" si="650"/>
        <v>sex</v>
      </c>
      <c r="M5558" s="1" t="str">
        <f t="shared" si="651"/>
        <v>jan</v>
      </c>
      <c r="N5558">
        <f t="shared" si="652"/>
        <v>2025</v>
      </c>
      <c r="P5558" t="str">
        <f t="shared" si="643"/>
        <v>178045667</v>
      </c>
    </row>
    <row r="5559" spans="1:16" x14ac:dyDescent="0.3">
      <c r="A5559">
        <v>1780</v>
      </c>
      <c r="B5559">
        <v>18</v>
      </c>
      <c r="C5559" t="s">
        <v>15</v>
      </c>
      <c r="D5559" t="s">
        <v>29</v>
      </c>
      <c r="E5559" t="s">
        <v>17</v>
      </c>
      <c r="F5559" t="s">
        <v>23</v>
      </c>
      <c r="G5559" t="s">
        <v>43</v>
      </c>
      <c r="H5559" t="s">
        <v>25</v>
      </c>
      <c r="I5559" s="1">
        <v>3</v>
      </c>
      <c r="J5559" s="2">
        <v>45668</v>
      </c>
      <c r="L5559" s="1" t="str">
        <f t="shared" si="650"/>
        <v>sáb</v>
      </c>
      <c r="M5559" s="1" t="str">
        <f t="shared" si="651"/>
        <v>jan</v>
      </c>
      <c r="N5559">
        <f t="shared" si="652"/>
        <v>2025</v>
      </c>
      <c r="P5559" t="str">
        <f t="shared" si="643"/>
        <v>178045668</v>
      </c>
    </row>
    <row r="5560" spans="1:16" x14ac:dyDescent="0.3">
      <c r="A5560">
        <v>1780</v>
      </c>
      <c r="B5560">
        <v>18</v>
      </c>
      <c r="C5560" t="s">
        <v>15</v>
      </c>
      <c r="D5560" t="s">
        <v>29</v>
      </c>
      <c r="E5560" t="s">
        <v>17</v>
      </c>
      <c r="F5560" t="s">
        <v>23</v>
      </c>
      <c r="G5560" t="s">
        <v>43</v>
      </c>
      <c r="H5560" t="s">
        <v>25</v>
      </c>
      <c r="I5560" s="1">
        <v>3</v>
      </c>
      <c r="J5560" s="2">
        <v>45669</v>
      </c>
      <c r="L5560" s="1" t="str">
        <f t="shared" si="650"/>
        <v>dom</v>
      </c>
      <c r="M5560" s="1" t="str">
        <f t="shared" si="651"/>
        <v>jan</v>
      </c>
      <c r="N5560">
        <f t="shared" si="652"/>
        <v>2025</v>
      </c>
      <c r="P5560" t="str">
        <f t="shared" si="643"/>
        <v>178045669</v>
      </c>
    </row>
    <row r="5561" spans="1:16" x14ac:dyDescent="0.3">
      <c r="A5561">
        <v>1780</v>
      </c>
      <c r="B5561">
        <v>18</v>
      </c>
      <c r="C5561" t="s">
        <v>15</v>
      </c>
      <c r="D5561" t="s">
        <v>29</v>
      </c>
      <c r="E5561" t="s">
        <v>17</v>
      </c>
      <c r="F5561" t="s">
        <v>23</v>
      </c>
      <c r="G5561" t="s">
        <v>43</v>
      </c>
      <c r="H5561" t="s">
        <v>25</v>
      </c>
      <c r="I5561" s="1">
        <v>3</v>
      </c>
      <c r="J5561" s="2">
        <v>45670</v>
      </c>
      <c r="L5561" s="1" t="str">
        <f t="shared" si="650"/>
        <v>seg</v>
      </c>
      <c r="M5561" s="1" t="str">
        <f t="shared" si="651"/>
        <v>jan</v>
      </c>
      <c r="N5561">
        <f t="shared" si="652"/>
        <v>2025</v>
      </c>
      <c r="P5561" t="str">
        <f t="shared" si="643"/>
        <v>178045670</v>
      </c>
    </row>
    <row r="5562" spans="1:16" x14ac:dyDescent="0.3">
      <c r="A5562">
        <v>1780</v>
      </c>
      <c r="B5562">
        <v>18</v>
      </c>
      <c r="C5562" t="s">
        <v>15</v>
      </c>
      <c r="D5562" t="s">
        <v>29</v>
      </c>
      <c r="E5562" t="s">
        <v>17</v>
      </c>
      <c r="F5562" t="s">
        <v>23</v>
      </c>
      <c r="G5562" t="s">
        <v>43</v>
      </c>
      <c r="H5562" t="s">
        <v>25</v>
      </c>
      <c r="I5562" s="1">
        <v>3</v>
      </c>
      <c r="J5562" s="2">
        <v>45671</v>
      </c>
      <c r="L5562" s="1" t="str">
        <f t="shared" si="650"/>
        <v>ter</v>
      </c>
      <c r="M5562" s="1" t="str">
        <f t="shared" si="651"/>
        <v>jan</v>
      </c>
      <c r="N5562">
        <f t="shared" si="652"/>
        <v>2025</v>
      </c>
      <c r="P5562" t="str">
        <f t="shared" si="643"/>
        <v>178045671</v>
      </c>
    </row>
    <row r="5563" spans="1:16" x14ac:dyDescent="0.3">
      <c r="A5563">
        <v>1780</v>
      </c>
      <c r="B5563">
        <v>18</v>
      </c>
      <c r="C5563" t="s">
        <v>15</v>
      </c>
      <c r="D5563" t="s">
        <v>29</v>
      </c>
      <c r="E5563" t="s">
        <v>17</v>
      </c>
      <c r="F5563" t="s">
        <v>23</v>
      </c>
      <c r="G5563" t="s">
        <v>43</v>
      </c>
      <c r="H5563" t="s">
        <v>25</v>
      </c>
      <c r="I5563" s="1">
        <v>3</v>
      </c>
      <c r="J5563" s="2">
        <v>45672</v>
      </c>
      <c r="L5563" s="1" t="str">
        <f t="shared" si="650"/>
        <v>qua</v>
      </c>
      <c r="M5563" s="1" t="str">
        <f t="shared" si="651"/>
        <v>jan</v>
      </c>
      <c r="N5563">
        <f t="shared" si="652"/>
        <v>2025</v>
      </c>
      <c r="P5563" t="str">
        <f t="shared" si="643"/>
        <v>178045672</v>
      </c>
    </row>
    <row r="5564" spans="1:16" x14ac:dyDescent="0.3">
      <c r="A5564">
        <v>1780</v>
      </c>
      <c r="B5564">
        <v>18</v>
      </c>
      <c r="C5564" t="s">
        <v>15</v>
      </c>
      <c r="D5564" t="s">
        <v>29</v>
      </c>
      <c r="E5564" t="s">
        <v>17</v>
      </c>
      <c r="F5564" t="s">
        <v>23</v>
      </c>
      <c r="G5564" t="s">
        <v>43</v>
      </c>
      <c r="H5564" t="s">
        <v>25</v>
      </c>
      <c r="I5564" s="1">
        <v>3</v>
      </c>
      <c r="J5564" s="2">
        <v>45673</v>
      </c>
      <c r="L5564" s="1" t="str">
        <f t="shared" si="650"/>
        <v>qui</v>
      </c>
      <c r="M5564" s="1" t="str">
        <f t="shared" si="651"/>
        <v>jan</v>
      </c>
      <c r="N5564">
        <f t="shared" si="652"/>
        <v>2025</v>
      </c>
      <c r="P5564" t="str">
        <f t="shared" ref="P5564:P5615" si="653">CONCATENATE(A5564,J5564)</f>
        <v>178045673</v>
      </c>
    </row>
    <row r="5565" spans="1:16" x14ac:dyDescent="0.3">
      <c r="A5565">
        <v>1780</v>
      </c>
      <c r="B5565">
        <v>18</v>
      </c>
      <c r="C5565" t="s">
        <v>15</v>
      </c>
      <c r="D5565" t="s">
        <v>29</v>
      </c>
      <c r="E5565" t="s">
        <v>17</v>
      </c>
      <c r="F5565" t="s">
        <v>23</v>
      </c>
      <c r="G5565" t="s">
        <v>43</v>
      </c>
      <c r="H5565" t="s">
        <v>25</v>
      </c>
      <c r="I5565" s="1">
        <v>3</v>
      </c>
      <c r="J5565" s="2">
        <v>45674</v>
      </c>
      <c r="L5565" s="1" t="str">
        <f t="shared" si="650"/>
        <v>sex</v>
      </c>
      <c r="M5565" s="1" t="str">
        <f t="shared" si="651"/>
        <v>jan</v>
      </c>
      <c r="N5565">
        <f t="shared" si="652"/>
        <v>2025</v>
      </c>
      <c r="P5565" t="str">
        <f t="shared" si="653"/>
        <v>178045674</v>
      </c>
    </row>
    <row r="5566" spans="1:16" x14ac:dyDescent="0.3">
      <c r="A5566">
        <v>1780</v>
      </c>
      <c r="B5566">
        <v>18</v>
      </c>
      <c r="C5566" t="s">
        <v>15</v>
      </c>
      <c r="D5566" t="s">
        <v>29</v>
      </c>
      <c r="E5566" t="s">
        <v>17</v>
      </c>
      <c r="F5566" t="s">
        <v>23</v>
      </c>
      <c r="G5566" t="s">
        <v>43</v>
      </c>
      <c r="H5566" t="s">
        <v>25</v>
      </c>
      <c r="I5566" s="1">
        <v>3</v>
      </c>
      <c r="J5566" s="2">
        <v>45675</v>
      </c>
      <c r="L5566" s="1" t="str">
        <f t="shared" si="650"/>
        <v>sáb</v>
      </c>
      <c r="M5566" s="1" t="str">
        <f t="shared" si="651"/>
        <v>jan</v>
      </c>
      <c r="N5566">
        <f t="shared" si="652"/>
        <v>2025</v>
      </c>
      <c r="P5566" t="str">
        <f t="shared" si="653"/>
        <v>178045675</v>
      </c>
    </row>
    <row r="5567" spans="1:16" x14ac:dyDescent="0.3">
      <c r="A5567">
        <v>1780</v>
      </c>
      <c r="B5567">
        <v>18</v>
      </c>
      <c r="C5567" t="s">
        <v>15</v>
      </c>
      <c r="D5567" t="s">
        <v>29</v>
      </c>
      <c r="E5567" t="s">
        <v>17</v>
      </c>
      <c r="F5567" t="s">
        <v>23</v>
      </c>
      <c r="G5567" t="s">
        <v>43</v>
      </c>
      <c r="H5567" t="s">
        <v>25</v>
      </c>
      <c r="I5567" s="1">
        <v>3</v>
      </c>
      <c r="J5567" s="2">
        <v>45676</v>
      </c>
      <c r="L5567" s="1" t="str">
        <f t="shared" si="650"/>
        <v>dom</v>
      </c>
      <c r="M5567" s="1" t="str">
        <f t="shared" si="651"/>
        <v>jan</v>
      </c>
      <c r="N5567">
        <f t="shared" si="652"/>
        <v>2025</v>
      </c>
      <c r="P5567" t="str">
        <f t="shared" si="653"/>
        <v>178045676</v>
      </c>
    </row>
    <row r="5568" spans="1:16" x14ac:dyDescent="0.3">
      <c r="A5568">
        <v>1780</v>
      </c>
      <c r="B5568">
        <v>18</v>
      </c>
      <c r="C5568" t="s">
        <v>15</v>
      </c>
      <c r="D5568" t="s">
        <v>29</v>
      </c>
      <c r="E5568" t="s">
        <v>17</v>
      </c>
      <c r="F5568" t="s">
        <v>23</v>
      </c>
      <c r="G5568" t="s">
        <v>43</v>
      </c>
      <c r="H5568" t="s">
        <v>25</v>
      </c>
      <c r="I5568" s="1">
        <v>3</v>
      </c>
      <c r="J5568" s="2">
        <v>45677</v>
      </c>
      <c r="L5568" s="1" t="str">
        <f t="shared" si="650"/>
        <v>seg</v>
      </c>
      <c r="M5568" s="1" t="str">
        <f t="shared" si="651"/>
        <v>jan</v>
      </c>
      <c r="N5568">
        <f t="shared" si="652"/>
        <v>2025</v>
      </c>
      <c r="P5568" t="str">
        <f t="shared" si="653"/>
        <v>178045677</v>
      </c>
    </row>
    <row r="5569" spans="1:16" x14ac:dyDescent="0.3">
      <c r="A5569">
        <v>1780</v>
      </c>
      <c r="B5569">
        <v>18</v>
      </c>
      <c r="C5569" t="s">
        <v>15</v>
      </c>
      <c r="D5569" t="s">
        <v>29</v>
      </c>
      <c r="E5569" t="s">
        <v>17</v>
      </c>
      <c r="F5569" t="s">
        <v>23</v>
      </c>
      <c r="G5569" t="s">
        <v>43</v>
      </c>
      <c r="H5569" t="s">
        <v>25</v>
      </c>
      <c r="I5569" s="1">
        <v>3</v>
      </c>
      <c r="J5569" s="2">
        <v>45678</v>
      </c>
      <c r="L5569" s="1" t="str">
        <f t="shared" si="650"/>
        <v>ter</v>
      </c>
      <c r="M5569" s="1" t="str">
        <f t="shared" si="651"/>
        <v>jan</v>
      </c>
      <c r="N5569">
        <f t="shared" si="652"/>
        <v>2025</v>
      </c>
      <c r="P5569" t="str">
        <f t="shared" si="653"/>
        <v>178045678</v>
      </c>
    </row>
    <row r="5570" spans="1:16" x14ac:dyDescent="0.3">
      <c r="A5570">
        <v>1780</v>
      </c>
      <c r="B5570">
        <v>18</v>
      </c>
      <c r="C5570" t="s">
        <v>15</v>
      </c>
      <c r="D5570" t="s">
        <v>29</v>
      </c>
      <c r="E5570" t="s">
        <v>17</v>
      </c>
      <c r="F5570" t="s">
        <v>23</v>
      </c>
      <c r="G5570" t="s">
        <v>43</v>
      </c>
      <c r="H5570" t="s">
        <v>25</v>
      </c>
      <c r="I5570" s="1">
        <v>3</v>
      </c>
      <c r="J5570" s="2">
        <v>45679</v>
      </c>
      <c r="L5570" s="1" t="str">
        <f t="shared" si="650"/>
        <v>qua</v>
      </c>
      <c r="M5570" s="1" t="str">
        <f t="shared" si="651"/>
        <v>jan</v>
      </c>
      <c r="N5570">
        <f t="shared" si="652"/>
        <v>2025</v>
      </c>
      <c r="P5570" t="str">
        <f t="shared" si="653"/>
        <v>178045679</v>
      </c>
    </row>
    <row r="5571" spans="1:16" x14ac:dyDescent="0.3">
      <c r="A5571">
        <v>1780</v>
      </c>
      <c r="B5571">
        <v>18</v>
      </c>
      <c r="C5571" t="s">
        <v>15</v>
      </c>
      <c r="D5571" t="s">
        <v>29</v>
      </c>
      <c r="E5571" t="s">
        <v>17</v>
      </c>
      <c r="F5571" t="s">
        <v>23</v>
      </c>
      <c r="G5571" t="s">
        <v>43</v>
      </c>
      <c r="H5571" t="s">
        <v>25</v>
      </c>
      <c r="I5571" s="1">
        <v>3</v>
      </c>
      <c r="J5571" s="2">
        <v>45680</v>
      </c>
      <c r="L5571" s="1" t="str">
        <f t="shared" si="650"/>
        <v>qui</v>
      </c>
      <c r="M5571" s="1" t="str">
        <f t="shared" si="651"/>
        <v>jan</v>
      </c>
      <c r="N5571">
        <f t="shared" si="652"/>
        <v>2025</v>
      </c>
      <c r="P5571" t="str">
        <f t="shared" si="653"/>
        <v>178045680</v>
      </c>
    </row>
    <row r="5572" spans="1:16" x14ac:dyDescent="0.3">
      <c r="A5572">
        <v>1780</v>
      </c>
      <c r="B5572">
        <v>18</v>
      </c>
      <c r="C5572" t="s">
        <v>15</v>
      </c>
      <c r="D5572" t="s">
        <v>29</v>
      </c>
      <c r="E5572" t="s">
        <v>17</v>
      </c>
      <c r="F5572" t="s">
        <v>23</v>
      </c>
      <c r="G5572" t="s">
        <v>43</v>
      </c>
      <c r="H5572" t="s">
        <v>25</v>
      </c>
      <c r="I5572" s="1">
        <v>3</v>
      </c>
      <c r="J5572" s="2">
        <v>45681</v>
      </c>
      <c r="L5572" s="1" t="str">
        <f t="shared" si="650"/>
        <v>sex</v>
      </c>
      <c r="M5572" s="1" t="str">
        <f t="shared" si="651"/>
        <v>jan</v>
      </c>
      <c r="N5572">
        <f t="shared" si="652"/>
        <v>2025</v>
      </c>
      <c r="P5572" t="str">
        <f t="shared" si="653"/>
        <v>178045681</v>
      </c>
    </row>
    <row r="5573" spans="1:16" x14ac:dyDescent="0.3">
      <c r="A5573">
        <v>1780</v>
      </c>
      <c r="B5573">
        <v>18</v>
      </c>
      <c r="C5573" t="s">
        <v>15</v>
      </c>
      <c r="D5573" t="s">
        <v>29</v>
      </c>
      <c r="E5573" t="s">
        <v>17</v>
      </c>
      <c r="F5573" t="s">
        <v>23</v>
      </c>
      <c r="G5573" t="s">
        <v>43</v>
      </c>
      <c r="H5573" t="s">
        <v>25</v>
      </c>
      <c r="I5573" s="1">
        <v>3</v>
      </c>
      <c r="J5573" s="2">
        <v>45682</v>
      </c>
      <c r="L5573" s="1" t="str">
        <f t="shared" si="650"/>
        <v>sáb</v>
      </c>
      <c r="M5573" s="1" t="str">
        <f t="shared" si="651"/>
        <v>jan</v>
      </c>
      <c r="N5573">
        <f t="shared" si="652"/>
        <v>2025</v>
      </c>
      <c r="P5573" t="str">
        <f t="shared" si="653"/>
        <v>178045682</v>
      </c>
    </row>
    <row r="5574" spans="1:16" x14ac:dyDescent="0.3">
      <c r="A5574">
        <v>1780</v>
      </c>
      <c r="B5574">
        <v>18</v>
      </c>
      <c r="C5574" t="s">
        <v>15</v>
      </c>
      <c r="D5574" t="s">
        <v>29</v>
      </c>
      <c r="E5574" t="s">
        <v>17</v>
      </c>
      <c r="F5574" t="s">
        <v>23</v>
      </c>
      <c r="G5574" t="s">
        <v>43</v>
      </c>
      <c r="H5574" t="s">
        <v>25</v>
      </c>
      <c r="I5574" s="1">
        <v>3</v>
      </c>
      <c r="J5574" s="2">
        <v>45683</v>
      </c>
      <c r="L5574" s="1" t="str">
        <f t="shared" si="650"/>
        <v>dom</v>
      </c>
      <c r="M5574" s="1" t="str">
        <f t="shared" si="651"/>
        <v>jan</v>
      </c>
      <c r="N5574">
        <f t="shared" si="652"/>
        <v>2025</v>
      </c>
      <c r="P5574" t="str">
        <f t="shared" si="653"/>
        <v>178045683</v>
      </c>
    </row>
    <row r="5575" spans="1:16" x14ac:dyDescent="0.3">
      <c r="A5575">
        <v>1780</v>
      </c>
      <c r="B5575">
        <v>18</v>
      </c>
      <c r="C5575" t="s">
        <v>15</v>
      </c>
      <c r="D5575" t="s">
        <v>29</v>
      </c>
      <c r="E5575" t="s">
        <v>17</v>
      </c>
      <c r="F5575" t="s">
        <v>23</v>
      </c>
      <c r="G5575" t="s">
        <v>43</v>
      </c>
      <c r="H5575" t="s">
        <v>25</v>
      </c>
      <c r="I5575" s="1">
        <v>3</v>
      </c>
      <c r="J5575" s="2">
        <v>45684</v>
      </c>
      <c r="L5575" s="1" t="str">
        <f t="shared" si="650"/>
        <v>seg</v>
      </c>
      <c r="M5575" s="1" t="str">
        <f t="shared" si="651"/>
        <v>jan</v>
      </c>
      <c r="N5575">
        <f t="shared" si="652"/>
        <v>2025</v>
      </c>
      <c r="P5575" t="str">
        <f t="shared" si="653"/>
        <v>178045684</v>
      </c>
    </row>
    <row r="5576" spans="1:16" x14ac:dyDescent="0.3">
      <c r="A5576">
        <v>1780</v>
      </c>
      <c r="B5576">
        <v>18</v>
      </c>
      <c r="C5576" t="s">
        <v>15</v>
      </c>
      <c r="D5576" t="s">
        <v>29</v>
      </c>
      <c r="E5576" t="s">
        <v>17</v>
      </c>
      <c r="F5576" t="s">
        <v>23</v>
      </c>
      <c r="G5576" t="s">
        <v>43</v>
      </c>
      <c r="H5576" t="s">
        <v>25</v>
      </c>
      <c r="I5576" s="1">
        <v>3</v>
      </c>
      <c r="J5576" s="2">
        <v>45685</v>
      </c>
      <c r="L5576" s="1" t="str">
        <f t="shared" si="650"/>
        <v>ter</v>
      </c>
      <c r="M5576" s="1" t="str">
        <f t="shared" si="651"/>
        <v>jan</v>
      </c>
      <c r="N5576">
        <f t="shared" si="652"/>
        <v>2025</v>
      </c>
      <c r="P5576" t="str">
        <f t="shared" si="653"/>
        <v>178045685</v>
      </c>
    </row>
    <row r="5577" spans="1:16" x14ac:dyDescent="0.3">
      <c r="A5577">
        <v>1780</v>
      </c>
      <c r="B5577">
        <v>18</v>
      </c>
      <c r="C5577" t="s">
        <v>15</v>
      </c>
      <c r="D5577" t="s">
        <v>29</v>
      </c>
      <c r="E5577" t="s">
        <v>17</v>
      </c>
      <c r="F5577" t="s">
        <v>23</v>
      </c>
      <c r="G5577" t="s">
        <v>43</v>
      </c>
      <c r="H5577" t="s">
        <v>25</v>
      </c>
      <c r="I5577" s="1">
        <v>3</v>
      </c>
      <c r="J5577" s="2">
        <v>45686</v>
      </c>
      <c r="L5577" s="1" t="str">
        <f t="shared" si="650"/>
        <v>qua</v>
      </c>
      <c r="M5577" s="1" t="str">
        <f t="shared" si="651"/>
        <v>jan</v>
      </c>
      <c r="N5577">
        <f t="shared" si="652"/>
        <v>2025</v>
      </c>
      <c r="P5577" t="str">
        <f t="shared" si="653"/>
        <v>178045686</v>
      </c>
    </row>
    <row r="5578" spans="1:16" x14ac:dyDescent="0.3">
      <c r="A5578">
        <v>1780</v>
      </c>
      <c r="B5578">
        <v>18</v>
      </c>
      <c r="C5578" t="s">
        <v>15</v>
      </c>
      <c r="D5578" t="s">
        <v>29</v>
      </c>
      <c r="E5578" t="s">
        <v>17</v>
      </c>
      <c r="F5578" t="s">
        <v>23</v>
      </c>
      <c r="G5578" t="s">
        <v>43</v>
      </c>
      <c r="H5578" t="s">
        <v>25</v>
      </c>
      <c r="I5578" s="1">
        <v>3</v>
      </c>
      <c r="J5578" s="2">
        <v>45687</v>
      </c>
      <c r="L5578" s="1" t="str">
        <f t="shared" si="650"/>
        <v>qui</v>
      </c>
      <c r="M5578" s="1" t="str">
        <f t="shared" si="651"/>
        <v>jan</v>
      </c>
      <c r="N5578">
        <f t="shared" si="652"/>
        <v>2025</v>
      </c>
      <c r="P5578" t="str">
        <f t="shared" si="653"/>
        <v>178045687</v>
      </c>
    </row>
    <row r="5579" spans="1:16" x14ac:dyDescent="0.3">
      <c r="A5579">
        <v>1780</v>
      </c>
      <c r="B5579">
        <v>18</v>
      </c>
      <c r="C5579" t="s">
        <v>15</v>
      </c>
      <c r="D5579" t="s">
        <v>29</v>
      </c>
      <c r="E5579" t="s">
        <v>17</v>
      </c>
      <c r="F5579" t="s">
        <v>23</v>
      </c>
      <c r="G5579" t="s">
        <v>43</v>
      </c>
      <c r="H5579" t="s">
        <v>25</v>
      </c>
      <c r="I5579" s="1">
        <v>3</v>
      </c>
      <c r="J5579" s="2">
        <v>45688</v>
      </c>
      <c r="L5579" s="1" t="str">
        <f t="shared" si="650"/>
        <v>sex</v>
      </c>
      <c r="M5579" s="1" t="str">
        <f t="shared" si="651"/>
        <v>jan</v>
      </c>
      <c r="N5579">
        <f t="shared" si="652"/>
        <v>2025</v>
      </c>
      <c r="P5579" t="str">
        <f t="shared" si="653"/>
        <v>178045688</v>
      </c>
    </row>
    <row r="5580" spans="1:16" x14ac:dyDescent="0.3">
      <c r="A5580">
        <v>1780</v>
      </c>
      <c r="B5580">
        <v>18</v>
      </c>
      <c r="C5580" t="s">
        <v>15</v>
      </c>
      <c r="D5580" t="s">
        <v>29</v>
      </c>
      <c r="E5580" t="s">
        <v>17</v>
      </c>
      <c r="F5580" t="s">
        <v>23</v>
      </c>
      <c r="G5580" t="s">
        <v>43</v>
      </c>
      <c r="H5580" t="s">
        <v>25</v>
      </c>
      <c r="I5580" s="1">
        <v>3</v>
      </c>
      <c r="J5580" s="2">
        <v>45689</v>
      </c>
      <c r="L5580" s="1" t="str">
        <f t="shared" si="650"/>
        <v>sáb</v>
      </c>
      <c r="M5580" s="1" t="str">
        <f t="shared" si="651"/>
        <v>fev</v>
      </c>
      <c r="N5580">
        <f t="shared" si="652"/>
        <v>2025</v>
      </c>
      <c r="P5580" t="str">
        <f t="shared" si="653"/>
        <v>178045689</v>
      </c>
    </row>
    <row r="5581" spans="1:16" x14ac:dyDescent="0.3">
      <c r="A5581">
        <v>1780</v>
      </c>
      <c r="B5581">
        <v>18</v>
      </c>
      <c r="C5581" t="s">
        <v>15</v>
      </c>
      <c r="D5581" t="s">
        <v>29</v>
      </c>
      <c r="E5581" t="s">
        <v>17</v>
      </c>
      <c r="F5581" t="s">
        <v>23</v>
      </c>
      <c r="G5581" t="s">
        <v>43</v>
      </c>
      <c r="H5581" t="s">
        <v>25</v>
      </c>
      <c r="I5581" s="1">
        <v>3</v>
      </c>
      <c r="J5581" s="2">
        <v>45690</v>
      </c>
      <c r="L5581" s="1" t="str">
        <f t="shared" si="650"/>
        <v>dom</v>
      </c>
      <c r="M5581" s="1" t="str">
        <f t="shared" si="651"/>
        <v>fev</v>
      </c>
      <c r="N5581">
        <f t="shared" si="652"/>
        <v>2025</v>
      </c>
      <c r="P5581" t="str">
        <f t="shared" si="653"/>
        <v>178045690</v>
      </c>
    </row>
    <row r="5582" spans="1:16" x14ac:dyDescent="0.3">
      <c r="A5582">
        <v>1780</v>
      </c>
      <c r="B5582">
        <v>18</v>
      </c>
      <c r="C5582" t="s">
        <v>15</v>
      </c>
      <c r="D5582" t="s">
        <v>29</v>
      </c>
      <c r="E5582" t="s">
        <v>17</v>
      </c>
      <c r="F5582" t="s">
        <v>23</v>
      </c>
      <c r="G5582" t="s">
        <v>43</v>
      </c>
      <c r="H5582" t="s">
        <v>25</v>
      </c>
      <c r="I5582" s="1">
        <v>3</v>
      </c>
      <c r="J5582" s="2">
        <v>45691</v>
      </c>
      <c r="L5582" s="1" t="str">
        <f t="shared" si="650"/>
        <v>seg</v>
      </c>
      <c r="M5582" s="1" t="str">
        <f t="shared" si="651"/>
        <v>fev</v>
      </c>
      <c r="N5582">
        <f t="shared" si="652"/>
        <v>2025</v>
      </c>
      <c r="P5582" t="str">
        <f t="shared" si="653"/>
        <v>178045691</v>
      </c>
    </row>
    <row r="5583" spans="1:16" x14ac:dyDescent="0.3">
      <c r="A5583">
        <v>1780</v>
      </c>
      <c r="B5583">
        <v>18</v>
      </c>
      <c r="C5583" t="s">
        <v>15</v>
      </c>
      <c r="D5583" t="s">
        <v>29</v>
      </c>
      <c r="E5583" t="s">
        <v>17</v>
      </c>
      <c r="F5583" t="s">
        <v>23</v>
      </c>
      <c r="G5583" t="s">
        <v>43</v>
      </c>
      <c r="H5583" t="s">
        <v>25</v>
      </c>
      <c r="I5583" s="1">
        <v>3</v>
      </c>
      <c r="J5583" s="2">
        <v>45692</v>
      </c>
      <c r="L5583" s="1" t="str">
        <f t="shared" si="650"/>
        <v>ter</v>
      </c>
      <c r="M5583" s="1" t="str">
        <f t="shared" si="651"/>
        <v>fev</v>
      </c>
      <c r="N5583">
        <f t="shared" si="652"/>
        <v>2025</v>
      </c>
      <c r="P5583" t="str">
        <f t="shared" si="653"/>
        <v>178045692</v>
      </c>
    </row>
    <row r="5584" spans="1:16" x14ac:dyDescent="0.3">
      <c r="A5584">
        <v>1780</v>
      </c>
      <c r="B5584">
        <v>18</v>
      </c>
      <c r="C5584" t="s">
        <v>15</v>
      </c>
      <c r="D5584" t="s">
        <v>29</v>
      </c>
      <c r="E5584" t="s">
        <v>17</v>
      </c>
      <c r="F5584" t="s">
        <v>23</v>
      </c>
      <c r="G5584" t="s">
        <v>43</v>
      </c>
      <c r="H5584" t="s">
        <v>25</v>
      </c>
      <c r="I5584" s="1">
        <v>3</v>
      </c>
      <c r="J5584" s="2">
        <v>45693</v>
      </c>
      <c r="L5584" s="1" t="str">
        <f t="shared" si="650"/>
        <v>qua</v>
      </c>
      <c r="M5584" s="1" t="str">
        <f t="shared" si="651"/>
        <v>fev</v>
      </c>
      <c r="N5584">
        <f t="shared" si="652"/>
        <v>2025</v>
      </c>
      <c r="P5584" t="str">
        <f t="shared" si="653"/>
        <v>178045693</v>
      </c>
    </row>
    <row r="5585" spans="1:16" x14ac:dyDescent="0.3">
      <c r="A5585">
        <v>1780</v>
      </c>
      <c r="B5585">
        <v>18</v>
      </c>
      <c r="C5585" t="s">
        <v>15</v>
      </c>
      <c r="D5585" t="s">
        <v>29</v>
      </c>
      <c r="E5585" t="s">
        <v>17</v>
      </c>
      <c r="F5585" t="s">
        <v>23</v>
      </c>
      <c r="G5585" t="s">
        <v>43</v>
      </c>
      <c r="H5585" t="s">
        <v>25</v>
      </c>
      <c r="I5585" s="1">
        <v>3</v>
      </c>
      <c r="J5585" s="2">
        <v>45694</v>
      </c>
      <c r="L5585" s="1" t="str">
        <f t="shared" si="650"/>
        <v>qui</v>
      </c>
      <c r="M5585" s="1" t="str">
        <f t="shared" si="651"/>
        <v>fev</v>
      </c>
      <c r="N5585">
        <f t="shared" si="652"/>
        <v>2025</v>
      </c>
      <c r="P5585" t="str">
        <f t="shared" si="653"/>
        <v>178045694</v>
      </c>
    </row>
    <row r="5586" spans="1:16" x14ac:dyDescent="0.3">
      <c r="A5586">
        <v>1780</v>
      </c>
      <c r="B5586">
        <v>18</v>
      </c>
      <c r="C5586" t="s">
        <v>15</v>
      </c>
      <c r="D5586" t="s">
        <v>29</v>
      </c>
      <c r="E5586" t="s">
        <v>17</v>
      </c>
      <c r="F5586" t="s">
        <v>23</v>
      </c>
      <c r="G5586" t="s">
        <v>43</v>
      </c>
      <c r="H5586" t="s">
        <v>25</v>
      </c>
      <c r="I5586" s="1">
        <v>3</v>
      </c>
      <c r="J5586" s="2">
        <v>45695</v>
      </c>
      <c r="L5586" s="1" t="str">
        <f t="shared" si="650"/>
        <v>sex</v>
      </c>
      <c r="M5586" s="1" t="str">
        <f t="shared" si="651"/>
        <v>fev</v>
      </c>
      <c r="N5586">
        <f t="shared" si="652"/>
        <v>2025</v>
      </c>
      <c r="P5586" t="str">
        <f t="shared" si="653"/>
        <v>178045695</v>
      </c>
    </row>
    <row r="5587" spans="1:16" x14ac:dyDescent="0.3">
      <c r="A5587">
        <v>1780</v>
      </c>
      <c r="B5587">
        <v>18</v>
      </c>
      <c r="C5587" t="s">
        <v>15</v>
      </c>
      <c r="D5587" t="s">
        <v>29</v>
      </c>
      <c r="E5587" t="s">
        <v>17</v>
      </c>
      <c r="F5587" t="s">
        <v>23</v>
      </c>
      <c r="G5587" t="s">
        <v>43</v>
      </c>
      <c r="H5587" t="s">
        <v>25</v>
      </c>
      <c r="I5587" s="1">
        <v>3</v>
      </c>
      <c r="J5587" s="2">
        <v>45696</v>
      </c>
      <c r="L5587" s="1" t="str">
        <f t="shared" si="650"/>
        <v>sáb</v>
      </c>
      <c r="M5587" s="1" t="str">
        <f t="shared" si="651"/>
        <v>fev</v>
      </c>
      <c r="N5587">
        <f t="shared" si="652"/>
        <v>2025</v>
      </c>
      <c r="P5587" t="str">
        <f t="shared" si="653"/>
        <v>178045696</v>
      </c>
    </row>
    <row r="5588" spans="1:16" x14ac:dyDescent="0.3">
      <c r="A5588">
        <v>1780</v>
      </c>
      <c r="B5588">
        <v>18</v>
      </c>
      <c r="C5588" t="s">
        <v>15</v>
      </c>
      <c r="D5588" t="s">
        <v>29</v>
      </c>
      <c r="E5588" t="s">
        <v>17</v>
      </c>
      <c r="F5588" t="s">
        <v>23</v>
      </c>
      <c r="G5588" t="s">
        <v>43</v>
      </c>
      <c r="H5588" t="s">
        <v>25</v>
      </c>
      <c r="I5588" s="1">
        <v>3</v>
      </c>
      <c r="J5588" s="2">
        <v>45697</v>
      </c>
      <c r="L5588" s="1" t="str">
        <f t="shared" si="650"/>
        <v>dom</v>
      </c>
      <c r="M5588" s="1" t="str">
        <f t="shared" si="651"/>
        <v>fev</v>
      </c>
      <c r="N5588">
        <f t="shared" si="652"/>
        <v>2025</v>
      </c>
      <c r="P5588" t="str">
        <f t="shared" si="653"/>
        <v>178045697</v>
      </c>
    </row>
    <row r="5589" spans="1:16" x14ac:dyDescent="0.3">
      <c r="A5589">
        <v>1780</v>
      </c>
      <c r="B5589">
        <v>18</v>
      </c>
      <c r="C5589" t="s">
        <v>15</v>
      </c>
      <c r="D5589" t="s">
        <v>29</v>
      </c>
      <c r="E5589" t="s">
        <v>17</v>
      </c>
      <c r="F5589" t="s">
        <v>23</v>
      </c>
      <c r="G5589" t="s">
        <v>43</v>
      </c>
      <c r="H5589" t="s">
        <v>25</v>
      </c>
      <c r="I5589" s="1">
        <v>3</v>
      </c>
      <c r="J5589" s="2">
        <v>45698</v>
      </c>
      <c r="L5589" s="1" t="str">
        <f t="shared" si="650"/>
        <v>seg</v>
      </c>
      <c r="M5589" s="1" t="str">
        <f t="shared" si="651"/>
        <v>fev</v>
      </c>
      <c r="N5589">
        <f t="shared" si="652"/>
        <v>2025</v>
      </c>
      <c r="P5589" t="str">
        <f t="shared" si="653"/>
        <v>178045698</v>
      </c>
    </row>
    <row r="5590" spans="1:16" x14ac:dyDescent="0.3">
      <c r="A5590">
        <v>1780</v>
      </c>
      <c r="B5590">
        <v>18</v>
      </c>
      <c r="C5590" t="s">
        <v>15</v>
      </c>
      <c r="D5590" t="s">
        <v>29</v>
      </c>
      <c r="E5590" t="s">
        <v>17</v>
      </c>
      <c r="F5590" t="s">
        <v>23</v>
      </c>
      <c r="G5590" t="s">
        <v>43</v>
      </c>
      <c r="H5590" t="s">
        <v>25</v>
      </c>
      <c r="I5590" s="1">
        <v>3</v>
      </c>
      <c r="J5590" s="2">
        <v>45699</v>
      </c>
      <c r="L5590" s="1" t="str">
        <f t="shared" si="650"/>
        <v>ter</v>
      </c>
      <c r="M5590" s="1" t="str">
        <f t="shared" si="651"/>
        <v>fev</v>
      </c>
      <c r="N5590">
        <f t="shared" si="652"/>
        <v>2025</v>
      </c>
      <c r="P5590" t="str">
        <f t="shared" si="653"/>
        <v>178045699</v>
      </c>
    </row>
    <row r="5591" spans="1:16" x14ac:dyDescent="0.3">
      <c r="A5591">
        <v>1780</v>
      </c>
      <c r="B5591">
        <v>18</v>
      </c>
      <c r="C5591" t="s">
        <v>15</v>
      </c>
      <c r="D5591" t="s">
        <v>29</v>
      </c>
      <c r="E5591" t="s">
        <v>17</v>
      </c>
      <c r="F5591" t="s">
        <v>23</v>
      </c>
      <c r="G5591" t="s">
        <v>43</v>
      </c>
      <c r="H5591" t="s">
        <v>25</v>
      </c>
      <c r="I5591" s="1">
        <v>3</v>
      </c>
      <c r="J5591" s="2">
        <v>45700</v>
      </c>
      <c r="L5591" s="1" t="str">
        <f t="shared" si="650"/>
        <v>qua</v>
      </c>
      <c r="M5591" s="1" t="str">
        <f t="shared" si="651"/>
        <v>fev</v>
      </c>
      <c r="N5591">
        <f t="shared" si="652"/>
        <v>2025</v>
      </c>
      <c r="P5591" t="str">
        <f t="shared" si="653"/>
        <v>178045700</v>
      </c>
    </row>
    <row r="5592" spans="1:16" x14ac:dyDescent="0.3">
      <c r="A5592">
        <v>1780</v>
      </c>
      <c r="B5592">
        <v>18</v>
      </c>
      <c r="C5592" t="s">
        <v>15</v>
      </c>
      <c r="D5592" t="s">
        <v>29</v>
      </c>
      <c r="E5592" t="s">
        <v>17</v>
      </c>
      <c r="F5592" t="s">
        <v>23</v>
      </c>
      <c r="G5592" t="s">
        <v>43</v>
      </c>
      <c r="H5592" t="s">
        <v>25</v>
      </c>
      <c r="I5592" s="1">
        <v>3</v>
      </c>
      <c r="J5592" s="2">
        <v>45701</v>
      </c>
      <c r="L5592" s="1" t="str">
        <f t="shared" si="650"/>
        <v>qui</v>
      </c>
      <c r="M5592" s="1" t="str">
        <f t="shared" si="651"/>
        <v>fev</v>
      </c>
      <c r="N5592">
        <f t="shared" si="652"/>
        <v>2025</v>
      </c>
      <c r="P5592" t="str">
        <f t="shared" si="653"/>
        <v>178045701</v>
      </c>
    </row>
    <row r="5593" spans="1:16" x14ac:dyDescent="0.3">
      <c r="A5593">
        <v>1780</v>
      </c>
      <c r="B5593">
        <v>18</v>
      </c>
      <c r="C5593" t="s">
        <v>15</v>
      </c>
      <c r="D5593" t="s">
        <v>29</v>
      </c>
      <c r="E5593" t="s">
        <v>17</v>
      </c>
      <c r="F5593" t="s">
        <v>23</v>
      </c>
      <c r="G5593" t="s">
        <v>43</v>
      </c>
      <c r="H5593" t="s">
        <v>25</v>
      </c>
      <c r="I5593" s="1">
        <v>3</v>
      </c>
      <c r="J5593" s="2">
        <v>45702</v>
      </c>
      <c r="L5593" s="1" t="str">
        <f t="shared" si="650"/>
        <v>sex</v>
      </c>
      <c r="M5593" s="1" t="str">
        <f t="shared" si="651"/>
        <v>fev</v>
      </c>
      <c r="N5593">
        <f t="shared" si="652"/>
        <v>2025</v>
      </c>
      <c r="P5593" t="str">
        <f t="shared" si="653"/>
        <v>178045702</v>
      </c>
    </row>
    <row r="5594" spans="1:16" x14ac:dyDescent="0.3">
      <c r="A5594">
        <v>1780</v>
      </c>
      <c r="B5594">
        <v>18</v>
      </c>
      <c r="C5594" t="s">
        <v>15</v>
      </c>
      <c r="D5594" t="s">
        <v>29</v>
      </c>
      <c r="E5594" t="s">
        <v>17</v>
      </c>
      <c r="F5594" t="s">
        <v>23</v>
      </c>
      <c r="G5594" t="s">
        <v>43</v>
      </c>
      <c r="H5594" t="s">
        <v>25</v>
      </c>
      <c r="I5594" s="1">
        <v>3</v>
      </c>
      <c r="J5594" s="2">
        <v>45703</v>
      </c>
      <c r="L5594" s="1" t="str">
        <f t="shared" si="650"/>
        <v>sáb</v>
      </c>
      <c r="M5594" s="1" t="str">
        <f t="shared" si="651"/>
        <v>fev</v>
      </c>
      <c r="N5594">
        <f t="shared" si="652"/>
        <v>2025</v>
      </c>
      <c r="P5594" t="str">
        <f t="shared" si="653"/>
        <v>178045703</v>
      </c>
    </row>
    <row r="5595" spans="1:16" x14ac:dyDescent="0.3">
      <c r="A5595">
        <v>1780</v>
      </c>
      <c r="B5595">
        <v>18</v>
      </c>
      <c r="C5595" t="s">
        <v>15</v>
      </c>
      <c r="D5595" t="s">
        <v>29</v>
      </c>
      <c r="E5595" t="s">
        <v>17</v>
      </c>
      <c r="F5595" t="s">
        <v>23</v>
      </c>
      <c r="G5595" t="s">
        <v>43</v>
      </c>
      <c r="H5595" t="s">
        <v>25</v>
      </c>
      <c r="I5595" s="1">
        <v>3</v>
      </c>
      <c r="J5595" s="2">
        <v>45704</v>
      </c>
      <c r="L5595" s="1" t="str">
        <f t="shared" si="650"/>
        <v>dom</v>
      </c>
      <c r="M5595" s="1" t="str">
        <f t="shared" si="651"/>
        <v>fev</v>
      </c>
      <c r="N5595">
        <f t="shared" si="652"/>
        <v>2025</v>
      </c>
      <c r="P5595" t="str">
        <f t="shared" si="653"/>
        <v>178045704</v>
      </c>
    </row>
    <row r="5596" spans="1:16" x14ac:dyDescent="0.3">
      <c r="A5596">
        <v>1780</v>
      </c>
      <c r="B5596">
        <v>18</v>
      </c>
      <c r="C5596" t="s">
        <v>15</v>
      </c>
      <c r="D5596" t="s">
        <v>29</v>
      </c>
      <c r="E5596" t="s">
        <v>17</v>
      </c>
      <c r="F5596" t="s">
        <v>23</v>
      </c>
      <c r="G5596" t="s">
        <v>43</v>
      </c>
      <c r="H5596" t="s">
        <v>25</v>
      </c>
      <c r="I5596" s="1">
        <v>3</v>
      </c>
      <c r="J5596" s="2">
        <v>45705</v>
      </c>
      <c r="L5596" s="1" t="str">
        <f t="shared" si="650"/>
        <v>seg</v>
      </c>
      <c r="M5596" s="1" t="str">
        <f t="shared" si="651"/>
        <v>fev</v>
      </c>
      <c r="N5596">
        <f t="shared" si="652"/>
        <v>2025</v>
      </c>
      <c r="P5596" t="str">
        <f t="shared" si="653"/>
        <v>178045705</v>
      </c>
    </row>
    <row r="5597" spans="1:16" x14ac:dyDescent="0.3">
      <c r="A5597">
        <v>1780</v>
      </c>
      <c r="B5597">
        <v>18</v>
      </c>
      <c r="C5597" t="s">
        <v>15</v>
      </c>
      <c r="D5597" t="s">
        <v>29</v>
      </c>
      <c r="E5597" t="s">
        <v>17</v>
      </c>
      <c r="F5597" t="s">
        <v>23</v>
      </c>
      <c r="G5597" t="s">
        <v>43</v>
      </c>
      <c r="H5597" t="s">
        <v>25</v>
      </c>
      <c r="I5597" s="1">
        <v>3</v>
      </c>
      <c r="J5597" s="2">
        <v>45706</v>
      </c>
      <c r="L5597" s="1" t="str">
        <f t="shared" si="650"/>
        <v>ter</v>
      </c>
      <c r="M5597" s="1" t="str">
        <f t="shared" si="651"/>
        <v>fev</v>
      </c>
      <c r="N5597">
        <f t="shared" si="652"/>
        <v>2025</v>
      </c>
      <c r="P5597" t="str">
        <f t="shared" si="653"/>
        <v>178045706</v>
      </c>
    </row>
    <row r="5598" spans="1:16" x14ac:dyDescent="0.3">
      <c r="A5598">
        <v>1780</v>
      </c>
      <c r="B5598">
        <v>18</v>
      </c>
      <c r="C5598" t="s">
        <v>15</v>
      </c>
      <c r="D5598" t="s">
        <v>29</v>
      </c>
      <c r="E5598" t="s">
        <v>17</v>
      </c>
      <c r="F5598" t="s">
        <v>23</v>
      </c>
      <c r="G5598" t="s">
        <v>43</v>
      </c>
      <c r="H5598" t="s">
        <v>25</v>
      </c>
      <c r="I5598" s="1">
        <v>3</v>
      </c>
      <c r="J5598" s="2">
        <v>45707</v>
      </c>
      <c r="L5598" s="1" t="str">
        <f t="shared" si="650"/>
        <v>qua</v>
      </c>
      <c r="M5598" s="1" t="str">
        <f t="shared" si="651"/>
        <v>fev</v>
      </c>
      <c r="N5598">
        <f t="shared" si="652"/>
        <v>2025</v>
      </c>
      <c r="P5598" t="str">
        <f t="shared" si="653"/>
        <v>178045707</v>
      </c>
    </row>
    <row r="5599" spans="1:16" x14ac:dyDescent="0.3">
      <c r="A5599">
        <v>1780</v>
      </c>
      <c r="B5599">
        <v>18</v>
      </c>
      <c r="C5599" t="s">
        <v>15</v>
      </c>
      <c r="D5599" t="s">
        <v>29</v>
      </c>
      <c r="E5599" t="s">
        <v>17</v>
      </c>
      <c r="F5599" t="s">
        <v>23</v>
      </c>
      <c r="G5599" t="s">
        <v>43</v>
      </c>
      <c r="H5599" t="s">
        <v>25</v>
      </c>
      <c r="I5599" s="1">
        <v>3</v>
      </c>
      <c r="J5599" s="2">
        <v>45708</v>
      </c>
      <c r="L5599" s="1" t="str">
        <f t="shared" si="650"/>
        <v>qui</v>
      </c>
      <c r="M5599" s="1" t="str">
        <f t="shared" si="651"/>
        <v>fev</v>
      </c>
      <c r="N5599">
        <f t="shared" si="652"/>
        <v>2025</v>
      </c>
      <c r="P5599" t="str">
        <f t="shared" si="653"/>
        <v>178045708</v>
      </c>
    </row>
    <row r="5600" spans="1:16" x14ac:dyDescent="0.3">
      <c r="A5600">
        <v>1780</v>
      </c>
      <c r="B5600">
        <v>18</v>
      </c>
      <c r="C5600" t="s">
        <v>15</v>
      </c>
      <c r="D5600" t="s">
        <v>29</v>
      </c>
      <c r="E5600" t="s">
        <v>17</v>
      </c>
      <c r="F5600" t="s">
        <v>23</v>
      </c>
      <c r="G5600" t="s">
        <v>43</v>
      </c>
      <c r="H5600" t="s">
        <v>25</v>
      </c>
      <c r="I5600" s="1">
        <v>3</v>
      </c>
      <c r="J5600" s="2">
        <v>45709</v>
      </c>
      <c r="L5600" s="1" t="str">
        <f t="shared" si="650"/>
        <v>sex</v>
      </c>
      <c r="M5600" s="1" t="str">
        <f t="shared" si="651"/>
        <v>fev</v>
      </c>
      <c r="N5600">
        <f t="shared" si="652"/>
        <v>2025</v>
      </c>
      <c r="P5600" t="str">
        <f t="shared" si="653"/>
        <v>178045709</v>
      </c>
    </row>
    <row r="5601" spans="1:16" x14ac:dyDescent="0.3">
      <c r="A5601">
        <v>1780</v>
      </c>
      <c r="B5601">
        <v>18</v>
      </c>
      <c r="C5601" t="s">
        <v>15</v>
      </c>
      <c r="D5601" t="s">
        <v>29</v>
      </c>
      <c r="E5601" t="s">
        <v>17</v>
      </c>
      <c r="F5601" t="s">
        <v>23</v>
      </c>
      <c r="G5601" t="s">
        <v>43</v>
      </c>
      <c r="H5601" t="s">
        <v>25</v>
      </c>
      <c r="I5601" s="1">
        <v>3</v>
      </c>
      <c r="J5601" s="2">
        <v>45710</v>
      </c>
      <c r="L5601" s="1" t="str">
        <f t="shared" si="650"/>
        <v>sáb</v>
      </c>
      <c r="M5601" s="1" t="str">
        <f t="shared" si="651"/>
        <v>fev</v>
      </c>
      <c r="N5601">
        <f t="shared" si="652"/>
        <v>2025</v>
      </c>
      <c r="P5601" t="str">
        <f t="shared" si="653"/>
        <v>178045710</v>
      </c>
    </row>
    <row r="5602" spans="1:16" x14ac:dyDescent="0.3">
      <c r="A5602">
        <v>1780</v>
      </c>
      <c r="B5602">
        <v>18</v>
      </c>
      <c r="C5602" t="s">
        <v>15</v>
      </c>
      <c r="D5602" t="s">
        <v>29</v>
      </c>
      <c r="E5602" t="s">
        <v>17</v>
      </c>
      <c r="F5602" t="s">
        <v>23</v>
      </c>
      <c r="G5602" t="s">
        <v>43</v>
      </c>
      <c r="H5602" t="s">
        <v>25</v>
      </c>
      <c r="I5602" s="1">
        <v>3</v>
      </c>
      <c r="J5602" s="2">
        <v>45711</v>
      </c>
      <c r="L5602" s="1" t="str">
        <f t="shared" si="650"/>
        <v>dom</v>
      </c>
      <c r="M5602" s="1" t="str">
        <f t="shared" si="651"/>
        <v>fev</v>
      </c>
      <c r="N5602">
        <f t="shared" si="652"/>
        <v>2025</v>
      </c>
      <c r="P5602" t="str">
        <f t="shared" si="653"/>
        <v>178045711</v>
      </c>
    </row>
    <row r="5603" spans="1:16" x14ac:dyDescent="0.3">
      <c r="A5603">
        <v>1780</v>
      </c>
      <c r="B5603">
        <v>18</v>
      </c>
      <c r="C5603" t="s">
        <v>15</v>
      </c>
      <c r="D5603" t="s">
        <v>29</v>
      </c>
      <c r="E5603" t="s">
        <v>17</v>
      </c>
      <c r="F5603" t="s">
        <v>23</v>
      </c>
      <c r="G5603" t="s">
        <v>43</v>
      </c>
      <c r="H5603" t="s">
        <v>25</v>
      </c>
      <c r="I5603" s="1">
        <v>3</v>
      </c>
      <c r="J5603" s="2">
        <v>45712</v>
      </c>
      <c r="L5603" s="1" t="str">
        <f t="shared" si="650"/>
        <v>seg</v>
      </c>
      <c r="M5603" s="1" t="str">
        <f t="shared" si="651"/>
        <v>fev</v>
      </c>
      <c r="N5603">
        <f t="shared" si="652"/>
        <v>2025</v>
      </c>
      <c r="P5603" t="str">
        <f t="shared" si="653"/>
        <v>178045712</v>
      </c>
    </row>
    <row r="5604" spans="1:16" x14ac:dyDescent="0.3">
      <c r="A5604">
        <v>1780</v>
      </c>
      <c r="B5604">
        <v>18</v>
      </c>
      <c r="C5604" t="s">
        <v>15</v>
      </c>
      <c r="D5604" t="s">
        <v>29</v>
      </c>
      <c r="E5604" t="s">
        <v>17</v>
      </c>
      <c r="F5604" t="s">
        <v>23</v>
      </c>
      <c r="G5604" t="s">
        <v>43</v>
      </c>
      <c r="H5604" t="s">
        <v>25</v>
      </c>
      <c r="I5604" s="1">
        <v>3</v>
      </c>
      <c r="J5604" s="2">
        <v>45713</v>
      </c>
      <c r="L5604" s="1" t="str">
        <f t="shared" si="650"/>
        <v>ter</v>
      </c>
      <c r="M5604" s="1" t="str">
        <f t="shared" si="651"/>
        <v>fev</v>
      </c>
      <c r="N5604">
        <f t="shared" si="652"/>
        <v>2025</v>
      </c>
      <c r="P5604" t="str">
        <f t="shared" si="653"/>
        <v>178045713</v>
      </c>
    </row>
    <row r="5605" spans="1:16" x14ac:dyDescent="0.3">
      <c r="A5605">
        <v>1780</v>
      </c>
      <c r="B5605">
        <v>18</v>
      </c>
      <c r="C5605" t="s">
        <v>15</v>
      </c>
      <c r="D5605" t="s">
        <v>29</v>
      </c>
      <c r="E5605" t="s">
        <v>17</v>
      </c>
      <c r="F5605" t="s">
        <v>23</v>
      </c>
      <c r="G5605" t="s">
        <v>43</v>
      </c>
      <c r="H5605" t="s">
        <v>25</v>
      </c>
      <c r="I5605" s="1">
        <v>3</v>
      </c>
      <c r="J5605" s="2">
        <v>45714</v>
      </c>
      <c r="L5605" s="1" t="str">
        <f t="shared" si="650"/>
        <v>qua</v>
      </c>
      <c r="M5605" s="1" t="str">
        <f t="shared" si="651"/>
        <v>fev</v>
      </c>
      <c r="N5605">
        <f t="shared" si="652"/>
        <v>2025</v>
      </c>
      <c r="P5605" t="str">
        <f t="shared" si="653"/>
        <v>178045714</v>
      </c>
    </row>
    <row r="5606" spans="1:16" x14ac:dyDescent="0.3">
      <c r="A5606">
        <v>1780</v>
      </c>
      <c r="B5606">
        <v>18</v>
      </c>
      <c r="C5606" t="s">
        <v>15</v>
      </c>
      <c r="D5606" t="s">
        <v>29</v>
      </c>
      <c r="E5606" t="s">
        <v>17</v>
      </c>
      <c r="F5606" t="s">
        <v>23</v>
      </c>
      <c r="G5606" t="s">
        <v>43</v>
      </c>
      <c r="H5606" t="s">
        <v>25</v>
      </c>
      <c r="I5606" s="1">
        <v>3</v>
      </c>
      <c r="J5606" s="2">
        <v>45715</v>
      </c>
      <c r="L5606" s="1" t="str">
        <f t="shared" si="650"/>
        <v>qui</v>
      </c>
      <c r="M5606" s="1" t="str">
        <f t="shared" si="651"/>
        <v>fev</v>
      </c>
      <c r="N5606">
        <f t="shared" si="652"/>
        <v>2025</v>
      </c>
      <c r="P5606" t="str">
        <f t="shared" si="653"/>
        <v>178045715</v>
      </c>
    </row>
    <row r="5607" spans="1:16" x14ac:dyDescent="0.3">
      <c r="A5607">
        <v>1780</v>
      </c>
      <c r="B5607">
        <v>18</v>
      </c>
      <c r="C5607" t="s">
        <v>15</v>
      </c>
      <c r="D5607" t="s">
        <v>29</v>
      </c>
      <c r="E5607" t="s">
        <v>17</v>
      </c>
      <c r="F5607" t="s">
        <v>23</v>
      </c>
      <c r="G5607" t="s">
        <v>43</v>
      </c>
      <c r="H5607" t="s">
        <v>25</v>
      </c>
      <c r="I5607" s="1">
        <v>3</v>
      </c>
      <c r="J5607" s="2">
        <v>45716</v>
      </c>
      <c r="L5607" s="1" t="str">
        <f t="shared" si="650"/>
        <v>sex</v>
      </c>
      <c r="M5607" s="1" t="str">
        <f t="shared" si="651"/>
        <v>fev</v>
      </c>
      <c r="N5607">
        <f t="shared" si="652"/>
        <v>2025</v>
      </c>
      <c r="P5607" t="str">
        <f t="shared" si="653"/>
        <v>178045716</v>
      </c>
    </row>
    <row r="5608" spans="1:16" x14ac:dyDescent="0.3">
      <c r="A5608">
        <v>1780</v>
      </c>
      <c r="B5608">
        <v>18</v>
      </c>
      <c r="C5608" t="s">
        <v>15</v>
      </c>
      <c r="D5608" t="s">
        <v>29</v>
      </c>
      <c r="E5608" t="s">
        <v>17</v>
      </c>
      <c r="F5608" t="s">
        <v>23</v>
      </c>
      <c r="G5608" t="s">
        <v>43</v>
      </c>
      <c r="H5608" t="s">
        <v>25</v>
      </c>
      <c r="I5608" s="1">
        <v>3</v>
      </c>
      <c r="J5608" s="2">
        <v>45717</v>
      </c>
      <c r="L5608" s="1" t="str">
        <f t="shared" si="650"/>
        <v>sáb</v>
      </c>
      <c r="M5608" s="1" t="str">
        <f t="shared" si="651"/>
        <v>mar</v>
      </c>
      <c r="N5608">
        <f t="shared" si="652"/>
        <v>2025</v>
      </c>
      <c r="P5608" t="str">
        <f t="shared" si="653"/>
        <v>178045717</v>
      </c>
    </row>
    <row r="5609" spans="1:16" x14ac:dyDescent="0.3">
      <c r="A5609">
        <v>1780</v>
      </c>
      <c r="B5609">
        <v>18</v>
      </c>
      <c r="C5609" t="s">
        <v>15</v>
      </c>
      <c r="D5609" t="s">
        <v>29</v>
      </c>
      <c r="E5609" t="s">
        <v>17</v>
      </c>
      <c r="F5609" t="s">
        <v>23</v>
      </c>
      <c r="G5609" t="s">
        <v>43</v>
      </c>
      <c r="H5609" t="s">
        <v>25</v>
      </c>
      <c r="I5609" s="1">
        <v>3</v>
      </c>
      <c r="J5609" s="2">
        <v>45718</v>
      </c>
      <c r="L5609" s="1" t="str">
        <f t="shared" si="650"/>
        <v>dom</v>
      </c>
      <c r="M5609" s="1" t="str">
        <f t="shared" si="651"/>
        <v>mar</v>
      </c>
      <c r="N5609">
        <f t="shared" si="652"/>
        <v>2025</v>
      </c>
      <c r="P5609" t="str">
        <f t="shared" si="653"/>
        <v>178045718</v>
      </c>
    </row>
    <row r="5610" spans="1:16" x14ac:dyDescent="0.3">
      <c r="A5610">
        <v>1780</v>
      </c>
      <c r="B5610">
        <v>18</v>
      </c>
      <c r="C5610" t="s">
        <v>15</v>
      </c>
      <c r="D5610" t="s">
        <v>29</v>
      </c>
      <c r="E5610" t="s">
        <v>17</v>
      </c>
      <c r="F5610" t="s">
        <v>23</v>
      </c>
      <c r="G5610" t="s">
        <v>43</v>
      </c>
      <c r="H5610" t="s">
        <v>25</v>
      </c>
      <c r="I5610" s="1">
        <v>3</v>
      </c>
      <c r="J5610" s="2">
        <v>45719</v>
      </c>
      <c r="L5610" s="1" t="str">
        <f t="shared" si="650"/>
        <v>seg</v>
      </c>
      <c r="M5610" s="1" t="str">
        <f t="shared" si="651"/>
        <v>mar</v>
      </c>
      <c r="N5610">
        <f t="shared" si="652"/>
        <v>2025</v>
      </c>
      <c r="P5610" t="str">
        <f t="shared" si="653"/>
        <v>178045719</v>
      </c>
    </row>
    <row r="5611" spans="1:16" x14ac:dyDescent="0.3">
      <c r="A5611">
        <v>1780</v>
      </c>
      <c r="B5611">
        <v>18</v>
      </c>
      <c r="C5611" t="s">
        <v>15</v>
      </c>
      <c r="D5611" t="s">
        <v>29</v>
      </c>
      <c r="E5611" t="s">
        <v>17</v>
      </c>
      <c r="F5611" t="s">
        <v>23</v>
      </c>
      <c r="G5611" t="s">
        <v>43</v>
      </c>
      <c r="H5611" t="s">
        <v>25</v>
      </c>
      <c r="I5611" s="1">
        <v>3</v>
      </c>
      <c r="J5611" s="2">
        <v>45720</v>
      </c>
      <c r="L5611" s="1" t="str">
        <f t="shared" si="650"/>
        <v>ter</v>
      </c>
      <c r="M5611" s="1" t="str">
        <f t="shared" si="651"/>
        <v>mar</v>
      </c>
      <c r="N5611">
        <f t="shared" si="652"/>
        <v>2025</v>
      </c>
      <c r="P5611" t="str">
        <f t="shared" si="653"/>
        <v>178045720</v>
      </c>
    </row>
    <row r="5612" spans="1:16" x14ac:dyDescent="0.3">
      <c r="A5612">
        <v>1780</v>
      </c>
      <c r="B5612">
        <v>18</v>
      </c>
      <c r="C5612" t="s">
        <v>15</v>
      </c>
      <c r="D5612" t="s">
        <v>29</v>
      </c>
      <c r="E5612" t="s">
        <v>17</v>
      </c>
      <c r="F5612" t="s">
        <v>23</v>
      </c>
      <c r="G5612" t="s">
        <v>43</v>
      </c>
      <c r="H5612" t="s">
        <v>25</v>
      </c>
      <c r="I5612" s="1">
        <v>3</v>
      </c>
      <c r="J5612" s="2">
        <v>45721</v>
      </c>
      <c r="L5612" s="1" t="str">
        <f t="shared" si="650"/>
        <v>qua</v>
      </c>
      <c r="M5612" s="1" t="str">
        <f t="shared" si="651"/>
        <v>mar</v>
      </c>
      <c r="N5612">
        <f t="shared" si="652"/>
        <v>2025</v>
      </c>
      <c r="P5612" t="str">
        <f t="shared" si="653"/>
        <v>178045721</v>
      </c>
    </row>
    <row r="5613" spans="1:16" x14ac:dyDescent="0.3">
      <c r="A5613">
        <v>1780</v>
      </c>
      <c r="B5613">
        <v>18</v>
      </c>
      <c r="C5613" t="s">
        <v>15</v>
      </c>
      <c r="D5613" t="s">
        <v>29</v>
      </c>
      <c r="E5613" t="s">
        <v>17</v>
      </c>
      <c r="F5613" t="s">
        <v>23</v>
      </c>
      <c r="G5613" t="s">
        <v>43</v>
      </c>
      <c r="H5613" t="s">
        <v>25</v>
      </c>
      <c r="I5613" s="1">
        <v>3</v>
      </c>
      <c r="J5613" s="2">
        <v>45722</v>
      </c>
      <c r="L5613" s="1" t="str">
        <f t="shared" si="650"/>
        <v>qui</v>
      </c>
      <c r="M5613" s="1" t="str">
        <f t="shared" si="651"/>
        <v>mar</v>
      </c>
      <c r="N5613">
        <f t="shared" si="652"/>
        <v>2025</v>
      </c>
      <c r="P5613" t="str">
        <f t="shared" si="653"/>
        <v>178045722</v>
      </c>
    </row>
    <row r="5614" spans="1:16" x14ac:dyDescent="0.3">
      <c r="A5614">
        <v>1780</v>
      </c>
      <c r="B5614">
        <v>18</v>
      </c>
      <c r="C5614" t="s">
        <v>15</v>
      </c>
      <c r="D5614" t="s">
        <v>29</v>
      </c>
      <c r="E5614" t="s">
        <v>17</v>
      </c>
      <c r="F5614" t="s">
        <v>23</v>
      </c>
      <c r="G5614" t="s">
        <v>43</v>
      </c>
      <c r="H5614" t="s">
        <v>25</v>
      </c>
      <c r="I5614" s="1">
        <v>3</v>
      </c>
      <c r="J5614" s="2">
        <v>45723</v>
      </c>
      <c r="L5614" s="1" t="str">
        <f t="shared" si="650"/>
        <v>sex</v>
      </c>
      <c r="M5614" s="1" t="str">
        <f t="shared" si="651"/>
        <v>mar</v>
      </c>
      <c r="N5614">
        <f t="shared" si="652"/>
        <v>2025</v>
      </c>
      <c r="P5614" t="str">
        <f t="shared" si="653"/>
        <v>178045723</v>
      </c>
    </row>
    <row r="5615" spans="1:16" x14ac:dyDescent="0.3">
      <c r="A5615">
        <v>1487</v>
      </c>
      <c r="B5615">
        <v>21</v>
      </c>
      <c r="C5615" t="s">
        <v>26</v>
      </c>
      <c r="D5615" t="s">
        <v>31</v>
      </c>
      <c r="E5615" t="s">
        <v>34</v>
      </c>
      <c r="F5615" t="s">
        <v>21</v>
      </c>
      <c r="G5615" t="s">
        <v>43</v>
      </c>
      <c r="H5615" t="s">
        <v>25</v>
      </c>
      <c r="I5615" s="1">
        <v>1</v>
      </c>
      <c r="J5615" s="2">
        <v>45690</v>
      </c>
      <c r="L5615" s="1" t="str">
        <f t="shared" si="650"/>
        <v>dom</v>
      </c>
      <c r="M5615" s="1" t="str">
        <f t="shared" si="651"/>
        <v>fev</v>
      </c>
      <c r="N5615">
        <f t="shared" si="652"/>
        <v>2025</v>
      </c>
      <c r="P5615" t="str">
        <f t="shared" si="653"/>
        <v>148745690</v>
      </c>
    </row>
    <row r="5616" spans="1:16" x14ac:dyDescent="0.3">
      <c r="A5616">
        <v>1487</v>
      </c>
      <c r="B5616">
        <v>21</v>
      </c>
      <c r="C5616" t="s">
        <v>26</v>
      </c>
      <c r="D5616" t="s">
        <v>31</v>
      </c>
      <c r="E5616" t="s">
        <v>34</v>
      </c>
      <c r="F5616" t="s">
        <v>21</v>
      </c>
      <c r="G5616" t="s">
        <v>43</v>
      </c>
      <c r="H5616" t="s">
        <v>25</v>
      </c>
      <c r="I5616" s="1">
        <v>1</v>
      </c>
      <c r="J5616" s="2">
        <v>45691</v>
      </c>
      <c r="L5616" s="1" t="str">
        <f t="shared" ref="L5616:L5679" si="654">TEXT(J5616,"ddd")</f>
        <v>seg</v>
      </c>
      <c r="M5616" s="1" t="str">
        <f t="shared" si="651"/>
        <v>fev</v>
      </c>
      <c r="N5616">
        <f t="shared" ref="N5616:N5679" si="655">YEAR(J5616)</f>
        <v>2025</v>
      </c>
      <c r="P5616" t="str">
        <f t="shared" ref="P5616:P5679" si="656">CONCATENATE(A5616,J5616)</f>
        <v>148745691</v>
      </c>
    </row>
    <row r="5617" spans="1:16" x14ac:dyDescent="0.3">
      <c r="A5617">
        <v>1487</v>
      </c>
      <c r="B5617">
        <v>21</v>
      </c>
      <c r="C5617" t="s">
        <v>26</v>
      </c>
      <c r="D5617" t="s">
        <v>31</v>
      </c>
      <c r="E5617" t="s">
        <v>34</v>
      </c>
      <c r="F5617" t="s">
        <v>21</v>
      </c>
      <c r="G5617" t="s">
        <v>43</v>
      </c>
      <c r="H5617" t="s">
        <v>25</v>
      </c>
      <c r="I5617" s="1">
        <v>1</v>
      </c>
      <c r="J5617" s="2">
        <v>45692</v>
      </c>
      <c r="L5617" s="1" t="str">
        <f t="shared" si="654"/>
        <v>ter</v>
      </c>
      <c r="M5617" s="1" t="str">
        <f t="shared" ref="M5617:M5680" si="657">TEXT($J5617,"mmm")</f>
        <v>fev</v>
      </c>
      <c r="N5617">
        <f t="shared" si="655"/>
        <v>2025</v>
      </c>
      <c r="P5617" t="str">
        <f t="shared" si="656"/>
        <v>148745692</v>
      </c>
    </row>
    <row r="5618" spans="1:16" x14ac:dyDescent="0.3">
      <c r="A5618">
        <v>1487</v>
      </c>
      <c r="B5618">
        <v>21</v>
      </c>
      <c r="C5618" t="s">
        <v>26</v>
      </c>
      <c r="D5618" t="s">
        <v>31</v>
      </c>
      <c r="E5618" t="s">
        <v>34</v>
      </c>
      <c r="F5618" t="s">
        <v>21</v>
      </c>
      <c r="G5618" t="s">
        <v>43</v>
      </c>
      <c r="H5618" t="s">
        <v>25</v>
      </c>
      <c r="I5618" s="1">
        <v>1</v>
      </c>
      <c r="J5618" s="2">
        <v>45693</v>
      </c>
      <c r="L5618" s="1" t="str">
        <f t="shared" si="654"/>
        <v>qua</v>
      </c>
      <c r="M5618" s="1" t="str">
        <f t="shared" si="657"/>
        <v>fev</v>
      </c>
      <c r="N5618">
        <f t="shared" si="655"/>
        <v>2025</v>
      </c>
      <c r="P5618" t="str">
        <f t="shared" si="656"/>
        <v>148745693</v>
      </c>
    </row>
    <row r="5619" spans="1:16" x14ac:dyDescent="0.3">
      <c r="A5619">
        <v>1487</v>
      </c>
      <c r="B5619">
        <v>21</v>
      </c>
      <c r="C5619" t="s">
        <v>26</v>
      </c>
      <c r="D5619" t="s">
        <v>31</v>
      </c>
      <c r="E5619" t="s">
        <v>34</v>
      </c>
      <c r="F5619" t="s">
        <v>21</v>
      </c>
      <c r="G5619" t="s">
        <v>43</v>
      </c>
      <c r="H5619" t="s">
        <v>25</v>
      </c>
      <c r="I5619" s="1">
        <v>1</v>
      </c>
      <c r="J5619" s="2">
        <v>45694</v>
      </c>
      <c r="L5619" s="1" t="str">
        <f t="shared" si="654"/>
        <v>qui</v>
      </c>
      <c r="M5619" s="1" t="str">
        <f t="shared" si="657"/>
        <v>fev</v>
      </c>
      <c r="N5619">
        <f t="shared" si="655"/>
        <v>2025</v>
      </c>
      <c r="P5619" t="str">
        <f t="shared" si="656"/>
        <v>148745694</v>
      </c>
    </row>
    <row r="5620" spans="1:16" x14ac:dyDescent="0.3">
      <c r="A5620">
        <v>1487</v>
      </c>
      <c r="B5620">
        <v>21</v>
      </c>
      <c r="C5620" t="s">
        <v>26</v>
      </c>
      <c r="D5620" t="s">
        <v>31</v>
      </c>
      <c r="E5620" t="s">
        <v>34</v>
      </c>
      <c r="F5620" t="s">
        <v>21</v>
      </c>
      <c r="G5620" t="s">
        <v>43</v>
      </c>
      <c r="H5620" t="s">
        <v>25</v>
      </c>
      <c r="I5620" s="1">
        <v>1</v>
      </c>
      <c r="J5620" s="2">
        <v>45695</v>
      </c>
      <c r="L5620" s="1" t="str">
        <f t="shared" si="654"/>
        <v>sex</v>
      </c>
      <c r="M5620" s="1" t="str">
        <f t="shared" si="657"/>
        <v>fev</v>
      </c>
      <c r="N5620">
        <f t="shared" si="655"/>
        <v>2025</v>
      </c>
      <c r="P5620" t="str">
        <f t="shared" si="656"/>
        <v>148745695</v>
      </c>
    </row>
    <row r="5621" spans="1:16" x14ac:dyDescent="0.3">
      <c r="A5621">
        <v>1487</v>
      </c>
      <c r="B5621">
        <v>21</v>
      </c>
      <c r="C5621" t="s">
        <v>26</v>
      </c>
      <c r="D5621" t="s">
        <v>31</v>
      </c>
      <c r="E5621" t="s">
        <v>34</v>
      </c>
      <c r="F5621" t="s">
        <v>21</v>
      </c>
      <c r="G5621" t="s">
        <v>43</v>
      </c>
      <c r="H5621" t="s">
        <v>25</v>
      </c>
      <c r="I5621" s="1">
        <v>1</v>
      </c>
      <c r="J5621" s="2">
        <v>45696</v>
      </c>
      <c r="L5621" s="1" t="str">
        <f t="shared" si="654"/>
        <v>sáb</v>
      </c>
      <c r="M5621" s="1" t="str">
        <f t="shared" si="657"/>
        <v>fev</v>
      </c>
      <c r="N5621">
        <f t="shared" si="655"/>
        <v>2025</v>
      </c>
      <c r="P5621" t="str">
        <f t="shared" si="656"/>
        <v>148745696</v>
      </c>
    </row>
    <row r="5622" spans="1:16" x14ac:dyDescent="0.3">
      <c r="A5622">
        <v>1487</v>
      </c>
      <c r="B5622">
        <v>21</v>
      </c>
      <c r="C5622" t="s">
        <v>26</v>
      </c>
      <c r="D5622" t="s">
        <v>31</v>
      </c>
      <c r="E5622" t="s">
        <v>34</v>
      </c>
      <c r="F5622" t="s">
        <v>21</v>
      </c>
      <c r="G5622" t="s">
        <v>43</v>
      </c>
      <c r="H5622" t="s">
        <v>25</v>
      </c>
      <c r="I5622" s="1">
        <v>1</v>
      </c>
      <c r="J5622" s="2">
        <v>45697</v>
      </c>
      <c r="L5622" s="1" t="str">
        <f t="shared" si="654"/>
        <v>dom</v>
      </c>
      <c r="M5622" s="1" t="str">
        <f t="shared" si="657"/>
        <v>fev</v>
      </c>
      <c r="N5622">
        <f t="shared" si="655"/>
        <v>2025</v>
      </c>
      <c r="P5622" t="str">
        <f t="shared" si="656"/>
        <v>148745697</v>
      </c>
    </row>
    <row r="5623" spans="1:16" x14ac:dyDescent="0.3">
      <c r="A5623">
        <v>1487</v>
      </c>
      <c r="B5623">
        <v>21</v>
      </c>
      <c r="C5623" t="s">
        <v>26</v>
      </c>
      <c r="D5623" t="s">
        <v>31</v>
      </c>
      <c r="E5623" t="s">
        <v>34</v>
      </c>
      <c r="F5623" t="s">
        <v>21</v>
      </c>
      <c r="G5623" t="s">
        <v>43</v>
      </c>
      <c r="H5623" t="s">
        <v>25</v>
      </c>
      <c r="I5623" s="1">
        <v>1</v>
      </c>
      <c r="J5623" s="2">
        <v>45698</v>
      </c>
      <c r="L5623" s="1" t="str">
        <f t="shared" si="654"/>
        <v>seg</v>
      </c>
      <c r="M5623" s="1" t="str">
        <f t="shared" si="657"/>
        <v>fev</v>
      </c>
      <c r="N5623">
        <f t="shared" si="655"/>
        <v>2025</v>
      </c>
      <c r="P5623" t="str">
        <f t="shared" si="656"/>
        <v>148745698</v>
      </c>
    </row>
    <row r="5624" spans="1:16" x14ac:dyDescent="0.3">
      <c r="A5624">
        <v>1487</v>
      </c>
      <c r="B5624">
        <v>21</v>
      </c>
      <c r="C5624" t="s">
        <v>26</v>
      </c>
      <c r="D5624" t="s">
        <v>31</v>
      </c>
      <c r="E5624" t="s">
        <v>34</v>
      </c>
      <c r="F5624" t="s">
        <v>21</v>
      </c>
      <c r="G5624" t="s">
        <v>43</v>
      </c>
      <c r="H5624" t="s">
        <v>25</v>
      </c>
      <c r="I5624" s="1">
        <v>1</v>
      </c>
      <c r="J5624" s="2">
        <v>45699</v>
      </c>
      <c r="L5624" s="1" t="str">
        <f t="shared" si="654"/>
        <v>ter</v>
      </c>
      <c r="M5624" s="1" t="str">
        <f t="shared" si="657"/>
        <v>fev</v>
      </c>
      <c r="N5624">
        <f t="shared" si="655"/>
        <v>2025</v>
      </c>
      <c r="P5624" t="str">
        <f t="shared" si="656"/>
        <v>148745699</v>
      </c>
    </row>
    <row r="5625" spans="1:16" x14ac:dyDescent="0.3">
      <c r="A5625">
        <v>1487</v>
      </c>
      <c r="B5625">
        <v>21</v>
      </c>
      <c r="C5625" t="s">
        <v>26</v>
      </c>
      <c r="D5625" t="s">
        <v>31</v>
      </c>
      <c r="E5625" t="s">
        <v>34</v>
      </c>
      <c r="F5625" t="s">
        <v>21</v>
      </c>
      <c r="G5625" t="s">
        <v>43</v>
      </c>
      <c r="H5625" t="s">
        <v>25</v>
      </c>
      <c r="I5625" s="1">
        <v>1</v>
      </c>
      <c r="J5625" s="2">
        <v>45700</v>
      </c>
      <c r="L5625" s="1" t="str">
        <f t="shared" si="654"/>
        <v>qua</v>
      </c>
      <c r="M5625" s="1" t="str">
        <f t="shared" si="657"/>
        <v>fev</v>
      </c>
      <c r="N5625">
        <f t="shared" si="655"/>
        <v>2025</v>
      </c>
      <c r="P5625" t="str">
        <f t="shared" si="656"/>
        <v>148745700</v>
      </c>
    </row>
    <row r="5626" spans="1:16" x14ac:dyDescent="0.3">
      <c r="A5626">
        <v>1487</v>
      </c>
      <c r="B5626">
        <v>21</v>
      </c>
      <c r="C5626" t="s">
        <v>26</v>
      </c>
      <c r="D5626" t="s">
        <v>31</v>
      </c>
      <c r="E5626" t="s">
        <v>34</v>
      </c>
      <c r="F5626" t="s">
        <v>21</v>
      </c>
      <c r="G5626" t="s">
        <v>43</v>
      </c>
      <c r="H5626" t="s">
        <v>25</v>
      </c>
      <c r="I5626" s="1">
        <v>1</v>
      </c>
      <c r="J5626" s="2">
        <v>45701</v>
      </c>
      <c r="L5626" s="1" t="str">
        <f t="shared" si="654"/>
        <v>qui</v>
      </c>
      <c r="M5626" s="1" t="str">
        <f t="shared" si="657"/>
        <v>fev</v>
      </c>
      <c r="N5626">
        <f t="shared" si="655"/>
        <v>2025</v>
      </c>
      <c r="P5626" t="str">
        <f t="shared" si="656"/>
        <v>148745701</v>
      </c>
    </row>
    <row r="5627" spans="1:16" x14ac:dyDescent="0.3">
      <c r="A5627">
        <v>1487</v>
      </c>
      <c r="B5627">
        <v>21</v>
      </c>
      <c r="C5627" t="s">
        <v>26</v>
      </c>
      <c r="D5627" t="s">
        <v>31</v>
      </c>
      <c r="E5627" t="s">
        <v>34</v>
      </c>
      <c r="F5627" t="s">
        <v>21</v>
      </c>
      <c r="G5627" t="s">
        <v>43</v>
      </c>
      <c r="H5627" t="s">
        <v>25</v>
      </c>
      <c r="I5627" s="1">
        <v>1</v>
      </c>
      <c r="J5627" s="2">
        <v>45702</v>
      </c>
      <c r="L5627" s="1" t="str">
        <f t="shared" si="654"/>
        <v>sex</v>
      </c>
      <c r="M5627" s="1" t="str">
        <f t="shared" si="657"/>
        <v>fev</v>
      </c>
      <c r="N5627">
        <f t="shared" si="655"/>
        <v>2025</v>
      </c>
      <c r="P5627" t="str">
        <f t="shared" si="656"/>
        <v>148745702</v>
      </c>
    </row>
    <row r="5628" spans="1:16" x14ac:dyDescent="0.3">
      <c r="A5628">
        <v>1487</v>
      </c>
      <c r="B5628">
        <v>21</v>
      </c>
      <c r="C5628" t="s">
        <v>26</v>
      </c>
      <c r="D5628" t="s">
        <v>31</v>
      </c>
      <c r="E5628" t="s">
        <v>34</v>
      </c>
      <c r="F5628" t="s">
        <v>21</v>
      </c>
      <c r="G5628" t="s">
        <v>43</v>
      </c>
      <c r="H5628" t="s">
        <v>25</v>
      </c>
      <c r="I5628" s="1">
        <v>1</v>
      </c>
      <c r="J5628" s="2">
        <v>45703</v>
      </c>
      <c r="L5628" s="1" t="str">
        <f t="shared" si="654"/>
        <v>sáb</v>
      </c>
      <c r="M5628" s="1" t="str">
        <f t="shared" si="657"/>
        <v>fev</v>
      </c>
      <c r="N5628">
        <f t="shared" si="655"/>
        <v>2025</v>
      </c>
      <c r="P5628" t="str">
        <f t="shared" si="656"/>
        <v>148745703</v>
      </c>
    </row>
    <row r="5629" spans="1:16" x14ac:dyDescent="0.3">
      <c r="A5629">
        <v>1487</v>
      </c>
      <c r="B5629">
        <v>21</v>
      </c>
      <c r="C5629" t="s">
        <v>26</v>
      </c>
      <c r="D5629" t="s">
        <v>31</v>
      </c>
      <c r="E5629" t="s">
        <v>34</v>
      </c>
      <c r="F5629" t="s">
        <v>21</v>
      </c>
      <c r="G5629" t="s">
        <v>43</v>
      </c>
      <c r="H5629" t="s">
        <v>25</v>
      </c>
      <c r="I5629" s="1">
        <v>1</v>
      </c>
      <c r="J5629" s="2">
        <v>45704</v>
      </c>
      <c r="L5629" s="1" t="str">
        <f t="shared" si="654"/>
        <v>dom</v>
      </c>
      <c r="M5629" s="1" t="str">
        <f t="shared" si="657"/>
        <v>fev</v>
      </c>
      <c r="N5629">
        <f t="shared" si="655"/>
        <v>2025</v>
      </c>
      <c r="P5629" t="str">
        <f t="shared" si="656"/>
        <v>148745704</v>
      </c>
    </row>
    <row r="5630" spans="1:16" x14ac:dyDescent="0.3">
      <c r="A5630">
        <v>1487</v>
      </c>
      <c r="B5630">
        <v>21</v>
      </c>
      <c r="C5630" t="s">
        <v>26</v>
      </c>
      <c r="D5630" t="s">
        <v>31</v>
      </c>
      <c r="E5630" t="s">
        <v>34</v>
      </c>
      <c r="F5630" t="s">
        <v>21</v>
      </c>
      <c r="G5630" t="s">
        <v>43</v>
      </c>
      <c r="H5630" t="s">
        <v>25</v>
      </c>
      <c r="I5630" s="1">
        <v>1</v>
      </c>
      <c r="J5630" s="2">
        <v>45705</v>
      </c>
      <c r="L5630" s="1" t="str">
        <f t="shared" si="654"/>
        <v>seg</v>
      </c>
      <c r="M5630" s="1" t="str">
        <f t="shared" si="657"/>
        <v>fev</v>
      </c>
      <c r="N5630">
        <f t="shared" si="655"/>
        <v>2025</v>
      </c>
      <c r="P5630" t="str">
        <f t="shared" si="656"/>
        <v>148745705</v>
      </c>
    </row>
    <row r="5631" spans="1:16" x14ac:dyDescent="0.3">
      <c r="A5631">
        <v>1487</v>
      </c>
      <c r="B5631">
        <v>21</v>
      </c>
      <c r="C5631" t="s">
        <v>26</v>
      </c>
      <c r="D5631" t="s">
        <v>31</v>
      </c>
      <c r="E5631" t="s">
        <v>34</v>
      </c>
      <c r="F5631" t="s">
        <v>21</v>
      </c>
      <c r="G5631" t="s">
        <v>43</v>
      </c>
      <c r="H5631" t="s">
        <v>25</v>
      </c>
      <c r="I5631" s="1">
        <v>1</v>
      </c>
      <c r="J5631" s="2">
        <v>45706</v>
      </c>
      <c r="L5631" s="1" t="str">
        <f t="shared" si="654"/>
        <v>ter</v>
      </c>
      <c r="M5631" s="1" t="str">
        <f t="shared" si="657"/>
        <v>fev</v>
      </c>
      <c r="N5631">
        <f t="shared" si="655"/>
        <v>2025</v>
      </c>
      <c r="P5631" t="str">
        <f t="shared" si="656"/>
        <v>148745706</v>
      </c>
    </row>
    <row r="5632" spans="1:16" x14ac:dyDescent="0.3">
      <c r="A5632">
        <v>1487</v>
      </c>
      <c r="B5632">
        <v>21</v>
      </c>
      <c r="C5632" t="s">
        <v>26</v>
      </c>
      <c r="D5632" t="s">
        <v>31</v>
      </c>
      <c r="E5632" t="s">
        <v>34</v>
      </c>
      <c r="F5632" t="s">
        <v>21</v>
      </c>
      <c r="G5632" t="s">
        <v>43</v>
      </c>
      <c r="H5632" t="s">
        <v>25</v>
      </c>
      <c r="I5632" s="1">
        <v>1</v>
      </c>
      <c r="J5632" s="2">
        <v>45707</v>
      </c>
      <c r="L5632" s="1" t="str">
        <f t="shared" si="654"/>
        <v>qua</v>
      </c>
      <c r="M5632" s="1" t="str">
        <f t="shared" si="657"/>
        <v>fev</v>
      </c>
      <c r="N5632">
        <f t="shared" si="655"/>
        <v>2025</v>
      </c>
      <c r="P5632" t="str">
        <f t="shared" si="656"/>
        <v>148745707</v>
      </c>
    </row>
    <row r="5633" spans="1:16" x14ac:dyDescent="0.3">
      <c r="A5633">
        <v>1487</v>
      </c>
      <c r="B5633">
        <v>21</v>
      </c>
      <c r="C5633" t="s">
        <v>26</v>
      </c>
      <c r="D5633" t="s">
        <v>31</v>
      </c>
      <c r="E5633" t="s">
        <v>34</v>
      </c>
      <c r="F5633" t="s">
        <v>21</v>
      </c>
      <c r="G5633" t="s">
        <v>43</v>
      </c>
      <c r="H5633" t="s">
        <v>25</v>
      </c>
      <c r="I5633" s="1">
        <v>1</v>
      </c>
      <c r="J5633" s="2">
        <v>45708</v>
      </c>
      <c r="L5633" s="1" t="str">
        <f t="shared" si="654"/>
        <v>qui</v>
      </c>
      <c r="M5633" s="1" t="str">
        <f t="shared" si="657"/>
        <v>fev</v>
      </c>
      <c r="N5633">
        <f t="shared" si="655"/>
        <v>2025</v>
      </c>
      <c r="P5633" t="str">
        <f t="shared" si="656"/>
        <v>148745708</v>
      </c>
    </row>
    <row r="5634" spans="1:16" x14ac:dyDescent="0.3">
      <c r="A5634">
        <v>1487</v>
      </c>
      <c r="B5634">
        <v>21</v>
      </c>
      <c r="C5634" t="s">
        <v>26</v>
      </c>
      <c r="D5634" t="s">
        <v>31</v>
      </c>
      <c r="E5634" t="s">
        <v>34</v>
      </c>
      <c r="F5634" t="s">
        <v>21</v>
      </c>
      <c r="G5634" t="s">
        <v>43</v>
      </c>
      <c r="H5634" t="s">
        <v>25</v>
      </c>
      <c r="I5634" s="1">
        <v>1</v>
      </c>
      <c r="J5634" s="2">
        <v>45709</v>
      </c>
      <c r="L5634" s="1" t="str">
        <f t="shared" si="654"/>
        <v>sex</v>
      </c>
      <c r="M5634" s="1" t="str">
        <f t="shared" si="657"/>
        <v>fev</v>
      </c>
      <c r="N5634">
        <f t="shared" si="655"/>
        <v>2025</v>
      </c>
      <c r="P5634" t="str">
        <f t="shared" si="656"/>
        <v>148745709</v>
      </c>
    </row>
    <row r="5635" spans="1:16" x14ac:dyDescent="0.3">
      <c r="A5635">
        <v>1487</v>
      </c>
      <c r="B5635">
        <v>21</v>
      </c>
      <c r="C5635" t="s">
        <v>26</v>
      </c>
      <c r="D5635" t="s">
        <v>31</v>
      </c>
      <c r="E5635" t="s">
        <v>34</v>
      </c>
      <c r="F5635" t="s">
        <v>21</v>
      </c>
      <c r="G5635" t="s">
        <v>43</v>
      </c>
      <c r="H5635" t="s">
        <v>25</v>
      </c>
      <c r="I5635" s="1">
        <v>1</v>
      </c>
      <c r="J5635" s="2">
        <v>45710</v>
      </c>
      <c r="L5635" s="1" t="str">
        <f t="shared" si="654"/>
        <v>sáb</v>
      </c>
      <c r="M5635" s="1" t="str">
        <f t="shared" si="657"/>
        <v>fev</v>
      </c>
      <c r="N5635">
        <f t="shared" si="655"/>
        <v>2025</v>
      </c>
      <c r="P5635" t="str">
        <f t="shared" si="656"/>
        <v>148745710</v>
      </c>
    </row>
    <row r="5636" spans="1:16" x14ac:dyDescent="0.3">
      <c r="A5636">
        <v>1487</v>
      </c>
      <c r="B5636">
        <v>21</v>
      </c>
      <c r="C5636" t="s">
        <v>26</v>
      </c>
      <c r="D5636" t="s">
        <v>31</v>
      </c>
      <c r="E5636" t="s">
        <v>34</v>
      </c>
      <c r="F5636" t="s">
        <v>21</v>
      </c>
      <c r="G5636" t="s">
        <v>43</v>
      </c>
      <c r="H5636" t="s">
        <v>25</v>
      </c>
      <c r="I5636" s="1">
        <v>1</v>
      </c>
      <c r="J5636" s="2">
        <v>45711</v>
      </c>
      <c r="L5636" s="1" t="str">
        <f t="shared" si="654"/>
        <v>dom</v>
      </c>
      <c r="M5636" s="1" t="str">
        <f t="shared" si="657"/>
        <v>fev</v>
      </c>
      <c r="N5636">
        <f t="shared" si="655"/>
        <v>2025</v>
      </c>
      <c r="P5636" t="str">
        <f t="shared" si="656"/>
        <v>148745711</v>
      </c>
    </row>
    <row r="5637" spans="1:16" x14ac:dyDescent="0.3">
      <c r="A5637">
        <v>1487</v>
      </c>
      <c r="B5637">
        <v>21</v>
      </c>
      <c r="C5637" t="s">
        <v>26</v>
      </c>
      <c r="D5637" t="s">
        <v>31</v>
      </c>
      <c r="E5637" t="s">
        <v>34</v>
      </c>
      <c r="F5637" t="s">
        <v>21</v>
      </c>
      <c r="G5637" t="s">
        <v>43</v>
      </c>
      <c r="H5637" t="s">
        <v>25</v>
      </c>
      <c r="I5637" s="1">
        <v>1</v>
      </c>
      <c r="J5637" s="2">
        <v>45712</v>
      </c>
      <c r="L5637" s="1" t="str">
        <f t="shared" si="654"/>
        <v>seg</v>
      </c>
      <c r="M5637" s="1" t="str">
        <f t="shared" si="657"/>
        <v>fev</v>
      </c>
      <c r="N5637">
        <f t="shared" si="655"/>
        <v>2025</v>
      </c>
      <c r="P5637" t="str">
        <f t="shared" si="656"/>
        <v>148745712</v>
      </c>
    </row>
    <row r="5638" spans="1:16" x14ac:dyDescent="0.3">
      <c r="A5638">
        <v>1487</v>
      </c>
      <c r="B5638">
        <v>21</v>
      </c>
      <c r="C5638" t="s">
        <v>26</v>
      </c>
      <c r="D5638" t="s">
        <v>31</v>
      </c>
      <c r="E5638" t="s">
        <v>34</v>
      </c>
      <c r="F5638" t="s">
        <v>21</v>
      </c>
      <c r="G5638" t="s">
        <v>43</v>
      </c>
      <c r="H5638" t="s">
        <v>25</v>
      </c>
      <c r="I5638" s="1">
        <v>1</v>
      </c>
      <c r="J5638" s="2">
        <v>45713</v>
      </c>
      <c r="L5638" s="1" t="str">
        <f t="shared" si="654"/>
        <v>ter</v>
      </c>
      <c r="M5638" s="1" t="str">
        <f t="shared" si="657"/>
        <v>fev</v>
      </c>
      <c r="N5638">
        <f t="shared" si="655"/>
        <v>2025</v>
      </c>
      <c r="P5638" t="str">
        <f t="shared" si="656"/>
        <v>148745713</v>
      </c>
    </row>
    <row r="5639" spans="1:16" x14ac:dyDescent="0.3">
      <c r="A5639">
        <v>1487</v>
      </c>
      <c r="B5639">
        <v>21</v>
      </c>
      <c r="C5639" t="s">
        <v>26</v>
      </c>
      <c r="D5639" t="s">
        <v>31</v>
      </c>
      <c r="E5639" t="s">
        <v>34</v>
      </c>
      <c r="F5639" t="s">
        <v>21</v>
      </c>
      <c r="G5639" t="s">
        <v>43</v>
      </c>
      <c r="H5639" t="s">
        <v>25</v>
      </c>
      <c r="I5639" s="1">
        <v>1</v>
      </c>
      <c r="J5639" s="2">
        <v>45714</v>
      </c>
      <c r="L5639" s="1" t="str">
        <f t="shared" si="654"/>
        <v>qua</v>
      </c>
      <c r="M5639" s="1" t="str">
        <f t="shared" si="657"/>
        <v>fev</v>
      </c>
      <c r="N5639">
        <f t="shared" si="655"/>
        <v>2025</v>
      </c>
      <c r="P5639" t="str">
        <f t="shared" si="656"/>
        <v>148745714</v>
      </c>
    </row>
    <row r="5640" spans="1:16" x14ac:dyDescent="0.3">
      <c r="A5640">
        <v>1487</v>
      </c>
      <c r="B5640">
        <v>21</v>
      </c>
      <c r="C5640" t="s">
        <v>26</v>
      </c>
      <c r="D5640" t="s">
        <v>31</v>
      </c>
      <c r="E5640" t="s">
        <v>34</v>
      </c>
      <c r="F5640" t="s">
        <v>21</v>
      </c>
      <c r="G5640" t="s">
        <v>43</v>
      </c>
      <c r="H5640" t="s">
        <v>25</v>
      </c>
      <c r="I5640" s="1">
        <v>1</v>
      </c>
      <c r="J5640" s="2">
        <v>45715</v>
      </c>
      <c r="L5640" s="1" t="str">
        <f t="shared" si="654"/>
        <v>qui</v>
      </c>
      <c r="M5640" s="1" t="str">
        <f t="shared" si="657"/>
        <v>fev</v>
      </c>
      <c r="N5640">
        <f t="shared" si="655"/>
        <v>2025</v>
      </c>
      <c r="P5640" t="str">
        <f t="shared" si="656"/>
        <v>148745715</v>
      </c>
    </row>
    <row r="5641" spans="1:16" x14ac:dyDescent="0.3">
      <c r="A5641">
        <v>1487</v>
      </c>
      <c r="B5641">
        <v>21</v>
      </c>
      <c r="C5641" t="s">
        <v>26</v>
      </c>
      <c r="D5641" t="s">
        <v>31</v>
      </c>
      <c r="E5641" t="s">
        <v>34</v>
      </c>
      <c r="F5641" t="s">
        <v>21</v>
      </c>
      <c r="G5641" t="s">
        <v>43</v>
      </c>
      <c r="H5641" t="s">
        <v>25</v>
      </c>
      <c r="I5641" s="1">
        <v>1</v>
      </c>
      <c r="J5641" s="2">
        <v>45716</v>
      </c>
      <c r="L5641" s="1" t="str">
        <f t="shared" si="654"/>
        <v>sex</v>
      </c>
      <c r="M5641" s="1" t="str">
        <f t="shared" si="657"/>
        <v>fev</v>
      </c>
      <c r="N5641">
        <f t="shared" si="655"/>
        <v>2025</v>
      </c>
      <c r="P5641" t="str">
        <f t="shared" si="656"/>
        <v>148745716</v>
      </c>
    </row>
    <row r="5642" spans="1:16" x14ac:dyDescent="0.3">
      <c r="A5642">
        <v>1487</v>
      </c>
      <c r="B5642">
        <v>21</v>
      </c>
      <c r="C5642" t="s">
        <v>26</v>
      </c>
      <c r="D5642" t="s">
        <v>31</v>
      </c>
      <c r="E5642" t="s">
        <v>34</v>
      </c>
      <c r="F5642" t="s">
        <v>21</v>
      </c>
      <c r="G5642" t="s">
        <v>43</v>
      </c>
      <c r="H5642" t="s">
        <v>25</v>
      </c>
      <c r="I5642" s="1">
        <v>1</v>
      </c>
      <c r="J5642" s="2">
        <v>45717</v>
      </c>
      <c r="L5642" s="1" t="str">
        <f t="shared" si="654"/>
        <v>sáb</v>
      </c>
      <c r="M5642" s="1" t="str">
        <f t="shared" si="657"/>
        <v>mar</v>
      </c>
      <c r="N5642">
        <f t="shared" si="655"/>
        <v>2025</v>
      </c>
      <c r="P5642" t="str">
        <f t="shared" si="656"/>
        <v>148745717</v>
      </c>
    </row>
    <row r="5643" spans="1:16" x14ac:dyDescent="0.3">
      <c r="A5643">
        <v>1487</v>
      </c>
      <c r="B5643">
        <v>21</v>
      </c>
      <c r="C5643" t="s">
        <v>26</v>
      </c>
      <c r="D5643" t="s">
        <v>31</v>
      </c>
      <c r="E5643" t="s">
        <v>34</v>
      </c>
      <c r="F5643" t="s">
        <v>21</v>
      </c>
      <c r="G5643" t="s">
        <v>43</v>
      </c>
      <c r="H5643" t="s">
        <v>25</v>
      </c>
      <c r="I5643" s="1">
        <v>1</v>
      </c>
      <c r="J5643" s="2">
        <v>45718</v>
      </c>
      <c r="L5643" s="1" t="str">
        <f t="shared" si="654"/>
        <v>dom</v>
      </c>
      <c r="M5643" s="1" t="str">
        <f t="shared" si="657"/>
        <v>mar</v>
      </c>
      <c r="N5643">
        <f t="shared" si="655"/>
        <v>2025</v>
      </c>
      <c r="P5643" t="str">
        <f t="shared" si="656"/>
        <v>148745718</v>
      </c>
    </row>
    <row r="5644" spans="1:16" x14ac:dyDescent="0.3">
      <c r="A5644">
        <v>1487</v>
      </c>
      <c r="B5644">
        <v>21</v>
      </c>
      <c r="C5644" t="s">
        <v>26</v>
      </c>
      <c r="D5644" t="s">
        <v>31</v>
      </c>
      <c r="E5644" t="s">
        <v>34</v>
      </c>
      <c r="F5644" t="s">
        <v>21</v>
      </c>
      <c r="G5644" t="s">
        <v>43</v>
      </c>
      <c r="H5644" t="s">
        <v>25</v>
      </c>
      <c r="I5644" s="1">
        <v>1</v>
      </c>
      <c r="J5644" s="2">
        <v>45719</v>
      </c>
      <c r="L5644" s="1" t="str">
        <f t="shared" si="654"/>
        <v>seg</v>
      </c>
      <c r="M5644" s="1" t="str">
        <f t="shared" si="657"/>
        <v>mar</v>
      </c>
      <c r="N5644">
        <f t="shared" si="655"/>
        <v>2025</v>
      </c>
      <c r="P5644" t="str">
        <f t="shared" si="656"/>
        <v>148745719</v>
      </c>
    </row>
    <row r="5645" spans="1:16" x14ac:dyDescent="0.3">
      <c r="A5645">
        <v>1487</v>
      </c>
      <c r="B5645">
        <v>21</v>
      </c>
      <c r="C5645" t="s">
        <v>26</v>
      </c>
      <c r="D5645" t="s">
        <v>31</v>
      </c>
      <c r="E5645" t="s">
        <v>34</v>
      </c>
      <c r="F5645" t="s">
        <v>21</v>
      </c>
      <c r="G5645" t="s">
        <v>43</v>
      </c>
      <c r="H5645" t="s">
        <v>25</v>
      </c>
      <c r="I5645" s="1">
        <v>1</v>
      </c>
      <c r="J5645" s="2">
        <v>45720</v>
      </c>
      <c r="L5645" s="1" t="str">
        <f t="shared" si="654"/>
        <v>ter</v>
      </c>
      <c r="M5645" s="1" t="str">
        <f t="shared" si="657"/>
        <v>mar</v>
      </c>
      <c r="N5645">
        <f t="shared" si="655"/>
        <v>2025</v>
      </c>
      <c r="P5645" t="str">
        <f t="shared" si="656"/>
        <v>148745720</v>
      </c>
    </row>
    <row r="5646" spans="1:16" x14ac:dyDescent="0.3">
      <c r="A5646">
        <v>1487</v>
      </c>
      <c r="B5646">
        <v>21</v>
      </c>
      <c r="C5646" t="s">
        <v>26</v>
      </c>
      <c r="D5646" t="s">
        <v>31</v>
      </c>
      <c r="E5646" t="s">
        <v>34</v>
      </c>
      <c r="F5646" t="s">
        <v>21</v>
      </c>
      <c r="G5646" t="s">
        <v>43</v>
      </c>
      <c r="H5646" t="s">
        <v>25</v>
      </c>
      <c r="I5646" s="1">
        <v>1</v>
      </c>
      <c r="J5646" s="2">
        <v>45721</v>
      </c>
      <c r="L5646" s="1" t="str">
        <f t="shared" si="654"/>
        <v>qua</v>
      </c>
      <c r="M5646" s="1" t="str">
        <f t="shared" si="657"/>
        <v>mar</v>
      </c>
      <c r="N5646">
        <f t="shared" si="655"/>
        <v>2025</v>
      </c>
      <c r="P5646" t="str">
        <f t="shared" si="656"/>
        <v>148745721</v>
      </c>
    </row>
    <row r="5647" spans="1:16" x14ac:dyDescent="0.3">
      <c r="A5647">
        <v>1487</v>
      </c>
      <c r="B5647">
        <v>21</v>
      </c>
      <c r="C5647" t="s">
        <v>26</v>
      </c>
      <c r="D5647" t="s">
        <v>31</v>
      </c>
      <c r="E5647" t="s">
        <v>34</v>
      </c>
      <c r="F5647" t="s">
        <v>21</v>
      </c>
      <c r="G5647" t="s">
        <v>43</v>
      </c>
      <c r="H5647" t="s">
        <v>25</v>
      </c>
      <c r="I5647" s="1">
        <v>1</v>
      </c>
      <c r="J5647" s="2">
        <v>45722</v>
      </c>
      <c r="L5647" s="1" t="str">
        <f t="shared" si="654"/>
        <v>qui</v>
      </c>
      <c r="M5647" s="1" t="str">
        <f t="shared" si="657"/>
        <v>mar</v>
      </c>
      <c r="N5647">
        <f t="shared" si="655"/>
        <v>2025</v>
      </c>
      <c r="P5647" t="str">
        <f t="shared" si="656"/>
        <v>148745722</v>
      </c>
    </row>
    <row r="5648" spans="1:16" x14ac:dyDescent="0.3">
      <c r="A5648">
        <v>1487</v>
      </c>
      <c r="B5648">
        <v>21</v>
      </c>
      <c r="C5648" t="s">
        <v>26</v>
      </c>
      <c r="D5648" t="s">
        <v>31</v>
      </c>
      <c r="E5648" t="s">
        <v>34</v>
      </c>
      <c r="F5648" t="s">
        <v>21</v>
      </c>
      <c r="G5648" t="s">
        <v>43</v>
      </c>
      <c r="H5648" t="s">
        <v>25</v>
      </c>
      <c r="I5648" s="1">
        <v>1</v>
      </c>
      <c r="J5648" s="2">
        <v>45723</v>
      </c>
      <c r="L5648" s="1" t="str">
        <f t="shared" si="654"/>
        <v>sex</v>
      </c>
      <c r="M5648" s="1" t="str">
        <f t="shared" si="657"/>
        <v>mar</v>
      </c>
      <c r="N5648">
        <f t="shared" si="655"/>
        <v>2025</v>
      </c>
      <c r="P5648" t="str">
        <f t="shared" si="656"/>
        <v>148745723</v>
      </c>
    </row>
    <row r="5649" spans="1:16" x14ac:dyDescent="0.3">
      <c r="A5649">
        <v>1487</v>
      </c>
      <c r="B5649">
        <v>21</v>
      </c>
      <c r="C5649" t="s">
        <v>26</v>
      </c>
      <c r="D5649" t="s">
        <v>31</v>
      </c>
      <c r="E5649" t="s">
        <v>34</v>
      </c>
      <c r="F5649" t="s">
        <v>21</v>
      </c>
      <c r="G5649" t="s">
        <v>43</v>
      </c>
      <c r="H5649" t="s">
        <v>25</v>
      </c>
      <c r="I5649" s="1">
        <v>1</v>
      </c>
      <c r="J5649" s="2">
        <v>45724</v>
      </c>
      <c r="L5649" s="1" t="str">
        <f t="shared" si="654"/>
        <v>sáb</v>
      </c>
      <c r="M5649" s="1" t="str">
        <f t="shared" si="657"/>
        <v>mar</v>
      </c>
      <c r="N5649">
        <f t="shared" si="655"/>
        <v>2025</v>
      </c>
      <c r="P5649" t="str">
        <f t="shared" si="656"/>
        <v>148745724</v>
      </c>
    </row>
    <row r="5650" spans="1:16" x14ac:dyDescent="0.3">
      <c r="A5650">
        <v>1487</v>
      </c>
      <c r="B5650">
        <v>21</v>
      </c>
      <c r="C5650" t="s">
        <v>26</v>
      </c>
      <c r="D5650" t="s">
        <v>31</v>
      </c>
      <c r="E5650" t="s">
        <v>34</v>
      </c>
      <c r="F5650" t="s">
        <v>21</v>
      </c>
      <c r="G5650" t="s">
        <v>43</v>
      </c>
      <c r="H5650" t="s">
        <v>25</v>
      </c>
      <c r="I5650" s="1">
        <v>1</v>
      </c>
      <c r="J5650" s="2">
        <v>45725</v>
      </c>
      <c r="L5650" s="1" t="str">
        <f t="shared" si="654"/>
        <v>dom</v>
      </c>
      <c r="M5650" s="1" t="str">
        <f t="shared" si="657"/>
        <v>mar</v>
      </c>
      <c r="N5650">
        <f t="shared" si="655"/>
        <v>2025</v>
      </c>
      <c r="P5650" t="str">
        <f t="shared" si="656"/>
        <v>148745725</v>
      </c>
    </row>
    <row r="5651" spans="1:16" x14ac:dyDescent="0.3">
      <c r="A5651">
        <v>1487</v>
      </c>
      <c r="B5651">
        <v>21</v>
      </c>
      <c r="C5651" t="s">
        <v>26</v>
      </c>
      <c r="D5651" t="s">
        <v>31</v>
      </c>
      <c r="E5651" t="s">
        <v>34</v>
      </c>
      <c r="F5651" t="s">
        <v>21</v>
      </c>
      <c r="G5651" t="s">
        <v>43</v>
      </c>
      <c r="H5651" t="s">
        <v>25</v>
      </c>
      <c r="I5651" s="1">
        <v>1</v>
      </c>
      <c r="J5651" s="2">
        <v>45726</v>
      </c>
      <c r="L5651" s="1" t="str">
        <f t="shared" si="654"/>
        <v>seg</v>
      </c>
      <c r="M5651" s="1" t="str">
        <f t="shared" si="657"/>
        <v>mar</v>
      </c>
      <c r="N5651">
        <f t="shared" si="655"/>
        <v>2025</v>
      </c>
      <c r="P5651" t="str">
        <f t="shared" si="656"/>
        <v>148745726</v>
      </c>
    </row>
    <row r="5652" spans="1:16" x14ac:dyDescent="0.3">
      <c r="A5652">
        <v>1487</v>
      </c>
      <c r="B5652">
        <v>21</v>
      </c>
      <c r="C5652" t="s">
        <v>26</v>
      </c>
      <c r="D5652" t="s">
        <v>31</v>
      </c>
      <c r="E5652" t="s">
        <v>34</v>
      </c>
      <c r="F5652" t="s">
        <v>21</v>
      </c>
      <c r="G5652" t="s">
        <v>43</v>
      </c>
      <c r="H5652" t="s">
        <v>25</v>
      </c>
      <c r="I5652" s="1">
        <v>1</v>
      </c>
      <c r="J5652" s="2">
        <v>45727</v>
      </c>
      <c r="L5652" s="1" t="str">
        <f t="shared" si="654"/>
        <v>ter</v>
      </c>
      <c r="M5652" s="1" t="str">
        <f t="shared" si="657"/>
        <v>mar</v>
      </c>
      <c r="N5652">
        <f t="shared" si="655"/>
        <v>2025</v>
      </c>
      <c r="P5652" t="str">
        <f t="shared" si="656"/>
        <v>148745727</v>
      </c>
    </row>
    <row r="5653" spans="1:16" x14ac:dyDescent="0.3">
      <c r="A5653">
        <v>1487</v>
      </c>
      <c r="B5653">
        <v>21</v>
      </c>
      <c r="C5653" t="s">
        <v>26</v>
      </c>
      <c r="D5653" t="s">
        <v>31</v>
      </c>
      <c r="E5653" t="s">
        <v>34</v>
      </c>
      <c r="F5653" t="s">
        <v>21</v>
      </c>
      <c r="G5653" t="s">
        <v>43</v>
      </c>
      <c r="H5653" t="s">
        <v>25</v>
      </c>
      <c r="I5653" s="1">
        <v>1</v>
      </c>
      <c r="J5653" s="2">
        <v>45728</v>
      </c>
      <c r="L5653" s="1" t="str">
        <f t="shared" si="654"/>
        <v>qua</v>
      </c>
      <c r="M5653" s="1" t="str">
        <f t="shared" si="657"/>
        <v>mar</v>
      </c>
      <c r="N5653">
        <f t="shared" si="655"/>
        <v>2025</v>
      </c>
      <c r="P5653" t="str">
        <f t="shared" si="656"/>
        <v>148745728</v>
      </c>
    </row>
    <row r="5654" spans="1:16" x14ac:dyDescent="0.3">
      <c r="A5654">
        <v>1487</v>
      </c>
      <c r="B5654">
        <v>21</v>
      </c>
      <c r="C5654" t="s">
        <v>26</v>
      </c>
      <c r="D5654" t="s">
        <v>31</v>
      </c>
      <c r="E5654" t="s">
        <v>34</v>
      </c>
      <c r="F5654" t="s">
        <v>21</v>
      </c>
      <c r="G5654" t="s">
        <v>43</v>
      </c>
      <c r="H5654" t="s">
        <v>25</v>
      </c>
      <c r="I5654" s="1">
        <v>1</v>
      </c>
      <c r="J5654" s="2">
        <v>45729</v>
      </c>
      <c r="L5654" s="1" t="str">
        <f t="shared" si="654"/>
        <v>qui</v>
      </c>
      <c r="M5654" s="1" t="str">
        <f t="shared" si="657"/>
        <v>mar</v>
      </c>
      <c r="N5654">
        <f t="shared" si="655"/>
        <v>2025</v>
      </c>
      <c r="P5654" t="str">
        <f t="shared" si="656"/>
        <v>148745729</v>
      </c>
    </row>
    <row r="5655" spans="1:16" x14ac:dyDescent="0.3">
      <c r="A5655">
        <v>1487</v>
      </c>
      <c r="B5655">
        <v>21</v>
      </c>
      <c r="C5655" t="s">
        <v>26</v>
      </c>
      <c r="D5655" t="s">
        <v>31</v>
      </c>
      <c r="E5655" t="s">
        <v>34</v>
      </c>
      <c r="F5655" t="s">
        <v>21</v>
      </c>
      <c r="G5655" t="s">
        <v>43</v>
      </c>
      <c r="H5655" t="s">
        <v>25</v>
      </c>
      <c r="I5655" s="1">
        <v>1</v>
      </c>
      <c r="J5655" s="2">
        <v>45730</v>
      </c>
      <c r="L5655" s="1" t="str">
        <f t="shared" si="654"/>
        <v>sex</v>
      </c>
      <c r="M5655" s="1" t="str">
        <f t="shared" si="657"/>
        <v>mar</v>
      </c>
      <c r="N5655">
        <f t="shared" si="655"/>
        <v>2025</v>
      </c>
      <c r="P5655" t="str">
        <f t="shared" si="656"/>
        <v>148745730</v>
      </c>
    </row>
    <row r="5656" spans="1:16" x14ac:dyDescent="0.3">
      <c r="A5656">
        <v>1487</v>
      </c>
      <c r="B5656">
        <v>21</v>
      </c>
      <c r="C5656" t="s">
        <v>26</v>
      </c>
      <c r="D5656" t="s">
        <v>31</v>
      </c>
      <c r="E5656" t="s">
        <v>34</v>
      </c>
      <c r="F5656" t="s">
        <v>21</v>
      </c>
      <c r="G5656" t="s">
        <v>43</v>
      </c>
      <c r="H5656" t="s">
        <v>25</v>
      </c>
      <c r="I5656" s="1">
        <v>1</v>
      </c>
      <c r="J5656" s="2">
        <v>45731</v>
      </c>
      <c r="L5656" s="1" t="str">
        <f t="shared" si="654"/>
        <v>sáb</v>
      </c>
      <c r="M5656" s="1" t="str">
        <f t="shared" si="657"/>
        <v>mar</v>
      </c>
      <c r="N5656">
        <f t="shared" si="655"/>
        <v>2025</v>
      </c>
      <c r="P5656" t="str">
        <f t="shared" si="656"/>
        <v>148745731</v>
      </c>
    </row>
    <row r="5657" spans="1:16" x14ac:dyDescent="0.3">
      <c r="A5657">
        <v>1487</v>
      </c>
      <c r="B5657">
        <v>21</v>
      </c>
      <c r="C5657" t="s">
        <v>26</v>
      </c>
      <c r="D5657" t="s">
        <v>31</v>
      </c>
      <c r="E5657" t="s">
        <v>34</v>
      </c>
      <c r="F5657" t="s">
        <v>21</v>
      </c>
      <c r="G5657" t="s">
        <v>43</v>
      </c>
      <c r="H5657" t="s">
        <v>25</v>
      </c>
      <c r="I5657" s="1">
        <v>1</v>
      </c>
      <c r="J5657" s="2">
        <v>45732</v>
      </c>
      <c r="L5657" s="1" t="str">
        <f t="shared" si="654"/>
        <v>dom</v>
      </c>
      <c r="M5657" s="1" t="str">
        <f t="shared" si="657"/>
        <v>mar</v>
      </c>
      <c r="N5657">
        <f t="shared" si="655"/>
        <v>2025</v>
      </c>
      <c r="P5657" t="str">
        <f t="shared" si="656"/>
        <v>148745732</v>
      </c>
    </row>
    <row r="5658" spans="1:16" x14ac:dyDescent="0.3">
      <c r="A5658">
        <v>1487</v>
      </c>
      <c r="B5658">
        <v>21</v>
      </c>
      <c r="C5658" t="s">
        <v>26</v>
      </c>
      <c r="D5658" t="s">
        <v>31</v>
      </c>
      <c r="E5658" t="s">
        <v>34</v>
      </c>
      <c r="F5658" t="s">
        <v>21</v>
      </c>
      <c r="G5658" t="s">
        <v>43</v>
      </c>
      <c r="H5658" t="s">
        <v>25</v>
      </c>
      <c r="I5658" s="1">
        <v>1</v>
      </c>
      <c r="J5658" s="2">
        <v>45733</v>
      </c>
      <c r="L5658" s="1" t="str">
        <f t="shared" si="654"/>
        <v>seg</v>
      </c>
      <c r="M5658" s="1" t="str">
        <f t="shared" si="657"/>
        <v>mar</v>
      </c>
      <c r="N5658">
        <f t="shared" si="655"/>
        <v>2025</v>
      </c>
      <c r="P5658" t="str">
        <f t="shared" si="656"/>
        <v>148745733</v>
      </c>
    </row>
    <row r="5659" spans="1:16" x14ac:dyDescent="0.3">
      <c r="A5659">
        <v>1487</v>
      </c>
      <c r="B5659">
        <v>21</v>
      </c>
      <c r="C5659" t="s">
        <v>26</v>
      </c>
      <c r="D5659" t="s">
        <v>31</v>
      </c>
      <c r="E5659" t="s">
        <v>34</v>
      </c>
      <c r="F5659" t="s">
        <v>21</v>
      </c>
      <c r="G5659" t="s">
        <v>43</v>
      </c>
      <c r="H5659" t="s">
        <v>25</v>
      </c>
      <c r="I5659" s="1">
        <v>1</v>
      </c>
      <c r="J5659" s="2">
        <v>45734</v>
      </c>
      <c r="L5659" s="1" t="str">
        <f t="shared" si="654"/>
        <v>ter</v>
      </c>
      <c r="M5659" s="1" t="str">
        <f t="shared" si="657"/>
        <v>mar</v>
      </c>
      <c r="N5659">
        <f t="shared" si="655"/>
        <v>2025</v>
      </c>
      <c r="P5659" t="str">
        <f t="shared" si="656"/>
        <v>148745734</v>
      </c>
    </row>
    <row r="5660" spans="1:16" x14ac:dyDescent="0.3">
      <c r="A5660">
        <v>1487</v>
      </c>
      <c r="B5660">
        <v>21</v>
      </c>
      <c r="C5660" t="s">
        <v>26</v>
      </c>
      <c r="D5660" t="s">
        <v>31</v>
      </c>
      <c r="E5660" t="s">
        <v>34</v>
      </c>
      <c r="F5660" t="s">
        <v>21</v>
      </c>
      <c r="G5660" t="s">
        <v>43</v>
      </c>
      <c r="H5660" t="s">
        <v>25</v>
      </c>
      <c r="I5660" s="1">
        <v>1</v>
      </c>
      <c r="J5660" s="2">
        <v>45735</v>
      </c>
      <c r="L5660" s="1" t="str">
        <f t="shared" si="654"/>
        <v>qua</v>
      </c>
      <c r="M5660" s="1" t="str">
        <f t="shared" si="657"/>
        <v>mar</v>
      </c>
      <c r="N5660">
        <f t="shared" si="655"/>
        <v>2025</v>
      </c>
      <c r="P5660" t="str">
        <f t="shared" si="656"/>
        <v>148745735</v>
      </c>
    </row>
    <row r="5661" spans="1:16" x14ac:dyDescent="0.3">
      <c r="A5661">
        <v>1487</v>
      </c>
      <c r="B5661">
        <v>21</v>
      </c>
      <c r="C5661" t="s">
        <v>26</v>
      </c>
      <c r="D5661" t="s">
        <v>31</v>
      </c>
      <c r="E5661" t="s">
        <v>34</v>
      </c>
      <c r="F5661" t="s">
        <v>21</v>
      </c>
      <c r="G5661" t="s">
        <v>43</v>
      </c>
      <c r="H5661" t="s">
        <v>25</v>
      </c>
      <c r="I5661" s="1">
        <v>1</v>
      </c>
      <c r="J5661" s="2">
        <v>45736</v>
      </c>
      <c r="L5661" s="1" t="str">
        <f t="shared" si="654"/>
        <v>qui</v>
      </c>
      <c r="M5661" s="1" t="str">
        <f t="shared" si="657"/>
        <v>mar</v>
      </c>
      <c r="N5661">
        <f t="shared" si="655"/>
        <v>2025</v>
      </c>
      <c r="P5661" t="str">
        <f t="shared" si="656"/>
        <v>148745736</v>
      </c>
    </row>
    <row r="5662" spans="1:16" x14ac:dyDescent="0.3">
      <c r="A5662">
        <v>1487</v>
      </c>
      <c r="B5662">
        <v>21</v>
      </c>
      <c r="C5662" t="s">
        <v>26</v>
      </c>
      <c r="D5662" t="s">
        <v>31</v>
      </c>
      <c r="E5662" t="s">
        <v>34</v>
      </c>
      <c r="F5662" t="s">
        <v>21</v>
      </c>
      <c r="G5662" t="s">
        <v>43</v>
      </c>
      <c r="H5662" t="s">
        <v>25</v>
      </c>
      <c r="I5662" s="1">
        <v>1</v>
      </c>
      <c r="J5662" s="2">
        <v>45737</v>
      </c>
      <c r="L5662" s="1" t="str">
        <f t="shared" si="654"/>
        <v>sex</v>
      </c>
      <c r="M5662" s="1" t="str">
        <f t="shared" si="657"/>
        <v>mar</v>
      </c>
      <c r="N5662">
        <f t="shared" si="655"/>
        <v>2025</v>
      </c>
      <c r="P5662" t="str">
        <f t="shared" si="656"/>
        <v>148745737</v>
      </c>
    </row>
    <row r="5663" spans="1:16" x14ac:dyDescent="0.3">
      <c r="A5663">
        <v>1487</v>
      </c>
      <c r="B5663">
        <v>21</v>
      </c>
      <c r="C5663" t="s">
        <v>26</v>
      </c>
      <c r="D5663" t="s">
        <v>31</v>
      </c>
      <c r="E5663" t="s">
        <v>34</v>
      </c>
      <c r="F5663" t="s">
        <v>21</v>
      </c>
      <c r="G5663" t="s">
        <v>43</v>
      </c>
      <c r="H5663" t="s">
        <v>25</v>
      </c>
      <c r="I5663" s="1">
        <v>1</v>
      </c>
      <c r="J5663" s="2">
        <v>45738</v>
      </c>
      <c r="L5663" s="1" t="str">
        <f t="shared" si="654"/>
        <v>sáb</v>
      </c>
      <c r="M5663" s="1" t="str">
        <f t="shared" si="657"/>
        <v>mar</v>
      </c>
      <c r="N5663">
        <f t="shared" si="655"/>
        <v>2025</v>
      </c>
      <c r="P5663" t="str">
        <f t="shared" si="656"/>
        <v>148745738</v>
      </c>
    </row>
    <row r="5664" spans="1:16" x14ac:dyDescent="0.3">
      <c r="A5664">
        <v>1487</v>
      </c>
      <c r="B5664">
        <v>21</v>
      </c>
      <c r="C5664" t="s">
        <v>26</v>
      </c>
      <c r="D5664" t="s">
        <v>31</v>
      </c>
      <c r="E5664" t="s">
        <v>34</v>
      </c>
      <c r="F5664" t="s">
        <v>21</v>
      </c>
      <c r="G5664" t="s">
        <v>43</v>
      </c>
      <c r="H5664" t="s">
        <v>25</v>
      </c>
      <c r="I5664" s="1">
        <v>1</v>
      </c>
      <c r="J5664" s="2">
        <v>45739</v>
      </c>
      <c r="L5664" s="1" t="str">
        <f t="shared" si="654"/>
        <v>dom</v>
      </c>
      <c r="M5664" s="1" t="str">
        <f t="shared" si="657"/>
        <v>mar</v>
      </c>
      <c r="N5664">
        <f t="shared" si="655"/>
        <v>2025</v>
      </c>
      <c r="P5664" t="str">
        <f t="shared" si="656"/>
        <v>148745739</v>
      </c>
    </row>
    <row r="5665" spans="1:16" x14ac:dyDescent="0.3">
      <c r="A5665">
        <v>1487</v>
      </c>
      <c r="B5665">
        <v>21</v>
      </c>
      <c r="C5665" t="s">
        <v>26</v>
      </c>
      <c r="D5665" t="s">
        <v>31</v>
      </c>
      <c r="E5665" t="s">
        <v>34</v>
      </c>
      <c r="F5665" t="s">
        <v>21</v>
      </c>
      <c r="G5665" t="s">
        <v>43</v>
      </c>
      <c r="H5665" t="s">
        <v>25</v>
      </c>
      <c r="I5665" s="1">
        <v>1</v>
      </c>
      <c r="J5665" s="2">
        <v>45740</v>
      </c>
      <c r="L5665" s="1" t="str">
        <f t="shared" si="654"/>
        <v>seg</v>
      </c>
      <c r="M5665" s="1" t="str">
        <f t="shared" si="657"/>
        <v>mar</v>
      </c>
      <c r="N5665">
        <f t="shared" si="655"/>
        <v>2025</v>
      </c>
      <c r="P5665" t="str">
        <f t="shared" si="656"/>
        <v>148745740</v>
      </c>
    </row>
    <row r="5666" spans="1:16" x14ac:dyDescent="0.3">
      <c r="A5666">
        <v>1487</v>
      </c>
      <c r="B5666">
        <v>21</v>
      </c>
      <c r="C5666" t="s">
        <v>26</v>
      </c>
      <c r="D5666" t="s">
        <v>31</v>
      </c>
      <c r="E5666" t="s">
        <v>34</v>
      </c>
      <c r="F5666" t="s">
        <v>21</v>
      </c>
      <c r="G5666" t="s">
        <v>43</v>
      </c>
      <c r="H5666" t="s">
        <v>25</v>
      </c>
      <c r="I5666" s="1">
        <v>1</v>
      </c>
      <c r="J5666" s="2">
        <v>45741</v>
      </c>
      <c r="L5666" s="1" t="str">
        <f t="shared" si="654"/>
        <v>ter</v>
      </c>
      <c r="M5666" s="1" t="str">
        <f t="shared" si="657"/>
        <v>mar</v>
      </c>
      <c r="N5666">
        <f t="shared" si="655"/>
        <v>2025</v>
      </c>
      <c r="P5666" t="str">
        <f t="shared" si="656"/>
        <v>148745741</v>
      </c>
    </row>
    <row r="5667" spans="1:16" x14ac:dyDescent="0.3">
      <c r="A5667">
        <v>1487</v>
      </c>
      <c r="B5667">
        <v>21</v>
      </c>
      <c r="C5667" t="s">
        <v>26</v>
      </c>
      <c r="D5667" t="s">
        <v>31</v>
      </c>
      <c r="E5667" t="s">
        <v>34</v>
      </c>
      <c r="F5667" t="s">
        <v>21</v>
      </c>
      <c r="G5667" t="s">
        <v>43</v>
      </c>
      <c r="H5667" t="s">
        <v>25</v>
      </c>
      <c r="I5667" s="1">
        <v>1</v>
      </c>
      <c r="J5667" s="2">
        <v>45742</v>
      </c>
      <c r="L5667" s="1" t="str">
        <f t="shared" si="654"/>
        <v>qua</v>
      </c>
      <c r="M5667" s="1" t="str">
        <f t="shared" si="657"/>
        <v>mar</v>
      </c>
      <c r="N5667">
        <f t="shared" si="655"/>
        <v>2025</v>
      </c>
      <c r="P5667" t="str">
        <f t="shared" si="656"/>
        <v>148745742</v>
      </c>
    </row>
    <row r="5668" spans="1:16" x14ac:dyDescent="0.3">
      <c r="A5668">
        <v>1487</v>
      </c>
      <c r="B5668">
        <v>21</v>
      </c>
      <c r="C5668" t="s">
        <v>26</v>
      </c>
      <c r="D5668" t="s">
        <v>31</v>
      </c>
      <c r="E5668" t="s">
        <v>34</v>
      </c>
      <c r="F5668" t="s">
        <v>21</v>
      </c>
      <c r="G5668" t="s">
        <v>43</v>
      </c>
      <c r="H5668" t="s">
        <v>25</v>
      </c>
      <c r="I5668" s="1">
        <v>1</v>
      </c>
      <c r="J5668" s="2">
        <v>45743</v>
      </c>
      <c r="L5668" s="1" t="str">
        <f t="shared" si="654"/>
        <v>qui</v>
      </c>
      <c r="M5668" s="1" t="str">
        <f t="shared" si="657"/>
        <v>mar</v>
      </c>
      <c r="N5668">
        <f t="shared" si="655"/>
        <v>2025</v>
      </c>
      <c r="P5668" t="str">
        <f t="shared" si="656"/>
        <v>148745743</v>
      </c>
    </row>
    <row r="5669" spans="1:16" x14ac:dyDescent="0.3">
      <c r="A5669">
        <v>1487</v>
      </c>
      <c r="B5669">
        <v>21</v>
      </c>
      <c r="C5669" t="s">
        <v>26</v>
      </c>
      <c r="D5669" t="s">
        <v>31</v>
      </c>
      <c r="E5669" t="s">
        <v>34</v>
      </c>
      <c r="F5669" t="s">
        <v>21</v>
      </c>
      <c r="G5669" t="s">
        <v>43</v>
      </c>
      <c r="H5669" t="s">
        <v>25</v>
      </c>
      <c r="I5669" s="1">
        <v>1</v>
      </c>
      <c r="J5669" s="2">
        <v>45744</v>
      </c>
      <c r="L5669" s="1" t="str">
        <f t="shared" si="654"/>
        <v>sex</v>
      </c>
      <c r="M5669" s="1" t="str">
        <f t="shared" si="657"/>
        <v>mar</v>
      </c>
      <c r="N5669">
        <f t="shared" si="655"/>
        <v>2025</v>
      </c>
      <c r="P5669" t="str">
        <f t="shared" si="656"/>
        <v>148745744</v>
      </c>
    </row>
    <row r="5670" spans="1:16" x14ac:dyDescent="0.3">
      <c r="A5670">
        <v>1487</v>
      </c>
      <c r="B5670">
        <v>21</v>
      </c>
      <c r="C5670" t="s">
        <v>26</v>
      </c>
      <c r="D5670" t="s">
        <v>31</v>
      </c>
      <c r="E5670" t="s">
        <v>34</v>
      </c>
      <c r="F5670" t="s">
        <v>21</v>
      </c>
      <c r="G5670" t="s">
        <v>43</v>
      </c>
      <c r="H5670" t="s">
        <v>25</v>
      </c>
      <c r="I5670" s="1">
        <v>1</v>
      </c>
      <c r="J5670" s="2">
        <v>45745</v>
      </c>
      <c r="L5670" s="1" t="str">
        <f t="shared" si="654"/>
        <v>sáb</v>
      </c>
      <c r="M5670" s="1" t="str">
        <f t="shared" si="657"/>
        <v>mar</v>
      </c>
      <c r="N5670">
        <f t="shared" si="655"/>
        <v>2025</v>
      </c>
      <c r="P5670" t="str">
        <f t="shared" si="656"/>
        <v>148745745</v>
      </c>
    </row>
    <row r="5671" spans="1:16" x14ac:dyDescent="0.3">
      <c r="A5671">
        <v>1487</v>
      </c>
      <c r="B5671">
        <v>21</v>
      </c>
      <c r="C5671" t="s">
        <v>26</v>
      </c>
      <c r="D5671" t="s">
        <v>31</v>
      </c>
      <c r="E5671" t="s">
        <v>34</v>
      </c>
      <c r="F5671" t="s">
        <v>21</v>
      </c>
      <c r="G5671" t="s">
        <v>43</v>
      </c>
      <c r="H5671" t="s">
        <v>25</v>
      </c>
      <c r="I5671" s="1">
        <v>1</v>
      </c>
      <c r="J5671" s="2">
        <v>45746</v>
      </c>
      <c r="L5671" s="1" t="str">
        <f t="shared" si="654"/>
        <v>dom</v>
      </c>
      <c r="M5671" s="1" t="str">
        <f t="shared" si="657"/>
        <v>mar</v>
      </c>
      <c r="N5671">
        <f t="shared" si="655"/>
        <v>2025</v>
      </c>
      <c r="P5671" t="str">
        <f t="shared" si="656"/>
        <v>148745746</v>
      </c>
    </row>
    <row r="5672" spans="1:16" x14ac:dyDescent="0.3">
      <c r="A5672">
        <v>1487</v>
      </c>
      <c r="B5672">
        <v>21</v>
      </c>
      <c r="C5672" t="s">
        <v>26</v>
      </c>
      <c r="D5672" t="s">
        <v>31</v>
      </c>
      <c r="E5672" t="s">
        <v>34</v>
      </c>
      <c r="F5672" t="s">
        <v>21</v>
      </c>
      <c r="G5672" t="s">
        <v>43</v>
      </c>
      <c r="H5672" t="s">
        <v>25</v>
      </c>
      <c r="I5672" s="1">
        <v>1</v>
      </c>
      <c r="J5672" s="2">
        <v>45747</v>
      </c>
      <c r="L5672" s="1" t="str">
        <f t="shared" si="654"/>
        <v>seg</v>
      </c>
      <c r="M5672" s="1" t="str">
        <f t="shared" si="657"/>
        <v>mar</v>
      </c>
      <c r="N5672">
        <f t="shared" si="655"/>
        <v>2025</v>
      </c>
      <c r="P5672" t="str">
        <f t="shared" si="656"/>
        <v>148745747</v>
      </c>
    </row>
    <row r="5673" spans="1:16" x14ac:dyDescent="0.3">
      <c r="A5673">
        <v>1487</v>
      </c>
      <c r="B5673">
        <v>21</v>
      </c>
      <c r="C5673" t="s">
        <v>26</v>
      </c>
      <c r="D5673" t="s">
        <v>31</v>
      </c>
      <c r="E5673" t="s">
        <v>34</v>
      </c>
      <c r="F5673" t="s">
        <v>21</v>
      </c>
      <c r="G5673" t="s">
        <v>43</v>
      </c>
      <c r="H5673" t="s">
        <v>25</v>
      </c>
      <c r="I5673" s="1">
        <v>1</v>
      </c>
      <c r="J5673" s="2">
        <v>45748</v>
      </c>
      <c r="L5673" s="1" t="str">
        <f t="shared" si="654"/>
        <v>ter</v>
      </c>
      <c r="M5673" s="1" t="str">
        <f t="shared" si="657"/>
        <v>abr</v>
      </c>
      <c r="N5673">
        <f t="shared" si="655"/>
        <v>2025</v>
      </c>
      <c r="P5673" t="str">
        <f t="shared" si="656"/>
        <v>148745748</v>
      </c>
    </row>
    <row r="5674" spans="1:16" x14ac:dyDescent="0.3">
      <c r="A5674">
        <v>1487</v>
      </c>
      <c r="B5674">
        <v>21</v>
      </c>
      <c r="C5674" t="s">
        <v>26</v>
      </c>
      <c r="D5674" t="s">
        <v>31</v>
      </c>
      <c r="E5674" t="s">
        <v>34</v>
      </c>
      <c r="F5674" t="s">
        <v>21</v>
      </c>
      <c r="G5674" t="s">
        <v>43</v>
      </c>
      <c r="H5674" t="s">
        <v>25</v>
      </c>
      <c r="I5674" s="1">
        <v>1</v>
      </c>
      <c r="J5674" s="2">
        <v>45749</v>
      </c>
      <c r="L5674" s="1" t="str">
        <f t="shared" si="654"/>
        <v>qua</v>
      </c>
      <c r="M5674" s="1" t="str">
        <f t="shared" si="657"/>
        <v>abr</v>
      </c>
      <c r="N5674">
        <f t="shared" si="655"/>
        <v>2025</v>
      </c>
      <c r="P5674" t="str">
        <f t="shared" si="656"/>
        <v>148745749</v>
      </c>
    </row>
    <row r="5675" spans="1:16" x14ac:dyDescent="0.3">
      <c r="A5675">
        <v>1487</v>
      </c>
      <c r="B5675">
        <v>21</v>
      </c>
      <c r="C5675" t="s">
        <v>26</v>
      </c>
      <c r="D5675" t="s">
        <v>31</v>
      </c>
      <c r="E5675" t="s">
        <v>34</v>
      </c>
      <c r="F5675" t="s">
        <v>21</v>
      </c>
      <c r="G5675" t="s">
        <v>43</v>
      </c>
      <c r="H5675" t="s">
        <v>25</v>
      </c>
      <c r="I5675" s="1">
        <v>1</v>
      </c>
      <c r="J5675" s="2">
        <v>45750</v>
      </c>
      <c r="L5675" s="1" t="str">
        <f t="shared" si="654"/>
        <v>qui</v>
      </c>
      <c r="M5675" s="1" t="str">
        <f t="shared" si="657"/>
        <v>abr</v>
      </c>
      <c r="N5675">
        <f t="shared" si="655"/>
        <v>2025</v>
      </c>
      <c r="P5675" t="str">
        <f t="shared" si="656"/>
        <v>148745750</v>
      </c>
    </row>
    <row r="5676" spans="1:16" x14ac:dyDescent="0.3">
      <c r="A5676">
        <v>1487</v>
      </c>
      <c r="B5676">
        <v>21</v>
      </c>
      <c r="C5676" t="s">
        <v>26</v>
      </c>
      <c r="D5676" t="s">
        <v>31</v>
      </c>
      <c r="E5676" t="s">
        <v>34</v>
      </c>
      <c r="F5676" t="s">
        <v>21</v>
      </c>
      <c r="G5676" t="s">
        <v>43</v>
      </c>
      <c r="H5676" t="s">
        <v>25</v>
      </c>
      <c r="I5676" s="1">
        <v>1</v>
      </c>
      <c r="J5676" s="2">
        <v>45751</v>
      </c>
      <c r="L5676" s="1" t="str">
        <f t="shared" si="654"/>
        <v>sex</v>
      </c>
      <c r="M5676" s="1" t="str">
        <f t="shared" si="657"/>
        <v>abr</v>
      </c>
      <c r="N5676">
        <f t="shared" si="655"/>
        <v>2025</v>
      </c>
      <c r="P5676" t="str">
        <f t="shared" si="656"/>
        <v>148745751</v>
      </c>
    </row>
    <row r="5677" spans="1:16" x14ac:dyDescent="0.3">
      <c r="A5677">
        <v>1487</v>
      </c>
      <c r="B5677">
        <v>21</v>
      </c>
      <c r="C5677" t="s">
        <v>26</v>
      </c>
      <c r="D5677" t="s">
        <v>31</v>
      </c>
      <c r="E5677" t="s">
        <v>34</v>
      </c>
      <c r="F5677" t="s">
        <v>21</v>
      </c>
      <c r="G5677" t="s">
        <v>43</v>
      </c>
      <c r="H5677" t="s">
        <v>25</v>
      </c>
      <c r="I5677" s="1">
        <v>1</v>
      </c>
      <c r="J5677" s="2">
        <v>45752</v>
      </c>
      <c r="L5677" s="1" t="str">
        <f t="shared" si="654"/>
        <v>sáb</v>
      </c>
      <c r="M5677" s="1" t="str">
        <f t="shared" si="657"/>
        <v>abr</v>
      </c>
      <c r="N5677">
        <f t="shared" si="655"/>
        <v>2025</v>
      </c>
      <c r="P5677" t="str">
        <f t="shared" si="656"/>
        <v>148745752</v>
      </c>
    </row>
    <row r="5678" spans="1:16" x14ac:dyDescent="0.3">
      <c r="A5678">
        <v>1487</v>
      </c>
      <c r="B5678">
        <v>21</v>
      </c>
      <c r="C5678" t="s">
        <v>26</v>
      </c>
      <c r="D5678" t="s">
        <v>31</v>
      </c>
      <c r="E5678" t="s">
        <v>34</v>
      </c>
      <c r="F5678" t="s">
        <v>21</v>
      </c>
      <c r="G5678" t="s">
        <v>43</v>
      </c>
      <c r="H5678" t="s">
        <v>25</v>
      </c>
      <c r="I5678" s="1">
        <v>1</v>
      </c>
      <c r="J5678" s="2">
        <v>45753</v>
      </c>
      <c r="L5678" s="1" t="str">
        <f t="shared" si="654"/>
        <v>dom</v>
      </c>
      <c r="M5678" s="1" t="str">
        <f t="shared" si="657"/>
        <v>abr</v>
      </c>
      <c r="N5678">
        <f t="shared" si="655"/>
        <v>2025</v>
      </c>
      <c r="P5678" t="str">
        <f t="shared" si="656"/>
        <v>148745753</v>
      </c>
    </row>
    <row r="5679" spans="1:16" x14ac:dyDescent="0.3">
      <c r="A5679">
        <v>1487</v>
      </c>
      <c r="B5679">
        <v>21</v>
      </c>
      <c r="C5679" t="s">
        <v>26</v>
      </c>
      <c r="D5679" t="s">
        <v>31</v>
      </c>
      <c r="E5679" t="s">
        <v>34</v>
      </c>
      <c r="F5679" t="s">
        <v>21</v>
      </c>
      <c r="G5679" t="s">
        <v>43</v>
      </c>
      <c r="H5679" t="s">
        <v>25</v>
      </c>
      <c r="I5679" s="1">
        <v>1</v>
      </c>
      <c r="J5679" s="2">
        <v>45754</v>
      </c>
      <c r="L5679" s="1" t="str">
        <f t="shared" si="654"/>
        <v>seg</v>
      </c>
      <c r="M5679" s="1" t="str">
        <f t="shared" si="657"/>
        <v>abr</v>
      </c>
      <c r="N5679">
        <f t="shared" si="655"/>
        <v>2025</v>
      </c>
      <c r="P5679" t="str">
        <f t="shared" si="656"/>
        <v>148745754</v>
      </c>
    </row>
    <row r="5680" spans="1:16" x14ac:dyDescent="0.3">
      <c r="A5680">
        <v>1487</v>
      </c>
      <c r="B5680">
        <v>21</v>
      </c>
      <c r="C5680" t="s">
        <v>26</v>
      </c>
      <c r="D5680" t="s">
        <v>31</v>
      </c>
      <c r="E5680" t="s">
        <v>34</v>
      </c>
      <c r="F5680" t="s">
        <v>21</v>
      </c>
      <c r="G5680" t="s">
        <v>43</v>
      </c>
      <c r="H5680" t="s">
        <v>25</v>
      </c>
      <c r="I5680" s="1">
        <v>1</v>
      </c>
      <c r="J5680" s="2">
        <v>45755</v>
      </c>
      <c r="L5680" s="1" t="str">
        <f t="shared" ref="L5680:L5743" si="658">TEXT(J5680,"ddd")</f>
        <v>ter</v>
      </c>
      <c r="M5680" s="1" t="str">
        <f t="shared" si="657"/>
        <v>abr</v>
      </c>
      <c r="N5680">
        <f t="shared" ref="N5680:N5743" si="659">YEAR(J5680)</f>
        <v>2025</v>
      </c>
      <c r="P5680" t="str">
        <f t="shared" ref="P5680:P5743" si="660">CONCATENATE(A5680,J5680)</f>
        <v>148745755</v>
      </c>
    </row>
    <row r="5681" spans="1:16" x14ac:dyDescent="0.3">
      <c r="A5681">
        <v>1487</v>
      </c>
      <c r="B5681">
        <v>21</v>
      </c>
      <c r="C5681" t="s">
        <v>26</v>
      </c>
      <c r="D5681" t="s">
        <v>31</v>
      </c>
      <c r="E5681" t="s">
        <v>34</v>
      </c>
      <c r="F5681" t="s">
        <v>21</v>
      </c>
      <c r="G5681" t="s">
        <v>43</v>
      </c>
      <c r="H5681" t="s">
        <v>25</v>
      </c>
      <c r="I5681" s="1">
        <v>1</v>
      </c>
      <c r="J5681" s="2">
        <v>45756</v>
      </c>
      <c r="L5681" s="1" t="str">
        <f t="shared" si="658"/>
        <v>qua</v>
      </c>
      <c r="M5681" s="1" t="str">
        <f t="shared" ref="M5681:M5744" si="661">TEXT($J5681,"mmm")</f>
        <v>abr</v>
      </c>
      <c r="N5681">
        <f t="shared" si="659"/>
        <v>2025</v>
      </c>
      <c r="P5681" t="str">
        <f t="shared" si="660"/>
        <v>148745756</v>
      </c>
    </row>
    <row r="5682" spans="1:16" x14ac:dyDescent="0.3">
      <c r="A5682">
        <v>1487</v>
      </c>
      <c r="B5682">
        <v>21</v>
      </c>
      <c r="C5682" t="s">
        <v>26</v>
      </c>
      <c r="D5682" t="s">
        <v>31</v>
      </c>
      <c r="E5682" t="s">
        <v>34</v>
      </c>
      <c r="F5682" t="s">
        <v>21</v>
      </c>
      <c r="G5682" t="s">
        <v>43</v>
      </c>
      <c r="H5682" t="s">
        <v>25</v>
      </c>
      <c r="I5682" s="1">
        <v>1</v>
      </c>
      <c r="J5682" s="2">
        <v>45757</v>
      </c>
      <c r="L5682" s="1" t="str">
        <f t="shared" si="658"/>
        <v>qui</v>
      </c>
      <c r="M5682" s="1" t="str">
        <f t="shared" si="661"/>
        <v>abr</v>
      </c>
      <c r="N5682">
        <f t="shared" si="659"/>
        <v>2025</v>
      </c>
      <c r="P5682" t="str">
        <f t="shared" si="660"/>
        <v>148745757</v>
      </c>
    </row>
    <row r="5683" spans="1:16" x14ac:dyDescent="0.3">
      <c r="A5683">
        <v>1487</v>
      </c>
      <c r="B5683">
        <v>21</v>
      </c>
      <c r="C5683" t="s">
        <v>26</v>
      </c>
      <c r="D5683" t="s">
        <v>31</v>
      </c>
      <c r="E5683" t="s">
        <v>34</v>
      </c>
      <c r="F5683" t="s">
        <v>21</v>
      </c>
      <c r="G5683" t="s">
        <v>43</v>
      </c>
      <c r="H5683" t="s">
        <v>25</v>
      </c>
      <c r="I5683" s="1">
        <v>1</v>
      </c>
      <c r="J5683" s="2">
        <v>45758</v>
      </c>
      <c r="L5683" s="1" t="str">
        <f t="shared" si="658"/>
        <v>sex</v>
      </c>
      <c r="M5683" s="1" t="str">
        <f t="shared" si="661"/>
        <v>abr</v>
      </c>
      <c r="N5683">
        <f t="shared" si="659"/>
        <v>2025</v>
      </c>
      <c r="P5683" t="str">
        <f t="shared" si="660"/>
        <v>148745758</v>
      </c>
    </row>
    <row r="5684" spans="1:16" x14ac:dyDescent="0.3">
      <c r="A5684">
        <v>1487</v>
      </c>
      <c r="B5684">
        <v>21</v>
      </c>
      <c r="C5684" t="s">
        <v>26</v>
      </c>
      <c r="D5684" t="s">
        <v>31</v>
      </c>
      <c r="E5684" t="s">
        <v>34</v>
      </c>
      <c r="F5684" t="s">
        <v>21</v>
      </c>
      <c r="G5684" t="s">
        <v>43</v>
      </c>
      <c r="H5684" t="s">
        <v>25</v>
      </c>
      <c r="I5684" s="1">
        <v>1</v>
      </c>
      <c r="J5684" s="2">
        <v>45759</v>
      </c>
      <c r="L5684" s="1" t="str">
        <f t="shared" si="658"/>
        <v>sáb</v>
      </c>
      <c r="M5684" s="1" t="str">
        <f t="shared" si="661"/>
        <v>abr</v>
      </c>
      <c r="N5684">
        <f t="shared" si="659"/>
        <v>2025</v>
      </c>
      <c r="P5684" t="str">
        <f t="shared" si="660"/>
        <v>148745759</v>
      </c>
    </row>
    <row r="5685" spans="1:16" x14ac:dyDescent="0.3">
      <c r="A5685">
        <v>1487</v>
      </c>
      <c r="B5685">
        <v>21</v>
      </c>
      <c r="C5685" t="s">
        <v>26</v>
      </c>
      <c r="D5685" t="s">
        <v>31</v>
      </c>
      <c r="E5685" t="s">
        <v>34</v>
      </c>
      <c r="F5685" t="s">
        <v>21</v>
      </c>
      <c r="G5685" t="s">
        <v>43</v>
      </c>
      <c r="H5685" t="s">
        <v>25</v>
      </c>
      <c r="I5685" s="1">
        <v>1</v>
      </c>
      <c r="J5685" s="2">
        <v>45760</v>
      </c>
      <c r="L5685" s="1" t="str">
        <f t="shared" si="658"/>
        <v>dom</v>
      </c>
      <c r="M5685" s="1" t="str">
        <f t="shared" si="661"/>
        <v>abr</v>
      </c>
      <c r="N5685">
        <f t="shared" si="659"/>
        <v>2025</v>
      </c>
      <c r="P5685" t="str">
        <f t="shared" si="660"/>
        <v>148745760</v>
      </c>
    </row>
    <row r="5686" spans="1:16" x14ac:dyDescent="0.3">
      <c r="A5686">
        <v>1487</v>
      </c>
      <c r="B5686">
        <v>21</v>
      </c>
      <c r="C5686" t="s">
        <v>26</v>
      </c>
      <c r="D5686" t="s">
        <v>31</v>
      </c>
      <c r="E5686" t="s">
        <v>34</v>
      </c>
      <c r="F5686" t="s">
        <v>21</v>
      </c>
      <c r="G5686" t="s">
        <v>43</v>
      </c>
      <c r="H5686" t="s">
        <v>25</v>
      </c>
      <c r="I5686" s="1">
        <v>1</v>
      </c>
      <c r="J5686" s="2">
        <v>45761</v>
      </c>
      <c r="L5686" s="1" t="str">
        <f t="shared" si="658"/>
        <v>seg</v>
      </c>
      <c r="M5686" s="1" t="str">
        <f t="shared" si="661"/>
        <v>abr</v>
      </c>
      <c r="N5686">
        <f t="shared" si="659"/>
        <v>2025</v>
      </c>
      <c r="P5686" t="str">
        <f t="shared" si="660"/>
        <v>148745761</v>
      </c>
    </row>
    <row r="5687" spans="1:16" x14ac:dyDescent="0.3">
      <c r="A5687">
        <v>1487</v>
      </c>
      <c r="B5687">
        <v>21</v>
      </c>
      <c r="C5687" t="s">
        <v>26</v>
      </c>
      <c r="D5687" t="s">
        <v>31</v>
      </c>
      <c r="E5687" t="s">
        <v>34</v>
      </c>
      <c r="F5687" t="s">
        <v>21</v>
      </c>
      <c r="G5687" t="s">
        <v>43</v>
      </c>
      <c r="H5687" t="s">
        <v>25</v>
      </c>
      <c r="I5687" s="1">
        <v>1</v>
      </c>
      <c r="J5687" s="2">
        <v>45762</v>
      </c>
      <c r="L5687" s="1" t="str">
        <f t="shared" si="658"/>
        <v>ter</v>
      </c>
      <c r="M5687" s="1" t="str">
        <f t="shared" si="661"/>
        <v>abr</v>
      </c>
      <c r="N5687">
        <f t="shared" si="659"/>
        <v>2025</v>
      </c>
      <c r="P5687" t="str">
        <f t="shared" si="660"/>
        <v>148745762</v>
      </c>
    </row>
    <row r="5688" spans="1:16" x14ac:dyDescent="0.3">
      <c r="A5688">
        <v>1487</v>
      </c>
      <c r="B5688">
        <v>21</v>
      </c>
      <c r="C5688" t="s">
        <v>26</v>
      </c>
      <c r="D5688" t="s">
        <v>31</v>
      </c>
      <c r="E5688" t="s">
        <v>34</v>
      </c>
      <c r="F5688" t="s">
        <v>21</v>
      </c>
      <c r="G5688" t="s">
        <v>43</v>
      </c>
      <c r="H5688" t="s">
        <v>25</v>
      </c>
      <c r="I5688" s="1">
        <v>1</v>
      </c>
      <c r="J5688" s="2">
        <v>45763</v>
      </c>
      <c r="L5688" s="1" t="str">
        <f t="shared" si="658"/>
        <v>qua</v>
      </c>
      <c r="M5688" s="1" t="str">
        <f t="shared" si="661"/>
        <v>abr</v>
      </c>
      <c r="N5688">
        <f t="shared" si="659"/>
        <v>2025</v>
      </c>
      <c r="P5688" t="str">
        <f t="shared" si="660"/>
        <v>148745763</v>
      </c>
    </row>
    <row r="5689" spans="1:16" x14ac:dyDescent="0.3">
      <c r="A5689">
        <v>1487</v>
      </c>
      <c r="B5689">
        <v>21</v>
      </c>
      <c r="C5689" t="s">
        <v>26</v>
      </c>
      <c r="D5689" t="s">
        <v>31</v>
      </c>
      <c r="E5689" t="s">
        <v>34</v>
      </c>
      <c r="F5689" t="s">
        <v>21</v>
      </c>
      <c r="G5689" t="s">
        <v>43</v>
      </c>
      <c r="H5689" t="s">
        <v>25</v>
      </c>
      <c r="I5689" s="1">
        <v>1</v>
      </c>
      <c r="J5689" s="2">
        <v>45764</v>
      </c>
      <c r="L5689" s="1" t="str">
        <f t="shared" si="658"/>
        <v>qui</v>
      </c>
      <c r="M5689" s="1" t="str">
        <f t="shared" si="661"/>
        <v>abr</v>
      </c>
      <c r="N5689">
        <f t="shared" si="659"/>
        <v>2025</v>
      </c>
      <c r="P5689" t="str">
        <f t="shared" si="660"/>
        <v>148745764</v>
      </c>
    </row>
    <row r="5690" spans="1:16" x14ac:dyDescent="0.3">
      <c r="A5690">
        <v>1487</v>
      </c>
      <c r="B5690">
        <v>21</v>
      </c>
      <c r="C5690" t="s">
        <v>26</v>
      </c>
      <c r="D5690" t="s">
        <v>31</v>
      </c>
      <c r="E5690" t="s">
        <v>34</v>
      </c>
      <c r="F5690" t="s">
        <v>21</v>
      </c>
      <c r="G5690" t="s">
        <v>43</v>
      </c>
      <c r="H5690" t="s">
        <v>25</v>
      </c>
      <c r="I5690" s="1">
        <v>1</v>
      </c>
      <c r="J5690" s="2">
        <v>45765</v>
      </c>
      <c r="L5690" s="1" t="str">
        <f t="shared" si="658"/>
        <v>sex</v>
      </c>
      <c r="M5690" s="1" t="str">
        <f t="shared" si="661"/>
        <v>abr</v>
      </c>
      <c r="N5690">
        <f t="shared" si="659"/>
        <v>2025</v>
      </c>
      <c r="P5690" t="str">
        <f t="shared" si="660"/>
        <v>148745765</v>
      </c>
    </row>
    <row r="5691" spans="1:16" x14ac:dyDescent="0.3">
      <c r="A5691">
        <v>1487</v>
      </c>
      <c r="B5691">
        <v>21</v>
      </c>
      <c r="C5691" t="s">
        <v>26</v>
      </c>
      <c r="D5691" t="s">
        <v>31</v>
      </c>
      <c r="E5691" t="s">
        <v>34</v>
      </c>
      <c r="F5691" t="s">
        <v>21</v>
      </c>
      <c r="G5691" t="s">
        <v>43</v>
      </c>
      <c r="H5691" t="s">
        <v>25</v>
      </c>
      <c r="I5691" s="1">
        <v>1</v>
      </c>
      <c r="J5691" s="2">
        <v>45766</v>
      </c>
      <c r="L5691" s="1" t="str">
        <f t="shared" si="658"/>
        <v>sáb</v>
      </c>
      <c r="M5691" s="1" t="str">
        <f t="shared" si="661"/>
        <v>abr</v>
      </c>
      <c r="N5691">
        <f t="shared" si="659"/>
        <v>2025</v>
      </c>
      <c r="P5691" t="str">
        <f t="shared" si="660"/>
        <v>148745766</v>
      </c>
    </row>
    <row r="5692" spans="1:16" x14ac:dyDescent="0.3">
      <c r="A5692">
        <v>1487</v>
      </c>
      <c r="B5692">
        <v>21</v>
      </c>
      <c r="C5692" t="s">
        <v>26</v>
      </c>
      <c r="D5692" t="s">
        <v>31</v>
      </c>
      <c r="E5692" t="s">
        <v>34</v>
      </c>
      <c r="F5692" t="s">
        <v>21</v>
      </c>
      <c r="G5692" t="s">
        <v>43</v>
      </c>
      <c r="H5692" t="s">
        <v>25</v>
      </c>
      <c r="I5692" s="1">
        <v>1</v>
      </c>
      <c r="J5692" s="2">
        <v>45767</v>
      </c>
      <c r="L5692" s="1" t="str">
        <f t="shared" si="658"/>
        <v>dom</v>
      </c>
      <c r="M5692" s="1" t="str">
        <f t="shared" si="661"/>
        <v>abr</v>
      </c>
      <c r="N5692">
        <f t="shared" si="659"/>
        <v>2025</v>
      </c>
      <c r="P5692" t="str">
        <f t="shared" si="660"/>
        <v>148745767</v>
      </c>
    </row>
    <row r="5693" spans="1:16" x14ac:dyDescent="0.3">
      <c r="A5693">
        <v>1487</v>
      </c>
      <c r="B5693">
        <v>21</v>
      </c>
      <c r="C5693" t="s">
        <v>26</v>
      </c>
      <c r="D5693" t="s">
        <v>31</v>
      </c>
      <c r="E5693" t="s">
        <v>34</v>
      </c>
      <c r="F5693" t="s">
        <v>21</v>
      </c>
      <c r="G5693" t="s">
        <v>43</v>
      </c>
      <c r="H5693" t="s">
        <v>25</v>
      </c>
      <c r="I5693" s="1">
        <v>1</v>
      </c>
      <c r="J5693" s="2">
        <v>45768</v>
      </c>
      <c r="L5693" s="1" t="str">
        <f t="shared" si="658"/>
        <v>seg</v>
      </c>
      <c r="M5693" s="1" t="str">
        <f t="shared" si="661"/>
        <v>abr</v>
      </c>
      <c r="N5693">
        <f t="shared" si="659"/>
        <v>2025</v>
      </c>
      <c r="P5693" t="str">
        <f t="shared" si="660"/>
        <v>148745768</v>
      </c>
    </row>
    <row r="5694" spans="1:16" x14ac:dyDescent="0.3">
      <c r="A5694">
        <v>1487</v>
      </c>
      <c r="B5694">
        <v>21</v>
      </c>
      <c r="C5694" t="s">
        <v>26</v>
      </c>
      <c r="D5694" t="s">
        <v>31</v>
      </c>
      <c r="E5694" t="s">
        <v>34</v>
      </c>
      <c r="F5694" t="s">
        <v>21</v>
      </c>
      <c r="G5694" t="s">
        <v>43</v>
      </c>
      <c r="H5694" t="s">
        <v>25</v>
      </c>
      <c r="I5694" s="1">
        <v>1</v>
      </c>
      <c r="J5694" s="2">
        <v>45769</v>
      </c>
      <c r="L5694" s="1" t="str">
        <f t="shared" si="658"/>
        <v>ter</v>
      </c>
      <c r="M5694" s="1" t="str">
        <f t="shared" si="661"/>
        <v>abr</v>
      </c>
      <c r="N5694">
        <f t="shared" si="659"/>
        <v>2025</v>
      </c>
      <c r="P5694" t="str">
        <f t="shared" si="660"/>
        <v>148745769</v>
      </c>
    </row>
    <row r="5695" spans="1:16" x14ac:dyDescent="0.3">
      <c r="A5695">
        <v>1487</v>
      </c>
      <c r="B5695">
        <v>21</v>
      </c>
      <c r="C5695" t="s">
        <v>26</v>
      </c>
      <c r="D5695" t="s">
        <v>31</v>
      </c>
      <c r="E5695" t="s">
        <v>34</v>
      </c>
      <c r="F5695" t="s">
        <v>21</v>
      </c>
      <c r="G5695" t="s">
        <v>43</v>
      </c>
      <c r="H5695" t="s">
        <v>25</v>
      </c>
      <c r="I5695" s="1">
        <v>1</v>
      </c>
      <c r="J5695" s="2">
        <v>45770</v>
      </c>
      <c r="L5695" s="1" t="str">
        <f t="shared" si="658"/>
        <v>qua</v>
      </c>
      <c r="M5695" s="1" t="str">
        <f t="shared" si="661"/>
        <v>abr</v>
      </c>
      <c r="N5695">
        <f t="shared" si="659"/>
        <v>2025</v>
      </c>
      <c r="P5695" t="str">
        <f t="shared" si="660"/>
        <v>148745770</v>
      </c>
    </row>
    <row r="5696" spans="1:16" x14ac:dyDescent="0.3">
      <c r="A5696">
        <v>1487</v>
      </c>
      <c r="B5696">
        <v>21</v>
      </c>
      <c r="C5696" t="s">
        <v>26</v>
      </c>
      <c r="D5696" t="s">
        <v>31</v>
      </c>
      <c r="E5696" t="s">
        <v>34</v>
      </c>
      <c r="F5696" t="s">
        <v>21</v>
      </c>
      <c r="G5696" t="s">
        <v>43</v>
      </c>
      <c r="H5696" t="s">
        <v>25</v>
      </c>
      <c r="I5696" s="1">
        <v>1</v>
      </c>
      <c r="J5696" s="2">
        <v>45771</v>
      </c>
      <c r="L5696" s="1" t="str">
        <f t="shared" si="658"/>
        <v>qui</v>
      </c>
      <c r="M5696" s="1" t="str">
        <f t="shared" si="661"/>
        <v>abr</v>
      </c>
      <c r="N5696">
        <f t="shared" si="659"/>
        <v>2025</v>
      </c>
      <c r="P5696" t="str">
        <f t="shared" si="660"/>
        <v>148745771</v>
      </c>
    </row>
    <row r="5697" spans="1:16" x14ac:dyDescent="0.3">
      <c r="A5697">
        <v>1487</v>
      </c>
      <c r="B5697">
        <v>21</v>
      </c>
      <c r="C5697" t="s">
        <v>26</v>
      </c>
      <c r="D5697" t="s">
        <v>31</v>
      </c>
      <c r="E5697" t="s">
        <v>34</v>
      </c>
      <c r="F5697" t="s">
        <v>21</v>
      </c>
      <c r="G5697" t="s">
        <v>43</v>
      </c>
      <c r="H5697" t="s">
        <v>25</v>
      </c>
      <c r="I5697" s="1">
        <v>1</v>
      </c>
      <c r="J5697" s="2">
        <v>45772</v>
      </c>
      <c r="L5697" s="1" t="str">
        <f t="shared" si="658"/>
        <v>sex</v>
      </c>
      <c r="M5697" s="1" t="str">
        <f t="shared" si="661"/>
        <v>abr</v>
      </c>
      <c r="N5697">
        <f t="shared" si="659"/>
        <v>2025</v>
      </c>
      <c r="P5697" t="str">
        <f t="shared" si="660"/>
        <v>148745772</v>
      </c>
    </row>
    <row r="5698" spans="1:16" x14ac:dyDescent="0.3">
      <c r="A5698">
        <v>1487</v>
      </c>
      <c r="B5698">
        <v>21</v>
      </c>
      <c r="C5698" t="s">
        <v>26</v>
      </c>
      <c r="D5698" t="s">
        <v>31</v>
      </c>
      <c r="E5698" t="s">
        <v>34</v>
      </c>
      <c r="F5698" t="s">
        <v>21</v>
      </c>
      <c r="G5698" t="s">
        <v>43</v>
      </c>
      <c r="H5698" t="s">
        <v>25</v>
      </c>
      <c r="I5698" s="1">
        <v>1</v>
      </c>
      <c r="J5698" s="2">
        <v>45773</v>
      </c>
      <c r="L5698" s="1" t="str">
        <f t="shared" si="658"/>
        <v>sáb</v>
      </c>
      <c r="M5698" s="1" t="str">
        <f t="shared" si="661"/>
        <v>abr</v>
      </c>
      <c r="N5698">
        <f t="shared" si="659"/>
        <v>2025</v>
      </c>
      <c r="P5698" t="str">
        <f t="shared" si="660"/>
        <v>148745773</v>
      </c>
    </row>
    <row r="5699" spans="1:16" x14ac:dyDescent="0.3">
      <c r="A5699">
        <v>1487</v>
      </c>
      <c r="B5699">
        <v>21</v>
      </c>
      <c r="C5699" t="s">
        <v>26</v>
      </c>
      <c r="D5699" t="s">
        <v>31</v>
      </c>
      <c r="E5699" t="s">
        <v>34</v>
      </c>
      <c r="F5699" t="s">
        <v>21</v>
      </c>
      <c r="G5699" t="s">
        <v>43</v>
      </c>
      <c r="H5699" t="s">
        <v>25</v>
      </c>
      <c r="I5699" s="1">
        <v>1</v>
      </c>
      <c r="J5699" s="2">
        <v>45774</v>
      </c>
      <c r="L5699" s="1" t="str">
        <f t="shared" si="658"/>
        <v>dom</v>
      </c>
      <c r="M5699" s="1" t="str">
        <f t="shared" si="661"/>
        <v>abr</v>
      </c>
      <c r="N5699">
        <f t="shared" si="659"/>
        <v>2025</v>
      </c>
      <c r="P5699" t="str">
        <f t="shared" si="660"/>
        <v>148745774</v>
      </c>
    </row>
    <row r="5700" spans="1:16" x14ac:dyDescent="0.3">
      <c r="A5700">
        <v>1487</v>
      </c>
      <c r="B5700">
        <v>21</v>
      </c>
      <c r="C5700" t="s">
        <v>26</v>
      </c>
      <c r="D5700" t="s">
        <v>31</v>
      </c>
      <c r="E5700" t="s">
        <v>34</v>
      </c>
      <c r="F5700" t="s">
        <v>21</v>
      </c>
      <c r="G5700" t="s">
        <v>43</v>
      </c>
      <c r="H5700" t="s">
        <v>25</v>
      </c>
      <c r="I5700" s="1">
        <v>1</v>
      </c>
      <c r="J5700" s="2">
        <v>45775</v>
      </c>
      <c r="L5700" s="1" t="str">
        <f t="shared" si="658"/>
        <v>seg</v>
      </c>
      <c r="M5700" s="1" t="str">
        <f t="shared" si="661"/>
        <v>abr</v>
      </c>
      <c r="N5700">
        <f t="shared" si="659"/>
        <v>2025</v>
      </c>
      <c r="P5700" t="str">
        <f t="shared" si="660"/>
        <v>148745775</v>
      </c>
    </row>
    <row r="5701" spans="1:16" x14ac:dyDescent="0.3">
      <c r="A5701">
        <v>1487</v>
      </c>
      <c r="B5701">
        <v>21</v>
      </c>
      <c r="C5701" t="s">
        <v>26</v>
      </c>
      <c r="D5701" t="s">
        <v>31</v>
      </c>
      <c r="E5701" t="s">
        <v>34</v>
      </c>
      <c r="F5701" t="s">
        <v>21</v>
      </c>
      <c r="G5701" t="s">
        <v>43</v>
      </c>
      <c r="H5701" t="s">
        <v>25</v>
      </c>
      <c r="I5701" s="1">
        <v>1</v>
      </c>
      <c r="J5701" s="2">
        <v>45776</v>
      </c>
      <c r="L5701" s="1" t="str">
        <f t="shared" si="658"/>
        <v>ter</v>
      </c>
      <c r="M5701" s="1" t="str">
        <f t="shared" si="661"/>
        <v>abr</v>
      </c>
      <c r="N5701">
        <f t="shared" si="659"/>
        <v>2025</v>
      </c>
      <c r="P5701" t="str">
        <f t="shared" si="660"/>
        <v>148745776</v>
      </c>
    </row>
    <row r="5702" spans="1:16" x14ac:dyDescent="0.3">
      <c r="A5702">
        <v>1487</v>
      </c>
      <c r="B5702">
        <v>21</v>
      </c>
      <c r="C5702" t="s">
        <v>26</v>
      </c>
      <c r="D5702" t="s">
        <v>31</v>
      </c>
      <c r="E5702" t="s">
        <v>34</v>
      </c>
      <c r="F5702" t="s">
        <v>21</v>
      </c>
      <c r="G5702" t="s">
        <v>43</v>
      </c>
      <c r="H5702" t="s">
        <v>25</v>
      </c>
      <c r="I5702" s="1">
        <v>1</v>
      </c>
      <c r="J5702" s="2">
        <v>45777</v>
      </c>
      <c r="L5702" s="1" t="str">
        <f t="shared" si="658"/>
        <v>qua</v>
      </c>
      <c r="M5702" s="1" t="str">
        <f t="shared" si="661"/>
        <v>abr</v>
      </c>
      <c r="N5702">
        <f t="shared" si="659"/>
        <v>2025</v>
      </c>
      <c r="P5702" t="str">
        <f t="shared" si="660"/>
        <v>148745777</v>
      </c>
    </row>
    <row r="5703" spans="1:16" x14ac:dyDescent="0.3">
      <c r="A5703">
        <v>1487</v>
      </c>
      <c r="B5703">
        <v>21</v>
      </c>
      <c r="C5703" t="s">
        <v>26</v>
      </c>
      <c r="D5703" t="s">
        <v>31</v>
      </c>
      <c r="E5703" t="s">
        <v>34</v>
      </c>
      <c r="F5703" t="s">
        <v>21</v>
      </c>
      <c r="G5703" t="s">
        <v>43</v>
      </c>
      <c r="H5703" t="s">
        <v>25</v>
      </c>
      <c r="I5703" s="1">
        <v>1</v>
      </c>
      <c r="J5703" s="2">
        <v>45778</v>
      </c>
      <c r="L5703" s="1" t="str">
        <f t="shared" si="658"/>
        <v>qui</v>
      </c>
      <c r="M5703" s="1" t="str">
        <f t="shared" si="661"/>
        <v>mai</v>
      </c>
      <c r="N5703">
        <f t="shared" si="659"/>
        <v>2025</v>
      </c>
      <c r="P5703" t="str">
        <f t="shared" si="660"/>
        <v>148745778</v>
      </c>
    </row>
    <row r="5704" spans="1:16" x14ac:dyDescent="0.3">
      <c r="A5704">
        <v>1487</v>
      </c>
      <c r="B5704">
        <v>21</v>
      </c>
      <c r="C5704" t="s">
        <v>26</v>
      </c>
      <c r="D5704" t="s">
        <v>31</v>
      </c>
      <c r="E5704" t="s">
        <v>34</v>
      </c>
      <c r="F5704" t="s">
        <v>21</v>
      </c>
      <c r="G5704" t="s">
        <v>43</v>
      </c>
      <c r="H5704" t="s">
        <v>25</v>
      </c>
      <c r="I5704" s="1">
        <v>1</v>
      </c>
      <c r="J5704" s="2">
        <v>45779</v>
      </c>
      <c r="L5704" s="1" t="str">
        <f t="shared" si="658"/>
        <v>sex</v>
      </c>
      <c r="M5704" s="1" t="str">
        <f t="shared" si="661"/>
        <v>mai</v>
      </c>
      <c r="N5704">
        <f t="shared" si="659"/>
        <v>2025</v>
      </c>
      <c r="P5704" t="str">
        <f t="shared" si="660"/>
        <v>148745779</v>
      </c>
    </row>
    <row r="5705" spans="1:16" x14ac:dyDescent="0.3">
      <c r="A5705">
        <v>1487</v>
      </c>
      <c r="B5705">
        <v>21</v>
      </c>
      <c r="C5705" t="s">
        <v>26</v>
      </c>
      <c r="D5705" t="s">
        <v>31</v>
      </c>
      <c r="E5705" t="s">
        <v>34</v>
      </c>
      <c r="F5705" t="s">
        <v>21</v>
      </c>
      <c r="G5705" t="s">
        <v>43</v>
      </c>
      <c r="H5705" t="s">
        <v>25</v>
      </c>
      <c r="I5705" s="1">
        <v>1</v>
      </c>
      <c r="J5705" s="2">
        <v>45780</v>
      </c>
      <c r="L5705" s="1" t="str">
        <f t="shared" si="658"/>
        <v>sáb</v>
      </c>
      <c r="M5705" s="1" t="str">
        <f t="shared" si="661"/>
        <v>mai</v>
      </c>
      <c r="N5705">
        <f t="shared" si="659"/>
        <v>2025</v>
      </c>
      <c r="P5705" t="str">
        <f t="shared" si="660"/>
        <v>148745780</v>
      </c>
    </row>
    <row r="5706" spans="1:16" x14ac:dyDescent="0.3">
      <c r="A5706">
        <v>1487</v>
      </c>
      <c r="B5706">
        <v>21</v>
      </c>
      <c r="C5706" t="s">
        <v>26</v>
      </c>
      <c r="D5706" t="s">
        <v>31</v>
      </c>
      <c r="E5706" t="s">
        <v>34</v>
      </c>
      <c r="F5706" t="s">
        <v>21</v>
      </c>
      <c r="G5706" t="s">
        <v>43</v>
      </c>
      <c r="H5706" t="s">
        <v>25</v>
      </c>
      <c r="I5706" s="1">
        <v>1</v>
      </c>
      <c r="J5706" s="2">
        <v>45781</v>
      </c>
      <c r="L5706" s="1" t="str">
        <f t="shared" si="658"/>
        <v>dom</v>
      </c>
      <c r="M5706" s="1" t="str">
        <f t="shared" si="661"/>
        <v>mai</v>
      </c>
      <c r="N5706">
        <f t="shared" si="659"/>
        <v>2025</v>
      </c>
      <c r="P5706" t="str">
        <f t="shared" si="660"/>
        <v>148745781</v>
      </c>
    </row>
    <row r="5707" spans="1:16" x14ac:dyDescent="0.3">
      <c r="A5707">
        <v>1487</v>
      </c>
      <c r="B5707">
        <v>21</v>
      </c>
      <c r="C5707" t="s">
        <v>26</v>
      </c>
      <c r="D5707" t="s">
        <v>31</v>
      </c>
      <c r="E5707" t="s">
        <v>34</v>
      </c>
      <c r="F5707" t="s">
        <v>21</v>
      </c>
      <c r="G5707" t="s">
        <v>43</v>
      </c>
      <c r="H5707" t="s">
        <v>25</v>
      </c>
      <c r="I5707" s="1">
        <v>1</v>
      </c>
      <c r="J5707" s="2">
        <v>45782</v>
      </c>
      <c r="L5707" s="1" t="str">
        <f t="shared" si="658"/>
        <v>seg</v>
      </c>
      <c r="M5707" s="1" t="str">
        <f t="shared" si="661"/>
        <v>mai</v>
      </c>
      <c r="N5707">
        <f t="shared" si="659"/>
        <v>2025</v>
      </c>
      <c r="P5707" t="str">
        <f t="shared" si="660"/>
        <v>148745782</v>
      </c>
    </row>
    <row r="5708" spans="1:16" x14ac:dyDescent="0.3">
      <c r="A5708">
        <v>1487</v>
      </c>
      <c r="B5708">
        <v>21</v>
      </c>
      <c r="C5708" t="s">
        <v>26</v>
      </c>
      <c r="D5708" t="s">
        <v>31</v>
      </c>
      <c r="E5708" t="s">
        <v>34</v>
      </c>
      <c r="F5708" t="s">
        <v>21</v>
      </c>
      <c r="G5708" t="s">
        <v>43</v>
      </c>
      <c r="H5708" t="s">
        <v>25</v>
      </c>
      <c r="I5708" s="1">
        <v>1</v>
      </c>
      <c r="J5708" s="2">
        <v>45783</v>
      </c>
      <c r="L5708" s="1" t="str">
        <f t="shared" si="658"/>
        <v>ter</v>
      </c>
      <c r="M5708" s="1" t="str">
        <f t="shared" si="661"/>
        <v>mai</v>
      </c>
      <c r="N5708">
        <f t="shared" si="659"/>
        <v>2025</v>
      </c>
      <c r="P5708" t="str">
        <f t="shared" si="660"/>
        <v>148745783</v>
      </c>
    </row>
    <row r="5709" spans="1:16" x14ac:dyDescent="0.3">
      <c r="A5709">
        <v>1487</v>
      </c>
      <c r="B5709">
        <v>21</v>
      </c>
      <c r="C5709" t="s">
        <v>26</v>
      </c>
      <c r="D5709" t="s">
        <v>31</v>
      </c>
      <c r="E5709" t="s">
        <v>34</v>
      </c>
      <c r="F5709" t="s">
        <v>21</v>
      </c>
      <c r="G5709" t="s">
        <v>43</v>
      </c>
      <c r="H5709" t="s">
        <v>25</v>
      </c>
      <c r="I5709" s="1">
        <v>1</v>
      </c>
      <c r="J5709" s="2">
        <v>45784</v>
      </c>
      <c r="L5709" s="1" t="str">
        <f t="shared" si="658"/>
        <v>qua</v>
      </c>
      <c r="M5709" s="1" t="str">
        <f t="shared" si="661"/>
        <v>mai</v>
      </c>
      <c r="N5709">
        <f t="shared" si="659"/>
        <v>2025</v>
      </c>
      <c r="P5709" t="str">
        <f t="shared" si="660"/>
        <v>148745784</v>
      </c>
    </row>
    <row r="5710" spans="1:16" x14ac:dyDescent="0.3">
      <c r="A5710">
        <v>1487</v>
      </c>
      <c r="B5710">
        <v>21</v>
      </c>
      <c r="C5710" t="s">
        <v>26</v>
      </c>
      <c r="D5710" t="s">
        <v>31</v>
      </c>
      <c r="E5710" t="s">
        <v>34</v>
      </c>
      <c r="F5710" t="s">
        <v>21</v>
      </c>
      <c r="G5710" t="s">
        <v>43</v>
      </c>
      <c r="H5710" t="s">
        <v>25</v>
      </c>
      <c r="I5710" s="1">
        <v>1</v>
      </c>
      <c r="J5710" s="2">
        <v>45785</v>
      </c>
      <c r="L5710" s="1" t="str">
        <f t="shared" si="658"/>
        <v>qui</v>
      </c>
      <c r="M5710" s="1" t="str">
        <f t="shared" si="661"/>
        <v>mai</v>
      </c>
      <c r="N5710">
        <f t="shared" si="659"/>
        <v>2025</v>
      </c>
      <c r="P5710" t="str">
        <f t="shared" si="660"/>
        <v>148745785</v>
      </c>
    </row>
    <row r="5711" spans="1:16" x14ac:dyDescent="0.3">
      <c r="A5711">
        <v>1487</v>
      </c>
      <c r="B5711">
        <v>21</v>
      </c>
      <c r="C5711" t="s">
        <v>26</v>
      </c>
      <c r="D5711" t="s">
        <v>31</v>
      </c>
      <c r="E5711" t="s">
        <v>34</v>
      </c>
      <c r="F5711" t="s">
        <v>21</v>
      </c>
      <c r="G5711" t="s">
        <v>43</v>
      </c>
      <c r="H5711" t="s">
        <v>25</v>
      </c>
      <c r="I5711" s="1">
        <v>1</v>
      </c>
      <c r="J5711" s="2">
        <v>45786</v>
      </c>
      <c r="L5711" s="1" t="str">
        <f t="shared" si="658"/>
        <v>sex</v>
      </c>
      <c r="M5711" s="1" t="str">
        <f t="shared" si="661"/>
        <v>mai</v>
      </c>
      <c r="N5711">
        <f t="shared" si="659"/>
        <v>2025</v>
      </c>
      <c r="P5711" t="str">
        <f t="shared" si="660"/>
        <v>148745786</v>
      </c>
    </row>
    <row r="5712" spans="1:16" x14ac:dyDescent="0.3">
      <c r="A5712">
        <v>1487</v>
      </c>
      <c r="B5712">
        <v>21</v>
      </c>
      <c r="C5712" t="s">
        <v>26</v>
      </c>
      <c r="D5712" t="s">
        <v>31</v>
      </c>
      <c r="E5712" t="s">
        <v>34</v>
      </c>
      <c r="F5712" t="s">
        <v>21</v>
      </c>
      <c r="G5712" t="s">
        <v>43</v>
      </c>
      <c r="H5712" t="s">
        <v>25</v>
      </c>
      <c r="I5712" s="1">
        <v>1</v>
      </c>
      <c r="J5712" s="2">
        <v>45787</v>
      </c>
      <c r="L5712" s="1" t="str">
        <f t="shared" si="658"/>
        <v>sáb</v>
      </c>
      <c r="M5712" s="1" t="str">
        <f t="shared" si="661"/>
        <v>mai</v>
      </c>
      <c r="N5712">
        <f t="shared" si="659"/>
        <v>2025</v>
      </c>
      <c r="P5712" t="str">
        <f t="shared" si="660"/>
        <v>148745787</v>
      </c>
    </row>
    <row r="5713" spans="1:16" x14ac:dyDescent="0.3">
      <c r="A5713">
        <v>1487</v>
      </c>
      <c r="B5713">
        <v>21</v>
      </c>
      <c r="C5713" t="s">
        <v>26</v>
      </c>
      <c r="D5713" t="s">
        <v>31</v>
      </c>
      <c r="E5713" t="s">
        <v>34</v>
      </c>
      <c r="F5713" t="s">
        <v>21</v>
      </c>
      <c r="G5713" t="s">
        <v>43</v>
      </c>
      <c r="H5713" t="s">
        <v>25</v>
      </c>
      <c r="I5713" s="1">
        <v>1</v>
      </c>
      <c r="J5713" s="2">
        <v>45788</v>
      </c>
      <c r="L5713" s="1" t="str">
        <f t="shared" si="658"/>
        <v>dom</v>
      </c>
      <c r="M5713" s="1" t="str">
        <f t="shared" si="661"/>
        <v>mai</v>
      </c>
      <c r="N5713">
        <f t="shared" si="659"/>
        <v>2025</v>
      </c>
      <c r="P5713" t="str">
        <f t="shared" si="660"/>
        <v>148745788</v>
      </c>
    </row>
    <row r="5714" spans="1:16" x14ac:dyDescent="0.3">
      <c r="A5714">
        <v>1487</v>
      </c>
      <c r="B5714">
        <v>21</v>
      </c>
      <c r="C5714" t="s">
        <v>26</v>
      </c>
      <c r="D5714" t="s">
        <v>31</v>
      </c>
      <c r="E5714" t="s">
        <v>34</v>
      </c>
      <c r="F5714" t="s">
        <v>21</v>
      </c>
      <c r="G5714" t="s">
        <v>43</v>
      </c>
      <c r="H5714" t="s">
        <v>25</v>
      </c>
      <c r="I5714" s="1">
        <v>1</v>
      </c>
      <c r="J5714" s="2">
        <v>45789</v>
      </c>
      <c r="L5714" s="1" t="str">
        <f t="shared" si="658"/>
        <v>seg</v>
      </c>
      <c r="M5714" s="1" t="str">
        <f t="shared" si="661"/>
        <v>mai</v>
      </c>
      <c r="N5714">
        <f t="shared" si="659"/>
        <v>2025</v>
      </c>
      <c r="P5714" t="str">
        <f t="shared" si="660"/>
        <v>148745789</v>
      </c>
    </row>
    <row r="5715" spans="1:16" x14ac:dyDescent="0.3">
      <c r="A5715">
        <v>1487</v>
      </c>
      <c r="B5715">
        <v>21</v>
      </c>
      <c r="C5715" t="s">
        <v>26</v>
      </c>
      <c r="D5715" t="s">
        <v>31</v>
      </c>
      <c r="E5715" t="s">
        <v>34</v>
      </c>
      <c r="F5715" t="s">
        <v>21</v>
      </c>
      <c r="G5715" t="s">
        <v>43</v>
      </c>
      <c r="H5715" t="s">
        <v>25</v>
      </c>
      <c r="I5715" s="1">
        <v>1</v>
      </c>
      <c r="J5715" s="2">
        <v>45790</v>
      </c>
      <c r="L5715" s="1" t="str">
        <f t="shared" si="658"/>
        <v>ter</v>
      </c>
      <c r="M5715" s="1" t="str">
        <f t="shared" si="661"/>
        <v>mai</v>
      </c>
      <c r="N5715">
        <f t="shared" si="659"/>
        <v>2025</v>
      </c>
      <c r="P5715" t="str">
        <f t="shared" si="660"/>
        <v>148745790</v>
      </c>
    </row>
    <row r="5716" spans="1:16" x14ac:dyDescent="0.3">
      <c r="A5716">
        <v>1487</v>
      </c>
      <c r="B5716">
        <v>21</v>
      </c>
      <c r="C5716" t="s">
        <v>26</v>
      </c>
      <c r="D5716" t="s">
        <v>31</v>
      </c>
      <c r="E5716" t="s">
        <v>34</v>
      </c>
      <c r="F5716" t="s">
        <v>21</v>
      </c>
      <c r="G5716" t="s">
        <v>43</v>
      </c>
      <c r="H5716" t="s">
        <v>25</v>
      </c>
      <c r="I5716" s="1">
        <v>1</v>
      </c>
      <c r="J5716" s="2">
        <v>45791</v>
      </c>
      <c r="L5716" s="1" t="str">
        <f t="shared" si="658"/>
        <v>qua</v>
      </c>
      <c r="M5716" s="1" t="str">
        <f t="shared" si="661"/>
        <v>mai</v>
      </c>
      <c r="N5716">
        <f t="shared" si="659"/>
        <v>2025</v>
      </c>
      <c r="P5716" t="str">
        <f t="shared" si="660"/>
        <v>148745791</v>
      </c>
    </row>
    <row r="5717" spans="1:16" x14ac:dyDescent="0.3">
      <c r="A5717">
        <v>1487</v>
      </c>
      <c r="B5717">
        <v>21</v>
      </c>
      <c r="C5717" t="s">
        <v>26</v>
      </c>
      <c r="D5717" t="s">
        <v>31</v>
      </c>
      <c r="E5717" t="s">
        <v>34</v>
      </c>
      <c r="F5717" t="s">
        <v>21</v>
      </c>
      <c r="G5717" t="s">
        <v>43</v>
      </c>
      <c r="H5717" t="s">
        <v>25</v>
      </c>
      <c r="I5717" s="1">
        <v>1</v>
      </c>
      <c r="J5717" s="2">
        <v>45792</v>
      </c>
      <c r="L5717" s="1" t="str">
        <f t="shared" si="658"/>
        <v>qui</v>
      </c>
      <c r="M5717" s="1" t="str">
        <f t="shared" si="661"/>
        <v>mai</v>
      </c>
      <c r="N5717">
        <f t="shared" si="659"/>
        <v>2025</v>
      </c>
      <c r="P5717" t="str">
        <f t="shared" si="660"/>
        <v>148745792</v>
      </c>
    </row>
    <row r="5718" spans="1:16" x14ac:dyDescent="0.3">
      <c r="A5718">
        <v>1487</v>
      </c>
      <c r="B5718">
        <v>21</v>
      </c>
      <c r="C5718" t="s">
        <v>26</v>
      </c>
      <c r="D5718" t="s">
        <v>31</v>
      </c>
      <c r="E5718" t="s">
        <v>34</v>
      </c>
      <c r="F5718" t="s">
        <v>21</v>
      </c>
      <c r="G5718" t="s">
        <v>43</v>
      </c>
      <c r="H5718" t="s">
        <v>25</v>
      </c>
      <c r="I5718" s="1">
        <v>1</v>
      </c>
      <c r="J5718" s="2">
        <v>45793</v>
      </c>
      <c r="L5718" s="1" t="str">
        <f t="shared" si="658"/>
        <v>sex</v>
      </c>
      <c r="M5718" s="1" t="str">
        <f t="shared" si="661"/>
        <v>mai</v>
      </c>
      <c r="N5718">
        <f t="shared" si="659"/>
        <v>2025</v>
      </c>
      <c r="P5718" t="str">
        <f t="shared" si="660"/>
        <v>148745793</v>
      </c>
    </row>
    <row r="5719" spans="1:16" x14ac:dyDescent="0.3">
      <c r="A5719">
        <v>1487</v>
      </c>
      <c r="B5719">
        <v>21</v>
      </c>
      <c r="C5719" t="s">
        <v>26</v>
      </c>
      <c r="D5719" t="s">
        <v>31</v>
      </c>
      <c r="E5719" t="s">
        <v>34</v>
      </c>
      <c r="F5719" t="s">
        <v>21</v>
      </c>
      <c r="G5719" t="s">
        <v>43</v>
      </c>
      <c r="H5719" t="s">
        <v>25</v>
      </c>
      <c r="I5719" s="1">
        <v>1</v>
      </c>
      <c r="J5719" s="2">
        <v>45794</v>
      </c>
      <c r="L5719" s="1" t="str">
        <f t="shared" si="658"/>
        <v>sáb</v>
      </c>
      <c r="M5719" s="1" t="str">
        <f t="shared" si="661"/>
        <v>mai</v>
      </c>
      <c r="N5719">
        <f t="shared" si="659"/>
        <v>2025</v>
      </c>
      <c r="P5719" t="str">
        <f t="shared" si="660"/>
        <v>148745794</v>
      </c>
    </row>
    <row r="5720" spans="1:16" x14ac:dyDescent="0.3">
      <c r="A5720">
        <v>1487</v>
      </c>
      <c r="B5720">
        <v>21</v>
      </c>
      <c r="C5720" t="s">
        <v>26</v>
      </c>
      <c r="D5720" t="s">
        <v>31</v>
      </c>
      <c r="E5720" t="s">
        <v>34</v>
      </c>
      <c r="F5720" t="s">
        <v>21</v>
      </c>
      <c r="G5720" t="s">
        <v>43</v>
      </c>
      <c r="H5720" t="s">
        <v>25</v>
      </c>
      <c r="I5720" s="1">
        <v>1</v>
      </c>
      <c r="J5720" s="2">
        <v>45795</v>
      </c>
      <c r="L5720" s="1" t="str">
        <f t="shared" si="658"/>
        <v>dom</v>
      </c>
      <c r="M5720" s="1" t="str">
        <f t="shared" si="661"/>
        <v>mai</v>
      </c>
      <c r="N5720">
        <f t="shared" si="659"/>
        <v>2025</v>
      </c>
      <c r="P5720" t="str">
        <f t="shared" si="660"/>
        <v>148745795</v>
      </c>
    </row>
    <row r="5721" spans="1:16" x14ac:dyDescent="0.3">
      <c r="A5721">
        <v>1487</v>
      </c>
      <c r="B5721">
        <v>21</v>
      </c>
      <c r="C5721" t="s">
        <v>26</v>
      </c>
      <c r="D5721" t="s">
        <v>31</v>
      </c>
      <c r="E5721" t="s">
        <v>34</v>
      </c>
      <c r="F5721" t="s">
        <v>21</v>
      </c>
      <c r="G5721" t="s">
        <v>43</v>
      </c>
      <c r="H5721" t="s">
        <v>25</v>
      </c>
      <c r="I5721" s="1">
        <v>1</v>
      </c>
      <c r="J5721" s="2">
        <v>45796</v>
      </c>
      <c r="L5721" s="1" t="str">
        <f t="shared" si="658"/>
        <v>seg</v>
      </c>
      <c r="M5721" s="1" t="str">
        <f t="shared" si="661"/>
        <v>mai</v>
      </c>
      <c r="N5721">
        <f t="shared" si="659"/>
        <v>2025</v>
      </c>
      <c r="P5721" t="str">
        <f t="shared" si="660"/>
        <v>148745796</v>
      </c>
    </row>
    <row r="5722" spans="1:16" x14ac:dyDescent="0.3">
      <c r="A5722">
        <v>1487</v>
      </c>
      <c r="B5722">
        <v>21</v>
      </c>
      <c r="C5722" t="s">
        <v>26</v>
      </c>
      <c r="D5722" t="s">
        <v>31</v>
      </c>
      <c r="E5722" t="s">
        <v>34</v>
      </c>
      <c r="F5722" t="s">
        <v>21</v>
      </c>
      <c r="G5722" t="s">
        <v>43</v>
      </c>
      <c r="H5722" t="s">
        <v>25</v>
      </c>
      <c r="I5722" s="1">
        <v>1</v>
      </c>
      <c r="J5722" s="2">
        <v>45797</v>
      </c>
      <c r="L5722" s="1" t="str">
        <f t="shared" si="658"/>
        <v>ter</v>
      </c>
      <c r="M5722" s="1" t="str">
        <f t="shared" si="661"/>
        <v>mai</v>
      </c>
      <c r="N5722">
        <f t="shared" si="659"/>
        <v>2025</v>
      </c>
      <c r="P5722" t="str">
        <f t="shared" si="660"/>
        <v>148745797</v>
      </c>
    </row>
    <row r="5723" spans="1:16" x14ac:dyDescent="0.3">
      <c r="A5723">
        <v>1487</v>
      </c>
      <c r="B5723">
        <v>21</v>
      </c>
      <c r="C5723" t="s">
        <v>26</v>
      </c>
      <c r="D5723" t="s">
        <v>31</v>
      </c>
      <c r="E5723" t="s">
        <v>34</v>
      </c>
      <c r="F5723" t="s">
        <v>21</v>
      </c>
      <c r="G5723" t="s">
        <v>43</v>
      </c>
      <c r="H5723" t="s">
        <v>25</v>
      </c>
      <c r="I5723" s="1">
        <v>1</v>
      </c>
      <c r="J5723" s="2">
        <v>45798</v>
      </c>
      <c r="L5723" s="1" t="str">
        <f t="shared" si="658"/>
        <v>qua</v>
      </c>
      <c r="M5723" s="1" t="str">
        <f t="shared" si="661"/>
        <v>mai</v>
      </c>
      <c r="N5723">
        <f t="shared" si="659"/>
        <v>2025</v>
      </c>
      <c r="P5723" t="str">
        <f t="shared" si="660"/>
        <v>148745798</v>
      </c>
    </row>
    <row r="5724" spans="1:16" x14ac:dyDescent="0.3">
      <c r="A5724">
        <v>1487</v>
      </c>
      <c r="B5724">
        <v>21</v>
      </c>
      <c r="C5724" t="s">
        <v>26</v>
      </c>
      <c r="D5724" t="s">
        <v>31</v>
      </c>
      <c r="E5724" t="s">
        <v>34</v>
      </c>
      <c r="F5724" t="s">
        <v>21</v>
      </c>
      <c r="G5724" t="s">
        <v>43</v>
      </c>
      <c r="H5724" t="s">
        <v>25</v>
      </c>
      <c r="I5724" s="1">
        <v>1</v>
      </c>
      <c r="J5724" s="2">
        <v>45799</v>
      </c>
      <c r="L5724" s="1" t="str">
        <f t="shared" si="658"/>
        <v>qui</v>
      </c>
      <c r="M5724" s="1" t="str">
        <f t="shared" si="661"/>
        <v>mai</v>
      </c>
      <c r="N5724">
        <f t="shared" si="659"/>
        <v>2025</v>
      </c>
      <c r="P5724" t="str">
        <f t="shared" si="660"/>
        <v>148745799</v>
      </c>
    </row>
    <row r="5725" spans="1:16" x14ac:dyDescent="0.3">
      <c r="A5725">
        <v>1487</v>
      </c>
      <c r="B5725">
        <v>21</v>
      </c>
      <c r="C5725" t="s">
        <v>26</v>
      </c>
      <c r="D5725" t="s">
        <v>31</v>
      </c>
      <c r="E5725" t="s">
        <v>34</v>
      </c>
      <c r="F5725" t="s">
        <v>21</v>
      </c>
      <c r="G5725" t="s">
        <v>43</v>
      </c>
      <c r="H5725" t="s">
        <v>25</v>
      </c>
      <c r="I5725" s="1">
        <v>1</v>
      </c>
      <c r="J5725" s="2">
        <v>45800</v>
      </c>
      <c r="L5725" s="1" t="str">
        <f t="shared" si="658"/>
        <v>sex</v>
      </c>
      <c r="M5725" s="1" t="str">
        <f t="shared" si="661"/>
        <v>mai</v>
      </c>
      <c r="N5725">
        <f t="shared" si="659"/>
        <v>2025</v>
      </c>
      <c r="P5725" t="str">
        <f t="shared" si="660"/>
        <v>148745800</v>
      </c>
    </row>
    <row r="5726" spans="1:16" x14ac:dyDescent="0.3">
      <c r="A5726">
        <v>1487</v>
      </c>
      <c r="B5726">
        <v>21</v>
      </c>
      <c r="C5726" t="s">
        <v>26</v>
      </c>
      <c r="D5726" t="s">
        <v>31</v>
      </c>
      <c r="E5726" t="s">
        <v>34</v>
      </c>
      <c r="F5726" t="s">
        <v>21</v>
      </c>
      <c r="G5726" t="s">
        <v>43</v>
      </c>
      <c r="H5726" t="s">
        <v>25</v>
      </c>
      <c r="I5726" s="1">
        <v>1</v>
      </c>
      <c r="J5726" s="2">
        <v>45801</v>
      </c>
      <c r="L5726" s="1" t="str">
        <f t="shared" si="658"/>
        <v>sáb</v>
      </c>
      <c r="M5726" s="1" t="str">
        <f t="shared" si="661"/>
        <v>mai</v>
      </c>
      <c r="N5726">
        <f t="shared" si="659"/>
        <v>2025</v>
      </c>
      <c r="P5726" t="str">
        <f t="shared" si="660"/>
        <v>148745801</v>
      </c>
    </row>
    <row r="5727" spans="1:16" x14ac:dyDescent="0.3">
      <c r="A5727">
        <v>1487</v>
      </c>
      <c r="B5727">
        <v>21</v>
      </c>
      <c r="C5727" t="s">
        <v>26</v>
      </c>
      <c r="D5727" t="s">
        <v>31</v>
      </c>
      <c r="E5727" t="s">
        <v>34</v>
      </c>
      <c r="F5727" t="s">
        <v>21</v>
      </c>
      <c r="G5727" t="s">
        <v>43</v>
      </c>
      <c r="H5727" t="s">
        <v>25</v>
      </c>
      <c r="I5727" s="1">
        <v>1</v>
      </c>
      <c r="J5727" s="2">
        <v>45802</v>
      </c>
      <c r="L5727" s="1" t="str">
        <f t="shared" si="658"/>
        <v>dom</v>
      </c>
      <c r="M5727" s="1" t="str">
        <f t="shared" si="661"/>
        <v>mai</v>
      </c>
      <c r="N5727">
        <f t="shared" si="659"/>
        <v>2025</v>
      </c>
      <c r="P5727" t="str">
        <f t="shared" si="660"/>
        <v>148745802</v>
      </c>
    </row>
    <row r="5728" spans="1:16" x14ac:dyDescent="0.3">
      <c r="A5728">
        <v>1487</v>
      </c>
      <c r="B5728">
        <v>21</v>
      </c>
      <c r="C5728" t="s">
        <v>26</v>
      </c>
      <c r="D5728" t="s">
        <v>31</v>
      </c>
      <c r="E5728" t="s">
        <v>34</v>
      </c>
      <c r="F5728" t="s">
        <v>21</v>
      </c>
      <c r="G5728" t="s">
        <v>43</v>
      </c>
      <c r="H5728" t="s">
        <v>25</v>
      </c>
      <c r="I5728" s="1">
        <v>1</v>
      </c>
      <c r="J5728" s="2">
        <v>45803</v>
      </c>
      <c r="L5728" s="1" t="str">
        <f t="shared" si="658"/>
        <v>seg</v>
      </c>
      <c r="M5728" s="1" t="str">
        <f t="shared" si="661"/>
        <v>mai</v>
      </c>
      <c r="N5728">
        <f t="shared" si="659"/>
        <v>2025</v>
      </c>
      <c r="P5728" t="str">
        <f t="shared" si="660"/>
        <v>148745803</v>
      </c>
    </row>
    <row r="5729" spans="1:16" x14ac:dyDescent="0.3">
      <c r="A5729">
        <v>1487</v>
      </c>
      <c r="B5729">
        <v>21</v>
      </c>
      <c r="C5729" t="s">
        <v>26</v>
      </c>
      <c r="D5729" t="s">
        <v>31</v>
      </c>
      <c r="E5729" t="s">
        <v>34</v>
      </c>
      <c r="F5729" t="s">
        <v>21</v>
      </c>
      <c r="G5729" t="s">
        <v>43</v>
      </c>
      <c r="H5729" t="s">
        <v>25</v>
      </c>
      <c r="I5729" s="1">
        <v>1</v>
      </c>
      <c r="J5729" s="2">
        <v>45804</v>
      </c>
      <c r="L5729" s="1" t="str">
        <f t="shared" si="658"/>
        <v>ter</v>
      </c>
      <c r="M5729" s="1" t="str">
        <f t="shared" si="661"/>
        <v>mai</v>
      </c>
      <c r="N5729">
        <f t="shared" si="659"/>
        <v>2025</v>
      </c>
      <c r="P5729" t="str">
        <f t="shared" si="660"/>
        <v>148745804</v>
      </c>
    </row>
    <row r="5730" spans="1:16" x14ac:dyDescent="0.3">
      <c r="A5730">
        <v>1487</v>
      </c>
      <c r="B5730">
        <v>21</v>
      </c>
      <c r="C5730" t="s">
        <v>26</v>
      </c>
      <c r="D5730" t="s">
        <v>31</v>
      </c>
      <c r="E5730" t="s">
        <v>34</v>
      </c>
      <c r="F5730" t="s">
        <v>21</v>
      </c>
      <c r="G5730" t="s">
        <v>43</v>
      </c>
      <c r="H5730" t="s">
        <v>25</v>
      </c>
      <c r="I5730" s="1">
        <v>1</v>
      </c>
      <c r="J5730" s="2">
        <v>45805</v>
      </c>
      <c r="L5730" s="1" t="str">
        <f t="shared" si="658"/>
        <v>qua</v>
      </c>
      <c r="M5730" s="1" t="str">
        <f t="shared" si="661"/>
        <v>mai</v>
      </c>
      <c r="N5730">
        <f t="shared" si="659"/>
        <v>2025</v>
      </c>
      <c r="P5730" t="str">
        <f t="shared" si="660"/>
        <v>148745805</v>
      </c>
    </row>
    <row r="5731" spans="1:16" x14ac:dyDescent="0.3">
      <c r="A5731">
        <v>1487</v>
      </c>
      <c r="B5731">
        <v>21</v>
      </c>
      <c r="C5731" t="s">
        <v>26</v>
      </c>
      <c r="D5731" t="s">
        <v>31</v>
      </c>
      <c r="E5731" t="s">
        <v>34</v>
      </c>
      <c r="F5731" t="s">
        <v>21</v>
      </c>
      <c r="G5731" t="s">
        <v>43</v>
      </c>
      <c r="H5731" t="s">
        <v>25</v>
      </c>
      <c r="I5731" s="1">
        <v>1</v>
      </c>
      <c r="J5731" s="2">
        <v>45806</v>
      </c>
      <c r="L5731" s="1" t="str">
        <f t="shared" si="658"/>
        <v>qui</v>
      </c>
      <c r="M5731" s="1" t="str">
        <f t="shared" si="661"/>
        <v>mai</v>
      </c>
      <c r="N5731">
        <f t="shared" si="659"/>
        <v>2025</v>
      </c>
      <c r="P5731" t="str">
        <f t="shared" si="660"/>
        <v>148745806</v>
      </c>
    </row>
    <row r="5732" spans="1:16" x14ac:dyDescent="0.3">
      <c r="A5732">
        <v>1487</v>
      </c>
      <c r="B5732">
        <v>21</v>
      </c>
      <c r="C5732" t="s">
        <v>26</v>
      </c>
      <c r="D5732" t="s">
        <v>31</v>
      </c>
      <c r="E5732" t="s">
        <v>34</v>
      </c>
      <c r="F5732" t="s">
        <v>21</v>
      </c>
      <c r="G5732" t="s">
        <v>43</v>
      </c>
      <c r="H5732" t="s">
        <v>25</v>
      </c>
      <c r="I5732" s="1">
        <v>1</v>
      </c>
      <c r="J5732" s="2">
        <v>45807</v>
      </c>
      <c r="L5732" s="1" t="str">
        <f t="shared" si="658"/>
        <v>sex</v>
      </c>
      <c r="M5732" s="1" t="str">
        <f t="shared" si="661"/>
        <v>mai</v>
      </c>
      <c r="N5732">
        <f t="shared" si="659"/>
        <v>2025</v>
      </c>
      <c r="P5732" t="str">
        <f t="shared" si="660"/>
        <v>148745807</v>
      </c>
    </row>
    <row r="5733" spans="1:16" x14ac:dyDescent="0.3">
      <c r="A5733">
        <v>1487</v>
      </c>
      <c r="B5733">
        <v>21</v>
      </c>
      <c r="C5733" t="s">
        <v>26</v>
      </c>
      <c r="D5733" t="s">
        <v>31</v>
      </c>
      <c r="E5733" t="s">
        <v>34</v>
      </c>
      <c r="F5733" t="s">
        <v>21</v>
      </c>
      <c r="G5733" t="s">
        <v>43</v>
      </c>
      <c r="H5733" t="s">
        <v>25</v>
      </c>
      <c r="I5733" s="1">
        <v>1</v>
      </c>
      <c r="J5733" s="2">
        <v>45808</v>
      </c>
      <c r="L5733" s="1" t="str">
        <f t="shared" si="658"/>
        <v>sáb</v>
      </c>
      <c r="M5733" s="1" t="str">
        <f t="shared" si="661"/>
        <v>mai</v>
      </c>
      <c r="N5733">
        <f t="shared" si="659"/>
        <v>2025</v>
      </c>
      <c r="P5733" t="str">
        <f t="shared" si="660"/>
        <v>148745808</v>
      </c>
    </row>
    <row r="5734" spans="1:16" x14ac:dyDescent="0.3">
      <c r="A5734">
        <v>1487</v>
      </c>
      <c r="B5734">
        <v>21</v>
      </c>
      <c r="C5734" t="s">
        <v>26</v>
      </c>
      <c r="D5734" t="s">
        <v>31</v>
      </c>
      <c r="E5734" t="s">
        <v>34</v>
      </c>
      <c r="F5734" t="s">
        <v>21</v>
      </c>
      <c r="G5734" t="s">
        <v>43</v>
      </c>
      <c r="H5734" t="s">
        <v>25</v>
      </c>
      <c r="I5734" s="1">
        <v>1</v>
      </c>
      <c r="J5734" s="2">
        <v>45809</v>
      </c>
      <c r="L5734" s="1" t="str">
        <f t="shared" si="658"/>
        <v>dom</v>
      </c>
      <c r="M5734" s="1" t="str">
        <f t="shared" si="661"/>
        <v>jun</v>
      </c>
      <c r="N5734">
        <f t="shared" si="659"/>
        <v>2025</v>
      </c>
      <c r="P5734" t="str">
        <f t="shared" si="660"/>
        <v>148745809</v>
      </c>
    </row>
    <row r="5735" spans="1:16" x14ac:dyDescent="0.3">
      <c r="A5735">
        <v>1487</v>
      </c>
      <c r="B5735">
        <v>21</v>
      </c>
      <c r="C5735" t="s">
        <v>26</v>
      </c>
      <c r="D5735" t="s">
        <v>31</v>
      </c>
      <c r="E5735" t="s">
        <v>34</v>
      </c>
      <c r="F5735" t="s">
        <v>21</v>
      </c>
      <c r="G5735" t="s">
        <v>43</v>
      </c>
      <c r="H5735" t="s">
        <v>25</v>
      </c>
      <c r="I5735" s="1">
        <v>1</v>
      </c>
      <c r="J5735" s="2">
        <v>45810</v>
      </c>
      <c r="L5735" s="1" t="str">
        <f t="shared" si="658"/>
        <v>seg</v>
      </c>
      <c r="M5735" s="1" t="str">
        <f t="shared" si="661"/>
        <v>jun</v>
      </c>
      <c r="N5735">
        <f t="shared" si="659"/>
        <v>2025</v>
      </c>
      <c r="P5735" t="str">
        <f t="shared" si="660"/>
        <v>148745810</v>
      </c>
    </row>
    <row r="5736" spans="1:16" x14ac:dyDescent="0.3">
      <c r="A5736">
        <v>1487</v>
      </c>
      <c r="B5736">
        <v>21</v>
      </c>
      <c r="C5736" t="s">
        <v>26</v>
      </c>
      <c r="D5736" t="s">
        <v>31</v>
      </c>
      <c r="E5736" t="s">
        <v>34</v>
      </c>
      <c r="F5736" t="s">
        <v>21</v>
      </c>
      <c r="G5736" t="s">
        <v>43</v>
      </c>
      <c r="H5736" t="s">
        <v>25</v>
      </c>
      <c r="I5736" s="1">
        <v>1</v>
      </c>
      <c r="J5736" s="2">
        <v>45811</v>
      </c>
      <c r="L5736" s="1" t="str">
        <f t="shared" si="658"/>
        <v>ter</v>
      </c>
      <c r="M5736" s="1" t="str">
        <f t="shared" si="661"/>
        <v>jun</v>
      </c>
      <c r="N5736">
        <f t="shared" si="659"/>
        <v>2025</v>
      </c>
      <c r="P5736" t="str">
        <f t="shared" si="660"/>
        <v>148745811</v>
      </c>
    </row>
    <row r="5737" spans="1:16" x14ac:dyDescent="0.3">
      <c r="A5737">
        <v>1487</v>
      </c>
      <c r="B5737">
        <v>21</v>
      </c>
      <c r="C5737" t="s">
        <v>26</v>
      </c>
      <c r="D5737" t="s">
        <v>31</v>
      </c>
      <c r="E5737" t="s">
        <v>34</v>
      </c>
      <c r="F5737" t="s">
        <v>21</v>
      </c>
      <c r="G5737" t="s">
        <v>43</v>
      </c>
      <c r="H5737" t="s">
        <v>25</v>
      </c>
      <c r="I5737" s="1">
        <v>1</v>
      </c>
      <c r="J5737" s="2">
        <v>45812</v>
      </c>
      <c r="L5737" s="1" t="str">
        <f t="shared" si="658"/>
        <v>qua</v>
      </c>
      <c r="M5737" s="1" t="str">
        <f t="shared" si="661"/>
        <v>jun</v>
      </c>
      <c r="N5737">
        <f t="shared" si="659"/>
        <v>2025</v>
      </c>
      <c r="P5737" t="str">
        <f t="shared" si="660"/>
        <v>148745812</v>
      </c>
    </row>
    <row r="5738" spans="1:16" x14ac:dyDescent="0.3">
      <c r="A5738">
        <v>1487</v>
      </c>
      <c r="B5738">
        <v>21</v>
      </c>
      <c r="C5738" t="s">
        <v>26</v>
      </c>
      <c r="D5738" t="s">
        <v>31</v>
      </c>
      <c r="E5738" t="s">
        <v>34</v>
      </c>
      <c r="F5738" t="s">
        <v>21</v>
      </c>
      <c r="G5738" t="s">
        <v>43</v>
      </c>
      <c r="H5738" t="s">
        <v>25</v>
      </c>
      <c r="I5738" s="1">
        <v>1</v>
      </c>
      <c r="J5738" s="2">
        <v>45813</v>
      </c>
      <c r="L5738" s="1" t="str">
        <f t="shared" si="658"/>
        <v>qui</v>
      </c>
      <c r="M5738" s="1" t="str">
        <f t="shared" si="661"/>
        <v>jun</v>
      </c>
      <c r="N5738">
        <f t="shared" si="659"/>
        <v>2025</v>
      </c>
      <c r="P5738" t="str">
        <f t="shared" si="660"/>
        <v>148745813</v>
      </c>
    </row>
    <row r="5739" spans="1:16" x14ac:dyDescent="0.3">
      <c r="A5739">
        <v>1487</v>
      </c>
      <c r="B5739">
        <v>21</v>
      </c>
      <c r="C5739" t="s">
        <v>26</v>
      </c>
      <c r="D5739" t="s">
        <v>31</v>
      </c>
      <c r="E5739" t="s">
        <v>34</v>
      </c>
      <c r="F5739" t="s">
        <v>21</v>
      </c>
      <c r="G5739" t="s">
        <v>43</v>
      </c>
      <c r="H5739" t="s">
        <v>25</v>
      </c>
      <c r="I5739" s="1">
        <v>1</v>
      </c>
      <c r="J5739" s="2">
        <v>45814</v>
      </c>
      <c r="L5739" s="1" t="str">
        <f t="shared" si="658"/>
        <v>sex</v>
      </c>
      <c r="M5739" s="1" t="str">
        <f t="shared" si="661"/>
        <v>jun</v>
      </c>
      <c r="N5739">
        <f t="shared" si="659"/>
        <v>2025</v>
      </c>
      <c r="P5739" t="str">
        <f t="shared" si="660"/>
        <v>148745814</v>
      </c>
    </row>
    <row r="5740" spans="1:16" x14ac:dyDescent="0.3">
      <c r="A5740">
        <v>1487</v>
      </c>
      <c r="B5740">
        <v>21</v>
      </c>
      <c r="C5740" t="s">
        <v>26</v>
      </c>
      <c r="D5740" t="s">
        <v>31</v>
      </c>
      <c r="E5740" t="s">
        <v>34</v>
      </c>
      <c r="F5740" t="s">
        <v>21</v>
      </c>
      <c r="G5740" t="s">
        <v>43</v>
      </c>
      <c r="H5740" t="s">
        <v>25</v>
      </c>
      <c r="I5740" s="1">
        <v>1</v>
      </c>
      <c r="J5740" s="2">
        <v>45815</v>
      </c>
      <c r="L5740" s="1" t="str">
        <f t="shared" si="658"/>
        <v>sáb</v>
      </c>
      <c r="M5740" s="1" t="str">
        <f t="shared" si="661"/>
        <v>jun</v>
      </c>
      <c r="N5740">
        <f t="shared" si="659"/>
        <v>2025</v>
      </c>
      <c r="P5740" t="str">
        <f t="shared" si="660"/>
        <v>148745815</v>
      </c>
    </row>
    <row r="5741" spans="1:16" x14ac:dyDescent="0.3">
      <c r="A5741">
        <v>1487</v>
      </c>
      <c r="B5741">
        <v>21</v>
      </c>
      <c r="C5741" t="s">
        <v>26</v>
      </c>
      <c r="D5741" t="s">
        <v>31</v>
      </c>
      <c r="E5741" t="s">
        <v>34</v>
      </c>
      <c r="F5741" t="s">
        <v>21</v>
      </c>
      <c r="G5741" t="s">
        <v>43</v>
      </c>
      <c r="H5741" t="s">
        <v>25</v>
      </c>
      <c r="I5741" s="1">
        <v>1</v>
      </c>
      <c r="J5741" s="2">
        <v>45816</v>
      </c>
      <c r="L5741" s="1" t="str">
        <f t="shared" si="658"/>
        <v>dom</v>
      </c>
      <c r="M5741" s="1" t="str">
        <f t="shared" si="661"/>
        <v>jun</v>
      </c>
      <c r="N5741">
        <f t="shared" si="659"/>
        <v>2025</v>
      </c>
      <c r="P5741" t="str">
        <f t="shared" si="660"/>
        <v>148745816</v>
      </c>
    </row>
    <row r="5742" spans="1:16" x14ac:dyDescent="0.3">
      <c r="A5742">
        <v>1487</v>
      </c>
      <c r="B5742">
        <v>21</v>
      </c>
      <c r="C5742" t="s">
        <v>26</v>
      </c>
      <c r="D5742" t="s">
        <v>31</v>
      </c>
      <c r="E5742" t="s">
        <v>34</v>
      </c>
      <c r="F5742" t="s">
        <v>21</v>
      </c>
      <c r="G5742" t="s">
        <v>43</v>
      </c>
      <c r="H5742" t="s">
        <v>25</v>
      </c>
      <c r="I5742" s="1">
        <v>1</v>
      </c>
      <c r="J5742" s="2">
        <v>45817</v>
      </c>
      <c r="L5742" s="1" t="str">
        <f t="shared" si="658"/>
        <v>seg</v>
      </c>
      <c r="M5742" s="1" t="str">
        <f t="shared" si="661"/>
        <v>jun</v>
      </c>
      <c r="N5742">
        <f t="shared" si="659"/>
        <v>2025</v>
      </c>
      <c r="P5742" t="str">
        <f t="shared" si="660"/>
        <v>148745817</v>
      </c>
    </row>
    <row r="5743" spans="1:16" x14ac:dyDescent="0.3">
      <c r="A5743">
        <v>1487</v>
      </c>
      <c r="B5743">
        <v>21</v>
      </c>
      <c r="C5743" t="s">
        <v>26</v>
      </c>
      <c r="D5743" t="s">
        <v>31</v>
      </c>
      <c r="E5743" t="s">
        <v>34</v>
      </c>
      <c r="F5743" t="s">
        <v>21</v>
      </c>
      <c r="G5743" t="s">
        <v>43</v>
      </c>
      <c r="H5743" t="s">
        <v>25</v>
      </c>
      <c r="I5743" s="1">
        <v>1</v>
      </c>
      <c r="J5743" s="2">
        <v>45818</v>
      </c>
      <c r="L5743" s="1" t="str">
        <f t="shared" si="658"/>
        <v>ter</v>
      </c>
      <c r="M5743" s="1" t="str">
        <f t="shared" si="661"/>
        <v>jun</v>
      </c>
      <c r="N5743">
        <f t="shared" si="659"/>
        <v>2025</v>
      </c>
      <c r="P5743" t="str">
        <f t="shared" si="660"/>
        <v>148745818</v>
      </c>
    </row>
    <row r="5744" spans="1:16" x14ac:dyDescent="0.3">
      <c r="A5744">
        <v>1487</v>
      </c>
      <c r="B5744">
        <v>21</v>
      </c>
      <c r="C5744" t="s">
        <v>26</v>
      </c>
      <c r="D5744" t="s">
        <v>31</v>
      </c>
      <c r="E5744" t="s">
        <v>34</v>
      </c>
      <c r="F5744" t="s">
        <v>21</v>
      </c>
      <c r="G5744" t="s">
        <v>43</v>
      </c>
      <c r="H5744" t="s">
        <v>25</v>
      </c>
      <c r="I5744" s="1">
        <v>1</v>
      </c>
      <c r="J5744" s="2">
        <v>45819</v>
      </c>
      <c r="L5744" s="1" t="str">
        <f t="shared" ref="L5744:L5807" si="662">TEXT(J5744,"ddd")</f>
        <v>qua</v>
      </c>
      <c r="M5744" s="1" t="str">
        <f t="shared" si="661"/>
        <v>jun</v>
      </c>
      <c r="N5744">
        <f t="shared" ref="N5744:N5807" si="663">YEAR(J5744)</f>
        <v>2025</v>
      </c>
      <c r="P5744" t="str">
        <f t="shared" ref="P5744:P5807" si="664">CONCATENATE(A5744,J5744)</f>
        <v>148745819</v>
      </c>
    </row>
    <row r="5745" spans="1:16" x14ac:dyDescent="0.3">
      <c r="A5745">
        <v>1487</v>
      </c>
      <c r="B5745">
        <v>21</v>
      </c>
      <c r="C5745" t="s">
        <v>26</v>
      </c>
      <c r="D5745" t="s">
        <v>31</v>
      </c>
      <c r="E5745" t="s">
        <v>34</v>
      </c>
      <c r="F5745" t="s">
        <v>21</v>
      </c>
      <c r="G5745" t="s">
        <v>43</v>
      </c>
      <c r="H5745" t="s">
        <v>25</v>
      </c>
      <c r="I5745" s="1">
        <v>1</v>
      </c>
      <c r="J5745" s="2">
        <v>45820</v>
      </c>
      <c r="L5745" s="1" t="str">
        <f t="shared" si="662"/>
        <v>qui</v>
      </c>
      <c r="M5745" s="1" t="str">
        <f t="shared" ref="M5745:M5808" si="665">TEXT($J5745,"mmm")</f>
        <v>jun</v>
      </c>
      <c r="N5745">
        <f t="shared" si="663"/>
        <v>2025</v>
      </c>
      <c r="P5745" t="str">
        <f t="shared" si="664"/>
        <v>148745820</v>
      </c>
    </row>
    <row r="5746" spans="1:16" x14ac:dyDescent="0.3">
      <c r="A5746">
        <v>1487</v>
      </c>
      <c r="B5746">
        <v>21</v>
      </c>
      <c r="C5746" t="s">
        <v>26</v>
      </c>
      <c r="D5746" t="s">
        <v>31</v>
      </c>
      <c r="E5746" t="s">
        <v>34</v>
      </c>
      <c r="F5746" t="s">
        <v>21</v>
      </c>
      <c r="G5746" t="s">
        <v>43</v>
      </c>
      <c r="H5746" t="s">
        <v>25</v>
      </c>
      <c r="I5746" s="1">
        <v>1</v>
      </c>
      <c r="J5746" s="2">
        <v>45821</v>
      </c>
      <c r="L5746" s="1" t="str">
        <f t="shared" si="662"/>
        <v>sex</v>
      </c>
      <c r="M5746" s="1" t="str">
        <f t="shared" si="665"/>
        <v>jun</v>
      </c>
      <c r="N5746">
        <f t="shared" si="663"/>
        <v>2025</v>
      </c>
      <c r="P5746" t="str">
        <f t="shared" si="664"/>
        <v>148745821</v>
      </c>
    </row>
    <row r="5747" spans="1:16" x14ac:dyDescent="0.3">
      <c r="A5747">
        <v>1487</v>
      </c>
      <c r="B5747">
        <v>21</v>
      </c>
      <c r="C5747" t="s">
        <v>26</v>
      </c>
      <c r="D5747" t="s">
        <v>31</v>
      </c>
      <c r="E5747" t="s">
        <v>34</v>
      </c>
      <c r="F5747" t="s">
        <v>21</v>
      </c>
      <c r="G5747" t="s">
        <v>43</v>
      </c>
      <c r="H5747" t="s">
        <v>25</v>
      </c>
      <c r="I5747" s="1">
        <v>1</v>
      </c>
      <c r="J5747" s="2">
        <v>45822</v>
      </c>
      <c r="L5747" s="1" t="str">
        <f t="shared" si="662"/>
        <v>sáb</v>
      </c>
      <c r="M5747" s="1" t="str">
        <f t="shared" si="665"/>
        <v>jun</v>
      </c>
      <c r="N5747">
        <f t="shared" si="663"/>
        <v>2025</v>
      </c>
      <c r="P5747" t="str">
        <f t="shared" si="664"/>
        <v>148745822</v>
      </c>
    </row>
    <row r="5748" spans="1:16" x14ac:dyDescent="0.3">
      <c r="A5748">
        <v>1487</v>
      </c>
      <c r="B5748">
        <v>21</v>
      </c>
      <c r="C5748" t="s">
        <v>26</v>
      </c>
      <c r="D5748" t="s">
        <v>31</v>
      </c>
      <c r="E5748" t="s">
        <v>34</v>
      </c>
      <c r="F5748" t="s">
        <v>21</v>
      </c>
      <c r="G5748" t="s">
        <v>43</v>
      </c>
      <c r="H5748" t="s">
        <v>25</v>
      </c>
      <c r="I5748" s="1">
        <v>1</v>
      </c>
      <c r="J5748" s="2">
        <v>45823</v>
      </c>
      <c r="L5748" s="1" t="str">
        <f t="shared" si="662"/>
        <v>dom</v>
      </c>
      <c r="M5748" s="1" t="str">
        <f t="shared" si="665"/>
        <v>jun</v>
      </c>
      <c r="N5748">
        <f t="shared" si="663"/>
        <v>2025</v>
      </c>
      <c r="P5748" t="str">
        <f t="shared" si="664"/>
        <v>148745823</v>
      </c>
    </row>
    <row r="5749" spans="1:16" x14ac:dyDescent="0.3">
      <c r="A5749">
        <v>1487</v>
      </c>
      <c r="B5749">
        <v>21</v>
      </c>
      <c r="C5749" t="s">
        <v>26</v>
      </c>
      <c r="D5749" t="s">
        <v>31</v>
      </c>
      <c r="E5749" t="s">
        <v>34</v>
      </c>
      <c r="F5749" t="s">
        <v>21</v>
      </c>
      <c r="G5749" t="s">
        <v>43</v>
      </c>
      <c r="H5749" t="s">
        <v>25</v>
      </c>
      <c r="I5749" s="1">
        <v>1</v>
      </c>
      <c r="J5749" s="2">
        <v>45824</v>
      </c>
      <c r="L5749" s="1" t="str">
        <f t="shared" si="662"/>
        <v>seg</v>
      </c>
      <c r="M5749" s="1" t="str">
        <f t="shared" si="665"/>
        <v>jun</v>
      </c>
      <c r="N5749">
        <f t="shared" si="663"/>
        <v>2025</v>
      </c>
      <c r="P5749" t="str">
        <f t="shared" si="664"/>
        <v>148745824</v>
      </c>
    </row>
    <row r="5750" spans="1:16" x14ac:dyDescent="0.3">
      <c r="A5750">
        <v>1487</v>
      </c>
      <c r="B5750">
        <v>21</v>
      </c>
      <c r="C5750" t="s">
        <v>26</v>
      </c>
      <c r="D5750" t="s">
        <v>31</v>
      </c>
      <c r="E5750" t="s">
        <v>34</v>
      </c>
      <c r="F5750" t="s">
        <v>21</v>
      </c>
      <c r="G5750" t="s">
        <v>43</v>
      </c>
      <c r="H5750" t="s">
        <v>25</v>
      </c>
      <c r="I5750" s="1">
        <v>1</v>
      </c>
      <c r="J5750" s="2">
        <v>45825</v>
      </c>
      <c r="L5750" s="1" t="str">
        <f t="shared" si="662"/>
        <v>ter</v>
      </c>
      <c r="M5750" s="1" t="str">
        <f t="shared" si="665"/>
        <v>jun</v>
      </c>
      <c r="N5750">
        <f t="shared" si="663"/>
        <v>2025</v>
      </c>
      <c r="P5750" t="str">
        <f t="shared" si="664"/>
        <v>148745825</v>
      </c>
    </row>
    <row r="5751" spans="1:16" x14ac:dyDescent="0.3">
      <c r="A5751">
        <v>1487</v>
      </c>
      <c r="B5751">
        <v>21</v>
      </c>
      <c r="C5751" t="s">
        <v>26</v>
      </c>
      <c r="D5751" t="s">
        <v>31</v>
      </c>
      <c r="E5751" t="s">
        <v>34</v>
      </c>
      <c r="F5751" t="s">
        <v>21</v>
      </c>
      <c r="G5751" t="s">
        <v>43</v>
      </c>
      <c r="H5751" t="s">
        <v>25</v>
      </c>
      <c r="I5751" s="1">
        <v>1</v>
      </c>
      <c r="J5751" s="2">
        <v>45826</v>
      </c>
      <c r="L5751" s="1" t="str">
        <f t="shared" si="662"/>
        <v>qua</v>
      </c>
      <c r="M5751" s="1" t="str">
        <f t="shared" si="665"/>
        <v>jun</v>
      </c>
      <c r="N5751">
        <f t="shared" si="663"/>
        <v>2025</v>
      </c>
      <c r="P5751" t="str">
        <f t="shared" si="664"/>
        <v>148745826</v>
      </c>
    </row>
    <row r="5752" spans="1:16" x14ac:dyDescent="0.3">
      <c r="A5752">
        <v>1487</v>
      </c>
      <c r="B5752">
        <v>21</v>
      </c>
      <c r="C5752" t="s">
        <v>26</v>
      </c>
      <c r="D5752" t="s">
        <v>31</v>
      </c>
      <c r="E5752" t="s">
        <v>34</v>
      </c>
      <c r="F5752" t="s">
        <v>21</v>
      </c>
      <c r="G5752" t="s">
        <v>43</v>
      </c>
      <c r="H5752" t="s">
        <v>25</v>
      </c>
      <c r="I5752" s="1">
        <v>1</v>
      </c>
      <c r="J5752" s="2">
        <v>45827</v>
      </c>
      <c r="L5752" s="1" t="str">
        <f t="shared" si="662"/>
        <v>qui</v>
      </c>
      <c r="M5752" s="1" t="str">
        <f t="shared" si="665"/>
        <v>jun</v>
      </c>
      <c r="N5752">
        <f t="shared" si="663"/>
        <v>2025</v>
      </c>
      <c r="P5752" t="str">
        <f t="shared" si="664"/>
        <v>148745827</v>
      </c>
    </row>
    <row r="5753" spans="1:16" x14ac:dyDescent="0.3">
      <c r="A5753">
        <v>1487</v>
      </c>
      <c r="B5753">
        <v>21</v>
      </c>
      <c r="C5753" t="s">
        <v>26</v>
      </c>
      <c r="D5753" t="s">
        <v>31</v>
      </c>
      <c r="E5753" t="s">
        <v>34</v>
      </c>
      <c r="F5753" t="s">
        <v>21</v>
      </c>
      <c r="G5753" t="s">
        <v>43</v>
      </c>
      <c r="H5753" t="s">
        <v>25</v>
      </c>
      <c r="I5753" s="1">
        <v>1</v>
      </c>
      <c r="J5753" s="2">
        <v>45828</v>
      </c>
      <c r="L5753" s="1" t="str">
        <f t="shared" si="662"/>
        <v>sex</v>
      </c>
      <c r="M5753" s="1" t="str">
        <f t="shared" si="665"/>
        <v>jun</v>
      </c>
      <c r="N5753">
        <f t="shared" si="663"/>
        <v>2025</v>
      </c>
      <c r="P5753" t="str">
        <f t="shared" si="664"/>
        <v>148745828</v>
      </c>
    </row>
    <row r="5754" spans="1:16" x14ac:dyDescent="0.3">
      <c r="A5754">
        <v>1487</v>
      </c>
      <c r="B5754">
        <v>21</v>
      </c>
      <c r="C5754" t="s">
        <v>26</v>
      </c>
      <c r="D5754" t="s">
        <v>31</v>
      </c>
      <c r="E5754" t="s">
        <v>34</v>
      </c>
      <c r="F5754" t="s">
        <v>21</v>
      </c>
      <c r="G5754" t="s">
        <v>43</v>
      </c>
      <c r="H5754" t="s">
        <v>25</v>
      </c>
      <c r="I5754" s="1">
        <v>1</v>
      </c>
      <c r="J5754" s="2">
        <v>45829</v>
      </c>
      <c r="L5754" s="1" t="str">
        <f t="shared" si="662"/>
        <v>sáb</v>
      </c>
      <c r="M5754" s="1" t="str">
        <f t="shared" si="665"/>
        <v>jun</v>
      </c>
      <c r="N5754">
        <f t="shared" si="663"/>
        <v>2025</v>
      </c>
      <c r="P5754" t="str">
        <f t="shared" si="664"/>
        <v>148745829</v>
      </c>
    </row>
    <row r="5755" spans="1:16" x14ac:dyDescent="0.3">
      <c r="A5755">
        <v>1487</v>
      </c>
      <c r="B5755">
        <v>21</v>
      </c>
      <c r="C5755" t="s">
        <v>26</v>
      </c>
      <c r="D5755" t="s">
        <v>31</v>
      </c>
      <c r="E5755" t="s">
        <v>34</v>
      </c>
      <c r="F5755" t="s">
        <v>21</v>
      </c>
      <c r="G5755" t="s">
        <v>43</v>
      </c>
      <c r="H5755" t="s">
        <v>25</v>
      </c>
      <c r="I5755" s="1">
        <v>1</v>
      </c>
      <c r="J5755" s="2">
        <v>45830</v>
      </c>
      <c r="L5755" s="1" t="str">
        <f t="shared" si="662"/>
        <v>dom</v>
      </c>
      <c r="M5755" s="1" t="str">
        <f t="shared" si="665"/>
        <v>jun</v>
      </c>
      <c r="N5755">
        <f t="shared" si="663"/>
        <v>2025</v>
      </c>
      <c r="P5755" t="str">
        <f t="shared" si="664"/>
        <v>148745830</v>
      </c>
    </row>
    <row r="5756" spans="1:16" x14ac:dyDescent="0.3">
      <c r="A5756">
        <v>1487</v>
      </c>
      <c r="B5756">
        <v>21</v>
      </c>
      <c r="C5756" t="s">
        <v>26</v>
      </c>
      <c r="D5756" t="s">
        <v>31</v>
      </c>
      <c r="E5756" t="s">
        <v>34</v>
      </c>
      <c r="F5756" t="s">
        <v>21</v>
      </c>
      <c r="G5756" t="s">
        <v>43</v>
      </c>
      <c r="H5756" t="s">
        <v>25</v>
      </c>
      <c r="I5756" s="1">
        <v>1</v>
      </c>
      <c r="J5756" s="2">
        <v>45831</v>
      </c>
      <c r="L5756" s="1" t="str">
        <f t="shared" si="662"/>
        <v>seg</v>
      </c>
      <c r="M5756" s="1" t="str">
        <f t="shared" si="665"/>
        <v>jun</v>
      </c>
      <c r="N5756">
        <f t="shared" si="663"/>
        <v>2025</v>
      </c>
      <c r="P5756" t="str">
        <f t="shared" si="664"/>
        <v>148745831</v>
      </c>
    </row>
    <row r="5757" spans="1:16" x14ac:dyDescent="0.3">
      <c r="A5757">
        <v>1487</v>
      </c>
      <c r="B5757">
        <v>21</v>
      </c>
      <c r="C5757" t="s">
        <v>26</v>
      </c>
      <c r="D5757" t="s">
        <v>31</v>
      </c>
      <c r="E5757" t="s">
        <v>34</v>
      </c>
      <c r="F5757" t="s">
        <v>21</v>
      </c>
      <c r="G5757" t="s">
        <v>43</v>
      </c>
      <c r="H5757" t="s">
        <v>25</v>
      </c>
      <c r="I5757" s="1">
        <v>1</v>
      </c>
      <c r="J5757" s="2">
        <v>45832</v>
      </c>
      <c r="L5757" s="1" t="str">
        <f t="shared" si="662"/>
        <v>ter</v>
      </c>
      <c r="M5757" s="1" t="str">
        <f t="shared" si="665"/>
        <v>jun</v>
      </c>
      <c r="N5757">
        <f t="shared" si="663"/>
        <v>2025</v>
      </c>
      <c r="P5757" t="str">
        <f t="shared" si="664"/>
        <v>148745832</v>
      </c>
    </row>
    <row r="5758" spans="1:16" x14ac:dyDescent="0.3">
      <c r="A5758">
        <v>1487</v>
      </c>
      <c r="B5758">
        <v>21</v>
      </c>
      <c r="C5758" t="s">
        <v>26</v>
      </c>
      <c r="D5758" t="s">
        <v>31</v>
      </c>
      <c r="E5758" t="s">
        <v>34</v>
      </c>
      <c r="F5758" t="s">
        <v>21</v>
      </c>
      <c r="G5758" t="s">
        <v>43</v>
      </c>
      <c r="H5758" t="s">
        <v>25</v>
      </c>
      <c r="I5758" s="1">
        <v>1</v>
      </c>
      <c r="J5758" s="2">
        <v>45833</v>
      </c>
      <c r="L5758" s="1" t="str">
        <f t="shared" si="662"/>
        <v>qua</v>
      </c>
      <c r="M5758" s="1" t="str">
        <f t="shared" si="665"/>
        <v>jun</v>
      </c>
      <c r="N5758">
        <f t="shared" si="663"/>
        <v>2025</v>
      </c>
      <c r="P5758" t="str">
        <f t="shared" si="664"/>
        <v>148745833</v>
      </c>
    </row>
    <row r="5759" spans="1:16" x14ac:dyDescent="0.3">
      <c r="A5759">
        <v>1487</v>
      </c>
      <c r="B5759">
        <v>21</v>
      </c>
      <c r="C5759" t="s">
        <v>26</v>
      </c>
      <c r="D5759" t="s">
        <v>31</v>
      </c>
      <c r="E5759" t="s">
        <v>34</v>
      </c>
      <c r="F5759" t="s">
        <v>21</v>
      </c>
      <c r="G5759" t="s">
        <v>43</v>
      </c>
      <c r="H5759" t="s">
        <v>25</v>
      </c>
      <c r="I5759" s="1">
        <v>1</v>
      </c>
      <c r="J5759" s="2">
        <v>45834</v>
      </c>
      <c r="L5759" s="1" t="str">
        <f t="shared" si="662"/>
        <v>qui</v>
      </c>
      <c r="M5759" s="1" t="str">
        <f t="shared" si="665"/>
        <v>jun</v>
      </c>
      <c r="N5759">
        <f t="shared" si="663"/>
        <v>2025</v>
      </c>
      <c r="P5759" t="str">
        <f t="shared" si="664"/>
        <v>148745834</v>
      </c>
    </row>
    <row r="5760" spans="1:16" x14ac:dyDescent="0.3">
      <c r="A5760">
        <v>1487</v>
      </c>
      <c r="B5760">
        <v>21</v>
      </c>
      <c r="C5760" t="s">
        <v>26</v>
      </c>
      <c r="D5760" t="s">
        <v>31</v>
      </c>
      <c r="E5760" t="s">
        <v>34</v>
      </c>
      <c r="F5760" t="s">
        <v>21</v>
      </c>
      <c r="G5760" t="s">
        <v>43</v>
      </c>
      <c r="H5760" t="s">
        <v>25</v>
      </c>
      <c r="I5760" s="1">
        <v>1</v>
      </c>
      <c r="J5760" s="2">
        <v>45835</v>
      </c>
      <c r="L5760" s="1" t="str">
        <f t="shared" si="662"/>
        <v>sex</v>
      </c>
      <c r="M5760" s="1" t="str">
        <f t="shared" si="665"/>
        <v>jun</v>
      </c>
      <c r="N5760">
        <f t="shared" si="663"/>
        <v>2025</v>
      </c>
      <c r="P5760" t="str">
        <f t="shared" si="664"/>
        <v>148745835</v>
      </c>
    </row>
    <row r="5761" spans="1:16" x14ac:dyDescent="0.3">
      <c r="A5761">
        <v>1487</v>
      </c>
      <c r="B5761">
        <v>21</v>
      </c>
      <c r="C5761" t="s">
        <v>26</v>
      </c>
      <c r="D5761" t="s">
        <v>31</v>
      </c>
      <c r="E5761" t="s">
        <v>34</v>
      </c>
      <c r="F5761" t="s">
        <v>21</v>
      </c>
      <c r="G5761" t="s">
        <v>43</v>
      </c>
      <c r="H5761" t="s">
        <v>25</v>
      </c>
      <c r="I5761" s="1">
        <v>1</v>
      </c>
      <c r="J5761" s="2">
        <v>45836</v>
      </c>
      <c r="L5761" s="1" t="str">
        <f t="shared" si="662"/>
        <v>sáb</v>
      </c>
      <c r="M5761" s="1" t="str">
        <f t="shared" si="665"/>
        <v>jun</v>
      </c>
      <c r="N5761">
        <f t="shared" si="663"/>
        <v>2025</v>
      </c>
      <c r="P5761" t="str">
        <f t="shared" si="664"/>
        <v>148745836</v>
      </c>
    </row>
    <row r="5762" spans="1:16" x14ac:dyDescent="0.3">
      <c r="A5762">
        <v>1487</v>
      </c>
      <c r="B5762">
        <v>21</v>
      </c>
      <c r="C5762" t="s">
        <v>26</v>
      </c>
      <c r="D5762" t="s">
        <v>31</v>
      </c>
      <c r="E5762" t="s">
        <v>34</v>
      </c>
      <c r="F5762" t="s">
        <v>21</v>
      </c>
      <c r="G5762" t="s">
        <v>43</v>
      </c>
      <c r="H5762" t="s">
        <v>25</v>
      </c>
      <c r="I5762" s="1">
        <v>1</v>
      </c>
      <c r="J5762" s="2">
        <v>45837</v>
      </c>
      <c r="L5762" s="1" t="str">
        <f t="shared" si="662"/>
        <v>dom</v>
      </c>
      <c r="M5762" s="1" t="str">
        <f t="shared" si="665"/>
        <v>jun</v>
      </c>
      <c r="N5762">
        <f t="shared" si="663"/>
        <v>2025</v>
      </c>
      <c r="P5762" t="str">
        <f t="shared" si="664"/>
        <v>148745837</v>
      </c>
    </row>
    <row r="5763" spans="1:16" x14ac:dyDescent="0.3">
      <c r="A5763">
        <v>1487</v>
      </c>
      <c r="B5763">
        <v>21</v>
      </c>
      <c r="C5763" t="s">
        <v>26</v>
      </c>
      <c r="D5763" t="s">
        <v>31</v>
      </c>
      <c r="E5763" t="s">
        <v>34</v>
      </c>
      <c r="F5763" t="s">
        <v>21</v>
      </c>
      <c r="G5763" t="s">
        <v>43</v>
      </c>
      <c r="H5763" t="s">
        <v>25</v>
      </c>
      <c r="I5763" s="1">
        <v>1</v>
      </c>
      <c r="J5763" s="2">
        <v>45838</v>
      </c>
      <c r="L5763" s="1" t="str">
        <f t="shared" si="662"/>
        <v>seg</v>
      </c>
      <c r="M5763" s="1" t="str">
        <f t="shared" si="665"/>
        <v>jun</v>
      </c>
      <c r="N5763">
        <f t="shared" si="663"/>
        <v>2025</v>
      </c>
      <c r="P5763" t="str">
        <f t="shared" si="664"/>
        <v>148745838</v>
      </c>
    </row>
    <row r="5764" spans="1:16" x14ac:dyDescent="0.3">
      <c r="A5764">
        <v>1487</v>
      </c>
      <c r="B5764">
        <v>21</v>
      </c>
      <c r="C5764" t="s">
        <v>26</v>
      </c>
      <c r="D5764" t="s">
        <v>31</v>
      </c>
      <c r="E5764" t="s">
        <v>34</v>
      </c>
      <c r="F5764" t="s">
        <v>21</v>
      </c>
      <c r="G5764" t="s">
        <v>43</v>
      </c>
      <c r="H5764" t="s">
        <v>25</v>
      </c>
      <c r="I5764" s="1">
        <v>1</v>
      </c>
      <c r="J5764" s="2">
        <v>45839</v>
      </c>
      <c r="L5764" s="1" t="str">
        <f t="shared" si="662"/>
        <v>ter</v>
      </c>
      <c r="M5764" s="1" t="str">
        <f t="shared" si="665"/>
        <v>jul</v>
      </c>
      <c r="N5764">
        <f t="shared" si="663"/>
        <v>2025</v>
      </c>
      <c r="P5764" t="str">
        <f t="shared" si="664"/>
        <v>148745839</v>
      </c>
    </row>
    <row r="5765" spans="1:16" x14ac:dyDescent="0.3">
      <c r="A5765">
        <v>1487</v>
      </c>
      <c r="B5765">
        <v>21</v>
      </c>
      <c r="C5765" t="s">
        <v>26</v>
      </c>
      <c r="D5765" t="s">
        <v>31</v>
      </c>
      <c r="E5765" t="s">
        <v>34</v>
      </c>
      <c r="F5765" t="s">
        <v>21</v>
      </c>
      <c r="G5765" t="s">
        <v>43</v>
      </c>
      <c r="H5765" t="s">
        <v>25</v>
      </c>
      <c r="I5765" s="1">
        <v>1</v>
      </c>
      <c r="J5765" s="2">
        <v>45840</v>
      </c>
      <c r="L5765" s="1" t="str">
        <f t="shared" si="662"/>
        <v>qua</v>
      </c>
      <c r="M5765" s="1" t="str">
        <f t="shared" si="665"/>
        <v>jul</v>
      </c>
      <c r="N5765">
        <f t="shared" si="663"/>
        <v>2025</v>
      </c>
      <c r="P5765" t="str">
        <f t="shared" si="664"/>
        <v>148745840</v>
      </c>
    </row>
    <row r="5766" spans="1:16" x14ac:dyDescent="0.3">
      <c r="A5766">
        <v>1487</v>
      </c>
      <c r="B5766">
        <v>21</v>
      </c>
      <c r="C5766" t="s">
        <v>26</v>
      </c>
      <c r="D5766" t="s">
        <v>31</v>
      </c>
      <c r="E5766" t="s">
        <v>34</v>
      </c>
      <c r="F5766" t="s">
        <v>21</v>
      </c>
      <c r="G5766" t="s">
        <v>43</v>
      </c>
      <c r="H5766" t="s">
        <v>25</v>
      </c>
      <c r="I5766" s="1">
        <v>1</v>
      </c>
      <c r="J5766" s="2">
        <v>45841</v>
      </c>
      <c r="L5766" s="1" t="str">
        <f t="shared" si="662"/>
        <v>qui</v>
      </c>
      <c r="M5766" s="1" t="str">
        <f t="shared" si="665"/>
        <v>jul</v>
      </c>
      <c r="N5766">
        <f t="shared" si="663"/>
        <v>2025</v>
      </c>
      <c r="P5766" t="str">
        <f t="shared" si="664"/>
        <v>148745841</v>
      </c>
    </row>
    <row r="5767" spans="1:16" x14ac:dyDescent="0.3">
      <c r="A5767">
        <v>1487</v>
      </c>
      <c r="B5767">
        <v>21</v>
      </c>
      <c r="C5767" t="s">
        <v>26</v>
      </c>
      <c r="D5767" t="s">
        <v>31</v>
      </c>
      <c r="E5767" t="s">
        <v>34</v>
      </c>
      <c r="F5767" t="s">
        <v>21</v>
      </c>
      <c r="G5767" t="s">
        <v>43</v>
      </c>
      <c r="H5767" t="s">
        <v>25</v>
      </c>
      <c r="I5767" s="1">
        <v>1</v>
      </c>
      <c r="J5767" s="2">
        <v>45842</v>
      </c>
      <c r="L5767" s="1" t="str">
        <f t="shared" si="662"/>
        <v>sex</v>
      </c>
      <c r="M5767" s="1" t="str">
        <f t="shared" si="665"/>
        <v>jul</v>
      </c>
      <c r="N5767">
        <f t="shared" si="663"/>
        <v>2025</v>
      </c>
      <c r="P5767" t="str">
        <f t="shared" si="664"/>
        <v>148745842</v>
      </c>
    </row>
    <row r="5768" spans="1:16" x14ac:dyDescent="0.3">
      <c r="A5768">
        <v>1487</v>
      </c>
      <c r="B5768">
        <v>21</v>
      </c>
      <c r="C5768" t="s">
        <v>26</v>
      </c>
      <c r="D5768" t="s">
        <v>31</v>
      </c>
      <c r="E5768" t="s">
        <v>34</v>
      </c>
      <c r="F5768" t="s">
        <v>21</v>
      </c>
      <c r="G5768" t="s">
        <v>43</v>
      </c>
      <c r="H5768" t="s">
        <v>25</v>
      </c>
      <c r="I5768" s="1">
        <v>1</v>
      </c>
      <c r="J5768" s="2">
        <v>45843</v>
      </c>
      <c r="L5768" s="1" t="str">
        <f t="shared" si="662"/>
        <v>sáb</v>
      </c>
      <c r="M5768" s="1" t="str">
        <f t="shared" si="665"/>
        <v>jul</v>
      </c>
      <c r="N5768">
        <f t="shared" si="663"/>
        <v>2025</v>
      </c>
      <c r="P5768" t="str">
        <f t="shared" si="664"/>
        <v>148745843</v>
      </c>
    </row>
    <row r="5769" spans="1:16" x14ac:dyDescent="0.3">
      <c r="A5769">
        <v>1487</v>
      </c>
      <c r="B5769">
        <v>21</v>
      </c>
      <c r="C5769" t="s">
        <v>26</v>
      </c>
      <c r="D5769" t="s">
        <v>31</v>
      </c>
      <c r="E5769" t="s">
        <v>34</v>
      </c>
      <c r="F5769" t="s">
        <v>21</v>
      </c>
      <c r="G5769" t="s">
        <v>43</v>
      </c>
      <c r="H5769" t="s">
        <v>25</v>
      </c>
      <c r="I5769" s="1">
        <v>1</v>
      </c>
      <c r="J5769" s="2">
        <v>45844</v>
      </c>
      <c r="L5769" s="1" t="str">
        <f t="shared" si="662"/>
        <v>dom</v>
      </c>
      <c r="M5769" s="1" t="str">
        <f t="shared" si="665"/>
        <v>jul</v>
      </c>
      <c r="N5769">
        <f t="shared" si="663"/>
        <v>2025</v>
      </c>
      <c r="P5769" t="str">
        <f t="shared" si="664"/>
        <v>148745844</v>
      </c>
    </row>
    <row r="5770" spans="1:16" x14ac:dyDescent="0.3">
      <c r="A5770">
        <v>1487</v>
      </c>
      <c r="B5770">
        <v>21</v>
      </c>
      <c r="C5770" t="s">
        <v>26</v>
      </c>
      <c r="D5770" t="s">
        <v>31</v>
      </c>
      <c r="E5770" t="s">
        <v>34</v>
      </c>
      <c r="F5770" t="s">
        <v>21</v>
      </c>
      <c r="G5770" t="s">
        <v>43</v>
      </c>
      <c r="H5770" t="s">
        <v>25</v>
      </c>
      <c r="I5770" s="1">
        <v>1</v>
      </c>
      <c r="J5770" s="2">
        <v>45845</v>
      </c>
      <c r="L5770" s="1" t="str">
        <f t="shared" si="662"/>
        <v>seg</v>
      </c>
      <c r="M5770" s="1" t="str">
        <f t="shared" si="665"/>
        <v>jul</v>
      </c>
      <c r="N5770">
        <f t="shared" si="663"/>
        <v>2025</v>
      </c>
      <c r="P5770" t="str">
        <f t="shared" si="664"/>
        <v>148745845</v>
      </c>
    </row>
    <row r="5771" spans="1:16" x14ac:dyDescent="0.3">
      <c r="A5771">
        <v>1487</v>
      </c>
      <c r="B5771">
        <v>21</v>
      </c>
      <c r="C5771" t="s">
        <v>26</v>
      </c>
      <c r="D5771" t="s">
        <v>31</v>
      </c>
      <c r="E5771" t="s">
        <v>34</v>
      </c>
      <c r="F5771" t="s">
        <v>21</v>
      </c>
      <c r="G5771" t="s">
        <v>43</v>
      </c>
      <c r="H5771" t="s">
        <v>25</v>
      </c>
      <c r="I5771" s="1">
        <v>1</v>
      </c>
      <c r="J5771" s="2">
        <v>45846</v>
      </c>
      <c r="L5771" s="1" t="str">
        <f t="shared" si="662"/>
        <v>ter</v>
      </c>
      <c r="M5771" s="1" t="str">
        <f t="shared" si="665"/>
        <v>jul</v>
      </c>
      <c r="N5771">
        <f t="shared" si="663"/>
        <v>2025</v>
      </c>
      <c r="P5771" t="str">
        <f t="shared" si="664"/>
        <v>148745846</v>
      </c>
    </row>
    <row r="5772" spans="1:16" x14ac:dyDescent="0.3">
      <c r="A5772">
        <v>1487</v>
      </c>
      <c r="B5772">
        <v>21</v>
      </c>
      <c r="C5772" t="s">
        <v>26</v>
      </c>
      <c r="D5772" t="s">
        <v>31</v>
      </c>
      <c r="E5772" t="s">
        <v>34</v>
      </c>
      <c r="F5772" t="s">
        <v>21</v>
      </c>
      <c r="G5772" t="s">
        <v>43</v>
      </c>
      <c r="H5772" t="s">
        <v>25</v>
      </c>
      <c r="I5772" s="1">
        <v>1</v>
      </c>
      <c r="J5772" s="2">
        <v>45847</v>
      </c>
      <c r="L5772" s="1" t="str">
        <f t="shared" si="662"/>
        <v>qua</v>
      </c>
      <c r="M5772" s="1" t="str">
        <f t="shared" si="665"/>
        <v>jul</v>
      </c>
      <c r="N5772">
        <f t="shared" si="663"/>
        <v>2025</v>
      </c>
      <c r="P5772" t="str">
        <f t="shared" si="664"/>
        <v>148745847</v>
      </c>
    </row>
    <row r="5773" spans="1:16" x14ac:dyDescent="0.3">
      <c r="A5773">
        <v>1487</v>
      </c>
      <c r="B5773">
        <v>21</v>
      </c>
      <c r="C5773" t="s">
        <v>26</v>
      </c>
      <c r="D5773" t="s">
        <v>31</v>
      </c>
      <c r="E5773" t="s">
        <v>34</v>
      </c>
      <c r="F5773" t="s">
        <v>21</v>
      </c>
      <c r="G5773" t="s">
        <v>43</v>
      </c>
      <c r="H5773" t="s">
        <v>25</v>
      </c>
      <c r="I5773" s="1">
        <v>1</v>
      </c>
      <c r="J5773" s="2">
        <v>45848</v>
      </c>
      <c r="L5773" s="1" t="str">
        <f t="shared" si="662"/>
        <v>qui</v>
      </c>
      <c r="M5773" s="1" t="str">
        <f t="shared" si="665"/>
        <v>jul</v>
      </c>
      <c r="N5773">
        <f t="shared" si="663"/>
        <v>2025</v>
      </c>
      <c r="P5773" t="str">
        <f t="shared" si="664"/>
        <v>148745848</v>
      </c>
    </row>
    <row r="5774" spans="1:16" x14ac:dyDescent="0.3">
      <c r="A5774">
        <v>1487</v>
      </c>
      <c r="B5774">
        <v>21</v>
      </c>
      <c r="C5774" t="s">
        <v>26</v>
      </c>
      <c r="D5774" t="s">
        <v>31</v>
      </c>
      <c r="E5774" t="s">
        <v>34</v>
      </c>
      <c r="F5774" t="s">
        <v>21</v>
      </c>
      <c r="G5774" t="s">
        <v>43</v>
      </c>
      <c r="H5774" t="s">
        <v>25</v>
      </c>
      <c r="I5774" s="1">
        <v>1</v>
      </c>
      <c r="J5774" s="2">
        <v>45849</v>
      </c>
      <c r="L5774" s="1" t="str">
        <f t="shared" si="662"/>
        <v>sex</v>
      </c>
      <c r="M5774" s="1" t="str">
        <f t="shared" si="665"/>
        <v>jul</v>
      </c>
      <c r="N5774">
        <f t="shared" si="663"/>
        <v>2025</v>
      </c>
      <c r="P5774" t="str">
        <f t="shared" si="664"/>
        <v>148745849</v>
      </c>
    </row>
    <row r="5775" spans="1:16" x14ac:dyDescent="0.3">
      <c r="A5775">
        <v>1487</v>
      </c>
      <c r="B5775">
        <v>21</v>
      </c>
      <c r="C5775" t="s">
        <v>26</v>
      </c>
      <c r="D5775" t="s">
        <v>31</v>
      </c>
      <c r="E5775" t="s">
        <v>34</v>
      </c>
      <c r="F5775" t="s">
        <v>21</v>
      </c>
      <c r="G5775" t="s">
        <v>43</v>
      </c>
      <c r="H5775" t="s">
        <v>25</v>
      </c>
      <c r="I5775" s="1">
        <v>1</v>
      </c>
      <c r="J5775" s="2">
        <v>45850</v>
      </c>
      <c r="L5775" s="1" t="str">
        <f t="shared" si="662"/>
        <v>sáb</v>
      </c>
      <c r="M5775" s="1" t="str">
        <f t="shared" si="665"/>
        <v>jul</v>
      </c>
      <c r="N5775">
        <f t="shared" si="663"/>
        <v>2025</v>
      </c>
      <c r="P5775" t="str">
        <f t="shared" si="664"/>
        <v>148745850</v>
      </c>
    </row>
    <row r="5776" spans="1:16" x14ac:dyDescent="0.3">
      <c r="A5776">
        <v>1487</v>
      </c>
      <c r="B5776">
        <v>21</v>
      </c>
      <c r="C5776" t="s">
        <v>26</v>
      </c>
      <c r="D5776" t="s">
        <v>31</v>
      </c>
      <c r="E5776" t="s">
        <v>34</v>
      </c>
      <c r="F5776" t="s">
        <v>21</v>
      </c>
      <c r="G5776" t="s">
        <v>43</v>
      </c>
      <c r="H5776" t="s">
        <v>25</v>
      </c>
      <c r="I5776" s="1">
        <v>1</v>
      </c>
      <c r="J5776" s="2">
        <v>45851</v>
      </c>
      <c r="L5776" s="1" t="str">
        <f t="shared" si="662"/>
        <v>dom</v>
      </c>
      <c r="M5776" s="1" t="str">
        <f t="shared" si="665"/>
        <v>jul</v>
      </c>
      <c r="N5776">
        <f t="shared" si="663"/>
        <v>2025</v>
      </c>
      <c r="P5776" t="str">
        <f t="shared" si="664"/>
        <v>148745851</v>
      </c>
    </row>
    <row r="5777" spans="1:16" x14ac:dyDescent="0.3">
      <c r="A5777">
        <v>1487</v>
      </c>
      <c r="B5777">
        <v>21</v>
      </c>
      <c r="C5777" t="s">
        <v>26</v>
      </c>
      <c r="D5777" t="s">
        <v>31</v>
      </c>
      <c r="E5777" t="s">
        <v>34</v>
      </c>
      <c r="F5777" t="s">
        <v>21</v>
      </c>
      <c r="G5777" t="s">
        <v>43</v>
      </c>
      <c r="H5777" t="s">
        <v>25</v>
      </c>
      <c r="I5777" s="1">
        <v>1</v>
      </c>
      <c r="J5777" s="2">
        <v>45852</v>
      </c>
      <c r="L5777" s="1" t="str">
        <f t="shared" si="662"/>
        <v>seg</v>
      </c>
      <c r="M5777" s="1" t="str">
        <f t="shared" si="665"/>
        <v>jul</v>
      </c>
      <c r="N5777">
        <f t="shared" si="663"/>
        <v>2025</v>
      </c>
      <c r="P5777" t="str">
        <f t="shared" si="664"/>
        <v>148745852</v>
      </c>
    </row>
    <row r="5778" spans="1:16" x14ac:dyDescent="0.3">
      <c r="A5778">
        <v>1487</v>
      </c>
      <c r="B5778">
        <v>21</v>
      </c>
      <c r="C5778" t="s">
        <v>26</v>
      </c>
      <c r="D5778" t="s">
        <v>31</v>
      </c>
      <c r="E5778" t="s">
        <v>34</v>
      </c>
      <c r="F5778" t="s">
        <v>21</v>
      </c>
      <c r="G5778" t="s">
        <v>43</v>
      </c>
      <c r="H5778" t="s">
        <v>25</v>
      </c>
      <c r="I5778" s="1">
        <v>1</v>
      </c>
      <c r="J5778" s="2">
        <v>45853</v>
      </c>
      <c r="L5778" s="1" t="str">
        <f t="shared" si="662"/>
        <v>ter</v>
      </c>
      <c r="M5778" s="1" t="str">
        <f t="shared" si="665"/>
        <v>jul</v>
      </c>
      <c r="N5778">
        <f t="shared" si="663"/>
        <v>2025</v>
      </c>
      <c r="P5778" t="str">
        <f t="shared" si="664"/>
        <v>148745853</v>
      </c>
    </row>
    <row r="5779" spans="1:16" x14ac:dyDescent="0.3">
      <c r="A5779">
        <v>1487</v>
      </c>
      <c r="B5779">
        <v>21</v>
      </c>
      <c r="C5779" t="s">
        <v>26</v>
      </c>
      <c r="D5779" t="s">
        <v>31</v>
      </c>
      <c r="E5779" t="s">
        <v>34</v>
      </c>
      <c r="F5779" t="s">
        <v>21</v>
      </c>
      <c r="G5779" t="s">
        <v>43</v>
      </c>
      <c r="H5779" t="s">
        <v>25</v>
      </c>
      <c r="I5779" s="1">
        <v>1</v>
      </c>
      <c r="J5779" s="2">
        <v>45854</v>
      </c>
      <c r="L5779" s="1" t="str">
        <f t="shared" si="662"/>
        <v>qua</v>
      </c>
      <c r="M5779" s="1" t="str">
        <f t="shared" si="665"/>
        <v>jul</v>
      </c>
      <c r="N5779">
        <f t="shared" si="663"/>
        <v>2025</v>
      </c>
      <c r="P5779" t="str">
        <f t="shared" si="664"/>
        <v>148745854</v>
      </c>
    </row>
    <row r="5780" spans="1:16" x14ac:dyDescent="0.3">
      <c r="A5780">
        <v>1487</v>
      </c>
      <c r="B5780">
        <v>21</v>
      </c>
      <c r="C5780" t="s">
        <v>26</v>
      </c>
      <c r="D5780" t="s">
        <v>31</v>
      </c>
      <c r="E5780" t="s">
        <v>34</v>
      </c>
      <c r="F5780" t="s">
        <v>21</v>
      </c>
      <c r="G5780" t="s">
        <v>43</v>
      </c>
      <c r="H5780" t="s">
        <v>25</v>
      </c>
      <c r="I5780" s="1">
        <v>1</v>
      </c>
      <c r="J5780" s="2">
        <v>45855</v>
      </c>
      <c r="L5780" s="1" t="str">
        <f t="shared" si="662"/>
        <v>qui</v>
      </c>
      <c r="M5780" s="1" t="str">
        <f t="shared" si="665"/>
        <v>jul</v>
      </c>
      <c r="N5780">
        <f t="shared" si="663"/>
        <v>2025</v>
      </c>
      <c r="P5780" t="str">
        <f t="shared" si="664"/>
        <v>148745855</v>
      </c>
    </row>
    <row r="5781" spans="1:16" x14ac:dyDescent="0.3">
      <c r="A5781">
        <v>1487</v>
      </c>
      <c r="B5781">
        <v>21</v>
      </c>
      <c r="C5781" t="s">
        <v>26</v>
      </c>
      <c r="D5781" t="s">
        <v>31</v>
      </c>
      <c r="E5781" t="s">
        <v>34</v>
      </c>
      <c r="F5781" t="s">
        <v>21</v>
      </c>
      <c r="G5781" t="s">
        <v>43</v>
      </c>
      <c r="H5781" t="s">
        <v>25</v>
      </c>
      <c r="I5781" s="1">
        <v>1</v>
      </c>
      <c r="J5781" s="2">
        <v>45856</v>
      </c>
      <c r="L5781" s="1" t="str">
        <f t="shared" si="662"/>
        <v>sex</v>
      </c>
      <c r="M5781" s="1" t="str">
        <f t="shared" si="665"/>
        <v>jul</v>
      </c>
      <c r="N5781">
        <f t="shared" si="663"/>
        <v>2025</v>
      </c>
      <c r="P5781" t="str">
        <f t="shared" si="664"/>
        <v>148745856</v>
      </c>
    </row>
    <row r="5782" spans="1:16" x14ac:dyDescent="0.3">
      <c r="A5782">
        <v>1487</v>
      </c>
      <c r="B5782">
        <v>21</v>
      </c>
      <c r="C5782" t="s">
        <v>26</v>
      </c>
      <c r="D5782" t="s">
        <v>31</v>
      </c>
      <c r="E5782" t="s">
        <v>34</v>
      </c>
      <c r="F5782" t="s">
        <v>21</v>
      </c>
      <c r="G5782" t="s">
        <v>43</v>
      </c>
      <c r="H5782" t="s">
        <v>25</v>
      </c>
      <c r="I5782" s="1">
        <v>1</v>
      </c>
      <c r="J5782" s="2">
        <v>45857</v>
      </c>
      <c r="L5782" s="1" t="str">
        <f t="shared" si="662"/>
        <v>sáb</v>
      </c>
      <c r="M5782" s="1" t="str">
        <f t="shared" si="665"/>
        <v>jul</v>
      </c>
      <c r="N5782">
        <f t="shared" si="663"/>
        <v>2025</v>
      </c>
      <c r="P5782" t="str">
        <f t="shared" si="664"/>
        <v>148745857</v>
      </c>
    </row>
    <row r="5783" spans="1:16" x14ac:dyDescent="0.3">
      <c r="A5783">
        <v>1487</v>
      </c>
      <c r="B5783">
        <v>21</v>
      </c>
      <c r="C5783" t="s">
        <v>26</v>
      </c>
      <c r="D5783" t="s">
        <v>31</v>
      </c>
      <c r="E5783" t="s">
        <v>34</v>
      </c>
      <c r="F5783" t="s">
        <v>21</v>
      </c>
      <c r="G5783" t="s">
        <v>43</v>
      </c>
      <c r="H5783" t="s">
        <v>25</v>
      </c>
      <c r="I5783" s="1">
        <v>1</v>
      </c>
      <c r="J5783" s="2">
        <v>45858</v>
      </c>
      <c r="L5783" s="1" t="str">
        <f t="shared" si="662"/>
        <v>dom</v>
      </c>
      <c r="M5783" s="1" t="str">
        <f t="shared" si="665"/>
        <v>jul</v>
      </c>
      <c r="N5783">
        <f t="shared" si="663"/>
        <v>2025</v>
      </c>
      <c r="P5783" t="str">
        <f t="shared" si="664"/>
        <v>148745858</v>
      </c>
    </row>
    <row r="5784" spans="1:16" x14ac:dyDescent="0.3">
      <c r="A5784">
        <v>1487</v>
      </c>
      <c r="B5784">
        <v>21</v>
      </c>
      <c r="C5784" t="s">
        <v>26</v>
      </c>
      <c r="D5784" t="s">
        <v>31</v>
      </c>
      <c r="E5784" t="s">
        <v>34</v>
      </c>
      <c r="F5784" t="s">
        <v>21</v>
      </c>
      <c r="G5784" t="s">
        <v>43</v>
      </c>
      <c r="H5784" t="s">
        <v>25</v>
      </c>
      <c r="I5784" s="1">
        <v>1</v>
      </c>
      <c r="J5784" s="2">
        <v>45859</v>
      </c>
      <c r="L5784" s="1" t="str">
        <f t="shared" si="662"/>
        <v>seg</v>
      </c>
      <c r="M5784" s="1" t="str">
        <f t="shared" si="665"/>
        <v>jul</v>
      </c>
      <c r="N5784">
        <f t="shared" si="663"/>
        <v>2025</v>
      </c>
      <c r="P5784" t="str">
        <f t="shared" si="664"/>
        <v>148745859</v>
      </c>
    </row>
    <row r="5785" spans="1:16" x14ac:dyDescent="0.3">
      <c r="A5785">
        <v>1487</v>
      </c>
      <c r="B5785">
        <v>21</v>
      </c>
      <c r="C5785" t="s">
        <v>26</v>
      </c>
      <c r="D5785" t="s">
        <v>31</v>
      </c>
      <c r="E5785" t="s">
        <v>34</v>
      </c>
      <c r="F5785" t="s">
        <v>21</v>
      </c>
      <c r="G5785" t="s">
        <v>43</v>
      </c>
      <c r="H5785" t="s">
        <v>25</v>
      </c>
      <c r="I5785" s="1">
        <v>1</v>
      </c>
      <c r="J5785" s="2">
        <v>45860</v>
      </c>
      <c r="L5785" s="1" t="str">
        <f t="shared" si="662"/>
        <v>ter</v>
      </c>
      <c r="M5785" s="1" t="str">
        <f t="shared" si="665"/>
        <v>jul</v>
      </c>
      <c r="N5785">
        <f t="shared" si="663"/>
        <v>2025</v>
      </c>
      <c r="P5785" t="str">
        <f t="shared" si="664"/>
        <v>148745860</v>
      </c>
    </row>
    <row r="5786" spans="1:16" x14ac:dyDescent="0.3">
      <c r="A5786">
        <v>1487</v>
      </c>
      <c r="B5786">
        <v>21</v>
      </c>
      <c r="C5786" t="s">
        <v>26</v>
      </c>
      <c r="D5786" t="s">
        <v>31</v>
      </c>
      <c r="E5786" t="s">
        <v>34</v>
      </c>
      <c r="F5786" t="s">
        <v>21</v>
      </c>
      <c r="G5786" t="s">
        <v>43</v>
      </c>
      <c r="H5786" t="s">
        <v>25</v>
      </c>
      <c r="I5786" s="1">
        <v>1</v>
      </c>
      <c r="J5786" s="2">
        <v>45861</v>
      </c>
      <c r="L5786" s="1" t="str">
        <f t="shared" si="662"/>
        <v>qua</v>
      </c>
      <c r="M5786" s="1" t="str">
        <f t="shared" si="665"/>
        <v>jul</v>
      </c>
      <c r="N5786">
        <f t="shared" si="663"/>
        <v>2025</v>
      </c>
      <c r="P5786" t="str">
        <f t="shared" si="664"/>
        <v>148745861</v>
      </c>
    </row>
    <row r="5787" spans="1:16" x14ac:dyDescent="0.3">
      <c r="A5787">
        <v>1487</v>
      </c>
      <c r="B5787">
        <v>21</v>
      </c>
      <c r="C5787" t="s">
        <v>26</v>
      </c>
      <c r="D5787" t="s">
        <v>31</v>
      </c>
      <c r="E5787" t="s">
        <v>34</v>
      </c>
      <c r="F5787" t="s">
        <v>21</v>
      </c>
      <c r="G5787" t="s">
        <v>43</v>
      </c>
      <c r="H5787" t="s">
        <v>25</v>
      </c>
      <c r="I5787" s="1">
        <v>1</v>
      </c>
      <c r="J5787" s="2">
        <v>45862</v>
      </c>
      <c r="L5787" s="1" t="str">
        <f t="shared" si="662"/>
        <v>qui</v>
      </c>
      <c r="M5787" s="1" t="str">
        <f t="shared" si="665"/>
        <v>jul</v>
      </c>
      <c r="N5787">
        <f t="shared" si="663"/>
        <v>2025</v>
      </c>
      <c r="P5787" t="str">
        <f t="shared" si="664"/>
        <v>148745862</v>
      </c>
    </row>
    <row r="5788" spans="1:16" x14ac:dyDescent="0.3">
      <c r="A5788">
        <v>1487</v>
      </c>
      <c r="B5788">
        <v>21</v>
      </c>
      <c r="C5788" t="s">
        <v>26</v>
      </c>
      <c r="D5788" t="s">
        <v>31</v>
      </c>
      <c r="E5788" t="s">
        <v>34</v>
      </c>
      <c r="F5788" t="s">
        <v>21</v>
      </c>
      <c r="G5788" t="s">
        <v>43</v>
      </c>
      <c r="H5788" t="s">
        <v>25</v>
      </c>
      <c r="I5788" s="1">
        <v>1</v>
      </c>
      <c r="J5788" s="2">
        <v>45863</v>
      </c>
      <c r="L5788" s="1" t="str">
        <f t="shared" si="662"/>
        <v>sex</v>
      </c>
      <c r="M5788" s="1" t="str">
        <f t="shared" si="665"/>
        <v>jul</v>
      </c>
      <c r="N5788">
        <f t="shared" si="663"/>
        <v>2025</v>
      </c>
      <c r="P5788" t="str">
        <f t="shared" si="664"/>
        <v>148745863</v>
      </c>
    </row>
    <row r="5789" spans="1:16" x14ac:dyDescent="0.3">
      <c r="A5789">
        <v>1487</v>
      </c>
      <c r="B5789">
        <v>21</v>
      </c>
      <c r="C5789" t="s">
        <v>26</v>
      </c>
      <c r="D5789" t="s">
        <v>31</v>
      </c>
      <c r="E5789" t="s">
        <v>34</v>
      </c>
      <c r="F5789" t="s">
        <v>21</v>
      </c>
      <c r="G5789" t="s">
        <v>43</v>
      </c>
      <c r="H5789" t="s">
        <v>25</v>
      </c>
      <c r="I5789" s="1">
        <v>1</v>
      </c>
      <c r="J5789" s="2">
        <v>45864</v>
      </c>
      <c r="L5789" s="1" t="str">
        <f t="shared" si="662"/>
        <v>sáb</v>
      </c>
      <c r="M5789" s="1" t="str">
        <f t="shared" si="665"/>
        <v>jul</v>
      </c>
      <c r="N5789">
        <f t="shared" si="663"/>
        <v>2025</v>
      </c>
      <c r="P5789" t="str">
        <f t="shared" si="664"/>
        <v>148745864</v>
      </c>
    </row>
    <row r="5790" spans="1:16" x14ac:dyDescent="0.3">
      <c r="A5790">
        <v>1487</v>
      </c>
      <c r="B5790">
        <v>21</v>
      </c>
      <c r="C5790" t="s">
        <v>26</v>
      </c>
      <c r="D5790" t="s">
        <v>31</v>
      </c>
      <c r="E5790" t="s">
        <v>34</v>
      </c>
      <c r="F5790" t="s">
        <v>21</v>
      </c>
      <c r="G5790" t="s">
        <v>43</v>
      </c>
      <c r="H5790" t="s">
        <v>25</v>
      </c>
      <c r="I5790" s="1">
        <v>1</v>
      </c>
      <c r="J5790" s="2">
        <v>45865</v>
      </c>
      <c r="L5790" s="1" t="str">
        <f t="shared" si="662"/>
        <v>dom</v>
      </c>
      <c r="M5790" s="1" t="str">
        <f t="shared" si="665"/>
        <v>jul</v>
      </c>
      <c r="N5790">
        <f t="shared" si="663"/>
        <v>2025</v>
      </c>
      <c r="P5790" t="str">
        <f t="shared" si="664"/>
        <v>148745865</v>
      </c>
    </row>
    <row r="5791" spans="1:16" x14ac:dyDescent="0.3">
      <c r="A5791">
        <v>1487</v>
      </c>
      <c r="B5791">
        <v>21</v>
      </c>
      <c r="C5791" t="s">
        <v>26</v>
      </c>
      <c r="D5791" t="s">
        <v>31</v>
      </c>
      <c r="E5791" t="s">
        <v>34</v>
      </c>
      <c r="F5791" t="s">
        <v>21</v>
      </c>
      <c r="G5791" t="s">
        <v>43</v>
      </c>
      <c r="H5791" t="s">
        <v>25</v>
      </c>
      <c r="I5791" s="1">
        <v>1</v>
      </c>
      <c r="J5791" s="2">
        <v>45866</v>
      </c>
      <c r="L5791" s="1" t="str">
        <f t="shared" si="662"/>
        <v>seg</v>
      </c>
      <c r="M5791" s="1" t="str">
        <f t="shared" si="665"/>
        <v>jul</v>
      </c>
      <c r="N5791">
        <f t="shared" si="663"/>
        <v>2025</v>
      </c>
      <c r="P5791" t="str">
        <f t="shared" si="664"/>
        <v>148745866</v>
      </c>
    </row>
    <row r="5792" spans="1:16" x14ac:dyDescent="0.3">
      <c r="A5792">
        <v>1487</v>
      </c>
      <c r="B5792">
        <v>21</v>
      </c>
      <c r="C5792" t="s">
        <v>26</v>
      </c>
      <c r="D5792" t="s">
        <v>31</v>
      </c>
      <c r="E5792" t="s">
        <v>34</v>
      </c>
      <c r="F5792" t="s">
        <v>21</v>
      </c>
      <c r="G5792" t="s">
        <v>43</v>
      </c>
      <c r="H5792" t="s">
        <v>25</v>
      </c>
      <c r="I5792" s="1">
        <v>1</v>
      </c>
      <c r="J5792" s="2">
        <v>45867</v>
      </c>
      <c r="L5792" s="1" t="str">
        <f t="shared" si="662"/>
        <v>ter</v>
      </c>
      <c r="M5792" s="1" t="str">
        <f t="shared" si="665"/>
        <v>jul</v>
      </c>
      <c r="N5792">
        <f t="shared" si="663"/>
        <v>2025</v>
      </c>
      <c r="P5792" t="str">
        <f t="shared" si="664"/>
        <v>148745867</v>
      </c>
    </row>
    <row r="5793" spans="1:16" x14ac:dyDescent="0.3">
      <c r="A5793">
        <v>1487</v>
      </c>
      <c r="B5793">
        <v>21</v>
      </c>
      <c r="C5793" t="s">
        <v>26</v>
      </c>
      <c r="D5793" t="s">
        <v>31</v>
      </c>
      <c r="E5793" t="s">
        <v>34</v>
      </c>
      <c r="F5793" t="s">
        <v>21</v>
      </c>
      <c r="G5793" t="s">
        <v>43</v>
      </c>
      <c r="H5793" t="s">
        <v>25</v>
      </c>
      <c r="I5793" s="1">
        <v>1</v>
      </c>
      <c r="J5793" s="2">
        <v>45868</v>
      </c>
      <c r="L5793" s="1" t="str">
        <f t="shared" si="662"/>
        <v>qua</v>
      </c>
      <c r="M5793" s="1" t="str">
        <f t="shared" si="665"/>
        <v>jul</v>
      </c>
      <c r="N5793">
        <f t="shared" si="663"/>
        <v>2025</v>
      </c>
      <c r="P5793" t="str">
        <f t="shared" si="664"/>
        <v>148745868</v>
      </c>
    </row>
    <row r="5794" spans="1:16" x14ac:dyDescent="0.3">
      <c r="A5794">
        <v>1487</v>
      </c>
      <c r="B5794">
        <v>21</v>
      </c>
      <c r="C5794" t="s">
        <v>26</v>
      </c>
      <c r="D5794" t="s">
        <v>31</v>
      </c>
      <c r="E5794" t="s">
        <v>34</v>
      </c>
      <c r="F5794" t="s">
        <v>21</v>
      </c>
      <c r="G5794" t="s">
        <v>43</v>
      </c>
      <c r="H5794" t="s">
        <v>25</v>
      </c>
      <c r="I5794" s="1">
        <v>1</v>
      </c>
      <c r="J5794" s="2">
        <v>45869</v>
      </c>
      <c r="L5794" s="1" t="str">
        <f t="shared" si="662"/>
        <v>qui</v>
      </c>
      <c r="M5794" s="1" t="str">
        <f t="shared" si="665"/>
        <v>jul</v>
      </c>
      <c r="N5794">
        <f t="shared" si="663"/>
        <v>2025</v>
      </c>
      <c r="P5794" t="str">
        <f t="shared" si="664"/>
        <v>148745869</v>
      </c>
    </row>
    <row r="5795" spans="1:16" x14ac:dyDescent="0.3">
      <c r="A5795">
        <v>1487</v>
      </c>
      <c r="B5795">
        <v>21</v>
      </c>
      <c r="C5795" t="s">
        <v>26</v>
      </c>
      <c r="D5795" t="s">
        <v>31</v>
      </c>
      <c r="E5795" t="s">
        <v>34</v>
      </c>
      <c r="F5795" t="s">
        <v>21</v>
      </c>
      <c r="G5795" t="s">
        <v>43</v>
      </c>
      <c r="H5795" t="s">
        <v>25</v>
      </c>
      <c r="I5795" s="1">
        <v>1</v>
      </c>
      <c r="J5795" s="2">
        <v>45870</v>
      </c>
      <c r="L5795" s="1" t="str">
        <f t="shared" si="662"/>
        <v>sex</v>
      </c>
      <c r="M5795" s="1" t="str">
        <f t="shared" si="665"/>
        <v>ago</v>
      </c>
      <c r="N5795">
        <f t="shared" si="663"/>
        <v>2025</v>
      </c>
      <c r="P5795" t="str">
        <f t="shared" si="664"/>
        <v>148745870</v>
      </c>
    </row>
    <row r="5796" spans="1:16" x14ac:dyDescent="0.3">
      <c r="A5796">
        <v>1487</v>
      </c>
      <c r="B5796">
        <v>21</v>
      </c>
      <c r="C5796" t="s">
        <v>26</v>
      </c>
      <c r="D5796" t="s">
        <v>31</v>
      </c>
      <c r="E5796" t="s">
        <v>34</v>
      </c>
      <c r="F5796" t="s">
        <v>21</v>
      </c>
      <c r="G5796" t="s">
        <v>43</v>
      </c>
      <c r="H5796" t="s">
        <v>25</v>
      </c>
      <c r="I5796" s="1">
        <v>1</v>
      </c>
      <c r="J5796" s="2">
        <v>45871</v>
      </c>
      <c r="L5796" s="1" t="str">
        <f t="shared" si="662"/>
        <v>sáb</v>
      </c>
      <c r="M5796" s="1" t="str">
        <f t="shared" si="665"/>
        <v>ago</v>
      </c>
      <c r="N5796">
        <f t="shared" si="663"/>
        <v>2025</v>
      </c>
      <c r="P5796" t="str">
        <f t="shared" si="664"/>
        <v>148745871</v>
      </c>
    </row>
    <row r="5797" spans="1:16" x14ac:dyDescent="0.3">
      <c r="A5797">
        <v>1487</v>
      </c>
      <c r="B5797">
        <v>21</v>
      </c>
      <c r="C5797" t="s">
        <v>26</v>
      </c>
      <c r="D5797" t="s">
        <v>31</v>
      </c>
      <c r="E5797" t="s">
        <v>34</v>
      </c>
      <c r="F5797" t="s">
        <v>21</v>
      </c>
      <c r="G5797" t="s">
        <v>43</v>
      </c>
      <c r="H5797" t="s">
        <v>25</v>
      </c>
      <c r="I5797" s="1">
        <v>1</v>
      </c>
      <c r="J5797" s="2">
        <v>45872</v>
      </c>
      <c r="L5797" s="1" t="str">
        <f t="shared" si="662"/>
        <v>dom</v>
      </c>
      <c r="M5797" s="1" t="str">
        <f t="shared" si="665"/>
        <v>ago</v>
      </c>
      <c r="N5797">
        <f t="shared" si="663"/>
        <v>2025</v>
      </c>
      <c r="P5797" t="str">
        <f t="shared" si="664"/>
        <v>148745872</v>
      </c>
    </row>
    <row r="5798" spans="1:16" x14ac:dyDescent="0.3">
      <c r="A5798">
        <v>1487</v>
      </c>
      <c r="B5798">
        <v>21</v>
      </c>
      <c r="C5798" t="s">
        <v>26</v>
      </c>
      <c r="D5798" t="s">
        <v>31</v>
      </c>
      <c r="E5798" t="s">
        <v>34</v>
      </c>
      <c r="F5798" t="s">
        <v>21</v>
      </c>
      <c r="G5798" t="s">
        <v>43</v>
      </c>
      <c r="H5798" t="s">
        <v>25</v>
      </c>
      <c r="I5798" s="1">
        <v>1</v>
      </c>
      <c r="J5798" s="2">
        <v>45873</v>
      </c>
      <c r="L5798" s="1" t="str">
        <f t="shared" si="662"/>
        <v>seg</v>
      </c>
      <c r="M5798" s="1" t="str">
        <f t="shared" si="665"/>
        <v>ago</v>
      </c>
      <c r="N5798">
        <f t="shared" si="663"/>
        <v>2025</v>
      </c>
      <c r="P5798" t="str">
        <f t="shared" si="664"/>
        <v>148745873</v>
      </c>
    </row>
    <row r="5799" spans="1:16" x14ac:dyDescent="0.3">
      <c r="A5799">
        <v>1487</v>
      </c>
      <c r="B5799">
        <v>21</v>
      </c>
      <c r="C5799" t="s">
        <v>26</v>
      </c>
      <c r="D5799" t="s">
        <v>31</v>
      </c>
      <c r="E5799" t="s">
        <v>34</v>
      </c>
      <c r="F5799" t="s">
        <v>21</v>
      </c>
      <c r="G5799" t="s">
        <v>43</v>
      </c>
      <c r="H5799" t="s">
        <v>25</v>
      </c>
      <c r="I5799" s="1">
        <v>1</v>
      </c>
      <c r="J5799" s="2">
        <v>45874</v>
      </c>
      <c r="L5799" s="1" t="str">
        <f t="shared" si="662"/>
        <v>ter</v>
      </c>
      <c r="M5799" s="1" t="str">
        <f t="shared" si="665"/>
        <v>ago</v>
      </c>
      <c r="N5799">
        <f t="shared" si="663"/>
        <v>2025</v>
      </c>
      <c r="P5799" t="str">
        <f t="shared" si="664"/>
        <v>148745874</v>
      </c>
    </row>
    <row r="5800" spans="1:16" x14ac:dyDescent="0.3">
      <c r="A5800">
        <v>1487</v>
      </c>
      <c r="B5800">
        <v>21</v>
      </c>
      <c r="C5800" t="s">
        <v>26</v>
      </c>
      <c r="D5800" t="s">
        <v>31</v>
      </c>
      <c r="E5800" t="s">
        <v>34</v>
      </c>
      <c r="F5800" t="s">
        <v>21</v>
      </c>
      <c r="G5800" t="s">
        <v>43</v>
      </c>
      <c r="H5800" t="s">
        <v>25</v>
      </c>
      <c r="I5800" s="1">
        <v>1</v>
      </c>
      <c r="J5800" s="2">
        <v>45875</v>
      </c>
      <c r="L5800" s="1" t="str">
        <f t="shared" si="662"/>
        <v>qua</v>
      </c>
      <c r="M5800" s="1" t="str">
        <f t="shared" si="665"/>
        <v>ago</v>
      </c>
      <c r="N5800">
        <f t="shared" si="663"/>
        <v>2025</v>
      </c>
      <c r="P5800" t="str">
        <f t="shared" si="664"/>
        <v>148745875</v>
      </c>
    </row>
    <row r="5801" spans="1:16" x14ac:dyDescent="0.3">
      <c r="A5801">
        <v>1487</v>
      </c>
      <c r="B5801">
        <v>21</v>
      </c>
      <c r="C5801" t="s">
        <v>26</v>
      </c>
      <c r="D5801" t="s">
        <v>31</v>
      </c>
      <c r="E5801" t="s">
        <v>34</v>
      </c>
      <c r="F5801" t="s">
        <v>21</v>
      </c>
      <c r="G5801" t="s">
        <v>43</v>
      </c>
      <c r="H5801" t="s">
        <v>25</v>
      </c>
      <c r="I5801" s="1">
        <v>1</v>
      </c>
      <c r="J5801" s="2">
        <v>45876</v>
      </c>
      <c r="L5801" s="1" t="str">
        <f t="shared" si="662"/>
        <v>qui</v>
      </c>
      <c r="M5801" s="1" t="str">
        <f t="shared" si="665"/>
        <v>ago</v>
      </c>
      <c r="N5801">
        <f t="shared" si="663"/>
        <v>2025</v>
      </c>
      <c r="P5801" t="str">
        <f t="shared" si="664"/>
        <v>148745876</v>
      </c>
    </row>
    <row r="5802" spans="1:16" x14ac:dyDescent="0.3">
      <c r="A5802">
        <v>1487</v>
      </c>
      <c r="B5802">
        <v>21</v>
      </c>
      <c r="C5802" t="s">
        <v>26</v>
      </c>
      <c r="D5802" t="s">
        <v>31</v>
      </c>
      <c r="E5802" t="s">
        <v>34</v>
      </c>
      <c r="F5802" t="s">
        <v>21</v>
      </c>
      <c r="G5802" t="s">
        <v>43</v>
      </c>
      <c r="H5802" t="s">
        <v>25</v>
      </c>
      <c r="I5802" s="1">
        <v>1</v>
      </c>
      <c r="J5802" s="2">
        <v>45877</v>
      </c>
      <c r="L5802" s="1" t="str">
        <f t="shared" si="662"/>
        <v>sex</v>
      </c>
      <c r="M5802" s="1" t="str">
        <f t="shared" si="665"/>
        <v>ago</v>
      </c>
      <c r="N5802">
        <f t="shared" si="663"/>
        <v>2025</v>
      </c>
      <c r="P5802" t="str">
        <f t="shared" si="664"/>
        <v>148745877</v>
      </c>
    </row>
    <row r="5803" spans="1:16" x14ac:dyDescent="0.3">
      <c r="A5803">
        <v>1487</v>
      </c>
      <c r="B5803">
        <v>21</v>
      </c>
      <c r="C5803" t="s">
        <v>26</v>
      </c>
      <c r="D5803" t="s">
        <v>31</v>
      </c>
      <c r="E5803" t="s">
        <v>34</v>
      </c>
      <c r="F5803" t="s">
        <v>21</v>
      </c>
      <c r="G5803" t="s">
        <v>43</v>
      </c>
      <c r="H5803" t="s">
        <v>25</v>
      </c>
      <c r="I5803" s="1">
        <v>1</v>
      </c>
      <c r="J5803" s="2">
        <v>45878</v>
      </c>
      <c r="L5803" s="1" t="str">
        <f t="shared" si="662"/>
        <v>sáb</v>
      </c>
      <c r="M5803" s="1" t="str">
        <f t="shared" si="665"/>
        <v>ago</v>
      </c>
      <c r="N5803">
        <f t="shared" si="663"/>
        <v>2025</v>
      </c>
      <c r="P5803" t="str">
        <f t="shared" si="664"/>
        <v>148745878</v>
      </c>
    </row>
    <row r="5804" spans="1:16" x14ac:dyDescent="0.3">
      <c r="A5804">
        <v>1487</v>
      </c>
      <c r="B5804">
        <v>21</v>
      </c>
      <c r="C5804" t="s">
        <v>26</v>
      </c>
      <c r="D5804" t="s">
        <v>31</v>
      </c>
      <c r="E5804" t="s">
        <v>34</v>
      </c>
      <c r="F5804" t="s">
        <v>21</v>
      </c>
      <c r="G5804" t="s">
        <v>43</v>
      </c>
      <c r="H5804" t="s">
        <v>25</v>
      </c>
      <c r="I5804" s="1">
        <v>1</v>
      </c>
      <c r="J5804" s="2">
        <v>45879</v>
      </c>
      <c r="L5804" s="1" t="str">
        <f t="shared" si="662"/>
        <v>dom</v>
      </c>
      <c r="M5804" s="1" t="str">
        <f t="shared" si="665"/>
        <v>ago</v>
      </c>
      <c r="N5804">
        <f t="shared" si="663"/>
        <v>2025</v>
      </c>
      <c r="P5804" t="str">
        <f t="shared" si="664"/>
        <v>148745879</v>
      </c>
    </row>
    <row r="5805" spans="1:16" x14ac:dyDescent="0.3">
      <c r="A5805">
        <v>1487</v>
      </c>
      <c r="B5805">
        <v>21</v>
      </c>
      <c r="C5805" t="s">
        <v>26</v>
      </c>
      <c r="D5805" t="s">
        <v>31</v>
      </c>
      <c r="E5805" t="s">
        <v>34</v>
      </c>
      <c r="F5805" t="s">
        <v>21</v>
      </c>
      <c r="G5805" t="s">
        <v>43</v>
      </c>
      <c r="H5805" t="s">
        <v>25</v>
      </c>
      <c r="I5805" s="1">
        <v>1</v>
      </c>
      <c r="J5805" s="2">
        <v>45880</v>
      </c>
      <c r="L5805" s="1" t="str">
        <f t="shared" si="662"/>
        <v>seg</v>
      </c>
      <c r="M5805" s="1" t="str">
        <f t="shared" si="665"/>
        <v>ago</v>
      </c>
      <c r="N5805">
        <f t="shared" si="663"/>
        <v>2025</v>
      </c>
      <c r="P5805" t="str">
        <f t="shared" si="664"/>
        <v>148745880</v>
      </c>
    </row>
    <row r="5806" spans="1:16" x14ac:dyDescent="0.3">
      <c r="A5806">
        <v>1487</v>
      </c>
      <c r="B5806">
        <v>21</v>
      </c>
      <c r="C5806" t="s">
        <v>26</v>
      </c>
      <c r="D5806" t="s">
        <v>31</v>
      </c>
      <c r="E5806" t="s">
        <v>34</v>
      </c>
      <c r="F5806" t="s">
        <v>21</v>
      </c>
      <c r="G5806" t="s">
        <v>43</v>
      </c>
      <c r="H5806" t="s">
        <v>25</v>
      </c>
      <c r="I5806" s="1">
        <v>1</v>
      </c>
      <c r="J5806" s="2">
        <v>45881</v>
      </c>
      <c r="L5806" s="1" t="str">
        <f t="shared" si="662"/>
        <v>ter</v>
      </c>
      <c r="M5806" s="1" t="str">
        <f t="shared" si="665"/>
        <v>ago</v>
      </c>
      <c r="N5806">
        <f t="shared" si="663"/>
        <v>2025</v>
      </c>
      <c r="P5806" t="str">
        <f t="shared" si="664"/>
        <v>148745881</v>
      </c>
    </row>
    <row r="5807" spans="1:16" x14ac:dyDescent="0.3">
      <c r="A5807">
        <v>1487</v>
      </c>
      <c r="B5807">
        <v>21</v>
      </c>
      <c r="C5807" t="s">
        <v>26</v>
      </c>
      <c r="D5807" t="s">
        <v>31</v>
      </c>
      <c r="E5807" t="s">
        <v>34</v>
      </c>
      <c r="F5807" t="s">
        <v>21</v>
      </c>
      <c r="G5807" t="s">
        <v>43</v>
      </c>
      <c r="H5807" t="s">
        <v>25</v>
      </c>
      <c r="I5807" s="1">
        <v>1</v>
      </c>
      <c r="J5807" s="2">
        <v>45882</v>
      </c>
      <c r="L5807" s="1" t="str">
        <f t="shared" si="662"/>
        <v>qua</v>
      </c>
      <c r="M5807" s="1" t="str">
        <f t="shared" si="665"/>
        <v>ago</v>
      </c>
      <c r="N5807">
        <f t="shared" si="663"/>
        <v>2025</v>
      </c>
      <c r="P5807" t="str">
        <f t="shared" si="664"/>
        <v>148745882</v>
      </c>
    </row>
    <row r="5808" spans="1:16" x14ac:dyDescent="0.3">
      <c r="A5808">
        <v>1487</v>
      </c>
      <c r="B5808">
        <v>21</v>
      </c>
      <c r="C5808" t="s">
        <v>26</v>
      </c>
      <c r="D5808" t="s">
        <v>31</v>
      </c>
      <c r="E5808" t="s">
        <v>34</v>
      </c>
      <c r="F5808" t="s">
        <v>21</v>
      </c>
      <c r="G5808" t="s">
        <v>43</v>
      </c>
      <c r="H5808" t="s">
        <v>25</v>
      </c>
      <c r="I5808" s="1">
        <v>1</v>
      </c>
      <c r="J5808" s="2">
        <v>45883</v>
      </c>
      <c r="L5808" s="1" t="str">
        <f t="shared" ref="L5808:L5824" si="666">TEXT(J5808,"ddd")</f>
        <v>qui</v>
      </c>
      <c r="M5808" s="1" t="str">
        <f t="shared" si="665"/>
        <v>ago</v>
      </c>
      <c r="N5808">
        <f t="shared" ref="N5808:N5824" si="667">YEAR(J5808)</f>
        <v>2025</v>
      </c>
      <c r="P5808" t="str">
        <f t="shared" ref="P5808:P5824" si="668">CONCATENATE(A5808,J5808)</f>
        <v>148745883</v>
      </c>
    </row>
    <row r="5809" spans="1:16" x14ac:dyDescent="0.3">
      <c r="A5809">
        <v>1487</v>
      </c>
      <c r="B5809">
        <v>21</v>
      </c>
      <c r="C5809" t="s">
        <v>26</v>
      </c>
      <c r="D5809" t="s">
        <v>31</v>
      </c>
      <c r="E5809" t="s">
        <v>34</v>
      </c>
      <c r="F5809" t="s">
        <v>21</v>
      </c>
      <c r="G5809" t="s">
        <v>43</v>
      </c>
      <c r="H5809" t="s">
        <v>25</v>
      </c>
      <c r="I5809" s="1">
        <v>1</v>
      </c>
      <c r="J5809" s="2">
        <v>45884</v>
      </c>
      <c r="L5809" s="1" t="str">
        <f t="shared" si="666"/>
        <v>sex</v>
      </c>
      <c r="M5809" s="1" t="str">
        <f t="shared" ref="M5809:M5872" si="669">TEXT($J5809,"mmm")</f>
        <v>ago</v>
      </c>
      <c r="N5809">
        <f t="shared" si="667"/>
        <v>2025</v>
      </c>
      <c r="P5809" t="str">
        <f t="shared" si="668"/>
        <v>148745884</v>
      </c>
    </row>
    <row r="5810" spans="1:16" x14ac:dyDescent="0.3">
      <c r="A5810">
        <v>1487</v>
      </c>
      <c r="B5810">
        <v>21</v>
      </c>
      <c r="C5810" t="s">
        <v>26</v>
      </c>
      <c r="D5810" t="s">
        <v>31</v>
      </c>
      <c r="E5810" t="s">
        <v>34</v>
      </c>
      <c r="F5810" t="s">
        <v>21</v>
      </c>
      <c r="G5810" t="s">
        <v>43</v>
      </c>
      <c r="H5810" t="s">
        <v>25</v>
      </c>
      <c r="I5810" s="1">
        <v>1</v>
      </c>
      <c r="J5810" s="2">
        <v>45885</v>
      </c>
      <c r="L5810" s="1" t="str">
        <f t="shared" si="666"/>
        <v>sáb</v>
      </c>
      <c r="M5810" s="1" t="str">
        <f t="shared" si="669"/>
        <v>ago</v>
      </c>
      <c r="N5810">
        <f t="shared" si="667"/>
        <v>2025</v>
      </c>
      <c r="P5810" t="str">
        <f t="shared" si="668"/>
        <v>148745885</v>
      </c>
    </row>
    <row r="5811" spans="1:16" x14ac:dyDescent="0.3">
      <c r="A5811">
        <v>1487</v>
      </c>
      <c r="B5811">
        <v>21</v>
      </c>
      <c r="C5811" t="s">
        <v>26</v>
      </c>
      <c r="D5811" t="s">
        <v>31</v>
      </c>
      <c r="E5811" t="s">
        <v>34</v>
      </c>
      <c r="F5811" t="s">
        <v>21</v>
      </c>
      <c r="G5811" t="s">
        <v>43</v>
      </c>
      <c r="H5811" t="s">
        <v>25</v>
      </c>
      <c r="I5811" s="1">
        <v>1</v>
      </c>
      <c r="J5811" s="2">
        <v>45886</v>
      </c>
      <c r="L5811" s="1" t="str">
        <f t="shared" si="666"/>
        <v>dom</v>
      </c>
      <c r="M5811" s="1" t="str">
        <f t="shared" si="669"/>
        <v>ago</v>
      </c>
      <c r="N5811">
        <f t="shared" si="667"/>
        <v>2025</v>
      </c>
      <c r="P5811" t="str">
        <f t="shared" si="668"/>
        <v>148745886</v>
      </c>
    </row>
    <row r="5812" spans="1:16" x14ac:dyDescent="0.3">
      <c r="A5812">
        <v>1487</v>
      </c>
      <c r="B5812">
        <v>21</v>
      </c>
      <c r="C5812" t="s">
        <v>26</v>
      </c>
      <c r="D5812" t="s">
        <v>31</v>
      </c>
      <c r="E5812" t="s">
        <v>34</v>
      </c>
      <c r="F5812" t="s">
        <v>21</v>
      </c>
      <c r="G5812" t="s">
        <v>43</v>
      </c>
      <c r="H5812" t="s">
        <v>25</v>
      </c>
      <c r="I5812" s="1">
        <v>1</v>
      </c>
      <c r="J5812" s="2">
        <v>45887</v>
      </c>
      <c r="L5812" s="1" t="str">
        <f t="shared" si="666"/>
        <v>seg</v>
      </c>
      <c r="M5812" s="1" t="str">
        <f t="shared" si="669"/>
        <v>ago</v>
      </c>
      <c r="N5812">
        <f t="shared" si="667"/>
        <v>2025</v>
      </c>
      <c r="P5812" t="str">
        <f t="shared" si="668"/>
        <v>148745887</v>
      </c>
    </row>
    <row r="5813" spans="1:16" x14ac:dyDescent="0.3">
      <c r="A5813">
        <v>1487</v>
      </c>
      <c r="B5813">
        <v>21</v>
      </c>
      <c r="C5813" t="s">
        <v>26</v>
      </c>
      <c r="D5813" t="s">
        <v>31</v>
      </c>
      <c r="E5813" t="s">
        <v>34</v>
      </c>
      <c r="F5813" t="s">
        <v>21</v>
      </c>
      <c r="G5813" t="s">
        <v>43</v>
      </c>
      <c r="H5813" t="s">
        <v>25</v>
      </c>
      <c r="I5813" s="1">
        <v>1</v>
      </c>
      <c r="J5813" s="2">
        <v>45888</v>
      </c>
      <c r="L5813" s="1" t="str">
        <f t="shared" si="666"/>
        <v>ter</v>
      </c>
      <c r="M5813" s="1" t="str">
        <f t="shared" si="669"/>
        <v>ago</v>
      </c>
      <c r="N5813">
        <f t="shared" si="667"/>
        <v>2025</v>
      </c>
      <c r="P5813" t="str">
        <f t="shared" si="668"/>
        <v>148745888</v>
      </c>
    </row>
    <row r="5814" spans="1:16" x14ac:dyDescent="0.3">
      <c r="A5814">
        <v>1487</v>
      </c>
      <c r="B5814">
        <v>21</v>
      </c>
      <c r="C5814" t="s">
        <v>26</v>
      </c>
      <c r="D5814" t="s">
        <v>31</v>
      </c>
      <c r="E5814" t="s">
        <v>34</v>
      </c>
      <c r="F5814" t="s">
        <v>21</v>
      </c>
      <c r="G5814" t="s">
        <v>43</v>
      </c>
      <c r="H5814" t="s">
        <v>25</v>
      </c>
      <c r="I5814" s="1">
        <v>1</v>
      </c>
      <c r="J5814" s="2">
        <v>45889</v>
      </c>
      <c r="L5814" s="1" t="str">
        <f t="shared" si="666"/>
        <v>qua</v>
      </c>
      <c r="M5814" s="1" t="str">
        <f t="shared" si="669"/>
        <v>ago</v>
      </c>
      <c r="N5814">
        <f t="shared" si="667"/>
        <v>2025</v>
      </c>
      <c r="P5814" t="str">
        <f t="shared" si="668"/>
        <v>148745889</v>
      </c>
    </row>
    <row r="5815" spans="1:16" x14ac:dyDescent="0.3">
      <c r="A5815">
        <v>1487</v>
      </c>
      <c r="B5815">
        <v>21</v>
      </c>
      <c r="C5815" t="s">
        <v>26</v>
      </c>
      <c r="D5815" t="s">
        <v>31</v>
      </c>
      <c r="E5815" t="s">
        <v>34</v>
      </c>
      <c r="F5815" t="s">
        <v>21</v>
      </c>
      <c r="G5815" t="s">
        <v>43</v>
      </c>
      <c r="H5815" t="s">
        <v>25</v>
      </c>
      <c r="I5815" s="1">
        <v>1</v>
      </c>
      <c r="J5815" s="2">
        <v>45890</v>
      </c>
      <c r="L5815" s="1" t="str">
        <f t="shared" si="666"/>
        <v>qui</v>
      </c>
      <c r="M5815" s="1" t="str">
        <f t="shared" si="669"/>
        <v>ago</v>
      </c>
      <c r="N5815">
        <f t="shared" si="667"/>
        <v>2025</v>
      </c>
      <c r="P5815" t="str">
        <f t="shared" si="668"/>
        <v>148745890</v>
      </c>
    </row>
    <row r="5816" spans="1:16" x14ac:dyDescent="0.3">
      <c r="A5816">
        <v>1487</v>
      </c>
      <c r="B5816">
        <v>21</v>
      </c>
      <c r="C5816" t="s">
        <v>26</v>
      </c>
      <c r="D5816" t="s">
        <v>31</v>
      </c>
      <c r="E5816" t="s">
        <v>34</v>
      </c>
      <c r="F5816" t="s">
        <v>21</v>
      </c>
      <c r="G5816" t="s">
        <v>43</v>
      </c>
      <c r="H5816" t="s">
        <v>25</v>
      </c>
      <c r="I5816" s="1">
        <v>1</v>
      </c>
      <c r="J5816" s="2">
        <v>45891</v>
      </c>
      <c r="L5816" s="1" t="str">
        <f t="shared" si="666"/>
        <v>sex</v>
      </c>
      <c r="M5816" s="1" t="str">
        <f t="shared" si="669"/>
        <v>ago</v>
      </c>
      <c r="N5816">
        <f t="shared" si="667"/>
        <v>2025</v>
      </c>
      <c r="P5816" t="str">
        <f t="shared" si="668"/>
        <v>148745891</v>
      </c>
    </row>
    <row r="5817" spans="1:16" x14ac:dyDescent="0.3">
      <c r="A5817">
        <v>1487</v>
      </c>
      <c r="B5817">
        <v>21</v>
      </c>
      <c r="C5817" t="s">
        <v>26</v>
      </c>
      <c r="D5817" t="s">
        <v>31</v>
      </c>
      <c r="E5817" t="s">
        <v>34</v>
      </c>
      <c r="F5817" t="s">
        <v>21</v>
      </c>
      <c r="G5817" t="s">
        <v>43</v>
      </c>
      <c r="H5817" t="s">
        <v>25</v>
      </c>
      <c r="I5817" s="1">
        <v>1</v>
      </c>
      <c r="J5817" s="2">
        <v>45892</v>
      </c>
      <c r="L5817" s="1" t="str">
        <f t="shared" si="666"/>
        <v>sáb</v>
      </c>
      <c r="M5817" s="1" t="str">
        <f t="shared" si="669"/>
        <v>ago</v>
      </c>
      <c r="N5817">
        <f t="shared" si="667"/>
        <v>2025</v>
      </c>
      <c r="P5817" t="str">
        <f t="shared" si="668"/>
        <v>148745892</v>
      </c>
    </row>
    <row r="5818" spans="1:16" x14ac:dyDescent="0.3">
      <c r="A5818">
        <v>1487</v>
      </c>
      <c r="B5818">
        <v>21</v>
      </c>
      <c r="C5818" t="s">
        <v>26</v>
      </c>
      <c r="D5818" t="s">
        <v>31</v>
      </c>
      <c r="E5818" t="s">
        <v>34</v>
      </c>
      <c r="F5818" t="s">
        <v>21</v>
      </c>
      <c r="G5818" t="s">
        <v>43</v>
      </c>
      <c r="H5818" t="s">
        <v>25</v>
      </c>
      <c r="I5818" s="1">
        <v>1</v>
      </c>
      <c r="J5818" s="2">
        <v>45893</v>
      </c>
      <c r="L5818" s="1" t="str">
        <f t="shared" si="666"/>
        <v>dom</v>
      </c>
      <c r="M5818" s="1" t="str">
        <f t="shared" si="669"/>
        <v>ago</v>
      </c>
      <c r="N5818">
        <f t="shared" si="667"/>
        <v>2025</v>
      </c>
      <c r="P5818" t="str">
        <f t="shared" si="668"/>
        <v>148745893</v>
      </c>
    </row>
    <row r="5819" spans="1:16" x14ac:dyDescent="0.3">
      <c r="A5819">
        <v>1487</v>
      </c>
      <c r="B5819">
        <v>21</v>
      </c>
      <c r="C5819" t="s">
        <v>26</v>
      </c>
      <c r="D5819" t="s">
        <v>31</v>
      </c>
      <c r="E5819" t="s">
        <v>34</v>
      </c>
      <c r="F5819" t="s">
        <v>21</v>
      </c>
      <c r="G5819" t="s">
        <v>43</v>
      </c>
      <c r="H5819" t="s">
        <v>25</v>
      </c>
      <c r="I5819" s="1">
        <v>1</v>
      </c>
      <c r="J5819" s="2">
        <v>45894</v>
      </c>
      <c r="L5819" s="1" t="str">
        <f t="shared" si="666"/>
        <v>seg</v>
      </c>
      <c r="M5819" s="1" t="str">
        <f t="shared" si="669"/>
        <v>ago</v>
      </c>
      <c r="N5819">
        <f t="shared" si="667"/>
        <v>2025</v>
      </c>
      <c r="P5819" t="str">
        <f t="shared" si="668"/>
        <v>148745894</v>
      </c>
    </row>
    <row r="5820" spans="1:16" x14ac:dyDescent="0.3">
      <c r="A5820">
        <v>1487</v>
      </c>
      <c r="B5820">
        <v>21</v>
      </c>
      <c r="C5820" t="s">
        <v>26</v>
      </c>
      <c r="D5820" t="s">
        <v>31</v>
      </c>
      <c r="E5820" t="s">
        <v>34</v>
      </c>
      <c r="F5820" t="s">
        <v>21</v>
      </c>
      <c r="G5820" t="s">
        <v>43</v>
      </c>
      <c r="H5820" t="s">
        <v>25</v>
      </c>
      <c r="I5820" s="1">
        <v>1</v>
      </c>
      <c r="J5820" s="2">
        <v>45895</v>
      </c>
      <c r="L5820" s="1" t="str">
        <f t="shared" si="666"/>
        <v>ter</v>
      </c>
      <c r="M5820" s="1" t="str">
        <f t="shared" si="669"/>
        <v>ago</v>
      </c>
      <c r="N5820">
        <f t="shared" si="667"/>
        <v>2025</v>
      </c>
      <c r="P5820" t="str">
        <f t="shared" si="668"/>
        <v>148745895</v>
      </c>
    </row>
    <row r="5821" spans="1:16" x14ac:dyDescent="0.3">
      <c r="A5821">
        <v>1487</v>
      </c>
      <c r="B5821">
        <v>21</v>
      </c>
      <c r="C5821" t="s">
        <v>26</v>
      </c>
      <c r="D5821" t="s">
        <v>31</v>
      </c>
      <c r="E5821" t="s">
        <v>34</v>
      </c>
      <c r="F5821" t="s">
        <v>21</v>
      </c>
      <c r="G5821" t="s">
        <v>43</v>
      </c>
      <c r="H5821" t="s">
        <v>25</v>
      </c>
      <c r="I5821" s="1">
        <v>1</v>
      </c>
      <c r="J5821" s="2">
        <v>45896</v>
      </c>
      <c r="L5821" s="1" t="str">
        <f t="shared" si="666"/>
        <v>qua</v>
      </c>
      <c r="M5821" s="1" t="str">
        <f t="shared" si="669"/>
        <v>ago</v>
      </c>
      <c r="N5821">
        <f t="shared" si="667"/>
        <v>2025</v>
      </c>
      <c r="P5821" t="str">
        <f t="shared" si="668"/>
        <v>148745896</v>
      </c>
    </row>
    <row r="5822" spans="1:16" x14ac:dyDescent="0.3">
      <c r="A5822">
        <v>1487</v>
      </c>
      <c r="B5822">
        <v>21</v>
      </c>
      <c r="C5822" t="s">
        <v>26</v>
      </c>
      <c r="D5822" t="s">
        <v>31</v>
      </c>
      <c r="E5822" t="s">
        <v>34</v>
      </c>
      <c r="F5822" t="s">
        <v>21</v>
      </c>
      <c r="G5822" t="s">
        <v>43</v>
      </c>
      <c r="H5822" t="s">
        <v>25</v>
      </c>
      <c r="I5822" s="1">
        <v>1</v>
      </c>
      <c r="J5822" s="2">
        <v>45897</v>
      </c>
      <c r="L5822" s="1" t="str">
        <f t="shared" si="666"/>
        <v>qui</v>
      </c>
      <c r="M5822" s="1" t="str">
        <f t="shared" si="669"/>
        <v>ago</v>
      </c>
      <c r="N5822">
        <f t="shared" si="667"/>
        <v>2025</v>
      </c>
      <c r="P5822" t="str">
        <f t="shared" si="668"/>
        <v>148745897</v>
      </c>
    </row>
    <row r="5823" spans="1:16" x14ac:dyDescent="0.3">
      <c r="A5823">
        <v>1487</v>
      </c>
      <c r="B5823">
        <v>21</v>
      </c>
      <c r="C5823" t="s">
        <v>26</v>
      </c>
      <c r="D5823" t="s">
        <v>31</v>
      </c>
      <c r="E5823" t="s">
        <v>34</v>
      </c>
      <c r="F5823" t="s">
        <v>21</v>
      </c>
      <c r="G5823" t="s">
        <v>43</v>
      </c>
      <c r="H5823" t="s">
        <v>25</v>
      </c>
      <c r="I5823" s="1">
        <v>1</v>
      </c>
      <c r="J5823" s="2">
        <v>45898</v>
      </c>
      <c r="L5823" s="1" t="str">
        <f t="shared" si="666"/>
        <v>sex</v>
      </c>
      <c r="M5823" s="1" t="str">
        <f t="shared" si="669"/>
        <v>ago</v>
      </c>
      <c r="N5823">
        <f t="shared" si="667"/>
        <v>2025</v>
      </c>
      <c r="P5823" t="str">
        <f t="shared" si="668"/>
        <v>148745898</v>
      </c>
    </row>
    <row r="5824" spans="1:16" x14ac:dyDescent="0.3">
      <c r="A5824">
        <v>2178</v>
      </c>
      <c r="B5824">
        <v>46</v>
      </c>
      <c r="C5824" t="s">
        <v>26</v>
      </c>
      <c r="D5824" t="s">
        <v>31</v>
      </c>
      <c r="E5824" t="s">
        <v>34</v>
      </c>
      <c r="F5824" t="s">
        <v>18</v>
      </c>
      <c r="G5824" t="s">
        <v>43</v>
      </c>
      <c r="H5824" t="s">
        <v>25</v>
      </c>
      <c r="I5824" s="1">
        <v>1</v>
      </c>
      <c r="J5824" s="2">
        <v>45672</v>
      </c>
      <c r="L5824" s="1" t="str">
        <f t="shared" si="666"/>
        <v>qua</v>
      </c>
      <c r="M5824" s="1" t="str">
        <f t="shared" si="669"/>
        <v>jan</v>
      </c>
      <c r="N5824">
        <f t="shared" si="667"/>
        <v>2025</v>
      </c>
      <c r="P5824" t="str">
        <f t="shared" si="668"/>
        <v>217845672</v>
      </c>
    </row>
    <row r="5825" spans="1:16" x14ac:dyDescent="0.3">
      <c r="A5825">
        <v>2178</v>
      </c>
      <c r="B5825">
        <v>46</v>
      </c>
      <c r="C5825" t="s">
        <v>26</v>
      </c>
      <c r="D5825" t="s">
        <v>31</v>
      </c>
      <c r="E5825" t="s">
        <v>34</v>
      </c>
      <c r="F5825" t="s">
        <v>18</v>
      </c>
      <c r="G5825" t="s">
        <v>43</v>
      </c>
      <c r="H5825" t="s">
        <v>25</v>
      </c>
      <c r="I5825" s="1">
        <v>1</v>
      </c>
      <c r="J5825" s="2">
        <v>45673</v>
      </c>
      <c r="L5825" s="1" t="str">
        <f t="shared" ref="L5825:L5826" si="670">TEXT(J5825,"ddd")</f>
        <v>qui</v>
      </c>
      <c r="M5825" s="1" t="str">
        <f t="shared" si="669"/>
        <v>jan</v>
      </c>
      <c r="N5825">
        <f t="shared" ref="N5825:N5826" si="671">YEAR(J5825)</f>
        <v>2025</v>
      </c>
      <c r="P5825" t="str">
        <f t="shared" ref="P5825:P5826" si="672">CONCATENATE(A5825,J5825)</f>
        <v>217845673</v>
      </c>
    </row>
    <row r="5826" spans="1:16" x14ac:dyDescent="0.3">
      <c r="A5826">
        <v>2178</v>
      </c>
      <c r="B5826">
        <v>46</v>
      </c>
      <c r="C5826" t="s">
        <v>26</v>
      </c>
      <c r="D5826" t="s">
        <v>31</v>
      </c>
      <c r="E5826" t="s">
        <v>34</v>
      </c>
      <c r="F5826" t="s">
        <v>18</v>
      </c>
      <c r="G5826" t="s">
        <v>43</v>
      </c>
      <c r="H5826" t="s">
        <v>25</v>
      </c>
      <c r="I5826" s="1">
        <v>1</v>
      </c>
      <c r="J5826" s="2">
        <v>45674</v>
      </c>
      <c r="L5826" s="1" t="str">
        <f t="shared" si="670"/>
        <v>sex</v>
      </c>
      <c r="M5826" s="1" t="str">
        <f t="shared" si="669"/>
        <v>jan</v>
      </c>
      <c r="N5826">
        <f t="shared" si="671"/>
        <v>2025</v>
      </c>
      <c r="P5826" t="str">
        <f t="shared" si="672"/>
        <v>217845674</v>
      </c>
    </row>
    <row r="5827" spans="1:16" x14ac:dyDescent="0.3">
      <c r="A5827">
        <v>2178</v>
      </c>
      <c r="B5827">
        <v>46</v>
      </c>
      <c r="C5827" t="s">
        <v>26</v>
      </c>
      <c r="D5827" t="s">
        <v>31</v>
      </c>
      <c r="E5827" t="s">
        <v>34</v>
      </c>
      <c r="F5827" t="s">
        <v>18</v>
      </c>
      <c r="G5827" t="s">
        <v>43</v>
      </c>
      <c r="H5827" t="s">
        <v>25</v>
      </c>
      <c r="I5827" s="1">
        <v>1</v>
      </c>
      <c r="J5827" s="2">
        <v>45675</v>
      </c>
      <c r="L5827" s="1" t="str">
        <f t="shared" ref="L5827:L5890" si="673">TEXT(J5827,"ddd")</f>
        <v>sáb</v>
      </c>
      <c r="M5827" s="1" t="str">
        <f t="shared" si="669"/>
        <v>jan</v>
      </c>
      <c r="N5827">
        <f t="shared" ref="N5827:N5890" si="674">YEAR(J5827)</f>
        <v>2025</v>
      </c>
      <c r="P5827" t="str">
        <f t="shared" ref="P5827:P5890" si="675">CONCATENATE(A5827,J5827)</f>
        <v>217845675</v>
      </c>
    </row>
    <row r="5828" spans="1:16" x14ac:dyDescent="0.3">
      <c r="A5828">
        <v>2178</v>
      </c>
      <c r="B5828">
        <v>46</v>
      </c>
      <c r="C5828" t="s">
        <v>26</v>
      </c>
      <c r="D5828" t="s">
        <v>31</v>
      </c>
      <c r="E5828" t="s">
        <v>34</v>
      </c>
      <c r="F5828" t="s">
        <v>18</v>
      </c>
      <c r="G5828" t="s">
        <v>43</v>
      </c>
      <c r="H5828" t="s">
        <v>25</v>
      </c>
      <c r="I5828" s="1">
        <v>1</v>
      </c>
      <c r="J5828" s="2">
        <v>45676</v>
      </c>
      <c r="L5828" s="1" t="str">
        <f t="shared" si="673"/>
        <v>dom</v>
      </c>
      <c r="M5828" s="1" t="str">
        <f t="shared" si="669"/>
        <v>jan</v>
      </c>
      <c r="N5828">
        <f t="shared" si="674"/>
        <v>2025</v>
      </c>
      <c r="P5828" t="str">
        <f t="shared" si="675"/>
        <v>217845676</v>
      </c>
    </row>
    <row r="5829" spans="1:16" x14ac:dyDescent="0.3">
      <c r="A5829">
        <v>2178</v>
      </c>
      <c r="B5829">
        <v>46</v>
      </c>
      <c r="C5829" t="s">
        <v>26</v>
      </c>
      <c r="D5829" t="s">
        <v>31</v>
      </c>
      <c r="E5829" t="s">
        <v>34</v>
      </c>
      <c r="F5829" t="s">
        <v>18</v>
      </c>
      <c r="G5829" t="s">
        <v>43</v>
      </c>
      <c r="H5829" t="s">
        <v>25</v>
      </c>
      <c r="I5829" s="1">
        <v>1</v>
      </c>
      <c r="J5829" s="2">
        <v>45677</v>
      </c>
      <c r="L5829" s="1" t="str">
        <f t="shared" si="673"/>
        <v>seg</v>
      </c>
      <c r="M5829" s="1" t="str">
        <f t="shared" si="669"/>
        <v>jan</v>
      </c>
      <c r="N5829">
        <f t="shared" si="674"/>
        <v>2025</v>
      </c>
      <c r="P5829" t="str">
        <f t="shared" si="675"/>
        <v>217845677</v>
      </c>
    </row>
    <row r="5830" spans="1:16" x14ac:dyDescent="0.3">
      <c r="A5830">
        <v>2178</v>
      </c>
      <c r="B5830">
        <v>46</v>
      </c>
      <c r="C5830" t="s">
        <v>26</v>
      </c>
      <c r="D5830" t="s">
        <v>31</v>
      </c>
      <c r="E5830" t="s">
        <v>34</v>
      </c>
      <c r="F5830" t="s">
        <v>18</v>
      </c>
      <c r="G5830" t="s">
        <v>43</v>
      </c>
      <c r="H5830" t="s">
        <v>25</v>
      </c>
      <c r="I5830" s="1">
        <v>1</v>
      </c>
      <c r="J5830" s="2">
        <v>45678</v>
      </c>
      <c r="L5830" s="1" t="str">
        <f t="shared" si="673"/>
        <v>ter</v>
      </c>
      <c r="M5830" s="1" t="str">
        <f t="shared" si="669"/>
        <v>jan</v>
      </c>
      <c r="N5830">
        <f t="shared" si="674"/>
        <v>2025</v>
      </c>
      <c r="P5830" t="str">
        <f t="shared" si="675"/>
        <v>217845678</v>
      </c>
    </row>
    <row r="5831" spans="1:16" x14ac:dyDescent="0.3">
      <c r="A5831">
        <v>2178</v>
      </c>
      <c r="B5831">
        <v>46</v>
      </c>
      <c r="C5831" t="s">
        <v>26</v>
      </c>
      <c r="D5831" t="s">
        <v>31</v>
      </c>
      <c r="E5831" t="s">
        <v>34</v>
      </c>
      <c r="F5831" t="s">
        <v>18</v>
      </c>
      <c r="G5831" t="s">
        <v>43</v>
      </c>
      <c r="H5831" t="s">
        <v>25</v>
      </c>
      <c r="I5831" s="1">
        <v>1</v>
      </c>
      <c r="J5831" s="2">
        <v>45679</v>
      </c>
      <c r="L5831" s="1" t="str">
        <f t="shared" si="673"/>
        <v>qua</v>
      </c>
      <c r="M5831" s="1" t="str">
        <f t="shared" si="669"/>
        <v>jan</v>
      </c>
      <c r="N5831">
        <f t="shared" si="674"/>
        <v>2025</v>
      </c>
      <c r="P5831" t="str">
        <f t="shared" si="675"/>
        <v>217845679</v>
      </c>
    </row>
    <row r="5832" spans="1:16" x14ac:dyDescent="0.3">
      <c r="A5832">
        <v>2178</v>
      </c>
      <c r="B5832">
        <v>46</v>
      </c>
      <c r="C5832" t="s">
        <v>26</v>
      </c>
      <c r="D5832" t="s">
        <v>31</v>
      </c>
      <c r="E5832" t="s">
        <v>34</v>
      </c>
      <c r="F5832" t="s">
        <v>18</v>
      </c>
      <c r="G5832" t="s">
        <v>43</v>
      </c>
      <c r="H5832" t="s">
        <v>25</v>
      </c>
      <c r="I5832" s="1">
        <v>1</v>
      </c>
      <c r="J5832" s="2">
        <v>45680</v>
      </c>
      <c r="L5832" s="1" t="str">
        <f t="shared" si="673"/>
        <v>qui</v>
      </c>
      <c r="M5832" s="1" t="str">
        <f t="shared" si="669"/>
        <v>jan</v>
      </c>
      <c r="N5832">
        <f t="shared" si="674"/>
        <v>2025</v>
      </c>
      <c r="P5832" t="str">
        <f t="shared" si="675"/>
        <v>217845680</v>
      </c>
    </row>
    <row r="5833" spans="1:16" x14ac:dyDescent="0.3">
      <c r="A5833">
        <v>2178</v>
      </c>
      <c r="B5833">
        <v>46</v>
      </c>
      <c r="C5833" t="s">
        <v>26</v>
      </c>
      <c r="D5833" t="s">
        <v>31</v>
      </c>
      <c r="E5833" t="s">
        <v>34</v>
      </c>
      <c r="F5833" t="s">
        <v>18</v>
      </c>
      <c r="G5833" t="s">
        <v>43</v>
      </c>
      <c r="H5833" t="s">
        <v>25</v>
      </c>
      <c r="I5833" s="1">
        <v>1</v>
      </c>
      <c r="J5833" s="2">
        <v>45681</v>
      </c>
      <c r="L5833" s="1" t="str">
        <f t="shared" si="673"/>
        <v>sex</v>
      </c>
      <c r="M5833" s="1" t="str">
        <f t="shared" si="669"/>
        <v>jan</v>
      </c>
      <c r="N5833">
        <f t="shared" si="674"/>
        <v>2025</v>
      </c>
      <c r="P5833" t="str">
        <f t="shared" si="675"/>
        <v>217845681</v>
      </c>
    </row>
    <row r="5834" spans="1:16" x14ac:dyDescent="0.3">
      <c r="A5834">
        <v>2178</v>
      </c>
      <c r="B5834">
        <v>46</v>
      </c>
      <c r="C5834" t="s">
        <v>26</v>
      </c>
      <c r="D5834" t="s">
        <v>31</v>
      </c>
      <c r="E5834" t="s">
        <v>34</v>
      </c>
      <c r="F5834" t="s">
        <v>18</v>
      </c>
      <c r="G5834" t="s">
        <v>43</v>
      </c>
      <c r="H5834" t="s">
        <v>25</v>
      </c>
      <c r="I5834" s="1">
        <v>1</v>
      </c>
      <c r="J5834" s="2">
        <v>45682</v>
      </c>
      <c r="L5834" s="1" t="str">
        <f t="shared" si="673"/>
        <v>sáb</v>
      </c>
      <c r="M5834" s="1" t="str">
        <f t="shared" si="669"/>
        <v>jan</v>
      </c>
      <c r="N5834">
        <f t="shared" si="674"/>
        <v>2025</v>
      </c>
      <c r="P5834" t="str">
        <f t="shared" si="675"/>
        <v>217845682</v>
      </c>
    </row>
    <row r="5835" spans="1:16" x14ac:dyDescent="0.3">
      <c r="A5835">
        <v>2178</v>
      </c>
      <c r="B5835">
        <v>46</v>
      </c>
      <c r="C5835" t="s">
        <v>26</v>
      </c>
      <c r="D5835" t="s">
        <v>31</v>
      </c>
      <c r="E5835" t="s">
        <v>34</v>
      </c>
      <c r="F5835" t="s">
        <v>18</v>
      </c>
      <c r="G5835" t="s">
        <v>43</v>
      </c>
      <c r="H5835" t="s">
        <v>25</v>
      </c>
      <c r="I5835" s="1">
        <v>1</v>
      </c>
      <c r="J5835" s="2">
        <v>45683</v>
      </c>
      <c r="L5835" s="1" t="str">
        <f t="shared" si="673"/>
        <v>dom</v>
      </c>
      <c r="M5835" s="1" t="str">
        <f t="shared" si="669"/>
        <v>jan</v>
      </c>
      <c r="N5835">
        <f t="shared" si="674"/>
        <v>2025</v>
      </c>
      <c r="P5835" t="str">
        <f t="shared" si="675"/>
        <v>217845683</v>
      </c>
    </row>
    <row r="5836" spans="1:16" x14ac:dyDescent="0.3">
      <c r="A5836">
        <v>2178</v>
      </c>
      <c r="B5836">
        <v>46</v>
      </c>
      <c r="C5836" t="s">
        <v>26</v>
      </c>
      <c r="D5836" t="s">
        <v>31</v>
      </c>
      <c r="E5836" t="s">
        <v>34</v>
      </c>
      <c r="F5836" t="s">
        <v>18</v>
      </c>
      <c r="G5836" t="s">
        <v>43</v>
      </c>
      <c r="H5836" t="s">
        <v>25</v>
      </c>
      <c r="I5836" s="1">
        <v>1</v>
      </c>
      <c r="J5836" s="2">
        <v>45684</v>
      </c>
      <c r="L5836" s="1" t="str">
        <f t="shared" si="673"/>
        <v>seg</v>
      </c>
      <c r="M5836" s="1" t="str">
        <f t="shared" si="669"/>
        <v>jan</v>
      </c>
      <c r="N5836">
        <f t="shared" si="674"/>
        <v>2025</v>
      </c>
      <c r="P5836" t="str">
        <f t="shared" si="675"/>
        <v>217845684</v>
      </c>
    </row>
    <row r="5837" spans="1:16" x14ac:dyDescent="0.3">
      <c r="A5837">
        <v>2178</v>
      </c>
      <c r="B5837">
        <v>46</v>
      </c>
      <c r="C5837" t="s">
        <v>26</v>
      </c>
      <c r="D5837" t="s">
        <v>31</v>
      </c>
      <c r="E5837" t="s">
        <v>34</v>
      </c>
      <c r="F5837" t="s">
        <v>18</v>
      </c>
      <c r="G5837" t="s">
        <v>43</v>
      </c>
      <c r="H5837" t="s">
        <v>25</v>
      </c>
      <c r="I5837" s="1">
        <v>1</v>
      </c>
      <c r="J5837" s="2">
        <v>45685</v>
      </c>
      <c r="L5837" s="1" t="str">
        <f t="shared" si="673"/>
        <v>ter</v>
      </c>
      <c r="M5837" s="1" t="str">
        <f t="shared" si="669"/>
        <v>jan</v>
      </c>
      <c r="N5837">
        <f t="shared" si="674"/>
        <v>2025</v>
      </c>
      <c r="P5837" t="str">
        <f t="shared" si="675"/>
        <v>217845685</v>
      </c>
    </row>
    <row r="5838" spans="1:16" x14ac:dyDescent="0.3">
      <c r="A5838">
        <v>2178</v>
      </c>
      <c r="B5838">
        <v>46</v>
      </c>
      <c r="C5838" t="s">
        <v>26</v>
      </c>
      <c r="D5838" t="s">
        <v>31</v>
      </c>
      <c r="E5838" t="s">
        <v>34</v>
      </c>
      <c r="F5838" t="s">
        <v>18</v>
      </c>
      <c r="G5838" t="s">
        <v>43</v>
      </c>
      <c r="H5838" t="s">
        <v>25</v>
      </c>
      <c r="I5838" s="1">
        <v>1</v>
      </c>
      <c r="J5838" s="2">
        <v>45686</v>
      </c>
      <c r="L5838" s="1" t="str">
        <f t="shared" si="673"/>
        <v>qua</v>
      </c>
      <c r="M5838" s="1" t="str">
        <f t="shared" si="669"/>
        <v>jan</v>
      </c>
      <c r="N5838">
        <f t="shared" si="674"/>
        <v>2025</v>
      </c>
      <c r="P5838" t="str">
        <f t="shared" si="675"/>
        <v>217845686</v>
      </c>
    </row>
    <row r="5839" spans="1:16" x14ac:dyDescent="0.3">
      <c r="A5839">
        <v>2178</v>
      </c>
      <c r="B5839">
        <v>46</v>
      </c>
      <c r="C5839" t="s">
        <v>26</v>
      </c>
      <c r="D5839" t="s">
        <v>31</v>
      </c>
      <c r="E5839" t="s">
        <v>34</v>
      </c>
      <c r="F5839" t="s">
        <v>18</v>
      </c>
      <c r="G5839" t="s">
        <v>43</v>
      </c>
      <c r="H5839" t="s">
        <v>25</v>
      </c>
      <c r="I5839" s="1">
        <v>1</v>
      </c>
      <c r="J5839" s="2">
        <v>45687</v>
      </c>
      <c r="L5839" s="1" t="str">
        <f t="shared" si="673"/>
        <v>qui</v>
      </c>
      <c r="M5839" s="1" t="str">
        <f t="shared" si="669"/>
        <v>jan</v>
      </c>
      <c r="N5839">
        <f t="shared" si="674"/>
        <v>2025</v>
      </c>
      <c r="P5839" t="str">
        <f t="shared" si="675"/>
        <v>217845687</v>
      </c>
    </row>
    <row r="5840" spans="1:16" x14ac:dyDescent="0.3">
      <c r="A5840">
        <v>2178</v>
      </c>
      <c r="B5840">
        <v>46</v>
      </c>
      <c r="C5840" t="s">
        <v>26</v>
      </c>
      <c r="D5840" t="s">
        <v>31</v>
      </c>
      <c r="E5840" t="s">
        <v>34</v>
      </c>
      <c r="F5840" t="s">
        <v>18</v>
      </c>
      <c r="G5840" t="s">
        <v>43</v>
      </c>
      <c r="H5840" t="s">
        <v>25</v>
      </c>
      <c r="I5840" s="1">
        <v>1</v>
      </c>
      <c r="J5840" s="2">
        <v>45688</v>
      </c>
      <c r="L5840" s="1" t="str">
        <f t="shared" si="673"/>
        <v>sex</v>
      </c>
      <c r="M5840" s="1" t="str">
        <f t="shared" si="669"/>
        <v>jan</v>
      </c>
      <c r="N5840">
        <f t="shared" si="674"/>
        <v>2025</v>
      </c>
      <c r="P5840" t="str">
        <f t="shared" si="675"/>
        <v>217845688</v>
      </c>
    </row>
    <row r="5841" spans="1:16" x14ac:dyDescent="0.3">
      <c r="A5841">
        <v>2178</v>
      </c>
      <c r="B5841">
        <v>46</v>
      </c>
      <c r="C5841" t="s">
        <v>26</v>
      </c>
      <c r="D5841" t="s">
        <v>31</v>
      </c>
      <c r="E5841" t="s">
        <v>34</v>
      </c>
      <c r="F5841" t="s">
        <v>18</v>
      </c>
      <c r="G5841" t="s">
        <v>43</v>
      </c>
      <c r="H5841" t="s">
        <v>25</v>
      </c>
      <c r="I5841" s="1">
        <v>1</v>
      </c>
      <c r="J5841" s="2">
        <v>45689</v>
      </c>
      <c r="L5841" s="1" t="str">
        <f t="shared" si="673"/>
        <v>sáb</v>
      </c>
      <c r="M5841" s="1" t="str">
        <f t="shared" si="669"/>
        <v>fev</v>
      </c>
      <c r="N5841">
        <f t="shared" si="674"/>
        <v>2025</v>
      </c>
      <c r="P5841" t="str">
        <f t="shared" si="675"/>
        <v>217845689</v>
      </c>
    </row>
    <row r="5842" spans="1:16" x14ac:dyDescent="0.3">
      <c r="A5842">
        <v>2178</v>
      </c>
      <c r="B5842">
        <v>46</v>
      </c>
      <c r="C5842" t="s">
        <v>26</v>
      </c>
      <c r="D5842" t="s">
        <v>31</v>
      </c>
      <c r="E5842" t="s">
        <v>34</v>
      </c>
      <c r="F5842" t="s">
        <v>18</v>
      </c>
      <c r="G5842" t="s">
        <v>43</v>
      </c>
      <c r="H5842" t="s">
        <v>25</v>
      </c>
      <c r="I5842" s="1">
        <v>1</v>
      </c>
      <c r="J5842" s="2">
        <v>45690</v>
      </c>
      <c r="L5842" s="1" t="str">
        <f t="shared" si="673"/>
        <v>dom</v>
      </c>
      <c r="M5842" s="1" t="str">
        <f t="shared" si="669"/>
        <v>fev</v>
      </c>
      <c r="N5842">
        <f t="shared" si="674"/>
        <v>2025</v>
      </c>
      <c r="P5842" t="str">
        <f t="shared" si="675"/>
        <v>217845690</v>
      </c>
    </row>
    <row r="5843" spans="1:16" x14ac:dyDescent="0.3">
      <c r="A5843">
        <v>2178</v>
      </c>
      <c r="B5843">
        <v>46</v>
      </c>
      <c r="C5843" t="s">
        <v>26</v>
      </c>
      <c r="D5843" t="s">
        <v>31</v>
      </c>
      <c r="E5843" t="s">
        <v>34</v>
      </c>
      <c r="F5843" t="s">
        <v>18</v>
      </c>
      <c r="G5843" t="s">
        <v>43</v>
      </c>
      <c r="H5843" t="s">
        <v>25</v>
      </c>
      <c r="I5843" s="1">
        <v>1</v>
      </c>
      <c r="J5843" s="2">
        <v>45691</v>
      </c>
      <c r="L5843" s="1" t="str">
        <f t="shared" si="673"/>
        <v>seg</v>
      </c>
      <c r="M5843" s="1" t="str">
        <f t="shared" si="669"/>
        <v>fev</v>
      </c>
      <c r="N5843">
        <f t="shared" si="674"/>
        <v>2025</v>
      </c>
      <c r="P5843" t="str">
        <f t="shared" si="675"/>
        <v>217845691</v>
      </c>
    </row>
    <row r="5844" spans="1:16" x14ac:dyDescent="0.3">
      <c r="A5844">
        <v>2178</v>
      </c>
      <c r="B5844">
        <v>46</v>
      </c>
      <c r="C5844" t="s">
        <v>26</v>
      </c>
      <c r="D5844" t="s">
        <v>31</v>
      </c>
      <c r="E5844" t="s">
        <v>34</v>
      </c>
      <c r="F5844" t="s">
        <v>18</v>
      </c>
      <c r="G5844" t="s">
        <v>43</v>
      </c>
      <c r="H5844" t="s">
        <v>25</v>
      </c>
      <c r="I5844" s="1">
        <v>1</v>
      </c>
      <c r="J5844" s="2">
        <v>45692</v>
      </c>
      <c r="L5844" s="1" t="str">
        <f t="shared" si="673"/>
        <v>ter</v>
      </c>
      <c r="M5844" s="1" t="str">
        <f t="shared" si="669"/>
        <v>fev</v>
      </c>
      <c r="N5844">
        <f t="shared" si="674"/>
        <v>2025</v>
      </c>
      <c r="P5844" t="str">
        <f t="shared" si="675"/>
        <v>217845692</v>
      </c>
    </row>
    <row r="5845" spans="1:16" x14ac:dyDescent="0.3">
      <c r="A5845">
        <v>2178</v>
      </c>
      <c r="B5845">
        <v>46</v>
      </c>
      <c r="C5845" t="s">
        <v>26</v>
      </c>
      <c r="D5845" t="s">
        <v>31</v>
      </c>
      <c r="E5845" t="s">
        <v>34</v>
      </c>
      <c r="F5845" t="s">
        <v>18</v>
      </c>
      <c r="G5845" t="s">
        <v>43</v>
      </c>
      <c r="H5845" t="s">
        <v>25</v>
      </c>
      <c r="I5845" s="1">
        <v>1</v>
      </c>
      <c r="J5845" s="2">
        <v>45693</v>
      </c>
      <c r="L5845" s="1" t="str">
        <f t="shared" si="673"/>
        <v>qua</v>
      </c>
      <c r="M5845" s="1" t="str">
        <f t="shared" si="669"/>
        <v>fev</v>
      </c>
      <c r="N5845">
        <f t="shared" si="674"/>
        <v>2025</v>
      </c>
      <c r="P5845" t="str">
        <f t="shared" si="675"/>
        <v>217845693</v>
      </c>
    </row>
    <row r="5846" spans="1:16" x14ac:dyDescent="0.3">
      <c r="A5846">
        <v>2178</v>
      </c>
      <c r="B5846">
        <v>46</v>
      </c>
      <c r="C5846" t="s">
        <v>26</v>
      </c>
      <c r="D5846" t="s">
        <v>31</v>
      </c>
      <c r="E5846" t="s">
        <v>34</v>
      </c>
      <c r="F5846" t="s">
        <v>18</v>
      </c>
      <c r="G5846" t="s">
        <v>43</v>
      </c>
      <c r="H5846" t="s">
        <v>25</v>
      </c>
      <c r="I5846" s="1">
        <v>1</v>
      </c>
      <c r="J5846" s="2">
        <v>45694</v>
      </c>
      <c r="L5846" s="1" t="str">
        <f t="shared" si="673"/>
        <v>qui</v>
      </c>
      <c r="M5846" s="1" t="str">
        <f t="shared" si="669"/>
        <v>fev</v>
      </c>
      <c r="N5846">
        <f t="shared" si="674"/>
        <v>2025</v>
      </c>
      <c r="P5846" t="str">
        <f t="shared" si="675"/>
        <v>217845694</v>
      </c>
    </row>
    <row r="5847" spans="1:16" x14ac:dyDescent="0.3">
      <c r="A5847">
        <v>2178</v>
      </c>
      <c r="B5847">
        <v>46</v>
      </c>
      <c r="C5847" t="s">
        <v>26</v>
      </c>
      <c r="D5847" t="s">
        <v>31</v>
      </c>
      <c r="E5847" t="s">
        <v>34</v>
      </c>
      <c r="F5847" t="s">
        <v>18</v>
      </c>
      <c r="G5847" t="s">
        <v>43</v>
      </c>
      <c r="H5847" t="s">
        <v>25</v>
      </c>
      <c r="I5847" s="1">
        <v>1</v>
      </c>
      <c r="J5847" s="2">
        <v>45695</v>
      </c>
      <c r="L5847" s="1" t="str">
        <f t="shared" si="673"/>
        <v>sex</v>
      </c>
      <c r="M5847" s="1" t="str">
        <f t="shared" si="669"/>
        <v>fev</v>
      </c>
      <c r="N5847">
        <f t="shared" si="674"/>
        <v>2025</v>
      </c>
      <c r="P5847" t="str">
        <f t="shared" si="675"/>
        <v>217845695</v>
      </c>
    </row>
    <row r="5848" spans="1:16" x14ac:dyDescent="0.3">
      <c r="A5848">
        <v>2178</v>
      </c>
      <c r="B5848">
        <v>46</v>
      </c>
      <c r="C5848" t="s">
        <v>26</v>
      </c>
      <c r="D5848" t="s">
        <v>31</v>
      </c>
      <c r="E5848" t="s">
        <v>34</v>
      </c>
      <c r="F5848" t="s">
        <v>18</v>
      </c>
      <c r="G5848" t="s">
        <v>43</v>
      </c>
      <c r="H5848" t="s">
        <v>25</v>
      </c>
      <c r="I5848" s="1">
        <v>1</v>
      </c>
      <c r="J5848" s="2">
        <v>45696</v>
      </c>
      <c r="L5848" s="1" t="str">
        <f t="shared" si="673"/>
        <v>sáb</v>
      </c>
      <c r="M5848" s="1" t="str">
        <f t="shared" si="669"/>
        <v>fev</v>
      </c>
      <c r="N5848">
        <f t="shared" si="674"/>
        <v>2025</v>
      </c>
      <c r="P5848" t="str">
        <f t="shared" si="675"/>
        <v>217845696</v>
      </c>
    </row>
    <row r="5849" spans="1:16" x14ac:dyDescent="0.3">
      <c r="A5849">
        <v>2178</v>
      </c>
      <c r="B5849">
        <v>46</v>
      </c>
      <c r="C5849" t="s">
        <v>26</v>
      </c>
      <c r="D5849" t="s">
        <v>31</v>
      </c>
      <c r="E5849" t="s">
        <v>34</v>
      </c>
      <c r="F5849" t="s">
        <v>18</v>
      </c>
      <c r="G5849" t="s">
        <v>43</v>
      </c>
      <c r="H5849" t="s">
        <v>25</v>
      </c>
      <c r="I5849" s="1">
        <v>1</v>
      </c>
      <c r="J5849" s="2">
        <v>45697</v>
      </c>
      <c r="L5849" s="1" t="str">
        <f t="shared" si="673"/>
        <v>dom</v>
      </c>
      <c r="M5849" s="1" t="str">
        <f t="shared" si="669"/>
        <v>fev</v>
      </c>
      <c r="N5849">
        <f t="shared" si="674"/>
        <v>2025</v>
      </c>
      <c r="P5849" t="str">
        <f t="shared" si="675"/>
        <v>217845697</v>
      </c>
    </row>
    <row r="5850" spans="1:16" x14ac:dyDescent="0.3">
      <c r="A5850">
        <v>2178</v>
      </c>
      <c r="B5850">
        <v>46</v>
      </c>
      <c r="C5850" t="s">
        <v>26</v>
      </c>
      <c r="D5850" t="s">
        <v>31</v>
      </c>
      <c r="E5850" t="s">
        <v>34</v>
      </c>
      <c r="F5850" t="s">
        <v>18</v>
      </c>
      <c r="G5850" t="s">
        <v>43</v>
      </c>
      <c r="H5850" t="s">
        <v>25</v>
      </c>
      <c r="I5850" s="1">
        <v>1</v>
      </c>
      <c r="J5850" s="2">
        <v>45698</v>
      </c>
      <c r="L5850" s="1" t="str">
        <f t="shared" si="673"/>
        <v>seg</v>
      </c>
      <c r="M5850" s="1" t="str">
        <f t="shared" si="669"/>
        <v>fev</v>
      </c>
      <c r="N5850">
        <f t="shared" si="674"/>
        <v>2025</v>
      </c>
      <c r="P5850" t="str">
        <f t="shared" si="675"/>
        <v>217845698</v>
      </c>
    </row>
    <row r="5851" spans="1:16" x14ac:dyDescent="0.3">
      <c r="A5851">
        <v>2178</v>
      </c>
      <c r="B5851">
        <v>46</v>
      </c>
      <c r="C5851" t="s">
        <v>26</v>
      </c>
      <c r="D5851" t="s">
        <v>31</v>
      </c>
      <c r="E5851" t="s">
        <v>34</v>
      </c>
      <c r="F5851" t="s">
        <v>18</v>
      </c>
      <c r="G5851" t="s">
        <v>43</v>
      </c>
      <c r="H5851" t="s">
        <v>25</v>
      </c>
      <c r="I5851" s="1">
        <v>1</v>
      </c>
      <c r="J5851" s="2">
        <v>45699</v>
      </c>
      <c r="L5851" s="1" t="str">
        <f t="shared" si="673"/>
        <v>ter</v>
      </c>
      <c r="M5851" s="1" t="str">
        <f t="shared" si="669"/>
        <v>fev</v>
      </c>
      <c r="N5851">
        <f t="shared" si="674"/>
        <v>2025</v>
      </c>
      <c r="P5851" t="str">
        <f t="shared" si="675"/>
        <v>217845699</v>
      </c>
    </row>
    <row r="5852" spans="1:16" x14ac:dyDescent="0.3">
      <c r="A5852">
        <v>2178</v>
      </c>
      <c r="B5852">
        <v>46</v>
      </c>
      <c r="C5852" t="s">
        <v>26</v>
      </c>
      <c r="D5852" t="s">
        <v>31</v>
      </c>
      <c r="E5852" t="s">
        <v>34</v>
      </c>
      <c r="F5852" t="s">
        <v>18</v>
      </c>
      <c r="G5852" t="s">
        <v>43</v>
      </c>
      <c r="H5852" t="s">
        <v>25</v>
      </c>
      <c r="I5852" s="1">
        <v>1</v>
      </c>
      <c r="J5852" s="2">
        <v>45700</v>
      </c>
      <c r="L5852" s="1" t="str">
        <f t="shared" si="673"/>
        <v>qua</v>
      </c>
      <c r="M5852" s="1" t="str">
        <f t="shared" si="669"/>
        <v>fev</v>
      </c>
      <c r="N5852">
        <f t="shared" si="674"/>
        <v>2025</v>
      </c>
      <c r="P5852" t="str">
        <f t="shared" si="675"/>
        <v>217845700</v>
      </c>
    </row>
    <row r="5853" spans="1:16" x14ac:dyDescent="0.3">
      <c r="A5853">
        <v>2178</v>
      </c>
      <c r="B5853">
        <v>46</v>
      </c>
      <c r="C5853" t="s">
        <v>26</v>
      </c>
      <c r="D5853" t="s">
        <v>31</v>
      </c>
      <c r="E5853" t="s">
        <v>34</v>
      </c>
      <c r="F5853" t="s">
        <v>18</v>
      </c>
      <c r="G5853" t="s">
        <v>43</v>
      </c>
      <c r="H5853" t="s">
        <v>25</v>
      </c>
      <c r="I5853" s="1">
        <v>1</v>
      </c>
      <c r="J5853" s="2">
        <v>45701</v>
      </c>
      <c r="L5853" s="1" t="str">
        <f t="shared" si="673"/>
        <v>qui</v>
      </c>
      <c r="M5853" s="1" t="str">
        <f t="shared" si="669"/>
        <v>fev</v>
      </c>
      <c r="N5853">
        <f t="shared" si="674"/>
        <v>2025</v>
      </c>
      <c r="P5853" t="str">
        <f t="shared" si="675"/>
        <v>217845701</v>
      </c>
    </row>
    <row r="5854" spans="1:16" x14ac:dyDescent="0.3">
      <c r="A5854">
        <v>2178</v>
      </c>
      <c r="B5854">
        <v>46</v>
      </c>
      <c r="C5854" t="s">
        <v>26</v>
      </c>
      <c r="D5854" t="s">
        <v>31</v>
      </c>
      <c r="E5854" t="s">
        <v>34</v>
      </c>
      <c r="F5854" t="s">
        <v>18</v>
      </c>
      <c r="G5854" t="s">
        <v>43</v>
      </c>
      <c r="H5854" t="s">
        <v>25</v>
      </c>
      <c r="I5854" s="1">
        <v>1</v>
      </c>
      <c r="J5854" s="2">
        <v>45702</v>
      </c>
      <c r="L5854" s="1" t="str">
        <f t="shared" si="673"/>
        <v>sex</v>
      </c>
      <c r="M5854" s="1" t="str">
        <f t="shared" si="669"/>
        <v>fev</v>
      </c>
      <c r="N5854">
        <f t="shared" si="674"/>
        <v>2025</v>
      </c>
      <c r="P5854" t="str">
        <f t="shared" si="675"/>
        <v>217845702</v>
      </c>
    </row>
    <row r="5855" spans="1:16" x14ac:dyDescent="0.3">
      <c r="A5855">
        <v>2178</v>
      </c>
      <c r="B5855">
        <v>46</v>
      </c>
      <c r="C5855" t="s">
        <v>26</v>
      </c>
      <c r="D5855" t="s">
        <v>31</v>
      </c>
      <c r="E5855" t="s">
        <v>34</v>
      </c>
      <c r="F5855" t="s">
        <v>18</v>
      </c>
      <c r="G5855" t="s">
        <v>43</v>
      </c>
      <c r="H5855" t="s">
        <v>25</v>
      </c>
      <c r="I5855" s="1">
        <v>1</v>
      </c>
      <c r="J5855" s="2">
        <v>45703</v>
      </c>
      <c r="L5855" s="1" t="str">
        <f t="shared" si="673"/>
        <v>sáb</v>
      </c>
      <c r="M5855" s="1" t="str">
        <f t="shared" si="669"/>
        <v>fev</v>
      </c>
      <c r="N5855">
        <f t="shared" si="674"/>
        <v>2025</v>
      </c>
      <c r="P5855" t="str">
        <f t="shared" si="675"/>
        <v>217845703</v>
      </c>
    </row>
    <row r="5856" spans="1:16" x14ac:dyDescent="0.3">
      <c r="A5856">
        <v>2178</v>
      </c>
      <c r="B5856">
        <v>46</v>
      </c>
      <c r="C5856" t="s">
        <v>26</v>
      </c>
      <c r="D5856" t="s">
        <v>31</v>
      </c>
      <c r="E5856" t="s">
        <v>34</v>
      </c>
      <c r="F5856" t="s">
        <v>18</v>
      </c>
      <c r="G5856" t="s">
        <v>43</v>
      </c>
      <c r="H5856" t="s">
        <v>25</v>
      </c>
      <c r="I5856" s="1">
        <v>1</v>
      </c>
      <c r="J5856" s="2">
        <v>45704</v>
      </c>
      <c r="L5856" s="1" t="str">
        <f t="shared" si="673"/>
        <v>dom</v>
      </c>
      <c r="M5856" s="1" t="str">
        <f t="shared" si="669"/>
        <v>fev</v>
      </c>
      <c r="N5856">
        <f t="shared" si="674"/>
        <v>2025</v>
      </c>
      <c r="P5856" t="str">
        <f t="shared" si="675"/>
        <v>217845704</v>
      </c>
    </row>
    <row r="5857" spans="1:16" x14ac:dyDescent="0.3">
      <c r="A5857">
        <v>2178</v>
      </c>
      <c r="B5857">
        <v>46</v>
      </c>
      <c r="C5857" t="s">
        <v>26</v>
      </c>
      <c r="D5857" t="s">
        <v>31</v>
      </c>
      <c r="E5857" t="s">
        <v>34</v>
      </c>
      <c r="F5857" t="s">
        <v>18</v>
      </c>
      <c r="G5857" t="s">
        <v>43</v>
      </c>
      <c r="H5857" t="s">
        <v>25</v>
      </c>
      <c r="I5857" s="1">
        <v>1</v>
      </c>
      <c r="J5857" s="2">
        <v>45705</v>
      </c>
      <c r="L5857" s="1" t="str">
        <f t="shared" si="673"/>
        <v>seg</v>
      </c>
      <c r="M5857" s="1" t="str">
        <f t="shared" si="669"/>
        <v>fev</v>
      </c>
      <c r="N5857">
        <f t="shared" si="674"/>
        <v>2025</v>
      </c>
      <c r="P5857" t="str">
        <f t="shared" si="675"/>
        <v>217845705</v>
      </c>
    </row>
    <row r="5858" spans="1:16" x14ac:dyDescent="0.3">
      <c r="A5858">
        <v>2178</v>
      </c>
      <c r="B5858">
        <v>46</v>
      </c>
      <c r="C5858" t="s">
        <v>26</v>
      </c>
      <c r="D5858" t="s">
        <v>31</v>
      </c>
      <c r="E5858" t="s">
        <v>34</v>
      </c>
      <c r="F5858" t="s">
        <v>18</v>
      </c>
      <c r="G5858" t="s">
        <v>43</v>
      </c>
      <c r="H5858" t="s">
        <v>25</v>
      </c>
      <c r="I5858" s="1">
        <v>1</v>
      </c>
      <c r="J5858" s="2">
        <v>45706</v>
      </c>
      <c r="L5858" s="1" t="str">
        <f t="shared" si="673"/>
        <v>ter</v>
      </c>
      <c r="M5858" s="1" t="str">
        <f t="shared" si="669"/>
        <v>fev</v>
      </c>
      <c r="N5858">
        <f t="shared" si="674"/>
        <v>2025</v>
      </c>
      <c r="P5858" t="str">
        <f t="shared" si="675"/>
        <v>217845706</v>
      </c>
    </row>
    <row r="5859" spans="1:16" x14ac:dyDescent="0.3">
      <c r="A5859">
        <v>2178</v>
      </c>
      <c r="B5859">
        <v>46</v>
      </c>
      <c r="C5859" t="s">
        <v>26</v>
      </c>
      <c r="D5859" t="s">
        <v>31</v>
      </c>
      <c r="E5859" t="s">
        <v>34</v>
      </c>
      <c r="F5859" t="s">
        <v>18</v>
      </c>
      <c r="G5859" t="s">
        <v>43</v>
      </c>
      <c r="H5859" t="s">
        <v>25</v>
      </c>
      <c r="I5859" s="1">
        <v>1</v>
      </c>
      <c r="J5859" s="2">
        <v>45707</v>
      </c>
      <c r="L5859" s="1" t="str">
        <f t="shared" si="673"/>
        <v>qua</v>
      </c>
      <c r="M5859" s="1" t="str">
        <f t="shared" si="669"/>
        <v>fev</v>
      </c>
      <c r="N5859">
        <f t="shared" si="674"/>
        <v>2025</v>
      </c>
      <c r="P5859" t="str">
        <f t="shared" si="675"/>
        <v>217845707</v>
      </c>
    </row>
    <row r="5860" spans="1:16" x14ac:dyDescent="0.3">
      <c r="A5860">
        <v>2178</v>
      </c>
      <c r="B5860">
        <v>46</v>
      </c>
      <c r="C5860" t="s">
        <v>26</v>
      </c>
      <c r="D5860" t="s">
        <v>31</v>
      </c>
      <c r="E5860" t="s">
        <v>34</v>
      </c>
      <c r="F5860" t="s">
        <v>18</v>
      </c>
      <c r="G5860" t="s">
        <v>43</v>
      </c>
      <c r="H5860" t="s">
        <v>25</v>
      </c>
      <c r="I5860" s="1">
        <v>1</v>
      </c>
      <c r="J5860" s="2">
        <v>45708</v>
      </c>
      <c r="L5860" s="1" t="str">
        <f t="shared" si="673"/>
        <v>qui</v>
      </c>
      <c r="M5860" s="1" t="str">
        <f t="shared" si="669"/>
        <v>fev</v>
      </c>
      <c r="N5860">
        <f t="shared" si="674"/>
        <v>2025</v>
      </c>
      <c r="P5860" t="str">
        <f t="shared" si="675"/>
        <v>217845708</v>
      </c>
    </row>
    <row r="5861" spans="1:16" x14ac:dyDescent="0.3">
      <c r="A5861">
        <v>2178</v>
      </c>
      <c r="B5861">
        <v>46</v>
      </c>
      <c r="C5861" t="s">
        <v>26</v>
      </c>
      <c r="D5861" t="s">
        <v>31</v>
      </c>
      <c r="E5861" t="s">
        <v>34</v>
      </c>
      <c r="F5861" t="s">
        <v>18</v>
      </c>
      <c r="G5861" t="s">
        <v>43</v>
      </c>
      <c r="H5861" t="s">
        <v>25</v>
      </c>
      <c r="I5861" s="1">
        <v>1</v>
      </c>
      <c r="J5861" s="2">
        <v>45709</v>
      </c>
      <c r="L5861" s="1" t="str">
        <f t="shared" si="673"/>
        <v>sex</v>
      </c>
      <c r="M5861" s="1" t="str">
        <f t="shared" si="669"/>
        <v>fev</v>
      </c>
      <c r="N5861">
        <f t="shared" si="674"/>
        <v>2025</v>
      </c>
      <c r="P5861" t="str">
        <f t="shared" si="675"/>
        <v>217845709</v>
      </c>
    </row>
    <row r="5862" spans="1:16" x14ac:dyDescent="0.3">
      <c r="A5862">
        <v>2178</v>
      </c>
      <c r="B5862">
        <v>46</v>
      </c>
      <c r="C5862" t="s">
        <v>26</v>
      </c>
      <c r="D5862" t="s">
        <v>31</v>
      </c>
      <c r="E5862" t="s">
        <v>34</v>
      </c>
      <c r="F5862" t="s">
        <v>18</v>
      </c>
      <c r="G5862" t="s">
        <v>43</v>
      </c>
      <c r="H5862" t="s">
        <v>25</v>
      </c>
      <c r="I5862" s="1">
        <v>1</v>
      </c>
      <c r="J5862" s="2">
        <v>45710</v>
      </c>
      <c r="L5862" s="1" t="str">
        <f t="shared" si="673"/>
        <v>sáb</v>
      </c>
      <c r="M5862" s="1" t="str">
        <f t="shared" si="669"/>
        <v>fev</v>
      </c>
      <c r="N5862">
        <f t="shared" si="674"/>
        <v>2025</v>
      </c>
      <c r="P5862" t="str">
        <f t="shared" si="675"/>
        <v>217845710</v>
      </c>
    </row>
    <row r="5863" spans="1:16" x14ac:dyDescent="0.3">
      <c r="A5863">
        <v>2178</v>
      </c>
      <c r="B5863">
        <v>46</v>
      </c>
      <c r="C5863" t="s">
        <v>26</v>
      </c>
      <c r="D5863" t="s">
        <v>31</v>
      </c>
      <c r="E5863" t="s">
        <v>34</v>
      </c>
      <c r="F5863" t="s">
        <v>18</v>
      </c>
      <c r="G5863" t="s">
        <v>43</v>
      </c>
      <c r="H5863" t="s">
        <v>25</v>
      </c>
      <c r="I5863" s="1">
        <v>1</v>
      </c>
      <c r="J5863" s="2">
        <v>45711</v>
      </c>
      <c r="L5863" s="1" t="str">
        <f t="shared" si="673"/>
        <v>dom</v>
      </c>
      <c r="M5863" s="1" t="str">
        <f t="shared" si="669"/>
        <v>fev</v>
      </c>
      <c r="N5863">
        <f t="shared" si="674"/>
        <v>2025</v>
      </c>
      <c r="P5863" t="str">
        <f t="shared" si="675"/>
        <v>217845711</v>
      </c>
    </row>
    <row r="5864" spans="1:16" x14ac:dyDescent="0.3">
      <c r="A5864">
        <v>2178</v>
      </c>
      <c r="B5864">
        <v>46</v>
      </c>
      <c r="C5864" t="s">
        <v>26</v>
      </c>
      <c r="D5864" t="s">
        <v>31</v>
      </c>
      <c r="E5864" t="s">
        <v>34</v>
      </c>
      <c r="F5864" t="s">
        <v>18</v>
      </c>
      <c r="G5864" t="s">
        <v>43</v>
      </c>
      <c r="H5864" t="s">
        <v>25</v>
      </c>
      <c r="I5864" s="1">
        <v>1</v>
      </c>
      <c r="J5864" s="2">
        <v>45712</v>
      </c>
      <c r="L5864" s="1" t="str">
        <f t="shared" si="673"/>
        <v>seg</v>
      </c>
      <c r="M5864" s="1" t="str">
        <f t="shared" si="669"/>
        <v>fev</v>
      </c>
      <c r="N5864">
        <f t="shared" si="674"/>
        <v>2025</v>
      </c>
      <c r="P5864" t="str">
        <f t="shared" si="675"/>
        <v>217845712</v>
      </c>
    </row>
    <row r="5865" spans="1:16" x14ac:dyDescent="0.3">
      <c r="A5865">
        <v>2178</v>
      </c>
      <c r="B5865">
        <v>46</v>
      </c>
      <c r="C5865" t="s">
        <v>26</v>
      </c>
      <c r="D5865" t="s">
        <v>31</v>
      </c>
      <c r="E5865" t="s">
        <v>34</v>
      </c>
      <c r="F5865" t="s">
        <v>18</v>
      </c>
      <c r="G5865" t="s">
        <v>43</v>
      </c>
      <c r="H5865" t="s">
        <v>25</v>
      </c>
      <c r="I5865" s="1">
        <v>1</v>
      </c>
      <c r="J5865" s="2">
        <v>45713</v>
      </c>
      <c r="L5865" s="1" t="str">
        <f t="shared" si="673"/>
        <v>ter</v>
      </c>
      <c r="M5865" s="1" t="str">
        <f t="shared" si="669"/>
        <v>fev</v>
      </c>
      <c r="N5865">
        <f t="shared" si="674"/>
        <v>2025</v>
      </c>
      <c r="P5865" t="str">
        <f t="shared" si="675"/>
        <v>217845713</v>
      </c>
    </row>
    <row r="5866" spans="1:16" x14ac:dyDescent="0.3">
      <c r="A5866">
        <v>2178</v>
      </c>
      <c r="B5866">
        <v>46</v>
      </c>
      <c r="C5866" t="s">
        <v>26</v>
      </c>
      <c r="D5866" t="s">
        <v>31</v>
      </c>
      <c r="E5866" t="s">
        <v>34</v>
      </c>
      <c r="F5866" t="s">
        <v>18</v>
      </c>
      <c r="G5866" t="s">
        <v>43</v>
      </c>
      <c r="H5866" t="s">
        <v>25</v>
      </c>
      <c r="I5866" s="1">
        <v>1</v>
      </c>
      <c r="J5866" s="2">
        <v>45714</v>
      </c>
      <c r="L5866" s="1" t="str">
        <f t="shared" si="673"/>
        <v>qua</v>
      </c>
      <c r="M5866" s="1" t="str">
        <f t="shared" si="669"/>
        <v>fev</v>
      </c>
      <c r="N5866">
        <f t="shared" si="674"/>
        <v>2025</v>
      </c>
      <c r="P5866" t="str">
        <f t="shared" si="675"/>
        <v>217845714</v>
      </c>
    </row>
    <row r="5867" spans="1:16" x14ac:dyDescent="0.3">
      <c r="A5867">
        <v>2178</v>
      </c>
      <c r="B5867">
        <v>46</v>
      </c>
      <c r="C5867" t="s">
        <v>26</v>
      </c>
      <c r="D5867" t="s">
        <v>31</v>
      </c>
      <c r="E5867" t="s">
        <v>34</v>
      </c>
      <c r="F5867" t="s">
        <v>18</v>
      </c>
      <c r="G5867" t="s">
        <v>43</v>
      </c>
      <c r="H5867" t="s">
        <v>25</v>
      </c>
      <c r="I5867" s="1">
        <v>1</v>
      </c>
      <c r="J5867" s="2">
        <v>45715</v>
      </c>
      <c r="L5867" s="1" t="str">
        <f t="shared" si="673"/>
        <v>qui</v>
      </c>
      <c r="M5867" s="1" t="str">
        <f t="shared" si="669"/>
        <v>fev</v>
      </c>
      <c r="N5867">
        <f t="shared" si="674"/>
        <v>2025</v>
      </c>
      <c r="P5867" t="str">
        <f t="shared" si="675"/>
        <v>217845715</v>
      </c>
    </row>
    <row r="5868" spans="1:16" x14ac:dyDescent="0.3">
      <c r="A5868">
        <v>2178</v>
      </c>
      <c r="B5868">
        <v>46</v>
      </c>
      <c r="C5868" t="s">
        <v>26</v>
      </c>
      <c r="D5868" t="s">
        <v>31</v>
      </c>
      <c r="E5868" t="s">
        <v>34</v>
      </c>
      <c r="F5868" t="s">
        <v>18</v>
      </c>
      <c r="G5868" t="s">
        <v>43</v>
      </c>
      <c r="H5868" t="s">
        <v>25</v>
      </c>
      <c r="I5868" s="1">
        <v>1</v>
      </c>
      <c r="J5868" s="2">
        <v>45716</v>
      </c>
      <c r="L5868" s="1" t="str">
        <f t="shared" si="673"/>
        <v>sex</v>
      </c>
      <c r="M5868" s="1" t="str">
        <f t="shared" si="669"/>
        <v>fev</v>
      </c>
      <c r="N5868">
        <f t="shared" si="674"/>
        <v>2025</v>
      </c>
      <c r="P5868" t="str">
        <f t="shared" si="675"/>
        <v>217845716</v>
      </c>
    </row>
    <row r="5869" spans="1:16" x14ac:dyDescent="0.3">
      <c r="A5869">
        <v>2178</v>
      </c>
      <c r="B5869">
        <v>46</v>
      </c>
      <c r="C5869" t="s">
        <v>26</v>
      </c>
      <c r="D5869" t="s">
        <v>31</v>
      </c>
      <c r="E5869" t="s">
        <v>34</v>
      </c>
      <c r="F5869" t="s">
        <v>18</v>
      </c>
      <c r="G5869" t="s">
        <v>43</v>
      </c>
      <c r="H5869" t="s">
        <v>25</v>
      </c>
      <c r="I5869" s="1">
        <v>1</v>
      </c>
      <c r="J5869" s="2">
        <v>45717</v>
      </c>
      <c r="L5869" s="1" t="str">
        <f t="shared" si="673"/>
        <v>sáb</v>
      </c>
      <c r="M5869" s="1" t="str">
        <f t="shared" si="669"/>
        <v>mar</v>
      </c>
      <c r="N5869">
        <f t="shared" si="674"/>
        <v>2025</v>
      </c>
      <c r="P5869" t="str">
        <f t="shared" si="675"/>
        <v>217845717</v>
      </c>
    </row>
    <row r="5870" spans="1:16" x14ac:dyDescent="0.3">
      <c r="A5870">
        <v>2178</v>
      </c>
      <c r="B5870">
        <v>46</v>
      </c>
      <c r="C5870" t="s">
        <v>26</v>
      </c>
      <c r="D5870" t="s">
        <v>31</v>
      </c>
      <c r="E5870" t="s">
        <v>34</v>
      </c>
      <c r="F5870" t="s">
        <v>18</v>
      </c>
      <c r="G5870" t="s">
        <v>43</v>
      </c>
      <c r="H5870" t="s">
        <v>25</v>
      </c>
      <c r="I5870" s="1">
        <v>1</v>
      </c>
      <c r="J5870" s="2">
        <v>45718</v>
      </c>
      <c r="L5870" s="1" t="str">
        <f t="shared" si="673"/>
        <v>dom</v>
      </c>
      <c r="M5870" s="1" t="str">
        <f t="shared" si="669"/>
        <v>mar</v>
      </c>
      <c r="N5870">
        <f t="shared" si="674"/>
        <v>2025</v>
      </c>
      <c r="P5870" t="str">
        <f t="shared" si="675"/>
        <v>217845718</v>
      </c>
    </row>
    <row r="5871" spans="1:16" x14ac:dyDescent="0.3">
      <c r="A5871">
        <v>2178</v>
      </c>
      <c r="B5871">
        <v>46</v>
      </c>
      <c r="C5871" t="s">
        <v>26</v>
      </c>
      <c r="D5871" t="s">
        <v>31</v>
      </c>
      <c r="E5871" t="s">
        <v>34</v>
      </c>
      <c r="F5871" t="s">
        <v>18</v>
      </c>
      <c r="G5871" t="s">
        <v>43</v>
      </c>
      <c r="H5871" t="s">
        <v>25</v>
      </c>
      <c r="I5871" s="1">
        <v>1</v>
      </c>
      <c r="J5871" s="2">
        <v>45719</v>
      </c>
      <c r="L5871" s="1" t="str">
        <f t="shared" si="673"/>
        <v>seg</v>
      </c>
      <c r="M5871" s="1" t="str">
        <f t="shared" si="669"/>
        <v>mar</v>
      </c>
      <c r="N5871">
        <f t="shared" si="674"/>
        <v>2025</v>
      </c>
      <c r="P5871" t="str">
        <f t="shared" si="675"/>
        <v>217845719</v>
      </c>
    </row>
    <row r="5872" spans="1:16" x14ac:dyDescent="0.3">
      <c r="A5872">
        <v>2178</v>
      </c>
      <c r="B5872">
        <v>46</v>
      </c>
      <c r="C5872" t="s">
        <v>26</v>
      </c>
      <c r="D5872" t="s">
        <v>31</v>
      </c>
      <c r="E5872" t="s">
        <v>34</v>
      </c>
      <c r="F5872" t="s">
        <v>18</v>
      </c>
      <c r="G5872" t="s">
        <v>43</v>
      </c>
      <c r="H5872" t="s">
        <v>25</v>
      </c>
      <c r="I5872" s="1">
        <v>1</v>
      </c>
      <c r="J5872" s="2">
        <v>45720</v>
      </c>
      <c r="L5872" s="1" t="str">
        <f t="shared" si="673"/>
        <v>ter</v>
      </c>
      <c r="M5872" s="1" t="str">
        <f t="shared" si="669"/>
        <v>mar</v>
      </c>
      <c r="N5872">
        <f t="shared" si="674"/>
        <v>2025</v>
      </c>
      <c r="P5872" t="str">
        <f t="shared" si="675"/>
        <v>217845720</v>
      </c>
    </row>
    <row r="5873" spans="1:16" x14ac:dyDescent="0.3">
      <c r="A5873">
        <v>2178</v>
      </c>
      <c r="B5873">
        <v>46</v>
      </c>
      <c r="C5873" t="s">
        <v>26</v>
      </c>
      <c r="D5873" t="s">
        <v>31</v>
      </c>
      <c r="E5873" t="s">
        <v>34</v>
      </c>
      <c r="F5873" t="s">
        <v>18</v>
      </c>
      <c r="G5873" t="s">
        <v>43</v>
      </c>
      <c r="H5873" t="s">
        <v>25</v>
      </c>
      <c r="I5873" s="1">
        <v>1</v>
      </c>
      <c r="J5873" s="2">
        <v>45721</v>
      </c>
      <c r="L5873" s="1" t="str">
        <f t="shared" si="673"/>
        <v>qua</v>
      </c>
      <c r="M5873" s="1" t="str">
        <f t="shared" ref="M5873:M5936" si="676">TEXT($J5873,"mmm")</f>
        <v>mar</v>
      </c>
      <c r="N5873">
        <f t="shared" si="674"/>
        <v>2025</v>
      </c>
      <c r="P5873" t="str">
        <f t="shared" si="675"/>
        <v>217845721</v>
      </c>
    </row>
    <row r="5874" spans="1:16" x14ac:dyDescent="0.3">
      <c r="A5874">
        <v>2178</v>
      </c>
      <c r="B5874">
        <v>46</v>
      </c>
      <c r="C5874" t="s">
        <v>26</v>
      </c>
      <c r="D5874" t="s">
        <v>31</v>
      </c>
      <c r="E5874" t="s">
        <v>34</v>
      </c>
      <c r="F5874" t="s">
        <v>18</v>
      </c>
      <c r="G5874" t="s">
        <v>43</v>
      </c>
      <c r="H5874" t="s">
        <v>25</v>
      </c>
      <c r="I5874" s="1">
        <v>1</v>
      </c>
      <c r="J5874" s="2">
        <v>45722</v>
      </c>
      <c r="L5874" s="1" t="str">
        <f t="shared" si="673"/>
        <v>qui</v>
      </c>
      <c r="M5874" s="1" t="str">
        <f t="shared" si="676"/>
        <v>mar</v>
      </c>
      <c r="N5874">
        <f t="shared" si="674"/>
        <v>2025</v>
      </c>
      <c r="P5874" t="str">
        <f t="shared" si="675"/>
        <v>217845722</v>
      </c>
    </row>
    <row r="5875" spans="1:16" x14ac:dyDescent="0.3">
      <c r="A5875">
        <v>2178</v>
      </c>
      <c r="B5875">
        <v>46</v>
      </c>
      <c r="C5875" t="s">
        <v>26</v>
      </c>
      <c r="D5875" t="s">
        <v>31</v>
      </c>
      <c r="E5875" t="s">
        <v>34</v>
      </c>
      <c r="F5875" t="s">
        <v>18</v>
      </c>
      <c r="G5875" t="s">
        <v>43</v>
      </c>
      <c r="H5875" t="s">
        <v>25</v>
      </c>
      <c r="I5875" s="1">
        <v>1</v>
      </c>
      <c r="J5875" s="2">
        <v>45723</v>
      </c>
      <c r="L5875" s="1" t="str">
        <f t="shared" si="673"/>
        <v>sex</v>
      </c>
      <c r="M5875" s="1" t="str">
        <f t="shared" si="676"/>
        <v>mar</v>
      </c>
      <c r="N5875">
        <f t="shared" si="674"/>
        <v>2025</v>
      </c>
      <c r="P5875" t="str">
        <f t="shared" si="675"/>
        <v>217845723</v>
      </c>
    </row>
    <row r="5876" spans="1:16" x14ac:dyDescent="0.3">
      <c r="A5876">
        <v>2178</v>
      </c>
      <c r="B5876">
        <v>46</v>
      </c>
      <c r="C5876" t="s">
        <v>26</v>
      </c>
      <c r="D5876" t="s">
        <v>31</v>
      </c>
      <c r="E5876" t="s">
        <v>34</v>
      </c>
      <c r="F5876" t="s">
        <v>18</v>
      </c>
      <c r="G5876" t="s">
        <v>43</v>
      </c>
      <c r="H5876" t="s">
        <v>25</v>
      </c>
      <c r="I5876" s="1">
        <v>1</v>
      </c>
      <c r="J5876" s="2">
        <v>45724</v>
      </c>
      <c r="L5876" s="1" t="str">
        <f t="shared" si="673"/>
        <v>sáb</v>
      </c>
      <c r="M5876" s="1" t="str">
        <f t="shared" si="676"/>
        <v>mar</v>
      </c>
      <c r="N5876">
        <f t="shared" si="674"/>
        <v>2025</v>
      </c>
      <c r="P5876" t="str">
        <f t="shared" si="675"/>
        <v>217845724</v>
      </c>
    </row>
    <row r="5877" spans="1:16" x14ac:dyDescent="0.3">
      <c r="A5877">
        <v>2178</v>
      </c>
      <c r="B5877">
        <v>46</v>
      </c>
      <c r="C5877" t="s">
        <v>26</v>
      </c>
      <c r="D5877" t="s">
        <v>31</v>
      </c>
      <c r="E5877" t="s">
        <v>34</v>
      </c>
      <c r="F5877" t="s">
        <v>18</v>
      </c>
      <c r="G5877" t="s">
        <v>43</v>
      </c>
      <c r="H5877" t="s">
        <v>25</v>
      </c>
      <c r="I5877" s="1">
        <v>1</v>
      </c>
      <c r="J5877" s="2">
        <v>45725</v>
      </c>
      <c r="L5877" s="1" t="str">
        <f t="shared" si="673"/>
        <v>dom</v>
      </c>
      <c r="M5877" s="1" t="str">
        <f t="shared" si="676"/>
        <v>mar</v>
      </c>
      <c r="N5877">
        <f t="shared" si="674"/>
        <v>2025</v>
      </c>
      <c r="P5877" t="str">
        <f t="shared" si="675"/>
        <v>217845725</v>
      </c>
    </row>
    <row r="5878" spans="1:16" x14ac:dyDescent="0.3">
      <c r="A5878">
        <v>2178</v>
      </c>
      <c r="B5878">
        <v>46</v>
      </c>
      <c r="C5878" t="s">
        <v>26</v>
      </c>
      <c r="D5878" t="s">
        <v>31</v>
      </c>
      <c r="E5878" t="s">
        <v>34</v>
      </c>
      <c r="F5878" t="s">
        <v>18</v>
      </c>
      <c r="G5878" t="s">
        <v>43</v>
      </c>
      <c r="H5878" t="s">
        <v>25</v>
      </c>
      <c r="I5878" s="1">
        <v>1</v>
      </c>
      <c r="J5878" s="2">
        <v>45726</v>
      </c>
      <c r="L5878" s="1" t="str">
        <f t="shared" si="673"/>
        <v>seg</v>
      </c>
      <c r="M5878" s="1" t="str">
        <f t="shared" si="676"/>
        <v>mar</v>
      </c>
      <c r="N5878">
        <f t="shared" si="674"/>
        <v>2025</v>
      </c>
      <c r="P5878" t="str">
        <f t="shared" si="675"/>
        <v>217845726</v>
      </c>
    </row>
    <row r="5879" spans="1:16" x14ac:dyDescent="0.3">
      <c r="A5879">
        <v>2178</v>
      </c>
      <c r="B5879">
        <v>46</v>
      </c>
      <c r="C5879" t="s">
        <v>26</v>
      </c>
      <c r="D5879" t="s">
        <v>31</v>
      </c>
      <c r="E5879" t="s">
        <v>34</v>
      </c>
      <c r="F5879" t="s">
        <v>18</v>
      </c>
      <c r="G5879" t="s">
        <v>43</v>
      </c>
      <c r="H5879" t="s">
        <v>25</v>
      </c>
      <c r="I5879" s="1">
        <v>1</v>
      </c>
      <c r="J5879" s="2">
        <v>45727</v>
      </c>
      <c r="L5879" s="1" t="str">
        <f t="shared" si="673"/>
        <v>ter</v>
      </c>
      <c r="M5879" s="1" t="str">
        <f t="shared" si="676"/>
        <v>mar</v>
      </c>
      <c r="N5879">
        <f t="shared" si="674"/>
        <v>2025</v>
      </c>
      <c r="P5879" t="str">
        <f t="shared" si="675"/>
        <v>217845727</v>
      </c>
    </row>
    <row r="5880" spans="1:16" x14ac:dyDescent="0.3">
      <c r="A5880">
        <v>2178</v>
      </c>
      <c r="B5880">
        <v>46</v>
      </c>
      <c r="C5880" t="s">
        <v>26</v>
      </c>
      <c r="D5880" t="s">
        <v>31</v>
      </c>
      <c r="E5880" t="s">
        <v>34</v>
      </c>
      <c r="F5880" t="s">
        <v>18</v>
      </c>
      <c r="G5880" t="s">
        <v>43</v>
      </c>
      <c r="H5880" t="s">
        <v>25</v>
      </c>
      <c r="I5880" s="1">
        <v>1</v>
      </c>
      <c r="J5880" s="2">
        <v>45728</v>
      </c>
      <c r="L5880" s="1" t="str">
        <f t="shared" si="673"/>
        <v>qua</v>
      </c>
      <c r="M5880" s="1" t="str">
        <f t="shared" si="676"/>
        <v>mar</v>
      </c>
      <c r="N5880">
        <f t="shared" si="674"/>
        <v>2025</v>
      </c>
      <c r="P5880" t="str">
        <f t="shared" si="675"/>
        <v>217845728</v>
      </c>
    </row>
    <row r="5881" spans="1:16" x14ac:dyDescent="0.3">
      <c r="A5881">
        <v>2178</v>
      </c>
      <c r="B5881">
        <v>46</v>
      </c>
      <c r="C5881" t="s">
        <v>26</v>
      </c>
      <c r="D5881" t="s">
        <v>31</v>
      </c>
      <c r="E5881" t="s">
        <v>34</v>
      </c>
      <c r="F5881" t="s">
        <v>18</v>
      </c>
      <c r="G5881" t="s">
        <v>43</v>
      </c>
      <c r="H5881" t="s">
        <v>25</v>
      </c>
      <c r="I5881" s="1">
        <v>1</v>
      </c>
      <c r="J5881" s="2">
        <v>45729</v>
      </c>
      <c r="L5881" s="1" t="str">
        <f t="shared" si="673"/>
        <v>qui</v>
      </c>
      <c r="M5881" s="1" t="str">
        <f t="shared" si="676"/>
        <v>mar</v>
      </c>
      <c r="N5881">
        <f t="shared" si="674"/>
        <v>2025</v>
      </c>
      <c r="P5881" t="str">
        <f t="shared" si="675"/>
        <v>217845729</v>
      </c>
    </row>
    <row r="5882" spans="1:16" x14ac:dyDescent="0.3">
      <c r="A5882">
        <v>2178</v>
      </c>
      <c r="B5882">
        <v>46</v>
      </c>
      <c r="C5882" t="s">
        <v>26</v>
      </c>
      <c r="D5882" t="s">
        <v>31</v>
      </c>
      <c r="E5882" t="s">
        <v>34</v>
      </c>
      <c r="F5882" t="s">
        <v>18</v>
      </c>
      <c r="G5882" t="s">
        <v>43</v>
      </c>
      <c r="H5882" t="s">
        <v>25</v>
      </c>
      <c r="I5882" s="1">
        <v>1</v>
      </c>
      <c r="J5882" s="2">
        <v>45730</v>
      </c>
      <c r="L5882" s="1" t="str">
        <f t="shared" si="673"/>
        <v>sex</v>
      </c>
      <c r="M5882" s="1" t="str">
        <f t="shared" si="676"/>
        <v>mar</v>
      </c>
      <c r="N5882">
        <f t="shared" si="674"/>
        <v>2025</v>
      </c>
      <c r="P5882" t="str">
        <f t="shared" si="675"/>
        <v>217845730</v>
      </c>
    </row>
    <row r="5883" spans="1:16" x14ac:dyDescent="0.3">
      <c r="A5883">
        <v>2178</v>
      </c>
      <c r="B5883">
        <v>46</v>
      </c>
      <c r="C5883" t="s">
        <v>26</v>
      </c>
      <c r="D5883" t="s">
        <v>31</v>
      </c>
      <c r="E5883" t="s">
        <v>34</v>
      </c>
      <c r="F5883" t="s">
        <v>18</v>
      </c>
      <c r="G5883" t="s">
        <v>43</v>
      </c>
      <c r="H5883" t="s">
        <v>25</v>
      </c>
      <c r="I5883" s="1">
        <v>1</v>
      </c>
      <c r="J5883" s="2">
        <v>45731</v>
      </c>
      <c r="L5883" s="1" t="str">
        <f t="shared" si="673"/>
        <v>sáb</v>
      </c>
      <c r="M5883" s="1" t="str">
        <f t="shared" si="676"/>
        <v>mar</v>
      </c>
      <c r="N5883">
        <f t="shared" si="674"/>
        <v>2025</v>
      </c>
      <c r="P5883" t="str">
        <f t="shared" si="675"/>
        <v>217845731</v>
      </c>
    </row>
    <row r="5884" spans="1:16" x14ac:dyDescent="0.3">
      <c r="A5884">
        <v>2178</v>
      </c>
      <c r="B5884">
        <v>46</v>
      </c>
      <c r="C5884" t="s">
        <v>26</v>
      </c>
      <c r="D5884" t="s">
        <v>31</v>
      </c>
      <c r="E5884" t="s">
        <v>34</v>
      </c>
      <c r="F5884" t="s">
        <v>18</v>
      </c>
      <c r="G5884" t="s">
        <v>43</v>
      </c>
      <c r="H5884" t="s">
        <v>25</v>
      </c>
      <c r="I5884" s="1">
        <v>1</v>
      </c>
      <c r="J5884" s="2">
        <v>45732</v>
      </c>
      <c r="L5884" s="1" t="str">
        <f t="shared" si="673"/>
        <v>dom</v>
      </c>
      <c r="M5884" s="1" t="str">
        <f t="shared" si="676"/>
        <v>mar</v>
      </c>
      <c r="N5884">
        <f t="shared" si="674"/>
        <v>2025</v>
      </c>
      <c r="P5884" t="str">
        <f t="shared" si="675"/>
        <v>217845732</v>
      </c>
    </row>
    <row r="5885" spans="1:16" x14ac:dyDescent="0.3">
      <c r="A5885">
        <v>2178</v>
      </c>
      <c r="B5885">
        <v>46</v>
      </c>
      <c r="C5885" t="s">
        <v>26</v>
      </c>
      <c r="D5885" t="s">
        <v>31</v>
      </c>
      <c r="E5885" t="s">
        <v>34</v>
      </c>
      <c r="F5885" t="s">
        <v>18</v>
      </c>
      <c r="G5885" t="s">
        <v>43</v>
      </c>
      <c r="H5885" t="s">
        <v>25</v>
      </c>
      <c r="I5885" s="1">
        <v>1</v>
      </c>
      <c r="J5885" s="2">
        <v>45733</v>
      </c>
      <c r="L5885" s="1" t="str">
        <f t="shared" si="673"/>
        <v>seg</v>
      </c>
      <c r="M5885" s="1" t="str">
        <f t="shared" si="676"/>
        <v>mar</v>
      </c>
      <c r="N5885">
        <f t="shared" si="674"/>
        <v>2025</v>
      </c>
      <c r="P5885" t="str">
        <f t="shared" si="675"/>
        <v>217845733</v>
      </c>
    </row>
    <row r="5886" spans="1:16" x14ac:dyDescent="0.3">
      <c r="A5886">
        <v>2178</v>
      </c>
      <c r="B5886">
        <v>46</v>
      </c>
      <c r="C5886" t="s">
        <v>26</v>
      </c>
      <c r="D5886" t="s">
        <v>31</v>
      </c>
      <c r="E5886" t="s">
        <v>34</v>
      </c>
      <c r="F5886" t="s">
        <v>18</v>
      </c>
      <c r="G5886" t="s">
        <v>43</v>
      </c>
      <c r="H5886" t="s">
        <v>25</v>
      </c>
      <c r="I5886" s="1">
        <v>1</v>
      </c>
      <c r="J5886" s="2">
        <v>45734</v>
      </c>
      <c r="L5886" s="1" t="str">
        <f t="shared" si="673"/>
        <v>ter</v>
      </c>
      <c r="M5886" s="1" t="str">
        <f t="shared" si="676"/>
        <v>mar</v>
      </c>
      <c r="N5886">
        <f t="shared" si="674"/>
        <v>2025</v>
      </c>
      <c r="P5886" t="str">
        <f t="shared" si="675"/>
        <v>217845734</v>
      </c>
    </row>
    <row r="5887" spans="1:16" x14ac:dyDescent="0.3">
      <c r="A5887">
        <v>2178</v>
      </c>
      <c r="B5887">
        <v>46</v>
      </c>
      <c r="C5887" t="s">
        <v>26</v>
      </c>
      <c r="D5887" t="s">
        <v>31</v>
      </c>
      <c r="E5887" t="s">
        <v>34</v>
      </c>
      <c r="F5887" t="s">
        <v>18</v>
      </c>
      <c r="G5887" t="s">
        <v>43</v>
      </c>
      <c r="H5887" t="s">
        <v>25</v>
      </c>
      <c r="I5887" s="1">
        <v>1</v>
      </c>
      <c r="J5887" s="2">
        <v>45735</v>
      </c>
      <c r="L5887" s="1" t="str">
        <f t="shared" si="673"/>
        <v>qua</v>
      </c>
      <c r="M5887" s="1" t="str">
        <f t="shared" si="676"/>
        <v>mar</v>
      </c>
      <c r="N5887">
        <f t="shared" si="674"/>
        <v>2025</v>
      </c>
      <c r="P5887" t="str">
        <f t="shared" si="675"/>
        <v>217845735</v>
      </c>
    </row>
    <row r="5888" spans="1:16" x14ac:dyDescent="0.3">
      <c r="A5888">
        <v>2178</v>
      </c>
      <c r="B5888">
        <v>46</v>
      </c>
      <c r="C5888" t="s">
        <v>26</v>
      </c>
      <c r="D5888" t="s">
        <v>31</v>
      </c>
      <c r="E5888" t="s">
        <v>34</v>
      </c>
      <c r="F5888" t="s">
        <v>18</v>
      </c>
      <c r="G5888" t="s">
        <v>43</v>
      </c>
      <c r="H5888" t="s">
        <v>25</v>
      </c>
      <c r="I5888" s="1">
        <v>1</v>
      </c>
      <c r="J5888" s="2">
        <v>45736</v>
      </c>
      <c r="L5888" s="1" t="str">
        <f t="shared" si="673"/>
        <v>qui</v>
      </c>
      <c r="M5888" s="1" t="str">
        <f t="shared" si="676"/>
        <v>mar</v>
      </c>
      <c r="N5888">
        <f t="shared" si="674"/>
        <v>2025</v>
      </c>
      <c r="P5888" t="str">
        <f t="shared" si="675"/>
        <v>217845736</v>
      </c>
    </row>
    <row r="5889" spans="1:16" x14ac:dyDescent="0.3">
      <c r="A5889">
        <v>2178</v>
      </c>
      <c r="B5889">
        <v>46</v>
      </c>
      <c r="C5889" t="s">
        <v>26</v>
      </c>
      <c r="D5889" t="s">
        <v>31</v>
      </c>
      <c r="E5889" t="s">
        <v>34</v>
      </c>
      <c r="F5889" t="s">
        <v>18</v>
      </c>
      <c r="G5889" t="s">
        <v>43</v>
      </c>
      <c r="H5889" t="s">
        <v>25</v>
      </c>
      <c r="I5889" s="1">
        <v>1</v>
      </c>
      <c r="J5889" s="2">
        <v>45737</v>
      </c>
      <c r="L5889" s="1" t="str">
        <f t="shared" si="673"/>
        <v>sex</v>
      </c>
      <c r="M5889" s="1" t="str">
        <f t="shared" si="676"/>
        <v>mar</v>
      </c>
      <c r="N5889">
        <f t="shared" si="674"/>
        <v>2025</v>
      </c>
      <c r="P5889" t="str">
        <f t="shared" si="675"/>
        <v>217845737</v>
      </c>
    </row>
    <row r="5890" spans="1:16" x14ac:dyDescent="0.3">
      <c r="A5890">
        <v>2178</v>
      </c>
      <c r="B5890">
        <v>46</v>
      </c>
      <c r="C5890" t="s">
        <v>26</v>
      </c>
      <c r="D5890" t="s">
        <v>31</v>
      </c>
      <c r="E5890" t="s">
        <v>34</v>
      </c>
      <c r="F5890" t="s">
        <v>18</v>
      </c>
      <c r="G5890" t="s">
        <v>43</v>
      </c>
      <c r="H5890" t="s">
        <v>25</v>
      </c>
      <c r="I5890" s="1">
        <v>1</v>
      </c>
      <c r="J5890" s="2">
        <v>45738</v>
      </c>
      <c r="L5890" s="1" t="str">
        <f t="shared" si="673"/>
        <v>sáb</v>
      </c>
      <c r="M5890" s="1" t="str">
        <f t="shared" si="676"/>
        <v>mar</v>
      </c>
      <c r="N5890">
        <f t="shared" si="674"/>
        <v>2025</v>
      </c>
      <c r="P5890" t="str">
        <f t="shared" si="675"/>
        <v>217845738</v>
      </c>
    </row>
    <row r="5891" spans="1:16" x14ac:dyDescent="0.3">
      <c r="A5891">
        <v>2178</v>
      </c>
      <c r="B5891">
        <v>46</v>
      </c>
      <c r="C5891" t="s">
        <v>26</v>
      </c>
      <c r="D5891" t="s">
        <v>31</v>
      </c>
      <c r="E5891" t="s">
        <v>34</v>
      </c>
      <c r="F5891" t="s">
        <v>18</v>
      </c>
      <c r="G5891" t="s">
        <v>43</v>
      </c>
      <c r="H5891" t="s">
        <v>25</v>
      </c>
      <c r="I5891" s="1">
        <v>1</v>
      </c>
      <c r="J5891" s="2">
        <v>45739</v>
      </c>
      <c r="L5891" s="1" t="str">
        <f t="shared" ref="L5891:L5946" si="677">TEXT(J5891,"ddd")</f>
        <v>dom</v>
      </c>
      <c r="M5891" s="1" t="str">
        <f t="shared" si="676"/>
        <v>mar</v>
      </c>
      <c r="N5891">
        <f t="shared" ref="N5891:N5946" si="678">YEAR(J5891)</f>
        <v>2025</v>
      </c>
      <c r="P5891" t="str">
        <f t="shared" ref="P5891:P5946" si="679">CONCATENATE(A5891,J5891)</f>
        <v>217845739</v>
      </c>
    </row>
    <row r="5892" spans="1:16" x14ac:dyDescent="0.3">
      <c r="A5892">
        <v>2178</v>
      </c>
      <c r="B5892">
        <v>46</v>
      </c>
      <c r="C5892" t="s">
        <v>26</v>
      </c>
      <c r="D5892" t="s">
        <v>31</v>
      </c>
      <c r="E5892" t="s">
        <v>34</v>
      </c>
      <c r="F5892" t="s">
        <v>18</v>
      </c>
      <c r="G5892" t="s">
        <v>43</v>
      </c>
      <c r="H5892" t="s">
        <v>25</v>
      </c>
      <c r="I5892" s="1">
        <v>1</v>
      </c>
      <c r="J5892" s="2">
        <v>45740</v>
      </c>
      <c r="L5892" s="1" t="str">
        <f t="shared" si="677"/>
        <v>seg</v>
      </c>
      <c r="M5892" s="1" t="str">
        <f t="shared" si="676"/>
        <v>mar</v>
      </c>
      <c r="N5892">
        <f t="shared" si="678"/>
        <v>2025</v>
      </c>
      <c r="P5892" t="str">
        <f t="shared" si="679"/>
        <v>217845740</v>
      </c>
    </row>
    <row r="5893" spans="1:16" x14ac:dyDescent="0.3">
      <c r="A5893">
        <v>2178</v>
      </c>
      <c r="B5893">
        <v>46</v>
      </c>
      <c r="C5893" t="s">
        <v>26</v>
      </c>
      <c r="D5893" t="s">
        <v>31</v>
      </c>
      <c r="E5893" t="s">
        <v>34</v>
      </c>
      <c r="F5893" t="s">
        <v>18</v>
      </c>
      <c r="G5893" t="s">
        <v>43</v>
      </c>
      <c r="H5893" t="s">
        <v>25</v>
      </c>
      <c r="I5893" s="1">
        <v>1</v>
      </c>
      <c r="J5893" s="2">
        <v>45741</v>
      </c>
      <c r="L5893" s="1" t="str">
        <f t="shared" si="677"/>
        <v>ter</v>
      </c>
      <c r="M5893" s="1" t="str">
        <f t="shared" si="676"/>
        <v>mar</v>
      </c>
      <c r="N5893">
        <f t="shared" si="678"/>
        <v>2025</v>
      </c>
      <c r="P5893" t="str">
        <f t="shared" si="679"/>
        <v>217845741</v>
      </c>
    </row>
    <row r="5894" spans="1:16" x14ac:dyDescent="0.3">
      <c r="A5894">
        <v>2178</v>
      </c>
      <c r="B5894">
        <v>46</v>
      </c>
      <c r="C5894" t="s">
        <v>26</v>
      </c>
      <c r="D5894" t="s">
        <v>31</v>
      </c>
      <c r="E5894" t="s">
        <v>34</v>
      </c>
      <c r="F5894" t="s">
        <v>18</v>
      </c>
      <c r="G5894" t="s">
        <v>43</v>
      </c>
      <c r="H5894" t="s">
        <v>25</v>
      </c>
      <c r="I5894" s="1">
        <v>1</v>
      </c>
      <c r="J5894" s="2">
        <v>45742</v>
      </c>
      <c r="L5894" s="1" t="str">
        <f t="shared" si="677"/>
        <v>qua</v>
      </c>
      <c r="M5894" s="1" t="str">
        <f t="shared" si="676"/>
        <v>mar</v>
      </c>
      <c r="N5894">
        <f t="shared" si="678"/>
        <v>2025</v>
      </c>
      <c r="P5894" t="str">
        <f t="shared" si="679"/>
        <v>217845742</v>
      </c>
    </row>
    <row r="5895" spans="1:16" x14ac:dyDescent="0.3">
      <c r="A5895">
        <v>2178</v>
      </c>
      <c r="B5895">
        <v>46</v>
      </c>
      <c r="C5895" t="s">
        <v>26</v>
      </c>
      <c r="D5895" t="s">
        <v>31</v>
      </c>
      <c r="E5895" t="s">
        <v>34</v>
      </c>
      <c r="F5895" t="s">
        <v>18</v>
      </c>
      <c r="G5895" t="s">
        <v>43</v>
      </c>
      <c r="H5895" t="s">
        <v>25</v>
      </c>
      <c r="I5895" s="1">
        <v>1</v>
      </c>
      <c r="J5895" s="2">
        <v>45743</v>
      </c>
      <c r="L5895" s="1" t="str">
        <f t="shared" si="677"/>
        <v>qui</v>
      </c>
      <c r="M5895" s="1" t="str">
        <f t="shared" si="676"/>
        <v>mar</v>
      </c>
      <c r="N5895">
        <f t="shared" si="678"/>
        <v>2025</v>
      </c>
      <c r="P5895" t="str">
        <f t="shared" si="679"/>
        <v>217845743</v>
      </c>
    </row>
    <row r="5896" spans="1:16" x14ac:dyDescent="0.3">
      <c r="A5896">
        <v>2178</v>
      </c>
      <c r="B5896">
        <v>46</v>
      </c>
      <c r="C5896" t="s">
        <v>26</v>
      </c>
      <c r="D5896" t="s">
        <v>31</v>
      </c>
      <c r="E5896" t="s">
        <v>34</v>
      </c>
      <c r="F5896" t="s">
        <v>18</v>
      </c>
      <c r="G5896" t="s">
        <v>43</v>
      </c>
      <c r="H5896" t="s">
        <v>25</v>
      </c>
      <c r="I5896" s="1">
        <v>1</v>
      </c>
      <c r="J5896" s="2">
        <v>45744</v>
      </c>
      <c r="L5896" s="1" t="str">
        <f t="shared" si="677"/>
        <v>sex</v>
      </c>
      <c r="M5896" s="1" t="str">
        <f t="shared" si="676"/>
        <v>mar</v>
      </c>
      <c r="N5896">
        <f t="shared" si="678"/>
        <v>2025</v>
      </c>
      <c r="P5896" t="str">
        <f t="shared" si="679"/>
        <v>217845744</v>
      </c>
    </row>
    <row r="5897" spans="1:16" x14ac:dyDescent="0.3">
      <c r="A5897">
        <v>2178</v>
      </c>
      <c r="B5897">
        <v>46</v>
      </c>
      <c r="C5897" t="s">
        <v>26</v>
      </c>
      <c r="D5897" t="s">
        <v>31</v>
      </c>
      <c r="E5897" t="s">
        <v>34</v>
      </c>
      <c r="F5897" t="s">
        <v>18</v>
      </c>
      <c r="G5897" t="s">
        <v>43</v>
      </c>
      <c r="H5897" t="s">
        <v>25</v>
      </c>
      <c r="I5897" s="1">
        <v>1</v>
      </c>
      <c r="J5897" s="2">
        <v>45745</v>
      </c>
      <c r="L5897" s="1" t="str">
        <f t="shared" si="677"/>
        <v>sáb</v>
      </c>
      <c r="M5897" s="1" t="str">
        <f t="shared" si="676"/>
        <v>mar</v>
      </c>
      <c r="N5897">
        <f t="shared" si="678"/>
        <v>2025</v>
      </c>
      <c r="P5897" t="str">
        <f t="shared" si="679"/>
        <v>217845745</v>
      </c>
    </row>
    <row r="5898" spans="1:16" x14ac:dyDescent="0.3">
      <c r="A5898">
        <v>2178</v>
      </c>
      <c r="B5898">
        <v>46</v>
      </c>
      <c r="C5898" t="s">
        <v>26</v>
      </c>
      <c r="D5898" t="s">
        <v>31</v>
      </c>
      <c r="E5898" t="s">
        <v>34</v>
      </c>
      <c r="F5898" t="s">
        <v>18</v>
      </c>
      <c r="G5898" t="s">
        <v>43</v>
      </c>
      <c r="H5898" t="s">
        <v>25</v>
      </c>
      <c r="I5898" s="1">
        <v>1</v>
      </c>
      <c r="J5898" s="2">
        <v>45746</v>
      </c>
      <c r="L5898" s="1" t="str">
        <f t="shared" si="677"/>
        <v>dom</v>
      </c>
      <c r="M5898" s="1" t="str">
        <f t="shared" si="676"/>
        <v>mar</v>
      </c>
      <c r="N5898">
        <f t="shared" si="678"/>
        <v>2025</v>
      </c>
      <c r="P5898" t="str">
        <f t="shared" si="679"/>
        <v>217845746</v>
      </c>
    </row>
    <row r="5899" spans="1:16" x14ac:dyDescent="0.3">
      <c r="A5899">
        <v>2178</v>
      </c>
      <c r="B5899">
        <v>46</v>
      </c>
      <c r="C5899" t="s">
        <v>26</v>
      </c>
      <c r="D5899" t="s">
        <v>31</v>
      </c>
      <c r="E5899" t="s">
        <v>34</v>
      </c>
      <c r="F5899" t="s">
        <v>18</v>
      </c>
      <c r="G5899" t="s">
        <v>43</v>
      </c>
      <c r="H5899" t="s">
        <v>25</v>
      </c>
      <c r="I5899" s="1">
        <v>1</v>
      </c>
      <c r="J5899" s="2">
        <v>45747</v>
      </c>
      <c r="L5899" s="1" t="str">
        <f t="shared" si="677"/>
        <v>seg</v>
      </c>
      <c r="M5899" s="1" t="str">
        <f t="shared" si="676"/>
        <v>mar</v>
      </c>
      <c r="N5899">
        <f t="shared" si="678"/>
        <v>2025</v>
      </c>
      <c r="P5899" t="str">
        <f t="shared" si="679"/>
        <v>217845747</v>
      </c>
    </row>
    <row r="5900" spans="1:16" x14ac:dyDescent="0.3">
      <c r="A5900">
        <v>2178</v>
      </c>
      <c r="B5900">
        <v>46</v>
      </c>
      <c r="C5900" t="s">
        <v>26</v>
      </c>
      <c r="D5900" t="s">
        <v>31</v>
      </c>
      <c r="E5900" t="s">
        <v>34</v>
      </c>
      <c r="F5900" t="s">
        <v>18</v>
      </c>
      <c r="G5900" t="s">
        <v>43</v>
      </c>
      <c r="H5900" t="s">
        <v>25</v>
      </c>
      <c r="I5900" s="1">
        <v>1</v>
      </c>
      <c r="J5900" s="2">
        <v>45748</v>
      </c>
      <c r="L5900" s="1" t="str">
        <f t="shared" si="677"/>
        <v>ter</v>
      </c>
      <c r="M5900" s="1" t="str">
        <f t="shared" si="676"/>
        <v>abr</v>
      </c>
      <c r="N5900">
        <f t="shared" si="678"/>
        <v>2025</v>
      </c>
      <c r="P5900" t="str">
        <f t="shared" si="679"/>
        <v>217845748</v>
      </c>
    </row>
    <row r="5901" spans="1:16" x14ac:dyDescent="0.3">
      <c r="A5901">
        <v>2178</v>
      </c>
      <c r="B5901">
        <v>46</v>
      </c>
      <c r="C5901" t="s">
        <v>26</v>
      </c>
      <c r="D5901" t="s">
        <v>31</v>
      </c>
      <c r="E5901" t="s">
        <v>34</v>
      </c>
      <c r="F5901" t="s">
        <v>18</v>
      </c>
      <c r="G5901" t="s">
        <v>43</v>
      </c>
      <c r="H5901" t="s">
        <v>25</v>
      </c>
      <c r="I5901" s="1">
        <v>1</v>
      </c>
      <c r="J5901" s="2">
        <v>45749</v>
      </c>
      <c r="L5901" s="1" t="str">
        <f t="shared" si="677"/>
        <v>qua</v>
      </c>
      <c r="M5901" s="1" t="str">
        <f t="shared" si="676"/>
        <v>abr</v>
      </c>
      <c r="N5901">
        <f t="shared" si="678"/>
        <v>2025</v>
      </c>
      <c r="P5901" t="str">
        <f t="shared" si="679"/>
        <v>217845749</v>
      </c>
    </row>
    <row r="5902" spans="1:16" x14ac:dyDescent="0.3">
      <c r="A5902">
        <v>2178</v>
      </c>
      <c r="B5902">
        <v>46</v>
      </c>
      <c r="C5902" t="s">
        <v>26</v>
      </c>
      <c r="D5902" t="s">
        <v>31</v>
      </c>
      <c r="E5902" t="s">
        <v>34</v>
      </c>
      <c r="F5902" t="s">
        <v>18</v>
      </c>
      <c r="G5902" t="s">
        <v>43</v>
      </c>
      <c r="H5902" t="s">
        <v>25</v>
      </c>
      <c r="I5902" s="1">
        <v>1</v>
      </c>
      <c r="J5902" s="2">
        <v>45750</v>
      </c>
      <c r="L5902" s="1" t="str">
        <f t="shared" si="677"/>
        <v>qui</v>
      </c>
      <c r="M5902" s="1" t="str">
        <f t="shared" si="676"/>
        <v>abr</v>
      </c>
      <c r="N5902">
        <f t="shared" si="678"/>
        <v>2025</v>
      </c>
      <c r="P5902" t="str">
        <f t="shared" si="679"/>
        <v>217845750</v>
      </c>
    </row>
    <row r="5903" spans="1:16" x14ac:dyDescent="0.3">
      <c r="A5903">
        <v>2178</v>
      </c>
      <c r="B5903">
        <v>46</v>
      </c>
      <c r="C5903" t="s">
        <v>26</v>
      </c>
      <c r="D5903" t="s">
        <v>31</v>
      </c>
      <c r="E5903" t="s">
        <v>34</v>
      </c>
      <c r="F5903" t="s">
        <v>18</v>
      </c>
      <c r="G5903" t="s">
        <v>43</v>
      </c>
      <c r="H5903" t="s">
        <v>25</v>
      </c>
      <c r="I5903" s="1">
        <v>1</v>
      </c>
      <c r="J5903" s="2">
        <v>45751</v>
      </c>
      <c r="L5903" s="1" t="str">
        <f t="shared" si="677"/>
        <v>sex</v>
      </c>
      <c r="M5903" s="1" t="str">
        <f t="shared" si="676"/>
        <v>abr</v>
      </c>
      <c r="N5903">
        <f t="shared" si="678"/>
        <v>2025</v>
      </c>
      <c r="P5903" t="str">
        <f t="shared" si="679"/>
        <v>217845751</v>
      </c>
    </row>
    <row r="5904" spans="1:16" x14ac:dyDescent="0.3">
      <c r="A5904">
        <v>2178</v>
      </c>
      <c r="B5904">
        <v>46</v>
      </c>
      <c r="C5904" t="s">
        <v>26</v>
      </c>
      <c r="D5904" t="s">
        <v>31</v>
      </c>
      <c r="E5904" t="s">
        <v>34</v>
      </c>
      <c r="F5904" t="s">
        <v>18</v>
      </c>
      <c r="G5904" t="s">
        <v>43</v>
      </c>
      <c r="H5904" t="s">
        <v>25</v>
      </c>
      <c r="I5904" s="1">
        <v>1</v>
      </c>
      <c r="J5904" s="2">
        <v>45752</v>
      </c>
      <c r="L5904" s="1" t="str">
        <f t="shared" si="677"/>
        <v>sáb</v>
      </c>
      <c r="M5904" s="1" t="str">
        <f t="shared" si="676"/>
        <v>abr</v>
      </c>
      <c r="N5904">
        <f t="shared" si="678"/>
        <v>2025</v>
      </c>
      <c r="P5904" t="str">
        <f t="shared" si="679"/>
        <v>217845752</v>
      </c>
    </row>
    <row r="5905" spans="1:16" x14ac:dyDescent="0.3">
      <c r="A5905">
        <v>2178</v>
      </c>
      <c r="B5905">
        <v>46</v>
      </c>
      <c r="C5905" t="s">
        <v>26</v>
      </c>
      <c r="D5905" t="s">
        <v>31</v>
      </c>
      <c r="E5905" t="s">
        <v>34</v>
      </c>
      <c r="F5905" t="s">
        <v>18</v>
      </c>
      <c r="G5905" t="s">
        <v>43</v>
      </c>
      <c r="H5905" t="s">
        <v>25</v>
      </c>
      <c r="I5905" s="1">
        <v>1</v>
      </c>
      <c r="J5905" s="2">
        <v>45753</v>
      </c>
      <c r="L5905" s="1" t="str">
        <f t="shared" si="677"/>
        <v>dom</v>
      </c>
      <c r="M5905" s="1" t="str">
        <f t="shared" si="676"/>
        <v>abr</v>
      </c>
      <c r="N5905">
        <f t="shared" si="678"/>
        <v>2025</v>
      </c>
      <c r="P5905" t="str">
        <f t="shared" si="679"/>
        <v>217845753</v>
      </c>
    </row>
    <row r="5906" spans="1:16" x14ac:dyDescent="0.3">
      <c r="A5906">
        <v>2178</v>
      </c>
      <c r="B5906">
        <v>46</v>
      </c>
      <c r="C5906" t="s">
        <v>26</v>
      </c>
      <c r="D5906" t="s">
        <v>31</v>
      </c>
      <c r="E5906" t="s">
        <v>34</v>
      </c>
      <c r="F5906" t="s">
        <v>18</v>
      </c>
      <c r="G5906" t="s">
        <v>43</v>
      </c>
      <c r="H5906" t="s">
        <v>25</v>
      </c>
      <c r="I5906" s="1">
        <v>1</v>
      </c>
      <c r="J5906" s="2">
        <v>45754</v>
      </c>
      <c r="L5906" s="1" t="str">
        <f t="shared" si="677"/>
        <v>seg</v>
      </c>
      <c r="M5906" s="1" t="str">
        <f t="shared" si="676"/>
        <v>abr</v>
      </c>
      <c r="N5906">
        <f t="shared" si="678"/>
        <v>2025</v>
      </c>
      <c r="P5906" t="str">
        <f t="shared" si="679"/>
        <v>217845754</v>
      </c>
    </row>
    <row r="5907" spans="1:16" x14ac:dyDescent="0.3">
      <c r="A5907">
        <v>2178</v>
      </c>
      <c r="B5907">
        <v>46</v>
      </c>
      <c r="C5907" t="s">
        <v>26</v>
      </c>
      <c r="D5907" t="s">
        <v>31</v>
      </c>
      <c r="E5907" t="s">
        <v>34</v>
      </c>
      <c r="F5907" t="s">
        <v>18</v>
      </c>
      <c r="G5907" t="s">
        <v>43</v>
      </c>
      <c r="H5907" t="s">
        <v>25</v>
      </c>
      <c r="I5907" s="1">
        <v>1</v>
      </c>
      <c r="J5907" s="2">
        <v>45755</v>
      </c>
      <c r="L5907" s="1" t="str">
        <f t="shared" si="677"/>
        <v>ter</v>
      </c>
      <c r="M5907" s="1" t="str">
        <f t="shared" si="676"/>
        <v>abr</v>
      </c>
      <c r="N5907">
        <f t="shared" si="678"/>
        <v>2025</v>
      </c>
      <c r="P5907" t="str">
        <f t="shared" si="679"/>
        <v>217845755</v>
      </c>
    </row>
    <row r="5908" spans="1:16" x14ac:dyDescent="0.3">
      <c r="A5908">
        <v>2178</v>
      </c>
      <c r="B5908">
        <v>46</v>
      </c>
      <c r="C5908" t="s">
        <v>26</v>
      </c>
      <c r="D5908" t="s">
        <v>31</v>
      </c>
      <c r="E5908" t="s">
        <v>34</v>
      </c>
      <c r="F5908" t="s">
        <v>18</v>
      </c>
      <c r="G5908" t="s">
        <v>43</v>
      </c>
      <c r="H5908" t="s">
        <v>25</v>
      </c>
      <c r="I5908" s="1">
        <v>1</v>
      </c>
      <c r="J5908" s="2">
        <v>45756</v>
      </c>
      <c r="L5908" s="1" t="str">
        <f t="shared" si="677"/>
        <v>qua</v>
      </c>
      <c r="M5908" s="1" t="str">
        <f t="shared" si="676"/>
        <v>abr</v>
      </c>
      <c r="N5908">
        <f t="shared" si="678"/>
        <v>2025</v>
      </c>
      <c r="P5908" t="str">
        <f t="shared" si="679"/>
        <v>217845756</v>
      </c>
    </row>
    <row r="5909" spans="1:16" x14ac:dyDescent="0.3">
      <c r="A5909">
        <v>2178</v>
      </c>
      <c r="B5909">
        <v>46</v>
      </c>
      <c r="C5909" t="s">
        <v>26</v>
      </c>
      <c r="D5909" t="s">
        <v>31</v>
      </c>
      <c r="E5909" t="s">
        <v>34</v>
      </c>
      <c r="F5909" t="s">
        <v>18</v>
      </c>
      <c r="G5909" t="s">
        <v>43</v>
      </c>
      <c r="H5909" t="s">
        <v>25</v>
      </c>
      <c r="I5909" s="1">
        <v>1</v>
      </c>
      <c r="J5909" s="2">
        <v>45757</v>
      </c>
      <c r="L5909" s="1" t="str">
        <f t="shared" si="677"/>
        <v>qui</v>
      </c>
      <c r="M5909" s="1" t="str">
        <f t="shared" si="676"/>
        <v>abr</v>
      </c>
      <c r="N5909">
        <f t="shared" si="678"/>
        <v>2025</v>
      </c>
      <c r="P5909" t="str">
        <f t="shared" si="679"/>
        <v>217845757</v>
      </c>
    </row>
    <row r="5910" spans="1:16" x14ac:dyDescent="0.3">
      <c r="A5910">
        <v>2178</v>
      </c>
      <c r="B5910">
        <v>46</v>
      </c>
      <c r="C5910" t="s">
        <v>26</v>
      </c>
      <c r="D5910" t="s">
        <v>31</v>
      </c>
      <c r="E5910" t="s">
        <v>34</v>
      </c>
      <c r="F5910" t="s">
        <v>18</v>
      </c>
      <c r="G5910" t="s">
        <v>43</v>
      </c>
      <c r="H5910" t="s">
        <v>25</v>
      </c>
      <c r="I5910" s="1">
        <v>1</v>
      </c>
      <c r="J5910" s="2">
        <v>45758</v>
      </c>
      <c r="L5910" s="1" t="str">
        <f t="shared" si="677"/>
        <v>sex</v>
      </c>
      <c r="M5910" s="1" t="str">
        <f t="shared" si="676"/>
        <v>abr</v>
      </c>
      <c r="N5910">
        <f t="shared" si="678"/>
        <v>2025</v>
      </c>
      <c r="P5910" t="str">
        <f t="shared" si="679"/>
        <v>217845758</v>
      </c>
    </row>
    <row r="5911" spans="1:16" x14ac:dyDescent="0.3">
      <c r="A5911">
        <v>2178</v>
      </c>
      <c r="B5911">
        <v>46</v>
      </c>
      <c r="C5911" t="s">
        <v>26</v>
      </c>
      <c r="D5911" t="s">
        <v>31</v>
      </c>
      <c r="E5911" t="s">
        <v>34</v>
      </c>
      <c r="F5911" t="s">
        <v>18</v>
      </c>
      <c r="G5911" t="s">
        <v>43</v>
      </c>
      <c r="H5911" t="s">
        <v>25</v>
      </c>
      <c r="I5911" s="1">
        <v>1</v>
      </c>
      <c r="J5911" s="2">
        <v>45759</v>
      </c>
      <c r="L5911" s="1" t="str">
        <f t="shared" si="677"/>
        <v>sáb</v>
      </c>
      <c r="M5911" s="1" t="str">
        <f t="shared" si="676"/>
        <v>abr</v>
      </c>
      <c r="N5911">
        <f t="shared" si="678"/>
        <v>2025</v>
      </c>
      <c r="P5911" t="str">
        <f t="shared" si="679"/>
        <v>217845759</v>
      </c>
    </row>
    <row r="5912" spans="1:16" x14ac:dyDescent="0.3">
      <c r="A5912">
        <v>2178</v>
      </c>
      <c r="B5912">
        <v>46</v>
      </c>
      <c r="C5912" t="s">
        <v>26</v>
      </c>
      <c r="D5912" t="s">
        <v>31</v>
      </c>
      <c r="E5912" t="s">
        <v>34</v>
      </c>
      <c r="F5912" t="s">
        <v>18</v>
      </c>
      <c r="G5912" t="s">
        <v>43</v>
      </c>
      <c r="H5912" t="s">
        <v>25</v>
      </c>
      <c r="I5912" s="1">
        <v>1</v>
      </c>
      <c r="J5912" s="2">
        <v>45760</v>
      </c>
      <c r="L5912" s="1" t="str">
        <f t="shared" si="677"/>
        <v>dom</v>
      </c>
      <c r="M5912" s="1" t="str">
        <f t="shared" si="676"/>
        <v>abr</v>
      </c>
      <c r="N5912">
        <f t="shared" si="678"/>
        <v>2025</v>
      </c>
      <c r="P5912" t="str">
        <f t="shared" si="679"/>
        <v>217845760</v>
      </c>
    </row>
    <row r="5913" spans="1:16" x14ac:dyDescent="0.3">
      <c r="A5913">
        <v>2178</v>
      </c>
      <c r="B5913">
        <v>46</v>
      </c>
      <c r="C5913" t="s">
        <v>26</v>
      </c>
      <c r="D5913" t="s">
        <v>31</v>
      </c>
      <c r="E5913" t="s">
        <v>34</v>
      </c>
      <c r="F5913" t="s">
        <v>18</v>
      </c>
      <c r="G5913" t="s">
        <v>43</v>
      </c>
      <c r="H5913" t="s">
        <v>25</v>
      </c>
      <c r="I5913" s="1">
        <v>1</v>
      </c>
      <c r="J5913" s="2">
        <v>45761</v>
      </c>
      <c r="L5913" s="1" t="str">
        <f t="shared" si="677"/>
        <v>seg</v>
      </c>
      <c r="M5913" s="1" t="str">
        <f t="shared" si="676"/>
        <v>abr</v>
      </c>
      <c r="N5913">
        <f t="shared" si="678"/>
        <v>2025</v>
      </c>
      <c r="P5913" t="str">
        <f t="shared" si="679"/>
        <v>217845761</v>
      </c>
    </row>
    <row r="5914" spans="1:16" x14ac:dyDescent="0.3">
      <c r="A5914">
        <v>2178</v>
      </c>
      <c r="B5914">
        <v>46</v>
      </c>
      <c r="C5914" t="s">
        <v>26</v>
      </c>
      <c r="D5914" t="s">
        <v>31</v>
      </c>
      <c r="E5914" t="s">
        <v>34</v>
      </c>
      <c r="F5914" t="s">
        <v>18</v>
      </c>
      <c r="G5914" t="s">
        <v>43</v>
      </c>
      <c r="H5914" t="s">
        <v>25</v>
      </c>
      <c r="I5914" s="1">
        <v>1</v>
      </c>
      <c r="J5914" s="2">
        <v>45762</v>
      </c>
      <c r="L5914" s="1" t="str">
        <f t="shared" si="677"/>
        <v>ter</v>
      </c>
      <c r="M5914" s="1" t="str">
        <f t="shared" si="676"/>
        <v>abr</v>
      </c>
      <c r="N5914">
        <f t="shared" si="678"/>
        <v>2025</v>
      </c>
      <c r="P5914" t="str">
        <f t="shared" si="679"/>
        <v>217845762</v>
      </c>
    </row>
    <row r="5915" spans="1:16" x14ac:dyDescent="0.3">
      <c r="A5915">
        <v>2178</v>
      </c>
      <c r="B5915">
        <v>46</v>
      </c>
      <c r="C5915" t="s">
        <v>26</v>
      </c>
      <c r="D5915" t="s">
        <v>31</v>
      </c>
      <c r="E5915" t="s">
        <v>34</v>
      </c>
      <c r="F5915" t="s">
        <v>18</v>
      </c>
      <c r="G5915" t="s">
        <v>43</v>
      </c>
      <c r="H5915" t="s">
        <v>25</v>
      </c>
      <c r="I5915" s="1">
        <v>1</v>
      </c>
      <c r="J5915" s="2">
        <v>45763</v>
      </c>
      <c r="L5915" s="1" t="str">
        <f t="shared" si="677"/>
        <v>qua</v>
      </c>
      <c r="M5915" s="1" t="str">
        <f t="shared" si="676"/>
        <v>abr</v>
      </c>
      <c r="N5915">
        <f t="shared" si="678"/>
        <v>2025</v>
      </c>
      <c r="P5915" t="str">
        <f t="shared" si="679"/>
        <v>217845763</v>
      </c>
    </row>
    <row r="5916" spans="1:16" x14ac:dyDescent="0.3">
      <c r="A5916">
        <v>2178</v>
      </c>
      <c r="B5916">
        <v>46</v>
      </c>
      <c r="C5916" t="s">
        <v>26</v>
      </c>
      <c r="D5916" t="s">
        <v>31</v>
      </c>
      <c r="E5916" t="s">
        <v>34</v>
      </c>
      <c r="F5916" t="s">
        <v>18</v>
      </c>
      <c r="G5916" t="s">
        <v>43</v>
      </c>
      <c r="H5916" t="s">
        <v>25</v>
      </c>
      <c r="I5916" s="1">
        <v>1</v>
      </c>
      <c r="J5916" s="2">
        <v>45764</v>
      </c>
      <c r="L5916" s="1" t="str">
        <f t="shared" si="677"/>
        <v>qui</v>
      </c>
      <c r="M5916" s="1" t="str">
        <f t="shared" si="676"/>
        <v>abr</v>
      </c>
      <c r="N5916">
        <f t="shared" si="678"/>
        <v>2025</v>
      </c>
      <c r="P5916" t="str">
        <f t="shared" si="679"/>
        <v>217845764</v>
      </c>
    </row>
    <row r="5917" spans="1:16" x14ac:dyDescent="0.3">
      <c r="A5917">
        <v>2178</v>
      </c>
      <c r="B5917">
        <v>46</v>
      </c>
      <c r="C5917" t="s">
        <v>26</v>
      </c>
      <c r="D5917" t="s">
        <v>31</v>
      </c>
      <c r="E5917" t="s">
        <v>34</v>
      </c>
      <c r="F5917" t="s">
        <v>18</v>
      </c>
      <c r="G5917" t="s">
        <v>43</v>
      </c>
      <c r="H5917" t="s">
        <v>25</v>
      </c>
      <c r="I5917" s="1">
        <v>1</v>
      </c>
      <c r="J5917" s="2">
        <v>45765</v>
      </c>
      <c r="L5917" s="1" t="str">
        <f t="shared" si="677"/>
        <v>sex</v>
      </c>
      <c r="M5917" s="1" t="str">
        <f t="shared" si="676"/>
        <v>abr</v>
      </c>
      <c r="N5917">
        <f t="shared" si="678"/>
        <v>2025</v>
      </c>
      <c r="P5917" t="str">
        <f t="shared" si="679"/>
        <v>217845765</v>
      </c>
    </row>
    <row r="5918" spans="1:16" x14ac:dyDescent="0.3">
      <c r="A5918">
        <v>2178</v>
      </c>
      <c r="B5918">
        <v>46</v>
      </c>
      <c r="C5918" t="s">
        <v>26</v>
      </c>
      <c r="D5918" t="s">
        <v>31</v>
      </c>
      <c r="E5918" t="s">
        <v>34</v>
      </c>
      <c r="F5918" t="s">
        <v>18</v>
      </c>
      <c r="G5918" t="s">
        <v>43</v>
      </c>
      <c r="H5918" t="s">
        <v>25</v>
      </c>
      <c r="I5918" s="1">
        <v>1</v>
      </c>
      <c r="J5918" s="2">
        <v>45766</v>
      </c>
      <c r="L5918" s="1" t="str">
        <f t="shared" si="677"/>
        <v>sáb</v>
      </c>
      <c r="M5918" s="1" t="str">
        <f t="shared" si="676"/>
        <v>abr</v>
      </c>
      <c r="N5918">
        <f t="shared" si="678"/>
        <v>2025</v>
      </c>
      <c r="P5918" t="str">
        <f t="shared" si="679"/>
        <v>217845766</v>
      </c>
    </row>
    <row r="5919" spans="1:16" x14ac:dyDescent="0.3">
      <c r="A5919">
        <v>2178</v>
      </c>
      <c r="B5919">
        <v>46</v>
      </c>
      <c r="C5919" t="s">
        <v>26</v>
      </c>
      <c r="D5919" t="s">
        <v>31</v>
      </c>
      <c r="E5919" t="s">
        <v>34</v>
      </c>
      <c r="F5919" t="s">
        <v>18</v>
      </c>
      <c r="G5919" t="s">
        <v>43</v>
      </c>
      <c r="H5919" t="s">
        <v>25</v>
      </c>
      <c r="I5919" s="1">
        <v>1</v>
      </c>
      <c r="J5919" s="2">
        <v>45767</v>
      </c>
      <c r="L5919" s="1" t="str">
        <f t="shared" si="677"/>
        <v>dom</v>
      </c>
      <c r="M5919" s="1" t="str">
        <f t="shared" si="676"/>
        <v>abr</v>
      </c>
      <c r="N5919">
        <f t="shared" si="678"/>
        <v>2025</v>
      </c>
      <c r="P5919" t="str">
        <f t="shared" si="679"/>
        <v>217845767</v>
      </c>
    </row>
    <row r="5920" spans="1:16" x14ac:dyDescent="0.3">
      <c r="A5920">
        <v>2178</v>
      </c>
      <c r="B5920">
        <v>46</v>
      </c>
      <c r="C5920" t="s">
        <v>26</v>
      </c>
      <c r="D5920" t="s">
        <v>31</v>
      </c>
      <c r="E5920" t="s">
        <v>34</v>
      </c>
      <c r="F5920" t="s">
        <v>18</v>
      </c>
      <c r="G5920" t="s">
        <v>43</v>
      </c>
      <c r="H5920" t="s">
        <v>25</v>
      </c>
      <c r="I5920" s="1">
        <v>1</v>
      </c>
      <c r="J5920" s="2">
        <v>45768</v>
      </c>
      <c r="L5920" s="1" t="str">
        <f t="shared" si="677"/>
        <v>seg</v>
      </c>
      <c r="M5920" s="1" t="str">
        <f t="shared" si="676"/>
        <v>abr</v>
      </c>
      <c r="N5920">
        <f t="shared" si="678"/>
        <v>2025</v>
      </c>
      <c r="P5920" t="str">
        <f t="shared" si="679"/>
        <v>217845768</v>
      </c>
    </row>
    <row r="5921" spans="1:16" x14ac:dyDescent="0.3">
      <c r="A5921">
        <v>2178</v>
      </c>
      <c r="B5921">
        <v>46</v>
      </c>
      <c r="C5921" t="s">
        <v>26</v>
      </c>
      <c r="D5921" t="s">
        <v>31</v>
      </c>
      <c r="E5921" t="s">
        <v>34</v>
      </c>
      <c r="F5921" t="s">
        <v>18</v>
      </c>
      <c r="G5921" t="s">
        <v>43</v>
      </c>
      <c r="H5921" t="s">
        <v>25</v>
      </c>
      <c r="I5921" s="1">
        <v>1</v>
      </c>
      <c r="J5921" s="2">
        <v>45769</v>
      </c>
      <c r="L5921" s="1" t="str">
        <f t="shared" si="677"/>
        <v>ter</v>
      </c>
      <c r="M5921" s="1" t="str">
        <f t="shared" si="676"/>
        <v>abr</v>
      </c>
      <c r="N5921">
        <f t="shared" si="678"/>
        <v>2025</v>
      </c>
      <c r="P5921" t="str">
        <f t="shared" si="679"/>
        <v>217845769</v>
      </c>
    </row>
    <row r="5922" spans="1:16" x14ac:dyDescent="0.3">
      <c r="A5922">
        <v>2178</v>
      </c>
      <c r="B5922">
        <v>46</v>
      </c>
      <c r="C5922" t="s">
        <v>26</v>
      </c>
      <c r="D5922" t="s">
        <v>31</v>
      </c>
      <c r="E5922" t="s">
        <v>34</v>
      </c>
      <c r="F5922" t="s">
        <v>18</v>
      </c>
      <c r="G5922" t="s">
        <v>43</v>
      </c>
      <c r="H5922" t="s">
        <v>25</v>
      </c>
      <c r="I5922" s="1">
        <v>1</v>
      </c>
      <c r="J5922" s="2">
        <v>45770</v>
      </c>
      <c r="L5922" s="1" t="str">
        <f t="shared" si="677"/>
        <v>qua</v>
      </c>
      <c r="M5922" s="1" t="str">
        <f t="shared" si="676"/>
        <v>abr</v>
      </c>
      <c r="N5922">
        <f t="shared" si="678"/>
        <v>2025</v>
      </c>
      <c r="P5922" t="str">
        <f t="shared" si="679"/>
        <v>217845770</v>
      </c>
    </row>
    <row r="5923" spans="1:16" x14ac:dyDescent="0.3">
      <c r="A5923">
        <v>2178</v>
      </c>
      <c r="B5923">
        <v>46</v>
      </c>
      <c r="C5923" t="s">
        <v>26</v>
      </c>
      <c r="D5923" t="s">
        <v>31</v>
      </c>
      <c r="E5923" t="s">
        <v>34</v>
      </c>
      <c r="F5923" t="s">
        <v>18</v>
      </c>
      <c r="G5923" t="s">
        <v>43</v>
      </c>
      <c r="H5923" t="s">
        <v>25</v>
      </c>
      <c r="I5923" s="1">
        <v>1</v>
      </c>
      <c r="J5923" s="2">
        <v>45771</v>
      </c>
      <c r="L5923" s="1" t="str">
        <f t="shared" si="677"/>
        <v>qui</v>
      </c>
      <c r="M5923" s="1" t="str">
        <f t="shared" si="676"/>
        <v>abr</v>
      </c>
      <c r="N5923">
        <f t="shared" si="678"/>
        <v>2025</v>
      </c>
      <c r="P5923" t="str">
        <f t="shared" si="679"/>
        <v>217845771</v>
      </c>
    </row>
    <row r="5924" spans="1:16" x14ac:dyDescent="0.3">
      <c r="A5924">
        <v>2178</v>
      </c>
      <c r="B5924">
        <v>46</v>
      </c>
      <c r="C5924" t="s">
        <v>26</v>
      </c>
      <c r="D5924" t="s">
        <v>31</v>
      </c>
      <c r="E5924" t="s">
        <v>34</v>
      </c>
      <c r="F5924" t="s">
        <v>18</v>
      </c>
      <c r="G5924" t="s">
        <v>43</v>
      </c>
      <c r="H5924" t="s">
        <v>25</v>
      </c>
      <c r="I5924" s="1">
        <v>1</v>
      </c>
      <c r="J5924" s="2">
        <v>45772</v>
      </c>
      <c r="L5924" s="1" t="str">
        <f t="shared" si="677"/>
        <v>sex</v>
      </c>
      <c r="M5924" s="1" t="str">
        <f t="shared" si="676"/>
        <v>abr</v>
      </c>
      <c r="N5924">
        <f t="shared" si="678"/>
        <v>2025</v>
      </c>
      <c r="P5924" t="str">
        <f t="shared" si="679"/>
        <v>217845772</v>
      </c>
    </row>
    <row r="5925" spans="1:16" x14ac:dyDescent="0.3">
      <c r="A5925">
        <v>2178</v>
      </c>
      <c r="B5925">
        <v>46</v>
      </c>
      <c r="C5925" t="s">
        <v>26</v>
      </c>
      <c r="D5925" t="s">
        <v>31</v>
      </c>
      <c r="E5925" t="s">
        <v>34</v>
      </c>
      <c r="F5925" t="s">
        <v>18</v>
      </c>
      <c r="G5925" t="s">
        <v>43</v>
      </c>
      <c r="H5925" t="s">
        <v>25</v>
      </c>
      <c r="I5925" s="1">
        <v>1</v>
      </c>
      <c r="J5925" s="2">
        <v>45773</v>
      </c>
      <c r="L5925" s="1" t="str">
        <f t="shared" si="677"/>
        <v>sáb</v>
      </c>
      <c r="M5925" s="1" t="str">
        <f t="shared" si="676"/>
        <v>abr</v>
      </c>
      <c r="N5925">
        <f t="shared" si="678"/>
        <v>2025</v>
      </c>
      <c r="P5925" t="str">
        <f t="shared" si="679"/>
        <v>217845773</v>
      </c>
    </row>
    <row r="5926" spans="1:16" x14ac:dyDescent="0.3">
      <c r="A5926">
        <v>2178</v>
      </c>
      <c r="B5926">
        <v>46</v>
      </c>
      <c r="C5926" t="s">
        <v>26</v>
      </c>
      <c r="D5926" t="s">
        <v>31</v>
      </c>
      <c r="E5926" t="s">
        <v>34</v>
      </c>
      <c r="F5926" t="s">
        <v>18</v>
      </c>
      <c r="G5926" t="s">
        <v>43</v>
      </c>
      <c r="H5926" t="s">
        <v>25</v>
      </c>
      <c r="I5926" s="1">
        <v>1</v>
      </c>
      <c r="J5926" s="2">
        <v>45774</v>
      </c>
      <c r="L5926" s="1" t="str">
        <f t="shared" si="677"/>
        <v>dom</v>
      </c>
      <c r="M5926" s="1" t="str">
        <f t="shared" si="676"/>
        <v>abr</v>
      </c>
      <c r="N5926">
        <f t="shared" si="678"/>
        <v>2025</v>
      </c>
      <c r="P5926" t="str">
        <f t="shared" si="679"/>
        <v>217845774</v>
      </c>
    </row>
    <row r="5927" spans="1:16" x14ac:dyDescent="0.3">
      <c r="A5927">
        <v>2178</v>
      </c>
      <c r="B5927">
        <v>46</v>
      </c>
      <c r="C5927" t="s">
        <v>26</v>
      </c>
      <c r="D5927" t="s">
        <v>31</v>
      </c>
      <c r="E5927" t="s">
        <v>34</v>
      </c>
      <c r="F5927" t="s">
        <v>18</v>
      </c>
      <c r="G5927" t="s">
        <v>43</v>
      </c>
      <c r="H5927" t="s">
        <v>25</v>
      </c>
      <c r="I5927" s="1">
        <v>1</v>
      </c>
      <c r="J5927" s="2">
        <v>45775</v>
      </c>
      <c r="L5927" s="1" t="str">
        <f t="shared" si="677"/>
        <v>seg</v>
      </c>
      <c r="M5927" s="1" t="str">
        <f t="shared" si="676"/>
        <v>abr</v>
      </c>
      <c r="N5927">
        <f t="shared" si="678"/>
        <v>2025</v>
      </c>
      <c r="P5927" t="str">
        <f t="shared" si="679"/>
        <v>217845775</v>
      </c>
    </row>
    <row r="5928" spans="1:16" x14ac:dyDescent="0.3">
      <c r="A5928">
        <v>2178</v>
      </c>
      <c r="B5928">
        <v>46</v>
      </c>
      <c r="C5928" t="s">
        <v>26</v>
      </c>
      <c r="D5928" t="s">
        <v>31</v>
      </c>
      <c r="E5928" t="s">
        <v>34</v>
      </c>
      <c r="F5928" t="s">
        <v>18</v>
      </c>
      <c r="G5928" t="s">
        <v>43</v>
      </c>
      <c r="H5928" t="s">
        <v>25</v>
      </c>
      <c r="I5928" s="1">
        <v>1</v>
      </c>
      <c r="J5928" s="2">
        <v>45776</v>
      </c>
      <c r="L5928" s="1" t="str">
        <f t="shared" si="677"/>
        <v>ter</v>
      </c>
      <c r="M5928" s="1" t="str">
        <f t="shared" si="676"/>
        <v>abr</v>
      </c>
      <c r="N5928">
        <f t="shared" si="678"/>
        <v>2025</v>
      </c>
      <c r="P5928" t="str">
        <f t="shared" si="679"/>
        <v>217845776</v>
      </c>
    </row>
    <row r="5929" spans="1:16" x14ac:dyDescent="0.3">
      <c r="A5929">
        <v>2178</v>
      </c>
      <c r="B5929">
        <v>46</v>
      </c>
      <c r="C5929" t="s">
        <v>26</v>
      </c>
      <c r="D5929" t="s">
        <v>31</v>
      </c>
      <c r="E5929" t="s">
        <v>34</v>
      </c>
      <c r="F5929" t="s">
        <v>18</v>
      </c>
      <c r="G5929" t="s">
        <v>43</v>
      </c>
      <c r="H5929" t="s">
        <v>25</v>
      </c>
      <c r="I5929" s="1">
        <v>1</v>
      </c>
      <c r="J5929" s="2">
        <v>45777</v>
      </c>
      <c r="L5929" s="1" t="str">
        <f t="shared" si="677"/>
        <v>qua</v>
      </c>
      <c r="M5929" s="1" t="str">
        <f t="shared" si="676"/>
        <v>abr</v>
      </c>
      <c r="N5929">
        <f t="shared" si="678"/>
        <v>2025</v>
      </c>
      <c r="P5929" t="str">
        <f t="shared" si="679"/>
        <v>217845777</v>
      </c>
    </row>
    <row r="5930" spans="1:16" x14ac:dyDescent="0.3">
      <c r="A5930">
        <v>2178</v>
      </c>
      <c r="B5930">
        <v>46</v>
      </c>
      <c r="C5930" t="s">
        <v>26</v>
      </c>
      <c r="D5930" t="s">
        <v>31</v>
      </c>
      <c r="E5930" t="s">
        <v>34</v>
      </c>
      <c r="F5930" t="s">
        <v>18</v>
      </c>
      <c r="G5930" t="s">
        <v>43</v>
      </c>
      <c r="H5930" t="s">
        <v>25</v>
      </c>
      <c r="I5930" s="1">
        <v>1</v>
      </c>
      <c r="J5930" s="2">
        <v>45778</v>
      </c>
      <c r="L5930" s="1" t="str">
        <f t="shared" si="677"/>
        <v>qui</v>
      </c>
      <c r="M5930" s="1" t="str">
        <f t="shared" si="676"/>
        <v>mai</v>
      </c>
      <c r="N5930">
        <f t="shared" si="678"/>
        <v>2025</v>
      </c>
      <c r="P5930" t="str">
        <f t="shared" si="679"/>
        <v>217845778</v>
      </c>
    </row>
    <row r="5931" spans="1:16" x14ac:dyDescent="0.3">
      <c r="A5931">
        <v>2178</v>
      </c>
      <c r="B5931">
        <v>46</v>
      </c>
      <c r="C5931" t="s">
        <v>26</v>
      </c>
      <c r="D5931" t="s">
        <v>31</v>
      </c>
      <c r="E5931" t="s">
        <v>34</v>
      </c>
      <c r="F5931" t="s">
        <v>18</v>
      </c>
      <c r="G5931" t="s">
        <v>43</v>
      </c>
      <c r="H5931" t="s">
        <v>25</v>
      </c>
      <c r="I5931" s="1">
        <v>1</v>
      </c>
      <c r="J5931" s="2">
        <v>45779</v>
      </c>
      <c r="L5931" s="1" t="str">
        <f t="shared" si="677"/>
        <v>sex</v>
      </c>
      <c r="M5931" s="1" t="str">
        <f t="shared" si="676"/>
        <v>mai</v>
      </c>
      <c r="N5931">
        <f t="shared" si="678"/>
        <v>2025</v>
      </c>
      <c r="P5931" t="str">
        <f t="shared" si="679"/>
        <v>217845779</v>
      </c>
    </row>
    <row r="5932" spans="1:16" x14ac:dyDescent="0.3">
      <c r="A5932">
        <v>2178</v>
      </c>
      <c r="B5932">
        <v>46</v>
      </c>
      <c r="C5932" t="s">
        <v>26</v>
      </c>
      <c r="D5932" t="s">
        <v>31</v>
      </c>
      <c r="E5932" t="s">
        <v>34</v>
      </c>
      <c r="F5932" t="s">
        <v>18</v>
      </c>
      <c r="G5932" t="s">
        <v>43</v>
      </c>
      <c r="H5932" t="s">
        <v>25</v>
      </c>
      <c r="I5932" s="1">
        <v>1</v>
      </c>
      <c r="J5932" s="2">
        <v>45780</v>
      </c>
      <c r="L5932" s="1" t="str">
        <f t="shared" si="677"/>
        <v>sáb</v>
      </c>
      <c r="M5932" s="1" t="str">
        <f t="shared" si="676"/>
        <v>mai</v>
      </c>
      <c r="N5932">
        <f t="shared" si="678"/>
        <v>2025</v>
      </c>
      <c r="P5932" t="str">
        <f t="shared" si="679"/>
        <v>217845780</v>
      </c>
    </row>
    <row r="5933" spans="1:16" x14ac:dyDescent="0.3">
      <c r="A5933">
        <v>2178</v>
      </c>
      <c r="B5933">
        <v>46</v>
      </c>
      <c r="C5933" t="s">
        <v>26</v>
      </c>
      <c r="D5933" t="s">
        <v>31</v>
      </c>
      <c r="E5933" t="s">
        <v>34</v>
      </c>
      <c r="F5933" t="s">
        <v>18</v>
      </c>
      <c r="G5933" t="s">
        <v>43</v>
      </c>
      <c r="H5933" t="s">
        <v>25</v>
      </c>
      <c r="I5933" s="1">
        <v>1</v>
      </c>
      <c r="J5933" s="2">
        <v>45781</v>
      </c>
      <c r="L5933" s="1" t="str">
        <f t="shared" si="677"/>
        <v>dom</v>
      </c>
      <c r="M5933" s="1" t="str">
        <f t="shared" si="676"/>
        <v>mai</v>
      </c>
      <c r="N5933">
        <f t="shared" si="678"/>
        <v>2025</v>
      </c>
      <c r="P5933" t="str">
        <f t="shared" si="679"/>
        <v>217845781</v>
      </c>
    </row>
    <row r="5934" spans="1:16" x14ac:dyDescent="0.3">
      <c r="A5934">
        <v>2178</v>
      </c>
      <c r="B5934">
        <v>46</v>
      </c>
      <c r="C5934" t="s">
        <v>26</v>
      </c>
      <c r="D5934" t="s">
        <v>31</v>
      </c>
      <c r="E5934" t="s">
        <v>34</v>
      </c>
      <c r="F5934" t="s">
        <v>18</v>
      </c>
      <c r="G5934" t="s">
        <v>43</v>
      </c>
      <c r="H5934" t="s">
        <v>25</v>
      </c>
      <c r="I5934" s="1">
        <v>1</v>
      </c>
      <c r="J5934" s="2">
        <v>45782</v>
      </c>
      <c r="L5934" s="1" t="str">
        <f t="shared" si="677"/>
        <v>seg</v>
      </c>
      <c r="M5934" s="1" t="str">
        <f t="shared" si="676"/>
        <v>mai</v>
      </c>
      <c r="N5934">
        <f t="shared" si="678"/>
        <v>2025</v>
      </c>
      <c r="P5934" t="str">
        <f t="shared" si="679"/>
        <v>217845782</v>
      </c>
    </row>
    <row r="5935" spans="1:16" x14ac:dyDescent="0.3">
      <c r="A5935">
        <v>2178</v>
      </c>
      <c r="B5935">
        <v>46</v>
      </c>
      <c r="C5935" t="s">
        <v>26</v>
      </c>
      <c r="D5935" t="s">
        <v>31</v>
      </c>
      <c r="E5935" t="s">
        <v>34</v>
      </c>
      <c r="F5935" t="s">
        <v>18</v>
      </c>
      <c r="G5935" t="s">
        <v>43</v>
      </c>
      <c r="H5935" t="s">
        <v>25</v>
      </c>
      <c r="I5935" s="1">
        <v>1</v>
      </c>
      <c r="J5935" s="2">
        <v>45783</v>
      </c>
      <c r="L5935" s="1" t="str">
        <f t="shared" si="677"/>
        <v>ter</v>
      </c>
      <c r="M5935" s="1" t="str">
        <f t="shared" si="676"/>
        <v>mai</v>
      </c>
      <c r="N5935">
        <f t="shared" si="678"/>
        <v>2025</v>
      </c>
      <c r="P5935" t="str">
        <f t="shared" si="679"/>
        <v>217845783</v>
      </c>
    </row>
    <row r="5936" spans="1:16" x14ac:dyDescent="0.3">
      <c r="A5936">
        <v>2178</v>
      </c>
      <c r="B5936">
        <v>46</v>
      </c>
      <c r="C5936" t="s">
        <v>26</v>
      </c>
      <c r="D5936" t="s">
        <v>31</v>
      </c>
      <c r="E5936" t="s">
        <v>34</v>
      </c>
      <c r="F5936" t="s">
        <v>18</v>
      </c>
      <c r="G5936" t="s">
        <v>43</v>
      </c>
      <c r="H5936" t="s">
        <v>25</v>
      </c>
      <c r="I5936" s="1">
        <v>1</v>
      </c>
      <c r="J5936" s="2">
        <v>45784</v>
      </c>
      <c r="L5936" s="1" t="str">
        <f t="shared" si="677"/>
        <v>qua</v>
      </c>
      <c r="M5936" s="1" t="str">
        <f t="shared" si="676"/>
        <v>mai</v>
      </c>
      <c r="N5936">
        <f t="shared" si="678"/>
        <v>2025</v>
      </c>
      <c r="P5936" t="str">
        <f t="shared" si="679"/>
        <v>217845784</v>
      </c>
    </row>
    <row r="5937" spans="1:16" x14ac:dyDescent="0.3">
      <c r="A5937">
        <v>2178</v>
      </c>
      <c r="B5937">
        <v>46</v>
      </c>
      <c r="C5937" t="s">
        <v>26</v>
      </c>
      <c r="D5937" t="s">
        <v>31</v>
      </c>
      <c r="E5937" t="s">
        <v>34</v>
      </c>
      <c r="F5937" t="s">
        <v>18</v>
      </c>
      <c r="G5937" t="s">
        <v>43</v>
      </c>
      <c r="H5937" t="s">
        <v>25</v>
      </c>
      <c r="I5937" s="1">
        <v>1</v>
      </c>
      <c r="J5937" s="2">
        <v>45785</v>
      </c>
      <c r="L5937" s="1" t="str">
        <f t="shared" si="677"/>
        <v>qui</v>
      </c>
      <c r="M5937" s="1" t="str">
        <f t="shared" ref="M5937:M6000" si="680">TEXT($J5937,"mmm")</f>
        <v>mai</v>
      </c>
      <c r="N5937">
        <f t="shared" si="678"/>
        <v>2025</v>
      </c>
      <c r="P5937" t="str">
        <f t="shared" si="679"/>
        <v>217845785</v>
      </c>
    </row>
    <row r="5938" spans="1:16" x14ac:dyDescent="0.3">
      <c r="A5938">
        <v>2178</v>
      </c>
      <c r="B5938">
        <v>46</v>
      </c>
      <c r="C5938" t="s">
        <v>26</v>
      </c>
      <c r="D5938" t="s">
        <v>31</v>
      </c>
      <c r="E5938" t="s">
        <v>34</v>
      </c>
      <c r="F5938" t="s">
        <v>18</v>
      </c>
      <c r="G5938" t="s">
        <v>43</v>
      </c>
      <c r="H5938" t="s">
        <v>25</v>
      </c>
      <c r="I5938" s="1">
        <v>1</v>
      </c>
      <c r="J5938" s="2">
        <v>45786</v>
      </c>
      <c r="L5938" s="1" t="str">
        <f t="shared" si="677"/>
        <v>sex</v>
      </c>
      <c r="M5938" s="1" t="str">
        <f t="shared" si="680"/>
        <v>mai</v>
      </c>
      <c r="N5938">
        <f t="shared" si="678"/>
        <v>2025</v>
      </c>
      <c r="P5938" t="str">
        <f t="shared" si="679"/>
        <v>217845786</v>
      </c>
    </row>
    <row r="5939" spans="1:16" x14ac:dyDescent="0.3">
      <c r="A5939">
        <v>2178</v>
      </c>
      <c r="B5939">
        <v>46</v>
      </c>
      <c r="C5939" t="s">
        <v>26</v>
      </c>
      <c r="D5939" t="s">
        <v>31</v>
      </c>
      <c r="E5939" t="s">
        <v>34</v>
      </c>
      <c r="F5939" t="s">
        <v>18</v>
      </c>
      <c r="G5939" t="s">
        <v>43</v>
      </c>
      <c r="H5939" t="s">
        <v>25</v>
      </c>
      <c r="I5939" s="1">
        <v>1</v>
      </c>
      <c r="J5939" s="2">
        <v>45787</v>
      </c>
      <c r="L5939" s="1" t="str">
        <f t="shared" si="677"/>
        <v>sáb</v>
      </c>
      <c r="M5939" s="1" t="str">
        <f t="shared" si="680"/>
        <v>mai</v>
      </c>
      <c r="N5939">
        <f t="shared" si="678"/>
        <v>2025</v>
      </c>
      <c r="P5939" t="str">
        <f t="shared" si="679"/>
        <v>217845787</v>
      </c>
    </row>
    <row r="5940" spans="1:16" x14ac:dyDescent="0.3">
      <c r="A5940">
        <v>2178</v>
      </c>
      <c r="B5940">
        <v>46</v>
      </c>
      <c r="C5940" t="s">
        <v>26</v>
      </c>
      <c r="D5940" t="s">
        <v>31</v>
      </c>
      <c r="E5940" t="s">
        <v>34</v>
      </c>
      <c r="F5940" t="s">
        <v>18</v>
      </c>
      <c r="G5940" t="s">
        <v>43</v>
      </c>
      <c r="H5940" t="s">
        <v>25</v>
      </c>
      <c r="I5940" s="1">
        <v>1</v>
      </c>
      <c r="J5940" s="2">
        <v>45788</v>
      </c>
      <c r="L5940" s="1" t="str">
        <f t="shared" si="677"/>
        <v>dom</v>
      </c>
      <c r="M5940" s="1" t="str">
        <f t="shared" si="680"/>
        <v>mai</v>
      </c>
      <c r="N5940">
        <f t="shared" si="678"/>
        <v>2025</v>
      </c>
      <c r="P5940" t="str">
        <f t="shared" si="679"/>
        <v>217845788</v>
      </c>
    </row>
    <row r="5941" spans="1:16" x14ac:dyDescent="0.3">
      <c r="A5941">
        <v>2178</v>
      </c>
      <c r="B5941">
        <v>46</v>
      </c>
      <c r="C5941" t="s">
        <v>26</v>
      </c>
      <c r="D5941" t="s">
        <v>31</v>
      </c>
      <c r="E5941" t="s">
        <v>34</v>
      </c>
      <c r="F5941" t="s">
        <v>18</v>
      </c>
      <c r="G5941" t="s">
        <v>43</v>
      </c>
      <c r="H5941" t="s">
        <v>25</v>
      </c>
      <c r="I5941" s="1">
        <v>1</v>
      </c>
      <c r="J5941" s="2">
        <v>45789</v>
      </c>
      <c r="L5941" s="1" t="str">
        <f t="shared" si="677"/>
        <v>seg</v>
      </c>
      <c r="M5941" s="1" t="str">
        <f t="shared" si="680"/>
        <v>mai</v>
      </c>
      <c r="N5941">
        <f t="shared" si="678"/>
        <v>2025</v>
      </c>
      <c r="P5941" t="str">
        <f t="shared" si="679"/>
        <v>217845789</v>
      </c>
    </row>
    <row r="5942" spans="1:16" x14ac:dyDescent="0.3">
      <c r="A5942">
        <v>2178</v>
      </c>
      <c r="B5942">
        <v>46</v>
      </c>
      <c r="C5942" t="s">
        <v>26</v>
      </c>
      <c r="D5942" t="s">
        <v>31</v>
      </c>
      <c r="E5942" t="s">
        <v>34</v>
      </c>
      <c r="F5942" t="s">
        <v>18</v>
      </c>
      <c r="G5942" t="s">
        <v>43</v>
      </c>
      <c r="H5942" t="s">
        <v>25</v>
      </c>
      <c r="I5942" s="1">
        <v>1</v>
      </c>
      <c r="J5942" s="2">
        <v>45790</v>
      </c>
      <c r="L5942" s="1" t="str">
        <f t="shared" si="677"/>
        <v>ter</v>
      </c>
      <c r="M5942" s="1" t="str">
        <f t="shared" si="680"/>
        <v>mai</v>
      </c>
      <c r="N5942">
        <f t="shared" si="678"/>
        <v>2025</v>
      </c>
      <c r="P5942" t="str">
        <f t="shared" si="679"/>
        <v>217845790</v>
      </c>
    </row>
    <row r="5943" spans="1:16" x14ac:dyDescent="0.3">
      <c r="A5943">
        <v>2178</v>
      </c>
      <c r="B5943">
        <v>46</v>
      </c>
      <c r="C5943" t="s">
        <v>26</v>
      </c>
      <c r="D5943" t="s">
        <v>31</v>
      </c>
      <c r="E5943" t="s">
        <v>34</v>
      </c>
      <c r="F5943" t="s">
        <v>18</v>
      </c>
      <c r="G5943" t="s">
        <v>43</v>
      </c>
      <c r="H5943" t="s">
        <v>25</v>
      </c>
      <c r="I5943" s="1">
        <v>1</v>
      </c>
      <c r="J5943" s="2">
        <v>45791</v>
      </c>
      <c r="L5943" s="1" t="str">
        <f t="shared" si="677"/>
        <v>qua</v>
      </c>
      <c r="M5943" s="1" t="str">
        <f t="shared" si="680"/>
        <v>mai</v>
      </c>
      <c r="N5943">
        <f t="shared" si="678"/>
        <v>2025</v>
      </c>
      <c r="P5943" t="str">
        <f t="shared" si="679"/>
        <v>217845791</v>
      </c>
    </row>
    <row r="5944" spans="1:16" x14ac:dyDescent="0.3">
      <c r="A5944">
        <v>2178</v>
      </c>
      <c r="B5944">
        <v>46</v>
      </c>
      <c r="C5944" t="s">
        <v>26</v>
      </c>
      <c r="D5944" t="s">
        <v>31</v>
      </c>
      <c r="E5944" t="s">
        <v>34</v>
      </c>
      <c r="F5944" t="s">
        <v>18</v>
      </c>
      <c r="G5944" t="s">
        <v>43</v>
      </c>
      <c r="H5944" t="s">
        <v>25</v>
      </c>
      <c r="I5944" s="1">
        <v>1</v>
      </c>
      <c r="J5944" s="2">
        <v>45792</v>
      </c>
      <c r="L5944" s="1" t="str">
        <f t="shared" si="677"/>
        <v>qui</v>
      </c>
      <c r="M5944" s="1" t="str">
        <f t="shared" si="680"/>
        <v>mai</v>
      </c>
      <c r="N5944">
        <f t="shared" si="678"/>
        <v>2025</v>
      </c>
      <c r="P5944" t="str">
        <f t="shared" si="679"/>
        <v>217845792</v>
      </c>
    </row>
    <row r="5945" spans="1:16" x14ac:dyDescent="0.3">
      <c r="A5945">
        <v>2178</v>
      </c>
      <c r="B5945">
        <v>46</v>
      </c>
      <c r="C5945" t="s">
        <v>26</v>
      </c>
      <c r="D5945" t="s">
        <v>31</v>
      </c>
      <c r="E5945" t="s">
        <v>34</v>
      </c>
      <c r="F5945" t="s">
        <v>18</v>
      </c>
      <c r="G5945" t="s">
        <v>43</v>
      </c>
      <c r="H5945" t="s">
        <v>25</v>
      </c>
      <c r="I5945" s="1">
        <v>1</v>
      </c>
      <c r="J5945" s="2">
        <v>45793</v>
      </c>
      <c r="L5945" s="1" t="str">
        <f t="shared" si="677"/>
        <v>sex</v>
      </c>
      <c r="M5945" s="1" t="str">
        <f t="shared" si="680"/>
        <v>mai</v>
      </c>
      <c r="N5945">
        <f t="shared" si="678"/>
        <v>2025</v>
      </c>
      <c r="P5945" t="str">
        <f t="shared" si="679"/>
        <v>217845793</v>
      </c>
    </row>
    <row r="5946" spans="1:16" x14ac:dyDescent="0.3">
      <c r="A5946">
        <v>2178</v>
      </c>
      <c r="B5946">
        <v>46</v>
      </c>
      <c r="C5946" t="s">
        <v>26</v>
      </c>
      <c r="D5946" t="s">
        <v>31</v>
      </c>
      <c r="E5946" t="s">
        <v>34</v>
      </c>
      <c r="F5946" t="s">
        <v>18</v>
      </c>
      <c r="G5946" t="s">
        <v>43</v>
      </c>
      <c r="H5946" t="s">
        <v>25</v>
      </c>
      <c r="I5946" s="1">
        <v>1</v>
      </c>
      <c r="J5946" s="2">
        <v>45794</v>
      </c>
      <c r="L5946" s="1" t="str">
        <f t="shared" si="677"/>
        <v>sáb</v>
      </c>
      <c r="M5946" s="1" t="str">
        <f t="shared" si="680"/>
        <v>mai</v>
      </c>
      <c r="N5946">
        <f t="shared" si="678"/>
        <v>2025</v>
      </c>
      <c r="P5946" t="str">
        <f t="shared" si="679"/>
        <v>217845794</v>
      </c>
    </row>
    <row r="5947" spans="1:16" x14ac:dyDescent="0.3">
      <c r="A5947">
        <v>1261</v>
      </c>
      <c r="B5947">
        <v>47</v>
      </c>
      <c r="C5947" t="s">
        <v>26</v>
      </c>
      <c r="D5947" t="s">
        <v>22</v>
      </c>
      <c r="E5947" t="s">
        <v>17</v>
      </c>
      <c r="F5947" t="s">
        <v>23</v>
      </c>
      <c r="G5947" t="s">
        <v>43</v>
      </c>
      <c r="H5947" t="s">
        <v>25</v>
      </c>
      <c r="I5947" s="1">
        <v>3</v>
      </c>
      <c r="J5947" s="2">
        <v>45694</v>
      </c>
      <c r="L5947" s="1" t="str">
        <f t="shared" ref="L5947:L5976" si="681">TEXT(J5947,"ddd")</f>
        <v>qui</v>
      </c>
      <c r="M5947" s="1" t="str">
        <f t="shared" si="680"/>
        <v>fev</v>
      </c>
      <c r="N5947">
        <f t="shared" ref="N5947:N5976" si="682">YEAR(J5947)</f>
        <v>2025</v>
      </c>
      <c r="P5947" t="str">
        <f t="shared" ref="P5947:P5976" si="683">CONCATENATE(A5947,J5947)</f>
        <v>126145694</v>
      </c>
    </row>
    <row r="5948" spans="1:16" x14ac:dyDescent="0.3">
      <c r="A5948">
        <v>1261</v>
      </c>
      <c r="B5948">
        <v>47</v>
      </c>
      <c r="C5948" t="s">
        <v>26</v>
      </c>
      <c r="D5948" t="s">
        <v>22</v>
      </c>
      <c r="E5948" t="s">
        <v>17</v>
      </c>
      <c r="F5948" t="s">
        <v>23</v>
      </c>
      <c r="G5948" t="s">
        <v>43</v>
      </c>
      <c r="H5948" t="s">
        <v>25</v>
      </c>
      <c r="I5948" s="1">
        <v>3</v>
      </c>
      <c r="J5948" s="2">
        <v>45695</v>
      </c>
      <c r="L5948" s="1" t="str">
        <f t="shared" si="681"/>
        <v>sex</v>
      </c>
      <c r="M5948" s="1" t="str">
        <f t="shared" si="680"/>
        <v>fev</v>
      </c>
      <c r="N5948">
        <f t="shared" si="682"/>
        <v>2025</v>
      </c>
      <c r="P5948" t="str">
        <f t="shared" si="683"/>
        <v>126145695</v>
      </c>
    </row>
    <row r="5949" spans="1:16" x14ac:dyDescent="0.3">
      <c r="A5949">
        <v>1261</v>
      </c>
      <c r="B5949">
        <v>47</v>
      </c>
      <c r="C5949" t="s">
        <v>26</v>
      </c>
      <c r="D5949" t="s">
        <v>22</v>
      </c>
      <c r="E5949" t="s">
        <v>17</v>
      </c>
      <c r="F5949" t="s">
        <v>23</v>
      </c>
      <c r="G5949" t="s">
        <v>43</v>
      </c>
      <c r="H5949" t="s">
        <v>25</v>
      </c>
      <c r="I5949" s="1">
        <v>3</v>
      </c>
      <c r="J5949" s="2">
        <v>45696</v>
      </c>
      <c r="L5949" s="1" t="str">
        <f t="shared" si="681"/>
        <v>sáb</v>
      </c>
      <c r="M5949" s="1" t="str">
        <f t="shared" si="680"/>
        <v>fev</v>
      </c>
      <c r="N5949">
        <f t="shared" si="682"/>
        <v>2025</v>
      </c>
      <c r="P5949" t="str">
        <f t="shared" si="683"/>
        <v>126145696</v>
      </c>
    </row>
    <row r="5950" spans="1:16" x14ac:dyDescent="0.3">
      <c r="A5950">
        <v>1261</v>
      </c>
      <c r="B5950">
        <v>47</v>
      </c>
      <c r="C5950" t="s">
        <v>26</v>
      </c>
      <c r="D5950" t="s">
        <v>22</v>
      </c>
      <c r="E5950" t="s">
        <v>17</v>
      </c>
      <c r="F5950" t="s">
        <v>23</v>
      </c>
      <c r="G5950" t="s">
        <v>43</v>
      </c>
      <c r="H5950" t="s">
        <v>25</v>
      </c>
      <c r="I5950" s="1">
        <v>3</v>
      </c>
      <c r="J5950" s="2">
        <v>45697</v>
      </c>
      <c r="L5950" s="1" t="str">
        <f t="shared" si="681"/>
        <v>dom</v>
      </c>
      <c r="M5950" s="1" t="str">
        <f t="shared" si="680"/>
        <v>fev</v>
      </c>
      <c r="N5950">
        <f t="shared" si="682"/>
        <v>2025</v>
      </c>
      <c r="P5950" t="str">
        <f t="shared" si="683"/>
        <v>126145697</v>
      </c>
    </row>
    <row r="5951" spans="1:16" x14ac:dyDescent="0.3">
      <c r="A5951">
        <v>1261</v>
      </c>
      <c r="B5951">
        <v>47</v>
      </c>
      <c r="C5951" t="s">
        <v>26</v>
      </c>
      <c r="D5951" t="s">
        <v>22</v>
      </c>
      <c r="E5951" t="s">
        <v>17</v>
      </c>
      <c r="F5951" t="s">
        <v>23</v>
      </c>
      <c r="G5951" t="s">
        <v>43</v>
      </c>
      <c r="H5951" t="s">
        <v>25</v>
      </c>
      <c r="I5951" s="1">
        <v>3</v>
      </c>
      <c r="J5951" s="2">
        <v>45698</v>
      </c>
      <c r="L5951" s="1" t="str">
        <f t="shared" si="681"/>
        <v>seg</v>
      </c>
      <c r="M5951" s="1" t="str">
        <f t="shared" si="680"/>
        <v>fev</v>
      </c>
      <c r="N5951">
        <f t="shared" si="682"/>
        <v>2025</v>
      </c>
      <c r="P5951" t="str">
        <f t="shared" si="683"/>
        <v>126145698</v>
      </c>
    </row>
    <row r="5952" spans="1:16" x14ac:dyDescent="0.3">
      <c r="A5952">
        <v>1261</v>
      </c>
      <c r="B5952">
        <v>47</v>
      </c>
      <c r="C5952" t="s">
        <v>26</v>
      </c>
      <c r="D5952" t="s">
        <v>22</v>
      </c>
      <c r="E5952" t="s">
        <v>17</v>
      </c>
      <c r="F5952" t="s">
        <v>23</v>
      </c>
      <c r="G5952" t="s">
        <v>43</v>
      </c>
      <c r="H5952" t="s">
        <v>25</v>
      </c>
      <c r="I5952" s="1">
        <v>3</v>
      </c>
      <c r="J5952" s="2">
        <v>45699</v>
      </c>
      <c r="L5952" s="1" t="str">
        <f t="shared" si="681"/>
        <v>ter</v>
      </c>
      <c r="M5952" s="1" t="str">
        <f t="shared" si="680"/>
        <v>fev</v>
      </c>
      <c r="N5952">
        <f t="shared" si="682"/>
        <v>2025</v>
      </c>
      <c r="P5952" t="str">
        <f t="shared" si="683"/>
        <v>126145699</v>
      </c>
    </row>
    <row r="5953" spans="1:16" x14ac:dyDescent="0.3">
      <c r="A5953">
        <v>1261</v>
      </c>
      <c r="B5953">
        <v>47</v>
      </c>
      <c r="C5953" t="s">
        <v>26</v>
      </c>
      <c r="D5953" t="s">
        <v>22</v>
      </c>
      <c r="E5953" t="s">
        <v>17</v>
      </c>
      <c r="F5953" t="s">
        <v>23</v>
      </c>
      <c r="G5953" t="s">
        <v>43</v>
      </c>
      <c r="H5953" t="s">
        <v>25</v>
      </c>
      <c r="I5953" s="1">
        <v>3</v>
      </c>
      <c r="J5953" s="2">
        <v>45700</v>
      </c>
      <c r="L5953" s="1" t="str">
        <f t="shared" si="681"/>
        <v>qua</v>
      </c>
      <c r="M5953" s="1" t="str">
        <f t="shared" si="680"/>
        <v>fev</v>
      </c>
      <c r="N5953">
        <f t="shared" si="682"/>
        <v>2025</v>
      </c>
      <c r="P5953" t="str">
        <f t="shared" si="683"/>
        <v>126145700</v>
      </c>
    </row>
    <row r="5954" spans="1:16" x14ac:dyDescent="0.3">
      <c r="A5954">
        <v>1261</v>
      </c>
      <c r="B5954">
        <v>47</v>
      </c>
      <c r="C5954" t="s">
        <v>26</v>
      </c>
      <c r="D5954" t="s">
        <v>22</v>
      </c>
      <c r="E5954" t="s">
        <v>17</v>
      </c>
      <c r="F5954" t="s">
        <v>23</v>
      </c>
      <c r="G5954" t="s">
        <v>43</v>
      </c>
      <c r="H5954" t="s">
        <v>25</v>
      </c>
      <c r="I5954" s="1">
        <v>3</v>
      </c>
      <c r="J5954" s="2">
        <v>45701</v>
      </c>
      <c r="L5954" s="1" t="str">
        <f t="shared" si="681"/>
        <v>qui</v>
      </c>
      <c r="M5954" s="1" t="str">
        <f t="shared" si="680"/>
        <v>fev</v>
      </c>
      <c r="N5954">
        <f t="shared" si="682"/>
        <v>2025</v>
      </c>
      <c r="P5954" t="str">
        <f t="shared" si="683"/>
        <v>126145701</v>
      </c>
    </row>
    <row r="5955" spans="1:16" x14ac:dyDescent="0.3">
      <c r="A5955">
        <v>1261</v>
      </c>
      <c r="B5955">
        <v>47</v>
      </c>
      <c r="C5955" t="s">
        <v>26</v>
      </c>
      <c r="D5955" t="s">
        <v>22</v>
      </c>
      <c r="E5955" t="s">
        <v>17</v>
      </c>
      <c r="F5955" t="s">
        <v>23</v>
      </c>
      <c r="G5955" t="s">
        <v>43</v>
      </c>
      <c r="H5955" t="s">
        <v>25</v>
      </c>
      <c r="I5955" s="1">
        <v>3</v>
      </c>
      <c r="J5955" s="2">
        <v>45702</v>
      </c>
      <c r="L5955" s="1" t="str">
        <f t="shared" si="681"/>
        <v>sex</v>
      </c>
      <c r="M5955" s="1" t="str">
        <f t="shared" si="680"/>
        <v>fev</v>
      </c>
      <c r="N5955">
        <f t="shared" si="682"/>
        <v>2025</v>
      </c>
      <c r="P5955" t="str">
        <f t="shared" si="683"/>
        <v>126145702</v>
      </c>
    </row>
    <row r="5956" spans="1:16" x14ac:dyDescent="0.3">
      <c r="A5956">
        <v>1261</v>
      </c>
      <c r="B5956">
        <v>47</v>
      </c>
      <c r="C5956" t="s">
        <v>26</v>
      </c>
      <c r="D5956" t="s">
        <v>22</v>
      </c>
      <c r="E5956" t="s">
        <v>17</v>
      </c>
      <c r="F5956" t="s">
        <v>23</v>
      </c>
      <c r="G5956" t="s">
        <v>43</v>
      </c>
      <c r="H5956" t="s">
        <v>25</v>
      </c>
      <c r="I5956" s="1">
        <v>3</v>
      </c>
      <c r="J5956" s="2">
        <v>45703</v>
      </c>
      <c r="L5956" s="1" t="str">
        <f t="shared" si="681"/>
        <v>sáb</v>
      </c>
      <c r="M5956" s="1" t="str">
        <f t="shared" si="680"/>
        <v>fev</v>
      </c>
      <c r="N5956">
        <f t="shared" si="682"/>
        <v>2025</v>
      </c>
      <c r="P5956" t="str">
        <f t="shared" si="683"/>
        <v>126145703</v>
      </c>
    </row>
    <row r="5957" spans="1:16" x14ac:dyDescent="0.3">
      <c r="A5957">
        <v>1261</v>
      </c>
      <c r="B5957">
        <v>47</v>
      </c>
      <c r="C5957" t="s">
        <v>26</v>
      </c>
      <c r="D5957" t="s">
        <v>22</v>
      </c>
      <c r="E5957" t="s">
        <v>17</v>
      </c>
      <c r="F5957" t="s">
        <v>23</v>
      </c>
      <c r="G5957" t="s">
        <v>43</v>
      </c>
      <c r="H5957" t="s">
        <v>25</v>
      </c>
      <c r="I5957" s="1">
        <v>3</v>
      </c>
      <c r="J5957" s="2">
        <v>45704</v>
      </c>
      <c r="L5957" s="1" t="str">
        <f t="shared" si="681"/>
        <v>dom</v>
      </c>
      <c r="M5957" s="1" t="str">
        <f t="shared" si="680"/>
        <v>fev</v>
      </c>
      <c r="N5957">
        <f t="shared" si="682"/>
        <v>2025</v>
      </c>
      <c r="P5957" t="str">
        <f t="shared" si="683"/>
        <v>126145704</v>
      </c>
    </row>
    <row r="5958" spans="1:16" x14ac:dyDescent="0.3">
      <c r="A5958">
        <v>1261</v>
      </c>
      <c r="B5958">
        <v>47</v>
      </c>
      <c r="C5958" t="s">
        <v>26</v>
      </c>
      <c r="D5958" t="s">
        <v>22</v>
      </c>
      <c r="E5958" t="s">
        <v>17</v>
      </c>
      <c r="F5958" t="s">
        <v>23</v>
      </c>
      <c r="G5958" t="s">
        <v>43</v>
      </c>
      <c r="H5958" t="s">
        <v>25</v>
      </c>
      <c r="I5958" s="1">
        <v>3</v>
      </c>
      <c r="J5958" s="2">
        <v>45705</v>
      </c>
      <c r="L5958" s="1" t="str">
        <f t="shared" si="681"/>
        <v>seg</v>
      </c>
      <c r="M5958" s="1" t="str">
        <f t="shared" si="680"/>
        <v>fev</v>
      </c>
      <c r="N5958">
        <f t="shared" si="682"/>
        <v>2025</v>
      </c>
      <c r="P5958" t="str">
        <f t="shared" si="683"/>
        <v>126145705</v>
      </c>
    </row>
    <row r="5959" spans="1:16" x14ac:dyDescent="0.3">
      <c r="A5959">
        <v>1261</v>
      </c>
      <c r="B5959">
        <v>47</v>
      </c>
      <c r="C5959" t="s">
        <v>26</v>
      </c>
      <c r="D5959" t="s">
        <v>22</v>
      </c>
      <c r="E5959" t="s">
        <v>17</v>
      </c>
      <c r="F5959" t="s">
        <v>23</v>
      </c>
      <c r="G5959" t="s">
        <v>43</v>
      </c>
      <c r="H5959" t="s">
        <v>25</v>
      </c>
      <c r="I5959" s="1">
        <v>3</v>
      </c>
      <c r="J5959" s="2">
        <v>45706</v>
      </c>
      <c r="L5959" s="1" t="str">
        <f t="shared" si="681"/>
        <v>ter</v>
      </c>
      <c r="M5959" s="1" t="str">
        <f t="shared" si="680"/>
        <v>fev</v>
      </c>
      <c r="N5959">
        <f t="shared" si="682"/>
        <v>2025</v>
      </c>
      <c r="P5959" t="str">
        <f t="shared" si="683"/>
        <v>126145706</v>
      </c>
    </row>
    <row r="5960" spans="1:16" x14ac:dyDescent="0.3">
      <c r="A5960">
        <v>1261</v>
      </c>
      <c r="B5960">
        <v>47</v>
      </c>
      <c r="C5960" t="s">
        <v>26</v>
      </c>
      <c r="D5960" t="s">
        <v>22</v>
      </c>
      <c r="E5960" t="s">
        <v>17</v>
      </c>
      <c r="F5960" t="s">
        <v>23</v>
      </c>
      <c r="G5960" t="s">
        <v>43</v>
      </c>
      <c r="H5960" t="s">
        <v>25</v>
      </c>
      <c r="I5960" s="1">
        <v>3</v>
      </c>
      <c r="J5960" s="2">
        <v>45707</v>
      </c>
      <c r="L5960" s="1" t="str">
        <f t="shared" si="681"/>
        <v>qua</v>
      </c>
      <c r="M5960" s="1" t="str">
        <f t="shared" si="680"/>
        <v>fev</v>
      </c>
      <c r="N5960">
        <f t="shared" si="682"/>
        <v>2025</v>
      </c>
      <c r="P5960" t="str">
        <f t="shared" si="683"/>
        <v>126145707</v>
      </c>
    </row>
    <row r="5961" spans="1:16" x14ac:dyDescent="0.3">
      <c r="A5961">
        <v>1261</v>
      </c>
      <c r="B5961">
        <v>47</v>
      </c>
      <c r="C5961" t="s">
        <v>26</v>
      </c>
      <c r="D5961" t="s">
        <v>22</v>
      </c>
      <c r="E5961" t="s">
        <v>17</v>
      </c>
      <c r="F5961" t="s">
        <v>23</v>
      </c>
      <c r="G5961" t="s">
        <v>43</v>
      </c>
      <c r="H5961" t="s">
        <v>25</v>
      </c>
      <c r="I5961" s="1">
        <v>3</v>
      </c>
      <c r="J5961" s="2">
        <v>45708</v>
      </c>
      <c r="L5961" s="1" t="str">
        <f t="shared" si="681"/>
        <v>qui</v>
      </c>
      <c r="M5961" s="1" t="str">
        <f t="shared" si="680"/>
        <v>fev</v>
      </c>
      <c r="N5961">
        <f t="shared" si="682"/>
        <v>2025</v>
      </c>
      <c r="P5961" t="str">
        <f t="shared" si="683"/>
        <v>126145708</v>
      </c>
    </row>
    <row r="5962" spans="1:16" x14ac:dyDescent="0.3">
      <c r="A5962">
        <v>1261</v>
      </c>
      <c r="B5962">
        <v>47</v>
      </c>
      <c r="C5962" t="s">
        <v>26</v>
      </c>
      <c r="D5962" t="s">
        <v>22</v>
      </c>
      <c r="E5962" t="s">
        <v>17</v>
      </c>
      <c r="F5962" t="s">
        <v>23</v>
      </c>
      <c r="G5962" t="s">
        <v>43</v>
      </c>
      <c r="H5962" t="s">
        <v>25</v>
      </c>
      <c r="I5962" s="1">
        <v>3</v>
      </c>
      <c r="J5962" s="2">
        <v>45709</v>
      </c>
      <c r="L5962" s="1" t="str">
        <f t="shared" si="681"/>
        <v>sex</v>
      </c>
      <c r="M5962" s="1" t="str">
        <f t="shared" si="680"/>
        <v>fev</v>
      </c>
      <c r="N5962">
        <f t="shared" si="682"/>
        <v>2025</v>
      </c>
      <c r="P5962" t="str">
        <f t="shared" si="683"/>
        <v>126145709</v>
      </c>
    </row>
    <row r="5963" spans="1:16" x14ac:dyDescent="0.3">
      <c r="A5963">
        <v>1261</v>
      </c>
      <c r="B5963">
        <v>47</v>
      </c>
      <c r="C5963" t="s">
        <v>26</v>
      </c>
      <c r="D5963" t="s">
        <v>22</v>
      </c>
      <c r="E5963" t="s">
        <v>17</v>
      </c>
      <c r="F5963" t="s">
        <v>23</v>
      </c>
      <c r="G5963" t="s">
        <v>43</v>
      </c>
      <c r="H5963" t="s">
        <v>25</v>
      </c>
      <c r="I5963" s="1">
        <v>3</v>
      </c>
      <c r="J5963" s="2">
        <v>45710</v>
      </c>
      <c r="L5963" s="1" t="str">
        <f t="shared" si="681"/>
        <v>sáb</v>
      </c>
      <c r="M5963" s="1" t="str">
        <f t="shared" si="680"/>
        <v>fev</v>
      </c>
      <c r="N5963">
        <f t="shared" si="682"/>
        <v>2025</v>
      </c>
      <c r="P5963" t="str">
        <f t="shared" si="683"/>
        <v>126145710</v>
      </c>
    </row>
    <row r="5964" spans="1:16" x14ac:dyDescent="0.3">
      <c r="A5964">
        <v>1261</v>
      </c>
      <c r="B5964">
        <v>47</v>
      </c>
      <c r="C5964" t="s">
        <v>26</v>
      </c>
      <c r="D5964" t="s">
        <v>22</v>
      </c>
      <c r="E5964" t="s">
        <v>17</v>
      </c>
      <c r="F5964" t="s">
        <v>23</v>
      </c>
      <c r="G5964" t="s">
        <v>43</v>
      </c>
      <c r="H5964" t="s">
        <v>25</v>
      </c>
      <c r="I5964" s="1">
        <v>3</v>
      </c>
      <c r="J5964" s="2">
        <v>45711</v>
      </c>
      <c r="L5964" s="1" t="str">
        <f t="shared" si="681"/>
        <v>dom</v>
      </c>
      <c r="M5964" s="1" t="str">
        <f t="shared" si="680"/>
        <v>fev</v>
      </c>
      <c r="N5964">
        <f t="shared" si="682"/>
        <v>2025</v>
      </c>
      <c r="P5964" t="str">
        <f t="shared" si="683"/>
        <v>126145711</v>
      </c>
    </row>
    <row r="5965" spans="1:16" x14ac:dyDescent="0.3">
      <c r="A5965">
        <v>1261</v>
      </c>
      <c r="B5965">
        <v>47</v>
      </c>
      <c r="C5965" t="s">
        <v>26</v>
      </c>
      <c r="D5965" t="s">
        <v>22</v>
      </c>
      <c r="E5965" t="s">
        <v>17</v>
      </c>
      <c r="F5965" t="s">
        <v>23</v>
      </c>
      <c r="G5965" t="s">
        <v>43</v>
      </c>
      <c r="H5965" t="s">
        <v>25</v>
      </c>
      <c r="I5965" s="1">
        <v>3</v>
      </c>
      <c r="J5965" s="2">
        <v>45712</v>
      </c>
      <c r="L5965" s="1" t="str">
        <f t="shared" si="681"/>
        <v>seg</v>
      </c>
      <c r="M5965" s="1" t="str">
        <f t="shared" si="680"/>
        <v>fev</v>
      </c>
      <c r="N5965">
        <f t="shared" si="682"/>
        <v>2025</v>
      </c>
      <c r="P5965" t="str">
        <f t="shared" si="683"/>
        <v>126145712</v>
      </c>
    </row>
    <row r="5966" spans="1:16" x14ac:dyDescent="0.3">
      <c r="A5966">
        <v>1261</v>
      </c>
      <c r="B5966">
        <v>47</v>
      </c>
      <c r="C5966" t="s">
        <v>26</v>
      </c>
      <c r="D5966" t="s">
        <v>22</v>
      </c>
      <c r="E5966" t="s">
        <v>17</v>
      </c>
      <c r="F5966" t="s">
        <v>23</v>
      </c>
      <c r="G5966" t="s">
        <v>43</v>
      </c>
      <c r="H5966" t="s">
        <v>25</v>
      </c>
      <c r="I5966" s="1">
        <v>3</v>
      </c>
      <c r="J5966" s="2">
        <v>45713</v>
      </c>
      <c r="L5966" s="1" t="str">
        <f t="shared" si="681"/>
        <v>ter</v>
      </c>
      <c r="M5966" s="1" t="str">
        <f t="shared" si="680"/>
        <v>fev</v>
      </c>
      <c r="N5966">
        <f t="shared" si="682"/>
        <v>2025</v>
      </c>
      <c r="P5966" t="str">
        <f t="shared" si="683"/>
        <v>126145713</v>
      </c>
    </row>
    <row r="5967" spans="1:16" x14ac:dyDescent="0.3">
      <c r="A5967">
        <v>1261</v>
      </c>
      <c r="B5967">
        <v>47</v>
      </c>
      <c r="C5967" t="s">
        <v>26</v>
      </c>
      <c r="D5967" t="s">
        <v>22</v>
      </c>
      <c r="E5967" t="s">
        <v>17</v>
      </c>
      <c r="F5967" t="s">
        <v>23</v>
      </c>
      <c r="G5967" t="s">
        <v>43</v>
      </c>
      <c r="H5967" t="s">
        <v>25</v>
      </c>
      <c r="I5967" s="1">
        <v>3</v>
      </c>
      <c r="J5967" s="2">
        <v>45714</v>
      </c>
      <c r="L5967" s="1" t="str">
        <f t="shared" si="681"/>
        <v>qua</v>
      </c>
      <c r="M5967" s="1" t="str">
        <f t="shared" si="680"/>
        <v>fev</v>
      </c>
      <c r="N5967">
        <f t="shared" si="682"/>
        <v>2025</v>
      </c>
      <c r="P5967" t="str">
        <f t="shared" si="683"/>
        <v>126145714</v>
      </c>
    </row>
    <row r="5968" spans="1:16" x14ac:dyDescent="0.3">
      <c r="A5968">
        <v>1261</v>
      </c>
      <c r="B5968">
        <v>47</v>
      </c>
      <c r="C5968" t="s">
        <v>26</v>
      </c>
      <c r="D5968" t="s">
        <v>22</v>
      </c>
      <c r="E5968" t="s">
        <v>17</v>
      </c>
      <c r="F5968" t="s">
        <v>23</v>
      </c>
      <c r="G5968" t="s">
        <v>43</v>
      </c>
      <c r="H5968" t="s">
        <v>25</v>
      </c>
      <c r="I5968" s="1">
        <v>3</v>
      </c>
      <c r="J5968" s="2">
        <v>45715</v>
      </c>
      <c r="L5968" s="1" t="str">
        <f t="shared" si="681"/>
        <v>qui</v>
      </c>
      <c r="M5968" s="1" t="str">
        <f t="shared" si="680"/>
        <v>fev</v>
      </c>
      <c r="N5968">
        <f t="shared" si="682"/>
        <v>2025</v>
      </c>
      <c r="P5968" t="str">
        <f t="shared" si="683"/>
        <v>126145715</v>
      </c>
    </row>
    <row r="5969" spans="1:16" x14ac:dyDescent="0.3">
      <c r="A5969">
        <v>1261</v>
      </c>
      <c r="B5969">
        <v>47</v>
      </c>
      <c r="C5969" t="s">
        <v>26</v>
      </c>
      <c r="D5969" t="s">
        <v>22</v>
      </c>
      <c r="E5969" t="s">
        <v>17</v>
      </c>
      <c r="F5969" t="s">
        <v>23</v>
      </c>
      <c r="G5969" t="s">
        <v>43</v>
      </c>
      <c r="H5969" t="s">
        <v>25</v>
      </c>
      <c r="I5969" s="1">
        <v>3</v>
      </c>
      <c r="J5969" s="2">
        <v>45716</v>
      </c>
      <c r="L5969" s="1" t="str">
        <f t="shared" si="681"/>
        <v>sex</v>
      </c>
      <c r="M5969" s="1" t="str">
        <f t="shared" si="680"/>
        <v>fev</v>
      </c>
      <c r="N5969">
        <f t="shared" si="682"/>
        <v>2025</v>
      </c>
      <c r="P5969" t="str">
        <f t="shared" si="683"/>
        <v>126145716</v>
      </c>
    </row>
    <row r="5970" spans="1:16" x14ac:dyDescent="0.3">
      <c r="A5970">
        <v>1261</v>
      </c>
      <c r="B5970">
        <v>47</v>
      </c>
      <c r="C5970" t="s">
        <v>26</v>
      </c>
      <c r="D5970" t="s">
        <v>22</v>
      </c>
      <c r="E5970" t="s">
        <v>17</v>
      </c>
      <c r="F5970" t="s">
        <v>23</v>
      </c>
      <c r="G5970" t="s">
        <v>43</v>
      </c>
      <c r="H5970" t="s">
        <v>25</v>
      </c>
      <c r="I5970" s="1">
        <v>3</v>
      </c>
      <c r="J5970" s="2">
        <v>45717</v>
      </c>
      <c r="L5970" s="1" t="str">
        <f t="shared" si="681"/>
        <v>sáb</v>
      </c>
      <c r="M5970" s="1" t="str">
        <f t="shared" si="680"/>
        <v>mar</v>
      </c>
      <c r="N5970">
        <f t="shared" si="682"/>
        <v>2025</v>
      </c>
      <c r="P5970" t="str">
        <f t="shared" si="683"/>
        <v>126145717</v>
      </c>
    </row>
    <row r="5971" spans="1:16" x14ac:dyDescent="0.3">
      <c r="A5971">
        <v>1261</v>
      </c>
      <c r="B5971">
        <v>47</v>
      </c>
      <c r="C5971" t="s">
        <v>26</v>
      </c>
      <c r="D5971" t="s">
        <v>22</v>
      </c>
      <c r="E5971" t="s">
        <v>17</v>
      </c>
      <c r="F5971" t="s">
        <v>23</v>
      </c>
      <c r="G5971" t="s">
        <v>43</v>
      </c>
      <c r="H5971" t="s">
        <v>25</v>
      </c>
      <c r="I5971" s="1">
        <v>3</v>
      </c>
      <c r="J5971" s="2">
        <v>45718</v>
      </c>
      <c r="L5971" s="1" t="str">
        <f t="shared" si="681"/>
        <v>dom</v>
      </c>
      <c r="M5971" s="1" t="str">
        <f t="shared" si="680"/>
        <v>mar</v>
      </c>
      <c r="N5971">
        <f t="shared" si="682"/>
        <v>2025</v>
      </c>
      <c r="P5971" t="str">
        <f t="shared" si="683"/>
        <v>126145718</v>
      </c>
    </row>
    <row r="5972" spans="1:16" x14ac:dyDescent="0.3">
      <c r="A5972">
        <v>1261</v>
      </c>
      <c r="B5972">
        <v>47</v>
      </c>
      <c r="C5972" t="s">
        <v>26</v>
      </c>
      <c r="D5972" t="s">
        <v>22</v>
      </c>
      <c r="E5972" t="s">
        <v>17</v>
      </c>
      <c r="F5972" t="s">
        <v>23</v>
      </c>
      <c r="G5972" t="s">
        <v>43</v>
      </c>
      <c r="H5972" t="s">
        <v>25</v>
      </c>
      <c r="I5972" s="1">
        <v>3</v>
      </c>
      <c r="J5972" s="2">
        <v>45719</v>
      </c>
      <c r="L5972" s="1" t="str">
        <f t="shared" si="681"/>
        <v>seg</v>
      </c>
      <c r="M5972" s="1" t="str">
        <f t="shared" si="680"/>
        <v>mar</v>
      </c>
      <c r="N5972">
        <f t="shared" si="682"/>
        <v>2025</v>
      </c>
      <c r="P5972" t="str">
        <f t="shared" si="683"/>
        <v>126145719</v>
      </c>
    </row>
    <row r="5973" spans="1:16" x14ac:dyDescent="0.3">
      <c r="A5973">
        <v>1261</v>
      </c>
      <c r="B5973">
        <v>47</v>
      </c>
      <c r="C5973" t="s">
        <v>26</v>
      </c>
      <c r="D5973" t="s">
        <v>22</v>
      </c>
      <c r="E5973" t="s">
        <v>17</v>
      </c>
      <c r="F5973" t="s">
        <v>23</v>
      </c>
      <c r="G5973" t="s">
        <v>43</v>
      </c>
      <c r="H5973" t="s">
        <v>25</v>
      </c>
      <c r="I5973" s="1">
        <v>3</v>
      </c>
      <c r="J5973" s="2">
        <v>45720</v>
      </c>
      <c r="L5973" s="1" t="str">
        <f t="shared" si="681"/>
        <v>ter</v>
      </c>
      <c r="M5973" s="1" t="str">
        <f t="shared" si="680"/>
        <v>mar</v>
      </c>
      <c r="N5973">
        <f t="shared" si="682"/>
        <v>2025</v>
      </c>
      <c r="P5973" t="str">
        <f t="shared" si="683"/>
        <v>126145720</v>
      </c>
    </row>
    <row r="5974" spans="1:16" x14ac:dyDescent="0.3">
      <c r="A5974">
        <v>1261</v>
      </c>
      <c r="B5974">
        <v>47</v>
      </c>
      <c r="C5974" t="s">
        <v>26</v>
      </c>
      <c r="D5974" t="s">
        <v>22</v>
      </c>
      <c r="E5974" t="s">
        <v>17</v>
      </c>
      <c r="F5974" t="s">
        <v>23</v>
      </c>
      <c r="G5974" t="s">
        <v>43</v>
      </c>
      <c r="H5974" t="s">
        <v>25</v>
      </c>
      <c r="I5974" s="1">
        <v>3</v>
      </c>
      <c r="J5974" s="2">
        <v>45721</v>
      </c>
      <c r="L5974" s="1" t="str">
        <f t="shared" si="681"/>
        <v>qua</v>
      </c>
      <c r="M5974" s="1" t="str">
        <f t="shared" si="680"/>
        <v>mar</v>
      </c>
      <c r="N5974">
        <f t="shared" si="682"/>
        <v>2025</v>
      </c>
      <c r="P5974" t="str">
        <f t="shared" si="683"/>
        <v>126145721</v>
      </c>
    </row>
    <row r="5975" spans="1:16" x14ac:dyDescent="0.3">
      <c r="A5975">
        <v>1261</v>
      </c>
      <c r="B5975">
        <v>47</v>
      </c>
      <c r="C5975" t="s">
        <v>26</v>
      </c>
      <c r="D5975" t="s">
        <v>22</v>
      </c>
      <c r="E5975" t="s">
        <v>17</v>
      </c>
      <c r="F5975" t="s">
        <v>23</v>
      </c>
      <c r="G5975" t="s">
        <v>43</v>
      </c>
      <c r="H5975" t="s">
        <v>25</v>
      </c>
      <c r="I5975" s="1">
        <v>3</v>
      </c>
      <c r="J5975" s="2">
        <v>45722</v>
      </c>
      <c r="L5975" s="1" t="str">
        <f t="shared" si="681"/>
        <v>qui</v>
      </c>
      <c r="M5975" s="1" t="str">
        <f t="shared" si="680"/>
        <v>mar</v>
      </c>
      <c r="N5975">
        <f t="shared" si="682"/>
        <v>2025</v>
      </c>
      <c r="P5975" t="str">
        <f t="shared" si="683"/>
        <v>126145722</v>
      </c>
    </row>
    <row r="5976" spans="1:16" x14ac:dyDescent="0.3">
      <c r="A5976">
        <v>1261</v>
      </c>
      <c r="B5976">
        <v>47</v>
      </c>
      <c r="C5976" t="s">
        <v>26</v>
      </c>
      <c r="D5976" t="s">
        <v>22</v>
      </c>
      <c r="E5976" t="s">
        <v>17</v>
      </c>
      <c r="F5976" t="s">
        <v>23</v>
      </c>
      <c r="G5976" t="s">
        <v>43</v>
      </c>
      <c r="H5976" t="s">
        <v>25</v>
      </c>
      <c r="I5976" s="1">
        <v>3</v>
      </c>
      <c r="J5976" s="2">
        <v>45723</v>
      </c>
      <c r="L5976" s="1" t="str">
        <f t="shared" si="681"/>
        <v>sex</v>
      </c>
      <c r="M5976" s="1" t="str">
        <f t="shared" si="680"/>
        <v>mar</v>
      </c>
      <c r="N5976">
        <f t="shared" si="682"/>
        <v>2025</v>
      </c>
      <c r="P5976" t="str">
        <f t="shared" si="683"/>
        <v>126145723</v>
      </c>
    </row>
    <row r="5977" spans="1:16" x14ac:dyDescent="0.3">
      <c r="A5977">
        <v>1036</v>
      </c>
      <c r="B5977">
        <v>22</v>
      </c>
      <c r="C5977" t="s">
        <v>26</v>
      </c>
      <c r="D5977" t="s">
        <v>27</v>
      </c>
      <c r="E5977" t="s">
        <v>17</v>
      </c>
      <c r="F5977" t="s">
        <v>21</v>
      </c>
      <c r="G5977" t="s">
        <v>43</v>
      </c>
      <c r="H5977" t="s">
        <v>25</v>
      </c>
      <c r="I5977" s="1">
        <v>3</v>
      </c>
      <c r="J5977" s="2">
        <v>45723</v>
      </c>
      <c r="L5977" s="1" t="str">
        <f t="shared" ref="L5977" si="684">TEXT(J5977,"ddd")</f>
        <v>sex</v>
      </c>
      <c r="M5977" s="1" t="str">
        <f t="shared" si="680"/>
        <v>mar</v>
      </c>
      <c r="N5977">
        <f t="shared" ref="N5977" si="685">YEAR(J5977)</f>
        <v>2025</v>
      </c>
      <c r="P5977" t="str">
        <f t="shared" ref="P5977" si="686">CONCATENATE(A5977,J5977)</f>
        <v>103645723</v>
      </c>
    </row>
    <row r="5978" spans="1:16" x14ac:dyDescent="0.3">
      <c r="A5978">
        <v>1036</v>
      </c>
      <c r="B5978">
        <v>22</v>
      </c>
      <c r="C5978" t="s">
        <v>26</v>
      </c>
      <c r="D5978" t="s">
        <v>27</v>
      </c>
      <c r="E5978" t="s">
        <v>17</v>
      </c>
      <c r="F5978" t="s">
        <v>21</v>
      </c>
      <c r="G5978" t="s">
        <v>43</v>
      </c>
      <c r="H5978" t="s">
        <v>25</v>
      </c>
      <c r="I5978" s="1">
        <v>3</v>
      </c>
      <c r="J5978" s="2">
        <v>45724</v>
      </c>
      <c r="L5978" s="1" t="str">
        <f t="shared" ref="L5978" si="687">TEXT(J5978,"ddd")</f>
        <v>sáb</v>
      </c>
      <c r="M5978" s="1" t="str">
        <f t="shared" si="680"/>
        <v>mar</v>
      </c>
      <c r="N5978">
        <f t="shared" ref="N5978" si="688">YEAR(J5978)</f>
        <v>2025</v>
      </c>
      <c r="P5978" t="str">
        <f t="shared" ref="P5978" si="689">CONCATENATE(A5978,J5978)</f>
        <v>103645724</v>
      </c>
    </row>
    <row r="5979" spans="1:16" x14ac:dyDescent="0.3">
      <c r="A5979">
        <v>1036</v>
      </c>
      <c r="B5979">
        <v>22</v>
      </c>
      <c r="C5979" t="s">
        <v>26</v>
      </c>
      <c r="D5979" t="s">
        <v>27</v>
      </c>
      <c r="E5979" t="s">
        <v>17</v>
      </c>
      <c r="F5979" t="s">
        <v>21</v>
      </c>
      <c r="G5979" t="s">
        <v>43</v>
      </c>
      <c r="H5979" t="s">
        <v>25</v>
      </c>
      <c r="I5979" s="1">
        <v>3</v>
      </c>
      <c r="J5979" s="2">
        <v>45725</v>
      </c>
      <c r="L5979" s="1" t="str">
        <f t="shared" ref="L5979:L6042" si="690">TEXT(J5979,"ddd")</f>
        <v>dom</v>
      </c>
      <c r="M5979" s="1" t="str">
        <f t="shared" si="680"/>
        <v>mar</v>
      </c>
      <c r="N5979">
        <f t="shared" ref="N5979:N6042" si="691">YEAR(J5979)</f>
        <v>2025</v>
      </c>
      <c r="P5979" t="str">
        <f t="shared" ref="P5979:P6042" si="692">CONCATENATE(A5979,J5979)</f>
        <v>103645725</v>
      </c>
    </row>
    <row r="5980" spans="1:16" x14ac:dyDescent="0.3">
      <c r="A5980">
        <v>1036</v>
      </c>
      <c r="B5980">
        <v>22</v>
      </c>
      <c r="C5980" t="s">
        <v>26</v>
      </c>
      <c r="D5980" t="s">
        <v>27</v>
      </c>
      <c r="E5980" t="s">
        <v>17</v>
      </c>
      <c r="F5980" t="s">
        <v>21</v>
      </c>
      <c r="G5980" t="s">
        <v>43</v>
      </c>
      <c r="H5980" t="s">
        <v>25</v>
      </c>
      <c r="I5980" s="1">
        <v>3</v>
      </c>
      <c r="J5980" s="2">
        <v>45726</v>
      </c>
      <c r="L5980" s="1" t="str">
        <f t="shared" si="690"/>
        <v>seg</v>
      </c>
      <c r="M5980" s="1" t="str">
        <f t="shared" si="680"/>
        <v>mar</v>
      </c>
      <c r="N5980">
        <f t="shared" si="691"/>
        <v>2025</v>
      </c>
      <c r="P5980" t="str">
        <f t="shared" si="692"/>
        <v>103645726</v>
      </c>
    </row>
    <row r="5981" spans="1:16" x14ac:dyDescent="0.3">
      <c r="A5981">
        <v>1036</v>
      </c>
      <c r="B5981">
        <v>22</v>
      </c>
      <c r="C5981" t="s">
        <v>26</v>
      </c>
      <c r="D5981" t="s">
        <v>27</v>
      </c>
      <c r="E5981" t="s">
        <v>17</v>
      </c>
      <c r="F5981" t="s">
        <v>21</v>
      </c>
      <c r="G5981" t="s">
        <v>43</v>
      </c>
      <c r="H5981" t="s">
        <v>25</v>
      </c>
      <c r="I5981" s="1">
        <v>3</v>
      </c>
      <c r="J5981" s="2">
        <v>45727</v>
      </c>
      <c r="L5981" s="1" t="str">
        <f t="shared" si="690"/>
        <v>ter</v>
      </c>
      <c r="M5981" s="1" t="str">
        <f t="shared" si="680"/>
        <v>mar</v>
      </c>
      <c r="N5981">
        <f t="shared" si="691"/>
        <v>2025</v>
      </c>
      <c r="P5981" t="str">
        <f t="shared" si="692"/>
        <v>103645727</v>
      </c>
    </row>
    <row r="5982" spans="1:16" x14ac:dyDescent="0.3">
      <c r="A5982">
        <v>1036</v>
      </c>
      <c r="B5982">
        <v>22</v>
      </c>
      <c r="C5982" t="s">
        <v>26</v>
      </c>
      <c r="D5982" t="s">
        <v>27</v>
      </c>
      <c r="E5982" t="s">
        <v>17</v>
      </c>
      <c r="F5982" t="s">
        <v>21</v>
      </c>
      <c r="G5982" t="s">
        <v>43</v>
      </c>
      <c r="H5982" t="s">
        <v>25</v>
      </c>
      <c r="I5982" s="1">
        <v>3</v>
      </c>
      <c r="J5982" s="2">
        <v>45728</v>
      </c>
      <c r="L5982" s="1" t="str">
        <f t="shared" si="690"/>
        <v>qua</v>
      </c>
      <c r="M5982" s="1" t="str">
        <f t="shared" si="680"/>
        <v>mar</v>
      </c>
      <c r="N5982">
        <f t="shared" si="691"/>
        <v>2025</v>
      </c>
      <c r="P5982" t="str">
        <f t="shared" si="692"/>
        <v>103645728</v>
      </c>
    </row>
    <row r="5983" spans="1:16" x14ac:dyDescent="0.3">
      <c r="A5983">
        <v>1036</v>
      </c>
      <c r="B5983">
        <v>22</v>
      </c>
      <c r="C5983" t="s">
        <v>26</v>
      </c>
      <c r="D5983" t="s">
        <v>27</v>
      </c>
      <c r="E5983" t="s">
        <v>17</v>
      </c>
      <c r="F5983" t="s">
        <v>21</v>
      </c>
      <c r="G5983" t="s">
        <v>43</v>
      </c>
      <c r="H5983" t="s">
        <v>25</v>
      </c>
      <c r="I5983" s="1">
        <v>3</v>
      </c>
      <c r="J5983" s="2">
        <v>45729</v>
      </c>
      <c r="L5983" s="1" t="str">
        <f t="shared" si="690"/>
        <v>qui</v>
      </c>
      <c r="M5983" s="1" t="str">
        <f t="shared" si="680"/>
        <v>mar</v>
      </c>
      <c r="N5983">
        <f t="shared" si="691"/>
        <v>2025</v>
      </c>
      <c r="P5983" t="str">
        <f t="shared" si="692"/>
        <v>103645729</v>
      </c>
    </row>
    <row r="5984" spans="1:16" x14ac:dyDescent="0.3">
      <c r="A5984">
        <v>1036</v>
      </c>
      <c r="B5984">
        <v>22</v>
      </c>
      <c r="C5984" t="s">
        <v>26</v>
      </c>
      <c r="D5984" t="s">
        <v>27</v>
      </c>
      <c r="E5984" t="s">
        <v>17</v>
      </c>
      <c r="F5984" t="s">
        <v>21</v>
      </c>
      <c r="G5984" t="s">
        <v>43</v>
      </c>
      <c r="H5984" t="s">
        <v>25</v>
      </c>
      <c r="I5984" s="1">
        <v>3</v>
      </c>
      <c r="J5984" s="2">
        <v>45730</v>
      </c>
      <c r="L5984" s="1" t="str">
        <f t="shared" si="690"/>
        <v>sex</v>
      </c>
      <c r="M5984" s="1" t="str">
        <f t="shared" si="680"/>
        <v>mar</v>
      </c>
      <c r="N5984">
        <f t="shared" si="691"/>
        <v>2025</v>
      </c>
      <c r="P5984" t="str">
        <f t="shared" si="692"/>
        <v>103645730</v>
      </c>
    </row>
    <row r="5985" spans="1:16" x14ac:dyDescent="0.3">
      <c r="A5985">
        <v>1036</v>
      </c>
      <c r="B5985">
        <v>22</v>
      </c>
      <c r="C5985" t="s">
        <v>26</v>
      </c>
      <c r="D5985" t="s">
        <v>27</v>
      </c>
      <c r="E5985" t="s">
        <v>17</v>
      </c>
      <c r="F5985" t="s">
        <v>21</v>
      </c>
      <c r="G5985" t="s">
        <v>43</v>
      </c>
      <c r="H5985" t="s">
        <v>25</v>
      </c>
      <c r="I5985" s="1">
        <v>3</v>
      </c>
      <c r="J5985" s="2">
        <v>45731</v>
      </c>
      <c r="L5985" s="1" t="str">
        <f t="shared" si="690"/>
        <v>sáb</v>
      </c>
      <c r="M5985" s="1" t="str">
        <f t="shared" si="680"/>
        <v>mar</v>
      </c>
      <c r="N5985">
        <f t="shared" si="691"/>
        <v>2025</v>
      </c>
      <c r="P5985" t="str">
        <f t="shared" si="692"/>
        <v>103645731</v>
      </c>
    </row>
    <row r="5986" spans="1:16" x14ac:dyDescent="0.3">
      <c r="A5986">
        <v>1036</v>
      </c>
      <c r="B5986">
        <v>22</v>
      </c>
      <c r="C5986" t="s">
        <v>26</v>
      </c>
      <c r="D5986" t="s">
        <v>27</v>
      </c>
      <c r="E5986" t="s">
        <v>17</v>
      </c>
      <c r="F5986" t="s">
        <v>21</v>
      </c>
      <c r="G5986" t="s">
        <v>43</v>
      </c>
      <c r="H5986" t="s">
        <v>25</v>
      </c>
      <c r="I5986" s="1">
        <v>3</v>
      </c>
      <c r="J5986" s="2">
        <v>45732</v>
      </c>
      <c r="L5986" s="1" t="str">
        <f t="shared" si="690"/>
        <v>dom</v>
      </c>
      <c r="M5986" s="1" t="str">
        <f t="shared" si="680"/>
        <v>mar</v>
      </c>
      <c r="N5986">
        <f t="shared" si="691"/>
        <v>2025</v>
      </c>
      <c r="P5986" t="str">
        <f t="shared" si="692"/>
        <v>103645732</v>
      </c>
    </row>
    <row r="5987" spans="1:16" x14ac:dyDescent="0.3">
      <c r="A5987">
        <v>1036</v>
      </c>
      <c r="B5987">
        <v>22</v>
      </c>
      <c r="C5987" t="s">
        <v>26</v>
      </c>
      <c r="D5987" t="s">
        <v>27</v>
      </c>
      <c r="E5987" t="s">
        <v>17</v>
      </c>
      <c r="F5987" t="s">
        <v>21</v>
      </c>
      <c r="G5987" t="s">
        <v>43</v>
      </c>
      <c r="H5987" t="s">
        <v>25</v>
      </c>
      <c r="I5987" s="1">
        <v>3</v>
      </c>
      <c r="J5987" s="2">
        <v>45733</v>
      </c>
      <c r="L5987" s="1" t="str">
        <f t="shared" si="690"/>
        <v>seg</v>
      </c>
      <c r="M5987" s="1" t="str">
        <f t="shared" si="680"/>
        <v>mar</v>
      </c>
      <c r="N5987">
        <f t="shared" si="691"/>
        <v>2025</v>
      </c>
      <c r="P5987" t="str">
        <f t="shared" si="692"/>
        <v>103645733</v>
      </c>
    </row>
    <row r="5988" spans="1:16" x14ac:dyDescent="0.3">
      <c r="A5988">
        <v>1036</v>
      </c>
      <c r="B5988">
        <v>22</v>
      </c>
      <c r="C5988" t="s">
        <v>26</v>
      </c>
      <c r="D5988" t="s">
        <v>27</v>
      </c>
      <c r="E5988" t="s">
        <v>17</v>
      </c>
      <c r="F5988" t="s">
        <v>21</v>
      </c>
      <c r="G5988" t="s">
        <v>43</v>
      </c>
      <c r="H5988" t="s">
        <v>25</v>
      </c>
      <c r="I5988" s="1">
        <v>3</v>
      </c>
      <c r="J5988" s="2">
        <v>45734</v>
      </c>
      <c r="L5988" s="1" t="str">
        <f t="shared" si="690"/>
        <v>ter</v>
      </c>
      <c r="M5988" s="1" t="str">
        <f t="shared" si="680"/>
        <v>mar</v>
      </c>
      <c r="N5988">
        <f t="shared" si="691"/>
        <v>2025</v>
      </c>
      <c r="P5988" t="str">
        <f t="shared" si="692"/>
        <v>103645734</v>
      </c>
    </row>
    <row r="5989" spans="1:16" x14ac:dyDescent="0.3">
      <c r="A5989">
        <v>1036</v>
      </c>
      <c r="B5989">
        <v>22</v>
      </c>
      <c r="C5989" t="s">
        <v>26</v>
      </c>
      <c r="D5989" t="s">
        <v>27</v>
      </c>
      <c r="E5989" t="s">
        <v>17</v>
      </c>
      <c r="F5989" t="s">
        <v>21</v>
      </c>
      <c r="G5989" t="s">
        <v>43</v>
      </c>
      <c r="H5989" t="s">
        <v>25</v>
      </c>
      <c r="I5989" s="1">
        <v>3</v>
      </c>
      <c r="J5989" s="2">
        <v>45735</v>
      </c>
      <c r="L5989" s="1" t="str">
        <f t="shared" si="690"/>
        <v>qua</v>
      </c>
      <c r="M5989" s="1" t="str">
        <f t="shared" si="680"/>
        <v>mar</v>
      </c>
      <c r="N5989">
        <f t="shared" si="691"/>
        <v>2025</v>
      </c>
      <c r="P5989" t="str">
        <f t="shared" si="692"/>
        <v>103645735</v>
      </c>
    </row>
    <row r="5990" spans="1:16" x14ac:dyDescent="0.3">
      <c r="A5990">
        <v>1036</v>
      </c>
      <c r="B5990">
        <v>22</v>
      </c>
      <c r="C5990" t="s">
        <v>26</v>
      </c>
      <c r="D5990" t="s">
        <v>27</v>
      </c>
      <c r="E5990" t="s">
        <v>17</v>
      </c>
      <c r="F5990" t="s">
        <v>21</v>
      </c>
      <c r="G5990" t="s">
        <v>43</v>
      </c>
      <c r="H5990" t="s">
        <v>25</v>
      </c>
      <c r="I5990" s="1">
        <v>3</v>
      </c>
      <c r="J5990" s="2">
        <v>45736</v>
      </c>
      <c r="L5990" s="1" t="str">
        <f t="shared" si="690"/>
        <v>qui</v>
      </c>
      <c r="M5990" s="1" t="str">
        <f t="shared" si="680"/>
        <v>mar</v>
      </c>
      <c r="N5990">
        <f t="shared" si="691"/>
        <v>2025</v>
      </c>
      <c r="P5990" t="str">
        <f t="shared" si="692"/>
        <v>103645736</v>
      </c>
    </row>
    <row r="5991" spans="1:16" x14ac:dyDescent="0.3">
      <c r="A5991">
        <v>1036</v>
      </c>
      <c r="B5991">
        <v>22</v>
      </c>
      <c r="C5991" t="s">
        <v>26</v>
      </c>
      <c r="D5991" t="s">
        <v>27</v>
      </c>
      <c r="E5991" t="s">
        <v>17</v>
      </c>
      <c r="F5991" t="s">
        <v>21</v>
      </c>
      <c r="G5991" t="s">
        <v>43</v>
      </c>
      <c r="H5991" t="s">
        <v>25</v>
      </c>
      <c r="I5991" s="1">
        <v>3</v>
      </c>
      <c r="J5991" s="2">
        <v>45737</v>
      </c>
      <c r="L5991" s="1" t="str">
        <f t="shared" si="690"/>
        <v>sex</v>
      </c>
      <c r="M5991" s="1" t="str">
        <f t="shared" si="680"/>
        <v>mar</v>
      </c>
      <c r="N5991">
        <f t="shared" si="691"/>
        <v>2025</v>
      </c>
      <c r="P5991" t="str">
        <f t="shared" si="692"/>
        <v>103645737</v>
      </c>
    </row>
    <row r="5992" spans="1:16" x14ac:dyDescent="0.3">
      <c r="A5992">
        <v>1036</v>
      </c>
      <c r="B5992">
        <v>22</v>
      </c>
      <c r="C5992" t="s">
        <v>26</v>
      </c>
      <c r="D5992" t="s">
        <v>27</v>
      </c>
      <c r="E5992" t="s">
        <v>17</v>
      </c>
      <c r="F5992" t="s">
        <v>21</v>
      </c>
      <c r="G5992" t="s">
        <v>43</v>
      </c>
      <c r="H5992" t="s">
        <v>25</v>
      </c>
      <c r="I5992" s="1">
        <v>3</v>
      </c>
      <c r="J5992" s="2">
        <v>45738</v>
      </c>
      <c r="L5992" s="1" t="str">
        <f t="shared" si="690"/>
        <v>sáb</v>
      </c>
      <c r="M5992" s="1" t="str">
        <f t="shared" si="680"/>
        <v>mar</v>
      </c>
      <c r="N5992">
        <f t="shared" si="691"/>
        <v>2025</v>
      </c>
      <c r="P5992" t="str">
        <f t="shared" si="692"/>
        <v>103645738</v>
      </c>
    </row>
    <row r="5993" spans="1:16" x14ac:dyDescent="0.3">
      <c r="A5993">
        <v>1036</v>
      </c>
      <c r="B5993">
        <v>22</v>
      </c>
      <c r="C5993" t="s">
        <v>26</v>
      </c>
      <c r="D5993" t="s">
        <v>27</v>
      </c>
      <c r="E5993" t="s">
        <v>17</v>
      </c>
      <c r="F5993" t="s">
        <v>21</v>
      </c>
      <c r="G5993" t="s">
        <v>43</v>
      </c>
      <c r="H5993" t="s">
        <v>25</v>
      </c>
      <c r="I5993" s="1">
        <v>3</v>
      </c>
      <c r="J5993" s="2">
        <v>45739</v>
      </c>
      <c r="L5993" s="1" t="str">
        <f t="shared" si="690"/>
        <v>dom</v>
      </c>
      <c r="M5993" s="1" t="str">
        <f t="shared" si="680"/>
        <v>mar</v>
      </c>
      <c r="N5993">
        <f t="shared" si="691"/>
        <v>2025</v>
      </c>
      <c r="P5993" t="str">
        <f t="shared" si="692"/>
        <v>103645739</v>
      </c>
    </row>
    <row r="5994" spans="1:16" x14ac:dyDescent="0.3">
      <c r="A5994">
        <v>1036</v>
      </c>
      <c r="B5994">
        <v>22</v>
      </c>
      <c r="C5994" t="s">
        <v>26</v>
      </c>
      <c r="D5994" t="s">
        <v>27</v>
      </c>
      <c r="E5994" t="s">
        <v>17</v>
      </c>
      <c r="F5994" t="s">
        <v>21</v>
      </c>
      <c r="G5994" t="s">
        <v>43</v>
      </c>
      <c r="H5994" t="s">
        <v>25</v>
      </c>
      <c r="I5994" s="1">
        <v>3</v>
      </c>
      <c r="J5994" s="2">
        <v>45740</v>
      </c>
      <c r="L5994" s="1" t="str">
        <f t="shared" si="690"/>
        <v>seg</v>
      </c>
      <c r="M5994" s="1" t="str">
        <f t="shared" si="680"/>
        <v>mar</v>
      </c>
      <c r="N5994">
        <f t="shared" si="691"/>
        <v>2025</v>
      </c>
      <c r="P5994" t="str">
        <f t="shared" si="692"/>
        <v>103645740</v>
      </c>
    </row>
    <row r="5995" spans="1:16" x14ac:dyDescent="0.3">
      <c r="A5995">
        <v>1036</v>
      </c>
      <c r="B5995">
        <v>22</v>
      </c>
      <c r="C5995" t="s">
        <v>26</v>
      </c>
      <c r="D5995" t="s">
        <v>27</v>
      </c>
      <c r="E5995" t="s">
        <v>17</v>
      </c>
      <c r="F5995" t="s">
        <v>21</v>
      </c>
      <c r="G5995" t="s">
        <v>43</v>
      </c>
      <c r="H5995" t="s">
        <v>25</v>
      </c>
      <c r="I5995" s="1">
        <v>3</v>
      </c>
      <c r="J5995" s="2">
        <v>45741</v>
      </c>
      <c r="L5995" s="1" t="str">
        <f t="shared" si="690"/>
        <v>ter</v>
      </c>
      <c r="M5995" s="1" t="str">
        <f t="shared" si="680"/>
        <v>mar</v>
      </c>
      <c r="N5995">
        <f t="shared" si="691"/>
        <v>2025</v>
      </c>
      <c r="P5995" t="str">
        <f t="shared" si="692"/>
        <v>103645741</v>
      </c>
    </row>
    <row r="5996" spans="1:16" x14ac:dyDescent="0.3">
      <c r="A5996">
        <v>1036</v>
      </c>
      <c r="B5996">
        <v>22</v>
      </c>
      <c r="C5996" t="s">
        <v>26</v>
      </c>
      <c r="D5996" t="s">
        <v>27</v>
      </c>
      <c r="E5996" t="s">
        <v>17</v>
      </c>
      <c r="F5996" t="s">
        <v>21</v>
      </c>
      <c r="G5996" t="s">
        <v>43</v>
      </c>
      <c r="H5996" t="s">
        <v>25</v>
      </c>
      <c r="I5996" s="1">
        <v>3</v>
      </c>
      <c r="J5996" s="2">
        <v>45742</v>
      </c>
      <c r="L5996" s="1" t="str">
        <f t="shared" si="690"/>
        <v>qua</v>
      </c>
      <c r="M5996" s="1" t="str">
        <f t="shared" si="680"/>
        <v>mar</v>
      </c>
      <c r="N5996">
        <f t="shared" si="691"/>
        <v>2025</v>
      </c>
      <c r="P5996" t="str">
        <f t="shared" si="692"/>
        <v>103645742</v>
      </c>
    </row>
    <row r="5997" spans="1:16" x14ac:dyDescent="0.3">
      <c r="A5997">
        <v>1036</v>
      </c>
      <c r="B5997">
        <v>22</v>
      </c>
      <c r="C5997" t="s">
        <v>26</v>
      </c>
      <c r="D5997" t="s">
        <v>27</v>
      </c>
      <c r="E5997" t="s">
        <v>17</v>
      </c>
      <c r="F5997" t="s">
        <v>21</v>
      </c>
      <c r="G5997" t="s">
        <v>43</v>
      </c>
      <c r="H5997" t="s">
        <v>25</v>
      </c>
      <c r="I5997" s="1">
        <v>3</v>
      </c>
      <c r="J5997" s="2">
        <v>45743</v>
      </c>
      <c r="L5997" s="1" t="str">
        <f t="shared" si="690"/>
        <v>qui</v>
      </c>
      <c r="M5997" s="1" t="str">
        <f t="shared" si="680"/>
        <v>mar</v>
      </c>
      <c r="N5997">
        <f t="shared" si="691"/>
        <v>2025</v>
      </c>
      <c r="P5997" t="str">
        <f t="shared" si="692"/>
        <v>103645743</v>
      </c>
    </row>
    <row r="5998" spans="1:16" x14ac:dyDescent="0.3">
      <c r="A5998">
        <v>1036</v>
      </c>
      <c r="B5998">
        <v>22</v>
      </c>
      <c r="C5998" t="s">
        <v>26</v>
      </c>
      <c r="D5998" t="s">
        <v>27</v>
      </c>
      <c r="E5998" t="s">
        <v>17</v>
      </c>
      <c r="F5998" t="s">
        <v>21</v>
      </c>
      <c r="G5998" t="s">
        <v>43</v>
      </c>
      <c r="H5998" t="s">
        <v>25</v>
      </c>
      <c r="I5998" s="1">
        <v>3</v>
      </c>
      <c r="J5998" s="2">
        <v>45744</v>
      </c>
      <c r="L5998" s="1" t="str">
        <f t="shared" si="690"/>
        <v>sex</v>
      </c>
      <c r="M5998" s="1" t="str">
        <f t="shared" si="680"/>
        <v>mar</v>
      </c>
      <c r="N5998">
        <f t="shared" si="691"/>
        <v>2025</v>
      </c>
      <c r="P5998" t="str">
        <f t="shared" si="692"/>
        <v>103645744</v>
      </c>
    </row>
    <row r="5999" spans="1:16" x14ac:dyDescent="0.3">
      <c r="A5999">
        <v>1036</v>
      </c>
      <c r="B5999">
        <v>22</v>
      </c>
      <c r="C5999" t="s">
        <v>26</v>
      </c>
      <c r="D5999" t="s">
        <v>27</v>
      </c>
      <c r="E5999" t="s">
        <v>17</v>
      </c>
      <c r="F5999" t="s">
        <v>21</v>
      </c>
      <c r="G5999" t="s">
        <v>43</v>
      </c>
      <c r="H5999" t="s">
        <v>25</v>
      </c>
      <c r="I5999" s="1">
        <v>3</v>
      </c>
      <c r="J5999" s="2">
        <v>45745</v>
      </c>
      <c r="L5999" s="1" t="str">
        <f t="shared" si="690"/>
        <v>sáb</v>
      </c>
      <c r="M5999" s="1" t="str">
        <f t="shared" si="680"/>
        <v>mar</v>
      </c>
      <c r="N5999">
        <f t="shared" si="691"/>
        <v>2025</v>
      </c>
      <c r="P5999" t="str">
        <f t="shared" si="692"/>
        <v>103645745</v>
      </c>
    </row>
    <row r="6000" spans="1:16" x14ac:dyDescent="0.3">
      <c r="A6000">
        <v>1036</v>
      </c>
      <c r="B6000">
        <v>22</v>
      </c>
      <c r="C6000" t="s">
        <v>26</v>
      </c>
      <c r="D6000" t="s">
        <v>27</v>
      </c>
      <c r="E6000" t="s">
        <v>17</v>
      </c>
      <c r="F6000" t="s">
        <v>21</v>
      </c>
      <c r="G6000" t="s">
        <v>43</v>
      </c>
      <c r="H6000" t="s">
        <v>25</v>
      </c>
      <c r="I6000" s="1">
        <v>3</v>
      </c>
      <c r="J6000" s="2">
        <v>45746</v>
      </c>
      <c r="L6000" s="1" t="str">
        <f t="shared" si="690"/>
        <v>dom</v>
      </c>
      <c r="M6000" s="1" t="str">
        <f t="shared" si="680"/>
        <v>mar</v>
      </c>
      <c r="N6000">
        <f t="shared" si="691"/>
        <v>2025</v>
      </c>
      <c r="P6000" t="str">
        <f t="shared" si="692"/>
        <v>103645746</v>
      </c>
    </row>
    <row r="6001" spans="1:16" x14ac:dyDescent="0.3">
      <c r="A6001">
        <v>1036</v>
      </c>
      <c r="B6001">
        <v>22</v>
      </c>
      <c r="C6001" t="s">
        <v>26</v>
      </c>
      <c r="D6001" t="s">
        <v>27</v>
      </c>
      <c r="E6001" t="s">
        <v>17</v>
      </c>
      <c r="F6001" t="s">
        <v>21</v>
      </c>
      <c r="G6001" t="s">
        <v>43</v>
      </c>
      <c r="H6001" t="s">
        <v>25</v>
      </c>
      <c r="I6001" s="1">
        <v>3</v>
      </c>
      <c r="J6001" s="2">
        <v>45747</v>
      </c>
      <c r="L6001" s="1" t="str">
        <f t="shared" si="690"/>
        <v>seg</v>
      </c>
      <c r="M6001" s="1" t="str">
        <f t="shared" ref="M6001:M6064" si="693">TEXT($J6001,"mmm")</f>
        <v>mar</v>
      </c>
      <c r="N6001">
        <f t="shared" si="691"/>
        <v>2025</v>
      </c>
      <c r="P6001" t="str">
        <f t="shared" si="692"/>
        <v>103645747</v>
      </c>
    </row>
    <row r="6002" spans="1:16" x14ac:dyDescent="0.3">
      <c r="A6002">
        <v>1036</v>
      </c>
      <c r="B6002">
        <v>22</v>
      </c>
      <c r="C6002" t="s">
        <v>26</v>
      </c>
      <c r="D6002" t="s">
        <v>27</v>
      </c>
      <c r="E6002" t="s">
        <v>17</v>
      </c>
      <c r="F6002" t="s">
        <v>21</v>
      </c>
      <c r="G6002" t="s">
        <v>43</v>
      </c>
      <c r="H6002" t="s">
        <v>25</v>
      </c>
      <c r="I6002" s="1">
        <v>3</v>
      </c>
      <c r="J6002" s="2">
        <v>45748</v>
      </c>
      <c r="L6002" s="1" t="str">
        <f t="shared" si="690"/>
        <v>ter</v>
      </c>
      <c r="M6002" s="1" t="str">
        <f t="shared" si="693"/>
        <v>abr</v>
      </c>
      <c r="N6002">
        <f t="shared" si="691"/>
        <v>2025</v>
      </c>
      <c r="P6002" t="str">
        <f t="shared" si="692"/>
        <v>103645748</v>
      </c>
    </row>
    <row r="6003" spans="1:16" x14ac:dyDescent="0.3">
      <c r="A6003">
        <v>1036</v>
      </c>
      <c r="B6003">
        <v>22</v>
      </c>
      <c r="C6003" t="s">
        <v>26</v>
      </c>
      <c r="D6003" t="s">
        <v>27</v>
      </c>
      <c r="E6003" t="s">
        <v>17</v>
      </c>
      <c r="F6003" t="s">
        <v>21</v>
      </c>
      <c r="G6003" t="s">
        <v>43</v>
      </c>
      <c r="H6003" t="s">
        <v>25</v>
      </c>
      <c r="I6003" s="1">
        <v>3</v>
      </c>
      <c r="J6003" s="2">
        <v>45749</v>
      </c>
      <c r="L6003" s="1" t="str">
        <f t="shared" si="690"/>
        <v>qua</v>
      </c>
      <c r="M6003" s="1" t="str">
        <f t="shared" si="693"/>
        <v>abr</v>
      </c>
      <c r="N6003">
        <f t="shared" si="691"/>
        <v>2025</v>
      </c>
      <c r="P6003" t="str">
        <f t="shared" si="692"/>
        <v>103645749</v>
      </c>
    </row>
    <row r="6004" spans="1:16" x14ac:dyDescent="0.3">
      <c r="A6004">
        <v>1036</v>
      </c>
      <c r="B6004">
        <v>22</v>
      </c>
      <c r="C6004" t="s">
        <v>26</v>
      </c>
      <c r="D6004" t="s">
        <v>27</v>
      </c>
      <c r="E6004" t="s">
        <v>17</v>
      </c>
      <c r="F6004" t="s">
        <v>21</v>
      </c>
      <c r="G6004" t="s">
        <v>43</v>
      </c>
      <c r="H6004" t="s">
        <v>25</v>
      </c>
      <c r="I6004" s="1">
        <v>3</v>
      </c>
      <c r="J6004" s="2">
        <v>45750</v>
      </c>
      <c r="L6004" s="1" t="str">
        <f t="shared" si="690"/>
        <v>qui</v>
      </c>
      <c r="M6004" s="1" t="str">
        <f t="shared" si="693"/>
        <v>abr</v>
      </c>
      <c r="N6004">
        <f t="shared" si="691"/>
        <v>2025</v>
      </c>
      <c r="P6004" t="str">
        <f t="shared" si="692"/>
        <v>103645750</v>
      </c>
    </row>
    <row r="6005" spans="1:16" x14ac:dyDescent="0.3">
      <c r="A6005">
        <v>1036</v>
      </c>
      <c r="B6005">
        <v>22</v>
      </c>
      <c r="C6005" t="s">
        <v>26</v>
      </c>
      <c r="D6005" t="s">
        <v>27</v>
      </c>
      <c r="E6005" t="s">
        <v>17</v>
      </c>
      <c r="F6005" t="s">
        <v>21</v>
      </c>
      <c r="G6005" t="s">
        <v>43</v>
      </c>
      <c r="H6005" t="s">
        <v>25</v>
      </c>
      <c r="I6005" s="1">
        <v>3</v>
      </c>
      <c r="J6005" s="2">
        <v>45751</v>
      </c>
      <c r="L6005" s="1" t="str">
        <f t="shared" si="690"/>
        <v>sex</v>
      </c>
      <c r="M6005" s="1" t="str">
        <f t="shared" si="693"/>
        <v>abr</v>
      </c>
      <c r="N6005">
        <f t="shared" si="691"/>
        <v>2025</v>
      </c>
      <c r="P6005" t="str">
        <f t="shared" si="692"/>
        <v>103645751</v>
      </c>
    </row>
    <row r="6006" spans="1:16" x14ac:dyDescent="0.3">
      <c r="A6006">
        <v>1036</v>
      </c>
      <c r="B6006">
        <v>22</v>
      </c>
      <c r="C6006" t="s">
        <v>26</v>
      </c>
      <c r="D6006" t="s">
        <v>27</v>
      </c>
      <c r="E6006" t="s">
        <v>17</v>
      </c>
      <c r="F6006" t="s">
        <v>21</v>
      </c>
      <c r="G6006" t="s">
        <v>43</v>
      </c>
      <c r="H6006" t="s">
        <v>25</v>
      </c>
      <c r="I6006" s="1">
        <v>3</v>
      </c>
      <c r="J6006" s="2">
        <v>45752</v>
      </c>
      <c r="L6006" s="1" t="str">
        <f t="shared" si="690"/>
        <v>sáb</v>
      </c>
      <c r="M6006" s="1" t="str">
        <f t="shared" si="693"/>
        <v>abr</v>
      </c>
      <c r="N6006">
        <f t="shared" si="691"/>
        <v>2025</v>
      </c>
      <c r="P6006" t="str">
        <f t="shared" si="692"/>
        <v>103645752</v>
      </c>
    </row>
    <row r="6007" spans="1:16" x14ac:dyDescent="0.3">
      <c r="A6007">
        <v>1036</v>
      </c>
      <c r="B6007">
        <v>22</v>
      </c>
      <c r="C6007" t="s">
        <v>26</v>
      </c>
      <c r="D6007" t="s">
        <v>27</v>
      </c>
      <c r="E6007" t="s">
        <v>17</v>
      </c>
      <c r="F6007" t="s">
        <v>21</v>
      </c>
      <c r="G6007" t="s">
        <v>43</v>
      </c>
      <c r="H6007" t="s">
        <v>25</v>
      </c>
      <c r="I6007" s="1">
        <v>3</v>
      </c>
      <c r="J6007" s="2">
        <v>45753</v>
      </c>
      <c r="L6007" s="1" t="str">
        <f t="shared" si="690"/>
        <v>dom</v>
      </c>
      <c r="M6007" s="1" t="str">
        <f t="shared" si="693"/>
        <v>abr</v>
      </c>
      <c r="N6007">
        <f t="shared" si="691"/>
        <v>2025</v>
      </c>
      <c r="P6007" t="str">
        <f t="shared" si="692"/>
        <v>103645753</v>
      </c>
    </row>
    <row r="6008" spans="1:16" x14ac:dyDescent="0.3">
      <c r="A6008">
        <v>1036</v>
      </c>
      <c r="B6008">
        <v>22</v>
      </c>
      <c r="C6008" t="s">
        <v>26</v>
      </c>
      <c r="D6008" t="s">
        <v>27</v>
      </c>
      <c r="E6008" t="s">
        <v>17</v>
      </c>
      <c r="F6008" t="s">
        <v>21</v>
      </c>
      <c r="G6008" t="s">
        <v>43</v>
      </c>
      <c r="H6008" t="s">
        <v>25</v>
      </c>
      <c r="I6008" s="1">
        <v>3</v>
      </c>
      <c r="J6008" s="2">
        <v>45754</v>
      </c>
      <c r="L6008" s="1" t="str">
        <f t="shared" si="690"/>
        <v>seg</v>
      </c>
      <c r="M6008" s="1" t="str">
        <f t="shared" si="693"/>
        <v>abr</v>
      </c>
      <c r="N6008">
        <f t="shared" si="691"/>
        <v>2025</v>
      </c>
      <c r="P6008" t="str">
        <f t="shared" si="692"/>
        <v>103645754</v>
      </c>
    </row>
    <row r="6009" spans="1:16" x14ac:dyDescent="0.3">
      <c r="A6009">
        <v>1036</v>
      </c>
      <c r="B6009">
        <v>22</v>
      </c>
      <c r="C6009" t="s">
        <v>26</v>
      </c>
      <c r="D6009" t="s">
        <v>27</v>
      </c>
      <c r="E6009" t="s">
        <v>17</v>
      </c>
      <c r="F6009" t="s">
        <v>21</v>
      </c>
      <c r="G6009" t="s">
        <v>43</v>
      </c>
      <c r="H6009" t="s">
        <v>25</v>
      </c>
      <c r="I6009" s="1">
        <v>3</v>
      </c>
      <c r="J6009" s="2">
        <v>45755</v>
      </c>
      <c r="L6009" s="1" t="str">
        <f t="shared" si="690"/>
        <v>ter</v>
      </c>
      <c r="M6009" s="1" t="str">
        <f t="shared" si="693"/>
        <v>abr</v>
      </c>
      <c r="N6009">
        <f t="shared" si="691"/>
        <v>2025</v>
      </c>
      <c r="P6009" t="str">
        <f t="shared" si="692"/>
        <v>103645755</v>
      </c>
    </row>
    <row r="6010" spans="1:16" x14ac:dyDescent="0.3">
      <c r="A6010">
        <v>1036</v>
      </c>
      <c r="B6010">
        <v>22</v>
      </c>
      <c r="C6010" t="s">
        <v>26</v>
      </c>
      <c r="D6010" t="s">
        <v>27</v>
      </c>
      <c r="E6010" t="s">
        <v>17</v>
      </c>
      <c r="F6010" t="s">
        <v>21</v>
      </c>
      <c r="G6010" t="s">
        <v>43</v>
      </c>
      <c r="H6010" t="s">
        <v>25</v>
      </c>
      <c r="I6010" s="1">
        <v>3</v>
      </c>
      <c r="J6010" s="2">
        <v>45756</v>
      </c>
      <c r="L6010" s="1" t="str">
        <f t="shared" si="690"/>
        <v>qua</v>
      </c>
      <c r="M6010" s="1" t="str">
        <f t="shared" si="693"/>
        <v>abr</v>
      </c>
      <c r="N6010">
        <f t="shared" si="691"/>
        <v>2025</v>
      </c>
      <c r="P6010" t="str">
        <f t="shared" si="692"/>
        <v>103645756</v>
      </c>
    </row>
    <row r="6011" spans="1:16" x14ac:dyDescent="0.3">
      <c r="A6011">
        <v>1036</v>
      </c>
      <c r="B6011">
        <v>22</v>
      </c>
      <c r="C6011" t="s">
        <v>26</v>
      </c>
      <c r="D6011" t="s">
        <v>27</v>
      </c>
      <c r="E6011" t="s">
        <v>17</v>
      </c>
      <c r="F6011" t="s">
        <v>21</v>
      </c>
      <c r="G6011" t="s">
        <v>43</v>
      </c>
      <c r="H6011" t="s">
        <v>25</v>
      </c>
      <c r="I6011" s="1">
        <v>3</v>
      </c>
      <c r="J6011" s="2">
        <v>45757</v>
      </c>
      <c r="L6011" s="1" t="str">
        <f t="shared" si="690"/>
        <v>qui</v>
      </c>
      <c r="M6011" s="1" t="str">
        <f t="shared" si="693"/>
        <v>abr</v>
      </c>
      <c r="N6011">
        <f t="shared" si="691"/>
        <v>2025</v>
      </c>
      <c r="P6011" t="str">
        <f t="shared" si="692"/>
        <v>103645757</v>
      </c>
    </row>
    <row r="6012" spans="1:16" x14ac:dyDescent="0.3">
      <c r="A6012">
        <v>1036</v>
      </c>
      <c r="B6012">
        <v>22</v>
      </c>
      <c r="C6012" t="s">
        <v>26</v>
      </c>
      <c r="D6012" t="s">
        <v>27</v>
      </c>
      <c r="E6012" t="s">
        <v>17</v>
      </c>
      <c r="F6012" t="s">
        <v>21</v>
      </c>
      <c r="G6012" t="s">
        <v>43</v>
      </c>
      <c r="H6012" t="s">
        <v>25</v>
      </c>
      <c r="I6012" s="1">
        <v>3</v>
      </c>
      <c r="J6012" s="2">
        <v>45758</v>
      </c>
      <c r="L6012" s="1" t="str">
        <f t="shared" si="690"/>
        <v>sex</v>
      </c>
      <c r="M6012" s="1" t="str">
        <f t="shared" si="693"/>
        <v>abr</v>
      </c>
      <c r="N6012">
        <f t="shared" si="691"/>
        <v>2025</v>
      </c>
      <c r="P6012" t="str">
        <f t="shared" si="692"/>
        <v>103645758</v>
      </c>
    </row>
    <row r="6013" spans="1:16" x14ac:dyDescent="0.3">
      <c r="A6013">
        <v>1036</v>
      </c>
      <c r="B6013">
        <v>22</v>
      </c>
      <c r="C6013" t="s">
        <v>26</v>
      </c>
      <c r="D6013" t="s">
        <v>27</v>
      </c>
      <c r="E6013" t="s">
        <v>17</v>
      </c>
      <c r="F6013" t="s">
        <v>21</v>
      </c>
      <c r="G6013" t="s">
        <v>43</v>
      </c>
      <c r="H6013" t="s">
        <v>25</v>
      </c>
      <c r="I6013" s="1">
        <v>3</v>
      </c>
      <c r="J6013" s="2">
        <v>45759</v>
      </c>
      <c r="L6013" s="1" t="str">
        <f t="shared" si="690"/>
        <v>sáb</v>
      </c>
      <c r="M6013" s="1" t="str">
        <f t="shared" si="693"/>
        <v>abr</v>
      </c>
      <c r="N6013">
        <f t="shared" si="691"/>
        <v>2025</v>
      </c>
      <c r="P6013" t="str">
        <f t="shared" si="692"/>
        <v>103645759</v>
      </c>
    </row>
    <row r="6014" spans="1:16" x14ac:dyDescent="0.3">
      <c r="A6014">
        <v>1036</v>
      </c>
      <c r="B6014">
        <v>22</v>
      </c>
      <c r="C6014" t="s">
        <v>26</v>
      </c>
      <c r="D6014" t="s">
        <v>27</v>
      </c>
      <c r="E6014" t="s">
        <v>17</v>
      </c>
      <c r="F6014" t="s">
        <v>21</v>
      </c>
      <c r="G6014" t="s">
        <v>43</v>
      </c>
      <c r="H6014" t="s">
        <v>25</v>
      </c>
      <c r="I6014" s="1">
        <v>3</v>
      </c>
      <c r="J6014" s="2">
        <v>45760</v>
      </c>
      <c r="L6014" s="1" t="str">
        <f t="shared" si="690"/>
        <v>dom</v>
      </c>
      <c r="M6014" s="1" t="str">
        <f t="shared" si="693"/>
        <v>abr</v>
      </c>
      <c r="N6014">
        <f t="shared" si="691"/>
        <v>2025</v>
      </c>
      <c r="P6014" t="str">
        <f t="shared" si="692"/>
        <v>103645760</v>
      </c>
    </row>
    <row r="6015" spans="1:16" x14ac:dyDescent="0.3">
      <c r="A6015">
        <v>1036</v>
      </c>
      <c r="B6015">
        <v>22</v>
      </c>
      <c r="C6015" t="s">
        <v>26</v>
      </c>
      <c r="D6015" t="s">
        <v>27</v>
      </c>
      <c r="E6015" t="s">
        <v>17</v>
      </c>
      <c r="F6015" t="s">
        <v>21</v>
      </c>
      <c r="G6015" t="s">
        <v>43</v>
      </c>
      <c r="H6015" t="s">
        <v>25</v>
      </c>
      <c r="I6015" s="1">
        <v>3</v>
      </c>
      <c r="J6015" s="2">
        <v>45761</v>
      </c>
      <c r="L6015" s="1" t="str">
        <f t="shared" si="690"/>
        <v>seg</v>
      </c>
      <c r="M6015" s="1" t="str">
        <f t="shared" si="693"/>
        <v>abr</v>
      </c>
      <c r="N6015">
        <f t="shared" si="691"/>
        <v>2025</v>
      </c>
      <c r="P6015" t="str">
        <f t="shared" si="692"/>
        <v>103645761</v>
      </c>
    </row>
    <row r="6016" spans="1:16" x14ac:dyDescent="0.3">
      <c r="A6016">
        <v>1036</v>
      </c>
      <c r="B6016">
        <v>22</v>
      </c>
      <c r="C6016" t="s">
        <v>26</v>
      </c>
      <c r="D6016" t="s">
        <v>27</v>
      </c>
      <c r="E6016" t="s">
        <v>17</v>
      </c>
      <c r="F6016" t="s">
        <v>21</v>
      </c>
      <c r="G6016" t="s">
        <v>43</v>
      </c>
      <c r="H6016" t="s">
        <v>25</v>
      </c>
      <c r="I6016" s="1">
        <v>3</v>
      </c>
      <c r="J6016" s="2">
        <v>45762</v>
      </c>
      <c r="L6016" s="1" t="str">
        <f t="shared" si="690"/>
        <v>ter</v>
      </c>
      <c r="M6016" s="1" t="str">
        <f t="shared" si="693"/>
        <v>abr</v>
      </c>
      <c r="N6016">
        <f t="shared" si="691"/>
        <v>2025</v>
      </c>
      <c r="P6016" t="str">
        <f t="shared" si="692"/>
        <v>103645762</v>
      </c>
    </row>
    <row r="6017" spans="1:16" x14ac:dyDescent="0.3">
      <c r="A6017">
        <v>1036</v>
      </c>
      <c r="B6017">
        <v>22</v>
      </c>
      <c r="C6017" t="s">
        <v>26</v>
      </c>
      <c r="D6017" t="s">
        <v>27</v>
      </c>
      <c r="E6017" t="s">
        <v>17</v>
      </c>
      <c r="F6017" t="s">
        <v>21</v>
      </c>
      <c r="G6017" t="s">
        <v>43</v>
      </c>
      <c r="H6017" t="s">
        <v>25</v>
      </c>
      <c r="I6017" s="1">
        <v>3</v>
      </c>
      <c r="J6017" s="2">
        <v>45763</v>
      </c>
      <c r="L6017" s="1" t="str">
        <f t="shared" si="690"/>
        <v>qua</v>
      </c>
      <c r="M6017" s="1" t="str">
        <f t="shared" si="693"/>
        <v>abr</v>
      </c>
      <c r="N6017">
        <f t="shared" si="691"/>
        <v>2025</v>
      </c>
      <c r="P6017" t="str">
        <f t="shared" si="692"/>
        <v>103645763</v>
      </c>
    </row>
    <row r="6018" spans="1:16" x14ac:dyDescent="0.3">
      <c r="A6018">
        <v>1036</v>
      </c>
      <c r="B6018">
        <v>22</v>
      </c>
      <c r="C6018" t="s">
        <v>26</v>
      </c>
      <c r="D6018" t="s">
        <v>27</v>
      </c>
      <c r="E6018" t="s">
        <v>17</v>
      </c>
      <c r="F6018" t="s">
        <v>21</v>
      </c>
      <c r="G6018" t="s">
        <v>43</v>
      </c>
      <c r="H6018" t="s">
        <v>25</v>
      </c>
      <c r="I6018" s="1">
        <v>3</v>
      </c>
      <c r="J6018" s="2">
        <v>45764</v>
      </c>
      <c r="L6018" s="1" t="str">
        <f t="shared" si="690"/>
        <v>qui</v>
      </c>
      <c r="M6018" s="1" t="str">
        <f t="shared" si="693"/>
        <v>abr</v>
      </c>
      <c r="N6018">
        <f t="shared" si="691"/>
        <v>2025</v>
      </c>
      <c r="P6018" t="str">
        <f t="shared" si="692"/>
        <v>103645764</v>
      </c>
    </row>
    <row r="6019" spans="1:16" x14ac:dyDescent="0.3">
      <c r="A6019">
        <v>1036</v>
      </c>
      <c r="B6019">
        <v>22</v>
      </c>
      <c r="C6019" t="s">
        <v>26</v>
      </c>
      <c r="D6019" t="s">
        <v>27</v>
      </c>
      <c r="E6019" t="s">
        <v>17</v>
      </c>
      <c r="F6019" t="s">
        <v>21</v>
      </c>
      <c r="G6019" t="s">
        <v>43</v>
      </c>
      <c r="H6019" t="s">
        <v>25</v>
      </c>
      <c r="I6019" s="1">
        <v>3</v>
      </c>
      <c r="J6019" s="2">
        <v>45765</v>
      </c>
      <c r="L6019" s="1" t="str">
        <f t="shared" si="690"/>
        <v>sex</v>
      </c>
      <c r="M6019" s="1" t="str">
        <f t="shared" si="693"/>
        <v>abr</v>
      </c>
      <c r="N6019">
        <f t="shared" si="691"/>
        <v>2025</v>
      </c>
      <c r="P6019" t="str">
        <f t="shared" si="692"/>
        <v>103645765</v>
      </c>
    </row>
    <row r="6020" spans="1:16" x14ac:dyDescent="0.3">
      <c r="A6020">
        <v>1036</v>
      </c>
      <c r="B6020">
        <v>22</v>
      </c>
      <c r="C6020" t="s">
        <v>26</v>
      </c>
      <c r="D6020" t="s">
        <v>27</v>
      </c>
      <c r="E6020" t="s">
        <v>17</v>
      </c>
      <c r="F6020" t="s">
        <v>21</v>
      </c>
      <c r="G6020" t="s">
        <v>43</v>
      </c>
      <c r="H6020" t="s">
        <v>25</v>
      </c>
      <c r="I6020" s="1">
        <v>3</v>
      </c>
      <c r="J6020" s="2">
        <v>45766</v>
      </c>
      <c r="L6020" s="1" t="str">
        <f t="shared" si="690"/>
        <v>sáb</v>
      </c>
      <c r="M6020" s="1" t="str">
        <f t="shared" si="693"/>
        <v>abr</v>
      </c>
      <c r="N6020">
        <f t="shared" si="691"/>
        <v>2025</v>
      </c>
      <c r="P6020" t="str">
        <f t="shared" si="692"/>
        <v>103645766</v>
      </c>
    </row>
    <row r="6021" spans="1:16" x14ac:dyDescent="0.3">
      <c r="A6021">
        <v>1036</v>
      </c>
      <c r="B6021">
        <v>22</v>
      </c>
      <c r="C6021" t="s">
        <v>26</v>
      </c>
      <c r="D6021" t="s">
        <v>27</v>
      </c>
      <c r="E6021" t="s">
        <v>17</v>
      </c>
      <c r="F6021" t="s">
        <v>21</v>
      </c>
      <c r="G6021" t="s">
        <v>43</v>
      </c>
      <c r="H6021" t="s">
        <v>25</v>
      </c>
      <c r="I6021" s="1">
        <v>3</v>
      </c>
      <c r="J6021" s="2">
        <v>45767</v>
      </c>
      <c r="L6021" s="1" t="str">
        <f t="shared" si="690"/>
        <v>dom</v>
      </c>
      <c r="M6021" s="1" t="str">
        <f t="shared" si="693"/>
        <v>abr</v>
      </c>
      <c r="N6021">
        <f t="shared" si="691"/>
        <v>2025</v>
      </c>
      <c r="P6021" t="str">
        <f t="shared" si="692"/>
        <v>103645767</v>
      </c>
    </row>
    <row r="6022" spans="1:16" x14ac:dyDescent="0.3">
      <c r="A6022">
        <v>1036</v>
      </c>
      <c r="B6022">
        <v>22</v>
      </c>
      <c r="C6022" t="s">
        <v>26</v>
      </c>
      <c r="D6022" t="s">
        <v>27</v>
      </c>
      <c r="E6022" t="s">
        <v>17</v>
      </c>
      <c r="F6022" t="s">
        <v>21</v>
      </c>
      <c r="G6022" t="s">
        <v>43</v>
      </c>
      <c r="H6022" t="s">
        <v>25</v>
      </c>
      <c r="I6022" s="1">
        <v>3</v>
      </c>
      <c r="J6022" s="2">
        <v>45768</v>
      </c>
      <c r="L6022" s="1" t="str">
        <f t="shared" si="690"/>
        <v>seg</v>
      </c>
      <c r="M6022" s="1" t="str">
        <f t="shared" si="693"/>
        <v>abr</v>
      </c>
      <c r="N6022">
        <f t="shared" si="691"/>
        <v>2025</v>
      </c>
      <c r="P6022" t="str">
        <f t="shared" si="692"/>
        <v>103645768</v>
      </c>
    </row>
    <row r="6023" spans="1:16" x14ac:dyDescent="0.3">
      <c r="A6023">
        <v>1036</v>
      </c>
      <c r="B6023">
        <v>22</v>
      </c>
      <c r="C6023" t="s">
        <v>26</v>
      </c>
      <c r="D6023" t="s">
        <v>27</v>
      </c>
      <c r="E6023" t="s">
        <v>17</v>
      </c>
      <c r="F6023" t="s">
        <v>21</v>
      </c>
      <c r="G6023" t="s">
        <v>43</v>
      </c>
      <c r="H6023" t="s">
        <v>25</v>
      </c>
      <c r="I6023" s="1">
        <v>3</v>
      </c>
      <c r="J6023" s="2">
        <v>45769</v>
      </c>
      <c r="L6023" s="1" t="str">
        <f t="shared" si="690"/>
        <v>ter</v>
      </c>
      <c r="M6023" s="1" t="str">
        <f t="shared" si="693"/>
        <v>abr</v>
      </c>
      <c r="N6023">
        <f t="shared" si="691"/>
        <v>2025</v>
      </c>
      <c r="P6023" t="str">
        <f t="shared" si="692"/>
        <v>103645769</v>
      </c>
    </row>
    <row r="6024" spans="1:16" x14ac:dyDescent="0.3">
      <c r="A6024">
        <v>1036</v>
      </c>
      <c r="B6024">
        <v>22</v>
      </c>
      <c r="C6024" t="s">
        <v>26</v>
      </c>
      <c r="D6024" t="s">
        <v>27</v>
      </c>
      <c r="E6024" t="s">
        <v>17</v>
      </c>
      <c r="F6024" t="s">
        <v>21</v>
      </c>
      <c r="G6024" t="s">
        <v>43</v>
      </c>
      <c r="H6024" t="s">
        <v>25</v>
      </c>
      <c r="I6024" s="1">
        <v>3</v>
      </c>
      <c r="J6024" s="2">
        <v>45770</v>
      </c>
      <c r="L6024" s="1" t="str">
        <f t="shared" si="690"/>
        <v>qua</v>
      </c>
      <c r="M6024" s="1" t="str">
        <f t="shared" si="693"/>
        <v>abr</v>
      </c>
      <c r="N6024">
        <f t="shared" si="691"/>
        <v>2025</v>
      </c>
      <c r="P6024" t="str">
        <f t="shared" si="692"/>
        <v>103645770</v>
      </c>
    </row>
    <row r="6025" spans="1:16" x14ac:dyDescent="0.3">
      <c r="A6025">
        <v>1036</v>
      </c>
      <c r="B6025">
        <v>22</v>
      </c>
      <c r="C6025" t="s">
        <v>26</v>
      </c>
      <c r="D6025" t="s">
        <v>27</v>
      </c>
      <c r="E6025" t="s">
        <v>17</v>
      </c>
      <c r="F6025" t="s">
        <v>21</v>
      </c>
      <c r="G6025" t="s">
        <v>43</v>
      </c>
      <c r="H6025" t="s">
        <v>25</v>
      </c>
      <c r="I6025" s="1">
        <v>3</v>
      </c>
      <c r="J6025" s="2">
        <v>45771</v>
      </c>
      <c r="L6025" s="1" t="str">
        <f t="shared" si="690"/>
        <v>qui</v>
      </c>
      <c r="M6025" s="1" t="str">
        <f t="shared" si="693"/>
        <v>abr</v>
      </c>
      <c r="N6025">
        <f t="shared" si="691"/>
        <v>2025</v>
      </c>
      <c r="P6025" t="str">
        <f t="shared" si="692"/>
        <v>103645771</v>
      </c>
    </row>
    <row r="6026" spans="1:16" x14ac:dyDescent="0.3">
      <c r="A6026">
        <v>1036</v>
      </c>
      <c r="B6026">
        <v>22</v>
      </c>
      <c r="C6026" t="s">
        <v>26</v>
      </c>
      <c r="D6026" t="s">
        <v>27</v>
      </c>
      <c r="E6026" t="s">
        <v>17</v>
      </c>
      <c r="F6026" t="s">
        <v>21</v>
      </c>
      <c r="G6026" t="s">
        <v>43</v>
      </c>
      <c r="H6026" t="s">
        <v>25</v>
      </c>
      <c r="I6026" s="1">
        <v>3</v>
      </c>
      <c r="J6026" s="2">
        <v>45772</v>
      </c>
      <c r="L6026" s="1" t="str">
        <f t="shared" si="690"/>
        <v>sex</v>
      </c>
      <c r="M6026" s="1" t="str">
        <f t="shared" si="693"/>
        <v>abr</v>
      </c>
      <c r="N6026">
        <f t="shared" si="691"/>
        <v>2025</v>
      </c>
      <c r="P6026" t="str">
        <f t="shared" si="692"/>
        <v>103645772</v>
      </c>
    </row>
    <row r="6027" spans="1:16" x14ac:dyDescent="0.3">
      <c r="A6027">
        <v>1036</v>
      </c>
      <c r="B6027">
        <v>22</v>
      </c>
      <c r="C6027" t="s">
        <v>26</v>
      </c>
      <c r="D6027" t="s">
        <v>27</v>
      </c>
      <c r="E6027" t="s">
        <v>17</v>
      </c>
      <c r="F6027" t="s">
        <v>21</v>
      </c>
      <c r="G6027" t="s">
        <v>43</v>
      </c>
      <c r="H6027" t="s">
        <v>25</v>
      </c>
      <c r="I6027" s="1">
        <v>3</v>
      </c>
      <c r="J6027" s="2">
        <v>45773</v>
      </c>
      <c r="L6027" s="1" t="str">
        <f t="shared" si="690"/>
        <v>sáb</v>
      </c>
      <c r="M6027" s="1" t="str">
        <f t="shared" si="693"/>
        <v>abr</v>
      </c>
      <c r="N6027">
        <f t="shared" si="691"/>
        <v>2025</v>
      </c>
      <c r="P6027" t="str">
        <f t="shared" si="692"/>
        <v>103645773</v>
      </c>
    </row>
    <row r="6028" spans="1:16" x14ac:dyDescent="0.3">
      <c r="A6028">
        <v>1036</v>
      </c>
      <c r="B6028">
        <v>22</v>
      </c>
      <c r="C6028" t="s">
        <v>26</v>
      </c>
      <c r="D6028" t="s">
        <v>27</v>
      </c>
      <c r="E6028" t="s">
        <v>17</v>
      </c>
      <c r="F6028" t="s">
        <v>21</v>
      </c>
      <c r="G6028" t="s">
        <v>43</v>
      </c>
      <c r="H6028" t="s">
        <v>25</v>
      </c>
      <c r="I6028" s="1">
        <v>3</v>
      </c>
      <c r="J6028" s="2">
        <v>45774</v>
      </c>
      <c r="L6028" s="1" t="str">
        <f t="shared" si="690"/>
        <v>dom</v>
      </c>
      <c r="M6028" s="1" t="str">
        <f t="shared" si="693"/>
        <v>abr</v>
      </c>
      <c r="N6028">
        <f t="shared" si="691"/>
        <v>2025</v>
      </c>
      <c r="P6028" t="str">
        <f t="shared" si="692"/>
        <v>103645774</v>
      </c>
    </row>
    <row r="6029" spans="1:16" x14ac:dyDescent="0.3">
      <c r="A6029">
        <v>1036</v>
      </c>
      <c r="B6029">
        <v>22</v>
      </c>
      <c r="C6029" t="s">
        <v>26</v>
      </c>
      <c r="D6029" t="s">
        <v>27</v>
      </c>
      <c r="E6029" t="s">
        <v>17</v>
      </c>
      <c r="F6029" t="s">
        <v>21</v>
      </c>
      <c r="G6029" t="s">
        <v>43</v>
      </c>
      <c r="H6029" t="s">
        <v>25</v>
      </c>
      <c r="I6029" s="1">
        <v>3</v>
      </c>
      <c r="J6029" s="2">
        <v>45775</v>
      </c>
      <c r="L6029" s="1" t="str">
        <f t="shared" si="690"/>
        <v>seg</v>
      </c>
      <c r="M6029" s="1" t="str">
        <f t="shared" si="693"/>
        <v>abr</v>
      </c>
      <c r="N6029">
        <f t="shared" si="691"/>
        <v>2025</v>
      </c>
      <c r="P6029" t="str">
        <f t="shared" si="692"/>
        <v>103645775</v>
      </c>
    </row>
    <row r="6030" spans="1:16" x14ac:dyDescent="0.3">
      <c r="A6030">
        <v>1036</v>
      </c>
      <c r="B6030">
        <v>22</v>
      </c>
      <c r="C6030" t="s">
        <v>26</v>
      </c>
      <c r="D6030" t="s">
        <v>27</v>
      </c>
      <c r="E6030" t="s">
        <v>17</v>
      </c>
      <c r="F6030" t="s">
        <v>21</v>
      </c>
      <c r="G6030" t="s">
        <v>43</v>
      </c>
      <c r="H6030" t="s">
        <v>25</v>
      </c>
      <c r="I6030" s="1">
        <v>3</v>
      </c>
      <c r="J6030" s="2">
        <v>45776</v>
      </c>
      <c r="L6030" s="1" t="str">
        <f t="shared" si="690"/>
        <v>ter</v>
      </c>
      <c r="M6030" s="1" t="str">
        <f t="shared" si="693"/>
        <v>abr</v>
      </c>
      <c r="N6030">
        <f t="shared" si="691"/>
        <v>2025</v>
      </c>
      <c r="P6030" t="str">
        <f t="shared" si="692"/>
        <v>103645776</v>
      </c>
    </row>
    <row r="6031" spans="1:16" x14ac:dyDescent="0.3">
      <c r="A6031">
        <v>1036</v>
      </c>
      <c r="B6031">
        <v>22</v>
      </c>
      <c r="C6031" t="s">
        <v>26</v>
      </c>
      <c r="D6031" t="s">
        <v>27</v>
      </c>
      <c r="E6031" t="s">
        <v>17</v>
      </c>
      <c r="F6031" t="s">
        <v>21</v>
      </c>
      <c r="G6031" t="s">
        <v>43</v>
      </c>
      <c r="H6031" t="s">
        <v>25</v>
      </c>
      <c r="I6031" s="1">
        <v>3</v>
      </c>
      <c r="J6031" s="2">
        <v>45777</v>
      </c>
      <c r="L6031" s="1" t="str">
        <f t="shared" si="690"/>
        <v>qua</v>
      </c>
      <c r="M6031" s="1" t="str">
        <f t="shared" si="693"/>
        <v>abr</v>
      </c>
      <c r="N6031">
        <f t="shared" si="691"/>
        <v>2025</v>
      </c>
      <c r="P6031" t="str">
        <f t="shared" si="692"/>
        <v>103645777</v>
      </c>
    </row>
    <row r="6032" spans="1:16" x14ac:dyDescent="0.3">
      <c r="A6032">
        <v>1036</v>
      </c>
      <c r="B6032">
        <v>22</v>
      </c>
      <c r="C6032" t="s">
        <v>26</v>
      </c>
      <c r="D6032" t="s">
        <v>27</v>
      </c>
      <c r="E6032" t="s">
        <v>17</v>
      </c>
      <c r="F6032" t="s">
        <v>21</v>
      </c>
      <c r="G6032" t="s">
        <v>43</v>
      </c>
      <c r="H6032" t="s">
        <v>25</v>
      </c>
      <c r="I6032" s="1">
        <v>3</v>
      </c>
      <c r="J6032" s="2">
        <v>45778</v>
      </c>
      <c r="L6032" s="1" t="str">
        <f t="shared" si="690"/>
        <v>qui</v>
      </c>
      <c r="M6032" s="1" t="str">
        <f t="shared" si="693"/>
        <v>mai</v>
      </c>
      <c r="N6032">
        <f t="shared" si="691"/>
        <v>2025</v>
      </c>
      <c r="P6032" t="str">
        <f t="shared" si="692"/>
        <v>103645778</v>
      </c>
    </row>
    <row r="6033" spans="1:16" x14ac:dyDescent="0.3">
      <c r="A6033">
        <v>1036</v>
      </c>
      <c r="B6033">
        <v>22</v>
      </c>
      <c r="C6033" t="s">
        <v>26</v>
      </c>
      <c r="D6033" t="s">
        <v>27</v>
      </c>
      <c r="E6033" t="s">
        <v>17</v>
      </c>
      <c r="F6033" t="s">
        <v>21</v>
      </c>
      <c r="G6033" t="s">
        <v>43</v>
      </c>
      <c r="H6033" t="s">
        <v>25</v>
      </c>
      <c r="I6033" s="1">
        <v>3</v>
      </c>
      <c r="J6033" s="2">
        <v>45779</v>
      </c>
      <c r="L6033" s="1" t="str">
        <f t="shared" si="690"/>
        <v>sex</v>
      </c>
      <c r="M6033" s="1" t="str">
        <f t="shared" si="693"/>
        <v>mai</v>
      </c>
      <c r="N6033">
        <f t="shared" si="691"/>
        <v>2025</v>
      </c>
      <c r="P6033" t="str">
        <f t="shared" si="692"/>
        <v>103645779</v>
      </c>
    </row>
    <row r="6034" spans="1:16" x14ac:dyDescent="0.3">
      <c r="A6034">
        <v>1036</v>
      </c>
      <c r="B6034">
        <v>22</v>
      </c>
      <c r="C6034" t="s">
        <v>26</v>
      </c>
      <c r="D6034" t="s">
        <v>27</v>
      </c>
      <c r="E6034" t="s">
        <v>17</v>
      </c>
      <c r="F6034" t="s">
        <v>21</v>
      </c>
      <c r="G6034" t="s">
        <v>43</v>
      </c>
      <c r="H6034" t="s">
        <v>25</v>
      </c>
      <c r="I6034" s="1">
        <v>3</v>
      </c>
      <c r="J6034" s="2">
        <v>45780</v>
      </c>
      <c r="L6034" s="1" t="str">
        <f t="shared" si="690"/>
        <v>sáb</v>
      </c>
      <c r="M6034" s="1" t="str">
        <f t="shared" si="693"/>
        <v>mai</v>
      </c>
      <c r="N6034">
        <f t="shared" si="691"/>
        <v>2025</v>
      </c>
      <c r="P6034" t="str">
        <f t="shared" si="692"/>
        <v>103645780</v>
      </c>
    </row>
    <row r="6035" spans="1:16" x14ac:dyDescent="0.3">
      <c r="A6035">
        <v>1036</v>
      </c>
      <c r="B6035">
        <v>22</v>
      </c>
      <c r="C6035" t="s">
        <v>26</v>
      </c>
      <c r="D6035" t="s">
        <v>27</v>
      </c>
      <c r="E6035" t="s">
        <v>17</v>
      </c>
      <c r="F6035" t="s">
        <v>21</v>
      </c>
      <c r="G6035" t="s">
        <v>43</v>
      </c>
      <c r="H6035" t="s">
        <v>25</v>
      </c>
      <c r="I6035" s="1">
        <v>3</v>
      </c>
      <c r="J6035" s="2">
        <v>45781</v>
      </c>
      <c r="L6035" s="1" t="str">
        <f t="shared" si="690"/>
        <v>dom</v>
      </c>
      <c r="M6035" s="1" t="str">
        <f t="shared" si="693"/>
        <v>mai</v>
      </c>
      <c r="N6035">
        <f t="shared" si="691"/>
        <v>2025</v>
      </c>
      <c r="P6035" t="str">
        <f t="shared" si="692"/>
        <v>103645781</v>
      </c>
    </row>
    <row r="6036" spans="1:16" x14ac:dyDescent="0.3">
      <c r="A6036">
        <v>1036</v>
      </c>
      <c r="B6036">
        <v>22</v>
      </c>
      <c r="C6036" t="s">
        <v>26</v>
      </c>
      <c r="D6036" t="s">
        <v>27</v>
      </c>
      <c r="E6036" t="s">
        <v>17</v>
      </c>
      <c r="F6036" t="s">
        <v>21</v>
      </c>
      <c r="G6036" t="s">
        <v>43</v>
      </c>
      <c r="H6036" t="s">
        <v>25</v>
      </c>
      <c r="I6036" s="1">
        <v>3</v>
      </c>
      <c r="J6036" s="2">
        <v>45782</v>
      </c>
      <c r="L6036" s="1" t="str">
        <f t="shared" si="690"/>
        <v>seg</v>
      </c>
      <c r="M6036" s="1" t="str">
        <f t="shared" si="693"/>
        <v>mai</v>
      </c>
      <c r="N6036">
        <f t="shared" si="691"/>
        <v>2025</v>
      </c>
      <c r="P6036" t="str">
        <f t="shared" si="692"/>
        <v>103645782</v>
      </c>
    </row>
    <row r="6037" spans="1:16" x14ac:dyDescent="0.3">
      <c r="A6037">
        <v>1036</v>
      </c>
      <c r="B6037">
        <v>22</v>
      </c>
      <c r="C6037" t="s">
        <v>26</v>
      </c>
      <c r="D6037" t="s">
        <v>27</v>
      </c>
      <c r="E6037" t="s">
        <v>17</v>
      </c>
      <c r="F6037" t="s">
        <v>21</v>
      </c>
      <c r="G6037" t="s">
        <v>43</v>
      </c>
      <c r="H6037" t="s">
        <v>25</v>
      </c>
      <c r="I6037" s="1">
        <v>3</v>
      </c>
      <c r="J6037" s="2">
        <v>45783</v>
      </c>
      <c r="L6037" s="1" t="str">
        <f t="shared" si="690"/>
        <v>ter</v>
      </c>
      <c r="M6037" s="1" t="str">
        <f t="shared" si="693"/>
        <v>mai</v>
      </c>
      <c r="N6037">
        <f t="shared" si="691"/>
        <v>2025</v>
      </c>
      <c r="P6037" t="str">
        <f t="shared" si="692"/>
        <v>103645783</v>
      </c>
    </row>
    <row r="6038" spans="1:16" x14ac:dyDescent="0.3">
      <c r="A6038">
        <v>1036</v>
      </c>
      <c r="B6038">
        <v>22</v>
      </c>
      <c r="C6038" t="s">
        <v>26</v>
      </c>
      <c r="D6038" t="s">
        <v>27</v>
      </c>
      <c r="E6038" t="s">
        <v>17</v>
      </c>
      <c r="F6038" t="s">
        <v>21</v>
      </c>
      <c r="G6038" t="s">
        <v>43</v>
      </c>
      <c r="H6038" t="s">
        <v>25</v>
      </c>
      <c r="I6038" s="1">
        <v>3</v>
      </c>
      <c r="J6038" s="2">
        <v>45784</v>
      </c>
      <c r="L6038" s="1" t="str">
        <f t="shared" si="690"/>
        <v>qua</v>
      </c>
      <c r="M6038" s="1" t="str">
        <f t="shared" si="693"/>
        <v>mai</v>
      </c>
      <c r="N6038">
        <f t="shared" si="691"/>
        <v>2025</v>
      </c>
      <c r="P6038" t="str">
        <f t="shared" si="692"/>
        <v>103645784</v>
      </c>
    </row>
    <row r="6039" spans="1:16" x14ac:dyDescent="0.3">
      <c r="A6039">
        <v>1036</v>
      </c>
      <c r="B6039">
        <v>22</v>
      </c>
      <c r="C6039" t="s">
        <v>26</v>
      </c>
      <c r="D6039" t="s">
        <v>27</v>
      </c>
      <c r="E6039" t="s">
        <v>17</v>
      </c>
      <c r="F6039" t="s">
        <v>21</v>
      </c>
      <c r="G6039" t="s">
        <v>43</v>
      </c>
      <c r="H6039" t="s">
        <v>25</v>
      </c>
      <c r="I6039" s="1">
        <v>3</v>
      </c>
      <c r="J6039" s="2">
        <v>45785</v>
      </c>
      <c r="L6039" s="1" t="str">
        <f t="shared" si="690"/>
        <v>qui</v>
      </c>
      <c r="M6039" s="1" t="str">
        <f t="shared" si="693"/>
        <v>mai</v>
      </c>
      <c r="N6039">
        <f t="shared" si="691"/>
        <v>2025</v>
      </c>
      <c r="P6039" t="str">
        <f t="shared" si="692"/>
        <v>103645785</v>
      </c>
    </row>
    <row r="6040" spans="1:16" x14ac:dyDescent="0.3">
      <c r="A6040">
        <v>1036</v>
      </c>
      <c r="B6040">
        <v>22</v>
      </c>
      <c r="C6040" t="s">
        <v>26</v>
      </c>
      <c r="D6040" t="s">
        <v>27</v>
      </c>
      <c r="E6040" t="s">
        <v>17</v>
      </c>
      <c r="F6040" t="s">
        <v>21</v>
      </c>
      <c r="G6040" t="s">
        <v>43</v>
      </c>
      <c r="H6040" t="s">
        <v>25</v>
      </c>
      <c r="I6040" s="1">
        <v>3</v>
      </c>
      <c r="J6040" s="2">
        <v>45786</v>
      </c>
      <c r="L6040" s="1" t="str">
        <f t="shared" si="690"/>
        <v>sex</v>
      </c>
      <c r="M6040" s="1" t="str">
        <f t="shared" si="693"/>
        <v>mai</v>
      </c>
      <c r="N6040">
        <f t="shared" si="691"/>
        <v>2025</v>
      </c>
      <c r="P6040" t="str">
        <f t="shared" si="692"/>
        <v>103645786</v>
      </c>
    </row>
    <row r="6041" spans="1:16" x14ac:dyDescent="0.3">
      <c r="A6041">
        <v>1036</v>
      </c>
      <c r="B6041">
        <v>22</v>
      </c>
      <c r="C6041" t="s">
        <v>26</v>
      </c>
      <c r="D6041" t="s">
        <v>27</v>
      </c>
      <c r="E6041" t="s">
        <v>17</v>
      </c>
      <c r="F6041" t="s">
        <v>21</v>
      </c>
      <c r="G6041" t="s">
        <v>43</v>
      </c>
      <c r="H6041" t="s">
        <v>25</v>
      </c>
      <c r="I6041" s="1">
        <v>3</v>
      </c>
      <c r="J6041" s="2">
        <v>45787</v>
      </c>
      <c r="L6041" s="1" t="str">
        <f t="shared" si="690"/>
        <v>sáb</v>
      </c>
      <c r="M6041" s="1" t="str">
        <f t="shared" si="693"/>
        <v>mai</v>
      </c>
      <c r="N6041">
        <f t="shared" si="691"/>
        <v>2025</v>
      </c>
      <c r="P6041" t="str">
        <f t="shared" si="692"/>
        <v>103645787</v>
      </c>
    </row>
    <row r="6042" spans="1:16" x14ac:dyDescent="0.3">
      <c r="A6042">
        <v>1036</v>
      </c>
      <c r="B6042">
        <v>22</v>
      </c>
      <c r="C6042" t="s">
        <v>26</v>
      </c>
      <c r="D6042" t="s">
        <v>27</v>
      </c>
      <c r="E6042" t="s">
        <v>17</v>
      </c>
      <c r="F6042" t="s">
        <v>21</v>
      </c>
      <c r="G6042" t="s">
        <v>43</v>
      </c>
      <c r="H6042" t="s">
        <v>25</v>
      </c>
      <c r="I6042" s="1">
        <v>3</v>
      </c>
      <c r="J6042" s="2">
        <v>45788</v>
      </c>
      <c r="L6042" s="1" t="str">
        <f t="shared" si="690"/>
        <v>dom</v>
      </c>
      <c r="M6042" s="1" t="str">
        <f t="shared" si="693"/>
        <v>mai</v>
      </c>
      <c r="N6042">
        <f t="shared" si="691"/>
        <v>2025</v>
      </c>
      <c r="P6042" t="str">
        <f t="shared" si="692"/>
        <v>103645788</v>
      </c>
    </row>
    <row r="6043" spans="1:16" x14ac:dyDescent="0.3">
      <c r="A6043">
        <v>1036</v>
      </c>
      <c r="B6043">
        <v>22</v>
      </c>
      <c r="C6043" t="s">
        <v>26</v>
      </c>
      <c r="D6043" t="s">
        <v>27</v>
      </c>
      <c r="E6043" t="s">
        <v>17</v>
      </c>
      <c r="F6043" t="s">
        <v>21</v>
      </c>
      <c r="G6043" t="s">
        <v>43</v>
      </c>
      <c r="H6043" t="s">
        <v>25</v>
      </c>
      <c r="I6043" s="1">
        <v>3</v>
      </c>
      <c r="J6043" s="2">
        <v>45789</v>
      </c>
      <c r="L6043" s="1" t="str">
        <f t="shared" ref="L6043:L6106" si="694">TEXT(J6043,"ddd")</f>
        <v>seg</v>
      </c>
      <c r="M6043" s="1" t="str">
        <f t="shared" si="693"/>
        <v>mai</v>
      </c>
      <c r="N6043">
        <f t="shared" ref="N6043:N6106" si="695">YEAR(J6043)</f>
        <v>2025</v>
      </c>
      <c r="P6043" t="str">
        <f t="shared" ref="P6043:P6106" si="696">CONCATENATE(A6043,J6043)</f>
        <v>103645789</v>
      </c>
    </row>
    <row r="6044" spans="1:16" x14ac:dyDescent="0.3">
      <c r="A6044">
        <v>1036</v>
      </c>
      <c r="B6044">
        <v>22</v>
      </c>
      <c r="C6044" t="s">
        <v>26</v>
      </c>
      <c r="D6044" t="s">
        <v>27</v>
      </c>
      <c r="E6044" t="s">
        <v>17</v>
      </c>
      <c r="F6044" t="s">
        <v>21</v>
      </c>
      <c r="G6044" t="s">
        <v>43</v>
      </c>
      <c r="H6044" t="s">
        <v>25</v>
      </c>
      <c r="I6044" s="1">
        <v>3</v>
      </c>
      <c r="J6044" s="2">
        <v>45790</v>
      </c>
      <c r="L6044" s="1" t="str">
        <f t="shared" si="694"/>
        <v>ter</v>
      </c>
      <c r="M6044" s="1" t="str">
        <f t="shared" si="693"/>
        <v>mai</v>
      </c>
      <c r="N6044">
        <f t="shared" si="695"/>
        <v>2025</v>
      </c>
      <c r="P6044" t="str">
        <f t="shared" si="696"/>
        <v>103645790</v>
      </c>
    </row>
    <row r="6045" spans="1:16" x14ac:dyDescent="0.3">
      <c r="A6045">
        <v>1036</v>
      </c>
      <c r="B6045">
        <v>22</v>
      </c>
      <c r="C6045" t="s">
        <v>26</v>
      </c>
      <c r="D6045" t="s">
        <v>27</v>
      </c>
      <c r="E6045" t="s">
        <v>17</v>
      </c>
      <c r="F6045" t="s">
        <v>21</v>
      </c>
      <c r="G6045" t="s">
        <v>43</v>
      </c>
      <c r="H6045" t="s">
        <v>25</v>
      </c>
      <c r="I6045" s="1">
        <v>3</v>
      </c>
      <c r="J6045" s="2">
        <v>45791</v>
      </c>
      <c r="L6045" s="1" t="str">
        <f t="shared" si="694"/>
        <v>qua</v>
      </c>
      <c r="M6045" s="1" t="str">
        <f t="shared" si="693"/>
        <v>mai</v>
      </c>
      <c r="N6045">
        <f t="shared" si="695"/>
        <v>2025</v>
      </c>
      <c r="P6045" t="str">
        <f t="shared" si="696"/>
        <v>103645791</v>
      </c>
    </row>
    <row r="6046" spans="1:16" x14ac:dyDescent="0.3">
      <c r="A6046">
        <v>1036</v>
      </c>
      <c r="B6046">
        <v>22</v>
      </c>
      <c r="C6046" t="s">
        <v>26</v>
      </c>
      <c r="D6046" t="s">
        <v>27</v>
      </c>
      <c r="E6046" t="s">
        <v>17</v>
      </c>
      <c r="F6046" t="s">
        <v>21</v>
      </c>
      <c r="G6046" t="s">
        <v>43</v>
      </c>
      <c r="H6046" t="s">
        <v>25</v>
      </c>
      <c r="I6046" s="1">
        <v>3</v>
      </c>
      <c r="J6046" s="2">
        <v>45792</v>
      </c>
      <c r="L6046" s="1" t="str">
        <f t="shared" si="694"/>
        <v>qui</v>
      </c>
      <c r="M6046" s="1" t="str">
        <f t="shared" si="693"/>
        <v>mai</v>
      </c>
      <c r="N6046">
        <f t="shared" si="695"/>
        <v>2025</v>
      </c>
      <c r="P6046" t="str">
        <f t="shared" si="696"/>
        <v>103645792</v>
      </c>
    </row>
    <row r="6047" spans="1:16" x14ac:dyDescent="0.3">
      <c r="A6047">
        <v>1036</v>
      </c>
      <c r="B6047">
        <v>22</v>
      </c>
      <c r="C6047" t="s">
        <v>26</v>
      </c>
      <c r="D6047" t="s">
        <v>27</v>
      </c>
      <c r="E6047" t="s">
        <v>17</v>
      </c>
      <c r="F6047" t="s">
        <v>21</v>
      </c>
      <c r="G6047" t="s">
        <v>43</v>
      </c>
      <c r="H6047" t="s">
        <v>25</v>
      </c>
      <c r="I6047" s="1">
        <v>3</v>
      </c>
      <c r="J6047" s="2">
        <v>45793</v>
      </c>
      <c r="L6047" s="1" t="str">
        <f t="shared" si="694"/>
        <v>sex</v>
      </c>
      <c r="M6047" s="1" t="str">
        <f t="shared" si="693"/>
        <v>mai</v>
      </c>
      <c r="N6047">
        <f t="shared" si="695"/>
        <v>2025</v>
      </c>
      <c r="P6047" t="str">
        <f t="shared" si="696"/>
        <v>103645793</v>
      </c>
    </row>
    <row r="6048" spans="1:16" x14ac:dyDescent="0.3">
      <c r="A6048">
        <v>1036</v>
      </c>
      <c r="B6048">
        <v>22</v>
      </c>
      <c r="C6048" t="s">
        <v>26</v>
      </c>
      <c r="D6048" t="s">
        <v>27</v>
      </c>
      <c r="E6048" t="s">
        <v>17</v>
      </c>
      <c r="F6048" t="s">
        <v>21</v>
      </c>
      <c r="G6048" t="s">
        <v>43</v>
      </c>
      <c r="H6048" t="s">
        <v>25</v>
      </c>
      <c r="I6048" s="1">
        <v>3</v>
      </c>
      <c r="J6048" s="2">
        <v>45794</v>
      </c>
      <c r="L6048" s="1" t="str">
        <f t="shared" si="694"/>
        <v>sáb</v>
      </c>
      <c r="M6048" s="1" t="str">
        <f t="shared" si="693"/>
        <v>mai</v>
      </c>
      <c r="N6048">
        <f t="shared" si="695"/>
        <v>2025</v>
      </c>
      <c r="P6048" t="str">
        <f t="shared" si="696"/>
        <v>103645794</v>
      </c>
    </row>
    <row r="6049" spans="1:16" x14ac:dyDescent="0.3">
      <c r="A6049">
        <v>1036</v>
      </c>
      <c r="B6049">
        <v>22</v>
      </c>
      <c r="C6049" t="s">
        <v>26</v>
      </c>
      <c r="D6049" t="s">
        <v>27</v>
      </c>
      <c r="E6049" t="s">
        <v>17</v>
      </c>
      <c r="F6049" t="s">
        <v>21</v>
      </c>
      <c r="G6049" t="s">
        <v>43</v>
      </c>
      <c r="H6049" t="s">
        <v>25</v>
      </c>
      <c r="I6049" s="1">
        <v>3</v>
      </c>
      <c r="J6049" s="2">
        <v>45795</v>
      </c>
      <c r="L6049" s="1" t="str">
        <f t="shared" si="694"/>
        <v>dom</v>
      </c>
      <c r="M6049" s="1" t="str">
        <f t="shared" si="693"/>
        <v>mai</v>
      </c>
      <c r="N6049">
        <f t="shared" si="695"/>
        <v>2025</v>
      </c>
      <c r="P6049" t="str">
        <f t="shared" si="696"/>
        <v>103645795</v>
      </c>
    </row>
    <row r="6050" spans="1:16" x14ac:dyDescent="0.3">
      <c r="A6050">
        <v>1036</v>
      </c>
      <c r="B6050">
        <v>22</v>
      </c>
      <c r="C6050" t="s">
        <v>26</v>
      </c>
      <c r="D6050" t="s">
        <v>27</v>
      </c>
      <c r="E6050" t="s">
        <v>17</v>
      </c>
      <c r="F6050" t="s">
        <v>21</v>
      </c>
      <c r="G6050" t="s">
        <v>43</v>
      </c>
      <c r="H6050" t="s">
        <v>25</v>
      </c>
      <c r="I6050" s="1">
        <v>3</v>
      </c>
      <c r="J6050" s="2">
        <v>45796</v>
      </c>
      <c r="L6050" s="1" t="str">
        <f t="shared" si="694"/>
        <v>seg</v>
      </c>
      <c r="M6050" s="1" t="str">
        <f t="shared" si="693"/>
        <v>mai</v>
      </c>
      <c r="N6050">
        <f t="shared" si="695"/>
        <v>2025</v>
      </c>
      <c r="P6050" t="str">
        <f t="shared" si="696"/>
        <v>103645796</v>
      </c>
    </row>
    <row r="6051" spans="1:16" x14ac:dyDescent="0.3">
      <c r="A6051">
        <v>1036</v>
      </c>
      <c r="B6051">
        <v>22</v>
      </c>
      <c r="C6051" t="s">
        <v>26</v>
      </c>
      <c r="D6051" t="s">
        <v>27</v>
      </c>
      <c r="E6051" t="s">
        <v>17</v>
      </c>
      <c r="F6051" t="s">
        <v>21</v>
      </c>
      <c r="G6051" t="s">
        <v>43</v>
      </c>
      <c r="H6051" t="s">
        <v>25</v>
      </c>
      <c r="I6051" s="1">
        <v>3</v>
      </c>
      <c r="J6051" s="2">
        <v>45797</v>
      </c>
      <c r="L6051" s="1" t="str">
        <f t="shared" si="694"/>
        <v>ter</v>
      </c>
      <c r="M6051" s="1" t="str">
        <f t="shared" si="693"/>
        <v>mai</v>
      </c>
      <c r="N6051">
        <f t="shared" si="695"/>
        <v>2025</v>
      </c>
      <c r="P6051" t="str">
        <f t="shared" si="696"/>
        <v>103645797</v>
      </c>
    </row>
    <row r="6052" spans="1:16" x14ac:dyDescent="0.3">
      <c r="A6052">
        <v>1036</v>
      </c>
      <c r="B6052">
        <v>22</v>
      </c>
      <c r="C6052" t="s">
        <v>26</v>
      </c>
      <c r="D6052" t="s">
        <v>27</v>
      </c>
      <c r="E6052" t="s">
        <v>17</v>
      </c>
      <c r="F6052" t="s">
        <v>21</v>
      </c>
      <c r="G6052" t="s">
        <v>43</v>
      </c>
      <c r="H6052" t="s">
        <v>25</v>
      </c>
      <c r="I6052" s="1">
        <v>3</v>
      </c>
      <c r="J6052" s="2">
        <v>45798</v>
      </c>
      <c r="L6052" s="1" t="str">
        <f t="shared" si="694"/>
        <v>qua</v>
      </c>
      <c r="M6052" s="1" t="str">
        <f t="shared" si="693"/>
        <v>mai</v>
      </c>
      <c r="N6052">
        <f t="shared" si="695"/>
        <v>2025</v>
      </c>
      <c r="P6052" t="str">
        <f t="shared" si="696"/>
        <v>103645798</v>
      </c>
    </row>
    <row r="6053" spans="1:16" x14ac:dyDescent="0.3">
      <c r="A6053">
        <v>1036</v>
      </c>
      <c r="B6053">
        <v>22</v>
      </c>
      <c r="C6053" t="s">
        <v>26</v>
      </c>
      <c r="D6053" t="s">
        <v>27</v>
      </c>
      <c r="E6053" t="s">
        <v>17</v>
      </c>
      <c r="F6053" t="s">
        <v>21</v>
      </c>
      <c r="G6053" t="s">
        <v>43</v>
      </c>
      <c r="H6053" t="s">
        <v>25</v>
      </c>
      <c r="I6053" s="1">
        <v>3</v>
      </c>
      <c r="J6053" s="2">
        <v>45799</v>
      </c>
      <c r="L6053" s="1" t="str">
        <f t="shared" si="694"/>
        <v>qui</v>
      </c>
      <c r="M6053" s="1" t="str">
        <f t="shared" si="693"/>
        <v>mai</v>
      </c>
      <c r="N6053">
        <f t="shared" si="695"/>
        <v>2025</v>
      </c>
      <c r="P6053" t="str">
        <f t="shared" si="696"/>
        <v>103645799</v>
      </c>
    </row>
    <row r="6054" spans="1:16" x14ac:dyDescent="0.3">
      <c r="A6054">
        <v>1036</v>
      </c>
      <c r="B6054">
        <v>22</v>
      </c>
      <c r="C6054" t="s">
        <v>26</v>
      </c>
      <c r="D6054" t="s">
        <v>27</v>
      </c>
      <c r="E6054" t="s">
        <v>17</v>
      </c>
      <c r="F6054" t="s">
        <v>21</v>
      </c>
      <c r="G6054" t="s">
        <v>43</v>
      </c>
      <c r="H6054" t="s">
        <v>25</v>
      </c>
      <c r="I6054" s="1">
        <v>3</v>
      </c>
      <c r="J6054" s="2">
        <v>45800</v>
      </c>
      <c r="L6054" s="1" t="str">
        <f t="shared" si="694"/>
        <v>sex</v>
      </c>
      <c r="M6054" s="1" t="str">
        <f t="shared" si="693"/>
        <v>mai</v>
      </c>
      <c r="N6054">
        <f t="shared" si="695"/>
        <v>2025</v>
      </c>
      <c r="P6054" t="str">
        <f t="shared" si="696"/>
        <v>103645800</v>
      </c>
    </row>
    <row r="6055" spans="1:16" x14ac:dyDescent="0.3">
      <c r="A6055">
        <v>1036</v>
      </c>
      <c r="B6055">
        <v>22</v>
      </c>
      <c r="C6055" t="s">
        <v>26</v>
      </c>
      <c r="D6055" t="s">
        <v>27</v>
      </c>
      <c r="E6055" t="s">
        <v>17</v>
      </c>
      <c r="F6055" t="s">
        <v>21</v>
      </c>
      <c r="G6055" t="s">
        <v>43</v>
      </c>
      <c r="H6055" t="s">
        <v>25</v>
      </c>
      <c r="I6055" s="1">
        <v>3</v>
      </c>
      <c r="J6055" s="2">
        <v>45801</v>
      </c>
      <c r="L6055" s="1" t="str">
        <f t="shared" si="694"/>
        <v>sáb</v>
      </c>
      <c r="M6055" s="1" t="str">
        <f t="shared" si="693"/>
        <v>mai</v>
      </c>
      <c r="N6055">
        <f t="shared" si="695"/>
        <v>2025</v>
      </c>
      <c r="P6055" t="str">
        <f t="shared" si="696"/>
        <v>103645801</v>
      </c>
    </row>
    <row r="6056" spans="1:16" x14ac:dyDescent="0.3">
      <c r="A6056">
        <v>1036</v>
      </c>
      <c r="B6056">
        <v>22</v>
      </c>
      <c r="C6056" t="s">
        <v>26</v>
      </c>
      <c r="D6056" t="s">
        <v>27</v>
      </c>
      <c r="E6056" t="s">
        <v>17</v>
      </c>
      <c r="F6056" t="s">
        <v>21</v>
      </c>
      <c r="G6056" t="s">
        <v>43</v>
      </c>
      <c r="H6056" t="s">
        <v>25</v>
      </c>
      <c r="I6056" s="1">
        <v>3</v>
      </c>
      <c r="J6056" s="2">
        <v>45802</v>
      </c>
      <c r="L6056" s="1" t="str">
        <f t="shared" si="694"/>
        <v>dom</v>
      </c>
      <c r="M6056" s="1" t="str">
        <f t="shared" si="693"/>
        <v>mai</v>
      </c>
      <c r="N6056">
        <f t="shared" si="695"/>
        <v>2025</v>
      </c>
      <c r="P6056" t="str">
        <f t="shared" si="696"/>
        <v>103645802</v>
      </c>
    </row>
    <row r="6057" spans="1:16" x14ac:dyDescent="0.3">
      <c r="A6057">
        <v>1036</v>
      </c>
      <c r="B6057">
        <v>22</v>
      </c>
      <c r="C6057" t="s">
        <v>26</v>
      </c>
      <c r="D6057" t="s">
        <v>27</v>
      </c>
      <c r="E6057" t="s">
        <v>17</v>
      </c>
      <c r="F6057" t="s">
        <v>21</v>
      </c>
      <c r="G6057" t="s">
        <v>43</v>
      </c>
      <c r="H6057" t="s">
        <v>25</v>
      </c>
      <c r="I6057" s="1">
        <v>3</v>
      </c>
      <c r="J6057" s="2">
        <v>45803</v>
      </c>
      <c r="L6057" s="1" t="str">
        <f t="shared" si="694"/>
        <v>seg</v>
      </c>
      <c r="M6057" s="1" t="str">
        <f t="shared" si="693"/>
        <v>mai</v>
      </c>
      <c r="N6057">
        <f t="shared" si="695"/>
        <v>2025</v>
      </c>
      <c r="P6057" t="str">
        <f t="shared" si="696"/>
        <v>103645803</v>
      </c>
    </row>
    <row r="6058" spans="1:16" x14ac:dyDescent="0.3">
      <c r="A6058">
        <v>1036</v>
      </c>
      <c r="B6058">
        <v>22</v>
      </c>
      <c r="C6058" t="s">
        <v>26</v>
      </c>
      <c r="D6058" t="s">
        <v>27</v>
      </c>
      <c r="E6058" t="s">
        <v>17</v>
      </c>
      <c r="F6058" t="s">
        <v>21</v>
      </c>
      <c r="G6058" t="s">
        <v>43</v>
      </c>
      <c r="H6058" t="s">
        <v>25</v>
      </c>
      <c r="I6058" s="1">
        <v>3</v>
      </c>
      <c r="J6058" s="2">
        <v>45804</v>
      </c>
      <c r="L6058" s="1" t="str">
        <f t="shared" si="694"/>
        <v>ter</v>
      </c>
      <c r="M6058" s="1" t="str">
        <f t="shared" si="693"/>
        <v>mai</v>
      </c>
      <c r="N6058">
        <f t="shared" si="695"/>
        <v>2025</v>
      </c>
      <c r="P6058" t="str">
        <f t="shared" si="696"/>
        <v>103645804</v>
      </c>
    </row>
    <row r="6059" spans="1:16" x14ac:dyDescent="0.3">
      <c r="A6059">
        <v>1036</v>
      </c>
      <c r="B6059">
        <v>22</v>
      </c>
      <c r="C6059" t="s">
        <v>26</v>
      </c>
      <c r="D6059" t="s">
        <v>27</v>
      </c>
      <c r="E6059" t="s">
        <v>17</v>
      </c>
      <c r="F6059" t="s">
        <v>21</v>
      </c>
      <c r="G6059" t="s">
        <v>43</v>
      </c>
      <c r="H6059" t="s">
        <v>25</v>
      </c>
      <c r="I6059" s="1">
        <v>3</v>
      </c>
      <c r="J6059" s="2">
        <v>45805</v>
      </c>
      <c r="L6059" s="1" t="str">
        <f t="shared" si="694"/>
        <v>qua</v>
      </c>
      <c r="M6059" s="1" t="str">
        <f t="shared" si="693"/>
        <v>mai</v>
      </c>
      <c r="N6059">
        <f t="shared" si="695"/>
        <v>2025</v>
      </c>
      <c r="P6059" t="str">
        <f t="shared" si="696"/>
        <v>103645805</v>
      </c>
    </row>
    <row r="6060" spans="1:16" x14ac:dyDescent="0.3">
      <c r="A6060">
        <v>1036</v>
      </c>
      <c r="B6060">
        <v>22</v>
      </c>
      <c r="C6060" t="s">
        <v>26</v>
      </c>
      <c r="D6060" t="s">
        <v>27</v>
      </c>
      <c r="E6060" t="s">
        <v>17</v>
      </c>
      <c r="F6060" t="s">
        <v>21</v>
      </c>
      <c r="G6060" t="s">
        <v>43</v>
      </c>
      <c r="H6060" t="s">
        <v>25</v>
      </c>
      <c r="I6060" s="1">
        <v>3</v>
      </c>
      <c r="J6060" s="2">
        <v>45806</v>
      </c>
      <c r="L6060" s="1" t="str">
        <f t="shared" si="694"/>
        <v>qui</v>
      </c>
      <c r="M6060" s="1" t="str">
        <f t="shared" si="693"/>
        <v>mai</v>
      </c>
      <c r="N6060">
        <f t="shared" si="695"/>
        <v>2025</v>
      </c>
      <c r="P6060" t="str">
        <f t="shared" si="696"/>
        <v>103645806</v>
      </c>
    </row>
    <row r="6061" spans="1:16" x14ac:dyDescent="0.3">
      <c r="A6061">
        <v>1036</v>
      </c>
      <c r="B6061">
        <v>22</v>
      </c>
      <c r="C6061" t="s">
        <v>26</v>
      </c>
      <c r="D6061" t="s">
        <v>27</v>
      </c>
      <c r="E6061" t="s">
        <v>17</v>
      </c>
      <c r="F6061" t="s">
        <v>21</v>
      </c>
      <c r="G6061" t="s">
        <v>43</v>
      </c>
      <c r="H6061" t="s">
        <v>25</v>
      </c>
      <c r="I6061" s="1">
        <v>3</v>
      </c>
      <c r="J6061" s="2">
        <v>45807</v>
      </c>
      <c r="L6061" s="1" t="str">
        <f t="shared" si="694"/>
        <v>sex</v>
      </c>
      <c r="M6061" s="1" t="str">
        <f t="shared" si="693"/>
        <v>mai</v>
      </c>
      <c r="N6061">
        <f t="shared" si="695"/>
        <v>2025</v>
      </c>
      <c r="P6061" t="str">
        <f t="shared" si="696"/>
        <v>103645807</v>
      </c>
    </row>
    <row r="6062" spans="1:16" x14ac:dyDescent="0.3">
      <c r="A6062">
        <v>1036</v>
      </c>
      <c r="B6062">
        <v>22</v>
      </c>
      <c r="C6062" t="s">
        <v>26</v>
      </c>
      <c r="D6062" t="s">
        <v>27</v>
      </c>
      <c r="E6062" t="s">
        <v>17</v>
      </c>
      <c r="F6062" t="s">
        <v>21</v>
      </c>
      <c r="G6062" t="s">
        <v>43</v>
      </c>
      <c r="H6062" t="s">
        <v>25</v>
      </c>
      <c r="I6062" s="1">
        <v>3</v>
      </c>
      <c r="J6062" s="2">
        <v>45808</v>
      </c>
      <c r="L6062" s="1" t="str">
        <f t="shared" si="694"/>
        <v>sáb</v>
      </c>
      <c r="M6062" s="1" t="str">
        <f t="shared" si="693"/>
        <v>mai</v>
      </c>
      <c r="N6062">
        <f t="shared" si="695"/>
        <v>2025</v>
      </c>
      <c r="P6062" t="str">
        <f t="shared" si="696"/>
        <v>103645808</v>
      </c>
    </row>
    <row r="6063" spans="1:16" x14ac:dyDescent="0.3">
      <c r="A6063">
        <v>1036</v>
      </c>
      <c r="B6063">
        <v>22</v>
      </c>
      <c r="C6063" t="s">
        <v>26</v>
      </c>
      <c r="D6063" t="s">
        <v>27</v>
      </c>
      <c r="E6063" t="s">
        <v>17</v>
      </c>
      <c r="F6063" t="s">
        <v>21</v>
      </c>
      <c r="G6063" t="s">
        <v>43</v>
      </c>
      <c r="H6063" t="s">
        <v>25</v>
      </c>
      <c r="I6063" s="1">
        <v>3</v>
      </c>
      <c r="J6063" s="2">
        <v>45809</v>
      </c>
      <c r="L6063" s="1" t="str">
        <f t="shared" si="694"/>
        <v>dom</v>
      </c>
      <c r="M6063" s="1" t="str">
        <f t="shared" si="693"/>
        <v>jun</v>
      </c>
      <c r="N6063">
        <f t="shared" si="695"/>
        <v>2025</v>
      </c>
      <c r="P6063" t="str">
        <f t="shared" si="696"/>
        <v>103645809</v>
      </c>
    </row>
    <row r="6064" spans="1:16" x14ac:dyDescent="0.3">
      <c r="A6064">
        <v>1036</v>
      </c>
      <c r="B6064">
        <v>22</v>
      </c>
      <c r="C6064" t="s">
        <v>26</v>
      </c>
      <c r="D6064" t="s">
        <v>27</v>
      </c>
      <c r="E6064" t="s">
        <v>17</v>
      </c>
      <c r="F6064" t="s">
        <v>21</v>
      </c>
      <c r="G6064" t="s">
        <v>43</v>
      </c>
      <c r="H6064" t="s">
        <v>25</v>
      </c>
      <c r="I6064" s="1">
        <v>3</v>
      </c>
      <c r="J6064" s="2">
        <v>45810</v>
      </c>
      <c r="L6064" s="1" t="str">
        <f t="shared" si="694"/>
        <v>seg</v>
      </c>
      <c r="M6064" s="1" t="str">
        <f t="shared" si="693"/>
        <v>jun</v>
      </c>
      <c r="N6064">
        <f t="shared" si="695"/>
        <v>2025</v>
      </c>
      <c r="P6064" t="str">
        <f t="shared" si="696"/>
        <v>103645810</v>
      </c>
    </row>
    <row r="6065" spans="1:16" x14ac:dyDescent="0.3">
      <c r="A6065">
        <v>1036</v>
      </c>
      <c r="B6065">
        <v>22</v>
      </c>
      <c r="C6065" t="s">
        <v>26</v>
      </c>
      <c r="D6065" t="s">
        <v>27</v>
      </c>
      <c r="E6065" t="s">
        <v>17</v>
      </c>
      <c r="F6065" t="s">
        <v>21</v>
      </c>
      <c r="G6065" t="s">
        <v>43</v>
      </c>
      <c r="H6065" t="s">
        <v>25</v>
      </c>
      <c r="I6065" s="1">
        <v>3</v>
      </c>
      <c r="J6065" s="2">
        <v>45811</v>
      </c>
      <c r="L6065" s="1" t="str">
        <f t="shared" si="694"/>
        <v>ter</v>
      </c>
      <c r="M6065" s="1" t="str">
        <f t="shared" ref="M6065:M6128" si="697">TEXT($J6065,"mmm")</f>
        <v>jun</v>
      </c>
      <c r="N6065">
        <f t="shared" si="695"/>
        <v>2025</v>
      </c>
      <c r="P6065" t="str">
        <f t="shared" si="696"/>
        <v>103645811</v>
      </c>
    </row>
    <row r="6066" spans="1:16" x14ac:dyDescent="0.3">
      <c r="A6066">
        <v>1036</v>
      </c>
      <c r="B6066">
        <v>22</v>
      </c>
      <c r="C6066" t="s">
        <v>26</v>
      </c>
      <c r="D6066" t="s">
        <v>27</v>
      </c>
      <c r="E6066" t="s">
        <v>17</v>
      </c>
      <c r="F6066" t="s">
        <v>21</v>
      </c>
      <c r="G6066" t="s">
        <v>43</v>
      </c>
      <c r="H6066" t="s">
        <v>25</v>
      </c>
      <c r="I6066" s="1">
        <v>3</v>
      </c>
      <c r="J6066" s="2">
        <v>45812</v>
      </c>
      <c r="L6066" s="1" t="str">
        <f t="shared" si="694"/>
        <v>qua</v>
      </c>
      <c r="M6066" s="1" t="str">
        <f t="shared" si="697"/>
        <v>jun</v>
      </c>
      <c r="N6066">
        <f t="shared" si="695"/>
        <v>2025</v>
      </c>
      <c r="P6066" t="str">
        <f t="shared" si="696"/>
        <v>103645812</v>
      </c>
    </row>
    <row r="6067" spans="1:16" x14ac:dyDescent="0.3">
      <c r="A6067">
        <v>1036</v>
      </c>
      <c r="B6067">
        <v>22</v>
      </c>
      <c r="C6067" t="s">
        <v>26</v>
      </c>
      <c r="D6067" t="s">
        <v>27</v>
      </c>
      <c r="E6067" t="s">
        <v>17</v>
      </c>
      <c r="F6067" t="s">
        <v>21</v>
      </c>
      <c r="G6067" t="s">
        <v>43</v>
      </c>
      <c r="H6067" t="s">
        <v>25</v>
      </c>
      <c r="I6067" s="1">
        <v>3</v>
      </c>
      <c r="J6067" s="2">
        <v>45813</v>
      </c>
      <c r="L6067" s="1" t="str">
        <f t="shared" si="694"/>
        <v>qui</v>
      </c>
      <c r="M6067" s="1" t="str">
        <f t="shared" si="697"/>
        <v>jun</v>
      </c>
      <c r="N6067">
        <f t="shared" si="695"/>
        <v>2025</v>
      </c>
      <c r="P6067" t="str">
        <f t="shared" si="696"/>
        <v>103645813</v>
      </c>
    </row>
    <row r="6068" spans="1:16" x14ac:dyDescent="0.3">
      <c r="A6068">
        <v>1036</v>
      </c>
      <c r="B6068">
        <v>22</v>
      </c>
      <c r="C6068" t="s">
        <v>26</v>
      </c>
      <c r="D6068" t="s">
        <v>27</v>
      </c>
      <c r="E6068" t="s">
        <v>17</v>
      </c>
      <c r="F6068" t="s">
        <v>21</v>
      </c>
      <c r="G6068" t="s">
        <v>43</v>
      </c>
      <c r="H6068" t="s">
        <v>25</v>
      </c>
      <c r="I6068" s="1">
        <v>3</v>
      </c>
      <c r="J6068" s="2">
        <v>45814</v>
      </c>
      <c r="L6068" s="1" t="str">
        <f t="shared" si="694"/>
        <v>sex</v>
      </c>
      <c r="M6068" s="1" t="str">
        <f t="shared" si="697"/>
        <v>jun</v>
      </c>
      <c r="N6068">
        <f t="shared" si="695"/>
        <v>2025</v>
      </c>
      <c r="P6068" t="str">
        <f t="shared" si="696"/>
        <v>103645814</v>
      </c>
    </row>
    <row r="6069" spans="1:16" x14ac:dyDescent="0.3">
      <c r="A6069">
        <v>1036</v>
      </c>
      <c r="B6069">
        <v>22</v>
      </c>
      <c r="C6069" t="s">
        <v>26</v>
      </c>
      <c r="D6069" t="s">
        <v>27</v>
      </c>
      <c r="E6069" t="s">
        <v>17</v>
      </c>
      <c r="F6069" t="s">
        <v>21</v>
      </c>
      <c r="G6069" t="s">
        <v>43</v>
      </c>
      <c r="H6069" t="s">
        <v>25</v>
      </c>
      <c r="I6069" s="1">
        <v>3</v>
      </c>
      <c r="J6069" s="2">
        <v>45815</v>
      </c>
      <c r="L6069" s="1" t="str">
        <f t="shared" si="694"/>
        <v>sáb</v>
      </c>
      <c r="M6069" s="1" t="str">
        <f t="shared" si="697"/>
        <v>jun</v>
      </c>
      <c r="N6069">
        <f t="shared" si="695"/>
        <v>2025</v>
      </c>
      <c r="P6069" t="str">
        <f t="shared" si="696"/>
        <v>103645815</v>
      </c>
    </row>
    <row r="6070" spans="1:16" x14ac:dyDescent="0.3">
      <c r="A6070">
        <v>1036</v>
      </c>
      <c r="B6070">
        <v>22</v>
      </c>
      <c r="C6070" t="s">
        <v>26</v>
      </c>
      <c r="D6070" t="s">
        <v>27</v>
      </c>
      <c r="E6070" t="s">
        <v>17</v>
      </c>
      <c r="F6070" t="s">
        <v>21</v>
      </c>
      <c r="G6070" t="s">
        <v>43</v>
      </c>
      <c r="H6070" t="s">
        <v>25</v>
      </c>
      <c r="I6070" s="1">
        <v>3</v>
      </c>
      <c r="J6070" s="2">
        <v>45816</v>
      </c>
      <c r="L6070" s="1" t="str">
        <f t="shared" si="694"/>
        <v>dom</v>
      </c>
      <c r="M6070" s="1" t="str">
        <f t="shared" si="697"/>
        <v>jun</v>
      </c>
      <c r="N6070">
        <f t="shared" si="695"/>
        <v>2025</v>
      </c>
      <c r="P6070" t="str">
        <f t="shared" si="696"/>
        <v>103645816</v>
      </c>
    </row>
    <row r="6071" spans="1:16" x14ac:dyDescent="0.3">
      <c r="A6071">
        <v>1036</v>
      </c>
      <c r="B6071">
        <v>22</v>
      </c>
      <c r="C6071" t="s">
        <v>26</v>
      </c>
      <c r="D6071" t="s">
        <v>27</v>
      </c>
      <c r="E6071" t="s">
        <v>17</v>
      </c>
      <c r="F6071" t="s">
        <v>21</v>
      </c>
      <c r="G6071" t="s">
        <v>43</v>
      </c>
      <c r="H6071" t="s">
        <v>25</v>
      </c>
      <c r="I6071" s="1">
        <v>3</v>
      </c>
      <c r="J6071" s="2">
        <v>45817</v>
      </c>
      <c r="L6071" s="1" t="str">
        <f t="shared" si="694"/>
        <v>seg</v>
      </c>
      <c r="M6071" s="1" t="str">
        <f t="shared" si="697"/>
        <v>jun</v>
      </c>
      <c r="N6071">
        <f t="shared" si="695"/>
        <v>2025</v>
      </c>
      <c r="P6071" t="str">
        <f t="shared" si="696"/>
        <v>103645817</v>
      </c>
    </row>
    <row r="6072" spans="1:16" x14ac:dyDescent="0.3">
      <c r="A6072">
        <v>1036</v>
      </c>
      <c r="B6072">
        <v>22</v>
      </c>
      <c r="C6072" t="s">
        <v>26</v>
      </c>
      <c r="D6072" t="s">
        <v>27</v>
      </c>
      <c r="E6072" t="s">
        <v>17</v>
      </c>
      <c r="F6072" t="s">
        <v>21</v>
      </c>
      <c r="G6072" t="s">
        <v>43</v>
      </c>
      <c r="H6072" t="s">
        <v>25</v>
      </c>
      <c r="I6072" s="1">
        <v>3</v>
      </c>
      <c r="J6072" s="2">
        <v>45818</v>
      </c>
      <c r="L6072" s="1" t="str">
        <f t="shared" si="694"/>
        <v>ter</v>
      </c>
      <c r="M6072" s="1" t="str">
        <f t="shared" si="697"/>
        <v>jun</v>
      </c>
      <c r="N6072">
        <f t="shared" si="695"/>
        <v>2025</v>
      </c>
      <c r="P6072" t="str">
        <f t="shared" si="696"/>
        <v>103645818</v>
      </c>
    </row>
    <row r="6073" spans="1:16" x14ac:dyDescent="0.3">
      <c r="A6073">
        <v>1036</v>
      </c>
      <c r="B6073">
        <v>22</v>
      </c>
      <c r="C6073" t="s">
        <v>26</v>
      </c>
      <c r="D6073" t="s">
        <v>27</v>
      </c>
      <c r="E6073" t="s">
        <v>17</v>
      </c>
      <c r="F6073" t="s">
        <v>21</v>
      </c>
      <c r="G6073" t="s">
        <v>43</v>
      </c>
      <c r="H6073" t="s">
        <v>25</v>
      </c>
      <c r="I6073" s="1">
        <v>3</v>
      </c>
      <c r="J6073" s="2">
        <v>45819</v>
      </c>
      <c r="L6073" s="1" t="str">
        <f t="shared" si="694"/>
        <v>qua</v>
      </c>
      <c r="M6073" s="1" t="str">
        <f t="shared" si="697"/>
        <v>jun</v>
      </c>
      <c r="N6073">
        <f t="shared" si="695"/>
        <v>2025</v>
      </c>
      <c r="P6073" t="str">
        <f t="shared" si="696"/>
        <v>103645819</v>
      </c>
    </row>
    <row r="6074" spans="1:16" x14ac:dyDescent="0.3">
      <c r="A6074">
        <v>1036</v>
      </c>
      <c r="B6074">
        <v>22</v>
      </c>
      <c r="C6074" t="s">
        <v>26</v>
      </c>
      <c r="D6074" t="s">
        <v>27</v>
      </c>
      <c r="E6074" t="s">
        <v>17</v>
      </c>
      <c r="F6074" t="s">
        <v>21</v>
      </c>
      <c r="G6074" t="s">
        <v>43</v>
      </c>
      <c r="H6074" t="s">
        <v>25</v>
      </c>
      <c r="I6074" s="1">
        <v>3</v>
      </c>
      <c r="J6074" s="2">
        <v>45820</v>
      </c>
      <c r="L6074" s="1" t="str">
        <f t="shared" si="694"/>
        <v>qui</v>
      </c>
      <c r="M6074" s="1" t="str">
        <f t="shared" si="697"/>
        <v>jun</v>
      </c>
      <c r="N6074">
        <f t="shared" si="695"/>
        <v>2025</v>
      </c>
      <c r="P6074" t="str">
        <f t="shared" si="696"/>
        <v>103645820</v>
      </c>
    </row>
    <row r="6075" spans="1:16" x14ac:dyDescent="0.3">
      <c r="A6075">
        <v>1036</v>
      </c>
      <c r="B6075">
        <v>22</v>
      </c>
      <c r="C6075" t="s">
        <v>26</v>
      </c>
      <c r="D6075" t="s">
        <v>27</v>
      </c>
      <c r="E6075" t="s">
        <v>17</v>
      </c>
      <c r="F6075" t="s">
        <v>21</v>
      </c>
      <c r="G6075" t="s">
        <v>43</v>
      </c>
      <c r="H6075" t="s">
        <v>25</v>
      </c>
      <c r="I6075" s="1">
        <v>3</v>
      </c>
      <c r="J6075" s="2">
        <v>45821</v>
      </c>
      <c r="L6075" s="1" t="str">
        <f t="shared" si="694"/>
        <v>sex</v>
      </c>
      <c r="M6075" s="1" t="str">
        <f t="shared" si="697"/>
        <v>jun</v>
      </c>
      <c r="N6075">
        <f t="shared" si="695"/>
        <v>2025</v>
      </c>
      <c r="P6075" t="str">
        <f t="shared" si="696"/>
        <v>103645821</v>
      </c>
    </row>
    <row r="6076" spans="1:16" x14ac:dyDescent="0.3">
      <c r="A6076">
        <v>1036</v>
      </c>
      <c r="B6076">
        <v>22</v>
      </c>
      <c r="C6076" t="s">
        <v>26</v>
      </c>
      <c r="D6076" t="s">
        <v>27</v>
      </c>
      <c r="E6076" t="s">
        <v>17</v>
      </c>
      <c r="F6076" t="s">
        <v>21</v>
      </c>
      <c r="G6076" t="s">
        <v>43</v>
      </c>
      <c r="H6076" t="s">
        <v>25</v>
      </c>
      <c r="I6076" s="1">
        <v>3</v>
      </c>
      <c r="J6076" s="2">
        <v>45822</v>
      </c>
      <c r="L6076" s="1" t="str">
        <f t="shared" si="694"/>
        <v>sáb</v>
      </c>
      <c r="M6076" s="1" t="str">
        <f t="shared" si="697"/>
        <v>jun</v>
      </c>
      <c r="N6076">
        <f t="shared" si="695"/>
        <v>2025</v>
      </c>
      <c r="P6076" t="str">
        <f t="shared" si="696"/>
        <v>103645822</v>
      </c>
    </row>
    <row r="6077" spans="1:16" x14ac:dyDescent="0.3">
      <c r="A6077">
        <v>1036</v>
      </c>
      <c r="B6077">
        <v>22</v>
      </c>
      <c r="C6077" t="s">
        <v>26</v>
      </c>
      <c r="D6077" t="s">
        <v>27</v>
      </c>
      <c r="E6077" t="s">
        <v>17</v>
      </c>
      <c r="F6077" t="s">
        <v>21</v>
      </c>
      <c r="G6077" t="s">
        <v>43</v>
      </c>
      <c r="H6077" t="s">
        <v>25</v>
      </c>
      <c r="I6077" s="1">
        <v>3</v>
      </c>
      <c r="J6077" s="2">
        <v>45823</v>
      </c>
      <c r="L6077" s="1" t="str">
        <f t="shared" si="694"/>
        <v>dom</v>
      </c>
      <c r="M6077" s="1" t="str">
        <f t="shared" si="697"/>
        <v>jun</v>
      </c>
      <c r="N6077">
        <f t="shared" si="695"/>
        <v>2025</v>
      </c>
      <c r="P6077" t="str">
        <f t="shared" si="696"/>
        <v>103645823</v>
      </c>
    </row>
    <row r="6078" spans="1:16" x14ac:dyDescent="0.3">
      <c r="A6078">
        <v>1036</v>
      </c>
      <c r="B6078">
        <v>22</v>
      </c>
      <c r="C6078" t="s">
        <v>26</v>
      </c>
      <c r="D6078" t="s">
        <v>27</v>
      </c>
      <c r="E6078" t="s">
        <v>17</v>
      </c>
      <c r="F6078" t="s">
        <v>21</v>
      </c>
      <c r="G6078" t="s">
        <v>43</v>
      </c>
      <c r="H6078" t="s">
        <v>25</v>
      </c>
      <c r="I6078" s="1">
        <v>3</v>
      </c>
      <c r="J6078" s="2">
        <v>45824</v>
      </c>
      <c r="L6078" s="1" t="str">
        <f t="shared" si="694"/>
        <v>seg</v>
      </c>
      <c r="M6078" s="1" t="str">
        <f t="shared" si="697"/>
        <v>jun</v>
      </c>
      <c r="N6078">
        <f t="shared" si="695"/>
        <v>2025</v>
      </c>
      <c r="P6078" t="str">
        <f t="shared" si="696"/>
        <v>103645824</v>
      </c>
    </row>
    <row r="6079" spans="1:16" x14ac:dyDescent="0.3">
      <c r="A6079">
        <v>1036</v>
      </c>
      <c r="B6079">
        <v>22</v>
      </c>
      <c r="C6079" t="s">
        <v>26</v>
      </c>
      <c r="D6079" t="s">
        <v>27</v>
      </c>
      <c r="E6079" t="s">
        <v>17</v>
      </c>
      <c r="F6079" t="s">
        <v>21</v>
      </c>
      <c r="G6079" t="s">
        <v>43</v>
      </c>
      <c r="H6079" t="s">
        <v>25</v>
      </c>
      <c r="I6079" s="1">
        <v>3</v>
      </c>
      <c r="J6079" s="2">
        <v>45825</v>
      </c>
      <c r="L6079" s="1" t="str">
        <f t="shared" si="694"/>
        <v>ter</v>
      </c>
      <c r="M6079" s="1" t="str">
        <f t="shared" si="697"/>
        <v>jun</v>
      </c>
      <c r="N6079">
        <f t="shared" si="695"/>
        <v>2025</v>
      </c>
      <c r="P6079" t="str">
        <f t="shared" si="696"/>
        <v>103645825</v>
      </c>
    </row>
    <row r="6080" spans="1:16" x14ac:dyDescent="0.3">
      <c r="A6080">
        <v>1036</v>
      </c>
      <c r="B6080">
        <v>22</v>
      </c>
      <c r="C6080" t="s">
        <v>26</v>
      </c>
      <c r="D6080" t="s">
        <v>27</v>
      </c>
      <c r="E6080" t="s">
        <v>17</v>
      </c>
      <c r="F6080" t="s">
        <v>21</v>
      </c>
      <c r="G6080" t="s">
        <v>43</v>
      </c>
      <c r="H6080" t="s">
        <v>25</v>
      </c>
      <c r="I6080" s="1">
        <v>3</v>
      </c>
      <c r="J6080" s="2">
        <v>45826</v>
      </c>
      <c r="L6080" s="1" t="str">
        <f t="shared" si="694"/>
        <v>qua</v>
      </c>
      <c r="M6080" s="1" t="str">
        <f t="shared" si="697"/>
        <v>jun</v>
      </c>
      <c r="N6080">
        <f t="shared" si="695"/>
        <v>2025</v>
      </c>
      <c r="P6080" t="str">
        <f t="shared" si="696"/>
        <v>103645826</v>
      </c>
    </row>
    <row r="6081" spans="1:16" x14ac:dyDescent="0.3">
      <c r="A6081">
        <v>1036</v>
      </c>
      <c r="B6081">
        <v>22</v>
      </c>
      <c r="C6081" t="s">
        <v>26</v>
      </c>
      <c r="D6081" t="s">
        <v>27</v>
      </c>
      <c r="E6081" t="s">
        <v>17</v>
      </c>
      <c r="F6081" t="s">
        <v>21</v>
      </c>
      <c r="G6081" t="s">
        <v>43</v>
      </c>
      <c r="H6081" t="s">
        <v>25</v>
      </c>
      <c r="I6081" s="1">
        <v>3</v>
      </c>
      <c r="J6081" s="2">
        <v>45827</v>
      </c>
      <c r="L6081" s="1" t="str">
        <f t="shared" si="694"/>
        <v>qui</v>
      </c>
      <c r="M6081" s="1" t="str">
        <f t="shared" si="697"/>
        <v>jun</v>
      </c>
      <c r="N6081">
        <f t="shared" si="695"/>
        <v>2025</v>
      </c>
      <c r="P6081" t="str">
        <f t="shared" si="696"/>
        <v>103645827</v>
      </c>
    </row>
    <row r="6082" spans="1:16" x14ac:dyDescent="0.3">
      <c r="A6082">
        <v>1036</v>
      </c>
      <c r="B6082">
        <v>22</v>
      </c>
      <c r="C6082" t="s">
        <v>26</v>
      </c>
      <c r="D6082" t="s">
        <v>27</v>
      </c>
      <c r="E6082" t="s">
        <v>17</v>
      </c>
      <c r="F6082" t="s">
        <v>21</v>
      </c>
      <c r="G6082" t="s">
        <v>43</v>
      </c>
      <c r="H6082" t="s">
        <v>25</v>
      </c>
      <c r="I6082" s="1">
        <v>3</v>
      </c>
      <c r="J6082" s="2">
        <v>45828</v>
      </c>
      <c r="L6082" s="1" t="str">
        <f t="shared" si="694"/>
        <v>sex</v>
      </c>
      <c r="M6082" s="1" t="str">
        <f t="shared" si="697"/>
        <v>jun</v>
      </c>
      <c r="N6082">
        <f t="shared" si="695"/>
        <v>2025</v>
      </c>
      <c r="P6082" t="str">
        <f t="shared" si="696"/>
        <v>103645828</v>
      </c>
    </row>
    <row r="6083" spans="1:16" x14ac:dyDescent="0.3">
      <c r="A6083">
        <v>1036</v>
      </c>
      <c r="B6083">
        <v>22</v>
      </c>
      <c r="C6083" t="s">
        <v>26</v>
      </c>
      <c r="D6083" t="s">
        <v>27</v>
      </c>
      <c r="E6083" t="s">
        <v>17</v>
      </c>
      <c r="F6083" t="s">
        <v>21</v>
      </c>
      <c r="G6083" t="s">
        <v>43</v>
      </c>
      <c r="H6083" t="s">
        <v>25</v>
      </c>
      <c r="I6083" s="1">
        <v>3</v>
      </c>
      <c r="J6083" s="2">
        <v>45829</v>
      </c>
      <c r="L6083" s="1" t="str">
        <f t="shared" si="694"/>
        <v>sáb</v>
      </c>
      <c r="M6083" s="1" t="str">
        <f t="shared" si="697"/>
        <v>jun</v>
      </c>
      <c r="N6083">
        <f t="shared" si="695"/>
        <v>2025</v>
      </c>
      <c r="P6083" t="str">
        <f t="shared" si="696"/>
        <v>103645829</v>
      </c>
    </row>
    <row r="6084" spans="1:16" x14ac:dyDescent="0.3">
      <c r="A6084">
        <v>1036</v>
      </c>
      <c r="B6084">
        <v>22</v>
      </c>
      <c r="C6084" t="s">
        <v>26</v>
      </c>
      <c r="D6084" t="s">
        <v>27</v>
      </c>
      <c r="E6084" t="s">
        <v>17</v>
      </c>
      <c r="F6084" t="s">
        <v>21</v>
      </c>
      <c r="G6084" t="s">
        <v>43</v>
      </c>
      <c r="H6084" t="s">
        <v>25</v>
      </c>
      <c r="I6084" s="1">
        <v>3</v>
      </c>
      <c r="J6084" s="2">
        <v>45830</v>
      </c>
      <c r="L6084" s="1" t="str">
        <f t="shared" si="694"/>
        <v>dom</v>
      </c>
      <c r="M6084" s="1" t="str">
        <f t="shared" si="697"/>
        <v>jun</v>
      </c>
      <c r="N6084">
        <f t="shared" si="695"/>
        <v>2025</v>
      </c>
      <c r="P6084" t="str">
        <f t="shared" si="696"/>
        <v>103645830</v>
      </c>
    </row>
    <row r="6085" spans="1:16" x14ac:dyDescent="0.3">
      <c r="A6085">
        <v>1036</v>
      </c>
      <c r="B6085">
        <v>22</v>
      </c>
      <c r="C6085" t="s">
        <v>26</v>
      </c>
      <c r="D6085" t="s">
        <v>27</v>
      </c>
      <c r="E6085" t="s">
        <v>17</v>
      </c>
      <c r="F6085" t="s">
        <v>21</v>
      </c>
      <c r="G6085" t="s">
        <v>43</v>
      </c>
      <c r="H6085" t="s">
        <v>25</v>
      </c>
      <c r="I6085" s="1">
        <v>3</v>
      </c>
      <c r="J6085" s="2">
        <v>45831</v>
      </c>
      <c r="L6085" s="1" t="str">
        <f t="shared" si="694"/>
        <v>seg</v>
      </c>
      <c r="M6085" s="1" t="str">
        <f t="shared" si="697"/>
        <v>jun</v>
      </c>
      <c r="N6085">
        <f t="shared" si="695"/>
        <v>2025</v>
      </c>
      <c r="P6085" t="str">
        <f t="shared" si="696"/>
        <v>103645831</v>
      </c>
    </row>
    <row r="6086" spans="1:16" x14ac:dyDescent="0.3">
      <c r="A6086">
        <v>1036</v>
      </c>
      <c r="B6086">
        <v>22</v>
      </c>
      <c r="C6086" t="s">
        <v>26</v>
      </c>
      <c r="D6086" t="s">
        <v>27</v>
      </c>
      <c r="E6086" t="s">
        <v>17</v>
      </c>
      <c r="F6086" t="s">
        <v>21</v>
      </c>
      <c r="G6086" t="s">
        <v>43</v>
      </c>
      <c r="H6086" t="s">
        <v>25</v>
      </c>
      <c r="I6086" s="1">
        <v>3</v>
      </c>
      <c r="J6086" s="2">
        <v>45832</v>
      </c>
      <c r="L6086" s="1" t="str">
        <f t="shared" si="694"/>
        <v>ter</v>
      </c>
      <c r="M6086" s="1" t="str">
        <f t="shared" si="697"/>
        <v>jun</v>
      </c>
      <c r="N6086">
        <f t="shared" si="695"/>
        <v>2025</v>
      </c>
      <c r="P6086" t="str">
        <f t="shared" si="696"/>
        <v>103645832</v>
      </c>
    </row>
    <row r="6087" spans="1:16" x14ac:dyDescent="0.3">
      <c r="A6087">
        <v>1036</v>
      </c>
      <c r="B6087">
        <v>22</v>
      </c>
      <c r="C6087" t="s">
        <v>26</v>
      </c>
      <c r="D6087" t="s">
        <v>27</v>
      </c>
      <c r="E6087" t="s">
        <v>17</v>
      </c>
      <c r="F6087" t="s">
        <v>21</v>
      </c>
      <c r="G6087" t="s">
        <v>43</v>
      </c>
      <c r="H6087" t="s">
        <v>25</v>
      </c>
      <c r="I6087" s="1">
        <v>3</v>
      </c>
      <c r="J6087" s="2">
        <v>45833</v>
      </c>
      <c r="L6087" s="1" t="str">
        <f t="shared" si="694"/>
        <v>qua</v>
      </c>
      <c r="M6087" s="1" t="str">
        <f t="shared" si="697"/>
        <v>jun</v>
      </c>
      <c r="N6087">
        <f t="shared" si="695"/>
        <v>2025</v>
      </c>
      <c r="P6087" t="str">
        <f t="shared" si="696"/>
        <v>103645833</v>
      </c>
    </row>
    <row r="6088" spans="1:16" x14ac:dyDescent="0.3">
      <c r="A6088">
        <v>1036</v>
      </c>
      <c r="B6088">
        <v>22</v>
      </c>
      <c r="C6088" t="s">
        <v>26</v>
      </c>
      <c r="D6088" t="s">
        <v>27</v>
      </c>
      <c r="E6088" t="s">
        <v>17</v>
      </c>
      <c r="F6088" t="s">
        <v>21</v>
      </c>
      <c r="G6088" t="s">
        <v>43</v>
      </c>
      <c r="H6088" t="s">
        <v>25</v>
      </c>
      <c r="I6088" s="1">
        <v>3</v>
      </c>
      <c r="J6088" s="2">
        <v>45834</v>
      </c>
      <c r="L6088" s="1" t="str">
        <f t="shared" si="694"/>
        <v>qui</v>
      </c>
      <c r="M6088" s="1" t="str">
        <f t="shared" si="697"/>
        <v>jun</v>
      </c>
      <c r="N6088">
        <f t="shared" si="695"/>
        <v>2025</v>
      </c>
      <c r="P6088" t="str">
        <f t="shared" si="696"/>
        <v>103645834</v>
      </c>
    </row>
    <row r="6089" spans="1:16" x14ac:dyDescent="0.3">
      <c r="A6089">
        <v>1036</v>
      </c>
      <c r="B6089">
        <v>22</v>
      </c>
      <c r="C6089" t="s">
        <v>26</v>
      </c>
      <c r="D6089" t="s">
        <v>27</v>
      </c>
      <c r="E6089" t="s">
        <v>17</v>
      </c>
      <c r="F6089" t="s">
        <v>21</v>
      </c>
      <c r="G6089" t="s">
        <v>43</v>
      </c>
      <c r="H6089" t="s">
        <v>25</v>
      </c>
      <c r="I6089" s="1">
        <v>3</v>
      </c>
      <c r="J6089" s="2">
        <v>45835</v>
      </c>
      <c r="L6089" s="1" t="str">
        <f t="shared" si="694"/>
        <v>sex</v>
      </c>
      <c r="M6089" s="1" t="str">
        <f t="shared" si="697"/>
        <v>jun</v>
      </c>
      <c r="N6089">
        <f t="shared" si="695"/>
        <v>2025</v>
      </c>
      <c r="P6089" t="str">
        <f t="shared" si="696"/>
        <v>103645835</v>
      </c>
    </row>
    <row r="6090" spans="1:16" x14ac:dyDescent="0.3">
      <c r="A6090">
        <v>1036</v>
      </c>
      <c r="B6090">
        <v>22</v>
      </c>
      <c r="C6090" t="s">
        <v>26</v>
      </c>
      <c r="D6090" t="s">
        <v>27</v>
      </c>
      <c r="E6090" t="s">
        <v>17</v>
      </c>
      <c r="F6090" t="s">
        <v>21</v>
      </c>
      <c r="G6090" t="s">
        <v>43</v>
      </c>
      <c r="H6090" t="s">
        <v>25</v>
      </c>
      <c r="I6090" s="1">
        <v>3</v>
      </c>
      <c r="J6090" s="2">
        <v>45836</v>
      </c>
      <c r="L6090" s="1" t="str">
        <f t="shared" si="694"/>
        <v>sáb</v>
      </c>
      <c r="M6090" s="1" t="str">
        <f t="shared" si="697"/>
        <v>jun</v>
      </c>
      <c r="N6090">
        <f t="shared" si="695"/>
        <v>2025</v>
      </c>
      <c r="P6090" t="str">
        <f t="shared" si="696"/>
        <v>103645836</v>
      </c>
    </row>
    <row r="6091" spans="1:16" x14ac:dyDescent="0.3">
      <c r="A6091">
        <v>1036</v>
      </c>
      <c r="B6091">
        <v>22</v>
      </c>
      <c r="C6091" t="s">
        <v>26</v>
      </c>
      <c r="D6091" t="s">
        <v>27</v>
      </c>
      <c r="E6091" t="s">
        <v>17</v>
      </c>
      <c r="F6091" t="s">
        <v>21</v>
      </c>
      <c r="G6091" t="s">
        <v>43</v>
      </c>
      <c r="H6091" t="s">
        <v>25</v>
      </c>
      <c r="I6091" s="1">
        <v>3</v>
      </c>
      <c r="J6091" s="2">
        <v>45837</v>
      </c>
      <c r="L6091" s="1" t="str">
        <f t="shared" si="694"/>
        <v>dom</v>
      </c>
      <c r="M6091" s="1" t="str">
        <f t="shared" si="697"/>
        <v>jun</v>
      </c>
      <c r="N6091">
        <f t="shared" si="695"/>
        <v>2025</v>
      </c>
      <c r="P6091" t="str">
        <f t="shared" si="696"/>
        <v>103645837</v>
      </c>
    </row>
    <row r="6092" spans="1:16" x14ac:dyDescent="0.3">
      <c r="A6092">
        <v>1036</v>
      </c>
      <c r="B6092">
        <v>22</v>
      </c>
      <c r="C6092" t="s">
        <v>26</v>
      </c>
      <c r="D6092" t="s">
        <v>27</v>
      </c>
      <c r="E6092" t="s">
        <v>17</v>
      </c>
      <c r="F6092" t="s">
        <v>21</v>
      </c>
      <c r="G6092" t="s">
        <v>43</v>
      </c>
      <c r="H6092" t="s">
        <v>25</v>
      </c>
      <c r="I6092" s="1">
        <v>3</v>
      </c>
      <c r="J6092" s="2">
        <v>45838</v>
      </c>
      <c r="L6092" s="1" t="str">
        <f t="shared" si="694"/>
        <v>seg</v>
      </c>
      <c r="M6092" s="1" t="str">
        <f t="shared" si="697"/>
        <v>jun</v>
      </c>
      <c r="N6092">
        <f t="shared" si="695"/>
        <v>2025</v>
      </c>
      <c r="P6092" t="str">
        <f t="shared" si="696"/>
        <v>103645838</v>
      </c>
    </row>
    <row r="6093" spans="1:16" x14ac:dyDescent="0.3">
      <c r="A6093">
        <v>1036</v>
      </c>
      <c r="B6093">
        <v>22</v>
      </c>
      <c r="C6093" t="s">
        <v>26</v>
      </c>
      <c r="D6093" t="s">
        <v>27</v>
      </c>
      <c r="E6093" t="s">
        <v>17</v>
      </c>
      <c r="F6093" t="s">
        <v>21</v>
      </c>
      <c r="G6093" t="s">
        <v>43</v>
      </c>
      <c r="H6093" t="s">
        <v>25</v>
      </c>
      <c r="I6093" s="1">
        <v>3</v>
      </c>
      <c r="J6093" s="2">
        <v>45839</v>
      </c>
      <c r="L6093" s="1" t="str">
        <f t="shared" si="694"/>
        <v>ter</v>
      </c>
      <c r="M6093" s="1" t="str">
        <f t="shared" si="697"/>
        <v>jul</v>
      </c>
      <c r="N6093">
        <f t="shared" si="695"/>
        <v>2025</v>
      </c>
      <c r="P6093" t="str">
        <f t="shared" si="696"/>
        <v>103645839</v>
      </c>
    </row>
    <row r="6094" spans="1:16" x14ac:dyDescent="0.3">
      <c r="A6094">
        <v>1036</v>
      </c>
      <c r="B6094">
        <v>22</v>
      </c>
      <c r="C6094" t="s">
        <v>26</v>
      </c>
      <c r="D6094" t="s">
        <v>27</v>
      </c>
      <c r="E6094" t="s">
        <v>17</v>
      </c>
      <c r="F6094" t="s">
        <v>21</v>
      </c>
      <c r="G6094" t="s">
        <v>43</v>
      </c>
      <c r="H6094" t="s">
        <v>25</v>
      </c>
      <c r="I6094" s="1">
        <v>3</v>
      </c>
      <c r="J6094" s="2">
        <v>45840</v>
      </c>
      <c r="L6094" s="1" t="str">
        <f t="shared" si="694"/>
        <v>qua</v>
      </c>
      <c r="M6094" s="1" t="str">
        <f t="shared" si="697"/>
        <v>jul</v>
      </c>
      <c r="N6094">
        <f t="shared" si="695"/>
        <v>2025</v>
      </c>
      <c r="P6094" t="str">
        <f t="shared" si="696"/>
        <v>103645840</v>
      </c>
    </row>
    <row r="6095" spans="1:16" x14ac:dyDescent="0.3">
      <c r="A6095">
        <v>1036</v>
      </c>
      <c r="B6095">
        <v>22</v>
      </c>
      <c r="C6095" t="s">
        <v>26</v>
      </c>
      <c r="D6095" t="s">
        <v>27</v>
      </c>
      <c r="E6095" t="s">
        <v>17</v>
      </c>
      <c r="F6095" t="s">
        <v>21</v>
      </c>
      <c r="G6095" t="s">
        <v>43</v>
      </c>
      <c r="H6095" t="s">
        <v>25</v>
      </c>
      <c r="I6095" s="1">
        <v>3</v>
      </c>
      <c r="J6095" s="2">
        <v>45841</v>
      </c>
      <c r="L6095" s="1" t="str">
        <f t="shared" si="694"/>
        <v>qui</v>
      </c>
      <c r="M6095" s="1" t="str">
        <f t="shared" si="697"/>
        <v>jul</v>
      </c>
      <c r="N6095">
        <f t="shared" si="695"/>
        <v>2025</v>
      </c>
      <c r="P6095" t="str">
        <f t="shared" si="696"/>
        <v>103645841</v>
      </c>
    </row>
    <row r="6096" spans="1:16" x14ac:dyDescent="0.3">
      <c r="A6096">
        <v>1036</v>
      </c>
      <c r="B6096">
        <v>22</v>
      </c>
      <c r="C6096" t="s">
        <v>26</v>
      </c>
      <c r="D6096" t="s">
        <v>27</v>
      </c>
      <c r="E6096" t="s">
        <v>17</v>
      </c>
      <c r="F6096" t="s">
        <v>21</v>
      </c>
      <c r="G6096" t="s">
        <v>43</v>
      </c>
      <c r="H6096" t="s">
        <v>25</v>
      </c>
      <c r="I6096" s="1">
        <v>3</v>
      </c>
      <c r="J6096" s="2">
        <v>45842</v>
      </c>
      <c r="L6096" s="1" t="str">
        <f t="shared" si="694"/>
        <v>sex</v>
      </c>
      <c r="M6096" s="1" t="str">
        <f t="shared" si="697"/>
        <v>jul</v>
      </c>
      <c r="N6096">
        <f t="shared" si="695"/>
        <v>2025</v>
      </c>
      <c r="P6096" t="str">
        <f t="shared" si="696"/>
        <v>103645842</v>
      </c>
    </row>
    <row r="6097" spans="1:16" x14ac:dyDescent="0.3">
      <c r="A6097">
        <v>1036</v>
      </c>
      <c r="B6097">
        <v>22</v>
      </c>
      <c r="C6097" t="s">
        <v>26</v>
      </c>
      <c r="D6097" t="s">
        <v>27</v>
      </c>
      <c r="E6097" t="s">
        <v>17</v>
      </c>
      <c r="F6097" t="s">
        <v>21</v>
      </c>
      <c r="G6097" t="s">
        <v>43</v>
      </c>
      <c r="H6097" t="s">
        <v>25</v>
      </c>
      <c r="I6097" s="1">
        <v>3</v>
      </c>
      <c r="J6097" s="2">
        <v>45843</v>
      </c>
      <c r="L6097" s="1" t="str">
        <f t="shared" si="694"/>
        <v>sáb</v>
      </c>
      <c r="M6097" s="1" t="str">
        <f t="shared" si="697"/>
        <v>jul</v>
      </c>
      <c r="N6097">
        <f t="shared" si="695"/>
        <v>2025</v>
      </c>
      <c r="P6097" t="str">
        <f t="shared" si="696"/>
        <v>103645843</v>
      </c>
    </row>
    <row r="6098" spans="1:16" x14ac:dyDescent="0.3">
      <c r="A6098">
        <v>1036</v>
      </c>
      <c r="B6098">
        <v>22</v>
      </c>
      <c r="C6098" t="s">
        <v>26</v>
      </c>
      <c r="D6098" t="s">
        <v>27</v>
      </c>
      <c r="E6098" t="s">
        <v>17</v>
      </c>
      <c r="F6098" t="s">
        <v>21</v>
      </c>
      <c r="G6098" t="s">
        <v>43</v>
      </c>
      <c r="H6098" t="s">
        <v>25</v>
      </c>
      <c r="I6098" s="1">
        <v>3</v>
      </c>
      <c r="J6098" s="2">
        <v>45844</v>
      </c>
      <c r="L6098" s="1" t="str">
        <f t="shared" si="694"/>
        <v>dom</v>
      </c>
      <c r="M6098" s="1" t="str">
        <f t="shared" si="697"/>
        <v>jul</v>
      </c>
      <c r="N6098">
        <f t="shared" si="695"/>
        <v>2025</v>
      </c>
      <c r="P6098" t="str">
        <f t="shared" si="696"/>
        <v>103645844</v>
      </c>
    </row>
    <row r="6099" spans="1:16" x14ac:dyDescent="0.3">
      <c r="A6099">
        <v>1036</v>
      </c>
      <c r="B6099">
        <v>22</v>
      </c>
      <c r="C6099" t="s">
        <v>26</v>
      </c>
      <c r="D6099" t="s">
        <v>27</v>
      </c>
      <c r="E6099" t="s">
        <v>17</v>
      </c>
      <c r="F6099" t="s">
        <v>21</v>
      </c>
      <c r="G6099" t="s">
        <v>43</v>
      </c>
      <c r="H6099" t="s">
        <v>25</v>
      </c>
      <c r="I6099" s="1">
        <v>3</v>
      </c>
      <c r="J6099" s="2">
        <v>45845</v>
      </c>
      <c r="L6099" s="1" t="str">
        <f t="shared" si="694"/>
        <v>seg</v>
      </c>
      <c r="M6099" s="1" t="str">
        <f t="shared" si="697"/>
        <v>jul</v>
      </c>
      <c r="N6099">
        <f t="shared" si="695"/>
        <v>2025</v>
      </c>
      <c r="P6099" t="str">
        <f t="shared" si="696"/>
        <v>103645845</v>
      </c>
    </row>
    <row r="6100" spans="1:16" x14ac:dyDescent="0.3">
      <c r="A6100">
        <v>1036</v>
      </c>
      <c r="B6100">
        <v>22</v>
      </c>
      <c r="C6100" t="s">
        <v>26</v>
      </c>
      <c r="D6100" t="s">
        <v>27</v>
      </c>
      <c r="E6100" t="s">
        <v>17</v>
      </c>
      <c r="F6100" t="s">
        <v>21</v>
      </c>
      <c r="G6100" t="s">
        <v>43</v>
      </c>
      <c r="H6100" t="s">
        <v>25</v>
      </c>
      <c r="I6100" s="1">
        <v>3</v>
      </c>
      <c r="J6100" s="2">
        <v>45846</v>
      </c>
      <c r="L6100" s="1" t="str">
        <f t="shared" si="694"/>
        <v>ter</v>
      </c>
      <c r="M6100" s="1" t="str">
        <f t="shared" si="697"/>
        <v>jul</v>
      </c>
      <c r="N6100">
        <f t="shared" si="695"/>
        <v>2025</v>
      </c>
      <c r="P6100" t="str">
        <f t="shared" si="696"/>
        <v>103645846</v>
      </c>
    </row>
    <row r="6101" spans="1:16" x14ac:dyDescent="0.3">
      <c r="A6101">
        <v>1036</v>
      </c>
      <c r="B6101">
        <v>22</v>
      </c>
      <c r="C6101" t="s">
        <v>26</v>
      </c>
      <c r="D6101" t="s">
        <v>27</v>
      </c>
      <c r="E6101" t="s">
        <v>17</v>
      </c>
      <c r="F6101" t="s">
        <v>21</v>
      </c>
      <c r="G6101" t="s">
        <v>43</v>
      </c>
      <c r="H6101" t="s">
        <v>25</v>
      </c>
      <c r="I6101" s="1">
        <v>3</v>
      </c>
      <c r="J6101" s="2">
        <v>45847</v>
      </c>
      <c r="L6101" s="1" t="str">
        <f t="shared" si="694"/>
        <v>qua</v>
      </c>
      <c r="M6101" s="1" t="str">
        <f t="shared" si="697"/>
        <v>jul</v>
      </c>
      <c r="N6101">
        <f t="shared" si="695"/>
        <v>2025</v>
      </c>
      <c r="P6101" t="str">
        <f t="shared" si="696"/>
        <v>103645847</v>
      </c>
    </row>
    <row r="6102" spans="1:16" x14ac:dyDescent="0.3">
      <c r="A6102">
        <v>1036</v>
      </c>
      <c r="B6102">
        <v>22</v>
      </c>
      <c r="C6102" t="s">
        <v>26</v>
      </c>
      <c r="D6102" t="s">
        <v>27</v>
      </c>
      <c r="E6102" t="s">
        <v>17</v>
      </c>
      <c r="F6102" t="s">
        <v>21</v>
      </c>
      <c r="G6102" t="s">
        <v>43</v>
      </c>
      <c r="H6102" t="s">
        <v>25</v>
      </c>
      <c r="I6102" s="1">
        <v>3</v>
      </c>
      <c r="J6102" s="2">
        <v>45848</v>
      </c>
      <c r="L6102" s="1" t="str">
        <f t="shared" si="694"/>
        <v>qui</v>
      </c>
      <c r="M6102" s="1" t="str">
        <f t="shared" si="697"/>
        <v>jul</v>
      </c>
      <c r="N6102">
        <f t="shared" si="695"/>
        <v>2025</v>
      </c>
      <c r="P6102" t="str">
        <f t="shared" si="696"/>
        <v>103645848</v>
      </c>
    </row>
    <row r="6103" spans="1:16" x14ac:dyDescent="0.3">
      <c r="A6103">
        <v>1036</v>
      </c>
      <c r="B6103">
        <v>22</v>
      </c>
      <c r="C6103" t="s">
        <v>26</v>
      </c>
      <c r="D6103" t="s">
        <v>27</v>
      </c>
      <c r="E6103" t="s">
        <v>17</v>
      </c>
      <c r="F6103" t="s">
        <v>21</v>
      </c>
      <c r="G6103" t="s">
        <v>43</v>
      </c>
      <c r="H6103" t="s">
        <v>25</v>
      </c>
      <c r="I6103" s="1">
        <v>3</v>
      </c>
      <c r="J6103" s="2">
        <v>45849</v>
      </c>
      <c r="L6103" s="1" t="str">
        <f t="shared" si="694"/>
        <v>sex</v>
      </c>
      <c r="M6103" s="1" t="str">
        <f t="shared" si="697"/>
        <v>jul</v>
      </c>
      <c r="N6103">
        <f t="shared" si="695"/>
        <v>2025</v>
      </c>
      <c r="P6103" t="str">
        <f t="shared" si="696"/>
        <v>103645849</v>
      </c>
    </row>
    <row r="6104" spans="1:16" x14ac:dyDescent="0.3">
      <c r="A6104">
        <v>1036</v>
      </c>
      <c r="B6104">
        <v>22</v>
      </c>
      <c r="C6104" t="s">
        <v>26</v>
      </c>
      <c r="D6104" t="s">
        <v>27</v>
      </c>
      <c r="E6104" t="s">
        <v>17</v>
      </c>
      <c r="F6104" t="s">
        <v>21</v>
      </c>
      <c r="G6104" t="s">
        <v>43</v>
      </c>
      <c r="H6104" t="s">
        <v>25</v>
      </c>
      <c r="I6104" s="1">
        <v>3</v>
      </c>
      <c r="J6104" s="2">
        <v>45850</v>
      </c>
      <c r="L6104" s="1" t="str">
        <f t="shared" si="694"/>
        <v>sáb</v>
      </c>
      <c r="M6104" s="1" t="str">
        <f t="shared" si="697"/>
        <v>jul</v>
      </c>
      <c r="N6104">
        <f t="shared" si="695"/>
        <v>2025</v>
      </c>
      <c r="P6104" t="str">
        <f t="shared" si="696"/>
        <v>103645850</v>
      </c>
    </row>
    <row r="6105" spans="1:16" x14ac:dyDescent="0.3">
      <c r="A6105">
        <v>1036</v>
      </c>
      <c r="B6105">
        <v>22</v>
      </c>
      <c r="C6105" t="s">
        <v>26</v>
      </c>
      <c r="D6105" t="s">
        <v>27</v>
      </c>
      <c r="E6105" t="s">
        <v>17</v>
      </c>
      <c r="F6105" t="s">
        <v>21</v>
      </c>
      <c r="G6105" t="s">
        <v>43</v>
      </c>
      <c r="H6105" t="s">
        <v>25</v>
      </c>
      <c r="I6105" s="1">
        <v>3</v>
      </c>
      <c r="J6105" s="2">
        <v>45851</v>
      </c>
      <c r="L6105" s="1" t="str">
        <f t="shared" si="694"/>
        <v>dom</v>
      </c>
      <c r="M6105" s="1" t="str">
        <f t="shared" si="697"/>
        <v>jul</v>
      </c>
      <c r="N6105">
        <f t="shared" si="695"/>
        <v>2025</v>
      </c>
      <c r="P6105" t="str">
        <f t="shared" si="696"/>
        <v>103645851</v>
      </c>
    </row>
    <row r="6106" spans="1:16" x14ac:dyDescent="0.3">
      <c r="A6106">
        <v>1036</v>
      </c>
      <c r="B6106">
        <v>22</v>
      </c>
      <c r="C6106" t="s">
        <v>26</v>
      </c>
      <c r="D6106" t="s">
        <v>27</v>
      </c>
      <c r="E6106" t="s">
        <v>17</v>
      </c>
      <c r="F6106" t="s">
        <v>21</v>
      </c>
      <c r="G6106" t="s">
        <v>43</v>
      </c>
      <c r="H6106" t="s">
        <v>25</v>
      </c>
      <c r="I6106" s="1">
        <v>3</v>
      </c>
      <c r="J6106" s="2">
        <v>45852</v>
      </c>
      <c r="L6106" s="1" t="str">
        <f t="shared" si="694"/>
        <v>seg</v>
      </c>
      <c r="M6106" s="1" t="str">
        <f t="shared" si="697"/>
        <v>jul</v>
      </c>
      <c r="N6106">
        <f t="shared" si="695"/>
        <v>2025</v>
      </c>
      <c r="P6106" t="str">
        <f t="shared" si="696"/>
        <v>103645852</v>
      </c>
    </row>
    <row r="6107" spans="1:16" x14ac:dyDescent="0.3">
      <c r="A6107">
        <v>1036</v>
      </c>
      <c r="B6107">
        <v>22</v>
      </c>
      <c r="C6107" t="s">
        <v>26</v>
      </c>
      <c r="D6107" t="s">
        <v>27</v>
      </c>
      <c r="E6107" t="s">
        <v>17</v>
      </c>
      <c r="F6107" t="s">
        <v>21</v>
      </c>
      <c r="G6107" t="s">
        <v>43</v>
      </c>
      <c r="H6107" t="s">
        <v>25</v>
      </c>
      <c r="I6107" s="1">
        <v>3</v>
      </c>
      <c r="J6107" s="2">
        <v>45853</v>
      </c>
      <c r="L6107" s="1" t="str">
        <f t="shared" ref="L6107:L6170" si="698">TEXT(J6107,"ddd")</f>
        <v>ter</v>
      </c>
      <c r="M6107" s="1" t="str">
        <f t="shared" si="697"/>
        <v>jul</v>
      </c>
      <c r="N6107">
        <f t="shared" ref="N6107:N6170" si="699">YEAR(J6107)</f>
        <v>2025</v>
      </c>
      <c r="P6107" t="str">
        <f t="shared" ref="P6107:P6170" si="700">CONCATENATE(A6107,J6107)</f>
        <v>103645853</v>
      </c>
    </row>
    <row r="6108" spans="1:16" x14ac:dyDescent="0.3">
      <c r="A6108">
        <v>1036</v>
      </c>
      <c r="B6108">
        <v>22</v>
      </c>
      <c r="C6108" t="s">
        <v>26</v>
      </c>
      <c r="D6108" t="s">
        <v>27</v>
      </c>
      <c r="E6108" t="s">
        <v>17</v>
      </c>
      <c r="F6108" t="s">
        <v>21</v>
      </c>
      <c r="G6108" t="s">
        <v>43</v>
      </c>
      <c r="H6108" t="s">
        <v>25</v>
      </c>
      <c r="I6108" s="1">
        <v>3</v>
      </c>
      <c r="J6108" s="2">
        <v>45854</v>
      </c>
      <c r="L6108" s="1" t="str">
        <f t="shared" si="698"/>
        <v>qua</v>
      </c>
      <c r="M6108" s="1" t="str">
        <f t="shared" si="697"/>
        <v>jul</v>
      </c>
      <c r="N6108">
        <f t="shared" si="699"/>
        <v>2025</v>
      </c>
      <c r="P6108" t="str">
        <f t="shared" si="700"/>
        <v>103645854</v>
      </c>
    </row>
    <row r="6109" spans="1:16" x14ac:dyDescent="0.3">
      <c r="A6109">
        <v>1036</v>
      </c>
      <c r="B6109">
        <v>22</v>
      </c>
      <c r="C6109" t="s">
        <v>26</v>
      </c>
      <c r="D6109" t="s">
        <v>27</v>
      </c>
      <c r="E6109" t="s">
        <v>17</v>
      </c>
      <c r="F6109" t="s">
        <v>21</v>
      </c>
      <c r="G6109" t="s">
        <v>43</v>
      </c>
      <c r="H6109" t="s">
        <v>25</v>
      </c>
      <c r="I6109" s="1">
        <v>3</v>
      </c>
      <c r="J6109" s="2">
        <v>45855</v>
      </c>
      <c r="L6109" s="1" t="str">
        <f t="shared" si="698"/>
        <v>qui</v>
      </c>
      <c r="M6109" s="1" t="str">
        <f t="shared" si="697"/>
        <v>jul</v>
      </c>
      <c r="N6109">
        <f t="shared" si="699"/>
        <v>2025</v>
      </c>
      <c r="P6109" t="str">
        <f t="shared" si="700"/>
        <v>103645855</v>
      </c>
    </row>
    <row r="6110" spans="1:16" x14ac:dyDescent="0.3">
      <c r="A6110">
        <v>1036</v>
      </c>
      <c r="B6110">
        <v>22</v>
      </c>
      <c r="C6110" t="s">
        <v>26</v>
      </c>
      <c r="D6110" t="s">
        <v>27</v>
      </c>
      <c r="E6110" t="s">
        <v>17</v>
      </c>
      <c r="F6110" t="s">
        <v>21</v>
      </c>
      <c r="G6110" t="s">
        <v>43</v>
      </c>
      <c r="H6110" t="s">
        <v>25</v>
      </c>
      <c r="I6110" s="1">
        <v>3</v>
      </c>
      <c r="J6110" s="2">
        <v>45856</v>
      </c>
      <c r="L6110" s="1" t="str">
        <f t="shared" si="698"/>
        <v>sex</v>
      </c>
      <c r="M6110" s="1" t="str">
        <f t="shared" si="697"/>
        <v>jul</v>
      </c>
      <c r="N6110">
        <f t="shared" si="699"/>
        <v>2025</v>
      </c>
      <c r="P6110" t="str">
        <f t="shared" si="700"/>
        <v>103645856</v>
      </c>
    </row>
    <row r="6111" spans="1:16" x14ac:dyDescent="0.3">
      <c r="A6111">
        <v>1036</v>
      </c>
      <c r="B6111">
        <v>22</v>
      </c>
      <c r="C6111" t="s">
        <v>26</v>
      </c>
      <c r="D6111" t="s">
        <v>27</v>
      </c>
      <c r="E6111" t="s">
        <v>17</v>
      </c>
      <c r="F6111" t="s">
        <v>21</v>
      </c>
      <c r="G6111" t="s">
        <v>43</v>
      </c>
      <c r="H6111" t="s">
        <v>25</v>
      </c>
      <c r="I6111" s="1">
        <v>3</v>
      </c>
      <c r="J6111" s="2">
        <v>45857</v>
      </c>
      <c r="L6111" s="1" t="str">
        <f t="shared" si="698"/>
        <v>sáb</v>
      </c>
      <c r="M6111" s="1" t="str">
        <f t="shared" si="697"/>
        <v>jul</v>
      </c>
      <c r="N6111">
        <f t="shared" si="699"/>
        <v>2025</v>
      </c>
      <c r="P6111" t="str">
        <f t="shared" si="700"/>
        <v>103645857</v>
      </c>
    </row>
    <row r="6112" spans="1:16" x14ac:dyDescent="0.3">
      <c r="A6112">
        <v>1036</v>
      </c>
      <c r="B6112">
        <v>22</v>
      </c>
      <c r="C6112" t="s">
        <v>26</v>
      </c>
      <c r="D6112" t="s">
        <v>27</v>
      </c>
      <c r="E6112" t="s">
        <v>17</v>
      </c>
      <c r="F6112" t="s">
        <v>21</v>
      </c>
      <c r="G6112" t="s">
        <v>43</v>
      </c>
      <c r="H6112" t="s">
        <v>25</v>
      </c>
      <c r="I6112" s="1">
        <v>3</v>
      </c>
      <c r="J6112" s="2">
        <v>45858</v>
      </c>
      <c r="L6112" s="1" t="str">
        <f t="shared" si="698"/>
        <v>dom</v>
      </c>
      <c r="M6112" s="1" t="str">
        <f t="shared" si="697"/>
        <v>jul</v>
      </c>
      <c r="N6112">
        <f t="shared" si="699"/>
        <v>2025</v>
      </c>
      <c r="P6112" t="str">
        <f t="shared" si="700"/>
        <v>103645858</v>
      </c>
    </row>
    <row r="6113" spans="1:16" x14ac:dyDescent="0.3">
      <c r="A6113">
        <v>1036</v>
      </c>
      <c r="B6113">
        <v>22</v>
      </c>
      <c r="C6113" t="s">
        <v>26</v>
      </c>
      <c r="D6113" t="s">
        <v>27</v>
      </c>
      <c r="E6113" t="s">
        <v>17</v>
      </c>
      <c r="F6113" t="s">
        <v>21</v>
      </c>
      <c r="G6113" t="s">
        <v>43</v>
      </c>
      <c r="H6113" t="s">
        <v>25</v>
      </c>
      <c r="I6113" s="1">
        <v>3</v>
      </c>
      <c r="J6113" s="2">
        <v>45859</v>
      </c>
      <c r="L6113" s="1" t="str">
        <f t="shared" si="698"/>
        <v>seg</v>
      </c>
      <c r="M6113" s="1" t="str">
        <f t="shared" si="697"/>
        <v>jul</v>
      </c>
      <c r="N6113">
        <f t="shared" si="699"/>
        <v>2025</v>
      </c>
      <c r="P6113" t="str">
        <f t="shared" si="700"/>
        <v>103645859</v>
      </c>
    </row>
    <row r="6114" spans="1:16" x14ac:dyDescent="0.3">
      <c r="A6114">
        <v>1036</v>
      </c>
      <c r="B6114">
        <v>22</v>
      </c>
      <c r="C6114" t="s">
        <v>26</v>
      </c>
      <c r="D6114" t="s">
        <v>27</v>
      </c>
      <c r="E6114" t="s">
        <v>17</v>
      </c>
      <c r="F6114" t="s">
        <v>21</v>
      </c>
      <c r="G6114" t="s">
        <v>43</v>
      </c>
      <c r="H6114" t="s">
        <v>25</v>
      </c>
      <c r="I6114" s="1">
        <v>3</v>
      </c>
      <c r="J6114" s="2">
        <v>45860</v>
      </c>
      <c r="L6114" s="1" t="str">
        <f t="shared" si="698"/>
        <v>ter</v>
      </c>
      <c r="M6114" s="1" t="str">
        <f t="shared" si="697"/>
        <v>jul</v>
      </c>
      <c r="N6114">
        <f t="shared" si="699"/>
        <v>2025</v>
      </c>
      <c r="P6114" t="str">
        <f t="shared" si="700"/>
        <v>103645860</v>
      </c>
    </row>
    <row r="6115" spans="1:16" x14ac:dyDescent="0.3">
      <c r="A6115">
        <v>1036</v>
      </c>
      <c r="B6115">
        <v>22</v>
      </c>
      <c r="C6115" t="s">
        <v>26</v>
      </c>
      <c r="D6115" t="s">
        <v>27</v>
      </c>
      <c r="E6115" t="s">
        <v>17</v>
      </c>
      <c r="F6115" t="s">
        <v>21</v>
      </c>
      <c r="G6115" t="s">
        <v>43</v>
      </c>
      <c r="H6115" t="s">
        <v>25</v>
      </c>
      <c r="I6115" s="1">
        <v>3</v>
      </c>
      <c r="J6115" s="2">
        <v>45861</v>
      </c>
      <c r="L6115" s="1" t="str">
        <f t="shared" si="698"/>
        <v>qua</v>
      </c>
      <c r="M6115" s="1" t="str">
        <f t="shared" si="697"/>
        <v>jul</v>
      </c>
      <c r="N6115">
        <f t="shared" si="699"/>
        <v>2025</v>
      </c>
      <c r="P6115" t="str">
        <f t="shared" si="700"/>
        <v>103645861</v>
      </c>
    </row>
    <row r="6116" spans="1:16" x14ac:dyDescent="0.3">
      <c r="A6116">
        <v>1036</v>
      </c>
      <c r="B6116">
        <v>22</v>
      </c>
      <c r="C6116" t="s">
        <v>26</v>
      </c>
      <c r="D6116" t="s">
        <v>27</v>
      </c>
      <c r="E6116" t="s">
        <v>17</v>
      </c>
      <c r="F6116" t="s">
        <v>21</v>
      </c>
      <c r="G6116" t="s">
        <v>43</v>
      </c>
      <c r="H6116" t="s">
        <v>25</v>
      </c>
      <c r="I6116" s="1">
        <v>3</v>
      </c>
      <c r="J6116" s="2">
        <v>45862</v>
      </c>
      <c r="L6116" s="1" t="str">
        <f t="shared" si="698"/>
        <v>qui</v>
      </c>
      <c r="M6116" s="1" t="str">
        <f t="shared" si="697"/>
        <v>jul</v>
      </c>
      <c r="N6116">
        <f t="shared" si="699"/>
        <v>2025</v>
      </c>
      <c r="P6116" t="str">
        <f t="shared" si="700"/>
        <v>103645862</v>
      </c>
    </row>
    <row r="6117" spans="1:16" x14ac:dyDescent="0.3">
      <c r="A6117">
        <v>1036</v>
      </c>
      <c r="B6117">
        <v>22</v>
      </c>
      <c r="C6117" t="s">
        <v>26</v>
      </c>
      <c r="D6117" t="s">
        <v>27</v>
      </c>
      <c r="E6117" t="s">
        <v>17</v>
      </c>
      <c r="F6117" t="s">
        <v>21</v>
      </c>
      <c r="G6117" t="s">
        <v>43</v>
      </c>
      <c r="H6117" t="s">
        <v>25</v>
      </c>
      <c r="I6117" s="1">
        <v>3</v>
      </c>
      <c r="J6117" s="2">
        <v>45863</v>
      </c>
      <c r="L6117" s="1" t="str">
        <f t="shared" si="698"/>
        <v>sex</v>
      </c>
      <c r="M6117" s="1" t="str">
        <f t="shared" si="697"/>
        <v>jul</v>
      </c>
      <c r="N6117">
        <f t="shared" si="699"/>
        <v>2025</v>
      </c>
      <c r="P6117" t="str">
        <f t="shared" si="700"/>
        <v>103645863</v>
      </c>
    </row>
    <row r="6118" spans="1:16" x14ac:dyDescent="0.3">
      <c r="A6118">
        <v>1036</v>
      </c>
      <c r="B6118">
        <v>22</v>
      </c>
      <c r="C6118" t="s">
        <v>26</v>
      </c>
      <c r="D6118" t="s">
        <v>27</v>
      </c>
      <c r="E6118" t="s">
        <v>17</v>
      </c>
      <c r="F6118" t="s">
        <v>21</v>
      </c>
      <c r="G6118" t="s">
        <v>43</v>
      </c>
      <c r="H6118" t="s">
        <v>25</v>
      </c>
      <c r="I6118" s="1">
        <v>3</v>
      </c>
      <c r="J6118" s="2">
        <v>45864</v>
      </c>
      <c r="L6118" s="1" t="str">
        <f t="shared" si="698"/>
        <v>sáb</v>
      </c>
      <c r="M6118" s="1" t="str">
        <f t="shared" si="697"/>
        <v>jul</v>
      </c>
      <c r="N6118">
        <f t="shared" si="699"/>
        <v>2025</v>
      </c>
      <c r="P6118" t="str">
        <f t="shared" si="700"/>
        <v>103645864</v>
      </c>
    </row>
    <row r="6119" spans="1:16" x14ac:dyDescent="0.3">
      <c r="A6119">
        <v>1036</v>
      </c>
      <c r="B6119">
        <v>22</v>
      </c>
      <c r="C6119" t="s">
        <v>26</v>
      </c>
      <c r="D6119" t="s">
        <v>27</v>
      </c>
      <c r="E6119" t="s">
        <v>17</v>
      </c>
      <c r="F6119" t="s">
        <v>21</v>
      </c>
      <c r="G6119" t="s">
        <v>43</v>
      </c>
      <c r="H6119" t="s">
        <v>25</v>
      </c>
      <c r="I6119" s="1">
        <v>3</v>
      </c>
      <c r="J6119" s="2">
        <v>45865</v>
      </c>
      <c r="L6119" s="1" t="str">
        <f t="shared" si="698"/>
        <v>dom</v>
      </c>
      <c r="M6119" s="1" t="str">
        <f t="shared" si="697"/>
        <v>jul</v>
      </c>
      <c r="N6119">
        <f t="shared" si="699"/>
        <v>2025</v>
      </c>
      <c r="P6119" t="str">
        <f t="shared" si="700"/>
        <v>103645865</v>
      </c>
    </row>
    <row r="6120" spans="1:16" x14ac:dyDescent="0.3">
      <c r="A6120">
        <v>1036</v>
      </c>
      <c r="B6120">
        <v>22</v>
      </c>
      <c r="C6120" t="s">
        <v>26</v>
      </c>
      <c r="D6120" t="s">
        <v>27</v>
      </c>
      <c r="E6120" t="s">
        <v>17</v>
      </c>
      <c r="F6120" t="s">
        <v>21</v>
      </c>
      <c r="G6120" t="s">
        <v>43</v>
      </c>
      <c r="H6120" t="s">
        <v>25</v>
      </c>
      <c r="I6120" s="1">
        <v>3</v>
      </c>
      <c r="J6120" s="2">
        <v>45866</v>
      </c>
      <c r="L6120" s="1" t="str">
        <f t="shared" si="698"/>
        <v>seg</v>
      </c>
      <c r="M6120" s="1" t="str">
        <f t="shared" si="697"/>
        <v>jul</v>
      </c>
      <c r="N6120">
        <f t="shared" si="699"/>
        <v>2025</v>
      </c>
      <c r="P6120" t="str">
        <f t="shared" si="700"/>
        <v>103645866</v>
      </c>
    </row>
    <row r="6121" spans="1:16" x14ac:dyDescent="0.3">
      <c r="A6121">
        <v>1036</v>
      </c>
      <c r="B6121">
        <v>22</v>
      </c>
      <c r="C6121" t="s">
        <v>26</v>
      </c>
      <c r="D6121" t="s">
        <v>27</v>
      </c>
      <c r="E6121" t="s">
        <v>17</v>
      </c>
      <c r="F6121" t="s">
        <v>21</v>
      </c>
      <c r="G6121" t="s">
        <v>43</v>
      </c>
      <c r="H6121" t="s">
        <v>25</v>
      </c>
      <c r="I6121" s="1">
        <v>3</v>
      </c>
      <c r="J6121" s="2">
        <v>45867</v>
      </c>
      <c r="L6121" s="1" t="str">
        <f t="shared" si="698"/>
        <v>ter</v>
      </c>
      <c r="M6121" s="1" t="str">
        <f t="shared" si="697"/>
        <v>jul</v>
      </c>
      <c r="N6121">
        <f t="shared" si="699"/>
        <v>2025</v>
      </c>
      <c r="P6121" t="str">
        <f t="shared" si="700"/>
        <v>103645867</v>
      </c>
    </row>
    <row r="6122" spans="1:16" x14ac:dyDescent="0.3">
      <c r="A6122">
        <v>1036</v>
      </c>
      <c r="B6122">
        <v>22</v>
      </c>
      <c r="C6122" t="s">
        <v>26</v>
      </c>
      <c r="D6122" t="s">
        <v>27</v>
      </c>
      <c r="E6122" t="s">
        <v>17</v>
      </c>
      <c r="F6122" t="s">
        <v>21</v>
      </c>
      <c r="G6122" t="s">
        <v>43</v>
      </c>
      <c r="H6122" t="s">
        <v>25</v>
      </c>
      <c r="I6122" s="1">
        <v>3</v>
      </c>
      <c r="J6122" s="2">
        <v>45868</v>
      </c>
      <c r="L6122" s="1" t="str">
        <f t="shared" si="698"/>
        <v>qua</v>
      </c>
      <c r="M6122" s="1" t="str">
        <f t="shared" si="697"/>
        <v>jul</v>
      </c>
      <c r="N6122">
        <f t="shared" si="699"/>
        <v>2025</v>
      </c>
      <c r="P6122" t="str">
        <f t="shared" si="700"/>
        <v>103645868</v>
      </c>
    </row>
    <row r="6123" spans="1:16" x14ac:dyDescent="0.3">
      <c r="A6123">
        <v>1036</v>
      </c>
      <c r="B6123">
        <v>22</v>
      </c>
      <c r="C6123" t="s">
        <v>26</v>
      </c>
      <c r="D6123" t="s">
        <v>27</v>
      </c>
      <c r="E6123" t="s">
        <v>17</v>
      </c>
      <c r="F6123" t="s">
        <v>21</v>
      </c>
      <c r="G6123" t="s">
        <v>43</v>
      </c>
      <c r="H6123" t="s">
        <v>25</v>
      </c>
      <c r="I6123" s="1">
        <v>3</v>
      </c>
      <c r="J6123" s="2">
        <v>45869</v>
      </c>
      <c r="L6123" s="1" t="str">
        <f t="shared" si="698"/>
        <v>qui</v>
      </c>
      <c r="M6123" s="1" t="str">
        <f t="shared" si="697"/>
        <v>jul</v>
      </c>
      <c r="N6123">
        <f t="shared" si="699"/>
        <v>2025</v>
      </c>
      <c r="P6123" t="str">
        <f t="shared" si="700"/>
        <v>103645869</v>
      </c>
    </row>
    <row r="6124" spans="1:16" x14ac:dyDescent="0.3">
      <c r="A6124">
        <v>1036</v>
      </c>
      <c r="B6124">
        <v>22</v>
      </c>
      <c r="C6124" t="s">
        <v>26</v>
      </c>
      <c r="D6124" t="s">
        <v>27</v>
      </c>
      <c r="E6124" t="s">
        <v>17</v>
      </c>
      <c r="F6124" t="s">
        <v>21</v>
      </c>
      <c r="G6124" t="s">
        <v>43</v>
      </c>
      <c r="H6124" t="s">
        <v>25</v>
      </c>
      <c r="I6124" s="1">
        <v>3</v>
      </c>
      <c r="J6124" s="2">
        <v>45870</v>
      </c>
      <c r="L6124" s="1" t="str">
        <f t="shared" si="698"/>
        <v>sex</v>
      </c>
      <c r="M6124" s="1" t="str">
        <f t="shared" si="697"/>
        <v>ago</v>
      </c>
      <c r="N6124">
        <f t="shared" si="699"/>
        <v>2025</v>
      </c>
      <c r="P6124" t="str">
        <f t="shared" si="700"/>
        <v>103645870</v>
      </c>
    </row>
    <row r="6125" spans="1:16" x14ac:dyDescent="0.3">
      <c r="A6125">
        <v>1036</v>
      </c>
      <c r="B6125">
        <v>22</v>
      </c>
      <c r="C6125" t="s">
        <v>26</v>
      </c>
      <c r="D6125" t="s">
        <v>27</v>
      </c>
      <c r="E6125" t="s">
        <v>17</v>
      </c>
      <c r="F6125" t="s">
        <v>21</v>
      </c>
      <c r="G6125" t="s">
        <v>43</v>
      </c>
      <c r="H6125" t="s">
        <v>25</v>
      </c>
      <c r="I6125" s="1">
        <v>3</v>
      </c>
      <c r="J6125" s="2">
        <v>45871</v>
      </c>
      <c r="L6125" s="1" t="str">
        <f t="shared" si="698"/>
        <v>sáb</v>
      </c>
      <c r="M6125" s="1" t="str">
        <f t="shared" si="697"/>
        <v>ago</v>
      </c>
      <c r="N6125">
        <f t="shared" si="699"/>
        <v>2025</v>
      </c>
      <c r="P6125" t="str">
        <f t="shared" si="700"/>
        <v>103645871</v>
      </c>
    </row>
    <row r="6126" spans="1:16" x14ac:dyDescent="0.3">
      <c r="A6126">
        <v>1036</v>
      </c>
      <c r="B6126">
        <v>22</v>
      </c>
      <c r="C6126" t="s">
        <v>26</v>
      </c>
      <c r="D6126" t="s">
        <v>27</v>
      </c>
      <c r="E6126" t="s">
        <v>17</v>
      </c>
      <c r="F6126" t="s">
        <v>21</v>
      </c>
      <c r="G6126" t="s">
        <v>43</v>
      </c>
      <c r="H6126" t="s">
        <v>25</v>
      </c>
      <c r="I6126" s="1">
        <v>3</v>
      </c>
      <c r="J6126" s="2">
        <v>45872</v>
      </c>
      <c r="L6126" s="1" t="str">
        <f t="shared" si="698"/>
        <v>dom</v>
      </c>
      <c r="M6126" s="1" t="str">
        <f t="shared" si="697"/>
        <v>ago</v>
      </c>
      <c r="N6126">
        <f t="shared" si="699"/>
        <v>2025</v>
      </c>
      <c r="P6126" t="str">
        <f t="shared" si="700"/>
        <v>103645872</v>
      </c>
    </row>
    <row r="6127" spans="1:16" x14ac:dyDescent="0.3">
      <c r="A6127">
        <v>1036</v>
      </c>
      <c r="B6127">
        <v>22</v>
      </c>
      <c r="C6127" t="s">
        <v>26</v>
      </c>
      <c r="D6127" t="s">
        <v>27</v>
      </c>
      <c r="E6127" t="s">
        <v>17</v>
      </c>
      <c r="F6127" t="s">
        <v>21</v>
      </c>
      <c r="G6127" t="s">
        <v>43</v>
      </c>
      <c r="H6127" t="s">
        <v>25</v>
      </c>
      <c r="I6127" s="1">
        <v>3</v>
      </c>
      <c r="J6127" s="2">
        <v>45873</v>
      </c>
      <c r="L6127" s="1" t="str">
        <f t="shared" si="698"/>
        <v>seg</v>
      </c>
      <c r="M6127" s="1" t="str">
        <f t="shared" si="697"/>
        <v>ago</v>
      </c>
      <c r="N6127">
        <f t="shared" si="699"/>
        <v>2025</v>
      </c>
      <c r="P6127" t="str">
        <f t="shared" si="700"/>
        <v>103645873</v>
      </c>
    </row>
    <row r="6128" spans="1:16" x14ac:dyDescent="0.3">
      <c r="A6128">
        <v>1036</v>
      </c>
      <c r="B6128">
        <v>22</v>
      </c>
      <c r="C6128" t="s">
        <v>26</v>
      </c>
      <c r="D6128" t="s">
        <v>27</v>
      </c>
      <c r="E6128" t="s">
        <v>17</v>
      </c>
      <c r="F6128" t="s">
        <v>21</v>
      </c>
      <c r="G6128" t="s">
        <v>43</v>
      </c>
      <c r="H6128" t="s">
        <v>25</v>
      </c>
      <c r="I6128" s="1">
        <v>3</v>
      </c>
      <c r="J6128" s="2">
        <v>45874</v>
      </c>
      <c r="L6128" s="1" t="str">
        <f t="shared" si="698"/>
        <v>ter</v>
      </c>
      <c r="M6128" s="1" t="str">
        <f t="shared" si="697"/>
        <v>ago</v>
      </c>
      <c r="N6128">
        <f t="shared" si="699"/>
        <v>2025</v>
      </c>
      <c r="P6128" t="str">
        <f t="shared" si="700"/>
        <v>103645874</v>
      </c>
    </row>
    <row r="6129" spans="1:16" x14ac:dyDescent="0.3">
      <c r="A6129">
        <v>1036</v>
      </c>
      <c r="B6129">
        <v>22</v>
      </c>
      <c r="C6129" t="s">
        <v>26</v>
      </c>
      <c r="D6129" t="s">
        <v>27</v>
      </c>
      <c r="E6129" t="s">
        <v>17</v>
      </c>
      <c r="F6129" t="s">
        <v>21</v>
      </c>
      <c r="G6129" t="s">
        <v>43</v>
      </c>
      <c r="H6129" t="s">
        <v>25</v>
      </c>
      <c r="I6129" s="1">
        <v>3</v>
      </c>
      <c r="J6129" s="2">
        <v>45875</v>
      </c>
      <c r="L6129" s="1" t="str">
        <f t="shared" si="698"/>
        <v>qua</v>
      </c>
      <c r="M6129" s="1" t="str">
        <f t="shared" ref="M6129:M6192" si="701">TEXT($J6129,"mmm")</f>
        <v>ago</v>
      </c>
      <c r="N6129">
        <f t="shared" si="699"/>
        <v>2025</v>
      </c>
      <c r="P6129" t="str">
        <f t="shared" si="700"/>
        <v>103645875</v>
      </c>
    </row>
    <row r="6130" spans="1:16" x14ac:dyDescent="0.3">
      <c r="A6130">
        <v>1036</v>
      </c>
      <c r="B6130">
        <v>22</v>
      </c>
      <c r="C6130" t="s">
        <v>26</v>
      </c>
      <c r="D6130" t="s">
        <v>27</v>
      </c>
      <c r="E6130" t="s">
        <v>17</v>
      </c>
      <c r="F6130" t="s">
        <v>21</v>
      </c>
      <c r="G6130" t="s">
        <v>43</v>
      </c>
      <c r="H6130" t="s">
        <v>25</v>
      </c>
      <c r="I6130" s="1">
        <v>3</v>
      </c>
      <c r="J6130" s="2">
        <v>45876</v>
      </c>
      <c r="L6130" s="1" t="str">
        <f t="shared" si="698"/>
        <v>qui</v>
      </c>
      <c r="M6130" s="1" t="str">
        <f t="shared" si="701"/>
        <v>ago</v>
      </c>
      <c r="N6130">
        <f t="shared" si="699"/>
        <v>2025</v>
      </c>
      <c r="P6130" t="str">
        <f t="shared" si="700"/>
        <v>103645876</v>
      </c>
    </row>
    <row r="6131" spans="1:16" x14ac:dyDescent="0.3">
      <c r="A6131">
        <v>1036</v>
      </c>
      <c r="B6131">
        <v>22</v>
      </c>
      <c r="C6131" t="s">
        <v>26</v>
      </c>
      <c r="D6131" t="s">
        <v>27</v>
      </c>
      <c r="E6131" t="s">
        <v>17</v>
      </c>
      <c r="F6131" t="s">
        <v>21</v>
      </c>
      <c r="G6131" t="s">
        <v>43</v>
      </c>
      <c r="H6131" t="s">
        <v>25</v>
      </c>
      <c r="I6131" s="1">
        <v>3</v>
      </c>
      <c r="J6131" s="2">
        <v>45877</v>
      </c>
      <c r="L6131" s="1" t="str">
        <f t="shared" si="698"/>
        <v>sex</v>
      </c>
      <c r="M6131" s="1" t="str">
        <f t="shared" si="701"/>
        <v>ago</v>
      </c>
      <c r="N6131">
        <f t="shared" si="699"/>
        <v>2025</v>
      </c>
      <c r="P6131" t="str">
        <f t="shared" si="700"/>
        <v>103645877</v>
      </c>
    </row>
    <row r="6132" spans="1:16" x14ac:dyDescent="0.3">
      <c r="A6132">
        <v>1036</v>
      </c>
      <c r="B6132">
        <v>22</v>
      </c>
      <c r="C6132" t="s">
        <v>26</v>
      </c>
      <c r="D6132" t="s">
        <v>27</v>
      </c>
      <c r="E6132" t="s">
        <v>17</v>
      </c>
      <c r="F6132" t="s">
        <v>21</v>
      </c>
      <c r="G6132" t="s">
        <v>43</v>
      </c>
      <c r="H6132" t="s">
        <v>25</v>
      </c>
      <c r="I6132" s="1">
        <v>3</v>
      </c>
      <c r="J6132" s="2">
        <v>45878</v>
      </c>
      <c r="L6132" s="1" t="str">
        <f t="shared" si="698"/>
        <v>sáb</v>
      </c>
      <c r="M6132" s="1" t="str">
        <f t="shared" si="701"/>
        <v>ago</v>
      </c>
      <c r="N6132">
        <f t="shared" si="699"/>
        <v>2025</v>
      </c>
      <c r="P6132" t="str">
        <f t="shared" si="700"/>
        <v>103645878</v>
      </c>
    </row>
    <row r="6133" spans="1:16" x14ac:dyDescent="0.3">
      <c r="A6133">
        <v>1036</v>
      </c>
      <c r="B6133">
        <v>22</v>
      </c>
      <c r="C6133" t="s">
        <v>26</v>
      </c>
      <c r="D6133" t="s">
        <v>27</v>
      </c>
      <c r="E6133" t="s">
        <v>17</v>
      </c>
      <c r="F6133" t="s">
        <v>21</v>
      </c>
      <c r="G6133" t="s">
        <v>43</v>
      </c>
      <c r="H6133" t="s">
        <v>25</v>
      </c>
      <c r="I6133" s="1">
        <v>3</v>
      </c>
      <c r="J6133" s="2">
        <v>45879</v>
      </c>
      <c r="L6133" s="1" t="str">
        <f t="shared" si="698"/>
        <v>dom</v>
      </c>
      <c r="M6133" s="1" t="str">
        <f t="shared" si="701"/>
        <v>ago</v>
      </c>
      <c r="N6133">
        <f t="shared" si="699"/>
        <v>2025</v>
      </c>
      <c r="P6133" t="str">
        <f t="shared" si="700"/>
        <v>103645879</v>
      </c>
    </row>
    <row r="6134" spans="1:16" x14ac:dyDescent="0.3">
      <c r="A6134">
        <v>1036</v>
      </c>
      <c r="B6134">
        <v>22</v>
      </c>
      <c r="C6134" t="s">
        <v>26</v>
      </c>
      <c r="D6134" t="s">
        <v>27</v>
      </c>
      <c r="E6134" t="s">
        <v>17</v>
      </c>
      <c r="F6134" t="s">
        <v>21</v>
      </c>
      <c r="G6134" t="s">
        <v>43</v>
      </c>
      <c r="H6134" t="s">
        <v>25</v>
      </c>
      <c r="I6134" s="1">
        <v>3</v>
      </c>
      <c r="J6134" s="2">
        <v>45880</v>
      </c>
      <c r="L6134" s="1" t="str">
        <f t="shared" si="698"/>
        <v>seg</v>
      </c>
      <c r="M6134" s="1" t="str">
        <f t="shared" si="701"/>
        <v>ago</v>
      </c>
      <c r="N6134">
        <f t="shared" si="699"/>
        <v>2025</v>
      </c>
      <c r="P6134" t="str">
        <f t="shared" si="700"/>
        <v>103645880</v>
      </c>
    </row>
    <row r="6135" spans="1:16" x14ac:dyDescent="0.3">
      <c r="A6135">
        <v>1036</v>
      </c>
      <c r="B6135">
        <v>22</v>
      </c>
      <c r="C6135" t="s">
        <v>26</v>
      </c>
      <c r="D6135" t="s">
        <v>27</v>
      </c>
      <c r="E6135" t="s">
        <v>17</v>
      </c>
      <c r="F6135" t="s">
        <v>21</v>
      </c>
      <c r="G6135" t="s">
        <v>43</v>
      </c>
      <c r="H6135" t="s">
        <v>25</v>
      </c>
      <c r="I6135" s="1">
        <v>3</v>
      </c>
      <c r="J6135" s="2">
        <v>45881</v>
      </c>
      <c r="L6135" s="1" t="str">
        <f t="shared" si="698"/>
        <v>ter</v>
      </c>
      <c r="M6135" s="1" t="str">
        <f t="shared" si="701"/>
        <v>ago</v>
      </c>
      <c r="N6135">
        <f t="shared" si="699"/>
        <v>2025</v>
      </c>
      <c r="P6135" t="str">
        <f t="shared" si="700"/>
        <v>103645881</v>
      </c>
    </row>
    <row r="6136" spans="1:16" x14ac:dyDescent="0.3">
      <c r="A6136">
        <v>1036</v>
      </c>
      <c r="B6136">
        <v>22</v>
      </c>
      <c r="C6136" t="s">
        <v>26</v>
      </c>
      <c r="D6136" t="s">
        <v>27</v>
      </c>
      <c r="E6136" t="s">
        <v>17</v>
      </c>
      <c r="F6136" t="s">
        <v>21</v>
      </c>
      <c r="G6136" t="s">
        <v>43</v>
      </c>
      <c r="H6136" t="s">
        <v>25</v>
      </c>
      <c r="I6136" s="1">
        <v>3</v>
      </c>
      <c r="J6136" s="2">
        <v>45882</v>
      </c>
      <c r="L6136" s="1" t="str">
        <f t="shared" si="698"/>
        <v>qua</v>
      </c>
      <c r="M6136" s="1" t="str">
        <f t="shared" si="701"/>
        <v>ago</v>
      </c>
      <c r="N6136">
        <f t="shared" si="699"/>
        <v>2025</v>
      </c>
      <c r="P6136" t="str">
        <f t="shared" si="700"/>
        <v>103645882</v>
      </c>
    </row>
    <row r="6137" spans="1:16" x14ac:dyDescent="0.3">
      <c r="A6137">
        <v>1036</v>
      </c>
      <c r="B6137">
        <v>22</v>
      </c>
      <c r="C6137" t="s">
        <v>26</v>
      </c>
      <c r="D6137" t="s">
        <v>27</v>
      </c>
      <c r="E6137" t="s">
        <v>17</v>
      </c>
      <c r="F6137" t="s">
        <v>21</v>
      </c>
      <c r="G6137" t="s">
        <v>43</v>
      </c>
      <c r="H6137" t="s">
        <v>25</v>
      </c>
      <c r="I6137" s="1">
        <v>3</v>
      </c>
      <c r="J6137" s="2">
        <v>45883</v>
      </c>
      <c r="L6137" s="1" t="str">
        <f t="shared" si="698"/>
        <v>qui</v>
      </c>
      <c r="M6137" s="1" t="str">
        <f t="shared" si="701"/>
        <v>ago</v>
      </c>
      <c r="N6137">
        <f t="shared" si="699"/>
        <v>2025</v>
      </c>
      <c r="P6137" t="str">
        <f t="shared" si="700"/>
        <v>103645883</v>
      </c>
    </row>
    <row r="6138" spans="1:16" x14ac:dyDescent="0.3">
      <c r="A6138">
        <v>1036</v>
      </c>
      <c r="B6138">
        <v>22</v>
      </c>
      <c r="C6138" t="s">
        <v>26</v>
      </c>
      <c r="D6138" t="s">
        <v>27</v>
      </c>
      <c r="E6138" t="s">
        <v>17</v>
      </c>
      <c r="F6138" t="s">
        <v>21</v>
      </c>
      <c r="G6138" t="s">
        <v>43</v>
      </c>
      <c r="H6138" t="s">
        <v>25</v>
      </c>
      <c r="I6138" s="1">
        <v>3</v>
      </c>
      <c r="J6138" s="2">
        <v>45884</v>
      </c>
      <c r="L6138" s="1" t="str">
        <f t="shared" si="698"/>
        <v>sex</v>
      </c>
      <c r="M6138" s="1" t="str">
        <f t="shared" si="701"/>
        <v>ago</v>
      </c>
      <c r="N6138">
        <f t="shared" si="699"/>
        <v>2025</v>
      </c>
      <c r="P6138" t="str">
        <f t="shared" si="700"/>
        <v>103645884</v>
      </c>
    </row>
    <row r="6139" spans="1:16" x14ac:dyDescent="0.3">
      <c r="A6139">
        <v>1036</v>
      </c>
      <c r="B6139">
        <v>22</v>
      </c>
      <c r="C6139" t="s">
        <v>26</v>
      </c>
      <c r="D6139" t="s">
        <v>27</v>
      </c>
      <c r="E6139" t="s">
        <v>17</v>
      </c>
      <c r="F6139" t="s">
        <v>21</v>
      </c>
      <c r="G6139" t="s">
        <v>43</v>
      </c>
      <c r="H6139" t="s">
        <v>25</v>
      </c>
      <c r="I6139" s="1">
        <v>3</v>
      </c>
      <c r="J6139" s="2">
        <v>45885</v>
      </c>
      <c r="L6139" s="1" t="str">
        <f t="shared" si="698"/>
        <v>sáb</v>
      </c>
      <c r="M6139" s="1" t="str">
        <f t="shared" si="701"/>
        <v>ago</v>
      </c>
      <c r="N6139">
        <f t="shared" si="699"/>
        <v>2025</v>
      </c>
      <c r="P6139" t="str">
        <f t="shared" si="700"/>
        <v>103645885</v>
      </c>
    </row>
    <row r="6140" spans="1:16" x14ac:dyDescent="0.3">
      <c r="A6140">
        <v>1036</v>
      </c>
      <c r="B6140">
        <v>22</v>
      </c>
      <c r="C6140" t="s">
        <v>26</v>
      </c>
      <c r="D6140" t="s">
        <v>27</v>
      </c>
      <c r="E6140" t="s">
        <v>17</v>
      </c>
      <c r="F6140" t="s">
        <v>21</v>
      </c>
      <c r="G6140" t="s">
        <v>43</v>
      </c>
      <c r="H6140" t="s">
        <v>25</v>
      </c>
      <c r="I6140" s="1">
        <v>3</v>
      </c>
      <c r="J6140" s="2">
        <v>45886</v>
      </c>
      <c r="L6140" s="1" t="str">
        <f t="shared" si="698"/>
        <v>dom</v>
      </c>
      <c r="M6140" s="1" t="str">
        <f t="shared" si="701"/>
        <v>ago</v>
      </c>
      <c r="N6140">
        <f t="shared" si="699"/>
        <v>2025</v>
      </c>
      <c r="P6140" t="str">
        <f t="shared" si="700"/>
        <v>103645886</v>
      </c>
    </row>
    <row r="6141" spans="1:16" x14ac:dyDescent="0.3">
      <c r="A6141">
        <v>1036</v>
      </c>
      <c r="B6141">
        <v>22</v>
      </c>
      <c r="C6141" t="s">
        <v>26</v>
      </c>
      <c r="D6141" t="s">
        <v>27</v>
      </c>
      <c r="E6141" t="s">
        <v>17</v>
      </c>
      <c r="F6141" t="s">
        <v>21</v>
      </c>
      <c r="G6141" t="s">
        <v>43</v>
      </c>
      <c r="H6141" t="s">
        <v>25</v>
      </c>
      <c r="I6141" s="1">
        <v>3</v>
      </c>
      <c r="J6141" s="2">
        <v>45887</v>
      </c>
      <c r="L6141" s="1" t="str">
        <f t="shared" si="698"/>
        <v>seg</v>
      </c>
      <c r="M6141" s="1" t="str">
        <f t="shared" si="701"/>
        <v>ago</v>
      </c>
      <c r="N6141">
        <f t="shared" si="699"/>
        <v>2025</v>
      </c>
      <c r="P6141" t="str">
        <f t="shared" si="700"/>
        <v>103645887</v>
      </c>
    </row>
    <row r="6142" spans="1:16" x14ac:dyDescent="0.3">
      <c r="A6142">
        <v>1036</v>
      </c>
      <c r="B6142">
        <v>22</v>
      </c>
      <c r="C6142" t="s">
        <v>26</v>
      </c>
      <c r="D6142" t="s">
        <v>27</v>
      </c>
      <c r="E6142" t="s">
        <v>17</v>
      </c>
      <c r="F6142" t="s">
        <v>21</v>
      </c>
      <c r="G6142" t="s">
        <v>43</v>
      </c>
      <c r="H6142" t="s">
        <v>25</v>
      </c>
      <c r="I6142" s="1">
        <v>3</v>
      </c>
      <c r="J6142" s="2">
        <v>45888</v>
      </c>
      <c r="L6142" s="1" t="str">
        <f t="shared" si="698"/>
        <v>ter</v>
      </c>
      <c r="M6142" s="1" t="str">
        <f t="shared" si="701"/>
        <v>ago</v>
      </c>
      <c r="N6142">
        <f t="shared" si="699"/>
        <v>2025</v>
      </c>
      <c r="P6142" t="str">
        <f t="shared" si="700"/>
        <v>103645888</v>
      </c>
    </row>
    <row r="6143" spans="1:16" x14ac:dyDescent="0.3">
      <c r="A6143">
        <v>1036</v>
      </c>
      <c r="B6143">
        <v>22</v>
      </c>
      <c r="C6143" t="s">
        <v>26</v>
      </c>
      <c r="D6143" t="s">
        <v>27</v>
      </c>
      <c r="E6143" t="s">
        <v>17</v>
      </c>
      <c r="F6143" t="s">
        <v>21</v>
      </c>
      <c r="G6143" t="s">
        <v>43</v>
      </c>
      <c r="H6143" t="s">
        <v>25</v>
      </c>
      <c r="I6143" s="1">
        <v>3</v>
      </c>
      <c r="J6143" s="2">
        <v>45889</v>
      </c>
      <c r="L6143" s="1" t="str">
        <f t="shared" si="698"/>
        <v>qua</v>
      </c>
      <c r="M6143" s="1" t="str">
        <f t="shared" si="701"/>
        <v>ago</v>
      </c>
      <c r="N6143">
        <f t="shared" si="699"/>
        <v>2025</v>
      </c>
      <c r="P6143" t="str">
        <f t="shared" si="700"/>
        <v>103645889</v>
      </c>
    </row>
    <row r="6144" spans="1:16" x14ac:dyDescent="0.3">
      <c r="A6144">
        <v>1036</v>
      </c>
      <c r="B6144">
        <v>22</v>
      </c>
      <c r="C6144" t="s">
        <v>26</v>
      </c>
      <c r="D6144" t="s">
        <v>27</v>
      </c>
      <c r="E6144" t="s">
        <v>17</v>
      </c>
      <c r="F6144" t="s">
        <v>21</v>
      </c>
      <c r="G6144" t="s">
        <v>43</v>
      </c>
      <c r="H6144" t="s">
        <v>25</v>
      </c>
      <c r="I6144" s="1">
        <v>3</v>
      </c>
      <c r="J6144" s="2">
        <v>45890</v>
      </c>
      <c r="L6144" s="1" t="str">
        <f t="shared" si="698"/>
        <v>qui</v>
      </c>
      <c r="M6144" s="1" t="str">
        <f t="shared" si="701"/>
        <v>ago</v>
      </c>
      <c r="N6144">
        <f t="shared" si="699"/>
        <v>2025</v>
      </c>
      <c r="P6144" t="str">
        <f t="shared" si="700"/>
        <v>103645890</v>
      </c>
    </row>
    <row r="6145" spans="1:16" x14ac:dyDescent="0.3">
      <c r="A6145">
        <v>1036</v>
      </c>
      <c r="B6145">
        <v>22</v>
      </c>
      <c r="C6145" t="s">
        <v>26</v>
      </c>
      <c r="D6145" t="s">
        <v>27</v>
      </c>
      <c r="E6145" t="s">
        <v>17</v>
      </c>
      <c r="F6145" t="s">
        <v>21</v>
      </c>
      <c r="G6145" t="s">
        <v>43</v>
      </c>
      <c r="H6145" t="s">
        <v>25</v>
      </c>
      <c r="I6145" s="1">
        <v>3</v>
      </c>
      <c r="J6145" s="2">
        <v>45891</v>
      </c>
      <c r="L6145" s="1" t="str">
        <f t="shared" si="698"/>
        <v>sex</v>
      </c>
      <c r="M6145" s="1" t="str">
        <f t="shared" si="701"/>
        <v>ago</v>
      </c>
      <c r="N6145">
        <f t="shared" si="699"/>
        <v>2025</v>
      </c>
      <c r="P6145" t="str">
        <f t="shared" si="700"/>
        <v>103645891</v>
      </c>
    </row>
    <row r="6146" spans="1:16" x14ac:dyDescent="0.3">
      <c r="A6146">
        <v>1036</v>
      </c>
      <c r="B6146">
        <v>22</v>
      </c>
      <c r="C6146" t="s">
        <v>26</v>
      </c>
      <c r="D6146" t="s">
        <v>27</v>
      </c>
      <c r="E6146" t="s">
        <v>17</v>
      </c>
      <c r="F6146" t="s">
        <v>21</v>
      </c>
      <c r="G6146" t="s">
        <v>43</v>
      </c>
      <c r="H6146" t="s">
        <v>25</v>
      </c>
      <c r="I6146" s="1">
        <v>3</v>
      </c>
      <c r="J6146" s="2">
        <v>45892</v>
      </c>
      <c r="L6146" s="1" t="str">
        <f t="shared" si="698"/>
        <v>sáb</v>
      </c>
      <c r="M6146" s="1" t="str">
        <f t="shared" si="701"/>
        <v>ago</v>
      </c>
      <c r="N6146">
        <f t="shared" si="699"/>
        <v>2025</v>
      </c>
      <c r="P6146" t="str">
        <f t="shared" si="700"/>
        <v>103645892</v>
      </c>
    </row>
    <row r="6147" spans="1:16" x14ac:dyDescent="0.3">
      <c r="A6147">
        <v>1036</v>
      </c>
      <c r="B6147">
        <v>22</v>
      </c>
      <c r="C6147" t="s">
        <v>26</v>
      </c>
      <c r="D6147" t="s">
        <v>27</v>
      </c>
      <c r="E6147" t="s">
        <v>17</v>
      </c>
      <c r="F6147" t="s">
        <v>21</v>
      </c>
      <c r="G6147" t="s">
        <v>43</v>
      </c>
      <c r="H6147" t="s">
        <v>25</v>
      </c>
      <c r="I6147" s="1">
        <v>3</v>
      </c>
      <c r="J6147" s="2">
        <v>45893</v>
      </c>
      <c r="L6147" s="1" t="str">
        <f t="shared" si="698"/>
        <v>dom</v>
      </c>
      <c r="M6147" s="1" t="str">
        <f t="shared" si="701"/>
        <v>ago</v>
      </c>
      <c r="N6147">
        <f t="shared" si="699"/>
        <v>2025</v>
      </c>
      <c r="P6147" t="str">
        <f t="shared" si="700"/>
        <v>103645893</v>
      </c>
    </row>
    <row r="6148" spans="1:16" x14ac:dyDescent="0.3">
      <c r="A6148">
        <v>1036</v>
      </c>
      <c r="B6148">
        <v>22</v>
      </c>
      <c r="C6148" t="s">
        <v>26</v>
      </c>
      <c r="D6148" t="s">
        <v>27</v>
      </c>
      <c r="E6148" t="s">
        <v>17</v>
      </c>
      <c r="F6148" t="s">
        <v>21</v>
      </c>
      <c r="G6148" t="s">
        <v>43</v>
      </c>
      <c r="H6148" t="s">
        <v>25</v>
      </c>
      <c r="I6148" s="1">
        <v>3</v>
      </c>
      <c r="J6148" s="2">
        <v>45894</v>
      </c>
      <c r="L6148" s="1" t="str">
        <f t="shared" si="698"/>
        <v>seg</v>
      </c>
      <c r="M6148" s="1" t="str">
        <f t="shared" si="701"/>
        <v>ago</v>
      </c>
      <c r="N6148">
        <f t="shared" si="699"/>
        <v>2025</v>
      </c>
      <c r="P6148" t="str">
        <f t="shared" si="700"/>
        <v>103645894</v>
      </c>
    </row>
    <row r="6149" spans="1:16" x14ac:dyDescent="0.3">
      <c r="A6149">
        <v>1036</v>
      </c>
      <c r="B6149">
        <v>22</v>
      </c>
      <c r="C6149" t="s">
        <v>26</v>
      </c>
      <c r="D6149" t="s">
        <v>27</v>
      </c>
      <c r="E6149" t="s">
        <v>17</v>
      </c>
      <c r="F6149" t="s">
        <v>21</v>
      </c>
      <c r="G6149" t="s">
        <v>43</v>
      </c>
      <c r="H6149" t="s">
        <v>25</v>
      </c>
      <c r="I6149" s="1">
        <v>3</v>
      </c>
      <c r="J6149" s="2">
        <v>45895</v>
      </c>
      <c r="L6149" s="1" t="str">
        <f t="shared" si="698"/>
        <v>ter</v>
      </c>
      <c r="M6149" s="1" t="str">
        <f t="shared" si="701"/>
        <v>ago</v>
      </c>
      <c r="N6149">
        <f t="shared" si="699"/>
        <v>2025</v>
      </c>
      <c r="P6149" t="str">
        <f t="shared" si="700"/>
        <v>103645895</v>
      </c>
    </row>
    <row r="6150" spans="1:16" x14ac:dyDescent="0.3">
      <c r="A6150">
        <v>1036</v>
      </c>
      <c r="B6150">
        <v>22</v>
      </c>
      <c r="C6150" t="s">
        <v>26</v>
      </c>
      <c r="D6150" t="s">
        <v>27</v>
      </c>
      <c r="E6150" t="s">
        <v>17</v>
      </c>
      <c r="F6150" t="s">
        <v>21</v>
      </c>
      <c r="G6150" t="s">
        <v>43</v>
      </c>
      <c r="H6150" t="s">
        <v>25</v>
      </c>
      <c r="I6150" s="1">
        <v>3</v>
      </c>
      <c r="J6150" s="2">
        <v>45896</v>
      </c>
      <c r="L6150" s="1" t="str">
        <f t="shared" si="698"/>
        <v>qua</v>
      </c>
      <c r="M6150" s="1" t="str">
        <f t="shared" si="701"/>
        <v>ago</v>
      </c>
      <c r="N6150">
        <f t="shared" si="699"/>
        <v>2025</v>
      </c>
      <c r="P6150" t="str">
        <f t="shared" si="700"/>
        <v>103645896</v>
      </c>
    </row>
    <row r="6151" spans="1:16" x14ac:dyDescent="0.3">
      <c r="A6151">
        <v>1036</v>
      </c>
      <c r="B6151">
        <v>22</v>
      </c>
      <c r="C6151" t="s">
        <v>26</v>
      </c>
      <c r="D6151" t="s">
        <v>27</v>
      </c>
      <c r="E6151" t="s">
        <v>17</v>
      </c>
      <c r="F6151" t="s">
        <v>21</v>
      </c>
      <c r="G6151" t="s">
        <v>43</v>
      </c>
      <c r="H6151" t="s">
        <v>25</v>
      </c>
      <c r="I6151" s="1">
        <v>3</v>
      </c>
      <c r="J6151" s="2">
        <v>45897</v>
      </c>
      <c r="L6151" s="1" t="str">
        <f t="shared" si="698"/>
        <v>qui</v>
      </c>
      <c r="M6151" s="1" t="str">
        <f t="shared" si="701"/>
        <v>ago</v>
      </c>
      <c r="N6151">
        <f t="shared" si="699"/>
        <v>2025</v>
      </c>
      <c r="P6151" t="str">
        <f t="shared" si="700"/>
        <v>103645897</v>
      </c>
    </row>
    <row r="6152" spans="1:16" x14ac:dyDescent="0.3">
      <c r="A6152">
        <v>1036</v>
      </c>
      <c r="B6152">
        <v>22</v>
      </c>
      <c r="C6152" t="s">
        <v>26</v>
      </c>
      <c r="D6152" t="s">
        <v>27</v>
      </c>
      <c r="E6152" t="s">
        <v>17</v>
      </c>
      <c r="F6152" t="s">
        <v>21</v>
      </c>
      <c r="G6152" t="s">
        <v>43</v>
      </c>
      <c r="H6152" t="s">
        <v>25</v>
      </c>
      <c r="I6152" s="1">
        <v>3</v>
      </c>
      <c r="J6152" s="2">
        <v>45898</v>
      </c>
      <c r="L6152" s="1" t="str">
        <f t="shared" si="698"/>
        <v>sex</v>
      </c>
      <c r="M6152" s="1" t="str">
        <f t="shared" si="701"/>
        <v>ago</v>
      </c>
      <c r="N6152">
        <f t="shared" si="699"/>
        <v>2025</v>
      </c>
      <c r="P6152" t="str">
        <f t="shared" si="700"/>
        <v>103645898</v>
      </c>
    </row>
    <row r="6153" spans="1:16" x14ac:dyDescent="0.3">
      <c r="A6153">
        <v>1036</v>
      </c>
      <c r="B6153">
        <v>22</v>
      </c>
      <c r="C6153" t="s">
        <v>26</v>
      </c>
      <c r="D6153" t="s">
        <v>27</v>
      </c>
      <c r="E6153" t="s">
        <v>17</v>
      </c>
      <c r="F6153" t="s">
        <v>21</v>
      </c>
      <c r="G6153" t="s">
        <v>43</v>
      </c>
      <c r="H6153" t="s">
        <v>25</v>
      </c>
      <c r="I6153" s="1">
        <v>3</v>
      </c>
      <c r="J6153" s="2">
        <v>45899</v>
      </c>
      <c r="L6153" s="1" t="str">
        <f t="shared" si="698"/>
        <v>sáb</v>
      </c>
      <c r="M6153" s="1" t="str">
        <f t="shared" si="701"/>
        <v>ago</v>
      </c>
      <c r="N6153">
        <f t="shared" si="699"/>
        <v>2025</v>
      </c>
      <c r="P6153" t="str">
        <f t="shared" si="700"/>
        <v>103645899</v>
      </c>
    </row>
    <row r="6154" spans="1:16" x14ac:dyDescent="0.3">
      <c r="A6154">
        <v>1036</v>
      </c>
      <c r="B6154">
        <v>22</v>
      </c>
      <c r="C6154" t="s">
        <v>26</v>
      </c>
      <c r="D6154" t="s">
        <v>27</v>
      </c>
      <c r="E6154" t="s">
        <v>17</v>
      </c>
      <c r="F6154" t="s">
        <v>21</v>
      </c>
      <c r="G6154" t="s">
        <v>43</v>
      </c>
      <c r="H6154" t="s">
        <v>25</v>
      </c>
      <c r="I6154" s="1">
        <v>3</v>
      </c>
      <c r="J6154" s="2">
        <v>45900</v>
      </c>
      <c r="L6154" s="1" t="str">
        <f t="shared" si="698"/>
        <v>dom</v>
      </c>
      <c r="M6154" s="1" t="str">
        <f t="shared" si="701"/>
        <v>ago</v>
      </c>
      <c r="N6154">
        <f t="shared" si="699"/>
        <v>2025</v>
      </c>
      <c r="P6154" t="str">
        <f t="shared" si="700"/>
        <v>103645900</v>
      </c>
    </row>
    <row r="6155" spans="1:16" x14ac:dyDescent="0.3">
      <c r="A6155">
        <v>1036</v>
      </c>
      <c r="B6155">
        <v>22</v>
      </c>
      <c r="C6155" t="s">
        <v>26</v>
      </c>
      <c r="D6155" t="s">
        <v>27</v>
      </c>
      <c r="E6155" t="s">
        <v>17</v>
      </c>
      <c r="F6155" t="s">
        <v>21</v>
      </c>
      <c r="G6155" t="s">
        <v>43</v>
      </c>
      <c r="H6155" t="s">
        <v>25</v>
      </c>
      <c r="I6155" s="1">
        <v>3</v>
      </c>
      <c r="J6155" s="2">
        <v>45901</v>
      </c>
      <c r="L6155" s="1" t="str">
        <f t="shared" si="698"/>
        <v>seg</v>
      </c>
      <c r="M6155" s="1" t="str">
        <f t="shared" si="701"/>
        <v>set</v>
      </c>
      <c r="N6155">
        <f t="shared" si="699"/>
        <v>2025</v>
      </c>
      <c r="P6155" t="str">
        <f t="shared" si="700"/>
        <v>103645901</v>
      </c>
    </row>
    <row r="6156" spans="1:16" x14ac:dyDescent="0.3">
      <c r="A6156">
        <v>1036</v>
      </c>
      <c r="B6156">
        <v>22</v>
      </c>
      <c r="C6156" t="s">
        <v>26</v>
      </c>
      <c r="D6156" t="s">
        <v>27</v>
      </c>
      <c r="E6156" t="s">
        <v>17</v>
      </c>
      <c r="F6156" t="s">
        <v>21</v>
      </c>
      <c r="G6156" t="s">
        <v>43</v>
      </c>
      <c r="H6156" t="s">
        <v>25</v>
      </c>
      <c r="I6156" s="1">
        <v>3</v>
      </c>
      <c r="J6156" s="2">
        <v>45902</v>
      </c>
      <c r="L6156" s="1" t="str">
        <f t="shared" si="698"/>
        <v>ter</v>
      </c>
      <c r="M6156" s="1" t="str">
        <f t="shared" si="701"/>
        <v>set</v>
      </c>
      <c r="N6156">
        <f t="shared" si="699"/>
        <v>2025</v>
      </c>
      <c r="P6156" t="str">
        <f t="shared" si="700"/>
        <v>103645902</v>
      </c>
    </row>
    <row r="6157" spans="1:16" x14ac:dyDescent="0.3">
      <c r="A6157">
        <v>1036</v>
      </c>
      <c r="B6157">
        <v>22</v>
      </c>
      <c r="C6157" t="s">
        <v>26</v>
      </c>
      <c r="D6157" t="s">
        <v>27</v>
      </c>
      <c r="E6157" t="s">
        <v>17</v>
      </c>
      <c r="F6157" t="s">
        <v>21</v>
      </c>
      <c r="G6157" t="s">
        <v>43</v>
      </c>
      <c r="H6157" t="s">
        <v>25</v>
      </c>
      <c r="I6157" s="1">
        <v>3</v>
      </c>
      <c r="J6157" s="2">
        <v>45903</v>
      </c>
      <c r="L6157" s="1" t="str">
        <f t="shared" si="698"/>
        <v>qua</v>
      </c>
      <c r="M6157" s="1" t="str">
        <f t="shared" si="701"/>
        <v>set</v>
      </c>
      <c r="N6157">
        <f t="shared" si="699"/>
        <v>2025</v>
      </c>
      <c r="P6157" t="str">
        <f t="shared" si="700"/>
        <v>103645903</v>
      </c>
    </row>
    <row r="6158" spans="1:16" x14ac:dyDescent="0.3">
      <c r="A6158">
        <v>1036</v>
      </c>
      <c r="B6158">
        <v>22</v>
      </c>
      <c r="C6158" t="s">
        <v>26</v>
      </c>
      <c r="D6158" t="s">
        <v>27</v>
      </c>
      <c r="E6158" t="s">
        <v>17</v>
      </c>
      <c r="F6158" t="s">
        <v>21</v>
      </c>
      <c r="G6158" t="s">
        <v>43</v>
      </c>
      <c r="H6158" t="s">
        <v>25</v>
      </c>
      <c r="I6158" s="1">
        <v>3</v>
      </c>
      <c r="J6158" s="2">
        <v>45904</v>
      </c>
      <c r="L6158" s="1" t="str">
        <f t="shared" si="698"/>
        <v>qui</v>
      </c>
      <c r="M6158" s="1" t="str">
        <f t="shared" si="701"/>
        <v>set</v>
      </c>
      <c r="N6158">
        <f t="shared" si="699"/>
        <v>2025</v>
      </c>
      <c r="P6158" t="str">
        <f t="shared" si="700"/>
        <v>103645904</v>
      </c>
    </row>
    <row r="6159" spans="1:16" x14ac:dyDescent="0.3">
      <c r="A6159">
        <v>1036</v>
      </c>
      <c r="B6159">
        <v>22</v>
      </c>
      <c r="C6159" t="s">
        <v>26</v>
      </c>
      <c r="D6159" t="s">
        <v>27</v>
      </c>
      <c r="E6159" t="s">
        <v>17</v>
      </c>
      <c r="F6159" t="s">
        <v>21</v>
      </c>
      <c r="G6159" t="s">
        <v>43</v>
      </c>
      <c r="H6159" t="s">
        <v>25</v>
      </c>
      <c r="I6159" s="1">
        <v>3</v>
      </c>
      <c r="J6159" s="2">
        <v>45905</v>
      </c>
      <c r="L6159" s="1" t="str">
        <f t="shared" si="698"/>
        <v>sex</v>
      </c>
      <c r="M6159" s="1" t="str">
        <f t="shared" si="701"/>
        <v>set</v>
      </c>
      <c r="N6159">
        <f t="shared" si="699"/>
        <v>2025</v>
      </c>
      <c r="P6159" t="str">
        <f t="shared" si="700"/>
        <v>103645905</v>
      </c>
    </row>
    <row r="6160" spans="1:16" x14ac:dyDescent="0.3">
      <c r="A6160">
        <v>1036</v>
      </c>
      <c r="B6160">
        <v>22</v>
      </c>
      <c r="C6160" t="s">
        <v>26</v>
      </c>
      <c r="D6160" t="s">
        <v>27</v>
      </c>
      <c r="E6160" t="s">
        <v>17</v>
      </c>
      <c r="F6160" t="s">
        <v>21</v>
      </c>
      <c r="G6160" t="s">
        <v>43</v>
      </c>
      <c r="H6160" t="s">
        <v>25</v>
      </c>
      <c r="I6160" s="1">
        <v>3</v>
      </c>
      <c r="J6160" s="2">
        <v>45906</v>
      </c>
      <c r="L6160" s="1" t="str">
        <f t="shared" si="698"/>
        <v>sáb</v>
      </c>
      <c r="M6160" s="1" t="str">
        <f t="shared" si="701"/>
        <v>set</v>
      </c>
      <c r="N6160">
        <f t="shared" si="699"/>
        <v>2025</v>
      </c>
      <c r="P6160" t="str">
        <f t="shared" si="700"/>
        <v>103645906</v>
      </c>
    </row>
    <row r="6161" spans="1:16" x14ac:dyDescent="0.3">
      <c r="A6161">
        <v>1036</v>
      </c>
      <c r="B6161">
        <v>22</v>
      </c>
      <c r="C6161" t="s">
        <v>26</v>
      </c>
      <c r="D6161" t="s">
        <v>27</v>
      </c>
      <c r="E6161" t="s">
        <v>17</v>
      </c>
      <c r="F6161" t="s">
        <v>21</v>
      </c>
      <c r="G6161" t="s">
        <v>43</v>
      </c>
      <c r="H6161" t="s">
        <v>25</v>
      </c>
      <c r="I6161" s="1">
        <v>3</v>
      </c>
      <c r="J6161" s="2">
        <v>45907</v>
      </c>
      <c r="L6161" s="1" t="str">
        <f t="shared" si="698"/>
        <v>dom</v>
      </c>
      <c r="M6161" s="1" t="str">
        <f t="shared" si="701"/>
        <v>set</v>
      </c>
      <c r="N6161">
        <f t="shared" si="699"/>
        <v>2025</v>
      </c>
      <c r="P6161" t="str">
        <f t="shared" si="700"/>
        <v>103645907</v>
      </c>
    </row>
    <row r="6162" spans="1:16" x14ac:dyDescent="0.3">
      <c r="A6162">
        <v>1036</v>
      </c>
      <c r="B6162">
        <v>22</v>
      </c>
      <c r="C6162" t="s">
        <v>26</v>
      </c>
      <c r="D6162" t="s">
        <v>27</v>
      </c>
      <c r="E6162" t="s">
        <v>17</v>
      </c>
      <c r="F6162" t="s">
        <v>21</v>
      </c>
      <c r="G6162" t="s">
        <v>43</v>
      </c>
      <c r="H6162" t="s">
        <v>25</v>
      </c>
      <c r="I6162" s="1">
        <v>3</v>
      </c>
      <c r="J6162" s="2">
        <v>45908</v>
      </c>
      <c r="L6162" s="1" t="str">
        <f t="shared" si="698"/>
        <v>seg</v>
      </c>
      <c r="M6162" s="1" t="str">
        <f t="shared" si="701"/>
        <v>set</v>
      </c>
      <c r="N6162">
        <f t="shared" si="699"/>
        <v>2025</v>
      </c>
      <c r="P6162" t="str">
        <f t="shared" si="700"/>
        <v>103645908</v>
      </c>
    </row>
    <row r="6163" spans="1:16" x14ac:dyDescent="0.3">
      <c r="A6163">
        <v>1036</v>
      </c>
      <c r="B6163">
        <v>22</v>
      </c>
      <c r="C6163" t="s">
        <v>26</v>
      </c>
      <c r="D6163" t="s">
        <v>27</v>
      </c>
      <c r="E6163" t="s">
        <v>17</v>
      </c>
      <c r="F6163" t="s">
        <v>21</v>
      </c>
      <c r="G6163" t="s">
        <v>43</v>
      </c>
      <c r="H6163" t="s">
        <v>25</v>
      </c>
      <c r="I6163" s="1">
        <v>3</v>
      </c>
      <c r="J6163" s="2">
        <v>45909</v>
      </c>
      <c r="L6163" s="1" t="str">
        <f t="shared" si="698"/>
        <v>ter</v>
      </c>
      <c r="M6163" s="1" t="str">
        <f t="shared" si="701"/>
        <v>set</v>
      </c>
      <c r="N6163">
        <f t="shared" si="699"/>
        <v>2025</v>
      </c>
      <c r="P6163" t="str">
        <f t="shared" si="700"/>
        <v>103645909</v>
      </c>
    </row>
    <row r="6164" spans="1:16" x14ac:dyDescent="0.3">
      <c r="A6164">
        <v>1036</v>
      </c>
      <c r="B6164">
        <v>22</v>
      </c>
      <c r="C6164" t="s">
        <v>26</v>
      </c>
      <c r="D6164" t="s">
        <v>27</v>
      </c>
      <c r="E6164" t="s">
        <v>17</v>
      </c>
      <c r="F6164" t="s">
        <v>21</v>
      </c>
      <c r="G6164" t="s">
        <v>43</v>
      </c>
      <c r="H6164" t="s">
        <v>25</v>
      </c>
      <c r="I6164" s="1">
        <v>3</v>
      </c>
      <c r="J6164" s="2">
        <v>45910</v>
      </c>
      <c r="L6164" s="1" t="str">
        <f t="shared" si="698"/>
        <v>qua</v>
      </c>
      <c r="M6164" s="1" t="str">
        <f t="shared" si="701"/>
        <v>set</v>
      </c>
      <c r="N6164">
        <f t="shared" si="699"/>
        <v>2025</v>
      </c>
      <c r="P6164" t="str">
        <f t="shared" si="700"/>
        <v>103645910</v>
      </c>
    </row>
    <row r="6165" spans="1:16" x14ac:dyDescent="0.3">
      <c r="A6165">
        <v>1036</v>
      </c>
      <c r="B6165">
        <v>22</v>
      </c>
      <c r="C6165" t="s">
        <v>26</v>
      </c>
      <c r="D6165" t="s">
        <v>27</v>
      </c>
      <c r="E6165" t="s">
        <v>17</v>
      </c>
      <c r="F6165" t="s">
        <v>21</v>
      </c>
      <c r="G6165" t="s">
        <v>43</v>
      </c>
      <c r="H6165" t="s">
        <v>25</v>
      </c>
      <c r="I6165" s="1">
        <v>3</v>
      </c>
      <c r="J6165" s="2">
        <v>45911</v>
      </c>
      <c r="L6165" s="1" t="str">
        <f t="shared" si="698"/>
        <v>qui</v>
      </c>
      <c r="M6165" s="1" t="str">
        <f t="shared" si="701"/>
        <v>set</v>
      </c>
      <c r="N6165">
        <f t="shared" si="699"/>
        <v>2025</v>
      </c>
      <c r="P6165" t="str">
        <f t="shared" si="700"/>
        <v>103645911</v>
      </c>
    </row>
    <row r="6166" spans="1:16" x14ac:dyDescent="0.3">
      <c r="A6166">
        <v>1036</v>
      </c>
      <c r="B6166">
        <v>22</v>
      </c>
      <c r="C6166" t="s">
        <v>26</v>
      </c>
      <c r="D6166" t="s">
        <v>27</v>
      </c>
      <c r="E6166" t="s">
        <v>17</v>
      </c>
      <c r="F6166" t="s">
        <v>21</v>
      </c>
      <c r="G6166" t="s">
        <v>43</v>
      </c>
      <c r="H6166" t="s">
        <v>25</v>
      </c>
      <c r="I6166" s="1">
        <v>3</v>
      </c>
      <c r="J6166" s="2">
        <v>45912</v>
      </c>
      <c r="L6166" s="1" t="str">
        <f t="shared" si="698"/>
        <v>sex</v>
      </c>
      <c r="M6166" s="1" t="str">
        <f t="shared" si="701"/>
        <v>set</v>
      </c>
      <c r="N6166">
        <f t="shared" si="699"/>
        <v>2025</v>
      </c>
      <c r="P6166" t="str">
        <f t="shared" si="700"/>
        <v>103645912</v>
      </c>
    </row>
    <row r="6167" spans="1:16" x14ac:dyDescent="0.3">
      <c r="A6167">
        <v>1036</v>
      </c>
      <c r="B6167">
        <v>22</v>
      </c>
      <c r="C6167" t="s">
        <v>26</v>
      </c>
      <c r="D6167" t="s">
        <v>27</v>
      </c>
      <c r="E6167" t="s">
        <v>17</v>
      </c>
      <c r="F6167" t="s">
        <v>21</v>
      </c>
      <c r="G6167" t="s">
        <v>43</v>
      </c>
      <c r="H6167" t="s">
        <v>25</v>
      </c>
      <c r="I6167" s="1">
        <v>3</v>
      </c>
      <c r="J6167" s="2">
        <v>45913</v>
      </c>
      <c r="L6167" s="1" t="str">
        <f t="shared" si="698"/>
        <v>sáb</v>
      </c>
      <c r="M6167" s="1" t="str">
        <f t="shared" si="701"/>
        <v>set</v>
      </c>
      <c r="N6167">
        <f t="shared" si="699"/>
        <v>2025</v>
      </c>
      <c r="P6167" t="str">
        <f t="shared" si="700"/>
        <v>103645913</v>
      </c>
    </row>
    <row r="6168" spans="1:16" x14ac:dyDescent="0.3">
      <c r="A6168">
        <v>1036</v>
      </c>
      <c r="B6168">
        <v>22</v>
      </c>
      <c r="C6168" t="s">
        <v>26</v>
      </c>
      <c r="D6168" t="s">
        <v>27</v>
      </c>
      <c r="E6168" t="s">
        <v>17</v>
      </c>
      <c r="F6168" t="s">
        <v>21</v>
      </c>
      <c r="G6168" t="s">
        <v>43</v>
      </c>
      <c r="H6168" t="s">
        <v>25</v>
      </c>
      <c r="I6168" s="1">
        <v>3</v>
      </c>
      <c r="J6168" s="2">
        <v>45914</v>
      </c>
      <c r="L6168" s="1" t="str">
        <f t="shared" si="698"/>
        <v>dom</v>
      </c>
      <c r="M6168" s="1" t="str">
        <f t="shared" si="701"/>
        <v>set</v>
      </c>
      <c r="N6168">
        <f t="shared" si="699"/>
        <v>2025</v>
      </c>
      <c r="P6168" t="str">
        <f t="shared" si="700"/>
        <v>103645914</v>
      </c>
    </row>
    <row r="6169" spans="1:16" x14ac:dyDescent="0.3">
      <c r="A6169">
        <v>1036</v>
      </c>
      <c r="B6169">
        <v>22</v>
      </c>
      <c r="C6169" t="s">
        <v>26</v>
      </c>
      <c r="D6169" t="s">
        <v>27</v>
      </c>
      <c r="E6169" t="s">
        <v>17</v>
      </c>
      <c r="F6169" t="s">
        <v>21</v>
      </c>
      <c r="G6169" t="s">
        <v>43</v>
      </c>
      <c r="H6169" t="s">
        <v>25</v>
      </c>
      <c r="I6169" s="1">
        <v>3</v>
      </c>
      <c r="J6169" s="2">
        <v>45915</v>
      </c>
      <c r="L6169" s="1" t="str">
        <f t="shared" si="698"/>
        <v>seg</v>
      </c>
      <c r="M6169" s="1" t="str">
        <f t="shared" si="701"/>
        <v>set</v>
      </c>
      <c r="N6169">
        <f t="shared" si="699"/>
        <v>2025</v>
      </c>
      <c r="P6169" t="str">
        <f t="shared" si="700"/>
        <v>103645915</v>
      </c>
    </row>
    <row r="6170" spans="1:16" x14ac:dyDescent="0.3">
      <c r="A6170">
        <v>1036</v>
      </c>
      <c r="B6170">
        <v>22</v>
      </c>
      <c r="C6170" t="s">
        <v>26</v>
      </c>
      <c r="D6170" t="s">
        <v>27</v>
      </c>
      <c r="E6170" t="s">
        <v>17</v>
      </c>
      <c r="F6170" t="s">
        <v>21</v>
      </c>
      <c r="G6170" t="s">
        <v>43</v>
      </c>
      <c r="H6170" t="s">
        <v>25</v>
      </c>
      <c r="I6170" s="1">
        <v>3</v>
      </c>
      <c r="J6170" s="2">
        <v>45916</v>
      </c>
      <c r="L6170" s="1" t="str">
        <f t="shared" si="698"/>
        <v>ter</v>
      </c>
      <c r="M6170" s="1" t="str">
        <f t="shared" si="701"/>
        <v>set</v>
      </c>
      <c r="N6170">
        <f t="shared" si="699"/>
        <v>2025</v>
      </c>
      <c r="P6170" t="str">
        <f t="shared" si="700"/>
        <v>103645916</v>
      </c>
    </row>
    <row r="6171" spans="1:16" x14ac:dyDescent="0.3">
      <c r="A6171">
        <v>1036</v>
      </c>
      <c r="B6171">
        <v>22</v>
      </c>
      <c r="C6171" t="s">
        <v>26</v>
      </c>
      <c r="D6171" t="s">
        <v>27</v>
      </c>
      <c r="E6171" t="s">
        <v>17</v>
      </c>
      <c r="F6171" t="s">
        <v>21</v>
      </c>
      <c r="G6171" t="s">
        <v>43</v>
      </c>
      <c r="H6171" t="s">
        <v>25</v>
      </c>
      <c r="I6171" s="1">
        <v>3</v>
      </c>
      <c r="J6171" s="2">
        <v>45917</v>
      </c>
      <c r="L6171" s="1" t="str">
        <f t="shared" ref="L6171:L6234" si="702">TEXT(J6171,"ddd")</f>
        <v>qua</v>
      </c>
      <c r="M6171" s="1" t="str">
        <f t="shared" si="701"/>
        <v>set</v>
      </c>
      <c r="N6171">
        <f t="shared" ref="N6171:N6234" si="703">YEAR(J6171)</f>
        <v>2025</v>
      </c>
      <c r="P6171" t="str">
        <f t="shared" ref="P6171:P6234" si="704">CONCATENATE(A6171,J6171)</f>
        <v>103645917</v>
      </c>
    </row>
    <row r="6172" spans="1:16" x14ac:dyDescent="0.3">
      <c r="A6172">
        <v>1036</v>
      </c>
      <c r="B6172">
        <v>22</v>
      </c>
      <c r="C6172" t="s">
        <v>26</v>
      </c>
      <c r="D6172" t="s">
        <v>27</v>
      </c>
      <c r="E6172" t="s">
        <v>17</v>
      </c>
      <c r="F6172" t="s">
        <v>21</v>
      </c>
      <c r="G6172" t="s">
        <v>43</v>
      </c>
      <c r="H6172" t="s">
        <v>25</v>
      </c>
      <c r="I6172" s="1">
        <v>3</v>
      </c>
      <c r="J6172" s="2">
        <v>45918</v>
      </c>
      <c r="L6172" s="1" t="str">
        <f t="shared" si="702"/>
        <v>qui</v>
      </c>
      <c r="M6172" s="1" t="str">
        <f t="shared" si="701"/>
        <v>set</v>
      </c>
      <c r="N6172">
        <f t="shared" si="703"/>
        <v>2025</v>
      </c>
      <c r="P6172" t="str">
        <f t="shared" si="704"/>
        <v>103645918</v>
      </c>
    </row>
    <row r="6173" spans="1:16" x14ac:dyDescent="0.3">
      <c r="A6173">
        <v>1036</v>
      </c>
      <c r="B6173">
        <v>22</v>
      </c>
      <c r="C6173" t="s">
        <v>26</v>
      </c>
      <c r="D6173" t="s">
        <v>27</v>
      </c>
      <c r="E6173" t="s">
        <v>17</v>
      </c>
      <c r="F6173" t="s">
        <v>21</v>
      </c>
      <c r="G6173" t="s">
        <v>43</v>
      </c>
      <c r="H6173" t="s">
        <v>25</v>
      </c>
      <c r="I6173" s="1">
        <v>3</v>
      </c>
      <c r="J6173" s="2">
        <v>45919</v>
      </c>
      <c r="L6173" s="1" t="str">
        <f t="shared" si="702"/>
        <v>sex</v>
      </c>
      <c r="M6173" s="1" t="str">
        <f t="shared" si="701"/>
        <v>set</v>
      </c>
      <c r="N6173">
        <f t="shared" si="703"/>
        <v>2025</v>
      </c>
      <c r="P6173" t="str">
        <f t="shared" si="704"/>
        <v>103645919</v>
      </c>
    </row>
    <row r="6174" spans="1:16" x14ac:dyDescent="0.3">
      <c r="A6174">
        <v>1036</v>
      </c>
      <c r="B6174">
        <v>22</v>
      </c>
      <c r="C6174" t="s">
        <v>26</v>
      </c>
      <c r="D6174" t="s">
        <v>27</v>
      </c>
      <c r="E6174" t="s">
        <v>17</v>
      </c>
      <c r="F6174" t="s">
        <v>21</v>
      </c>
      <c r="G6174" t="s">
        <v>43</v>
      </c>
      <c r="H6174" t="s">
        <v>25</v>
      </c>
      <c r="I6174" s="1">
        <v>3</v>
      </c>
      <c r="J6174" s="2">
        <v>45920</v>
      </c>
      <c r="L6174" s="1" t="str">
        <f t="shared" si="702"/>
        <v>sáb</v>
      </c>
      <c r="M6174" s="1" t="str">
        <f t="shared" si="701"/>
        <v>set</v>
      </c>
      <c r="N6174">
        <f t="shared" si="703"/>
        <v>2025</v>
      </c>
      <c r="P6174" t="str">
        <f t="shared" si="704"/>
        <v>103645920</v>
      </c>
    </row>
    <row r="6175" spans="1:16" x14ac:dyDescent="0.3">
      <c r="A6175">
        <v>1036</v>
      </c>
      <c r="B6175">
        <v>22</v>
      </c>
      <c r="C6175" t="s">
        <v>26</v>
      </c>
      <c r="D6175" t="s">
        <v>27</v>
      </c>
      <c r="E6175" t="s">
        <v>17</v>
      </c>
      <c r="F6175" t="s">
        <v>21</v>
      </c>
      <c r="G6175" t="s">
        <v>43</v>
      </c>
      <c r="H6175" t="s">
        <v>25</v>
      </c>
      <c r="I6175" s="1">
        <v>3</v>
      </c>
      <c r="J6175" s="2">
        <v>45921</v>
      </c>
      <c r="L6175" s="1" t="str">
        <f t="shared" si="702"/>
        <v>dom</v>
      </c>
      <c r="M6175" s="1" t="str">
        <f t="shared" si="701"/>
        <v>set</v>
      </c>
      <c r="N6175">
        <f t="shared" si="703"/>
        <v>2025</v>
      </c>
      <c r="P6175" t="str">
        <f t="shared" si="704"/>
        <v>103645921</v>
      </c>
    </row>
    <row r="6176" spans="1:16" x14ac:dyDescent="0.3">
      <c r="A6176">
        <v>1036</v>
      </c>
      <c r="B6176">
        <v>22</v>
      </c>
      <c r="C6176" t="s">
        <v>26</v>
      </c>
      <c r="D6176" t="s">
        <v>27</v>
      </c>
      <c r="E6176" t="s">
        <v>17</v>
      </c>
      <c r="F6176" t="s">
        <v>21</v>
      </c>
      <c r="G6176" t="s">
        <v>43</v>
      </c>
      <c r="H6176" t="s">
        <v>25</v>
      </c>
      <c r="I6176" s="1">
        <v>3</v>
      </c>
      <c r="J6176" s="2">
        <v>45922</v>
      </c>
      <c r="L6176" s="1" t="str">
        <f t="shared" si="702"/>
        <v>seg</v>
      </c>
      <c r="M6176" s="1" t="str">
        <f t="shared" si="701"/>
        <v>set</v>
      </c>
      <c r="N6176">
        <f t="shared" si="703"/>
        <v>2025</v>
      </c>
      <c r="P6176" t="str">
        <f t="shared" si="704"/>
        <v>103645922</v>
      </c>
    </row>
    <row r="6177" spans="1:16" x14ac:dyDescent="0.3">
      <c r="A6177">
        <v>1036</v>
      </c>
      <c r="B6177">
        <v>22</v>
      </c>
      <c r="C6177" t="s">
        <v>26</v>
      </c>
      <c r="D6177" t="s">
        <v>27</v>
      </c>
      <c r="E6177" t="s">
        <v>17</v>
      </c>
      <c r="F6177" t="s">
        <v>21</v>
      </c>
      <c r="G6177" t="s">
        <v>43</v>
      </c>
      <c r="H6177" t="s">
        <v>25</v>
      </c>
      <c r="I6177" s="1">
        <v>3</v>
      </c>
      <c r="J6177" s="2">
        <v>45923</v>
      </c>
      <c r="L6177" s="1" t="str">
        <f t="shared" si="702"/>
        <v>ter</v>
      </c>
      <c r="M6177" s="1" t="str">
        <f t="shared" si="701"/>
        <v>set</v>
      </c>
      <c r="N6177">
        <f t="shared" si="703"/>
        <v>2025</v>
      </c>
      <c r="P6177" t="str">
        <f t="shared" si="704"/>
        <v>103645923</v>
      </c>
    </row>
    <row r="6178" spans="1:16" x14ac:dyDescent="0.3">
      <c r="A6178">
        <v>1036</v>
      </c>
      <c r="B6178">
        <v>22</v>
      </c>
      <c r="C6178" t="s">
        <v>26</v>
      </c>
      <c r="D6178" t="s">
        <v>27</v>
      </c>
      <c r="E6178" t="s">
        <v>17</v>
      </c>
      <c r="F6178" t="s">
        <v>21</v>
      </c>
      <c r="G6178" t="s">
        <v>43</v>
      </c>
      <c r="H6178" t="s">
        <v>25</v>
      </c>
      <c r="I6178" s="1">
        <v>3</v>
      </c>
      <c r="J6178" s="2">
        <v>45924</v>
      </c>
      <c r="L6178" s="1" t="str">
        <f t="shared" si="702"/>
        <v>qua</v>
      </c>
      <c r="M6178" s="1" t="str">
        <f t="shared" si="701"/>
        <v>set</v>
      </c>
      <c r="N6178">
        <f t="shared" si="703"/>
        <v>2025</v>
      </c>
      <c r="P6178" t="str">
        <f t="shared" si="704"/>
        <v>103645924</v>
      </c>
    </row>
    <row r="6179" spans="1:16" x14ac:dyDescent="0.3">
      <c r="A6179">
        <v>1036</v>
      </c>
      <c r="B6179">
        <v>22</v>
      </c>
      <c r="C6179" t="s">
        <v>26</v>
      </c>
      <c r="D6179" t="s">
        <v>27</v>
      </c>
      <c r="E6179" t="s">
        <v>17</v>
      </c>
      <c r="F6179" t="s">
        <v>21</v>
      </c>
      <c r="G6179" t="s">
        <v>43</v>
      </c>
      <c r="H6179" t="s">
        <v>25</v>
      </c>
      <c r="I6179" s="1">
        <v>3</v>
      </c>
      <c r="J6179" s="2">
        <v>45925</v>
      </c>
      <c r="L6179" s="1" t="str">
        <f t="shared" si="702"/>
        <v>qui</v>
      </c>
      <c r="M6179" s="1" t="str">
        <f t="shared" si="701"/>
        <v>set</v>
      </c>
      <c r="N6179">
        <f t="shared" si="703"/>
        <v>2025</v>
      </c>
      <c r="P6179" t="str">
        <f t="shared" si="704"/>
        <v>103645925</v>
      </c>
    </row>
    <row r="6180" spans="1:16" x14ac:dyDescent="0.3">
      <c r="A6180">
        <v>1036</v>
      </c>
      <c r="B6180">
        <v>22</v>
      </c>
      <c r="C6180" t="s">
        <v>26</v>
      </c>
      <c r="D6180" t="s">
        <v>27</v>
      </c>
      <c r="E6180" t="s">
        <v>17</v>
      </c>
      <c r="F6180" t="s">
        <v>21</v>
      </c>
      <c r="G6180" t="s">
        <v>43</v>
      </c>
      <c r="H6180" t="s">
        <v>25</v>
      </c>
      <c r="I6180" s="1">
        <v>3</v>
      </c>
      <c r="J6180" s="2">
        <v>45926</v>
      </c>
      <c r="L6180" s="1" t="str">
        <f t="shared" si="702"/>
        <v>sex</v>
      </c>
      <c r="M6180" s="1" t="str">
        <f t="shared" si="701"/>
        <v>set</v>
      </c>
      <c r="N6180">
        <f t="shared" si="703"/>
        <v>2025</v>
      </c>
      <c r="P6180" t="str">
        <f t="shared" si="704"/>
        <v>103645926</v>
      </c>
    </row>
    <row r="6181" spans="1:16" x14ac:dyDescent="0.3">
      <c r="A6181">
        <v>1036</v>
      </c>
      <c r="B6181">
        <v>22</v>
      </c>
      <c r="C6181" t="s">
        <v>26</v>
      </c>
      <c r="D6181" t="s">
        <v>27</v>
      </c>
      <c r="E6181" t="s">
        <v>17</v>
      </c>
      <c r="F6181" t="s">
        <v>21</v>
      </c>
      <c r="G6181" t="s">
        <v>43</v>
      </c>
      <c r="H6181" t="s">
        <v>25</v>
      </c>
      <c r="I6181" s="1">
        <v>3</v>
      </c>
      <c r="J6181" s="2">
        <v>45927</v>
      </c>
      <c r="L6181" s="1" t="str">
        <f t="shared" si="702"/>
        <v>sáb</v>
      </c>
      <c r="M6181" s="1" t="str">
        <f t="shared" si="701"/>
        <v>set</v>
      </c>
      <c r="N6181">
        <f t="shared" si="703"/>
        <v>2025</v>
      </c>
      <c r="P6181" t="str">
        <f t="shared" si="704"/>
        <v>103645927</v>
      </c>
    </row>
    <row r="6182" spans="1:16" x14ac:dyDescent="0.3">
      <c r="A6182">
        <v>1036</v>
      </c>
      <c r="B6182">
        <v>22</v>
      </c>
      <c r="C6182" t="s">
        <v>26</v>
      </c>
      <c r="D6182" t="s">
        <v>27</v>
      </c>
      <c r="E6182" t="s">
        <v>17</v>
      </c>
      <c r="F6182" t="s">
        <v>21</v>
      </c>
      <c r="G6182" t="s">
        <v>43</v>
      </c>
      <c r="H6182" t="s">
        <v>25</v>
      </c>
      <c r="I6182" s="1">
        <v>3</v>
      </c>
      <c r="J6182" s="2">
        <v>45928</v>
      </c>
      <c r="L6182" s="1" t="str">
        <f t="shared" si="702"/>
        <v>dom</v>
      </c>
      <c r="M6182" s="1" t="str">
        <f t="shared" si="701"/>
        <v>set</v>
      </c>
      <c r="N6182">
        <f t="shared" si="703"/>
        <v>2025</v>
      </c>
      <c r="P6182" t="str">
        <f t="shared" si="704"/>
        <v>103645928</v>
      </c>
    </row>
    <row r="6183" spans="1:16" x14ac:dyDescent="0.3">
      <c r="A6183">
        <v>1036</v>
      </c>
      <c r="B6183">
        <v>22</v>
      </c>
      <c r="C6183" t="s">
        <v>26</v>
      </c>
      <c r="D6183" t="s">
        <v>27</v>
      </c>
      <c r="E6183" t="s">
        <v>17</v>
      </c>
      <c r="F6183" t="s">
        <v>21</v>
      </c>
      <c r="G6183" t="s">
        <v>43</v>
      </c>
      <c r="H6183" t="s">
        <v>25</v>
      </c>
      <c r="I6183" s="1">
        <v>3</v>
      </c>
      <c r="J6183" s="2">
        <v>45929</v>
      </c>
      <c r="L6183" s="1" t="str">
        <f t="shared" si="702"/>
        <v>seg</v>
      </c>
      <c r="M6183" s="1" t="str">
        <f t="shared" si="701"/>
        <v>set</v>
      </c>
      <c r="N6183">
        <f t="shared" si="703"/>
        <v>2025</v>
      </c>
      <c r="P6183" t="str">
        <f t="shared" si="704"/>
        <v>103645929</v>
      </c>
    </row>
    <row r="6184" spans="1:16" x14ac:dyDescent="0.3">
      <c r="A6184">
        <v>1036</v>
      </c>
      <c r="B6184">
        <v>22</v>
      </c>
      <c r="C6184" t="s">
        <v>26</v>
      </c>
      <c r="D6184" t="s">
        <v>27</v>
      </c>
      <c r="E6184" t="s">
        <v>17</v>
      </c>
      <c r="F6184" t="s">
        <v>21</v>
      </c>
      <c r="G6184" t="s">
        <v>43</v>
      </c>
      <c r="H6184" t="s">
        <v>25</v>
      </c>
      <c r="I6184" s="1">
        <v>3</v>
      </c>
      <c r="J6184" s="2">
        <v>45930</v>
      </c>
      <c r="L6184" s="1" t="str">
        <f t="shared" si="702"/>
        <v>ter</v>
      </c>
      <c r="M6184" s="1" t="str">
        <f t="shared" si="701"/>
        <v>set</v>
      </c>
      <c r="N6184">
        <f t="shared" si="703"/>
        <v>2025</v>
      </c>
      <c r="P6184" t="str">
        <f t="shared" si="704"/>
        <v>103645930</v>
      </c>
    </row>
    <row r="6185" spans="1:16" x14ac:dyDescent="0.3">
      <c r="A6185">
        <v>1036</v>
      </c>
      <c r="B6185">
        <v>22</v>
      </c>
      <c r="C6185" t="s">
        <v>26</v>
      </c>
      <c r="D6185" t="s">
        <v>27</v>
      </c>
      <c r="E6185" t="s">
        <v>17</v>
      </c>
      <c r="F6185" t="s">
        <v>21</v>
      </c>
      <c r="G6185" t="s">
        <v>43</v>
      </c>
      <c r="H6185" t="s">
        <v>25</v>
      </c>
      <c r="I6185" s="1">
        <v>3</v>
      </c>
      <c r="J6185" s="2">
        <v>45931</v>
      </c>
      <c r="L6185" s="1" t="str">
        <f t="shared" si="702"/>
        <v>qua</v>
      </c>
      <c r="M6185" s="1" t="str">
        <f t="shared" si="701"/>
        <v>out</v>
      </c>
      <c r="N6185">
        <f t="shared" si="703"/>
        <v>2025</v>
      </c>
      <c r="P6185" t="str">
        <f t="shared" si="704"/>
        <v>103645931</v>
      </c>
    </row>
    <row r="6186" spans="1:16" x14ac:dyDescent="0.3">
      <c r="A6186">
        <v>1036</v>
      </c>
      <c r="B6186">
        <v>22</v>
      </c>
      <c r="C6186" t="s">
        <v>26</v>
      </c>
      <c r="D6186" t="s">
        <v>27</v>
      </c>
      <c r="E6186" t="s">
        <v>17</v>
      </c>
      <c r="F6186" t="s">
        <v>21</v>
      </c>
      <c r="G6186" t="s">
        <v>43</v>
      </c>
      <c r="H6186" t="s">
        <v>25</v>
      </c>
      <c r="I6186" s="1">
        <v>3</v>
      </c>
      <c r="J6186" s="2">
        <v>45932</v>
      </c>
      <c r="L6186" s="1" t="str">
        <f t="shared" si="702"/>
        <v>qui</v>
      </c>
      <c r="M6186" s="1" t="str">
        <f t="shared" si="701"/>
        <v>out</v>
      </c>
      <c r="N6186">
        <f t="shared" si="703"/>
        <v>2025</v>
      </c>
      <c r="P6186" t="str">
        <f t="shared" si="704"/>
        <v>103645932</v>
      </c>
    </row>
    <row r="6187" spans="1:16" x14ac:dyDescent="0.3">
      <c r="A6187">
        <v>1036</v>
      </c>
      <c r="B6187">
        <v>22</v>
      </c>
      <c r="C6187" t="s">
        <v>26</v>
      </c>
      <c r="D6187" t="s">
        <v>27</v>
      </c>
      <c r="E6187" t="s">
        <v>17</v>
      </c>
      <c r="F6187" t="s">
        <v>21</v>
      </c>
      <c r="G6187" t="s">
        <v>43</v>
      </c>
      <c r="H6187" t="s">
        <v>25</v>
      </c>
      <c r="I6187" s="1">
        <v>3</v>
      </c>
      <c r="J6187" s="2">
        <v>45933</v>
      </c>
      <c r="L6187" s="1" t="str">
        <f t="shared" si="702"/>
        <v>sex</v>
      </c>
      <c r="M6187" s="1" t="str">
        <f t="shared" si="701"/>
        <v>out</v>
      </c>
      <c r="N6187">
        <f t="shared" si="703"/>
        <v>2025</v>
      </c>
      <c r="P6187" t="str">
        <f t="shared" si="704"/>
        <v>103645933</v>
      </c>
    </row>
    <row r="6188" spans="1:16" x14ac:dyDescent="0.3">
      <c r="A6188">
        <v>1036</v>
      </c>
      <c r="B6188">
        <v>22</v>
      </c>
      <c r="C6188" t="s">
        <v>26</v>
      </c>
      <c r="D6188" t="s">
        <v>27</v>
      </c>
      <c r="E6188" t="s">
        <v>17</v>
      </c>
      <c r="F6188" t="s">
        <v>21</v>
      </c>
      <c r="G6188" t="s">
        <v>43</v>
      </c>
      <c r="H6188" t="s">
        <v>25</v>
      </c>
      <c r="I6188" s="1">
        <v>3</v>
      </c>
      <c r="J6188" s="2">
        <v>45934</v>
      </c>
      <c r="L6188" s="1" t="str">
        <f t="shared" si="702"/>
        <v>sáb</v>
      </c>
      <c r="M6188" s="1" t="str">
        <f t="shared" si="701"/>
        <v>out</v>
      </c>
      <c r="N6188">
        <f t="shared" si="703"/>
        <v>2025</v>
      </c>
      <c r="P6188" t="str">
        <f t="shared" si="704"/>
        <v>103645934</v>
      </c>
    </row>
    <row r="6189" spans="1:16" x14ac:dyDescent="0.3">
      <c r="A6189">
        <v>1036</v>
      </c>
      <c r="B6189">
        <v>22</v>
      </c>
      <c r="C6189" t="s">
        <v>26</v>
      </c>
      <c r="D6189" t="s">
        <v>27</v>
      </c>
      <c r="E6189" t="s">
        <v>17</v>
      </c>
      <c r="F6189" t="s">
        <v>21</v>
      </c>
      <c r="G6189" t="s">
        <v>43</v>
      </c>
      <c r="H6189" t="s">
        <v>25</v>
      </c>
      <c r="I6189" s="1">
        <v>3</v>
      </c>
      <c r="J6189" s="2">
        <v>45935</v>
      </c>
      <c r="L6189" s="1" t="str">
        <f t="shared" si="702"/>
        <v>dom</v>
      </c>
      <c r="M6189" s="1" t="str">
        <f t="shared" si="701"/>
        <v>out</v>
      </c>
      <c r="N6189">
        <f t="shared" si="703"/>
        <v>2025</v>
      </c>
      <c r="P6189" t="str">
        <f t="shared" si="704"/>
        <v>103645935</v>
      </c>
    </row>
    <row r="6190" spans="1:16" x14ac:dyDescent="0.3">
      <c r="A6190">
        <v>1036</v>
      </c>
      <c r="B6190">
        <v>22</v>
      </c>
      <c r="C6190" t="s">
        <v>26</v>
      </c>
      <c r="D6190" t="s">
        <v>27</v>
      </c>
      <c r="E6190" t="s">
        <v>17</v>
      </c>
      <c r="F6190" t="s">
        <v>21</v>
      </c>
      <c r="G6190" t="s">
        <v>43</v>
      </c>
      <c r="H6190" t="s">
        <v>25</v>
      </c>
      <c r="I6190" s="1">
        <v>3</v>
      </c>
      <c r="J6190" s="2">
        <v>45936</v>
      </c>
      <c r="L6190" s="1" t="str">
        <f t="shared" si="702"/>
        <v>seg</v>
      </c>
      <c r="M6190" s="1" t="str">
        <f t="shared" si="701"/>
        <v>out</v>
      </c>
      <c r="N6190">
        <f t="shared" si="703"/>
        <v>2025</v>
      </c>
      <c r="P6190" t="str">
        <f t="shared" si="704"/>
        <v>103645936</v>
      </c>
    </row>
    <row r="6191" spans="1:16" x14ac:dyDescent="0.3">
      <c r="A6191">
        <v>1036</v>
      </c>
      <c r="B6191">
        <v>22</v>
      </c>
      <c r="C6191" t="s">
        <v>26</v>
      </c>
      <c r="D6191" t="s">
        <v>27</v>
      </c>
      <c r="E6191" t="s">
        <v>17</v>
      </c>
      <c r="F6191" t="s">
        <v>21</v>
      </c>
      <c r="G6191" t="s">
        <v>43</v>
      </c>
      <c r="H6191" t="s">
        <v>25</v>
      </c>
      <c r="I6191" s="1">
        <v>3</v>
      </c>
      <c r="J6191" s="2">
        <v>45937</v>
      </c>
      <c r="L6191" s="1" t="str">
        <f t="shared" si="702"/>
        <v>ter</v>
      </c>
      <c r="M6191" s="1" t="str">
        <f t="shared" si="701"/>
        <v>out</v>
      </c>
      <c r="N6191">
        <f t="shared" si="703"/>
        <v>2025</v>
      </c>
      <c r="P6191" t="str">
        <f t="shared" si="704"/>
        <v>103645937</v>
      </c>
    </row>
    <row r="6192" spans="1:16" x14ac:dyDescent="0.3">
      <c r="A6192">
        <v>1036</v>
      </c>
      <c r="B6192">
        <v>22</v>
      </c>
      <c r="C6192" t="s">
        <v>26</v>
      </c>
      <c r="D6192" t="s">
        <v>27</v>
      </c>
      <c r="E6192" t="s">
        <v>17</v>
      </c>
      <c r="F6192" t="s">
        <v>21</v>
      </c>
      <c r="G6192" t="s">
        <v>43</v>
      </c>
      <c r="H6192" t="s">
        <v>25</v>
      </c>
      <c r="I6192" s="1">
        <v>3</v>
      </c>
      <c r="J6192" s="2">
        <v>45938</v>
      </c>
      <c r="L6192" s="1" t="str">
        <f t="shared" si="702"/>
        <v>qua</v>
      </c>
      <c r="M6192" s="1" t="str">
        <f t="shared" si="701"/>
        <v>out</v>
      </c>
      <c r="N6192">
        <f t="shared" si="703"/>
        <v>2025</v>
      </c>
      <c r="P6192" t="str">
        <f t="shared" si="704"/>
        <v>103645938</v>
      </c>
    </row>
    <row r="6193" spans="1:16" x14ac:dyDescent="0.3">
      <c r="A6193">
        <v>1036</v>
      </c>
      <c r="B6193">
        <v>22</v>
      </c>
      <c r="C6193" t="s">
        <v>26</v>
      </c>
      <c r="D6193" t="s">
        <v>27</v>
      </c>
      <c r="E6193" t="s">
        <v>17</v>
      </c>
      <c r="F6193" t="s">
        <v>21</v>
      </c>
      <c r="G6193" t="s">
        <v>43</v>
      </c>
      <c r="H6193" t="s">
        <v>25</v>
      </c>
      <c r="I6193" s="1">
        <v>3</v>
      </c>
      <c r="J6193" s="2">
        <v>45939</v>
      </c>
      <c r="L6193" s="1" t="str">
        <f t="shared" si="702"/>
        <v>qui</v>
      </c>
      <c r="M6193" s="1" t="str">
        <f t="shared" ref="M6193:M6256" si="705">TEXT($J6193,"mmm")</f>
        <v>out</v>
      </c>
      <c r="N6193">
        <f t="shared" si="703"/>
        <v>2025</v>
      </c>
      <c r="P6193" t="str">
        <f t="shared" si="704"/>
        <v>103645939</v>
      </c>
    </row>
    <row r="6194" spans="1:16" x14ac:dyDescent="0.3">
      <c r="A6194">
        <v>1036</v>
      </c>
      <c r="B6194">
        <v>22</v>
      </c>
      <c r="C6194" t="s">
        <v>26</v>
      </c>
      <c r="D6194" t="s">
        <v>27</v>
      </c>
      <c r="E6194" t="s">
        <v>17</v>
      </c>
      <c r="F6194" t="s">
        <v>21</v>
      </c>
      <c r="G6194" t="s">
        <v>43</v>
      </c>
      <c r="H6194" t="s">
        <v>25</v>
      </c>
      <c r="I6194" s="1">
        <v>3</v>
      </c>
      <c r="J6194" s="2">
        <v>45940</v>
      </c>
      <c r="L6194" s="1" t="str">
        <f t="shared" si="702"/>
        <v>sex</v>
      </c>
      <c r="M6194" s="1" t="str">
        <f t="shared" si="705"/>
        <v>out</v>
      </c>
      <c r="N6194">
        <f t="shared" si="703"/>
        <v>2025</v>
      </c>
      <c r="P6194" t="str">
        <f t="shared" si="704"/>
        <v>103645940</v>
      </c>
    </row>
    <row r="6195" spans="1:16" x14ac:dyDescent="0.3">
      <c r="A6195">
        <v>1036</v>
      </c>
      <c r="B6195">
        <v>22</v>
      </c>
      <c r="C6195" t="s">
        <v>26</v>
      </c>
      <c r="D6195" t="s">
        <v>27</v>
      </c>
      <c r="E6195" t="s">
        <v>17</v>
      </c>
      <c r="F6195" t="s">
        <v>21</v>
      </c>
      <c r="G6195" t="s">
        <v>43</v>
      </c>
      <c r="H6195" t="s">
        <v>25</v>
      </c>
      <c r="I6195" s="1">
        <v>3</v>
      </c>
      <c r="J6195" s="2">
        <v>45941</v>
      </c>
      <c r="L6195" s="1" t="str">
        <f t="shared" si="702"/>
        <v>sáb</v>
      </c>
      <c r="M6195" s="1" t="str">
        <f t="shared" si="705"/>
        <v>out</v>
      </c>
      <c r="N6195">
        <f t="shared" si="703"/>
        <v>2025</v>
      </c>
      <c r="P6195" t="str">
        <f t="shared" si="704"/>
        <v>103645941</v>
      </c>
    </row>
    <row r="6196" spans="1:16" x14ac:dyDescent="0.3">
      <c r="A6196">
        <v>1036</v>
      </c>
      <c r="B6196">
        <v>22</v>
      </c>
      <c r="C6196" t="s">
        <v>26</v>
      </c>
      <c r="D6196" t="s">
        <v>27</v>
      </c>
      <c r="E6196" t="s">
        <v>17</v>
      </c>
      <c r="F6196" t="s">
        <v>21</v>
      </c>
      <c r="G6196" t="s">
        <v>43</v>
      </c>
      <c r="H6196" t="s">
        <v>25</v>
      </c>
      <c r="I6196" s="1">
        <v>3</v>
      </c>
      <c r="J6196" s="2">
        <v>45942</v>
      </c>
      <c r="L6196" s="1" t="str">
        <f t="shared" si="702"/>
        <v>dom</v>
      </c>
      <c r="M6196" s="1" t="str">
        <f t="shared" si="705"/>
        <v>out</v>
      </c>
      <c r="N6196">
        <f t="shared" si="703"/>
        <v>2025</v>
      </c>
      <c r="P6196" t="str">
        <f t="shared" si="704"/>
        <v>103645942</v>
      </c>
    </row>
    <row r="6197" spans="1:16" x14ac:dyDescent="0.3">
      <c r="A6197">
        <v>1036</v>
      </c>
      <c r="B6197">
        <v>22</v>
      </c>
      <c r="C6197" t="s">
        <v>26</v>
      </c>
      <c r="D6197" t="s">
        <v>27</v>
      </c>
      <c r="E6197" t="s">
        <v>17</v>
      </c>
      <c r="F6197" t="s">
        <v>21</v>
      </c>
      <c r="G6197" t="s">
        <v>43</v>
      </c>
      <c r="H6197" t="s">
        <v>25</v>
      </c>
      <c r="I6197" s="1">
        <v>3</v>
      </c>
      <c r="J6197" s="2">
        <v>45943</v>
      </c>
      <c r="L6197" s="1" t="str">
        <f t="shared" si="702"/>
        <v>seg</v>
      </c>
      <c r="M6197" s="1" t="str">
        <f t="shared" si="705"/>
        <v>out</v>
      </c>
      <c r="N6197">
        <f t="shared" si="703"/>
        <v>2025</v>
      </c>
      <c r="P6197" t="str">
        <f t="shared" si="704"/>
        <v>103645943</v>
      </c>
    </row>
    <row r="6198" spans="1:16" x14ac:dyDescent="0.3">
      <c r="A6198">
        <v>1036</v>
      </c>
      <c r="B6198">
        <v>22</v>
      </c>
      <c r="C6198" t="s">
        <v>26</v>
      </c>
      <c r="D6198" t="s">
        <v>27</v>
      </c>
      <c r="E6198" t="s">
        <v>17</v>
      </c>
      <c r="F6198" t="s">
        <v>21</v>
      </c>
      <c r="G6198" t="s">
        <v>43</v>
      </c>
      <c r="H6198" t="s">
        <v>25</v>
      </c>
      <c r="I6198" s="1">
        <v>3</v>
      </c>
      <c r="J6198" s="2">
        <v>45944</v>
      </c>
      <c r="L6198" s="1" t="str">
        <f t="shared" si="702"/>
        <v>ter</v>
      </c>
      <c r="M6198" s="1" t="str">
        <f t="shared" si="705"/>
        <v>out</v>
      </c>
      <c r="N6198">
        <f t="shared" si="703"/>
        <v>2025</v>
      </c>
      <c r="P6198" t="str">
        <f t="shared" si="704"/>
        <v>103645944</v>
      </c>
    </row>
    <row r="6199" spans="1:16" x14ac:dyDescent="0.3">
      <c r="A6199">
        <v>1036</v>
      </c>
      <c r="B6199">
        <v>22</v>
      </c>
      <c r="C6199" t="s">
        <v>26</v>
      </c>
      <c r="D6199" t="s">
        <v>27</v>
      </c>
      <c r="E6199" t="s">
        <v>17</v>
      </c>
      <c r="F6199" t="s">
        <v>21</v>
      </c>
      <c r="G6199" t="s">
        <v>43</v>
      </c>
      <c r="H6199" t="s">
        <v>25</v>
      </c>
      <c r="I6199" s="1">
        <v>3</v>
      </c>
      <c r="J6199" s="2">
        <v>45945</v>
      </c>
      <c r="L6199" s="1" t="str">
        <f t="shared" si="702"/>
        <v>qua</v>
      </c>
      <c r="M6199" s="1" t="str">
        <f t="shared" si="705"/>
        <v>out</v>
      </c>
      <c r="N6199">
        <f t="shared" si="703"/>
        <v>2025</v>
      </c>
      <c r="P6199" t="str">
        <f t="shared" si="704"/>
        <v>103645945</v>
      </c>
    </row>
    <row r="6200" spans="1:16" x14ac:dyDescent="0.3">
      <c r="A6200">
        <v>1036</v>
      </c>
      <c r="B6200">
        <v>22</v>
      </c>
      <c r="C6200" t="s">
        <v>26</v>
      </c>
      <c r="D6200" t="s">
        <v>27</v>
      </c>
      <c r="E6200" t="s">
        <v>17</v>
      </c>
      <c r="F6200" t="s">
        <v>21</v>
      </c>
      <c r="G6200" t="s">
        <v>43</v>
      </c>
      <c r="H6200" t="s">
        <v>25</v>
      </c>
      <c r="I6200" s="1">
        <v>3</v>
      </c>
      <c r="J6200" s="2">
        <v>45946</v>
      </c>
      <c r="L6200" s="1" t="str">
        <f t="shared" si="702"/>
        <v>qui</v>
      </c>
      <c r="M6200" s="1" t="str">
        <f t="shared" si="705"/>
        <v>out</v>
      </c>
      <c r="N6200">
        <f t="shared" si="703"/>
        <v>2025</v>
      </c>
      <c r="P6200" t="str">
        <f t="shared" si="704"/>
        <v>103645946</v>
      </c>
    </row>
    <row r="6201" spans="1:16" x14ac:dyDescent="0.3">
      <c r="A6201">
        <v>1036</v>
      </c>
      <c r="B6201">
        <v>22</v>
      </c>
      <c r="C6201" t="s">
        <v>26</v>
      </c>
      <c r="D6201" t="s">
        <v>27</v>
      </c>
      <c r="E6201" t="s">
        <v>17</v>
      </c>
      <c r="F6201" t="s">
        <v>21</v>
      </c>
      <c r="G6201" t="s">
        <v>43</v>
      </c>
      <c r="H6201" t="s">
        <v>25</v>
      </c>
      <c r="I6201" s="1">
        <v>3</v>
      </c>
      <c r="J6201" s="2">
        <v>45947</v>
      </c>
      <c r="L6201" s="1" t="str">
        <f t="shared" si="702"/>
        <v>sex</v>
      </c>
      <c r="M6201" s="1" t="str">
        <f t="shared" si="705"/>
        <v>out</v>
      </c>
      <c r="N6201">
        <f t="shared" si="703"/>
        <v>2025</v>
      </c>
      <c r="P6201" t="str">
        <f t="shared" si="704"/>
        <v>103645947</v>
      </c>
    </row>
    <row r="6202" spans="1:16" x14ac:dyDescent="0.3">
      <c r="A6202">
        <v>1036</v>
      </c>
      <c r="B6202">
        <v>22</v>
      </c>
      <c r="C6202" t="s">
        <v>26</v>
      </c>
      <c r="D6202" t="s">
        <v>27</v>
      </c>
      <c r="E6202" t="s">
        <v>17</v>
      </c>
      <c r="F6202" t="s">
        <v>21</v>
      </c>
      <c r="G6202" t="s">
        <v>43</v>
      </c>
      <c r="H6202" t="s">
        <v>25</v>
      </c>
      <c r="I6202" s="1">
        <v>3</v>
      </c>
      <c r="J6202" s="2">
        <v>45948</v>
      </c>
      <c r="L6202" s="1" t="str">
        <f t="shared" si="702"/>
        <v>sáb</v>
      </c>
      <c r="M6202" s="1" t="str">
        <f t="shared" si="705"/>
        <v>out</v>
      </c>
      <c r="N6202">
        <f t="shared" si="703"/>
        <v>2025</v>
      </c>
      <c r="P6202" t="str">
        <f t="shared" si="704"/>
        <v>103645948</v>
      </c>
    </row>
    <row r="6203" spans="1:16" x14ac:dyDescent="0.3">
      <c r="A6203">
        <v>1036</v>
      </c>
      <c r="B6203">
        <v>22</v>
      </c>
      <c r="C6203" t="s">
        <v>26</v>
      </c>
      <c r="D6203" t="s">
        <v>27</v>
      </c>
      <c r="E6203" t="s">
        <v>17</v>
      </c>
      <c r="F6203" t="s">
        <v>21</v>
      </c>
      <c r="G6203" t="s">
        <v>43</v>
      </c>
      <c r="H6203" t="s">
        <v>25</v>
      </c>
      <c r="I6203" s="1">
        <v>3</v>
      </c>
      <c r="J6203" s="2">
        <v>45949</v>
      </c>
      <c r="L6203" s="1" t="str">
        <f t="shared" si="702"/>
        <v>dom</v>
      </c>
      <c r="M6203" s="1" t="str">
        <f t="shared" si="705"/>
        <v>out</v>
      </c>
      <c r="N6203">
        <f t="shared" si="703"/>
        <v>2025</v>
      </c>
      <c r="P6203" t="str">
        <f t="shared" si="704"/>
        <v>103645949</v>
      </c>
    </row>
    <row r="6204" spans="1:16" x14ac:dyDescent="0.3">
      <c r="A6204">
        <v>1036</v>
      </c>
      <c r="B6204">
        <v>22</v>
      </c>
      <c r="C6204" t="s">
        <v>26</v>
      </c>
      <c r="D6204" t="s">
        <v>27</v>
      </c>
      <c r="E6204" t="s">
        <v>17</v>
      </c>
      <c r="F6204" t="s">
        <v>21</v>
      </c>
      <c r="G6204" t="s">
        <v>43</v>
      </c>
      <c r="H6204" t="s">
        <v>25</v>
      </c>
      <c r="I6204" s="1">
        <v>3</v>
      </c>
      <c r="J6204" s="2">
        <v>45950</v>
      </c>
      <c r="L6204" s="1" t="str">
        <f t="shared" si="702"/>
        <v>seg</v>
      </c>
      <c r="M6204" s="1" t="str">
        <f t="shared" si="705"/>
        <v>out</v>
      </c>
      <c r="N6204">
        <f t="shared" si="703"/>
        <v>2025</v>
      </c>
      <c r="P6204" t="str">
        <f t="shared" si="704"/>
        <v>103645950</v>
      </c>
    </row>
    <row r="6205" spans="1:16" x14ac:dyDescent="0.3">
      <c r="A6205">
        <v>1036</v>
      </c>
      <c r="B6205">
        <v>22</v>
      </c>
      <c r="C6205" t="s">
        <v>26</v>
      </c>
      <c r="D6205" t="s">
        <v>27</v>
      </c>
      <c r="E6205" t="s">
        <v>17</v>
      </c>
      <c r="F6205" t="s">
        <v>21</v>
      </c>
      <c r="G6205" t="s">
        <v>43</v>
      </c>
      <c r="H6205" t="s">
        <v>25</v>
      </c>
      <c r="I6205" s="1">
        <v>3</v>
      </c>
      <c r="J6205" s="2">
        <v>45951</v>
      </c>
      <c r="L6205" s="1" t="str">
        <f t="shared" si="702"/>
        <v>ter</v>
      </c>
      <c r="M6205" s="1" t="str">
        <f t="shared" si="705"/>
        <v>out</v>
      </c>
      <c r="N6205">
        <f t="shared" si="703"/>
        <v>2025</v>
      </c>
      <c r="P6205" t="str">
        <f t="shared" si="704"/>
        <v>103645951</v>
      </c>
    </row>
    <row r="6206" spans="1:16" x14ac:dyDescent="0.3">
      <c r="A6206">
        <v>1036</v>
      </c>
      <c r="B6206">
        <v>22</v>
      </c>
      <c r="C6206" t="s">
        <v>26</v>
      </c>
      <c r="D6206" t="s">
        <v>27</v>
      </c>
      <c r="E6206" t="s">
        <v>17</v>
      </c>
      <c r="F6206" t="s">
        <v>21</v>
      </c>
      <c r="G6206" t="s">
        <v>43</v>
      </c>
      <c r="H6206" t="s">
        <v>25</v>
      </c>
      <c r="I6206" s="1">
        <v>3</v>
      </c>
      <c r="J6206" s="2">
        <v>45952</v>
      </c>
      <c r="L6206" s="1" t="str">
        <f t="shared" si="702"/>
        <v>qua</v>
      </c>
      <c r="M6206" s="1" t="str">
        <f t="shared" si="705"/>
        <v>out</v>
      </c>
      <c r="N6206">
        <f t="shared" si="703"/>
        <v>2025</v>
      </c>
      <c r="P6206" t="str">
        <f t="shared" si="704"/>
        <v>103645952</v>
      </c>
    </row>
    <row r="6207" spans="1:16" x14ac:dyDescent="0.3">
      <c r="A6207">
        <v>1036</v>
      </c>
      <c r="B6207">
        <v>22</v>
      </c>
      <c r="C6207" t="s">
        <v>26</v>
      </c>
      <c r="D6207" t="s">
        <v>27</v>
      </c>
      <c r="E6207" t="s">
        <v>17</v>
      </c>
      <c r="F6207" t="s">
        <v>21</v>
      </c>
      <c r="G6207" t="s">
        <v>43</v>
      </c>
      <c r="H6207" t="s">
        <v>25</v>
      </c>
      <c r="I6207" s="1">
        <v>3</v>
      </c>
      <c r="J6207" s="2">
        <v>45953</v>
      </c>
      <c r="L6207" s="1" t="str">
        <f t="shared" si="702"/>
        <v>qui</v>
      </c>
      <c r="M6207" s="1" t="str">
        <f t="shared" si="705"/>
        <v>out</v>
      </c>
      <c r="N6207">
        <f t="shared" si="703"/>
        <v>2025</v>
      </c>
      <c r="P6207" t="str">
        <f t="shared" si="704"/>
        <v>103645953</v>
      </c>
    </row>
    <row r="6208" spans="1:16" x14ac:dyDescent="0.3">
      <c r="A6208">
        <v>1036</v>
      </c>
      <c r="B6208">
        <v>22</v>
      </c>
      <c r="C6208" t="s">
        <v>26</v>
      </c>
      <c r="D6208" t="s">
        <v>27</v>
      </c>
      <c r="E6208" t="s">
        <v>17</v>
      </c>
      <c r="F6208" t="s">
        <v>21</v>
      </c>
      <c r="G6208" t="s">
        <v>43</v>
      </c>
      <c r="H6208" t="s">
        <v>25</v>
      </c>
      <c r="I6208" s="1">
        <v>3</v>
      </c>
      <c r="J6208" s="2">
        <v>45954</v>
      </c>
      <c r="L6208" s="1" t="str">
        <f t="shared" si="702"/>
        <v>sex</v>
      </c>
      <c r="M6208" s="1" t="str">
        <f t="shared" si="705"/>
        <v>out</v>
      </c>
      <c r="N6208">
        <f t="shared" si="703"/>
        <v>2025</v>
      </c>
      <c r="P6208" t="str">
        <f t="shared" si="704"/>
        <v>103645954</v>
      </c>
    </row>
    <row r="6209" spans="1:16" x14ac:dyDescent="0.3">
      <c r="A6209">
        <v>1036</v>
      </c>
      <c r="B6209">
        <v>22</v>
      </c>
      <c r="C6209" t="s">
        <v>26</v>
      </c>
      <c r="D6209" t="s">
        <v>27</v>
      </c>
      <c r="E6209" t="s">
        <v>17</v>
      </c>
      <c r="F6209" t="s">
        <v>21</v>
      </c>
      <c r="G6209" t="s">
        <v>43</v>
      </c>
      <c r="H6209" t="s">
        <v>25</v>
      </c>
      <c r="I6209" s="1">
        <v>3</v>
      </c>
      <c r="J6209" s="2">
        <v>45955</v>
      </c>
      <c r="L6209" s="1" t="str">
        <f t="shared" si="702"/>
        <v>sáb</v>
      </c>
      <c r="M6209" s="1" t="str">
        <f t="shared" si="705"/>
        <v>out</v>
      </c>
      <c r="N6209">
        <f t="shared" si="703"/>
        <v>2025</v>
      </c>
      <c r="P6209" t="str">
        <f t="shared" si="704"/>
        <v>103645955</v>
      </c>
    </row>
    <row r="6210" spans="1:16" x14ac:dyDescent="0.3">
      <c r="A6210">
        <v>1036</v>
      </c>
      <c r="B6210">
        <v>22</v>
      </c>
      <c r="C6210" t="s">
        <v>26</v>
      </c>
      <c r="D6210" t="s">
        <v>27</v>
      </c>
      <c r="E6210" t="s">
        <v>17</v>
      </c>
      <c r="F6210" t="s">
        <v>21</v>
      </c>
      <c r="G6210" t="s">
        <v>43</v>
      </c>
      <c r="H6210" t="s">
        <v>25</v>
      </c>
      <c r="I6210" s="1">
        <v>3</v>
      </c>
      <c r="J6210" s="2">
        <v>45956</v>
      </c>
      <c r="L6210" s="1" t="str">
        <f t="shared" si="702"/>
        <v>dom</v>
      </c>
      <c r="M6210" s="1" t="str">
        <f t="shared" si="705"/>
        <v>out</v>
      </c>
      <c r="N6210">
        <f t="shared" si="703"/>
        <v>2025</v>
      </c>
      <c r="P6210" t="str">
        <f t="shared" si="704"/>
        <v>103645956</v>
      </c>
    </row>
    <row r="6211" spans="1:16" x14ac:dyDescent="0.3">
      <c r="A6211">
        <v>1036</v>
      </c>
      <c r="B6211">
        <v>22</v>
      </c>
      <c r="C6211" t="s">
        <v>26</v>
      </c>
      <c r="D6211" t="s">
        <v>27</v>
      </c>
      <c r="E6211" t="s">
        <v>17</v>
      </c>
      <c r="F6211" t="s">
        <v>21</v>
      </c>
      <c r="G6211" t="s">
        <v>43</v>
      </c>
      <c r="H6211" t="s">
        <v>25</v>
      </c>
      <c r="I6211" s="1">
        <v>3</v>
      </c>
      <c r="J6211" s="2">
        <v>45957</v>
      </c>
      <c r="L6211" s="1" t="str">
        <f t="shared" si="702"/>
        <v>seg</v>
      </c>
      <c r="M6211" s="1" t="str">
        <f t="shared" si="705"/>
        <v>out</v>
      </c>
      <c r="N6211">
        <f t="shared" si="703"/>
        <v>2025</v>
      </c>
      <c r="P6211" t="str">
        <f t="shared" si="704"/>
        <v>103645957</v>
      </c>
    </row>
    <row r="6212" spans="1:16" x14ac:dyDescent="0.3">
      <c r="A6212">
        <v>1036</v>
      </c>
      <c r="B6212">
        <v>22</v>
      </c>
      <c r="C6212" t="s">
        <v>26</v>
      </c>
      <c r="D6212" t="s">
        <v>27</v>
      </c>
      <c r="E6212" t="s">
        <v>17</v>
      </c>
      <c r="F6212" t="s">
        <v>21</v>
      </c>
      <c r="G6212" t="s">
        <v>43</v>
      </c>
      <c r="H6212" t="s">
        <v>25</v>
      </c>
      <c r="I6212" s="1">
        <v>3</v>
      </c>
      <c r="J6212" s="2">
        <v>45958</v>
      </c>
      <c r="L6212" s="1" t="str">
        <f t="shared" si="702"/>
        <v>ter</v>
      </c>
      <c r="M6212" s="1" t="str">
        <f t="shared" si="705"/>
        <v>out</v>
      </c>
      <c r="N6212">
        <f t="shared" si="703"/>
        <v>2025</v>
      </c>
      <c r="P6212" t="str">
        <f t="shared" si="704"/>
        <v>103645958</v>
      </c>
    </row>
    <row r="6213" spans="1:16" x14ac:dyDescent="0.3">
      <c r="A6213">
        <v>1036</v>
      </c>
      <c r="B6213">
        <v>22</v>
      </c>
      <c r="C6213" t="s">
        <v>26</v>
      </c>
      <c r="D6213" t="s">
        <v>27</v>
      </c>
      <c r="E6213" t="s">
        <v>17</v>
      </c>
      <c r="F6213" t="s">
        <v>21</v>
      </c>
      <c r="G6213" t="s">
        <v>43</v>
      </c>
      <c r="H6213" t="s">
        <v>25</v>
      </c>
      <c r="I6213" s="1">
        <v>3</v>
      </c>
      <c r="J6213" s="2">
        <v>45959</v>
      </c>
      <c r="L6213" s="1" t="str">
        <f t="shared" si="702"/>
        <v>qua</v>
      </c>
      <c r="M6213" s="1" t="str">
        <f t="shared" si="705"/>
        <v>out</v>
      </c>
      <c r="N6213">
        <f t="shared" si="703"/>
        <v>2025</v>
      </c>
      <c r="P6213" t="str">
        <f t="shared" si="704"/>
        <v>103645959</v>
      </c>
    </row>
    <row r="6214" spans="1:16" x14ac:dyDescent="0.3">
      <c r="A6214">
        <v>1036</v>
      </c>
      <c r="B6214">
        <v>22</v>
      </c>
      <c r="C6214" t="s">
        <v>26</v>
      </c>
      <c r="D6214" t="s">
        <v>27</v>
      </c>
      <c r="E6214" t="s">
        <v>17</v>
      </c>
      <c r="F6214" t="s">
        <v>21</v>
      </c>
      <c r="G6214" t="s">
        <v>43</v>
      </c>
      <c r="H6214" t="s">
        <v>25</v>
      </c>
      <c r="I6214" s="1">
        <v>3</v>
      </c>
      <c r="J6214" s="2">
        <v>45960</v>
      </c>
      <c r="L6214" s="1" t="str">
        <f t="shared" si="702"/>
        <v>qui</v>
      </c>
      <c r="M6214" s="1" t="str">
        <f t="shared" si="705"/>
        <v>out</v>
      </c>
      <c r="N6214">
        <f t="shared" si="703"/>
        <v>2025</v>
      </c>
      <c r="P6214" t="str">
        <f t="shared" si="704"/>
        <v>103645960</v>
      </c>
    </row>
    <row r="6215" spans="1:16" x14ac:dyDescent="0.3">
      <c r="A6215">
        <v>1036</v>
      </c>
      <c r="B6215">
        <v>22</v>
      </c>
      <c r="C6215" t="s">
        <v>26</v>
      </c>
      <c r="D6215" t="s">
        <v>27</v>
      </c>
      <c r="E6215" t="s">
        <v>17</v>
      </c>
      <c r="F6215" t="s">
        <v>21</v>
      </c>
      <c r="G6215" t="s">
        <v>43</v>
      </c>
      <c r="H6215" t="s">
        <v>25</v>
      </c>
      <c r="I6215" s="1">
        <v>3</v>
      </c>
      <c r="J6215" s="2">
        <v>45961</v>
      </c>
      <c r="L6215" s="1" t="str">
        <f t="shared" si="702"/>
        <v>sex</v>
      </c>
      <c r="M6215" s="1" t="str">
        <f t="shared" si="705"/>
        <v>out</v>
      </c>
      <c r="N6215">
        <f t="shared" si="703"/>
        <v>2025</v>
      </c>
      <c r="P6215" t="str">
        <f t="shared" si="704"/>
        <v>103645961</v>
      </c>
    </row>
    <row r="6216" spans="1:16" x14ac:dyDescent="0.3">
      <c r="A6216">
        <v>1036</v>
      </c>
      <c r="B6216">
        <v>22</v>
      </c>
      <c r="C6216" t="s">
        <v>26</v>
      </c>
      <c r="D6216" t="s">
        <v>27</v>
      </c>
      <c r="E6216" t="s">
        <v>17</v>
      </c>
      <c r="F6216" t="s">
        <v>21</v>
      </c>
      <c r="G6216" t="s">
        <v>43</v>
      </c>
      <c r="H6216" t="s">
        <v>25</v>
      </c>
      <c r="I6216" s="1">
        <v>3</v>
      </c>
      <c r="J6216" s="2">
        <v>45962</v>
      </c>
      <c r="L6216" s="1" t="str">
        <f t="shared" si="702"/>
        <v>sáb</v>
      </c>
      <c r="M6216" s="1" t="str">
        <f t="shared" si="705"/>
        <v>nov</v>
      </c>
      <c r="N6216">
        <f t="shared" si="703"/>
        <v>2025</v>
      </c>
      <c r="P6216" t="str">
        <f t="shared" si="704"/>
        <v>103645962</v>
      </c>
    </row>
    <row r="6217" spans="1:16" x14ac:dyDescent="0.3">
      <c r="A6217">
        <v>1036</v>
      </c>
      <c r="B6217">
        <v>22</v>
      </c>
      <c r="C6217" t="s">
        <v>26</v>
      </c>
      <c r="D6217" t="s">
        <v>27</v>
      </c>
      <c r="E6217" t="s">
        <v>17</v>
      </c>
      <c r="F6217" t="s">
        <v>21</v>
      </c>
      <c r="G6217" t="s">
        <v>43</v>
      </c>
      <c r="H6217" t="s">
        <v>25</v>
      </c>
      <c r="I6217" s="1">
        <v>3</v>
      </c>
      <c r="J6217" s="2">
        <v>45963</v>
      </c>
      <c r="L6217" s="1" t="str">
        <f t="shared" si="702"/>
        <v>dom</v>
      </c>
      <c r="M6217" s="1" t="str">
        <f t="shared" si="705"/>
        <v>nov</v>
      </c>
      <c r="N6217">
        <f t="shared" si="703"/>
        <v>2025</v>
      </c>
      <c r="P6217" t="str">
        <f t="shared" si="704"/>
        <v>103645963</v>
      </c>
    </row>
    <row r="6218" spans="1:16" x14ac:dyDescent="0.3">
      <c r="A6218">
        <v>1036</v>
      </c>
      <c r="B6218">
        <v>22</v>
      </c>
      <c r="C6218" t="s">
        <v>26</v>
      </c>
      <c r="D6218" t="s">
        <v>27</v>
      </c>
      <c r="E6218" t="s">
        <v>17</v>
      </c>
      <c r="F6218" t="s">
        <v>21</v>
      </c>
      <c r="G6218" t="s">
        <v>43</v>
      </c>
      <c r="H6218" t="s">
        <v>25</v>
      </c>
      <c r="I6218" s="1">
        <v>3</v>
      </c>
      <c r="J6218" s="2">
        <v>45964</v>
      </c>
      <c r="L6218" s="1" t="str">
        <f t="shared" si="702"/>
        <v>seg</v>
      </c>
      <c r="M6218" s="1" t="str">
        <f t="shared" si="705"/>
        <v>nov</v>
      </c>
      <c r="N6218">
        <f t="shared" si="703"/>
        <v>2025</v>
      </c>
      <c r="P6218" t="str">
        <f t="shared" si="704"/>
        <v>103645964</v>
      </c>
    </row>
    <row r="6219" spans="1:16" x14ac:dyDescent="0.3">
      <c r="A6219">
        <v>1036</v>
      </c>
      <c r="B6219">
        <v>22</v>
      </c>
      <c r="C6219" t="s">
        <v>26</v>
      </c>
      <c r="D6219" t="s">
        <v>27</v>
      </c>
      <c r="E6219" t="s">
        <v>17</v>
      </c>
      <c r="F6219" t="s">
        <v>21</v>
      </c>
      <c r="G6219" t="s">
        <v>43</v>
      </c>
      <c r="H6219" t="s">
        <v>25</v>
      </c>
      <c r="I6219" s="1">
        <v>3</v>
      </c>
      <c r="J6219" s="2">
        <v>45965</v>
      </c>
      <c r="L6219" s="1" t="str">
        <f t="shared" si="702"/>
        <v>ter</v>
      </c>
      <c r="M6219" s="1" t="str">
        <f t="shared" si="705"/>
        <v>nov</v>
      </c>
      <c r="N6219">
        <f t="shared" si="703"/>
        <v>2025</v>
      </c>
      <c r="P6219" t="str">
        <f t="shared" si="704"/>
        <v>103645965</v>
      </c>
    </row>
    <row r="6220" spans="1:16" x14ac:dyDescent="0.3">
      <c r="A6220">
        <v>1036</v>
      </c>
      <c r="B6220">
        <v>22</v>
      </c>
      <c r="C6220" t="s">
        <v>26</v>
      </c>
      <c r="D6220" t="s">
        <v>27</v>
      </c>
      <c r="E6220" t="s">
        <v>17</v>
      </c>
      <c r="F6220" t="s">
        <v>21</v>
      </c>
      <c r="G6220" t="s">
        <v>43</v>
      </c>
      <c r="H6220" t="s">
        <v>25</v>
      </c>
      <c r="I6220" s="1">
        <v>3</v>
      </c>
      <c r="J6220" s="2">
        <v>45966</v>
      </c>
      <c r="L6220" s="1" t="str">
        <f t="shared" si="702"/>
        <v>qua</v>
      </c>
      <c r="M6220" s="1" t="str">
        <f t="shared" si="705"/>
        <v>nov</v>
      </c>
      <c r="N6220">
        <f t="shared" si="703"/>
        <v>2025</v>
      </c>
      <c r="P6220" t="str">
        <f t="shared" si="704"/>
        <v>103645966</v>
      </c>
    </row>
    <row r="6221" spans="1:16" x14ac:dyDescent="0.3">
      <c r="A6221">
        <v>1036</v>
      </c>
      <c r="B6221">
        <v>22</v>
      </c>
      <c r="C6221" t="s">
        <v>26</v>
      </c>
      <c r="D6221" t="s">
        <v>27</v>
      </c>
      <c r="E6221" t="s">
        <v>17</v>
      </c>
      <c r="F6221" t="s">
        <v>21</v>
      </c>
      <c r="G6221" t="s">
        <v>43</v>
      </c>
      <c r="H6221" t="s">
        <v>25</v>
      </c>
      <c r="I6221" s="1">
        <v>3</v>
      </c>
      <c r="J6221" s="2">
        <v>45967</v>
      </c>
      <c r="L6221" s="1" t="str">
        <f t="shared" si="702"/>
        <v>qui</v>
      </c>
      <c r="M6221" s="1" t="str">
        <f t="shared" si="705"/>
        <v>nov</v>
      </c>
      <c r="N6221">
        <f t="shared" si="703"/>
        <v>2025</v>
      </c>
      <c r="P6221" t="str">
        <f t="shared" si="704"/>
        <v>103645967</v>
      </c>
    </row>
    <row r="6222" spans="1:16" x14ac:dyDescent="0.3">
      <c r="A6222">
        <v>1036</v>
      </c>
      <c r="B6222">
        <v>22</v>
      </c>
      <c r="C6222" t="s">
        <v>26</v>
      </c>
      <c r="D6222" t="s">
        <v>27</v>
      </c>
      <c r="E6222" t="s">
        <v>17</v>
      </c>
      <c r="F6222" t="s">
        <v>21</v>
      </c>
      <c r="G6222" t="s">
        <v>43</v>
      </c>
      <c r="H6222" t="s">
        <v>25</v>
      </c>
      <c r="I6222" s="1">
        <v>3</v>
      </c>
      <c r="J6222" s="2">
        <v>45968</v>
      </c>
      <c r="L6222" s="1" t="str">
        <f t="shared" si="702"/>
        <v>sex</v>
      </c>
      <c r="M6222" s="1" t="str">
        <f t="shared" si="705"/>
        <v>nov</v>
      </c>
      <c r="N6222">
        <f t="shared" si="703"/>
        <v>2025</v>
      </c>
      <c r="P6222" t="str">
        <f t="shared" si="704"/>
        <v>103645968</v>
      </c>
    </row>
    <row r="6223" spans="1:16" x14ac:dyDescent="0.3">
      <c r="A6223">
        <v>1036</v>
      </c>
      <c r="B6223">
        <v>22</v>
      </c>
      <c r="C6223" t="s">
        <v>26</v>
      </c>
      <c r="D6223" t="s">
        <v>27</v>
      </c>
      <c r="E6223" t="s">
        <v>17</v>
      </c>
      <c r="F6223" t="s">
        <v>21</v>
      </c>
      <c r="G6223" t="s">
        <v>43</v>
      </c>
      <c r="H6223" t="s">
        <v>25</v>
      </c>
      <c r="I6223" s="1">
        <v>3</v>
      </c>
      <c r="J6223" s="2">
        <v>45969</v>
      </c>
      <c r="L6223" s="1" t="str">
        <f t="shared" si="702"/>
        <v>sáb</v>
      </c>
      <c r="M6223" s="1" t="str">
        <f t="shared" si="705"/>
        <v>nov</v>
      </c>
      <c r="N6223">
        <f t="shared" si="703"/>
        <v>2025</v>
      </c>
      <c r="P6223" t="str">
        <f t="shared" si="704"/>
        <v>103645969</v>
      </c>
    </row>
    <row r="6224" spans="1:16" x14ac:dyDescent="0.3">
      <c r="A6224">
        <v>1036</v>
      </c>
      <c r="B6224">
        <v>22</v>
      </c>
      <c r="C6224" t="s">
        <v>26</v>
      </c>
      <c r="D6224" t="s">
        <v>27</v>
      </c>
      <c r="E6224" t="s">
        <v>17</v>
      </c>
      <c r="F6224" t="s">
        <v>21</v>
      </c>
      <c r="G6224" t="s">
        <v>43</v>
      </c>
      <c r="H6224" t="s">
        <v>25</v>
      </c>
      <c r="I6224" s="1">
        <v>3</v>
      </c>
      <c r="J6224" s="2">
        <v>45970</v>
      </c>
      <c r="L6224" s="1" t="str">
        <f t="shared" si="702"/>
        <v>dom</v>
      </c>
      <c r="M6224" s="1" t="str">
        <f t="shared" si="705"/>
        <v>nov</v>
      </c>
      <c r="N6224">
        <f t="shared" si="703"/>
        <v>2025</v>
      </c>
      <c r="P6224" t="str">
        <f t="shared" si="704"/>
        <v>103645970</v>
      </c>
    </row>
    <row r="6225" spans="1:16" x14ac:dyDescent="0.3">
      <c r="A6225">
        <v>1036</v>
      </c>
      <c r="B6225">
        <v>22</v>
      </c>
      <c r="C6225" t="s">
        <v>26</v>
      </c>
      <c r="D6225" t="s">
        <v>27</v>
      </c>
      <c r="E6225" t="s">
        <v>17</v>
      </c>
      <c r="F6225" t="s">
        <v>21</v>
      </c>
      <c r="G6225" t="s">
        <v>43</v>
      </c>
      <c r="H6225" t="s">
        <v>25</v>
      </c>
      <c r="I6225" s="1">
        <v>3</v>
      </c>
      <c r="J6225" s="2">
        <v>45971</v>
      </c>
      <c r="L6225" s="1" t="str">
        <f t="shared" si="702"/>
        <v>seg</v>
      </c>
      <c r="M6225" s="1" t="str">
        <f t="shared" si="705"/>
        <v>nov</v>
      </c>
      <c r="N6225">
        <f t="shared" si="703"/>
        <v>2025</v>
      </c>
      <c r="P6225" t="str">
        <f t="shared" si="704"/>
        <v>103645971</v>
      </c>
    </row>
    <row r="6226" spans="1:16" x14ac:dyDescent="0.3">
      <c r="A6226">
        <v>1036</v>
      </c>
      <c r="B6226">
        <v>22</v>
      </c>
      <c r="C6226" t="s">
        <v>26</v>
      </c>
      <c r="D6226" t="s">
        <v>27</v>
      </c>
      <c r="E6226" t="s">
        <v>17</v>
      </c>
      <c r="F6226" t="s">
        <v>21</v>
      </c>
      <c r="G6226" t="s">
        <v>43</v>
      </c>
      <c r="H6226" t="s">
        <v>25</v>
      </c>
      <c r="I6226" s="1">
        <v>3</v>
      </c>
      <c r="J6226" s="2">
        <v>45972</v>
      </c>
      <c r="L6226" s="1" t="str">
        <f t="shared" si="702"/>
        <v>ter</v>
      </c>
      <c r="M6226" s="1" t="str">
        <f t="shared" si="705"/>
        <v>nov</v>
      </c>
      <c r="N6226">
        <f t="shared" si="703"/>
        <v>2025</v>
      </c>
      <c r="P6226" t="str">
        <f t="shared" si="704"/>
        <v>103645972</v>
      </c>
    </row>
    <row r="6227" spans="1:16" x14ac:dyDescent="0.3">
      <c r="A6227">
        <v>1036</v>
      </c>
      <c r="B6227">
        <v>22</v>
      </c>
      <c r="C6227" t="s">
        <v>26</v>
      </c>
      <c r="D6227" t="s">
        <v>27</v>
      </c>
      <c r="E6227" t="s">
        <v>17</v>
      </c>
      <c r="F6227" t="s">
        <v>21</v>
      </c>
      <c r="G6227" t="s">
        <v>43</v>
      </c>
      <c r="H6227" t="s">
        <v>25</v>
      </c>
      <c r="I6227" s="1">
        <v>3</v>
      </c>
      <c r="J6227" s="2">
        <v>45973</v>
      </c>
      <c r="L6227" s="1" t="str">
        <f t="shared" si="702"/>
        <v>qua</v>
      </c>
      <c r="M6227" s="1" t="str">
        <f t="shared" si="705"/>
        <v>nov</v>
      </c>
      <c r="N6227">
        <f t="shared" si="703"/>
        <v>2025</v>
      </c>
      <c r="P6227" t="str">
        <f t="shared" si="704"/>
        <v>103645973</v>
      </c>
    </row>
    <row r="6228" spans="1:16" x14ac:dyDescent="0.3">
      <c r="A6228">
        <v>1036</v>
      </c>
      <c r="B6228">
        <v>22</v>
      </c>
      <c r="C6228" t="s">
        <v>26</v>
      </c>
      <c r="D6228" t="s">
        <v>27</v>
      </c>
      <c r="E6228" t="s">
        <v>17</v>
      </c>
      <c r="F6228" t="s">
        <v>21</v>
      </c>
      <c r="G6228" t="s">
        <v>43</v>
      </c>
      <c r="H6228" t="s">
        <v>25</v>
      </c>
      <c r="I6228" s="1">
        <v>3</v>
      </c>
      <c r="J6228" s="2">
        <v>45974</v>
      </c>
      <c r="L6228" s="1" t="str">
        <f t="shared" si="702"/>
        <v>qui</v>
      </c>
      <c r="M6228" s="1" t="str">
        <f t="shared" si="705"/>
        <v>nov</v>
      </c>
      <c r="N6228">
        <f t="shared" si="703"/>
        <v>2025</v>
      </c>
      <c r="P6228" t="str">
        <f t="shared" si="704"/>
        <v>103645974</v>
      </c>
    </row>
    <row r="6229" spans="1:16" x14ac:dyDescent="0.3">
      <c r="A6229">
        <v>1036</v>
      </c>
      <c r="B6229">
        <v>22</v>
      </c>
      <c r="C6229" t="s">
        <v>26</v>
      </c>
      <c r="D6229" t="s">
        <v>27</v>
      </c>
      <c r="E6229" t="s">
        <v>17</v>
      </c>
      <c r="F6229" t="s">
        <v>21</v>
      </c>
      <c r="G6229" t="s">
        <v>43</v>
      </c>
      <c r="H6229" t="s">
        <v>25</v>
      </c>
      <c r="I6229" s="1">
        <v>3</v>
      </c>
      <c r="J6229" s="2">
        <v>45975</v>
      </c>
      <c r="L6229" s="1" t="str">
        <f t="shared" si="702"/>
        <v>sex</v>
      </c>
      <c r="M6229" s="1" t="str">
        <f t="shared" si="705"/>
        <v>nov</v>
      </c>
      <c r="N6229">
        <f t="shared" si="703"/>
        <v>2025</v>
      </c>
      <c r="P6229" t="str">
        <f t="shared" si="704"/>
        <v>103645975</v>
      </c>
    </row>
    <row r="6230" spans="1:16" x14ac:dyDescent="0.3">
      <c r="A6230">
        <v>1036</v>
      </c>
      <c r="B6230">
        <v>22</v>
      </c>
      <c r="C6230" t="s">
        <v>26</v>
      </c>
      <c r="D6230" t="s">
        <v>27</v>
      </c>
      <c r="E6230" t="s">
        <v>17</v>
      </c>
      <c r="F6230" t="s">
        <v>21</v>
      </c>
      <c r="G6230" t="s">
        <v>43</v>
      </c>
      <c r="H6230" t="s">
        <v>25</v>
      </c>
      <c r="I6230" s="1">
        <v>3</v>
      </c>
      <c r="J6230" s="2">
        <v>45976</v>
      </c>
      <c r="L6230" s="1" t="str">
        <f t="shared" si="702"/>
        <v>sáb</v>
      </c>
      <c r="M6230" s="1" t="str">
        <f t="shared" si="705"/>
        <v>nov</v>
      </c>
      <c r="N6230">
        <f t="shared" si="703"/>
        <v>2025</v>
      </c>
      <c r="P6230" t="str">
        <f t="shared" si="704"/>
        <v>103645976</v>
      </c>
    </row>
    <row r="6231" spans="1:16" x14ac:dyDescent="0.3">
      <c r="A6231">
        <v>1036</v>
      </c>
      <c r="B6231">
        <v>22</v>
      </c>
      <c r="C6231" t="s">
        <v>26</v>
      </c>
      <c r="D6231" t="s">
        <v>27</v>
      </c>
      <c r="E6231" t="s">
        <v>17</v>
      </c>
      <c r="F6231" t="s">
        <v>21</v>
      </c>
      <c r="G6231" t="s">
        <v>43</v>
      </c>
      <c r="H6231" t="s">
        <v>25</v>
      </c>
      <c r="I6231" s="1">
        <v>3</v>
      </c>
      <c r="J6231" s="2">
        <v>45977</v>
      </c>
      <c r="L6231" s="1" t="str">
        <f t="shared" si="702"/>
        <v>dom</v>
      </c>
      <c r="M6231" s="1" t="str">
        <f t="shared" si="705"/>
        <v>nov</v>
      </c>
      <c r="N6231">
        <f t="shared" si="703"/>
        <v>2025</v>
      </c>
      <c r="P6231" t="str">
        <f t="shared" si="704"/>
        <v>103645977</v>
      </c>
    </row>
    <row r="6232" spans="1:16" x14ac:dyDescent="0.3">
      <c r="A6232">
        <v>1036</v>
      </c>
      <c r="B6232">
        <v>22</v>
      </c>
      <c r="C6232" t="s">
        <v>26</v>
      </c>
      <c r="D6232" t="s">
        <v>27</v>
      </c>
      <c r="E6232" t="s">
        <v>17</v>
      </c>
      <c r="F6232" t="s">
        <v>21</v>
      </c>
      <c r="G6232" t="s">
        <v>43</v>
      </c>
      <c r="H6232" t="s">
        <v>25</v>
      </c>
      <c r="I6232" s="1">
        <v>3</v>
      </c>
      <c r="J6232" s="2">
        <v>45978</v>
      </c>
      <c r="L6232" s="1" t="str">
        <f t="shared" si="702"/>
        <v>seg</v>
      </c>
      <c r="M6232" s="1" t="str">
        <f t="shared" si="705"/>
        <v>nov</v>
      </c>
      <c r="N6232">
        <f t="shared" si="703"/>
        <v>2025</v>
      </c>
      <c r="P6232" t="str">
        <f t="shared" si="704"/>
        <v>103645978</v>
      </c>
    </row>
    <row r="6233" spans="1:16" x14ac:dyDescent="0.3">
      <c r="A6233">
        <v>1036</v>
      </c>
      <c r="B6233">
        <v>22</v>
      </c>
      <c r="C6233" t="s">
        <v>26</v>
      </c>
      <c r="D6233" t="s">
        <v>27</v>
      </c>
      <c r="E6233" t="s">
        <v>17</v>
      </c>
      <c r="F6233" t="s">
        <v>21</v>
      </c>
      <c r="G6233" t="s">
        <v>43</v>
      </c>
      <c r="H6233" t="s">
        <v>25</v>
      </c>
      <c r="I6233" s="1">
        <v>3</v>
      </c>
      <c r="J6233" s="2">
        <v>45979</v>
      </c>
      <c r="L6233" s="1" t="str">
        <f t="shared" si="702"/>
        <v>ter</v>
      </c>
      <c r="M6233" s="1" t="str">
        <f t="shared" si="705"/>
        <v>nov</v>
      </c>
      <c r="N6233">
        <f t="shared" si="703"/>
        <v>2025</v>
      </c>
      <c r="P6233" t="str">
        <f t="shared" si="704"/>
        <v>103645979</v>
      </c>
    </row>
    <row r="6234" spans="1:16" x14ac:dyDescent="0.3">
      <c r="A6234">
        <v>1036</v>
      </c>
      <c r="B6234">
        <v>22</v>
      </c>
      <c r="C6234" t="s">
        <v>26</v>
      </c>
      <c r="D6234" t="s">
        <v>27</v>
      </c>
      <c r="E6234" t="s">
        <v>17</v>
      </c>
      <c r="F6234" t="s">
        <v>21</v>
      </c>
      <c r="G6234" t="s">
        <v>43</v>
      </c>
      <c r="H6234" t="s">
        <v>25</v>
      </c>
      <c r="I6234" s="1">
        <v>3</v>
      </c>
      <c r="J6234" s="2">
        <v>45980</v>
      </c>
      <c r="L6234" s="1" t="str">
        <f t="shared" si="702"/>
        <v>qua</v>
      </c>
      <c r="M6234" s="1" t="str">
        <f t="shared" si="705"/>
        <v>nov</v>
      </c>
      <c r="N6234">
        <f t="shared" si="703"/>
        <v>2025</v>
      </c>
      <c r="P6234" t="str">
        <f t="shared" si="704"/>
        <v>103645980</v>
      </c>
    </row>
    <row r="6235" spans="1:16" x14ac:dyDescent="0.3">
      <c r="A6235">
        <v>1036</v>
      </c>
      <c r="B6235">
        <v>22</v>
      </c>
      <c r="C6235" t="s">
        <v>26</v>
      </c>
      <c r="D6235" t="s">
        <v>27</v>
      </c>
      <c r="E6235" t="s">
        <v>17</v>
      </c>
      <c r="F6235" t="s">
        <v>21</v>
      </c>
      <c r="G6235" t="s">
        <v>43</v>
      </c>
      <c r="H6235" t="s">
        <v>25</v>
      </c>
      <c r="I6235" s="1">
        <v>3</v>
      </c>
      <c r="J6235" s="2">
        <v>45981</v>
      </c>
      <c r="L6235" s="1" t="str">
        <f t="shared" ref="L6235:L6298" si="706">TEXT(J6235,"ddd")</f>
        <v>qui</v>
      </c>
      <c r="M6235" s="1" t="str">
        <f t="shared" si="705"/>
        <v>nov</v>
      </c>
      <c r="N6235">
        <f t="shared" ref="N6235:N6298" si="707">YEAR(J6235)</f>
        <v>2025</v>
      </c>
      <c r="P6235" t="str">
        <f t="shared" ref="P6235:P6298" si="708">CONCATENATE(A6235,J6235)</f>
        <v>103645981</v>
      </c>
    </row>
    <row r="6236" spans="1:16" x14ac:dyDescent="0.3">
      <c r="A6236">
        <v>1036</v>
      </c>
      <c r="B6236">
        <v>22</v>
      </c>
      <c r="C6236" t="s">
        <v>26</v>
      </c>
      <c r="D6236" t="s">
        <v>27</v>
      </c>
      <c r="E6236" t="s">
        <v>17</v>
      </c>
      <c r="F6236" t="s">
        <v>21</v>
      </c>
      <c r="G6236" t="s">
        <v>43</v>
      </c>
      <c r="H6236" t="s">
        <v>25</v>
      </c>
      <c r="I6236" s="1">
        <v>3</v>
      </c>
      <c r="J6236" s="2">
        <v>45982</v>
      </c>
      <c r="L6236" s="1" t="str">
        <f t="shared" si="706"/>
        <v>sex</v>
      </c>
      <c r="M6236" s="1" t="str">
        <f t="shared" si="705"/>
        <v>nov</v>
      </c>
      <c r="N6236">
        <f t="shared" si="707"/>
        <v>2025</v>
      </c>
      <c r="P6236" t="str">
        <f t="shared" si="708"/>
        <v>103645982</v>
      </c>
    </row>
    <row r="6237" spans="1:16" x14ac:dyDescent="0.3">
      <c r="A6237">
        <v>1036</v>
      </c>
      <c r="B6237">
        <v>22</v>
      </c>
      <c r="C6237" t="s">
        <v>26</v>
      </c>
      <c r="D6237" t="s">
        <v>27</v>
      </c>
      <c r="E6237" t="s">
        <v>17</v>
      </c>
      <c r="F6237" t="s">
        <v>21</v>
      </c>
      <c r="G6237" t="s">
        <v>43</v>
      </c>
      <c r="H6237" t="s">
        <v>25</v>
      </c>
      <c r="I6237" s="1">
        <v>3</v>
      </c>
      <c r="J6237" s="2">
        <v>45983</v>
      </c>
      <c r="L6237" s="1" t="str">
        <f t="shared" si="706"/>
        <v>sáb</v>
      </c>
      <c r="M6237" s="1" t="str">
        <f t="shared" si="705"/>
        <v>nov</v>
      </c>
      <c r="N6237">
        <f t="shared" si="707"/>
        <v>2025</v>
      </c>
      <c r="P6237" t="str">
        <f t="shared" si="708"/>
        <v>103645983</v>
      </c>
    </row>
    <row r="6238" spans="1:16" x14ac:dyDescent="0.3">
      <c r="A6238">
        <v>1036</v>
      </c>
      <c r="B6238">
        <v>22</v>
      </c>
      <c r="C6238" t="s">
        <v>26</v>
      </c>
      <c r="D6238" t="s">
        <v>27</v>
      </c>
      <c r="E6238" t="s">
        <v>17</v>
      </c>
      <c r="F6238" t="s">
        <v>21</v>
      </c>
      <c r="G6238" t="s">
        <v>43</v>
      </c>
      <c r="H6238" t="s">
        <v>25</v>
      </c>
      <c r="I6238" s="1">
        <v>3</v>
      </c>
      <c r="J6238" s="2">
        <v>45984</v>
      </c>
      <c r="L6238" s="1" t="str">
        <f t="shared" si="706"/>
        <v>dom</v>
      </c>
      <c r="M6238" s="1" t="str">
        <f t="shared" si="705"/>
        <v>nov</v>
      </c>
      <c r="N6238">
        <f t="shared" si="707"/>
        <v>2025</v>
      </c>
      <c r="P6238" t="str">
        <f t="shared" si="708"/>
        <v>103645984</v>
      </c>
    </row>
    <row r="6239" spans="1:16" x14ac:dyDescent="0.3">
      <c r="A6239">
        <v>1036</v>
      </c>
      <c r="B6239">
        <v>22</v>
      </c>
      <c r="C6239" t="s">
        <v>26</v>
      </c>
      <c r="D6239" t="s">
        <v>27</v>
      </c>
      <c r="E6239" t="s">
        <v>17</v>
      </c>
      <c r="F6239" t="s">
        <v>21</v>
      </c>
      <c r="G6239" t="s">
        <v>43</v>
      </c>
      <c r="H6239" t="s">
        <v>25</v>
      </c>
      <c r="I6239" s="1">
        <v>3</v>
      </c>
      <c r="J6239" s="2">
        <v>45985</v>
      </c>
      <c r="L6239" s="1" t="str">
        <f t="shared" si="706"/>
        <v>seg</v>
      </c>
      <c r="M6239" s="1" t="str">
        <f t="shared" si="705"/>
        <v>nov</v>
      </c>
      <c r="N6239">
        <f t="shared" si="707"/>
        <v>2025</v>
      </c>
      <c r="P6239" t="str">
        <f t="shared" si="708"/>
        <v>103645985</v>
      </c>
    </row>
    <row r="6240" spans="1:16" x14ac:dyDescent="0.3">
      <c r="A6240">
        <v>1036</v>
      </c>
      <c r="B6240">
        <v>22</v>
      </c>
      <c r="C6240" t="s">
        <v>26</v>
      </c>
      <c r="D6240" t="s">
        <v>27</v>
      </c>
      <c r="E6240" t="s">
        <v>17</v>
      </c>
      <c r="F6240" t="s">
        <v>21</v>
      </c>
      <c r="G6240" t="s">
        <v>43</v>
      </c>
      <c r="H6240" t="s">
        <v>25</v>
      </c>
      <c r="I6240" s="1">
        <v>3</v>
      </c>
      <c r="J6240" s="2">
        <v>45986</v>
      </c>
      <c r="L6240" s="1" t="str">
        <f t="shared" si="706"/>
        <v>ter</v>
      </c>
      <c r="M6240" s="1" t="str">
        <f t="shared" si="705"/>
        <v>nov</v>
      </c>
      <c r="N6240">
        <f t="shared" si="707"/>
        <v>2025</v>
      </c>
      <c r="P6240" t="str">
        <f t="shared" si="708"/>
        <v>103645986</v>
      </c>
    </row>
    <row r="6241" spans="1:16" x14ac:dyDescent="0.3">
      <c r="A6241">
        <v>1036</v>
      </c>
      <c r="B6241">
        <v>22</v>
      </c>
      <c r="C6241" t="s">
        <v>26</v>
      </c>
      <c r="D6241" t="s">
        <v>27</v>
      </c>
      <c r="E6241" t="s">
        <v>17</v>
      </c>
      <c r="F6241" t="s">
        <v>21</v>
      </c>
      <c r="G6241" t="s">
        <v>43</v>
      </c>
      <c r="H6241" t="s">
        <v>25</v>
      </c>
      <c r="I6241" s="1">
        <v>3</v>
      </c>
      <c r="J6241" s="2">
        <v>45987</v>
      </c>
      <c r="L6241" s="1" t="str">
        <f t="shared" si="706"/>
        <v>qua</v>
      </c>
      <c r="M6241" s="1" t="str">
        <f t="shared" si="705"/>
        <v>nov</v>
      </c>
      <c r="N6241">
        <f t="shared" si="707"/>
        <v>2025</v>
      </c>
      <c r="P6241" t="str">
        <f t="shared" si="708"/>
        <v>103645987</v>
      </c>
    </row>
    <row r="6242" spans="1:16" x14ac:dyDescent="0.3">
      <c r="A6242">
        <v>1036</v>
      </c>
      <c r="B6242">
        <v>22</v>
      </c>
      <c r="C6242" t="s">
        <v>26</v>
      </c>
      <c r="D6242" t="s">
        <v>27</v>
      </c>
      <c r="E6242" t="s">
        <v>17</v>
      </c>
      <c r="F6242" t="s">
        <v>21</v>
      </c>
      <c r="G6242" t="s">
        <v>43</v>
      </c>
      <c r="H6242" t="s">
        <v>25</v>
      </c>
      <c r="I6242" s="1">
        <v>3</v>
      </c>
      <c r="J6242" s="2">
        <v>45988</v>
      </c>
      <c r="L6242" s="1" t="str">
        <f t="shared" si="706"/>
        <v>qui</v>
      </c>
      <c r="M6242" s="1" t="str">
        <f t="shared" si="705"/>
        <v>nov</v>
      </c>
      <c r="N6242">
        <f t="shared" si="707"/>
        <v>2025</v>
      </c>
      <c r="P6242" t="str">
        <f t="shared" si="708"/>
        <v>103645988</v>
      </c>
    </row>
    <row r="6243" spans="1:16" x14ac:dyDescent="0.3">
      <c r="A6243">
        <v>1036</v>
      </c>
      <c r="B6243">
        <v>22</v>
      </c>
      <c r="C6243" t="s">
        <v>26</v>
      </c>
      <c r="D6243" t="s">
        <v>27</v>
      </c>
      <c r="E6243" t="s">
        <v>17</v>
      </c>
      <c r="F6243" t="s">
        <v>21</v>
      </c>
      <c r="G6243" t="s">
        <v>43</v>
      </c>
      <c r="H6243" t="s">
        <v>25</v>
      </c>
      <c r="I6243" s="1">
        <v>3</v>
      </c>
      <c r="J6243" s="2">
        <v>45989</v>
      </c>
      <c r="L6243" s="1" t="str">
        <f t="shared" si="706"/>
        <v>sex</v>
      </c>
      <c r="M6243" s="1" t="str">
        <f t="shared" si="705"/>
        <v>nov</v>
      </c>
      <c r="N6243">
        <f t="shared" si="707"/>
        <v>2025</v>
      </c>
      <c r="P6243" t="str">
        <f t="shared" si="708"/>
        <v>103645989</v>
      </c>
    </row>
    <row r="6244" spans="1:16" x14ac:dyDescent="0.3">
      <c r="A6244">
        <v>1036</v>
      </c>
      <c r="B6244">
        <v>22</v>
      </c>
      <c r="C6244" t="s">
        <v>26</v>
      </c>
      <c r="D6244" t="s">
        <v>27</v>
      </c>
      <c r="E6244" t="s">
        <v>17</v>
      </c>
      <c r="F6244" t="s">
        <v>21</v>
      </c>
      <c r="G6244" t="s">
        <v>43</v>
      </c>
      <c r="H6244" t="s">
        <v>25</v>
      </c>
      <c r="I6244" s="1">
        <v>3</v>
      </c>
      <c r="J6244" s="2">
        <v>45990</v>
      </c>
      <c r="L6244" s="1" t="str">
        <f t="shared" si="706"/>
        <v>sáb</v>
      </c>
      <c r="M6244" s="1" t="str">
        <f t="shared" si="705"/>
        <v>nov</v>
      </c>
      <c r="N6244">
        <f t="shared" si="707"/>
        <v>2025</v>
      </c>
      <c r="P6244" t="str">
        <f t="shared" si="708"/>
        <v>103645990</v>
      </c>
    </row>
    <row r="6245" spans="1:16" x14ac:dyDescent="0.3">
      <c r="A6245">
        <v>1036</v>
      </c>
      <c r="B6245">
        <v>22</v>
      </c>
      <c r="C6245" t="s">
        <v>26</v>
      </c>
      <c r="D6245" t="s">
        <v>27</v>
      </c>
      <c r="E6245" t="s">
        <v>17</v>
      </c>
      <c r="F6245" t="s">
        <v>21</v>
      </c>
      <c r="G6245" t="s">
        <v>43</v>
      </c>
      <c r="H6245" t="s">
        <v>25</v>
      </c>
      <c r="I6245" s="1">
        <v>3</v>
      </c>
      <c r="J6245" s="2">
        <v>45991</v>
      </c>
      <c r="L6245" s="1" t="str">
        <f t="shared" si="706"/>
        <v>dom</v>
      </c>
      <c r="M6245" s="1" t="str">
        <f t="shared" si="705"/>
        <v>nov</v>
      </c>
      <c r="N6245">
        <f t="shared" si="707"/>
        <v>2025</v>
      </c>
      <c r="P6245" t="str">
        <f t="shared" si="708"/>
        <v>103645991</v>
      </c>
    </row>
    <row r="6246" spans="1:16" x14ac:dyDescent="0.3">
      <c r="A6246">
        <v>1036</v>
      </c>
      <c r="B6246">
        <v>22</v>
      </c>
      <c r="C6246" t="s">
        <v>26</v>
      </c>
      <c r="D6246" t="s">
        <v>27</v>
      </c>
      <c r="E6246" t="s">
        <v>17</v>
      </c>
      <c r="F6246" t="s">
        <v>21</v>
      </c>
      <c r="G6246" t="s">
        <v>43</v>
      </c>
      <c r="H6246" t="s">
        <v>25</v>
      </c>
      <c r="I6246" s="1">
        <v>3</v>
      </c>
      <c r="J6246" s="2">
        <v>45992</v>
      </c>
      <c r="L6246" s="1" t="str">
        <f t="shared" si="706"/>
        <v>seg</v>
      </c>
      <c r="M6246" s="1" t="str">
        <f t="shared" si="705"/>
        <v>dez</v>
      </c>
      <c r="N6246">
        <f t="shared" si="707"/>
        <v>2025</v>
      </c>
      <c r="P6246" t="str">
        <f t="shared" si="708"/>
        <v>103645992</v>
      </c>
    </row>
    <row r="6247" spans="1:16" x14ac:dyDescent="0.3">
      <c r="A6247">
        <v>1036</v>
      </c>
      <c r="B6247">
        <v>22</v>
      </c>
      <c r="C6247" t="s">
        <v>26</v>
      </c>
      <c r="D6247" t="s">
        <v>27</v>
      </c>
      <c r="E6247" t="s">
        <v>17</v>
      </c>
      <c r="F6247" t="s">
        <v>21</v>
      </c>
      <c r="G6247" t="s">
        <v>43</v>
      </c>
      <c r="H6247" t="s">
        <v>25</v>
      </c>
      <c r="I6247" s="1">
        <v>3</v>
      </c>
      <c r="J6247" s="2">
        <v>45993</v>
      </c>
      <c r="L6247" s="1" t="str">
        <f t="shared" si="706"/>
        <v>ter</v>
      </c>
      <c r="M6247" s="1" t="str">
        <f t="shared" si="705"/>
        <v>dez</v>
      </c>
      <c r="N6247">
        <f t="shared" si="707"/>
        <v>2025</v>
      </c>
      <c r="P6247" t="str">
        <f t="shared" si="708"/>
        <v>103645993</v>
      </c>
    </row>
    <row r="6248" spans="1:16" x14ac:dyDescent="0.3">
      <c r="A6248">
        <v>1036</v>
      </c>
      <c r="B6248">
        <v>22</v>
      </c>
      <c r="C6248" t="s">
        <v>26</v>
      </c>
      <c r="D6248" t="s">
        <v>27</v>
      </c>
      <c r="E6248" t="s">
        <v>17</v>
      </c>
      <c r="F6248" t="s">
        <v>21</v>
      </c>
      <c r="G6248" t="s">
        <v>43</v>
      </c>
      <c r="H6248" t="s">
        <v>25</v>
      </c>
      <c r="I6248" s="1">
        <v>3</v>
      </c>
      <c r="J6248" s="2">
        <v>45994</v>
      </c>
      <c r="L6248" s="1" t="str">
        <f t="shared" si="706"/>
        <v>qua</v>
      </c>
      <c r="M6248" s="1" t="str">
        <f t="shared" si="705"/>
        <v>dez</v>
      </c>
      <c r="N6248">
        <f t="shared" si="707"/>
        <v>2025</v>
      </c>
      <c r="P6248" t="str">
        <f t="shared" si="708"/>
        <v>103645994</v>
      </c>
    </row>
    <row r="6249" spans="1:16" x14ac:dyDescent="0.3">
      <c r="A6249">
        <v>1036</v>
      </c>
      <c r="B6249">
        <v>22</v>
      </c>
      <c r="C6249" t="s">
        <v>26</v>
      </c>
      <c r="D6249" t="s">
        <v>27</v>
      </c>
      <c r="E6249" t="s">
        <v>17</v>
      </c>
      <c r="F6249" t="s">
        <v>21</v>
      </c>
      <c r="G6249" t="s">
        <v>43</v>
      </c>
      <c r="H6249" t="s">
        <v>25</v>
      </c>
      <c r="I6249" s="1">
        <v>3</v>
      </c>
      <c r="J6249" s="2">
        <v>45995</v>
      </c>
      <c r="L6249" s="1" t="str">
        <f t="shared" si="706"/>
        <v>qui</v>
      </c>
      <c r="M6249" s="1" t="str">
        <f t="shared" si="705"/>
        <v>dez</v>
      </c>
      <c r="N6249">
        <f t="shared" si="707"/>
        <v>2025</v>
      </c>
      <c r="P6249" t="str">
        <f t="shared" si="708"/>
        <v>103645995</v>
      </c>
    </row>
    <row r="6250" spans="1:16" x14ac:dyDescent="0.3">
      <c r="A6250">
        <v>1036</v>
      </c>
      <c r="B6250">
        <v>22</v>
      </c>
      <c r="C6250" t="s">
        <v>26</v>
      </c>
      <c r="D6250" t="s">
        <v>27</v>
      </c>
      <c r="E6250" t="s">
        <v>17</v>
      </c>
      <c r="F6250" t="s">
        <v>21</v>
      </c>
      <c r="G6250" t="s">
        <v>43</v>
      </c>
      <c r="H6250" t="s">
        <v>25</v>
      </c>
      <c r="I6250" s="1">
        <v>3</v>
      </c>
      <c r="J6250" s="2">
        <v>45996</v>
      </c>
      <c r="L6250" s="1" t="str">
        <f t="shared" si="706"/>
        <v>sex</v>
      </c>
      <c r="M6250" s="1" t="str">
        <f t="shared" si="705"/>
        <v>dez</v>
      </c>
      <c r="N6250">
        <f t="shared" si="707"/>
        <v>2025</v>
      </c>
      <c r="P6250" t="str">
        <f t="shared" si="708"/>
        <v>103645996</v>
      </c>
    </row>
    <row r="6251" spans="1:16" x14ac:dyDescent="0.3">
      <c r="A6251">
        <v>1036</v>
      </c>
      <c r="B6251">
        <v>22</v>
      </c>
      <c r="C6251" t="s">
        <v>26</v>
      </c>
      <c r="D6251" t="s">
        <v>27</v>
      </c>
      <c r="E6251" t="s">
        <v>17</v>
      </c>
      <c r="F6251" t="s">
        <v>21</v>
      </c>
      <c r="G6251" t="s">
        <v>43</v>
      </c>
      <c r="H6251" t="s">
        <v>25</v>
      </c>
      <c r="I6251" s="1">
        <v>3</v>
      </c>
      <c r="J6251" s="2">
        <v>45997</v>
      </c>
      <c r="L6251" s="1" t="str">
        <f t="shared" si="706"/>
        <v>sáb</v>
      </c>
      <c r="M6251" s="1" t="str">
        <f t="shared" si="705"/>
        <v>dez</v>
      </c>
      <c r="N6251">
        <f t="shared" si="707"/>
        <v>2025</v>
      </c>
      <c r="P6251" t="str">
        <f t="shared" si="708"/>
        <v>103645997</v>
      </c>
    </row>
    <row r="6252" spans="1:16" x14ac:dyDescent="0.3">
      <c r="A6252">
        <v>1036</v>
      </c>
      <c r="B6252">
        <v>22</v>
      </c>
      <c r="C6252" t="s">
        <v>26</v>
      </c>
      <c r="D6252" t="s">
        <v>27</v>
      </c>
      <c r="E6252" t="s">
        <v>17</v>
      </c>
      <c r="F6252" t="s">
        <v>21</v>
      </c>
      <c r="G6252" t="s">
        <v>43</v>
      </c>
      <c r="H6252" t="s">
        <v>25</v>
      </c>
      <c r="I6252" s="1">
        <v>3</v>
      </c>
      <c r="J6252" s="2">
        <v>45998</v>
      </c>
      <c r="L6252" s="1" t="str">
        <f t="shared" si="706"/>
        <v>dom</v>
      </c>
      <c r="M6252" s="1" t="str">
        <f t="shared" si="705"/>
        <v>dez</v>
      </c>
      <c r="N6252">
        <f t="shared" si="707"/>
        <v>2025</v>
      </c>
      <c r="P6252" t="str">
        <f t="shared" si="708"/>
        <v>103645998</v>
      </c>
    </row>
    <row r="6253" spans="1:16" x14ac:dyDescent="0.3">
      <c r="A6253">
        <v>1036</v>
      </c>
      <c r="B6253">
        <v>22</v>
      </c>
      <c r="C6253" t="s">
        <v>26</v>
      </c>
      <c r="D6253" t="s">
        <v>27</v>
      </c>
      <c r="E6253" t="s">
        <v>17</v>
      </c>
      <c r="F6253" t="s">
        <v>21</v>
      </c>
      <c r="G6253" t="s">
        <v>43</v>
      </c>
      <c r="H6253" t="s">
        <v>25</v>
      </c>
      <c r="I6253" s="1">
        <v>3</v>
      </c>
      <c r="J6253" s="2">
        <v>45999</v>
      </c>
      <c r="L6253" s="1" t="str">
        <f t="shared" si="706"/>
        <v>seg</v>
      </c>
      <c r="M6253" s="1" t="str">
        <f t="shared" si="705"/>
        <v>dez</v>
      </c>
      <c r="N6253">
        <f t="shared" si="707"/>
        <v>2025</v>
      </c>
      <c r="P6253" t="str">
        <f t="shared" si="708"/>
        <v>103645999</v>
      </c>
    </row>
    <row r="6254" spans="1:16" x14ac:dyDescent="0.3">
      <c r="A6254">
        <v>1036</v>
      </c>
      <c r="B6254">
        <v>22</v>
      </c>
      <c r="C6254" t="s">
        <v>26</v>
      </c>
      <c r="D6254" t="s">
        <v>27</v>
      </c>
      <c r="E6254" t="s">
        <v>17</v>
      </c>
      <c r="F6254" t="s">
        <v>21</v>
      </c>
      <c r="G6254" t="s">
        <v>43</v>
      </c>
      <c r="H6254" t="s">
        <v>25</v>
      </c>
      <c r="I6254" s="1">
        <v>3</v>
      </c>
      <c r="J6254" s="2">
        <v>46000</v>
      </c>
      <c r="L6254" s="1" t="str">
        <f t="shared" si="706"/>
        <v>ter</v>
      </c>
      <c r="M6254" s="1" t="str">
        <f t="shared" si="705"/>
        <v>dez</v>
      </c>
      <c r="N6254">
        <f t="shared" si="707"/>
        <v>2025</v>
      </c>
      <c r="P6254" t="str">
        <f t="shared" si="708"/>
        <v>103646000</v>
      </c>
    </row>
    <row r="6255" spans="1:16" x14ac:dyDescent="0.3">
      <c r="A6255">
        <v>1036</v>
      </c>
      <c r="B6255">
        <v>22</v>
      </c>
      <c r="C6255" t="s">
        <v>26</v>
      </c>
      <c r="D6255" t="s">
        <v>27</v>
      </c>
      <c r="E6255" t="s">
        <v>17</v>
      </c>
      <c r="F6255" t="s">
        <v>21</v>
      </c>
      <c r="G6255" t="s">
        <v>43</v>
      </c>
      <c r="H6255" t="s">
        <v>25</v>
      </c>
      <c r="I6255" s="1">
        <v>3</v>
      </c>
      <c r="J6255" s="2">
        <v>46001</v>
      </c>
      <c r="L6255" s="1" t="str">
        <f t="shared" si="706"/>
        <v>qua</v>
      </c>
      <c r="M6255" s="1" t="str">
        <f t="shared" si="705"/>
        <v>dez</v>
      </c>
      <c r="N6255">
        <f t="shared" si="707"/>
        <v>2025</v>
      </c>
      <c r="P6255" t="str">
        <f t="shared" si="708"/>
        <v>103646001</v>
      </c>
    </row>
    <row r="6256" spans="1:16" x14ac:dyDescent="0.3">
      <c r="A6256">
        <v>1036</v>
      </c>
      <c r="B6256">
        <v>22</v>
      </c>
      <c r="C6256" t="s">
        <v>26</v>
      </c>
      <c r="D6256" t="s">
        <v>27</v>
      </c>
      <c r="E6256" t="s">
        <v>17</v>
      </c>
      <c r="F6256" t="s">
        <v>21</v>
      </c>
      <c r="G6256" t="s">
        <v>43</v>
      </c>
      <c r="H6256" t="s">
        <v>25</v>
      </c>
      <c r="I6256" s="1">
        <v>3</v>
      </c>
      <c r="J6256" s="2">
        <v>46002</v>
      </c>
      <c r="L6256" s="1" t="str">
        <f t="shared" si="706"/>
        <v>qui</v>
      </c>
      <c r="M6256" s="1" t="str">
        <f t="shared" si="705"/>
        <v>dez</v>
      </c>
      <c r="N6256">
        <f t="shared" si="707"/>
        <v>2025</v>
      </c>
      <c r="P6256" t="str">
        <f t="shared" si="708"/>
        <v>103646002</v>
      </c>
    </row>
    <row r="6257" spans="1:16" x14ac:dyDescent="0.3">
      <c r="A6257">
        <v>1036</v>
      </c>
      <c r="B6257">
        <v>22</v>
      </c>
      <c r="C6257" t="s">
        <v>26</v>
      </c>
      <c r="D6257" t="s">
        <v>27</v>
      </c>
      <c r="E6257" t="s">
        <v>17</v>
      </c>
      <c r="F6257" t="s">
        <v>21</v>
      </c>
      <c r="G6257" t="s">
        <v>43</v>
      </c>
      <c r="H6257" t="s">
        <v>25</v>
      </c>
      <c r="I6257" s="1">
        <v>3</v>
      </c>
      <c r="J6257" s="2">
        <v>46003</v>
      </c>
      <c r="L6257" s="1" t="str">
        <f t="shared" si="706"/>
        <v>sex</v>
      </c>
      <c r="M6257" s="1" t="str">
        <f t="shared" ref="M6257:M6320" si="709">TEXT($J6257,"mmm")</f>
        <v>dez</v>
      </c>
      <c r="N6257">
        <f t="shared" si="707"/>
        <v>2025</v>
      </c>
      <c r="P6257" t="str">
        <f t="shared" si="708"/>
        <v>103646003</v>
      </c>
    </row>
    <row r="6258" spans="1:16" x14ac:dyDescent="0.3">
      <c r="A6258">
        <v>1036</v>
      </c>
      <c r="B6258">
        <v>22</v>
      </c>
      <c r="C6258" t="s">
        <v>26</v>
      </c>
      <c r="D6258" t="s">
        <v>27</v>
      </c>
      <c r="E6258" t="s">
        <v>17</v>
      </c>
      <c r="F6258" t="s">
        <v>21</v>
      </c>
      <c r="G6258" t="s">
        <v>43</v>
      </c>
      <c r="H6258" t="s">
        <v>25</v>
      </c>
      <c r="I6258" s="1">
        <v>3</v>
      </c>
      <c r="J6258" s="2">
        <v>46004</v>
      </c>
      <c r="L6258" s="1" t="str">
        <f t="shared" si="706"/>
        <v>sáb</v>
      </c>
      <c r="M6258" s="1" t="str">
        <f t="shared" si="709"/>
        <v>dez</v>
      </c>
      <c r="N6258">
        <f t="shared" si="707"/>
        <v>2025</v>
      </c>
      <c r="P6258" t="str">
        <f t="shared" si="708"/>
        <v>103646004</v>
      </c>
    </row>
    <row r="6259" spans="1:16" x14ac:dyDescent="0.3">
      <c r="A6259">
        <v>1036</v>
      </c>
      <c r="B6259">
        <v>22</v>
      </c>
      <c r="C6259" t="s">
        <v>26</v>
      </c>
      <c r="D6259" t="s">
        <v>27</v>
      </c>
      <c r="E6259" t="s">
        <v>17</v>
      </c>
      <c r="F6259" t="s">
        <v>21</v>
      </c>
      <c r="G6259" t="s">
        <v>43</v>
      </c>
      <c r="H6259" t="s">
        <v>25</v>
      </c>
      <c r="I6259" s="1">
        <v>3</v>
      </c>
      <c r="J6259" s="2">
        <v>46005</v>
      </c>
      <c r="L6259" s="1" t="str">
        <f t="shared" si="706"/>
        <v>dom</v>
      </c>
      <c r="M6259" s="1" t="str">
        <f t="shared" si="709"/>
        <v>dez</v>
      </c>
      <c r="N6259">
        <f t="shared" si="707"/>
        <v>2025</v>
      </c>
      <c r="P6259" t="str">
        <f t="shared" si="708"/>
        <v>103646005</v>
      </c>
    </row>
    <row r="6260" spans="1:16" x14ac:dyDescent="0.3">
      <c r="A6260">
        <v>1036</v>
      </c>
      <c r="B6260">
        <v>22</v>
      </c>
      <c r="C6260" t="s">
        <v>26</v>
      </c>
      <c r="D6260" t="s">
        <v>27</v>
      </c>
      <c r="E6260" t="s">
        <v>17</v>
      </c>
      <c r="F6260" t="s">
        <v>21</v>
      </c>
      <c r="G6260" t="s">
        <v>43</v>
      </c>
      <c r="H6260" t="s">
        <v>25</v>
      </c>
      <c r="I6260" s="1">
        <v>3</v>
      </c>
      <c r="J6260" s="2">
        <v>46006</v>
      </c>
      <c r="L6260" s="1" t="str">
        <f t="shared" si="706"/>
        <v>seg</v>
      </c>
      <c r="M6260" s="1" t="str">
        <f t="shared" si="709"/>
        <v>dez</v>
      </c>
      <c r="N6260">
        <f t="shared" si="707"/>
        <v>2025</v>
      </c>
      <c r="P6260" t="str">
        <f t="shared" si="708"/>
        <v>103646006</v>
      </c>
    </row>
    <row r="6261" spans="1:16" x14ac:dyDescent="0.3">
      <c r="A6261">
        <v>1036</v>
      </c>
      <c r="B6261">
        <v>22</v>
      </c>
      <c r="C6261" t="s">
        <v>26</v>
      </c>
      <c r="D6261" t="s">
        <v>27</v>
      </c>
      <c r="E6261" t="s">
        <v>17</v>
      </c>
      <c r="F6261" t="s">
        <v>21</v>
      </c>
      <c r="G6261" t="s">
        <v>43</v>
      </c>
      <c r="H6261" t="s">
        <v>25</v>
      </c>
      <c r="I6261" s="1">
        <v>3</v>
      </c>
      <c r="J6261" s="2">
        <v>46007</v>
      </c>
      <c r="L6261" s="1" t="str">
        <f t="shared" si="706"/>
        <v>ter</v>
      </c>
      <c r="M6261" s="1" t="str">
        <f t="shared" si="709"/>
        <v>dez</v>
      </c>
      <c r="N6261">
        <f t="shared" si="707"/>
        <v>2025</v>
      </c>
      <c r="P6261" t="str">
        <f t="shared" si="708"/>
        <v>103646007</v>
      </c>
    </row>
    <row r="6262" spans="1:16" x14ac:dyDescent="0.3">
      <c r="A6262">
        <v>1036</v>
      </c>
      <c r="B6262">
        <v>22</v>
      </c>
      <c r="C6262" t="s">
        <v>26</v>
      </c>
      <c r="D6262" t="s">
        <v>27</v>
      </c>
      <c r="E6262" t="s">
        <v>17</v>
      </c>
      <c r="F6262" t="s">
        <v>21</v>
      </c>
      <c r="G6262" t="s">
        <v>43</v>
      </c>
      <c r="H6262" t="s">
        <v>25</v>
      </c>
      <c r="I6262" s="1">
        <v>3</v>
      </c>
      <c r="J6262" s="2">
        <v>46008</v>
      </c>
      <c r="L6262" s="1" t="str">
        <f t="shared" si="706"/>
        <v>qua</v>
      </c>
      <c r="M6262" s="1" t="str">
        <f t="shared" si="709"/>
        <v>dez</v>
      </c>
      <c r="N6262">
        <f t="shared" si="707"/>
        <v>2025</v>
      </c>
      <c r="P6262" t="str">
        <f t="shared" si="708"/>
        <v>103646008</v>
      </c>
    </row>
    <row r="6263" spans="1:16" x14ac:dyDescent="0.3">
      <c r="A6263">
        <v>1036</v>
      </c>
      <c r="B6263">
        <v>22</v>
      </c>
      <c r="C6263" t="s">
        <v>26</v>
      </c>
      <c r="D6263" t="s">
        <v>27</v>
      </c>
      <c r="E6263" t="s">
        <v>17</v>
      </c>
      <c r="F6263" t="s">
        <v>21</v>
      </c>
      <c r="G6263" t="s">
        <v>43</v>
      </c>
      <c r="H6263" t="s">
        <v>25</v>
      </c>
      <c r="I6263" s="1">
        <v>3</v>
      </c>
      <c r="J6263" s="2">
        <v>46009</v>
      </c>
      <c r="L6263" s="1" t="str">
        <f t="shared" si="706"/>
        <v>qui</v>
      </c>
      <c r="M6263" s="1" t="str">
        <f t="shared" si="709"/>
        <v>dez</v>
      </c>
      <c r="N6263">
        <f t="shared" si="707"/>
        <v>2025</v>
      </c>
      <c r="P6263" t="str">
        <f t="shared" si="708"/>
        <v>103646009</v>
      </c>
    </row>
    <row r="6264" spans="1:16" x14ac:dyDescent="0.3">
      <c r="A6264">
        <v>1036</v>
      </c>
      <c r="B6264">
        <v>22</v>
      </c>
      <c r="C6264" t="s">
        <v>26</v>
      </c>
      <c r="D6264" t="s">
        <v>27</v>
      </c>
      <c r="E6264" t="s">
        <v>17</v>
      </c>
      <c r="F6264" t="s">
        <v>21</v>
      </c>
      <c r="G6264" t="s">
        <v>43</v>
      </c>
      <c r="H6264" t="s">
        <v>25</v>
      </c>
      <c r="I6264" s="1">
        <v>3</v>
      </c>
      <c r="J6264" s="2">
        <v>46010</v>
      </c>
      <c r="L6264" s="1" t="str">
        <f t="shared" si="706"/>
        <v>sex</v>
      </c>
      <c r="M6264" s="1" t="str">
        <f t="shared" si="709"/>
        <v>dez</v>
      </c>
      <c r="N6264">
        <f t="shared" si="707"/>
        <v>2025</v>
      </c>
      <c r="P6264" t="str">
        <f t="shared" si="708"/>
        <v>103646010</v>
      </c>
    </row>
    <row r="6265" spans="1:16" x14ac:dyDescent="0.3">
      <c r="A6265">
        <v>1036</v>
      </c>
      <c r="B6265">
        <v>22</v>
      </c>
      <c r="C6265" t="s">
        <v>26</v>
      </c>
      <c r="D6265" t="s">
        <v>27</v>
      </c>
      <c r="E6265" t="s">
        <v>17</v>
      </c>
      <c r="F6265" t="s">
        <v>21</v>
      </c>
      <c r="G6265" t="s">
        <v>43</v>
      </c>
      <c r="H6265" t="s">
        <v>25</v>
      </c>
      <c r="I6265" s="1">
        <v>3</v>
      </c>
      <c r="J6265" s="2">
        <v>46011</v>
      </c>
      <c r="L6265" s="1" t="str">
        <f t="shared" si="706"/>
        <v>sáb</v>
      </c>
      <c r="M6265" s="1" t="str">
        <f t="shared" si="709"/>
        <v>dez</v>
      </c>
      <c r="N6265">
        <f t="shared" si="707"/>
        <v>2025</v>
      </c>
      <c r="P6265" t="str">
        <f t="shared" si="708"/>
        <v>103646011</v>
      </c>
    </row>
    <row r="6266" spans="1:16" x14ac:dyDescent="0.3">
      <c r="A6266">
        <v>1036</v>
      </c>
      <c r="B6266">
        <v>22</v>
      </c>
      <c r="C6266" t="s">
        <v>26</v>
      </c>
      <c r="D6266" t="s">
        <v>27</v>
      </c>
      <c r="E6266" t="s">
        <v>17</v>
      </c>
      <c r="F6266" t="s">
        <v>21</v>
      </c>
      <c r="G6266" t="s">
        <v>43</v>
      </c>
      <c r="H6266" t="s">
        <v>25</v>
      </c>
      <c r="I6266" s="1">
        <v>3</v>
      </c>
      <c r="J6266" s="2">
        <v>46012</v>
      </c>
      <c r="L6266" s="1" t="str">
        <f t="shared" si="706"/>
        <v>dom</v>
      </c>
      <c r="M6266" s="1" t="str">
        <f t="shared" si="709"/>
        <v>dez</v>
      </c>
      <c r="N6266">
        <f t="shared" si="707"/>
        <v>2025</v>
      </c>
      <c r="P6266" t="str">
        <f t="shared" si="708"/>
        <v>103646012</v>
      </c>
    </row>
    <row r="6267" spans="1:16" x14ac:dyDescent="0.3">
      <c r="A6267">
        <v>1036</v>
      </c>
      <c r="B6267">
        <v>22</v>
      </c>
      <c r="C6267" t="s">
        <v>26</v>
      </c>
      <c r="D6267" t="s">
        <v>27</v>
      </c>
      <c r="E6267" t="s">
        <v>17</v>
      </c>
      <c r="F6267" t="s">
        <v>21</v>
      </c>
      <c r="G6267" t="s">
        <v>43</v>
      </c>
      <c r="H6267" t="s">
        <v>25</v>
      </c>
      <c r="I6267" s="1">
        <v>3</v>
      </c>
      <c r="J6267" s="2">
        <v>46013</v>
      </c>
      <c r="L6267" s="1" t="str">
        <f t="shared" si="706"/>
        <v>seg</v>
      </c>
      <c r="M6267" s="1" t="str">
        <f t="shared" si="709"/>
        <v>dez</v>
      </c>
      <c r="N6267">
        <f t="shared" si="707"/>
        <v>2025</v>
      </c>
      <c r="P6267" t="str">
        <f t="shared" si="708"/>
        <v>103646013</v>
      </c>
    </row>
    <row r="6268" spans="1:16" x14ac:dyDescent="0.3">
      <c r="A6268">
        <v>1036</v>
      </c>
      <c r="B6268">
        <v>22</v>
      </c>
      <c r="C6268" t="s">
        <v>26</v>
      </c>
      <c r="D6268" t="s">
        <v>27</v>
      </c>
      <c r="E6268" t="s">
        <v>17</v>
      </c>
      <c r="F6268" t="s">
        <v>21</v>
      </c>
      <c r="G6268" t="s">
        <v>43</v>
      </c>
      <c r="H6268" t="s">
        <v>25</v>
      </c>
      <c r="I6268" s="1">
        <v>3</v>
      </c>
      <c r="J6268" s="2">
        <v>46014</v>
      </c>
      <c r="L6268" s="1" t="str">
        <f t="shared" si="706"/>
        <v>ter</v>
      </c>
      <c r="M6268" s="1" t="str">
        <f t="shared" si="709"/>
        <v>dez</v>
      </c>
      <c r="N6268">
        <f t="shared" si="707"/>
        <v>2025</v>
      </c>
      <c r="P6268" t="str">
        <f t="shared" si="708"/>
        <v>103646014</v>
      </c>
    </row>
    <row r="6269" spans="1:16" x14ac:dyDescent="0.3">
      <c r="A6269">
        <v>1036</v>
      </c>
      <c r="B6269">
        <v>22</v>
      </c>
      <c r="C6269" t="s">
        <v>26</v>
      </c>
      <c r="D6269" t="s">
        <v>27</v>
      </c>
      <c r="E6269" t="s">
        <v>17</v>
      </c>
      <c r="F6269" t="s">
        <v>21</v>
      </c>
      <c r="G6269" t="s">
        <v>43</v>
      </c>
      <c r="H6269" t="s">
        <v>25</v>
      </c>
      <c r="I6269" s="1">
        <v>3</v>
      </c>
      <c r="J6269" s="2">
        <v>46015</v>
      </c>
      <c r="L6269" s="1" t="str">
        <f t="shared" si="706"/>
        <v>qua</v>
      </c>
      <c r="M6269" s="1" t="str">
        <f t="shared" si="709"/>
        <v>dez</v>
      </c>
      <c r="N6269">
        <f t="shared" si="707"/>
        <v>2025</v>
      </c>
      <c r="P6269" t="str">
        <f t="shared" si="708"/>
        <v>103646015</v>
      </c>
    </row>
    <row r="6270" spans="1:16" x14ac:dyDescent="0.3">
      <c r="A6270">
        <v>1036</v>
      </c>
      <c r="B6270">
        <v>22</v>
      </c>
      <c r="C6270" t="s">
        <v>26</v>
      </c>
      <c r="D6270" t="s">
        <v>27</v>
      </c>
      <c r="E6270" t="s">
        <v>17</v>
      </c>
      <c r="F6270" t="s">
        <v>21</v>
      </c>
      <c r="G6270" t="s">
        <v>43</v>
      </c>
      <c r="H6270" t="s">
        <v>25</v>
      </c>
      <c r="I6270" s="1">
        <v>3</v>
      </c>
      <c r="J6270" s="2">
        <v>46016</v>
      </c>
      <c r="L6270" s="1" t="str">
        <f t="shared" si="706"/>
        <v>qui</v>
      </c>
      <c r="M6270" s="1" t="str">
        <f t="shared" si="709"/>
        <v>dez</v>
      </c>
      <c r="N6270">
        <f t="shared" si="707"/>
        <v>2025</v>
      </c>
      <c r="P6270" t="str">
        <f t="shared" si="708"/>
        <v>103646016</v>
      </c>
    </row>
    <row r="6271" spans="1:16" x14ac:dyDescent="0.3">
      <c r="A6271">
        <v>1036</v>
      </c>
      <c r="B6271">
        <v>22</v>
      </c>
      <c r="C6271" t="s">
        <v>26</v>
      </c>
      <c r="D6271" t="s">
        <v>27</v>
      </c>
      <c r="E6271" t="s">
        <v>17</v>
      </c>
      <c r="F6271" t="s">
        <v>21</v>
      </c>
      <c r="G6271" t="s">
        <v>43</v>
      </c>
      <c r="H6271" t="s">
        <v>25</v>
      </c>
      <c r="I6271" s="1">
        <v>3</v>
      </c>
      <c r="J6271" s="2">
        <v>46017</v>
      </c>
      <c r="L6271" s="1" t="str">
        <f t="shared" si="706"/>
        <v>sex</v>
      </c>
      <c r="M6271" s="1" t="str">
        <f t="shared" si="709"/>
        <v>dez</v>
      </c>
      <c r="N6271">
        <f t="shared" si="707"/>
        <v>2025</v>
      </c>
      <c r="P6271" t="str">
        <f t="shared" si="708"/>
        <v>103646017</v>
      </c>
    </row>
    <row r="6272" spans="1:16" x14ac:dyDescent="0.3">
      <c r="A6272">
        <v>1036</v>
      </c>
      <c r="B6272">
        <v>22</v>
      </c>
      <c r="C6272" t="s">
        <v>26</v>
      </c>
      <c r="D6272" t="s">
        <v>27</v>
      </c>
      <c r="E6272" t="s">
        <v>17</v>
      </c>
      <c r="F6272" t="s">
        <v>21</v>
      </c>
      <c r="G6272" t="s">
        <v>43</v>
      </c>
      <c r="H6272" t="s">
        <v>25</v>
      </c>
      <c r="I6272" s="1">
        <v>3</v>
      </c>
      <c r="J6272" s="2">
        <v>46018</v>
      </c>
      <c r="L6272" s="1" t="str">
        <f t="shared" si="706"/>
        <v>sáb</v>
      </c>
      <c r="M6272" s="1" t="str">
        <f t="shared" si="709"/>
        <v>dez</v>
      </c>
      <c r="N6272">
        <f t="shared" si="707"/>
        <v>2025</v>
      </c>
      <c r="P6272" t="str">
        <f t="shared" si="708"/>
        <v>103646018</v>
      </c>
    </row>
    <row r="6273" spans="1:16" x14ac:dyDescent="0.3">
      <c r="A6273">
        <v>1036</v>
      </c>
      <c r="B6273">
        <v>22</v>
      </c>
      <c r="C6273" t="s">
        <v>26</v>
      </c>
      <c r="D6273" t="s">
        <v>27</v>
      </c>
      <c r="E6273" t="s">
        <v>17</v>
      </c>
      <c r="F6273" t="s">
        <v>21</v>
      </c>
      <c r="G6273" t="s">
        <v>43</v>
      </c>
      <c r="H6273" t="s">
        <v>25</v>
      </c>
      <c r="I6273" s="1">
        <v>3</v>
      </c>
      <c r="J6273" s="2">
        <v>46019</v>
      </c>
      <c r="L6273" s="1" t="str">
        <f t="shared" si="706"/>
        <v>dom</v>
      </c>
      <c r="M6273" s="1" t="str">
        <f t="shared" si="709"/>
        <v>dez</v>
      </c>
      <c r="N6273">
        <f t="shared" si="707"/>
        <v>2025</v>
      </c>
      <c r="P6273" t="str">
        <f t="shared" si="708"/>
        <v>103646019</v>
      </c>
    </row>
    <row r="6274" spans="1:16" x14ac:dyDescent="0.3">
      <c r="A6274">
        <v>1036</v>
      </c>
      <c r="B6274">
        <v>22</v>
      </c>
      <c r="C6274" t="s">
        <v>26</v>
      </c>
      <c r="D6274" t="s">
        <v>27</v>
      </c>
      <c r="E6274" t="s">
        <v>17</v>
      </c>
      <c r="F6274" t="s">
        <v>21</v>
      </c>
      <c r="G6274" t="s">
        <v>43</v>
      </c>
      <c r="H6274" t="s">
        <v>25</v>
      </c>
      <c r="I6274" s="1">
        <v>3</v>
      </c>
      <c r="J6274" s="2">
        <v>46020</v>
      </c>
      <c r="L6274" s="1" t="str">
        <f t="shared" si="706"/>
        <v>seg</v>
      </c>
      <c r="M6274" s="1" t="str">
        <f t="shared" si="709"/>
        <v>dez</v>
      </c>
      <c r="N6274">
        <f t="shared" si="707"/>
        <v>2025</v>
      </c>
      <c r="P6274" t="str">
        <f t="shared" si="708"/>
        <v>103646020</v>
      </c>
    </row>
    <row r="6275" spans="1:16" x14ac:dyDescent="0.3">
      <c r="A6275">
        <v>1036</v>
      </c>
      <c r="B6275">
        <v>22</v>
      </c>
      <c r="C6275" t="s">
        <v>26</v>
      </c>
      <c r="D6275" t="s">
        <v>27</v>
      </c>
      <c r="E6275" t="s">
        <v>17</v>
      </c>
      <c r="F6275" t="s">
        <v>21</v>
      </c>
      <c r="G6275" t="s">
        <v>43</v>
      </c>
      <c r="H6275" t="s">
        <v>25</v>
      </c>
      <c r="I6275" s="1">
        <v>3</v>
      </c>
      <c r="J6275" s="2">
        <v>46021</v>
      </c>
      <c r="L6275" s="1" t="str">
        <f t="shared" si="706"/>
        <v>ter</v>
      </c>
      <c r="M6275" s="1" t="str">
        <f t="shared" si="709"/>
        <v>dez</v>
      </c>
      <c r="N6275">
        <f t="shared" si="707"/>
        <v>2025</v>
      </c>
      <c r="P6275" t="str">
        <f t="shared" si="708"/>
        <v>103646021</v>
      </c>
    </row>
    <row r="6276" spans="1:16" x14ac:dyDescent="0.3">
      <c r="A6276">
        <v>1036</v>
      </c>
      <c r="B6276">
        <v>22</v>
      </c>
      <c r="C6276" t="s">
        <v>26</v>
      </c>
      <c r="D6276" t="s">
        <v>27</v>
      </c>
      <c r="E6276" t="s">
        <v>17</v>
      </c>
      <c r="F6276" t="s">
        <v>21</v>
      </c>
      <c r="G6276" t="s">
        <v>43</v>
      </c>
      <c r="H6276" t="s">
        <v>25</v>
      </c>
      <c r="I6276" s="1">
        <v>3</v>
      </c>
      <c r="J6276" s="2">
        <v>46022</v>
      </c>
      <c r="L6276" s="1" t="str">
        <f t="shared" si="706"/>
        <v>qua</v>
      </c>
      <c r="M6276" s="1" t="str">
        <f t="shared" si="709"/>
        <v>dez</v>
      </c>
      <c r="N6276">
        <f t="shared" si="707"/>
        <v>2025</v>
      </c>
      <c r="P6276" t="str">
        <f t="shared" si="708"/>
        <v>103646022</v>
      </c>
    </row>
    <row r="6277" spans="1:16" x14ac:dyDescent="0.3">
      <c r="A6277">
        <v>1036</v>
      </c>
      <c r="B6277">
        <v>22</v>
      </c>
      <c r="C6277" t="s">
        <v>26</v>
      </c>
      <c r="D6277" t="s">
        <v>27</v>
      </c>
      <c r="E6277" t="s">
        <v>17</v>
      </c>
      <c r="F6277" t="s">
        <v>21</v>
      </c>
      <c r="G6277" t="s">
        <v>43</v>
      </c>
      <c r="H6277" t="s">
        <v>25</v>
      </c>
      <c r="I6277" s="1">
        <v>3</v>
      </c>
      <c r="J6277" s="2">
        <v>46023</v>
      </c>
      <c r="L6277" s="1" t="str">
        <f t="shared" si="706"/>
        <v>qui</v>
      </c>
      <c r="M6277" s="1" t="str">
        <f t="shared" si="709"/>
        <v>jan</v>
      </c>
      <c r="N6277">
        <f t="shared" si="707"/>
        <v>2026</v>
      </c>
      <c r="P6277" t="str">
        <f t="shared" si="708"/>
        <v>103646023</v>
      </c>
    </row>
    <row r="6278" spans="1:16" x14ac:dyDescent="0.3">
      <c r="A6278">
        <v>1036</v>
      </c>
      <c r="B6278">
        <v>22</v>
      </c>
      <c r="C6278" t="s">
        <v>26</v>
      </c>
      <c r="D6278" t="s">
        <v>27</v>
      </c>
      <c r="E6278" t="s">
        <v>17</v>
      </c>
      <c r="F6278" t="s">
        <v>21</v>
      </c>
      <c r="G6278" t="s">
        <v>43</v>
      </c>
      <c r="H6278" t="s">
        <v>25</v>
      </c>
      <c r="I6278" s="1">
        <v>3</v>
      </c>
      <c r="J6278" s="2">
        <v>46024</v>
      </c>
      <c r="L6278" s="1" t="str">
        <f t="shared" si="706"/>
        <v>sex</v>
      </c>
      <c r="M6278" s="1" t="str">
        <f t="shared" si="709"/>
        <v>jan</v>
      </c>
      <c r="N6278">
        <f t="shared" si="707"/>
        <v>2026</v>
      </c>
      <c r="P6278" t="str">
        <f t="shared" si="708"/>
        <v>103646024</v>
      </c>
    </row>
    <row r="6279" spans="1:16" x14ac:dyDescent="0.3">
      <c r="A6279">
        <v>1036</v>
      </c>
      <c r="B6279">
        <v>22</v>
      </c>
      <c r="C6279" t="s">
        <v>26</v>
      </c>
      <c r="D6279" t="s">
        <v>27</v>
      </c>
      <c r="E6279" t="s">
        <v>17</v>
      </c>
      <c r="F6279" t="s">
        <v>21</v>
      </c>
      <c r="G6279" t="s">
        <v>43</v>
      </c>
      <c r="H6279" t="s">
        <v>25</v>
      </c>
      <c r="I6279" s="1">
        <v>3</v>
      </c>
      <c r="J6279" s="2">
        <v>46025</v>
      </c>
      <c r="L6279" s="1" t="str">
        <f t="shared" si="706"/>
        <v>sáb</v>
      </c>
      <c r="M6279" s="1" t="str">
        <f t="shared" si="709"/>
        <v>jan</v>
      </c>
      <c r="N6279">
        <f t="shared" si="707"/>
        <v>2026</v>
      </c>
      <c r="P6279" t="str">
        <f t="shared" si="708"/>
        <v>103646025</v>
      </c>
    </row>
    <row r="6280" spans="1:16" x14ac:dyDescent="0.3">
      <c r="A6280">
        <v>1036</v>
      </c>
      <c r="B6280">
        <v>22</v>
      </c>
      <c r="C6280" t="s">
        <v>26</v>
      </c>
      <c r="D6280" t="s">
        <v>27</v>
      </c>
      <c r="E6280" t="s">
        <v>17</v>
      </c>
      <c r="F6280" t="s">
        <v>21</v>
      </c>
      <c r="G6280" t="s">
        <v>43</v>
      </c>
      <c r="H6280" t="s">
        <v>25</v>
      </c>
      <c r="I6280" s="1">
        <v>3</v>
      </c>
      <c r="J6280" s="2">
        <v>46026</v>
      </c>
      <c r="L6280" s="1" t="str">
        <f t="shared" si="706"/>
        <v>dom</v>
      </c>
      <c r="M6280" s="1" t="str">
        <f t="shared" si="709"/>
        <v>jan</v>
      </c>
      <c r="N6280">
        <f t="shared" si="707"/>
        <v>2026</v>
      </c>
      <c r="P6280" t="str">
        <f t="shared" si="708"/>
        <v>103646026</v>
      </c>
    </row>
    <row r="6281" spans="1:16" x14ac:dyDescent="0.3">
      <c r="A6281">
        <v>1036</v>
      </c>
      <c r="B6281">
        <v>22</v>
      </c>
      <c r="C6281" t="s">
        <v>26</v>
      </c>
      <c r="D6281" t="s">
        <v>27</v>
      </c>
      <c r="E6281" t="s">
        <v>17</v>
      </c>
      <c r="F6281" t="s">
        <v>21</v>
      </c>
      <c r="G6281" t="s">
        <v>43</v>
      </c>
      <c r="H6281" t="s">
        <v>25</v>
      </c>
      <c r="I6281" s="1">
        <v>3</v>
      </c>
      <c r="J6281" s="2">
        <v>46027</v>
      </c>
      <c r="L6281" s="1" t="str">
        <f t="shared" si="706"/>
        <v>seg</v>
      </c>
      <c r="M6281" s="1" t="str">
        <f t="shared" si="709"/>
        <v>jan</v>
      </c>
      <c r="N6281">
        <f t="shared" si="707"/>
        <v>2026</v>
      </c>
      <c r="P6281" t="str">
        <f t="shared" si="708"/>
        <v>103646027</v>
      </c>
    </row>
    <row r="6282" spans="1:16" x14ac:dyDescent="0.3">
      <c r="A6282">
        <v>1036</v>
      </c>
      <c r="B6282">
        <v>22</v>
      </c>
      <c r="C6282" t="s">
        <v>26</v>
      </c>
      <c r="D6282" t="s">
        <v>27</v>
      </c>
      <c r="E6282" t="s">
        <v>17</v>
      </c>
      <c r="F6282" t="s">
        <v>21</v>
      </c>
      <c r="G6282" t="s">
        <v>43</v>
      </c>
      <c r="H6282" t="s">
        <v>25</v>
      </c>
      <c r="I6282" s="1">
        <v>3</v>
      </c>
      <c r="J6282" s="2">
        <v>46028</v>
      </c>
      <c r="L6282" s="1" t="str">
        <f t="shared" si="706"/>
        <v>ter</v>
      </c>
      <c r="M6282" s="1" t="str">
        <f t="shared" si="709"/>
        <v>jan</v>
      </c>
      <c r="N6282">
        <f t="shared" si="707"/>
        <v>2026</v>
      </c>
      <c r="P6282" t="str">
        <f t="shared" si="708"/>
        <v>103646028</v>
      </c>
    </row>
    <row r="6283" spans="1:16" x14ac:dyDescent="0.3">
      <c r="A6283">
        <v>1036</v>
      </c>
      <c r="B6283">
        <v>22</v>
      </c>
      <c r="C6283" t="s">
        <v>26</v>
      </c>
      <c r="D6283" t="s">
        <v>27</v>
      </c>
      <c r="E6283" t="s">
        <v>17</v>
      </c>
      <c r="F6283" t="s">
        <v>21</v>
      </c>
      <c r="G6283" t="s">
        <v>43</v>
      </c>
      <c r="H6283" t="s">
        <v>25</v>
      </c>
      <c r="I6283" s="1">
        <v>3</v>
      </c>
      <c r="J6283" s="2">
        <v>46029</v>
      </c>
      <c r="L6283" s="1" t="str">
        <f t="shared" si="706"/>
        <v>qua</v>
      </c>
      <c r="M6283" s="1" t="str">
        <f t="shared" si="709"/>
        <v>jan</v>
      </c>
      <c r="N6283">
        <f t="shared" si="707"/>
        <v>2026</v>
      </c>
      <c r="P6283" t="str">
        <f t="shared" si="708"/>
        <v>103646029</v>
      </c>
    </row>
    <row r="6284" spans="1:16" x14ac:dyDescent="0.3">
      <c r="A6284">
        <v>1036</v>
      </c>
      <c r="B6284">
        <v>22</v>
      </c>
      <c r="C6284" t="s">
        <v>26</v>
      </c>
      <c r="D6284" t="s">
        <v>27</v>
      </c>
      <c r="E6284" t="s">
        <v>17</v>
      </c>
      <c r="F6284" t="s">
        <v>21</v>
      </c>
      <c r="G6284" t="s">
        <v>43</v>
      </c>
      <c r="H6284" t="s">
        <v>25</v>
      </c>
      <c r="I6284" s="1">
        <v>3</v>
      </c>
      <c r="J6284" s="2">
        <v>46030</v>
      </c>
      <c r="L6284" s="1" t="str">
        <f t="shared" si="706"/>
        <v>qui</v>
      </c>
      <c r="M6284" s="1" t="str">
        <f t="shared" si="709"/>
        <v>jan</v>
      </c>
      <c r="N6284">
        <f t="shared" si="707"/>
        <v>2026</v>
      </c>
      <c r="P6284" t="str">
        <f t="shared" si="708"/>
        <v>103646030</v>
      </c>
    </row>
    <row r="6285" spans="1:16" x14ac:dyDescent="0.3">
      <c r="A6285">
        <v>1036</v>
      </c>
      <c r="B6285">
        <v>22</v>
      </c>
      <c r="C6285" t="s">
        <v>26</v>
      </c>
      <c r="D6285" t="s">
        <v>27</v>
      </c>
      <c r="E6285" t="s">
        <v>17</v>
      </c>
      <c r="F6285" t="s">
        <v>21</v>
      </c>
      <c r="G6285" t="s">
        <v>43</v>
      </c>
      <c r="H6285" t="s">
        <v>25</v>
      </c>
      <c r="I6285" s="1">
        <v>3</v>
      </c>
      <c r="J6285" s="2">
        <v>46031</v>
      </c>
      <c r="L6285" s="1" t="str">
        <f t="shared" si="706"/>
        <v>sex</v>
      </c>
      <c r="M6285" s="1" t="str">
        <f t="shared" si="709"/>
        <v>jan</v>
      </c>
      <c r="N6285">
        <f t="shared" si="707"/>
        <v>2026</v>
      </c>
      <c r="P6285" t="str">
        <f t="shared" si="708"/>
        <v>103646031</v>
      </c>
    </row>
    <row r="6286" spans="1:16" x14ac:dyDescent="0.3">
      <c r="A6286">
        <v>1036</v>
      </c>
      <c r="B6286">
        <v>22</v>
      </c>
      <c r="C6286" t="s">
        <v>26</v>
      </c>
      <c r="D6286" t="s">
        <v>27</v>
      </c>
      <c r="E6286" t="s">
        <v>17</v>
      </c>
      <c r="F6286" t="s">
        <v>21</v>
      </c>
      <c r="G6286" t="s">
        <v>43</v>
      </c>
      <c r="H6286" t="s">
        <v>25</v>
      </c>
      <c r="I6286" s="1">
        <v>3</v>
      </c>
      <c r="J6286" s="2">
        <v>46032</v>
      </c>
      <c r="L6286" s="1" t="str">
        <f t="shared" si="706"/>
        <v>sáb</v>
      </c>
      <c r="M6286" s="1" t="str">
        <f t="shared" si="709"/>
        <v>jan</v>
      </c>
      <c r="N6286">
        <f t="shared" si="707"/>
        <v>2026</v>
      </c>
      <c r="P6286" t="str">
        <f t="shared" si="708"/>
        <v>103646032</v>
      </c>
    </row>
    <row r="6287" spans="1:16" x14ac:dyDescent="0.3">
      <c r="A6287">
        <v>1036</v>
      </c>
      <c r="B6287">
        <v>22</v>
      </c>
      <c r="C6287" t="s">
        <v>26</v>
      </c>
      <c r="D6287" t="s">
        <v>27</v>
      </c>
      <c r="E6287" t="s">
        <v>17</v>
      </c>
      <c r="F6287" t="s">
        <v>21</v>
      </c>
      <c r="G6287" t="s">
        <v>43</v>
      </c>
      <c r="H6287" t="s">
        <v>25</v>
      </c>
      <c r="I6287" s="1">
        <v>3</v>
      </c>
      <c r="J6287" s="2">
        <v>46033</v>
      </c>
      <c r="L6287" s="1" t="str">
        <f t="shared" si="706"/>
        <v>dom</v>
      </c>
      <c r="M6287" s="1" t="str">
        <f t="shared" si="709"/>
        <v>jan</v>
      </c>
      <c r="N6287">
        <f t="shared" si="707"/>
        <v>2026</v>
      </c>
      <c r="P6287" t="str">
        <f t="shared" si="708"/>
        <v>103646033</v>
      </c>
    </row>
    <row r="6288" spans="1:16" x14ac:dyDescent="0.3">
      <c r="A6288">
        <v>1036</v>
      </c>
      <c r="B6288">
        <v>22</v>
      </c>
      <c r="C6288" t="s">
        <v>26</v>
      </c>
      <c r="D6288" t="s">
        <v>27</v>
      </c>
      <c r="E6288" t="s">
        <v>17</v>
      </c>
      <c r="F6288" t="s">
        <v>21</v>
      </c>
      <c r="G6288" t="s">
        <v>43</v>
      </c>
      <c r="H6288" t="s">
        <v>25</v>
      </c>
      <c r="I6288" s="1">
        <v>3</v>
      </c>
      <c r="J6288" s="2">
        <v>46034</v>
      </c>
      <c r="L6288" s="1" t="str">
        <f t="shared" si="706"/>
        <v>seg</v>
      </c>
      <c r="M6288" s="1" t="str">
        <f t="shared" si="709"/>
        <v>jan</v>
      </c>
      <c r="N6288">
        <f t="shared" si="707"/>
        <v>2026</v>
      </c>
      <c r="P6288" t="str">
        <f t="shared" si="708"/>
        <v>103646034</v>
      </c>
    </row>
    <row r="6289" spans="1:16" x14ac:dyDescent="0.3">
      <c r="A6289">
        <v>1036</v>
      </c>
      <c r="B6289">
        <v>22</v>
      </c>
      <c r="C6289" t="s">
        <v>26</v>
      </c>
      <c r="D6289" t="s">
        <v>27</v>
      </c>
      <c r="E6289" t="s">
        <v>17</v>
      </c>
      <c r="F6289" t="s">
        <v>21</v>
      </c>
      <c r="G6289" t="s">
        <v>43</v>
      </c>
      <c r="H6289" t="s">
        <v>25</v>
      </c>
      <c r="I6289" s="1">
        <v>3</v>
      </c>
      <c r="J6289" s="2">
        <v>46035</v>
      </c>
      <c r="L6289" s="1" t="str">
        <f t="shared" si="706"/>
        <v>ter</v>
      </c>
      <c r="M6289" s="1" t="str">
        <f t="shared" si="709"/>
        <v>jan</v>
      </c>
      <c r="N6289">
        <f t="shared" si="707"/>
        <v>2026</v>
      </c>
      <c r="P6289" t="str">
        <f t="shared" si="708"/>
        <v>103646035</v>
      </c>
    </row>
    <row r="6290" spans="1:16" x14ac:dyDescent="0.3">
      <c r="A6290">
        <v>1036</v>
      </c>
      <c r="B6290">
        <v>22</v>
      </c>
      <c r="C6290" t="s">
        <v>26</v>
      </c>
      <c r="D6290" t="s">
        <v>27</v>
      </c>
      <c r="E6290" t="s">
        <v>17</v>
      </c>
      <c r="F6290" t="s">
        <v>21</v>
      </c>
      <c r="G6290" t="s">
        <v>43</v>
      </c>
      <c r="H6290" t="s">
        <v>25</v>
      </c>
      <c r="I6290" s="1">
        <v>3</v>
      </c>
      <c r="J6290" s="2">
        <v>46036</v>
      </c>
      <c r="L6290" s="1" t="str">
        <f t="shared" si="706"/>
        <v>qua</v>
      </c>
      <c r="M6290" s="1" t="str">
        <f t="shared" si="709"/>
        <v>jan</v>
      </c>
      <c r="N6290">
        <f t="shared" si="707"/>
        <v>2026</v>
      </c>
      <c r="P6290" t="str">
        <f t="shared" si="708"/>
        <v>103646036</v>
      </c>
    </row>
    <row r="6291" spans="1:16" x14ac:dyDescent="0.3">
      <c r="A6291">
        <v>1036</v>
      </c>
      <c r="B6291">
        <v>22</v>
      </c>
      <c r="C6291" t="s">
        <v>26</v>
      </c>
      <c r="D6291" t="s">
        <v>27</v>
      </c>
      <c r="E6291" t="s">
        <v>17</v>
      </c>
      <c r="F6291" t="s">
        <v>21</v>
      </c>
      <c r="G6291" t="s">
        <v>43</v>
      </c>
      <c r="H6291" t="s">
        <v>25</v>
      </c>
      <c r="I6291" s="1">
        <v>3</v>
      </c>
      <c r="J6291" s="2">
        <v>46037</v>
      </c>
      <c r="L6291" s="1" t="str">
        <f t="shared" si="706"/>
        <v>qui</v>
      </c>
      <c r="M6291" s="1" t="str">
        <f t="shared" si="709"/>
        <v>jan</v>
      </c>
      <c r="N6291">
        <f t="shared" si="707"/>
        <v>2026</v>
      </c>
      <c r="P6291" t="str">
        <f t="shared" si="708"/>
        <v>103646037</v>
      </c>
    </row>
    <row r="6292" spans="1:16" x14ac:dyDescent="0.3">
      <c r="A6292">
        <v>1036</v>
      </c>
      <c r="B6292">
        <v>22</v>
      </c>
      <c r="C6292" t="s">
        <v>26</v>
      </c>
      <c r="D6292" t="s">
        <v>27</v>
      </c>
      <c r="E6292" t="s">
        <v>17</v>
      </c>
      <c r="F6292" t="s">
        <v>21</v>
      </c>
      <c r="G6292" t="s">
        <v>43</v>
      </c>
      <c r="H6292" t="s">
        <v>25</v>
      </c>
      <c r="I6292" s="1">
        <v>3</v>
      </c>
      <c r="J6292" s="2">
        <v>46038</v>
      </c>
      <c r="L6292" s="1" t="str">
        <f t="shared" si="706"/>
        <v>sex</v>
      </c>
      <c r="M6292" s="1" t="str">
        <f t="shared" si="709"/>
        <v>jan</v>
      </c>
      <c r="N6292">
        <f t="shared" si="707"/>
        <v>2026</v>
      </c>
      <c r="P6292" t="str">
        <f t="shared" si="708"/>
        <v>103646038</v>
      </c>
    </row>
    <row r="6293" spans="1:16" x14ac:dyDescent="0.3">
      <c r="A6293">
        <v>1036</v>
      </c>
      <c r="B6293">
        <v>22</v>
      </c>
      <c r="C6293" t="s">
        <v>26</v>
      </c>
      <c r="D6293" t="s">
        <v>27</v>
      </c>
      <c r="E6293" t="s">
        <v>17</v>
      </c>
      <c r="F6293" t="s">
        <v>21</v>
      </c>
      <c r="G6293" t="s">
        <v>43</v>
      </c>
      <c r="H6293" t="s">
        <v>25</v>
      </c>
      <c r="I6293" s="1">
        <v>3</v>
      </c>
      <c r="J6293" s="2">
        <v>46039</v>
      </c>
      <c r="L6293" s="1" t="str">
        <f t="shared" si="706"/>
        <v>sáb</v>
      </c>
      <c r="M6293" s="1" t="str">
        <f t="shared" si="709"/>
        <v>jan</v>
      </c>
      <c r="N6293">
        <f t="shared" si="707"/>
        <v>2026</v>
      </c>
      <c r="P6293" t="str">
        <f t="shared" si="708"/>
        <v>103646039</v>
      </c>
    </row>
    <row r="6294" spans="1:16" x14ac:dyDescent="0.3">
      <c r="A6294">
        <v>1036</v>
      </c>
      <c r="B6294">
        <v>22</v>
      </c>
      <c r="C6294" t="s">
        <v>26</v>
      </c>
      <c r="D6294" t="s">
        <v>27</v>
      </c>
      <c r="E6294" t="s">
        <v>17</v>
      </c>
      <c r="F6294" t="s">
        <v>21</v>
      </c>
      <c r="G6294" t="s">
        <v>43</v>
      </c>
      <c r="H6294" t="s">
        <v>25</v>
      </c>
      <c r="I6294" s="1">
        <v>3</v>
      </c>
      <c r="J6294" s="2">
        <v>46040</v>
      </c>
      <c r="L6294" s="1" t="str">
        <f t="shared" si="706"/>
        <v>dom</v>
      </c>
      <c r="M6294" s="1" t="str">
        <f t="shared" si="709"/>
        <v>jan</v>
      </c>
      <c r="N6294">
        <f t="shared" si="707"/>
        <v>2026</v>
      </c>
      <c r="P6294" t="str">
        <f t="shared" si="708"/>
        <v>103646040</v>
      </c>
    </row>
    <row r="6295" spans="1:16" x14ac:dyDescent="0.3">
      <c r="A6295">
        <v>1036</v>
      </c>
      <c r="B6295">
        <v>22</v>
      </c>
      <c r="C6295" t="s">
        <v>26</v>
      </c>
      <c r="D6295" t="s">
        <v>27</v>
      </c>
      <c r="E6295" t="s">
        <v>17</v>
      </c>
      <c r="F6295" t="s">
        <v>21</v>
      </c>
      <c r="G6295" t="s">
        <v>43</v>
      </c>
      <c r="H6295" t="s">
        <v>25</v>
      </c>
      <c r="I6295" s="1">
        <v>3</v>
      </c>
      <c r="J6295" s="2">
        <v>46041</v>
      </c>
      <c r="L6295" s="1" t="str">
        <f t="shared" si="706"/>
        <v>seg</v>
      </c>
      <c r="M6295" s="1" t="str">
        <f t="shared" si="709"/>
        <v>jan</v>
      </c>
      <c r="N6295">
        <f t="shared" si="707"/>
        <v>2026</v>
      </c>
      <c r="P6295" t="str">
        <f t="shared" si="708"/>
        <v>103646041</v>
      </c>
    </row>
    <row r="6296" spans="1:16" x14ac:dyDescent="0.3">
      <c r="A6296">
        <v>1036</v>
      </c>
      <c r="B6296">
        <v>22</v>
      </c>
      <c r="C6296" t="s">
        <v>26</v>
      </c>
      <c r="D6296" t="s">
        <v>27</v>
      </c>
      <c r="E6296" t="s">
        <v>17</v>
      </c>
      <c r="F6296" t="s">
        <v>21</v>
      </c>
      <c r="G6296" t="s">
        <v>43</v>
      </c>
      <c r="H6296" t="s">
        <v>25</v>
      </c>
      <c r="I6296" s="1">
        <v>3</v>
      </c>
      <c r="J6296" s="2">
        <v>46042</v>
      </c>
      <c r="L6296" s="1" t="str">
        <f t="shared" si="706"/>
        <v>ter</v>
      </c>
      <c r="M6296" s="1" t="str">
        <f t="shared" si="709"/>
        <v>jan</v>
      </c>
      <c r="N6296">
        <f t="shared" si="707"/>
        <v>2026</v>
      </c>
      <c r="P6296" t="str">
        <f t="shared" si="708"/>
        <v>103646042</v>
      </c>
    </row>
    <row r="6297" spans="1:16" x14ac:dyDescent="0.3">
      <c r="A6297">
        <v>1036</v>
      </c>
      <c r="B6297">
        <v>22</v>
      </c>
      <c r="C6297" t="s">
        <v>26</v>
      </c>
      <c r="D6297" t="s">
        <v>27</v>
      </c>
      <c r="E6297" t="s">
        <v>17</v>
      </c>
      <c r="F6297" t="s">
        <v>21</v>
      </c>
      <c r="G6297" t="s">
        <v>43</v>
      </c>
      <c r="H6297" t="s">
        <v>25</v>
      </c>
      <c r="I6297" s="1">
        <v>3</v>
      </c>
      <c r="J6297" s="2">
        <v>46043</v>
      </c>
      <c r="L6297" s="1" t="str">
        <f t="shared" si="706"/>
        <v>qua</v>
      </c>
      <c r="M6297" s="1" t="str">
        <f t="shared" si="709"/>
        <v>jan</v>
      </c>
      <c r="N6297">
        <f t="shared" si="707"/>
        <v>2026</v>
      </c>
      <c r="P6297" t="str">
        <f t="shared" si="708"/>
        <v>103646043</v>
      </c>
    </row>
    <row r="6298" spans="1:16" x14ac:dyDescent="0.3">
      <c r="A6298">
        <v>1036</v>
      </c>
      <c r="B6298">
        <v>22</v>
      </c>
      <c r="C6298" t="s">
        <v>26</v>
      </c>
      <c r="D6298" t="s">
        <v>27</v>
      </c>
      <c r="E6298" t="s">
        <v>17</v>
      </c>
      <c r="F6298" t="s">
        <v>21</v>
      </c>
      <c r="G6298" t="s">
        <v>43</v>
      </c>
      <c r="H6298" t="s">
        <v>25</v>
      </c>
      <c r="I6298" s="1">
        <v>3</v>
      </c>
      <c r="J6298" s="2">
        <v>46044</v>
      </c>
      <c r="L6298" s="1" t="str">
        <f t="shared" si="706"/>
        <v>qui</v>
      </c>
      <c r="M6298" s="1" t="str">
        <f t="shared" si="709"/>
        <v>jan</v>
      </c>
      <c r="N6298">
        <f t="shared" si="707"/>
        <v>2026</v>
      </c>
      <c r="P6298" t="str">
        <f t="shared" si="708"/>
        <v>103646044</v>
      </c>
    </row>
    <row r="6299" spans="1:16" x14ac:dyDescent="0.3">
      <c r="A6299">
        <v>1036</v>
      </c>
      <c r="B6299">
        <v>22</v>
      </c>
      <c r="C6299" t="s">
        <v>26</v>
      </c>
      <c r="D6299" t="s">
        <v>27</v>
      </c>
      <c r="E6299" t="s">
        <v>17</v>
      </c>
      <c r="F6299" t="s">
        <v>21</v>
      </c>
      <c r="G6299" t="s">
        <v>43</v>
      </c>
      <c r="H6299" t="s">
        <v>25</v>
      </c>
      <c r="I6299" s="1">
        <v>3</v>
      </c>
      <c r="J6299" s="2">
        <v>46045</v>
      </c>
      <c r="L6299" s="1" t="str">
        <f t="shared" ref="L6299:L6362" si="710">TEXT(J6299,"ddd")</f>
        <v>sex</v>
      </c>
      <c r="M6299" s="1" t="str">
        <f t="shared" si="709"/>
        <v>jan</v>
      </c>
      <c r="N6299">
        <f t="shared" ref="N6299:N6362" si="711">YEAR(J6299)</f>
        <v>2026</v>
      </c>
      <c r="P6299" t="str">
        <f t="shared" ref="P6299:P6362" si="712">CONCATENATE(A6299,J6299)</f>
        <v>103646045</v>
      </c>
    </row>
    <row r="6300" spans="1:16" x14ac:dyDescent="0.3">
      <c r="A6300">
        <v>1036</v>
      </c>
      <c r="B6300">
        <v>22</v>
      </c>
      <c r="C6300" t="s">
        <v>26</v>
      </c>
      <c r="D6300" t="s">
        <v>27</v>
      </c>
      <c r="E6300" t="s">
        <v>17</v>
      </c>
      <c r="F6300" t="s">
        <v>21</v>
      </c>
      <c r="G6300" t="s">
        <v>43</v>
      </c>
      <c r="H6300" t="s">
        <v>25</v>
      </c>
      <c r="I6300" s="1">
        <v>3</v>
      </c>
      <c r="J6300" s="2">
        <v>46046</v>
      </c>
      <c r="L6300" s="1" t="str">
        <f t="shared" si="710"/>
        <v>sáb</v>
      </c>
      <c r="M6300" s="1" t="str">
        <f t="shared" si="709"/>
        <v>jan</v>
      </c>
      <c r="N6300">
        <f t="shared" si="711"/>
        <v>2026</v>
      </c>
      <c r="P6300" t="str">
        <f t="shared" si="712"/>
        <v>103646046</v>
      </c>
    </row>
    <row r="6301" spans="1:16" x14ac:dyDescent="0.3">
      <c r="A6301">
        <v>1036</v>
      </c>
      <c r="B6301">
        <v>22</v>
      </c>
      <c r="C6301" t="s">
        <v>26</v>
      </c>
      <c r="D6301" t="s">
        <v>27</v>
      </c>
      <c r="E6301" t="s">
        <v>17</v>
      </c>
      <c r="F6301" t="s">
        <v>21</v>
      </c>
      <c r="G6301" t="s">
        <v>43</v>
      </c>
      <c r="H6301" t="s">
        <v>25</v>
      </c>
      <c r="I6301" s="1">
        <v>3</v>
      </c>
      <c r="J6301" s="2">
        <v>46047</v>
      </c>
      <c r="L6301" s="1" t="str">
        <f t="shared" si="710"/>
        <v>dom</v>
      </c>
      <c r="M6301" s="1" t="str">
        <f t="shared" si="709"/>
        <v>jan</v>
      </c>
      <c r="N6301">
        <f t="shared" si="711"/>
        <v>2026</v>
      </c>
      <c r="P6301" t="str">
        <f t="shared" si="712"/>
        <v>103646047</v>
      </c>
    </row>
    <row r="6302" spans="1:16" x14ac:dyDescent="0.3">
      <c r="A6302">
        <v>1036</v>
      </c>
      <c r="B6302">
        <v>22</v>
      </c>
      <c r="C6302" t="s">
        <v>26</v>
      </c>
      <c r="D6302" t="s">
        <v>27</v>
      </c>
      <c r="E6302" t="s">
        <v>17</v>
      </c>
      <c r="F6302" t="s">
        <v>21</v>
      </c>
      <c r="G6302" t="s">
        <v>43</v>
      </c>
      <c r="H6302" t="s">
        <v>25</v>
      </c>
      <c r="I6302" s="1">
        <v>3</v>
      </c>
      <c r="J6302" s="2">
        <v>46048</v>
      </c>
      <c r="L6302" s="1" t="str">
        <f t="shared" si="710"/>
        <v>seg</v>
      </c>
      <c r="M6302" s="1" t="str">
        <f t="shared" si="709"/>
        <v>jan</v>
      </c>
      <c r="N6302">
        <f t="shared" si="711"/>
        <v>2026</v>
      </c>
      <c r="P6302" t="str">
        <f t="shared" si="712"/>
        <v>103646048</v>
      </c>
    </row>
    <row r="6303" spans="1:16" x14ac:dyDescent="0.3">
      <c r="A6303">
        <v>1036</v>
      </c>
      <c r="B6303">
        <v>22</v>
      </c>
      <c r="C6303" t="s">
        <v>26</v>
      </c>
      <c r="D6303" t="s">
        <v>27</v>
      </c>
      <c r="E6303" t="s">
        <v>17</v>
      </c>
      <c r="F6303" t="s">
        <v>21</v>
      </c>
      <c r="G6303" t="s">
        <v>43</v>
      </c>
      <c r="H6303" t="s">
        <v>25</v>
      </c>
      <c r="I6303" s="1">
        <v>3</v>
      </c>
      <c r="J6303" s="2">
        <v>46049</v>
      </c>
      <c r="L6303" s="1" t="str">
        <f t="shared" si="710"/>
        <v>ter</v>
      </c>
      <c r="M6303" s="1" t="str">
        <f t="shared" si="709"/>
        <v>jan</v>
      </c>
      <c r="N6303">
        <f t="shared" si="711"/>
        <v>2026</v>
      </c>
      <c r="P6303" t="str">
        <f t="shared" si="712"/>
        <v>103646049</v>
      </c>
    </row>
    <row r="6304" spans="1:16" x14ac:dyDescent="0.3">
      <c r="A6304">
        <v>1036</v>
      </c>
      <c r="B6304">
        <v>22</v>
      </c>
      <c r="C6304" t="s">
        <v>26</v>
      </c>
      <c r="D6304" t="s">
        <v>27</v>
      </c>
      <c r="E6304" t="s">
        <v>17</v>
      </c>
      <c r="F6304" t="s">
        <v>21</v>
      </c>
      <c r="G6304" t="s">
        <v>43</v>
      </c>
      <c r="H6304" t="s">
        <v>25</v>
      </c>
      <c r="I6304" s="1">
        <v>3</v>
      </c>
      <c r="J6304" s="2">
        <v>46050</v>
      </c>
      <c r="L6304" s="1" t="str">
        <f t="shared" si="710"/>
        <v>qua</v>
      </c>
      <c r="M6304" s="1" t="str">
        <f t="shared" si="709"/>
        <v>jan</v>
      </c>
      <c r="N6304">
        <f t="shared" si="711"/>
        <v>2026</v>
      </c>
      <c r="P6304" t="str">
        <f t="shared" si="712"/>
        <v>103646050</v>
      </c>
    </row>
    <row r="6305" spans="1:16" x14ac:dyDescent="0.3">
      <c r="A6305">
        <v>1036</v>
      </c>
      <c r="B6305">
        <v>22</v>
      </c>
      <c r="C6305" t="s">
        <v>26</v>
      </c>
      <c r="D6305" t="s">
        <v>27</v>
      </c>
      <c r="E6305" t="s">
        <v>17</v>
      </c>
      <c r="F6305" t="s">
        <v>21</v>
      </c>
      <c r="G6305" t="s">
        <v>43</v>
      </c>
      <c r="H6305" t="s">
        <v>25</v>
      </c>
      <c r="I6305" s="1">
        <v>3</v>
      </c>
      <c r="J6305" s="2">
        <v>46051</v>
      </c>
      <c r="L6305" s="1" t="str">
        <f t="shared" si="710"/>
        <v>qui</v>
      </c>
      <c r="M6305" s="1" t="str">
        <f t="shared" si="709"/>
        <v>jan</v>
      </c>
      <c r="N6305">
        <f t="shared" si="711"/>
        <v>2026</v>
      </c>
      <c r="P6305" t="str">
        <f t="shared" si="712"/>
        <v>103646051</v>
      </c>
    </row>
    <row r="6306" spans="1:16" x14ac:dyDescent="0.3">
      <c r="A6306">
        <v>1036</v>
      </c>
      <c r="B6306">
        <v>22</v>
      </c>
      <c r="C6306" t="s">
        <v>26</v>
      </c>
      <c r="D6306" t="s">
        <v>27</v>
      </c>
      <c r="E6306" t="s">
        <v>17</v>
      </c>
      <c r="F6306" t="s">
        <v>21</v>
      </c>
      <c r="G6306" t="s">
        <v>43</v>
      </c>
      <c r="H6306" t="s">
        <v>25</v>
      </c>
      <c r="I6306" s="1">
        <v>3</v>
      </c>
      <c r="J6306" s="2">
        <v>46052</v>
      </c>
      <c r="L6306" s="1" t="str">
        <f t="shared" si="710"/>
        <v>sex</v>
      </c>
      <c r="M6306" s="1" t="str">
        <f t="shared" si="709"/>
        <v>jan</v>
      </c>
      <c r="N6306">
        <f t="shared" si="711"/>
        <v>2026</v>
      </c>
      <c r="P6306" t="str">
        <f t="shared" si="712"/>
        <v>103646052</v>
      </c>
    </row>
    <row r="6307" spans="1:16" x14ac:dyDescent="0.3">
      <c r="A6307">
        <v>1036</v>
      </c>
      <c r="B6307">
        <v>22</v>
      </c>
      <c r="C6307" t="s">
        <v>26</v>
      </c>
      <c r="D6307" t="s">
        <v>27</v>
      </c>
      <c r="E6307" t="s">
        <v>17</v>
      </c>
      <c r="F6307" t="s">
        <v>21</v>
      </c>
      <c r="G6307" t="s">
        <v>43</v>
      </c>
      <c r="H6307" t="s">
        <v>25</v>
      </c>
      <c r="I6307" s="1">
        <v>3</v>
      </c>
      <c r="J6307" s="2">
        <v>46053</v>
      </c>
      <c r="L6307" s="1" t="str">
        <f t="shared" si="710"/>
        <v>sáb</v>
      </c>
      <c r="M6307" s="1" t="str">
        <f t="shared" si="709"/>
        <v>jan</v>
      </c>
      <c r="N6307">
        <f t="shared" si="711"/>
        <v>2026</v>
      </c>
      <c r="P6307" t="str">
        <f t="shared" si="712"/>
        <v>103646053</v>
      </c>
    </row>
    <row r="6308" spans="1:16" x14ac:dyDescent="0.3">
      <c r="A6308">
        <v>1036</v>
      </c>
      <c r="B6308">
        <v>22</v>
      </c>
      <c r="C6308" t="s">
        <v>26</v>
      </c>
      <c r="D6308" t="s">
        <v>27</v>
      </c>
      <c r="E6308" t="s">
        <v>17</v>
      </c>
      <c r="F6308" t="s">
        <v>21</v>
      </c>
      <c r="G6308" t="s">
        <v>43</v>
      </c>
      <c r="H6308" t="s">
        <v>25</v>
      </c>
      <c r="I6308" s="1">
        <v>3</v>
      </c>
      <c r="J6308" s="2">
        <v>46054</v>
      </c>
      <c r="L6308" s="1" t="str">
        <f t="shared" si="710"/>
        <v>dom</v>
      </c>
      <c r="M6308" s="1" t="str">
        <f t="shared" si="709"/>
        <v>fev</v>
      </c>
      <c r="N6308">
        <f t="shared" si="711"/>
        <v>2026</v>
      </c>
      <c r="P6308" t="str">
        <f t="shared" si="712"/>
        <v>103646054</v>
      </c>
    </row>
    <row r="6309" spans="1:16" x14ac:dyDescent="0.3">
      <c r="A6309">
        <v>1036</v>
      </c>
      <c r="B6309">
        <v>22</v>
      </c>
      <c r="C6309" t="s">
        <v>26</v>
      </c>
      <c r="D6309" t="s">
        <v>27</v>
      </c>
      <c r="E6309" t="s">
        <v>17</v>
      </c>
      <c r="F6309" t="s">
        <v>21</v>
      </c>
      <c r="G6309" t="s">
        <v>43</v>
      </c>
      <c r="H6309" t="s">
        <v>25</v>
      </c>
      <c r="I6309" s="1">
        <v>3</v>
      </c>
      <c r="J6309" s="2">
        <v>46055</v>
      </c>
      <c r="L6309" s="1" t="str">
        <f t="shared" si="710"/>
        <v>seg</v>
      </c>
      <c r="M6309" s="1" t="str">
        <f t="shared" si="709"/>
        <v>fev</v>
      </c>
      <c r="N6309">
        <f t="shared" si="711"/>
        <v>2026</v>
      </c>
      <c r="P6309" t="str">
        <f t="shared" si="712"/>
        <v>103646055</v>
      </c>
    </row>
    <row r="6310" spans="1:16" x14ac:dyDescent="0.3">
      <c r="A6310">
        <v>1036</v>
      </c>
      <c r="B6310">
        <v>22</v>
      </c>
      <c r="C6310" t="s">
        <v>26</v>
      </c>
      <c r="D6310" t="s">
        <v>27</v>
      </c>
      <c r="E6310" t="s">
        <v>17</v>
      </c>
      <c r="F6310" t="s">
        <v>21</v>
      </c>
      <c r="G6310" t="s">
        <v>43</v>
      </c>
      <c r="H6310" t="s">
        <v>25</v>
      </c>
      <c r="I6310" s="1">
        <v>3</v>
      </c>
      <c r="J6310" s="2">
        <v>46056</v>
      </c>
      <c r="L6310" s="1" t="str">
        <f t="shared" si="710"/>
        <v>ter</v>
      </c>
      <c r="M6310" s="1" t="str">
        <f t="shared" si="709"/>
        <v>fev</v>
      </c>
      <c r="N6310">
        <f t="shared" si="711"/>
        <v>2026</v>
      </c>
      <c r="P6310" t="str">
        <f t="shared" si="712"/>
        <v>103646056</v>
      </c>
    </row>
    <row r="6311" spans="1:16" x14ac:dyDescent="0.3">
      <c r="A6311">
        <v>1036</v>
      </c>
      <c r="B6311">
        <v>22</v>
      </c>
      <c r="C6311" t="s">
        <v>26</v>
      </c>
      <c r="D6311" t="s">
        <v>27</v>
      </c>
      <c r="E6311" t="s">
        <v>17</v>
      </c>
      <c r="F6311" t="s">
        <v>21</v>
      </c>
      <c r="G6311" t="s">
        <v>43</v>
      </c>
      <c r="H6311" t="s">
        <v>25</v>
      </c>
      <c r="I6311" s="1">
        <v>3</v>
      </c>
      <c r="J6311" s="2">
        <v>46057</v>
      </c>
      <c r="L6311" s="1" t="str">
        <f t="shared" si="710"/>
        <v>qua</v>
      </c>
      <c r="M6311" s="1" t="str">
        <f t="shared" si="709"/>
        <v>fev</v>
      </c>
      <c r="N6311">
        <f t="shared" si="711"/>
        <v>2026</v>
      </c>
      <c r="P6311" t="str">
        <f t="shared" si="712"/>
        <v>103646057</v>
      </c>
    </row>
    <row r="6312" spans="1:16" x14ac:dyDescent="0.3">
      <c r="A6312">
        <v>1036</v>
      </c>
      <c r="B6312">
        <v>22</v>
      </c>
      <c r="C6312" t="s">
        <v>26</v>
      </c>
      <c r="D6312" t="s">
        <v>27</v>
      </c>
      <c r="E6312" t="s">
        <v>17</v>
      </c>
      <c r="F6312" t="s">
        <v>21</v>
      </c>
      <c r="G6312" t="s">
        <v>43</v>
      </c>
      <c r="H6312" t="s">
        <v>25</v>
      </c>
      <c r="I6312" s="1">
        <v>3</v>
      </c>
      <c r="J6312" s="2">
        <v>46058</v>
      </c>
      <c r="L6312" s="1" t="str">
        <f t="shared" si="710"/>
        <v>qui</v>
      </c>
      <c r="M6312" s="1" t="str">
        <f t="shared" si="709"/>
        <v>fev</v>
      </c>
      <c r="N6312">
        <f t="shared" si="711"/>
        <v>2026</v>
      </c>
      <c r="P6312" t="str">
        <f t="shared" si="712"/>
        <v>103646058</v>
      </c>
    </row>
    <row r="6313" spans="1:16" x14ac:dyDescent="0.3">
      <c r="A6313">
        <v>1036</v>
      </c>
      <c r="B6313">
        <v>22</v>
      </c>
      <c r="C6313" t="s">
        <v>26</v>
      </c>
      <c r="D6313" t="s">
        <v>27</v>
      </c>
      <c r="E6313" t="s">
        <v>17</v>
      </c>
      <c r="F6313" t="s">
        <v>21</v>
      </c>
      <c r="G6313" t="s">
        <v>43</v>
      </c>
      <c r="H6313" t="s">
        <v>25</v>
      </c>
      <c r="I6313" s="1">
        <v>3</v>
      </c>
      <c r="J6313" s="2">
        <v>46059</v>
      </c>
      <c r="L6313" s="1" t="str">
        <f t="shared" si="710"/>
        <v>sex</v>
      </c>
      <c r="M6313" s="1" t="str">
        <f t="shared" si="709"/>
        <v>fev</v>
      </c>
      <c r="N6313">
        <f t="shared" si="711"/>
        <v>2026</v>
      </c>
      <c r="P6313" t="str">
        <f t="shared" si="712"/>
        <v>103646059</v>
      </c>
    </row>
    <row r="6314" spans="1:16" x14ac:dyDescent="0.3">
      <c r="A6314">
        <v>1036</v>
      </c>
      <c r="B6314">
        <v>22</v>
      </c>
      <c r="C6314" t="s">
        <v>26</v>
      </c>
      <c r="D6314" t="s">
        <v>27</v>
      </c>
      <c r="E6314" t="s">
        <v>17</v>
      </c>
      <c r="F6314" t="s">
        <v>21</v>
      </c>
      <c r="G6314" t="s">
        <v>43</v>
      </c>
      <c r="H6314" t="s">
        <v>25</v>
      </c>
      <c r="I6314" s="1">
        <v>3</v>
      </c>
      <c r="J6314" s="2">
        <v>46060</v>
      </c>
      <c r="L6314" s="1" t="str">
        <f t="shared" si="710"/>
        <v>sáb</v>
      </c>
      <c r="M6314" s="1" t="str">
        <f t="shared" si="709"/>
        <v>fev</v>
      </c>
      <c r="N6314">
        <f t="shared" si="711"/>
        <v>2026</v>
      </c>
      <c r="P6314" t="str">
        <f t="shared" si="712"/>
        <v>103646060</v>
      </c>
    </row>
    <row r="6315" spans="1:16" x14ac:dyDescent="0.3">
      <c r="A6315">
        <v>1036</v>
      </c>
      <c r="B6315">
        <v>22</v>
      </c>
      <c r="C6315" t="s">
        <v>26</v>
      </c>
      <c r="D6315" t="s">
        <v>27</v>
      </c>
      <c r="E6315" t="s">
        <v>17</v>
      </c>
      <c r="F6315" t="s">
        <v>21</v>
      </c>
      <c r="G6315" t="s">
        <v>43</v>
      </c>
      <c r="H6315" t="s">
        <v>25</v>
      </c>
      <c r="I6315" s="1">
        <v>3</v>
      </c>
      <c r="J6315" s="2">
        <v>46061</v>
      </c>
      <c r="L6315" s="1" t="str">
        <f t="shared" si="710"/>
        <v>dom</v>
      </c>
      <c r="M6315" s="1" t="str">
        <f t="shared" si="709"/>
        <v>fev</v>
      </c>
      <c r="N6315">
        <f t="shared" si="711"/>
        <v>2026</v>
      </c>
      <c r="P6315" t="str">
        <f t="shared" si="712"/>
        <v>103646061</v>
      </c>
    </row>
    <row r="6316" spans="1:16" x14ac:dyDescent="0.3">
      <c r="A6316">
        <v>1036</v>
      </c>
      <c r="B6316">
        <v>22</v>
      </c>
      <c r="C6316" t="s">
        <v>26</v>
      </c>
      <c r="D6316" t="s">
        <v>27</v>
      </c>
      <c r="E6316" t="s">
        <v>17</v>
      </c>
      <c r="F6316" t="s">
        <v>21</v>
      </c>
      <c r="G6316" t="s">
        <v>43</v>
      </c>
      <c r="H6316" t="s">
        <v>25</v>
      </c>
      <c r="I6316" s="1">
        <v>3</v>
      </c>
      <c r="J6316" s="2">
        <v>46062</v>
      </c>
      <c r="L6316" s="1" t="str">
        <f t="shared" si="710"/>
        <v>seg</v>
      </c>
      <c r="M6316" s="1" t="str">
        <f t="shared" si="709"/>
        <v>fev</v>
      </c>
      <c r="N6316">
        <f t="shared" si="711"/>
        <v>2026</v>
      </c>
      <c r="P6316" t="str">
        <f t="shared" si="712"/>
        <v>103646062</v>
      </c>
    </row>
    <row r="6317" spans="1:16" x14ac:dyDescent="0.3">
      <c r="A6317">
        <v>1036</v>
      </c>
      <c r="B6317">
        <v>22</v>
      </c>
      <c r="C6317" t="s">
        <v>26</v>
      </c>
      <c r="D6317" t="s">
        <v>27</v>
      </c>
      <c r="E6317" t="s">
        <v>17</v>
      </c>
      <c r="F6317" t="s">
        <v>21</v>
      </c>
      <c r="G6317" t="s">
        <v>43</v>
      </c>
      <c r="H6317" t="s">
        <v>25</v>
      </c>
      <c r="I6317" s="1">
        <v>3</v>
      </c>
      <c r="J6317" s="2">
        <v>46063</v>
      </c>
      <c r="L6317" s="1" t="str">
        <f t="shared" si="710"/>
        <v>ter</v>
      </c>
      <c r="M6317" s="1" t="str">
        <f t="shared" si="709"/>
        <v>fev</v>
      </c>
      <c r="N6317">
        <f t="shared" si="711"/>
        <v>2026</v>
      </c>
      <c r="P6317" t="str">
        <f t="shared" si="712"/>
        <v>103646063</v>
      </c>
    </row>
    <row r="6318" spans="1:16" x14ac:dyDescent="0.3">
      <c r="A6318">
        <v>1036</v>
      </c>
      <c r="B6318">
        <v>22</v>
      </c>
      <c r="C6318" t="s">
        <v>26</v>
      </c>
      <c r="D6318" t="s">
        <v>27</v>
      </c>
      <c r="E6318" t="s">
        <v>17</v>
      </c>
      <c r="F6318" t="s">
        <v>21</v>
      </c>
      <c r="G6318" t="s">
        <v>43</v>
      </c>
      <c r="H6318" t="s">
        <v>25</v>
      </c>
      <c r="I6318" s="1">
        <v>3</v>
      </c>
      <c r="J6318" s="2">
        <v>46064</v>
      </c>
      <c r="L6318" s="1" t="str">
        <f t="shared" si="710"/>
        <v>qua</v>
      </c>
      <c r="M6318" s="1" t="str">
        <f t="shared" si="709"/>
        <v>fev</v>
      </c>
      <c r="N6318">
        <f t="shared" si="711"/>
        <v>2026</v>
      </c>
      <c r="P6318" t="str">
        <f t="shared" si="712"/>
        <v>103646064</v>
      </c>
    </row>
    <row r="6319" spans="1:16" x14ac:dyDescent="0.3">
      <c r="A6319">
        <v>1036</v>
      </c>
      <c r="B6319">
        <v>22</v>
      </c>
      <c r="C6319" t="s">
        <v>26</v>
      </c>
      <c r="D6319" t="s">
        <v>27</v>
      </c>
      <c r="E6319" t="s">
        <v>17</v>
      </c>
      <c r="F6319" t="s">
        <v>21</v>
      </c>
      <c r="G6319" t="s">
        <v>43</v>
      </c>
      <c r="H6319" t="s">
        <v>25</v>
      </c>
      <c r="I6319" s="1">
        <v>3</v>
      </c>
      <c r="J6319" s="2">
        <v>46065</v>
      </c>
      <c r="L6319" s="1" t="str">
        <f t="shared" si="710"/>
        <v>qui</v>
      </c>
      <c r="M6319" s="1" t="str">
        <f t="shared" si="709"/>
        <v>fev</v>
      </c>
      <c r="N6319">
        <f t="shared" si="711"/>
        <v>2026</v>
      </c>
      <c r="P6319" t="str">
        <f t="shared" si="712"/>
        <v>103646065</v>
      </c>
    </row>
    <row r="6320" spans="1:16" x14ac:dyDescent="0.3">
      <c r="A6320">
        <v>1036</v>
      </c>
      <c r="B6320">
        <v>22</v>
      </c>
      <c r="C6320" t="s">
        <v>26</v>
      </c>
      <c r="D6320" t="s">
        <v>27</v>
      </c>
      <c r="E6320" t="s">
        <v>17</v>
      </c>
      <c r="F6320" t="s">
        <v>21</v>
      </c>
      <c r="G6320" t="s">
        <v>43</v>
      </c>
      <c r="H6320" t="s">
        <v>25</v>
      </c>
      <c r="I6320" s="1">
        <v>3</v>
      </c>
      <c r="J6320" s="2">
        <v>46066</v>
      </c>
      <c r="L6320" s="1" t="str">
        <f t="shared" si="710"/>
        <v>sex</v>
      </c>
      <c r="M6320" s="1" t="str">
        <f t="shared" si="709"/>
        <v>fev</v>
      </c>
      <c r="N6320">
        <f t="shared" si="711"/>
        <v>2026</v>
      </c>
      <c r="P6320" t="str">
        <f t="shared" si="712"/>
        <v>103646066</v>
      </c>
    </row>
    <row r="6321" spans="1:16" x14ac:dyDescent="0.3">
      <c r="A6321">
        <v>1036</v>
      </c>
      <c r="B6321">
        <v>22</v>
      </c>
      <c r="C6321" t="s">
        <v>26</v>
      </c>
      <c r="D6321" t="s">
        <v>27</v>
      </c>
      <c r="E6321" t="s">
        <v>17</v>
      </c>
      <c r="F6321" t="s">
        <v>21</v>
      </c>
      <c r="G6321" t="s">
        <v>43</v>
      </c>
      <c r="H6321" t="s">
        <v>25</v>
      </c>
      <c r="I6321" s="1">
        <v>3</v>
      </c>
      <c r="J6321" s="2">
        <v>46067</v>
      </c>
      <c r="L6321" s="1" t="str">
        <f t="shared" si="710"/>
        <v>sáb</v>
      </c>
      <c r="M6321" s="1" t="str">
        <f t="shared" ref="M6321:M6384" si="713">TEXT($J6321,"mmm")</f>
        <v>fev</v>
      </c>
      <c r="N6321">
        <f t="shared" si="711"/>
        <v>2026</v>
      </c>
      <c r="P6321" t="str">
        <f t="shared" si="712"/>
        <v>103646067</v>
      </c>
    </row>
    <row r="6322" spans="1:16" x14ac:dyDescent="0.3">
      <c r="A6322">
        <v>1036</v>
      </c>
      <c r="B6322">
        <v>22</v>
      </c>
      <c r="C6322" t="s">
        <v>26</v>
      </c>
      <c r="D6322" t="s">
        <v>27</v>
      </c>
      <c r="E6322" t="s">
        <v>17</v>
      </c>
      <c r="F6322" t="s">
        <v>21</v>
      </c>
      <c r="G6322" t="s">
        <v>43</v>
      </c>
      <c r="H6322" t="s">
        <v>25</v>
      </c>
      <c r="I6322" s="1">
        <v>3</v>
      </c>
      <c r="J6322" s="2">
        <v>46068</v>
      </c>
      <c r="L6322" s="1" t="str">
        <f t="shared" si="710"/>
        <v>dom</v>
      </c>
      <c r="M6322" s="1" t="str">
        <f t="shared" si="713"/>
        <v>fev</v>
      </c>
      <c r="N6322">
        <f t="shared" si="711"/>
        <v>2026</v>
      </c>
      <c r="P6322" t="str">
        <f t="shared" si="712"/>
        <v>103646068</v>
      </c>
    </row>
    <row r="6323" spans="1:16" x14ac:dyDescent="0.3">
      <c r="A6323">
        <v>1036</v>
      </c>
      <c r="B6323">
        <v>22</v>
      </c>
      <c r="C6323" t="s">
        <v>26</v>
      </c>
      <c r="D6323" t="s">
        <v>27</v>
      </c>
      <c r="E6323" t="s">
        <v>17</v>
      </c>
      <c r="F6323" t="s">
        <v>21</v>
      </c>
      <c r="G6323" t="s">
        <v>43</v>
      </c>
      <c r="H6323" t="s">
        <v>25</v>
      </c>
      <c r="I6323" s="1">
        <v>3</v>
      </c>
      <c r="J6323" s="2">
        <v>46069</v>
      </c>
      <c r="L6323" s="1" t="str">
        <f t="shared" si="710"/>
        <v>seg</v>
      </c>
      <c r="M6323" s="1" t="str">
        <f t="shared" si="713"/>
        <v>fev</v>
      </c>
      <c r="N6323">
        <f t="shared" si="711"/>
        <v>2026</v>
      </c>
      <c r="P6323" t="str">
        <f t="shared" si="712"/>
        <v>103646069</v>
      </c>
    </row>
    <row r="6324" spans="1:16" x14ac:dyDescent="0.3">
      <c r="A6324">
        <v>1036</v>
      </c>
      <c r="B6324">
        <v>22</v>
      </c>
      <c r="C6324" t="s">
        <v>26</v>
      </c>
      <c r="D6324" t="s">
        <v>27</v>
      </c>
      <c r="E6324" t="s">
        <v>17</v>
      </c>
      <c r="F6324" t="s">
        <v>21</v>
      </c>
      <c r="G6324" t="s">
        <v>43</v>
      </c>
      <c r="H6324" t="s">
        <v>25</v>
      </c>
      <c r="I6324" s="1">
        <v>3</v>
      </c>
      <c r="J6324" s="2">
        <v>46070</v>
      </c>
      <c r="L6324" s="1" t="str">
        <f t="shared" si="710"/>
        <v>ter</v>
      </c>
      <c r="M6324" s="1" t="str">
        <f t="shared" si="713"/>
        <v>fev</v>
      </c>
      <c r="N6324">
        <f t="shared" si="711"/>
        <v>2026</v>
      </c>
      <c r="P6324" t="str">
        <f t="shared" si="712"/>
        <v>103646070</v>
      </c>
    </row>
    <row r="6325" spans="1:16" x14ac:dyDescent="0.3">
      <c r="A6325">
        <v>1036</v>
      </c>
      <c r="B6325">
        <v>22</v>
      </c>
      <c r="C6325" t="s">
        <v>26</v>
      </c>
      <c r="D6325" t="s">
        <v>27</v>
      </c>
      <c r="E6325" t="s">
        <v>17</v>
      </c>
      <c r="F6325" t="s">
        <v>21</v>
      </c>
      <c r="G6325" t="s">
        <v>43</v>
      </c>
      <c r="H6325" t="s">
        <v>25</v>
      </c>
      <c r="I6325" s="1">
        <v>3</v>
      </c>
      <c r="J6325" s="2">
        <v>46071</v>
      </c>
      <c r="L6325" s="1" t="str">
        <f t="shared" si="710"/>
        <v>qua</v>
      </c>
      <c r="M6325" s="1" t="str">
        <f t="shared" si="713"/>
        <v>fev</v>
      </c>
      <c r="N6325">
        <f t="shared" si="711"/>
        <v>2026</v>
      </c>
      <c r="P6325" t="str">
        <f t="shared" si="712"/>
        <v>103646071</v>
      </c>
    </row>
    <row r="6326" spans="1:16" x14ac:dyDescent="0.3">
      <c r="A6326">
        <v>1036</v>
      </c>
      <c r="B6326">
        <v>22</v>
      </c>
      <c r="C6326" t="s">
        <v>26</v>
      </c>
      <c r="D6326" t="s">
        <v>27</v>
      </c>
      <c r="E6326" t="s">
        <v>17</v>
      </c>
      <c r="F6326" t="s">
        <v>21</v>
      </c>
      <c r="G6326" t="s">
        <v>43</v>
      </c>
      <c r="H6326" t="s">
        <v>25</v>
      </c>
      <c r="I6326" s="1">
        <v>3</v>
      </c>
      <c r="J6326" s="2">
        <v>46072</v>
      </c>
      <c r="L6326" s="1" t="str">
        <f t="shared" si="710"/>
        <v>qui</v>
      </c>
      <c r="M6326" s="1" t="str">
        <f t="shared" si="713"/>
        <v>fev</v>
      </c>
      <c r="N6326">
        <f t="shared" si="711"/>
        <v>2026</v>
      </c>
      <c r="P6326" t="str">
        <f t="shared" si="712"/>
        <v>103646072</v>
      </c>
    </row>
    <row r="6327" spans="1:16" x14ac:dyDescent="0.3">
      <c r="A6327">
        <v>1036</v>
      </c>
      <c r="B6327">
        <v>22</v>
      </c>
      <c r="C6327" t="s">
        <v>26</v>
      </c>
      <c r="D6327" t="s">
        <v>27</v>
      </c>
      <c r="E6327" t="s">
        <v>17</v>
      </c>
      <c r="F6327" t="s">
        <v>21</v>
      </c>
      <c r="G6327" t="s">
        <v>43</v>
      </c>
      <c r="H6327" t="s">
        <v>25</v>
      </c>
      <c r="I6327" s="1">
        <v>3</v>
      </c>
      <c r="J6327" s="2">
        <v>46073</v>
      </c>
      <c r="L6327" s="1" t="str">
        <f t="shared" si="710"/>
        <v>sex</v>
      </c>
      <c r="M6327" s="1" t="str">
        <f t="shared" si="713"/>
        <v>fev</v>
      </c>
      <c r="N6327">
        <f t="shared" si="711"/>
        <v>2026</v>
      </c>
      <c r="P6327" t="str">
        <f t="shared" si="712"/>
        <v>103646073</v>
      </c>
    </row>
    <row r="6328" spans="1:16" x14ac:dyDescent="0.3">
      <c r="A6328">
        <v>1036</v>
      </c>
      <c r="B6328">
        <v>22</v>
      </c>
      <c r="C6328" t="s">
        <v>26</v>
      </c>
      <c r="D6328" t="s">
        <v>27</v>
      </c>
      <c r="E6328" t="s">
        <v>17</v>
      </c>
      <c r="F6328" t="s">
        <v>21</v>
      </c>
      <c r="G6328" t="s">
        <v>43</v>
      </c>
      <c r="H6328" t="s">
        <v>25</v>
      </c>
      <c r="I6328" s="1">
        <v>3</v>
      </c>
      <c r="J6328" s="2">
        <v>46074</v>
      </c>
      <c r="L6328" s="1" t="str">
        <f t="shared" si="710"/>
        <v>sáb</v>
      </c>
      <c r="M6328" s="1" t="str">
        <f t="shared" si="713"/>
        <v>fev</v>
      </c>
      <c r="N6328">
        <f t="shared" si="711"/>
        <v>2026</v>
      </c>
      <c r="P6328" t="str">
        <f t="shared" si="712"/>
        <v>103646074</v>
      </c>
    </row>
    <row r="6329" spans="1:16" x14ac:dyDescent="0.3">
      <c r="A6329">
        <v>1036</v>
      </c>
      <c r="B6329">
        <v>22</v>
      </c>
      <c r="C6329" t="s">
        <v>26</v>
      </c>
      <c r="D6329" t="s">
        <v>27</v>
      </c>
      <c r="E6329" t="s">
        <v>17</v>
      </c>
      <c r="F6329" t="s">
        <v>21</v>
      </c>
      <c r="G6329" t="s">
        <v>43</v>
      </c>
      <c r="H6329" t="s">
        <v>25</v>
      </c>
      <c r="I6329" s="1">
        <v>3</v>
      </c>
      <c r="J6329" s="2">
        <v>46075</v>
      </c>
      <c r="L6329" s="1" t="str">
        <f t="shared" si="710"/>
        <v>dom</v>
      </c>
      <c r="M6329" s="1" t="str">
        <f t="shared" si="713"/>
        <v>fev</v>
      </c>
      <c r="N6329">
        <f t="shared" si="711"/>
        <v>2026</v>
      </c>
      <c r="P6329" t="str">
        <f t="shared" si="712"/>
        <v>103646075</v>
      </c>
    </row>
    <row r="6330" spans="1:16" x14ac:dyDescent="0.3">
      <c r="A6330">
        <v>1036</v>
      </c>
      <c r="B6330">
        <v>22</v>
      </c>
      <c r="C6330" t="s">
        <v>26</v>
      </c>
      <c r="D6330" t="s">
        <v>27</v>
      </c>
      <c r="E6330" t="s">
        <v>17</v>
      </c>
      <c r="F6330" t="s">
        <v>21</v>
      </c>
      <c r="G6330" t="s">
        <v>43</v>
      </c>
      <c r="H6330" t="s">
        <v>25</v>
      </c>
      <c r="I6330" s="1">
        <v>3</v>
      </c>
      <c r="J6330" s="2">
        <v>46076</v>
      </c>
      <c r="L6330" s="1" t="str">
        <f t="shared" si="710"/>
        <v>seg</v>
      </c>
      <c r="M6330" s="1" t="str">
        <f t="shared" si="713"/>
        <v>fev</v>
      </c>
      <c r="N6330">
        <f t="shared" si="711"/>
        <v>2026</v>
      </c>
      <c r="P6330" t="str">
        <f t="shared" si="712"/>
        <v>103646076</v>
      </c>
    </row>
    <row r="6331" spans="1:16" x14ac:dyDescent="0.3">
      <c r="A6331">
        <v>1036</v>
      </c>
      <c r="B6331">
        <v>22</v>
      </c>
      <c r="C6331" t="s">
        <v>26</v>
      </c>
      <c r="D6331" t="s">
        <v>27</v>
      </c>
      <c r="E6331" t="s">
        <v>17</v>
      </c>
      <c r="F6331" t="s">
        <v>21</v>
      </c>
      <c r="G6331" t="s">
        <v>43</v>
      </c>
      <c r="H6331" t="s">
        <v>25</v>
      </c>
      <c r="I6331" s="1">
        <v>3</v>
      </c>
      <c r="J6331" s="2">
        <v>46077</v>
      </c>
      <c r="L6331" s="1" t="str">
        <f t="shared" si="710"/>
        <v>ter</v>
      </c>
      <c r="M6331" s="1" t="str">
        <f t="shared" si="713"/>
        <v>fev</v>
      </c>
      <c r="N6331">
        <f t="shared" si="711"/>
        <v>2026</v>
      </c>
      <c r="P6331" t="str">
        <f t="shared" si="712"/>
        <v>103646077</v>
      </c>
    </row>
    <row r="6332" spans="1:16" x14ac:dyDescent="0.3">
      <c r="A6332">
        <v>1036</v>
      </c>
      <c r="B6332">
        <v>22</v>
      </c>
      <c r="C6332" t="s">
        <v>26</v>
      </c>
      <c r="D6332" t="s">
        <v>27</v>
      </c>
      <c r="E6332" t="s">
        <v>17</v>
      </c>
      <c r="F6332" t="s">
        <v>21</v>
      </c>
      <c r="G6332" t="s">
        <v>43</v>
      </c>
      <c r="H6332" t="s">
        <v>25</v>
      </c>
      <c r="I6332" s="1">
        <v>3</v>
      </c>
      <c r="J6332" s="2">
        <v>46078</v>
      </c>
      <c r="L6332" s="1" t="str">
        <f t="shared" si="710"/>
        <v>qua</v>
      </c>
      <c r="M6332" s="1" t="str">
        <f t="shared" si="713"/>
        <v>fev</v>
      </c>
      <c r="N6332">
        <f t="shared" si="711"/>
        <v>2026</v>
      </c>
      <c r="P6332" t="str">
        <f t="shared" si="712"/>
        <v>103646078</v>
      </c>
    </row>
    <row r="6333" spans="1:16" x14ac:dyDescent="0.3">
      <c r="A6333">
        <v>1036</v>
      </c>
      <c r="B6333">
        <v>22</v>
      </c>
      <c r="C6333" t="s">
        <v>26</v>
      </c>
      <c r="D6333" t="s">
        <v>27</v>
      </c>
      <c r="E6333" t="s">
        <v>17</v>
      </c>
      <c r="F6333" t="s">
        <v>21</v>
      </c>
      <c r="G6333" t="s">
        <v>43</v>
      </c>
      <c r="H6333" t="s">
        <v>25</v>
      </c>
      <c r="I6333" s="1">
        <v>3</v>
      </c>
      <c r="J6333" s="2">
        <v>46079</v>
      </c>
      <c r="L6333" s="1" t="str">
        <f t="shared" si="710"/>
        <v>qui</v>
      </c>
      <c r="M6333" s="1" t="str">
        <f t="shared" si="713"/>
        <v>fev</v>
      </c>
      <c r="N6333">
        <f t="shared" si="711"/>
        <v>2026</v>
      </c>
      <c r="P6333" t="str">
        <f t="shared" si="712"/>
        <v>103646079</v>
      </c>
    </row>
    <row r="6334" spans="1:16" x14ac:dyDescent="0.3">
      <c r="A6334">
        <v>1036</v>
      </c>
      <c r="B6334">
        <v>22</v>
      </c>
      <c r="C6334" t="s">
        <v>26</v>
      </c>
      <c r="D6334" t="s">
        <v>27</v>
      </c>
      <c r="E6334" t="s">
        <v>17</v>
      </c>
      <c r="F6334" t="s">
        <v>21</v>
      </c>
      <c r="G6334" t="s">
        <v>43</v>
      </c>
      <c r="H6334" t="s">
        <v>25</v>
      </c>
      <c r="I6334" s="1">
        <v>3</v>
      </c>
      <c r="J6334" s="2">
        <v>46080</v>
      </c>
      <c r="L6334" s="1" t="str">
        <f t="shared" si="710"/>
        <v>sex</v>
      </c>
      <c r="M6334" s="1" t="str">
        <f t="shared" si="713"/>
        <v>fev</v>
      </c>
      <c r="N6334">
        <f t="shared" si="711"/>
        <v>2026</v>
      </c>
      <c r="P6334" t="str">
        <f t="shared" si="712"/>
        <v>103646080</v>
      </c>
    </row>
    <row r="6335" spans="1:16" x14ac:dyDescent="0.3">
      <c r="A6335">
        <v>1036</v>
      </c>
      <c r="B6335">
        <v>22</v>
      </c>
      <c r="C6335" t="s">
        <v>26</v>
      </c>
      <c r="D6335" t="s">
        <v>27</v>
      </c>
      <c r="E6335" t="s">
        <v>17</v>
      </c>
      <c r="F6335" t="s">
        <v>21</v>
      </c>
      <c r="G6335" t="s">
        <v>43</v>
      </c>
      <c r="H6335" t="s">
        <v>25</v>
      </c>
      <c r="I6335" s="1">
        <v>3</v>
      </c>
      <c r="J6335" s="2">
        <v>46081</v>
      </c>
      <c r="L6335" s="1" t="str">
        <f t="shared" si="710"/>
        <v>sáb</v>
      </c>
      <c r="M6335" s="1" t="str">
        <f t="shared" si="713"/>
        <v>fev</v>
      </c>
      <c r="N6335">
        <f t="shared" si="711"/>
        <v>2026</v>
      </c>
      <c r="P6335" t="str">
        <f t="shared" si="712"/>
        <v>103646081</v>
      </c>
    </row>
    <row r="6336" spans="1:16" x14ac:dyDescent="0.3">
      <c r="A6336">
        <v>1036</v>
      </c>
      <c r="B6336">
        <v>22</v>
      </c>
      <c r="C6336" t="s">
        <v>26</v>
      </c>
      <c r="D6336" t="s">
        <v>27</v>
      </c>
      <c r="E6336" t="s">
        <v>17</v>
      </c>
      <c r="F6336" t="s">
        <v>21</v>
      </c>
      <c r="G6336" t="s">
        <v>43</v>
      </c>
      <c r="H6336" t="s">
        <v>25</v>
      </c>
      <c r="I6336" s="1">
        <v>3</v>
      </c>
      <c r="J6336" s="2">
        <v>46082</v>
      </c>
      <c r="L6336" s="1" t="str">
        <f t="shared" si="710"/>
        <v>dom</v>
      </c>
      <c r="M6336" s="1" t="str">
        <f t="shared" si="713"/>
        <v>mar</v>
      </c>
      <c r="N6336">
        <f t="shared" si="711"/>
        <v>2026</v>
      </c>
      <c r="P6336" t="str">
        <f t="shared" si="712"/>
        <v>103646082</v>
      </c>
    </row>
    <row r="6337" spans="1:16" x14ac:dyDescent="0.3">
      <c r="A6337">
        <v>1036</v>
      </c>
      <c r="B6337">
        <v>22</v>
      </c>
      <c r="C6337" t="s">
        <v>26</v>
      </c>
      <c r="D6337" t="s">
        <v>27</v>
      </c>
      <c r="E6337" t="s">
        <v>17</v>
      </c>
      <c r="F6337" t="s">
        <v>21</v>
      </c>
      <c r="G6337" t="s">
        <v>43</v>
      </c>
      <c r="H6337" t="s">
        <v>25</v>
      </c>
      <c r="I6337" s="1">
        <v>3</v>
      </c>
      <c r="J6337" s="2">
        <v>46083</v>
      </c>
      <c r="L6337" s="1" t="str">
        <f t="shared" si="710"/>
        <v>seg</v>
      </c>
      <c r="M6337" s="1" t="str">
        <f t="shared" si="713"/>
        <v>mar</v>
      </c>
      <c r="N6337">
        <f t="shared" si="711"/>
        <v>2026</v>
      </c>
      <c r="P6337" t="str">
        <f t="shared" si="712"/>
        <v>103646083</v>
      </c>
    </row>
    <row r="6338" spans="1:16" x14ac:dyDescent="0.3">
      <c r="A6338">
        <v>1036</v>
      </c>
      <c r="B6338">
        <v>22</v>
      </c>
      <c r="C6338" t="s">
        <v>26</v>
      </c>
      <c r="D6338" t="s">
        <v>27</v>
      </c>
      <c r="E6338" t="s">
        <v>17</v>
      </c>
      <c r="F6338" t="s">
        <v>21</v>
      </c>
      <c r="G6338" t="s">
        <v>43</v>
      </c>
      <c r="H6338" t="s">
        <v>25</v>
      </c>
      <c r="I6338" s="1">
        <v>3</v>
      </c>
      <c r="J6338" s="2">
        <v>46084</v>
      </c>
      <c r="L6338" s="1" t="str">
        <f t="shared" si="710"/>
        <v>ter</v>
      </c>
      <c r="M6338" s="1" t="str">
        <f t="shared" si="713"/>
        <v>mar</v>
      </c>
      <c r="N6338">
        <f t="shared" si="711"/>
        <v>2026</v>
      </c>
      <c r="P6338" t="str">
        <f t="shared" si="712"/>
        <v>103646084</v>
      </c>
    </row>
    <row r="6339" spans="1:16" x14ac:dyDescent="0.3">
      <c r="A6339">
        <v>1036</v>
      </c>
      <c r="B6339">
        <v>22</v>
      </c>
      <c r="C6339" t="s">
        <v>26</v>
      </c>
      <c r="D6339" t="s">
        <v>27</v>
      </c>
      <c r="E6339" t="s">
        <v>17</v>
      </c>
      <c r="F6339" t="s">
        <v>21</v>
      </c>
      <c r="G6339" t="s">
        <v>43</v>
      </c>
      <c r="H6339" t="s">
        <v>25</v>
      </c>
      <c r="I6339" s="1">
        <v>3</v>
      </c>
      <c r="J6339" s="2">
        <v>46085</v>
      </c>
      <c r="L6339" s="1" t="str">
        <f t="shared" si="710"/>
        <v>qua</v>
      </c>
      <c r="M6339" s="1" t="str">
        <f t="shared" si="713"/>
        <v>mar</v>
      </c>
      <c r="N6339">
        <f t="shared" si="711"/>
        <v>2026</v>
      </c>
      <c r="P6339" t="str">
        <f t="shared" si="712"/>
        <v>103646085</v>
      </c>
    </row>
    <row r="6340" spans="1:16" x14ac:dyDescent="0.3">
      <c r="A6340">
        <v>1036</v>
      </c>
      <c r="B6340">
        <v>22</v>
      </c>
      <c r="C6340" t="s">
        <v>26</v>
      </c>
      <c r="D6340" t="s">
        <v>27</v>
      </c>
      <c r="E6340" t="s">
        <v>17</v>
      </c>
      <c r="F6340" t="s">
        <v>21</v>
      </c>
      <c r="G6340" t="s">
        <v>43</v>
      </c>
      <c r="H6340" t="s">
        <v>25</v>
      </c>
      <c r="I6340" s="1">
        <v>3</v>
      </c>
      <c r="J6340" s="2">
        <v>46086</v>
      </c>
      <c r="L6340" s="1" t="str">
        <f t="shared" si="710"/>
        <v>qui</v>
      </c>
      <c r="M6340" s="1" t="str">
        <f t="shared" si="713"/>
        <v>mar</v>
      </c>
      <c r="N6340">
        <f t="shared" si="711"/>
        <v>2026</v>
      </c>
      <c r="P6340" t="str">
        <f t="shared" si="712"/>
        <v>103646086</v>
      </c>
    </row>
    <row r="6341" spans="1:16" x14ac:dyDescent="0.3">
      <c r="A6341">
        <v>1036</v>
      </c>
      <c r="B6341">
        <v>22</v>
      </c>
      <c r="C6341" t="s">
        <v>26</v>
      </c>
      <c r="D6341" t="s">
        <v>27</v>
      </c>
      <c r="E6341" t="s">
        <v>17</v>
      </c>
      <c r="F6341" t="s">
        <v>21</v>
      </c>
      <c r="G6341" t="s">
        <v>43</v>
      </c>
      <c r="H6341" t="s">
        <v>25</v>
      </c>
      <c r="I6341" s="1">
        <v>3</v>
      </c>
      <c r="J6341" s="2">
        <v>46087</v>
      </c>
      <c r="L6341" s="1" t="str">
        <f t="shared" si="710"/>
        <v>sex</v>
      </c>
      <c r="M6341" s="1" t="str">
        <f t="shared" si="713"/>
        <v>mar</v>
      </c>
      <c r="N6341">
        <f t="shared" si="711"/>
        <v>2026</v>
      </c>
      <c r="P6341" t="str">
        <f t="shared" si="712"/>
        <v>103646087</v>
      </c>
    </row>
    <row r="6342" spans="1:16" x14ac:dyDescent="0.3">
      <c r="A6342">
        <v>1036</v>
      </c>
      <c r="B6342">
        <v>22</v>
      </c>
      <c r="C6342" t="s">
        <v>26</v>
      </c>
      <c r="D6342" t="s">
        <v>27</v>
      </c>
      <c r="E6342" t="s">
        <v>17</v>
      </c>
      <c r="F6342" t="s">
        <v>21</v>
      </c>
      <c r="G6342" t="s">
        <v>43</v>
      </c>
      <c r="H6342" t="s">
        <v>25</v>
      </c>
      <c r="I6342" s="1">
        <v>3</v>
      </c>
      <c r="J6342" s="2">
        <v>46088</v>
      </c>
      <c r="L6342" s="1" t="str">
        <f t="shared" si="710"/>
        <v>sáb</v>
      </c>
      <c r="M6342" s="1" t="str">
        <f t="shared" si="713"/>
        <v>mar</v>
      </c>
      <c r="N6342">
        <f t="shared" si="711"/>
        <v>2026</v>
      </c>
      <c r="P6342" t="str">
        <f t="shared" si="712"/>
        <v>103646088</v>
      </c>
    </row>
    <row r="6343" spans="1:16" x14ac:dyDescent="0.3">
      <c r="A6343">
        <v>1036</v>
      </c>
      <c r="B6343">
        <v>22</v>
      </c>
      <c r="C6343" t="s">
        <v>26</v>
      </c>
      <c r="D6343" t="s">
        <v>27</v>
      </c>
      <c r="E6343" t="s">
        <v>17</v>
      </c>
      <c r="F6343" t="s">
        <v>21</v>
      </c>
      <c r="G6343" t="s">
        <v>43</v>
      </c>
      <c r="H6343" t="s">
        <v>25</v>
      </c>
      <c r="I6343" s="1">
        <v>3</v>
      </c>
      <c r="J6343" s="2">
        <v>46089</v>
      </c>
      <c r="L6343" s="1" t="str">
        <f t="shared" si="710"/>
        <v>dom</v>
      </c>
      <c r="M6343" s="1" t="str">
        <f t="shared" si="713"/>
        <v>mar</v>
      </c>
      <c r="N6343">
        <f t="shared" si="711"/>
        <v>2026</v>
      </c>
      <c r="P6343" t="str">
        <f t="shared" si="712"/>
        <v>103646089</v>
      </c>
    </row>
    <row r="6344" spans="1:16" x14ac:dyDescent="0.3">
      <c r="A6344">
        <v>1036</v>
      </c>
      <c r="B6344">
        <v>22</v>
      </c>
      <c r="C6344" t="s">
        <v>26</v>
      </c>
      <c r="D6344" t="s">
        <v>27</v>
      </c>
      <c r="E6344" t="s">
        <v>17</v>
      </c>
      <c r="F6344" t="s">
        <v>21</v>
      </c>
      <c r="G6344" t="s">
        <v>43</v>
      </c>
      <c r="H6344" t="s">
        <v>25</v>
      </c>
      <c r="I6344" s="1">
        <v>3</v>
      </c>
      <c r="J6344" s="2">
        <v>46090</v>
      </c>
      <c r="L6344" s="1" t="str">
        <f t="shared" si="710"/>
        <v>seg</v>
      </c>
      <c r="M6344" s="1" t="str">
        <f t="shared" si="713"/>
        <v>mar</v>
      </c>
      <c r="N6344">
        <f t="shared" si="711"/>
        <v>2026</v>
      </c>
      <c r="P6344" t="str">
        <f t="shared" si="712"/>
        <v>103646090</v>
      </c>
    </row>
    <row r="6345" spans="1:16" x14ac:dyDescent="0.3">
      <c r="A6345">
        <v>1036</v>
      </c>
      <c r="B6345">
        <v>22</v>
      </c>
      <c r="C6345" t="s">
        <v>26</v>
      </c>
      <c r="D6345" t="s">
        <v>27</v>
      </c>
      <c r="E6345" t="s">
        <v>17</v>
      </c>
      <c r="F6345" t="s">
        <v>21</v>
      </c>
      <c r="G6345" t="s">
        <v>43</v>
      </c>
      <c r="H6345" t="s">
        <v>25</v>
      </c>
      <c r="I6345" s="1">
        <v>3</v>
      </c>
      <c r="J6345" s="2">
        <v>46091</v>
      </c>
      <c r="L6345" s="1" t="str">
        <f t="shared" si="710"/>
        <v>ter</v>
      </c>
      <c r="M6345" s="1" t="str">
        <f t="shared" si="713"/>
        <v>mar</v>
      </c>
      <c r="N6345">
        <f t="shared" si="711"/>
        <v>2026</v>
      </c>
      <c r="P6345" t="str">
        <f t="shared" si="712"/>
        <v>103646091</v>
      </c>
    </row>
    <row r="6346" spans="1:16" x14ac:dyDescent="0.3">
      <c r="A6346">
        <v>1036</v>
      </c>
      <c r="B6346">
        <v>22</v>
      </c>
      <c r="C6346" t="s">
        <v>26</v>
      </c>
      <c r="D6346" t="s">
        <v>27</v>
      </c>
      <c r="E6346" t="s">
        <v>17</v>
      </c>
      <c r="F6346" t="s">
        <v>21</v>
      </c>
      <c r="G6346" t="s">
        <v>43</v>
      </c>
      <c r="H6346" t="s">
        <v>25</v>
      </c>
      <c r="I6346" s="1">
        <v>3</v>
      </c>
      <c r="J6346" s="2">
        <v>46092</v>
      </c>
      <c r="L6346" s="1" t="str">
        <f t="shared" si="710"/>
        <v>qua</v>
      </c>
      <c r="M6346" s="1" t="str">
        <f t="shared" si="713"/>
        <v>mar</v>
      </c>
      <c r="N6346">
        <f t="shared" si="711"/>
        <v>2026</v>
      </c>
      <c r="P6346" t="str">
        <f t="shared" si="712"/>
        <v>103646092</v>
      </c>
    </row>
    <row r="6347" spans="1:16" x14ac:dyDescent="0.3">
      <c r="A6347">
        <v>1036</v>
      </c>
      <c r="B6347">
        <v>22</v>
      </c>
      <c r="C6347" t="s">
        <v>26</v>
      </c>
      <c r="D6347" t="s">
        <v>27</v>
      </c>
      <c r="E6347" t="s">
        <v>17</v>
      </c>
      <c r="F6347" t="s">
        <v>21</v>
      </c>
      <c r="G6347" t="s">
        <v>43</v>
      </c>
      <c r="H6347" t="s">
        <v>25</v>
      </c>
      <c r="I6347" s="1">
        <v>3</v>
      </c>
      <c r="J6347" s="2">
        <v>46093</v>
      </c>
      <c r="L6347" s="1" t="str">
        <f t="shared" si="710"/>
        <v>qui</v>
      </c>
      <c r="M6347" s="1" t="str">
        <f t="shared" si="713"/>
        <v>mar</v>
      </c>
      <c r="N6347">
        <f t="shared" si="711"/>
        <v>2026</v>
      </c>
      <c r="P6347" t="str">
        <f t="shared" si="712"/>
        <v>103646093</v>
      </c>
    </row>
    <row r="6348" spans="1:16" x14ac:dyDescent="0.3">
      <c r="A6348">
        <v>1036</v>
      </c>
      <c r="B6348">
        <v>22</v>
      </c>
      <c r="C6348" t="s">
        <v>26</v>
      </c>
      <c r="D6348" t="s">
        <v>27</v>
      </c>
      <c r="E6348" t="s">
        <v>17</v>
      </c>
      <c r="F6348" t="s">
        <v>21</v>
      </c>
      <c r="G6348" t="s">
        <v>43</v>
      </c>
      <c r="H6348" t="s">
        <v>25</v>
      </c>
      <c r="I6348" s="1">
        <v>3</v>
      </c>
      <c r="J6348" s="2">
        <v>46094</v>
      </c>
      <c r="L6348" s="1" t="str">
        <f t="shared" si="710"/>
        <v>sex</v>
      </c>
      <c r="M6348" s="1" t="str">
        <f t="shared" si="713"/>
        <v>mar</v>
      </c>
      <c r="N6348">
        <f t="shared" si="711"/>
        <v>2026</v>
      </c>
      <c r="P6348" t="str">
        <f t="shared" si="712"/>
        <v>103646094</v>
      </c>
    </row>
    <row r="6349" spans="1:16" x14ac:dyDescent="0.3">
      <c r="A6349">
        <v>1036</v>
      </c>
      <c r="B6349">
        <v>22</v>
      </c>
      <c r="C6349" t="s">
        <v>26</v>
      </c>
      <c r="D6349" t="s">
        <v>27</v>
      </c>
      <c r="E6349" t="s">
        <v>17</v>
      </c>
      <c r="F6349" t="s">
        <v>21</v>
      </c>
      <c r="G6349" t="s">
        <v>43</v>
      </c>
      <c r="H6349" t="s">
        <v>25</v>
      </c>
      <c r="I6349" s="1">
        <v>3</v>
      </c>
      <c r="J6349" s="2">
        <v>46095</v>
      </c>
      <c r="L6349" s="1" t="str">
        <f t="shared" si="710"/>
        <v>sáb</v>
      </c>
      <c r="M6349" s="1" t="str">
        <f t="shared" si="713"/>
        <v>mar</v>
      </c>
      <c r="N6349">
        <f t="shared" si="711"/>
        <v>2026</v>
      </c>
      <c r="P6349" t="str">
        <f t="shared" si="712"/>
        <v>103646095</v>
      </c>
    </row>
    <row r="6350" spans="1:16" x14ac:dyDescent="0.3">
      <c r="A6350">
        <v>1036</v>
      </c>
      <c r="B6350">
        <v>22</v>
      </c>
      <c r="C6350" t="s">
        <v>26</v>
      </c>
      <c r="D6350" t="s">
        <v>27</v>
      </c>
      <c r="E6350" t="s">
        <v>17</v>
      </c>
      <c r="F6350" t="s">
        <v>21</v>
      </c>
      <c r="G6350" t="s">
        <v>43</v>
      </c>
      <c r="H6350" t="s">
        <v>25</v>
      </c>
      <c r="I6350" s="1">
        <v>3</v>
      </c>
      <c r="J6350" s="2">
        <v>46096</v>
      </c>
      <c r="L6350" s="1" t="str">
        <f t="shared" si="710"/>
        <v>dom</v>
      </c>
      <c r="M6350" s="1" t="str">
        <f t="shared" si="713"/>
        <v>mar</v>
      </c>
      <c r="N6350">
        <f t="shared" si="711"/>
        <v>2026</v>
      </c>
      <c r="P6350" t="str">
        <f t="shared" si="712"/>
        <v>103646096</v>
      </c>
    </row>
    <row r="6351" spans="1:16" x14ac:dyDescent="0.3">
      <c r="A6351">
        <v>1036</v>
      </c>
      <c r="B6351">
        <v>22</v>
      </c>
      <c r="C6351" t="s">
        <v>26</v>
      </c>
      <c r="D6351" t="s">
        <v>27</v>
      </c>
      <c r="E6351" t="s">
        <v>17</v>
      </c>
      <c r="F6351" t="s">
        <v>21</v>
      </c>
      <c r="G6351" t="s">
        <v>43</v>
      </c>
      <c r="H6351" t="s">
        <v>25</v>
      </c>
      <c r="I6351" s="1">
        <v>3</v>
      </c>
      <c r="J6351" s="2">
        <v>46097</v>
      </c>
      <c r="L6351" s="1" t="str">
        <f t="shared" si="710"/>
        <v>seg</v>
      </c>
      <c r="M6351" s="1" t="str">
        <f t="shared" si="713"/>
        <v>mar</v>
      </c>
      <c r="N6351">
        <f t="shared" si="711"/>
        <v>2026</v>
      </c>
      <c r="P6351" t="str">
        <f t="shared" si="712"/>
        <v>103646097</v>
      </c>
    </row>
    <row r="6352" spans="1:16" x14ac:dyDescent="0.3">
      <c r="A6352">
        <v>1036</v>
      </c>
      <c r="B6352">
        <v>22</v>
      </c>
      <c r="C6352" t="s">
        <v>26</v>
      </c>
      <c r="D6352" t="s">
        <v>27</v>
      </c>
      <c r="E6352" t="s">
        <v>17</v>
      </c>
      <c r="F6352" t="s">
        <v>21</v>
      </c>
      <c r="G6352" t="s">
        <v>43</v>
      </c>
      <c r="H6352" t="s">
        <v>25</v>
      </c>
      <c r="I6352" s="1">
        <v>3</v>
      </c>
      <c r="J6352" s="2">
        <v>46098</v>
      </c>
      <c r="L6352" s="1" t="str">
        <f t="shared" si="710"/>
        <v>ter</v>
      </c>
      <c r="M6352" s="1" t="str">
        <f t="shared" si="713"/>
        <v>mar</v>
      </c>
      <c r="N6352">
        <f t="shared" si="711"/>
        <v>2026</v>
      </c>
      <c r="P6352" t="str">
        <f t="shared" si="712"/>
        <v>103646098</v>
      </c>
    </row>
    <row r="6353" spans="1:16" x14ac:dyDescent="0.3">
      <c r="A6353">
        <v>1036</v>
      </c>
      <c r="B6353">
        <v>22</v>
      </c>
      <c r="C6353" t="s">
        <v>26</v>
      </c>
      <c r="D6353" t="s">
        <v>27</v>
      </c>
      <c r="E6353" t="s">
        <v>17</v>
      </c>
      <c r="F6353" t="s">
        <v>21</v>
      </c>
      <c r="G6353" t="s">
        <v>43</v>
      </c>
      <c r="H6353" t="s">
        <v>25</v>
      </c>
      <c r="I6353" s="1">
        <v>3</v>
      </c>
      <c r="J6353" s="2">
        <v>46099</v>
      </c>
      <c r="L6353" s="1" t="str">
        <f t="shared" si="710"/>
        <v>qua</v>
      </c>
      <c r="M6353" s="1" t="str">
        <f t="shared" si="713"/>
        <v>mar</v>
      </c>
      <c r="N6353">
        <f t="shared" si="711"/>
        <v>2026</v>
      </c>
      <c r="P6353" t="str">
        <f t="shared" si="712"/>
        <v>103646099</v>
      </c>
    </row>
    <row r="6354" spans="1:16" x14ac:dyDescent="0.3">
      <c r="A6354">
        <v>1036</v>
      </c>
      <c r="B6354">
        <v>22</v>
      </c>
      <c r="C6354" t="s">
        <v>26</v>
      </c>
      <c r="D6354" t="s">
        <v>27</v>
      </c>
      <c r="E6354" t="s">
        <v>17</v>
      </c>
      <c r="F6354" t="s">
        <v>21</v>
      </c>
      <c r="G6354" t="s">
        <v>43</v>
      </c>
      <c r="H6354" t="s">
        <v>25</v>
      </c>
      <c r="I6354" s="1">
        <v>3</v>
      </c>
      <c r="J6354" s="2">
        <v>46100</v>
      </c>
      <c r="L6354" s="1" t="str">
        <f t="shared" si="710"/>
        <v>qui</v>
      </c>
      <c r="M6354" s="1" t="str">
        <f t="shared" si="713"/>
        <v>mar</v>
      </c>
      <c r="N6354">
        <f t="shared" si="711"/>
        <v>2026</v>
      </c>
      <c r="P6354" t="str">
        <f t="shared" si="712"/>
        <v>103646100</v>
      </c>
    </row>
    <row r="6355" spans="1:16" x14ac:dyDescent="0.3">
      <c r="A6355">
        <v>1036</v>
      </c>
      <c r="B6355">
        <v>22</v>
      </c>
      <c r="C6355" t="s">
        <v>26</v>
      </c>
      <c r="D6355" t="s">
        <v>27</v>
      </c>
      <c r="E6355" t="s">
        <v>17</v>
      </c>
      <c r="F6355" t="s">
        <v>21</v>
      </c>
      <c r="G6355" t="s">
        <v>43</v>
      </c>
      <c r="H6355" t="s">
        <v>25</v>
      </c>
      <c r="I6355" s="1">
        <v>3</v>
      </c>
      <c r="J6355" s="2">
        <v>46101</v>
      </c>
      <c r="L6355" s="1" t="str">
        <f t="shared" si="710"/>
        <v>sex</v>
      </c>
      <c r="M6355" s="1" t="str">
        <f t="shared" si="713"/>
        <v>mar</v>
      </c>
      <c r="N6355">
        <f t="shared" si="711"/>
        <v>2026</v>
      </c>
      <c r="P6355" t="str">
        <f t="shared" si="712"/>
        <v>103646101</v>
      </c>
    </row>
    <row r="6356" spans="1:16" x14ac:dyDescent="0.3">
      <c r="A6356">
        <v>1036</v>
      </c>
      <c r="B6356">
        <v>22</v>
      </c>
      <c r="C6356" t="s">
        <v>26</v>
      </c>
      <c r="D6356" t="s">
        <v>27</v>
      </c>
      <c r="E6356" t="s">
        <v>17</v>
      </c>
      <c r="F6356" t="s">
        <v>21</v>
      </c>
      <c r="G6356" t="s">
        <v>43</v>
      </c>
      <c r="H6356" t="s">
        <v>25</v>
      </c>
      <c r="I6356" s="1">
        <v>3</v>
      </c>
      <c r="J6356" s="2">
        <v>46102</v>
      </c>
      <c r="L6356" s="1" t="str">
        <f t="shared" si="710"/>
        <v>sáb</v>
      </c>
      <c r="M6356" s="1" t="str">
        <f t="shared" si="713"/>
        <v>mar</v>
      </c>
      <c r="N6356">
        <f t="shared" si="711"/>
        <v>2026</v>
      </c>
      <c r="P6356" t="str">
        <f t="shared" si="712"/>
        <v>103646102</v>
      </c>
    </row>
    <row r="6357" spans="1:16" x14ac:dyDescent="0.3">
      <c r="A6357">
        <v>1036</v>
      </c>
      <c r="B6357">
        <v>22</v>
      </c>
      <c r="C6357" t="s">
        <v>26</v>
      </c>
      <c r="D6357" t="s">
        <v>27</v>
      </c>
      <c r="E6357" t="s">
        <v>17</v>
      </c>
      <c r="F6357" t="s">
        <v>21</v>
      </c>
      <c r="G6357" t="s">
        <v>43</v>
      </c>
      <c r="H6357" t="s">
        <v>25</v>
      </c>
      <c r="I6357" s="1">
        <v>3</v>
      </c>
      <c r="J6357" s="2">
        <v>46103</v>
      </c>
      <c r="L6357" s="1" t="str">
        <f t="shared" si="710"/>
        <v>dom</v>
      </c>
      <c r="M6357" s="1" t="str">
        <f t="shared" si="713"/>
        <v>mar</v>
      </c>
      <c r="N6357">
        <f t="shared" si="711"/>
        <v>2026</v>
      </c>
      <c r="P6357" t="str">
        <f t="shared" si="712"/>
        <v>103646103</v>
      </c>
    </row>
    <row r="6358" spans="1:16" x14ac:dyDescent="0.3">
      <c r="A6358">
        <v>1036</v>
      </c>
      <c r="B6358">
        <v>22</v>
      </c>
      <c r="C6358" t="s">
        <v>26</v>
      </c>
      <c r="D6358" t="s">
        <v>27</v>
      </c>
      <c r="E6358" t="s">
        <v>17</v>
      </c>
      <c r="F6358" t="s">
        <v>21</v>
      </c>
      <c r="G6358" t="s">
        <v>43</v>
      </c>
      <c r="H6358" t="s">
        <v>25</v>
      </c>
      <c r="I6358" s="1">
        <v>3</v>
      </c>
      <c r="J6358" s="2">
        <v>46104</v>
      </c>
      <c r="L6358" s="1" t="str">
        <f t="shared" si="710"/>
        <v>seg</v>
      </c>
      <c r="M6358" s="1" t="str">
        <f t="shared" si="713"/>
        <v>mar</v>
      </c>
      <c r="N6358">
        <f t="shared" si="711"/>
        <v>2026</v>
      </c>
      <c r="P6358" t="str">
        <f t="shared" si="712"/>
        <v>103646104</v>
      </c>
    </row>
    <row r="6359" spans="1:16" x14ac:dyDescent="0.3">
      <c r="A6359">
        <v>1036</v>
      </c>
      <c r="B6359">
        <v>22</v>
      </c>
      <c r="C6359" t="s">
        <v>26</v>
      </c>
      <c r="D6359" t="s">
        <v>27</v>
      </c>
      <c r="E6359" t="s">
        <v>17</v>
      </c>
      <c r="F6359" t="s">
        <v>21</v>
      </c>
      <c r="G6359" t="s">
        <v>43</v>
      </c>
      <c r="H6359" t="s">
        <v>25</v>
      </c>
      <c r="I6359" s="1">
        <v>3</v>
      </c>
      <c r="J6359" s="2">
        <v>46105</v>
      </c>
      <c r="L6359" s="1" t="str">
        <f t="shared" si="710"/>
        <v>ter</v>
      </c>
      <c r="M6359" s="1" t="str">
        <f t="shared" si="713"/>
        <v>mar</v>
      </c>
      <c r="N6359">
        <f t="shared" si="711"/>
        <v>2026</v>
      </c>
      <c r="P6359" t="str">
        <f t="shared" si="712"/>
        <v>103646105</v>
      </c>
    </row>
    <row r="6360" spans="1:16" x14ac:dyDescent="0.3">
      <c r="A6360">
        <v>1036</v>
      </c>
      <c r="B6360">
        <v>22</v>
      </c>
      <c r="C6360" t="s">
        <v>26</v>
      </c>
      <c r="D6360" t="s">
        <v>27</v>
      </c>
      <c r="E6360" t="s">
        <v>17</v>
      </c>
      <c r="F6360" t="s">
        <v>21</v>
      </c>
      <c r="G6360" t="s">
        <v>43</v>
      </c>
      <c r="H6360" t="s">
        <v>25</v>
      </c>
      <c r="I6360" s="1">
        <v>3</v>
      </c>
      <c r="J6360" s="2">
        <v>46106</v>
      </c>
      <c r="L6360" s="1" t="str">
        <f t="shared" si="710"/>
        <v>qua</v>
      </c>
      <c r="M6360" s="1" t="str">
        <f t="shared" si="713"/>
        <v>mar</v>
      </c>
      <c r="N6360">
        <f t="shared" si="711"/>
        <v>2026</v>
      </c>
      <c r="P6360" t="str">
        <f t="shared" si="712"/>
        <v>103646106</v>
      </c>
    </row>
    <row r="6361" spans="1:16" x14ac:dyDescent="0.3">
      <c r="A6361">
        <v>1036</v>
      </c>
      <c r="B6361">
        <v>22</v>
      </c>
      <c r="C6361" t="s">
        <v>26</v>
      </c>
      <c r="D6361" t="s">
        <v>27</v>
      </c>
      <c r="E6361" t="s">
        <v>17</v>
      </c>
      <c r="F6361" t="s">
        <v>21</v>
      </c>
      <c r="G6361" t="s">
        <v>43</v>
      </c>
      <c r="H6361" t="s">
        <v>25</v>
      </c>
      <c r="I6361" s="1">
        <v>3</v>
      </c>
      <c r="J6361" s="2">
        <v>46107</v>
      </c>
      <c r="L6361" s="1" t="str">
        <f t="shared" si="710"/>
        <v>qui</v>
      </c>
      <c r="M6361" s="1" t="str">
        <f t="shared" si="713"/>
        <v>mar</v>
      </c>
      <c r="N6361">
        <f t="shared" si="711"/>
        <v>2026</v>
      </c>
      <c r="P6361" t="str">
        <f t="shared" si="712"/>
        <v>103646107</v>
      </c>
    </row>
    <row r="6362" spans="1:16" x14ac:dyDescent="0.3">
      <c r="A6362">
        <v>1036</v>
      </c>
      <c r="B6362">
        <v>22</v>
      </c>
      <c r="C6362" t="s">
        <v>26</v>
      </c>
      <c r="D6362" t="s">
        <v>27</v>
      </c>
      <c r="E6362" t="s">
        <v>17</v>
      </c>
      <c r="F6362" t="s">
        <v>21</v>
      </c>
      <c r="G6362" t="s">
        <v>43</v>
      </c>
      <c r="H6362" t="s">
        <v>25</v>
      </c>
      <c r="I6362" s="1">
        <v>3</v>
      </c>
      <c r="J6362" s="2">
        <v>46108</v>
      </c>
      <c r="L6362" s="1" t="str">
        <f t="shared" si="710"/>
        <v>sex</v>
      </c>
      <c r="M6362" s="1" t="str">
        <f t="shared" si="713"/>
        <v>mar</v>
      </c>
      <c r="N6362">
        <f t="shared" si="711"/>
        <v>2026</v>
      </c>
      <c r="P6362" t="str">
        <f t="shared" si="712"/>
        <v>103646108</v>
      </c>
    </row>
    <row r="6363" spans="1:16" x14ac:dyDescent="0.3">
      <c r="A6363">
        <v>1036</v>
      </c>
      <c r="B6363">
        <v>22</v>
      </c>
      <c r="C6363" t="s">
        <v>26</v>
      </c>
      <c r="D6363" t="s">
        <v>27</v>
      </c>
      <c r="E6363" t="s">
        <v>17</v>
      </c>
      <c r="F6363" t="s">
        <v>21</v>
      </c>
      <c r="G6363" t="s">
        <v>43</v>
      </c>
      <c r="H6363" t="s">
        <v>25</v>
      </c>
      <c r="I6363" s="1">
        <v>3</v>
      </c>
      <c r="J6363" s="2">
        <v>46109</v>
      </c>
      <c r="L6363" s="1" t="str">
        <f t="shared" ref="L6363:L6378" si="714">TEXT(J6363,"ddd")</f>
        <v>sáb</v>
      </c>
      <c r="M6363" s="1" t="str">
        <f t="shared" si="713"/>
        <v>mar</v>
      </c>
      <c r="N6363">
        <f t="shared" ref="N6363:N6378" si="715">YEAR(J6363)</f>
        <v>2026</v>
      </c>
      <c r="P6363" t="str">
        <f t="shared" ref="P6363:P6378" si="716">CONCATENATE(A6363,J6363)</f>
        <v>103646109</v>
      </c>
    </row>
    <row r="6364" spans="1:16" x14ac:dyDescent="0.3">
      <c r="A6364">
        <v>1036</v>
      </c>
      <c r="B6364">
        <v>22</v>
      </c>
      <c r="C6364" t="s">
        <v>26</v>
      </c>
      <c r="D6364" t="s">
        <v>27</v>
      </c>
      <c r="E6364" t="s">
        <v>17</v>
      </c>
      <c r="F6364" t="s">
        <v>21</v>
      </c>
      <c r="G6364" t="s">
        <v>43</v>
      </c>
      <c r="H6364" t="s">
        <v>25</v>
      </c>
      <c r="I6364" s="1">
        <v>3</v>
      </c>
      <c r="J6364" s="2">
        <v>46110</v>
      </c>
      <c r="L6364" s="1" t="str">
        <f t="shared" si="714"/>
        <v>dom</v>
      </c>
      <c r="M6364" s="1" t="str">
        <f t="shared" si="713"/>
        <v>mar</v>
      </c>
      <c r="N6364">
        <f t="shared" si="715"/>
        <v>2026</v>
      </c>
      <c r="P6364" t="str">
        <f t="shared" si="716"/>
        <v>103646110</v>
      </c>
    </row>
    <row r="6365" spans="1:16" x14ac:dyDescent="0.3">
      <c r="A6365">
        <v>1036</v>
      </c>
      <c r="B6365">
        <v>22</v>
      </c>
      <c r="C6365" t="s">
        <v>26</v>
      </c>
      <c r="D6365" t="s">
        <v>27</v>
      </c>
      <c r="E6365" t="s">
        <v>17</v>
      </c>
      <c r="F6365" t="s">
        <v>21</v>
      </c>
      <c r="G6365" t="s">
        <v>43</v>
      </c>
      <c r="H6365" t="s">
        <v>25</v>
      </c>
      <c r="I6365" s="1">
        <v>3</v>
      </c>
      <c r="J6365" s="2">
        <v>46111</v>
      </c>
      <c r="L6365" s="1" t="str">
        <f t="shared" si="714"/>
        <v>seg</v>
      </c>
      <c r="M6365" s="1" t="str">
        <f t="shared" si="713"/>
        <v>mar</v>
      </c>
      <c r="N6365">
        <f t="shared" si="715"/>
        <v>2026</v>
      </c>
      <c r="P6365" t="str">
        <f t="shared" si="716"/>
        <v>103646111</v>
      </c>
    </row>
    <row r="6366" spans="1:16" x14ac:dyDescent="0.3">
      <c r="A6366">
        <v>1036</v>
      </c>
      <c r="B6366">
        <v>22</v>
      </c>
      <c r="C6366" t="s">
        <v>26</v>
      </c>
      <c r="D6366" t="s">
        <v>27</v>
      </c>
      <c r="E6366" t="s">
        <v>17</v>
      </c>
      <c r="F6366" t="s">
        <v>21</v>
      </c>
      <c r="G6366" t="s">
        <v>43</v>
      </c>
      <c r="H6366" t="s">
        <v>25</v>
      </c>
      <c r="I6366" s="1">
        <v>3</v>
      </c>
      <c r="J6366" s="2">
        <v>46112</v>
      </c>
      <c r="L6366" s="1" t="str">
        <f t="shared" si="714"/>
        <v>ter</v>
      </c>
      <c r="M6366" s="1" t="str">
        <f t="shared" si="713"/>
        <v>mar</v>
      </c>
      <c r="N6366">
        <f t="shared" si="715"/>
        <v>2026</v>
      </c>
      <c r="P6366" t="str">
        <f t="shared" si="716"/>
        <v>103646112</v>
      </c>
    </row>
    <row r="6367" spans="1:16" x14ac:dyDescent="0.3">
      <c r="A6367">
        <v>1036</v>
      </c>
      <c r="B6367">
        <v>22</v>
      </c>
      <c r="C6367" t="s">
        <v>26</v>
      </c>
      <c r="D6367" t="s">
        <v>27</v>
      </c>
      <c r="E6367" t="s">
        <v>17</v>
      </c>
      <c r="F6367" t="s">
        <v>21</v>
      </c>
      <c r="G6367" t="s">
        <v>43</v>
      </c>
      <c r="H6367" t="s">
        <v>25</v>
      </c>
      <c r="I6367" s="1">
        <v>3</v>
      </c>
      <c r="J6367" s="2">
        <v>46113</v>
      </c>
      <c r="L6367" s="1" t="str">
        <f t="shared" si="714"/>
        <v>qua</v>
      </c>
      <c r="M6367" s="1" t="str">
        <f t="shared" si="713"/>
        <v>abr</v>
      </c>
      <c r="N6367">
        <f t="shared" si="715"/>
        <v>2026</v>
      </c>
      <c r="P6367" t="str">
        <f t="shared" si="716"/>
        <v>103646113</v>
      </c>
    </row>
    <row r="6368" spans="1:16" x14ac:dyDescent="0.3">
      <c r="A6368">
        <v>1036</v>
      </c>
      <c r="B6368">
        <v>22</v>
      </c>
      <c r="C6368" t="s">
        <v>26</v>
      </c>
      <c r="D6368" t="s">
        <v>27</v>
      </c>
      <c r="E6368" t="s">
        <v>17</v>
      </c>
      <c r="F6368" t="s">
        <v>21</v>
      </c>
      <c r="G6368" t="s">
        <v>43</v>
      </c>
      <c r="H6368" t="s">
        <v>25</v>
      </c>
      <c r="I6368" s="1">
        <v>3</v>
      </c>
      <c r="J6368" s="2">
        <v>46114</v>
      </c>
      <c r="L6368" s="1" t="str">
        <f t="shared" si="714"/>
        <v>qui</v>
      </c>
      <c r="M6368" s="1" t="str">
        <f t="shared" si="713"/>
        <v>abr</v>
      </c>
      <c r="N6368">
        <f t="shared" si="715"/>
        <v>2026</v>
      </c>
      <c r="P6368" t="str">
        <f t="shared" si="716"/>
        <v>103646114</v>
      </c>
    </row>
    <row r="6369" spans="1:16" x14ac:dyDescent="0.3">
      <c r="A6369">
        <v>1036</v>
      </c>
      <c r="B6369">
        <v>22</v>
      </c>
      <c r="C6369" t="s">
        <v>26</v>
      </c>
      <c r="D6369" t="s">
        <v>27</v>
      </c>
      <c r="E6369" t="s">
        <v>17</v>
      </c>
      <c r="F6369" t="s">
        <v>21</v>
      </c>
      <c r="G6369" t="s">
        <v>43</v>
      </c>
      <c r="H6369" t="s">
        <v>25</v>
      </c>
      <c r="I6369" s="1">
        <v>3</v>
      </c>
      <c r="J6369" s="2">
        <v>46115</v>
      </c>
      <c r="L6369" s="1" t="str">
        <f t="shared" si="714"/>
        <v>sex</v>
      </c>
      <c r="M6369" s="1" t="str">
        <f t="shared" si="713"/>
        <v>abr</v>
      </c>
      <c r="N6369">
        <f t="shared" si="715"/>
        <v>2026</v>
      </c>
      <c r="P6369" t="str">
        <f t="shared" si="716"/>
        <v>103646115</v>
      </c>
    </row>
    <row r="6370" spans="1:16" x14ac:dyDescent="0.3">
      <c r="A6370">
        <v>1036</v>
      </c>
      <c r="B6370">
        <v>22</v>
      </c>
      <c r="C6370" t="s">
        <v>26</v>
      </c>
      <c r="D6370" t="s">
        <v>27</v>
      </c>
      <c r="E6370" t="s">
        <v>17</v>
      </c>
      <c r="F6370" t="s">
        <v>21</v>
      </c>
      <c r="G6370" t="s">
        <v>43</v>
      </c>
      <c r="H6370" t="s">
        <v>25</v>
      </c>
      <c r="I6370" s="1">
        <v>3</v>
      </c>
      <c r="J6370" s="2">
        <v>46116</v>
      </c>
      <c r="L6370" s="1" t="str">
        <f t="shared" si="714"/>
        <v>sáb</v>
      </c>
      <c r="M6370" s="1" t="str">
        <f t="shared" si="713"/>
        <v>abr</v>
      </c>
      <c r="N6370">
        <f t="shared" si="715"/>
        <v>2026</v>
      </c>
      <c r="P6370" t="str">
        <f t="shared" si="716"/>
        <v>103646116</v>
      </c>
    </row>
    <row r="6371" spans="1:16" x14ac:dyDescent="0.3">
      <c r="A6371">
        <v>1036</v>
      </c>
      <c r="B6371">
        <v>22</v>
      </c>
      <c r="C6371" t="s">
        <v>26</v>
      </c>
      <c r="D6371" t="s">
        <v>27</v>
      </c>
      <c r="E6371" t="s">
        <v>17</v>
      </c>
      <c r="F6371" t="s">
        <v>21</v>
      </c>
      <c r="G6371" t="s">
        <v>43</v>
      </c>
      <c r="H6371" t="s">
        <v>25</v>
      </c>
      <c r="I6371" s="1">
        <v>3</v>
      </c>
      <c r="J6371" s="2">
        <v>46117</v>
      </c>
      <c r="L6371" s="1" t="str">
        <f t="shared" si="714"/>
        <v>dom</v>
      </c>
      <c r="M6371" s="1" t="str">
        <f t="shared" si="713"/>
        <v>abr</v>
      </c>
      <c r="N6371">
        <f t="shared" si="715"/>
        <v>2026</v>
      </c>
      <c r="P6371" t="str">
        <f t="shared" si="716"/>
        <v>103646117</v>
      </c>
    </row>
    <row r="6372" spans="1:16" x14ac:dyDescent="0.3">
      <c r="A6372">
        <v>1036</v>
      </c>
      <c r="B6372">
        <v>22</v>
      </c>
      <c r="C6372" t="s">
        <v>26</v>
      </c>
      <c r="D6372" t="s">
        <v>27</v>
      </c>
      <c r="E6372" t="s">
        <v>17</v>
      </c>
      <c r="F6372" t="s">
        <v>21</v>
      </c>
      <c r="G6372" t="s">
        <v>43</v>
      </c>
      <c r="H6372" t="s">
        <v>25</v>
      </c>
      <c r="I6372" s="1">
        <v>3</v>
      </c>
      <c r="J6372" s="2">
        <v>46118</v>
      </c>
      <c r="L6372" s="1" t="str">
        <f t="shared" si="714"/>
        <v>seg</v>
      </c>
      <c r="M6372" s="1" t="str">
        <f t="shared" si="713"/>
        <v>abr</v>
      </c>
      <c r="N6372">
        <f t="shared" si="715"/>
        <v>2026</v>
      </c>
      <c r="P6372" t="str">
        <f t="shared" si="716"/>
        <v>103646118</v>
      </c>
    </row>
    <row r="6373" spans="1:16" x14ac:dyDescent="0.3">
      <c r="A6373">
        <v>1036</v>
      </c>
      <c r="B6373">
        <v>22</v>
      </c>
      <c r="C6373" t="s">
        <v>26</v>
      </c>
      <c r="D6373" t="s">
        <v>27</v>
      </c>
      <c r="E6373" t="s">
        <v>17</v>
      </c>
      <c r="F6373" t="s">
        <v>21</v>
      </c>
      <c r="G6373" t="s">
        <v>43</v>
      </c>
      <c r="H6373" t="s">
        <v>25</v>
      </c>
      <c r="I6373" s="1">
        <v>3</v>
      </c>
      <c r="J6373" s="2">
        <v>46119</v>
      </c>
      <c r="L6373" s="1" t="str">
        <f t="shared" si="714"/>
        <v>ter</v>
      </c>
      <c r="M6373" s="1" t="str">
        <f t="shared" si="713"/>
        <v>abr</v>
      </c>
      <c r="N6373">
        <f t="shared" si="715"/>
        <v>2026</v>
      </c>
      <c r="P6373" t="str">
        <f t="shared" si="716"/>
        <v>103646119</v>
      </c>
    </row>
    <row r="6374" spans="1:16" x14ac:dyDescent="0.3">
      <c r="A6374">
        <v>1036</v>
      </c>
      <c r="B6374">
        <v>22</v>
      </c>
      <c r="C6374" t="s">
        <v>26</v>
      </c>
      <c r="D6374" t="s">
        <v>27</v>
      </c>
      <c r="E6374" t="s">
        <v>17</v>
      </c>
      <c r="F6374" t="s">
        <v>21</v>
      </c>
      <c r="G6374" t="s">
        <v>43</v>
      </c>
      <c r="H6374" t="s">
        <v>25</v>
      </c>
      <c r="I6374" s="1">
        <v>3</v>
      </c>
      <c r="J6374" s="2">
        <v>46120</v>
      </c>
      <c r="L6374" s="1" t="str">
        <f t="shared" si="714"/>
        <v>qua</v>
      </c>
      <c r="M6374" s="1" t="str">
        <f t="shared" si="713"/>
        <v>abr</v>
      </c>
      <c r="N6374">
        <f t="shared" si="715"/>
        <v>2026</v>
      </c>
      <c r="P6374" t="str">
        <f t="shared" si="716"/>
        <v>103646120</v>
      </c>
    </row>
    <row r="6375" spans="1:16" x14ac:dyDescent="0.3">
      <c r="A6375">
        <v>1036</v>
      </c>
      <c r="B6375">
        <v>22</v>
      </c>
      <c r="C6375" t="s">
        <v>26</v>
      </c>
      <c r="D6375" t="s">
        <v>27</v>
      </c>
      <c r="E6375" t="s">
        <v>17</v>
      </c>
      <c r="F6375" t="s">
        <v>21</v>
      </c>
      <c r="G6375" t="s">
        <v>43</v>
      </c>
      <c r="H6375" t="s">
        <v>25</v>
      </c>
      <c r="I6375" s="1">
        <v>3</v>
      </c>
      <c r="J6375" s="2">
        <v>46121</v>
      </c>
      <c r="L6375" s="1" t="str">
        <f t="shared" si="714"/>
        <v>qui</v>
      </c>
      <c r="M6375" s="1" t="str">
        <f t="shared" si="713"/>
        <v>abr</v>
      </c>
      <c r="N6375">
        <f t="shared" si="715"/>
        <v>2026</v>
      </c>
      <c r="P6375" t="str">
        <f t="shared" si="716"/>
        <v>103646121</v>
      </c>
    </row>
    <row r="6376" spans="1:16" x14ac:dyDescent="0.3">
      <c r="A6376">
        <v>1036</v>
      </c>
      <c r="B6376">
        <v>22</v>
      </c>
      <c r="C6376" t="s">
        <v>26</v>
      </c>
      <c r="D6376" t="s">
        <v>27</v>
      </c>
      <c r="E6376" t="s">
        <v>17</v>
      </c>
      <c r="F6376" t="s">
        <v>21</v>
      </c>
      <c r="G6376" t="s">
        <v>43</v>
      </c>
      <c r="H6376" t="s">
        <v>25</v>
      </c>
      <c r="I6376" s="1">
        <v>3</v>
      </c>
      <c r="J6376" s="2">
        <v>46122</v>
      </c>
      <c r="L6376" s="1" t="str">
        <f t="shared" si="714"/>
        <v>sex</v>
      </c>
      <c r="M6376" s="1" t="str">
        <f t="shared" si="713"/>
        <v>abr</v>
      </c>
      <c r="N6376">
        <f t="shared" si="715"/>
        <v>2026</v>
      </c>
      <c r="P6376" t="str">
        <f t="shared" si="716"/>
        <v>103646122</v>
      </c>
    </row>
    <row r="6377" spans="1:16" x14ac:dyDescent="0.3">
      <c r="A6377">
        <v>1062</v>
      </c>
      <c r="B6377">
        <v>22</v>
      </c>
      <c r="C6377" t="s">
        <v>15</v>
      </c>
      <c r="D6377" t="s">
        <v>16</v>
      </c>
      <c r="E6377" t="s">
        <v>17</v>
      </c>
      <c r="F6377" t="s">
        <v>21</v>
      </c>
      <c r="G6377" t="s">
        <v>43</v>
      </c>
      <c r="H6377" t="s">
        <v>25</v>
      </c>
      <c r="I6377" s="1">
        <v>3</v>
      </c>
      <c r="J6377" s="2">
        <v>45663</v>
      </c>
      <c r="L6377" s="1" t="str">
        <f t="shared" si="714"/>
        <v>seg</v>
      </c>
      <c r="M6377" s="1" t="str">
        <f t="shared" si="713"/>
        <v>jan</v>
      </c>
      <c r="N6377">
        <f t="shared" si="715"/>
        <v>2025</v>
      </c>
      <c r="P6377" t="str">
        <f t="shared" si="716"/>
        <v>106245663</v>
      </c>
    </row>
    <row r="6378" spans="1:16" x14ac:dyDescent="0.3">
      <c r="A6378">
        <v>1062</v>
      </c>
      <c r="B6378">
        <v>22</v>
      </c>
      <c r="C6378" t="s">
        <v>15</v>
      </c>
      <c r="D6378" t="s">
        <v>16</v>
      </c>
      <c r="E6378" t="s">
        <v>17</v>
      </c>
      <c r="F6378" t="s">
        <v>21</v>
      </c>
      <c r="G6378" t="s">
        <v>43</v>
      </c>
      <c r="H6378" t="s">
        <v>25</v>
      </c>
      <c r="I6378" s="1">
        <v>3</v>
      </c>
      <c r="J6378" s="2">
        <v>45664</v>
      </c>
      <c r="L6378" s="1" t="str">
        <f t="shared" si="714"/>
        <v>ter</v>
      </c>
      <c r="M6378" s="1" t="str">
        <f t="shared" si="713"/>
        <v>jan</v>
      </c>
      <c r="N6378">
        <f t="shared" si="715"/>
        <v>2025</v>
      </c>
      <c r="P6378" t="str">
        <f t="shared" si="716"/>
        <v>106245664</v>
      </c>
    </row>
    <row r="6379" spans="1:16" x14ac:dyDescent="0.3">
      <c r="A6379">
        <v>1062</v>
      </c>
      <c r="B6379">
        <v>22</v>
      </c>
      <c r="C6379" t="s">
        <v>15</v>
      </c>
      <c r="D6379" t="s">
        <v>16</v>
      </c>
      <c r="E6379" t="s">
        <v>17</v>
      </c>
      <c r="F6379" t="s">
        <v>21</v>
      </c>
      <c r="G6379" t="s">
        <v>43</v>
      </c>
      <c r="H6379" t="s">
        <v>25</v>
      </c>
      <c r="I6379" s="1">
        <v>3</v>
      </c>
      <c r="J6379" s="2">
        <v>45665</v>
      </c>
      <c r="L6379" s="1" t="str">
        <f t="shared" ref="L6379:L6395" si="717">TEXT(J6379,"ddd")</f>
        <v>qua</v>
      </c>
      <c r="M6379" s="1" t="str">
        <f t="shared" si="713"/>
        <v>jan</v>
      </c>
      <c r="N6379">
        <f t="shared" ref="N6379:N6395" si="718">YEAR(J6379)</f>
        <v>2025</v>
      </c>
      <c r="P6379" t="str">
        <f t="shared" ref="P6379:P6395" si="719">CONCATENATE(A6379,J6379)</f>
        <v>106245665</v>
      </c>
    </row>
    <row r="6380" spans="1:16" x14ac:dyDescent="0.3">
      <c r="A6380">
        <v>1062</v>
      </c>
      <c r="B6380">
        <v>22</v>
      </c>
      <c r="C6380" t="s">
        <v>15</v>
      </c>
      <c r="D6380" t="s">
        <v>16</v>
      </c>
      <c r="E6380" t="s">
        <v>17</v>
      </c>
      <c r="F6380" t="s">
        <v>21</v>
      </c>
      <c r="G6380" t="s">
        <v>43</v>
      </c>
      <c r="H6380" t="s">
        <v>25</v>
      </c>
      <c r="I6380" s="1">
        <v>3</v>
      </c>
      <c r="J6380" s="2">
        <v>45666</v>
      </c>
      <c r="L6380" s="1" t="str">
        <f t="shared" si="717"/>
        <v>qui</v>
      </c>
      <c r="M6380" s="1" t="str">
        <f t="shared" si="713"/>
        <v>jan</v>
      </c>
      <c r="N6380">
        <f t="shared" si="718"/>
        <v>2025</v>
      </c>
      <c r="P6380" t="str">
        <f t="shared" si="719"/>
        <v>106245666</v>
      </c>
    </row>
    <row r="6381" spans="1:16" x14ac:dyDescent="0.3">
      <c r="A6381">
        <v>1062</v>
      </c>
      <c r="B6381">
        <v>22</v>
      </c>
      <c r="C6381" t="s">
        <v>15</v>
      </c>
      <c r="D6381" t="s">
        <v>16</v>
      </c>
      <c r="E6381" t="s">
        <v>17</v>
      </c>
      <c r="F6381" t="s">
        <v>21</v>
      </c>
      <c r="G6381" t="s">
        <v>43</v>
      </c>
      <c r="H6381" t="s">
        <v>25</v>
      </c>
      <c r="I6381" s="1">
        <v>3</v>
      </c>
      <c r="J6381" s="2">
        <v>45667</v>
      </c>
      <c r="L6381" s="1" t="str">
        <f t="shared" si="717"/>
        <v>sex</v>
      </c>
      <c r="M6381" s="1" t="str">
        <f t="shared" si="713"/>
        <v>jan</v>
      </c>
      <c r="N6381">
        <f t="shared" si="718"/>
        <v>2025</v>
      </c>
      <c r="P6381" t="str">
        <f t="shared" si="719"/>
        <v>106245667</v>
      </c>
    </row>
    <row r="6382" spans="1:16" x14ac:dyDescent="0.3">
      <c r="A6382">
        <v>1062</v>
      </c>
      <c r="B6382">
        <v>22</v>
      </c>
      <c r="C6382" t="s">
        <v>15</v>
      </c>
      <c r="D6382" t="s">
        <v>16</v>
      </c>
      <c r="E6382" t="s">
        <v>17</v>
      </c>
      <c r="F6382" t="s">
        <v>21</v>
      </c>
      <c r="G6382" t="s">
        <v>43</v>
      </c>
      <c r="H6382" t="s">
        <v>25</v>
      </c>
      <c r="I6382" s="1">
        <v>3</v>
      </c>
      <c r="J6382" s="2">
        <v>45668</v>
      </c>
      <c r="L6382" s="1" t="str">
        <f t="shared" si="717"/>
        <v>sáb</v>
      </c>
      <c r="M6382" s="1" t="str">
        <f t="shared" si="713"/>
        <v>jan</v>
      </c>
      <c r="N6382">
        <f t="shared" si="718"/>
        <v>2025</v>
      </c>
      <c r="P6382" t="str">
        <f t="shared" si="719"/>
        <v>106245668</v>
      </c>
    </row>
    <row r="6383" spans="1:16" x14ac:dyDescent="0.3">
      <c r="A6383">
        <v>1062</v>
      </c>
      <c r="B6383">
        <v>22</v>
      </c>
      <c r="C6383" t="s">
        <v>15</v>
      </c>
      <c r="D6383" t="s">
        <v>16</v>
      </c>
      <c r="E6383" t="s">
        <v>17</v>
      </c>
      <c r="F6383" t="s">
        <v>21</v>
      </c>
      <c r="G6383" t="s">
        <v>43</v>
      </c>
      <c r="H6383" t="s">
        <v>25</v>
      </c>
      <c r="I6383" s="1">
        <v>3</v>
      </c>
      <c r="J6383" s="2">
        <v>45669</v>
      </c>
      <c r="L6383" s="1" t="str">
        <f t="shared" si="717"/>
        <v>dom</v>
      </c>
      <c r="M6383" s="1" t="str">
        <f t="shared" si="713"/>
        <v>jan</v>
      </c>
      <c r="N6383">
        <f t="shared" si="718"/>
        <v>2025</v>
      </c>
      <c r="P6383" t="str">
        <f t="shared" si="719"/>
        <v>106245669</v>
      </c>
    </row>
    <row r="6384" spans="1:16" x14ac:dyDescent="0.3">
      <c r="A6384">
        <v>1062</v>
      </c>
      <c r="B6384">
        <v>22</v>
      </c>
      <c r="C6384" t="s">
        <v>15</v>
      </c>
      <c r="D6384" t="s">
        <v>16</v>
      </c>
      <c r="E6384" t="s">
        <v>17</v>
      </c>
      <c r="F6384" t="s">
        <v>21</v>
      </c>
      <c r="G6384" t="s">
        <v>43</v>
      </c>
      <c r="H6384" t="s">
        <v>25</v>
      </c>
      <c r="I6384" s="1">
        <v>3</v>
      </c>
      <c r="J6384" s="2">
        <v>45670</v>
      </c>
      <c r="L6384" s="1" t="str">
        <f t="shared" si="717"/>
        <v>seg</v>
      </c>
      <c r="M6384" s="1" t="str">
        <f t="shared" si="713"/>
        <v>jan</v>
      </c>
      <c r="N6384">
        <f t="shared" si="718"/>
        <v>2025</v>
      </c>
      <c r="P6384" t="str">
        <f t="shared" si="719"/>
        <v>106245670</v>
      </c>
    </row>
    <row r="6385" spans="1:16" x14ac:dyDescent="0.3">
      <c r="A6385">
        <v>1062</v>
      </c>
      <c r="B6385">
        <v>22</v>
      </c>
      <c r="C6385" t="s">
        <v>15</v>
      </c>
      <c r="D6385" t="s">
        <v>16</v>
      </c>
      <c r="E6385" t="s">
        <v>17</v>
      </c>
      <c r="F6385" t="s">
        <v>21</v>
      </c>
      <c r="G6385" t="s">
        <v>43</v>
      </c>
      <c r="H6385" t="s">
        <v>25</v>
      </c>
      <c r="I6385" s="1">
        <v>3</v>
      </c>
      <c r="J6385" s="2">
        <v>45671</v>
      </c>
      <c r="L6385" s="1" t="str">
        <f t="shared" si="717"/>
        <v>ter</v>
      </c>
      <c r="M6385" s="1" t="str">
        <f t="shared" ref="M6385:M6448" si="720">TEXT($J6385,"mmm")</f>
        <v>jan</v>
      </c>
      <c r="N6385">
        <f t="shared" si="718"/>
        <v>2025</v>
      </c>
      <c r="P6385" t="str">
        <f t="shared" si="719"/>
        <v>106245671</v>
      </c>
    </row>
    <row r="6386" spans="1:16" x14ac:dyDescent="0.3">
      <c r="A6386">
        <v>1062</v>
      </c>
      <c r="B6386">
        <v>22</v>
      </c>
      <c r="C6386" t="s">
        <v>15</v>
      </c>
      <c r="D6386" t="s">
        <v>16</v>
      </c>
      <c r="E6386" t="s">
        <v>17</v>
      </c>
      <c r="F6386" t="s">
        <v>21</v>
      </c>
      <c r="G6386" t="s">
        <v>43</v>
      </c>
      <c r="H6386" t="s">
        <v>25</v>
      </c>
      <c r="I6386" s="1">
        <v>3</v>
      </c>
      <c r="J6386" s="2">
        <v>45672</v>
      </c>
      <c r="L6386" s="1" t="str">
        <f t="shared" si="717"/>
        <v>qua</v>
      </c>
      <c r="M6386" s="1" t="str">
        <f t="shared" si="720"/>
        <v>jan</v>
      </c>
      <c r="N6386">
        <f t="shared" si="718"/>
        <v>2025</v>
      </c>
      <c r="P6386" t="str">
        <f t="shared" si="719"/>
        <v>106245672</v>
      </c>
    </row>
    <row r="6387" spans="1:16" x14ac:dyDescent="0.3">
      <c r="A6387">
        <v>1062</v>
      </c>
      <c r="B6387">
        <v>22</v>
      </c>
      <c r="C6387" t="s">
        <v>15</v>
      </c>
      <c r="D6387" t="s">
        <v>16</v>
      </c>
      <c r="E6387" t="s">
        <v>17</v>
      </c>
      <c r="F6387" t="s">
        <v>21</v>
      </c>
      <c r="G6387" t="s">
        <v>43</v>
      </c>
      <c r="H6387" t="s">
        <v>25</v>
      </c>
      <c r="I6387" s="1">
        <v>3</v>
      </c>
      <c r="J6387" s="2">
        <v>45673</v>
      </c>
      <c r="L6387" s="1" t="str">
        <f t="shared" si="717"/>
        <v>qui</v>
      </c>
      <c r="M6387" s="1" t="str">
        <f t="shared" si="720"/>
        <v>jan</v>
      </c>
      <c r="N6387">
        <f t="shared" si="718"/>
        <v>2025</v>
      </c>
      <c r="P6387" t="str">
        <f t="shared" si="719"/>
        <v>106245673</v>
      </c>
    </row>
    <row r="6388" spans="1:16" x14ac:dyDescent="0.3">
      <c r="A6388">
        <v>1062</v>
      </c>
      <c r="B6388">
        <v>22</v>
      </c>
      <c r="C6388" t="s">
        <v>15</v>
      </c>
      <c r="D6388" t="s">
        <v>16</v>
      </c>
      <c r="E6388" t="s">
        <v>17</v>
      </c>
      <c r="F6388" t="s">
        <v>21</v>
      </c>
      <c r="G6388" t="s">
        <v>43</v>
      </c>
      <c r="H6388" t="s">
        <v>25</v>
      </c>
      <c r="I6388" s="1">
        <v>3</v>
      </c>
      <c r="J6388" s="2">
        <v>45674</v>
      </c>
      <c r="L6388" s="1" t="str">
        <f t="shared" si="717"/>
        <v>sex</v>
      </c>
      <c r="M6388" s="1" t="str">
        <f t="shared" si="720"/>
        <v>jan</v>
      </c>
      <c r="N6388">
        <f t="shared" si="718"/>
        <v>2025</v>
      </c>
      <c r="P6388" t="str">
        <f t="shared" si="719"/>
        <v>106245674</v>
      </c>
    </row>
    <row r="6389" spans="1:16" x14ac:dyDescent="0.3">
      <c r="A6389">
        <v>1062</v>
      </c>
      <c r="B6389">
        <v>22</v>
      </c>
      <c r="C6389" t="s">
        <v>15</v>
      </c>
      <c r="D6389" t="s">
        <v>16</v>
      </c>
      <c r="E6389" t="s">
        <v>17</v>
      </c>
      <c r="F6389" t="s">
        <v>21</v>
      </c>
      <c r="G6389" t="s">
        <v>43</v>
      </c>
      <c r="H6389" t="s">
        <v>25</v>
      </c>
      <c r="I6389" s="1">
        <v>3</v>
      </c>
      <c r="J6389" s="2">
        <v>45675</v>
      </c>
      <c r="L6389" s="1" t="str">
        <f t="shared" si="717"/>
        <v>sáb</v>
      </c>
      <c r="M6389" s="1" t="str">
        <f t="shared" si="720"/>
        <v>jan</v>
      </c>
      <c r="N6389">
        <f t="shared" si="718"/>
        <v>2025</v>
      </c>
      <c r="P6389" t="str">
        <f t="shared" si="719"/>
        <v>106245675</v>
      </c>
    </row>
    <row r="6390" spans="1:16" x14ac:dyDescent="0.3">
      <c r="A6390">
        <v>1062</v>
      </c>
      <c r="B6390">
        <v>22</v>
      </c>
      <c r="C6390" t="s">
        <v>15</v>
      </c>
      <c r="D6390" t="s">
        <v>16</v>
      </c>
      <c r="E6390" t="s">
        <v>17</v>
      </c>
      <c r="F6390" t="s">
        <v>21</v>
      </c>
      <c r="G6390" t="s">
        <v>43</v>
      </c>
      <c r="H6390" t="s">
        <v>25</v>
      </c>
      <c r="I6390" s="1">
        <v>3</v>
      </c>
      <c r="J6390" s="2">
        <v>45676</v>
      </c>
      <c r="L6390" s="1" t="str">
        <f t="shared" si="717"/>
        <v>dom</v>
      </c>
      <c r="M6390" s="1" t="str">
        <f t="shared" si="720"/>
        <v>jan</v>
      </c>
      <c r="N6390">
        <f t="shared" si="718"/>
        <v>2025</v>
      </c>
      <c r="P6390" t="str">
        <f t="shared" si="719"/>
        <v>106245676</v>
      </c>
    </row>
    <row r="6391" spans="1:16" x14ac:dyDescent="0.3">
      <c r="A6391">
        <v>1062</v>
      </c>
      <c r="B6391">
        <v>22</v>
      </c>
      <c r="C6391" t="s">
        <v>15</v>
      </c>
      <c r="D6391" t="s">
        <v>16</v>
      </c>
      <c r="E6391" t="s">
        <v>17</v>
      </c>
      <c r="F6391" t="s">
        <v>21</v>
      </c>
      <c r="G6391" t="s">
        <v>43</v>
      </c>
      <c r="H6391" t="s">
        <v>25</v>
      </c>
      <c r="I6391" s="1">
        <v>3</v>
      </c>
      <c r="J6391" s="2">
        <v>45677</v>
      </c>
      <c r="L6391" s="1" t="str">
        <f t="shared" si="717"/>
        <v>seg</v>
      </c>
      <c r="M6391" s="1" t="str">
        <f t="shared" si="720"/>
        <v>jan</v>
      </c>
      <c r="N6391">
        <f t="shared" si="718"/>
        <v>2025</v>
      </c>
      <c r="P6391" t="str">
        <f t="shared" si="719"/>
        <v>106245677</v>
      </c>
    </row>
    <row r="6392" spans="1:16" x14ac:dyDescent="0.3">
      <c r="A6392">
        <v>1062</v>
      </c>
      <c r="B6392">
        <v>22</v>
      </c>
      <c r="C6392" t="s">
        <v>15</v>
      </c>
      <c r="D6392" t="s">
        <v>16</v>
      </c>
      <c r="E6392" t="s">
        <v>17</v>
      </c>
      <c r="F6392" t="s">
        <v>21</v>
      </c>
      <c r="G6392" t="s">
        <v>43</v>
      </c>
      <c r="H6392" t="s">
        <v>25</v>
      </c>
      <c r="I6392" s="1">
        <v>3</v>
      </c>
      <c r="J6392" s="2">
        <v>45678</v>
      </c>
      <c r="L6392" s="1" t="str">
        <f t="shared" si="717"/>
        <v>ter</v>
      </c>
      <c r="M6392" s="1" t="str">
        <f t="shared" si="720"/>
        <v>jan</v>
      </c>
      <c r="N6392">
        <f t="shared" si="718"/>
        <v>2025</v>
      </c>
      <c r="P6392" t="str">
        <f t="shared" si="719"/>
        <v>106245678</v>
      </c>
    </row>
    <row r="6393" spans="1:16" x14ac:dyDescent="0.3">
      <c r="A6393">
        <v>1062</v>
      </c>
      <c r="B6393">
        <v>22</v>
      </c>
      <c r="C6393" t="s">
        <v>15</v>
      </c>
      <c r="D6393" t="s">
        <v>16</v>
      </c>
      <c r="E6393" t="s">
        <v>17</v>
      </c>
      <c r="F6393" t="s">
        <v>21</v>
      </c>
      <c r="G6393" t="s">
        <v>43</v>
      </c>
      <c r="H6393" t="s">
        <v>25</v>
      </c>
      <c r="I6393" s="1">
        <v>3</v>
      </c>
      <c r="J6393" s="2">
        <v>45679</v>
      </c>
      <c r="L6393" s="1" t="str">
        <f t="shared" si="717"/>
        <v>qua</v>
      </c>
      <c r="M6393" s="1" t="str">
        <f t="shared" si="720"/>
        <v>jan</v>
      </c>
      <c r="N6393">
        <f t="shared" si="718"/>
        <v>2025</v>
      </c>
      <c r="P6393" t="str">
        <f t="shared" si="719"/>
        <v>106245679</v>
      </c>
    </row>
    <row r="6394" spans="1:16" x14ac:dyDescent="0.3">
      <c r="A6394">
        <v>1888</v>
      </c>
      <c r="B6394">
        <v>22</v>
      </c>
      <c r="C6394" t="s">
        <v>15</v>
      </c>
      <c r="D6394" t="s">
        <v>29</v>
      </c>
      <c r="E6394" t="s">
        <v>17</v>
      </c>
      <c r="F6394" t="s">
        <v>18</v>
      </c>
      <c r="G6394" t="s">
        <v>43</v>
      </c>
      <c r="H6394" t="s">
        <v>25</v>
      </c>
      <c r="I6394" s="1">
        <v>2</v>
      </c>
      <c r="J6394" s="2">
        <v>45690</v>
      </c>
      <c r="L6394" s="1" t="str">
        <f t="shared" si="717"/>
        <v>dom</v>
      </c>
      <c r="M6394" s="1" t="str">
        <f t="shared" si="720"/>
        <v>fev</v>
      </c>
      <c r="N6394">
        <f t="shared" si="718"/>
        <v>2025</v>
      </c>
      <c r="P6394" t="str">
        <f t="shared" si="719"/>
        <v>188845690</v>
      </c>
    </row>
    <row r="6395" spans="1:16" x14ac:dyDescent="0.3">
      <c r="A6395">
        <v>1888</v>
      </c>
      <c r="B6395">
        <v>22</v>
      </c>
      <c r="C6395" t="s">
        <v>15</v>
      </c>
      <c r="D6395" t="s">
        <v>29</v>
      </c>
      <c r="E6395" t="s">
        <v>17</v>
      </c>
      <c r="F6395" t="s">
        <v>18</v>
      </c>
      <c r="G6395" t="s">
        <v>43</v>
      </c>
      <c r="H6395" t="s">
        <v>25</v>
      </c>
      <c r="I6395" s="1">
        <v>2</v>
      </c>
      <c r="J6395" s="2">
        <v>45691</v>
      </c>
      <c r="L6395" s="1" t="str">
        <f t="shared" si="717"/>
        <v>seg</v>
      </c>
      <c r="M6395" s="1" t="str">
        <f t="shared" si="720"/>
        <v>fev</v>
      </c>
      <c r="N6395">
        <f t="shared" si="718"/>
        <v>2025</v>
      </c>
      <c r="P6395" t="str">
        <f t="shared" si="719"/>
        <v>188845691</v>
      </c>
    </row>
    <row r="6396" spans="1:16" x14ac:dyDescent="0.3">
      <c r="A6396">
        <v>1888</v>
      </c>
      <c r="B6396">
        <v>22</v>
      </c>
      <c r="C6396" t="s">
        <v>15</v>
      </c>
      <c r="D6396" t="s">
        <v>29</v>
      </c>
      <c r="E6396" t="s">
        <v>17</v>
      </c>
      <c r="F6396" t="s">
        <v>18</v>
      </c>
      <c r="G6396" t="s">
        <v>43</v>
      </c>
      <c r="H6396" t="s">
        <v>25</v>
      </c>
      <c r="I6396" s="1">
        <v>2</v>
      </c>
      <c r="J6396" s="2">
        <v>45692</v>
      </c>
      <c r="L6396" s="1" t="str">
        <f t="shared" ref="L6396:L6459" si="721">TEXT(J6396,"ddd")</f>
        <v>ter</v>
      </c>
      <c r="M6396" s="1" t="str">
        <f t="shared" si="720"/>
        <v>fev</v>
      </c>
      <c r="N6396">
        <f t="shared" ref="N6396:N6459" si="722">YEAR(J6396)</f>
        <v>2025</v>
      </c>
      <c r="P6396" t="str">
        <f t="shared" ref="P6396:P6459" si="723">CONCATENATE(A6396,J6396)</f>
        <v>188845692</v>
      </c>
    </row>
    <row r="6397" spans="1:16" x14ac:dyDescent="0.3">
      <c r="A6397">
        <v>1888</v>
      </c>
      <c r="B6397">
        <v>22</v>
      </c>
      <c r="C6397" t="s">
        <v>15</v>
      </c>
      <c r="D6397" t="s">
        <v>29</v>
      </c>
      <c r="E6397" t="s">
        <v>17</v>
      </c>
      <c r="F6397" t="s">
        <v>18</v>
      </c>
      <c r="G6397" t="s">
        <v>43</v>
      </c>
      <c r="H6397" t="s">
        <v>25</v>
      </c>
      <c r="I6397" s="1">
        <v>2</v>
      </c>
      <c r="J6397" s="2">
        <v>45693</v>
      </c>
      <c r="L6397" s="1" t="str">
        <f t="shared" si="721"/>
        <v>qua</v>
      </c>
      <c r="M6397" s="1" t="str">
        <f t="shared" si="720"/>
        <v>fev</v>
      </c>
      <c r="N6397">
        <f t="shared" si="722"/>
        <v>2025</v>
      </c>
      <c r="P6397" t="str">
        <f t="shared" si="723"/>
        <v>188845693</v>
      </c>
    </row>
    <row r="6398" spans="1:16" x14ac:dyDescent="0.3">
      <c r="A6398">
        <v>1888</v>
      </c>
      <c r="B6398">
        <v>22</v>
      </c>
      <c r="C6398" t="s">
        <v>15</v>
      </c>
      <c r="D6398" t="s">
        <v>29</v>
      </c>
      <c r="E6398" t="s">
        <v>17</v>
      </c>
      <c r="F6398" t="s">
        <v>18</v>
      </c>
      <c r="G6398" t="s">
        <v>43</v>
      </c>
      <c r="H6398" t="s">
        <v>25</v>
      </c>
      <c r="I6398" s="1">
        <v>2</v>
      </c>
      <c r="J6398" s="2">
        <v>45694</v>
      </c>
      <c r="L6398" s="1" t="str">
        <f t="shared" si="721"/>
        <v>qui</v>
      </c>
      <c r="M6398" s="1" t="str">
        <f t="shared" si="720"/>
        <v>fev</v>
      </c>
      <c r="N6398">
        <f t="shared" si="722"/>
        <v>2025</v>
      </c>
      <c r="P6398" t="str">
        <f t="shared" si="723"/>
        <v>188845694</v>
      </c>
    </row>
    <row r="6399" spans="1:16" x14ac:dyDescent="0.3">
      <c r="A6399">
        <v>1888</v>
      </c>
      <c r="B6399">
        <v>22</v>
      </c>
      <c r="C6399" t="s">
        <v>15</v>
      </c>
      <c r="D6399" t="s">
        <v>29</v>
      </c>
      <c r="E6399" t="s">
        <v>17</v>
      </c>
      <c r="F6399" t="s">
        <v>18</v>
      </c>
      <c r="G6399" t="s">
        <v>43</v>
      </c>
      <c r="H6399" t="s">
        <v>25</v>
      </c>
      <c r="I6399" s="1">
        <v>2</v>
      </c>
      <c r="J6399" s="2">
        <v>45695</v>
      </c>
      <c r="L6399" s="1" t="str">
        <f t="shared" si="721"/>
        <v>sex</v>
      </c>
      <c r="M6399" s="1" t="str">
        <f t="shared" si="720"/>
        <v>fev</v>
      </c>
      <c r="N6399">
        <f t="shared" si="722"/>
        <v>2025</v>
      </c>
      <c r="P6399" t="str">
        <f t="shared" si="723"/>
        <v>188845695</v>
      </c>
    </row>
    <row r="6400" spans="1:16" x14ac:dyDescent="0.3">
      <c r="A6400">
        <v>1888</v>
      </c>
      <c r="B6400">
        <v>22</v>
      </c>
      <c r="C6400" t="s">
        <v>15</v>
      </c>
      <c r="D6400" t="s">
        <v>29</v>
      </c>
      <c r="E6400" t="s">
        <v>17</v>
      </c>
      <c r="F6400" t="s">
        <v>18</v>
      </c>
      <c r="G6400" t="s">
        <v>43</v>
      </c>
      <c r="H6400" t="s">
        <v>25</v>
      </c>
      <c r="I6400" s="1">
        <v>2</v>
      </c>
      <c r="J6400" s="2">
        <v>45696</v>
      </c>
      <c r="L6400" s="1" t="str">
        <f t="shared" si="721"/>
        <v>sáb</v>
      </c>
      <c r="M6400" s="1" t="str">
        <f t="shared" si="720"/>
        <v>fev</v>
      </c>
      <c r="N6400">
        <f t="shared" si="722"/>
        <v>2025</v>
      </c>
      <c r="P6400" t="str">
        <f t="shared" si="723"/>
        <v>188845696</v>
      </c>
    </row>
    <row r="6401" spans="1:16" x14ac:dyDescent="0.3">
      <c r="A6401">
        <v>1888</v>
      </c>
      <c r="B6401">
        <v>22</v>
      </c>
      <c r="C6401" t="s">
        <v>15</v>
      </c>
      <c r="D6401" t="s">
        <v>29</v>
      </c>
      <c r="E6401" t="s">
        <v>17</v>
      </c>
      <c r="F6401" t="s">
        <v>18</v>
      </c>
      <c r="G6401" t="s">
        <v>43</v>
      </c>
      <c r="H6401" t="s">
        <v>25</v>
      </c>
      <c r="I6401" s="1">
        <v>2</v>
      </c>
      <c r="J6401" s="2">
        <v>45697</v>
      </c>
      <c r="L6401" s="1" t="str">
        <f t="shared" si="721"/>
        <v>dom</v>
      </c>
      <c r="M6401" s="1" t="str">
        <f t="shared" si="720"/>
        <v>fev</v>
      </c>
      <c r="N6401">
        <f t="shared" si="722"/>
        <v>2025</v>
      </c>
      <c r="P6401" t="str">
        <f t="shared" si="723"/>
        <v>188845697</v>
      </c>
    </row>
    <row r="6402" spans="1:16" x14ac:dyDescent="0.3">
      <c r="A6402">
        <v>1888</v>
      </c>
      <c r="B6402">
        <v>22</v>
      </c>
      <c r="C6402" t="s">
        <v>15</v>
      </c>
      <c r="D6402" t="s">
        <v>29</v>
      </c>
      <c r="E6402" t="s">
        <v>17</v>
      </c>
      <c r="F6402" t="s">
        <v>18</v>
      </c>
      <c r="G6402" t="s">
        <v>43</v>
      </c>
      <c r="H6402" t="s">
        <v>25</v>
      </c>
      <c r="I6402" s="1">
        <v>2</v>
      </c>
      <c r="J6402" s="2">
        <v>45698</v>
      </c>
      <c r="L6402" s="1" t="str">
        <f t="shared" si="721"/>
        <v>seg</v>
      </c>
      <c r="M6402" s="1" t="str">
        <f t="shared" si="720"/>
        <v>fev</v>
      </c>
      <c r="N6402">
        <f t="shared" si="722"/>
        <v>2025</v>
      </c>
      <c r="P6402" t="str">
        <f t="shared" si="723"/>
        <v>188845698</v>
      </c>
    </row>
    <row r="6403" spans="1:16" x14ac:dyDescent="0.3">
      <c r="A6403">
        <v>1888</v>
      </c>
      <c r="B6403">
        <v>22</v>
      </c>
      <c r="C6403" t="s">
        <v>15</v>
      </c>
      <c r="D6403" t="s">
        <v>29</v>
      </c>
      <c r="E6403" t="s">
        <v>17</v>
      </c>
      <c r="F6403" t="s">
        <v>18</v>
      </c>
      <c r="G6403" t="s">
        <v>43</v>
      </c>
      <c r="H6403" t="s">
        <v>25</v>
      </c>
      <c r="I6403" s="1">
        <v>2</v>
      </c>
      <c r="J6403" s="2">
        <v>45699</v>
      </c>
      <c r="L6403" s="1" t="str">
        <f t="shared" si="721"/>
        <v>ter</v>
      </c>
      <c r="M6403" s="1" t="str">
        <f t="shared" si="720"/>
        <v>fev</v>
      </c>
      <c r="N6403">
        <f t="shared" si="722"/>
        <v>2025</v>
      </c>
      <c r="P6403" t="str">
        <f t="shared" si="723"/>
        <v>188845699</v>
      </c>
    </row>
    <row r="6404" spans="1:16" x14ac:dyDescent="0.3">
      <c r="A6404">
        <v>1888</v>
      </c>
      <c r="B6404">
        <v>22</v>
      </c>
      <c r="C6404" t="s">
        <v>15</v>
      </c>
      <c r="D6404" t="s">
        <v>29</v>
      </c>
      <c r="E6404" t="s">
        <v>17</v>
      </c>
      <c r="F6404" t="s">
        <v>18</v>
      </c>
      <c r="G6404" t="s">
        <v>43</v>
      </c>
      <c r="H6404" t="s">
        <v>25</v>
      </c>
      <c r="I6404" s="1">
        <v>2</v>
      </c>
      <c r="J6404" s="2">
        <v>45700</v>
      </c>
      <c r="L6404" s="1" t="str">
        <f t="shared" si="721"/>
        <v>qua</v>
      </c>
      <c r="M6404" s="1" t="str">
        <f t="shared" si="720"/>
        <v>fev</v>
      </c>
      <c r="N6404">
        <f t="shared" si="722"/>
        <v>2025</v>
      </c>
      <c r="P6404" t="str">
        <f t="shared" si="723"/>
        <v>188845700</v>
      </c>
    </row>
    <row r="6405" spans="1:16" x14ac:dyDescent="0.3">
      <c r="A6405">
        <v>1888</v>
      </c>
      <c r="B6405">
        <v>22</v>
      </c>
      <c r="C6405" t="s">
        <v>15</v>
      </c>
      <c r="D6405" t="s">
        <v>29</v>
      </c>
      <c r="E6405" t="s">
        <v>17</v>
      </c>
      <c r="F6405" t="s">
        <v>18</v>
      </c>
      <c r="G6405" t="s">
        <v>43</v>
      </c>
      <c r="H6405" t="s">
        <v>25</v>
      </c>
      <c r="I6405" s="1">
        <v>2</v>
      </c>
      <c r="J6405" s="2">
        <v>45701</v>
      </c>
      <c r="L6405" s="1" t="str">
        <f t="shared" si="721"/>
        <v>qui</v>
      </c>
      <c r="M6405" s="1" t="str">
        <f t="shared" si="720"/>
        <v>fev</v>
      </c>
      <c r="N6405">
        <f t="shared" si="722"/>
        <v>2025</v>
      </c>
      <c r="P6405" t="str">
        <f t="shared" si="723"/>
        <v>188845701</v>
      </c>
    </row>
    <row r="6406" spans="1:16" x14ac:dyDescent="0.3">
      <c r="A6406">
        <v>1888</v>
      </c>
      <c r="B6406">
        <v>22</v>
      </c>
      <c r="C6406" t="s">
        <v>15</v>
      </c>
      <c r="D6406" t="s">
        <v>29</v>
      </c>
      <c r="E6406" t="s">
        <v>17</v>
      </c>
      <c r="F6406" t="s">
        <v>18</v>
      </c>
      <c r="G6406" t="s">
        <v>43</v>
      </c>
      <c r="H6406" t="s">
        <v>25</v>
      </c>
      <c r="I6406" s="1">
        <v>2</v>
      </c>
      <c r="J6406" s="2">
        <v>45702</v>
      </c>
      <c r="L6406" s="1" t="str">
        <f t="shared" si="721"/>
        <v>sex</v>
      </c>
      <c r="M6406" s="1" t="str">
        <f t="shared" si="720"/>
        <v>fev</v>
      </c>
      <c r="N6406">
        <f t="shared" si="722"/>
        <v>2025</v>
      </c>
      <c r="P6406" t="str">
        <f t="shared" si="723"/>
        <v>188845702</v>
      </c>
    </row>
    <row r="6407" spans="1:16" x14ac:dyDescent="0.3">
      <c r="A6407">
        <v>1888</v>
      </c>
      <c r="B6407">
        <v>22</v>
      </c>
      <c r="C6407" t="s">
        <v>15</v>
      </c>
      <c r="D6407" t="s">
        <v>29</v>
      </c>
      <c r="E6407" t="s">
        <v>17</v>
      </c>
      <c r="F6407" t="s">
        <v>18</v>
      </c>
      <c r="G6407" t="s">
        <v>43</v>
      </c>
      <c r="H6407" t="s">
        <v>25</v>
      </c>
      <c r="I6407" s="1">
        <v>2</v>
      </c>
      <c r="J6407" s="2">
        <v>45703</v>
      </c>
      <c r="L6407" s="1" t="str">
        <f t="shared" si="721"/>
        <v>sáb</v>
      </c>
      <c r="M6407" s="1" t="str">
        <f t="shared" si="720"/>
        <v>fev</v>
      </c>
      <c r="N6407">
        <f t="shared" si="722"/>
        <v>2025</v>
      </c>
      <c r="P6407" t="str">
        <f t="shared" si="723"/>
        <v>188845703</v>
      </c>
    </row>
    <row r="6408" spans="1:16" x14ac:dyDescent="0.3">
      <c r="A6408">
        <v>1888</v>
      </c>
      <c r="B6408">
        <v>22</v>
      </c>
      <c r="C6408" t="s">
        <v>15</v>
      </c>
      <c r="D6408" t="s">
        <v>29</v>
      </c>
      <c r="E6408" t="s">
        <v>17</v>
      </c>
      <c r="F6408" t="s">
        <v>18</v>
      </c>
      <c r="G6408" t="s">
        <v>43</v>
      </c>
      <c r="H6408" t="s">
        <v>25</v>
      </c>
      <c r="I6408" s="1">
        <v>2</v>
      </c>
      <c r="J6408" s="2">
        <v>45704</v>
      </c>
      <c r="L6408" s="1" t="str">
        <f t="shared" si="721"/>
        <v>dom</v>
      </c>
      <c r="M6408" s="1" t="str">
        <f t="shared" si="720"/>
        <v>fev</v>
      </c>
      <c r="N6408">
        <f t="shared" si="722"/>
        <v>2025</v>
      </c>
      <c r="P6408" t="str">
        <f t="shared" si="723"/>
        <v>188845704</v>
      </c>
    </row>
    <row r="6409" spans="1:16" x14ac:dyDescent="0.3">
      <c r="A6409">
        <v>1888</v>
      </c>
      <c r="B6409">
        <v>22</v>
      </c>
      <c r="C6409" t="s">
        <v>15</v>
      </c>
      <c r="D6409" t="s">
        <v>29</v>
      </c>
      <c r="E6409" t="s">
        <v>17</v>
      </c>
      <c r="F6409" t="s">
        <v>18</v>
      </c>
      <c r="G6409" t="s">
        <v>43</v>
      </c>
      <c r="H6409" t="s">
        <v>25</v>
      </c>
      <c r="I6409" s="1">
        <v>2</v>
      </c>
      <c r="J6409" s="2">
        <v>45705</v>
      </c>
      <c r="L6409" s="1" t="str">
        <f t="shared" si="721"/>
        <v>seg</v>
      </c>
      <c r="M6409" s="1" t="str">
        <f t="shared" si="720"/>
        <v>fev</v>
      </c>
      <c r="N6409">
        <f t="shared" si="722"/>
        <v>2025</v>
      </c>
      <c r="P6409" t="str">
        <f t="shared" si="723"/>
        <v>188845705</v>
      </c>
    </row>
    <row r="6410" spans="1:16" x14ac:dyDescent="0.3">
      <c r="A6410">
        <v>1888</v>
      </c>
      <c r="B6410">
        <v>22</v>
      </c>
      <c r="C6410" t="s">
        <v>15</v>
      </c>
      <c r="D6410" t="s">
        <v>29</v>
      </c>
      <c r="E6410" t="s">
        <v>17</v>
      </c>
      <c r="F6410" t="s">
        <v>18</v>
      </c>
      <c r="G6410" t="s">
        <v>43</v>
      </c>
      <c r="H6410" t="s">
        <v>25</v>
      </c>
      <c r="I6410" s="1">
        <v>2</v>
      </c>
      <c r="J6410" s="2">
        <v>45706</v>
      </c>
      <c r="L6410" s="1" t="str">
        <f t="shared" si="721"/>
        <v>ter</v>
      </c>
      <c r="M6410" s="1" t="str">
        <f t="shared" si="720"/>
        <v>fev</v>
      </c>
      <c r="N6410">
        <f t="shared" si="722"/>
        <v>2025</v>
      </c>
      <c r="P6410" t="str">
        <f t="shared" si="723"/>
        <v>188845706</v>
      </c>
    </row>
    <row r="6411" spans="1:16" x14ac:dyDescent="0.3">
      <c r="A6411">
        <v>1888</v>
      </c>
      <c r="B6411">
        <v>22</v>
      </c>
      <c r="C6411" t="s">
        <v>15</v>
      </c>
      <c r="D6411" t="s">
        <v>29</v>
      </c>
      <c r="E6411" t="s">
        <v>17</v>
      </c>
      <c r="F6411" t="s">
        <v>18</v>
      </c>
      <c r="G6411" t="s">
        <v>43</v>
      </c>
      <c r="H6411" t="s">
        <v>25</v>
      </c>
      <c r="I6411" s="1">
        <v>2</v>
      </c>
      <c r="J6411" s="2">
        <v>45707</v>
      </c>
      <c r="L6411" s="1" t="str">
        <f t="shared" si="721"/>
        <v>qua</v>
      </c>
      <c r="M6411" s="1" t="str">
        <f t="shared" si="720"/>
        <v>fev</v>
      </c>
      <c r="N6411">
        <f t="shared" si="722"/>
        <v>2025</v>
      </c>
      <c r="P6411" t="str">
        <f t="shared" si="723"/>
        <v>188845707</v>
      </c>
    </row>
    <row r="6412" spans="1:16" x14ac:dyDescent="0.3">
      <c r="A6412">
        <v>1888</v>
      </c>
      <c r="B6412">
        <v>22</v>
      </c>
      <c r="C6412" t="s">
        <v>15</v>
      </c>
      <c r="D6412" t="s">
        <v>29</v>
      </c>
      <c r="E6412" t="s">
        <v>17</v>
      </c>
      <c r="F6412" t="s">
        <v>18</v>
      </c>
      <c r="G6412" t="s">
        <v>43</v>
      </c>
      <c r="H6412" t="s">
        <v>25</v>
      </c>
      <c r="I6412" s="1">
        <v>2</v>
      </c>
      <c r="J6412" s="2">
        <v>45708</v>
      </c>
      <c r="L6412" s="1" t="str">
        <f t="shared" si="721"/>
        <v>qui</v>
      </c>
      <c r="M6412" s="1" t="str">
        <f t="shared" si="720"/>
        <v>fev</v>
      </c>
      <c r="N6412">
        <f t="shared" si="722"/>
        <v>2025</v>
      </c>
      <c r="P6412" t="str">
        <f t="shared" si="723"/>
        <v>188845708</v>
      </c>
    </row>
    <row r="6413" spans="1:16" x14ac:dyDescent="0.3">
      <c r="A6413">
        <v>1888</v>
      </c>
      <c r="B6413">
        <v>22</v>
      </c>
      <c r="C6413" t="s">
        <v>15</v>
      </c>
      <c r="D6413" t="s">
        <v>29</v>
      </c>
      <c r="E6413" t="s">
        <v>17</v>
      </c>
      <c r="F6413" t="s">
        <v>18</v>
      </c>
      <c r="G6413" t="s">
        <v>43</v>
      </c>
      <c r="H6413" t="s">
        <v>25</v>
      </c>
      <c r="I6413" s="1">
        <v>2</v>
      </c>
      <c r="J6413" s="2">
        <v>45709</v>
      </c>
      <c r="L6413" s="1" t="str">
        <f t="shared" si="721"/>
        <v>sex</v>
      </c>
      <c r="M6413" s="1" t="str">
        <f t="shared" si="720"/>
        <v>fev</v>
      </c>
      <c r="N6413">
        <f t="shared" si="722"/>
        <v>2025</v>
      </c>
      <c r="P6413" t="str">
        <f t="shared" si="723"/>
        <v>188845709</v>
      </c>
    </row>
    <row r="6414" spans="1:16" x14ac:dyDescent="0.3">
      <c r="A6414">
        <v>1888</v>
      </c>
      <c r="B6414">
        <v>22</v>
      </c>
      <c r="C6414" t="s">
        <v>15</v>
      </c>
      <c r="D6414" t="s">
        <v>29</v>
      </c>
      <c r="E6414" t="s">
        <v>17</v>
      </c>
      <c r="F6414" t="s">
        <v>18</v>
      </c>
      <c r="G6414" t="s">
        <v>43</v>
      </c>
      <c r="H6414" t="s">
        <v>25</v>
      </c>
      <c r="I6414" s="1">
        <v>2</v>
      </c>
      <c r="J6414" s="2">
        <v>45710</v>
      </c>
      <c r="L6414" s="1" t="str">
        <f t="shared" si="721"/>
        <v>sáb</v>
      </c>
      <c r="M6414" s="1" t="str">
        <f t="shared" si="720"/>
        <v>fev</v>
      </c>
      <c r="N6414">
        <f t="shared" si="722"/>
        <v>2025</v>
      </c>
      <c r="P6414" t="str">
        <f t="shared" si="723"/>
        <v>188845710</v>
      </c>
    </row>
    <row r="6415" spans="1:16" x14ac:dyDescent="0.3">
      <c r="A6415">
        <v>1888</v>
      </c>
      <c r="B6415">
        <v>22</v>
      </c>
      <c r="C6415" t="s">
        <v>15</v>
      </c>
      <c r="D6415" t="s">
        <v>29</v>
      </c>
      <c r="E6415" t="s">
        <v>17</v>
      </c>
      <c r="F6415" t="s">
        <v>18</v>
      </c>
      <c r="G6415" t="s">
        <v>43</v>
      </c>
      <c r="H6415" t="s">
        <v>25</v>
      </c>
      <c r="I6415" s="1">
        <v>2</v>
      </c>
      <c r="J6415" s="2">
        <v>45711</v>
      </c>
      <c r="L6415" s="1" t="str">
        <f t="shared" si="721"/>
        <v>dom</v>
      </c>
      <c r="M6415" s="1" t="str">
        <f t="shared" si="720"/>
        <v>fev</v>
      </c>
      <c r="N6415">
        <f t="shared" si="722"/>
        <v>2025</v>
      </c>
      <c r="P6415" t="str">
        <f t="shared" si="723"/>
        <v>188845711</v>
      </c>
    </row>
    <row r="6416" spans="1:16" x14ac:dyDescent="0.3">
      <c r="A6416">
        <v>1888</v>
      </c>
      <c r="B6416">
        <v>22</v>
      </c>
      <c r="C6416" t="s">
        <v>15</v>
      </c>
      <c r="D6416" t="s">
        <v>29</v>
      </c>
      <c r="E6416" t="s">
        <v>17</v>
      </c>
      <c r="F6416" t="s">
        <v>18</v>
      </c>
      <c r="G6416" t="s">
        <v>43</v>
      </c>
      <c r="H6416" t="s">
        <v>25</v>
      </c>
      <c r="I6416" s="1">
        <v>2</v>
      </c>
      <c r="J6416" s="2">
        <v>45712</v>
      </c>
      <c r="L6416" s="1" t="str">
        <f t="shared" si="721"/>
        <v>seg</v>
      </c>
      <c r="M6416" s="1" t="str">
        <f t="shared" si="720"/>
        <v>fev</v>
      </c>
      <c r="N6416">
        <f t="shared" si="722"/>
        <v>2025</v>
      </c>
      <c r="P6416" t="str">
        <f t="shared" si="723"/>
        <v>188845712</v>
      </c>
    </row>
    <row r="6417" spans="1:16" x14ac:dyDescent="0.3">
      <c r="A6417">
        <v>1888</v>
      </c>
      <c r="B6417">
        <v>22</v>
      </c>
      <c r="C6417" t="s">
        <v>15</v>
      </c>
      <c r="D6417" t="s">
        <v>29</v>
      </c>
      <c r="E6417" t="s">
        <v>17</v>
      </c>
      <c r="F6417" t="s">
        <v>18</v>
      </c>
      <c r="G6417" t="s">
        <v>43</v>
      </c>
      <c r="H6417" t="s">
        <v>25</v>
      </c>
      <c r="I6417" s="1">
        <v>2</v>
      </c>
      <c r="J6417" s="2">
        <v>45713</v>
      </c>
      <c r="L6417" s="1" t="str">
        <f t="shared" si="721"/>
        <v>ter</v>
      </c>
      <c r="M6417" s="1" t="str">
        <f t="shared" si="720"/>
        <v>fev</v>
      </c>
      <c r="N6417">
        <f t="shared" si="722"/>
        <v>2025</v>
      </c>
      <c r="P6417" t="str">
        <f t="shared" si="723"/>
        <v>188845713</v>
      </c>
    </row>
    <row r="6418" spans="1:16" x14ac:dyDescent="0.3">
      <c r="A6418">
        <v>1888</v>
      </c>
      <c r="B6418">
        <v>22</v>
      </c>
      <c r="C6418" t="s">
        <v>15</v>
      </c>
      <c r="D6418" t="s">
        <v>29</v>
      </c>
      <c r="E6418" t="s">
        <v>17</v>
      </c>
      <c r="F6418" t="s">
        <v>18</v>
      </c>
      <c r="G6418" t="s">
        <v>43</v>
      </c>
      <c r="H6418" t="s">
        <v>25</v>
      </c>
      <c r="I6418" s="1">
        <v>2</v>
      </c>
      <c r="J6418" s="2">
        <v>45714</v>
      </c>
      <c r="L6418" s="1" t="str">
        <f t="shared" si="721"/>
        <v>qua</v>
      </c>
      <c r="M6418" s="1" t="str">
        <f t="shared" si="720"/>
        <v>fev</v>
      </c>
      <c r="N6418">
        <f t="shared" si="722"/>
        <v>2025</v>
      </c>
      <c r="P6418" t="str">
        <f t="shared" si="723"/>
        <v>188845714</v>
      </c>
    </row>
    <row r="6419" spans="1:16" x14ac:dyDescent="0.3">
      <c r="A6419">
        <v>1888</v>
      </c>
      <c r="B6419">
        <v>22</v>
      </c>
      <c r="C6419" t="s">
        <v>15</v>
      </c>
      <c r="D6419" t="s">
        <v>29</v>
      </c>
      <c r="E6419" t="s">
        <v>17</v>
      </c>
      <c r="F6419" t="s">
        <v>18</v>
      </c>
      <c r="G6419" t="s">
        <v>43</v>
      </c>
      <c r="H6419" t="s">
        <v>25</v>
      </c>
      <c r="I6419" s="1">
        <v>2</v>
      </c>
      <c r="J6419" s="2">
        <v>45715</v>
      </c>
      <c r="L6419" s="1" t="str">
        <f t="shared" si="721"/>
        <v>qui</v>
      </c>
      <c r="M6419" s="1" t="str">
        <f t="shared" si="720"/>
        <v>fev</v>
      </c>
      <c r="N6419">
        <f t="shared" si="722"/>
        <v>2025</v>
      </c>
      <c r="P6419" t="str">
        <f t="shared" si="723"/>
        <v>188845715</v>
      </c>
    </row>
    <row r="6420" spans="1:16" x14ac:dyDescent="0.3">
      <c r="A6420">
        <v>1888</v>
      </c>
      <c r="B6420">
        <v>22</v>
      </c>
      <c r="C6420" t="s">
        <v>15</v>
      </c>
      <c r="D6420" t="s">
        <v>29</v>
      </c>
      <c r="E6420" t="s">
        <v>17</v>
      </c>
      <c r="F6420" t="s">
        <v>18</v>
      </c>
      <c r="G6420" t="s">
        <v>43</v>
      </c>
      <c r="H6420" t="s">
        <v>25</v>
      </c>
      <c r="I6420" s="1">
        <v>2</v>
      </c>
      <c r="J6420" s="2">
        <v>45716</v>
      </c>
      <c r="L6420" s="1" t="str">
        <f t="shared" si="721"/>
        <v>sex</v>
      </c>
      <c r="M6420" s="1" t="str">
        <f t="shared" si="720"/>
        <v>fev</v>
      </c>
      <c r="N6420">
        <f t="shared" si="722"/>
        <v>2025</v>
      </c>
      <c r="P6420" t="str">
        <f t="shared" si="723"/>
        <v>188845716</v>
      </c>
    </row>
    <row r="6421" spans="1:16" x14ac:dyDescent="0.3">
      <c r="A6421">
        <v>1888</v>
      </c>
      <c r="B6421">
        <v>22</v>
      </c>
      <c r="C6421" t="s">
        <v>15</v>
      </c>
      <c r="D6421" t="s">
        <v>29</v>
      </c>
      <c r="E6421" t="s">
        <v>17</v>
      </c>
      <c r="F6421" t="s">
        <v>18</v>
      </c>
      <c r="G6421" t="s">
        <v>43</v>
      </c>
      <c r="H6421" t="s">
        <v>25</v>
      </c>
      <c r="I6421" s="1">
        <v>2</v>
      </c>
      <c r="J6421" s="2">
        <v>45717</v>
      </c>
      <c r="L6421" s="1" t="str">
        <f t="shared" si="721"/>
        <v>sáb</v>
      </c>
      <c r="M6421" s="1" t="str">
        <f t="shared" si="720"/>
        <v>mar</v>
      </c>
      <c r="N6421">
        <f t="shared" si="722"/>
        <v>2025</v>
      </c>
      <c r="P6421" t="str">
        <f t="shared" si="723"/>
        <v>188845717</v>
      </c>
    </row>
    <row r="6422" spans="1:16" x14ac:dyDescent="0.3">
      <c r="A6422">
        <v>1888</v>
      </c>
      <c r="B6422">
        <v>22</v>
      </c>
      <c r="C6422" t="s">
        <v>15</v>
      </c>
      <c r="D6422" t="s">
        <v>29</v>
      </c>
      <c r="E6422" t="s">
        <v>17</v>
      </c>
      <c r="F6422" t="s">
        <v>18</v>
      </c>
      <c r="G6422" t="s">
        <v>43</v>
      </c>
      <c r="H6422" t="s">
        <v>25</v>
      </c>
      <c r="I6422" s="1">
        <v>2</v>
      </c>
      <c r="J6422" s="2">
        <v>45718</v>
      </c>
      <c r="L6422" s="1" t="str">
        <f t="shared" si="721"/>
        <v>dom</v>
      </c>
      <c r="M6422" s="1" t="str">
        <f t="shared" si="720"/>
        <v>mar</v>
      </c>
      <c r="N6422">
        <f t="shared" si="722"/>
        <v>2025</v>
      </c>
      <c r="P6422" t="str">
        <f t="shared" si="723"/>
        <v>188845718</v>
      </c>
    </row>
    <row r="6423" spans="1:16" x14ac:dyDescent="0.3">
      <c r="A6423">
        <v>1888</v>
      </c>
      <c r="B6423">
        <v>22</v>
      </c>
      <c r="C6423" t="s">
        <v>15</v>
      </c>
      <c r="D6423" t="s">
        <v>29</v>
      </c>
      <c r="E6423" t="s">
        <v>17</v>
      </c>
      <c r="F6423" t="s">
        <v>18</v>
      </c>
      <c r="G6423" t="s">
        <v>43</v>
      </c>
      <c r="H6423" t="s">
        <v>25</v>
      </c>
      <c r="I6423" s="1">
        <v>2</v>
      </c>
      <c r="J6423" s="2">
        <v>45719</v>
      </c>
      <c r="L6423" s="1" t="str">
        <f t="shared" si="721"/>
        <v>seg</v>
      </c>
      <c r="M6423" s="1" t="str">
        <f t="shared" si="720"/>
        <v>mar</v>
      </c>
      <c r="N6423">
        <f t="shared" si="722"/>
        <v>2025</v>
      </c>
      <c r="P6423" t="str">
        <f t="shared" si="723"/>
        <v>188845719</v>
      </c>
    </row>
    <row r="6424" spans="1:16" x14ac:dyDescent="0.3">
      <c r="A6424">
        <v>1888</v>
      </c>
      <c r="B6424">
        <v>22</v>
      </c>
      <c r="C6424" t="s">
        <v>15</v>
      </c>
      <c r="D6424" t="s">
        <v>29</v>
      </c>
      <c r="E6424" t="s">
        <v>17</v>
      </c>
      <c r="F6424" t="s">
        <v>18</v>
      </c>
      <c r="G6424" t="s">
        <v>43</v>
      </c>
      <c r="H6424" t="s">
        <v>25</v>
      </c>
      <c r="I6424" s="1">
        <v>2</v>
      </c>
      <c r="J6424" s="2">
        <v>45720</v>
      </c>
      <c r="L6424" s="1" t="str">
        <f t="shared" si="721"/>
        <v>ter</v>
      </c>
      <c r="M6424" s="1" t="str">
        <f t="shared" si="720"/>
        <v>mar</v>
      </c>
      <c r="N6424">
        <f t="shared" si="722"/>
        <v>2025</v>
      </c>
      <c r="P6424" t="str">
        <f t="shared" si="723"/>
        <v>188845720</v>
      </c>
    </row>
    <row r="6425" spans="1:16" x14ac:dyDescent="0.3">
      <c r="A6425">
        <v>1888</v>
      </c>
      <c r="B6425">
        <v>22</v>
      </c>
      <c r="C6425" t="s">
        <v>15</v>
      </c>
      <c r="D6425" t="s">
        <v>29</v>
      </c>
      <c r="E6425" t="s">
        <v>17</v>
      </c>
      <c r="F6425" t="s">
        <v>18</v>
      </c>
      <c r="G6425" t="s">
        <v>43</v>
      </c>
      <c r="H6425" t="s">
        <v>25</v>
      </c>
      <c r="I6425" s="1">
        <v>2</v>
      </c>
      <c r="J6425" s="2">
        <v>45721</v>
      </c>
      <c r="L6425" s="1" t="str">
        <f t="shared" si="721"/>
        <v>qua</v>
      </c>
      <c r="M6425" s="1" t="str">
        <f t="shared" si="720"/>
        <v>mar</v>
      </c>
      <c r="N6425">
        <f t="shared" si="722"/>
        <v>2025</v>
      </c>
      <c r="P6425" t="str">
        <f t="shared" si="723"/>
        <v>188845721</v>
      </c>
    </row>
    <row r="6426" spans="1:16" x14ac:dyDescent="0.3">
      <c r="A6426">
        <v>1888</v>
      </c>
      <c r="B6426">
        <v>22</v>
      </c>
      <c r="C6426" t="s">
        <v>15</v>
      </c>
      <c r="D6426" t="s">
        <v>29</v>
      </c>
      <c r="E6426" t="s">
        <v>17</v>
      </c>
      <c r="F6426" t="s">
        <v>18</v>
      </c>
      <c r="G6426" t="s">
        <v>43</v>
      </c>
      <c r="H6426" t="s">
        <v>25</v>
      </c>
      <c r="I6426" s="1">
        <v>2</v>
      </c>
      <c r="J6426" s="2">
        <v>45722</v>
      </c>
      <c r="L6426" s="1" t="str">
        <f t="shared" si="721"/>
        <v>qui</v>
      </c>
      <c r="M6426" s="1" t="str">
        <f t="shared" si="720"/>
        <v>mar</v>
      </c>
      <c r="N6426">
        <f t="shared" si="722"/>
        <v>2025</v>
      </c>
      <c r="P6426" t="str">
        <f t="shared" si="723"/>
        <v>188845722</v>
      </c>
    </row>
    <row r="6427" spans="1:16" x14ac:dyDescent="0.3">
      <c r="A6427">
        <v>1888</v>
      </c>
      <c r="B6427">
        <v>22</v>
      </c>
      <c r="C6427" t="s">
        <v>15</v>
      </c>
      <c r="D6427" t="s">
        <v>29</v>
      </c>
      <c r="E6427" t="s">
        <v>17</v>
      </c>
      <c r="F6427" t="s">
        <v>18</v>
      </c>
      <c r="G6427" t="s">
        <v>43</v>
      </c>
      <c r="H6427" t="s">
        <v>25</v>
      </c>
      <c r="I6427" s="1">
        <v>2</v>
      </c>
      <c r="J6427" s="2">
        <v>45723</v>
      </c>
      <c r="L6427" s="1" t="str">
        <f t="shared" si="721"/>
        <v>sex</v>
      </c>
      <c r="M6427" s="1" t="str">
        <f t="shared" si="720"/>
        <v>mar</v>
      </c>
      <c r="N6427">
        <f t="shared" si="722"/>
        <v>2025</v>
      </c>
      <c r="P6427" t="str">
        <f t="shared" si="723"/>
        <v>188845723</v>
      </c>
    </row>
    <row r="6428" spans="1:16" x14ac:dyDescent="0.3">
      <c r="A6428">
        <v>1888</v>
      </c>
      <c r="B6428">
        <v>22</v>
      </c>
      <c r="C6428" t="s">
        <v>15</v>
      </c>
      <c r="D6428" t="s">
        <v>29</v>
      </c>
      <c r="E6428" t="s">
        <v>17</v>
      </c>
      <c r="F6428" t="s">
        <v>18</v>
      </c>
      <c r="G6428" t="s">
        <v>43</v>
      </c>
      <c r="H6428" t="s">
        <v>25</v>
      </c>
      <c r="I6428" s="1">
        <v>2</v>
      </c>
      <c r="J6428" s="2">
        <v>45724</v>
      </c>
      <c r="L6428" s="1" t="str">
        <f t="shared" si="721"/>
        <v>sáb</v>
      </c>
      <c r="M6428" s="1" t="str">
        <f t="shared" si="720"/>
        <v>mar</v>
      </c>
      <c r="N6428">
        <f t="shared" si="722"/>
        <v>2025</v>
      </c>
      <c r="P6428" t="str">
        <f t="shared" si="723"/>
        <v>188845724</v>
      </c>
    </row>
    <row r="6429" spans="1:16" x14ac:dyDescent="0.3">
      <c r="A6429">
        <v>1888</v>
      </c>
      <c r="B6429">
        <v>22</v>
      </c>
      <c r="C6429" t="s">
        <v>15</v>
      </c>
      <c r="D6429" t="s">
        <v>29</v>
      </c>
      <c r="E6429" t="s">
        <v>17</v>
      </c>
      <c r="F6429" t="s">
        <v>18</v>
      </c>
      <c r="G6429" t="s">
        <v>43</v>
      </c>
      <c r="H6429" t="s">
        <v>25</v>
      </c>
      <c r="I6429" s="1">
        <v>2</v>
      </c>
      <c r="J6429" s="2">
        <v>45725</v>
      </c>
      <c r="L6429" s="1" t="str">
        <f t="shared" si="721"/>
        <v>dom</v>
      </c>
      <c r="M6429" s="1" t="str">
        <f t="shared" si="720"/>
        <v>mar</v>
      </c>
      <c r="N6429">
        <f t="shared" si="722"/>
        <v>2025</v>
      </c>
      <c r="P6429" t="str">
        <f t="shared" si="723"/>
        <v>188845725</v>
      </c>
    </row>
    <row r="6430" spans="1:16" x14ac:dyDescent="0.3">
      <c r="A6430">
        <v>1888</v>
      </c>
      <c r="B6430">
        <v>22</v>
      </c>
      <c r="C6430" t="s">
        <v>15</v>
      </c>
      <c r="D6430" t="s">
        <v>29</v>
      </c>
      <c r="E6430" t="s">
        <v>17</v>
      </c>
      <c r="F6430" t="s">
        <v>18</v>
      </c>
      <c r="G6430" t="s">
        <v>43</v>
      </c>
      <c r="H6430" t="s">
        <v>25</v>
      </c>
      <c r="I6430" s="1">
        <v>2</v>
      </c>
      <c r="J6430" s="2">
        <v>45726</v>
      </c>
      <c r="L6430" s="1" t="str">
        <f t="shared" si="721"/>
        <v>seg</v>
      </c>
      <c r="M6430" s="1" t="str">
        <f t="shared" si="720"/>
        <v>mar</v>
      </c>
      <c r="N6430">
        <f t="shared" si="722"/>
        <v>2025</v>
      </c>
      <c r="P6430" t="str">
        <f t="shared" si="723"/>
        <v>188845726</v>
      </c>
    </row>
    <row r="6431" spans="1:16" x14ac:dyDescent="0.3">
      <c r="A6431">
        <v>1888</v>
      </c>
      <c r="B6431">
        <v>22</v>
      </c>
      <c r="C6431" t="s">
        <v>15</v>
      </c>
      <c r="D6431" t="s">
        <v>29</v>
      </c>
      <c r="E6431" t="s">
        <v>17</v>
      </c>
      <c r="F6431" t="s">
        <v>18</v>
      </c>
      <c r="G6431" t="s">
        <v>43</v>
      </c>
      <c r="H6431" t="s">
        <v>25</v>
      </c>
      <c r="I6431" s="1">
        <v>2</v>
      </c>
      <c r="J6431" s="2">
        <v>45727</v>
      </c>
      <c r="L6431" s="1" t="str">
        <f t="shared" si="721"/>
        <v>ter</v>
      </c>
      <c r="M6431" s="1" t="str">
        <f t="shared" si="720"/>
        <v>mar</v>
      </c>
      <c r="N6431">
        <f t="shared" si="722"/>
        <v>2025</v>
      </c>
      <c r="P6431" t="str">
        <f t="shared" si="723"/>
        <v>188845727</v>
      </c>
    </row>
    <row r="6432" spans="1:16" x14ac:dyDescent="0.3">
      <c r="A6432">
        <v>1888</v>
      </c>
      <c r="B6432">
        <v>22</v>
      </c>
      <c r="C6432" t="s">
        <v>15</v>
      </c>
      <c r="D6432" t="s">
        <v>29</v>
      </c>
      <c r="E6432" t="s">
        <v>17</v>
      </c>
      <c r="F6432" t="s">
        <v>18</v>
      </c>
      <c r="G6432" t="s">
        <v>43</v>
      </c>
      <c r="H6432" t="s">
        <v>25</v>
      </c>
      <c r="I6432" s="1">
        <v>2</v>
      </c>
      <c r="J6432" s="2">
        <v>45728</v>
      </c>
      <c r="L6432" s="1" t="str">
        <f t="shared" si="721"/>
        <v>qua</v>
      </c>
      <c r="M6432" s="1" t="str">
        <f t="shared" si="720"/>
        <v>mar</v>
      </c>
      <c r="N6432">
        <f t="shared" si="722"/>
        <v>2025</v>
      </c>
      <c r="P6432" t="str">
        <f t="shared" si="723"/>
        <v>188845728</v>
      </c>
    </row>
    <row r="6433" spans="1:16" x14ac:dyDescent="0.3">
      <c r="A6433">
        <v>1888</v>
      </c>
      <c r="B6433">
        <v>22</v>
      </c>
      <c r="C6433" t="s">
        <v>15</v>
      </c>
      <c r="D6433" t="s">
        <v>29</v>
      </c>
      <c r="E6433" t="s">
        <v>17</v>
      </c>
      <c r="F6433" t="s">
        <v>18</v>
      </c>
      <c r="G6433" t="s">
        <v>43</v>
      </c>
      <c r="H6433" t="s">
        <v>25</v>
      </c>
      <c r="I6433" s="1">
        <v>2</v>
      </c>
      <c r="J6433" s="2">
        <v>45729</v>
      </c>
      <c r="L6433" s="1" t="str">
        <f t="shared" si="721"/>
        <v>qui</v>
      </c>
      <c r="M6433" s="1" t="str">
        <f t="shared" si="720"/>
        <v>mar</v>
      </c>
      <c r="N6433">
        <f t="shared" si="722"/>
        <v>2025</v>
      </c>
      <c r="P6433" t="str">
        <f t="shared" si="723"/>
        <v>188845729</v>
      </c>
    </row>
    <row r="6434" spans="1:16" x14ac:dyDescent="0.3">
      <c r="A6434">
        <v>1888</v>
      </c>
      <c r="B6434">
        <v>22</v>
      </c>
      <c r="C6434" t="s">
        <v>15</v>
      </c>
      <c r="D6434" t="s">
        <v>29</v>
      </c>
      <c r="E6434" t="s">
        <v>17</v>
      </c>
      <c r="F6434" t="s">
        <v>18</v>
      </c>
      <c r="G6434" t="s">
        <v>43</v>
      </c>
      <c r="H6434" t="s">
        <v>25</v>
      </c>
      <c r="I6434" s="1">
        <v>2</v>
      </c>
      <c r="J6434" s="2">
        <v>45730</v>
      </c>
      <c r="L6434" s="1" t="str">
        <f t="shared" si="721"/>
        <v>sex</v>
      </c>
      <c r="M6434" s="1" t="str">
        <f t="shared" si="720"/>
        <v>mar</v>
      </c>
      <c r="N6434">
        <f t="shared" si="722"/>
        <v>2025</v>
      </c>
      <c r="P6434" t="str">
        <f t="shared" si="723"/>
        <v>188845730</v>
      </c>
    </row>
    <row r="6435" spans="1:16" x14ac:dyDescent="0.3">
      <c r="A6435">
        <v>1888</v>
      </c>
      <c r="B6435">
        <v>22</v>
      </c>
      <c r="C6435" t="s">
        <v>15</v>
      </c>
      <c r="D6435" t="s">
        <v>29</v>
      </c>
      <c r="E6435" t="s">
        <v>17</v>
      </c>
      <c r="F6435" t="s">
        <v>18</v>
      </c>
      <c r="G6435" t="s">
        <v>43</v>
      </c>
      <c r="H6435" t="s">
        <v>25</v>
      </c>
      <c r="I6435" s="1">
        <v>2</v>
      </c>
      <c r="J6435" s="2">
        <v>45731</v>
      </c>
      <c r="L6435" s="1" t="str">
        <f t="shared" si="721"/>
        <v>sáb</v>
      </c>
      <c r="M6435" s="1" t="str">
        <f t="shared" si="720"/>
        <v>mar</v>
      </c>
      <c r="N6435">
        <f t="shared" si="722"/>
        <v>2025</v>
      </c>
      <c r="P6435" t="str">
        <f t="shared" si="723"/>
        <v>188845731</v>
      </c>
    </row>
    <row r="6436" spans="1:16" x14ac:dyDescent="0.3">
      <c r="A6436">
        <v>1888</v>
      </c>
      <c r="B6436">
        <v>22</v>
      </c>
      <c r="C6436" t="s">
        <v>15</v>
      </c>
      <c r="D6436" t="s">
        <v>29</v>
      </c>
      <c r="E6436" t="s">
        <v>17</v>
      </c>
      <c r="F6436" t="s">
        <v>18</v>
      </c>
      <c r="G6436" t="s">
        <v>43</v>
      </c>
      <c r="H6436" t="s">
        <v>25</v>
      </c>
      <c r="I6436" s="1">
        <v>2</v>
      </c>
      <c r="J6436" s="2">
        <v>45732</v>
      </c>
      <c r="L6436" s="1" t="str">
        <f t="shared" si="721"/>
        <v>dom</v>
      </c>
      <c r="M6436" s="1" t="str">
        <f t="shared" si="720"/>
        <v>mar</v>
      </c>
      <c r="N6436">
        <f t="shared" si="722"/>
        <v>2025</v>
      </c>
      <c r="P6436" t="str">
        <f t="shared" si="723"/>
        <v>188845732</v>
      </c>
    </row>
    <row r="6437" spans="1:16" x14ac:dyDescent="0.3">
      <c r="A6437">
        <v>1888</v>
      </c>
      <c r="B6437">
        <v>22</v>
      </c>
      <c r="C6437" t="s">
        <v>15</v>
      </c>
      <c r="D6437" t="s">
        <v>29</v>
      </c>
      <c r="E6437" t="s">
        <v>17</v>
      </c>
      <c r="F6437" t="s">
        <v>18</v>
      </c>
      <c r="G6437" t="s">
        <v>43</v>
      </c>
      <c r="H6437" t="s">
        <v>25</v>
      </c>
      <c r="I6437" s="1">
        <v>2</v>
      </c>
      <c r="J6437" s="2">
        <v>45733</v>
      </c>
      <c r="L6437" s="1" t="str">
        <f t="shared" si="721"/>
        <v>seg</v>
      </c>
      <c r="M6437" s="1" t="str">
        <f t="shared" si="720"/>
        <v>mar</v>
      </c>
      <c r="N6437">
        <f t="shared" si="722"/>
        <v>2025</v>
      </c>
      <c r="P6437" t="str">
        <f t="shared" si="723"/>
        <v>188845733</v>
      </c>
    </row>
    <row r="6438" spans="1:16" x14ac:dyDescent="0.3">
      <c r="A6438">
        <v>1888</v>
      </c>
      <c r="B6438">
        <v>22</v>
      </c>
      <c r="C6438" t="s">
        <v>15</v>
      </c>
      <c r="D6438" t="s">
        <v>29</v>
      </c>
      <c r="E6438" t="s">
        <v>17</v>
      </c>
      <c r="F6438" t="s">
        <v>18</v>
      </c>
      <c r="G6438" t="s">
        <v>43</v>
      </c>
      <c r="H6438" t="s">
        <v>25</v>
      </c>
      <c r="I6438" s="1">
        <v>2</v>
      </c>
      <c r="J6438" s="2">
        <v>45734</v>
      </c>
      <c r="L6438" s="1" t="str">
        <f t="shared" si="721"/>
        <v>ter</v>
      </c>
      <c r="M6438" s="1" t="str">
        <f t="shared" si="720"/>
        <v>mar</v>
      </c>
      <c r="N6438">
        <f t="shared" si="722"/>
        <v>2025</v>
      </c>
      <c r="P6438" t="str">
        <f t="shared" si="723"/>
        <v>188845734</v>
      </c>
    </row>
    <row r="6439" spans="1:16" x14ac:dyDescent="0.3">
      <c r="A6439">
        <v>1888</v>
      </c>
      <c r="B6439">
        <v>22</v>
      </c>
      <c r="C6439" t="s">
        <v>15</v>
      </c>
      <c r="D6439" t="s">
        <v>29</v>
      </c>
      <c r="E6439" t="s">
        <v>17</v>
      </c>
      <c r="F6439" t="s">
        <v>18</v>
      </c>
      <c r="G6439" t="s">
        <v>43</v>
      </c>
      <c r="H6439" t="s">
        <v>25</v>
      </c>
      <c r="I6439" s="1">
        <v>2</v>
      </c>
      <c r="J6439" s="2">
        <v>45735</v>
      </c>
      <c r="L6439" s="1" t="str">
        <f t="shared" si="721"/>
        <v>qua</v>
      </c>
      <c r="M6439" s="1" t="str">
        <f t="shared" si="720"/>
        <v>mar</v>
      </c>
      <c r="N6439">
        <f t="shared" si="722"/>
        <v>2025</v>
      </c>
      <c r="P6439" t="str">
        <f t="shared" si="723"/>
        <v>188845735</v>
      </c>
    </row>
    <row r="6440" spans="1:16" x14ac:dyDescent="0.3">
      <c r="A6440">
        <v>1888</v>
      </c>
      <c r="B6440">
        <v>22</v>
      </c>
      <c r="C6440" t="s">
        <v>15</v>
      </c>
      <c r="D6440" t="s">
        <v>29</v>
      </c>
      <c r="E6440" t="s">
        <v>17</v>
      </c>
      <c r="F6440" t="s">
        <v>18</v>
      </c>
      <c r="G6440" t="s">
        <v>43</v>
      </c>
      <c r="H6440" t="s">
        <v>25</v>
      </c>
      <c r="I6440" s="1">
        <v>2</v>
      </c>
      <c r="J6440" s="2">
        <v>45736</v>
      </c>
      <c r="L6440" s="1" t="str">
        <f t="shared" si="721"/>
        <v>qui</v>
      </c>
      <c r="M6440" s="1" t="str">
        <f t="shared" si="720"/>
        <v>mar</v>
      </c>
      <c r="N6440">
        <f t="shared" si="722"/>
        <v>2025</v>
      </c>
      <c r="P6440" t="str">
        <f t="shared" si="723"/>
        <v>188845736</v>
      </c>
    </row>
    <row r="6441" spans="1:16" x14ac:dyDescent="0.3">
      <c r="A6441">
        <v>1888</v>
      </c>
      <c r="B6441">
        <v>22</v>
      </c>
      <c r="C6441" t="s">
        <v>15</v>
      </c>
      <c r="D6441" t="s">
        <v>29</v>
      </c>
      <c r="E6441" t="s">
        <v>17</v>
      </c>
      <c r="F6441" t="s">
        <v>18</v>
      </c>
      <c r="G6441" t="s">
        <v>43</v>
      </c>
      <c r="H6441" t="s">
        <v>25</v>
      </c>
      <c r="I6441" s="1">
        <v>2</v>
      </c>
      <c r="J6441" s="2">
        <v>45737</v>
      </c>
      <c r="L6441" s="1" t="str">
        <f t="shared" si="721"/>
        <v>sex</v>
      </c>
      <c r="M6441" s="1" t="str">
        <f t="shared" si="720"/>
        <v>mar</v>
      </c>
      <c r="N6441">
        <f t="shared" si="722"/>
        <v>2025</v>
      </c>
      <c r="P6441" t="str">
        <f t="shared" si="723"/>
        <v>188845737</v>
      </c>
    </row>
    <row r="6442" spans="1:16" x14ac:dyDescent="0.3">
      <c r="A6442">
        <v>1888</v>
      </c>
      <c r="B6442">
        <v>22</v>
      </c>
      <c r="C6442" t="s">
        <v>15</v>
      </c>
      <c r="D6442" t="s">
        <v>29</v>
      </c>
      <c r="E6442" t="s">
        <v>17</v>
      </c>
      <c r="F6442" t="s">
        <v>18</v>
      </c>
      <c r="G6442" t="s">
        <v>43</v>
      </c>
      <c r="H6442" t="s">
        <v>25</v>
      </c>
      <c r="I6442" s="1">
        <v>2</v>
      </c>
      <c r="J6442" s="2">
        <v>45738</v>
      </c>
      <c r="L6442" s="1" t="str">
        <f t="shared" si="721"/>
        <v>sáb</v>
      </c>
      <c r="M6442" s="1" t="str">
        <f t="shared" si="720"/>
        <v>mar</v>
      </c>
      <c r="N6442">
        <f t="shared" si="722"/>
        <v>2025</v>
      </c>
      <c r="P6442" t="str">
        <f t="shared" si="723"/>
        <v>188845738</v>
      </c>
    </row>
    <row r="6443" spans="1:16" x14ac:dyDescent="0.3">
      <c r="A6443">
        <v>1888</v>
      </c>
      <c r="B6443">
        <v>22</v>
      </c>
      <c r="C6443" t="s">
        <v>15</v>
      </c>
      <c r="D6443" t="s">
        <v>29</v>
      </c>
      <c r="E6443" t="s">
        <v>17</v>
      </c>
      <c r="F6443" t="s">
        <v>18</v>
      </c>
      <c r="G6443" t="s">
        <v>43</v>
      </c>
      <c r="H6443" t="s">
        <v>25</v>
      </c>
      <c r="I6443" s="1">
        <v>2</v>
      </c>
      <c r="J6443" s="2">
        <v>45739</v>
      </c>
      <c r="L6443" s="1" t="str">
        <f t="shared" si="721"/>
        <v>dom</v>
      </c>
      <c r="M6443" s="1" t="str">
        <f t="shared" si="720"/>
        <v>mar</v>
      </c>
      <c r="N6443">
        <f t="shared" si="722"/>
        <v>2025</v>
      </c>
      <c r="P6443" t="str">
        <f t="shared" si="723"/>
        <v>188845739</v>
      </c>
    </row>
    <row r="6444" spans="1:16" x14ac:dyDescent="0.3">
      <c r="A6444">
        <v>1888</v>
      </c>
      <c r="B6444">
        <v>22</v>
      </c>
      <c r="C6444" t="s">
        <v>15</v>
      </c>
      <c r="D6444" t="s">
        <v>29</v>
      </c>
      <c r="E6444" t="s">
        <v>17</v>
      </c>
      <c r="F6444" t="s">
        <v>18</v>
      </c>
      <c r="G6444" t="s">
        <v>43</v>
      </c>
      <c r="H6444" t="s">
        <v>25</v>
      </c>
      <c r="I6444" s="1">
        <v>2</v>
      </c>
      <c r="J6444" s="2">
        <v>45740</v>
      </c>
      <c r="L6444" s="1" t="str">
        <f t="shared" si="721"/>
        <v>seg</v>
      </c>
      <c r="M6444" s="1" t="str">
        <f t="shared" si="720"/>
        <v>mar</v>
      </c>
      <c r="N6444">
        <f t="shared" si="722"/>
        <v>2025</v>
      </c>
      <c r="P6444" t="str">
        <f t="shared" si="723"/>
        <v>188845740</v>
      </c>
    </row>
    <row r="6445" spans="1:16" x14ac:dyDescent="0.3">
      <c r="A6445">
        <v>1888</v>
      </c>
      <c r="B6445">
        <v>22</v>
      </c>
      <c r="C6445" t="s">
        <v>15</v>
      </c>
      <c r="D6445" t="s">
        <v>29</v>
      </c>
      <c r="E6445" t="s">
        <v>17</v>
      </c>
      <c r="F6445" t="s">
        <v>18</v>
      </c>
      <c r="G6445" t="s">
        <v>43</v>
      </c>
      <c r="H6445" t="s">
        <v>25</v>
      </c>
      <c r="I6445" s="1">
        <v>2</v>
      </c>
      <c r="J6445" s="2">
        <v>45741</v>
      </c>
      <c r="L6445" s="1" t="str">
        <f t="shared" si="721"/>
        <v>ter</v>
      </c>
      <c r="M6445" s="1" t="str">
        <f t="shared" si="720"/>
        <v>mar</v>
      </c>
      <c r="N6445">
        <f t="shared" si="722"/>
        <v>2025</v>
      </c>
      <c r="P6445" t="str">
        <f t="shared" si="723"/>
        <v>188845741</v>
      </c>
    </row>
    <row r="6446" spans="1:16" x14ac:dyDescent="0.3">
      <c r="A6446">
        <v>1888</v>
      </c>
      <c r="B6446">
        <v>22</v>
      </c>
      <c r="C6446" t="s">
        <v>15</v>
      </c>
      <c r="D6446" t="s">
        <v>29</v>
      </c>
      <c r="E6446" t="s">
        <v>17</v>
      </c>
      <c r="F6446" t="s">
        <v>18</v>
      </c>
      <c r="G6446" t="s">
        <v>43</v>
      </c>
      <c r="H6446" t="s">
        <v>25</v>
      </c>
      <c r="I6446" s="1">
        <v>2</v>
      </c>
      <c r="J6446" s="2">
        <v>45742</v>
      </c>
      <c r="L6446" s="1" t="str">
        <f t="shared" si="721"/>
        <v>qua</v>
      </c>
      <c r="M6446" s="1" t="str">
        <f t="shared" si="720"/>
        <v>mar</v>
      </c>
      <c r="N6446">
        <f t="shared" si="722"/>
        <v>2025</v>
      </c>
      <c r="P6446" t="str">
        <f t="shared" si="723"/>
        <v>188845742</v>
      </c>
    </row>
    <row r="6447" spans="1:16" x14ac:dyDescent="0.3">
      <c r="A6447">
        <v>1888</v>
      </c>
      <c r="B6447">
        <v>22</v>
      </c>
      <c r="C6447" t="s">
        <v>15</v>
      </c>
      <c r="D6447" t="s">
        <v>29</v>
      </c>
      <c r="E6447" t="s">
        <v>17</v>
      </c>
      <c r="F6447" t="s">
        <v>18</v>
      </c>
      <c r="G6447" t="s">
        <v>43</v>
      </c>
      <c r="H6447" t="s">
        <v>25</v>
      </c>
      <c r="I6447" s="1">
        <v>2</v>
      </c>
      <c r="J6447" s="2">
        <v>45743</v>
      </c>
      <c r="L6447" s="1" t="str">
        <f t="shared" si="721"/>
        <v>qui</v>
      </c>
      <c r="M6447" s="1" t="str">
        <f t="shared" si="720"/>
        <v>mar</v>
      </c>
      <c r="N6447">
        <f t="shared" si="722"/>
        <v>2025</v>
      </c>
      <c r="P6447" t="str">
        <f t="shared" si="723"/>
        <v>188845743</v>
      </c>
    </row>
    <row r="6448" spans="1:16" x14ac:dyDescent="0.3">
      <c r="A6448">
        <v>1888</v>
      </c>
      <c r="B6448">
        <v>22</v>
      </c>
      <c r="C6448" t="s">
        <v>15</v>
      </c>
      <c r="D6448" t="s">
        <v>29</v>
      </c>
      <c r="E6448" t="s">
        <v>17</v>
      </c>
      <c r="F6448" t="s">
        <v>18</v>
      </c>
      <c r="G6448" t="s">
        <v>43</v>
      </c>
      <c r="H6448" t="s">
        <v>25</v>
      </c>
      <c r="I6448" s="1">
        <v>2</v>
      </c>
      <c r="J6448" s="2">
        <v>45744</v>
      </c>
      <c r="L6448" s="1" t="str">
        <f t="shared" si="721"/>
        <v>sex</v>
      </c>
      <c r="M6448" s="1" t="str">
        <f t="shared" si="720"/>
        <v>mar</v>
      </c>
      <c r="N6448">
        <f t="shared" si="722"/>
        <v>2025</v>
      </c>
      <c r="P6448" t="str">
        <f t="shared" si="723"/>
        <v>188845744</v>
      </c>
    </row>
    <row r="6449" spans="1:16" x14ac:dyDescent="0.3">
      <c r="A6449">
        <v>1888</v>
      </c>
      <c r="B6449">
        <v>22</v>
      </c>
      <c r="C6449" t="s">
        <v>15</v>
      </c>
      <c r="D6449" t="s">
        <v>29</v>
      </c>
      <c r="E6449" t="s">
        <v>17</v>
      </c>
      <c r="F6449" t="s">
        <v>18</v>
      </c>
      <c r="G6449" t="s">
        <v>43</v>
      </c>
      <c r="H6449" t="s">
        <v>25</v>
      </c>
      <c r="I6449" s="1">
        <v>2</v>
      </c>
      <c r="J6449" s="2">
        <v>45745</v>
      </c>
      <c r="L6449" s="1" t="str">
        <f t="shared" si="721"/>
        <v>sáb</v>
      </c>
      <c r="M6449" s="1" t="str">
        <f t="shared" ref="M6449:M6512" si="724">TEXT($J6449,"mmm")</f>
        <v>mar</v>
      </c>
      <c r="N6449">
        <f t="shared" si="722"/>
        <v>2025</v>
      </c>
      <c r="P6449" t="str">
        <f t="shared" si="723"/>
        <v>188845745</v>
      </c>
    </row>
    <row r="6450" spans="1:16" x14ac:dyDescent="0.3">
      <c r="A6450">
        <v>1888</v>
      </c>
      <c r="B6450">
        <v>22</v>
      </c>
      <c r="C6450" t="s">
        <v>15</v>
      </c>
      <c r="D6450" t="s">
        <v>29</v>
      </c>
      <c r="E6450" t="s">
        <v>17</v>
      </c>
      <c r="F6450" t="s">
        <v>18</v>
      </c>
      <c r="G6450" t="s">
        <v>43</v>
      </c>
      <c r="H6450" t="s">
        <v>25</v>
      </c>
      <c r="I6450" s="1">
        <v>2</v>
      </c>
      <c r="J6450" s="2">
        <v>45746</v>
      </c>
      <c r="L6450" s="1" t="str">
        <f t="shared" si="721"/>
        <v>dom</v>
      </c>
      <c r="M6450" s="1" t="str">
        <f t="shared" si="724"/>
        <v>mar</v>
      </c>
      <c r="N6450">
        <f t="shared" si="722"/>
        <v>2025</v>
      </c>
      <c r="P6450" t="str">
        <f t="shared" si="723"/>
        <v>188845746</v>
      </c>
    </row>
    <row r="6451" spans="1:16" x14ac:dyDescent="0.3">
      <c r="A6451">
        <v>1888</v>
      </c>
      <c r="B6451">
        <v>22</v>
      </c>
      <c r="C6451" t="s">
        <v>15</v>
      </c>
      <c r="D6451" t="s">
        <v>29</v>
      </c>
      <c r="E6451" t="s">
        <v>17</v>
      </c>
      <c r="F6451" t="s">
        <v>18</v>
      </c>
      <c r="G6451" t="s">
        <v>43</v>
      </c>
      <c r="H6451" t="s">
        <v>25</v>
      </c>
      <c r="I6451" s="1">
        <v>2</v>
      </c>
      <c r="J6451" s="2">
        <v>45747</v>
      </c>
      <c r="L6451" s="1" t="str">
        <f t="shared" si="721"/>
        <v>seg</v>
      </c>
      <c r="M6451" s="1" t="str">
        <f t="shared" si="724"/>
        <v>mar</v>
      </c>
      <c r="N6451">
        <f t="shared" si="722"/>
        <v>2025</v>
      </c>
      <c r="P6451" t="str">
        <f t="shared" si="723"/>
        <v>188845747</v>
      </c>
    </row>
    <row r="6452" spans="1:16" x14ac:dyDescent="0.3">
      <c r="A6452">
        <v>1888</v>
      </c>
      <c r="B6452">
        <v>22</v>
      </c>
      <c r="C6452" t="s">
        <v>15</v>
      </c>
      <c r="D6452" t="s">
        <v>29</v>
      </c>
      <c r="E6452" t="s">
        <v>17</v>
      </c>
      <c r="F6452" t="s">
        <v>18</v>
      </c>
      <c r="G6452" t="s">
        <v>43</v>
      </c>
      <c r="H6452" t="s">
        <v>25</v>
      </c>
      <c r="I6452" s="1">
        <v>2</v>
      </c>
      <c r="J6452" s="2">
        <v>45748</v>
      </c>
      <c r="L6452" s="1" t="str">
        <f t="shared" si="721"/>
        <v>ter</v>
      </c>
      <c r="M6452" s="1" t="str">
        <f t="shared" si="724"/>
        <v>abr</v>
      </c>
      <c r="N6452">
        <f t="shared" si="722"/>
        <v>2025</v>
      </c>
      <c r="P6452" t="str">
        <f t="shared" si="723"/>
        <v>188845748</v>
      </c>
    </row>
    <row r="6453" spans="1:16" x14ac:dyDescent="0.3">
      <c r="A6453">
        <v>1888</v>
      </c>
      <c r="B6453">
        <v>22</v>
      </c>
      <c r="C6453" t="s">
        <v>15</v>
      </c>
      <c r="D6453" t="s">
        <v>29</v>
      </c>
      <c r="E6453" t="s">
        <v>17</v>
      </c>
      <c r="F6453" t="s">
        <v>18</v>
      </c>
      <c r="G6453" t="s">
        <v>43</v>
      </c>
      <c r="H6453" t="s">
        <v>25</v>
      </c>
      <c r="I6453" s="1">
        <v>2</v>
      </c>
      <c r="J6453" s="2">
        <v>45749</v>
      </c>
      <c r="L6453" s="1" t="str">
        <f t="shared" si="721"/>
        <v>qua</v>
      </c>
      <c r="M6453" s="1" t="str">
        <f t="shared" si="724"/>
        <v>abr</v>
      </c>
      <c r="N6453">
        <f t="shared" si="722"/>
        <v>2025</v>
      </c>
      <c r="P6453" t="str">
        <f t="shared" si="723"/>
        <v>188845749</v>
      </c>
    </row>
    <row r="6454" spans="1:16" x14ac:dyDescent="0.3">
      <c r="A6454">
        <v>1888</v>
      </c>
      <c r="B6454">
        <v>22</v>
      </c>
      <c r="C6454" t="s">
        <v>15</v>
      </c>
      <c r="D6454" t="s">
        <v>29</v>
      </c>
      <c r="E6454" t="s">
        <v>17</v>
      </c>
      <c r="F6454" t="s">
        <v>18</v>
      </c>
      <c r="G6454" t="s">
        <v>43</v>
      </c>
      <c r="H6454" t="s">
        <v>25</v>
      </c>
      <c r="I6454" s="1">
        <v>2</v>
      </c>
      <c r="J6454" s="2">
        <v>45750</v>
      </c>
      <c r="L6454" s="1" t="str">
        <f t="shared" si="721"/>
        <v>qui</v>
      </c>
      <c r="M6454" s="1" t="str">
        <f t="shared" si="724"/>
        <v>abr</v>
      </c>
      <c r="N6454">
        <f t="shared" si="722"/>
        <v>2025</v>
      </c>
      <c r="P6454" t="str">
        <f t="shared" si="723"/>
        <v>188845750</v>
      </c>
    </row>
    <row r="6455" spans="1:16" x14ac:dyDescent="0.3">
      <c r="A6455">
        <v>1888</v>
      </c>
      <c r="B6455">
        <v>22</v>
      </c>
      <c r="C6455" t="s">
        <v>15</v>
      </c>
      <c r="D6455" t="s">
        <v>29</v>
      </c>
      <c r="E6455" t="s">
        <v>17</v>
      </c>
      <c r="F6455" t="s">
        <v>18</v>
      </c>
      <c r="G6455" t="s">
        <v>43</v>
      </c>
      <c r="H6455" t="s">
        <v>25</v>
      </c>
      <c r="I6455" s="1">
        <v>2</v>
      </c>
      <c r="J6455" s="2">
        <v>45751</v>
      </c>
      <c r="L6455" s="1" t="str">
        <f t="shared" si="721"/>
        <v>sex</v>
      </c>
      <c r="M6455" s="1" t="str">
        <f t="shared" si="724"/>
        <v>abr</v>
      </c>
      <c r="N6455">
        <f t="shared" si="722"/>
        <v>2025</v>
      </c>
      <c r="P6455" t="str">
        <f t="shared" si="723"/>
        <v>188845751</v>
      </c>
    </row>
    <row r="6456" spans="1:16" x14ac:dyDescent="0.3">
      <c r="A6456">
        <v>1888</v>
      </c>
      <c r="B6456">
        <v>22</v>
      </c>
      <c r="C6456" t="s">
        <v>15</v>
      </c>
      <c r="D6456" t="s">
        <v>29</v>
      </c>
      <c r="E6456" t="s">
        <v>17</v>
      </c>
      <c r="F6456" t="s">
        <v>18</v>
      </c>
      <c r="G6456" t="s">
        <v>43</v>
      </c>
      <c r="H6456" t="s">
        <v>25</v>
      </c>
      <c r="I6456" s="1">
        <v>2</v>
      </c>
      <c r="J6456" s="2">
        <v>45752</v>
      </c>
      <c r="L6456" s="1" t="str">
        <f t="shared" si="721"/>
        <v>sáb</v>
      </c>
      <c r="M6456" s="1" t="str">
        <f t="shared" si="724"/>
        <v>abr</v>
      </c>
      <c r="N6456">
        <f t="shared" si="722"/>
        <v>2025</v>
      </c>
      <c r="P6456" t="str">
        <f t="shared" si="723"/>
        <v>188845752</v>
      </c>
    </row>
    <row r="6457" spans="1:16" x14ac:dyDescent="0.3">
      <c r="A6457">
        <v>1888</v>
      </c>
      <c r="B6457">
        <v>22</v>
      </c>
      <c r="C6457" t="s">
        <v>15</v>
      </c>
      <c r="D6457" t="s">
        <v>29</v>
      </c>
      <c r="E6457" t="s">
        <v>17</v>
      </c>
      <c r="F6457" t="s">
        <v>18</v>
      </c>
      <c r="G6457" t="s">
        <v>43</v>
      </c>
      <c r="H6457" t="s">
        <v>25</v>
      </c>
      <c r="I6457" s="1">
        <v>2</v>
      </c>
      <c r="J6457" s="2">
        <v>45753</v>
      </c>
      <c r="L6457" s="1" t="str">
        <f t="shared" si="721"/>
        <v>dom</v>
      </c>
      <c r="M6457" s="1" t="str">
        <f t="shared" si="724"/>
        <v>abr</v>
      </c>
      <c r="N6457">
        <f t="shared" si="722"/>
        <v>2025</v>
      </c>
      <c r="P6457" t="str">
        <f t="shared" si="723"/>
        <v>188845753</v>
      </c>
    </row>
    <row r="6458" spans="1:16" x14ac:dyDescent="0.3">
      <c r="A6458">
        <v>1888</v>
      </c>
      <c r="B6458">
        <v>22</v>
      </c>
      <c r="C6458" t="s">
        <v>15</v>
      </c>
      <c r="D6458" t="s">
        <v>29</v>
      </c>
      <c r="E6458" t="s">
        <v>17</v>
      </c>
      <c r="F6458" t="s">
        <v>18</v>
      </c>
      <c r="G6458" t="s">
        <v>43</v>
      </c>
      <c r="H6458" t="s">
        <v>25</v>
      </c>
      <c r="I6458" s="1">
        <v>2</v>
      </c>
      <c r="J6458" s="2">
        <v>45754</v>
      </c>
      <c r="L6458" s="1" t="str">
        <f t="shared" si="721"/>
        <v>seg</v>
      </c>
      <c r="M6458" s="1" t="str">
        <f t="shared" si="724"/>
        <v>abr</v>
      </c>
      <c r="N6458">
        <f t="shared" si="722"/>
        <v>2025</v>
      </c>
      <c r="P6458" t="str">
        <f t="shared" si="723"/>
        <v>188845754</v>
      </c>
    </row>
    <row r="6459" spans="1:16" x14ac:dyDescent="0.3">
      <c r="A6459">
        <v>1888</v>
      </c>
      <c r="B6459">
        <v>22</v>
      </c>
      <c r="C6459" t="s">
        <v>15</v>
      </c>
      <c r="D6459" t="s">
        <v>29</v>
      </c>
      <c r="E6459" t="s">
        <v>17</v>
      </c>
      <c r="F6459" t="s">
        <v>18</v>
      </c>
      <c r="G6459" t="s">
        <v>43</v>
      </c>
      <c r="H6459" t="s">
        <v>25</v>
      </c>
      <c r="I6459" s="1">
        <v>2</v>
      </c>
      <c r="J6459" s="2">
        <v>45755</v>
      </c>
      <c r="L6459" s="1" t="str">
        <f t="shared" si="721"/>
        <v>ter</v>
      </c>
      <c r="M6459" s="1" t="str">
        <f t="shared" si="724"/>
        <v>abr</v>
      </c>
      <c r="N6459">
        <f t="shared" si="722"/>
        <v>2025</v>
      </c>
      <c r="P6459" t="str">
        <f t="shared" si="723"/>
        <v>188845755</v>
      </c>
    </row>
    <row r="6460" spans="1:16" x14ac:dyDescent="0.3">
      <c r="A6460">
        <v>1888</v>
      </c>
      <c r="B6460">
        <v>22</v>
      </c>
      <c r="C6460" t="s">
        <v>15</v>
      </c>
      <c r="D6460" t="s">
        <v>29</v>
      </c>
      <c r="E6460" t="s">
        <v>17</v>
      </c>
      <c r="F6460" t="s">
        <v>18</v>
      </c>
      <c r="G6460" t="s">
        <v>43</v>
      </c>
      <c r="H6460" t="s">
        <v>25</v>
      </c>
      <c r="I6460" s="1">
        <v>2</v>
      </c>
      <c r="J6460" s="2">
        <v>45756</v>
      </c>
      <c r="L6460" s="1" t="str">
        <f t="shared" ref="L6460:L6523" si="725">TEXT(J6460,"ddd")</f>
        <v>qua</v>
      </c>
      <c r="M6460" s="1" t="str">
        <f t="shared" si="724"/>
        <v>abr</v>
      </c>
      <c r="N6460">
        <f t="shared" ref="N6460:N6523" si="726">YEAR(J6460)</f>
        <v>2025</v>
      </c>
      <c r="P6460" t="str">
        <f t="shared" ref="P6460:P6523" si="727">CONCATENATE(A6460,J6460)</f>
        <v>188845756</v>
      </c>
    </row>
    <row r="6461" spans="1:16" x14ac:dyDescent="0.3">
      <c r="A6461">
        <v>1888</v>
      </c>
      <c r="B6461">
        <v>22</v>
      </c>
      <c r="C6461" t="s">
        <v>15</v>
      </c>
      <c r="D6461" t="s">
        <v>29</v>
      </c>
      <c r="E6461" t="s">
        <v>17</v>
      </c>
      <c r="F6461" t="s">
        <v>18</v>
      </c>
      <c r="G6461" t="s">
        <v>43</v>
      </c>
      <c r="H6461" t="s">
        <v>25</v>
      </c>
      <c r="I6461" s="1">
        <v>2</v>
      </c>
      <c r="J6461" s="2">
        <v>45757</v>
      </c>
      <c r="L6461" s="1" t="str">
        <f t="shared" si="725"/>
        <v>qui</v>
      </c>
      <c r="M6461" s="1" t="str">
        <f t="shared" si="724"/>
        <v>abr</v>
      </c>
      <c r="N6461">
        <f t="shared" si="726"/>
        <v>2025</v>
      </c>
      <c r="P6461" t="str">
        <f t="shared" si="727"/>
        <v>188845757</v>
      </c>
    </row>
    <row r="6462" spans="1:16" x14ac:dyDescent="0.3">
      <c r="A6462">
        <v>1888</v>
      </c>
      <c r="B6462">
        <v>22</v>
      </c>
      <c r="C6462" t="s">
        <v>15</v>
      </c>
      <c r="D6462" t="s">
        <v>29</v>
      </c>
      <c r="E6462" t="s">
        <v>17</v>
      </c>
      <c r="F6462" t="s">
        <v>18</v>
      </c>
      <c r="G6462" t="s">
        <v>43</v>
      </c>
      <c r="H6462" t="s">
        <v>25</v>
      </c>
      <c r="I6462" s="1">
        <v>2</v>
      </c>
      <c r="J6462" s="2">
        <v>45758</v>
      </c>
      <c r="L6462" s="1" t="str">
        <f t="shared" si="725"/>
        <v>sex</v>
      </c>
      <c r="M6462" s="1" t="str">
        <f t="shared" si="724"/>
        <v>abr</v>
      </c>
      <c r="N6462">
        <f t="shared" si="726"/>
        <v>2025</v>
      </c>
      <c r="P6462" t="str">
        <f t="shared" si="727"/>
        <v>188845758</v>
      </c>
    </row>
    <row r="6463" spans="1:16" x14ac:dyDescent="0.3">
      <c r="A6463">
        <v>1888</v>
      </c>
      <c r="B6463">
        <v>22</v>
      </c>
      <c r="C6463" t="s">
        <v>15</v>
      </c>
      <c r="D6463" t="s">
        <v>29</v>
      </c>
      <c r="E6463" t="s">
        <v>17</v>
      </c>
      <c r="F6463" t="s">
        <v>18</v>
      </c>
      <c r="G6463" t="s">
        <v>43</v>
      </c>
      <c r="H6463" t="s">
        <v>25</v>
      </c>
      <c r="I6463" s="1">
        <v>2</v>
      </c>
      <c r="J6463" s="2">
        <v>45759</v>
      </c>
      <c r="L6463" s="1" t="str">
        <f t="shared" si="725"/>
        <v>sáb</v>
      </c>
      <c r="M6463" s="1" t="str">
        <f t="shared" si="724"/>
        <v>abr</v>
      </c>
      <c r="N6463">
        <f t="shared" si="726"/>
        <v>2025</v>
      </c>
      <c r="P6463" t="str">
        <f t="shared" si="727"/>
        <v>188845759</v>
      </c>
    </row>
    <row r="6464" spans="1:16" x14ac:dyDescent="0.3">
      <c r="A6464">
        <v>1888</v>
      </c>
      <c r="B6464">
        <v>22</v>
      </c>
      <c r="C6464" t="s">
        <v>15</v>
      </c>
      <c r="D6464" t="s">
        <v>29</v>
      </c>
      <c r="E6464" t="s">
        <v>17</v>
      </c>
      <c r="F6464" t="s">
        <v>18</v>
      </c>
      <c r="G6464" t="s">
        <v>43</v>
      </c>
      <c r="H6464" t="s">
        <v>25</v>
      </c>
      <c r="I6464" s="1">
        <v>2</v>
      </c>
      <c r="J6464" s="2">
        <v>45760</v>
      </c>
      <c r="L6464" s="1" t="str">
        <f t="shared" si="725"/>
        <v>dom</v>
      </c>
      <c r="M6464" s="1" t="str">
        <f t="shared" si="724"/>
        <v>abr</v>
      </c>
      <c r="N6464">
        <f t="shared" si="726"/>
        <v>2025</v>
      </c>
      <c r="P6464" t="str">
        <f t="shared" si="727"/>
        <v>188845760</v>
      </c>
    </row>
    <row r="6465" spans="1:16" x14ac:dyDescent="0.3">
      <c r="A6465">
        <v>1888</v>
      </c>
      <c r="B6465">
        <v>22</v>
      </c>
      <c r="C6465" t="s">
        <v>15</v>
      </c>
      <c r="D6465" t="s">
        <v>29</v>
      </c>
      <c r="E6465" t="s">
        <v>17</v>
      </c>
      <c r="F6465" t="s">
        <v>18</v>
      </c>
      <c r="G6465" t="s">
        <v>43</v>
      </c>
      <c r="H6465" t="s">
        <v>25</v>
      </c>
      <c r="I6465" s="1">
        <v>2</v>
      </c>
      <c r="J6465" s="2">
        <v>45761</v>
      </c>
      <c r="L6465" s="1" t="str">
        <f t="shared" si="725"/>
        <v>seg</v>
      </c>
      <c r="M6465" s="1" t="str">
        <f t="shared" si="724"/>
        <v>abr</v>
      </c>
      <c r="N6465">
        <f t="shared" si="726"/>
        <v>2025</v>
      </c>
      <c r="P6465" t="str">
        <f t="shared" si="727"/>
        <v>188845761</v>
      </c>
    </row>
    <row r="6466" spans="1:16" x14ac:dyDescent="0.3">
      <c r="A6466">
        <v>1888</v>
      </c>
      <c r="B6466">
        <v>22</v>
      </c>
      <c r="C6466" t="s">
        <v>15</v>
      </c>
      <c r="D6466" t="s">
        <v>29</v>
      </c>
      <c r="E6466" t="s">
        <v>17</v>
      </c>
      <c r="F6466" t="s">
        <v>18</v>
      </c>
      <c r="G6466" t="s">
        <v>43</v>
      </c>
      <c r="H6466" t="s">
        <v>25</v>
      </c>
      <c r="I6466" s="1">
        <v>2</v>
      </c>
      <c r="J6466" s="2">
        <v>45762</v>
      </c>
      <c r="L6466" s="1" t="str">
        <f t="shared" si="725"/>
        <v>ter</v>
      </c>
      <c r="M6466" s="1" t="str">
        <f t="shared" si="724"/>
        <v>abr</v>
      </c>
      <c r="N6466">
        <f t="shared" si="726"/>
        <v>2025</v>
      </c>
      <c r="P6466" t="str">
        <f t="shared" si="727"/>
        <v>188845762</v>
      </c>
    </row>
    <row r="6467" spans="1:16" x14ac:dyDescent="0.3">
      <c r="A6467">
        <v>1888</v>
      </c>
      <c r="B6467">
        <v>22</v>
      </c>
      <c r="C6467" t="s">
        <v>15</v>
      </c>
      <c r="D6467" t="s">
        <v>29</v>
      </c>
      <c r="E6467" t="s">
        <v>17</v>
      </c>
      <c r="F6467" t="s">
        <v>18</v>
      </c>
      <c r="G6467" t="s">
        <v>43</v>
      </c>
      <c r="H6467" t="s">
        <v>25</v>
      </c>
      <c r="I6467" s="1">
        <v>2</v>
      </c>
      <c r="J6467" s="2">
        <v>45763</v>
      </c>
      <c r="L6467" s="1" t="str">
        <f t="shared" si="725"/>
        <v>qua</v>
      </c>
      <c r="M6467" s="1" t="str">
        <f t="shared" si="724"/>
        <v>abr</v>
      </c>
      <c r="N6467">
        <f t="shared" si="726"/>
        <v>2025</v>
      </c>
      <c r="P6467" t="str">
        <f t="shared" si="727"/>
        <v>188845763</v>
      </c>
    </row>
    <row r="6468" spans="1:16" x14ac:dyDescent="0.3">
      <c r="A6468">
        <v>1888</v>
      </c>
      <c r="B6468">
        <v>22</v>
      </c>
      <c r="C6468" t="s">
        <v>15</v>
      </c>
      <c r="D6468" t="s">
        <v>29</v>
      </c>
      <c r="E6468" t="s">
        <v>17</v>
      </c>
      <c r="F6468" t="s">
        <v>18</v>
      </c>
      <c r="G6468" t="s">
        <v>43</v>
      </c>
      <c r="H6468" t="s">
        <v>25</v>
      </c>
      <c r="I6468" s="1">
        <v>2</v>
      </c>
      <c r="J6468" s="2">
        <v>45764</v>
      </c>
      <c r="L6468" s="1" t="str">
        <f t="shared" si="725"/>
        <v>qui</v>
      </c>
      <c r="M6468" s="1" t="str">
        <f t="shared" si="724"/>
        <v>abr</v>
      </c>
      <c r="N6468">
        <f t="shared" si="726"/>
        <v>2025</v>
      </c>
      <c r="P6468" t="str">
        <f t="shared" si="727"/>
        <v>188845764</v>
      </c>
    </row>
    <row r="6469" spans="1:16" x14ac:dyDescent="0.3">
      <c r="A6469">
        <v>1888</v>
      </c>
      <c r="B6469">
        <v>22</v>
      </c>
      <c r="C6469" t="s">
        <v>15</v>
      </c>
      <c r="D6469" t="s">
        <v>29</v>
      </c>
      <c r="E6469" t="s">
        <v>17</v>
      </c>
      <c r="F6469" t="s">
        <v>18</v>
      </c>
      <c r="G6469" t="s">
        <v>43</v>
      </c>
      <c r="H6469" t="s">
        <v>25</v>
      </c>
      <c r="I6469" s="1">
        <v>2</v>
      </c>
      <c r="J6469" s="2">
        <v>45765</v>
      </c>
      <c r="L6469" s="1" t="str">
        <f t="shared" si="725"/>
        <v>sex</v>
      </c>
      <c r="M6469" s="1" t="str">
        <f t="shared" si="724"/>
        <v>abr</v>
      </c>
      <c r="N6469">
        <f t="shared" si="726"/>
        <v>2025</v>
      </c>
      <c r="P6469" t="str">
        <f t="shared" si="727"/>
        <v>188845765</v>
      </c>
    </row>
    <row r="6470" spans="1:16" x14ac:dyDescent="0.3">
      <c r="A6470">
        <v>1888</v>
      </c>
      <c r="B6470">
        <v>22</v>
      </c>
      <c r="C6470" t="s">
        <v>15</v>
      </c>
      <c r="D6470" t="s">
        <v>29</v>
      </c>
      <c r="E6470" t="s">
        <v>17</v>
      </c>
      <c r="F6470" t="s">
        <v>18</v>
      </c>
      <c r="G6470" t="s">
        <v>43</v>
      </c>
      <c r="H6470" t="s">
        <v>25</v>
      </c>
      <c r="I6470" s="1">
        <v>2</v>
      </c>
      <c r="J6470" s="2">
        <v>45766</v>
      </c>
      <c r="L6470" s="1" t="str">
        <f t="shared" si="725"/>
        <v>sáb</v>
      </c>
      <c r="M6470" s="1" t="str">
        <f t="shared" si="724"/>
        <v>abr</v>
      </c>
      <c r="N6470">
        <f t="shared" si="726"/>
        <v>2025</v>
      </c>
      <c r="P6470" t="str">
        <f t="shared" si="727"/>
        <v>188845766</v>
      </c>
    </row>
    <row r="6471" spans="1:16" x14ac:dyDescent="0.3">
      <c r="A6471">
        <v>1888</v>
      </c>
      <c r="B6471">
        <v>22</v>
      </c>
      <c r="C6471" t="s">
        <v>15</v>
      </c>
      <c r="D6471" t="s">
        <v>29</v>
      </c>
      <c r="E6471" t="s">
        <v>17</v>
      </c>
      <c r="F6471" t="s">
        <v>18</v>
      </c>
      <c r="G6471" t="s">
        <v>43</v>
      </c>
      <c r="H6471" t="s">
        <v>25</v>
      </c>
      <c r="I6471" s="1">
        <v>2</v>
      </c>
      <c r="J6471" s="2">
        <v>45767</v>
      </c>
      <c r="L6471" s="1" t="str">
        <f t="shared" si="725"/>
        <v>dom</v>
      </c>
      <c r="M6471" s="1" t="str">
        <f t="shared" si="724"/>
        <v>abr</v>
      </c>
      <c r="N6471">
        <f t="shared" si="726"/>
        <v>2025</v>
      </c>
      <c r="P6471" t="str">
        <f t="shared" si="727"/>
        <v>188845767</v>
      </c>
    </row>
    <row r="6472" spans="1:16" x14ac:dyDescent="0.3">
      <c r="A6472">
        <v>1888</v>
      </c>
      <c r="B6472">
        <v>22</v>
      </c>
      <c r="C6472" t="s">
        <v>15</v>
      </c>
      <c r="D6472" t="s">
        <v>29</v>
      </c>
      <c r="E6472" t="s">
        <v>17</v>
      </c>
      <c r="F6472" t="s">
        <v>18</v>
      </c>
      <c r="G6472" t="s">
        <v>43</v>
      </c>
      <c r="H6472" t="s">
        <v>25</v>
      </c>
      <c r="I6472" s="1">
        <v>2</v>
      </c>
      <c r="J6472" s="2">
        <v>45768</v>
      </c>
      <c r="L6472" s="1" t="str">
        <f t="shared" si="725"/>
        <v>seg</v>
      </c>
      <c r="M6472" s="1" t="str">
        <f t="shared" si="724"/>
        <v>abr</v>
      </c>
      <c r="N6472">
        <f t="shared" si="726"/>
        <v>2025</v>
      </c>
      <c r="P6472" t="str">
        <f t="shared" si="727"/>
        <v>188845768</v>
      </c>
    </row>
    <row r="6473" spans="1:16" x14ac:dyDescent="0.3">
      <c r="A6473">
        <v>1888</v>
      </c>
      <c r="B6473">
        <v>22</v>
      </c>
      <c r="C6473" t="s">
        <v>15</v>
      </c>
      <c r="D6473" t="s">
        <v>29</v>
      </c>
      <c r="E6473" t="s">
        <v>17</v>
      </c>
      <c r="F6473" t="s">
        <v>18</v>
      </c>
      <c r="G6473" t="s">
        <v>43</v>
      </c>
      <c r="H6473" t="s">
        <v>25</v>
      </c>
      <c r="I6473" s="1">
        <v>2</v>
      </c>
      <c r="J6473" s="2">
        <v>45769</v>
      </c>
      <c r="L6473" s="1" t="str">
        <f t="shared" si="725"/>
        <v>ter</v>
      </c>
      <c r="M6473" s="1" t="str">
        <f t="shared" si="724"/>
        <v>abr</v>
      </c>
      <c r="N6473">
        <f t="shared" si="726"/>
        <v>2025</v>
      </c>
      <c r="P6473" t="str">
        <f t="shared" si="727"/>
        <v>188845769</v>
      </c>
    </row>
    <row r="6474" spans="1:16" x14ac:dyDescent="0.3">
      <c r="A6474">
        <v>1888</v>
      </c>
      <c r="B6474">
        <v>22</v>
      </c>
      <c r="C6474" t="s">
        <v>15</v>
      </c>
      <c r="D6474" t="s">
        <v>29</v>
      </c>
      <c r="E6474" t="s">
        <v>17</v>
      </c>
      <c r="F6474" t="s">
        <v>18</v>
      </c>
      <c r="G6474" t="s">
        <v>43</v>
      </c>
      <c r="H6474" t="s">
        <v>25</v>
      </c>
      <c r="I6474" s="1">
        <v>2</v>
      </c>
      <c r="J6474" s="2">
        <v>45770</v>
      </c>
      <c r="L6474" s="1" t="str">
        <f t="shared" si="725"/>
        <v>qua</v>
      </c>
      <c r="M6474" s="1" t="str">
        <f t="shared" si="724"/>
        <v>abr</v>
      </c>
      <c r="N6474">
        <f t="shared" si="726"/>
        <v>2025</v>
      </c>
      <c r="P6474" t="str">
        <f t="shared" si="727"/>
        <v>188845770</v>
      </c>
    </row>
    <row r="6475" spans="1:16" x14ac:dyDescent="0.3">
      <c r="A6475">
        <v>1888</v>
      </c>
      <c r="B6475">
        <v>22</v>
      </c>
      <c r="C6475" t="s">
        <v>15</v>
      </c>
      <c r="D6475" t="s">
        <v>29</v>
      </c>
      <c r="E6475" t="s">
        <v>17</v>
      </c>
      <c r="F6475" t="s">
        <v>18</v>
      </c>
      <c r="G6475" t="s">
        <v>43</v>
      </c>
      <c r="H6475" t="s">
        <v>25</v>
      </c>
      <c r="I6475" s="1">
        <v>2</v>
      </c>
      <c r="J6475" s="2">
        <v>45771</v>
      </c>
      <c r="L6475" s="1" t="str">
        <f t="shared" si="725"/>
        <v>qui</v>
      </c>
      <c r="M6475" s="1" t="str">
        <f t="shared" si="724"/>
        <v>abr</v>
      </c>
      <c r="N6475">
        <f t="shared" si="726"/>
        <v>2025</v>
      </c>
      <c r="P6475" t="str">
        <f t="shared" si="727"/>
        <v>188845771</v>
      </c>
    </row>
    <row r="6476" spans="1:16" x14ac:dyDescent="0.3">
      <c r="A6476">
        <v>1888</v>
      </c>
      <c r="B6476">
        <v>22</v>
      </c>
      <c r="C6476" t="s">
        <v>15</v>
      </c>
      <c r="D6476" t="s">
        <v>29</v>
      </c>
      <c r="E6476" t="s">
        <v>17</v>
      </c>
      <c r="F6476" t="s">
        <v>18</v>
      </c>
      <c r="G6476" t="s">
        <v>43</v>
      </c>
      <c r="H6476" t="s">
        <v>25</v>
      </c>
      <c r="I6476" s="1">
        <v>2</v>
      </c>
      <c r="J6476" s="2">
        <v>45772</v>
      </c>
      <c r="L6476" s="1" t="str">
        <f t="shared" si="725"/>
        <v>sex</v>
      </c>
      <c r="M6476" s="1" t="str">
        <f t="shared" si="724"/>
        <v>abr</v>
      </c>
      <c r="N6476">
        <f t="shared" si="726"/>
        <v>2025</v>
      </c>
      <c r="P6476" t="str">
        <f t="shared" si="727"/>
        <v>188845772</v>
      </c>
    </row>
    <row r="6477" spans="1:16" x14ac:dyDescent="0.3">
      <c r="A6477">
        <v>1888</v>
      </c>
      <c r="B6477">
        <v>22</v>
      </c>
      <c r="C6477" t="s">
        <v>15</v>
      </c>
      <c r="D6477" t="s">
        <v>29</v>
      </c>
      <c r="E6477" t="s">
        <v>17</v>
      </c>
      <c r="F6477" t="s">
        <v>18</v>
      </c>
      <c r="G6477" t="s">
        <v>43</v>
      </c>
      <c r="H6477" t="s">
        <v>25</v>
      </c>
      <c r="I6477" s="1">
        <v>2</v>
      </c>
      <c r="J6477" s="2">
        <v>45773</v>
      </c>
      <c r="L6477" s="1" t="str">
        <f t="shared" si="725"/>
        <v>sáb</v>
      </c>
      <c r="M6477" s="1" t="str">
        <f t="shared" si="724"/>
        <v>abr</v>
      </c>
      <c r="N6477">
        <f t="shared" si="726"/>
        <v>2025</v>
      </c>
      <c r="P6477" t="str">
        <f t="shared" si="727"/>
        <v>188845773</v>
      </c>
    </row>
    <row r="6478" spans="1:16" x14ac:dyDescent="0.3">
      <c r="A6478">
        <v>1888</v>
      </c>
      <c r="B6478">
        <v>22</v>
      </c>
      <c r="C6478" t="s">
        <v>15</v>
      </c>
      <c r="D6478" t="s">
        <v>29</v>
      </c>
      <c r="E6478" t="s">
        <v>17</v>
      </c>
      <c r="F6478" t="s">
        <v>18</v>
      </c>
      <c r="G6478" t="s">
        <v>43</v>
      </c>
      <c r="H6478" t="s">
        <v>25</v>
      </c>
      <c r="I6478" s="1">
        <v>2</v>
      </c>
      <c r="J6478" s="2">
        <v>45774</v>
      </c>
      <c r="L6478" s="1" t="str">
        <f t="shared" si="725"/>
        <v>dom</v>
      </c>
      <c r="M6478" s="1" t="str">
        <f t="shared" si="724"/>
        <v>abr</v>
      </c>
      <c r="N6478">
        <f t="shared" si="726"/>
        <v>2025</v>
      </c>
      <c r="P6478" t="str">
        <f t="shared" si="727"/>
        <v>188845774</v>
      </c>
    </row>
    <row r="6479" spans="1:16" x14ac:dyDescent="0.3">
      <c r="A6479">
        <v>1888</v>
      </c>
      <c r="B6479">
        <v>22</v>
      </c>
      <c r="C6479" t="s">
        <v>15</v>
      </c>
      <c r="D6479" t="s">
        <v>29</v>
      </c>
      <c r="E6479" t="s">
        <v>17</v>
      </c>
      <c r="F6479" t="s">
        <v>18</v>
      </c>
      <c r="G6479" t="s">
        <v>43</v>
      </c>
      <c r="H6479" t="s">
        <v>25</v>
      </c>
      <c r="I6479" s="1">
        <v>2</v>
      </c>
      <c r="J6479" s="2">
        <v>45775</v>
      </c>
      <c r="L6479" s="1" t="str">
        <f t="shared" si="725"/>
        <v>seg</v>
      </c>
      <c r="M6479" s="1" t="str">
        <f t="shared" si="724"/>
        <v>abr</v>
      </c>
      <c r="N6479">
        <f t="shared" si="726"/>
        <v>2025</v>
      </c>
      <c r="P6479" t="str">
        <f t="shared" si="727"/>
        <v>188845775</v>
      </c>
    </row>
    <row r="6480" spans="1:16" x14ac:dyDescent="0.3">
      <c r="A6480">
        <v>1888</v>
      </c>
      <c r="B6480">
        <v>22</v>
      </c>
      <c r="C6480" t="s">
        <v>15</v>
      </c>
      <c r="D6480" t="s">
        <v>29</v>
      </c>
      <c r="E6480" t="s">
        <v>17</v>
      </c>
      <c r="F6480" t="s">
        <v>18</v>
      </c>
      <c r="G6480" t="s">
        <v>43</v>
      </c>
      <c r="H6480" t="s">
        <v>25</v>
      </c>
      <c r="I6480" s="1">
        <v>2</v>
      </c>
      <c r="J6480" s="2">
        <v>45776</v>
      </c>
      <c r="L6480" s="1" t="str">
        <f t="shared" si="725"/>
        <v>ter</v>
      </c>
      <c r="M6480" s="1" t="str">
        <f t="shared" si="724"/>
        <v>abr</v>
      </c>
      <c r="N6480">
        <f t="shared" si="726"/>
        <v>2025</v>
      </c>
      <c r="P6480" t="str">
        <f t="shared" si="727"/>
        <v>188845776</v>
      </c>
    </row>
    <row r="6481" spans="1:16" x14ac:dyDescent="0.3">
      <c r="A6481">
        <v>1888</v>
      </c>
      <c r="B6481">
        <v>22</v>
      </c>
      <c r="C6481" t="s">
        <v>15</v>
      </c>
      <c r="D6481" t="s">
        <v>29</v>
      </c>
      <c r="E6481" t="s">
        <v>17</v>
      </c>
      <c r="F6481" t="s">
        <v>18</v>
      </c>
      <c r="G6481" t="s">
        <v>43</v>
      </c>
      <c r="H6481" t="s">
        <v>25</v>
      </c>
      <c r="I6481" s="1">
        <v>2</v>
      </c>
      <c r="J6481" s="2">
        <v>45777</v>
      </c>
      <c r="L6481" s="1" t="str">
        <f t="shared" si="725"/>
        <v>qua</v>
      </c>
      <c r="M6481" s="1" t="str">
        <f t="shared" si="724"/>
        <v>abr</v>
      </c>
      <c r="N6481">
        <f t="shared" si="726"/>
        <v>2025</v>
      </c>
      <c r="P6481" t="str">
        <f t="shared" si="727"/>
        <v>188845777</v>
      </c>
    </row>
    <row r="6482" spans="1:16" x14ac:dyDescent="0.3">
      <c r="A6482">
        <v>1888</v>
      </c>
      <c r="B6482">
        <v>22</v>
      </c>
      <c r="C6482" t="s">
        <v>15</v>
      </c>
      <c r="D6482" t="s">
        <v>29</v>
      </c>
      <c r="E6482" t="s">
        <v>17</v>
      </c>
      <c r="F6482" t="s">
        <v>18</v>
      </c>
      <c r="G6482" t="s">
        <v>43</v>
      </c>
      <c r="H6482" t="s">
        <v>25</v>
      </c>
      <c r="I6482" s="1">
        <v>2</v>
      </c>
      <c r="J6482" s="2">
        <v>45778</v>
      </c>
      <c r="L6482" s="1" t="str">
        <f t="shared" si="725"/>
        <v>qui</v>
      </c>
      <c r="M6482" s="1" t="str">
        <f t="shared" si="724"/>
        <v>mai</v>
      </c>
      <c r="N6482">
        <f t="shared" si="726"/>
        <v>2025</v>
      </c>
      <c r="P6482" t="str">
        <f t="shared" si="727"/>
        <v>188845778</v>
      </c>
    </row>
    <row r="6483" spans="1:16" x14ac:dyDescent="0.3">
      <c r="A6483">
        <v>1888</v>
      </c>
      <c r="B6483">
        <v>22</v>
      </c>
      <c r="C6483" t="s">
        <v>15</v>
      </c>
      <c r="D6483" t="s">
        <v>29</v>
      </c>
      <c r="E6483" t="s">
        <v>17</v>
      </c>
      <c r="F6483" t="s">
        <v>18</v>
      </c>
      <c r="G6483" t="s">
        <v>43</v>
      </c>
      <c r="H6483" t="s">
        <v>25</v>
      </c>
      <c r="I6483" s="1">
        <v>2</v>
      </c>
      <c r="J6483" s="2">
        <v>45779</v>
      </c>
      <c r="L6483" s="1" t="str">
        <f t="shared" si="725"/>
        <v>sex</v>
      </c>
      <c r="M6483" s="1" t="str">
        <f t="shared" si="724"/>
        <v>mai</v>
      </c>
      <c r="N6483">
        <f t="shared" si="726"/>
        <v>2025</v>
      </c>
      <c r="P6483" t="str">
        <f t="shared" si="727"/>
        <v>188845779</v>
      </c>
    </row>
    <row r="6484" spans="1:16" x14ac:dyDescent="0.3">
      <c r="A6484">
        <v>1888</v>
      </c>
      <c r="B6484">
        <v>22</v>
      </c>
      <c r="C6484" t="s">
        <v>15</v>
      </c>
      <c r="D6484" t="s">
        <v>29</v>
      </c>
      <c r="E6484" t="s">
        <v>17</v>
      </c>
      <c r="F6484" t="s">
        <v>18</v>
      </c>
      <c r="G6484" t="s">
        <v>43</v>
      </c>
      <c r="H6484" t="s">
        <v>25</v>
      </c>
      <c r="I6484" s="1">
        <v>2</v>
      </c>
      <c r="J6484" s="2">
        <v>45780</v>
      </c>
      <c r="L6484" s="1" t="str">
        <f t="shared" si="725"/>
        <v>sáb</v>
      </c>
      <c r="M6484" s="1" t="str">
        <f t="shared" si="724"/>
        <v>mai</v>
      </c>
      <c r="N6484">
        <f t="shared" si="726"/>
        <v>2025</v>
      </c>
      <c r="P6484" t="str">
        <f t="shared" si="727"/>
        <v>188845780</v>
      </c>
    </row>
    <row r="6485" spans="1:16" x14ac:dyDescent="0.3">
      <c r="A6485">
        <v>1888</v>
      </c>
      <c r="B6485">
        <v>22</v>
      </c>
      <c r="C6485" t="s">
        <v>15</v>
      </c>
      <c r="D6485" t="s">
        <v>29</v>
      </c>
      <c r="E6485" t="s">
        <v>17</v>
      </c>
      <c r="F6485" t="s">
        <v>18</v>
      </c>
      <c r="G6485" t="s">
        <v>43</v>
      </c>
      <c r="H6485" t="s">
        <v>25</v>
      </c>
      <c r="I6485" s="1">
        <v>2</v>
      </c>
      <c r="J6485" s="2">
        <v>45781</v>
      </c>
      <c r="L6485" s="1" t="str">
        <f t="shared" si="725"/>
        <v>dom</v>
      </c>
      <c r="M6485" s="1" t="str">
        <f t="shared" si="724"/>
        <v>mai</v>
      </c>
      <c r="N6485">
        <f t="shared" si="726"/>
        <v>2025</v>
      </c>
      <c r="P6485" t="str">
        <f t="shared" si="727"/>
        <v>188845781</v>
      </c>
    </row>
    <row r="6486" spans="1:16" x14ac:dyDescent="0.3">
      <c r="A6486">
        <v>1888</v>
      </c>
      <c r="B6486">
        <v>22</v>
      </c>
      <c r="C6486" t="s">
        <v>15</v>
      </c>
      <c r="D6486" t="s">
        <v>29</v>
      </c>
      <c r="E6486" t="s">
        <v>17</v>
      </c>
      <c r="F6486" t="s">
        <v>18</v>
      </c>
      <c r="G6486" t="s">
        <v>43</v>
      </c>
      <c r="H6486" t="s">
        <v>25</v>
      </c>
      <c r="I6486" s="1">
        <v>2</v>
      </c>
      <c r="J6486" s="2">
        <v>45782</v>
      </c>
      <c r="L6486" s="1" t="str">
        <f t="shared" si="725"/>
        <v>seg</v>
      </c>
      <c r="M6486" s="1" t="str">
        <f t="shared" si="724"/>
        <v>mai</v>
      </c>
      <c r="N6486">
        <f t="shared" si="726"/>
        <v>2025</v>
      </c>
      <c r="P6486" t="str">
        <f t="shared" si="727"/>
        <v>188845782</v>
      </c>
    </row>
    <row r="6487" spans="1:16" x14ac:dyDescent="0.3">
      <c r="A6487">
        <v>1888</v>
      </c>
      <c r="B6487">
        <v>22</v>
      </c>
      <c r="C6487" t="s">
        <v>15</v>
      </c>
      <c r="D6487" t="s">
        <v>29</v>
      </c>
      <c r="E6487" t="s">
        <v>17</v>
      </c>
      <c r="F6487" t="s">
        <v>18</v>
      </c>
      <c r="G6487" t="s">
        <v>43</v>
      </c>
      <c r="H6487" t="s">
        <v>25</v>
      </c>
      <c r="I6487" s="1">
        <v>2</v>
      </c>
      <c r="J6487" s="2">
        <v>45783</v>
      </c>
      <c r="L6487" s="1" t="str">
        <f t="shared" si="725"/>
        <v>ter</v>
      </c>
      <c r="M6487" s="1" t="str">
        <f t="shared" si="724"/>
        <v>mai</v>
      </c>
      <c r="N6487">
        <f t="shared" si="726"/>
        <v>2025</v>
      </c>
      <c r="P6487" t="str">
        <f t="shared" si="727"/>
        <v>188845783</v>
      </c>
    </row>
    <row r="6488" spans="1:16" x14ac:dyDescent="0.3">
      <c r="A6488">
        <v>1888</v>
      </c>
      <c r="B6488">
        <v>22</v>
      </c>
      <c r="C6488" t="s">
        <v>15</v>
      </c>
      <c r="D6488" t="s">
        <v>29</v>
      </c>
      <c r="E6488" t="s">
        <v>17</v>
      </c>
      <c r="F6488" t="s">
        <v>18</v>
      </c>
      <c r="G6488" t="s">
        <v>43</v>
      </c>
      <c r="H6488" t="s">
        <v>25</v>
      </c>
      <c r="I6488" s="1">
        <v>2</v>
      </c>
      <c r="J6488" s="2">
        <v>45784</v>
      </c>
      <c r="L6488" s="1" t="str">
        <f t="shared" si="725"/>
        <v>qua</v>
      </c>
      <c r="M6488" s="1" t="str">
        <f t="shared" si="724"/>
        <v>mai</v>
      </c>
      <c r="N6488">
        <f t="shared" si="726"/>
        <v>2025</v>
      </c>
      <c r="P6488" t="str">
        <f t="shared" si="727"/>
        <v>188845784</v>
      </c>
    </row>
    <row r="6489" spans="1:16" x14ac:dyDescent="0.3">
      <c r="A6489">
        <v>1888</v>
      </c>
      <c r="B6489">
        <v>22</v>
      </c>
      <c r="C6489" t="s">
        <v>15</v>
      </c>
      <c r="D6489" t="s">
        <v>29</v>
      </c>
      <c r="E6489" t="s">
        <v>17</v>
      </c>
      <c r="F6489" t="s">
        <v>18</v>
      </c>
      <c r="G6489" t="s">
        <v>43</v>
      </c>
      <c r="H6489" t="s">
        <v>25</v>
      </c>
      <c r="I6489" s="1">
        <v>2</v>
      </c>
      <c r="J6489" s="2">
        <v>45785</v>
      </c>
      <c r="L6489" s="1" t="str">
        <f t="shared" si="725"/>
        <v>qui</v>
      </c>
      <c r="M6489" s="1" t="str">
        <f t="shared" si="724"/>
        <v>mai</v>
      </c>
      <c r="N6489">
        <f t="shared" si="726"/>
        <v>2025</v>
      </c>
      <c r="P6489" t="str">
        <f t="shared" si="727"/>
        <v>188845785</v>
      </c>
    </row>
    <row r="6490" spans="1:16" x14ac:dyDescent="0.3">
      <c r="A6490">
        <v>1888</v>
      </c>
      <c r="B6490">
        <v>22</v>
      </c>
      <c r="C6490" t="s">
        <v>15</v>
      </c>
      <c r="D6490" t="s">
        <v>29</v>
      </c>
      <c r="E6490" t="s">
        <v>17</v>
      </c>
      <c r="F6490" t="s">
        <v>18</v>
      </c>
      <c r="G6490" t="s">
        <v>43</v>
      </c>
      <c r="H6490" t="s">
        <v>25</v>
      </c>
      <c r="I6490" s="1">
        <v>2</v>
      </c>
      <c r="J6490" s="2">
        <v>45786</v>
      </c>
      <c r="L6490" s="1" t="str">
        <f t="shared" si="725"/>
        <v>sex</v>
      </c>
      <c r="M6490" s="1" t="str">
        <f t="shared" si="724"/>
        <v>mai</v>
      </c>
      <c r="N6490">
        <f t="shared" si="726"/>
        <v>2025</v>
      </c>
      <c r="P6490" t="str">
        <f t="shared" si="727"/>
        <v>188845786</v>
      </c>
    </row>
    <row r="6491" spans="1:16" x14ac:dyDescent="0.3">
      <c r="A6491">
        <v>1888</v>
      </c>
      <c r="B6491">
        <v>22</v>
      </c>
      <c r="C6491" t="s">
        <v>15</v>
      </c>
      <c r="D6491" t="s">
        <v>29</v>
      </c>
      <c r="E6491" t="s">
        <v>17</v>
      </c>
      <c r="F6491" t="s">
        <v>18</v>
      </c>
      <c r="G6491" t="s">
        <v>43</v>
      </c>
      <c r="H6491" t="s">
        <v>25</v>
      </c>
      <c r="I6491" s="1">
        <v>2</v>
      </c>
      <c r="J6491" s="2">
        <v>45787</v>
      </c>
      <c r="L6491" s="1" t="str">
        <f t="shared" si="725"/>
        <v>sáb</v>
      </c>
      <c r="M6491" s="1" t="str">
        <f t="shared" si="724"/>
        <v>mai</v>
      </c>
      <c r="N6491">
        <f t="shared" si="726"/>
        <v>2025</v>
      </c>
      <c r="P6491" t="str">
        <f t="shared" si="727"/>
        <v>188845787</v>
      </c>
    </row>
    <row r="6492" spans="1:16" x14ac:dyDescent="0.3">
      <c r="A6492">
        <v>1888</v>
      </c>
      <c r="B6492">
        <v>22</v>
      </c>
      <c r="C6492" t="s">
        <v>15</v>
      </c>
      <c r="D6492" t="s">
        <v>29</v>
      </c>
      <c r="E6492" t="s">
        <v>17</v>
      </c>
      <c r="F6492" t="s">
        <v>18</v>
      </c>
      <c r="G6492" t="s">
        <v>43</v>
      </c>
      <c r="H6492" t="s">
        <v>25</v>
      </c>
      <c r="I6492" s="1">
        <v>2</v>
      </c>
      <c r="J6492" s="2">
        <v>45788</v>
      </c>
      <c r="L6492" s="1" t="str">
        <f t="shared" si="725"/>
        <v>dom</v>
      </c>
      <c r="M6492" s="1" t="str">
        <f t="shared" si="724"/>
        <v>mai</v>
      </c>
      <c r="N6492">
        <f t="shared" si="726"/>
        <v>2025</v>
      </c>
      <c r="P6492" t="str">
        <f t="shared" si="727"/>
        <v>188845788</v>
      </c>
    </row>
    <row r="6493" spans="1:16" x14ac:dyDescent="0.3">
      <c r="A6493">
        <v>1888</v>
      </c>
      <c r="B6493">
        <v>22</v>
      </c>
      <c r="C6493" t="s">
        <v>15</v>
      </c>
      <c r="D6493" t="s">
        <v>29</v>
      </c>
      <c r="E6493" t="s">
        <v>17</v>
      </c>
      <c r="F6493" t="s">
        <v>18</v>
      </c>
      <c r="G6493" t="s">
        <v>43</v>
      </c>
      <c r="H6493" t="s">
        <v>25</v>
      </c>
      <c r="I6493" s="1">
        <v>2</v>
      </c>
      <c r="J6493" s="2">
        <v>45789</v>
      </c>
      <c r="L6493" s="1" t="str">
        <f t="shared" si="725"/>
        <v>seg</v>
      </c>
      <c r="M6493" s="1" t="str">
        <f t="shared" si="724"/>
        <v>mai</v>
      </c>
      <c r="N6493">
        <f t="shared" si="726"/>
        <v>2025</v>
      </c>
      <c r="P6493" t="str">
        <f t="shared" si="727"/>
        <v>188845789</v>
      </c>
    </row>
    <row r="6494" spans="1:16" x14ac:dyDescent="0.3">
      <c r="A6494">
        <v>1888</v>
      </c>
      <c r="B6494">
        <v>22</v>
      </c>
      <c r="C6494" t="s">
        <v>15</v>
      </c>
      <c r="D6494" t="s">
        <v>29</v>
      </c>
      <c r="E6494" t="s">
        <v>17</v>
      </c>
      <c r="F6494" t="s">
        <v>18</v>
      </c>
      <c r="G6494" t="s">
        <v>43</v>
      </c>
      <c r="H6494" t="s">
        <v>25</v>
      </c>
      <c r="I6494" s="1">
        <v>2</v>
      </c>
      <c r="J6494" s="2">
        <v>45790</v>
      </c>
      <c r="L6494" s="1" t="str">
        <f t="shared" si="725"/>
        <v>ter</v>
      </c>
      <c r="M6494" s="1" t="str">
        <f t="shared" si="724"/>
        <v>mai</v>
      </c>
      <c r="N6494">
        <f t="shared" si="726"/>
        <v>2025</v>
      </c>
      <c r="P6494" t="str">
        <f t="shared" si="727"/>
        <v>188845790</v>
      </c>
    </row>
    <row r="6495" spans="1:16" x14ac:dyDescent="0.3">
      <c r="A6495">
        <v>1888</v>
      </c>
      <c r="B6495">
        <v>22</v>
      </c>
      <c r="C6495" t="s">
        <v>15</v>
      </c>
      <c r="D6495" t="s">
        <v>29</v>
      </c>
      <c r="E6495" t="s">
        <v>17</v>
      </c>
      <c r="F6495" t="s">
        <v>18</v>
      </c>
      <c r="G6495" t="s">
        <v>43</v>
      </c>
      <c r="H6495" t="s">
        <v>25</v>
      </c>
      <c r="I6495" s="1">
        <v>2</v>
      </c>
      <c r="J6495" s="2">
        <v>45791</v>
      </c>
      <c r="L6495" s="1" t="str">
        <f t="shared" si="725"/>
        <v>qua</v>
      </c>
      <c r="M6495" s="1" t="str">
        <f t="shared" si="724"/>
        <v>mai</v>
      </c>
      <c r="N6495">
        <f t="shared" si="726"/>
        <v>2025</v>
      </c>
      <c r="P6495" t="str">
        <f t="shared" si="727"/>
        <v>188845791</v>
      </c>
    </row>
    <row r="6496" spans="1:16" x14ac:dyDescent="0.3">
      <c r="A6496">
        <v>1888</v>
      </c>
      <c r="B6496">
        <v>22</v>
      </c>
      <c r="C6496" t="s">
        <v>15</v>
      </c>
      <c r="D6496" t="s">
        <v>29</v>
      </c>
      <c r="E6496" t="s">
        <v>17</v>
      </c>
      <c r="F6496" t="s">
        <v>18</v>
      </c>
      <c r="G6496" t="s">
        <v>43</v>
      </c>
      <c r="H6496" t="s">
        <v>25</v>
      </c>
      <c r="I6496" s="1">
        <v>2</v>
      </c>
      <c r="J6496" s="2">
        <v>45792</v>
      </c>
      <c r="L6496" s="1" t="str">
        <f t="shared" si="725"/>
        <v>qui</v>
      </c>
      <c r="M6496" s="1" t="str">
        <f t="shared" si="724"/>
        <v>mai</v>
      </c>
      <c r="N6496">
        <f t="shared" si="726"/>
        <v>2025</v>
      </c>
      <c r="P6496" t="str">
        <f t="shared" si="727"/>
        <v>188845792</v>
      </c>
    </row>
    <row r="6497" spans="1:16" x14ac:dyDescent="0.3">
      <c r="A6497">
        <v>1888</v>
      </c>
      <c r="B6497">
        <v>22</v>
      </c>
      <c r="C6497" t="s">
        <v>15</v>
      </c>
      <c r="D6497" t="s">
        <v>29</v>
      </c>
      <c r="E6497" t="s">
        <v>17</v>
      </c>
      <c r="F6497" t="s">
        <v>18</v>
      </c>
      <c r="G6497" t="s">
        <v>43</v>
      </c>
      <c r="H6497" t="s">
        <v>25</v>
      </c>
      <c r="I6497" s="1">
        <v>2</v>
      </c>
      <c r="J6497" s="2">
        <v>45793</v>
      </c>
      <c r="L6497" s="1" t="str">
        <f t="shared" si="725"/>
        <v>sex</v>
      </c>
      <c r="M6497" s="1" t="str">
        <f t="shared" si="724"/>
        <v>mai</v>
      </c>
      <c r="N6497">
        <f t="shared" si="726"/>
        <v>2025</v>
      </c>
      <c r="P6497" t="str">
        <f t="shared" si="727"/>
        <v>188845793</v>
      </c>
    </row>
    <row r="6498" spans="1:16" x14ac:dyDescent="0.3">
      <c r="A6498">
        <v>1888</v>
      </c>
      <c r="B6498">
        <v>22</v>
      </c>
      <c r="C6498" t="s">
        <v>15</v>
      </c>
      <c r="D6498" t="s">
        <v>29</v>
      </c>
      <c r="E6498" t="s">
        <v>17</v>
      </c>
      <c r="F6498" t="s">
        <v>18</v>
      </c>
      <c r="G6498" t="s">
        <v>43</v>
      </c>
      <c r="H6498" t="s">
        <v>25</v>
      </c>
      <c r="I6498" s="1">
        <v>2</v>
      </c>
      <c r="J6498" s="2">
        <v>45794</v>
      </c>
      <c r="L6498" s="1" t="str">
        <f t="shared" si="725"/>
        <v>sáb</v>
      </c>
      <c r="M6498" s="1" t="str">
        <f t="shared" si="724"/>
        <v>mai</v>
      </c>
      <c r="N6498">
        <f t="shared" si="726"/>
        <v>2025</v>
      </c>
      <c r="P6498" t="str">
        <f t="shared" si="727"/>
        <v>188845794</v>
      </c>
    </row>
    <row r="6499" spans="1:16" x14ac:dyDescent="0.3">
      <c r="A6499">
        <v>1888</v>
      </c>
      <c r="B6499">
        <v>22</v>
      </c>
      <c r="C6499" t="s">
        <v>15</v>
      </c>
      <c r="D6499" t="s">
        <v>29</v>
      </c>
      <c r="E6499" t="s">
        <v>17</v>
      </c>
      <c r="F6499" t="s">
        <v>18</v>
      </c>
      <c r="G6499" t="s">
        <v>43</v>
      </c>
      <c r="H6499" t="s">
        <v>25</v>
      </c>
      <c r="I6499" s="1">
        <v>2</v>
      </c>
      <c r="J6499" s="2">
        <v>45795</v>
      </c>
      <c r="L6499" s="1" t="str">
        <f t="shared" si="725"/>
        <v>dom</v>
      </c>
      <c r="M6499" s="1" t="str">
        <f t="shared" si="724"/>
        <v>mai</v>
      </c>
      <c r="N6499">
        <f t="shared" si="726"/>
        <v>2025</v>
      </c>
      <c r="P6499" t="str">
        <f t="shared" si="727"/>
        <v>188845795</v>
      </c>
    </row>
    <row r="6500" spans="1:16" x14ac:dyDescent="0.3">
      <c r="A6500">
        <v>1888</v>
      </c>
      <c r="B6500">
        <v>22</v>
      </c>
      <c r="C6500" t="s">
        <v>15</v>
      </c>
      <c r="D6500" t="s">
        <v>29</v>
      </c>
      <c r="E6500" t="s">
        <v>17</v>
      </c>
      <c r="F6500" t="s">
        <v>18</v>
      </c>
      <c r="G6500" t="s">
        <v>43</v>
      </c>
      <c r="H6500" t="s">
        <v>25</v>
      </c>
      <c r="I6500" s="1">
        <v>2</v>
      </c>
      <c r="J6500" s="2">
        <v>45796</v>
      </c>
      <c r="L6500" s="1" t="str">
        <f t="shared" si="725"/>
        <v>seg</v>
      </c>
      <c r="M6500" s="1" t="str">
        <f t="shared" si="724"/>
        <v>mai</v>
      </c>
      <c r="N6500">
        <f t="shared" si="726"/>
        <v>2025</v>
      </c>
      <c r="P6500" t="str">
        <f t="shared" si="727"/>
        <v>188845796</v>
      </c>
    </row>
    <row r="6501" spans="1:16" x14ac:dyDescent="0.3">
      <c r="A6501">
        <v>1888</v>
      </c>
      <c r="B6501">
        <v>22</v>
      </c>
      <c r="C6501" t="s">
        <v>15</v>
      </c>
      <c r="D6501" t="s">
        <v>29</v>
      </c>
      <c r="E6501" t="s">
        <v>17</v>
      </c>
      <c r="F6501" t="s">
        <v>18</v>
      </c>
      <c r="G6501" t="s">
        <v>43</v>
      </c>
      <c r="H6501" t="s">
        <v>25</v>
      </c>
      <c r="I6501" s="1">
        <v>2</v>
      </c>
      <c r="J6501" s="2">
        <v>45797</v>
      </c>
      <c r="L6501" s="1" t="str">
        <f t="shared" si="725"/>
        <v>ter</v>
      </c>
      <c r="M6501" s="1" t="str">
        <f t="shared" si="724"/>
        <v>mai</v>
      </c>
      <c r="N6501">
        <f t="shared" si="726"/>
        <v>2025</v>
      </c>
      <c r="P6501" t="str">
        <f t="shared" si="727"/>
        <v>188845797</v>
      </c>
    </row>
    <row r="6502" spans="1:16" x14ac:dyDescent="0.3">
      <c r="A6502">
        <v>1888</v>
      </c>
      <c r="B6502">
        <v>22</v>
      </c>
      <c r="C6502" t="s">
        <v>15</v>
      </c>
      <c r="D6502" t="s">
        <v>29</v>
      </c>
      <c r="E6502" t="s">
        <v>17</v>
      </c>
      <c r="F6502" t="s">
        <v>18</v>
      </c>
      <c r="G6502" t="s">
        <v>43</v>
      </c>
      <c r="H6502" t="s">
        <v>25</v>
      </c>
      <c r="I6502" s="1">
        <v>2</v>
      </c>
      <c r="J6502" s="2">
        <v>45798</v>
      </c>
      <c r="L6502" s="1" t="str">
        <f t="shared" si="725"/>
        <v>qua</v>
      </c>
      <c r="M6502" s="1" t="str">
        <f t="shared" si="724"/>
        <v>mai</v>
      </c>
      <c r="N6502">
        <f t="shared" si="726"/>
        <v>2025</v>
      </c>
      <c r="P6502" t="str">
        <f t="shared" si="727"/>
        <v>188845798</v>
      </c>
    </row>
    <row r="6503" spans="1:16" x14ac:dyDescent="0.3">
      <c r="A6503">
        <v>1888</v>
      </c>
      <c r="B6503">
        <v>22</v>
      </c>
      <c r="C6503" t="s">
        <v>15</v>
      </c>
      <c r="D6503" t="s">
        <v>29</v>
      </c>
      <c r="E6503" t="s">
        <v>17</v>
      </c>
      <c r="F6503" t="s">
        <v>18</v>
      </c>
      <c r="G6503" t="s">
        <v>43</v>
      </c>
      <c r="H6503" t="s">
        <v>25</v>
      </c>
      <c r="I6503" s="1">
        <v>2</v>
      </c>
      <c r="J6503" s="2">
        <v>45799</v>
      </c>
      <c r="L6503" s="1" t="str">
        <f t="shared" si="725"/>
        <v>qui</v>
      </c>
      <c r="M6503" s="1" t="str">
        <f t="shared" si="724"/>
        <v>mai</v>
      </c>
      <c r="N6503">
        <f t="shared" si="726"/>
        <v>2025</v>
      </c>
      <c r="P6503" t="str">
        <f t="shared" si="727"/>
        <v>188845799</v>
      </c>
    </row>
    <row r="6504" spans="1:16" x14ac:dyDescent="0.3">
      <c r="A6504">
        <v>1888</v>
      </c>
      <c r="B6504">
        <v>22</v>
      </c>
      <c r="C6504" t="s">
        <v>15</v>
      </c>
      <c r="D6504" t="s">
        <v>29</v>
      </c>
      <c r="E6504" t="s">
        <v>17</v>
      </c>
      <c r="F6504" t="s">
        <v>18</v>
      </c>
      <c r="G6504" t="s">
        <v>43</v>
      </c>
      <c r="H6504" t="s">
        <v>25</v>
      </c>
      <c r="I6504" s="1">
        <v>2</v>
      </c>
      <c r="J6504" s="2">
        <v>45800</v>
      </c>
      <c r="L6504" s="1" t="str">
        <f t="shared" si="725"/>
        <v>sex</v>
      </c>
      <c r="M6504" s="1" t="str">
        <f t="shared" si="724"/>
        <v>mai</v>
      </c>
      <c r="N6504">
        <f t="shared" si="726"/>
        <v>2025</v>
      </c>
      <c r="P6504" t="str">
        <f t="shared" si="727"/>
        <v>188845800</v>
      </c>
    </row>
    <row r="6505" spans="1:16" x14ac:dyDescent="0.3">
      <c r="A6505">
        <v>1888</v>
      </c>
      <c r="B6505">
        <v>22</v>
      </c>
      <c r="C6505" t="s">
        <v>15</v>
      </c>
      <c r="D6505" t="s">
        <v>29</v>
      </c>
      <c r="E6505" t="s">
        <v>17</v>
      </c>
      <c r="F6505" t="s">
        <v>18</v>
      </c>
      <c r="G6505" t="s">
        <v>43</v>
      </c>
      <c r="H6505" t="s">
        <v>25</v>
      </c>
      <c r="I6505" s="1">
        <v>2</v>
      </c>
      <c r="J6505" s="2">
        <v>45801</v>
      </c>
      <c r="L6505" s="1" t="str">
        <f t="shared" si="725"/>
        <v>sáb</v>
      </c>
      <c r="M6505" s="1" t="str">
        <f t="shared" si="724"/>
        <v>mai</v>
      </c>
      <c r="N6505">
        <f t="shared" si="726"/>
        <v>2025</v>
      </c>
      <c r="P6505" t="str">
        <f t="shared" si="727"/>
        <v>188845801</v>
      </c>
    </row>
    <row r="6506" spans="1:16" x14ac:dyDescent="0.3">
      <c r="A6506">
        <v>1888</v>
      </c>
      <c r="B6506">
        <v>22</v>
      </c>
      <c r="C6506" t="s">
        <v>15</v>
      </c>
      <c r="D6506" t="s">
        <v>29</v>
      </c>
      <c r="E6506" t="s">
        <v>17</v>
      </c>
      <c r="F6506" t="s">
        <v>18</v>
      </c>
      <c r="G6506" t="s">
        <v>43</v>
      </c>
      <c r="H6506" t="s">
        <v>25</v>
      </c>
      <c r="I6506" s="1">
        <v>2</v>
      </c>
      <c r="J6506" s="2">
        <v>45802</v>
      </c>
      <c r="L6506" s="1" t="str">
        <f t="shared" si="725"/>
        <v>dom</v>
      </c>
      <c r="M6506" s="1" t="str">
        <f t="shared" si="724"/>
        <v>mai</v>
      </c>
      <c r="N6506">
        <f t="shared" si="726"/>
        <v>2025</v>
      </c>
      <c r="P6506" t="str">
        <f t="shared" si="727"/>
        <v>188845802</v>
      </c>
    </row>
    <row r="6507" spans="1:16" x14ac:dyDescent="0.3">
      <c r="A6507">
        <v>1888</v>
      </c>
      <c r="B6507">
        <v>22</v>
      </c>
      <c r="C6507" t="s">
        <v>15</v>
      </c>
      <c r="D6507" t="s">
        <v>29</v>
      </c>
      <c r="E6507" t="s">
        <v>17</v>
      </c>
      <c r="F6507" t="s">
        <v>18</v>
      </c>
      <c r="G6507" t="s">
        <v>43</v>
      </c>
      <c r="H6507" t="s">
        <v>25</v>
      </c>
      <c r="I6507" s="1">
        <v>2</v>
      </c>
      <c r="J6507" s="2">
        <v>45803</v>
      </c>
      <c r="L6507" s="1" t="str">
        <f t="shared" si="725"/>
        <v>seg</v>
      </c>
      <c r="M6507" s="1" t="str">
        <f t="shared" si="724"/>
        <v>mai</v>
      </c>
      <c r="N6507">
        <f t="shared" si="726"/>
        <v>2025</v>
      </c>
      <c r="P6507" t="str">
        <f t="shared" si="727"/>
        <v>188845803</v>
      </c>
    </row>
    <row r="6508" spans="1:16" x14ac:dyDescent="0.3">
      <c r="A6508">
        <v>1888</v>
      </c>
      <c r="B6508">
        <v>22</v>
      </c>
      <c r="C6508" t="s">
        <v>15</v>
      </c>
      <c r="D6508" t="s">
        <v>29</v>
      </c>
      <c r="E6508" t="s">
        <v>17</v>
      </c>
      <c r="F6508" t="s">
        <v>18</v>
      </c>
      <c r="G6508" t="s">
        <v>43</v>
      </c>
      <c r="H6508" t="s">
        <v>25</v>
      </c>
      <c r="I6508" s="1">
        <v>2</v>
      </c>
      <c r="J6508" s="2">
        <v>45804</v>
      </c>
      <c r="L6508" s="1" t="str">
        <f t="shared" si="725"/>
        <v>ter</v>
      </c>
      <c r="M6508" s="1" t="str">
        <f t="shared" si="724"/>
        <v>mai</v>
      </c>
      <c r="N6508">
        <f t="shared" si="726"/>
        <v>2025</v>
      </c>
      <c r="P6508" t="str">
        <f t="shared" si="727"/>
        <v>188845804</v>
      </c>
    </row>
    <row r="6509" spans="1:16" x14ac:dyDescent="0.3">
      <c r="A6509">
        <v>1888</v>
      </c>
      <c r="B6509">
        <v>22</v>
      </c>
      <c r="C6509" t="s">
        <v>15</v>
      </c>
      <c r="D6509" t="s">
        <v>29</v>
      </c>
      <c r="E6509" t="s">
        <v>17</v>
      </c>
      <c r="F6509" t="s">
        <v>18</v>
      </c>
      <c r="G6509" t="s">
        <v>43</v>
      </c>
      <c r="H6509" t="s">
        <v>25</v>
      </c>
      <c r="I6509" s="1">
        <v>2</v>
      </c>
      <c r="J6509" s="2">
        <v>45805</v>
      </c>
      <c r="L6509" s="1" t="str">
        <f t="shared" si="725"/>
        <v>qua</v>
      </c>
      <c r="M6509" s="1" t="str">
        <f t="shared" si="724"/>
        <v>mai</v>
      </c>
      <c r="N6509">
        <f t="shared" si="726"/>
        <v>2025</v>
      </c>
      <c r="P6509" t="str">
        <f t="shared" si="727"/>
        <v>188845805</v>
      </c>
    </row>
    <row r="6510" spans="1:16" x14ac:dyDescent="0.3">
      <c r="A6510">
        <v>1888</v>
      </c>
      <c r="B6510">
        <v>22</v>
      </c>
      <c r="C6510" t="s">
        <v>15</v>
      </c>
      <c r="D6510" t="s">
        <v>29</v>
      </c>
      <c r="E6510" t="s">
        <v>17</v>
      </c>
      <c r="F6510" t="s">
        <v>18</v>
      </c>
      <c r="G6510" t="s">
        <v>43</v>
      </c>
      <c r="H6510" t="s">
        <v>25</v>
      </c>
      <c r="I6510" s="1">
        <v>2</v>
      </c>
      <c r="J6510" s="2">
        <v>45806</v>
      </c>
      <c r="L6510" s="1" t="str">
        <f t="shared" si="725"/>
        <v>qui</v>
      </c>
      <c r="M6510" s="1" t="str">
        <f t="shared" si="724"/>
        <v>mai</v>
      </c>
      <c r="N6510">
        <f t="shared" si="726"/>
        <v>2025</v>
      </c>
      <c r="P6510" t="str">
        <f t="shared" si="727"/>
        <v>188845806</v>
      </c>
    </row>
    <row r="6511" spans="1:16" x14ac:dyDescent="0.3">
      <c r="A6511">
        <v>1888</v>
      </c>
      <c r="B6511">
        <v>22</v>
      </c>
      <c r="C6511" t="s">
        <v>15</v>
      </c>
      <c r="D6511" t="s">
        <v>29</v>
      </c>
      <c r="E6511" t="s">
        <v>17</v>
      </c>
      <c r="F6511" t="s">
        <v>18</v>
      </c>
      <c r="G6511" t="s">
        <v>43</v>
      </c>
      <c r="H6511" t="s">
        <v>25</v>
      </c>
      <c r="I6511" s="1">
        <v>2</v>
      </c>
      <c r="J6511" s="2">
        <v>45807</v>
      </c>
      <c r="L6511" s="1" t="str">
        <f t="shared" si="725"/>
        <v>sex</v>
      </c>
      <c r="M6511" s="1" t="str">
        <f t="shared" si="724"/>
        <v>mai</v>
      </c>
      <c r="N6511">
        <f t="shared" si="726"/>
        <v>2025</v>
      </c>
      <c r="P6511" t="str">
        <f t="shared" si="727"/>
        <v>188845807</v>
      </c>
    </row>
    <row r="6512" spans="1:16" x14ac:dyDescent="0.3">
      <c r="A6512">
        <v>1888</v>
      </c>
      <c r="B6512">
        <v>22</v>
      </c>
      <c r="C6512" t="s">
        <v>15</v>
      </c>
      <c r="D6512" t="s">
        <v>29</v>
      </c>
      <c r="E6512" t="s">
        <v>17</v>
      </c>
      <c r="F6512" t="s">
        <v>18</v>
      </c>
      <c r="G6512" t="s">
        <v>43</v>
      </c>
      <c r="H6512" t="s">
        <v>25</v>
      </c>
      <c r="I6512" s="1">
        <v>2</v>
      </c>
      <c r="J6512" s="2">
        <v>45808</v>
      </c>
      <c r="L6512" s="1" t="str">
        <f t="shared" si="725"/>
        <v>sáb</v>
      </c>
      <c r="M6512" s="1" t="str">
        <f t="shared" si="724"/>
        <v>mai</v>
      </c>
      <c r="N6512">
        <f t="shared" si="726"/>
        <v>2025</v>
      </c>
      <c r="P6512" t="str">
        <f t="shared" si="727"/>
        <v>188845808</v>
      </c>
    </row>
    <row r="6513" spans="1:16" x14ac:dyDescent="0.3">
      <c r="A6513">
        <v>1888</v>
      </c>
      <c r="B6513">
        <v>22</v>
      </c>
      <c r="C6513" t="s">
        <v>15</v>
      </c>
      <c r="D6513" t="s">
        <v>29</v>
      </c>
      <c r="E6513" t="s">
        <v>17</v>
      </c>
      <c r="F6513" t="s">
        <v>18</v>
      </c>
      <c r="G6513" t="s">
        <v>43</v>
      </c>
      <c r="H6513" t="s">
        <v>25</v>
      </c>
      <c r="I6513" s="1">
        <v>2</v>
      </c>
      <c r="J6513" s="2">
        <v>45809</v>
      </c>
      <c r="L6513" s="1" t="str">
        <f t="shared" si="725"/>
        <v>dom</v>
      </c>
      <c r="M6513" s="1" t="str">
        <f t="shared" ref="M6513:M6576" si="728">TEXT($J6513,"mmm")</f>
        <v>jun</v>
      </c>
      <c r="N6513">
        <f t="shared" si="726"/>
        <v>2025</v>
      </c>
      <c r="P6513" t="str">
        <f t="shared" si="727"/>
        <v>188845809</v>
      </c>
    </row>
    <row r="6514" spans="1:16" x14ac:dyDescent="0.3">
      <c r="A6514">
        <v>1888</v>
      </c>
      <c r="B6514">
        <v>22</v>
      </c>
      <c r="C6514" t="s">
        <v>15</v>
      </c>
      <c r="D6514" t="s">
        <v>29</v>
      </c>
      <c r="E6514" t="s">
        <v>17</v>
      </c>
      <c r="F6514" t="s">
        <v>18</v>
      </c>
      <c r="G6514" t="s">
        <v>43</v>
      </c>
      <c r="H6514" t="s">
        <v>25</v>
      </c>
      <c r="I6514" s="1">
        <v>2</v>
      </c>
      <c r="J6514" s="2">
        <v>45810</v>
      </c>
      <c r="L6514" s="1" t="str">
        <f t="shared" si="725"/>
        <v>seg</v>
      </c>
      <c r="M6514" s="1" t="str">
        <f t="shared" si="728"/>
        <v>jun</v>
      </c>
      <c r="N6514">
        <f t="shared" si="726"/>
        <v>2025</v>
      </c>
      <c r="P6514" t="str">
        <f t="shared" si="727"/>
        <v>188845810</v>
      </c>
    </row>
    <row r="6515" spans="1:16" x14ac:dyDescent="0.3">
      <c r="A6515">
        <v>1888</v>
      </c>
      <c r="B6515">
        <v>22</v>
      </c>
      <c r="C6515" t="s">
        <v>15</v>
      </c>
      <c r="D6515" t="s">
        <v>29</v>
      </c>
      <c r="E6515" t="s">
        <v>17</v>
      </c>
      <c r="F6515" t="s">
        <v>18</v>
      </c>
      <c r="G6515" t="s">
        <v>43</v>
      </c>
      <c r="H6515" t="s">
        <v>25</v>
      </c>
      <c r="I6515" s="1">
        <v>2</v>
      </c>
      <c r="J6515" s="2">
        <v>45811</v>
      </c>
      <c r="L6515" s="1" t="str">
        <f t="shared" si="725"/>
        <v>ter</v>
      </c>
      <c r="M6515" s="1" t="str">
        <f t="shared" si="728"/>
        <v>jun</v>
      </c>
      <c r="N6515">
        <f t="shared" si="726"/>
        <v>2025</v>
      </c>
      <c r="P6515" t="str">
        <f t="shared" si="727"/>
        <v>188845811</v>
      </c>
    </row>
    <row r="6516" spans="1:16" x14ac:dyDescent="0.3">
      <c r="A6516">
        <v>1888</v>
      </c>
      <c r="B6516">
        <v>22</v>
      </c>
      <c r="C6516" t="s">
        <v>15</v>
      </c>
      <c r="D6516" t="s">
        <v>29</v>
      </c>
      <c r="E6516" t="s">
        <v>17</v>
      </c>
      <c r="F6516" t="s">
        <v>18</v>
      </c>
      <c r="G6516" t="s">
        <v>43</v>
      </c>
      <c r="H6516" t="s">
        <v>25</v>
      </c>
      <c r="I6516" s="1">
        <v>2</v>
      </c>
      <c r="J6516" s="2">
        <v>45812</v>
      </c>
      <c r="L6516" s="1" t="str">
        <f t="shared" si="725"/>
        <v>qua</v>
      </c>
      <c r="M6516" s="1" t="str">
        <f t="shared" si="728"/>
        <v>jun</v>
      </c>
      <c r="N6516">
        <f t="shared" si="726"/>
        <v>2025</v>
      </c>
      <c r="P6516" t="str">
        <f t="shared" si="727"/>
        <v>188845812</v>
      </c>
    </row>
    <row r="6517" spans="1:16" x14ac:dyDescent="0.3">
      <c r="A6517">
        <v>1888</v>
      </c>
      <c r="B6517">
        <v>22</v>
      </c>
      <c r="C6517" t="s">
        <v>15</v>
      </c>
      <c r="D6517" t="s">
        <v>29</v>
      </c>
      <c r="E6517" t="s">
        <v>17</v>
      </c>
      <c r="F6517" t="s">
        <v>18</v>
      </c>
      <c r="G6517" t="s">
        <v>43</v>
      </c>
      <c r="H6517" t="s">
        <v>25</v>
      </c>
      <c r="I6517" s="1">
        <v>2</v>
      </c>
      <c r="J6517" s="2">
        <v>45813</v>
      </c>
      <c r="L6517" s="1" t="str">
        <f t="shared" si="725"/>
        <v>qui</v>
      </c>
      <c r="M6517" s="1" t="str">
        <f t="shared" si="728"/>
        <v>jun</v>
      </c>
      <c r="N6517">
        <f t="shared" si="726"/>
        <v>2025</v>
      </c>
      <c r="P6517" t="str">
        <f t="shared" si="727"/>
        <v>188845813</v>
      </c>
    </row>
    <row r="6518" spans="1:16" x14ac:dyDescent="0.3">
      <c r="A6518">
        <v>1888</v>
      </c>
      <c r="B6518">
        <v>22</v>
      </c>
      <c r="C6518" t="s">
        <v>15</v>
      </c>
      <c r="D6518" t="s">
        <v>29</v>
      </c>
      <c r="E6518" t="s">
        <v>17</v>
      </c>
      <c r="F6518" t="s">
        <v>18</v>
      </c>
      <c r="G6518" t="s">
        <v>43</v>
      </c>
      <c r="H6518" t="s">
        <v>25</v>
      </c>
      <c r="I6518" s="1">
        <v>2</v>
      </c>
      <c r="J6518" s="2">
        <v>45814</v>
      </c>
      <c r="L6518" s="1" t="str">
        <f t="shared" si="725"/>
        <v>sex</v>
      </c>
      <c r="M6518" s="1" t="str">
        <f t="shared" si="728"/>
        <v>jun</v>
      </c>
      <c r="N6518">
        <f t="shared" si="726"/>
        <v>2025</v>
      </c>
      <c r="P6518" t="str">
        <f t="shared" si="727"/>
        <v>188845814</v>
      </c>
    </row>
    <row r="6519" spans="1:16" x14ac:dyDescent="0.3">
      <c r="A6519">
        <v>1888</v>
      </c>
      <c r="B6519">
        <v>22</v>
      </c>
      <c r="C6519" t="s">
        <v>15</v>
      </c>
      <c r="D6519" t="s">
        <v>29</v>
      </c>
      <c r="E6519" t="s">
        <v>17</v>
      </c>
      <c r="F6519" t="s">
        <v>18</v>
      </c>
      <c r="G6519" t="s">
        <v>43</v>
      </c>
      <c r="H6519" t="s">
        <v>25</v>
      </c>
      <c r="I6519" s="1">
        <v>2</v>
      </c>
      <c r="J6519" s="2">
        <v>45815</v>
      </c>
      <c r="L6519" s="1" t="str">
        <f t="shared" si="725"/>
        <v>sáb</v>
      </c>
      <c r="M6519" s="1" t="str">
        <f t="shared" si="728"/>
        <v>jun</v>
      </c>
      <c r="N6519">
        <f t="shared" si="726"/>
        <v>2025</v>
      </c>
      <c r="P6519" t="str">
        <f t="shared" si="727"/>
        <v>188845815</v>
      </c>
    </row>
    <row r="6520" spans="1:16" x14ac:dyDescent="0.3">
      <c r="A6520">
        <v>1888</v>
      </c>
      <c r="B6520">
        <v>22</v>
      </c>
      <c r="C6520" t="s">
        <v>15</v>
      </c>
      <c r="D6520" t="s">
        <v>29</v>
      </c>
      <c r="E6520" t="s">
        <v>17</v>
      </c>
      <c r="F6520" t="s">
        <v>18</v>
      </c>
      <c r="G6520" t="s">
        <v>43</v>
      </c>
      <c r="H6520" t="s">
        <v>25</v>
      </c>
      <c r="I6520" s="1">
        <v>2</v>
      </c>
      <c r="J6520" s="2">
        <v>45816</v>
      </c>
      <c r="L6520" s="1" t="str">
        <f t="shared" si="725"/>
        <v>dom</v>
      </c>
      <c r="M6520" s="1" t="str">
        <f t="shared" si="728"/>
        <v>jun</v>
      </c>
      <c r="N6520">
        <f t="shared" si="726"/>
        <v>2025</v>
      </c>
      <c r="P6520" t="str">
        <f t="shared" si="727"/>
        <v>188845816</v>
      </c>
    </row>
    <row r="6521" spans="1:16" x14ac:dyDescent="0.3">
      <c r="A6521">
        <v>1888</v>
      </c>
      <c r="B6521">
        <v>22</v>
      </c>
      <c r="C6521" t="s">
        <v>15</v>
      </c>
      <c r="D6521" t="s">
        <v>29</v>
      </c>
      <c r="E6521" t="s">
        <v>17</v>
      </c>
      <c r="F6521" t="s">
        <v>18</v>
      </c>
      <c r="G6521" t="s">
        <v>43</v>
      </c>
      <c r="H6521" t="s">
        <v>25</v>
      </c>
      <c r="I6521" s="1">
        <v>2</v>
      </c>
      <c r="J6521" s="2">
        <v>45817</v>
      </c>
      <c r="L6521" s="1" t="str">
        <f t="shared" si="725"/>
        <v>seg</v>
      </c>
      <c r="M6521" s="1" t="str">
        <f t="shared" si="728"/>
        <v>jun</v>
      </c>
      <c r="N6521">
        <f t="shared" si="726"/>
        <v>2025</v>
      </c>
      <c r="P6521" t="str">
        <f t="shared" si="727"/>
        <v>188845817</v>
      </c>
    </row>
    <row r="6522" spans="1:16" x14ac:dyDescent="0.3">
      <c r="A6522">
        <v>1888</v>
      </c>
      <c r="B6522">
        <v>22</v>
      </c>
      <c r="C6522" t="s">
        <v>15</v>
      </c>
      <c r="D6522" t="s">
        <v>29</v>
      </c>
      <c r="E6522" t="s">
        <v>17</v>
      </c>
      <c r="F6522" t="s">
        <v>18</v>
      </c>
      <c r="G6522" t="s">
        <v>43</v>
      </c>
      <c r="H6522" t="s">
        <v>25</v>
      </c>
      <c r="I6522" s="1">
        <v>2</v>
      </c>
      <c r="J6522" s="2">
        <v>45818</v>
      </c>
      <c r="L6522" s="1" t="str">
        <f t="shared" si="725"/>
        <v>ter</v>
      </c>
      <c r="M6522" s="1" t="str">
        <f t="shared" si="728"/>
        <v>jun</v>
      </c>
      <c r="N6522">
        <f t="shared" si="726"/>
        <v>2025</v>
      </c>
      <c r="P6522" t="str">
        <f t="shared" si="727"/>
        <v>188845818</v>
      </c>
    </row>
    <row r="6523" spans="1:16" x14ac:dyDescent="0.3">
      <c r="A6523">
        <v>1888</v>
      </c>
      <c r="B6523">
        <v>22</v>
      </c>
      <c r="C6523" t="s">
        <v>15</v>
      </c>
      <c r="D6523" t="s">
        <v>29</v>
      </c>
      <c r="E6523" t="s">
        <v>17</v>
      </c>
      <c r="F6523" t="s">
        <v>18</v>
      </c>
      <c r="G6523" t="s">
        <v>43</v>
      </c>
      <c r="H6523" t="s">
        <v>25</v>
      </c>
      <c r="I6523" s="1">
        <v>2</v>
      </c>
      <c r="J6523" s="2">
        <v>45819</v>
      </c>
      <c r="L6523" s="1" t="str">
        <f t="shared" si="725"/>
        <v>qua</v>
      </c>
      <c r="M6523" s="1" t="str">
        <f t="shared" si="728"/>
        <v>jun</v>
      </c>
      <c r="N6523">
        <f t="shared" si="726"/>
        <v>2025</v>
      </c>
      <c r="P6523" t="str">
        <f t="shared" si="727"/>
        <v>188845819</v>
      </c>
    </row>
    <row r="6524" spans="1:16" x14ac:dyDescent="0.3">
      <c r="A6524">
        <v>1888</v>
      </c>
      <c r="B6524">
        <v>22</v>
      </c>
      <c r="C6524" t="s">
        <v>15</v>
      </c>
      <c r="D6524" t="s">
        <v>29</v>
      </c>
      <c r="E6524" t="s">
        <v>17</v>
      </c>
      <c r="F6524" t="s">
        <v>18</v>
      </c>
      <c r="G6524" t="s">
        <v>43</v>
      </c>
      <c r="H6524" t="s">
        <v>25</v>
      </c>
      <c r="I6524" s="1">
        <v>2</v>
      </c>
      <c r="J6524" s="2">
        <v>45820</v>
      </c>
      <c r="L6524" s="1" t="str">
        <f t="shared" ref="L6524:L6587" si="729">TEXT(J6524,"ddd")</f>
        <v>qui</v>
      </c>
      <c r="M6524" s="1" t="str">
        <f t="shared" si="728"/>
        <v>jun</v>
      </c>
      <c r="N6524">
        <f t="shared" ref="N6524:N6587" si="730">YEAR(J6524)</f>
        <v>2025</v>
      </c>
      <c r="P6524" t="str">
        <f t="shared" ref="P6524:P6587" si="731">CONCATENATE(A6524,J6524)</f>
        <v>188845820</v>
      </c>
    </row>
    <row r="6525" spans="1:16" x14ac:dyDescent="0.3">
      <c r="A6525">
        <v>1888</v>
      </c>
      <c r="B6525">
        <v>22</v>
      </c>
      <c r="C6525" t="s">
        <v>15</v>
      </c>
      <c r="D6525" t="s">
        <v>29</v>
      </c>
      <c r="E6525" t="s">
        <v>17</v>
      </c>
      <c r="F6525" t="s">
        <v>18</v>
      </c>
      <c r="G6525" t="s">
        <v>43</v>
      </c>
      <c r="H6525" t="s">
        <v>25</v>
      </c>
      <c r="I6525" s="1">
        <v>2</v>
      </c>
      <c r="J6525" s="2">
        <v>45821</v>
      </c>
      <c r="L6525" s="1" t="str">
        <f t="shared" si="729"/>
        <v>sex</v>
      </c>
      <c r="M6525" s="1" t="str">
        <f t="shared" si="728"/>
        <v>jun</v>
      </c>
      <c r="N6525">
        <f t="shared" si="730"/>
        <v>2025</v>
      </c>
      <c r="P6525" t="str">
        <f t="shared" si="731"/>
        <v>188845821</v>
      </c>
    </row>
    <row r="6526" spans="1:16" x14ac:dyDescent="0.3">
      <c r="A6526">
        <v>1888</v>
      </c>
      <c r="B6526">
        <v>22</v>
      </c>
      <c r="C6526" t="s">
        <v>15</v>
      </c>
      <c r="D6526" t="s">
        <v>29</v>
      </c>
      <c r="E6526" t="s">
        <v>17</v>
      </c>
      <c r="F6526" t="s">
        <v>18</v>
      </c>
      <c r="G6526" t="s">
        <v>43</v>
      </c>
      <c r="H6526" t="s">
        <v>25</v>
      </c>
      <c r="I6526" s="1">
        <v>2</v>
      </c>
      <c r="J6526" s="2">
        <v>45822</v>
      </c>
      <c r="L6526" s="1" t="str">
        <f t="shared" si="729"/>
        <v>sáb</v>
      </c>
      <c r="M6526" s="1" t="str">
        <f t="shared" si="728"/>
        <v>jun</v>
      </c>
      <c r="N6526">
        <f t="shared" si="730"/>
        <v>2025</v>
      </c>
      <c r="P6526" t="str">
        <f t="shared" si="731"/>
        <v>188845822</v>
      </c>
    </row>
    <row r="6527" spans="1:16" x14ac:dyDescent="0.3">
      <c r="A6527">
        <v>1888</v>
      </c>
      <c r="B6527">
        <v>22</v>
      </c>
      <c r="C6527" t="s">
        <v>15</v>
      </c>
      <c r="D6527" t="s">
        <v>29</v>
      </c>
      <c r="E6527" t="s">
        <v>17</v>
      </c>
      <c r="F6527" t="s">
        <v>18</v>
      </c>
      <c r="G6527" t="s">
        <v>43</v>
      </c>
      <c r="H6527" t="s">
        <v>25</v>
      </c>
      <c r="I6527" s="1">
        <v>2</v>
      </c>
      <c r="J6527" s="2">
        <v>45823</v>
      </c>
      <c r="L6527" s="1" t="str">
        <f t="shared" si="729"/>
        <v>dom</v>
      </c>
      <c r="M6527" s="1" t="str">
        <f t="shared" si="728"/>
        <v>jun</v>
      </c>
      <c r="N6527">
        <f t="shared" si="730"/>
        <v>2025</v>
      </c>
      <c r="P6527" t="str">
        <f t="shared" si="731"/>
        <v>188845823</v>
      </c>
    </row>
    <row r="6528" spans="1:16" x14ac:dyDescent="0.3">
      <c r="A6528">
        <v>1888</v>
      </c>
      <c r="B6528">
        <v>22</v>
      </c>
      <c r="C6528" t="s">
        <v>15</v>
      </c>
      <c r="D6528" t="s">
        <v>29</v>
      </c>
      <c r="E6528" t="s">
        <v>17</v>
      </c>
      <c r="F6528" t="s">
        <v>18</v>
      </c>
      <c r="G6528" t="s">
        <v>43</v>
      </c>
      <c r="H6528" t="s">
        <v>25</v>
      </c>
      <c r="I6528" s="1">
        <v>2</v>
      </c>
      <c r="J6528" s="2">
        <v>45824</v>
      </c>
      <c r="L6528" s="1" t="str">
        <f t="shared" si="729"/>
        <v>seg</v>
      </c>
      <c r="M6528" s="1" t="str">
        <f t="shared" si="728"/>
        <v>jun</v>
      </c>
      <c r="N6528">
        <f t="shared" si="730"/>
        <v>2025</v>
      </c>
      <c r="P6528" t="str">
        <f t="shared" si="731"/>
        <v>188845824</v>
      </c>
    </row>
    <row r="6529" spans="1:16" x14ac:dyDescent="0.3">
      <c r="A6529">
        <v>1888</v>
      </c>
      <c r="B6529">
        <v>22</v>
      </c>
      <c r="C6529" t="s">
        <v>15</v>
      </c>
      <c r="D6529" t="s">
        <v>29</v>
      </c>
      <c r="E6529" t="s">
        <v>17</v>
      </c>
      <c r="F6529" t="s">
        <v>18</v>
      </c>
      <c r="G6529" t="s">
        <v>43</v>
      </c>
      <c r="H6529" t="s">
        <v>25</v>
      </c>
      <c r="I6529" s="1">
        <v>2</v>
      </c>
      <c r="J6529" s="2">
        <v>45825</v>
      </c>
      <c r="L6529" s="1" t="str">
        <f t="shared" si="729"/>
        <v>ter</v>
      </c>
      <c r="M6529" s="1" t="str">
        <f t="shared" si="728"/>
        <v>jun</v>
      </c>
      <c r="N6529">
        <f t="shared" si="730"/>
        <v>2025</v>
      </c>
      <c r="P6529" t="str">
        <f t="shared" si="731"/>
        <v>188845825</v>
      </c>
    </row>
    <row r="6530" spans="1:16" x14ac:dyDescent="0.3">
      <c r="A6530">
        <v>1888</v>
      </c>
      <c r="B6530">
        <v>22</v>
      </c>
      <c r="C6530" t="s">
        <v>15</v>
      </c>
      <c r="D6530" t="s">
        <v>29</v>
      </c>
      <c r="E6530" t="s">
        <v>17</v>
      </c>
      <c r="F6530" t="s">
        <v>18</v>
      </c>
      <c r="G6530" t="s">
        <v>43</v>
      </c>
      <c r="H6530" t="s">
        <v>25</v>
      </c>
      <c r="I6530" s="1">
        <v>2</v>
      </c>
      <c r="J6530" s="2">
        <v>45826</v>
      </c>
      <c r="L6530" s="1" t="str">
        <f t="shared" si="729"/>
        <v>qua</v>
      </c>
      <c r="M6530" s="1" t="str">
        <f t="shared" si="728"/>
        <v>jun</v>
      </c>
      <c r="N6530">
        <f t="shared" si="730"/>
        <v>2025</v>
      </c>
      <c r="P6530" t="str">
        <f t="shared" si="731"/>
        <v>188845826</v>
      </c>
    </row>
    <row r="6531" spans="1:16" x14ac:dyDescent="0.3">
      <c r="A6531">
        <v>1888</v>
      </c>
      <c r="B6531">
        <v>22</v>
      </c>
      <c r="C6531" t="s">
        <v>15</v>
      </c>
      <c r="D6531" t="s">
        <v>29</v>
      </c>
      <c r="E6531" t="s">
        <v>17</v>
      </c>
      <c r="F6531" t="s">
        <v>18</v>
      </c>
      <c r="G6531" t="s">
        <v>43</v>
      </c>
      <c r="H6531" t="s">
        <v>25</v>
      </c>
      <c r="I6531" s="1">
        <v>2</v>
      </c>
      <c r="J6531" s="2">
        <v>45827</v>
      </c>
      <c r="L6531" s="1" t="str">
        <f t="shared" si="729"/>
        <v>qui</v>
      </c>
      <c r="M6531" s="1" t="str">
        <f t="shared" si="728"/>
        <v>jun</v>
      </c>
      <c r="N6531">
        <f t="shared" si="730"/>
        <v>2025</v>
      </c>
      <c r="P6531" t="str">
        <f t="shared" si="731"/>
        <v>188845827</v>
      </c>
    </row>
    <row r="6532" spans="1:16" x14ac:dyDescent="0.3">
      <c r="A6532">
        <v>1888</v>
      </c>
      <c r="B6532">
        <v>22</v>
      </c>
      <c r="C6532" t="s">
        <v>15</v>
      </c>
      <c r="D6532" t="s">
        <v>29</v>
      </c>
      <c r="E6532" t="s">
        <v>17</v>
      </c>
      <c r="F6532" t="s">
        <v>18</v>
      </c>
      <c r="G6532" t="s">
        <v>43</v>
      </c>
      <c r="H6532" t="s">
        <v>25</v>
      </c>
      <c r="I6532" s="1">
        <v>2</v>
      </c>
      <c r="J6532" s="2">
        <v>45828</v>
      </c>
      <c r="L6532" s="1" t="str">
        <f t="shared" si="729"/>
        <v>sex</v>
      </c>
      <c r="M6532" s="1" t="str">
        <f t="shared" si="728"/>
        <v>jun</v>
      </c>
      <c r="N6532">
        <f t="shared" si="730"/>
        <v>2025</v>
      </c>
      <c r="P6532" t="str">
        <f t="shared" si="731"/>
        <v>188845828</v>
      </c>
    </row>
    <row r="6533" spans="1:16" x14ac:dyDescent="0.3">
      <c r="A6533">
        <v>1888</v>
      </c>
      <c r="B6533">
        <v>22</v>
      </c>
      <c r="C6533" t="s">
        <v>15</v>
      </c>
      <c r="D6533" t="s">
        <v>29</v>
      </c>
      <c r="E6533" t="s">
        <v>17</v>
      </c>
      <c r="F6533" t="s">
        <v>18</v>
      </c>
      <c r="G6533" t="s">
        <v>43</v>
      </c>
      <c r="H6533" t="s">
        <v>25</v>
      </c>
      <c r="I6533" s="1">
        <v>2</v>
      </c>
      <c r="J6533" s="2">
        <v>45829</v>
      </c>
      <c r="L6533" s="1" t="str">
        <f t="shared" si="729"/>
        <v>sáb</v>
      </c>
      <c r="M6533" s="1" t="str">
        <f t="shared" si="728"/>
        <v>jun</v>
      </c>
      <c r="N6533">
        <f t="shared" si="730"/>
        <v>2025</v>
      </c>
      <c r="P6533" t="str">
        <f t="shared" si="731"/>
        <v>188845829</v>
      </c>
    </row>
    <row r="6534" spans="1:16" x14ac:dyDescent="0.3">
      <c r="A6534">
        <v>1888</v>
      </c>
      <c r="B6534">
        <v>22</v>
      </c>
      <c r="C6534" t="s">
        <v>15</v>
      </c>
      <c r="D6534" t="s">
        <v>29</v>
      </c>
      <c r="E6534" t="s">
        <v>17</v>
      </c>
      <c r="F6534" t="s">
        <v>18</v>
      </c>
      <c r="G6534" t="s">
        <v>43</v>
      </c>
      <c r="H6534" t="s">
        <v>25</v>
      </c>
      <c r="I6534" s="1">
        <v>2</v>
      </c>
      <c r="J6534" s="2">
        <v>45830</v>
      </c>
      <c r="L6534" s="1" t="str">
        <f t="shared" si="729"/>
        <v>dom</v>
      </c>
      <c r="M6534" s="1" t="str">
        <f t="shared" si="728"/>
        <v>jun</v>
      </c>
      <c r="N6534">
        <f t="shared" si="730"/>
        <v>2025</v>
      </c>
      <c r="P6534" t="str">
        <f t="shared" si="731"/>
        <v>188845830</v>
      </c>
    </row>
    <row r="6535" spans="1:16" x14ac:dyDescent="0.3">
      <c r="A6535">
        <v>1888</v>
      </c>
      <c r="B6535">
        <v>22</v>
      </c>
      <c r="C6535" t="s">
        <v>15</v>
      </c>
      <c r="D6535" t="s">
        <v>29</v>
      </c>
      <c r="E6535" t="s">
        <v>17</v>
      </c>
      <c r="F6535" t="s">
        <v>18</v>
      </c>
      <c r="G6535" t="s">
        <v>43</v>
      </c>
      <c r="H6535" t="s">
        <v>25</v>
      </c>
      <c r="I6535" s="1">
        <v>2</v>
      </c>
      <c r="J6535" s="2">
        <v>45831</v>
      </c>
      <c r="L6535" s="1" t="str">
        <f t="shared" si="729"/>
        <v>seg</v>
      </c>
      <c r="M6535" s="1" t="str">
        <f t="shared" si="728"/>
        <v>jun</v>
      </c>
      <c r="N6535">
        <f t="shared" si="730"/>
        <v>2025</v>
      </c>
      <c r="P6535" t="str">
        <f t="shared" si="731"/>
        <v>188845831</v>
      </c>
    </row>
    <row r="6536" spans="1:16" x14ac:dyDescent="0.3">
      <c r="A6536">
        <v>1888</v>
      </c>
      <c r="B6536">
        <v>22</v>
      </c>
      <c r="C6536" t="s">
        <v>15</v>
      </c>
      <c r="D6536" t="s">
        <v>29</v>
      </c>
      <c r="E6536" t="s">
        <v>17</v>
      </c>
      <c r="F6536" t="s">
        <v>18</v>
      </c>
      <c r="G6536" t="s">
        <v>43</v>
      </c>
      <c r="H6536" t="s">
        <v>25</v>
      </c>
      <c r="I6536" s="1">
        <v>2</v>
      </c>
      <c r="J6536" s="2">
        <v>45832</v>
      </c>
      <c r="L6536" s="1" t="str">
        <f t="shared" si="729"/>
        <v>ter</v>
      </c>
      <c r="M6536" s="1" t="str">
        <f t="shared" si="728"/>
        <v>jun</v>
      </c>
      <c r="N6536">
        <f t="shared" si="730"/>
        <v>2025</v>
      </c>
      <c r="P6536" t="str">
        <f t="shared" si="731"/>
        <v>188845832</v>
      </c>
    </row>
    <row r="6537" spans="1:16" x14ac:dyDescent="0.3">
      <c r="A6537">
        <v>1888</v>
      </c>
      <c r="B6537">
        <v>22</v>
      </c>
      <c r="C6537" t="s">
        <v>15</v>
      </c>
      <c r="D6537" t="s">
        <v>29</v>
      </c>
      <c r="E6537" t="s">
        <v>17</v>
      </c>
      <c r="F6537" t="s">
        <v>18</v>
      </c>
      <c r="G6537" t="s">
        <v>43</v>
      </c>
      <c r="H6537" t="s">
        <v>25</v>
      </c>
      <c r="I6537" s="1">
        <v>2</v>
      </c>
      <c r="J6537" s="2">
        <v>45833</v>
      </c>
      <c r="L6537" s="1" t="str">
        <f t="shared" si="729"/>
        <v>qua</v>
      </c>
      <c r="M6537" s="1" t="str">
        <f t="shared" si="728"/>
        <v>jun</v>
      </c>
      <c r="N6537">
        <f t="shared" si="730"/>
        <v>2025</v>
      </c>
      <c r="P6537" t="str">
        <f t="shared" si="731"/>
        <v>188845833</v>
      </c>
    </row>
    <row r="6538" spans="1:16" x14ac:dyDescent="0.3">
      <c r="A6538">
        <v>1888</v>
      </c>
      <c r="B6538">
        <v>22</v>
      </c>
      <c r="C6538" t="s">
        <v>15</v>
      </c>
      <c r="D6538" t="s">
        <v>29</v>
      </c>
      <c r="E6538" t="s">
        <v>17</v>
      </c>
      <c r="F6538" t="s">
        <v>18</v>
      </c>
      <c r="G6538" t="s">
        <v>43</v>
      </c>
      <c r="H6538" t="s">
        <v>25</v>
      </c>
      <c r="I6538" s="1">
        <v>2</v>
      </c>
      <c r="J6538" s="2">
        <v>45834</v>
      </c>
      <c r="L6538" s="1" t="str">
        <f t="shared" si="729"/>
        <v>qui</v>
      </c>
      <c r="M6538" s="1" t="str">
        <f t="shared" si="728"/>
        <v>jun</v>
      </c>
      <c r="N6538">
        <f t="shared" si="730"/>
        <v>2025</v>
      </c>
      <c r="P6538" t="str">
        <f t="shared" si="731"/>
        <v>188845834</v>
      </c>
    </row>
    <row r="6539" spans="1:16" x14ac:dyDescent="0.3">
      <c r="A6539">
        <v>1888</v>
      </c>
      <c r="B6539">
        <v>22</v>
      </c>
      <c r="C6539" t="s">
        <v>15</v>
      </c>
      <c r="D6539" t="s">
        <v>29</v>
      </c>
      <c r="E6539" t="s">
        <v>17</v>
      </c>
      <c r="F6539" t="s">
        <v>18</v>
      </c>
      <c r="G6539" t="s">
        <v>43</v>
      </c>
      <c r="H6539" t="s">
        <v>25</v>
      </c>
      <c r="I6539" s="1">
        <v>2</v>
      </c>
      <c r="J6539" s="2">
        <v>45835</v>
      </c>
      <c r="L6539" s="1" t="str">
        <f t="shared" si="729"/>
        <v>sex</v>
      </c>
      <c r="M6539" s="1" t="str">
        <f t="shared" si="728"/>
        <v>jun</v>
      </c>
      <c r="N6539">
        <f t="shared" si="730"/>
        <v>2025</v>
      </c>
      <c r="P6539" t="str">
        <f t="shared" si="731"/>
        <v>188845835</v>
      </c>
    </row>
    <row r="6540" spans="1:16" x14ac:dyDescent="0.3">
      <c r="A6540">
        <v>1888</v>
      </c>
      <c r="B6540">
        <v>22</v>
      </c>
      <c r="C6540" t="s">
        <v>15</v>
      </c>
      <c r="D6540" t="s">
        <v>29</v>
      </c>
      <c r="E6540" t="s">
        <v>17</v>
      </c>
      <c r="F6540" t="s">
        <v>18</v>
      </c>
      <c r="G6540" t="s">
        <v>43</v>
      </c>
      <c r="H6540" t="s">
        <v>25</v>
      </c>
      <c r="I6540" s="1">
        <v>2</v>
      </c>
      <c r="J6540" s="2">
        <v>45836</v>
      </c>
      <c r="L6540" s="1" t="str">
        <f t="shared" si="729"/>
        <v>sáb</v>
      </c>
      <c r="M6540" s="1" t="str">
        <f t="shared" si="728"/>
        <v>jun</v>
      </c>
      <c r="N6540">
        <f t="shared" si="730"/>
        <v>2025</v>
      </c>
      <c r="P6540" t="str">
        <f t="shared" si="731"/>
        <v>188845836</v>
      </c>
    </row>
    <row r="6541" spans="1:16" x14ac:dyDescent="0.3">
      <c r="A6541">
        <v>1888</v>
      </c>
      <c r="B6541">
        <v>22</v>
      </c>
      <c r="C6541" t="s">
        <v>15</v>
      </c>
      <c r="D6541" t="s">
        <v>29</v>
      </c>
      <c r="E6541" t="s">
        <v>17</v>
      </c>
      <c r="F6541" t="s">
        <v>18</v>
      </c>
      <c r="G6541" t="s">
        <v>43</v>
      </c>
      <c r="H6541" t="s">
        <v>25</v>
      </c>
      <c r="I6541" s="1">
        <v>2</v>
      </c>
      <c r="J6541" s="2">
        <v>45837</v>
      </c>
      <c r="L6541" s="1" t="str">
        <f t="shared" si="729"/>
        <v>dom</v>
      </c>
      <c r="M6541" s="1" t="str">
        <f t="shared" si="728"/>
        <v>jun</v>
      </c>
      <c r="N6541">
        <f t="shared" si="730"/>
        <v>2025</v>
      </c>
      <c r="P6541" t="str">
        <f t="shared" si="731"/>
        <v>188845837</v>
      </c>
    </row>
    <row r="6542" spans="1:16" x14ac:dyDescent="0.3">
      <c r="A6542">
        <v>1888</v>
      </c>
      <c r="B6542">
        <v>22</v>
      </c>
      <c r="C6542" t="s">
        <v>15</v>
      </c>
      <c r="D6542" t="s">
        <v>29</v>
      </c>
      <c r="E6542" t="s">
        <v>17</v>
      </c>
      <c r="F6542" t="s">
        <v>18</v>
      </c>
      <c r="G6542" t="s">
        <v>43</v>
      </c>
      <c r="H6542" t="s">
        <v>25</v>
      </c>
      <c r="I6542" s="1">
        <v>2</v>
      </c>
      <c r="J6542" s="2">
        <v>45838</v>
      </c>
      <c r="L6542" s="1" t="str">
        <f t="shared" si="729"/>
        <v>seg</v>
      </c>
      <c r="M6542" s="1" t="str">
        <f t="shared" si="728"/>
        <v>jun</v>
      </c>
      <c r="N6542">
        <f t="shared" si="730"/>
        <v>2025</v>
      </c>
      <c r="P6542" t="str">
        <f t="shared" si="731"/>
        <v>188845838</v>
      </c>
    </row>
    <row r="6543" spans="1:16" x14ac:dyDescent="0.3">
      <c r="A6543">
        <v>1888</v>
      </c>
      <c r="B6543">
        <v>22</v>
      </c>
      <c r="C6543" t="s">
        <v>15</v>
      </c>
      <c r="D6543" t="s">
        <v>29</v>
      </c>
      <c r="E6543" t="s">
        <v>17</v>
      </c>
      <c r="F6543" t="s">
        <v>18</v>
      </c>
      <c r="G6543" t="s">
        <v>43</v>
      </c>
      <c r="H6543" t="s">
        <v>25</v>
      </c>
      <c r="I6543" s="1">
        <v>2</v>
      </c>
      <c r="J6543" s="2">
        <v>45839</v>
      </c>
      <c r="L6543" s="1" t="str">
        <f t="shared" si="729"/>
        <v>ter</v>
      </c>
      <c r="M6543" s="1" t="str">
        <f t="shared" si="728"/>
        <v>jul</v>
      </c>
      <c r="N6543">
        <f t="shared" si="730"/>
        <v>2025</v>
      </c>
      <c r="P6543" t="str">
        <f t="shared" si="731"/>
        <v>188845839</v>
      </c>
    </row>
    <row r="6544" spans="1:16" x14ac:dyDescent="0.3">
      <c r="A6544">
        <v>1888</v>
      </c>
      <c r="B6544">
        <v>22</v>
      </c>
      <c r="C6544" t="s">
        <v>15</v>
      </c>
      <c r="D6544" t="s">
        <v>29</v>
      </c>
      <c r="E6544" t="s">
        <v>17</v>
      </c>
      <c r="F6544" t="s">
        <v>18</v>
      </c>
      <c r="G6544" t="s">
        <v>43</v>
      </c>
      <c r="H6544" t="s">
        <v>25</v>
      </c>
      <c r="I6544" s="1">
        <v>2</v>
      </c>
      <c r="J6544" s="2">
        <v>45840</v>
      </c>
      <c r="L6544" s="1" t="str">
        <f t="shared" si="729"/>
        <v>qua</v>
      </c>
      <c r="M6544" s="1" t="str">
        <f t="shared" si="728"/>
        <v>jul</v>
      </c>
      <c r="N6544">
        <f t="shared" si="730"/>
        <v>2025</v>
      </c>
      <c r="P6544" t="str">
        <f t="shared" si="731"/>
        <v>188845840</v>
      </c>
    </row>
    <row r="6545" spans="1:16" x14ac:dyDescent="0.3">
      <c r="A6545">
        <v>1888</v>
      </c>
      <c r="B6545">
        <v>22</v>
      </c>
      <c r="C6545" t="s">
        <v>15</v>
      </c>
      <c r="D6545" t="s">
        <v>29</v>
      </c>
      <c r="E6545" t="s">
        <v>17</v>
      </c>
      <c r="F6545" t="s">
        <v>18</v>
      </c>
      <c r="G6545" t="s">
        <v>43</v>
      </c>
      <c r="H6545" t="s">
        <v>25</v>
      </c>
      <c r="I6545" s="1">
        <v>2</v>
      </c>
      <c r="J6545" s="2">
        <v>45841</v>
      </c>
      <c r="L6545" s="1" t="str">
        <f t="shared" si="729"/>
        <v>qui</v>
      </c>
      <c r="M6545" s="1" t="str">
        <f t="shared" si="728"/>
        <v>jul</v>
      </c>
      <c r="N6545">
        <f t="shared" si="730"/>
        <v>2025</v>
      </c>
      <c r="P6545" t="str">
        <f t="shared" si="731"/>
        <v>188845841</v>
      </c>
    </row>
    <row r="6546" spans="1:16" x14ac:dyDescent="0.3">
      <c r="A6546">
        <v>1888</v>
      </c>
      <c r="B6546">
        <v>22</v>
      </c>
      <c r="C6546" t="s">
        <v>15</v>
      </c>
      <c r="D6546" t="s">
        <v>29</v>
      </c>
      <c r="E6546" t="s">
        <v>17</v>
      </c>
      <c r="F6546" t="s">
        <v>18</v>
      </c>
      <c r="G6546" t="s">
        <v>43</v>
      </c>
      <c r="H6546" t="s">
        <v>25</v>
      </c>
      <c r="I6546" s="1">
        <v>2</v>
      </c>
      <c r="J6546" s="2">
        <v>45842</v>
      </c>
      <c r="L6546" s="1" t="str">
        <f t="shared" si="729"/>
        <v>sex</v>
      </c>
      <c r="M6546" s="1" t="str">
        <f t="shared" si="728"/>
        <v>jul</v>
      </c>
      <c r="N6546">
        <f t="shared" si="730"/>
        <v>2025</v>
      </c>
      <c r="P6546" t="str">
        <f t="shared" si="731"/>
        <v>188845842</v>
      </c>
    </row>
    <row r="6547" spans="1:16" x14ac:dyDescent="0.3">
      <c r="A6547">
        <v>1888</v>
      </c>
      <c r="B6547">
        <v>22</v>
      </c>
      <c r="C6547" t="s">
        <v>15</v>
      </c>
      <c r="D6547" t="s">
        <v>29</v>
      </c>
      <c r="E6547" t="s">
        <v>17</v>
      </c>
      <c r="F6547" t="s">
        <v>18</v>
      </c>
      <c r="G6547" t="s">
        <v>43</v>
      </c>
      <c r="H6547" t="s">
        <v>25</v>
      </c>
      <c r="I6547" s="1">
        <v>2</v>
      </c>
      <c r="J6547" s="2">
        <v>45843</v>
      </c>
      <c r="L6547" s="1" t="str">
        <f t="shared" si="729"/>
        <v>sáb</v>
      </c>
      <c r="M6547" s="1" t="str">
        <f t="shared" si="728"/>
        <v>jul</v>
      </c>
      <c r="N6547">
        <f t="shared" si="730"/>
        <v>2025</v>
      </c>
      <c r="P6547" t="str">
        <f t="shared" si="731"/>
        <v>188845843</v>
      </c>
    </row>
    <row r="6548" spans="1:16" x14ac:dyDescent="0.3">
      <c r="A6548">
        <v>1888</v>
      </c>
      <c r="B6548">
        <v>22</v>
      </c>
      <c r="C6548" t="s">
        <v>15</v>
      </c>
      <c r="D6548" t="s">
        <v>29</v>
      </c>
      <c r="E6548" t="s">
        <v>17</v>
      </c>
      <c r="F6548" t="s">
        <v>18</v>
      </c>
      <c r="G6548" t="s">
        <v>43</v>
      </c>
      <c r="H6548" t="s">
        <v>25</v>
      </c>
      <c r="I6548" s="1">
        <v>2</v>
      </c>
      <c r="J6548" s="2">
        <v>45844</v>
      </c>
      <c r="L6548" s="1" t="str">
        <f t="shared" si="729"/>
        <v>dom</v>
      </c>
      <c r="M6548" s="1" t="str">
        <f t="shared" si="728"/>
        <v>jul</v>
      </c>
      <c r="N6548">
        <f t="shared" si="730"/>
        <v>2025</v>
      </c>
      <c r="P6548" t="str">
        <f t="shared" si="731"/>
        <v>188845844</v>
      </c>
    </row>
    <row r="6549" spans="1:16" x14ac:dyDescent="0.3">
      <c r="A6549">
        <v>1888</v>
      </c>
      <c r="B6549">
        <v>22</v>
      </c>
      <c r="C6549" t="s">
        <v>15</v>
      </c>
      <c r="D6549" t="s">
        <v>29</v>
      </c>
      <c r="E6549" t="s">
        <v>17</v>
      </c>
      <c r="F6549" t="s">
        <v>18</v>
      </c>
      <c r="G6549" t="s">
        <v>43</v>
      </c>
      <c r="H6549" t="s">
        <v>25</v>
      </c>
      <c r="I6549" s="1">
        <v>2</v>
      </c>
      <c r="J6549" s="2">
        <v>45845</v>
      </c>
      <c r="L6549" s="1" t="str">
        <f t="shared" si="729"/>
        <v>seg</v>
      </c>
      <c r="M6549" s="1" t="str">
        <f t="shared" si="728"/>
        <v>jul</v>
      </c>
      <c r="N6549">
        <f t="shared" si="730"/>
        <v>2025</v>
      </c>
      <c r="P6549" t="str">
        <f t="shared" si="731"/>
        <v>188845845</v>
      </c>
    </row>
    <row r="6550" spans="1:16" x14ac:dyDescent="0.3">
      <c r="A6550">
        <v>1888</v>
      </c>
      <c r="B6550">
        <v>22</v>
      </c>
      <c r="C6550" t="s">
        <v>15</v>
      </c>
      <c r="D6550" t="s">
        <v>29</v>
      </c>
      <c r="E6550" t="s">
        <v>17</v>
      </c>
      <c r="F6550" t="s">
        <v>18</v>
      </c>
      <c r="G6550" t="s">
        <v>43</v>
      </c>
      <c r="H6550" t="s">
        <v>25</v>
      </c>
      <c r="I6550" s="1">
        <v>2</v>
      </c>
      <c r="J6550" s="2">
        <v>45846</v>
      </c>
      <c r="L6550" s="1" t="str">
        <f t="shared" si="729"/>
        <v>ter</v>
      </c>
      <c r="M6550" s="1" t="str">
        <f t="shared" si="728"/>
        <v>jul</v>
      </c>
      <c r="N6550">
        <f t="shared" si="730"/>
        <v>2025</v>
      </c>
      <c r="P6550" t="str">
        <f t="shared" si="731"/>
        <v>188845846</v>
      </c>
    </row>
    <row r="6551" spans="1:16" x14ac:dyDescent="0.3">
      <c r="A6551">
        <v>1888</v>
      </c>
      <c r="B6551">
        <v>22</v>
      </c>
      <c r="C6551" t="s">
        <v>15</v>
      </c>
      <c r="D6551" t="s">
        <v>29</v>
      </c>
      <c r="E6551" t="s">
        <v>17</v>
      </c>
      <c r="F6551" t="s">
        <v>18</v>
      </c>
      <c r="G6551" t="s">
        <v>43</v>
      </c>
      <c r="H6551" t="s">
        <v>25</v>
      </c>
      <c r="I6551" s="1">
        <v>2</v>
      </c>
      <c r="J6551" s="2">
        <v>45847</v>
      </c>
      <c r="L6551" s="1" t="str">
        <f t="shared" si="729"/>
        <v>qua</v>
      </c>
      <c r="M6551" s="1" t="str">
        <f t="shared" si="728"/>
        <v>jul</v>
      </c>
      <c r="N6551">
        <f t="shared" si="730"/>
        <v>2025</v>
      </c>
      <c r="P6551" t="str">
        <f t="shared" si="731"/>
        <v>188845847</v>
      </c>
    </row>
    <row r="6552" spans="1:16" x14ac:dyDescent="0.3">
      <c r="A6552">
        <v>1888</v>
      </c>
      <c r="B6552">
        <v>22</v>
      </c>
      <c r="C6552" t="s">
        <v>15</v>
      </c>
      <c r="D6552" t="s">
        <v>29</v>
      </c>
      <c r="E6552" t="s">
        <v>17</v>
      </c>
      <c r="F6552" t="s">
        <v>18</v>
      </c>
      <c r="G6552" t="s">
        <v>43</v>
      </c>
      <c r="H6552" t="s">
        <v>25</v>
      </c>
      <c r="I6552" s="1">
        <v>2</v>
      </c>
      <c r="J6552" s="2">
        <v>45848</v>
      </c>
      <c r="L6552" s="1" t="str">
        <f t="shared" si="729"/>
        <v>qui</v>
      </c>
      <c r="M6552" s="1" t="str">
        <f t="shared" si="728"/>
        <v>jul</v>
      </c>
      <c r="N6552">
        <f t="shared" si="730"/>
        <v>2025</v>
      </c>
      <c r="P6552" t="str">
        <f t="shared" si="731"/>
        <v>188845848</v>
      </c>
    </row>
    <row r="6553" spans="1:16" x14ac:dyDescent="0.3">
      <c r="A6553">
        <v>1888</v>
      </c>
      <c r="B6553">
        <v>22</v>
      </c>
      <c r="C6553" t="s">
        <v>15</v>
      </c>
      <c r="D6553" t="s">
        <v>29</v>
      </c>
      <c r="E6553" t="s">
        <v>17</v>
      </c>
      <c r="F6553" t="s">
        <v>18</v>
      </c>
      <c r="G6553" t="s">
        <v>43</v>
      </c>
      <c r="H6553" t="s">
        <v>25</v>
      </c>
      <c r="I6553" s="1">
        <v>2</v>
      </c>
      <c r="J6553" s="2">
        <v>45849</v>
      </c>
      <c r="L6553" s="1" t="str">
        <f t="shared" si="729"/>
        <v>sex</v>
      </c>
      <c r="M6553" s="1" t="str">
        <f t="shared" si="728"/>
        <v>jul</v>
      </c>
      <c r="N6553">
        <f t="shared" si="730"/>
        <v>2025</v>
      </c>
      <c r="P6553" t="str">
        <f t="shared" si="731"/>
        <v>188845849</v>
      </c>
    </row>
    <row r="6554" spans="1:16" x14ac:dyDescent="0.3">
      <c r="A6554">
        <v>1888</v>
      </c>
      <c r="B6554">
        <v>22</v>
      </c>
      <c r="C6554" t="s">
        <v>15</v>
      </c>
      <c r="D6554" t="s">
        <v>29</v>
      </c>
      <c r="E6554" t="s">
        <v>17</v>
      </c>
      <c r="F6554" t="s">
        <v>18</v>
      </c>
      <c r="G6554" t="s">
        <v>43</v>
      </c>
      <c r="H6554" t="s">
        <v>25</v>
      </c>
      <c r="I6554" s="1">
        <v>2</v>
      </c>
      <c r="J6554" s="2">
        <v>45850</v>
      </c>
      <c r="L6554" s="1" t="str">
        <f t="shared" si="729"/>
        <v>sáb</v>
      </c>
      <c r="M6554" s="1" t="str">
        <f t="shared" si="728"/>
        <v>jul</v>
      </c>
      <c r="N6554">
        <f t="shared" si="730"/>
        <v>2025</v>
      </c>
      <c r="P6554" t="str">
        <f t="shared" si="731"/>
        <v>188845850</v>
      </c>
    </row>
    <row r="6555" spans="1:16" x14ac:dyDescent="0.3">
      <c r="A6555">
        <v>1888</v>
      </c>
      <c r="B6555">
        <v>22</v>
      </c>
      <c r="C6555" t="s">
        <v>15</v>
      </c>
      <c r="D6555" t="s">
        <v>29</v>
      </c>
      <c r="E6555" t="s">
        <v>17</v>
      </c>
      <c r="F6555" t="s">
        <v>18</v>
      </c>
      <c r="G6555" t="s">
        <v>43</v>
      </c>
      <c r="H6555" t="s">
        <v>25</v>
      </c>
      <c r="I6555" s="1">
        <v>2</v>
      </c>
      <c r="J6555" s="2">
        <v>45851</v>
      </c>
      <c r="L6555" s="1" t="str">
        <f t="shared" si="729"/>
        <v>dom</v>
      </c>
      <c r="M6555" s="1" t="str">
        <f t="shared" si="728"/>
        <v>jul</v>
      </c>
      <c r="N6555">
        <f t="shared" si="730"/>
        <v>2025</v>
      </c>
      <c r="P6555" t="str">
        <f t="shared" si="731"/>
        <v>188845851</v>
      </c>
    </row>
    <row r="6556" spans="1:16" x14ac:dyDescent="0.3">
      <c r="A6556">
        <v>1888</v>
      </c>
      <c r="B6556">
        <v>22</v>
      </c>
      <c r="C6556" t="s">
        <v>15</v>
      </c>
      <c r="D6556" t="s">
        <v>29</v>
      </c>
      <c r="E6556" t="s">
        <v>17</v>
      </c>
      <c r="F6556" t="s">
        <v>18</v>
      </c>
      <c r="G6556" t="s">
        <v>43</v>
      </c>
      <c r="H6556" t="s">
        <v>25</v>
      </c>
      <c r="I6556" s="1">
        <v>2</v>
      </c>
      <c r="J6556" s="2">
        <v>45852</v>
      </c>
      <c r="L6556" s="1" t="str">
        <f t="shared" si="729"/>
        <v>seg</v>
      </c>
      <c r="M6556" s="1" t="str">
        <f t="shared" si="728"/>
        <v>jul</v>
      </c>
      <c r="N6556">
        <f t="shared" si="730"/>
        <v>2025</v>
      </c>
      <c r="P6556" t="str">
        <f t="shared" si="731"/>
        <v>188845852</v>
      </c>
    </row>
    <row r="6557" spans="1:16" x14ac:dyDescent="0.3">
      <c r="A6557">
        <v>1888</v>
      </c>
      <c r="B6557">
        <v>22</v>
      </c>
      <c r="C6557" t="s">
        <v>15</v>
      </c>
      <c r="D6557" t="s">
        <v>29</v>
      </c>
      <c r="E6557" t="s">
        <v>17</v>
      </c>
      <c r="F6557" t="s">
        <v>18</v>
      </c>
      <c r="G6557" t="s">
        <v>43</v>
      </c>
      <c r="H6557" t="s">
        <v>25</v>
      </c>
      <c r="I6557" s="1">
        <v>2</v>
      </c>
      <c r="J6557" s="2">
        <v>45853</v>
      </c>
      <c r="L6557" s="1" t="str">
        <f t="shared" si="729"/>
        <v>ter</v>
      </c>
      <c r="M6557" s="1" t="str">
        <f t="shared" si="728"/>
        <v>jul</v>
      </c>
      <c r="N6557">
        <f t="shared" si="730"/>
        <v>2025</v>
      </c>
      <c r="P6557" t="str">
        <f t="shared" si="731"/>
        <v>188845853</v>
      </c>
    </row>
    <row r="6558" spans="1:16" x14ac:dyDescent="0.3">
      <c r="A6558">
        <v>1888</v>
      </c>
      <c r="B6558">
        <v>22</v>
      </c>
      <c r="C6558" t="s">
        <v>15</v>
      </c>
      <c r="D6558" t="s">
        <v>29</v>
      </c>
      <c r="E6558" t="s">
        <v>17</v>
      </c>
      <c r="F6558" t="s">
        <v>18</v>
      </c>
      <c r="G6558" t="s">
        <v>43</v>
      </c>
      <c r="H6558" t="s">
        <v>25</v>
      </c>
      <c r="I6558" s="1">
        <v>2</v>
      </c>
      <c r="J6558" s="2">
        <v>45854</v>
      </c>
      <c r="L6558" s="1" t="str">
        <f t="shared" si="729"/>
        <v>qua</v>
      </c>
      <c r="M6558" s="1" t="str">
        <f t="shared" si="728"/>
        <v>jul</v>
      </c>
      <c r="N6558">
        <f t="shared" si="730"/>
        <v>2025</v>
      </c>
      <c r="P6558" t="str">
        <f t="shared" si="731"/>
        <v>188845854</v>
      </c>
    </row>
    <row r="6559" spans="1:16" x14ac:dyDescent="0.3">
      <c r="A6559">
        <v>1888</v>
      </c>
      <c r="B6559">
        <v>22</v>
      </c>
      <c r="C6559" t="s">
        <v>15</v>
      </c>
      <c r="D6559" t="s">
        <v>29</v>
      </c>
      <c r="E6559" t="s">
        <v>17</v>
      </c>
      <c r="F6559" t="s">
        <v>18</v>
      </c>
      <c r="G6559" t="s">
        <v>43</v>
      </c>
      <c r="H6559" t="s">
        <v>25</v>
      </c>
      <c r="I6559" s="1">
        <v>2</v>
      </c>
      <c r="J6559" s="2">
        <v>45855</v>
      </c>
      <c r="L6559" s="1" t="str">
        <f t="shared" si="729"/>
        <v>qui</v>
      </c>
      <c r="M6559" s="1" t="str">
        <f t="shared" si="728"/>
        <v>jul</v>
      </c>
      <c r="N6559">
        <f t="shared" si="730"/>
        <v>2025</v>
      </c>
      <c r="P6559" t="str">
        <f t="shared" si="731"/>
        <v>188845855</v>
      </c>
    </row>
    <row r="6560" spans="1:16" x14ac:dyDescent="0.3">
      <c r="A6560">
        <v>1888</v>
      </c>
      <c r="B6560">
        <v>22</v>
      </c>
      <c r="C6560" t="s">
        <v>15</v>
      </c>
      <c r="D6560" t="s">
        <v>29</v>
      </c>
      <c r="E6560" t="s">
        <v>17</v>
      </c>
      <c r="F6560" t="s">
        <v>18</v>
      </c>
      <c r="G6560" t="s">
        <v>43</v>
      </c>
      <c r="H6560" t="s">
        <v>25</v>
      </c>
      <c r="I6560" s="1">
        <v>2</v>
      </c>
      <c r="J6560" s="2">
        <v>45856</v>
      </c>
      <c r="L6560" s="1" t="str">
        <f t="shared" si="729"/>
        <v>sex</v>
      </c>
      <c r="M6560" s="1" t="str">
        <f t="shared" si="728"/>
        <v>jul</v>
      </c>
      <c r="N6560">
        <f t="shared" si="730"/>
        <v>2025</v>
      </c>
      <c r="P6560" t="str">
        <f t="shared" si="731"/>
        <v>188845856</v>
      </c>
    </row>
    <row r="6561" spans="1:16" x14ac:dyDescent="0.3">
      <c r="A6561">
        <v>1888</v>
      </c>
      <c r="B6561">
        <v>22</v>
      </c>
      <c r="C6561" t="s">
        <v>15</v>
      </c>
      <c r="D6561" t="s">
        <v>29</v>
      </c>
      <c r="E6561" t="s">
        <v>17</v>
      </c>
      <c r="F6561" t="s">
        <v>18</v>
      </c>
      <c r="G6561" t="s">
        <v>43</v>
      </c>
      <c r="H6561" t="s">
        <v>25</v>
      </c>
      <c r="I6561" s="1">
        <v>2</v>
      </c>
      <c r="J6561" s="2">
        <v>45857</v>
      </c>
      <c r="L6561" s="1" t="str">
        <f t="shared" si="729"/>
        <v>sáb</v>
      </c>
      <c r="M6561" s="1" t="str">
        <f t="shared" si="728"/>
        <v>jul</v>
      </c>
      <c r="N6561">
        <f t="shared" si="730"/>
        <v>2025</v>
      </c>
      <c r="P6561" t="str">
        <f t="shared" si="731"/>
        <v>188845857</v>
      </c>
    </row>
    <row r="6562" spans="1:16" x14ac:dyDescent="0.3">
      <c r="A6562">
        <v>1888</v>
      </c>
      <c r="B6562">
        <v>22</v>
      </c>
      <c r="C6562" t="s">
        <v>15</v>
      </c>
      <c r="D6562" t="s">
        <v>29</v>
      </c>
      <c r="E6562" t="s">
        <v>17</v>
      </c>
      <c r="F6562" t="s">
        <v>18</v>
      </c>
      <c r="G6562" t="s">
        <v>43</v>
      </c>
      <c r="H6562" t="s">
        <v>25</v>
      </c>
      <c r="I6562" s="1">
        <v>2</v>
      </c>
      <c r="J6562" s="2">
        <v>45858</v>
      </c>
      <c r="L6562" s="1" t="str">
        <f t="shared" si="729"/>
        <v>dom</v>
      </c>
      <c r="M6562" s="1" t="str">
        <f t="shared" si="728"/>
        <v>jul</v>
      </c>
      <c r="N6562">
        <f t="shared" si="730"/>
        <v>2025</v>
      </c>
      <c r="P6562" t="str">
        <f t="shared" si="731"/>
        <v>188845858</v>
      </c>
    </row>
    <row r="6563" spans="1:16" x14ac:dyDescent="0.3">
      <c r="A6563">
        <v>1888</v>
      </c>
      <c r="B6563">
        <v>22</v>
      </c>
      <c r="C6563" t="s">
        <v>15</v>
      </c>
      <c r="D6563" t="s">
        <v>29</v>
      </c>
      <c r="E6563" t="s">
        <v>17</v>
      </c>
      <c r="F6563" t="s">
        <v>18</v>
      </c>
      <c r="G6563" t="s">
        <v>43</v>
      </c>
      <c r="H6563" t="s">
        <v>25</v>
      </c>
      <c r="I6563" s="1">
        <v>2</v>
      </c>
      <c r="J6563" s="2">
        <v>45859</v>
      </c>
      <c r="L6563" s="1" t="str">
        <f t="shared" si="729"/>
        <v>seg</v>
      </c>
      <c r="M6563" s="1" t="str">
        <f t="shared" si="728"/>
        <v>jul</v>
      </c>
      <c r="N6563">
        <f t="shared" si="730"/>
        <v>2025</v>
      </c>
      <c r="P6563" t="str">
        <f t="shared" si="731"/>
        <v>188845859</v>
      </c>
    </row>
    <row r="6564" spans="1:16" x14ac:dyDescent="0.3">
      <c r="A6564">
        <v>1888</v>
      </c>
      <c r="B6564">
        <v>22</v>
      </c>
      <c r="C6564" t="s">
        <v>15</v>
      </c>
      <c r="D6564" t="s">
        <v>29</v>
      </c>
      <c r="E6564" t="s">
        <v>17</v>
      </c>
      <c r="F6564" t="s">
        <v>18</v>
      </c>
      <c r="G6564" t="s">
        <v>43</v>
      </c>
      <c r="H6564" t="s">
        <v>25</v>
      </c>
      <c r="I6564" s="1">
        <v>2</v>
      </c>
      <c r="J6564" s="2">
        <v>45860</v>
      </c>
      <c r="L6564" s="1" t="str">
        <f t="shared" si="729"/>
        <v>ter</v>
      </c>
      <c r="M6564" s="1" t="str">
        <f t="shared" si="728"/>
        <v>jul</v>
      </c>
      <c r="N6564">
        <f t="shared" si="730"/>
        <v>2025</v>
      </c>
      <c r="P6564" t="str">
        <f t="shared" si="731"/>
        <v>188845860</v>
      </c>
    </row>
    <row r="6565" spans="1:16" x14ac:dyDescent="0.3">
      <c r="A6565">
        <v>1888</v>
      </c>
      <c r="B6565">
        <v>22</v>
      </c>
      <c r="C6565" t="s">
        <v>15</v>
      </c>
      <c r="D6565" t="s">
        <v>29</v>
      </c>
      <c r="E6565" t="s">
        <v>17</v>
      </c>
      <c r="F6565" t="s">
        <v>18</v>
      </c>
      <c r="G6565" t="s">
        <v>43</v>
      </c>
      <c r="H6565" t="s">
        <v>25</v>
      </c>
      <c r="I6565" s="1">
        <v>2</v>
      </c>
      <c r="J6565" s="2">
        <v>45861</v>
      </c>
      <c r="L6565" s="1" t="str">
        <f t="shared" si="729"/>
        <v>qua</v>
      </c>
      <c r="M6565" s="1" t="str">
        <f t="shared" si="728"/>
        <v>jul</v>
      </c>
      <c r="N6565">
        <f t="shared" si="730"/>
        <v>2025</v>
      </c>
      <c r="P6565" t="str">
        <f t="shared" si="731"/>
        <v>188845861</v>
      </c>
    </row>
    <row r="6566" spans="1:16" x14ac:dyDescent="0.3">
      <c r="A6566">
        <v>1888</v>
      </c>
      <c r="B6566">
        <v>22</v>
      </c>
      <c r="C6566" t="s">
        <v>15</v>
      </c>
      <c r="D6566" t="s">
        <v>29</v>
      </c>
      <c r="E6566" t="s">
        <v>17</v>
      </c>
      <c r="F6566" t="s">
        <v>18</v>
      </c>
      <c r="G6566" t="s">
        <v>43</v>
      </c>
      <c r="H6566" t="s">
        <v>25</v>
      </c>
      <c r="I6566" s="1">
        <v>2</v>
      </c>
      <c r="J6566" s="2">
        <v>45862</v>
      </c>
      <c r="L6566" s="1" t="str">
        <f t="shared" si="729"/>
        <v>qui</v>
      </c>
      <c r="M6566" s="1" t="str">
        <f t="shared" si="728"/>
        <v>jul</v>
      </c>
      <c r="N6566">
        <f t="shared" si="730"/>
        <v>2025</v>
      </c>
      <c r="P6566" t="str">
        <f t="shared" si="731"/>
        <v>188845862</v>
      </c>
    </row>
    <row r="6567" spans="1:16" x14ac:dyDescent="0.3">
      <c r="A6567">
        <v>1888</v>
      </c>
      <c r="B6567">
        <v>22</v>
      </c>
      <c r="C6567" t="s">
        <v>15</v>
      </c>
      <c r="D6567" t="s">
        <v>29</v>
      </c>
      <c r="E6567" t="s">
        <v>17</v>
      </c>
      <c r="F6567" t="s">
        <v>18</v>
      </c>
      <c r="G6567" t="s">
        <v>43</v>
      </c>
      <c r="H6567" t="s">
        <v>25</v>
      </c>
      <c r="I6567" s="1">
        <v>2</v>
      </c>
      <c r="J6567" s="2">
        <v>45863</v>
      </c>
      <c r="L6567" s="1" t="str">
        <f t="shared" si="729"/>
        <v>sex</v>
      </c>
      <c r="M6567" s="1" t="str">
        <f t="shared" si="728"/>
        <v>jul</v>
      </c>
      <c r="N6567">
        <f t="shared" si="730"/>
        <v>2025</v>
      </c>
      <c r="P6567" t="str">
        <f t="shared" si="731"/>
        <v>188845863</v>
      </c>
    </row>
    <row r="6568" spans="1:16" x14ac:dyDescent="0.3">
      <c r="A6568">
        <v>1888</v>
      </c>
      <c r="B6568">
        <v>22</v>
      </c>
      <c r="C6568" t="s">
        <v>15</v>
      </c>
      <c r="D6568" t="s">
        <v>29</v>
      </c>
      <c r="E6568" t="s">
        <v>17</v>
      </c>
      <c r="F6568" t="s">
        <v>18</v>
      </c>
      <c r="G6568" t="s">
        <v>43</v>
      </c>
      <c r="H6568" t="s">
        <v>25</v>
      </c>
      <c r="I6568" s="1">
        <v>2</v>
      </c>
      <c r="J6568" s="2">
        <v>45864</v>
      </c>
      <c r="L6568" s="1" t="str">
        <f t="shared" si="729"/>
        <v>sáb</v>
      </c>
      <c r="M6568" s="1" t="str">
        <f t="shared" si="728"/>
        <v>jul</v>
      </c>
      <c r="N6568">
        <f t="shared" si="730"/>
        <v>2025</v>
      </c>
      <c r="P6568" t="str">
        <f t="shared" si="731"/>
        <v>188845864</v>
      </c>
    </row>
    <row r="6569" spans="1:16" x14ac:dyDescent="0.3">
      <c r="A6569">
        <v>1888</v>
      </c>
      <c r="B6569">
        <v>22</v>
      </c>
      <c r="C6569" t="s">
        <v>15</v>
      </c>
      <c r="D6569" t="s">
        <v>29</v>
      </c>
      <c r="E6569" t="s">
        <v>17</v>
      </c>
      <c r="F6569" t="s">
        <v>18</v>
      </c>
      <c r="G6569" t="s">
        <v>43</v>
      </c>
      <c r="H6569" t="s">
        <v>25</v>
      </c>
      <c r="I6569" s="1">
        <v>2</v>
      </c>
      <c r="J6569" s="2">
        <v>45865</v>
      </c>
      <c r="L6569" s="1" t="str">
        <f t="shared" si="729"/>
        <v>dom</v>
      </c>
      <c r="M6569" s="1" t="str">
        <f t="shared" si="728"/>
        <v>jul</v>
      </c>
      <c r="N6569">
        <f t="shared" si="730"/>
        <v>2025</v>
      </c>
      <c r="P6569" t="str">
        <f t="shared" si="731"/>
        <v>188845865</v>
      </c>
    </row>
    <row r="6570" spans="1:16" x14ac:dyDescent="0.3">
      <c r="A6570">
        <v>1888</v>
      </c>
      <c r="B6570">
        <v>22</v>
      </c>
      <c r="C6570" t="s">
        <v>15</v>
      </c>
      <c r="D6570" t="s">
        <v>29</v>
      </c>
      <c r="E6570" t="s">
        <v>17</v>
      </c>
      <c r="F6570" t="s">
        <v>18</v>
      </c>
      <c r="G6570" t="s">
        <v>43</v>
      </c>
      <c r="H6570" t="s">
        <v>25</v>
      </c>
      <c r="I6570" s="1">
        <v>2</v>
      </c>
      <c r="J6570" s="2">
        <v>45866</v>
      </c>
      <c r="L6570" s="1" t="str">
        <f t="shared" si="729"/>
        <v>seg</v>
      </c>
      <c r="M6570" s="1" t="str">
        <f t="shared" si="728"/>
        <v>jul</v>
      </c>
      <c r="N6570">
        <f t="shared" si="730"/>
        <v>2025</v>
      </c>
      <c r="P6570" t="str">
        <f t="shared" si="731"/>
        <v>188845866</v>
      </c>
    </row>
    <row r="6571" spans="1:16" x14ac:dyDescent="0.3">
      <c r="A6571">
        <v>1888</v>
      </c>
      <c r="B6571">
        <v>22</v>
      </c>
      <c r="C6571" t="s">
        <v>15</v>
      </c>
      <c r="D6571" t="s">
        <v>29</v>
      </c>
      <c r="E6571" t="s">
        <v>17</v>
      </c>
      <c r="F6571" t="s">
        <v>18</v>
      </c>
      <c r="G6571" t="s">
        <v>43</v>
      </c>
      <c r="H6571" t="s">
        <v>25</v>
      </c>
      <c r="I6571" s="1">
        <v>2</v>
      </c>
      <c r="J6571" s="2">
        <v>45867</v>
      </c>
      <c r="L6571" s="1" t="str">
        <f t="shared" si="729"/>
        <v>ter</v>
      </c>
      <c r="M6571" s="1" t="str">
        <f t="shared" si="728"/>
        <v>jul</v>
      </c>
      <c r="N6571">
        <f t="shared" si="730"/>
        <v>2025</v>
      </c>
      <c r="P6571" t="str">
        <f t="shared" si="731"/>
        <v>188845867</v>
      </c>
    </row>
    <row r="6572" spans="1:16" x14ac:dyDescent="0.3">
      <c r="A6572">
        <v>1888</v>
      </c>
      <c r="B6572">
        <v>22</v>
      </c>
      <c r="C6572" t="s">
        <v>15</v>
      </c>
      <c r="D6572" t="s">
        <v>29</v>
      </c>
      <c r="E6572" t="s">
        <v>17</v>
      </c>
      <c r="F6572" t="s">
        <v>18</v>
      </c>
      <c r="G6572" t="s">
        <v>43</v>
      </c>
      <c r="H6572" t="s">
        <v>25</v>
      </c>
      <c r="I6572" s="1">
        <v>2</v>
      </c>
      <c r="J6572" s="2">
        <v>45868</v>
      </c>
      <c r="L6572" s="1" t="str">
        <f t="shared" si="729"/>
        <v>qua</v>
      </c>
      <c r="M6572" s="1" t="str">
        <f t="shared" si="728"/>
        <v>jul</v>
      </c>
      <c r="N6572">
        <f t="shared" si="730"/>
        <v>2025</v>
      </c>
      <c r="P6572" t="str">
        <f t="shared" si="731"/>
        <v>188845868</v>
      </c>
    </row>
    <row r="6573" spans="1:16" x14ac:dyDescent="0.3">
      <c r="A6573">
        <v>1888</v>
      </c>
      <c r="B6573">
        <v>22</v>
      </c>
      <c r="C6573" t="s">
        <v>15</v>
      </c>
      <c r="D6573" t="s">
        <v>29</v>
      </c>
      <c r="E6573" t="s">
        <v>17</v>
      </c>
      <c r="F6573" t="s">
        <v>18</v>
      </c>
      <c r="G6573" t="s">
        <v>43</v>
      </c>
      <c r="H6573" t="s">
        <v>25</v>
      </c>
      <c r="I6573" s="1">
        <v>2</v>
      </c>
      <c r="J6573" s="2">
        <v>45869</v>
      </c>
      <c r="L6573" s="1" t="str">
        <f t="shared" si="729"/>
        <v>qui</v>
      </c>
      <c r="M6573" s="1" t="str">
        <f t="shared" si="728"/>
        <v>jul</v>
      </c>
      <c r="N6573">
        <f t="shared" si="730"/>
        <v>2025</v>
      </c>
      <c r="P6573" t="str">
        <f t="shared" si="731"/>
        <v>188845869</v>
      </c>
    </row>
    <row r="6574" spans="1:16" x14ac:dyDescent="0.3">
      <c r="A6574">
        <v>1888</v>
      </c>
      <c r="B6574">
        <v>22</v>
      </c>
      <c r="C6574" t="s">
        <v>15</v>
      </c>
      <c r="D6574" t="s">
        <v>29</v>
      </c>
      <c r="E6574" t="s">
        <v>17</v>
      </c>
      <c r="F6574" t="s">
        <v>18</v>
      </c>
      <c r="G6574" t="s">
        <v>43</v>
      </c>
      <c r="H6574" t="s">
        <v>25</v>
      </c>
      <c r="I6574" s="1">
        <v>2</v>
      </c>
      <c r="J6574" s="2">
        <v>45870</v>
      </c>
      <c r="L6574" s="1" t="str">
        <f t="shared" si="729"/>
        <v>sex</v>
      </c>
      <c r="M6574" s="1" t="str">
        <f t="shared" si="728"/>
        <v>ago</v>
      </c>
      <c r="N6574">
        <f t="shared" si="730"/>
        <v>2025</v>
      </c>
      <c r="P6574" t="str">
        <f t="shared" si="731"/>
        <v>188845870</v>
      </c>
    </row>
    <row r="6575" spans="1:16" x14ac:dyDescent="0.3">
      <c r="A6575">
        <v>1888</v>
      </c>
      <c r="B6575">
        <v>22</v>
      </c>
      <c r="C6575" t="s">
        <v>15</v>
      </c>
      <c r="D6575" t="s">
        <v>29</v>
      </c>
      <c r="E6575" t="s">
        <v>17</v>
      </c>
      <c r="F6575" t="s">
        <v>18</v>
      </c>
      <c r="G6575" t="s">
        <v>43</v>
      </c>
      <c r="H6575" t="s">
        <v>25</v>
      </c>
      <c r="I6575" s="1">
        <v>2</v>
      </c>
      <c r="J6575" s="2">
        <v>45871</v>
      </c>
      <c r="L6575" s="1" t="str">
        <f t="shared" si="729"/>
        <v>sáb</v>
      </c>
      <c r="M6575" s="1" t="str">
        <f t="shared" si="728"/>
        <v>ago</v>
      </c>
      <c r="N6575">
        <f t="shared" si="730"/>
        <v>2025</v>
      </c>
      <c r="P6575" t="str">
        <f t="shared" si="731"/>
        <v>188845871</v>
      </c>
    </row>
    <row r="6576" spans="1:16" x14ac:dyDescent="0.3">
      <c r="A6576">
        <v>1888</v>
      </c>
      <c r="B6576">
        <v>22</v>
      </c>
      <c r="C6576" t="s">
        <v>15</v>
      </c>
      <c r="D6576" t="s">
        <v>29</v>
      </c>
      <c r="E6576" t="s">
        <v>17</v>
      </c>
      <c r="F6576" t="s">
        <v>18</v>
      </c>
      <c r="G6576" t="s">
        <v>43</v>
      </c>
      <c r="H6576" t="s">
        <v>25</v>
      </c>
      <c r="I6576" s="1">
        <v>2</v>
      </c>
      <c r="J6576" s="2">
        <v>45872</v>
      </c>
      <c r="L6576" s="1" t="str">
        <f t="shared" si="729"/>
        <v>dom</v>
      </c>
      <c r="M6576" s="1" t="str">
        <f t="shared" si="728"/>
        <v>ago</v>
      </c>
      <c r="N6576">
        <f t="shared" si="730"/>
        <v>2025</v>
      </c>
      <c r="P6576" t="str">
        <f t="shared" si="731"/>
        <v>188845872</v>
      </c>
    </row>
    <row r="6577" spans="1:16" x14ac:dyDescent="0.3">
      <c r="A6577">
        <v>1888</v>
      </c>
      <c r="B6577">
        <v>22</v>
      </c>
      <c r="C6577" t="s">
        <v>15</v>
      </c>
      <c r="D6577" t="s">
        <v>29</v>
      </c>
      <c r="E6577" t="s">
        <v>17</v>
      </c>
      <c r="F6577" t="s">
        <v>18</v>
      </c>
      <c r="G6577" t="s">
        <v>43</v>
      </c>
      <c r="H6577" t="s">
        <v>25</v>
      </c>
      <c r="I6577" s="1">
        <v>2</v>
      </c>
      <c r="J6577" s="2">
        <v>45873</v>
      </c>
      <c r="L6577" s="1" t="str">
        <f t="shared" si="729"/>
        <v>seg</v>
      </c>
      <c r="M6577" s="1" t="str">
        <f t="shared" ref="M6577:M6587" si="732">TEXT($J6577,"mmm")</f>
        <v>ago</v>
      </c>
      <c r="N6577">
        <f t="shared" si="730"/>
        <v>2025</v>
      </c>
      <c r="P6577" t="str">
        <f t="shared" si="731"/>
        <v>188845873</v>
      </c>
    </row>
    <row r="6578" spans="1:16" x14ac:dyDescent="0.3">
      <c r="A6578">
        <v>1888</v>
      </c>
      <c r="B6578">
        <v>22</v>
      </c>
      <c r="C6578" t="s">
        <v>15</v>
      </c>
      <c r="D6578" t="s">
        <v>29</v>
      </c>
      <c r="E6578" t="s">
        <v>17</v>
      </c>
      <c r="F6578" t="s">
        <v>18</v>
      </c>
      <c r="G6578" t="s">
        <v>43</v>
      </c>
      <c r="H6578" t="s">
        <v>25</v>
      </c>
      <c r="I6578" s="1">
        <v>2</v>
      </c>
      <c r="J6578" s="2">
        <v>45874</v>
      </c>
      <c r="L6578" s="1" t="str">
        <f t="shared" si="729"/>
        <v>ter</v>
      </c>
      <c r="M6578" s="1" t="str">
        <f t="shared" si="732"/>
        <v>ago</v>
      </c>
      <c r="N6578">
        <f t="shared" si="730"/>
        <v>2025</v>
      </c>
      <c r="P6578" t="str">
        <f t="shared" si="731"/>
        <v>188845874</v>
      </c>
    </row>
    <row r="6579" spans="1:16" x14ac:dyDescent="0.3">
      <c r="A6579">
        <v>1888</v>
      </c>
      <c r="B6579">
        <v>22</v>
      </c>
      <c r="C6579" t="s">
        <v>15</v>
      </c>
      <c r="D6579" t="s">
        <v>29</v>
      </c>
      <c r="E6579" t="s">
        <v>17</v>
      </c>
      <c r="F6579" t="s">
        <v>18</v>
      </c>
      <c r="G6579" t="s">
        <v>43</v>
      </c>
      <c r="H6579" t="s">
        <v>25</v>
      </c>
      <c r="I6579" s="1">
        <v>2</v>
      </c>
      <c r="J6579" s="2">
        <v>45875</v>
      </c>
      <c r="L6579" s="1" t="str">
        <f t="shared" si="729"/>
        <v>qua</v>
      </c>
      <c r="M6579" s="1" t="str">
        <f t="shared" si="732"/>
        <v>ago</v>
      </c>
      <c r="N6579">
        <f t="shared" si="730"/>
        <v>2025</v>
      </c>
      <c r="P6579" t="str">
        <f t="shared" si="731"/>
        <v>188845875</v>
      </c>
    </row>
    <row r="6580" spans="1:16" x14ac:dyDescent="0.3">
      <c r="A6580">
        <v>1888</v>
      </c>
      <c r="B6580">
        <v>22</v>
      </c>
      <c r="C6580" t="s">
        <v>15</v>
      </c>
      <c r="D6580" t="s">
        <v>29</v>
      </c>
      <c r="E6580" t="s">
        <v>17</v>
      </c>
      <c r="F6580" t="s">
        <v>18</v>
      </c>
      <c r="G6580" t="s">
        <v>43</v>
      </c>
      <c r="H6580" t="s">
        <v>25</v>
      </c>
      <c r="I6580" s="1">
        <v>2</v>
      </c>
      <c r="J6580" s="2">
        <v>45876</v>
      </c>
      <c r="L6580" s="1" t="str">
        <f t="shared" si="729"/>
        <v>qui</v>
      </c>
      <c r="M6580" s="1" t="str">
        <f t="shared" si="732"/>
        <v>ago</v>
      </c>
      <c r="N6580">
        <f t="shared" si="730"/>
        <v>2025</v>
      </c>
      <c r="P6580" t="str">
        <f t="shared" si="731"/>
        <v>188845876</v>
      </c>
    </row>
    <row r="6581" spans="1:16" x14ac:dyDescent="0.3">
      <c r="A6581">
        <v>1888</v>
      </c>
      <c r="B6581">
        <v>22</v>
      </c>
      <c r="C6581" t="s">
        <v>15</v>
      </c>
      <c r="D6581" t="s">
        <v>29</v>
      </c>
      <c r="E6581" t="s">
        <v>17</v>
      </c>
      <c r="F6581" t="s">
        <v>18</v>
      </c>
      <c r="G6581" t="s">
        <v>43</v>
      </c>
      <c r="H6581" t="s">
        <v>25</v>
      </c>
      <c r="I6581" s="1">
        <v>2</v>
      </c>
      <c r="J6581" s="2">
        <v>45877</v>
      </c>
      <c r="L6581" s="1" t="str">
        <f t="shared" si="729"/>
        <v>sex</v>
      </c>
      <c r="M6581" s="1" t="str">
        <f t="shared" si="732"/>
        <v>ago</v>
      </c>
      <c r="N6581">
        <f t="shared" si="730"/>
        <v>2025</v>
      </c>
      <c r="P6581" t="str">
        <f t="shared" si="731"/>
        <v>188845877</v>
      </c>
    </row>
    <row r="6582" spans="1:16" x14ac:dyDescent="0.3">
      <c r="A6582">
        <v>1888</v>
      </c>
      <c r="B6582">
        <v>22</v>
      </c>
      <c r="C6582" t="s">
        <v>15</v>
      </c>
      <c r="D6582" t="s">
        <v>29</v>
      </c>
      <c r="E6582" t="s">
        <v>17</v>
      </c>
      <c r="F6582" t="s">
        <v>18</v>
      </c>
      <c r="G6582" t="s">
        <v>43</v>
      </c>
      <c r="H6582" t="s">
        <v>25</v>
      </c>
      <c r="I6582" s="1">
        <v>2</v>
      </c>
      <c r="J6582" s="2">
        <v>45878</v>
      </c>
      <c r="L6582" s="1" t="str">
        <f t="shared" si="729"/>
        <v>sáb</v>
      </c>
      <c r="M6582" s="1" t="str">
        <f t="shared" si="732"/>
        <v>ago</v>
      </c>
      <c r="N6582">
        <f t="shared" si="730"/>
        <v>2025</v>
      </c>
      <c r="P6582" t="str">
        <f t="shared" si="731"/>
        <v>188845878</v>
      </c>
    </row>
    <row r="6583" spans="1:16" x14ac:dyDescent="0.3">
      <c r="A6583">
        <v>1888</v>
      </c>
      <c r="B6583">
        <v>22</v>
      </c>
      <c r="C6583" t="s">
        <v>15</v>
      </c>
      <c r="D6583" t="s">
        <v>29</v>
      </c>
      <c r="E6583" t="s">
        <v>17</v>
      </c>
      <c r="F6583" t="s">
        <v>18</v>
      </c>
      <c r="G6583" t="s">
        <v>43</v>
      </c>
      <c r="H6583" t="s">
        <v>25</v>
      </c>
      <c r="I6583" s="1">
        <v>2</v>
      </c>
      <c r="J6583" s="2">
        <v>45879</v>
      </c>
      <c r="L6583" s="1" t="str">
        <f t="shared" si="729"/>
        <v>dom</v>
      </c>
      <c r="M6583" s="1" t="str">
        <f t="shared" si="732"/>
        <v>ago</v>
      </c>
      <c r="N6583">
        <f t="shared" si="730"/>
        <v>2025</v>
      </c>
      <c r="P6583" t="str">
        <f t="shared" si="731"/>
        <v>188845879</v>
      </c>
    </row>
    <row r="6584" spans="1:16" x14ac:dyDescent="0.3">
      <c r="A6584">
        <v>1888</v>
      </c>
      <c r="B6584">
        <v>22</v>
      </c>
      <c r="C6584" t="s">
        <v>15</v>
      </c>
      <c r="D6584" t="s">
        <v>29</v>
      </c>
      <c r="E6584" t="s">
        <v>17</v>
      </c>
      <c r="F6584" t="s">
        <v>18</v>
      </c>
      <c r="G6584" t="s">
        <v>43</v>
      </c>
      <c r="H6584" t="s">
        <v>25</v>
      </c>
      <c r="I6584" s="1">
        <v>2</v>
      </c>
      <c r="J6584" s="2">
        <v>45880</v>
      </c>
      <c r="L6584" s="1" t="str">
        <f t="shared" si="729"/>
        <v>seg</v>
      </c>
      <c r="M6584" s="1" t="str">
        <f t="shared" si="732"/>
        <v>ago</v>
      </c>
      <c r="N6584">
        <f t="shared" si="730"/>
        <v>2025</v>
      </c>
      <c r="P6584" t="str">
        <f t="shared" si="731"/>
        <v>188845880</v>
      </c>
    </row>
    <row r="6585" spans="1:16" x14ac:dyDescent="0.3">
      <c r="A6585">
        <v>1888</v>
      </c>
      <c r="B6585">
        <v>22</v>
      </c>
      <c r="C6585" t="s">
        <v>15</v>
      </c>
      <c r="D6585" t="s">
        <v>29</v>
      </c>
      <c r="E6585" t="s">
        <v>17</v>
      </c>
      <c r="F6585" t="s">
        <v>18</v>
      </c>
      <c r="G6585" t="s">
        <v>43</v>
      </c>
      <c r="H6585" t="s">
        <v>25</v>
      </c>
      <c r="I6585" s="1">
        <v>2</v>
      </c>
      <c r="J6585" s="2">
        <v>45881</v>
      </c>
      <c r="L6585" s="1" t="str">
        <f t="shared" si="729"/>
        <v>ter</v>
      </c>
      <c r="M6585" s="1" t="str">
        <f t="shared" si="732"/>
        <v>ago</v>
      </c>
      <c r="N6585">
        <f t="shared" si="730"/>
        <v>2025</v>
      </c>
      <c r="P6585" t="str">
        <f t="shared" si="731"/>
        <v>188845881</v>
      </c>
    </row>
    <row r="6586" spans="1:16" x14ac:dyDescent="0.3">
      <c r="A6586">
        <v>1888</v>
      </c>
      <c r="B6586">
        <v>22</v>
      </c>
      <c r="C6586" t="s">
        <v>15</v>
      </c>
      <c r="D6586" t="s">
        <v>29</v>
      </c>
      <c r="E6586" t="s">
        <v>17</v>
      </c>
      <c r="F6586" t="s">
        <v>18</v>
      </c>
      <c r="G6586" t="s">
        <v>43</v>
      </c>
      <c r="H6586" t="s">
        <v>25</v>
      </c>
      <c r="I6586" s="1">
        <v>2</v>
      </c>
      <c r="J6586" s="2">
        <v>45882</v>
      </c>
      <c r="L6586" s="1" t="str">
        <f t="shared" si="729"/>
        <v>qua</v>
      </c>
      <c r="M6586" s="1" t="str">
        <f t="shared" si="732"/>
        <v>ago</v>
      </c>
      <c r="N6586">
        <f t="shared" si="730"/>
        <v>2025</v>
      </c>
      <c r="P6586" t="str">
        <f t="shared" si="731"/>
        <v>188845882</v>
      </c>
    </row>
    <row r="6587" spans="1:16" x14ac:dyDescent="0.3">
      <c r="A6587">
        <v>1888</v>
      </c>
      <c r="B6587">
        <v>22</v>
      </c>
      <c r="C6587" t="s">
        <v>15</v>
      </c>
      <c r="D6587" t="s">
        <v>29</v>
      </c>
      <c r="E6587" t="s">
        <v>17</v>
      </c>
      <c r="F6587" t="s">
        <v>18</v>
      </c>
      <c r="G6587" t="s">
        <v>43</v>
      </c>
      <c r="H6587" t="s">
        <v>25</v>
      </c>
      <c r="I6587" s="1">
        <v>2</v>
      </c>
      <c r="J6587" s="2">
        <v>45883</v>
      </c>
      <c r="L6587" s="1" t="str">
        <f t="shared" si="729"/>
        <v>qui</v>
      </c>
      <c r="M6587" s="1" t="str">
        <f t="shared" si="732"/>
        <v>ago</v>
      </c>
      <c r="N6587">
        <f t="shared" si="730"/>
        <v>2025</v>
      </c>
      <c r="P6587" t="str">
        <f t="shared" si="731"/>
        <v>188845883</v>
      </c>
    </row>
    <row r="6588" spans="1:16" x14ac:dyDescent="0.3">
      <c r="A6588">
        <v>1990</v>
      </c>
      <c r="B6588">
        <v>57</v>
      </c>
      <c r="C6588" t="s">
        <v>26</v>
      </c>
      <c r="D6588" t="s">
        <v>31</v>
      </c>
      <c r="E6588" t="s">
        <v>32</v>
      </c>
      <c r="F6588" t="s">
        <v>21</v>
      </c>
      <c r="G6588" t="s">
        <v>43</v>
      </c>
      <c r="H6588" t="s">
        <v>25</v>
      </c>
      <c r="I6588" s="1">
        <v>3</v>
      </c>
      <c r="J6588" s="2">
        <v>45721</v>
      </c>
      <c r="L6588" s="1" t="str">
        <f>TEXT(J6588,"ddd")</f>
        <v>qua</v>
      </c>
      <c r="M6588" s="1" t="str">
        <f>TEXT($J6588,"mmm")</f>
        <v>mar</v>
      </c>
      <c r="N6588">
        <f>YEAR(J6588)</f>
        <v>2025</v>
      </c>
      <c r="P6588" t="str">
        <f>CONCATENATE(A6588,J6588)</f>
        <v>199045721</v>
      </c>
    </row>
    <row r="6589" spans="1:16" x14ac:dyDescent="0.3">
      <c r="A6589">
        <v>1990</v>
      </c>
      <c r="B6589">
        <v>57</v>
      </c>
      <c r="C6589" t="s">
        <v>26</v>
      </c>
      <c r="D6589" t="s">
        <v>31</v>
      </c>
      <c r="E6589" t="s">
        <v>32</v>
      </c>
      <c r="F6589" t="s">
        <v>21</v>
      </c>
      <c r="G6589" t="s">
        <v>43</v>
      </c>
      <c r="H6589" t="s">
        <v>25</v>
      </c>
      <c r="I6589" s="1">
        <v>3</v>
      </c>
      <c r="J6589" s="2">
        <v>45720</v>
      </c>
      <c r="L6589" s="1" t="str">
        <f>TEXT(J6589,"ddd")</f>
        <v>ter</v>
      </c>
      <c r="M6589" s="1" t="str">
        <f>TEXT($J6589,"mmm")</f>
        <v>mar</v>
      </c>
      <c r="N6589">
        <f>YEAR(J6589)</f>
        <v>2025</v>
      </c>
      <c r="P6589" t="str">
        <f>CONCATENATE(A6589,J6589)</f>
        <v>199045720</v>
      </c>
    </row>
    <row r="6590" spans="1:16" x14ac:dyDescent="0.3">
      <c r="A6590">
        <v>1990</v>
      </c>
      <c r="B6590">
        <v>57</v>
      </c>
      <c r="C6590" t="s">
        <v>26</v>
      </c>
      <c r="D6590" t="s">
        <v>31</v>
      </c>
      <c r="E6590" t="s">
        <v>32</v>
      </c>
      <c r="F6590" t="s">
        <v>21</v>
      </c>
      <c r="G6590" t="s">
        <v>43</v>
      </c>
      <c r="H6590" t="s">
        <v>25</v>
      </c>
      <c r="I6590" s="1">
        <v>3</v>
      </c>
      <c r="J6590" s="2">
        <v>45719</v>
      </c>
      <c r="L6590" s="1" t="str">
        <f t="shared" ref="L6590:L6631" si="733">TEXT(J6590,"ddd")</f>
        <v>seg</v>
      </c>
      <c r="M6590" s="1" t="str">
        <f t="shared" ref="M6590:M6631" si="734">TEXT($J6590,"mmm")</f>
        <v>mar</v>
      </c>
      <c r="N6590">
        <f t="shared" ref="N6590:N6631" si="735">YEAR(J6590)</f>
        <v>2025</v>
      </c>
      <c r="P6590" t="str">
        <f t="shared" ref="P6590:P6631" si="736">CONCATENATE(A6590,J6590)</f>
        <v>199045719</v>
      </c>
    </row>
    <row r="6591" spans="1:16" x14ac:dyDescent="0.3">
      <c r="A6591">
        <v>1990</v>
      </c>
      <c r="B6591">
        <v>57</v>
      </c>
      <c r="C6591" t="s">
        <v>26</v>
      </c>
      <c r="D6591" t="s">
        <v>31</v>
      </c>
      <c r="E6591" t="s">
        <v>32</v>
      </c>
      <c r="F6591" t="s">
        <v>21</v>
      </c>
      <c r="G6591" t="s">
        <v>43</v>
      </c>
      <c r="H6591" t="s">
        <v>25</v>
      </c>
      <c r="I6591" s="1">
        <v>3</v>
      </c>
      <c r="J6591" s="2">
        <v>45718</v>
      </c>
      <c r="L6591" s="1" t="str">
        <f t="shared" si="733"/>
        <v>dom</v>
      </c>
      <c r="M6591" s="1" t="str">
        <f t="shared" si="734"/>
        <v>mar</v>
      </c>
      <c r="N6591">
        <f t="shared" si="735"/>
        <v>2025</v>
      </c>
      <c r="P6591" t="str">
        <f t="shared" si="736"/>
        <v>199045718</v>
      </c>
    </row>
    <row r="6592" spans="1:16" x14ac:dyDescent="0.3">
      <c r="A6592">
        <v>1990</v>
      </c>
      <c r="B6592">
        <v>57</v>
      </c>
      <c r="C6592" t="s">
        <v>26</v>
      </c>
      <c r="D6592" t="s">
        <v>31</v>
      </c>
      <c r="E6592" t="s">
        <v>32</v>
      </c>
      <c r="F6592" t="s">
        <v>21</v>
      </c>
      <c r="G6592" t="s">
        <v>43</v>
      </c>
      <c r="H6592" t="s">
        <v>25</v>
      </c>
      <c r="I6592" s="1">
        <v>3</v>
      </c>
      <c r="J6592" s="2">
        <v>45717</v>
      </c>
      <c r="L6592" s="1" t="str">
        <f t="shared" si="733"/>
        <v>sáb</v>
      </c>
      <c r="M6592" s="1" t="str">
        <f t="shared" si="734"/>
        <v>mar</v>
      </c>
      <c r="N6592">
        <f t="shared" si="735"/>
        <v>2025</v>
      </c>
      <c r="P6592" t="str">
        <f t="shared" si="736"/>
        <v>199045717</v>
      </c>
    </row>
    <row r="6593" spans="1:16" x14ac:dyDescent="0.3">
      <c r="A6593">
        <v>1990</v>
      </c>
      <c r="B6593">
        <v>57</v>
      </c>
      <c r="C6593" t="s">
        <v>26</v>
      </c>
      <c r="D6593" t="s">
        <v>31</v>
      </c>
      <c r="E6593" t="s">
        <v>32</v>
      </c>
      <c r="F6593" t="s">
        <v>21</v>
      </c>
      <c r="G6593" t="s">
        <v>43</v>
      </c>
      <c r="H6593" t="s">
        <v>25</v>
      </c>
      <c r="I6593" s="1">
        <v>3</v>
      </c>
      <c r="J6593" s="2">
        <v>45716</v>
      </c>
      <c r="L6593" s="1" t="str">
        <f t="shared" si="733"/>
        <v>sex</v>
      </c>
      <c r="M6593" s="1" t="str">
        <f t="shared" si="734"/>
        <v>fev</v>
      </c>
      <c r="N6593">
        <f t="shared" si="735"/>
        <v>2025</v>
      </c>
      <c r="P6593" t="str">
        <f t="shared" si="736"/>
        <v>199045716</v>
      </c>
    </row>
    <row r="6594" spans="1:16" x14ac:dyDescent="0.3">
      <c r="A6594">
        <v>1990</v>
      </c>
      <c r="B6594">
        <v>57</v>
      </c>
      <c r="C6594" t="s">
        <v>26</v>
      </c>
      <c r="D6594" t="s">
        <v>31</v>
      </c>
      <c r="E6594" t="s">
        <v>32</v>
      </c>
      <c r="F6594" t="s">
        <v>21</v>
      </c>
      <c r="G6594" t="s">
        <v>43</v>
      </c>
      <c r="H6594" t="s">
        <v>25</v>
      </c>
      <c r="I6594" s="1">
        <v>3</v>
      </c>
      <c r="J6594" s="2">
        <v>45715</v>
      </c>
      <c r="L6594" s="1" t="str">
        <f t="shared" si="733"/>
        <v>qui</v>
      </c>
      <c r="M6594" s="1" t="str">
        <f t="shared" si="734"/>
        <v>fev</v>
      </c>
      <c r="N6594">
        <f t="shared" si="735"/>
        <v>2025</v>
      </c>
      <c r="P6594" t="str">
        <f t="shared" si="736"/>
        <v>199045715</v>
      </c>
    </row>
    <row r="6595" spans="1:16" x14ac:dyDescent="0.3">
      <c r="A6595">
        <v>1990</v>
      </c>
      <c r="B6595">
        <v>57</v>
      </c>
      <c r="C6595" t="s">
        <v>26</v>
      </c>
      <c r="D6595" t="s">
        <v>31</v>
      </c>
      <c r="E6595" t="s">
        <v>32</v>
      </c>
      <c r="F6595" t="s">
        <v>21</v>
      </c>
      <c r="G6595" t="s">
        <v>43</v>
      </c>
      <c r="H6595" t="s">
        <v>25</v>
      </c>
      <c r="I6595" s="1">
        <v>3</v>
      </c>
      <c r="J6595" s="2">
        <v>45714</v>
      </c>
      <c r="L6595" s="1" t="str">
        <f t="shared" si="733"/>
        <v>qua</v>
      </c>
      <c r="M6595" s="1" t="str">
        <f t="shared" si="734"/>
        <v>fev</v>
      </c>
      <c r="N6595">
        <f t="shared" si="735"/>
        <v>2025</v>
      </c>
      <c r="P6595" t="str">
        <f t="shared" si="736"/>
        <v>199045714</v>
      </c>
    </row>
    <row r="6596" spans="1:16" x14ac:dyDescent="0.3">
      <c r="A6596">
        <v>1990</v>
      </c>
      <c r="B6596">
        <v>57</v>
      </c>
      <c r="C6596" t="s">
        <v>26</v>
      </c>
      <c r="D6596" t="s">
        <v>31</v>
      </c>
      <c r="E6596" t="s">
        <v>32</v>
      </c>
      <c r="F6596" t="s">
        <v>21</v>
      </c>
      <c r="G6596" t="s">
        <v>43</v>
      </c>
      <c r="H6596" t="s">
        <v>25</v>
      </c>
      <c r="I6596" s="1">
        <v>3</v>
      </c>
      <c r="J6596" s="2">
        <v>45713</v>
      </c>
      <c r="L6596" s="1" t="str">
        <f t="shared" si="733"/>
        <v>ter</v>
      </c>
      <c r="M6596" s="1" t="str">
        <f t="shared" si="734"/>
        <v>fev</v>
      </c>
      <c r="N6596">
        <f t="shared" si="735"/>
        <v>2025</v>
      </c>
      <c r="P6596" t="str">
        <f t="shared" si="736"/>
        <v>199045713</v>
      </c>
    </row>
    <row r="6597" spans="1:16" x14ac:dyDescent="0.3">
      <c r="A6597">
        <v>1990</v>
      </c>
      <c r="B6597">
        <v>57</v>
      </c>
      <c r="C6597" t="s">
        <v>26</v>
      </c>
      <c r="D6597" t="s">
        <v>31</v>
      </c>
      <c r="E6597" t="s">
        <v>32</v>
      </c>
      <c r="F6597" t="s">
        <v>21</v>
      </c>
      <c r="G6597" t="s">
        <v>43</v>
      </c>
      <c r="H6597" t="s">
        <v>25</v>
      </c>
      <c r="I6597" s="1">
        <v>3</v>
      </c>
      <c r="J6597" s="2">
        <v>45712</v>
      </c>
      <c r="L6597" s="1" t="str">
        <f t="shared" si="733"/>
        <v>seg</v>
      </c>
      <c r="M6597" s="1" t="str">
        <f t="shared" si="734"/>
        <v>fev</v>
      </c>
      <c r="N6597">
        <f t="shared" si="735"/>
        <v>2025</v>
      </c>
      <c r="P6597" t="str">
        <f t="shared" si="736"/>
        <v>199045712</v>
      </c>
    </row>
    <row r="6598" spans="1:16" x14ac:dyDescent="0.3">
      <c r="A6598">
        <v>1990</v>
      </c>
      <c r="B6598">
        <v>57</v>
      </c>
      <c r="C6598" t="s">
        <v>26</v>
      </c>
      <c r="D6598" t="s">
        <v>31</v>
      </c>
      <c r="E6598" t="s">
        <v>32</v>
      </c>
      <c r="F6598" t="s">
        <v>21</v>
      </c>
      <c r="G6598" t="s">
        <v>43</v>
      </c>
      <c r="H6598" t="s">
        <v>25</v>
      </c>
      <c r="I6598" s="1">
        <v>3</v>
      </c>
      <c r="J6598" s="2">
        <v>45711</v>
      </c>
      <c r="L6598" s="1" t="str">
        <f t="shared" si="733"/>
        <v>dom</v>
      </c>
      <c r="M6598" s="1" t="str">
        <f t="shared" si="734"/>
        <v>fev</v>
      </c>
      <c r="N6598">
        <f t="shared" si="735"/>
        <v>2025</v>
      </c>
      <c r="P6598" t="str">
        <f t="shared" si="736"/>
        <v>199045711</v>
      </c>
    </row>
    <row r="6599" spans="1:16" x14ac:dyDescent="0.3">
      <c r="A6599">
        <v>1990</v>
      </c>
      <c r="B6599">
        <v>57</v>
      </c>
      <c r="C6599" t="s">
        <v>26</v>
      </c>
      <c r="D6599" t="s">
        <v>31</v>
      </c>
      <c r="E6599" t="s">
        <v>32</v>
      </c>
      <c r="F6599" t="s">
        <v>21</v>
      </c>
      <c r="G6599" t="s">
        <v>43</v>
      </c>
      <c r="H6599" t="s">
        <v>25</v>
      </c>
      <c r="I6599" s="1">
        <v>3</v>
      </c>
      <c r="J6599" s="2">
        <v>45710</v>
      </c>
      <c r="L6599" s="1" t="str">
        <f t="shared" si="733"/>
        <v>sáb</v>
      </c>
      <c r="M6599" s="1" t="str">
        <f t="shared" si="734"/>
        <v>fev</v>
      </c>
      <c r="N6599">
        <f t="shared" si="735"/>
        <v>2025</v>
      </c>
      <c r="P6599" t="str">
        <f t="shared" si="736"/>
        <v>199045710</v>
      </c>
    </row>
    <row r="6600" spans="1:16" x14ac:dyDescent="0.3">
      <c r="A6600">
        <v>1990</v>
      </c>
      <c r="B6600">
        <v>57</v>
      </c>
      <c r="C6600" t="s">
        <v>26</v>
      </c>
      <c r="D6600" t="s">
        <v>31</v>
      </c>
      <c r="E6600" t="s">
        <v>32</v>
      </c>
      <c r="F6600" t="s">
        <v>21</v>
      </c>
      <c r="G6600" t="s">
        <v>43</v>
      </c>
      <c r="H6600" t="s">
        <v>25</v>
      </c>
      <c r="I6600" s="1">
        <v>3</v>
      </c>
      <c r="J6600" s="2">
        <v>45709</v>
      </c>
      <c r="L6600" s="1" t="str">
        <f t="shared" si="733"/>
        <v>sex</v>
      </c>
      <c r="M6600" s="1" t="str">
        <f t="shared" si="734"/>
        <v>fev</v>
      </c>
      <c r="N6600">
        <f t="shared" si="735"/>
        <v>2025</v>
      </c>
      <c r="P6600" t="str">
        <f t="shared" si="736"/>
        <v>199045709</v>
      </c>
    </row>
    <row r="6601" spans="1:16" x14ac:dyDescent="0.3">
      <c r="A6601">
        <v>1990</v>
      </c>
      <c r="B6601">
        <v>57</v>
      </c>
      <c r="C6601" t="s">
        <v>26</v>
      </c>
      <c r="D6601" t="s">
        <v>31</v>
      </c>
      <c r="E6601" t="s">
        <v>32</v>
      </c>
      <c r="F6601" t="s">
        <v>21</v>
      </c>
      <c r="G6601" t="s">
        <v>43</v>
      </c>
      <c r="H6601" t="s">
        <v>25</v>
      </c>
      <c r="I6601" s="1">
        <v>3</v>
      </c>
      <c r="J6601" s="2">
        <v>45708</v>
      </c>
      <c r="L6601" s="1" t="str">
        <f t="shared" si="733"/>
        <v>qui</v>
      </c>
      <c r="M6601" s="1" t="str">
        <f t="shared" si="734"/>
        <v>fev</v>
      </c>
      <c r="N6601">
        <f t="shared" si="735"/>
        <v>2025</v>
      </c>
      <c r="P6601" t="str">
        <f t="shared" si="736"/>
        <v>199045708</v>
      </c>
    </row>
    <row r="6602" spans="1:16" x14ac:dyDescent="0.3">
      <c r="A6602">
        <v>1990</v>
      </c>
      <c r="B6602">
        <v>57</v>
      </c>
      <c r="C6602" t="s">
        <v>26</v>
      </c>
      <c r="D6602" t="s">
        <v>31</v>
      </c>
      <c r="E6602" t="s">
        <v>32</v>
      </c>
      <c r="F6602" t="s">
        <v>21</v>
      </c>
      <c r="G6602" t="s">
        <v>43</v>
      </c>
      <c r="H6602" t="s">
        <v>25</v>
      </c>
      <c r="I6602" s="1">
        <v>3</v>
      </c>
      <c r="J6602" s="2">
        <v>45707</v>
      </c>
      <c r="L6602" s="1" t="str">
        <f t="shared" si="733"/>
        <v>qua</v>
      </c>
      <c r="M6602" s="1" t="str">
        <f t="shared" si="734"/>
        <v>fev</v>
      </c>
      <c r="N6602">
        <f t="shared" si="735"/>
        <v>2025</v>
      </c>
      <c r="P6602" t="str">
        <f t="shared" si="736"/>
        <v>199045707</v>
      </c>
    </row>
    <row r="6603" spans="1:16" x14ac:dyDescent="0.3">
      <c r="A6603">
        <v>1990</v>
      </c>
      <c r="B6603">
        <v>57</v>
      </c>
      <c r="C6603" t="s">
        <v>26</v>
      </c>
      <c r="D6603" t="s">
        <v>31</v>
      </c>
      <c r="E6603" t="s">
        <v>32</v>
      </c>
      <c r="F6603" t="s">
        <v>21</v>
      </c>
      <c r="G6603" t="s">
        <v>43</v>
      </c>
      <c r="H6603" t="s">
        <v>25</v>
      </c>
      <c r="I6603" s="1">
        <v>3</v>
      </c>
      <c r="J6603" s="2">
        <v>45706</v>
      </c>
      <c r="L6603" s="1" t="str">
        <f t="shared" si="733"/>
        <v>ter</v>
      </c>
      <c r="M6603" s="1" t="str">
        <f t="shared" si="734"/>
        <v>fev</v>
      </c>
      <c r="N6603">
        <f t="shared" si="735"/>
        <v>2025</v>
      </c>
      <c r="P6603" t="str">
        <f t="shared" si="736"/>
        <v>199045706</v>
      </c>
    </row>
    <row r="6604" spans="1:16" x14ac:dyDescent="0.3">
      <c r="A6604">
        <v>1990</v>
      </c>
      <c r="B6604">
        <v>57</v>
      </c>
      <c r="C6604" t="s">
        <v>26</v>
      </c>
      <c r="D6604" t="s">
        <v>31</v>
      </c>
      <c r="E6604" t="s">
        <v>32</v>
      </c>
      <c r="F6604" t="s">
        <v>21</v>
      </c>
      <c r="G6604" t="s">
        <v>43</v>
      </c>
      <c r="H6604" t="s">
        <v>25</v>
      </c>
      <c r="I6604" s="1">
        <v>3</v>
      </c>
      <c r="J6604" s="2">
        <v>45705</v>
      </c>
      <c r="L6604" s="1" t="str">
        <f t="shared" si="733"/>
        <v>seg</v>
      </c>
      <c r="M6604" s="1" t="str">
        <f t="shared" si="734"/>
        <v>fev</v>
      </c>
      <c r="N6604">
        <f t="shared" si="735"/>
        <v>2025</v>
      </c>
      <c r="P6604" t="str">
        <f t="shared" si="736"/>
        <v>199045705</v>
      </c>
    </row>
    <row r="6605" spans="1:16" x14ac:dyDescent="0.3">
      <c r="A6605">
        <v>1990</v>
      </c>
      <c r="B6605">
        <v>57</v>
      </c>
      <c r="C6605" t="s">
        <v>26</v>
      </c>
      <c r="D6605" t="s">
        <v>31</v>
      </c>
      <c r="E6605" t="s">
        <v>32</v>
      </c>
      <c r="F6605" t="s">
        <v>21</v>
      </c>
      <c r="G6605" t="s">
        <v>43</v>
      </c>
      <c r="H6605" t="s">
        <v>25</v>
      </c>
      <c r="I6605" s="1">
        <v>3</v>
      </c>
      <c r="J6605" s="2">
        <v>45704</v>
      </c>
      <c r="L6605" s="1" t="str">
        <f t="shared" si="733"/>
        <v>dom</v>
      </c>
      <c r="M6605" s="1" t="str">
        <f t="shared" si="734"/>
        <v>fev</v>
      </c>
      <c r="N6605">
        <f t="shared" si="735"/>
        <v>2025</v>
      </c>
      <c r="P6605" t="str">
        <f t="shared" si="736"/>
        <v>199045704</v>
      </c>
    </row>
    <row r="6606" spans="1:16" x14ac:dyDescent="0.3">
      <c r="A6606">
        <v>1990</v>
      </c>
      <c r="B6606">
        <v>57</v>
      </c>
      <c r="C6606" t="s">
        <v>26</v>
      </c>
      <c r="D6606" t="s">
        <v>31</v>
      </c>
      <c r="E6606" t="s">
        <v>32</v>
      </c>
      <c r="F6606" t="s">
        <v>21</v>
      </c>
      <c r="G6606" t="s">
        <v>43</v>
      </c>
      <c r="H6606" t="s">
        <v>25</v>
      </c>
      <c r="I6606" s="1">
        <v>3</v>
      </c>
      <c r="J6606" s="2">
        <v>45703</v>
      </c>
      <c r="L6606" s="1" t="str">
        <f t="shared" si="733"/>
        <v>sáb</v>
      </c>
      <c r="M6606" s="1" t="str">
        <f t="shared" si="734"/>
        <v>fev</v>
      </c>
      <c r="N6606">
        <f t="shared" si="735"/>
        <v>2025</v>
      </c>
      <c r="P6606" t="str">
        <f t="shared" si="736"/>
        <v>199045703</v>
      </c>
    </row>
    <row r="6607" spans="1:16" x14ac:dyDescent="0.3">
      <c r="A6607">
        <v>1990</v>
      </c>
      <c r="B6607">
        <v>57</v>
      </c>
      <c r="C6607" t="s">
        <v>26</v>
      </c>
      <c r="D6607" t="s">
        <v>31</v>
      </c>
      <c r="E6607" t="s">
        <v>32</v>
      </c>
      <c r="F6607" t="s">
        <v>21</v>
      </c>
      <c r="G6607" t="s">
        <v>43</v>
      </c>
      <c r="H6607" t="s">
        <v>25</v>
      </c>
      <c r="I6607" s="1">
        <v>3</v>
      </c>
      <c r="J6607" s="2">
        <v>45702</v>
      </c>
      <c r="L6607" s="1" t="str">
        <f t="shared" si="733"/>
        <v>sex</v>
      </c>
      <c r="M6607" s="1" t="str">
        <f t="shared" si="734"/>
        <v>fev</v>
      </c>
      <c r="N6607">
        <f t="shared" si="735"/>
        <v>2025</v>
      </c>
      <c r="P6607" t="str">
        <f t="shared" si="736"/>
        <v>199045702</v>
      </c>
    </row>
    <row r="6608" spans="1:16" x14ac:dyDescent="0.3">
      <c r="A6608">
        <v>1990</v>
      </c>
      <c r="B6608">
        <v>57</v>
      </c>
      <c r="C6608" t="s">
        <v>26</v>
      </c>
      <c r="D6608" t="s">
        <v>31</v>
      </c>
      <c r="E6608" t="s">
        <v>32</v>
      </c>
      <c r="F6608" t="s">
        <v>21</v>
      </c>
      <c r="G6608" t="s">
        <v>43</v>
      </c>
      <c r="H6608" t="s">
        <v>25</v>
      </c>
      <c r="I6608" s="1">
        <v>3</v>
      </c>
      <c r="J6608" s="2">
        <v>45701</v>
      </c>
      <c r="L6608" s="1" t="str">
        <f t="shared" si="733"/>
        <v>qui</v>
      </c>
      <c r="M6608" s="1" t="str">
        <f t="shared" si="734"/>
        <v>fev</v>
      </c>
      <c r="N6608">
        <f t="shared" si="735"/>
        <v>2025</v>
      </c>
      <c r="P6608" t="str">
        <f t="shared" si="736"/>
        <v>199045701</v>
      </c>
    </row>
    <row r="6609" spans="1:16" x14ac:dyDescent="0.3">
      <c r="A6609">
        <v>1990</v>
      </c>
      <c r="B6609">
        <v>57</v>
      </c>
      <c r="C6609" t="s">
        <v>26</v>
      </c>
      <c r="D6609" t="s">
        <v>31</v>
      </c>
      <c r="E6609" t="s">
        <v>32</v>
      </c>
      <c r="F6609" t="s">
        <v>21</v>
      </c>
      <c r="G6609" t="s">
        <v>43</v>
      </c>
      <c r="H6609" t="s">
        <v>25</v>
      </c>
      <c r="I6609" s="1">
        <v>3</v>
      </c>
      <c r="J6609" s="2">
        <v>45700</v>
      </c>
      <c r="L6609" s="1" t="str">
        <f t="shared" si="733"/>
        <v>qua</v>
      </c>
      <c r="M6609" s="1" t="str">
        <f t="shared" si="734"/>
        <v>fev</v>
      </c>
      <c r="N6609">
        <f t="shared" si="735"/>
        <v>2025</v>
      </c>
      <c r="P6609" t="str">
        <f t="shared" si="736"/>
        <v>199045700</v>
      </c>
    </row>
    <row r="6610" spans="1:16" x14ac:dyDescent="0.3">
      <c r="A6610">
        <v>1990</v>
      </c>
      <c r="B6610">
        <v>57</v>
      </c>
      <c r="C6610" t="s">
        <v>26</v>
      </c>
      <c r="D6610" t="s">
        <v>31</v>
      </c>
      <c r="E6610" t="s">
        <v>32</v>
      </c>
      <c r="F6610" t="s">
        <v>21</v>
      </c>
      <c r="G6610" t="s">
        <v>43</v>
      </c>
      <c r="H6610" t="s">
        <v>25</v>
      </c>
      <c r="I6610" s="1">
        <v>3</v>
      </c>
      <c r="J6610" s="2">
        <v>45699</v>
      </c>
      <c r="L6610" s="1" t="str">
        <f t="shared" si="733"/>
        <v>ter</v>
      </c>
      <c r="M6610" s="1" t="str">
        <f t="shared" si="734"/>
        <v>fev</v>
      </c>
      <c r="N6610">
        <f t="shared" si="735"/>
        <v>2025</v>
      </c>
      <c r="P6610" t="str">
        <f t="shared" si="736"/>
        <v>199045699</v>
      </c>
    </row>
    <row r="6611" spans="1:16" x14ac:dyDescent="0.3">
      <c r="A6611">
        <v>1990</v>
      </c>
      <c r="B6611">
        <v>57</v>
      </c>
      <c r="C6611" t="s">
        <v>26</v>
      </c>
      <c r="D6611" t="s">
        <v>31</v>
      </c>
      <c r="E6611" t="s">
        <v>32</v>
      </c>
      <c r="F6611" t="s">
        <v>21</v>
      </c>
      <c r="G6611" t="s">
        <v>43</v>
      </c>
      <c r="H6611" t="s">
        <v>25</v>
      </c>
      <c r="I6611" s="1">
        <v>3</v>
      </c>
      <c r="J6611" s="2">
        <v>45698</v>
      </c>
      <c r="L6611" s="1" t="str">
        <f t="shared" si="733"/>
        <v>seg</v>
      </c>
      <c r="M6611" s="1" t="str">
        <f t="shared" si="734"/>
        <v>fev</v>
      </c>
      <c r="N6611">
        <f t="shared" si="735"/>
        <v>2025</v>
      </c>
      <c r="P6611" t="str">
        <f t="shared" si="736"/>
        <v>199045698</v>
      </c>
    </row>
    <row r="6612" spans="1:16" x14ac:dyDescent="0.3">
      <c r="A6612">
        <v>1990</v>
      </c>
      <c r="B6612">
        <v>57</v>
      </c>
      <c r="C6612" t="s">
        <v>26</v>
      </c>
      <c r="D6612" t="s">
        <v>31</v>
      </c>
      <c r="E6612" t="s">
        <v>32</v>
      </c>
      <c r="F6612" t="s">
        <v>21</v>
      </c>
      <c r="G6612" t="s">
        <v>43</v>
      </c>
      <c r="H6612" t="s">
        <v>25</v>
      </c>
      <c r="I6612" s="1">
        <v>3</v>
      </c>
      <c r="J6612" s="2">
        <v>45697</v>
      </c>
      <c r="L6612" s="1" t="str">
        <f t="shared" si="733"/>
        <v>dom</v>
      </c>
      <c r="M6612" s="1" t="str">
        <f t="shared" si="734"/>
        <v>fev</v>
      </c>
      <c r="N6612">
        <f t="shared" si="735"/>
        <v>2025</v>
      </c>
      <c r="P6612" t="str">
        <f t="shared" si="736"/>
        <v>199045697</v>
      </c>
    </row>
    <row r="6613" spans="1:16" x14ac:dyDescent="0.3">
      <c r="A6613">
        <v>1990</v>
      </c>
      <c r="B6613">
        <v>57</v>
      </c>
      <c r="C6613" t="s">
        <v>26</v>
      </c>
      <c r="D6613" t="s">
        <v>31</v>
      </c>
      <c r="E6613" t="s">
        <v>32</v>
      </c>
      <c r="F6613" t="s">
        <v>21</v>
      </c>
      <c r="G6613" t="s">
        <v>43</v>
      </c>
      <c r="H6613" t="s">
        <v>25</v>
      </c>
      <c r="I6613" s="1">
        <v>3</v>
      </c>
      <c r="J6613" s="2">
        <v>45696</v>
      </c>
      <c r="L6613" s="1" t="str">
        <f t="shared" si="733"/>
        <v>sáb</v>
      </c>
      <c r="M6613" s="1" t="str">
        <f t="shared" si="734"/>
        <v>fev</v>
      </c>
      <c r="N6613">
        <f t="shared" si="735"/>
        <v>2025</v>
      </c>
      <c r="P6613" t="str">
        <f t="shared" si="736"/>
        <v>199045696</v>
      </c>
    </row>
    <row r="6614" spans="1:16" x14ac:dyDescent="0.3">
      <c r="A6614">
        <v>1990</v>
      </c>
      <c r="B6614">
        <v>57</v>
      </c>
      <c r="C6614" t="s">
        <v>26</v>
      </c>
      <c r="D6614" t="s">
        <v>31</v>
      </c>
      <c r="E6614" t="s">
        <v>32</v>
      </c>
      <c r="F6614" t="s">
        <v>21</v>
      </c>
      <c r="G6614" t="s">
        <v>43</v>
      </c>
      <c r="H6614" t="s">
        <v>25</v>
      </c>
      <c r="I6614" s="1">
        <v>3</v>
      </c>
      <c r="J6614" s="2">
        <v>45695</v>
      </c>
      <c r="L6614" s="1" t="str">
        <f t="shared" si="733"/>
        <v>sex</v>
      </c>
      <c r="M6614" s="1" t="str">
        <f t="shared" si="734"/>
        <v>fev</v>
      </c>
      <c r="N6614">
        <f t="shared" si="735"/>
        <v>2025</v>
      </c>
      <c r="P6614" t="str">
        <f t="shared" si="736"/>
        <v>199045695</v>
      </c>
    </row>
    <row r="6615" spans="1:16" x14ac:dyDescent="0.3">
      <c r="A6615">
        <v>1990</v>
      </c>
      <c r="B6615">
        <v>57</v>
      </c>
      <c r="C6615" t="s">
        <v>26</v>
      </c>
      <c r="D6615" t="s">
        <v>31</v>
      </c>
      <c r="E6615" t="s">
        <v>32</v>
      </c>
      <c r="F6615" t="s">
        <v>21</v>
      </c>
      <c r="G6615" t="s">
        <v>43</v>
      </c>
      <c r="H6615" t="s">
        <v>25</v>
      </c>
      <c r="I6615" s="1">
        <v>3</v>
      </c>
      <c r="J6615" s="2">
        <v>45694</v>
      </c>
      <c r="L6615" s="1" t="str">
        <f t="shared" si="733"/>
        <v>qui</v>
      </c>
      <c r="M6615" s="1" t="str">
        <f t="shared" si="734"/>
        <v>fev</v>
      </c>
      <c r="N6615">
        <f t="shared" si="735"/>
        <v>2025</v>
      </c>
      <c r="P6615" t="str">
        <f t="shared" si="736"/>
        <v>199045694</v>
      </c>
    </row>
    <row r="6616" spans="1:16" x14ac:dyDescent="0.3">
      <c r="A6616">
        <v>1990</v>
      </c>
      <c r="B6616">
        <v>57</v>
      </c>
      <c r="C6616" t="s">
        <v>26</v>
      </c>
      <c r="D6616" t="s">
        <v>31</v>
      </c>
      <c r="E6616" t="s">
        <v>32</v>
      </c>
      <c r="F6616" t="s">
        <v>21</v>
      </c>
      <c r="G6616" t="s">
        <v>43</v>
      </c>
      <c r="H6616" t="s">
        <v>25</v>
      </c>
      <c r="I6616" s="1">
        <v>3</v>
      </c>
      <c r="J6616" s="2">
        <v>45693</v>
      </c>
      <c r="L6616" s="1" t="str">
        <f t="shared" si="733"/>
        <v>qua</v>
      </c>
      <c r="M6616" s="1" t="str">
        <f t="shared" si="734"/>
        <v>fev</v>
      </c>
      <c r="N6616">
        <f t="shared" si="735"/>
        <v>2025</v>
      </c>
      <c r="P6616" t="str">
        <f t="shared" si="736"/>
        <v>199045693</v>
      </c>
    </row>
    <row r="6617" spans="1:16" x14ac:dyDescent="0.3">
      <c r="A6617">
        <v>1990</v>
      </c>
      <c r="B6617">
        <v>57</v>
      </c>
      <c r="C6617" t="s">
        <v>26</v>
      </c>
      <c r="D6617" t="s">
        <v>31</v>
      </c>
      <c r="E6617" t="s">
        <v>32</v>
      </c>
      <c r="F6617" t="s">
        <v>21</v>
      </c>
      <c r="G6617" t="s">
        <v>43</v>
      </c>
      <c r="H6617" t="s">
        <v>25</v>
      </c>
      <c r="I6617" s="1">
        <v>3</v>
      </c>
      <c r="J6617" s="2">
        <v>45692</v>
      </c>
      <c r="L6617" s="1" t="str">
        <f t="shared" si="733"/>
        <v>ter</v>
      </c>
      <c r="M6617" s="1" t="str">
        <f t="shared" si="734"/>
        <v>fev</v>
      </c>
      <c r="N6617">
        <f t="shared" si="735"/>
        <v>2025</v>
      </c>
      <c r="P6617" t="str">
        <f t="shared" si="736"/>
        <v>199045692</v>
      </c>
    </row>
    <row r="6618" spans="1:16" x14ac:dyDescent="0.3">
      <c r="A6618">
        <v>1990</v>
      </c>
      <c r="B6618">
        <v>57</v>
      </c>
      <c r="C6618" t="s">
        <v>26</v>
      </c>
      <c r="D6618" t="s">
        <v>31</v>
      </c>
      <c r="E6618" t="s">
        <v>32</v>
      </c>
      <c r="F6618" t="s">
        <v>21</v>
      </c>
      <c r="G6618" t="s">
        <v>43</v>
      </c>
      <c r="H6618" t="s">
        <v>25</v>
      </c>
      <c r="I6618" s="1">
        <v>3</v>
      </c>
      <c r="J6618" s="2">
        <v>45691</v>
      </c>
      <c r="L6618" s="1" t="str">
        <f t="shared" si="733"/>
        <v>seg</v>
      </c>
      <c r="M6618" s="1" t="str">
        <f t="shared" si="734"/>
        <v>fev</v>
      </c>
      <c r="N6618">
        <f t="shared" si="735"/>
        <v>2025</v>
      </c>
      <c r="P6618" t="str">
        <f t="shared" si="736"/>
        <v>199045691</v>
      </c>
    </row>
    <row r="6619" spans="1:16" x14ac:dyDescent="0.3">
      <c r="A6619">
        <v>1990</v>
      </c>
      <c r="B6619">
        <v>57</v>
      </c>
      <c r="C6619" t="s">
        <v>26</v>
      </c>
      <c r="D6619" t="s">
        <v>31</v>
      </c>
      <c r="E6619" t="s">
        <v>32</v>
      </c>
      <c r="F6619" t="s">
        <v>21</v>
      </c>
      <c r="G6619" t="s">
        <v>43</v>
      </c>
      <c r="H6619" t="s">
        <v>25</v>
      </c>
      <c r="I6619" s="1">
        <v>3</v>
      </c>
      <c r="J6619" s="2">
        <v>45690</v>
      </c>
      <c r="L6619" s="1" t="str">
        <f t="shared" si="733"/>
        <v>dom</v>
      </c>
      <c r="M6619" s="1" t="str">
        <f t="shared" si="734"/>
        <v>fev</v>
      </c>
      <c r="N6619">
        <f t="shared" si="735"/>
        <v>2025</v>
      </c>
      <c r="P6619" t="str">
        <f t="shared" si="736"/>
        <v>199045690</v>
      </c>
    </row>
    <row r="6620" spans="1:16" x14ac:dyDescent="0.3">
      <c r="A6620">
        <v>1990</v>
      </c>
      <c r="B6620">
        <v>57</v>
      </c>
      <c r="C6620" t="s">
        <v>26</v>
      </c>
      <c r="D6620" t="s">
        <v>31</v>
      </c>
      <c r="E6620" t="s">
        <v>32</v>
      </c>
      <c r="F6620" t="s">
        <v>21</v>
      </c>
      <c r="G6620" t="s">
        <v>43</v>
      </c>
      <c r="H6620" t="s">
        <v>25</v>
      </c>
      <c r="I6620" s="1">
        <v>3</v>
      </c>
      <c r="J6620" s="2">
        <v>45689</v>
      </c>
      <c r="L6620" s="1" t="str">
        <f t="shared" si="733"/>
        <v>sáb</v>
      </c>
      <c r="M6620" s="1" t="str">
        <f t="shared" si="734"/>
        <v>fev</v>
      </c>
      <c r="N6620">
        <f t="shared" si="735"/>
        <v>2025</v>
      </c>
      <c r="P6620" t="str">
        <f t="shared" si="736"/>
        <v>199045689</v>
      </c>
    </row>
    <row r="6621" spans="1:16" x14ac:dyDescent="0.3">
      <c r="A6621">
        <v>1990</v>
      </c>
      <c r="B6621">
        <v>57</v>
      </c>
      <c r="C6621" t="s">
        <v>26</v>
      </c>
      <c r="D6621" t="s">
        <v>31</v>
      </c>
      <c r="E6621" t="s">
        <v>32</v>
      </c>
      <c r="F6621" t="s">
        <v>21</v>
      </c>
      <c r="G6621" t="s">
        <v>43</v>
      </c>
      <c r="H6621" t="s">
        <v>25</v>
      </c>
      <c r="I6621" s="1">
        <v>3</v>
      </c>
      <c r="J6621" s="2">
        <v>45688</v>
      </c>
      <c r="L6621" s="1" t="str">
        <f t="shared" si="733"/>
        <v>sex</v>
      </c>
      <c r="M6621" s="1" t="str">
        <f t="shared" si="734"/>
        <v>jan</v>
      </c>
      <c r="N6621">
        <f t="shared" si="735"/>
        <v>2025</v>
      </c>
      <c r="P6621" t="str">
        <f t="shared" si="736"/>
        <v>199045688</v>
      </c>
    </row>
    <row r="6622" spans="1:16" x14ac:dyDescent="0.3">
      <c r="A6622">
        <v>1990</v>
      </c>
      <c r="B6622">
        <v>57</v>
      </c>
      <c r="C6622" t="s">
        <v>26</v>
      </c>
      <c r="D6622" t="s">
        <v>31</v>
      </c>
      <c r="E6622" t="s">
        <v>32</v>
      </c>
      <c r="F6622" t="s">
        <v>21</v>
      </c>
      <c r="G6622" t="s">
        <v>43</v>
      </c>
      <c r="H6622" t="s">
        <v>25</v>
      </c>
      <c r="I6622" s="1">
        <v>3</v>
      </c>
      <c r="J6622" s="2">
        <v>45687</v>
      </c>
      <c r="L6622" s="1" t="str">
        <f t="shared" si="733"/>
        <v>qui</v>
      </c>
      <c r="M6622" s="1" t="str">
        <f t="shared" si="734"/>
        <v>jan</v>
      </c>
      <c r="N6622">
        <f t="shared" si="735"/>
        <v>2025</v>
      </c>
      <c r="P6622" t="str">
        <f t="shared" si="736"/>
        <v>199045687</v>
      </c>
    </row>
    <row r="6623" spans="1:16" x14ac:dyDescent="0.3">
      <c r="A6623">
        <v>1990</v>
      </c>
      <c r="B6623">
        <v>57</v>
      </c>
      <c r="C6623" t="s">
        <v>26</v>
      </c>
      <c r="D6623" t="s">
        <v>31</v>
      </c>
      <c r="E6623" t="s">
        <v>32</v>
      </c>
      <c r="F6623" t="s">
        <v>21</v>
      </c>
      <c r="G6623" t="s">
        <v>43</v>
      </c>
      <c r="H6623" t="s">
        <v>25</v>
      </c>
      <c r="I6623" s="1">
        <v>3</v>
      </c>
      <c r="J6623" s="2">
        <v>45686</v>
      </c>
      <c r="L6623" s="1" t="str">
        <f t="shared" si="733"/>
        <v>qua</v>
      </c>
      <c r="M6623" s="1" t="str">
        <f t="shared" si="734"/>
        <v>jan</v>
      </c>
      <c r="N6623">
        <f t="shared" si="735"/>
        <v>2025</v>
      </c>
      <c r="P6623" t="str">
        <f t="shared" si="736"/>
        <v>199045686</v>
      </c>
    </row>
    <row r="6624" spans="1:16" x14ac:dyDescent="0.3">
      <c r="A6624">
        <v>1990</v>
      </c>
      <c r="B6624">
        <v>57</v>
      </c>
      <c r="C6624" t="s">
        <v>26</v>
      </c>
      <c r="D6624" t="s">
        <v>31</v>
      </c>
      <c r="E6624" t="s">
        <v>32</v>
      </c>
      <c r="F6624" t="s">
        <v>21</v>
      </c>
      <c r="G6624" t="s">
        <v>43</v>
      </c>
      <c r="H6624" t="s">
        <v>25</v>
      </c>
      <c r="I6624" s="1">
        <v>3</v>
      </c>
      <c r="J6624" s="2">
        <v>45685</v>
      </c>
      <c r="L6624" s="1" t="str">
        <f t="shared" si="733"/>
        <v>ter</v>
      </c>
      <c r="M6624" s="1" t="str">
        <f t="shared" si="734"/>
        <v>jan</v>
      </c>
      <c r="N6624">
        <f t="shared" si="735"/>
        <v>2025</v>
      </c>
      <c r="P6624" t="str">
        <f t="shared" si="736"/>
        <v>199045685</v>
      </c>
    </row>
    <row r="6625" spans="1:16" x14ac:dyDescent="0.3">
      <c r="A6625">
        <v>1990</v>
      </c>
      <c r="B6625">
        <v>57</v>
      </c>
      <c r="C6625" t="s">
        <v>26</v>
      </c>
      <c r="D6625" t="s">
        <v>31</v>
      </c>
      <c r="E6625" t="s">
        <v>32</v>
      </c>
      <c r="F6625" t="s">
        <v>21</v>
      </c>
      <c r="G6625" t="s">
        <v>43</v>
      </c>
      <c r="H6625" t="s">
        <v>25</v>
      </c>
      <c r="I6625" s="1">
        <v>3</v>
      </c>
      <c r="J6625" s="2">
        <v>45684</v>
      </c>
      <c r="L6625" s="1" t="str">
        <f t="shared" si="733"/>
        <v>seg</v>
      </c>
      <c r="M6625" s="1" t="str">
        <f t="shared" si="734"/>
        <v>jan</v>
      </c>
      <c r="N6625">
        <f t="shared" si="735"/>
        <v>2025</v>
      </c>
      <c r="P6625" t="str">
        <f t="shared" si="736"/>
        <v>199045684</v>
      </c>
    </row>
    <row r="6626" spans="1:16" x14ac:dyDescent="0.3">
      <c r="A6626">
        <v>1990</v>
      </c>
      <c r="B6626">
        <v>57</v>
      </c>
      <c r="C6626" t="s">
        <v>26</v>
      </c>
      <c r="D6626" t="s">
        <v>31</v>
      </c>
      <c r="E6626" t="s">
        <v>32</v>
      </c>
      <c r="F6626" t="s">
        <v>21</v>
      </c>
      <c r="G6626" t="s">
        <v>43</v>
      </c>
      <c r="H6626" t="s">
        <v>25</v>
      </c>
      <c r="I6626" s="1">
        <v>3</v>
      </c>
      <c r="J6626" s="2">
        <v>45683</v>
      </c>
      <c r="L6626" s="1" t="str">
        <f t="shared" si="733"/>
        <v>dom</v>
      </c>
      <c r="M6626" s="1" t="str">
        <f t="shared" si="734"/>
        <v>jan</v>
      </c>
      <c r="N6626">
        <f t="shared" si="735"/>
        <v>2025</v>
      </c>
      <c r="P6626" t="str">
        <f t="shared" si="736"/>
        <v>199045683</v>
      </c>
    </row>
    <row r="6627" spans="1:16" x14ac:dyDescent="0.3">
      <c r="A6627">
        <v>1990</v>
      </c>
      <c r="B6627">
        <v>57</v>
      </c>
      <c r="C6627" t="s">
        <v>26</v>
      </c>
      <c r="D6627" t="s">
        <v>31</v>
      </c>
      <c r="E6627" t="s">
        <v>32</v>
      </c>
      <c r="F6627" t="s">
        <v>21</v>
      </c>
      <c r="G6627" t="s">
        <v>43</v>
      </c>
      <c r="H6627" t="s">
        <v>25</v>
      </c>
      <c r="I6627" s="1">
        <v>3</v>
      </c>
      <c r="J6627" s="2">
        <v>45682</v>
      </c>
      <c r="L6627" s="1" t="str">
        <f t="shared" si="733"/>
        <v>sáb</v>
      </c>
      <c r="M6627" s="1" t="str">
        <f t="shared" si="734"/>
        <v>jan</v>
      </c>
      <c r="N6627">
        <f t="shared" si="735"/>
        <v>2025</v>
      </c>
      <c r="P6627" t="str">
        <f t="shared" si="736"/>
        <v>199045682</v>
      </c>
    </row>
    <row r="6628" spans="1:16" x14ac:dyDescent="0.3">
      <c r="A6628">
        <v>1990</v>
      </c>
      <c r="B6628">
        <v>57</v>
      </c>
      <c r="C6628" t="s">
        <v>26</v>
      </c>
      <c r="D6628" t="s">
        <v>31</v>
      </c>
      <c r="E6628" t="s">
        <v>32</v>
      </c>
      <c r="F6628" t="s">
        <v>21</v>
      </c>
      <c r="G6628" t="s">
        <v>43</v>
      </c>
      <c r="H6628" t="s">
        <v>25</v>
      </c>
      <c r="I6628" s="1">
        <v>3</v>
      </c>
      <c r="J6628" s="2">
        <v>45681</v>
      </c>
      <c r="L6628" s="1" t="str">
        <f t="shared" si="733"/>
        <v>sex</v>
      </c>
      <c r="M6628" s="1" t="str">
        <f t="shared" si="734"/>
        <v>jan</v>
      </c>
      <c r="N6628">
        <f t="shared" si="735"/>
        <v>2025</v>
      </c>
      <c r="P6628" t="str">
        <f t="shared" si="736"/>
        <v>199045681</v>
      </c>
    </row>
    <row r="6629" spans="1:16" x14ac:dyDescent="0.3">
      <c r="A6629">
        <v>1990</v>
      </c>
      <c r="B6629">
        <v>57</v>
      </c>
      <c r="C6629" t="s">
        <v>26</v>
      </c>
      <c r="D6629" t="s">
        <v>31</v>
      </c>
      <c r="E6629" t="s">
        <v>32</v>
      </c>
      <c r="F6629" t="s">
        <v>21</v>
      </c>
      <c r="G6629" t="s">
        <v>43</v>
      </c>
      <c r="H6629" t="s">
        <v>25</v>
      </c>
      <c r="I6629" s="1">
        <v>3</v>
      </c>
      <c r="J6629" s="2">
        <v>45680</v>
      </c>
      <c r="L6629" s="1" t="str">
        <f t="shared" si="733"/>
        <v>qui</v>
      </c>
      <c r="M6629" s="1" t="str">
        <f t="shared" si="734"/>
        <v>jan</v>
      </c>
      <c r="N6629">
        <f t="shared" si="735"/>
        <v>2025</v>
      </c>
      <c r="P6629" t="str">
        <f t="shared" si="736"/>
        <v>199045680</v>
      </c>
    </row>
    <row r="6630" spans="1:16" x14ac:dyDescent="0.3">
      <c r="A6630">
        <v>1990</v>
      </c>
      <c r="B6630">
        <v>57</v>
      </c>
      <c r="C6630" t="s">
        <v>26</v>
      </c>
      <c r="D6630" t="s">
        <v>31</v>
      </c>
      <c r="E6630" t="s">
        <v>32</v>
      </c>
      <c r="F6630" t="s">
        <v>21</v>
      </c>
      <c r="G6630" t="s">
        <v>43</v>
      </c>
      <c r="H6630" t="s">
        <v>25</v>
      </c>
      <c r="I6630" s="1">
        <v>3</v>
      </c>
      <c r="J6630" s="2">
        <v>45679</v>
      </c>
      <c r="L6630" s="1" t="str">
        <f t="shared" si="733"/>
        <v>qua</v>
      </c>
      <c r="M6630" s="1" t="str">
        <f t="shared" si="734"/>
        <v>jan</v>
      </c>
      <c r="N6630">
        <f t="shared" si="735"/>
        <v>2025</v>
      </c>
      <c r="P6630" t="str">
        <f t="shared" si="736"/>
        <v>199045679</v>
      </c>
    </row>
    <row r="6631" spans="1:16" x14ac:dyDescent="0.3">
      <c r="A6631">
        <v>1990</v>
      </c>
      <c r="B6631">
        <v>57</v>
      </c>
      <c r="C6631" t="s">
        <v>26</v>
      </c>
      <c r="D6631" t="s">
        <v>31</v>
      </c>
      <c r="E6631" t="s">
        <v>32</v>
      </c>
      <c r="F6631" t="s">
        <v>21</v>
      </c>
      <c r="G6631" t="s">
        <v>43</v>
      </c>
      <c r="H6631" t="s">
        <v>25</v>
      </c>
      <c r="I6631" s="1">
        <v>3</v>
      </c>
      <c r="J6631" s="2">
        <v>45678</v>
      </c>
      <c r="L6631" s="1" t="str">
        <f t="shared" si="733"/>
        <v>ter</v>
      </c>
      <c r="M6631" s="1" t="str">
        <f t="shared" si="734"/>
        <v>jan</v>
      </c>
      <c r="N6631">
        <f t="shared" si="735"/>
        <v>2025</v>
      </c>
      <c r="P6631" t="str">
        <f t="shared" si="736"/>
        <v>199045678</v>
      </c>
    </row>
    <row r="6632" spans="1:16" x14ac:dyDescent="0.3">
      <c r="A6632">
        <v>1039</v>
      </c>
      <c r="B6632">
        <v>58</v>
      </c>
      <c r="C6632" t="s">
        <v>26</v>
      </c>
      <c r="D6632" t="s">
        <v>16</v>
      </c>
      <c r="E6632" t="s">
        <v>17</v>
      </c>
      <c r="F6632" t="s">
        <v>23</v>
      </c>
      <c r="G6632" t="s">
        <v>43</v>
      </c>
      <c r="H6632" t="s">
        <v>25</v>
      </c>
      <c r="I6632" s="1">
        <v>3</v>
      </c>
      <c r="J6632" s="2">
        <v>45723</v>
      </c>
      <c r="L6632" s="1" t="str">
        <f>TEXT(J6632,"ddd")</f>
        <v>sex</v>
      </c>
      <c r="M6632" s="1" t="str">
        <f>TEXT($J6632,"mmm")</f>
        <v>mar</v>
      </c>
      <c r="N6632">
        <f>YEAR(J6632)</f>
        <v>2025</v>
      </c>
      <c r="P6632" t="str">
        <f>CONCATENATE(A6632,J6632)</f>
        <v>103945723</v>
      </c>
    </row>
    <row r="6633" spans="1:16" x14ac:dyDescent="0.3">
      <c r="A6633">
        <v>1039</v>
      </c>
      <c r="B6633">
        <v>58</v>
      </c>
      <c r="C6633" t="s">
        <v>26</v>
      </c>
      <c r="D6633" t="s">
        <v>16</v>
      </c>
      <c r="E6633" t="s">
        <v>17</v>
      </c>
      <c r="F6633" t="s">
        <v>23</v>
      </c>
      <c r="G6633" t="s">
        <v>43</v>
      </c>
      <c r="H6633" t="s">
        <v>25</v>
      </c>
      <c r="I6633" s="1">
        <v>3</v>
      </c>
      <c r="J6633" s="2">
        <v>45722</v>
      </c>
      <c r="L6633" s="1" t="str">
        <f>TEXT(J6633,"ddd")</f>
        <v>qui</v>
      </c>
      <c r="M6633" s="1" t="str">
        <f>TEXT($J6633,"mmm")</f>
        <v>mar</v>
      </c>
      <c r="N6633">
        <f>YEAR(J6633)</f>
        <v>2025</v>
      </c>
      <c r="P6633" t="str">
        <f>CONCATENATE(A6633,J6633)</f>
        <v>103945722</v>
      </c>
    </row>
    <row r="6634" spans="1:16" x14ac:dyDescent="0.3">
      <c r="A6634">
        <v>1039</v>
      </c>
      <c r="B6634">
        <v>58</v>
      </c>
      <c r="C6634" t="s">
        <v>26</v>
      </c>
      <c r="D6634" t="s">
        <v>16</v>
      </c>
      <c r="E6634" t="s">
        <v>17</v>
      </c>
      <c r="F6634" t="s">
        <v>23</v>
      </c>
      <c r="G6634" t="s">
        <v>43</v>
      </c>
      <c r="H6634" t="s">
        <v>25</v>
      </c>
      <c r="I6634" s="1">
        <v>3</v>
      </c>
      <c r="J6634" s="2">
        <v>45721</v>
      </c>
      <c r="L6634" s="1" t="str">
        <f t="shared" ref="L6634:L6697" si="737">TEXT(J6634,"ddd")</f>
        <v>qua</v>
      </c>
      <c r="M6634" s="1" t="str">
        <f t="shared" ref="M6634:M6697" si="738">TEXT($J6634,"mmm")</f>
        <v>mar</v>
      </c>
      <c r="N6634">
        <f t="shared" ref="N6634:N6697" si="739">YEAR(J6634)</f>
        <v>2025</v>
      </c>
      <c r="P6634" t="str">
        <f t="shared" ref="P6634:P6697" si="740">CONCATENATE(A6634,J6634)</f>
        <v>103945721</v>
      </c>
    </row>
    <row r="6635" spans="1:16" x14ac:dyDescent="0.3">
      <c r="A6635">
        <v>1039</v>
      </c>
      <c r="B6635">
        <v>58</v>
      </c>
      <c r="C6635" t="s">
        <v>26</v>
      </c>
      <c r="D6635" t="s">
        <v>16</v>
      </c>
      <c r="E6635" t="s">
        <v>17</v>
      </c>
      <c r="F6635" t="s">
        <v>23</v>
      </c>
      <c r="G6635" t="s">
        <v>43</v>
      </c>
      <c r="H6635" t="s">
        <v>25</v>
      </c>
      <c r="I6635" s="1">
        <v>3</v>
      </c>
      <c r="J6635" s="2">
        <v>45720</v>
      </c>
      <c r="L6635" s="1" t="str">
        <f t="shared" si="737"/>
        <v>ter</v>
      </c>
      <c r="M6635" s="1" t="str">
        <f t="shared" si="738"/>
        <v>mar</v>
      </c>
      <c r="N6635">
        <f t="shared" si="739"/>
        <v>2025</v>
      </c>
      <c r="P6635" t="str">
        <f t="shared" si="740"/>
        <v>103945720</v>
      </c>
    </row>
    <row r="6636" spans="1:16" x14ac:dyDescent="0.3">
      <c r="A6636">
        <v>1039</v>
      </c>
      <c r="B6636">
        <v>58</v>
      </c>
      <c r="C6636" t="s">
        <v>26</v>
      </c>
      <c r="D6636" t="s">
        <v>16</v>
      </c>
      <c r="E6636" t="s">
        <v>17</v>
      </c>
      <c r="F6636" t="s">
        <v>23</v>
      </c>
      <c r="G6636" t="s">
        <v>43</v>
      </c>
      <c r="H6636" t="s">
        <v>25</v>
      </c>
      <c r="I6636" s="1">
        <v>3</v>
      </c>
      <c r="J6636" s="2">
        <v>45719</v>
      </c>
      <c r="L6636" s="1" t="str">
        <f t="shared" si="737"/>
        <v>seg</v>
      </c>
      <c r="M6636" s="1" t="str">
        <f t="shared" si="738"/>
        <v>mar</v>
      </c>
      <c r="N6636">
        <f t="shared" si="739"/>
        <v>2025</v>
      </c>
      <c r="P6636" t="str">
        <f t="shared" si="740"/>
        <v>103945719</v>
      </c>
    </row>
    <row r="6637" spans="1:16" x14ac:dyDescent="0.3">
      <c r="A6637">
        <v>1039</v>
      </c>
      <c r="B6637">
        <v>58</v>
      </c>
      <c r="C6637" t="s">
        <v>26</v>
      </c>
      <c r="D6637" t="s">
        <v>16</v>
      </c>
      <c r="E6637" t="s">
        <v>17</v>
      </c>
      <c r="F6637" t="s">
        <v>23</v>
      </c>
      <c r="G6637" t="s">
        <v>43</v>
      </c>
      <c r="H6637" t="s">
        <v>25</v>
      </c>
      <c r="I6637" s="1">
        <v>3</v>
      </c>
      <c r="J6637" s="2">
        <v>45718</v>
      </c>
      <c r="L6637" s="1" t="str">
        <f t="shared" si="737"/>
        <v>dom</v>
      </c>
      <c r="M6637" s="1" t="str">
        <f t="shared" si="738"/>
        <v>mar</v>
      </c>
      <c r="N6637">
        <f t="shared" si="739"/>
        <v>2025</v>
      </c>
      <c r="P6637" t="str">
        <f t="shared" si="740"/>
        <v>103945718</v>
      </c>
    </row>
    <row r="6638" spans="1:16" x14ac:dyDescent="0.3">
      <c r="A6638">
        <v>1039</v>
      </c>
      <c r="B6638">
        <v>58</v>
      </c>
      <c r="C6638" t="s">
        <v>26</v>
      </c>
      <c r="D6638" t="s">
        <v>16</v>
      </c>
      <c r="E6638" t="s">
        <v>17</v>
      </c>
      <c r="F6638" t="s">
        <v>23</v>
      </c>
      <c r="G6638" t="s">
        <v>43</v>
      </c>
      <c r="H6638" t="s">
        <v>25</v>
      </c>
      <c r="I6638" s="1">
        <v>3</v>
      </c>
      <c r="J6638" s="2">
        <v>45717</v>
      </c>
      <c r="L6638" s="1" t="str">
        <f t="shared" si="737"/>
        <v>sáb</v>
      </c>
      <c r="M6638" s="1" t="str">
        <f t="shared" si="738"/>
        <v>mar</v>
      </c>
      <c r="N6638">
        <f t="shared" si="739"/>
        <v>2025</v>
      </c>
      <c r="P6638" t="str">
        <f t="shared" si="740"/>
        <v>103945717</v>
      </c>
    </row>
    <row r="6639" spans="1:16" x14ac:dyDescent="0.3">
      <c r="A6639">
        <v>1039</v>
      </c>
      <c r="B6639">
        <v>58</v>
      </c>
      <c r="C6639" t="s">
        <v>26</v>
      </c>
      <c r="D6639" t="s">
        <v>16</v>
      </c>
      <c r="E6639" t="s">
        <v>17</v>
      </c>
      <c r="F6639" t="s">
        <v>23</v>
      </c>
      <c r="G6639" t="s">
        <v>43</v>
      </c>
      <c r="H6639" t="s">
        <v>25</v>
      </c>
      <c r="I6639" s="1">
        <v>3</v>
      </c>
      <c r="J6639" s="2">
        <v>45716</v>
      </c>
      <c r="L6639" s="1" t="str">
        <f t="shared" si="737"/>
        <v>sex</v>
      </c>
      <c r="M6639" s="1" t="str">
        <f t="shared" si="738"/>
        <v>fev</v>
      </c>
      <c r="N6639">
        <f t="shared" si="739"/>
        <v>2025</v>
      </c>
      <c r="P6639" t="str">
        <f t="shared" si="740"/>
        <v>103945716</v>
      </c>
    </row>
    <row r="6640" spans="1:16" x14ac:dyDescent="0.3">
      <c r="A6640">
        <v>1039</v>
      </c>
      <c r="B6640">
        <v>58</v>
      </c>
      <c r="C6640" t="s">
        <v>26</v>
      </c>
      <c r="D6640" t="s">
        <v>16</v>
      </c>
      <c r="E6640" t="s">
        <v>17</v>
      </c>
      <c r="F6640" t="s">
        <v>23</v>
      </c>
      <c r="G6640" t="s">
        <v>43</v>
      </c>
      <c r="H6640" t="s">
        <v>25</v>
      </c>
      <c r="I6640" s="1">
        <v>3</v>
      </c>
      <c r="J6640" s="2">
        <v>45715</v>
      </c>
      <c r="L6640" s="1" t="str">
        <f t="shared" si="737"/>
        <v>qui</v>
      </c>
      <c r="M6640" s="1" t="str">
        <f t="shared" si="738"/>
        <v>fev</v>
      </c>
      <c r="N6640">
        <f t="shared" si="739"/>
        <v>2025</v>
      </c>
      <c r="P6640" t="str">
        <f t="shared" si="740"/>
        <v>103945715</v>
      </c>
    </row>
    <row r="6641" spans="1:16" x14ac:dyDescent="0.3">
      <c r="A6641">
        <v>1039</v>
      </c>
      <c r="B6641">
        <v>58</v>
      </c>
      <c r="C6641" t="s">
        <v>26</v>
      </c>
      <c r="D6641" t="s">
        <v>16</v>
      </c>
      <c r="E6641" t="s">
        <v>17</v>
      </c>
      <c r="F6641" t="s">
        <v>23</v>
      </c>
      <c r="G6641" t="s">
        <v>43</v>
      </c>
      <c r="H6641" t="s">
        <v>25</v>
      </c>
      <c r="I6641" s="1">
        <v>3</v>
      </c>
      <c r="J6641" s="2">
        <v>45714</v>
      </c>
      <c r="L6641" s="1" t="str">
        <f t="shared" si="737"/>
        <v>qua</v>
      </c>
      <c r="M6641" s="1" t="str">
        <f t="shared" si="738"/>
        <v>fev</v>
      </c>
      <c r="N6641">
        <f t="shared" si="739"/>
        <v>2025</v>
      </c>
      <c r="P6641" t="str">
        <f t="shared" si="740"/>
        <v>103945714</v>
      </c>
    </row>
    <row r="6642" spans="1:16" x14ac:dyDescent="0.3">
      <c r="A6642">
        <v>1039</v>
      </c>
      <c r="B6642">
        <v>58</v>
      </c>
      <c r="C6642" t="s">
        <v>26</v>
      </c>
      <c r="D6642" t="s">
        <v>16</v>
      </c>
      <c r="E6642" t="s">
        <v>17</v>
      </c>
      <c r="F6642" t="s">
        <v>23</v>
      </c>
      <c r="G6642" t="s">
        <v>43</v>
      </c>
      <c r="H6642" t="s">
        <v>25</v>
      </c>
      <c r="I6642" s="1">
        <v>3</v>
      </c>
      <c r="J6642" s="2">
        <v>45713</v>
      </c>
      <c r="L6642" s="1" t="str">
        <f t="shared" si="737"/>
        <v>ter</v>
      </c>
      <c r="M6642" s="1" t="str">
        <f t="shared" si="738"/>
        <v>fev</v>
      </c>
      <c r="N6642">
        <f t="shared" si="739"/>
        <v>2025</v>
      </c>
      <c r="P6642" t="str">
        <f t="shared" si="740"/>
        <v>103945713</v>
      </c>
    </row>
    <row r="6643" spans="1:16" x14ac:dyDescent="0.3">
      <c r="A6643">
        <v>1039</v>
      </c>
      <c r="B6643">
        <v>58</v>
      </c>
      <c r="C6643" t="s">
        <v>26</v>
      </c>
      <c r="D6643" t="s">
        <v>16</v>
      </c>
      <c r="E6643" t="s">
        <v>17</v>
      </c>
      <c r="F6643" t="s">
        <v>23</v>
      </c>
      <c r="G6643" t="s">
        <v>43</v>
      </c>
      <c r="H6643" t="s">
        <v>25</v>
      </c>
      <c r="I6643" s="1">
        <v>3</v>
      </c>
      <c r="J6643" s="2">
        <v>45712</v>
      </c>
      <c r="L6643" s="1" t="str">
        <f t="shared" si="737"/>
        <v>seg</v>
      </c>
      <c r="M6643" s="1" t="str">
        <f t="shared" si="738"/>
        <v>fev</v>
      </c>
      <c r="N6643">
        <f t="shared" si="739"/>
        <v>2025</v>
      </c>
      <c r="P6643" t="str">
        <f t="shared" si="740"/>
        <v>103945712</v>
      </c>
    </row>
    <row r="6644" spans="1:16" x14ac:dyDescent="0.3">
      <c r="A6644">
        <v>1039</v>
      </c>
      <c r="B6644">
        <v>58</v>
      </c>
      <c r="C6644" t="s">
        <v>26</v>
      </c>
      <c r="D6644" t="s">
        <v>16</v>
      </c>
      <c r="E6644" t="s">
        <v>17</v>
      </c>
      <c r="F6644" t="s">
        <v>23</v>
      </c>
      <c r="G6644" t="s">
        <v>43</v>
      </c>
      <c r="H6644" t="s">
        <v>25</v>
      </c>
      <c r="I6644" s="1">
        <v>3</v>
      </c>
      <c r="J6644" s="2">
        <v>45711</v>
      </c>
      <c r="L6644" s="1" t="str">
        <f t="shared" si="737"/>
        <v>dom</v>
      </c>
      <c r="M6644" s="1" t="str">
        <f t="shared" si="738"/>
        <v>fev</v>
      </c>
      <c r="N6644">
        <f t="shared" si="739"/>
        <v>2025</v>
      </c>
      <c r="P6644" t="str">
        <f t="shared" si="740"/>
        <v>103945711</v>
      </c>
    </row>
    <row r="6645" spans="1:16" x14ac:dyDescent="0.3">
      <c r="A6645">
        <v>1039</v>
      </c>
      <c r="B6645">
        <v>58</v>
      </c>
      <c r="C6645" t="s">
        <v>26</v>
      </c>
      <c r="D6645" t="s">
        <v>16</v>
      </c>
      <c r="E6645" t="s">
        <v>17</v>
      </c>
      <c r="F6645" t="s">
        <v>23</v>
      </c>
      <c r="G6645" t="s">
        <v>43</v>
      </c>
      <c r="H6645" t="s">
        <v>25</v>
      </c>
      <c r="I6645" s="1">
        <v>3</v>
      </c>
      <c r="J6645" s="2">
        <v>45710</v>
      </c>
      <c r="L6645" s="1" t="str">
        <f t="shared" si="737"/>
        <v>sáb</v>
      </c>
      <c r="M6645" s="1" t="str">
        <f t="shared" si="738"/>
        <v>fev</v>
      </c>
      <c r="N6645">
        <f t="shared" si="739"/>
        <v>2025</v>
      </c>
      <c r="P6645" t="str">
        <f t="shared" si="740"/>
        <v>103945710</v>
      </c>
    </row>
    <row r="6646" spans="1:16" x14ac:dyDescent="0.3">
      <c r="A6646">
        <v>1039</v>
      </c>
      <c r="B6646">
        <v>58</v>
      </c>
      <c r="C6646" t="s">
        <v>26</v>
      </c>
      <c r="D6646" t="s">
        <v>16</v>
      </c>
      <c r="E6646" t="s">
        <v>17</v>
      </c>
      <c r="F6646" t="s">
        <v>23</v>
      </c>
      <c r="G6646" t="s">
        <v>43</v>
      </c>
      <c r="H6646" t="s">
        <v>25</v>
      </c>
      <c r="I6646" s="1">
        <v>3</v>
      </c>
      <c r="J6646" s="2">
        <v>45709</v>
      </c>
      <c r="L6646" s="1" t="str">
        <f t="shared" si="737"/>
        <v>sex</v>
      </c>
      <c r="M6646" s="1" t="str">
        <f t="shared" si="738"/>
        <v>fev</v>
      </c>
      <c r="N6646">
        <f t="shared" si="739"/>
        <v>2025</v>
      </c>
      <c r="P6646" t="str">
        <f t="shared" si="740"/>
        <v>103945709</v>
      </c>
    </row>
    <row r="6647" spans="1:16" x14ac:dyDescent="0.3">
      <c r="A6647">
        <v>1039</v>
      </c>
      <c r="B6647">
        <v>58</v>
      </c>
      <c r="C6647" t="s">
        <v>26</v>
      </c>
      <c r="D6647" t="s">
        <v>16</v>
      </c>
      <c r="E6647" t="s">
        <v>17</v>
      </c>
      <c r="F6647" t="s">
        <v>23</v>
      </c>
      <c r="G6647" t="s">
        <v>43</v>
      </c>
      <c r="H6647" t="s">
        <v>25</v>
      </c>
      <c r="I6647" s="1">
        <v>3</v>
      </c>
      <c r="J6647" s="2">
        <v>45708</v>
      </c>
      <c r="L6647" s="1" t="str">
        <f t="shared" si="737"/>
        <v>qui</v>
      </c>
      <c r="M6647" s="1" t="str">
        <f t="shared" si="738"/>
        <v>fev</v>
      </c>
      <c r="N6647">
        <f t="shared" si="739"/>
        <v>2025</v>
      </c>
      <c r="P6647" t="str">
        <f t="shared" si="740"/>
        <v>103945708</v>
      </c>
    </row>
    <row r="6648" spans="1:16" x14ac:dyDescent="0.3">
      <c r="A6648">
        <v>1039</v>
      </c>
      <c r="B6648">
        <v>58</v>
      </c>
      <c r="C6648" t="s">
        <v>26</v>
      </c>
      <c r="D6648" t="s">
        <v>16</v>
      </c>
      <c r="E6648" t="s">
        <v>17</v>
      </c>
      <c r="F6648" t="s">
        <v>23</v>
      </c>
      <c r="G6648" t="s">
        <v>43</v>
      </c>
      <c r="H6648" t="s">
        <v>25</v>
      </c>
      <c r="I6648" s="1">
        <v>3</v>
      </c>
      <c r="J6648" s="2">
        <v>45707</v>
      </c>
      <c r="L6648" s="1" t="str">
        <f t="shared" si="737"/>
        <v>qua</v>
      </c>
      <c r="M6648" s="1" t="str">
        <f t="shared" si="738"/>
        <v>fev</v>
      </c>
      <c r="N6648">
        <f t="shared" si="739"/>
        <v>2025</v>
      </c>
      <c r="P6648" t="str">
        <f t="shared" si="740"/>
        <v>103945707</v>
      </c>
    </row>
    <row r="6649" spans="1:16" x14ac:dyDescent="0.3">
      <c r="A6649">
        <v>1039</v>
      </c>
      <c r="B6649">
        <v>58</v>
      </c>
      <c r="C6649" t="s">
        <v>26</v>
      </c>
      <c r="D6649" t="s">
        <v>16</v>
      </c>
      <c r="E6649" t="s">
        <v>17</v>
      </c>
      <c r="F6649" t="s">
        <v>23</v>
      </c>
      <c r="G6649" t="s">
        <v>43</v>
      </c>
      <c r="H6649" t="s">
        <v>25</v>
      </c>
      <c r="I6649" s="1">
        <v>3</v>
      </c>
      <c r="J6649" s="2">
        <v>45706</v>
      </c>
      <c r="L6649" s="1" t="str">
        <f t="shared" si="737"/>
        <v>ter</v>
      </c>
      <c r="M6649" s="1" t="str">
        <f t="shared" si="738"/>
        <v>fev</v>
      </c>
      <c r="N6649">
        <f t="shared" si="739"/>
        <v>2025</v>
      </c>
      <c r="P6649" t="str">
        <f t="shared" si="740"/>
        <v>103945706</v>
      </c>
    </row>
    <row r="6650" spans="1:16" x14ac:dyDescent="0.3">
      <c r="A6650">
        <v>1039</v>
      </c>
      <c r="B6650">
        <v>58</v>
      </c>
      <c r="C6650" t="s">
        <v>26</v>
      </c>
      <c r="D6650" t="s">
        <v>16</v>
      </c>
      <c r="E6650" t="s">
        <v>17</v>
      </c>
      <c r="F6650" t="s">
        <v>23</v>
      </c>
      <c r="G6650" t="s">
        <v>43</v>
      </c>
      <c r="H6650" t="s">
        <v>25</v>
      </c>
      <c r="I6650" s="1">
        <v>3</v>
      </c>
      <c r="J6650" s="2">
        <v>45705</v>
      </c>
      <c r="L6650" s="1" t="str">
        <f t="shared" si="737"/>
        <v>seg</v>
      </c>
      <c r="M6650" s="1" t="str">
        <f t="shared" si="738"/>
        <v>fev</v>
      </c>
      <c r="N6650">
        <f t="shared" si="739"/>
        <v>2025</v>
      </c>
      <c r="P6650" t="str">
        <f t="shared" si="740"/>
        <v>103945705</v>
      </c>
    </row>
    <row r="6651" spans="1:16" x14ac:dyDescent="0.3">
      <c r="A6651">
        <v>1039</v>
      </c>
      <c r="B6651">
        <v>58</v>
      </c>
      <c r="C6651" t="s">
        <v>26</v>
      </c>
      <c r="D6651" t="s">
        <v>16</v>
      </c>
      <c r="E6651" t="s">
        <v>17</v>
      </c>
      <c r="F6651" t="s">
        <v>23</v>
      </c>
      <c r="G6651" t="s">
        <v>43</v>
      </c>
      <c r="H6651" t="s">
        <v>25</v>
      </c>
      <c r="I6651" s="1">
        <v>3</v>
      </c>
      <c r="J6651" s="2">
        <v>45704</v>
      </c>
      <c r="L6651" s="1" t="str">
        <f t="shared" si="737"/>
        <v>dom</v>
      </c>
      <c r="M6651" s="1" t="str">
        <f t="shared" si="738"/>
        <v>fev</v>
      </c>
      <c r="N6651">
        <f t="shared" si="739"/>
        <v>2025</v>
      </c>
      <c r="P6651" t="str">
        <f t="shared" si="740"/>
        <v>103945704</v>
      </c>
    </row>
    <row r="6652" spans="1:16" x14ac:dyDescent="0.3">
      <c r="A6652">
        <v>1039</v>
      </c>
      <c r="B6652">
        <v>58</v>
      </c>
      <c r="C6652" t="s">
        <v>26</v>
      </c>
      <c r="D6652" t="s">
        <v>16</v>
      </c>
      <c r="E6652" t="s">
        <v>17</v>
      </c>
      <c r="F6652" t="s">
        <v>23</v>
      </c>
      <c r="G6652" t="s">
        <v>43</v>
      </c>
      <c r="H6652" t="s">
        <v>25</v>
      </c>
      <c r="I6652" s="1">
        <v>3</v>
      </c>
      <c r="J6652" s="2">
        <v>45703</v>
      </c>
      <c r="L6652" s="1" t="str">
        <f t="shared" si="737"/>
        <v>sáb</v>
      </c>
      <c r="M6652" s="1" t="str">
        <f t="shared" si="738"/>
        <v>fev</v>
      </c>
      <c r="N6652">
        <f t="shared" si="739"/>
        <v>2025</v>
      </c>
      <c r="P6652" t="str">
        <f t="shared" si="740"/>
        <v>103945703</v>
      </c>
    </row>
    <row r="6653" spans="1:16" x14ac:dyDescent="0.3">
      <c r="A6653">
        <v>1039</v>
      </c>
      <c r="B6653">
        <v>58</v>
      </c>
      <c r="C6653" t="s">
        <v>26</v>
      </c>
      <c r="D6653" t="s">
        <v>16</v>
      </c>
      <c r="E6653" t="s">
        <v>17</v>
      </c>
      <c r="F6653" t="s">
        <v>23</v>
      </c>
      <c r="G6653" t="s">
        <v>43</v>
      </c>
      <c r="H6653" t="s">
        <v>25</v>
      </c>
      <c r="I6653" s="1">
        <v>3</v>
      </c>
      <c r="J6653" s="2">
        <v>45702</v>
      </c>
      <c r="L6653" s="1" t="str">
        <f t="shared" si="737"/>
        <v>sex</v>
      </c>
      <c r="M6653" s="1" t="str">
        <f t="shared" si="738"/>
        <v>fev</v>
      </c>
      <c r="N6653">
        <f t="shared" si="739"/>
        <v>2025</v>
      </c>
      <c r="P6653" t="str">
        <f t="shared" si="740"/>
        <v>103945702</v>
      </c>
    </row>
    <row r="6654" spans="1:16" x14ac:dyDescent="0.3">
      <c r="A6654">
        <v>1039</v>
      </c>
      <c r="B6654">
        <v>58</v>
      </c>
      <c r="C6654" t="s">
        <v>26</v>
      </c>
      <c r="D6654" t="s">
        <v>16</v>
      </c>
      <c r="E6654" t="s">
        <v>17</v>
      </c>
      <c r="F6654" t="s">
        <v>23</v>
      </c>
      <c r="G6654" t="s">
        <v>43</v>
      </c>
      <c r="H6654" t="s">
        <v>25</v>
      </c>
      <c r="I6654" s="1">
        <v>3</v>
      </c>
      <c r="J6654" s="2">
        <v>45701</v>
      </c>
      <c r="L6654" s="1" t="str">
        <f t="shared" si="737"/>
        <v>qui</v>
      </c>
      <c r="M6654" s="1" t="str">
        <f t="shared" si="738"/>
        <v>fev</v>
      </c>
      <c r="N6654">
        <f t="shared" si="739"/>
        <v>2025</v>
      </c>
      <c r="P6654" t="str">
        <f t="shared" si="740"/>
        <v>103945701</v>
      </c>
    </row>
    <row r="6655" spans="1:16" x14ac:dyDescent="0.3">
      <c r="A6655">
        <v>1039</v>
      </c>
      <c r="B6655">
        <v>58</v>
      </c>
      <c r="C6655" t="s">
        <v>26</v>
      </c>
      <c r="D6655" t="s">
        <v>16</v>
      </c>
      <c r="E6655" t="s">
        <v>17</v>
      </c>
      <c r="F6655" t="s">
        <v>23</v>
      </c>
      <c r="G6655" t="s">
        <v>43</v>
      </c>
      <c r="H6655" t="s">
        <v>25</v>
      </c>
      <c r="I6655" s="1">
        <v>3</v>
      </c>
      <c r="J6655" s="2">
        <v>45700</v>
      </c>
      <c r="L6655" s="1" t="str">
        <f t="shared" si="737"/>
        <v>qua</v>
      </c>
      <c r="M6655" s="1" t="str">
        <f t="shared" si="738"/>
        <v>fev</v>
      </c>
      <c r="N6655">
        <f t="shared" si="739"/>
        <v>2025</v>
      </c>
      <c r="P6655" t="str">
        <f t="shared" si="740"/>
        <v>103945700</v>
      </c>
    </row>
    <row r="6656" spans="1:16" x14ac:dyDescent="0.3">
      <c r="A6656">
        <v>1039</v>
      </c>
      <c r="B6656">
        <v>58</v>
      </c>
      <c r="C6656" t="s">
        <v>26</v>
      </c>
      <c r="D6656" t="s">
        <v>16</v>
      </c>
      <c r="E6656" t="s">
        <v>17</v>
      </c>
      <c r="F6656" t="s">
        <v>23</v>
      </c>
      <c r="G6656" t="s">
        <v>43</v>
      </c>
      <c r="H6656" t="s">
        <v>25</v>
      </c>
      <c r="I6656" s="1">
        <v>3</v>
      </c>
      <c r="J6656" s="2">
        <v>45699</v>
      </c>
      <c r="L6656" s="1" t="str">
        <f t="shared" si="737"/>
        <v>ter</v>
      </c>
      <c r="M6656" s="1" t="str">
        <f t="shared" si="738"/>
        <v>fev</v>
      </c>
      <c r="N6656">
        <f t="shared" si="739"/>
        <v>2025</v>
      </c>
      <c r="P6656" t="str">
        <f t="shared" si="740"/>
        <v>103945699</v>
      </c>
    </row>
    <row r="6657" spans="1:16" x14ac:dyDescent="0.3">
      <c r="A6657">
        <v>1039</v>
      </c>
      <c r="B6657">
        <v>58</v>
      </c>
      <c r="C6657" t="s">
        <v>26</v>
      </c>
      <c r="D6657" t="s">
        <v>16</v>
      </c>
      <c r="E6657" t="s">
        <v>17</v>
      </c>
      <c r="F6657" t="s">
        <v>23</v>
      </c>
      <c r="G6657" t="s">
        <v>43</v>
      </c>
      <c r="H6657" t="s">
        <v>25</v>
      </c>
      <c r="I6657" s="1">
        <v>3</v>
      </c>
      <c r="J6657" s="2">
        <v>45698</v>
      </c>
      <c r="L6657" s="1" t="str">
        <f t="shared" si="737"/>
        <v>seg</v>
      </c>
      <c r="M6657" s="1" t="str">
        <f t="shared" si="738"/>
        <v>fev</v>
      </c>
      <c r="N6657">
        <f t="shared" si="739"/>
        <v>2025</v>
      </c>
      <c r="P6657" t="str">
        <f t="shared" si="740"/>
        <v>103945698</v>
      </c>
    </row>
    <row r="6658" spans="1:16" x14ac:dyDescent="0.3">
      <c r="A6658">
        <v>1039</v>
      </c>
      <c r="B6658">
        <v>58</v>
      </c>
      <c r="C6658" t="s">
        <v>26</v>
      </c>
      <c r="D6658" t="s">
        <v>16</v>
      </c>
      <c r="E6658" t="s">
        <v>17</v>
      </c>
      <c r="F6658" t="s">
        <v>23</v>
      </c>
      <c r="G6658" t="s">
        <v>43</v>
      </c>
      <c r="H6658" t="s">
        <v>25</v>
      </c>
      <c r="I6658" s="1">
        <v>3</v>
      </c>
      <c r="J6658" s="2">
        <v>45697</v>
      </c>
      <c r="L6658" s="1" t="str">
        <f t="shared" si="737"/>
        <v>dom</v>
      </c>
      <c r="M6658" s="1" t="str">
        <f t="shared" si="738"/>
        <v>fev</v>
      </c>
      <c r="N6658">
        <f t="shared" si="739"/>
        <v>2025</v>
      </c>
      <c r="P6658" t="str">
        <f t="shared" si="740"/>
        <v>103945697</v>
      </c>
    </row>
    <row r="6659" spans="1:16" x14ac:dyDescent="0.3">
      <c r="A6659">
        <v>1039</v>
      </c>
      <c r="B6659">
        <v>58</v>
      </c>
      <c r="C6659" t="s">
        <v>26</v>
      </c>
      <c r="D6659" t="s">
        <v>16</v>
      </c>
      <c r="E6659" t="s">
        <v>17</v>
      </c>
      <c r="F6659" t="s">
        <v>23</v>
      </c>
      <c r="G6659" t="s">
        <v>43</v>
      </c>
      <c r="H6659" t="s">
        <v>25</v>
      </c>
      <c r="I6659" s="1">
        <v>3</v>
      </c>
      <c r="J6659" s="2">
        <v>45696</v>
      </c>
      <c r="L6659" s="1" t="str">
        <f t="shared" si="737"/>
        <v>sáb</v>
      </c>
      <c r="M6659" s="1" t="str">
        <f t="shared" si="738"/>
        <v>fev</v>
      </c>
      <c r="N6659">
        <f t="shared" si="739"/>
        <v>2025</v>
      </c>
      <c r="P6659" t="str">
        <f t="shared" si="740"/>
        <v>103945696</v>
      </c>
    </row>
    <row r="6660" spans="1:16" x14ac:dyDescent="0.3">
      <c r="A6660">
        <v>1039</v>
      </c>
      <c r="B6660">
        <v>58</v>
      </c>
      <c r="C6660" t="s">
        <v>26</v>
      </c>
      <c r="D6660" t="s">
        <v>16</v>
      </c>
      <c r="E6660" t="s">
        <v>17</v>
      </c>
      <c r="F6660" t="s">
        <v>23</v>
      </c>
      <c r="G6660" t="s">
        <v>43</v>
      </c>
      <c r="H6660" t="s">
        <v>25</v>
      </c>
      <c r="I6660" s="1">
        <v>3</v>
      </c>
      <c r="J6660" s="2">
        <v>45695</v>
      </c>
      <c r="L6660" s="1" t="str">
        <f t="shared" si="737"/>
        <v>sex</v>
      </c>
      <c r="M6660" s="1" t="str">
        <f t="shared" si="738"/>
        <v>fev</v>
      </c>
      <c r="N6660">
        <f t="shared" si="739"/>
        <v>2025</v>
      </c>
      <c r="P6660" t="str">
        <f t="shared" si="740"/>
        <v>103945695</v>
      </c>
    </row>
    <row r="6661" spans="1:16" x14ac:dyDescent="0.3">
      <c r="A6661">
        <v>1039</v>
      </c>
      <c r="B6661">
        <v>58</v>
      </c>
      <c r="C6661" t="s">
        <v>26</v>
      </c>
      <c r="D6661" t="s">
        <v>16</v>
      </c>
      <c r="E6661" t="s">
        <v>17</v>
      </c>
      <c r="F6661" t="s">
        <v>23</v>
      </c>
      <c r="G6661" t="s">
        <v>43</v>
      </c>
      <c r="H6661" t="s">
        <v>25</v>
      </c>
      <c r="I6661" s="1">
        <v>3</v>
      </c>
      <c r="J6661" s="2">
        <v>45694</v>
      </c>
      <c r="L6661" s="1" t="str">
        <f t="shared" si="737"/>
        <v>qui</v>
      </c>
      <c r="M6661" s="1" t="str">
        <f t="shared" si="738"/>
        <v>fev</v>
      </c>
      <c r="N6661">
        <f t="shared" si="739"/>
        <v>2025</v>
      </c>
      <c r="P6661" t="str">
        <f t="shared" si="740"/>
        <v>103945694</v>
      </c>
    </row>
    <row r="6662" spans="1:16" x14ac:dyDescent="0.3">
      <c r="A6662">
        <v>1039</v>
      </c>
      <c r="B6662">
        <v>58</v>
      </c>
      <c r="C6662" t="s">
        <v>26</v>
      </c>
      <c r="D6662" t="s">
        <v>16</v>
      </c>
      <c r="E6662" t="s">
        <v>17</v>
      </c>
      <c r="F6662" t="s">
        <v>23</v>
      </c>
      <c r="G6662" t="s">
        <v>43</v>
      </c>
      <c r="H6662" t="s">
        <v>25</v>
      </c>
      <c r="I6662" s="1">
        <v>3</v>
      </c>
      <c r="J6662" s="2">
        <v>45693</v>
      </c>
      <c r="L6662" s="1" t="str">
        <f t="shared" si="737"/>
        <v>qua</v>
      </c>
      <c r="M6662" s="1" t="str">
        <f t="shared" si="738"/>
        <v>fev</v>
      </c>
      <c r="N6662">
        <f t="shared" si="739"/>
        <v>2025</v>
      </c>
      <c r="P6662" t="str">
        <f t="shared" si="740"/>
        <v>103945693</v>
      </c>
    </row>
    <row r="6663" spans="1:16" x14ac:dyDescent="0.3">
      <c r="A6663">
        <v>1039</v>
      </c>
      <c r="B6663">
        <v>58</v>
      </c>
      <c r="C6663" t="s">
        <v>26</v>
      </c>
      <c r="D6663" t="s">
        <v>16</v>
      </c>
      <c r="E6663" t="s">
        <v>17</v>
      </c>
      <c r="F6663" t="s">
        <v>23</v>
      </c>
      <c r="G6663" t="s">
        <v>43</v>
      </c>
      <c r="H6663" t="s">
        <v>25</v>
      </c>
      <c r="I6663" s="1">
        <v>3</v>
      </c>
      <c r="J6663" s="2">
        <v>45692</v>
      </c>
      <c r="L6663" s="1" t="str">
        <f t="shared" si="737"/>
        <v>ter</v>
      </c>
      <c r="M6663" s="1" t="str">
        <f t="shared" si="738"/>
        <v>fev</v>
      </c>
      <c r="N6663">
        <f t="shared" si="739"/>
        <v>2025</v>
      </c>
      <c r="P6663" t="str">
        <f t="shared" si="740"/>
        <v>103945692</v>
      </c>
    </row>
    <row r="6664" spans="1:16" x14ac:dyDescent="0.3">
      <c r="A6664">
        <v>1039</v>
      </c>
      <c r="B6664">
        <v>58</v>
      </c>
      <c r="C6664" t="s">
        <v>26</v>
      </c>
      <c r="D6664" t="s">
        <v>16</v>
      </c>
      <c r="E6664" t="s">
        <v>17</v>
      </c>
      <c r="F6664" t="s">
        <v>23</v>
      </c>
      <c r="G6664" t="s">
        <v>43</v>
      </c>
      <c r="H6664" t="s">
        <v>25</v>
      </c>
      <c r="I6664" s="1">
        <v>3</v>
      </c>
      <c r="J6664" s="2">
        <v>45691</v>
      </c>
      <c r="L6664" s="1" t="str">
        <f t="shared" si="737"/>
        <v>seg</v>
      </c>
      <c r="M6664" s="1" t="str">
        <f t="shared" si="738"/>
        <v>fev</v>
      </c>
      <c r="N6664">
        <f t="shared" si="739"/>
        <v>2025</v>
      </c>
      <c r="P6664" t="str">
        <f t="shared" si="740"/>
        <v>103945691</v>
      </c>
    </row>
    <row r="6665" spans="1:16" x14ac:dyDescent="0.3">
      <c r="A6665">
        <v>1039</v>
      </c>
      <c r="B6665">
        <v>58</v>
      </c>
      <c r="C6665" t="s">
        <v>26</v>
      </c>
      <c r="D6665" t="s">
        <v>16</v>
      </c>
      <c r="E6665" t="s">
        <v>17</v>
      </c>
      <c r="F6665" t="s">
        <v>23</v>
      </c>
      <c r="G6665" t="s">
        <v>43</v>
      </c>
      <c r="H6665" t="s">
        <v>25</v>
      </c>
      <c r="I6665" s="1">
        <v>3</v>
      </c>
      <c r="J6665" s="2">
        <v>45690</v>
      </c>
      <c r="L6665" s="1" t="str">
        <f t="shared" si="737"/>
        <v>dom</v>
      </c>
      <c r="M6665" s="1" t="str">
        <f t="shared" si="738"/>
        <v>fev</v>
      </c>
      <c r="N6665">
        <f t="shared" si="739"/>
        <v>2025</v>
      </c>
      <c r="P6665" t="str">
        <f t="shared" si="740"/>
        <v>103945690</v>
      </c>
    </row>
    <row r="6666" spans="1:16" x14ac:dyDescent="0.3">
      <c r="A6666">
        <v>1039</v>
      </c>
      <c r="B6666">
        <v>58</v>
      </c>
      <c r="C6666" t="s">
        <v>26</v>
      </c>
      <c r="D6666" t="s">
        <v>16</v>
      </c>
      <c r="E6666" t="s">
        <v>17</v>
      </c>
      <c r="F6666" t="s">
        <v>23</v>
      </c>
      <c r="G6666" t="s">
        <v>43</v>
      </c>
      <c r="H6666" t="s">
        <v>25</v>
      </c>
      <c r="I6666" s="1">
        <v>3</v>
      </c>
      <c r="J6666" s="2">
        <v>45689</v>
      </c>
      <c r="L6666" s="1" t="str">
        <f t="shared" si="737"/>
        <v>sáb</v>
      </c>
      <c r="M6666" s="1" t="str">
        <f t="shared" si="738"/>
        <v>fev</v>
      </c>
      <c r="N6666">
        <f t="shared" si="739"/>
        <v>2025</v>
      </c>
      <c r="P6666" t="str">
        <f t="shared" si="740"/>
        <v>103945689</v>
      </c>
    </row>
    <row r="6667" spans="1:16" x14ac:dyDescent="0.3">
      <c r="A6667">
        <v>1039</v>
      </c>
      <c r="B6667">
        <v>58</v>
      </c>
      <c r="C6667" t="s">
        <v>26</v>
      </c>
      <c r="D6667" t="s">
        <v>16</v>
      </c>
      <c r="E6667" t="s">
        <v>17</v>
      </c>
      <c r="F6667" t="s">
        <v>23</v>
      </c>
      <c r="G6667" t="s">
        <v>43</v>
      </c>
      <c r="H6667" t="s">
        <v>25</v>
      </c>
      <c r="I6667" s="1">
        <v>3</v>
      </c>
      <c r="J6667" s="2">
        <v>45688</v>
      </c>
      <c r="L6667" s="1" t="str">
        <f t="shared" si="737"/>
        <v>sex</v>
      </c>
      <c r="M6667" s="1" t="str">
        <f t="shared" si="738"/>
        <v>jan</v>
      </c>
      <c r="N6667">
        <f t="shared" si="739"/>
        <v>2025</v>
      </c>
      <c r="P6667" t="str">
        <f t="shared" si="740"/>
        <v>103945688</v>
      </c>
    </row>
    <row r="6668" spans="1:16" x14ac:dyDescent="0.3">
      <c r="A6668">
        <v>1039</v>
      </c>
      <c r="B6668">
        <v>58</v>
      </c>
      <c r="C6668" t="s">
        <v>26</v>
      </c>
      <c r="D6668" t="s">
        <v>16</v>
      </c>
      <c r="E6668" t="s">
        <v>17</v>
      </c>
      <c r="F6668" t="s">
        <v>23</v>
      </c>
      <c r="G6668" t="s">
        <v>43</v>
      </c>
      <c r="H6668" t="s">
        <v>25</v>
      </c>
      <c r="I6668" s="1">
        <v>3</v>
      </c>
      <c r="J6668" s="2">
        <v>45687</v>
      </c>
      <c r="L6668" s="1" t="str">
        <f t="shared" si="737"/>
        <v>qui</v>
      </c>
      <c r="M6668" s="1" t="str">
        <f t="shared" si="738"/>
        <v>jan</v>
      </c>
      <c r="N6668">
        <f t="shared" si="739"/>
        <v>2025</v>
      </c>
      <c r="P6668" t="str">
        <f t="shared" si="740"/>
        <v>103945687</v>
      </c>
    </row>
    <row r="6669" spans="1:16" x14ac:dyDescent="0.3">
      <c r="A6669">
        <v>1039</v>
      </c>
      <c r="B6669">
        <v>58</v>
      </c>
      <c r="C6669" t="s">
        <v>26</v>
      </c>
      <c r="D6669" t="s">
        <v>16</v>
      </c>
      <c r="E6669" t="s">
        <v>17</v>
      </c>
      <c r="F6669" t="s">
        <v>23</v>
      </c>
      <c r="G6669" t="s">
        <v>43</v>
      </c>
      <c r="H6669" t="s">
        <v>25</v>
      </c>
      <c r="I6669" s="1">
        <v>3</v>
      </c>
      <c r="J6669" s="2">
        <v>45686</v>
      </c>
      <c r="L6669" s="1" t="str">
        <f t="shared" si="737"/>
        <v>qua</v>
      </c>
      <c r="M6669" s="1" t="str">
        <f t="shared" si="738"/>
        <v>jan</v>
      </c>
      <c r="N6669">
        <f t="shared" si="739"/>
        <v>2025</v>
      </c>
      <c r="P6669" t="str">
        <f t="shared" si="740"/>
        <v>103945686</v>
      </c>
    </row>
    <row r="6670" spans="1:16" x14ac:dyDescent="0.3">
      <c r="A6670">
        <v>1039</v>
      </c>
      <c r="B6670">
        <v>58</v>
      </c>
      <c r="C6670" t="s">
        <v>26</v>
      </c>
      <c r="D6670" t="s">
        <v>16</v>
      </c>
      <c r="E6670" t="s">
        <v>17</v>
      </c>
      <c r="F6670" t="s">
        <v>23</v>
      </c>
      <c r="G6670" t="s">
        <v>43</v>
      </c>
      <c r="H6670" t="s">
        <v>25</v>
      </c>
      <c r="I6670" s="1">
        <v>3</v>
      </c>
      <c r="J6670" s="2">
        <v>45685</v>
      </c>
      <c r="L6670" s="1" t="str">
        <f t="shared" si="737"/>
        <v>ter</v>
      </c>
      <c r="M6670" s="1" t="str">
        <f t="shared" si="738"/>
        <v>jan</v>
      </c>
      <c r="N6670">
        <f t="shared" si="739"/>
        <v>2025</v>
      </c>
      <c r="P6670" t="str">
        <f t="shared" si="740"/>
        <v>103945685</v>
      </c>
    </row>
    <row r="6671" spans="1:16" x14ac:dyDescent="0.3">
      <c r="A6671">
        <v>1039</v>
      </c>
      <c r="B6671">
        <v>58</v>
      </c>
      <c r="C6671" t="s">
        <v>26</v>
      </c>
      <c r="D6671" t="s">
        <v>16</v>
      </c>
      <c r="E6671" t="s">
        <v>17</v>
      </c>
      <c r="F6671" t="s">
        <v>23</v>
      </c>
      <c r="G6671" t="s">
        <v>43</v>
      </c>
      <c r="H6671" t="s">
        <v>25</v>
      </c>
      <c r="I6671" s="1">
        <v>3</v>
      </c>
      <c r="J6671" s="2">
        <v>45684</v>
      </c>
      <c r="L6671" s="1" t="str">
        <f t="shared" si="737"/>
        <v>seg</v>
      </c>
      <c r="M6671" s="1" t="str">
        <f t="shared" si="738"/>
        <v>jan</v>
      </c>
      <c r="N6671">
        <f t="shared" si="739"/>
        <v>2025</v>
      </c>
      <c r="P6671" t="str">
        <f t="shared" si="740"/>
        <v>103945684</v>
      </c>
    </row>
    <row r="6672" spans="1:16" x14ac:dyDescent="0.3">
      <c r="A6672">
        <v>1039</v>
      </c>
      <c r="B6672">
        <v>58</v>
      </c>
      <c r="C6672" t="s">
        <v>26</v>
      </c>
      <c r="D6672" t="s">
        <v>16</v>
      </c>
      <c r="E6672" t="s">
        <v>17</v>
      </c>
      <c r="F6672" t="s">
        <v>23</v>
      </c>
      <c r="G6672" t="s">
        <v>43</v>
      </c>
      <c r="H6672" t="s">
        <v>25</v>
      </c>
      <c r="I6672" s="1">
        <v>3</v>
      </c>
      <c r="J6672" s="2">
        <v>45683</v>
      </c>
      <c r="L6672" s="1" t="str">
        <f t="shared" si="737"/>
        <v>dom</v>
      </c>
      <c r="M6672" s="1" t="str">
        <f t="shared" si="738"/>
        <v>jan</v>
      </c>
      <c r="N6672">
        <f t="shared" si="739"/>
        <v>2025</v>
      </c>
      <c r="P6672" t="str">
        <f t="shared" si="740"/>
        <v>103945683</v>
      </c>
    </row>
    <row r="6673" spans="1:16" x14ac:dyDescent="0.3">
      <c r="A6673">
        <v>1039</v>
      </c>
      <c r="B6673">
        <v>58</v>
      </c>
      <c r="C6673" t="s">
        <v>26</v>
      </c>
      <c r="D6673" t="s">
        <v>16</v>
      </c>
      <c r="E6673" t="s">
        <v>17</v>
      </c>
      <c r="F6673" t="s">
        <v>23</v>
      </c>
      <c r="G6673" t="s">
        <v>43</v>
      </c>
      <c r="H6673" t="s">
        <v>25</v>
      </c>
      <c r="I6673" s="1">
        <v>3</v>
      </c>
      <c r="J6673" s="2">
        <v>45682</v>
      </c>
      <c r="L6673" s="1" t="str">
        <f t="shared" si="737"/>
        <v>sáb</v>
      </c>
      <c r="M6673" s="1" t="str">
        <f t="shared" si="738"/>
        <v>jan</v>
      </c>
      <c r="N6673">
        <f t="shared" si="739"/>
        <v>2025</v>
      </c>
      <c r="P6673" t="str">
        <f t="shared" si="740"/>
        <v>103945682</v>
      </c>
    </row>
    <row r="6674" spans="1:16" x14ac:dyDescent="0.3">
      <c r="A6674">
        <v>1039</v>
      </c>
      <c r="B6674">
        <v>58</v>
      </c>
      <c r="C6674" t="s">
        <v>26</v>
      </c>
      <c r="D6674" t="s">
        <v>16</v>
      </c>
      <c r="E6674" t="s">
        <v>17</v>
      </c>
      <c r="F6674" t="s">
        <v>23</v>
      </c>
      <c r="G6674" t="s">
        <v>43</v>
      </c>
      <c r="H6674" t="s">
        <v>25</v>
      </c>
      <c r="I6674" s="1">
        <v>3</v>
      </c>
      <c r="J6674" s="2">
        <v>45681</v>
      </c>
      <c r="L6674" s="1" t="str">
        <f t="shared" si="737"/>
        <v>sex</v>
      </c>
      <c r="M6674" s="1" t="str">
        <f t="shared" si="738"/>
        <v>jan</v>
      </c>
      <c r="N6674">
        <f t="shared" si="739"/>
        <v>2025</v>
      </c>
      <c r="P6674" t="str">
        <f t="shared" si="740"/>
        <v>103945681</v>
      </c>
    </row>
    <row r="6675" spans="1:16" x14ac:dyDescent="0.3">
      <c r="A6675">
        <v>1039</v>
      </c>
      <c r="B6675">
        <v>58</v>
      </c>
      <c r="C6675" t="s">
        <v>26</v>
      </c>
      <c r="D6675" t="s">
        <v>16</v>
      </c>
      <c r="E6675" t="s">
        <v>17</v>
      </c>
      <c r="F6675" t="s">
        <v>23</v>
      </c>
      <c r="G6675" t="s">
        <v>43</v>
      </c>
      <c r="H6675" t="s">
        <v>25</v>
      </c>
      <c r="I6675" s="1">
        <v>3</v>
      </c>
      <c r="J6675" s="2">
        <v>45680</v>
      </c>
      <c r="L6675" s="1" t="str">
        <f t="shared" si="737"/>
        <v>qui</v>
      </c>
      <c r="M6675" s="1" t="str">
        <f t="shared" si="738"/>
        <v>jan</v>
      </c>
      <c r="N6675">
        <f t="shared" si="739"/>
        <v>2025</v>
      </c>
      <c r="P6675" t="str">
        <f t="shared" si="740"/>
        <v>103945680</v>
      </c>
    </row>
    <row r="6676" spans="1:16" x14ac:dyDescent="0.3">
      <c r="A6676">
        <v>1039</v>
      </c>
      <c r="B6676">
        <v>58</v>
      </c>
      <c r="C6676" t="s">
        <v>26</v>
      </c>
      <c r="D6676" t="s">
        <v>16</v>
      </c>
      <c r="E6676" t="s">
        <v>17</v>
      </c>
      <c r="F6676" t="s">
        <v>23</v>
      </c>
      <c r="G6676" t="s">
        <v>43</v>
      </c>
      <c r="H6676" t="s">
        <v>25</v>
      </c>
      <c r="I6676" s="1">
        <v>3</v>
      </c>
      <c r="J6676" s="2">
        <v>45679</v>
      </c>
      <c r="L6676" s="1" t="str">
        <f t="shared" si="737"/>
        <v>qua</v>
      </c>
      <c r="M6676" s="1" t="str">
        <f t="shared" si="738"/>
        <v>jan</v>
      </c>
      <c r="N6676">
        <f t="shared" si="739"/>
        <v>2025</v>
      </c>
      <c r="P6676" t="str">
        <f t="shared" si="740"/>
        <v>103945679</v>
      </c>
    </row>
    <row r="6677" spans="1:16" x14ac:dyDescent="0.3">
      <c r="A6677">
        <v>1039</v>
      </c>
      <c r="B6677">
        <v>58</v>
      </c>
      <c r="C6677" t="s">
        <v>26</v>
      </c>
      <c r="D6677" t="s">
        <v>16</v>
      </c>
      <c r="E6677" t="s">
        <v>17</v>
      </c>
      <c r="F6677" t="s">
        <v>23</v>
      </c>
      <c r="G6677" t="s">
        <v>43</v>
      </c>
      <c r="H6677" t="s">
        <v>25</v>
      </c>
      <c r="I6677" s="1">
        <v>3</v>
      </c>
      <c r="J6677" s="2">
        <v>45678</v>
      </c>
      <c r="L6677" s="1" t="str">
        <f t="shared" si="737"/>
        <v>ter</v>
      </c>
      <c r="M6677" s="1" t="str">
        <f t="shared" si="738"/>
        <v>jan</v>
      </c>
      <c r="N6677">
        <f t="shared" si="739"/>
        <v>2025</v>
      </c>
      <c r="P6677" t="str">
        <f t="shared" si="740"/>
        <v>103945678</v>
      </c>
    </row>
    <row r="6678" spans="1:16" x14ac:dyDescent="0.3">
      <c r="A6678">
        <v>1039</v>
      </c>
      <c r="B6678">
        <v>58</v>
      </c>
      <c r="C6678" t="s">
        <v>26</v>
      </c>
      <c r="D6678" t="s">
        <v>16</v>
      </c>
      <c r="E6678" t="s">
        <v>17</v>
      </c>
      <c r="F6678" t="s">
        <v>23</v>
      </c>
      <c r="G6678" t="s">
        <v>43</v>
      </c>
      <c r="H6678" t="s">
        <v>25</v>
      </c>
      <c r="I6678" s="1">
        <v>3</v>
      </c>
      <c r="J6678" s="2">
        <v>45677</v>
      </c>
      <c r="L6678" s="1" t="str">
        <f t="shared" si="737"/>
        <v>seg</v>
      </c>
      <c r="M6678" s="1" t="str">
        <f t="shared" si="738"/>
        <v>jan</v>
      </c>
      <c r="N6678">
        <f t="shared" si="739"/>
        <v>2025</v>
      </c>
      <c r="P6678" t="str">
        <f t="shared" si="740"/>
        <v>103945677</v>
      </c>
    </row>
    <row r="6679" spans="1:16" x14ac:dyDescent="0.3">
      <c r="A6679">
        <v>1039</v>
      </c>
      <c r="B6679">
        <v>58</v>
      </c>
      <c r="C6679" t="s">
        <v>26</v>
      </c>
      <c r="D6679" t="s">
        <v>16</v>
      </c>
      <c r="E6679" t="s">
        <v>17</v>
      </c>
      <c r="F6679" t="s">
        <v>23</v>
      </c>
      <c r="G6679" t="s">
        <v>43</v>
      </c>
      <c r="H6679" t="s">
        <v>25</v>
      </c>
      <c r="I6679" s="1">
        <v>3</v>
      </c>
      <c r="J6679" s="2">
        <v>45676</v>
      </c>
      <c r="L6679" s="1" t="str">
        <f t="shared" si="737"/>
        <v>dom</v>
      </c>
      <c r="M6679" s="1" t="str">
        <f t="shared" si="738"/>
        <v>jan</v>
      </c>
      <c r="N6679">
        <f t="shared" si="739"/>
        <v>2025</v>
      </c>
      <c r="P6679" t="str">
        <f t="shared" si="740"/>
        <v>103945676</v>
      </c>
    </row>
    <row r="6680" spans="1:16" x14ac:dyDescent="0.3">
      <c r="A6680">
        <v>1039</v>
      </c>
      <c r="B6680">
        <v>58</v>
      </c>
      <c r="C6680" t="s">
        <v>26</v>
      </c>
      <c r="D6680" t="s">
        <v>16</v>
      </c>
      <c r="E6680" t="s">
        <v>17</v>
      </c>
      <c r="F6680" t="s">
        <v>23</v>
      </c>
      <c r="G6680" t="s">
        <v>43</v>
      </c>
      <c r="H6680" t="s">
        <v>25</v>
      </c>
      <c r="I6680" s="1">
        <v>3</v>
      </c>
      <c r="J6680" s="2">
        <v>45675</v>
      </c>
      <c r="L6680" s="1" t="str">
        <f t="shared" si="737"/>
        <v>sáb</v>
      </c>
      <c r="M6680" s="1" t="str">
        <f t="shared" si="738"/>
        <v>jan</v>
      </c>
      <c r="N6680">
        <f t="shared" si="739"/>
        <v>2025</v>
      </c>
      <c r="P6680" t="str">
        <f t="shared" si="740"/>
        <v>103945675</v>
      </c>
    </row>
    <row r="6681" spans="1:16" x14ac:dyDescent="0.3">
      <c r="A6681">
        <v>1039</v>
      </c>
      <c r="B6681">
        <v>58</v>
      </c>
      <c r="C6681" t="s">
        <v>26</v>
      </c>
      <c r="D6681" t="s">
        <v>16</v>
      </c>
      <c r="E6681" t="s">
        <v>17</v>
      </c>
      <c r="F6681" t="s">
        <v>23</v>
      </c>
      <c r="G6681" t="s">
        <v>43</v>
      </c>
      <c r="H6681" t="s">
        <v>25</v>
      </c>
      <c r="I6681" s="1">
        <v>3</v>
      </c>
      <c r="J6681" s="2">
        <v>45674</v>
      </c>
      <c r="L6681" s="1" t="str">
        <f t="shared" si="737"/>
        <v>sex</v>
      </c>
      <c r="M6681" s="1" t="str">
        <f t="shared" si="738"/>
        <v>jan</v>
      </c>
      <c r="N6681">
        <f t="shared" si="739"/>
        <v>2025</v>
      </c>
      <c r="P6681" t="str">
        <f t="shared" si="740"/>
        <v>103945674</v>
      </c>
    </row>
    <row r="6682" spans="1:16" x14ac:dyDescent="0.3">
      <c r="A6682">
        <v>1039</v>
      </c>
      <c r="B6682">
        <v>58</v>
      </c>
      <c r="C6682" t="s">
        <v>26</v>
      </c>
      <c r="D6682" t="s">
        <v>16</v>
      </c>
      <c r="E6682" t="s">
        <v>17</v>
      </c>
      <c r="F6682" t="s">
        <v>23</v>
      </c>
      <c r="G6682" t="s">
        <v>43</v>
      </c>
      <c r="H6682" t="s">
        <v>25</v>
      </c>
      <c r="I6682" s="1">
        <v>3</v>
      </c>
      <c r="J6682" s="2">
        <v>45673</v>
      </c>
      <c r="L6682" s="1" t="str">
        <f t="shared" si="737"/>
        <v>qui</v>
      </c>
      <c r="M6682" s="1" t="str">
        <f t="shared" si="738"/>
        <v>jan</v>
      </c>
      <c r="N6682">
        <f t="shared" si="739"/>
        <v>2025</v>
      </c>
      <c r="P6682" t="str">
        <f t="shared" si="740"/>
        <v>103945673</v>
      </c>
    </row>
    <row r="6683" spans="1:16" x14ac:dyDescent="0.3">
      <c r="A6683">
        <v>1039</v>
      </c>
      <c r="B6683">
        <v>58</v>
      </c>
      <c r="C6683" t="s">
        <v>26</v>
      </c>
      <c r="D6683" t="s">
        <v>16</v>
      </c>
      <c r="E6683" t="s">
        <v>17</v>
      </c>
      <c r="F6683" t="s">
        <v>23</v>
      </c>
      <c r="G6683" t="s">
        <v>43</v>
      </c>
      <c r="H6683" t="s">
        <v>25</v>
      </c>
      <c r="I6683" s="1">
        <v>3</v>
      </c>
      <c r="J6683" s="2">
        <v>45672</v>
      </c>
      <c r="L6683" s="1" t="str">
        <f t="shared" si="737"/>
        <v>qua</v>
      </c>
      <c r="M6683" s="1" t="str">
        <f t="shared" si="738"/>
        <v>jan</v>
      </c>
      <c r="N6683">
        <f t="shared" si="739"/>
        <v>2025</v>
      </c>
      <c r="P6683" t="str">
        <f t="shared" si="740"/>
        <v>103945672</v>
      </c>
    </row>
    <row r="6684" spans="1:16" x14ac:dyDescent="0.3">
      <c r="A6684">
        <v>1039</v>
      </c>
      <c r="B6684">
        <v>58</v>
      </c>
      <c r="C6684" t="s">
        <v>26</v>
      </c>
      <c r="D6684" t="s">
        <v>16</v>
      </c>
      <c r="E6684" t="s">
        <v>17</v>
      </c>
      <c r="F6684" t="s">
        <v>23</v>
      </c>
      <c r="G6684" t="s">
        <v>43</v>
      </c>
      <c r="H6684" t="s">
        <v>25</v>
      </c>
      <c r="I6684" s="1">
        <v>3</v>
      </c>
      <c r="J6684" s="2">
        <v>45671</v>
      </c>
      <c r="L6684" s="1" t="str">
        <f t="shared" si="737"/>
        <v>ter</v>
      </c>
      <c r="M6684" s="1" t="str">
        <f t="shared" si="738"/>
        <v>jan</v>
      </c>
      <c r="N6684">
        <f t="shared" si="739"/>
        <v>2025</v>
      </c>
      <c r="P6684" t="str">
        <f t="shared" si="740"/>
        <v>103945671</v>
      </c>
    </row>
    <row r="6685" spans="1:16" x14ac:dyDescent="0.3">
      <c r="A6685">
        <v>1039</v>
      </c>
      <c r="B6685">
        <v>58</v>
      </c>
      <c r="C6685" t="s">
        <v>26</v>
      </c>
      <c r="D6685" t="s">
        <v>16</v>
      </c>
      <c r="E6685" t="s">
        <v>17</v>
      </c>
      <c r="F6685" t="s">
        <v>23</v>
      </c>
      <c r="G6685" t="s">
        <v>43</v>
      </c>
      <c r="H6685" t="s">
        <v>25</v>
      </c>
      <c r="I6685" s="1">
        <v>3</v>
      </c>
      <c r="J6685" s="2">
        <v>45670</v>
      </c>
      <c r="L6685" s="1" t="str">
        <f t="shared" si="737"/>
        <v>seg</v>
      </c>
      <c r="M6685" s="1" t="str">
        <f t="shared" si="738"/>
        <v>jan</v>
      </c>
      <c r="N6685">
        <f t="shared" si="739"/>
        <v>2025</v>
      </c>
      <c r="P6685" t="str">
        <f t="shared" si="740"/>
        <v>103945670</v>
      </c>
    </row>
    <row r="6686" spans="1:16" x14ac:dyDescent="0.3">
      <c r="A6686">
        <v>1039</v>
      </c>
      <c r="B6686">
        <v>58</v>
      </c>
      <c r="C6686" t="s">
        <v>26</v>
      </c>
      <c r="D6686" t="s">
        <v>16</v>
      </c>
      <c r="E6686" t="s">
        <v>17</v>
      </c>
      <c r="F6686" t="s">
        <v>23</v>
      </c>
      <c r="G6686" t="s">
        <v>43</v>
      </c>
      <c r="H6686" t="s">
        <v>25</v>
      </c>
      <c r="I6686" s="1">
        <v>3</v>
      </c>
      <c r="J6686" s="2">
        <v>45669</v>
      </c>
      <c r="L6686" s="1" t="str">
        <f t="shared" si="737"/>
        <v>dom</v>
      </c>
      <c r="M6686" s="1" t="str">
        <f t="shared" si="738"/>
        <v>jan</v>
      </c>
      <c r="N6686">
        <f t="shared" si="739"/>
        <v>2025</v>
      </c>
      <c r="P6686" t="str">
        <f t="shared" si="740"/>
        <v>103945669</v>
      </c>
    </row>
    <row r="6687" spans="1:16" x14ac:dyDescent="0.3">
      <c r="A6687">
        <v>1039</v>
      </c>
      <c r="B6687">
        <v>58</v>
      </c>
      <c r="C6687" t="s">
        <v>26</v>
      </c>
      <c r="D6687" t="s">
        <v>16</v>
      </c>
      <c r="E6687" t="s">
        <v>17</v>
      </c>
      <c r="F6687" t="s">
        <v>23</v>
      </c>
      <c r="G6687" t="s">
        <v>43</v>
      </c>
      <c r="H6687" t="s">
        <v>25</v>
      </c>
      <c r="I6687" s="1">
        <v>3</v>
      </c>
      <c r="J6687" s="2">
        <v>45668</v>
      </c>
      <c r="L6687" s="1" t="str">
        <f t="shared" si="737"/>
        <v>sáb</v>
      </c>
      <c r="M6687" s="1" t="str">
        <f t="shared" si="738"/>
        <v>jan</v>
      </c>
      <c r="N6687">
        <f t="shared" si="739"/>
        <v>2025</v>
      </c>
      <c r="P6687" t="str">
        <f t="shared" si="740"/>
        <v>103945668</v>
      </c>
    </row>
    <row r="6688" spans="1:16" x14ac:dyDescent="0.3">
      <c r="A6688">
        <v>1039</v>
      </c>
      <c r="B6688">
        <v>58</v>
      </c>
      <c r="C6688" t="s">
        <v>26</v>
      </c>
      <c r="D6688" t="s">
        <v>16</v>
      </c>
      <c r="E6688" t="s">
        <v>17</v>
      </c>
      <c r="F6688" t="s">
        <v>23</v>
      </c>
      <c r="G6688" t="s">
        <v>43</v>
      </c>
      <c r="H6688" t="s">
        <v>25</v>
      </c>
      <c r="I6688" s="1">
        <v>3</v>
      </c>
      <c r="J6688" s="2">
        <v>45667</v>
      </c>
      <c r="L6688" s="1" t="str">
        <f t="shared" si="737"/>
        <v>sex</v>
      </c>
      <c r="M6688" s="1" t="str">
        <f t="shared" si="738"/>
        <v>jan</v>
      </c>
      <c r="N6688">
        <f t="shared" si="739"/>
        <v>2025</v>
      </c>
      <c r="P6688" t="str">
        <f t="shared" si="740"/>
        <v>103945667</v>
      </c>
    </row>
    <row r="6689" spans="1:16" x14ac:dyDescent="0.3">
      <c r="A6689">
        <v>1039</v>
      </c>
      <c r="B6689">
        <v>58</v>
      </c>
      <c r="C6689" t="s">
        <v>26</v>
      </c>
      <c r="D6689" t="s">
        <v>16</v>
      </c>
      <c r="E6689" t="s">
        <v>17</v>
      </c>
      <c r="F6689" t="s">
        <v>23</v>
      </c>
      <c r="G6689" t="s">
        <v>43</v>
      </c>
      <c r="H6689" t="s">
        <v>25</v>
      </c>
      <c r="I6689" s="1">
        <v>3</v>
      </c>
      <c r="J6689" s="2">
        <v>45666</v>
      </c>
      <c r="L6689" s="1" t="str">
        <f t="shared" si="737"/>
        <v>qui</v>
      </c>
      <c r="M6689" s="1" t="str">
        <f t="shared" si="738"/>
        <v>jan</v>
      </c>
      <c r="N6689">
        <f t="shared" si="739"/>
        <v>2025</v>
      </c>
      <c r="P6689" t="str">
        <f t="shared" si="740"/>
        <v>103945666</v>
      </c>
    </row>
    <row r="6690" spans="1:16" x14ac:dyDescent="0.3">
      <c r="A6690">
        <v>1039</v>
      </c>
      <c r="B6690">
        <v>58</v>
      </c>
      <c r="C6690" t="s">
        <v>26</v>
      </c>
      <c r="D6690" t="s">
        <v>16</v>
      </c>
      <c r="E6690" t="s">
        <v>17</v>
      </c>
      <c r="F6690" t="s">
        <v>23</v>
      </c>
      <c r="G6690" t="s">
        <v>43</v>
      </c>
      <c r="H6690" t="s">
        <v>25</v>
      </c>
      <c r="I6690" s="1">
        <v>3</v>
      </c>
      <c r="J6690" s="2">
        <v>45665</v>
      </c>
      <c r="L6690" s="1" t="str">
        <f t="shared" si="737"/>
        <v>qua</v>
      </c>
      <c r="M6690" s="1" t="str">
        <f t="shared" si="738"/>
        <v>jan</v>
      </c>
      <c r="N6690">
        <f t="shared" si="739"/>
        <v>2025</v>
      </c>
      <c r="P6690" t="str">
        <f t="shared" si="740"/>
        <v>103945665</v>
      </c>
    </row>
    <row r="6691" spans="1:16" x14ac:dyDescent="0.3">
      <c r="A6691">
        <v>1039</v>
      </c>
      <c r="B6691">
        <v>58</v>
      </c>
      <c r="C6691" t="s">
        <v>26</v>
      </c>
      <c r="D6691" t="s">
        <v>16</v>
      </c>
      <c r="E6691" t="s">
        <v>17</v>
      </c>
      <c r="F6691" t="s">
        <v>23</v>
      </c>
      <c r="G6691" t="s">
        <v>43</v>
      </c>
      <c r="H6691" t="s">
        <v>25</v>
      </c>
      <c r="I6691" s="1">
        <v>3</v>
      </c>
      <c r="J6691" s="2">
        <v>45664</v>
      </c>
      <c r="L6691" s="1" t="str">
        <f t="shared" si="737"/>
        <v>ter</v>
      </c>
      <c r="M6691" s="1" t="str">
        <f t="shared" si="738"/>
        <v>jan</v>
      </c>
      <c r="N6691">
        <f t="shared" si="739"/>
        <v>2025</v>
      </c>
      <c r="P6691" t="str">
        <f t="shared" si="740"/>
        <v>103945664</v>
      </c>
    </row>
    <row r="6692" spans="1:16" x14ac:dyDescent="0.3">
      <c r="A6692">
        <v>1039</v>
      </c>
      <c r="B6692">
        <v>58</v>
      </c>
      <c r="C6692" t="s">
        <v>26</v>
      </c>
      <c r="D6692" t="s">
        <v>16</v>
      </c>
      <c r="E6692" t="s">
        <v>17</v>
      </c>
      <c r="F6692" t="s">
        <v>23</v>
      </c>
      <c r="G6692" t="s">
        <v>43</v>
      </c>
      <c r="H6692" t="s">
        <v>25</v>
      </c>
      <c r="I6692" s="1">
        <v>3</v>
      </c>
      <c r="J6692" s="2">
        <v>45663</v>
      </c>
      <c r="L6692" s="1" t="str">
        <f t="shared" si="737"/>
        <v>seg</v>
      </c>
      <c r="M6692" s="1" t="str">
        <f t="shared" si="738"/>
        <v>jan</v>
      </c>
      <c r="N6692">
        <f t="shared" si="739"/>
        <v>2025</v>
      </c>
      <c r="P6692" t="str">
        <f t="shared" si="740"/>
        <v>103945663</v>
      </c>
    </row>
    <row r="6693" spans="1:16" x14ac:dyDescent="0.3">
      <c r="A6693">
        <v>1039</v>
      </c>
      <c r="B6693">
        <v>58</v>
      </c>
      <c r="C6693" t="s">
        <v>26</v>
      </c>
      <c r="D6693" t="s">
        <v>16</v>
      </c>
      <c r="E6693" t="s">
        <v>17</v>
      </c>
      <c r="F6693" t="s">
        <v>23</v>
      </c>
      <c r="G6693" t="s">
        <v>43</v>
      </c>
      <c r="H6693" t="s">
        <v>25</v>
      </c>
      <c r="I6693" s="1">
        <v>3</v>
      </c>
      <c r="J6693" s="2">
        <v>45662</v>
      </c>
      <c r="L6693" s="1" t="str">
        <f t="shared" si="737"/>
        <v>dom</v>
      </c>
      <c r="M6693" s="1" t="str">
        <f t="shared" si="738"/>
        <v>jan</v>
      </c>
      <c r="N6693">
        <f t="shared" si="739"/>
        <v>2025</v>
      </c>
      <c r="P6693" t="str">
        <f t="shared" si="740"/>
        <v>103945662</v>
      </c>
    </row>
    <row r="6694" spans="1:16" x14ac:dyDescent="0.3">
      <c r="A6694">
        <v>1039</v>
      </c>
      <c r="B6694">
        <v>58</v>
      </c>
      <c r="C6694" t="s">
        <v>26</v>
      </c>
      <c r="D6694" t="s">
        <v>16</v>
      </c>
      <c r="E6694" t="s">
        <v>17</v>
      </c>
      <c r="F6694" t="s">
        <v>23</v>
      </c>
      <c r="G6694" t="s">
        <v>43</v>
      </c>
      <c r="H6694" t="s">
        <v>25</v>
      </c>
      <c r="I6694" s="1">
        <v>3</v>
      </c>
      <c r="J6694" s="2">
        <v>45661</v>
      </c>
      <c r="L6694" s="1" t="str">
        <f t="shared" si="737"/>
        <v>sáb</v>
      </c>
      <c r="M6694" s="1" t="str">
        <f t="shared" si="738"/>
        <v>jan</v>
      </c>
      <c r="N6694">
        <f t="shared" si="739"/>
        <v>2025</v>
      </c>
      <c r="P6694" t="str">
        <f t="shared" si="740"/>
        <v>103945661</v>
      </c>
    </row>
    <row r="6695" spans="1:16" x14ac:dyDescent="0.3">
      <c r="A6695">
        <v>1039</v>
      </c>
      <c r="B6695">
        <v>58</v>
      </c>
      <c r="C6695" t="s">
        <v>26</v>
      </c>
      <c r="D6695" t="s">
        <v>16</v>
      </c>
      <c r="E6695" t="s">
        <v>17</v>
      </c>
      <c r="F6695" t="s">
        <v>23</v>
      </c>
      <c r="G6695" t="s">
        <v>43</v>
      </c>
      <c r="H6695" t="s">
        <v>25</v>
      </c>
      <c r="I6695" s="1">
        <v>3</v>
      </c>
      <c r="J6695" s="2">
        <v>45660</v>
      </c>
      <c r="L6695" s="1" t="str">
        <f t="shared" si="737"/>
        <v>sex</v>
      </c>
      <c r="M6695" s="1" t="str">
        <f t="shared" si="738"/>
        <v>jan</v>
      </c>
      <c r="N6695">
        <f t="shared" si="739"/>
        <v>2025</v>
      </c>
      <c r="P6695" t="str">
        <f t="shared" si="740"/>
        <v>103945660</v>
      </c>
    </row>
    <row r="6696" spans="1:16" x14ac:dyDescent="0.3">
      <c r="A6696">
        <v>1039</v>
      </c>
      <c r="B6696">
        <v>58</v>
      </c>
      <c r="C6696" t="s">
        <v>26</v>
      </c>
      <c r="D6696" t="s">
        <v>16</v>
      </c>
      <c r="E6696" t="s">
        <v>17</v>
      </c>
      <c r="F6696" t="s">
        <v>23</v>
      </c>
      <c r="G6696" t="s">
        <v>43</v>
      </c>
      <c r="H6696" t="s">
        <v>25</v>
      </c>
      <c r="I6696" s="1">
        <v>3</v>
      </c>
      <c r="J6696" s="2">
        <v>45659</v>
      </c>
      <c r="L6696" s="1" t="str">
        <f t="shared" si="737"/>
        <v>qui</v>
      </c>
      <c r="M6696" s="1" t="str">
        <f t="shared" si="738"/>
        <v>jan</v>
      </c>
      <c r="N6696">
        <f t="shared" si="739"/>
        <v>2025</v>
      </c>
      <c r="P6696" t="str">
        <f t="shared" si="740"/>
        <v>103945659</v>
      </c>
    </row>
    <row r="6697" spans="1:16" x14ac:dyDescent="0.3">
      <c r="A6697">
        <v>1039</v>
      </c>
      <c r="B6697">
        <v>58</v>
      </c>
      <c r="C6697" t="s">
        <v>26</v>
      </c>
      <c r="D6697" t="s">
        <v>16</v>
      </c>
      <c r="E6697" t="s">
        <v>17</v>
      </c>
      <c r="F6697" t="s">
        <v>23</v>
      </c>
      <c r="G6697" t="s">
        <v>43</v>
      </c>
      <c r="H6697" t="s">
        <v>25</v>
      </c>
      <c r="I6697" s="1">
        <v>3</v>
      </c>
      <c r="J6697" s="2">
        <v>45658</v>
      </c>
      <c r="L6697" s="1" t="str">
        <f t="shared" si="737"/>
        <v>qua</v>
      </c>
      <c r="M6697" s="1" t="str">
        <f t="shared" si="738"/>
        <v>jan</v>
      </c>
      <c r="N6697">
        <f t="shared" si="739"/>
        <v>2025</v>
      </c>
      <c r="P6697" t="str">
        <f t="shared" si="740"/>
        <v>103945658</v>
      </c>
    </row>
    <row r="6698" spans="1:16" x14ac:dyDescent="0.3">
      <c r="A6698">
        <v>1039</v>
      </c>
      <c r="B6698">
        <v>58</v>
      </c>
      <c r="C6698" t="s">
        <v>26</v>
      </c>
      <c r="D6698" t="s">
        <v>16</v>
      </c>
      <c r="E6698" t="s">
        <v>17</v>
      </c>
      <c r="F6698" t="s">
        <v>23</v>
      </c>
      <c r="G6698" t="s">
        <v>43</v>
      </c>
      <c r="H6698" t="s">
        <v>25</v>
      </c>
      <c r="I6698" s="1">
        <v>3</v>
      </c>
      <c r="J6698" s="2">
        <v>46022</v>
      </c>
      <c r="L6698" s="1" t="str">
        <f t="shared" ref="L6698:L6761" si="741">TEXT(J6698,"ddd")</f>
        <v>qua</v>
      </c>
      <c r="M6698" s="1" t="str">
        <f t="shared" ref="M6698:M6761" si="742">TEXT($J6698,"mmm")</f>
        <v>dez</v>
      </c>
      <c r="N6698">
        <f t="shared" ref="N6698:N6761" si="743">YEAR(J6698)</f>
        <v>2025</v>
      </c>
      <c r="P6698" t="str">
        <f t="shared" ref="P6698:P6761" si="744">CONCATENATE(A6698,J6698)</f>
        <v>103946022</v>
      </c>
    </row>
    <row r="6699" spans="1:16" x14ac:dyDescent="0.3">
      <c r="A6699">
        <v>1039</v>
      </c>
      <c r="B6699">
        <v>58</v>
      </c>
      <c r="C6699" t="s">
        <v>26</v>
      </c>
      <c r="D6699" t="s">
        <v>16</v>
      </c>
      <c r="E6699" t="s">
        <v>17</v>
      </c>
      <c r="F6699" t="s">
        <v>23</v>
      </c>
      <c r="G6699" t="s">
        <v>43</v>
      </c>
      <c r="H6699" t="s">
        <v>25</v>
      </c>
      <c r="I6699" s="1">
        <v>3</v>
      </c>
      <c r="J6699" s="2">
        <v>46021</v>
      </c>
      <c r="L6699" s="1" t="str">
        <f t="shared" si="741"/>
        <v>ter</v>
      </c>
      <c r="M6699" s="1" t="str">
        <f t="shared" si="742"/>
        <v>dez</v>
      </c>
      <c r="N6699">
        <f t="shared" si="743"/>
        <v>2025</v>
      </c>
      <c r="P6699" t="str">
        <f t="shared" si="744"/>
        <v>103946021</v>
      </c>
    </row>
    <row r="6700" spans="1:16" x14ac:dyDescent="0.3">
      <c r="A6700">
        <v>1039</v>
      </c>
      <c r="B6700">
        <v>58</v>
      </c>
      <c r="C6700" t="s">
        <v>26</v>
      </c>
      <c r="D6700" t="s">
        <v>16</v>
      </c>
      <c r="E6700" t="s">
        <v>17</v>
      </c>
      <c r="F6700" t="s">
        <v>23</v>
      </c>
      <c r="G6700" t="s">
        <v>43</v>
      </c>
      <c r="H6700" t="s">
        <v>25</v>
      </c>
      <c r="I6700" s="1">
        <v>3</v>
      </c>
      <c r="J6700" s="2">
        <v>46020</v>
      </c>
      <c r="L6700" s="1" t="str">
        <f t="shared" si="741"/>
        <v>seg</v>
      </c>
      <c r="M6700" s="1" t="str">
        <f t="shared" si="742"/>
        <v>dez</v>
      </c>
      <c r="N6700">
        <f t="shared" si="743"/>
        <v>2025</v>
      </c>
      <c r="P6700" t="str">
        <f t="shared" si="744"/>
        <v>103946020</v>
      </c>
    </row>
    <row r="6701" spans="1:16" x14ac:dyDescent="0.3">
      <c r="A6701">
        <v>1039</v>
      </c>
      <c r="B6701">
        <v>58</v>
      </c>
      <c r="C6701" t="s">
        <v>26</v>
      </c>
      <c r="D6701" t="s">
        <v>16</v>
      </c>
      <c r="E6701" t="s">
        <v>17</v>
      </c>
      <c r="F6701" t="s">
        <v>23</v>
      </c>
      <c r="G6701" t="s">
        <v>43</v>
      </c>
      <c r="H6701" t="s">
        <v>25</v>
      </c>
      <c r="I6701" s="1">
        <v>3</v>
      </c>
      <c r="J6701" s="2">
        <v>46019</v>
      </c>
      <c r="L6701" s="1" t="str">
        <f t="shared" si="741"/>
        <v>dom</v>
      </c>
      <c r="M6701" s="1" t="str">
        <f t="shared" si="742"/>
        <v>dez</v>
      </c>
      <c r="N6701">
        <f t="shared" si="743"/>
        <v>2025</v>
      </c>
      <c r="P6701" t="str">
        <f t="shared" si="744"/>
        <v>103946019</v>
      </c>
    </row>
    <row r="6702" spans="1:16" x14ac:dyDescent="0.3">
      <c r="A6702">
        <v>1039</v>
      </c>
      <c r="B6702">
        <v>58</v>
      </c>
      <c r="C6702" t="s">
        <v>26</v>
      </c>
      <c r="D6702" t="s">
        <v>16</v>
      </c>
      <c r="E6702" t="s">
        <v>17</v>
      </c>
      <c r="F6702" t="s">
        <v>23</v>
      </c>
      <c r="G6702" t="s">
        <v>43</v>
      </c>
      <c r="H6702" t="s">
        <v>25</v>
      </c>
      <c r="I6702" s="1">
        <v>3</v>
      </c>
      <c r="J6702" s="2">
        <v>46018</v>
      </c>
      <c r="L6702" s="1" t="str">
        <f t="shared" si="741"/>
        <v>sáb</v>
      </c>
      <c r="M6702" s="1" t="str">
        <f t="shared" si="742"/>
        <v>dez</v>
      </c>
      <c r="N6702">
        <f t="shared" si="743"/>
        <v>2025</v>
      </c>
      <c r="P6702" t="str">
        <f t="shared" si="744"/>
        <v>103946018</v>
      </c>
    </row>
    <row r="6703" spans="1:16" x14ac:dyDescent="0.3">
      <c r="A6703">
        <v>1039</v>
      </c>
      <c r="B6703">
        <v>58</v>
      </c>
      <c r="C6703" t="s">
        <v>26</v>
      </c>
      <c r="D6703" t="s">
        <v>16</v>
      </c>
      <c r="E6703" t="s">
        <v>17</v>
      </c>
      <c r="F6703" t="s">
        <v>23</v>
      </c>
      <c r="G6703" t="s">
        <v>43</v>
      </c>
      <c r="H6703" t="s">
        <v>25</v>
      </c>
      <c r="I6703" s="1">
        <v>3</v>
      </c>
      <c r="J6703" s="2">
        <v>46017</v>
      </c>
      <c r="L6703" s="1" t="str">
        <f t="shared" si="741"/>
        <v>sex</v>
      </c>
      <c r="M6703" s="1" t="str">
        <f t="shared" si="742"/>
        <v>dez</v>
      </c>
      <c r="N6703">
        <f t="shared" si="743"/>
        <v>2025</v>
      </c>
      <c r="P6703" t="str">
        <f t="shared" si="744"/>
        <v>103946017</v>
      </c>
    </row>
    <row r="6704" spans="1:16" x14ac:dyDescent="0.3">
      <c r="A6704">
        <v>1039</v>
      </c>
      <c r="B6704">
        <v>58</v>
      </c>
      <c r="C6704" t="s">
        <v>26</v>
      </c>
      <c r="D6704" t="s">
        <v>16</v>
      </c>
      <c r="E6704" t="s">
        <v>17</v>
      </c>
      <c r="F6704" t="s">
        <v>23</v>
      </c>
      <c r="G6704" t="s">
        <v>43</v>
      </c>
      <c r="H6704" t="s">
        <v>25</v>
      </c>
      <c r="I6704" s="1">
        <v>3</v>
      </c>
      <c r="J6704" s="2">
        <v>46016</v>
      </c>
      <c r="L6704" s="1" t="str">
        <f t="shared" si="741"/>
        <v>qui</v>
      </c>
      <c r="M6704" s="1" t="str">
        <f t="shared" si="742"/>
        <v>dez</v>
      </c>
      <c r="N6704">
        <f t="shared" si="743"/>
        <v>2025</v>
      </c>
      <c r="P6704" t="str">
        <f t="shared" si="744"/>
        <v>103946016</v>
      </c>
    </row>
    <row r="6705" spans="1:16" x14ac:dyDescent="0.3">
      <c r="A6705">
        <v>1039</v>
      </c>
      <c r="B6705">
        <v>58</v>
      </c>
      <c r="C6705" t="s">
        <v>26</v>
      </c>
      <c r="D6705" t="s">
        <v>16</v>
      </c>
      <c r="E6705" t="s">
        <v>17</v>
      </c>
      <c r="F6705" t="s">
        <v>23</v>
      </c>
      <c r="G6705" t="s">
        <v>43</v>
      </c>
      <c r="H6705" t="s">
        <v>25</v>
      </c>
      <c r="I6705" s="1">
        <v>3</v>
      </c>
      <c r="J6705" s="2">
        <v>46015</v>
      </c>
      <c r="L6705" s="1" t="str">
        <f t="shared" si="741"/>
        <v>qua</v>
      </c>
      <c r="M6705" s="1" t="str">
        <f t="shared" si="742"/>
        <v>dez</v>
      </c>
      <c r="N6705">
        <f t="shared" si="743"/>
        <v>2025</v>
      </c>
      <c r="P6705" t="str">
        <f t="shared" si="744"/>
        <v>103946015</v>
      </c>
    </row>
    <row r="6706" spans="1:16" x14ac:dyDescent="0.3">
      <c r="A6706">
        <v>1039</v>
      </c>
      <c r="B6706">
        <v>58</v>
      </c>
      <c r="C6706" t="s">
        <v>26</v>
      </c>
      <c r="D6706" t="s">
        <v>16</v>
      </c>
      <c r="E6706" t="s">
        <v>17</v>
      </c>
      <c r="F6706" t="s">
        <v>23</v>
      </c>
      <c r="G6706" t="s">
        <v>43</v>
      </c>
      <c r="H6706" t="s">
        <v>25</v>
      </c>
      <c r="I6706" s="1">
        <v>3</v>
      </c>
      <c r="J6706" s="2">
        <v>46014</v>
      </c>
      <c r="L6706" s="1" t="str">
        <f t="shared" si="741"/>
        <v>ter</v>
      </c>
      <c r="M6706" s="1" t="str">
        <f t="shared" si="742"/>
        <v>dez</v>
      </c>
      <c r="N6706">
        <f t="shared" si="743"/>
        <v>2025</v>
      </c>
      <c r="P6706" t="str">
        <f t="shared" si="744"/>
        <v>103946014</v>
      </c>
    </row>
    <row r="6707" spans="1:16" x14ac:dyDescent="0.3">
      <c r="A6707">
        <v>1039</v>
      </c>
      <c r="B6707">
        <v>58</v>
      </c>
      <c r="C6707" t="s">
        <v>26</v>
      </c>
      <c r="D6707" t="s">
        <v>16</v>
      </c>
      <c r="E6707" t="s">
        <v>17</v>
      </c>
      <c r="F6707" t="s">
        <v>23</v>
      </c>
      <c r="G6707" t="s">
        <v>43</v>
      </c>
      <c r="H6707" t="s">
        <v>25</v>
      </c>
      <c r="I6707" s="1">
        <v>3</v>
      </c>
      <c r="J6707" s="2">
        <v>46013</v>
      </c>
      <c r="L6707" s="1" t="str">
        <f t="shared" si="741"/>
        <v>seg</v>
      </c>
      <c r="M6707" s="1" t="str">
        <f t="shared" si="742"/>
        <v>dez</v>
      </c>
      <c r="N6707">
        <f t="shared" si="743"/>
        <v>2025</v>
      </c>
      <c r="P6707" t="str">
        <f t="shared" si="744"/>
        <v>103946013</v>
      </c>
    </row>
    <row r="6708" spans="1:16" x14ac:dyDescent="0.3">
      <c r="A6708">
        <v>1039</v>
      </c>
      <c r="B6708">
        <v>58</v>
      </c>
      <c r="C6708" t="s">
        <v>26</v>
      </c>
      <c r="D6708" t="s">
        <v>16</v>
      </c>
      <c r="E6708" t="s">
        <v>17</v>
      </c>
      <c r="F6708" t="s">
        <v>23</v>
      </c>
      <c r="G6708" t="s">
        <v>43</v>
      </c>
      <c r="H6708" t="s">
        <v>25</v>
      </c>
      <c r="I6708" s="1">
        <v>3</v>
      </c>
      <c r="J6708" s="2">
        <v>46012</v>
      </c>
      <c r="L6708" s="1" t="str">
        <f t="shared" si="741"/>
        <v>dom</v>
      </c>
      <c r="M6708" s="1" t="str">
        <f t="shared" si="742"/>
        <v>dez</v>
      </c>
      <c r="N6708">
        <f t="shared" si="743"/>
        <v>2025</v>
      </c>
      <c r="P6708" t="str">
        <f t="shared" si="744"/>
        <v>103946012</v>
      </c>
    </row>
    <row r="6709" spans="1:16" x14ac:dyDescent="0.3">
      <c r="A6709">
        <v>1039</v>
      </c>
      <c r="B6709">
        <v>58</v>
      </c>
      <c r="C6709" t="s">
        <v>26</v>
      </c>
      <c r="D6709" t="s">
        <v>16</v>
      </c>
      <c r="E6709" t="s">
        <v>17</v>
      </c>
      <c r="F6709" t="s">
        <v>23</v>
      </c>
      <c r="G6709" t="s">
        <v>43</v>
      </c>
      <c r="H6709" t="s">
        <v>25</v>
      </c>
      <c r="I6709" s="1">
        <v>3</v>
      </c>
      <c r="J6709" s="2">
        <v>46011</v>
      </c>
      <c r="L6709" s="1" t="str">
        <f t="shared" si="741"/>
        <v>sáb</v>
      </c>
      <c r="M6709" s="1" t="str">
        <f t="shared" si="742"/>
        <v>dez</v>
      </c>
      <c r="N6709">
        <f t="shared" si="743"/>
        <v>2025</v>
      </c>
      <c r="P6709" t="str">
        <f t="shared" si="744"/>
        <v>103946011</v>
      </c>
    </row>
    <row r="6710" spans="1:16" x14ac:dyDescent="0.3">
      <c r="A6710">
        <v>1039</v>
      </c>
      <c r="B6710">
        <v>58</v>
      </c>
      <c r="C6710" t="s">
        <v>26</v>
      </c>
      <c r="D6710" t="s">
        <v>16</v>
      </c>
      <c r="E6710" t="s">
        <v>17</v>
      </c>
      <c r="F6710" t="s">
        <v>23</v>
      </c>
      <c r="G6710" t="s">
        <v>43</v>
      </c>
      <c r="H6710" t="s">
        <v>25</v>
      </c>
      <c r="I6710" s="1">
        <v>3</v>
      </c>
      <c r="J6710" s="2">
        <v>46010</v>
      </c>
      <c r="L6710" s="1" t="str">
        <f t="shared" si="741"/>
        <v>sex</v>
      </c>
      <c r="M6710" s="1" t="str">
        <f t="shared" si="742"/>
        <v>dez</v>
      </c>
      <c r="N6710">
        <f t="shared" si="743"/>
        <v>2025</v>
      </c>
      <c r="P6710" t="str">
        <f t="shared" si="744"/>
        <v>103946010</v>
      </c>
    </row>
    <row r="6711" spans="1:16" x14ac:dyDescent="0.3">
      <c r="A6711">
        <v>1039</v>
      </c>
      <c r="B6711">
        <v>58</v>
      </c>
      <c r="C6711" t="s">
        <v>26</v>
      </c>
      <c r="D6711" t="s">
        <v>16</v>
      </c>
      <c r="E6711" t="s">
        <v>17</v>
      </c>
      <c r="F6711" t="s">
        <v>23</v>
      </c>
      <c r="G6711" t="s">
        <v>43</v>
      </c>
      <c r="H6711" t="s">
        <v>25</v>
      </c>
      <c r="I6711" s="1">
        <v>3</v>
      </c>
      <c r="J6711" s="2">
        <v>46009</v>
      </c>
      <c r="L6711" s="1" t="str">
        <f t="shared" si="741"/>
        <v>qui</v>
      </c>
      <c r="M6711" s="1" t="str">
        <f t="shared" si="742"/>
        <v>dez</v>
      </c>
      <c r="N6711">
        <f t="shared" si="743"/>
        <v>2025</v>
      </c>
      <c r="P6711" t="str">
        <f t="shared" si="744"/>
        <v>103946009</v>
      </c>
    </row>
    <row r="6712" spans="1:16" x14ac:dyDescent="0.3">
      <c r="A6712">
        <v>1039</v>
      </c>
      <c r="B6712">
        <v>58</v>
      </c>
      <c r="C6712" t="s">
        <v>26</v>
      </c>
      <c r="D6712" t="s">
        <v>16</v>
      </c>
      <c r="E6712" t="s">
        <v>17</v>
      </c>
      <c r="F6712" t="s">
        <v>23</v>
      </c>
      <c r="G6712" t="s">
        <v>43</v>
      </c>
      <c r="H6712" t="s">
        <v>25</v>
      </c>
      <c r="I6712" s="1">
        <v>3</v>
      </c>
      <c r="J6712" s="2">
        <v>46008</v>
      </c>
      <c r="L6712" s="1" t="str">
        <f t="shared" si="741"/>
        <v>qua</v>
      </c>
      <c r="M6712" s="1" t="str">
        <f t="shared" si="742"/>
        <v>dez</v>
      </c>
      <c r="N6712">
        <f t="shared" si="743"/>
        <v>2025</v>
      </c>
      <c r="P6712" t="str">
        <f t="shared" si="744"/>
        <v>103946008</v>
      </c>
    </row>
    <row r="6713" spans="1:16" x14ac:dyDescent="0.3">
      <c r="A6713">
        <v>1039</v>
      </c>
      <c r="B6713">
        <v>58</v>
      </c>
      <c r="C6713" t="s">
        <v>26</v>
      </c>
      <c r="D6713" t="s">
        <v>16</v>
      </c>
      <c r="E6713" t="s">
        <v>17</v>
      </c>
      <c r="F6713" t="s">
        <v>23</v>
      </c>
      <c r="G6713" t="s">
        <v>43</v>
      </c>
      <c r="H6713" t="s">
        <v>25</v>
      </c>
      <c r="I6713" s="1">
        <v>3</v>
      </c>
      <c r="J6713" s="2">
        <v>46007</v>
      </c>
      <c r="L6713" s="1" t="str">
        <f t="shared" si="741"/>
        <v>ter</v>
      </c>
      <c r="M6713" s="1" t="str">
        <f t="shared" si="742"/>
        <v>dez</v>
      </c>
      <c r="N6713">
        <f t="shared" si="743"/>
        <v>2025</v>
      </c>
      <c r="P6713" t="str">
        <f t="shared" si="744"/>
        <v>103946007</v>
      </c>
    </row>
    <row r="6714" spans="1:16" x14ac:dyDescent="0.3">
      <c r="A6714">
        <v>1039</v>
      </c>
      <c r="B6714">
        <v>58</v>
      </c>
      <c r="C6714" t="s">
        <v>26</v>
      </c>
      <c r="D6714" t="s">
        <v>16</v>
      </c>
      <c r="E6714" t="s">
        <v>17</v>
      </c>
      <c r="F6714" t="s">
        <v>23</v>
      </c>
      <c r="G6714" t="s">
        <v>43</v>
      </c>
      <c r="H6714" t="s">
        <v>25</v>
      </c>
      <c r="I6714" s="1">
        <v>3</v>
      </c>
      <c r="J6714" s="2">
        <v>46006</v>
      </c>
      <c r="L6714" s="1" t="str">
        <f t="shared" si="741"/>
        <v>seg</v>
      </c>
      <c r="M6714" s="1" t="str">
        <f t="shared" si="742"/>
        <v>dez</v>
      </c>
      <c r="N6714">
        <f t="shared" si="743"/>
        <v>2025</v>
      </c>
      <c r="P6714" t="str">
        <f t="shared" si="744"/>
        <v>103946006</v>
      </c>
    </row>
    <row r="6715" spans="1:16" x14ac:dyDescent="0.3">
      <c r="A6715">
        <v>1039</v>
      </c>
      <c r="B6715">
        <v>58</v>
      </c>
      <c r="C6715" t="s">
        <v>26</v>
      </c>
      <c r="D6715" t="s">
        <v>16</v>
      </c>
      <c r="E6715" t="s">
        <v>17</v>
      </c>
      <c r="F6715" t="s">
        <v>23</v>
      </c>
      <c r="G6715" t="s">
        <v>43</v>
      </c>
      <c r="H6715" t="s">
        <v>25</v>
      </c>
      <c r="I6715" s="1">
        <v>3</v>
      </c>
      <c r="J6715" s="2">
        <v>46005</v>
      </c>
      <c r="L6715" s="1" t="str">
        <f t="shared" si="741"/>
        <v>dom</v>
      </c>
      <c r="M6715" s="1" t="str">
        <f t="shared" si="742"/>
        <v>dez</v>
      </c>
      <c r="N6715">
        <f t="shared" si="743"/>
        <v>2025</v>
      </c>
      <c r="P6715" t="str">
        <f t="shared" si="744"/>
        <v>103946005</v>
      </c>
    </row>
    <row r="6716" spans="1:16" x14ac:dyDescent="0.3">
      <c r="A6716">
        <v>1039</v>
      </c>
      <c r="B6716">
        <v>58</v>
      </c>
      <c r="C6716" t="s">
        <v>26</v>
      </c>
      <c r="D6716" t="s">
        <v>16</v>
      </c>
      <c r="E6716" t="s">
        <v>17</v>
      </c>
      <c r="F6716" t="s">
        <v>23</v>
      </c>
      <c r="G6716" t="s">
        <v>43</v>
      </c>
      <c r="H6716" t="s">
        <v>25</v>
      </c>
      <c r="I6716" s="1">
        <v>3</v>
      </c>
      <c r="J6716" s="2">
        <v>46004</v>
      </c>
      <c r="L6716" s="1" t="str">
        <f t="shared" si="741"/>
        <v>sáb</v>
      </c>
      <c r="M6716" s="1" t="str">
        <f t="shared" si="742"/>
        <v>dez</v>
      </c>
      <c r="N6716">
        <f t="shared" si="743"/>
        <v>2025</v>
      </c>
      <c r="P6716" t="str">
        <f t="shared" si="744"/>
        <v>103946004</v>
      </c>
    </row>
    <row r="6717" spans="1:16" x14ac:dyDescent="0.3">
      <c r="A6717">
        <v>1039</v>
      </c>
      <c r="B6717">
        <v>58</v>
      </c>
      <c r="C6717" t="s">
        <v>26</v>
      </c>
      <c r="D6717" t="s">
        <v>16</v>
      </c>
      <c r="E6717" t="s">
        <v>17</v>
      </c>
      <c r="F6717" t="s">
        <v>23</v>
      </c>
      <c r="G6717" t="s">
        <v>43</v>
      </c>
      <c r="H6717" t="s">
        <v>25</v>
      </c>
      <c r="I6717" s="1">
        <v>3</v>
      </c>
      <c r="J6717" s="2">
        <v>46003</v>
      </c>
      <c r="L6717" s="1" t="str">
        <f t="shared" si="741"/>
        <v>sex</v>
      </c>
      <c r="M6717" s="1" t="str">
        <f t="shared" si="742"/>
        <v>dez</v>
      </c>
      <c r="N6717">
        <f t="shared" si="743"/>
        <v>2025</v>
      </c>
      <c r="P6717" t="str">
        <f t="shared" si="744"/>
        <v>103946003</v>
      </c>
    </row>
    <row r="6718" spans="1:16" x14ac:dyDescent="0.3">
      <c r="A6718">
        <v>1039</v>
      </c>
      <c r="B6718">
        <v>58</v>
      </c>
      <c r="C6718" t="s">
        <v>26</v>
      </c>
      <c r="D6718" t="s">
        <v>16</v>
      </c>
      <c r="E6718" t="s">
        <v>17</v>
      </c>
      <c r="F6718" t="s">
        <v>23</v>
      </c>
      <c r="G6718" t="s">
        <v>43</v>
      </c>
      <c r="H6718" t="s">
        <v>25</v>
      </c>
      <c r="I6718" s="1">
        <v>3</v>
      </c>
      <c r="J6718" s="2">
        <v>46002</v>
      </c>
      <c r="L6718" s="1" t="str">
        <f t="shared" si="741"/>
        <v>qui</v>
      </c>
      <c r="M6718" s="1" t="str">
        <f t="shared" si="742"/>
        <v>dez</v>
      </c>
      <c r="N6718">
        <f t="shared" si="743"/>
        <v>2025</v>
      </c>
      <c r="P6718" t="str">
        <f t="shared" si="744"/>
        <v>103946002</v>
      </c>
    </row>
    <row r="6719" spans="1:16" x14ac:dyDescent="0.3">
      <c r="A6719">
        <v>1039</v>
      </c>
      <c r="B6719">
        <v>58</v>
      </c>
      <c r="C6719" t="s">
        <v>26</v>
      </c>
      <c r="D6719" t="s">
        <v>16</v>
      </c>
      <c r="E6719" t="s">
        <v>17</v>
      </c>
      <c r="F6719" t="s">
        <v>23</v>
      </c>
      <c r="G6719" t="s">
        <v>43</v>
      </c>
      <c r="H6719" t="s">
        <v>25</v>
      </c>
      <c r="I6719" s="1">
        <v>3</v>
      </c>
      <c r="J6719" s="2">
        <v>46001</v>
      </c>
      <c r="L6719" s="1" t="str">
        <f t="shared" si="741"/>
        <v>qua</v>
      </c>
      <c r="M6719" s="1" t="str">
        <f t="shared" si="742"/>
        <v>dez</v>
      </c>
      <c r="N6719">
        <f t="shared" si="743"/>
        <v>2025</v>
      </c>
      <c r="P6719" t="str">
        <f t="shared" si="744"/>
        <v>103946001</v>
      </c>
    </row>
    <row r="6720" spans="1:16" x14ac:dyDescent="0.3">
      <c r="A6720">
        <v>1039</v>
      </c>
      <c r="B6720">
        <v>58</v>
      </c>
      <c r="C6720" t="s">
        <v>26</v>
      </c>
      <c r="D6720" t="s">
        <v>16</v>
      </c>
      <c r="E6720" t="s">
        <v>17</v>
      </c>
      <c r="F6720" t="s">
        <v>23</v>
      </c>
      <c r="G6720" t="s">
        <v>43</v>
      </c>
      <c r="H6720" t="s">
        <v>25</v>
      </c>
      <c r="I6720" s="1">
        <v>3</v>
      </c>
      <c r="J6720" s="2">
        <v>46000</v>
      </c>
      <c r="L6720" s="1" t="str">
        <f t="shared" si="741"/>
        <v>ter</v>
      </c>
      <c r="M6720" s="1" t="str">
        <f t="shared" si="742"/>
        <v>dez</v>
      </c>
      <c r="N6720">
        <f t="shared" si="743"/>
        <v>2025</v>
      </c>
      <c r="P6720" t="str">
        <f t="shared" si="744"/>
        <v>103946000</v>
      </c>
    </row>
    <row r="6721" spans="1:16" x14ac:dyDescent="0.3">
      <c r="A6721">
        <v>1039</v>
      </c>
      <c r="B6721">
        <v>58</v>
      </c>
      <c r="C6721" t="s">
        <v>26</v>
      </c>
      <c r="D6721" t="s">
        <v>16</v>
      </c>
      <c r="E6721" t="s">
        <v>17</v>
      </c>
      <c r="F6721" t="s">
        <v>23</v>
      </c>
      <c r="G6721" t="s">
        <v>43</v>
      </c>
      <c r="H6721" t="s">
        <v>25</v>
      </c>
      <c r="I6721" s="1">
        <v>3</v>
      </c>
      <c r="J6721" s="2">
        <v>45999</v>
      </c>
      <c r="L6721" s="1" t="str">
        <f t="shared" si="741"/>
        <v>seg</v>
      </c>
      <c r="M6721" s="1" t="str">
        <f t="shared" si="742"/>
        <v>dez</v>
      </c>
      <c r="N6721">
        <f t="shared" si="743"/>
        <v>2025</v>
      </c>
      <c r="P6721" t="str">
        <f t="shared" si="744"/>
        <v>103945999</v>
      </c>
    </row>
    <row r="6722" spans="1:16" x14ac:dyDescent="0.3">
      <c r="A6722">
        <v>1039</v>
      </c>
      <c r="B6722">
        <v>58</v>
      </c>
      <c r="C6722" t="s">
        <v>26</v>
      </c>
      <c r="D6722" t="s">
        <v>16</v>
      </c>
      <c r="E6722" t="s">
        <v>17</v>
      </c>
      <c r="F6722" t="s">
        <v>23</v>
      </c>
      <c r="G6722" t="s">
        <v>43</v>
      </c>
      <c r="H6722" t="s">
        <v>25</v>
      </c>
      <c r="I6722" s="1">
        <v>3</v>
      </c>
      <c r="J6722" s="2">
        <v>45998</v>
      </c>
      <c r="L6722" s="1" t="str">
        <f t="shared" si="741"/>
        <v>dom</v>
      </c>
      <c r="M6722" s="1" t="str">
        <f t="shared" si="742"/>
        <v>dez</v>
      </c>
      <c r="N6722">
        <f t="shared" si="743"/>
        <v>2025</v>
      </c>
      <c r="P6722" t="str">
        <f t="shared" si="744"/>
        <v>103945998</v>
      </c>
    </row>
    <row r="6723" spans="1:16" x14ac:dyDescent="0.3">
      <c r="A6723">
        <v>1039</v>
      </c>
      <c r="B6723">
        <v>58</v>
      </c>
      <c r="C6723" t="s">
        <v>26</v>
      </c>
      <c r="D6723" t="s">
        <v>16</v>
      </c>
      <c r="E6723" t="s">
        <v>17</v>
      </c>
      <c r="F6723" t="s">
        <v>23</v>
      </c>
      <c r="G6723" t="s">
        <v>43</v>
      </c>
      <c r="H6723" t="s">
        <v>25</v>
      </c>
      <c r="I6723" s="1">
        <v>3</v>
      </c>
      <c r="J6723" s="2">
        <v>45997</v>
      </c>
      <c r="L6723" s="1" t="str">
        <f t="shared" si="741"/>
        <v>sáb</v>
      </c>
      <c r="M6723" s="1" t="str">
        <f t="shared" si="742"/>
        <v>dez</v>
      </c>
      <c r="N6723">
        <f t="shared" si="743"/>
        <v>2025</v>
      </c>
      <c r="P6723" t="str">
        <f t="shared" si="744"/>
        <v>103945997</v>
      </c>
    </row>
    <row r="6724" spans="1:16" x14ac:dyDescent="0.3">
      <c r="A6724">
        <v>1039</v>
      </c>
      <c r="B6724">
        <v>58</v>
      </c>
      <c r="C6724" t="s">
        <v>26</v>
      </c>
      <c r="D6724" t="s">
        <v>16</v>
      </c>
      <c r="E6724" t="s">
        <v>17</v>
      </c>
      <c r="F6724" t="s">
        <v>23</v>
      </c>
      <c r="G6724" t="s">
        <v>43</v>
      </c>
      <c r="H6724" t="s">
        <v>25</v>
      </c>
      <c r="I6724" s="1">
        <v>3</v>
      </c>
      <c r="J6724" s="2">
        <v>45996</v>
      </c>
      <c r="L6724" s="1" t="str">
        <f t="shared" si="741"/>
        <v>sex</v>
      </c>
      <c r="M6724" s="1" t="str">
        <f t="shared" si="742"/>
        <v>dez</v>
      </c>
      <c r="N6724">
        <f t="shared" si="743"/>
        <v>2025</v>
      </c>
      <c r="P6724" t="str">
        <f t="shared" si="744"/>
        <v>103945996</v>
      </c>
    </row>
    <row r="6725" spans="1:16" x14ac:dyDescent="0.3">
      <c r="A6725">
        <v>1039</v>
      </c>
      <c r="B6725">
        <v>58</v>
      </c>
      <c r="C6725" t="s">
        <v>26</v>
      </c>
      <c r="D6725" t="s">
        <v>16</v>
      </c>
      <c r="E6725" t="s">
        <v>17</v>
      </c>
      <c r="F6725" t="s">
        <v>23</v>
      </c>
      <c r="G6725" t="s">
        <v>43</v>
      </c>
      <c r="H6725" t="s">
        <v>25</v>
      </c>
      <c r="I6725" s="1">
        <v>3</v>
      </c>
      <c r="J6725" s="2">
        <v>45995</v>
      </c>
      <c r="L6725" s="1" t="str">
        <f t="shared" si="741"/>
        <v>qui</v>
      </c>
      <c r="M6725" s="1" t="str">
        <f t="shared" si="742"/>
        <v>dez</v>
      </c>
      <c r="N6725">
        <f t="shared" si="743"/>
        <v>2025</v>
      </c>
      <c r="P6725" t="str">
        <f t="shared" si="744"/>
        <v>103945995</v>
      </c>
    </row>
    <row r="6726" spans="1:16" x14ac:dyDescent="0.3">
      <c r="A6726">
        <v>1039</v>
      </c>
      <c r="B6726">
        <v>58</v>
      </c>
      <c r="C6726" t="s">
        <v>26</v>
      </c>
      <c r="D6726" t="s">
        <v>16</v>
      </c>
      <c r="E6726" t="s">
        <v>17</v>
      </c>
      <c r="F6726" t="s">
        <v>23</v>
      </c>
      <c r="G6726" t="s">
        <v>43</v>
      </c>
      <c r="H6726" t="s">
        <v>25</v>
      </c>
      <c r="I6726" s="1">
        <v>3</v>
      </c>
      <c r="J6726" s="2">
        <v>45994</v>
      </c>
      <c r="L6726" s="1" t="str">
        <f t="shared" si="741"/>
        <v>qua</v>
      </c>
      <c r="M6726" s="1" t="str">
        <f t="shared" si="742"/>
        <v>dez</v>
      </c>
      <c r="N6726">
        <f t="shared" si="743"/>
        <v>2025</v>
      </c>
      <c r="P6726" t="str">
        <f t="shared" si="744"/>
        <v>103945994</v>
      </c>
    </row>
    <row r="6727" spans="1:16" x14ac:dyDescent="0.3">
      <c r="A6727">
        <v>1039</v>
      </c>
      <c r="B6727">
        <v>58</v>
      </c>
      <c r="C6727" t="s">
        <v>26</v>
      </c>
      <c r="D6727" t="s">
        <v>16</v>
      </c>
      <c r="E6727" t="s">
        <v>17</v>
      </c>
      <c r="F6727" t="s">
        <v>23</v>
      </c>
      <c r="G6727" t="s">
        <v>43</v>
      </c>
      <c r="H6727" t="s">
        <v>25</v>
      </c>
      <c r="I6727" s="1">
        <v>3</v>
      </c>
      <c r="J6727" s="2">
        <v>45993</v>
      </c>
      <c r="L6727" s="1" t="str">
        <f t="shared" si="741"/>
        <v>ter</v>
      </c>
      <c r="M6727" s="1" t="str">
        <f t="shared" si="742"/>
        <v>dez</v>
      </c>
      <c r="N6727">
        <f t="shared" si="743"/>
        <v>2025</v>
      </c>
      <c r="P6727" t="str">
        <f t="shared" si="744"/>
        <v>103945993</v>
      </c>
    </row>
    <row r="6728" spans="1:16" x14ac:dyDescent="0.3">
      <c r="A6728">
        <v>1039</v>
      </c>
      <c r="B6728">
        <v>58</v>
      </c>
      <c r="C6728" t="s">
        <v>26</v>
      </c>
      <c r="D6728" t="s">
        <v>16</v>
      </c>
      <c r="E6728" t="s">
        <v>17</v>
      </c>
      <c r="F6728" t="s">
        <v>23</v>
      </c>
      <c r="G6728" t="s">
        <v>43</v>
      </c>
      <c r="H6728" t="s">
        <v>25</v>
      </c>
      <c r="I6728" s="1">
        <v>3</v>
      </c>
      <c r="J6728" s="2">
        <v>45992</v>
      </c>
      <c r="L6728" s="1" t="str">
        <f t="shared" si="741"/>
        <v>seg</v>
      </c>
      <c r="M6728" s="1" t="str">
        <f t="shared" si="742"/>
        <v>dez</v>
      </c>
      <c r="N6728">
        <f t="shared" si="743"/>
        <v>2025</v>
      </c>
      <c r="P6728" t="str">
        <f t="shared" si="744"/>
        <v>103945992</v>
      </c>
    </row>
    <row r="6729" spans="1:16" x14ac:dyDescent="0.3">
      <c r="A6729">
        <v>1039</v>
      </c>
      <c r="B6729">
        <v>58</v>
      </c>
      <c r="C6729" t="s">
        <v>26</v>
      </c>
      <c r="D6729" t="s">
        <v>16</v>
      </c>
      <c r="E6729" t="s">
        <v>17</v>
      </c>
      <c r="F6729" t="s">
        <v>23</v>
      </c>
      <c r="G6729" t="s">
        <v>43</v>
      </c>
      <c r="H6729" t="s">
        <v>25</v>
      </c>
      <c r="I6729" s="1">
        <v>3</v>
      </c>
      <c r="J6729" s="2">
        <v>45991</v>
      </c>
      <c r="L6729" s="1" t="str">
        <f t="shared" si="741"/>
        <v>dom</v>
      </c>
      <c r="M6729" s="1" t="str">
        <f t="shared" si="742"/>
        <v>nov</v>
      </c>
      <c r="N6729">
        <f t="shared" si="743"/>
        <v>2025</v>
      </c>
      <c r="P6729" t="str">
        <f t="shared" si="744"/>
        <v>103945991</v>
      </c>
    </row>
    <row r="6730" spans="1:16" x14ac:dyDescent="0.3">
      <c r="A6730">
        <v>1039</v>
      </c>
      <c r="B6730">
        <v>58</v>
      </c>
      <c r="C6730" t="s">
        <v>26</v>
      </c>
      <c r="D6730" t="s">
        <v>16</v>
      </c>
      <c r="E6730" t="s">
        <v>17</v>
      </c>
      <c r="F6730" t="s">
        <v>23</v>
      </c>
      <c r="G6730" t="s">
        <v>43</v>
      </c>
      <c r="H6730" t="s">
        <v>25</v>
      </c>
      <c r="I6730" s="1">
        <v>3</v>
      </c>
      <c r="J6730" s="2">
        <v>45990</v>
      </c>
      <c r="L6730" s="1" t="str">
        <f t="shared" si="741"/>
        <v>sáb</v>
      </c>
      <c r="M6730" s="1" t="str">
        <f t="shared" si="742"/>
        <v>nov</v>
      </c>
      <c r="N6730">
        <f t="shared" si="743"/>
        <v>2025</v>
      </c>
      <c r="P6730" t="str">
        <f t="shared" si="744"/>
        <v>103945990</v>
      </c>
    </row>
    <row r="6731" spans="1:16" x14ac:dyDescent="0.3">
      <c r="A6731">
        <v>1039</v>
      </c>
      <c r="B6731">
        <v>58</v>
      </c>
      <c r="C6731" t="s">
        <v>26</v>
      </c>
      <c r="D6731" t="s">
        <v>16</v>
      </c>
      <c r="E6731" t="s">
        <v>17</v>
      </c>
      <c r="F6731" t="s">
        <v>23</v>
      </c>
      <c r="G6731" t="s">
        <v>43</v>
      </c>
      <c r="H6731" t="s">
        <v>25</v>
      </c>
      <c r="I6731" s="1">
        <v>3</v>
      </c>
      <c r="J6731" s="2">
        <v>45989</v>
      </c>
      <c r="L6731" s="1" t="str">
        <f t="shared" si="741"/>
        <v>sex</v>
      </c>
      <c r="M6731" s="1" t="str">
        <f t="shared" si="742"/>
        <v>nov</v>
      </c>
      <c r="N6731">
        <f t="shared" si="743"/>
        <v>2025</v>
      </c>
      <c r="P6731" t="str">
        <f t="shared" si="744"/>
        <v>103945989</v>
      </c>
    </row>
    <row r="6732" spans="1:16" x14ac:dyDescent="0.3">
      <c r="A6732">
        <v>1039</v>
      </c>
      <c r="B6732">
        <v>58</v>
      </c>
      <c r="C6732" t="s">
        <v>26</v>
      </c>
      <c r="D6732" t="s">
        <v>16</v>
      </c>
      <c r="E6732" t="s">
        <v>17</v>
      </c>
      <c r="F6732" t="s">
        <v>23</v>
      </c>
      <c r="G6732" t="s">
        <v>43</v>
      </c>
      <c r="H6732" t="s">
        <v>25</v>
      </c>
      <c r="I6732" s="1">
        <v>3</v>
      </c>
      <c r="J6732" s="2">
        <v>45988</v>
      </c>
      <c r="L6732" s="1" t="str">
        <f t="shared" si="741"/>
        <v>qui</v>
      </c>
      <c r="M6732" s="1" t="str">
        <f t="shared" si="742"/>
        <v>nov</v>
      </c>
      <c r="N6732">
        <f t="shared" si="743"/>
        <v>2025</v>
      </c>
      <c r="P6732" t="str">
        <f t="shared" si="744"/>
        <v>103945988</v>
      </c>
    </row>
    <row r="6733" spans="1:16" x14ac:dyDescent="0.3">
      <c r="A6733">
        <v>1039</v>
      </c>
      <c r="B6733">
        <v>58</v>
      </c>
      <c r="C6733" t="s">
        <v>26</v>
      </c>
      <c r="D6733" t="s">
        <v>16</v>
      </c>
      <c r="E6733" t="s">
        <v>17</v>
      </c>
      <c r="F6733" t="s">
        <v>23</v>
      </c>
      <c r="G6733" t="s">
        <v>43</v>
      </c>
      <c r="H6733" t="s">
        <v>25</v>
      </c>
      <c r="I6733" s="1">
        <v>3</v>
      </c>
      <c r="J6733" s="2">
        <v>45987</v>
      </c>
      <c r="L6733" s="1" t="str">
        <f t="shared" si="741"/>
        <v>qua</v>
      </c>
      <c r="M6733" s="1" t="str">
        <f t="shared" si="742"/>
        <v>nov</v>
      </c>
      <c r="N6733">
        <f t="shared" si="743"/>
        <v>2025</v>
      </c>
      <c r="P6733" t="str">
        <f t="shared" si="744"/>
        <v>103945987</v>
      </c>
    </row>
    <row r="6734" spans="1:16" x14ac:dyDescent="0.3">
      <c r="A6734">
        <v>1039</v>
      </c>
      <c r="B6734">
        <v>58</v>
      </c>
      <c r="C6734" t="s">
        <v>26</v>
      </c>
      <c r="D6734" t="s">
        <v>16</v>
      </c>
      <c r="E6734" t="s">
        <v>17</v>
      </c>
      <c r="F6734" t="s">
        <v>23</v>
      </c>
      <c r="G6734" t="s">
        <v>43</v>
      </c>
      <c r="H6734" t="s">
        <v>25</v>
      </c>
      <c r="I6734" s="1">
        <v>3</v>
      </c>
      <c r="J6734" s="2">
        <v>45986</v>
      </c>
      <c r="L6734" s="1" t="str">
        <f t="shared" si="741"/>
        <v>ter</v>
      </c>
      <c r="M6734" s="1" t="str">
        <f t="shared" si="742"/>
        <v>nov</v>
      </c>
      <c r="N6734">
        <f t="shared" si="743"/>
        <v>2025</v>
      </c>
      <c r="P6734" t="str">
        <f t="shared" si="744"/>
        <v>103945986</v>
      </c>
    </row>
    <row r="6735" spans="1:16" x14ac:dyDescent="0.3">
      <c r="A6735">
        <v>1039</v>
      </c>
      <c r="B6735">
        <v>58</v>
      </c>
      <c r="C6735" t="s">
        <v>26</v>
      </c>
      <c r="D6735" t="s">
        <v>16</v>
      </c>
      <c r="E6735" t="s">
        <v>17</v>
      </c>
      <c r="F6735" t="s">
        <v>23</v>
      </c>
      <c r="G6735" t="s">
        <v>43</v>
      </c>
      <c r="H6735" t="s">
        <v>25</v>
      </c>
      <c r="I6735" s="1">
        <v>3</v>
      </c>
      <c r="J6735" s="2">
        <v>45985</v>
      </c>
      <c r="L6735" s="1" t="str">
        <f t="shared" si="741"/>
        <v>seg</v>
      </c>
      <c r="M6735" s="1" t="str">
        <f t="shared" si="742"/>
        <v>nov</v>
      </c>
      <c r="N6735">
        <f t="shared" si="743"/>
        <v>2025</v>
      </c>
      <c r="P6735" t="str">
        <f t="shared" si="744"/>
        <v>103945985</v>
      </c>
    </row>
    <row r="6736" spans="1:16" x14ac:dyDescent="0.3">
      <c r="A6736">
        <v>1039</v>
      </c>
      <c r="B6736">
        <v>58</v>
      </c>
      <c r="C6736" t="s">
        <v>26</v>
      </c>
      <c r="D6736" t="s">
        <v>16</v>
      </c>
      <c r="E6736" t="s">
        <v>17</v>
      </c>
      <c r="F6736" t="s">
        <v>23</v>
      </c>
      <c r="G6736" t="s">
        <v>43</v>
      </c>
      <c r="H6736" t="s">
        <v>25</v>
      </c>
      <c r="I6736" s="1">
        <v>3</v>
      </c>
      <c r="J6736" s="2">
        <v>45984</v>
      </c>
      <c r="L6736" s="1" t="str">
        <f t="shared" si="741"/>
        <v>dom</v>
      </c>
      <c r="M6736" s="1" t="str">
        <f t="shared" si="742"/>
        <v>nov</v>
      </c>
      <c r="N6736">
        <f t="shared" si="743"/>
        <v>2025</v>
      </c>
      <c r="P6736" t="str">
        <f t="shared" si="744"/>
        <v>103945984</v>
      </c>
    </row>
    <row r="6737" spans="1:16" x14ac:dyDescent="0.3">
      <c r="A6737">
        <v>1039</v>
      </c>
      <c r="B6737">
        <v>58</v>
      </c>
      <c r="C6737" t="s">
        <v>26</v>
      </c>
      <c r="D6737" t="s">
        <v>16</v>
      </c>
      <c r="E6737" t="s">
        <v>17</v>
      </c>
      <c r="F6737" t="s">
        <v>23</v>
      </c>
      <c r="G6737" t="s">
        <v>43</v>
      </c>
      <c r="H6737" t="s">
        <v>25</v>
      </c>
      <c r="I6737" s="1">
        <v>3</v>
      </c>
      <c r="J6737" s="2">
        <v>45983</v>
      </c>
      <c r="L6737" s="1" t="str">
        <f t="shared" si="741"/>
        <v>sáb</v>
      </c>
      <c r="M6737" s="1" t="str">
        <f t="shared" si="742"/>
        <v>nov</v>
      </c>
      <c r="N6737">
        <f t="shared" si="743"/>
        <v>2025</v>
      </c>
      <c r="P6737" t="str">
        <f t="shared" si="744"/>
        <v>103945983</v>
      </c>
    </row>
    <row r="6738" spans="1:16" x14ac:dyDescent="0.3">
      <c r="A6738">
        <v>1039</v>
      </c>
      <c r="B6738">
        <v>58</v>
      </c>
      <c r="C6738" t="s">
        <v>26</v>
      </c>
      <c r="D6738" t="s">
        <v>16</v>
      </c>
      <c r="E6738" t="s">
        <v>17</v>
      </c>
      <c r="F6738" t="s">
        <v>23</v>
      </c>
      <c r="G6738" t="s">
        <v>43</v>
      </c>
      <c r="H6738" t="s">
        <v>25</v>
      </c>
      <c r="I6738" s="1">
        <v>3</v>
      </c>
      <c r="J6738" s="2">
        <v>45982</v>
      </c>
      <c r="L6738" s="1" t="str">
        <f t="shared" si="741"/>
        <v>sex</v>
      </c>
      <c r="M6738" s="1" t="str">
        <f t="shared" si="742"/>
        <v>nov</v>
      </c>
      <c r="N6738">
        <f t="shared" si="743"/>
        <v>2025</v>
      </c>
      <c r="P6738" t="str">
        <f t="shared" si="744"/>
        <v>103945982</v>
      </c>
    </row>
    <row r="6739" spans="1:16" x14ac:dyDescent="0.3">
      <c r="A6739">
        <v>1039</v>
      </c>
      <c r="B6739">
        <v>58</v>
      </c>
      <c r="C6739" t="s">
        <v>26</v>
      </c>
      <c r="D6739" t="s">
        <v>16</v>
      </c>
      <c r="E6739" t="s">
        <v>17</v>
      </c>
      <c r="F6739" t="s">
        <v>23</v>
      </c>
      <c r="G6739" t="s">
        <v>43</v>
      </c>
      <c r="H6739" t="s">
        <v>25</v>
      </c>
      <c r="I6739" s="1">
        <v>3</v>
      </c>
      <c r="J6739" s="2">
        <v>45981</v>
      </c>
      <c r="L6739" s="1" t="str">
        <f t="shared" si="741"/>
        <v>qui</v>
      </c>
      <c r="M6739" s="1" t="str">
        <f t="shared" si="742"/>
        <v>nov</v>
      </c>
      <c r="N6739">
        <f t="shared" si="743"/>
        <v>2025</v>
      </c>
      <c r="P6739" t="str">
        <f t="shared" si="744"/>
        <v>103945981</v>
      </c>
    </row>
    <row r="6740" spans="1:16" x14ac:dyDescent="0.3">
      <c r="A6740">
        <v>1039</v>
      </c>
      <c r="B6740">
        <v>58</v>
      </c>
      <c r="C6740" t="s">
        <v>26</v>
      </c>
      <c r="D6740" t="s">
        <v>16</v>
      </c>
      <c r="E6740" t="s">
        <v>17</v>
      </c>
      <c r="F6740" t="s">
        <v>23</v>
      </c>
      <c r="G6740" t="s">
        <v>43</v>
      </c>
      <c r="H6740" t="s">
        <v>25</v>
      </c>
      <c r="I6740" s="1">
        <v>3</v>
      </c>
      <c r="J6740" s="2">
        <v>45980</v>
      </c>
      <c r="L6740" s="1" t="str">
        <f t="shared" si="741"/>
        <v>qua</v>
      </c>
      <c r="M6740" s="1" t="str">
        <f t="shared" si="742"/>
        <v>nov</v>
      </c>
      <c r="N6740">
        <f t="shared" si="743"/>
        <v>2025</v>
      </c>
      <c r="P6740" t="str">
        <f t="shared" si="744"/>
        <v>103945980</v>
      </c>
    </row>
    <row r="6741" spans="1:16" x14ac:dyDescent="0.3">
      <c r="A6741">
        <v>1039</v>
      </c>
      <c r="B6741">
        <v>58</v>
      </c>
      <c r="C6741" t="s">
        <v>26</v>
      </c>
      <c r="D6741" t="s">
        <v>16</v>
      </c>
      <c r="E6741" t="s">
        <v>17</v>
      </c>
      <c r="F6741" t="s">
        <v>23</v>
      </c>
      <c r="G6741" t="s">
        <v>43</v>
      </c>
      <c r="H6741" t="s">
        <v>25</v>
      </c>
      <c r="I6741" s="1">
        <v>3</v>
      </c>
      <c r="J6741" s="2">
        <v>45979</v>
      </c>
      <c r="L6741" s="1" t="str">
        <f t="shared" si="741"/>
        <v>ter</v>
      </c>
      <c r="M6741" s="1" t="str">
        <f t="shared" si="742"/>
        <v>nov</v>
      </c>
      <c r="N6741">
        <f t="shared" si="743"/>
        <v>2025</v>
      </c>
      <c r="P6741" t="str">
        <f t="shared" si="744"/>
        <v>103945979</v>
      </c>
    </row>
    <row r="6742" spans="1:16" x14ac:dyDescent="0.3">
      <c r="A6742">
        <v>1039</v>
      </c>
      <c r="B6742">
        <v>58</v>
      </c>
      <c r="C6742" t="s">
        <v>26</v>
      </c>
      <c r="D6742" t="s">
        <v>16</v>
      </c>
      <c r="E6742" t="s">
        <v>17</v>
      </c>
      <c r="F6742" t="s">
        <v>23</v>
      </c>
      <c r="G6742" t="s">
        <v>43</v>
      </c>
      <c r="H6742" t="s">
        <v>25</v>
      </c>
      <c r="I6742" s="1">
        <v>3</v>
      </c>
      <c r="J6742" s="2">
        <v>45978</v>
      </c>
      <c r="L6742" s="1" t="str">
        <f t="shared" si="741"/>
        <v>seg</v>
      </c>
      <c r="M6742" s="1" t="str">
        <f t="shared" si="742"/>
        <v>nov</v>
      </c>
      <c r="N6742">
        <f t="shared" si="743"/>
        <v>2025</v>
      </c>
      <c r="P6742" t="str">
        <f t="shared" si="744"/>
        <v>103945978</v>
      </c>
    </row>
    <row r="6743" spans="1:16" x14ac:dyDescent="0.3">
      <c r="A6743">
        <v>1039</v>
      </c>
      <c r="B6743">
        <v>58</v>
      </c>
      <c r="C6743" t="s">
        <v>26</v>
      </c>
      <c r="D6743" t="s">
        <v>16</v>
      </c>
      <c r="E6743" t="s">
        <v>17</v>
      </c>
      <c r="F6743" t="s">
        <v>23</v>
      </c>
      <c r="G6743" t="s">
        <v>43</v>
      </c>
      <c r="H6743" t="s">
        <v>25</v>
      </c>
      <c r="I6743" s="1">
        <v>3</v>
      </c>
      <c r="J6743" s="2">
        <v>45977</v>
      </c>
      <c r="L6743" s="1" t="str">
        <f t="shared" si="741"/>
        <v>dom</v>
      </c>
      <c r="M6743" s="1" t="str">
        <f t="shared" si="742"/>
        <v>nov</v>
      </c>
      <c r="N6743">
        <f t="shared" si="743"/>
        <v>2025</v>
      </c>
      <c r="P6743" t="str">
        <f t="shared" si="744"/>
        <v>103945977</v>
      </c>
    </row>
    <row r="6744" spans="1:16" x14ac:dyDescent="0.3">
      <c r="A6744">
        <v>1039</v>
      </c>
      <c r="B6744">
        <v>58</v>
      </c>
      <c r="C6744" t="s">
        <v>26</v>
      </c>
      <c r="D6744" t="s">
        <v>16</v>
      </c>
      <c r="E6744" t="s">
        <v>17</v>
      </c>
      <c r="F6744" t="s">
        <v>23</v>
      </c>
      <c r="G6744" t="s">
        <v>43</v>
      </c>
      <c r="H6744" t="s">
        <v>25</v>
      </c>
      <c r="I6744" s="1">
        <v>3</v>
      </c>
      <c r="J6744" s="2">
        <v>45976</v>
      </c>
      <c r="L6744" s="1" t="str">
        <f t="shared" si="741"/>
        <v>sáb</v>
      </c>
      <c r="M6744" s="1" t="str">
        <f t="shared" si="742"/>
        <v>nov</v>
      </c>
      <c r="N6744">
        <f t="shared" si="743"/>
        <v>2025</v>
      </c>
      <c r="P6744" t="str">
        <f t="shared" si="744"/>
        <v>103945976</v>
      </c>
    </row>
    <row r="6745" spans="1:16" x14ac:dyDescent="0.3">
      <c r="A6745">
        <v>1039</v>
      </c>
      <c r="B6745">
        <v>58</v>
      </c>
      <c r="C6745" t="s">
        <v>26</v>
      </c>
      <c r="D6745" t="s">
        <v>16</v>
      </c>
      <c r="E6745" t="s">
        <v>17</v>
      </c>
      <c r="F6745" t="s">
        <v>23</v>
      </c>
      <c r="G6745" t="s">
        <v>43</v>
      </c>
      <c r="H6745" t="s">
        <v>25</v>
      </c>
      <c r="I6745" s="1">
        <v>3</v>
      </c>
      <c r="J6745" s="2">
        <v>45975</v>
      </c>
      <c r="L6745" s="1" t="str">
        <f t="shared" si="741"/>
        <v>sex</v>
      </c>
      <c r="M6745" s="1" t="str">
        <f t="shared" si="742"/>
        <v>nov</v>
      </c>
      <c r="N6745">
        <f t="shared" si="743"/>
        <v>2025</v>
      </c>
      <c r="P6745" t="str">
        <f t="shared" si="744"/>
        <v>103945975</v>
      </c>
    </row>
    <row r="6746" spans="1:16" x14ac:dyDescent="0.3">
      <c r="A6746">
        <v>1039</v>
      </c>
      <c r="B6746">
        <v>58</v>
      </c>
      <c r="C6746" t="s">
        <v>26</v>
      </c>
      <c r="D6746" t="s">
        <v>16</v>
      </c>
      <c r="E6746" t="s">
        <v>17</v>
      </c>
      <c r="F6746" t="s">
        <v>23</v>
      </c>
      <c r="G6746" t="s">
        <v>43</v>
      </c>
      <c r="H6746" t="s">
        <v>25</v>
      </c>
      <c r="I6746" s="1">
        <v>3</v>
      </c>
      <c r="J6746" s="2">
        <v>45974</v>
      </c>
      <c r="L6746" s="1" t="str">
        <f t="shared" si="741"/>
        <v>qui</v>
      </c>
      <c r="M6746" s="1" t="str">
        <f t="shared" si="742"/>
        <v>nov</v>
      </c>
      <c r="N6746">
        <f t="shared" si="743"/>
        <v>2025</v>
      </c>
      <c r="P6746" t="str">
        <f t="shared" si="744"/>
        <v>103945974</v>
      </c>
    </row>
    <row r="6747" spans="1:16" x14ac:dyDescent="0.3">
      <c r="A6747">
        <v>1039</v>
      </c>
      <c r="B6747">
        <v>58</v>
      </c>
      <c r="C6747" t="s">
        <v>26</v>
      </c>
      <c r="D6747" t="s">
        <v>16</v>
      </c>
      <c r="E6747" t="s">
        <v>17</v>
      </c>
      <c r="F6747" t="s">
        <v>23</v>
      </c>
      <c r="G6747" t="s">
        <v>43</v>
      </c>
      <c r="H6747" t="s">
        <v>25</v>
      </c>
      <c r="I6747" s="1">
        <v>3</v>
      </c>
      <c r="J6747" s="2">
        <v>45973</v>
      </c>
      <c r="L6747" s="1" t="str">
        <f t="shared" si="741"/>
        <v>qua</v>
      </c>
      <c r="M6747" s="1" t="str">
        <f t="shared" si="742"/>
        <v>nov</v>
      </c>
      <c r="N6747">
        <f t="shared" si="743"/>
        <v>2025</v>
      </c>
      <c r="P6747" t="str">
        <f t="shared" si="744"/>
        <v>103945973</v>
      </c>
    </row>
    <row r="6748" spans="1:16" x14ac:dyDescent="0.3">
      <c r="A6748">
        <v>1039</v>
      </c>
      <c r="B6748">
        <v>58</v>
      </c>
      <c r="C6748" t="s">
        <v>26</v>
      </c>
      <c r="D6748" t="s">
        <v>16</v>
      </c>
      <c r="E6748" t="s">
        <v>17</v>
      </c>
      <c r="F6748" t="s">
        <v>23</v>
      </c>
      <c r="G6748" t="s">
        <v>43</v>
      </c>
      <c r="H6748" t="s">
        <v>25</v>
      </c>
      <c r="I6748" s="1">
        <v>3</v>
      </c>
      <c r="J6748" s="2">
        <v>45972</v>
      </c>
      <c r="L6748" s="1" t="str">
        <f t="shared" si="741"/>
        <v>ter</v>
      </c>
      <c r="M6748" s="1" t="str">
        <f t="shared" si="742"/>
        <v>nov</v>
      </c>
      <c r="N6748">
        <f t="shared" si="743"/>
        <v>2025</v>
      </c>
      <c r="P6748" t="str">
        <f t="shared" si="744"/>
        <v>103945972</v>
      </c>
    </row>
    <row r="6749" spans="1:16" x14ac:dyDescent="0.3">
      <c r="A6749">
        <v>1039</v>
      </c>
      <c r="B6749">
        <v>58</v>
      </c>
      <c r="C6749" t="s">
        <v>26</v>
      </c>
      <c r="D6749" t="s">
        <v>16</v>
      </c>
      <c r="E6749" t="s">
        <v>17</v>
      </c>
      <c r="F6749" t="s">
        <v>23</v>
      </c>
      <c r="G6749" t="s">
        <v>43</v>
      </c>
      <c r="H6749" t="s">
        <v>25</v>
      </c>
      <c r="I6749" s="1">
        <v>3</v>
      </c>
      <c r="J6749" s="2">
        <v>45971</v>
      </c>
      <c r="L6749" s="1" t="str">
        <f t="shared" si="741"/>
        <v>seg</v>
      </c>
      <c r="M6749" s="1" t="str">
        <f t="shared" si="742"/>
        <v>nov</v>
      </c>
      <c r="N6749">
        <f t="shared" si="743"/>
        <v>2025</v>
      </c>
      <c r="P6749" t="str">
        <f t="shared" si="744"/>
        <v>103945971</v>
      </c>
    </row>
    <row r="6750" spans="1:16" x14ac:dyDescent="0.3">
      <c r="A6750">
        <v>1039</v>
      </c>
      <c r="B6750">
        <v>58</v>
      </c>
      <c r="C6750" t="s">
        <v>26</v>
      </c>
      <c r="D6750" t="s">
        <v>16</v>
      </c>
      <c r="E6750" t="s">
        <v>17</v>
      </c>
      <c r="F6750" t="s">
        <v>23</v>
      </c>
      <c r="G6750" t="s">
        <v>43</v>
      </c>
      <c r="H6750" t="s">
        <v>25</v>
      </c>
      <c r="I6750" s="1">
        <v>3</v>
      </c>
      <c r="J6750" s="2">
        <v>45970</v>
      </c>
      <c r="L6750" s="1" t="str">
        <f t="shared" si="741"/>
        <v>dom</v>
      </c>
      <c r="M6750" s="1" t="str">
        <f t="shared" si="742"/>
        <v>nov</v>
      </c>
      <c r="N6750">
        <f t="shared" si="743"/>
        <v>2025</v>
      </c>
      <c r="P6750" t="str">
        <f t="shared" si="744"/>
        <v>103945970</v>
      </c>
    </row>
    <row r="6751" spans="1:16" x14ac:dyDescent="0.3">
      <c r="A6751">
        <v>1039</v>
      </c>
      <c r="B6751">
        <v>58</v>
      </c>
      <c r="C6751" t="s">
        <v>26</v>
      </c>
      <c r="D6751" t="s">
        <v>16</v>
      </c>
      <c r="E6751" t="s">
        <v>17</v>
      </c>
      <c r="F6751" t="s">
        <v>23</v>
      </c>
      <c r="G6751" t="s">
        <v>43</v>
      </c>
      <c r="H6751" t="s">
        <v>25</v>
      </c>
      <c r="I6751" s="1">
        <v>3</v>
      </c>
      <c r="J6751" s="2">
        <v>45969</v>
      </c>
      <c r="L6751" s="1" t="str">
        <f t="shared" si="741"/>
        <v>sáb</v>
      </c>
      <c r="M6751" s="1" t="str">
        <f t="shared" si="742"/>
        <v>nov</v>
      </c>
      <c r="N6751">
        <f t="shared" si="743"/>
        <v>2025</v>
      </c>
      <c r="P6751" t="str">
        <f t="shared" si="744"/>
        <v>103945969</v>
      </c>
    </row>
    <row r="6752" spans="1:16" x14ac:dyDescent="0.3">
      <c r="A6752">
        <v>1039</v>
      </c>
      <c r="B6752">
        <v>58</v>
      </c>
      <c r="C6752" t="s">
        <v>26</v>
      </c>
      <c r="D6752" t="s">
        <v>16</v>
      </c>
      <c r="E6752" t="s">
        <v>17</v>
      </c>
      <c r="F6752" t="s">
        <v>23</v>
      </c>
      <c r="G6752" t="s">
        <v>43</v>
      </c>
      <c r="H6752" t="s">
        <v>25</v>
      </c>
      <c r="I6752" s="1">
        <v>3</v>
      </c>
      <c r="J6752" s="2">
        <v>45968</v>
      </c>
      <c r="L6752" s="1" t="str">
        <f t="shared" si="741"/>
        <v>sex</v>
      </c>
      <c r="M6752" s="1" t="str">
        <f t="shared" si="742"/>
        <v>nov</v>
      </c>
      <c r="N6752">
        <f t="shared" si="743"/>
        <v>2025</v>
      </c>
      <c r="P6752" t="str">
        <f t="shared" si="744"/>
        <v>103945968</v>
      </c>
    </row>
    <row r="6753" spans="1:16" x14ac:dyDescent="0.3">
      <c r="A6753">
        <v>1039</v>
      </c>
      <c r="B6753">
        <v>58</v>
      </c>
      <c r="C6753" t="s">
        <v>26</v>
      </c>
      <c r="D6753" t="s">
        <v>16</v>
      </c>
      <c r="E6753" t="s">
        <v>17</v>
      </c>
      <c r="F6753" t="s">
        <v>23</v>
      </c>
      <c r="G6753" t="s">
        <v>43</v>
      </c>
      <c r="H6753" t="s">
        <v>25</v>
      </c>
      <c r="I6753" s="1">
        <v>3</v>
      </c>
      <c r="J6753" s="2">
        <v>45967</v>
      </c>
      <c r="L6753" s="1" t="str">
        <f t="shared" si="741"/>
        <v>qui</v>
      </c>
      <c r="M6753" s="1" t="str">
        <f t="shared" si="742"/>
        <v>nov</v>
      </c>
      <c r="N6753">
        <f t="shared" si="743"/>
        <v>2025</v>
      </c>
      <c r="P6753" t="str">
        <f t="shared" si="744"/>
        <v>103945967</v>
      </c>
    </row>
    <row r="6754" spans="1:16" x14ac:dyDescent="0.3">
      <c r="A6754">
        <v>1039</v>
      </c>
      <c r="B6754">
        <v>58</v>
      </c>
      <c r="C6754" t="s">
        <v>26</v>
      </c>
      <c r="D6754" t="s">
        <v>16</v>
      </c>
      <c r="E6754" t="s">
        <v>17</v>
      </c>
      <c r="F6754" t="s">
        <v>23</v>
      </c>
      <c r="G6754" t="s">
        <v>43</v>
      </c>
      <c r="H6754" t="s">
        <v>25</v>
      </c>
      <c r="I6754" s="1">
        <v>3</v>
      </c>
      <c r="J6754" s="2">
        <v>45966</v>
      </c>
      <c r="L6754" s="1" t="str">
        <f t="shared" si="741"/>
        <v>qua</v>
      </c>
      <c r="M6754" s="1" t="str">
        <f t="shared" si="742"/>
        <v>nov</v>
      </c>
      <c r="N6754">
        <f t="shared" si="743"/>
        <v>2025</v>
      </c>
      <c r="P6754" t="str">
        <f t="shared" si="744"/>
        <v>103945966</v>
      </c>
    </row>
    <row r="6755" spans="1:16" x14ac:dyDescent="0.3">
      <c r="A6755">
        <v>1039</v>
      </c>
      <c r="B6755">
        <v>58</v>
      </c>
      <c r="C6755" t="s">
        <v>26</v>
      </c>
      <c r="D6755" t="s">
        <v>16</v>
      </c>
      <c r="E6755" t="s">
        <v>17</v>
      </c>
      <c r="F6755" t="s">
        <v>23</v>
      </c>
      <c r="G6755" t="s">
        <v>43</v>
      </c>
      <c r="H6755" t="s">
        <v>25</v>
      </c>
      <c r="I6755" s="1">
        <v>3</v>
      </c>
      <c r="J6755" s="2">
        <v>45965</v>
      </c>
      <c r="L6755" s="1" t="str">
        <f t="shared" si="741"/>
        <v>ter</v>
      </c>
      <c r="M6755" s="1" t="str">
        <f t="shared" si="742"/>
        <v>nov</v>
      </c>
      <c r="N6755">
        <f t="shared" si="743"/>
        <v>2025</v>
      </c>
      <c r="P6755" t="str">
        <f t="shared" si="744"/>
        <v>103945965</v>
      </c>
    </row>
    <row r="6756" spans="1:16" x14ac:dyDescent="0.3">
      <c r="A6756">
        <v>1039</v>
      </c>
      <c r="B6756">
        <v>58</v>
      </c>
      <c r="C6756" t="s">
        <v>26</v>
      </c>
      <c r="D6756" t="s">
        <v>16</v>
      </c>
      <c r="E6756" t="s">
        <v>17</v>
      </c>
      <c r="F6756" t="s">
        <v>23</v>
      </c>
      <c r="G6756" t="s">
        <v>43</v>
      </c>
      <c r="H6756" t="s">
        <v>25</v>
      </c>
      <c r="I6756" s="1">
        <v>3</v>
      </c>
      <c r="J6756" s="2">
        <v>45964</v>
      </c>
      <c r="L6756" s="1" t="str">
        <f t="shared" si="741"/>
        <v>seg</v>
      </c>
      <c r="M6756" s="1" t="str">
        <f t="shared" si="742"/>
        <v>nov</v>
      </c>
      <c r="N6756">
        <f t="shared" si="743"/>
        <v>2025</v>
      </c>
      <c r="P6756" t="str">
        <f t="shared" si="744"/>
        <v>103945964</v>
      </c>
    </row>
    <row r="6757" spans="1:16" x14ac:dyDescent="0.3">
      <c r="A6757">
        <v>1039</v>
      </c>
      <c r="B6757">
        <v>58</v>
      </c>
      <c r="C6757" t="s">
        <v>26</v>
      </c>
      <c r="D6757" t="s">
        <v>16</v>
      </c>
      <c r="E6757" t="s">
        <v>17</v>
      </c>
      <c r="F6757" t="s">
        <v>23</v>
      </c>
      <c r="G6757" t="s">
        <v>43</v>
      </c>
      <c r="H6757" t="s">
        <v>25</v>
      </c>
      <c r="I6757" s="1">
        <v>3</v>
      </c>
      <c r="J6757" s="2">
        <v>45963</v>
      </c>
      <c r="L6757" s="1" t="str">
        <f t="shared" si="741"/>
        <v>dom</v>
      </c>
      <c r="M6757" s="1" t="str">
        <f t="shared" si="742"/>
        <v>nov</v>
      </c>
      <c r="N6757">
        <f t="shared" si="743"/>
        <v>2025</v>
      </c>
      <c r="P6757" t="str">
        <f t="shared" si="744"/>
        <v>103945963</v>
      </c>
    </row>
    <row r="6758" spans="1:16" x14ac:dyDescent="0.3">
      <c r="A6758">
        <v>1039</v>
      </c>
      <c r="B6758">
        <v>58</v>
      </c>
      <c r="C6758" t="s">
        <v>26</v>
      </c>
      <c r="D6758" t="s">
        <v>16</v>
      </c>
      <c r="E6758" t="s">
        <v>17</v>
      </c>
      <c r="F6758" t="s">
        <v>23</v>
      </c>
      <c r="G6758" t="s">
        <v>43</v>
      </c>
      <c r="H6758" t="s">
        <v>25</v>
      </c>
      <c r="I6758" s="1">
        <v>3</v>
      </c>
      <c r="J6758" s="2">
        <v>45962</v>
      </c>
      <c r="L6758" s="1" t="str">
        <f t="shared" si="741"/>
        <v>sáb</v>
      </c>
      <c r="M6758" s="1" t="str">
        <f t="shared" si="742"/>
        <v>nov</v>
      </c>
      <c r="N6758">
        <f t="shared" si="743"/>
        <v>2025</v>
      </c>
      <c r="P6758" t="str">
        <f t="shared" si="744"/>
        <v>103945962</v>
      </c>
    </row>
    <row r="6759" spans="1:16" x14ac:dyDescent="0.3">
      <c r="A6759">
        <v>1039</v>
      </c>
      <c r="B6759">
        <v>58</v>
      </c>
      <c r="C6759" t="s">
        <v>26</v>
      </c>
      <c r="D6759" t="s">
        <v>16</v>
      </c>
      <c r="E6759" t="s">
        <v>17</v>
      </c>
      <c r="F6759" t="s">
        <v>23</v>
      </c>
      <c r="G6759" t="s">
        <v>43</v>
      </c>
      <c r="H6759" t="s">
        <v>25</v>
      </c>
      <c r="I6759" s="1">
        <v>3</v>
      </c>
      <c r="J6759" s="2">
        <v>45961</v>
      </c>
      <c r="L6759" s="1" t="str">
        <f t="shared" si="741"/>
        <v>sex</v>
      </c>
      <c r="M6759" s="1" t="str">
        <f t="shared" si="742"/>
        <v>out</v>
      </c>
      <c r="N6759">
        <f t="shared" si="743"/>
        <v>2025</v>
      </c>
      <c r="P6759" t="str">
        <f t="shared" si="744"/>
        <v>103945961</v>
      </c>
    </row>
    <row r="6760" spans="1:16" x14ac:dyDescent="0.3">
      <c r="A6760">
        <v>1039</v>
      </c>
      <c r="B6760">
        <v>58</v>
      </c>
      <c r="C6760" t="s">
        <v>26</v>
      </c>
      <c r="D6760" t="s">
        <v>16</v>
      </c>
      <c r="E6760" t="s">
        <v>17</v>
      </c>
      <c r="F6760" t="s">
        <v>23</v>
      </c>
      <c r="G6760" t="s">
        <v>43</v>
      </c>
      <c r="H6760" t="s">
        <v>25</v>
      </c>
      <c r="I6760" s="1">
        <v>3</v>
      </c>
      <c r="J6760" s="2">
        <v>45960</v>
      </c>
      <c r="L6760" s="1" t="str">
        <f t="shared" si="741"/>
        <v>qui</v>
      </c>
      <c r="M6760" s="1" t="str">
        <f t="shared" si="742"/>
        <v>out</v>
      </c>
      <c r="N6760">
        <f t="shared" si="743"/>
        <v>2025</v>
      </c>
      <c r="P6760" t="str">
        <f t="shared" si="744"/>
        <v>103945960</v>
      </c>
    </row>
    <row r="6761" spans="1:16" x14ac:dyDescent="0.3">
      <c r="A6761">
        <v>1039</v>
      </c>
      <c r="B6761">
        <v>58</v>
      </c>
      <c r="C6761" t="s">
        <v>26</v>
      </c>
      <c r="D6761" t="s">
        <v>16</v>
      </c>
      <c r="E6761" t="s">
        <v>17</v>
      </c>
      <c r="F6761" t="s">
        <v>23</v>
      </c>
      <c r="G6761" t="s">
        <v>43</v>
      </c>
      <c r="H6761" t="s">
        <v>25</v>
      </c>
      <c r="I6761" s="1">
        <v>3</v>
      </c>
      <c r="J6761" s="2">
        <v>45959</v>
      </c>
      <c r="L6761" s="1" t="str">
        <f t="shared" si="741"/>
        <v>qua</v>
      </c>
      <c r="M6761" s="1" t="str">
        <f t="shared" si="742"/>
        <v>out</v>
      </c>
      <c r="N6761">
        <f t="shared" si="743"/>
        <v>2025</v>
      </c>
      <c r="P6761" t="str">
        <f t="shared" si="744"/>
        <v>103945959</v>
      </c>
    </row>
    <row r="6762" spans="1:16" x14ac:dyDescent="0.3">
      <c r="A6762">
        <v>1039</v>
      </c>
      <c r="B6762">
        <v>58</v>
      </c>
      <c r="C6762" t="s">
        <v>26</v>
      </c>
      <c r="D6762" t="s">
        <v>16</v>
      </c>
      <c r="E6762" t="s">
        <v>17</v>
      </c>
      <c r="F6762" t="s">
        <v>23</v>
      </c>
      <c r="G6762" t="s">
        <v>43</v>
      </c>
      <c r="H6762" t="s">
        <v>25</v>
      </c>
      <c r="I6762" s="1">
        <v>3</v>
      </c>
      <c r="J6762" s="2">
        <v>45958</v>
      </c>
      <c r="L6762" s="1" t="str">
        <f t="shared" ref="L6762:L6797" si="745">TEXT(J6762,"ddd")</f>
        <v>ter</v>
      </c>
      <c r="M6762" s="1" t="str">
        <f t="shared" ref="M6762:M6797" si="746">TEXT($J6762,"mmm")</f>
        <v>out</v>
      </c>
      <c r="N6762">
        <f t="shared" ref="N6762:N6797" si="747">YEAR(J6762)</f>
        <v>2025</v>
      </c>
      <c r="P6762" t="str">
        <f t="shared" ref="P6762:P6797" si="748">CONCATENATE(A6762,J6762)</f>
        <v>103945958</v>
      </c>
    </row>
    <row r="6763" spans="1:16" x14ac:dyDescent="0.3">
      <c r="A6763">
        <v>1039</v>
      </c>
      <c r="B6763">
        <v>58</v>
      </c>
      <c r="C6763" t="s">
        <v>26</v>
      </c>
      <c r="D6763" t="s">
        <v>16</v>
      </c>
      <c r="E6763" t="s">
        <v>17</v>
      </c>
      <c r="F6763" t="s">
        <v>23</v>
      </c>
      <c r="G6763" t="s">
        <v>43</v>
      </c>
      <c r="H6763" t="s">
        <v>25</v>
      </c>
      <c r="I6763" s="1">
        <v>3</v>
      </c>
      <c r="J6763" s="2">
        <v>45957</v>
      </c>
      <c r="L6763" s="1" t="str">
        <f t="shared" si="745"/>
        <v>seg</v>
      </c>
      <c r="M6763" s="1" t="str">
        <f t="shared" si="746"/>
        <v>out</v>
      </c>
      <c r="N6763">
        <f t="shared" si="747"/>
        <v>2025</v>
      </c>
      <c r="P6763" t="str">
        <f t="shared" si="748"/>
        <v>103945957</v>
      </c>
    </row>
    <row r="6764" spans="1:16" x14ac:dyDescent="0.3">
      <c r="A6764">
        <v>1039</v>
      </c>
      <c r="B6764">
        <v>58</v>
      </c>
      <c r="C6764" t="s">
        <v>26</v>
      </c>
      <c r="D6764" t="s">
        <v>16</v>
      </c>
      <c r="E6764" t="s">
        <v>17</v>
      </c>
      <c r="F6764" t="s">
        <v>23</v>
      </c>
      <c r="G6764" t="s">
        <v>43</v>
      </c>
      <c r="H6764" t="s">
        <v>25</v>
      </c>
      <c r="I6764" s="1">
        <v>3</v>
      </c>
      <c r="J6764" s="2">
        <v>45956</v>
      </c>
      <c r="L6764" s="1" t="str">
        <f t="shared" si="745"/>
        <v>dom</v>
      </c>
      <c r="M6764" s="1" t="str">
        <f t="shared" si="746"/>
        <v>out</v>
      </c>
      <c r="N6764">
        <f t="shared" si="747"/>
        <v>2025</v>
      </c>
      <c r="P6764" t="str">
        <f t="shared" si="748"/>
        <v>103945956</v>
      </c>
    </row>
    <row r="6765" spans="1:16" x14ac:dyDescent="0.3">
      <c r="A6765">
        <v>1039</v>
      </c>
      <c r="B6765">
        <v>58</v>
      </c>
      <c r="C6765" t="s">
        <v>26</v>
      </c>
      <c r="D6765" t="s">
        <v>16</v>
      </c>
      <c r="E6765" t="s">
        <v>17</v>
      </c>
      <c r="F6765" t="s">
        <v>23</v>
      </c>
      <c r="G6765" t="s">
        <v>43</v>
      </c>
      <c r="H6765" t="s">
        <v>25</v>
      </c>
      <c r="I6765" s="1">
        <v>3</v>
      </c>
      <c r="J6765" s="2">
        <v>45955</v>
      </c>
      <c r="L6765" s="1" t="str">
        <f t="shared" si="745"/>
        <v>sáb</v>
      </c>
      <c r="M6765" s="1" t="str">
        <f t="shared" si="746"/>
        <v>out</v>
      </c>
      <c r="N6765">
        <f t="shared" si="747"/>
        <v>2025</v>
      </c>
      <c r="P6765" t="str">
        <f t="shared" si="748"/>
        <v>103945955</v>
      </c>
    </row>
    <row r="6766" spans="1:16" x14ac:dyDescent="0.3">
      <c r="A6766">
        <v>1039</v>
      </c>
      <c r="B6766">
        <v>58</v>
      </c>
      <c r="C6766" t="s">
        <v>26</v>
      </c>
      <c r="D6766" t="s">
        <v>16</v>
      </c>
      <c r="E6766" t="s">
        <v>17</v>
      </c>
      <c r="F6766" t="s">
        <v>23</v>
      </c>
      <c r="G6766" t="s">
        <v>43</v>
      </c>
      <c r="H6766" t="s">
        <v>25</v>
      </c>
      <c r="I6766" s="1">
        <v>3</v>
      </c>
      <c r="J6766" s="2">
        <v>45954</v>
      </c>
      <c r="L6766" s="1" t="str">
        <f t="shared" si="745"/>
        <v>sex</v>
      </c>
      <c r="M6766" s="1" t="str">
        <f t="shared" si="746"/>
        <v>out</v>
      </c>
      <c r="N6766">
        <f t="shared" si="747"/>
        <v>2025</v>
      </c>
      <c r="P6766" t="str">
        <f t="shared" si="748"/>
        <v>103945954</v>
      </c>
    </row>
    <row r="6767" spans="1:16" x14ac:dyDescent="0.3">
      <c r="A6767">
        <v>1039</v>
      </c>
      <c r="B6767">
        <v>58</v>
      </c>
      <c r="C6767" t="s">
        <v>26</v>
      </c>
      <c r="D6767" t="s">
        <v>16</v>
      </c>
      <c r="E6767" t="s">
        <v>17</v>
      </c>
      <c r="F6767" t="s">
        <v>23</v>
      </c>
      <c r="G6767" t="s">
        <v>43</v>
      </c>
      <c r="H6767" t="s">
        <v>25</v>
      </c>
      <c r="I6767" s="1">
        <v>3</v>
      </c>
      <c r="J6767" s="2">
        <v>45953</v>
      </c>
      <c r="L6767" s="1" t="str">
        <f t="shared" si="745"/>
        <v>qui</v>
      </c>
      <c r="M6767" s="1" t="str">
        <f t="shared" si="746"/>
        <v>out</v>
      </c>
      <c r="N6767">
        <f t="shared" si="747"/>
        <v>2025</v>
      </c>
      <c r="P6767" t="str">
        <f t="shared" si="748"/>
        <v>103945953</v>
      </c>
    </row>
    <row r="6768" spans="1:16" x14ac:dyDescent="0.3">
      <c r="A6768">
        <v>1039</v>
      </c>
      <c r="B6768">
        <v>58</v>
      </c>
      <c r="C6768" t="s">
        <v>26</v>
      </c>
      <c r="D6768" t="s">
        <v>16</v>
      </c>
      <c r="E6768" t="s">
        <v>17</v>
      </c>
      <c r="F6768" t="s">
        <v>23</v>
      </c>
      <c r="G6768" t="s">
        <v>43</v>
      </c>
      <c r="H6768" t="s">
        <v>25</v>
      </c>
      <c r="I6768" s="1">
        <v>3</v>
      </c>
      <c r="J6768" s="2">
        <v>45952</v>
      </c>
      <c r="L6768" s="1" t="str">
        <f t="shared" si="745"/>
        <v>qua</v>
      </c>
      <c r="M6768" s="1" t="str">
        <f t="shared" si="746"/>
        <v>out</v>
      </c>
      <c r="N6768">
        <f t="shared" si="747"/>
        <v>2025</v>
      </c>
      <c r="P6768" t="str">
        <f t="shared" si="748"/>
        <v>103945952</v>
      </c>
    </row>
    <row r="6769" spans="1:16" x14ac:dyDescent="0.3">
      <c r="A6769">
        <v>1039</v>
      </c>
      <c r="B6769">
        <v>58</v>
      </c>
      <c r="C6769" t="s">
        <v>26</v>
      </c>
      <c r="D6769" t="s">
        <v>16</v>
      </c>
      <c r="E6769" t="s">
        <v>17</v>
      </c>
      <c r="F6769" t="s">
        <v>23</v>
      </c>
      <c r="G6769" t="s">
        <v>43</v>
      </c>
      <c r="H6769" t="s">
        <v>25</v>
      </c>
      <c r="I6769" s="1">
        <v>3</v>
      </c>
      <c r="J6769" s="2">
        <v>45951</v>
      </c>
      <c r="L6769" s="1" t="str">
        <f t="shared" si="745"/>
        <v>ter</v>
      </c>
      <c r="M6769" s="1" t="str">
        <f t="shared" si="746"/>
        <v>out</v>
      </c>
      <c r="N6769">
        <f t="shared" si="747"/>
        <v>2025</v>
      </c>
      <c r="P6769" t="str">
        <f t="shared" si="748"/>
        <v>103945951</v>
      </c>
    </row>
    <row r="6770" spans="1:16" x14ac:dyDescent="0.3">
      <c r="A6770">
        <v>1039</v>
      </c>
      <c r="B6770">
        <v>58</v>
      </c>
      <c r="C6770" t="s">
        <v>26</v>
      </c>
      <c r="D6770" t="s">
        <v>16</v>
      </c>
      <c r="E6770" t="s">
        <v>17</v>
      </c>
      <c r="F6770" t="s">
        <v>23</v>
      </c>
      <c r="G6770" t="s">
        <v>43</v>
      </c>
      <c r="H6770" t="s">
        <v>25</v>
      </c>
      <c r="I6770" s="1">
        <v>3</v>
      </c>
      <c r="J6770" s="2">
        <v>45950</v>
      </c>
      <c r="L6770" s="1" t="str">
        <f t="shared" si="745"/>
        <v>seg</v>
      </c>
      <c r="M6770" s="1" t="str">
        <f t="shared" si="746"/>
        <v>out</v>
      </c>
      <c r="N6770">
        <f t="shared" si="747"/>
        <v>2025</v>
      </c>
      <c r="P6770" t="str">
        <f t="shared" si="748"/>
        <v>103945950</v>
      </c>
    </row>
    <row r="6771" spans="1:16" x14ac:dyDescent="0.3">
      <c r="A6771">
        <v>1039</v>
      </c>
      <c r="B6771">
        <v>58</v>
      </c>
      <c r="C6771" t="s">
        <v>26</v>
      </c>
      <c r="D6771" t="s">
        <v>16</v>
      </c>
      <c r="E6771" t="s">
        <v>17</v>
      </c>
      <c r="F6771" t="s">
        <v>23</v>
      </c>
      <c r="G6771" t="s">
        <v>43</v>
      </c>
      <c r="H6771" t="s">
        <v>25</v>
      </c>
      <c r="I6771" s="1">
        <v>3</v>
      </c>
      <c r="J6771" s="2">
        <v>45949</v>
      </c>
      <c r="L6771" s="1" t="str">
        <f t="shared" si="745"/>
        <v>dom</v>
      </c>
      <c r="M6771" s="1" t="str">
        <f t="shared" si="746"/>
        <v>out</v>
      </c>
      <c r="N6771">
        <f t="shared" si="747"/>
        <v>2025</v>
      </c>
      <c r="P6771" t="str">
        <f t="shared" si="748"/>
        <v>103945949</v>
      </c>
    </row>
    <row r="6772" spans="1:16" x14ac:dyDescent="0.3">
      <c r="A6772">
        <v>1039</v>
      </c>
      <c r="B6772">
        <v>58</v>
      </c>
      <c r="C6772" t="s">
        <v>26</v>
      </c>
      <c r="D6772" t="s">
        <v>16</v>
      </c>
      <c r="E6772" t="s">
        <v>17</v>
      </c>
      <c r="F6772" t="s">
        <v>23</v>
      </c>
      <c r="G6772" t="s">
        <v>43</v>
      </c>
      <c r="H6772" t="s">
        <v>25</v>
      </c>
      <c r="I6772" s="1">
        <v>3</v>
      </c>
      <c r="J6772" s="2">
        <v>45948</v>
      </c>
      <c r="L6772" s="1" t="str">
        <f t="shared" si="745"/>
        <v>sáb</v>
      </c>
      <c r="M6772" s="1" t="str">
        <f t="shared" si="746"/>
        <v>out</v>
      </c>
      <c r="N6772">
        <f t="shared" si="747"/>
        <v>2025</v>
      </c>
      <c r="P6772" t="str">
        <f t="shared" si="748"/>
        <v>103945948</v>
      </c>
    </row>
    <row r="6773" spans="1:16" x14ac:dyDescent="0.3">
      <c r="A6773">
        <v>1039</v>
      </c>
      <c r="B6773">
        <v>58</v>
      </c>
      <c r="C6773" t="s">
        <v>26</v>
      </c>
      <c r="D6773" t="s">
        <v>16</v>
      </c>
      <c r="E6773" t="s">
        <v>17</v>
      </c>
      <c r="F6773" t="s">
        <v>23</v>
      </c>
      <c r="G6773" t="s">
        <v>43</v>
      </c>
      <c r="H6773" t="s">
        <v>25</v>
      </c>
      <c r="I6773" s="1">
        <v>3</v>
      </c>
      <c r="J6773" s="2">
        <v>45947</v>
      </c>
      <c r="L6773" s="1" t="str">
        <f t="shared" si="745"/>
        <v>sex</v>
      </c>
      <c r="M6773" s="1" t="str">
        <f t="shared" si="746"/>
        <v>out</v>
      </c>
      <c r="N6773">
        <f t="shared" si="747"/>
        <v>2025</v>
      </c>
      <c r="P6773" t="str">
        <f t="shared" si="748"/>
        <v>103945947</v>
      </c>
    </row>
    <row r="6774" spans="1:16" x14ac:dyDescent="0.3">
      <c r="A6774">
        <v>1039</v>
      </c>
      <c r="B6774">
        <v>58</v>
      </c>
      <c r="C6774" t="s">
        <v>26</v>
      </c>
      <c r="D6774" t="s">
        <v>16</v>
      </c>
      <c r="E6774" t="s">
        <v>17</v>
      </c>
      <c r="F6774" t="s">
        <v>23</v>
      </c>
      <c r="G6774" t="s">
        <v>43</v>
      </c>
      <c r="H6774" t="s">
        <v>25</v>
      </c>
      <c r="I6774" s="1">
        <v>3</v>
      </c>
      <c r="J6774" s="2">
        <v>45946</v>
      </c>
      <c r="L6774" s="1" t="str">
        <f t="shared" si="745"/>
        <v>qui</v>
      </c>
      <c r="M6774" s="1" t="str">
        <f t="shared" si="746"/>
        <v>out</v>
      </c>
      <c r="N6774">
        <f t="shared" si="747"/>
        <v>2025</v>
      </c>
      <c r="P6774" t="str">
        <f t="shared" si="748"/>
        <v>103945946</v>
      </c>
    </row>
    <row r="6775" spans="1:16" x14ac:dyDescent="0.3">
      <c r="A6775">
        <v>1039</v>
      </c>
      <c r="B6775">
        <v>58</v>
      </c>
      <c r="C6775" t="s">
        <v>26</v>
      </c>
      <c r="D6775" t="s">
        <v>16</v>
      </c>
      <c r="E6775" t="s">
        <v>17</v>
      </c>
      <c r="F6775" t="s">
        <v>23</v>
      </c>
      <c r="G6775" t="s">
        <v>43</v>
      </c>
      <c r="H6775" t="s">
        <v>25</v>
      </c>
      <c r="I6775" s="1">
        <v>3</v>
      </c>
      <c r="J6775" s="2">
        <v>45945</v>
      </c>
      <c r="L6775" s="1" t="str">
        <f t="shared" si="745"/>
        <v>qua</v>
      </c>
      <c r="M6775" s="1" t="str">
        <f t="shared" si="746"/>
        <v>out</v>
      </c>
      <c r="N6775">
        <f t="shared" si="747"/>
        <v>2025</v>
      </c>
      <c r="P6775" t="str">
        <f t="shared" si="748"/>
        <v>103945945</v>
      </c>
    </row>
    <row r="6776" spans="1:16" x14ac:dyDescent="0.3">
      <c r="A6776">
        <v>1039</v>
      </c>
      <c r="B6776">
        <v>58</v>
      </c>
      <c r="C6776" t="s">
        <v>26</v>
      </c>
      <c r="D6776" t="s">
        <v>16</v>
      </c>
      <c r="E6776" t="s">
        <v>17</v>
      </c>
      <c r="F6776" t="s">
        <v>23</v>
      </c>
      <c r="G6776" t="s">
        <v>43</v>
      </c>
      <c r="H6776" t="s">
        <v>25</v>
      </c>
      <c r="I6776" s="1">
        <v>3</v>
      </c>
      <c r="J6776" s="2">
        <v>45944</v>
      </c>
      <c r="L6776" s="1" t="str">
        <f t="shared" si="745"/>
        <v>ter</v>
      </c>
      <c r="M6776" s="1" t="str">
        <f t="shared" si="746"/>
        <v>out</v>
      </c>
      <c r="N6776">
        <f t="shared" si="747"/>
        <v>2025</v>
      </c>
      <c r="P6776" t="str">
        <f t="shared" si="748"/>
        <v>103945944</v>
      </c>
    </row>
    <row r="6777" spans="1:16" x14ac:dyDescent="0.3">
      <c r="A6777">
        <v>1039</v>
      </c>
      <c r="B6777">
        <v>58</v>
      </c>
      <c r="C6777" t="s">
        <v>26</v>
      </c>
      <c r="D6777" t="s">
        <v>16</v>
      </c>
      <c r="E6777" t="s">
        <v>17</v>
      </c>
      <c r="F6777" t="s">
        <v>23</v>
      </c>
      <c r="G6777" t="s">
        <v>43</v>
      </c>
      <c r="H6777" t="s">
        <v>25</v>
      </c>
      <c r="I6777" s="1">
        <v>3</v>
      </c>
      <c r="J6777" s="2">
        <v>45943</v>
      </c>
      <c r="L6777" s="1" t="str">
        <f t="shared" si="745"/>
        <v>seg</v>
      </c>
      <c r="M6777" s="1" t="str">
        <f t="shared" si="746"/>
        <v>out</v>
      </c>
      <c r="N6777">
        <f t="shared" si="747"/>
        <v>2025</v>
      </c>
      <c r="P6777" t="str">
        <f t="shared" si="748"/>
        <v>103945943</v>
      </c>
    </row>
    <row r="6778" spans="1:16" x14ac:dyDescent="0.3">
      <c r="A6778">
        <v>1039</v>
      </c>
      <c r="B6778">
        <v>58</v>
      </c>
      <c r="C6778" t="s">
        <v>26</v>
      </c>
      <c r="D6778" t="s">
        <v>16</v>
      </c>
      <c r="E6778" t="s">
        <v>17</v>
      </c>
      <c r="F6778" t="s">
        <v>23</v>
      </c>
      <c r="G6778" t="s">
        <v>43</v>
      </c>
      <c r="H6778" t="s">
        <v>25</v>
      </c>
      <c r="I6778" s="1">
        <v>3</v>
      </c>
      <c r="J6778" s="2">
        <v>45942</v>
      </c>
      <c r="L6778" s="1" t="str">
        <f t="shared" si="745"/>
        <v>dom</v>
      </c>
      <c r="M6778" s="1" t="str">
        <f t="shared" si="746"/>
        <v>out</v>
      </c>
      <c r="N6778">
        <f t="shared" si="747"/>
        <v>2025</v>
      </c>
      <c r="P6778" t="str">
        <f t="shared" si="748"/>
        <v>103945942</v>
      </c>
    </row>
    <row r="6779" spans="1:16" x14ac:dyDescent="0.3">
      <c r="A6779">
        <v>1039</v>
      </c>
      <c r="B6779">
        <v>58</v>
      </c>
      <c r="C6779" t="s">
        <v>26</v>
      </c>
      <c r="D6779" t="s">
        <v>16</v>
      </c>
      <c r="E6779" t="s">
        <v>17</v>
      </c>
      <c r="F6779" t="s">
        <v>23</v>
      </c>
      <c r="G6779" t="s">
        <v>43</v>
      </c>
      <c r="H6779" t="s">
        <v>25</v>
      </c>
      <c r="I6779" s="1">
        <v>3</v>
      </c>
      <c r="J6779" s="2">
        <v>45941</v>
      </c>
      <c r="L6779" s="1" t="str">
        <f t="shared" si="745"/>
        <v>sáb</v>
      </c>
      <c r="M6779" s="1" t="str">
        <f t="shared" si="746"/>
        <v>out</v>
      </c>
      <c r="N6779">
        <f t="shared" si="747"/>
        <v>2025</v>
      </c>
      <c r="P6779" t="str">
        <f t="shared" si="748"/>
        <v>103945941</v>
      </c>
    </row>
    <row r="6780" spans="1:16" x14ac:dyDescent="0.3">
      <c r="A6780">
        <v>1039</v>
      </c>
      <c r="B6780">
        <v>58</v>
      </c>
      <c r="C6780" t="s">
        <v>26</v>
      </c>
      <c r="D6780" t="s">
        <v>16</v>
      </c>
      <c r="E6780" t="s">
        <v>17</v>
      </c>
      <c r="F6780" t="s">
        <v>23</v>
      </c>
      <c r="G6780" t="s">
        <v>43</v>
      </c>
      <c r="H6780" t="s">
        <v>25</v>
      </c>
      <c r="I6780" s="1">
        <v>3</v>
      </c>
      <c r="J6780" s="2">
        <v>45940</v>
      </c>
      <c r="L6780" s="1" t="str">
        <f t="shared" si="745"/>
        <v>sex</v>
      </c>
      <c r="M6780" s="1" t="str">
        <f t="shared" si="746"/>
        <v>out</v>
      </c>
      <c r="N6780">
        <f t="shared" si="747"/>
        <v>2025</v>
      </c>
      <c r="P6780" t="str">
        <f t="shared" si="748"/>
        <v>103945940</v>
      </c>
    </row>
    <row r="6781" spans="1:16" x14ac:dyDescent="0.3">
      <c r="A6781">
        <v>1039</v>
      </c>
      <c r="B6781">
        <v>58</v>
      </c>
      <c r="C6781" t="s">
        <v>26</v>
      </c>
      <c r="D6781" t="s">
        <v>16</v>
      </c>
      <c r="E6781" t="s">
        <v>17</v>
      </c>
      <c r="F6781" t="s">
        <v>23</v>
      </c>
      <c r="G6781" t="s">
        <v>43</v>
      </c>
      <c r="H6781" t="s">
        <v>25</v>
      </c>
      <c r="I6781" s="1">
        <v>3</v>
      </c>
      <c r="J6781" s="2">
        <v>45939</v>
      </c>
      <c r="L6781" s="1" t="str">
        <f t="shared" si="745"/>
        <v>qui</v>
      </c>
      <c r="M6781" s="1" t="str">
        <f t="shared" si="746"/>
        <v>out</v>
      </c>
      <c r="N6781">
        <f t="shared" si="747"/>
        <v>2025</v>
      </c>
      <c r="P6781" t="str">
        <f t="shared" si="748"/>
        <v>103945939</v>
      </c>
    </row>
    <row r="6782" spans="1:16" x14ac:dyDescent="0.3">
      <c r="A6782">
        <v>1039</v>
      </c>
      <c r="B6782">
        <v>58</v>
      </c>
      <c r="C6782" t="s">
        <v>26</v>
      </c>
      <c r="D6782" t="s">
        <v>16</v>
      </c>
      <c r="E6782" t="s">
        <v>17</v>
      </c>
      <c r="F6782" t="s">
        <v>23</v>
      </c>
      <c r="G6782" t="s">
        <v>43</v>
      </c>
      <c r="H6782" t="s">
        <v>25</v>
      </c>
      <c r="I6782" s="1">
        <v>3</v>
      </c>
      <c r="J6782" s="2">
        <v>45938</v>
      </c>
      <c r="L6782" s="1" t="str">
        <f t="shared" si="745"/>
        <v>qua</v>
      </c>
      <c r="M6782" s="1" t="str">
        <f t="shared" si="746"/>
        <v>out</v>
      </c>
      <c r="N6782">
        <f t="shared" si="747"/>
        <v>2025</v>
      </c>
      <c r="P6782" t="str">
        <f t="shared" si="748"/>
        <v>103945938</v>
      </c>
    </row>
    <row r="6783" spans="1:16" x14ac:dyDescent="0.3">
      <c r="A6783">
        <v>1039</v>
      </c>
      <c r="B6783">
        <v>58</v>
      </c>
      <c r="C6783" t="s">
        <v>26</v>
      </c>
      <c r="D6783" t="s">
        <v>16</v>
      </c>
      <c r="E6783" t="s">
        <v>17</v>
      </c>
      <c r="F6783" t="s">
        <v>23</v>
      </c>
      <c r="G6783" t="s">
        <v>43</v>
      </c>
      <c r="H6783" t="s">
        <v>25</v>
      </c>
      <c r="I6783" s="1">
        <v>3</v>
      </c>
      <c r="J6783" s="2">
        <v>45937</v>
      </c>
      <c r="L6783" s="1" t="str">
        <f t="shared" si="745"/>
        <v>ter</v>
      </c>
      <c r="M6783" s="1" t="str">
        <f t="shared" si="746"/>
        <v>out</v>
      </c>
      <c r="N6783">
        <f t="shared" si="747"/>
        <v>2025</v>
      </c>
      <c r="P6783" t="str">
        <f t="shared" si="748"/>
        <v>103945937</v>
      </c>
    </row>
    <row r="6784" spans="1:16" x14ac:dyDescent="0.3">
      <c r="A6784">
        <v>1039</v>
      </c>
      <c r="B6784">
        <v>58</v>
      </c>
      <c r="C6784" t="s">
        <v>26</v>
      </c>
      <c r="D6784" t="s">
        <v>16</v>
      </c>
      <c r="E6784" t="s">
        <v>17</v>
      </c>
      <c r="F6784" t="s">
        <v>23</v>
      </c>
      <c r="G6784" t="s">
        <v>43</v>
      </c>
      <c r="H6784" t="s">
        <v>25</v>
      </c>
      <c r="I6784" s="1">
        <v>3</v>
      </c>
      <c r="J6784" s="2">
        <v>45936</v>
      </c>
      <c r="L6784" s="1" t="str">
        <f t="shared" si="745"/>
        <v>seg</v>
      </c>
      <c r="M6784" s="1" t="str">
        <f t="shared" si="746"/>
        <v>out</v>
      </c>
      <c r="N6784">
        <f t="shared" si="747"/>
        <v>2025</v>
      </c>
      <c r="P6784" t="str">
        <f t="shared" si="748"/>
        <v>103945936</v>
      </c>
    </row>
    <row r="6785" spans="1:16" x14ac:dyDescent="0.3">
      <c r="A6785">
        <v>1039</v>
      </c>
      <c r="B6785">
        <v>58</v>
      </c>
      <c r="C6785" t="s">
        <v>26</v>
      </c>
      <c r="D6785" t="s">
        <v>16</v>
      </c>
      <c r="E6785" t="s">
        <v>17</v>
      </c>
      <c r="F6785" t="s">
        <v>23</v>
      </c>
      <c r="G6785" t="s">
        <v>43</v>
      </c>
      <c r="H6785" t="s">
        <v>25</v>
      </c>
      <c r="I6785" s="1">
        <v>3</v>
      </c>
      <c r="J6785" s="2">
        <v>45935</v>
      </c>
      <c r="L6785" s="1" t="str">
        <f t="shared" si="745"/>
        <v>dom</v>
      </c>
      <c r="M6785" s="1" t="str">
        <f t="shared" si="746"/>
        <v>out</v>
      </c>
      <c r="N6785">
        <f t="shared" si="747"/>
        <v>2025</v>
      </c>
      <c r="P6785" t="str">
        <f t="shared" si="748"/>
        <v>103945935</v>
      </c>
    </row>
    <row r="6786" spans="1:16" x14ac:dyDescent="0.3">
      <c r="A6786">
        <v>1039</v>
      </c>
      <c r="B6786">
        <v>58</v>
      </c>
      <c r="C6786" t="s">
        <v>26</v>
      </c>
      <c r="D6786" t="s">
        <v>16</v>
      </c>
      <c r="E6786" t="s">
        <v>17</v>
      </c>
      <c r="F6786" t="s">
        <v>23</v>
      </c>
      <c r="G6786" t="s">
        <v>43</v>
      </c>
      <c r="H6786" t="s">
        <v>25</v>
      </c>
      <c r="I6786" s="1">
        <v>3</v>
      </c>
      <c r="J6786" s="2">
        <v>45934</v>
      </c>
      <c r="L6786" s="1" t="str">
        <f t="shared" si="745"/>
        <v>sáb</v>
      </c>
      <c r="M6786" s="1" t="str">
        <f t="shared" si="746"/>
        <v>out</v>
      </c>
      <c r="N6786">
        <f t="shared" si="747"/>
        <v>2025</v>
      </c>
      <c r="P6786" t="str">
        <f t="shared" si="748"/>
        <v>103945934</v>
      </c>
    </row>
    <row r="6787" spans="1:16" x14ac:dyDescent="0.3">
      <c r="A6787">
        <v>1039</v>
      </c>
      <c r="B6787">
        <v>58</v>
      </c>
      <c r="C6787" t="s">
        <v>26</v>
      </c>
      <c r="D6787" t="s">
        <v>16</v>
      </c>
      <c r="E6787" t="s">
        <v>17</v>
      </c>
      <c r="F6787" t="s">
        <v>23</v>
      </c>
      <c r="G6787" t="s">
        <v>43</v>
      </c>
      <c r="H6787" t="s">
        <v>25</v>
      </c>
      <c r="I6787" s="1">
        <v>3</v>
      </c>
      <c r="J6787" s="2">
        <v>45933</v>
      </c>
      <c r="L6787" s="1" t="str">
        <f t="shared" si="745"/>
        <v>sex</v>
      </c>
      <c r="M6787" s="1" t="str">
        <f t="shared" si="746"/>
        <v>out</v>
      </c>
      <c r="N6787">
        <f t="shared" si="747"/>
        <v>2025</v>
      </c>
      <c r="P6787" t="str">
        <f t="shared" si="748"/>
        <v>103945933</v>
      </c>
    </row>
    <row r="6788" spans="1:16" x14ac:dyDescent="0.3">
      <c r="A6788">
        <v>1039</v>
      </c>
      <c r="B6788">
        <v>58</v>
      </c>
      <c r="C6788" t="s">
        <v>26</v>
      </c>
      <c r="D6788" t="s">
        <v>16</v>
      </c>
      <c r="E6788" t="s">
        <v>17</v>
      </c>
      <c r="F6788" t="s">
        <v>23</v>
      </c>
      <c r="G6788" t="s">
        <v>43</v>
      </c>
      <c r="H6788" t="s">
        <v>25</v>
      </c>
      <c r="I6788" s="1">
        <v>3</v>
      </c>
      <c r="J6788" s="2">
        <v>45932</v>
      </c>
      <c r="L6788" s="1" t="str">
        <f t="shared" si="745"/>
        <v>qui</v>
      </c>
      <c r="M6788" s="1" t="str">
        <f t="shared" si="746"/>
        <v>out</v>
      </c>
      <c r="N6788">
        <f t="shared" si="747"/>
        <v>2025</v>
      </c>
      <c r="P6788" t="str">
        <f t="shared" si="748"/>
        <v>103945932</v>
      </c>
    </row>
    <row r="6789" spans="1:16" x14ac:dyDescent="0.3">
      <c r="A6789">
        <v>1039</v>
      </c>
      <c r="B6789">
        <v>58</v>
      </c>
      <c r="C6789" t="s">
        <v>26</v>
      </c>
      <c r="D6789" t="s">
        <v>16</v>
      </c>
      <c r="E6789" t="s">
        <v>17</v>
      </c>
      <c r="F6789" t="s">
        <v>23</v>
      </c>
      <c r="G6789" t="s">
        <v>43</v>
      </c>
      <c r="H6789" t="s">
        <v>25</v>
      </c>
      <c r="I6789" s="1">
        <v>3</v>
      </c>
      <c r="J6789" s="2">
        <v>45931</v>
      </c>
      <c r="L6789" s="1" t="str">
        <f t="shared" si="745"/>
        <v>qua</v>
      </c>
      <c r="M6789" s="1" t="str">
        <f t="shared" si="746"/>
        <v>out</v>
      </c>
      <c r="N6789">
        <f t="shared" si="747"/>
        <v>2025</v>
      </c>
      <c r="P6789" t="str">
        <f t="shared" si="748"/>
        <v>103945931</v>
      </c>
    </row>
    <row r="6790" spans="1:16" x14ac:dyDescent="0.3">
      <c r="A6790">
        <v>1039</v>
      </c>
      <c r="B6790">
        <v>58</v>
      </c>
      <c r="C6790" t="s">
        <v>26</v>
      </c>
      <c r="D6790" t="s">
        <v>16</v>
      </c>
      <c r="E6790" t="s">
        <v>17</v>
      </c>
      <c r="F6790" t="s">
        <v>23</v>
      </c>
      <c r="G6790" t="s">
        <v>43</v>
      </c>
      <c r="H6790" t="s">
        <v>25</v>
      </c>
      <c r="I6790" s="1">
        <v>3</v>
      </c>
      <c r="J6790" s="2">
        <v>45930</v>
      </c>
      <c r="L6790" s="1" t="str">
        <f t="shared" si="745"/>
        <v>ter</v>
      </c>
      <c r="M6790" s="1" t="str">
        <f t="shared" si="746"/>
        <v>set</v>
      </c>
      <c r="N6790">
        <f t="shared" si="747"/>
        <v>2025</v>
      </c>
      <c r="P6790" t="str">
        <f t="shared" si="748"/>
        <v>103945930</v>
      </c>
    </row>
    <row r="6791" spans="1:16" x14ac:dyDescent="0.3">
      <c r="A6791">
        <v>1039</v>
      </c>
      <c r="B6791">
        <v>58</v>
      </c>
      <c r="C6791" t="s">
        <v>26</v>
      </c>
      <c r="D6791" t="s">
        <v>16</v>
      </c>
      <c r="E6791" t="s">
        <v>17</v>
      </c>
      <c r="F6791" t="s">
        <v>23</v>
      </c>
      <c r="G6791" t="s">
        <v>43</v>
      </c>
      <c r="H6791" t="s">
        <v>25</v>
      </c>
      <c r="I6791" s="1">
        <v>3</v>
      </c>
      <c r="J6791" s="2">
        <v>45929</v>
      </c>
      <c r="L6791" s="1" t="str">
        <f t="shared" si="745"/>
        <v>seg</v>
      </c>
      <c r="M6791" s="1" t="str">
        <f t="shared" si="746"/>
        <v>set</v>
      </c>
      <c r="N6791">
        <f t="shared" si="747"/>
        <v>2025</v>
      </c>
      <c r="P6791" t="str">
        <f t="shared" si="748"/>
        <v>103945929</v>
      </c>
    </row>
    <row r="6792" spans="1:16" x14ac:dyDescent="0.3">
      <c r="A6792">
        <v>1039</v>
      </c>
      <c r="B6792">
        <v>58</v>
      </c>
      <c r="C6792" t="s">
        <v>26</v>
      </c>
      <c r="D6792" t="s">
        <v>16</v>
      </c>
      <c r="E6792" t="s">
        <v>17</v>
      </c>
      <c r="F6792" t="s">
        <v>23</v>
      </c>
      <c r="G6792" t="s">
        <v>43</v>
      </c>
      <c r="H6792" t="s">
        <v>25</v>
      </c>
      <c r="I6792" s="1">
        <v>3</v>
      </c>
      <c r="J6792" s="2">
        <v>45928</v>
      </c>
      <c r="L6792" s="1" t="str">
        <f t="shared" si="745"/>
        <v>dom</v>
      </c>
      <c r="M6792" s="1" t="str">
        <f t="shared" si="746"/>
        <v>set</v>
      </c>
      <c r="N6792">
        <f t="shared" si="747"/>
        <v>2025</v>
      </c>
      <c r="P6792" t="str">
        <f t="shared" si="748"/>
        <v>103945928</v>
      </c>
    </row>
    <row r="6793" spans="1:16" x14ac:dyDescent="0.3">
      <c r="A6793">
        <v>1039</v>
      </c>
      <c r="B6793">
        <v>58</v>
      </c>
      <c r="C6793" t="s">
        <v>26</v>
      </c>
      <c r="D6793" t="s">
        <v>16</v>
      </c>
      <c r="E6793" t="s">
        <v>17</v>
      </c>
      <c r="F6793" t="s">
        <v>23</v>
      </c>
      <c r="G6793" t="s">
        <v>43</v>
      </c>
      <c r="H6793" t="s">
        <v>25</v>
      </c>
      <c r="I6793" s="1">
        <v>3</v>
      </c>
      <c r="J6793" s="2">
        <v>45927</v>
      </c>
      <c r="L6793" s="1" t="str">
        <f t="shared" si="745"/>
        <v>sáb</v>
      </c>
      <c r="M6793" s="1" t="str">
        <f t="shared" si="746"/>
        <v>set</v>
      </c>
      <c r="N6793">
        <f t="shared" si="747"/>
        <v>2025</v>
      </c>
      <c r="P6793" t="str">
        <f t="shared" si="748"/>
        <v>103945927</v>
      </c>
    </row>
    <row r="6794" spans="1:16" x14ac:dyDescent="0.3">
      <c r="A6794">
        <v>1039</v>
      </c>
      <c r="B6794">
        <v>58</v>
      </c>
      <c r="C6794" t="s">
        <v>26</v>
      </c>
      <c r="D6794" t="s">
        <v>16</v>
      </c>
      <c r="E6794" t="s">
        <v>17</v>
      </c>
      <c r="F6794" t="s">
        <v>23</v>
      </c>
      <c r="G6794" t="s">
        <v>43</v>
      </c>
      <c r="H6794" t="s">
        <v>25</v>
      </c>
      <c r="I6794" s="1">
        <v>3</v>
      </c>
      <c r="J6794" s="2">
        <v>45926</v>
      </c>
      <c r="L6794" s="1" t="str">
        <f t="shared" si="745"/>
        <v>sex</v>
      </c>
      <c r="M6794" s="1" t="str">
        <f t="shared" si="746"/>
        <v>set</v>
      </c>
      <c r="N6794">
        <f t="shared" si="747"/>
        <v>2025</v>
      </c>
      <c r="P6794" t="str">
        <f t="shared" si="748"/>
        <v>103945926</v>
      </c>
    </row>
    <row r="6795" spans="1:16" x14ac:dyDescent="0.3">
      <c r="A6795">
        <v>1039</v>
      </c>
      <c r="B6795">
        <v>58</v>
      </c>
      <c r="C6795" t="s">
        <v>26</v>
      </c>
      <c r="D6795" t="s">
        <v>16</v>
      </c>
      <c r="E6795" t="s">
        <v>17</v>
      </c>
      <c r="F6795" t="s">
        <v>23</v>
      </c>
      <c r="G6795" t="s">
        <v>43</v>
      </c>
      <c r="H6795" t="s">
        <v>25</v>
      </c>
      <c r="I6795" s="1">
        <v>3</v>
      </c>
      <c r="J6795" s="2">
        <v>45925</v>
      </c>
      <c r="L6795" s="1" t="str">
        <f t="shared" si="745"/>
        <v>qui</v>
      </c>
      <c r="M6795" s="1" t="str">
        <f t="shared" si="746"/>
        <v>set</v>
      </c>
      <c r="N6795">
        <f t="shared" si="747"/>
        <v>2025</v>
      </c>
      <c r="P6795" t="str">
        <f t="shared" si="748"/>
        <v>103945925</v>
      </c>
    </row>
    <row r="6796" spans="1:16" x14ac:dyDescent="0.3">
      <c r="A6796">
        <v>1039</v>
      </c>
      <c r="B6796">
        <v>58</v>
      </c>
      <c r="C6796" t="s">
        <v>26</v>
      </c>
      <c r="D6796" t="s">
        <v>16</v>
      </c>
      <c r="E6796" t="s">
        <v>17</v>
      </c>
      <c r="F6796" t="s">
        <v>23</v>
      </c>
      <c r="G6796" t="s">
        <v>43</v>
      </c>
      <c r="H6796" t="s">
        <v>25</v>
      </c>
      <c r="I6796" s="1">
        <v>3</v>
      </c>
      <c r="J6796" s="2">
        <v>45924</v>
      </c>
      <c r="L6796" s="1" t="str">
        <f t="shared" si="745"/>
        <v>qua</v>
      </c>
      <c r="M6796" s="1" t="str">
        <f t="shared" si="746"/>
        <v>set</v>
      </c>
      <c r="N6796">
        <f t="shared" si="747"/>
        <v>2025</v>
      </c>
      <c r="P6796" t="str">
        <f t="shared" si="748"/>
        <v>103945924</v>
      </c>
    </row>
    <row r="6797" spans="1:16" x14ac:dyDescent="0.3">
      <c r="A6797">
        <v>1039</v>
      </c>
      <c r="B6797">
        <v>58</v>
      </c>
      <c r="C6797" t="s">
        <v>26</v>
      </c>
      <c r="D6797" t="s">
        <v>16</v>
      </c>
      <c r="E6797" t="s">
        <v>17</v>
      </c>
      <c r="F6797" t="s">
        <v>23</v>
      </c>
      <c r="G6797" t="s">
        <v>43</v>
      </c>
      <c r="H6797" t="s">
        <v>25</v>
      </c>
      <c r="I6797" s="1">
        <v>3</v>
      </c>
      <c r="J6797" s="2">
        <v>45923</v>
      </c>
      <c r="L6797" s="1" t="str">
        <f t="shared" si="745"/>
        <v>ter</v>
      </c>
      <c r="M6797" s="1" t="str">
        <f t="shared" si="746"/>
        <v>set</v>
      </c>
      <c r="N6797">
        <f t="shared" si="747"/>
        <v>2025</v>
      </c>
      <c r="P6797" t="str">
        <f t="shared" si="748"/>
        <v>103945923</v>
      </c>
    </row>
    <row r="6798" spans="1:16" x14ac:dyDescent="0.3">
      <c r="A6798">
        <v>1001</v>
      </c>
      <c r="B6798">
        <v>58</v>
      </c>
      <c r="C6798" t="s">
        <v>15</v>
      </c>
      <c r="D6798" t="s">
        <v>16</v>
      </c>
      <c r="E6798" t="s">
        <v>17</v>
      </c>
      <c r="F6798" t="s">
        <v>18</v>
      </c>
      <c r="G6798" t="s">
        <v>43</v>
      </c>
      <c r="H6798" t="s">
        <v>25</v>
      </c>
      <c r="I6798" s="1">
        <v>1</v>
      </c>
      <c r="J6798" s="2">
        <v>45720</v>
      </c>
      <c r="L6798" s="1" t="str">
        <f>TEXT(J6798,"ddd")</f>
        <v>ter</v>
      </c>
      <c r="M6798" s="1" t="str">
        <f>TEXT($J6798,"mmm")</f>
        <v>mar</v>
      </c>
      <c r="N6798">
        <f>YEAR(J6798)</f>
        <v>2025</v>
      </c>
      <c r="P6798" t="str">
        <f>CONCATENATE(A6798,J6798)</f>
        <v>100145720</v>
      </c>
    </row>
    <row r="6799" spans="1:16" x14ac:dyDescent="0.3">
      <c r="A6799">
        <v>1001</v>
      </c>
      <c r="B6799">
        <v>58</v>
      </c>
      <c r="C6799" t="s">
        <v>15</v>
      </c>
      <c r="D6799" t="s">
        <v>16</v>
      </c>
      <c r="E6799" t="s">
        <v>17</v>
      </c>
      <c r="F6799" t="s">
        <v>18</v>
      </c>
      <c r="G6799" t="s">
        <v>43</v>
      </c>
      <c r="H6799" t="s">
        <v>25</v>
      </c>
      <c r="I6799" s="1">
        <v>1</v>
      </c>
      <c r="J6799" s="2">
        <v>45722</v>
      </c>
      <c r="L6799" s="1" t="str">
        <f>TEXT(J6799,"ddd")</f>
        <v>qui</v>
      </c>
      <c r="M6799" s="1" t="str">
        <f>TEXT($J6799,"mmm")</f>
        <v>mar</v>
      </c>
      <c r="N6799">
        <f>YEAR(J6799)</f>
        <v>2025</v>
      </c>
      <c r="P6799" t="str">
        <f>CONCATENATE(A6799,J6799)</f>
        <v>100145722</v>
      </c>
    </row>
    <row r="6800" spans="1:16" x14ac:dyDescent="0.3">
      <c r="A6800">
        <v>1001</v>
      </c>
      <c r="B6800">
        <v>58</v>
      </c>
      <c r="C6800" t="s">
        <v>15</v>
      </c>
      <c r="D6800" t="s">
        <v>16</v>
      </c>
      <c r="E6800" t="s">
        <v>17</v>
      </c>
      <c r="F6800" t="s">
        <v>18</v>
      </c>
      <c r="G6800" t="s">
        <v>43</v>
      </c>
      <c r="H6800" t="s">
        <v>25</v>
      </c>
      <c r="I6800" s="1">
        <v>1</v>
      </c>
      <c r="J6800" s="2">
        <v>45724</v>
      </c>
      <c r="L6800" s="1" t="str">
        <f t="shared" ref="L6800:L6820" si="749">TEXT(J6800,"ddd")</f>
        <v>sáb</v>
      </c>
      <c r="M6800" s="1" t="str">
        <f t="shared" ref="M6800:M6820" si="750">TEXT($J6800,"mmm")</f>
        <v>mar</v>
      </c>
      <c r="N6800">
        <f t="shared" ref="N6800:N6820" si="751">YEAR(J6800)</f>
        <v>2025</v>
      </c>
      <c r="P6800" t="str">
        <f t="shared" ref="P6800:P6820" si="752">CONCATENATE(A6800,J6800)</f>
        <v>100145724</v>
      </c>
    </row>
    <row r="6801" spans="1:16" x14ac:dyDescent="0.3">
      <c r="A6801">
        <v>1001</v>
      </c>
      <c r="B6801">
        <v>58</v>
      </c>
      <c r="C6801" t="s">
        <v>15</v>
      </c>
      <c r="D6801" t="s">
        <v>16</v>
      </c>
      <c r="E6801" t="s">
        <v>17</v>
      </c>
      <c r="F6801" t="s">
        <v>18</v>
      </c>
      <c r="G6801" t="s">
        <v>43</v>
      </c>
      <c r="H6801" t="s">
        <v>25</v>
      </c>
      <c r="I6801" s="1">
        <v>1</v>
      </c>
      <c r="J6801" s="2">
        <v>45726</v>
      </c>
      <c r="L6801" s="1" t="str">
        <f t="shared" si="749"/>
        <v>seg</v>
      </c>
      <c r="M6801" s="1" t="str">
        <f t="shared" si="750"/>
        <v>mar</v>
      </c>
      <c r="N6801">
        <f t="shared" si="751"/>
        <v>2025</v>
      </c>
      <c r="P6801" t="str">
        <f t="shared" si="752"/>
        <v>100145726</v>
      </c>
    </row>
    <row r="6802" spans="1:16" x14ac:dyDescent="0.3">
      <c r="A6802">
        <v>1001</v>
      </c>
      <c r="B6802">
        <v>58</v>
      </c>
      <c r="C6802" t="s">
        <v>15</v>
      </c>
      <c r="D6802" t="s">
        <v>16</v>
      </c>
      <c r="E6802" t="s">
        <v>17</v>
      </c>
      <c r="F6802" t="s">
        <v>18</v>
      </c>
      <c r="G6802" t="s">
        <v>43</v>
      </c>
      <c r="H6802" t="s">
        <v>25</v>
      </c>
      <c r="I6802" s="1">
        <v>1</v>
      </c>
      <c r="J6802" s="2">
        <v>45728</v>
      </c>
      <c r="L6802" s="1" t="str">
        <f t="shared" si="749"/>
        <v>qua</v>
      </c>
      <c r="M6802" s="1" t="str">
        <f t="shared" si="750"/>
        <v>mar</v>
      </c>
      <c r="N6802">
        <f t="shared" si="751"/>
        <v>2025</v>
      </c>
      <c r="P6802" t="str">
        <f t="shared" si="752"/>
        <v>100145728</v>
      </c>
    </row>
    <row r="6803" spans="1:16" x14ac:dyDescent="0.3">
      <c r="A6803">
        <v>1001</v>
      </c>
      <c r="B6803">
        <v>58</v>
      </c>
      <c r="C6803" t="s">
        <v>15</v>
      </c>
      <c r="D6803" t="s">
        <v>16</v>
      </c>
      <c r="E6803" t="s">
        <v>17</v>
      </c>
      <c r="F6803" t="s">
        <v>18</v>
      </c>
      <c r="G6803" t="s">
        <v>43</v>
      </c>
      <c r="H6803" t="s">
        <v>25</v>
      </c>
      <c r="I6803" s="1">
        <v>1</v>
      </c>
      <c r="J6803" s="2">
        <v>45730</v>
      </c>
      <c r="L6803" s="1" t="str">
        <f t="shared" si="749"/>
        <v>sex</v>
      </c>
      <c r="M6803" s="1" t="str">
        <f t="shared" si="750"/>
        <v>mar</v>
      </c>
      <c r="N6803">
        <f t="shared" si="751"/>
        <v>2025</v>
      </c>
      <c r="P6803" t="str">
        <f t="shared" si="752"/>
        <v>100145730</v>
      </c>
    </row>
    <row r="6804" spans="1:16" x14ac:dyDescent="0.3">
      <c r="A6804">
        <v>1001</v>
      </c>
      <c r="B6804">
        <v>58</v>
      </c>
      <c r="C6804" t="s">
        <v>15</v>
      </c>
      <c r="D6804" t="s">
        <v>16</v>
      </c>
      <c r="E6804" t="s">
        <v>17</v>
      </c>
      <c r="F6804" t="s">
        <v>18</v>
      </c>
      <c r="G6804" t="s">
        <v>43</v>
      </c>
      <c r="H6804" t="s">
        <v>25</v>
      </c>
      <c r="I6804" s="1">
        <v>1</v>
      </c>
      <c r="J6804" s="2">
        <v>45732</v>
      </c>
      <c r="L6804" s="1" t="str">
        <f t="shared" si="749"/>
        <v>dom</v>
      </c>
      <c r="M6804" s="1" t="str">
        <f t="shared" si="750"/>
        <v>mar</v>
      </c>
      <c r="N6804">
        <f t="shared" si="751"/>
        <v>2025</v>
      </c>
      <c r="P6804" t="str">
        <f t="shared" si="752"/>
        <v>100145732</v>
      </c>
    </row>
    <row r="6805" spans="1:16" x14ac:dyDescent="0.3">
      <c r="A6805">
        <v>1001</v>
      </c>
      <c r="B6805">
        <v>58</v>
      </c>
      <c r="C6805" t="s">
        <v>15</v>
      </c>
      <c r="D6805" t="s">
        <v>16</v>
      </c>
      <c r="E6805" t="s">
        <v>17</v>
      </c>
      <c r="F6805" t="s">
        <v>18</v>
      </c>
      <c r="G6805" t="s">
        <v>43</v>
      </c>
      <c r="H6805" t="s">
        <v>25</v>
      </c>
      <c r="I6805" s="1">
        <v>1</v>
      </c>
      <c r="J6805" s="2">
        <v>45734</v>
      </c>
      <c r="L6805" s="1" t="str">
        <f t="shared" si="749"/>
        <v>ter</v>
      </c>
      <c r="M6805" s="1" t="str">
        <f t="shared" si="750"/>
        <v>mar</v>
      </c>
      <c r="N6805">
        <f t="shared" si="751"/>
        <v>2025</v>
      </c>
      <c r="P6805" t="str">
        <f t="shared" si="752"/>
        <v>100145734</v>
      </c>
    </row>
    <row r="6806" spans="1:16" x14ac:dyDescent="0.3">
      <c r="A6806">
        <v>1001</v>
      </c>
      <c r="B6806">
        <v>58</v>
      </c>
      <c r="C6806" t="s">
        <v>15</v>
      </c>
      <c r="D6806" t="s">
        <v>16</v>
      </c>
      <c r="E6806" t="s">
        <v>17</v>
      </c>
      <c r="F6806" t="s">
        <v>18</v>
      </c>
      <c r="G6806" t="s">
        <v>43</v>
      </c>
      <c r="H6806" t="s">
        <v>25</v>
      </c>
      <c r="I6806" s="1">
        <v>1</v>
      </c>
      <c r="J6806" s="2">
        <v>45736</v>
      </c>
      <c r="L6806" s="1" t="str">
        <f t="shared" si="749"/>
        <v>qui</v>
      </c>
      <c r="M6806" s="1" t="str">
        <f t="shared" si="750"/>
        <v>mar</v>
      </c>
      <c r="N6806">
        <f t="shared" si="751"/>
        <v>2025</v>
      </c>
      <c r="P6806" t="str">
        <f t="shared" si="752"/>
        <v>100145736</v>
      </c>
    </row>
    <row r="6807" spans="1:16" x14ac:dyDescent="0.3">
      <c r="A6807">
        <v>1001</v>
      </c>
      <c r="B6807">
        <v>58</v>
      </c>
      <c r="C6807" t="s">
        <v>15</v>
      </c>
      <c r="D6807" t="s">
        <v>16</v>
      </c>
      <c r="E6807" t="s">
        <v>17</v>
      </c>
      <c r="F6807" t="s">
        <v>18</v>
      </c>
      <c r="G6807" t="s">
        <v>43</v>
      </c>
      <c r="H6807" t="s">
        <v>25</v>
      </c>
      <c r="I6807" s="1">
        <v>1</v>
      </c>
      <c r="J6807" s="2">
        <v>45738</v>
      </c>
      <c r="L6807" s="1" t="str">
        <f t="shared" si="749"/>
        <v>sáb</v>
      </c>
      <c r="M6807" s="1" t="str">
        <f t="shared" si="750"/>
        <v>mar</v>
      </c>
      <c r="N6807">
        <f t="shared" si="751"/>
        <v>2025</v>
      </c>
      <c r="P6807" t="str">
        <f t="shared" si="752"/>
        <v>100145738</v>
      </c>
    </row>
    <row r="6808" spans="1:16" x14ac:dyDescent="0.3">
      <c r="A6808">
        <v>1001</v>
      </c>
      <c r="B6808">
        <v>58</v>
      </c>
      <c r="C6808" t="s">
        <v>15</v>
      </c>
      <c r="D6808" t="s">
        <v>16</v>
      </c>
      <c r="E6808" t="s">
        <v>17</v>
      </c>
      <c r="F6808" t="s">
        <v>18</v>
      </c>
      <c r="G6808" t="s">
        <v>43</v>
      </c>
      <c r="H6808" t="s">
        <v>25</v>
      </c>
      <c r="I6808" s="1">
        <v>1</v>
      </c>
      <c r="J6808" s="2">
        <v>45740</v>
      </c>
      <c r="L6808" s="1" t="str">
        <f t="shared" si="749"/>
        <v>seg</v>
      </c>
      <c r="M6808" s="1" t="str">
        <f t="shared" si="750"/>
        <v>mar</v>
      </c>
      <c r="N6808">
        <f t="shared" si="751"/>
        <v>2025</v>
      </c>
      <c r="P6808" t="str">
        <f t="shared" si="752"/>
        <v>100145740</v>
      </c>
    </row>
    <row r="6809" spans="1:16" x14ac:dyDescent="0.3">
      <c r="A6809">
        <v>1001</v>
      </c>
      <c r="B6809">
        <v>58</v>
      </c>
      <c r="C6809" t="s">
        <v>15</v>
      </c>
      <c r="D6809" t="s">
        <v>16</v>
      </c>
      <c r="E6809" t="s">
        <v>17</v>
      </c>
      <c r="F6809" t="s">
        <v>18</v>
      </c>
      <c r="G6809" t="s">
        <v>43</v>
      </c>
      <c r="H6809" t="s">
        <v>25</v>
      </c>
      <c r="I6809" s="1">
        <v>1</v>
      </c>
      <c r="J6809" s="2">
        <v>45742</v>
      </c>
      <c r="L6809" s="1" t="str">
        <f t="shared" si="749"/>
        <v>qua</v>
      </c>
      <c r="M6809" s="1" t="str">
        <f t="shared" si="750"/>
        <v>mar</v>
      </c>
      <c r="N6809">
        <f t="shared" si="751"/>
        <v>2025</v>
      </c>
      <c r="P6809" t="str">
        <f t="shared" si="752"/>
        <v>100145742</v>
      </c>
    </row>
    <row r="6810" spans="1:16" x14ac:dyDescent="0.3">
      <c r="A6810">
        <v>1001</v>
      </c>
      <c r="B6810">
        <v>58</v>
      </c>
      <c r="C6810" t="s">
        <v>15</v>
      </c>
      <c r="D6810" t="s">
        <v>16</v>
      </c>
      <c r="E6810" t="s">
        <v>17</v>
      </c>
      <c r="F6810" t="s">
        <v>18</v>
      </c>
      <c r="G6810" t="s">
        <v>43</v>
      </c>
      <c r="H6810" t="s">
        <v>25</v>
      </c>
      <c r="I6810" s="1">
        <v>1</v>
      </c>
      <c r="J6810" s="2">
        <v>45744</v>
      </c>
      <c r="L6810" s="1" t="str">
        <f t="shared" si="749"/>
        <v>sex</v>
      </c>
      <c r="M6810" s="1" t="str">
        <f t="shared" si="750"/>
        <v>mar</v>
      </c>
      <c r="N6810">
        <f t="shared" si="751"/>
        <v>2025</v>
      </c>
      <c r="P6810" t="str">
        <f t="shared" si="752"/>
        <v>100145744</v>
      </c>
    </row>
    <row r="6811" spans="1:16" x14ac:dyDescent="0.3">
      <c r="A6811">
        <v>1001</v>
      </c>
      <c r="B6811">
        <v>58</v>
      </c>
      <c r="C6811" t="s">
        <v>15</v>
      </c>
      <c r="D6811" t="s">
        <v>16</v>
      </c>
      <c r="E6811" t="s">
        <v>17</v>
      </c>
      <c r="F6811" t="s">
        <v>18</v>
      </c>
      <c r="G6811" t="s">
        <v>43</v>
      </c>
      <c r="H6811" t="s">
        <v>25</v>
      </c>
      <c r="I6811" s="1">
        <v>1</v>
      </c>
      <c r="J6811" s="2">
        <v>45746</v>
      </c>
      <c r="L6811" s="1" t="str">
        <f t="shared" si="749"/>
        <v>dom</v>
      </c>
      <c r="M6811" s="1" t="str">
        <f t="shared" si="750"/>
        <v>mar</v>
      </c>
      <c r="N6811">
        <f t="shared" si="751"/>
        <v>2025</v>
      </c>
      <c r="P6811" t="str">
        <f t="shared" si="752"/>
        <v>100145746</v>
      </c>
    </row>
    <row r="6812" spans="1:16" x14ac:dyDescent="0.3">
      <c r="A6812">
        <v>1001</v>
      </c>
      <c r="B6812">
        <v>58</v>
      </c>
      <c r="C6812" t="s">
        <v>15</v>
      </c>
      <c r="D6812" t="s">
        <v>16</v>
      </c>
      <c r="E6812" t="s">
        <v>17</v>
      </c>
      <c r="F6812" t="s">
        <v>18</v>
      </c>
      <c r="G6812" t="s">
        <v>43</v>
      </c>
      <c r="H6812" t="s">
        <v>25</v>
      </c>
      <c r="I6812" s="1">
        <v>1</v>
      </c>
      <c r="J6812" s="2">
        <v>45748</v>
      </c>
      <c r="L6812" s="1" t="str">
        <f t="shared" si="749"/>
        <v>ter</v>
      </c>
      <c r="M6812" s="1" t="str">
        <f t="shared" si="750"/>
        <v>abr</v>
      </c>
      <c r="N6812">
        <f t="shared" si="751"/>
        <v>2025</v>
      </c>
      <c r="P6812" t="str">
        <f t="shared" si="752"/>
        <v>100145748</v>
      </c>
    </row>
    <row r="6813" spans="1:16" x14ac:dyDescent="0.3">
      <c r="A6813">
        <v>1001</v>
      </c>
      <c r="B6813">
        <v>58</v>
      </c>
      <c r="C6813" t="s">
        <v>15</v>
      </c>
      <c r="D6813" t="s">
        <v>16</v>
      </c>
      <c r="E6813" t="s">
        <v>17</v>
      </c>
      <c r="F6813" t="s">
        <v>18</v>
      </c>
      <c r="G6813" t="s">
        <v>43</v>
      </c>
      <c r="H6813" t="s">
        <v>25</v>
      </c>
      <c r="I6813" s="1">
        <v>1</v>
      </c>
      <c r="J6813" s="2">
        <v>45750</v>
      </c>
      <c r="L6813" s="1" t="str">
        <f t="shared" si="749"/>
        <v>qui</v>
      </c>
      <c r="M6813" s="1" t="str">
        <f t="shared" si="750"/>
        <v>abr</v>
      </c>
      <c r="N6813">
        <f t="shared" si="751"/>
        <v>2025</v>
      </c>
      <c r="P6813" t="str">
        <f t="shared" si="752"/>
        <v>100145750</v>
      </c>
    </row>
    <row r="6814" spans="1:16" x14ac:dyDescent="0.3">
      <c r="A6814">
        <v>1001</v>
      </c>
      <c r="B6814">
        <v>58</v>
      </c>
      <c r="C6814" t="s">
        <v>15</v>
      </c>
      <c r="D6814" t="s">
        <v>16</v>
      </c>
      <c r="E6814" t="s">
        <v>17</v>
      </c>
      <c r="F6814" t="s">
        <v>18</v>
      </c>
      <c r="G6814" t="s">
        <v>43</v>
      </c>
      <c r="H6814" t="s">
        <v>25</v>
      </c>
      <c r="I6814" s="1">
        <v>1</v>
      </c>
      <c r="J6814" s="2">
        <v>45752</v>
      </c>
      <c r="L6814" s="1" t="str">
        <f t="shared" si="749"/>
        <v>sáb</v>
      </c>
      <c r="M6814" s="1" t="str">
        <f t="shared" si="750"/>
        <v>abr</v>
      </c>
      <c r="N6814">
        <f t="shared" si="751"/>
        <v>2025</v>
      </c>
      <c r="P6814" t="str">
        <f t="shared" si="752"/>
        <v>100145752</v>
      </c>
    </row>
    <row r="6815" spans="1:16" x14ac:dyDescent="0.3">
      <c r="A6815">
        <v>1001</v>
      </c>
      <c r="B6815">
        <v>58</v>
      </c>
      <c r="C6815" t="s">
        <v>15</v>
      </c>
      <c r="D6815" t="s">
        <v>16</v>
      </c>
      <c r="E6815" t="s">
        <v>17</v>
      </c>
      <c r="F6815" t="s">
        <v>18</v>
      </c>
      <c r="G6815" t="s">
        <v>43</v>
      </c>
      <c r="H6815" t="s">
        <v>25</v>
      </c>
      <c r="I6815" s="1">
        <v>1</v>
      </c>
      <c r="J6815" s="2">
        <v>45754</v>
      </c>
      <c r="L6815" s="1" t="str">
        <f t="shared" si="749"/>
        <v>seg</v>
      </c>
      <c r="M6815" s="1" t="str">
        <f t="shared" si="750"/>
        <v>abr</v>
      </c>
      <c r="N6815">
        <f t="shared" si="751"/>
        <v>2025</v>
      </c>
      <c r="P6815" t="str">
        <f t="shared" si="752"/>
        <v>100145754</v>
      </c>
    </row>
    <row r="6816" spans="1:16" x14ac:dyDescent="0.3">
      <c r="A6816">
        <v>1001</v>
      </c>
      <c r="B6816">
        <v>58</v>
      </c>
      <c r="C6816" t="s">
        <v>15</v>
      </c>
      <c r="D6816" t="s">
        <v>16</v>
      </c>
      <c r="E6816" t="s">
        <v>17</v>
      </c>
      <c r="F6816" t="s">
        <v>18</v>
      </c>
      <c r="G6816" t="s">
        <v>43</v>
      </c>
      <c r="H6816" t="s">
        <v>25</v>
      </c>
      <c r="I6816" s="1">
        <v>1</v>
      </c>
      <c r="J6816" s="2">
        <v>45756</v>
      </c>
      <c r="L6816" s="1" t="str">
        <f t="shared" si="749"/>
        <v>qua</v>
      </c>
      <c r="M6816" s="1" t="str">
        <f t="shared" si="750"/>
        <v>abr</v>
      </c>
      <c r="N6816">
        <f t="shared" si="751"/>
        <v>2025</v>
      </c>
      <c r="P6816" t="str">
        <f t="shared" si="752"/>
        <v>100145756</v>
      </c>
    </row>
    <row r="6817" spans="1:16" x14ac:dyDescent="0.3">
      <c r="A6817">
        <v>1001</v>
      </c>
      <c r="B6817">
        <v>58</v>
      </c>
      <c r="C6817" t="s">
        <v>15</v>
      </c>
      <c r="D6817" t="s">
        <v>16</v>
      </c>
      <c r="E6817" t="s">
        <v>17</v>
      </c>
      <c r="F6817" t="s">
        <v>18</v>
      </c>
      <c r="G6817" t="s">
        <v>43</v>
      </c>
      <c r="H6817" t="s">
        <v>25</v>
      </c>
      <c r="I6817" s="1">
        <v>1</v>
      </c>
      <c r="J6817" s="2">
        <v>45758</v>
      </c>
      <c r="L6817" s="1" t="str">
        <f t="shared" si="749"/>
        <v>sex</v>
      </c>
      <c r="M6817" s="1" t="str">
        <f t="shared" si="750"/>
        <v>abr</v>
      </c>
      <c r="N6817">
        <f t="shared" si="751"/>
        <v>2025</v>
      </c>
      <c r="P6817" t="str">
        <f t="shared" si="752"/>
        <v>100145758</v>
      </c>
    </row>
    <row r="6818" spans="1:16" x14ac:dyDescent="0.3">
      <c r="A6818">
        <v>1001</v>
      </c>
      <c r="B6818">
        <v>58</v>
      </c>
      <c r="C6818" t="s">
        <v>15</v>
      </c>
      <c r="D6818" t="s">
        <v>16</v>
      </c>
      <c r="E6818" t="s">
        <v>17</v>
      </c>
      <c r="F6818" t="s">
        <v>18</v>
      </c>
      <c r="G6818" t="s">
        <v>43</v>
      </c>
      <c r="H6818" t="s">
        <v>25</v>
      </c>
      <c r="I6818" s="1">
        <v>1</v>
      </c>
      <c r="J6818" s="2">
        <v>45760</v>
      </c>
      <c r="L6818" s="1" t="str">
        <f t="shared" si="749"/>
        <v>dom</v>
      </c>
      <c r="M6818" s="1" t="str">
        <f t="shared" si="750"/>
        <v>abr</v>
      </c>
      <c r="N6818">
        <f t="shared" si="751"/>
        <v>2025</v>
      </c>
      <c r="P6818" t="str">
        <f t="shared" si="752"/>
        <v>100145760</v>
      </c>
    </row>
    <row r="6819" spans="1:16" x14ac:dyDescent="0.3">
      <c r="A6819">
        <v>1001</v>
      </c>
      <c r="B6819">
        <v>58</v>
      </c>
      <c r="C6819" t="s">
        <v>15</v>
      </c>
      <c r="D6819" t="s">
        <v>16</v>
      </c>
      <c r="E6819" t="s">
        <v>17</v>
      </c>
      <c r="F6819" t="s">
        <v>18</v>
      </c>
      <c r="G6819" t="s">
        <v>43</v>
      </c>
      <c r="H6819" t="s">
        <v>25</v>
      </c>
      <c r="I6819" s="1">
        <v>1</v>
      </c>
      <c r="J6819" s="2">
        <v>45762</v>
      </c>
      <c r="L6819" s="1" t="str">
        <f t="shared" si="749"/>
        <v>ter</v>
      </c>
      <c r="M6819" s="1" t="str">
        <f t="shared" si="750"/>
        <v>abr</v>
      </c>
      <c r="N6819">
        <f t="shared" si="751"/>
        <v>2025</v>
      </c>
      <c r="P6819" t="str">
        <f t="shared" si="752"/>
        <v>100145762</v>
      </c>
    </row>
    <row r="6820" spans="1:16" x14ac:dyDescent="0.3">
      <c r="A6820">
        <v>1001</v>
      </c>
      <c r="B6820">
        <v>58</v>
      </c>
      <c r="C6820" t="s">
        <v>15</v>
      </c>
      <c r="D6820" t="s">
        <v>16</v>
      </c>
      <c r="E6820" t="s">
        <v>17</v>
      </c>
      <c r="F6820" t="s">
        <v>18</v>
      </c>
      <c r="G6820" t="s">
        <v>43</v>
      </c>
      <c r="H6820" t="s">
        <v>25</v>
      </c>
      <c r="I6820" s="1">
        <v>1</v>
      </c>
      <c r="J6820" s="2">
        <v>45764</v>
      </c>
      <c r="L6820" s="1" t="str">
        <f t="shared" si="749"/>
        <v>qui</v>
      </c>
      <c r="M6820" s="1" t="str">
        <f t="shared" si="750"/>
        <v>abr</v>
      </c>
      <c r="N6820">
        <f t="shared" si="751"/>
        <v>2025</v>
      </c>
      <c r="P6820" t="str">
        <f t="shared" si="752"/>
        <v>100145764</v>
      </c>
    </row>
  </sheetData>
  <autoFilter ref="A1:Q6820" xr:uid="{A985D517-AD87-4830-8349-5628E3FF1300}"/>
  <phoneticPr fontId="1" type="noConversion"/>
  <conditionalFormatting sqref="P1:P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C0FA3-2B97-4C68-BD41-875B950C9767}">
  <dimension ref="C3:M24"/>
  <sheetViews>
    <sheetView showGridLines="0" tabSelected="1" workbookViewId="0">
      <selection activeCell="H17" sqref="H17"/>
    </sheetView>
  </sheetViews>
  <sheetFormatPr defaultRowHeight="14.4" x14ac:dyDescent="0.3"/>
  <cols>
    <col min="1" max="1" width="17.21875" bestFit="1" customWidth="1"/>
    <col min="2" max="2" width="5" bestFit="1" customWidth="1"/>
    <col min="3" max="3" width="17.21875" bestFit="1" customWidth="1"/>
    <col min="4" max="4" width="18.5546875" bestFit="1" customWidth="1"/>
    <col min="5" max="5" width="7.5546875" bestFit="1" customWidth="1"/>
    <col min="6" max="7" width="10" bestFit="1" customWidth="1"/>
    <col min="10" max="10" width="21.109375" bestFit="1" customWidth="1"/>
    <col min="11" max="11" width="18.5546875" bestFit="1" customWidth="1"/>
    <col min="12" max="12" width="5" bestFit="1" customWidth="1"/>
    <col min="13" max="14" width="10" bestFit="1" customWidth="1"/>
    <col min="15" max="15" width="26" bestFit="1" customWidth="1"/>
  </cols>
  <sheetData>
    <row r="3" spans="3:13" x14ac:dyDescent="0.3">
      <c r="C3" s="4" t="s">
        <v>35</v>
      </c>
      <c r="D3" t="s">
        <v>58</v>
      </c>
      <c r="J3" s="4" t="s">
        <v>35</v>
      </c>
      <c r="K3" t="s">
        <v>58</v>
      </c>
    </row>
    <row r="5" spans="3:13" x14ac:dyDescent="0.3">
      <c r="C5" s="4" t="s">
        <v>63</v>
      </c>
      <c r="D5" s="4" t="s">
        <v>60</v>
      </c>
      <c r="J5" s="4" t="s">
        <v>59</v>
      </c>
      <c r="K5" s="4" t="s">
        <v>60</v>
      </c>
    </row>
    <row r="6" spans="3:13" x14ac:dyDescent="0.3">
      <c r="C6" s="4" t="s">
        <v>62</v>
      </c>
      <c r="D6" s="1">
        <v>2025</v>
      </c>
      <c r="E6" s="1">
        <v>2026</v>
      </c>
      <c r="F6" s="1" t="s">
        <v>61</v>
      </c>
      <c r="J6" s="4" t="s">
        <v>62</v>
      </c>
      <c r="K6" s="1">
        <v>2025</v>
      </c>
      <c r="L6" s="1">
        <v>2026</v>
      </c>
      <c r="M6" s="1" t="s">
        <v>61</v>
      </c>
    </row>
    <row r="7" spans="3:13" x14ac:dyDescent="0.3">
      <c r="C7" s="5" t="s">
        <v>43</v>
      </c>
      <c r="D7" s="1">
        <v>1429</v>
      </c>
      <c r="E7" s="1">
        <v>306</v>
      </c>
      <c r="F7" s="1">
        <v>1735</v>
      </c>
      <c r="J7" s="5" t="s">
        <v>70</v>
      </c>
      <c r="K7" s="1">
        <v>148</v>
      </c>
      <c r="L7" s="1">
        <v>41</v>
      </c>
      <c r="M7" s="1">
        <v>189</v>
      </c>
    </row>
    <row r="8" spans="3:13" x14ac:dyDescent="0.3">
      <c r="C8" s="5" t="s">
        <v>40</v>
      </c>
      <c r="D8" s="1">
        <v>430</v>
      </c>
      <c r="E8" s="1">
        <v>130</v>
      </c>
      <c r="F8" s="1">
        <v>560</v>
      </c>
      <c r="J8" s="5" t="s">
        <v>71</v>
      </c>
      <c r="K8" s="1">
        <v>206</v>
      </c>
      <c r="L8" s="1">
        <v>333</v>
      </c>
      <c r="M8" s="1">
        <v>539</v>
      </c>
    </row>
    <row r="9" spans="3:13" x14ac:dyDescent="0.3">
      <c r="C9" s="5" t="s">
        <v>57</v>
      </c>
      <c r="D9" s="1">
        <v>69</v>
      </c>
      <c r="E9" s="1">
        <v>4</v>
      </c>
      <c r="F9" s="1">
        <v>73</v>
      </c>
      <c r="J9" s="5" t="s">
        <v>72</v>
      </c>
      <c r="K9" s="1">
        <v>205</v>
      </c>
      <c r="L9" s="1">
        <v>365</v>
      </c>
      <c r="M9" s="1">
        <v>570</v>
      </c>
    </row>
    <row r="10" spans="3:13" x14ac:dyDescent="0.3">
      <c r="C10" s="5" t="s">
        <v>42</v>
      </c>
      <c r="D10" s="1">
        <v>158</v>
      </c>
      <c r="E10" s="1">
        <v>49</v>
      </c>
      <c r="F10" s="1">
        <v>207</v>
      </c>
      <c r="J10" s="5" t="s">
        <v>48</v>
      </c>
      <c r="K10" s="1">
        <v>573</v>
      </c>
      <c r="L10" s="1">
        <v>279</v>
      </c>
      <c r="M10" s="1">
        <v>852</v>
      </c>
    </row>
    <row r="11" spans="3:13" x14ac:dyDescent="0.3">
      <c r="C11" s="5" t="s">
        <v>41</v>
      </c>
      <c r="D11" s="1">
        <v>2834</v>
      </c>
      <c r="E11" s="1">
        <v>1180</v>
      </c>
      <c r="F11" s="1">
        <v>4014</v>
      </c>
      <c r="J11" s="5" t="s">
        <v>49</v>
      </c>
      <c r="K11" s="1">
        <v>706</v>
      </c>
      <c r="L11" s="1">
        <v>254</v>
      </c>
      <c r="M11" s="1">
        <v>960</v>
      </c>
    </row>
    <row r="12" spans="3:13" x14ac:dyDescent="0.3">
      <c r="C12" s="5" t="s">
        <v>44</v>
      </c>
      <c r="D12" s="1">
        <v>190</v>
      </c>
      <c r="E12" s="1">
        <v>40</v>
      </c>
      <c r="F12" s="1">
        <v>230</v>
      </c>
      <c r="J12" s="5" t="s">
        <v>73</v>
      </c>
      <c r="K12" s="1">
        <v>509</v>
      </c>
      <c r="L12" s="1">
        <v>437</v>
      </c>
      <c r="M12" s="1">
        <v>946</v>
      </c>
    </row>
    <row r="13" spans="3:13" x14ac:dyDescent="0.3">
      <c r="C13" s="5" t="s">
        <v>61</v>
      </c>
      <c r="D13" s="1">
        <v>5110</v>
      </c>
      <c r="E13" s="1">
        <v>1709</v>
      </c>
      <c r="F13" s="1">
        <v>6819</v>
      </c>
      <c r="J13" s="5" t="s">
        <v>74</v>
      </c>
      <c r="K13" s="1">
        <v>560</v>
      </c>
      <c r="L13" s="1"/>
      <c r="M13" s="1">
        <v>560</v>
      </c>
    </row>
    <row r="14" spans="3:13" x14ac:dyDescent="0.3">
      <c r="J14" s="5" t="s">
        <v>75</v>
      </c>
      <c r="K14" s="1">
        <v>482</v>
      </c>
      <c r="L14" s="1"/>
      <c r="M14" s="1">
        <v>482</v>
      </c>
    </row>
    <row r="15" spans="3:13" x14ac:dyDescent="0.3">
      <c r="J15" s="5" t="s">
        <v>76</v>
      </c>
      <c r="K15" s="1">
        <v>447</v>
      </c>
      <c r="L15" s="1"/>
      <c r="M15" s="1">
        <v>447</v>
      </c>
    </row>
    <row r="16" spans="3:13" x14ac:dyDescent="0.3">
      <c r="C16" t="s">
        <v>81</v>
      </c>
      <c r="D16" s="9">
        <f>D15+D13</f>
        <v>5110</v>
      </c>
      <c r="E16" s="9">
        <f>E15+E13</f>
        <v>1709</v>
      </c>
      <c r="F16" s="9">
        <f>F15+F13</f>
        <v>6819</v>
      </c>
      <c r="J16" s="5" t="s">
        <v>77</v>
      </c>
      <c r="K16" s="1">
        <v>464</v>
      </c>
      <c r="L16" s="1"/>
      <c r="M16" s="1">
        <v>464</v>
      </c>
    </row>
    <row r="17" spans="3:13" x14ac:dyDescent="0.3">
      <c r="J17" s="5" t="s">
        <v>78</v>
      </c>
      <c r="K17" s="1">
        <v>439</v>
      </c>
      <c r="L17" s="1"/>
      <c r="M17" s="1">
        <v>439</v>
      </c>
    </row>
    <row r="18" spans="3:13" x14ac:dyDescent="0.3">
      <c r="D18" s="1" t="s">
        <v>66</v>
      </c>
      <c r="E18" s="1" t="s">
        <v>67</v>
      </c>
      <c r="F18" s="8">
        <v>0.1</v>
      </c>
      <c r="J18" s="5" t="s">
        <v>79</v>
      </c>
      <c r="K18" s="1">
        <v>371</v>
      </c>
      <c r="L18" s="1"/>
      <c r="M18" s="1">
        <v>371</v>
      </c>
    </row>
    <row r="19" spans="3:13" x14ac:dyDescent="0.3">
      <c r="C19" s="6" t="s">
        <v>64</v>
      </c>
      <c r="D19" s="1">
        <v>888</v>
      </c>
      <c r="E19" s="1">
        <v>888</v>
      </c>
      <c r="F19" s="1">
        <v>888</v>
      </c>
      <c r="J19" s="5" t="s">
        <v>61</v>
      </c>
      <c r="K19" s="1">
        <v>5110</v>
      </c>
      <c r="L19" s="1">
        <v>1709</v>
      </c>
      <c r="M19" s="1">
        <v>6819</v>
      </c>
    </row>
    <row r="20" spans="3:13" x14ac:dyDescent="0.3">
      <c r="C20" s="6" t="s">
        <v>65</v>
      </c>
      <c r="D20" s="1">
        <v>220</v>
      </c>
      <c r="E20" s="1">
        <f>D20/2</f>
        <v>110</v>
      </c>
      <c r="F20" s="1">
        <f>SUM(D20:E20)</f>
        <v>330</v>
      </c>
    </row>
    <row r="21" spans="3:13" x14ac:dyDescent="0.3">
      <c r="C21" s="7" t="s">
        <v>82</v>
      </c>
      <c r="D21" s="9">
        <f>D19*D20</f>
        <v>195360</v>
      </c>
      <c r="E21" s="9">
        <f t="shared" ref="E21:F21" si="0">E19*E20</f>
        <v>97680</v>
      </c>
      <c r="F21" s="9">
        <f t="shared" si="0"/>
        <v>293040</v>
      </c>
    </row>
    <row r="23" spans="3:13" x14ac:dyDescent="0.3">
      <c r="C23" s="6" t="s">
        <v>69</v>
      </c>
      <c r="D23" s="10">
        <f>D16/(D19*D20)</f>
        <v>2.6156838656838658E-2</v>
      </c>
      <c r="E23" s="10">
        <f>E16/(E19*E20)</f>
        <v>1.7495904995904997E-2</v>
      </c>
      <c r="F23" s="10">
        <f>(F13+F16)/(F19*F20)</f>
        <v>4.6539721539721537E-2</v>
      </c>
    </row>
    <row r="24" spans="3:13" x14ac:dyDescent="0.3">
      <c r="C24" s="6" t="s">
        <v>68</v>
      </c>
      <c r="D24" s="10">
        <f>(D16-D8)/(D19*D20)</f>
        <v>2.3955773955773956E-2</v>
      </c>
      <c r="E24" s="10">
        <f>(E16-E8)/(E19*E20)</f>
        <v>1.6165028665028666E-2</v>
      </c>
      <c r="F24" s="10">
        <f>(F16-F8)/(F19*F20)</f>
        <v>2.135885885885886E-2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Colaboradores</vt:lpstr>
      <vt:lpstr>Absenteismo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Priscila Lima Gomes</cp:lastModifiedBy>
  <dcterms:created xsi:type="dcterms:W3CDTF">2026-06-18T17:49:37Z</dcterms:created>
  <dcterms:modified xsi:type="dcterms:W3CDTF">2026-06-29T12:26:39Z</dcterms:modified>
</cp:coreProperties>
</file>